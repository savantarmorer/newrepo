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drawing6.xml" ContentType="application/vnd.openxmlformats-officedocument.drawing+xml"/>
  <Override PartName="/xl/drawings/vmlDrawing5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11.vml" ContentType="application/vnd.openxmlformats-officedocument.vmlDrawing"/>
  <Override PartName="/xl/drawings/vmlDrawing10.vml" ContentType="application/vnd.openxmlformats-officedocument.vmlDrawing"/>
  <Override PartName="/xl/drawings/vmlDrawing9.vml" ContentType="application/vnd.openxmlformats-officedocument.vmlDrawing"/>
  <Override PartName="/xl/drawings/drawing9.xml" ContentType="application/vnd.openxmlformats-officedocument.drawing+xml"/>
  <Override PartName="/xl/drawings/vmlDrawing8.vml" ContentType="application/vnd.openxmlformats-officedocument.vmlDrawing"/>
  <Override PartName="/xl/drawings/drawing8.xml" ContentType="application/vnd.openxmlformats-officedocument.drawing+xml"/>
  <Override PartName="/xl/drawings/vmlDrawing7.vml" ContentType="application/vnd.openxmlformats-officedocument.vmlDrawing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Linha do tempo" sheetId="2" state="visible" r:id="rId4"/>
    <sheet name="Log" sheetId="3" state="visible" r:id="rId5"/>
    <sheet name="Prazos LAI" sheetId="4" state="visible" r:id="rId6"/>
    <sheet name="Pessoas" sheetId="5" state="visible" r:id="rId7"/>
    <sheet name="Empresas" sheetId="6" state="visible" r:id="rId8"/>
    <sheet name="Socios" sheetId="7" state="visible" r:id="rId9"/>
    <sheet name="Contratos" sheetId="8" state="visible" r:id="rId10"/>
    <sheet name="Pagamentos" sheetId="9" state="visible" r:id="rId11"/>
    <sheet name="Sancoes" sheetId="10" state="visible" r:id="rId12"/>
    <sheet name="Eleitoral" sheetId="11" state="visible" r:id="rId13"/>
    <sheet name="Processos" sheetId="12" state="visible" r:id="rId14"/>
    <sheet name="Listas" sheetId="13" state="visible" r:id="rId15"/>
  </sheets>
  <definedNames>
    <definedName function="false" hidden="true" localSheetId="7" name="_xlnm._FilterDatabase" vbProcedure="false">Contratos!$A$4:$T$1004</definedName>
    <definedName function="false" hidden="true" localSheetId="10" name="_xlnm._FilterDatabase" vbProcedure="false">Eleitoral!$A$4:$N$504</definedName>
    <definedName function="false" hidden="true" localSheetId="5" name="_xlnm._FilterDatabase" vbProcedure="false">Empresas!$A$4:$T$504</definedName>
    <definedName function="false" hidden="true" localSheetId="1" name="_xlnm._FilterDatabase" vbProcedure="false">'Linha do tempo'!$A$4:$J$504</definedName>
    <definedName function="false" hidden="true" localSheetId="2" name="_xlnm._FilterDatabase" vbProcedure="false">Log!$A$4:$L$504</definedName>
    <definedName function="false" hidden="true" localSheetId="8" name="_xlnm._FilterDatabase" vbProcedure="false">Pagamentos!$A$4:$L$2004</definedName>
    <definedName function="false" hidden="true" localSheetId="4" name="_xlnm._FilterDatabase" vbProcedure="false">Pessoas!$A$4:$N$304</definedName>
    <definedName function="false" hidden="true" localSheetId="3" name="_xlnm._FilterDatabase" vbProcedure="false">'Prazos LAI'!$A$4:$P$104</definedName>
    <definedName function="false" hidden="true" localSheetId="11" name="_xlnm._FilterDatabase" vbProcedure="false">Processos!$A$4:$L$204</definedName>
    <definedName function="false" hidden="true" localSheetId="9" name="_xlnm._FilterDatabase" vbProcedure="false">Sancoes!$A$4:$K$304</definedName>
    <definedName function="false" hidden="true" localSheetId="6" name="_xlnm._FilterDatabase" vbProcedure="false">Socios!$A$4:$N$1004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" authorId="0">
      <text>
        <r>
          <rPr>
            <sz val="10"/>
            <rFont val="Arial"/>
            <family val="2"/>
          </rPr>
          <t xml:space="preserve">Data em que o fato aconteceu. Para ordenar: selecione a tabela e use Dados &gt; Classificar por esta coluna.</t>
        </r>
      </text>
    </comment>
    <comment ref="E4" authorId="0">
      <text>
        <r>
          <rPr>
            <sz val="10"/>
            <rFont val="Arial"/>
            <family val="2"/>
          </rPr>
          <t xml:space="preserve">Fato: o documento mostra. Indício: aponta para outra coisa. Versão: alguém diz, e vai atribuída (aula 5.1).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" authorId="0">
      <text>
        <r>
          <rPr>
            <sz val="10"/>
            <rFont val="Arial"/>
            <family val="2"/>
          </rPr>
          <t xml:space="preserve">Numere em sequência: L001, L002... O ID é o que você cita nas outras abas. Não reaproveite números.</t>
        </r>
      </text>
    </comment>
    <comment ref="E4" authorId="0">
      <text>
        <r>
          <rPr>
            <sz val="10"/>
            <rFont val="Arial"/>
            <family val="2"/>
          </rPr>
          <t xml:space="preserve">Fonte humana: só o código (F1, F2). Nunca o nome verdadeiro (aula 2.2).</t>
        </r>
      </text>
    </comment>
    <comment ref="G4" authorId="0">
      <text>
        <r>
          <rPr>
            <sz val="10"/>
            <rFont val="Arial"/>
            <family val="2"/>
          </rPr>
          <t xml:space="preserve">Número do pedido de LAI, do recurso ou do e-mail enviado (aulas 3.2 e 6.4).</t>
        </r>
      </text>
    </comment>
    <comment ref="H4" authorId="0">
      <text>
        <r>
          <rPr>
            <sz val="10"/>
            <rFont val="Arial"/>
            <family val="2"/>
          </rPr>
          <t xml:space="preserve">Windows: certutil -hashfile arquivo SHA256. Mac ou Linux: shasum -a 256 arquivo. São 64 caracteres (aula 2.3).</t>
        </r>
      </text>
    </comment>
    <comment ref="I4" authorId="0">
      <text>
        <r>
          <rPr>
            <sz val="10"/>
            <rFont val="Arial"/>
            <family val="2"/>
          </rPr>
          <t xml:space="preserve">Link do archive.today ou da Wayback Machine (aula 4.7).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Marque Sim se o órgão comunicou a prorrogação de 10 dias (art. 11, §2º, da LAI).</t>
        </r>
      </text>
    </comment>
    <comment ref="H4" authorId="0">
      <text>
        <r>
          <rPr>
            <sz val="10"/>
            <rFont val="Arial"/>
            <family val="2"/>
          </rPr>
          <t xml:space="preserve">Atualize a cada resposta, inclusive decisões de recurso. O histórico fica no Log.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Como aparece na fonte, por exemplo ***123456**. Sem os dígitos do CPF, a pessoa não é cruzada (aula 4.6).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" authorId="0">
      <text>
        <r>
          <rPr>
            <sz val="10"/>
            <rFont val="Arial"/>
            <family val="2"/>
          </rPr>
          <t xml:space="preserve">Cole como aparece, com ou sem pontos; a coluna ao lado limpa o número. Trate sempre como texto: o CNPJ com letras está chegando (aula 4.3).</t>
        </r>
      </text>
    </comment>
    <comment ref="O4" authorId="0">
      <text>
        <r>
          <rPr>
            <sz val="10"/>
            <rFont val="Arial"/>
            <family val="2"/>
          </rPr>
          <t xml:space="preserve">Capital declarado em relação ao valor dos contratos. Número baixo é pergunta, não prova (aula 4.3).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Como aparece no quadro de sócios da Receita, por exemplo ***123456**.</t>
        </r>
      </text>
    </comment>
    <comment ref="K4" authorId="0">
      <text>
        <r>
          <rPr>
            <sz val="10"/>
            <rFont val="Arial"/>
            <family val="2"/>
          </rPr>
          <t xml:space="preserve">Da junta comercial. O sócio que saiu pouco antes do contrato continua sendo uma pergunta (aula 4.3).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4" authorId="0">
      <text>
        <r>
          <rPr>
            <sz val="10"/>
            <rFont val="Arial"/>
            <family val="2"/>
          </rPr>
          <t xml:space="preserve">Soma dos acréscimos de quantidade. Reajuste de preço não conta para o limite de 25% (aula 4.1).</t>
        </r>
      </text>
    </comment>
    <comment ref="R4" authorId="0">
      <text>
        <r>
          <rPr>
            <sz val="10"/>
            <rFont val="Arial"/>
            <family val="2"/>
          </rPr>
          <t xml:space="preserve">Confere se havia sanção em vigor no dia da assinatura. Leia o tipo e a abrangência: impedimento vale só no ente que puniu (aula 4.2).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4" authorId="0">
      <text>
        <r>
          <rPr>
            <sz val="10"/>
            <rFont val="Arial"/>
            <family val="2"/>
          </rPr>
          <t xml:space="preserve">Nota de empenho ou ordem bancária.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4" authorId="0">
      <text>
        <r>
          <rPr>
            <sz val="10"/>
            <rFont val="Arial"/>
            <family val="2"/>
          </rPr>
          <t xml:space="preserve">Deixe em branco se o cadastro não informa data de fim.</t>
        </r>
      </text>
    </comment>
    <comment ref="I4" authorId="0">
      <text>
        <r>
          <rPr>
            <sz val="10"/>
            <rFont val="Arial"/>
            <family val="2"/>
          </rPr>
          <t xml:space="preserve">Impedimento de licitar vale no ente que puniu; declaração de inidoneidade vale para todos (aula 4.2).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Bens: valor declarado pelo candidato, em geral o de compra. Não é valor de mercado (aula 4.4).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Escolha a fase exata. A coluna ao lado dá a frase certa para o roteiro (aula 5.2).</t>
        </r>
      </text>
    </comment>
  </commentList>
</comments>
</file>

<file path=xl/sharedStrings.xml><?xml version="1.0" encoding="utf-8"?>
<sst xmlns="http://schemas.openxmlformats.org/spreadsheetml/2006/main" count="639" uniqueCount="436">
  <si>
    <t xml:space="preserve">Planilha de cruzamento — o arquivo-mestre da pauta</t>
  </si>
  <si>
    <t xml:space="preserve">Jornalismo Investigativo na Prática · material bônus · regras conferidas em setembro de 2026</t>
  </si>
  <si>
    <t xml:space="preserve">Como ler as cores</t>
  </si>
  <si>
    <t xml:space="preserve">Cabeçalho azul</t>
  </si>
  <si>
    <t xml:space="preserve">Você preenche.</t>
  </si>
  <si>
    <t xml:space="preserve">Cabeçalho cinza (auto)</t>
  </si>
  <si>
    <t xml:space="preserve">Fórmula automática. Não digite nessas colunas.</t>
  </si>
  <si>
    <t xml:space="preserve">Linha em itálico</t>
  </si>
  <si>
    <t xml:space="preserve">Exemplo fictício. Exclua as linhas inteiras (botão direito &gt; Excluir) antes de usar na sua pauta.</t>
  </si>
  <si>
    <t xml:space="preserve">Vermelho ou laranja</t>
  </si>
  <si>
    <t xml:space="preserve">Alerta automático. Cada alerta é uma pergunta, não uma conclusão (aula 4.6).</t>
  </si>
  <si>
    <t xml:space="preserve">As abas</t>
  </si>
  <si>
    <t xml:space="preserve">Aba</t>
  </si>
  <si>
    <t xml:space="preserve">Para que serve</t>
  </si>
  <si>
    <t xml:space="preserve">Aulas</t>
  </si>
  <si>
    <t xml:space="preserve">Fórmulas até a linha</t>
  </si>
  <si>
    <t xml:space="preserve">Linha do tempo</t>
  </si>
  <si>
    <t xml:space="preserve">Os fatos da pauta em ordem de data, cada um com o documento que prova e o ID do Log.</t>
  </si>
  <si>
    <t xml:space="preserve">1.3, 4.1, 7.2, 8.1</t>
  </si>
  <si>
    <t xml:space="preserve">Log</t>
  </si>
  <si>
    <t xml:space="preserve">De onde veio cada dado e quando: documentos, bases, pedidos, respostas, conversas, hash e cópia arquivada.</t>
  </si>
  <si>
    <t xml:space="preserve">2.3, 3.2, 4.7, 6.4</t>
  </si>
  <si>
    <t xml:space="preserve">Prazos LAI</t>
  </si>
  <si>
    <t xml:space="preserve">O calendário de cada pedido de acesso: prazo do órgão, recurso e reclamação.</t>
  </si>
  <si>
    <t xml:space="preserve">3.2 a 3.5</t>
  </si>
  <si>
    <t xml:space="preserve">Pessoas</t>
  </si>
  <si>
    <t xml:space="preserve">Agentes públicos e pessoas ligadas à pauta.</t>
  </si>
  <si>
    <t xml:space="preserve">4.3, 4.4, 4.6</t>
  </si>
  <si>
    <t xml:space="preserve">Empresas</t>
  </si>
  <si>
    <t xml:space="preserve">Uma linha por CNPJ, com o resumo do que as outras abas encontraram.</t>
  </si>
  <si>
    <t xml:space="preserve">4.3, 4.6</t>
  </si>
  <si>
    <t xml:space="preserve">Socios</t>
  </si>
  <si>
    <t xml:space="preserve">Quadro de sócios e administradores.</t>
  </si>
  <si>
    <t xml:space="preserve">Contratos</t>
  </si>
  <si>
    <t xml:space="preserve">Contratos e aditivos, com alertas de empresa recém-aberta, aditivo alto e sanção vigente.</t>
  </si>
  <si>
    <t xml:space="preserve">4.2, 4.6</t>
  </si>
  <si>
    <t xml:space="preserve">Pagamentos</t>
  </si>
  <si>
    <t xml:space="preserve">Empenhos, liquidações e pagamentos.</t>
  </si>
  <si>
    <t xml:space="preserve">Sancoes</t>
  </si>
  <si>
    <t xml:space="preserve">Registros do CEIS, CNEP, CEPIM e outros cadastros de punidos.</t>
  </si>
  <si>
    <t xml:space="preserve">4.2</t>
  </si>
  <si>
    <t xml:space="preserve">Eleitoral</t>
  </si>
  <si>
    <t xml:space="preserve">Bens declarados, doações e fornecedores de campanha, com comparação entre duas eleições.</t>
  </si>
  <si>
    <t xml:space="preserve">4.4, 4.6</t>
  </si>
  <si>
    <t xml:space="preserve">Processos</t>
  </si>
  <si>
    <t xml:space="preserve">Processos judiciais, com a fase exata e a frase certa para o roteiro.</t>
  </si>
  <si>
    <t xml:space="preserve">4.5, 5.2</t>
  </si>
  <si>
    <t xml:space="preserve">Listas</t>
  </si>
  <si>
    <t xml:space="preserve">Opções das listas suspensas e a frase de cada fase processual.</t>
  </si>
  <si>
    <t xml:space="preserve">—</t>
  </si>
  <si>
    <t xml:space="preserve">Regras de uso</t>
  </si>
  <si>
    <t xml:space="preserve">Todo dado entra com um ID do Log (L001, L002...). É o que responde à pergunta “como você sabe disso?”.</t>
  </si>
  <si>
    <t xml:space="preserve">Empresa se cruza pelo CNPJ. Pessoa, pelo nome mais os seis dígitos do meio do CPF. Nunca só pelo nome (aula 4.6).</t>
  </si>
  <si>
    <t xml:space="preserve">CNPJ e CPF são texto. Cole ou digite como aparecem; as colunas “(auto)” tiram pontos, barras e traços.</t>
  </si>
  <si>
    <t xml:space="preserve">Vínculo não é culpa. Cada alerta vira uma pergunta para os documentos e para as pessoas envolvidas (aula 4.6).</t>
  </si>
  <si>
    <t xml:space="preserve">Fonte humana entra só por código (F1, F2). Nunca o nome verdadeiro (aula 2.2).</t>
  </si>
  <si>
    <t xml:space="preserve">As fórmulas vão até a linha indicada na tabela acima. Para mais linhas, copie a última linha da aba para baixo.</t>
  </si>
  <si>
    <t xml:space="preserve">A aula 4.6 mostra PROCX. Este arquivo usa ÍNDICE e CORRESP, que dão o mesmo resultado e funcionam em qualquer Excel, no LibreOffice e no Google Planilhas.</t>
  </si>
  <si>
    <t xml:space="preserve">As abas Socios e Sancoes não têm acento para que as fórmulas da aula 4.6 funcionem como mostradas.</t>
  </si>
  <si>
    <t xml:space="preserve">A aba Prazos LAI conta dias corridos a partir da data de hoje do computador. Depois da 1ª instância, segue os degraus do governo federal; em estados e municípios, confira a norma local.</t>
  </si>
  <si>
    <t xml:space="preserve">Guarde a planilha em disco criptografado e faça backup (aula 2.4). Ela concentra a sua apuração.</t>
  </si>
  <si>
    <t xml:space="preserve">Os exemplos contam uma história fictícia de ponta a ponta: siga o CNPJ da Alimentos Modelo pelas abas para ver os cruzamentos. Nomes, CNPJs, CPFs e processos não existem.</t>
  </si>
  <si>
    <t xml:space="preserve">Linha do tempo — os fatos da pauta em ordem</t>
  </si>
  <si>
    <t xml:space="preserve">Os fatos da pauta em ordem de data. Cada linha tem o documento que prova e o ID do Log. Ordene por data antes de escrever o roteiro (aulas 1.3 e 7.2).</t>
  </si>
  <si>
    <t xml:space="preserve">Azul: preencha · Cinza (auto): não edite · Itálico: exemplo fictício, exclua as linhas antes de usar · Fórmulas até a linha 504</t>
  </si>
  <si>
    <t xml:space="preserve">Data</t>
  </si>
  <si>
    <t xml:space="preserve">O que aconteceu</t>
  </si>
  <si>
    <t xml:space="preserve">Quem (pessoa ou empresa)</t>
  </si>
  <si>
    <t xml:space="preserve">Tipo</t>
  </si>
  <si>
    <t xml:space="preserve">Fato, indício ou versão?</t>
  </si>
  <si>
    <t xml:space="preserve">Documento que prova</t>
  </si>
  <si>
    <t xml:space="preserve">Fonte (ID do Log)</t>
  </si>
  <si>
    <t xml:space="preserve">Registro no Log (auto)</t>
  </si>
  <si>
    <t xml:space="preserve">Link</t>
  </si>
  <si>
    <t xml:space="preserve">Observações</t>
  </si>
  <si>
    <t xml:space="preserve">Fulano de Tal doa R$ 20 mil à campanha de Sicrano Candidato a vereador</t>
  </si>
  <si>
    <t xml:space="preserve">Fulano de Tal; Sicrano Candidato</t>
  </si>
  <si>
    <t xml:space="preserve">Campanha ou eleição</t>
  </si>
  <si>
    <t xml:space="preserve">Fato</t>
  </si>
  <si>
    <t xml:space="preserve">Prestação de contas da campanha de 2024</t>
  </si>
  <si>
    <t xml:space="preserve">L006</t>
  </si>
  <si>
    <t xml:space="preserve">EXEMPLO — exclua esta linha</t>
  </si>
  <si>
    <t xml:space="preserve">Fulano de Tal é nomeado assessor parlamentar no gabinete de Sicrano Candidato</t>
  </si>
  <si>
    <t xml:space="preserve">Fulano de Tal</t>
  </si>
  <si>
    <t xml:space="preserve">Nomeação ou exoneração</t>
  </si>
  <si>
    <t xml:space="preserve">Ato de nomeação no diário oficial da Câmara</t>
  </si>
  <si>
    <t xml:space="preserve">L002</t>
  </si>
  <si>
    <t xml:space="preserve">Alimentos Modelo Ltda é aberta, com Fulano de Tal como sócio-administrador</t>
  </si>
  <si>
    <t xml:space="preserve">Alimentos Modelo Ltda</t>
  </si>
  <si>
    <t xml:space="preserve">Empresa</t>
  </si>
  <si>
    <t xml:space="preserve">Cadastro CNPJ e quadro de sócios</t>
  </si>
  <si>
    <t xml:space="preserve">L001</t>
  </si>
  <si>
    <t xml:space="preserve">Segundo fonte em off (F1), a contratação foi acertada antes do processo</t>
  </si>
  <si>
    <t xml:space="preserve">Contrato ou aditivo</t>
  </si>
  <si>
    <t xml:space="preserve">Versão</t>
  </si>
  <si>
    <t xml:space="preserve">Nenhum ainda</t>
  </si>
  <si>
    <t xml:space="preserve">L011</t>
  </si>
  <si>
    <t xml:space="preserve">EXEMPLO — sem documento, é lenda: não vai ao ar sem confirmação independente</t>
  </si>
  <si>
    <t xml:space="preserve">Secretaria de Educação contrata a Alimentos Modelo por dispensa, por R$ 480 mil</t>
  </si>
  <si>
    <t xml:space="preserve">Extrato do contrato 045/2025</t>
  </si>
  <si>
    <t xml:space="preserve">L003</t>
  </si>
  <si>
    <t xml:space="preserve">Primeiro pagamento à Alimentos Modelo: R$ 120 mil</t>
  </si>
  <si>
    <t xml:space="preserve">Pagamento</t>
  </si>
  <si>
    <t xml:space="preserve">Ordem bancária 2025OB000456</t>
  </si>
  <si>
    <t xml:space="preserve">L004</t>
  </si>
  <si>
    <t xml:space="preserve">Justiça recebe ação de improbidade sobre a contratação</t>
  </si>
  <si>
    <t xml:space="preserve">Processo judicial</t>
  </si>
  <si>
    <t xml:space="preserve">Decisão de recebimento da ação</t>
  </si>
  <si>
    <t xml:space="preserve">L007</t>
  </si>
  <si>
    <t xml:space="preserve">Pedido de posicionamento enviado à empresa e ao gabinete do vereador</t>
  </si>
  <si>
    <t xml:space="preserve">Alimentos Modelo Ltda; Sicrano Candidato</t>
  </si>
  <si>
    <t xml:space="preserve">Outro</t>
  </si>
  <si>
    <t xml:space="preserve">E-mail com as perguntas</t>
  </si>
  <si>
    <t xml:space="preserve">L012</t>
  </si>
  <si>
    <t xml:space="preserve">Log — de onde veio cada dado e quando</t>
  </si>
  <si>
    <t xml:space="preserve">Cada documento, base, pedido, resposta e conversa ganha um ID que as outras abas citam (aulas 2.3, 3.2, 4.7 e 6.4).</t>
  </si>
  <si>
    <t xml:space="preserve">ID</t>
  </si>
  <si>
    <t xml:space="preserve">Data da coleta ou do envio</t>
  </si>
  <si>
    <t xml:space="preserve">Descrição</t>
  </si>
  <si>
    <t xml:space="preserve">Fonte ou órgão</t>
  </si>
  <si>
    <t xml:space="preserve">Link ou local do arquivo</t>
  </si>
  <si>
    <t xml:space="preserve">Protocolo</t>
  </si>
  <si>
    <t xml:space="preserve">Hash SHA-256</t>
  </si>
  <si>
    <t xml:space="preserve">Cópia arquivada</t>
  </si>
  <si>
    <t xml:space="preserve">Citado na Linha do tempo (auto)</t>
  </si>
  <si>
    <t xml:space="preserve">Alertas (auto)</t>
  </si>
  <si>
    <t xml:space="preserve">Base de dados</t>
  </si>
  <si>
    <t xml:space="preserve">Cadastro CNPJ e quadro de sócios da Alimentos Modelo e da Construtora Exemplo</t>
  </si>
  <si>
    <t xml:space="preserve">Receita Federal (consulta na Minha Receita)</t>
  </si>
  <si>
    <t xml:space="preserve">https://minhareceita.org</t>
  </si>
  <si>
    <t xml:space="preserve">Documento público baixado</t>
  </si>
  <si>
    <t xml:space="preserve">Ato de nomeação de Fulano de Tal (15/01/2025)</t>
  </si>
  <si>
    <t xml:space="preserve">Diário oficial da Câmara de Cidade Exemplo</t>
  </si>
  <si>
    <t xml:space="preserve">c19b6ce980056cc0d73c99ab3fa2b6261082cf9dba9b9490ca3e396f442e0559</t>
  </si>
  <si>
    <t xml:space="preserve">Extrato do contrato 045/2025 (dispensa)</t>
  </si>
  <si>
    <t xml:space="preserve">PNCP</t>
  </si>
  <si>
    <t xml:space="preserve">https://pncp.gov.br</t>
  </si>
  <si>
    <t xml:space="preserve">5cd5f85828d075a0c8cf72fa46e1878c4fb8525524435612d2d7329fff965a9b</t>
  </si>
  <si>
    <t xml:space="preserve">Empenhos e pagamentos à Alimentos Modelo (2025)</t>
  </si>
  <si>
    <t xml:space="preserve">Portal da transparência de Cidade Exemplo</t>
  </si>
  <si>
    <t xml:space="preserve">L005</t>
  </si>
  <si>
    <t xml:space="preserve">Registro da Construtora Exemplo no CEIS</t>
  </si>
  <si>
    <t xml:space="preserve">Portal da Transparência (CGU)</t>
  </si>
  <si>
    <t xml:space="preserve">https://portaldatransparencia.gov.br</t>
  </si>
  <si>
    <t xml:space="preserve">Bens e doações de Sicrano Candidato (2024 e 2026)</t>
  </si>
  <si>
    <t xml:space="preserve">TSE — DivulgaCandContas</t>
  </si>
  <si>
    <t xml:space="preserve">https://divulgacandcontas.tse.jus.br</t>
  </si>
  <si>
    <t xml:space="preserve">Decisão que recebeu a ação de improbidade</t>
  </si>
  <si>
    <t xml:space="preserve">Tribunal de Justiça — consulta processual</t>
  </si>
  <si>
    <t xml:space="preserve">5963842c463d00cdbfaf76696cfbceb874381357ae49749c1ceef52232878fdb</t>
  </si>
  <si>
    <t xml:space="preserve">L008</t>
  </si>
  <si>
    <t xml:space="preserve">Pedido LAI</t>
  </si>
  <si>
    <t xml:space="preserve">Repasses do PNAE a Cidade Exemplo em 2025, por mês</t>
  </si>
  <si>
    <t xml:space="preserve">FNDE (Fala.BR)</t>
  </si>
  <si>
    <t xml:space="preserve">99999.000001/2026-00</t>
  </si>
  <si>
    <t xml:space="preserve">L009</t>
  </si>
  <si>
    <t xml:space="preserve">Processo completo da dispensa 045/2025</t>
  </si>
  <si>
    <t xml:space="preserve">Prefeitura de Cidade Exemplo (SIC)</t>
  </si>
  <si>
    <t xml:space="preserve">99999.000002/2026-00</t>
  </si>
  <si>
    <t xml:space="preserve">L010</t>
  </si>
  <si>
    <t xml:space="preserve">Resposta de órgão</t>
  </si>
  <si>
    <t xml:space="preserve">Resposta parcial ao pedido 99999.000002/2026-00: veio o contrato, faltou a pesquisa de preços</t>
  </si>
  <si>
    <t xml:space="preserve">ab8e8070b0b33bbcddb1b00b5df2a01160a39da24e9f85d34f8bba5937fa01ff</t>
  </si>
  <si>
    <t xml:space="preserve">Entrevista ou conversa</t>
  </si>
  <si>
    <t xml:space="preserve">Conversa em off sobre a dispensa 045/2025</t>
  </si>
  <si>
    <t xml:space="preserve">F1 (código da fonte)</t>
  </si>
  <si>
    <t xml:space="preserve">Anotações em arquivo criptografado</t>
  </si>
  <si>
    <t xml:space="preserve">Pedido de posicionamento</t>
  </si>
  <si>
    <t xml:space="preserve">Perguntas enviadas à Alimentos Modelo e ao gabinete do vereador, com prazo até 29/09</t>
  </si>
  <si>
    <t xml:space="preserve">E-mail às assessorias</t>
  </si>
  <si>
    <t xml:space="preserve">L013</t>
  </si>
  <si>
    <t xml:space="preserve">Extrato do contrato 012/2023 (Obras)</t>
  </si>
  <si>
    <t xml:space="preserve">Diário oficial de Cidade Exemplo</t>
  </si>
  <si>
    <t xml:space="preserve">afccafaec3c77cc79bdcf0ebe4006d192b760b7e0b1d3caef8594d338656f7c7</t>
  </si>
  <si>
    <t xml:space="preserve">Prazos LAI — o calendário de cada pedido</t>
  </si>
  <si>
    <t xml:space="preserve">Um pedido por linha. Atualize a linha a cada resposta ou recurso; a planilha calcula a próxima data em dias corridos. Depois da 1ª instância, segue os degraus federais: em estados e municípios, confira a norma local (aula 3.3).</t>
  </si>
  <si>
    <t xml:space="preserve">Azul: preencha · Cinza (auto): não edite · Itálico: exemplo fictício, exclua as linhas antes de usar · Fórmulas até a linha 104</t>
  </si>
  <si>
    <t xml:space="preserve">Órgão</t>
  </si>
  <si>
    <t xml:space="preserve">Esfera</t>
  </si>
  <si>
    <t xml:space="preserve">O que foi pedido</t>
  </si>
  <si>
    <t xml:space="preserve">Data do pedido</t>
  </si>
  <si>
    <t xml:space="preserve">Prorrogado?</t>
  </si>
  <si>
    <t xml:space="preserve">Prazo de resposta (auto)</t>
  </si>
  <si>
    <t xml:space="preserve">Data da última resposta</t>
  </si>
  <si>
    <t xml:space="preserve">Resultado da última resposta</t>
  </si>
  <si>
    <t xml:space="preserve">Instância atual</t>
  </si>
  <si>
    <t xml:space="preserve">Data do último recurso ou reclamação</t>
  </si>
  <si>
    <t xml:space="preserve">Próxima data (auto)</t>
  </si>
  <si>
    <t xml:space="preserve">Dias até a próxima data (auto)</t>
  </si>
  <si>
    <t xml:space="preserve">Próxima ação (auto)</t>
  </si>
  <si>
    <t xml:space="preserve">FNDE</t>
  </si>
  <si>
    <t xml:space="preserve">Federal</t>
  </si>
  <si>
    <t xml:space="preserve">Não</t>
  </si>
  <si>
    <t xml:space="preserve">Prefeitura de Cidade Exemplo</t>
  </si>
  <si>
    <t xml:space="preserve">Municipal</t>
  </si>
  <si>
    <t xml:space="preserve">Sim</t>
  </si>
  <si>
    <t xml:space="preserve">Atendido em parte</t>
  </si>
  <si>
    <t xml:space="preserve">Pedido</t>
  </si>
  <si>
    <t xml:space="preserve">EXEMPLO — faltou a pesquisa de preços (L010)</t>
  </si>
  <si>
    <t xml:space="preserve">Pessoas — agentes públicos e pessoas ligadas à pauta</t>
  </si>
  <si>
    <t xml:space="preserve">A chave (nome normalizado + 6 dígitos do meio do CPF) cruza esta aba com Socios e Eleitoral. Nome sozinho não identifica ninguém (aula 4.6).</t>
  </si>
  <si>
    <t xml:space="preserve">Azul: preencha · Cinza (auto): não edite · Itálico: exemplo fictício, exclua as linhas antes de usar · Fórmulas até a linha 304</t>
  </si>
  <si>
    <t xml:space="preserve">Nome</t>
  </si>
  <si>
    <t xml:space="preserve">CPF (dígitos visíveis)</t>
  </si>
  <si>
    <t xml:space="preserve">Nome normalizado (auto)</t>
  </si>
  <si>
    <t xml:space="preserve">CPF, 6 dígitos (auto)</t>
  </si>
  <si>
    <t xml:space="preserve">Chave (auto)</t>
  </si>
  <si>
    <t xml:space="preserve">Cargo ou função</t>
  </si>
  <si>
    <t xml:space="preserve">Nomeação ou posse</t>
  </si>
  <si>
    <t xml:space="preserve">Partido</t>
  </si>
  <si>
    <t xml:space="preserve">Vínculo com a pauta</t>
  </si>
  <si>
    <t xml:space="preserve">Sócio de empresas (auto)</t>
  </si>
  <si>
    <t xml:space="preserve">Doações a campanhas (auto)</t>
  </si>
  <si>
    <t xml:space="preserve">***123456**</t>
  </si>
  <si>
    <t xml:space="preserve">Assessor parlamentar</t>
  </si>
  <si>
    <t xml:space="preserve">Câmara Municipal de Cidade Exemplo</t>
  </si>
  <si>
    <t xml:space="preserve">Nomeado para o gabinete do vereador Sicrano Candidato</t>
  </si>
  <si>
    <t xml:space="preserve">Sicrano Candidato</t>
  </si>
  <si>
    <t xml:space="preserve">Vereador</t>
  </si>
  <si>
    <t xml:space="preserve">Partido Exemplo</t>
  </si>
  <si>
    <t xml:space="preserve">Vereador; candidato a deputado estadual em 2026</t>
  </si>
  <si>
    <t xml:space="preserve">EXEMPLO — sem CPF, não é cruzado</t>
  </si>
  <si>
    <t xml:space="preserve">Empresas — uma linha por CNPJ</t>
  </si>
  <si>
    <t xml:space="preserve">As colunas cinza resumem o que as outras abas encontraram sobre cada empresa (aulas 4.3 e 4.6).</t>
  </si>
  <si>
    <t xml:space="preserve">CNPJ</t>
  </si>
  <si>
    <t xml:space="preserve">CNPJ limpo (auto)</t>
  </si>
  <si>
    <t xml:space="preserve">Razão social</t>
  </si>
  <si>
    <t xml:space="preserve">Nome fantasia</t>
  </si>
  <si>
    <t xml:space="preserve">Data de abertura</t>
  </si>
  <si>
    <t xml:space="preserve">Situação cadastral</t>
  </si>
  <si>
    <t xml:space="preserve">CNAE principal</t>
  </si>
  <si>
    <t xml:space="preserve">Capital social (R$)</t>
  </si>
  <si>
    <t xml:space="preserve">Endereço</t>
  </si>
  <si>
    <t xml:space="preserve">Município/UF</t>
  </si>
  <si>
    <t xml:space="preserve">Contratos (auto)</t>
  </si>
  <si>
    <t xml:space="preserve">Valor contratado (R$) (auto)</t>
  </si>
  <si>
    <t xml:space="preserve">Empenhado (R$) (auto)</t>
  </si>
  <si>
    <t xml:space="preserve">Pago (R$) (auto)</t>
  </si>
  <si>
    <t xml:space="preserve">Capital ÷ contratado (auto)</t>
  </si>
  <si>
    <t xml:space="preserve">Sanções registradas (auto)</t>
  </si>
  <si>
    <t xml:space="preserve">Sócios (auto)</t>
  </si>
  <si>
    <t xml:space="preserve">Sócios que estão em Pessoas (auto)</t>
  </si>
  <si>
    <t xml:space="preserve">11.222.333/0001-86</t>
  </si>
  <si>
    <t xml:space="preserve">ALIMENTOS MODELO LTDA</t>
  </si>
  <si>
    <t xml:space="preserve">Modelo Alimentos</t>
  </si>
  <si>
    <t xml:space="preserve">Ativa</t>
  </si>
  <si>
    <t xml:space="preserve">5620-1/01 Fornecimento de alimentos preparados</t>
  </si>
  <si>
    <t xml:space="preserve">Rua Exemplo, 100, sala 2</t>
  </si>
  <si>
    <t xml:space="preserve">Cidade Exemplo/UF</t>
  </si>
  <si>
    <t xml:space="preserve">EXEMPLO — CNPJ fictício; exclua esta linha</t>
  </si>
  <si>
    <t xml:space="preserve">44.555.666/0001-86</t>
  </si>
  <si>
    <t xml:space="preserve">CONSTRUTORA EXEMPLO LTDA</t>
  </si>
  <si>
    <t xml:space="preserve">Construtora Exemplo</t>
  </si>
  <si>
    <t xml:space="preserve">4120-4/00 Construção de edifícios</t>
  </si>
  <si>
    <t xml:space="preserve">Avenida Modelo, 500</t>
  </si>
  <si>
    <t xml:space="preserve">Sócios — quadro de sócios e administradores</t>
  </si>
  <si>
    <t xml:space="preserve">Da Receita (dados abertos do CNPJ) ou da junta comercial, que mostra entradas e saídas (aula 4.3).</t>
  </si>
  <si>
    <t xml:space="preserve">Azul: preencha · Cinza (auto): não edite · Itálico: exemplo fictício, exclua as linhas antes de usar · Fórmulas até a linha 1004</t>
  </si>
  <si>
    <t xml:space="preserve">CNPJ da empresa</t>
  </si>
  <si>
    <t xml:space="preserve">Empresa (auto)</t>
  </si>
  <si>
    <t xml:space="preserve">Nome do sócio</t>
  </si>
  <si>
    <t xml:space="preserve">Qualificação</t>
  </si>
  <si>
    <t xml:space="preserve">Entrada na sociedade</t>
  </si>
  <si>
    <t xml:space="preserve">Saída da sociedade</t>
  </si>
  <si>
    <t xml:space="preserve">Está em Pessoas? (auto)</t>
  </si>
  <si>
    <t xml:space="preserve">Sócio-administrador</t>
  </si>
  <si>
    <t xml:space="preserve">Maria Exemplo</t>
  </si>
  <si>
    <t xml:space="preserve">***654321**</t>
  </si>
  <si>
    <t xml:space="preserve">Sócia-administradora</t>
  </si>
  <si>
    <t xml:space="preserve">Contratos — um contrato por linha</t>
  </si>
  <si>
    <t xml:space="preserve">Aditivos somados em uma coluna. Cada alerta é uma pergunta, não uma conclusão (aulas 4.2 e 4.6).</t>
  </si>
  <si>
    <t xml:space="preserve">Órgão contratante</t>
  </si>
  <si>
    <t xml:space="preserve">Nº do contrato</t>
  </si>
  <si>
    <t xml:space="preserve">CNPJ do fornecedor</t>
  </si>
  <si>
    <t xml:space="preserve">Fornecedor (auto)</t>
  </si>
  <si>
    <t xml:space="preserve">Objeto</t>
  </si>
  <si>
    <t xml:space="preserve">Modalidade</t>
  </si>
  <si>
    <t xml:space="preserve">Data de assinatura</t>
  </si>
  <si>
    <t xml:space="preserve">Valor inicial (R$)</t>
  </si>
  <si>
    <t xml:space="preserve">Aditivos (R$)</t>
  </si>
  <si>
    <t xml:space="preserve">Valor total (R$) (auto)</t>
  </si>
  <si>
    <t xml:space="preserve">Acréscimo (auto)</t>
  </si>
  <si>
    <t xml:space="preserve">Alerta de aditivo (auto)</t>
  </si>
  <si>
    <t xml:space="preserve">Abertura da empresa (auto)</t>
  </si>
  <si>
    <t xml:space="preserve">Dias de empresa na assinatura (auto)</t>
  </si>
  <si>
    <t xml:space="preserve">Alerta de abertura (auto)</t>
  </si>
  <si>
    <t xml:space="preserve">Sanção no cadastro (auto)</t>
  </si>
  <si>
    <t xml:space="preserve">Sanção vigente na data (auto)</t>
  </si>
  <si>
    <t xml:space="preserve">Secretaria Municipal de Educação de Cidade Exemplo</t>
  </si>
  <si>
    <t xml:space="preserve">045/2025</t>
  </si>
  <si>
    <t xml:space="preserve">Fornecimento de merenda escolar</t>
  </si>
  <si>
    <t xml:space="preserve">Dispensa</t>
  </si>
  <si>
    <t xml:space="preserve">Secretaria Municipal de Obras de Cidade Exemplo</t>
  </si>
  <si>
    <t xml:space="preserve">012/2023</t>
  </si>
  <si>
    <t xml:space="preserve">Reforma de escola municipal</t>
  </si>
  <si>
    <t xml:space="preserve">Concorrência</t>
  </si>
  <si>
    <t xml:space="preserve">EXEMPLO — a sanção é de outra cidade e só vale lá: leia a abrangência antes de concluir</t>
  </si>
  <si>
    <t xml:space="preserve">Pagamentos — empenhos, liquidações e pagamentos</t>
  </si>
  <si>
    <t xml:space="preserve">Uma linha por documento. Empenho reserva o dinheiro; pagamento é o dinheiro que saiu. Não some os dois (aula 4.2).</t>
  </si>
  <si>
    <t xml:space="preserve">Azul: preencha · Cinza (auto): não edite · Itálico: exemplo fictício, exclua as linhas antes de usar · Fórmulas até a linha 2004</t>
  </si>
  <si>
    <t xml:space="preserve">Órgão pagador</t>
  </si>
  <si>
    <t xml:space="preserve">CNPJ do favorecido</t>
  </si>
  <si>
    <t xml:space="preserve">Favorecido (auto)</t>
  </si>
  <si>
    <t xml:space="preserve">Fase</t>
  </si>
  <si>
    <t xml:space="preserve">Valor (R$)</t>
  </si>
  <si>
    <t xml:space="preserve">Nº do documento</t>
  </si>
  <si>
    <t xml:space="preserve">Programa ou ação</t>
  </si>
  <si>
    <t xml:space="preserve">Ano (auto)</t>
  </si>
  <si>
    <t xml:space="preserve">Empenho</t>
  </si>
  <si>
    <t xml:space="preserve">2025NE000123</t>
  </si>
  <si>
    <t xml:space="preserve">Alimentação escolar</t>
  </si>
  <si>
    <t xml:space="preserve">2025OB000456</t>
  </si>
  <si>
    <t xml:space="preserve">2025OB000789</t>
  </si>
  <si>
    <t xml:space="preserve">Sanções — cadastros de empresas punidas</t>
  </si>
  <si>
    <t xml:space="preserve">CEIS, CNEP, CEPIM e outros cadastros. Anote início, fim e abrangência de cada sanção (aula 4.2).</t>
  </si>
  <si>
    <t xml:space="preserve">Nome no cadastro</t>
  </si>
  <si>
    <t xml:space="preserve">Cadastro</t>
  </si>
  <si>
    <t xml:space="preserve">Tipo de sanção</t>
  </si>
  <si>
    <t xml:space="preserve">Órgão que puniu</t>
  </si>
  <si>
    <t xml:space="preserve">Início</t>
  </si>
  <si>
    <t xml:space="preserve">Fim</t>
  </si>
  <si>
    <t xml:space="preserve">Abrangência</t>
  </si>
  <si>
    <t xml:space="preserve">CEIS</t>
  </si>
  <si>
    <t xml:space="preserve">Impedimento de licitar e contratar</t>
  </si>
  <si>
    <t xml:space="preserve">Prefeitura de Outra Cidade</t>
  </si>
  <si>
    <t xml:space="preserve">Só no ente que puniu</t>
  </si>
  <si>
    <t xml:space="preserve">Eleitoral — bens, doações e fornecedores de campanha</t>
  </si>
  <si>
    <t xml:space="preserve">Uma linha por registro do TSE (DivulgaCandContas ou dados abertos). À direita, compare os bens de duas eleições (aula 4.4).</t>
  </si>
  <si>
    <t xml:space="preserve">Candidato</t>
  </si>
  <si>
    <t xml:space="preserve">Eleição (ano)</t>
  </si>
  <si>
    <t xml:space="preserve">Cargo disputado</t>
  </si>
  <si>
    <t xml:space="preserve">Tipo de registro</t>
  </si>
  <si>
    <t xml:space="preserve">Doador ou fornecedor</t>
  </si>
  <si>
    <t xml:space="preserve">CPF ou CNPJ</t>
  </si>
  <si>
    <t xml:space="preserve">Documento limpo (auto)</t>
  </si>
  <si>
    <t xml:space="preserve">Chave de cruzamento (auto)</t>
  </si>
  <si>
    <t xml:space="preserve">Cruzamento (auto)</t>
  </si>
  <si>
    <t xml:space="preserve">Comparar bens entre duas eleições</t>
  </si>
  <si>
    <t xml:space="preserve">Bem declarado</t>
  </si>
  <si>
    <t xml:space="preserve">Casa em Cidade Exemplo</t>
  </si>
  <si>
    <t xml:space="preserve">Deputado estadual</t>
  </si>
  <si>
    <t xml:space="preserve">Eleição A</t>
  </si>
  <si>
    <t xml:space="preserve">Fazenda em Outra Cidade</t>
  </si>
  <si>
    <t xml:space="preserve">Eleição B</t>
  </si>
  <si>
    <t xml:space="preserve">Doação recebida</t>
  </si>
  <si>
    <t xml:space="preserve">Doação em dinheiro</t>
  </si>
  <si>
    <t xml:space="preserve">Bens declarados na eleição A (auto)</t>
  </si>
  <si>
    <t xml:space="preserve">Bens declarados na eleição B (auto)</t>
  </si>
  <si>
    <t xml:space="preserve">Variação (auto)</t>
  </si>
  <si>
    <t xml:space="preserve">Valor declarado pelo candidato, em geral o de compra. Não é valor de mercado e não prova nada sozinho (aula 4.4).</t>
  </si>
  <si>
    <t xml:space="preserve">Processos — a fase exata de cada processo</t>
  </si>
  <si>
    <t xml:space="preserve">Um processo por linha. A coluna cinza dá a frase certa para o roteiro; adapte o gênero e complete os colchetes (aulas 4.5 e 5.2).</t>
  </si>
  <si>
    <t xml:space="preserve">Azul: preencha · Cinza (auto): não edite · Itálico: exemplo fictício, exclua as linhas antes de usar · Fórmulas até a linha 204</t>
  </si>
  <si>
    <t xml:space="preserve">Nº do processo</t>
  </si>
  <si>
    <t xml:space="preserve">Tribunal</t>
  </si>
  <si>
    <t xml:space="preserve">Classe</t>
  </si>
  <si>
    <t xml:space="preserve">Assunto</t>
  </si>
  <si>
    <t xml:space="preserve">Parte ligada à pauta</t>
  </si>
  <si>
    <t xml:space="preserve">Como escrever (auto)</t>
  </si>
  <si>
    <t xml:space="preserve">Última decisão relevante</t>
  </si>
  <si>
    <t xml:space="preserve">O que a decisão diz</t>
  </si>
  <si>
    <t xml:space="preserve">0000001-00.2026.8.99.0001</t>
  </si>
  <si>
    <t xml:space="preserve">Tribunal de Justiça</t>
  </si>
  <si>
    <t xml:space="preserve">Ação civil de improbidade administrativa</t>
  </si>
  <si>
    <t xml:space="preserve">Contratação direta de merenda escolar</t>
  </si>
  <si>
    <t xml:space="preserve">Réu em ação de improbidade (cível)</t>
  </si>
  <si>
    <t xml:space="preserve">Recebida a petição inicial; réus citados para contestar</t>
  </si>
  <si>
    <t xml:space="preserve">EXEMPLO — número fictício; exclua esta linha</t>
  </si>
  <si>
    <t xml:space="preserve">Listas — opções das listas suspensas</t>
  </si>
  <si>
    <t xml:space="preserve">Pode acrescentar opções no fim de uma coluna, mas amplie o intervalo em Dados &gt; Validação de dados. Não mude as opções usadas pelas fórmulas: Sim, Atendido, Atendido em parte, Negado, CMRI, Empenho, Pagamento, Bem declarado, Doação recebida, Despesa com fornecedor.</t>
  </si>
  <si>
    <t xml:space="preserve">Tipo de registro (Log)</t>
  </si>
  <si>
    <t xml:space="preserve">Tipo de evento (Linha do tempo)</t>
  </si>
  <si>
    <t xml:space="preserve">Fato, indício ou versão</t>
  </si>
  <si>
    <t xml:space="preserve">Resultado (LAI)</t>
  </si>
  <si>
    <t xml:space="preserve">Instância</t>
  </si>
  <si>
    <t xml:space="preserve">Fase do gasto</t>
  </si>
  <si>
    <t xml:space="preserve">Cadastro de sanção</t>
  </si>
  <si>
    <t xml:space="preserve">Abrangência da sanção</t>
  </si>
  <si>
    <t xml:space="preserve">Tipo de registro (Eleitoral)</t>
  </si>
  <si>
    <t xml:space="preserve">Fase processual</t>
  </si>
  <si>
    <t xml:space="preserve">Como escrever (aula 5.2)</t>
  </si>
  <si>
    <t xml:space="preserve">Documento recebido</t>
  </si>
  <si>
    <t xml:space="preserve">Atendido</t>
  </si>
  <si>
    <t xml:space="preserve">Pregão</t>
  </si>
  <si>
    <t xml:space="preserve">Investigação (inquérito ou procedimento)</t>
  </si>
  <si>
    <t xml:space="preserve">é investigado em [inquérito ou procedimento] no [órgão]</t>
  </si>
  <si>
    <t xml:space="preserve">Indício</t>
  </si>
  <si>
    <t xml:space="preserve">Estadual</t>
  </si>
  <si>
    <t xml:space="preserve">1ª instância</t>
  </si>
  <si>
    <t xml:space="preserve">Liquidação</t>
  </si>
  <si>
    <t xml:space="preserve">CNEP</t>
  </si>
  <si>
    <t xml:space="preserve">Todos os entes</t>
  </si>
  <si>
    <t xml:space="preserve">Indiciado</t>
  </si>
  <si>
    <t xml:space="preserve">foi indiciado pela [Polícia Civil ou Federal] em [data]</t>
  </si>
  <si>
    <t xml:space="preserve">Negado</t>
  </si>
  <si>
    <t xml:space="preserve">2ª instância</t>
  </si>
  <si>
    <t xml:space="preserve">Concurso</t>
  </si>
  <si>
    <t xml:space="preserve">CEPIM</t>
  </si>
  <si>
    <t xml:space="preserve">Não informada</t>
  </si>
  <si>
    <t xml:space="preserve">Despesa com fornecedor</t>
  </si>
  <si>
    <t xml:space="preserve">Denunciado (denúncia ainda não recebida)</t>
  </si>
  <si>
    <t xml:space="preserve">foi denunciado pelo Ministério Público por [crime]</t>
  </si>
  <si>
    <t xml:space="preserve">CGU</t>
  </si>
  <si>
    <t xml:space="preserve">Leilão</t>
  </si>
  <si>
    <t xml:space="preserve">Réu em ação penal (denúncia recebida)</t>
  </si>
  <si>
    <t xml:space="preserve">é réu em ação penal por [crime]</t>
  </si>
  <si>
    <t xml:space="preserve">CMRI</t>
  </si>
  <si>
    <t xml:space="preserve">Diálogo competitivo</t>
  </si>
  <si>
    <t xml:space="preserve">Condenado em 1ª instância</t>
  </si>
  <si>
    <t xml:space="preserve">foi condenado em primeira instância e pode recorrer</t>
  </si>
  <si>
    <t xml:space="preserve">Recurso ou reclamação LAI</t>
  </si>
  <si>
    <t xml:space="preserve">Reclamação</t>
  </si>
  <si>
    <t xml:space="preserve">Condenado em 2ª instância</t>
  </si>
  <si>
    <t xml:space="preserve">foi condenado em segunda instância e ainda pode recorrer</t>
  </si>
  <si>
    <t xml:space="preserve">Sanção</t>
  </si>
  <si>
    <t xml:space="preserve">Inexigibilidade</t>
  </si>
  <si>
    <t xml:space="preserve">Condenação definitiva (trânsito em julgado)</t>
  </si>
  <si>
    <t xml:space="preserve">foi condenado em decisão definitiva, da qual não cabe mais recurso</t>
  </si>
  <si>
    <t xml:space="preserve">Resposta do citado</t>
  </si>
  <si>
    <t xml:space="preserve">Adesão a ata</t>
  </si>
  <si>
    <t xml:space="preserve">Absolvido</t>
  </si>
  <si>
    <t xml:space="preserve">foi absolvido [em primeira instância ou em decisão definitiva]</t>
  </si>
  <si>
    <t xml:space="preserve">Página arquivada</t>
  </si>
  <si>
    <t xml:space="preserve">Publicação</t>
  </si>
  <si>
    <t xml:space="preserve">Tomada de preços (lei antiga)</t>
  </si>
  <si>
    <t xml:space="preserve">Arquivado</t>
  </si>
  <si>
    <t xml:space="preserve">a investigação foi arquivada</t>
  </si>
  <si>
    <t xml:space="preserve">Convite (lei antiga)</t>
  </si>
  <si>
    <t xml:space="preserve">Acordo de não persecução penal</t>
  </si>
  <si>
    <t xml:space="preserve">fez acordo com o Ministério Público, no qual admitiu os fatos, para não ser processado</t>
  </si>
  <si>
    <t xml:space="preserve">Outra</t>
  </si>
  <si>
    <t xml:space="preserve">é réu em ação de improbidade administrativa, que é cível, não criminal</t>
  </si>
  <si>
    <t xml:space="preserve">Réu em outra ação cível</t>
  </si>
  <si>
    <t xml:space="preserve">é réu em ação cível, não criminal</t>
  </si>
  <si>
    <t xml:space="preserve">Prisão preventiva ou temporária</t>
  </si>
  <si>
    <t xml:space="preserve">está preso [preventiva ou temporariamente], o que não é condenação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</si>
</sst>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0"/>
    <numFmt numFmtId="168" formatCode="&quot;R$ &quot;#,##0.00"/>
    <numFmt numFmtId="169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1F1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F1F1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sz val="10"/>
      <color rgb="FF404040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7F7F7F"/>
        <bgColor rgb="FF969696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4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14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1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C65911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C65911"/>
      <rgbColor rgb="FF595959"/>
      <rgbColor rgb="FF969696"/>
      <rgbColor rgb="FF003366"/>
      <rgbColor rgb="FF339966"/>
      <rgbColor rgb="FF003300"/>
      <rgbColor rgb="FF1F1F1F"/>
      <rgbColor rgb="FF9C57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2"/>
    <col collapsed="false" customWidth="true" hidden="false" outlineLevel="0" max="3" min="3" style="0" width="16"/>
    <col collapsed="false" customWidth="true" hidden="false" outlineLevel="0" max="4" min="4" style="0" width="1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6" t="s">
        <v>5</v>
      </c>
      <c r="B6" s="5" t="s">
        <v>6</v>
      </c>
    </row>
    <row r="7" customFormat="false" ht="15" hidden="false" customHeight="false" outlineLevel="0" collapsed="false">
      <c r="A7" s="7" t="s">
        <v>7</v>
      </c>
      <c r="B7" s="5" t="s">
        <v>8</v>
      </c>
    </row>
    <row r="8" customFormat="false" ht="15" hidden="false" customHeight="false" outlineLevel="0" collapsed="false">
      <c r="A8" s="8" t="s">
        <v>9</v>
      </c>
      <c r="B8" s="5" t="s">
        <v>10</v>
      </c>
    </row>
    <row r="10" customFormat="false" ht="15" hidden="false" customHeight="false" outlineLevel="0" collapsed="false">
      <c r="A10" s="3" t="s">
        <v>11</v>
      </c>
    </row>
    <row r="11" customFormat="false" ht="23.85" hidden="false" customHeight="false" outlineLevel="0" collapsed="false">
      <c r="A11" s="9" t="s">
        <v>12</v>
      </c>
      <c r="B11" s="9" t="s">
        <v>13</v>
      </c>
      <c r="C11" s="9" t="s">
        <v>14</v>
      </c>
      <c r="D11" s="9" t="s">
        <v>15</v>
      </c>
    </row>
    <row r="12" customFormat="false" ht="15" hidden="false" customHeight="false" outlineLevel="0" collapsed="false">
      <c r="A12" s="10" t="s">
        <v>16</v>
      </c>
      <c r="B12" s="11" t="s">
        <v>17</v>
      </c>
      <c r="C12" s="5" t="s">
        <v>18</v>
      </c>
      <c r="D12" s="12" t="n">
        <v>504</v>
      </c>
    </row>
    <row r="13" customFormat="false" ht="15" hidden="false" customHeight="false" outlineLevel="0" collapsed="false">
      <c r="A13" s="10" t="s">
        <v>19</v>
      </c>
      <c r="B13" s="11" t="s">
        <v>20</v>
      </c>
      <c r="C13" s="5" t="s">
        <v>21</v>
      </c>
      <c r="D13" s="12" t="n">
        <v>504</v>
      </c>
    </row>
    <row r="14" customFormat="false" ht="15" hidden="false" customHeight="false" outlineLevel="0" collapsed="false">
      <c r="A14" s="10" t="s">
        <v>22</v>
      </c>
      <c r="B14" s="11" t="s">
        <v>23</v>
      </c>
      <c r="C14" s="5" t="s">
        <v>24</v>
      </c>
      <c r="D14" s="12" t="n">
        <v>104</v>
      </c>
    </row>
    <row r="15" customFormat="false" ht="15" hidden="false" customHeight="false" outlineLevel="0" collapsed="false">
      <c r="A15" s="10" t="s">
        <v>25</v>
      </c>
      <c r="B15" s="11" t="s">
        <v>26</v>
      </c>
      <c r="C15" s="5" t="s">
        <v>27</v>
      </c>
      <c r="D15" s="12" t="n">
        <v>304</v>
      </c>
    </row>
    <row r="16" customFormat="false" ht="15" hidden="false" customHeight="false" outlineLevel="0" collapsed="false">
      <c r="A16" s="10" t="s">
        <v>28</v>
      </c>
      <c r="B16" s="11" t="s">
        <v>29</v>
      </c>
      <c r="C16" s="5" t="s">
        <v>30</v>
      </c>
      <c r="D16" s="12" t="n">
        <v>504</v>
      </c>
    </row>
    <row r="17" customFormat="false" ht="15" hidden="false" customHeight="false" outlineLevel="0" collapsed="false">
      <c r="A17" s="10" t="s">
        <v>31</v>
      </c>
      <c r="B17" s="11" t="s">
        <v>32</v>
      </c>
      <c r="C17" s="5" t="s">
        <v>30</v>
      </c>
      <c r="D17" s="12" t="n">
        <v>1004</v>
      </c>
    </row>
    <row r="18" customFormat="false" ht="15" hidden="false" customHeight="false" outlineLevel="0" collapsed="false">
      <c r="A18" s="10" t="s">
        <v>33</v>
      </c>
      <c r="B18" s="11" t="s">
        <v>34</v>
      </c>
      <c r="C18" s="5" t="s">
        <v>35</v>
      </c>
      <c r="D18" s="12" t="n">
        <v>1004</v>
      </c>
    </row>
    <row r="19" customFormat="false" ht="15" hidden="false" customHeight="false" outlineLevel="0" collapsed="false">
      <c r="A19" s="10" t="s">
        <v>36</v>
      </c>
      <c r="B19" s="11" t="s">
        <v>37</v>
      </c>
      <c r="C19" s="5" t="s">
        <v>35</v>
      </c>
      <c r="D19" s="12" t="n">
        <v>2004</v>
      </c>
    </row>
    <row r="20" customFormat="false" ht="15" hidden="false" customHeight="false" outlineLevel="0" collapsed="false">
      <c r="A20" s="10" t="s">
        <v>38</v>
      </c>
      <c r="B20" s="11" t="s">
        <v>39</v>
      </c>
      <c r="C20" s="5" t="s">
        <v>40</v>
      </c>
      <c r="D20" s="12" t="n">
        <v>304</v>
      </c>
    </row>
    <row r="21" customFormat="false" ht="15" hidden="false" customHeight="false" outlineLevel="0" collapsed="false">
      <c r="A21" s="10" t="s">
        <v>41</v>
      </c>
      <c r="B21" s="11" t="s">
        <v>42</v>
      </c>
      <c r="C21" s="5" t="s">
        <v>43</v>
      </c>
      <c r="D21" s="12" t="n">
        <v>504</v>
      </c>
    </row>
    <row r="22" customFormat="false" ht="15" hidden="false" customHeight="false" outlineLevel="0" collapsed="false">
      <c r="A22" s="10" t="s">
        <v>44</v>
      </c>
      <c r="B22" s="11" t="s">
        <v>45</v>
      </c>
      <c r="C22" s="5" t="s">
        <v>46</v>
      </c>
      <c r="D22" s="12" t="n">
        <v>204</v>
      </c>
    </row>
    <row r="23" customFormat="false" ht="15" hidden="false" customHeight="false" outlineLevel="0" collapsed="false">
      <c r="A23" s="10" t="s">
        <v>47</v>
      </c>
      <c r="B23" s="11" t="s">
        <v>48</v>
      </c>
      <c r="C23" s="5" t="s">
        <v>49</v>
      </c>
      <c r="D23" s="12" t="s">
        <v>49</v>
      </c>
    </row>
    <row r="25" customFormat="false" ht="15" hidden="false" customHeight="false" outlineLevel="0" collapsed="false">
      <c r="A25" s="3" t="s">
        <v>50</v>
      </c>
    </row>
    <row r="26" customFormat="false" ht="15" hidden="false" customHeight="false" outlineLevel="0" collapsed="false">
      <c r="A26" s="13" t="n">
        <v>1</v>
      </c>
      <c r="B26" s="11" t="s">
        <v>51</v>
      </c>
    </row>
    <row r="27" customFormat="false" ht="23.85" hidden="false" customHeight="false" outlineLevel="0" collapsed="false">
      <c r="A27" s="13" t="n">
        <v>2</v>
      </c>
      <c r="B27" s="11" t="s">
        <v>52</v>
      </c>
    </row>
    <row r="28" customFormat="false" ht="15" hidden="false" customHeight="false" outlineLevel="0" collapsed="false">
      <c r="A28" s="13" t="n">
        <v>3</v>
      </c>
      <c r="B28" s="11" t="s">
        <v>53</v>
      </c>
    </row>
    <row r="29" customFormat="false" ht="15" hidden="false" customHeight="false" outlineLevel="0" collapsed="false">
      <c r="A29" s="13" t="n">
        <v>4</v>
      </c>
      <c r="B29" s="11" t="s">
        <v>54</v>
      </c>
    </row>
    <row r="30" customFormat="false" ht="15" hidden="false" customHeight="false" outlineLevel="0" collapsed="false">
      <c r="A30" s="13" t="n">
        <v>5</v>
      </c>
      <c r="B30" s="11" t="s">
        <v>55</v>
      </c>
    </row>
    <row r="31" customFormat="false" ht="15" hidden="false" customHeight="false" outlineLevel="0" collapsed="false">
      <c r="A31" s="13" t="n">
        <v>6</v>
      </c>
      <c r="B31" s="11" t="s">
        <v>56</v>
      </c>
    </row>
    <row r="32" customFormat="false" ht="23.85" hidden="false" customHeight="false" outlineLevel="0" collapsed="false">
      <c r="A32" s="13" t="n">
        <v>7</v>
      </c>
      <c r="B32" s="11" t="s">
        <v>57</v>
      </c>
    </row>
    <row r="33" customFormat="false" ht="15" hidden="false" customHeight="false" outlineLevel="0" collapsed="false">
      <c r="A33" s="13" t="n">
        <v>8</v>
      </c>
      <c r="B33" s="11" t="s">
        <v>58</v>
      </c>
    </row>
    <row r="34" customFormat="false" ht="23.85" hidden="false" customHeight="false" outlineLevel="0" collapsed="false">
      <c r="A34" s="13" t="n">
        <v>9</v>
      </c>
      <c r="B34" s="11" t="s">
        <v>59</v>
      </c>
    </row>
    <row r="35" customFormat="false" ht="15" hidden="false" customHeight="false" outlineLevel="0" collapsed="false">
      <c r="A35" s="13" t="n">
        <v>10</v>
      </c>
      <c r="B35" s="11" t="s">
        <v>60</v>
      </c>
    </row>
    <row r="36" customFormat="false" ht="23.85" hidden="false" customHeight="false" outlineLevel="0" collapsed="false">
      <c r="A36" s="13" t="n">
        <v>11</v>
      </c>
      <c r="B36" s="11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0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34"/>
    <col collapsed="false" customWidth="true" hidden="false" outlineLevel="0" max="7" min="7" style="0" width="12"/>
    <col collapsed="false" customWidth="true" hidden="false" outlineLevel="0" max="8" min="8" style="0" width="36"/>
    <col collapsed="false" customWidth="true" hidden="false" outlineLevel="0" max="9" min="9" style="0" width="30"/>
    <col collapsed="false" customWidth="true" hidden="false" outlineLevel="0" max="10" min="10" style="0" width="34"/>
  </cols>
  <sheetData>
    <row r="1" customFormat="false" ht="17.35" hidden="false" customHeight="false" outlineLevel="0" collapsed="false">
      <c r="A1" s="14" t="s">
        <v>62</v>
      </c>
    </row>
    <row r="2" customFormat="false" ht="15" hidden="false" customHeight="false" outlineLevel="0" collapsed="false">
      <c r="A2" s="15" t="s">
        <v>63</v>
      </c>
    </row>
    <row r="3" customFormat="false" ht="15" hidden="false" customHeight="false" outlineLevel="0" collapsed="false">
      <c r="A3" s="15" t="s">
        <v>64</v>
      </c>
    </row>
    <row r="4" customFormat="false" ht="48" hidden="false" customHeight="true" outlineLevel="0" collapsed="false">
      <c r="A4" s="9" t="s">
        <v>65</v>
      </c>
      <c r="B4" s="9" t="s">
        <v>66</v>
      </c>
      <c r="C4" s="9" t="s">
        <v>67</v>
      </c>
      <c r="D4" s="9" t="s">
        <v>68</v>
      </c>
      <c r="E4" s="9" t="s">
        <v>69</v>
      </c>
      <c r="F4" s="9" t="s">
        <v>70</v>
      </c>
      <c r="G4" s="9" t="s">
        <v>71</v>
      </c>
      <c r="H4" s="16" t="s">
        <v>72</v>
      </c>
      <c r="I4" s="9" t="s">
        <v>73</v>
      </c>
      <c r="J4" s="9" t="s">
        <v>74</v>
      </c>
    </row>
    <row r="5" customFormat="false" ht="23.85" hidden="false" customHeight="false" outlineLevel="0" collapsed="false">
      <c r="A5" s="17" t="n">
        <v>45550</v>
      </c>
      <c r="B5" s="18" t="s">
        <v>75</v>
      </c>
      <c r="C5" s="18" t="s">
        <v>76</v>
      </c>
      <c r="D5" s="19" t="s">
        <v>77</v>
      </c>
      <c r="E5" s="19" t="s">
        <v>78</v>
      </c>
      <c r="F5" s="18" t="s">
        <v>79</v>
      </c>
      <c r="G5" s="20" t="s">
        <v>80</v>
      </c>
      <c r="H5" s="21" t="str">
        <f aca="false">IF(G5="","",IFERROR(INDEX(Log!$D:$D,MATCH(G5,Log!$A:$A,0)),"ID não encontrado no Log"))</f>
        <v>Bens e doações de Sicrano Candidato (2024 e 2026)</v>
      </c>
      <c r="I5" s="19"/>
      <c r="J5" s="18" t="s">
        <v>81</v>
      </c>
    </row>
    <row r="6" customFormat="false" ht="23.85" hidden="false" customHeight="false" outlineLevel="0" collapsed="false">
      <c r="A6" s="17" t="n">
        <v>45672</v>
      </c>
      <c r="B6" s="18" t="s">
        <v>82</v>
      </c>
      <c r="C6" s="18" t="s">
        <v>83</v>
      </c>
      <c r="D6" s="19" t="s">
        <v>84</v>
      </c>
      <c r="E6" s="19" t="s">
        <v>78</v>
      </c>
      <c r="F6" s="18" t="s">
        <v>85</v>
      </c>
      <c r="G6" s="20" t="s">
        <v>86</v>
      </c>
      <c r="H6" s="21" t="str">
        <f aca="false">IF(G6="","",IFERROR(INDEX(Log!$D:$D,MATCH(G6,Log!$A:$A,0)),"ID não encontrado no Log"))</f>
        <v>Ato de nomeação de Fulano de Tal (15/01/2025)</v>
      </c>
      <c r="I6" s="19"/>
      <c r="J6" s="18" t="s">
        <v>81</v>
      </c>
    </row>
    <row r="7" customFormat="false" ht="35.05" hidden="false" customHeight="false" outlineLevel="0" collapsed="false">
      <c r="A7" s="17" t="n">
        <v>45726</v>
      </c>
      <c r="B7" s="18" t="s">
        <v>87</v>
      </c>
      <c r="C7" s="18" t="s">
        <v>88</v>
      </c>
      <c r="D7" s="19" t="s">
        <v>89</v>
      </c>
      <c r="E7" s="19" t="s">
        <v>78</v>
      </c>
      <c r="F7" s="18" t="s">
        <v>90</v>
      </c>
      <c r="G7" s="20" t="s">
        <v>91</v>
      </c>
      <c r="H7" s="21" t="str">
        <f aca="false">IF(G7="","",IFERROR(INDEX(Log!$D:$D,MATCH(G7,Log!$A:$A,0)),"ID não encontrado no Log"))</f>
        <v>Cadastro CNPJ e quadro de sócios da Alimentos Modelo e da Construtora Exemplo</v>
      </c>
      <c r="I7" s="19"/>
      <c r="J7" s="18" t="s">
        <v>81</v>
      </c>
    </row>
    <row r="8" customFormat="false" ht="35.05" hidden="false" customHeight="false" outlineLevel="0" collapsed="false">
      <c r="A8" s="17" t="n">
        <v>45839</v>
      </c>
      <c r="B8" s="18" t="s">
        <v>92</v>
      </c>
      <c r="C8" s="18" t="s">
        <v>88</v>
      </c>
      <c r="D8" s="19" t="s">
        <v>93</v>
      </c>
      <c r="E8" s="19" t="s">
        <v>94</v>
      </c>
      <c r="F8" s="18" t="s">
        <v>95</v>
      </c>
      <c r="G8" s="20" t="s">
        <v>96</v>
      </c>
      <c r="H8" s="21" t="str">
        <f aca="false">IF(G8="","",IFERROR(INDEX(Log!$D:$D,MATCH(G8,Log!$A:$A,0)),"ID não encontrado no Log"))</f>
        <v>Conversa em off sobre a dispensa 045/2025</v>
      </c>
      <c r="I8" s="19"/>
      <c r="J8" s="18" t="s">
        <v>97</v>
      </c>
    </row>
    <row r="9" customFormat="false" ht="23.85" hidden="false" customHeight="false" outlineLevel="0" collapsed="false">
      <c r="A9" s="17" t="n">
        <v>45889</v>
      </c>
      <c r="B9" s="18" t="s">
        <v>98</v>
      </c>
      <c r="C9" s="18" t="s">
        <v>88</v>
      </c>
      <c r="D9" s="19" t="s">
        <v>93</v>
      </c>
      <c r="E9" s="19" t="s">
        <v>78</v>
      </c>
      <c r="F9" s="18" t="s">
        <v>99</v>
      </c>
      <c r="G9" s="20" t="s">
        <v>100</v>
      </c>
      <c r="H9" s="21" t="str">
        <f aca="false">IF(G9="","",IFERROR(INDEX(Log!$D:$D,MATCH(G9,Log!$A:$A,0)),"ID não encontrado no Log"))</f>
        <v>Extrato do contrato 045/2025 (dispensa)</v>
      </c>
      <c r="I9" s="19"/>
      <c r="J9" s="18" t="s">
        <v>81</v>
      </c>
    </row>
    <row r="10" customFormat="false" ht="23.85" hidden="false" customHeight="false" outlineLevel="0" collapsed="false">
      <c r="A10" s="17" t="n">
        <v>45930</v>
      </c>
      <c r="B10" s="18" t="s">
        <v>101</v>
      </c>
      <c r="C10" s="18" t="s">
        <v>88</v>
      </c>
      <c r="D10" s="19" t="s">
        <v>102</v>
      </c>
      <c r="E10" s="19" t="s">
        <v>78</v>
      </c>
      <c r="F10" s="18" t="s">
        <v>103</v>
      </c>
      <c r="G10" s="20" t="s">
        <v>104</v>
      </c>
      <c r="H10" s="21" t="str">
        <f aca="false">IF(G10="","",IFERROR(INDEX(Log!$D:$D,MATCH(G10,Log!$A:$A,0)),"ID não encontrado no Log"))</f>
        <v>Empenhos e pagamentos à Alimentos Modelo (2025)</v>
      </c>
      <c r="I10" s="19"/>
      <c r="J10" s="18" t="s">
        <v>81</v>
      </c>
    </row>
    <row r="11" customFormat="false" ht="23.85" hidden="false" customHeight="false" outlineLevel="0" collapsed="false">
      <c r="A11" s="17" t="n">
        <v>46154</v>
      </c>
      <c r="B11" s="18" t="s">
        <v>105</v>
      </c>
      <c r="C11" s="18" t="s">
        <v>88</v>
      </c>
      <c r="D11" s="19" t="s">
        <v>106</v>
      </c>
      <c r="E11" s="19" t="s">
        <v>78</v>
      </c>
      <c r="F11" s="18" t="s">
        <v>107</v>
      </c>
      <c r="G11" s="20" t="s">
        <v>108</v>
      </c>
      <c r="H11" s="21" t="str">
        <f aca="false">IF(G11="","",IFERROR(INDEX(Log!$D:$D,MATCH(G11,Log!$A:$A,0)),"ID não encontrado no Log"))</f>
        <v>Decisão que recebeu a ação de improbidade</v>
      </c>
      <c r="I11" s="19"/>
      <c r="J11" s="18" t="s">
        <v>81</v>
      </c>
    </row>
    <row r="12" customFormat="false" ht="35.05" hidden="false" customHeight="false" outlineLevel="0" collapsed="false">
      <c r="A12" s="17" t="n">
        <v>46289</v>
      </c>
      <c r="B12" s="18" t="s">
        <v>109</v>
      </c>
      <c r="C12" s="18" t="s">
        <v>110</v>
      </c>
      <c r="D12" s="19" t="s">
        <v>111</v>
      </c>
      <c r="E12" s="19" t="s">
        <v>78</v>
      </c>
      <c r="F12" s="18" t="s">
        <v>112</v>
      </c>
      <c r="G12" s="20" t="s">
        <v>113</v>
      </c>
      <c r="H12" s="21" t="str">
        <f aca="false">IF(G12="","",IFERROR(INDEX(Log!$D:$D,MATCH(G12,Log!$A:$A,0)),"ID não encontrado no Log"))</f>
        <v>Perguntas enviadas à Alimentos Modelo e ao gabinete do vereador, com prazo até 29/09</v>
      </c>
      <c r="I12" s="19"/>
      <c r="J12" s="18" t="s">
        <v>81</v>
      </c>
    </row>
    <row r="13" customFormat="false" ht="15" hidden="false" customHeight="false" outlineLevel="0" collapsed="false">
      <c r="A13" s="22"/>
      <c r="B13" s="11"/>
      <c r="C13" s="11"/>
      <c r="D13" s="23"/>
      <c r="E13" s="23"/>
      <c r="F13" s="11"/>
      <c r="G13" s="24"/>
      <c r="H13" s="25" t="str">
        <f aca="false">IF(G13="","",IFERROR(INDEX(Log!$D:$D,MATCH(G13,Log!$A:$A,0)),"ID não encontrado no Log"))</f>
        <v/>
      </c>
      <c r="I13" s="23"/>
      <c r="J13" s="11"/>
    </row>
    <row r="14" customFormat="false" ht="15" hidden="false" customHeight="false" outlineLevel="0" collapsed="false">
      <c r="A14" s="22"/>
      <c r="B14" s="11"/>
      <c r="C14" s="11"/>
      <c r="D14" s="23"/>
      <c r="E14" s="23"/>
      <c r="F14" s="11"/>
      <c r="G14" s="24"/>
      <c r="H14" s="25" t="str">
        <f aca="false">IF(G14="","",IFERROR(INDEX(Log!$D:$D,MATCH(G14,Log!$A:$A,0)),"ID não encontrado no Log"))</f>
        <v/>
      </c>
      <c r="I14" s="23"/>
      <c r="J14" s="11"/>
    </row>
    <row r="15" customFormat="false" ht="15" hidden="false" customHeight="false" outlineLevel="0" collapsed="false">
      <c r="A15" s="22"/>
      <c r="B15" s="11"/>
      <c r="C15" s="11"/>
      <c r="D15" s="23"/>
      <c r="E15" s="23"/>
      <c r="F15" s="11"/>
      <c r="G15" s="24"/>
      <c r="H15" s="25" t="str">
        <f aca="false">IF(G15="","",IFERROR(INDEX(Log!$D:$D,MATCH(G15,Log!$A:$A,0)),"ID não encontrado no Log"))</f>
        <v/>
      </c>
      <c r="I15" s="23"/>
      <c r="J15" s="11"/>
    </row>
    <row r="16" customFormat="false" ht="15" hidden="false" customHeight="false" outlineLevel="0" collapsed="false">
      <c r="A16" s="22"/>
      <c r="B16" s="11"/>
      <c r="C16" s="11"/>
      <c r="D16" s="23"/>
      <c r="E16" s="23"/>
      <c r="F16" s="11"/>
      <c r="G16" s="24"/>
      <c r="H16" s="25" t="str">
        <f aca="false">IF(G16="","",IFERROR(INDEX(Log!$D:$D,MATCH(G16,Log!$A:$A,0)),"ID não encontrado no Log"))</f>
        <v/>
      </c>
      <c r="I16" s="23"/>
      <c r="J16" s="11"/>
    </row>
    <row r="17" customFormat="false" ht="15" hidden="false" customHeight="false" outlineLevel="0" collapsed="false">
      <c r="A17" s="22"/>
      <c r="B17" s="11"/>
      <c r="C17" s="11"/>
      <c r="D17" s="23"/>
      <c r="E17" s="23"/>
      <c r="F17" s="11"/>
      <c r="G17" s="24"/>
      <c r="H17" s="25" t="str">
        <f aca="false">IF(G17="","",IFERROR(INDEX(Log!$D:$D,MATCH(G17,Log!$A:$A,0)),"ID não encontrado no Log"))</f>
        <v/>
      </c>
      <c r="I17" s="23"/>
      <c r="J17" s="11"/>
    </row>
    <row r="18" customFormat="false" ht="15" hidden="false" customHeight="false" outlineLevel="0" collapsed="false">
      <c r="A18" s="22"/>
      <c r="B18" s="11"/>
      <c r="C18" s="11"/>
      <c r="D18" s="23"/>
      <c r="E18" s="23"/>
      <c r="F18" s="11"/>
      <c r="G18" s="24"/>
      <c r="H18" s="25" t="str">
        <f aca="false">IF(G18="","",IFERROR(INDEX(Log!$D:$D,MATCH(G18,Log!$A:$A,0)),"ID não encontrado no Log"))</f>
        <v/>
      </c>
      <c r="I18" s="23"/>
      <c r="J18" s="11"/>
    </row>
    <row r="19" customFormat="false" ht="15" hidden="false" customHeight="false" outlineLevel="0" collapsed="false">
      <c r="A19" s="22"/>
      <c r="B19" s="11"/>
      <c r="C19" s="11"/>
      <c r="D19" s="23"/>
      <c r="E19" s="23"/>
      <c r="F19" s="11"/>
      <c r="G19" s="24"/>
      <c r="H19" s="25" t="str">
        <f aca="false">IF(G19="","",IFERROR(INDEX(Log!$D:$D,MATCH(G19,Log!$A:$A,0)),"ID não encontrado no Log"))</f>
        <v/>
      </c>
      <c r="I19" s="23"/>
      <c r="J19" s="11"/>
    </row>
    <row r="20" customFormat="false" ht="15" hidden="false" customHeight="false" outlineLevel="0" collapsed="false">
      <c r="A20" s="22"/>
      <c r="B20" s="11"/>
      <c r="C20" s="11"/>
      <c r="D20" s="23"/>
      <c r="E20" s="23"/>
      <c r="F20" s="11"/>
      <c r="G20" s="24"/>
      <c r="H20" s="25" t="str">
        <f aca="false">IF(G20="","",IFERROR(INDEX(Log!$D:$D,MATCH(G20,Log!$A:$A,0)),"ID não encontrado no Log"))</f>
        <v/>
      </c>
      <c r="I20" s="23"/>
      <c r="J20" s="11"/>
    </row>
    <row r="21" customFormat="false" ht="15" hidden="false" customHeight="false" outlineLevel="0" collapsed="false">
      <c r="A21" s="22"/>
      <c r="B21" s="11"/>
      <c r="C21" s="11"/>
      <c r="D21" s="23"/>
      <c r="E21" s="23"/>
      <c r="F21" s="11"/>
      <c r="G21" s="24"/>
      <c r="H21" s="25" t="str">
        <f aca="false">IF(G21="","",IFERROR(INDEX(Log!$D:$D,MATCH(G21,Log!$A:$A,0)),"ID não encontrado no Log"))</f>
        <v/>
      </c>
      <c r="I21" s="23"/>
      <c r="J21" s="11"/>
    </row>
    <row r="22" customFormat="false" ht="15" hidden="false" customHeight="false" outlineLevel="0" collapsed="false">
      <c r="A22" s="22"/>
      <c r="B22" s="11"/>
      <c r="C22" s="11"/>
      <c r="D22" s="23"/>
      <c r="E22" s="23"/>
      <c r="F22" s="11"/>
      <c r="G22" s="24"/>
      <c r="H22" s="25" t="str">
        <f aca="false">IF(G22="","",IFERROR(INDEX(Log!$D:$D,MATCH(G22,Log!$A:$A,0)),"ID não encontrado no Log"))</f>
        <v/>
      </c>
      <c r="I22" s="23"/>
      <c r="J22" s="11"/>
    </row>
    <row r="23" customFormat="false" ht="15" hidden="false" customHeight="false" outlineLevel="0" collapsed="false">
      <c r="A23" s="22"/>
      <c r="B23" s="11"/>
      <c r="C23" s="11"/>
      <c r="D23" s="23"/>
      <c r="E23" s="23"/>
      <c r="F23" s="11"/>
      <c r="G23" s="24"/>
      <c r="H23" s="25" t="str">
        <f aca="false">IF(G23="","",IFERROR(INDEX(Log!$D:$D,MATCH(G23,Log!$A:$A,0)),"ID não encontrado no Log"))</f>
        <v/>
      </c>
      <c r="I23" s="23"/>
      <c r="J23" s="11"/>
    </row>
    <row r="24" customFormat="false" ht="15" hidden="false" customHeight="false" outlineLevel="0" collapsed="false">
      <c r="A24" s="22"/>
      <c r="B24" s="11"/>
      <c r="C24" s="11"/>
      <c r="D24" s="23"/>
      <c r="E24" s="23"/>
      <c r="F24" s="11"/>
      <c r="G24" s="24"/>
      <c r="H24" s="25" t="str">
        <f aca="false">IF(G24="","",IFERROR(INDEX(Log!$D:$D,MATCH(G24,Log!$A:$A,0)),"ID não encontrado no Log"))</f>
        <v/>
      </c>
      <c r="I24" s="23"/>
      <c r="J24" s="11"/>
    </row>
    <row r="25" customFormat="false" ht="15" hidden="false" customHeight="false" outlineLevel="0" collapsed="false">
      <c r="A25" s="22"/>
      <c r="B25" s="11"/>
      <c r="C25" s="11"/>
      <c r="D25" s="23"/>
      <c r="E25" s="23"/>
      <c r="F25" s="11"/>
      <c r="G25" s="24"/>
      <c r="H25" s="25" t="str">
        <f aca="false">IF(G25="","",IFERROR(INDEX(Log!$D:$D,MATCH(G25,Log!$A:$A,0)),"ID não encontrado no Log"))</f>
        <v/>
      </c>
      <c r="I25" s="23"/>
      <c r="J25" s="11"/>
    </row>
    <row r="26" customFormat="false" ht="15" hidden="false" customHeight="false" outlineLevel="0" collapsed="false">
      <c r="A26" s="22"/>
      <c r="B26" s="11"/>
      <c r="C26" s="11"/>
      <c r="D26" s="23"/>
      <c r="E26" s="23"/>
      <c r="F26" s="11"/>
      <c r="G26" s="24"/>
      <c r="H26" s="25" t="str">
        <f aca="false">IF(G26="","",IFERROR(INDEX(Log!$D:$D,MATCH(G26,Log!$A:$A,0)),"ID não encontrado no Log"))</f>
        <v/>
      </c>
      <c r="I26" s="23"/>
      <c r="J26" s="11"/>
    </row>
    <row r="27" customFormat="false" ht="15" hidden="false" customHeight="false" outlineLevel="0" collapsed="false">
      <c r="A27" s="22"/>
      <c r="B27" s="11"/>
      <c r="C27" s="11"/>
      <c r="D27" s="23"/>
      <c r="E27" s="23"/>
      <c r="F27" s="11"/>
      <c r="G27" s="24"/>
      <c r="H27" s="25" t="str">
        <f aca="false">IF(G27="","",IFERROR(INDEX(Log!$D:$D,MATCH(G27,Log!$A:$A,0)),"ID não encontrado no Log"))</f>
        <v/>
      </c>
      <c r="I27" s="23"/>
      <c r="J27" s="11"/>
    </row>
    <row r="28" customFormat="false" ht="15" hidden="false" customHeight="false" outlineLevel="0" collapsed="false">
      <c r="A28" s="22"/>
      <c r="B28" s="11"/>
      <c r="C28" s="11"/>
      <c r="D28" s="23"/>
      <c r="E28" s="23"/>
      <c r="F28" s="11"/>
      <c r="G28" s="24"/>
      <c r="H28" s="25" t="str">
        <f aca="false">IF(G28="","",IFERROR(INDEX(Log!$D:$D,MATCH(G28,Log!$A:$A,0)),"ID não encontrado no Log"))</f>
        <v/>
      </c>
      <c r="I28" s="23"/>
      <c r="J28" s="11"/>
    </row>
    <row r="29" customFormat="false" ht="15" hidden="false" customHeight="false" outlineLevel="0" collapsed="false">
      <c r="A29" s="22"/>
      <c r="B29" s="11"/>
      <c r="C29" s="11"/>
      <c r="D29" s="23"/>
      <c r="E29" s="23"/>
      <c r="F29" s="11"/>
      <c r="G29" s="24"/>
      <c r="H29" s="25" t="str">
        <f aca="false">IF(G29="","",IFERROR(INDEX(Log!$D:$D,MATCH(G29,Log!$A:$A,0)),"ID não encontrado no Log"))</f>
        <v/>
      </c>
      <c r="I29" s="23"/>
      <c r="J29" s="11"/>
    </row>
    <row r="30" customFormat="false" ht="15" hidden="false" customHeight="false" outlineLevel="0" collapsed="false">
      <c r="A30" s="22"/>
      <c r="B30" s="11"/>
      <c r="C30" s="11"/>
      <c r="D30" s="23"/>
      <c r="E30" s="23"/>
      <c r="F30" s="11"/>
      <c r="G30" s="24"/>
      <c r="H30" s="25" t="str">
        <f aca="false">IF(G30="","",IFERROR(INDEX(Log!$D:$D,MATCH(G30,Log!$A:$A,0)),"ID não encontrado no Log"))</f>
        <v/>
      </c>
      <c r="I30" s="23"/>
      <c r="J30" s="11"/>
    </row>
    <row r="31" customFormat="false" ht="15" hidden="false" customHeight="false" outlineLevel="0" collapsed="false">
      <c r="A31" s="22"/>
      <c r="B31" s="11"/>
      <c r="C31" s="11"/>
      <c r="D31" s="23"/>
      <c r="E31" s="23"/>
      <c r="F31" s="11"/>
      <c r="G31" s="24"/>
      <c r="H31" s="25" t="str">
        <f aca="false">IF(G31="","",IFERROR(INDEX(Log!$D:$D,MATCH(G31,Log!$A:$A,0)),"ID não encontrado no Log"))</f>
        <v/>
      </c>
      <c r="I31" s="23"/>
      <c r="J31" s="11"/>
    </row>
    <row r="32" customFormat="false" ht="15" hidden="false" customHeight="false" outlineLevel="0" collapsed="false">
      <c r="A32" s="22"/>
      <c r="B32" s="11"/>
      <c r="C32" s="11"/>
      <c r="D32" s="23"/>
      <c r="E32" s="23"/>
      <c r="F32" s="11"/>
      <c r="G32" s="24"/>
      <c r="H32" s="25" t="str">
        <f aca="false">IF(G32="","",IFERROR(INDEX(Log!$D:$D,MATCH(G32,Log!$A:$A,0)),"ID não encontrado no Log"))</f>
        <v/>
      </c>
      <c r="I32" s="23"/>
      <c r="J32" s="11"/>
    </row>
    <row r="33" customFormat="false" ht="15" hidden="false" customHeight="false" outlineLevel="0" collapsed="false">
      <c r="A33" s="22"/>
      <c r="B33" s="11"/>
      <c r="C33" s="11"/>
      <c r="D33" s="23"/>
      <c r="E33" s="23"/>
      <c r="F33" s="11"/>
      <c r="G33" s="24"/>
      <c r="H33" s="25" t="str">
        <f aca="false">IF(G33="","",IFERROR(INDEX(Log!$D:$D,MATCH(G33,Log!$A:$A,0)),"ID não encontrado no Log"))</f>
        <v/>
      </c>
      <c r="I33" s="23"/>
      <c r="J33" s="11"/>
    </row>
    <row r="34" customFormat="false" ht="15" hidden="false" customHeight="false" outlineLevel="0" collapsed="false">
      <c r="A34" s="22"/>
      <c r="B34" s="11"/>
      <c r="C34" s="11"/>
      <c r="D34" s="23"/>
      <c r="E34" s="23"/>
      <c r="F34" s="11"/>
      <c r="G34" s="24"/>
      <c r="H34" s="25" t="str">
        <f aca="false">IF(G34="","",IFERROR(INDEX(Log!$D:$D,MATCH(G34,Log!$A:$A,0)),"ID não encontrado no Log"))</f>
        <v/>
      </c>
      <c r="I34" s="23"/>
      <c r="J34" s="11"/>
    </row>
    <row r="35" customFormat="false" ht="15" hidden="false" customHeight="false" outlineLevel="0" collapsed="false">
      <c r="A35" s="22"/>
      <c r="B35" s="11"/>
      <c r="C35" s="11"/>
      <c r="D35" s="23"/>
      <c r="E35" s="23"/>
      <c r="F35" s="11"/>
      <c r="G35" s="24"/>
      <c r="H35" s="25" t="str">
        <f aca="false">IF(G35="","",IFERROR(INDEX(Log!$D:$D,MATCH(G35,Log!$A:$A,0)),"ID não encontrado no Log"))</f>
        <v/>
      </c>
      <c r="I35" s="23"/>
      <c r="J35" s="11"/>
    </row>
    <row r="36" customFormat="false" ht="15" hidden="false" customHeight="false" outlineLevel="0" collapsed="false">
      <c r="A36" s="22"/>
      <c r="B36" s="11"/>
      <c r="C36" s="11"/>
      <c r="D36" s="23"/>
      <c r="E36" s="23"/>
      <c r="F36" s="11"/>
      <c r="G36" s="24"/>
      <c r="H36" s="25" t="str">
        <f aca="false">IF(G36="","",IFERROR(INDEX(Log!$D:$D,MATCH(G36,Log!$A:$A,0)),"ID não encontrado no Log"))</f>
        <v/>
      </c>
      <c r="I36" s="23"/>
      <c r="J36" s="11"/>
    </row>
    <row r="37" customFormat="false" ht="15" hidden="false" customHeight="false" outlineLevel="0" collapsed="false">
      <c r="A37" s="22"/>
      <c r="B37" s="11"/>
      <c r="C37" s="11"/>
      <c r="D37" s="23"/>
      <c r="E37" s="23"/>
      <c r="F37" s="11"/>
      <c r="G37" s="24"/>
      <c r="H37" s="25" t="str">
        <f aca="false">IF(G37="","",IFERROR(INDEX(Log!$D:$D,MATCH(G37,Log!$A:$A,0)),"ID não encontrado no Log"))</f>
        <v/>
      </c>
      <c r="I37" s="23"/>
      <c r="J37" s="11"/>
    </row>
    <row r="38" customFormat="false" ht="15" hidden="false" customHeight="false" outlineLevel="0" collapsed="false">
      <c r="A38" s="22"/>
      <c r="B38" s="11"/>
      <c r="C38" s="11"/>
      <c r="D38" s="23"/>
      <c r="E38" s="23"/>
      <c r="F38" s="11"/>
      <c r="G38" s="24"/>
      <c r="H38" s="25" t="str">
        <f aca="false">IF(G38="","",IFERROR(INDEX(Log!$D:$D,MATCH(G38,Log!$A:$A,0)),"ID não encontrado no Log"))</f>
        <v/>
      </c>
      <c r="I38" s="23"/>
      <c r="J38" s="11"/>
    </row>
    <row r="39" customFormat="false" ht="15" hidden="false" customHeight="false" outlineLevel="0" collapsed="false">
      <c r="A39" s="22"/>
      <c r="B39" s="11"/>
      <c r="C39" s="11"/>
      <c r="D39" s="23"/>
      <c r="E39" s="23"/>
      <c r="F39" s="11"/>
      <c r="G39" s="24"/>
      <c r="H39" s="25" t="str">
        <f aca="false">IF(G39="","",IFERROR(INDEX(Log!$D:$D,MATCH(G39,Log!$A:$A,0)),"ID não encontrado no Log"))</f>
        <v/>
      </c>
      <c r="I39" s="23"/>
      <c r="J39" s="11"/>
    </row>
    <row r="40" customFormat="false" ht="15" hidden="false" customHeight="false" outlineLevel="0" collapsed="false">
      <c r="A40" s="22"/>
      <c r="B40" s="11"/>
      <c r="C40" s="11"/>
      <c r="D40" s="23"/>
      <c r="E40" s="23"/>
      <c r="F40" s="11"/>
      <c r="G40" s="24"/>
      <c r="H40" s="25" t="str">
        <f aca="false">IF(G40="","",IFERROR(INDEX(Log!$D:$D,MATCH(G40,Log!$A:$A,0)),"ID não encontrado no Log"))</f>
        <v/>
      </c>
      <c r="I40" s="23"/>
      <c r="J40" s="11"/>
    </row>
    <row r="41" customFormat="false" ht="15" hidden="false" customHeight="false" outlineLevel="0" collapsed="false">
      <c r="A41" s="22"/>
      <c r="B41" s="11"/>
      <c r="C41" s="11"/>
      <c r="D41" s="23"/>
      <c r="E41" s="23"/>
      <c r="F41" s="11"/>
      <c r="G41" s="24"/>
      <c r="H41" s="25" t="str">
        <f aca="false">IF(G41="","",IFERROR(INDEX(Log!$D:$D,MATCH(G41,Log!$A:$A,0)),"ID não encontrado no Log"))</f>
        <v/>
      </c>
      <c r="I41" s="23"/>
      <c r="J41" s="11"/>
    </row>
    <row r="42" customFormat="false" ht="15" hidden="false" customHeight="false" outlineLevel="0" collapsed="false">
      <c r="A42" s="22"/>
      <c r="B42" s="11"/>
      <c r="C42" s="11"/>
      <c r="D42" s="23"/>
      <c r="E42" s="23"/>
      <c r="F42" s="11"/>
      <c r="G42" s="24"/>
      <c r="H42" s="25" t="str">
        <f aca="false">IF(G42="","",IFERROR(INDEX(Log!$D:$D,MATCH(G42,Log!$A:$A,0)),"ID não encontrado no Log"))</f>
        <v/>
      </c>
      <c r="I42" s="23"/>
      <c r="J42" s="11"/>
    </row>
    <row r="43" customFormat="false" ht="15" hidden="false" customHeight="false" outlineLevel="0" collapsed="false">
      <c r="A43" s="22"/>
      <c r="B43" s="11"/>
      <c r="C43" s="11"/>
      <c r="D43" s="23"/>
      <c r="E43" s="23"/>
      <c r="F43" s="11"/>
      <c r="G43" s="24"/>
      <c r="H43" s="25" t="str">
        <f aca="false">IF(G43="","",IFERROR(INDEX(Log!$D:$D,MATCH(G43,Log!$A:$A,0)),"ID não encontrado no Log"))</f>
        <v/>
      </c>
      <c r="I43" s="23"/>
      <c r="J43" s="11"/>
    </row>
    <row r="44" customFormat="false" ht="15" hidden="false" customHeight="false" outlineLevel="0" collapsed="false">
      <c r="A44" s="22"/>
      <c r="B44" s="11"/>
      <c r="C44" s="11"/>
      <c r="D44" s="23"/>
      <c r="E44" s="23"/>
      <c r="F44" s="11"/>
      <c r="G44" s="24"/>
      <c r="H44" s="25" t="str">
        <f aca="false">IF(G44="","",IFERROR(INDEX(Log!$D:$D,MATCH(G44,Log!$A:$A,0)),"ID não encontrado no Log"))</f>
        <v/>
      </c>
      <c r="I44" s="23"/>
      <c r="J44" s="11"/>
    </row>
    <row r="45" customFormat="false" ht="15" hidden="false" customHeight="false" outlineLevel="0" collapsed="false">
      <c r="A45" s="22"/>
      <c r="B45" s="11"/>
      <c r="C45" s="11"/>
      <c r="D45" s="23"/>
      <c r="E45" s="23"/>
      <c r="F45" s="11"/>
      <c r="G45" s="24"/>
      <c r="H45" s="25" t="str">
        <f aca="false">IF(G45="","",IFERROR(INDEX(Log!$D:$D,MATCH(G45,Log!$A:$A,0)),"ID não encontrado no Log"))</f>
        <v/>
      </c>
      <c r="I45" s="23"/>
      <c r="J45" s="11"/>
    </row>
    <row r="46" customFormat="false" ht="15" hidden="false" customHeight="false" outlineLevel="0" collapsed="false">
      <c r="A46" s="22"/>
      <c r="B46" s="11"/>
      <c r="C46" s="11"/>
      <c r="D46" s="23"/>
      <c r="E46" s="23"/>
      <c r="F46" s="11"/>
      <c r="G46" s="24"/>
      <c r="H46" s="25" t="str">
        <f aca="false">IF(G46="","",IFERROR(INDEX(Log!$D:$D,MATCH(G46,Log!$A:$A,0)),"ID não encontrado no Log"))</f>
        <v/>
      </c>
      <c r="I46" s="23"/>
      <c r="J46" s="11"/>
    </row>
    <row r="47" customFormat="false" ht="15" hidden="false" customHeight="false" outlineLevel="0" collapsed="false">
      <c r="A47" s="22"/>
      <c r="B47" s="11"/>
      <c r="C47" s="11"/>
      <c r="D47" s="23"/>
      <c r="E47" s="23"/>
      <c r="F47" s="11"/>
      <c r="G47" s="24"/>
      <c r="H47" s="25" t="str">
        <f aca="false">IF(G47="","",IFERROR(INDEX(Log!$D:$D,MATCH(G47,Log!$A:$A,0)),"ID não encontrado no Log"))</f>
        <v/>
      </c>
      <c r="I47" s="23"/>
      <c r="J47" s="11"/>
    </row>
    <row r="48" customFormat="false" ht="15" hidden="false" customHeight="false" outlineLevel="0" collapsed="false">
      <c r="A48" s="22"/>
      <c r="B48" s="11"/>
      <c r="C48" s="11"/>
      <c r="D48" s="23"/>
      <c r="E48" s="23"/>
      <c r="F48" s="11"/>
      <c r="G48" s="24"/>
      <c r="H48" s="25" t="str">
        <f aca="false">IF(G48="","",IFERROR(INDEX(Log!$D:$D,MATCH(G48,Log!$A:$A,0)),"ID não encontrado no Log"))</f>
        <v/>
      </c>
      <c r="I48" s="23"/>
      <c r="J48" s="11"/>
    </row>
    <row r="49" customFormat="false" ht="15" hidden="false" customHeight="false" outlineLevel="0" collapsed="false">
      <c r="A49" s="22"/>
      <c r="B49" s="11"/>
      <c r="C49" s="11"/>
      <c r="D49" s="23"/>
      <c r="E49" s="23"/>
      <c r="F49" s="11"/>
      <c r="G49" s="24"/>
      <c r="H49" s="25" t="str">
        <f aca="false">IF(G49="","",IFERROR(INDEX(Log!$D:$D,MATCH(G49,Log!$A:$A,0)),"ID não encontrado no Log"))</f>
        <v/>
      </c>
      <c r="I49" s="23"/>
      <c r="J49" s="11"/>
    </row>
    <row r="50" customFormat="false" ht="15" hidden="false" customHeight="false" outlineLevel="0" collapsed="false">
      <c r="A50" s="22"/>
      <c r="B50" s="11"/>
      <c r="C50" s="11"/>
      <c r="D50" s="23"/>
      <c r="E50" s="23"/>
      <c r="F50" s="11"/>
      <c r="G50" s="24"/>
      <c r="H50" s="25" t="str">
        <f aca="false">IF(G50="","",IFERROR(INDEX(Log!$D:$D,MATCH(G50,Log!$A:$A,0)),"ID não encontrado no Log"))</f>
        <v/>
      </c>
      <c r="I50" s="23"/>
      <c r="J50" s="11"/>
    </row>
    <row r="51" customFormat="false" ht="15" hidden="false" customHeight="false" outlineLevel="0" collapsed="false">
      <c r="A51" s="22"/>
      <c r="B51" s="11"/>
      <c r="C51" s="11"/>
      <c r="D51" s="23"/>
      <c r="E51" s="23"/>
      <c r="F51" s="11"/>
      <c r="G51" s="24"/>
      <c r="H51" s="25" t="str">
        <f aca="false">IF(G51="","",IFERROR(INDEX(Log!$D:$D,MATCH(G51,Log!$A:$A,0)),"ID não encontrado no Log"))</f>
        <v/>
      </c>
      <c r="I51" s="23"/>
      <c r="J51" s="11"/>
    </row>
    <row r="52" customFormat="false" ht="15" hidden="false" customHeight="false" outlineLevel="0" collapsed="false">
      <c r="A52" s="22"/>
      <c r="B52" s="11"/>
      <c r="C52" s="11"/>
      <c r="D52" s="23"/>
      <c r="E52" s="23"/>
      <c r="F52" s="11"/>
      <c r="G52" s="24"/>
      <c r="H52" s="25" t="str">
        <f aca="false">IF(G52="","",IFERROR(INDEX(Log!$D:$D,MATCH(G52,Log!$A:$A,0)),"ID não encontrado no Log"))</f>
        <v/>
      </c>
      <c r="I52" s="23"/>
      <c r="J52" s="11"/>
    </row>
    <row r="53" customFormat="false" ht="15" hidden="false" customHeight="false" outlineLevel="0" collapsed="false">
      <c r="A53" s="22"/>
      <c r="B53" s="11"/>
      <c r="C53" s="11"/>
      <c r="D53" s="23"/>
      <c r="E53" s="23"/>
      <c r="F53" s="11"/>
      <c r="G53" s="24"/>
      <c r="H53" s="25" t="str">
        <f aca="false">IF(G53="","",IFERROR(INDEX(Log!$D:$D,MATCH(G53,Log!$A:$A,0)),"ID não encontrado no Log"))</f>
        <v/>
      </c>
      <c r="I53" s="23"/>
      <c r="J53" s="11"/>
    </row>
    <row r="54" customFormat="false" ht="15" hidden="false" customHeight="false" outlineLevel="0" collapsed="false">
      <c r="A54" s="22"/>
      <c r="B54" s="11"/>
      <c r="C54" s="11"/>
      <c r="D54" s="23"/>
      <c r="E54" s="23"/>
      <c r="F54" s="11"/>
      <c r="G54" s="24"/>
      <c r="H54" s="25" t="str">
        <f aca="false">IF(G54="","",IFERROR(INDEX(Log!$D:$D,MATCH(G54,Log!$A:$A,0)),"ID não encontrado no Log"))</f>
        <v/>
      </c>
      <c r="I54" s="23"/>
      <c r="J54" s="11"/>
    </row>
    <row r="55" customFormat="false" ht="15" hidden="false" customHeight="false" outlineLevel="0" collapsed="false">
      <c r="A55" s="22"/>
      <c r="B55" s="11"/>
      <c r="C55" s="11"/>
      <c r="D55" s="23"/>
      <c r="E55" s="23"/>
      <c r="F55" s="11"/>
      <c r="G55" s="24"/>
      <c r="H55" s="25" t="str">
        <f aca="false">IF(G55="","",IFERROR(INDEX(Log!$D:$D,MATCH(G55,Log!$A:$A,0)),"ID não encontrado no Log"))</f>
        <v/>
      </c>
      <c r="I55" s="23"/>
      <c r="J55" s="11"/>
    </row>
    <row r="56" customFormat="false" ht="15" hidden="false" customHeight="false" outlineLevel="0" collapsed="false">
      <c r="A56" s="22"/>
      <c r="B56" s="11"/>
      <c r="C56" s="11"/>
      <c r="D56" s="23"/>
      <c r="E56" s="23"/>
      <c r="F56" s="11"/>
      <c r="G56" s="24"/>
      <c r="H56" s="25" t="str">
        <f aca="false">IF(G56="","",IFERROR(INDEX(Log!$D:$D,MATCH(G56,Log!$A:$A,0)),"ID não encontrado no Log"))</f>
        <v/>
      </c>
      <c r="I56" s="23"/>
      <c r="J56" s="11"/>
    </row>
    <row r="57" customFormat="false" ht="15" hidden="false" customHeight="false" outlineLevel="0" collapsed="false">
      <c r="A57" s="22"/>
      <c r="B57" s="11"/>
      <c r="C57" s="11"/>
      <c r="D57" s="23"/>
      <c r="E57" s="23"/>
      <c r="F57" s="11"/>
      <c r="G57" s="24"/>
      <c r="H57" s="25" t="str">
        <f aca="false">IF(G57="","",IFERROR(INDEX(Log!$D:$D,MATCH(G57,Log!$A:$A,0)),"ID não encontrado no Log"))</f>
        <v/>
      </c>
      <c r="I57" s="23"/>
      <c r="J57" s="11"/>
    </row>
    <row r="58" customFormat="false" ht="15" hidden="false" customHeight="false" outlineLevel="0" collapsed="false">
      <c r="A58" s="22"/>
      <c r="B58" s="11"/>
      <c r="C58" s="11"/>
      <c r="D58" s="23"/>
      <c r="E58" s="23"/>
      <c r="F58" s="11"/>
      <c r="G58" s="24"/>
      <c r="H58" s="25" t="str">
        <f aca="false">IF(G58="","",IFERROR(INDEX(Log!$D:$D,MATCH(G58,Log!$A:$A,0)),"ID não encontrado no Log"))</f>
        <v/>
      </c>
      <c r="I58" s="23"/>
      <c r="J58" s="11"/>
    </row>
    <row r="59" customFormat="false" ht="15" hidden="false" customHeight="false" outlineLevel="0" collapsed="false">
      <c r="A59" s="22"/>
      <c r="B59" s="11"/>
      <c r="C59" s="11"/>
      <c r="D59" s="23"/>
      <c r="E59" s="23"/>
      <c r="F59" s="11"/>
      <c r="G59" s="24"/>
      <c r="H59" s="25" t="str">
        <f aca="false">IF(G59="","",IFERROR(INDEX(Log!$D:$D,MATCH(G59,Log!$A:$A,0)),"ID não encontrado no Log"))</f>
        <v/>
      </c>
      <c r="I59" s="23"/>
      <c r="J59" s="11"/>
    </row>
    <row r="60" customFormat="false" ht="15" hidden="false" customHeight="false" outlineLevel="0" collapsed="false">
      <c r="A60" s="22"/>
      <c r="B60" s="11"/>
      <c r="C60" s="11"/>
      <c r="D60" s="23"/>
      <c r="E60" s="23"/>
      <c r="F60" s="11"/>
      <c r="G60" s="24"/>
      <c r="H60" s="25" t="str">
        <f aca="false">IF(G60="","",IFERROR(INDEX(Log!$D:$D,MATCH(G60,Log!$A:$A,0)),"ID não encontrado no Log"))</f>
        <v/>
      </c>
      <c r="I60" s="23"/>
      <c r="J60" s="11"/>
    </row>
    <row r="61" customFormat="false" ht="15" hidden="false" customHeight="false" outlineLevel="0" collapsed="false">
      <c r="A61" s="22"/>
      <c r="B61" s="11"/>
      <c r="C61" s="11"/>
      <c r="D61" s="23"/>
      <c r="E61" s="23"/>
      <c r="F61" s="11"/>
      <c r="G61" s="24"/>
      <c r="H61" s="25" t="str">
        <f aca="false">IF(G61="","",IFERROR(INDEX(Log!$D:$D,MATCH(G61,Log!$A:$A,0)),"ID não encontrado no Log"))</f>
        <v/>
      </c>
      <c r="I61" s="23"/>
      <c r="J61" s="11"/>
    </row>
    <row r="62" customFormat="false" ht="15" hidden="false" customHeight="false" outlineLevel="0" collapsed="false">
      <c r="A62" s="22"/>
      <c r="B62" s="11"/>
      <c r="C62" s="11"/>
      <c r="D62" s="23"/>
      <c r="E62" s="23"/>
      <c r="F62" s="11"/>
      <c r="G62" s="24"/>
      <c r="H62" s="25" t="str">
        <f aca="false">IF(G62="","",IFERROR(INDEX(Log!$D:$D,MATCH(G62,Log!$A:$A,0)),"ID não encontrado no Log"))</f>
        <v/>
      </c>
      <c r="I62" s="23"/>
      <c r="J62" s="11"/>
    </row>
    <row r="63" customFormat="false" ht="15" hidden="false" customHeight="false" outlineLevel="0" collapsed="false">
      <c r="A63" s="22"/>
      <c r="B63" s="11"/>
      <c r="C63" s="11"/>
      <c r="D63" s="23"/>
      <c r="E63" s="23"/>
      <c r="F63" s="11"/>
      <c r="G63" s="24"/>
      <c r="H63" s="25" t="str">
        <f aca="false">IF(G63="","",IFERROR(INDEX(Log!$D:$D,MATCH(G63,Log!$A:$A,0)),"ID não encontrado no Log"))</f>
        <v/>
      </c>
      <c r="I63" s="23"/>
      <c r="J63" s="11"/>
    </row>
    <row r="64" customFormat="false" ht="15" hidden="false" customHeight="false" outlineLevel="0" collapsed="false">
      <c r="A64" s="22"/>
      <c r="B64" s="11"/>
      <c r="C64" s="11"/>
      <c r="D64" s="23"/>
      <c r="E64" s="23"/>
      <c r="F64" s="11"/>
      <c r="G64" s="24"/>
      <c r="H64" s="25" t="str">
        <f aca="false">IF(G64="","",IFERROR(INDEX(Log!$D:$D,MATCH(G64,Log!$A:$A,0)),"ID não encontrado no Log"))</f>
        <v/>
      </c>
      <c r="I64" s="23"/>
      <c r="J64" s="11"/>
    </row>
    <row r="65" customFormat="false" ht="15" hidden="false" customHeight="false" outlineLevel="0" collapsed="false">
      <c r="A65" s="22"/>
      <c r="B65" s="11"/>
      <c r="C65" s="11"/>
      <c r="D65" s="23"/>
      <c r="E65" s="23"/>
      <c r="F65" s="11"/>
      <c r="G65" s="24"/>
      <c r="H65" s="25" t="str">
        <f aca="false">IF(G65="","",IFERROR(INDEX(Log!$D:$D,MATCH(G65,Log!$A:$A,0)),"ID não encontrado no Log"))</f>
        <v/>
      </c>
      <c r="I65" s="23"/>
      <c r="J65" s="11"/>
    </row>
    <row r="66" customFormat="false" ht="15" hidden="false" customHeight="false" outlineLevel="0" collapsed="false">
      <c r="A66" s="22"/>
      <c r="B66" s="11"/>
      <c r="C66" s="11"/>
      <c r="D66" s="23"/>
      <c r="E66" s="23"/>
      <c r="F66" s="11"/>
      <c r="G66" s="24"/>
      <c r="H66" s="25" t="str">
        <f aca="false">IF(G66="","",IFERROR(INDEX(Log!$D:$D,MATCH(G66,Log!$A:$A,0)),"ID não encontrado no Log"))</f>
        <v/>
      </c>
      <c r="I66" s="23"/>
      <c r="J66" s="11"/>
    </row>
    <row r="67" customFormat="false" ht="15" hidden="false" customHeight="false" outlineLevel="0" collapsed="false">
      <c r="A67" s="22"/>
      <c r="B67" s="11"/>
      <c r="C67" s="11"/>
      <c r="D67" s="23"/>
      <c r="E67" s="23"/>
      <c r="F67" s="11"/>
      <c r="G67" s="24"/>
      <c r="H67" s="25" t="str">
        <f aca="false">IF(G67="","",IFERROR(INDEX(Log!$D:$D,MATCH(G67,Log!$A:$A,0)),"ID não encontrado no Log"))</f>
        <v/>
      </c>
      <c r="I67" s="23"/>
      <c r="J67" s="11"/>
    </row>
    <row r="68" customFormat="false" ht="15" hidden="false" customHeight="false" outlineLevel="0" collapsed="false">
      <c r="A68" s="22"/>
      <c r="B68" s="11"/>
      <c r="C68" s="11"/>
      <c r="D68" s="23"/>
      <c r="E68" s="23"/>
      <c r="F68" s="11"/>
      <c r="G68" s="24"/>
      <c r="H68" s="25" t="str">
        <f aca="false">IF(G68="","",IFERROR(INDEX(Log!$D:$D,MATCH(G68,Log!$A:$A,0)),"ID não encontrado no Log"))</f>
        <v/>
      </c>
      <c r="I68" s="23"/>
      <c r="J68" s="11"/>
    </row>
    <row r="69" customFormat="false" ht="15" hidden="false" customHeight="false" outlineLevel="0" collapsed="false">
      <c r="A69" s="22"/>
      <c r="B69" s="11"/>
      <c r="C69" s="11"/>
      <c r="D69" s="23"/>
      <c r="E69" s="23"/>
      <c r="F69" s="11"/>
      <c r="G69" s="24"/>
      <c r="H69" s="25" t="str">
        <f aca="false">IF(G69="","",IFERROR(INDEX(Log!$D:$D,MATCH(G69,Log!$A:$A,0)),"ID não encontrado no Log"))</f>
        <v/>
      </c>
      <c r="I69" s="23"/>
      <c r="J69" s="11"/>
    </row>
    <row r="70" customFormat="false" ht="15" hidden="false" customHeight="false" outlineLevel="0" collapsed="false">
      <c r="A70" s="22"/>
      <c r="B70" s="11"/>
      <c r="C70" s="11"/>
      <c r="D70" s="23"/>
      <c r="E70" s="23"/>
      <c r="F70" s="11"/>
      <c r="G70" s="24"/>
      <c r="H70" s="25" t="str">
        <f aca="false">IF(G70="","",IFERROR(INDEX(Log!$D:$D,MATCH(G70,Log!$A:$A,0)),"ID não encontrado no Log"))</f>
        <v/>
      </c>
      <c r="I70" s="23"/>
      <c r="J70" s="11"/>
    </row>
    <row r="71" customFormat="false" ht="15" hidden="false" customHeight="false" outlineLevel="0" collapsed="false">
      <c r="A71" s="22"/>
      <c r="B71" s="11"/>
      <c r="C71" s="11"/>
      <c r="D71" s="23"/>
      <c r="E71" s="23"/>
      <c r="F71" s="11"/>
      <c r="G71" s="24"/>
      <c r="H71" s="25" t="str">
        <f aca="false">IF(G71="","",IFERROR(INDEX(Log!$D:$D,MATCH(G71,Log!$A:$A,0)),"ID não encontrado no Log"))</f>
        <v/>
      </c>
      <c r="I71" s="23"/>
      <c r="J71" s="11"/>
    </row>
    <row r="72" customFormat="false" ht="15" hidden="false" customHeight="false" outlineLevel="0" collapsed="false">
      <c r="A72" s="22"/>
      <c r="B72" s="11"/>
      <c r="C72" s="11"/>
      <c r="D72" s="23"/>
      <c r="E72" s="23"/>
      <c r="F72" s="11"/>
      <c r="G72" s="24"/>
      <c r="H72" s="25" t="str">
        <f aca="false">IF(G72="","",IFERROR(INDEX(Log!$D:$D,MATCH(G72,Log!$A:$A,0)),"ID não encontrado no Log"))</f>
        <v/>
      </c>
      <c r="I72" s="23"/>
      <c r="J72" s="11"/>
    </row>
    <row r="73" customFormat="false" ht="15" hidden="false" customHeight="false" outlineLevel="0" collapsed="false">
      <c r="A73" s="22"/>
      <c r="B73" s="11"/>
      <c r="C73" s="11"/>
      <c r="D73" s="23"/>
      <c r="E73" s="23"/>
      <c r="F73" s="11"/>
      <c r="G73" s="24"/>
      <c r="H73" s="25" t="str">
        <f aca="false">IF(G73="","",IFERROR(INDEX(Log!$D:$D,MATCH(G73,Log!$A:$A,0)),"ID não encontrado no Log"))</f>
        <v/>
      </c>
      <c r="I73" s="23"/>
      <c r="J73" s="11"/>
    </row>
    <row r="74" customFormat="false" ht="15" hidden="false" customHeight="false" outlineLevel="0" collapsed="false">
      <c r="A74" s="22"/>
      <c r="B74" s="11"/>
      <c r="C74" s="11"/>
      <c r="D74" s="23"/>
      <c r="E74" s="23"/>
      <c r="F74" s="11"/>
      <c r="G74" s="24"/>
      <c r="H74" s="25" t="str">
        <f aca="false">IF(G74="","",IFERROR(INDEX(Log!$D:$D,MATCH(G74,Log!$A:$A,0)),"ID não encontrado no Log"))</f>
        <v/>
      </c>
      <c r="I74" s="23"/>
      <c r="J74" s="11"/>
    </row>
    <row r="75" customFormat="false" ht="15" hidden="false" customHeight="false" outlineLevel="0" collapsed="false">
      <c r="A75" s="22"/>
      <c r="B75" s="11"/>
      <c r="C75" s="11"/>
      <c r="D75" s="23"/>
      <c r="E75" s="23"/>
      <c r="F75" s="11"/>
      <c r="G75" s="24"/>
      <c r="H75" s="25" t="str">
        <f aca="false">IF(G75="","",IFERROR(INDEX(Log!$D:$D,MATCH(G75,Log!$A:$A,0)),"ID não encontrado no Log"))</f>
        <v/>
      </c>
      <c r="I75" s="23"/>
      <c r="J75" s="11"/>
    </row>
    <row r="76" customFormat="false" ht="15" hidden="false" customHeight="false" outlineLevel="0" collapsed="false">
      <c r="A76" s="22"/>
      <c r="B76" s="11"/>
      <c r="C76" s="11"/>
      <c r="D76" s="23"/>
      <c r="E76" s="23"/>
      <c r="F76" s="11"/>
      <c r="G76" s="24"/>
      <c r="H76" s="25" t="str">
        <f aca="false">IF(G76="","",IFERROR(INDEX(Log!$D:$D,MATCH(G76,Log!$A:$A,0)),"ID não encontrado no Log"))</f>
        <v/>
      </c>
      <c r="I76" s="23"/>
      <c r="J76" s="11"/>
    </row>
    <row r="77" customFormat="false" ht="15" hidden="false" customHeight="false" outlineLevel="0" collapsed="false">
      <c r="A77" s="22"/>
      <c r="B77" s="11"/>
      <c r="C77" s="11"/>
      <c r="D77" s="23"/>
      <c r="E77" s="23"/>
      <c r="F77" s="11"/>
      <c r="G77" s="24"/>
      <c r="H77" s="25" t="str">
        <f aca="false">IF(G77="","",IFERROR(INDEX(Log!$D:$D,MATCH(G77,Log!$A:$A,0)),"ID não encontrado no Log"))</f>
        <v/>
      </c>
      <c r="I77" s="23"/>
      <c r="J77" s="11"/>
    </row>
    <row r="78" customFormat="false" ht="15" hidden="false" customHeight="false" outlineLevel="0" collapsed="false">
      <c r="A78" s="22"/>
      <c r="B78" s="11"/>
      <c r="C78" s="11"/>
      <c r="D78" s="23"/>
      <c r="E78" s="23"/>
      <c r="F78" s="11"/>
      <c r="G78" s="24"/>
      <c r="H78" s="25" t="str">
        <f aca="false">IF(G78="","",IFERROR(INDEX(Log!$D:$D,MATCH(G78,Log!$A:$A,0)),"ID não encontrado no Log"))</f>
        <v/>
      </c>
      <c r="I78" s="23"/>
      <c r="J78" s="11"/>
    </row>
    <row r="79" customFormat="false" ht="15" hidden="false" customHeight="false" outlineLevel="0" collapsed="false">
      <c r="A79" s="22"/>
      <c r="B79" s="11"/>
      <c r="C79" s="11"/>
      <c r="D79" s="23"/>
      <c r="E79" s="23"/>
      <c r="F79" s="11"/>
      <c r="G79" s="24"/>
      <c r="H79" s="25" t="str">
        <f aca="false">IF(G79="","",IFERROR(INDEX(Log!$D:$D,MATCH(G79,Log!$A:$A,0)),"ID não encontrado no Log"))</f>
        <v/>
      </c>
      <c r="I79" s="23"/>
      <c r="J79" s="11"/>
    </row>
    <row r="80" customFormat="false" ht="15" hidden="false" customHeight="false" outlineLevel="0" collapsed="false">
      <c r="A80" s="22"/>
      <c r="B80" s="11"/>
      <c r="C80" s="11"/>
      <c r="D80" s="23"/>
      <c r="E80" s="23"/>
      <c r="F80" s="11"/>
      <c r="G80" s="24"/>
      <c r="H80" s="25" t="str">
        <f aca="false">IF(G80="","",IFERROR(INDEX(Log!$D:$D,MATCH(G80,Log!$A:$A,0)),"ID não encontrado no Log"))</f>
        <v/>
      </c>
      <c r="I80" s="23"/>
      <c r="J80" s="11"/>
    </row>
    <row r="81" customFormat="false" ht="15" hidden="false" customHeight="false" outlineLevel="0" collapsed="false">
      <c r="A81" s="22"/>
      <c r="B81" s="11"/>
      <c r="C81" s="11"/>
      <c r="D81" s="23"/>
      <c r="E81" s="23"/>
      <c r="F81" s="11"/>
      <c r="G81" s="24"/>
      <c r="H81" s="25" t="str">
        <f aca="false">IF(G81="","",IFERROR(INDEX(Log!$D:$D,MATCH(G81,Log!$A:$A,0)),"ID não encontrado no Log"))</f>
        <v/>
      </c>
      <c r="I81" s="23"/>
      <c r="J81" s="11"/>
    </row>
    <row r="82" customFormat="false" ht="15" hidden="false" customHeight="false" outlineLevel="0" collapsed="false">
      <c r="A82" s="22"/>
      <c r="B82" s="11"/>
      <c r="C82" s="11"/>
      <c r="D82" s="23"/>
      <c r="E82" s="23"/>
      <c r="F82" s="11"/>
      <c r="G82" s="24"/>
      <c r="H82" s="25" t="str">
        <f aca="false">IF(G82="","",IFERROR(INDEX(Log!$D:$D,MATCH(G82,Log!$A:$A,0)),"ID não encontrado no Log"))</f>
        <v/>
      </c>
      <c r="I82" s="23"/>
      <c r="J82" s="11"/>
    </row>
    <row r="83" customFormat="false" ht="15" hidden="false" customHeight="false" outlineLevel="0" collapsed="false">
      <c r="A83" s="22"/>
      <c r="B83" s="11"/>
      <c r="C83" s="11"/>
      <c r="D83" s="23"/>
      <c r="E83" s="23"/>
      <c r="F83" s="11"/>
      <c r="G83" s="24"/>
      <c r="H83" s="25" t="str">
        <f aca="false">IF(G83="","",IFERROR(INDEX(Log!$D:$D,MATCH(G83,Log!$A:$A,0)),"ID não encontrado no Log"))</f>
        <v/>
      </c>
      <c r="I83" s="23"/>
      <c r="J83" s="11"/>
    </row>
    <row r="84" customFormat="false" ht="15" hidden="false" customHeight="false" outlineLevel="0" collapsed="false">
      <c r="A84" s="22"/>
      <c r="B84" s="11"/>
      <c r="C84" s="11"/>
      <c r="D84" s="23"/>
      <c r="E84" s="23"/>
      <c r="F84" s="11"/>
      <c r="G84" s="24"/>
      <c r="H84" s="25" t="str">
        <f aca="false">IF(G84="","",IFERROR(INDEX(Log!$D:$D,MATCH(G84,Log!$A:$A,0)),"ID não encontrado no Log"))</f>
        <v/>
      </c>
      <c r="I84" s="23"/>
      <c r="J84" s="11"/>
    </row>
    <row r="85" customFormat="false" ht="15" hidden="false" customHeight="false" outlineLevel="0" collapsed="false">
      <c r="A85" s="22"/>
      <c r="B85" s="11"/>
      <c r="C85" s="11"/>
      <c r="D85" s="23"/>
      <c r="E85" s="23"/>
      <c r="F85" s="11"/>
      <c r="G85" s="24"/>
      <c r="H85" s="25" t="str">
        <f aca="false">IF(G85="","",IFERROR(INDEX(Log!$D:$D,MATCH(G85,Log!$A:$A,0)),"ID não encontrado no Log"))</f>
        <v/>
      </c>
      <c r="I85" s="23"/>
      <c r="J85" s="11"/>
    </row>
    <row r="86" customFormat="false" ht="15" hidden="false" customHeight="false" outlineLevel="0" collapsed="false">
      <c r="A86" s="22"/>
      <c r="B86" s="11"/>
      <c r="C86" s="11"/>
      <c r="D86" s="23"/>
      <c r="E86" s="23"/>
      <c r="F86" s="11"/>
      <c r="G86" s="24"/>
      <c r="H86" s="25" t="str">
        <f aca="false">IF(G86="","",IFERROR(INDEX(Log!$D:$D,MATCH(G86,Log!$A:$A,0)),"ID não encontrado no Log"))</f>
        <v/>
      </c>
      <c r="I86" s="23"/>
      <c r="J86" s="11"/>
    </row>
    <row r="87" customFormat="false" ht="15" hidden="false" customHeight="false" outlineLevel="0" collapsed="false">
      <c r="A87" s="22"/>
      <c r="B87" s="11"/>
      <c r="C87" s="11"/>
      <c r="D87" s="23"/>
      <c r="E87" s="23"/>
      <c r="F87" s="11"/>
      <c r="G87" s="24"/>
      <c r="H87" s="25" t="str">
        <f aca="false">IF(G87="","",IFERROR(INDEX(Log!$D:$D,MATCH(G87,Log!$A:$A,0)),"ID não encontrado no Log"))</f>
        <v/>
      </c>
      <c r="I87" s="23"/>
      <c r="J87" s="11"/>
    </row>
    <row r="88" customFormat="false" ht="15" hidden="false" customHeight="false" outlineLevel="0" collapsed="false">
      <c r="A88" s="22"/>
      <c r="B88" s="11"/>
      <c r="C88" s="11"/>
      <c r="D88" s="23"/>
      <c r="E88" s="23"/>
      <c r="F88" s="11"/>
      <c r="G88" s="24"/>
      <c r="H88" s="25" t="str">
        <f aca="false">IF(G88="","",IFERROR(INDEX(Log!$D:$D,MATCH(G88,Log!$A:$A,0)),"ID não encontrado no Log"))</f>
        <v/>
      </c>
      <c r="I88" s="23"/>
      <c r="J88" s="11"/>
    </row>
    <row r="89" customFormat="false" ht="15" hidden="false" customHeight="false" outlineLevel="0" collapsed="false">
      <c r="A89" s="22"/>
      <c r="B89" s="11"/>
      <c r="C89" s="11"/>
      <c r="D89" s="23"/>
      <c r="E89" s="23"/>
      <c r="F89" s="11"/>
      <c r="G89" s="24"/>
      <c r="H89" s="25" t="str">
        <f aca="false">IF(G89="","",IFERROR(INDEX(Log!$D:$D,MATCH(G89,Log!$A:$A,0)),"ID não encontrado no Log"))</f>
        <v/>
      </c>
      <c r="I89" s="23"/>
      <c r="J89" s="11"/>
    </row>
    <row r="90" customFormat="false" ht="15" hidden="false" customHeight="false" outlineLevel="0" collapsed="false">
      <c r="A90" s="22"/>
      <c r="B90" s="11"/>
      <c r="C90" s="11"/>
      <c r="D90" s="23"/>
      <c r="E90" s="23"/>
      <c r="F90" s="11"/>
      <c r="G90" s="24"/>
      <c r="H90" s="25" t="str">
        <f aca="false">IF(G90="","",IFERROR(INDEX(Log!$D:$D,MATCH(G90,Log!$A:$A,0)),"ID não encontrado no Log"))</f>
        <v/>
      </c>
      <c r="I90" s="23"/>
      <c r="J90" s="11"/>
    </row>
    <row r="91" customFormat="false" ht="15" hidden="false" customHeight="false" outlineLevel="0" collapsed="false">
      <c r="A91" s="22"/>
      <c r="B91" s="11"/>
      <c r="C91" s="11"/>
      <c r="D91" s="23"/>
      <c r="E91" s="23"/>
      <c r="F91" s="11"/>
      <c r="G91" s="24"/>
      <c r="H91" s="25" t="str">
        <f aca="false">IF(G91="","",IFERROR(INDEX(Log!$D:$D,MATCH(G91,Log!$A:$A,0)),"ID não encontrado no Log"))</f>
        <v/>
      </c>
      <c r="I91" s="23"/>
      <c r="J91" s="11"/>
    </row>
    <row r="92" customFormat="false" ht="15" hidden="false" customHeight="false" outlineLevel="0" collapsed="false">
      <c r="A92" s="22"/>
      <c r="B92" s="11"/>
      <c r="C92" s="11"/>
      <c r="D92" s="23"/>
      <c r="E92" s="23"/>
      <c r="F92" s="11"/>
      <c r="G92" s="24"/>
      <c r="H92" s="25" t="str">
        <f aca="false">IF(G92="","",IFERROR(INDEX(Log!$D:$D,MATCH(G92,Log!$A:$A,0)),"ID não encontrado no Log"))</f>
        <v/>
      </c>
      <c r="I92" s="23"/>
      <c r="J92" s="11"/>
    </row>
    <row r="93" customFormat="false" ht="15" hidden="false" customHeight="false" outlineLevel="0" collapsed="false">
      <c r="A93" s="22"/>
      <c r="B93" s="11"/>
      <c r="C93" s="11"/>
      <c r="D93" s="23"/>
      <c r="E93" s="23"/>
      <c r="F93" s="11"/>
      <c r="G93" s="24"/>
      <c r="H93" s="25" t="str">
        <f aca="false">IF(G93="","",IFERROR(INDEX(Log!$D:$D,MATCH(G93,Log!$A:$A,0)),"ID não encontrado no Log"))</f>
        <v/>
      </c>
      <c r="I93" s="23"/>
      <c r="J93" s="11"/>
    </row>
    <row r="94" customFormat="false" ht="15" hidden="false" customHeight="false" outlineLevel="0" collapsed="false">
      <c r="A94" s="22"/>
      <c r="B94" s="11"/>
      <c r="C94" s="11"/>
      <c r="D94" s="23"/>
      <c r="E94" s="23"/>
      <c r="F94" s="11"/>
      <c r="G94" s="24"/>
      <c r="H94" s="25" t="str">
        <f aca="false">IF(G94="","",IFERROR(INDEX(Log!$D:$D,MATCH(G94,Log!$A:$A,0)),"ID não encontrado no Log"))</f>
        <v/>
      </c>
      <c r="I94" s="23"/>
      <c r="J94" s="11"/>
    </row>
    <row r="95" customFormat="false" ht="15" hidden="false" customHeight="false" outlineLevel="0" collapsed="false">
      <c r="A95" s="22"/>
      <c r="B95" s="11"/>
      <c r="C95" s="11"/>
      <c r="D95" s="23"/>
      <c r="E95" s="23"/>
      <c r="F95" s="11"/>
      <c r="G95" s="24"/>
      <c r="H95" s="25" t="str">
        <f aca="false">IF(G95="","",IFERROR(INDEX(Log!$D:$D,MATCH(G95,Log!$A:$A,0)),"ID não encontrado no Log"))</f>
        <v/>
      </c>
      <c r="I95" s="23"/>
      <c r="J95" s="11"/>
    </row>
    <row r="96" customFormat="false" ht="15" hidden="false" customHeight="false" outlineLevel="0" collapsed="false">
      <c r="A96" s="22"/>
      <c r="B96" s="11"/>
      <c r="C96" s="11"/>
      <c r="D96" s="23"/>
      <c r="E96" s="23"/>
      <c r="F96" s="11"/>
      <c r="G96" s="24"/>
      <c r="H96" s="25" t="str">
        <f aca="false">IF(G96="","",IFERROR(INDEX(Log!$D:$D,MATCH(G96,Log!$A:$A,0)),"ID não encontrado no Log"))</f>
        <v/>
      </c>
      <c r="I96" s="23"/>
      <c r="J96" s="11"/>
    </row>
    <row r="97" customFormat="false" ht="15" hidden="false" customHeight="false" outlineLevel="0" collapsed="false">
      <c r="A97" s="22"/>
      <c r="B97" s="11"/>
      <c r="C97" s="11"/>
      <c r="D97" s="23"/>
      <c r="E97" s="23"/>
      <c r="F97" s="11"/>
      <c r="G97" s="24"/>
      <c r="H97" s="25" t="str">
        <f aca="false">IF(G97="","",IFERROR(INDEX(Log!$D:$D,MATCH(G97,Log!$A:$A,0)),"ID não encontrado no Log"))</f>
        <v/>
      </c>
      <c r="I97" s="23"/>
      <c r="J97" s="11"/>
    </row>
    <row r="98" customFormat="false" ht="15" hidden="false" customHeight="false" outlineLevel="0" collapsed="false">
      <c r="A98" s="22"/>
      <c r="B98" s="11"/>
      <c r="C98" s="11"/>
      <c r="D98" s="23"/>
      <c r="E98" s="23"/>
      <c r="F98" s="11"/>
      <c r="G98" s="24"/>
      <c r="H98" s="25" t="str">
        <f aca="false">IF(G98="","",IFERROR(INDEX(Log!$D:$D,MATCH(G98,Log!$A:$A,0)),"ID não encontrado no Log"))</f>
        <v/>
      </c>
      <c r="I98" s="23"/>
      <c r="J98" s="11"/>
    </row>
    <row r="99" customFormat="false" ht="15" hidden="false" customHeight="false" outlineLevel="0" collapsed="false">
      <c r="A99" s="22"/>
      <c r="B99" s="11"/>
      <c r="C99" s="11"/>
      <c r="D99" s="23"/>
      <c r="E99" s="23"/>
      <c r="F99" s="11"/>
      <c r="G99" s="24"/>
      <c r="H99" s="25" t="str">
        <f aca="false">IF(G99="","",IFERROR(INDEX(Log!$D:$D,MATCH(G99,Log!$A:$A,0)),"ID não encontrado no Log"))</f>
        <v/>
      </c>
      <c r="I99" s="23"/>
      <c r="J99" s="11"/>
    </row>
    <row r="100" customFormat="false" ht="15" hidden="false" customHeight="false" outlineLevel="0" collapsed="false">
      <c r="A100" s="22"/>
      <c r="B100" s="11"/>
      <c r="C100" s="11"/>
      <c r="D100" s="23"/>
      <c r="E100" s="23"/>
      <c r="F100" s="11"/>
      <c r="G100" s="24"/>
      <c r="H100" s="25" t="str">
        <f aca="false">IF(G100="","",IFERROR(INDEX(Log!$D:$D,MATCH(G100,Log!$A:$A,0)),"ID não encontrado no Log"))</f>
        <v/>
      </c>
      <c r="I100" s="23"/>
      <c r="J100" s="11"/>
    </row>
    <row r="101" customFormat="false" ht="15" hidden="false" customHeight="false" outlineLevel="0" collapsed="false">
      <c r="A101" s="22"/>
      <c r="B101" s="11"/>
      <c r="C101" s="11"/>
      <c r="D101" s="23"/>
      <c r="E101" s="23"/>
      <c r="F101" s="11"/>
      <c r="G101" s="24"/>
      <c r="H101" s="25" t="str">
        <f aca="false">IF(G101="","",IFERROR(INDEX(Log!$D:$D,MATCH(G101,Log!$A:$A,0)),"ID não encontrado no Log"))</f>
        <v/>
      </c>
      <c r="I101" s="23"/>
      <c r="J101" s="11"/>
    </row>
    <row r="102" customFormat="false" ht="15" hidden="false" customHeight="false" outlineLevel="0" collapsed="false">
      <c r="A102" s="22"/>
      <c r="B102" s="11"/>
      <c r="C102" s="11"/>
      <c r="D102" s="23"/>
      <c r="E102" s="23"/>
      <c r="F102" s="11"/>
      <c r="G102" s="24"/>
      <c r="H102" s="25" t="str">
        <f aca="false">IF(G102="","",IFERROR(INDEX(Log!$D:$D,MATCH(G102,Log!$A:$A,0)),"ID não encontrado no Log"))</f>
        <v/>
      </c>
      <c r="I102" s="23"/>
      <c r="J102" s="11"/>
    </row>
    <row r="103" customFormat="false" ht="15" hidden="false" customHeight="false" outlineLevel="0" collapsed="false">
      <c r="A103" s="22"/>
      <c r="B103" s="11"/>
      <c r="C103" s="11"/>
      <c r="D103" s="23"/>
      <c r="E103" s="23"/>
      <c r="F103" s="11"/>
      <c r="G103" s="24"/>
      <c r="H103" s="25" t="str">
        <f aca="false">IF(G103="","",IFERROR(INDEX(Log!$D:$D,MATCH(G103,Log!$A:$A,0)),"ID não encontrado no Log"))</f>
        <v/>
      </c>
      <c r="I103" s="23"/>
      <c r="J103" s="11"/>
    </row>
    <row r="104" customFormat="false" ht="15" hidden="false" customHeight="false" outlineLevel="0" collapsed="false">
      <c r="A104" s="22"/>
      <c r="B104" s="11"/>
      <c r="C104" s="11"/>
      <c r="D104" s="23"/>
      <c r="E104" s="23"/>
      <c r="F104" s="11"/>
      <c r="G104" s="24"/>
      <c r="H104" s="25" t="str">
        <f aca="false">IF(G104="","",IFERROR(INDEX(Log!$D:$D,MATCH(G104,Log!$A:$A,0)),"ID não encontrado no Log"))</f>
        <v/>
      </c>
      <c r="I104" s="23"/>
      <c r="J104" s="11"/>
    </row>
    <row r="105" customFormat="false" ht="15" hidden="false" customHeight="false" outlineLevel="0" collapsed="false">
      <c r="A105" s="22"/>
      <c r="B105" s="11"/>
      <c r="C105" s="11"/>
      <c r="D105" s="23"/>
      <c r="E105" s="23"/>
      <c r="F105" s="11"/>
      <c r="G105" s="24"/>
      <c r="H105" s="25" t="str">
        <f aca="false">IF(G105="","",IFERROR(INDEX(Log!$D:$D,MATCH(G105,Log!$A:$A,0)),"ID não encontrado no Log"))</f>
        <v/>
      </c>
      <c r="I105" s="23"/>
      <c r="J105" s="11"/>
    </row>
    <row r="106" customFormat="false" ht="15" hidden="false" customHeight="false" outlineLevel="0" collapsed="false">
      <c r="A106" s="22"/>
      <c r="B106" s="11"/>
      <c r="C106" s="11"/>
      <c r="D106" s="23"/>
      <c r="E106" s="23"/>
      <c r="F106" s="11"/>
      <c r="G106" s="24"/>
      <c r="H106" s="25" t="str">
        <f aca="false">IF(G106="","",IFERROR(INDEX(Log!$D:$D,MATCH(G106,Log!$A:$A,0)),"ID não encontrado no Log"))</f>
        <v/>
      </c>
      <c r="I106" s="23"/>
      <c r="J106" s="11"/>
    </row>
    <row r="107" customFormat="false" ht="15" hidden="false" customHeight="false" outlineLevel="0" collapsed="false">
      <c r="A107" s="22"/>
      <c r="B107" s="11"/>
      <c r="C107" s="11"/>
      <c r="D107" s="23"/>
      <c r="E107" s="23"/>
      <c r="F107" s="11"/>
      <c r="G107" s="24"/>
      <c r="H107" s="25" t="str">
        <f aca="false">IF(G107="","",IFERROR(INDEX(Log!$D:$D,MATCH(G107,Log!$A:$A,0)),"ID não encontrado no Log"))</f>
        <v/>
      </c>
      <c r="I107" s="23"/>
      <c r="J107" s="11"/>
    </row>
    <row r="108" customFormat="false" ht="15" hidden="false" customHeight="false" outlineLevel="0" collapsed="false">
      <c r="A108" s="22"/>
      <c r="B108" s="11"/>
      <c r="C108" s="11"/>
      <c r="D108" s="23"/>
      <c r="E108" s="23"/>
      <c r="F108" s="11"/>
      <c r="G108" s="24"/>
      <c r="H108" s="25" t="str">
        <f aca="false">IF(G108="","",IFERROR(INDEX(Log!$D:$D,MATCH(G108,Log!$A:$A,0)),"ID não encontrado no Log"))</f>
        <v/>
      </c>
      <c r="I108" s="23"/>
      <c r="J108" s="11"/>
    </row>
    <row r="109" customFormat="false" ht="15" hidden="false" customHeight="false" outlineLevel="0" collapsed="false">
      <c r="A109" s="22"/>
      <c r="B109" s="11"/>
      <c r="C109" s="11"/>
      <c r="D109" s="23"/>
      <c r="E109" s="23"/>
      <c r="F109" s="11"/>
      <c r="G109" s="24"/>
      <c r="H109" s="25" t="str">
        <f aca="false">IF(G109="","",IFERROR(INDEX(Log!$D:$D,MATCH(G109,Log!$A:$A,0)),"ID não encontrado no Log"))</f>
        <v/>
      </c>
      <c r="I109" s="23"/>
      <c r="J109" s="11"/>
    </row>
    <row r="110" customFormat="false" ht="15" hidden="false" customHeight="false" outlineLevel="0" collapsed="false">
      <c r="A110" s="22"/>
      <c r="B110" s="11"/>
      <c r="C110" s="11"/>
      <c r="D110" s="23"/>
      <c r="E110" s="23"/>
      <c r="F110" s="11"/>
      <c r="G110" s="24"/>
      <c r="H110" s="25" t="str">
        <f aca="false">IF(G110="","",IFERROR(INDEX(Log!$D:$D,MATCH(G110,Log!$A:$A,0)),"ID não encontrado no Log"))</f>
        <v/>
      </c>
      <c r="I110" s="23"/>
      <c r="J110" s="11"/>
    </row>
    <row r="111" customFormat="false" ht="15" hidden="false" customHeight="false" outlineLevel="0" collapsed="false">
      <c r="A111" s="22"/>
      <c r="B111" s="11"/>
      <c r="C111" s="11"/>
      <c r="D111" s="23"/>
      <c r="E111" s="23"/>
      <c r="F111" s="11"/>
      <c r="G111" s="24"/>
      <c r="H111" s="25" t="str">
        <f aca="false">IF(G111="","",IFERROR(INDEX(Log!$D:$D,MATCH(G111,Log!$A:$A,0)),"ID não encontrado no Log"))</f>
        <v/>
      </c>
      <c r="I111" s="23"/>
      <c r="J111" s="11"/>
    </row>
    <row r="112" customFormat="false" ht="15" hidden="false" customHeight="false" outlineLevel="0" collapsed="false">
      <c r="A112" s="22"/>
      <c r="B112" s="11"/>
      <c r="C112" s="11"/>
      <c r="D112" s="23"/>
      <c r="E112" s="23"/>
      <c r="F112" s="11"/>
      <c r="G112" s="24"/>
      <c r="H112" s="25" t="str">
        <f aca="false">IF(G112="","",IFERROR(INDEX(Log!$D:$D,MATCH(G112,Log!$A:$A,0)),"ID não encontrado no Log"))</f>
        <v/>
      </c>
      <c r="I112" s="23"/>
      <c r="J112" s="11"/>
    </row>
    <row r="113" customFormat="false" ht="15" hidden="false" customHeight="false" outlineLevel="0" collapsed="false">
      <c r="A113" s="22"/>
      <c r="B113" s="11"/>
      <c r="C113" s="11"/>
      <c r="D113" s="23"/>
      <c r="E113" s="23"/>
      <c r="F113" s="11"/>
      <c r="G113" s="24"/>
      <c r="H113" s="25" t="str">
        <f aca="false">IF(G113="","",IFERROR(INDEX(Log!$D:$D,MATCH(G113,Log!$A:$A,0)),"ID não encontrado no Log"))</f>
        <v/>
      </c>
      <c r="I113" s="23"/>
      <c r="J113" s="11"/>
    </row>
    <row r="114" customFormat="false" ht="15" hidden="false" customHeight="false" outlineLevel="0" collapsed="false">
      <c r="A114" s="22"/>
      <c r="B114" s="11"/>
      <c r="C114" s="11"/>
      <c r="D114" s="23"/>
      <c r="E114" s="23"/>
      <c r="F114" s="11"/>
      <c r="G114" s="24"/>
      <c r="H114" s="25" t="str">
        <f aca="false">IF(G114="","",IFERROR(INDEX(Log!$D:$D,MATCH(G114,Log!$A:$A,0)),"ID não encontrado no Log"))</f>
        <v/>
      </c>
      <c r="I114" s="23"/>
      <c r="J114" s="11"/>
    </row>
    <row r="115" customFormat="false" ht="15" hidden="false" customHeight="false" outlineLevel="0" collapsed="false">
      <c r="A115" s="22"/>
      <c r="B115" s="11"/>
      <c r="C115" s="11"/>
      <c r="D115" s="23"/>
      <c r="E115" s="23"/>
      <c r="F115" s="11"/>
      <c r="G115" s="24"/>
      <c r="H115" s="25" t="str">
        <f aca="false">IF(G115="","",IFERROR(INDEX(Log!$D:$D,MATCH(G115,Log!$A:$A,0)),"ID não encontrado no Log"))</f>
        <v/>
      </c>
      <c r="I115" s="23"/>
      <c r="J115" s="11"/>
    </row>
    <row r="116" customFormat="false" ht="15" hidden="false" customHeight="false" outlineLevel="0" collapsed="false">
      <c r="A116" s="22"/>
      <c r="B116" s="11"/>
      <c r="C116" s="11"/>
      <c r="D116" s="23"/>
      <c r="E116" s="23"/>
      <c r="F116" s="11"/>
      <c r="G116" s="24"/>
      <c r="H116" s="25" t="str">
        <f aca="false">IF(G116="","",IFERROR(INDEX(Log!$D:$D,MATCH(G116,Log!$A:$A,0)),"ID não encontrado no Log"))</f>
        <v/>
      </c>
      <c r="I116" s="23"/>
      <c r="J116" s="11"/>
    </row>
    <row r="117" customFormat="false" ht="15" hidden="false" customHeight="false" outlineLevel="0" collapsed="false">
      <c r="A117" s="22"/>
      <c r="B117" s="11"/>
      <c r="C117" s="11"/>
      <c r="D117" s="23"/>
      <c r="E117" s="23"/>
      <c r="F117" s="11"/>
      <c r="G117" s="24"/>
      <c r="H117" s="25" t="str">
        <f aca="false">IF(G117="","",IFERROR(INDEX(Log!$D:$D,MATCH(G117,Log!$A:$A,0)),"ID não encontrado no Log"))</f>
        <v/>
      </c>
      <c r="I117" s="23"/>
      <c r="J117" s="11"/>
    </row>
    <row r="118" customFormat="false" ht="15" hidden="false" customHeight="false" outlineLevel="0" collapsed="false">
      <c r="A118" s="22"/>
      <c r="B118" s="11"/>
      <c r="C118" s="11"/>
      <c r="D118" s="23"/>
      <c r="E118" s="23"/>
      <c r="F118" s="11"/>
      <c r="G118" s="24"/>
      <c r="H118" s="25" t="str">
        <f aca="false">IF(G118="","",IFERROR(INDEX(Log!$D:$D,MATCH(G118,Log!$A:$A,0)),"ID não encontrado no Log"))</f>
        <v/>
      </c>
      <c r="I118" s="23"/>
      <c r="J118" s="11"/>
    </row>
    <row r="119" customFormat="false" ht="15" hidden="false" customHeight="false" outlineLevel="0" collapsed="false">
      <c r="A119" s="22"/>
      <c r="B119" s="11"/>
      <c r="C119" s="11"/>
      <c r="D119" s="23"/>
      <c r="E119" s="23"/>
      <c r="F119" s="11"/>
      <c r="G119" s="24"/>
      <c r="H119" s="25" t="str">
        <f aca="false">IF(G119="","",IFERROR(INDEX(Log!$D:$D,MATCH(G119,Log!$A:$A,0)),"ID não encontrado no Log"))</f>
        <v/>
      </c>
      <c r="I119" s="23"/>
      <c r="J119" s="11"/>
    </row>
    <row r="120" customFormat="false" ht="15" hidden="false" customHeight="false" outlineLevel="0" collapsed="false">
      <c r="A120" s="22"/>
      <c r="B120" s="11"/>
      <c r="C120" s="11"/>
      <c r="D120" s="23"/>
      <c r="E120" s="23"/>
      <c r="F120" s="11"/>
      <c r="G120" s="24"/>
      <c r="H120" s="25" t="str">
        <f aca="false">IF(G120="","",IFERROR(INDEX(Log!$D:$D,MATCH(G120,Log!$A:$A,0)),"ID não encontrado no Log"))</f>
        <v/>
      </c>
      <c r="I120" s="23"/>
      <c r="J120" s="11"/>
    </row>
    <row r="121" customFormat="false" ht="15" hidden="false" customHeight="false" outlineLevel="0" collapsed="false">
      <c r="A121" s="22"/>
      <c r="B121" s="11"/>
      <c r="C121" s="11"/>
      <c r="D121" s="23"/>
      <c r="E121" s="23"/>
      <c r="F121" s="11"/>
      <c r="G121" s="24"/>
      <c r="H121" s="25" t="str">
        <f aca="false">IF(G121="","",IFERROR(INDEX(Log!$D:$D,MATCH(G121,Log!$A:$A,0)),"ID não encontrado no Log"))</f>
        <v/>
      </c>
      <c r="I121" s="23"/>
      <c r="J121" s="11"/>
    </row>
    <row r="122" customFormat="false" ht="15" hidden="false" customHeight="false" outlineLevel="0" collapsed="false">
      <c r="A122" s="22"/>
      <c r="B122" s="11"/>
      <c r="C122" s="11"/>
      <c r="D122" s="23"/>
      <c r="E122" s="23"/>
      <c r="F122" s="11"/>
      <c r="G122" s="24"/>
      <c r="H122" s="25" t="str">
        <f aca="false">IF(G122="","",IFERROR(INDEX(Log!$D:$D,MATCH(G122,Log!$A:$A,0)),"ID não encontrado no Log"))</f>
        <v/>
      </c>
      <c r="I122" s="23"/>
      <c r="J122" s="11"/>
    </row>
    <row r="123" customFormat="false" ht="15" hidden="false" customHeight="false" outlineLevel="0" collapsed="false">
      <c r="A123" s="22"/>
      <c r="B123" s="11"/>
      <c r="C123" s="11"/>
      <c r="D123" s="23"/>
      <c r="E123" s="23"/>
      <c r="F123" s="11"/>
      <c r="G123" s="24"/>
      <c r="H123" s="25" t="str">
        <f aca="false">IF(G123="","",IFERROR(INDEX(Log!$D:$D,MATCH(G123,Log!$A:$A,0)),"ID não encontrado no Log"))</f>
        <v/>
      </c>
      <c r="I123" s="23"/>
      <c r="J123" s="11"/>
    </row>
    <row r="124" customFormat="false" ht="15" hidden="false" customHeight="false" outlineLevel="0" collapsed="false">
      <c r="A124" s="22"/>
      <c r="B124" s="11"/>
      <c r="C124" s="11"/>
      <c r="D124" s="23"/>
      <c r="E124" s="23"/>
      <c r="F124" s="11"/>
      <c r="G124" s="24"/>
      <c r="H124" s="25" t="str">
        <f aca="false">IF(G124="","",IFERROR(INDEX(Log!$D:$D,MATCH(G124,Log!$A:$A,0)),"ID não encontrado no Log"))</f>
        <v/>
      </c>
      <c r="I124" s="23"/>
      <c r="J124" s="11"/>
    </row>
    <row r="125" customFormat="false" ht="15" hidden="false" customHeight="false" outlineLevel="0" collapsed="false">
      <c r="A125" s="22"/>
      <c r="B125" s="11"/>
      <c r="C125" s="11"/>
      <c r="D125" s="23"/>
      <c r="E125" s="23"/>
      <c r="F125" s="11"/>
      <c r="G125" s="24"/>
      <c r="H125" s="25" t="str">
        <f aca="false">IF(G125="","",IFERROR(INDEX(Log!$D:$D,MATCH(G125,Log!$A:$A,0)),"ID não encontrado no Log"))</f>
        <v/>
      </c>
      <c r="I125" s="23"/>
      <c r="J125" s="11"/>
    </row>
    <row r="126" customFormat="false" ht="15" hidden="false" customHeight="false" outlineLevel="0" collapsed="false">
      <c r="A126" s="22"/>
      <c r="B126" s="11"/>
      <c r="C126" s="11"/>
      <c r="D126" s="23"/>
      <c r="E126" s="23"/>
      <c r="F126" s="11"/>
      <c r="G126" s="24"/>
      <c r="H126" s="25" t="str">
        <f aca="false">IF(G126="","",IFERROR(INDEX(Log!$D:$D,MATCH(G126,Log!$A:$A,0)),"ID não encontrado no Log"))</f>
        <v/>
      </c>
      <c r="I126" s="23"/>
      <c r="J126" s="11"/>
    </row>
    <row r="127" customFormat="false" ht="15" hidden="false" customHeight="false" outlineLevel="0" collapsed="false">
      <c r="A127" s="22"/>
      <c r="B127" s="11"/>
      <c r="C127" s="11"/>
      <c r="D127" s="23"/>
      <c r="E127" s="23"/>
      <c r="F127" s="11"/>
      <c r="G127" s="24"/>
      <c r="H127" s="25" t="str">
        <f aca="false">IF(G127="","",IFERROR(INDEX(Log!$D:$D,MATCH(G127,Log!$A:$A,0)),"ID não encontrado no Log"))</f>
        <v/>
      </c>
      <c r="I127" s="23"/>
      <c r="J127" s="11"/>
    </row>
    <row r="128" customFormat="false" ht="15" hidden="false" customHeight="false" outlineLevel="0" collapsed="false">
      <c r="A128" s="22"/>
      <c r="B128" s="11"/>
      <c r="C128" s="11"/>
      <c r="D128" s="23"/>
      <c r="E128" s="23"/>
      <c r="F128" s="11"/>
      <c r="G128" s="24"/>
      <c r="H128" s="25" t="str">
        <f aca="false">IF(G128="","",IFERROR(INDEX(Log!$D:$D,MATCH(G128,Log!$A:$A,0)),"ID não encontrado no Log"))</f>
        <v/>
      </c>
      <c r="I128" s="23"/>
      <c r="J128" s="11"/>
    </row>
    <row r="129" customFormat="false" ht="15" hidden="false" customHeight="false" outlineLevel="0" collapsed="false">
      <c r="A129" s="22"/>
      <c r="B129" s="11"/>
      <c r="C129" s="11"/>
      <c r="D129" s="23"/>
      <c r="E129" s="23"/>
      <c r="F129" s="11"/>
      <c r="G129" s="24"/>
      <c r="H129" s="25" t="str">
        <f aca="false">IF(G129="","",IFERROR(INDEX(Log!$D:$D,MATCH(G129,Log!$A:$A,0)),"ID não encontrado no Log"))</f>
        <v/>
      </c>
      <c r="I129" s="23"/>
      <c r="J129" s="11"/>
    </row>
    <row r="130" customFormat="false" ht="15" hidden="false" customHeight="false" outlineLevel="0" collapsed="false">
      <c r="A130" s="22"/>
      <c r="B130" s="11"/>
      <c r="C130" s="11"/>
      <c r="D130" s="23"/>
      <c r="E130" s="23"/>
      <c r="F130" s="11"/>
      <c r="G130" s="24"/>
      <c r="H130" s="25" t="str">
        <f aca="false">IF(G130="","",IFERROR(INDEX(Log!$D:$D,MATCH(G130,Log!$A:$A,0)),"ID não encontrado no Log"))</f>
        <v/>
      </c>
      <c r="I130" s="23"/>
      <c r="J130" s="11"/>
    </row>
    <row r="131" customFormat="false" ht="15" hidden="false" customHeight="false" outlineLevel="0" collapsed="false">
      <c r="A131" s="22"/>
      <c r="B131" s="11"/>
      <c r="C131" s="11"/>
      <c r="D131" s="23"/>
      <c r="E131" s="23"/>
      <c r="F131" s="11"/>
      <c r="G131" s="24"/>
      <c r="H131" s="25" t="str">
        <f aca="false">IF(G131="","",IFERROR(INDEX(Log!$D:$D,MATCH(G131,Log!$A:$A,0)),"ID não encontrado no Log"))</f>
        <v/>
      </c>
      <c r="I131" s="23"/>
      <c r="J131" s="11"/>
    </row>
    <row r="132" customFormat="false" ht="15" hidden="false" customHeight="false" outlineLevel="0" collapsed="false">
      <c r="A132" s="22"/>
      <c r="B132" s="11"/>
      <c r="C132" s="11"/>
      <c r="D132" s="23"/>
      <c r="E132" s="23"/>
      <c r="F132" s="11"/>
      <c r="G132" s="24"/>
      <c r="H132" s="25" t="str">
        <f aca="false">IF(G132="","",IFERROR(INDEX(Log!$D:$D,MATCH(G132,Log!$A:$A,0)),"ID não encontrado no Log"))</f>
        <v/>
      </c>
      <c r="I132" s="23"/>
      <c r="J132" s="11"/>
    </row>
    <row r="133" customFormat="false" ht="15" hidden="false" customHeight="false" outlineLevel="0" collapsed="false">
      <c r="A133" s="22"/>
      <c r="B133" s="11"/>
      <c r="C133" s="11"/>
      <c r="D133" s="23"/>
      <c r="E133" s="23"/>
      <c r="F133" s="11"/>
      <c r="G133" s="24"/>
      <c r="H133" s="25" t="str">
        <f aca="false">IF(G133="","",IFERROR(INDEX(Log!$D:$D,MATCH(G133,Log!$A:$A,0)),"ID não encontrado no Log"))</f>
        <v/>
      </c>
      <c r="I133" s="23"/>
      <c r="J133" s="11"/>
    </row>
    <row r="134" customFormat="false" ht="15" hidden="false" customHeight="false" outlineLevel="0" collapsed="false">
      <c r="A134" s="22"/>
      <c r="B134" s="11"/>
      <c r="C134" s="11"/>
      <c r="D134" s="23"/>
      <c r="E134" s="23"/>
      <c r="F134" s="11"/>
      <c r="G134" s="24"/>
      <c r="H134" s="25" t="str">
        <f aca="false">IF(G134="","",IFERROR(INDEX(Log!$D:$D,MATCH(G134,Log!$A:$A,0)),"ID não encontrado no Log"))</f>
        <v/>
      </c>
      <c r="I134" s="23"/>
      <c r="J134" s="11"/>
    </row>
    <row r="135" customFormat="false" ht="15" hidden="false" customHeight="false" outlineLevel="0" collapsed="false">
      <c r="A135" s="22"/>
      <c r="B135" s="11"/>
      <c r="C135" s="11"/>
      <c r="D135" s="23"/>
      <c r="E135" s="23"/>
      <c r="F135" s="11"/>
      <c r="G135" s="24"/>
      <c r="H135" s="25" t="str">
        <f aca="false">IF(G135="","",IFERROR(INDEX(Log!$D:$D,MATCH(G135,Log!$A:$A,0)),"ID não encontrado no Log"))</f>
        <v/>
      </c>
      <c r="I135" s="23"/>
      <c r="J135" s="11"/>
    </row>
    <row r="136" customFormat="false" ht="15" hidden="false" customHeight="false" outlineLevel="0" collapsed="false">
      <c r="A136" s="22"/>
      <c r="B136" s="11"/>
      <c r="C136" s="11"/>
      <c r="D136" s="23"/>
      <c r="E136" s="23"/>
      <c r="F136" s="11"/>
      <c r="G136" s="24"/>
      <c r="H136" s="25" t="str">
        <f aca="false">IF(G136="","",IFERROR(INDEX(Log!$D:$D,MATCH(G136,Log!$A:$A,0)),"ID não encontrado no Log"))</f>
        <v/>
      </c>
      <c r="I136" s="23"/>
      <c r="J136" s="11"/>
    </row>
    <row r="137" customFormat="false" ht="15" hidden="false" customHeight="false" outlineLevel="0" collapsed="false">
      <c r="A137" s="22"/>
      <c r="B137" s="11"/>
      <c r="C137" s="11"/>
      <c r="D137" s="23"/>
      <c r="E137" s="23"/>
      <c r="F137" s="11"/>
      <c r="G137" s="24"/>
      <c r="H137" s="25" t="str">
        <f aca="false">IF(G137="","",IFERROR(INDEX(Log!$D:$D,MATCH(G137,Log!$A:$A,0)),"ID não encontrado no Log"))</f>
        <v/>
      </c>
      <c r="I137" s="23"/>
      <c r="J137" s="11"/>
    </row>
    <row r="138" customFormat="false" ht="15" hidden="false" customHeight="false" outlineLevel="0" collapsed="false">
      <c r="A138" s="22"/>
      <c r="B138" s="11"/>
      <c r="C138" s="11"/>
      <c r="D138" s="23"/>
      <c r="E138" s="23"/>
      <c r="F138" s="11"/>
      <c r="G138" s="24"/>
      <c r="H138" s="25" t="str">
        <f aca="false">IF(G138="","",IFERROR(INDEX(Log!$D:$D,MATCH(G138,Log!$A:$A,0)),"ID não encontrado no Log"))</f>
        <v/>
      </c>
      <c r="I138" s="23"/>
      <c r="J138" s="11"/>
    </row>
    <row r="139" customFormat="false" ht="15" hidden="false" customHeight="false" outlineLevel="0" collapsed="false">
      <c r="A139" s="22"/>
      <c r="B139" s="11"/>
      <c r="C139" s="11"/>
      <c r="D139" s="23"/>
      <c r="E139" s="23"/>
      <c r="F139" s="11"/>
      <c r="G139" s="24"/>
      <c r="H139" s="25" t="str">
        <f aca="false">IF(G139="","",IFERROR(INDEX(Log!$D:$D,MATCH(G139,Log!$A:$A,0)),"ID não encontrado no Log"))</f>
        <v/>
      </c>
      <c r="I139" s="23"/>
      <c r="J139" s="11"/>
    </row>
    <row r="140" customFormat="false" ht="15" hidden="false" customHeight="false" outlineLevel="0" collapsed="false">
      <c r="A140" s="22"/>
      <c r="B140" s="11"/>
      <c r="C140" s="11"/>
      <c r="D140" s="23"/>
      <c r="E140" s="23"/>
      <c r="F140" s="11"/>
      <c r="G140" s="24"/>
      <c r="H140" s="25" t="str">
        <f aca="false">IF(G140="","",IFERROR(INDEX(Log!$D:$D,MATCH(G140,Log!$A:$A,0)),"ID não encontrado no Log"))</f>
        <v/>
      </c>
      <c r="I140" s="23"/>
      <c r="J140" s="11"/>
    </row>
    <row r="141" customFormat="false" ht="15" hidden="false" customHeight="false" outlineLevel="0" collapsed="false">
      <c r="A141" s="22"/>
      <c r="B141" s="11"/>
      <c r="C141" s="11"/>
      <c r="D141" s="23"/>
      <c r="E141" s="23"/>
      <c r="F141" s="11"/>
      <c r="G141" s="24"/>
      <c r="H141" s="25" t="str">
        <f aca="false">IF(G141="","",IFERROR(INDEX(Log!$D:$D,MATCH(G141,Log!$A:$A,0)),"ID não encontrado no Log"))</f>
        <v/>
      </c>
      <c r="I141" s="23"/>
      <c r="J141" s="11"/>
    </row>
    <row r="142" customFormat="false" ht="15" hidden="false" customHeight="false" outlineLevel="0" collapsed="false">
      <c r="A142" s="22"/>
      <c r="B142" s="11"/>
      <c r="C142" s="11"/>
      <c r="D142" s="23"/>
      <c r="E142" s="23"/>
      <c r="F142" s="11"/>
      <c r="G142" s="24"/>
      <c r="H142" s="25" t="str">
        <f aca="false">IF(G142="","",IFERROR(INDEX(Log!$D:$D,MATCH(G142,Log!$A:$A,0)),"ID não encontrado no Log"))</f>
        <v/>
      </c>
      <c r="I142" s="23"/>
      <c r="J142" s="11"/>
    </row>
    <row r="143" customFormat="false" ht="15" hidden="false" customHeight="false" outlineLevel="0" collapsed="false">
      <c r="A143" s="22"/>
      <c r="B143" s="11"/>
      <c r="C143" s="11"/>
      <c r="D143" s="23"/>
      <c r="E143" s="23"/>
      <c r="F143" s="11"/>
      <c r="G143" s="24"/>
      <c r="H143" s="25" t="str">
        <f aca="false">IF(G143="","",IFERROR(INDEX(Log!$D:$D,MATCH(G143,Log!$A:$A,0)),"ID não encontrado no Log"))</f>
        <v/>
      </c>
      <c r="I143" s="23"/>
      <c r="J143" s="11"/>
    </row>
    <row r="144" customFormat="false" ht="15" hidden="false" customHeight="false" outlineLevel="0" collapsed="false">
      <c r="A144" s="22"/>
      <c r="B144" s="11"/>
      <c r="C144" s="11"/>
      <c r="D144" s="23"/>
      <c r="E144" s="23"/>
      <c r="F144" s="11"/>
      <c r="G144" s="24"/>
      <c r="H144" s="25" t="str">
        <f aca="false">IF(G144="","",IFERROR(INDEX(Log!$D:$D,MATCH(G144,Log!$A:$A,0)),"ID não encontrado no Log"))</f>
        <v/>
      </c>
      <c r="I144" s="23"/>
      <c r="J144" s="11"/>
    </row>
    <row r="145" customFormat="false" ht="15" hidden="false" customHeight="false" outlineLevel="0" collapsed="false">
      <c r="A145" s="22"/>
      <c r="B145" s="11"/>
      <c r="C145" s="11"/>
      <c r="D145" s="23"/>
      <c r="E145" s="23"/>
      <c r="F145" s="11"/>
      <c r="G145" s="24"/>
      <c r="H145" s="25" t="str">
        <f aca="false">IF(G145="","",IFERROR(INDEX(Log!$D:$D,MATCH(G145,Log!$A:$A,0)),"ID não encontrado no Log"))</f>
        <v/>
      </c>
      <c r="I145" s="23"/>
      <c r="J145" s="11"/>
    </row>
    <row r="146" customFormat="false" ht="15" hidden="false" customHeight="false" outlineLevel="0" collapsed="false">
      <c r="A146" s="22"/>
      <c r="B146" s="11"/>
      <c r="C146" s="11"/>
      <c r="D146" s="23"/>
      <c r="E146" s="23"/>
      <c r="F146" s="11"/>
      <c r="G146" s="24"/>
      <c r="H146" s="25" t="str">
        <f aca="false">IF(G146="","",IFERROR(INDEX(Log!$D:$D,MATCH(G146,Log!$A:$A,0)),"ID não encontrado no Log"))</f>
        <v/>
      </c>
      <c r="I146" s="23"/>
      <c r="J146" s="11"/>
    </row>
    <row r="147" customFormat="false" ht="15" hidden="false" customHeight="false" outlineLevel="0" collapsed="false">
      <c r="A147" s="22"/>
      <c r="B147" s="11"/>
      <c r="C147" s="11"/>
      <c r="D147" s="23"/>
      <c r="E147" s="23"/>
      <c r="F147" s="11"/>
      <c r="G147" s="24"/>
      <c r="H147" s="25" t="str">
        <f aca="false">IF(G147="","",IFERROR(INDEX(Log!$D:$D,MATCH(G147,Log!$A:$A,0)),"ID não encontrado no Log"))</f>
        <v/>
      </c>
      <c r="I147" s="23"/>
      <c r="J147" s="11"/>
    </row>
    <row r="148" customFormat="false" ht="15" hidden="false" customHeight="false" outlineLevel="0" collapsed="false">
      <c r="A148" s="22"/>
      <c r="B148" s="11"/>
      <c r="C148" s="11"/>
      <c r="D148" s="23"/>
      <c r="E148" s="23"/>
      <c r="F148" s="11"/>
      <c r="G148" s="24"/>
      <c r="H148" s="25" t="str">
        <f aca="false">IF(G148="","",IFERROR(INDEX(Log!$D:$D,MATCH(G148,Log!$A:$A,0)),"ID não encontrado no Log"))</f>
        <v/>
      </c>
      <c r="I148" s="23"/>
      <c r="J148" s="11"/>
    </row>
    <row r="149" customFormat="false" ht="15" hidden="false" customHeight="false" outlineLevel="0" collapsed="false">
      <c r="A149" s="22"/>
      <c r="B149" s="11"/>
      <c r="C149" s="11"/>
      <c r="D149" s="23"/>
      <c r="E149" s="23"/>
      <c r="F149" s="11"/>
      <c r="G149" s="24"/>
      <c r="H149" s="25" t="str">
        <f aca="false">IF(G149="","",IFERROR(INDEX(Log!$D:$D,MATCH(G149,Log!$A:$A,0)),"ID não encontrado no Log"))</f>
        <v/>
      </c>
      <c r="I149" s="23"/>
      <c r="J149" s="11"/>
    </row>
    <row r="150" customFormat="false" ht="15" hidden="false" customHeight="false" outlineLevel="0" collapsed="false">
      <c r="A150" s="22"/>
      <c r="B150" s="11"/>
      <c r="C150" s="11"/>
      <c r="D150" s="23"/>
      <c r="E150" s="23"/>
      <c r="F150" s="11"/>
      <c r="G150" s="24"/>
      <c r="H150" s="25" t="str">
        <f aca="false">IF(G150="","",IFERROR(INDEX(Log!$D:$D,MATCH(G150,Log!$A:$A,0)),"ID não encontrado no Log"))</f>
        <v/>
      </c>
      <c r="I150" s="23"/>
      <c r="J150" s="11"/>
    </row>
    <row r="151" customFormat="false" ht="15" hidden="false" customHeight="false" outlineLevel="0" collapsed="false">
      <c r="A151" s="22"/>
      <c r="B151" s="11"/>
      <c r="C151" s="11"/>
      <c r="D151" s="23"/>
      <c r="E151" s="23"/>
      <c r="F151" s="11"/>
      <c r="G151" s="24"/>
      <c r="H151" s="25" t="str">
        <f aca="false">IF(G151="","",IFERROR(INDEX(Log!$D:$D,MATCH(G151,Log!$A:$A,0)),"ID não encontrado no Log"))</f>
        <v/>
      </c>
      <c r="I151" s="23"/>
      <c r="J151" s="11"/>
    </row>
    <row r="152" customFormat="false" ht="15" hidden="false" customHeight="false" outlineLevel="0" collapsed="false">
      <c r="A152" s="22"/>
      <c r="B152" s="11"/>
      <c r="C152" s="11"/>
      <c r="D152" s="23"/>
      <c r="E152" s="23"/>
      <c r="F152" s="11"/>
      <c r="G152" s="24"/>
      <c r="H152" s="25" t="str">
        <f aca="false">IF(G152="","",IFERROR(INDEX(Log!$D:$D,MATCH(G152,Log!$A:$A,0)),"ID não encontrado no Log"))</f>
        <v/>
      </c>
      <c r="I152" s="23"/>
      <c r="J152" s="11"/>
    </row>
    <row r="153" customFormat="false" ht="15" hidden="false" customHeight="false" outlineLevel="0" collapsed="false">
      <c r="A153" s="22"/>
      <c r="B153" s="11"/>
      <c r="C153" s="11"/>
      <c r="D153" s="23"/>
      <c r="E153" s="23"/>
      <c r="F153" s="11"/>
      <c r="G153" s="24"/>
      <c r="H153" s="25" t="str">
        <f aca="false">IF(G153="","",IFERROR(INDEX(Log!$D:$D,MATCH(G153,Log!$A:$A,0)),"ID não encontrado no Log"))</f>
        <v/>
      </c>
      <c r="I153" s="23"/>
      <c r="J153" s="11"/>
    </row>
    <row r="154" customFormat="false" ht="15" hidden="false" customHeight="false" outlineLevel="0" collapsed="false">
      <c r="A154" s="22"/>
      <c r="B154" s="11"/>
      <c r="C154" s="11"/>
      <c r="D154" s="23"/>
      <c r="E154" s="23"/>
      <c r="F154" s="11"/>
      <c r="G154" s="24"/>
      <c r="H154" s="25" t="str">
        <f aca="false">IF(G154="","",IFERROR(INDEX(Log!$D:$D,MATCH(G154,Log!$A:$A,0)),"ID não encontrado no Log"))</f>
        <v/>
      </c>
      <c r="I154" s="23"/>
      <c r="J154" s="11"/>
    </row>
    <row r="155" customFormat="false" ht="15" hidden="false" customHeight="false" outlineLevel="0" collapsed="false">
      <c r="A155" s="22"/>
      <c r="B155" s="11"/>
      <c r="C155" s="11"/>
      <c r="D155" s="23"/>
      <c r="E155" s="23"/>
      <c r="F155" s="11"/>
      <c r="G155" s="24"/>
      <c r="H155" s="25" t="str">
        <f aca="false">IF(G155="","",IFERROR(INDEX(Log!$D:$D,MATCH(G155,Log!$A:$A,0)),"ID não encontrado no Log"))</f>
        <v/>
      </c>
      <c r="I155" s="23"/>
      <c r="J155" s="11"/>
    </row>
    <row r="156" customFormat="false" ht="15" hidden="false" customHeight="false" outlineLevel="0" collapsed="false">
      <c r="A156" s="22"/>
      <c r="B156" s="11"/>
      <c r="C156" s="11"/>
      <c r="D156" s="23"/>
      <c r="E156" s="23"/>
      <c r="F156" s="11"/>
      <c r="G156" s="24"/>
      <c r="H156" s="25" t="str">
        <f aca="false">IF(G156="","",IFERROR(INDEX(Log!$D:$D,MATCH(G156,Log!$A:$A,0)),"ID não encontrado no Log"))</f>
        <v/>
      </c>
      <c r="I156" s="23"/>
      <c r="J156" s="11"/>
    </row>
    <row r="157" customFormat="false" ht="15" hidden="false" customHeight="false" outlineLevel="0" collapsed="false">
      <c r="A157" s="22"/>
      <c r="B157" s="11"/>
      <c r="C157" s="11"/>
      <c r="D157" s="23"/>
      <c r="E157" s="23"/>
      <c r="F157" s="11"/>
      <c r="G157" s="24"/>
      <c r="H157" s="25" t="str">
        <f aca="false">IF(G157="","",IFERROR(INDEX(Log!$D:$D,MATCH(G157,Log!$A:$A,0)),"ID não encontrado no Log"))</f>
        <v/>
      </c>
      <c r="I157" s="23"/>
      <c r="J157" s="11"/>
    </row>
    <row r="158" customFormat="false" ht="15" hidden="false" customHeight="false" outlineLevel="0" collapsed="false">
      <c r="A158" s="22"/>
      <c r="B158" s="11"/>
      <c r="C158" s="11"/>
      <c r="D158" s="23"/>
      <c r="E158" s="23"/>
      <c r="F158" s="11"/>
      <c r="G158" s="24"/>
      <c r="H158" s="25" t="str">
        <f aca="false">IF(G158="","",IFERROR(INDEX(Log!$D:$D,MATCH(G158,Log!$A:$A,0)),"ID não encontrado no Log"))</f>
        <v/>
      </c>
      <c r="I158" s="23"/>
      <c r="J158" s="11"/>
    </row>
    <row r="159" customFormat="false" ht="15" hidden="false" customHeight="false" outlineLevel="0" collapsed="false">
      <c r="A159" s="22"/>
      <c r="B159" s="11"/>
      <c r="C159" s="11"/>
      <c r="D159" s="23"/>
      <c r="E159" s="23"/>
      <c r="F159" s="11"/>
      <c r="G159" s="24"/>
      <c r="H159" s="25" t="str">
        <f aca="false">IF(G159="","",IFERROR(INDEX(Log!$D:$D,MATCH(G159,Log!$A:$A,0)),"ID não encontrado no Log"))</f>
        <v/>
      </c>
      <c r="I159" s="23"/>
      <c r="J159" s="11"/>
    </row>
    <row r="160" customFormat="false" ht="15" hidden="false" customHeight="false" outlineLevel="0" collapsed="false">
      <c r="A160" s="22"/>
      <c r="B160" s="11"/>
      <c r="C160" s="11"/>
      <c r="D160" s="23"/>
      <c r="E160" s="23"/>
      <c r="F160" s="11"/>
      <c r="G160" s="24"/>
      <c r="H160" s="25" t="str">
        <f aca="false">IF(G160="","",IFERROR(INDEX(Log!$D:$D,MATCH(G160,Log!$A:$A,0)),"ID não encontrado no Log"))</f>
        <v/>
      </c>
      <c r="I160" s="23"/>
      <c r="J160" s="11"/>
    </row>
    <row r="161" customFormat="false" ht="15" hidden="false" customHeight="false" outlineLevel="0" collapsed="false">
      <c r="A161" s="22"/>
      <c r="B161" s="11"/>
      <c r="C161" s="11"/>
      <c r="D161" s="23"/>
      <c r="E161" s="23"/>
      <c r="F161" s="11"/>
      <c r="G161" s="24"/>
      <c r="H161" s="25" t="str">
        <f aca="false">IF(G161="","",IFERROR(INDEX(Log!$D:$D,MATCH(G161,Log!$A:$A,0)),"ID não encontrado no Log"))</f>
        <v/>
      </c>
      <c r="I161" s="23"/>
      <c r="J161" s="11"/>
    </row>
    <row r="162" customFormat="false" ht="15" hidden="false" customHeight="false" outlineLevel="0" collapsed="false">
      <c r="A162" s="22"/>
      <c r="B162" s="11"/>
      <c r="C162" s="11"/>
      <c r="D162" s="23"/>
      <c r="E162" s="23"/>
      <c r="F162" s="11"/>
      <c r="G162" s="24"/>
      <c r="H162" s="25" t="str">
        <f aca="false">IF(G162="","",IFERROR(INDEX(Log!$D:$D,MATCH(G162,Log!$A:$A,0)),"ID não encontrado no Log"))</f>
        <v/>
      </c>
      <c r="I162" s="23"/>
      <c r="J162" s="11"/>
    </row>
    <row r="163" customFormat="false" ht="15" hidden="false" customHeight="false" outlineLevel="0" collapsed="false">
      <c r="A163" s="22"/>
      <c r="B163" s="11"/>
      <c r="C163" s="11"/>
      <c r="D163" s="23"/>
      <c r="E163" s="23"/>
      <c r="F163" s="11"/>
      <c r="G163" s="24"/>
      <c r="H163" s="25" t="str">
        <f aca="false">IF(G163="","",IFERROR(INDEX(Log!$D:$D,MATCH(G163,Log!$A:$A,0)),"ID não encontrado no Log"))</f>
        <v/>
      </c>
      <c r="I163" s="23"/>
      <c r="J163" s="11"/>
    </row>
    <row r="164" customFormat="false" ht="15" hidden="false" customHeight="false" outlineLevel="0" collapsed="false">
      <c r="A164" s="22"/>
      <c r="B164" s="11"/>
      <c r="C164" s="11"/>
      <c r="D164" s="23"/>
      <c r="E164" s="23"/>
      <c r="F164" s="11"/>
      <c r="G164" s="24"/>
      <c r="H164" s="25" t="str">
        <f aca="false">IF(G164="","",IFERROR(INDEX(Log!$D:$D,MATCH(G164,Log!$A:$A,0)),"ID não encontrado no Log"))</f>
        <v/>
      </c>
      <c r="I164" s="23"/>
      <c r="J164" s="11"/>
    </row>
    <row r="165" customFormat="false" ht="15" hidden="false" customHeight="false" outlineLevel="0" collapsed="false">
      <c r="A165" s="22"/>
      <c r="B165" s="11"/>
      <c r="C165" s="11"/>
      <c r="D165" s="23"/>
      <c r="E165" s="23"/>
      <c r="F165" s="11"/>
      <c r="G165" s="24"/>
      <c r="H165" s="25" t="str">
        <f aca="false">IF(G165="","",IFERROR(INDEX(Log!$D:$D,MATCH(G165,Log!$A:$A,0)),"ID não encontrado no Log"))</f>
        <v/>
      </c>
      <c r="I165" s="23"/>
      <c r="J165" s="11"/>
    </row>
    <row r="166" customFormat="false" ht="15" hidden="false" customHeight="false" outlineLevel="0" collapsed="false">
      <c r="A166" s="22"/>
      <c r="B166" s="11"/>
      <c r="C166" s="11"/>
      <c r="D166" s="23"/>
      <c r="E166" s="23"/>
      <c r="F166" s="11"/>
      <c r="G166" s="24"/>
      <c r="H166" s="25" t="str">
        <f aca="false">IF(G166="","",IFERROR(INDEX(Log!$D:$D,MATCH(G166,Log!$A:$A,0)),"ID não encontrado no Log"))</f>
        <v/>
      </c>
      <c r="I166" s="23"/>
      <c r="J166" s="11"/>
    </row>
    <row r="167" customFormat="false" ht="15" hidden="false" customHeight="false" outlineLevel="0" collapsed="false">
      <c r="A167" s="22"/>
      <c r="B167" s="11"/>
      <c r="C167" s="11"/>
      <c r="D167" s="23"/>
      <c r="E167" s="23"/>
      <c r="F167" s="11"/>
      <c r="G167" s="24"/>
      <c r="H167" s="25" t="str">
        <f aca="false">IF(G167="","",IFERROR(INDEX(Log!$D:$D,MATCH(G167,Log!$A:$A,0)),"ID não encontrado no Log"))</f>
        <v/>
      </c>
      <c r="I167" s="23"/>
      <c r="J167" s="11"/>
    </row>
    <row r="168" customFormat="false" ht="15" hidden="false" customHeight="false" outlineLevel="0" collapsed="false">
      <c r="A168" s="22"/>
      <c r="B168" s="11"/>
      <c r="C168" s="11"/>
      <c r="D168" s="23"/>
      <c r="E168" s="23"/>
      <c r="F168" s="11"/>
      <c r="G168" s="24"/>
      <c r="H168" s="25" t="str">
        <f aca="false">IF(G168="","",IFERROR(INDEX(Log!$D:$D,MATCH(G168,Log!$A:$A,0)),"ID não encontrado no Log"))</f>
        <v/>
      </c>
      <c r="I168" s="23"/>
      <c r="J168" s="11"/>
    </row>
    <row r="169" customFormat="false" ht="15" hidden="false" customHeight="false" outlineLevel="0" collapsed="false">
      <c r="A169" s="22"/>
      <c r="B169" s="11"/>
      <c r="C169" s="11"/>
      <c r="D169" s="23"/>
      <c r="E169" s="23"/>
      <c r="F169" s="11"/>
      <c r="G169" s="24"/>
      <c r="H169" s="25" t="str">
        <f aca="false">IF(G169="","",IFERROR(INDEX(Log!$D:$D,MATCH(G169,Log!$A:$A,0)),"ID não encontrado no Log"))</f>
        <v/>
      </c>
      <c r="I169" s="23"/>
      <c r="J169" s="11"/>
    </row>
    <row r="170" customFormat="false" ht="15" hidden="false" customHeight="false" outlineLevel="0" collapsed="false">
      <c r="A170" s="22"/>
      <c r="B170" s="11"/>
      <c r="C170" s="11"/>
      <c r="D170" s="23"/>
      <c r="E170" s="23"/>
      <c r="F170" s="11"/>
      <c r="G170" s="24"/>
      <c r="H170" s="25" t="str">
        <f aca="false">IF(G170="","",IFERROR(INDEX(Log!$D:$D,MATCH(G170,Log!$A:$A,0)),"ID não encontrado no Log"))</f>
        <v/>
      </c>
      <c r="I170" s="23"/>
      <c r="J170" s="11"/>
    </row>
    <row r="171" customFormat="false" ht="15" hidden="false" customHeight="false" outlineLevel="0" collapsed="false">
      <c r="A171" s="22"/>
      <c r="B171" s="11"/>
      <c r="C171" s="11"/>
      <c r="D171" s="23"/>
      <c r="E171" s="23"/>
      <c r="F171" s="11"/>
      <c r="G171" s="24"/>
      <c r="H171" s="25" t="str">
        <f aca="false">IF(G171="","",IFERROR(INDEX(Log!$D:$D,MATCH(G171,Log!$A:$A,0)),"ID não encontrado no Log"))</f>
        <v/>
      </c>
      <c r="I171" s="23"/>
      <c r="J171" s="11"/>
    </row>
    <row r="172" customFormat="false" ht="15" hidden="false" customHeight="false" outlineLevel="0" collapsed="false">
      <c r="A172" s="22"/>
      <c r="B172" s="11"/>
      <c r="C172" s="11"/>
      <c r="D172" s="23"/>
      <c r="E172" s="23"/>
      <c r="F172" s="11"/>
      <c r="G172" s="24"/>
      <c r="H172" s="25" t="str">
        <f aca="false">IF(G172="","",IFERROR(INDEX(Log!$D:$D,MATCH(G172,Log!$A:$A,0)),"ID não encontrado no Log"))</f>
        <v/>
      </c>
      <c r="I172" s="23"/>
      <c r="J172" s="11"/>
    </row>
    <row r="173" customFormat="false" ht="15" hidden="false" customHeight="false" outlineLevel="0" collapsed="false">
      <c r="A173" s="22"/>
      <c r="B173" s="11"/>
      <c r="C173" s="11"/>
      <c r="D173" s="23"/>
      <c r="E173" s="23"/>
      <c r="F173" s="11"/>
      <c r="G173" s="24"/>
      <c r="H173" s="25" t="str">
        <f aca="false">IF(G173="","",IFERROR(INDEX(Log!$D:$D,MATCH(G173,Log!$A:$A,0)),"ID não encontrado no Log"))</f>
        <v/>
      </c>
      <c r="I173" s="23"/>
      <c r="J173" s="11"/>
    </row>
    <row r="174" customFormat="false" ht="15" hidden="false" customHeight="false" outlineLevel="0" collapsed="false">
      <c r="A174" s="22"/>
      <c r="B174" s="11"/>
      <c r="C174" s="11"/>
      <c r="D174" s="23"/>
      <c r="E174" s="23"/>
      <c r="F174" s="11"/>
      <c r="G174" s="24"/>
      <c r="H174" s="25" t="str">
        <f aca="false">IF(G174="","",IFERROR(INDEX(Log!$D:$D,MATCH(G174,Log!$A:$A,0)),"ID não encontrado no Log"))</f>
        <v/>
      </c>
      <c r="I174" s="23"/>
      <c r="J174" s="11"/>
    </row>
    <row r="175" customFormat="false" ht="15" hidden="false" customHeight="false" outlineLevel="0" collapsed="false">
      <c r="A175" s="22"/>
      <c r="B175" s="11"/>
      <c r="C175" s="11"/>
      <c r="D175" s="23"/>
      <c r="E175" s="23"/>
      <c r="F175" s="11"/>
      <c r="G175" s="24"/>
      <c r="H175" s="25" t="str">
        <f aca="false">IF(G175="","",IFERROR(INDEX(Log!$D:$D,MATCH(G175,Log!$A:$A,0)),"ID não encontrado no Log"))</f>
        <v/>
      </c>
      <c r="I175" s="23"/>
      <c r="J175" s="11"/>
    </row>
    <row r="176" customFormat="false" ht="15" hidden="false" customHeight="false" outlineLevel="0" collapsed="false">
      <c r="A176" s="22"/>
      <c r="B176" s="11"/>
      <c r="C176" s="11"/>
      <c r="D176" s="23"/>
      <c r="E176" s="23"/>
      <c r="F176" s="11"/>
      <c r="G176" s="24"/>
      <c r="H176" s="25" t="str">
        <f aca="false">IF(G176="","",IFERROR(INDEX(Log!$D:$D,MATCH(G176,Log!$A:$A,0)),"ID não encontrado no Log"))</f>
        <v/>
      </c>
      <c r="I176" s="23"/>
      <c r="J176" s="11"/>
    </row>
    <row r="177" customFormat="false" ht="15" hidden="false" customHeight="false" outlineLevel="0" collapsed="false">
      <c r="A177" s="22"/>
      <c r="B177" s="11"/>
      <c r="C177" s="11"/>
      <c r="D177" s="23"/>
      <c r="E177" s="23"/>
      <c r="F177" s="11"/>
      <c r="G177" s="24"/>
      <c r="H177" s="25" t="str">
        <f aca="false">IF(G177="","",IFERROR(INDEX(Log!$D:$D,MATCH(G177,Log!$A:$A,0)),"ID não encontrado no Log"))</f>
        <v/>
      </c>
      <c r="I177" s="23"/>
      <c r="J177" s="11"/>
    </row>
    <row r="178" customFormat="false" ht="15" hidden="false" customHeight="false" outlineLevel="0" collapsed="false">
      <c r="A178" s="22"/>
      <c r="B178" s="11"/>
      <c r="C178" s="11"/>
      <c r="D178" s="23"/>
      <c r="E178" s="23"/>
      <c r="F178" s="11"/>
      <c r="G178" s="24"/>
      <c r="H178" s="25" t="str">
        <f aca="false">IF(G178="","",IFERROR(INDEX(Log!$D:$D,MATCH(G178,Log!$A:$A,0)),"ID não encontrado no Log"))</f>
        <v/>
      </c>
      <c r="I178" s="23"/>
      <c r="J178" s="11"/>
    </row>
    <row r="179" customFormat="false" ht="15" hidden="false" customHeight="false" outlineLevel="0" collapsed="false">
      <c r="A179" s="22"/>
      <c r="B179" s="11"/>
      <c r="C179" s="11"/>
      <c r="D179" s="23"/>
      <c r="E179" s="23"/>
      <c r="F179" s="11"/>
      <c r="G179" s="24"/>
      <c r="H179" s="25" t="str">
        <f aca="false">IF(G179="","",IFERROR(INDEX(Log!$D:$D,MATCH(G179,Log!$A:$A,0)),"ID não encontrado no Log"))</f>
        <v/>
      </c>
      <c r="I179" s="23"/>
      <c r="J179" s="11"/>
    </row>
    <row r="180" customFormat="false" ht="15" hidden="false" customHeight="false" outlineLevel="0" collapsed="false">
      <c r="A180" s="22"/>
      <c r="B180" s="11"/>
      <c r="C180" s="11"/>
      <c r="D180" s="23"/>
      <c r="E180" s="23"/>
      <c r="F180" s="11"/>
      <c r="G180" s="24"/>
      <c r="H180" s="25" t="str">
        <f aca="false">IF(G180="","",IFERROR(INDEX(Log!$D:$D,MATCH(G180,Log!$A:$A,0)),"ID não encontrado no Log"))</f>
        <v/>
      </c>
      <c r="I180" s="23"/>
      <c r="J180" s="11"/>
    </row>
    <row r="181" customFormat="false" ht="15" hidden="false" customHeight="false" outlineLevel="0" collapsed="false">
      <c r="A181" s="22"/>
      <c r="B181" s="11"/>
      <c r="C181" s="11"/>
      <c r="D181" s="23"/>
      <c r="E181" s="23"/>
      <c r="F181" s="11"/>
      <c r="G181" s="24"/>
      <c r="H181" s="25" t="str">
        <f aca="false">IF(G181="","",IFERROR(INDEX(Log!$D:$D,MATCH(G181,Log!$A:$A,0)),"ID não encontrado no Log"))</f>
        <v/>
      </c>
      <c r="I181" s="23"/>
      <c r="J181" s="11"/>
    </row>
    <row r="182" customFormat="false" ht="15" hidden="false" customHeight="false" outlineLevel="0" collapsed="false">
      <c r="A182" s="22"/>
      <c r="B182" s="11"/>
      <c r="C182" s="11"/>
      <c r="D182" s="23"/>
      <c r="E182" s="23"/>
      <c r="F182" s="11"/>
      <c r="G182" s="24"/>
      <c r="H182" s="25" t="str">
        <f aca="false">IF(G182="","",IFERROR(INDEX(Log!$D:$D,MATCH(G182,Log!$A:$A,0)),"ID não encontrado no Log"))</f>
        <v/>
      </c>
      <c r="I182" s="23"/>
      <c r="J182" s="11"/>
    </row>
    <row r="183" customFormat="false" ht="15" hidden="false" customHeight="false" outlineLevel="0" collapsed="false">
      <c r="A183" s="22"/>
      <c r="B183" s="11"/>
      <c r="C183" s="11"/>
      <c r="D183" s="23"/>
      <c r="E183" s="23"/>
      <c r="F183" s="11"/>
      <c r="G183" s="24"/>
      <c r="H183" s="25" t="str">
        <f aca="false">IF(G183="","",IFERROR(INDEX(Log!$D:$D,MATCH(G183,Log!$A:$A,0)),"ID não encontrado no Log"))</f>
        <v/>
      </c>
      <c r="I183" s="23"/>
      <c r="J183" s="11"/>
    </row>
    <row r="184" customFormat="false" ht="15" hidden="false" customHeight="false" outlineLevel="0" collapsed="false">
      <c r="A184" s="22"/>
      <c r="B184" s="11"/>
      <c r="C184" s="11"/>
      <c r="D184" s="23"/>
      <c r="E184" s="23"/>
      <c r="F184" s="11"/>
      <c r="G184" s="24"/>
      <c r="H184" s="25" t="str">
        <f aca="false">IF(G184="","",IFERROR(INDEX(Log!$D:$D,MATCH(G184,Log!$A:$A,0)),"ID não encontrado no Log"))</f>
        <v/>
      </c>
      <c r="I184" s="23"/>
      <c r="J184" s="11"/>
    </row>
    <row r="185" customFormat="false" ht="15" hidden="false" customHeight="false" outlineLevel="0" collapsed="false">
      <c r="A185" s="22"/>
      <c r="B185" s="11"/>
      <c r="C185" s="11"/>
      <c r="D185" s="23"/>
      <c r="E185" s="23"/>
      <c r="F185" s="11"/>
      <c r="G185" s="24"/>
      <c r="H185" s="25" t="str">
        <f aca="false">IF(G185="","",IFERROR(INDEX(Log!$D:$D,MATCH(G185,Log!$A:$A,0)),"ID não encontrado no Log"))</f>
        <v/>
      </c>
      <c r="I185" s="23"/>
      <c r="J185" s="11"/>
    </row>
    <row r="186" customFormat="false" ht="15" hidden="false" customHeight="false" outlineLevel="0" collapsed="false">
      <c r="A186" s="22"/>
      <c r="B186" s="11"/>
      <c r="C186" s="11"/>
      <c r="D186" s="23"/>
      <c r="E186" s="23"/>
      <c r="F186" s="11"/>
      <c r="G186" s="24"/>
      <c r="H186" s="25" t="str">
        <f aca="false">IF(G186="","",IFERROR(INDEX(Log!$D:$D,MATCH(G186,Log!$A:$A,0)),"ID não encontrado no Log"))</f>
        <v/>
      </c>
      <c r="I186" s="23"/>
      <c r="J186" s="11"/>
    </row>
    <row r="187" customFormat="false" ht="15" hidden="false" customHeight="false" outlineLevel="0" collapsed="false">
      <c r="A187" s="22"/>
      <c r="B187" s="11"/>
      <c r="C187" s="11"/>
      <c r="D187" s="23"/>
      <c r="E187" s="23"/>
      <c r="F187" s="11"/>
      <c r="G187" s="24"/>
      <c r="H187" s="25" t="str">
        <f aca="false">IF(G187="","",IFERROR(INDEX(Log!$D:$D,MATCH(G187,Log!$A:$A,0)),"ID não encontrado no Log"))</f>
        <v/>
      </c>
      <c r="I187" s="23"/>
      <c r="J187" s="11"/>
    </row>
    <row r="188" customFormat="false" ht="15" hidden="false" customHeight="false" outlineLevel="0" collapsed="false">
      <c r="A188" s="22"/>
      <c r="B188" s="11"/>
      <c r="C188" s="11"/>
      <c r="D188" s="23"/>
      <c r="E188" s="23"/>
      <c r="F188" s="11"/>
      <c r="G188" s="24"/>
      <c r="H188" s="25" t="str">
        <f aca="false">IF(G188="","",IFERROR(INDEX(Log!$D:$D,MATCH(G188,Log!$A:$A,0)),"ID não encontrado no Log"))</f>
        <v/>
      </c>
      <c r="I188" s="23"/>
      <c r="J188" s="11"/>
    </row>
    <row r="189" customFormat="false" ht="15" hidden="false" customHeight="false" outlineLevel="0" collapsed="false">
      <c r="A189" s="22"/>
      <c r="B189" s="11"/>
      <c r="C189" s="11"/>
      <c r="D189" s="23"/>
      <c r="E189" s="23"/>
      <c r="F189" s="11"/>
      <c r="G189" s="24"/>
      <c r="H189" s="25" t="str">
        <f aca="false">IF(G189="","",IFERROR(INDEX(Log!$D:$D,MATCH(G189,Log!$A:$A,0)),"ID não encontrado no Log"))</f>
        <v/>
      </c>
      <c r="I189" s="23"/>
      <c r="J189" s="11"/>
    </row>
    <row r="190" customFormat="false" ht="15" hidden="false" customHeight="false" outlineLevel="0" collapsed="false">
      <c r="A190" s="22"/>
      <c r="B190" s="11"/>
      <c r="C190" s="11"/>
      <c r="D190" s="23"/>
      <c r="E190" s="23"/>
      <c r="F190" s="11"/>
      <c r="G190" s="24"/>
      <c r="H190" s="25" t="str">
        <f aca="false">IF(G190="","",IFERROR(INDEX(Log!$D:$D,MATCH(G190,Log!$A:$A,0)),"ID não encontrado no Log"))</f>
        <v/>
      </c>
      <c r="I190" s="23"/>
      <c r="J190" s="11"/>
    </row>
    <row r="191" customFormat="false" ht="15" hidden="false" customHeight="false" outlineLevel="0" collapsed="false">
      <c r="A191" s="22"/>
      <c r="B191" s="11"/>
      <c r="C191" s="11"/>
      <c r="D191" s="23"/>
      <c r="E191" s="23"/>
      <c r="F191" s="11"/>
      <c r="G191" s="24"/>
      <c r="H191" s="25" t="str">
        <f aca="false">IF(G191="","",IFERROR(INDEX(Log!$D:$D,MATCH(G191,Log!$A:$A,0)),"ID não encontrado no Log"))</f>
        <v/>
      </c>
      <c r="I191" s="23"/>
      <c r="J191" s="11"/>
    </row>
    <row r="192" customFormat="false" ht="15" hidden="false" customHeight="false" outlineLevel="0" collapsed="false">
      <c r="A192" s="22"/>
      <c r="B192" s="11"/>
      <c r="C192" s="11"/>
      <c r="D192" s="23"/>
      <c r="E192" s="23"/>
      <c r="F192" s="11"/>
      <c r="G192" s="24"/>
      <c r="H192" s="25" t="str">
        <f aca="false">IF(G192="","",IFERROR(INDEX(Log!$D:$D,MATCH(G192,Log!$A:$A,0)),"ID não encontrado no Log"))</f>
        <v/>
      </c>
      <c r="I192" s="23"/>
      <c r="J192" s="11"/>
    </row>
    <row r="193" customFormat="false" ht="15" hidden="false" customHeight="false" outlineLevel="0" collapsed="false">
      <c r="A193" s="22"/>
      <c r="B193" s="11"/>
      <c r="C193" s="11"/>
      <c r="D193" s="23"/>
      <c r="E193" s="23"/>
      <c r="F193" s="11"/>
      <c r="G193" s="24"/>
      <c r="H193" s="25" t="str">
        <f aca="false">IF(G193="","",IFERROR(INDEX(Log!$D:$D,MATCH(G193,Log!$A:$A,0)),"ID não encontrado no Log"))</f>
        <v/>
      </c>
      <c r="I193" s="23"/>
      <c r="J193" s="11"/>
    </row>
    <row r="194" customFormat="false" ht="15" hidden="false" customHeight="false" outlineLevel="0" collapsed="false">
      <c r="A194" s="22"/>
      <c r="B194" s="11"/>
      <c r="C194" s="11"/>
      <c r="D194" s="23"/>
      <c r="E194" s="23"/>
      <c r="F194" s="11"/>
      <c r="G194" s="24"/>
      <c r="H194" s="25" t="str">
        <f aca="false">IF(G194="","",IFERROR(INDEX(Log!$D:$D,MATCH(G194,Log!$A:$A,0)),"ID não encontrado no Log"))</f>
        <v/>
      </c>
      <c r="I194" s="23"/>
      <c r="J194" s="11"/>
    </row>
    <row r="195" customFormat="false" ht="15" hidden="false" customHeight="false" outlineLevel="0" collapsed="false">
      <c r="A195" s="22"/>
      <c r="B195" s="11"/>
      <c r="C195" s="11"/>
      <c r="D195" s="23"/>
      <c r="E195" s="23"/>
      <c r="F195" s="11"/>
      <c r="G195" s="24"/>
      <c r="H195" s="25" t="str">
        <f aca="false">IF(G195="","",IFERROR(INDEX(Log!$D:$D,MATCH(G195,Log!$A:$A,0)),"ID não encontrado no Log"))</f>
        <v/>
      </c>
      <c r="I195" s="23"/>
      <c r="J195" s="11"/>
    </row>
    <row r="196" customFormat="false" ht="15" hidden="false" customHeight="false" outlineLevel="0" collapsed="false">
      <c r="A196" s="22"/>
      <c r="B196" s="11"/>
      <c r="C196" s="11"/>
      <c r="D196" s="23"/>
      <c r="E196" s="23"/>
      <c r="F196" s="11"/>
      <c r="G196" s="24"/>
      <c r="H196" s="25" t="str">
        <f aca="false">IF(G196="","",IFERROR(INDEX(Log!$D:$D,MATCH(G196,Log!$A:$A,0)),"ID não encontrado no Log"))</f>
        <v/>
      </c>
      <c r="I196" s="23"/>
      <c r="J196" s="11"/>
    </row>
    <row r="197" customFormat="false" ht="15" hidden="false" customHeight="false" outlineLevel="0" collapsed="false">
      <c r="A197" s="22"/>
      <c r="B197" s="11"/>
      <c r="C197" s="11"/>
      <c r="D197" s="23"/>
      <c r="E197" s="23"/>
      <c r="F197" s="11"/>
      <c r="G197" s="24"/>
      <c r="H197" s="25" t="str">
        <f aca="false">IF(G197="","",IFERROR(INDEX(Log!$D:$D,MATCH(G197,Log!$A:$A,0)),"ID não encontrado no Log"))</f>
        <v/>
      </c>
      <c r="I197" s="23"/>
      <c r="J197" s="11"/>
    </row>
    <row r="198" customFormat="false" ht="15" hidden="false" customHeight="false" outlineLevel="0" collapsed="false">
      <c r="A198" s="22"/>
      <c r="B198" s="11"/>
      <c r="C198" s="11"/>
      <c r="D198" s="23"/>
      <c r="E198" s="23"/>
      <c r="F198" s="11"/>
      <c r="G198" s="24"/>
      <c r="H198" s="25" t="str">
        <f aca="false">IF(G198="","",IFERROR(INDEX(Log!$D:$D,MATCH(G198,Log!$A:$A,0)),"ID não encontrado no Log"))</f>
        <v/>
      </c>
      <c r="I198" s="23"/>
      <c r="J198" s="11"/>
    </row>
    <row r="199" customFormat="false" ht="15" hidden="false" customHeight="false" outlineLevel="0" collapsed="false">
      <c r="A199" s="22"/>
      <c r="B199" s="11"/>
      <c r="C199" s="11"/>
      <c r="D199" s="23"/>
      <c r="E199" s="23"/>
      <c r="F199" s="11"/>
      <c r="G199" s="24"/>
      <c r="H199" s="25" t="str">
        <f aca="false">IF(G199="","",IFERROR(INDEX(Log!$D:$D,MATCH(G199,Log!$A:$A,0)),"ID não encontrado no Log"))</f>
        <v/>
      </c>
      <c r="I199" s="23"/>
      <c r="J199" s="11"/>
    </row>
    <row r="200" customFormat="false" ht="15" hidden="false" customHeight="false" outlineLevel="0" collapsed="false">
      <c r="A200" s="22"/>
      <c r="B200" s="11"/>
      <c r="C200" s="11"/>
      <c r="D200" s="23"/>
      <c r="E200" s="23"/>
      <c r="F200" s="11"/>
      <c r="G200" s="24"/>
      <c r="H200" s="25" t="str">
        <f aca="false">IF(G200="","",IFERROR(INDEX(Log!$D:$D,MATCH(G200,Log!$A:$A,0)),"ID não encontrado no Log"))</f>
        <v/>
      </c>
      <c r="I200" s="23"/>
      <c r="J200" s="11"/>
    </row>
    <row r="201" customFormat="false" ht="15" hidden="false" customHeight="false" outlineLevel="0" collapsed="false">
      <c r="A201" s="22"/>
      <c r="B201" s="11"/>
      <c r="C201" s="11"/>
      <c r="D201" s="23"/>
      <c r="E201" s="23"/>
      <c r="F201" s="11"/>
      <c r="G201" s="24"/>
      <c r="H201" s="25" t="str">
        <f aca="false">IF(G201="","",IFERROR(INDEX(Log!$D:$D,MATCH(G201,Log!$A:$A,0)),"ID não encontrado no Log"))</f>
        <v/>
      </c>
      <c r="I201" s="23"/>
      <c r="J201" s="11"/>
    </row>
    <row r="202" customFormat="false" ht="15" hidden="false" customHeight="false" outlineLevel="0" collapsed="false">
      <c r="A202" s="22"/>
      <c r="B202" s="11"/>
      <c r="C202" s="11"/>
      <c r="D202" s="23"/>
      <c r="E202" s="23"/>
      <c r="F202" s="11"/>
      <c r="G202" s="24"/>
      <c r="H202" s="25" t="str">
        <f aca="false">IF(G202="","",IFERROR(INDEX(Log!$D:$D,MATCH(G202,Log!$A:$A,0)),"ID não encontrado no Log"))</f>
        <v/>
      </c>
      <c r="I202" s="23"/>
      <c r="J202" s="11"/>
    </row>
    <row r="203" customFormat="false" ht="15" hidden="false" customHeight="false" outlineLevel="0" collapsed="false">
      <c r="A203" s="22"/>
      <c r="B203" s="11"/>
      <c r="C203" s="11"/>
      <c r="D203" s="23"/>
      <c r="E203" s="23"/>
      <c r="F203" s="11"/>
      <c r="G203" s="24"/>
      <c r="H203" s="25" t="str">
        <f aca="false">IF(G203="","",IFERROR(INDEX(Log!$D:$D,MATCH(G203,Log!$A:$A,0)),"ID não encontrado no Log"))</f>
        <v/>
      </c>
      <c r="I203" s="23"/>
      <c r="J203" s="11"/>
    </row>
    <row r="204" customFormat="false" ht="15" hidden="false" customHeight="false" outlineLevel="0" collapsed="false">
      <c r="A204" s="22"/>
      <c r="B204" s="11"/>
      <c r="C204" s="11"/>
      <c r="D204" s="23"/>
      <c r="E204" s="23"/>
      <c r="F204" s="11"/>
      <c r="G204" s="24"/>
      <c r="H204" s="25" t="str">
        <f aca="false">IF(G204="","",IFERROR(INDEX(Log!$D:$D,MATCH(G204,Log!$A:$A,0)),"ID não encontrado no Log"))</f>
        <v/>
      </c>
      <c r="I204" s="23"/>
      <c r="J204" s="11"/>
    </row>
    <row r="205" customFormat="false" ht="15" hidden="false" customHeight="false" outlineLevel="0" collapsed="false">
      <c r="A205" s="22"/>
      <c r="B205" s="11"/>
      <c r="C205" s="11"/>
      <c r="D205" s="23"/>
      <c r="E205" s="23"/>
      <c r="F205" s="11"/>
      <c r="G205" s="24"/>
      <c r="H205" s="25" t="str">
        <f aca="false">IF(G205="","",IFERROR(INDEX(Log!$D:$D,MATCH(G205,Log!$A:$A,0)),"ID não encontrado no Log"))</f>
        <v/>
      </c>
      <c r="I205" s="23"/>
      <c r="J205" s="11"/>
    </row>
    <row r="206" customFormat="false" ht="15" hidden="false" customHeight="false" outlineLevel="0" collapsed="false">
      <c r="A206" s="22"/>
      <c r="B206" s="11"/>
      <c r="C206" s="11"/>
      <c r="D206" s="23"/>
      <c r="E206" s="23"/>
      <c r="F206" s="11"/>
      <c r="G206" s="24"/>
      <c r="H206" s="25" t="str">
        <f aca="false">IF(G206="","",IFERROR(INDEX(Log!$D:$D,MATCH(G206,Log!$A:$A,0)),"ID não encontrado no Log"))</f>
        <v/>
      </c>
      <c r="I206" s="23"/>
      <c r="J206" s="11"/>
    </row>
    <row r="207" customFormat="false" ht="15" hidden="false" customHeight="false" outlineLevel="0" collapsed="false">
      <c r="A207" s="22"/>
      <c r="B207" s="11"/>
      <c r="C207" s="11"/>
      <c r="D207" s="23"/>
      <c r="E207" s="23"/>
      <c r="F207" s="11"/>
      <c r="G207" s="24"/>
      <c r="H207" s="25" t="str">
        <f aca="false">IF(G207="","",IFERROR(INDEX(Log!$D:$D,MATCH(G207,Log!$A:$A,0)),"ID não encontrado no Log"))</f>
        <v/>
      </c>
      <c r="I207" s="23"/>
      <c r="J207" s="11"/>
    </row>
    <row r="208" customFormat="false" ht="15" hidden="false" customHeight="false" outlineLevel="0" collapsed="false">
      <c r="A208" s="22"/>
      <c r="B208" s="11"/>
      <c r="C208" s="11"/>
      <c r="D208" s="23"/>
      <c r="E208" s="23"/>
      <c r="F208" s="11"/>
      <c r="G208" s="24"/>
      <c r="H208" s="25" t="str">
        <f aca="false">IF(G208="","",IFERROR(INDEX(Log!$D:$D,MATCH(G208,Log!$A:$A,0)),"ID não encontrado no Log"))</f>
        <v/>
      </c>
      <c r="I208" s="23"/>
      <c r="J208" s="11"/>
    </row>
    <row r="209" customFormat="false" ht="15" hidden="false" customHeight="false" outlineLevel="0" collapsed="false">
      <c r="A209" s="22"/>
      <c r="B209" s="11"/>
      <c r="C209" s="11"/>
      <c r="D209" s="23"/>
      <c r="E209" s="23"/>
      <c r="F209" s="11"/>
      <c r="G209" s="24"/>
      <c r="H209" s="25" t="str">
        <f aca="false">IF(G209="","",IFERROR(INDEX(Log!$D:$D,MATCH(G209,Log!$A:$A,0)),"ID não encontrado no Log"))</f>
        <v/>
      </c>
      <c r="I209" s="23"/>
      <c r="J209" s="11"/>
    </row>
    <row r="210" customFormat="false" ht="15" hidden="false" customHeight="false" outlineLevel="0" collapsed="false">
      <c r="A210" s="22"/>
      <c r="B210" s="11"/>
      <c r="C210" s="11"/>
      <c r="D210" s="23"/>
      <c r="E210" s="23"/>
      <c r="F210" s="11"/>
      <c r="G210" s="24"/>
      <c r="H210" s="25" t="str">
        <f aca="false">IF(G210="","",IFERROR(INDEX(Log!$D:$D,MATCH(G210,Log!$A:$A,0)),"ID não encontrado no Log"))</f>
        <v/>
      </c>
      <c r="I210" s="23"/>
      <c r="J210" s="11"/>
    </row>
    <row r="211" customFormat="false" ht="15" hidden="false" customHeight="false" outlineLevel="0" collapsed="false">
      <c r="A211" s="22"/>
      <c r="B211" s="11"/>
      <c r="C211" s="11"/>
      <c r="D211" s="23"/>
      <c r="E211" s="23"/>
      <c r="F211" s="11"/>
      <c r="G211" s="24"/>
      <c r="H211" s="25" t="str">
        <f aca="false">IF(G211="","",IFERROR(INDEX(Log!$D:$D,MATCH(G211,Log!$A:$A,0)),"ID não encontrado no Log"))</f>
        <v/>
      </c>
      <c r="I211" s="23"/>
      <c r="J211" s="11"/>
    </row>
    <row r="212" customFormat="false" ht="15" hidden="false" customHeight="false" outlineLevel="0" collapsed="false">
      <c r="A212" s="22"/>
      <c r="B212" s="11"/>
      <c r="C212" s="11"/>
      <c r="D212" s="23"/>
      <c r="E212" s="23"/>
      <c r="F212" s="11"/>
      <c r="G212" s="24"/>
      <c r="H212" s="25" t="str">
        <f aca="false">IF(G212="","",IFERROR(INDEX(Log!$D:$D,MATCH(G212,Log!$A:$A,0)),"ID não encontrado no Log"))</f>
        <v/>
      </c>
      <c r="I212" s="23"/>
      <c r="J212" s="11"/>
    </row>
    <row r="213" customFormat="false" ht="15" hidden="false" customHeight="false" outlineLevel="0" collapsed="false">
      <c r="A213" s="22"/>
      <c r="B213" s="11"/>
      <c r="C213" s="11"/>
      <c r="D213" s="23"/>
      <c r="E213" s="23"/>
      <c r="F213" s="11"/>
      <c r="G213" s="24"/>
      <c r="H213" s="25" t="str">
        <f aca="false">IF(G213="","",IFERROR(INDEX(Log!$D:$D,MATCH(G213,Log!$A:$A,0)),"ID não encontrado no Log"))</f>
        <v/>
      </c>
      <c r="I213" s="23"/>
      <c r="J213" s="11"/>
    </row>
    <row r="214" customFormat="false" ht="15" hidden="false" customHeight="false" outlineLevel="0" collapsed="false">
      <c r="A214" s="22"/>
      <c r="B214" s="11"/>
      <c r="C214" s="11"/>
      <c r="D214" s="23"/>
      <c r="E214" s="23"/>
      <c r="F214" s="11"/>
      <c r="G214" s="24"/>
      <c r="H214" s="25" t="str">
        <f aca="false">IF(G214="","",IFERROR(INDEX(Log!$D:$D,MATCH(G214,Log!$A:$A,0)),"ID não encontrado no Log"))</f>
        <v/>
      </c>
      <c r="I214" s="23"/>
      <c r="J214" s="11"/>
    </row>
    <row r="215" customFormat="false" ht="15" hidden="false" customHeight="false" outlineLevel="0" collapsed="false">
      <c r="A215" s="22"/>
      <c r="B215" s="11"/>
      <c r="C215" s="11"/>
      <c r="D215" s="23"/>
      <c r="E215" s="23"/>
      <c r="F215" s="11"/>
      <c r="G215" s="24"/>
      <c r="H215" s="25" t="str">
        <f aca="false">IF(G215="","",IFERROR(INDEX(Log!$D:$D,MATCH(G215,Log!$A:$A,0)),"ID não encontrado no Log"))</f>
        <v/>
      </c>
      <c r="I215" s="23"/>
      <c r="J215" s="11"/>
    </row>
    <row r="216" customFormat="false" ht="15" hidden="false" customHeight="false" outlineLevel="0" collapsed="false">
      <c r="A216" s="22"/>
      <c r="B216" s="11"/>
      <c r="C216" s="11"/>
      <c r="D216" s="23"/>
      <c r="E216" s="23"/>
      <c r="F216" s="11"/>
      <c r="G216" s="24"/>
      <c r="H216" s="25" t="str">
        <f aca="false">IF(G216="","",IFERROR(INDEX(Log!$D:$D,MATCH(G216,Log!$A:$A,0)),"ID não encontrado no Log"))</f>
        <v/>
      </c>
      <c r="I216" s="23"/>
      <c r="J216" s="11"/>
    </row>
    <row r="217" customFormat="false" ht="15" hidden="false" customHeight="false" outlineLevel="0" collapsed="false">
      <c r="A217" s="22"/>
      <c r="B217" s="11"/>
      <c r="C217" s="11"/>
      <c r="D217" s="23"/>
      <c r="E217" s="23"/>
      <c r="F217" s="11"/>
      <c r="G217" s="24"/>
      <c r="H217" s="25" t="str">
        <f aca="false">IF(G217="","",IFERROR(INDEX(Log!$D:$D,MATCH(G217,Log!$A:$A,0)),"ID não encontrado no Log"))</f>
        <v/>
      </c>
      <c r="I217" s="23"/>
      <c r="J217" s="11"/>
    </row>
    <row r="218" customFormat="false" ht="15" hidden="false" customHeight="false" outlineLevel="0" collapsed="false">
      <c r="A218" s="22"/>
      <c r="B218" s="11"/>
      <c r="C218" s="11"/>
      <c r="D218" s="23"/>
      <c r="E218" s="23"/>
      <c r="F218" s="11"/>
      <c r="G218" s="24"/>
      <c r="H218" s="25" t="str">
        <f aca="false">IF(G218="","",IFERROR(INDEX(Log!$D:$D,MATCH(G218,Log!$A:$A,0)),"ID não encontrado no Log"))</f>
        <v/>
      </c>
      <c r="I218" s="23"/>
      <c r="J218" s="11"/>
    </row>
    <row r="219" customFormat="false" ht="15" hidden="false" customHeight="false" outlineLevel="0" collapsed="false">
      <c r="A219" s="22"/>
      <c r="B219" s="11"/>
      <c r="C219" s="11"/>
      <c r="D219" s="23"/>
      <c r="E219" s="23"/>
      <c r="F219" s="11"/>
      <c r="G219" s="24"/>
      <c r="H219" s="25" t="str">
        <f aca="false">IF(G219="","",IFERROR(INDEX(Log!$D:$D,MATCH(G219,Log!$A:$A,0)),"ID não encontrado no Log"))</f>
        <v/>
      </c>
      <c r="I219" s="23"/>
      <c r="J219" s="11"/>
    </row>
    <row r="220" customFormat="false" ht="15" hidden="false" customHeight="false" outlineLevel="0" collapsed="false">
      <c r="A220" s="22"/>
      <c r="B220" s="11"/>
      <c r="C220" s="11"/>
      <c r="D220" s="23"/>
      <c r="E220" s="23"/>
      <c r="F220" s="11"/>
      <c r="G220" s="24"/>
      <c r="H220" s="25" t="str">
        <f aca="false">IF(G220="","",IFERROR(INDEX(Log!$D:$D,MATCH(G220,Log!$A:$A,0)),"ID não encontrado no Log"))</f>
        <v/>
      </c>
      <c r="I220" s="23"/>
      <c r="J220" s="11"/>
    </row>
    <row r="221" customFormat="false" ht="15" hidden="false" customHeight="false" outlineLevel="0" collapsed="false">
      <c r="A221" s="22"/>
      <c r="B221" s="11"/>
      <c r="C221" s="11"/>
      <c r="D221" s="23"/>
      <c r="E221" s="23"/>
      <c r="F221" s="11"/>
      <c r="G221" s="24"/>
      <c r="H221" s="25" t="str">
        <f aca="false">IF(G221="","",IFERROR(INDEX(Log!$D:$D,MATCH(G221,Log!$A:$A,0)),"ID não encontrado no Log"))</f>
        <v/>
      </c>
      <c r="I221" s="23"/>
      <c r="J221" s="11"/>
    </row>
    <row r="222" customFormat="false" ht="15" hidden="false" customHeight="false" outlineLevel="0" collapsed="false">
      <c r="A222" s="22"/>
      <c r="B222" s="11"/>
      <c r="C222" s="11"/>
      <c r="D222" s="23"/>
      <c r="E222" s="23"/>
      <c r="F222" s="11"/>
      <c r="G222" s="24"/>
      <c r="H222" s="25" t="str">
        <f aca="false">IF(G222="","",IFERROR(INDEX(Log!$D:$D,MATCH(G222,Log!$A:$A,0)),"ID não encontrado no Log"))</f>
        <v/>
      </c>
      <c r="I222" s="23"/>
      <c r="J222" s="11"/>
    </row>
    <row r="223" customFormat="false" ht="15" hidden="false" customHeight="false" outlineLevel="0" collapsed="false">
      <c r="A223" s="22"/>
      <c r="B223" s="11"/>
      <c r="C223" s="11"/>
      <c r="D223" s="23"/>
      <c r="E223" s="23"/>
      <c r="F223" s="11"/>
      <c r="G223" s="24"/>
      <c r="H223" s="25" t="str">
        <f aca="false">IF(G223="","",IFERROR(INDEX(Log!$D:$D,MATCH(G223,Log!$A:$A,0)),"ID não encontrado no Log"))</f>
        <v/>
      </c>
      <c r="I223" s="23"/>
      <c r="J223" s="11"/>
    </row>
    <row r="224" customFormat="false" ht="15" hidden="false" customHeight="false" outlineLevel="0" collapsed="false">
      <c r="A224" s="22"/>
      <c r="B224" s="11"/>
      <c r="C224" s="11"/>
      <c r="D224" s="23"/>
      <c r="E224" s="23"/>
      <c r="F224" s="11"/>
      <c r="G224" s="24"/>
      <c r="H224" s="25" t="str">
        <f aca="false">IF(G224="","",IFERROR(INDEX(Log!$D:$D,MATCH(G224,Log!$A:$A,0)),"ID não encontrado no Log"))</f>
        <v/>
      </c>
      <c r="I224" s="23"/>
      <c r="J224" s="11"/>
    </row>
    <row r="225" customFormat="false" ht="15" hidden="false" customHeight="false" outlineLevel="0" collapsed="false">
      <c r="A225" s="22"/>
      <c r="B225" s="11"/>
      <c r="C225" s="11"/>
      <c r="D225" s="23"/>
      <c r="E225" s="23"/>
      <c r="F225" s="11"/>
      <c r="G225" s="24"/>
      <c r="H225" s="25" t="str">
        <f aca="false">IF(G225="","",IFERROR(INDEX(Log!$D:$D,MATCH(G225,Log!$A:$A,0)),"ID não encontrado no Log"))</f>
        <v/>
      </c>
      <c r="I225" s="23"/>
      <c r="J225" s="11"/>
    </row>
    <row r="226" customFormat="false" ht="15" hidden="false" customHeight="false" outlineLevel="0" collapsed="false">
      <c r="A226" s="22"/>
      <c r="B226" s="11"/>
      <c r="C226" s="11"/>
      <c r="D226" s="23"/>
      <c r="E226" s="23"/>
      <c r="F226" s="11"/>
      <c r="G226" s="24"/>
      <c r="H226" s="25" t="str">
        <f aca="false">IF(G226="","",IFERROR(INDEX(Log!$D:$D,MATCH(G226,Log!$A:$A,0)),"ID não encontrado no Log"))</f>
        <v/>
      </c>
      <c r="I226" s="23"/>
      <c r="J226" s="11"/>
    </row>
    <row r="227" customFormat="false" ht="15" hidden="false" customHeight="false" outlineLevel="0" collapsed="false">
      <c r="A227" s="22"/>
      <c r="B227" s="11"/>
      <c r="C227" s="11"/>
      <c r="D227" s="23"/>
      <c r="E227" s="23"/>
      <c r="F227" s="11"/>
      <c r="G227" s="24"/>
      <c r="H227" s="25" t="str">
        <f aca="false">IF(G227="","",IFERROR(INDEX(Log!$D:$D,MATCH(G227,Log!$A:$A,0)),"ID não encontrado no Log"))</f>
        <v/>
      </c>
      <c r="I227" s="23"/>
      <c r="J227" s="11"/>
    </row>
    <row r="228" customFormat="false" ht="15" hidden="false" customHeight="false" outlineLevel="0" collapsed="false">
      <c r="A228" s="22"/>
      <c r="B228" s="11"/>
      <c r="C228" s="11"/>
      <c r="D228" s="23"/>
      <c r="E228" s="23"/>
      <c r="F228" s="11"/>
      <c r="G228" s="24"/>
      <c r="H228" s="25" t="str">
        <f aca="false">IF(G228="","",IFERROR(INDEX(Log!$D:$D,MATCH(G228,Log!$A:$A,0)),"ID não encontrado no Log"))</f>
        <v/>
      </c>
      <c r="I228" s="23"/>
      <c r="J228" s="11"/>
    </row>
    <row r="229" customFormat="false" ht="15" hidden="false" customHeight="false" outlineLevel="0" collapsed="false">
      <c r="A229" s="22"/>
      <c r="B229" s="11"/>
      <c r="C229" s="11"/>
      <c r="D229" s="23"/>
      <c r="E229" s="23"/>
      <c r="F229" s="11"/>
      <c r="G229" s="24"/>
      <c r="H229" s="25" t="str">
        <f aca="false">IF(G229="","",IFERROR(INDEX(Log!$D:$D,MATCH(G229,Log!$A:$A,0)),"ID não encontrado no Log"))</f>
        <v/>
      </c>
      <c r="I229" s="23"/>
      <c r="J229" s="11"/>
    </row>
    <row r="230" customFormat="false" ht="15" hidden="false" customHeight="false" outlineLevel="0" collapsed="false">
      <c r="A230" s="22"/>
      <c r="B230" s="11"/>
      <c r="C230" s="11"/>
      <c r="D230" s="23"/>
      <c r="E230" s="23"/>
      <c r="F230" s="11"/>
      <c r="G230" s="24"/>
      <c r="H230" s="25" t="str">
        <f aca="false">IF(G230="","",IFERROR(INDEX(Log!$D:$D,MATCH(G230,Log!$A:$A,0)),"ID não encontrado no Log"))</f>
        <v/>
      </c>
      <c r="I230" s="23"/>
      <c r="J230" s="11"/>
    </row>
    <row r="231" customFormat="false" ht="15" hidden="false" customHeight="false" outlineLevel="0" collapsed="false">
      <c r="A231" s="22"/>
      <c r="B231" s="11"/>
      <c r="C231" s="11"/>
      <c r="D231" s="23"/>
      <c r="E231" s="23"/>
      <c r="F231" s="11"/>
      <c r="G231" s="24"/>
      <c r="H231" s="25" t="str">
        <f aca="false">IF(G231="","",IFERROR(INDEX(Log!$D:$D,MATCH(G231,Log!$A:$A,0)),"ID não encontrado no Log"))</f>
        <v/>
      </c>
      <c r="I231" s="23"/>
      <c r="J231" s="11"/>
    </row>
    <row r="232" customFormat="false" ht="15" hidden="false" customHeight="false" outlineLevel="0" collapsed="false">
      <c r="A232" s="22"/>
      <c r="B232" s="11"/>
      <c r="C232" s="11"/>
      <c r="D232" s="23"/>
      <c r="E232" s="23"/>
      <c r="F232" s="11"/>
      <c r="G232" s="24"/>
      <c r="H232" s="25" t="str">
        <f aca="false">IF(G232="","",IFERROR(INDEX(Log!$D:$D,MATCH(G232,Log!$A:$A,0)),"ID não encontrado no Log"))</f>
        <v/>
      </c>
      <c r="I232" s="23"/>
      <c r="J232" s="11"/>
    </row>
    <row r="233" customFormat="false" ht="15" hidden="false" customHeight="false" outlineLevel="0" collapsed="false">
      <c r="A233" s="22"/>
      <c r="B233" s="11"/>
      <c r="C233" s="11"/>
      <c r="D233" s="23"/>
      <c r="E233" s="23"/>
      <c r="F233" s="11"/>
      <c r="G233" s="24"/>
      <c r="H233" s="25" t="str">
        <f aca="false">IF(G233="","",IFERROR(INDEX(Log!$D:$D,MATCH(G233,Log!$A:$A,0)),"ID não encontrado no Log"))</f>
        <v/>
      </c>
      <c r="I233" s="23"/>
      <c r="J233" s="11"/>
    </row>
    <row r="234" customFormat="false" ht="15" hidden="false" customHeight="false" outlineLevel="0" collapsed="false">
      <c r="A234" s="22"/>
      <c r="B234" s="11"/>
      <c r="C234" s="11"/>
      <c r="D234" s="23"/>
      <c r="E234" s="23"/>
      <c r="F234" s="11"/>
      <c r="G234" s="24"/>
      <c r="H234" s="25" t="str">
        <f aca="false">IF(G234="","",IFERROR(INDEX(Log!$D:$D,MATCH(G234,Log!$A:$A,0)),"ID não encontrado no Log"))</f>
        <v/>
      </c>
      <c r="I234" s="23"/>
      <c r="J234" s="11"/>
    </row>
    <row r="235" customFormat="false" ht="15" hidden="false" customHeight="false" outlineLevel="0" collapsed="false">
      <c r="A235" s="22"/>
      <c r="B235" s="11"/>
      <c r="C235" s="11"/>
      <c r="D235" s="23"/>
      <c r="E235" s="23"/>
      <c r="F235" s="11"/>
      <c r="G235" s="24"/>
      <c r="H235" s="25" t="str">
        <f aca="false">IF(G235="","",IFERROR(INDEX(Log!$D:$D,MATCH(G235,Log!$A:$A,0)),"ID não encontrado no Log"))</f>
        <v/>
      </c>
      <c r="I235" s="23"/>
      <c r="J235" s="11"/>
    </row>
    <row r="236" customFormat="false" ht="15" hidden="false" customHeight="false" outlineLevel="0" collapsed="false">
      <c r="A236" s="22"/>
      <c r="B236" s="11"/>
      <c r="C236" s="11"/>
      <c r="D236" s="23"/>
      <c r="E236" s="23"/>
      <c r="F236" s="11"/>
      <c r="G236" s="24"/>
      <c r="H236" s="25" t="str">
        <f aca="false">IF(G236="","",IFERROR(INDEX(Log!$D:$D,MATCH(G236,Log!$A:$A,0)),"ID não encontrado no Log"))</f>
        <v/>
      </c>
      <c r="I236" s="23"/>
      <c r="J236" s="11"/>
    </row>
    <row r="237" customFormat="false" ht="15" hidden="false" customHeight="false" outlineLevel="0" collapsed="false">
      <c r="A237" s="22"/>
      <c r="B237" s="11"/>
      <c r="C237" s="11"/>
      <c r="D237" s="23"/>
      <c r="E237" s="23"/>
      <c r="F237" s="11"/>
      <c r="G237" s="24"/>
      <c r="H237" s="25" t="str">
        <f aca="false">IF(G237="","",IFERROR(INDEX(Log!$D:$D,MATCH(G237,Log!$A:$A,0)),"ID não encontrado no Log"))</f>
        <v/>
      </c>
      <c r="I237" s="23"/>
      <c r="J237" s="11"/>
    </row>
    <row r="238" customFormat="false" ht="15" hidden="false" customHeight="false" outlineLevel="0" collapsed="false">
      <c r="A238" s="22"/>
      <c r="B238" s="11"/>
      <c r="C238" s="11"/>
      <c r="D238" s="23"/>
      <c r="E238" s="23"/>
      <c r="F238" s="11"/>
      <c r="G238" s="24"/>
      <c r="H238" s="25" t="str">
        <f aca="false">IF(G238="","",IFERROR(INDEX(Log!$D:$D,MATCH(G238,Log!$A:$A,0)),"ID não encontrado no Log"))</f>
        <v/>
      </c>
      <c r="I238" s="23"/>
      <c r="J238" s="11"/>
    </row>
    <row r="239" customFormat="false" ht="15" hidden="false" customHeight="false" outlineLevel="0" collapsed="false">
      <c r="A239" s="22"/>
      <c r="B239" s="11"/>
      <c r="C239" s="11"/>
      <c r="D239" s="23"/>
      <c r="E239" s="23"/>
      <c r="F239" s="11"/>
      <c r="G239" s="24"/>
      <c r="H239" s="25" t="str">
        <f aca="false">IF(G239="","",IFERROR(INDEX(Log!$D:$D,MATCH(G239,Log!$A:$A,0)),"ID não encontrado no Log"))</f>
        <v/>
      </c>
      <c r="I239" s="23"/>
      <c r="J239" s="11"/>
    </row>
    <row r="240" customFormat="false" ht="15" hidden="false" customHeight="false" outlineLevel="0" collapsed="false">
      <c r="A240" s="22"/>
      <c r="B240" s="11"/>
      <c r="C240" s="11"/>
      <c r="D240" s="23"/>
      <c r="E240" s="23"/>
      <c r="F240" s="11"/>
      <c r="G240" s="24"/>
      <c r="H240" s="25" t="str">
        <f aca="false">IF(G240="","",IFERROR(INDEX(Log!$D:$D,MATCH(G240,Log!$A:$A,0)),"ID não encontrado no Log"))</f>
        <v/>
      </c>
      <c r="I240" s="23"/>
      <c r="J240" s="11"/>
    </row>
    <row r="241" customFormat="false" ht="15" hidden="false" customHeight="false" outlineLevel="0" collapsed="false">
      <c r="A241" s="22"/>
      <c r="B241" s="11"/>
      <c r="C241" s="11"/>
      <c r="D241" s="23"/>
      <c r="E241" s="23"/>
      <c r="F241" s="11"/>
      <c r="G241" s="24"/>
      <c r="H241" s="25" t="str">
        <f aca="false">IF(G241="","",IFERROR(INDEX(Log!$D:$D,MATCH(G241,Log!$A:$A,0)),"ID não encontrado no Log"))</f>
        <v/>
      </c>
      <c r="I241" s="23"/>
      <c r="J241" s="11"/>
    </row>
    <row r="242" customFormat="false" ht="15" hidden="false" customHeight="false" outlineLevel="0" collapsed="false">
      <c r="A242" s="22"/>
      <c r="B242" s="11"/>
      <c r="C242" s="11"/>
      <c r="D242" s="23"/>
      <c r="E242" s="23"/>
      <c r="F242" s="11"/>
      <c r="G242" s="24"/>
      <c r="H242" s="25" t="str">
        <f aca="false">IF(G242="","",IFERROR(INDEX(Log!$D:$D,MATCH(G242,Log!$A:$A,0)),"ID não encontrado no Log"))</f>
        <v/>
      </c>
      <c r="I242" s="23"/>
      <c r="J242" s="11"/>
    </row>
    <row r="243" customFormat="false" ht="15" hidden="false" customHeight="false" outlineLevel="0" collapsed="false">
      <c r="A243" s="22"/>
      <c r="B243" s="11"/>
      <c r="C243" s="11"/>
      <c r="D243" s="23"/>
      <c r="E243" s="23"/>
      <c r="F243" s="11"/>
      <c r="G243" s="24"/>
      <c r="H243" s="25" t="str">
        <f aca="false">IF(G243="","",IFERROR(INDEX(Log!$D:$D,MATCH(G243,Log!$A:$A,0)),"ID não encontrado no Log"))</f>
        <v/>
      </c>
      <c r="I243" s="23"/>
      <c r="J243" s="11"/>
    </row>
    <row r="244" customFormat="false" ht="15" hidden="false" customHeight="false" outlineLevel="0" collapsed="false">
      <c r="A244" s="22"/>
      <c r="B244" s="11"/>
      <c r="C244" s="11"/>
      <c r="D244" s="23"/>
      <c r="E244" s="23"/>
      <c r="F244" s="11"/>
      <c r="G244" s="24"/>
      <c r="H244" s="25" t="str">
        <f aca="false">IF(G244="","",IFERROR(INDEX(Log!$D:$D,MATCH(G244,Log!$A:$A,0)),"ID não encontrado no Log"))</f>
        <v/>
      </c>
      <c r="I244" s="23"/>
      <c r="J244" s="11"/>
    </row>
    <row r="245" customFormat="false" ht="15" hidden="false" customHeight="false" outlineLevel="0" collapsed="false">
      <c r="A245" s="22"/>
      <c r="B245" s="11"/>
      <c r="C245" s="11"/>
      <c r="D245" s="23"/>
      <c r="E245" s="23"/>
      <c r="F245" s="11"/>
      <c r="G245" s="24"/>
      <c r="H245" s="25" t="str">
        <f aca="false">IF(G245="","",IFERROR(INDEX(Log!$D:$D,MATCH(G245,Log!$A:$A,0)),"ID não encontrado no Log"))</f>
        <v/>
      </c>
      <c r="I245" s="23"/>
      <c r="J245" s="11"/>
    </row>
    <row r="246" customFormat="false" ht="15" hidden="false" customHeight="false" outlineLevel="0" collapsed="false">
      <c r="A246" s="22"/>
      <c r="B246" s="11"/>
      <c r="C246" s="11"/>
      <c r="D246" s="23"/>
      <c r="E246" s="23"/>
      <c r="F246" s="11"/>
      <c r="G246" s="24"/>
      <c r="H246" s="25" t="str">
        <f aca="false">IF(G246="","",IFERROR(INDEX(Log!$D:$D,MATCH(G246,Log!$A:$A,0)),"ID não encontrado no Log"))</f>
        <v/>
      </c>
      <c r="I246" s="23"/>
      <c r="J246" s="11"/>
    </row>
    <row r="247" customFormat="false" ht="15" hidden="false" customHeight="false" outlineLevel="0" collapsed="false">
      <c r="A247" s="22"/>
      <c r="B247" s="11"/>
      <c r="C247" s="11"/>
      <c r="D247" s="23"/>
      <c r="E247" s="23"/>
      <c r="F247" s="11"/>
      <c r="G247" s="24"/>
      <c r="H247" s="25" t="str">
        <f aca="false">IF(G247="","",IFERROR(INDEX(Log!$D:$D,MATCH(G247,Log!$A:$A,0)),"ID não encontrado no Log"))</f>
        <v/>
      </c>
      <c r="I247" s="23"/>
      <c r="J247" s="11"/>
    </row>
    <row r="248" customFormat="false" ht="15" hidden="false" customHeight="false" outlineLevel="0" collapsed="false">
      <c r="A248" s="22"/>
      <c r="B248" s="11"/>
      <c r="C248" s="11"/>
      <c r="D248" s="23"/>
      <c r="E248" s="23"/>
      <c r="F248" s="11"/>
      <c r="G248" s="24"/>
      <c r="H248" s="25" t="str">
        <f aca="false">IF(G248="","",IFERROR(INDEX(Log!$D:$D,MATCH(G248,Log!$A:$A,0)),"ID não encontrado no Log"))</f>
        <v/>
      </c>
      <c r="I248" s="23"/>
      <c r="J248" s="11"/>
    </row>
    <row r="249" customFormat="false" ht="15" hidden="false" customHeight="false" outlineLevel="0" collapsed="false">
      <c r="A249" s="22"/>
      <c r="B249" s="11"/>
      <c r="C249" s="11"/>
      <c r="D249" s="23"/>
      <c r="E249" s="23"/>
      <c r="F249" s="11"/>
      <c r="G249" s="24"/>
      <c r="H249" s="25" t="str">
        <f aca="false">IF(G249="","",IFERROR(INDEX(Log!$D:$D,MATCH(G249,Log!$A:$A,0)),"ID não encontrado no Log"))</f>
        <v/>
      </c>
      <c r="I249" s="23"/>
      <c r="J249" s="11"/>
    </row>
    <row r="250" customFormat="false" ht="15" hidden="false" customHeight="false" outlineLevel="0" collapsed="false">
      <c r="A250" s="22"/>
      <c r="B250" s="11"/>
      <c r="C250" s="11"/>
      <c r="D250" s="23"/>
      <c r="E250" s="23"/>
      <c r="F250" s="11"/>
      <c r="G250" s="24"/>
      <c r="H250" s="25" t="str">
        <f aca="false">IF(G250="","",IFERROR(INDEX(Log!$D:$D,MATCH(G250,Log!$A:$A,0)),"ID não encontrado no Log"))</f>
        <v/>
      </c>
      <c r="I250" s="23"/>
      <c r="J250" s="11"/>
    </row>
    <row r="251" customFormat="false" ht="15" hidden="false" customHeight="false" outlineLevel="0" collapsed="false">
      <c r="A251" s="22"/>
      <c r="B251" s="11"/>
      <c r="C251" s="11"/>
      <c r="D251" s="23"/>
      <c r="E251" s="23"/>
      <c r="F251" s="11"/>
      <c r="G251" s="24"/>
      <c r="H251" s="25" t="str">
        <f aca="false">IF(G251="","",IFERROR(INDEX(Log!$D:$D,MATCH(G251,Log!$A:$A,0)),"ID não encontrado no Log"))</f>
        <v/>
      </c>
      <c r="I251" s="23"/>
      <c r="J251" s="11"/>
    </row>
    <row r="252" customFormat="false" ht="15" hidden="false" customHeight="false" outlineLevel="0" collapsed="false">
      <c r="A252" s="22"/>
      <c r="B252" s="11"/>
      <c r="C252" s="11"/>
      <c r="D252" s="23"/>
      <c r="E252" s="23"/>
      <c r="F252" s="11"/>
      <c r="G252" s="24"/>
      <c r="H252" s="25" t="str">
        <f aca="false">IF(G252="","",IFERROR(INDEX(Log!$D:$D,MATCH(G252,Log!$A:$A,0)),"ID não encontrado no Log"))</f>
        <v/>
      </c>
      <c r="I252" s="23"/>
      <c r="J252" s="11"/>
    </row>
    <row r="253" customFormat="false" ht="15" hidden="false" customHeight="false" outlineLevel="0" collapsed="false">
      <c r="A253" s="22"/>
      <c r="B253" s="11"/>
      <c r="C253" s="11"/>
      <c r="D253" s="23"/>
      <c r="E253" s="23"/>
      <c r="F253" s="11"/>
      <c r="G253" s="24"/>
      <c r="H253" s="25" t="str">
        <f aca="false">IF(G253="","",IFERROR(INDEX(Log!$D:$D,MATCH(G253,Log!$A:$A,0)),"ID não encontrado no Log"))</f>
        <v/>
      </c>
      <c r="I253" s="23"/>
      <c r="J253" s="11"/>
    </row>
    <row r="254" customFormat="false" ht="15" hidden="false" customHeight="false" outlineLevel="0" collapsed="false">
      <c r="A254" s="22"/>
      <c r="B254" s="11"/>
      <c r="C254" s="11"/>
      <c r="D254" s="23"/>
      <c r="E254" s="23"/>
      <c r="F254" s="11"/>
      <c r="G254" s="24"/>
      <c r="H254" s="25" t="str">
        <f aca="false">IF(G254="","",IFERROR(INDEX(Log!$D:$D,MATCH(G254,Log!$A:$A,0)),"ID não encontrado no Log"))</f>
        <v/>
      </c>
      <c r="I254" s="23"/>
      <c r="J254" s="11"/>
    </row>
    <row r="255" customFormat="false" ht="15" hidden="false" customHeight="false" outlineLevel="0" collapsed="false">
      <c r="A255" s="22"/>
      <c r="B255" s="11"/>
      <c r="C255" s="11"/>
      <c r="D255" s="23"/>
      <c r="E255" s="23"/>
      <c r="F255" s="11"/>
      <c r="G255" s="24"/>
      <c r="H255" s="25" t="str">
        <f aca="false">IF(G255="","",IFERROR(INDEX(Log!$D:$D,MATCH(G255,Log!$A:$A,0)),"ID não encontrado no Log"))</f>
        <v/>
      </c>
      <c r="I255" s="23"/>
      <c r="J255" s="11"/>
    </row>
    <row r="256" customFormat="false" ht="15" hidden="false" customHeight="false" outlineLevel="0" collapsed="false">
      <c r="A256" s="22"/>
      <c r="B256" s="11"/>
      <c r="C256" s="11"/>
      <c r="D256" s="23"/>
      <c r="E256" s="23"/>
      <c r="F256" s="11"/>
      <c r="G256" s="24"/>
      <c r="H256" s="25" t="str">
        <f aca="false">IF(G256="","",IFERROR(INDEX(Log!$D:$D,MATCH(G256,Log!$A:$A,0)),"ID não encontrado no Log"))</f>
        <v/>
      </c>
      <c r="I256" s="23"/>
      <c r="J256" s="11"/>
    </row>
    <row r="257" customFormat="false" ht="15" hidden="false" customHeight="false" outlineLevel="0" collapsed="false">
      <c r="A257" s="22"/>
      <c r="B257" s="11"/>
      <c r="C257" s="11"/>
      <c r="D257" s="23"/>
      <c r="E257" s="23"/>
      <c r="F257" s="11"/>
      <c r="G257" s="24"/>
      <c r="H257" s="25" t="str">
        <f aca="false">IF(G257="","",IFERROR(INDEX(Log!$D:$D,MATCH(G257,Log!$A:$A,0)),"ID não encontrado no Log"))</f>
        <v/>
      </c>
      <c r="I257" s="23"/>
      <c r="J257" s="11"/>
    </row>
    <row r="258" customFormat="false" ht="15" hidden="false" customHeight="false" outlineLevel="0" collapsed="false">
      <c r="A258" s="22"/>
      <c r="B258" s="11"/>
      <c r="C258" s="11"/>
      <c r="D258" s="23"/>
      <c r="E258" s="23"/>
      <c r="F258" s="11"/>
      <c r="G258" s="24"/>
      <c r="H258" s="25" t="str">
        <f aca="false">IF(G258="","",IFERROR(INDEX(Log!$D:$D,MATCH(G258,Log!$A:$A,0)),"ID não encontrado no Log"))</f>
        <v/>
      </c>
      <c r="I258" s="23"/>
      <c r="J258" s="11"/>
    </row>
    <row r="259" customFormat="false" ht="15" hidden="false" customHeight="false" outlineLevel="0" collapsed="false">
      <c r="A259" s="22"/>
      <c r="B259" s="11"/>
      <c r="C259" s="11"/>
      <c r="D259" s="23"/>
      <c r="E259" s="23"/>
      <c r="F259" s="11"/>
      <c r="G259" s="24"/>
      <c r="H259" s="25" t="str">
        <f aca="false">IF(G259="","",IFERROR(INDEX(Log!$D:$D,MATCH(G259,Log!$A:$A,0)),"ID não encontrado no Log"))</f>
        <v/>
      </c>
      <c r="I259" s="23"/>
      <c r="J259" s="11"/>
    </row>
    <row r="260" customFormat="false" ht="15" hidden="false" customHeight="false" outlineLevel="0" collapsed="false">
      <c r="A260" s="22"/>
      <c r="B260" s="11"/>
      <c r="C260" s="11"/>
      <c r="D260" s="23"/>
      <c r="E260" s="23"/>
      <c r="F260" s="11"/>
      <c r="G260" s="24"/>
      <c r="H260" s="25" t="str">
        <f aca="false">IF(G260="","",IFERROR(INDEX(Log!$D:$D,MATCH(G260,Log!$A:$A,0)),"ID não encontrado no Log"))</f>
        <v/>
      </c>
      <c r="I260" s="23"/>
      <c r="J260" s="11"/>
    </row>
    <row r="261" customFormat="false" ht="15" hidden="false" customHeight="false" outlineLevel="0" collapsed="false">
      <c r="A261" s="22"/>
      <c r="B261" s="11"/>
      <c r="C261" s="11"/>
      <c r="D261" s="23"/>
      <c r="E261" s="23"/>
      <c r="F261" s="11"/>
      <c r="G261" s="24"/>
      <c r="H261" s="25" t="str">
        <f aca="false">IF(G261="","",IFERROR(INDEX(Log!$D:$D,MATCH(G261,Log!$A:$A,0)),"ID não encontrado no Log"))</f>
        <v/>
      </c>
      <c r="I261" s="23"/>
      <c r="J261" s="11"/>
    </row>
    <row r="262" customFormat="false" ht="15" hidden="false" customHeight="false" outlineLevel="0" collapsed="false">
      <c r="A262" s="22"/>
      <c r="B262" s="11"/>
      <c r="C262" s="11"/>
      <c r="D262" s="23"/>
      <c r="E262" s="23"/>
      <c r="F262" s="11"/>
      <c r="G262" s="24"/>
      <c r="H262" s="25" t="str">
        <f aca="false">IF(G262="","",IFERROR(INDEX(Log!$D:$D,MATCH(G262,Log!$A:$A,0)),"ID não encontrado no Log"))</f>
        <v/>
      </c>
      <c r="I262" s="23"/>
      <c r="J262" s="11"/>
    </row>
    <row r="263" customFormat="false" ht="15" hidden="false" customHeight="false" outlineLevel="0" collapsed="false">
      <c r="A263" s="22"/>
      <c r="B263" s="11"/>
      <c r="C263" s="11"/>
      <c r="D263" s="23"/>
      <c r="E263" s="23"/>
      <c r="F263" s="11"/>
      <c r="G263" s="24"/>
      <c r="H263" s="25" t="str">
        <f aca="false">IF(G263="","",IFERROR(INDEX(Log!$D:$D,MATCH(G263,Log!$A:$A,0)),"ID não encontrado no Log"))</f>
        <v/>
      </c>
      <c r="I263" s="23"/>
      <c r="J263" s="11"/>
    </row>
    <row r="264" customFormat="false" ht="15" hidden="false" customHeight="false" outlineLevel="0" collapsed="false">
      <c r="A264" s="22"/>
      <c r="B264" s="11"/>
      <c r="C264" s="11"/>
      <c r="D264" s="23"/>
      <c r="E264" s="23"/>
      <c r="F264" s="11"/>
      <c r="G264" s="24"/>
      <c r="H264" s="25" t="str">
        <f aca="false">IF(G264="","",IFERROR(INDEX(Log!$D:$D,MATCH(G264,Log!$A:$A,0)),"ID não encontrado no Log"))</f>
        <v/>
      </c>
      <c r="I264" s="23"/>
      <c r="J264" s="11"/>
    </row>
    <row r="265" customFormat="false" ht="15" hidden="false" customHeight="false" outlineLevel="0" collapsed="false">
      <c r="A265" s="22"/>
      <c r="B265" s="11"/>
      <c r="C265" s="11"/>
      <c r="D265" s="23"/>
      <c r="E265" s="23"/>
      <c r="F265" s="11"/>
      <c r="G265" s="24"/>
      <c r="H265" s="25" t="str">
        <f aca="false">IF(G265="","",IFERROR(INDEX(Log!$D:$D,MATCH(G265,Log!$A:$A,0)),"ID não encontrado no Log"))</f>
        <v/>
      </c>
      <c r="I265" s="23"/>
      <c r="J265" s="11"/>
    </row>
    <row r="266" customFormat="false" ht="15" hidden="false" customHeight="false" outlineLevel="0" collapsed="false">
      <c r="A266" s="22"/>
      <c r="B266" s="11"/>
      <c r="C266" s="11"/>
      <c r="D266" s="23"/>
      <c r="E266" s="23"/>
      <c r="F266" s="11"/>
      <c r="G266" s="24"/>
      <c r="H266" s="25" t="str">
        <f aca="false">IF(G266="","",IFERROR(INDEX(Log!$D:$D,MATCH(G266,Log!$A:$A,0)),"ID não encontrado no Log"))</f>
        <v/>
      </c>
      <c r="I266" s="23"/>
      <c r="J266" s="11"/>
    </row>
    <row r="267" customFormat="false" ht="15" hidden="false" customHeight="false" outlineLevel="0" collapsed="false">
      <c r="A267" s="22"/>
      <c r="B267" s="11"/>
      <c r="C267" s="11"/>
      <c r="D267" s="23"/>
      <c r="E267" s="23"/>
      <c r="F267" s="11"/>
      <c r="G267" s="24"/>
      <c r="H267" s="25" t="str">
        <f aca="false">IF(G267="","",IFERROR(INDEX(Log!$D:$D,MATCH(G267,Log!$A:$A,0)),"ID não encontrado no Log"))</f>
        <v/>
      </c>
      <c r="I267" s="23"/>
      <c r="J267" s="11"/>
    </row>
    <row r="268" customFormat="false" ht="15" hidden="false" customHeight="false" outlineLevel="0" collapsed="false">
      <c r="A268" s="22"/>
      <c r="B268" s="11"/>
      <c r="C268" s="11"/>
      <c r="D268" s="23"/>
      <c r="E268" s="23"/>
      <c r="F268" s="11"/>
      <c r="G268" s="24"/>
      <c r="H268" s="25" t="str">
        <f aca="false">IF(G268="","",IFERROR(INDEX(Log!$D:$D,MATCH(G268,Log!$A:$A,0)),"ID não encontrado no Log"))</f>
        <v/>
      </c>
      <c r="I268" s="23"/>
      <c r="J268" s="11"/>
    </row>
    <row r="269" customFormat="false" ht="15" hidden="false" customHeight="false" outlineLevel="0" collapsed="false">
      <c r="A269" s="22"/>
      <c r="B269" s="11"/>
      <c r="C269" s="11"/>
      <c r="D269" s="23"/>
      <c r="E269" s="23"/>
      <c r="F269" s="11"/>
      <c r="G269" s="24"/>
      <c r="H269" s="25" t="str">
        <f aca="false">IF(G269="","",IFERROR(INDEX(Log!$D:$D,MATCH(G269,Log!$A:$A,0)),"ID não encontrado no Log"))</f>
        <v/>
      </c>
      <c r="I269" s="23"/>
      <c r="J269" s="11"/>
    </row>
    <row r="270" customFormat="false" ht="15" hidden="false" customHeight="false" outlineLevel="0" collapsed="false">
      <c r="A270" s="22"/>
      <c r="B270" s="11"/>
      <c r="C270" s="11"/>
      <c r="D270" s="23"/>
      <c r="E270" s="23"/>
      <c r="F270" s="11"/>
      <c r="G270" s="24"/>
      <c r="H270" s="25" t="str">
        <f aca="false">IF(G270="","",IFERROR(INDEX(Log!$D:$D,MATCH(G270,Log!$A:$A,0)),"ID não encontrado no Log"))</f>
        <v/>
      </c>
      <c r="I270" s="23"/>
      <c r="J270" s="11"/>
    </row>
    <row r="271" customFormat="false" ht="15" hidden="false" customHeight="false" outlineLevel="0" collapsed="false">
      <c r="A271" s="22"/>
      <c r="B271" s="11"/>
      <c r="C271" s="11"/>
      <c r="D271" s="23"/>
      <c r="E271" s="23"/>
      <c r="F271" s="11"/>
      <c r="G271" s="24"/>
      <c r="H271" s="25" t="str">
        <f aca="false">IF(G271="","",IFERROR(INDEX(Log!$D:$D,MATCH(G271,Log!$A:$A,0)),"ID não encontrado no Log"))</f>
        <v/>
      </c>
      <c r="I271" s="23"/>
      <c r="J271" s="11"/>
    </row>
    <row r="272" customFormat="false" ht="15" hidden="false" customHeight="false" outlineLevel="0" collapsed="false">
      <c r="A272" s="22"/>
      <c r="B272" s="11"/>
      <c r="C272" s="11"/>
      <c r="D272" s="23"/>
      <c r="E272" s="23"/>
      <c r="F272" s="11"/>
      <c r="G272" s="24"/>
      <c r="H272" s="25" t="str">
        <f aca="false">IF(G272="","",IFERROR(INDEX(Log!$D:$D,MATCH(G272,Log!$A:$A,0)),"ID não encontrado no Log"))</f>
        <v/>
      </c>
      <c r="I272" s="23"/>
      <c r="J272" s="11"/>
    </row>
    <row r="273" customFormat="false" ht="15" hidden="false" customHeight="false" outlineLevel="0" collapsed="false">
      <c r="A273" s="22"/>
      <c r="B273" s="11"/>
      <c r="C273" s="11"/>
      <c r="D273" s="23"/>
      <c r="E273" s="23"/>
      <c r="F273" s="11"/>
      <c r="G273" s="24"/>
      <c r="H273" s="25" t="str">
        <f aca="false">IF(G273="","",IFERROR(INDEX(Log!$D:$D,MATCH(G273,Log!$A:$A,0)),"ID não encontrado no Log"))</f>
        <v/>
      </c>
      <c r="I273" s="23"/>
      <c r="J273" s="11"/>
    </row>
    <row r="274" customFormat="false" ht="15" hidden="false" customHeight="false" outlineLevel="0" collapsed="false">
      <c r="A274" s="22"/>
      <c r="B274" s="11"/>
      <c r="C274" s="11"/>
      <c r="D274" s="23"/>
      <c r="E274" s="23"/>
      <c r="F274" s="11"/>
      <c r="G274" s="24"/>
      <c r="H274" s="25" t="str">
        <f aca="false">IF(G274="","",IFERROR(INDEX(Log!$D:$D,MATCH(G274,Log!$A:$A,0)),"ID não encontrado no Log"))</f>
        <v/>
      </c>
      <c r="I274" s="23"/>
      <c r="J274" s="11"/>
    </row>
    <row r="275" customFormat="false" ht="15" hidden="false" customHeight="false" outlineLevel="0" collapsed="false">
      <c r="A275" s="22"/>
      <c r="B275" s="11"/>
      <c r="C275" s="11"/>
      <c r="D275" s="23"/>
      <c r="E275" s="23"/>
      <c r="F275" s="11"/>
      <c r="G275" s="24"/>
      <c r="H275" s="25" t="str">
        <f aca="false">IF(G275="","",IFERROR(INDEX(Log!$D:$D,MATCH(G275,Log!$A:$A,0)),"ID não encontrado no Log"))</f>
        <v/>
      </c>
      <c r="I275" s="23"/>
      <c r="J275" s="11"/>
    </row>
    <row r="276" customFormat="false" ht="15" hidden="false" customHeight="false" outlineLevel="0" collapsed="false">
      <c r="A276" s="22"/>
      <c r="B276" s="11"/>
      <c r="C276" s="11"/>
      <c r="D276" s="23"/>
      <c r="E276" s="23"/>
      <c r="F276" s="11"/>
      <c r="G276" s="24"/>
      <c r="H276" s="25" t="str">
        <f aca="false">IF(G276="","",IFERROR(INDEX(Log!$D:$D,MATCH(G276,Log!$A:$A,0)),"ID não encontrado no Log"))</f>
        <v/>
      </c>
      <c r="I276" s="23"/>
      <c r="J276" s="11"/>
    </row>
    <row r="277" customFormat="false" ht="15" hidden="false" customHeight="false" outlineLevel="0" collapsed="false">
      <c r="A277" s="22"/>
      <c r="B277" s="11"/>
      <c r="C277" s="11"/>
      <c r="D277" s="23"/>
      <c r="E277" s="23"/>
      <c r="F277" s="11"/>
      <c r="G277" s="24"/>
      <c r="H277" s="25" t="str">
        <f aca="false">IF(G277="","",IFERROR(INDEX(Log!$D:$D,MATCH(G277,Log!$A:$A,0)),"ID não encontrado no Log"))</f>
        <v/>
      </c>
      <c r="I277" s="23"/>
      <c r="J277" s="11"/>
    </row>
    <row r="278" customFormat="false" ht="15" hidden="false" customHeight="false" outlineLevel="0" collapsed="false">
      <c r="A278" s="22"/>
      <c r="B278" s="11"/>
      <c r="C278" s="11"/>
      <c r="D278" s="23"/>
      <c r="E278" s="23"/>
      <c r="F278" s="11"/>
      <c r="G278" s="24"/>
      <c r="H278" s="25" t="str">
        <f aca="false">IF(G278="","",IFERROR(INDEX(Log!$D:$D,MATCH(G278,Log!$A:$A,0)),"ID não encontrado no Log"))</f>
        <v/>
      </c>
      <c r="I278" s="23"/>
      <c r="J278" s="11"/>
    </row>
    <row r="279" customFormat="false" ht="15" hidden="false" customHeight="false" outlineLevel="0" collapsed="false">
      <c r="A279" s="22"/>
      <c r="B279" s="11"/>
      <c r="C279" s="11"/>
      <c r="D279" s="23"/>
      <c r="E279" s="23"/>
      <c r="F279" s="11"/>
      <c r="G279" s="24"/>
      <c r="H279" s="25" t="str">
        <f aca="false">IF(G279="","",IFERROR(INDEX(Log!$D:$D,MATCH(G279,Log!$A:$A,0)),"ID não encontrado no Log"))</f>
        <v/>
      </c>
      <c r="I279" s="23"/>
      <c r="J279" s="11"/>
    </row>
    <row r="280" customFormat="false" ht="15" hidden="false" customHeight="false" outlineLevel="0" collapsed="false">
      <c r="A280" s="22"/>
      <c r="B280" s="11"/>
      <c r="C280" s="11"/>
      <c r="D280" s="23"/>
      <c r="E280" s="23"/>
      <c r="F280" s="11"/>
      <c r="G280" s="24"/>
      <c r="H280" s="25" t="str">
        <f aca="false">IF(G280="","",IFERROR(INDEX(Log!$D:$D,MATCH(G280,Log!$A:$A,0)),"ID não encontrado no Log"))</f>
        <v/>
      </c>
      <c r="I280" s="23"/>
      <c r="J280" s="11"/>
    </row>
    <row r="281" customFormat="false" ht="15" hidden="false" customHeight="false" outlineLevel="0" collapsed="false">
      <c r="A281" s="22"/>
      <c r="B281" s="11"/>
      <c r="C281" s="11"/>
      <c r="D281" s="23"/>
      <c r="E281" s="23"/>
      <c r="F281" s="11"/>
      <c r="G281" s="24"/>
      <c r="H281" s="25" t="str">
        <f aca="false">IF(G281="","",IFERROR(INDEX(Log!$D:$D,MATCH(G281,Log!$A:$A,0)),"ID não encontrado no Log"))</f>
        <v/>
      </c>
      <c r="I281" s="23"/>
      <c r="J281" s="11"/>
    </row>
    <row r="282" customFormat="false" ht="15" hidden="false" customHeight="false" outlineLevel="0" collapsed="false">
      <c r="A282" s="22"/>
      <c r="B282" s="11"/>
      <c r="C282" s="11"/>
      <c r="D282" s="23"/>
      <c r="E282" s="23"/>
      <c r="F282" s="11"/>
      <c r="G282" s="24"/>
      <c r="H282" s="25" t="str">
        <f aca="false">IF(G282="","",IFERROR(INDEX(Log!$D:$D,MATCH(G282,Log!$A:$A,0)),"ID não encontrado no Log"))</f>
        <v/>
      </c>
      <c r="I282" s="23"/>
      <c r="J282" s="11"/>
    </row>
    <row r="283" customFormat="false" ht="15" hidden="false" customHeight="false" outlineLevel="0" collapsed="false">
      <c r="A283" s="22"/>
      <c r="B283" s="11"/>
      <c r="C283" s="11"/>
      <c r="D283" s="23"/>
      <c r="E283" s="23"/>
      <c r="F283" s="11"/>
      <c r="G283" s="24"/>
      <c r="H283" s="25" t="str">
        <f aca="false">IF(G283="","",IFERROR(INDEX(Log!$D:$D,MATCH(G283,Log!$A:$A,0)),"ID não encontrado no Log"))</f>
        <v/>
      </c>
      <c r="I283" s="23"/>
      <c r="J283" s="11"/>
    </row>
    <row r="284" customFormat="false" ht="15" hidden="false" customHeight="false" outlineLevel="0" collapsed="false">
      <c r="A284" s="22"/>
      <c r="B284" s="11"/>
      <c r="C284" s="11"/>
      <c r="D284" s="23"/>
      <c r="E284" s="23"/>
      <c r="F284" s="11"/>
      <c r="G284" s="24"/>
      <c r="H284" s="25" t="str">
        <f aca="false">IF(G284="","",IFERROR(INDEX(Log!$D:$D,MATCH(G284,Log!$A:$A,0)),"ID não encontrado no Log"))</f>
        <v/>
      </c>
      <c r="I284" s="23"/>
      <c r="J284" s="11"/>
    </row>
    <row r="285" customFormat="false" ht="15" hidden="false" customHeight="false" outlineLevel="0" collapsed="false">
      <c r="A285" s="22"/>
      <c r="B285" s="11"/>
      <c r="C285" s="11"/>
      <c r="D285" s="23"/>
      <c r="E285" s="23"/>
      <c r="F285" s="11"/>
      <c r="G285" s="24"/>
      <c r="H285" s="25" t="str">
        <f aca="false">IF(G285="","",IFERROR(INDEX(Log!$D:$D,MATCH(G285,Log!$A:$A,0)),"ID não encontrado no Log"))</f>
        <v/>
      </c>
      <c r="I285" s="23"/>
      <c r="J285" s="11"/>
    </row>
    <row r="286" customFormat="false" ht="15" hidden="false" customHeight="false" outlineLevel="0" collapsed="false">
      <c r="A286" s="22"/>
      <c r="B286" s="11"/>
      <c r="C286" s="11"/>
      <c r="D286" s="23"/>
      <c r="E286" s="23"/>
      <c r="F286" s="11"/>
      <c r="G286" s="24"/>
      <c r="H286" s="25" t="str">
        <f aca="false">IF(G286="","",IFERROR(INDEX(Log!$D:$D,MATCH(G286,Log!$A:$A,0)),"ID não encontrado no Log"))</f>
        <v/>
      </c>
      <c r="I286" s="23"/>
      <c r="J286" s="11"/>
    </row>
    <row r="287" customFormat="false" ht="15" hidden="false" customHeight="false" outlineLevel="0" collapsed="false">
      <c r="A287" s="22"/>
      <c r="B287" s="11"/>
      <c r="C287" s="11"/>
      <c r="D287" s="23"/>
      <c r="E287" s="23"/>
      <c r="F287" s="11"/>
      <c r="G287" s="24"/>
      <c r="H287" s="25" t="str">
        <f aca="false">IF(G287="","",IFERROR(INDEX(Log!$D:$D,MATCH(G287,Log!$A:$A,0)),"ID não encontrado no Log"))</f>
        <v/>
      </c>
      <c r="I287" s="23"/>
      <c r="J287" s="11"/>
    </row>
    <row r="288" customFormat="false" ht="15" hidden="false" customHeight="false" outlineLevel="0" collapsed="false">
      <c r="A288" s="22"/>
      <c r="B288" s="11"/>
      <c r="C288" s="11"/>
      <c r="D288" s="23"/>
      <c r="E288" s="23"/>
      <c r="F288" s="11"/>
      <c r="G288" s="24"/>
      <c r="H288" s="25" t="str">
        <f aca="false">IF(G288="","",IFERROR(INDEX(Log!$D:$D,MATCH(G288,Log!$A:$A,0)),"ID não encontrado no Log"))</f>
        <v/>
      </c>
      <c r="I288" s="23"/>
      <c r="J288" s="11"/>
    </row>
    <row r="289" customFormat="false" ht="15" hidden="false" customHeight="false" outlineLevel="0" collapsed="false">
      <c r="A289" s="22"/>
      <c r="B289" s="11"/>
      <c r="C289" s="11"/>
      <c r="D289" s="23"/>
      <c r="E289" s="23"/>
      <c r="F289" s="11"/>
      <c r="G289" s="24"/>
      <c r="H289" s="25" t="str">
        <f aca="false">IF(G289="","",IFERROR(INDEX(Log!$D:$D,MATCH(G289,Log!$A:$A,0)),"ID não encontrado no Log"))</f>
        <v/>
      </c>
      <c r="I289" s="23"/>
      <c r="J289" s="11"/>
    </row>
    <row r="290" customFormat="false" ht="15" hidden="false" customHeight="false" outlineLevel="0" collapsed="false">
      <c r="A290" s="22"/>
      <c r="B290" s="11"/>
      <c r="C290" s="11"/>
      <c r="D290" s="23"/>
      <c r="E290" s="23"/>
      <c r="F290" s="11"/>
      <c r="G290" s="24"/>
      <c r="H290" s="25" t="str">
        <f aca="false">IF(G290="","",IFERROR(INDEX(Log!$D:$D,MATCH(G290,Log!$A:$A,0)),"ID não encontrado no Log"))</f>
        <v/>
      </c>
      <c r="I290" s="23"/>
      <c r="J290" s="11"/>
    </row>
    <row r="291" customFormat="false" ht="15" hidden="false" customHeight="false" outlineLevel="0" collapsed="false">
      <c r="A291" s="22"/>
      <c r="B291" s="11"/>
      <c r="C291" s="11"/>
      <c r="D291" s="23"/>
      <c r="E291" s="23"/>
      <c r="F291" s="11"/>
      <c r="G291" s="24"/>
      <c r="H291" s="25" t="str">
        <f aca="false">IF(G291="","",IFERROR(INDEX(Log!$D:$D,MATCH(G291,Log!$A:$A,0)),"ID não encontrado no Log"))</f>
        <v/>
      </c>
      <c r="I291" s="23"/>
      <c r="J291" s="11"/>
    </row>
    <row r="292" customFormat="false" ht="15" hidden="false" customHeight="false" outlineLevel="0" collapsed="false">
      <c r="A292" s="22"/>
      <c r="B292" s="11"/>
      <c r="C292" s="11"/>
      <c r="D292" s="23"/>
      <c r="E292" s="23"/>
      <c r="F292" s="11"/>
      <c r="G292" s="24"/>
      <c r="H292" s="25" t="str">
        <f aca="false">IF(G292="","",IFERROR(INDEX(Log!$D:$D,MATCH(G292,Log!$A:$A,0)),"ID não encontrado no Log"))</f>
        <v/>
      </c>
      <c r="I292" s="23"/>
      <c r="J292" s="11"/>
    </row>
    <row r="293" customFormat="false" ht="15" hidden="false" customHeight="false" outlineLevel="0" collapsed="false">
      <c r="A293" s="22"/>
      <c r="B293" s="11"/>
      <c r="C293" s="11"/>
      <c r="D293" s="23"/>
      <c r="E293" s="23"/>
      <c r="F293" s="11"/>
      <c r="G293" s="24"/>
      <c r="H293" s="25" t="str">
        <f aca="false">IF(G293="","",IFERROR(INDEX(Log!$D:$D,MATCH(G293,Log!$A:$A,0)),"ID não encontrado no Log"))</f>
        <v/>
      </c>
      <c r="I293" s="23"/>
      <c r="J293" s="11"/>
    </row>
    <row r="294" customFormat="false" ht="15" hidden="false" customHeight="false" outlineLevel="0" collapsed="false">
      <c r="A294" s="22"/>
      <c r="B294" s="11"/>
      <c r="C294" s="11"/>
      <c r="D294" s="23"/>
      <c r="E294" s="23"/>
      <c r="F294" s="11"/>
      <c r="G294" s="24"/>
      <c r="H294" s="25" t="str">
        <f aca="false">IF(G294="","",IFERROR(INDEX(Log!$D:$D,MATCH(G294,Log!$A:$A,0)),"ID não encontrado no Log"))</f>
        <v/>
      </c>
      <c r="I294" s="23"/>
      <c r="J294" s="11"/>
    </row>
    <row r="295" customFormat="false" ht="15" hidden="false" customHeight="false" outlineLevel="0" collapsed="false">
      <c r="A295" s="22"/>
      <c r="B295" s="11"/>
      <c r="C295" s="11"/>
      <c r="D295" s="23"/>
      <c r="E295" s="23"/>
      <c r="F295" s="11"/>
      <c r="G295" s="24"/>
      <c r="H295" s="25" t="str">
        <f aca="false">IF(G295="","",IFERROR(INDEX(Log!$D:$D,MATCH(G295,Log!$A:$A,0)),"ID não encontrado no Log"))</f>
        <v/>
      </c>
      <c r="I295" s="23"/>
      <c r="J295" s="11"/>
    </row>
    <row r="296" customFormat="false" ht="15" hidden="false" customHeight="false" outlineLevel="0" collapsed="false">
      <c r="A296" s="22"/>
      <c r="B296" s="11"/>
      <c r="C296" s="11"/>
      <c r="D296" s="23"/>
      <c r="E296" s="23"/>
      <c r="F296" s="11"/>
      <c r="G296" s="24"/>
      <c r="H296" s="25" t="str">
        <f aca="false">IF(G296="","",IFERROR(INDEX(Log!$D:$D,MATCH(G296,Log!$A:$A,0)),"ID não encontrado no Log"))</f>
        <v/>
      </c>
      <c r="I296" s="23"/>
      <c r="J296" s="11"/>
    </row>
    <row r="297" customFormat="false" ht="15" hidden="false" customHeight="false" outlineLevel="0" collapsed="false">
      <c r="A297" s="22"/>
      <c r="B297" s="11"/>
      <c r="C297" s="11"/>
      <c r="D297" s="23"/>
      <c r="E297" s="23"/>
      <c r="F297" s="11"/>
      <c r="G297" s="24"/>
      <c r="H297" s="25" t="str">
        <f aca="false">IF(G297="","",IFERROR(INDEX(Log!$D:$D,MATCH(G297,Log!$A:$A,0)),"ID não encontrado no Log"))</f>
        <v/>
      </c>
      <c r="I297" s="23"/>
      <c r="J297" s="11"/>
    </row>
    <row r="298" customFormat="false" ht="15" hidden="false" customHeight="false" outlineLevel="0" collapsed="false">
      <c r="A298" s="22"/>
      <c r="B298" s="11"/>
      <c r="C298" s="11"/>
      <c r="D298" s="23"/>
      <c r="E298" s="23"/>
      <c r="F298" s="11"/>
      <c r="G298" s="24"/>
      <c r="H298" s="25" t="str">
        <f aca="false">IF(G298="","",IFERROR(INDEX(Log!$D:$D,MATCH(G298,Log!$A:$A,0)),"ID não encontrado no Log"))</f>
        <v/>
      </c>
      <c r="I298" s="23"/>
      <c r="J298" s="11"/>
    </row>
    <row r="299" customFormat="false" ht="15" hidden="false" customHeight="false" outlineLevel="0" collapsed="false">
      <c r="A299" s="22"/>
      <c r="B299" s="11"/>
      <c r="C299" s="11"/>
      <c r="D299" s="23"/>
      <c r="E299" s="23"/>
      <c r="F299" s="11"/>
      <c r="G299" s="24"/>
      <c r="H299" s="25" t="str">
        <f aca="false">IF(G299="","",IFERROR(INDEX(Log!$D:$D,MATCH(G299,Log!$A:$A,0)),"ID não encontrado no Log"))</f>
        <v/>
      </c>
      <c r="I299" s="23"/>
      <c r="J299" s="11"/>
    </row>
    <row r="300" customFormat="false" ht="15" hidden="false" customHeight="false" outlineLevel="0" collapsed="false">
      <c r="A300" s="22"/>
      <c r="B300" s="11"/>
      <c r="C300" s="11"/>
      <c r="D300" s="23"/>
      <c r="E300" s="23"/>
      <c r="F300" s="11"/>
      <c r="G300" s="24"/>
      <c r="H300" s="25" t="str">
        <f aca="false">IF(G300="","",IFERROR(INDEX(Log!$D:$D,MATCH(G300,Log!$A:$A,0)),"ID não encontrado no Log"))</f>
        <v/>
      </c>
      <c r="I300" s="23"/>
      <c r="J300" s="11"/>
    </row>
    <row r="301" customFormat="false" ht="15" hidden="false" customHeight="false" outlineLevel="0" collapsed="false">
      <c r="A301" s="22"/>
      <c r="B301" s="11"/>
      <c r="C301" s="11"/>
      <c r="D301" s="23"/>
      <c r="E301" s="23"/>
      <c r="F301" s="11"/>
      <c r="G301" s="24"/>
      <c r="H301" s="25" t="str">
        <f aca="false">IF(G301="","",IFERROR(INDEX(Log!$D:$D,MATCH(G301,Log!$A:$A,0)),"ID não encontrado no Log"))</f>
        <v/>
      </c>
      <c r="I301" s="23"/>
      <c r="J301" s="11"/>
    </row>
    <row r="302" customFormat="false" ht="15" hidden="false" customHeight="false" outlineLevel="0" collapsed="false">
      <c r="A302" s="22"/>
      <c r="B302" s="11"/>
      <c r="C302" s="11"/>
      <c r="D302" s="23"/>
      <c r="E302" s="23"/>
      <c r="F302" s="11"/>
      <c r="G302" s="24"/>
      <c r="H302" s="25" t="str">
        <f aca="false">IF(G302="","",IFERROR(INDEX(Log!$D:$D,MATCH(G302,Log!$A:$A,0)),"ID não encontrado no Log"))</f>
        <v/>
      </c>
      <c r="I302" s="23"/>
      <c r="J302" s="11"/>
    </row>
    <row r="303" customFormat="false" ht="15" hidden="false" customHeight="false" outlineLevel="0" collapsed="false">
      <c r="A303" s="22"/>
      <c r="B303" s="11"/>
      <c r="C303" s="11"/>
      <c r="D303" s="23"/>
      <c r="E303" s="23"/>
      <c r="F303" s="11"/>
      <c r="G303" s="24"/>
      <c r="H303" s="25" t="str">
        <f aca="false">IF(G303="","",IFERROR(INDEX(Log!$D:$D,MATCH(G303,Log!$A:$A,0)),"ID não encontrado no Log"))</f>
        <v/>
      </c>
      <c r="I303" s="23"/>
      <c r="J303" s="11"/>
    </row>
    <row r="304" customFormat="false" ht="15" hidden="false" customHeight="false" outlineLevel="0" collapsed="false">
      <c r="A304" s="22"/>
      <c r="B304" s="11"/>
      <c r="C304" s="11"/>
      <c r="D304" s="23"/>
      <c r="E304" s="23"/>
      <c r="F304" s="11"/>
      <c r="G304" s="24"/>
      <c r="H304" s="25" t="str">
        <f aca="false">IF(G304="","",IFERROR(INDEX(Log!$D:$D,MATCH(G304,Log!$A:$A,0)),"ID não encontrado no Log"))</f>
        <v/>
      </c>
      <c r="I304" s="23"/>
      <c r="J304" s="11"/>
    </row>
    <row r="305" customFormat="false" ht="15" hidden="false" customHeight="false" outlineLevel="0" collapsed="false">
      <c r="A305" s="22"/>
      <c r="B305" s="11"/>
      <c r="C305" s="11"/>
      <c r="D305" s="23"/>
      <c r="E305" s="23"/>
      <c r="F305" s="11"/>
      <c r="G305" s="24"/>
      <c r="H305" s="25" t="str">
        <f aca="false">IF(G305="","",IFERROR(INDEX(Log!$D:$D,MATCH(G305,Log!$A:$A,0)),"ID não encontrado no Log"))</f>
        <v/>
      </c>
      <c r="I305" s="23"/>
      <c r="J305" s="11"/>
    </row>
    <row r="306" customFormat="false" ht="15" hidden="false" customHeight="false" outlineLevel="0" collapsed="false">
      <c r="A306" s="22"/>
      <c r="B306" s="11"/>
      <c r="C306" s="11"/>
      <c r="D306" s="23"/>
      <c r="E306" s="23"/>
      <c r="F306" s="11"/>
      <c r="G306" s="24"/>
      <c r="H306" s="25" t="str">
        <f aca="false">IF(G306="","",IFERROR(INDEX(Log!$D:$D,MATCH(G306,Log!$A:$A,0)),"ID não encontrado no Log"))</f>
        <v/>
      </c>
      <c r="I306" s="23"/>
      <c r="J306" s="11"/>
    </row>
    <row r="307" customFormat="false" ht="15" hidden="false" customHeight="false" outlineLevel="0" collapsed="false">
      <c r="A307" s="22"/>
      <c r="B307" s="11"/>
      <c r="C307" s="11"/>
      <c r="D307" s="23"/>
      <c r="E307" s="23"/>
      <c r="F307" s="11"/>
      <c r="G307" s="24"/>
      <c r="H307" s="25" t="str">
        <f aca="false">IF(G307="","",IFERROR(INDEX(Log!$D:$D,MATCH(G307,Log!$A:$A,0)),"ID não encontrado no Log"))</f>
        <v/>
      </c>
      <c r="I307" s="23"/>
      <c r="J307" s="11"/>
    </row>
    <row r="308" customFormat="false" ht="15" hidden="false" customHeight="false" outlineLevel="0" collapsed="false">
      <c r="A308" s="22"/>
      <c r="B308" s="11"/>
      <c r="C308" s="11"/>
      <c r="D308" s="23"/>
      <c r="E308" s="23"/>
      <c r="F308" s="11"/>
      <c r="G308" s="24"/>
      <c r="H308" s="25" t="str">
        <f aca="false">IF(G308="","",IFERROR(INDEX(Log!$D:$D,MATCH(G308,Log!$A:$A,0)),"ID não encontrado no Log"))</f>
        <v/>
      </c>
      <c r="I308" s="23"/>
      <c r="J308" s="11"/>
    </row>
    <row r="309" customFormat="false" ht="15" hidden="false" customHeight="false" outlineLevel="0" collapsed="false">
      <c r="A309" s="22"/>
      <c r="B309" s="11"/>
      <c r="C309" s="11"/>
      <c r="D309" s="23"/>
      <c r="E309" s="23"/>
      <c r="F309" s="11"/>
      <c r="G309" s="24"/>
      <c r="H309" s="25" t="str">
        <f aca="false">IF(G309="","",IFERROR(INDEX(Log!$D:$D,MATCH(G309,Log!$A:$A,0)),"ID não encontrado no Log"))</f>
        <v/>
      </c>
      <c r="I309" s="23"/>
      <c r="J309" s="11"/>
    </row>
    <row r="310" customFormat="false" ht="15" hidden="false" customHeight="false" outlineLevel="0" collapsed="false">
      <c r="A310" s="22"/>
      <c r="B310" s="11"/>
      <c r="C310" s="11"/>
      <c r="D310" s="23"/>
      <c r="E310" s="23"/>
      <c r="F310" s="11"/>
      <c r="G310" s="24"/>
      <c r="H310" s="25" t="str">
        <f aca="false">IF(G310="","",IFERROR(INDEX(Log!$D:$D,MATCH(G310,Log!$A:$A,0)),"ID não encontrado no Log"))</f>
        <v/>
      </c>
      <c r="I310" s="23"/>
      <c r="J310" s="11"/>
    </row>
    <row r="311" customFormat="false" ht="15" hidden="false" customHeight="false" outlineLevel="0" collapsed="false">
      <c r="A311" s="22"/>
      <c r="B311" s="11"/>
      <c r="C311" s="11"/>
      <c r="D311" s="23"/>
      <c r="E311" s="23"/>
      <c r="F311" s="11"/>
      <c r="G311" s="24"/>
      <c r="H311" s="25" t="str">
        <f aca="false">IF(G311="","",IFERROR(INDEX(Log!$D:$D,MATCH(G311,Log!$A:$A,0)),"ID não encontrado no Log"))</f>
        <v/>
      </c>
      <c r="I311" s="23"/>
      <c r="J311" s="11"/>
    </row>
    <row r="312" customFormat="false" ht="15" hidden="false" customHeight="false" outlineLevel="0" collapsed="false">
      <c r="A312" s="22"/>
      <c r="B312" s="11"/>
      <c r="C312" s="11"/>
      <c r="D312" s="23"/>
      <c r="E312" s="23"/>
      <c r="F312" s="11"/>
      <c r="G312" s="24"/>
      <c r="H312" s="25" t="str">
        <f aca="false">IF(G312="","",IFERROR(INDEX(Log!$D:$D,MATCH(G312,Log!$A:$A,0)),"ID não encontrado no Log"))</f>
        <v/>
      </c>
      <c r="I312" s="23"/>
      <c r="J312" s="11"/>
    </row>
    <row r="313" customFormat="false" ht="15" hidden="false" customHeight="false" outlineLevel="0" collapsed="false">
      <c r="A313" s="22"/>
      <c r="B313" s="11"/>
      <c r="C313" s="11"/>
      <c r="D313" s="23"/>
      <c r="E313" s="23"/>
      <c r="F313" s="11"/>
      <c r="G313" s="24"/>
      <c r="H313" s="25" t="str">
        <f aca="false">IF(G313="","",IFERROR(INDEX(Log!$D:$D,MATCH(G313,Log!$A:$A,0)),"ID não encontrado no Log"))</f>
        <v/>
      </c>
      <c r="I313" s="23"/>
      <c r="J313" s="11"/>
    </row>
    <row r="314" customFormat="false" ht="15" hidden="false" customHeight="false" outlineLevel="0" collapsed="false">
      <c r="A314" s="22"/>
      <c r="B314" s="11"/>
      <c r="C314" s="11"/>
      <c r="D314" s="23"/>
      <c r="E314" s="23"/>
      <c r="F314" s="11"/>
      <c r="G314" s="24"/>
      <c r="H314" s="25" t="str">
        <f aca="false">IF(G314="","",IFERROR(INDEX(Log!$D:$D,MATCH(G314,Log!$A:$A,0)),"ID não encontrado no Log"))</f>
        <v/>
      </c>
      <c r="I314" s="23"/>
      <c r="J314" s="11"/>
    </row>
    <row r="315" customFormat="false" ht="15" hidden="false" customHeight="false" outlineLevel="0" collapsed="false">
      <c r="A315" s="22"/>
      <c r="B315" s="11"/>
      <c r="C315" s="11"/>
      <c r="D315" s="23"/>
      <c r="E315" s="23"/>
      <c r="F315" s="11"/>
      <c r="G315" s="24"/>
      <c r="H315" s="25" t="str">
        <f aca="false">IF(G315="","",IFERROR(INDEX(Log!$D:$D,MATCH(G315,Log!$A:$A,0)),"ID não encontrado no Log"))</f>
        <v/>
      </c>
      <c r="I315" s="23"/>
      <c r="J315" s="11"/>
    </row>
    <row r="316" customFormat="false" ht="15" hidden="false" customHeight="false" outlineLevel="0" collapsed="false">
      <c r="A316" s="22"/>
      <c r="B316" s="11"/>
      <c r="C316" s="11"/>
      <c r="D316" s="23"/>
      <c r="E316" s="23"/>
      <c r="F316" s="11"/>
      <c r="G316" s="24"/>
      <c r="H316" s="25" t="str">
        <f aca="false">IF(G316="","",IFERROR(INDEX(Log!$D:$D,MATCH(G316,Log!$A:$A,0)),"ID não encontrado no Log"))</f>
        <v/>
      </c>
      <c r="I316" s="23"/>
      <c r="J316" s="11"/>
    </row>
    <row r="317" customFormat="false" ht="15" hidden="false" customHeight="false" outlineLevel="0" collapsed="false">
      <c r="A317" s="22"/>
      <c r="B317" s="11"/>
      <c r="C317" s="11"/>
      <c r="D317" s="23"/>
      <c r="E317" s="23"/>
      <c r="F317" s="11"/>
      <c r="G317" s="24"/>
      <c r="H317" s="25" t="str">
        <f aca="false">IF(G317="","",IFERROR(INDEX(Log!$D:$D,MATCH(G317,Log!$A:$A,0)),"ID não encontrado no Log"))</f>
        <v/>
      </c>
      <c r="I317" s="23"/>
      <c r="J317" s="11"/>
    </row>
    <row r="318" customFormat="false" ht="15" hidden="false" customHeight="false" outlineLevel="0" collapsed="false">
      <c r="A318" s="22"/>
      <c r="B318" s="11"/>
      <c r="C318" s="11"/>
      <c r="D318" s="23"/>
      <c r="E318" s="23"/>
      <c r="F318" s="11"/>
      <c r="G318" s="24"/>
      <c r="H318" s="25" t="str">
        <f aca="false">IF(G318="","",IFERROR(INDEX(Log!$D:$D,MATCH(G318,Log!$A:$A,0)),"ID não encontrado no Log"))</f>
        <v/>
      </c>
      <c r="I318" s="23"/>
      <c r="J318" s="11"/>
    </row>
    <row r="319" customFormat="false" ht="15" hidden="false" customHeight="false" outlineLevel="0" collapsed="false">
      <c r="A319" s="22"/>
      <c r="B319" s="11"/>
      <c r="C319" s="11"/>
      <c r="D319" s="23"/>
      <c r="E319" s="23"/>
      <c r="F319" s="11"/>
      <c r="G319" s="24"/>
      <c r="H319" s="25" t="str">
        <f aca="false">IF(G319="","",IFERROR(INDEX(Log!$D:$D,MATCH(G319,Log!$A:$A,0)),"ID não encontrado no Log"))</f>
        <v/>
      </c>
      <c r="I319" s="23"/>
      <c r="J319" s="11"/>
    </row>
    <row r="320" customFormat="false" ht="15" hidden="false" customHeight="false" outlineLevel="0" collapsed="false">
      <c r="A320" s="22"/>
      <c r="B320" s="11"/>
      <c r="C320" s="11"/>
      <c r="D320" s="23"/>
      <c r="E320" s="23"/>
      <c r="F320" s="11"/>
      <c r="G320" s="24"/>
      <c r="H320" s="25" t="str">
        <f aca="false">IF(G320="","",IFERROR(INDEX(Log!$D:$D,MATCH(G320,Log!$A:$A,0)),"ID não encontrado no Log"))</f>
        <v/>
      </c>
      <c r="I320" s="23"/>
      <c r="J320" s="11"/>
    </row>
    <row r="321" customFormat="false" ht="15" hidden="false" customHeight="false" outlineLevel="0" collapsed="false">
      <c r="A321" s="22"/>
      <c r="B321" s="11"/>
      <c r="C321" s="11"/>
      <c r="D321" s="23"/>
      <c r="E321" s="23"/>
      <c r="F321" s="11"/>
      <c r="G321" s="24"/>
      <c r="H321" s="25" t="str">
        <f aca="false">IF(G321="","",IFERROR(INDEX(Log!$D:$D,MATCH(G321,Log!$A:$A,0)),"ID não encontrado no Log"))</f>
        <v/>
      </c>
      <c r="I321" s="23"/>
      <c r="J321" s="11"/>
    </row>
    <row r="322" customFormat="false" ht="15" hidden="false" customHeight="false" outlineLevel="0" collapsed="false">
      <c r="A322" s="22"/>
      <c r="B322" s="11"/>
      <c r="C322" s="11"/>
      <c r="D322" s="23"/>
      <c r="E322" s="23"/>
      <c r="F322" s="11"/>
      <c r="G322" s="24"/>
      <c r="H322" s="25" t="str">
        <f aca="false">IF(G322="","",IFERROR(INDEX(Log!$D:$D,MATCH(G322,Log!$A:$A,0)),"ID não encontrado no Log"))</f>
        <v/>
      </c>
      <c r="I322" s="23"/>
      <c r="J322" s="11"/>
    </row>
    <row r="323" customFormat="false" ht="15" hidden="false" customHeight="false" outlineLevel="0" collapsed="false">
      <c r="A323" s="22"/>
      <c r="B323" s="11"/>
      <c r="C323" s="11"/>
      <c r="D323" s="23"/>
      <c r="E323" s="23"/>
      <c r="F323" s="11"/>
      <c r="G323" s="24"/>
      <c r="H323" s="25" t="str">
        <f aca="false">IF(G323="","",IFERROR(INDEX(Log!$D:$D,MATCH(G323,Log!$A:$A,0)),"ID não encontrado no Log"))</f>
        <v/>
      </c>
      <c r="I323" s="23"/>
      <c r="J323" s="11"/>
    </row>
    <row r="324" customFormat="false" ht="15" hidden="false" customHeight="false" outlineLevel="0" collapsed="false">
      <c r="A324" s="22"/>
      <c r="B324" s="11"/>
      <c r="C324" s="11"/>
      <c r="D324" s="23"/>
      <c r="E324" s="23"/>
      <c r="F324" s="11"/>
      <c r="G324" s="24"/>
      <c r="H324" s="25" t="str">
        <f aca="false">IF(G324="","",IFERROR(INDEX(Log!$D:$D,MATCH(G324,Log!$A:$A,0)),"ID não encontrado no Log"))</f>
        <v/>
      </c>
      <c r="I324" s="23"/>
      <c r="J324" s="11"/>
    </row>
    <row r="325" customFormat="false" ht="15" hidden="false" customHeight="false" outlineLevel="0" collapsed="false">
      <c r="A325" s="22"/>
      <c r="B325" s="11"/>
      <c r="C325" s="11"/>
      <c r="D325" s="23"/>
      <c r="E325" s="23"/>
      <c r="F325" s="11"/>
      <c r="G325" s="24"/>
      <c r="H325" s="25" t="str">
        <f aca="false">IF(G325="","",IFERROR(INDEX(Log!$D:$D,MATCH(G325,Log!$A:$A,0)),"ID não encontrado no Log"))</f>
        <v/>
      </c>
      <c r="I325" s="23"/>
      <c r="J325" s="11"/>
    </row>
    <row r="326" customFormat="false" ht="15" hidden="false" customHeight="false" outlineLevel="0" collapsed="false">
      <c r="A326" s="22"/>
      <c r="B326" s="11"/>
      <c r="C326" s="11"/>
      <c r="D326" s="23"/>
      <c r="E326" s="23"/>
      <c r="F326" s="11"/>
      <c r="G326" s="24"/>
      <c r="H326" s="25" t="str">
        <f aca="false">IF(G326="","",IFERROR(INDEX(Log!$D:$D,MATCH(G326,Log!$A:$A,0)),"ID não encontrado no Log"))</f>
        <v/>
      </c>
      <c r="I326" s="23"/>
      <c r="J326" s="11"/>
    </row>
    <row r="327" customFormat="false" ht="15" hidden="false" customHeight="false" outlineLevel="0" collapsed="false">
      <c r="A327" s="22"/>
      <c r="B327" s="11"/>
      <c r="C327" s="11"/>
      <c r="D327" s="23"/>
      <c r="E327" s="23"/>
      <c r="F327" s="11"/>
      <c r="G327" s="24"/>
      <c r="H327" s="25" t="str">
        <f aca="false">IF(G327="","",IFERROR(INDEX(Log!$D:$D,MATCH(G327,Log!$A:$A,0)),"ID não encontrado no Log"))</f>
        <v/>
      </c>
      <c r="I327" s="23"/>
      <c r="J327" s="11"/>
    </row>
    <row r="328" customFormat="false" ht="15" hidden="false" customHeight="false" outlineLevel="0" collapsed="false">
      <c r="A328" s="22"/>
      <c r="B328" s="11"/>
      <c r="C328" s="11"/>
      <c r="D328" s="23"/>
      <c r="E328" s="23"/>
      <c r="F328" s="11"/>
      <c r="G328" s="24"/>
      <c r="H328" s="25" t="str">
        <f aca="false">IF(G328="","",IFERROR(INDEX(Log!$D:$D,MATCH(G328,Log!$A:$A,0)),"ID não encontrado no Log"))</f>
        <v/>
      </c>
      <c r="I328" s="23"/>
      <c r="J328" s="11"/>
    </row>
    <row r="329" customFormat="false" ht="15" hidden="false" customHeight="false" outlineLevel="0" collapsed="false">
      <c r="A329" s="22"/>
      <c r="B329" s="11"/>
      <c r="C329" s="11"/>
      <c r="D329" s="23"/>
      <c r="E329" s="23"/>
      <c r="F329" s="11"/>
      <c r="G329" s="24"/>
      <c r="H329" s="25" t="str">
        <f aca="false">IF(G329="","",IFERROR(INDEX(Log!$D:$D,MATCH(G329,Log!$A:$A,0)),"ID não encontrado no Log"))</f>
        <v/>
      </c>
      <c r="I329" s="23"/>
      <c r="J329" s="11"/>
    </row>
    <row r="330" customFormat="false" ht="15" hidden="false" customHeight="false" outlineLevel="0" collapsed="false">
      <c r="A330" s="22"/>
      <c r="B330" s="11"/>
      <c r="C330" s="11"/>
      <c r="D330" s="23"/>
      <c r="E330" s="23"/>
      <c r="F330" s="11"/>
      <c r="G330" s="24"/>
      <c r="H330" s="25" t="str">
        <f aca="false">IF(G330="","",IFERROR(INDEX(Log!$D:$D,MATCH(G330,Log!$A:$A,0)),"ID não encontrado no Log"))</f>
        <v/>
      </c>
      <c r="I330" s="23"/>
      <c r="J330" s="11"/>
    </row>
    <row r="331" customFormat="false" ht="15" hidden="false" customHeight="false" outlineLevel="0" collapsed="false">
      <c r="A331" s="22"/>
      <c r="B331" s="11"/>
      <c r="C331" s="11"/>
      <c r="D331" s="23"/>
      <c r="E331" s="23"/>
      <c r="F331" s="11"/>
      <c r="G331" s="24"/>
      <c r="H331" s="25" t="str">
        <f aca="false">IF(G331="","",IFERROR(INDEX(Log!$D:$D,MATCH(G331,Log!$A:$A,0)),"ID não encontrado no Log"))</f>
        <v/>
      </c>
      <c r="I331" s="23"/>
      <c r="J331" s="11"/>
    </row>
    <row r="332" customFormat="false" ht="15" hidden="false" customHeight="false" outlineLevel="0" collapsed="false">
      <c r="A332" s="22"/>
      <c r="B332" s="11"/>
      <c r="C332" s="11"/>
      <c r="D332" s="23"/>
      <c r="E332" s="23"/>
      <c r="F332" s="11"/>
      <c r="G332" s="24"/>
      <c r="H332" s="25" t="str">
        <f aca="false">IF(G332="","",IFERROR(INDEX(Log!$D:$D,MATCH(G332,Log!$A:$A,0)),"ID não encontrado no Log"))</f>
        <v/>
      </c>
      <c r="I332" s="23"/>
      <c r="J332" s="11"/>
    </row>
    <row r="333" customFormat="false" ht="15" hidden="false" customHeight="false" outlineLevel="0" collapsed="false">
      <c r="A333" s="22"/>
      <c r="B333" s="11"/>
      <c r="C333" s="11"/>
      <c r="D333" s="23"/>
      <c r="E333" s="23"/>
      <c r="F333" s="11"/>
      <c r="G333" s="24"/>
      <c r="H333" s="25" t="str">
        <f aca="false">IF(G333="","",IFERROR(INDEX(Log!$D:$D,MATCH(G333,Log!$A:$A,0)),"ID não encontrado no Log"))</f>
        <v/>
      </c>
      <c r="I333" s="23"/>
      <c r="J333" s="11"/>
    </row>
    <row r="334" customFormat="false" ht="15" hidden="false" customHeight="false" outlineLevel="0" collapsed="false">
      <c r="A334" s="22"/>
      <c r="B334" s="11"/>
      <c r="C334" s="11"/>
      <c r="D334" s="23"/>
      <c r="E334" s="23"/>
      <c r="F334" s="11"/>
      <c r="G334" s="24"/>
      <c r="H334" s="25" t="str">
        <f aca="false">IF(G334="","",IFERROR(INDEX(Log!$D:$D,MATCH(G334,Log!$A:$A,0)),"ID não encontrado no Log"))</f>
        <v/>
      </c>
      <c r="I334" s="23"/>
      <c r="J334" s="11"/>
    </row>
    <row r="335" customFormat="false" ht="15" hidden="false" customHeight="false" outlineLevel="0" collapsed="false">
      <c r="A335" s="22"/>
      <c r="B335" s="11"/>
      <c r="C335" s="11"/>
      <c r="D335" s="23"/>
      <c r="E335" s="23"/>
      <c r="F335" s="11"/>
      <c r="G335" s="24"/>
      <c r="H335" s="25" t="str">
        <f aca="false">IF(G335="","",IFERROR(INDEX(Log!$D:$D,MATCH(G335,Log!$A:$A,0)),"ID não encontrado no Log"))</f>
        <v/>
      </c>
      <c r="I335" s="23"/>
      <c r="J335" s="11"/>
    </row>
    <row r="336" customFormat="false" ht="15" hidden="false" customHeight="false" outlineLevel="0" collapsed="false">
      <c r="A336" s="22"/>
      <c r="B336" s="11"/>
      <c r="C336" s="11"/>
      <c r="D336" s="23"/>
      <c r="E336" s="23"/>
      <c r="F336" s="11"/>
      <c r="G336" s="24"/>
      <c r="H336" s="25" t="str">
        <f aca="false">IF(G336="","",IFERROR(INDEX(Log!$D:$D,MATCH(G336,Log!$A:$A,0)),"ID não encontrado no Log"))</f>
        <v/>
      </c>
      <c r="I336" s="23"/>
      <c r="J336" s="11"/>
    </row>
    <row r="337" customFormat="false" ht="15" hidden="false" customHeight="false" outlineLevel="0" collapsed="false">
      <c r="A337" s="22"/>
      <c r="B337" s="11"/>
      <c r="C337" s="11"/>
      <c r="D337" s="23"/>
      <c r="E337" s="23"/>
      <c r="F337" s="11"/>
      <c r="G337" s="24"/>
      <c r="H337" s="25" t="str">
        <f aca="false">IF(G337="","",IFERROR(INDEX(Log!$D:$D,MATCH(G337,Log!$A:$A,0)),"ID não encontrado no Log"))</f>
        <v/>
      </c>
      <c r="I337" s="23"/>
      <c r="J337" s="11"/>
    </row>
    <row r="338" customFormat="false" ht="15" hidden="false" customHeight="false" outlineLevel="0" collapsed="false">
      <c r="A338" s="22"/>
      <c r="B338" s="11"/>
      <c r="C338" s="11"/>
      <c r="D338" s="23"/>
      <c r="E338" s="23"/>
      <c r="F338" s="11"/>
      <c r="G338" s="24"/>
      <c r="H338" s="25" t="str">
        <f aca="false">IF(G338="","",IFERROR(INDEX(Log!$D:$D,MATCH(G338,Log!$A:$A,0)),"ID não encontrado no Log"))</f>
        <v/>
      </c>
      <c r="I338" s="23"/>
      <c r="J338" s="11"/>
    </row>
    <row r="339" customFormat="false" ht="15" hidden="false" customHeight="false" outlineLevel="0" collapsed="false">
      <c r="A339" s="22"/>
      <c r="B339" s="11"/>
      <c r="C339" s="11"/>
      <c r="D339" s="23"/>
      <c r="E339" s="23"/>
      <c r="F339" s="11"/>
      <c r="G339" s="24"/>
      <c r="H339" s="25" t="str">
        <f aca="false">IF(G339="","",IFERROR(INDEX(Log!$D:$D,MATCH(G339,Log!$A:$A,0)),"ID não encontrado no Log"))</f>
        <v/>
      </c>
      <c r="I339" s="23"/>
      <c r="J339" s="11"/>
    </row>
    <row r="340" customFormat="false" ht="15" hidden="false" customHeight="false" outlineLevel="0" collapsed="false">
      <c r="A340" s="22"/>
      <c r="B340" s="11"/>
      <c r="C340" s="11"/>
      <c r="D340" s="23"/>
      <c r="E340" s="23"/>
      <c r="F340" s="11"/>
      <c r="G340" s="24"/>
      <c r="H340" s="25" t="str">
        <f aca="false">IF(G340="","",IFERROR(INDEX(Log!$D:$D,MATCH(G340,Log!$A:$A,0)),"ID não encontrado no Log"))</f>
        <v/>
      </c>
      <c r="I340" s="23"/>
      <c r="J340" s="11"/>
    </row>
    <row r="341" customFormat="false" ht="15" hidden="false" customHeight="false" outlineLevel="0" collapsed="false">
      <c r="A341" s="22"/>
      <c r="B341" s="11"/>
      <c r="C341" s="11"/>
      <c r="D341" s="23"/>
      <c r="E341" s="23"/>
      <c r="F341" s="11"/>
      <c r="G341" s="24"/>
      <c r="H341" s="25" t="str">
        <f aca="false">IF(G341="","",IFERROR(INDEX(Log!$D:$D,MATCH(G341,Log!$A:$A,0)),"ID não encontrado no Log"))</f>
        <v/>
      </c>
      <c r="I341" s="23"/>
      <c r="J341" s="11"/>
    </row>
    <row r="342" customFormat="false" ht="15" hidden="false" customHeight="false" outlineLevel="0" collapsed="false">
      <c r="A342" s="22"/>
      <c r="B342" s="11"/>
      <c r="C342" s="11"/>
      <c r="D342" s="23"/>
      <c r="E342" s="23"/>
      <c r="F342" s="11"/>
      <c r="G342" s="24"/>
      <c r="H342" s="25" t="str">
        <f aca="false">IF(G342="","",IFERROR(INDEX(Log!$D:$D,MATCH(G342,Log!$A:$A,0)),"ID não encontrado no Log"))</f>
        <v/>
      </c>
      <c r="I342" s="23"/>
      <c r="J342" s="11"/>
    </row>
    <row r="343" customFormat="false" ht="15" hidden="false" customHeight="false" outlineLevel="0" collapsed="false">
      <c r="A343" s="22"/>
      <c r="B343" s="11"/>
      <c r="C343" s="11"/>
      <c r="D343" s="23"/>
      <c r="E343" s="23"/>
      <c r="F343" s="11"/>
      <c r="G343" s="24"/>
      <c r="H343" s="25" t="str">
        <f aca="false">IF(G343="","",IFERROR(INDEX(Log!$D:$D,MATCH(G343,Log!$A:$A,0)),"ID não encontrado no Log"))</f>
        <v/>
      </c>
      <c r="I343" s="23"/>
      <c r="J343" s="11"/>
    </row>
    <row r="344" customFormat="false" ht="15" hidden="false" customHeight="false" outlineLevel="0" collapsed="false">
      <c r="A344" s="22"/>
      <c r="B344" s="11"/>
      <c r="C344" s="11"/>
      <c r="D344" s="23"/>
      <c r="E344" s="23"/>
      <c r="F344" s="11"/>
      <c r="G344" s="24"/>
      <c r="H344" s="25" t="str">
        <f aca="false">IF(G344="","",IFERROR(INDEX(Log!$D:$D,MATCH(G344,Log!$A:$A,0)),"ID não encontrado no Log"))</f>
        <v/>
      </c>
      <c r="I344" s="23"/>
      <c r="J344" s="11"/>
    </row>
    <row r="345" customFormat="false" ht="15" hidden="false" customHeight="false" outlineLevel="0" collapsed="false">
      <c r="A345" s="22"/>
      <c r="B345" s="11"/>
      <c r="C345" s="11"/>
      <c r="D345" s="23"/>
      <c r="E345" s="23"/>
      <c r="F345" s="11"/>
      <c r="G345" s="24"/>
      <c r="H345" s="25" t="str">
        <f aca="false">IF(G345="","",IFERROR(INDEX(Log!$D:$D,MATCH(G345,Log!$A:$A,0)),"ID não encontrado no Log"))</f>
        <v/>
      </c>
      <c r="I345" s="23"/>
      <c r="J345" s="11"/>
    </row>
    <row r="346" customFormat="false" ht="15" hidden="false" customHeight="false" outlineLevel="0" collapsed="false">
      <c r="A346" s="22"/>
      <c r="B346" s="11"/>
      <c r="C346" s="11"/>
      <c r="D346" s="23"/>
      <c r="E346" s="23"/>
      <c r="F346" s="11"/>
      <c r="G346" s="24"/>
      <c r="H346" s="25" t="str">
        <f aca="false">IF(G346="","",IFERROR(INDEX(Log!$D:$D,MATCH(G346,Log!$A:$A,0)),"ID não encontrado no Log"))</f>
        <v/>
      </c>
      <c r="I346" s="23"/>
      <c r="J346" s="11"/>
    </row>
    <row r="347" customFormat="false" ht="15" hidden="false" customHeight="false" outlineLevel="0" collapsed="false">
      <c r="A347" s="22"/>
      <c r="B347" s="11"/>
      <c r="C347" s="11"/>
      <c r="D347" s="23"/>
      <c r="E347" s="23"/>
      <c r="F347" s="11"/>
      <c r="G347" s="24"/>
      <c r="H347" s="25" t="str">
        <f aca="false">IF(G347="","",IFERROR(INDEX(Log!$D:$D,MATCH(G347,Log!$A:$A,0)),"ID não encontrado no Log"))</f>
        <v/>
      </c>
      <c r="I347" s="23"/>
      <c r="J347" s="11"/>
    </row>
    <row r="348" customFormat="false" ht="15" hidden="false" customHeight="false" outlineLevel="0" collapsed="false">
      <c r="A348" s="22"/>
      <c r="B348" s="11"/>
      <c r="C348" s="11"/>
      <c r="D348" s="23"/>
      <c r="E348" s="23"/>
      <c r="F348" s="11"/>
      <c r="G348" s="24"/>
      <c r="H348" s="25" t="str">
        <f aca="false">IF(G348="","",IFERROR(INDEX(Log!$D:$D,MATCH(G348,Log!$A:$A,0)),"ID não encontrado no Log"))</f>
        <v/>
      </c>
      <c r="I348" s="23"/>
      <c r="J348" s="11"/>
    </row>
    <row r="349" customFormat="false" ht="15" hidden="false" customHeight="false" outlineLevel="0" collapsed="false">
      <c r="A349" s="22"/>
      <c r="B349" s="11"/>
      <c r="C349" s="11"/>
      <c r="D349" s="23"/>
      <c r="E349" s="23"/>
      <c r="F349" s="11"/>
      <c r="G349" s="24"/>
      <c r="H349" s="25" t="str">
        <f aca="false">IF(G349="","",IFERROR(INDEX(Log!$D:$D,MATCH(G349,Log!$A:$A,0)),"ID não encontrado no Log"))</f>
        <v/>
      </c>
      <c r="I349" s="23"/>
      <c r="J349" s="11"/>
    </row>
    <row r="350" customFormat="false" ht="15" hidden="false" customHeight="false" outlineLevel="0" collapsed="false">
      <c r="A350" s="22"/>
      <c r="B350" s="11"/>
      <c r="C350" s="11"/>
      <c r="D350" s="23"/>
      <c r="E350" s="23"/>
      <c r="F350" s="11"/>
      <c r="G350" s="24"/>
      <c r="H350" s="25" t="str">
        <f aca="false">IF(G350="","",IFERROR(INDEX(Log!$D:$D,MATCH(G350,Log!$A:$A,0)),"ID não encontrado no Log"))</f>
        <v/>
      </c>
      <c r="I350" s="23"/>
      <c r="J350" s="11"/>
    </row>
    <row r="351" customFormat="false" ht="15" hidden="false" customHeight="false" outlineLevel="0" collapsed="false">
      <c r="A351" s="22"/>
      <c r="B351" s="11"/>
      <c r="C351" s="11"/>
      <c r="D351" s="23"/>
      <c r="E351" s="23"/>
      <c r="F351" s="11"/>
      <c r="G351" s="24"/>
      <c r="H351" s="25" t="str">
        <f aca="false">IF(G351="","",IFERROR(INDEX(Log!$D:$D,MATCH(G351,Log!$A:$A,0)),"ID não encontrado no Log"))</f>
        <v/>
      </c>
      <c r="I351" s="23"/>
      <c r="J351" s="11"/>
    </row>
    <row r="352" customFormat="false" ht="15" hidden="false" customHeight="false" outlineLevel="0" collapsed="false">
      <c r="A352" s="22"/>
      <c r="B352" s="11"/>
      <c r="C352" s="11"/>
      <c r="D352" s="23"/>
      <c r="E352" s="23"/>
      <c r="F352" s="11"/>
      <c r="G352" s="24"/>
      <c r="H352" s="25" t="str">
        <f aca="false">IF(G352="","",IFERROR(INDEX(Log!$D:$D,MATCH(G352,Log!$A:$A,0)),"ID não encontrado no Log"))</f>
        <v/>
      </c>
      <c r="I352" s="23"/>
      <c r="J352" s="11"/>
    </row>
    <row r="353" customFormat="false" ht="15" hidden="false" customHeight="false" outlineLevel="0" collapsed="false">
      <c r="A353" s="22"/>
      <c r="B353" s="11"/>
      <c r="C353" s="11"/>
      <c r="D353" s="23"/>
      <c r="E353" s="23"/>
      <c r="F353" s="11"/>
      <c r="G353" s="24"/>
      <c r="H353" s="25" t="str">
        <f aca="false">IF(G353="","",IFERROR(INDEX(Log!$D:$D,MATCH(G353,Log!$A:$A,0)),"ID não encontrado no Log"))</f>
        <v/>
      </c>
      <c r="I353" s="23"/>
      <c r="J353" s="11"/>
    </row>
    <row r="354" customFormat="false" ht="15" hidden="false" customHeight="false" outlineLevel="0" collapsed="false">
      <c r="A354" s="22"/>
      <c r="B354" s="11"/>
      <c r="C354" s="11"/>
      <c r="D354" s="23"/>
      <c r="E354" s="23"/>
      <c r="F354" s="11"/>
      <c r="G354" s="24"/>
      <c r="H354" s="25" t="str">
        <f aca="false">IF(G354="","",IFERROR(INDEX(Log!$D:$D,MATCH(G354,Log!$A:$A,0)),"ID não encontrado no Log"))</f>
        <v/>
      </c>
      <c r="I354" s="23"/>
      <c r="J354" s="11"/>
    </row>
    <row r="355" customFormat="false" ht="15" hidden="false" customHeight="false" outlineLevel="0" collapsed="false">
      <c r="A355" s="22"/>
      <c r="B355" s="11"/>
      <c r="C355" s="11"/>
      <c r="D355" s="23"/>
      <c r="E355" s="23"/>
      <c r="F355" s="11"/>
      <c r="G355" s="24"/>
      <c r="H355" s="25" t="str">
        <f aca="false">IF(G355="","",IFERROR(INDEX(Log!$D:$D,MATCH(G355,Log!$A:$A,0)),"ID não encontrado no Log"))</f>
        <v/>
      </c>
      <c r="I355" s="23"/>
      <c r="J355" s="11"/>
    </row>
    <row r="356" customFormat="false" ht="15" hidden="false" customHeight="false" outlineLevel="0" collapsed="false">
      <c r="A356" s="22"/>
      <c r="B356" s="11"/>
      <c r="C356" s="11"/>
      <c r="D356" s="23"/>
      <c r="E356" s="23"/>
      <c r="F356" s="11"/>
      <c r="G356" s="24"/>
      <c r="H356" s="25" t="str">
        <f aca="false">IF(G356="","",IFERROR(INDEX(Log!$D:$D,MATCH(G356,Log!$A:$A,0)),"ID não encontrado no Log"))</f>
        <v/>
      </c>
      <c r="I356" s="23"/>
      <c r="J356" s="11"/>
    </row>
    <row r="357" customFormat="false" ht="15" hidden="false" customHeight="false" outlineLevel="0" collapsed="false">
      <c r="A357" s="22"/>
      <c r="B357" s="11"/>
      <c r="C357" s="11"/>
      <c r="D357" s="23"/>
      <c r="E357" s="23"/>
      <c r="F357" s="11"/>
      <c r="G357" s="24"/>
      <c r="H357" s="25" t="str">
        <f aca="false">IF(G357="","",IFERROR(INDEX(Log!$D:$D,MATCH(G357,Log!$A:$A,0)),"ID não encontrado no Log"))</f>
        <v/>
      </c>
      <c r="I357" s="23"/>
      <c r="J357" s="11"/>
    </row>
    <row r="358" customFormat="false" ht="15" hidden="false" customHeight="false" outlineLevel="0" collapsed="false">
      <c r="A358" s="22"/>
      <c r="B358" s="11"/>
      <c r="C358" s="11"/>
      <c r="D358" s="23"/>
      <c r="E358" s="23"/>
      <c r="F358" s="11"/>
      <c r="G358" s="24"/>
      <c r="H358" s="25" t="str">
        <f aca="false">IF(G358="","",IFERROR(INDEX(Log!$D:$D,MATCH(G358,Log!$A:$A,0)),"ID não encontrado no Log"))</f>
        <v/>
      </c>
      <c r="I358" s="23"/>
      <c r="J358" s="11"/>
    </row>
    <row r="359" customFormat="false" ht="15" hidden="false" customHeight="false" outlineLevel="0" collapsed="false">
      <c r="A359" s="22"/>
      <c r="B359" s="11"/>
      <c r="C359" s="11"/>
      <c r="D359" s="23"/>
      <c r="E359" s="23"/>
      <c r="F359" s="11"/>
      <c r="G359" s="24"/>
      <c r="H359" s="25" t="str">
        <f aca="false">IF(G359="","",IFERROR(INDEX(Log!$D:$D,MATCH(G359,Log!$A:$A,0)),"ID não encontrado no Log"))</f>
        <v/>
      </c>
      <c r="I359" s="23"/>
      <c r="J359" s="11"/>
    </row>
    <row r="360" customFormat="false" ht="15" hidden="false" customHeight="false" outlineLevel="0" collapsed="false">
      <c r="A360" s="22"/>
      <c r="B360" s="11"/>
      <c r="C360" s="11"/>
      <c r="D360" s="23"/>
      <c r="E360" s="23"/>
      <c r="F360" s="11"/>
      <c r="G360" s="24"/>
      <c r="H360" s="25" t="str">
        <f aca="false">IF(G360="","",IFERROR(INDEX(Log!$D:$D,MATCH(G360,Log!$A:$A,0)),"ID não encontrado no Log"))</f>
        <v/>
      </c>
      <c r="I360" s="23"/>
      <c r="J360" s="11"/>
    </row>
    <row r="361" customFormat="false" ht="15" hidden="false" customHeight="false" outlineLevel="0" collapsed="false">
      <c r="A361" s="22"/>
      <c r="B361" s="11"/>
      <c r="C361" s="11"/>
      <c r="D361" s="23"/>
      <c r="E361" s="23"/>
      <c r="F361" s="11"/>
      <c r="G361" s="24"/>
      <c r="H361" s="25" t="str">
        <f aca="false">IF(G361="","",IFERROR(INDEX(Log!$D:$D,MATCH(G361,Log!$A:$A,0)),"ID não encontrado no Log"))</f>
        <v/>
      </c>
      <c r="I361" s="23"/>
      <c r="J361" s="11"/>
    </row>
    <row r="362" customFormat="false" ht="15" hidden="false" customHeight="false" outlineLevel="0" collapsed="false">
      <c r="A362" s="22"/>
      <c r="B362" s="11"/>
      <c r="C362" s="11"/>
      <c r="D362" s="23"/>
      <c r="E362" s="23"/>
      <c r="F362" s="11"/>
      <c r="G362" s="24"/>
      <c r="H362" s="25" t="str">
        <f aca="false">IF(G362="","",IFERROR(INDEX(Log!$D:$D,MATCH(G362,Log!$A:$A,0)),"ID não encontrado no Log"))</f>
        <v/>
      </c>
      <c r="I362" s="23"/>
      <c r="J362" s="11"/>
    </row>
    <row r="363" customFormat="false" ht="15" hidden="false" customHeight="false" outlineLevel="0" collapsed="false">
      <c r="A363" s="22"/>
      <c r="B363" s="11"/>
      <c r="C363" s="11"/>
      <c r="D363" s="23"/>
      <c r="E363" s="23"/>
      <c r="F363" s="11"/>
      <c r="G363" s="24"/>
      <c r="H363" s="25" t="str">
        <f aca="false">IF(G363="","",IFERROR(INDEX(Log!$D:$D,MATCH(G363,Log!$A:$A,0)),"ID não encontrado no Log"))</f>
        <v/>
      </c>
      <c r="I363" s="23"/>
      <c r="J363" s="11"/>
    </row>
    <row r="364" customFormat="false" ht="15" hidden="false" customHeight="false" outlineLevel="0" collapsed="false">
      <c r="A364" s="22"/>
      <c r="B364" s="11"/>
      <c r="C364" s="11"/>
      <c r="D364" s="23"/>
      <c r="E364" s="23"/>
      <c r="F364" s="11"/>
      <c r="G364" s="24"/>
      <c r="H364" s="25" t="str">
        <f aca="false">IF(G364="","",IFERROR(INDEX(Log!$D:$D,MATCH(G364,Log!$A:$A,0)),"ID não encontrado no Log"))</f>
        <v/>
      </c>
      <c r="I364" s="23"/>
      <c r="J364" s="11"/>
    </row>
    <row r="365" customFormat="false" ht="15" hidden="false" customHeight="false" outlineLevel="0" collapsed="false">
      <c r="A365" s="22"/>
      <c r="B365" s="11"/>
      <c r="C365" s="11"/>
      <c r="D365" s="23"/>
      <c r="E365" s="23"/>
      <c r="F365" s="11"/>
      <c r="G365" s="24"/>
      <c r="H365" s="25" t="str">
        <f aca="false">IF(G365="","",IFERROR(INDEX(Log!$D:$D,MATCH(G365,Log!$A:$A,0)),"ID não encontrado no Log"))</f>
        <v/>
      </c>
      <c r="I365" s="23"/>
      <c r="J365" s="11"/>
    </row>
    <row r="366" customFormat="false" ht="15" hidden="false" customHeight="false" outlineLevel="0" collapsed="false">
      <c r="A366" s="22"/>
      <c r="B366" s="11"/>
      <c r="C366" s="11"/>
      <c r="D366" s="23"/>
      <c r="E366" s="23"/>
      <c r="F366" s="11"/>
      <c r="G366" s="24"/>
      <c r="H366" s="25" t="str">
        <f aca="false">IF(G366="","",IFERROR(INDEX(Log!$D:$D,MATCH(G366,Log!$A:$A,0)),"ID não encontrado no Log"))</f>
        <v/>
      </c>
      <c r="I366" s="23"/>
      <c r="J366" s="11"/>
    </row>
    <row r="367" customFormat="false" ht="15" hidden="false" customHeight="false" outlineLevel="0" collapsed="false">
      <c r="A367" s="22"/>
      <c r="B367" s="11"/>
      <c r="C367" s="11"/>
      <c r="D367" s="23"/>
      <c r="E367" s="23"/>
      <c r="F367" s="11"/>
      <c r="G367" s="24"/>
      <c r="H367" s="25" t="str">
        <f aca="false">IF(G367="","",IFERROR(INDEX(Log!$D:$D,MATCH(G367,Log!$A:$A,0)),"ID não encontrado no Log"))</f>
        <v/>
      </c>
      <c r="I367" s="23"/>
      <c r="J367" s="11"/>
    </row>
    <row r="368" customFormat="false" ht="15" hidden="false" customHeight="false" outlineLevel="0" collapsed="false">
      <c r="A368" s="22"/>
      <c r="B368" s="11"/>
      <c r="C368" s="11"/>
      <c r="D368" s="23"/>
      <c r="E368" s="23"/>
      <c r="F368" s="11"/>
      <c r="G368" s="24"/>
      <c r="H368" s="25" t="str">
        <f aca="false">IF(G368="","",IFERROR(INDEX(Log!$D:$D,MATCH(G368,Log!$A:$A,0)),"ID não encontrado no Log"))</f>
        <v/>
      </c>
      <c r="I368" s="23"/>
      <c r="J368" s="11"/>
    </row>
    <row r="369" customFormat="false" ht="15" hidden="false" customHeight="false" outlineLevel="0" collapsed="false">
      <c r="A369" s="22"/>
      <c r="B369" s="11"/>
      <c r="C369" s="11"/>
      <c r="D369" s="23"/>
      <c r="E369" s="23"/>
      <c r="F369" s="11"/>
      <c r="G369" s="24"/>
      <c r="H369" s="25" t="str">
        <f aca="false">IF(G369="","",IFERROR(INDEX(Log!$D:$D,MATCH(G369,Log!$A:$A,0)),"ID não encontrado no Log"))</f>
        <v/>
      </c>
      <c r="I369" s="23"/>
      <c r="J369" s="11"/>
    </row>
    <row r="370" customFormat="false" ht="15" hidden="false" customHeight="false" outlineLevel="0" collapsed="false">
      <c r="A370" s="22"/>
      <c r="B370" s="11"/>
      <c r="C370" s="11"/>
      <c r="D370" s="23"/>
      <c r="E370" s="23"/>
      <c r="F370" s="11"/>
      <c r="G370" s="24"/>
      <c r="H370" s="25" t="str">
        <f aca="false">IF(G370="","",IFERROR(INDEX(Log!$D:$D,MATCH(G370,Log!$A:$A,0)),"ID não encontrado no Log"))</f>
        <v/>
      </c>
      <c r="I370" s="23"/>
      <c r="J370" s="11"/>
    </row>
    <row r="371" customFormat="false" ht="15" hidden="false" customHeight="false" outlineLevel="0" collapsed="false">
      <c r="A371" s="22"/>
      <c r="B371" s="11"/>
      <c r="C371" s="11"/>
      <c r="D371" s="23"/>
      <c r="E371" s="23"/>
      <c r="F371" s="11"/>
      <c r="G371" s="24"/>
      <c r="H371" s="25" t="str">
        <f aca="false">IF(G371="","",IFERROR(INDEX(Log!$D:$D,MATCH(G371,Log!$A:$A,0)),"ID não encontrado no Log"))</f>
        <v/>
      </c>
      <c r="I371" s="23"/>
      <c r="J371" s="11"/>
    </row>
    <row r="372" customFormat="false" ht="15" hidden="false" customHeight="false" outlineLevel="0" collapsed="false">
      <c r="A372" s="22"/>
      <c r="B372" s="11"/>
      <c r="C372" s="11"/>
      <c r="D372" s="23"/>
      <c r="E372" s="23"/>
      <c r="F372" s="11"/>
      <c r="G372" s="24"/>
      <c r="H372" s="25" t="str">
        <f aca="false">IF(G372="","",IFERROR(INDEX(Log!$D:$D,MATCH(G372,Log!$A:$A,0)),"ID não encontrado no Log"))</f>
        <v/>
      </c>
      <c r="I372" s="23"/>
      <c r="J372" s="11"/>
    </row>
    <row r="373" customFormat="false" ht="15" hidden="false" customHeight="false" outlineLevel="0" collapsed="false">
      <c r="A373" s="22"/>
      <c r="B373" s="11"/>
      <c r="C373" s="11"/>
      <c r="D373" s="23"/>
      <c r="E373" s="23"/>
      <c r="F373" s="11"/>
      <c r="G373" s="24"/>
      <c r="H373" s="25" t="str">
        <f aca="false">IF(G373="","",IFERROR(INDEX(Log!$D:$D,MATCH(G373,Log!$A:$A,0)),"ID não encontrado no Log"))</f>
        <v/>
      </c>
      <c r="I373" s="23"/>
      <c r="J373" s="11"/>
    </row>
    <row r="374" customFormat="false" ht="15" hidden="false" customHeight="false" outlineLevel="0" collapsed="false">
      <c r="A374" s="22"/>
      <c r="B374" s="11"/>
      <c r="C374" s="11"/>
      <c r="D374" s="23"/>
      <c r="E374" s="23"/>
      <c r="F374" s="11"/>
      <c r="G374" s="24"/>
      <c r="H374" s="25" t="str">
        <f aca="false">IF(G374="","",IFERROR(INDEX(Log!$D:$D,MATCH(G374,Log!$A:$A,0)),"ID não encontrado no Log"))</f>
        <v/>
      </c>
      <c r="I374" s="23"/>
      <c r="J374" s="11"/>
    </row>
    <row r="375" customFormat="false" ht="15" hidden="false" customHeight="false" outlineLevel="0" collapsed="false">
      <c r="A375" s="22"/>
      <c r="B375" s="11"/>
      <c r="C375" s="11"/>
      <c r="D375" s="23"/>
      <c r="E375" s="23"/>
      <c r="F375" s="11"/>
      <c r="G375" s="24"/>
      <c r="H375" s="25" t="str">
        <f aca="false">IF(G375="","",IFERROR(INDEX(Log!$D:$D,MATCH(G375,Log!$A:$A,0)),"ID não encontrado no Log"))</f>
        <v/>
      </c>
      <c r="I375" s="23"/>
      <c r="J375" s="11"/>
    </row>
    <row r="376" customFormat="false" ht="15" hidden="false" customHeight="false" outlineLevel="0" collapsed="false">
      <c r="A376" s="22"/>
      <c r="B376" s="11"/>
      <c r="C376" s="11"/>
      <c r="D376" s="23"/>
      <c r="E376" s="23"/>
      <c r="F376" s="11"/>
      <c r="G376" s="24"/>
      <c r="H376" s="25" t="str">
        <f aca="false">IF(G376="","",IFERROR(INDEX(Log!$D:$D,MATCH(G376,Log!$A:$A,0)),"ID não encontrado no Log"))</f>
        <v/>
      </c>
      <c r="I376" s="23"/>
      <c r="J376" s="11"/>
    </row>
    <row r="377" customFormat="false" ht="15" hidden="false" customHeight="false" outlineLevel="0" collapsed="false">
      <c r="A377" s="22"/>
      <c r="B377" s="11"/>
      <c r="C377" s="11"/>
      <c r="D377" s="23"/>
      <c r="E377" s="23"/>
      <c r="F377" s="11"/>
      <c r="G377" s="24"/>
      <c r="H377" s="25" t="str">
        <f aca="false">IF(G377="","",IFERROR(INDEX(Log!$D:$D,MATCH(G377,Log!$A:$A,0)),"ID não encontrado no Log"))</f>
        <v/>
      </c>
      <c r="I377" s="23"/>
      <c r="J377" s="11"/>
    </row>
    <row r="378" customFormat="false" ht="15" hidden="false" customHeight="false" outlineLevel="0" collapsed="false">
      <c r="A378" s="22"/>
      <c r="B378" s="11"/>
      <c r="C378" s="11"/>
      <c r="D378" s="23"/>
      <c r="E378" s="23"/>
      <c r="F378" s="11"/>
      <c r="G378" s="24"/>
      <c r="H378" s="25" t="str">
        <f aca="false">IF(G378="","",IFERROR(INDEX(Log!$D:$D,MATCH(G378,Log!$A:$A,0)),"ID não encontrado no Log"))</f>
        <v/>
      </c>
      <c r="I378" s="23"/>
      <c r="J378" s="11"/>
    </row>
    <row r="379" customFormat="false" ht="15" hidden="false" customHeight="false" outlineLevel="0" collapsed="false">
      <c r="A379" s="22"/>
      <c r="B379" s="11"/>
      <c r="C379" s="11"/>
      <c r="D379" s="23"/>
      <c r="E379" s="23"/>
      <c r="F379" s="11"/>
      <c r="G379" s="24"/>
      <c r="H379" s="25" t="str">
        <f aca="false">IF(G379="","",IFERROR(INDEX(Log!$D:$D,MATCH(G379,Log!$A:$A,0)),"ID não encontrado no Log"))</f>
        <v/>
      </c>
      <c r="I379" s="23"/>
      <c r="J379" s="11"/>
    </row>
    <row r="380" customFormat="false" ht="15" hidden="false" customHeight="false" outlineLevel="0" collapsed="false">
      <c r="A380" s="22"/>
      <c r="B380" s="11"/>
      <c r="C380" s="11"/>
      <c r="D380" s="23"/>
      <c r="E380" s="23"/>
      <c r="F380" s="11"/>
      <c r="G380" s="24"/>
      <c r="H380" s="25" t="str">
        <f aca="false">IF(G380="","",IFERROR(INDEX(Log!$D:$D,MATCH(G380,Log!$A:$A,0)),"ID não encontrado no Log"))</f>
        <v/>
      </c>
      <c r="I380" s="23"/>
      <c r="J380" s="11"/>
    </row>
    <row r="381" customFormat="false" ht="15" hidden="false" customHeight="false" outlineLevel="0" collapsed="false">
      <c r="A381" s="22"/>
      <c r="B381" s="11"/>
      <c r="C381" s="11"/>
      <c r="D381" s="23"/>
      <c r="E381" s="23"/>
      <c r="F381" s="11"/>
      <c r="G381" s="24"/>
      <c r="H381" s="25" t="str">
        <f aca="false">IF(G381="","",IFERROR(INDEX(Log!$D:$D,MATCH(G381,Log!$A:$A,0)),"ID não encontrado no Log"))</f>
        <v/>
      </c>
      <c r="I381" s="23"/>
      <c r="J381" s="11"/>
    </row>
    <row r="382" customFormat="false" ht="15" hidden="false" customHeight="false" outlineLevel="0" collapsed="false">
      <c r="A382" s="22"/>
      <c r="B382" s="11"/>
      <c r="C382" s="11"/>
      <c r="D382" s="23"/>
      <c r="E382" s="23"/>
      <c r="F382" s="11"/>
      <c r="G382" s="24"/>
      <c r="H382" s="25" t="str">
        <f aca="false">IF(G382="","",IFERROR(INDEX(Log!$D:$D,MATCH(G382,Log!$A:$A,0)),"ID não encontrado no Log"))</f>
        <v/>
      </c>
      <c r="I382" s="23"/>
      <c r="J382" s="11"/>
    </row>
    <row r="383" customFormat="false" ht="15" hidden="false" customHeight="false" outlineLevel="0" collapsed="false">
      <c r="A383" s="22"/>
      <c r="B383" s="11"/>
      <c r="C383" s="11"/>
      <c r="D383" s="23"/>
      <c r="E383" s="23"/>
      <c r="F383" s="11"/>
      <c r="G383" s="24"/>
      <c r="H383" s="25" t="str">
        <f aca="false">IF(G383="","",IFERROR(INDEX(Log!$D:$D,MATCH(G383,Log!$A:$A,0)),"ID não encontrado no Log"))</f>
        <v/>
      </c>
      <c r="I383" s="23"/>
      <c r="J383" s="11"/>
    </row>
    <row r="384" customFormat="false" ht="15" hidden="false" customHeight="false" outlineLevel="0" collapsed="false">
      <c r="A384" s="22"/>
      <c r="B384" s="11"/>
      <c r="C384" s="11"/>
      <c r="D384" s="23"/>
      <c r="E384" s="23"/>
      <c r="F384" s="11"/>
      <c r="G384" s="24"/>
      <c r="H384" s="25" t="str">
        <f aca="false">IF(G384="","",IFERROR(INDEX(Log!$D:$D,MATCH(G384,Log!$A:$A,0)),"ID não encontrado no Log"))</f>
        <v/>
      </c>
      <c r="I384" s="23"/>
      <c r="J384" s="11"/>
    </row>
    <row r="385" customFormat="false" ht="15" hidden="false" customHeight="false" outlineLevel="0" collapsed="false">
      <c r="A385" s="22"/>
      <c r="B385" s="11"/>
      <c r="C385" s="11"/>
      <c r="D385" s="23"/>
      <c r="E385" s="23"/>
      <c r="F385" s="11"/>
      <c r="G385" s="24"/>
      <c r="H385" s="25" t="str">
        <f aca="false">IF(G385="","",IFERROR(INDEX(Log!$D:$D,MATCH(G385,Log!$A:$A,0)),"ID não encontrado no Log"))</f>
        <v/>
      </c>
      <c r="I385" s="23"/>
      <c r="J385" s="11"/>
    </row>
    <row r="386" customFormat="false" ht="15" hidden="false" customHeight="false" outlineLevel="0" collapsed="false">
      <c r="A386" s="22"/>
      <c r="B386" s="11"/>
      <c r="C386" s="11"/>
      <c r="D386" s="23"/>
      <c r="E386" s="23"/>
      <c r="F386" s="11"/>
      <c r="G386" s="24"/>
      <c r="H386" s="25" t="str">
        <f aca="false">IF(G386="","",IFERROR(INDEX(Log!$D:$D,MATCH(G386,Log!$A:$A,0)),"ID não encontrado no Log"))</f>
        <v/>
      </c>
      <c r="I386" s="23"/>
      <c r="J386" s="11"/>
    </row>
    <row r="387" customFormat="false" ht="15" hidden="false" customHeight="false" outlineLevel="0" collapsed="false">
      <c r="A387" s="22"/>
      <c r="B387" s="11"/>
      <c r="C387" s="11"/>
      <c r="D387" s="23"/>
      <c r="E387" s="23"/>
      <c r="F387" s="11"/>
      <c r="G387" s="24"/>
      <c r="H387" s="25" t="str">
        <f aca="false">IF(G387="","",IFERROR(INDEX(Log!$D:$D,MATCH(G387,Log!$A:$A,0)),"ID não encontrado no Log"))</f>
        <v/>
      </c>
      <c r="I387" s="23"/>
      <c r="J387" s="11"/>
    </row>
    <row r="388" customFormat="false" ht="15" hidden="false" customHeight="false" outlineLevel="0" collapsed="false">
      <c r="A388" s="22"/>
      <c r="B388" s="11"/>
      <c r="C388" s="11"/>
      <c r="D388" s="23"/>
      <c r="E388" s="23"/>
      <c r="F388" s="11"/>
      <c r="G388" s="24"/>
      <c r="H388" s="25" t="str">
        <f aca="false">IF(G388="","",IFERROR(INDEX(Log!$D:$D,MATCH(G388,Log!$A:$A,0)),"ID não encontrado no Log"))</f>
        <v/>
      </c>
      <c r="I388" s="23"/>
      <c r="J388" s="11"/>
    </row>
    <row r="389" customFormat="false" ht="15" hidden="false" customHeight="false" outlineLevel="0" collapsed="false">
      <c r="A389" s="22"/>
      <c r="B389" s="11"/>
      <c r="C389" s="11"/>
      <c r="D389" s="23"/>
      <c r="E389" s="23"/>
      <c r="F389" s="11"/>
      <c r="G389" s="24"/>
      <c r="H389" s="25" t="str">
        <f aca="false">IF(G389="","",IFERROR(INDEX(Log!$D:$D,MATCH(G389,Log!$A:$A,0)),"ID não encontrado no Log"))</f>
        <v/>
      </c>
      <c r="I389" s="23"/>
      <c r="J389" s="11"/>
    </row>
    <row r="390" customFormat="false" ht="15" hidden="false" customHeight="false" outlineLevel="0" collapsed="false">
      <c r="A390" s="22"/>
      <c r="B390" s="11"/>
      <c r="C390" s="11"/>
      <c r="D390" s="23"/>
      <c r="E390" s="23"/>
      <c r="F390" s="11"/>
      <c r="G390" s="24"/>
      <c r="H390" s="25" t="str">
        <f aca="false">IF(G390="","",IFERROR(INDEX(Log!$D:$D,MATCH(G390,Log!$A:$A,0)),"ID não encontrado no Log"))</f>
        <v/>
      </c>
      <c r="I390" s="23"/>
      <c r="J390" s="11"/>
    </row>
    <row r="391" customFormat="false" ht="15" hidden="false" customHeight="false" outlineLevel="0" collapsed="false">
      <c r="A391" s="22"/>
      <c r="B391" s="11"/>
      <c r="C391" s="11"/>
      <c r="D391" s="23"/>
      <c r="E391" s="23"/>
      <c r="F391" s="11"/>
      <c r="G391" s="24"/>
      <c r="H391" s="25" t="str">
        <f aca="false">IF(G391="","",IFERROR(INDEX(Log!$D:$D,MATCH(G391,Log!$A:$A,0)),"ID não encontrado no Log"))</f>
        <v/>
      </c>
      <c r="I391" s="23"/>
      <c r="J391" s="11"/>
    </row>
    <row r="392" customFormat="false" ht="15" hidden="false" customHeight="false" outlineLevel="0" collapsed="false">
      <c r="A392" s="22"/>
      <c r="B392" s="11"/>
      <c r="C392" s="11"/>
      <c r="D392" s="23"/>
      <c r="E392" s="23"/>
      <c r="F392" s="11"/>
      <c r="G392" s="24"/>
      <c r="H392" s="25" t="str">
        <f aca="false">IF(G392="","",IFERROR(INDEX(Log!$D:$D,MATCH(G392,Log!$A:$A,0)),"ID não encontrado no Log"))</f>
        <v/>
      </c>
      <c r="I392" s="23"/>
      <c r="J392" s="11"/>
    </row>
    <row r="393" customFormat="false" ht="15" hidden="false" customHeight="false" outlineLevel="0" collapsed="false">
      <c r="A393" s="22"/>
      <c r="B393" s="11"/>
      <c r="C393" s="11"/>
      <c r="D393" s="23"/>
      <c r="E393" s="23"/>
      <c r="F393" s="11"/>
      <c r="G393" s="24"/>
      <c r="H393" s="25" t="str">
        <f aca="false">IF(G393="","",IFERROR(INDEX(Log!$D:$D,MATCH(G393,Log!$A:$A,0)),"ID não encontrado no Log"))</f>
        <v/>
      </c>
      <c r="I393" s="23"/>
      <c r="J393" s="11"/>
    </row>
    <row r="394" customFormat="false" ht="15" hidden="false" customHeight="false" outlineLevel="0" collapsed="false">
      <c r="A394" s="22"/>
      <c r="B394" s="11"/>
      <c r="C394" s="11"/>
      <c r="D394" s="23"/>
      <c r="E394" s="23"/>
      <c r="F394" s="11"/>
      <c r="G394" s="24"/>
      <c r="H394" s="25" t="str">
        <f aca="false">IF(G394="","",IFERROR(INDEX(Log!$D:$D,MATCH(G394,Log!$A:$A,0)),"ID não encontrado no Log"))</f>
        <v/>
      </c>
      <c r="I394" s="23"/>
      <c r="J394" s="11"/>
    </row>
    <row r="395" customFormat="false" ht="15" hidden="false" customHeight="false" outlineLevel="0" collapsed="false">
      <c r="A395" s="22"/>
      <c r="B395" s="11"/>
      <c r="C395" s="11"/>
      <c r="D395" s="23"/>
      <c r="E395" s="23"/>
      <c r="F395" s="11"/>
      <c r="G395" s="24"/>
      <c r="H395" s="25" t="str">
        <f aca="false">IF(G395="","",IFERROR(INDEX(Log!$D:$D,MATCH(G395,Log!$A:$A,0)),"ID não encontrado no Log"))</f>
        <v/>
      </c>
      <c r="I395" s="23"/>
      <c r="J395" s="11"/>
    </row>
    <row r="396" customFormat="false" ht="15" hidden="false" customHeight="false" outlineLevel="0" collapsed="false">
      <c r="A396" s="22"/>
      <c r="B396" s="11"/>
      <c r="C396" s="11"/>
      <c r="D396" s="23"/>
      <c r="E396" s="23"/>
      <c r="F396" s="11"/>
      <c r="G396" s="24"/>
      <c r="H396" s="25" t="str">
        <f aca="false">IF(G396="","",IFERROR(INDEX(Log!$D:$D,MATCH(G396,Log!$A:$A,0)),"ID não encontrado no Log"))</f>
        <v/>
      </c>
      <c r="I396" s="23"/>
      <c r="J396" s="11"/>
    </row>
    <row r="397" customFormat="false" ht="15" hidden="false" customHeight="false" outlineLevel="0" collapsed="false">
      <c r="A397" s="22"/>
      <c r="B397" s="11"/>
      <c r="C397" s="11"/>
      <c r="D397" s="23"/>
      <c r="E397" s="23"/>
      <c r="F397" s="11"/>
      <c r="G397" s="24"/>
      <c r="H397" s="25" t="str">
        <f aca="false">IF(G397="","",IFERROR(INDEX(Log!$D:$D,MATCH(G397,Log!$A:$A,0)),"ID não encontrado no Log"))</f>
        <v/>
      </c>
      <c r="I397" s="23"/>
      <c r="J397" s="11"/>
    </row>
    <row r="398" customFormat="false" ht="15" hidden="false" customHeight="false" outlineLevel="0" collapsed="false">
      <c r="A398" s="22"/>
      <c r="B398" s="11"/>
      <c r="C398" s="11"/>
      <c r="D398" s="23"/>
      <c r="E398" s="23"/>
      <c r="F398" s="11"/>
      <c r="G398" s="24"/>
      <c r="H398" s="25" t="str">
        <f aca="false">IF(G398="","",IFERROR(INDEX(Log!$D:$D,MATCH(G398,Log!$A:$A,0)),"ID não encontrado no Log"))</f>
        <v/>
      </c>
      <c r="I398" s="23"/>
      <c r="J398" s="11"/>
    </row>
    <row r="399" customFormat="false" ht="15" hidden="false" customHeight="false" outlineLevel="0" collapsed="false">
      <c r="A399" s="22"/>
      <c r="B399" s="11"/>
      <c r="C399" s="11"/>
      <c r="D399" s="23"/>
      <c r="E399" s="23"/>
      <c r="F399" s="11"/>
      <c r="G399" s="24"/>
      <c r="H399" s="25" t="str">
        <f aca="false">IF(G399="","",IFERROR(INDEX(Log!$D:$D,MATCH(G399,Log!$A:$A,0)),"ID não encontrado no Log"))</f>
        <v/>
      </c>
      <c r="I399" s="23"/>
      <c r="J399" s="11"/>
    </row>
    <row r="400" customFormat="false" ht="15" hidden="false" customHeight="false" outlineLevel="0" collapsed="false">
      <c r="A400" s="22"/>
      <c r="B400" s="11"/>
      <c r="C400" s="11"/>
      <c r="D400" s="23"/>
      <c r="E400" s="23"/>
      <c r="F400" s="11"/>
      <c r="G400" s="24"/>
      <c r="H400" s="25" t="str">
        <f aca="false">IF(G400="","",IFERROR(INDEX(Log!$D:$D,MATCH(G400,Log!$A:$A,0)),"ID não encontrado no Log"))</f>
        <v/>
      </c>
      <c r="I400" s="23"/>
      <c r="J400" s="11"/>
    </row>
    <row r="401" customFormat="false" ht="15" hidden="false" customHeight="false" outlineLevel="0" collapsed="false">
      <c r="A401" s="22"/>
      <c r="B401" s="11"/>
      <c r="C401" s="11"/>
      <c r="D401" s="23"/>
      <c r="E401" s="23"/>
      <c r="F401" s="11"/>
      <c r="G401" s="24"/>
      <c r="H401" s="25" t="str">
        <f aca="false">IF(G401="","",IFERROR(INDEX(Log!$D:$D,MATCH(G401,Log!$A:$A,0)),"ID não encontrado no Log"))</f>
        <v/>
      </c>
      <c r="I401" s="23"/>
      <c r="J401" s="11"/>
    </row>
    <row r="402" customFormat="false" ht="15" hidden="false" customHeight="false" outlineLevel="0" collapsed="false">
      <c r="A402" s="22"/>
      <c r="B402" s="11"/>
      <c r="C402" s="11"/>
      <c r="D402" s="23"/>
      <c r="E402" s="23"/>
      <c r="F402" s="11"/>
      <c r="G402" s="24"/>
      <c r="H402" s="25" t="str">
        <f aca="false">IF(G402="","",IFERROR(INDEX(Log!$D:$D,MATCH(G402,Log!$A:$A,0)),"ID não encontrado no Log"))</f>
        <v/>
      </c>
      <c r="I402" s="23"/>
      <c r="J402" s="11"/>
    </row>
    <row r="403" customFormat="false" ht="15" hidden="false" customHeight="false" outlineLevel="0" collapsed="false">
      <c r="A403" s="22"/>
      <c r="B403" s="11"/>
      <c r="C403" s="11"/>
      <c r="D403" s="23"/>
      <c r="E403" s="23"/>
      <c r="F403" s="11"/>
      <c r="G403" s="24"/>
      <c r="H403" s="25" t="str">
        <f aca="false">IF(G403="","",IFERROR(INDEX(Log!$D:$D,MATCH(G403,Log!$A:$A,0)),"ID não encontrado no Log"))</f>
        <v/>
      </c>
      <c r="I403" s="23"/>
      <c r="J403" s="11"/>
    </row>
    <row r="404" customFormat="false" ht="15" hidden="false" customHeight="false" outlineLevel="0" collapsed="false">
      <c r="A404" s="22"/>
      <c r="B404" s="11"/>
      <c r="C404" s="11"/>
      <c r="D404" s="23"/>
      <c r="E404" s="23"/>
      <c r="F404" s="11"/>
      <c r="G404" s="24"/>
      <c r="H404" s="25" t="str">
        <f aca="false">IF(G404="","",IFERROR(INDEX(Log!$D:$D,MATCH(G404,Log!$A:$A,0)),"ID não encontrado no Log"))</f>
        <v/>
      </c>
      <c r="I404" s="23"/>
      <c r="J404" s="11"/>
    </row>
    <row r="405" customFormat="false" ht="15" hidden="false" customHeight="false" outlineLevel="0" collapsed="false">
      <c r="A405" s="22"/>
      <c r="B405" s="11"/>
      <c r="C405" s="11"/>
      <c r="D405" s="23"/>
      <c r="E405" s="23"/>
      <c r="F405" s="11"/>
      <c r="G405" s="24"/>
      <c r="H405" s="25" t="str">
        <f aca="false">IF(G405="","",IFERROR(INDEX(Log!$D:$D,MATCH(G405,Log!$A:$A,0)),"ID não encontrado no Log"))</f>
        <v/>
      </c>
      <c r="I405" s="23"/>
      <c r="J405" s="11"/>
    </row>
    <row r="406" customFormat="false" ht="15" hidden="false" customHeight="false" outlineLevel="0" collapsed="false">
      <c r="A406" s="22"/>
      <c r="B406" s="11"/>
      <c r="C406" s="11"/>
      <c r="D406" s="23"/>
      <c r="E406" s="23"/>
      <c r="F406" s="11"/>
      <c r="G406" s="24"/>
      <c r="H406" s="25" t="str">
        <f aca="false">IF(G406="","",IFERROR(INDEX(Log!$D:$D,MATCH(G406,Log!$A:$A,0)),"ID não encontrado no Log"))</f>
        <v/>
      </c>
      <c r="I406" s="23"/>
      <c r="J406" s="11"/>
    </row>
    <row r="407" customFormat="false" ht="15" hidden="false" customHeight="false" outlineLevel="0" collapsed="false">
      <c r="A407" s="22"/>
      <c r="B407" s="11"/>
      <c r="C407" s="11"/>
      <c r="D407" s="23"/>
      <c r="E407" s="23"/>
      <c r="F407" s="11"/>
      <c r="G407" s="24"/>
      <c r="H407" s="25" t="str">
        <f aca="false">IF(G407="","",IFERROR(INDEX(Log!$D:$D,MATCH(G407,Log!$A:$A,0)),"ID não encontrado no Log"))</f>
        <v/>
      </c>
      <c r="I407" s="23"/>
      <c r="J407" s="11"/>
    </row>
    <row r="408" customFormat="false" ht="15" hidden="false" customHeight="false" outlineLevel="0" collapsed="false">
      <c r="A408" s="22"/>
      <c r="B408" s="11"/>
      <c r="C408" s="11"/>
      <c r="D408" s="23"/>
      <c r="E408" s="23"/>
      <c r="F408" s="11"/>
      <c r="G408" s="24"/>
      <c r="H408" s="25" t="str">
        <f aca="false">IF(G408="","",IFERROR(INDEX(Log!$D:$D,MATCH(G408,Log!$A:$A,0)),"ID não encontrado no Log"))</f>
        <v/>
      </c>
      <c r="I408" s="23"/>
      <c r="J408" s="11"/>
    </row>
    <row r="409" customFormat="false" ht="15" hidden="false" customHeight="false" outlineLevel="0" collapsed="false">
      <c r="A409" s="22"/>
      <c r="B409" s="11"/>
      <c r="C409" s="11"/>
      <c r="D409" s="23"/>
      <c r="E409" s="23"/>
      <c r="F409" s="11"/>
      <c r="G409" s="24"/>
      <c r="H409" s="25" t="str">
        <f aca="false">IF(G409="","",IFERROR(INDEX(Log!$D:$D,MATCH(G409,Log!$A:$A,0)),"ID não encontrado no Log"))</f>
        <v/>
      </c>
      <c r="I409" s="23"/>
      <c r="J409" s="11"/>
    </row>
    <row r="410" customFormat="false" ht="15" hidden="false" customHeight="false" outlineLevel="0" collapsed="false">
      <c r="A410" s="22"/>
      <c r="B410" s="11"/>
      <c r="C410" s="11"/>
      <c r="D410" s="23"/>
      <c r="E410" s="23"/>
      <c r="F410" s="11"/>
      <c r="G410" s="24"/>
      <c r="H410" s="25" t="str">
        <f aca="false">IF(G410="","",IFERROR(INDEX(Log!$D:$D,MATCH(G410,Log!$A:$A,0)),"ID não encontrado no Log"))</f>
        <v/>
      </c>
      <c r="I410" s="23"/>
      <c r="J410" s="11"/>
    </row>
    <row r="411" customFormat="false" ht="15" hidden="false" customHeight="false" outlineLevel="0" collapsed="false">
      <c r="A411" s="22"/>
      <c r="B411" s="11"/>
      <c r="C411" s="11"/>
      <c r="D411" s="23"/>
      <c r="E411" s="23"/>
      <c r="F411" s="11"/>
      <c r="G411" s="24"/>
      <c r="H411" s="25" t="str">
        <f aca="false">IF(G411="","",IFERROR(INDEX(Log!$D:$D,MATCH(G411,Log!$A:$A,0)),"ID não encontrado no Log"))</f>
        <v/>
      </c>
      <c r="I411" s="23"/>
      <c r="J411" s="11"/>
    </row>
    <row r="412" customFormat="false" ht="15" hidden="false" customHeight="false" outlineLevel="0" collapsed="false">
      <c r="A412" s="22"/>
      <c r="B412" s="11"/>
      <c r="C412" s="11"/>
      <c r="D412" s="23"/>
      <c r="E412" s="23"/>
      <c r="F412" s="11"/>
      <c r="G412" s="24"/>
      <c r="H412" s="25" t="str">
        <f aca="false">IF(G412="","",IFERROR(INDEX(Log!$D:$D,MATCH(G412,Log!$A:$A,0)),"ID não encontrado no Log"))</f>
        <v/>
      </c>
      <c r="I412" s="23"/>
      <c r="J412" s="11"/>
    </row>
    <row r="413" customFormat="false" ht="15" hidden="false" customHeight="false" outlineLevel="0" collapsed="false">
      <c r="A413" s="22"/>
      <c r="B413" s="11"/>
      <c r="C413" s="11"/>
      <c r="D413" s="23"/>
      <c r="E413" s="23"/>
      <c r="F413" s="11"/>
      <c r="G413" s="24"/>
      <c r="H413" s="25" t="str">
        <f aca="false">IF(G413="","",IFERROR(INDEX(Log!$D:$D,MATCH(G413,Log!$A:$A,0)),"ID não encontrado no Log"))</f>
        <v/>
      </c>
      <c r="I413" s="23"/>
      <c r="J413" s="11"/>
    </row>
    <row r="414" customFormat="false" ht="15" hidden="false" customHeight="false" outlineLevel="0" collapsed="false">
      <c r="A414" s="22"/>
      <c r="B414" s="11"/>
      <c r="C414" s="11"/>
      <c r="D414" s="23"/>
      <c r="E414" s="23"/>
      <c r="F414" s="11"/>
      <c r="G414" s="24"/>
      <c r="H414" s="25" t="str">
        <f aca="false">IF(G414="","",IFERROR(INDEX(Log!$D:$D,MATCH(G414,Log!$A:$A,0)),"ID não encontrado no Log"))</f>
        <v/>
      </c>
      <c r="I414" s="23"/>
      <c r="J414" s="11"/>
    </row>
    <row r="415" customFormat="false" ht="15" hidden="false" customHeight="false" outlineLevel="0" collapsed="false">
      <c r="A415" s="22"/>
      <c r="B415" s="11"/>
      <c r="C415" s="11"/>
      <c r="D415" s="23"/>
      <c r="E415" s="23"/>
      <c r="F415" s="11"/>
      <c r="G415" s="24"/>
      <c r="H415" s="25" t="str">
        <f aca="false">IF(G415="","",IFERROR(INDEX(Log!$D:$D,MATCH(G415,Log!$A:$A,0)),"ID não encontrado no Log"))</f>
        <v/>
      </c>
      <c r="I415" s="23"/>
      <c r="J415" s="11"/>
    </row>
    <row r="416" customFormat="false" ht="15" hidden="false" customHeight="false" outlineLevel="0" collapsed="false">
      <c r="A416" s="22"/>
      <c r="B416" s="11"/>
      <c r="C416" s="11"/>
      <c r="D416" s="23"/>
      <c r="E416" s="23"/>
      <c r="F416" s="11"/>
      <c r="G416" s="24"/>
      <c r="H416" s="25" t="str">
        <f aca="false">IF(G416="","",IFERROR(INDEX(Log!$D:$D,MATCH(G416,Log!$A:$A,0)),"ID não encontrado no Log"))</f>
        <v/>
      </c>
      <c r="I416" s="23"/>
      <c r="J416" s="11"/>
    </row>
    <row r="417" customFormat="false" ht="15" hidden="false" customHeight="false" outlineLevel="0" collapsed="false">
      <c r="A417" s="22"/>
      <c r="B417" s="11"/>
      <c r="C417" s="11"/>
      <c r="D417" s="23"/>
      <c r="E417" s="23"/>
      <c r="F417" s="11"/>
      <c r="G417" s="24"/>
      <c r="H417" s="25" t="str">
        <f aca="false">IF(G417="","",IFERROR(INDEX(Log!$D:$D,MATCH(G417,Log!$A:$A,0)),"ID não encontrado no Log"))</f>
        <v/>
      </c>
      <c r="I417" s="23"/>
      <c r="J417" s="11"/>
    </row>
    <row r="418" customFormat="false" ht="15" hidden="false" customHeight="false" outlineLevel="0" collapsed="false">
      <c r="A418" s="22"/>
      <c r="B418" s="11"/>
      <c r="C418" s="11"/>
      <c r="D418" s="23"/>
      <c r="E418" s="23"/>
      <c r="F418" s="11"/>
      <c r="G418" s="24"/>
      <c r="H418" s="25" t="str">
        <f aca="false">IF(G418="","",IFERROR(INDEX(Log!$D:$D,MATCH(G418,Log!$A:$A,0)),"ID não encontrado no Log"))</f>
        <v/>
      </c>
      <c r="I418" s="23"/>
      <c r="J418" s="11"/>
    </row>
    <row r="419" customFormat="false" ht="15" hidden="false" customHeight="false" outlineLevel="0" collapsed="false">
      <c r="A419" s="22"/>
      <c r="B419" s="11"/>
      <c r="C419" s="11"/>
      <c r="D419" s="23"/>
      <c r="E419" s="23"/>
      <c r="F419" s="11"/>
      <c r="G419" s="24"/>
      <c r="H419" s="25" t="str">
        <f aca="false">IF(G419="","",IFERROR(INDEX(Log!$D:$D,MATCH(G419,Log!$A:$A,0)),"ID não encontrado no Log"))</f>
        <v/>
      </c>
      <c r="I419" s="23"/>
      <c r="J419" s="11"/>
    </row>
    <row r="420" customFormat="false" ht="15" hidden="false" customHeight="false" outlineLevel="0" collapsed="false">
      <c r="A420" s="22"/>
      <c r="B420" s="11"/>
      <c r="C420" s="11"/>
      <c r="D420" s="23"/>
      <c r="E420" s="23"/>
      <c r="F420" s="11"/>
      <c r="G420" s="24"/>
      <c r="H420" s="25" t="str">
        <f aca="false">IF(G420="","",IFERROR(INDEX(Log!$D:$D,MATCH(G420,Log!$A:$A,0)),"ID não encontrado no Log"))</f>
        <v/>
      </c>
      <c r="I420" s="23"/>
      <c r="J420" s="11"/>
    </row>
    <row r="421" customFormat="false" ht="15" hidden="false" customHeight="false" outlineLevel="0" collapsed="false">
      <c r="A421" s="22"/>
      <c r="B421" s="11"/>
      <c r="C421" s="11"/>
      <c r="D421" s="23"/>
      <c r="E421" s="23"/>
      <c r="F421" s="11"/>
      <c r="G421" s="24"/>
      <c r="H421" s="25" t="str">
        <f aca="false">IF(G421="","",IFERROR(INDEX(Log!$D:$D,MATCH(G421,Log!$A:$A,0)),"ID não encontrado no Log"))</f>
        <v/>
      </c>
      <c r="I421" s="23"/>
      <c r="J421" s="11"/>
    </row>
    <row r="422" customFormat="false" ht="15" hidden="false" customHeight="false" outlineLevel="0" collapsed="false">
      <c r="A422" s="22"/>
      <c r="B422" s="11"/>
      <c r="C422" s="11"/>
      <c r="D422" s="23"/>
      <c r="E422" s="23"/>
      <c r="F422" s="11"/>
      <c r="G422" s="24"/>
      <c r="H422" s="25" t="str">
        <f aca="false">IF(G422="","",IFERROR(INDEX(Log!$D:$D,MATCH(G422,Log!$A:$A,0)),"ID não encontrado no Log"))</f>
        <v/>
      </c>
      <c r="I422" s="23"/>
      <c r="J422" s="11"/>
    </row>
    <row r="423" customFormat="false" ht="15" hidden="false" customHeight="false" outlineLevel="0" collapsed="false">
      <c r="A423" s="22"/>
      <c r="B423" s="11"/>
      <c r="C423" s="11"/>
      <c r="D423" s="23"/>
      <c r="E423" s="23"/>
      <c r="F423" s="11"/>
      <c r="G423" s="24"/>
      <c r="H423" s="25" t="str">
        <f aca="false">IF(G423="","",IFERROR(INDEX(Log!$D:$D,MATCH(G423,Log!$A:$A,0)),"ID não encontrado no Log"))</f>
        <v/>
      </c>
      <c r="I423" s="23"/>
      <c r="J423" s="11"/>
    </row>
    <row r="424" customFormat="false" ht="15" hidden="false" customHeight="false" outlineLevel="0" collapsed="false">
      <c r="A424" s="22"/>
      <c r="B424" s="11"/>
      <c r="C424" s="11"/>
      <c r="D424" s="23"/>
      <c r="E424" s="23"/>
      <c r="F424" s="11"/>
      <c r="G424" s="24"/>
      <c r="H424" s="25" t="str">
        <f aca="false">IF(G424="","",IFERROR(INDEX(Log!$D:$D,MATCH(G424,Log!$A:$A,0)),"ID não encontrado no Log"))</f>
        <v/>
      </c>
      <c r="I424" s="23"/>
      <c r="J424" s="11"/>
    </row>
    <row r="425" customFormat="false" ht="15" hidden="false" customHeight="false" outlineLevel="0" collapsed="false">
      <c r="A425" s="22"/>
      <c r="B425" s="11"/>
      <c r="C425" s="11"/>
      <c r="D425" s="23"/>
      <c r="E425" s="23"/>
      <c r="F425" s="11"/>
      <c r="G425" s="24"/>
      <c r="H425" s="25" t="str">
        <f aca="false">IF(G425="","",IFERROR(INDEX(Log!$D:$D,MATCH(G425,Log!$A:$A,0)),"ID não encontrado no Log"))</f>
        <v/>
      </c>
      <c r="I425" s="23"/>
      <c r="J425" s="11"/>
    </row>
    <row r="426" customFormat="false" ht="15" hidden="false" customHeight="false" outlineLevel="0" collapsed="false">
      <c r="A426" s="22"/>
      <c r="B426" s="11"/>
      <c r="C426" s="11"/>
      <c r="D426" s="23"/>
      <c r="E426" s="23"/>
      <c r="F426" s="11"/>
      <c r="G426" s="24"/>
      <c r="H426" s="25" t="str">
        <f aca="false">IF(G426="","",IFERROR(INDEX(Log!$D:$D,MATCH(G426,Log!$A:$A,0)),"ID não encontrado no Log"))</f>
        <v/>
      </c>
      <c r="I426" s="23"/>
      <c r="J426" s="11"/>
    </row>
    <row r="427" customFormat="false" ht="15" hidden="false" customHeight="false" outlineLevel="0" collapsed="false">
      <c r="A427" s="22"/>
      <c r="B427" s="11"/>
      <c r="C427" s="11"/>
      <c r="D427" s="23"/>
      <c r="E427" s="23"/>
      <c r="F427" s="11"/>
      <c r="G427" s="24"/>
      <c r="H427" s="25" t="str">
        <f aca="false">IF(G427="","",IFERROR(INDEX(Log!$D:$D,MATCH(G427,Log!$A:$A,0)),"ID não encontrado no Log"))</f>
        <v/>
      </c>
      <c r="I427" s="23"/>
      <c r="J427" s="11"/>
    </row>
    <row r="428" customFormat="false" ht="15" hidden="false" customHeight="false" outlineLevel="0" collapsed="false">
      <c r="A428" s="22"/>
      <c r="B428" s="11"/>
      <c r="C428" s="11"/>
      <c r="D428" s="23"/>
      <c r="E428" s="23"/>
      <c r="F428" s="11"/>
      <c r="G428" s="24"/>
      <c r="H428" s="25" t="str">
        <f aca="false">IF(G428="","",IFERROR(INDEX(Log!$D:$D,MATCH(G428,Log!$A:$A,0)),"ID não encontrado no Log"))</f>
        <v/>
      </c>
      <c r="I428" s="23"/>
      <c r="J428" s="11"/>
    </row>
    <row r="429" customFormat="false" ht="15" hidden="false" customHeight="false" outlineLevel="0" collapsed="false">
      <c r="A429" s="22"/>
      <c r="B429" s="11"/>
      <c r="C429" s="11"/>
      <c r="D429" s="23"/>
      <c r="E429" s="23"/>
      <c r="F429" s="11"/>
      <c r="G429" s="24"/>
      <c r="H429" s="25" t="str">
        <f aca="false">IF(G429="","",IFERROR(INDEX(Log!$D:$D,MATCH(G429,Log!$A:$A,0)),"ID não encontrado no Log"))</f>
        <v/>
      </c>
      <c r="I429" s="23"/>
      <c r="J429" s="11"/>
    </row>
    <row r="430" customFormat="false" ht="15" hidden="false" customHeight="false" outlineLevel="0" collapsed="false">
      <c r="A430" s="22"/>
      <c r="B430" s="11"/>
      <c r="C430" s="11"/>
      <c r="D430" s="23"/>
      <c r="E430" s="23"/>
      <c r="F430" s="11"/>
      <c r="G430" s="24"/>
      <c r="H430" s="25" t="str">
        <f aca="false">IF(G430="","",IFERROR(INDEX(Log!$D:$D,MATCH(G430,Log!$A:$A,0)),"ID não encontrado no Log"))</f>
        <v/>
      </c>
      <c r="I430" s="23"/>
      <c r="J430" s="11"/>
    </row>
    <row r="431" customFormat="false" ht="15" hidden="false" customHeight="false" outlineLevel="0" collapsed="false">
      <c r="A431" s="22"/>
      <c r="B431" s="11"/>
      <c r="C431" s="11"/>
      <c r="D431" s="23"/>
      <c r="E431" s="23"/>
      <c r="F431" s="11"/>
      <c r="G431" s="24"/>
      <c r="H431" s="25" t="str">
        <f aca="false">IF(G431="","",IFERROR(INDEX(Log!$D:$D,MATCH(G431,Log!$A:$A,0)),"ID não encontrado no Log"))</f>
        <v/>
      </c>
      <c r="I431" s="23"/>
      <c r="J431" s="11"/>
    </row>
    <row r="432" customFormat="false" ht="15" hidden="false" customHeight="false" outlineLevel="0" collapsed="false">
      <c r="A432" s="22"/>
      <c r="B432" s="11"/>
      <c r="C432" s="11"/>
      <c r="D432" s="23"/>
      <c r="E432" s="23"/>
      <c r="F432" s="11"/>
      <c r="G432" s="24"/>
      <c r="H432" s="25" t="str">
        <f aca="false">IF(G432="","",IFERROR(INDEX(Log!$D:$D,MATCH(G432,Log!$A:$A,0)),"ID não encontrado no Log"))</f>
        <v/>
      </c>
      <c r="I432" s="23"/>
      <c r="J432" s="11"/>
    </row>
    <row r="433" customFormat="false" ht="15" hidden="false" customHeight="false" outlineLevel="0" collapsed="false">
      <c r="A433" s="22"/>
      <c r="B433" s="11"/>
      <c r="C433" s="11"/>
      <c r="D433" s="23"/>
      <c r="E433" s="23"/>
      <c r="F433" s="11"/>
      <c r="G433" s="24"/>
      <c r="H433" s="25" t="str">
        <f aca="false">IF(G433="","",IFERROR(INDEX(Log!$D:$D,MATCH(G433,Log!$A:$A,0)),"ID não encontrado no Log"))</f>
        <v/>
      </c>
      <c r="I433" s="23"/>
      <c r="J433" s="11"/>
    </row>
    <row r="434" customFormat="false" ht="15" hidden="false" customHeight="false" outlineLevel="0" collapsed="false">
      <c r="A434" s="22"/>
      <c r="B434" s="11"/>
      <c r="C434" s="11"/>
      <c r="D434" s="23"/>
      <c r="E434" s="23"/>
      <c r="F434" s="11"/>
      <c r="G434" s="24"/>
      <c r="H434" s="25" t="str">
        <f aca="false">IF(G434="","",IFERROR(INDEX(Log!$D:$D,MATCH(G434,Log!$A:$A,0)),"ID não encontrado no Log"))</f>
        <v/>
      </c>
      <c r="I434" s="23"/>
      <c r="J434" s="11"/>
    </row>
    <row r="435" customFormat="false" ht="15" hidden="false" customHeight="false" outlineLevel="0" collapsed="false">
      <c r="A435" s="22"/>
      <c r="B435" s="11"/>
      <c r="C435" s="11"/>
      <c r="D435" s="23"/>
      <c r="E435" s="23"/>
      <c r="F435" s="11"/>
      <c r="G435" s="24"/>
      <c r="H435" s="25" t="str">
        <f aca="false">IF(G435="","",IFERROR(INDEX(Log!$D:$D,MATCH(G435,Log!$A:$A,0)),"ID não encontrado no Log"))</f>
        <v/>
      </c>
      <c r="I435" s="23"/>
      <c r="J435" s="11"/>
    </row>
    <row r="436" customFormat="false" ht="15" hidden="false" customHeight="false" outlineLevel="0" collapsed="false">
      <c r="A436" s="22"/>
      <c r="B436" s="11"/>
      <c r="C436" s="11"/>
      <c r="D436" s="23"/>
      <c r="E436" s="23"/>
      <c r="F436" s="11"/>
      <c r="G436" s="24"/>
      <c r="H436" s="25" t="str">
        <f aca="false">IF(G436="","",IFERROR(INDEX(Log!$D:$D,MATCH(G436,Log!$A:$A,0)),"ID não encontrado no Log"))</f>
        <v/>
      </c>
      <c r="I436" s="23"/>
      <c r="J436" s="11"/>
    </row>
    <row r="437" customFormat="false" ht="15" hidden="false" customHeight="false" outlineLevel="0" collapsed="false">
      <c r="A437" s="22"/>
      <c r="B437" s="11"/>
      <c r="C437" s="11"/>
      <c r="D437" s="23"/>
      <c r="E437" s="23"/>
      <c r="F437" s="11"/>
      <c r="G437" s="24"/>
      <c r="H437" s="25" t="str">
        <f aca="false">IF(G437="","",IFERROR(INDEX(Log!$D:$D,MATCH(G437,Log!$A:$A,0)),"ID não encontrado no Log"))</f>
        <v/>
      </c>
      <c r="I437" s="23"/>
      <c r="J437" s="11"/>
    </row>
    <row r="438" customFormat="false" ht="15" hidden="false" customHeight="false" outlineLevel="0" collapsed="false">
      <c r="A438" s="22"/>
      <c r="B438" s="11"/>
      <c r="C438" s="11"/>
      <c r="D438" s="23"/>
      <c r="E438" s="23"/>
      <c r="F438" s="11"/>
      <c r="G438" s="24"/>
      <c r="H438" s="25" t="str">
        <f aca="false">IF(G438="","",IFERROR(INDEX(Log!$D:$D,MATCH(G438,Log!$A:$A,0)),"ID não encontrado no Log"))</f>
        <v/>
      </c>
      <c r="I438" s="23"/>
      <c r="J438" s="11"/>
    </row>
    <row r="439" customFormat="false" ht="15" hidden="false" customHeight="false" outlineLevel="0" collapsed="false">
      <c r="A439" s="22"/>
      <c r="B439" s="11"/>
      <c r="C439" s="11"/>
      <c r="D439" s="23"/>
      <c r="E439" s="23"/>
      <c r="F439" s="11"/>
      <c r="G439" s="24"/>
      <c r="H439" s="25" t="str">
        <f aca="false">IF(G439="","",IFERROR(INDEX(Log!$D:$D,MATCH(G439,Log!$A:$A,0)),"ID não encontrado no Log"))</f>
        <v/>
      </c>
      <c r="I439" s="23"/>
      <c r="J439" s="11"/>
    </row>
    <row r="440" customFormat="false" ht="15" hidden="false" customHeight="false" outlineLevel="0" collapsed="false">
      <c r="A440" s="22"/>
      <c r="B440" s="11"/>
      <c r="C440" s="11"/>
      <c r="D440" s="23"/>
      <c r="E440" s="23"/>
      <c r="F440" s="11"/>
      <c r="G440" s="24"/>
      <c r="H440" s="25" t="str">
        <f aca="false">IF(G440="","",IFERROR(INDEX(Log!$D:$D,MATCH(G440,Log!$A:$A,0)),"ID não encontrado no Log"))</f>
        <v/>
      </c>
      <c r="I440" s="23"/>
      <c r="J440" s="11"/>
    </row>
    <row r="441" customFormat="false" ht="15" hidden="false" customHeight="false" outlineLevel="0" collapsed="false">
      <c r="A441" s="22"/>
      <c r="B441" s="11"/>
      <c r="C441" s="11"/>
      <c r="D441" s="23"/>
      <c r="E441" s="23"/>
      <c r="F441" s="11"/>
      <c r="G441" s="24"/>
      <c r="H441" s="25" t="str">
        <f aca="false">IF(G441="","",IFERROR(INDEX(Log!$D:$D,MATCH(G441,Log!$A:$A,0)),"ID não encontrado no Log"))</f>
        <v/>
      </c>
      <c r="I441" s="23"/>
      <c r="J441" s="11"/>
    </row>
    <row r="442" customFormat="false" ht="15" hidden="false" customHeight="false" outlineLevel="0" collapsed="false">
      <c r="A442" s="22"/>
      <c r="B442" s="11"/>
      <c r="C442" s="11"/>
      <c r="D442" s="23"/>
      <c r="E442" s="23"/>
      <c r="F442" s="11"/>
      <c r="G442" s="24"/>
      <c r="H442" s="25" t="str">
        <f aca="false">IF(G442="","",IFERROR(INDEX(Log!$D:$D,MATCH(G442,Log!$A:$A,0)),"ID não encontrado no Log"))</f>
        <v/>
      </c>
      <c r="I442" s="23"/>
      <c r="J442" s="11"/>
    </row>
    <row r="443" customFormat="false" ht="15" hidden="false" customHeight="false" outlineLevel="0" collapsed="false">
      <c r="A443" s="22"/>
      <c r="B443" s="11"/>
      <c r="C443" s="11"/>
      <c r="D443" s="23"/>
      <c r="E443" s="23"/>
      <c r="F443" s="11"/>
      <c r="G443" s="24"/>
      <c r="H443" s="25" t="str">
        <f aca="false">IF(G443="","",IFERROR(INDEX(Log!$D:$D,MATCH(G443,Log!$A:$A,0)),"ID não encontrado no Log"))</f>
        <v/>
      </c>
      <c r="I443" s="23"/>
      <c r="J443" s="11"/>
    </row>
    <row r="444" customFormat="false" ht="15" hidden="false" customHeight="false" outlineLevel="0" collapsed="false">
      <c r="A444" s="22"/>
      <c r="B444" s="11"/>
      <c r="C444" s="11"/>
      <c r="D444" s="23"/>
      <c r="E444" s="23"/>
      <c r="F444" s="11"/>
      <c r="G444" s="24"/>
      <c r="H444" s="25" t="str">
        <f aca="false">IF(G444="","",IFERROR(INDEX(Log!$D:$D,MATCH(G444,Log!$A:$A,0)),"ID não encontrado no Log"))</f>
        <v/>
      </c>
      <c r="I444" s="23"/>
      <c r="J444" s="11"/>
    </row>
    <row r="445" customFormat="false" ht="15" hidden="false" customHeight="false" outlineLevel="0" collapsed="false">
      <c r="A445" s="22"/>
      <c r="B445" s="11"/>
      <c r="C445" s="11"/>
      <c r="D445" s="23"/>
      <c r="E445" s="23"/>
      <c r="F445" s="11"/>
      <c r="G445" s="24"/>
      <c r="H445" s="25" t="str">
        <f aca="false">IF(G445="","",IFERROR(INDEX(Log!$D:$D,MATCH(G445,Log!$A:$A,0)),"ID não encontrado no Log"))</f>
        <v/>
      </c>
      <c r="I445" s="23"/>
      <c r="J445" s="11"/>
    </row>
    <row r="446" customFormat="false" ht="15" hidden="false" customHeight="false" outlineLevel="0" collapsed="false">
      <c r="A446" s="22"/>
      <c r="B446" s="11"/>
      <c r="C446" s="11"/>
      <c r="D446" s="23"/>
      <c r="E446" s="23"/>
      <c r="F446" s="11"/>
      <c r="G446" s="24"/>
      <c r="H446" s="25" t="str">
        <f aca="false">IF(G446="","",IFERROR(INDEX(Log!$D:$D,MATCH(G446,Log!$A:$A,0)),"ID não encontrado no Log"))</f>
        <v/>
      </c>
      <c r="I446" s="23"/>
      <c r="J446" s="11"/>
    </row>
    <row r="447" customFormat="false" ht="15" hidden="false" customHeight="false" outlineLevel="0" collapsed="false">
      <c r="A447" s="22"/>
      <c r="B447" s="11"/>
      <c r="C447" s="11"/>
      <c r="D447" s="23"/>
      <c r="E447" s="23"/>
      <c r="F447" s="11"/>
      <c r="G447" s="24"/>
      <c r="H447" s="25" t="str">
        <f aca="false">IF(G447="","",IFERROR(INDEX(Log!$D:$D,MATCH(G447,Log!$A:$A,0)),"ID não encontrado no Log"))</f>
        <v/>
      </c>
      <c r="I447" s="23"/>
      <c r="J447" s="11"/>
    </row>
    <row r="448" customFormat="false" ht="15" hidden="false" customHeight="false" outlineLevel="0" collapsed="false">
      <c r="A448" s="22"/>
      <c r="B448" s="11"/>
      <c r="C448" s="11"/>
      <c r="D448" s="23"/>
      <c r="E448" s="23"/>
      <c r="F448" s="11"/>
      <c r="G448" s="24"/>
      <c r="H448" s="25" t="str">
        <f aca="false">IF(G448="","",IFERROR(INDEX(Log!$D:$D,MATCH(G448,Log!$A:$A,0)),"ID não encontrado no Log"))</f>
        <v/>
      </c>
      <c r="I448" s="23"/>
      <c r="J448" s="11"/>
    </row>
    <row r="449" customFormat="false" ht="15" hidden="false" customHeight="false" outlineLevel="0" collapsed="false">
      <c r="A449" s="22"/>
      <c r="B449" s="11"/>
      <c r="C449" s="11"/>
      <c r="D449" s="23"/>
      <c r="E449" s="23"/>
      <c r="F449" s="11"/>
      <c r="G449" s="24"/>
      <c r="H449" s="25" t="str">
        <f aca="false">IF(G449="","",IFERROR(INDEX(Log!$D:$D,MATCH(G449,Log!$A:$A,0)),"ID não encontrado no Log"))</f>
        <v/>
      </c>
      <c r="I449" s="23"/>
      <c r="J449" s="11"/>
    </row>
    <row r="450" customFormat="false" ht="15" hidden="false" customHeight="false" outlineLevel="0" collapsed="false">
      <c r="A450" s="22"/>
      <c r="B450" s="11"/>
      <c r="C450" s="11"/>
      <c r="D450" s="23"/>
      <c r="E450" s="23"/>
      <c r="F450" s="11"/>
      <c r="G450" s="24"/>
      <c r="H450" s="25" t="str">
        <f aca="false">IF(G450="","",IFERROR(INDEX(Log!$D:$D,MATCH(G450,Log!$A:$A,0)),"ID não encontrado no Log"))</f>
        <v/>
      </c>
      <c r="I450" s="23"/>
      <c r="J450" s="11"/>
    </row>
    <row r="451" customFormat="false" ht="15" hidden="false" customHeight="false" outlineLevel="0" collapsed="false">
      <c r="A451" s="22"/>
      <c r="B451" s="11"/>
      <c r="C451" s="11"/>
      <c r="D451" s="23"/>
      <c r="E451" s="23"/>
      <c r="F451" s="11"/>
      <c r="G451" s="24"/>
      <c r="H451" s="25" t="str">
        <f aca="false">IF(G451="","",IFERROR(INDEX(Log!$D:$D,MATCH(G451,Log!$A:$A,0)),"ID não encontrado no Log"))</f>
        <v/>
      </c>
      <c r="I451" s="23"/>
      <c r="J451" s="11"/>
    </row>
    <row r="452" customFormat="false" ht="15" hidden="false" customHeight="false" outlineLevel="0" collapsed="false">
      <c r="A452" s="22"/>
      <c r="B452" s="11"/>
      <c r="C452" s="11"/>
      <c r="D452" s="23"/>
      <c r="E452" s="23"/>
      <c r="F452" s="11"/>
      <c r="G452" s="24"/>
      <c r="H452" s="25" t="str">
        <f aca="false">IF(G452="","",IFERROR(INDEX(Log!$D:$D,MATCH(G452,Log!$A:$A,0)),"ID não encontrado no Log"))</f>
        <v/>
      </c>
      <c r="I452" s="23"/>
      <c r="J452" s="11"/>
    </row>
    <row r="453" customFormat="false" ht="15" hidden="false" customHeight="false" outlineLevel="0" collapsed="false">
      <c r="A453" s="22"/>
      <c r="B453" s="11"/>
      <c r="C453" s="11"/>
      <c r="D453" s="23"/>
      <c r="E453" s="23"/>
      <c r="F453" s="11"/>
      <c r="G453" s="24"/>
      <c r="H453" s="25" t="str">
        <f aca="false">IF(G453="","",IFERROR(INDEX(Log!$D:$D,MATCH(G453,Log!$A:$A,0)),"ID não encontrado no Log"))</f>
        <v/>
      </c>
      <c r="I453" s="23"/>
      <c r="J453" s="11"/>
    </row>
    <row r="454" customFormat="false" ht="15" hidden="false" customHeight="false" outlineLevel="0" collapsed="false">
      <c r="A454" s="22"/>
      <c r="B454" s="11"/>
      <c r="C454" s="11"/>
      <c r="D454" s="23"/>
      <c r="E454" s="23"/>
      <c r="F454" s="11"/>
      <c r="G454" s="24"/>
      <c r="H454" s="25" t="str">
        <f aca="false">IF(G454="","",IFERROR(INDEX(Log!$D:$D,MATCH(G454,Log!$A:$A,0)),"ID não encontrado no Log"))</f>
        <v/>
      </c>
      <c r="I454" s="23"/>
      <c r="J454" s="11"/>
    </row>
    <row r="455" customFormat="false" ht="15" hidden="false" customHeight="false" outlineLevel="0" collapsed="false">
      <c r="A455" s="22"/>
      <c r="B455" s="11"/>
      <c r="C455" s="11"/>
      <c r="D455" s="23"/>
      <c r="E455" s="23"/>
      <c r="F455" s="11"/>
      <c r="G455" s="24"/>
      <c r="H455" s="25" t="str">
        <f aca="false">IF(G455="","",IFERROR(INDEX(Log!$D:$D,MATCH(G455,Log!$A:$A,0)),"ID não encontrado no Log"))</f>
        <v/>
      </c>
      <c r="I455" s="23"/>
      <c r="J455" s="11"/>
    </row>
    <row r="456" customFormat="false" ht="15" hidden="false" customHeight="false" outlineLevel="0" collapsed="false">
      <c r="A456" s="22"/>
      <c r="B456" s="11"/>
      <c r="C456" s="11"/>
      <c r="D456" s="23"/>
      <c r="E456" s="23"/>
      <c r="F456" s="11"/>
      <c r="G456" s="24"/>
      <c r="H456" s="25" t="str">
        <f aca="false">IF(G456="","",IFERROR(INDEX(Log!$D:$D,MATCH(G456,Log!$A:$A,0)),"ID não encontrado no Log"))</f>
        <v/>
      </c>
      <c r="I456" s="23"/>
      <c r="J456" s="11"/>
    </row>
    <row r="457" customFormat="false" ht="15" hidden="false" customHeight="false" outlineLevel="0" collapsed="false">
      <c r="A457" s="22"/>
      <c r="B457" s="11"/>
      <c r="C457" s="11"/>
      <c r="D457" s="23"/>
      <c r="E457" s="23"/>
      <c r="F457" s="11"/>
      <c r="G457" s="24"/>
      <c r="H457" s="25" t="str">
        <f aca="false">IF(G457="","",IFERROR(INDEX(Log!$D:$D,MATCH(G457,Log!$A:$A,0)),"ID não encontrado no Log"))</f>
        <v/>
      </c>
      <c r="I457" s="23"/>
      <c r="J457" s="11"/>
    </row>
    <row r="458" customFormat="false" ht="15" hidden="false" customHeight="false" outlineLevel="0" collapsed="false">
      <c r="A458" s="22"/>
      <c r="B458" s="11"/>
      <c r="C458" s="11"/>
      <c r="D458" s="23"/>
      <c r="E458" s="23"/>
      <c r="F458" s="11"/>
      <c r="G458" s="24"/>
      <c r="H458" s="25" t="str">
        <f aca="false">IF(G458="","",IFERROR(INDEX(Log!$D:$D,MATCH(G458,Log!$A:$A,0)),"ID não encontrado no Log"))</f>
        <v/>
      </c>
      <c r="I458" s="23"/>
      <c r="J458" s="11"/>
    </row>
    <row r="459" customFormat="false" ht="15" hidden="false" customHeight="false" outlineLevel="0" collapsed="false">
      <c r="A459" s="22"/>
      <c r="B459" s="11"/>
      <c r="C459" s="11"/>
      <c r="D459" s="23"/>
      <c r="E459" s="23"/>
      <c r="F459" s="11"/>
      <c r="G459" s="24"/>
      <c r="H459" s="25" t="str">
        <f aca="false">IF(G459="","",IFERROR(INDEX(Log!$D:$D,MATCH(G459,Log!$A:$A,0)),"ID não encontrado no Log"))</f>
        <v/>
      </c>
      <c r="I459" s="23"/>
      <c r="J459" s="11"/>
    </row>
    <row r="460" customFormat="false" ht="15" hidden="false" customHeight="false" outlineLevel="0" collapsed="false">
      <c r="A460" s="22"/>
      <c r="B460" s="11"/>
      <c r="C460" s="11"/>
      <c r="D460" s="23"/>
      <c r="E460" s="23"/>
      <c r="F460" s="11"/>
      <c r="G460" s="24"/>
      <c r="H460" s="25" t="str">
        <f aca="false">IF(G460="","",IFERROR(INDEX(Log!$D:$D,MATCH(G460,Log!$A:$A,0)),"ID não encontrado no Log"))</f>
        <v/>
      </c>
      <c r="I460" s="23"/>
      <c r="J460" s="11"/>
    </row>
    <row r="461" customFormat="false" ht="15" hidden="false" customHeight="false" outlineLevel="0" collapsed="false">
      <c r="A461" s="22"/>
      <c r="B461" s="11"/>
      <c r="C461" s="11"/>
      <c r="D461" s="23"/>
      <c r="E461" s="23"/>
      <c r="F461" s="11"/>
      <c r="G461" s="24"/>
      <c r="H461" s="25" t="str">
        <f aca="false">IF(G461="","",IFERROR(INDEX(Log!$D:$D,MATCH(G461,Log!$A:$A,0)),"ID não encontrado no Log"))</f>
        <v/>
      </c>
      <c r="I461" s="23"/>
      <c r="J461" s="11"/>
    </row>
    <row r="462" customFormat="false" ht="15" hidden="false" customHeight="false" outlineLevel="0" collapsed="false">
      <c r="A462" s="22"/>
      <c r="B462" s="11"/>
      <c r="C462" s="11"/>
      <c r="D462" s="23"/>
      <c r="E462" s="23"/>
      <c r="F462" s="11"/>
      <c r="G462" s="24"/>
      <c r="H462" s="25" t="str">
        <f aca="false">IF(G462="","",IFERROR(INDEX(Log!$D:$D,MATCH(G462,Log!$A:$A,0)),"ID não encontrado no Log"))</f>
        <v/>
      </c>
      <c r="I462" s="23"/>
      <c r="J462" s="11"/>
    </row>
    <row r="463" customFormat="false" ht="15" hidden="false" customHeight="false" outlineLevel="0" collapsed="false">
      <c r="A463" s="22"/>
      <c r="B463" s="11"/>
      <c r="C463" s="11"/>
      <c r="D463" s="23"/>
      <c r="E463" s="23"/>
      <c r="F463" s="11"/>
      <c r="G463" s="24"/>
      <c r="H463" s="25" t="str">
        <f aca="false">IF(G463="","",IFERROR(INDEX(Log!$D:$D,MATCH(G463,Log!$A:$A,0)),"ID não encontrado no Log"))</f>
        <v/>
      </c>
      <c r="I463" s="23"/>
      <c r="J463" s="11"/>
    </row>
    <row r="464" customFormat="false" ht="15" hidden="false" customHeight="false" outlineLevel="0" collapsed="false">
      <c r="A464" s="22"/>
      <c r="B464" s="11"/>
      <c r="C464" s="11"/>
      <c r="D464" s="23"/>
      <c r="E464" s="23"/>
      <c r="F464" s="11"/>
      <c r="G464" s="24"/>
      <c r="H464" s="25" t="str">
        <f aca="false">IF(G464="","",IFERROR(INDEX(Log!$D:$D,MATCH(G464,Log!$A:$A,0)),"ID não encontrado no Log"))</f>
        <v/>
      </c>
      <c r="I464" s="23"/>
      <c r="J464" s="11"/>
    </row>
    <row r="465" customFormat="false" ht="15" hidden="false" customHeight="false" outlineLevel="0" collapsed="false">
      <c r="A465" s="22"/>
      <c r="B465" s="11"/>
      <c r="C465" s="11"/>
      <c r="D465" s="23"/>
      <c r="E465" s="23"/>
      <c r="F465" s="11"/>
      <c r="G465" s="24"/>
      <c r="H465" s="25" t="str">
        <f aca="false">IF(G465="","",IFERROR(INDEX(Log!$D:$D,MATCH(G465,Log!$A:$A,0)),"ID não encontrado no Log"))</f>
        <v/>
      </c>
      <c r="I465" s="23"/>
      <c r="J465" s="11"/>
    </row>
    <row r="466" customFormat="false" ht="15" hidden="false" customHeight="false" outlineLevel="0" collapsed="false">
      <c r="A466" s="22"/>
      <c r="B466" s="11"/>
      <c r="C466" s="11"/>
      <c r="D466" s="23"/>
      <c r="E466" s="23"/>
      <c r="F466" s="11"/>
      <c r="G466" s="24"/>
      <c r="H466" s="25" t="str">
        <f aca="false">IF(G466="","",IFERROR(INDEX(Log!$D:$D,MATCH(G466,Log!$A:$A,0)),"ID não encontrado no Log"))</f>
        <v/>
      </c>
      <c r="I466" s="23"/>
      <c r="J466" s="11"/>
    </row>
    <row r="467" customFormat="false" ht="15" hidden="false" customHeight="false" outlineLevel="0" collapsed="false">
      <c r="A467" s="22"/>
      <c r="B467" s="11"/>
      <c r="C467" s="11"/>
      <c r="D467" s="23"/>
      <c r="E467" s="23"/>
      <c r="F467" s="11"/>
      <c r="G467" s="24"/>
      <c r="H467" s="25" t="str">
        <f aca="false">IF(G467="","",IFERROR(INDEX(Log!$D:$D,MATCH(G467,Log!$A:$A,0)),"ID não encontrado no Log"))</f>
        <v/>
      </c>
      <c r="I467" s="23"/>
      <c r="J467" s="11"/>
    </row>
    <row r="468" customFormat="false" ht="15" hidden="false" customHeight="false" outlineLevel="0" collapsed="false">
      <c r="A468" s="22"/>
      <c r="B468" s="11"/>
      <c r="C468" s="11"/>
      <c r="D468" s="23"/>
      <c r="E468" s="23"/>
      <c r="F468" s="11"/>
      <c r="G468" s="24"/>
      <c r="H468" s="25" t="str">
        <f aca="false">IF(G468="","",IFERROR(INDEX(Log!$D:$D,MATCH(G468,Log!$A:$A,0)),"ID não encontrado no Log"))</f>
        <v/>
      </c>
      <c r="I468" s="23"/>
      <c r="J468" s="11"/>
    </row>
    <row r="469" customFormat="false" ht="15" hidden="false" customHeight="false" outlineLevel="0" collapsed="false">
      <c r="A469" s="22"/>
      <c r="B469" s="11"/>
      <c r="C469" s="11"/>
      <c r="D469" s="23"/>
      <c r="E469" s="23"/>
      <c r="F469" s="11"/>
      <c r="G469" s="24"/>
      <c r="H469" s="25" t="str">
        <f aca="false">IF(G469="","",IFERROR(INDEX(Log!$D:$D,MATCH(G469,Log!$A:$A,0)),"ID não encontrado no Log"))</f>
        <v/>
      </c>
      <c r="I469" s="23"/>
      <c r="J469" s="11"/>
    </row>
    <row r="470" customFormat="false" ht="15" hidden="false" customHeight="false" outlineLevel="0" collapsed="false">
      <c r="A470" s="22"/>
      <c r="B470" s="11"/>
      <c r="C470" s="11"/>
      <c r="D470" s="23"/>
      <c r="E470" s="23"/>
      <c r="F470" s="11"/>
      <c r="G470" s="24"/>
      <c r="H470" s="25" t="str">
        <f aca="false">IF(G470="","",IFERROR(INDEX(Log!$D:$D,MATCH(G470,Log!$A:$A,0)),"ID não encontrado no Log"))</f>
        <v/>
      </c>
      <c r="I470" s="23"/>
      <c r="J470" s="11"/>
    </row>
    <row r="471" customFormat="false" ht="15" hidden="false" customHeight="false" outlineLevel="0" collapsed="false">
      <c r="A471" s="22"/>
      <c r="B471" s="11"/>
      <c r="C471" s="11"/>
      <c r="D471" s="23"/>
      <c r="E471" s="23"/>
      <c r="F471" s="11"/>
      <c r="G471" s="24"/>
      <c r="H471" s="25" t="str">
        <f aca="false">IF(G471="","",IFERROR(INDEX(Log!$D:$D,MATCH(G471,Log!$A:$A,0)),"ID não encontrado no Log"))</f>
        <v/>
      </c>
      <c r="I471" s="23"/>
      <c r="J471" s="11"/>
    </row>
    <row r="472" customFormat="false" ht="15" hidden="false" customHeight="false" outlineLevel="0" collapsed="false">
      <c r="A472" s="22"/>
      <c r="B472" s="11"/>
      <c r="C472" s="11"/>
      <c r="D472" s="23"/>
      <c r="E472" s="23"/>
      <c r="F472" s="11"/>
      <c r="G472" s="24"/>
      <c r="H472" s="25" t="str">
        <f aca="false">IF(G472="","",IFERROR(INDEX(Log!$D:$D,MATCH(G472,Log!$A:$A,0)),"ID não encontrado no Log"))</f>
        <v/>
      </c>
      <c r="I472" s="23"/>
      <c r="J472" s="11"/>
    </row>
    <row r="473" customFormat="false" ht="15" hidden="false" customHeight="false" outlineLevel="0" collapsed="false">
      <c r="A473" s="22"/>
      <c r="B473" s="11"/>
      <c r="C473" s="11"/>
      <c r="D473" s="23"/>
      <c r="E473" s="23"/>
      <c r="F473" s="11"/>
      <c r="G473" s="24"/>
      <c r="H473" s="25" t="str">
        <f aca="false">IF(G473="","",IFERROR(INDEX(Log!$D:$D,MATCH(G473,Log!$A:$A,0)),"ID não encontrado no Log"))</f>
        <v/>
      </c>
      <c r="I473" s="23"/>
      <c r="J473" s="11"/>
    </row>
    <row r="474" customFormat="false" ht="15" hidden="false" customHeight="false" outlineLevel="0" collapsed="false">
      <c r="A474" s="22"/>
      <c r="B474" s="11"/>
      <c r="C474" s="11"/>
      <c r="D474" s="23"/>
      <c r="E474" s="23"/>
      <c r="F474" s="11"/>
      <c r="G474" s="24"/>
      <c r="H474" s="25" t="str">
        <f aca="false">IF(G474="","",IFERROR(INDEX(Log!$D:$D,MATCH(G474,Log!$A:$A,0)),"ID não encontrado no Log"))</f>
        <v/>
      </c>
      <c r="I474" s="23"/>
      <c r="J474" s="11"/>
    </row>
    <row r="475" customFormat="false" ht="15" hidden="false" customHeight="false" outlineLevel="0" collapsed="false">
      <c r="A475" s="22"/>
      <c r="B475" s="11"/>
      <c r="C475" s="11"/>
      <c r="D475" s="23"/>
      <c r="E475" s="23"/>
      <c r="F475" s="11"/>
      <c r="G475" s="24"/>
      <c r="H475" s="25" t="str">
        <f aca="false">IF(G475="","",IFERROR(INDEX(Log!$D:$D,MATCH(G475,Log!$A:$A,0)),"ID não encontrado no Log"))</f>
        <v/>
      </c>
      <c r="I475" s="23"/>
      <c r="J475" s="11"/>
    </row>
    <row r="476" customFormat="false" ht="15" hidden="false" customHeight="false" outlineLevel="0" collapsed="false">
      <c r="A476" s="22"/>
      <c r="B476" s="11"/>
      <c r="C476" s="11"/>
      <c r="D476" s="23"/>
      <c r="E476" s="23"/>
      <c r="F476" s="11"/>
      <c r="G476" s="24"/>
      <c r="H476" s="25" t="str">
        <f aca="false">IF(G476="","",IFERROR(INDEX(Log!$D:$D,MATCH(G476,Log!$A:$A,0)),"ID não encontrado no Log"))</f>
        <v/>
      </c>
      <c r="I476" s="23"/>
      <c r="J476" s="11"/>
    </row>
    <row r="477" customFormat="false" ht="15" hidden="false" customHeight="false" outlineLevel="0" collapsed="false">
      <c r="A477" s="22"/>
      <c r="B477" s="11"/>
      <c r="C477" s="11"/>
      <c r="D477" s="23"/>
      <c r="E477" s="23"/>
      <c r="F477" s="11"/>
      <c r="G477" s="24"/>
      <c r="H477" s="25" t="str">
        <f aca="false">IF(G477="","",IFERROR(INDEX(Log!$D:$D,MATCH(G477,Log!$A:$A,0)),"ID não encontrado no Log"))</f>
        <v/>
      </c>
      <c r="I477" s="23"/>
      <c r="J477" s="11"/>
    </row>
    <row r="478" customFormat="false" ht="15" hidden="false" customHeight="false" outlineLevel="0" collapsed="false">
      <c r="A478" s="22"/>
      <c r="B478" s="11"/>
      <c r="C478" s="11"/>
      <c r="D478" s="23"/>
      <c r="E478" s="23"/>
      <c r="F478" s="11"/>
      <c r="G478" s="24"/>
      <c r="H478" s="25" t="str">
        <f aca="false">IF(G478="","",IFERROR(INDEX(Log!$D:$D,MATCH(G478,Log!$A:$A,0)),"ID não encontrado no Log"))</f>
        <v/>
      </c>
      <c r="I478" s="23"/>
      <c r="J478" s="11"/>
    </row>
    <row r="479" customFormat="false" ht="15" hidden="false" customHeight="false" outlineLevel="0" collapsed="false">
      <c r="A479" s="22"/>
      <c r="B479" s="11"/>
      <c r="C479" s="11"/>
      <c r="D479" s="23"/>
      <c r="E479" s="23"/>
      <c r="F479" s="11"/>
      <c r="G479" s="24"/>
      <c r="H479" s="25" t="str">
        <f aca="false">IF(G479="","",IFERROR(INDEX(Log!$D:$D,MATCH(G479,Log!$A:$A,0)),"ID não encontrado no Log"))</f>
        <v/>
      </c>
      <c r="I479" s="23"/>
      <c r="J479" s="11"/>
    </row>
    <row r="480" customFormat="false" ht="15" hidden="false" customHeight="false" outlineLevel="0" collapsed="false">
      <c r="A480" s="22"/>
      <c r="B480" s="11"/>
      <c r="C480" s="11"/>
      <c r="D480" s="23"/>
      <c r="E480" s="23"/>
      <c r="F480" s="11"/>
      <c r="G480" s="24"/>
      <c r="H480" s="25" t="str">
        <f aca="false">IF(G480="","",IFERROR(INDEX(Log!$D:$D,MATCH(G480,Log!$A:$A,0)),"ID não encontrado no Log"))</f>
        <v/>
      </c>
      <c r="I480" s="23"/>
      <c r="J480" s="11"/>
    </row>
    <row r="481" customFormat="false" ht="15" hidden="false" customHeight="false" outlineLevel="0" collapsed="false">
      <c r="A481" s="22"/>
      <c r="B481" s="11"/>
      <c r="C481" s="11"/>
      <c r="D481" s="23"/>
      <c r="E481" s="23"/>
      <c r="F481" s="11"/>
      <c r="G481" s="24"/>
      <c r="H481" s="25" t="str">
        <f aca="false">IF(G481="","",IFERROR(INDEX(Log!$D:$D,MATCH(G481,Log!$A:$A,0)),"ID não encontrado no Log"))</f>
        <v/>
      </c>
      <c r="I481" s="23"/>
      <c r="J481" s="11"/>
    </row>
    <row r="482" customFormat="false" ht="15" hidden="false" customHeight="false" outlineLevel="0" collapsed="false">
      <c r="A482" s="22"/>
      <c r="B482" s="11"/>
      <c r="C482" s="11"/>
      <c r="D482" s="23"/>
      <c r="E482" s="23"/>
      <c r="F482" s="11"/>
      <c r="G482" s="24"/>
      <c r="H482" s="25" t="str">
        <f aca="false">IF(G482="","",IFERROR(INDEX(Log!$D:$D,MATCH(G482,Log!$A:$A,0)),"ID não encontrado no Log"))</f>
        <v/>
      </c>
      <c r="I482" s="23"/>
      <c r="J482" s="11"/>
    </row>
    <row r="483" customFormat="false" ht="15" hidden="false" customHeight="false" outlineLevel="0" collapsed="false">
      <c r="A483" s="22"/>
      <c r="B483" s="11"/>
      <c r="C483" s="11"/>
      <c r="D483" s="23"/>
      <c r="E483" s="23"/>
      <c r="F483" s="11"/>
      <c r="G483" s="24"/>
      <c r="H483" s="25" t="str">
        <f aca="false">IF(G483="","",IFERROR(INDEX(Log!$D:$D,MATCH(G483,Log!$A:$A,0)),"ID não encontrado no Log"))</f>
        <v/>
      </c>
      <c r="I483" s="23"/>
      <c r="J483" s="11"/>
    </row>
    <row r="484" customFormat="false" ht="15" hidden="false" customHeight="false" outlineLevel="0" collapsed="false">
      <c r="A484" s="22"/>
      <c r="B484" s="11"/>
      <c r="C484" s="11"/>
      <c r="D484" s="23"/>
      <c r="E484" s="23"/>
      <c r="F484" s="11"/>
      <c r="G484" s="24"/>
      <c r="H484" s="25" t="str">
        <f aca="false">IF(G484="","",IFERROR(INDEX(Log!$D:$D,MATCH(G484,Log!$A:$A,0)),"ID não encontrado no Log"))</f>
        <v/>
      </c>
      <c r="I484" s="23"/>
      <c r="J484" s="11"/>
    </row>
    <row r="485" customFormat="false" ht="15" hidden="false" customHeight="false" outlineLevel="0" collapsed="false">
      <c r="A485" s="22"/>
      <c r="B485" s="11"/>
      <c r="C485" s="11"/>
      <c r="D485" s="23"/>
      <c r="E485" s="23"/>
      <c r="F485" s="11"/>
      <c r="G485" s="24"/>
      <c r="H485" s="25" t="str">
        <f aca="false">IF(G485="","",IFERROR(INDEX(Log!$D:$D,MATCH(G485,Log!$A:$A,0)),"ID não encontrado no Log"))</f>
        <v/>
      </c>
      <c r="I485" s="23"/>
      <c r="J485" s="11"/>
    </row>
    <row r="486" customFormat="false" ht="15" hidden="false" customHeight="false" outlineLevel="0" collapsed="false">
      <c r="A486" s="22"/>
      <c r="B486" s="11"/>
      <c r="C486" s="11"/>
      <c r="D486" s="23"/>
      <c r="E486" s="23"/>
      <c r="F486" s="11"/>
      <c r="G486" s="24"/>
      <c r="H486" s="25" t="str">
        <f aca="false">IF(G486="","",IFERROR(INDEX(Log!$D:$D,MATCH(G486,Log!$A:$A,0)),"ID não encontrado no Log"))</f>
        <v/>
      </c>
      <c r="I486" s="23"/>
      <c r="J486" s="11"/>
    </row>
    <row r="487" customFormat="false" ht="15" hidden="false" customHeight="false" outlineLevel="0" collapsed="false">
      <c r="A487" s="22"/>
      <c r="B487" s="11"/>
      <c r="C487" s="11"/>
      <c r="D487" s="23"/>
      <c r="E487" s="23"/>
      <c r="F487" s="11"/>
      <c r="G487" s="24"/>
      <c r="H487" s="25" t="str">
        <f aca="false">IF(G487="","",IFERROR(INDEX(Log!$D:$D,MATCH(G487,Log!$A:$A,0)),"ID não encontrado no Log"))</f>
        <v/>
      </c>
      <c r="I487" s="23"/>
      <c r="J487" s="11"/>
    </row>
    <row r="488" customFormat="false" ht="15" hidden="false" customHeight="false" outlineLevel="0" collapsed="false">
      <c r="A488" s="22"/>
      <c r="B488" s="11"/>
      <c r="C488" s="11"/>
      <c r="D488" s="23"/>
      <c r="E488" s="23"/>
      <c r="F488" s="11"/>
      <c r="G488" s="24"/>
      <c r="H488" s="25" t="str">
        <f aca="false">IF(G488="","",IFERROR(INDEX(Log!$D:$D,MATCH(G488,Log!$A:$A,0)),"ID não encontrado no Log"))</f>
        <v/>
      </c>
      <c r="I488" s="23"/>
      <c r="J488" s="11"/>
    </row>
    <row r="489" customFormat="false" ht="15" hidden="false" customHeight="false" outlineLevel="0" collapsed="false">
      <c r="A489" s="22"/>
      <c r="B489" s="11"/>
      <c r="C489" s="11"/>
      <c r="D489" s="23"/>
      <c r="E489" s="23"/>
      <c r="F489" s="11"/>
      <c r="G489" s="24"/>
      <c r="H489" s="25" t="str">
        <f aca="false">IF(G489="","",IFERROR(INDEX(Log!$D:$D,MATCH(G489,Log!$A:$A,0)),"ID não encontrado no Log"))</f>
        <v/>
      </c>
      <c r="I489" s="23"/>
      <c r="J489" s="11"/>
    </row>
    <row r="490" customFormat="false" ht="15" hidden="false" customHeight="false" outlineLevel="0" collapsed="false">
      <c r="A490" s="22"/>
      <c r="B490" s="11"/>
      <c r="C490" s="11"/>
      <c r="D490" s="23"/>
      <c r="E490" s="23"/>
      <c r="F490" s="11"/>
      <c r="G490" s="24"/>
      <c r="H490" s="25" t="str">
        <f aca="false">IF(G490="","",IFERROR(INDEX(Log!$D:$D,MATCH(G490,Log!$A:$A,0)),"ID não encontrado no Log"))</f>
        <v/>
      </c>
      <c r="I490" s="23"/>
      <c r="J490" s="11"/>
    </row>
    <row r="491" customFormat="false" ht="15" hidden="false" customHeight="false" outlineLevel="0" collapsed="false">
      <c r="A491" s="22"/>
      <c r="B491" s="11"/>
      <c r="C491" s="11"/>
      <c r="D491" s="23"/>
      <c r="E491" s="23"/>
      <c r="F491" s="11"/>
      <c r="G491" s="24"/>
      <c r="H491" s="25" t="str">
        <f aca="false">IF(G491="","",IFERROR(INDEX(Log!$D:$D,MATCH(G491,Log!$A:$A,0)),"ID não encontrado no Log"))</f>
        <v/>
      </c>
      <c r="I491" s="23"/>
      <c r="J491" s="11"/>
    </row>
    <row r="492" customFormat="false" ht="15" hidden="false" customHeight="false" outlineLevel="0" collapsed="false">
      <c r="A492" s="22"/>
      <c r="B492" s="11"/>
      <c r="C492" s="11"/>
      <c r="D492" s="23"/>
      <c r="E492" s="23"/>
      <c r="F492" s="11"/>
      <c r="G492" s="24"/>
      <c r="H492" s="25" t="str">
        <f aca="false">IF(G492="","",IFERROR(INDEX(Log!$D:$D,MATCH(G492,Log!$A:$A,0)),"ID não encontrado no Log"))</f>
        <v/>
      </c>
      <c r="I492" s="23"/>
      <c r="J492" s="11"/>
    </row>
    <row r="493" customFormat="false" ht="15" hidden="false" customHeight="false" outlineLevel="0" collapsed="false">
      <c r="A493" s="22"/>
      <c r="B493" s="11"/>
      <c r="C493" s="11"/>
      <c r="D493" s="23"/>
      <c r="E493" s="23"/>
      <c r="F493" s="11"/>
      <c r="G493" s="24"/>
      <c r="H493" s="25" t="str">
        <f aca="false">IF(G493="","",IFERROR(INDEX(Log!$D:$D,MATCH(G493,Log!$A:$A,0)),"ID não encontrado no Log"))</f>
        <v/>
      </c>
      <c r="I493" s="23"/>
      <c r="J493" s="11"/>
    </row>
    <row r="494" customFormat="false" ht="15" hidden="false" customHeight="false" outlineLevel="0" collapsed="false">
      <c r="A494" s="22"/>
      <c r="B494" s="11"/>
      <c r="C494" s="11"/>
      <c r="D494" s="23"/>
      <c r="E494" s="23"/>
      <c r="F494" s="11"/>
      <c r="G494" s="24"/>
      <c r="H494" s="25" t="str">
        <f aca="false">IF(G494="","",IFERROR(INDEX(Log!$D:$D,MATCH(G494,Log!$A:$A,0)),"ID não encontrado no Log"))</f>
        <v/>
      </c>
      <c r="I494" s="23"/>
      <c r="J494" s="11"/>
    </row>
    <row r="495" customFormat="false" ht="15" hidden="false" customHeight="false" outlineLevel="0" collapsed="false">
      <c r="A495" s="22"/>
      <c r="B495" s="11"/>
      <c r="C495" s="11"/>
      <c r="D495" s="23"/>
      <c r="E495" s="23"/>
      <c r="F495" s="11"/>
      <c r="G495" s="24"/>
      <c r="H495" s="25" t="str">
        <f aca="false">IF(G495="","",IFERROR(INDEX(Log!$D:$D,MATCH(G495,Log!$A:$A,0)),"ID não encontrado no Log"))</f>
        <v/>
      </c>
      <c r="I495" s="23"/>
      <c r="J495" s="11"/>
    </row>
    <row r="496" customFormat="false" ht="15" hidden="false" customHeight="false" outlineLevel="0" collapsed="false">
      <c r="A496" s="22"/>
      <c r="B496" s="11"/>
      <c r="C496" s="11"/>
      <c r="D496" s="23"/>
      <c r="E496" s="23"/>
      <c r="F496" s="11"/>
      <c r="G496" s="24"/>
      <c r="H496" s="25" t="str">
        <f aca="false">IF(G496="","",IFERROR(INDEX(Log!$D:$D,MATCH(G496,Log!$A:$A,0)),"ID não encontrado no Log"))</f>
        <v/>
      </c>
      <c r="I496" s="23"/>
      <c r="J496" s="11"/>
    </row>
    <row r="497" customFormat="false" ht="15" hidden="false" customHeight="false" outlineLevel="0" collapsed="false">
      <c r="A497" s="22"/>
      <c r="B497" s="11"/>
      <c r="C497" s="11"/>
      <c r="D497" s="23"/>
      <c r="E497" s="23"/>
      <c r="F497" s="11"/>
      <c r="G497" s="24"/>
      <c r="H497" s="25" t="str">
        <f aca="false">IF(G497="","",IFERROR(INDEX(Log!$D:$D,MATCH(G497,Log!$A:$A,0)),"ID não encontrado no Log"))</f>
        <v/>
      </c>
      <c r="I497" s="23"/>
      <c r="J497" s="11"/>
    </row>
    <row r="498" customFormat="false" ht="15" hidden="false" customHeight="false" outlineLevel="0" collapsed="false">
      <c r="A498" s="22"/>
      <c r="B498" s="11"/>
      <c r="C498" s="11"/>
      <c r="D498" s="23"/>
      <c r="E498" s="23"/>
      <c r="F498" s="11"/>
      <c r="G498" s="24"/>
      <c r="H498" s="25" t="str">
        <f aca="false">IF(G498="","",IFERROR(INDEX(Log!$D:$D,MATCH(G498,Log!$A:$A,0)),"ID não encontrado no Log"))</f>
        <v/>
      </c>
      <c r="I498" s="23"/>
      <c r="J498" s="11"/>
    </row>
    <row r="499" customFormat="false" ht="15" hidden="false" customHeight="false" outlineLevel="0" collapsed="false">
      <c r="A499" s="22"/>
      <c r="B499" s="11"/>
      <c r="C499" s="11"/>
      <c r="D499" s="23"/>
      <c r="E499" s="23"/>
      <c r="F499" s="11"/>
      <c r="G499" s="24"/>
      <c r="H499" s="25" t="str">
        <f aca="false">IF(G499="","",IFERROR(INDEX(Log!$D:$D,MATCH(G499,Log!$A:$A,0)),"ID não encontrado no Log"))</f>
        <v/>
      </c>
      <c r="I499" s="23"/>
      <c r="J499" s="11"/>
    </row>
    <row r="500" customFormat="false" ht="15" hidden="false" customHeight="false" outlineLevel="0" collapsed="false">
      <c r="A500" s="22"/>
      <c r="B500" s="11"/>
      <c r="C500" s="11"/>
      <c r="D500" s="23"/>
      <c r="E500" s="23"/>
      <c r="F500" s="11"/>
      <c r="G500" s="24"/>
      <c r="H500" s="25" t="str">
        <f aca="false">IF(G500="","",IFERROR(INDEX(Log!$D:$D,MATCH(G500,Log!$A:$A,0)),"ID não encontrado no Log"))</f>
        <v/>
      </c>
      <c r="I500" s="23"/>
      <c r="J500" s="11"/>
    </row>
    <row r="501" customFormat="false" ht="15" hidden="false" customHeight="false" outlineLevel="0" collapsed="false">
      <c r="A501" s="22"/>
      <c r="B501" s="11"/>
      <c r="C501" s="11"/>
      <c r="D501" s="23"/>
      <c r="E501" s="23"/>
      <c r="F501" s="11"/>
      <c r="G501" s="24"/>
      <c r="H501" s="25" t="str">
        <f aca="false">IF(G501="","",IFERROR(INDEX(Log!$D:$D,MATCH(G501,Log!$A:$A,0)),"ID não encontrado no Log"))</f>
        <v/>
      </c>
      <c r="I501" s="23"/>
      <c r="J501" s="11"/>
    </row>
    <row r="502" customFormat="false" ht="15" hidden="false" customHeight="false" outlineLevel="0" collapsed="false">
      <c r="A502" s="22"/>
      <c r="B502" s="11"/>
      <c r="C502" s="11"/>
      <c r="D502" s="23"/>
      <c r="E502" s="23"/>
      <c r="F502" s="11"/>
      <c r="G502" s="24"/>
      <c r="H502" s="25" t="str">
        <f aca="false">IF(G502="","",IFERROR(INDEX(Log!$D:$D,MATCH(G502,Log!$A:$A,0)),"ID não encontrado no Log"))</f>
        <v/>
      </c>
      <c r="I502" s="23"/>
      <c r="J502" s="11"/>
    </row>
    <row r="503" customFormat="false" ht="15" hidden="false" customHeight="false" outlineLevel="0" collapsed="false">
      <c r="A503" s="22"/>
      <c r="B503" s="11"/>
      <c r="C503" s="11"/>
      <c r="D503" s="23"/>
      <c r="E503" s="23"/>
      <c r="F503" s="11"/>
      <c r="G503" s="24"/>
      <c r="H503" s="25" t="str">
        <f aca="false">IF(G503="","",IFERROR(INDEX(Log!$D:$D,MATCH(G503,Log!$A:$A,0)),"ID não encontrado no Log"))</f>
        <v/>
      </c>
      <c r="I503" s="23"/>
      <c r="J503" s="11"/>
    </row>
    <row r="504" customFormat="false" ht="15" hidden="false" customHeight="false" outlineLevel="0" collapsed="false">
      <c r="A504" s="22"/>
      <c r="B504" s="11"/>
      <c r="C504" s="11"/>
      <c r="D504" s="23"/>
      <c r="E504" s="23"/>
      <c r="F504" s="11"/>
      <c r="G504" s="24"/>
      <c r="H504" s="25" t="str">
        <f aca="false">IF(G504="","",IFERROR(INDEX(Log!$D:$D,MATCH(G504,Log!$A:$A,0)),"ID não encontrado no Log"))</f>
        <v/>
      </c>
      <c r="I504" s="23"/>
      <c r="J504" s="11"/>
    </row>
  </sheetData>
  <autoFilter ref="A4:J504"/>
  <conditionalFormatting sqref="H5:H504">
    <cfRule type="expression" priority="2" aboveAverage="0" equalAverage="0" bottom="0" percent="0" rank="0" text="" dxfId="6">
      <formula>ISNUMBER(SEARCH("não encontrado",H5))</formula>
    </cfRule>
  </conditionalFormatting>
  <dataValidations count="2">
    <dataValidation allowBlank="true" error="Escolha uma opção da lista (as opções estão na aba Listas)." errorStyle="stop" errorTitle="Valor fora da lista" operator="between" showDropDown="false" showErrorMessage="false" showInputMessage="false" sqref="D5:D504" type="list">
      <formula1>Listas!$B$4:$B$13</formula1>
      <formula2>0</formula2>
    </dataValidation>
    <dataValidation allowBlank="true" error="Escolha uma opção da lista (as opções estão na aba Listas)." errorStyle="stop" errorTitle="Valor fora da lista" operator="between" showDropDown="false" showErrorMessage="true" showInputMessage="false" sqref="E5:E504" type="list">
      <formula1>Listas!$C$4:$C$6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44"/>
    <col collapsed="false" customWidth="true" hidden="false" outlineLevel="0" max="6" min="5" style="0" width="30"/>
    <col collapsed="false" customWidth="true" hidden="false" outlineLevel="0" max="7" min="7" style="0" width="22"/>
    <col collapsed="false" customWidth="true" hidden="false" outlineLevel="0" max="8" min="8" style="0" width="30"/>
    <col collapsed="false" customWidth="true" hidden="false" outlineLevel="0" max="9" min="9" style="0" width="26"/>
    <col collapsed="false" customWidth="true" hidden="false" outlineLevel="0" max="10" min="10" style="0" width="12"/>
    <col collapsed="false" customWidth="true" hidden="false" outlineLevel="0" max="11" min="11" style="0" width="24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4" t="s">
        <v>114</v>
      </c>
    </row>
    <row r="2" customFormat="false" ht="15" hidden="false" customHeight="false" outlineLevel="0" collapsed="false">
      <c r="A2" s="15" t="s">
        <v>115</v>
      </c>
    </row>
    <row r="3" customFormat="false" ht="15" hidden="false" customHeight="false" outlineLevel="0" collapsed="false">
      <c r="A3" s="15" t="s">
        <v>64</v>
      </c>
    </row>
    <row r="4" customFormat="false" ht="48" hidden="false" customHeight="true" outlineLevel="0" collapsed="false">
      <c r="A4" s="9" t="s">
        <v>116</v>
      </c>
      <c r="B4" s="9" t="s">
        <v>117</v>
      </c>
      <c r="C4" s="9" t="s">
        <v>68</v>
      </c>
      <c r="D4" s="9" t="s">
        <v>118</v>
      </c>
      <c r="E4" s="9" t="s">
        <v>119</v>
      </c>
      <c r="F4" s="9" t="s">
        <v>120</v>
      </c>
      <c r="G4" s="9" t="s">
        <v>121</v>
      </c>
      <c r="H4" s="9" t="s">
        <v>122</v>
      </c>
      <c r="I4" s="9" t="s">
        <v>123</v>
      </c>
      <c r="J4" s="16" t="s">
        <v>124</v>
      </c>
      <c r="K4" s="16" t="s">
        <v>125</v>
      </c>
      <c r="L4" s="9" t="s">
        <v>74</v>
      </c>
    </row>
    <row r="5" customFormat="false" ht="23.85" hidden="false" customHeight="false" outlineLevel="0" collapsed="false">
      <c r="A5" s="20" t="s">
        <v>91</v>
      </c>
      <c r="B5" s="17" t="n">
        <v>46266</v>
      </c>
      <c r="C5" s="19" t="s">
        <v>126</v>
      </c>
      <c r="D5" s="18" t="s">
        <v>127</v>
      </c>
      <c r="E5" s="18" t="s">
        <v>128</v>
      </c>
      <c r="F5" s="19" t="s">
        <v>129</v>
      </c>
      <c r="G5" s="20"/>
      <c r="H5" s="20"/>
      <c r="I5" s="19"/>
      <c r="J5" s="26" t="n">
        <f aca="false">IF(A5="","",COUNTIF('Linha do tempo'!$G:$G,A5))</f>
        <v>1</v>
      </c>
      <c r="K5" s="21" t="str">
        <f aca="false">IF(A5="","",TRIM(IF(COUNTIF($A:$A,A5)&gt;1,"ID repetido. ","")&amp;IF(AND(H5&lt;&gt;"",LEN(TRIM(H5))&lt;&gt;64),"Hash deve ter 64 caracteres.","")))</f>
        <v/>
      </c>
      <c r="L5" s="18" t="s">
        <v>81</v>
      </c>
    </row>
    <row r="6" customFormat="false" ht="23.85" hidden="false" customHeight="false" outlineLevel="0" collapsed="false">
      <c r="A6" s="20" t="s">
        <v>86</v>
      </c>
      <c r="B6" s="17" t="n">
        <v>46266</v>
      </c>
      <c r="C6" s="19" t="s">
        <v>130</v>
      </c>
      <c r="D6" s="18" t="s">
        <v>131</v>
      </c>
      <c r="E6" s="18" t="s">
        <v>132</v>
      </c>
      <c r="F6" s="19"/>
      <c r="G6" s="20"/>
      <c r="H6" s="20" t="s">
        <v>133</v>
      </c>
      <c r="I6" s="19"/>
      <c r="J6" s="26" t="n">
        <f aca="false">IF(A6="","",COUNTIF('Linha do tempo'!$G:$G,A6))</f>
        <v>1</v>
      </c>
      <c r="K6" s="21" t="str">
        <f aca="false">IF(A6="","",TRIM(IF(COUNTIF($A:$A,A6)&gt;1,"ID repetido. ","")&amp;IF(AND(H6&lt;&gt;"",LEN(TRIM(H6))&lt;&gt;64),"Hash deve ter 64 caracteres.","")))</f>
        <v/>
      </c>
      <c r="L6" s="18" t="s">
        <v>81</v>
      </c>
    </row>
    <row r="7" customFormat="false" ht="15" hidden="false" customHeight="false" outlineLevel="0" collapsed="false">
      <c r="A7" s="20" t="s">
        <v>100</v>
      </c>
      <c r="B7" s="17" t="n">
        <v>46267</v>
      </c>
      <c r="C7" s="19" t="s">
        <v>130</v>
      </c>
      <c r="D7" s="18" t="s">
        <v>134</v>
      </c>
      <c r="E7" s="18" t="s">
        <v>135</v>
      </c>
      <c r="F7" s="19" t="s">
        <v>136</v>
      </c>
      <c r="G7" s="20"/>
      <c r="H7" s="20" t="s">
        <v>137</v>
      </c>
      <c r="I7" s="19"/>
      <c r="J7" s="26" t="n">
        <f aca="false">IF(A7="","",COUNTIF('Linha do tempo'!$G:$G,A7))</f>
        <v>1</v>
      </c>
      <c r="K7" s="21" t="str">
        <f aca="false">IF(A7="","",TRIM(IF(COUNTIF($A:$A,A7)&gt;1,"ID repetido. ","")&amp;IF(AND(H7&lt;&gt;"",LEN(TRIM(H7))&lt;&gt;64),"Hash deve ter 64 caracteres.","")))</f>
        <v/>
      </c>
      <c r="L7" s="18" t="s">
        <v>81</v>
      </c>
    </row>
    <row r="8" customFormat="false" ht="23.85" hidden="false" customHeight="false" outlineLevel="0" collapsed="false">
      <c r="A8" s="20" t="s">
        <v>104</v>
      </c>
      <c r="B8" s="17" t="n">
        <v>46267</v>
      </c>
      <c r="C8" s="19" t="s">
        <v>126</v>
      </c>
      <c r="D8" s="18" t="s">
        <v>138</v>
      </c>
      <c r="E8" s="18" t="s">
        <v>139</v>
      </c>
      <c r="F8" s="19"/>
      <c r="G8" s="20"/>
      <c r="H8" s="20"/>
      <c r="I8" s="19"/>
      <c r="J8" s="26" t="n">
        <f aca="false">IF(A8="","",COUNTIF('Linha do tempo'!$G:$G,A8))</f>
        <v>1</v>
      </c>
      <c r="K8" s="21" t="str">
        <f aca="false">IF(A8="","",TRIM(IF(COUNTIF($A:$A,A8)&gt;1,"ID repetido. ","")&amp;IF(AND(H8&lt;&gt;"",LEN(TRIM(H8))&lt;&gt;64),"Hash deve ter 64 caracteres.","")))</f>
        <v/>
      </c>
      <c r="L8" s="18" t="s">
        <v>81</v>
      </c>
    </row>
    <row r="9" customFormat="false" ht="15" hidden="false" customHeight="false" outlineLevel="0" collapsed="false">
      <c r="A9" s="20" t="s">
        <v>140</v>
      </c>
      <c r="B9" s="17" t="n">
        <v>46267</v>
      </c>
      <c r="C9" s="19" t="s">
        <v>126</v>
      </c>
      <c r="D9" s="18" t="s">
        <v>141</v>
      </c>
      <c r="E9" s="18" t="s">
        <v>142</v>
      </c>
      <c r="F9" s="19" t="s">
        <v>143</v>
      </c>
      <c r="G9" s="20"/>
      <c r="H9" s="20"/>
      <c r="I9" s="19"/>
      <c r="J9" s="26" t="n">
        <f aca="false">IF(A9="","",COUNTIF('Linha do tempo'!$G:$G,A9))</f>
        <v>0</v>
      </c>
      <c r="K9" s="21" t="str">
        <f aca="false">IF(A9="","",TRIM(IF(COUNTIF($A:$A,A9)&gt;1,"ID repetido. ","")&amp;IF(AND(H9&lt;&gt;"",LEN(TRIM(H9))&lt;&gt;64),"Hash deve ter 64 caracteres.","")))</f>
        <v/>
      </c>
      <c r="L9" s="18" t="s">
        <v>81</v>
      </c>
    </row>
    <row r="10" customFormat="false" ht="15" hidden="false" customHeight="false" outlineLevel="0" collapsed="false">
      <c r="A10" s="20" t="s">
        <v>80</v>
      </c>
      <c r="B10" s="17" t="n">
        <v>46268</v>
      </c>
      <c r="C10" s="19" t="s">
        <v>126</v>
      </c>
      <c r="D10" s="18" t="s">
        <v>144</v>
      </c>
      <c r="E10" s="18" t="s">
        <v>145</v>
      </c>
      <c r="F10" s="19" t="s">
        <v>146</v>
      </c>
      <c r="G10" s="20"/>
      <c r="H10" s="20"/>
      <c r="I10" s="19"/>
      <c r="J10" s="26" t="n">
        <f aca="false">IF(A10="","",COUNTIF('Linha do tempo'!$G:$G,A10))</f>
        <v>1</v>
      </c>
      <c r="K10" s="21" t="str">
        <f aca="false">IF(A10="","",TRIM(IF(COUNTIF($A:$A,A10)&gt;1,"ID repetido. ","")&amp;IF(AND(H10&lt;&gt;"",LEN(TRIM(H10))&lt;&gt;64),"Hash deve ter 64 caracteres.","")))</f>
        <v/>
      </c>
      <c r="L10" s="18" t="s">
        <v>81</v>
      </c>
    </row>
    <row r="11" customFormat="false" ht="23.85" hidden="false" customHeight="false" outlineLevel="0" collapsed="false">
      <c r="A11" s="20" t="s">
        <v>108</v>
      </c>
      <c r="B11" s="17" t="n">
        <v>46268</v>
      </c>
      <c r="C11" s="19" t="s">
        <v>130</v>
      </c>
      <c r="D11" s="18" t="s">
        <v>147</v>
      </c>
      <c r="E11" s="18" t="s">
        <v>148</v>
      </c>
      <c r="F11" s="19"/>
      <c r="G11" s="20"/>
      <c r="H11" s="20" t="s">
        <v>149</v>
      </c>
      <c r="I11" s="19"/>
      <c r="J11" s="26" t="n">
        <f aca="false">IF(A11="","",COUNTIF('Linha do tempo'!$G:$G,A11))</f>
        <v>1</v>
      </c>
      <c r="K11" s="21" t="str">
        <f aca="false">IF(A11="","",TRIM(IF(COUNTIF($A:$A,A11)&gt;1,"ID repetido. ","")&amp;IF(AND(H11&lt;&gt;"",LEN(TRIM(H11))&lt;&gt;64),"Hash deve ter 64 caracteres.","")))</f>
        <v/>
      </c>
      <c r="L11" s="18" t="s">
        <v>81</v>
      </c>
    </row>
    <row r="12" customFormat="false" ht="23.85" hidden="false" customHeight="false" outlineLevel="0" collapsed="false">
      <c r="A12" s="20" t="s">
        <v>150</v>
      </c>
      <c r="B12" s="17" t="n">
        <v>46267</v>
      </c>
      <c r="C12" s="19" t="s">
        <v>151</v>
      </c>
      <c r="D12" s="18" t="s">
        <v>152</v>
      </c>
      <c r="E12" s="18" t="s">
        <v>153</v>
      </c>
      <c r="F12" s="19"/>
      <c r="G12" s="20" t="s">
        <v>154</v>
      </c>
      <c r="H12" s="20"/>
      <c r="I12" s="19"/>
      <c r="J12" s="26" t="n">
        <f aca="false">IF(A12="","",COUNTIF('Linha do tempo'!$G:$G,A12))</f>
        <v>0</v>
      </c>
      <c r="K12" s="21" t="str">
        <f aca="false">IF(A12="","",TRIM(IF(COUNTIF($A:$A,A12)&gt;1,"ID repetido. ","")&amp;IF(AND(H12&lt;&gt;"",LEN(TRIM(H12))&lt;&gt;64),"Hash deve ter 64 caracteres.","")))</f>
        <v/>
      </c>
      <c r="L12" s="18" t="s">
        <v>81</v>
      </c>
    </row>
    <row r="13" customFormat="false" ht="15" hidden="false" customHeight="false" outlineLevel="0" collapsed="false">
      <c r="A13" s="20" t="s">
        <v>155</v>
      </c>
      <c r="B13" s="17" t="n">
        <v>46254</v>
      </c>
      <c r="C13" s="19" t="s">
        <v>151</v>
      </c>
      <c r="D13" s="18" t="s">
        <v>156</v>
      </c>
      <c r="E13" s="18" t="s">
        <v>157</v>
      </c>
      <c r="F13" s="19"/>
      <c r="G13" s="20" t="s">
        <v>158</v>
      </c>
      <c r="H13" s="20"/>
      <c r="I13" s="19"/>
      <c r="J13" s="26" t="n">
        <f aca="false">IF(A13="","",COUNTIF('Linha do tempo'!$G:$G,A13))</f>
        <v>0</v>
      </c>
      <c r="K13" s="21" t="str">
        <f aca="false">IF(A13="","",TRIM(IF(COUNTIF($A:$A,A13)&gt;1,"ID repetido. ","")&amp;IF(AND(H13&lt;&gt;"",LEN(TRIM(H13))&lt;&gt;64),"Hash deve ter 64 caracteres.","")))</f>
        <v/>
      </c>
      <c r="L13" s="18" t="s">
        <v>81</v>
      </c>
    </row>
    <row r="14" customFormat="false" ht="23.85" hidden="false" customHeight="false" outlineLevel="0" collapsed="false">
      <c r="A14" s="20" t="s">
        <v>159</v>
      </c>
      <c r="B14" s="17" t="n">
        <v>46283</v>
      </c>
      <c r="C14" s="19" t="s">
        <v>160</v>
      </c>
      <c r="D14" s="18" t="s">
        <v>161</v>
      </c>
      <c r="E14" s="18" t="s">
        <v>157</v>
      </c>
      <c r="F14" s="19"/>
      <c r="G14" s="20" t="s">
        <v>158</v>
      </c>
      <c r="H14" s="20" t="s">
        <v>162</v>
      </c>
      <c r="I14" s="19"/>
      <c r="J14" s="26" t="n">
        <f aca="false">IF(A14="","",COUNTIF('Linha do tempo'!$G:$G,A14))</f>
        <v>0</v>
      </c>
      <c r="K14" s="21" t="str">
        <f aca="false">IF(A14="","",TRIM(IF(COUNTIF($A:$A,A14)&gt;1,"ID repetido. ","")&amp;IF(AND(H14&lt;&gt;"",LEN(TRIM(H14))&lt;&gt;64),"Hash deve ter 64 caracteres.","")))</f>
        <v/>
      </c>
      <c r="L14" s="18" t="s">
        <v>81</v>
      </c>
    </row>
    <row r="15" customFormat="false" ht="15" hidden="false" customHeight="false" outlineLevel="0" collapsed="false">
      <c r="A15" s="20" t="s">
        <v>96</v>
      </c>
      <c r="B15" s="17" t="n">
        <v>46275</v>
      </c>
      <c r="C15" s="19" t="s">
        <v>163</v>
      </c>
      <c r="D15" s="18" t="s">
        <v>164</v>
      </c>
      <c r="E15" s="18" t="s">
        <v>165</v>
      </c>
      <c r="F15" s="19" t="s">
        <v>166</v>
      </c>
      <c r="G15" s="20"/>
      <c r="H15" s="20"/>
      <c r="I15" s="19"/>
      <c r="J15" s="26" t="n">
        <f aca="false">IF(A15="","",COUNTIF('Linha do tempo'!$G:$G,A15))</f>
        <v>1</v>
      </c>
      <c r="K15" s="21" t="str">
        <f aca="false">IF(A15="","",TRIM(IF(COUNTIF($A:$A,A15)&gt;1,"ID repetido. ","")&amp;IF(AND(H15&lt;&gt;"",LEN(TRIM(H15))&lt;&gt;64),"Hash deve ter 64 caracteres.","")))</f>
        <v/>
      </c>
      <c r="L15" s="18" t="s">
        <v>81</v>
      </c>
    </row>
    <row r="16" customFormat="false" ht="23.85" hidden="false" customHeight="false" outlineLevel="0" collapsed="false">
      <c r="A16" s="20" t="s">
        <v>113</v>
      </c>
      <c r="B16" s="17" t="n">
        <v>46289</v>
      </c>
      <c r="C16" s="19" t="s">
        <v>167</v>
      </c>
      <c r="D16" s="18" t="s">
        <v>168</v>
      </c>
      <c r="E16" s="18" t="s">
        <v>169</v>
      </c>
      <c r="F16" s="19"/>
      <c r="G16" s="20"/>
      <c r="H16" s="20"/>
      <c r="I16" s="19"/>
      <c r="J16" s="26" t="n">
        <f aca="false">IF(A16="","",COUNTIF('Linha do tempo'!$G:$G,A16))</f>
        <v>1</v>
      </c>
      <c r="K16" s="21" t="str">
        <f aca="false">IF(A16="","",TRIM(IF(COUNTIF($A:$A,A16)&gt;1,"ID repetido. ","")&amp;IF(AND(H16&lt;&gt;"",LEN(TRIM(H16))&lt;&gt;64),"Hash deve ter 64 caracteres.","")))</f>
        <v/>
      </c>
      <c r="L16" s="18" t="s">
        <v>81</v>
      </c>
    </row>
    <row r="17" customFormat="false" ht="15" hidden="false" customHeight="false" outlineLevel="0" collapsed="false">
      <c r="A17" s="20" t="s">
        <v>170</v>
      </c>
      <c r="B17" s="17" t="n">
        <v>46269</v>
      </c>
      <c r="C17" s="19" t="s">
        <v>130</v>
      </c>
      <c r="D17" s="18" t="s">
        <v>171</v>
      </c>
      <c r="E17" s="18" t="s">
        <v>172</v>
      </c>
      <c r="F17" s="19"/>
      <c r="G17" s="20"/>
      <c r="H17" s="20" t="s">
        <v>173</v>
      </c>
      <c r="I17" s="19"/>
      <c r="J17" s="26" t="n">
        <f aca="false">IF(A17="","",COUNTIF('Linha do tempo'!$G:$G,A17))</f>
        <v>0</v>
      </c>
      <c r="K17" s="21" t="str">
        <f aca="false">IF(A17="","",TRIM(IF(COUNTIF($A:$A,A17)&gt;1,"ID repetido. ","")&amp;IF(AND(H17&lt;&gt;"",LEN(TRIM(H17))&lt;&gt;64),"Hash deve ter 64 caracteres.","")))</f>
        <v/>
      </c>
      <c r="L17" s="18" t="s">
        <v>81</v>
      </c>
    </row>
    <row r="18" customFormat="false" ht="15" hidden="false" customHeight="false" outlineLevel="0" collapsed="false">
      <c r="A18" s="24"/>
      <c r="B18" s="22"/>
      <c r="C18" s="23"/>
      <c r="D18" s="11"/>
      <c r="E18" s="11"/>
      <c r="F18" s="23"/>
      <c r="G18" s="24"/>
      <c r="H18" s="24"/>
      <c r="I18" s="23"/>
      <c r="J18" s="27" t="str">
        <f aca="false">IF(A18="","",COUNTIF('Linha do tempo'!$G:$G,A18))</f>
        <v/>
      </c>
      <c r="K18" s="25" t="str">
        <f aca="false">IF(A18="","",TRIM(IF(COUNTIF($A:$A,A18)&gt;1,"ID repetido. ","")&amp;IF(AND(H18&lt;&gt;"",LEN(TRIM(H18))&lt;&gt;64),"Hash deve ter 64 caracteres.","")))</f>
        <v/>
      </c>
      <c r="L18" s="11"/>
    </row>
    <row r="19" customFormat="false" ht="15" hidden="false" customHeight="false" outlineLevel="0" collapsed="false">
      <c r="A19" s="24"/>
      <c r="B19" s="22"/>
      <c r="C19" s="23"/>
      <c r="D19" s="11"/>
      <c r="E19" s="11"/>
      <c r="F19" s="23"/>
      <c r="G19" s="24"/>
      <c r="H19" s="24"/>
      <c r="I19" s="23"/>
      <c r="J19" s="27" t="str">
        <f aca="false">IF(A19="","",COUNTIF('Linha do tempo'!$G:$G,A19))</f>
        <v/>
      </c>
      <c r="K19" s="25" t="str">
        <f aca="false">IF(A19="","",TRIM(IF(COUNTIF($A:$A,A19)&gt;1,"ID repetido. ","")&amp;IF(AND(H19&lt;&gt;"",LEN(TRIM(H19))&lt;&gt;64),"Hash deve ter 64 caracteres.","")))</f>
        <v/>
      </c>
      <c r="L19" s="11"/>
    </row>
    <row r="20" customFormat="false" ht="15" hidden="false" customHeight="false" outlineLevel="0" collapsed="false">
      <c r="A20" s="24"/>
      <c r="B20" s="22"/>
      <c r="C20" s="23"/>
      <c r="D20" s="11"/>
      <c r="E20" s="11"/>
      <c r="F20" s="23"/>
      <c r="G20" s="24"/>
      <c r="H20" s="24"/>
      <c r="I20" s="23"/>
      <c r="J20" s="27" t="str">
        <f aca="false">IF(A20="","",COUNTIF('Linha do tempo'!$G:$G,A20))</f>
        <v/>
      </c>
      <c r="K20" s="25" t="str">
        <f aca="false">IF(A20="","",TRIM(IF(COUNTIF($A:$A,A20)&gt;1,"ID repetido. ","")&amp;IF(AND(H20&lt;&gt;"",LEN(TRIM(H20))&lt;&gt;64),"Hash deve ter 64 caracteres.","")))</f>
        <v/>
      </c>
      <c r="L20" s="11"/>
    </row>
    <row r="21" customFormat="false" ht="15" hidden="false" customHeight="false" outlineLevel="0" collapsed="false">
      <c r="A21" s="24"/>
      <c r="B21" s="22"/>
      <c r="C21" s="23"/>
      <c r="D21" s="11"/>
      <c r="E21" s="11"/>
      <c r="F21" s="23"/>
      <c r="G21" s="24"/>
      <c r="H21" s="24"/>
      <c r="I21" s="23"/>
      <c r="J21" s="27" t="str">
        <f aca="false">IF(A21="","",COUNTIF('Linha do tempo'!$G:$G,A21))</f>
        <v/>
      </c>
      <c r="K21" s="25" t="str">
        <f aca="false">IF(A21="","",TRIM(IF(COUNTIF($A:$A,A21)&gt;1,"ID repetido. ","")&amp;IF(AND(H21&lt;&gt;"",LEN(TRIM(H21))&lt;&gt;64),"Hash deve ter 64 caracteres.","")))</f>
        <v/>
      </c>
      <c r="L21" s="11"/>
    </row>
    <row r="22" customFormat="false" ht="15" hidden="false" customHeight="false" outlineLevel="0" collapsed="false">
      <c r="A22" s="24"/>
      <c r="B22" s="22"/>
      <c r="C22" s="23"/>
      <c r="D22" s="11"/>
      <c r="E22" s="11"/>
      <c r="F22" s="23"/>
      <c r="G22" s="24"/>
      <c r="H22" s="24"/>
      <c r="I22" s="23"/>
      <c r="J22" s="27" t="str">
        <f aca="false">IF(A22="","",COUNTIF('Linha do tempo'!$G:$G,A22))</f>
        <v/>
      </c>
      <c r="K22" s="25" t="str">
        <f aca="false">IF(A22="","",TRIM(IF(COUNTIF($A:$A,A22)&gt;1,"ID repetido. ","")&amp;IF(AND(H22&lt;&gt;"",LEN(TRIM(H22))&lt;&gt;64),"Hash deve ter 64 caracteres.","")))</f>
        <v/>
      </c>
      <c r="L22" s="11"/>
    </row>
    <row r="23" customFormat="false" ht="15" hidden="false" customHeight="false" outlineLevel="0" collapsed="false">
      <c r="A23" s="24"/>
      <c r="B23" s="22"/>
      <c r="C23" s="23"/>
      <c r="D23" s="11"/>
      <c r="E23" s="11"/>
      <c r="F23" s="23"/>
      <c r="G23" s="24"/>
      <c r="H23" s="24"/>
      <c r="I23" s="23"/>
      <c r="J23" s="27" t="str">
        <f aca="false">IF(A23="","",COUNTIF('Linha do tempo'!$G:$G,A23))</f>
        <v/>
      </c>
      <c r="K23" s="25" t="str">
        <f aca="false">IF(A23="","",TRIM(IF(COUNTIF($A:$A,A23)&gt;1,"ID repetido. ","")&amp;IF(AND(H23&lt;&gt;"",LEN(TRIM(H23))&lt;&gt;64),"Hash deve ter 64 caracteres.","")))</f>
        <v/>
      </c>
      <c r="L23" s="11"/>
    </row>
    <row r="24" customFormat="false" ht="15" hidden="false" customHeight="false" outlineLevel="0" collapsed="false">
      <c r="A24" s="24"/>
      <c r="B24" s="22"/>
      <c r="C24" s="23"/>
      <c r="D24" s="11"/>
      <c r="E24" s="11"/>
      <c r="F24" s="23"/>
      <c r="G24" s="24"/>
      <c r="H24" s="24"/>
      <c r="I24" s="23"/>
      <c r="J24" s="27" t="str">
        <f aca="false">IF(A24="","",COUNTIF('Linha do tempo'!$G:$G,A24))</f>
        <v/>
      </c>
      <c r="K24" s="25" t="str">
        <f aca="false">IF(A24="","",TRIM(IF(COUNTIF($A:$A,A24)&gt;1,"ID repetido. ","")&amp;IF(AND(H24&lt;&gt;"",LEN(TRIM(H24))&lt;&gt;64),"Hash deve ter 64 caracteres.","")))</f>
        <v/>
      </c>
      <c r="L24" s="11"/>
    </row>
    <row r="25" customFormat="false" ht="15" hidden="false" customHeight="false" outlineLevel="0" collapsed="false">
      <c r="A25" s="24"/>
      <c r="B25" s="22"/>
      <c r="C25" s="23"/>
      <c r="D25" s="11"/>
      <c r="E25" s="11"/>
      <c r="F25" s="23"/>
      <c r="G25" s="24"/>
      <c r="H25" s="24"/>
      <c r="I25" s="23"/>
      <c r="J25" s="27" t="str">
        <f aca="false">IF(A25="","",COUNTIF('Linha do tempo'!$G:$G,A25))</f>
        <v/>
      </c>
      <c r="K25" s="25" t="str">
        <f aca="false">IF(A25="","",TRIM(IF(COUNTIF($A:$A,A25)&gt;1,"ID repetido. ","")&amp;IF(AND(H25&lt;&gt;"",LEN(TRIM(H25))&lt;&gt;64),"Hash deve ter 64 caracteres.","")))</f>
        <v/>
      </c>
      <c r="L25" s="11"/>
    </row>
    <row r="26" customFormat="false" ht="15" hidden="false" customHeight="false" outlineLevel="0" collapsed="false">
      <c r="A26" s="24"/>
      <c r="B26" s="22"/>
      <c r="C26" s="23"/>
      <c r="D26" s="11"/>
      <c r="E26" s="11"/>
      <c r="F26" s="23"/>
      <c r="G26" s="24"/>
      <c r="H26" s="24"/>
      <c r="I26" s="23"/>
      <c r="J26" s="27" t="str">
        <f aca="false">IF(A26="","",COUNTIF('Linha do tempo'!$G:$G,A26))</f>
        <v/>
      </c>
      <c r="K26" s="25" t="str">
        <f aca="false">IF(A26="","",TRIM(IF(COUNTIF($A:$A,A26)&gt;1,"ID repetido. ","")&amp;IF(AND(H26&lt;&gt;"",LEN(TRIM(H26))&lt;&gt;64),"Hash deve ter 64 caracteres.","")))</f>
        <v/>
      </c>
      <c r="L26" s="11"/>
    </row>
    <row r="27" customFormat="false" ht="15" hidden="false" customHeight="false" outlineLevel="0" collapsed="false">
      <c r="A27" s="24"/>
      <c r="B27" s="22"/>
      <c r="C27" s="23"/>
      <c r="D27" s="11"/>
      <c r="E27" s="11"/>
      <c r="F27" s="23"/>
      <c r="G27" s="24"/>
      <c r="H27" s="24"/>
      <c r="I27" s="23"/>
      <c r="J27" s="27" t="str">
        <f aca="false">IF(A27="","",COUNTIF('Linha do tempo'!$G:$G,A27))</f>
        <v/>
      </c>
      <c r="K27" s="25" t="str">
        <f aca="false">IF(A27="","",TRIM(IF(COUNTIF($A:$A,A27)&gt;1,"ID repetido. ","")&amp;IF(AND(H27&lt;&gt;"",LEN(TRIM(H27))&lt;&gt;64),"Hash deve ter 64 caracteres.","")))</f>
        <v/>
      </c>
      <c r="L27" s="11"/>
    </row>
    <row r="28" customFormat="false" ht="15" hidden="false" customHeight="false" outlineLevel="0" collapsed="false">
      <c r="A28" s="24"/>
      <c r="B28" s="22"/>
      <c r="C28" s="23"/>
      <c r="D28" s="11"/>
      <c r="E28" s="11"/>
      <c r="F28" s="23"/>
      <c r="G28" s="24"/>
      <c r="H28" s="24"/>
      <c r="I28" s="23"/>
      <c r="J28" s="27" t="str">
        <f aca="false">IF(A28="","",COUNTIF('Linha do tempo'!$G:$G,A28))</f>
        <v/>
      </c>
      <c r="K28" s="25" t="str">
        <f aca="false">IF(A28="","",TRIM(IF(COUNTIF($A:$A,A28)&gt;1,"ID repetido. ","")&amp;IF(AND(H28&lt;&gt;"",LEN(TRIM(H28))&lt;&gt;64),"Hash deve ter 64 caracteres.","")))</f>
        <v/>
      </c>
      <c r="L28" s="11"/>
    </row>
    <row r="29" customFormat="false" ht="15" hidden="false" customHeight="false" outlineLevel="0" collapsed="false">
      <c r="A29" s="24"/>
      <c r="B29" s="22"/>
      <c r="C29" s="23"/>
      <c r="D29" s="11"/>
      <c r="E29" s="11"/>
      <c r="F29" s="23"/>
      <c r="G29" s="24"/>
      <c r="H29" s="24"/>
      <c r="I29" s="23"/>
      <c r="J29" s="27" t="str">
        <f aca="false">IF(A29="","",COUNTIF('Linha do tempo'!$G:$G,A29))</f>
        <v/>
      </c>
      <c r="K29" s="25" t="str">
        <f aca="false">IF(A29="","",TRIM(IF(COUNTIF($A:$A,A29)&gt;1,"ID repetido. ","")&amp;IF(AND(H29&lt;&gt;"",LEN(TRIM(H29))&lt;&gt;64),"Hash deve ter 64 caracteres.","")))</f>
        <v/>
      </c>
      <c r="L29" s="11"/>
    </row>
    <row r="30" customFormat="false" ht="15" hidden="false" customHeight="false" outlineLevel="0" collapsed="false">
      <c r="A30" s="24"/>
      <c r="B30" s="22"/>
      <c r="C30" s="23"/>
      <c r="D30" s="11"/>
      <c r="E30" s="11"/>
      <c r="F30" s="23"/>
      <c r="G30" s="24"/>
      <c r="H30" s="24"/>
      <c r="I30" s="23"/>
      <c r="J30" s="27" t="str">
        <f aca="false">IF(A30="","",COUNTIF('Linha do tempo'!$G:$G,A30))</f>
        <v/>
      </c>
      <c r="K30" s="25" t="str">
        <f aca="false">IF(A30="","",TRIM(IF(COUNTIF($A:$A,A30)&gt;1,"ID repetido. ","")&amp;IF(AND(H30&lt;&gt;"",LEN(TRIM(H30))&lt;&gt;64),"Hash deve ter 64 caracteres.","")))</f>
        <v/>
      </c>
      <c r="L30" s="11"/>
    </row>
    <row r="31" customFormat="false" ht="15" hidden="false" customHeight="false" outlineLevel="0" collapsed="false">
      <c r="A31" s="24"/>
      <c r="B31" s="22"/>
      <c r="C31" s="23"/>
      <c r="D31" s="11"/>
      <c r="E31" s="11"/>
      <c r="F31" s="23"/>
      <c r="G31" s="24"/>
      <c r="H31" s="24"/>
      <c r="I31" s="23"/>
      <c r="J31" s="27" t="str">
        <f aca="false">IF(A31="","",COUNTIF('Linha do tempo'!$G:$G,A31))</f>
        <v/>
      </c>
      <c r="K31" s="25" t="str">
        <f aca="false">IF(A31="","",TRIM(IF(COUNTIF($A:$A,A31)&gt;1,"ID repetido. ","")&amp;IF(AND(H31&lt;&gt;"",LEN(TRIM(H31))&lt;&gt;64),"Hash deve ter 64 caracteres.","")))</f>
        <v/>
      </c>
      <c r="L31" s="11"/>
    </row>
    <row r="32" customFormat="false" ht="15" hidden="false" customHeight="false" outlineLevel="0" collapsed="false">
      <c r="A32" s="24"/>
      <c r="B32" s="22"/>
      <c r="C32" s="23"/>
      <c r="D32" s="11"/>
      <c r="E32" s="11"/>
      <c r="F32" s="23"/>
      <c r="G32" s="24"/>
      <c r="H32" s="24"/>
      <c r="I32" s="23"/>
      <c r="J32" s="27" t="str">
        <f aca="false">IF(A32="","",COUNTIF('Linha do tempo'!$G:$G,A32))</f>
        <v/>
      </c>
      <c r="K32" s="25" t="str">
        <f aca="false">IF(A32="","",TRIM(IF(COUNTIF($A:$A,A32)&gt;1,"ID repetido. ","")&amp;IF(AND(H32&lt;&gt;"",LEN(TRIM(H32))&lt;&gt;64),"Hash deve ter 64 caracteres.","")))</f>
        <v/>
      </c>
      <c r="L32" s="11"/>
    </row>
    <row r="33" customFormat="false" ht="15" hidden="false" customHeight="false" outlineLevel="0" collapsed="false">
      <c r="A33" s="24"/>
      <c r="B33" s="22"/>
      <c r="C33" s="23"/>
      <c r="D33" s="11"/>
      <c r="E33" s="11"/>
      <c r="F33" s="23"/>
      <c r="G33" s="24"/>
      <c r="H33" s="24"/>
      <c r="I33" s="23"/>
      <c r="J33" s="27" t="str">
        <f aca="false">IF(A33="","",COUNTIF('Linha do tempo'!$G:$G,A33))</f>
        <v/>
      </c>
      <c r="K33" s="25" t="str">
        <f aca="false">IF(A33="","",TRIM(IF(COUNTIF($A:$A,A33)&gt;1,"ID repetido. ","")&amp;IF(AND(H33&lt;&gt;"",LEN(TRIM(H33))&lt;&gt;64),"Hash deve ter 64 caracteres.","")))</f>
        <v/>
      </c>
      <c r="L33" s="11"/>
    </row>
    <row r="34" customFormat="false" ht="15" hidden="false" customHeight="false" outlineLevel="0" collapsed="false">
      <c r="A34" s="24"/>
      <c r="B34" s="22"/>
      <c r="C34" s="23"/>
      <c r="D34" s="11"/>
      <c r="E34" s="11"/>
      <c r="F34" s="23"/>
      <c r="G34" s="24"/>
      <c r="H34" s="24"/>
      <c r="I34" s="23"/>
      <c r="J34" s="27" t="str">
        <f aca="false">IF(A34="","",COUNTIF('Linha do tempo'!$G:$G,A34))</f>
        <v/>
      </c>
      <c r="K34" s="25" t="str">
        <f aca="false">IF(A34="","",TRIM(IF(COUNTIF($A:$A,A34)&gt;1,"ID repetido. ","")&amp;IF(AND(H34&lt;&gt;"",LEN(TRIM(H34))&lt;&gt;64),"Hash deve ter 64 caracteres.","")))</f>
        <v/>
      </c>
      <c r="L34" s="11"/>
    </row>
    <row r="35" customFormat="false" ht="15" hidden="false" customHeight="false" outlineLevel="0" collapsed="false">
      <c r="A35" s="24"/>
      <c r="B35" s="22"/>
      <c r="C35" s="23"/>
      <c r="D35" s="11"/>
      <c r="E35" s="11"/>
      <c r="F35" s="23"/>
      <c r="G35" s="24"/>
      <c r="H35" s="24"/>
      <c r="I35" s="23"/>
      <c r="J35" s="27" t="str">
        <f aca="false">IF(A35="","",COUNTIF('Linha do tempo'!$G:$G,A35))</f>
        <v/>
      </c>
      <c r="K35" s="25" t="str">
        <f aca="false">IF(A35="","",TRIM(IF(COUNTIF($A:$A,A35)&gt;1,"ID repetido. ","")&amp;IF(AND(H35&lt;&gt;"",LEN(TRIM(H35))&lt;&gt;64),"Hash deve ter 64 caracteres.","")))</f>
        <v/>
      </c>
      <c r="L35" s="11"/>
    </row>
    <row r="36" customFormat="false" ht="15" hidden="false" customHeight="false" outlineLevel="0" collapsed="false">
      <c r="A36" s="24"/>
      <c r="B36" s="22"/>
      <c r="C36" s="23"/>
      <c r="D36" s="11"/>
      <c r="E36" s="11"/>
      <c r="F36" s="23"/>
      <c r="G36" s="24"/>
      <c r="H36" s="24"/>
      <c r="I36" s="23"/>
      <c r="J36" s="27" t="str">
        <f aca="false">IF(A36="","",COUNTIF('Linha do tempo'!$G:$G,A36))</f>
        <v/>
      </c>
      <c r="K36" s="25" t="str">
        <f aca="false">IF(A36="","",TRIM(IF(COUNTIF($A:$A,A36)&gt;1,"ID repetido. ","")&amp;IF(AND(H36&lt;&gt;"",LEN(TRIM(H36))&lt;&gt;64),"Hash deve ter 64 caracteres.","")))</f>
        <v/>
      </c>
      <c r="L36" s="11"/>
    </row>
    <row r="37" customFormat="false" ht="15" hidden="false" customHeight="false" outlineLevel="0" collapsed="false">
      <c r="A37" s="24"/>
      <c r="B37" s="22"/>
      <c r="C37" s="23"/>
      <c r="D37" s="11"/>
      <c r="E37" s="11"/>
      <c r="F37" s="23"/>
      <c r="G37" s="24"/>
      <c r="H37" s="24"/>
      <c r="I37" s="23"/>
      <c r="J37" s="27" t="str">
        <f aca="false">IF(A37="","",COUNTIF('Linha do tempo'!$G:$G,A37))</f>
        <v/>
      </c>
      <c r="K37" s="25" t="str">
        <f aca="false">IF(A37="","",TRIM(IF(COUNTIF($A:$A,A37)&gt;1,"ID repetido. ","")&amp;IF(AND(H37&lt;&gt;"",LEN(TRIM(H37))&lt;&gt;64),"Hash deve ter 64 caracteres.","")))</f>
        <v/>
      </c>
      <c r="L37" s="11"/>
    </row>
    <row r="38" customFormat="false" ht="15" hidden="false" customHeight="false" outlineLevel="0" collapsed="false">
      <c r="A38" s="24"/>
      <c r="B38" s="22"/>
      <c r="C38" s="23"/>
      <c r="D38" s="11"/>
      <c r="E38" s="11"/>
      <c r="F38" s="23"/>
      <c r="G38" s="24"/>
      <c r="H38" s="24"/>
      <c r="I38" s="23"/>
      <c r="J38" s="27" t="str">
        <f aca="false">IF(A38="","",COUNTIF('Linha do tempo'!$G:$G,A38))</f>
        <v/>
      </c>
      <c r="K38" s="25" t="str">
        <f aca="false">IF(A38="","",TRIM(IF(COUNTIF($A:$A,A38)&gt;1,"ID repetido. ","")&amp;IF(AND(H38&lt;&gt;"",LEN(TRIM(H38))&lt;&gt;64),"Hash deve ter 64 caracteres.","")))</f>
        <v/>
      </c>
      <c r="L38" s="11"/>
    </row>
    <row r="39" customFormat="false" ht="15" hidden="false" customHeight="false" outlineLevel="0" collapsed="false">
      <c r="A39" s="24"/>
      <c r="B39" s="22"/>
      <c r="C39" s="23"/>
      <c r="D39" s="11"/>
      <c r="E39" s="11"/>
      <c r="F39" s="23"/>
      <c r="G39" s="24"/>
      <c r="H39" s="24"/>
      <c r="I39" s="23"/>
      <c r="J39" s="27" t="str">
        <f aca="false">IF(A39="","",COUNTIF('Linha do tempo'!$G:$G,A39))</f>
        <v/>
      </c>
      <c r="K39" s="25" t="str">
        <f aca="false">IF(A39="","",TRIM(IF(COUNTIF($A:$A,A39)&gt;1,"ID repetido. ","")&amp;IF(AND(H39&lt;&gt;"",LEN(TRIM(H39))&lt;&gt;64),"Hash deve ter 64 caracteres.","")))</f>
        <v/>
      </c>
      <c r="L39" s="11"/>
    </row>
    <row r="40" customFormat="false" ht="15" hidden="false" customHeight="false" outlineLevel="0" collapsed="false">
      <c r="A40" s="24"/>
      <c r="B40" s="22"/>
      <c r="C40" s="23"/>
      <c r="D40" s="11"/>
      <c r="E40" s="11"/>
      <c r="F40" s="23"/>
      <c r="G40" s="24"/>
      <c r="H40" s="24"/>
      <c r="I40" s="23"/>
      <c r="J40" s="27" t="str">
        <f aca="false">IF(A40="","",COUNTIF('Linha do tempo'!$G:$G,A40))</f>
        <v/>
      </c>
      <c r="K40" s="25" t="str">
        <f aca="false">IF(A40="","",TRIM(IF(COUNTIF($A:$A,A40)&gt;1,"ID repetido. ","")&amp;IF(AND(H40&lt;&gt;"",LEN(TRIM(H40))&lt;&gt;64),"Hash deve ter 64 caracteres.","")))</f>
        <v/>
      </c>
      <c r="L40" s="11"/>
    </row>
    <row r="41" customFormat="false" ht="15" hidden="false" customHeight="false" outlineLevel="0" collapsed="false">
      <c r="A41" s="24"/>
      <c r="B41" s="22"/>
      <c r="C41" s="23"/>
      <c r="D41" s="11"/>
      <c r="E41" s="11"/>
      <c r="F41" s="23"/>
      <c r="G41" s="24"/>
      <c r="H41" s="24"/>
      <c r="I41" s="23"/>
      <c r="J41" s="27" t="str">
        <f aca="false">IF(A41="","",COUNTIF('Linha do tempo'!$G:$G,A41))</f>
        <v/>
      </c>
      <c r="K41" s="25" t="str">
        <f aca="false">IF(A41="","",TRIM(IF(COUNTIF($A:$A,A41)&gt;1,"ID repetido. ","")&amp;IF(AND(H41&lt;&gt;"",LEN(TRIM(H41))&lt;&gt;64),"Hash deve ter 64 caracteres.","")))</f>
        <v/>
      </c>
      <c r="L41" s="11"/>
    </row>
    <row r="42" customFormat="false" ht="15" hidden="false" customHeight="false" outlineLevel="0" collapsed="false">
      <c r="A42" s="24"/>
      <c r="B42" s="22"/>
      <c r="C42" s="23"/>
      <c r="D42" s="11"/>
      <c r="E42" s="11"/>
      <c r="F42" s="23"/>
      <c r="G42" s="24"/>
      <c r="H42" s="24"/>
      <c r="I42" s="23"/>
      <c r="J42" s="27" t="str">
        <f aca="false">IF(A42="","",COUNTIF('Linha do tempo'!$G:$G,A42))</f>
        <v/>
      </c>
      <c r="K42" s="25" t="str">
        <f aca="false">IF(A42="","",TRIM(IF(COUNTIF($A:$A,A42)&gt;1,"ID repetido. ","")&amp;IF(AND(H42&lt;&gt;"",LEN(TRIM(H42))&lt;&gt;64),"Hash deve ter 64 caracteres.","")))</f>
        <v/>
      </c>
      <c r="L42" s="11"/>
    </row>
    <row r="43" customFormat="false" ht="15" hidden="false" customHeight="false" outlineLevel="0" collapsed="false">
      <c r="A43" s="24"/>
      <c r="B43" s="22"/>
      <c r="C43" s="23"/>
      <c r="D43" s="11"/>
      <c r="E43" s="11"/>
      <c r="F43" s="23"/>
      <c r="G43" s="24"/>
      <c r="H43" s="24"/>
      <c r="I43" s="23"/>
      <c r="J43" s="27" t="str">
        <f aca="false">IF(A43="","",COUNTIF('Linha do tempo'!$G:$G,A43))</f>
        <v/>
      </c>
      <c r="K43" s="25" t="str">
        <f aca="false">IF(A43="","",TRIM(IF(COUNTIF($A:$A,A43)&gt;1,"ID repetido. ","")&amp;IF(AND(H43&lt;&gt;"",LEN(TRIM(H43))&lt;&gt;64),"Hash deve ter 64 caracteres.","")))</f>
        <v/>
      </c>
      <c r="L43" s="11"/>
    </row>
    <row r="44" customFormat="false" ht="15" hidden="false" customHeight="false" outlineLevel="0" collapsed="false">
      <c r="A44" s="24"/>
      <c r="B44" s="22"/>
      <c r="C44" s="23"/>
      <c r="D44" s="11"/>
      <c r="E44" s="11"/>
      <c r="F44" s="23"/>
      <c r="G44" s="24"/>
      <c r="H44" s="24"/>
      <c r="I44" s="23"/>
      <c r="J44" s="27" t="str">
        <f aca="false">IF(A44="","",COUNTIF('Linha do tempo'!$G:$G,A44))</f>
        <v/>
      </c>
      <c r="K44" s="25" t="str">
        <f aca="false">IF(A44="","",TRIM(IF(COUNTIF($A:$A,A44)&gt;1,"ID repetido. ","")&amp;IF(AND(H44&lt;&gt;"",LEN(TRIM(H44))&lt;&gt;64),"Hash deve ter 64 caracteres.","")))</f>
        <v/>
      </c>
      <c r="L44" s="11"/>
    </row>
    <row r="45" customFormat="false" ht="15" hidden="false" customHeight="false" outlineLevel="0" collapsed="false">
      <c r="A45" s="24"/>
      <c r="B45" s="22"/>
      <c r="C45" s="23"/>
      <c r="D45" s="11"/>
      <c r="E45" s="11"/>
      <c r="F45" s="23"/>
      <c r="G45" s="24"/>
      <c r="H45" s="24"/>
      <c r="I45" s="23"/>
      <c r="J45" s="27" t="str">
        <f aca="false">IF(A45="","",COUNTIF('Linha do tempo'!$G:$G,A45))</f>
        <v/>
      </c>
      <c r="K45" s="25" t="str">
        <f aca="false">IF(A45="","",TRIM(IF(COUNTIF($A:$A,A45)&gt;1,"ID repetido. ","")&amp;IF(AND(H45&lt;&gt;"",LEN(TRIM(H45))&lt;&gt;64),"Hash deve ter 64 caracteres.","")))</f>
        <v/>
      </c>
      <c r="L45" s="11"/>
    </row>
    <row r="46" customFormat="false" ht="15" hidden="false" customHeight="false" outlineLevel="0" collapsed="false">
      <c r="A46" s="24"/>
      <c r="B46" s="22"/>
      <c r="C46" s="23"/>
      <c r="D46" s="11"/>
      <c r="E46" s="11"/>
      <c r="F46" s="23"/>
      <c r="G46" s="24"/>
      <c r="H46" s="24"/>
      <c r="I46" s="23"/>
      <c r="J46" s="27" t="str">
        <f aca="false">IF(A46="","",COUNTIF('Linha do tempo'!$G:$G,A46))</f>
        <v/>
      </c>
      <c r="K46" s="25" t="str">
        <f aca="false">IF(A46="","",TRIM(IF(COUNTIF($A:$A,A46)&gt;1,"ID repetido. ","")&amp;IF(AND(H46&lt;&gt;"",LEN(TRIM(H46))&lt;&gt;64),"Hash deve ter 64 caracteres.","")))</f>
        <v/>
      </c>
      <c r="L46" s="11"/>
    </row>
    <row r="47" customFormat="false" ht="15" hidden="false" customHeight="false" outlineLevel="0" collapsed="false">
      <c r="A47" s="24"/>
      <c r="B47" s="22"/>
      <c r="C47" s="23"/>
      <c r="D47" s="11"/>
      <c r="E47" s="11"/>
      <c r="F47" s="23"/>
      <c r="G47" s="24"/>
      <c r="H47" s="24"/>
      <c r="I47" s="23"/>
      <c r="J47" s="27" t="str">
        <f aca="false">IF(A47="","",COUNTIF('Linha do tempo'!$G:$G,A47))</f>
        <v/>
      </c>
      <c r="K47" s="25" t="str">
        <f aca="false">IF(A47="","",TRIM(IF(COUNTIF($A:$A,A47)&gt;1,"ID repetido. ","")&amp;IF(AND(H47&lt;&gt;"",LEN(TRIM(H47))&lt;&gt;64),"Hash deve ter 64 caracteres.","")))</f>
        <v/>
      </c>
      <c r="L47" s="11"/>
    </row>
    <row r="48" customFormat="false" ht="15" hidden="false" customHeight="false" outlineLevel="0" collapsed="false">
      <c r="A48" s="24"/>
      <c r="B48" s="22"/>
      <c r="C48" s="23"/>
      <c r="D48" s="11"/>
      <c r="E48" s="11"/>
      <c r="F48" s="23"/>
      <c r="G48" s="24"/>
      <c r="H48" s="24"/>
      <c r="I48" s="23"/>
      <c r="J48" s="27" t="str">
        <f aca="false">IF(A48="","",COUNTIF('Linha do tempo'!$G:$G,A48))</f>
        <v/>
      </c>
      <c r="K48" s="25" t="str">
        <f aca="false">IF(A48="","",TRIM(IF(COUNTIF($A:$A,A48)&gt;1,"ID repetido. ","")&amp;IF(AND(H48&lt;&gt;"",LEN(TRIM(H48))&lt;&gt;64),"Hash deve ter 64 caracteres.","")))</f>
        <v/>
      </c>
      <c r="L48" s="11"/>
    </row>
    <row r="49" customFormat="false" ht="15" hidden="false" customHeight="false" outlineLevel="0" collapsed="false">
      <c r="A49" s="24"/>
      <c r="B49" s="22"/>
      <c r="C49" s="23"/>
      <c r="D49" s="11"/>
      <c r="E49" s="11"/>
      <c r="F49" s="23"/>
      <c r="G49" s="24"/>
      <c r="H49" s="24"/>
      <c r="I49" s="23"/>
      <c r="J49" s="27" t="str">
        <f aca="false">IF(A49="","",COUNTIF('Linha do tempo'!$G:$G,A49))</f>
        <v/>
      </c>
      <c r="K49" s="25" t="str">
        <f aca="false">IF(A49="","",TRIM(IF(COUNTIF($A:$A,A49)&gt;1,"ID repetido. ","")&amp;IF(AND(H49&lt;&gt;"",LEN(TRIM(H49))&lt;&gt;64),"Hash deve ter 64 caracteres.","")))</f>
        <v/>
      </c>
      <c r="L49" s="11"/>
    </row>
    <row r="50" customFormat="false" ht="15" hidden="false" customHeight="false" outlineLevel="0" collapsed="false">
      <c r="A50" s="24"/>
      <c r="B50" s="22"/>
      <c r="C50" s="23"/>
      <c r="D50" s="11"/>
      <c r="E50" s="11"/>
      <c r="F50" s="23"/>
      <c r="G50" s="24"/>
      <c r="H50" s="24"/>
      <c r="I50" s="23"/>
      <c r="J50" s="27" t="str">
        <f aca="false">IF(A50="","",COUNTIF('Linha do tempo'!$G:$G,A50))</f>
        <v/>
      </c>
      <c r="K50" s="25" t="str">
        <f aca="false">IF(A50="","",TRIM(IF(COUNTIF($A:$A,A50)&gt;1,"ID repetido. ","")&amp;IF(AND(H50&lt;&gt;"",LEN(TRIM(H50))&lt;&gt;64),"Hash deve ter 64 caracteres.","")))</f>
        <v/>
      </c>
      <c r="L50" s="11"/>
    </row>
    <row r="51" customFormat="false" ht="15" hidden="false" customHeight="false" outlineLevel="0" collapsed="false">
      <c r="A51" s="24"/>
      <c r="B51" s="22"/>
      <c r="C51" s="23"/>
      <c r="D51" s="11"/>
      <c r="E51" s="11"/>
      <c r="F51" s="23"/>
      <c r="G51" s="24"/>
      <c r="H51" s="24"/>
      <c r="I51" s="23"/>
      <c r="J51" s="27" t="str">
        <f aca="false">IF(A51="","",COUNTIF('Linha do tempo'!$G:$G,A51))</f>
        <v/>
      </c>
      <c r="K51" s="25" t="str">
        <f aca="false">IF(A51="","",TRIM(IF(COUNTIF($A:$A,A51)&gt;1,"ID repetido. ","")&amp;IF(AND(H51&lt;&gt;"",LEN(TRIM(H51))&lt;&gt;64),"Hash deve ter 64 caracteres.","")))</f>
        <v/>
      </c>
      <c r="L51" s="11"/>
    </row>
    <row r="52" customFormat="false" ht="15" hidden="false" customHeight="false" outlineLevel="0" collapsed="false">
      <c r="A52" s="24"/>
      <c r="B52" s="22"/>
      <c r="C52" s="23"/>
      <c r="D52" s="11"/>
      <c r="E52" s="11"/>
      <c r="F52" s="23"/>
      <c r="G52" s="24"/>
      <c r="H52" s="24"/>
      <c r="I52" s="23"/>
      <c r="J52" s="27" t="str">
        <f aca="false">IF(A52="","",COUNTIF('Linha do tempo'!$G:$G,A52))</f>
        <v/>
      </c>
      <c r="K52" s="25" t="str">
        <f aca="false">IF(A52="","",TRIM(IF(COUNTIF($A:$A,A52)&gt;1,"ID repetido. ","")&amp;IF(AND(H52&lt;&gt;"",LEN(TRIM(H52))&lt;&gt;64),"Hash deve ter 64 caracteres.","")))</f>
        <v/>
      </c>
      <c r="L52" s="11"/>
    </row>
    <row r="53" customFormat="false" ht="15" hidden="false" customHeight="false" outlineLevel="0" collapsed="false">
      <c r="A53" s="24"/>
      <c r="B53" s="22"/>
      <c r="C53" s="23"/>
      <c r="D53" s="11"/>
      <c r="E53" s="11"/>
      <c r="F53" s="23"/>
      <c r="G53" s="24"/>
      <c r="H53" s="24"/>
      <c r="I53" s="23"/>
      <c r="J53" s="27" t="str">
        <f aca="false">IF(A53="","",COUNTIF('Linha do tempo'!$G:$G,A53))</f>
        <v/>
      </c>
      <c r="K53" s="25" t="str">
        <f aca="false">IF(A53="","",TRIM(IF(COUNTIF($A:$A,A53)&gt;1,"ID repetido. ","")&amp;IF(AND(H53&lt;&gt;"",LEN(TRIM(H53))&lt;&gt;64),"Hash deve ter 64 caracteres.","")))</f>
        <v/>
      </c>
      <c r="L53" s="11"/>
    </row>
    <row r="54" customFormat="false" ht="15" hidden="false" customHeight="false" outlineLevel="0" collapsed="false">
      <c r="A54" s="24"/>
      <c r="B54" s="22"/>
      <c r="C54" s="23"/>
      <c r="D54" s="11"/>
      <c r="E54" s="11"/>
      <c r="F54" s="23"/>
      <c r="G54" s="24"/>
      <c r="H54" s="24"/>
      <c r="I54" s="23"/>
      <c r="J54" s="27" t="str">
        <f aca="false">IF(A54="","",COUNTIF('Linha do tempo'!$G:$G,A54))</f>
        <v/>
      </c>
      <c r="K54" s="25" t="str">
        <f aca="false">IF(A54="","",TRIM(IF(COUNTIF($A:$A,A54)&gt;1,"ID repetido. ","")&amp;IF(AND(H54&lt;&gt;"",LEN(TRIM(H54))&lt;&gt;64),"Hash deve ter 64 caracteres.","")))</f>
        <v/>
      </c>
      <c r="L54" s="11"/>
    </row>
    <row r="55" customFormat="false" ht="15" hidden="false" customHeight="false" outlineLevel="0" collapsed="false">
      <c r="A55" s="24"/>
      <c r="B55" s="22"/>
      <c r="C55" s="23"/>
      <c r="D55" s="11"/>
      <c r="E55" s="11"/>
      <c r="F55" s="23"/>
      <c r="G55" s="24"/>
      <c r="H55" s="24"/>
      <c r="I55" s="23"/>
      <c r="J55" s="27" t="str">
        <f aca="false">IF(A55="","",COUNTIF('Linha do tempo'!$G:$G,A55))</f>
        <v/>
      </c>
      <c r="K55" s="25" t="str">
        <f aca="false">IF(A55="","",TRIM(IF(COUNTIF($A:$A,A55)&gt;1,"ID repetido. ","")&amp;IF(AND(H55&lt;&gt;"",LEN(TRIM(H55))&lt;&gt;64),"Hash deve ter 64 caracteres.","")))</f>
        <v/>
      </c>
      <c r="L55" s="11"/>
    </row>
    <row r="56" customFormat="false" ht="15" hidden="false" customHeight="false" outlineLevel="0" collapsed="false">
      <c r="A56" s="24"/>
      <c r="B56" s="22"/>
      <c r="C56" s="23"/>
      <c r="D56" s="11"/>
      <c r="E56" s="11"/>
      <c r="F56" s="23"/>
      <c r="G56" s="24"/>
      <c r="H56" s="24"/>
      <c r="I56" s="23"/>
      <c r="J56" s="27" t="str">
        <f aca="false">IF(A56="","",COUNTIF('Linha do tempo'!$G:$G,A56))</f>
        <v/>
      </c>
      <c r="K56" s="25" t="str">
        <f aca="false">IF(A56="","",TRIM(IF(COUNTIF($A:$A,A56)&gt;1,"ID repetido. ","")&amp;IF(AND(H56&lt;&gt;"",LEN(TRIM(H56))&lt;&gt;64),"Hash deve ter 64 caracteres.","")))</f>
        <v/>
      </c>
      <c r="L56" s="11"/>
    </row>
    <row r="57" customFormat="false" ht="15" hidden="false" customHeight="false" outlineLevel="0" collapsed="false">
      <c r="A57" s="24"/>
      <c r="B57" s="22"/>
      <c r="C57" s="23"/>
      <c r="D57" s="11"/>
      <c r="E57" s="11"/>
      <c r="F57" s="23"/>
      <c r="G57" s="24"/>
      <c r="H57" s="24"/>
      <c r="I57" s="23"/>
      <c r="J57" s="27" t="str">
        <f aca="false">IF(A57="","",COUNTIF('Linha do tempo'!$G:$G,A57))</f>
        <v/>
      </c>
      <c r="K57" s="25" t="str">
        <f aca="false">IF(A57="","",TRIM(IF(COUNTIF($A:$A,A57)&gt;1,"ID repetido. ","")&amp;IF(AND(H57&lt;&gt;"",LEN(TRIM(H57))&lt;&gt;64),"Hash deve ter 64 caracteres.","")))</f>
        <v/>
      </c>
      <c r="L57" s="11"/>
    </row>
    <row r="58" customFormat="false" ht="15" hidden="false" customHeight="false" outlineLevel="0" collapsed="false">
      <c r="A58" s="24"/>
      <c r="B58" s="22"/>
      <c r="C58" s="23"/>
      <c r="D58" s="11"/>
      <c r="E58" s="11"/>
      <c r="F58" s="23"/>
      <c r="G58" s="24"/>
      <c r="H58" s="24"/>
      <c r="I58" s="23"/>
      <c r="J58" s="27" t="str">
        <f aca="false">IF(A58="","",COUNTIF('Linha do tempo'!$G:$G,A58))</f>
        <v/>
      </c>
      <c r="K58" s="25" t="str">
        <f aca="false">IF(A58="","",TRIM(IF(COUNTIF($A:$A,A58)&gt;1,"ID repetido. ","")&amp;IF(AND(H58&lt;&gt;"",LEN(TRIM(H58))&lt;&gt;64),"Hash deve ter 64 caracteres.","")))</f>
        <v/>
      </c>
      <c r="L58" s="11"/>
    </row>
    <row r="59" customFormat="false" ht="15" hidden="false" customHeight="false" outlineLevel="0" collapsed="false">
      <c r="A59" s="24"/>
      <c r="B59" s="22"/>
      <c r="C59" s="23"/>
      <c r="D59" s="11"/>
      <c r="E59" s="11"/>
      <c r="F59" s="23"/>
      <c r="G59" s="24"/>
      <c r="H59" s="24"/>
      <c r="I59" s="23"/>
      <c r="J59" s="27" t="str">
        <f aca="false">IF(A59="","",COUNTIF('Linha do tempo'!$G:$G,A59))</f>
        <v/>
      </c>
      <c r="K59" s="25" t="str">
        <f aca="false">IF(A59="","",TRIM(IF(COUNTIF($A:$A,A59)&gt;1,"ID repetido. ","")&amp;IF(AND(H59&lt;&gt;"",LEN(TRIM(H59))&lt;&gt;64),"Hash deve ter 64 caracteres.","")))</f>
        <v/>
      </c>
      <c r="L59" s="11"/>
    </row>
    <row r="60" customFormat="false" ht="15" hidden="false" customHeight="false" outlineLevel="0" collapsed="false">
      <c r="A60" s="24"/>
      <c r="B60" s="22"/>
      <c r="C60" s="23"/>
      <c r="D60" s="11"/>
      <c r="E60" s="11"/>
      <c r="F60" s="23"/>
      <c r="G60" s="24"/>
      <c r="H60" s="24"/>
      <c r="I60" s="23"/>
      <c r="J60" s="27" t="str">
        <f aca="false">IF(A60="","",COUNTIF('Linha do tempo'!$G:$G,A60))</f>
        <v/>
      </c>
      <c r="K60" s="25" t="str">
        <f aca="false">IF(A60="","",TRIM(IF(COUNTIF($A:$A,A60)&gt;1,"ID repetido. ","")&amp;IF(AND(H60&lt;&gt;"",LEN(TRIM(H60))&lt;&gt;64),"Hash deve ter 64 caracteres.","")))</f>
        <v/>
      </c>
      <c r="L60" s="11"/>
    </row>
    <row r="61" customFormat="false" ht="15" hidden="false" customHeight="false" outlineLevel="0" collapsed="false">
      <c r="A61" s="24"/>
      <c r="B61" s="22"/>
      <c r="C61" s="23"/>
      <c r="D61" s="11"/>
      <c r="E61" s="11"/>
      <c r="F61" s="23"/>
      <c r="G61" s="24"/>
      <c r="H61" s="24"/>
      <c r="I61" s="23"/>
      <c r="J61" s="27" t="str">
        <f aca="false">IF(A61="","",COUNTIF('Linha do tempo'!$G:$G,A61))</f>
        <v/>
      </c>
      <c r="K61" s="25" t="str">
        <f aca="false">IF(A61="","",TRIM(IF(COUNTIF($A:$A,A61)&gt;1,"ID repetido. ","")&amp;IF(AND(H61&lt;&gt;"",LEN(TRIM(H61))&lt;&gt;64),"Hash deve ter 64 caracteres.","")))</f>
        <v/>
      </c>
      <c r="L61" s="11"/>
    </row>
    <row r="62" customFormat="false" ht="15" hidden="false" customHeight="false" outlineLevel="0" collapsed="false">
      <c r="A62" s="24"/>
      <c r="B62" s="22"/>
      <c r="C62" s="23"/>
      <c r="D62" s="11"/>
      <c r="E62" s="11"/>
      <c r="F62" s="23"/>
      <c r="G62" s="24"/>
      <c r="H62" s="24"/>
      <c r="I62" s="23"/>
      <c r="J62" s="27" t="str">
        <f aca="false">IF(A62="","",COUNTIF('Linha do tempo'!$G:$G,A62))</f>
        <v/>
      </c>
      <c r="K62" s="25" t="str">
        <f aca="false">IF(A62="","",TRIM(IF(COUNTIF($A:$A,A62)&gt;1,"ID repetido. ","")&amp;IF(AND(H62&lt;&gt;"",LEN(TRIM(H62))&lt;&gt;64),"Hash deve ter 64 caracteres.","")))</f>
        <v/>
      </c>
      <c r="L62" s="11"/>
    </row>
    <row r="63" customFormat="false" ht="15" hidden="false" customHeight="false" outlineLevel="0" collapsed="false">
      <c r="A63" s="24"/>
      <c r="B63" s="22"/>
      <c r="C63" s="23"/>
      <c r="D63" s="11"/>
      <c r="E63" s="11"/>
      <c r="F63" s="23"/>
      <c r="G63" s="24"/>
      <c r="H63" s="24"/>
      <c r="I63" s="23"/>
      <c r="J63" s="27" t="str">
        <f aca="false">IF(A63="","",COUNTIF('Linha do tempo'!$G:$G,A63))</f>
        <v/>
      </c>
      <c r="K63" s="25" t="str">
        <f aca="false">IF(A63="","",TRIM(IF(COUNTIF($A:$A,A63)&gt;1,"ID repetido. ","")&amp;IF(AND(H63&lt;&gt;"",LEN(TRIM(H63))&lt;&gt;64),"Hash deve ter 64 caracteres.","")))</f>
        <v/>
      </c>
      <c r="L63" s="11"/>
    </row>
    <row r="64" customFormat="false" ht="15" hidden="false" customHeight="false" outlineLevel="0" collapsed="false">
      <c r="A64" s="24"/>
      <c r="B64" s="22"/>
      <c r="C64" s="23"/>
      <c r="D64" s="11"/>
      <c r="E64" s="11"/>
      <c r="F64" s="23"/>
      <c r="G64" s="24"/>
      <c r="H64" s="24"/>
      <c r="I64" s="23"/>
      <c r="J64" s="27" t="str">
        <f aca="false">IF(A64="","",COUNTIF('Linha do tempo'!$G:$G,A64))</f>
        <v/>
      </c>
      <c r="K64" s="25" t="str">
        <f aca="false">IF(A64="","",TRIM(IF(COUNTIF($A:$A,A64)&gt;1,"ID repetido. ","")&amp;IF(AND(H64&lt;&gt;"",LEN(TRIM(H64))&lt;&gt;64),"Hash deve ter 64 caracteres.","")))</f>
        <v/>
      </c>
      <c r="L64" s="11"/>
    </row>
    <row r="65" customFormat="false" ht="15" hidden="false" customHeight="false" outlineLevel="0" collapsed="false">
      <c r="A65" s="24"/>
      <c r="B65" s="22"/>
      <c r="C65" s="23"/>
      <c r="D65" s="11"/>
      <c r="E65" s="11"/>
      <c r="F65" s="23"/>
      <c r="G65" s="24"/>
      <c r="H65" s="24"/>
      <c r="I65" s="23"/>
      <c r="J65" s="27" t="str">
        <f aca="false">IF(A65="","",COUNTIF('Linha do tempo'!$G:$G,A65))</f>
        <v/>
      </c>
      <c r="K65" s="25" t="str">
        <f aca="false">IF(A65="","",TRIM(IF(COUNTIF($A:$A,A65)&gt;1,"ID repetido. ","")&amp;IF(AND(H65&lt;&gt;"",LEN(TRIM(H65))&lt;&gt;64),"Hash deve ter 64 caracteres.","")))</f>
        <v/>
      </c>
      <c r="L65" s="11"/>
    </row>
    <row r="66" customFormat="false" ht="15" hidden="false" customHeight="false" outlineLevel="0" collapsed="false">
      <c r="A66" s="24"/>
      <c r="B66" s="22"/>
      <c r="C66" s="23"/>
      <c r="D66" s="11"/>
      <c r="E66" s="11"/>
      <c r="F66" s="23"/>
      <c r="G66" s="24"/>
      <c r="H66" s="24"/>
      <c r="I66" s="23"/>
      <c r="J66" s="27" t="str">
        <f aca="false">IF(A66="","",COUNTIF('Linha do tempo'!$G:$G,A66))</f>
        <v/>
      </c>
      <c r="K66" s="25" t="str">
        <f aca="false">IF(A66="","",TRIM(IF(COUNTIF($A:$A,A66)&gt;1,"ID repetido. ","")&amp;IF(AND(H66&lt;&gt;"",LEN(TRIM(H66))&lt;&gt;64),"Hash deve ter 64 caracteres.","")))</f>
        <v/>
      </c>
      <c r="L66" s="11"/>
    </row>
    <row r="67" customFormat="false" ht="15" hidden="false" customHeight="false" outlineLevel="0" collapsed="false">
      <c r="A67" s="24"/>
      <c r="B67" s="22"/>
      <c r="C67" s="23"/>
      <c r="D67" s="11"/>
      <c r="E67" s="11"/>
      <c r="F67" s="23"/>
      <c r="G67" s="24"/>
      <c r="H67" s="24"/>
      <c r="I67" s="23"/>
      <c r="J67" s="27" t="str">
        <f aca="false">IF(A67="","",COUNTIF('Linha do tempo'!$G:$G,A67))</f>
        <v/>
      </c>
      <c r="K67" s="25" t="str">
        <f aca="false">IF(A67="","",TRIM(IF(COUNTIF($A:$A,A67)&gt;1,"ID repetido. ","")&amp;IF(AND(H67&lt;&gt;"",LEN(TRIM(H67))&lt;&gt;64),"Hash deve ter 64 caracteres.","")))</f>
        <v/>
      </c>
      <c r="L67" s="11"/>
    </row>
    <row r="68" customFormat="false" ht="15" hidden="false" customHeight="false" outlineLevel="0" collapsed="false">
      <c r="A68" s="24"/>
      <c r="B68" s="22"/>
      <c r="C68" s="23"/>
      <c r="D68" s="11"/>
      <c r="E68" s="11"/>
      <c r="F68" s="23"/>
      <c r="G68" s="24"/>
      <c r="H68" s="24"/>
      <c r="I68" s="23"/>
      <c r="J68" s="27" t="str">
        <f aca="false">IF(A68="","",COUNTIF('Linha do tempo'!$G:$G,A68))</f>
        <v/>
      </c>
      <c r="K68" s="25" t="str">
        <f aca="false">IF(A68="","",TRIM(IF(COUNTIF($A:$A,A68)&gt;1,"ID repetido. ","")&amp;IF(AND(H68&lt;&gt;"",LEN(TRIM(H68))&lt;&gt;64),"Hash deve ter 64 caracteres.","")))</f>
        <v/>
      </c>
      <c r="L68" s="11"/>
    </row>
    <row r="69" customFormat="false" ht="15" hidden="false" customHeight="false" outlineLevel="0" collapsed="false">
      <c r="A69" s="24"/>
      <c r="B69" s="22"/>
      <c r="C69" s="23"/>
      <c r="D69" s="11"/>
      <c r="E69" s="11"/>
      <c r="F69" s="23"/>
      <c r="G69" s="24"/>
      <c r="H69" s="24"/>
      <c r="I69" s="23"/>
      <c r="J69" s="27" t="str">
        <f aca="false">IF(A69="","",COUNTIF('Linha do tempo'!$G:$G,A69))</f>
        <v/>
      </c>
      <c r="K69" s="25" t="str">
        <f aca="false">IF(A69="","",TRIM(IF(COUNTIF($A:$A,A69)&gt;1,"ID repetido. ","")&amp;IF(AND(H69&lt;&gt;"",LEN(TRIM(H69))&lt;&gt;64),"Hash deve ter 64 caracteres.","")))</f>
        <v/>
      </c>
      <c r="L69" s="11"/>
    </row>
    <row r="70" customFormat="false" ht="15" hidden="false" customHeight="false" outlineLevel="0" collapsed="false">
      <c r="A70" s="24"/>
      <c r="B70" s="22"/>
      <c r="C70" s="23"/>
      <c r="D70" s="11"/>
      <c r="E70" s="11"/>
      <c r="F70" s="23"/>
      <c r="G70" s="24"/>
      <c r="H70" s="24"/>
      <c r="I70" s="23"/>
      <c r="J70" s="27" t="str">
        <f aca="false">IF(A70="","",COUNTIF('Linha do tempo'!$G:$G,A70))</f>
        <v/>
      </c>
      <c r="K70" s="25" t="str">
        <f aca="false">IF(A70="","",TRIM(IF(COUNTIF($A:$A,A70)&gt;1,"ID repetido. ","")&amp;IF(AND(H70&lt;&gt;"",LEN(TRIM(H70))&lt;&gt;64),"Hash deve ter 64 caracteres.","")))</f>
        <v/>
      </c>
      <c r="L70" s="11"/>
    </row>
    <row r="71" customFormat="false" ht="15" hidden="false" customHeight="false" outlineLevel="0" collapsed="false">
      <c r="A71" s="24"/>
      <c r="B71" s="22"/>
      <c r="C71" s="23"/>
      <c r="D71" s="11"/>
      <c r="E71" s="11"/>
      <c r="F71" s="23"/>
      <c r="G71" s="24"/>
      <c r="H71" s="24"/>
      <c r="I71" s="23"/>
      <c r="J71" s="27" t="str">
        <f aca="false">IF(A71="","",COUNTIF('Linha do tempo'!$G:$G,A71))</f>
        <v/>
      </c>
      <c r="K71" s="25" t="str">
        <f aca="false">IF(A71="","",TRIM(IF(COUNTIF($A:$A,A71)&gt;1,"ID repetido. ","")&amp;IF(AND(H71&lt;&gt;"",LEN(TRIM(H71))&lt;&gt;64),"Hash deve ter 64 caracteres.","")))</f>
        <v/>
      </c>
      <c r="L71" s="11"/>
    </row>
    <row r="72" customFormat="false" ht="15" hidden="false" customHeight="false" outlineLevel="0" collapsed="false">
      <c r="A72" s="24"/>
      <c r="B72" s="22"/>
      <c r="C72" s="23"/>
      <c r="D72" s="11"/>
      <c r="E72" s="11"/>
      <c r="F72" s="23"/>
      <c r="G72" s="24"/>
      <c r="H72" s="24"/>
      <c r="I72" s="23"/>
      <c r="J72" s="27" t="str">
        <f aca="false">IF(A72="","",COUNTIF('Linha do tempo'!$G:$G,A72))</f>
        <v/>
      </c>
      <c r="K72" s="25" t="str">
        <f aca="false">IF(A72="","",TRIM(IF(COUNTIF($A:$A,A72)&gt;1,"ID repetido. ","")&amp;IF(AND(H72&lt;&gt;"",LEN(TRIM(H72))&lt;&gt;64),"Hash deve ter 64 caracteres.","")))</f>
        <v/>
      </c>
      <c r="L72" s="11"/>
    </row>
    <row r="73" customFormat="false" ht="15" hidden="false" customHeight="false" outlineLevel="0" collapsed="false">
      <c r="A73" s="24"/>
      <c r="B73" s="22"/>
      <c r="C73" s="23"/>
      <c r="D73" s="11"/>
      <c r="E73" s="11"/>
      <c r="F73" s="23"/>
      <c r="G73" s="24"/>
      <c r="H73" s="24"/>
      <c r="I73" s="23"/>
      <c r="J73" s="27" t="str">
        <f aca="false">IF(A73="","",COUNTIF('Linha do tempo'!$G:$G,A73))</f>
        <v/>
      </c>
      <c r="K73" s="25" t="str">
        <f aca="false">IF(A73="","",TRIM(IF(COUNTIF($A:$A,A73)&gt;1,"ID repetido. ","")&amp;IF(AND(H73&lt;&gt;"",LEN(TRIM(H73))&lt;&gt;64),"Hash deve ter 64 caracteres.","")))</f>
        <v/>
      </c>
      <c r="L73" s="11"/>
    </row>
    <row r="74" customFormat="false" ht="15" hidden="false" customHeight="false" outlineLevel="0" collapsed="false">
      <c r="A74" s="24"/>
      <c r="B74" s="22"/>
      <c r="C74" s="23"/>
      <c r="D74" s="11"/>
      <c r="E74" s="11"/>
      <c r="F74" s="23"/>
      <c r="G74" s="24"/>
      <c r="H74" s="24"/>
      <c r="I74" s="23"/>
      <c r="J74" s="27" t="str">
        <f aca="false">IF(A74="","",COUNTIF('Linha do tempo'!$G:$G,A74))</f>
        <v/>
      </c>
      <c r="K74" s="25" t="str">
        <f aca="false">IF(A74="","",TRIM(IF(COUNTIF($A:$A,A74)&gt;1,"ID repetido. ","")&amp;IF(AND(H74&lt;&gt;"",LEN(TRIM(H74))&lt;&gt;64),"Hash deve ter 64 caracteres.","")))</f>
        <v/>
      </c>
      <c r="L74" s="11"/>
    </row>
    <row r="75" customFormat="false" ht="15" hidden="false" customHeight="false" outlineLevel="0" collapsed="false">
      <c r="A75" s="24"/>
      <c r="B75" s="22"/>
      <c r="C75" s="23"/>
      <c r="D75" s="11"/>
      <c r="E75" s="11"/>
      <c r="F75" s="23"/>
      <c r="G75" s="24"/>
      <c r="H75" s="24"/>
      <c r="I75" s="23"/>
      <c r="J75" s="27" t="str">
        <f aca="false">IF(A75="","",COUNTIF('Linha do tempo'!$G:$G,A75))</f>
        <v/>
      </c>
      <c r="K75" s="25" t="str">
        <f aca="false">IF(A75="","",TRIM(IF(COUNTIF($A:$A,A75)&gt;1,"ID repetido. ","")&amp;IF(AND(H75&lt;&gt;"",LEN(TRIM(H75))&lt;&gt;64),"Hash deve ter 64 caracteres.","")))</f>
        <v/>
      </c>
      <c r="L75" s="11"/>
    </row>
    <row r="76" customFormat="false" ht="15" hidden="false" customHeight="false" outlineLevel="0" collapsed="false">
      <c r="A76" s="24"/>
      <c r="B76" s="22"/>
      <c r="C76" s="23"/>
      <c r="D76" s="11"/>
      <c r="E76" s="11"/>
      <c r="F76" s="23"/>
      <c r="G76" s="24"/>
      <c r="H76" s="24"/>
      <c r="I76" s="23"/>
      <c r="J76" s="27" t="str">
        <f aca="false">IF(A76="","",COUNTIF('Linha do tempo'!$G:$G,A76))</f>
        <v/>
      </c>
      <c r="K76" s="25" t="str">
        <f aca="false">IF(A76="","",TRIM(IF(COUNTIF($A:$A,A76)&gt;1,"ID repetido. ","")&amp;IF(AND(H76&lt;&gt;"",LEN(TRIM(H76))&lt;&gt;64),"Hash deve ter 64 caracteres.","")))</f>
        <v/>
      </c>
      <c r="L76" s="11"/>
    </row>
    <row r="77" customFormat="false" ht="15" hidden="false" customHeight="false" outlineLevel="0" collapsed="false">
      <c r="A77" s="24"/>
      <c r="B77" s="22"/>
      <c r="C77" s="23"/>
      <c r="D77" s="11"/>
      <c r="E77" s="11"/>
      <c r="F77" s="23"/>
      <c r="G77" s="24"/>
      <c r="H77" s="24"/>
      <c r="I77" s="23"/>
      <c r="J77" s="27" t="str">
        <f aca="false">IF(A77="","",COUNTIF('Linha do tempo'!$G:$G,A77))</f>
        <v/>
      </c>
      <c r="K77" s="25" t="str">
        <f aca="false">IF(A77="","",TRIM(IF(COUNTIF($A:$A,A77)&gt;1,"ID repetido. ","")&amp;IF(AND(H77&lt;&gt;"",LEN(TRIM(H77))&lt;&gt;64),"Hash deve ter 64 caracteres.","")))</f>
        <v/>
      </c>
      <c r="L77" s="11"/>
    </row>
    <row r="78" customFormat="false" ht="15" hidden="false" customHeight="false" outlineLevel="0" collapsed="false">
      <c r="A78" s="24"/>
      <c r="B78" s="22"/>
      <c r="C78" s="23"/>
      <c r="D78" s="11"/>
      <c r="E78" s="11"/>
      <c r="F78" s="23"/>
      <c r="G78" s="24"/>
      <c r="H78" s="24"/>
      <c r="I78" s="23"/>
      <c r="J78" s="27" t="str">
        <f aca="false">IF(A78="","",COUNTIF('Linha do tempo'!$G:$G,A78))</f>
        <v/>
      </c>
      <c r="K78" s="25" t="str">
        <f aca="false">IF(A78="","",TRIM(IF(COUNTIF($A:$A,A78)&gt;1,"ID repetido. ","")&amp;IF(AND(H78&lt;&gt;"",LEN(TRIM(H78))&lt;&gt;64),"Hash deve ter 64 caracteres.","")))</f>
        <v/>
      </c>
      <c r="L78" s="11"/>
    </row>
    <row r="79" customFormat="false" ht="15" hidden="false" customHeight="false" outlineLevel="0" collapsed="false">
      <c r="A79" s="24"/>
      <c r="B79" s="22"/>
      <c r="C79" s="23"/>
      <c r="D79" s="11"/>
      <c r="E79" s="11"/>
      <c r="F79" s="23"/>
      <c r="G79" s="24"/>
      <c r="H79" s="24"/>
      <c r="I79" s="23"/>
      <c r="J79" s="27" t="str">
        <f aca="false">IF(A79="","",COUNTIF('Linha do tempo'!$G:$G,A79))</f>
        <v/>
      </c>
      <c r="K79" s="25" t="str">
        <f aca="false">IF(A79="","",TRIM(IF(COUNTIF($A:$A,A79)&gt;1,"ID repetido. ","")&amp;IF(AND(H79&lt;&gt;"",LEN(TRIM(H79))&lt;&gt;64),"Hash deve ter 64 caracteres.","")))</f>
        <v/>
      </c>
      <c r="L79" s="11"/>
    </row>
    <row r="80" customFormat="false" ht="15" hidden="false" customHeight="false" outlineLevel="0" collapsed="false">
      <c r="A80" s="24"/>
      <c r="B80" s="22"/>
      <c r="C80" s="23"/>
      <c r="D80" s="11"/>
      <c r="E80" s="11"/>
      <c r="F80" s="23"/>
      <c r="G80" s="24"/>
      <c r="H80" s="24"/>
      <c r="I80" s="23"/>
      <c r="J80" s="27" t="str">
        <f aca="false">IF(A80="","",COUNTIF('Linha do tempo'!$G:$G,A80))</f>
        <v/>
      </c>
      <c r="K80" s="25" t="str">
        <f aca="false">IF(A80="","",TRIM(IF(COUNTIF($A:$A,A80)&gt;1,"ID repetido. ","")&amp;IF(AND(H80&lt;&gt;"",LEN(TRIM(H80))&lt;&gt;64),"Hash deve ter 64 caracteres.","")))</f>
        <v/>
      </c>
      <c r="L80" s="11"/>
    </row>
    <row r="81" customFormat="false" ht="15" hidden="false" customHeight="false" outlineLevel="0" collapsed="false">
      <c r="A81" s="24"/>
      <c r="B81" s="22"/>
      <c r="C81" s="23"/>
      <c r="D81" s="11"/>
      <c r="E81" s="11"/>
      <c r="F81" s="23"/>
      <c r="G81" s="24"/>
      <c r="H81" s="24"/>
      <c r="I81" s="23"/>
      <c r="J81" s="27" t="str">
        <f aca="false">IF(A81="","",COUNTIF('Linha do tempo'!$G:$G,A81))</f>
        <v/>
      </c>
      <c r="K81" s="25" t="str">
        <f aca="false">IF(A81="","",TRIM(IF(COUNTIF($A:$A,A81)&gt;1,"ID repetido. ","")&amp;IF(AND(H81&lt;&gt;"",LEN(TRIM(H81))&lt;&gt;64),"Hash deve ter 64 caracteres.","")))</f>
        <v/>
      </c>
      <c r="L81" s="11"/>
    </row>
    <row r="82" customFormat="false" ht="15" hidden="false" customHeight="false" outlineLevel="0" collapsed="false">
      <c r="A82" s="24"/>
      <c r="B82" s="22"/>
      <c r="C82" s="23"/>
      <c r="D82" s="11"/>
      <c r="E82" s="11"/>
      <c r="F82" s="23"/>
      <c r="G82" s="24"/>
      <c r="H82" s="24"/>
      <c r="I82" s="23"/>
      <c r="J82" s="27" t="str">
        <f aca="false">IF(A82="","",COUNTIF('Linha do tempo'!$G:$G,A82))</f>
        <v/>
      </c>
      <c r="K82" s="25" t="str">
        <f aca="false">IF(A82="","",TRIM(IF(COUNTIF($A:$A,A82)&gt;1,"ID repetido. ","")&amp;IF(AND(H82&lt;&gt;"",LEN(TRIM(H82))&lt;&gt;64),"Hash deve ter 64 caracteres.","")))</f>
        <v/>
      </c>
      <c r="L82" s="11"/>
    </row>
    <row r="83" customFormat="false" ht="15" hidden="false" customHeight="false" outlineLevel="0" collapsed="false">
      <c r="A83" s="24"/>
      <c r="B83" s="22"/>
      <c r="C83" s="23"/>
      <c r="D83" s="11"/>
      <c r="E83" s="11"/>
      <c r="F83" s="23"/>
      <c r="G83" s="24"/>
      <c r="H83" s="24"/>
      <c r="I83" s="23"/>
      <c r="J83" s="27" t="str">
        <f aca="false">IF(A83="","",COUNTIF('Linha do tempo'!$G:$G,A83))</f>
        <v/>
      </c>
      <c r="K83" s="25" t="str">
        <f aca="false">IF(A83="","",TRIM(IF(COUNTIF($A:$A,A83)&gt;1,"ID repetido. ","")&amp;IF(AND(H83&lt;&gt;"",LEN(TRIM(H83))&lt;&gt;64),"Hash deve ter 64 caracteres.","")))</f>
        <v/>
      </c>
      <c r="L83" s="11"/>
    </row>
    <row r="84" customFormat="false" ht="15" hidden="false" customHeight="false" outlineLevel="0" collapsed="false">
      <c r="A84" s="24"/>
      <c r="B84" s="22"/>
      <c r="C84" s="23"/>
      <c r="D84" s="11"/>
      <c r="E84" s="11"/>
      <c r="F84" s="23"/>
      <c r="G84" s="24"/>
      <c r="H84" s="24"/>
      <c r="I84" s="23"/>
      <c r="J84" s="27" t="str">
        <f aca="false">IF(A84="","",COUNTIF('Linha do tempo'!$G:$G,A84))</f>
        <v/>
      </c>
      <c r="K84" s="25" t="str">
        <f aca="false">IF(A84="","",TRIM(IF(COUNTIF($A:$A,A84)&gt;1,"ID repetido. ","")&amp;IF(AND(H84&lt;&gt;"",LEN(TRIM(H84))&lt;&gt;64),"Hash deve ter 64 caracteres.","")))</f>
        <v/>
      </c>
      <c r="L84" s="11"/>
    </row>
    <row r="85" customFormat="false" ht="15" hidden="false" customHeight="false" outlineLevel="0" collapsed="false">
      <c r="A85" s="24"/>
      <c r="B85" s="22"/>
      <c r="C85" s="23"/>
      <c r="D85" s="11"/>
      <c r="E85" s="11"/>
      <c r="F85" s="23"/>
      <c r="G85" s="24"/>
      <c r="H85" s="24"/>
      <c r="I85" s="23"/>
      <c r="J85" s="27" t="str">
        <f aca="false">IF(A85="","",COUNTIF('Linha do tempo'!$G:$G,A85))</f>
        <v/>
      </c>
      <c r="K85" s="25" t="str">
        <f aca="false">IF(A85="","",TRIM(IF(COUNTIF($A:$A,A85)&gt;1,"ID repetido. ","")&amp;IF(AND(H85&lt;&gt;"",LEN(TRIM(H85))&lt;&gt;64),"Hash deve ter 64 caracteres.","")))</f>
        <v/>
      </c>
      <c r="L85" s="11"/>
    </row>
    <row r="86" customFormat="false" ht="15" hidden="false" customHeight="false" outlineLevel="0" collapsed="false">
      <c r="A86" s="24"/>
      <c r="B86" s="22"/>
      <c r="C86" s="23"/>
      <c r="D86" s="11"/>
      <c r="E86" s="11"/>
      <c r="F86" s="23"/>
      <c r="G86" s="24"/>
      <c r="H86" s="24"/>
      <c r="I86" s="23"/>
      <c r="J86" s="27" t="str">
        <f aca="false">IF(A86="","",COUNTIF('Linha do tempo'!$G:$G,A86))</f>
        <v/>
      </c>
      <c r="K86" s="25" t="str">
        <f aca="false">IF(A86="","",TRIM(IF(COUNTIF($A:$A,A86)&gt;1,"ID repetido. ","")&amp;IF(AND(H86&lt;&gt;"",LEN(TRIM(H86))&lt;&gt;64),"Hash deve ter 64 caracteres.","")))</f>
        <v/>
      </c>
      <c r="L86" s="11"/>
    </row>
    <row r="87" customFormat="false" ht="15" hidden="false" customHeight="false" outlineLevel="0" collapsed="false">
      <c r="A87" s="24"/>
      <c r="B87" s="22"/>
      <c r="C87" s="23"/>
      <c r="D87" s="11"/>
      <c r="E87" s="11"/>
      <c r="F87" s="23"/>
      <c r="G87" s="24"/>
      <c r="H87" s="24"/>
      <c r="I87" s="23"/>
      <c r="J87" s="27" t="str">
        <f aca="false">IF(A87="","",COUNTIF('Linha do tempo'!$G:$G,A87))</f>
        <v/>
      </c>
      <c r="K87" s="25" t="str">
        <f aca="false">IF(A87="","",TRIM(IF(COUNTIF($A:$A,A87)&gt;1,"ID repetido. ","")&amp;IF(AND(H87&lt;&gt;"",LEN(TRIM(H87))&lt;&gt;64),"Hash deve ter 64 caracteres.","")))</f>
        <v/>
      </c>
      <c r="L87" s="11"/>
    </row>
    <row r="88" customFormat="false" ht="15" hidden="false" customHeight="false" outlineLevel="0" collapsed="false">
      <c r="A88" s="24"/>
      <c r="B88" s="22"/>
      <c r="C88" s="23"/>
      <c r="D88" s="11"/>
      <c r="E88" s="11"/>
      <c r="F88" s="23"/>
      <c r="G88" s="24"/>
      <c r="H88" s="24"/>
      <c r="I88" s="23"/>
      <c r="J88" s="27" t="str">
        <f aca="false">IF(A88="","",COUNTIF('Linha do tempo'!$G:$G,A88))</f>
        <v/>
      </c>
      <c r="K88" s="25" t="str">
        <f aca="false">IF(A88="","",TRIM(IF(COUNTIF($A:$A,A88)&gt;1,"ID repetido. ","")&amp;IF(AND(H88&lt;&gt;"",LEN(TRIM(H88))&lt;&gt;64),"Hash deve ter 64 caracteres.","")))</f>
        <v/>
      </c>
      <c r="L88" s="11"/>
    </row>
    <row r="89" customFormat="false" ht="15" hidden="false" customHeight="false" outlineLevel="0" collapsed="false">
      <c r="A89" s="24"/>
      <c r="B89" s="22"/>
      <c r="C89" s="23"/>
      <c r="D89" s="11"/>
      <c r="E89" s="11"/>
      <c r="F89" s="23"/>
      <c r="G89" s="24"/>
      <c r="H89" s="24"/>
      <c r="I89" s="23"/>
      <c r="J89" s="27" t="str">
        <f aca="false">IF(A89="","",COUNTIF('Linha do tempo'!$G:$G,A89))</f>
        <v/>
      </c>
      <c r="K89" s="25" t="str">
        <f aca="false">IF(A89="","",TRIM(IF(COUNTIF($A:$A,A89)&gt;1,"ID repetido. ","")&amp;IF(AND(H89&lt;&gt;"",LEN(TRIM(H89))&lt;&gt;64),"Hash deve ter 64 caracteres.","")))</f>
        <v/>
      </c>
      <c r="L89" s="11"/>
    </row>
    <row r="90" customFormat="false" ht="15" hidden="false" customHeight="false" outlineLevel="0" collapsed="false">
      <c r="A90" s="24"/>
      <c r="B90" s="22"/>
      <c r="C90" s="23"/>
      <c r="D90" s="11"/>
      <c r="E90" s="11"/>
      <c r="F90" s="23"/>
      <c r="G90" s="24"/>
      <c r="H90" s="24"/>
      <c r="I90" s="23"/>
      <c r="J90" s="27" t="str">
        <f aca="false">IF(A90="","",COUNTIF('Linha do tempo'!$G:$G,A90))</f>
        <v/>
      </c>
      <c r="K90" s="25" t="str">
        <f aca="false">IF(A90="","",TRIM(IF(COUNTIF($A:$A,A90)&gt;1,"ID repetido. ","")&amp;IF(AND(H90&lt;&gt;"",LEN(TRIM(H90))&lt;&gt;64),"Hash deve ter 64 caracteres.","")))</f>
        <v/>
      </c>
      <c r="L90" s="11"/>
    </row>
    <row r="91" customFormat="false" ht="15" hidden="false" customHeight="false" outlineLevel="0" collapsed="false">
      <c r="A91" s="24"/>
      <c r="B91" s="22"/>
      <c r="C91" s="23"/>
      <c r="D91" s="11"/>
      <c r="E91" s="11"/>
      <c r="F91" s="23"/>
      <c r="G91" s="24"/>
      <c r="H91" s="24"/>
      <c r="I91" s="23"/>
      <c r="J91" s="27" t="str">
        <f aca="false">IF(A91="","",COUNTIF('Linha do tempo'!$G:$G,A91))</f>
        <v/>
      </c>
      <c r="K91" s="25" t="str">
        <f aca="false">IF(A91="","",TRIM(IF(COUNTIF($A:$A,A91)&gt;1,"ID repetido. ","")&amp;IF(AND(H91&lt;&gt;"",LEN(TRIM(H91))&lt;&gt;64),"Hash deve ter 64 caracteres.","")))</f>
        <v/>
      </c>
      <c r="L91" s="11"/>
    </row>
    <row r="92" customFormat="false" ht="15" hidden="false" customHeight="false" outlineLevel="0" collapsed="false">
      <c r="A92" s="24"/>
      <c r="B92" s="22"/>
      <c r="C92" s="23"/>
      <c r="D92" s="11"/>
      <c r="E92" s="11"/>
      <c r="F92" s="23"/>
      <c r="G92" s="24"/>
      <c r="H92" s="24"/>
      <c r="I92" s="23"/>
      <c r="J92" s="27" t="str">
        <f aca="false">IF(A92="","",COUNTIF('Linha do tempo'!$G:$G,A92))</f>
        <v/>
      </c>
      <c r="K92" s="25" t="str">
        <f aca="false">IF(A92="","",TRIM(IF(COUNTIF($A:$A,A92)&gt;1,"ID repetido. ","")&amp;IF(AND(H92&lt;&gt;"",LEN(TRIM(H92))&lt;&gt;64),"Hash deve ter 64 caracteres.","")))</f>
        <v/>
      </c>
      <c r="L92" s="11"/>
    </row>
    <row r="93" customFormat="false" ht="15" hidden="false" customHeight="false" outlineLevel="0" collapsed="false">
      <c r="A93" s="24"/>
      <c r="B93" s="22"/>
      <c r="C93" s="23"/>
      <c r="D93" s="11"/>
      <c r="E93" s="11"/>
      <c r="F93" s="23"/>
      <c r="G93" s="24"/>
      <c r="H93" s="24"/>
      <c r="I93" s="23"/>
      <c r="J93" s="27" t="str">
        <f aca="false">IF(A93="","",COUNTIF('Linha do tempo'!$G:$G,A93))</f>
        <v/>
      </c>
      <c r="K93" s="25" t="str">
        <f aca="false">IF(A93="","",TRIM(IF(COUNTIF($A:$A,A93)&gt;1,"ID repetido. ","")&amp;IF(AND(H93&lt;&gt;"",LEN(TRIM(H93))&lt;&gt;64),"Hash deve ter 64 caracteres.","")))</f>
        <v/>
      </c>
      <c r="L93" s="11"/>
    </row>
    <row r="94" customFormat="false" ht="15" hidden="false" customHeight="false" outlineLevel="0" collapsed="false">
      <c r="A94" s="24"/>
      <c r="B94" s="22"/>
      <c r="C94" s="23"/>
      <c r="D94" s="11"/>
      <c r="E94" s="11"/>
      <c r="F94" s="23"/>
      <c r="G94" s="24"/>
      <c r="H94" s="24"/>
      <c r="I94" s="23"/>
      <c r="J94" s="27" t="str">
        <f aca="false">IF(A94="","",COUNTIF('Linha do tempo'!$G:$G,A94))</f>
        <v/>
      </c>
      <c r="K94" s="25" t="str">
        <f aca="false">IF(A94="","",TRIM(IF(COUNTIF($A:$A,A94)&gt;1,"ID repetido. ","")&amp;IF(AND(H94&lt;&gt;"",LEN(TRIM(H94))&lt;&gt;64),"Hash deve ter 64 caracteres.","")))</f>
        <v/>
      </c>
      <c r="L94" s="11"/>
    </row>
    <row r="95" customFormat="false" ht="15" hidden="false" customHeight="false" outlineLevel="0" collapsed="false">
      <c r="A95" s="24"/>
      <c r="B95" s="22"/>
      <c r="C95" s="23"/>
      <c r="D95" s="11"/>
      <c r="E95" s="11"/>
      <c r="F95" s="23"/>
      <c r="G95" s="24"/>
      <c r="H95" s="24"/>
      <c r="I95" s="23"/>
      <c r="J95" s="27" t="str">
        <f aca="false">IF(A95="","",COUNTIF('Linha do tempo'!$G:$G,A95))</f>
        <v/>
      </c>
      <c r="K95" s="25" t="str">
        <f aca="false">IF(A95="","",TRIM(IF(COUNTIF($A:$A,A95)&gt;1,"ID repetido. ","")&amp;IF(AND(H95&lt;&gt;"",LEN(TRIM(H95))&lt;&gt;64),"Hash deve ter 64 caracteres.","")))</f>
        <v/>
      </c>
      <c r="L95" s="11"/>
    </row>
    <row r="96" customFormat="false" ht="15" hidden="false" customHeight="false" outlineLevel="0" collapsed="false">
      <c r="A96" s="24"/>
      <c r="B96" s="22"/>
      <c r="C96" s="23"/>
      <c r="D96" s="11"/>
      <c r="E96" s="11"/>
      <c r="F96" s="23"/>
      <c r="G96" s="24"/>
      <c r="H96" s="24"/>
      <c r="I96" s="23"/>
      <c r="J96" s="27" t="str">
        <f aca="false">IF(A96="","",COUNTIF('Linha do tempo'!$G:$G,A96))</f>
        <v/>
      </c>
      <c r="K96" s="25" t="str">
        <f aca="false">IF(A96="","",TRIM(IF(COUNTIF($A:$A,A96)&gt;1,"ID repetido. ","")&amp;IF(AND(H96&lt;&gt;"",LEN(TRIM(H96))&lt;&gt;64),"Hash deve ter 64 caracteres.","")))</f>
        <v/>
      </c>
      <c r="L96" s="11"/>
    </row>
    <row r="97" customFormat="false" ht="15" hidden="false" customHeight="false" outlineLevel="0" collapsed="false">
      <c r="A97" s="24"/>
      <c r="B97" s="22"/>
      <c r="C97" s="23"/>
      <c r="D97" s="11"/>
      <c r="E97" s="11"/>
      <c r="F97" s="23"/>
      <c r="G97" s="24"/>
      <c r="H97" s="24"/>
      <c r="I97" s="23"/>
      <c r="J97" s="27" t="str">
        <f aca="false">IF(A97="","",COUNTIF('Linha do tempo'!$G:$G,A97))</f>
        <v/>
      </c>
      <c r="K97" s="25" t="str">
        <f aca="false">IF(A97="","",TRIM(IF(COUNTIF($A:$A,A97)&gt;1,"ID repetido. ","")&amp;IF(AND(H97&lt;&gt;"",LEN(TRIM(H97))&lt;&gt;64),"Hash deve ter 64 caracteres.","")))</f>
        <v/>
      </c>
      <c r="L97" s="11"/>
    </row>
    <row r="98" customFormat="false" ht="15" hidden="false" customHeight="false" outlineLevel="0" collapsed="false">
      <c r="A98" s="24"/>
      <c r="B98" s="22"/>
      <c r="C98" s="23"/>
      <c r="D98" s="11"/>
      <c r="E98" s="11"/>
      <c r="F98" s="23"/>
      <c r="G98" s="24"/>
      <c r="H98" s="24"/>
      <c r="I98" s="23"/>
      <c r="J98" s="27" t="str">
        <f aca="false">IF(A98="","",COUNTIF('Linha do tempo'!$G:$G,A98))</f>
        <v/>
      </c>
      <c r="K98" s="25" t="str">
        <f aca="false">IF(A98="","",TRIM(IF(COUNTIF($A:$A,A98)&gt;1,"ID repetido. ","")&amp;IF(AND(H98&lt;&gt;"",LEN(TRIM(H98))&lt;&gt;64),"Hash deve ter 64 caracteres.","")))</f>
        <v/>
      </c>
      <c r="L98" s="11"/>
    </row>
    <row r="99" customFormat="false" ht="15" hidden="false" customHeight="false" outlineLevel="0" collapsed="false">
      <c r="A99" s="24"/>
      <c r="B99" s="22"/>
      <c r="C99" s="23"/>
      <c r="D99" s="11"/>
      <c r="E99" s="11"/>
      <c r="F99" s="23"/>
      <c r="G99" s="24"/>
      <c r="H99" s="24"/>
      <c r="I99" s="23"/>
      <c r="J99" s="27" t="str">
        <f aca="false">IF(A99="","",COUNTIF('Linha do tempo'!$G:$G,A99))</f>
        <v/>
      </c>
      <c r="K99" s="25" t="str">
        <f aca="false">IF(A99="","",TRIM(IF(COUNTIF($A:$A,A99)&gt;1,"ID repetido. ","")&amp;IF(AND(H99&lt;&gt;"",LEN(TRIM(H99))&lt;&gt;64),"Hash deve ter 64 caracteres.","")))</f>
        <v/>
      </c>
      <c r="L99" s="11"/>
    </row>
    <row r="100" customFormat="false" ht="15" hidden="false" customHeight="false" outlineLevel="0" collapsed="false">
      <c r="A100" s="24"/>
      <c r="B100" s="22"/>
      <c r="C100" s="23"/>
      <c r="D100" s="11"/>
      <c r="E100" s="11"/>
      <c r="F100" s="23"/>
      <c r="G100" s="24"/>
      <c r="H100" s="24"/>
      <c r="I100" s="23"/>
      <c r="J100" s="27" t="str">
        <f aca="false">IF(A100="","",COUNTIF('Linha do tempo'!$G:$G,A100))</f>
        <v/>
      </c>
      <c r="K100" s="25" t="str">
        <f aca="false">IF(A100="","",TRIM(IF(COUNTIF($A:$A,A100)&gt;1,"ID repetido. ","")&amp;IF(AND(H100&lt;&gt;"",LEN(TRIM(H100))&lt;&gt;64),"Hash deve ter 64 caracteres.","")))</f>
        <v/>
      </c>
      <c r="L100" s="11"/>
    </row>
    <row r="101" customFormat="false" ht="15" hidden="false" customHeight="false" outlineLevel="0" collapsed="false">
      <c r="A101" s="24"/>
      <c r="B101" s="22"/>
      <c r="C101" s="23"/>
      <c r="D101" s="11"/>
      <c r="E101" s="11"/>
      <c r="F101" s="23"/>
      <c r="G101" s="24"/>
      <c r="H101" s="24"/>
      <c r="I101" s="23"/>
      <c r="J101" s="27" t="str">
        <f aca="false">IF(A101="","",COUNTIF('Linha do tempo'!$G:$G,A101))</f>
        <v/>
      </c>
      <c r="K101" s="25" t="str">
        <f aca="false">IF(A101="","",TRIM(IF(COUNTIF($A:$A,A101)&gt;1,"ID repetido. ","")&amp;IF(AND(H101&lt;&gt;"",LEN(TRIM(H101))&lt;&gt;64),"Hash deve ter 64 caracteres.","")))</f>
        <v/>
      </c>
      <c r="L101" s="11"/>
    </row>
    <row r="102" customFormat="false" ht="15" hidden="false" customHeight="false" outlineLevel="0" collapsed="false">
      <c r="A102" s="24"/>
      <c r="B102" s="22"/>
      <c r="C102" s="23"/>
      <c r="D102" s="11"/>
      <c r="E102" s="11"/>
      <c r="F102" s="23"/>
      <c r="G102" s="24"/>
      <c r="H102" s="24"/>
      <c r="I102" s="23"/>
      <c r="J102" s="27" t="str">
        <f aca="false">IF(A102="","",COUNTIF('Linha do tempo'!$G:$G,A102))</f>
        <v/>
      </c>
      <c r="K102" s="25" t="str">
        <f aca="false">IF(A102="","",TRIM(IF(COUNTIF($A:$A,A102)&gt;1,"ID repetido. ","")&amp;IF(AND(H102&lt;&gt;"",LEN(TRIM(H102))&lt;&gt;64),"Hash deve ter 64 caracteres.","")))</f>
        <v/>
      </c>
      <c r="L102" s="11"/>
    </row>
    <row r="103" customFormat="false" ht="15" hidden="false" customHeight="false" outlineLevel="0" collapsed="false">
      <c r="A103" s="24"/>
      <c r="B103" s="22"/>
      <c r="C103" s="23"/>
      <c r="D103" s="11"/>
      <c r="E103" s="11"/>
      <c r="F103" s="23"/>
      <c r="G103" s="24"/>
      <c r="H103" s="24"/>
      <c r="I103" s="23"/>
      <c r="J103" s="27" t="str">
        <f aca="false">IF(A103="","",COUNTIF('Linha do tempo'!$G:$G,A103))</f>
        <v/>
      </c>
      <c r="K103" s="25" t="str">
        <f aca="false">IF(A103="","",TRIM(IF(COUNTIF($A:$A,A103)&gt;1,"ID repetido. ","")&amp;IF(AND(H103&lt;&gt;"",LEN(TRIM(H103))&lt;&gt;64),"Hash deve ter 64 caracteres.","")))</f>
        <v/>
      </c>
      <c r="L103" s="11"/>
    </row>
    <row r="104" customFormat="false" ht="15" hidden="false" customHeight="false" outlineLevel="0" collapsed="false">
      <c r="A104" s="24"/>
      <c r="B104" s="22"/>
      <c r="C104" s="23"/>
      <c r="D104" s="11"/>
      <c r="E104" s="11"/>
      <c r="F104" s="23"/>
      <c r="G104" s="24"/>
      <c r="H104" s="24"/>
      <c r="I104" s="23"/>
      <c r="J104" s="27" t="str">
        <f aca="false">IF(A104="","",COUNTIF('Linha do tempo'!$G:$G,A104))</f>
        <v/>
      </c>
      <c r="K104" s="25" t="str">
        <f aca="false">IF(A104="","",TRIM(IF(COUNTIF($A:$A,A104)&gt;1,"ID repetido. ","")&amp;IF(AND(H104&lt;&gt;"",LEN(TRIM(H104))&lt;&gt;64),"Hash deve ter 64 caracteres.","")))</f>
        <v/>
      </c>
      <c r="L104" s="11"/>
    </row>
    <row r="105" customFormat="false" ht="15" hidden="false" customHeight="false" outlineLevel="0" collapsed="false">
      <c r="A105" s="24"/>
      <c r="B105" s="22"/>
      <c r="C105" s="23"/>
      <c r="D105" s="11"/>
      <c r="E105" s="11"/>
      <c r="F105" s="23"/>
      <c r="G105" s="24"/>
      <c r="H105" s="24"/>
      <c r="I105" s="23"/>
      <c r="J105" s="27" t="str">
        <f aca="false">IF(A105="","",COUNTIF('Linha do tempo'!$G:$G,A105))</f>
        <v/>
      </c>
      <c r="K105" s="25" t="str">
        <f aca="false">IF(A105="","",TRIM(IF(COUNTIF($A:$A,A105)&gt;1,"ID repetido. ","")&amp;IF(AND(H105&lt;&gt;"",LEN(TRIM(H105))&lt;&gt;64),"Hash deve ter 64 caracteres.","")))</f>
        <v/>
      </c>
      <c r="L105" s="11"/>
    </row>
    <row r="106" customFormat="false" ht="15" hidden="false" customHeight="false" outlineLevel="0" collapsed="false">
      <c r="A106" s="24"/>
      <c r="B106" s="22"/>
      <c r="C106" s="23"/>
      <c r="D106" s="11"/>
      <c r="E106" s="11"/>
      <c r="F106" s="23"/>
      <c r="G106" s="24"/>
      <c r="H106" s="24"/>
      <c r="I106" s="23"/>
      <c r="J106" s="27" t="str">
        <f aca="false">IF(A106="","",COUNTIF('Linha do tempo'!$G:$G,A106))</f>
        <v/>
      </c>
      <c r="K106" s="25" t="str">
        <f aca="false">IF(A106="","",TRIM(IF(COUNTIF($A:$A,A106)&gt;1,"ID repetido. ","")&amp;IF(AND(H106&lt;&gt;"",LEN(TRIM(H106))&lt;&gt;64),"Hash deve ter 64 caracteres.","")))</f>
        <v/>
      </c>
      <c r="L106" s="11"/>
    </row>
    <row r="107" customFormat="false" ht="15" hidden="false" customHeight="false" outlineLevel="0" collapsed="false">
      <c r="A107" s="24"/>
      <c r="B107" s="22"/>
      <c r="C107" s="23"/>
      <c r="D107" s="11"/>
      <c r="E107" s="11"/>
      <c r="F107" s="23"/>
      <c r="G107" s="24"/>
      <c r="H107" s="24"/>
      <c r="I107" s="23"/>
      <c r="J107" s="27" t="str">
        <f aca="false">IF(A107="","",COUNTIF('Linha do tempo'!$G:$G,A107))</f>
        <v/>
      </c>
      <c r="K107" s="25" t="str">
        <f aca="false">IF(A107="","",TRIM(IF(COUNTIF($A:$A,A107)&gt;1,"ID repetido. ","")&amp;IF(AND(H107&lt;&gt;"",LEN(TRIM(H107))&lt;&gt;64),"Hash deve ter 64 caracteres.","")))</f>
        <v/>
      </c>
      <c r="L107" s="11"/>
    </row>
    <row r="108" customFormat="false" ht="15" hidden="false" customHeight="false" outlineLevel="0" collapsed="false">
      <c r="A108" s="24"/>
      <c r="B108" s="22"/>
      <c r="C108" s="23"/>
      <c r="D108" s="11"/>
      <c r="E108" s="11"/>
      <c r="F108" s="23"/>
      <c r="G108" s="24"/>
      <c r="H108" s="24"/>
      <c r="I108" s="23"/>
      <c r="J108" s="27" t="str">
        <f aca="false">IF(A108="","",COUNTIF('Linha do tempo'!$G:$G,A108))</f>
        <v/>
      </c>
      <c r="K108" s="25" t="str">
        <f aca="false">IF(A108="","",TRIM(IF(COUNTIF($A:$A,A108)&gt;1,"ID repetido. ","")&amp;IF(AND(H108&lt;&gt;"",LEN(TRIM(H108))&lt;&gt;64),"Hash deve ter 64 caracteres.","")))</f>
        <v/>
      </c>
      <c r="L108" s="11"/>
    </row>
    <row r="109" customFormat="false" ht="15" hidden="false" customHeight="false" outlineLevel="0" collapsed="false">
      <c r="A109" s="24"/>
      <c r="B109" s="22"/>
      <c r="C109" s="23"/>
      <c r="D109" s="11"/>
      <c r="E109" s="11"/>
      <c r="F109" s="23"/>
      <c r="G109" s="24"/>
      <c r="H109" s="24"/>
      <c r="I109" s="23"/>
      <c r="J109" s="27" t="str">
        <f aca="false">IF(A109="","",COUNTIF('Linha do tempo'!$G:$G,A109))</f>
        <v/>
      </c>
      <c r="K109" s="25" t="str">
        <f aca="false">IF(A109="","",TRIM(IF(COUNTIF($A:$A,A109)&gt;1,"ID repetido. ","")&amp;IF(AND(H109&lt;&gt;"",LEN(TRIM(H109))&lt;&gt;64),"Hash deve ter 64 caracteres.","")))</f>
        <v/>
      </c>
      <c r="L109" s="11"/>
    </row>
    <row r="110" customFormat="false" ht="15" hidden="false" customHeight="false" outlineLevel="0" collapsed="false">
      <c r="A110" s="24"/>
      <c r="B110" s="22"/>
      <c r="C110" s="23"/>
      <c r="D110" s="11"/>
      <c r="E110" s="11"/>
      <c r="F110" s="23"/>
      <c r="G110" s="24"/>
      <c r="H110" s="24"/>
      <c r="I110" s="23"/>
      <c r="J110" s="27" t="str">
        <f aca="false">IF(A110="","",COUNTIF('Linha do tempo'!$G:$G,A110))</f>
        <v/>
      </c>
      <c r="K110" s="25" t="str">
        <f aca="false">IF(A110="","",TRIM(IF(COUNTIF($A:$A,A110)&gt;1,"ID repetido. ","")&amp;IF(AND(H110&lt;&gt;"",LEN(TRIM(H110))&lt;&gt;64),"Hash deve ter 64 caracteres.","")))</f>
        <v/>
      </c>
      <c r="L110" s="11"/>
    </row>
    <row r="111" customFormat="false" ht="15" hidden="false" customHeight="false" outlineLevel="0" collapsed="false">
      <c r="A111" s="24"/>
      <c r="B111" s="22"/>
      <c r="C111" s="23"/>
      <c r="D111" s="11"/>
      <c r="E111" s="11"/>
      <c r="F111" s="23"/>
      <c r="G111" s="24"/>
      <c r="H111" s="24"/>
      <c r="I111" s="23"/>
      <c r="J111" s="27" t="str">
        <f aca="false">IF(A111="","",COUNTIF('Linha do tempo'!$G:$G,A111))</f>
        <v/>
      </c>
      <c r="K111" s="25" t="str">
        <f aca="false">IF(A111="","",TRIM(IF(COUNTIF($A:$A,A111)&gt;1,"ID repetido. ","")&amp;IF(AND(H111&lt;&gt;"",LEN(TRIM(H111))&lt;&gt;64),"Hash deve ter 64 caracteres.","")))</f>
        <v/>
      </c>
      <c r="L111" s="11"/>
    </row>
    <row r="112" customFormat="false" ht="15" hidden="false" customHeight="false" outlineLevel="0" collapsed="false">
      <c r="A112" s="24"/>
      <c r="B112" s="22"/>
      <c r="C112" s="23"/>
      <c r="D112" s="11"/>
      <c r="E112" s="11"/>
      <c r="F112" s="23"/>
      <c r="G112" s="24"/>
      <c r="H112" s="24"/>
      <c r="I112" s="23"/>
      <c r="J112" s="27" t="str">
        <f aca="false">IF(A112="","",COUNTIF('Linha do tempo'!$G:$G,A112))</f>
        <v/>
      </c>
      <c r="K112" s="25" t="str">
        <f aca="false">IF(A112="","",TRIM(IF(COUNTIF($A:$A,A112)&gt;1,"ID repetido. ","")&amp;IF(AND(H112&lt;&gt;"",LEN(TRIM(H112))&lt;&gt;64),"Hash deve ter 64 caracteres.","")))</f>
        <v/>
      </c>
      <c r="L112" s="11"/>
    </row>
    <row r="113" customFormat="false" ht="15" hidden="false" customHeight="false" outlineLevel="0" collapsed="false">
      <c r="A113" s="24"/>
      <c r="B113" s="22"/>
      <c r="C113" s="23"/>
      <c r="D113" s="11"/>
      <c r="E113" s="11"/>
      <c r="F113" s="23"/>
      <c r="G113" s="24"/>
      <c r="H113" s="24"/>
      <c r="I113" s="23"/>
      <c r="J113" s="27" t="str">
        <f aca="false">IF(A113="","",COUNTIF('Linha do tempo'!$G:$G,A113))</f>
        <v/>
      </c>
      <c r="K113" s="25" t="str">
        <f aca="false">IF(A113="","",TRIM(IF(COUNTIF($A:$A,A113)&gt;1,"ID repetido. ","")&amp;IF(AND(H113&lt;&gt;"",LEN(TRIM(H113))&lt;&gt;64),"Hash deve ter 64 caracteres.","")))</f>
        <v/>
      </c>
      <c r="L113" s="11"/>
    </row>
    <row r="114" customFormat="false" ht="15" hidden="false" customHeight="false" outlineLevel="0" collapsed="false">
      <c r="A114" s="24"/>
      <c r="B114" s="22"/>
      <c r="C114" s="23"/>
      <c r="D114" s="11"/>
      <c r="E114" s="11"/>
      <c r="F114" s="23"/>
      <c r="G114" s="24"/>
      <c r="H114" s="24"/>
      <c r="I114" s="23"/>
      <c r="J114" s="27" t="str">
        <f aca="false">IF(A114="","",COUNTIF('Linha do tempo'!$G:$G,A114))</f>
        <v/>
      </c>
      <c r="K114" s="25" t="str">
        <f aca="false">IF(A114="","",TRIM(IF(COUNTIF($A:$A,A114)&gt;1,"ID repetido. ","")&amp;IF(AND(H114&lt;&gt;"",LEN(TRIM(H114))&lt;&gt;64),"Hash deve ter 64 caracteres.","")))</f>
        <v/>
      </c>
      <c r="L114" s="11"/>
    </row>
    <row r="115" customFormat="false" ht="15" hidden="false" customHeight="false" outlineLevel="0" collapsed="false">
      <c r="A115" s="24"/>
      <c r="B115" s="22"/>
      <c r="C115" s="23"/>
      <c r="D115" s="11"/>
      <c r="E115" s="11"/>
      <c r="F115" s="23"/>
      <c r="G115" s="24"/>
      <c r="H115" s="24"/>
      <c r="I115" s="23"/>
      <c r="J115" s="27" t="str">
        <f aca="false">IF(A115="","",COUNTIF('Linha do tempo'!$G:$G,A115))</f>
        <v/>
      </c>
      <c r="K115" s="25" t="str">
        <f aca="false">IF(A115="","",TRIM(IF(COUNTIF($A:$A,A115)&gt;1,"ID repetido. ","")&amp;IF(AND(H115&lt;&gt;"",LEN(TRIM(H115))&lt;&gt;64),"Hash deve ter 64 caracteres.","")))</f>
        <v/>
      </c>
      <c r="L115" s="11"/>
    </row>
    <row r="116" customFormat="false" ht="15" hidden="false" customHeight="false" outlineLevel="0" collapsed="false">
      <c r="A116" s="24"/>
      <c r="B116" s="22"/>
      <c r="C116" s="23"/>
      <c r="D116" s="11"/>
      <c r="E116" s="11"/>
      <c r="F116" s="23"/>
      <c r="G116" s="24"/>
      <c r="H116" s="24"/>
      <c r="I116" s="23"/>
      <c r="J116" s="27" t="str">
        <f aca="false">IF(A116="","",COUNTIF('Linha do tempo'!$G:$G,A116))</f>
        <v/>
      </c>
      <c r="K116" s="25" t="str">
        <f aca="false">IF(A116="","",TRIM(IF(COUNTIF($A:$A,A116)&gt;1,"ID repetido. ","")&amp;IF(AND(H116&lt;&gt;"",LEN(TRIM(H116))&lt;&gt;64),"Hash deve ter 64 caracteres.","")))</f>
        <v/>
      </c>
      <c r="L116" s="11"/>
    </row>
    <row r="117" customFormat="false" ht="15" hidden="false" customHeight="false" outlineLevel="0" collapsed="false">
      <c r="A117" s="24"/>
      <c r="B117" s="22"/>
      <c r="C117" s="23"/>
      <c r="D117" s="11"/>
      <c r="E117" s="11"/>
      <c r="F117" s="23"/>
      <c r="G117" s="24"/>
      <c r="H117" s="24"/>
      <c r="I117" s="23"/>
      <c r="J117" s="27" t="str">
        <f aca="false">IF(A117="","",COUNTIF('Linha do tempo'!$G:$G,A117))</f>
        <v/>
      </c>
      <c r="K117" s="25" t="str">
        <f aca="false">IF(A117="","",TRIM(IF(COUNTIF($A:$A,A117)&gt;1,"ID repetido. ","")&amp;IF(AND(H117&lt;&gt;"",LEN(TRIM(H117))&lt;&gt;64),"Hash deve ter 64 caracteres.","")))</f>
        <v/>
      </c>
      <c r="L117" s="11"/>
    </row>
    <row r="118" customFormat="false" ht="15" hidden="false" customHeight="false" outlineLevel="0" collapsed="false">
      <c r="A118" s="24"/>
      <c r="B118" s="22"/>
      <c r="C118" s="23"/>
      <c r="D118" s="11"/>
      <c r="E118" s="11"/>
      <c r="F118" s="23"/>
      <c r="G118" s="24"/>
      <c r="H118" s="24"/>
      <c r="I118" s="23"/>
      <c r="J118" s="27" t="str">
        <f aca="false">IF(A118="","",COUNTIF('Linha do tempo'!$G:$G,A118))</f>
        <v/>
      </c>
      <c r="K118" s="25" t="str">
        <f aca="false">IF(A118="","",TRIM(IF(COUNTIF($A:$A,A118)&gt;1,"ID repetido. ","")&amp;IF(AND(H118&lt;&gt;"",LEN(TRIM(H118))&lt;&gt;64),"Hash deve ter 64 caracteres.","")))</f>
        <v/>
      </c>
      <c r="L118" s="11"/>
    </row>
    <row r="119" customFormat="false" ht="15" hidden="false" customHeight="false" outlineLevel="0" collapsed="false">
      <c r="A119" s="24"/>
      <c r="B119" s="22"/>
      <c r="C119" s="23"/>
      <c r="D119" s="11"/>
      <c r="E119" s="11"/>
      <c r="F119" s="23"/>
      <c r="G119" s="24"/>
      <c r="H119" s="24"/>
      <c r="I119" s="23"/>
      <c r="J119" s="27" t="str">
        <f aca="false">IF(A119="","",COUNTIF('Linha do tempo'!$G:$G,A119))</f>
        <v/>
      </c>
      <c r="K119" s="25" t="str">
        <f aca="false">IF(A119="","",TRIM(IF(COUNTIF($A:$A,A119)&gt;1,"ID repetido. ","")&amp;IF(AND(H119&lt;&gt;"",LEN(TRIM(H119))&lt;&gt;64),"Hash deve ter 64 caracteres.","")))</f>
        <v/>
      </c>
      <c r="L119" s="11"/>
    </row>
    <row r="120" customFormat="false" ht="15" hidden="false" customHeight="false" outlineLevel="0" collapsed="false">
      <c r="A120" s="24"/>
      <c r="B120" s="22"/>
      <c r="C120" s="23"/>
      <c r="D120" s="11"/>
      <c r="E120" s="11"/>
      <c r="F120" s="23"/>
      <c r="G120" s="24"/>
      <c r="H120" s="24"/>
      <c r="I120" s="23"/>
      <c r="J120" s="27" t="str">
        <f aca="false">IF(A120="","",COUNTIF('Linha do tempo'!$G:$G,A120))</f>
        <v/>
      </c>
      <c r="K120" s="25" t="str">
        <f aca="false">IF(A120="","",TRIM(IF(COUNTIF($A:$A,A120)&gt;1,"ID repetido. ","")&amp;IF(AND(H120&lt;&gt;"",LEN(TRIM(H120))&lt;&gt;64),"Hash deve ter 64 caracteres.","")))</f>
        <v/>
      </c>
      <c r="L120" s="11"/>
    </row>
    <row r="121" customFormat="false" ht="15" hidden="false" customHeight="false" outlineLevel="0" collapsed="false">
      <c r="A121" s="24"/>
      <c r="B121" s="22"/>
      <c r="C121" s="23"/>
      <c r="D121" s="11"/>
      <c r="E121" s="11"/>
      <c r="F121" s="23"/>
      <c r="G121" s="24"/>
      <c r="H121" s="24"/>
      <c r="I121" s="23"/>
      <c r="J121" s="27" t="str">
        <f aca="false">IF(A121="","",COUNTIF('Linha do tempo'!$G:$G,A121))</f>
        <v/>
      </c>
      <c r="K121" s="25" t="str">
        <f aca="false">IF(A121="","",TRIM(IF(COUNTIF($A:$A,A121)&gt;1,"ID repetido. ","")&amp;IF(AND(H121&lt;&gt;"",LEN(TRIM(H121))&lt;&gt;64),"Hash deve ter 64 caracteres.","")))</f>
        <v/>
      </c>
      <c r="L121" s="11"/>
    </row>
    <row r="122" customFormat="false" ht="15" hidden="false" customHeight="false" outlineLevel="0" collapsed="false">
      <c r="A122" s="24"/>
      <c r="B122" s="22"/>
      <c r="C122" s="23"/>
      <c r="D122" s="11"/>
      <c r="E122" s="11"/>
      <c r="F122" s="23"/>
      <c r="G122" s="24"/>
      <c r="H122" s="24"/>
      <c r="I122" s="23"/>
      <c r="J122" s="27" t="str">
        <f aca="false">IF(A122="","",COUNTIF('Linha do tempo'!$G:$G,A122))</f>
        <v/>
      </c>
      <c r="K122" s="25" t="str">
        <f aca="false">IF(A122="","",TRIM(IF(COUNTIF($A:$A,A122)&gt;1,"ID repetido. ","")&amp;IF(AND(H122&lt;&gt;"",LEN(TRIM(H122))&lt;&gt;64),"Hash deve ter 64 caracteres.","")))</f>
        <v/>
      </c>
      <c r="L122" s="11"/>
    </row>
    <row r="123" customFormat="false" ht="15" hidden="false" customHeight="false" outlineLevel="0" collapsed="false">
      <c r="A123" s="24"/>
      <c r="B123" s="22"/>
      <c r="C123" s="23"/>
      <c r="D123" s="11"/>
      <c r="E123" s="11"/>
      <c r="F123" s="23"/>
      <c r="G123" s="24"/>
      <c r="H123" s="24"/>
      <c r="I123" s="23"/>
      <c r="J123" s="27" t="str">
        <f aca="false">IF(A123="","",COUNTIF('Linha do tempo'!$G:$G,A123))</f>
        <v/>
      </c>
      <c r="K123" s="25" t="str">
        <f aca="false">IF(A123="","",TRIM(IF(COUNTIF($A:$A,A123)&gt;1,"ID repetido. ","")&amp;IF(AND(H123&lt;&gt;"",LEN(TRIM(H123))&lt;&gt;64),"Hash deve ter 64 caracteres.","")))</f>
        <v/>
      </c>
      <c r="L123" s="11"/>
    </row>
    <row r="124" customFormat="false" ht="15" hidden="false" customHeight="false" outlineLevel="0" collapsed="false">
      <c r="A124" s="24"/>
      <c r="B124" s="22"/>
      <c r="C124" s="23"/>
      <c r="D124" s="11"/>
      <c r="E124" s="11"/>
      <c r="F124" s="23"/>
      <c r="G124" s="24"/>
      <c r="H124" s="24"/>
      <c r="I124" s="23"/>
      <c r="J124" s="27" t="str">
        <f aca="false">IF(A124="","",COUNTIF('Linha do tempo'!$G:$G,A124))</f>
        <v/>
      </c>
      <c r="K124" s="25" t="str">
        <f aca="false">IF(A124="","",TRIM(IF(COUNTIF($A:$A,A124)&gt;1,"ID repetido. ","")&amp;IF(AND(H124&lt;&gt;"",LEN(TRIM(H124))&lt;&gt;64),"Hash deve ter 64 caracteres.","")))</f>
        <v/>
      </c>
      <c r="L124" s="11"/>
    </row>
    <row r="125" customFormat="false" ht="15" hidden="false" customHeight="false" outlineLevel="0" collapsed="false">
      <c r="A125" s="24"/>
      <c r="B125" s="22"/>
      <c r="C125" s="23"/>
      <c r="D125" s="11"/>
      <c r="E125" s="11"/>
      <c r="F125" s="23"/>
      <c r="G125" s="24"/>
      <c r="H125" s="24"/>
      <c r="I125" s="23"/>
      <c r="J125" s="27" t="str">
        <f aca="false">IF(A125="","",COUNTIF('Linha do tempo'!$G:$G,A125))</f>
        <v/>
      </c>
      <c r="K125" s="25" t="str">
        <f aca="false">IF(A125="","",TRIM(IF(COUNTIF($A:$A,A125)&gt;1,"ID repetido. ","")&amp;IF(AND(H125&lt;&gt;"",LEN(TRIM(H125))&lt;&gt;64),"Hash deve ter 64 caracteres.","")))</f>
        <v/>
      </c>
      <c r="L125" s="11"/>
    </row>
    <row r="126" customFormat="false" ht="15" hidden="false" customHeight="false" outlineLevel="0" collapsed="false">
      <c r="A126" s="24"/>
      <c r="B126" s="22"/>
      <c r="C126" s="23"/>
      <c r="D126" s="11"/>
      <c r="E126" s="11"/>
      <c r="F126" s="23"/>
      <c r="G126" s="24"/>
      <c r="H126" s="24"/>
      <c r="I126" s="23"/>
      <c r="J126" s="27" t="str">
        <f aca="false">IF(A126="","",COUNTIF('Linha do tempo'!$G:$G,A126))</f>
        <v/>
      </c>
      <c r="K126" s="25" t="str">
        <f aca="false">IF(A126="","",TRIM(IF(COUNTIF($A:$A,A126)&gt;1,"ID repetido. ","")&amp;IF(AND(H126&lt;&gt;"",LEN(TRIM(H126))&lt;&gt;64),"Hash deve ter 64 caracteres.","")))</f>
        <v/>
      </c>
      <c r="L126" s="11"/>
    </row>
    <row r="127" customFormat="false" ht="15" hidden="false" customHeight="false" outlineLevel="0" collapsed="false">
      <c r="A127" s="24"/>
      <c r="B127" s="22"/>
      <c r="C127" s="23"/>
      <c r="D127" s="11"/>
      <c r="E127" s="11"/>
      <c r="F127" s="23"/>
      <c r="G127" s="24"/>
      <c r="H127" s="24"/>
      <c r="I127" s="23"/>
      <c r="J127" s="27" t="str">
        <f aca="false">IF(A127="","",COUNTIF('Linha do tempo'!$G:$G,A127))</f>
        <v/>
      </c>
      <c r="K127" s="25" t="str">
        <f aca="false">IF(A127="","",TRIM(IF(COUNTIF($A:$A,A127)&gt;1,"ID repetido. ","")&amp;IF(AND(H127&lt;&gt;"",LEN(TRIM(H127))&lt;&gt;64),"Hash deve ter 64 caracteres.","")))</f>
        <v/>
      </c>
      <c r="L127" s="11"/>
    </row>
    <row r="128" customFormat="false" ht="15" hidden="false" customHeight="false" outlineLevel="0" collapsed="false">
      <c r="A128" s="24"/>
      <c r="B128" s="22"/>
      <c r="C128" s="23"/>
      <c r="D128" s="11"/>
      <c r="E128" s="11"/>
      <c r="F128" s="23"/>
      <c r="G128" s="24"/>
      <c r="H128" s="24"/>
      <c r="I128" s="23"/>
      <c r="J128" s="27" t="str">
        <f aca="false">IF(A128="","",COUNTIF('Linha do tempo'!$G:$G,A128))</f>
        <v/>
      </c>
      <c r="K128" s="25" t="str">
        <f aca="false">IF(A128="","",TRIM(IF(COUNTIF($A:$A,A128)&gt;1,"ID repetido. ","")&amp;IF(AND(H128&lt;&gt;"",LEN(TRIM(H128))&lt;&gt;64),"Hash deve ter 64 caracteres.","")))</f>
        <v/>
      </c>
      <c r="L128" s="11"/>
    </row>
    <row r="129" customFormat="false" ht="15" hidden="false" customHeight="false" outlineLevel="0" collapsed="false">
      <c r="A129" s="24"/>
      <c r="B129" s="22"/>
      <c r="C129" s="23"/>
      <c r="D129" s="11"/>
      <c r="E129" s="11"/>
      <c r="F129" s="23"/>
      <c r="G129" s="24"/>
      <c r="H129" s="24"/>
      <c r="I129" s="23"/>
      <c r="J129" s="27" t="str">
        <f aca="false">IF(A129="","",COUNTIF('Linha do tempo'!$G:$G,A129))</f>
        <v/>
      </c>
      <c r="K129" s="25" t="str">
        <f aca="false">IF(A129="","",TRIM(IF(COUNTIF($A:$A,A129)&gt;1,"ID repetido. ","")&amp;IF(AND(H129&lt;&gt;"",LEN(TRIM(H129))&lt;&gt;64),"Hash deve ter 64 caracteres.","")))</f>
        <v/>
      </c>
      <c r="L129" s="11"/>
    </row>
    <row r="130" customFormat="false" ht="15" hidden="false" customHeight="false" outlineLevel="0" collapsed="false">
      <c r="A130" s="24"/>
      <c r="B130" s="22"/>
      <c r="C130" s="23"/>
      <c r="D130" s="11"/>
      <c r="E130" s="11"/>
      <c r="F130" s="23"/>
      <c r="G130" s="24"/>
      <c r="H130" s="24"/>
      <c r="I130" s="23"/>
      <c r="J130" s="27" t="str">
        <f aca="false">IF(A130="","",COUNTIF('Linha do tempo'!$G:$G,A130))</f>
        <v/>
      </c>
      <c r="K130" s="25" t="str">
        <f aca="false">IF(A130="","",TRIM(IF(COUNTIF($A:$A,A130)&gt;1,"ID repetido. ","")&amp;IF(AND(H130&lt;&gt;"",LEN(TRIM(H130))&lt;&gt;64),"Hash deve ter 64 caracteres.","")))</f>
        <v/>
      </c>
      <c r="L130" s="11"/>
    </row>
    <row r="131" customFormat="false" ht="15" hidden="false" customHeight="false" outlineLevel="0" collapsed="false">
      <c r="A131" s="24"/>
      <c r="B131" s="22"/>
      <c r="C131" s="23"/>
      <c r="D131" s="11"/>
      <c r="E131" s="11"/>
      <c r="F131" s="23"/>
      <c r="G131" s="24"/>
      <c r="H131" s="24"/>
      <c r="I131" s="23"/>
      <c r="J131" s="27" t="str">
        <f aca="false">IF(A131="","",COUNTIF('Linha do tempo'!$G:$G,A131))</f>
        <v/>
      </c>
      <c r="K131" s="25" t="str">
        <f aca="false">IF(A131="","",TRIM(IF(COUNTIF($A:$A,A131)&gt;1,"ID repetido. ","")&amp;IF(AND(H131&lt;&gt;"",LEN(TRIM(H131))&lt;&gt;64),"Hash deve ter 64 caracteres.","")))</f>
        <v/>
      </c>
      <c r="L131" s="11"/>
    </row>
    <row r="132" customFormat="false" ht="15" hidden="false" customHeight="false" outlineLevel="0" collapsed="false">
      <c r="A132" s="24"/>
      <c r="B132" s="22"/>
      <c r="C132" s="23"/>
      <c r="D132" s="11"/>
      <c r="E132" s="11"/>
      <c r="F132" s="23"/>
      <c r="G132" s="24"/>
      <c r="H132" s="24"/>
      <c r="I132" s="23"/>
      <c r="J132" s="27" t="str">
        <f aca="false">IF(A132="","",COUNTIF('Linha do tempo'!$G:$G,A132))</f>
        <v/>
      </c>
      <c r="K132" s="25" t="str">
        <f aca="false">IF(A132="","",TRIM(IF(COUNTIF($A:$A,A132)&gt;1,"ID repetido. ","")&amp;IF(AND(H132&lt;&gt;"",LEN(TRIM(H132))&lt;&gt;64),"Hash deve ter 64 caracteres.","")))</f>
        <v/>
      </c>
      <c r="L132" s="11"/>
    </row>
    <row r="133" customFormat="false" ht="15" hidden="false" customHeight="false" outlineLevel="0" collapsed="false">
      <c r="A133" s="24"/>
      <c r="B133" s="22"/>
      <c r="C133" s="23"/>
      <c r="D133" s="11"/>
      <c r="E133" s="11"/>
      <c r="F133" s="23"/>
      <c r="G133" s="24"/>
      <c r="H133" s="24"/>
      <c r="I133" s="23"/>
      <c r="J133" s="27" t="str">
        <f aca="false">IF(A133="","",COUNTIF('Linha do tempo'!$G:$G,A133))</f>
        <v/>
      </c>
      <c r="K133" s="25" t="str">
        <f aca="false">IF(A133="","",TRIM(IF(COUNTIF($A:$A,A133)&gt;1,"ID repetido. ","")&amp;IF(AND(H133&lt;&gt;"",LEN(TRIM(H133))&lt;&gt;64),"Hash deve ter 64 caracteres.","")))</f>
        <v/>
      </c>
      <c r="L133" s="11"/>
    </row>
    <row r="134" customFormat="false" ht="15" hidden="false" customHeight="false" outlineLevel="0" collapsed="false">
      <c r="A134" s="24"/>
      <c r="B134" s="22"/>
      <c r="C134" s="23"/>
      <c r="D134" s="11"/>
      <c r="E134" s="11"/>
      <c r="F134" s="23"/>
      <c r="G134" s="24"/>
      <c r="H134" s="24"/>
      <c r="I134" s="23"/>
      <c r="J134" s="27" t="str">
        <f aca="false">IF(A134="","",COUNTIF('Linha do tempo'!$G:$G,A134))</f>
        <v/>
      </c>
      <c r="K134" s="25" t="str">
        <f aca="false">IF(A134="","",TRIM(IF(COUNTIF($A:$A,A134)&gt;1,"ID repetido. ","")&amp;IF(AND(H134&lt;&gt;"",LEN(TRIM(H134))&lt;&gt;64),"Hash deve ter 64 caracteres.","")))</f>
        <v/>
      </c>
      <c r="L134" s="11"/>
    </row>
    <row r="135" customFormat="false" ht="15" hidden="false" customHeight="false" outlineLevel="0" collapsed="false">
      <c r="A135" s="24"/>
      <c r="B135" s="22"/>
      <c r="C135" s="23"/>
      <c r="D135" s="11"/>
      <c r="E135" s="11"/>
      <c r="F135" s="23"/>
      <c r="G135" s="24"/>
      <c r="H135" s="24"/>
      <c r="I135" s="23"/>
      <c r="J135" s="27" t="str">
        <f aca="false">IF(A135="","",COUNTIF('Linha do tempo'!$G:$G,A135))</f>
        <v/>
      </c>
      <c r="K135" s="25" t="str">
        <f aca="false">IF(A135="","",TRIM(IF(COUNTIF($A:$A,A135)&gt;1,"ID repetido. ","")&amp;IF(AND(H135&lt;&gt;"",LEN(TRIM(H135))&lt;&gt;64),"Hash deve ter 64 caracteres.","")))</f>
        <v/>
      </c>
      <c r="L135" s="11"/>
    </row>
    <row r="136" customFormat="false" ht="15" hidden="false" customHeight="false" outlineLevel="0" collapsed="false">
      <c r="A136" s="24"/>
      <c r="B136" s="22"/>
      <c r="C136" s="23"/>
      <c r="D136" s="11"/>
      <c r="E136" s="11"/>
      <c r="F136" s="23"/>
      <c r="G136" s="24"/>
      <c r="H136" s="24"/>
      <c r="I136" s="23"/>
      <c r="J136" s="27" t="str">
        <f aca="false">IF(A136="","",COUNTIF('Linha do tempo'!$G:$G,A136))</f>
        <v/>
      </c>
      <c r="K136" s="25" t="str">
        <f aca="false">IF(A136="","",TRIM(IF(COUNTIF($A:$A,A136)&gt;1,"ID repetido. ","")&amp;IF(AND(H136&lt;&gt;"",LEN(TRIM(H136))&lt;&gt;64),"Hash deve ter 64 caracteres.","")))</f>
        <v/>
      </c>
      <c r="L136" s="11"/>
    </row>
    <row r="137" customFormat="false" ht="15" hidden="false" customHeight="false" outlineLevel="0" collapsed="false">
      <c r="A137" s="24"/>
      <c r="B137" s="22"/>
      <c r="C137" s="23"/>
      <c r="D137" s="11"/>
      <c r="E137" s="11"/>
      <c r="F137" s="23"/>
      <c r="G137" s="24"/>
      <c r="H137" s="24"/>
      <c r="I137" s="23"/>
      <c r="J137" s="27" t="str">
        <f aca="false">IF(A137="","",COUNTIF('Linha do tempo'!$G:$G,A137))</f>
        <v/>
      </c>
      <c r="K137" s="25" t="str">
        <f aca="false">IF(A137="","",TRIM(IF(COUNTIF($A:$A,A137)&gt;1,"ID repetido. ","")&amp;IF(AND(H137&lt;&gt;"",LEN(TRIM(H137))&lt;&gt;64),"Hash deve ter 64 caracteres.","")))</f>
        <v/>
      </c>
      <c r="L137" s="11"/>
    </row>
    <row r="138" customFormat="false" ht="15" hidden="false" customHeight="false" outlineLevel="0" collapsed="false">
      <c r="A138" s="24"/>
      <c r="B138" s="22"/>
      <c r="C138" s="23"/>
      <c r="D138" s="11"/>
      <c r="E138" s="11"/>
      <c r="F138" s="23"/>
      <c r="G138" s="24"/>
      <c r="H138" s="24"/>
      <c r="I138" s="23"/>
      <c r="J138" s="27" t="str">
        <f aca="false">IF(A138="","",COUNTIF('Linha do tempo'!$G:$G,A138))</f>
        <v/>
      </c>
      <c r="K138" s="25" t="str">
        <f aca="false">IF(A138="","",TRIM(IF(COUNTIF($A:$A,A138)&gt;1,"ID repetido. ","")&amp;IF(AND(H138&lt;&gt;"",LEN(TRIM(H138))&lt;&gt;64),"Hash deve ter 64 caracteres.","")))</f>
        <v/>
      </c>
      <c r="L138" s="11"/>
    </row>
    <row r="139" customFormat="false" ht="15" hidden="false" customHeight="false" outlineLevel="0" collapsed="false">
      <c r="A139" s="24"/>
      <c r="B139" s="22"/>
      <c r="C139" s="23"/>
      <c r="D139" s="11"/>
      <c r="E139" s="11"/>
      <c r="F139" s="23"/>
      <c r="G139" s="24"/>
      <c r="H139" s="24"/>
      <c r="I139" s="23"/>
      <c r="J139" s="27" t="str">
        <f aca="false">IF(A139="","",COUNTIF('Linha do tempo'!$G:$G,A139))</f>
        <v/>
      </c>
      <c r="K139" s="25" t="str">
        <f aca="false">IF(A139="","",TRIM(IF(COUNTIF($A:$A,A139)&gt;1,"ID repetido. ","")&amp;IF(AND(H139&lt;&gt;"",LEN(TRIM(H139))&lt;&gt;64),"Hash deve ter 64 caracteres.","")))</f>
        <v/>
      </c>
      <c r="L139" s="11"/>
    </row>
    <row r="140" customFormat="false" ht="15" hidden="false" customHeight="false" outlineLevel="0" collapsed="false">
      <c r="A140" s="24"/>
      <c r="B140" s="22"/>
      <c r="C140" s="23"/>
      <c r="D140" s="11"/>
      <c r="E140" s="11"/>
      <c r="F140" s="23"/>
      <c r="G140" s="24"/>
      <c r="H140" s="24"/>
      <c r="I140" s="23"/>
      <c r="J140" s="27" t="str">
        <f aca="false">IF(A140="","",COUNTIF('Linha do tempo'!$G:$G,A140))</f>
        <v/>
      </c>
      <c r="K140" s="25" t="str">
        <f aca="false">IF(A140="","",TRIM(IF(COUNTIF($A:$A,A140)&gt;1,"ID repetido. ","")&amp;IF(AND(H140&lt;&gt;"",LEN(TRIM(H140))&lt;&gt;64),"Hash deve ter 64 caracteres.","")))</f>
        <v/>
      </c>
      <c r="L140" s="11"/>
    </row>
    <row r="141" customFormat="false" ht="15" hidden="false" customHeight="false" outlineLevel="0" collapsed="false">
      <c r="A141" s="24"/>
      <c r="B141" s="22"/>
      <c r="C141" s="23"/>
      <c r="D141" s="11"/>
      <c r="E141" s="11"/>
      <c r="F141" s="23"/>
      <c r="G141" s="24"/>
      <c r="H141" s="24"/>
      <c r="I141" s="23"/>
      <c r="J141" s="27" t="str">
        <f aca="false">IF(A141="","",COUNTIF('Linha do tempo'!$G:$G,A141))</f>
        <v/>
      </c>
      <c r="K141" s="25" t="str">
        <f aca="false">IF(A141="","",TRIM(IF(COUNTIF($A:$A,A141)&gt;1,"ID repetido. ","")&amp;IF(AND(H141&lt;&gt;"",LEN(TRIM(H141))&lt;&gt;64),"Hash deve ter 64 caracteres.","")))</f>
        <v/>
      </c>
      <c r="L141" s="11"/>
    </row>
    <row r="142" customFormat="false" ht="15" hidden="false" customHeight="false" outlineLevel="0" collapsed="false">
      <c r="A142" s="24"/>
      <c r="B142" s="22"/>
      <c r="C142" s="23"/>
      <c r="D142" s="11"/>
      <c r="E142" s="11"/>
      <c r="F142" s="23"/>
      <c r="G142" s="24"/>
      <c r="H142" s="24"/>
      <c r="I142" s="23"/>
      <c r="J142" s="27" t="str">
        <f aca="false">IF(A142="","",COUNTIF('Linha do tempo'!$G:$G,A142))</f>
        <v/>
      </c>
      <c r="K142" s="25" t="str">
        <f aca="false">IF(A142="","",TRIM(IF(COUNTIF($A:$A,A142)&gt;1,"ID repetido. ","")&amp;IF(AND(H142&lt;&gt;"",LEN(TRIM(H142))&lt;&gt;64),"Hash deve ter 64 caracteres.","")))</f>
        <v/>
      </c>
      <c r="L142" s="11"/>
    </row>
    <row r="143" customFormat="false" ht="15" hidden="false" customHeight="false" outlineLevel="0" collapsed="false">
      <c r="A143" s="24"/>
      <c r="B143" s="22"/>
      <c r="C143" s="23"/>
      <c r="D143" s="11"/>
      <c r="E143" s="11"/>
      <c r="F143" s="23"/>
      <c r="G143" s="24"/>
      <c r="H143" s="24"/>
      <c r="I143" s="23"/>
      <c r="J143" s="27" t="str">
        <f aca="false">IF(A143="","",COUNTIF('Linha do tempo'!$G:$G,A143))</f>
        <v/>
      </c>
      <c r="K143" s="25" t="str">
        <f aca="false">IF(A143="","",TRIM(IF(COUNTIF($A:$A,A143)&gt;1,"ID repetido. ","")&amp;IF(AND(H143&lt;&gt;"",LEN(TRIM(H143))&lt;&gt;64),"Hash deve ter 64 caracteres.","")))</f>
        <v/>
      </c>
      <c r="L143" s="11"/>
    </row>
    <row r="144" customFormat="false" ht="15" hidden="false" customHeight="false" outlineLevel="0" collapsed="false">
      <c r="A144" s="24"/>
      <c r="B144" s="22"/>
      <c r="C144" s="23"/>
      <c r="D144" s="11"/>
      <c r="E144" s="11"/>
      <c r="F144" s="23"/>
      <c r="G144" s="24"/>
      <c r="H144" s="24"/>
      <c r="I144" s="23"/>
      <c r="J144" s="27" t="str">
        <f aca="false">IF(A144="","",COUNTIF('Linha do tempo'!$G:$G,A144))</f>
        <v/>
      </c>
      <c r="K144" s="25" t="str">
        <f aca="false">IF(A144="","",TRIM(IF(COUNTIF($A:$A,A144)&gt;1,"ID repetido. ","")&amp;IF(AND(H144&lt;&gt;"",LEN(TRIM(H144))&lt;&gt;64),"Hash deve ter 64 caracteres.","")))</f>
        <v/>
      </c>
      <c r="L144" s="11"/>
    </row>
    <row r="145" customFormat="false" ht="15" hidden="false" customHeight="false" outlineLevel="0" collapsed="false">
      <c r="A145" s="24"/>
      <c r="B145" s="22"/>
      <c r="C145" s="23"/>
      <c r="D145" s="11"/>
      <c r="E145" s="11"/>
      <c r="F145" s="23"/>
      <c r="G145" s="24"/>
      <c r="H145" s="24"/>
      <c r="I145" s="23"/>
      <c r="J145" s="27" t="str">
        <f aca="false">IF(A145="","",COUNTIF('Linha do tempo'!$G:$G,A145))</f>
        <v/>
      </c>
      <c r="K145" s="25" t="str">
        <f aca="false">IF(A145="","",TRIM(IF(COUNTIF($A:$A,A145)&gt;1,"ID repetido. ","")&amp;IF(AND(H145&lt;&gt;"",LEN(TRIM(H145))&lt;&gt;64),"Hash deve ter 64 caracteres.","")))</f>
        <v/>
      </c>
      <c r="L145" s="11"/>
    </row>
    <row r="146" customFormat="false" ht="15" hidden="false" customHeight="false" outlineLevel="0" collapsed="false">
      <c r="A146" s="24"/>
      <c r="B146" s="22"/>
      <c r="C146" s="23"/>
      <c r="D146" s="11"/>
      <c r="E146" s="11"/>
      <c r="F146" s="23"/>
      <c r="G146" s="24"/>
      <c r="H146" s="24"/>
      <c r="I146" s="23"/>
      <c r="J146" s="27" t="str">
        <f aca="false">IF(A146="","",COUNTIF('Linha do tempo'!$G:$G,A146))</f>
        <v/>
      </c>
      <c r="K146" s="25" t="str">
        <f aca="false">IF(A146="","",TRIM(IF(COUNTIF($A:$A,A146)&gt;1,"ID repetido. ","")&amp;IF(AND(H146&lt;&gt;"",LEN(TRIM(H146))&lt;&gt;64),"Hash deve ter 64 caracteres.","")))</f>
        <v/>
      </c>
      <c r="L146" s="11"/>
    </row>
    <row r="147" customFormat="false" ht="15" hidden="false" customHeight="false" outlineLevel="0" collapsed="false">
      <c r="A147" s="24"/>
      <c r="B147" s="22"/>
      <c r="C147" s="23"/>
      <c r="D147" s="11"/>
      <c r="E147" s="11"/>
      <c r="F147" s="23"/>
      <c r="G147" s="24"/>
      <c r="H147" s="24"/>
      <c r="I147" s="23"/>
      <c r="J147" s="27" t="str">
        <f aca="false">IF(A147="","",COUNTIF('Linha do tempo'!$G:$G,A147))</f>
        <v/>
      </c>
      <c r="K147" s="25" t="str">
        <f aca="false">IF(A147="","",TRIM(IF(COUNTIF($A:$A,A147)&gt;1,"ID repetido. ","")&amp;IF(AND(H147&lt;&gt;"",LEN(TRIM(H147))&lt;&gt;64),"Hash deve ter 64 caracteres.","")))</f>
        <v/>
      </c>
      <c r="L147" s="11"/>
    </row>
    <row r="148" customFormat="false" ht="15" hidden="false" customHeight="false" outlineLevel="0" collapsed="false">
      <c r="A148" s="24"/>
      <c r="B148" s="22"/>
      <c r="C148" s="23"/>
      <c r="D148" s="11"/>
      <c r="E148" s="11"/>
      <c r="F148" s="23"/>
      <c r="G148" s="24"/>
      <c r="H148" s="24"/>
      <c r="I148" s="23"/>
      <c r="J148" s="27" t="str">
        <f aca="false">IF(A148="","",COUNTIF('Linha do tempo'!$G:$G,A148))</f>
        <v/>
      </c>
      <c r="K148" s="25" t="str">
        <f aca="false">IF(A148="","",TRIM(IF(COUNTIF($A:$A,A148)&gt;1,"ID repetido. ","")&amp;IF(AND(H148&lt;&gt;"",LEN(TRIM(H148))&lt;&gt;64),"Hash deve ter 64 caracteres.","")))</f>
        <v/>
      </c>
      <c r="L148" s="11"/>
    </row>
    <row r="149" customFormat="false" ht="15" hidden="false" customHeight="false" outlineLevel="0" collapsed="false">
      <c r="A149" s="24"/>
      <c r="B149" s="22"/>
      <c r="C149" s="23"/>
      <c r="D149" s="11"/>
      <c r="E149" s="11"/>
      <c r="F149" s="23"/>
      <c r="G149" s="24"/>
      <c r="H149" s="24"/>
      <c r="I149" s="23"/>
      <c r="J149" s="27" t="str">
        <f aca="false">IF(A149="","",COUNTIF('Linha do tempo'!$G:$G,A149))</f>
        <v/>
      </c>
      <c r="K149" s="25" t="str">
        <f aca="false">IF(A149="","",TRIM(IF(COUNTIF($A:$A,A149)&gt;1,"ID repetido. ","")&amp;IF(AND(H149&lt;&gt;"",LEN(TRIM(H149))&lt;&gt;64),"Hash deve ter 64 caracteres.","")))</f>
        <v/>
      </c>
      <c r="L149" s="11"/>
    </row>
    <row r="150" customFormat="false" ht="15" hidden="false" customHeight="false" outlineLevel="0" collapsed="false">
      <c r="A150" s="24"/>
      <c r="B150" s="22"/>
      <c r="C150" s="23"/>
      <c r="D150" s="11"/>
      <c r="E150" s="11"/>
      <c r="F150" s="23"/>
      <c r="G150" s="24"/>
      <c r="H150" s="24"/>
      <c r="I150" s="23"/>
      <c r="J150" s="27" t="str">
        <f aca="false">IF(A150="","",COUNTIF('Linha do tempo'!$G:$G,A150))</f>
        <v/>
      </c>
      <c r="K150" s="25" t="str">
        <f aca="false">IF(A150="","",TRIM(IF(COUNTIF($A:$A,A150)&gt;1,"ID repetido. ","")&amp;IF(AND(H150&lt;&gt;"",LEN(TRIM(H150))&lt;&gt;64),"Hash deve ter 64 caracteres.","")))</f>
        <v/>
      </c>
      <c r="L150" s="11"/>
    </row>
    <row r="151" customFormat="false" ht="15" hidden="false" customHeight="false" outlineLevel="0" collapsed="false">
      <c r="A151" s="24"/>
      <c r="B151" s="22"/>
      <c r="C151" s="23"/>
      <c r="D151" s="11"/>
      <c r="E151" s="11"/>
      <c r="F151" s="23"/>
      <c r="G151" s="24"/>
      <c r="H151" s="24"/>
      <c r="I151" s="23"/>
      <c r="J151" s="27" t="str">
        <f aca="false">IF(A151="","",COUNTIF('Linha do tempo'!$G:$G,A151))</f>
        <v/>
      </c>
      <c r="K151" s="25" t="str">
        <f aca="false">IF(A151="","",TRIM(IF(COUNTIF($A:$A,A151)&gt;1,"ID repetido. ","")&amp;IF(AND(H151&lt;&gt;"",LEN(TRIM(H151))&lt;&gt;64),"Hash deve ter 64 caracteres.","")))</f>
        <v/>
      </c>
      <c r="L151" s="11"/>
    </row>
    <row r="152" customFormat="false" ht="15" hidden="false" customHeight="false" outlineLevel="0" collapsed="false">
      <c r="A152" s="24"/>
      <c r="B152" s="22"/>
      <c r="C152" s="23"/>
      <c r="D152" s="11"/>
      <c r="E152" s="11"/>
      <c r="F152" s="23"/>
      <c r="G152" s="24"/>
      <c r="H152" s="24"/>
      <c r="I152" s="23"/>
      <c r="J152" s="27" t="str">
        <f aca="false">IF(A152="","",COUNTIF('Linha do tempo'!$G:$G,A152))</f>
        <v/>
      </c>
      <c r="K152" s="25" t="str">
        <f aca="false">IF(A152="","",TRIM(IF(COUNTIF($A:$A,A152)&gt;1,"ID repetido. ","")&amp;IF(AND(H152&lt;&gt;"",LEN(TRIM(H152))&lt;&gt;64),"Hash deve ter 64 caracteres.","")))</f>
        <v/>
      </c>
      <c r="L152" s="11"/>
    </row>
    <row r="153" customFormat="false" ht="15" hidden="false" customHeight="false" outlineLevel="0" collapsed="false">
      <c r="A153" s="24"/>
      <c r="B153" s="22"/>
      <c r="C153" s="23"/>
      <c r="D153" s="11"/>
      <c r="E153" s="11"/>
      <c r="F153" s="23"/>
      <c r="G153" s="24"/>
      <c r="H153" s="24"/>
      <c r="I153" s="23"/>
      <c r="J153" s="27" t="str">
        <f aca="false">IF(A153="","",COUNTIF('Linha do tempo'!$G:$G,A153))</f>
        <v/>
      </c>
      <c r="K153" s="25" t="str">
        <f aca="false">IF(A153="","",TRIM(IF(COUNTIF($A:$A,A153)&gt;1,"ID repetido. ","")&amp;IF(AND(H153&lt;&gt;"",LEN(TRIM(H153))&lt;&gt;64),"Hash deve ter 64 caracteres.","")))</f>
        <v/>
      </c>
      <c r="L153" s="11"/>
    </row>
    <row r="154" customFormat="false" ht="15" hidden="false" customHeight="false" outlineLevel="0" collapsed="false">
      <c r="A154" s="24"/>
      <c r="B154" s="22"/>
      <c r="C154" s="23"/>
      <c r="D154" s="11"/>
      <c r="E154" s="11"/>
      <c r="F154" s="23"/>
      <c r="G154" s="24"/>
      <c r="H154" s="24"/>
      <c r="I154" s="23"/>
      <c r="J154" s="27" t="str">
        <f aca="false">IF(A154="","",COUNTIF('Linha do tempo'!$G:$G,A154))</f>
        <v/>
      </c>
      <c r="K154" s="25" t="str">
        <f aca="false">IF(A154="","",TRIM(IF(COUNTIF($A:$A,A154)&gt;1,"ID repetido. ","")&amp;IF(AND(H154&lt;&gt;"",LEN(TRIM(H154))&lt;&gt;64),"Hash deve ter 64 caracteres.","")))</f>
        <v/>
      </c>
      <c r="L154" s="11"/>
    </row>
    <row r="155" customFormat="false" ht="15" hidden="false" customHeight="false" outlineLevel="0" collapsed="false">
      <c r="A155" s="24"/>
      <c r="B155" s="22"/>
      <c r="C155" s="23"/>
      <c r="D155" s="11"/>
      <c r="E155" s="11"/>
      <c r="F155" s="23"/>
      <c r="G155" s="24"/>
      <c r="H155" s="24"/>
      <c r="I155" s="23"/>
      <c r="J155" s="27" t="str">
        <f aca="false">IF(A155="","",COUNTIF('Linha do tempo'!$G:$G,A155))</f>
        <v/>
      </c>
      <c r="K155" s="25" t="str">
        <f aca="false">IF(A155="","",TRIM(IF(COUNTIF($A:$A,A155)&gt;1,"ID repetido. ","")&amp;IF(AND(H155&lt;&gt;"",LEN(TRIM(H155))&lt;&gt;64),"Hash deve ter 64 caracteres.","")))</f>
        <v/>
      </c>
      <c r="L155" s="11"/>
    </row>
    <row r="156" customFormat="false" ht="15" hidden="false" customHeight="false" outlineLevel="0" collapsed="false">
      <c r="A156" s="24"/>
      <c r="B156" s="22"/>
      <c r="C156" s="23"/>
      <c r="D156" s="11"/>
      <c r="E156" s="11"/>
      <c r="F156" s="23"/>
      <c r="G156" s="24"/>
      <c r="H156" s="24"/>
      <c r="I156" s="23"/>
      <c r="J156" s="27" t="str">
        <f aca="false">IF(A156="","",COUNTIF('Linha do tempo'!$G:$G,A156))</f>
        <v/>
      </c>
      <c r="K156" s="25" t="str">
        <f aca="false">IF(A156="","",TRIM(IF(COUNTIF($A:$A,A156)&gt;1,"ID repetido. ","")&amp;IF(AND(H156&lt;&gt;"",LEN(TRIM(H156))&lt;&gt;64),"Hash deve ter 64 caracteres.","")))</f>
        <v/>
      </c>
      <c r="L156" s="11"/>
    </row>
    <row r="157" customFormat="false" ht="15" hidden="false" customHeight="false" outlineLevel="0" collapsed="false">
      <c r="A157" s="24"/>
      <c r="B157" s="22"/>
      <c r="C157" s="23"/>
      <c r="D157" s="11"/>
      <c r="E157" s="11"/>
      <c r="F157" s="23"/>
      <c r="G157" s="24"/>
      <c r="H157" s="24"/>
      <c r="I157" s="23"/>
      <c r="J157" s="27" t="str">
        <f aca="false">IF(A157="","",COUNTIF('Linha do tempo'!$G:$G,A157))</f>
        <v/>
      </c>
      <c r="K157" s="25" t="str">
        <f aca="false">IF(A157="","",TRIM(IF(COUNTIF($A:$A,A157)&gt;1,"ID repetido. ","")&amp;IF(AND(H157&lt;&gt;"",LEN(TRIM(H157))&lt;&gt;64),"Hash deve ter 64 caracteres.","")))</f>
        <v/>
      </c>
      <c r="L157" s="11"/>
    </row>
    <row r="158" customFormat="false" ht="15" hidden="false" customHeight="false" outlineLevel="0" collapsed="false">
      <c r="A158" s="24"/>
      <c r="B158" s="22"/>
      <c r="C158" s="23"/>
      <c r="D158" s="11"/>
      <c r="E158" s="11"/>
      <c r="F158" s="23"/>
      <c r="G158" s="24"/>
      <c r="H158" s="24"/>
      <c r="I158" s="23"/>
      <c r="J158" s="27" t="str">
        <f aca="false">IF(A158="","",COUNTIF('Linha do tempo'!$G:$G,A158))</f>
        <v/>
      </c>
      <c r="K158" s="25" t="str">
        <f aca="false">IF(A158="","",TRIM(IF(COUNTIF($A:$A,A158)&gt;1,"ID repetido. ","")&amp;IF(AND(H158&lt;&gt;"",LEN(TRIM(H158))&lt;&gt;64),"Hash deve ter 64 caracteres.","")))</f>
        <v/>
      </c>
      <c r="L158" s="11"/>
    </row>
    <row r="159" customFormat="false" ht="15" hidden="false" customHeight="false" outlineLevel="0" collapsed="false">
      <c r="A159" s="24"/>
      <c r="B159" s="22"/>
      <c r="C159" s="23"/>
      <c r="D159" s="11"/>
      <c r="E159" s="11"/>
      <c r="F159" s="23"/>
      <c r="G159" s="24"/>
      <c r="H159" s="24"/>
      <c r="I159" s="23"/>
      <c r="J159" s="27" t="str">
        <f aca="false">IF(A159="","",COUNTIF('Linha do tempo'!$G:$G,A159))</f>
        <v/>
      </c>
      <c r="K159" s="25" t="str">
        <f aca="false">IF(A159="","",TRIM(IF(COUNTIF($A:$A,A159)&gt;1,"ID repetido. ","")&amp;IF(AND(H159&lt;&gt;"",LEN(TRIM(H159))&lt;&gt;64),"Hash deve ter 64 caracteres.","")))</f>
        <v/>
      </c>
      <c r="L159" s="11"/>
    </row>
    <row r="160" customFormat="false" ht="15" hidden="false" customHeight="false" outlineLevel="0" collapsed="false">
      <c r="A160" s="24"/>
      <c r="B160" s="22"/>
      <c r="C160" s="23"/>
      <c r="D160" s="11"/>
      <c r="E160" s="11"/>
      <c r="F160" s="23"/>
      <c r="G160" s="24"/>
      <c r="H160" s="24"/>
      <c r="I160" s="23"/>
      <c r="J160" s="27" t="str">
        <f aca="false">IF(A160="","",COUNTIF('Linha do tempo'!$G:$G,A160))</f>
        <v/>
      </c>
      <c r="K160" s="25" t="str">
        <f aca="false">IF(A160="","",TRIM(IF(COUNTIF($A:$A,A160)&gt;1,"ID repetido. ","")&amp;IF(AND(H160&lt;&gt;"",LEN(TRIM(H160))&lt;&gt;64),"Hash deve ter 64 caracteres.","")))</f>
        <v/>
      </c>
      <c r="L160" s="11"/>
    </row>
    <row r="161" customFormat="false" ht="15" hidden="false" customHeight="false" outlineLevel="0" collapsed="false">
      <c r="A161" s="24"/>
      <c r="B161" s="22"/>
      <c r="C161" s="23"/>
      <c r="D161" s="11"/>
      <c r="E161" s="11"/>
      <c r="F161" s="23"/>
      <c r="G161" s="24"/>
      <c r="H161" s="24"/>
      <c r="I161" s="23"/>
      <c r="J161" s="27" t="str">
        <f aca="false">IF(A161="","",COUNTIF('Linha do tempo'!$G:$G,A161))</f>
        <v/>
      </c>
      <c r="K161" s="25" t="str">
        <f aca="false">IF(A161="","",TRIM(IF(COUNTIF($A:$A,A161)&gt;1,"ID repetido. ","")&amp;IF(AND(H161&lt;&gt;"",LEN(TRIM(H161))&lt;&gt;64),"Hash deve ter 64 caracteres.","")))</f>
        <v/>
      </c>
      <c r="L161" s="11"/>
    </row>
    <row r="162" customFormat="false" ht="15" hidden="false" customHeight="false" outlineLevel="0" collapsed="false">
      <c r="A162" s="24"/>
      <c r="B162" s="22"/>
      <c r="C162" s="23"/>
      <c r="D162" s="11"/>
      <c r="E162" s="11"/>
      <c r="F162" s="23"/>
      <c r="G162" s="24"/>
      <c r="H162" s="24"/>
      <c r="I162" s="23"/>
      <c r="J162" s="27" t="str">
        <f aca="false">IF(A162="","",COUNTIF('Linha do tempo'!$G:$G,A162))</f>
        <v/>
      </c>
      <c r="K162" s="25" t="str">
        <f aca="false">IF(A162="","",TRIM(IF(COUNTIF($A:$A,A162)&gt;1,"ID repetido. ","")&amp;IF(AND(H162&lt;&gt;"",LEN(TRIM(H162))&lt;&gt;64),"Hash deve ter 64 caracteres.","")))</f>
        <v/>
      </c>
      <c r="L162" s="11"/>
    </row>
    <row r="163" customFormat="false" ht="15" hidden="false" customHeight="false" outlineLevel="0" collapsed="false">
      <c r="A163" s="24"/>
      <c r="B163" s="22"/>
      <c r="C163" s="23"/>
      <c r="D163" s="11"/>
      <c r="E163" s="11"/>
      <c r="F163" s="23"/>
      <c r="G163" s="24"/>
      <c r="H163" s="24"/>
      <c r="I163" s="23"/>
      <c r="J163" s="27" t="str">
        <f aca="false">IF(A163="","",COUNTIF('Linha do tempo'!$G:$G,A163))</f>
        <v/>
      </c>
      <c r="K163" s="25" t="str">
        <f aca="false">IF(A163="","",TRIM(IF(COUNTIF($A:$A,A163)&gt;1,"ID repetido. ","")&amp;IF(AND(H163&lt;&gt;"",LEN(TRIM(H163))&lt;&gt;64),"Hash deve ter 64 caracteres.","")))</f>
        <v/>
      </c>
      <c r="L163" s="11"/>
    </row>
    <row r="164" customFormat="false" ht="15" hidden="false" customHeight="false" outlineLevel="0" collapsed="false">
      <c r="A164" s="24"/>
      <c r="B164" s="22"/>
      <c r="C164" s="23"/>
      <c r="D164" s="11"/>
      <c r="E164" s="11"/>
      <c r="F164" s="23"/>
      <c r="G164" s="24"/>
      <c r="H164" s="24"/>
      <c r="I164" s="23"/>
      <c r="J164" s="27" t="str">
        <f aca="false">IF(A164="","",COUNTIF('Linha do tempo'!$G:$G,A164))</f>
        <v/>
      </c>
      <c r="K164" s="25" t="str">
        <f aca="false">IF(A164="","",TRIM(IF(COUNTIF($A:$A,A164)&gt;1,"ID repetido. ","")&amp;IF(AND(H164&lt;&gt;"",LEN(TRIM(H164))&lt;&gt;64),"Hash deve ter 64 caracteres.","")))</f>
        <v/>
      </c>
      <c r="L164" s="11"/>
    </row>
    <row r="165" customFormat="false" ht="15" hidden="false" customHeight="false" outlineLevel="0" collapsed="false">
      <c r="A165" s="24"/>
      <c r="B165" s="22"/>
      <c r="C165" s="23"/>
      <c r="D165" s="11"/>
      <c r="E165" s="11"/>
      <c r="F165" s="23"/>
      <c r="G165" s="24"/>
      <c r="H165" s="24"/>
      <c r="I165" s="23"/>
      <c r="J165" s="27" t="str">
        <f aca="false">IF(A165="","",COUNTIF('Linha do tempo'!$G:$G,A165))</f>
        <v/>
      </c>
      <c r="K165" s="25" t="str">
        <f aca="false">IF(A165="","",TRIM(IF(COUNTIF($A:$A,A165)&gt;1,"ID repetido. ","")&amp;IF(AND(H165&lt;&gt;"",LEN(TRIM(H165))&lt;&gt;64),"Hash deve ter 64 caracteres.","")))</f>
        <v/>
      </c>
      <c r="L165" s="11"/>
    </row>
    <row r="166" customFormat="false" ht="15" hidden="false" customHeight="false" outlineLevel="0" collapsed="false">
      <c r="A166" s="24"/>
      <c r="B166" s="22"/>
      <c r="C166" s="23"/>
      <c r="D166" s="11"/>
      <c r="E166" s="11"/>
      <c r="F166" s="23"/>
      <c r="G166" s="24"/>
      <c r="H166" s="24"/>
      <c r="I166" s="23"/>
      <c r="J166" s="27" t="str">
        <f aca="false">IF(A166="","",COUNTIF('Linha do tempo'!$G:$G,A166))</f>
        <v/>
      </c>
      <c r="K166" s="25" t="str">
        <f aca="false">IF(A166="","",TRIM(IF(COUNTIF($A:$A,A166)&gt;1,"ID repetido. ","")&amp;IF(AND(H166&lt;&gt;"",LEN(TRIM(H166))&lt;&gt;64),"Hash deve ter 64 caracteres.","")))</f>
        <v/>
      </c>
      <c r="L166" s="11"/>
    </row>
    <row r="167" customFormat="false" ht="15" hidden="false" customHeight="false" outlineLevel="0" collapsed="false">
      <c r="A167" s="24"/>
      <c r="B167" s="22"/>
      <c r="C167" s="23"/>
      <c r="D167" s="11"/>
      <c r="E167" s="11"/>
      <c r="F167" s="23"/>
      <c r="G167" s="24"/>
      <c r="H167" s="24"/>
      <c r="I167" s="23"/>
      <c r="J167" s="27" t="str">
        <f aca="false">IF(A167="","",COUNTIF('Linha do tempo'!$G:$G,A167))</f>
        <v/>
      </c>
      <c r="K167" s="25" t="str">
        <f aca="false">IF(A167="","",TRIM(IF(COUNTIF($A:$A,A167)&gt;1,"ID repetido. ","")&amp;IF(AND(H167&lt;&gt;"",LEN(TRIM(H167))&lt;&gt;64),"Hash deve ter 64 caracteres.","")))</f>
        <v/>
      </c>
      <c r="L167" s="11"/>
    </row>
    <row r="168" customFormat="false" ht="15" hidden="false" customHeight="false" outlineLevel="0" collapsed="false">
      <c r="A168" s="24"/>
      <c r="B168" s="22"/>
      <c r="C168" s="23"/>
      <c r="D168" s="11"/>
      <c r="E168" s="11"/>
      <c r="F168" s="23"/>
      <c r="G168" s="24"/>
      <c r="H168" s="24"/>
      <c r="I168" s="23"/>
      <c r="J168" s="27" t="str">
        <f aca="false">IF(A168="","",COUNTIF('Linha do tempo'!$G:$G,A168))</f>
        <v/>
      </c>
      <c r="K168" s="25" t="str">
        <f aca="false">IF(A168="","",TRIM(IF(COUNTIF($A:$A,A168)&gt;1,"ID repetido. ","")&amp;IF(AND(H168&lt;&gt;"",LEN(TRIM(H168))&lt;&gt;64),"Hash deve ter 64 caracteres.","")))</f>
        <v/>
      </c>
      <c r="L168" s="11"/>
    </row>
    <row r="169" customFormat="false" ht="15" hidden="false" customHeight="false" outlineLevel="0" collapsed="false">
      <c r="A169" s="24"/>
      <c r="B169" s="22"/>
      <c r="C169" s="23"/>
      <c r="D169" s="11"/>
      <c r="E169" s="11"/>
      <c r="F169" s="23"/>
      <c r="G169" s="24"/>
      <c r="H169" s="24"/>
      <c r="I169" s="23"/>
      <c r="J169" s="27" t="str">
        <f aca="false">IF(A169="","",COUNTIF('Linha do tempo'!$G:$G,A169))</f>
        <v/>
      </c>
      <c r="K169" s="25" t="str">
        <f aca="false">IF(A169="","",TRIM(IF(COUNTIF($A:$A,A169)&gt;1,"ID repetido. ","")&amp;IF(AND(H169&lt;&gt;"",LEN(TRIM(H169))&lt;&gt;64),"Hash deve ter 64 caracteres.","")))</f>
        <v/>
      </c>
      <c r="L169" s="11"/>
    </row>
    <row r="170" customFormat="false" ht="15" hidden="false" customHeight="false" outlineLevel="0" collapsed="false">
      <c r="A170" s="24"/>
      <c r="B170" s="22"/>
      <c r="C170" s="23"/>
      <c r="D170" s="11"/>
      <c r="E170" s="11"/>
      <c r="F170" s="23"/>
      <c r="G170" s="24"/>
      <c r="H170" s="24"/>
      <c r="I170" s="23"/>
      <c r="J170" s="27" t="str">
        <f aca="false">IF(A170="","",COUNTIF('Linha do tempo'!$G:$G,A170))</f>
        <v/>
      </c>
      <c r="K170" s="25" t="str">
        <f aca="false">IF(A170="","",TRIM(IF(COUNTIF($A:$A,A170)&gt;1,"ID repetido. ","")&amp;IF(AND(H170&lt;&gt;"",LEN(TRIM(H170))&lt;&gt;64),"Hash deve ter 64 caracteres.","")))</f>
        <v/>
      </c>
      <c r="L170" s="11"/>
    </row>
    <row r="171" customFormat="false" ht="15" hidden="false" customHeight="false" outlineLevel="0" collapsed="false">
      <c r="A171" s="24"/>
      <c r="B171" s="22"/>
      <c r="C171" s="23"/>
      <c r="D171" s="11"/>
      <c r="E171" s="11"/>
      <c r="F171" s="23"/>
      <c r="G171" s="24"/>
      <c r="H171" s="24"/>
      <c r="I171" s="23"/>
      <c r="J171" s="27" t="str">
        <f aca="false">IF(A171="","",COUNTIF('Linha do tempo'!$G:$G,A171))</f>
        <v/>
      </c>
      <c r="K171" s="25" t="str">
        <f aca="false">IF(A171="","",TRIM(IF(COUNTIF($A:$A,A171)&gt;1,"ID repetido. ","")&amp;IF(AND(H171&lt;&gt;"",LEN(TRIM(H171))&lt;&gt;64),"Hash deve ter 64 caracteres.","")))</f>
        <v/>
      </c>
      <c r="L171" s="11"/>
    </row>
    <row r="172" customFormat="false" ht="15" hidden="false" customHeight="false" outlineLevel="0" collapsed="false">
      <c r="A172" s="24"/>
      <c r="B172" s="22"/>
      <c r="C172" s="23"/>
      <c r="D172" s="11"/>
      <c r="E172" s="11"/>
      <c r="F172" s="23"/>
      <c r="G172" s="24"/>
      <c r="H172" s="24"/>
      <c r="I172" s="23"/>
      <c r="J172" s="27" t="str">
        <f aca="false">IF(A172="","",COUNTIF('Linha do tempo'!$G:$G,A172))</f>
        <v/>
      </c>
      <c r="K172" s="25" t="str">
        <f aca="false">IF(A172="","",TRIM(IF(COUNTIF($A:$A,A172)&gt;1,"ID repetido. ","")&amp;IF(AND(H172&lt;&gt;"",LEN(TRIM(H172))&lt;&gt;64),"Hash deve ter 64 caracteres.","")))</f>
        <v/>
      </c>
      <c r="L172" s="11"/>
    </row>
    <row r="173" customFormat="false" ht="15" hidden="false" customHeight="false" outlineLevel="0" collapsed="false">
      <c r="A173" s="24"/>
      <c r="B173" s="22"/>
      <c r="C173" s="23"/>
      <c r="D173" s="11"/>
      <c r="E173" s="11"/>
      <c r="F173" s="23"/>
      <c r="G173" s="24"/>
      <c r="H173" s="24"/>
      <c r="I173" s="23"/>
      <c r="J173" s="27" t="str">
        <f aca="false">IF(A173="","",COUNTIF('Linha do tempo'!$G:$G,A173))</f>
        <v/>
      </c>
      <c r="K173" s="25" t="str">
        <f aca="false">IF(A173="","",TRIM(IF(COUNTIF($A:$A,A173)&gt;1,"ID repetido. ","")&amp;IF(AND(H173&lt;&gt;"",LEN(TRIM(H173))&lt;&gt;64),"Hash deve ter 64 caracteres.","")))</f>
        <v/>
      </c>
      <c r="L173" s="11"/>
    </row>
    <row r="174" customFormat="false" ht="15" hidden="false" customHeight="false" outlineLevel="0" collapsed="false">
      <c r="A174" s="24"/>
      <c r="B174" s="22"/>
      <c r="C174" s="23"/>
      <c r="D174" s="11"/>
      <c r="E174" s="11"/>
      <c r="F174" s="23"/>
      <c r="G174" s="24"/>
      <c r="H174" s="24"/>
      <c r="I174" s="23"/>
      <c r="J174" s="27" t="str">
        <f aca="false">IF(A174="","",COUNTIF('Linha do tempo'!$G:$G,A174))</f>
        <v/>
      </c>
      <c r="K174" s="25" t="str">
        <f aca="false">IF(A174="","",TRIM(IF(COUNTIF($A:$A,A174)&gt;1,"ID repetido. ","")&amp;IF(AND(H174&lt;&gt;"",LEN(TRIM(H174))&lt;&gt;64),"Hash deve ter 64 caracteres.","")))</f>
        <v/>
      </c>
      <c r="L174" s="11"/>
    </row>
    <row r="175" customFormat="false" ht="15" hidden="false" customHeight="false" outlineLevel="0" collapsed="false">
      <c r="A175" s="24"/>
      <c r="B175" s="22"/>
      <c r="C175" s="23"/>
      <c r="D175" s="11"/>
      <c r="E175" s="11"/>
      <c r="F175" s="23"/>
      <c r="G175" s="24"/>
      <c r="H175" s="24"/>
      <c r="I175" s="23"/>
      <c r="J175" s="27" t="str">
        <f aca="false">IF(A175="","",COUNTIF('Linha do tempo'!$G:$G,A175))</f>
        <v/>
      </c>
      <c r="K175" s="25" t="str">
        <f aca="false">IF(A175="","",TRIM(IF(COUNTIF($A:$A,A175)&gt;1,"ID repetido. ","")&amp;IF(AND(H175&lt;&gt;"",LEN(TRIM(H175))&lt;&gt;64),"Hash deve ter 64 caracteres.","")))</f>
        <v/>
      </c>
      <c r="L175" s="11"/>
    </row>
    <row r="176" customFormat="false" ht="15" hidden="false" customHeight="false" outlineLevel="0" collapsed="false">
      <c r="A176" s="24"/>
      <c r="B176" s="22"/>
      <c r="C176" s="23"/>
      <c r="D176" s="11"/>
      <c r="E176" s="11"/>
      <c r="F176" s="23"/>
      <c r="G176" s="24"/>
      <c r="H176" s="24"/>
      <c r="I176" s="23"/>
      <c r="J176" s="27" t="str">
        <f aca="false">IF(A176="","",COUNTIF('Linha do tempo'!$G:$G,A176))</f>
        <v/>
      </c>
      <c r="K176" s="25" t="str">
        <f aca="false">IF(A176="","",TRIM(IF(COUNTIF($A:$A,A176)&gt;1,"ID repetido. ","")&amp;IF(AND(H176&lt;&gt;"",LEN(TRIM(H176))&lt;&gt;64),"Hash deve ter 64 caracteres.","")))</f>
        <v/>
      </c>
      <c r="L176" s="11"/>
    </row>
    <row r="177" customFormat="false" ht="15" hidden="false" customHeight="false" outlineLevel="0" collapsed="false">
      <c r="A177" s="24"/>
      <c r="B177" s="22"/>
      <c r="C177" s="23"/>
      <c r="D177" s="11"/>
      <c r="E177" s="11"/>
      <c r="F177" s="23"/>
      <c r="G177" s="24"/>
      <c r="H177" s="24"/>
      <c r="I177" s="23"/>
      <c r="J177" s="27" t="str">
        <f aca="false">IF(A177="","",COUNTIF('Linha do tempo'!$G:$G,A177))</f>
        <v/>
      </c>
      <c r="K177" s="25" t="str">
        <f aca="false">IF(A177="","",TRIM(IF(COUNTIF($A:$A,A177)&gt;1,"ID repetido. ","")&amp;IF(AND(H177&lt;&gt;"",LEN(TRIM(H177))&lt;&gt;64),"Hash deve ter 64 caracteres.","")))</f>
        <v/>
      </c>
      <c r="L177" s="11"/>
    </row>
    <row r="178" customFormat="false" ht="15" hidden="false" customHeight="false" outlineLevel="0" collapsed="false">
      <c r="A178" s="24"/>
      <c r="B178" s="22"/>
      <c r="C178" s="23"/>
      <c r="D178" s="11"/>
      <c r="E178" s="11"/>
      <c r="F178" s="23"/>
      <c r="G178" s="24"/>
      <c r="H178" s="24"/>
      <c r="I178" s="23"/>
      <c r="J178" s="27" t="str">
        <f aca="false">IF(A178="","",COUNTIF('Linha do tempo'!$G:$G,A178))</f>
        <v/>
      </c>
      <c r="K178" s="25" t="str">
        <f aca="false">IF(A178="","",TRIM(IF(COUNTIF($A:$A,A178)&gt;1,"ID repetido. ","")&amp;IF(AND(H178&lt;&gt;"",LEN(TRIM(H178))&lt;&gt;64),"Hash deve ter 64 caracteres.","")))</f>
        <v/>
      </c>
      <c r="L178" s="11"/>
    </row>
    <row r="179" customFormat="false" ht="15" hidden="false" customHeight="false" outlineLevel="0" collapsed="false">
      <c r="A179" s="24"/>
      <c r="B179" s="22"/>
      <c r="C179" s="23"/>
      <c r="D179" s="11"/>
      <c r="E179" s="11"/>
      <c r="F179" s="23"/>
      <c r="G179" s="24"/>
      <c r="H179" s="24"/>
      <c r="I179" s="23"/>
      <c r="J179" s="27" t="str">
        <f aca="false">IF(A179="","",COUNTIF('Linha do tempo'!$G:$G,A179))</f>
        <v/>
      </c>
      <c r="K179" s="25" t="str">
        <f aca="false">IF(A179="","",TRIM(IF(COUNTIF($A:$A,A179)&gt;1,"ID repetido. ","")&amp;IF(AND(H179&lt;&gt;"",LEN(TRIM(H179))&lt;&gt;64),"Hash deve ter 64 caracteres.","")))</f>
        <v/>
      </c>
      <c r="L179" s="11"/>
    </row>
    <row r="180" customFormat="false" ht="15" hidden="false" customHeight="false" outlineLevel="0" collapsed="false">
      <c r="A180" s="24"/>
      <c r="B180" s="22"/>
      <c r="C180" s="23"/>
      <c r="D180" s="11"/>
      <c r="E180" s="11"/>
      <c r="F180" s="23"/>
      <c r="G180" s="24"/>
      <c r="H180" s="24"/>
      <c r="I180" s="23"/>
      <c r="J180" s="27" t="str">
        <f aca="false">IF(A180="","",COUNTIF('Linha do tempo'!$G:$G,A180))</f>
        <v/>
      </c>
      <c r="K180" s="25" t="str">
        <f aca="false">IF(A180="","",TRIM(IF(COUNTIF($A:$A,A180)&gt;1,"ID repetido. ","")&amp;IF(AND(H180&lt;&gt;"",LEN(TRIM(H180))&lt;&gt;64),"Hash deve ter 64 caracteres.","")))</f>
        <v/>
      </c>
      <c r="L180" s="11"/>
    </row>
    <row r="181" customFormat="false" ht="15" hidden="false" customHeight="false" outlineLevel="0" collapsed="false">
      <c r="A181" s="24"/>
      <c r="B181" s="22"/>
      <c r="C181" s="23"/>
      <c r="D181" s="11"/>
      <c r="E181" s="11"/>
      <c r="F181" s="23"/>
      <c r="G181" s="24"/>
      <c r="H181" s="24"/>
      <c r="I181" s="23"/>
      <c r="J181" s="27" t="str">
        <f aca="false">IF(A181="","",COUNTIF('Linha do tempo'!$G:$G,A181))</f>
        <v/>
      </c>
      <c r="K181" s="25" t="str">
        <f aca="false">IF(A181="","",TRIM(IF(COUNTIF($A:$A,A181)&gt;1,"ID repetido. ","")&amp;IF(AND(H181&lt;&gt;"",LEN(TRIM(H181))&lt;&gt;64),"Hash deve ter 64 caracteres.","")))</f>
        <v/>
      </c>
      <c r="L181" s="11"/>
    </row>
    <row r="182" customFormat="false" ht="15" hidden="false" customHeight="false" outlineLevel="0" collapsed="false">
      <c r="A182" s="24"/>
      <c r="B182" s="22"/>
      <c r="C182" s="23"/>
      <c r="D182" s="11"/>
      <c r="E182" s="11"/>
      <c r="F182" s="23"/>
      <c r="G182" s="24"/>
      <c r="H182" s="24"/>
      <c r="I182" s="23"/>
      <c r="J182" s="27" t="str">
        <f aca="false">IF(A182="","",COUNTIF('Linha do tempo'!$G:$G,A182))</f>
        <v/>
      </c>
      <c r="K182" s="25" t="str">
        <f aca="false">IF(A182="","",TRIM(IF(COUNTIF($A:$A,A182)&gt;1,"ID repetido. ","")&amp;IF(AND(H182&lt;&gt;"",LEN(TRIM(H182))&lt;&gt;64),"Hash deve ter 64 caracteres.","")))</f>
        <v/>
      </c>
      <c r="L182" s="11"/>
    </row>
    <row r="183" customFormat="false" ht="15" hidden="false" customHeight="false" outlineLevel="0" collapsed="false">
      <c r="A183" s="24"/>
      <c r="B183" s="22"/>
      <c r="C183" s="23"/>
      <c r="D183" s="11"/>
      <c r="E183" s="11"/>
      <c r="F183" s="23"/>
      <c r="G183" s="24"/>
      <c r="H183" s="24"/>
      <c r="I183" s="23"/>
      <c r="J183" s="27" t="str">
        <f aca="false">IF(A183="","",COUNTIF('Linha do tempo'!$G:$G,A183))</f>
        <v/>
      </c>
      <c r="K183" s="25" t="str">
        <f aca="false">IF(A183="","",TRIM(IF(COUNTIF($A:$A,A183)&gt;1,"ID repetido. ","")&amp;IF(AND(H183&lt;&gt;"",LEN(TRIM(H183))&lt;&gt;64),"Hash deve ter 64 caracteres.","")))</f>
        <v/>
      </c>
      <c r="L183" s="11"/>
    </row>
    <row r="184" customFormat="false" ht="15" hidden="false" customHeight="false" outlineLevel="0" collapsed="false">
      <c r="A184" s="24"/>
      <c r="B184" s="22"/>
      <c r="C184" s="23"/>
      <c r="D184" s="11"/>
      <c r="E184" s="11"/>
      <c r="F184" s="23"/>
      <c r="G184" s="24"/>
      <c r="H184" s="24"/>
      <c r="I184" s="23"/>
      <c r="J184" s="27" t="str">
        <f aca="false">IF(A184="","",COUNTIF('Linha do tempo'!$G:$G,A184))</f>
        <v/>
      </c>
      <c r="K184" s="25" t="str">
        <f aca="false">IF(A184="","",TRIM(IF(COUNTIF($A:$A,A184)&gt;1,"ID repetido. ","")&amp;IF(AND(H184&lt;&gt;"",LEN(TRIM(H184))&lt;&gt;64),"Hash deve ter 64 caracteres.","")))</f>
        <v/>
      </c>
      <c r="L184" s="11"/>
    </row>
    <row r="185" customFormat="false" ht="15" hidden="false" customHeight="false" outlineLevel="0" collapsed="false">
      <c r="A185" s="24"/>
      <c r="B185" s="22"/>
      <c r="C185" s="23"/>
      <c r="D185" s="11"/>
      <c r="E185" s="11"/>
      <c r="F185" s="23"/>
      <c r="G185" s="24"/>
      <c r="H185" s="24"/>
      <c r="I185" s="23"/>
      <c r="J185" s="27" t="str">
        <f aca="false">IF(A185="","",COUNTIF('Linha do tempo'!$G:$G,A185))</f>
        <v/>
      </c>
      <c r="K185" s="25" t="str">
        <f aca="false">IF(A185="","",TRIM(IF(COUNTIF($A:$A,A185)&gt;1,"ID repetido. ","")&amp;IF(AND(H185&lt;&gt;"",LEN(TRIM(H185))&lt;&gt;64),"Hash deve ter 64 caracteres.","")))</f>
        <v/>
      </c>
      <c r="L185" s="11"/>
    </row>
    <row r="186" customFormat="false" ht="15" hidden="false" customHeight="false" outlineLevel="0" collapsed="false">
      <c r="A186" s="24"/>
      <c r="B186" s="22"/>
      <c r="C186" s="23"/>
      <c r="D186" s="11"/>
      <c r="E186" s="11"/>
      <c r="F186" s="23"/>
      <c r="G186" s="24"/>
      <c r="H186" s="24"/>
      <c r="I186" s="23"/>
      <c r="J186" s="27" t="str">
        <f aca="false">IF(A186="","",COUNTIF('Linha do tempo'!$G:$G,A186))</f>
        <v/>
      </c>
      <c r="K186" s="25" t="str">
        <f aca="false">IF(A186="","",TRIM(IF(COUNTIF($A:$A,A186)&gt;1,"ID repetido. ","")&amp;IF(AND(H186&lt;&gt;"",LEN(TRIM(H186))&lt;&gt;64),"Hash deve ter 64 caracteres.","")))</f>
        <v/>
      </c>
      <c r="L186" s="11"/>
    </row>
    <row r="187" customFormat="false" ht="15" hidden="false" customHeight="false" outlineLevel="0" collapsed="false">
      <c r="A187" s="24"/>
      <c r="B187" s="22"/>
      <c r="C187" s="23"/>
      <c r="D187" s="11"/>
      <c r="E187" s="11"/>
      <c r="F187" s="23"/>
      <c r="G187" s="24"/>
      <c r="H187" s="24"/>
      <c r="I187" s="23"/>
      <c r="J187" s="27" t="str">
        <f aca="false">IF(A187="","",COUNTIF('Linha do tempo'!$G:$G,A187))</f>
        <v/>
      </c>
      <c r="K187" s="25" t="str">
        <f aca="false">IF(A187="","",TRIM(IF(COUNTIF($A:$A,A187)&gt;1,"ID repetido. ","")&amp;IF(AND(H187&lt;&gt;"",LEN(TRIM(H187))&lt;&gt;64),"Hash deve ter 64 caracteres.","")))</f>
        <v/>
      </c>
      <c r="L187" s="11"/>
    </row>
    <row r="188" customFormat="false" ht="15" hidden="false" customHeight="false" outlineLevel="0" collapsed="false">
      <c r="A188" s="24"/>
      <c r="B188" s="22"/>
      <c r="C188" s="23"/>
      <c r="D188" s="11"/>
      <c r="E188" s="11"/>
      <c r="F188" s="23"/>
      <c r="G188" s="24"/>
      <c r="H188" s="24"/>
      <c r="I188" s="23"/>
      <c r="J188" s="27" t="str">
        <f aca="false">IF(A188="","",COUNTIF('Linha do tempo'!$G:$G,A188))</f>
        <v/>
      </c>
      <c r="K188" s="25" t="str">
        <f aca="false">IF(A188="","",TRIM(IF(COUNTIF($A:$A,A188)&gt;1,"ID repetido. ","")&amp;IF(AND(H188&lt;&gt;"",LEN(TRIM(H188))&lt;&gt;64),"Hash deve ter 64 caracteres.","")))</f>
        <v/>
      </c>
      <c r="L188" s="11"/>
    </row>
    <row r="189" customFormat="false" ht="15" hidden="false" customHeight="false" outlineLevel="0" collapsed="false">
      <c r="A189" s="24"/>
      <c r="B189" s="22"/>
      <c r="C189" s="23"/>
      <c r="D189" s="11"/>
      <c r="E189" s="11"/>
      <c r="F189" s="23"/>
      <c r="G189" s="24"/>
      <c r="H189" s="24"/>
      <c r="I189" s="23"/>
      <c r="J189" s="27" t="str">
        <f aca="false">IF(A189="","",COUNTIF('Linha do tempo'!$G:$G,A189))</f>
        <v/>
      </c>
      <c r="K189" s="25" t="str">
        <f aca="false">IF(A189="","",TRIM(IF(COUNTIF($A:$A,A189)&gt;1,"ID repetido. ","")&amp;IF(AND(H189&lt;&gt;"",LEN(TRIM(H189))&lt;&gt;64),"Hash deve ter 64 caracteres.","")))</f>
        <v/>
      </c>
      <c r="L189" s="11"/>
    </row>
    <row r="190" customFormat="false" ht="15" hidden="false" customHeight="false" outlineLevel="0" collapsed="false">
      <c r="A190" s="24"/>
      <c r="B190" s="22"/>
      <c r="C190" s="23"/>
      <c r="D190" s="11"/>
      <c r="E190" s="11"/>
      <c r="F190" s="23"/>
      <c r="G190" s="24"/>
      <c r="H190" s="24"/>
      <c r="I190" s="23"/>
      <c r="J190" s="27" t="str">
        <f aca="false">IF(A190="","",COUNTIF('Linha do tempo'!$G:$G,A190))</f>
        <v/>
      </c>
      <c r="K190" s="25" t="str">
        <f aca="false">IF(A190="","",TRIM(IF(COUNTIF($A:$A,A190)&gt;1,"ID repetido. ","")&amp;IF(AND(H190&lt;&gt;"",LEN(TRIM(H190))&lt;&gt;64),"Hash deve ter 64 caracteres.","")))</f>
        <v/>
      </c>
      <c r="L190" s="11"/>
    </row>
    <row r="191" customFormat="false" ht="15" hidden="false" customHeight="false" outlineLevel="0" collapsed="false">
      <c r="A191" s="24"/>
      <c r="B191" s="22"/>
      <c r="C191" s="23"/>
      <c r="D191" s="11"/>
      <c r="E191" s="11"/>
      <c r="F191" s="23"/>
      <c r="G191" s="24"/>
      <c r="H191" s="24"/>
      <c r="I191" s="23"/>
      <c r="J191" s="27" t="str">
        <f aca="false">IF(A191="","",COUNTIF('Linha do tempo'!$G:$G,A191))</f>
        <v/>
      </c>
      <c r="K191" s="25" t="str">
        <f aca="false">IF(A191="","",TRIM(IF(COUNTIF($A:$A,A191)&gt;1,"ID repetido. ","")&amp;IF(AND(H191&lt;&gt;"",LEN(TRIM(H191))&lt;&gt;64),"Hash deve ter 64 caracteres.","")))</f>
        <v/>
      </c>
      <c r="L191" s="11"/>
    </row>
    <row r="192" customFormat="false" ht="15" hidden="false" customHeight="false" outlineLevel="0" collapsed="false">
      <c r="A192" s="24"/>
      <c r="B192" s="22"/>
      <c r="C192" s="23"/>
      <c r="D192" s="11"/>
      <c r="E192" s="11"/>
      <c r="F192" s="23"/>
      <c r="G192" s="24"/>
      <c r="H192" s="24"/>
      <c r="I192" s="23"/>
      <c r="J192" s="27" t="str">
        <f aca="false">IF(A192="","",COUNTIF('Linha do tempo'!$G:$G,A192))</f>
        <v/>
      </c>
      <c r="K192" s="25" t="str">
        <f aca="false">IF(A192="","",TRIM(IF(COUNTIF($A:$A,A192)&gt;1,"ID repetido. ","")&amp;IF(AND(H192&lt;&gt;"",LEN(TRIM(H192))&lt;&gt;64),"Hash deve ter 64 caracteres.","")))</f>
        <v/>
      </c>
      <c r="L192" s="11"/>
    </row>
    <row r="193" customFormat="false" ht="15" hidden="false" customHeight="false" outlineLevel="0" collapsed="false">
      <c r="A193" s="24"/>
      <c r="B193" s="22"/>
      <c r="C193" s="23"/>
      <c r="D193" s="11"/>
      <c r="E193" s="11"/>
      <c r="F193" s="23"/>
      <c r="G193" s="24"/>
      <c r="H193" s="24"/>
      <c r="I193" s="23"/>
      <c r="J193" s="27" t="str">
        <f aca="false">IF(A193="","",COUNTIF('Linha do tempo'!$G:$G,A193))</f>
        <v/>
      </c>
      <c r="K193" s="25" t="str">
        <f aca="false">IF(A193="","",TRIM(IF(COUNTIF($A:$A,A193)&gt;1,"ID repetido. ","")&amp;IF(AND(H193&lt;&gt;"",LEN(TRIM(H193))&lt;&gt;64),"Hash deve ter 64 caracteres.","")))</f>
        <v/>
      </c>
      <c r="L193" s="11"/>
    </row>
    <row r="194" customFormat="false" ht="15" hidden="false" customHeight="false" outlineLevel="0" collapsed="false">
      <c r="A194" s="24"/>
      <c r="B194" s="22"/>
      <c r="C194" s="23"/>
      <c r="D194" s="11"/>
      <c r="E194" s="11"/>
      <c r="F194" s="23"/>
      <c r="G194" s="24"/>
      <c r="H194" s="24"/>
      <c r="I194" s="23"/>
      <c r="J194" s="27" t="str">
        <f aca="false">IF(A194="","",COUNTIF('Linha do tempo'!$G:$G,A194))</f>
        <v/>
      </c>
      <c r="K194" s="25" t="str">
        <f aca="false">IF(A194="","",TRIM(IF(COUNTIF($A:$A,A194)&gt;1,"ID repetido. ","")&amp;IF(AND(H194&lt;&gt;"",LEN(TRIM(H194))&lt;&gt;64),"Hash deve ter 64 caracteres.","")))</f>
        <v/>
      </c>
      <c r="L194" s="11"/>
    </row>
    <row r="195" customFormat="false" ht="15" hidden="false" customHeight="false" outlineLevel="0" collapsed="false">
      <c r="A195" s="24"/>
      <c r="B195" s="22"/>
      <c r="C195" s="23"/>
      <c r="D195" s="11"/>
      <c r="E195" s="11"/>
      <c r="F195" s="23"/>
      <c r="G195" s="24"/>
      <c r="H195" s="24"/>
      <c r="I195" s="23"/>
      <c r="J195" s="27" t="str">
        <f aca="false">IF(A195="","",COUNTIF('Linha do tempo'!$G:$G,A195))</f>
        <v/>
      </c>
      <c r="K195" s="25" t="str">
        <f aca="false">IF(A195="","",TRIM(IF(COUNTIF($A:$A,A195)&gt;1,"ID repetido. ","")&amp;IF(AND(H195&lt;&gt;"",LEN(TRIM(H195))&lt;&gt;64),"Hash deve ter 64 caracteres.","")))</f>
        <v/>
      </c>
      <c r="L195" s="11"/>
    </row>
    <row r="196" customFormat="false" ht="15" hidden="false" customHeight="false" outlineLevel="0" collapsed="false">
      <c r="A196" s="24"/>
      <c r="B196" s="22"/>
      <c r="C196" s="23"/>
      <c r="D196" s="11"/>
      <c r="E196" s="11"/>
      <c r="F196" s="23"/>
      <c r="G196" s="24"/>
      <c r="H196" s="24"/>
      <c r="I196" s="23"/>
      <c r="J196" s="27" t="str">
        <f aca="false">IF(A196="","",COUNTIF('Linha do tempo'!$G:$G,A196))</f>
        <v/>
      </c>
      <c r="K196" s="25" t="str">
        <f aca="false">IF(A196="","",TRIM(IF(COUNTIF($A:$A,A196)&gt;1,"ID repetido. ","")&amp;IF(AND(H196&lt;&gt;"",LEN(TRIM(H196))&lt;&gt;64),"Hash deve ter 64 caracteres.","")))</f>
        <v/>
      </c>
      <c r="L196" s="11"/>
    </row>
    <row r="197" customFormat="false" ht="15" hidden="false" customHeight="false" outlineLevel="0" collapsed="false">
      <c r="A197" s="24"/>
      <c r="B197" s="22"/>
      <c r="C197" s="23"/>
      <c r="D197" s="11"/>
      <c r="E197" s="11"/>
      <c r="F197" s="23"/>
      <c r="G197" s="24"/>
      <c r="H197" s="24"/>
      <c r="I197" s="23"/>
      <c r="J197" s="27" t="str">
        <f aca="false">IF(A197="","",COUNTIF('Linha do tempo'!$G:$G,A197))</f>
        <v/>
      </c>
      <c r="K197" s="25" t="str">
        <f aca="false">IF(A197="","",TRIM(IF(COUNTIF($A:$A,A197)&gt;1,"ID repetido. ","")&amp;IF(AND(H197&lt;&gt;"",LEN(TRIM(H197))&lt;&gt;64),"Hash deve ter 64 caracteres.","")))</f>
        <v/>
      </c>
      <c r="L197" s="11"/>
    </row>
    <row r="198" customFormat="false" ht="15" hidden="false" customHeight="false" outlineLevel="0" collapsed="false">
      <c r="A198" s="24"/>
      <c r="B198" s="22"/>
      <c r="C198" s="23"/>
      <c r="D198" s="11"/>
      <c r="E198" s="11"/>
      <c r="F198" s="23"/>
      <c r="G198" s="24"/>
      <c r="H198" s="24"/>
      <c r="I198" s="23"/>
      <c r="J198" s="27" t="str">
        <f aca="false">IF(A198="","",COUNTIF('Linha do tempo'!$G:$G,A198))</f>
        <v/>
      </c>
      <c r="K198" s="25" t="str">
        <f aca="false">IF(A198="","",TRIM(IF(COUNTIF($A:$A,A198)&gt;1,"ID repetido. ","")&amp;IF(AND(H198&lt;&gt;"",LEN(TRIM(H198))&lt;&gt;64),"Hash deve ter 64 caracteres.","")))</f>
        <v/>
      </c>
      <c r="L198" s="11"/>
    </row>
    <row r="199" customFormat="false" ht="15" hidden="false" customHeight="false" outlineLevel="0" collapsed="false">
      <c r="A199" s="24"/>
      <c r="B199" s="22"/>
      <c r="C199" s="23"/>
      <c r="D199" s="11"/>
      <c r="E199" s="11"/>
      <c r="F199" s="23"/>
      <c r="G199" s="24"/>
      <c r="H199" s="24"/>
      <c r="I199" s="23"/>
      <c r="J199" s="27" t="str">
        <f aca="false">IF(A199="","",COUNTIF('Linha do tempo'!$G:$G,A199))</f>
        <v/>
      </c>
      <c r="K199" s="25" t="str">
        <f aca="false">IF(A199="","",TRIM(IF(COUNTIF($A:$A,A199)&gt;1,"ID repetido. ","")&amp;IF(AND(H199&lt;&gt;"",LEN(TRIM(H199))&lt;&gt;64),"Hash deve ter 64 caracteres.","")))</f>
        <v/>
      </c>
      <c r="L199" s="11"/>
    </row>
    <row r="200" customFormat="false" ht="15" hidden="false" customHeight="false" outlineLevel="0" collapsed="false">
      <c r="A200" s="24"/>
      <c r="B200" s="22"/>
      <c r="C200" s="23"/>
      <c r="D200" s="11"/>
      <c r="E200" s="11"/>
      <c r="F200" s="23"/>
      <c r="G200" s="24"/>
      <c r="H200" s="24"/>
      <c r="I200" s="23"/>
      <c r="J200" s="27" t="str">
        <f aca="false">IF(A200="","",COUNTIF('Linha do tempo'!$G:$G,A200))</f>
        <v/>
      </c>
      <c r="K200" s="25" t="str">
        <f aca="false">IF(A200="","",TRIM(IF(COUNTIF($A:$A,A200)&gt;1,"ID repetido. ","")&amp;IF(AND(H200&lt;&gt;"",LEN(TRIM(H200))&lt;&gt;64),"Hash deve ter 64 caracteres.","")))</f>
        <v/>
      </c>
      <c r="L200" s="11"/>
    </row>
    <row r="201" customFormat="false" ht="15" hidden="false" customHeight="false" outlineLevel="0" collapsed="false">
      <c r="A201" s="24"/>
      <c r="B201" s="22"/>
      <c r="C201" s="23"/>
      <c r="D201" s="11"/>
      <c r="E201" s="11"/>
      <c r="F201" s="23"/>
      <c r="G201" s="24"/>
      <c r="H201" s="24"/>
      <c r="I201" s="23"/>
      <c r="J201" s="27" t="str">
        <f aca="false">IF(A201="","",COUNTIF('Linha do tempo'!$G:$G,A201))</f>
        <v/>
      </c>
      <c r="K201" s="25" t="str">
        <f aca="false">IF(A201="","",TRIM(IF(COUNTIF($A:$A,A201)&gt;1,"ID repetido. ","")&amp;IF(AND(H201&lt;&gt;"",LEN(TRIM(H201))&lt;&gt;64),"Hash deve ter 64 caracteres.","")))</f>
        <v/>
      </c>
      <c r="L201" s="11"/>
    </row>
    <row r="202" customFormat="false" ht="15" hidden="false" customHeight="false" outlineLevel="0" collapsed="false">
      <c r="A202" s="24"/>
      <c r="B202" s="22"/>
      <c r="C202" s="23"/>
      <c r="D202" s="11"/>
      <c r="E202" s="11"/>
      <c r="F202" s="23"/>
      <c r="G202" s="24"/>
      <c r="H202" s="24"/>
      <c r="I202" s="23"/>
      <c r="J202" s="27" t="str">
        <f aca="false">IF(A202="","",COUNTIF('Linha do tempo'!$G:$G,A202))</f>
        <v/>
      </c>
      <c r="K202" s="25" t="str">
        <f aca="false">IF(A202="","",TRIM(IF(COUNTIF($A:$A,A202)&gt;1,"ID repetido. ","")&amp;IF(AND(H202&lt;&gt;"",LEN(TRIM(H202))&lt;&gt;64),"Hash deve ter 64 caracteres.","")))</f>
        <v/>
      </c>
      <c r="L202" s="11"/>
    </row>
    <row r="203" customFormat="false" ht="15" hidden="false" customHeight="false" outlineLevel="0" collapsed="false">
      <c r="A203" s="24"/>
      <c r="B203" s="22"/>
      <c r="C203" s="23"/>
      <c r="D203" s="11"/>
      <c r="E203" s="11"/>
      <c r="F203" s="23"/>
      <c r="G203" s="24"/>
      <c r="H203" s="24"/>
      <c r="I203" s="23"/>
      <c r="J203" s="27" t="str">
        <f aca="false">IF(A203="","",COUNTIF('Linha do tempo'!$G:$G,A203))</f>
        <v/>
      </c>
      <c r="K203" s="25" t="str">
        <f aca="false">IF(A203="","",TRIM(IF(COUNTIF($A:$A,A203)&gt;1,"ID repetido. ","")&amp;IF(AND(H203&lt;&gt;"",LEN(TRIM(H203))&lt;&gt;64),"Hash deve ter 64 caracteres.","")))</f>
        <v/>
      </c>
      <c r="L203" s="11"/>
    </row>
    <row r="204" customFormat="false" ht="15" hidden="false" customHeight="false" outlineLevel="0" collapsed="false">
      <c r="A204" s="24"/>
      <c r="B204" s="22"/>
      <c r="C204" s="23"/>
      <c r="D204" s="11"/>
      <c r="E204" s="11"/>
      <c r="F204" s="23"/>
      <c r="G204" s="24"/>
      <c r="H204" s="24"/>
      <c r="I204" s="23"/>
      <c r="J204" s="27" t="str">
        <f aca="false">IF(A204="","",COUNTIF('Linha do tempo'!$G:$G,A204))</f>
        <v/>
      </c>
      <c r="K204" s="25" t="str">
        <f aca="false">IF(A204="","",TRIM(IF(COUNTIF($A:$A,A204)&gt;1,"ID repetido. ","")&amp;IF(AND(H204&lt;&gt;"",LEN(TRIM(H204))&lt;&gt;64),"Hash deve ter 64 caracteres.","")))</f>
        <v/>
      </c>
      <c r="L204" s="11"/>
    </row>
    <row r="205" customFormat="false" ht="15" hidden="false" customHeight="false" outlineLevel="0" collapsed="false">
      <c r="A205" s="24"/>
      <c r="B205" s="22"/>
      <c r="C205" s="23"/>
      <c r="D205" s="11"/>
      <c r="E205" s="11"/>
      <c r="F205" s="23"/>
      <c r="G205" s="24"/>
      <c r="H205" s="24"/>
      <c r="I205" s="23"/>
      <c r="J205" s="27" t="str">
        <f aca="false">IF(A205="","",COUNTIF('Linha do tempo'!$G:$G,A205))</f>
        <v/>
      </c>
      <c r="K205" s="25" t="str">
        <f aca="false">IF(A205="","",TRIM(IF(COUNTIF($A:$A,A205)&gt;1,"ID repetido. ","")&amp;IF(AND(H205&lt;&gt;"",LEN(TRIM(H205))&lt;&gt;64),"Hash deve ter 64 caracteres.","")))</f>
        <v/>
      </c>
      <c r="L205" s="11"/>
    </row>
    <row r="206" customFormat="false" ht="15" hidden="false" customHeight="false" outlineLevel="0" collapsed="false">
      <c r="A206" s="24"/>
      <c r="B206" s="22"/>
      <c r="C206" s="23"/>
      <c r="D206" s="11"/>
      <c r="E206" s="11"/>
      <c r="F206" s="23"/>
      <c r="G206" s="24"/>
      <c r="H206" s="24"/>
      <c r="I206" s="23"/>
      <c r="J206" s="27" t="str">
        <f aca="false">IF(A206="","",COUNTIF('Linha do tempo'!$G:$G,A206))</f>
        <v/>
      </c>
      <c r="K206" s="25" t="str">
        <f aca="false">IF(A206="","",TRIM(IF(COUNTIF($A:$A,A206)&gt;1,"ID repetido. ","")&amp;IF(AND(H206&lt;&gt;"",LEN(TRIM(H206))&lt;&gt;64),"Hash deve ter 64 caracteres.","")))</f>
        <v/>
      </c>
      <c r="L206" s="11"/>
    </row>
    <row r="207" customFormat="false" ht="15" hidden="false" customHeight="false" outlineLevel="0" collapsed="false">
      <c r="A207" s="24"/>
      <c r="B207" s="22"/>
      <c r="C207" s="23"/>
      <c r="D207" s="11"/>
      <c r="E207" s="11"/>
      <c r="F207" s="23"/>
      <c r="G207" s="24"/>
      <c r="H207" s="24"/>
      <c r="I207" s="23"/>
      <c r="J207" s="27" t="str">
        <f aca="false">IF(A207="","",COUNTIF('Linha do tempo'!$G:$G,A207))</f>
        <v/>
      </c>
      <c r="K207" s="25" t="str">
        <f aca="false">IF(A207="","",TRIM(IF(COUNTIF($A:$A,A207)&gt;1,"ID repetido. ","")&amp;IF(AND(H207&lt;&gt;"",LEN(TRIM(H207))&lt;&gt;64),"Hash deve ter 64 caracteres.","")))</f>
        <v/>
      </c>
      <c r="L207" s="11"/>
    </row>
    <row r="208" customFormat="false" ht="15" hidden="false" customHeight="false" outlineLevel="0" collapsed="false">
      <c r="A208" s="24"/>
      <c r="B208" s="22"/>
      <c r="C208" s="23"/>
      <c r="D208" s="11"/>
      <c r="E208" s="11"/>
      <c r="F208" s="23"/>
      <c r="G208" s="24"/>
      <c r="H208" s="24"/>
      <c r="I208" s="23"/>
      <c r="J208" s="27" t="str">
        <f aca="false">IF(A208="","",COUNTIF('Linha do tempo'!$G:$G,A208))</f>
        <v/>
      </c>
      <c r="K208" s="25" t="str">
        <f aca="false">IF(A208="","",TRIM(IF(COUNTIF($A:$A,A208)&gt;1,"ID repetido. ","")&amp;IF(AND(H208&lt;&gt;"",LEN(TRIM(H208))&lt;&gt;64),"Hash deve ter 64 caracteres.","")))</f>
        <v/>
      </c>
      <c r="L208" s="11"/>
    </row>
    <row r="209" customFormat="false" ht="15" hidden="false" customHeight="false" outlineLevel="0" collapsed="false">
      <c r="A209" s="24"/>
      <c r="B209" s="22"/>
      <c r="C209" s="23"/>
      <c r="D209" s="11"/>
      <c r="E209" s="11"/>
      <c r="F209" s="23"/>
      <c r="G209" s="24"/>
      <c r="H209" s="24"/>
      <c r="I209" s="23"/>
      <c r="J209" s="27" t="str">
        <f aca="false">IF(A209="","",COUNTIF('Linha do tempo'!$G:$G,A209))</f>
        <v/>
      </c>
      <c r="K209" s="25" t="str">
        <f aca="false">IF(A209="","",TRIM(IF(COUNTIF($A:$A,A209)&gt;1,"ID repetido. ","")&amp;IF(AND(H209&lt;&gt;"",LEN(TRIM(H209))&lt;&gt;64),"Hash deve ter 64 caracteres.","")))</f>
        <v/>
      </c>
      <c r="L209" s="11"/>
    </row>
    <row r="210" customFormat="false" ht="15" hidden="false" customHeight="false" outlineLevel="0" collapsed="false">
      <c r="A210" s="24"/>
      <c r="B210" s="22"/>
      <c r="C210" s="23"/>
      <c r="D210" s="11"/>
      <c r="E210" s="11"/>
      <c r="F210" s="23"/>
      <c r="G210" s="24"/>
      <c r="H210" s="24"/>
      <c r="I210" s="23"/>
      <c r="J210" s="27" t="str">
        <f aca="false">IF(A210="","",COUNTIF('Linha do tempo'!$G:$G,A210))</f>
        <v/>
      </c>
      <c r="K210" s="25" t="str">
        <f aca="false">IF(A210="","",TRIM(IF(COUNTIF($A:$A,A210)&gt;1,"ID repetido. ","")&amp;IF(AND(H210&lt;&gt;"",LEN(TRIM(H210))&lt;&gt;64),"Hash deve ter 64 caracteres.","")))</f>
        <v/>
      </c>
      <c r="L210" s="11"/>
    </row>
    <row r="211" customFormat="false" ht="15" hidden="false" customHeight="false" outlineLevel="0" collapsed="false">
      <c r="A211" s="24"/>
      <c r="B211" s="22"/>
      <c r="C211" s="23"/>
      <c r="D211" s="11"/>
      <c r="E211" s="11"/>
      <c r="F211" s="23"/>
      <c r="G211" s="24"/>
      <c r="H211" s="24"/>
      <c r="I211" s="23"/>
      <c r="J211" s="27" t="str">
        <f aca="false">IF(A211="","",COUNTIF('Linha do tempo'!$G:$G,A211))</f>
        <v/>
      </c>
      <c r="K211" s="25" t="str">
        <f aca="false">IF(A211="","",TRIM(IF(COUNTIF($A:$A,A211)&gt;1,"ID repetido. ","")&amp;IF(AND(H211&lt;&gt;"",LEN(TRIM(H211))&lt;&gt;64),"Hash deve ter 64 caracteres.","")))</f>
        <v/>
      </c>
      <c r="L211" s="11"/>
    </row>
    <row r="212" customFormat="false" ht="15" hidden="false" customHeight="false" outlineLevel="0" collapsed="false">
      <c r="A212" s="24"/>
      <c r="B212" s="22"/>
      <c r="C212" s="23"/>
      <c r="D212" s="11"/>
      <c r="E212" s="11"/>
      <c r="F212" s="23"/>
      <c r="G212" s="24"/>
      <c r="H212" s="24"/>
      <c r="I212" s="23"/>
      <c r="J212" s="27" t="str">
        <f aca="false">IF(A212="","",COUNTIF('Linha do tempo'!$G:$G,A212))</f>
        <v/>
      </c>
      <c r="K212" s="25" t="str">
        <f aca="false">IF(A212="","",TRIM(IF(COUNTIF($A:$A,A212)&gt;1,"ID repetido. ","")&amp;IF(AND(H212&lt;&gt;"",LEN(TRIM(H212))&lt;&gt;64),"Hash deve ter 64 caracteres.","")))</f>
        <v/>
      </c>
      <c r="L212" s="11"/>
    </row>
    <row r="213" customFormat="false" ht="15" hidden="false" customHeight="false" outlineLevel="0" collapsed="false">
      <c r="A213" s="24"/>
      <c r="B213" s="22"/>
      <c r="C213" s="23"/>
      <c r="D213" s="11"/>
      <c r="E213" s="11"/>
      <c r="F213" s="23"/>
      <c r="G213" s="24"/>
      <c r="H213" s="24"/>
      <c r="I213" s="23"/>
      <c r="J213" s="27" t="str">
        <f aca="false">IF(A213="","",COUNTIF('Linha do tempo'!$G:$G,A213))</f>
        <v/>
      </c>
      <c r="K213" s="25" t="str">
        <f aca="false">IF(A213="","",TRIM(IF(COUNTIF($A:$A,A213)&gt;1,"ID repetido. ","")&amp;IF(AND(H213&lt;&gt;"",LEN(TRIM(H213))&lt;&gt;64),"Hash deve ter 64 caracteres.","")))</f>
        <v/>
      </c>
      <c r="L213" s="11"/>
    </row>
    <row r="214" customFormat="false" ht="15" hidden="false" customHeight="false" outlineLevel="0" collapsed="false">
      <c r="A214" s="24"/>
      <c r="B214" s="22"/>
      <c r="C214" s="23"/>
      <c r="D214" s="11"/>
      <c r="E214" s="11"/>
      <c r="F214" s="23"/>
      <c r="G214" s="24"/>
      <c r="H214" s="24"/>
      <c r="I214" s="23"/>
      <c r="J214" s="27" t="str">
        <f aca="false">IF(A214="","",COUNTIF('Linha do tempo'!$G:$G,A214))</f>
        <v/>
      </c>
      <c r="K214" s="25" t="str">
        <f aca="false">IF(A214="","",TRIM(IF(COUNTIF($A:$A,A214)&gt;1,"ID repetido. ","")&amp;IF(AND(H214&lt;&gt;"",LEN(TRIM(H214))&lt;&gt;64),"Hash deve ter 64 caracteres.","")))</f>
        <v/>
      </c>
      <c r="L214" s="11"/>
    </row>
    <row r="215" customFormat="false" ht="15" hidden="false" customHeight="false" outlineLevel="0" collapsed="false">
      <c r="A215" s="24"/>
      <c r="B215" s="22"/>
      <c r="C215" s="23"/>
      <c r="D215" s="11"/>
      <c r="E215" s="11"/>
      <c r="F215" s="23"/>
      <c r="G215" s="24"/>
      <c r="H215" s="24"/>
      <c r="I215" s="23"/>
      <c r="J215" s="27" t="str">
        <f aca="false">IF(A215="","",COUNTIF('Linha do tempo'!$G:$G,A215))</f>
        <v/>
      </c>
      <c r="K215" s="25" t="str">
        <f aca="false">IF(A215="","",TRIM(IF(COUNTIF($A:$A,A215)&gt;1,"ID repetido. ","")&amp;IF(AND(H215&lt;&gt;"",LEN(TRIM(H215))&lt;&gt;64),"Hash deve ter 64 caracteres.","")))</f>
        <v/>
      </c>
      <c r="L215" s="11"/>
    </row>
    <row r="216" customFormat="false" ht="15" hidden="false" customHeight="false" outlineLevel="0" collapsed="false">
      <c r="A216" s="24"/>
      <c r="B216" s="22"/>
      <c r="C216" s="23"/>
      <c r="D216" s="11"/>
      <c r="E216" s="11"/>
      <c r="F216" s="23"/>
      <c r="G216" s="24"/>
      <c r="H216" s="24"/>
      <c r="I216" s="23"/>
      <c r="J216" s="27" t="str">
        <f aca="false">IF(A216="","",COUNTIF('Linha do tempo'!$G:$G,A216))</f>
        <v/>
      </c>
      <c r="K216" s="25" t="str">
        <f aca="false">IF(A216="","",TRIM(IF(COUNTIF($A:$A,A216)&gt;1,"ID repetido. ","")&amp;IF(AND(H216&lt;&gt;"",LEN(TRIM(H216))&lt;&gt;64),"Hash deve ter 64 caracteres.","")))</f>
        <v/>
      </c>
      <c r="L216" s="11"/>
    </row>
    <row r="217" customFormat="false" ht="15" hidden="false" customHeight="false" outlineLevel="0" collapsed="false">
      <c r="A217" s="24"/>
      <c r="B217" s="22"/>
      <c r="C217" s="23"/>
      <c r="D217" s="11"/>
      <c r="E217" s="11"/>
      <c r="F217" s="23"/>
      <c r="G217" s="24"/>
      <c r="H217" s="24"/>
      <c r="I217" s="23"/>
      <c r="J217" s="27" t="str">
        <f aca="false">IF(A217="","",COUNTIF('Linha do tempo'!$G:$G,A217))</f>
        <v/>
      </c>
      <c r="K217" s="25" t="str">
        <f aca="false">IF(A217="","",TRIM(IF(COUNTIF($A:$A,A217)&gt;1,"ID repetido. ","")&amp;IF(AND(H217&lt;&gt;"",LEN(TRIM(H217))&lt;&gt;64),"Hash deve ter 64 caracteres.","")))</f>
        <v/>
      </c>
      <c r="L217" s="11"/>
    </row>
    <row r="218" customFormat="false" ht="15" hidden="false" customHeight="false" outlineLevel="0" collapsed="false">
      <c r="A218" s="24"/>
      <c r="B218" s="22"/>
      <c r="C218" s="23"/>
      <c r="D218" s="11"/>
      <c r="E218" s="11"/>
      <c r="F218" s="23"/>
      <c r="G218" s="24"/>
      <c r="H218" s="24"/>
      <c r="I218" s="23"/>
      <c r="J218" s="27" t="str">
        <f aca="false">IF(A218="","",COUNTIF('Linha do tempo'!$G:$G,A218))</f>
        <v/>
      </c>
      <c r="K218" s="25" t="str">
        <f aca="false">IF(A218="","",TRIM(IF(COUNTIF($A:$A,A218)&gt;1,"ID repetido. ","")&amp;IF(AND(H218&lt;&gt;"",LEN(TRIM(H218))&lt;&gt;64),"Hash deve ter 64 caracteres.","")))</f>
        <v/>
      </c>
      <c r="L218" s="11"/>
    </row>
    <row r="219" customFormat="false" ht="15" hidden="false" customHeight="false" outlineLevel="0" collapsed="false">
      <c r="A219" s="24"/>
      <c r="B219" s="22"/>
      <c r="C219" s="23"/>
      <c r="D219" s="11"/>
      <c r="E219" s="11"/>
      <c r="F219" s="23"/>
      <c r="G219" s="24"/>
      <c r="H219" s="24"/>
      <c r="I219" s="23"/>
      <c r="J219" s="27" t="str">
        <f aca="false">IF(A219="","",COUNTIF('Linha do tempo'!$G:$G,A219))</f>
        <v/>
      </c>
      <c r="K219" s="25" t="str">
        <f aca="false">IF(A219="","",TRIM(IF(COUNTIF($A:$A,A219)&gt;1,"ID repetido. ","")&amp;IF(AND(H219&lt;&gt;"",LEN(TRIM(H219))&lt;&gt;64),"Hash deve ter 64 caracteres.","")))</f>
        <v/>
      </c>
      <c r="L219" s="11"/>
    </row>
    <row r="220" customFormat="false" ht="15" hidden="false" customHeight="false" outlineLevel="0" collapsed="false">
      <c r="A220" s="24"/>
      <c r="B220" s="22"/>
      <c r="C220" s="23"/>
      <c r="D220" s="11"/>
      <c r="E220" s="11"/>
      <c r="F220" s="23"/>
      <c r="G220" s="24"/>
      <c r="H220" s="24"/>
      <c r="I220" s="23"/>
      <c r="J220" s="27" t="str">
        <f aca="false">IF(A220="","",COUNTIF('Linha do tempo'!$G:$G,A220))</f>
        <v/>
      </c>
      <c r="K220" s="25" t="str">
        <f aca="false">IF(A220="","",TRIM(IF(COUNTIF($A:$A,A220)&gt;1,"ID repetido. ","")&amp;IF(AND(H220&lt;&gt;"",LEN(TRIM(H220))&lt;&gt;64),"Hash deve ter 64 caracteres.","")))</f>
        <v/>
      </c>
      <c r="L220" s="11"/>
    </row>
    <row r="221" customFormat="false" ht="15" hidden="false" customHeight="false" outlineLevel="0" collapsed="false">
      <c r="A221" s="24"/>
      <c r="B221" s="22"/>
      <c r="C221" s="23"/>
      <c r="D221" s="11"/>
      <c r="E221" s="11"/>
      <c r="F221" s="23"/>
      <c r="G221" s="24"/>
      <c r="H221" s="24"/>
      <c r="I221" s="23"/>
      <c r="J221" s="27" t="str">
        <f aca="false">IF(A221="","",COUNTIF('Linha do tempo'!$G:$G,A221))</f>
        <v/>
      </c>
      <c r="K221" s="25" t="str">
        <f aca="false">IF(A221="","",TRIM(IF(COUNTIF($A:$A,A221)&gt;1,"ID repetido. ","")&amp;IF(AND(H221&lt;&gt;"",LEN(TRIM(H221))&lt;&gt;64),"Hash deve ter 64 caracteres.","")))</f>
        <v/>
      </c>
      <c r="L221" s="11"/>
    </row>
    <row r="222" customFormat="false" ht="15" hidden="false" customHeight="false" outlineLevel="0" collapsed="false">
      <c r="A222" s="24"/>
      <c r="B222" s="22"/>
      <c r="C222" s="23"/>
      <c r="D222" s="11"/>
      <c r="E222" s="11"/>
      <c r="F222" s="23"/>
      <c r="G222" s="24"/>
      <c r="H222" s="24"/>
      <c r="I222" s="23"/>
      <c r="J222" s="27" t="str">
        <f aca="false">IF(A222="","",COUNTIF('Linha do tempo'!$G:$G,A222))</f>
        <v/>
      </c>
      <c r="K222" s="25" t="str">
        <f aca="false">IF(A222="","",TRIM(IF(COUNTIF($A:$A,A222)&gt;1,"ID repetido. ","")&amp;IF(AND(H222&lt;&gt;"",LEN(TRIM(H222))&lt;&gt;64),"Hash deve ter 64 caracteres.","")))</f>
        <v/>
      </c>
      <c r="L222" s="11"/>
    </row>
    <row r="223" customFormat="false" ht="15" hidden="false" customHeight="false" outlineLevel="0" collapsed="false">
      <c r="A223" s="24"/>
      <c r="B223" s="22"/>
      <c r="C223" s="23"/>
      <c r="D223" s="11"/>
      <c r="E223" s="11"/>
      <c r="F223" s="23"/>
      <c r="G223" s="24"/>
      <c r="H223" s="24"/>
      <c r="I223" s="23"/>
      <c r="J223" s="27" t="str">
        <f aca="false">IF(A223="","",COUNTIF('Linha do tempo'!$G:$G,A223))</f>
        <v/>
      </c>
      <c r="K223" s="25" t="str">
        <f aca="false">IF(A223="","",TRIM(IF(COUNTIF($A:$A,A223)&gt;1,"ID repetido. ","")&amp;IF(AND(H223&lt;&gt;"",LEN(TRIM(H223))&lt;&gt;64),"Hash deve ter 64 caracteres.","")))</f>
        <v/>
      </c>
      <c r="L223" s="11"/>
    </row>
    <row r="224" customFormat="false" ht="15" hidden="false" customHeight="false" outlineLevel="0" collapsed="false">
      <c r="A224" s="24"/>
      <c r="B224" s="22"/>
      <c r="C224" s="23"/>
      <c r="D224" s="11"/>
      <c r="E224" s="11"/>
      <c r="F224" s="23"/>
      <c r="G224" s="24"/>
      <c r="H224" s="24"/>
      <c r="I224" s="23"/>
      <c r="J224" s="27" t="str">
        <f aca="false">IF(A224="","",COUNTIF('Linha do tempo'!$G:$G,A224))</f>
        <v/>
      </c>
      <c r="K224" s="25" t="str">
        <f aca="false">IF(A224="","",TRIM(IF(COUNTIF($A:$A,A224)&gt;1,"ID repetido. ","")&amp;IF(AND(H224&lt;&gt;"",LEN(TRIM(H224))&lt;&gt;64),"Hash deve ter 64 caracteres.","")))</f>
        <v/>
      </c>
      <c r="L224" s="11"/>
    </row>
    <row r="225" customFormat="false" ht="15" hidden="false" customHeight="false" outlineLevel="0" collapsed="false">
      <c r="A225" s="24"/>
      <c r="B225" s="22"/>
      <c r="C225" s="23"/>
      <c r="D225" s="11"/>
      <c r="E225" s="11"/>
      <c r="F225" s="23"/>
      <c r="G225" s="24"/>
      <c r="H225" s="24"/>
      <c r="I225" s="23"/>
      <c r="J225" s="27" t="str">
        <f aca="false">IF(A225="","",COUNTIF('Linha do tempo'!$G:$G,A225))</f>
        <v/>
      </c>
      <c r="K225" s="25" t="str">
        <f aca="false">IF(A225="","",TRIM(IF(COUNTIF($A:$A,A225)&gt;1,"ID repetido. ","")&amp;IF(AND(H225&lt;&gt;"",LEN(TRIM(H225))&lt;&gt;64),"Hash deve ter 64 caracteres.","")))</f>
        <v/>
      </c>
      <c r="L225" s="11"/>
    </row>
    <row r="226" customFormat="false" ht="15" hidden="false" customHeight="false" outlineLevel="0" collapsed="false">
      <c r="A226" s="24"/>
      <c r="B226" s="22"/>
      <c r="C226" s="23"/>
      <c r="D226" s="11"/>
      <c r="E226" s="11"/>
      <c r="F226" s="23"/>
      <c r="G226" s="24"/>
      <c r="H226" s="24"/>
      <c r="I226" s="23"/>
      <c r="J226" s="27" t="str">
        <f aca="false">IF(A226="","",COUNTIF('Linha do tempo'!$G:$G,A226))</f>
        <v/>
      </c>
      <c r="K226" s="25" t="str">
        <f aca="false">IF(A226="","",TRIM(IF(COUNTIF($A:$A,A226)&gt;1,"ID repetido. ","")&amp;IF(AND(H226&lt;&gt;"",LEN(TRIM(H226))&lt;&gt;64),"Hash deve ter 64 caracteres.","")))</f>
        <v/>
      </c>
      <c r="L226" s="11"/>
    </row>
    <row r="227" customFormat="false" ht="15" hidden="false" customHeight="false" outlineLevel="0" collapsed="false">
      <c r="A227" s="24"/>
      <c r="B227" s="22"/>
      <c r="C227" s="23"/>
      <c r="D227" s="11"/>
      <c r="E227" s="11"/>
      <c r="F227" s="23"/>
      <c r="G227" s="24"/>
      <c r="H227" s="24"/>
      <c r="I227" s="23"/>
      <c r="J227" s="27" t="str">
        <f aca="false">IF(A227="","",COUNTIF('Linha do tempo'!$G:$G,A227))</f>
        <v/>
      </c>
      <c r="K227" s="25" t="str">
        <f aca="false">IF(A227="","",TRIM(IF(COUNTIF($A:$A,A227)&gt;1,"ID repetido. ","")&amp;IF(AND(H227&lt;&gt;"",LEN(TRIM(H227))&lt;&gt;64),"Hash deve ter 64 caracteres.","")))</f>
        <v/>
      </c>
      <c r="L227" s="11"/>
    </row>
    <row r="228" customFormat="false" ht="15" hidden="false" customHeight="false" outlineLevel="0" collapsed="false">
      <c r="A228" s="24"/>
      <c r="B228" s="22"/>
      <c r="C228" s="23"/>
      <c r="D228" s="11"/>
      <c r="E228" s="11"/>
      <c r="F228" s="23"/>
      <c r="G228" s="24"/>
      <c r="H228" s="24"/>
      <c r="I228" s="23"/>
      <c r="J228" s="27" t="str">
        <f aca="false">IF(A228="","",COUNTIF('Linha do tempo'!$G:$G,A228))</f>
        <v/>
      </c>
      <c r="K228" s="25" t="str">
        <f aca="false">IF(A228="","",TRIM(IF(COUNTIF($A:$A,A228)&gt;1,"ID repetido. ","")&amp;IF(AND(H228&lt;&gt;"",LEN(TRIM(H228))&lt;&gt;64),"Hash deve ter 64 caracteres.","")))</f>
        <v/>
      </c>
      <c r="L228" s="11"/>
    </row>
    <row r="229" customFormat="false" ht="15" hidden="false" customHeight="false" outlineLevel="0" collapsed="false">
      <c r="A229" s="24"/>
      <c r="B229" s="22"/>
      <c r="C229" s="23"/>
      <c r="D229" s="11"/>
      <c r="E229" s="11"/>
      <c r="F229" s="23"/>
      <c r="G229" s="24"/>
      <c r="H229" s="24"/>
      <c r="I229" s="23"/>
      <c r="J229" s="27" t="str">
        <f aca="false">IF(A229="","",COUNTIF('Linha do tempo'!$G:$G,A229))</f>
        <v/>
      </c>
      <c r="K229" s="25" t="str">
        <f aca="false">IF(A229="","",TRIM(IF(COUNTIF($A:$A,A229)&gt;1,"ID repetido. ","")&amp;IF(AND(H229&lt;&gt;"",LEN(TRIM(H229))&lt;&gt;64),"Hash deve ter 64 caracteres.","")))</f>
        <v/>
      </c>
      <c r="L229" s="11"/>
    </row>
    <row r="230" customFormat="false" ht="15" hidden="false" customHeight="false" outlineLevel="0" collapsed="false">
      <c r="A230" s="24"/>
      <c r="B230" s="22"/>
      <c r="C230" s="23"/>
      <c r="D230" s="11"/>
      <c r="E230" s="11"/>
      <c r="F230" s="23"/>
      <c r="G230" s="24"/>
      <c r="H230" s="24"/>
      <c r="I230" s="23"/>
      <c r="J230" s="27" t="str">
        <f aca="false">IF(A230="","",COUNTIF('Linha do tempo'!$G:$G,A230))</f>
        <v/>
      </c>
      <c r="K230" s="25" t="str">
        <f aca="false">IF(A230="","",TRIM(IF(COUNTIF($A:$A,A230)&gt;1,"ID repetido. ","")&amp;IF(AND(H230&lt;&gt;"",LEN(TRIM(H230))&lt;&gt;64),"Hash deve ter 64 caracteres.","")))</f>
        <v/>
      </c>
      <c r="L230" s="11"/>
    </row>
    <row r="231" customFormat="false" ht="15" hidden="false" customHeight="false" outlineLevel="0" collapsed="false">
      <c r="A231" s="24"/>
      <c r="B231" s="22"/>
      <c r="C231" s="23"/>
      <c r="D231" s="11"/>
      <c r="E231" s="11"/>
      <c r="F231" s="23"/>
      <c r="G231" s="24"/>
      <c r="H231" s="24"/>
      <c r="I231" s="23"/>
      <c r="J231" s="27" t="str">
        <f aca="false">IF(A231="","",COUNTIF('Linha do tempo'!$G:$G,A231))</f>
        <v/>
      </c>
      <c r="K231" s="25" t="str">
        <f aca="false">IF(A231="","",TRIM(IF(COUNTIF($A:$A,A231)&gt;1,"ID repetido. ","")&amp;IF(AND(H231&lt;&gt;"",LEN(TRIM(H231))&lt;&gt;64),"Hash deve ter 64 caracteres.","")))</f>
        <v/>
      </c>
      <c r="L231" s="11"/>
    </row>
    <row r="232" customFormat="false" ht="15" hidden="false" customHeight="false" outlineLevel="0" collapsed="false">
      <c r="A232" s="24"/>
      <c r="B232" s="22"/>
      <c r="C232" s="23"/>
      <c r="D232" s="11"/>
      <c r="E232" s="11"/>
      <c r="F232" s="23"/>
      <c r="G232" s="24"/>
      <c r="H232" s="24"/>
      <c r="I232" s="23"/>
      <c r="J232" s="27" t="str">
        <f aca="false">IF(A232="","",COUNTIF('Linha do tempo'!$G:$G,A232))</f>
        <v/>
      </c>
      <c r="K232" s="25" t="str">
        <f aca="false">IF(A232="","",TRIM(IF(COUNTIF($A:$A,A232)&gt;1,"ID repetido. ","")&amp;IF(AND(H232&lt;&gt;"",LEN(TRIM(H232))&lt;&gt;64),"Hash deve ter 64 caracteres.","")))</f>
        <v/>
      </c>
      <c r="L232" s="11"/>
    </row>
    <row r="233" customFormat="false" ht="15" hidden="false" customHeight="false" outlineLevel="0" collapsed="false">
      <c r="A233" s="24"/>
      <c r="B233" s="22"/>
      <c r="C233" s="23"/>
      <c r="D233" s="11"/>
      <c r="E233" s="11"/>
      <c r="F233" s="23"/>
      <c r="G233" s="24"/>
      <c r="H233" s="24"/>
      <c r="I233" s="23"/>
      <c r="J233" s="27" t="str">
        <f aca="false">IF(A233="","",COUNTIF('Linha do tempo'!$G:$G,A233))</f>
        <v/>
      </c>
      <c r="K233" s="25" t="str">
        <f aca="false">IF(A233="","",TRIM(IF(COUNTIF($A:$A,A233)&gt;1,"ID repetido. ","")&amp;IF(AND(H233&lt;&gt;"",LEN(TRIM(H233))&lt;&gt;64),"Hash deve ter 64 caracteres.","")))</f>
        <v/>
      </c>
      <c r="L233" s="11"/>
    </row>
    <row r="234" customFormat="false" ht="15" hidden="false" customHeight="false" outlineLevel="0" collapsed="false">
      <c r="A234" s="24"/>
      <c r="B234" s="22"/>
      <c r="C234" s="23"/>
      <c r="D234" s="11"/>
      <c r="E234" s="11"/>
      <c r="F234" s="23"/>
      <c r="G234" s="24"/>
      <c r="H234" s="24"/>
      <c r="I234" s="23"/>
      <c r="J234" s="27" t="str">
        <f aca="false">IF(A234="","",COUNTIF('Linha do tempo'!$G:$G,A234))</f>
        <v/>
      </c>
      <c r="K234" s="25" t="str">
        <f aca="false">IF(A234="","",TRIM(IF(COUNTIF($A:$A,A234)&gt;1,"ID repetido. ","")&amp;IF(AND(H234&lt;&gt;"",LEN(TRIM(H234))&lt;&gt;64),"Hash deve ter 64 caracteres.","")))</f>
        <v/>
      </c>
      <c r="L234" s="11"/>
    </row>
    <row r="235" customFormat="false" ht="15" hidden="false" customHeight="false" outlineLevel="0" collapsed="false">
      <c r="A235" s="24"/>
      <c r="B235" s="22"/>
      <c r="C235" s="23"/>
      <c r="D235" s="11"/>
      <c r="E235" s="11"/>
      <c r="F235" s="23"/>
      <c r="G235" s="24"/>
      <c r="H235" s="24"/>
      <c r="I235" s="23"/>
      <c r="J235" s="27" t="str">
        <f aca="false">IF(A235="","",COUNTIF('Linha do tempo'!$G:$G,A235))</f>
        <v/>
      </c>
      <c r="K235" s="25" t="str">
        <f aca="false">IF(A235="","",TRIM(IF(COUNTIF($A:$A,A235)&gt;1,"ID repetido. ","")&amp;IF(AND(H235&lt;&gt;"",LEN(TRIM(H235))&lt;&gt;64),"Hash deve ter 64 caracteres.","")))</f>
        <v/>
      </c>
      <c r="L235" s="11"/>
    </row>
    <row r="236" customFormat="false" ht="15" hidden="false" customHeight="false" outlineLevel="0" collapsed="false">
      <c r="A236" s="24"/>
      <c r="B236" s="22"/>
      <c r="C236" s="23"/>
      <c r="D236" s="11"/>
      <c r="E236" s="11"/>
      <c r="F236" s="23"/>
      <c r="G236" s="24"/>
      <c r="H236" s="24"/>
      <c r="I236" s="23"/>
      <c r="J236" s="27" t="str">
        <f aca="false">IF(A236="","",COUNTIF('Linha do tempo'!$G:$G,A236))</f>
        <v/>
      </c>
      <c r="K236" s="25" t="str">
        <f aca="false">IF(A236="","",TRIM(IF(COUNTIF($A:$A,A236)&gt;1,"ID repetido. ","")&amp;IF(AND(H236&lt;&gt;"",LEN(TRIM(H236))&lt;&gt;64),"Hash deve ter 64 caracteres.","")))</f>
        <v/>
      </c>
      <c r="L236" s="11"/>
    </row>
    <row r="237" customFormat="false" ht="15" hidden="false" customHeight="false" outlineLevel="0" collapsed="false">
      <c r="A237" s="24"/>
      <c r="B237" s="22"/>
      <c r="C237" s="23"/>
      <c r="D237" s="11"/>
      <c r="E237" s="11"/>
      <c r="F237" s="23"/>
      <c r="G237" s="24"/>
      <c r="H237" s="24"/>
      <c r="I237" s="23"/>
      <c r="J237" s="27" t="str">
        <f aca="false">IF(A237="","",COUNTIF('Linha do tempo'!$G:$G,A237))</f>
        <v/>
      </c>
      <c r="K237" s="25" t="str">
        <f aca="false">IF(A237="","",TRIM(IF(COUNTIF($A:$A,A237)&gt;1,"ID repetido. ","")&amp;IF(AND(H237&lt;&gt;"",LEN(TRIM(H237))&lt;&gt;64),"Hash deve ter 64 caracteres.","")))</f>
        <v/>
      </c>
      <c r="L237" s="11"/>
    </row>
    <row r="238" customFormat="false" ht="15" hidden="false" customHeight="false" outlineLevel="0" collapsed="false">
      <c r="A238" s="24"/>
      <c r="B238" s="22"/>
      <c r="C238" s="23"/>
      <c r="D238" s="11"/>
      <c r="E238" s="11"/>
      <c r="F238" s="23"/>
      <c r="G238" s="24"/>
      <c r="H238" s="24"/>
      <c r="I238" s="23"/>
      <c r="J238" s="27" t="str">
        <f aca="false">IF(A238="","",COUNTIF('Linha do tempo'!$G:$G,A238))</f>
        <v/>
      </c>
      <c r="K238" s="25" t="str">
        <f aca="false">IF(A238="","",TRIM(IF(COUNTIF($A:$A,A238)&gt;1,"ID repetido. ","")&amp;IF(AND(H238&lt;&gt;"",LEN(TRIM(H238))&lt;&gt;64),"Hash deve ter 64 caracteres.","")))</f>
        <v/>
      </c>
      <c r="L238" s="11"/>
    </row>
    <row r="239" customFormat="false" ht="15" hidden="false" customHeight="false" outlineLevel="0" collapsed="false">
      <c r="A239" s="24"/>
      <c r="B239" s="22"/>
      <c r="C239" s="23"/>
      <c r="D239" s="11"/>
      <c r="E239" s="11"/>
      <c r="F239" s="23"/>
      <c r="G239" s="24"/>
      <c r="H239" s="24"/>
      <c r="I239" s="23"/>
      <c r="J239" s="27" t="str">
        <f aca="false">IF(A239="","",COUNTIF('Linha do tempo'!$G:$G,A239))</f>
        <v/>
      </c>
      <c r="K239" s="25" t="str">
        <f aca="false">IF(A239="","",TRIM(IF(COUNTIF($A:$A,A239)&gt;1,"ID repetido. ","")&amp;IF(AND(H239&lt;&gt;"",LEN(TRIM(H239))&lt;&gt;64),"Hash deve ter 64 caracteres.","")))</f>
        <v/>
      </c>
      <c r="L239" s="11"/>
    </row>
    <row r="240" customFormat="false" ht="15" hidden="false" customHeight="false" outlineLevel="0" collapsed="false">
      <c r="A240" s="24"/>
      <c r="B240" s="22"/>
      <c r="C240" s="23"/>
      <c r="D240" s="11"/>
      <c r="E240" s="11"/>
      <c r="F240" s="23"/>
      <c r="G240" s="24"/>
      <c r="H240" s="24"/>
      <c r="I240" s="23"/>
      <c r="J240" s="27" t="str">
        <f aca="false">IF(A240="","",COUNTIF('Linha do tempo'!$G:$G,A240))</f>
        <v/>
      </c>
      <c r="K240" s="25" t="str">
        <f aca="false">IF(A240="","",TRIM(IF(COUNTIF($A:$A,A240)&gt;1,"ID repetido. ","")&amp;IF(AND(H240&lt;&gt;"",LEN(TRIM(H240))&lt;&gt;64),"Hash deve ter 64 caracteres.","")))</f>
        <v/>
      </c>
      <c r="L240" s="11"/>
    </row>
    <row r="241" customFormat="false" ht="15" hidden="false" customHeight="false" outlineLevel="0" collapsed="false">
      <c r="A241" s="24"/>
      <c r="B241" s="22"/>
      <c r="C241" s="23"/>
      <c r="D241" s="11"/>
      <c r="E241" s="11"/>
      <c r="F241" s="23"/>
      <c r="G241" s="24"/>
      <c r="H241" s="24"/>
      <c r="I241" s="23"/>
      <c r="J241" s="27" t="str">
        <f aca="false">IF(A241="","",COUNTIF('Linha do tempo'!$G:$G,A241))</f>
        <v/>
      </c>
      <c r="K241" s="25" t="str">
        <f aca="false">IF(A241="","",TRIM(IF(COUNTIF($A:$A,A241)&gt;1,"ID repetido. ","")&amp;IF(AND(H241&lt;&gt;"",LEN(TRIM(H241))&lt;&gt;64),"Hash deve ter 64 caracteres.","")))</f>
        <v/>
      </c>
      <c r="L241" s="11"/>
    </row>
    <row r="242" customFormat="false" ht="15" hidden="false" customHeight="false" outlineLevel="0" collapsed="false">
      <c r="A242" s="24"/>
      <c r="B242" s="22"/>
      <c r="C242" s="23"/>
      <c r="D242" s="11"/>
      <c r="E242" s="11"/>
      <c r="F242" s="23"/>
      <c r="G242" s="24"/>
      <c r="H242" s="24"/>
      <c r="I242" s="23"/>
      <c r="J242" s="27" t="str">
        <f aca="false">IF(A242="","",COUNTIF('Linha do tempo'!$G:$G,A242))</f>
        <v/>
      </c>
      <c r="K242" s="25" t="str">
        <f aca="false">IF(A242="","",TRIM(IF(COUNTIF($A:$A,A242)&gt;1,"ID repetido. ","")&amp;IF(AND(H242&lt;&gt;"",LEN(TRIM(H242))&lt;&gt;64),"Hash deve ter 64 caracteres.","")))</f>
        <v/>
      </c>
      <c r="L242" s="11"/>
    </row>
    <row r="243" customFormat="false" ht="15" hidden="false" customHeight="false" outlineLevel="0" collapsed="false">
      <c r="A243" s="24"/>
      <c r="B243" s="22"/>
      <c r="C243" s="23"/>
      <c r="D243" s="11"/>
      <c r="E243" s="11"/>
      <c r="F243" s="23"/>
      <c r="G243" s="24"/>
      <c r="H243" s="24"/>
      <c r="I243" s="23"/>
      <c r="J243" s="27" t="str">
        <f aca="false">IF(A243="","",COUNTIF('Linha do tempo'!$G:$G,A243))</f>
        <v/>
      </c>
      <c r="K243" s="25" t="str">
        <f aca="false">IF(A243="","",TRIM(IF(COUNTIF($A:$A,A243)&gt;1,"ID repetido. ","")&amp;IF(AND(H243&lt;&gt;"",LEN(TRIM(H243))&lt;&gt;64),"Hash deve ter 64 caracteres.","")))</f>
        <v/>
      </c>
      <c r="L243" s="11"/>
    </row>
    <row r="244" customFormat="false" ht="15" hidden="false" customHeight="false" outlineLevel="0" collapsed="false">
      <c r="A244" s="24"/>
      <c r="B244" s="22"/>
      <c r="C244" s="23"/>
      <c r="D244" s="11"/>
      <c r="E244" s="11"/>
      <c r="F244" s="23"/>
      <c r="G244" s="24"/>
      <c r="H244" s="24"/>
      <c r="I244" s="23"/>
      <c r="J244" s="27" t="str">
        <f aca="false">IF(A244="","",COUNTIF('Linha do tempo'!$G:$G,A244))</f>
        <v/>
      </c>
      <c r="K244" s="25" t="str">
        <f aca="false">IF(A244="","",TRIM(IF(COUNTIF($A:$A,A244)&gt;1,"ID repetido. ","")&amp;IF(AND(H244&lt;&gt;"",LEN(TRIM(H244))&lt;&gt;64),"Hash deve ter 64 caracteres.","")))</f>
        <v/>
      </c>
      <c r="L244" s="11"/>
    </row>
    <row r="245" customFormat="false" ht="15" hidden="false" customHeight="false" outlineLevel="0" collapsed="false">
      <c r="A245" s="24"/>
      <c r="B245" s="22"/>
      <c r="C245" s="23"/>
      <c r="D245" s="11"/>
      <c r="E245" s="11"/>
      <c r="F245" s="23"/>
      <c r="G245" s="24"/>
      <c r="H245" s="24"/>
      <c r="I245" s="23"/>
      <c r="J245" s="27" t="str">
        <f aca="false">IF(A245="","",COUNTIF('Linha do tempo'!$G:$G,A245))</f>
        <v/>
      </c>
      <c r="K245" s="25" t="str">
        <f aca="false">IF(A245="","",TRIM(IF(COUNTIF($A:$A,A245)&gt;1,"ID repetido. ","")&amp;IF(AND(H245&lt;&gt;"",LEN(TRIM(H245))&lt;&gt;64),"Hash deve ter 64 caracteres.","")))</f>
        <v/>
      </c>
      <c r="L245" s="11"/>
    </row>
    <row r="246" customFormat="false" ht="15" hidden="false" customHeight="false" outlineLevel="0" collapsed="false">
      <c r="A246" s="24"/>
      <c r="B246" s="22"/>
      <c r="C246" s="23"/>
      <c r="D246" s="11"/>
      <c r="E246" s="11"/>
      <c r="F246" s="23"/>
      <c r="G246" s="24"/>
      <c r="H246" s="24"/>
      <c r="I246" s="23"/>
      <c r="J246" s="27" t="str">
        <f aca="false">IF(A246="","",COUNTIF('Linha do tempo'!$G:$G,A246))</f>
        <v/>
      </c>
      <c r="K246" s="25" t="str">
        <f aca="false">IF(A246="","",TRIM(IF(COUNTIF($A:$A,A246)&gt;1,"ID repetido. ","")&amp;IF(AND(H246&lt;&gt;"",LEN(TRIM(H246))&lt;&gt;64),"Hash deve ter 64 caracteres.","")))</f>
        <v/>
      </c>
      <c r="L246" s="11"/>
    </row>
    <row r="247" customFormat="false" ht="15" hidden="false" customHeight="false" outlineLevel="0" collapsed="false">
      <c r="A247" s="24"/>
      <c r="B247" s="22"/>
      <c r="C247" s="23"/>
      <c r="D247" s="11"/>
      <c r="E247" s="11"/>
      <c r="F247" s="23"/>
      <c r="G247" s="24"/>
      <c r="H247" s="24"/>
      <c r="I247" s="23"/>
      <c r="J247" s="27" t="str">
        <f aca="false">IF(A247="","",COUNTIF('Linha do tempo'!$G:$G,A247))</f>
        <v/>
      </c>
      <c r="K247" s="25" t="str">
        <f aca="false">IF(A247="","",TRIM(IF(COUNTIF($A:$A,A247)&gt;1,"ID repetido. ","")&amp;IF(AND(H247&lt;&gt;"",LEN(TRIM(H247))&lt;&gt;64),"Hash deve ter 64 caracteres.","")))</f>
        <v/>
      </c>
      <c r="L247" s="11"/>
    </row>
    <row r="248" customFormat="false" ht="15" hidden="false" customHeight="false" outlineLevel="0" collapsed="false">
      <c r="A248" s="24"/>
      <c r="B248" s="22"/>
      <c r="C248" s="23"/>
      <c r="D248" s="11"/>
      <c r="E248" s="11"/>
      <c r="F248" s="23"/>
      <c r="G248" s="24"/>
      <c r="H248" s="24"/>
      <c r="I248" s="23"/>
      <c r="J248" s="27" t="str">
        <f aca="false">IF(A248="","",COUNTIF('Linha do tempo'!$G:$G,A248))</f>
        <v/>
      </c>
      <c r="K248" s="25" t="str">
        <f aca="false">IF(A248="","",TRIM(IF(COUNTIF($A:$A,A248)&gt;1,"ID repetido. ","")&amp;IF(AND(H248&lt;&gt;"",LEN(TRIM(H248))&lt;&gt;64),"Hash deve ter 64 caracteres.","")))</f>
        <v/>
      </c>
      <c r="L248" s="11"/>
    </row>
    <row r="249" customFormat="false" ht="15" hidden="false" customHeight="false" outlineLevel="0" collapsed="false">
      <c r="A249" s="24"/>
      <c r="B249" s="22"/>
      <c r="C249" s="23"/>
      <c r="D249" s="11"/>
      <c r="E249" s="11"/>
      <c r="F249" s="23"/>
      <c r="G249" s="24"/>
      <c r="H249" s="24"/>
      <c r="I249" s="23"/>
      <c r="J249" s="27" t="str">
        <f aca="false">IF(A249="","",COUNTIF('Linha do tempo'!$G:$G,A249))</f>
        <v/>
      </c>
      <c r="K249" s="25" t="str">
        <f aca="false">IF(A249="","",TRIM(IF(COUNTIF($A:$A,A249)&gt;1,"ID repetido. ","")&amp;IF(AND(H249&lt;&gt;"",LEN(TRIM(H249))&lt;&gt;64),"Hash deve ter 64 caracteres.","")))</f>
        <v/>
      </c>
      <c r="L249" s="11"/>
    </row>
    <row r="250" customFormat="false" ht="15" hidden="false" customHeight="false" outlineLevel="0" collapsed="false">
      <c r="A250" s="24"/>
      <c r="B250" s="22"/>
      <c r="C250" s="23"/>
      <c r="D250" s="11"/>
      <c r="E250" s="11"/>
      <c r="F250" s="23"/>
      <c r="G250" s="24"/>
      <c r="H250" s="24"/>
      <c r="I250" s="23"/>
      <c r="J250" s="27" t="str">
        <f aca="false">IF(A250="","",COUNTIF('Linha do tempo'!$G:$G,A250))</f>
        <v/>
      </c>
      <c r="K250" s="25" t="str">
        <f aca="false">IF(A250="","",TRIM(IF(COUNTIF($A:$A,A250)&gt;1,"ID repetido. ","")&amp;IF(AND(H250&lt;&gt;"",LEN(TRIM(H250))&lt;&gt;64),"Hash deve ter 64 caracteres.","")))</f>
        <v/>
      </c>
      <c r="L250" s="11"/>
    </row>
    <row r="251" customFormat="false" ht="15" hidden="false" customHeight="false" outlineLevel="0" collapsed="false">
      <c r="A251" s="24"/>
      <c r="B251" s="22"/>
      <c r="C251" s="23"/>
      <c r="D251" s="11"/>
      <c r="E251" s="11"/>
      <c r="F251" s="23"/>
      <c r="G251" s="24"/>
      <c r="H251" s="24"/>
      <c r="I251" s="23"/>
      <c r="J251" s="27" t="str">
        <f aca="false">IF(A251="","",COUNTIF('Linha do tempo'!$G:$G,A251))</f>
        <v/>
      </c>
      <c r="K251" s="25" t="str">
        <f aca="false">IF(A251="","",TRIM(IF(COUNTIF($A:$A,A251)&gt;1,"ID repetido. ","")&amp;IF(AND(H251&lt;&gt;"",LEN(TRIM(H251))&lt;&gt;64),"Hash deve ter 64 caracteres.","")))</f>
        <v/>
      </c>
      <c r="L251" s="11"/>
    </row>
    <row r="252" customFormat="false" ht="15" hidden="false" customHeight="false" outlineLevel="0" collapsed="false">
      <c r="A252" s="24"/>
      <c r="B252" s="22"/>
      <c r="C252" s="23"/>
      <c r="D252" s="11"/>
      <c r="E252" s="11"/>
      <c r="F252" s="23"/>
      <c r="G252" s="24"/>
      <c r="H252" s="24"/>
      <c r="I252" s="23"/>
      <c r="J252" s="27" t="str">
        <f aca="false">IF(A252="","",COUNTIF('Linha do tempo'!$G:$G,A252))</f>
        <v/>
      </c>
      <c r="K252" s="25" t="str">
        <f aca="false">IF(A252="","",TRIM(IF(COUNTIF($A:$A,A252)&gt;1,"ID repetido. ","")&amp;IF(AND(H252&lt;&gt;"",LEN(TRIM(H252))&lt;&gt;64),"Hash deve ter 64 caracteres.","")))</f>
        <v/>
      </c>
      <c r="L252" s="11"/>
    </row>
    <row r="253" customFormat="false" ht="15" hidden="false" customHeight="false" outlineLevel="0" collapsed="false">
      <c r="A253" s="24"/>
      <c r="B253" s="22"/>
      <c r="C253" s="23"/>
      <c r="D253" s="11"/>
      <c r="E253" s="11"/>
      <c r="F253" s="23"/>
      <c r="G253" s="24"/>
      <c r="H253" s="24"/>
      <c r="I253" s="23"/>
      <c r="J253" s="27" t="str">
        <f aca="false">IF(A253="","",COUNTIF('Linha do tempo'!$G:$G,A253))</f>
        <v/>
      </c>
      <c r="K253" s="25" t="str">
        <f aca="false">IF(A253="","",TRIM(IF(COUNTIF($A:$A,A253)&gt;1,"ID repetido. ","")&amp;IF(AND(H253&lt;&gt;"",LEN(TRIM(H253))&lt;&gt;64),"Hash deve ter 64 caracteres.","")))</f>
        <v/>
      </c>
      <c r="L253" s="11"/>
    </row>
    <row r="254" customFormat="false" ht="15" hidden="false" customHeight="false" outlineLevel="0" collapsed="false">
      <c r="A254" s="24"/>
      <c r="B254" s="22"/>
      <c r="C254" s="23"/>
      <c r="D254" s="11"/>
      <c r="E254" s="11"/>
      <c r="F254" s="23"/>
      <c r="G254" s="24"/>
      <c r="H254" s="24"/>
      <c r="I254" s="23"/>
      <c r="J254" s="27" t="str">
        <f aca="false">IF(A254="","",COUNTIF('Linha do tempo'!$G:$G,A254))</f>
        <v/>
      </c>
      <c r="K254" s="25" t="str">
        <f aca="false">IF(A254="","",TRIM(IF(COUNTIF($A:$A,A254)&gt;1,"ID repetido. ","")&amp;IF(AND(H254&lt;&gt;"",LEN(TRIM(H254))&lt;&gt;64),"Hash deve ter 64 caracteres.","")))</f>
        <v/>
      </c>
      <c r="L254" s="11"/>
    </row>
    <row r="255" customFormat="false" ht="15" hidden="false" customHeight="false" outlineLevel="0" collapsed="false">
      <c r="A255" s="24"/>
      <c r="B255" s="22"/>
      <c r="C255" s="23"/>
      <c r="D255" s="11"/>
      <c r="E255" s="11"/>
      <c r="F255" s="23"/>
      <c r="G255" s="24"/>
      <c r="H255" s="24"/>
      <c r="I255" s="23"/>
      <c r="J255" s="27" t="str">
        <f aca="false">IF(A255="","",COUNTIF('Linha do tempo'!$G:$G,A255))</f>
        <v/>
      </c>
      <c r="K255" s="25" t="str">
        <f aca="false">IF(A255="","",TRIM(IF(COUNTIF($A:$A,A255)&gt;1,"ID repetido. ","")&amp;IF(AND(H255&lt;&gt;"",LEN(TRIM(H255))&lt;&gt;64),"Hash deve ter 64 caracteres.","")))</f>
        <v/>
      </c>
      <c r="L255" s="11"/>
    </row>
    <row r="256" customFormat="false" ht="15" hidden="false" customHeight="false" outlineLevel="0" collapsed="false">
      <c r="A256" s="24"/>
      <c r="B256" s="22"/>
      <c r="C256" s="23"/>
      <c r="D256" s="11"/>
      <c r="E256" s="11"/>
      <c r="F256" s="23"/>
      <c r="G256" s="24"/>
      <c r="H256" s="24"/>
      <c r="I256" s="23"/>
      <c r="J256" s="27" t="str">
        <f aca="false">IF(A256="","",COUNTIF('Linha do tempo'!$G:$G,A256))</f>
        <v/>
      </c>
      <c r="K256" s="25" t="str">
        <f aca="false">IF(A256="","",TRIM(IF(COUNTIF($A:$A,A256)&gt;1,"ID repetido. ","")&amp;IF(AND(H256&lt;&gt;"",LEN(TRIM(H256))&lt;&gt;64),"Hash deve ter 64 caracteres.","")))</f>
        <v/>
      </c>
      <c r="L256" s="11"/>
    </row>
    <row r="257" customFormat="false" ht="15" hidden="false" customHeight="false" outlineLevel="0" collapsed="false">
      <c r="A257" s="24"/>
      <c r="B257" s="22"/>
      <c r="C257" s="23"/>
      <c r="D257" s="11"/>
      <c r="E257" s="11"/>
      <c r="F257" s="23"/>
      <c r="G257" s="24"/>
      <c r="H257" s="24"/>
      <c r="I257" s="23"/>
      <c r="J257" s="27" t="str">
        <f aca="false">IF(A257="","",COUNTIF('Linha do tempo'!$G:$G,A257))</f>
        <v/>
      </c>
      <c r="K257" s="25" t="str">
        <f aca="false">IF(A257="","",TRIM(IF(COUNTIF($A:$A,A257)&gt;1,"ID repetido. ","")&amp;IF(AND(H257&lt;&gt;"",LEN(TRIM(H257))&lt;&gt;64),"Hash deve ter 64 caracteres.","")))</f>
        <v/>
      </c>
      <c r="L257" s="11"/>
    </row>
    <row r="258" customFormat="false" ht="15" hidden="false" customHeight="false" outlineLevel="0" collapsed="false">
      <c r="A258" s="24"/>
      <c r="B258" s="22"/>
      <c r="C258" s="23"/>
      <c r="D258" s="11"/>
      <c r="E258" s="11"/>
      <c r="F258" s="23"/>
      <c r="G258" s="24"/>
      <c r="H258" s="24"/>
      <c r="I258" s="23"/>
      <c r="J258" s="27" t="str">
        <f aca="false">IF(A258="","",COUNTIF('Linha do tempo'!$G:$G,A258))</f>
        <v/>
      </c>
      <c r="K258" s="25" t="str">
        <f aca="false">IF(A258="","",TRIM(IF(COUNTIF($A:$A,A258)&gt;1,"ID repetido. ","")&amp;IF(AND(H258&lt;&gt;"",LEN(TRIM(H258))&lt;&gt;64),"Hash deve ter 64 caracteres.","")))</f>
        <v/>
      </c>
      <c r="L258" s="11"/>
    </row>
    <row r="259" customFormat="false" ht="15" hidden="false" customHeight="false" outlineLevel="0" collapsed="false">
      <c r="A259" s="24"/>
      <c r="B259" s="22"/>
      <c r="C259" s="23"/>
      <c r="D259" s="11"/>
      <c r="E259" s="11"/>
      <c r="F259" s="23"/>
      <c r="G259" s="24"/>
      <c r="H259" s="24"/>
      <c r="I259" s="23"/>
      <c r="J259" s="27" t="str">
        <f aca="false">IF(A259="","",COUNTIF('Linha do tempo'!$G:$G,A259))</f>
        <v/>
      </c>
      <c r="K259" s="25" t="str">
        <f aca="false">IF(A259="","",TRIM(IF(COUNTIF($A:$A,A259)&gt;1,"ID repetido. ","")&amp;IF(AND(H259&lt;&gt;"",LEN(TRIM(H259))&lt;&gt;64),"Hash deve ter 64 caracteres.","")))</f>
        <v/>
      </c>
      <c r="L259" s="11"/>
    </row>
    <row r="260" customFormat="false" ht="15" hidden="false" customHeight="false" outlineLevel="0" collapsed="false">
      <c r="A260" s="24"/>
      <c r="B260" s="22"/>
      <c r="C260" s="23"/>
      <c r="D260" s="11"/>
      <c r="E260" s="11"/>
      <c r="F260" s="23"/>
      <c r="G260" s="24"/>
      <c r="H260" s="24"/>
      <c r="I260" s="23"/>
      <c r="J260" s="27" t="str">
        <f aca="false">IF(A260="","",COUNTIF('Linha do tempo'!$G:$G,A260))</f>
        <v/>
      </c>
      <c r="K260" s="25" t="str">
        <f aca="false">IF(A260="","",TRIM(IF(COUNTIF($A:$A,A260)&gt;1,"ID repetido. ","")&amp;IF(AND(H260&lt;&gt;"",LEN(TRIM(H260))&lt;&gt;64),"Hash deve ter 64 caracteres.","")))</f>
        <v/>
      </c>
      <c r="L260" s="11"/>
    </row>
    <row r="261" customFormat="false" ht="15" hidden="false" customHeight="false" outlineLevel="0" collapsed="false">
      <c r="A261" s="24"/>
      <c r="B261" s="22"/>
      <c r="C261" s="23"/>
      <c r="D261" s="11"/>
      <c r="E261" s="11"/>
      <c r="F261" s="23"/>
      <c r="G261" s="24"/>
      <c r="H261" s="24"/>
      <c r="I261" s="23"/>
      <c r="J261" s="27" t="str">
        <f aca="false">IF(A261="","",COUNTIF('Linha do tempo'!$G:$G,A261))</f>
        <v/>
      </c>
      <c r="K261" s="25" t="str">
        <f aca="false">IF(A261="","",TRIM(IF(COUNTIF($A:$A,A261)&gt;1,"ID repetido. ","")&amp;IF(AND(H261&lt;&gt;"",LEN(TRIM(H261))&lt;&gt;64),"Hash deve ter 64 caracteres.","")))</f>
        <v/>
      </c>
      <c r="L261" s="11"/>
    </row>
    <row r="262" customFormat="false" ht="15" hidden="false" customHeight="false" outlineLevel="0" collapsed="false">
      <c r="A262" s="24"/>
      <c r="B262" s="22"/>
      <c r="C262" s="23"/>
      <c r="D262" s="11"/>
      <c r="E262" s="11"/>
      <c r="F262" s="23"/>
      <c r="G262" s="24"/>
      <c r="H262" s="24"/>
      <c r="I262" s="23"/>
      <c r="J262" s="27" t="str">
        <f aca="false">IF(A262="","",COUNTIF('Linha do tempo'!$G:$G,A262))</f>
        <v/>
      </c>
      <c r="K262" s="25" t="str">
        <f aca="false">IF(A262="","",TRIM(IF(COUNTIF($A:$A,A262)&gt;1,"ID repetido. ","")&amp;IF(AND(H262&lt;&gt;"",LEN(TRIM(H262))&lt;&gt;64),"Hash deve ter 64 caracteres.","")))</f>
        <v/>
      </c>
      <c r="L262" s="11"/>
    </row>
    <row r="263" customFormat="false" ht="15" hidden="false" customHeight="false" outlineLevel="0" collapsed="false">
      <c r="A263" s="24"/>
      <c r="B263" s="22"/>
      <c r="C263" s="23"/>
      <c r="D263" s="11"/>
      <c r="E263" s="11"/>
      <c r="F263" s="23"/>
      <c r="G263" s="24"/>
      <c r="H263" s="24"/>
      <c r="I263" s="23"/>
      <c r="J263" s="27" t="str">
        <f aca="false">IF(A263="","",COUNTIF('Linha do tempo'!$G:$G,A263))</f>
        <v/>
      </c>
      <c r="K263" s="25" t="str">
        <f aca="false">IF(A263="","",TRIM(IF(COUNTIF($A:$A,A263)&gt;1,"ID repetido. ","")&amp;IF(AND(H263&lt;&gt;"",LEN(TRIM(H263))&lt;&gt;64),"Hash deve ter 64 caracteres.","")))</f>
        <v/>
      </c>
      <c r="L263" s="11"/>
    </row>
    <row r="264" customFormat="false" ht="15" hidden="false" customHeight="false" outlineLevel="0" collapsed="false">
      <c r="A264" s="24"/>
      <c r="B264" s="22"/>
      <c r="C264" s="23"/>
      <c r="D264" s="11"/>
      <c r="E264" s="11"/>
      <c r="F264" s="23"/>
      <c r="G264" s="24"/>
      <c r="H264" s="24"/>
      <c r="I264" s="23"/>
      <c r="J264" s="27" t="str">
        <f aca="false">IF(A264="","",COUNTIF('Linha do tempo'!$G:$G,A264))</f>
        <v/>
      </c>
      <c r="K264" s="25" t="str">
        <f aca="false">IF(A264="","",TRIM(IF(COUNTIF($A:$A,A264)&gt;1,"ID repetido. ","")&amp;IF(AND(H264&lt;&gt;"",LEN(TRIM(H264))&lt;&gt;64),"Hash deve ter 64 caracteres.","")))</f>
        <v/>
      </c>
      <c r="L264" s="11"/>
    </row>
    <row r="265" customFormat="false" ht="15" hidden="false" customHeight="false" outlineLevel="0" collapsed="false">
      <c r="A265" s="24"/>
      <c r="B265" s="22"/>
      <c r="C265" s="23"/>
      <c r="D265" s="11"/>
      <c r="E265" s="11"/>
      <c r="F265" s="23"/>
      <c r="G265" s="24"/>
      <c r="H265" s="24"/>
      <c r="I265" s="23"/>
      <c r="J265" s="27" t="str">
        <f aca="false">IF(A265="","",COUNTIF('Linha do tempo'!$G:$G,A265))</f>
        <v/>
      </c>
      <c r="K265" s="25" t="str">
        <f aca="false">IF(A265="","",TRIM(IF(COUNTIF($A:$A,A265)&gt;1,"ID repetido. ","")&amp;IF(AND(H265&lt;&gt;"",LEN(TRIM(H265))&lt;&gt;64),"Hash deve ter 64 caracteres.","")))</f>
        <v/>
      </c>
      <c r="L265" s="11"/>
    </row>
    <row r="266" customFormat="false" ht="15" hidden="false" customHeight="false" outlineLevel="0" collapsed="false">
      <c r="A266" s="24"/>
      <c r="B266" s="22"/>
      <c r="C266" s="23"/>
      <c r="D266" s="11"/>
      <c r="E266" s="11"/>
      <c r="F266" s="23"/>
      <c r="G266" s="24"/>
      <c r="H266" s="24"/>
      <c r="I266" s="23"/>
      <c r="J266" s="27" t="str">
        <f aca="false">IF(A266="","",COUNTIF('Linha do tempo'!$G:$G,A266))</f>
        <v/>
      </c>
      <c r="K266" s="25" t="str">
        <f aca="false">IF(A266="","",TRIM(IF(COUNTIF($A:$A,A266)&gt;1,"ID repetido. ","")&amp;IF(AND(H266&lt;&gt;"",LEN(TRIM(H266))&lt;&gt;64),"Hash deve ter 64 caracteres.","")))</f>
        <v/>
      </c>
      <c r="L266" s="11"/>
    </row>
    <row r="267" customFormat="false" ht="15" hidden="false" customHeight="false" outlineLevel="0" collapsed="false">
      <c r="A267" s="24"/>
      <c r="B267" s="22"/>
      <c r="C267" s="23"/>
      <c r="D267" s="11"/>
      <c r="E267" s="11"/>
      <c r="F267" s="23"/>
      <c r="G267" s="24"/>
      <c r="H267" s="24"/>
      <c r="I267" s="23"/>
      <c r="J267" s="27" t="str">
        <f aca="false">IF(A267="","",COUNTIF('Linha do tempo'!$G:$G,A267))</f>
        <v/>
      </c>
      <c r="K267" s="25" t="str">
        <f aca="false">IF(A267="","",TRIM(IF(COUNTIF($A:$A,A267)&gt;1,"ID repetido. ","")&amp;IF(AND(H267&lt;&gt;"",LEN(TRIM(H267))&lt;&gt;64),"Hash deve ter 64 caracteres.","")))</f>
        <v/>
      </c>
      <c r="L267" s="11"/>
    </row>
    <row r="268" customFormat="false" ht="15" hidden="false" customHeight="false" outlineLevel="0" collapsed="false">
      <c r="A268" s="24"/>
      <c r="B268" s="22"/>
      <c r="C268" s="23"/>
      <c r="D268" s="11"/>
      <c r="E268" s="11"/>
      <c r="F268" s="23"/>
      <c r="G268" s="24"/>
      <c r="H268" s="24"/>
      <c r="I268" s="23"/>
      <c r="J268" s="27" t="str">
        <f aca="false">IF(A268="","",COUNTIF('Linha do tempo'!$G:$G,A268))</f>
        <v/>
      </c>
      <c r="K268" s="25" t="str">
        <f aca="false">IF(A268="","",TRIM(IF(COUNTIF($A:$A,A268)&gt;1,"ID repetido. ","")&amp;IF(AND(H268&lt;&gt;"",LEN(TRIM(H268))&lt;&gt;64),"Hash deve ter 64 caracteres.","")))</f>
        <v/>
      </c>
      <c r="L268" s="11"/>
    </row>
    <row r="269" customFormat="false" ht="15" hidden="false" customHeight="false" outlineLevel="0" collapsed="false">
      <c r="A269" s="24"/>
      <c r="B269" s="22"/>
      <c r="C269" s="23"/>
      <c r="D269" s="11"/>
      <c r="E269" s="11"/>
      <c r="F269" s="23"/>
      <c r="G269" s="24"/>
      <c r="H269" s="24"/>
      <c r="I269" s="23"/>
      <c r="J269" s="27" t="str">
        <f aca="false">IF(A269="","",COUNTIF('Linha do tempo'!$G:$G,A269))</f>
        <v/>
      </c>
      <c r="K269" s="25" t="str">
        <f aca="false">IF(A269="","",TRIM(IF(COUNTIF($A:$A,A269)&gt;1,"ID repetido. ","")&amp;IF(AND(H269&lt;&gt;"",LEN(TRIM(H269))&lt;&gt;64),"Hash deve ter 64 caracteres.","")))</f>
        <v/>
      </c>
      <c r="L269" s="11"/>
    </row>
    <row r="270" customFormat="false" ht="15" hidden="false" customHeight="false" outlineLevel="0" collapsed="false">
      <c r="A270" s="24"/>
      <c r="B270" s="22"/>
      <c r="C270" s="23"/>
      <c r="D270" s="11"/>
      <c r="E270" s="11"/>
      <c r="F270" s="23"/>
      <c r="G270" s="24"/>
      <c r="H270" s="24"/>
      <c r="I270" s="23"/>
      <c r="J270" s="27" t="str">
        <f aca="false">IF(A270="","",COUNTIF('Linha do tempo'!$G:$G,A270))</f>
        <v/>
      </c>
      <c r="K270" s="25" t="str">
        <f aca="false">IF(A270="","",TRIM(IF(COUNTIF($A:$A,A270)&gt;1,"ID repetido. ","")&amp;IF(AND(H270&lt;&gt;"",LEN(TRIM(H270))&lt;&gt;64),"Hash deve ter 64 caracteres.","")))</f>
        <v/>
      </c>
      <c r="L270" s="11"/>
    </row>
    <row r="271" customFormat="false" ht="15" hidden="false" customHeight="false" outlineLevel="0" collapsed="false">
      <c r="A271" s="24"/>
      <c r="B271" s="22"/>
      <c r="C271" s="23"/>
      <c r="D271" s="11"/>
      <c r="E271" s="11"/>
      <c r="F271" s="23"/>
      <c r="G271" s="24"/>
      <c r="H271" s="24"/>
      <c r="I271" s="23"/>
      <c r="J271" s="27" t="str">
        <f aca="false">IF(A271="","",COUNTIF('Linha do tempo'!$G:$G,A271))</f>
        <v/>
      </c>
      <c r="K271" s="25" t="str">
        <f aca="false">IF(A271="","",TRIM(IF(COUNTIF($A:$A,A271)&gt;1,"ID repetido. ","")&amp;IF(AND(H271&lt;&gt;"",LEN(TRIM(H271))&lt;&gt;64),"Hash deve ter 64 caracteres.","")))</f>
        <v/>
      </c>
      <c r="L271" s="11"/>
    </row>
    <row r="272" customFormat="false" ht="15" hidden="false" customHeight="false" outlineLevel="0" collapsed="false">
      <c r="A272" s="24"/>
      <c r="B272" s="22"/>
      <c r="C272" s="23"/>
      <c r="D272" s="11"/>
      <c r="E272" s="11"/>
      <c r="F272" s="23"/>
      <c r="G272" s="24"/>
      <c r="H272" s="24"/>
      <c r="I272" s="23"/>
      <c r="J272" s="27" t="str">
        <f aca="false">IF(A272="","",COUNTIF('Linha do tempo'!$G:$G,A272))</f>
        <v/>
      </c>
      <c r="K272" s="25" t="str">
        <f aca="false">IF(A272="","",TRIM(IF(COUNTIF($A:$A,A272)&gt;1,"ID repetido. ","")&amp;IF(AND(H272&lt;&gt;"",LEN(TRIM(H272))&lt;&gt;64),"Hash deve ter 64 caracteres.","")))</f>
        <v/>
      </c>
      <c r="L272" s="11"/>
    </row>
    <row r="273" customFormat="false" ht="15" hidden="false" customHeight="false" outlineLevel="0" collapsed="false">
      <c r="A273" s="24"/>
      <c r="B273" s="22"/>
      <c r="C273" s="23"/>
      <c r="D273" s="11"/>
      <c r="E273" s="11"/>
      <c r="F273" s="23"/>
      <c r="G273" s="24"/>
      <c r="H273" s="24"/>
      <c r="I273" s="23"/>
      <c r="J273" s="27" t="str">
        <f aca="false">IF(A273="","",COUNTIF('Linha do tempo'!$G:$G,A273))</f>
        <v/>
      </c>
      <c r="K273" s="25" t="str">
        <f aca="false">IF(A273="","",TRIM(IF(COUNTIF($A:$A,A273)&gt;1,"ID repetido. ","")&amp;IF(AND(H273&lt;&gt;"",LEN(TRIM(H273))&lt;&gt;64),"Hash deve ter 64 caracteres.","")))</f>
        <v/>
      </c>
      <c r="L273" s="11"/>
    </row>
    <row r="274" customFormat="false" ht="15" hidden="false" customHeight="false" outlineLevel="0" collapsed="false">
      <c r="A274" s="24"/>
      <c r="B274" s="22"/>
      <c r="C274" s="23"/>
      <c r="D274" s="11"/>
      <c r="E274" s="11"/>
      <c r="F274" s="23"/>
      <c r="G274" s="24"/>
      <c r="H274" s="24"/>
      <c r="I274" s="23"/>
      <c r="J274" s="27" t="str">
        <f aca="false">IF(A274="","",COUNTIF('Linha do tempo'!$G:$G,A274))</f>
        <v/>
      </c>
      <c r="K274" s="25" t="str">
        <f aca="false">IF(A274="","",TRIM(IF(COUNTIF($A:$A,A274)&gt;1,"ID repetido. ","")&amp;IF(AND(H274&lt;&gt;"",LEN(TRIM(H274))&lt;&gt;64),"Hash deve ter 64 caracteres.","")))</f>
        <v/>
      </c>
      <c r="L274" s="11"/>
    </row>
    <row r="275" customFormat="false" ht="15" hidden="false" customHeight="false" outlineLevel="0" collapsed="false">
      <c r="A275" s="24"/>
      <c r="B275" s="22"/>
      <c r="C275" s="23"/>
      <c r="D275" s="11"/>
      <c r="E275" s="11"/>
      <c r="F275" s="23"/>
      <c r="G275" s="24"/>
      <c r="H275" s="24"/>
      <c r="I275" s="23"/>
      <c r="J275" s="27" t="str">
        <f aca="false">IF(A275="","",COUNTIF('Linha do tempo'!$G:$G,A275))</f>
        <v/>
      </c>
      <c r="K275" s="25" t="str">
        <f aca="false">IF(A275="","",TRIM(IF(COUNTIF($A:$A,A275)&gt;1,"ID repetido. ","")&amp;IF(AND(H275&lt;&gt;"",LEN(TRIM(H275))&lt;&gt;64),"Hash deve ter 64 caracteres.","")))</f>
        <v/>
      </c>
      <c r="L275" s="11"/>
    </row>
    <row r="276" customFormat="false" ht="15" hidden="false" customHeight="false" outlineLevel="0" collapsed="false">
      <c r="A276" s="24"/>
      <c r="B276" s="22"/>
      <c r="C276" s="23"/>
      <c r="D276" s="11"/>
      <c r="E276" s="11"/>
      <c r="F276" s="23"/>
      <c r="G276" s="24"/>
      <c r="H276" s="24"/>
      <c r="I276" s="23"/>
      <c r="J276" s="27" t="str">
        <f aca="false">IF(A276="","",COUNTIF('Linha do tempo'!$G:$G,A276))</f>
        <v/>
      </c>
      <c r="K276" s="25" t="str">
        <f aca="false">IF(A276="","",TRIM(IF(COUNTIF($A:$A,A276)&gt;1,"ID repetido. ","")&amp;IF(AND(H276&lt;&gt;"",LEN(TRIM(H276))&lt;&gt;64),"Hash deve ter 64 caracteres.","")))</f>
        <v/>
      </c>
      <c r="L276" s="11"/>
    </row>
    <row r="277" customFormat="false" ht="15" hidden="false" customHeight="false" outlineLevel="0" collapsed="false">
      <c r="A277" s="24"/>
      <c r="B277" s="22"/>
      <c r="C277" s="23"/>
      <c r="D277" s="11"/>
      <c r="E277" s="11"/>
      <c r="F277" s="23"/>
      <c r="G277" s="24"/>
      <c r="H277" s="24"/>
      <c r="I277" s="23"/>
      <c r="J277" s="27" t="str">
        <f aca="false">IF(A277="","",COUNTIF('Linha do tempo'!$G:$G,A277))</f>
        <v/>
      </c>
      <c r="K277" s="25" t="str">
        <f aca="false">IF(A277="","",TRIM(IF(COUNTIF($A:$A,A277)&gt;1,"ID repetido. ","")&amp;IF(AND(H277&lt;&gt;"",LEN(TRIM(H277))&lt;&gt;64),"Hash deve ter 64 caracteres.","")))</f>
        <v/>
      </c>
      <c r="L277" s="11"/>
    </row>
    <row r="278" customFormat="false" ht="15" hidden="false" customHeight="false" outlineLevel="0" collapsed="false">
      <c r="A278" s="24"/>
      <c r="B278" s="22"/>
      <c r="C278" s="23"/>
      <c r="D278" s="11"/>
      <c r="E278" s="11"/>
      <c r="F278" s="23"/>
      <c r="G278" s="24"/>
      <c r="H278" s="24"/>
      <c r="I278" s="23"/>
      <c r="J278" s="27" t="str">
        <f aca="false">IF(A278="","",COUNTIF('Linha do tempo'!$G:$G,A278))</f>
        <v/>
      </c>
      <c r="K278" s="25" t="str">
        <f aca="false">IF(A278="","",TRIM(IF(COUNTIF($A:$A,A278)&gt;1,"ID repetido. ","")&amp;IF(AND(H278&lt;&gt;"",LEN(TRIM(H278))&lt;&gt;64),"Hash deve ter 64 caracteres.","")))</f>
        <v/>
      </c>
      <c r="L278" s="11"/>
    </row>
    <row r="279" customFormat="false" ht="15" hidden="false" customHeight="false" outlineLevel="0" collapsed="false">
      <c r="A279" s="24"/>
      <c r="B279" s="22"/>
      <c r="C279" s="23"/>
      <c r="D279" s="11"/>
      <c r="E279" s="11"/>
      <c r="F279" s="23"/>
      <c r="G279" s="24"/>
      <c r="H279" s="24"/>
      <c r="I279" s="23"/>
      <c r="J279" s="27" t="str">
        <f aca="false">IF(A279="","",COUNTIF('Linha do tempo'!$G:$G,A279))</f>
        <v/>
      </c>
      <c r="K279" s="25" t="str">
        <f aca="false">IF(A279="","",TRIM(IF(COUNTIF($A:$A,A279)&gt;1,"ID repetido. ","")&amp;IF(AND(H279&lt;&gt;"",LEN(TRIM(H279))&lt;&gt;64),"Hash deve ter 64 caracteres.","")))</f>
        <v/>
      </c>
      <c r="L279" s="11"/>
    </row>
    <row r="280" customFormat="false" ht="15" hidden="false" customHeight="false" outlineLevel="0" collapsed="false">
      <c r="A280" s="24"/>
      <c r="B280" s="22"/>
      <c r="C280" s="23"/>
      <c r="D280" s="11"/>
      <c r="E280" s="11"/>
      <c r="F280" s="23"/>
      <c r="G280" s="24"/>
      <c r="H280" s="24"/>
      <c r="I280" s="23"/>
      <c r="J280" s="27" t="str">
        <f aca="false">IF(A280="","",COUNTIF('Linha do tempo'!$G:$G,A280))</f>
        <v/>
      </c>
      <c r="K280" s="25" t="str">
        <f aca="false">IF(A280="","",TRIM(IF(COUNTIF($A:$A,A280)&gt;1,"ID repetido. ","")&amp;IF(AND(H280&lt;&gt;"",LEN(TRIM(H280))&lt;&gt;64),"Hash deve ter 64 caracteres.","")))</f>
        <v/>
      </c>
      <c r="L280" s="11"/>
    </row>
    <row r="281" customFormat="false" ht="15" hidden="false" customHeight="false" outlineLevel="0" collapsed="false">
      <c r="A281" s="24"/>
      <c r="B281" s="22"/>
      <c r="C281" s="23"/>
      <c r="D281" s="11"/>
      <c r="E281" s="11"/>
      <c r="F281" s="23"/>
      <c r="G281" s="24"/>
      <c r="H281" s="24"/>
      <c r="I281" s="23"/>
      <c r="J281" s="27" t="str">
        <f aca="false">IF(A281="","",COUNTIF('Linha do tempo'!$G:$G,A281))</f>
        <v/>
      </c>
      <c r="K281" s="25" t="str">
        <f aca="false">IF(A281="","",TRIM(IF(COUNTIF($A:$A,A281)&gt;1,"ID repetido. ","")&amp;IF(AND(H281&lt;&gt;"",LEN(TRIM(H281))&lt;&gt;64),"Hash deve ter 64 caracteres.","")))</f>
        <v/>
      </c>
      <c r="L281" s="11"/>
    </row>
    <row r="282" customFormat="false" ht="15" hidden="false" customHeight="false" outlineLevel="0" collapsed="false">
      <c r="A282" s="24"/>
      <c r="B282" s="22"/>
      <c r="C282" s="23"/>
      <c r="D282" s="11"/>
      <c r="E282" s="11"/>
      <c r="F282" s="23"/>
      <c r="G282" s="24"/>
      <c r="H282" s="24"/>
      <c r="I282" s="23"/>
      <c r="J282" s="27" t="str">
        <f aca="false">IF(A282="","",COUNTIF('Linha do tempo'!$G:$G,A282))</f>
        <v/>
      </c>
      <c r="K282" s="25" t="str">
        <f aca="false">IF(A282="","",TRIM(IF(COUNTIF($A:$A,A282)&gt;1,"ID repetido. ","")&amp;IF(AND(H282&lt;&gt;"",LEN(TRIM(H282))&lt;&gt;64),"Hash deve ter 64 caracteres.","")))</f>
        <v/>
      </c>
      <c r="L282" s="11"/>
    </row>
    <row r="283" customFormat="false" ht="15" hidden="false" customHeight="false" outlineLevel="0" collapsed="false">
      <c r="A283" s="24"/>
      <c r="B283" s="22"/>
      <c r="C283" s="23"/>
      <c r="D283" s="11"/>
      <c r="E283" s="11"/>
      <c r="F283" s="23"/>
      <c r="G283" s="24"/>
      <c r="H283" s="24"/>
      <c r="I283" s="23"/>
      <c r="J283" s="27" t="str">
        <f aca="false">IF(A283="","",COUNTIF('Linha do tempo'!$G:$G,A283))</f>
        <v/>
      </c>
      <c r="K283" s="25" t="str">
        <f aca="false">IF(A283="","",TRIM(IF(COUNTIF($A:$A,A283)&gt;1,"ID repetido. ","")&amp;IF(AND(H283&lt;&gt;"",LEN(TRIM(H283))&lt;&gt;64),"Hash deve ter 64 caracteres.","")))</f>
        <v/>
      </c>
      <c r="L283" s="11"/>
    </row>
    <row r="284" customFormat="false" ht="15" hidden="false" customHeight="false" outlineLevel="0" collapsed="false">
      <c r="A284" s="24"/>
      <c r="B284" s="22"/>
      <c r="C284" s="23"/>
      <c r="D284" s="11"/>
      <c r="E284" s="11"/>
      <c r="F284" s="23"/>
      <c r="G284" s="24"/>
      <c r="H284" s="24"/>
      <c r="I284" s="23"/>
      <c r="J284" s="27" t="str">
        <f aca="false">IF(A284="","",COUNTIF('Linha do tempo'!$G:$G,A284))</f>
        <v/>
      </c>
      <c r="K284" s="25" t="str">
        <f aca="false">IF(A284="","",TRIM(IF(COUNTIF($A:$A,A284)&gt;1,"ID repetido. ","")&amp;IF(AND(H284&lt;&gt;"",LEN(TRIM(H284))&lt;&gt;64),"Hash deve ter 64 caracteres.","")))</f>
        <v/>
      </c>
      <c r="L284" s="11"/>
    </row>
    <row r="285" customFormat="false" ht="15" hidden="false" customHeight="false" outlineLevel="0" collapsed="false">
      <c r="A285" s="24"/>
      <c r="B285" s="22"/>
      <c r="C285" s="23"/>
      <c r="D285" s="11"/>
      <c r="E285" s="11"/>
      <c r="F285" s="23"/>
      <c r="G285" s="24"/>
      <c r="H285" s="24"/>
      <c r="I285" s="23"/>
      <c r="J285" s="27" t="str">
        <f aca="false">IF(A285="","",COUNTIF('Linha do tempo'!$G:$G,A285))</f>
        <v/>
      </c>
      <c r="K285" s="25" t="str">
        <f aca="false">IF(A285="","",TRIM(IF(COUNTIF($A:$A,A285)&gt;1,"ID repetido. ","")&amp;IF(AND(H285&lt;&gt;"",LEN(TRIM(H285))&lt;&gt;64),"Hash deve ter 64 caracteres.","")))</f>
        <v/>
      </c>
      <c r="L285" s="11"/>
    </row>
    <row r="286" customFormat="false" ht="15" hidden="false" customHeight="false" outlineLevel="0" collapsed="false">
      <c r="A286" s="24"/>
      <c r="B286" s="22"/>
      <c r="C286" s="23"/>
      <c r="D286" s="11"/>
      <c r="E286" s="11"/>
      <c r="F286" s="23"/>
      <c r="G286" s="24"/>
      <c r="H286" s="24"/>
      <c r="I286" s="23"/>
      <c r="J286" s="27" t="str">
        <f aca="false">IF(A286="","",COUNTIF('Linha do tempo'!$G:$G,A286))</f>
        <v/>
      </c>
      <c r="K286" s="25" t="str">
        <f aca="false">IF(A286="","",TRIM(IF(COUNTIF($A:$A,A286)&gt;1,"ID repetido. ","")&amp;IF(AND(H286&lt;&gt;"",LEN(TRIM(H286))&lt;&gt;64),"Hash deve ter 64 caracteres.","")))</f>
        <v/>
      </c>
      <c r="L286" s="11"/>
    </row>
    <row r="287" customFormat="false" ht="15" hidden="false" customHeight="false" outlineLevel="0" collapsed="false">
      <c r="A287" s="24"/>
      <c r="B287" s="22"/>
      <c r="C287" s="23"/>
      <c r="D287" s="11"/>
      <c r="E287" s="11"/>
      <c r="F287" s="23"/>
      <c r="G287" s="24"/>
      <c r="H287" s="24"/>
      <c r="I287" s="23"/>
      <c r="J287" s="27" t="str">
        <f aca="false">IF(A287="","",COUNTIF('Linha do tempo'!$G:$G,A287))</f>
        <v/>
      </c>
      <c r="K287" s="25" t="str">
        <f aca="false">IF(A287="","",TRIM(IF(COUNTIF($A:$A,A287)&gt;1,"ID repetido. ","")&amp;IF(AND(H287&lt;&gt;"",LEN(TRIM(H287))&lt;&gt;64),"Hash deve ter 64 caracteres.","")))</f>
        <v/>
      </c>
      <c r="L287" s="11"/>
    </row>
    <row r="288" customFormat="false" ht="15" hidden="false" customHeight="false" outlineLevel="0" collapsed="false">
      <c r="A288" s="24"/>
      <c r="B288" s="22"/>
      <c r="C288" s="23"/>
      <c r="D288" s="11"/>
      <c r="E288" s="11"/>
      <c r="F288" s="23"/>
      <c r="G288" s="24"/>
      <c r="H288" s="24"/>
      <c r="I288" s="23"/>
      <c r="J288" s="27" t="str">
        <f aca="false">IF(A288="","",COUNTIF('Linha do tempo'!$G:$G,A288))</f>
        <v/>
      </c>
      <c r="K288" s="25" t="str">
        <f aca="false">IF(A288="","",TRIM(IF(COUNTIF($A:$A,A288)&gt;1,"ID repetido. ","")&amp;IF(AND(H288&lt;&gt;"",LEN(TRIM(H288))&lt;&gt;64),"Hash deve ter 64 caracteres.","")))</f>
        <v/>
      </c>
      <c r="L288" s="11"/>
    </row>
    <row r="289" customFormat="false" ht="15" hidden="false" customHeight="false" outlineLevel="0" collapsed="false">
      <c r="A289" s="24"/>
      <c r="B289" s="22"/>
      <c r="C289" s="23"/>
      <c r="D289" s="11"/>
      <c r="E289" s="11"/>
      <c r="F289" s="23"/>
      <c r="G289" s="24"/>
      <c r="H289" s="24"/>
      <c r="I289" s="23"/>
      <c r="J289" s="27" t="str">
        <f aca="false">IF(A289="","",COUNTIF('Linha do tempo'!$G:$G,A289))</f>
        <v/>
      </c>
      <c r="K289" s="25" t="str">
        <f aca="false">IF(A289="","",TRIM(IF(COUNTIF($A:$A,A289)&gt;1,"ID repetido. ","")&amp;IF(AND(H289&lt;&gt;"",LEN(TRIM(H289))&lt;&gt;64),"Hash deve ter 64 caracteres.","")))</f>
        <v/>
      </c>
      <c r="L289" s="11"/>
    </row>
    <row r="290" customFormat="false" ht="15" hidden="false" customHeight="false" outlineLevel="0" collapsed="false">
      <c r="A290" s="24"/>
      <c r="B290" s="22"/>
      <c r="C290" s="23"/>
      <c r="D290" s="11"/>
      <c r="E290" s="11"/>
      <c r="F290" s="23"/>
      <c r="G290" s="24"/>
      <c r="H290" s="24"/>
      <c r="I290" s="23"/>
      <c r="J290" s="27" t="str">
        <f aca="false">IF(A290="","",COUNTIF('Linha do tempo'!$G:$G,A290))</f>
        <v/>
      </c>
      <c r="K290" s="25" t="str">
        <f aca="false">IF(A290="","",TRIM(IF(COUNTIF($A:$A,A290)&gt;1,"ID repetido. ","")&amp;IF(AND(H290&lt;&gt;"",LEN(TRIM(H290))&lt;&gt;64),"Hash deve ter 64 caracteres.","")))</f>
        <v/>
      </c>
      <c r="L290" s="11"/>
    </row>
    <row r="291" customFormat="false" ht="15" hidden="false" customHeight="false" outlineLevel="0" collapsed="false">
      <c r="A291" s="24"/>
      <c r="B291" s="22"/>
      <c r="C291" s="23"/>
      <c r="D291" s="11"/>
      <c r="E291" s="11"/>
      <c r="F291" s="23"/>
      <c r="G291" s="24"/>
      <c r="H291" s="24"/>
      <c r="I291" s="23"/>
      <c r="J291" s="27" t="str">
        <f aca="false">IF(A291="","",COUNTIF('Linha do tempo'!$G:$G,A291))</f>
        <v/>
      </c>
      <c r="K291" s="25" t="str">
        <f aca="false">IF(A291="","",TRIM(IF(COUNTIF($A:$A,A291)&gt;1,"ID repetido. ","")&amp;IF(AND(H291&lt;&gt;"",LEN(TRIM(H291))&lt;&gt;64),"Hash deve ter 64 caracteres.","")))</f>
        <v/>
      </c>
      <c r="L291" s="11"/>
    </row>
    <row r="292" customFormat="false" ht="15" hidden="false" customHeight="false" outlineLevel="0" collapsed="false">
      <c r="A292" s="24"/>
      <c r="B292" s="22"/>
      <c r="C292" s="23"/>
      <c r="D292" s="11"/>
      <c r="E292" s="11"/>
      <c r="F292" s="23"/>
      <c r="G292" s="24"/>
      <c r="H292" s="24"/>
      <c r="I292" s="23"/>
      <c r="J292" s="27" t="str">
        <f aca="false">IF(A292="","",COUNTIF('Linha do tempo'!$G:$G,A292))</f>
        <v/>
      </c>
      <c r="K292" s="25" t="str">
        <f aca="false">IF(A292="","",TRIM(IF(COUNTIF($A:$A,A292)&gt;1,"ID repetido. ","")&amp;IF(AND(H292&lt;&gt;"",LEN(TRIM(H292))&lt;&gt;64),"Hash deve ter 64 caracteres.","")))</f>
        <v/>
      </c>
      <c r="L292" s="11"/>
    </row>
    <row r="293" customFormat="false" ht="15" hidden="false" customHeight="false" outlineLevel="0" collapsed="false">
      <c r="A293" s="24"/>
      <c r="B293" s="22"/>
      <c r="C293" s="23"/>
      <c r="D293" s="11"/>
      <c r="E293" s="11"/>
      <c r="F293" s="23"/>
      <c r="G293" s="24"/>
      <c r="H293" s="24"/>
      <c r="I293" s="23"/>
      <c r="J293" s="27" t="str">
        <f aca="false">IF(A293="","",COUNTIF('Linha do tempo'!$G:$G,A293))</f>
        <v/>
      </c>
      <c r="K293" s="25" t="str">
        <f aca="false">IF(A293="","",TRIM(IF(COUNTIF($A:$A,A293)&gt;1,"ID repetido. ","")&amp;IF(AND(H293&lt;&gt;"",LEN(TRIM(H293))&lt;&gt;64),"Hash deve ter 64 caracteres.","")))</f>
        <v/>
      </c>
      <c r="L293" s="11"/>
    </row>
    <row r="294" customFormat="false" ht="15" hidden="false" customHeight="false" outlineLevel="0" collapsed="false">
      <c r="A294" s="24"/>
      <c r="B294" s="22"/>
      <c r="C294" s="23"/>
      <c r="D294" s="11"/>
      <c r="E294" s="11"/>
      <c r="F294" s="23"/>
      <c r="G294" s="24"/>
      <c r="H294" s="24"/>
      <c r="I294" s="23"/>
      <c r="J294" s="27" t="str">
        <f aca="false">IF(A294="","",COUNTIF('Linha do tempo'!$G:$G,A294))</f>
        <v/>
      </c>
      <c r="K294" s="25" t="str">
        <f aca="false">IF(A294="","",TRIM(IF(COUNTIF($A:$A,A294)&gt;1,"ID repetido. ","")&amp;IF(AND(H294&lt;&gt;"",LEN(TRIM(H294))&lt;&gt;64),"Hash deve ter 64 caracteres.","")))</f>
        <v/>
      </c>
      <c r="L294" s="11"/>
    </row>
    <row r="295" customFormat="false" ht="15" hidden="false" customHeight="false" outlineLevel="0" collapsed="false">
      <c r="A295" s="24"/>
      <c r="B295" s="22"/>
      <c r="C295" s="23"/>
      <c r="D295" s="11"/>
      <c r="E295" s="11"/>
      <c r="F295" s="23"/>
      <c r="G295" s="24"/>
      <c r="H295" s="24"/>
      <c r="I295" s="23"/>
      <c r="J295" s="27" t="str">
        <f aca="false">IF(A295="","",COUNTIF('Linha do tempo'!$G:$G,A295))</f>
        <v/>
      </c>
      <c r="K295" s="25" t="str">
        <f aca="false">IF(A295="","",TRIM(IF(COUNTIF($A:$A,A295)&gt;1,"ID repetido. ","")&amp;IF(AND(H295&lt;&gt;"",LEN(TRIM(H295))&lt;&gt;64),"Hash deve ter 64 caracteres.","")))</f>
        <v/>
      </c>
      <c r="L295" s="11"/>
    </row>
    <row r="296" customFormat="false" ht="15" hidden="false" customHeight="false" outlineLevel="0" collapsed="false">
      <c r="A296" s="24"/>
      <c r="B296" s="22"/>
      <c r="C296" s="23"/>
      <c r="D296" s="11"/>
      <c r="E296" s="11"/>
      <c r="F296" s="23"/>
      <c r="G296" s="24"/>
      <c r="H296" s="24"/>
      <c r="I296" s="23"/>
      <c r="J296" s="27" t="str">
        <f aca="false">IF(A296="","",COUNTIF('Linha do tempo'!$G:$G,A296))</f>
        <v/>
      </c>
      <c r="K296" s="25" t="str">
        <f aca="false">IF(A296="","",TRIM(IF(COUNTIF($A:$A,A296)&gt;1,"ID repetido. ","")&amp;IF(AND(H296&lt;&gt;"",LEN(TRIM(H296))&lt;&gt;64),"Hash deve ter 64 caracteres.","")))</f>
        <v/>
      </c>
      <c r="L296" s="11"/>
    </row>
    <row r="297" customFormat="false" ht="15" hidden="false" customHeight="false" outlineLevel="0" collapsed="false">
      <c r="A297" s="24"/>
      <c r="B297" s="22"/>
      <c r="C297" s="23"/>
      <c r="D297" s="11"/>
      <c r="E297" s="11"/>
      <c r="F297" s="23"/>
      <c r="G297" s="24"/>
      <c r="H297" s="24"/>
      <c r="I297" s="23"/>
      <c r="J297" s="27" t="str">
        <f aca="false">IF(A297="","",COUNTIF('Linha do tempo'!$G:$G,A297))</f>
        <v/>
      </c>
      <c r="K297" s="25" t="str">
        <f aca="false">IF(A297="","",TRIM(IF(COUNTIF($A:$A,A297)&gt;1,"ID repetido. ","")&amp;IF(AND(H297&lt;&gt;"",LEN(TRIM(H297))&lt;&gt;64),"Hash deve ter 64 caracteres.","")))</f>
        <v/>
      </c>
      <c r="L297" s="11"/>
    </row>
    <row r="298" customFormat="false" ht="15" hidden="false" customHeight="false" outlineLevel="0" collapsed="false">
      <c r="A298" s="24"/>
      <c r="B298" s="22"/>
      <c r="C298" s="23"/>
      <c r="D298" s="11"/>
      <c r="E298" s="11"/>
      <c r="F298" s="23"/>
      <c r="G298" s="24"/>
      <c r="H298" s="24"/>
      <c r="I298" s="23"/>
      <c r="J298" s="27" t="str">
        <f aca="false">IF(A298="","",COUNTIF('Linha do tempo'!$G:$G,A298))</f>
        <v/>
      </c>
      <c r="K298" s="25" t="str">
        <f aca="false">IF(A298="","",TRIM(IF(COUNTIF($A:$A,A298)&gt;1,"ID repetido. ","")&amp;IF(AND(H298&lt;&gt;"",LEN(TRIM(H298))&lt;&gt;64),"Hash deve ter 64 caracteres.","")))</f>
        <v/>
      </c>
      <c r="L298" s="11"/>
    </row>
    <row r="299" customFormat="false" ht="15" hidden="false" customHeight="false" outlineLevel="0" collapsed="false">
      <c r="A299" s="24"/>
      <c r="B299" s="22"/>
      <c r="C299" s="23"/>
      <c r="D299" s="11"/>
      <c r="E299" s="11"/>
      <c r="F299" s="23"/>
      <c r="G299" s="24"/>
      <c r="H299" s="24"/>
      <c r="I299" s="23"/>
      <c r="J299" s="27" t="str">
        <f aca="false">IF(A299="","",COUNTIF('Linha do tempo'!$G:$G,A299))</f>
        <v/>
      </c>
      <c r="K299" s="25" t="str">
        <f aca="false">IF(A299="","",TRIM(IF(COUNTIF($A:$A,A299)&gt;1,"ID repetido. ","")&amp;IF(AND(H299&lt;&gt;"",LEN(TRIM(H299))&lt;&gt;64),"Hash deve ter 64 caracteres.","")))</f>
        <v/>
      </c>
      <c r="L299" s="11"/>
    </row>
    <row r="300" customFormat="false" ht="15" hidden="false" customHeight="false" outlineLevel="0" collapsed="false">
      <c r="A300" s="24"/>
      <c r="B300" s="22"/>
      <c r="C300" s="23"/>
      <c r="D300" s="11"/>
      <c r="E300" s="11"/>
      <c r="F300" s="23"/>
      <c r="G300" s="24"/>
      <c r="H300" s="24"/>
      <c r="I300" s="23"/>
      <c r="J300" s="27" t="str">
        <f aca="false">IF(A300="","",COUNTIF('Linha do tempo'!$G:$G,A300))</f>
        <v/>
      </c>
      <c r="K300" s="25" t="str">
        <f aca="false">IF(A300="","",TRIM(IF(COUNTIF($A:$A,A300)&gt;1,"ID repetido. ","")&amp;IF(AND(H300&lt;&gt;"",LEN(TRIM(H300))&lt;&gt;64),"Hash deve ter 64 caracteres.","")))</f>
        <v/>
      </c>
      <c r="L300" s="11"/>
    </row>
    <row r="301" customFormat="false" ht="15" hidden="false" customHeight="false" outlineLevel="0" collapsed="false">
      <c r="A301" s="24"/>
      <c r="B301" s="22"/>
      <c r="C301" s="23"/>
      <c r="D301" s="11"/>
      <c r="E301" s="11"/>
      <c r="F301" s="23"/>
      <c r="G301" s="24"/>
      <c r="H301" s="24"/>
      <c r="I301" s="23"/>
      <c r="J301" s="27" t="str">
        <f aca="false">IF(A301="","",COUNTIF('Linha do tempo'!$G:$G,A301))</f>
        <v/>
      </c>
      <c r="K301" s="25" t="str">
        <f aca="false">IF(A301="","",TRIM(IF(COUNTIF($A:$A,A301)&gt;1,"ID repetido. ","")&amp;IF(AND(H301&lt;&gt;"",LEN(TRIM(H301))&lt;&gt;64),"Hash deve ter 64 caracteres.","")))</f>
        <v/>
      </c>
      <c r="L301" s="11"/>
    </row>
    <row r="302" customFormat="false" ht="15" hidden="false" customHeight="false" outlineLevel="0" collapsed="false">
      <c r="A302" s="24"/>
      <c r="B302" s="22"/>
      <c r="C302" s="23"/>
      <c r="D302" s="11"/>
      <c r="E302" s="11"/>
      <c r="F302" s="23"/>
      <c r="G302" s="24"/>
      <c r="H302" s="24"/>
      <c r="I302" s="23"/>
      <c r="J302" s="27" t="str">
        <f aca="false">IF(A302="","",COUNTIF('Linha do tempo'!$G:$G,A302))</f>
        <v/>
      </c>
      <c r="K302" s="25" t="str">
        <f aca="false">IF(A302="","",TRIM(IF(COUNTIF($A:$A,A302)&gt;1,"ID repetido. ","")&amp;IF(AND(H302&lt;&gt;"",LEN(TRIM(H302))&lt;&gt;64),"Hash deve ter 64 caracteres.","")))</f>
        <v/>
      </c>
      <c r="L302" s="11"/>
    </row>
    <row r="303" customFormat="false" ht="15" hidden="false" customHeight="false" outlineLevel="0" collapsed="false">
      <c r="A303" s="24"/>
      <c r="B303" s="22"/>
      <c r="C303" s="23"/>
      <c r="D303" s="11"/>
      <c r="E303" s="11"/>
      <c r="F303" s="23"/>
      <c r="G303" s="24"/>
      <c r="H303" s="24"/>
      <c r="I303" s="23"/>
      <c r="J303" s="27" t="str">
        <f aca="false">IF(A303="","",COUNTIF('Linha do tempo'!$G:$G,A303))</f>
        <v/>
      </c>
      <c r="K303" s="25" t="str">
        <f aca="false">IF(A303="","",TRIM(IF(COUNTIF($A:$A,A303)&gt;1,"ID repetido. ","")&amp;IF(AND(H303&lt;&gt;"",LEN(TRIM(H303))&lt;&gt;64),"Hash deve ter 64 caracteres.","")))</f>
        <v/>
      </c>
      <c r="L303" s="11"/>
    </row>
    <row r="304" customFormat="false" ht="15" hidden="false" customHeight="false" outlineLevel="0" collapsed="false">
      <c r="A304" s="24"/>
      <c r="B304" s="22"/>
      <c r="C304" s="23"/>
      <c r="D304" s="11"/>
      <c r="E304" s="11"/>
      <c r="F304" s="23"/>
      <c r="G304" s="24"/>
      <c r="H304" s="24"/>
      <c r="I304" s="23"/>
      <c r="J304" s="27" t="str">
        <f aca="false">IF(A304="","",COUNTIF('Linha do tempo'!$G:$G,A304))</f>
        <v/>
      </c>
      <c r="K304" s="25" t="str">
        <f aca="false">IF(A304="","",TRIM(IF(COUNTIF($A:$A,A304)&gt;1,"ID repetido. ","")&amp;IF(AND(H304&lt;&gt;"",LEN(TRIM(H304))&lt;&gt;64),"Hash deve ter 64 caracteres.","")))</f>
        <v/>
      </c>
      <c r="L304" s="11"/>
    </row>
    <row r="305" customFormat="false" ht="15" hidden="false" customHeight="false" outlineLevel="0" collapsed="false">
      <c r="A305" s="24"/>
      <c r="B305" s="22"/>
      <c r="C305" s="23"/>
      <c r="D305" s="11"/>
      <c r="E305" s="11"/>
      <c r="F305" s="23"/>
      <c r="G305" s="24"/>
      <c r="H305" s="24"/>
      <c r="I305" s="23"/>
      <c r="J305" s="27" t="str">
        <f aca="false">IF(A305="","",COUNTIF('Linha do tempo'!$G:$G,A305))</f>
        <v/>
      </c>
      <c r="K305" s="25" t="str">
        <f aca="false">IF(A305="","",TRIM(IF(COUNTIF($A:$A,A305)&gt;1,"ID repetido. ","")&amp;IF(AND(H305&lt;&gt;"",LEN(TRIM(H305))&lt;&gt;64),"Hash deve ter 64 caracteres.","")))</f>
        <v/>
      </c>
      <c r="L305" s="11"/>
    </row>
    <row r="306" customFormat="false" ht="15" hidden="false" customHeight="false" outlineLevel="0" collapsed="false">
      <c r="A306" s="24"/>
      <c r="B306" s="22"/>
      <c r="C306" s="23"/>
      <c r="D306" s="11"/>
      <c r="E306" s="11"/>
      <c r="F306" s="23"/>
      <c r="G306" s="24"/>
      <c r="H306" s="24"/>
      <c r="I306" s="23"/>
      <c r="J306" s="27" t="str">
        <f aca="false">IF(A306="","",COUNTIF('Linha do tempo'!$G:$G,A306))</f>
        <v/>
      </c>
      <c r="K306" s="25" t="str">
        <f aca="false">IF(A306="","",TRIM(IF(COUNTIF($A:$A,A306)&gt;1,"ID repetido. ","")&amp;IF(AND(H306&lt;&gt;"",LEN(TRIM(H306))&lt;&gt;64),"Hash deve ter 64 caracteres.","")))</f>
        <v/>
      </c>
      <c r="L306" s="11"/>
    </row>
    <row r="307" customFormat="false" ht="15" hidden="false" customHeight="false" outlineLevel="0" collapsed="false">
      <c r="A307" s="24"/>
      <c r="B307" s="22"/>
      <c r="C307" s="23"/>
      <c r="D307" s="11"/>
      <c r="E307" s="11"/>
      <c r="F307" s="23"/>
      <c r="G307" s="24"/>
      <c r="H307" s="24"/>
      <c r="I307" s="23"/>
      <c r="J307" s="27" t="str">
        <f aca="false">IF(A307="","",COUNTIF('Linha do tempo'!$G:$G,A307))</f>
        <v/>
      </c>
      <c r="K307" s="25" t="str">
        <f aca="false">IF(A307="","",TRIM(IF(COUNTIF($A:$A,A307)&gt;1,"ID repetido. ","")&amp;IF(AND(H307&lt;&gt;"",LEN(TRIM(H307))&lt;&gt;64),"Hash deve ter 64 caracteres.","")))</f>
        <v/>
      </c>
      <c r="L307" s="11"/>
    </row>
    <row r="308" customFormat="false" ht="15" hidden="false" customHeight="false" outlineLevel="0" collapsed="false">
      <c r="A308" s="24"/>
      <c r="B308" s="22"/>
      <c r="C308" s="23"/>
      <c r="D308" s="11"/>
      <c r="E308" s="11"/>
      <c r="F308" s="23"/>
      <c r="G308" s="24"/>
      <c r="H308" s="24"/>
      <c r="I308" s="23"/>
      <c r="J308" s="27" t="str">
        <f aca="false">IF(A308="","",COUNTIF('Linha do tempo'!$G:$G,A308))</f>
        <v/>
      </c>
      <c r="K308" s="25" t="str">
        <f aca="false">IF(A308="","",TRIM(IF(COUNTIF($A:$A,A308)&gt;1,"ID repetido. ","")&amp;IF(AND(H308&lt;&gt;"",LEN(TRIM(H308))&lt;&gt;64),"Hash deve ter 64 caracteres.","")))</f>
        <v/>
      </c>
      <c r="L308" s="11"/>
    </row>
    <row r="309" customFormat="false" ht="15" hidden="false" customHeight="false" outlineLevel="0" collapsed="false">
      <c r="A309" s="24"/>
      <c r="B309" s="22"/>
      <c r="C309" s="23"/>
      <c r="D309" s="11"/>
      <c r="E309" s="11"/>
      <c r="F309" s="23"/>
      <c r="G309" s="24"/>
      <c r="H309" s="24"/>
      <c r="I309" s="23"/>
      <c r="J309" s="27" t="str">
        <f aca="false">IF(A309="","",COUNTIF('Linha do tempo'!$G:$G,A309))</f>
        <v/>
      </c>
      <c r="K309" s="25" t="str">
        <f aca="false">IF(A309="","",TRIM(IF(COUNTIF($A:$A,A309)&gt;1,"ID repetido. ","")&amp;IF(AND(H309&lt;&gt;"",LEN(TRIM(H309))&lt;&gt;64),"Hash deve ter 64 caracteres.","")))</f>
        <v/>
      </c>
      <c r="L309" s="11"/>
    </row>
    <row r="310" customFormat="false" ht="15" hidden="false" customHeight="false" outlineLevel="0" collapsed="false">
      <c r="A310" s="24"/>
      <c r="B310" s="22"/>
      <c r="C310" s="23"/>
      <c r="D310" s="11"/>
      <c r="E310" s="11"/>
      <c r="F310" s="23"/>
      <c r="G310" s="24"/>
      <c r="H310" s="24"/>
      <c r="I310" s="23"/>
      <c r="J310" s="27" t="str">
        <f aca="false">IF(A310="","",COUNTIF('Linha do tempo'!$G:$G,A310))</f>
        <v/>
      </c>
      <c r="K310" s="25" t="str">
        <f aca="false">IF(A310="","",TRIM(IF(COUNTIF($A:$A,A310)&gt;1,"ID repetido. ","")&amp;IF(AND(H310&lt;&gt;"",LEN(TRIM(H310))&lt;&gt;64),"Hash deve ter 64 caracteres.","")))</f>
        <v/>
      </c>
      <c r="L310" s="11"/>
    </row>
    <row r="311" customFormat="false" ht="15" hidden="false" customHeight="false" outlineLevel="0" collapsed="false">
      <c r="A311" s="24"/>
      <c r="B311" s="22"/>
      <c r="C311" s="23"/>
      <c r="D311" s="11"/>
      <c r="E311" s="11"/>
      <c r="F311" s="23"/>
      <c r="G311" s="24"/>
      <c r="H311" s="24"/>
      <c r="I311" s="23"/>
      <c r="J311" s="27" t="str">
        <f aca="false">IF(A311="","",COUNTIF('Linha do tempo'!$G:$G,A311))</f>
        <v/>
      </c>
      <c r="K311" s="25" t="str">
        <f aca="false">IF(A311="","",TRIM(IF(COUNTIF($A:$A,A311)&gt;1,"ID repetido. ","")&amp;IF(AND(H311&lt;&gt;"",LEN(TRIM(H311))&lt;&gt;64),"Hash deve ter 64 caracteres.","")))</f>
        <v/>
      </c>
      <c r="L311" s="11"/>
    </row>
    <row r="312" customFormat="false" ht="15" hidden="false" customHeight="false" outlineLevel="0" collapsed="false">
      <c r="A312" s="24"/>
      <c r="B312" s="22"/>
      <c r="C312" s="23"/>
      <c r="D312" s="11"/>
      <c r="E312" s="11"/>
      <c r="F312" s="23"/>
      <c r="G312" s="24"/>
      <c r="H312" s="24"/>
      <c r="I312" s="23"/>
      <c r="J312" s="27" t="str">
        <f aca="false">IF(A312="","",COUNTIF('Linha do tempo'!$G:$G,A312))</f>
        <v/>
      </c>
      <c r="K312" s="25" t="str">
        <f aca="false">IF(A312="","",TRIM(IF(COUNTIF($A:$A,A312)&gt;1,"ID repetido. ","")&amp;IF(AND(H312&lt;&gt;"",LEN(TRIM(H312))&lt;&gt;64),"Hash deve ter 64 caracteres.","")))</f>
        <v/>
      </c>
      <c r="L312" s="11"/>
    </row>
    <row r="313" customFormat="false" ht="15" hidden="false" customHeight="false" outlineLevel="0" collapsed="false">
      <c r="A313" s="24"/>
      <c r="B313" s="22"/>
      <c r="C313" s="23"/>
      <c r="D313" s="11"/>
      <c r="E313" s="11"/>
      <c r="F313" s="23"/>
      <c r="G313" s="24"/>
      <c r="H313" s="24"/>
      <c r="I313" s="23"/>
      <c r="J313" s="27" t="str">
        <f aca="false">IF(A313="","",COUNTIF('Linha do tempo'!$G:$G,A313))</f>
        <v/>
      </c>
      <c r="K313" s="25" t="str">
        <f aca="false">IF(A313="","",TRIM(IF(COUNTIF($A:$A,A313)&gt;1,"ID repetido. ","")&amp;IF(AND(H313&lt;&gt;"",LEN(TRIM(H313))&lt;&gt;64),"Hash deve ter 64 caracteres.","")))</f>
        <v/>
      </c>
      <c r="L313" s="11"/>
    </row>
    <row r="314" customFormat="false" ht="15" hidden="false" customHeight="false" outlineLevel="0" collapsed="false">
      <c r="A314" s="24"/>
      <c r="B314" s="22"/>
      <c r="C314" s="23"/>
      <c r="D314" s="11"/>
      <c r="E314" s="11"/>
      <c r="F314" s="23"/>
      <c r="G314" s="24"/>
      <c r="H314" s="24"/>
      <c r="I314" s="23"/>
      <c r="J314" s="27" t="str">
        <f aca="false">IF(A314="","",COUNTIF('Linha do tempo'!$G:$G,A314))</f>
        <v/>
      </c>
      <c r="K314" s="25" t="str">
        <f aca="false">IF(A314="","",TRIM(IF(COUNTIF($A:$A,A314)&gt;1,"ID repetido. ","")&amp;IF(AND(H314&lt;&gt;"",LEN(TRIM(H314))&lt;&gt;64),"Hash deve ter 64 caracteres.","")))</f>
        <v/>
      </c>
      <c r="L314" s="11"/>
    </row>
    <row r="315" customFormat="false" ht="15" hidden="false" customHeight="false" outlineLevel="0" collapsed="false">
      <c r="A315" s="24"/>
      <c r="B315" s="22"/>
      <c r="C315" s="23"/>
      <c r="D315" s="11"/>
      <c r="E315" s="11"/>
      <c r="F315" s="23"/>
      <c r="G315" s="24"/>
      <c r="H315" s="24"/>
      <c r="I315" s="23"/>
      <c r="J315" s="27" t="str">
        <f aca="false">IF(A315="","",COUNTIF('Linha do tempo'!$G:$G,A315))</f>
        <v/>
      </c>
      <c r="K315" s="25" t="str">
        <f aca="false">IF(A315="","",TRIM(IF(COUNTIF($A:$A,A315)&gt;1,"ID repetido. ","")&amp;IF(AND(H315&lt;&gt;"",LEN(TRIM(H315))&lt;&gt;64),"Hash deve ter 64 caracteres.","")))</f>
        <v/>
      </c>
      <c r="L315" s="11"/>
    </row>
    <row r="316" customFormat="false" ht="15" hidden="false" customHeight="false" outlineLevel="0" collapsed="false">
      <c r="A316" s="24"/>
      <c r="B316" s="22"/>
      <c r="C316" s="23"/>
      <c r="D316" s="11"/>
      <c r="E316" s="11"/>
      <c r="F316" s="23"/>
      <c r="G316" s="24"/>
      <c r="H316" s="24"/>
      <c r="I316" s="23"/>
      <c r="J316" s="27" t="str">
        <f aca="false">IF(A316="","",COUNTIF('Linha do tempo'!$G:$G,A316))</f>
        <v/>
      </c>
      <c r="K316" s="25" t="str">
        <f aca="false">IF(A316="","",TRIM(IF(COUNTIF($A:$A,A316)&gt;1,"ID repetido. ","")&amp;IF(AND(H316&lt;&gt;"",LEN(TRIM(H316))&lt;&gt;64),"Hash deve ter 64 caracteres.","")))</f>
        <v/>
      </c>
      <c r="L316" s="11"/>
    </row>
    <row r="317" customFormat="false" ht="15" hidden="false" customHeight="false" outlineLevel="0" collapsed="false">
      <c r="A317" s="24"/>
      <c r="B317" s="22"/>
      <c r="C317" s="23"/>
      <c r="D317" s="11"/>
      <c r="E317" s="11"/>
      <c r="F317" s="23"/>
      <c r="G317" s="24"/>
      <c r="H317" s="24"/>
      <c r="I317" s="23"/>
      <c r="J317" s="27" t="str">
        <f aca="false">IF(A317="","",COUNTIF('Linha do tempo'!$G:$G,A317))</f>
        <v/>
      </c>
      <c r="K317" s="25" t="str">
        <f aca="false">IF(A317="","",TRIM(IF(COUNTIF($A:$A,A317)&gt;1,"ID repetido. ","")&amp;IF(AND(H317&lt;&gt;"",LEN(TRIM(H317))&lt;&gt;64),"Hash deve ter 64 caracteres.","")))</f>
        <v/>
      </c>
      <c r="L317" s="11"/>
    </row>
    <row r="318" customFormat="false" ht="15" hidden="false" customHeight="false" outlineLevel="0" collapsed="false">
      <c r="A318" s="24"/>
      <c r="B318" s="22"/>
      <c r="C318" s="23"/>
      <c r="D318" s="11"/>
      <c r="E318" s="11"/>
      <c r="F318" s="23"/>
      <c r="G318" s="24"/>
      <c r="H318" s="24"/>
      <c r="I318" s="23"/>
      <c r="J318" s="27" t="str">
        <f aca="false">IF(A318="","",COUNTIF('Linha do tempo'!$G:$G,A318))</f>
        <v/>
      </c>
      <c r="K318" s="25" t="str">
        <f aca="false">IF(A318="","",TRIM(IF(COUNTIF($A:$A,A318)&gt;1,"ID repetido. ","")&amp;IF(AND(H318&lt;&gt;"",LEN(TRIM(H318))&lt;&gt;64),"Hash deve ter 64 caracteres.","")))</f>
        <v/>
      </c>
      <c r="L318" s="11"/>
    </row>
    <row r="319" customFormat="false" ht="15" hidden="false" customHeight="false" outlineLevel="0" collapsed="false">
      <c r="A319" s="24"/>
      <c r="B319" s="22"/>
      <c r="C319" s="23"/>
      <c r="D319" s="11"/>
      <c r="E319" s="11"/>
      <c r="F319" s="23"/>
      <c r="G319" s="24"/>
      <c r="H319" s="24"/>
      <c r="I319" s="23"/>
      <c r="J319" s="27" t="str">
        <f aca="false">IF(A319="","",COUNTIF('Linha do tempo'!$G:$G,A319))</f>
        <v/>
      </c>
      <c r="K319" s="25" t="str">
        <f aca="false">IF(A319="","",TRIM(IF(COUNTIF($A:$A,A319)&gt;1,"ID repetido. ","")&amp;IF(AND(H319&lt;&gt;"",LEN(TRIM(H319))&lt;&gt;64),"Hash deve ter 64 caracteres.","")))</f>
        <v/>
      </c>
      <c r="L319" s="11"/>
    </row>
    <row r="320" customFormat="false" ht="15" hidden="false" customHeight="false" outlineLevel="0" collapsed="false">
      <c r="A320" s="24"/>
      <c r="B320" s="22"/>
      <c r="C320" s="23"/>
      <c r="D320" s="11"/>
      <c r="E320" s="11"/>
      <c r="F320" s="23"/>
      <c r="G320" s="24"/>
      <c r="H320" s="24"/>
      <c r="I320" s="23"/>
      <c r="J320" s="27" t="str">
        <f aca="false">IF(A320="","",COUNTIF('Linha do tempo'!$G:$G,A320))</f>
        <v/>
      </c>
      <c r="K320" s="25" t="str">
        <f aca="false">IF(A320="","",TRIM(IF(COUNTIF($A:$A,A320)&gt;1,"ID repetido. ","")&amp;IF(AND(H320&lt;&gt;"",LEN(TRIM(H320))&lt;&gt;64),"Hash deve ter 64 caracteres.","")))</f>
        <v/>
      </c>
      <c r="L320" s="11"/>
    </row>
    <row r="321" customFormat="false" ht="15" hidden="false" customHeight="false" outlineLevel="0" collapsed="false">
      <c r="A321" s="24"/>
      <c r="B321" s="22"/>
      <c r="C321" s="23"/>
      <c r="D321" s="11"/>
      <c r="E321" s="11"/>
      <c r="F321" s="23"/>
      <c r="G321" s="24"/>
      <c r="H321" s="24"/>
      <c r="I321" s="23"/>
      <c r="J321" s="27" t="str">
        <f aca="false">IF(A321="","",COUNTIF('Linha do tempo'!$G:$G,A321))</f>
        <v/>
      </c>
      <c r="K321" s="25" t="str">
        <f aca="false">IF(A321="","",TRIM(IF(COUNTIF($A:$A,A321)&gt;1,"ID repetido. ","")&amp;IF(AND(H321&lt;&gt;"",LEN(TRIM(H321))&lt;&gt;64),"Hash deve ter 64 caracteres.","")))</f>
        <v/>
      </c>
      <c r="L321" s="11"/>
    </row>
    <row r="322" customFormat="false" ht="15" hidden="false" customHeight="false" outlineLevel="0" collapsed="false">
      <c r="A322" s="24"/>
      <c r="B322" s="22"/>
      <c r="C322" s="23"/>
      <c r="D322" s="11"/>
      <c r="E322" s="11"/>
      <c r="F322" s="23"/>
      <c r="G322" s="24"/>
      <c r="H322" s="24"/>
      <c r="I322" s="23"/>
      <c r="J322" s="27" t="str">
        <f aca="false">IF(A322="","",COUNTIF('Linha do tempo'!$G:$G,A322))</f>
        <v/>
      </c>
      <c r="K322" s="25" t="str">
        <f aca="false">IF(A322="","",TRIM(IF(COUNTIF($A:$A,A322)&gt;1,"ID repetido. ","")&amp;IF(AND(H322&lt;&gt;"",LEN(TRIM(H322))&lt;&gt;64),"Hash deve ter 64 caracteres.","")))</f>
        <v/>
      </c>
      <c r="L322" s="11"/>
    </row>
    <row r="323" customFormat="false" ht="15" hidden="false" customHeight="false" outlineLevel="0" collapsed="false">
      <c r="A323" s="24"/>
      <c r="B323" s="22"/>
      <c r="C323" s="23"/>
      <c r="D323" s="11"/>
      <c r="E323" s="11"/>
      <c r="F323" s="23"/>
      <c r="G323" s="24"/>
      <c r="H323" s="24"/>
      <c r="I323" s="23"/>
      <c r="J323" s="27" t="str">
        <f aca="false">IF(A323="","",COUNTIF('Linha do tempo'!$G:$G,A323))</f>
        <v/>
      </c>
      <c r="K323" s="25" t="str">
        <f aca="false">IF(A323="","",TRIM(IF(COUNTIF($A:$A,A323)&gt;1,"ID repetido. ","")&amp;IF(AND(H323&lt;&gt;"",LEN(TRIM(H323))&lt;&gt;64),"Hash deve ter 64 caracteres.","")))</f>
        <v/>
      </c>
      <c r="L323" s="11"/>
    </row>
    <row r="324" customFormat="false" ht="15" hidden="false" customHeight="false" outlineLevel="0" collapsed="false">
      <c r="A324" s="24"/>
      <c r="B324" s="22"/>
      <c r="C324" s="23"/>
      <c r="D324" s="11"/>
      <c r="E324" s="11"/>
      <c r="F324" s="23"/>
      <c r="G324" s="24"/>
      <c r="H324" s="24"/>
      <c r="I324" s="23"/>
      <c r="J324" s="27" t="str">
        <f aca="false">IF(A324="","",COUNTIF('Linha do tempo'!$G:$G,A324))</f>
        <v/>
      </c>
      <c r="K324" s="25" t="str">
        <f aca="false">IF(A324="","",TRIM(IF(COUNTIF($A:$A,A324)&gt;1,"ID repetido. ","")&amp;IF(AND(H324&lt;&gt;"",LEN(TRIM(H324))&lt;&gt;64),"Hash deve ter 64 caracteres.","")))</f>
        <v/>
      </c>
      <c r="L324" s="11"/>
    </row>
    <row r="325" customFormat="false" ht="15" hidden="false" customHeight="false" outlineLevel="0" collapsed="false">
      <c r="A325" s="24"/>
      <c r="B325" s="22"/>
      <c r="C325" s="23"/>
      <c r="D325" s="11"/>
      <c r="E325" s="11"/>
      <c r="F325" s="23"/>
      <c r="G325" s="24"/>
      <c r="H325" s="24"/>
      <c r="I325" s="23"/>
      <c r="J325" s="27" t="str">
        <f aca="false">IF(A325="","",COUNTIF('Linha do tempo'!$G:$G,A325))</f>
        <v/>
      </c>
      <c r="K325" s="25" t="str">
        <f aca="false">IF(A325="","",TRIM(IF(COUNTIF($A:$A,A325)&gt;1,"ID repetido. ","")&amp;IF(AND(H325&lt;&gt;"",LEN(TRIM(H325))&lt;&gt;64),"Hash deve ter 64 caracteres.","")))</f>
        <v/>
      </c>
      <c r="L325" s="11"/>
    </row>
    <row r="326" customFormat="false" ht="15" hidden="false" customHeight="false" outlineLevel="0" collapsed="false">
      <c r="A326" s="24"/>
      <c r="B326" s="22"/>
      <c r="C326" s="23"/>
      <c r="D326" s="11"/>
      <c r="E326" s="11"/>
      <c r="F326" s="23"/>
      <c r="G326" s="24"/>
      <c r="H326" s="24"/>
      <c r="I326" s="23"/>
      <c r="J326" s="27" t="str">
        <f aca="false">IF(A326="","",COUNTIF('Linha do tempo'!$G:$G,A326))</f>
        <v/>
      </c>
      <c r="K326" s="25" t="str">
        <f aca="false">IF(A326="","",TRIM(IF(COUNTIF($A:$A,A326)&gt;1,"ID repetido. ","")&amp;IF(AND(H326&lt;&gt;"",LEN(TRIM(H326))&lt;&gt;64),"Hash deve ter 64 caracteres.","")))</f>
        <v/>
      </c>
      <c r="L326" s="11"/>
    </row>
    <row r="327" customFormat="false" ht="15" hidden="false" customHeight="false" outlineLevel="0" collapsed="false">
      <c r="A327" s="24"/>
      <c r="B327" s="22"/>
      <c r="C327" s="23"/>
      <c r="D327" s="11"/>
      <c r="E327" s="11"/>
      <c r="F327" s="23"/>
      <c r="G327" s="24"/>
      <c r="H327" s="24"/>
      <c r="I327" s="23"/>
      <c r="J327" s="27" t="str">
        <f aca="false">IF(A327="","",COUNTIF('Linha do tempo'!$G:$G,A327))</f>
        <v/>
      </c>
      <c r="K327" s="25" t="str">
        <f aca="false">IF(A327="","",TRIM(IF(COUNTIF($A:$A,A327)&gt;1,"ID repetido. ","")&amp;IF(AND(H327&lt;&gt;"",LEN(TRIM(H327))&lt;&gt;64),"Hash deve ter 64 caracteres.","")))</f>
        <v/>
      </c>
      <c r="L327" s="11"/>
    </row>
    <row r="328" customFormat="false" ht="15" hidden="false" customHeight="false" outlineLevel="0" collapsed="false">
      <c r="A328" s="24"/>
      <c r="B328" s="22"/>
      <c r="C328" s="23"/>
      <c r="D328" s="11"/>
      <c r="E328" s="11"/>
      <c r="F328" s="23"/>
      <c r="G328" s="24"/>
      <c r="H328" s="24"/>
      <c r="I328" s="23"/>
      <c r="J328" s="27" t="str">
        <f aca="false">IF(A328="","",COUNTIF('Linha do tempo'!$G:$G,A328))</f>
        <v/>
      </c>
      <c r="K328" s="25" t="str">
        <f aca="false">IF(A328="","",TRIM(IF(COUNTIF($A:$A,A328)&gt;1,"ID repetido. ","")&amp;IF(AND(H328&lt;&gt;"",LEN(TRIM(H328))&lt;&gt;64),"Hash deve ter 64 caracteres.","")))</f>
        <v/>
      </c>
      <c r="L328" s="11"/>
    </row>
    <row r="329" customFormat="false" ht="15" hidden="false" customHeight="false" outlineLevel="0" collapsed="false">
      <c r="A329" s="24"/>
      <c r="B329" s="22"/>
      <c r="C329" s="23"/>
      <c r="D329" s="11"/>
      <c r="E329" s="11"/>
      <c r="F329" s="23"/>
      <c r="G329" s="24"/>
      <c r="H329" s="24"/>
      <c r="I329" s="23"/>
      <c r="J329" s="27" t="str">
        <f aca="false">IF(A329="","",COUNTIF('Linha do tempo'!$G:$G,A329))</f>
        <v/>
      </c>
      <c r="K329" s="25" t="str">
        <f aca="false">IF(A329="","",TRIM(IF(COUNTIF($A:$A,A329)&gt;1,"ID repetido. ","")&amp;IF(AND(H329&lt;&gt;"",LEN(TRIM(H329))&lt;&gt;64),"Hash deve ter 64 caracteres.","")))</f>
        <v/>
      </c>
      <c r="L329" s="11"/>
    </row>
    <row r="330" customFormat="false" ht="15" hidden="false" customHeight="false" outlineLevel="0" collapsed="false">
      <c r="A330" s="24"/>
      <c r="B330" s="22"/>
      <c r="C330" s="23"/>
      <c r="D330" s="11"/>
      <c r="E330" s="11"/>
      <c r="F330" s="23"/>
      <c r="G330" s="24"/>
      <c r="H330" s="24"/>
      <c r="I330" s="23"/>
      <c r="J330" s="27" t="str">
        <f aca="false">IF(A330="","",COUNTIF('Linha do tempo'!$G:$G,A330))</f>
        <v/>
      </c>
      <c r="K330" s="25" t="str">
        <f aca="false">IF(A330="","",TRIM(IF(COUNTIF($A:$A,A330)&gt;1,"ID repetido. ","")&amp;IF(AND(H330&lt;&gt;"",LEN(TRIM(H330))&lt;&gt;64),"Hash deve ter 64 caracteres.","")))</f>
        <v/>
      </c>
      <c r="L330" s="11"/>
    </row>
    <row r="331" customFormat="false" ht="15" hidden="false" customHeight="false" outlineLevel="0" collapsed="false">
      <c r="A331" s="24"/>
      <c r="B331" s="22"/>
      <c r="C331" s="23"/>
      <c r="D331" s="11"/>
      <c r="E331" s="11"/>
      <c r="F331" s="23"/>
      <c r="G331" s="24"/>
      <c r="H331" s="24"/>
      <c r="I331" s="23"/>
      <c r="J331" s="27" t="str">
        <f aca="false">IF(A331="","",COUNTIF('Linha do tempo'!$G:$G,A331))</f>
        <v/>
      </c>
      <c r="K331" s="25" t="str">
        <f aca="false">IF(A331="","",TRIM(IF(COUNTIF($A:$A,A331)&gt;1,"ID repetido. ","")&amp;IF(AND(H331&lt;&gt;"",LEN(TRIM(H331))&lt;&gt;64),"Hash deve ter 64 caracteres.","")))</f>
        <v/>
      </c>
      <c r="L331" s="11"/>
    </row>
    <row r="332" customFormat="false" ht="15" hidden="false" customHeight="false" outlineLevel="0" collapsed="false">
      <c r="A332" s="24"/>
      <c r="B332" s="22"/>
      <c r="C332" s="23"/>
      <c r="D332" s="11"/>
      <c r="E332" s="11"/>
      <c r="F332" s="23"/>
      <c r="G332" s="24"/>
      <c r="H332" s="24"/>
      <c r="I332" s="23"/>
      <c r="J332" s="27" t="str">
        <f aca="false">IF(A332="","",COUNTIF('Linha do tempo'!$G:$G,A332))</f>
        <v/>
      </c>
      <c r="K332" s="25" t="str">
        <f aca="false">IF(A332="","",TRIM(IF(COUNTIF($A:$A,A332)&gt;1,"ID repetido. ","")&amp;IF(AND(H332&lt;&gt;"",LEN(TRIM(H332))&lt;&gt;64),"Hash deve ter 64 caracteres.","")))</f>
        <v/>
      </c>
      <c r="L332" s="11"/>
    </row>
    <row r="333" customFormat="false" ht="15" hidden="false" customHeight="false" outlineLevel="0" collapsed="false">
      <c r="A333" s="24"/>
      <c r="B333" s="22"/>
      <c r="C333" s="23"/>
      <c r="D333" s="11"/>
      <c r="E333" s="11"/>
      <c r="F333" s="23"/>
      <c r="G333" s="24"/>
      <c r="H333" s="24"/>
      <c r="I333" s="23"/>
      <c r="J333" s="27" t="str">
        <f aca="false">IF(A333="","",COUNTIF('Linha do tempo'!$G:$G,A333))</f>
        <v/>
      </c>
      <c r="K333" s="25" t="str">
        <f aca="false">IF(A333="","",TRIM(IF(COUNTIF($A:$A,A333)&gt;1,"ID repetido. ","")&amp;IF(AND(H333&lt;&gt;"",LEN(TRIM(H333))&lt;&gt;64),"Hash deve ter 64 caracteres.","")))</f>
        <v/>
      </c>
      <c r="L333" s="11"/>
    </row>
    <row r="334" customFormat="false" ht="15" hidden="false" customHeight="false" outlineLevel="0" collapsed="false">
      <c r="A334" s="24"/>
      <c r="B334" s="22"/>
      <c r="C334" s="23"/>
      <c r="D334" s="11"/>
      <c r="E334" s="11"/>
      <c r="F334" s="23"/>
      <c r="G334" s="24"/>
      <c r="H334" s="24"/>
      <c r="I334" s="23"/>
      <c r="J334" s="27" t="str">
        <f aca="false">IF(A334="","",COUNTIF('Linha do tempo'!$G:$G,A334))</f>
        <v/>
      </c>
      <c r="K334" s="25" t="str">
        <f aca="false">IF(A334="","",TRIM(IF(COUNTIF($A:$A,A334)&gt;1,"ID repetido. ","")&amp;IF(AND(H334&lt;&gt;"",LEN(TRIM(H334))&lt;&gt;64),"Hash deve ter 64 caracteres.","")))</f>
        <v/>
      </c>
      <c r="L334" s="11"/>
    </row>
    <row r="335" customFormat="false" ht="15" hidden="false" customHeight="false" outlineLevel="0" collapsed="false">
      <c r="A335" s="24"/>
      <c r="B335" s="22"/>
      <c r="C335" s="23"/>
      <c r="D335" s="11"/>
      <c r="E335" s="11"/>
      <c r="F335" s="23"/>
      <c r="G335" s="24"/>
      <c r="H335" s="24"/>
      <c r="I335" s="23"/>
      <c r="J335" s="27" t="str">
        <f aca="false">IF(A335="","",COUNTIF('Linha do tempo'!$G:$G,A335))</f>
        <v/>
      </c>
      <c r="K335" s="25" t="str">
        <f aca="false">IF(A335="","",TRIM(IF(COUNTIF($A:$A,A335)&gt;1,"ID repetido. ","")&amp;IF(AND(H335&lt;&gt;"",LEN(TRIM(H335))&lt;&gt;64),"Hash deve ter 64 caracteres.","")))</f>
        <v/>
      </c>
      <c r="L335" s="11"/>
    </row>
    <row r="336" customFormat="false" ht="15" hidden="false" customHeight="false" outlineLevel="0" collapsed="false">
      <c r="A336" s="24"/>
      <c r="B336" s="22"/>
      <c r="C336" s="23"/>
      <c r="D336" s="11"/>
      <c r="E336" s="11"/>
      <c r="F336" s="23"/>
      <c r="G336" s="24"/>
      <c r="H336" s="24"/>
      <c r="I336" s="23"/>
      <c r="J336" s="27" t="str">
        <f aca="false">IF(A336="","",COUNTIF('Linha do tempo'!$G:$G,A336))</f>
        <v/>
      </c>
      <c r="K336" s="25" t="str">
        <f aca="false">IF(A336="","",TRIM(IF(COUNTIF($A:$A,A336)&gt;1,"ID repetido. ","")&amp;IF(AND(H336&lt;&gt;"",LEN(TRIM(H336))&lt;&gt;64),"Hash deve ter 64 caracteres.","")))</f>
        <v/>
      </c>
      <c r="L336" s="11"/>
    </row>
    <row r="337" customFormat="false" ht="15" hidden="false" customHeight="false" outlineLevel="0" collapsed="false">
      <c r="A337" s="24"/>
      <c r="B337" s="22"/>
      <c r="C337" s="23"/>
      <c r="D337" s="11"/>
      <c r="E337" s="11"/>
      <c r="F337" s="23"/>
      <c r="G337" s="24"/>
      <c r="H337" s="24"/>
      <c r="I337" s="23"/>
      <c r="J337" s="27" t="str">
        <f aca="false">IF(A337="","",COUNTIF('Linha do tempo'!$G:$G,A337))</f>
        <v/>
      </c>
      <c r="K337" s="25" t="str">
        <f aca="false">IF(A337="","",TRIM(IF(COUNTIF($A:$A,A337)&gt;1,"ID repetido. ","")&amp;IF(AND(H337&lt;&gt;"",LEN(TRIM(H337))&lt;&gt;64),"Hash deve ter 64 caracteres.","")))</f>
        <v/>
      </c>
      <c r="L337" s="11"/>
    </row>
    <row r="338" customFormat="false" ht="15" hidden="false" customHeight="false" outlineLevel="0" collapsed="false">
      <c r="A338" s="24"/>
      <c r="B338" s="22"/>
      <c r="C338" s="23"/>
      <c r="D338" s="11"/>
      <c r="E338" s="11"/>
      <c r="F338" s="23"/>
      <c r="G338" s="24"/>
      <c r="H338" s="24"/>
      <c r="I338" s="23"/>
      <c r="J338" s="27" t="str">
        <f aca="false">IF(A338="","",COUNTIF('Linha do tempo'!$G:$G,A338))</f>
        <v/>
      </c>
      <c r="K338" s="25" t="str">
        <f aca="false">IF(A338="","",TRIM(IF(COUNTIF($A:$A,A338)&gt;1,"ID repetido. ","")&amp;IF(AND(H338&lt;&gt;"",LEN(TRIM(H338))&lt;&gt;64),"Hash deve ter 64 caracteres.","")))</f>
        <v/>
      </c>
      <c r="L338" s="11"/>
    </row>
    <row r="339" customFormat="false" ht="15" hidden="false" customHeight="false" outlineLevel="0" collapsed="false">
      <c r="A339" s="24"/>
      <c r="B339" s="22"/>
      <c r="C339" s="23"/>
      <c r="D339" s="11"/>
      <c r="E339" s="11"/>
      <c r="F339" s="23"/>
      <c r="G339" s="24"/>
      <c r="H339" s="24"/>
      <c r="I339" s="23"/>
      <c r="J339" s="27" t="str">
        <f aca="false">IF(A339="","",COUNTIF('Linha do tempo'!$G:$G,A339))</f>
        <v/>
      </c>
      <c r="K339" s="25" t="str">
        <f aca="false">IF(A339="","",TRIM(IF(COUNTIF($A:$A,A339)&gt;1,"ID repetido. ","")&amp;IF(AND(H339&lt;&gt;"",LEN(TRIM(H339))&lt;&gt;64),"Hash deve ter 64 caracteres.","")))</f>
        <v/>
      </c>
      <c r="L339" s="11"/>
    </row>
    <row r="340" customFormat="false" ht="15" hidden="false" customHeight="false" outlineLevel="0" collapsed="false">
      <c r="A340" s="24"/>
      <c r="B340" s="22"/>
      <c r="C340" s="23"/>
      <c r="D340" s="11"/>
      <c r="E340" s="11"/>
      <c r="F340" s="23"/>
      <c r="G340" s="24"/>
      <c r="H340" s="24"/>
      <c r="I340" s="23"/>
      <c r="J340" s="27" t="str">
        <f aca="false">IF(A340="","",COUNTIF('Linha do tempo'!$G:$G,A340))</f>
        <v/>
      </c>
      <c r="K340" s="25" t="str">
        <f aca="false">IF(A340="","",TRIM(IF(COUNTIF($A:$A,A340)&gt;1,"ID repetido. ","")&amp;IF(AND(H340&lt;&gt;"",LEN(TRIM(H340))&lt;&gt;64),"Hash deve ter 64 caracteres.","")))</f>
        <v/>
      </c>
      <c r="L340" s="11"/>
    </row>
    <row r="341" customFormat="false" ht="15" hidden="false" customHeight="false" outlineLevel="0" collapsed="false">
      <c r="A341" s="24"/>
      <c r="B341" s="22"/>
      <c r="C341" s="23"/>
      <c r="D341" s="11"/>
      <c r="E341" s="11"/>
      <c r="F341" s="23"/>
      <c r="G341" s="24"/>
      <c r="H341" s="24"/>
      <c r="I341" s="23"/>
      <c r="J341" s="27" t="str">
        <f aca="false">IF(A341="","",COUNTIF('Linha do tempo'!$G:$G,A341))</f>
        <v/>
      </c>
      <c r="K341" s="25" t="str">
        <f aca="false">IF(A341="","",TRIM(IF(COUNTIF($A:$A,A341)&gt;1,"ID repetido. ","")&amp;IF(AND(H341&lt;&gt;"",LEN(TRIM(H341))&lt;&gt;64),"Hash deve ter 64 caracteres.","")))</f>
        <v/>
      </c>
      <c r="L341" s="11"/>
    </row>
    <row r="342" customFormat="false" ht="15" hidden="false" customHeight="false" outlineLevel="0" collapsed="false">
      <c r="A342" s="24"/>
      <c r="B342" s="22"/>
      <c r="C342" s="23"/>
      <c r="D342" s="11"/>
      <c r="E342" s="11"/>
      <c r="F342" s="23"/>
      <c r="G342" s="24"/>
      <c r="H342" s="24"/>
      <c r="I342" s="23"/>
      <c r="J342" s="27" t="str">
        <f aca="false">IF(A342="","",COUNTIF('Linha do tempo'!$G:$G,A342))</f>
        <v/>
      </c>
      <c r="K342" s="25" t="str">
        <f aca="false">IF(A342="","",TRIM(IF(COUNTIF($A:$A,A342)&gt;1,"ID repetido. ","")&amp;IF(AND(H342&lt;&gt;"",LEN(TRIM(H342))&lt;&gt;64),"Hash deve ter 64 caracteres.","")))</f>
        <v/>
      </c>
      <c r="L342" s="11"/>
    </row>
    <row r="343" customFormat="false" ht="15" hidden="false" customHeight="false" outlineLevel="0" collapsed="false">
      <c r="A343" s="24"/>
      <c r="B343" s="22"/>
      <c r="C343" s="23"/>
      <c r="D343" s="11"/>
      <c r="E343" s="11"/>
      <c r="F343" s="23"/>
      <c r="G343" s="24"/>
      <c r="H343" s="24"/>
      <c r="I343" s="23"/>
      <c r="J343" s="27" t="str">
        <f aca="false">IF(A343="","",COUNTIF('Linha do tempo'!$G:$G,A343))</f>
        <v/>
      </c>
      <c r="K343" s="25" t="str">
        <f aca="false">IF(A343="","",TRIM(IF(COUNTIF($A:$A,A343)&gt;1,"ID repetido. ","")&amp;IF(AND(H343&lt;&gt;"",LEN(TRIM(H343))&lt;&gt;64),"Hash deve ter 64 caracteres.","")))</f>
        <v/>
      </c>
      <c r="L343" s="11"/>
    </row>
    <row r="344" customFormat="false" ht="15" hidden="false" customHeight="false" outlineLevel="0" collapsed="false">
      <c r="A344" s="24"/>
      <c r="B344" s="22"/>
      <c r="C344" s="23"/>
      <c r="D344" s="11"/>
      <c r="E344" s="11"/>
      <c r="F344" s="23"/>
      <c r="G344" s="24"/>
      <c r="H344" s="24"/>
      <c r="I344" s="23"/>
      <c r="J344" s="27" t="str">
        <f aca="false">IF(A344="","",COUNTIF('Linha do tempo'!$G:$G,A344))</f>
        <v/>
      </c>
      <c r="K344" s="25" t="str">
        <f aca="false">IF(A344="","",TRIM(IF(COUNTIF($A:$A,A344)&gt;1,"ID repetido. ","")&amp;IF(AND(H344&lt;&gt;"",LEN(TRIM(H344))&lt;&gt;64),"Hash deve ter 64 caracteres.","")))</f>
        <v/>
      </c>
      <c r="L344" s="11"/>
    </row>
    <row r="345" customFormat="false" ht="15" hidden="false" customHeight="false" outlineLevel="0" collapsed="false">
      <c r="A345" s="24"/>
      <c r="B345" s="22"/>
      <c r="C345" s="23"/>
      <c r="D345" s="11"/>
      <c r="E345" s="11"/>
      <c r="F345" s="23"/>
      <c r="G345" s="24"/>
      <c r="H345" s="24"/>
      <c r="I345" s="23"/>
      <c r="J345" s="27" t="str">
        <f aca="false">IF(A345="","",COUNTIF('Linha do tempo'!$G:$G,A345))</f>
        <v/>
      </c>
      <c r="K345" s="25" t="str">
        <f aca="false">IF(A345="","",TRIM(IF(COUNTIF($A:$A,A345)&gt;1,"ID repetido. ","")&amp;IF(AND(H345&lt;&gt;"",LEN(TRIM(H345))&lt;&gt;64),"Hash deve ter 64 caracteres.","")))</f>
        <v/>
      </c>
      <c r="L345" s="11"/>
    </row>
    <row r="346" customFormat="false" ht="15" hidden="false" customHeight="false" outlineLevel="0" collapsed="false">
      <c r="A346" s="24"/>
      <c r="B346" s="22"/>
      <c r="C346" s="23"/>
      <c r="D346" s="11"/>
      <c r="E346" s="11"/>
      <c r="F346" s="23"/>
      <c r="G346" s="24"/>
      <c r="H346" s="24"/>
      <c r="I346" s="23"/>
      <c r="J346" s="27" t="str">
        <f aca="false">IF(A346="","",COUNTIF('Linha do tempo'!$G:$G,A346))</f>
        <v/>
      </c>
      <c r="K346" s="25" t="str">
        <f aca="false">IF(A346="","",TRIM(IF(COUNTIF($A:$A,A346)&gt;1,"ID repetido. ","")&amp;IF(AND(H346&lt;&gt;"",LEN(TRIM(H346))&lt;&gt;64),"Hash deve ter 64 caracteres.","")))</f>
        <v/>
      </c>
      <c r="L346" s="11"/>
    </row>
    <row r="347" customFormat="false" ht="15" hidden="false" customHeight="false" outlineLevel="0" collapsed="false">
      <c r="A347" s="24"/>
      <c r="B347" s="22"/>
      <c r="C347" s="23"/>
      <c r="D347" s="11"/>
      <c r="E347" s="11"/>
      <c r="F347" s="23"/>
      <c r="G347" s="24"/>
      <c r="H347" s="24"/>
      <c r="I347" s="23"/>
      <c r="J347" s="27" t="str">
        <f aca="false">IF(A347="","",COUNTIF('Linha do tempo'!$G:$G,A347))</f>
        <v/>
      </c>
      <c r="K347" s="25" t="str">
        <f aca="false">IF(A347="","",TRIM(IF(COUNTIF($A:$A,A347)&gt;1,"ID repetido. ","")&amp;IF(AND(H347&lt;&gt;"",LEN(TRIM(H347))&lt;&gt;64),"Hash deve ter 64 caracteres.","")))</f>
        <v/>
      </c>
      <c r="L347" s="11"/>
    </row>
    <row r="348" customFormat="false" ht="15" hidden="false" customHeight="false" outlineLevel="0" collapsed="false">
      <c r="A348" s="24"/>
      <c r="B348" s="22"/>
      <c r="C348" s="23"/>
      <c r="D348" s="11"/>
      <c r="E348" s="11"/>
      <c r="F348" s="23"/>
      <c r="G348" s="24"/>
      <c r="H348" s="24"/>
      <c r="I348" s="23"/>
      <c r="J348" s="27" t="str">
        <f aca="false">IF(A348="","",COUNTIF('Linha do tempo'!$G:$G,A348))</f>
        <v/>
      </c>
      <c r="K348" s="25" t="str">
        <f aca="false">IF(A348="","",TRIM(IF(COUNTIF($A:$A,A348)&gt;1,"ID repetido. ","")&amp;IF(AND(H348&lt;&gt;"",LEN(TRIM(H348))&lt;&gt;64),"Hash deve ter 64 caracteres.","")))</f>
        <v/>
      </c>
      <c r="L348" s="11"/>
    </row>
    <row r="349" customFormat="false" ht="15" hidden="false" customHeight="false" outlineLevel="0" collapsed="false">
      <c r="A349" s="24"/>
      <c r="B349" s="22"/>
      <c r="C349" s="23"/>
      <c r="D349" s="11"/>
      <c r="E349" s="11"/>
      <c r="F349" s="23"/>
      <c r="G349" s="24"/>
      <c r="H349" s="24"/>
      <c r="I349" s="23"/>
      <c r="J349" s="27" t="str">
        <f aca="false">IF(A349="","",COUNTIF('Linha do tempo'!$G:$G,A349))</f>
        <v/>
      </c>
      <c r="K349" s="25" t="str">
        <f aca="false">IF(A349="","",TRIM(IF(COUNTIF($A:$A,A349)&gt;1,"ID repetido. ","")&amp;IF(AND(H349&lt;&gt;"",LEN(TRIM(H349))&lt;&gt;64),"Hash deve ter 64 caracteres.","")))</f>
        <v/>
      </c>
      <c r="L349" s="11"/>
    </row>
    <row r="350" customFormat="false" ht="15" hidden="false" customHeight="false" outlineLevel="0" collapsed="false">
      <c r="A350" s="24"/>
      <c r="B350" s="22"/>
      <c r="C350" s="23"/>
      <c r="D350" s="11"/>
      <c r="E350" s="11"/>
      <c r="F350" s="23"/>
      <c r="G350" s="24"/>
      <c r="H350" s="24"/>
      <c r="I350" s="23"/>
      <c r="J350" s="27" t="str">
        <f aca="false">IF(A350="","",COUNTIF('Linha do tempo'!$G:$G,A350))</f>
        <v/>
      </c>
      <c r="K350" s="25" t="str">
        <f aca="false">IF(A350="","",TRIM(IF(COUNTIF($A:$A,A350)&gt;1,"ID repetido. ","")&amp;IF(AND(H350&lt;&gt;"",LEN(TRIM(H350))&lt;&gt;64),"Hash deve ter 64 caracteres.","")))</f>
        <v/>
      </c>
      <c r="L350" s="11"/>
    </row>
    <row r="351" customFormat="false" ht="15" hidden="false" customHeight="false" outlineLevel="0" collapsed="false">
      <c r="A351" s="24"/>
      <c r="B351" s="22"/>
      <c r="C351" s="23"/>
      <c r="D351" s="11"/>
      <c r="E351" s="11"/>
      <c r="F351" s="23"/>
      <c r="G351" s="24"/>
      <c r="H351" s="24"/>
      <c r="I351" s="23"/>
      <c r="J351" s="27" t="str">
        <f aca="false">IF(A351="","",COUNTIF('Linha do tempo'!$G:$G,A351))</f>
        <v/>
      </c>
      <c r="K351" s="25" t="str">
        <f aca="false">IF(A351="","",TRIM(IF(COUNTIF($A:$A,A351)&gt;1,"ID repetido. ","")&amp;IF(AND(H351&lt;&gt;"",LEN(TRIM(H351))&lt;&gt;64),"Hash deve ter 64 caracteres.","")))</f>
        <v/>
      </c>
      <c r="L351" s="11"/>
    </row>
    <row r="352" customFormat="false" ht="15" hidden="false" customHeight="false" outlineLevel="0" collapsed="false">
      <c r="A352" s="24"/>
      <c r="B352" s="22"/>
      <c r="C352" s="23"/>
      <c r="D352" s="11"/>
      <c r="E352" s="11"/>
      <c r="F352" s="23"/>
      <c r="G352" s="24"/>
      <c r="H352" s="24"/>
      <c r="I352" s="23"/>
      <c r="J352" s="27" t="str">
        <f aca="false">IF(A352="","",COUNTIF('Linha do tempo'!$G:$G,A352))</f>
        <v/>
      </c>
      <c r="K352" s="25" t="str">
        <f aca="false">IF(A352="","",TRIM(IF(COUNTIF($A:$A,A352)&gt;1,"ID repetido. ","")&amp;IF(AND(H352&lt;&gt;"",LEN(TRIM(H352))&lt;&gt;64),"Hash deve ter 64 caracteres.","")))</f>
        <v/>
      </c>
      <c r="L352" s="11"/>
    </row>
    <row r="353" customFormat="false" ht="15" hidden="false" customHeight="false" outlineLevel="0" collapsed="false">
      <c r="A353" s="24"/>
      <c r="B353" s="22"/>
      <c r="C353" s="23"/>
      <c r="D353" s="11"/>
      <c r="E353" s="11"/>
      <c r="F353" s="23"/>
      <c r="G353" s="24"/>
      <c r="H353" s="24"/>
      <c r="I353" s="23"/>
      <c r="J353" s="27" t="str">
        <f aca="false">IF(A353="","",COUNTIF('Linha do tempo'!$G:$G,A353))</f>
        <v/>
      </c>
      <c r="K353" s="25" t="str">
        <f aca="false">IF(A353="","",TRIM(IF(COUNTIF($A:$A,A353)&gt;1,"ID repetido. ","")&amp;IF(AND(H353&lt;&gt;"",LEN(TRIM(H353))&lt;&gt;64),"Hash deve ter 64 caracteres.","")))</f>
        <v/>
      </c>
      <c r="L353" s="11"/>
    </row>
    <row r="354" customFormat="false" ht="15" hidden="false" customHeight="false" outlineLevel="0" collapsed="false">
      <c r="A354" s="24"/>
      <c r="B354" s="22"/>
      <c r="C354" s="23"/>
      <c r="D354" s="11"/>
      <c r="E354" s="11"/>
      <c r="F354" s="23"/>
      <c r="G354" s="24"/>
      <c r="H354" s="24"/>
      <c r="I354" s="23"/>
      <c r="J354" s="27" t="str">
        <f aca="false">IF(A354="","",COUNTIF('Linha do tempo'!$G:$G,A354))</f>
        <v/>
      </c>
      <c r="K354" s="25" t="str">
        <f aca="false">IF(A354="","",TRIM(IF(COUNTIF($A:$A,A354)&gt;1,"ID repetido. ","")&amp;IF(AND(H354&lt;&gt;"",LEN(TRIM(H354))&lt;&gt;64),"Hash deve ter 64 caracteres.","")))</f>
        <v/>
      </c>
      <c r="L354" s="11"/>
    </row>
    <row r="355" customFormat="false" ht="15" hidden="false" customHeight="false" outlineLevel="0" collapsed="false">
      <c r="A355" s="24"/>
      <c r="B355" s="22"/>
      <c r="C355" s="23"/>
      <c r="D355" s="11"/>
      <c r="E355" s="11"/>
      <c r="F355" s="23"/>
      <c r="G355" s="24"/>
      <c r="H355" s="24"/>
      <c r="I355" s="23"/>
      <c r="J355" s="27" t="str">
        <f aca="false">IF(A355="","",COUNTIF('Linha do tempo'!$G:$G,A355))</f>
        <v/>
      </c>
      <c r="K355" s="25" t="str">
        <f aca="false">IF(A355="","",TRIM(IF(COUNTIF($A:$A,A355)&gt;1,"ID repetido. ","")&amp;IF(AND(H355&lt;&gt;"",LEN(TRIM(H355))&lt;&gt;64),"Hash deve ter 64 caracteres.","")))</f>
        <v/>
      </c>
      <c r="L355" s="11"/>
    </row>
    <row r="356" customFormat="false" ht="15" hidden="false" customHeight="false" outlineLevel="0" collapsed="false">
      <c r="A356" s="24"/>
      <c r="B356" s="22"/>
      <c r="C356" s="23"/>
      <c r="D356" s="11"/>
      <c r="E356" s="11"/>
      <c r="F356" s="23"/>
      <c r="G356" s="24"/>
      <c r="H356" s="24"/>
      <c r="I356" s="23"/>
      <c r="J356" s="27" t="str">
        <f aca="false">IF(A356="","",COUNTIF('Linha do tempo'!$G:$G,A356))</f>
        <v/>
      </c>
      <c r="K356" s="25" t="str">
        <f aca="false">IF(A356="","",TRIM(IF(COUNTIF($A:$A,A356)&gt;1,"ID repetido. ","")&amp;IF(AND(H356&lt;&gt;"",LEN(TRIM(H356))&lt;&gt;64),"Hash deve ter 64 caracteres.","")))</f>
        <v/>
      </c>
      <c r="L356" s="11"/>
    </row>
    <row r="357" customFormat="false" ht="15" hidden="false" customHeight="false" outlineLevel="0" collapsed="false">
      <c r="A357" s="24"/>
      <c r="B357" s="22"/>
      <c r="C357" s="23"/>
      <c r="D357" s="11"/>
      <c r="E357" s="11"/>
      <c r="F357" s="23"/>
      <c r="G357" s="24"/>
      <c r="H357" s="24"/>
      <c r="I357" s="23"/>
      <c r="J357" s="27" t="str">
        <f aca="false">IF(A357="","",COUNTIF('Linha do tempo'!$G:$G,A357))</f>
        <v/>
      </c>
      <c r="K357" s="25" t="str">
        <f aca="false">IF(A357="","",TRIM(IF(COUNTIF($A:$A,A357)&gt;1,"ID repetido. ","")&amp;IF(AND(H357&lt;&gt;"",LEN(TRIM(H357))&lt;&gt;64),"Hash deve ter 64 caracteres.","")))</f>
        <v/>
      </c>
      <c r="L357" s="11"/>
    </row>
    <row r="358" customFormat="false" ht="15" hidden="false" customHeight="false" outlineLevel="0" collapsed="false">
      <c r="A358" s="24"/>
      <c r="B358" s="22"/>
      <c r="C358" s="23"/>
      <c r="D358" s="11"/>
      <c r="E358" s="11"/>
      <c r="F358" s="23"/>
      <c r="G358" s="24"/>
      <c r="H358" s="24"/>
      <c r="I358" s="23"/>
      <c r="J358" s="27" t="str">
        <f aca="false">IF(A358="","",COUNTIF('Linha do tempo'!$G:$G,A358))</f>
        <v/>
      </c>
      <c r="K358" s="25" t="str">
        <f aca="false">IF(A358="","",TRIM(IF(COUNTIF($A:$A,A358)&gt;1,"ID repetido. ","")&amp;IF(AND(H358&lt;&gt;"",LEN(TRIM(H358))&lt;&gt;64),"Hash deve ter 64 caracteres.","")))</f>
        <v/>
      </c>
      <c r="L358" s="11"/>
    </row>
    <row r="359" customFormat="false" ht="15" hidden="false" customHeight="false" outlineLevel="0" collapsed="false">
      <c r="A359" s="24"/>
      <c r="B359" s="22"/>
      <c r="C359" s="23"/>
      <c r="D359" s="11"/>
      <c r="E359" s="11"/>
      <c r="F359" s="23"/>
      <c r="G359" s="24"/>
      <c r="H359" s="24"/>
      <c r="I359" s="23"/>
      <c r="J359" s="27" t="str">
        <f aca="false">IF(A359="","",COUNTIF('Linha do tempo'!$G:$G,A359))</f>
        <v/>
      </c>
      <c r="K359" s="25" t="str">
        <f aca="false">IF(A359="","",TRIM(IF(COUNTIF($A:$A,A359)&gt;1,"ID repetido. ","")&amp;IF(AND(H359&lt;&gt;"",LEN(TRIM(H359))&lt;&gt;64),"Hash deve ter 64 caracteres.","")))</f>
        <v/>
      </c>
      <c r="L359" s="11"/>
    </row>
    <row r="360" customFormat="false" ht="15" hidden="false" customHeight="false" outlineLevel="0" collapsed="false">
      <c r="A360" s="24"/>
      <c r="B360" s="22"/>
      <c r="C360" s="23"/>
      <c r="D360" s="11"/>
      <c r="E360" s="11"/>
      <c r="F360" s="23"/>
      <c r="G360" s="24"/>
      <c r="H360" s="24"/>
      <c r="I360" s="23"/>
      <c r="J360" s="27" t="str">
        <f aca="false">IF(A360="","",COUNTIF('Linha do tempo'!$G:$G,A360))</f>
        <v/>
      </c>
      <c r="K360" s="25" t="str">
        <f aca="false">IF(A360="","",TRIM(IF(COUNTIF($A:$A,A360)&gt;1,"ID repetido. ","")&amp;IF(AND(H360&lt;&gt;"",LEN(TRIM(H360))&lt;&gt;64),"Hash deve ter 64 caracteres.","")))</f>
        <v/>
      </c>
      <c r="L360" s="11"/>
    </row>
    <row r="361" customFormat="false" ht="15" hidden="false" customHeight="false" outlineLevel="0" collapsed="false">
      <c r="A361" s="24"/>
      <c r="B361" s="22"/>
      <c r="C361" s="23"/>
      <c r="D361" s="11"/>
      <c r="E361" s="11"/>
      <c r="F361" s="23"/>
      <c r="G361" s="24"/>
      <c r="H361" s="24"/>
      <c r="I361" s="23"/>
      <c r="J361" s="27" t="str">
        <f aca="false">IF(A361="","",COUNTIF('Linha do tempo'!$G:$G,A361))</f>
        <v/>
      </c>
      <c r="K361" s="25" t="str">
        <f aca="false">IF(A361="","",TRIM(IF(COUNTIF($A:$A,A361)&gt;1,"ID repetido. ","")&amp;IF(AND(H361&lt;&gt;"",LEN(TRIM(H361))&lt;&gt;64),"Hash deve ter 64 caracteres.","")))</f>
        <v/>
      </c>
      <c r="L361" s="11"/>
    </row>
    <row r="362" customFormat="false" ht="15" hidden="false" customHeight="false" outlineLevel="0" collapsed="false">
      <c r="A362" s="24"/>
      <c r="B362" s="22"/>
      <c r="C362" s="23"/>
      <c r="D362" s="11"/>
      <c r="E362" s="11"/>
      <c r="F362" s="23"/>
      <c r="G362" s="24"/>
      <c r="H362" s="24"/>
      <c r="I362" s="23"/>
      <c r="J362" s="27" t="str">
        <f aca="false">IF(A362="","",COUNTIF('Linha do tempo'!$G:$G,A362))</f>
        <v/>
      </c>
      <c r="K362" s="25" t="str">
        <f aca="false">IF(A362="","",TRIM(IF(COUNTIF($A:$A,A362)&gt;1,"ID repetido. ","")&amp;IF(AND(H362&lt;&gt;"",LEN(TRIM(H362))&lt;&gt;64),"Hash deve ter 64 caracteres.","")))</f>
        <v/>
      </c>
      <c r="L362" s="11"/>
    </row>
    <row r="363" customFormat="false" ht="15" hidden="false" customHeight="false" outlineLevel="0" collapsed="false">
      <c r="A363" s="24"/>
      <c r="B363" s="22"/>
      <c r="C363" s="23"/>
      <c r="D363" s="11"/>
      <c r="E363" s="11"/>
      <c r="F363" s="23"/>
      <c r="G363" s="24"/>
      <c r="H363" s="24"/>
      <c r="I363" s="23"/>
      <c r="J363" s="27" t="str">
        <f aca="false">IF(A363="","",COUNTIF('Linha do tempo'!$G:$G,A363))</f>
        <v/>
      </c>
      <c r="K363" s="25" t="str">
        <f aca="false">IF(A363="","",TRIM(IF(COUNTIF($A:$A,A363)&gt;1,"ID repetido. ","")&amp;IF(AND(H363&lt;&gt;"",LEN(TRIM(H363))&lt;&gt;64),"Hash deve ter 64 caracteres.","")))</f>
        <v/>
      </c>
      <c r="L363" s="11"/>
    </row>
    <row r="364" customFormat="false" ht="15" hidden="false" customHeight="false" outlineLevel="0" collapsed="false">
      <c r="A364" s="24"/>
      <c r="B364" s="22"/>
      <c r="C364" s="23"/>
      <c r="D364" s="11"/>
      <c r="E364" s="11"/>
      <c r="F364" s="23"/>
      <c r="G364" s="24"/>
      <c r="H364" s="24"/>
      <c r="I364" s="23"/>
      <c r="J364" s="27" t="str">
        <f aca="false">IF(A364="","",COUNTIF('Linha do tempo'!$G:$G,A364))</f>
        <v/>
      </c>
      <c r="K364" s="25" t="str">
        <f aca="false">IF(A364="","",TRIM(IF(COUNTIF($A:$A,A364)&gt;1,"ID repetido. ","")&amp;IF(AND(H364&lt;&gt;"",LEN(TRIM(H364))&lt;&gt;64),"Hash deve ter 64 caracteres.","")))</f>
        <v/>
      </c>
      <c r="L364" s="11"/>
    </row>
    <row r="365" customFormat="false" ht="15" hidden="false" customHeight="false" outlineLevel="0" collapsed="false">
      <c r="A365" s="24"/>
      <c r="B365" s="22"/>
      <c r="C365" s="23"/>
      <c r="D365" s="11"/>
      <c r="E365" s="11"/>
      <c r="F365" s="23"/>
      <c r="G365" s="24"/>
      <c r="H365" s="24"/>
      <c r="I365" s="23"/>
      <c r="J365" s="27" t="str">
        <f aca="false">IF(A365="","",COUNTIF('Linha do tempo'!$G:$G,A365))</f>
        <v/>
      </c>
      <c r="K365" s="25" t="str">
        <f aca="false">IF(A365="","",TRIM(IF(COUNTIF($A:$A,A365)&gt;1,"ID repetido. ","")&amp;IF(AND(H365&lt;&gt;"",LEN(TRIM(H365))&lt;&gt;64),"Hash deve ter 64 caracteres.","")))</f>
        <v/>
      </c>
      <c r="L365" s="11"/>
    </row>
    <row r="366" customFormat="false" ht="15" hidden="false" customHeight="false" outlineLevel="0" collapsed="false">
      <c r="A366" s="24"/>
      <c r="B366" s="22"/>
      <c r="C366" s="23"/>
      <c r="D366" s="11"/>
      <c r="E366" s="11"/>
      <c r="F366" s="23"/>
      <c r="G366" s="24"/>
      <c r="H366" s="24"/>
      <c r="I366" s="23"/>
      <c r="J366" s="27" t="str">
        <f aca="false">IF(A366="","",COUNTIF('Linha do tempo'!$G:$G,A366))</f>
        <v/>
      </c>
      <c r="K366" s="25" t="str">
        <f aca="false">IF(A366="","",TRIM(IF(COUNTIF($A:$A,A366)&gt;1,"ID repetido. ","")&amp;IF(AND(H366&lt;&gt;"",LEN(TRIM(H366))&lt;&gt;64),"Hash deve ter 64 caracteres.","")))</f>
        <v/>
      </c>
      <c r="L366" s="11"/>
    </row>
    <row r="367" customFormat="false" ht="15" hidden="false" customHeight="false" outlineLevel="0" collapsed="false">
      <c r="A367" s="24"/>
      <c r="B367" s="22"/>
      <c r="C367" s="23"/>
      <c r="D367" s="11"/>
      <c r="E367" s="11"/>
      <c r="F367" s="23"/>
      <c r="G367" s="24"/>
      <c r="H367" s="24"/>
      <c r="I367" s="23"/>
      <c r="J367" s="27" t="str">
        <f aca="false">IF(A367="","",COUNTIF('Linha do tempo'!$G:$G,A367))</f>
        <v/>
      </c>
      <c r="K367" s="25" t="str">
        <f aca="false">IF(A367="","",TRIM(IF(COUNTIF($A:$A,A367)&gt;1,"ID repetido. ","")&amp;IF(AND(H367&lt;&gt;"",LEN(TRIM(H367))&lt;&gt;64),"Hash deve ter 64 caracteres.","")))</f>
        <v/>
      </c>
      <c r="L367" s="11"/>
    </row>
    <row r="368" customFormat="false" ht="15" hidden="false" customHeight="false" outlineLevel="0" collapsed="false">
      <c r="A368" s="24"/>
      <c r="B368" s="22"/>
      <c r="C368" s="23"/>
      <c r="D368" s="11"/>
      <c r="E368" s="11"/>
      <c r="F368" s="23"/>
      <c r="G368" s="24"/>
      <c r="H368" s="24"/>
      <c r="I368" s="23"/>
      <c r="J368" s="27" t="str">
        <f aca="false">IF(A368="","",COUNTIF('Linha do tempo'!$G:$G,A368))</f>
        <v/>
      </c>
      <c r="K368" s="25" t="str">
        <f aca="false">IF(A368="","",TRIM(IF(COUNTIF($A:$A,A368)&gt;1,"ID repetido. ","")&amp;IF(AND(H368&lt;&gt;"",LEN(TRIM(H368))&lt;&gt;64),"Hash deve ter 64 caracteres.","")))</f>
        <v/>
      </c>
      <c r="L368" s="11"/>
    </row>
    <row r="369" customFormat="false" ht="15" hidden="false" customHeight="false" outlineLevel="0" collapsed="false">
      <c r="A369" s="24"/>
      <c r="B369" s="22"/>
      <c r="C369" s="23"/>
      <c r="D369" s="11"/>
      <c r="E369" s="11"/>
      <c r="F369" s="23"/>
      <c r="G369" s="24"/>
      <c r="H369" s="24"/>
      <c r="I369" s="23"/>
      <c r="J369" s="27" t="str">
        <f aca="false">IF(A369="","",COUNTIF('Linha do tempo'!$G:$G,A369))</f>
        <v/>
      </c>
      <c r="K369" s="25" t="str">
        <f aca="false">IF(A369="","",TRIM(IF(COUNTIF($A:$A,A369)&gt;1,"ID repetido. ","")&amp;IF(AND(H369&lt;&gt;"",LEN(TRIM(H369))&lt;&gt;64),"Hash deve ter 64 caracteres.","")))</f>
        <v/>
      </c>
      <c r="L369" s="11"/>
    </row>
    <row r="370" customFormat="false" ht="15" hidden="false" customHeight="false" outlineLevel="0" collapsed="false">
      <c r="A370" s="24"/>
      <c r="B370" s="22"/>
      <c r="C370" s="23"/>
      <c r="D370" s="11"/>
      <c r="E370" s="11"/>
      <c r="F370" s="23"/>
      <c r="G370" s="24"/>
      <c r="H370" s="24"/>
      <c r="I370" s="23"/>
      <c r="J370" s="27" t="str">
        <f aca="false">IF(A370="","",COUNTIF('Linha do tempo'!$G:$G,A370))</f>
        <v/>
      </c>
      <c r="K370" s="25" t="str">
        <f aca="false">IF(A370="","",TRIM(IF(COUNTIF($A:$A,A370)&gt;1,"ID repetido. ","")&amp;IF(AND(H370&lt;&gt;"",LEN(TRIM(H370))&lt;&gt;64),"Hash deve ter 64 caracteres.","")))</f>
        <v/>
      </c>
      <c r="L370" s="11"/>
    </row>
    <row r="371" customFormat="false" ht="15" hidden="false" customHeight="false" outlineLevel="0" collapsed="false">
      <c r="A371" s="24"/>
      <c r="B371" s="22"/>
      <c r="C371" s="23"/>
      <c r="D371" s="11"/>
      <c r="E371" s="11"/>
      <c r="F371" s="23"/>
      <c r="G371" s="24"/>
      <c r="H371" s="24"/>
      <c r="I371" s="23"/>
      <c r="J371" s="27" t="str">
        <f aca="false">IF(A371="","",COUNTIF('Linha do tempo'!$G:$G,A371))</f>
        <v/>
      </c>
      <c r="K371" s="25" t="str">
        <f aca="false">IF(A371="","",TRIM(IF(COUNTIF($A:$A,A371)&gt;1,"ID repetido. ","")&amp;IF(AND(H371&lt;&gt;"",LEN(TRIM(H371))&lt;&gt;64),"Hash deve ter 64 caracteres.","")))</f>
        <v/>
      </c>
      <c r="L371" s="11"/>
    </row>
    <row r="372" customFormat="false" ht="15" hidden="false" customHeight="false" outlineLevel="0" collapsed="false">
      <c r="A372" s="24"/>
      <c r="B372" s="22"/>
      <c r="C372" s="23"/>
      <c r="D372" s="11"/>
      <c r="E372" s="11"/>
      <c r="F372" s="23"/>
      <c r="G372" s="24"/>
      <c r="H372" s="24"/>
      <c r="I372" s="23"/>
      <c r="J372" s="27" t="str">
        <f aca="false">IF(A372="","",COUNTIF('Linha do tempo'!$G:$G,A372))</f>
        <v/>
      </c>
      <c r="K372" s="25" t="str">
        <f aca="false">IF(A372="","",TRIM(IF(COUNTIF($A:$A,A372)&gt;1,"ID repetido. ","")&amp;IF(AND(H372&lt;&gt;"",LEN(TRIM(H372))&lt;&gt;64),"Hash deve ter 64 caracteres.","")))</f>
        <v/>
      </c>
      <c r="L372" s="11"/>
    </row>
    <row r="373" customFormat="false" ht="15" hidden="false" customHeight="false" outlineLevel="0" collapsed="false">
      <c r="A373" s="24"/>
      <c r="B373" s="22"/>
      <c r="C373" s="23"/>
      <c r="D373" s="11"/>
      <c r="E373" s="11"/>
      <c r="F373" s="23"/>
      <c r="G373" s="24"/>
      <c r="H373" s="24"/>
      <c r="I373" s="23"/>
      <c r="J373" s="27" t="str">
        <f aca="false">IF(A373="","",COUNTIF('Linha do tempo'!$G:$G,A373))</f>
        <v/>
      </c>
      <c r="K373" s="25" t="str">
        <f aca="false">IF(A373="","",TRIM(IF(COUNTIF($A:$A,A373)&gt;1,"ID repetido. ","")&amp;IF(AND(H373&lt;&gt;"",LEN(TRIM(H373))&lt;&gt;64),"Hash deve ter 64 caracteres.","")))</f>
        <v/>
      </c>
      <c r="L373" s="11"/>
    </row>
    <row r="374" customFormat="false" ht="15" hidden="false" customHeight="false" outlineLevel="0" collapsed="false">
      <c r="A374" s="24"/>
      <c r="B374" s="22"/>
      <c r="C374" s="23"/>
      <c r="D374" s="11"/>
      <c r="E374" s="11"/>
      <c r="F374" s="23"/>
      <c r="G374" s="24"/>
      <c r="H374" s="24"/>
      <c r="I374" s="23"/>
      <c r="J374" s="27" t="str">
        <f aca="false">IF(A374="","",COUNTIF('Linha do tempo'!$G:$G,A374))</f>
        <v/>
      </c>
      <c r="K374" s="25" t="str">
        <f aca="false">IF(A374="","",TRIM(IF(COUNTIF($A:$A,A374)&gt;1,"ID repetido. ","")&amp;IF(AND(H374&lt;&gt;"",LEN(TRIM(H374))&lt;&gt;64),"Hash deve ter 64 caracteres.","")))</f>
        <v/>
      </c>
      <c r="L374" s="11"/>
    </row>
    <row r="375" customFormat="false" ht="15" hidden="false" customHeight="false" outlineLevel="0" collapsed="false">
      <c r="A375" s="24"/>
      <c r="B375" s="22"/>
      <c r="C375" s="23"/>
      <c r="D375" s="11"/>
      <c r="E375" s="11"/>
      <c r="F375" s="23"/>
      <c r="G375" s="24"/>
      <c r="H375" s="24"/>
      <c r="I375" s="23"/>
      <c r="J375" s="27" t="str">
        <f aca="false">IF(A375="","",COUNTIF('Linha do tempo'!$G:$G,A375))</f>
        <v/>
      </c>
      <c r="K375" s="25" t="str">
        <f aca="false">IF(A375="","",TRIM(IF(COUNTIF($A:$A,A375)&gt;1,"ID repetido. ","")&amp;IF(AND(H375&lt;&gt;"",LEN(TRIM(H375))&lt;&gt;64),"Hash deve ter 64 caracteres.","")))</f>
        <v/>
      </c>
      <c r="L375" s="11"/>
    </row>
    <row r="376" customFormat="false" ht="15" hidden="false" customHeight="false" outlineLevel="0" collapsed="false">
      <c r="A376" s="24"/>
      <c r="B376" s="22"/>
      <c r="C376" s="23"/>
      <c r="D376" s="11"/>
      <c r="E376" s="11"/>
      <c r="F376" s="23"/>
      <c r="G376" s="24"/>
      <c r="H376" s="24"/>
      <c r="I376" s="23"/>
      <c r="J376" s="27" t="str">
        <f aca="false">IF(A376="","",COUNTIF('Linha do tempo'!$G:$G,A376))</f>
        <v/>
      </c>
      <c r="K376" s="25" t="str">
        <f aca="false">IF(A376="","",TRIM(IF(COUNTIF($A:$A,A376)&gt;1,"ID repetido. ","")&amp;IF(AND(H376&lt;&gt;"",LEN(TRIM(H376))&lt;&gt;64),"Hash deve ter 64 caracteres.","")))</f>
        <v/>
      </c>
      <c r="L376" s="11"/>
    </row>
    <row r="377" customFormat="false" ht="15" hidden="false" customHeight="false" outlineLevel="0" collapsed="false">
      <c r="A377" s="24"/>
      <c r="B377" s="22"/>
      <c r="C377" s="23"/>
      <c r="D377" s="11"/>
      <c r="E377" s="11"/>
      <c r="F377" s="23"/>
      <c r="G377" s="24"/>
      <c r="H377" s="24"/>
      <c r="I377" s="23"/>
      <c r="J377" s="27" t="str">
        <f aca="false">IF(A377="","",COUNTIF('Linha do tempo'!$G:$G,A377))</f>
        <v/>
      </c>
      <c r="K377" s="25" t="str">
        <f aca="false">IF(A377="","",TRIM(IF(COUNTIF($A:$A,A377)&gt;1,"ID repetido. ","")&amp;IF(AND(H377&lt;&gt;"",LEN(TRIM(H377))&lt;&gt;64),"Hash deve ter 64 caracteres.","")))</f>
        <v/>
      </c>
      <c r="L377" s="11"/>
    </row>
    <row r="378" customFormat="false" ht="15" hidden="false" customHeight="false" outlineLevel="0" collapsed="false">
      <c r="A378" s="24"/>
      <c r="B378" s="22"/>
      <c r="C378" s="23"/>
      <c r="D378" s="11"/>
      <c r="E378" s="11"/>
      <c r="F378" s="23"/>
      <c r="G378" s="24"/>
      <c r="H378" s="24"/>
      <c r="I378" s="23"/>
      <c r="J378" s="27" t="str">
        <f aca="false">IF(A378="","",COUNTIF('Linha do tempo'!$G:$G,A378))</f>
        <v/>
      </c>
      <c r="K378" s="25" t="str">
        <f aca="false">IF(A378="","",TRIM(IF(COUNTIF($A:$A,A378)&gt;1,"ID repetido. ","")&amp;IF(AND(H378&lt;&gt;"",LEN(TRIM(H378))&lt;&gt;64),"Hash deve ter 64 caracteres.","")))</f>
        <v/>
      </c>
      <c r="L378" s="11"/>
    </row>
    <row r="379" customFormat="false" ht="15" hidden="false" customHeight="false" outlineLevel="0" collapsed="false">
      <c r="A379" s="24"/>
      <c r="B379" s="22"/>
      <c r="C379" s="23"/>
      <c r="D379" s="11"/>
      <c r="E379" s="11"/>
      <c r="F379" s="23"/>
      <c r="G379" s="24"/>
      <c r="H379" s="24"/>
      <c r="I379" s="23"/>
      <c r="J379" s="27" t="str">
        <f aca="false">IF(A379="","",COUNTIF('Linha do tempo'!$G:$G,A379))</f>
        <v/>
      </c>
      <c r="K379" s="25" t="str">
        <f aca="false">IF(A379="","",TRIM(IF(COUNTIF($A:$A,A379)&gt;1,"ID repetido. ","")&amp;IF(AND(H379&lt;&gt;"",LEN(TRIM(H379))&lt;&gt;64),"Hash deve ter 64 caracteres.","")))</f>
        <v/>
      </c>
      <c r="L379" s="11"/>
    </row>
    <row r="380" customFormat="false" ht="15" hidden="false" customHeight="false" outlineLevel="0" collapsed="false">
      <c r="A380" s="24"/>
      <c r="B380" s="22"/>
      <c r="C380" s="23"/>
      <c r="D380" s="11"/>
      <c r="E380" s="11"/>
      <c r="F380" s="23"/>
      <c r="G380" s="24"/>
      <c r="H380" s="24"/>
      <c r="I380" s="23"/>
      <c r="J380" s="27" t="str">
        <f aca="false">IF(A380="","",COUNTIF('Linha do tempo'!$G:$G,A380))</f>
        <v/>
      </c>
      <c r="K380" s="25" t="str">
        <f aca="false">IF(A380="","",TRIM(IF(COUNTIF($A:$A,A380)&gt;1,"ID repetido. ","")&amp;IF(AND(H380&lt;&gt;"",LEN(TRIM(H380))&lt;&gt;64),"Hash deve ter 64 caracteres.","")))</f>
        <v/>
      </c>
      <c r="L380" s="11"/>
    </row>
    <row r="381" customFormat="false" ht="15" hidden="false" customHeight="false" outlineLevel="0" collapsed="false">
      <c r="A381" s="24"/>
      <c r="B381" s="22"/>
      <c r="C381" s="23"/>
      <c r="D381" s="11"/>
      <c r="E381" s="11"/>
      <c r="F381" s="23"/>
      <c r="G381" s="24"/>
      <c r="H381" s="24"/>
      <c r="I381" s="23"/>
      <c r="J381" s="27" t="str">
        <f aca="false">IF(A381="","",COUNTIF('Linha do tempo'!$G:$G,A381))</f>
        <v/>
      </c>
      <c r="K381" s="25" t="str">
        <f aca="false">IF(A381="","",TRIM(IF(COUNTIF($A:$A,A381)&gt;1,"ID repetido. ","")&amp;IF(AND(H381&lt;&gt;"",LEN(TRIM(H381))&lt;&gt;64),"Hash deve ter 64 caracteres.","")))</f>
        <v/>
      </c>
      <c r="L381" s="11"/>
    </row>
    <row r="382" customFormat="false" ht="15" hidden="false" customHeight="false" outlineLevel="0" collapsed="false">
      <c r="A382" s="24"/>
      <c r="B382" s="22"/>
      <c r="C382" s="23"/>
      <c r="D382" s="11"/>
      <c r="E382" s="11"/>
      <c r="F382" s="23"/>
      <c r="G382" s="24"/>
      <c r="H382" s="24"/>
      <c r="I382" s="23"/>
      <c r="J382" s="27" t="str">
        <f aca="false">IF(A382="","",COUNTIF('Linha do tempo'!$G:$G,A382))</f>
        <v/>
      </c>
      <c r="K382" s="25" t="str">
        <f aca="false">IF(A382="","",TRIM(IF(COUNTIF($A:$A,A382)&gt;1,"ID repetido. ","")&amp;IF(AND(H382&lt;&gt;"",LEN(TRIM(H382))&lt;&gt;64),"Hash deve ter 64 caracteres.","")))</f>
        <v/>
      </c>
      <c r="L382" s="11"/>
    </row>
    <row r="383" customFormat="false" ht="15" hidden="false" customHeight="false" outlineLevel="0" collapsed="false">
      <c r="A383" s="24"/>
      <c r="B383" s="22"/>
      <c r="C383" s="23"/>
      <c r="D383" s="11"/>
      <c r="E383" s="11"/>
      <c r="F383" s="23"/>
      <c r="G383" s="24"/>
      <c r="H383" s="24"/>
      <c r="I383" s="23"/>
      <c r="J383" s="27" t="str">
        <f aca="false">IF(A383="","",COUNTIF('Linha do tempo'!$G:$G,A383))</f>
        <v/>
      </c>
      <c r="K383" s="25" t="str">
        <f aca="false">IF(A383="","",TRIM(IF(COUNTIF($A:$A,A383)&gt;1,"ID repetido. ","")&amp;IF(AND(H383&lt;&gt;"",LEN(TRIM(H383))&lt;&gt;64),"Hash deve ter 64 caracteres.","")))</f>
        <v/>
      </c>
      <c r="L383" s="11"/>
    </row>
    <row r="384" customFormat="false" ht="15" hidden="false" customHeight="false" outlineLevel="0" collapsed="false">
      <c r="A384" s="24"/>
      <c r="B384" s="22"/>
      <c r="C384" s="23"/>
      <c r="D384" s="11"/>
      <c r="E384" s="11"/>
      <c r="F384" s="23"/>
      <c r="G384" s="24"/>
      <c r="H384" s="24"/>
      <c r="I384" s="23"/>
      <c r="J384" s="27" t="str">
        <f aca="false">IF(A384="","",COUNTIF('Linha do tempo'!$G:$G,A384))</f>
        <v/>
      </c>
      <c r="K384" s="25" t="str">
        <f aca="false">IF(A384="","",TRIM(IF(COUNTIF($A:$A,A384)&gt;1,"ID repetido. ","")&amp;IF(AND(H384&lt;&gt;"",LEN(TRIM(H384))&lt;&gt;64),"Hash deve ter 64 caracteres.","")))</f>
        <v/>
      </c>
      <c r="L384" s="11"/>
    </row>
    <row r="385" customFormat="false" ht="15" hidden="false" customHeight="false" outlineLevel="0" collapsed="false">
      <c r="A385" s="24"/>
      <c r="B385" s="22"/>
      <c r="C385" s="23"/>
      <c r="D385" s="11"/>
      <c r="E385" s="11"/>
      <c r="F385" s="23"/>
      <c r="G385" s="24"/>
      <c r="H385" s="24"/>
      <c r="I385" s="23"/>
      <c r="J385" s="27" t="str">
        <f aca="false">IF(A385="","",COUNTIF('Linha do tempo'!$G:$G,A385))</f>
        <v/>
      </c>
      <c r="K385" s="25" t="str">
        <f aca="false">IF(A385="","",TRIM(IF(COUNTIF($A:$A,A385)&gt;1,"ID repetido. ","")&amp;IF(AND(H385&lt;&gt;"",LEN(TRIM(H385))&lt;&gt;64),"Hash deve ter 64 caracteres.","")))</f>
        <v/>
      </c>
      <c r="L385" s="11"/>
    </row>
    <row r="386" customFormat="false" ht="15" hidden="false" customHeight="false" outlineLevel="0" collapsed="false">
      <c r="A386" s="24"/>
      <c r="B386" s="22"/>
      <c r="C386" s="23"/>
      <c r="D386" s="11"/>
      <c r="E386" s="11"/>
      <c r="F386" s="23"/>
      <c r="G386" s="24"/>
      <c r="H386" s="24"/>
      <c r="I386" s="23"/>
      <c r="J386" s="27" t="str">
        <f aca="false">IF(A386="","",COUNTIF('Linha do tempo'!$G:$G,A386))</f>
        <v/>
      </c>
      <c r="K386" s="25" t="str">
        <f aca="false">IF(A386="","",TRIM(IF(COUNTIF($A:$A,A386)&gt;1,"ID repetido. ","")&amp;IF(AND(H386&lt;&gt;"",LEN(TRIM(H386))&lt;&gt;64),"Hash deve ter 64 caracteres.","")))</f>
        <v/>
      </c>
      <c r="L386" s="11"/>
    </row>
    <row r="387" customFormat="false" ht="15" hidden="false" customHeight="false" outlineLevel="0" collapsed="false">
      <c r="A387" s="24"/>
      <c r="B387" s="22"/>
      <c r="C387" s="23"/>
      <c r="D387" s="11"/>
      <c r="E387" s="11"/>
      <c r="F387" s="23"/>
      <c r="G387" s="24"/>
      <c r="H387" s="24"/>
      <c r="I387" s="23"/>
      <c r="J387" s="27" t="str">
        <f aca="false">IF(A387="","",COUNTIF('Linha do tempo'!$G:$G,A387))</f>
        <v/>
      </c>
      <c r="K387" s="25" t="str">
        <f aca="false">IF(A387="","",TRIM(IF(COUNTIF($A:$A,A387)&gt;1,"ID repetido. ","")&amp;IF(AND(H387&lt;&gt;"",LEN(TRIM(H387))&lt;&gt;64),"Hash deve ter 64 caracteres.","")))</f>
        <v/>
      </c>
      <c r="L387" s="11"/>
    </row>
    <row r="388" customFormat="false" ht="15" hidden="false" customHeight="false" outlineLevel="0" collapsed="false">
      <c r="A388" s="24"/>
      <c r="B388" s="22"/>
      <c r="C388" s="23"/>
      <c r="D388" s="11"/>
      <c r="E388" s="11"/>
      <c r="F388" s="23"/>
      <c r="G388" s="24"/>
      <c r="H388" s="24"/>
      <c r="I388" s="23"/>
      <c r="J388" s="27" t="str">
        <f aca="false">IF(A388="","",COUNTIF('Linha do tempo'!$G:$G,A388))</f>
        <v/>
      </c>
      <c r="K388" s="25" t="str">
        <f aca="false">IF(A388="","",TRIM(IF(COUNTIF($A:$A,A388)&gt;1,"ID repetido. ","")&amp;IF(AND(H388&lt;&gt;"",LEN(TRIM(H388))&lt;&gt;64),"Hash deve ter 64 caracteres.","")))</f>
        <v/>
      </c>
      <c r="L388" s="11"/>
    </row>
    <row r="389" customFormat="false" ht="15" hidden="false" customHeight="false" outlineLevel="0" collapsed="false">
      <c r="A389" s="24"/>
      <c r="B389" s="22"/>
      <c r="C389" s="23"/>
      <c r="D389" s="11"/>
      <c r="E389" s="11"/>
      <c r="F389" s="23"/>
      <c r="G389" s="24"/>
      <c r="H389" s="24"/>
      <c r="I389" s="23"/>
      <c r="J389" s="27" t="str">
        <f aca="false">IF(A389="","",COUNTIF('Linha do tempo'!$G:$G,A389))</f>
        <v/>
      </c>
      <c r="K389" s="25" t="str">
        <f aca="false">IF(A389="","",TRIM(IF(COUNTIF($A:$A,A389)&gt;1,"ID repetido. ","")&amp;IF(AND(H389&lt;&gt;"",LEN(TRIM(H389))&lt;&gt;64),"Hash deve ter 64 caracteres.","")))</f>
        <v/>
      </c>
      <c r="L389" s="11"/>
    </row>
    <row r="390" customFormat="false" ht="15" hidden="false" customHeight="false" outlineLevel="0" collapsed="false">
      <c r="A390" s="24"/>
      <c r="B390" s="22"/>
      <c r="C390" s="23"/>
      <c r="D390" s="11"/>
      <c r="E390" s="11"/>
      <c r="F390" s="23"/>
      <c r="G390" s="24"/>
      <c r="H390" s="24"/>
      <c r="I390" s="23"/>
      <c r="J390" s="27" t="str">
        <f aca="false">IF(A390="","",COUNTIF('Linha do tempo'!$G:$G,A390))</f>
        <v/>
      </c>
      <c r="K390" s="25" t="str">
        <f aca="false">IF(A390="","",TRIM(IF(COUNTIF($A:$A,A390)&gt;1,"ID repetido. ","")&amp;IF(AND(H390&lt;&gt;"",LEN(TRIM(H390))&lt;&gt;64),"Hash deve ter 64 caracteres.","")))</f>
        <v/>
      </c>
      <c r="L390" s="11"/>
    </row>
    <row r="391" customFormat="false" ht="15" hidden="false" customHeight="false" outlineLevel="0" collapsed="false">
      <c r="A391" s="24"/>
      <c r="B391" s="22"/>
      <c r="C391" s="23"/>
      <c r="D391" s="11"/>
      <c r="E391" s="11"/>
      <c r="F391" s="23"/>
      <c r="G391" s="24"/>
      <c r="H391" s="24"/>
      <c r="I391" s="23"/>
      <c r="J391" s="27" t="str">
        <f aca="false">IF(A391="","",COUNTIF('Linha do tempo'!$G:$G,A391))</f>
        <v/>
      </c>
      <c r="K391" s="25" t="str">
        <f aca="false">IF(A391="","",TRIM(IF(COUNTIF($A:$A,A391)&gt;1,"ID repetido. ","")&amp;IF(AND(H391&lt;&gt;"",LEN(TRIM(H391))&lt;&gt;64),"Hash deve ter 64 caracteres.","")))</f>
        <v/>
      </c>
      <c r="L391" s="11"/>
    </row>
    <row r="392" customFormat="false" ht="15" hidden="false" customHeight="false" outlineLevel="0" collapsed="false">
      <c r="A392" s="24"/>
      <c r="B392" s="22"/>
      <c r="C392" s="23"/>
      <c r="D392" s="11"/>
      <c r="E392" s="11"/>
      <c r="F392" s="23"/>
      <c r="G392" s="24"/>
      <c r="H392" s="24"/>
      <c r="I392" s="23"/>
      <c r="J392" s="27" t="str">
        <f aca="false">IF(A392="","",COUNTIF('Linha do tempo'!$G:$G,A392))</f>
        <v/>
      </c>
      <c r="K392" s="25" t="str">
        <f aca="false">IF(A392="","",TRIM(IF(COUNTIF($A:$A,A392)&gt;1,"ID repetido. ","")&amp;IF(AND(H392&lt;&gt;"",LEN(TRIM(H392))&lt;&gt;64),"Hash deve ter 64 caracteres.","")))</f>
        <v/>
      </c>
      <c r="L392" s="11"/>
    </row>
    <row r="393" customFormat="false" ht="15" hidden="false" customHeight="false" outlineLevel="0" collapsed="false">
      <c r="A393" s="24"/>
      <c r="B393" s="22"/>
      <c r="C393" s="23"/>
      <c r="D393" s="11"/>
      <c r="E393" s="11"/>
      <c r="F393" s="23"/>
      <c r="G393" s="24"/>
      <c r="H393" s="24"/>
      <c r="I393" s="23"/>
      <c r="J393" s="27" t="str">
        <f aca="false">IF(A393="","",COUNTIF('Linha do tempo'!$G:$G,A393))</f>
        <v/>
      </c>
      <c r="K393" s="25" t="str">
        <f aca="false">IF(A393="","",TRIM(IF(COUNTIF($A:$A,A393)&gt;1,"ID repetido. ","")&amp;IF(AND(H393&lt;&gt;"",LEN(TRIM(H393))&lt;&gt;64),"Hash deve ter 64 caracteres.","")))</f>
        <v/>
      </c>
      <c r="L393" s="11"/>
    </row>
    <row r="394" customFormat="false" ht="15" hidden="false" customHeight="false" outlineLevel="0" collapsed="false">
      <c r="A394" s="24"/>
      <c r="B394" s="22"/>
      <c r="C394" s="23"/>
      <c r="D394" s="11"/>
      <c r="E394" s="11"/>
      <c r="F394" s="23"/>
      <c r="G394" s="24"/>
      <c r="H394" s="24"/>
      <c r="I394" s="23"/>
      <c r="J394" s="27" t="str">
        <f aca="false">IF(A394="","",COUNTIF('Linha do tempo'!$G:$G,A394))</f>
        <v/>
      </c>
      <c r="K394" s="25" t="str">
        <f aca="false">IF(A394="","",TRIM(IF(COUNTIF($A:$A,A394)&gt;1,"ID repetido. ","")&amp;IF(AND(H394&lt;&gt;"",LEN(TRIM(H394))&lt;&gt;64),"Hash deve ter 64 caracteres.","")))</f>
        <v/>
      </c>
      <c r="L394" s="11"/>
    </row>
    <row r="395" customFormat="false" ht="15" hidden="false" customHeight="false" outlineLevel="0" collapsed="false">
      <c r="A395" s="24"/>
      <c r="B395" s="22"/>
      <c r="C395" s="23"/>
      <c r="D395" s="11"/>
      <c r="E395" s="11"/>
      <c r="F395" s="23"/>
      <c r="G395" s="24"/>
      <c r="H395" s="24"/>
      <c r="I395" s="23"/>
      <c r="J395" s="27" t="str">
        <f aca="false">IF(A395="","",COUNTIF('Linha do tempo'!$G:$G,A395))</f>
        <v/>
      </c>
      <c r="K395" s="25" t="str">
        <f aca="false">IF(A395="","",TRIM(IF(COUNTIF($A:$A,A395)&gt;1,"ID repetido. ","")&amp;IF(AND(H395&lt;&gt;"",LEN(TRIM(H395))&lt;&gt;64),"Hash deve ter 64 caracteres.","")))</f>
        <v/>
      </c>
      <c r="L395" s="11"/>
    </row>
    <row r="396" customFormat="false" ht="15" hidden="false" customHeight="false" outlineLevel="0" collapsed="false">
      <c r="A396" s="24"/>
      <c r="B396" s="22"/>
      <c r="C396" s="23"/>
      <c r="D396" s="11"/>
      <c r="E396" s="11"/>
      <c r="F396" s="23"/>
      <c r="G396" s="24"/>
      <c r="H396" s="24"/>
      <c r="I396" s="23"/>
      <c r="J396" s="27" t="str">
        <f aca="false">IF(A396="","",COUNTIF('Linha do tempo'!$G:$G,A396))</f>
        <v/>
      </c>
      <c r="K396" s="25" t="str">
        <f aca="false">IF(A396="","",TRIM(IF(COUNTIF($A:$A,A396)&gt;1,"ID repetido. ","")&amp;IF(AND(H396&lt;&gt;"",LEN(TRIM(H396))&lt;&gt;64),"Hash deve ter 64 caracteres.","")))</f>
        <v/>
      </c>
      <c r="L396" s="11"/>
    </row>
    <row r="397" customFormat="false" ht="15" hidden="false" customHeight="false" outlineLevel="0" collapsed="false">
      <c r="A397" s="24"/>
      <c r="B397" s="22"/>
      <c r="C397" s="23"/>
      <c r="D397" s="11"/>
      <c r="E397" s="11"/>
      <c r="F397" s="23"/>
      <c r="G397" s="24"/>
      <c r="H397" s="24"/>
      <c r="I397" s="23"/>
      <c r="J397" s="27" t="str">
        <f aca="false">IF(A397="","",COUNTIF('Linha do tempo'!$G:$G,A397))</f>
        <v/>
      </c>
      <c r="K397" s="25" t="str">
        <f aca="false">IF(A397="","",TRIM(IF(COUNTIF($A:$A,A397)&gt;1,"ID repetido. ","")&amp;IF(AND(H397&lt;&gt;"",LEN(TRIM(H397))&lt;&gt;64),"Hash deve ter 64 caracteres.","")))</f>
        <v/>
      </c>
      <c r="L397" s="11"/>
    </row>
    <row r="398" customFormat="false" ht="15" hidden="false" customHeight="false" outlineLevel="0" collapsed="false">
      <c r="A398" s="24"/>
      <c r="B398" s="22"/>
      <c r="C398" s="23"/>
      <c r="D398" s="11"/>
      <c r="E398" s="11"/>
      <c r="F398" s="23"/>
      <c r="G398" s="24"/>
      <c r="H398" s="24"/>
      <c r="I398" s="23"/>
      <c r="J398" s="27" t="str">
        <f aca="false">IF(A398="","",COUNTIF('Linha do tempo'!$G:$G,A398))</f>
        <v/>
      </c>
      <c r="K398" s="25" t="str">
        <f aca="false">IF(A398="","",TRIM(IF(COUNTIF($A:$A,A398)&gt;1,"ID repetido. ","")&amp;IF(AND(H398&lt;&gt;"",LEN(TRIM(H398))&lt;&gt;64),"Hash deve ter 64 caracteres.","")))</f>
        <v/>
      </c>
      <c r="L398" s="11"/>
    </row>
    <row r="399" customFormat="false" ht="15" hidden="false" customHeight="false" outlineLevel="0" collapsed="false">
      <c r="A399" s="24"/>
      <c r="B399" s="22"/>
      <c r="C399" s="23"/>
      <c r="D399" s="11"/>
      <c r="E399" s="11"/>
      <c r="F399" s="23"/>
      <c r="G399" s="24"/>
      <c r="H399" s="24"/>
      <c r="I399" s="23"/>
      <c r="J399" s="27" t="str">
        <f aca="false">IF(A399="","",COUNTIF('Linha do tempo'!$G:$G,A399))</f>
        <v/>
      </c>
      <c r="K399" s="25" t="str">
        <f aca="false">IF(A399="","",TRIM(IF(COUNTIF($A:$A,A399)&gt;1,"ID repetido. ","")&amp;IF(AND(H399&lt;&gt;"",LEN(TRIM(H399))&lt;&gt;64),"Hash deve ter 64 caracteres.","")))</f>
        <v/>
      </c>
      <c r="L399" s="11"/>
    </row>
    <row r="400" customFormat="false" ht="15" hidden="false" customHeight="false" outlineLevel="0" collapsed="false">
      <c r="A400" s="24"/>
      <c r="B400" s="22"/>
      <c r="C400" s="23"/>
      <c r="D400" s="11"/>
      <c r="E400" s="11"/>
      <c r="F400" s="23"/>
      <c r="G400" s="24"/>
      <c r="H400" s="24"/>
      <c r="I400" s="23"/>
      <c r="J400" s="27" t="str">
        <f aca="false">IF(A400="","",COUNTIF('Linha do tempo'!$G:$G,A400))</f>
        <v/>
      </c>
      <c r="K400" s="25" t="str">
        <f aca="false">IF(A400="","",TRIM(IF(COUNTIF($A:$A,A400)&gt;1,"ID repetido. ","")&amp;IF(AND(H400&lt;&gt;"",LEN(TRIM(H400))&lt;&gt;64),"Hash deve ter 64 caracteres.","")))</f>
        <v/>
      </c>
      <c r="L400" s="11"/>
    </row>
    <row r="401" customFormat="false" ht="15" hidden="false" customHeight="false" outlineLevel="0" collapsed="false">
      <c r="A401" s="24"/>
      <c r="B401" s="22"/>
      <c r="C401" s="23"/>
      <c r="D401" s="11"/>
      <c r="E401" s="11"/>
      <c r="F401" s="23"/>
      <c r="G401" s="24"/>
      <c r="H401" s="24"/>
      <c r="I401" s="23"/>
      <c r="J401" s="27" t="str">
        <f aca="false">IF(A401="","",COUNTIF('Linha do tempo'!$G:$G,A401))</f>
        <v/>
      </c>
      <c r="K401" s="25" t="str">
        <f aca="false">IF(A401="","",TRIM(IF(COUNTIF($A:$A,A401)&gt;1,"ID repetido. ","")&amp;IF(AND(H401&lt;&gt;"",LEN(TRIM(H401))&lt;&gt;64),"Hash deve ter 64 caracteres.","")))</f>
        <v/>
      </c>
      <c r="L401" s="11"/>
    </row>
    <row r="402" customFormat="false" ht="15" hidden="false" customHeight="false" outlineLevel="0" collapsed="false">
      <c r="A402" s="24"/>
      <c r="B402" s="22"/>
      <c r="C402" s="23"/>
      <c r="D402" s="11"/>
      <c r="E402" s="11"/>
      <c r="F402" s="23"/>
      <c r="G402" s="24"/>
      <c r="H402" s="24"/>
      <c r="I402" s="23"/>
      <c r="J402" s="27" t="str">
        <f aca="false">IF(A402="","",COUNTIF('Linha do tempo'!$G:$G,A402))</f>
        <v/>
      </c>
      <c r="K402" s="25" t="str">
        <f aca="false">IF(A402="","",TRIM(IF(COUNTIF($A:$A,A402)&gt;1,"ID repetido. ","")&amp;IF(AND(H402&lt;&gt;"",LEN(TRIM(H402))&lt;&gt;64),"Hash deve ter 64 caracteres.","")))</f>
        <v/>
      </c>
      <c r="L402" s="11"/>
    </row>
    <row r="403" customFormat="false" ht="15" hidden="false" customHeight="false" outlineLevel="0" collapsed="false">
      <c r="A403" s="24"/>
      <c r="B403" s="22"/>
      <c r="C403" s="23"/>
      <c r="D403" s="11"/>
      <c r="E403" s="11"/>
      <c r="F403" s="23"/>
      <c r="G403" s="24"/>
      <c r="H403" s="24"/>
      <c r="I403" s="23"/>
      <c r="J403" s="27" t="str">
        <f aca="false">IF(A403="","",COUNTIF('Linha do tempo'!$G:$G,A403))</f>
        <v/>
      </c>
      <c r="K403" s="25" t="str">
        <f aca="false">IF(A403="","",TRIM(IF(COUNTIF($A:$A,A403)&gt;1,"ID repetido. ","")&amp;IF(AND(H403&lt;&gt;"",LEN(TRIM(H403))&lt;&gt;64),"Hash deve ter 64 caracteres.","")))</f>
        <v/>
      </c>
      <c r="L403" s="11"/>
    </row>
    <row r="404" customFormat="false" ht="15" hidden="false" customHeight="false" outlineLevel="0" collapsed="false">
      <c r="A404" s="24"/>
      <c r="B404" s="22"/>
      <c r="C404" s="23"/>
      <c r="D404" s="11"/>
      <c r="E404" s="11"/>
      <c r="F404" s="23"/>
      <c r="G404" s="24"/>
      <c r="H404" s="24"/>
      <c r="I404" s="23"/>
      <c r="J404" s="27" t="str">
        <f aca="false">IF(A404="","",COUNTIF('Linha do tempo'!$G:$G,A404))</f>
        <v/>
      </c>
      <c r="K404" s="25" t="str">
        <f aca="false">IF(A404="","",TRIM(IF(COUNTIF($A:$A,A404)&gt;1,"ID repetido. ","")&amp;IF(AND(H404&lt;&gt;"",LEN(TRIM(H404))&lt;&gt;64),"Hash deve ter 64 caracteres.","")))</f>
        <v/>
      </c>
      <c r="L404" s="11"/>
    </row>
    <row r="405" customFormat="false" ht="15" hidden="false" customHeight="false" outlineLevel="0" collapsed="false">
      <c r="A405" s="24"/>
      <c r="B405" s="22"/>
      <c r="C405" s="23"/>
      <c r="D405" s="11"/>
      <c r="E405" s="11"/>
      <c r="F405" s="23"/>
      <c r="G405" s="24"/>
      <c r="H405" s="24"/>
      <c r="I405" s="23"/>
      <c r="J405" s="27" t="str">
        <f aca="false">IF(A405="","",COUNTIF('Linha do tempo'!$G:$G,A405))</f>
        <v/>
      </c>
      <c r="K405" s="25" t="str">
        <f aca="false">IF(A405="","",TRIM(IF(COUNTIF($A:$A,A405)&gt;1,"ID repetido. ","")&amp;IF(AND(H405&lt;&gt;"",LEN(TRIM(H405))&lt;&gt;64),"Hash deve ter 64 caracteres.","")))</f>
        <v/>
      </c>
      <c r="L405" s="11"/>
    </row>
    <row r="406" customFormat="false" ht="15" hidden="false" customHeight="false" outlineLevel="0" collapsed="false">
      <c r="A406" s="24"/>
      <c r="B406" s="22"/>
      <c r="C406" s="23"/>
      <c r="D406" s="11"/>
      <c r="E406" s="11"/>
      <c r="F406" s="23"/>
      <c r="G406" s="24"/>
      <c r="H406" s="24"/>
      <c r="I406" s="23"/>
      <c r="J406" s="27" t="str">
        <f aca="false">IF(A406="","",COUNTIF('Linha do tempo'!$G:$G,A406))</f>
        <v/>
      </c>
      <c r="K406" s="25" t="str">
        <f aca="false">IF(A406="","",TRIM(IF(COUNTIF($A:$A,A406)&gt;1,"ID repetido. ","")&amp;IF(AND(H406&lt;&gt;"",LEN(TRIM(H406))&lt;&gt;64),"Hash deve ter 64 caracteres.","")))</f>
        <v/>
      </c>
      <c r="L406" s="11"/>
    </row>
    <row r="407" customFormat="false" ht="15" hidden="false" customHeight="false" outlineLevel="0" collapsed="false">
      <c r="A407" s="24"/>
      <c r="B407" s="22"/>
      <c r="C407" s="23"/>
      <c r="D407" s="11"/>
      <c r="E407" s="11"/>
      <c r="F407" s="23"/>
      <c r="G407" s="24"/>
      <c r="H407" s="24"/>
      <c r="I407" s="23"/>
      <c r="J407" s="27" t="str">
        <f aca="false">IF(A407="","",COUNTIF('Linha do tempo'!$G:$G,A407))</f>
        <v/>
      </c>
      <c r="K407" s="25" t="str">
        <f aca="false">IF(A407="","",TRIM(IF(COUNTIF($A:$A,A407)&gt;1,"ID repetido. ","")&amp;IF(AND(H407&lt;&gt;"",LEN(TRIM(H407))&lt;&gt;64),"Hash deve ter 64 caracteres.","")))</f>
        <v/>
      </c>
      <c r="L407" s="11"/>
    </row>
    <row r="408" customFormat="false" ht="15" hidden="false" customHeight="false" outlineLevel="0" collapsed="false">
      <c r="A408" s="24"/>
      <c r="B408" s="22"/>
      <c r="C408" s="23"/>
      <c r="D408" s="11"/>
      <c r="E408" s="11"/>
      <c r="F408" s="23"/>
      <c r="G408" s="24"/>
      <c r="H408" s="24"/>
      <c r="I408" s="23"/>
      <c r="J408" s="27" t="str">
        <f aca="false">IF(A408="","",COUNTIF('Linha do tempo'!$G:$G,A408))</f>
        <v/>
      </c>
      <c r="K408" s="25" t="str">
        <f aca="false">IF(A408="","",TRIM(IF(COUNTIF($A:$A,A408)&gt;1,"ID repetido. ","")&amp;IF(AND(H408&lt;&gt;"",LEN(TRIM(H408))&lt;&gt;64),"Hash deve ter 64 caracteres.","")))</f>
        <v/>
      </c>
      <c r="L408" s="11"/>
    </row>
    <row r="409" customFormat="false" ht="15" hidden="false" customHeight="false" outlineLevel="0" collapsed="false">
      <c r="A409" s="24"/>
      <c r="B409" s="22"/>
      <c r="C409" s="23"/>
      <c r="D409" s="11"/>
      <c r="E409" s="11"/>
      <c r="F409" s="23"/>
      <c r="G409" s="24"/>
      <c r="H409" s="24"/>
      <c r="I409" s="23"/>
      <c r="J409" s="27" t="str">
        <f aca="false">IF(A409="","",COUNTIF('Linha do tempo'!$G:$G,A409))</f>
        <v/>
      </c>
      <c r="K409" s="25" t="str">
        <f aca="false">IF(A409="","",TRIM(IF(COUNTIF($A:$A,A409)&gt;1,"ID repetido. ","")&amp;IF(AND(H409&lt;&gt;"",LEN(TRIM(H409))&lt;&gt;64),"Hash deve ter 64 caracteres.","")))</f>
        <v/>
      </c>
      <c r="L409" s="11"/>
    </row>
    <row r="410" customFormat="false" ht="15" hidden="false" customHeight="false" outlineLevel="0" collapsed="false">
      <c r="A410" s="24"/>
      <c r="B410" s="22"/>
      <c r="C410" s="23"/>
      <c r="D410" s="11"/>
      <c r="E410" s="11"/>
      <c r="F410" s="23"/>
      <c r="G410" s="24"/>
      <c r="H410" s="24"/>
      <c r="I410" s="23"/>
      <c r="J410" s="27" t="str">
        <f aca="false">IF(A410="","",COUNTIF('Linha do tempo'!$G:$G,A410))</f>
        <v/>
      </c>
      <c r="K410" s="25" t="str">
        <f aca="false">IF(A410="","",TRIM(IF(COUNTIF($A:$A,A410)&gt;1,"ID repetido. ","")&amp;IF(AND(H410&lt;&gt;"",LEN(TRIM(H410))&lt;&gt;64),"Hash deve ter 64 caracteres.","")))</f>
        <v/>
      </c>
      <c r="L410" s="11"/>
    </row>
    <row r="411" customFormat="false" ht="15" hidden="false" customHeight="false" outlineLevel="0" collapsed="false">
      <c r="A411" s="24"/>
      <c r="B411" s="22"/>
      <c r="C411" s="23"/>
      <c r="D411" s="11"/>
      <c r="E411" s="11"/>
      <c r="F411" s="23"/>
      <c r="G411" s="24"/>
      <c r="H411" s="24"/>
      <c r="I411" s="23"/>
      <c r="J411" s="27" t="str">
        <f aca="false">IF(A411="","",COUNTIF('Linha do tempo'!$G:$G,A411))</f>
        <v/>
      </c>
      <c r="K411" s="25" t="str">
        <f aca="false">IF(A411="","",TRIM(IF(COUNTIF($A:$A,A411)&gt;1,"ID repetido. ","")&amp;IF(AND(H411&lt;&gt;"",LEN(TRIM(H411))&lt;&gt;64),"Hash deve ter 64 caracteres.","")))</f>
        <v/>
      </c>
      <c r="L411" s="11"/>
    </row>
    <row r="412" customFormat="false" ht="15" hidden="false" customHeight="false" outlineLevel="0" collapsed="false">
      <c r="A412" s="24"/>
      <c r="B412" s="22"/>
      <c r="C412" s="23"/>
      <c r="D412" s="11"/>
      <c r="E412" s="11"/>
      <c r="F412" s="23"/>
      <c r="G412" s="24"/>
      <c r="H412" s="24"/>
      <c r="I412" s="23"/>
      <c r="J412" s="27" t="str">
        <f aca="false">IF(A412="","",COUNTIF('Linha do tempo'!$G:$G,A412))</f>
        <v/>
      </c>
      <c r="K412" s="25" t="str">
        <f aca="false">IF(A412="","",TRIM(IF(COUNTIF($A:$A,A412)&gt;1,"ID repetido. ","")&amp;IF(AND(H412&lt;&gt;"",LEN(TRIM(H412))&lt;&gt;64),"Hash deve ter 64 caracteres.","")))</f>
        <v/>
      </c>
      <c r="L412" s="11"/>
    </row>
    <row r="413" customFormat="false" ht="15" hidden="false" customHeight="false" outlineLevel="0" collapsed="false">
      <c r="A413" s="24"/>
      <c r="B413" s="22"/>
      <c r="C413" s="23"/>
      <c r="D413" s="11"/>
      <c r="E413" s="11"/>
      <c r="F413" s="23"/>
      <c r="G413" s="24"/>
      <c r="H413" s="24"/>
      <c r="I413" s="23"/>
      <c r="J413" s="27" t="str">
        <f aca="false">IF(A413="","",COUNTIF('Linha do tempo'!$G:$G,A413))</f>
        <v/>
      </c>
      <c r="K413" s="25" t="str">
        <f aca="false">IF(A413="","",TRIM(IF(COUNTIF($A:$A,A413)&gt;1,"ID repetido. ","")&amp;IF(AND(H413&lt;&gt;"",LEN(TRIM(H413))&lt;&gt;64),"Hash deve ter 64 caracteres.","")))</f>
        <v/>
      </c>
      <c r="L413" s="11"/>
    </row>
    <row r="414" customFormat="false" ht="15" hidden="false" customHeight="false" outlineLevel="0" collapsed="false">
      <c r="A414" s="24"/>
      <c r="B414" s="22"/>
      <c r="C414" s="23"/>
      <c r="D414" s="11"/>
      <c r="E414" s="11"/>
      <c r="F414" s="23"/>
      <c r="G414" s="24"/>
      <c r="H414" s="24"/>
      <c r="I414" s="23"/>
      <c r="J414" s="27" t="str">
        <f aca="false">IF(A414="","",COUNTIF('Linha do tempo'!$G:$G,A414))</f>
        <v/>
      </c>
      <c r="K414" s="25" t="str">
        <f aca="false">IF(A414="","",TRIM(IF(COUNTIF($A:$A,A414)&gt;1,"ID repetido. ","")&amp;IF(AND(H414&lt;&gt;"",LEN(TRIM(H414))&lt;&gt;64),"Hash deve ter 64 caracteres.","")))</f>
        <v/>
      </c>
      <c r="L414" s="11"/>
    </row>
    <row r="415" customFormat="false" ht="15" hidden="false" customHeight="false" outlineLevel="0" collapsed="false">
      <c r="A415" s="24"/>
      <c r="B415" s="22"/>
      <c r="C415" s="23"/>
      <c r="D415" s="11"/>
      <c r="E415" s="11"/>
      <c r="F415" s="23"/>
      <c r="G415" s="24"/>
      <c r="H415" s="24"/>
      <c r="I415" s="23"/>
      <c r="J415" s="27" t="str">
        <f aca="false">IF(A415="","",COUNTIF('Linha do tempo'!$G:$G,A415))</f>
        <v/>
      </c>
      <c r="K415" s="25" t="str">
        <f aca="false">IF(A415="","",TRIM(IF(COUNTIF($A:$A,A415)&gt;1,"ID repetido. ","")&amp;IF(AND(H415&lt;&gt;"",LEN(TRIM(H415))&lt;&gt;64),"Hash deve ter 64 caracteres.","")))</f>
        <v/>
      </c>
      <c r="L415" s="11"/>
    </row>
    <row r="416" customFormat="false" ht="15" hidden="false" customHeight="false" outlineLevel="0" collapsed="false">
      <c r="A416" s="24"/>
      <c r="B416" s="22"/>
      <c r="C416" s="23"/>
      <c r="D416" s="11"/>
      <c r="E416" s="11"/>
      <c r="F416" s="23"/>
      <c r="G416" s="24"/>
      <c r="H416" s="24"/>
      <c r="I416" s="23"/>
      <c r="J416" s="27" t="str">
        <f aca="false">IF(A416="","",COUNTIF('Linha do tempo'!$G:$G,A416))</f>
        <v/>
      </c>
      <c r="K416" s="25" t="str">
        <f aca="false">IF(A416="","",TRIM(IF(COUNTIF($A:$A,A416)&gt;1,"ID repetido. ","")&amp;IF(AND(H416&lt;&gt;"",LEN(TRIM(H416))&lt;&gt;64),"Hash deve ter 64 caracteres.","")))</f>
        <v/>
      </c>
      <c r="L416" s="11"/>
    </row>
    <row r="417" customFormat="false" ht="15" hidden="false" customHeight="false" outlineLevel="0" collapsed="false">
      <c r="A417" s="24"/>
      <c r="B417" s="22"/>
      <c r="C417" s="23"/>
      <c r="D417" s="11"/>
      <c r="E417" s="11"/>
      <c r="F417" s="23"/>
      <c r="G417" s="24"/>
      <c r="H417" s="24"/>
      <c r="I417" s="23"/>
      <c r="J417" s="27" t="str">
        <f aca="false">IF(A417="","",COUNTIF('Linha do tempo'!$G:$G,A417))</f>
        <v/>
      </c>
      <c r="K417" s="25" t="str">
        <f aca="false">IF(A417="","",TRIM(IF(COUNTIF($A:$A,A417)&gt;1,"ID repetido. ","")&amp;IF(AND(H417&lt;&gt;"",LEN(TRIM(H417))&lt;&gt;64),"Hash deve ter 64 caracteres.","")))</f>
        <v/>
      </c>
      <c r="L417" s="11"/>
    </row>
    <row r="418" customFormat="false" ht="15" hidden="false" customHeight="false" outlineLevel="0" collapsed="false">
      <c r="A418" s="24"/>
      <c r="B418" s="22"/>
      <c r="C418" s="23"/>
      <c r="D418" s="11"/>
      <c r="E418" s="11"/>
      <c r="F418" s="23"/>
      <c r="G418" s="24"/>
      <c r="H418" s="24"/>
      <c r="I418" s="23"/>
      <c r="J418" s="27" t="str">
        <f aca="false">IF(A418="","",COUNTIF('Linha do tempo'!$G:$G,A418))</f>
        <v/>
      </c>
      <c r="K418" s="25" t="str">
        <f aca="false">IF(A418="","",TRIM(IF(COUNTIF($A:$A,A418)&gt;1,"ID repetido. ","")&amp;IF(AND(H418&lt;&gt;"",LEN(TRIM(H418))&lt;&gt;64),"Hash deve ter 64 caracteres.","")))</f>
        <v/>
      </c>
      <c r="L418" s="11"/>
    </row>
    <row r="419" customFormat="false" ht="15" hidden="false" customHeight="false" outlineLevel="0" collapsed="false">
      <c r="A419" s="24"/>
      <c r="B419" s="22"/>
      <c r="C419" s="23"/>
      <c r="D419" s="11"/>
      <c r="E419" s="11"/>
      <c r="F419" s="23"/>
      <c r="G419" s="24"/>
      <c r="H419" s="24"/>
      <c r="I419" s="23"/>
      <c r="J419" s="27" t="str">
        <f aca="false">IF(A419="","",COUNTIF('Linha do tempo'!$G:$G,A419))</f>
        <v/>
      </c>
      <c r="K419" s="25" t="str">
        <f aca="false">IF(A419="","",TRIM(IF(COUNTIF($A:$A,A419)&gt;1,"ID repetido. ","")&amp;IF(AND(H419&lt;&gt;"",LEN(TRIM(H419))&lt;&gt;64),"Hash deve ter 64 caracteres.","")))</f>
        <v/>
      </c>
      <c r="L419" s="11"/>
    </row>
    <row r="420" customFormat="false" ht="15" hidden="false" customHeight="false" outlineLevel="0" collapsed="false">
      <c r="A420" s="24"/>
      <c r="B420" s="22"/>
      <c r="C420" s="23"/>
      <c r="D420" s="11"/>
      <c r="E420" s="11"/>
      <c r="F420" s="23"/>
      <c r="G420" s="24"/>
      <c r="H420" s="24"/>
      <c r="I420" s="23"/>
      <c r="J420" s="27" t="str">
        <f aca="false">IF(A420="","",COUNTIF('Linha do tempo'!$G:$G,A420))</f>
        <v/>
      </c>
      <c r="K420" s="25" t="str">
        <f aca="false">IF(A420="","",TRIM(IF(COUNTIF($A:$A,A420)&gt;1,"ID repetido. ","")&amp;IF(AND(H420&lt;&gt;"",LEN(TRIM(H420))&lt;&gt;64),"Hash deve ter 64 caracteres.","")))</f>
        <v/>
      </c>
      <c r="L420" s="11"/>
    </row>
    <row r="421" customFormat="false" ht="15" hidden="false" customHeight="false" outlineLevel="0" collapsed="false">
      <c r="A421" s="24"/>
      <c r="B421" s="22"/>
      <c r="C421" s="23"/>
      <c r="D421" s="11"/>
      <c r="E421" s="11"/>
      <c r="F421" s="23"/>
      <c r="G421" s="24"/>
      <c r="H421" s="24"/>
      <c r="I421" s="23"/>
      <c r="J421" s="27" t="str">
        <f aca="false">IF(A421="","",COUNTIF('Linha do tempo'!$G:$G,A421))</f>
        <v/>
      </c>
      <c r="K421" s="25" t="str">
        <f aca="false">IF(A421="","",TRIM(IF(COUNTIF($A:$A,A421)&gt;1,"ID repetido. ","")&amp;IF(AND(H421&lt;&gt;"",LEN(TRIM(H421))&lt;&gt;64),"Hash deve ter 64 caracteres.","")))</f>
        <v/>
      </c>
      <c r="L421" s="11"/>
    </row>
    <row r="422" customFormat="false" ht="15" hidden="false" customHeight="false" outlineLevel="0" collapsed="false">
      <c r="A422" s="24"/>
      <c r="B422" s="22"/>
      <c r="C422" s="23"/>
      <c r="D422" s="11"/>
      <c r="E422" s="11"/>
      <c r="F422" s="23"/>
      <c r="G422" s="24"/>
      <c r="H422" s="24"/>
      <c r="I422" s="23"/>
      <c r="J422" s="27" t="str">
        <f aca="false">IF(A422="","",COUNTIF('Linha do tempo'!$G:$G,A422))</f>
        <v/>
      </c>
      <c r="K422" s="25" t="str">
        <f aca="false">IF(A422="","",TRIM(IF(COUNTIF($A:$A,A422)&gt;1,"ID repetido. ","")&amp;IF(AND(H422&lt;&gt;"",LEN(TRIM(H422))&lt;&gt;64),"Hash deve ter 64 caracteres.","")))</f>
        <v/>
      </c>
      <c r="L422" s="11"/>
    </row>
    <row r="423" customFormat="false" ht="15" hidden="false" customHeight="false" outlineLevel="0" collapsed="false">
      <c r="A423" s="24"/>
      <c r="B423" s="22"/>
      <c r="C423" s="23"/>
      <c r="D423" s="11"/>
      <c r="E423" s="11"/>
      <c r="F423" s="23"/>
      <c r="G423" s="24"/>
      <c r="H423" s="24"/>
      <c r="I423" s="23"/>
      <c r="J423" s="27" t="str">
        <f aca="false">IF(A423="","",COUNTIF('Linha do tempo'!$G:$G,A423))</f>
        <v/>
      </c>
      <c r="K423" s="25" t="str">
        <f aca="false">IF(A423="","",TRIM(IF(COUNTIF($A:$A,A423)&gt;1,"ID repetido. ","")&amp;IF(AND(H423&lt;&gt;"",LEN(TRIM(H423))&lt;&gt;64),"Hash deve ter 64 caracteres.","")))</f>
        <v/>
      </c>
      <c r="L423" s="11"/>
    </row>
    <row r="424" customFormat="false" ht="15" hidden="false" customHeight="false" outlineLevel="0" collapsed="false">
      <c r="A424" s="24"/>
      <c r="B424" s="22"/>
      <c r="C424" s="23"/>
      <c r="D424" s="11"/>
      <c r="E424" s="11"/>
      <c r="F424" s="23"/>
      <c r="G424" s="24"/>
      <c r="H424" s="24"/>
      <c r="I424" s="23"/>
      <c r="J424" s="27" t="str">
        <f aca="false">IF(A424="","",COUNTIF('Linha do tempo'!$G:$G,A424))</f>
        <v/>
      </c>
      <c r="K424" s="25" t="str">
        <f aca="false">IF(A424="","",TRIM(IF(COUNTIF($A:$A,A424)&gt;1,"ID repetido. ","")&amp;IF(AND(H424&lt;&gt;"",LEN(TRIM(H424))&lt;&gt;64),"Hash deve ter 64 caracteres.","")))</f>
        <v/>
      </c>
      <c r="L424" s="11"/>
    </row>
    <row r="425" customFormat="false" ht="15" hidden="false" customHeight="false" outlineLevel="0" collapsed="false">
      <c r="A425" s="24"/>
      <c r="B425" s="22"/>
      <c r="C425" s="23"/>
      <c r="D425" s="11"/>
      <c r="E425" s="11"/>
      <c r="F425" s="23"/>
      <c r="G425" s="24"/>
      <c r="H425" s="24"/>
      <c r="I425" s="23"/>
      <c r="J425" s="27" t="str">
        <f aca="false">IF(A425="","",COUNTIF('Linha do tempo'!$G:$G,A425))</f>
        <v/>
      </c>
      <c r="K425" s="25" t="str">
        <f aca="false">IF(A425="","",TRIM(IF(COUNTIF($A:$A,A425)&gt;1,"ID repetido. ","")&amp;IF(AND(H425&lt;&gt;"",LEN(TRIM(H425))&lt;&gt;64),"Hash deve ter 64 caracteres.","")))</f>
        <v/>
      </c>
      <c r="L425" s="11"/>
    </row>
    <row r="426" customFormat="false" ht="15" hidden="false" customHeight="false" outlineLevel="0" collapsed="false">
      <c r="A426" s="24"/>
      <c r="B426" s="22"/>
      <c r="C426" s="23"/>
      <c r="D426" s="11"/>
      <c r="E426" s="11"/>
      <c r="F426" s="23"/>
      <c r="G426" s="24"/>
      <c r="H426" s="24"/>
      <c r="I426" s="23"/>
      <c r="J426" s="27" t="str">
        <f aca="false">IF(A426="","",COUNTIF('Linha do tempo'!$G:$G,A426))</f>
        <v/>
      </c>
      <c r="K426" s="25" t="str">
        <f aca="false">IF(A426="","",TRIM(IF(COUNTIF($A:$A,A426)&gt;1,"ID repetido. ","")&amp;IF(AND(H426&lt;&gt;"",LEN(TRIM(H426))&lt;&gt;64),"Hash deve ter 64 caracteres.","")))</f>
        <v/>
      </c>
      <c r="L426" s="11"/>
    </row>
    <row r="427" customFormat="false" ht="15" hidden="false" customHeight="false" outlineLevel="0" collapsed="false">
      <c r="A427" s="24"/>
      <c r="B427" s="22"/>
      <c r="C427" s="23"/>
      <c r="D427" s="11"/>
      <c r="E427" s="11"/>
      <c r="F427" s="23"/>
      <c r="G427" s="24"/>
      <c r="H427" s="24"/>
      <c r="I427" s="23"/>
      <c r="J427" s="27" t="str">
        <f aca="false">IF(A427="","",COUNTIF('Linha do tempo'!$G:$G,A427))</f>
        <v/>
      </c>
      <c r="K427" s="25" t="str">
        <f aca="false">IF(A427="","",TRIM(IF(COUNTIF($A:$A,A427)&gt;1,"ID repetido. ","")&amp;IF(AND(H427&lt;&gt;"",LEN(TRIM(H427))&lt;&gt;64),"Hash deve ter 64 caracteres.","")))</f>
        <v/>
      </c>
      <c r="L427" s="11"/>
    </row>
    <row r="428" customFormat="false" ht="15" hidden="false" customHeight="false" outlineLevel="0" collapsed="false">
      <c r="A428" s="24"/>
      <c r="B428" s="22"/>
      <c r="C428" s="23"/>
      <c r="D428" s="11"/>
      <c r="E428" s="11"/>
      <c r="F428" s="23"/>
      <c r="G428" s="24"/>
      <c r="H428" s="24"/>
      <c r="I428" s="23"/>
      <c r="J428" s="27" t="str">
        <f aca="false">IF(A428="","",COUNTIF('Linha do tempo'!$G:$G,A428))</f>
        <v/>
      </c>
      <c r="K428" s="25" t="str">
        <f aca="false">IF(A428="","",TRIM(IF(COUNTIF($A:$A,A428)&gt;1,"ID repetido. ","")&amp;IF(AND(H428&lt;&gt;"",LEN(TRIM(H428))&lt;&gt;64),"Hash deve ter 64 caracteres.","")))</f>
        <v/>
      </c>
      <c r="L428" s="11"/>
    </row>
    <row r="429" customFormat="false" ht="15" hidden="false" customHeight="false" outlineLevel="0" collapsed="false">
      <c r="A429" s="24"/>
      <c r="B429" s="22"/>
      <c r="C429" s="23"/>
      <c r="D429" s="11"/>
      <c r="E429" s="11"/>
      <c r="F429" s="23"/>
      <c r="G429" s="24"/>
      <c r="H429" s="24"/>
      <c r="I429" s="23"/>
      <c r="J429" s="27" t="str">
        <f aca="false">IF(A429="","",COUNTIF('Linha do tempo'!$G:$G,A429))</f>
        <v/>
      </c>
      <c r="K429" s="25" t="str">
        <f aca="false">IF(A429="","",TRIM(IF(COUNTIF($A:$A,A429)&gt;1,"ID repetido. ","")&amp;IF(AND(H429&lt;&gt;"",LEN(TRIM(H429))&lt;&gt;64),"Hash deve ter 64 caracteres.","")))</f>
        <v/>
      </c>
      <c r="L429" s="11"/>
    </row>
    <row r="430" customFormat="false" ht="15" hidden="false" customHeight="false" outlineLevel="0" collapsed="false">
      <c r="A430" s="24"/>
      <c r="B430" s="22"/>
      <c r="C430" s="23"/>
      <c r="D430" s="11"/>
      <c r="E430" s="11"/>
      <c r="F430" s="23"/>
      <c r="G430" s="24"/>
      <c r="H430" s="24"/>
      <c r="I430" s="23"/>
      <c r="J430" s="27" t="str">
        <f aca="false">IF(A430="","",COUNTIF('Linha do tempo'!$G:$G,A430))</f>
        <v/>
      </c>
      <c r="K430" s="25" t="str">
        <f aca="false">IF(A430="","",TRIM(IF(COUNTIF($A:$A,A430)&gt;1,"ID repetido. ","")&amp;IF(AND(H430&lt;&gt;"",LEN(TRIM(H430))&lt;&gt;64),"Hash deve ter 64 caracteres.","")))</f>
        <v/>
      </c>
      <c r="L430" s="11"/>
    </row>
    <row r="431" customFormat="false" ht="15" hidden="false" customHeight="false" outlineLevel="0" collapsed="false">
      <c r="A431" s="24"/>
      <c r="B431" s="22"/>
      <c r="C431" s="23"/>
      <c r="D431" s="11"/>
      <c r="E431" s="11"/>
      <c r="F431" s="23"/>
      <c r="G431" s="24"/>
      <c r="H431" s="24"/>
      <c r="I431" s="23"/>
      <c r="J431" s="27" t="str">
        <f aca="false">IF(A431="","",COUNTIF('Linha do tempo'!$G:$G,A431))</f>
        <v/>
      </c>
      <c r="K431" s="25" t="str">
        <f aca="false">IF(A431="","",TRIM(IF(COUNTIF($A:$A,A431)&gt;1,"ID repetido. ","")&amp;IF(AND(H431&lt;&gt;"",LEN(TRIM(H431))&lt;&gt;64),"Hash deve ter 64 caracteres.","")))</f>
        <v/>
      </c>
      <c r="L431" s="11"/>
    </row>
    <row r="432" customFormat="false" ht="15" hidden="false" customHeight="false" outlineLevel="0" collapsed="false">
      <c r="A432" s="24"/>
      <c r="B432" s="22"/>
      <c r="C432" s="23"/>
      <c r="D432" s="11"/>
      <c r="E432" s="11"/>
      <c r="F432" s="23"/>
      <c r="G432" s="24"/>
      <c r="H432" s="24"/>
      <c r="I432" s="23"/>
      <c r="J432" s="27" t="str">
        <f aca="false">IF(A432="","",COUNTIF('Linha do tempo'!$G:$G,A432))</f>
        <v/>
      </c>
      <c r="K432" s="25" t="str">
        <f aca="false">IF(A432="","",TRIM(IF(COUNTIF($A:$A,A432)&gt;1,"ID repetido. ","")&amp;IF(AND(H432&lt;&gt;"",LEN(TRIM(H432))&lt;&gt;64),"Hash deve ter 64 caracteres.","")))</f>
        <v/>
      </c>
      <c r="L432" s="11"/>
    </row>
    <row r="433" customFormat="false" ht="15" hidden="false" customHeight="false" outlineLevel="0" collapsed="false">
      <c r="A433" s="24"/>
      <c r="B433" s="22"/>
      <c r="C433" s="23"/>
      <c r="D433" s="11"/>
      <c r="E433" s="11"/>
      <c r="F433" s="23"/>
      <c r="G433" s="24"/>
      <c r="H433" s="24"/>
      <c r="I433" s="23"/>
      <c r="J433" s="27" t="str">
        <f aca="false">IF(A433="","",COUNTIF('Linha do tempo'!$G:$G,A433))</f>
        <v/>
      </c>
      <c r="K433" s="25" t="str">
        <f aca="false">IF(A433="","",TRIM(IF(COUNTIF($A:$A,A433)&gt;1,"ID repetido. ","")&amp;IF(AND(H433&lt;&gt;"",LEN(TRIM(H433))&lt;&gt;64),"Hash deve ter 64 caracteres.","")))</f>
        <v/>
      </c>
      <c r="L433" s="11"/>
    </row>
    <row r="434" customFormat="false" ht="15" hidden="false" customHeight="false" outlineLevel="0" collapsed="false">
      <c r="A434" s="24"/>
      <c r="B434" s="22"/>
      <c r="C434" s="23"/>
      <c r="D434" s="11"/>
      <c r="E434" s="11"/>
      <c r="F434" s="23"/>
      <c r="G434" s="24"/>
      <c r="H434" s="24"/>
      <c r="I434" s="23"/>
      <c r="J434" s="27" t="str">
        <f aca="false">IF(A434="","",COUNTIF('Linha do tempo'!$G:$G,A434))</f>
        <v/>
      </c>
      <c r="K434" s="25" t="str">
        <f aca="false">IF(A434="","",TRIM(IF(COUNTIF($A:$A,A434)&gt;1,"ID repetido. ","")&amp;IF(AND(H434&lt;&gt;"",LEN(TRIM(H434))&lt;&gt;64),"Hash deve ter 64 caracteres.","")))</f>
        <v/>
      </c>
      <c r="L434" s="11"/>
    </row>
    <row r="435" customFormat="false" ht="15" hidden="false" customHeight="false" outlineLevel="0" collapsed="false">
      <c r="A435" s="24"/>
      <c r="B435" s="22"/>
      <c r="C435" s="23"/>
      <c r="D435" s="11"/>
      <c r="E435" s="11"/>
      <c r="F435" s="23"/>
      <c r="G435" s="24"/>
      <c r="H435" s="24"/>
      <c r="I435" s="23"/>
      <c r="J435" s="27" t="str">
        <f aca="false">IF(A435="","",COUNTIF('Linha do tempo'!$G:$G,A435))</f>
        <v/>
      </c>
      <c r="K435" s="25" t="str">
        <f aca="false">IF(A435="","",TRIM(IF(COUNTIF($A:$A,A435)&gt;1,"ID repetido. ","")&amp;IF(AND(H435&lt;&gt;"",LEN(TRIM(H435))&lt;&gt;64),"Hash deve ter 64 caracteres.","")))</f>
        <v/>
      </c>
      <c r="L435" s="11"/>
    </row>
    <row r="436" customFormat="false" ht="15" hidden="false" customHeight="false" outlineLevel="0" collapsed="false">
      <c r="A436" s="24"/>
      <c r="B436" s="22"/>
      <c r="C436" s="23"/>
      <c r="D436" s="11"/>
      <c r="E436" s="11"/>
      <c r="F436" s="23"/>
      <c r="G436" s="24"/>
      <c r="H436" s="24"/>
      <c r="I436" s="23"/>
      <c r="J436" s="27" t="str">
        <f aca="false">IF(A436="","",COUNTIF('Linha do tempo'!$G:$G,A436))</f>
        <v/>
      </c>
      <c r="K436" s="25" t="str">
        <f aca="false">IF(A436="","",TRIM(IF(COUNTIF($A:$A,A436)&gt;1,"ID repetido. ","")&amp;IF(AND(H436&lt;&gt;"",LEN(TRIM(H436))&lt;&gt;64),"Hash deve ter 64 caracteres.","")))</f>
        <v/>
      </c>
      <c r="L436" s="11"/>
    </row>
    <row r="437" customFormat="false" ht="15" hidden="false" customHeight="false" outlineLevel="0" collapsed="false">
      <c r="A437" s="24"/>
      <c r="B437" s="22"/>
      <c r="C437" s="23"/>
      <c r="D437" s="11"/>
      <c r="E437" s="11"/>
      <c r="F437" s="23"/>
      <c r="G437" s="24"/>
      <c r="H437" s="24"/>
      <c r="I437" s="23"/>
      <c r="J437" s="27" t="str">
        <f aca="false">IF(A437="","",COUNTIF('Linha do tempo'!$G:$G,A437))</f>
        <v/>
      </c>
      <c r="K437" s="25" t="str">
        <f aca="false">IF(A437="","",TRIM(IF(COUNTIF($A:$A,A437)&gt;1,"ID repetido. ","")&amp;IF(AND(H437&lt;&gt;"",LEN(TRIM(H437))&lt;&gt;64),"Hash deve ter 64 caracteres.","")))</f>
        <v/>
      </c>
      <c r="L437" s="11"/>
    </row>
    <row r="438" customFormat="false" ht="15" hidden="false" customHeight="false" outlineLevel="0" collapsed="false">
      <c r="A438" s="24"/>
      <c r="B438" s="22"/>
      <c r="C438" s="23"/>
      <c r="D438" s="11"/>
      <c r="E438" s="11"/>
      <c r="F438" s="23"/>
      <c r="G438" s="24"/>
      <c r="H438" s="24"/>
      <c r="I438" s="23"/>
      <c r="J438" s="27" t="str">
        <f aca="false">IF(A438="","",COUNTIF('Linha do tempo'!$G:$G,A438))</f>
        <v/>
      </c>
      <c r="K438" s="25" t="str">
        <f aca="false">IF(A438="","",TRIM(IF(COUNTIF($A:$A,A438)&gt;1,"ID repetido. ","")&amp;IF(AND(H438&lt;&gt;"",LEN(TRIM(H438))&lt;&gt;64),"Hash deve ter 64 caracteres.","")))</f>
        <v/>
      </c>
      <c r="L438" s="11"/>
    </row>
    <row r="439" customFormat="false" ht="15" hidden="false" customHeight="false" outlineLevel="0" collapsed="false">
      <c r="A439" s="24"/>
      <c r="B439" s="22"/>
      <c r="C439" s="23"/>
      <c r="D439" s="11"/>
      <c r="E439" s="11"/>
      <c r="F439" s="23"/>
      <c r="G439" s="24"/>
      <c r="H439" s="24"/>
      <c r="I439" s="23"/>
      <c r="J439" s="27" t="str">
        <f aca="false">IF(A439="","",COUNTIF('Linha do tempo'!$G:$G,A439))</f>
        <v/>
      </c>
      <c r="K439" s="25" t="str">
        <f aca="false">IF(A439="","",TRIM(IF(COUNTIF($A:$A,A439)&gt;1,"ID repetido. ","")&amp;IF(AND(H439&lt;&gt;"",LEN(TRIM(H439))&lt;&gt;64),"Hash deve ter 64 caracteres.","")))</f>
        <v/>
      </c>
      <c r="L439" s="11"/>
    </row>
    <row r="440" customFormat="false" ht="15" hidden="false" customHeight="false" outlineLevel="0" collapsed="false">
      <c r="A440" s="24"/>
      <c r="B440" s="22"/>
      <c r="C440" s="23"/>
      <c r="D440" s="11"/>
      <c r="E440" s="11"/>
      <c r="F440" s="23"/>
      <c r="G440" s="24"/>
      <c r="H440" s="24"/>
      <c r="I440" s="23"/>
      <c r="J440" s="27" t="str">
        <f aca="false">IF(A440="","",COUNTIF('Linha do tempo'!$G:$G,A440))</f>
        <v/>
      </c>
      <c r="K440" s="25" t="str">
        <f aca="false">IF(A440="","",TRIM(IF(COUNTIF($A:$A,A440)&gt;1,"ID repetido. ","")&amp;IF(AND(H440&lt;&gt;"",LEN(TRIM(H440))&lt;&gt;64),"Hash deve ter 64 caracteres.","")))</f>
        <v/>
      </c>
      <c r="L440" s="11"/>
    </row>
    <row r="441" customFormat="false" ht="15" hidden="false" customHeight="false" outlineLevel="0" collapsed="false">
      <c r="A441" s="24"/>
      <c r="B441" s="22"/>
      <c r="C441" s="23"/>
      <c r="D441" s="11"/>
      <c r="E441" s="11"/>
      <c r="F441" s="23"/>
      <c r="G441" s="24"/>
      <c r="H441" s="24"/>
      <c r="I441" s="23"/>
      <c r="J441" s="27" t="str">
        <f aca="false">IF(A441="","",COUNTIF('Linha do tempo'!$G:$G,A441))</f>
        <v/>
      </c>
      <c r="K441" s="25" t="str">
        <f aca="false">IF(A441="","",TRIM(IF(COUNTIF($A:$A,A441)&gt;1,"ID repetido. ","")&amp;IF(AND(H441&lt;&gt;"",LEN(TRIM(H441))&lt;&gt;64),"Hash deve ter 64 caracteres.","")))</f>
        <v/>
      </c>
      <c r="L441" s="11"/>
    </row>
    <row r="442" customFormat="false" ht="15" hidden="false" customHeight="false" outlineLevel="0" collapsed="false">
      <c r="A442" s="24"/>
      <c r="B442" s="22"/>
      <c r="C442" s="23"/>
      <c r="D442" s="11"/>
      <c r="E442" s="11"/>
      <c r="F442" s="23"/>
      <c r="G442" s="24"/>
      <c r="H442" s="24"/>
      <c r="I442" s="23"/>
      <c r="J442" s="27" t="str">
        <f aca="false">IF(A442="","",COUNTIF('Linha do tempo'!$G:$G,A442))</f>
        <v/>
      </c>
      <c r="K442" s="25" t="str">
        <f aca="false">IF(A442="","",TRIM(IF(COUNTIF($A:$A,A442)&gt;1,"ID repetido. ","")&amp;IF(AND(H442&lt;&gt;"",LEN(TRIM(H442))&lt;&gt;64),"Hash deve ter 64 caracteres.","")))</f>
        <v/>
      </c>
      <c r="L442" s="11"/>
    </row>
    <row r="443" customFormat="false" ht="15" hidden="false" customHeight="false" outlineLevel="0" collapsed="false">
      <c r="A443" s="24"/>
      <c r="B443" s="22"/>
      <c r="C443" s="23"/>
      <c r="D443" s="11"/>
      <c r="E443" s="11"/>
      <c r="F443" s="23"/>
      <c r="G443" s="24"/>
      <c r="H443" s="24"/>
      <c r="I443" s="23"/>
      <c r="J443" s="27" t="str">
        <f aca="false">IF(A443="","",COUNTIF('Linha do tempo'!$G:$G,A443))</f>
        <v/>
      </c>
      <c r="K443" s="25" t="str">
        <f aca="false">IF(A443="","",TRIM(IF(COUNTIF($A:$A,A443)&gt;1,"ID repetido. ","")&amp;IF(AND(H443&lt;&gt;"",LEN(TRIM(H443))&lt;&gt;64),"Hash deve ter 64 caracteres.","")))</f>
        <v/>
      </c>
      <c r="L443" s="11"/>
    </row>
    <row r="444" customFormat="false" ht="15" hidden="false" customHeight="false" outlineLevel="0" collapsed="false">
      <c r="A444" s="24"/>
      <c r="B444" s="22"/>
      <c r="C444" s="23"/>
      <c r="D444" s="11"/>
      <c r="E444" s="11"/>
      <c r="F444" s="23"/>
      <c r="G444" s="24"/>
      <c r="H444" s="24"/>
      <c r="I444" s="23"/>
      <c r="J444" s="27" t="str">
        <f aca="false">IF(A444="","",COUNTIF('Linha do tempo'!$G:$G,A444))</f>
        <v/>
      </c>
      <c r="K444" s="25" t="str">
        <f aca="false">IF(A444="","",TRIM(IF(COUNTIF($A:$A,A444)&gt;1,"ID repetido. ","")&amp;IF(AND(H444&lt;&gt;"",LEN(TRIM(H444))&lt;&gt;64),"Hash deve ter 64 caracteres.","")))</f>
        <v/>
      </c>
      <c r="L444" s="11"/>
    </row>
    <row r="445" customFormat="false" ht="15" hidden="false" customHeight="false" outlineLevel="0" collapsed="false">
      <c r="A445" s="24"/>
      <c r="B445" s="22"/>
      <c r="C445" s="23"/>
      <c r="D445" s="11"/>
      <c r="E445" s="11"/>
      <c r="F445" s="23"/>
      <c r="G445" s="24"/>
      <c r="H445" s="24"/>
      <c r="I445" s="23"/>
      <c r="J445" s="27" t="str">
        <f aca="false">IF(A445="","",COUNTIF('Linha do tempo'!$G:$G,A445))</f>
        <v/>
      </c>
      <c r="K445" s="25" t="str">
        <f aca="false">IF(A445="","",TRIM(IF(COUNTIF($A:$A,A445)&gt;1,"ID repetido. ","")&amp;IF(AND(H445&lt;&gt;"",LEN(TRIM(H445))&lt;&gt;64),"Hash deve ter 64 caracteres.","")))</f>
        <v/>
      </c>
      <c r="L445" s="11"/>
    </row>
    <row r="446" customFormat="false" ht="15" hidden="false" customHeight="false" outlineLevel="0" collapsed="false">
      <c r="A446" s="24"/>
      <c r="B446" s="22"/>
      <c r="C446" s="23"/>
      <c r="D446" s="11"/>
      <c r="E446" s="11"/>
      <c r="F446" s="23"/>
      <c r="G446" s="24"/>
      <c r="H446" s="24"/>
      <c r="I446" s="23"/>
      <c r="J446" s="27" t="str">
        <f aca="false">IF(A446="","",COUNTIF('Linha do tempo'!$G:$G,A446))</f>
        <v/>
      </c>
      <c r="K446" s="25" t="str">
        <f aca="false">IF(A446="","",TRIM(IF(COUNTIF($A:$A,A446)&gt;1,"ID repetido. ","")&amp;IF(AND(H446&lt;&gt;"",LEN(TRIM(H446))&lt;&gt;64),"Hash deve ter 64 caracteres.","")))</f>
        <v/>
      </c>
      <c r="L446" s="11"/>
    </row>
    <row r="447" customFormat="false" ht="15" hidden="false" customHeight="false" outlineLevel="0" collapsed="false">
      <c r="A447" s="24"/>
      <c r="B447" s="22"/>
      <c r="C447" s="23"/>
      <c r="D447" s="11"/>
      <c r="E447" s="11"/>
      <c r="F447" s="23"/>
      <c r="G447" s="24"/>
      <c r="H447" s="24"/>
      <c r="I447" s="23"/>
      <c r="J447" s="27" t="str">
        <f aca="false">IF(A447="","",COUNTIF('Linha do tempo'!$G:$G,A447))</f>
        <v/>
      </c>
      <c r="K447" s="25" t="str">
        <f aca="false">IF(A447="","",TRIM(IF(COUNTIF($A:$A,A447)&gt;1,"ID repetido. ","")&amp;IF(AND(H447&lt;&gt;"",LEN(TRIM(H447))&lt;&gt;64),"Hash deve ter 64 caracteres.","")))</f>
        <v/>
      </c>
      <c r="L447" s="11"/>
    </row>
    <row r="448" customFormat="false" ht="15" hidden="false" customHeight="false" outlineLevel="0" collapsed="false">
      <c r="A448" s="24"/>
      <c r="B448" s="22"/>
      <c r="C448" s="23"/>
      <c r="D448" s="11"/>
      <c r="E448" s="11"/>
      <c r="F448" s="23"/>
      <c r="G448" s="24"/>
      <c r="H448" s="24"/>
      <c r="I448" s="23"/>
      <c r="J448" s="27" t="str">
        <f aca="false">IF(A448="","",COUNTIF('Linha do tempo'!$G:$G,A448))</f>
        <v/>
      </c>
      <c r="K448" s="25" t="str">
        <f aca="false">IF(A448="","",TRIM(IF(COUNTIF($A:$A,A448)&gt;1,"ID repetido. ","")&amp;IF(AND(H448&lt;&gt;"",LEN(TRIM(H448))&lt;&gt;64),"Hash deve ter 64 caracteres.","")))</f>
        <v/>
      </c>
      <c r="L448" s="11"/>
    </row>
    <row r="449" customFormat="false" ht="15" hidden="false" customHeight="false" outlineLevel="0" collapsed="false">
      <c r="A449" s="24"/>
      <c r="B449" s="22"/>
      <c r="C449" s="23"/>
      <c r="D449" s="11"/>
      <c r="E449" s="11"/>
      <c r="F449" s="23"/>
      <c r="G449" s="24"/>
      <c r="H449" s="24"/>
      <c r="I449" s="23"/>
      <c r="J449" s="27" t="str">
        <f aca="false">IF(A449="","",COUNTIF('Linha do tempo'!$G:$G,A449))</f>
        <v/>
      </c>
      <c r="K449" s="25" t="str">
        <f aca="false">IF(A449="","",TRIM(IF(COUNTIF($A:$A,A449)&gt;1,"ID repetido. ","")&amp;IF(AND(H449&lt;&gt;"",LEN(TRIM(H449))&lt;&gt;64),"Hash deve ter 64 caracteres.","")))</f>
        <v/>
      </c>
      <c r="L449" s="11"/>
    </row>
    <row r="450" customFormat="false" ht="15" hidden="false" customHeight="false" outlineLevel="0" collapsed="false">
      <c r="A450" s="24"/>
      <c r="B450" s="22"/>
      <c r="C450" s="23"/>
      <c r="D450" s="11"/>
      <c r="E450" s="11"/>
      <c r="F450" s="23"/>
      <c r="G450" s="24"/>
      <c r="H450" s="24"/>
      <c r="I450" s="23"/>
      <c r="J450" s="27" t="str">
        <f aca="false">IF(A450="","",COUNTIF('Linha do tempo'!$G:$G,A450))</f>
        <v/>
      </c>
      <c r="K450" s="25" t="str">
        <f aca="false">IF(A450="","",TRIM(IF(COUNTIF($A:$A,A450)&gt;1,"ID repetido. ","")&amp;IF(AND(H450&lt;&gt;"",LEN(TRIM(H450))&lt;&gt;64),"Hash deve ter 64 caracteres.","")))</f>
        <v/>
      </c>
      <c r="L450" s="11"/>
    </row>
    <row r="451" customFormat="false" ht="15" hidden="false" customHeight="false" outlineLevel="0" collapsed="false">
      <c r="A451" s="24"/>
      <c r="B451" s="22"/>
      <c r="C451" s="23"/>
      <c r="D451" s="11"/>
      <c r="E451" s="11"/>
      <c r="F451" s="23"/>
      <c r="G451" s="24"/>
      <c r="H451" s="24"/>
      <c r="I451" s="23"/>
      <c r="J451" s="27" t="str">
        <f aca="false">IF(A451="","",COUNTIF('Linha do tempo'!$G:$G,A451))</f>
        <v/>
      </c>
      <c r="K451" s="25" t="str">
        <f aca="false">IF(A451="","",TRIM(IF(COUNTIF($A:$A,A451)&gt;1,"ID repetido. ","")&amp;IF(AND(H451&lt;&gt;"",LEN(TRIM(H451))&lt;&gt;64),"Hash deve ter 64 caracteres.","")))</f>
        <v/>
      </c>
      <c r="L451" s="11"/>
    </row>
    <row r="452" customFormat="false" ht="15" hidden="false" customHeight="false" outlineLevel="0" collapsed="false">
      <c r="A452" s="24"/>
      <c r="B452" s="22"/>
      <c r="C452" s="23"/>
      <c r="D452" s="11"/>
      <c r="E452" s="11"/>
      <c r="F452" s="23"/>
      <c r="G452" s="24"/>
      <c r="H452" s="24"/>
      <c r="I452" s="23"/>
      <c r="J452" s="27" t="str">
        <f aca="false">IF(A452="","",COUNTIF('Linha do tempo'!$G:$G,A452))</f>
        <v/>
      </c>
      <c r="K452" s="25" t="str">
        <f aca="false">IF(A452="","",TRIM(IF(COUNTIF($A:$A,A452)&gt;1,"ID repetido. ","")&amp;IF(AND(H452&lt;&gt;"",LEN(TRIM(H452))&lt;&gt;64),"Hash deve ter 64 caracteres.","")))</f>
        <v/>
      </c>
      <c r="L452" s="11"/>
    </row>
    <row r="453" customFormat="false" ht="15" hidden="false" customHeight="false" outlineLevel="0" collapsed="false">
      <c r="A453" s="24"/>
      <c r="B453" s="22"/>
      <c r="C453" s="23"/>
      <c r="D453" s="11"/>
      <c r="E453" s="11"/>
      <c r="F453" s="23"/>
      <c r="G453" s="24"/>
      <c r="H453" s="24"/>
      <c r="I453" s="23"/>
      <c r="J453" s="27" t="str">
        <f aca="false">IF(A453="","",COUNTIF('Linha do tempo'!$G:$G,A453))</f>
        <v/>
      </c>
      <c r="K453" s="25" t="str">
        <f aca="false">IF(A453="","",TRIM(IF(COUNTIF($A:$A,A453)&gt;1,"ID repetido. ","")&amp;IF(AND(H453&lt;&gt;"",LEN(TRIM(H453))&lt;&gt;64),"Hash deve ter 64 caracteres.","")))</f>
        <v/>
      </c>
      <c r="L453" s="11"/>
    </row>
    <row r="454" customFormat="false" ht="15" hidden="false" customHeight="false" outlineLevel="0" collapsed="false">
      <c r="A454" s="24"/>
      <c r="B454" s="22"/>
      <c r="C454" s="23"/>
      <c r="D454" s="11"/>
      <c r="E454" s="11"/>
      <c r="F454" s="23"/>
      <c r="G454" s="24"/>
      <c r="H454" s="24"/>
      <c r="I454" s="23"/>
      <c r="J454" s="27" t="str">
        <f aca="false">IF(A454="","",COUNTIF('Linha do tempo'!$G:$G,A454))</f>
        <v/>
      </c>
      <c r="K454" s="25" t="str">
        <f aca="false">IF(A454="","",TRIM(IF(COUNTIF($A:$A,A454)&gt;1,"ID repetido. ","")&amp;IF(AND(H454&lt;&gt;"",LEN(TRIM(H454))&lt;&gt;64),"Hash deve ter 64 caracteres.","")))</f>
        <v/>
      </c>
      <c r="L454" s="11"/>
    </row>
    <row r="455" customFormat="false" ht="15" hidden="false" customHeight="false" outlineLevel="0" collapsed="false">
      <c r="A455" s="24"/>
      <c r="B455" s="22"/>
      <c r="C455" s="23"/>
      <c r="D455" s="11"/>
      <c r="E455" s="11"/>
      <c r="F455" s="23"/>
      <c r="G455" s="24"/>
      <c r="H455" s="24"/>
      <c r="I455" s="23"/>
      <c r="J455" s="27" t="str">
        <f aca="false">IF(A455="","",COUNTIF('Linha do tempo'!$G:$G,A455))</f>
        <v/>
      </c>
      <c r="K455" s="25" t="str">
        <f aca="false">IF(A455="","",TRIM(IF(COUNTIF($A:$A,A455)&gt;1,"ID repetido. ","")&amp;IF(AND(H455&lt;&gt;"",LEN(TRIM(H455))&lt;&gt;64),"Hash deve ter 64 caracteres.","")))</f>
        <v/>
      </c>
      <c r="L455" s="11"/>
    </row>
    <row r="456" customFormat="false" ht="15" hidden="false" customHeight="false" outlineLevel="0" collapsed="false">
      <c r="A456" s="24"/>
      <c r="B456" s="22"/>
      <c r="C456" s="23"/>
      <c r="D456" s="11"/>
      <c r="E456" s="11"/>
      <c r="F456" s="23"/>
      <c r="G456" s="24"/>
      <c r="H456" s="24"/>
      <c r="I456" s="23"/>
      <c r="J456" s="27" t="str">
        <f aca="false">IF(A456="","",COUNTIF('Linha do tempo'!$G:$G,A456))</f>
        <v/>
      </c>
      <c r="K456" s="25" t="str">
        <f aca="false">IF(A456="","",TRIM(IF(COUNTIF($A:$A,A456)&gt;1,"ID repetido. ","")&amp;IF(AND(H456&lt;&gt;"",LEN(TRIM(H456))&lt;&gt;64),"Hash deve ter 64 caracteres.","")))</f>
        <v/>
      </c>
      <c r="L456" s="11"/>
    </row>
    <row r="457" customFormat="false" ht="15" hidden="false" customHeight="false" outlineLevel="0" collapsed="false">
      <c r="A457" s="24"/>
      <c r="B457" s="22"/>
      <c r="C457" s="23"/>
      <c r="D457" s="11"/>
      <c r="E457" s="11"/>
      <c r="F457" s="23"/>
      <c r="G457" s="24"/>
      <c r="H457" s="24"/>
      <c r="I457" s="23"/>
      <c r="J457" s="27" t="str">
        <f aca="false">IF(A457="","",COUNTIF('Linha do tempo'!$G:$G,A457))</f>
        <v/>
      </c>
      <c r="K457" s="25" t="str">
        <f aca="false">IF(A457="","",TRIM(IF(COUNTIF($A:$A,A457)&gt;1,"ID repetido. ","")&amp;IF(AND(H457&lt;&gt;"",LEN(TRIM(H457))&lt;&gt;64),"Hash deve ter 64 caracteres.","")))</f>
        <v/>
      </c>
      <c r="L457" s="11"/>
    </row>
    <row r="458" customFormat="false" ht="15" hidden="false" customHeight="false" outlineLevel="0" collapsed="false">
      <c r="A458" s="24"/>
      <c r="B458" s="22"/>
      <c r="C458" s="23"/>
      <c r="D458" s="11"/>
      <c r="E458" s="11"/>
      <c r="F458" s="23"/>
      <c r="G458" s="24"/>
      <c r="H458" s="24"/>
      <c r="I458" s="23"/>
      <c r="J458" s="27" t="str">
        <f aca="false">IF(A458="","",COUNTIF('Linha do tempo'!$G:$G,A458))</f>
        <v/>
      </c>
      <c r="K458" s="25" t="str">
        <f aca="false">IF(A458="","",TRIM(IF(COUNTIF($A:$A,A458)&gt;1,"ID repetido. ","")&amp;IF(AND(H458&lt;&gt;"",LEN(TRIM(H458))&lt;&gt;64),"Hash deve ter 64 caracteres.","")))</f>
        <v/>
      </c>
      <c r="L458" s="11"/>
    </row>
    <row r="459" customFormat="false" ht="15" hidden="false" customHeight="false" outlineLevel="0" collapsed="false">
      <c r="A459" s="24"/>
      <c r="B459" s="22"/>
      <c r="C459" s="23"/>
      <c r="D459" s="11"/>
      <c r="E459" s="11"/>
      <c r="F459" s="23"/>
      <c r="G459" s="24"/>
      <c r="H459" s="24"/>
      <c r="I459" s="23"/>
      <c r="J459" s="27" t="str">
        <f aca="false">IF(A459="","",COUNTIF('Linha do tempo'!$G:$G,A459))</f>
        <v/>
      </c>
      <c r="K459" s="25" t="str">
        <f aca="false">IF(A459="","",TRIM(IF(COUNTIF($A:$A,A459)&gt;1,"ID repetido. ","")&amp;IF(AND(H459&lt;&gt;"",LEN(TRIM(H459))&lt;&gt;64),"Hash deve ter 64 caracteres.","")))</f>
        <v/>
      </c>
      <c r="L459" s="11"/>
    </row>
    <row r="460" customFormat="false" ht="15" hidden="false" customHeight="false" outlineLevel="0" collapsed="false">
      <c r="A460" s="24"/>
      <c r="B460" s="22"/>
      <c r="C460" s="23"/>
      <c r="D460" s="11"/>
      <c r="E460" s="11"/>
      <c r="F460" s="23"/>
      <c r="G460" s="24"/>
      <c r="H460" s="24"/>
      <c r="I460" s="23"/>
      <c r="J460" s="27" t="str">
        <f aca="false">IF(A460="","",COUNTIF('Linha do tempo'!$G:$G,A460))</f>
        <v/>
      </c>
      <c r="K460" s="25" t="str">
        <f aca="false">IF(A460="","",TRIM(IF(COUNTIF($A:$A,A460)&gt;1,"ID repetido. ","")&amp;IF(AND(H460&lt;&gt;"",LEN(TRIM(H460))&lt;&gt;64),"Hash deve ter 64 caracteres.","")))</f>
        <v/>
      </c>
      <c r="L460" s="11"/>
    </row>
    <row r="461" customFormat="false" ht="15" hidden="false" customHeight="false" outlineLevel="0" collapsed="false">
      <c r="A461" s="24"/>
      <c r="B461" s="22"/>
      <c r="C461" s="23"/>
      <c r="D461" s="11"/>
      <c r="E461" s="11"/>
      <c r="F461" s="23"/>
      <c r="G461" s="24"/>
      <c r="H461" s="24"/>
      <c r="I461" s="23"/>
      <c r="J461" s="27" t="str">
        <f aca="false">IF(A461="","",COUNTIF('Linha do tempo'!$G:$G,A461))</f>
        <v/>
      </c>
      <c r="K461" s="25" t="str">
        <f aca="false">IF(A461="","",TRIM(IF(COUNTIF($A:$A,A461)&gt;1,"ID repetido. ","")&amp;IF(AND(H461&lt;&gt;"",LEN(TRIM(H461))&lt;&gt;64),"Hash deve ter 64 caracteres.","")))</f>
        <v/>
      </c>
      <c r="L461" s="11"/>
    </row>
    <row r="462" customFormat="false" ht="15" hidden="false" customHeight="false" outlineLevel="0" collapsed="false">
      <c r="A462" s="24"/>
      <c r="B462" s="22"/>
      <c r="C462" s="23"/>
      <c r="D462" s="11"/>
      <c r="E462" s="11"/>
      <c r="F462" s="23"/>
      <c r="G462" s="24"/>
      <c r="H462" s="24"/>
      <c r="I462" s="23"/>
      <c r="J462" s="27" t="str">
        <f aca="false">IF(A462="","",COUNTIF('Linha do tempo'!$G:$G,A462))</f>
        <v/>
      </c>
      <c r="K462" s="25" t="str">
        <f aca="false">IF(A462="","",TRIM(IF(COUNTIF($A:$A,A462)&gt;1,"ID repetido. ","")&amp;IF(AND(H462&lt;&gt;"",LEN(TRIM(H462))&lt;&gt;64),"Hash deve ter 64 caracteres.","")))</f>
        <v/>
      </c>
      <c r="L462" s="11"/>
    </row>
    <row r="463" customFormat="false" ht="15" hidden="false" customHeight="false" outlineLevel="0" collapsed="false">
      <c r="A463" s="24"/>
      <c r="B463" s="22"/>
      <c r="C463" s="23"/>
      <c r="D463" s="11"/>
      <c r="E463" s="11"/>
      <c r="F463" s="23"/>
      <c r="G463" s="24"/>
      <c r="H463" s="24"/>
      <c r="I463" s="23"/>
      <c r="J463" s="27" t="str">
        <f aca="false">IF(A463="","",COUNTIF('Linha do tempo'!$G:$G,A463))</f>
        <v/>
      </c>
      <c r="K463" s="25" t="str">
        <f aca="false">IF(A463="","",TRIM(IF(COUNTIF($A:$A,A463)&gt;1,"ID repetido. ","")&amp;IF(AND(H463&lt;&gt;"",LEN(TRIM(H463))&lt;&gt;64),"Hash deve ter 64 caracteres.","")))</f>
        <v/>
      </c>
      <c r="L463" s="11"/>
    </row>
    <row r="464" customFormat="false" ht="15" hidden="false" customHeight="false" outlineLevel="0" collapsed="false">
      <c r="A464" s="24"/>
      <c r="B464" s="22"/>
      <c r="C464" s="23"/>
      <c r="D464" s="11"/>
      <c r="E464" s="11"/>
      <c r="F464" s="23"/>
      <c r="G464" s="24"/>
      <c r="H464" s="24"/>
      <c r="I464" s="23"/>
      <c r="J464" s="27" t="str">
        <f aca="false">IF(A464="","",COUNTIF('Linha do tempo'!$G:$G,A464))</f>
        <v/>
      </c>
      <c r="K464" s="25" t="str">
        <f aca="false">IF(A464="","",TRIM(IF(COUNTIF($A:$A,A464)&gt;1,"ID repetido. ","")&amp;IF(AND(H464&lt;&gt;"",LEN(TRIM(H464))&lt;&gt;64),"Hash deve ter 64 caracteres.","")))</f>
        <v/>
      </c>
      <c r="L464" s="11"/>
    </row>
    <row r="465" customFormat="false" ht="15" hidden="false" customHeight="false" outlineLevel="0" collapsed="false">
      <c r="A465" s="24"/>
      <c r="B465" s="22"/>
      <c r="C465" s="23"/>
      <c r="D465" s="11"/>
      <c r="E465" s="11"/>
      <c r="F465" s="23"/>
      <c r="G465" s="24"/>
      <c r="H465" s="24"/>
      <c r="I465" s="23"/>
      <c r="J465" s="27" t="str">
        <f aca="false">IF(A465="","",COUNTIF('Linha do tempo'!$G:$G,A465))</f>
        <v/>
      </c>
      <c r="K465" s="25" t="str">
        <f aca="false">IF(A465="","",TRIM(IF(COUNTIF($A:$A,A465)&gt;1,"ID repetido. ","")&amp;IF(AND(H465&lt;&gt;"",LEN(TRIM(H465))&lt;&gt;64),"Hash deve ter 64 caracteres.","")))</f>
        <v/>
      </c>
      <c r="L465" s="11"/>
    </row>
    <row r="466" customFormat="false" ht="15" hidden="false" customHeight="false" outlineLevel="0" collapsed="false">
      <c r="A466" s="24"/>
      <c r="B466" s="22"/>
      <c r="C466" s="23"/>
      <c r="D466" s="11"/>
      <c r="E466" s="11"/>
      <c r="F466" s="23"/>
      <c r="G466" s="24"/>
      <c r="H466" s="24"/>
      <c r="I466" s="23"/>
      <c r="J466" s="27" t="str">
        <f aca="false">IF(A466="","",COUNTIF('Linha do tempo'!$G:$G,A466))</f>
        <v/>
      </c>
      <c r="K466" s="25" t="str">
        <f aca="false">IF(A466="","",TRIM(IF(COUNTIF($A:$A,A466)&gt;1,"ID repetido. ","")&amp;IF(AND(H466&lt;&gt;"",LEN(TRIM(H466))&lt;&gt;64),"Hash deve ter 64 caracteres.","")))</f>
        <v/>
      </c>
      <c r="L466" s="11"/>
    </row>
    <row r="467" customFormat="false" ht="15" hidden="false" customHeight="false" outlineLevel="0" collapsed="false">
      <c r="A467" s="24"/>
      <c r="B467" s="22"/>
      <c r="C467" s="23"/>
      <c r="D467" s="11"/>
      <c r="E467" s="11"/>
      <c r="F467" s="23"/>
      <c r="G467" s="24"/>
      <c r="H467" s="24"/>
      <c r="I467" s="23"/>
      <c r="J467" s="27" t="str">
        <f aca="false">IF(A467="","",COUNTIF('Linha do tempo'!$G:$G,A467))</f>
        <v/>
      </c>
      <c r="K467" s="25" t="str">
        <f aca="false">IF(A467="","",TRIM(IF(COUNTIF($A:$A,A467)&gt;1,"ID repetido. ","")&amp;IF(AND(H467&lt;&gt;"",LEN(TRIM(H467))&lt;&gt;64),"Hash deve ter 64 caracteres.","")))</f>
        <v/>
      </c>
      <c r="L467" s="11"/>
    </row>
    <row r="468" customFormat="false" ht="15" hidden="false" customHeight="false" outlineLevel="0" collapsed="false">
      <c r="A468" s="24"/>
      <c r="B468" s="22"/>
      <c r="C468" s="23"/>
      <c r="D468" s="11"/>
      <c r="E468" s="11"/>
      <c r="F468" s="23"/>
      <c r="G468" s="24"/>
      <c r="H468" s="24"/>
      <c r="I468" s="23"/>
      <c r="J468" s="27" t="str">
        <f aca="false">IF(A468="","",COUNTIF('Linha do tempo'!$G:$G,A468))</f>
        <v/>
      </c>
      <c r="K468" s="25" t="str">
        <f aca="false">IF(A468="","",TRIM(IF(COUNTIF($A:$A,A468)&gt;1,"ID repetido. ","")&amp;IF(AND(H468&lt;&gt;"",LEN(TRIM(H468))&lt;&gt;64),"Hash deve ter 64 caracteres.","")))</f>
        <v/>
      </c>
      <c r="L468" s="11"/>
    </row>
    <row r="469" customFormat="false" ht="15" hidden="false" customHeight="false" outlineLevel="0" collapsed="false">
      <c r="A469" s="24"/>
      <c r="B469" s="22"/>
      <c r="C469" s="23"/>
      <c r="D469" s="11"/>
      <c r="E469" s="11"/>
      <c r="F469" s="23"/>
      <c r="G469" s="24"/>
      <c r="H469" s="24"/>
      <c r="I469" s="23"/>
      <c r="J469" s="27" t="str">
        <f aca="false">IF(A469="","",COUNTIF('Linha do tempo'!$G:$G,A469))</f>
        <v/>
      </c>
      <c r="K469" s="25" t="str">
        <f aca="false">IF(A469="","",TRIM(IF(COUNTIF($A:$A,A469)&gt;1,"ID repetido. ","")&amp;IF(AND(H469&lt;&gt;"",LEN(TRIM(H469))&lt;&gt;64),"Hash deve ter 64 caracteres.","")))</f>
        <v/>
      </c>
      <c r="L469" s="11"/>
    </row>
    <row r="470" customFormat="false" ht="15" hidden="false" customHeight="false" outlineLevel="0" collapsed="false">
      <c r="A470" s="24"/>
      <c r="B470" s="22"/>
      <c r="C470" s="23"/>
      <c r="D470" s="11"/>
      <c r="E470" s="11"/>
      <c r="F470" s="23"/>
      <c r="G470" s="24"/>
      <c r="H470" s="24"/>
      <c r="I470" s="23"/>
      <c r="J470" s="27" t="str">
        <f aca="false">IF(A470="","",COUNTIF('Linha do tempo'!$G:$G,A470))</f>
        <v/>
      </c>
      <c r="K470" s="25" t="str">
        <f aca="false">IF(A470="","",TRIM(IF(COUNTIF($A:$A,A470)&gt;1,"ID repetido. ","")&amp;IF(AND(H470&lt;&gt;"",LEN(TRIM(H470))&lt;&gt;64),"Hash deve ter 64 caracteres.","")))</f>
        <v/>
      </c>
      <c r="L470" s="11"/>
    </row>
    <row r="471" customFormat="false" ht="15" hidden="false" customHeight="false" outlineLevel="0" collapsed="false">
      <c r="A471" s="24"/>
      <c r="B471" s="22"/>
      <c r="C471" s="23"/>
      <c r="D471" s="11"/>
      <c r="E471" s="11"/>
      <c r="F471" s="23"/>
      <c r="G471" s="24"/>
      <c r="H471" s="24"/>
      <c r="I471" s="23"/>
      <c r="J471" s="27" t="str">
        <f aca="false">IF(A471="","",COUNTIF('Linha do tempo'!$G:$G,A471))</f>
        <v/>
      </c>
      <c r="K471" s="25" t="str">
        <f aca="false">IF(A471="","",TRIM(IF(COUNTIF($A:$A,A471)&gt;1,"ID repetido. ","")&amp;IF(AND(H471&lt;&gt;"",LEN(TRIM(H471))&lt;&gt;64),"Hash deve ter 64 caracteres.","")))</f>
        <v/>
      </c>
      <c r="L471" s="11"/>
    </row>
    <row r="472" customFormat="false" ht="15" hidden="false" customHeight="false" outlineLevel="0" collapsed="false">
      <c r="A472" s="24"/>
      <c r="B472" s="22"/>
      <c r="C472" s="23"/>
      <c r="D472" s="11"/>
      <c r="E472" s="11"/>
      <c r="F472" s="23"/>
      <c r="G472" s="24"/>
      <c r="H472" s="24"/>
      <c r="I472" s="23"/>
      <c r="J472" s="27" t="str">
        <f aca="false">IF(A472="","",COUNTIF('Linha do tempo'!$G:$G,A472))</f>
        <v/>
      </c>
      <c r="K472" s="25" t="str">
        <f aca="false">IF(A472="","",TRIM(IF(COUNTIF($A:$A,A472)&gt;1,"ID repetido. ","")&amp;IF(AND(H472&lt;&gt;"",LEN(TRIM(H472))&lt;&gt;64),"Hash deve ter 64 caracteres.","")))</f>
        <v/>
      </c>
      <c r="L472" s="11"/>
    </row>
    <row r="473" customFormat="false" ht="15" hidden="false" customHeight="false" outlineLevel="0" collapsed="false">
      <c r="A473" s="24"/>
      <c r="B473" s="22"/>
      <c r="C473" s="23"/>
      <c r="D473" s="11"/>
      <c r="E473" s="11"/>
      <c r="F473" s="23"/>
      <c r="G473" s="24"/>
      <c r="H473" s="24"/>
      <c r="I473" s="23"/>
      <c r="J473" s="27" t="str">
        <f aca="false">IF(A473="","",COUNTIF('Linha do tempo'!$G:$G,A473))</f>
        <v/>
      </c>
      <c r="K473" s="25" t="str">
        <f aca="false">IF(A473="","",TRIM(IF(COUNTIF($A:$A,A473)&gt;1,"ID repetido. ","")&amp;IF(AND(H473&lt;&gt;"",LEN(TRIM(H473))&lt;&gt;64),"Hash deve ter 64 caracteres.","")))</f>
        <v/>
      </c>
      <c r="L473" s="11"/>
    </row>
    <row r="474" customFormat="false" ht="15" hidden="false" customHeight="false" outlineLevel="0" collapsed="false">
      <c r="A474" s="24"/>
      <c r="B474" s="22"/>
      <c r="C474" s="23"/>
      <c r="D474" s="11"/>
      <c r="E474" s="11"/>
      <c r="F474" s="23"/>
      <c r="G474" s="24"/>
      <c r="H474" s="24"/>
      <c r="I474" s="23"/>
      <c r="J474" s="27" t="str">
        <f aca="false">IF(A474="","",COUNTIF('Linha do tempo'!$G:$G,A474))</f>
        <v/>
      </c>
      <c r="K474" s="25" t="str">
        <f aca="false">IF(A474="","",TRIM(IF(COUNTIF($A:$A,A474)&gt;1,"ID repetido. ","")&amp;IF(AND(H474&lt;&gt;"",LEN(TRIM(H474))&lt;&gt;64),"Hash deve ter 64 caracteres.","")))</f>
        <v/>
      </c>
      <c r="L474" s="11"/>
    </row>
    <row r="475" customFormat="false" ht="15" hidden="false" customHeight="false" outlineLevel="0" collapsed="false">
      <c r="A475" s="24"/>
      <c r="B475" s="22"/>
      <c r="C475" s="23"/>
      <c r="D475" s="11"/>
      <c r="E475" s="11"/>
      <c r="F475" s="23"/>
      <c r="G475" s="24"/>
      <c r="H475" s="24"/>
      <c r="I475" s="23"/>
      <c r="J475" s="27" t="str">
        <f aca="false">IF(A475="","",COUNTIF('Linha do tempo'!$G:$G,A475))</f>
        <v/>
      </c>
      <c r="K475" s="25" t="str">
        <f aca="false">IF(A475="","",TRIM(IF(COUNTIF($A:$A,A475)&gt;1,"ID repetido. ","")&amp;IF(AND(H475&lt;&gt;"",LEN(TRIM(H475))&lt;&gt;64),"Hash deve ter 64 caracteres.","")))</f>
        <v/>
      </c>
      <c r="L475" s="11"/>
    </row>
    <row r="476" customFormat="false" ht="15" hidden="false" customHeight="false" outlineLevel="0" collapsed="false">
      <c r="A476" s="24"/>
      <c r="B476" s="22"/>
      <c r="C476" s="23"/>
      <c r="D476" s="11"/>
      <c r="E476" s="11"/>
      <c r="F476" s="23"/>
      <c r="G476" s="24"/>
      <c r="H476" s="24"/>
      <c r="I476" s="23"/>
      <c r="J476" s="27" t="str">
        <f aca="false">IF(A476="","",COUNTIF('Linha do tempo'!$G:$G,A476))</f>
        <v/>
      </c>
      <c r="K476" s="25" t="str">
        <f aca="false">IF(A476="","",TRIM(IF(COUNTIF($A:$A,A476)&gt;1,"ID repetido. ","")&amp;IF(AND(H476&lt;&gt;"",LEN(TRIM(H476))&lt;&gt;64),"Hash deve ter 64 caracteres.","")))</f>
        <v/>
      </c>
      <c r="L476" s="11"/>
    </row>
    <row r="477" customFormat="false" ht="15" hidden="false" customHeight="false" outlineLevel="0" collapsed="false">
      <c r="A477" s="24"/>
      <c r="B477" s="22"/>
      <c r="C477" s="23"/>
      <c r="D477" s="11"/>
      <c r="E477" s="11"/>
      <c r="F477" s="23"/>
      <c r="G477" s="24"/>
      <c r="H477" s="24"/>
      <c r="I477" s="23"/>
      <c r="J477" s="27" t="str">
        <f aca="false">IF(A477="","",COUNTIF('Linha do tempo'!$G:$G,A477))</f>
        <v/>
      </c>
      <c r="K477" s="25" t="str">
        <f aca="false">IF(A477="","",TRIM(IF(COUNTIF($A:$A,A477)&gt;1,"ID repetido. ","")&amp;IF(AND(H477&lt;&gt;"",LEN(TRIM(H477))&lt;&gt;64),"Hash deve ter 64 caracteres.","")))</f>
        <v/>
      </c>
      <c r="L477" s="11"/>
    </row>
    <row r="478" customFormat="false" ht="15" hidden="false" customHeight="false" outlineLevel="0" collapsed="false">
      <c r="A478" s="24"/>
      <c r="B478" s="22"/>
      <c r="C478" s="23"/>
      <c r="D478" s="11"/>
      <c r="E478" s="11"/>
      <c r="F478" s="23"/>
      <c r="G478" s="24"/>
      <c r="H478" s="24"/>
      <c r="I478" s="23"/>
      <c r="J478" s="27" t="str">
        <f aca="false">IF(A478="","",COUNTIF('Linha do tempo'!$G:$G,A478))</f>
        <v/>
      </c>
      <c r="K478" s="25" t="str">
        <f aca="false">IF(A478="","",TRIM(IF(COUNTIF($A:$A,A478)&gt;1,"ID repetido. ","")&amp;IF(AND(H478&lt;&gt;"",LEN(TRIM(H478))&lt;&gt;64),"Hash deve ter 64 caracteres.","")))</f>
        <v/>
      </c>
      <c r="L478" s="11"/>
    </row>
    <row r="479" customFormat="false" ht="15" hidden="false" customHeight="false" outlineLevel="0" collapsed="false">
      <c r="A479" s="24"/>
      <c r="B479" s="22"/>
      <c r="C479" s="23"/>
      <c r="D479" s="11"/>
      <c r="E479" s="11"/>
      <c r="F479" s="23"/>
      <c r="G479" s="24"/>
      <c r="H479" s="24"/>
      <c r="I479" s="23"/>
      <c r="J479" s="27" t="str">
        <f aca="false">IF(A479="","",COUNTIF('Linha do tempo'!$G:$G,A479))</f>
        <v/>
      </c>
      <c r="K479" s="25" t="str">
        <f aca="false">IF(A479="","",TRIM(IF(COUNTIF($A:$A,A479)&gt;1,"ID repetido. ","")&amp;IF(AND(H479&lt;&gt;"",LEN(TRIM(H479))&lt;&gt;64),"Hash deve ter 64 caracteres.","")))</f>
        <v/>
      </c>
      <c r="L479" s="11"/>
    </row>
    <row r="480" customFormat="false" ht="15" hidden="false" customHeight="false" outlineLevel="0" collapsed="false">
      <c r="A480" s="24"/>
      <c r="B480" s="22"/>
      <c r="C480" s="23"/>
      <c r="D480" s="11"/>
      <c r="E480" s="11"/>
      <c r="F480" s="23"/>
      <c r="G480" s="24"/>
      <c r="H480" s="24"/>
      <c r="I480" s="23"/>
      <c r="J480" s="27" t="str">
        <f aca="false">IF(A480="","",COUNTIF('Linha do tempo'!$G:$G,A480))</f>
        <v/>
      </c>
      <c r="K480" s="25" t="str">
        <f aca="false">IF(A480="","",TRIM(IF(COUNTIF($A:$A,A480)&gt;1,"ID repetido. ","")&amp;IF(AND(H480&lt;&gt;"",LEN(TRIM(H480))&lt;&gt;64),"Hash deve ter 64 caracteres.","")))</f>
        <v/>
      </c>
      <c r="L480" s="11"/>
    </row>
    <row r="481" customFormat="false" ht="15" hidden="false" customHeight="false" outlineLevel="0" collapsed="false">
      <c r="A481" s="24"/>
      <c r="B481" s="22"/>
      <c r="C481" s="23"/>
      <c r="D481" s="11"/>
      <c r="E481" s="11"/>
      <c r="F481" s="23"/>
      <c r="G481" s="24"/>
      <c r="H481" s="24"/>
      <c r="I481" s="23"/>
      <c r="J481" s="27" t="str">
        <f aca="false">IF(A481="","",COUNTIF('Linha do tempo'!$G:$G,A481))</f>
        <v/>
      </c>
      <c r="K481" s="25" t="str">
        <f aca="false">IF(A481="","",TRIM(IF(COUNTIF($A:$A,A481)&gt;1,"ID repetido. ","")&amp;IF(AND(H481&lt;&gt;"",LEN(TRIM(H481))&lt;&gt;64),"Hash deve ter 64 caracteres.","")))</f>
        <v/>
      </c>
      <c r="L481" s="11"/>
    </row>
    <row r="482" customFormat="false" ht="15" hidden="false" customHeight="false" outlineLevel="0" collapsed="false">
      <c r="A482" s="24"/>
      <c r="B482" s="22"/>
      <c r="C482" s="23"/>
      <c r="D482" s="11"/>
      <c r="E482" s="11"/>
      <c r="F482" s="23"/>
      <c r="G482" s="24"/>
      <c r="H482" s="24"/>
      <c r="I482" s="23"/>
      <c r="J482" s="27" t="str">
        <f aca="false">IF(A482="","",COUNTIF('Linha do tempo'!$G:$G,A482))</f>
        <v/>
      </c>
      <c r="K482" s="25" t="str">
        <f aca="false">IF(A482="","",TRIM(IF(COUNTIF($A:$A,A482)&gt;1,"ID repetido. ","")&amp;IF(AND(H482&lt;&gt;"",LEN(TRIM(H482))&lt;&gt;64),"Hash deve ter 64 caracteres.","")))</f>
        <v/>
      </c>
      <c r="L482" s="11"/>
    </row>
    <row r="483" customFormat="false" ht="15" hidden="false" customHeight="false" outlineLevel="0" collapsed="false">
      <c r="A483" s="24"/>
      <c r="B483" s="22"/>
      <c r="C483" s="23"/>
      <c r="D483" s="11"/>
      <c r="E483" s="11"/>
      <c r="F483" s="23"/>
      <c r="G483" s="24"/>
      <c r="H483" s="24"/>
      <c r="I483" s="23"/>
      <c r="J483" s="27" t="str">
        <f aca="false">IF(A483="","",COUNTIF('Linha do tempo'!$G:$G,A483))</f>
        <v/>
      </c>
      <c r="K483" s="25" t="str">
        <f aca="false">IF(A483="","",TRIM(IF(COUNTIF($A:$A,A483)&gt;1,"ID repetido. ","")&amp;IF(AND(H483&lt;&gt;"",LEN(TRIM(H483))&lt;&gt;64),"Hash deve ter 64 caracteres.","")))</f>
        <v/>
      </c>
      <c r="L483" s="11"/>
    </row>
    <row r="484" customFormat="false" ht="15" hidden="false" customHeight="false" outlineLevel="0" collapsed="false">
      <c r="A484" s="24"/>
      <c r="B484" s="22"/>
      <c r="C484" s="23"/>
      <c r="D484" s="11"/>
      <c r="E484" s="11"/>
      <c r="F484" s="23"/>
      <c r="G484" s="24"/>
      <c r="H484" s="24"/>
      <c r="I484" s="23"/>
      <c r="J484" s="27" t="str">
        <f aca="false">IF(A484="","",COUNTIF('Linha do tempo'!$G:$G,A484))</f>
        <v/>
      </c>
      <c r="K484" s="25" t="str">
        <f aca="false">IF(A484="","",TRIM(IF(COUNTIF($A:$A,A484)&gt;1,"ID repetido. ","")&amp;IF(AND(H484&lt;&gt;"",LEN(TRIM(H484))&lt;&gt;64),"Hash deve ter 64 caracteres.","")))</f>
        <v/>
      </c>
      <c r="L484" s="11"/>
    </row>
    <row r="485" customFormat="false" ht="15" hidden="false" customHeight="false" outlineLevel="0" collapsed="false">
      <c r="A485" s="24"/>
      <c r="B485" s="22"/>
      <c r="C485" s="23"/>
      <c r="D485" s="11"/>
      <c r="E485" s="11"/>
      <c r="F485" s="23"/>
      <c r="G485" s="24"/>
      <c r="H485" s="24"/>
      <c r="I485" s="23"/>
      <c r="J485" s="27" t="str">
        <f aca="false">IF(A485="","",COUNTIF('Linha do tempo'!$G:$G,A485))</f>
        <v/>
      </c>
      <c r="K485" s="25" t="str">
        <f aca="false">IF(A485="","",TRIM(IF(COUNTIF($A:$A,A485)&gt;1,"ID repetido. ","")&amp;IF(AND(H485&lt;&gt;"",LEN(TRIM(H485))&lt;&gt;64),"Hash deve ter 64 caracteres.","")))</f>
        <v/>
      </c>
      <c r="L485" s="11"/>
    </row>
    <row r="486" customFormat="false" ht="15" hidden="false" customHeight="false" outlineLevel="0" collapsed="false">
      <c r="A486" s="24"/>
      <c r="B486" s="22"/>
      <c r="C486" s="23"/>
      <c r="D486" s="11"/>
      <c r="E486" s="11"/>
      <c r="F486" s="23"/>
      <c r="G486" s="24"/>
      <c r="H486" s="24"/>
      <c r="I486" s="23"/>
      <c r="J486" s="27" t="str">
        <f aca="false">IF(A486="","",COUNTIF('Linha do tempo'!$G:$G,A486))</f>
        <v/>
      </c>
      <c r="K486" s="25" t="str">
        <f aca="false">IF(A486="","",TRIM(IF(COUNTIF($A:$A,A486)&gt;1,"ID repetido. ","")&amp;IF(AND(H486&lt;&gt;"",LEN(TRIM(H486))&lt;&gt;64),"Hash deve ter 64 caracteres.","")))</f>
        <v/>
      </c>
      <c r="L486" s="11"/>
    </row>
    <row r="487" customFormat="false" ht="15" hidden="false" customHeight="false" outlineLevel="0" collapsed="false">
      <c r="A487" s="24"/>
      <c r="B487" s="22"/>
      <c r="C487" s="23"/>
      <c r="D487" s="11"/>
      <c r="E487" s="11"/>
      <c r="F487" s="23"/>
      <c r="G487" s="24"/>
      <c r="H487" s="24"/>
      <c r="I487" s="23"/>
      <c r="J487" s="27" t="str">
        <f aca="false">IF(A487="","",COUNTIF('Linha do tempo'!$G:$G,A487))</f>
        <v/>
      </c>
      <c r="K487" s="25" t="str">
        <f aca="false">IF(A487="","",TRIM(IF(COUNTIF($A:$A,A487)&gt;1,"ID repetido. ","")&amp;IF(AND(H487&lt;&gt;"",LEN(TRIM(H487))&lt;&gt;64),"Hash deve ter 64 caracteres.","")))</f>
        <v/>
      </c>
      <c r="L487" s="11"/>
    </row>
    <row r="488" customFormat="false" ht="15" hidden="false" customHeight="false" outlineLevel="0" collapsed="false">
      <c r="A488" s="24"/>
      <c r="B488" s="22"/>
      <c r="C488" s="23"/>
      <c r="D488" s="11"/>
      <c r="E488" s="11"/>
      <c r="F488" s="23"/>
      <c r="G488" s="24"/>
      <c r="H488" s="24"/>
      <c r="I488" s="23"/>
      <c r="J488" s="27" t="str">
        <f aca="false">IF(A488="","",COUNTIF('Linha do tempo'!$G:$G,A488))</f>
        <v/>
      </c>
      <c r="K488" s="25" t="str">
        <f aca="false">IF(A488="","",TRIM(IF(COUNTIF($A:$A,A488)&gt;1,"ID repetido. ","")&amp;IF(AND(H488&lt;&gt;"",LEN(TRIM(H488))&lt;&gt;64),"Hash deve ter 64 caracteres.","")))</f>
        <v/>
      </c>
      <c r="L488" s="11"/>
    </row>
    <row r="489" customFormat="false" ht="15" hidden="false" customHeight="false" outlineLevel="0" collapsed="false">
      <c r="A489" s="24"/>
      <c r="B489" s="22"/>
      <c r="C489" s="23"/>
      <c r="D489" s="11"/>
      <c r="E489" s="11"/>
      <c r="F489" s="23"/>
      <c r="G489" s="24"/>
      <c r="H489" s="24"/>
      <c r="I489" s="23"/>
      <c r="J489" s="27" t="str">
        <f aca="false">IF(A489="","",COUNTIF('Linha do tempo'!$G:$G,A489))</f>
        <v/>
      </c>
      <c r="K489" s="25" t="str">
        <f aca="false">IF(A489="","",TRIM(IF(COUNTIF($A:$A,A489)&gt;1,"ID repetido. ","")&amp;IF(AND(H489&lt;&gt;"",LEN(TRIM(H489))&lt;&gt;64),"Hash deve ter 64 caracteres.","")))</f>
        <v/>
      </c>
      <c r="L489" s="11"/>
    </row>
    <row r="490" customFormat="false" ht="15" hidden="false" customHeight="false" outlineLevel="0" collapsed="false">
      <c r="A490" s="24"/>
      <c r="B490" s="22"/>
      <c r="C490" s="23"/>
      <c r="D490" s="11"/>
      <c r="E490" s="11"/>
      <c r="F490" s="23"/>
      <c r="G490" s="24"/>
      <c r="H490" s="24"/>
      <c r="I490" s="23"/>
      <c r="J490" s="27" t="str">
        <f aca="false">IF(A490="","",COUNTIF('Linha do tempo'!$G:$G,A490))</f>
        <v/>
      </c>
      <c r="K490" s="25" t="str">
        <f aca="false">IF(A490="","",TRIM(IF(COUNTIF($A:$A,A490)&gt;1,"ID repetido. ","")&amp;IF(AND(H490&lt;&gt;"",LEN(TRIM(H490))&lt;&gt;64),"Hash deve ter 64 caracteres.","")))</f>
        <v/>
      </c>
      <c r="L490" s="11"/>
    </row>
    <row r="491" customFormat="false" ht="15" hidden="false" customHeight="false" outlineLevel="0" collapsed="false">
      <c r="A491" s="24"/>
      <c r="B491" s="22"/>
      <c r="C491" s="23"/>
      <c r="D491" s="11"/>
      <c r="E491" s="11"/>
      <c r="F491" s="23"/>
      <c r="G491" s="24"/>
      <c r="H491" s="24"/>
      <c r="I491" s="23"/>
      <c r="J491" s="27" t="str">
        <f aca="false">IF(A491="","",COUNTIF('Linha do tempo'!$G:$G,A491))</f>
        <v/>
      </c>
      <c r="K491" s="25" t="str">
        <f aca="false">IF(A491="","",TRIM(IF(COUNTIF($A:$A,A491)&gt;1,"ID repetido. ","")&amp;IF(AND(H491&lt;&gt;"",LEN(TRIM(H491))&lt;&gt;64),"Hash deve ter 64 caracteres.","")))</f>
        <v/>
      </c>
      <c r="L491" s="11"/>
    </row>
    <row r="492" customFormat="false" ht="15" hidden="false" customHeight="false" outlineLevel="0" collapsed="false">
      <c r="A492" s="24"/>
      <c r="B492" s="22"/>
      <c r="C492" s="23"/>
      <c r="D492" s="11"/>
      <c r="E492" s="11"/>
      <c r="F492" s="23"/>
      <c r="G492" s="24"/>
      <c r="H492" s="24"/>
      <c r="I492" s="23"/>
      <c r="J492" s="27" t="str">
        <f aca="false">IF(A492="","",COUNTIF('Linha do tempo'!$G:$G,A492))</f>
        <v/>
      </c>
      <c r="K492" s="25" t="str">
        <f aca="false">IF(A492="","",TRIM(IF(COUNTIF($A:$A,A492)&gt;1,"ID repetido. ","")&amp;IF(AND(H492&lt;&gt;"",LEN(TRIM(H492))&lt;&gt;64),"Hash deve ter 64 caracteres.","")))</f>
        <v/>
      </c>
      <c r="L492" s="11"/>
    </row>
    <row r="493" customFormat="false" ht="15" hidden="false" customHeight="false" outlineLevel="0" collapsed="false">
      <c r="A493" s="24"/>
      <c r="B493" s="22"/>
      <c r="C493" s="23"/>
      <c r="D493" s="11"/>
      <c r="E493" s="11"/>
      <c r="F493" s="23"/>
      <c r="G493" s="24"/>
      <c r="H493" s="24"/>
      <c r="I493" s="23"/>
      <c r="J493" s="27" t="str">
        <f aca="false">IF(A493="","",COUNTIF('Linha do tempo'!$G:$G,A493))</f>
        <v/>
      </c>
      <c r="K493" s="25" t="str">
        <f aca="false">IF(A493="","",TRIM(IF(COUNTIF($A:$A,A493)&gt;1,"ID repetido. ","")&amp;IF(AND(H493&lt;&gt;"",LEN(TRIM(H493))&lt;&gt;64),"Hash deve ter 64 caracteres.","")))</f>
        <v/>
      </c>
      <c r="L493" s="11"/>
    </row>
    <row r="494" customFormat="false" ht="15" hidden="false" customHeight="false" outlineLevel="0" collapsed="false">
      <c r="A494" s="24"/>
      <c r="B494" s="22"/>
      <c r="C494" s="23"/>
      <c r="D494" s="11"/>
      <c r="E494" s="11"/>
      <c r="F494" s="23"/>
      <c r="G494" s="24"/>
      <c r="H494" s="24"/>
      <c r="I494" s="23"/>
      <c r="J494" s="27" t="str">
        <f aca="false">IF(A494="","",COUNTIF('Linha do tempo'!$G:$G,A494))</f>
        <v/>
      </c>
      <c r="K494" s="25" t="str">
        <f aca="false">IF(A494="","",TRIM(IF(COUNTIF($A:$A,A494)&gt;1,"ID repetido. ","")&amp;IF(AND(H494&lt;&gt;"",LEN(TRIM(H494))&lt;&gt;64),"Hash deve ter 64 caracteres.","")))</f>
        <v/>
      </c>
      <c r="L494" s="11"/>
    </row>
    <row r="495" customFormat="false" ht="15" hidden="false" customHeight="false" outlineLevel="0" collapsed="false">
      <c r="A495" s="24"/>
      <c r="B495" s="22"/>
      <c r="C495" s="23"/>
      <c r="D495" s="11"/>
      <c r="E495" s="11"/>
      <c r="F495" s="23"/>
      <c r="G495" s="24"/>
      <c r="H495" s="24"/>
      <c r="I495" s="23"/>
      <c r="J495" s="27" t="str">
        <f aca="false">IF(A495="","",COUNTIF('Linha do tempo'!$G:$G,A495))</f>
        <v/>
      </c>
      <c r="K495" s="25" t="str">
        <f aca="false">IF(A495="","",TRIM(IF(COUNTIF($A:$A,A495)&gt;1,"ID repetido. ","")&amp;IF(AND(H495&lt;&gt;"",LEN(TRIM(H495))&lt;&gt;64),"Hash deve ter 64 caracteres.","")))</f>
        <v/>
      </c>
      <c r="L495" s="11"/>
    </row>
    <row r="496" customFormat="false" ht="15" hidden="false" customHeight="false" outlineLevel="0" collapsed="false">
      <c r="A496" s="24"/>
      <c r="B496" s="22"/>
      <c r="C496" s="23"/>
      <c r="D496" s="11"/>
      <c r="E496" s="11"/>
      <c r="F496" s="23"/>
      <c r="G496" s="24"/>
      <c r="H496" s="24"/>
      <c r="I496" s="23"/>
      <c r="J496" s="27" t="str">
        <f aca="false">IF(A496="","",COUNTIF('Linha do tempo'!$G:$G,A496))</f>
        <v/>
      </c>
      <c r="K496" s="25" t="str">
        <f aca="false">IF(A496="","",TRIM(IF(COUNTIF($A:$A,A496)&gt;1,"ID repetido. ","")&amp;IF(AND(H496&lt;&gt;"",LEN(TRIM(H496))&lt;&gt;64),"Hash deve ter 64 caracteres.","")))</f>
        <v/>
      </c>
      <c r="L496" s="11"/>
    </row>
    <row r="497" customFormat="false" ht="15" hidden="false" customHeight="false" outlineLevel="0" collapsed="false">
      <c r="A497" s="24"/>
      <c r="B497" s="22"/>
      <c r="C497" s="23"/>
      <c r="D497" s="11"/>
      <c r="E497" s="11"/>
      <c r="F497" s="23"/>
      <c r="G497" s="24"/>
      <c r="H497" s="24"/>
      <c r="I497" s="23"/>
      <c r="J497" s="27" t="str">
        <f aca="false">IF(A497="","",COUNTIF('Linha do tempo'!$G:$G,A497))</f>
        <v/>
      </c>
      <c r="K497" s="25" t="str">
        <f aca="false">IF(A497="","",TRIM(IF(COUNTIF($A:$A,A497)&gt;1,"ID repetido. ","")&amp;IF(AND(H497&lt;&gt;"",LEN(TRIM(H497))&lt;&gt;64),"Hash deve ter 64 caracteres.","")))</f>
        <v/>
      </c>
      <c r="L497" s="11"/>
    </row>
    <row r="498" customFormat="false" ht="15" hidden="false" customHeight="false" outlineLevel="0" collapsed="false">
      <c r="A498" s="24"/>
      <c r="B498" s="22"/>
      <c r="C498" s="23"/>
      <c r="D498" s="11"/>
      <c r="E498" s="11"/>
      <c r="F498" s="23"/>
      <c r="G498" s="24"/>
      <c r="H498" s="24"/>
      <c r="I498" s="23"/>
      <c r="J498" s="27" t="str">
        <f aca="false">IF(A498="","",COUNTIF('Linha do tempo'!$G:$G,A498))</f>
        <v/>
      </c>
      <c r="K498" s="25" t="str">
        <f aca="false">IF(A498="","",TRIM(IF(COUNTIF($A:$A,A498)&gt;1,"ID repetido. ","")&amp;IF(AND(H498&lt;&gt;"",LEN(TRIM(H498))&lt;&gt;64),"Hash deve ter 64 caracteres.","")))</f>
        <v/>
      </c>
      <c r="L498" s="11"/>
    </row>
    <row r="499" customFormat="false" ht="15" hidden="false" customHeight="false" outlineLevel="0" collapsed="false">
      <c r="A499" s="24"/>
      <c r="B499" s="22"/>
      <c r="C499" s="23"/>
      <c r="D499" s="11"/>
      <c r="E499" s="11"/>
      <c r="F499" s="23"/>
      <c r="G499" s="24"/>
      <c r="H499" s="24"/>
      <c r="I499" s="23"/>
      <c r="J499" s="27" t="str">
        <f aca="false">IF(A499="","",COUNTIF('Linha do tempo'!$G:$G,A499))</f>
        <v/>
      </c>
      <c r="K499" s="25" t="str">
        <f aca="false">IF(A499="","",TRIM(IF(COUNTIF($A:$A,A499)&gt;1,"ID repetido. ","")&amp;IF(AND(H499&lt;&gt;"",LEN(TRIM(H499))&lt;&gt;64),"Hash deve ter 64 caracteres.","")))</f>
        <v/>
      </c>
      <c r="L499" s="11"/>
    </row>
    <row r="500" customFormat="false" ht="15" hidden="false" customHeight="false" outlineLevel="0" collapsed="false">
      <c r="A500" s="24"/>
      <c r="B500" s="22"/>
      <c r="C500" s="23"/>
      <c r="D500" s="11"/>
      <c r="E500" s="11"/>
      <c r="F500" s="23"/>
      <c r="G500" s="24"/>
      <c r="H500" s="24"/>
      <c r="I500" s="23"/>
      <c r="J500" s="27" t="str">
        <f aca="false">IF(A500="","",COUNTIF('Linha do tempo'!$G:$G,A500))</f>
        <v/>
      </c>
      <c r="K500" s="25" t="str">
        <f aca="false">IF(A500="","",TRIM(IF(COUNTIF($A:$A,A500)&gt;1,"ID repetido. ","")&amp;IF(AND(H500&lt;&gt;"",LEN(TRIM(H500))&lt;&gt;64),"Hash deve ter 64 caracteres.","")))</f>
        <v/>
      </c>
      <c r="L500" s="11"/>
    </row>
    <row r="501" customFormat="false" ht="15" hidden="false" customHeight="false" outlineLevel="0" collapsed="false">
      <c r="A501" s="24"/>
      <c r="B501" s="22"/>
      <c r="C501" s="23"/>
      <c r="D501" s="11"/>
      <c r="E501" s="11"/>
      <c r="F501" s="23"/>
      <c r="G501" s="24"/>
      <c r="H501" s="24"/>
      <c r="I501" s="23"/>
      <c r="J501" s="27" t="str">
        <f aca="false">IF(A501="","",COUNTIF('Linha do tempo'!$G:$G,A501))</f>
        <v/>
      </c>
      <c r="K501" s="25" t="str">
        <f aca="false">IF(A501="","",TRIM(IF(COUNTIF($A:$A,A501)&gt;1,"ID repetido. ","")&amp;IF(AND(H501&lt;&gt;"",LEN(TRIM(H501))&lt;&gt;64),"Hash deve ter 64 caracteres.","")))</f>
        <v/>
      </c>
      <c r="L501" s="11"/>
    </row>
    <row r="502" customFormat="false" ht="15" hidden="false" customHeight="false" outlineLevel="0" collapsed="false">
      <c r="A502" s="24"/>
      <c r="B502" s="22"/>
      <c r="C502" s="23"/>
      <c r="D502" s="11"/>
      <c r="E502" s="11"/>
      <c r="F502" s="23"/>
      <c r="G502" s="24"/>
      <c r="H502" s="24"/>
      <c r="I502" s="23"/>
      <c r="J502" s="27" t="str">
        <f aca="false">IF(A502="","",COUNTIF('Linha do tempo'!$G:$G,A502))</f>
        <v/>
      </c>
      <c r="K502" s="25" t="str">
        <f aca="false">IF(A502="","",TRIM(IF(COUNTIF($A:$A,A502)&gt;1,"ID repetido. ","")&amp;IF(AND(H502&lt;&gt;"",LEN(TRIM(H502))&lt;&gt;64),"Hash deve ter 64 caracteres.","")))</f>
        <v/>
      </c>
      <c r="L502" s="11"/>
    </row>
    <row r="503" customFormat="false" ht="15" hidden="false" customHeight="false" outlineLevel="0" collapsed="false">
      <c r="A503" s="24"/>
      <c r="B503" s="22"/>
      <c r="C503" s="23"/>
      <c r="D503" s="11"/>
      <c r="E503" s="11"/>
      <c r="F503" s="23"/>
      <c r="G503" s="24"/>
      <c r="H503" s="24"/>
      <c r="I503" s="23"/>
      <c r="J503" s="27" t="str">
        <f aca="false">IF(A503="","",COUNTIF('Linha do tempo'!$G:$G,A503))</f>
        <v/>
      </c>
      <c r="K503" s="25" t="str">
        <f aca="false">IF(A503="","",TRIM(IF(COUNTIF($A:$A,A503)&gt;1,"ID repetido. ","")&amp;IF(AND(H503&lt;&gt;"",LEN(TRIM(H503))&lt;&gt;64),"Hash deve ter 64 caracteres.","")))</f>
        <v/>
      </c>
      <c r="L503" s="11"/>
    </row>
    <row r="504" customFormat="false" ht="15" hidden="false" customHeight="false" outlineLevel="0" collapsed="false">
      <c r="A504" s="24"/>
      <c r="B504" s="22"/>
      <c r="C504" s="23"/>
      <c r="D504" s="11"/>
      <c r="E504" s="11"/>
      <c r="F504" s="23"/>
      <c r="G504" s="24"/>
      <c r="H504" s="24"/>
      <c r="I504" s="23"/>
      <c r="J504" s="27" t="str">
        <f aca="false">IF(A504="","",COUNTIF('Linha do tempo'!$G:$G,A504))</f>
        <v/>
      </c>
      <c r="K504" s="25" t="str">
        <f aca="false">IF(A504="","",TRIM(IF(COUNTIF($A:$A,A504)&gt;1,"ID repetido. ","")&amp;IF(AND(H504&lt;&gt;"",LEN(TRIM(H504))&lt;&gt;64),"Hash deve ter 64 caracteres.","")))</f>
        <v/>
      </c>
      <c r="L504" s="11"/>
    </row>
  </sheetData>
  <autoFilter ref="A4:L504"/>
  <conditionalFormatting sqref="K5:K504">
    <cfRule type="expression" priority="2" aboveAverage="0" equalAverage="0" bottom="0" percent="0" rank="0" text="" dxfId="6">
      <formula>LEN(K5)&gt;0</formula>
    </cfRule>
  </conditionalFormatting>
  <dataValidations count="1">
    <dataValidation allowBlank="true" error="Escolha uma opção da lista (as opções estão na aba Listas)." errorStyle="stop" errorTitle="Valor fora da lista" operator="between" showDropDown="false" showErrorMessage="false" showInputMessage="false" sqref="C5:C504" type="list">
      <formula1>Listas!$A$4:$A$14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36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9" min="9" style="0" width="16"/>
    <col collapsed="false" customWidth="true" hidden="false" outlineLevel="0" max="11" min="10" style="0" width="13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44"/>
    <col collapsed="false" customWidth="true" hidden="false" outlineLevel="0" max="15" min="15" style="0" width="12"/>
    <col collapsed="false" customWidth="true" hidden="false" outlineLevel="0" max="16" min="16" style="0" width="28"/>
  </cols>
  <sheetData>
    <row r="1" customFormat="false" ht="17.35" hidden="false" customHeight="false" outlineLevel="0" collapsed="false">
      <c r="A1" s="14" t="s">
        <v>174</v>
      </c>
    </row>
    <row r="2" customFormat="false" ht="15" hidden="false" customHeight="false" outlineLevel="0" collapsed="false">
      <c r="A2" s="15" t="s">
        <v>175</v>
      </c>
    </row>
    <row r="3" customFormat="false" ht="15" hidden="false" customHeight="false" outlineLevel="0" collapsed="false">
      <c r="A3" s="15" t="s">
        <v>176</v>
      </c>
    </row>
    <row r="4" customFormat="false" ht="48" hidden="false" customHeight="true" outlineLevel="0" collapsed="false">
      <c r="A4" s="9" t="s">
        <v>121</v>
      </c>
      <c r="B4" s="9" t="s">
        <v>177</v>
      </c>
      <c r="C4" s="9" t="s">
        <v>178</v>
      </c>
      <c r="D4" s="9" t="s">
        <v>179</v>
      </c>
      <c r="E4" s="9" t="s">
        <v>180</v>
      </c>
      <c r="F4" s="9" t="s">
        <v>181</v>
      </c>
      <c r="G4" s="16" t="s">
        <v>182</v>
      </c>
      <c r="H4" s="9" t="s">
        <v>183</v>
      </c>
      <c r="I4" s="9" t="s">
        <v>184</v>
      </c>
      <c r="J4" s="9" t="s">
        <v>185</v>
      </c>
      <c r="K4" s="9" t="s">
        <v>186</v>
      </c>
      <c r="L4" s="16" t="s">
        <v>187</v>
      </c>
      <c r="M4" s="16" t="s">
        <v>188</v>
      </c>
      <c r="N4" s="16" t="s">
        <v>189</v>
      </c>
      <c r="O4" s="9" t="s">
        <v>71</v>
      </c>
      <c r="P4" s="9" t="s">
        <v>74</v>
      </c>
    </row>
    <row r="5" customFormat="false" ht="23.85" hidden="false" customHeight="false" outlineLevel="0" collapsed="false">
      <c r="A5" s="20" t="s">
        <v>154</v>
      </c>
      <c r="B5" s="18" t="s">
        <v>190</v>
      </c>
      <c r="C5" s="19" t="s">
        <v>191</v>
      </c>
      <c r="D5" s="18" t="s">
        <v>152</v>
      </c>
      <c r="E5" s="17" t="n">
        <v>46267</v>
      </c>
      <c r="F5" s="19" t="s">
        <v>192</v>
      </c>
      <c r="G5" s="28" t="n">
        <f aca="false">IF(E5="","",E5+IF(F5="Sim",30,20))</f>
        <v>46287</v>
      </c>
      <c r="H5" s="17"/>
      <c r="I5" s="19"/>
      <c r="J5" s="19"/>
      <c r="K5" s="17"/>
      <c r="L5" s="28" t="n">
        <f aca="true">IF(E5="","",IF(AND(K5&lt;&gt;"",OR(H5="",K5&gt;=H5)),IF(J5="CMRI","",K5+5),IF(H5="",IF(TODAY()&lt;=G5,G5,IF(TODAY()&lt;E5+30,E5+30,E5+40)),IF(OR(I5="Negado",I5="Atendido em parte"),H5+10,""))))</f>
        <v>46297</v>
      </c>
      <c r="M5" s="26" t="n">
        <f aca="true">IF(L5="","",L5-TODAY())</f>
        <v>6</v>
      </c>
      <c r="N5" s="21" t="str">
        <f aca="true">IF(E5="","",IF(AND(K5&lt;&gt;"",OR(H5="",K5&gt;=H5)),IF(J5="CMRI","Aguardar a CMRI (até a 3ª reunião mensal depois da autuação)","Aguardar decisão do recurso ou da reclamação"),IF(H5="",IF(TODAY()&lt;=G5,"Aguardar resposta do órgão",IF(TODAY()&lt;E5+30,"Prazo vencido: reclamação (modelo E) a partir da próxima data",IF(TODAY()&lt;=E5+40,"Fazer reclamação (modelo E) até a próxima data","Janela de reclamação encerrada: novo pedido ou modelo G"))),IF(I5="Atendido","Concluído: registre a resposta no Log",IF(OR(I5="Negado",I5="Atendido em parte"),"Recorrer (modelo B ou D) até a próxima data","Preencha o resultado da resposta")))))</f>
        <v>Prazo vencido: reclamação (modelo E) a partir da próxima data</v>
      </c>
      <c r="O5" s="20" t="s">
        <v>150</v>
      </c>
      <c r="P5" s="18" t="s">
        <v>81</v>
      </c>
    </row>
    <row r="6" customFormat="false" ht="23.85" hidden="false" customHeight="false" outlineLevel="0" collapsed="false">
      <c r="A6" s="20" t="s">
        <v>158</v>
      </c>
      <c r="B6" s="18" t="s">
        <v>193</v>
      </c>
      <c r="C6" s="19" t="s">
        <v>194</v>
      </c>
      <c r="D6" s="18" t="s">
        <v>156</v>
      </c>
      <c r="E6" s="17" t="n">
        <v>46254</v>
      </c>
      <c r="F6" s="19" t="s">
        <v>195</v>
      </c>
      <c r="G6" s="28" t="n">
        <f aca="false">IF(E6="","",E6+IF(F6="Sim",30,20))</f>
        <v>46284</v>
      </c>
      <c r="H6" s="17" t="n">
        <v>46283</v>
      </c>
      <c r="I6" s="19" t="s">
        <v>196</v>
      </c>
      <c r="J6" s="19" t="s">
        <v>197</v>
      </c>
      <c r="K6" s="17"/>
      <c r="L6" s="28" t="n">
        <f aca="true">IF(E6="","",IF(AND(K6&lt;&gt;"",OR(H6="",K6&gt;=H6)),IF(J6="CMRI","",K6+5),IF(H6="",IF(TODAY()&lt;=G6,G6,IF(TODAY()&lt;E6+30,E6+30,E6+40)),IF(OR(I6="Negado",I6="Atendido em parte"),H6+10,""))))</f>
        <v>46293</v>
      </c>
      <c r="M6" s="26" t="n">
        <f aca="true">IF(L6="","",L6-TODAY())</f>
        <v>2</v>
      </c>
      <c r="N6" s="21" t="str">
        <f aca="true">IF(E6="","",IF(AND(K6&lt;&gt;"",OR(H6="",K6&gt;=H6)),IF(J6="CMRI","Aguardar a CMRI (até a 3ª reunião mensal depois da autuação)","Aguardar decisão do recurso ou da reclamação"),IF(H6="",IF(TODAY()&lt;=G6,"Aguardar resposta do órgão",IF(TODAY()&lt;E6+30,"Prazo vencido: reclamação (modelo E) a partir da próxima data",IF(TODAY()&lt;=E6+40,"Fazer reclamação (modelo E) até a próxima data","Janela de reclamação encerrada: novo pedido ou modelo G"))),IF(I6="Atendido","Concluído: registre a resposta no Log",IF(OR(I6="Negado",I6="Atendido em parte"),"Recorrer (modelo B ou D) até a próxima data","Preencha o resultado da resposta")))))</f>
        <v>Recorrer (modelo B ou D) até a próxima data</v>
      </c>
      <c r="O6" s="20" t="s">
        <v>155</v>
      </c>
      <c r="P6" s="18" t="s">
        <v>198</v>
      </c>
    </row>
    <row r="7" customFormat="false" ht="15" hidden="false" customHeight="false" outlineLevel="0" collapsed="false">
      <c r="A7" s="24"/>
      <c r="B7" s="11"/>
      <c r="C7" s="23"/>
      <c r="D7" s="11"/>
      <c r="E7" s="22"/>
      <c r="F7" s="23"/>
      <c r="G7" s="29" t="str">
        <f aca="false">IF(E7="","",E7+IF(F7="Sim",30,20))</f>
        <v/>
      </c>
      <c r="H7" s="22"/>
      <c r="I7" s="23"/>
      <c r="J7" s="23"/>
      <c r="K7" s="22"/>
      <c r="L7" s="29" t="str">
        <f aca="true">IF(E7="","",IF(AND(K7&lt;&gt;"",OR(H7="",K7&gt;=H7)),IF(J7="CMRI","",K7+5),IF(H7="",IF(TODAY()&lt;=G7,G7,IF(TODAY()&lt;E7+30,E7+30,E7+40)),IF(OR(I7="Negado",I7="Atendido em parte"),H7+10,""))))</f>
        <v/>
      </c>
      <c r="M7" s="27" t="str">
        <f aca="true">IF(L7="","",L7-TODAY())</f>
        <v/>
      </c>
      <c r="N7" s="25" t="str">
        <f aca="true">IF(E7="","",IF(AND(K7&lt;&gt;"",OR(H7="",K7&gt;=H7)),IF(J7="CMRI","Aguardar a CMRI (até a 3ª reunião mensal depois da autuação)","Aguardar decisão do recurso ou da reclamação"),IF(H7="",IF(TODAY()&lt;=G7,"Aguardar resposta do órgão",IF(TODAY()&lt;E7+30,"Prazo vencido: reclamação (modelo E) a partir da próxima data",IF(TODAY()&lt;=E7+40,"Fazer reclamação (modelo E) até a próxima data","Janela de reclamação encerrada: novo pedido ou modelo G"))),IF(I7="Atendido","Concluído: registre a resposta no Log",IF(OR(I7="Negado",I7="Atendido em parte"),"Recorrer (modelo B ou D) até a próxima data","Preencha o resultado da resposta")))))</f>
        <v/>
      </c>
      <c r="O7" s="24"/>
      <c r="P7" s="11"/>
    </row>
    <row r="8" customFormat="false" ht="15" hidden="false" customHeight="false" outlineLevel="0" collapsed="false">
      <c r="A8" s="24"/>
      <c r="B8" s="11"/>
      <c r="C8" s="23"/>
      <c r="D8" s="11"/>
      <c r="E8" s="22"/>
      <c r="F8" s="23"/>
      <c r="G8" s="29" t="str">
        <f aca="false">IF(E8="","",E8+IF(F8="Sim",30,20))</f>
        <v/>
      </c>
      <c r="H8" s="22"/>
      <c r="I8" s="23"/>
      <c r="J8" s="23"/>
      <c r="K8" s="22"/>
      <c r="L8" s="29" t="str">
        <f aca="true">IF(E8="","",IF(AND(K8&lt;&gt;"",OR(H8="",K8&gt;=H8)),IF(J8="CMRI","",K8+5),IF(H8="",IF(TODAY()&lt;=G8,G8,IF(TODAY()&lt;E8+30,E8+30,E8+40)),IF(OR(I8="Negado",I8="Atendido em parte"),H8+10,""))))</f>
        <v/>
      </c>
      <c r="M8" s="27" t="str">
        <f aca="true">IF(L8="","",L8-TODAY())</f>
        <v/>
      </c>
      <c r="N8" s="25" t="str">
        <f aca="true">IF(E8="","",IF(AND(K8&lt;&gt;"",OR(H8="",K8&gt;=H8)),IF(J8="CMRI","Aguardar a CMRI (até a 3ª reunião mensal depois da autuação)","Aguardar decisão do recurso ou da reclamação"),IF(H8="",IF(TODAY()&lt;=G8,"Aguardar resposta do órgão",IF(TODAY()&lt;E8+30,"Prazo vencido: reclamação (modelo E) a partir da próxima data",IF(TODAY()&lt;=E8+40,"Fazer reclamação (modelo E) até a próxima data","Janela de reclamação encerrada: novo pedido ou modelo G"))),IF(I8="Atendido","Concluído: registre a resposta no Log",IF(OR(I8="Negado",I8="Atendido em parte"),"Recorrer (modelo B ou D) até a próxima data","Preencha o resultado da resposta")))))</f>
        <v/>
      </c>
      <c r="O8" s="24"/>
      <c r="P8" s="11"/>
    </row>
    <row r="9" customFormat="false" ht="15" hidden="false" customHeight="false" outlineLevel="0" collapsed="false">
      <c r="A9" s="24"/>
      <c r="B9" s="11"/>
      <c r="C9" s="23"/>
      <c r="D9" s="11"/>
      <c r="E9" s="22"/>
      <c r="F9" s="23"/>
      <c r="G9" s="29" t="str">
        <f aca="false">IF(E9="","",E9+IF(F9="Sim",30,20))</f>
        <v/>
      </c>
      <c r="H9" s="22"/>
      <c r="I9" s="23"/>
      <c r="J9" s="23"/>
      <c r="K9" s="22"/>
      <c r="L9" s="29" t="str">
        <f aca="true">IF(E9="","",IF(AND(K9&lt;&gt;"",OR(H9="",K9&gt;=H9)),IF(J9="CMRI","",K9+5),IF(H9="",IF(TODAY()&lt;=G9,G9,IF(TODAY()&lt;E9+30,E9+30,E9+40)),IF(OR(I9="Negado",I9="Atendido em parte"),H9+10,""))))</f>
        <v/>
      </c>
      <c r="M9" s="27" t="str">
        <f aca="true">IF(L9="","",L9-TODAY())</f>
        <v/>
      </c>
      <c r="N9" s="25" t="str">
        <f aca="true">IF(E9="","",IF(AND(K9&lt;&gt;"",OR(H9="",K9&gt;=H9)),IF(J9="CMRI","Aguardar a CMRI (até a 3ª reunião mensal depois da autuação)","Aguardar decisão do recurso ou da reclamação"),IF(H9="",IF(TODAY()&lt;=G9,"Aguardar resposta do órgão",IF(TODAY()&lt;E9+30,"Prazo vencido: reclamação (modelo E) a partir da próxima data",IF(TODAY()&lt;=E9+40,"Fazer reclamação (modelo E) até a próxima data","Janela de reclamação encerrada: novo pedido ou modelo G"))),IF(I9="Atendido","Concluído: registre a resposta no Log",IF(OR(I9="Negado",I9="Atendido em parte"),"Recorrer (modelo B ou D) até a próxima data","Preencha o resultado da resposta")))))</f>
        <v/>
      </c>
      <c r="O9" s="24"/>
      <c r="P9" s="11"/>
    </row>
    <row r="10" customFormat="false" ht="15" hidden="false" customHeight="false" outlineLevel="0" collapsed="false">
      <c r="A10" s="24"/>
      <c r="B10" s="11"/>
      <c r="C10" s="23"/>
      <c r="D10" s="11"/>
      <c r="E10" s="22"/>
      <c r="F10" s="23"/>
      <c r="G10" s="29" t="str">
        <f aca="false">IF(E10="","",E10+IF(F10="Sim",30,20))</f>
        <v/>
      </c>
      <c r="H10" s="22"/>
      <c r="I10" s="23"/>
      <c r="J10" s="23"/>
      <c r="K10" s="22"/>
      <c r="L10" s="29" t="str">
        <f aca="true">IF(E10="","",IF(AND(K10&lt;&gt;"",OR(H10="",K10&gt;=H10)),IF(J10="CMRI","",K10+5),IF(H10="",IF(TODAY()&lt;=G10,G10,IF(TODAY()&lt;E10+30,E10+30,E10+40)),IF(OR(I10="Negado",I10="Atendido em parte"),H10+10,""))))</f>
        <v/>
      </c>
      <c r="M10" s="27" t="str">
        <f aca="true">IF(L10="","",L10-TODAY())</f>
        <v/>
      </c>
      <c r="N10" s="25" t="str">
        <f aca="true">IF(E10="","",IF(AND(K10&lt;&gt;"",OR(H10="",K10&gt;=H10)),IF(J10="CMRI","Aguardar a CMRI (até a 3ª reunião mensal depois da autuação)","Aguardar decisão do recurso ou da reclamação"),IF(H10="",IF(TODAY()&lt;=G10,"Aguardar resposta do órgão",IF(TODAY()&lt;E10+30,"Prazo vencido: reclamação (modelo E) a partir da próxima data",IF(TODAY()&lt;=E10+40,"Fazer reclamação (modelo E) até a próxima data","Janela de reclamação encerrada: novo pedido ou modelo G"))),IF(I10="Atendido","Concluído: registre a resposta no Log",IF(OR(I10="Negado",I10="Atendido em parte"),"Recorrer (modelo B ou D) até a próxima data","Preencha o resultado da resposta")))))</f>
        <v/>
      </c>
      <c r="O10" s="24"/>
      <c r="P10" s="11"/>
    </row>
    <row r="11" customFormat="false" ht="15" hidden="false" customHeight="false" outlineLevel="0" collapsed="false">
      <c r="A11" s="24"/>
      <c r="B11" s="11"/>
      <c r="C11" s="23"/>
      <c r="D11" s="11"/>
      <c r="E11" s="22"/>
      <c r="F11" s="23"/>
      <c r="G11" s="29" t="str">
        <f aca="false">IF(E11="","",E11+IF(F11="Sim",30,20))</f>
        <v/>
      </c>
      <c r="H11" s="22"/>
      <c r="I11" s="23"/>
      <c r="J11" s="23"/>
      <c r="K11" s="22"/>
      <c r="L11" s="29" t="str">
        <f aca="true">IF(E11="","",IF(AND(K11&lt;&gt;"",OR(H11="",K11&gt;=H11)),IF(J11="CMRI","",K11+5),IF(H11="",IF(TODAY()&lt;=G11,G11,IF(TODAY()&lt;E11+30,E11+30,E11+40)),IF(OR(I11="Negado",I11="Atendido em parte"),H11+10,""))))</f>
        <v/>
      </c>
      <c r="M11" s="27" t="str">
        <f aca="true">IF(L11="","",L11-TODAY())</f>
        <v/>
      </c>
      <c r="N11" s="25" t="str">
        <f aca="true">IF(E11="","",IF(AND(K11&lt;&gt;"",OR(H11="",K11&gt;=H11)),IF(J11="CMRI","Aguardar a CMRI (até a 3ª reunião mensal depois da autuação)","Aguardar decisão do recurso ou da reclamação"),IF(H11="",IF(TODAY()&lt;=G11,"Aguardar resposta do órgão",IF(TODAY()&lt;E11+30,"Prazo vencido: reclamação (modelo E) a partir da próxima data",IF(TODAY()&lt;=E11+40,"Fazer reclamação (modelo E) até a próxima data","Janela de reclamação encerrada: novo pedido ou modelo G"))),IF(I11="Atendido","Concluído: registre a resposta no Log",IF(OR(I11="Negado",I11="Atendido em parte"),"Recorrer (modelo B ou D) até a próxima data","Preencha o resultado da resposta")))))</f>
        <v/>
      </c>
      <c r="O11" s="24"/>
      <c r="P11" s="11"/>
    </row>
    <row r="12" customFormat="false" ht="15" hidden="false" customHeight="false" outlineLevel="0" collapsed="false">
      <c r="A12" s="24"/>
      <c r="B12" s="11"/>
      <c r="C12" s="23"/>
      <c r="D12" s="11"/>
      <c r="E12" s="22"/>
      <c r="F12" s="23"/>
      <c r="G12" s="29" t="str">
        <f aca="false">IF(E12="","",E12+IF(F12="Sim",30,20))</f>
        <v/>
      </c>
      <c r="H12" s="22"/>
      <c r="I12" s="23"/>
      <c r="J12" s="23"/>
      <c r="K12" s="22"/>
      <c r="L12" s="29" t="str">
        <f aca="true">IF(E12="","",IF(AND(K12&lt;&gt;"",OR(H12="",K12&gt;=H12)),IF(J12="CMRI","",K12+5),IF(H12="",IF(TODAY()&lt;=G12,G12,IF(TODAY()&lt;E12+30,E12+30,E12+40)),IF(OR(I12="Negado",I12="Atendido em parte"),H12+10,""))))</f>
        <v/>
      </c>
      <c r="M12" s="27" t="str">
        <f aca="true">IF(L12="","",L12-TODAY())</f>
        <v/>
      </c>
      <c r="N12" s="25" t="str">
        <f aca="true">IF(E12="","",IF(AND(K12&lt;&gt;"",OR(H12="",K12&gt;=H12)),IF(J12="CMRI","Aguardar a CMRI (até a 3ª reunião mensal depois da autuação)","Aguardar decisão do recurso ou da reclamação"),IF(H12="",IF(TODAY()&lt;=G12,"Aguardar resposta do órgão",IF(TODAY()&lt;E12+30,"Prazo vencido: reclamação (modelo E) a partir da próxima data",IF(TODAY()&lt;=E12+40,"Fazer reclamação (modelo E) até a próxima data","Janela de reclamação encerrada: novo pedido ou modelo G"))),IF(I12="Atendido","Concluído: registre a resposta no Log",IF(OR(I12="Negado",I12="Atendido em parte"),"Recorrer (modelo B ou D) até a próxima data","Preencha o resultado da resposta")))))</f>
        <v/>
      </c>
      <c r="O12" s="24"/>
      <c r="P12" s="11"/>
    </row>
    <row r="13" customFormat="false" ht="15" hidden="false" customHeight="false" outlineLevel="0" collapsed="false">
      <c r="A13" s="24"/>
      <c r="B13" s="11"/>
      <c r="C13" s="23"/>
      <c r="D13" s="11"/>
      <c r="E13" s="22"/>
      <c r="F13" s="23"/>
      <c r="G13" s="29" t="str">
        <f aca="false">IF(E13="","",E13+IF(F13="Sim",30,20))</f>
        <v/>
      </c>
      <c r="H13" s="22"/>
      <c r="I13" s="23"/>
      <c r="J13" s="23"/>
      <c r="K13" s="22"/>
      <c r="L13" s="29" t="str">
        <f aca="true">IF(E13="","",IF(AND(K13&lt;&gt;"",OR(H13="",K13&gt;=H13)),IF(J13="CMRI","",K13+5),IF(H13="",IF(TODAY()&lt;=G13,G13,IF(TODAY()&lt;E13+30,E13+30,E13+40)),IF(OR(I13="Negado",I13="Atendido em parte"),H13+10,""))))</f>
        <v/>
      </c>
      <c r="M13" s="27" t="str">
        <f aca="true">IF(L13="","",L13-TODAY())</f>
        <v/>
      </c>
      <c r="N13" s="25" t="str">
        <f aca="true">IF(E13="","",IF(AND(K13&lt;&gt;"",OR(H13="",K13&gt;=H13)),IF(J13="CMRI","Aguardar a CMRI (até a 3ª reunião mensal depois da autuação)","Aguardar decisão do recurso ou da reclamação"),IF(H13="",IF(TODAY()&lt;=G13,"Aguardar resposta do órgão",IF(TODAY()&lt;E13+30,"Prazo vencido: reclamação (modelo E) a partir da próxima data",IF(TODAY()&lt;=E13+40,"Fazer reclamação (modelo E) até a próxima data","Janela de reclamação encerrada: novo pedido ou modelo G"))),IF(I13="Atendido","Concluído: registre a resposta no Log",IF(OR(I13="Negado",I13="Atendido em parte"),"Recorrer (modelo B ou D) até a próxima data","Preencha o resultado da resposta")))))</f>
        <v/>
      </c>
      <c r="O13" s="24"/>
      <c r="P13" s="11"/>
    </row>
    <row r="14" customFormat="false" ht="15" hidden="false" customHeight="false" outlineLevel="0" collapsed="false">
      <c r="A14" s="24"/>
      <c r="B14" s="11"/>
      <c r="C14" s="23"/>
      <c r="D14" s="11"/>
      <c r="E14" s="22"/>
      <c r="F14" s="23"/>
      <c r="G14" s="29" t="str">
        <f aca="false">IF(E14="","",E14+IF(F14="Sim",30,20))</f>
        <v/>
      </c>
      <c r="H14" s="22"/>
      <c r="I14" s="23"/>
      <c r="J14" s="23"/>
      <c r="K14" s="22"/>
      <c r="L14" s="29" t="str">
        <f aca="true">IF(E14="","",IF(AND(K14&lt;&gt;"",OR(H14="",K14&gt;=H14)),IF(J14="CMRI","",K14+5),IF(H14="",IF(TODAY()&lt;=G14,G14,IF(TODAY()&lt;E14+30,E14+30,E14+40)),IF(OR(I14="Negado",I14="Atendido em parte"),H14+10,""))))</f>
        <v/>
      </c>
      <c r="M14" s="27" t="str">
        <f aca="true">IF(L14="","",L14-TODAY())</f>
        <v/>
      </c>
      <c r="N14" s="25" t="str">
        <f aca="true">IF(E14="","",IF(AND(K14&lt;&gt;"",OR(H14="",K14&gt;=H14)),IF(J14="CMRI","Aguardar a CMRI (até a 3ª reunião mensal depois da autuação)","Aguardar decisão do recurso ou da reclamação"),IF(H14="",IF(TODAY()&lt;=G14,"Aguardar resposta do órgão",IF(TODAY()&lt;E14+30,"Prazo vencido: reclamação (modelo E) a partir da próxima data",IF(TODAY()&lt;=E14+40,"Fazer reclamação (modelo E) até a próxima data","Janela de reclamação encerrada: novo pedido ou modelo G"))),IF(I14="Atendido","Concluído: registre a resposta no Log",IF(OR(I14="Negado",I14="Atendido em parte"),"Recorrer (modelo B ou D) até a próxima data","Preencha o resultado da resposta")))))</f>
        <v/>
      </c>
      <c r="O14" s="24"/>
      <c r="P14" s="11"/>
    </row>
    <row r="15" customFormat="false" ht="15" hidden="false" customHeight="false" outlineLevel="0" collapsed="false">
      <c r="A15" s="24"/>
      <c r="B15" s="11"/>
      <c r="C15" s="23"/>
      <c r="D15" s="11"/>
      <c r="E15" s="22"/>
      <c r="F15" s="23"/>
      <c r="G15" s="29" t="str">
        <f aca="false">IF(E15="","",E15+IF(F15="Sim",30,20))</f>
        <v/>
      </c>
      <c r="H15" s="22"/>
      <c r="I15" s="23"/>
      <c r="J15" s="23"/>
      <c r="K15" s="22"/>
      <c r="L15" s="29" t="str">
        <f aca="true">IF(E15="","",IF(AND(K15&lt;&gt;"",OR(H15="",K15&gt;=H15)),IF(J15="CMRI","",K15+5),IF(H15="",IF(TODAY()&lt;=G15,G15,IF(TODAY()&lt;E15+30,E15+30,E15+40)),IF(OR(I15="Negado",I15="Atendido em parte"),H15+10,""))))</f>
        <v/>
      </c>
      <c r="M15" s="27" t="str">
        <f aca="true">IF(L15="","",L15-TODAY())</f>
        <v/>
      </c>
      <c r="N15" s="25" t="str">
        <f aca="true">IF(E15="","",IF(AND(K15&lt;&gt;"",OR(H15="",K15&gt;=H15)),IF(J15="CMRI","Aguardar a CMRI (até a 3ª reunião mensal depois da autuação)","Aguardar decisão do recurso ou da reclamação"),IF(H15="",IF(TODAY()&lt;=G15,"Aguardar resposta do órgão",IF(TODAY()&lt;E15+30,"Prazo vencido: reclamação (modelo E) a partir da próxima data",IF(TODAY()&lt;=E15+40,"Fazer reclamação (modelo E) até a próxima data","Janela de reclamação encerrada: novo pedido ou modelo G"))),IF(I15="Atendido","Concluído: registre a resposta no Log",IF(OR(I15="Negado",I15="Atendido em parte"),"Recorrer (modelo B ou D) até a próxima data","Preencha o resultado da resposta")))))</f>
        <v/>
      </c>
      <c r="O15" s="24"/>
      <c r="P15" s="11"/>
    </row>
    <row r="16" customFormat="false" ht="15" hidden="false" customHeight="false" outlineLevel="0" collapsed="false">
      <c r="A16" s="24"/>
      <c r="B16" s="11"/>
      <c r="C16" s="23"/>
      <c r="D16" s="11"/>
      <c r="E16" s="22"/>
      <c r="F16" s="23"/>
      <c r="G16" s="29" t="str">
        <f aca="false">IF(E16="","",E16+IF(F16="Sim",30,20))</f>
        <v/>
      </c>
      <c r="H16" s="22"/>
      <c r="I16" s="23"/>
      <c r="J16" s="23"/>
      <c r="K16" s="22"/>
      <c r="L16" s="29" t="str">
        <f aca="true">IF(E16="","",IF(AND(K16&lt;&gt;"",OR(H16="",K16&gt;=H16)),IF(J16="CMRI","",K16+5),IF(H16="",IF(TODAY()&lt;=G16,G16,IF(TODAY()&lt;E16+30,E16+30,E16+40)),IF(OR(I16="Negado",I16="Atendido em parte"),H16+10,""))))</f>
        <v/>
      </c>
      <c r="M16" s="27" t="str">
        <f aca="true">IF(L16="","",L16-TODAY())</f>
        <v/>
      </c>
      <c r="N16" s="25" t="str">
        <f aca="true">IF(E16="","",IF(AND(K16&lt;&gt;"",OR(H16="",K16&gt;=H16)),IF(J16="CMRI","Aguardar a CMRI (até a 3ª reunião mensal depois da autuação)","Aguardar decisão do recurso ou da reclamação"),IF(H16="",IF(TODAY()&lt;=G16,"Aguardar resposta do órgão",IF(TODAY()&lt;E16+30,"Prazo vencido: reclamação (modelo E) a partir da próxima data",IF(TODAY()&lt;=E16+40,"Fazer reclamação (modelo E) até a próxima data","Janela de reclamação encerrada: novo pedido ou modelo G"))),IF(I16="Atendido","Concluído: registre a resposta no Log",IF(OR(I16="Negado",I16="Atendido em parte"),"Recorrer (modelo B ou D) até a próxima data","Preencha o resultado da resposta")))))</f>
        <v/>
      </c>
      <c r="O16" s="24"/>
      <c r="P16" s="11"/>
    </row>
    <row r="17" customFormat="false" ht="15" hidden="false" customHeight="false" outlineLevel="0" collapsed="false">
      <c r="A17" s="24"/>
      <c r="B17" s="11"/>
      <c r="C17" s="23"/>
      <c r="D17" s="11"/>
      <c r="E17" s="22"/>
      <c r="F17" s="23"/>
      <c r="G17" s="29" t="str">
        <f aca="false">IF(E17="","",E17+IF(F17="Sim",30,20))</f>
        <v/>
      </c>
      <c r="H17" s="22"/>
      <c r="I17" s="23"/>
      <c r="J17" s="23"/>
      <c r="K17" s="22"/>
      <c r="L17" s="29" t="str">
        <f aca="true">IF(E17="","",IF(AND(K17&lt;&gt;"",OR(H17="",K17&gt;=H17)),IF(J17="CMRI","",K17+5),IF(H17="",IF(TODAY()&lt;=G17,G17,IF(TODAY()&lt;E17+30,E17+30,E17+40)),IF(OR(I17="Negado",I17="Atendido em parte"),H17+10,""))))</f>
        <v/>
      </c>
      <c r="M17" s="27" t="str">
        <f aca="true">IF(L17="","",L17-TODAY())</f>
        <v/>
      </c>
      <c r="N17" s="25" t="str">
        <f aca="true">IF(E17="","",IF(AND(K17&lt;&gt;"",OR(H17="",K17&gt;=H17)),IF(J17="CMRI","Aguardar a CMRI (até a 3ª reunião mensal depois da autuação)","Aguardar decisão do recurso ou da reclamação"),IF(H17="",IF(TODAY()&lt;=G17,"Aguardar resposta do órgão",IF(TODAY()&lt;E17+30,"Prazo vencido: reclamação (modelo E) a partir da próxima data",IF(TODAY()&lt;=E17+40,"Fazer reclamação (modelo E) até a próxima data","Janela de reclamação encerrada: novo pedido ou modelo G"))),IF(I17="Atendido","Concluído: registre a resposta no Log",IF(OR(I17="Negado",I17="Atendido em parte"),"Recorrer (modelo B ou D) até a próxima data","Preencha o resultado da resposta")))))</f>
        <v/>
      </c>
      <c r="O17" s="24"/>
      <c r="P17" s="11"/>
    </row>
    <row r="18" customFormat="false" ht="15" hidden="false" customHeight="false" outlineLevel="0" collapsed="false">
      <c r="A18" s="24"/>
      <c r="B18" s="11"/>
      <c r="C18" s="23"/>
      <c r="D18" s="11"/>
      <c r="E18" s="22"/>
      <c r="F18" s="23"/>
      <c r="G18" s="29" t="str">
        <f aca="false">IF(E18="","",E18+IF(F18="Sim",30,20))</f>
        <v/>
      </c>
      <c r="H18" s="22"/>
      <c r="I18" s="23"/>
      <c r="J18" s="23"/>
      <c r="K18" s="22"/>
      <c r="L18" s="29" t="str">
        <f aca="true">IF(E18="","",IF(AND(K18&lt;&gt;"",OR(H18="",K18&gt;=H18)),IF(J18="CMRI","",K18+5),IF(H18="",IF(TODAY()&lt;=G18,G18,IF(TODAY()&lt;E18+30,E18+30,E18+40)),IF(OR(I18="Negado",I18="Atendido em parte"),H18+10,""))))</f>
        <v/>
      </c>
      <c r="M18" s="27" t="str">
        <f aca="true">IF(L18="","",L18-TODAY())</f>
        <v/>
      </c>
      <c r="N18" s="25" t="str">
        <f aca="true">IF(E18="","",IF(AND(K18&lt;&gt;"",OR(H18="",K18&gt;=H18)),IF(J18="CMRI","Aguardar a CMRI (até a 3ª reunião mensal depois da autuação)","Aguardar decisão do recurso ou da reclamação"),IF(H18="",IF(TODAY()&lt;=G18,"Aguardar resposta do órgão",IF(TODAY()&lt;E18+30,"Prazo vencido: reclamação (modelo E) a partir da próxima data",IF(TODAY()&lt;=E18+40,"Fazer reclamação (modelo E) até a próxima data","Janela de reclamação encerrada: novo pedido ou modelo G"))),IF(I18="Atendido","Concluído: registre a resposta no Log",IF(OR(I18="Negado",I18="Atendido em parte"),"Recorrer (modelo B ou D) até a próxima data","Preencha o resultado da resposta")))))</f>
        <v/>
      </c>
      <c r="O18" s="24"/>
      <c r="P18" s="11"/>
    </row>
    <row r="19" customFormat="false" ht="15" hidden="false" customHeight="false" outlineLevel="0" collapsed="false">
      <c r="A19" s="24"/>
      <c r="B19" s="11"/>
      <c r="C19" s="23"/>
      <c r="D19" s="11"/>
      <c r="E19" s="22"/>
      <c r="F19" s="23"/>
      <c r="G19" s="29" t="str">
        <f aca="false">IF(E19="","",E19+IF(F19="Sim",30,20))</f>
        <v/>
      </c>
      <c r="H19" s="22"/>
      <c r="I19" s="23"/>
      <c r="J19" s="23"/>
      <c r="K19" s="22"/>
      <c r="L19" s="29" t="str">
        <f aca="true">IF(E19="","",IF(AND(K19&lt;&gt;"",OR(H19="",K19&gt;=H19)),IF(J19="CMRI","",K19+5),IF(H19="",IF(TODAY()&lt;=G19,G19,IF(TODAY()&lt;E19+30,E19+30,E19+40)),IF(OR(I19="Negado",I19="Atendido em parte"),H19+10,""))))</f>
        <v/>
      </c>
      <c r="M19" s="27" t="str">
        <f aca="true">IF(L19="","",L19-TODAY())</f>
        <v/>
      </c>
      <c r="N19" s="25" t="str">
        <f aca="true">IF(E19="","",IF(AND(K19&lt;&gt;"",OR(H19="",K19&gt;=H19)),IF(J19="CMRI","Aguardar a CMRI (até a 3ª reunião mensal depois da autuação)","Aguardar decisão do recurso ou da reclamação"),IF(H19="",IF(TODAY()&lt;=G19,"Aguardar resposta do órgão",IF(TODAY()&lt;E19+30,"Prazo vencido: reclamação (modelo E) a partir da próxima data",IF(TODAY()&lt;=E19+40,"Fazer reclamação (modelo E) até a próxima data","Janela de reclamação encerrada: novo pedido ou modelo G"))),IF(I19="Atendido","Concluído: registre a resposta no Log",IF(OR(I19="Negado",I19="Atendido em parte"),"Recorrer (modelo B ou D) até a próxima data","Preencha o resultado da resposta")))))</f>
        <v/>
      </c>
      <c r="O19" s="24"/>
      <c r="P19" s="11"/>
    </row>
    <row r="20" customFormat="false" ht="15" hidden="false" customHeight="false" outlineLevel="0" collapsed="false">
      <c r="A20" s="24"/>
      <c r="B20" s="11"/>
      <c r="C20" s="23"/>
      <c r="D20" s="11"/>
      <c r="E20" s="22"/>
      <c r="F20" s="23"/>
      <c r="G20" s="29" t="str">
        <f aca="false">IF(E20="","",E20+IF(F20="Sim",30,20))</f>
        <v/>
      </c>
      <c r="H20" s="22"/>
      <c r="I20" s="23"/>
      <c r="J20" s="23"/>
      <c r="K20" s="22"/>
      <c r="L20" s="29" t="str">
        <f aca="true">IF(E20="","",IF(AND(K20&lt;&gt;"",OR(H20="",K20&gt;=H20)),IF(J20="CMRI","",K20+5),IF(H20="",IF(TODAY()&lt;=G20,G20,IF(TODAY()&lt;E20+30,E20+30,E20+40)),IF(OR(I20="Negado",I20="Atendido em parte"),H20+10,""))))</f>
        <v/>
      </c>
      <c r="M20" s="27" t="str">
        <f aca="true">IF(L20="","",L20-TODAY())</f>
        <v/>
      </c>
      <c r="N20" s="25" t="str">
        <f aca="true">IF(E20="","",IF(AND(K20&lt;&gt;"",OR(H20="",K20&gt;=H20)),IF(J20="CMRI","Aguardar a CMRI (até a 3ª reunião mensal depois da autuação)","Aguardar decisão do recurso ou da reclamação"),IF(H20="",IF(TODAY()&lt;=G20,"Aguardar resposta do órgão",IF(TODAY()&lt;E20+30,"Prazo vencido: reclamação (modelo E) a partir da próxima data",IF(TODAY()&lt;=E20+40,"Fazer reclamação (modelo E) até a próxima data","Janela de reclamação encerrada: novo pedido ou modelo G"))),IF(I20="Atendido","Concluído: registre a resposta no Log",IF(OR(I20="Negado",I20="Atendido em parte"),"Recorrer (modelo B ou D) até a próxima data","Preencha o resultado da resposta")))))</f>
        <v/>
      </c>
      <c r="O20" s="24"/>
      <c r="P20" s="11"/>
    </row>
    <row r="21" customFormat="false" ht="15" hidden="false" customHeight="false" outlineLevel="0" collapsed="false">
      <c r="A21" s="24"/>
      <c r="B21" s="11"/>
      <c r="C21" s="23"/>
      <c r="D21" s="11"/>
      <c r="E21" s="22"/>
      <c r="F21" s="23"/>
      <c r="G21" s="29" t="str">
        <f aca="false">IF(E21="","",E21+IF(F21="Sim",30,20))</f>
        <v/>
      </c>
      <c r="H21" s="22"/>
      <c r="I21" s="23"/>
      <c r="J21" s="23"/>
      <c r="K21" s="22"/>
      <c r="L21" s="29" t="str">
        <f aca="true">IF(E21="","",IF(AND(K21&lt;&gt;"",OR(H21="",K21&gt;=H21)),IF(J21="CMRI","",K21+5),IF(H21="",IF(TODAY()&lt;=G21,G21,IF(TODAY()&lt;E21+30,E21+30,E21+40)),IF(OR(I21="Negado",I21="Atendido em parte"),H21+10,""))))</f>
        <v/>
      </c>
      <c r="M21" s="27" t="str">
        <f aca="true">IF(L21="","",L21-TODAY())</f>
        <v/>
      </c>
      <c r="N21" s="25" t="str">
        <f aca="true">IF(E21="","",IF(AND(K21&lt;&gt;"",OR(H21="",K21&gt;=H21)),IF(J21="CMRI","Aguardar a CMRI (até a 3ª reunião mensal depois da autuação)","Aguardar decisão do recurso ou da reclamação"),IF(H21="",IF(TODAY()&lt;=G21,"Aguardar resposta do órgão",IF(TODAY()&lt;E21+30,"Prazo vencido: reclamação (modelo E) a partir da próxima data",IF(TODAY()&lt;=E21+40,"Fazer reclamação (modelo E) até a próxima data","Janela de reclamação encerrada: novo pedido ou modelo G"))),IF(I21="Atendido","Concluído: registre a resposta no Log",IF(OR(I21="Negado",I21="Atendido em parte"),"Recorrer (modelo B ou D) até a próxima data","Preencha o resultado da resposta")))))</f>
        <v/>
      </c>
      <c r="O21" s="24"/>
      <c r="P21" s="11"/>
    </row>
    <row r="22" customFormat="false" ht="15" hidden="false" customHeight="false" outlineLevel="0" collapsed="false">
      <c r="A22" s="24"/>
      <c r="B22" s="11"/>
      <c r="C22" s="23"/>
      <c r="D22" s="11"/>
      <c r="E22" s="22"/>
      <c r="F22" s="23"/>
      <c r="G22" s="29" t="str">
        <f aca="false">IF(E22="","",E22+IF(F22="Sim",30,20))</f>
        <v/>
      </c>
      <c r="H22" s="22"/>
      <c r="I22" s="23"/>
      <c r="J22" s="23"/>
      <c r="K22" s="22"/>
      <c r="L22" s="29" t="str">
        <f aca="true">IF(E22="","",IF(AND(K22&lt;&gt;"",OR(H22="",K22&gt;=H22)),IF(J22="CMRI","",K22+5),IF(H22="",IF(TODAY()&lt;=G22,G22,IF(TODAY()&lt;E22+30,E22+30,E22+40)),IF(OR(I22="Negado",I22="Atendido em parte"),H22+10,""))))</f>
        <v/>
      </c>
      <c r="M22" s="27" t="str">
        <f aca="true">IF(L22="","",L22-TODAY())</f>
        <v/>
      </c>
      <c r="N22" s="25" t="str">
        <f aca="true">IF(E22="","",IF(AND(K22&lt;&gt;"",OR(H22="",K22&gt;=H22)),IF(J22="CMRI","Aguardar a CMRI (até a 3ª reunião mensal depois da autuação)","Aguardar decisão do recurso ou da reclamação"),IF(H22="",IF(TODAY()&lt;=G22,"Aguardar resposta do órgão",IF(TODAY()&lt;E22+30,"Prazo vencido: reclamação (modelo E) a partir da próxima data",IF(TODAY()&lt;=E22+40,"Fazer reclamação (modelo E) até a próxima data","Janela de reclamação encerrada: novo pedido ou modelo G"))),IF(I22="Atendido","Concluído: registre a resposta no Log",IF(OR(I22="Negado",I22="Atendido em parte"),"Recorrer (modelo B ou D) até a próxima data","Preencha o resultado da resposta")))))</f>
        <v/>
      </c>
      <c r="O22" s="24"/>
      <c r="P22" s="11"/>
    </row>
    <row r="23" customFormat="false" ht="15" hidden="false" customHeight="false" outlineLevel="0" collapsed="false">
      <c r="A23" s="24"/>
      <c r="B23" s="11"/>
      <c r="C23" s="23"/>
      <c r="D23" s="11"/>
      <c r="E23" s="22"/>
      <c r="F23" s="23"/>
      <c r="G23" s="29" t="str">
        <f aca="false">IF(E23="","",E23+IF(F23="Sim",30,20))</f>
        <v/>
      </c>
      <c r="H23" s="22"/>
      <c r="I23" s="23"/>
      <c r="J23" s="23"/>
      <c r="K23" s="22"/>
      <c r="L23" s="29" t="str">
        <f aca="true">IF(E23="","",IF(AND(K23&lt;&gt;"",OR(H23="",K23&gt;=H23)),IF(J23="CMRI","",K23+5),IF(H23="",IF(TODAY()&lt;=G23,G23,IF(TODAY()&lt;E23+30,E23+30,E23+40)),IF(OR(I23="Negado",I23="Atendido em parte"),H23+10,""))))</f>
        <v/>
      </c>
      <c r="M23" s="27" t="str">
        <f aca="true">IF(L23="","",L23-TODAY())</f>
        <v/>
      </c>
      <c r="N23" s="25" t="str">
        <f aca="true">IF(E23="","",IF(AND(K23&lt;&gt;"",OR(H23="",K23&gt;=H23)),IF(J23="CMRI","Aguardar a CMRI (até a 3ª reunião mensal depois da autuação)","Aguardar decisão do recurso ou da reclamação"),IF(H23="",IF(TODAY()&lt;=G23,"Aguardar resposta do órgão",IF(TODAY()&lt;E23+30,"Prazo vencido: reclamação (modelo E) a partir da próxima data",IF(TODAY()&lt;=E23+40,"Fazer reclamação (modelo E) até a próxima data","Janela de reclamação encerrada: novo pedido ou modelo G"))),IF(I23="Atendido","Concluído: registre a resposta no Log",IF(OR(I23="Negado",I23="Atendido em parte"),"Recorrer (modelo B ou D) até a próxima data","Preencha o resultado da resposta")))))</f>
        <v/>
      </c>
      <c r="O23" s="24"/>
      <c r="P23" s="11"/>
    </row>
    <row r="24" customFormat="false" ht="15" hidden="false" customHeight="false" outlineLevel="0" collapsed="false">
      <c r="A24" s="24"/>
      <c r="B24" s="11"/>
      <c r="C24" s="23"/>
      <c r="D24" s="11"/>
      <c r="E24" s="22"/>
      <c r="F24" s="23"/>
      <c r="G24" s="29" t="str">
        <f aca="false">IF(E24="","",E24+IF(F24="Sim",30,20))</f>
        <v/>
      </c>
      <c r="H24" s="22"/>
      <c r="I24" s="23"/>
      <c r="J24" s="23"/>
      <c r="K24" s="22"/>
      <c r="L24" s="29" t="str">
        <f aca="true">IF(E24="","",IF(AND(K24&lt;&gt;"",OR(H24="",K24&gt;=H24)),IF(J24="CMRI","",K24+5),IF(H24="",IF(TODAY()&lt;=G24,G24,IF(TODAY()&lt;E24+30,E24+30,E24+40)),IF(OR(I24="Negado",I24="Atendido em parte"),H24+10,""))))</f>
        <v/>
      </c>
      <c r="M24" s="27" t="str">
        <f aca="true">IF(L24="","",L24-TODAY())</f>
        <v/>
      </c>
      <c r="N24" s="25" t="str">
        <f aca="true">IF(E24="","",IF(AND(K24&lt;&gt;"",OR(H24="",K24&gt;=H24)),IF(J24="CMRI","Aguardar a CMRI (até a 3ª reunião mensal depois da autuação)","Aguardar decisão do recurso ou da reclamação"),IF(H24="",IF(TODAY()&lt;=G24,"Aguardar resposta do órgão",IF(TODAY()&lt;E24+30,"Prazo vencido: reclamação (modelo E) a partir da próxima data",IF(TODAY()&lt;=E24+40,"Fazer reclamação (modelo E) até a próxima data","Janela de reclamação encerrada: novo pedido ou modelo G"))),IF(I24="Atendido","Concluído: registre a resposta no Log",IF(OR(I24="Negado",I24="Atendido em parte"),"Recorrer (modelo B ou D) até a próxima data","Preencha o resultado da resposta")))))</f>
        <v/>
      </c>
      <c r="O24" s="24"/>
      <c r="P24" s="11"/>
    </row>
    <row r="25" customFormat="false" ht="15" hidden="false" customHeight="false" outlineLevel="0" collapsed="false">
      <c r="A25" s="24"/>
      <c r="B25" s="11"/>
      <c r="C25" s="23"/>
      <c r="D25" s="11"/>
      <c r="E25" s="22"/>
      <c r="F25" s="23"/>
      <c r="G25" s="29" t="str">
        <f aca="false">IF(E25="","",E25+IF(F25="Sim",30,20))</f>
        <v/>
      </c>
      <c r="H25" s="22"/>
      <c r="I25" s="23"/>
      <c r="J25" s="23"/>
      <c r="K25" s="22"/>
      <c r="L25" s="29" t="str">
        <f aca="true">IF(E25="","",IF(AND(K25&lt;&gt;"",OR(H25="",K25&gt;=H25)),IF(J25="CMRI","",K25+5),IF(H25="",IF(TODAY()&lt;=G25,G25,IF(TODAY()&lt;E25+30,E25+30,E25+40)),IF(OR(I25="Negado",I25="Atendido em parte"),H25+10,""))))</f>
        <v/>
      </c>
      <c r="M25" s="27" t="str">
        <f aca="true">IF(L25="","",L25-TODAY())</f>
        <v/>
      </c>
      <c r="N25" s="25" t="str">
        <f aca="true">IF(E25="","",IF(AND(K25&lt;&gt;"",OR(H25="",K25&gt;=H25)),IF(J25="CMRI","Aguardar a CMRI (até a 3ª reunião mensal depois da autuação)","Aguardar decisão do recurso ou da reclamação"),IF(H25="",IF(TODAY()&lt;=G25,"Aguardar resposta do órgão",IF(TODAY()&lt;E25+30,"Prazo vencido: reclamação (modelo E) a partir da próxima data",IF(TODAY()&lt;=E25+40,"Fazer reclamação (modelo E) até a próxima data","Janela de reclamação encerrada: novo pedido ou modelo G"))),IF(I25="Atendido","Concluído: registre a resposta no Log",IF(OR(I25="Negado",I25="Atendido em parte"),"Recorrer (modelo B ou D) até a próxima data","Preencha o resultado da resposta")))))</f>
        <v/>
      </c>
      <c r="O25" s="24"/>
      <c r="P25" s="11"/>
    </row>
    <row r="26" customFormat="false" ht="15" hidden="false" customHeight="false" outlineLevel="0" collapsed="false">
      <c r="A26" s="24"/>
      <c r="B26" s="11"/>
      <c r="C26" s="23"/>
      <c r="D26" s="11"/>
      <c r="E26" s="22"/>
      <c r="F26" s="23"/>
      <c r="G26" s="29" t="str">
        <f aca="false">IF(E26="","",E26+IF(F26="Sim",30,20))</f>
        <v/>
      </c>
      <c r="H26" s="22"/>
      <c r="I26" s="23"/>
      <c r="J26" s="23"/>
      <c r="K26" s="22"/>
      <c r="L26" s="29" t="str">
        <f aca="true">IF(E26="","",IF(AND(K26&lt;&gt;"",OR(H26="",K26&gt;=H26)),IF(J26="CMRI","",K26+5),IF(H26="",IF(TODAY()&lt;=G26,G26,IF(TODAY()&lt;E26+30,E26+30,E26+40)),IF(OR(I26="Negado",I26="Atendido em parte"),H26+10,""))))</f>
        <v/>
      </c>
      <c r="M26" s="27" t="str">
        <f aca="true">IF(L26="","",L26-TODAY())</f>
        <v/>
      </c>
      <c r="N26" s="25" t="str">
        <f aca="true">IF(E26="","",IF(AND(K26&lt;&gt;"",OR(H26="",K26&gt;=H26)),IF(J26="CMRI","Aguardar a CMRI (até a 3ª reunião mensal depois da autuação)","Aguardar decisão do recurso ou da reclamação"),IF(H26="",IF(TODAY()&lt;=G26,"Aguardar resposta do órgão",IF(TODAY()&lt;E26+30,"Prazo vencido: reclamação (modelo E) a partir da próxima data",IF(TODAY()&lt;=E26+40,"Fazer reclamação (modelo E) até a próxima data","Janela de reclamação encerrada: novo pedido ou modelo G"))),IF(I26="Atendido","Concluído: registre a resposta no Log",IF(OR(I26="Negado",I26="Atendido em parte"),"Recorrer (modelo B ou D) até a próxima data","Preencha o resultado da resposta")))))</f>
        <v/>
      </c>
      <c r="O26" s="24"/>
      <c r="P26" s="11"/>
    </row>
    <row r="27" customFormat="false" ht="15" hidden="false" customHeight="false" outlineLevel="0" collapsed="false">
      <c r="A27" s="24"/>
      <c r="B27" s="11"/>
      <c r="C27" s="23"/>
      <c r="D27" s="11"/>
      <c r="E27" s="22"/>
      <c r="F27" s="23"/>
      <c r="G27" s="29" t="str">
        <f aca="false">IF(E27="","",E27+IF(F27="Sim",30,20))</f>
        <v/>
      </c>
      <c r="H27" s="22"/>
      <c r="I27" s="23"/>
      <c r="J27" s="23"/>
      <c r="K27" s="22"/>
      <c r="L27" s="29" t="str">
        <f aca="true">IF(E27="","",IF(AND(K27&lt;&gt;"",OR(H27="",K27&gt;=H27)),IF(J27="CMRI","",K27+5),IF(H27="",IF(TODAY()&lt;=G27,G27,IF(TODAY()&lt;E27+30,E27+30,E27+40)),IF(OR(I27="Negado",I27="Atendido em parte"),H27+10,""))))</f>
        <v/>
      </c>
      <c r="M27" s="27" t="str">
        <f aca="true">IF(L27="","",L27-TODAY())</f>
        <v/>
      </c>
      <c r="N27" s="25" t="str">
        <f aca="true">IF(E27="","",IF(AND(K27&lt;&gt;"",OR(H27="",K27&gt;=H27)),IF(J27="CMRI","Aguardar a CMRI (até a 3ª reunião mensal depois da autuação)","Aguardar decisão do recurso ou da reclamação"),IF(H27="",IF(TODAY()&lt;=G27,"Aguardar resposta do órgão",IF(TODAY()&lt;E27+30,"Prazo vencido: reclamação (modelo E) a partir da próxima data",IF(TODAY()&lt;=E27+40,"Fazer reclamação (modelo E) até a próxima data","Janela de reclamação encerrada: novo pedido ou modelo G"))),IF(I27="Atendido","Concluído: registre a resposta no Log",IF(OR(I27="Negado",I27="Atendido em parte"),"Recorrer (modelo B ou D) até a próxima data","Preencha o resultado da resposta")))))</f>
        <v/>
      </c>
      <c r="O27" s="24"/>
      <c r="P27" s="11"/>
    </row>
    <row r="28" customFormat="false" ht="15" hidden="false" customHeight="false" outlineLevel="0" collapsed="false">
      <c r="A28" s="24"/>
      <c r="B28" s="11"/>
      <c r="C28" s="23"/>
      <c r="D28" s="11"/>
      <c r="E28" s="22"/>
      <c r="F28" s="23"/>
      <c r="G28" s="29" t="str">
        <f aca="false">IF(E28="","",E28+IF(F28="Sim",30,20))</f>
        <v/>
      </c>
      <c r="H28" s="22"/>
      <c r="I28" s="23"/>
      <c r="J28" s="23"/>
      <c r="K28" s="22"/>
      <c r="L28" s="29" t="str">
        <f aca="true">IF(E28="","",IF(AND(K28&lt;&gt;"",OR(H28="",K28&gt;=H28)),IF(J28="CMRI","",K28+5),IF(H28="",IF(TODAY()&lt;=G28,G28,IF(TODAY()&lt;E28+30,E28+30,E28+40)),IF(OR(I28="Negado",I28="Atendido em parte"),H28+10,""))))</f>
        <v/>
      </c>
      <c r="M28" s="27" t="str">
        <f aca="true">IF(L28="","",L28-TODAY())</f>
        <v/>
      </c>
      <c r="N28" s="25" t="str">
        <f aca="true">IF(E28="","",IF(AND(K28&lt;&gt;"",OR(H28="",K28&gt;=H28)),IF(J28="CMRI","Aguardar a CMRI (até a 3ª reunião mensal depois da autuação)","Aguardar decisão do recurso ou da reclamação"),IF(H28="",IF(TODAY()&lt;=G28,"Aguardar resposta do órgão",IF(TODAY()&lt;E28+30,"Prazo vencido: reclamação (modelo E) a partir da próxima data",IF(TODAY()&lt;=E28+40,"Fazer reclamação (modelo E) até a próxima data","Janela de reclamação encerrada: novo pedido ou modelo G"))),IF(I28="Atendido","Concluído: registre a resposta no Log",IF(OR(I28="Negado",I28="Atendido em parte"),"Recorrer (modelo B ou D) até a próxima data","Preencha o resultado da resposta")))))</f>
        <v/>
      </c>
      <c r="O28" s="24"/>
      <c r="P28" s="11"/>
    </row>
    <row r="29" customFormat="false" ht="15" hidden="false" customHeight="false" outlineLevel="0" collapsed="false">
      <c r="A29" s="24"/>
      <c r="B29" s="11"/>
      <c r="C29" s="23"/>
      <c r="D29" s="11"/>
      <c r="E29" s="22"/>
      <c r="F29" s="23"/>
      <c r="G29" s="29" t="str">
        <f aca="false">IF(E29="","",E29+IF(F29="Sim",30,20))</f>
        <v/>
      </c>
      <c r="H29" s="22"/>
      <c r="I29" s="23"/>
      <c r="J29" s="23"/>
      <c r="K29" s="22"/>
      <c r="L29" s="29" t="str">
        <f aca="true">IF(E29="","",IF(AND(K29&lt;&gt;"",OR(H29="",K29&gt;=H29)),IF(J29="CMRI","",K29+5),IF(H29="",IF(TODAY()&lt;=G29,G29,IF(TODAY()&lt;E29+30,E29+30,E29+40)),IF(OR(I29="Negado",I29="Atendido em parte"),H29+10,""))))</f>
        <v/>
      </c>
      <c r="M29" s="27" t="str">
        <f aca="true">IF(L29="","",L29-TODAY())</f>
        <v/>
      </c>
      <c r="N29" s="25" t="str">
        <f aca="true">IF(E29="","",IF(AND(K29&lt;&gt;"",OR(H29="",K29&gt;=H29)),IF(J29="CMRI","Aguardar a CMRI (até a 3ª reunião mensal depois da autuação)","Aguardar decisão do recurso ou da reclamação"),IF(H29="",IF(TODAY()&lt;=G29,"Aguardar resposta do órgão",IF(TODAY()&lt;E29+30,"Prazo vencido: reclamação (modelo E) a partir da próxima data",IF(TODAY()&lt;=E29+40,"Fazer reclamação (modelo E) até a próxima data","Janela de reclamação encerrada: novo pedido ou modelo G"))),IF(I29="Atendido","Concluído: registre a resposta no Log",IF(OR(I29="Negado",I29="Atendido em parte"),"Recorrer (modelo B ou D) até a próxima data","Preencha o resultado da resposta")))))</f>
        <v/>
      </c>
      <c r="O29" s="24"/>
      <c r="P29" s="11"/>
    </row>
    <row r="30" customFormat="false" ht="15" hidden="false" customHeight="false" outlineLevel="0" collapsed="false">
      <c r="A30" s="24"/>
      <c r="B30" s="11"/>
      <c r="C30" s="23"/>
      <c r="D30" s="11"/>
      <c r="E30" s="22"/>
      <c r="F30" s="23"/>
      <c r="G30" s="29" t="str">
        <f aca="false">IF(E30="","",E30+IF(F30="Sim",30,20))</f>
        <v/>
      </c>
      <c r="H30" s="22"/>
      <c r="I30" s="23"/>
      <c r="J30" s="23"/>
      <c r="K30" s="22"/>
      <c r="L30" s="29" t="str">
        <f aca="true">IF(E30="","",IF(AND(K30&lt;&gt;"",OR(H30="",K30&gt;=H30)),IF(J30="CMRI","",K30+5),IF(H30="",IF(TODAY()&lt;=G30,G30,IF(TODAY()&lt;E30+30,E30+30,E30+40)),IF(OR(I30="Negado",I30="Atendido em parte"),H30+10,""))))</f>
        <v/>
      </c>
      <c r="M30" s="27" t="str">
        <f aca="true">IF(L30="","",L30-TODAY())</f>
        <v/>
      </c>
      <c r="N30" s="25" t="str">
        <f aca="true">IF(E30="","",IF(AND(K30&lt;&gt;"",OR(H30="",K30&gt;=H30)),IF(J30="CMRI","Aguardar a CMRI (até a 3ª reunião mensal depois da autuação)","Aguardar decisão do recurso ou da reclamação"),IF(H30="",IF(TODAY()&lt;=G30,"Aguardar resposta do órgão",IF(TODAY()&lt;E30+30,"Prazo vencido: reclamação (modelo E) a partir da próxima data",IF(TODAY()&lt;=E30+40,"Fazer reclamação (modelo E) até a próxima data","Janela de reclamação encerrada: novo pedido ou modelo G"))),IF(I30="Atendido","Concluído: registre a resposta no Log",IF(OR(I30="Negado",I30="Atendido em parte"),"Recorrer (modelo B ou D) até a próxima data","Preencha o resultado da resposta")))))</f>
        <v/>
      </c>
      <c r="O30" s="24"/>
      <c r="P30" s="11"/>
    </row>
    <row r="31" customFormat="false" ht="15" hidden="false" customHeight="false" outlineLevel="0" collapsed="false">
      <c r="A31" s="24"/>
      <c r="B31" s="11"/>
      <c r="C31" s="23"/>
      <c r="D31" s="11"/>
      <c r="E31" s="22"/>
      <c r="F31" s="23"/>
      <c r="G31" s="29" t="str">
        <f aca="false">IF(E31="","",E31+IF(F31="Sim",30,20))</f>
        <v/>
      </c>
      <c r="H31" s="22"/>
      <c r="I31" s="23"/>
      <c r="J31" s="23"/>
      <c r="K31" s="22"/>
      <c r="L31" s="29" t="str">
        <f aca="true">IF(E31="","",IF(AND(K31&lt;&gt;"",OR(H31="",K31&gt;=H31)),IF(J31="CMRI","",K31+5),IF(H31="",IF(TODAY()&lt;=G31,G31,IF(TODAY()&lt;E31+30,E31+30,E31+40)),IF(OR(I31="Negado",I31="Atendido em parte"),H31+10,""))))</f>
        <v/>
      </c>
      <c r="M31" s="27" t="str">
        <f aca="true">IF(L31="","",L31-TODAY())</f>
        <v/>
      </c>
      <c r="N31" s="25" t="str">
        <f aca="true">IF(E31="","",IF(AND(K31&lt;&gt;"",OR(H31="",K31&gt;=H31)),IF(J31="CMRI","Aguardar a CMRI (até a 3ª reunião mensal depois da autuação)","Aguardar decisão do recurso ou da reclamação"),IF(H31="",IF(TODAY()&lt;=G31,"Aguardar resposta do órgão",IF(TODAY()&lt;E31+30,"Prazo vencido: reclamação (modelo E) a partir da próxima data",IF(TODAY()&lt;=E31+40,"Fazer reclamação (modelo E) até a próxima data","Janela de reclamação encerrada: novo pedido ou modelo G"))),IF(I31="Atendido","Concluído: registre a resposta no Log",IF(OR(I31="Negado",I31="Atendido em parte"),"Recorrer (modelo B ou D) até a próxima data","Preencha o resultado da resposta")))))</f>
        <v/>
      </c>
      <c r="O31" s="24"/>
      <c r="P31" s="11"/>
    </row>
    <row r="32" customFormat="false" ht="15" hidden="false" customHeight="false" outlineLevel="0" collapsed="false">
      <c r="A32" s="24"/>
      <c r="B32" s="11"/>
      <c r="C32" s="23"/>
      <c r="D32" s="11"/>
      <c r="E32" s="22"/>
      <c r="F32" s="23"/>
      <c r="G32" s="29" t="str">
        <f aca="false">IF(E32="","",E32+IF(F32="Sim",30,20))</f>
        <v/>
      </c>
      <c r="H32" s="22"/>
      <c r="I32" s="23"/>
      <c r="J32" s="23"/>
      <c r="K32" s="22"/>
      <c r="L32" s="29" t="str">
        <f aca="true">IF(E32="","",IF(AND(K32&lt;&gt;"",OR(H32="",K32&gt;=H32)),IF(J32="CMRI","",K32+5),IF(H32="",IF(TODAY()&lt;=G32,G32,IF(TODAY()&lt;E32+30,E32+30,E32+40)),IF(OR(I32="Negado",I32="Atendido em parte"),H32+10,""))))</f>
        <v/>
      </c>
      <c r="M32" s="27" t="str">
        <f aca="true">IF(L32="","",L32-TODAY())</f>
        <v/>
      </c>
      <c r="N32" s="25" t="str">
        <f aca="true">IF(E32="","",IF(AND(K32&lt;&gt;"",OR(H32="",K32&gt;=H32)),IF(J32="CMRI","Aguardar a CMRI (até a 3ª reunião mensal depois da autuação)","Aguardar decisão do recurso ou da reclamação"),IF(H32="",IF(TODAY()&lt;=G32,"Aguardar resposta do órgão",IF(TODAY()&lt;E32+30,"Prazo vencido: reclamação (modelo E) a partir da próxima data",IF(TODAY()&lt;=E32+40,"Fazer reclamação (modelo E) até a próxima data","Janela de reclamação encerrada: novo pedido ou modelo G"))),IF(I32="Atendido","Concluído: registre a resposta no Log",IF(OR(I32="Negado",I32="Atendido em parte"),"Recorrer (modelo B ou D) até a próxima data","Preencha o resultado da resposta")))))</f>
        <v/>
      </c>
      <c r="O32" s="24"/>
      <c r="P32" s="11"/>
    </row>
    <row r="33" customFormat="false" ht="15" hidden="false" customHeight="false" outlineLevel="0" collapsed="false">
      <c r="A33" s="24"/>
      <c r="B33" s="11"/>
      <c r="C33" s="23"/>
      <c r="D33" s="11"/>
      <c r="E33" s="22"/>
      <c r="F33" s="23"/>
      <c r="G33" s="29" t="str">
        <f aca="false">IF(E33="","",E33+IF(F33="Sim",30,20))</f>
        <v/>
      </c>
      <c r="H33" s="22"/>
      <c r="I33" s="23"/>
      <c r="J33" s="23"/>
      <c r="K33" s="22"/>
      <c r="L33" s="29" t="str">
        <f aca="true">IF(E33="","",IF(AND(K33&lt;&gt;"",OR(H33="",K33&gt;=H33)),IF(J33="CMRI","",K33+5),IF(H33="",IF(TODAY()&lt;=G33,G33,IF(TODAY()&lt;E33+30,E33+30,E33+40)),IF(OR(I33="Negado",I33="Atendido em parte"),H33+10,""))))</f>
        <v/>
      </c>
      <c r="M33" s="27" t="str">
        <f aca="true">IF(L33="","",L33-TODAY())</f>
        <v/>
      </c>
      <c r="N33" s="25" t="str">
        <f aca="true">IF(E33="","",IF(AND(K33&lt;&gt;"",OR(H33="",K33&gt;=H33)),IF(J33="CMRI","Aguardar a CMRI (até a 3ª reunião mensal depois da autuação)","Aguardar decisão do recurso ou da reclamação"),IF(H33="",IF(TODAY()&lt;=G33,"Aguardar resposta do órgão",IF(TODAY()&lt;E33+30,"Prazo vencido: reclamação (modelo E) a partir da próxima data",IF(TODAY()&lt;=E33+40,"Fazer reclamação (modelo E) até a próxima data","Janela de reclamação encerrada: novo pedido ou modelo G"))),IF(I33="Atendido","Concluído: registre a resposta no Log",IF(OR(I33="Negado",I33="Atendido em parte"),"Recorrer (modelo B ou D) até a próxima data","Preencha o resultado da resposta")))))</f>
        <v/>
      </c>
      <c r="O33" s="24"/>
      <c r="P33" s="11"/>
    </row>
    <row r="34" customFormat="false" ht="15" hidden="false" customHeight="false" outlineLevel="0" collapsed="false">
      <c r="A34" s="24"/>
      <c r="B34" s="11"/>
      <c r="C34" s="23"/>
      <c r="D34" s="11"/>
      <c r="E34" s="22"/>
      <c r="F34" s="23"/>
      <c r="G34" s="29" t="str">
        <f aca="false">IF(E34="","",E34+IF(F34="Sim",30,20))</f>
        <v/>
      </c>
      <c r="H34" s="22"/>
      <c r="I34" s="23"/>
      <c r="J34" s="23"/>
      <c r="K34" s="22"/>
      <c r="L34" s="29" t="str">
        <f aca="true">IF(E34="","",IF(AND(K34&lt;&gt;"",OR(H34="",K34&gt;=H34)),IF(J34="CMRI","",K34+5),IF(H34="",IF(TODAY()&lt;=G34,G34,IF(TODAY()&lt;E34+30,E34+30,E34+40)),IF(OR(I34="Negado",I34="Atendido em parte"),H34+10,""))))</f>
        <v/>
      </c>
      <c r="M34" s="27" t="str">
        <f aca="true">IF(L34="","",L34-TODAY())</f>
        <v/>
      </c>
      <c r="N34" s="25" t="str">
        <f aca="true">IF(E34="","",IF(AND(K34&lt;&gt;"",OR(H34="",K34&gt;=H34)),IF(J34="CMRI","Aguardar a CMRI (até a 3ª reunião mensal depois da autuação)","Aguardar decisão do recurso ou da reclamação"),IF(H34="",IF(TODAY()&lt;=G34,"Aguardar resposta do órgão",IF(TODAY()&lt;E34+30,"Prazo vencido: reclamação (modelo E) a partir da próxima data",IF(TODAY()&lt;=E34+40,"Fazer reclamação (modelo E) até a próxima data","Janela de reclamação encerrada: novo pedido ou modelo G"))),IF(I34="Atendido","Concluído: registre a resposta no Log",IF(OR(I34="Negado",I34="Atendido em parte"),"Recorrer (modelo B ou D) até a próxima data","Preencha o resultado da resposta")))))</f>
        <v/>
      </c>
      <c r="O34" s="24"/>
      <c r="P34" s="11"/>
    </row>
    <row r="35" customFormat="false" ht="15" hidden="false" customHeight="false" outlineLevel="0" collapsed="false">
      <c r="A35" s="24"/>
      <c r="B35" s="11"/>
      <c r="C35" s="23"/>
      <c r="D35" s="11"/>
      <c r="E35" s="22"/>
      <c r="F35" s="23"/>
      <c r="G35" s="29" t="str">
        <f aca="false">IF(E35="","",E35+IF(F35="Sim",30,20))</f>
        <v/>
      </c>
      <c r="H35" s="22"/>
      <c r="I35" s="23"/>
      <c r="J35" s="23"/>
      <c r="K35" s="22"/>
      <c r="L35" s="29" t="str">
        <f aca="true">IF(E35="","",IF(AND(K35&lt;&gt;"",OR(H35="",K35&gt;=H35)),IF(J35="CMRI","",K35+5),IF(H35="",IF(TODAY()&lt;=G35,G35,IF(TODAY()&lt;E35+30,E35+30,E35+40)),IF(OR(I35="Negado",I35="Atendido em parte"),H35+10,""))))</f>
        <v/>
      </c>
      <c r="M35" s="27" t="str">
        <f aca="true">IF(L35="","",L35-TODAY())</f>
        <v/>
      </c>
      <c r="N35" s="25" t="str">
        <f aca="true">IF(E35="","",IF(AND(K35&lt;&gt;"",OR(H35="",K35&gt;=H35)),IF(J35="CMRI","Aguardar a CMRI (até a 3ª reunião mensal depois da autuação)","Aguardar decisão do recurso ou da reclamação"),IF(H35="",IF(TODAY()&lt;=G35,"Aguardar resposta do órgão",IF(TODAY()&lt;E35+30,"Prazo vencido: reclamação (modelo E) a partir da próxima data",IF(TODAY()&lt;=E35+40,"Fazer reclamação (modelo E) até a próxima data","Janela de reclamação encerrada: novo pedido ou modelo G"))),IF(I35="Atendido","Concluído: registre a resposta no Log",IF(OR(I35="Negado",I35="Atendido em parte"),"Recorrer (modelo B ou D) até a próxima data","Preencha o resultado da resposta")))))</f>
        <v/>
      </c>
      <c r="O35" s="24"/>
      <c r="P35" s="11"/>
    </row>
    <row r="36" customFormat="false" ht="15" hidden="false" customHeight="false" outlineLevel="0" collapsed="false">
      <c r="A36" s="24"/>
      <c r="B36" s="11"/>
      <c r="C36" s="23"/>
      <c r="D36" s="11"/>
      <c r="E36" s="22"/>
      <c r="F36" s="23"/>
      <c r="G36" s="29" t="str">
        <f aca="false">IF(E36="","",E36+IF(F36="Sim",30,20))</f>
        <v/>
      </c>
      <c r="H36" s="22"/>
      <c r="I36" s="23"/>
      <c r="J36" s="23"/>
      <c r="K36" s="22"/>
      <c r="L36" s="29" t="str">
        <f aca="true">IF(E36="","",IF(AND(K36&lt;&gt;"",OR(H36="",K36&gt;=H36)),IF(J36="CMRI","",K36+5),IF(H36="",IF(TODAY()&lt;=G36,G36,IF(TODAY()&lt;E36+30,E36+30,E36+40)),IF(OR(I36="Negado",I36="Atendido em parte"),H36+10,""))))</f>
        <v/>
      </c>
      <c r="M36" s="27" t="str">
        <f aca="true">IF(L36="","",L36-TODAY())</f>
        <v/>
      </c>
      <c r="N36" s="25" t="str">
        <f aca="true">IF(E36="","",IF(AND(K36&lt;&gt;"",OR(H36="",K36&gt;=H36)),IF(J36="CMRI","Aguardar a CMRI (até a 3ª reunião mensal depois da autuação)","Aguardar decisão do recurso ou da reclamação"),IF(H36="",IF(TODAY()&lt;=G36,"Aguardar resposta do órgão",IF(TODAY()&lt;E36+30,"Prazo vencido: reclamação (modelo E) a partir da próxima data",IF(TODAY()&lt;=E36+40,"Fazer reclamação (modelo E) até a próxima data","Janela de reclamação encerrada: novo pedido ou modelo G"))),IF(I36="Atendido","Concluído: registre a resposta no Log",IF(OR(I36="Negado",I36="Atendido em parte"),"Recorrer (modelo B ou D) até a próxima data","Preencha o resultado da resposta")))))</f>
        <v/>
      </c>
      <c r="O36" s="24"/>
      <c r="P36" s="11"/>
    </row>
    <row r="37" customFormat="false" ht="15" hidden="false" customHeight="false" outlineLevel="0" collapsed="false">
      <c r="A37" s="24"/>
      <c r="B37" s="11"/>
      <c r="C37" s="23"/>
      <c r="D37" s="11"/>
      <c r="E37" s="22"/>
      <c r="F37" s="23"/>
      <c r="G37" s="29" t="str">
        <f aca="false">IF(E37="","",E37+IF(F37="Sim",30,20))</f>
        <v/>
      </c>
      <c r="H37" s="22"/>
      <c r="I37" s="23"/>
      <c r="J37" s="23"/>
      <c r="K37" s="22"/>
      <c r="L37" s="29" t="str">
        <f aca="true">IF(E37="","",IF(AND(K37&lt;&gt;"",OR(H37="",K37&gt;=H37)),IF(J37="CMRI","",K37+5),IF(H37="",IF(TODAY()&lt;=G37,G37,IF(TODAY()&lt;E37+30,E37+30,E37+40)),IF(OR(I37="Negado",I37="Atendido em parte"),H37+10,""))))</f>
        <v/>
      </c>
      <c r="M37" s="27" t="str">
        <f aca="true">IF(L37="","",L37-TODAY())</f>
        <v/>
      </c>
      <c r="N37" s="25" t="str">
        <f aca="true">IF(E37="","",IF(AND(K37&lt;&gt;"",OR(H37="",K37&gt;=H37)),IF(J37="CMRI","Aguardar a CMRI (até a 3ª reunião mensal depois da autuação)","Aguardar decisão do recurso ou da reclamação"),IF(H37="",IF(TODAY()&lt;=G37,"Aguardar resposta do órgão",IF(TODAY()&lt;E37+30,"Prazo vencido: reclamação (modelo E) a partir da próxima data",IF(TODAY()&lt;=E37+40,"Fazer reclamação (modelo E) até a próxima data","Janela de reclamação encerrada: novo pedido ou modelo G"))),IF(I37="Atendido","Concluído: registre a resposta no Log",IF(OR(I37="Negado",I37="Atendido em parte"),"Recorrer (modelo B ou D) até a próxima data","Preencha o resultado da resposta")))))</f>
        <v/>
      </c>
      <c r="O37" s="24"/>
      <c r="P37" s="11"/>
    </row>
    <row r="38" customFormat="false" ht="15" hidden="false" customHeight="false" outlineLevel="0" collapsed="false">
      <c r="A38" s="24"/>
      <c r="B38" s="11"/>
      <c r="C38" s="23"/>
      <c r="D38" s="11"/>
      <c r="E38" s="22"/>
      <c r="F38" s="23"/>
      <c r="G38" s="29" t="str">
        <f aca="false">IF(E38="","",E38+IF(F38="Sim",30,20))</f>
        <v/>
      </c>
      <c r="H38" s="22"/>
      <c r="I38" s="23"/>
      <c r="J38" s="23"/>
      <c r="K38" s="22"/>
      <c r="L38" s="29" t="str">
        <f aca="true">IF(E38="","",IF(AND(K38&lt;&gt;"",OR(H38="",K38&gt;=H38)),IF(J38="CMRI","",K38+5),IF(H38="",IF(TODAY()&lt;=G38,G38,IF(TODAY()&lt;E38+30,E38+30,E38+40)),IF(OR(I38="Negado",I38="Atendido em parte"),H38+10,""))))</f>
        <v/>
      </c>
      <c r="M38" s="27" t="str">
        <f aca="true">IF(L38="","",L38-TODAY())</f>
        <v/>
      </c>
      <c r="N38" s="25" t="str">
        <f aca="true">IF(E38="","",IF(AND(K38&lt;&gt;"",OR(H38="",K38&gt;=H38)),IF(J38="CMRI","Aguardar a CMRI (até a 3ª reunião mensal depois da autuação)","Aguardar decisão do recurso ou da reclamação"),IF(H38="",IF(TODAY()&lt;=G38,"Aguardar resposta do órgão",IF(TODAY()&lt;E38+30,"Prazo vencido: reclamação (modelo E) a partir da próxima data",IF(TODAY()&lt;=E38+40,"Fazer reclamação (modelo E) até a próxima data","Janela de reclamação encerrada: novo pedido ou modelo G"))),IF(I38="Atendido","Concluído: registre a resposta no Log",IF(OR(I38="Negado",I38="Atendido em parte"),"Recorrer (modelo B ou D) até a próxima data","Preencha o resultado da resposta")))))</f>
        <v/>
      </c>
      <c r="O38" s="24"/>
      <c r="P38" s="11"/>
    </row>
    <row r="39" customFormat="false" ht="15" hidden="false" customHeight="false" outlineLevel="0" collapsed="false">
      <c r="A39" s="24"/>
      <c r="B39" s="11"/>
      <c r="C39" s="23"/>
      <c r="D39" s="11"/>
      <c r="E39" s="22"/>
      <c r="F39" s="23"/>
      <c r="G39" s="29" t="str">
        <f aca="false">IF(E39="","",E39+IF(F39="Sim",30,20))</f>
        <v/>
      </c>
      <c r="H39" s="22"/>
      <c r="I39" s="23"/>
      <c r="J39" s="23"/>
      <c r="K39" s="22"/>
      <c r="L39" s="29" t="str">
        <f aca="true">IF(E39="","",IF(AND(K39&lt;&gt;"",OR(H39="",K39&gt;=H39)),IF(J39="CMRI","",K39+5),IF(H39="",IF(TODAY()&lt;=G39,G39,IF(TODAY()&lt;E39+30,E39+30,E39+40)),IF(OR(I39="Negado",I39="Atendido em parte"),H39+10,""))))</f>
        <v/>
      </c>
      <c r="M39" s="27" t="str">
        <f aca="true">IF(L39="","",L39-TODAY())</f>
        <v/>
      </c>
      <c r="N39" s="25" t="str">
        <f aca="true">IF(E39="","",IF(AND(K39&lt;&gt;"",OR(H39="",K39&gt;=H39)),IF(J39="CMRI","Aguardar a CMRI (até a 3ª reunião mensal depois da autuação)","Aguardar decisão do recurso ou da reclamação"),IF(H39="",IF(TODAY()&lt;=G39,"Aguardar resposta do órgão",IF(TODAY()&lt;E39+30,"Prazo vencido: reclamação (modelo E) a partir da próxima data",IF(TODAY()&lt;=E39+40,"Fazer reclamação (modelo E) até a próxima data","Janela de reclamação encerrada: novo pedido ou modelo G"))),IF(I39="Atendido","Concluído: registre a resposta no Log",IF(OR(I39="Negado",I39="Atendido em parte"),"Recorrer (modelo B ou D) até a próxima data","Preencha o resultado da resposta")))))</f>
        <v/>
      </c>
      <c r="O39" s="24"/>
      <c r="P39" s="11"/>
    </row>
    <row r="40" customFormat="false" ht="15" hidden="false" customHeight="false" outlineLevel="0" collapsed="false">
      <c r="A40" s="24"/>
      <c r="B40" s="11"/>
      <c r="C40" s="23"/>
      <c r="D40" s="11"/>
      <c r="E40" s="22"/>
      <c r="F40" s="23"/>
      <c r="G40" s="29" t="str">
        <f aca="false">IF(E40="","",E40+IF(F40="Sim",30,20))</f>
        <v/>
      </c>
      <c r="H40" s="22"/>
      <c r="I40" s="23"/>
      <c r="J40" s="23"/>
      <c r="K40" s="22"/>
      <c r="L40" s="29" t="str">
        <f aca="true">IF(E40="","",IF(AND(K40&lt;&gt;"",OR(H40="",K40&gt;=H40)),IF(J40="CMRI","",K40+5),IF(H40="",IF(TODAY()&lt;=G40,G40,IF(TODAY()&lt;E40+30,E40+30,E40+40)),IF(OR(I40="Negado",I40="Atendido em parte"),H40+10,""))))</f>
        <v/>
      </c>
      <c r="M40" s="27" t="str">
        <f aca="true">IF(L40="","",L40-TODAY())</f>
        <v/>
      </c>
      <c r="N40" s="25" t="str">
        <f aca="true">IF(E40="","",IF(AND(K40&lt;&gt;"",OR(H40="",K40&gt;=H40)),IF(J40="CMRI","Aguardar a CMRI (até a 3ª reunião mensal depois da autuação)","Aguardar decisão do recurso ou da reclamação"),IF(H40="",IF(TODAY()&lt;=G40,"Aguardar resposta do órgão",IF(TODAY()&lt;E40+30,"Prazo vencido: reclamação (modelo E) a partir da próxima data",IF(TODAY()&lt;=E40+40,"Fazer reclamação (modelo E) até a próxima data","Janela de reclamação encerrada: novo pedido ou modelo G"))),IF(I40="Atendido","Concluído: registre a resposta no Log",IF(OR(I40="Negado",I40="Atendido em parte"),"Recorrer (modelo B ou D) até a próxima data","Preencha o resultado da resposta")))))</f>
        <v/>
      </c>
      <c r="O40" s="24"/>
      <c r="P40" s="11"/>
    </row>
    <row r="41" customFormat="false" ht="15" hidden="false" customHeight="false" outlineLevel="0" collapsed="false">
      <c r="A41" s="24"/>
      <c r="B41" s="11"/>
      <c r="C41" s="23"/>
      <c r="D41" s="11"/>
      <c r="E41" s="22"/>
      <c r="F41" s="23"/>
      <c r="G41" s="29" t="str">
        <f aca="false">IF(E41="","",E41+IF(F41="Sim",30,20))</f>
        <v/>
      </c>
      <c r="H41" s="22"/>
      <c r="I41" s="23"/>
      <c r="J41" s="23"/>
      <c r="K41" s="22"/>
      <c r="L41" s="29" t="str">
        <f aca="true">IF(E41="","",IF(AND(K41&lt;&gt;"",OR(H41="",K41&gt;=H41)),IF(J41="CMRI","",K41+5),IF(H41="",IF(TODAY()&lt;=G41,G41,IF(TODAY()&lt;E41+30,E41+30,E41+40)),IF(OR(I41="Negado",I41="Atendido em parte"),H41+10,""))))</f>
        <v/>
      </c>
      <c r="M41" s="27" t="str">
        <f aca="true">IF(L41="","",L41-TODAY())</f>
        <v/>
      </c>
      <c r="N41" s="25" t="str">
        <f aca="true">IF(E41="","",IF(AND(K41&lt;&gt;"",OR(H41="",K41&gt;=H41)),IF(J41="CMRI","Aguardar a CMRI (até a 3ª reunião mensal depois da autuação)","Aguardar decisão do recurso ou da reclamação"),IF(H41="",IF(TODAY()&lt;=G41,"Aguardar resposta do órgão",IF(TODAY()&lt;E41+30,"Prazo vencido: reclamação (modelo E) a partir da próxima data",IF(TODAY()&lt;=E41+40,"Fazer reclamação (modelo E) até a próxima data","Janela de reclamação encerrada: novo pedido ou modelo G"))),IF(I41="Atendido","Concluído: registre a resposta no Log",IF(OR(I41="Negado",I41="Atendido em parte"),"Recorrer (modelo B ou D) até a próxima data","Preencha o resultado da resposta")))))</f>
        <v/>
      </c>
      <c r="O41" s="24"/>
      <c r="P41" s="11"/>
    </row>
    <row r="42" customFormat="false" ht="15" hidden="false" customHeight="false" outlineLevel="0" collapsed="false">
      <c r="A42" s="24"/>
      <c r="B42" s="11"/>
      <c r="C42" s="23"/>
      <c r="D42" s="11"/>
      <c r="E42" s="22"/>
      <c r="F42" s="23"/>
      <c r="G42" s="29" t="str">
        <f aca="false">IF(E42="","",E42+IF(F42="Sim",30,20))</f>
        <v/>
      </c>
      <c r="H42" s="22"/>
      <c r="I42" s="23"/>
      <c r="J42" s="23"/>
      <c r="K42" s="22"/>
      <c r="L42" s="29" t="str">
        <f aca="true">IF(E42="","",IF(AND(K42&lt;&gt;"",OR(H42="",K42&gt;=H42)),IF(J42="CMRI","",K42+5),IF(H42="",IF(TODAY()&lt;=G42,G42,IF(TODAY()&lt;E42+30,E42+30,E42+40)),IF(OR(I42="Negado",I42="Atendido em parte"),H42+10,""))))</f>
        <v/>
      </c>
      <c r="M42" s="27" t="str">
        <f aca="true">IF(L42="","",L42-TODAY())</f>
        <v/>
      </c>
      <c r="N42" s="25" t="str">
        <f aca="true">IF(E42="","",IF(AND(K42&lt;&gt;"",OR(H42="",K42&gt;=H42)),IF(J42="CMRI","Aguardar a CMRI (até a 3ª reunião mensal depois da autuação)","Aguardar decisão do recurso ou da reclamação"),IF(H42="",IF(TODAY()&lt;=G42,"Aguardar resposta do órgão",IF(TODAY()&lt;E42+30,"Prazo vencido: reclamação (modelo E) a partir da próxima data",IF(TODAY()&lt;=E42+40,"Fazer reclamação (modelo E) até a próxima data","Janela de reclamação encerrada: novo pedido ou modelo G"))),IF(I42="Atendido","Concluído: registre a resposta no Log",IF(OR(I42="Negado",I42="Atendido em parte"),"Recorrer (modelo B ou D) até a próxima data","Preencha o resultado da resposta")))))</f>
        <v/>
      </c>
      <c r="O42" s="24"/>
      <c r="P42" s="11"/>
    </row>
    <row r="43" customFormat="false" ht="15" hidden="false" customHeight="false" outlineLevel="0" collapsed="false">
      <c r="A43" s="24"/>
      <c r="B43" s="11"/>
      <c r="C43" s="23"/>
      <c r="D43" s="11"/>
      <c r="E43" s="22"/>
      <c r="F43" s="23"/>
      <c r="G43" s="29" t="str">
        <f aca="false">IF(E43="","",E43+IF(F43="Sim",30,20))</f>
        <v/>
      </c>
      <c r="H43" s="22"/>
      <c r="I43" s="23"/>
      <c r="J43" s="23"/>
      <c r="K43" s="22"/>
      <c r="L43" s="29" t="str">
        <f aca="true">IF(E43="","",IF(AND(K43&lt;&gt;"",OR(H43="",K43&gt;=H43)),IF(J43="CMRI","",K43+5),IF(H43="",IF(TODAY()&lt;=G43,G43,IF(TODAY()&lt;E43+30,E43+30,E43+40)),IF(OR(I43="Negado",I43="Atendido em parte"),H43+10,""))))</f>
        <v/>
      </c>
      <c r="M43" s="27" t="str">
        <f aca="true">IF(L43="","",L43-TODAY())</f>
        <v/>
      </c>
      <c r="N43" s="25" t="str">
        <f aca="true">IF(E43="","",IF(AND(K43&lt;&gt;"",OR(H43="",K43&gt;=H43)),IF(J43="CMRI","Aguardar a CMRI (até a 3ª reunião mensal depois da autuação)","Aguardar decisão do recurso ou da reclamação"),IF(H43="",IF(TODAY()&lt;=G43,"Aguardar resposta do órgão",IF(TODAY()&lt;E43+30,"Prazo vencido: reclamação (modelo E) a partir da próxima data",IF(TODAY()&lt;=E43+40,"Fazer reclamação (modelo E) até a próxima data","Janela de reclamação encerrada: novo pedido ou modelo G"))),IF(I43="Atendido","Concluído: registre a resposta no Log",IF(OR(I43="Negado",I43="Atendido em parte"),"Recorrer (modelo B ou D) até a próxima data","Preencha o resultado da resposta")))))</f>
        <v/>
      </c>
      <c r="O43" s="24"/>
      <c r="P43" s="11"/>
    </row>
    <row r="44" customFormat="false" ht="15" hidden="false" customHeight="false" outlineLevel="0" collapsed="false">
      <c r="A44" s="24"/>
      <c r="B44" s="11"/>
      <c r="C44" s="23"/>
      <c r="D44" s="11"/>
      <c r="E44" s="22"/>
      <c r="F44" s="23"/>
      <c r="G44" s="29" t="str">
        <f aca="false">IF(E44="","",E44+IF(F44="Sim",30,20))</f>
        <v/>
      </c>
      <c r="H44" s="22"/>
      <c r="I44" s="23"/>
      <c r="J44" s="23"/>
      <c r="K44" s="22"/>
      <c r="L44" s="29" t="str">
        <f aca="true">IF(E44="","",IF(AND(K44&lt;&gt;"",OR(H44="",K44&gt;=H44)),IF(J44="CMRI","",K44+5),IF(H44="",IF(TODAY()&lt;=G44,G44,IF(TODAY()&lt;E44+30,E44+30,E44+40)),IF(OR(I44="Negado",I44="Atendido em parte"),H44+10,""))))</f>
        <v/>
      </c>
      <c r="M44" s="27" t="str">
        <f aca="true">IF(L44="","",L44-TODAY())</f>
        <v/>
      </c>
      <c r="N44" s="25" t="str">
        <f aca="true">IF(E44="","",IF(AND(K44&lt;&gt;"",OR(H44="",K44&gt;=H44)),IF(J44="CMRI","Aguardar a CMRI (até a 3ª reunião mensal depois da autuação)","Aguardar decisão do recurso ou da reclamação"),IF(H44="",IF(TODAY()&lt;=G44,"Aguardar resposta do órgão",IF(TODAY()&lt;E44+30,"Prazo vencido: reclamação (modelo E) a partir da próxima data",IF(TODAY()&lt;=E44+40,"Fazer reclamação (modelo E) até a próxima data","Janela de reclamação encerrada: novo pedido ou modelo G"))),IF(I44="Atendido","Concluído: registre a resposta no Log",IF(OR(I44="Negado",I44="Atendido em parte"),"Recorrer (modelo B ou D) até a próxima data","Preencha o resultado da resposta")))))</f>
        <v/>
      </c>
      <c r="O44" s="24"/>
      <c r="P44" s="11"/>
    </row>
    <row r="45" customFormat="false" ht="15" hidden="false" customHeight="false" outlineLevel="0" collapsed="false">
      <c r="A45" s="24"/>
      <c r="B45" s="11"/>
      <c r="C45" s="23"/>
      <c r="D45" s="11"/>
      <c r="E45" s="22"/>
      <c r="F45" s="23"/>
      <c r="G45" s="29" t="str">
        <f aca="false">IF(E45="","",E45+IF(F45="Sim",30,20))</f>
        <v/>
      </c>
      <c r="H45" s="22"/>
      <c r="I45" s="23"/>
      <c r="J45" s="23"/>
      <c r="K45" s="22"/>
      <c r="L45" s="29" t="str">
        <f aca="true">IF(E45="","",IF(AND(K45&lt;&gt;"",OR(H45="",K45&gt;=H45)),IF(J45="CMRI","",K45+5),IF(H45="",IF(TODAY()&lt;=G45,G45,IF(TODAY()&lt;E45+30,E45+30,E45+40)),IF(OR(I45="Negado",I45="Atendido em parte"),H45+10,""))))</f>
        <v/>
      </c>
      <c r="M45" s="27" t="str">
        <f aca="true">IF(L45="","",L45-TODAY())</f>
        <v/>
      </c>
      <c r="N45" s="25" t="str">
        <f aca="true">IF(E45="","",IF(AND(K45&lt;&gt;"",OR(H45="",K45&gt;=H45)),IF(J45="CMRI","Aguardar a CMRI (até a 3ª reunião mensal depois da autuação)","Aguardar decisão do recurso ou da reclamação"),IF(H45="",IF(TODAY()&lt;=G45,"Aguardar resposta do órgão",IF(TODAY()&lt;E45+30,"Prazo vencido: reclamação (modelo E) a partir da próxima data",IF(TODAY()&lt;=E45+40,"Fazer reclamação (modelo E) até a próxima data","Janela de reclamação encerrada: novo pedido ou modelo G"))),IF(I45="Atendido","Concluído: registre a resposta no Log",IF(OR(I45="Negado",I45="Atendido em parte"),"Recorrer (modelo B ou D) até a próxima data","Preencha o resultado da resposta")))))</f>
        <v/>
      </c>
      <c r="O45" s="24"/>
      <c r="P45" s="11"/>
    </row>
    <row r="46" customFormat="false" ht="15" hidden="false" customHeight="false" outlineLevel="0" collapsed="false">
      <c r="A46" s="24"/>
      <c r="B46" s="11"/>
      <c r="C46" s="23"/>
      <c r="D46" s="11"/>
      <c r="E46" s="22"/>
      <c r="F46" s="23"/>
      <c r="G46" s="29" t="str">
        <f aca="false">IF(E46="","",E46+IF(F46="Sim",30,20))</f>
        <v/>
      </c>
      <c r="H46" s="22"/>
      <c r="I46" s="23"/>
      <c r="J46" s="23"/>
      <c r="K46" s="22"/>
      <c r="L46" s="29" t="str">
        <f aca="true">IF(E46="","",IF(AND(K46&lt;&gt;"",OR(H46="",K46&gt;=H46)),IF(J46="CMRI","",K46+5),IF(H46="",IF(TODAY()&lt;=G46,G46,IF(TODAY()&lt;E46+30,E46+30,E46+40)),IF(OR(I46="Negado",I46="Atendido em parte"),H46+10,""))))</f>
        <v/>
      </c>
      <c r="M46" s="27" t="str">
        <f aca="true">IF(L46="","",L46-TODAY())</f>
        <v/>
      </c>
      <c r="N46" s="25" t="str">
        <f aca="true">IF(E46="","",IF(AND(K46&lt;&gt;"",OR(H46="",K46&gt;=H46)),IF(J46="CMRI","Aguardar a CMRI (até a 3ª reunião mensal depois da autuação)","Aguardar decisão do recurso ou da reclamação"),IF(H46="",IF(TODAY()&lt;=G46,"Aguardar resposta do órgão",IF(TODAY()&lt;E46+30,"Prazo vencido: reclamação (modelo E) a partir da próxima data",IF(TODAY()&lt;=E46+40,"Fazer reclamação (modelo E) até a próxima data","Janela de reclamação encerrada: novo pedido ou modelo G"))),IF(I46="Atendido","Concluído: registre a resposta no Log",IF(OR(I46="Negado",I46="Atendido em parte"),"Recorrer (modelo B ou D) até a próxima data","Preencha o resultado da resposta")))))</f>
        <v/>
      </c>
      <c r="O46" s="24"/>
      <c r="P46" s="11"/>
    </row>
    <row r="47" customFormat="false" ht="15" hidden="false" customHeight="false" outlineLevel="0" collapsed="false">
      <c r="A47" s="24"/>
      <c r="B47" s="11"/>
      <c r="C47" s="23"/>
      <c r="D47" s="11"/>
      <c r="E47" s="22"/>
      <c r="F47" s="23"/>
      <c r="G47" s="29" t="str">
        <f aca="false">IF(E47="","",E47+IF(F47="Sim",30,20))</f>
        <v/>
      </c>
      <c r="H47" s="22"/>
      <c r="I47" s="23"/>
      <c r="J47" s="23"/>
      <c r="K47" s="22"/>
      <c r="L47" s="29" t="str">
        <f aca="true">IF(E47="","",IF(AND(K47&lt;&gt;"",OR(H47="",K47&gt;=H47)),IF(J47="CMRI","",K47+5),IF(H47="",IF(TODAY()&lt;=G47,G47,IF(TODAY()&lt;E47+30,E47+30,E47+40)),IF(OR(I47="Negado",I47="Atendido em parte"),H47+10,""))))</f>
        <v/>
      </c>
      <c r="M47" s="27" t="str">
        <f aca="true">IF(L47="","",L47-TODAY())</f>
        <v/>
      </c>
      <c r="N47" s="25" t="str">
        <f aca="true">IF(E47="","",IF(AND(K47&lt;&gt;"",OR(H47="",K47&gt;=H47)),IF(J47="CMRI","Aguardar a CMRI (até a 3ª reunião mensal depois da autuação)","Aguardar decisão do recurso ou da reclamação"),IF(H47="",IF(TODAY()&lt;=G47,"Aguardar resposta do órgão",IF(TODAY()&lt;E47+30,"Prazo vencido: reclamação (modelo E) a partir da próxima data",IF(TODAY()&lt;=E47+40,"Fazer reclamação (modelo E) até a próxima data","Janela de reclamação encerrada: novo pedido ou modelo G"))),IF(I47="Atendido","Concluído: registre a resposta no Log",IF(OR(I47="Negado",I47="Atendido em parte"),"Recorrer (modelo B ou D) até a próxima data","Preencha o resultado da resposta")))))</f>
        <v/>
      </c>
      <c r="O47" s="24"/>
      <c r="P47" s="11"/>
    </row>
    <row r="48" customFormat="false" ht="15" hidden="false" customHeight="false" outlineLevel="0" collapsed="false">
      <c r="A48" s="24"/>
      <c r="B48" s="11"/>
      <c r="C48" s="23"/>
      <c r="D48" s="11"/>
      <c r="E48" s="22"/>
      <c r="F48" s="23"/>
      <c r="G48" s="29" t="str">
        <f aca="false">IF(E48="","",E48+IF(F48="Sim",30,20))</f>
        <v/>
      </c>
      <c r="H48" s="22"/>
      <c r="I48" s="23"/>
      <c r="J48" s="23"/>
      <c r="K48" s="22"/>
      <c r="L48" s="29" t="str">
        <f aca="true">IF(E48="","",IF(AND(K48&lt;&gt;"",OR(H48="",K48&gt;=H48)),IF(J48="CMRI","",K48+5),IF(H48="",IF(TODAY()&lt;=G48,G48,IF(TODAY()&lt;E48+30,E48+30,E48+40)),IF(OR(I48="Negado",I48="Atendido em parte"),H48+10,""))))</f>
        <v/>
      </c>
      <c r="M48" s="27" t="str">
        <f aca="true">IF(L48="","",L48-TODAY())</f>
        <v/>
      </c>
      <c r="N48" s="25" t="str">
        <f aca="true">IF(E48="","",IF(AND(K48&lt;&gt;"",OR(H48="",K48&gt;=H48)),IF(J48="CMRI","Aguardar a CMRI (até a 3ª reunião mensal depois da autuação)","Aguardar decisão do recurso ou da reclamação"),IF(H48="",IF(TODAY()&lt;=G48,"Aguardar resposta do órgão",IF(TODAY()&lt;E48+30,"Prazo vencido: reclamação (modelo E) a partir da próxima data",IF(TODAY()&lt;=E48+40,"Fazer reclamação (modelo E) até a próxima data","Janela de reclamação encerrada: novo pedido ou modelo G"))),IF(I48="Atendido","Concluído: registre a resposta no Log",IF(OR(I48="Negado",I48="Atendido em parte"),"Recorrer (modelo B ou D) até a próxima data","Preencha o resultado da resposta")))))</f>
        <v/>
      </c>
      <c r="O48" s="24"/>
      <c r="P48" s="11"/>
    </row>
    <row r="49" customFormat="false" ht="15" hidden="false" customHeight="false" outlineLevel="0" collapsed="false">
      <c r="A49" s="24"/>
      <c r="B49" s="11"/>
      <c r="C49" s="23"/>
      <c r="D49" s="11"/>
      <c r="E49" s="22"/>
      <c r="F49" s="23"/>
      <c r="G49" s="29" t="str">
        <f aca="false">IF(E49="","",E49+IF(F49="Sim",30,20))</f>
        <v/>
      </c>
      <c r="H49" s="22"/>
      <c r="I49" s="23"/>
      <c r="J49" s="23"/>
      <c r="K49" s="22"/>
      <c r="L49" s="29" t="str">
        <f aca="true">IF(E49="","",IF(AND(K49&lt;&gt;"",OR(H49="",K49&gt;=H49)),IF(J49="CMRI","",K49+5),IF(H49="",IF(TODAY()&lt;=G49,G49,IF(TODAY()&lt;E49+30,E49+30,E49+40)),IF(OR(I49="Negado",I49="Atendido em parte"),H49+10,""))))</f>
        <v/>
      </c>
      <c r="M49" s="27" t="str">
        <f aca="true">IF(L49="","",L49-TODAY())</f>
        <v/>
      </c>
      <c r="N49" s="25" t="str">
        <f aca="true">IF(E49="","",IF(AND(K49&lt;&gt;"",OR(H49="",K49&gt;=H49)),IF(J49="CMRI","Aguardar a CMRI (até a 3ª reunião mensal depois da autuação)","Aguardar decisão do recurso ou da reclamação"),IF(H49="",IF(TODAY()&lt;=G49,"Aguardar resposta do órgão",IF(TODAY()&lt;E49+30,"Prazo vencido: reclamação (modelo E) a partir da próxima data",IF(TODAY()&lt;=E49+40,"Fazer reclamação (modelo E) até a próxima data","Janela de reclamação encerrada: novo pedido ou modelo G"))),IF(I49="Atendido","Concluído: registre a resposta no Log",IF(OR(I49="Negado",I49="Atendido em parte"),"Recorrer (modelo B ou D) até a próxima data","Preencha o resultado da resposta")))))</f>
        <v/>
      </c>
      <c r="O49" s="24"/>
      <c r="P49" s="11"/>
    </row>
    <row r="50" customFormat="false" ht="15" hidden="false" customHeight="false" outlineLevel="0" collapsed="false">
      <c r="A50" s="24"/>
      <c r="B50" s="11"/>
      <c r="C50" s="23"/>
      <c r="D50" s="11"/>
      <c r="E50" s="22"/>
      <c r="F50" s="23"/>
      <c r="G50" s="29" t="str">
        <f aca="false">IF(E50="","",E50+IF(F50="Sim",30,20))</f>
        <v/>
      </c>
      <c r="H50" s="22"/>
      <c r="I50" s="23"/>
      <c r="J50" s="23"/>
      <c r="K50" s="22"/>
      <c r="L50" s="29" t="str">
        <f aca="true">IF(E50="","",IF(AND(K50&lt;&gt;"",OR(H50="",K50&gt;=H50)),IF(J50="CMRI","",K50+5),IF(H50="",IF(TODAY()&lt;=G50,G50,IF(TODAY()&lt;E50+30,E50+30,E50+40)),IF(OR(I50="Negado",I50="Atendido em parte"),H50+10,""))))</f>
        <v/>
      </c>
      <c r="M50" s="27" t="str">
        <f aca="true">IF(L50="","",L50-TODAY())</f>
        <v/>
      </c>
      <c r="N50" s="25" t="str">
        <f aca="true">IF(E50="","",IF(AND(K50&lt;&gt;"",OR(H50="",K50&gt;=H50)),IF(J50="CMRI","Aguardar a CMRI (até a 3ª reunião mensal depois da autuação)","Aguardar decisão do recurso ou da reclamação"),IF(H50="",IF(TODAY()&lt;=G50,"Aguardar resposta do órgão",IF(TODAY()&lt;E50+30,"Prazo vencido: reclamação (modelo E) a partir da próxima data",IF(TODAY()&lt;=E50+40,"Fazer reclamação (modelo E) até a próxima data","Janela de reclamação encerrada: novo pedido ou modelo G"))),IF(I50="Atendido","Concluído: registre a resposta no Log",IF(OR(I50="Negado",I50="Atendido em parte"),"Recorrer (modelo B ou D) até a próxima data","Preencha o resultado da resposta")))))</f>
        <v/>
      </c>
      <c r="O50" s="24"/>
      <c r="P50" s="11"/>
    </row>
    <row r="51" customFormat="false" ht="15" hidden="false" customHeight="false" outlineLevel="0" collapsed="false">
      <c r="A51" s="24"/>
      <c r="B51" s="11"/>
      <c r="C51" s="23"/>
      <c r="D51" s="11"/>
      <c r="E51" s="22"/>
      <c r="F51" s="23"/>
      <c r="G51" s="29" t="str">
        <f aca="false">IF(E51="","",E51+IF(F51="Sim",30,20))</f>
        <v/>
      </c>
      <c r="H51" s="22"/>
      <c r="I51" s="23"/>
      <c r="J51" s="23"/>
      <c r="K51" s="22"/>
      <c r="L51" s="29" t="str">
        <f aca="true">IF(E51="","",IF(AND(K51&lt;&gt;"",OR(H51="",K51&gt;=H51)),IF(J51="CMRI","",K51+5),IF(H51="",IF(TODAY()&lt;=G51,G51,IF(TODAY()&lt;E51+30,E51+30,E51+40)),IF(OR(I51="Negado",I51="Atendido em parte"),H51+10,""))))</f>
        <v/>
      </c>
      <c r="M51" s="27" t="str">
        <f aca="true">IF(L51="","",L51-TODAY())</f>
        <v/>
      </c>
      <c r="N51" s="25" t="str">
        <f aca="true">IF(E51="","",IF(AND(K51&lt;&gt;"",OR(H51="",K51&gt;=H51)),IF(J51="CMRI","Aguardar a CMRI (até a 3ª reunião mensal depois da autuação)","Aguardar decisão do recurso ou da reclamação"),IF(H51="",IF(TODAY()&lt;=G51,"Aguardar resposta do órgão",IF(TODAY()&lt;E51+30,"Prazo vencido: reclamação (modelo E) a partir da próxima data",IF(TODAY()&lt;=E51+40,"Fazer reclamação (modelo E) até a próxima data","Janela de reclamação encerrada: novo pedido ou modelo G"))),IF(I51="Atendido","Concluído: registre a resposta no Log",IF(OR(I51="Negado",I51="Atendido em parte"),"Recorrer (modelo B ou D) até a próxima data","Preencha o resultado da resposta")))))</f>
        <v/>
      </c>
      <c r="O51" s="24"/>
      <c r="P51" s="11"/>
    </row>
    <row r="52" customFormat="false" ht="15" hidden="false" customHeight="false" outlineLevel="0" collapsed="false">
      <c r="A52" s="24"/>
      <c r="B52" s="11"/>
      <c r="C52" s="23"/>
      <c r="D52" s="11"/>
      <c r="E52" s="22"/>
      <c r="F52" s="23"/>
      <c r="G52" s="29" t="str">
        <f aca="false">IF(E52="","",E52+IF(F52="Sim",30,20))</f>
        <v/>
      </c>
      <c r="H52" s="22"/>
      <c r="I52" s="23"/>
      <c r="J52" s="23"/>
      <c r="K52" s="22"/>
      <c r="L52" s="29" t="str">
        <f aca="true">IF(E52="","",IF(AND(K52&lt;&gt;"",OR(H52="",K52&gt;=H52)),IF(J52="CMRI","",K52+5),IF(H52="",IF(TODAY()&lt;=G52,G52,IF(TODAY()&lt;E52+30,E52+30,E52+40)),IF(OR(I52="Negado",I52="Atendido em parte"),H52+10,""))))</f>
        <v/>
      </c>
      <c r="M52" s="27" t="str">
        <f aca="true">IF(L52="","",L52-TODAY())</f>
        <v/>
      </c>
      <c r="N52" s="25" t="str">
        <f aca="true">IF(E52="","",IF(AND(K52&lt;&gt;"",OR(H52="",K52&gt;=H52)),IF(J52="CMRI","Aguardar a CMRI (até a 3ª reunião mensal depois da autuação)","Aguardar decisão do recurso ou da reclamação"),IF(H52="",IF(TODAY()&lt;=G52,"Aguardar resposta do órgão",IF(TODAY()&lt;E52+30,"Prazo vencido: reclamação (modelo E) a partir da próxima data",IF(TODAY()&lt;=E52+40,"Fazer reclamação (modelo E) até a próxima data","Janela de reclamação encerrada: novo pedido ou modelo G"))),IF(I52="Atendido","Concluído: registre a resposta no Log",IF(OR(I52="Negado",I52="Atendido em parte"),"Recorrer (modelo B ou D) até a próxima data","Preencha o resultado da resposta")))))</f>
        <v/>
      </c>
      <c r="O52" s="24"/>
      <c r="P52" s="11"/>
    </row>
    <row r="53" customFormat="false" ht="15" hidden="false" customHeight="false" outlineLevel="0" collapsed="false">
      <c r="A53" s="24"/>
      <c r="B53" s="11"/>
      <c r="C53" s="23"/>
      <c r="D53" s="11"/>
      <c r="E53" s="22"/>
      <c r="F53" s="23"/>
      <c r="G53" s="29" t="str">
        <f aca="false">IF(E53="","",E53+IF(F53="Sim",30,20))</f>
        <v/>
      </c>
      <c r="H53" s="22"/>
      <c r="I53" s="23"/>
      <c r="J53" s="23"/>
      <c r="K53" s="22"/>
      <c r="L53" s="29" t="str">
        <f aca="true">IF(E53="","",IF(AND(K53&lt;&gt;"",OR(H53="",K53&gt;=H53)),IF(J53="CMRI","",K53+5),IF(H53="",IF(TODAY()&lt;=G53,G53,IF(TODAY()&lt;E53+30,E53+30,E53+40)),IF(OR(I53="Negado",I53="Atendido em parte"),H53+10,""))))</f>
        <v/>
      </c>
      <c r="M53" s="27" t="str">
        <f aca="true">IF(L53="","",L53-TODAY())</f>
        <v/>
      </c>
      <c r="N53" s="25" t="str">
        <f aca="true">IF(E53="","",IF(AND(K53&lt;&gt;"",OR(H53="",K53&gt;=H53)),IF(J53="CMRI","Aguardar a CMRI (até a 3ª reunião mensal depois da autuação)","Aguardar decisão do recurso ou da reclamação"),IF(H53="",IF(TODAY()&lt;=G53,"Aguardar resposta do órgão",IF(TODAY()&lt;E53+30,"Prazo vencido: reclamação (modelo E) a partir da próxima data",IF(TODAY()&lt;=E53+40,"Fazer reclamação (modelo E) até a próxima data","Janela de reclamação encerrada: novo pedido ou modelo G"))),IF(I53="Atendido","Concluído: registre a resposta no Log",IF(OR(I53="Negado",I53="Atendido em parte"),"Recorrer (modelo B ou D) até a próxima data","Preencha o resultado da resposta")))))</f>
        <v/>
      </c>
      <c r="O53" s="24"/>
      <c r="P53" s="11"/>
    </row>
    <row r="54" customFormat="false" ht="15" hidden="false" customHeight="false" outlineLevel="0" collapsed="false">
      <c r="A54" s="24"/>
      <c r="B54" s="11"/>
      <c r="C54" s="23"/>
      <c r="D54" s="11"/>
      <c r="E54" s="22"/>
      <c r="F54" s="23"/>
      <c r="G54" s="29" t="str">
        <f aca="false">IF(E54="","",E54+IF(F54="Sim",30,20))</f>
        <v/>
      </c>
      <c r="H54" s="22"/>
      <c r="I54" s="23"/>
      <c r="J54" s="23"/>
      <c r="K54" s="22"/>
      <c r="L54" s="29" t="str">
        <f aca="true">IF(E54="","",IF(AND(K54&lt;&gt;"",OR(H54="",K54&gt;=H54)),IF(J54="CMRI","",K54+5),IF(H54="",IF(TODAY()&lt;=G54,G54,IF(TODAY()&lt;E54+30,E54+30,E54+40)),IF(OR(I54="Negado",I54="Atendido em parte"),H54+10,""))))</f>
        <v/>
      </c>
      <c r="M54" s="27" t="str">
        <f aca="true">IF(L54="","",L54-TODAY())</f>
        <v/>
      </c>
      <c r="N54" s="25" t="str">
        <f aca="true">IF(E54="","",IF(AND(K54&lt;&gt;"",OR(H54="",K54&gt;=H54)),IF(J54="CMRI","Aguardar a CMRI (até a 3ª reunião mensal depois da autuação)","Aguardar decisão do recurso ou da reclamação"),IF(H54="",IF(TODAY()&lt;=G54,"Aguardar resposta do órgão",IF(TODAY()&lt;E54+30,"Prazo vencido: reclamação (modelo E) a partir da próxima data",IF(TODAY()&lt;=E54+40,"Fazer reclamação (modelo E) até a próxima data","Janela de reclamação encerrada: novo pedido ou modelo G"))),IF(I54="Atendido","Concluído: registre a resposta no Log",IF(OR(I54="Negado",I54="Atendido em parte"),"Recorrer (modelo B ou D) até a próxima data","Preencha o resultado da resposta")))))</f>
        <v/>
      </c>
      <c r="O54" s="24"/>
      <c r="P54" s="11"/>
    </row>
    <row r="55" customFormat="false" ht="15" hidden="false" customHeight="false" outlineLevel="0" collapsed="false">
      <c r="A55" s="24"/>
      <c r="B55" s="11"/>
      <c r="C55" s="23"/>
      <c r="D55" s="11"/>
      <c r="E55" s="22"/>
      <c r="F55" s="23"/>
      <c r="G55" s="29" t="str">
        <f aca="false">IF(E55="","",E55+IF(F55="Sim",30,20))</f>
        <v/>
      </c>
      <c r="H55" s="22"/>
      <c r="I55" s="23"/>
      <c r="J55" s="23"/>
      <c r="K55" s="22"/>
      <c r="L55" s="29" t="str">
        <f aca="true">IF(E55="","",IF(AND(K55&lt;&gt;"",OR(H55="",K55&gt;=H55)),IF(J55="CMRI","",K55+5),IF(H55="",IF(TODAY()&lt;=G55,G55,IF(TODAY()&lt;E55+30,E55+30,E55+40)),IF(OR(I55="Negado",I55="Atendido em parte"),H55+10,""))))</f>
        <v/>
      </c>
      <c r="M55" s="27" t="str">
        <f aca="true">IF(L55="","",L55-TODAY())</f>
        <v/>
      </c>
      <c r="N55" s="25" t="str">
        <f aca="true">IF(E55="","",IF(AND(K55&lt;&gt;"",OR(H55="",K55&gt;=H55)),IF(J55="CMRI","Aguardar a CMRI (até a 3ª reunião mensal depois da autuação)","Aguardar decisão do recurso ou da reclamação"),IF(H55="",IF(TODAY()&lt;=G55,"Aguardar resposta do órgão",IF(TODAY()&lt;E55+30,"Prazo vencido: reclamação (modelo E) a partir da próxima data",IF(TODAY()&lt;=E55+40,"Fazer reclamação (modelo E) até a próxima data","Janela de reclamação encerrada: novo pedido ou modelo G"))),IF(I55="Atendido","Concluído: registre a resposta no Log",IF(OR(I55="Negado",I55="Atendido em parte"),"Recorrer (modelo B ou D) até a próxima data","Preencha o resultado da resposta")))))</f>
        <v/>
      </c>
      <c r="O55" s="24"/>
      <c r="P55" s="11"/>
    </row>
    <row r="56" customFormat="false" ht="15" hidden="false" customHeight="false" outlineLevel="0" collapsed="false">
      <c r="A56" s="24"/>
      <c r="B56" s="11"/>
      <c r="C56" s="23"/>
      <c r="D56" s="11"/>
      <c r="E56" s="22"/>
      <c r="F56" s="23"/>
      <c r="G56" s="29" t="str">
        <f aca="false">IF(E56="","",E56+IF(F56="Sim",30,20))</f>
        <v/>
      </c>
      <c r="H56" s="22"/>
      <c r="I56" s="23"/>
      <c r="J56" s="23"/>
      <c r="K56" s="22"/>
      <c r="L56" s="29" t="str">
        <f aca="true">IF(E56="","",IF(AND(K56&lt;&gt;"",OR(H56="",K56&gt;=H56)),IF(J56="CMRI","",K56+5),IF(H56="",IF(TODAY()&lt;=G56,G56,IF(TODAY()&lt;E56+30,E56+30,E56+40)),IF(OR(I56="Negado",I56="Atendido em parte"),H56+10,""))))</f>
        <v/>
      </c>
      <c r="M56" s="27" t="str">
        <f aca="true">IF(L56="","",L56-TODAY())</f>
        <v/>
      </c>
      <c r="N56" s="25" t="str">
        <f aca="true">IF(E56="","",IF(AND(K56&lt;&gt;"",OR(H56="",K56&gt;=H56)),IF(J56="CMRI","Aguardar a CMRI (até a 3ª reunião mensal depois da autuação)","Aguardar decisão do recurso ou da reclamação"),IF(H56="",IF(TODAY()&lt;=G56,"Aguardar resposta do órgão",IF(TODAY()&lt;E56+30,"Prazo vencido: reclamação (modelo E) a partir da próxima data",IF(TODAY()&lt;=E56+40,"Fazer reclamação (modelo E) até a próxima data","Janela de reclamação encerrada: novo pedido ou modelo G"))),IF(I56="Atendido","Concluído: registre a resposta no Log",IF(OR(I56="Negado",I56="Atendido em parte"),"Recorrer (modelo B ou D) até a próxima data","Preencha o resultado da resposta")))))</f>
        <v/>
      </c>
      <c r="O56" s="24"/>
      <c r="P56" s="11"/>
    </row>
    <row r="57" customFormat="false" ht="15" hidden="false" customHeight="false" outlineLevel="0" collapsed="false">
      <c r="A57" s="24"/>
      <c r="B57" s="11"/>
      <c r="C57" s="23"/>
      <c r="D57" s="11"/>
      <c r="E57" s="22"/>
      <c r="F57" s="23"/>
      <c r="G57" s="29" t="str">
        <f aca="false">IF(E57="","",E57+IF(F57="Sim",30,20))</f>
        <v/>
      </c>
      <c r="H57" s="22"/>
      <c r="I57" s="23"/>
      <c r="J57" s="23"/>
      <c r="K57" s="22"/>
      <c r="L57" s="29" t="str">
        <f aca="true">IF(E57="","",IF(AND(K57&lt;&gt;"",OR(H57="",K57&gt;=H57)),IF(J57="CMRI","",K57+5),IF(H57="",IF(TODAY()&lt;=G57,G57,IF(TODAY()&lt;E57+30,E57+30,E57+40)),IF(OR(I57="Negado",I57="Atendido em parte"),H57+10,""))))</f>
        <v/>
      </c>
      <c r="M57" s="27" t="str">
        <f aca="true">IF(L57="","",L57-TODAY())</f>
        <v/>
      </c>
      <c r="N57" s="25" t="str">
        <f aca="true">IF(E57="","",IF(AND(K57&lt;&gt;"",OR(H57="",K57&gt;=H57)),IF(J57="CMRI","Aguardar a CMRI (até a 3ª reunião mensal depois da autuação)","Aguardar decisão do recurso ou da reclamação"),IF(H57="",IF(TODAY()&lt;=G57,"Aguardar resposta do órgão",IF(TODAY()&lt;E57+30,"Prazo vencido: reclamação (modelo E) a partir da próxima data",IF(TODAY()&lt;=E57+40,"Fazer reclamação (modelo E) até a próxima data","Janela de reclamação encerrada: novo pedido ou modelo G"))),IF(I57="Atendido","Concluído: registre a resposta no Log",IF(OR(I57="Negado",I57="Atendido em parte"),"Recorrer (modelo B ou D) até a próxima data","Preencha o resultado da resposta")))))</f>
        <v/>
      </c>
      <c r="O57" s="24"/>
      <c r="P57" s="11"/>
    </row>
    <row r="58" customFormat="false" ht="15" hidden="false" customHeight="false" outlineLevel="0" collapsed="false">
      <c r="A58" s="24"/>
      <c r="B58" s="11"/>
      <c r="C58" s="23"/>
      <c r="D58" s="11"/>
      <c r="E58" s="22"/>
      <c r="F58" s="23"/>
      <c r="G58" s="29" t="str">
        <f aca="false">IF(E58="","",E58+IF(F58="Sim",30,20))</f>
        <v/>
      </c>
      <c r="H58" s="22"/>
      <c r="I58" s="23"/>
      <c r="J58" s="23"/>
      <c r="K58" s="22"/>
      <c r="L58" s="29" t="str">
        <f aca="true">IF(E58="","",IF(AND(K58&lt;&gt;"",OR(H58="",K58&gt;=H58)),IF(J58="CMRI","",K58+5),IF(H58="",IF(TODAY()&lt;=G58,G58,IF(TODAY()&lt;E58+30,E58+30,E58+40)),IF(OR(I58="Negado",I58="Atendido em parte"),H58+10,""))))</f>
        <v/>
      </c>
      <c r="M58" s="27" t="str">
        <f aca="true">IF(L58="","",L58-TODAY())</f>
        <v/>
      </c>
      <c r="N58" s="25" t="str">
        <f aca="true">IF(E58="","",IF(AND(K58&lt;&gt;"",OR(H58="",K58&gt;=H58)),IF(J58="CMRI","Aguardar a CMRI (até a 3ª reunião mensal depois da autuação)","Aguardar decisão do recurso ou da reclamação"),IF(H58="",IF(TODAY()&lt;=G58,"Aguardar resposta do órgão",IF(TODAY()&lt;E58+30,"Prazo vencido: reclamação (modelo E) a partir da próxima data",IF(TODAY()&lt;=E58+40,"Fazer reclamação (modelo E) até a próxima data","Janela de reclamação encerrada: novo pedido ou modelo G"))),IF(I58="Atendido","Concluído: registre a resposta no Log",IF(OR(I58="Negado",I58="Atendido em parte"),"Recorrer (modelo B ou D) até a próxima data","Preencha o resultado da resposta")))))</f>
        <v/>
      </c>
      <c r="O58" s="24"/>
      <c r="P58" s="11"/>
    </row>
    <row r="59" customFormat="false" ht="15" hidden="false" customHeight="false" outlineLevel="0" collapsed="false">
      <c r="A59" s="24"/>
      <c r="B59" s="11"/>
      <c r="C59" s="23"/>
      <c r="D59" s="11"/>
      <c r="E59" s="22"/>
      <c r="F59" s="23"/>
      <c r="G59" s="29" t="str">
        <f aca="false">IF(E59="","",E59+IF(F59="Sim",30,20))</f>
        <v/>
      </c>
      <c r="H59" s="22"/>
      <c r="I59" s="23"/>
      <c r="J59" s="23"/>
      <c r="K59" s="22"/>
      <c r="L59" s="29" t="str">
        <f aca="true">IF(E59="","",IF(AND(K59&lt;&gt;"",OR(H59="",K59&gt;=H59)),IF(J59="CMRI","",K59+5),IF(H59="",IF(TODAY()&lt;=G59,G59,IF(TODAY()&lt;E59+30,E59+30,E59+40)),IF(OR(I59="Negado",I59="Atendido em parte"),H59+10,""))))</f>
        <v/>
      </c>
      <c r="M59" s="27" t="str">
        <f aca="true">IF(L59="","",L59-TODAY())</f>
        <v/>
      </c>
      <c r="N59" s="25" t="str">
        <f aca="true">IF(E59="","",IF(AND(K59&lt;&gt;"",OR(H59="",K59&gt;=H59)),IF(J59="CMRI","Aguardar a CMRI (até a 3ª reunião mensal depois da autuação)","Aguardar decisão do recurso ou da reclamação"),IF(H59="",IF(TODAY()&lt;=G59,"Aguardar resposta do órgão",IF(TODAY()&lt;E59+30,"Prazo vencido: reclamação (modelo E) a partir da próxima data",IF(TODAY()&lt;=E59+40,"Fazer reclamação (modelo E) até a próxima data","Janela de reclamação encerrada: novo pedido ou modelo G"))),IF(I59="Atendido","Concluído: registre a resposta no Log",IF(OR(I59="Negado",I59="Atendido em parte"),"Recorrer (modelo B ou D) até a próxima data","Preencha o resultado da resposta")))))</f>
        <v/>
      </c>
      <c r="O59" s="24"/>
      <c r="P59" s="11"/>
    </row>
    <row r="60" customFormat="false" ht="15" hidden="false" customHeight="false" outlineLevel="0" collapsed="false">
      <c r="A60" s="24"/>
      <c r="B60" s="11"/>
      <c r="C60" s="23"/>
      <c r="D60" s="11"/>
      <c r="E60" s="22"/>
      <c r="F60" s="23"/>
      <c r="G60" s="29" t="str">
        <f aca="false">IF(E60="","",E60+IF(F60="Sim",30,20))</f>
        <v/>
      </c>
      <c r="H60" s="22"/>
      <c r="I60" s="23"/>
      <c r="J60" s="23"/>
      <c r="K60" s="22"/>
      <c r="L60" s="29" t="str">
        <f aca="true">IF(E60="","",IF(AND(K60&lt;&gt;"",OR(H60="",K60&gt;=H60)),IF(J60="CMRI","",K60+5),IF(H60="",IF(TODAY()&lt;=G60,G60,IF(TODAY()&lt;E60+30,E60+30,E60+40)),IF(OR(I60="Negado",I60="Atendido em parte"),H60+10,""))))</f>
        <v/>
      </c>
      <c r="M60" s="27" t="str">
        <f aca="true">IF(L60="","",L60-TODAY())</f>
        <v/>
      </c>
      <c r="N60" s="25" t="str">
        <f aca="true">IF(E60="","",IF(AND(K60&lt;&gt;"",OR(H60="",K60&gt;=H60)),IF(J60="CMRI","Aguardar a CMRI (até a 3ª reunião mensal depois da autuação)","Aguardar decisão do recurso ou da reclamação"),IF(H60="",IF(TODAY()&lt;=G60,"Aguardar resposta do órgão",IF(TODAY()&lt;E60+30,"Prazo vencido: reclamação (modelo E) a partir da próxima data",IF(TODAY()&lt;=E60+40,"Fazer reclamação (modelo E) até a próxima data","Janela de reclamação encerrada: novo pedido ou modelo G"))),IF(I60="Atendido","Concluído: registre a resposta no Log",IF(OR(I60="Negado",I60="Atendido em parte"),"Recorrer (modelo B ou D) até a próxima data","Preencha o resultado da resposta")))))</f>
        <v/>
      </c>
      <c r="O60" s="24"/>
      <c r="P60" s="11"/>
    </row>
    <row r="61" customFormat="false" ht="15" hidden="false" customHeight="false" outlineLevel="0" collapsed="false">
      <c r="A61" s="24"/>
      <c r="B61" s="11"/>
      <c r="C61" s="23"/>
      <c r="D61" s="11"/>
      <c r="E61" s="22"/>
      <c r="F61" s="23"/>
      <c r="G61" s="29" t="str">
        <f aca="false">IF(E61="","",E61+IF(F61="Sim",30,20))</f>
        <v/>
      </c>
      <c r="H61" s="22"/>
      <c r="I61" s="23"/>
      <c r="J61" s="23"/>
      <c r="K61" s="22"/>
      <c r="L61" s="29" t="str">
        <f aca="true">IF(E61="","",IF(AND(K61&lt;&gt;"",OR(H61="",K61&gt;=H61)),IF(J61="CMRI","",K61+5),IF(H61="",IF(TODAY()&lt;=G61,G61,IF(TODAY()&lt;E61+30,E61+30,E61+40)),IF(OR(I61="Negado",I61="Atendido em parte"),H61+10,""))))</f>
        <v/>
      </c>
      <c r="M61" s="27" t="str">
        <f aca="true">IF(L61="","",L61-TODAY())</f>
        <v/>
      </c>
      <c r="N61" s="25" t="str">
        <f aca="true">IF(E61="","",IF(AND(K61&lt;&gt;"",OR(H61="",K61&gt;=H61)),IF(J61="CMRI","Aguardar a CMRI (até a 3ª reunião mensal depois da autuação)","Aguardar decisão do recurso ou da reclamação"),IF(H61="",IF(TODAY()&lt;=G61,"Aguardar resposta do órgão",IF(TODAY()&lt;E61+30,"Prazo vencido: reclamação (modelo E) a partir da próxima data",IF(TODAY()&lt;=E61+40,"Fazer reclamação (modelo E) até a próxima data","Janela de reclamação encerrada: novo pedido ou modelo G"))),IF(I61="Atendido","Concluído: registre a resposta no Log",IF(OR(I61="Negado",I61="Atendido em parte"),"Recorrer (modelo B ou D) até a próxima data","Preencha o resultado da resposta")))))</f>
        <v/>
      </c>
      <c r="O61" s="24"/>
      <c r="P61" s="11"/>
    </row>
    <row r="62" customFormat="false" ht="15" hidden="false" customHeight="false" outlineLevel="0" collapsed="false">
      <c r="A62" s="24"/>
      <c r="B62" s="11"/>
      <c r="C62" s="23"/>
      <c r="D62" s="11"/>
      <c r="E62" s="22"/>
      <c r="F62" s="23"/>
      <c r="G62" s="29" t="str">
        <f aca="false">IF(E62="","",E62+IF(F62="Sim",30,20))</f>
        <v/>
      </c>
      <c r="H62" s="22"/>
      <c r="I62" s="23"/>
      <c r="J62" s="23"/>
      <c r="K62" s="22"/>
      <c r="L62" s="29" t="str">
        <f aca="true">IF(E62="","",IF(AND(K62&lt;&gt;"",OR(H62="",K62&gt;=H62)),IF(J62="CMRI","",K62+5),IF(H62="",IF(TODAY()&lt;=G62,G62,IF(TODAY()&lt;E62+30,E62+30,E62+40)),IF(OR(I62="Negado",I62="Atendido em parte"),H62+10,""))))</f>
        <v/>
      </c>
      <c r="M62" s="27" t="str">
        <f aca="true">IF(L62="","",L62-TODAY())</f>
        <v/>
      </c>
      <c r="N62" s="25" t="str">
        <f aca="true">IF(E62="","",IF(AND(K62&lt;&gt;"",OR(H62="",K62&gt;=H62)),IF(J62="CMRI","Aguardar a CMRI (até a 3ª reunião mensal depois da autuação)","Aguardar decisão do recurso ou da reclamação"),IF(H62="",IF(TODAY()&lt;=G62,"Aguardar resposta do órgão",IF(TODAY()&lt;E62+30,"Prazo vencido: reclamação (modelo E) a partir da próxima data",IF(TODAY()&lt;=E62+40,"Fazer reclamação (modelo E) até a próxima data","Janela de reclamação encerrada: novo pedido ou modelo G"))),IF(I62="Atendido","Concluído: registre a resposta no Log",IF(OR(I62="Negado",I62="Atendido em parte"),"Recorrer (modelo B ou D) até a próxima data","Preencha o resultado da resposta")))))</f>
        <v/>
      </c>
      <c r="O62" s="24"/>
      <c r="P62" s="11"/>
    </row>
    <row r="63" customFormat="false" ht="15" hidden="false" customHeight="false" outlineLevel="0" collapsed="false">
      <c r="A63" s="24"/>
      <c r="B63" s="11"/>
      <c r="C63" s="23"/>
      <c r="D63" s="11"/>
      <c r="E63" s="22"/>
      <c r="F63" s="23"/>
      <c r="G63" s="29" t="str">
        <f aca="false">IF(E63="","",E63+IF(F63="Sim",30,20))</f>
        <v/>
      </c>
      <c r="H63" s="22"/>
      <c r="I63" s="23"/>
      <c r="J63" s="23"/>
      <c r="K63" s="22"/>
      <c r="L63" s="29" t="str">
        <f aca="true">IF(E63="","",IF(AND(K63&lt;&gt;"",OR(H63="",K63&gt;=H63)),IF(J63="CMRI","",K63+5),IF(H63="",IF(TODAY()&lt;=G63,G63,IF(TODAY()&lt;E63+30,E63+30,E63+40)),IF(OR(I63="Negado",I63="Atendido em parte"),H63+10,""))))</f>
        <v/>
      </c>
      <c r="M63" s="27" t="str">
        <f aca="true">IF(L63="","",L63-TODAY())</f>
        <v/>
      </c>
      <c r="N63" s="25" t="str">
        <f aca="true">IF(E63="","",IF(AND(K63&lt;&gt;"",OR(H63="",K63&gt;=H63)),IF(J63="CMRI","Aguardar a CMRI (até a 3ª reunião mensal depois da autuação)","Aguardar decisão do recurso ou da reclamação"),IF(H63="",IF(TODAY()&lt;=G63,"Aguardar resposta do órgão",IF(TODAY()&lt;E63+30,"Prazo vencido: reclamação (modelo E) a partir da próxima data",IF(TODAY()&lt;=E63+40,"Fazer reclamação (modelo E) até a próxima data","Janela de reclamação encerrada: novo pedido ou modelo G"))),IF(I63="Atendido","Concluído: registre a resposta no Log",IF(OR(I63="Negado",I63="Atendido em parte"),"Recorrer (modelo B ou D) até a próxima data","Preencha o resultado da resposta")))))</f>
        <v/>
      </c>
      <c r="O63" s="24"/>
      <c r="P63" s="11"/>
    </row>
    <row r="64" customFormat="false" ht="15" hidden="false" customHeight="false" outlineLevel="0" collapsed="false">
      <c r="A64" s="24"/>
      <c r="B64" s="11"/>
      <c r="C64" s="23"/>
      <c r="D64" s="11"/>
      <c r="E64" s="22"/>
      <c r="F64" s="23"/>
      <c r="G64" s="29" t="str">
        <f aca="false">IF(E64="","",E64+IF(F64="Sim",30,20))</f>
        <v/>
      </c>
      <c r="H64" s="22"/>
      <c r="I64" s="23"/>
      <c r="J64" s="23"/>
      <c r="K64" s="22"/>
      <c r="L64" s="29" t="str">
        <f aca="true">IF(E64="","",IF(AND(K64&lt;&gt;"",OR(H64="",K64&gt;=H64)),IF(J64="CMRI","",K64+5),IF(H64="",IF(TODAY()&lt;=G64,G64,IF(TODAY()&lt;E64+30,E64+30,E64+40)),IF(OR(I64="Negado",I64="Atendido em parte"),H64+10,""))))</f>
        <v/>
      </c>
      <c r="M64" s="27" t="str">
        <f aca="true">IF(L64="","",L64-TODAY())</f>
        <v/>
      </c>
      <c r="N64" s="25" t="str">
        <f aca="true">IF(E64="","",IF(AND(K64&lt;&gt;"",OR(H64="",K64&gt;=H64)),IF(J64="CMRI","Aguardar a CMRI (até a 3ª reunião mensal depois da autuação)","Aguardar decisão do recurso ou da reclamação"),IF(H64="",IF(TODAY()&lt;=G64,"Aguardar resposta do órgão",IF(TODAY()&lt;E64+30,"Prazo vencido: reclamação (modelo E) a partir da próxima data",IF(TODAY()&lt;=E64+40,"Fazer reclamação (modelo E) até a próxima data","Janela de reclamação encerrada: novo pedido ou modelo G"))),IF(I64="Atendido","Concluído: registre a resposta no Log",IF(OR(I64="Negado",I64="Atendido em parte"),"Recorrer (modelo B ou D) até a próxima data","Preencha o resultado da resposta")))))</f>
        <v/>
      </c>
      <c r="O64" s="24"/>
      <c r="P64" s="11"/>
    </row>
    <row r="65" customFormat="false" ht="15" hidden="false" customHeight="false" outlineLevel="0" collapsed="false">
      <c r="A65" s="24"/>
      <c r="B65" s="11"/>
      <c r="C65" s="23"/>
      <c r="D65" s="11"/>
      <c r="E65" s="22"/>
      <c r="F65" s="23"/>
      <c r="G65" s="29" t="str">
        <f aca="false">IF(E65="","",E65+IF(F65="Sim",30,20))</f>
        <v/>
      </c>
      <c r="H65" s="22"/>
      <c r="I65" s="23"/>
      <c r="J65" s="23"/>
      <c r="K65" s="22"/>
      <c r="L65" s="29" t="str">
        <f aca="true">IF(E65="","",IF(AND(K65&lt;&gt;"",OR(H65="",K65&gt;=H65)),IF(J65="CMRI","",K65+5),IF(H65="",IF(TODAY()&lt;=G65,G65,IF(TODAY()&lt;E65+30,E65+30,E65+40)),IF(OR(I65="Negado",I65="Atendido em parte"),H65+10,""))))</f>
        <v/>
      </c>
      <c r="M65" s="27" t="str">
        <f aca="true">IF(L65="","",L65-TODAY())</f>
        <v/>
      </c>
      <c r="N65" s="25" t="str">
        <f aca="true">IF(E65="","",IF(AND(K65&lt;&gt;"",OR(H65="",K65&gt;=H65)),IF(J65="CMRI","Aguardar a CMRI (até a 3ª reunião mensal depois da autuação)","Aguardar decisão do recurso ou da reclamação"),IF(H65="",IF(TODAY()&lt;=G65,"Aguardar resposta do órgão",IF(TODAY()&lt;E65+30,"Prazo vencido: reclamação (modelo E) a partir da próxima data",IF(TODAY()&lt;=E65+40,"Fazer reclamação (modelo E) até a próxima data","Janela de reclamação encerrada: novo pedido ou modelo G"))),IF(I65="Atendido","Concluído: registre a resposta no Log",IF(OR(I65="Negado",I65="Atendido em parte"),"Recorrer (modelo B ou D) até a próxima data","Preencha o resultado da resposta")))))</f>
        <v/>
      </c>
      <c r="O65" s="24"/>
      <c r="P65" s="11"/>
    </row>
    <row r="66" customFormat="false" ht="15" hidden="false" customHeight="false" outlineLevel="0" collapsed="false">
      <c r="A66" s="24"/>
      <c r="B66" s="11"/>
      <c r="C66" s="23"/>
      <c r="D66" s="11"/>
      <c r="E66" s="22"/>
      <c r="F66" s="23"/>
      <c r="G66" s="29" t="str">
        <f aca="false">IF(E66="","",E66+IF(F66="Sim",30,20))</f>
        <v/>
      </c>
      <c r="H66" s="22"/>
      <c r="I66" s="23"/>
      <c r="J66" s="23"/>
      <c r="K66" s="22"/>
      <c r="L66" s="29" t="str">
        <f aca="true">IF(E66="","",IF(AND(K66&lt;&gt;"",OR(H66="",K66&gt;=H66)),IF(J66="CMRI","",K66+5),IF(H66="",IF(TODAY()&lt;=G66,G66,IF(TODAY()&lt;E66+30,E66+30,E66+40)),IF(OR(I66="Negado",I66="Atendido em parte"),H66+10,""))))</f>
        <v/>
      </c>
      <c r="M66" s="27" t="str">
        <f aca="true">IF(L66="","",L66-TODAY())</f>
        <v/>
      </c>
      <c r="N66" s="25" t="str">
        <f aca="true">IF(E66="","",IF(AND(K66&lt;&gt;"",OR(H66="",K66&gt;=H66)),IF(J66="CMRI","Aguardar a CMRI (até a 3ª reunião mensal depois da autuação)","Aguardar decisão do recurso ou da reclamação"),IF(H66="",IF(TODAY()&lt;=G66,"Aguardar resposta do órgão",IF(TODAY()&lt;E66+30,"Prazo vencido: reclamação (modelo E) a partir da próxima data",IF(TODAY()&lt;=E66+40,"Fazer reclamação (modelo E) até a próxima data","Janela de reclamação encerrada: novo pedido ou modelo G"))),IF(I66="Atendido","Concluído: registre a resposta no Log",IF(OR(I66="Negado",I66="Atendido em parte"),"Recorrer (modelo B ou D) até a próxima data","Preencha o resultado da resposta")))))</f>
        <v/>
      </c>
      <c r="O66" s="24"/>
      <c r="P66" s="11"/>
    </row>
    <row r="67" customFormat="false" ht="15" hidden="false" customHeight="false" outlineLevel="0" collapsed="false">
      <c r="A67" s="24"/>
      <c r="B67" s="11"/>
      <c r="C67" s="23"/>
      <c r="D67" s="11"/>
      <c r="E67" s="22"/>
      <c r="F67" s="23"/>
      <c r="G67" s="29" t="str">
        <f aca="false">IF(E67="","",E67+IF(F67="Sim",30,20))</f>
        <v/>
      </c>
      <c r="H67" s="22"/>
      <c r="I67" s="23"/>
      <c r="J67" s="23"/>
      <c r="K67" s="22"/>
      <c r="L67" s="29" t="str">
        <f aca="true">IF(E67="","",IF(AND(K67&lt;&gt;"",OR(H67="",K67&gt;=H67)),IF(J67="CMRI","",K67+5),IF(H67="",IF(TODAY()&lt;=G67,G67,IF(TODAY()&lt;E67+30,E67+30,E67+40)),IF(OR(I67="Negado",I67="Atendido em parte"),H67+10,""))))</f>
        <v/>
      </c>
      <c r="M67" s="27" t="str">
        <f aca="true">IF(L67="","",L67-TODAY())</f>
        <v/>
      </c>
      <c r="N67" s="25" t="str">
        <f aca="true">IF(E67="","",IF(AND(K67&lt;&gt;"",OR(H67="",K67&gt;=H67)),IF(J67="CMRI","Aguardar a CMRI (até a 3ª reunião mensal depois da autuação)","Aguardar decisão do recurso ou da reclamação"),IF(H67="",IF(TODAY()&lt;=G67,"Aguardar resposta do órgão",IF(TODAY()&lt;E67+30,"Prazo vencido: reclamação (modelo E) a partir da próxima data",IF(TODAY()&lt;=E67+40,"Fazer reclamação (modelo E) até a próxima data","Janela de reclamação encerrada: novo pedido ou modelo G"))),IF(I67="Atendido","Concluído: registre a resposta no Log",IF(OR(I67="Negado",I67="Atendido em parte"),"Recorrer (modelo B ou D) até a próxima data","Preencha o resultado da resposta")))))</f>
        <v/>
      </c>
      <c r="O67" s="24"/>
      <c r="P67" s="11"/>
    </row>
    <row r="68" customFormat="false" ht="15" hidden="false" customHeight="false" outlineLevel="0" collapsed="false">
      <c r="A68" s="24"/>
      <c r="B68" s="11"/>
      <c r="C68" s="23"/>
      <c r="D68" s="11"/>
      <c r="E68" s="22"/>
      <c r="F68" s="23"/>
      <c r="G68" s="29" t="str">
        <f aca="false">IF(E68="","",E68+IF(F68="Sim",30,20))</f>
        <v/>
      </c>
      <c r="H68" s="22"/>
      <c r="I68" s="23"/>
      <c r="J68" s="23"/>
      <c r="K68" s="22"/>
      <c r="L68" s="29" t="str">
        <f aca="true">IF(E68="","",IF(AND(K68&lt;&gt;"",OR(H68="",K68&gt;=H68)),IF(J68="CMRI","",K68+5),IF(H68="",IF(TODAY()&lt;=G68,G68,IF(TODAY()&lt;E68+30,E68+30,E68+40)),IF(OR(I68="Negado",I68="Atendido em parte"),H68+10,""))))</f>
        <v/>
      </c>
      <c r="M68" s="27" t="str">
        <f aca="true">IF(L68="","",L68-TODAY())</f>
        <v/>
      </c>
      <c r="N68" s="25" t="str">
        <f aca="true">IF(E68="","",IF(AND(K68&lt;&gt;"",OR(H68="",K68&gt;=H68)),IF(J68="CMRI","Aguardar a CMRI (até a 3ª reunião mensal depois da autuação)","Aguardar decisão do recurso ou da reclamação"),IF(H68="",IF(TODAY()&lt;=G68,"Aguardar resposta do órgão",IF(TODAY()&lt;E68+30,"Prazo vencido: reclamação (modelo E) a partir da próxima data",IF(TODAY()&lt;=E68+40,"Fazer reclamação (modelo E) até a próxima data","Janela de reclamação encerrada: novo pedido ou modelo G"))),IF(I68="Atendido","Concluído: registre a resposta no Log",IF(OR(I68="Negado",I68="Atendido em parte"),"Recorrer (modelo B ou D) até a próxima data","Preencha o resultado da resposta")))))</f>
        <v/>
      </c>
      <c r="O68" s="24"/>
      <c r="P68" s="11"/>
    </row>
    <row r="69" customFormat="false" ht="15" hidden="false" customHeight="false" outlineLevel="0" collapsed="false">
      <c r="A69" s="24"/>
      <c r="B69" s="11"/>
      <c r="C69" s="23"/>
      <c r="D69" s="11"/>
      <c r="E69" s="22"/>
      <c r="F69" s="23"/>
      <c r="G69" s="29" t="str">
        <f aca="false">IF(E69="","",E69+IF(F69="Sim",30,20))</f>
        <v/>
      </c>
      <c r="H69" s="22"/>
      <c r="I69" s="23"/>
      <c r="J69" s="23"/>
      <c r="K69" s="22"/>
      <c r="L69" s="29" t="str">
        <f aca="true">IF(E69="","",IF(AND(K69&lt;&gt;"",OR(H69="",K69&gt;=H69)),IF(J69="CMRI","",K69+5),IF(H69="",IF(TODAY()&lt;=G69,G69,IF(TODAY()&lt;E69+30,E69+30,E69+40)),IF(OR(I69="Negado",I69="Atendido em parte"),H69+10,""))))</f>
        <v/>
      </c>
      <c r="M69" s="27" t="str">
        <f aca="true">IF(L69="","",L69-TODAY())</f>
        <v/>
      </c>
      <c r="N69" s="25" t="str">
        <f aca="true">IF(E69="","",IF(AND(K69&lt;&gt;"",OR(H69="",K69&gt;=H69)),IF(J69="CMRI","Aguardar a CMRI (até a 3ª reunião mensal depois da autuação)","Aguardar decisão do recurso ou da reclamação"),IF(H69="",IF(TODAY()&lt;=G69,"Aguardar resposta do órgão",IF(TODAY()&lt;E69+30,"Prazo vencido: reclamação (modelo E) a partir da próxima data",IF(TODAY()&lt;=E69+40,"Fazer reclamação (modelo E) até a próxima data","Janela de reclamação encerrada: novo pedido ou modelo G"))),IF(I69="Atendido","Concluído: registre a resposta no Log",IF(OR(I69="Negado",I69="Atendido em parte"),"Recorrer (modelo B ou D) até a próxima data","Preencha o resultado da resposta")))))</f>
        <v/>
      </c>
      <c r="O69" s="24"/>
      <c r="P69" s="11"/>
    </row>
    <row r="70" customFormat="false" ht="15" hidden="false" customHeight="false" outlineLevel="0" collapsed="false">
      <c r="A70" s="24"/>
      <c r="B70" s="11"/>
      <c r="C70" s="23"/>
      <c r="D70" s="11"/>
      <c r="E70" s="22"/>
      <c r="F70" s="23"/>
      <c r="G70" s="29" t="str">
        <f aca="false">IF(E70="","",E70+IF(F70="Sim",30,20))</f>
        <v/>
      </c>
      <c r="H70" s="22"/>
      <c r="I70" s="23"/>
      <c r="J70" s="23"/>
      <c r="K70" s="22"/>
      <c r="L70" s="29" t="str">
        <f aca="true">IF(E70="","",IF(AND(K70&lt;&gt;"",OR(H70="",K70&gt;=H70)),IF(J70="CMRI","",K70+5),IF(H70="",IF(TODAY()&lt;=G70,G70,IF(TODAY()&lt;E70+30,E70+30,E70+40)),IF(OR(I70="Negado",I70="Atendido em parte"),H70+10,""))))</f>
        <v/>
      </c>
      <c r="M70" s="27" t="str">
        <f aca="true">IF(L70="","",L70-TODAY())</f>
        <v/>
      </c>
      <c r="N70" s="25" t="str">
        <f aca="true">IF(E70="","",IF(AND(K70&lt;&gt;"",OR(H70="",K70&gt;=H70)),IF(J70="CMRI","Aguardar a CMRI (até a 3ª reunião mensal depois da autuação)","Aguardar decisão do recurso ou da reclamação"),IF(H70="",IF(TODAY()&lt;=G70,"Aguardar resposta do órgão",IF(TODAY()&lt;E70+30,"Prazo vencido: reclamação (modelo E) a partir da próxima data",IF(TODAY()&lt;=E70+40,"Fazer reclamação (modelo E) até a próxima data","Janela de reclamação encerrada: novo pedido ou modelo G"))),IF(I70="Atendido","Concluído: registre a resposta no Log",IF(OR(I70="Negado",I70="Atendido em parte"),"Recorrer (modelo B ou D) até a próxima data","Preencha o resultado da resposta")))))</f>
        <v/>
      </c>
      <c r="O70" s="24"/>
      <c r="P70" s="11"/>
    </row>
    <row r="71" customFormat="false" ht="15" hidden="false" customHeight="false" outlineLevel="0" collapsed="false">
      <c r="A71" s="24"/>
      <c r="B71" s="11"/>
      <c r="C71" s="23"/>
      <c r="D71" s="11"/>
      <c r="E71" s="22"/>
      <c r="F71" s="23"/>
      <c r="G71" s="29" t="str">
        <f aca="false">IF(E71="","",E71+IF(F71="Sim",30,20))</f>
        <v/>
      </c>
      <c r="H71" s="22"/>
      <c r="I71" s="23"/>
      <c r="J71" s="23"/>
      <c r="K71" s="22"/>
      <c r="L71" s="29" t="str">
        <f aca="true">IF(E71="","",IF(AND(K71&lt;&gt;"",OR(H71="",K71&gt;=H71)),IF(J71="CMRI","",K71+5),IF(H71="",IF(TODAY()&lt;=G71,G71,IF(TODAY()&lt;E71+30,E71+30,E71+40)),IF(OR(I71="Negado",I71="Atendido em parte"),H71+10,""))))</f>
        <v/>
      </c>
      <c r="M71" s="27" t="str">
        <f aca="true">IF(L71="","",L71-TODAY())</f>
        <v/>
      </c>
      <c r="N71" s="25" t="str">
        <f aca="true">IF(E71="","",IF(AND(K71&lt;&gt;"",OR(H71="",K71&gt;=H71)),IF(J71="CMRI","Aguardar a CMRI (até a 3ª reunião mensal depois da autuação)","Aguardar decisão do recurso ou da reclamação"),IF(H71="",IF(TODAY()&lt;=G71,"Aguardar resposta do órgão",IF(TODAY()&lt;E71+30,"Prazo vencido: reclamação (modelo E) a partir da próxima data",IF(TODAY()&lt;=E71+40,"Fazer reclamação (modelo E) até a próxima data","Janela de reclamação encerrada: novo pedido ou modelo G"))),IF(I71="Atendido","Concluído: registre a resposta no Log",IF(OR(I71="Negado",I71="Atendido em parte"),"Recorrer (modelo B ou D) até a próxima data","Preencha o resultado da resposta")))))</f>
        <v/>
      </c>
      <c r="O71" s="24"/>
      <c r="P71" s="11"/>
    </row>
    <row r="72" customFormat="false" ht="15" hidden="false" customHeight="false" outlineLevel="0" collapsed="false">
      <c r="A72" s="24"/>
      <c r="B72" s="11"/>
      <c r="C72" s="23"/>
      <c r="D72" s="11"/>
      <c r="E72" s="22"/>
      <c r="F72" s="23"/>
      <c r="G72" s="29" t="str">
        <f aca="false">IF(E72="","",E72+IF(F72="Sim",30,20))</f>
        <v/>
      </c>
      <c r="H72" s="22"/>
      <c r="I72" s="23"/>
      <c r="J72" s="23"/>
      <c r="K72" s="22"/>
      <c r="L72" s="29" t="str">
        <f aca="true">IF(E72="","",IF(AND(K72&lt;&gt;"",OR(H72="",K72&gt;=H72)),IF(J72="CMRI","",K72+5),IF(H72="",IF(TODAY()&lt;=G72,G72,IF(TODAY()&lt;E72+30,E72+30,E72+40)),IF(OR(I72="Negado",I72="Atendido em parte"),H72+10,""))))</f>
        <v/>
      </c>
      <c r="M72" s="27" t="str">
        <f aca="true">IF(L72="","",L72-TODAY())</f>
        <v/>
      </c>
      <c r="N72" s="25" t="str">
        <f aca="true">IF(E72="","",IF(AND(K72&lt;&gt;"",OR(H72="",K72&gt;=H72)),IF(J72="CMRI","Aguardar a CMRI (até a 3ª reunião mensal depois da autuação)","Aguardar decisão do recurso ou da reclamação"),IF(H72="",IF(TODAY()&lt;=G72,"Aguardar resposta do órgão",IF(TODAY()&lt;E72+30,"Prazo vencido: reclamação (modelo E) a partir da próxima data",IF(TODAY()&lt;=E72+40,"Fazer reclamação (modelo E) até a próxima data","Janela de reclamação encerrada: novo pedido ou modelo G"))),IF(I72="Atendido","Concluído: registre a resposta no Log",IF(OR(I72="Negado",I72="Atendido em parte"),"Recorrer (modelo B ou D) até a próxima data","Preencha o resultado da resposta")))))</f>
        <v/>
      </c>
      <c r="O72" s="24"/>
      <c r="P72" s="11"/>
    </row>
    <row r="73" customFormat="false" ht="15" hidden="false" customHeight="false" outlineLevel="0" collapsed="false">
      <c r="A73" s="24"/>
      <c r="B73" s="11"/>
      <c r="C73" s="23"/>
      <c r="D73" s="11"/>
      <c r="E73" s="22"/>
      <c r="F73" s="23"/>
      <c r="G73" s="29" t="str">
        <f aca="false">IF(E73="","",E73+IF(F73="Sim",30,20))</f>
        <v/>
      </c>
      <c r="H73" s="22"/>
      <c r="I73" s="23"/>
      <c r="J73" s="23"/>
      <c r="K73" s="22"/>
      <c r="L73" s="29" t="str">
        <f aca="true">IF(E73="","",IF(AND(K73&lt;&gt;"",OR(H73="",K73&gt;=H73)),IF(J73="CMRI","",K73+5),IF(H73="",IF(TODAY()&lt;=G73,G73,IF(TODAY()&lt;E73+30,E73+30,E73+40)),IF(OR(I73="Negado",I73="Atendido em parte"),H73+10,""))))</f>
        <v/>
      </c>
      <c r="M73" s="27" t="str">
        <f aca="true">IF(L73="","",L73-TODAY())</f>
        <v/>
      </c>
      <c r="N73" s="25" t="str">
        <f aca="true">IF(E73="","",IF(AND(K73&lt;&gt;"",OR(H73="",K73&gt;=H73)),IF(J73="CMRI","Aguardar a CMRI (até a 3ª reunião mensal depois da autuação)","Aguardar decisão do recurso ou da reclamação"),IF(H73="",IF(TODAY()&lt;=G73,"Aguardar resposta do órgão",IF(TODAY()&lt;E73+30,"Prazo vencido: reclamação (modelo E) a partir da próxima data",IF(TODAY()&lt;=E73+40,"Fazer reclamação (modelo E) até a próxima data","Janela de reclamação encerrada: novo pedido ou modelo G"))),IF(I73="Atendido","Concluído: registre a resposta no Log",IF(OR(I73="Negado",I73="Atendido em parte"),"Recorrer (modelo B ou D) até a próxima data","Preencha o resultado da resposta")))))</f>
        <v/>
      </c>
      <c r="O73" s="24"/>
      <c r="P73" s="11"/>
    </row>
    <row r="74" customFormat="false" ht="15" hidden="false" customHeight="false" outlineLevel="0" collapsed="false">
      <c r="A74" s="24"/>
      <c r="B74" s="11"/>
      <c r="C74" s="23"/>
      <c r="D74" s="11"/>
      <c r="E74" s="22"/>
      <c r="F74" s="23"/>
      <c r="G74" s="29" t="str">
        <f aca="false">IF(E74="","",E74+IF(F74="Sim",30,20))</f>
        <v/>
      </c>
      <c r="H74" s="22"/>
      <c r="I74" s="23"/>
      <c r="J74" s="23"/>
      <c r="K74" s="22"/>
      <c r="L74" s="29" t="str">
        <f aca="true">IF(E74="","",IF(AND(K74&lt;&gt;"",OR(H74="",K74&gt;=H74)),IF(J74="CMRI","",K74+5),IF(H74="",IF(TODAY()&lt;=G74,G74,IF(TODAY()&lt;E74+30,E74+30,E74+40)),IF(OR(I74="Negado",I74="Atendido em parte"),H74+10,""))))</f>
        <v/>
      </c>
      <c r="M74" s="27" t="str">
        <f aca="true">IF(L74="","",L74-TODAY())</f>
        <v/>
      </c>
      <c r="N74" s="25" t="str">
        <f aca="true">IF(E74="","",IF(AND(K74&lt;&gt;"",OR(H74="",K74&gt;=H74)),IF(J74="CMRI","Aguardar a CMRI (até a 3ª reunião mensal depois da autuação)","Aguardar decisão do recurso ou da reclamação"),IF(H74="",IF(TODAY()&lt;=G74,"Aguardar resposta do órgão",IF(TODAY()&lt;E74+30,"Prazo vencido: reclamação (modelo E) a partir da próxima data",IF(TODAY()&lt;=E74+40,"Fazer reclamação (modelo E) até a próxima data","Janela de reclamação encerrada: novo pedido ou modelo G"))),IF(I74="Atendido","Concluído: registre a resposta no Log",IF(OR(I74="Negado",I74="Atendido em parte"),"Recorrer (modelo B ou D) até a próxima data","Preencha o resultado da resposta")))))</f>
        <v/>
      </c>
      <c r="O74" s="24"/>
      <c r="P74" s="11"/>
    </row>
    <row r="75" customFormat="false" ht="15" hidden="false" customHeight="false" outlineLevel="0" collapsed="false">
      <c r="A75" s="24"/>
      <c r="B75" s="11"/>
      <c r="C75" s="23"/>
      <c r="D75" s="11"/>
      <c r="E75" s="22"/>
      <c r="F75" s="23"/>
      <c r="G75" s="29" t="str">
        <f aca="false">IF(E75="","",E75+IF(F75="Sim",30,20))</f>
        <v/>
      </c>
      <c r="H75" s="22"/>
      <c r="I75" s="23"/>
      <c r="J75" s="23"/>
      <c r="K75" s="22"/>
      <c r="L75" s="29" t="str">
        <f aca="true">IF(E75="","",IF(AND(K75&lt;&gt;"",OR(H75="",K75&gt;=H75)),IF(J75="CMRI","",K75+5),IF(H75="",IF(TODAY()&lt;=G75,G75,IF(TODAY()&lt;E75+30,E75+30,E75+40)),IF(OR(I75="Negado",I75="Atendido em parte"),H75+10,""))))</f>
        <v/>
      </c>
      <c r="M75" s="27" t="str">
        <f aca="true">IF(L75="","",L75-TODAY())</f>
        <v/>
      </c>
      <c r="N75" s="25" t="str">
        <f aca="true">IF(E75="","",IF(AND(K75&lt;&gt;"",OR(H75="",K75&gt;=H75)),IF(J75="CMRI","Aguardar a CMRI (até a 3ª reunião mensal depois da autuação)","Aguardar decisão do recurso ou da reclamação"),IF(H75="",IF(TODAY()&lt;=G75,"Aguardar resposta do órgão",IF(TODAY()&lt;E75+30,"Prazo vencido: reclamação (modelo E) a partir da próxima data",IF(TODAY()&lt;=E75+40,"Fazer reclamação (modelo E) até a próxima data","Janela de reclamação encerrada: novo pedido ou modelo G"))),IF(I75="Atendido","Concluído: registre a resposta no Log",IF(OR(I75="Negado",I75="Atendido em parte"),"Recorrer (modelo B ou D) até a próxima data","Preencha o resultado da resposta")))))</f>
        <v/>
      </c>
      <c r="O75" s="24"/>
      <c r="P75" s="11"/>
    </row>
    <row r="76" customFormat="false" ht="15" hidden="false" customHeight="false" outlineLevel="0" collapsed="false">
      <c r="A76" s="24"/>
      <c r="B76" s="11"/>
      <c r="C76" s="23"/>
      <c r="D76" s="11"/>
      <c r="E76" s="22"/>
      <c r="F76" s="23"/>
      <c r="G76" s="29" t="str">
        <f aca="false">IF(E76="","",E76+IF(F76="Sim",30,20))</f>
        <v/>
      </c>
      <c r="H76" s="22"/>
      <c r="I76" s="23"/>
      <c r="J76" s="23"/>
      <c r="K76" s="22"/>
      <c r="L76" s="29" t="str">
        <f aca="true">IF(E76="","",IF(AND(K76&lt;&gt;"",OR(H76="",K76&gt;=H76)),IF(J76="CMRI","",K76+5),IF(H76="",IF(TODAY()&lt;=G76,G76,IF(TODAY()&lt;E76+30,E76+30,E76+40)),IF(OR(I76="Negado",I76="Atendido em parte"),H76+10,""))))</f>
        <v/>
      </c>
      <c r="M76" s="27" t="str">
        <f aca="true">IF(L76="","",L76-TODAY())</f>
        <v/>
      </c>
      <c r="N76" s="25" t="str">
        <f aca="true">IF(E76="","",IF(AND(K76&lt;&gt;"",OR(H76="",K76&gt;=H76)),IF(J76="CMRI","Aguardar a CMRI (até a 3ª reunião mensal depois da autuação)","Aguardar decisão do recurso ou da reclamação"),IF(H76="",IF(TODAY()&lt;=G76,"Aguardar resposta do órgão",IF(TODAY()&lt;E76+30,"Prazo vencido: reclamação (modelo E) a partir da próxima data",IF(TODAY()&lt;=E76+40,"Fazer reclamação (modelo E) até a próxima data","Janela de reclamação encerrada: novo pedido ou modelo G"))),IF(I76="Atendido","Concluído: registre a resposta no Log",IF(OR(I76="Negado",I76="Atendido em parte"),"Recorrer (modelo B ou D) até a próxima data","Preencha o resultado da resposta")))))</f>
        <v/>
      </c>
      <c r="O76" s="24"/>
      <c r="P76" s="11"/>
    </row>
    <row r="77" customFormat="false" ht="15" hidden="false" customHeight="false" outlineLevel="0" collapsed="false">
      <c r="A77" s="24"/>
      <c r="B77" s="11"/>
      <c r="C77" s="23"/>
      <c r="D77" s="11"/>
      <c r="E77" s="22"/>
      <c r="F77" s="23"/>
      <c r="G77" s="29" t="str">
        <f aca="false">IF(E77="","",E77+IF(F77="Sim",30,20))</f>
        <v/>
      </c>
      <c r="H77" s="22"/>
      <c r="I77" s="23"/>
      <c r="J77" s="23"/>
      <c r="K77" s="22"/>
      <c r="L77" s="29" t="str">
        <f aca="true">IF(E77="","",IF(AND(K77&lt;&gt;"",OR(H77="",K77&gt;=H77)),IF(J77="CMRI","",K77+5),IF(H77="",IF(TODAY()&lt;=G77,G77,IF(TODAY()&lt;E77+30,E77+30,E77+40)),IF(OR(I77="Negado",I77="Atendido em parte"),H77+10,""))))</f>
        <v/>
      </c>
      <c r="M77" s="27" t="str">
        <f aca="true">IF(L77="","",L77-TODAY())</f>
        <v/>
      </c>
      <c r="N77" s="25" t="str">
        <f aca="true">IF(E77="","",IF(AND(K77&lt;&gt;"",OR(H77="",K77&gt;=H77)),IF(J77="CMRI","Aguardar a CMRI (até a 3ª reunião mensal depois da autuação)","Aguardar decisão do recurso ou da reclamação"),IF(H77="",IF(TODAY()&lt;=G77,"Aguardar resposta do órgão",IF(TODAY()&lt;E77+30,"Prazo vencido: reclamação (modelo E) a partir da próxima data",IF(TODAY()&lt;=E77+40,"Fazer reclamação (modelo E) até a próxima data","Janela de reclamação encerrada: novo pedido ou modelo G"))),IF(I77="Atendido","Concluído: registre a resposta no Log",IF(OR(I77="Negado",I77="Atendido em parte"),"Recorrer (modelo B ou D) até a próxima data","Preencha o resultado da resposta")))))</f>
        <v/>
      </c>
      <c r="O77" s="24"/>
      <c r="P77" s="11"/>
    </row>
    <row r="78" customFormat="false" ht="15" hidden="false" customHeight="false" outlineLevel="0" collapsed="false">
      <c r="A78" s="24"/>
      <c r="B78" s="11"/>
      <c r="C78" s="23"/>
      <c r="D78" s="11"/>
      <c r="E78" s="22"/>
      <c r="F78" s="23"/>
      <c r="G78" s="29" t="str">
        <f aca="false">IF(E78="","",E78+IF(F78="Sim",30,20))</f>
        <v/>
      </c>
      <c r="H78" s="22"/>
      <c r="I78" s="23"/>
      <c r="J78" s="23"/>
      <c r="K78" s="22"/>
      <c r="L78" s="29" t="str">
        <f aca="true">IF(E78="","",IF(AND(K78&lt;&gt;"",OR(H78="",K78&gt;=H78)),IF(J78="CMRI","",K78+5),IF(H78="",IF(TODAY()&lt;=G78,G78,IF(TODAY()&lt;E78+30,E78+30,E78+40)),IF(OR(I78="Negado",I78="Atendido em parte"),H78+10,""))))</f>
        <v/>
      </c>
      <c r="M78" s="27" t="str">
        <f aca="true">IF(L78="","",L78-TODAY())</f>
        <v/>
      </c>
      <c r="N78" s="25" t="str">
        <f aca="true">IF(E78="","",IF(AND(K78&lt;&gt;"",OR(H78="",K78&gt;=H78)),IF(J78="CMRI","Aguardar a CMRI (até a 3ª reunião mensal depois da autuação)","Aguardar decisão do recurso ou da reclamação"),IF(H78="",IF(TODAY()&lt;=G78,"Aguardar resposta do órgão",IF(TODAY()&lt;E78+30,"Prazo vencido: reclamação (modelo E) a partir da próxima data",IF(TODAY()&lt;=E78+40,"Fazer reclamação (modelo E) até a próxima data","Janela de reclamação encerrada: novo pedido ou modelo G"))),IF(I78="Atendido","Concluído: registre a resposta no Log",IF(OR(I78="Negado",I78="Atendido em parte"),"Recorrer (modelo B ou D) até a próxima data","Preencha o resultado da resposta")))))</f>
        <v/>
      </c>
      <c r="O78" s="24"/>
      <c r="P78" s="11"/>
    </row>
    <row r="79" customFormat="false" ht="15" hidden="false" customHeight="false" outlineLevel="0" collapsed="false">
      <c r="A79" s="24"/>
      <c r="B79" s="11"/>
      <c r="C79" s="23"/>
      <c r="D79" s="11"/>
      <c r="E79" s="22"/>
      <c r="F79" s="23"/>
      <c r="G79" s="29" t="str">
        <f aca="false">IF(E79="","",E79+IF(F79="Sim",30,20))</f>
        <v/>
      </c>
      <c r="H79" s="22"/>
      <c r="I79" s="23"/>
      <c r="J79" s="23"/>
      <c r="K79" s="22"/>
      <c r="L79" s="29" t="str">
        <f aca="true">IF(E79="","",IF(AND(K79&lt;&gt;"",OR(H79="",K79&gt;=H79)),IF(J79="CMRI","",K79+5),IF(H79="",IF(TODAY()&lt;=G79,G79,IF(TODAY()&lt;E79+30,E79+30,E79+40)),IF(OR(I79="Negado",I79="Atendido em parte"),H79+10,""))))</f>
        <v/>
      </c>
      <c r="M79" s="27" t="str">
        <f aca="true">IF(L79="","",L79-TODAY())</f>
        <v/>
      </c>
      <c r="N79" s="25" t="str">
        <f aca="true">IF(E79="","",IF(AND(K79&lt;&gt;"",OR(H79="",K79&gt;=H79)),IF(J79="CMRI","Aguardar a CMRI (até a 3ª reunião mensal depois da autuação)","Aguardar decisão do recurso ou da reclamação"),IF(H79="",IF(TODAY()&lt;=G79,"Aguardar resposta do órgão",IF(TODAY()&lt;E79+30,"Prazo vencido: reclamação (modelo E) a partir da próxima data",IF(TODAY()&lt;=E79+40,"Fazer reclamação (modelo E) até a próxima data","Janela de reclamação encerrada: novo pedido ou modelo G"))),IF(I79="Atendido","Concluído: registre a resposta no Log",IF(OR(I79="Negado",I79="Atendido em parte"),"Recorrer (modelo B ou D) até a próxima data","Preencha o resultado da resposta")))))</f>
        <v/>
      </c>
      <c r="O79" s="24"/>
      <c r="P79" s="11"/>
    </row>
    <row r="80" customFormat="false" ht="15" hidden="false" customHeight="false" outlineLevel="0" collapsed="false">
      <c r="A80" s="24"/>
      <c r="B80" s="11"/>
      <c r="C80" s="23"/>
      <c r="D80" s="11"/>
      <c r="E80" s="22"/>
      <c r="F80" s="23"/>
      <c r="G80" s="29" t="str">
        <f aca="false">IF(E80="","",E80+IF(F80="Sim",30,20))</f>
        <v/>
      </c>
      <c r="H80" s="22"/>
      <c r="I80" s="23"/>
      <c r="J80" s="23"/>
      <c r="K80" s="22"/>
      <c r="L80" s="29" t="str">
        <f aca="true">IF(E80="","",IF(AND(K80&lt;&gt;"",OR(H80="",K80&gt;=H80)),IF(J80="CMRI","",K80+5),IF(H80="",IF(TODAY()&lt;=G80,G80,IF(TODAY()&lt;E80+30,E80+30,E80+40)),IF(OR(I80="Negado",I80="Atendido em parte"),H80+10,""))))</f>
        <v/>
      </c>
      <c r="M80" s="27" t="str">
        <f aca="true">IF(L80="","",L80-TODAY())</f>
        <v/>
      </c>
      <c r="N80" s="25" t="str">
        <f aca="true">IF(E80="","",IF(AND(K80&lt;&gt;"",OR(H80="",K80&gt;=H80)),IF(J80="CMRI","Aguardar a CMRI (até a 3ª reunião mensal depois da autuação)","Aguardar decisão do recurso ou da reclamação"),IF(H80="",IF(TODAY()&lt;=G80,"Aguardar resposta do órgão",IF(TODAY()&lt;E80+30,"Prazo vencido: reclamação (modelo E) a partir da próxima data",IF(TODAY()&lt;=E80+40,"Fazer reclamação (modelo E) até a próxima data","Janela de reclamação encerrada: novo pedido ou modelo G"))),IF(I80="Atendido","Concluído: registre a resposta no Log",IF(OR(I80="Negado",I80="Atendido em parte"),"Recorrer (modelo B ou D) até a próxima data","Preencha o resultado da resposta")))))</f>
        <v/>
      </c>
      <c r="O80" s="24"/>
      <c r="P80" s="11"/>
    </row>
    <row r="81" customFormat="false" ht="15" hidden="false" customHeight="false" outlineLevel="0" collapsed="false">
      <c r="A81" s="24"/>
      <c r="B81" s="11"/>
      <c r="C81" s="23"/>
      <c r="D81" s="11"/>
      <c r="E81" s="22"/>
      <c r="F81" s="23"/>
      <c r="G81" s="29" t="str">
        <f aca="false">IF(E81="","",E81+IF(F81="Sim",30,20))</f>
        <v/>
      </c>
      <c r="H81" s="22"/>
      <c r="I81" s="23"/>
      <c r="J81" s="23"/>
      <c r="K81" s="22"/>
      <c r="L81" s="29" t="str">
        <f aca="true">IF(E81="","",IF(AND(K81&lt;&gt;"",OR(H81="",K81&gt;=H81)),IF(J81="CMRI","",K81+5),IF(H81="",IF(TODAY()&lt;=G81,G81,IF(TODAY()&lt;E81+30,E81+30,E81+40)),IF(OR(I81="Negado",I81="Atendido em parte"),H81+10,""))))</f>
        <v/>
      </c>
      <c r="M81" s="27" t="str">
        <f aca="true">IF(L81="","",L81-TODAY())</f>
        <v/>
      </c>
      <c r="N81" s="25" t="str">
        <f aca="true">IF(E81="","",IF(AND(K81&lt;&gt;"",OR(H81="",K81&gt;=H81)),IF(J81="CMRI","Aguardar a CMRI (até a 3ª reunião mensal depois da autuação)","Aguardar decisão do recurso ou da reclamação"),IF(H81="",IF(TODAY()&lt;=G81,"Aguardar resposta do órgão",IF(TODAY()&lt;E81+30,"Prazo vencido: reclamação (modelo E) a partir da próxima data",IF(TODAY()&lt;=E81+40,"Fazer reclamação (modelo E) até a próxima data","Janela de reclamação encerrada: novo pedido ou modelo G"))),IF(I81="Atendido","Concluído: registre a resposta no Log",IF(OR(I81="Negado",I81="Atendido em parte"),"Recorrer (modelo B ou D) até a próxima data","Preencha o resultado da resposta")))))</f>
        <v/>
      </c>
      <c r="O81" s="24"/>
      <c r="P81" s="11"/>
    </row>
    <row r="82" customFormat="false" ht="15" hidden="false" customHeight="false" outlineLevel="0" collapsed="false">
      <c r="A82" s="24"/>
      <c r="B82" s="11"/>
      <c r="C82" s="23"/>
      <c r="D82" s="11"/>
      <c r="E82" s="22"/>
      <c r="F82" s="23"/>
      <c r="G82" s="29" t="str">
        <f aca="false">IF(E82="","",E82+IF(F82="Sim",30,20))</f>
        <v/>
      </c>
      <c r="H82" s="22"/>
      <c r="I82" s="23"/>
      <c r="J82" s="23"/>
      <c r="K82" s="22"/>
      <c r="L82" s="29" t="str">
        <f aca="true">IF(E82="","",IF(AND(K82&lt;&gt;"",OR(H82="",K82&gt;=H82)),IF(J82="CMRI","",K82+5),IF(H82="",IF(TODAY()&lt;=G82,G82,IF(TODAY()&lt;E82+30,E82+30,E82+40)),IF(OR(I82="Negado",I82="Atendido em parte"),H82+10,""))))</f>
        <v/>
      </c>
      <c r="M82" s="27" t="str">
        <f aca="true">IF(L82="","",L82-TODAY())</f>
        <v/>
      </c>
      <c r="N82" s="25" t="str">
        <f aca="true">IF(E82="","",IF(AND(K82&lt;&gt;"",OR(H82="",K82&gt;=H82)),IF(J82="CMRI","Aguardar a CMRI (até a 3ª reunião mensal depois da autuação)","Aguardar decisão do recurso ou da reclamação"),IF(H82="",IF(TODAY()&lt;=G82,"Aguardar resposta do órgão",IF(TODAY()&lt;E82+30,"Prazo vencido: reclamação (modelo E) a partir da próxima data",IF(TODAY()&lt;=E82+40,"Fazer reclamação (modelo E) até a próxima data","Janela de reclamação encerrada: novo pedido ou modelo G"))),IF(I82="Atendido","Concluído: registre a resposta no Log",IF(OR(I82="Negado",I82="Atendido em parte"),"Recorrer (modelo B ou D) até a próxima data","Preencha o resultado da resposta")))))</f>
        <v/>
      </c>
      <c r="O82" s="24"/>
      <c r="P82" s="11"/>
    </row>
    <row r="83" customFormat="false" ht="15" hidden="false" customHeight="false" outlineLevel="0" collapsed="false">
      <c r="A83" s="24"/>
      <c r="B83" s="11"/>
      <c r="C83" s="23"/>
      <c r="D83" s="11"/>
      <c r="E83" s="22"/>
      <c r="F83" s="23"/>
      <c r="G83" s="29" t="str">
        <f aca="false">IF(E83="","",E83+IF(F83="Sim",30,20))</f>
        <v/>
      </c>
      <c r="H83" s="22"/>
      <c r="I83" s="23"/>
      <c r="J83" s="23"/>
      <c r="K83" s="22"/>
      <c r="L83" s="29" t="str">
        <f aca="true">IF(E83="","",IF(AND(K83&lt;&gt;"",OR(H83="",K83&gt;=H83)),IF(J83="CMRI","",K83+5),IF(H83="",IF(TODAY()&lt;=G83,G83,IF(TODAY()&lt;E83+30,E83+30,E83+40)),IF(OR(I83="Negado",I83="Atendido em parte"),H83+10,""))))</f>
        <v/>
      </c>
      <c r="M83" s="27" t="str">
        <f aca="true">IF(L83="","",L83-TODAY())</f>
        <v/>
      </c>
      <c r="N83" s="25" t="str">
        <f aca="true">IF(E83="","",IF(AND(K83&lt;&gt;"",OR(H83="",K83&gt;=H83)),IF(J83="CMRI","Aguardar a CMRI (até a 3ª reunião mensal depois da autuação)","Aguardar decisão do recurso ou da reclamação"),IF(H83="",IF(TODAY()&lt;=G83,"Aguardar resposta do órgão",IF(TODAY()&lt;E83+30,"Prazo vencido: reclamação (modelo E) a partir da próxima data",IF(TODAY()&lt;=E83+40,"Fazer reclamação (modelo E) até a próxima data","Janela de reclamação encerrada: novo pedido ou modelo G"))),IF(I83="Atendido","Concluído: registre a resposta no Log",IF(OR(I83="Negado",I83="Atendido em parte"),"Recorrer (modelo B ou D) até a próxima data","Preencha o resultado da resposta")))))</f>
        <v/>
      </c>
      <c r="O83" s="24"/>
      <c r="P83" s="11"/>
    </row>
    <row r="84" customFormat="false" ht="15" hidden="false" customHeight="false" outlineLevel="0" collapsed="false">
      <c r="A84" s="24"/>
      <c r="B84" s="11"/>
      <c r="C84" s="23"/>
      <c r="D84" s="11"/>
      <c r="E84" s="22"/>
      <c r="F84" s="23"/>
      <c r="G84" s="29" t="str">
        <f aca="false">IF(E84="","",E84+IF(F84="Sim",30,20))</f>
        <v/>
      </c>
      <c r="H84" s="22"/>
      <c r="I84" s="23"/>
      <c r="J84" s="23"/>
      <c r="K84" s="22"/>
      <c r="L84" s="29" t="str">
        <f aca="true">IF(E84="","",IF(AND(K84&lt;&gt;"",OR(H84="",K84&gt;=H84)),IF(J84="CMRI","",K84+5),IF(H84="",IF(TODAY()&lt;=G84,G84,IF(TODAY()&lt;E84+30,E84+30,E84+40)),IF(OR(I84="Negado",I84="Atendido em parte"),H84+10,""))))</f>
        <v/>
      </c>
      <c r="M84" s="27" t="str">
        <f aca="true">IF(L84="","",L84-TODAY())</f>
        <v/>
      </c>
      <c r="N84" s="25" t="str">
        <f aca="true">IF(E84="","",IF(AND(K84&lt;&gt;"",OR(H84="",K84&gt;=H84)),IF(J84="CMRI","Aguardar a CMRI (até a 3ª reunião mensal depois da autuação)","Aguardar decisão do recurso ou da reclamação"),IF(H84="",IF(TODAY()&lt;=G84,"Aguardar resposta do órgão",IF(TODAY()&lt;E84+30,"Prazo vencido: reclamação (modelo E) a partir da próxima data",IF(TODAY()&lt;=E84+40,"Fazer reclamação (modelo E) até a próxima data","Janela de reclamação encerrada: novo pedido ou modelo G"))),IF(I84="Atendido","Concluído: registre a resposta no Log",IF(OR(I84="Negado",I84="Atendido em parte"),"Recorrer (modelo B ou D) até a próxima data","Preencha o resultado da resposta")))))</f>
        <v/>
      </c>
      <c r="O84" s="24"/>
      <c r="P84" s="11"/>
    </row>
    <row r="85" customFormat="false" ht="15" hidden="false" customHeight="false" outlineLevel="0" collapsed="false">
      <c r="A85" s="24"/>
      <c r="B85" s="11"/>
      <c r="C85" s="23"/>
      <c r="D85" s="11"/>
      <c r="E85" s="22"/>
      <c r="F85" s="23"/>
      <c r="G85" s="29" t="str">
        <f aca="false">IF(E85="","",E85+IF(F85="Sim",30,20))</f>
        <v/>
      </c>
      <c r="H85" s="22"/>
      <c r="I85" s="23"/>
      <c r="J85" s="23"/>
      <c r="K85" s="22"/>
      <c r="L85" s="29" t="str">
        <f aca="true">IF(E85="","",IF(AND(K85&lt;&gt;"",OR(H85="",K85&gt;=H85)),IF(J85="CMRI","",K85+5),IF(H85="",IF(TODAY()&lt;=G85,G85,IF(TODAY()&lt;E85+30,E85+30,E85+40)),IF(OR(I85="Negado",I85="Atendido em parte"),H85+10,""))))</f>
        <v/>
      </c>
      <c r="M85" s="27" t="str">
        <f aca="true">IF(L85="","",L85-TODAY())</f>
        <v/>
      </c>
      <c r="N85" s="25" t="str">
        <f aca="true">IF(E85="","",IF(AND(K85&lt;&gt;"",OR(H85="",K85&gt;=H85)),IF(J85="CMRI","Aguardar a CMRI (até a 3ª reunião mensal depois da autuação)","Aguardar decisão do recurso ou da reclamação"),IF(H85="",IF(TODAY()&lt;=G85,"Aguardar resposta do órgão",IF(TODAY()&lt;E85+30,"Prazo vencido: reclamação (modelo E) a partir da próxima data",IF(TODAY()&lt;=E85+40,"Fazer reclamação (modelo E) até a próxima data","Janela de reclamação encerrada: novo pedido ou modelo G"))),IF(I85="Atendido","Concluído: registre a resposta no Log",IF(OR(I85="Negado",I85="Atendido em parte"),"Recorrer (modelo B ou D) até a próxima data","Preencha o resultado da resposta")))))</f>
        <v/>
      </c>
      <c r="O85" s="24"/>
      <c r="P85" s="11"/>
    </row>
    <row r="86" customFormat="false" ht="15" hidden="false" customHeight="false" outlineLevel="0" collapsed="false">
      <c r="A86" s="24"/>
      <c r="B86" s="11"/>
      <c r="C86" s="23"/>
      <c r="D86" s="11"/>
      <c r="E86" s="22"/>
      <c r="F86" s="23"/>
      <c r="G86" s="29" t="str">
        <f aca="false">IF(E86="","",E86+IF(F86="Sim",30,20))</f>
        <v/>
      </c>
      <c r="H86" s="22"/>
      <c r="I86" s="23"/>
      <c r="J86" s="23"/>
      <c r="K86" s="22"/>
      <c r="L86" s="29" t="str">
        <f aca="true">IF(E86="","",IF(AND(K86&lt;&gt;"",OR(H86="",K86&gt;=H86)),IF(J86="CMRI","",K86+5),IF(H86="",IF(TODAY()&lt;=G86,G86,IF(TODAY()&lt;E86+30,E86+30,E86+40)),IF(OR(I86="Negado",I86="Atendido em parte"),H86+10,""))))</f>
        <v/>
      </c>
      <c r="M86" s="27" t="str">
        <f aca="true">IF(L86="","",L86-TODAY())</f>
        <v/>
      </c>
      <c r="N86" s="25" t="str">
        <f aca="true">IF(E86="","",IF(AND(K86&lt;&gt;"",OR(H86="",K86&gt;=H86)),IF(J86="CMRI","Aguardar a CMRI (até a 3ª reunião mensal depois da autuação)","Aguardar decisão do recurso ou da reclamação"),IF(H86="",IF(TODAY()&lt;=G86,"Aguardar resposta do órgão",IF(TODAY()&lt;E86+30,"Prazo vencido: reclamação (modelo E) a partir da próxima data",IF(TODAY()&lt;=E86+40,"Fazer reclamação (modelo E) até a próxima data","Janela de reclamação encerrada: novo pedido ou modelo G"))),IF(I86="Atendido","Concluído: registre a resposta no Log",IF(OR(I86="Negado",I86="Atendido em parte"),"Recorrer (modelo B ou D) até a próxima data","Preencha o resultado da resposta")))))</f>
        <v/>
      </c>
      <c r="O86" s="24"/>
      <c r="P86" s="11"/>
    </row>
    <row r="87" customFormat="false" ht="15" hidden="false" customHeight="false" outlineLevel="0" collapsed="false">
      <c r="A87" s="24"/>
      <c r="B87" s="11"/>
      <c r="C87" s="23"/>
      <c r="D87" s="11"/>
      <c r="E87" s="22"/>
      <c r="F87" s="23"/>
      <c r="G87" s="29" t="str">
        <f aca="false">IF(E87="","",E87+IF(F87="Sim",30,20))</f>
        <v/>
      </c>
      <c r="H87" s="22"/>
      <c r="I87" s="23"/>
      <c r="J87" s="23"/>
      <c r="K87" s="22"/>
      <c r="L87" s="29" t="str">
        <f aca="true">IF(E87="","",IF(AND(K87&lt;&gt;"",OR(H87="",K87&gt;=H87)),IF(J87="CMRI","",K87+5),IF(H87="",IF(TODAY()&lt;=G87,G87,IF(TODAY()&lt;E87+30,E87+30,E87+40)),IF(OR(I87="Negado",I87="Atendido em parte"),H87+10,""))))</f>
        <v/>
      </c>
      <c r="M87" s="27" t="str">
        <f aca="true">IF(L87="","",L87-TODAY())</f>
        <v/>
      </c>
      <c r="N87" s="25" t="str">
        <f aca="true">IF(E87="","",IF(AND(K87&lt;&gt;"",OR(H87="",K87&gt;=H87)),IF(J87="CMRI","Aguardar a CMRI (até a 3ª reunião mensal depois da autuação)","Aguardar decisão do recurso ou da reclamação"),IF(H87="",IF(TODAY()&lt;=G87,"Aguardar resposta do órgão",IF(TODAY()&lt;E87+30,"Prazo vencido: reclamação (modelo E) a partir da próxima data",IF(TODAY()&lt;=E87+40,"Fazer reclamação (modelo E) até a próxima data","Janela de reclamação encerrada: novo pedido ou modelo G"))),IF(I87="Atendido","Concluído: registre a resposta no Log",IF(OR(I87="Negado",I87="Atendido em parte"),"Recorrer (modelo B ou D) até a próxima data","Preencha o resultado da resposta")))))</f>
        <v/>
      </c>
      <c r="O87" s="24"/>
      <c r="P87" s="11"/>
    </row>
    <row r="88" customFormat="false" ht="15" hidden="false" customHeight="false" outlineLevel="0" collapsed="false">
      <c r="A88" s="24"/>
      <c r="B88" s="11"/>
      <c r="C88" s="23"/>
      <c r="D88" s="11"/>
      <c r="E88" s="22"/>
      <c r="F88" s="23"/>
      <c r="G88" s="29" t="str">
        <f aca="false">IF(E88="","",E88+IF(F88="Sim",30,20))</f>
        <v/>
      </c>
      <c r="H88" s="22"/>
      <c r="I88" s="23"/>
      <c r="J88" s="23"/>
      <c r="K88" s="22"/>
      <c r="L88" s="29" t="str">
        <f aca="true">IF(E88="","",IF(AND(K88&lt;&gt;"",OR(H88="",K88&gt;=H88)),IF(J88="CMRI","",K88+5),IF(H88="",IF(TODAY()&lt;=G88,G88,IF(TODAY()&lt;E88+30,E88+30,E88+40)),IF(OR(I88="Negado",I88="Atendido em parte"),H88+10,""))))</f>
        <v/>
      </c>
      <c r="M88" s="27" t="str">
        <f aca="true">IF(L88="","",L88-TODAY())</f>
        <v/>
      </c>
      <c r="N88" s="25" t="str">
        <f aca="true">IF(E88="","",IF(AND(K88&lt;&gt;"",OR(H88="",K88&gt;=H88)),IF(J88="CMRI","Aguardar a CMRI (até a 3ª reunião mensal depois da autuação)","Aguardar decisão do recurso ou da reclamação"),IF(H88="",IF(TODAY()&lt;=G88,"Aguardar resposta do órgão",IF(TODAY()&lt;E88+30,"Prazo vencido: reclamação (modelo E) a partir da próxima data",IF(TODAY()&lt;=E88+40,"Fazer reclamação (modelo E) até a próxima data","Janela de reclamação encerrada: novo pedido ou modelo G"))),IF(I88="Atendido","Concluído: registre a resposta no Log",IF(OR(I88="Negado",I88="Atendido em parte"),"Recorrer (modelo B ou D) até a próxima data","Preencha o resultado da resposta")))))</f>
        <v/>
      </c>
      <c r="O88" s="24"/>
      <c r="P88" s="11"/>
    </row>
    <row r="89" customFormat="false" ht="15" hidden="false" customHeight="false" outlineLevel="0" collapsed="false">
      <c r="A89" s="24"/>
      <c r="B89" s="11"/>
      <c r="C89" s="23"/>
      <c r="D89" s="11"/>
      <c r="E89" s="22"/>
      <c r="F89" s="23"/>
      <c r="G89" s="29" t="str">
        <f aca="false">IF(E89="","",E89+IF(F89="Sim",30,20))</f>
        <v/>
      </c>
      <c r="H89" s="22"/>
      <c r="I89" s="23"/>
      <c r="J89" s="23"/>
      <c r="K89" s="22"/>
      <c r="L89" s="29" t="str">
        <f aca="true">IF(E89="","",IF(AND(K89&lt;&gt;"",OR(H89="",K89&gt;=H89)),IF(J89="CMRI","",K89+5),IF(H89="",IF(TODAY()&lt;=G89,G89,IF(TODAY()&lt;E89+30,E89+30,E89+40)),IF(OR(I89="Negado",I89="Atendido em parte"),H89+10,""))))</f>
        <v/>
      </c>
      <c r="M89" s="27" t="str">
        <f aca="true">IF(L89="","",L89-TODAY())</f>
        <v/>
      </c>
      <c r="N89" s="25" t="str">
        <f aca="true">IF(E89="","",IF(AND(K89&lt;&gt;"",OR(H89="",K89&gt;=H89)),IF(J89="CMRI","Aguardar a CMRI (até a 3ª reunião mensal depois da autuação)","Aguardar decisão do recurso ou da reclamação"),IF(H89="",IF(TODAY()&lt;=G89,"Aguardar resposta do órgão",IF(TODAY()&lt;E89+30,"Prazo vencido: reclamação (modelo E) a partir da próxima data",IF(TODAY()&lt;=E89+40,"Fazer reclamação (modelo E) até a próxima data","Janela de reclamação encerrada: novo pedido ou modelo G"))),IF(I89="Atendido","Concluído: registre a resposta no Log",IF(OR(I89="Negado",I89="Atendido em parte"),"Recorrer (modelo B ou D) até a próxima data","Preencha o resultado da resposta")))))</f>
        <v/>
      </c>
      <c r="O89" s="24"/>
      <c r="P89" s="11"/>
    </row>
    <row r="90" customFormat="false" ht="15" hidden="false" customHeight="false" outlineLevel="0" collapsed="false">
      <c r="A90" s="24"/>
      <c r="B90" s="11"/>
      <c r="C90" s="23"/>
      <c r="D90" s="11"/>
      <c r="E90" s="22"/>
      <c r="F90" s="23"/>
      <c r="G90" s="29" t="str">
        <f aca="false">IF(E90="","",E90+IF(F90="Sim",30,20))</f>
        <v/>
      </c>
      <c r="H90" s="22"/>
      <c r="I90" s="23"/>
      <c r="J90" s="23"/>
      <c r="K90" s="22"/>
      <c r="L90" s="29" t="str">
        <f aca="true">IF(E90="","",IF(AND(K90&lt;&gt;"",OR(H90="",K90&gt;=H90)),IF(J90="CMRI","",K90+5),IF(H90="",IF(TODAY()&lt;=G90,G90,IF(TODAY()&lt;E90+30,E90+30,E90+40)),IF(OR(I90="Negado",I90="Atendido em parte"),H90+10,""))))</f>
        <v/>
      </c>
      <c r="M90" s="27" t="str">
        <f aca="true">IF(L90="","",L90-TODAY())</f>
        <v/>
      </c>
      <c r="N90" s="25" t="str">
        <f aca="true">IF(E90="","",IF(AND(K90&lt;&gt;"",OR(H90="",K90&gt;=H90)),IF(J90="CMRI","Aguardar a CMRI (até a 3ª reunião mensal depois da autuação)","Aguardar decisão do recurso ou da reclamação"),IF(H90="",IF(TODAY()&lt;=G90,"Aguardar resposta do órgão",IF(TODAY()&lt;E90+30,"Prazo vencido: reclamação (modelo E) a partir da próxima data",IF(TODAY()&lt;=E90+40,"Fazer reclamação (modelo E) até a próxima data","Janela de reclamação encerrada: novo pedido ou modelo G"))),IF(I90="Atendido","Concluído: registre a resposta no Log",IF(OR(I90="Negado",I90="Atendido em parte"),"Recorrer (modelo B ou D) até a próxima data","Preencha o resultado da resposta")))))</f>
        <v/>
      </c>
      <c r="O90" s="24"/>
      <c r="P90" s="11"/>
    </row>
    <row r="91" customFormat="false" ht="15" hidden="false" customHeight="false" outlineLevel="0" collapsed="false">
      <c r="A91" s="24"/>
      <c r="B91" s="11"/>
      <c r="C91" s="23"/>
      <c r="D91" s="11"/>
      <c r="E91" s="22"/>
      <c r="F91" s="23"/>
      <c r="G91" s="29" t="str">
        <f aca="false">IF(E91="","",E91+IF(F91="Sim",30,20))</f>
        <v/>
      </c>
      <c r="H91" s="22"/>
      <c r="I91" s="23"/>
      <c r="J91" s="23"/>
      <c r="K91" s="22"/>
      <c r="L91" s="29" t="str">
        <f aca="true">IF(E91="","",IF(AND(K91&lt;&gt;"",OR(H91="",K91&gt;=H91)),IF(J91="CMRI","",K91+5),IF(H91="",IF(TODAY()&lt;=G91,G91,IF(TODAY()&lt;E91+30,E91+30,E91+40)),IF(OR(I91="Negado",I91="Atendido em parte"),H91+10,""))))</f>
        <v/>
      </c>
      <c r="M91" s="27" t="str">
        <f aca="true">IF(L91="","",L91-TODAY())</f>
        <v/>
      </c>
      <c r="N91" s="25" t="str">
        <f aca="true">IF(E91="","",IF(AND(K91&lt;&gt;"",OR(H91="",K91&gt;=H91)),IF(J91="CMRI","Aguardar a CMRI (até a 3ª reunião mensal depois da autuação)","Aguardar decisão do recurso ou da reclamação"),IF(H91="",IF(TODAY()&lt;=G91,"Aguardar resposta do órgão",IF(TODAY()&lt;E91+30,"Prazo vencido: reclamação (modelo E) a partir da próxima data",IF(TODAY()&lt;=E91+40,"Fazer reclamação (modelo E) até a próxima data","Janela de reclamação encerrada: novo pedido ou modelo G"))),IF(I91="Atendido","Concluído: registre a resposta no Log",IF(OR(I91="Negado",I91="Atendido em parte"),"Recorrer (modelo B ou D) até a próxima data","Preencha o resultado da resposta")))))</f>
        <v/>
      </c>
      <c r="O91" s="24"/>
      <c r="P91" s="11"/>
    </row>
    <row r="92" customFormat="false" ht="15" hidden="false" customHeight="false" outlineLevel="0" collapsed="false">
      <c r="A92" s="24"/>
      <c r="B92" s="11"/>
      <c r="C92" s="23"/>
      <c r="D92" s="11"/>
      <c r="E92" s="22"/>
      <c r="F92" s="23"/>
      <c r="G92" s="29" t="str">
        <f aca="false">IF(E92="","",E92+IF(F92="Sim",30,20))</f>
        <v/>
      </c>
      <c r="H92" s="22"/>
      <c r="I92" s="23"/>
      <c r="J92" s="23"/>
      <c r="K92" s="22"/>
      <c r="L92" s="29" t="str">
        <f aca="true">IF(E92="","",IF(AND(K92&lt;&gt;"",OR(H92="",K92&gt;=H92)),IF(J92="CMRI","",K92+5),IF(H92="",IF(TODAY()&lt;=G92,G92,IF(TODAY()&lt;E92+30,E92+30,E92+40)),IF(OR(I92="Negado",I92="Atendido em parte"),H92+10,""))))</f>
        <v/>
      </c>
      <c r="M92" s="27" t="str">
        <f aca="true">IF(L92="","",L92-TODAY())</f>
        <v/>
      </c>
      <c r="N92" s="25" t="str">
        <f aca="true">IF(E92="","",IF(AND(K92&lt;&gt;"",OR(H92="",K92&gt;=H92)),IF(J92="CMRI","Aguardar a CMRI (até a 3ª reunião mensal depois da autuação)","Aguardar decisão do recurso ou da reclamação"),IF(H92="",IF(TODAY()&lt;=G92,"Aguardar resposta do órgão",IF(TODAY()&lt;E92+30,"Prazo vencido: reclamação (modelo E) a partir da próxima data",IF(TODAY()&lt;=E92+40,"Fazer reclamação (modelo E) até a próxima data","Janela de reclamação encerrada: novo pedido ou modelo G"))),IF(I92="Atendido","Concluído: registre a resposta no Log",IF(OR(I92="Negado",I92="Atendido em parte"),"Recorrer (modelo B ou D) até a próxima data","Preencha o resultado da resposta")))))</f>
        <v/>
      </c>
      <c r="O92" s="24"/>
      <c r="P92" s="11"/>
    </row>
    <row r="93" customFormat="false" ht="15" hidden="false" customHeight="false" outlineLevel="0" collapsed="false">
      <c r="A93" s="24"/>
      <c r="B93" s="11"/>
      <c r="C93" s="23"/>
      <c r="D93" s="11"/>
      <c r="E93" s="22"/>
      <c r="F93" s="23"/>
      <c r="G93" s="29" t="str">
        <f aca="false">IF(E93="","",E93+IF(F93="Sim",30,20))</f>
        <v/>
      </c>
      <c r="H93" s="22"/>
      <c r="I93" s="23"/>
      <c r="J93" s="23"/>
      <c r="K93" s="22"/>
      <c r="L93" s="29" t="str">
        <f aca="true">IF(E93="","",IF(AND(K93&lt;&gt;"",OR(H93="",K93&gt;=H93)),IF(J93="CMRI","",K93+5),IF(H93="",IF(TODAY()&lt;=G93,G93,IF(TODAY()&lt;E93+30,E93+30,E93+40)),IF(OR(I93="Negado",I93="Atendido em parte"),H93+10,""))))</f>
        <v/>
      </c>
      <c r="M93" s="27" t="str">
        <f aca="true">IF(L93="","",L93-TODAY())</f>
        <v/>
      </c>
      <c r="N93" s="25" t="str">
        <f aca="true">IF(E93="","",IF(AND(K93&lt;&gt;"",OR(H93="",K93&gt;=H93)),IF(J93="CMRI","Aguardar a CMRI (até a 3ª reunião mensal depois da autuação)","Aguardar decisão do recurso ou da reclamação"),IF(H93="",IF(TODAY()&lt;=G93,"Aguardar resposta do órgão",IF(TODAY()&lt;E93+30,"Prazo vencido: reclamação (modelo E) a partir da próxima data",IF(TODAY()&lt;=E93+40,"Fazer reclamação (modelo E) até a próxima data","Janela de reclamação encerrada: novo pedido ou modelo G"))),IF(I93="Atendido","Concluído: registre a resposta no Log",IF(OR(I93="Negado",I93="Atendido em parte"),"Recorrer (modelo B ou D) até a próxima data","Preencha o resultado da resposta")))))</f>
        <v/>
      </c>
      <c r="O93" s="24"/>
      <c r="P93" s="11"/>
    </row>
    <row r="94" customFormat="false" ht="15" hidden="false" customHeight="false" outlineLevel="0" collapsed="false">
      <c r="A94" s="24"/>
      <c r="B94" s="11"/>
      <c r="C94" s="23"/>
      <c r="D94" s="11"/>
      <c r="E94" s="22"/>
      <c r="F94" s="23"/>
      <c r="G94" s="29" t="str">
        <f aca="false">IF(E94="","",E94+IF(F94="Sim",30,20))</f>
        <v/>
      </c>
      <c r="H94" s="22"/>
      <c r="I94" s="23"/>
      <c r="J94" s="23"/>
      <c r="K94" s="22"/>
      <c r="L94" s="29" t="str">
        <f aca="true">IF(E94="","",IF(AND(K94&lt;&gt;"",OR(H94="",K94&gt;=H94)),IF(J94="CMRI","",K94+5),IF(H94="",IF(TODAY()&lt;=G94,G94,IF(TODAY()&lt;E94+30,E94+30,E94+40)),IF(OR(I94="Negado",I94="Atendido em parte"),H94+10,""))))</f>
        <v/>
      </c>
      <c r="M94" s="27" t="str">
        <f aca="true">IF(L94="","",L94-TODAY())</f>
        <v/>
      </c>
      <c r="N94" s="25" t="str">
        <f aca="true">IF(E94="","",IF(AND(K94&lt;&gt;"",OR(H94="",K94&gt;=H94)),IF(J94="CMRI","Aguardar a CMRI (até a 3ª reunião mensal depois da autuação)","Aguardar decisão do recurso ou da reclamação"),IF(H94="",IF(TODAY()&lt;=G94,"Aguardar resposta do órgão",IF(TODAY()&lt;E94+30,"Prazo vencido: reclamação (modelo E) a partir da próxima data",IF(TODAY()&lt;=E94+40,"Fazer reclamação (modelo E) até a próxima data","Janela de reclamação encerrada: novo pedido ou modelo G"))),IF(I94="Atendido","Concluído: registre a resposta no Log",IF(OR(I94="Negado",I94="Atendido em parte"),"Recorrer (modelo B ou D) até a próxima data","Preencha o resultado da resposta")))))</f>
        <v/>
      </c>
      <c r="O94" s="24"/>
      <c r="P94" s="11"/>
    </row>
    <row r="95" customFormat="false" ht="15" hidden="false" customHeight="false" outlineLevel="0" collapsed="false">
      <c r="A95" s="24"/>
      <c r="B95" s="11"/>
      <c r="C95" s="23"/>
      <c r="D95" s="11"/>
      <c r="E95" s="22"/>
      <c r="F95" s="23"/>
      <c r="G95" s="29" t="str">
        <f aca="false">IF(E95="","",E95+IF(F95="Sim",30,20))</f>
        <v/>
      </c>
      <c r="H95" s="22"/>
      <c r="I95" s="23"/>
      <c r="J95" s="23"/>
      <c r="K95" s="22"/>
      <c r="L95" s="29" t="str">
        <f aca="true">IF(E95="","",IF(AND(K95&lt;&gt;"",OR(H95="",K95&gt;=H95)),IF(J95="CMRI","",K95+5),IF(H95="",IF(TODAY()&lt;=G95,G95,IF(TODAY()&lt;E95+30,E95+30,E95+40)),IF(OR(I95="Negado",I95="Atendido em parte"),H95+10,""))))</f>
        <v/>
      </c>
      <c r="M95" s="27" t="str">
        <f aca="true">IF(L95="","",L95-TODAY())</f>
        <v/>
      </c>
      <c r="N95" s="25" t="str">
        <f aca="true">IF(E95="","",IF(AND(K95&lt;&gt;"",OR(H95="",K95&gt;=H95)),IF(J95="CMRI","Aguardar a CMRI (até a 3ª reunião mensal depois da autuação)","Aguardar decisão do recurso ou da reclamação"),IF(H95="",IF(TODAY()&lt;=G95,"Aguardar resposta do órgão",IF(TODAY()&lt;E95+30,"Prazo vencido: reclamação (modelo E) a partir da próxima data",IF(TODAY()&lt;=E95+40,"Fazer reclamação (modelo E) até a próxima data","Janela de reclamação encerrada: novo pedido ou modelo G"))),IF(I95="Atendido","Concluído: registre a resposta no Log",IF(OR(I95="Negado",I95="Atendido em parte"),"Recorrer (modelo B ou D) até a próxima data","Preencha o resultado da resposta")))))</f>
        <v/>
      </c>
      <c r="O95" s="24"/>
      <c r="P95" s="11"/>
    </row>
    <row r="96" customFormat="false" ht="15" hidden="false" customHeight="false" outlineLevel="0" collapsed="false">
      <c r="A96" s="24"/>
      <c r="B96" s="11"/>
      <c r="C96" s="23"/>
      <c r="D96" s="11"/>
      <c r="E96" s="22"/>
      <c r="F96" s="23"/>
      <c r="G96" s="29" t="str">
        <f aca="false">IF(E96="","",E96+IF(F96="Sim",30,20))</f>
        <v/>
      </c>
      <c r="H96" s="22"/>
      <c r="I96" s="23"/>
      <c r="J96" s="23"/>
      <c r="K96" s="22"/>
      <c r="L96" s="29" t="str">
        <f aca="true">IF(E96="","",IF(AND(K96&lt;&gt;"",OR(H96="",K96&gt;=H96)),IF(J96="CMRI","",K96+5),IF(H96="",IF(TODAY()&lt;=G96,G96,IF(TODAY()&lt;E96+30,E96+30,E96+40)),IF(OR(I96="Negado",I96="Atendido em parte"),H96+10,""))))</f>
        <v/>
      </c>
      <c r="M96" s="27" t="str">
        <f aca="true">IF(L96="","",L96-TODAY())</f>
        <v/>
      </c>
      <c r="N96" s="25" t="str">
        <f aca="true">IF(E96="","",IF(AND(K96&lt;&gt;"",OR(H96="",K96&gt;=H96)),IF(J96="CMRI","Aguardar a CMRI (até a 3ª reunião mensal depois da autuação)","Aguardar decisão do recurso ou da reclamação"),IF(H96="",IF(TODAY()&lt;=G96,"Aguardar resposta do órgão",IF(TODAY()&lt;E96+30,"Prazo vencido: reclamação (modelo E) a partir da próxima data",IF(TODAY()&lt;=E96+40,"Fazer reclamação (modelo E) até a próxima data","Janela de reclamação encerrada: novo pedido ou modelo G"))),IF(I96="Atendido","Concluído: registre a resposta no Log",IF(OR(I96="Negado",I96="Atendido em parte"),"Recorrer (modelo B ou D) até a próxima data","Preencha o resultado da resposta")))))</f>
        <v/>
      </c>
      <c r="O96" s="24"/>
      <c r="P96" s="11"/>
    </row>
    <row r="97" customFormat="false" ht="15" hidden="false" customHeight="false" outlineLevel="0" collapsed="false">
      <c r="A97" s="24"/>
      <c r="B97" s="11"/>
      <c r="C97" s="23"/>
      <c r="D97" s="11"/>
      <c r="E97" s="22"/>
      <c r="F97" s="23"/>
      <c r="G97" s="29" t="str">
        <f aca="false">IF(E97="","",E97+IF(F97="Sim",30,20))</f>
        <v/>
      </c>
      <c r="H97" s="22"/>
      <c r="I97" s="23"/>
      <c r="J97" s="23"/>
      <c r="K97" s="22"/>
      <c r="L97" s="29" t="str">
        <f aca="true">IF(E97="","",IF(AND(K97&lt;&gt;"",OR(H97="",K97&gt;=H97)),IF(J97="CMRI","",K97+5),IF(H97="",IF(TODAY()&lt;=G97,G97,IF(TODAY()&lt;E97+30,E97+30,E97+40)),IF(OR(I97="Negado",I97="Atendido em parte"),H97+10,""))))</f>
        <v/>
      </c>
      <c r="M97" s="27" t="str">
        <f aca="true">IF(L97="","",L97-TODAY())</f>
        <v/>
      </c>
      <c r="N97" s="25" t="str">
        <f aca="true">IF(E97="","",IF(AND(K97&lt;&gt;"",OR(H97="",K97&gt;=H97)),IF(J97="CMRI","Aguardar a CMRI (até a 3ª reunião mensal depois da autuação)","Aguardar decisão do recurso ou da reclamação"),IF(H97="",IF(TODAY()&lt;=G97,"Aguardar resposta do órgão",IF(TODAY()&lt;E97+30,"Prazo vencido: reclamação (modelo E) a partir da próxima data",IF(TODAY()&lt;=E97+40,"Fazer reclamação (modelo E) até a próxima data","Janela de reclamação encerrada: novo pedido ou modelo G"))),IF(I97="Atendido","Concluído: registre a resposta no Log",IF(OR(I97="Negado",I97="Atendido em parte"),"Recorrer (modelo B ou D) até a próxima data","Preencha o resultado da resposta")))))</f>
        <v/>
      </c>
      <c r="O97" s="24"/>
      <c r="P97" s="11"/>
    </row>
    <row r="98" customFormat="false" ht="15" hidden="false" customHeight="false" outlineLevel="0" collapsed="false">
      <c r="A98" s="24"/>
      <c r="B98" s="11"/>
      <c r="C98" s="23"/>
      <c r="D98" s="11"/>
      <c r="E98" s="22"/>
      <c r="F98" s="23"/>
      <c r="G98" s="29" t="str">
        <f aca="false">IF(E98="","",E98+IF(F98="Sim",30,20))</f>
        <v/>
      </c>
      <c r="H98" s="22"/>
      <c r="I98" s="23"/>
      <c r="J98" s="23"/>
      <c r="K98" s="22"/>
      <c r="L98" s="29" t="str">
        <f aca="true">IF(E98="","",IF(AND(K98&lt;&gt;"",OR(H98="",K98&gt;=H98)),IF(J98="CMRI","",K98+5),IF(H98="",IF(TODAY()&lt;=G98,G98,IF(TODAY()&lt;E98+30,E98+30,E98+40)),IF(OR(I98="Negado",I98="Atendido em parte"),H98+10,""))))</f>
        <v/>
      </c>
      <c r="M98" s="27" t="str">
        <f aca="true">IF(L98="","",L98-TODAY())</f>
        <v/>
      </c>
      <c r="N98" s="25" t="str">
        <f aca="true">IF(E98="","",IF(AND(K98&lt;&gt;"",OR(H98="",K98&gt;=H98)),IF(J98="CMRI","Aguardar a CMRI (até a 3ª reunião mensal depois da autuação)","Aguardar decisão do recurso ou da reclamação"),IF(H98="",IF(TODAY()&lt;=G98,"Aguardar resposta do órgão",IF(TODAY()&lt;E98+30,"Prazo vencido: reclamação (modelo E) a partir da próxima data",IF(TODAY()&lt;=E98+40,"Fazer reclamação (modelo E) até a próxima data","Janela de reclamação encerrada: novo pedido ou modelo G"))),IF(I98="Atendido","Concluído: registre a resposta no Log",IF(OR(I98="Negado",I98="Atendido em parte"),"Recorrer (modelo B ou D) até a próxima data","Preencha o resultado da resposta")))))</f>
        <v/>
      </c>
      <c r="O98" s="24"/>
      <c r="P98" s="11"/>
    </row>
    <row r="99" customFormat="false" ht="15" hidden="false" customHeight="false" outlineLevel="0" collapsed="false">
      <c r="A99" s="24"/>
      <c r="B99" s="11"/>
      <c r="C99" s="23"/>
      <c r="D99" s="11"/>
      <c r="E99" s="22"/>
      <c r="F99" s="23"/>
      <c r="G99" s="29" t="str">
        <f aca="false">IF(E99="","",E99+IF(F99="Sim",30,20))</f>
        <v/>
      </c>
      <c r="H99" s="22"/>
      <c r="I99" s="23"/>
      <c r="J99" s="23"/>
      <c r="K99" s="22"/>
      <c r="L99" s="29" t="str">
        <f aca="true">IF(E99="","",IF(AND(K99&lt;&gt;"",OR(H99="",K99&gt;=H99)),IF(J99="CMRI","",K99+5),IF(H99="",IF(TODAY()&lt;=G99,G99,IF(TODAY()&lt;E99+30,E99+30,E99+40)),IF(OR(I99="Negado",I99="Atendido em parte"),H99+10,""))))</f>
        <v/>
      </c>
      <c r="M99" s="27" t="str">
        <f aca="true">IF(L99="","",L99-TODAY())</f>
        <v/>
      </c>
      <c r="N99" s="25" t="str">
        <f aca="true">IF(E99="","",IF(AND(K99&lt;&gt;"",OR(H99="",K99&gt;=H99)),IF(J99="CMRI","Aguardar a CMRI (até a 3ª reunião mensal depois da autuação)","Aguardar decisão do recurso ou da reclamação"),IF(H99="",IF(TODAY()&lt;=G99,"Aguardar resposta do órgão",IF(TODAY()&lt;E99+30,"Prazo vencido: reclamação (modelo E) a partir da próxima data",IF(TODAY()&lt;=E99+40,"Fazer reclamação (modelo E) até a próxima data","Janela de reclamação encerrada: novo pedido ou modelo G"))),IF(I99="Atendido","Concluído: registre a resposta no Log",IF(OR(I99="Negado",I99="Atendido em parte"),"Recorrer (modelo B ou D) até a próxima data","Preencha o resultado da resposta")))))</f>
        <v/>
      </c>
      <c r="O99" s="24"/>
      <c r="P99" s="11"/>
    </row>
    <row r="100" customFormat="false" ht="15" hidden="false" customHeight="false" outlineLevel="0" collapsed="false">
      <c r="A100" s="24"/>
      <c r="B100" s="11"/>
      <c r="C100" s="23"/>
      <c r="D100" s="11"/>
      <c r="E100" s="22"/>
      <c r="F100" s="23"/>
      <c r="G100" s="29" t="str">
        <f aca="false">IF(E100="","",E100+IF(F100="Sim",30,20))</f>
        <v/>
      </c>
      <c r="H100" s="22"/>
      <c r="I100" s="23"/>
      <c r="J100" s="23"/>
      <c r="K100" s="22"/>
      <c r="L100" s="29" t="str">
        <f aca="true">IF(E100="","",IF(AND(K100&lt;&gt;"",OR(H100="",K100&gt;=H100)),IF(J100="CMRI","",K100+5),IF(H100="",IF(TODAY()&lt;=G100,G100,IF(TODAY()&lt;E100+30,E100+30,E100+40)),IF(OR(I100="Negado",I100="Atendido em parte"),H100+10,""))))</f>
        <v/>
      </c>
      <c r="M100" s="27" t="str">
        <f aca="true">IF(L100="","",L100-TODAY())</f>
        <v/>
      </c>
      <c r="N100" s="25" t="str">
        <f aca="true">IF(E100="","",IF(AND(K100&lt;&gt;"",OR(H100="",K100&gt;=H100)),IF(J100="CMRI","Aguardar a CMRI (até a 3ª reunião mensal depois da autuação)","Aguardar decisão do recurso ou da reclamação"),IF(H100="",IF(TODAY()&lt;=G100,"Aguardar resposta do órgão",IF(TODAY()&lt;E100+30,"Prazo vencido: reclamação (modelo E) a partir da próxima data",IF(TODAY()&lt;=E100+40,"Fazer reclamação (modelo E) até a próxima data","Janela de reclamação encerrada: novo pedido ou modelo G"))),IF(I100="Atendido","Concluído: registre a resposta no Log",IF(OR(I100="Negado",I100="Atendido em parte"),"Recorrer (modelo B ou D) até a próxima data","Preencha o resultado da resposta")))))</f>
        <v/>
      </c>
      <c r="O100" s="24"/>
      <c r="P100" s="11"/>
    </row>
    <row r="101" customFormat="false" ht="15" hidden="false" customHeight="false" outlineLevel="0" collapsed="false">
      <c r="A101" s="24"/>
      <c r="B101" s="11"/>
      <c r="C101" s="23"/>
      <c r="D101" s="11"/>
      <c r="E101" s="22"/>
      <c r="F101" s="23"/>
      <c r="G101" s="29" t="str">
        <f aca="false">IF(E101="","",E101+IF(F101="Sim",30,20))</f>
        <v/>
      </c>
      <c r="H101" s="22"/>
      <c r="I101" s="23"/>
      <c r="J101" s="23"/>
      <c r="K101" s="22"/>
      <c r="L101" s="29" t="str">
        <f aca="true">IF(E101="","",IF(AND(K101&lt;&gt;"",OR(H101="",K101&gt;=H101)),IF(J101="CMRI","",K101+5),IF(H101="",IF(TODAY()&lt;=G101,G101,IF(TODAY()&lt;E101+30,E101+30,E101+40)),IF(OR(I101="Negado",I101="Atendido em parte"),H101+10,""))))</f>
        <v/>
      </c>
      <c r="M101" s="27" t="str">
        <f aca="true">IF(L101="","",L101-TODAY())</f>
        <v/>
      </c>
      <c r="N101" s="25" t="str">
        <f aca="true">IF(E101="","",IF(AND(K101&lt;&gt;"",OR(H101="",K101&gt;=H101)),IF(J101="CMRI","Aguardar a CMRI (até a 3ª reunião mensal depois da autuação)","Aguardar decisão do recurso ou da reclamação"),IF(H101="",IF(TODAY()&lt;=G101,"Aguardar resposta do órgão",IF(TODAY()&lt;E101+30,"Prazo vencido: reclamação (modelo E) a partir da próxima data",IF(TODAY()&lt;=E101+40,"Fazer reclamação (modelo E) até a próxima data","Janela de reclamação encerrada: novo pedido ou modelo G"))),IF(I101="Atendido","Concluído: registre a resposta no Log",IF(OR(I101="Negado",I101="Atendido em parte"),"Recorrer (modelo B ou D) até a próxima data","Preencha o resultado da resposta")))))</f>
        <v/>
      </c>
      <c r="O101" s="24"/>
      <c r="P101" s="11"/>
    </row>
    <row r="102" customFormat="false" ht="15" hidden="false" customHeight="false" outlineLevel="0" collapsed="false">
      <c r="A102" s="24"/>
      <c r="B102" s="11"/>
      <c r="C102" s="23"/>
      <c r="D102" s="11"/>
      <c r="E102" s="22"/>
      <c r="F102" s="23"/>
      <c r="G102" s="29" t="str">
        <f aca="false">IF(E102="","",E102+IF(F102="Sim",30,20))</f>
        <v/>
      </c>
      <c r="H102" s="22"/>
      <c r="I102" s="23"/>
      <c r="J102" s="23"/>
      <c r="K102" s="22"/>
      <c r="L102" s="29" t="str">
        <f aca="true">IF(E102="","",IF(AND(K102&lt;&gt;"",OR(H102="",K102&gt;=H102)),IF(J102="CMRI","",K102+5),IF(H102="",IF(TODAY()&lt;=G102,G102,IF(TODAY()&lt;E102+30,E102+30,E102+40)),IF(OR(I102="Negado",I102="Atendido em parte"),H102+10,""))))</f>
        <v/>
      </c>
      <c r="M102" s="27" t="str">
        <f aca="true">IF(L102="","",L102-TODAY())</f>
        <v/>
      </c>
      <c r="N102" s="25" t="str">
        <f aca="true">IF(E102="","",IF(AND(K102&lt;&gt;"",OR(H102="",K102&gt;=H102)),IF(J102="CMRI","Aguardar a CMRI (até a 3ª reunião mensal depois da autuação)","Aguardar decisão do recurso ou da reclamação"),IF(H102="",IF(TODAY()&lt;=G102,"Aguardar resposta do órgão",IF(TODAY()&lt;E102+30,"Prazo vencido: reclamação (modelo E) a partir da próxima data",IF(TODAY()&lt;=E102+40,"Fazer reclamação (modelo E) até a próxima data","Janela de reclamação encerrada: novo pedido ou modelo G"))),IF(I102="Atendido","Concluído: registre a resposta no Log",IF(OR(I102="Negado",I102="Atendido em parte"),"Recorrer (modelo B ou D) até a próxima data","Preencha o resultado da resposta")))))</f>
        <v/>
      </c>
      <c r="O102" s="24"/>
      <c r="P102" s="11"/>
    </row>
    <row r="103" customFormat="false" ht="15" hidden="false" customHeight="false" outlineLevel="0" collapsed="false">
      <c r="A103" s="24"/>
      <c r="B103" s="11"/>
      <c r="C103" s="23"/>
      <c r="D103" s="11"/>
      <c r="E103" s="22"/>
      <c r="F103" s="23"/>
      <c r="G103" s="29" t="str">
        <f aca="false">IF(E103="","",E103+IF(F103="Sim",30,20))</f>
        <v/>
      </c>
      <c r="H103" s="22"/>
      <c r="I103" s="23"/>
      <c r="J103" s="23"/>
      <c r="K103" s="22"/>
      <c r="L103" s="29" t="str">
        <f aca="true">IF(E103="","",IF(AND(K103&lt;&gt;"",OR(H103="",K103&gt;=H103)),IF(J103="CMRI","",K103+5),IF(H103="",IF(TODAY()&lt;=G103,G103,IF(TODAY()&lt;E103+30,E103+30,E103+40)),IF(OR(I103="Negado",I103="Atendido em parte"),H103+10,""))))</f>
        <v/>
      </c>
      <c r="M103" s="27" t="str">
        <f aca="true">IF(L103="","",L103-TODAY())</f>
        <v/>
      </c>
      <c r="N103" s="25" t="str">
        <f aca="true">IF(E103="","",IF(AND(K103&lt;&gt;"",OR(H103="",K103&gt;=H103)),IF(J103="CMRI","Aguardar a CMRI (até a 3ª reunião mensal depois da autuação)","Aguardar decisão do recurso ou da reclamação"),IF(H103="",IF(TODAY()&lt;=G103,"Aguardar resposta do órgão",IF(TODAY()&lt;E103+30,"Prazo vencido: reclamação (modelo E) a partir da próxima data",IF(TODAY()&lt;=E103+40,"Fazer reclamação (modelo E) até a próxima data","Janela de reclamação encerrada: novo pedido ou modelo G"))),IF(I103="Atendido","Concluído: registre a resposta no Log",IF(OR(I103="Negado",I103="Atendido em parte"),"Recorrer (modelo B ou D) até a próxima data","Preencha o resultado da resposta")))))</f>
        <v/>
      </c>
      <c r="O103" s="24"/>
      <c r="P103" s="11"/>
    </row>
    <row r="104" customFormat="false" ht="15" hidden="false" customHeight="false" outlineLevel="0" collapsed="false">
      <c r="A104" s="24"/>
      <c r="B104" s="11"/>
      <c r="C104" s="23"/>
      <c r="D104" s="11"/>
      <c r="E104" s="22"/>
      <c r="F104" s="23"/>
      <c r="G104" s="29" t="str">
        <f aca="false">IF(E104="","",E104+IF(F104="Sim",30,20))</f>
        <v/>
      </c>
      <c r="H104" s="22"/>
      <c r="I104" s="23"/>
      <c r="J104" s="23"/>
      <c r="K104" s="22"/>
      <c r="L104" s="29" t="str">
        <f aca="true">IF(E104="","",IF(AND(K104&lt;&gt;"",OR(H104="",K104&gt;=H104)),IF(J104="CMRI","",K104+5),IF(H104="",IF(TODAY()&lt;=G104,G104,IF(TODAY()&lt;E104+30,E104+30,E104+40)),IF(OR(I104="Negado",I104="Atendido em parte"),H104+10,""))))</f>
        <v/>
      </c>
      <c r="M104" s="27" t="str">
        <f aca="true">IF(L104="","",L104-TODAY())</f>
        <v/>
      </c>
      <c r="N104" s="25" t="str">
        <f aca="true">IF(E104="","",IF(AND(K104&lt;&gt;"",OR(H104="",K104&gt;=H104)),IF(J104="CMRI","Aguardar a CMRI (até a 3ª reunião mensal depois da autuação)","Aguardar decisão do recurso ou da reclamação"),IF(H104="",IF(TODAY()&lt;=G104,"Aguardar resposta do órgão",IF(TODAY()&lt;E104+30,"Prazo vencido: reclamação (modelo E) a partir da próxima data",IF(TODAY()&lt;=E104+40,"Fazer reclamação (modelo E) até a próxima data","Janela de reclamação encerrada: novo pedido ou modelo G"))),IF(I104="Atendido","Concluído: registre a resposta no Log",IF(OR(I104="Negado",I104="Atendido em parte"),"Recorrer (modelo B ou D) até a próxima data","Preencha o resultado da resposta")))))</f>
        <v/>
      </c>
      <c r="O104" s="24"/>
      <c r="P104" s="11"/>
    </row>
  </sheetData>
  <autoFilter ref="A4:P104"/>
  <conditionalFormatting sqref="M5:M104">
    <cfRule type="expression" priority="2" aboveAverage="0" equalAverage="0" bottom="0" percent="0" rank="0" text="" dxfId="10">
      <formula>AND(ISNUMBER(M5),M5&lt;0)</formula>
    </cfRule>
    <cfRule type="expression" priority="3" aboveAverage="0" equalAverage="0" bottom="0" percent="0" rank="0" text="" dxfId="11">
      <formula>AND(ISNUMBER(M5),M5&gt;=0,M5&lt;=3)</formula>
    </cfRule>
  </conditionalFormatting>
  <conditionalFormatting sqref="N5:N104">
    <cfRule type="expression" priority="4" aboveAverage="0" equalAverage="0" bottom="0" percent="0" rank="0" text="" dxfId="6">
      <formula>OR(LEFT(N5,8)="Recorrer",LEFT(N5,16)="Fazer reclamação")</formula>
    </cfRule>
  </conditionalFormatting>
  <dataValidations count="4">
    <dataValidation allowBlank="true" error="Escolha uma opção da lista (as opções estão na aba Listas)." errorStyle="stop" errorTitle="Valor fora da lista" operator="between" showDropDown="false" showErrorMessage="false" showInputMessage="false" sqref="C5:C104" type="list">
      <formula1>Listas!$D$4:$D$6</formula1>
      <formula2>0</formula2>
    </dataValidation>
    <dataValidation allowBlank="true" error="Escolha uma opção da lista (as opções estão na aba Listas)." errorStyle="stop" errorTitle="Valor fora da lista" operator="between" showDropDown="false" showErrorMessage="true" showInputMessage="false" sqref="F5:F104" type="list">
      <formula1>Listas!$E$4:$E$5</formula1>
      <formula2>0</formula2>
    </dataValidation>
    <dataValidation allowBlank="true" error="Escolha uma opção da lista (as opções estão na aba Listas)." errorStyle="stop" errorTitle="Valor fora da lista" operator="between" showDropDown="false" showErrorMessage="true" showInputMessage="false" sqref="I5:I104" type="list">
      <formula1>Listas!$F$4:$F$6</formula1>
      <formula2>0</formula2>
    </dataValidation>
    <dataValidation allowBlank="true" error="Escolha uma opção da lista (as opções estão na aba Listas)." errorStyle="stop" errorTitle="Valor fora da lista" operator="between" showDropDown="false" showErrorMessage="false" showInputMessage="false" sqref="J5:J104" type="list">
      <formula1>Listas!$G$4:$G$9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2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34"/>
    <col collapsed="false" customWidth="true" hidden="false" outlineLevel="0" max="11" min="11" style="0" width="18"/>
    <col collapsed="false" customWidth="true" hidden="false" outlineLevel="0" max="13" min="12" style="0" width="12"/>
    <col collapsed="false" customWidth="true" hidden="false" outlineLevel="0" max="14" min="14" style="0" width="28"/>
  </cols>
  <sheetData>
    <row r="1" customFormat="false" ht="17.35" hidden="false" customHeight="false" outlineLevel="0" collapsed="false">
      <c r="A1" s="14" t="s">
        <v>199</v>
      </c>
    </row>
    <row r="2" customFormat="false" ht="15" hidden="false" customHeight="false" outlineLevel="0" collapsed="false">
      <c r="A2" s="15" t="s">
        <v>200</v>
      </c>
    </row>
    <row r="3" customFormat="false" ht="15" hidden="false" customHeight="false" outlineLevel="0" collapsed="false">
      <c r="A3" s="15" t="s">
        <v>201</v>
      </c>
    </row>
    <row r="4" customFormat="false" ht="48" hidden="false" customHeight="true" outlineLevel="0" collapsed="false">
      <c r="A4" s="9" t="s">
        <v>202</v>
      </c>
      <c r="B4" s="9" t="s">
        <v>203</v>
      </c>
      <c r="C4" s="16" t="s">
        <v>204</v>
      </c>
      <c r="D4" s="16" t="s">
        <v>205</v>
      </c>
      <c r="E4" s="16" t="s">
        <v>206</v>
      </c>
      <c r="F4" s="9" t="s">
        <v>207</v>
      </c>
      <c r="G4" s="9" t="s">
        <v>177</v>
      </c>
      <c r="H4" s="9" t="s">
        <v>208</v>
      </c>
      <c r="I4" s="9" t="s">
        <v>209</v>
      </c>
      <c r="J4" s="9" t="s">
        <v>210</v>
      </c>
      <c r="K4" s="16" t="s">
        <v>211</v>
      </c>
      <c r="L4" s="16" t="s">
        <v>212</v>
      </c>
      <c r="M4" s="9" t="s">
        <v>71</v>
      </c>
      <c r="N4" s="9" t="s">
        <v>74</v>
      </c>
    </row>
    <row r="5" customFormat="false" ht="23.85" hidden="false" customHeight="false" outlineLevel="0" collapsed="false">
      <c r="A5" s="19" t="s">
        <v>83</v>
      </c>
      <c r="B5" s="20" t="s">
        <v>213</v>
      </c>
      <c r="C5" s="30" t="str">
        <f aca="false">IF(A5="","",SUBSTITUTE(SUBSTITUTE(SUBSTITUTE(SUBSTITUTE(SUBSTITUTE(SUBSTITUTE(SUBSTITUTE(SUBSTITUTE(SUBSTITUTE(SUBSTITUTE(SUBSTITUTE(SUBSTITUTE(SUBSTITUTE(UPPER(TRIM(A5)),"Á","A"),"À","A"),"Â","A"),"Ã","A"),"É","E"),"Ê","E"),"Í","I"),"Ó","O"),"Ô","O"),"Õ","O"),"Ú","U"),"Ü","U"),"Ç","C"))</f>
        <v>FULANO DE TAL</v>
      </c>
      <c r="D5" s="30" t="str">
        <f aca="false">IF(B5="","",IF(LEN(SUBSTITUTE(SUBSTITUTE(SUBSTITUTE(SUBSTITUTE(TRIM(B5),"*",""),".",""),"-","")," ",""))=11,MID(SUBSTITUTE(SUBSTITUTE(SUBSTITUTE(SUBSTITUTE(TRIM(B5),"*",""),".",""),"-","")," ",""),4,6),SUBSTITUTE(SUBSTITUTE(SUBSTITUTE(SUBSTITUTE(TRIM(B5),"*",""),".",""),"-","")," ","")))</f>
        <v>123456</v>
      </c>
      <c r="E5" s="30" t="str">
        <f aca="false">IF(OR(C5="",D5=""),"",C5&amp;"|"&amp;D5)</f>
        <v>FULANO DE TAL|123456</v>
      </c>
      <c r="F5" s="18" t="s">
        <v>214</v>
      </c>
      <c r="G5" s="18" t="s">
        <v>215</v>
      </c>
      <c r="H5" s="17" t="n">
        <v>45672</v>
      </c>
      <c r="I5" s="19"/>
      <c r="J5" s="18" t="s">
        <v>216</v>
      </c>
      <c r="K5" s="21" t="n">
        <f aca="false">IF(C5="","",IF(E5&lt;&gt;"",COUNTIF(Socios!$H:$H,E5),IF(COUNTIF(Socios!$F:$F,C5)&gt;0,"nome igual em Socios: confira o CPF","sem CPF: não cruzado")))</f>
        <v>1</v>
      </c>
      <c r="L5" s="26" t="n">
        <f aca="false">IF(E5="","",COUNTIFS(Eleitoral!$K:$K,E5,Eleitoral!$E:$E,"Doação recebida"))</f>
        <v>1</v>
      </c>
      <c r="M5" s="20" t="s">
        <v>86</v>
      </c>
      <c r="N5" s="18" t="s">
        <v>81</v>
      </c>
    </row>
    <row r="6" customFormat="false" ht="23.85" hidden="false" customHeight="false" outlineLevel="0" collapsed="false">
      <c r="A6" s="19" t="s">
        <v>217</v>
      </c>
      <c r="B6" s="20"/>
      <c r="C6" s="30" t="str">
        <f aca="false">IF(A6="","",SUBSTITUTE(SUBSTITUTE(SUBSTITUTE(SUBSTITUTE(SUBSTITUTE(SUBSTITUTE(SUBSTITUTE(SUBSTITUTE(SUBSTITUTE(SUBSTITUTE(SUBSTITUTE(SUBSTITUTE(SUBSTITUTE(UPPER(TRIM(A6)),"Á","A"),"À","A"),"Â","A"),"Ã","A"),"É","E"),"Ê","E"),"Í","I"),"Ó","O"),"Ô","O"),"Õ","O"),"Ú","U"),"Ü","U"),"Ç","C"))</f>
        <v>SICRANO CANDIDATO</v>
      </c>
      <c r="D6" s="30" t="str">
        <f aca="false">IF(B6="","",IF(LEN(SUBSTITUTE(SUBSTITUTE(SUBSTITUTE(SUBSTITUTE(TRIM(B6),"*",""),".",""),"-","")," ",""))=11,MID(SUBSTITUTE(SUBSTITUTE(SUBSTITUTE(SUBSTITUTE(TRIM(B6),"*",""),".",""),"-","")," ",""),4,6),SUBSTITUTE(SUBSTITUTE(SUBSTITUTE(SUBSTITUTE(TRIM(B6),"*",""),".",""),"-","")," ","")))</f>
        <v/>
      </c>
      <c r="E6" s="30" t="str">
        <f aca="false">IF(OR(C6="",D6=""),"",C6&amp;"|"&amp;D6)</f>
        <v/>
      </c>
      <c r="F6" s="18" t="s">
        <v>218</v>
      </c>
      <c r="G6" s="18" t="s">
        <v>215</v>
      </c>
      <c r="H6" s="17" t="n">
        <v>45658</v>
      </c>
      <c r="I6" s="19" t="s">
        <v>219</v>
      </c>
      <c r="J6" s="18" t="s">
        <v>220</v>
      </c>
      <c r="K6" s="21" t="str">
        <f aca="false">IF(C6="","",IF(E6&lt;&gt;"",COUNTIF(Socios!$H:$H,E6),IF(COUNTIF(Socios!$F:$F,C6)&gt;0,"nome igual em Socios: confira o CPF","sem CPF: não cruzado")))</f>
        <v>sem CPF: não cruzado</v>
      </c>
      <c r="L6" s="26" t="str">
        <f aca="false">IF(E6="","",COUNTIFS(Eleitoral!$K:$K,E6,Eleitoral!$E:$E,"Doação recebida"))</f>
        <v/>
      </c>
      <c r="M6" s="20" t="s">
        <v>80</v>
      </c>
      <c r="N6" s="18" t="s">
        <v>221</v>
      </c>
    </row>
    <row r="7" customFormat="false" ht="15" hidden="false" customHeight="false" outlineLevel="0" collapsed="false">
      <c r="A7" s="23"/>
      <c r="B7" s="24"/>
      <c r="C7" s="31" t="str">
        <f aca="false">IF(A7="","",SUBSTITUTE(SUBSTITUTE(SUBSTITUTE(SUBSTITUTE(SUBSTITUTE(SUBSTITUTE(SUBSTITUTE(SUBSTITUTE(SUBSTITUTE(SUBSTITUTE(SUBSTITUTE(SUBSTITUTE(SUBSTITUTE(UPPER(TRIM(A7)),"Á","A"),"À","A"),"Â","A"),"Ã","A"),"É","E"),"Ê","E"),"Í","I"),"Ó","O"),"Ô","O"),"Õ","O"),"Ú","U"),"Ü","U"),"Ç","C"))</f>
        <v/>
      </c>
      <c r="D7" s="31" t="str">
        <f aca="false">IF(B7="","",IF(LEN(SUBSTITUTE(SUBSTITUTE(SUBSTITUTE(SUBSTITUTE(TRIM(B7),"*",""),".",""),"-","")," ",""))=11,MID(SUBSTITUTE(SUBSTITUTE(SUBSTITUTE(SUBSTITUTE(TRIM(B7),"*",""),".",""),"-","")," ",""),4,6),SUBSTITUTE(SUBSTITUTE(SUBSTITUTE(SUBSTITUTE(TRIM(B7),"*",""),".",""),"-","")," ","")))</f>
        <v/>
      </c>
      <c r="E7" s="31" t="str">
        <f aca="false">IF(OR(C7="",D7=""),"",C7&amp;"|"&amp;D7)</f>
        <v/>
      </c>
      <c r="F7" s="11"/>
      <c r="G7" s="11"/>
      <c r="H7" s="22"/>
      <c r="I7" s="23"/>
      <c r="J7" s="11"/>
      <c r="K7" s="25" t="str">
        <f aca="false">IF(C7="","",IF(E7&lt;&gt;"",COUNTIF(Socios!$H:$H,E7),IF(COUNTIF(Socios!$F:$F,C7)&gt;0,"nome igual em Socios: confira o CPF","sem CPF: não cruzado")))</f>
        <v/>
      </c>
      <c r="L7" s="27" t="str">
        <f aca="false">IF(E7="","",COUNTIFS(Eleitoral!$K:$K,E7,Eleitoral!$E:$E,"Doação recebida"))</f>
        <v/>
      </c>
      <c r="M7" s="24"/>
      <c r="N7" s="11"/>
    </row>
    <row r="8" customFormat="false" ht="15" hidden="false" customHeight="false" outlineLevel="0" collapsed="false">
      <c r="A8" s="23"/>
      <c r="B8" s="24"/>
      <c r="C8" s="31" t="str">
        <f aca="false">IF(A8="","",SUBSTITUTE(SUBSTITUTE(SUBSTITUTE(SUBSTITUTE(SUBSTITUTE(SUBSTITUTE(SUBSTITUTE(SUBSTITUTE(SUBSTITUTE(SUBSTITUTE(SUBSTITUTE(SUBSTITUTE(SUBSTITUTE(UPPER(TRIM(A8)),"Á","A"),"À","A"),"Â","A"),"Ã","A"),"É","E"),"Ê","E"),"Í","I"),"Ó","O"),"Ô","O"),"Õ","O"),"Ú","U"),"Ü","U"),"Ç","C"))</f>
        <v/>
      </c>
      <c r="D8" s="31" t="str">
        <f aca="false">IF(B8="","",IF(LEN(SUBSTITUTE(SUBSTITUTE(SUBSTITUTE(SUBSTITUTE(TRIM(B8),"*",""),".",""),"-","")," ",""))=11,MID(SUBSTITUTE(SUBSTITUTE(SUBSTITUTE(SUBSTITUTE(TRIM(B8),"*",""),".",""),"-","")," ",""),4,6),SUBSTITUTE(SUBSTITUTE(SUBSTITUTE(SUBSTITUTE(TRIM(B8),"*",""),".",""),"-","")," ","")))</f>
        <v/>
      </c>
      <c r="E8" s="31" t="str">
        <f aca="false">IF(OR(C8="",D8=""),"",C8&amp;"|"&amp;D8)</f>
        <v/>
      </c>
      <c r="F8" s="11"/>
      <c r="G8" s="11"/>
      <c r="H8" s="22"/>
      <c r="I8" s="23"/>
      <c r="J8" s="11"/>
      <c r="K8" s="25" t="str">
        <f aca="false">IF(C8="","",IF(E8&lt;&gt;"",COUNTIF(Socios!$H:$H,E8),IF(COUNTIF(Socios!$F:$F,C8)&gt;0,"nome igual em Socios: confira o CPF","sem CPF: não cruzado")))</f>
        <v/>
      </c>
      <c r="L8" s="27" t="str">
        <f aca="false">IF(E8="","",COUNTIFS(Eleitoral!$K:$K,E8,Eleitoral!$E:$E,"Doação recebida"))</f>
        <v/>
      </c>
      <c r="M8" s="24"/>
      <c r="N8" s="11"/>
    </row>
    <row r="9" customFormat="false" ht="15" hidden="false" customHeight="false" outlineLevel="0" collapsed="false">
      <c r="A9" s="23"/>
      <c r="B9" s="24"/>
      <c r="C9" s="31" t="str">
        <f aca="false">IF(A9="","",SUBSTITUTE(SUBSTITUTE(SUBSTITUTE(SUBSTITUTE(SUBSTITUTE(SUBSTITUTE(SUBSTITUTE(SUBSTITUTE(SUBSTITUTE(SUBSTITUTE(SUBSTITUTE(SUBSTITUTE(SUBSTITUTE(UPPER(TRIM(A9)),"Á","A"),"À","A"),"Â","A"),"Ã","A"),"É","E"),"Ê","E"),"Í","I"),"Ó","O"),"Ô","O"),"Õ","O"),"Ú","U"),"Ü","U"),"Ç","C"))</f>
        <v/>
      </c>
      <c r="D9" s="31" t="str">
        <f aca="false">IF(B9="","",IF(LEN(SUBSTITUTE(SUBSTITUTE(SUBSTITUTE(SUBSTITUTE(TRIM(B9),"*",""),".",""),"-","")," ",""))=11,MID(SUBSTITUTE(SUBSTITUTE(SUBSTITUTE(SUBSTITUTE(TRIM(B9),"*",""),".",""),"-","")," ",""),4,6),SUBSTITUTE(SUBSTITUTE(SUBSTITUTE(SUBSTITUTE(TRIM(B9),"*",""),".",""),"-","")," ","")))</f>
        <v/>
      </c>
      <c r="E9" s="31" t="str">
        <f aca="false">IF(OR(C9="",D9=""),"",C9&amp;"|"&amp;D9)</f>
        <v/>
      </c>
      <c r="F9" s="11"/>
      <c r="G9" s="11"/>
      <c r="H9" s="22"/>
      <c r="I9" s="23"/>
      <c r="J9" s="11"/>
      <c r="K9" s="25" t="str">
        <f aca="false">IF(C9="","",IF(E9&lt;&gt;"",COUNTIF(Socios!$H:$H,E9),IF(COUNTIF(Socios!$F:$F,C9)&gt;0,"nome igual em Socios: confira o CPF","sem CPF: não cruzado")))</f>
        <v/>
      </c>
      <c r="L9" s="27" t="str">
        <f aca="false">IF(E9="","",COUNTIFS(Eleitoral!$K:$K,E9,Eleitoral!$E:$E,"Doação recebida"))</f>
        <v/>
      </c>
      <c r="M9" s="24"/>
      <c r="N9" s="11"/>
    </row>
    <row r="10" customFormat="false" ht="15" hidden="false" customHeight="false" outlineLevel="0" collapsed="false">
      <c r="A10" s="23"/>
      <c r="B10" s="24"/>
      <c r="C10" s="31" t="str">
        <f aca="false">IF(A10="","",SUBSTITUTE(SUBSTITUTE(SUBSTITUTE(SUBSTITUTE(SUBSTITUTE(SUBSTITUTE(SUBSTITUTE(SUBSTITUTE(SUBSTITUTE(SUBSTITUTE(SUBSTITUTE(SUBSTITUTE(SUBSTITUTE(UPPER(TRIM(A10)),"Á","A"),"À","A"),"Â","A"),"Ã","A"),"É","E"),"Ê","E"),"Í","I"),"Ó","O"),"Ô","O"),"Õ","O"),"Ú","U"),"Ü","U"),"Ç","C"))</f>
        <v/>
      </c>
      <c r="D10" s="31" t="str">
        <f aca="false">IF(B10="","",IF(LEN(SUBSTITUTE(SUBSTITUTE(SUBSTITUTE(SUBSTITUTE(TRIM(B10),"*",""),".",""),"-","")," ",""))=11,MID(SUBSTITUTE(SUBSTITUTE(SUBSTITUTE(SUBSTITUTE(TRIM(B10),"*",""),".",""),"-","")," ",""),4,6),SUBSTITUTE(SUBSTITUTE(SUBSTITUTE(SUBSTITUTE(TRIM(B10),"*",""),".",""),"-","")," ","")))</f>
        <v/>
      </c>
      <c r="E10" s="31" t="str">
        <f aca="false">IF(OR(C10="",D10=""),"",C10&amp;"|"&amp;D10)</f>
        <v/>
      </c>
      <c r="F10" s="11"/>
      <c r="G10" s="11"/>
      <c r="H10" s="22"/>
      <c r="I10" s="23"/>
      <c r="J10" s="11"/>
      <c r="K10" s="25" t="str">
        <f aca="false">IF(C10="","",IF(E10&lt;&gt;"",COUNTIF(Socios!$H:$H,E10),IF(COUNTIF(Socios!$F:$F,C10)&gt;0,"nome igual em Socios: confira o CPF","sem CPF: não cruzado")))</f>
        <v/>
      </c>
      <c r="L10" s="27" t="str">
        <f aca="false">IF(E10="","",COUNTIFS(Eleitoral!$K:$K,E10,Eleitoral!$E:$E,"Doação recebida"))</f>
        <v/>
      </c>
      <c r="M10" s="24"/>
      <c r="N10" s="11"/>
    </row>
    <row r="11" customFormat="false" ht="15" hidden="false" customHeight="false" outlineLevel="0" collapsed="false">
      <c r="A11" s="23"/>
      <c r="B11" s="24"/>
      <c r="C11" s="31" t="str">
        <f aca="false">IF(A11="","",SUBSTITUTE(SUBSTITUTE(SUBSTITUTE(SUBSTITUTE(SUBSTITUTE(SUBSTITUTE(SUBSTITUTE(SUBSTITUTE(SUBSTITUTE(SUBSTITUTE(SUBSTITUTE(SUBSTITUTE(SUBSTITUTE(UPPER(TRIM(A11)),"Á","A"),"À","A"),"Â","A"),"Ã","A"),"É","E"),"Ê","E"),"Í","I"),"Ó","O"),"Ô","O"),"Õ","O"),"Ú","U"),"Ü","U"),"Ç","C"))</f>
        <v/>
      </c>
      <c r="D11" s="31" t="str">
        <f aca="false">IF(B11="","",IF(LEN(SUBSTITUTE(SUBSTITUTE(SUBSTITUTE(SUBSTITUTE(TRIM(B11),"*",""),".",""),"-","")," ",""))=11,MID(SUBSTITUTE(SUBSTITUTE(SUBSTITUTE(SUBSTITUTE(TRIM(B11),"*",""),".",""),"-","")," ",""),4,6),SUBSTITUTE(SUBSTITUTE(SUBSTITUTE(SUBSTITUTE(TRIM(B11),"*",""),".",""),"-","")," ","")))</f>
        <v/>
      </c>
      <c r="E11" s="31" t="str">
        <f aca="false">IF(OR(C11="",D11=""),"",C11&amp;"|"&amp;D11)</f>
        <v/>
      </c>
      <c r="F11" s="11"/>
      <c r="G11" s="11"/>
      <c r="H11" s="22"/>
      <c r="I11" s="23"/>
      <c r="J11" s="11"/>
      <c r="K11" s="25" t="str">
        <f aca="false">IF(C11="","",IF(E11&lt;&gt;"",COUNTIF(Socios!$H:$H,E11),IF(COUNTIF(Socios!$F:$F,C11)&gt;0,"nome igual em Socios: confira o CPF","sem CPF: não cruzado")))</f>
        <v/>
      </c>
      <c r="L11" s="27" t="str">
        <f aca="false">IF(E11="","",COUNTIFS(Eleitoral!$K:$K,E11,Eleitoral!$E:$E,"Doação recebida"))</f>
        <v/>
      </c>
      <c r="M11" s="24"/>
      <c r="N11" s="11"/>
    </row>
    <row r="12" customFormat="false" ht="15" hidden="false" customHeight="false" outlineLevel="0" collapsed="false">
      <c r="A12" s="23"/>
      <c r="B12" s="24"/>
      <c r="C12" s="31" t="str">
        <f aca="false">IF(A12="","",SUBSTITUTE(SUBSTITUTE(SUBSTITUTE(SUBSTITUTE(SUBSTITUTE(SUBSTITUTE(SUBSTITUTE(SUBSTITUTE(SUBSTITUTE(SUBSTITUTE(SUBSTITUTE(SUBSTITUTE(SUBSTITUTE(UPPER(TRIM(A12)),"Á","A"),"À","A"),"Â","A"),"Ã","A"),"É","E"),"Ê","E"),"Í","I"),"Ó","O"),"Ô","O"),"Õ","O"),"Ú","U"),"Ü","U"),"Ç","C"))</f>
        <v/>
      </c>
      <c r="D12" s="31" t="str">
        <f aca="false">IF(B12="","",IF(LEN(SUBSTITUTE(SUBSTITUTE(SUBSTITUTE(SUBSTITUTE(TRIM(B12),"*",""),".",""),"-","")," ",""))=11,MID(SUBSTITUTE(SUBSTITUTE(SUBSTITUTE(SUBSTITUTE(TRIM(B12),"*",""),".",""),"-","")," ",""),4,6),SUBSTITUTE(SUBSTITUTE(SUBSTITUTE(SUBSTITUTE(TRIM(B12),"*",""),".",""),"-","")," ","")))</f>
        <v/>
      </c>
      <c r="E12" s="31" t="str">
        <f aca="false">IF(OR(C12="",D12=""),"",C12&amp;"|"&amp;D12)</f>
        <v/>
      </c>
      <c r="F12" s="11"/>
      <c r="G12" s="11"/>
      <c r="H12" s="22"/>
      <c r="I12" s="23"/>
      <c r="J12" s="11"/>
      <c r="K12" s="25" t="str">
        <f aca="false">IF(C12="","",IF(E12&lt;&gt;"",COUNTIF(Socios!$H:$H,E12),IF(COUNTIF(Socios!$F:$F,C12)&gt;0,"nome igual em Socios: confira o CPF","sem CPF: não cruzado")))</f>
        <v/>
      </c>
      <c r="L12" s="27" t="str">
        <f aca="false">IF(E12="","",COUNTIFS(Eleitoral!$K:$K,E12,Eleitoral!$E:$E,"Doação recebida"))</f>
        <v/>
      </c>
      <c r="M12" s="24"/>
      <c r="N12" s="11"/>
    </row>
    <row r="13" customFormat="false" ht="15" hidden="false" customHeight="false" outlineLevel="0" collapsed="false">
      <c r="A13" s="23"/>
      <c r="B13" s="24"/>
      <c r="C13" s="31" t="str">
        <f aca="false">IF(A13="","",SUBSTITUTE(SUBSTITUTE(SUBSTITUTE(SUBSTITUTE(SUBSTITUTE(SUBSTITUTE(SUBSTITUTE(SUBSTITUTE(SUBSTITUTE(SUBSTITUTE(SUBSTITUTE(SUBSTITUTE(SUBSTITUTE(UPPER(TRIM(A13)),"Á","A"),"À","A"),"Â","A"),"Ã","A"),"É","E"),"Ê","E"),"Í","I"),"Ó","O"),"Ô","O"),"Õ","O"),"Ú","U"),"Ü","U"),"Ç","C"))</f>
        <v/>
      </c>
      <c r="D13" s="31" t="str">
        <f aca="false">IF(B13="","",IF(LEN(SUBSTITUTE(SUBSTITUTE(SUBSTITUTE(SUBSTITUTE(TRIM(B13),"*",""),".",""),"-","")," ",""))=11,MID(SUBSTITUTE(SUBSTITUTE(SUBSTITUTE(SUBSTITUTE(TRIM(B13),"*",""),".",""),"-","")," ",""),4,6),SUBSTITUTE(SUBSTITUTE(SUBSTITUTE(SUBSTITUTE(TRIM(B13),"*",""),".",""),"-","")," ","")))</f>
        <v/>
      </c>
      <c r="E13" s="31" t="str">
        <f aca="false">IF(OR(C13="",D13=""),"",C13&amp;"|"&amp;D13)</f>
        <v/>
      </c>
      <c r="F13" s="11"/>
      <c r="G13" s="11"/>
      <c r="H13" s="22"/>
      <c r="I13" s="23"/>
      <c r="J13" s="11"/>
      <c r="K13" s="25" t="str">
        <f aca="false">IF(C13="","",IF(E13&lt;&gt;"",COUNTIF(Socios!$H:$H,E13),IF(COUNTIF(Socios!$F:$F,C13)&gt;0,"nome igual em Socios: confira o CPF","sem CPF: não cruzado")))</f>
        <v/>
      </c>
      <c r="L13" s="27" t="str">
        <f aca="false">IF(E13="","",COUNTIFS(Eleitoral!$K:$K,E13,Eleitoral!$E:$E,"Doação recebida"))</f>
        <v/>
      </c>
      <c r="M13" s="24"/>
      <c r="N13" s="11"/>
    </row>
    <row r="14" customFormat="false" ht="15" hidden="false" customHeight="false" outlineLevel="0" collapsed="false">
      <c r="A14" s="23"/>
      <c r="B14" s="24"/>
      <c r="C14" s="31" t="str">
        <f aca="false">IF(A14="","",SUBSTITUTE(SUBSTITUTE(SUBSTITUTE(SUBSTITUTE(SUBSTITUTE(SUBSTITUTE(SUBSTITUTE(SUBSTITUTE(SUBSTITUTE(SUBSTITUTE(SUBSTITUTE(SUBSTITUTE(SUBSTITUTE(UPPER(TRIM(A14)),"Á","A"),"À","A"),"Â","A"),"Ã","A"),"É","E"),"Ê","E"),"Í","I"),"Ó","O"),"Ô","O"),"Õ","O"),"Ú","U"),"Ü","U"),"Ç","C"))</f>
        <v/>
      </c>
      <c r="D14" s="31" t="str">
        <f aca="false">IF(B14="","",IF(LEN(SUBSTITUTE(SUBSTITUTE(SUBSTITUTE(SUBSTITUTE(TRIM(B14),"*",""),".",""),"-","")," ",""))=11,MID(SUBSTITUTE(SUBSTITUTE(SUBSTITUTE(SUBSTITUTE(TRIM(B14),"*",""),".",""),"-","")," ",""),4,6),SUBSTITUTE(SUBSTITUTE(SUBSTITUTE(SUBSTITUTE(TRIM(B14),"*",""),".",""),"-","")," ","")))</f>
        <v/>
      </c>
      <c r="E14" s="31" t="str">
        <f aca="false">IF(OR(C14="",D14=""),"",C14&amp;"|"&amp;D14)</f>
        <v/>
      </c>
      <c r="F14" s="11"/>
      <c r="G14" s="11"/>
      <c r="H14" s="22"/>
      <c r="I14" s="23"/>
      <c r="J14" s="11"/>
      <c r="K14" s="25" t="str">
        <f aca="false">IF(C14="","",IF(E14&lt;&gt;"",COUNTIF(Socios!$H:$H,E14),IF(COUNTIF(Socios!$F:$F,C14)&gt;0,"nome igual em Socios: confira o CPF","sem CPF: não cruzado")))</f>
        <v/>
      </c>
      <c r="L14" s="27" t="str">
        <f aca="false">IF(E14="","",COUNTIFS(Eleitoral!$K:$K,E14,Eleitoral!$E:$E,"Doação recebida"))</f>
        <v/>
      </c>
      <c r="M14" s="24"/>
      <c r="N14" s="11"/>
    </row>
    <row r="15" customFormat="false" ht="15" hidden="false" customHeight="false" outlineLevel="0" collapsed="false">
      <c r="A15" s="23"/>
      <c r="B15" s="24"/>
      <c r="C15" s="31" t="str">
        <f aca="false">IF(A15="","",SUBSTITUTE(SUBSTITUTE(SUBSTITUTE(SUBSTITUTE(SUBSTITUTE(SUBSTITUTE(SUBSTITUTE(SUBSTITUTE(SUBSTITUTE(SUBSTITUTE(SUBSTITUTE(SUBSTITUTE(SUBSTITUTE(UPPER(TRIM(A15)),"Á","A"),"À","A"),"Â","A"),"Ã","A"),"É","E"),"Ê","E"),"Í","I"),"Ó","O"),"Ô","O"),"Õ","O"),"Ú","U"),"Ü","U"),"Ç","C"))</f>
        <v/>
      </c>
      <c r="D15" s="31" t="str">
        <f aca="false">IF(B15="","",IF(LEN(SUBSTITUTE(SUBSTITUTE(SUBSTITUTE(SUBSTITUTE(TRIM(B15),"*",""),".",""),"-","")," ",""))=11,MID(SUBSTITUTE(SUBSTITUTE(SUBSTITUTE(SUBSTITUTE(TRIM(B15),"*",""),".",""),"-","")," ",""),4,6),SUBSTITUTE(SUBSTITUTE(SUBSTITUTE(SUBSTITUTE(TRIM(B15),"*",""),".",""),"-","")," ","")))</f>
        <v/>
      </c>
      <c r="E15" s="31" t="str">
        <f aca="false">IF(OR(C15="",D15=""),"",C15&amp;"|"&amp;D15)</f>
        <v/>
      </c>
      <c r="F15" s="11"/>
      <c r="G15" s="11"/>
      <c r="H15" s="22"/>
      <c r="I15" s="23"/>
      <c r="J15" s="11"/>
      <c r="K15" s="25" t="str">
        <f aca="false">IF(C15="","",IF(E15&lt;&gt;"",COUNTIF(Socios!$H:$H,E15),IF(COUNTIF(Socios!$F:$F,C15)&gt;0,"nome igual em Socios: confira o CPF","sem CPF: não cruzado")))</f>
        <v/>
      </c>
      <c r="L15" s="27" t="str">
        <f aca="false">IF(E15="","",COUNTIFS(Eleitoral!$K:$K,E15,Eleitoral!$E:$E,"Doação recebida"))</f>
        <v/>
      </c>
      <c r="M15" s="24"/>
      <c r="N15" s="11"/>
    </row>
    <row r="16" customFormat="false" ht="15" hidden="false" customHeight="false" outlineLevel="0" collapsed="false">
      <c r="A16" s="23"/>
      <c r="B16" s="24"/>
      <c r="C16" s="31" t="str">
        <f aca="false">IF(A16="","",SUBSTITUTE(SUBSTITUTE(SUBSTITUTE(SUBSTITUTE(SUBSTITUTE(SUBSTITUTE(SUBSTITUTE(SUBSTITUTE(SUBSTITUTE(SUBSTITUTE(SUBSTITUTE(SUBSTITUTE(SUBSTITUTE(UPPER(TRIM(A16)),"Á","A"),"À","A"),"Â","A"),"Ã","A"),"É","E"),"Ê","E"),"Í","I"),"Ó","O"),"Ô","O"),"Õ","O"),"Ú","U"),"Ü","U"),"Ç","C"))</f>
        <v/>
      </c>
      <c r="D16" s="31" t="str">
        <f aca="false">IF(B16="","",IF(LEN(SUBSTITUTE(SUBSTITUTE(SUBSTITUTE(SUBSTITUTE(TRIM(B16),"*",""),".",""),"-","")," ",""))=11,MID(SUBSTITUTE(SUBSTITUTE(SUBSTITUTE(SUBSTITUTE(TRIM(B16),"*",""),".",""),"-","")," ",""),4,6),SUBSTITUTE(SUBSTITUTE(SUBSTITUTE(SUBSTITUTE(TRIM(B16),"*",""),".",""),"-","")," ","")))</f>
        <v/>
      </c>
      <c r="E16" s="31" t="str">
        <f aca="false">IF(OR(C16="",D16=""),"",C16&amp;"|"&amp;D16)</f>
        <v/>
      </c>
      <c r="F16" s="11"/>
      <c r="G16" s="11"/>
      <c r="H16" s="22"/>
      <c r="I16" s="23"/>
      <c r="J16" s="11"/>
      <c r="K16" s="25" t="str">
        <f aca="false">IF(C16="","",IF(E16&lt;&gt;"",COUNTIF(Socios!$H:$H,E16),IF(COUNTIF(Socios!$F:$F,C16)&gt;0,"nome igual em Socios: confira o CPF","sem CPF: não cruzado")))</f>
        <v/>
      </c>
      <c r="L16" s="27" t="str">
        <f aca="false">IF(E16="","",COUNTIFS(Eleitoral!$K:$K,E16,Eleitoral!$E:$E,"Doação recebida"))</f>
        <v/>
      </c>
      <c r="M16" s="24"/>
      <c r="N16" s="11"/>
    </row>
    <row r="17" customFormat="false" ht="15" hidden="false" customHeight="false" outlineLevel="0" collapsed="false">
      <c r="A17" s="23"/>
      <c r="B17" s="24"/>
      <c r="C17" s="31" t="str">
        <f aca="false">IF(A17="","",SUBSTITUTE(SUBSTITUTE(SUBSTITUTE(SUBSTITUTE(SUBSTITUTE(SUBSTITUTE(SUBSTITUTE(SUBSTITUTE(SUBSTITUTE(SUBSTITUTE(SUBSTITUTE(SUBSTITUTE(SUBSTITUTE(UPPER(TRIM(A17)),"Á","A"),"À","A"),"Â","A"),"Ã","A"),"É","E"),"Ê","E"),"Í","I"),"Ó","O"),"Ô","O"),"Õ","O"),"Ú","U"),"Ü","U"),"Ç","C"))</f>
        <v/>
      </c>
      <c r="D17" s="31" t="str">
        <f aca="false">IF(B17="","",IF(LEN(SUBSTITUTE(SUBSTITUTE(SUBSTITUTE(SUBSTITUTE(TRIM(B17),"*",""),".",""),"-","")," ",""))=11,MID(SUBSTITUTE(SUBSTITUTE(SUBSTITUTE(SUBSTITUTE(TRIM(B17),"*",""),".",""),"-","")," ",""),4,6),SUBSTITUTE(SUBSTITUTE(SUBSTITUTE(SUBSTITUTE(TRIM(B17),"*",""),".",""),"-","")," ","")))</f>
        <v/>
      </c>
      <c r="E17" s="31" t="str">
        <f aca="false">IF(OR(C17="",D17=""),"",C17&amp;"|"&amp;D17)</f>
        <v/>
      </c>
      <c r="F17" s="11"/>
      <c r="G17" s="11"/>
      <c r="H17" s="22"/>
      <c r="I17" s="23"/>
      <c r="J17" s="11"/>
      <c r="K17" s="25" t="str">
        <f aca="false">IF(C17="","",IF(E17&lt;&gt;"",COUNTIF(Socios!$H:$H,E17),IF(COUNTIF(Socios!$F:$F,C17)&gt;0,"nome igual em Socios: confira o CPF","sem CPF: não cruzado")))</f>
        <v/>
      </c>
      <c r="L17" s="27" t="str">
        <f aca="false">IF(E17="","",COUNTIFS(Eleitoral!$K:$K,E17,Eleitoral!$E:$E,"Doação recebida"))</f>
        <v/>
      </c>
      <c r="M17" s="24"/>
      <c r="N17" s="11"/>
    </row>
    <row r="18" customFormat="false" ht="15" hidden="false" customHeight="false" outlineLevel="0" collapsed="false">
      <c r="A18" s="23"/>
      <c r="B18" s="24"/>
      <c r="C18" s="31" t="str">
        <f aca="false">IF(A18="","",SUBSTITUTE(SUBSTITUTE(SUBSTITUTE(SUBSTITUTE(SUBSTITUTE(SUBSTITUTE(SUBSTITUTE(SUBSTITUTE(SUBSTITUTE(SUBSTITUTE(SUBSTITUTE(SUBSTITUTE(SUBSTITUTE(UPPER(TRIM(A18)),"Á","A"),"À","A"),"Â","A"),"Ã","A"),"É","E"),"Ê","E"),"Í","I"),"Ó","O"),"Ô","O"),"Õ","O"),"Ú","U"),"Ü","U"),"Ç","C"))</f>
        <v/>
      </c>
      <c r="D18" s="31" t="str">
        <f aca="false">IF(B18="","",IF(LEN(SUBSTITUTE(SUBSTITUTE(SUBSTITUTE(SUBSTITUTE(TRIM(B18),"*",""),".",""),"-","")," ",""))=11,MID(SUBSTITUTE(SUBSTITUTE(SUBSTITUTE(SUBSTITUTE(TRIM(B18),"*",""),".",""),"-","")," ",""),4,6),SUBSTITUTE(SUBSTITUTE(SUBSTITUTE(SUBSTITUTE(TRIM(B18),"*",""),".",""),"-","")," ","")))</f>
        <v/>
      </c>
      <c r="E18" s="31" t="str">
        <f aca="false">IF(OR(C18="",D18=""),"",C18&amp;"|"&amp;D18)</f>
        <v/>
      </c>
      <c r="F18" s="11"/>
      <c r="G18" s="11"/>
      <c r="H18" s="22"/>
      <c r="I18" s="23"/>
      <c r="J18" s="11"/>
      <c r="K18" s="25" t="str">
        <f aca="false">IF(C18="","",IF(E18&lt;&gt;"",COUNTIF(Socios!$H:$H,E18),IF(COUNTIF(Socios!$F:$F,C18)&gt;0,"nome igual em Socios: confira o CPF","sem CPF: não cruzado")))</f>
        <v/>
      </c>
      <c r="L18" s="27" t="str">
        <f aca="false">IF(E18="","",COUNTIFS(Eleitoral!$K:$K,E18,Eleitoral!$E:$E,"Doação recebida"))</f>
        <v/>
      </c>
      <c r="M18" s="24"/>
      <c r="N18" s="11"/>
    </row>
    <row r="19" customFormat="false" ht="15" hidden="false" customHeight="false" outlineLevel="0" collapsed="false">
      <c r="A19" s="23"/>
      <c r="B19" s="24"/>
      <c r="C19" s="31" t="str">
        <f aca="false">IF(A19="","",SUBSTITUTE(SUBSTITUTE(SUBSTITUTE(SUBSTITUTE(SUBSTITUTE(SUBSTITUTE(SUBSTITUTE(SUBSTITUTE(SUBSTITUTE(SUBSTITUTE(SUBSTITUTE(SUBSTITUTE(SUBSTITUTE(UPPER(TRIM(A19)),"Á","A"),"À","A"),"Â","A"),"Ã","A"),"É","E"),"Ê","E"),"Í","I"),"Ó","O"),"Ô","O"),"Õ","O"),"Ú","U"),"Ü","U"),"Ç","C"))</f>
        <v/>
      </c>
      <c r="D19" s="31" t="str">
        <f aca="false">IF(B19="","",IF(LEN(SUBSTITUTE(SUBSTITUTE(SUBSTITUTE(SUBSTITUTE(TRIM(B19),"*",""),".",""),"-","")," ",""))=11,MID(SUBSTITUTE(SUBSTITUTE(SUBSTITUTE(SUBSTITUTE(TRIM(B19),"*",""),".",""),"-","")," ",""),4,6),SUBSTITUTE(SUBSTITUTE(SUBSTITUTE(SUBSTITUTE(TRIM(B19),"*",""),".",""),"-","")," ","")))</f>
        <v/>
      </c>
      <c r="E19" s="31" t="str">
        <f aca="false">IF(OR(C19="",D19=""),"",C19&amp;"|"&amp;D19)</f>
        <v/>
      </c>
      <c r="F19" s="11"/>
      <c r="G19" s="11"/>
      <c r="H19" s="22"/>
      <c r="I19" s="23"/>
      <c r="J19" s="11"/>
      <c r="K19" s="25" t="str">
        <f aca="false">IF(C19="","",IF(E19&lt;&gt;"",COUNTIF(Socios!$H:$H,E19),IF(COUNTIF(Socios!$F:$F,C19)&gt;0,"nome igual em Socios: confira o CPF","sem CPF: não cruzado")))</f>
        <v/>
      </c>
      <c r="L19" s="27" t="str">
        <f aca="false">IF(E19="","",COUNTIFS(Eleitoral!$K:$K,E19,Eleitoral!$E:$E,"Doação recebida"))</f>
        <v/>
      </c>
      <c r="M19" s="24"/>
      <c r="N19" s="11"/>
    </row>
    <row r="20" customFormat="false" ht="15" hidden="false" customHeight="false" outlineLevel="0" collapsed="false">
      <c r="A20" s="23"/>
      <c r="B20" s="24"/>
      <c r="C20" s="31" t="str">
        <f aca="false">IF(A20="","",SUBSTITUTE(SUBSTITUTE(SUBSTITUTE(SUBSTITUTE(SUBSTITUTE(SUBSTITUTE(SUBSTITUTE(SUBSTITUTE(SUBSTITUTE(SUBSTITUTE(SUBSTITUTE(SUBSTITUTE(SUBSTITUTE(UPPER(TRIM(A20)),"Á","A"),"À","A"),"Â","A"),"Ã","A"),"É","E"),"Ê","E"),"Í","I"),"Ó","O"),"Ô","O"),"Õ","O"),"Ú","U"),"Ü","U"),"Ç","C"))</f>
        <v/>
      </c>
      <c r="D20" s="31" t="str">
        <f aca="false">IF(B20="","",IF(LEN(SUBSTITUTE(SUBSTITUTE(SUBSTITUTE(SUBSTITUTE(TRIM(B20),"*",""),".",""),"-","")," ",""))=11,MID(SUBSTITUTE(SUBSTITUTE(SUBSTITUTE(SUBSTITUTE(TRIM(B20),"*",""),".",""),"-","")," ",""),4,6),SUBSTITUTE(SUBSTITUTE(SUBSTITUTE(SUBSTITUTE(TRIM(B20),"*",""),".",""),"-","")," ","")))</f>
        <v/>
      </c>
      <c r="E20" s="31" t="str">
        <f aca="false">IF(OR(C20="",D20=""),"",C20&amp;"|"&amp;D20)</f>
        <v/>
      </c>
      <c r="F20" s="11"/>
      <c r="G20" s="11"/>
      <c r="H20" s="22"/>
      <c r="I20" s="23"/>
      <c r="J20" s="11"/>
      <c r="K20" s="25" t="str">
        <f aca="false">IF(C20="","",IF(E20&lt;&gt;"",COUNTIF(Socios!$H:$H,E20),IF(COUNTIF(Socios!$F:$F,C20)&gt;0,"nome igual em Socios: confira o CPF","sem CPF: não cruzado")))</f>
        <v/>
      </c>
      <c r="L20" s="27" t="str">
        <f aca="false">IF(E20="","",COUNTIFS(Eleitoral!$K:$K,E20,Eleitoral!$E:$E,"Doação recebida"))</f>
        <v/>
      </c>
      <c r="M20" s="24"/>
      <c r="N20" s="11"/>
    </row>
    <row r="21" customFormat="false" ht="15" hidden="false" customHeight="false" outlineLevel="0" collapsed="false">
      <c r="A21" s="23"/>
      <c r="B21" s="24"/>
      <c r="C21" s="31" t="str">
        <f aca="false">IF(A21="","",SUBSTITUTE(SUBSTITUTE(SUBSTITUTE(SUBSTITUTE(SUBSTITUTE(SUBSTITUTE(SUBSTITUTE(SUBSTITUTE(SUBSTITUTE(SUBSTITUTE(SUBSTITUTE(SUBSTITUTE(SUBSTITUTE(UPPER(TRIM(A21)),"Á","A"),"À","A"),"Â","A"),"Ã","A"),"É","E"),"Ê","E"),"Í","I"),"Ó","O"),"Ô","O"),"Õ","O"),"Ú","U"),"Ü","U"),"Ç","C"))</f>
        <v/>
      </c>
      <c r="D21" s="31" t="str">
        <f aca="false">IF(B21="","",IF(LEN(SUBSTITUTE(SUBSTITUTE(SUBSTITUTE(SUBSTITUTE(TRIM(B21),"*",""),".",""),"-","")," ",""))=11,MID(SUBSTITUTE(SUBSTITUTE(SUBSTITUTE(SUBSTITUTE(TRIM(B21),"*",""),".",""),"-","")," ",""),4,6),SUBSTITUTE(SUBSTITUTE(SUBSTITUTE(SUBSTITUTE(TRIM(B21),"*",""),".",""),"-","")," ","")))</f>
        <v/>
      </c>
      <c r="E21" s="31" t="str">
        <f aca="false">IF(OR(C21="",D21=""),"",C21&amp;"|"&amp;D21)</f>
        <v/>
      </c>
      <c r="F21" s="11"/>
      <c r="G21" s="11"/>
      <c r="H21" s="22"/>
      <c r="I21" s="23"/>
      <c r="J21" s="11"/>
      <c r="K21" s="25" t="str">
        <f aca="false">IF(C21="","",IF(E21&lt;&gt;"",COUNTIF(Socios!$H:$H,E21),IF(COUNTIF(Socios!$F:$F,C21)&gt;0,"nome igual em Socios: confira o CPF","sem CPF: não cruzado")))</f>
        <v/>
      </c>
      <c r="L21" s="27" t="str">
        <f aca="false">IF(E21="","",COUNTIFS(Eleitoral!$K:$K,E21,Eleitoral!$E:$E,"Doação recebida"))</f>
        <v/>
      </c>
      <c r="M21" s="24"/>
      <c r="N21" s="11"/>
    </row>
    <row r="22" customFormat="false" ht="15" hidden="false" customHeight="false" outlineLevel="0" collapsed="false">
      <c r="A22" s="23"/>
      <c r="B22" s="24"/>
      <c r="C22" s="31" t="str">
        <f aca="false">IF(A22="","",SUBSTITUTE(SUBSTITUTE(SUBSTITUTE(SUBSTITUTE(SUBSTITUTE(SUBSTITUTE(SUBSTITUTE(SUBSTITUTE(SUBSTITUTE(SUBSTITUTE(SUBSTITUTE(SUBSTITUTE(SUBSTITUTE(UPPER(TRIM(A22)),"Á","A"),"À","A"),"Â","A"),"Ã","A"),"É","E"),"Ê","E"),"Í","I"),"Ó","O"),"Ô","O"),"Õ","O"),"Ú","U"),"Ü","U"),"Ç","C"))</f>
        <v/>
      </c>
      <c r="D22" s="31" t="str">
        <f aca="false">IF(B22="","",IF(LEN(SUBSTITUTE(SUBSTITUTE(SUBSTITUTE(SUBSTITUTE(TRIM(B22),"*",""),".",""),"-","")," ",""))=11,MID(SUBSTITUTE(SUBSTITUTE(SUBSTITUTE(SUBSTITUTE(TRIM(B22),"*",""),".",""),"-","")," ",""),4,6),SUBSTITUTE(SUBSTITUTE(SUBSTITUTE(SUBSTITUTE(TRIM(B22),"*",""),".",""),"-","")," ","")))</f>
        <v/>
      </c>
      <c r="E22" s="31" t="str">
        <f aca="false">IF(OR(C22="",D22=""),"",C22&amp;"|"&amp;D22)</f>
        <v/>
      </c>
      <c r="F22" s="11"/>
      <c r="G22" s="11"/>
      <c r="H22" s="22"/>
      <c r="I22" s="23"/>
      <c r="J22" s="11"/>
      <c r="K22" s="25" t="str">
        <f aca="false">IF(C22="","",IF(E22&lt;&gt;"",COUNTIF(Socios!$H:$H,E22),IF(COUNTIF(Socios!$F:$F,C22)&gt;0,"nome igual em Socios: confira o CPF","sem CPF: não cruzado")))</f>
        <v/>
      </c>
      <c r="L22" s="27" t="str">
        <f aca="false">IF(E22="","",COUNTIFS(Eleitoral!$K:$K,E22,Eleitoral!$E:$E,"Doação recebida"))</f>
        <v/>
      </c>
      <c r="M22" s="24"/>
      <c r="N22" s="11"/>
    </row>
    <row r="23" customFormat="false" ht="15" hidden="false" customHeight="false" outlineLevel="0" collapsed="false">
      <c r="A23" s="23"/>
      <c r="B23" s="24"/>
      <c r="C23" s="31" t="str">
        <f aca="false">IF(A23="","",SUBSTITUTE(SUBSTITUTE(SUBSTITUTE(SUBSTITUTE(SUBSTITUTE(SUBSTITUTE(SUBSTITUTE(SUBSTITUTE(SUBSTITUTE(SUBSTITUTE(SUBSTITUTE(SUBSTITUTE(SUBSTITUTE(UPPER(TRIM(A23)),"Á","A"),"À","A"),"Â","A"),"Ã","A"),"É","E"),"Ê","E"),"Í","I"),"Ó","O"),"Ô","O"),"Õ","O"),"Ú","U"),"Ü","U"),"Ç","C"))</f>
        <v/>
      </c>
      <c r="D23" s="31" t="str">
        <f aca="false">IF(B23="","",IF(LEN(SUBSTITUTE(SUBSTITUTE(SUBSTITUTE(SUBSTITUTE(TRIM(B23),"*",""),".",""),"-","")," ",""))=11,MID(SUBSTITUTE(SUBSTITUTE(SUBSTITUTE(SUBSTITUTE(TRIM(B23),"*",""),".",""),"-","")," ",""),4,6),SUBSTITUTE(SUBSTITUTE(SUBSTITUTE(SUBSTITUTE(TRIM(B23),"*",""),".",""),"-","")," ","")))</f>
        <v/>
      </c>
      <c r="E23" s="31" t="str">
        <f aca="false">IF(OR(C23="",D23=""),"",C23&amp;"|"&amp;D23)</f>
        <v/>
      </c>
      <c r="F23" s="11"/>
      <c r="G23" s="11"/>
      <c r="H23" s="22"/>
      <c r="I23" s="23"/>
      <c r="J23" s="11"/>
      <c r="K23" s="25" t="str">
        <f aca="false">IF(C23="","",IF(E23&lt;&gt;"",COUNTIF(Socios!$H:$H,E23),IF(COUNTIF(Socios!$F:$F,C23)&gt;0,"nome igual em Socios: confira o CPF","sem CPF: não cruzado")))</f>
        <v/>
      </c>
      <c r="L23" s="27" t="str">
        <f aca="false">IF(E23="","",COUNTIFS(Eleitoral!$K:$K,E23,Eleitoral!$E:$E,"Doação recebida"))</f>
        <v/>
      </c>
      <c r="M23" s="24"/>
      <c r="N23" s="11"/>
    </row>
    <row r="24" customFormat="false" ht="15" hidden="false" customHeight="false" outlineLevel="0" collapsed="false">
      <c r="A24" s="23"/>
      <c r="B24" s="24"/>
      <c r="C24" s="31" t="str">
        <f aca="false">IF(A24="","",SUBSTITUTE(SUBSTITUTE(SUBSTITUTE(SUBSTITUTE(SUBSTITUTE(SUBSTITUTE(SUBSTITUTE(SUBSTITUTE(SUBSTITUTE(SUBSTITUTE(SUBSTITUTE(SUBSTITUTE(SUBSTITUTE(UPPER(TRIM(A24)),"Á","A"),"À","A"),"Â","A"),"Ã","A"),"É","E"),"Ê","E"),"Í","I"),"Ó","O"),"Ô","O"),"Õ","O"),"Ú","U"),"Ü","U"),"Ç","C"))</f>
        <v/>
      </c>
      <c r="D24" s="31" t="str">
        <f aca="false">IF(B24="","",IF(LEN(SUBSTITUTE(SUBSTITUTE(SUBSTITUTE(SUBSTITUTE(TRIM(B24),"*",""),".",""),"-","")," ",""))=11,MID(SUBSTITUTE(SUBSTITUTE(SUBSTITUTE(SUBSTITUTE(TRIM(B24),"*",""),".",""),"-","")," ",""),4,6),SUBSTITUTE(SUBSTITUTE(SUBSTITUTE(SUBSTITUTE(TRIM(B24),"*",""),".",""),"-","")," ","")))</f>
        <v/>
      </c>
      <c r="E24" s="31" t="str">
        <f aca="false">IF(OR(C24="",D24=""),"",C24&amp;"|"&amp;D24)</f>
        <v/>
      </c>
      <c r="F24" s="11"/>
      <c r="G24" s="11"/>
      <c r="H24" s="22"/>
      <c r="I24" s="23"/>
      <c r="J24" s="11"/>
      <c r="K24" s="25" t="str">
        <f aca="false">IF(C24="","",IF(E24&lt;&gt;"",COUNTIF(Socios!$H:$H,E24),IF(COUNTIF(Socios!$F:$F,C24)&gt;0,"nome igual em Socios: confira o CPF","sem CPF: não cruzado")))</f>
        <v/>
      </c>
      <c r="L24" s="27" t="str">
        <f aca="false">IF(E24="","",COUNTIFS(Eleitoral!$K:$K,E24,Eleitoral!$E:$E,"Doação recebida"))</f>
        <v/>
      </c>
      <c r="M24" s="24"/>
      <c r="N24" s="11"/>
    </row>
    <row r="25" customFormat="false" ht="15" hidden="false" customHeight="false" outlineLevel="0" collapsed="false">
      <c r="A25" s="23"/>
      <c r="B25" s="24"/>
      <c r="C25" s="31" t="str">
        <f aca="false">IF(A25="","",SUBSTITUTE(SUBSTITUTE(SUBSTITUTE(SUBSTITUTE(SUBSTITUTE(SUBSTITUTE(SUBSTITUTE(SUBSTITUTE(SUBSTITUTE(SUBSTITUTE(SUBSTITUTE(SUBSTITUTE(SUBSTITUTE(UPPER(TRIM(A25)),"Á","A"),"À","A"),"Â","A"),"Ã","A"),"É","E"),"Ê","E"),"Í","I"),"Ó","O"),"Ô","O"),"Õ","O"),"Ú","U"),"Ü","U"),"Ç","C"))</f>
        <v/>
      </c>
      <c r="D25" s="31" t="str">
        <f aca="false">IF(B25="","",IF(LEN(SUBSTITUTE(SUBSTITUTE(SUBSTITUTE(SUBSTITUTE(TRIM(B25),"*",""),".",""),"-","")," ",""))=11,MID(SUBSTITUTE(SUBSTITUTE(SUBSTITUTE(SUBSTITUTE(TRIM(B25),"*",""),".",""),"-","")," ",""),4,6),SUBSTITUTE(SUBSTITUTE(SUBSTITUTE(SUBSTITUTE(TRIM(B25),"*",""),".",""),"-","")," ","")))</f>
        <v/>
      </c>
      <c r="E25" s="31" t="str">
        <f aca="false">IF(OR(C25="",D25=""),"",C25&amp;"|"&amp;D25)</f>
        <v/>
      </c>
      <c r="F25" s="11"/>
      <c r="G25" s="11"/>
      <c r="H25" s="22"/>
      <c r="I25" s="23"/>
      <c r="J25" s="11"/>
      <c r="K25" s="25" t="str">
        <f aca="false">IF(C25="","",IF(E25&lt;&gt;"",COUNTIF(Socios!$H:$H,E25),IF(COUNTIF(Socios!$F:$F,C25)&gt;0,"nome igual em Socios: confira o CPF","sem CPF: não cruzado")))</f>
        <v/>
      </c>
      <c r="L25" s="27" t="str">
        <f aca="false">IF(E25="","",COUNTIFS(Eleitoral!$K:$K,E25,Eleitoral!$E:$E,"Doação recebida"))</f>
        <v/>
      </c>
      <c r="M25" s="24"/>
      <c r="N25" s="11"/>
    </row>
    <row r="26" customFormat="false" ht="15" hidden="false" customHeight="false" outlineLevel="0" collapsed="false">
      <c r="A26" s="23"/>
      <c r="B26" s="24"/>
      <c r="C26" s="31" t="str">
        <f aca="false">IF(A26="","",SUBSTITUTE(SUBSTITUTE(SUBSTITUTE(SUBSTITUTE(SUBSTITUTE(SUBSTITUTE(SUBSTITUTE(SUBSTITUTE(SUBSTITUTE(SUBSTITUTE(SUBSTITUTE(SUBSTITUTE(SUBSTITUTE(UPPER(TRIM(A26)),"Á","A"),"À","A"),"Â","A"),"Ã","A"),"É","E"),"Ê","E"),"Í","I"),"Ó","O"),"Ô","O"),"Õ","O"),"Ú","U"),"Ü","U"),"Ç","C"))</f>
        <v/>
      </c>
      <c r="D26" s="31" t="str">
        <f aca="false">IF(B26="","",IF(LEN(SUBSTITUTE(SUBSTITUTE(SUBSTITUTE(SUBSTITUTE(TRIM(B26),"*",""),".",""),"-","")," ",""))=11,MID(SUBSTITUTE(SUBSTITUTE(SUBSTITUTE(SUBSTITUTE(TRIM(B26),"*",""),".",""),"-","")," ",""),4,6),SUBSTITUTE(SUBSTITUTE(SUBSTITUTE(SUBSTITUTE(TRIM(B26),"*",""),".",""),"-","")," ","")))</f>
        <v/>
      </c>
      <c r="E26" s="31" t="str">
        <f aca="false">IF(OR(C26="",D26=""),"",C26&amp;"|"&amp;D26)</f>
        <v/>
      </c>
      <c r="F26" s="11"/>
      <c r="G26" s="11"/>
      <c r="H26" s="22"/>
      <c r="I26" s="23"/>
      <c r="J26" s="11"/>
      <c r="K26" s="25" t="str">
        <f aca="false">IF(C26="","",IF(E26&lt;&gt;"",COUNTIF(Socios!$H:$H,E26),IF(COUNTIF(Socios!$F:$F,C26)&gt;0,"nome igual em Socios: confira o CPF","sem CPF: não cruzado")))</f>
        <v/>
      </c>
      <c r="L26" s="27" t="str">
        <f aca="false">IF(E26="","",COUNTIFS(Eleitoral!$K:$K,E26,Eleitoral!$E:$E,"Doação recebida"))</f>
        <v/>
      </c>
      <c r="M26" s="24"/>
      <c r="N26" s="11"/>
    </row>
    <row r="27" customFormat="false" ht="15" hidden="false" customHeight="false" outlineLevel="0" collapsed="false">
      <c r="A27" s="23"/>
      <c r="B27" s="24"/>
      <c r="C27" s="31" t="str">
        <f aca="false">IF(A27="","",SUBSTITUTE(SUBSTITUTE(SUBSTITUTE(SUBSTITUTE(SUBSTITUTE(SUBSTITUTE(SUBSTITUTE(SUBSTITUTE(SUBSTITUTE(SUBSTITUTE(SUBSTITUTE(SUBSTITUTE(SUBSTITUTE(UPPER(TRIM(A27)),"Á","A"),"À","A"),"Â","A"),"Ã","A"),"É","E"),"Ê","E"),"Í","I"),"Ó","O"),"Ô","O"),"Õ","O"),"Ú","U"),"Ü","U"),"Ç","C"))</f>
        <v/>
      </c>
      <c r="D27" s="31" t="str">
        <f aca="false">IF(B27="","",IF(LEN(SUBSTITUTE(SUBSTITUTE(SUBSTITUTE(SUBSTITUTE(TRIM(B27),"*",""),".",""),"-","")," ",""))=11,MID(SUBSTITUTE(SUBSTITUTE(SUBSTITUTE(SUBSTITUTE(TRIM(B27),"*",""),".",""),"-","")," ",""),4,6),SUBSTITUTE(SUBSTITUTE(SUBSTITUTE(SUBSTITUTE(TRIM(B27),"*",""),".",""),"-","")," ","")))</f>
        <v/>
      </c>
      <c r="E27" s="31" t="str">
        <f aca="false">IF(OR(C27="",D27=""),"",C27&amp;"|"&amp;D27)</f>
        <v/>
      </c>
      <c r="F27" s="11"/>
      <c r="G27" s="11"/>
      <c r="H27" s="22"/>
      <c r="I27" s="23"/>
      <c r="J27" s="11"/>
      <c r="K27" s="25" t="str">
        <f aca="false">IF(C27="","",IF(E27&lt;&gt;"",COUNTIF(Socios!$H:$H,E27),IF(COUNTIF(Socios!$F:$F,C27)&gt;0,"nome igual em Socios: confira o CPF","sem CPF: não cruzado")))</f>
        <v/>
      </c>
      <c r="L27" s="27" t="str">
        <f aca="false">IF(E27="","",COUNTIFS(Eleitoral!$K:$K,E27,Eleitoral!$E:$E,"Doação recebida"))</f>
        <v/>
      </c>
      <c r="M27" s="24"/>
      <c r="N27" s="11"/>
    </row>
    <row r="28" customFormat="false" ht="15" hidden="false" customHeight="false" outlineLevel="0" collapsed="false">
      <c r="A28" s="23"/>
      <c r="B28" s="24"/>
      <c r="C28" s="31" t="str">
        <f aca="false">IF(A28="","",SUBSTITUTE(SUBSTITUTE(SUBSTITUTE(SUBSTITUTE(SUBSTITUTE(SUBSTITUTE(SUBSTITUTE(SUBSTITUTE(SUBSTITUTE(SUBSTITUTE(SUBSTITUTE(SUBSTITUTE(SUBSTITUTE(UPPER(TRIM(A28)),"Á","A"),"À","A"),"Â","A"),"Ã","A"),"É","E"),"Ê","E"),"Í","I"),"Ó","O"),"Ô","O"),"Õ","O"),"Ú","U"),"Ü","U"),"Ç","C"))</f>
        <v/>
      </c>
      <c r="D28" s="31" t="str">
        <f aca="false">IF(B28="","",IF(LEN(SUBSTITUTE(SUBSTITUTE(SUBSTITUTE(SUBSTITUTE(TRIM(B28),"*",""),".",""),"-","")," ",""))=11,MID(SUBSTITUTE(SUBSTITUTE(SUBSTITUTE(SUBSTITUTE(TRIM(B28),"*",""),".",""),"-","")," ",""),4,6),SUBSTITUTE(SUBSTITUTE(SUBSTITUTE(SUBSTITUTE(TRIM(B28),"*",""),".",""),"-","")," ","")))</f>
        <v/>
      </c>
      <c r="E28" s="31" t="str">
        <f aca="false">IF(OR(C28="",D28=""),"",C28&amp;"|"&amp;D28)</f>
        <v/>
      </c>
      <c r="F28" s="11"/>
      <c r="G28" s="11"/>
      <c r="H28" s="22"/>
      <c r="I28" s="23"/>
      <c r="J28" s="11"/>
      <c r="K28" s="25" t="str">
        <f aca="false">IF(C28="","",IF(E28&lt;&gt;"",COUNTIF(Socios!$H:$H,E28),IF(COUNTIF(Socios!$F:$F,C28)&gt;0,"nome igual em Socios: confira o CPF","sem CPF: não cruzado")))</f>
        <v/>
      </c>
      <c r="L28" s="27" t="str">
        <f aca="false">IF(E28="","",COUNTIFS(Eleitoral!$K:$K,E28,Eleitoral!$E:$E,"Doação recebida"))</f>
        <v/>
      </c>
      <c r="M28" s="24"/>
      <c r="N28" s="11"/>
    </row>
    <row r="29" customFormat="false" ht="15" hidden="false" customHeight="false" outlineLevel="0" collapsed="false">
      <c r="A29" s="23"/>
      <c r="B29" s="24"/>
      <c r="C29" s="31" t="str">
        <f aca="false">IF(A29="","",SUBSTITUTE(SUBSTITUTE(SUBSTITUTE(SUBSTITUTE(SUBSTITUTE(SUBSTITUTE(SUBSTITUTE(SUBSTITUTE(SUBSTITUTE(SUBSTITUTE(SUBSTITUTE(SUBSTITUTE(SUBSTITUTE(UPPER(TRIM(A29)),"Á","A"),"À","A"),"Â","A"),"Ã","A"),"É","E"),"Ê","E"),"Í","I"),"Ó","O"),"Ô","O"),"Õ","O"),"Ú","U"),"Ü","U"),"Ç","C"))</f>
        <v/>
      </c>
      <c r="D29" s="31" t="str">
        <f aca="false">IF(B29="","",IF(LEN(SUBSTITUTE(SUBSTITUTE(SUBSTITUTE(SUBSTITUTE(TRIM(B29),"*",""),".",""),"-","")," ",""))=11,MID(SUBSTITUTE(SUBSTITUTE(SUBSTITUTE(SUBSTITUTE(TRIM(B29),"*",""),".",""),"-","")," ",""),4,6),SUBSTITUTE(SUBSTITUTE(SUBSTITUTE(SUBSTITUTE(TRIM(B29),"*",""),".",""),"-","")," ","")))</f>
        <v/>
      </c>
      <c r="E29" s="31" t="str">
        <f aca="false">IF(OR(C29="",D29=""),"",C29&amp;"|"&amp;D29)</f>
        <v/>
      </c>
      <c r="F29" s="11"/>
      <c r="G29" s="11"/>
      <c r="H29" s="22"/>
      <c r="I29" s="23"/>
      <c r="J29" s="11"/>
      <c r="K29" s="25" t="str">
        <f aca="false">IF(C29="","",IF(E29&lt;&gt;"",COUNTIF(Socios!$H:$H,E29),IF(COUNTIF(Socios!$F:$F,C29)&gt;0,"nome igual em Socios: confira o CPF","sem CPF: não cruzado")))</f>
        <v/>
      </c>
      <c r="L29" s="27" t="str">
        <f aca="false">IF(E29="","",COUNTIFS(Eleitoral!$K:$K,E29,Eleitoral!$E:$E,"Doação recebida"))</f>
        <v/>
      </c>
      <c r="M29" s="24"/>
      <c r="N29" s="11"/>
    </row>
    <row r="30" customFormat="false" ht="15" hidden="false" customHeight="false" outlineLevel="0" collapsed="false">
      <c r="A30" s="23"/>
      <c r="B30" s="24"/>
      <c r="C30" s="31" t="str">
        <f aca="false">IF(A30="","",SUBSTITUTE(SUBSTITUTE(SUBSTITUTE(SUBSTITUTE(SUBSTITUTE(SUBSTITUTE(SUBSTITUTE(SUBSTITUTE(SUBSTITUTE(SUBSTITUTE(SUBSTITUTE(SUBSTITUTE(SUBSTITUTE(UPPER(TRIM(A30)),"Á","A"),"À","A"),"Â","A"),"Ã","A"),"É","E"),"Ê","E"),"Í","I"),"Ó","O"),"Ô","O"),"Õ","O"),"Ú","U"),"Ü","U"),"Ç","C"))</f>
        <v/>
      </c>
      <c r="D30" s="31" t="str">
        <f aca="false">IF(B30="","",IF(LEN(SUBSTITUTE(SUBSTITUTE(SUBSTITUTE(SUBSTITUTE(TRIM(B30),"*",""),".",""),"-","")," ",""))=11,MID(SUBSTITUTE(SUBSTITUTE(SUBSTITUTE(SUBSTITUTE(TRIM(B30),"*",""),".",""),"-","")," ",""),4,6),SUBSTITUTE(SUBSTITUTE(SUBSTITUTE(SUBSTITUTE(TRIM(B30),"*",""),".",""),"-","")," ","")))</f>
        <v/>
      </c>
      <c r="E30" s="31" t="str">
        <f aca="false">IF(OR(C30="",D30=""),"",C30&amp;"|"&amp;D30)</f>
        <v/>
      </c>
      <c r="F30" s="11"/>
      <c r="G30" s="11"/>
      <c r="H30" s="22"/>
      <c r="I30" s="23"/>
      <c r="J30" s="11"/>
      <c r="K30" s="25" t="str">
        <f aca="false">IF(C30="","",IF(E30&lt;&gt;"",COUNTIF(Socios!$H:$H,E30),IF(COUNTIF(Socios!$F:$F,C30)&gt;0,"nome igual em Socios: confira o CPF","sem CPF: não cruzado")))</f>
        <v/>
      </c>
      <c r="L30" s="27" t="str">
        <f aca="false">IF(E30="","",COUNTIFS(Eleitoral!$K:$K,E30,Eleitoral!$E:$E,"Doação recebida"))</f>
        <v/>
      </c>
      <c r="M30" s="24"/>
      <c r="N30" s="11"/>
    </row>
    <row r="31" customFormat="false" ht="15" hidden="false" customHeight="false" outlineLevel="0" collapsed="false">
      <c r="A31" s="23"/>
      <c r="B31" s="24"/>
      <c r="C31" s="31" t="str">
        <f aca="false">IF(A31="","",SUBSTITUTE(SUBSTITUTE(SUBSTITUTE(SUBSTITUTE(SUBSTITUTE(SUBSTITUTE(SUBSTITUTE(SUBSTITUTE(SUBSTITUTE(SUBSTITUTE(SUBSTITUTE(SUBSTITUTE(SUBSTITUTE(UPPER(TRIM(A31)),"Á","A"),"À","A"),"Â","A"),"Ã","A"),"É","E"),"Ê","E"),"Í","I"),"Ó","O"),"Ô","O"),"Õ","O"),"Ú","U"),"Ü","U"),"Ç","C"))</f>
        <v/>
      </c>
      <c r="D31" s="31" t="str">
        <f aca="false">IF(B31="","",IF(LEN(SUBSTITUTE(SUBSTITUTE(SUBSTITUTE(SUBSTITUTE(TRIM(B31),"*",""),".",""),"-","")," ",""))=11,MID(SUBSTITUTE(SUBSTITUTE(SUBSTITUTE(SUBSTITUTE(TRIM(B31),"*",""),".",""),"-","")," ",""),4,6),SUBSTITUTE(SUBSTITUTE(SUBSTITUTE(SUBSTITUTE(TRIM(B31),"*",""),".",""),"-","")," ","")))</f>
        <v/>
      </c>
      <c r="E31" s="31" t="str">
        <f aca="false">IF(OR(C31="",D31=""),"",C31&amp;"|"&amp;D31)</f>
        <v/>
      </c>
      <c r="F31" s="11"/>
      <c r="G31" s="11"/>
      <c r="H31" s="22"/>
      <c r="I31" s="23"/>
      <c r="J31" s="11"/>
      <c r="K31" s="25" t="str">
        <f aca="false">IF(C31="","",IF(E31&lt;&gt;"",COUNTIF(Socios!$H:$H,E31),IF(COUNTIF(Socios!$F:$F,C31)&gt;0,"nome igual em Socios: confira o CPF","sem CPF: não cruzado")))</f>
        <v/>
      </c>
      <c r="L31" s="27" t="str">
        <f aca="false">IF(E31="","",COUNTIFS(Eleitoral!$K:$K,E31,Eleitoral!$E:$E,"Doação recebida"))</f>
        <v/>
      </c>
      <c r="M31" s="24"/>
      <c r="N31" s="11"/>
    </row>
    <row r="32" customFormat="false" ht="15" hidden="false" customHeight="false" outlineLevel="0" collapsed="false">
      <c r="A32" s="23"/>
      <c r="B32" s="24"/>
      <c r="C32" s="31" t="str">
        <f aca="false">IF(A32="","",SUBSTITUTE(SUBSTITUTE(SUBSTITUTE(SUBSTITUTE(SUBSTITUTE(SUBSTITUTE(SUBSTITUTE(SUBSTITUTE(SUBSTITUTE(SUBSTITUTE(SUBSTITUTE(SUBSTITUTE(SUBSTITUTE(UPPER(TRIM(A32)),"Á","A"),"À","A"),"Â","A"),"Ã","A"),"É","E"),"Ê","E"),"Í","I"),"Ó","O"),"Ô","O"),"Õ","O"),"Ú","U"),"Ü","U"),"Ç","C"))</f>
        <v/>
      </c>
      <c r="D32" s="31" t="str">
        <f aca="false">IF(B32="","",IF(LEN(SUBSTITUTE(SUBSTITUTE(SUBSTITUTE(SUBSTITUTE(TRIM(B32),"*",""),".",""),"-","")," ",""))=11,MID(SUBSTITUTE(SUBSTITUTE(SUBSTITUTE(SUBSTITUTE(TRIM(B32),"*",""),".",""),"-","")," ",""),4,6),SUBSTITUTE(SUBSTITUTE(SUBSTITUTE(SUBSTITUTE(TRIM(B32),"*",""),".",""),"-","")," ","")))</f>
        <v/>
      </c>
      <c r="E32" s="31" t="str">
        <f aca="false">IF(OR(C32="",D32=""),"",C32&amp;"|"&amp;D32)</f>
        <v/>
      </c>
      <c r="F32" s="11"/>
      <c r="G32" s="11"/>
      <c r="H32" s="22"/>
      <c r="I32" s="23"/>
      <c r="J32" s="11"/>
      <c r="K32" s="25" t="str">
        <f aca="false">IF(C32="","",IF(E32&lt;&gt;"",COUNTIF(Socios!$H:$H,E32),IF(COUNTIF(Socios!$F:$F,C32)&gt;0,"nome igual em Socios: confira o CPF","sem CPF: não cruzado")))</f>
        <v/>
      </c>
      <c r="L32" s="27" t="str">
        <f aca="false">IF(E32="","",COUNTIFS(Eleitoral!$K:$K,E32,Eleitoral!$E:$E,"Doação recebida"))</f>
        <v/>
      </c>
      <c r="M32" s="24"/>
      <c r="N32" s="11"/>
    </row>
    <row r="33" customFormat="false" ht="15" hidden="false" customHeight="false" outlineLevel="0" collapsed="false">
      <c r="A33" s="23"/>
      <c r="B33" s="24"/>
      <c r="C33" s="31" t="str">
        <f aca="false">IF(A33="","",SUBSTITUTE(SUBSTITUTE(SUBSTITUTE(SUBSTITUTE(SUBSTITUTE(SUBSTITUTE(SUBSTITUTE(SUBSTITUTE(SUBSTITUTE(SUBSTITUTE(SUBSTITUTE(SUBSTITUTE(SUBSTITUTE(UPPER(TRIM(A33)),"Á","A"),"À","A"),"Â","A"),"Ã","A"),"É","E"),"Ê","E"),"Í","I"),"Ó","O"),"Ô","O"),"Õ","O"),"Ú","U"),"Ü","U"),"Ç","C"))</f>
        <v/>
      </c>
      <c r="D33" s="31" t="str">
        <f aca="false">IF(B33="","",IF(LEN(SUBSTITUTE(SUBSTITUTE(SUBSTITUTE(SUBSTITUTE(TRIM(B33),"*",""),".",""),"-","")," ",""))=11,MID(SUBSTITUTE(SUBSTITUTE(SUBSTITUTE(SUBSTITUTE(TRIM(B33),"*",""),".",""),"-","")," ",""),4,6),SUBSTITUTE(SUBSTITUTE(SUBSTITUTE(SUBSTITUTE(TRIM(B33),"*",""),".",""),"-","")," ","")))</f>
        <v/>
      </c>
      <c r="E33" s="31" t="str">
        <f aca="false">IF(OR(C33="",D33=""),"",C33&amp;"|"&amp;D33)</f>
        <v/>
      </c>
      <c r="F33" s="11"/>
      <c r="G33" s="11"/>
      <c r="H33" s="22"/>
      <c r="I33" s="23"/>
      <c r="J33" s="11"/>
      <c r="K33" s="25" t="str">
        <f aca="false">IF(C33="","",IF(E33&lt;&gt;"",COUNTIF(Socios!$H:$H,E33),IF(COUNTIF(Socios!$F:$F,C33)&gt;0,"nome igual em Socios: confira o CPF","sem CPF: não cruzado")))</f>
        <v/>
      </c>
      <c r="L33" s="27" t="str">
        <f aca="false">IF(E33="","",COUNTIFS(Eleitoral!$K:$K,E33,Eleitoral!$E:$E,"Doação recebida"))</f>
        <v/>
      </c>
      <c r="M33" s="24"/>
      <c r="N33" s="11"/>
    </row>
    <row r="34" customFormat="false" ht="15" hidden="false" customHeight="false" outlineLevel="0" collapsed="false">
      <c r="A34" s="23"/>
      <c r="B34" s="24"/>
      <c r="C34" s="31" t="str">
        <f aca="false">IF(A34="","",SUBSTITUTE(SUBSTITUTE(SUBSTITUTE(SUBSTITUTE(SUBSTITUTE(SUBSTITUTE(SUBSTITUTE(SUBSTITUTE(SUBSTITUTE(SUBSTITUTE(SUBSTITUTE(SUBSTITUTE(SUBSTITUTE(UPPER(TRIM(A34)),"Á","A"),"À","A"),"Â","A"),"Ã","A"),"É","E"),"Ê","E"),"Í","I"),"Ó","O"),"Ô","O"),"Õ","O"),"Ú","U"),"Ü","U"),"Ç","C"))</f>
        <v/>
      </c>
      <c r="D34" s="31" t="str">
        <f aca="false">IF(B34="","",IF(LEN(SUBSTITUTE(SUBSTITUTE(SUBSTITUTE(SUBSTITUTE(TRIM(B34),"*",""),".",""),"-","")," ",""))=11,MID(SUBSTITUTE(SUBSTITUTE(SUBSTITUTE(SUBSTITUTE(TRIM(B34),"*",""),".",""),"-","")," ",""),4,6),SUBSTITUTE(SUBSTITUTE(SUBSTITUTE(SUBSTITUTE(TRIM(B34),"*",""),".",""),"-","")," ","")))</f>
        <v/>
      </c>
      <c r="E34" s="31" t="str">
        <f aca="false">IF(OR(C34="",D34=""),"",C34&amp;"|"&amp;D34)</f>
        <v/>
      </c>
      <c r="F34" s="11"/>
      <c r="G34" s="11"/>
      <c r="H34" s="22"/>
      <c r="I34" s="23"/>
      <c r="J34" s="11"/>
      <c r="K34" s="25" t="str">
        <f aca="false">IF(C34="","",IF(E34&lt;&gt;"",COUNTIF(Socios!$H:$H,E34),IF(COUNTIF(Socios!$F:$F,C34)&gt;0,"nome igual em Socios: confira o CPF","sem CPF: não cruzado")))</f>
        <v/>
      </c>
      <c r="L34" s="27" t="str">
        <f aca="false">IF(E34="","",COUNTIFS(Eleitoral!$K:$K,E34,Eleitoral!$E:$E,"Doação recebida"))</f>
        <v/>
      </c>
      <c r="M34" s="24"/>
      <c r="N34" s="11"/>
    </row>
    <row r="35" customFormat="false" ht="15" hidden="false" customHeight="false" outlineLevel="0" collapsed="false">
      <c r="A35" s="23"/>
      <c r="B35" s="24"/>
      <c r="C35" s="31" t="str">
        <f aca="false">IF(A35="","",SUBSTITUTE(SUBSTITUTE(SUBSTITUTE(SUBSTITUTE(SUBSTITUTE(SUBSTITUTE(SUBSTITUTE(SUBSTITUTE(SUBSTITUTE(SUBSTITUTE(SUBSTITUTE(SUBSTITUTE(SUBSTITUTE(UPPER(TRIM(A35)),"Á","A"),"À","A"),"Â","A"),"Ã","A"),"É","E"),"Ê","E"),"Í","I"),"Ó","O"),"Ô","O"),"Õ","O"),"Ú","U"),"Ü","U"),"Ç","C"))</f>
        <v/>
      </c>
      <c r="D35" s="31" t="str">
        <f aca="false">IF(B35="","",IF(LEN(SUBSTITUTE(SUBSTITUTE(SUBSTITUTE(SUBSTITUTE(TRIM(B35),"*",""),".",""),"-","")," ",""))=11,MID(SUBSTITUTE(SUBSTITUTE(SUBSTITUTE(SUBSTITUTE(TRIM(B35),"*",""),".",""),"-","")," ",""),4,6),SUBSTITUTE(SUBSTITUTE(SUBSTITUTE(SUBSTITUTE(TRIM(B35),"*",""),".",""),"-","")," ","")))</f>
        <v/>
      </c>
      <c r="E35" s="31" t="str">
        <f aca="false">IF(OR(C35="",D35=""),"",C35&amp;"|"&amp;D35)</f>
        <v/>
      </c>
      <c r="F35" s="11"/>
      <c r="G35" s="11"/>
      <c r="H35" s="22"/>
      <c r="I35" s="23"/>
      <c r="J35" s="11"/>
      <c r="K35" s="25" t="str">
        <f aca="false">IF(C35="","",IF(E35&lt;&gt;"",COUNTIF(Socios!$H:$H,E35),IF(COUNTIF(Socios!$F:$F,C35)&gt;0,"nome igual em Socios: confira o CPF","sem CPF: não cruzado")))</f>
        <v/>
      </c>
      <c r="L35" s="27" t="str">
        <f aca="false">IF(E35="","",COUNTIFS(Eleitoral!$K:$K,E35,Eleitoral!$E:$E,"Doação recebida"))</f>
        <v/>
      </c>
      <c r="M35" s="24"/>
      <c r="N35" s="11"/>
    </row>
    <row r="36" customFormat="false" ht="15" hidden="false" customHeight="false" outlineLevel="0" collapsed="false">
      <c r="A36" s="23"/>
      <c r="B36" s="24"/>
      <c r="C36" s="31" t="str">
        <f aca="false">IF(A36="","",SUBSTITUTE(SUBSTITUTE(SUBSTITUTE(SUBSTITUTE(SUBSTITUTE(SUBSTITUTE(SUBSTITUTE(SUBSTITUTE(SUBSTITUTE(SUBSTITUTE(SUBSTITUTE(SUBSTITUTE(SUBSTITUTE(UPPER(TRIM(A36)),"Á","A"),"À","A"),"Â","A"),"Ã","A"),"É","E"),"Ê","E"),"Í","I"),"Ó","O"),"Ô","O"),"Õ","O"),"Ú","U"),"Ü","U"),"Ç","C"))</f>
        <v/>
      </c>
      <c r="D36" s="31" t="str">
        <f aca="false">IF(B36="","",IF(LEN(SUBSTITUTE(SUBSTITUTE(SUBSTITUTE(SUBSTITUTE(TRIM(B36),"*",""),".",""),"-","")," ",""))=11,MID(SUBSTITUTE(SUBSTITUTE(SUBSTITUTE(SUBSTITUTE(TRIM(B36),"*",""),".",""),"-","")," ",""),4,6),SUBSTITUTE(SUBSTITUTE(SUBSTITUTE(SUBSTITUTE(TRIM(B36),"*",""),".",""),"-","")," ","")))</f>
        <v/>
      </c>
      <c r="E36" s="31" t="str">
        <f aca="false">IF(OR(C36="",D36=""),"",C36&amp;"|"&amp;D36)</f>
        <v/>
      </c>
      <c r="F36" s="11"/>
      <c r="G36" s="11"/>
      <c r="H36" s="22"/>
      <c r="I36" s="23"/>
      <c r="J36" s="11"/>
      <c r="K36" s="25" t="str">
        <f aca="false">IF(C36="","",IF(E36&lt;&gt;"",COUNTIF(Socios!$H:$H,E36),IF(COUNTIF(Socios!$F:$F,C36)&gt;0,"nome igual em Socios: confira o CPF","sem CPF: não cruzado")))</f>
        <v/>
      </c>
      <c r="L36" s="27" t="str">
        <f aca="false">IF(E36="","",COUNTIFS(Eleitoral!$K:$K,E36,Eleitoral!$E:$E,"Doação recebida"))</f>
        <v/>
      </c>
      <c r="M36" s="24"/>
      <c r="N36" s="11"/>
    </row>
    <row r="37" customFormat="false" ht="15" hidden="false" customHeight="false" outlineLevel="0" collapsed="false">
      <c r="A37" s="23"/>
      <c r="B37" s="24"/>
      <c r="C37" s="31" t="str">
        <f aca="false">IF(A37="","",SUBSTITUTE(SUBSTITUTE(SUBSTITUTE(SUBSTITUTE(SUBSTITUTE(SUBSTITUTE(SUBSTITUTE(SUBSTITUTE(SUBSTITUTE(SUBSTITUTE(SUBSTITUTE(SUBSTITUTE(SUBSTITUTE(UPPER(TRIM(A37)),"Á","A"),"À","A"),"Â","A"),"Ã","A"),"É","E"),"Ê","E"),"Í","I"),"Ó","O"),"Ô","O"),"Õ","O"),"Ú","U"),"Ü","U"),"Ç","C"))</f>
        <v/>
      </c>
      <c r="D37" s="31" t="str">
        <f aca="false">IF(B37="","",IF(LEN(SUBSTITUTE(SUBSTITUTE(SUBSTITUTE(SUBSTITUTE(TRIM(B37),"*",""),".",""),"-","")," ",""))=11,MID(SUBSTITUTE(SUBSTITUTE(SUBSTITUTE(SUBSTITUTE(TRIM(B37),"*",""),".",""),"-","")," ",""),4,6),SUBSTITUTE(SUBSTITUTE(SUBSTITUTE(SUBSTITUTE(TRIM(B37),"*",""),".",""),"-","")," ","")))</f>
        <v/>
      </c>
      <c r="E37" s="31" t="str">
        <f aca="false">IF(OR(C37="",D37=""),"",C37&amp;"|"&amp;D37)</f>
        <v/>
      </c>
      <c r="F37" s="11"/>
      <c r="G37" s="11"/>
      <c r="H37" s="22"/>
      <c r="I37" s="23"/>
      <c r="J37" s="11"/>
      <c r="K37" s="25" t="str">
        <f aca="false">IF(C37="","",IF(E37&lt;&gt;"",COUNTIF(Socios!$H:$H,E37),IF(COUNTIF(Socios!$F:$F,C37)&gt;0,"nome igual em Socios: confira o CPF","sem CPF: não cruzado")))</f>
        <v/>
      </c>
      <c r="L37" s="27" t="str">
        <f aca="false">IF(E37="","",COUNTIFS(Eleitoral!$K:$K,E37,Eleitoral!$E:$E,"Doação recebida"))</f>
        <v/>
      </c>
      <c r="M37" s="24"/>
      <c r="N37" s="11"/>
    </row>
    <row r="38" customFormat="false" ht="15" hidden="false" customHeight="false" outlineLevel="0" collapsed="false">
      <c r="A38" s="23"/>
      <c r="B38" s="24"/>
      <c r="C38" s="31" t="str">
        <f aca="false">IF(A38="","",SUBSTITUTE(SUBSTITUTE(SUBSTITUTE(SUBSTITUTE(SUBSTITUTE(SUBSTITUTE(SUBSTITUTE(SUBSTITUTE(SUBSTITUTE(SUBSTITUTE(SUBSTITUTE(SUBSTITUTE(SUBSTITUTE(UPPER(TRIM(A38)),"Á","A"),"À","A"),"Â","A"),"Ã","A"),"É","E"),"Ê","E"),"Í","I"),"Ó","O"),"Ô","O"),"Õ","O"),"Ú","U"),"Ü","U"),"Ç","C"))</f>
        <v/>
      </c>
      <c r="D38" s="31" t="str">
        <f aca="false">IF(B38="","",IF(LEN(SUBSTITUTE(SUBSTITUTE(SUBSTITUTE(SUBSTITUTE(TRIM(B38),"*",""),".",""),"-","")," ",""))=11,MID(SUBSTITUTE(SUBSTITUTE(SUBSTITUTE(SUBSTITUTE(TRIM(B38),"*",""),".",""),"-","")," ",""),4,6),SUBSTITUTE(SUBSTITUTE(SUBSTITUTE(SUBSTITUTE(TRIM(B38),"*",""),".",""),"-","")," ","")))</f>
        <v/>
      </c>
      <c r="E38" s="31" t="str">
        <f aca="false">IF(OR(C38="",D38=""),"",C38&amp;"|"&amp;D38)</f>
        <v/>
      </c>
      <c r="F38" s="11"/>
      <c r="G38" s="11"/>
      <c r="H38" s="22"/>
      <c r="I38" s="23"/>
      <c r="J38" s="11"/>
      <c r="K38" s="25" t="str">
        <f aca="false">IF(C38="","",IF(E38&lt;&gt;"",COUNTIF(Socios!$H:$H,E38),IF(COUNTIF(Socios!$F:$F,C38)&gt;0,"nome igual em Socios: confira o CPF","sem CPF: não cruzado")))</f>
        <v/>
      </c>
      <c r="L38" s="27" t="str">
        <f aca="false">IF(E38="","",COUNTIFS(Eleitoral!$K:$K,E38,Eleitoral!$E:$E,"Doação recebida"))</f>
        <v/>
      </c>
      <c r="M38" s="24"/>
      <c r="N38" s="11"/>
    </row>
    <row r="39" customFormat="false" ht="15" hidden="false" customHeight="false" outlineLevel="0" collapsed="false">
      <c r="A39" s="23"/>
      <c r="B39" s="24"/>
      <c r="C39" s="31" t="str">
        <f aca="false">IF(A39="","",SUBSTITUTE(SUBSTITUTE(SUBSTITUTE(SUBSTITUTE(SUBSTITUTE(SUBSTITUTE(SUBSTITUTE(SUBSTITUTE(SUBSTITUTE(SUBSTITUTE(SUBSTITUTE(SUBSTITUTE(SUBSTITUTE(UPPER(TRIM(A39)),"Á","A"),"À","A"),"Â","A"),"Ã","A"),"É","E"),"Ê","E"),"Í","I"),"Ó","O"),"Ô","O"),"Õ","O"),"Ú","U"),"Ü","U"),"Ç","C"))</f>
        <v/>
      </c>
      <c r="D39" s="31" t="str">
        <f aca="false">IF(B39="","",IF(LEN(SUBSTITUTE(SUBSTITUTE(SUBSTITUTE(SUBSTITUTE(TRIM(B39),"*",""),".",""),"-","")," ",""))=11,MID(SUBSTITUTE(SUBSTITUTE(SUBSTITUTE(SUBSTITUTE(TRIM(B39),"*",""),".",""),"-","")," ",""),4,6),SUBSTITUTE(SUBSTITUTE(SUBSTITUTE(SUBSTITUTE(TRIM(B39),"*",""),".",""),"-","")," ","")))</f>
        <v/>
      </c>
      <c r="E39" s="31" t="str">
        <f aca="false">IF(OR(C39="",D39=""),"",C39&amp;"|"&amp;D39)</f>
        <v/>
      </c>
      <c r="F39" s="11"/>
      <c r="G39" s="11"/>
      <c r="H39" s="22"/>
      <c r="I39" s="23"/>
      <c r="J39" s="11"/>
      <c r="K39" s="25" t="str">
        <f aca="false">IF(C39="","",IF(E39&lt;&gt;"",COUNTIF(Socios!$H:$H,E39),IF(COUNTIF(Socios!$F:$F,C39)&gt;0,"nome igual em Socios: confira o CPF","sem CPF: não cruzado")))</f>
        <v/>
      </c>
      <c r="L39" s="27" t="str">
        <f aca="false">IF(E39="","",COUNTIFS(Eleitoral!$K:$K,E39,Eleitoral!$E:$E,"Doação recebida"))</f>
        <v/>
      </c>
      <c r="M39" s="24"/>
      <c r="N39" s="11"/>
    </row>
    <row r="40" customFormat="false" ht="15" hidden="false" customHeight="false" outlineLevel="0" collapsed="false">
      <c r="A40" s="23"/>
      <c r="B40" s="24"/>
      <c r="C40" s="31" t="str">
        <f aca="false">IF(A40="","",SUBSTITUTE(SUBSTITUTE(SUBSTITUTE(SUBSTITUTE(SUBSTITUTE(SUBSTITUTE(SUBSTITUTE(SUBSTITUTE(SUBSTITUTE(SUBSTITUTE(SUBSTITUTE(SUBSTITUTE(SUBSTITUTE(UPPER(TRIM(A40)),"Á","A"),"À","A"),"Â","A"),"Ã","A"),"É","E"),"Ê","E"),"Í","I"),"Ó","O"),"Ô","O"),"Õ","O"),"Ú","U"),"Ü","U"),"Ç","C"))</f>
        <v/>
      </c>
      <c r="D40" s="31" t="str">
        <f aca="false">IF(B40="","",IF(LEN(SUBSTITUTE(SUBSTITUTE(SUBSTITUTE(SUBSTITUTE(TRIM(B40),"*",""),".",""),"-","")," ",""))=11,MID(SUBSTITUTE(SUBSTITUTE(SUBSTITUTE(SUBSTITUTE(TRIM(B40),"*",""),".",""),"-","")," ",""),4,6),SUBSTITUTE(SUBSTITUTE(SUBSTITUTE(SUBSTITUTE(TRIM(B40),"*",""),".",""),"-","")," ","")))</f>
        <v/>
      </c>
      <c r="E40" s="31" t="str">
        <f aca="false">IF(OR(C40="",D40=""),"",C40&amp;"|"&amp;D40)</f>
        <v/>
      </c>
      <c r="F40" s="11"/>
      <c r="G40" s="11"/>
      <c r="H40" s="22"/>
      <c r="I40" s="23"/>
      <c r="J40" s="11"/>
      <c r="K40" s="25" t="str">
        <f aca="false">IF(C40="","",IF(E40&lt;&gt;"",COUNTIF(Socios!$H:$H,E40),IF(COUNTIF(Socios!$F:$F,C40)&gt;0,"nome igual em Socios: confira o CPF","sem CPF: não cruzado")))</f>
        <v/>
      </c>
      <c r="L40" s="27" t="str">
        <f aca="false">IF(E40="","",COUNTIFS(Eleitoral!$K:$K,E40,Eleitoral!$E:$E,"Doação recebida"))</f>
        <v/>
      </c>
      <c r="M40" s="24"/>
      <c r="N40" s="11"/>
    </row>
    <row r="41" customFormat="false" ht="15" hidden="false" customHeight="false" outlineLevel="0" collapsed="false">
      <c r="A41" s="23"/>
      <c r="B41" s="24"/>
      <c r="C41" s="31" t="str">
        <f aca="false">IF(A41="","",SUBSTITUTE(SUBSTITUTE(SUBSTITUTE(SUBSTITUTE(SUBSTITUTE(SUBSTITUTE(SUBSTITUTE(SUBSTITUTE(SUBSTITUTE(SUBSTITUTE(SUBSTITUTE(SUBSTITUTE(SUBSTITUTE(UPPER(TRIM(A41)),"Á","A"),"À","A"),"Â","A"),"Ã","A"),"É","E"),"Ê","E"),"Í","I"),"Ó","O"),"Ô","O"),"Õ","O"),"Ú","U"),"Ü","U"),"Ç","C"))</f>
        <v/>
      </c>
      <c r="D41" s="31" t="str">
        <f aca="false">IF(B41="","",IF(LEN(SUBSTITUTE(SUBSTITUTE(SUBSTITUTE(SUBSTITUTE(TRIM(B41),"*",""),".",""),"-","")," ",""))=11,MID(SUBSTITUTE(SUBSTITUTE(SUBSTITUTE(SUBSTITUTE(TRIM(B41),"*",""),".",""),"-","")," ",""),4,6),SUBSTITUTE(SUBSTITUTE(SUBSTITUTE(SUBSTITUTE(TRIM(B41),"*",""),".",""),"-","")," ","")))</f>
        <v/>
      </c>
      <c r="E41" s="31" t="str">
        <f aca="false">IF(OR(C41="",D41=""),"",C41&amp;"|"&amp;D41)</f>
        <v/>
      </c>
      <c r="F41" s="11"/>
      <c r="G41" s="11"/>
      <c r="H41" s="22"/>
      <c r="I41" s="23"/>
      <c r="J41" s="11"/>
      <c r="K41" s="25" t="str">
        <f aca="false">IF(C41="","",IF(E41&lt;&gt;"",COUNTIF(Socios!$H:$H,E41),IF(COUNTIF(Socios!$F:$F,C41)&gt;0,"nome igual em Socios: confira o CPF","sem CPF: não cruzado")))</f>
        <v/>
      </c>
      <c r="L41" s="27" t="str">
        <f aca="false">IF(E41="","",COUNTIFS(Eleitoral!$K:$K,E41,Eleitoral!$E:$E,"Doação recebida"))</f>
        <v/>
      </c>
      <c r="M41" s="24"/>
      <c r="N41" s="11"/>
    </row>
    <row r="42" customFormat="false" ht="15" hidden="false" customHeight="false" outlineLevel="0" collapsed="false">
      <c r="A42" s="23"/>
      <c r="B42" s="24"/>
      <c r="C42" s="31" t="str">
        <f aca="false">IF(A42="","",SUBSTITUTE(SUBSTITUTE(SUBSTITUTE(SUBSTITUTE(SUBSTITUTE(SUBSTITUTE(SUBSTITUTE(SUBSTITUTE(SUBSTITUTE(SUBSTITUTE(SUBSTITUTE(SUBSTITUTE(SUBSTITUTE(UPPER(TRIM(A42)),"Á","A"),"À","A"),"Â","A"),"Ã","A"),"É","E"),"Ê","E"),"Í","I"),"Ó","O"),"Ô","O"),"Õ","O"),"Ú","U"),"Ü","U"),"Ç","C"))</f>
        <v/>
      </c>
      <c r="D42" s="31" t="str">
        <f aca="false">IF(B42="","",IF(LEN(SUBSTITUTE(SUBSTITUTE(SUBSTITUTE(SUBSTITUTE(TRIM(B42),"*",""),".",""),"-","")," ",""))=11,MID(SUBSTITUTE(SUBSTITUTE(SUBSTITUTE(SUBSTITUTE(TRIM(B42),"*",""),".",""),"-","")," ",""),4,6),SUBSTITUTE(SUBSTITUTE(SUBSTITUTE(SUBSTITUTE(TRIM(B42),"*",""),".",""),"-","")," ","")))</f>
        <v/>
      </c>
      <c r="E42" s="31" t="str">
        <f aca="false">IF(OR(C42="",D42=""),"",C42&amp;"|"&amp;D42)</f>
        <v/>
      </c>
      <c r="F42" s="11"/>
      <c r="G42" s="11"/>
      <c r="H42" s="22"/>
      <c r="I42" s="23"/>
      <c r="J42" s="11"/>
      <c r="K42" s="25" t="str">
        <f aca="false">IF(C42="","",IF(E42&lt;&gt;"",COUNTIF(Socios!$H:$H,E42),IF(COUNTIF(Socios!$F:$F,C42)&gt;0,"nome igual em Socios: confira o CPF","sem CPF: não cruzado")))</f>
        <v/>
      </c>
      <c r="L42" s="27" t="str">
        <f aca="false">IF(E42="","",COUNTIFS(Eleitoral!$K:$K,E42,Eleitoral!$E:$E,"Doação recebida"))</f>
        <v/>
      </c>
      <c r="M42" s="24"/>
      <c r="N42" s="11"/>
    </row>
    <row r="43" customFormat="false" ht="15" hidden="false" customHeight="false" outlineLevel="0" collapsed="false">
      <c r="A43" s="23"/>
      <c r="B43" s="24"/>
      <c r="C43" s="31" t="str">
        <f aca="false">IF(A43="","",SUBSTITUTE(SUBSTITUTE(SUBSTITUTE(SUBSTITUTE(SUBSTITUTE(SUBSTITUTE(SUBSTITUTE(SUBSTITUTE(SUBSTITUTE(SUBSTITUTE(SUBSTITUTE(SUBSTITUTE(SUBSTITUTE(UPPER(TRIM(A43)),"Á","A"),"À","A"),"Â","A"),"Ã","A"),"É","E"),"Ê","E"),"Í","I"),"Ó","O"),"Ô","O"),"Õ","O"),"Ú","U"),"Ü","U"),"Ç","C"))</f>
        <v/>
      </c>
      <c r="D43" s="31" t="str">
        <f aca="false">IF(B43="","",IF(LEN(SUBSTITUTE(SUBSTITUTE(SUBSTITUTE(SUBSTITUTE(TRIM(B43),"*",""),".",""),"-","")," ",""))=11,MID(SUBSTITUTE(SUBSTITUTE(SUBSTITUTE(SUBSTITUTE(TRIM(B43),"*",""),".",""),"-","")," ",""),4,6),SUBSTITUTE(SUBSTITUTE(SUBSTITUTE(SUBSTITUTE(TRIM(B43),"*",""),".",""),"-","")," ","")))</f>
        <v/>
      </c>
      <c r="E43" s="31" t="str">
        <f aca="false">IF(OR(C43="",D43=""),"",C43&amp;"|"&amp;D43)</f>
        <v/>
      </c>
      <c r="F43" s="11"/>
      <c r="G43" s="11"/>
      <c r="H43" s="22"/>
      <c r="I43" s="23"/>
      <c r="J43" s="11"/>
      <c r="K43" s="25" t="str">
        <f aca="false">IF(C43="","",IF(E43&lt;&gt;"",COUNTIF(Socios!$H:$H,E43),IF(COUNTIF(Socios!$F:$F,C43)&gt;0,"nome igual em Socios: confira o CPF","sem CPF: não cruzado")))</f>
        <v/>
      </c>
      <c r="L43" s="27" t="str">
        <f aca="false">IF(E43="","",COUNTIFS(Eleitoral!$K:$K,E43,Eleitoral!$E:$E,"Doação recebida"))</f>
        <v/>
      </c>
      <c r="M43" s="24"/>
      <c r="N43" s="11"/>
    </row>
    <row r="44" customFormat="false" ht="15" hidden="false" customHeight="false" outlineLevel="0" collapsed="false">
      <c r="A44" s="23"/>
      <c r="B44" s="24"/>
      <c r="C44" s="31" t="str">
        <f aca="false">IF(A44="","",SUBSTITUTE(SUBSTITUTE(SUBSTITUTE(SUBSTITUTE(SUBSTITUTE(SUBSTITUTE(SUBSTITUTE(SUBSTITUTE(SUBSTITUTE(SUBSTITUTE(SUBSTITUTE(SUBSTITUTE(SUBSTITUTE(UPPER(TRIM(A44)),"Á","A"),"À","A"),"Â","A"),"Ã","A"),"É","E"),"Ê","E"),"Í","I"),"Ó","O"),"Ô","O"),"Õ","O"),"Ú","U"),"Ü","U"),"Ç","C"))</f>
        <v/>
      </c>
      <c r="D44" s="31" t="str">
        <f aca="false">IF(B44="","",IF(LEN(SUBSTITUTE(SUBSTITUTE(SUBSTITUTE(SUBSTITUTE(TRIM(B44),"*",""),".",""),"-","")," ",""))=11,MID(SUBSTITUTE(SUBSTITUTE(SUBSTITUTE(SUBSTITUTE(TRIM(B44),"*",""),".",""),"-","")," ",""),4,6),SUBSTITUTE(SUBSTITUTE(SUBSTITUTE(SUBSTITUTE(TRIM(B44),"*",""),".",""),"-","")," ","")))</f>
        <v/>
      </c>
      <c r="E44" s="31" t="str">
        <f aca="false">IF(OR(C44="",D44=""),"",C44&amp;"|"&amp;D44)</f>
        <v/>
      </c>
      <c r="F44" s="11"/>
      <c r="G44" s="11"/>
      <c r="H44" s="22"/>
      <c r="I44" s="23"/>
      <c r="J44" s="11"/>
      <c r="K44" s="25" t="str">
        <f aca="false">IF(C44="","",IF(E44&lt;&gt;"",COUNTIF(Socios!$H:$H,E44),IF(COUNTIF(Socios!$F:$F,C44)&gt;0,"nome igual em Socios: confira o CPF","sem CPF: não cruzado")))</f>
        <v/>
      </c>
      <c r="L44" s="27" t="str">
        <f aca="false">IF(E44="","",COUNTIFS(Eleitoral!$K:$K,E44,Eleitoral!$E:$E,"Doação recebida"))</f>
        <v/>
      </c>
      <c r="M44" s="24"/>
      <c r="N44" s="11"/>
    </row>
    <row r="45" customFormat="false" ht="15" hidden="false" customHeight="false" outlineLevel="0" collapsed="false">
      <c r="A45" s="23"/>
      <c r="B45" s="24"/>
      <c r="C45" s="31" t="str">
        <f aca="false">IF(A45="","",SUBSTITUTE(SUBSTITUTE(SUBSTITUTE(SUBSTITUTE(SUBSTITUTE(SUBSTITUTE(SUBSTITUTE(SUBSTITUTE(SUBSTITUTE(SUBSTITUTE(SUBSTITUTE(SUBSTITUTE(SUBSTITUTE(UPPER(TRIM(A45)),"Á","A"),"À","A"),"Â","A"),"Ã","A"),"É","E"),"Ê","E"),"Í","I"),"Ó","O"),"Ô","O"),"Õ","O"),"Ú","U"),"Ü","U"),"Ç","C"))</f>
        <v/>
      </c>
      <c r="D45" s="31" t="str">
        <f aca="false">IF(B45="","",IF(LEN(SUBSTITUTE(SUBSTITUTE(SUBSTITUTE(SUBSTITUTE(TRIM(B45),"*",""),".",""),"-","")," ",""))=11,MID(SUBSTITUTE(SUBSTITUTE(SUBSTITUTE(SUBSTITUTE(TRIM(B45),"*",""),".",""),"-","")," ",""),4,6),SUBSTITUTE(SUBSTITUTE(SUBSTITUTE(SUBSTITUTE(TRIM(B45),"*",""),".",""),"-","")," ","")))</f>
        <v/>
      </c>
      <c r="E45" s="31" t="str">
        <f aca="false">IF(OR(C45="",D45=""),"",C45&amp;"|"&amp;D45)</f>
        <v/>
      </c>
      <c r="F45" s="11"/>
      <c r="G45" s="11"/>
      <c r="H45" s="22"/>
      <c r="I45" s="23"/>
      <c r="J45" s="11"/>
      <c r="K45" s="25" t="str">
        <f aca="false">IF(C45="","",IF(E45&lt;&gt;"",COUNTIF(Socios!$H:$H,E45),IF(COUNTIF(Socios!$F:$F,C45)&gt;0,"nome igual em Socios: confira o CPF","sem CPF: não cruzado")))</f>
        <v/>
      </c>
      <c r="L45" s="27" t="str">
        <f aca="false">IF(E45="","",COUNTIFS(Eleitoral!$K:$K,E45,Eleitoral!$E:$E,"Doação recebida"))</f>
        <v/>
      </c>
      <c r="M45" s="24"/>
      <c r="N45" s="11"/>
    </row>
    <row r="46" customFormat="false" ht="15" hidden="false" customHeight="false" outlineLevel="0" collapsed="false">
      <c r="A46" s="23"/>
      <c r="B46" s="24"/>
      <c r="C46" s="31" t="str">
        <f aca="false">IF(A46="","",SUBSTITUTE(SUBSTITUTE(SUBSTITUTE(SUBSTITUTE(SUBSTITUTE(SUBSTITUTE(SUBSTITUTE(SUBSTITUTE(SUBSTITUTE(SUBSTITUTE(SUBSTITUTE(SUBSTITUTE(SUBSTITUTE(UPPER(TRIM(A46)),"Á","A"),"À","A"),"Â","A"),"Ã","A"),"É","E"),"Ê","E"),"Í","I"),"Ó","O"),"Ô","O"),"Õ","O"),"Ú","U"),"Ü","U"),"Ç","C"))</f>
        <v/>
      </c>
      <c r="D46" s="31" t="str">
        <f aca="false">IF(B46="","",IF(LEN(SUBSTITUTE(SUBSTITUTE(SUBSTITUTE(SUBSTITUTE(TRIM(B46),"*",""),".",""),"-","")," ",""))=11,MID(SUBSTITUTE(SUBSTITUTE(SUBSTITUTE(SUBSTITUTE(TRIM(B46),"*",""),".",""),"-","")," ",""),4,6),SUBSTITUTE(SUBSTITUTE(SUBSTITUTE(SUBSTITUTE(TRIM(B46),"*",""),".",""),"-","")," ","")))</f>
        <v/>
      </c>
      <c r="E46" s="31" t="str">
        <f aca="false">IF(OR(C46="",D46=""),"",C46&amp;"|"&amp;D46)</f>
        <v/>
      </c>
      <c r="F46" s="11"/>
      <c r="G46" s="11"/>
      <c r="H46" s="22"/>
      <c r="I46" s="23"/>
      <c r="J46" s="11"/>
      <c r="K46" s="25" t="str">
        <f aca="false">IF(C46="","",IF(E46&lt;&gt;"",COUNTIF(Socios!$H:$H,E46),IF(COUNTIF(Socios!$F:$F,C46)&gt;0,"nome igual em Socios: confira o CPF","sem CPF: não cruzado")))</f>
        <v/>
      </c>
      <c r="L46" s="27" t="str">
        <f aca="false">IF(E46="","",COUNTIFS(Eleitoral!$K:$K,E46,Eleitoral!$E:$E,"Doação recebida"))</f>
        <v/>
      </c>
      <c r="M46" s="24"/>
      <c r="N46" s="11"/>
    </row>
    <row r="47" customFormat="false" ht="15" hidden="false" customHeight="false" outlineLevel="0" collapsed="false">
      <c r="A47" s="23"/>
      <c r="B47" s="24"/>
      <c r="C47" s="31" t="str">
        <f aca="false">IF(A47="","",SUBSTITUTE(SUBSTITUTE(SUBSTITUTE(SUBSTITUTE(SUBSTITUTE(SUBSTITUTE(SUBSTITUTE(SUBSTITUTE(SUBSTITUTE(SUBSTITUTE(SUBSTITUTE(SUBSTITUTE(SUBSTITUTE(UPPER(TRIM(A47)),"Á","A"),"À","A"),"Â","A"),"Ã","A"),"É","E"),"Ê","E"),"Í","I"),"Ó","O"),"Ô","O"),"Õ","O"),"Ú","U"),"Ü","U"),"Ç","C"))</f>
        <v/>
      </c>
      <c r="D47" s="31" t="str">
        <f aca="false">IF(B47="","",IF(LEN(SUBSTITUTE(SUBSTITUTE(SUBSTITUTE(SUBSTITUTE(TRIM(B47),"*",""),".",""),"-","")," ",""))=11,MID(SUBSTITUTE(SUBSTITUTE(SUBSTITUTE(SUBSTITUTE(TRIM(B47),"*",""),".",""),"-","")," ",""),4,6),SUBSTITUTE(SUBSTITUTE(SUBSTITUTE(SUBSTITUTE(TRIM(B47),"*",""),".",""),"-","")," ","")))</f>
        <v/>
      </c>
      <c r="E47" s="31" t="str">
        <f aca="false">IF(OR(C47="",D47=""),"",C47&amp;"|"&amp;D47)</f>
        <v/>
      </c>
      <c r="F47" s="11"/>
      <c r="G47" s="11"/>
      <c r="H47" s="22"/>
      <c r="I47" s="23"/>
      <c r="J47" s="11"/>
      <c r="K47" s="25" t="str">
        <f aca="false">IF(C47="","",IF(E47&lt;&gt;"",COUNTIF(Socios!$H:$H,E47),IF(COUNTIF(Socios!$F:$F,C47)&gt;0,"nome igual em Socios: confira o CPF","sem CPF: não cruzado")))</f>
        <v/>
      </c>
      <c r="L47" s="27" t="str">
        <f aca="false">IF(E47="","",COUNTIFS(Eleitoral!$K:$K,E47,Eleitoral!$E:$E,"Doação recebida"))</f>
        <v/>
      </c>
      <c r="M47" s="24"/>
      <c r="N47" s="11"/>
    </row>
    <row r="48" customFormat="false" ht="15" hidden="false" customHeight="false" outlineLevel="0" collapsed="false">
      <c r="A48" s="23"/>
      <c r="B48" s="24"/>
      <c r="C48" s="31" t="str">
        <f aca="false">IF(A48="","",SUBSTITUTE(SUBSTITUTE(SUBSTITUTE(SUBSTITUTE(SUBSTITUTE(SUBSTITUTE(SUBSTITUTE(SUBSTITUTE(SUBSTITUTE(SUBSTITUTE(SUBSTITUTE(SUBSTITUTE(SUBSTITUTE(UPPER(TRIM(A48)),"Á","A"),"À","A"),"Â","A"),"Ã","A"),"É","E"),"Ê","E"),"Í","I"),"Ó","O"),"Ô","O"),"Õ","O"),"Ú","U"),"Ü","U"),"Ç","C"))</f>
        <v/>
      </c>
      <c r="D48" s="31" t="str">
        <f aca="false">IF(B48="","",IF(LEN(SUBSTITUTE(SUBSTITUTE(SUBSTITUTE(SUBSTITUTE(TRIM(B48),"*",""),".",""),"-","")," ",""))=11,MID(SUBSTITUTE(SUBSTITUTE(SUBSTITUTE(SUBSTITUTE(TRIM(B48),"*",""),".",""),"-","")," ",""),4,6),SUBSTITUTE(SUBSTITUTE(SUBSTITUTE(SUBSTITUTE(TRIM(B48),"*",""),".",""),"-","")," ","")))</f>
        <v/>
      </c>
      <c r="E48" s="31" t="str">
        <f aca="false">IF(OR(C48="",D48=""),"",C48&amp;"|"&amp;D48)</f>
        <v/>
      </c>
      <c r="F48" s="11"/>
      <c r="G48" s="11"/>
      <c r="H48" s="22"/>
      <c r="I48" s="23"/>
      <c r="J48" s="11"/>
      <c r="K48" s="25" t="str">
        <f aca="false">IF(C48="","",IF(E48&lt;&gt;"",COUNTIF(Socios!$H:$H,E48),IF(COUNTIF(Socios!$F:$F,C48)&gt;0,"nome igual em Socios: confira o CPF","sem CPF: não cruzado")))</f>
        <v/>
      </c>
      <c r="L48" s="27" t="str">
        <f aca="false">IF(E48="","",COUNTIFS(Eleitoral!$K:$K,E48,Eleitoral!$E:$E,"Doação recebida"))</f>
        <v/>
      </c>
      <c r="M48" s="24"/>
      <c r="N48" s="11"/>
    </row>
    <row r="49" customFormat="false" ht="15" hidden="false" customHeight="false" outlineLevel="0" collapsed="false">
      <c r="A49" s="23"/>
      <c r="B49" s="24"/>
      <c r="C49" s="31" t="str">
        <f aca="false">IF(A49="","",SUBSTITUTE(SUBSTITUTE(SUBSTITUTE(SUBSTITUTE(SUBSTITUTE(SUBSTITUTE(SUBSTITUTE(SUBSTITUTE(SUBSTITUTE(SUBSTITUTE(SUBSTITUTE(SUBSTITUTE(SUBSTITUTE(UPPER(TRIM(A49)),"Á","A"),"À","A"),"Â","A"),"Ã","A"),"É","E"),"Ê","E"),"Í","I"),"Ó","O"),"Ô","O"),"Õ","O"),"Ú","U"),"Ü","U"),"Ç","C"))</f>
        <v/>
      </c>
      <c r="D49" s="31" t="str">
        <f aca="false">IF(B49="","",IF(LEN(SUBSTITUTE(SUBSTITUTE(SUBSTITUTE(SUBSTITUTE(TRIM(B49),"*",""),".",""),"-","")," ",""))=11,MID(SUBSTITUTE(SUBSTITUTE(SUBSTITUTE(SUBSTITUTE(TRIM(B49),"*",""),".",""),"-","")," ",""),4,6),SUBSTITUTE(SUBSTITUTE(SUBSTITUTE(SUBSTITUTE(TRIM(B49),"*",""),".",""),"-","")," ","")))</f>
        <v/>
      </c>
      <c r="E49" s="31" t="str">
        <f aca="false">IF(OR(C49="",D49=""),"",C49&amp;"|"&amp;D49)</f>
        <v/>
      </c>
      <c r="F49" s="11"/>
      <c r="G49" s="11"/>
      <c r="H49" s="22"/>
      <c r="I49" s="23"/>
      <c r="J49" s="11"/>
      <c r="K49" s="25" t="str">
        <f aca="false">IF(C49="","",IF(E49&lt;&gt;"",COUNTIF(Socios!$H:$H,E49),IF(COUNTIF(Socios!$F:$F,C49)&gt;0,"nome igual em Socios: confira o CPF","sem CPF: não cruzado")))</f>
        <v/>
      </c>
      <c r="L49" s="27" t="str">
        <f aca="false">IF(E49="","",COUNTIFS(Eleitoral!$K:$K,E49,Eleitoral!$E:$E,"Doação recebida"))</f>
        <v/>
      </c>
      <c r="M49" s="24"/>
      <c r="N49" s="11"/>
    </row>
    <row r="50" customFormat="false" ht="15" hidden="false" customHeight="false" outlineLevel="0" collapsed="false">
      <c r="A50" s="23"/>
      <c r="B50" s="24"/>
      <c r="C50" s="31" t="str">
        <f aca="false">IF(A50="","",SUBSTITUTE(SUBSTITUTE(SUBSTITUTE(SUBSTITUTE(SUBSTITUTE(SUBSTITUTE(SUBSTITUTE(SUBSTITUTE(SUBSTITUTE(SUBSTITUTE(SUBSTITUTE(SUBSTITUTE(SUBSTITUTE(UPPER(TRIM(A50)),"Á","A"),"À","A"),"Â","A"),"Ã","A"),"É","E"),"Ê","E"),"Í","I"),"Ó","O"),"Ô","O"),"Õ","O"),"Ú","U"),"Ü","U"),"Ç","C"))</f>
        <v/>
      </c>
      <c r="D50" s="31" t="str">
        <f aca="false">IF(B50="","",IF(LEN(SUBSTITUTE(SUBSTITUTE(SUBSTITUTE(SUBSTITUTE(TRIM(B50),"*",""),".",""),"-","")," ",""))=11,MID(SUBSTITUTE(SUBSTITUTE(SUBSTITUTE(SUBSTITUTE(TRIM(B50),"*",""),".",""),"-","")," ",""),4,6),SUBSTITUTE(SUBSTITUTE(SUBSTITUTE(SUBSTITUTE(TRIM(B50),"*",""),".",""),"-","")," ","")))</f>
        <v/>
      </c>
      <c r="E50" s="31" t="str">
        <f aca="false">IF(OR(C50="",D50=""),"",C50&amp;"|"&amp;D50)</f>
        <v/>
      </c>
      <c r="F50" s="11"/>
      <c r="G50" s="11"/>
      <c r="H50" s="22"/>
      <c r="I50" s="23"/>
      <c r="J50" s="11"/>
      <c r="K50" s="25" t="str">
        <f aca="false">IF(C50="","",IF(E50&lt;&gt;"",COUNTIF(Socios!$H:$H,E50),IF(COUNTIF(Socios!$F:$F,C50)&gt;0,"nome igual em Socios: confira o CPF","sem CPF: não cruzado")))</f>
        <v/>
      </c>
      <c r="L50" s="27" t="str">
        <f aca="false">IF(E50="","",COUNTIFS(Eleitoral!$K:$K,E50,Eleitoral!$E:$E,"Doação recebida"))</f>
        <v/>
      </c>
      <c r="M50" s="24"/>
      <c r="N50" s="11"/>
    </row>
    <row r="51" customFormat="false" ht="15" hidden="false" customHeight="false" outlineLevel="0" collapsed="false">
      <c r="A51" s="23"/>
      <c r="B51" s="24"/>
      <c r="C51" s="31" t="str">
        <f aca="false">IF(A51="","",SUBSTITUTE(SUBSTITUTE(SUBSTITUTE(SUBSTITUTE(SUBSTITUTE(SUBSTITUTE(SUBSTITUTE(SUBSTITUTE(SUBSTITUTE(SUBSTITUTE(SUBSTITUTE(SUBSTITUTE(SUBSTITUTE(UPPER(TRIM(A51)),"Á","A"),"À","A"),"Â","A"),"Ã","A"),"É","E"),"Ê","E"),"Í","I"),"Ó","O"),"Ô","O"),"Õ","O"),"Ú","U"),"Ü","U"),"Ç","C"))</f>
        <v/>
      </c>
      <c r="D51" s="31" t="str">
        <f aca="false">IF(B51="","",IF(LEN(SUBSTITUTE(SUBSTITUTE(SUBSTITUTE(SUBSTITUTE(TRIM(B51),"*",""),".",""),"-","")," ",""))=11,MID(SUBSTITUTE(SUBSTITUTE(SUBSTITUTE(SUBSTITUTE(TRIM(B51),"*",""),".",""),"-","")," ",""),4,6),SUBSTITUTE(SUBSTITUTE(SUBSTITUTE(SUBSTITUTE(TRIM(B51),"*",""),".",""),"-","")," ","")))</f>
        <v/>
      </c>
      <c r="E51" s="31" t="str">
        <f aca="false">IF(OR(C51="",D51=""),"",C51&amp;"|"&amp;D51)</f>
        <v/>
      </c>
      <c r="F51" s="11"/>
      <c r="G51" s="11"/>
      <c r="H51" s="22"/>
      <c r="I51" s="23"/>
      <c r="J51" s="11"/>
      <c r="K51" s="25" t="str">
        <f aca="false">IF(C51="","",IF(E51&lt;&gt;"",COUNTIF(Socios!$H:$H,E51),IF(COUNTIF(Socios!$F:$F,C51)&gt;0,"nome igual em Socios: confira o CPF","sem CPF: não cruzado")))</f>
        <v/>
      </c>
      <c r="L51" s="27" t="str">
        <f aca="false">IF(E51="","",COUNTIFS(Eleitoral!$K:$K,E51,Eleitoral!$E:$E,"Doação recebida"))</f>
        <v/>
      </c>
      <c r="M51" s="24"/>
      <c r="N51" s="11"/>
    </row>
    <row r="52" customFormat="false" ht="15" hidden="false" customHeight="false" outlineLevel="0" collapsed="false">
      <c r="A52" s="23"/>
      <c r="B52" s="24"/>
      <c r="C52" s="31" t="str">
        <f aca="false">IF(A52="","",SUBSTITUTE(SUBSTITUTE(SUBSTITUTE(SUBSTITUTE(SUBSTITUTE(SUBSTITUTE(SUBSTITUTE(SUBSTITUTE(SUBSTITUTE(SUBSTITUTE(SUBSTITUTE(SUBSTITUTE(SUBSTITUTE(UPPER(TRIM(A52)),"Á","A"),"À","A"),"Â","A"),"Ã","A"),"É","E"),"Ê","E"),"Í","I"),"Ó","O"),"Ô","O"),"Õ","O"),"Ú","U"),"Ü","U"),"Ç","C"))</f>
        <v/>
      </c>
      <c r="D52" s="31" t="str">
        <f aca="false">IF(B52="","",IF(LEN(SUBSTITUTE(SUBSTITUTE(SUBSTITUTE(SUBSTITUTE(TRIM(B52),"*",""),".",""),"-","")," ",""))=11,MID(SUBSTITUTE(SUBSTITUTE(SUBSTITUTE(SUBSTITUTE(TRIM(B52),"*",""),".",""),"-","")," ",""),4,6),SUBSTITUTE(SUBSTITUTE(SUBSTITUTE(SUBSTITUTE(TRIM(B52),"*",""),".",""),"-","")," ","")))</f>
        <v/>
      </c>
      <c r="E52" s="31" t="str">
        <f aca="false">IF(OR(C52="",D52=""),"",C52&amp;"|"&amp;D52)</f>
        <v/>
      </c>
      <c r="F52" s="11"/>
      <c r="G52" s="11"/>
      <c r="H52" s="22"/>
      <c r="I52" s="23"/>
      <c r="J52" s="11"/>
      <c r="K52" s="25" t="str">
        <f aca="false">IF(C52="","",IF(E52&lt;&gt;"",COUNTIF(Socios!$H:$H,E52),IF(COUNTIF(Socios!$F:$F,C52)&gt;0,"nome igual em Socios: confira o CPF","sem CPF: não cruzado")))</f>
        <v/>
      </c>
      <c r="L52" s="27" t="str">
        <f aca="false">IF(E52="","",COUNTIFS(Eleitoral!$K:$K,E52,Eleitoral!$E:$E,"Doação recebida"))</f>
        <v/>
      </c>
      <c r="M52" s="24"/>
      <c r="N52" s="11"/>
    </row>
    <row r="53" customFormat="false" ht="15" hidden="false" customHeight="false" outlineLevel="0" collapsed="false">
      <c r="A53" s="23"/>
      <c r="B53" s="24"/>
      <c r="C53" s="31" t="str">
        <f aca="false">IF(A53="","",SUBSTITUTE(SUBSTITUTE(SUBSTITUTE(SUBSTITUTE(SUBSTITUTE(SUBSTITUTE(SUBSTITUTE(SUBSTITUTE(SUBSTITUTE(SUBSTITUTE(SUBSTITUTE(SUBSTITUTE(SUBSTITUTE(UPPER(TRIM(A53)),"Á","A"),"À","A"),"Â","A"),"Ã","A"),"É","E"),"Ê","E"),"Í","I"),"Ó","O"),"Ô","O"),"Õ","O"),"Ú","U"),"Ü","U"),"Ç","C"))</f>
        <v/>
      </c>
      <c r="D53" s="31" t="str">
        <f aca="false">IF(B53="","",IF(LEN(SUBSTITUTE(SUBSTITUTE(SUBSTITUTE(SUBSTITUTE(TRIM(B53),"*",""),".",""),"-","")," ",""))=11,MID(SUBSTITUTE(SUBSTITUTE(SUBSTITUTE(SUBSTITUTE(TRIM(B53),"*",""),".",""),"-","")," ",""),4,6),SUBSTITUTE(SUBSTITUTE(SUBSTITUTE(SUBSTITUTE(TRIM(B53),"*",""),".",""),"-","")," ","")))</f>
        <v/>
      </c>
      <c r="E53" s="31" t="str">
        <f aca="false">IF(OR(C53="",D53=""),"",C53&amp;"|"&amp;D53)</f>
        <v/>
      </c>
      <c r="F53" s="11"/>
      <c r="G53" s="11"/>
      <c r="H53" s="22"/>
      <c r="I53" s="23"/>
      <c r="J53" s="11"/>
      <c r="K53" s="25" t="str">
        <f aca="false">IF(C53="","",IF(E53&lt;&gt;"",COUNTIF(Socios!$H:$H,E53),IF(COUNTIF(Socios!$F:$F,C53)&gt;0,"nome igual em Socios: confira o CPF","sem CPF: não cruzado")))</f>
        <v/>
      </c>
      <c r="L53" s="27" t="str">
        <f aca="false">IF(E53="","",COUNTIFS(Eleitoral!$K:$K,E53,Eleitoral!$E:$E,"Doação recebida"))</f>
        <v/>
      </c>
      <c r="M53" s="24"/>
      <c r="N53" s="11"/>
    </row>
    <row r="54" customFormat="false" ht="15" hidden="false" customHeight="false" outlineLevel="0" collapsed="false">
      <c r="A54" s="23"/>
      <c r="B54" s="24"/>
      <c r="C54" s="31" t="str">
        <f aca="false">IF(A54="","",SUBSTITUTE(SUBSTITUTE(SUBSTITUTE(SUBSTITUTE(SUBSTITUTE(SUBSTITUTE(SUBSTITUTE(SUBSTITUTE(SUBSTITUTE(SUBSTITUTE(SUBSTITUTE(SUBSTITUTE(SUBSTITUTE(UPPER(TRIM(A54)),"Á","A"),"À","A"),"Â","A"),"Ã","A"),"É","E"),"Ê","E"),"Í","I"),"Ó","O"),"Ô","O"),"Õ","O"),"Ú","U"),"Ü","U"),"Ç","C"))</f>
        <v/>
      </c>
      <c r="D54" s="31" t="str">
        <f aca="false">IF(B54="","",IF(LEN(SUBSTITUTE(SUBSTITUTE(SUBSTITUTE(SUBSTITUTE(TRIM(B54),"*",""),".",""),"-","")," ",""))=11,MID(SUBSTITUTE(SUBSTITUTE(SUBSTITUTE(SUBSTITUTE(TRIM(B54),"*",""),".",""),"-","")," ",""),4,6),SUBSTITUTE(SUBSTITUTE(SUBSTITUTE(SUBSTITUTE(TRIM(B54),"*",""),".",""),"-","")," ","")))</f>
        <v/>
      </c>
      <c r="E54" s="31" t="str">
        <f aca="false">IF(OR(C54="",D54=""),"",C54&amp;"|"&amp;D54)</f>
        <v/>
      </c>
      <c r="F54" s="11"/>
      <c r="G54" s="11"/>
      <c r="H54" s="22"/>
      <c r="I54" s="23"/>
      <c r="J54" s="11"/>
      <c r="K54" s="25" t="str">
        <f aca="false">IF(C54="","",IF(E54&lt;&gt;"",COUNTIF(Socios!$H:$H,E54),IF(COUNTIF(Socios!$F:$F,C54)&gt;0,"nome igual em Socios: confira o CPF","sem CPF: não cruzado")))</f>
        <v/>
      </c>
      <c r="L54" s="27" t="str">
        <f aca="false">IF(E54="","",COUNTIFS(Eleitoral!$K:$K,E54,Eleitoral!$E:$E,"Doação recebida"))</f>
        <v/>
      </c>
      <c r="M54" s="24"/>
      <c r="N54" s="11"/>
    </row>
    <row r="55" customFormat="false" ht="15" hidden="false" customHeight="false" outlineLevel="0" collapsed="false">
      <c r="A55" s="23"/>
      <c r="B55" s="24"/>
      <c r="C55" s="31" t="str">
        <f aca="false">IF(A55="","",SUBSTITUTE(SUBSTITUTE(SUBSTITUTE(SUBSTITUTE(SUBSTITUTE(SUBSTITUTE(SUBSTITUTE(SUBSTITUTE(SUBSTITUTE(SUBSTITUTE(SUBSTITUTE(SUBSTITUTE(SUBSTITUTE(UPPER(TRIM(A55)),"Á","A"),"À","A"),"Â","A"),"Ã","A"),"É","E"),"Ê","E"),"Í","I"),"Ó","O"),"Ô","O"),"Õ","O"),"Ú","U"),"Ü","U"),"Ç","C"))</f>
        <v/>
      </c>
      <c r="D55" s="31" t="str">
        <f aca="false">IF(B55="","",IF(LEN(SUBSTITUTE(SUBSTITUTE(SUBSTITUTE(SUBSTITUTE(TRIM(B55),"*",""),".",""),"-","")," ",""))=11,MID(SUBSTITUTE(SUBSTITUTE(SUBSTITUTE(SUBSTITUTE(TRIM(B55),"*",""),".",""),"-","")," ",""),4,6),SUBSTITUTE(SUBSTITUTE(SUBSTITUTE(SUBSTITUTE(TRIM(B55),"*",""),".",""),"-","")," ","")))</f>
        <v/>
      </c>
      <c r="E55" s="31" t="str">
        <f aca="false">IF(OR(C55="",D55=""),"",C55&amp;"|"&amp;D55)</f>
        <v/>
      </c>
      <c r="F55" s="11"/>
      <c r="G55" s="11"/>
      <c r="H55" s="22"/>
      <c r="I55" s="23"/>
      <c r="J55" s="11"/>
      <c r="K55" s="25" t="str">
        <f aca="false">IF(C55="","",IF(E55&lt;&gt;"",COUNTIF(Socios!$H:$H,E55),IF(COUNTIF(Socios!$F:$F,C55)&gt;0,"nome igual em Socios: confira o CPF","sem CPF: não cruzado")))</f>
        <v/>
      </c>
      <c r="L55" s="27" t="str">
        <f aca="false">IF(E55="","",COUNTIFS(Eleitoral!$K:$K,E55,Eleitoral!$E:$E,"Doação recebida"))</f>
        <v/>
      </c>
      <c r="M55" s="24"/>
      <c r="N55" s="11"/>
    </row>
    <row r="56" customFormat="false" ht="15" hidden="false" customHeight="false" outlineLevel="0" collapsed="false">
      <c r="A56" s="23"/>
      <c r="B56" s="24"/>
      <c r="C56" s="31" t="str">
        <f aca="false">IF(A56="","",SUBSTITUTE(SUBSTITUTE(SUBSTITUTE(SUBSTITUTE(SUBSTITUTE(SUBSTITUTE(SUBSTITUTE(SUBSTITUTE(SUBSTITUTE(SUBSTITUTE(SUBSTITUTE(SUBSTITUTE(SUBSTITUTE(UPPER(TRIM(A56)),"Á","A"),"À","A"),"Â","A"),"Ã","A"),"É","E"),"Ê","E"),"Í","I"),"Ó","O"),"Ô","O"),"Õ","O"),"Ú","U"),"Ü","U"),"Ç","C"))</f>
        <v/>
      </c>
      <c r="D56" s="31" t="str">
        <f aca="false">IF(B56="","",IF(LEN(SUBSTITUTE(SUBSTITUTE(SUBSTITUTE(SUBSTITUTE(TRIM(B56),"*",""),".",""),"-","")," ",""))=11,MID(SUBSTITUTE(SUBSTITUTE(SUBSTITUTE(SUBSTITUTE(TRIM(B56),"*",""),".",""),"-","")," ",""),4,6),SUBSTITUTE(SUBSTITUTE(SUBSTITUTE(SUBSTITUTE(TRIM(B56),"*",""),".",""),"-","")," ","")))</f>
        <v/>
      </c>
      <c r="E56" s="31" t="str">
        <f aca="false">IF(OR(C56="",D56=""),"",C56&amp;"|"&amp;D56)</f>
        <v/>
      </c>
      <c r="F56" s="11"/>
      <c r="G56" s="11"/>
      <c r="H56" s="22"/>
      <c r="I56" s="23"/>
      <c r="J56" s="11"/>
      <c r="K56" s="25" t="str">
        <f aca="false">IF(C56="","",IF(E56&lt;&gt;"",COUNTIF(Socios!$H:$H,E56),IF(COUNTIF(Socios!$F:$F,C56)&gt;0,"nome igual em Socios: confira o CPF","sem CPF: não cruzado")))</f>
        <v/>
      </c>
      <c r="L56" s="27" t="str">
        <f aca="false">IF(E56="","",COUNTIFS(Eleitoral!$K:$K,E56,Eleitoral!$E:$E,"Doação recebida"))</f>
        <v/>
      </c>
      <c r="M56" s="24"/>
      <c r="N56" s="11"/>
    </row>
    <row r="57" customFormat="false" ht="15" hidden="false" customHeight="false" outlineLevel="0" collapsed="false">
      <c r="A57" s="23"/>
      <c r="B57" s="24"/>
      <c r="C57" s="31" t="str">
        <f aca="false">IF(A57="","",SUBSTITUTE(SUBSTITUTE(SUBSTITUTE(SUBSTITUTE(SUBSTITUTE(SUBSTITUTE(SUBSTITUTE(SUBSTITUTE(SUBSTITUTE(SUBSTITUTE(SUBSTITUTE(SUBSTITUTE(SUBSTITUTE(UPPER(TRIM(A57)),"Á","A"),"À","A"),"Â","A"),"Ã","A"),"É","E"),"Ê","E"),"Í","I"),"Ó","O"),"Ô","O"),"Õ","O"),"Ú","U"),"Ü","U"),"Ç","C"))</f>
        <v/>
      </c>
      <c r="D57" s="31" t="str">
        <f aca="false">IF(B57="","",IF(LEN(SUBSTITUTE(SUBSTITUTE(SUBSTITUTE(SUBSTITUTE(TRIM(B57),"*",""),".",""),"-","")," ",""))=11,MID(SUBSTITUTE(SUBSTITUTE(SUBSTITUTE(SUBSTITUTE(TRIM(B57),"*",""),".",""),"-","")," ",""),4,6),SUBSTITUTE(SUBSTITUTE(SUBSTITUTE(SUBSTITUTE(TRIM(B57),"*",""),".",""),"-","")," ","")))</f>
        <v/>
      </c>
      <c r="E57" s="31" t="str">
        <f aca="false">IF(OR(C57="",D57=""),"",C57&amp;"|"&amp;D57)</f>
        <v/>
      </c>
      <c r="F57" s="11"/>
      <c r="G57" s="11"/>
      <c r="H57" s="22"/>
      <c r="I57" s="23"/>
      <c r="J57" s="11"/>
      <c r="K57" s="25" t="str">
        <f aca="false">IF(C57="","",IF(E57&lt;&gt;"",COUNTIF(Socios!$H:$H,E57),IF(COUNTIF(Socios!$F:$F,C57)&gt;0,"nome igual em Socios: confira o CPF","sem CPF: não cruzado")))</f>
        <v/>
      </c>
      <c r="L57" s="27" t="str">
        <f aca="false">IF(E57="","",COUNTIFS(Eleitoral!$K:$K,E57,Eleitoral!$E:$E,"Doação recebida"))</f>
        <v/>
      </c>
      <c r="M57" s="24"/>
      <c r="N57" s="11"/>
    </row>
    <row r="58" customFormat="false" ht="15" hidden="false" customHeight="false" outlineLevel="0" collapsed="false">
      <c r="A58" s="23"/>
      <c r="B58" s="24"/>
      <c r="C58" s="31" t="str">
        <f aca="false">IF(A58="","",SUBSTITUTE(SUBSTITUTE(SUBSTITUTE(SUBSTITUTE(SUBSTITUTE(SUBSTITUTE(SUBSTITUTE(SUBSTITUTE(SUBSTITUTE(SUBSTITUTE(SUBSTITUTE(SUBSTITUTE(SUBSTITUTE(UPPER(TRIM(A58)),"Á","A"),"À","A"),"Â","A"),"Ã","A"),"É","E"),"Ê","E"),"Í","I"),"Ó","O"),"Ô","O"),"Õ","O"),"Ú","U"),"Ü","U"),"Ç","C"))</f>
        <v/>
      </c>
      <c r="D58" s="31" t="str">
        <f aca="false">IF(B58="","",IF(LEN(SUBSTITUTE(SUBSTITUTE(SUBSTITUTE(SUBSTITUTE(TRIM(B58),"*",""),".",""),"-","")," ",""))=11,MID(SUBSTITUTE(SUBSTITUTE(SUBSTITUTE(SUBSTITUTE(TRIM(B58),"*",""),".",""),"-","")," ",""),4,6),SUBSTITUTE(SUBSTITUTE(SUBSTITUTE(SUBSTITUTE(TRIM(B58),"*",""),".",""),"-","")," ","")))</f>
        <v/>
      </c>
      <c r="E58" s="31" t="str">
        <f aca="false">IF(OR(C58="",D58=""),"",C58&amp;"|"&amp;D58)</f>
        <v/>
      </c>
      <c r="F58" s="11"/>
      <c r="G58" s="11"/>
      <c r="H58" s="22"/>
      <c r="I58" s="23"/>
      <c r="J58" s="11"/>
      <c r="K58" s="25" t="str">
        <f aca="false">IF(C58="","",IF(E58&lt;&gt;"",COUNTIF(Socios!$H:$H,E58),IF(COUNTIF(Socios!$F:$F,C58)&gt;0,"nome igual em Socios: confira o CPF","sem CPF: não cruzado")))</f>
        <v/>
      </c>
      <c r="L58" s="27" t="str">
        <f aca="false">IF(E58="","",COUNTIFS(Eleitoral!$K:$K,E58,Eleitoral!$E:$E,"Doação recebida"))</f>
        <v/>
      </c>
      <c r="M58" s="24"/>
      <c r="N58" s="11"/>
    </row>
    <row r="59" customFormat="false" ht="15" hidden="false" customHeight="false" outlineLevel="0" collapsed="false">
      <c r="A59" s="23"/>
      <c r="B59" s="24"/>
      <c r="C59" s="31" t="str">
        <f aca="false">IF(A59="","",SUBSTITUTE(SUBSTITUTE(SUBSTITUTE(SUBSTITUTE(SUBSTITUTE(SUBSTITUTE(SUBSTITUTE(SUBSTITUTE(SUBSTITUTE(SUBSTITUTE(SUBSTITUTE(SUBSTITUTE(SUBSTITUTE(UPPER(TRIM(A59)),"Á","A"),"À","A"),"Â","A"),"Ã","A"),"É","E"),"Ê","E"),"Í","I"),"Ó","O"),"Ô","O"),"Õ","O"),"Ú","U"),"Ü","U"),"Ç","C"))</f>
        <v/>
      </c>
      <c r="D59" s="31" t="str">
        <f aca="false">IF(B59="","",IF(LEN(SUBSTITUTE(SUBSTITUTE(SUBSTITUTE(SUBSTITUTE(TRIM(B59),"*",""),".",""),"-","")," ",""))=11,MID(SUBSTITUTE(SUBSTITUTE(SUBSTITUTE(SUBSTITUTE(TRIM(B59),"*",""),".",""),"-","")," ",""),4,6),SUBSTITUTE(SUBSTITUTE(SUBSTITUTE(SUBSTITUTE(TRIM(B59),"*",""),".",""),"-","")," ","")))</f>
        <v/>
      </c>
      <c r="E59" s="31" t="str">
        <f aca="false">IF(OR(C59="",D59=""),"",C59&amp;"|"&amp;D59)</f>
        <v/>
      </c>
      <c r="F59" s="11"/>
      <c r="G59" s="11"/>
      <c r="H59" s="22"/>
      <c r="I59" s="23"/>
      <c r="J59" s="11"/>
      <c r="K59" s="25" t="str">
        <f aca="false">IF(C59="","",IF(E59&lt;&gt;"",COUNTIF(Socios!$H:$H,E59),IF(COUNTIF(Socios!$F:$F,C59)&gt;0,"nome igual em Socios: confira o CPF","sem CPF: não cruzado")))</f>
        <v/>
      </c>
      <c r="L59" s="27" t="str">
        <f aca="false">IF(E59="","",COUNTIFS(Eleitoral!$K:$K,E59,Eleitoral!$E:$E,"Doação recebida"))</f>
        <v/>
      </c>
      <c r="M59" s="24"/>
      <c r="N59" s="11"/>
    </row>
    <row r="60" customFormat="false" ht="15" hidden="false" customHeight="false" outlineLevel="0" collapsed="false">
      <c r="A60" s="23"/>
      <c r="B60" s="24"/>
      <c r="C60" s="31" t="str">
        <f aca="false">IF(A60="","",SUBSTITUTE(SUBSTITUTE(SUBSTITUTE(SUBSTITUTE(SUBSTITUTE(SUBSTITUTE(SUBSTITUTE(SUBSTITUTE(SUBSTITUTE(SUBSTITUTE(SUBSTITUTE(SUBSTITUTE(SUBSTITUTE(UPPER(TRIM(A60)),"Á","A"),"À","A"),"Â","A"),"Ã","A"),"É","E"),"Ê","E"),"Í","I"),"Ó","O"),"Ô","O"),"Õ","O"),"Ú","U"),"Ü","U"),"Ç","C"))</f>
        <v/>
      </c>
      <c r="D60" s="31" t="str">
        <f aca="false">IF(B60="","",IF(LEN(SUBSTITUTE(SUBSTITUTE(SUBSTITUTE(SUBSTITUTE(TRIM(B60),"*",""),".",""),"-","")," ",""))=11,MID(SUBSTITUTE(SUBSTITUTE(SUBSTITUTE(SUBSTITUTE(TRIM(B60),"*",""),".",""),"-","")," ",""),4,6),SUBSTITUTE(SUBSTITUTE(SUBSTITUTE(SUBSTITUTE(TRIM(B60),"*",""),".",""),"-","")," ","")))</f>
        <v/>
      </c>
      <c r="E60" s="31" t="str">
        <f aca="false">IF(OR(C60="",D60=""),"",C60&amp;"|"&amp;D60)</f>
        <v/>
      </c>
      <c r="F60" s="11"/>
      <c r="G60" s="11"/>
      <c r="H60" s="22"/>
      <c r="I60" s="23"/>
      <c r="J60" s="11"/>
      <c r="K60" s="25" t="str">
        <f aca="false">IF(C60="","",IF(E60&lt;&gt;"",COUNTIF(Socios!$H:$H,E60),IF(COUNTIF(Socios!$F:$F,C60)&gt;0,"nome igual em Socios: confira o CPF","sem CPF: não cruzado")))</f>
        <v/>
      </c>
      <c r="L60" s="27" t="str">
        <f aca="false">IF(E60="","",COUNTIFS(Eleitoral!$K:$K,E60,Eleitoral!$E:$E,"Doação recebida"))</f>
        <v/>
      </c>
      <c r="M60" s="24"/>
      <c r="N60" s="11"/>
    </row>
    <row r="61" customFormat="false" ht="15" hidden="false" customHeight="false" outlineLevel="0" collapsed="false">
      <c r="A61" s="23"/>
      <c r="B61" s="24"/>
      <c r="C61" s="31" t="str">
        <f aca="false">IF(A61="","",SUBSTITUTE(SUBSTITUTE(SUBSTITUTE(SUBSTITUTE(SUBSTITUTE(SUBSTITUTE(SUBSTITUTE(SUBSTITUTE(SUBSTITUTE(SUBSTITUTE(SUBSTITUTE(SUBSTITUTE(SUBSTITUTE(UPPER(TRIM(A61)),"Á","A"),"À","A"),"Â","A"),"Ã","A"),"É","E"),"Ê","E"),"Í","I"),"Ó","O"),"Ô","O"),"Õ","O"),"Ú","U"),"Ü","U"),"Ç","C"))</f>
        <v/>
      </c>
      <c r="D61" s="31" t="str">
        <f aca="false">IF(B61="","",IF(LEN(SUBSTITUTE(SUBSTITUTE(SUBSTITUTE(SUBSTITUTE(TRIM(B61),"*",""),".",""),"-","")," ",""))=11,MID(SUBSTITUTE(SUBSTITUTE(SUBSTITUTE(SUBSTITUTE(TRIM(B61),"*",""),".",""),"-","")," ",""),4,6),SUBSTITUTE(SUBSTITUTE(SUBSTITUTE(SUBSTITUTE(TRIM(B61),"*",""),".",""),"-","")," ","")))</f>
        <v/>
      </c>
      <c r="E61" s="31" t="str">
        <f aca="false">IF(OR(C61="",D61=""),"",C61&amp;"|"&amp;D61)</f>
        <v/>
      </c>
      <c r="F61" s="11"/>
      <c r="G61" s="11"/>
      <c r="H61" s="22"/>
      <c r="I61" s="23"/>
      <c r="J61" s="11"/>
      <c r="K61" s="25" t="str">
        <f aca="false">IF(C61="","",IF(E61&lt;&gt;"",COUNTIF(Socios!$H:$H,E61),IF(COUNTIF(Socios!$F:$F,C61)&gt;0,"nome igual em Socios: confira o CPF","sem CPF: não cruzado")))</f>
        <v/>
      </c>
      <c r="L61" s="27" t="str">
        <f aca="false">IF(E61="","",COUNTIFS(Eleitoral!$K:$K,E61,Eleitoral!$E:$E,"Doação recebida"))</f>
        <v/>
      </c>
      <c r="M61" s="24"/>
      <c r="N61" s="11"/>
    </row>
    <row r="62" customFormat="false" ht="15" hidden="false" customHeight="false" outlineLevel="0" collapsed="false">
      <c r="A62" s="23"/>
      <c r="B62" s="24"/>
      <c r="C62" s="31" t="str">
        <f aca="false">IF(A62="","",SUBSTITUTE(SUBSTITUTE(SUBSTITUTE(SUBSTITUTE(SUBSTITUTE(SUBSTITUTE(SUBSTITUTE(SUBSTITUTE(SUBSTITUTE(SUBSTITUTE(SUBSTITUTE(SUBSTITUTE(SUBSTITUTE(UPPER(TRIM(A62)),"Á","A"),"À","A"),"Â","A"),"Ã","A"),"É","E"),"Ê","E"),"Í","I"),"Ó","O"),"Ô","O"),"Õ","O"),"Ú","U"),"Ü","U"),"Ç","C"))</f>
        <v/>
      </c>
      <c r="D62" s="31" t="str">
        <f aca="false">IF(B62="","",IF(LEN(SUBSTITUTE(SUBSTITUTE(SUBSTITUTE(SUBSTITUTE(TRIM(B62),"*",""),".",""),"-","")," ",""))=11,MID(SUBSTITUTE(SUBSTITUTE(SUBSTITUTE(SUBSTITUTE(TRIM(B62),"*",""),".",""),"-","")," ",""),4,6),SUBSTITUTE(SUBSTITUTE(SUBSTITUTE(SUBSTITUTE(TRIM(B62),"*",""),".",""),"-","")," ","")))</f>
        <v/>
      </c>
      <c r="E62" s="31" t="str">
        <f aca="false">IF(OR(C62="",D62=""),"",C62&amp;"|"&amp;D62)</f>
        <v/>
      </c>
      <c r="F62" s="11"/>
      <c r="G62" s="11"/>
      <c r="H62" s="22"/>
      <c r="I62" s="23"/>
      <c r="J62" s="11"/>
      <c r="K62" s="25" t="str">
        <f aca="false">IF(C62="","",IF(E62&lt;&gt;"",COUNTIF(Socios!$H:$H,E62),IF(COUNTIF(Socios!$F:$F,C62)&gt;0,"nome igual em Socios: confira o CPF","sem CPF: não cruzado")))</f>
        <v/>
      </c>
      <c r="L62" s="27" t="str">
        <f aca="false">IF(E62="","",COUNTIFS(Eleitoral!$K:$K,E62,Eleitoral!$E:$E,"Doação recebida"))</f>
        <v/>
      </c>
      <c r="M62" s="24"/>
      <c r="N62" s="11"/>
    </row>
    <row r="63" customFormat="false" ht="15" hidden="false" customHeight="false" outlineLevel="0" collapsed="false">
      <c r="A63" s="23"/>
      <c r="B63" s="24"/>
      <c r="C63" s="31" t="str">
        <f aca="false">IF(A63="","",SUBSTITUTE(SUBSTITUTE(SUBSTITUTE(SUBSTITUTE(SUBSTITUTE(SUBSTITUTE(SUBSTITUTE(SUBSTITUTE(SUBSTITUTE(SUBSTITUTE(SUBSTITUTE(SUBSTITUTE(SUBSTITUTE(UPPER(TRIM(A63)),"Á","A"),"À","A"),"Â","A"),"Ã","A"),"É","E"),"Ê","E"),"Í","I"),"Ó","O"),"Ô","O"),"Õ","O"),"Ú","U"),"Ü","U"),"Ç","C"))</f>
        <v/>
      </c>
      <c r="D63" s="31" t="str">
        <f aca="false">IF(B63="","",IF(LEN(SUBSTITUTE(SUBSTITUTE(SUBSTITUTE(SUBSTITUTE(TRIM(B63),"*",""),".",""),"-","")," ",""))=11,MID(SUBSTITUTE(SUBSTITUTE(SUBSTITUTE(SUBSTITUTE(TRIM(B63),"*",""),".",""),"-","")," ",""),4,6),SUBSTITUTE(SUBSTITUTE(SUBSTITUTE(SUBSTITUTE(TRIM(B63),"*",""),".",""),"-","")," ","")))</f>
        <v/>
      </c>
      <c r="E63" s="31" t="str">
        <f aca="false">IF(OR(C63="",D63=""),"",C63&amp;"|"&amp;D63)</f>
        <v/>
      </c>
      <c r="F63" s="11"/>
      <c r="G63" s="11"/>
      <c r="H63" s="22"/>
      <c r="I63" s="23"/>
      <c r="J63" s="11"/>
      <c r="K63" s="25" t="str">
        <f aca="false">IF(C63="","",IF(E63&lt;&gt;"",COUNTIF(Socios!$H:$H,E63),IF(COUNTIF(Socios!$F:$F,C63)&gt;0,"nome igual em Socios: confira o CPF","sem CPF: não cruzado")))</f>
        <v/>
      </c>
      <c r="L63" s="27" t="str">
        <f aca="false">IF(E63="","",COUNTIFS(Eleitoral!$K:$K,E63,Eleitoral!$E:$E,"Doação recebida"))</f>
        <v/>
      </c>
      <c r="M63" s="24"/>
      <c r="N63" s="11"/>
    </row>
    <row r="64" customFormat="false" ht="15" hidden="false" customHeight="false" outlineLevel="0" collapsed="false">
      <c r="A64" s="23"/>
      <c r="B64" s="24"/>
      <c r="C64" s="31" t="str">
        <f aca="false">IF(A64="","",SUBSTITUTE(SUBSTITUTE(SUBSTITUTE(SUBSTITUTE(SUBSTITUTE(SUBSTITUTE(SUBSTITUTE(SUBSTITUTE(SUBSTITUTE(SUBSTITUTE(SUBSTITUTE(SUBSTITUTE(SUBSTITUTE(UPPER(TRIM(A64)),"Á","A"),"À","A"),"Â","A"),"Ã","A"),"É","E"),"Ê","E"),"Í","I"),"Ó","O"),"Ô","O"),"Õ","O"),"Ú","U"),"Ü","U"),"Ç","C"))</f>
        <v/>
      </c>
      <c r="D64" s="31" t="str">
        <f aca="false">IF(B64="","",IF(LEN(SUBSTITUTE(SUBSTITUTE(SUBSTITUTE(SUBSTITUTE(TRIM(B64),"*",""),".",""),"-","")," ",""))=11,MID(SUBSTITUTE(SUBSTITUTE(SUBSTITUTE(SUBSTITUTE(TRIM(B64),"*",""),".",""),"-","")," ",""),4,6),SUBSTITUTE(SUBSTITUTE(SUBSTITUTE(SUBSTITUTE(TRIM(B64),"*",""),".",""),"-","")," ","")))</f>
        <v/>
      </c>
      <c r="E64" s="31" t="str">
        <f aca="false">IF(OR(C64="",D64=""),"",C64&amp;"|"&amp;D64)</f>
        <v/>
      </c>
      <c r="F64" s="11"/>
      <c r="G64" s="11"/>
      <c r="H64" s="22"/>
      <c r="I64" s="23"/>
      <c r="J64" s="11"/>
      <c r="K64" s="25" t="str">
        <f aca="false">IF(C64="","",IF(E64&lt;&gt;"",COUNTIF(Socios!$H:$H,E64),IF(COUNTIF(Socios!$F:$F,C64)&gt;0,"nome igual em Socios: confira o CPF","sem CPF: não cruzado")))</f>
        <v/>
      </c>
      <c r="L64" s="27" t="str">
        <f aca="false">IF(E64="","",COUNTIFS(Eleitoral!$K:$K,E64,Eleitoral!$E:$E,"Doação recebida"))</f>
        <v/>
      </c>
      <c r="M64" s="24"/>
      <c r="N64" s="11"/>
    </row>
    <row r="65" customFormat="false" ht="15" hidden="false" customHeight="false" outlineLevel="0" collapsed="false">
      <c r="A65" s="23"/>
      <c r="B65" s="24"/>
      <c r="C65" s="31" t="str">
        <f aca="false">IF(A65="","",SUBSTITUTE(SUBSTITUTE(SUBSTITUTE(SUBSTITUTE(SUBSTITUTE(SUBSTITUTE(SUBSTITUTE(SUBSTITUTE(SUBSTITUTE(SUBSTITUTE(SUBSTITUTE(SUBSTITUTE(SUBSTITUTE(UPPER(TRIM(A65)),"Á","A"),"À","A"),"Â","A"),"Ã","A"),"É","E"),"Ê","E"),"Í","I"),"Ó","O"),"Ô","O"),"Õ","O"),"Ú","U"),"Ü","U"),"Ç","C"))</f>
        <v/>
      </c>
      <c r="D65" s="31" t="str">
        <f aca="false">IF(B65="","",IF(LEN(SUBSTITUTE(SUBSTITUTE(SUBSTITUTE(SUBSTITUTE(TRIM(B65),"*",""),".",""),"-","")," ",""))=11,MID(SUBSTITUTE(SUBSTITUTE(SUBSTITUTE(SUBSTITUTE(TRIM(B65),"*",""),".",""),"-","")," ",""),4,6),SUBSTITUTE(SUBSTITUTE(SUBSTITUTE(SUBSTITUTE(TRIM(B65),"*",""),".",""),"-","")," ","")))</f>
        <v/>
      </c>
      <c r="E65" s="31" t="str">
        <f aca="false">IF(OR(C65="",D65=""),"",C65&amp;"|"&amp;D65)</f>
        <v/>
      </c>
      <c r="F65" s="11"/>
      <c r="G65" s="11"/>
      <c r="H65" s="22"/>
      <c r="I65" s="23"/>
      <c r="J65" s="11"/>
      <c r="K65" s="25" t="str">
        <f aca="false">IF(C65="","",IF(E65&lt;&gt;"",COUNTIF(Socios!$H:$H,E65),IF(COUNTIF(Socios!$F:$F,C65)&gt;0,"nome igual em Socios: confira o CPF","sem CPF: não cruzado")))</f>
        <v/>
      </c>
      <c r="L65" s="27" t="str">
        <f aca="false">IF(E65="","",COUNTIFS(Eleitoral!$K:$K,E65,Eleitoral!$E:$E,"Doação recebida"))</f>
        <v/>
      </c>
      <c r="M65" s="24"/>
      <c r="N65" s="11"/>
    </row>
    <row r="66" customFormat="false" ht="15" hidden="false" customHeight="false" outlineLevel="0" collapsed="false">
      <c r="A66" s="23"/>
      <c r="B66" s="24"/>
      <c r="C66" s="31" t="str">
        <f aca="false">IF(A66="","",SUBSTITUTE(SUBSTITUTE(SUBSTITUTE(SUBSTITUTE(SUBSTITUTE(SUBSTITUTE(SUBSTITUTE(SUBSTITUTE(SUBSTITUTE(SUBSTITUTE(SUBSTITUTE(SUBSTITUTE(SUBSTITUTE(UPPER(TRIM(A66)),"Á","A"),"À","A"),"Â","A"),"Ã","A"),"É","E"),"Ê","E"),"Í","I"),"Ó","O"),"Ô","O"),"Õ","O"),"Ú","U"),"Ü","U"),"Ç","C"))</f>
        <v/>
      </c>
      <c r="D66" s="31" t="str">
        <f aca="false">IF(B66="","",IF(LEN(SUBSTITUTE(SUBSTITUTE(SUBSTITUTE(SUBSTITUTE(TRIM(B66),"*",""),".",""),"-","")," ",""))=11,MID(SUBSTITUTE(SUBSTITUTE(SUBSTITUTE(SUBSTITUTE(TRIM(B66),"*",""),".",""),"-","")," ",""),4,6),SUBSTITUTE(SUBSTITUTE(SUBSTITUTE(SUBSTITUTE(TRIM(B66),"*",""),".",""),"-","")," ","")))</f>
        <v/>
      </c>
      <c r="E66" s="31" t="str">
        <f aca="false">IF(OR(C66="",D66=""),"",C66&amp;"|"&amp;D66)</f>
        <v/>
      </c>
      <c r="F66" s="11"/>
      <c r="G66" s="11"/>
      <c r="H66" s="22"/>
      <c r="I66" s="23"/>
      <c r="J66" s="11"/>
      <c r="K66" s="25" t="str">
        <f aca="false">IF(C66="","",IF(E66&lt;&gt;"",COUNTIF(Socios!$H:$H,E66),IF(COUNTIF(Socios!$F:$F,C66)&gt;0,"nome igual em Socios: confira o CPF","sem CPF: não cruzado")))</f>
        <v/>
      </c>
      <c r="L66" s="27" t="str">
        <f aca="false">IF(E66="","",COUNTIFS(Eleitoral!$K:$K,E66,Eleitoral!$E:$E,"Doação recebida"))</f>
        <v/>
      </c>
      <c r="M66" s="24"/>
      <c r="N66" s="11"/>
    </row>
    <row r="67" customFormat="false" ht="15" hidden="false" customHeight="false" outlineLevel="0" collapsed="false">
      <c r="A67" s="23"/>
      <c r="B67" s="24"/>
      <c r="C67" s="31" t="str">
        <f aca="false">IF(A67="","",SUBSTITUTE(SUBSTITUTE(SUBSTITUTE(SUBSTITUTE(SUBSTITUTE(SUBSTITUTE(SUBSTITUTE(SUBSTITUTE(SUBSTITUTE(SUBSTITUTE(SUBSTITUTE(SUBSTITUTE(SUBSTITUTE(UPPER(TRIM(A67)),"Á","A"),"À","A"),"Â","A"),"Ã","A"),"É","E"),"Ê","E"),"Í","I"),"Ó","O"),"Ô","O"),"Õ","O"),"Ú","U"),"Ü","U"),"Ç","C"))</f>
        <v/>
      </c>
      <c r="D67" s="31" t="str">
        <f aca="false">IF(B67="","",IF(LEN(SUBSTITUTE(SUBSTITUTE(SUBSTITUTE(SUBSTITUTE(TRIM(B67),"*",""),".",""),"-","")," ",""))=11,MID(SUBSTITUTE(SUBSTITUTE(SUBSTITUTE(SUBSTITUTE(TRIM(B67),"*",""),".",""),"-","")," ",""),4,6),SUBSTITUTE(SUBSTITUTE(SUBSTITUTE(SUBSTITUTE(TRIM(B67),"*",""),".",""),"-","")," ","")))</f>
        <v/>
      </c>
      <c r="E67" s="31" t="str">
        <f aca="false">IF(OR(C67="",D67=""),"",C67&amp;"|"&amp;D67)</f>
        <v/>
      </c>
      <c r="F67" s="11"/>
      <c r="G67" s="11"/>
      <c r="H67" s="22"/>
      <c r="I67" s="23"/>
      <c r="J67" s="11"/>
      <c r="K67" s="25" t="str">
        <f aca="false">IF(C67="","",IF(E67&lt;&gt;"",COUNTIF(Socios!$H:$H,E67),IF(COUNTIF(Socios!$F:$F,C67)&gt;0,"nome igual em Socios: confira o CPF","sem CPF: não cruzado")))</f>
        <v/>
      </c>
      <c r="L67" s="27" t="str">
        <f aca="false">IF(E67="","",COUNTIFS(Eleitoral!$K:$K,E67,Eleitoral!$E:$E,"Doação recebida"))</f>
        <v/>
      </c>
      <c r="M67" s="24"/>
      <c r="N67" s="11"/>
    </row>
    <row r="68" customFormat="false" ht="15" hidden="false" customHeight="false" outlineLevel="0" collapsed="false">
      <c r="A68" s="23"/>
      <c r="B68" s="24"/>
      <c r="C68" s="31" t="str">
        <f aca="false">IF(A68="","",SUBSTITUTE(SUBSTITUTE(SUBSTITUTE(SUBSTITUTE(SUBSTITUTE(SUBSTITUTE(SUBSTITUTE(SUBSTITUTE(SUBSTITUTE(SUBSTITUTE(SUBSTITUTE(SUBSTITUTE(SUBSTITUTE(UPPER(TRIM(A68)),"Á","A"),"À","A"),"Â","A"),"Ã","A"),"É","E"),"Ê","E"),"Í","I"),"Ó","O"),"Ô","O"),"Õ","O"),"Ú","U"),"Ü","U"),"Ç","C"))</f>
        <v/>
      </c>
      <c r="D68" s="31" t="str">
        <f aca="false">IF(B68="","",IF(LEN(SUBSTITUTE(SUBSTITUTE(SUBSTITUTE(SUBSTITUTE(TRIM(B68),"*",""),".",""),"-","")," ",""))=11,MID(SUBSTITUTE(SUBSTITUTE(SUBSTITUTE(SUBSTITUTE(TRIM(B68),"*",""),".",""),"-","")," ",""),4,6),SUBSTITUTE(SUBSTITUTE(SUBSTITUTE(SUBSTITUTE(TRIM(B68),"*",""),".",""),"-","")," ","")))</f>
        <v/>
      </c>
      <c r="E68" s="31" t="str">
        <f aca="false">IF(OR(C68="",D68=""),"",C68&amp;"|"&amp;D68)</f>
        <v/>
      </c>
      <c r="F68" s="11"/>
      <c r="G68" s="11"/>
      <c r="H68" s="22"/>
      <c r="I68" s="23"/>
      <c r="J68" s="11"/>
      <c r="K68" s="25" t="str">
        <f aca="false">IF(C68="","",IF(E68&lt;&gt;"",COUNTIF(Socios!$H:$H,E68),IF(COUNTIF(Socios!$F:$F,C68)&gt;0,"nome igual em Socios: confira o CPF","sem CPF: não cruzado")))</f>
        <v/>
      </c>
      <c r="L68" s="27" t="str">
        <f aca="false">IF(E68="","",COUNTIFS(Eleitoral!$K:$K,E68,Eleitoral!$E:$E,"Doação recebida"))</f>
        <v/>
      </c>
      <c r="M68" s="24"/>
      <c r="N68" s="11"/>
    </row>
    <row r="69" customFormat="false" ht="15" hidden="false" customHeight="false" outlineLevel="0" collapsed="false">
      <c r="A69" s="23"/>
      <c r="B69" s="24"/>
      <c r="C69" s="31" t="str">
        <f aca="false">IF(A69="","",SUBSTITUTE(SUBSTITUTE(SUBSTITUTE(SUBSTITUTE(SUBSTITUTE(SUBSTITUTE(SUBSTITUTE(SUBSTITUTE(SUBSTITUTE(SUBSTITUTE(SUBSTITUTE(SUBSTITUTE(SUBSTITUTE(UPPER(TRIM(A69)),"Á","A"),"À","A"),"Â","A"),"Ã","A"),"É","E"),"Ê","E"),"Í","I"),"Ó","O"),"Ô","O"),"Õ","O"),"Ú","U"),"Ü","U"),"Ç","C"))</f>
        <v/>
      </c>
      <c r="D69" s="31" t="str">
        <f aca="false">IF(B69="","",IF(LEN(SUBSTITUTE(SUBSTITUTE(SUBSTITUTE(SUBSTITUTE(TRIM(B69),"*",""),".",""),"-","")," ",""))=11,MID(SUBSTITUTE(SUBSTITUTE(SUBSTITUTE(SUBSTITUTE(TRIM(B69),"*",""),".",""),"-","")," ",""),4,6),SUBSTITUTE(SUBSTITUTE(SUBSTITUTE(SUBSTITUTE(TRIM(B69),"*",""),".",""),"-","")," ","")))</f>
        <v/>
      </c>
      <c r="E69" s="31" t="str">
        <f aca="false">IF(OR(C69="",D69=""),"",C69&amp;"|"&amp;D69)</f>
        <v/>
      </c>
      <c r="F69" s="11"/>
      <c r="G69" s="11"/>
      <c r="H69" s="22"/>
      <c r="I69" s="23"/>
      <c r="J69" s="11"/>
      <c r="K69" s="25" t="str">
        <f aca="false">IF(C69="","",IF(E69&lt;&gt;"",COUNTIF(Socios!$H:$H,E69),IF(COUNTIF(Socios!$F:$F,C69)&gt;0,"nome igual em Socios: confira o CPF","sem CPF: não cruzado")))</f>
        <v/>
      </c>
      <c r="L69" s="27" t="str">
        <f aca="false">IF(E69="","",COUNTIFS(Eleitoral!$K:$K,E69,Eleitoral!$E:$E,"Doação recebida"))</f>
        <v/>
      </c>
      <c r="M69" s="24"/>
      <c r="N69" s="11"/>
    </row>
    <row r="70" customFormat="false" ht="15" hidden="false" customHeight="false" outlineLevel="0" collapsed="false">
      <c r="A70" s="23"/>
      <c r="B70" s="24"/>
      <c r="C70" s="31" t="str">
        <f aca="false">IF(A70="","",SUBSTITUTE(SUBSTITUTE(SUBSTITUTE(SUBSTITUTE(SUBSTITUTE(SUBSTITUTE(SUBSTITUTE(SUBSTITUTE(SUBSTITUTE(SUBSTITUTE(SUBSTITUTE(SUBSTITUTE(SUBSTITUTE(UPPER(TRIM(A70)),"Á","A"),"À","A"),"Â","A"),"Ã","A"),"É","E"),"Ê","E"),"Í","I"),"Ó","O"),"Ô","O"),"Õ","O"),"Ú","U"),"Ü","U"),"Ç","C"))</f>
        <v/>
      </c>
      <c r="D70" s="31" t="str">
        <f aca="false">IF(B70="","",IF(LEN(SUBSTITUTE(SUBSTITUTE(SUBSTITUTE(SUBSTITUTE(TRIM(B70),"*",""),".",""),"-","")," ",""))=11,MID(SUBSTITUTE(SUBSTITUTE(SUBSTITUTE(SUBSTITUTE(TRIM(B70),"*",""),".",""),"-","")," ",""),4,6),SUBSTITUTE(SUBSTITUTE(SUBSTITUTE(SUBSTITUTE(TRIM(B70),"*",""),".",""),"-","")," ","")))</f>
        <v/>
      </c>
      <c r="E70" s="31" t="str">
        <f aca="false">IF(OR(C70="",D70=""),"",C70&amp;"|"&amp;D70)</f>
        <v/>
      </c>
      <c r="F70" s="11"/>
      <c r="G70" s="11"/>
      <c r="H70" s="22"/>
      <c r="I70" s="23"/>
      <c r="J70" s="11"/>
      <c r="K70" s="25" t="str">
        <f aca="false">IF(C70="","",IF(E70&lt;&gt;"",COUNTIF(Socios!$H:$H,E70),IF(COUNTIF(Socios!$F:$F,C70)&gt;0,"nome igual em Socios: confira o CPF","sem CPF: não cruzado")))</f>
        <v/>
      </c>
      <c r="L70" s="27" t="str">
        <f aca="false">IF(E70="","",COUNTIFS(Eleitoral!$K:$K,E70,Eleitoral!$E:$E,"Doação recebida"))</f>
        <v/>
      </c>
      <c r="M70" s="24"/>
      <c r="N70" s="11"/>
    </row>
    <row r="71" customFormat="false" ht="15" hidden="false" customHeight="false" outlineLevel="0" collapsed="false">
      <c r="A71" s="23"/>
      <c r="B71" s="24"/>
      <c r="C71" s="31" t="str">
        <f aca="false">IF(A71="","",SUBSTITUTE(SUBSTITUTE(SUBSTITUTE(SUBSTITUTE(SUBSTITUTE(SUBSTITUTE(SUBSTITUTE(SUBSTITUTE(SUBSTITUTE(SUBSTITUTE(SUBSTITUTE(SUBSTITUTE(SUBSTITUTE(UPPER(TRIM(A71)),"Á","A"),"À","A"),"Â","A"),"Ã","A"),"É","E"),"Ê","E"),"Í","I"),"Ó","O"),"Ô","O"),"Õ","O"),"Ú","U"),"Ü","U"),"Ç","C"))</f>
        <v/>
      </c>
      <c r="D71" s="31" t="str">
        <f aca="false">IF(B71="","",IF(LEN(SUBSTITUTE(SUBSTITUTE(SUBSTITUTE(SUBSTITUTE(TRIM(B71),"*",""),".",""),"-","")," ",""))=11,MID(SUBSTITUTE(SUBSTITUTE(SUBSTITUTE(SUBSTITUTE(TRIM(B71),"*",""),".",""),"-","")," ",""),4,6),SUBSTITUTE(SUBSTITUTE(SUBSTITUTE(SUBSTITUTE(TRIM(B71),"*",""),".",""),"-","")," ","")))</f>
        <v/>
      </c>
      <c r="E71" s="31" t="str">
        <f aca="false">IF(OR(C71="",D71=""),"",C71&amp;"|"&amp;D71)</f>
        <v/>
      </c>
      <c r="F71" s="11"/>
      <c r="G71" s="11"/>
      <c r="H71" s="22"/>
      <c r="I71" s="23"/>
      <c r="J71" s="11"/>
      <c r="K71" s="25" t="str">
        <f aca="false">IF(C71="","",IF(E71&lt;&gt;"",COUNTIF(Socios!$H:$H,E71),IF(COUNTIF(Socios!$F:$F,C71)&gt;0,"nome igual em Socios: confira o CPF","sem CPF: não cruzado")))</f>
        <v/>
      </c>
      <c r="L71" s="27" t="str">
        <f aca="false">IF(E71="","",COUNTIFS(Eleitoral!$K:$K,E71,Eleitoral!$E:$E,"Doação recebida"))</f>
        <v/>
      </c>
      <c r="M71" s="24"/>
      <c r="N71" s="11"/>
    </row>
    <row r="72" customFormat="false" ht="15" hidden="false" customHeight="false" outlineLevel="0" collapsed="false">
      <c r="A72" s="23"/>
      <c r="B72" s="24"/>
      <c r="C72" s="31" t="str">
        <f aca="false">IF(A72="","",SUBSTITUTE(SUBSTITUTE(SUBSTITUTE(SUBSTITUTE(SUBSTITUTE(SUBSTITUTE(SUBSTITUTE(SUBSTITUTE(SUBSTITUTE(SUBSTITUTE(SUBSTITUTE(SUBSTITUTE(SUBSTITUTE(UPPER(TRIM(A72)),"Á","A"),"À","A"),"Â","A"),"Ã","A"),"É","E"),"Ê","E"),"Í","I"),"Ó","O"),"Ô","O"),"Õ","O"),"Ú","U"),"Ü","U"),"Ç","C"))</f>
        <v/>
      </c>
      <c r="D72" s="31" t="str">
        <f aca="false">IF(B72="","",IF(LEN(SUBSTITUTE(SUBSTITUTE(SUBSTITUTE(SUBSTITUTE(TRIM(B72),"*",""),".",""),"-","")," ",""))=11,MID(SUBSTITUTE(SUBSTITUTE(SUBSTITUTE(SUBSTITUTE(TRIM(B72),"*",""),".",""),"-","")," ",""),4,6),SUBSTITUTE(SUBSTITUTE(SUBSTITUTE(SUBSTITUTE(TRIM(B72),"*",""),".",""),"-","")," ","")))</f>
        <v/>
      </c>
      <c r="E72" s="31" t="str">
        <f aca="false">IF(OR(C72="",D72=""),"",C72&amp;"|"&amp;D72)</f>
        <v/>
      </c>
      <c r="F72" s="11"/>
      <c r="G72" s="11"/>
      <c r="H72" s="22"/>
      <c r="I72" s="23"/>
      <c r="J72" s="11"/>
      <c r="K72" s="25" t="str">
        <f aca="false">IF(C72="","",IF(E72&lt;&gt;"",COUNTIF(Socios!$H:$H,E72),IF(COUNTIF(Socios!$F:$F,C72)&gt;0,"nome igual em Socios: confira o CPF","sem CPF: não cruzado")))</f>
        <v/>
      </c>
      <c r="L72" s="27" t="str">
        <f aca="false">IF(E72="","",COUNTIFS(Eleitoral!$K:$K,E72,Eleitoral!$E:$E,"Doação recebida"))</f>
        <v/>
      </c>
      <c r="M72" s="24"/>
      <c r="N72" s="11"/>
    </row>
    <row r="73" customFormat="false" ht="15" hidden="false" customHeight="false" outlineLevel="0" collapsed="false">
      <c r="A73" s="23"/>
      <c r="B73" s="24"/>
      <c r="C73" s="31" t="str">
        <f aca="false">IF(A73="","",SUBSTITUTE(SUBSTITUTE(SUBSTITUTE(SUBSTITUTE(SUBSTITUTE(SUBSTITUTE(SUBSTITUTE(SUBSTITUTE(SUBSTITUTE(SUBSTITUTE(SUBSTITUTE(SUBSTITUTE(SUBSTITUTE(UPPER(TRIM(A73)),"Á","A"),"À","A"),"Â","A"),"Ã","A"),"É","E"),"Ê","E"),"Í","I"),"Ó","O"),"Ô","O"),"Õ","O"),"Ú","U"),"Ü","U"),"Ç","C"))</f>
        <v/>
      </c>
      <c r="D73" s="31" t="str">
        <f aca="false">IF(B73="","",IF(LEN(SUBSTITUTE(SUBSTITUTE(SUBSTITUTE(SUBSTITUTE(TRIM(B73),"*",""),".",""),"-","")," ",""))=11,MID(SUBSTITUTE(SUBSTITUTE(SUBSTITUTE(SUBSTITUTE(TRIM(B73),"*",""),".",""),"-","")," ",""),4,6),SUBSTITUTE(SUBSTITUTE(SUBSTITUTE(SUBSTITUTE(TRIM(B73),"*",""),".",""),"-","")," ","")))</f>
        <v/>
      </c>
      <c r="E73" s="31" t="str">
        <f aca="false">IF(OR(C73="",D73=""),"",C73&amp;"|"&amp;D73)</f>
        <v/>
      </c>
      <c r="F73" s="11"/>
      <c r="G73" s="11"/>
      <c r="H73" s="22"/>
      <c r="I73" s="23"/>
      <c r="J73" s="11"/>
      <c r="K73" s="25" t="str">
        <f aca="false">IF(C73="","",IF(E73&lt;&gt;"",COUNTIF(Socios!$H:$H,E73),IF(COUNTIF(Socios!$F:$F,C73)&gt;0,"nome igual em Socios: confira o CPF","sem CPF: não cruzado")))</f>
        <v/>
      </c>
      <c r="L73" s="27" t="str">
        <f aca="false">IF(E73="","",COUNTIFS(Eleitoral!$K:$K,E73,Eleitoral!$E:$E,"Doação recebida"))</f>
        <v/>
      </c>
      <c r="M73" s="24"/>
      <c r="N73" s="11"/>
    </row>
    <row r="74" customFormat="false" ht="15" hidden="false" customHeight="false" outlineLevel="0" collapsed="false">
      <c r="A74" s="23"/>
      <c r="B74" s="24"/>
      <c r="C74" s="31" t="str">
        <f aca="false">IF(A74="","",SUBSTITUTE(SUBSTITUTE(SUBSTITUTE(SUBSTITUTE(SUBSTITUTE(SUBSTITUTE(SUBSTITUTE(SUBSTITUTE(SUBSTITUTE(SUBSTITUTE(SUBSTITUTE(SUBSTITUTE(SUBSTITUTE(UPPER(TRIM(A74)),"Á","A"),"À","A"),"Â","A"),"Ã","A"),"É","E"),"Ê","E"),"Í","I"),"Ó","O"),"Ô","O"),"Õ","O"),"Ú","U"),"Ü","U"),"Ç","C"))</f>
        <v/>
      </c>
      <c r="D74" s="31" t="str">
        <f aca="false">IF(B74="","",IF(LEN(SUBSTITUTE(SUBSTITUTE(SUBSTITUTE(SUBSTITUTE(TRIM(B74),"*",""),".",""),"-","")," ",""))=11,MID(SUBSTITUTE(SUBSTITUTE(SUBSTITUTE(SUBSTITUTE(TRIM(B74),"*",""),".",""),"-","")," ",""),4,6),SUBSTITUTE(SUBSTITUTE(SUBSTITUTE(SUBSTITUTE(TRIM(B74),"*",""),".",""),"-","")," ","")))</f>
        <v/>
      </c>
      <c r="E74" s="31" t="str">
        <f aca="false">IF(OR(C74="",D74=""),"",C74&amp;"|"&amp;D74)</f>
        <v/>
      </c>
      <c r="F74" s="11"/>
      <c r="G74" s="11"/>
      <c r="H74" s="22"/>
      <c r="I74" s="23"/>
      <c r="J74" s="11"/>
      <c r="K74" s="25" t="str">
        <f aca="false">IF(C74="","",IF(E74&lt;&gt;"",COUNTIF(Socios!$H:$H,E74),IF(COUNTIF(Socios!$F:$F,C74)&gt;0,"nome igual em Socios: confira o CPF","sem CPF: não cruzado")))</f>
        <v/>
      </c>
      <c r="L74" s="27" t="str">
        <f aca="false">IF(E74="","",COUNTIFS(Eleitoral!$K:$K,E74,Eleitoral!$E:$E,"Doação recebida"))</f>
        <v/>
      </c>
      <c r="M74" s="24"/>
      <c r="N74" s="11"/>
    </row>
    <row r="75" customFormat="false" ht="15" hidden="false" customHeight="false" outlineLevel="0" collapsed="false">
      <c r="A75" s="23"/>
      <c r="B75" s="24"/>
      <c r="C75" s="31" t="str">
        <f aca="false">IF(A75="","",SUBSTITUTE(SUBSTITUTE(SUBSTITUTE(SUBSTITUTE(SUBSTITUTE(SUBSTITUTE(SUBSTITUTE(SUBSTITUTE(SUBSTITUTE(SUBSTITUTE(SUBSTITUTE(SUBSTITUTE(SUBSTITUTE(UPPER(TRIM(A75)),"Á","A"),"À","A"),"Â","A"),"Ã","A"),"É","E"),"Ê","E"),"Í","I"),"Ó","O"),"Ô","O"),"Õ","O"),"Ú","U"),"Ü","U"),"Ç","C"))</f>
        <v/>
      </c>
      <c r="D75" s="31" t="str">
        <f aca="false">IF(B75="","",IF(LEN(SUBSTITUTE(SUBSTITUTE(SUBSTITUTE(SUBSTITUTE(TRIM(B75),"*",""),".",""),"-","")," ",""))=11,MID(SUBSTITUTE(SUBSTITUTE(SUBSTITUTE(SUBSTITUTE(TRIM(B75),"*",""),".",""),"-","")," ",""),4,6),SUBSTITUTE(SUBSTITUTE(SUBSTITUTE(SUBSTITUTE(TRIM(B75),"*",""),".",""),"-","")," ","")))</f>
        <v/>
      </c>
      <c r="E75" s="31" t="str">
        <f aca="false">IF(OR(C75="",D75=""),"",C75&amp;"|"&amp;D75)</f>
        <v/>
      </c>
      <c r="F75" s="11"/>
      <c r="G75" s="11"/>
      <c r="H75" s="22"/>
      <c r="I75" s="23"/>
      <c r="J75" s="11"/>
      <c r="K75" s="25" t="str">
        <f aca="false">IF(C75="","",IF(E75&lt;&gt;"",COUNTIF(Socios!$H:$H,E75),IF(COUNTIF(Socios!$F:$F,C75)&gt;0,"nome igual em Socios: confira o CPF","sem CPF: não cruzado")))</f>
        <v/>
      </c>
      <c r="L75" s="27" t="str">
        <f aca="false">IF(E75="","",COUNTIFS(Eleitoral!$K:$K,E75,Eleitoral!$E:$E,"Doação recebida"))</f>
        <v/>
      </c>
      <c r="M75" s="24"/>
      <c r="N75" s="11"/>
    </row>
    <row r="76" customFormat="false" ht="15" hidden="false" customHeight="false" outlineLevel="0" collapsed="false">
      <c r="A76" s="23"/>
      <c r="B76" s="24"/>
      <c r="C76" s="31" t="str">
        <f aca="false">IF(A76="","",SUBSTITUTE(SUBSTITUTE(SUBSTITUTE(SUBSTITUTE(SUBSTITUTE(SUBSTITUTE(SUBSTITUTE(SUBSTITUTE(SUBSTITUTE(SUBSTITUTE(SUBSTITUTE(SUBSTITUTE(SUBSTITUTE(UPPER(TRIM(A76)),"Á","A"),"À","A"),"Â","A"),"Ã","A"),"É","E"),"Ê","E"),"Í","I"),"Ó","O"),"Ô","O"),"Õ","O"),"Ú","U"),"Ü","U"),"Ç","C"))</f>
        <v/>
      </c>
      <c r="D76" s="31" t="str">
        <f aca="false">IF(B76="","",IF(LEN(SUBSTITUTE(SUBSTITUTE(SUBSTITUTE(SUBSTITUTE(TRIM(B76),"*",""),".",""),"-","")," ",""))=11,MID(SUBSTITUTE(SUBSTITUTE(SUBSTITUTE(SUBSTITUTE(TRIM(B76),"*",""),".",""),"-","")," ",""),4,6),SUBSTITUTE(SUBSTITUTE(SUBSTITUTE(SUBSTITUTE(TRIM(B76),"*",""),".",""),"-","")," ","")))</f>
        <v/>
      </c>
      <c r="E76" s="31" t="str">
        <f aca="false">IF(OR(C76="",D76=""),"",C76&amp;"|"&amp;D76)</f>
        <v/>
      </c>
      <c r="F76" s="11"/>
      <c r="G76" s="11"/>
      <c r="H76" s="22"/>
      <c r="I76" s="23"/>
      <c r="J76" s="11"/>
      <c r="K76" s="25" t="str">
        <f aca="false">IF(C76="","",IF(E76&lt;&gt;"",COUNTIF(Socios!$H:$H,E76),IF(COUNTIF(Socios!$F:$F,C76)&gt;0,"nome igual em Socios: confira o CPF","sem CPF: não cruzado")))</f>
        <v/>
      </c>
      <c r="L76" s="27" t="str">
        <f aca="false">IF(E76="","",COUNTIFS(Eleitoral!$K:$K,E76,Eleitoral!$E:$E,"Doação recebida"))</f>
        <v/>
      </c>
      <c r="M76" s="24"/>
      <c r="N76" s="11"/>
    </row>
    <row r="77" customFormat="false" ht="15" hidden="false" customHeight="false" outlineLevel="0" collapsed="false">
      <c r="A77" s="23"/>
      <c r="B77" s="24"/>
      <c r="C77" s="31" t="str">
        <f aca="false">IF(A77="","",SUBSTITUTE(SUBSTITUTE(SUBSTITUTE(SUBSTITUTE(SUBSTITUTE(SUBSTITUTE(SUBSTITUTE(SUBSTITUTE(SUBSTITUTE(SUBSTITUTE(SUBSTITUTE(SUBSTITUTE(SUBSTITUTE(UPPER(TRIM(A77)),"Á","A"),"À","A"),"Â","A"),"Ã","A"),"É","E"),"Ê","E"),"Í","I"),"Ó","O"),"Ô","O"),"Õ","O"),"Ú","U"),"Ü","U"),"Ç","C"))</f>
        <v/>
      </c>
      <c r="D77" s="31" t="str">
        <f aca="false">IF(B77="","",IF(LEN(SUBSTITUTE(SUBSTITUTE(SUBSTITUTE(SUBSTITUTE(TRIM(B77),"*",""),".",""),"-","")," ",""))=11,MID(SUBSTITUTE(SUBSTITUTE(SUBSTITUTE(SUBSTITUTE(TRIM(B77),"*",""),".",""),"-","")," ",""),4,6),SUBSTITUTE(SUBSTITUTE(SUBSTITUTE(SUBSTITUTE(TRIM(B77),"*",""),".",""),"-","")," ","")))</f>
        <v/>
      </c>
      <c r="E77" s="31" t="str">
        <f aca="false">IF(OR(C77="",D77=""),"",C77&amp;"|"&amp;D77)</f>
        <v/>
      </c>
      <c r="F77" s="11"/>
      <c r="G77" s="11"/>
      <c r="H77" s="22"/>
      <c r="I77" s="23"/>
      <c r="J77" s="11"/>
      <c r="K77" s="25" t="str">
        <f aca="false">IF(C77="","",IF(E77&lt;&gt;"",COUNTIF(Socios!$H:$H,E77),IF(COUNTIF(Socios!$F:$F,C77)&gt;0,"nome igual em Socios: confira o CPF","sem CPF: não cruzado")))</f>
        <v/>
      </c>
      <c r="L77" s="27" t="str">
        <f aca="false">IF(E77="","",COUNTIFS(Eleitoral!$K:$K,E77,Eleitoral!$E:$E,"Doação recebida"))</f>
        <v/>
      </c>
      <c r="M77" s="24"/>
      <c r="N77" s="11"/>
    </row>
    <row r="78" customFormat="false" ht="15" hidden="false" customHeight="false" outlineLevel="0" collapsed="false">
      <c r="A78" s="23"/>
      <c r="B78" s="24"/>
      <c r="C78" s="31" t="str">
        <f aca="false">IF(A78="","",SUBSTITUTE(SUBSTITUTE(SUBSTITUTE(SUBSTITUTE(SUBSTITUTE(SUBSTITUTE(SUBSTITUTE(SUBSTITUTE(SUBSTITUTE(SUBSTITUTE(SUBSTITUTE(SUBSTITUTE(SUBSTITUTE(UPPER(TRIM(A78)),"Á","A"),"À","A"),"Â","A"),"Ã","A"),"É","E"),"Ê","E"),"Í","I"),"Ó","O"),"Ô","O"),"Õ","O"),"Ú","U"),"Ü","U"),"Ç","C"))</f>
        <v/>
      </c>
      <c r="D78" s="31" t="str">
        <f aca="false">IF(B78="","",IF(LEN(SUBSTITUTE(SUBSTITUTE(SUBSTITUTE(SUBSTITUTE(TRIM(B78),"*",""),".",""),"-","")," ",""))=11,MID(SUBSTITUTE(SUBSTITUTE(SUBSTITUTE(SUBSTITUTE(TRIM(B78),"*",""),".",""),"-","")," ",""),4,6),SUBSTITUTE(SUBSTITUTE(SUBSTITUTE(SUBSTITUTE(TRIM(B78),"*",""),".",""),"-","")," ","")))</f>
        <v/>
      </c>
      <c r="E78" s="31" t="str">
        <f aca="false">IF(OR(C78="",D78=""),"",C78&amp;"|"&amp;D78)</f>
        <v/>
      </c>
      <c r="F78" s="11"/>
      <c r="G78" s="11"/>
      <c r="H78" s="22"/>
      <c r="I78" s="23"/>
      <c r="J78" s="11"/>
      <c r="K78" s="25" t="str">
        <f aca="false">IF(C78="","",IF(E78&lt;&gt;"",COUNTIF(Socios!$H:$H,E78),IF(COUNTIF(Socios!$F:$F,C78)&gt;0,"nome igual em Socios: confira o CPF","sem CPF: não cruzado")))</f>
        <v/>
      </c>
      <c r="L78" s="27" t="str">
        <f aca="false">IF(E78="","",COUNTIFS(Eleitoral!$K:$K,E78,Eleitoral!$E:$E,"Doação recebida"))</f>
        <v/>
      </c>
      <c r="M78" s="24"/>
      <c r="N78" s="11"/>
    </row>
    <row r="79" customFormat="false" ht="15" hidden="false" customHeight="false" outlineLevel="0" collapsed="false">
      <c r="A79" s="23"/>
      <c r="B79" s="24"/>
      <c r="C79" s="31" t="str">
        <f aca="false">IF(A79="","",SUBSTITUTE(SUBSTITUTE(SUBSTITUTE(SUBSTITUTE(SUBSTITUTE(SUBSTITUTE(SUBSTITUTE(SUBSTITUTE(SUBSTITUTE(SUBSTITUTE(SUBSTITUTE(SUBSTITUTE(SUBSTITUTE(UPPER(TRIM(A79)),"Á","A"),"À","A"),"Â","A"),"Ã","A"),"É","E"),"Ê","E"),"Í","I"),"Ó","O"),"Ô","O"),"Õ","O"),"Ú","U"),"Ü","U"),"Ç","C"))</f>
        <v/>
      </c>
      <c r="D79" s="31" t="str">
        <f aca="false">IF(B79="","",IF(LEN(SUBSTITUTE(SUBSTITUTE(SUBSTITUTE(SUBSTITUTE(TRIM(B79),"*",""),".",""),"-","")," ",""))=11,MID(SUBSTITUTE(SUBSTITUTE(SUBSTITUTE(SUBSTITUTE(TRIM(B79),"*",""),".",""),"-","")," ",""),4,6),SUBSTITUTE(SUBSTITUTE(SUBSTITUTE(SUBSTITUTE(TRIM(B79),"*",""),".",""),"-","")," ","")))</f>
        <v/>
      </c>
      <c r="E79" s="31" t="str">
        <f aca="false">IF(OR(C79="",D79=""),"",C79&amp;"|"&amp;D79)</f>
        <v/>
      </c>
      <c r="F79" s="11"/>
      <c r="G79" s="11"/>
      <c r="H79" s="22"/>
      <c r="I79" s="23"/>
      <c r="J79" s="11"/>
      <c r="K79" s="25" t="str">
        <f aca="false">IF(C79="","",IF(E79&lt;&gt;"",COUNTIF(Socios!$H:$H,E79),IF(COUNTIF(Socios!$F:$F,C79)&gt;0,"nome igual em Socios: confira o CPF","sem CPF: não cruzado")))</f>
        <v/>
      </c>
      <c r="L79" s="27" t="str">
        <f aca="false">IF(E79="","",COUNTIFS(Eleitoral!$K:$K,E79,Eleitoral!$E:$E,"Doação recebida"))</f>
        <v/>
      </c>
      <c r="M79" s="24"/>
      <c r="N79" s="11"/>
    </row>
    <row r="80" customFormat="false" ht="15" hidden="false" customHeight="false" outlineLevel="0" collapsed="false">
      <c r="A80" s="23"/>
      <c r="B80" s="24"/>
      <c r="C80" s="31" t="str">
        <f aca="false">IF(A80="","",SUBSTITUTE(SUBSTITUTE(SUBSTITUTE(SUBSTITUTE(SUBSTITUTE(SUBSTITUTE(SUBSTITUTE(SUBSTITUTE(SUBSTITUTE(SUBSTITUTE(SUBSTITUTE(SUBSTITUTE(SUBSTITUTE(UPPER(TRIM(A80)),"Á","A"),"À","A"),"Â","A"),"Ã","A"),"É","E"),"Ê","E"),"Í","I"),"Ó","O"),"Ô","O"),"Õ","O"),"Ú","U"),"Ü","U"),"Ç","C"))</f>
        <v/>
      </c>
      <c r="D80" s="31" t="str">
        <f aca="false">IF(B80="","",IF(LEN(SUBSTITUTE(SUBSTITUTE(SUBSTITUTE(SUBSTITUTE(TRIM(B80),"*",""),".",""),"-","")," ",""))=11,MID(SUBSTITUTE(SUBSTITUTE(SUBSTITUTE(SUBSTITUTE(TRIM(B80),"*",""),".",""),"-","")," ",""),4,6),SUBSTITUTE(SUBSTITUTE(SUBSTITUTE(SUBSTITUTE(TRIM(B80),"*",""),".",""),"-","")," ","")))</f>
        <v/>
      </c>
      <c r="E80" s="31" t="str">
        <f aca="false">IF(OR(C80="",D80=""),"",C80&amp;"|"&amp;D80)</f>
        <v/>
      </c>
      <c r="F80" s="11"/>
      <c r="G80" s="11"/>
      <c r="H80" s="22"/>
      <c r="I80" s="23"/>
      <c r="J80" s="11"/>
      <c r="K80" s="25" t="str">
        <f aca="false">IF(C80="","",IF(E80&lt;&gt;"",COUNTIF(Socios!$H:$H,E80),IF(COUNTIF(Socios!$F:$F,C80)&gt;0,"nome igual em Socios: confira o CPF","sem CPF: não cruzado")))</f>
        <v/>
      </c>
      <c r="L80" s="27" t="str">
        <f aca="false">IF(E80="","",COUNTIFS(Eleitoral!$K:$K,E80,Eleitoral!$E:$E,"Doação recebida"))</f>
        <v/>
      </c>
      <c r="M80" s="24"/>
      <c r="N80" s="11"/>
    </row>
    <row r="81" customFormat="false" ht="15" hidden="false" customHeight="false" outlineLevel="0" collapsed="false">
      <c r="A81" s="23"/>
      <c r="B81" s="24"/>
      <c r="C81" s="31" t="str">
        <f aca="false">IF(A81="","",SUBSTITUTE(SUBSTITUTE(SUBSTITUTE(SUBSTITUTE(SUBSTITUTE(SUBSTITUTE(SUBSTITUTE(SUBSTITUTE(SUBSTITUTE(SUBSTITUTE(SUBSTITUTE(SUBSTITUTE(SUBSTITUTE(UPPER(TRIM(A81)),"Á","A"),"À","A"),"Â","A"),"Ã","A"),"É","E"),"Ê","E"),"Í","I"),"Ó","O"),"Ô","O"),"Õ","O"),"Ú","U"),"Ü","U"),"Ç","C"))</f>
        <v/>
      </c>
      <c r="D81" s="31" t="str">
        <f aca="false">IF(B81="","",IF(LEN(SUBSTITUTE(SUBSTITUTE(SUBSTITUTE(SUBSTITUTE(TRIM(B81),"*",""),".",""),"-","")," ",""))=11,MID(SUBSTITUTE(SUBSTITUTE(SUBSTITUTE(SUBSTITUTE(TRIM(B81),"*",""),".",""),"-","")," ",""),4,6),SUBSTITUTE(SUBSTITUTE(SUBSTITUTE(SUBSTITUTE(TRIM(B81),"*",""),".",""),"-","")," ","")))</f>
        <v/>
      </c>
      <c r="E81" s="31" t="str">
        <f aca="false">IF(OR(C81="",D81=""),"",C81&amp;"|"&amp;D81)</f>
        <v/>
      </c>
      <c r="F81" s="11"/>
      <c r="G81" s="11"/>
      <c r="H81" s="22"/>
      <c r="I81" s="23"/>
      <c r="J81" s="11"/>
      <c r="K81" s="25" t="str">
        <f aca="false">IF(C81="","",IF(E81&lt;&gt;"",COUNTIF(Socios!$H:$H,E81),IF(COUNTIF(Socios!$F:$F,C81)&gt;0,"nome igual em Socios: confira o CPF","sem CPF: não cruzado")))</f>
        <v/>
      </c>
      <c r="L81" s="27" t="str">
        <f aca="false">IF(E81="","",COUNTIFS(Eleitoral!$K:$K,E81,Eleitoral!$E:$E,"Doação recebida"))</f>
        <v/>
      </c>
      <c r="M81" s="24"/>
      <c r="N81" s="11"/>
    </row>
    <row r="82" customFormat="false" ht="15" hidden="false" customHeight="false" outlineLevel="0" collapsed="false">
      <c r="A82" s="23"/>
      <c r="B82" s="24"/>
      <c r="C82" s="31" t="str">
        <f aca="false">IF(A82="","",SUBSTITUTE(SUBSTITUTE(SUBSTITUTE(SUBSTITUTE(SUBSTITUTE(SUBSTITUTE(SUBSTITUTE(SUBSTITUTE(SUBSTITUTE(SUBSTITUTE(SUBSTITUTE(SUBSTITUTE(SUBSTITUTE(UPPER(TRIM(A82)),"Á","A"),"À","A"),"Â","A"),"Ã","A"),"É","E"),"Ê","E"),"Í","I"),"Ó","O"),"Ô","O"),"Õ","O"),"Ú","U"),"Ü","U"),"Ç","C"))</f>
        <v/>
      </c>
      <c r="D82" s="31" t="str">
        <f aca="false">IF(B82="","",IF(LEN(SUBSTITUTE(SUBSTITUTE(SUBSTITUTE(SUBSTITUTE(TRIM(B82),"*",""),".",""),"-","")," ",""))=11,MID(SUBSTITUTE(SUBSTITUTE(SUBSTITUTE(SUBSTITUTE(TRIM(B82),"*",""),".",""),"-","")," ",""),4,6),SUBSTITUTE(SUBSTITUTE(SUBSTITUTE(SUBSTITUTE(TRIM(B82),"*",""),".",""),"-","")," ","")))</f>
        <v/>
      </c>
      <c r="E82" s="31" t="str">
        <f aca="false">IF(OR(C82="",D82=""),"",C82&amp;"|"&amp;D82)</f>
        <v/>
      </c>
      <c r="F82" s="11"/>
      <c r="G82" s="11"/>
      <c r="H82" s="22"/>
      <c r="I82" s="23"/>
      <c r="J82" s="11"/>
      <c r="K82" s="25" t="str">
        <f aca="false">IF(C82="","",IF(E82&lt;&gt;"",COUNTIF(Socios!$H:$H,E82),IF(COUNTIF(Socios!$F:$F,C82)&gt;0,"nome igual em Socios: confira o CPF","sem CPF: não cruzado")))</f>
        <v/>
      </c>
      <c r="L82" s="27" t="str">
        <f aca="false">IF(E82="","",COUNTIFS(Eleitoral!$K:$K,E82,Eleitoral!$E:$E,"Doação recebida"))</f>
        <v/>
      </c>
      <c r="M82" s="24"/>
      <c r="N82" s="11"/>
    </row>
    <row r="83" customFormat="false" ht="15" hidden="false" customHeight="false" outlineLevel="0" collapsed="false">
      <c r="A83" s="23"/>
      <c r="B83" s="24"/>
      <c r="C83" s="31" t="str">
        <f aca="false">IF(A83="","",SUBSTITUTE(SUBSTITUTE(SUBSTITUTE(SUBSTITUTE(SUBSTITUTE(SUBSTITUTE(SUBSTITUTE(SUBSTITUTE(SUBSTITUTE(SUBSTITUTE(SUBSTITUTE(SUBSTITUTE(SUBSTITUTE(UPPER(TRIM(A83)),"Á","A"),"À","A"),"Â","A"),"Ã","A"),"É","E"),"Ê","E"),"Í","I"),"Ó","O"),"Ô","O"),"Õ","O"),"Ú","U"),"Ü","U"),"Ç","C"))</f>
        <v/>
      </c>
      <c r="D83" s="31" t="str">
        <f aca="false">IF(B83="","",IF(LEN(SUBSTITUTE(SUBSTITUTE(SUBSTITUTE(SUBSTITUTE(TRIM(B83),"*",""),".",""),"-","")," ",""))=11,MID(SUBSTITUTE(SUBSTITUTE(SUBSTITUTE(SUBSTITUTE(TRIM(B83),"*",""),".",""),"-","")," ",""),4,6),SUBSTITUTE(SUBSTITUTE(SUBSTITUTE(SUBSTITUTE(TRIM(B83),"*",""),".",""),"-","")," ","")))</f>
        <v/>
      </c>
      <c r="E83" s="31" t="str">
        <f aca="false">IF(OR(C83="",D83=""),"",C83&amp;"|"&amp;D83)</f>
        <v/>
      </c>
      <c r="F83" s="11"/>
      <c r="G83" s="11"/>
      <c r="H83" s="22"/>
      <c r="I83" s="23"/>
      <c r="J83" s="11"/>
      <c r="K83" s="25" t="str">
        <f aca="false">IF(C83="","",IF(E83&lt;&gt;"",COUNTIF(Socios!$H:$H,E83),IF(COUNTIF(Socios!$F:$F,C83)&gt;0,"nome igual em Socios: confira o CPF","sem CPF: não cruzado")))</f>
        <v/>
      </c>
      <c r="L83" s="27" t="str">
        <f aca="false">IF(E83="","",COUNTIFS(Eleitoral!$K:$K,E83,Eleitoral!$E:$E,"Doação recebida"))</f>
        <v/>
      </c>
      <c r="M83" s="24"/>
      <c r="N83" s="11"/>
    </row>
    <row r="84" customFormat="false" ht="15" hidden="false" customHeight="false" outlineLevel="0" collapsed="false">
      <c r="A84" s="23"/>
      <c r="B84" s="24"/>
      <c r="C84" s="31" t="str">
        <f aca="false">IF(A84="","",SUBSTITUTE(SUBSTITUTE(SUBSTITUTE(SUBSTITUTE(SUBSTITUTE(SUBSTITUTE(SUBSTITUTE(SUBSTITUTE(SUBSTITUTE(SUBSTITUTE(SUBSTITUTE(SUBSTITUTE(SUBSTITUTE(UPPER(TRIM(A84)),"Á","A"),"À","A"),"Â","A"),"Ã","A"),"É","E"),"Ê","E"),"Í","I"),"Ó","O"),"Ô","O"),"Õ","O"),"Ú","U"),"Ü","U"),"Ç","C"))</f>
        <v/>
      </c>
      <c r="D84" s="31" t="str">
        <f aca="false">IF(B84="","",IF(LEN(SUBSTITUTE(SUBSTITUTE(SUBSTITUTE(SUBSTITUTE(TRIM(B84),"*",""),".",""),"-","")," ",""))=11,MID(SUBSTITUTE(SUBSTITUTE(SUBSTITUTE(SUBSTITUTE(TRIM(B84),"*",""),".",""),"-","")," ",""),4,6),SUBSTITUTE(SUBSTITUTE(SUBSTITUTE(SUBSTITUTE(TRIM(B84),"*",""),".",""),"-","")," ","")))</f>
        <v/>
      </c>
      <c r="E84" s="31" t="str">
        <f aca="false">IF(OR(C84="",D84=""),"",C84&amp;"|"&amp;D84)</f>
        <v/>
      </c>
      <c r="F84" s="11"/>
      <c r="G84" s="11"/>
      <c r="H84" s="22"/>
      <c r="I84" s="23"/>
      <c r="J84" s="11"/>
      <c r="K84" s="25" t="str">
        <f aca="false">IF(C84="","",IF(E84&lt;&gt;"",COUNTIF(Socios!$H:$H,E84),IF(COUNTIF(Socios!$F:$F,C84)&gt;0,"nome igual em Socios: confira o CPF","sem CPF: não cruzado")))</f>
        <v/>
      </c>
      <c r="L84" s="27" t="str">
        <f aca="false">IF(E84="","",COUNTIFS(Eleitoral!$K:$K,E84,Eleitoral!$E:$E,"Doação recebida"))</f>
        <v/>
      </c>
      <c r="M84" s="24"/>
      <c r="N84" s="11"/>
    </row>
    <row r="85" customFormat="false" ht="15" hidden="false" customHeight="false" outlineLevel="0" collapsed="false">
      <c r="A85" s="23"/>
      <c r="B85" s="24"/>
      <c r="C85" s="31" t="str">
        <f aca="false">IF(A85="","",SUBSTITUTE(SUBSTITUTE(SUBSTITUTE(SUBSTITUTE(SUBSTITUTE(SUBSTITUTE(SUBSTITUTE(SUBSTITUTE(SUBSTITUTE(SUBSTITUTE(SUBSTITUTE(SUBSTITUTE(SUBSTITUTE(UPPER(TRIM(A85)),"Á","A"),"À","A"),"Â","A"),"Ã","A"),"É","E"),"Ê","E"),"Í","I"),"Ó","O"),"Ô","O"),"Õ","O"),"Ú","U"),"Ü","U"),"Ç","C"))</f>
        <v/>
      </c>
      <c r="D85" s="31" t="str">
        <f aca="false">IF(B85="","",IF(LEN(SUBSTITUTE(SUBSTITUTE(SUBSTITUTE(SUBSTITUTE(TRIM(B85),"*",""),".",""),"-","")," ",""))=11,MID(SUBSTITUTE(SUBSTITUTE(SUBSTITUTE(SUBSTITUTE(TRIM(B85),"*",""),".",""),"-","")," ",""),4,6),SUBSTITUTE(SUBSTITUTE(SUBSTITUTE(SUBSTITUTE(TRIM(B85),"*",""),".",""),"-","")," ","")))</f>
        <v/>
      </c>
      <c r="E85" s="31" t="str">
        <f aca="false">IF(OR(C85="",D85=""),"",C85&amp;"|"&amp;D85)</f>
        <v/>
      </c>
      <c r="F85" s="11"/>
      <c r="G85" s="11"/>
      <c r="H85" s="22"/>
      <c r="I85" s="23"/>
      <c r="J85" s="11"/>
      <c r="K85" s="25" t="str">
        <f aca="false">IF(C85="","",IF(E85&lt;&gt;"",COUNTIF(Socios!$H:$H,E85),IF(COUNTIF(Socios!$F:$F,C85)&gt;0,"nome igual em Socios: confira o CPF","sem CPF: não cruzado")))</f>
        <v/>
      </c>
      <c r="L85" s="27" t="str">
        <f aca="false">IF(E85="","",COUNTIFS(Eleitoral!$K:$K,E85,Eleitoral!$E:$E,"Doação recebida"))</f>
        <v/>
      </c>
      <c r="M85" s="24"/>
      <c r="N85" s="11"/>
    </row>
    <row r="86" customFormat="false" ht="15" hidden="false" customHeight="false" outlineLevel="0" collapsed="false">
      <c r="A86" s="23"/>
      <c r="B86" s="24"/>
      <c r="C86" s="31" t="str">
        <f aca="false">IF(A86="","",SUBSTITUTE(SUBSTITUTE(SUBSTITUTE(SUBSTITUTE(SUBSTITUTE(SUBSTITUTE(SUBSTITUTE(SUBSTITUTE(SUBSTITUTE(SUBSTITUTE(SUBSTITUTE(SUBSTITUTE(SUBSTITUTE(UPPER(TRIM(A86)),"Á","A"),"À","A"),"Â","A"),"Ã","A"),"É","E"),"Ê","E"),"Í","I"),"Ó","O"),"Ô","O"),"Õ","O"),"Ú","U"),"Ü","U"),"Ç","C"))</f>
        <v/>
      </c>
      <c r="D86" s="31" t="str">
        <f aca="false">IF(B86="","",IF(LEN(SUBSTITUTE(SUBSTITUTE(SUBSTITUTE(SUBSTITUTE(TRIM(B86),"*",""),".",""),"-","")," ",""))=11,MID(SUBSTITUTE(SUBSTITUTE(SUBSTITUTE(SUBSTITUTE(TRIM(B86),"*",""),".",""),"-","")," ",""),4,6),SUBSTITUTE(SUBSTITUTE(SUBSTITUTE(SUBSTITUTE(TRIM(B86),"*",""),".",""),"-","")," ","")))</f>
        <v/>
      </c>
      <c r="E86" s="31" t="str">
        <f aca="false">IF(OR(C86="",D86=""),"",C86&amp;"|"&amp;D86)</f>
        <v/>
      </c>
      <c r="F86" s="11"/>
      <c r="G86" s="11"/>
      <c r="H86" s="22"/>
      <c r="I86" s="23"/>
      <c r="J86" s="11"/>
      <c r="K86" s="25" t="str">
        <f aca="false">IF(C86="","",IF(E86&lt;&gt;"",COUNTIF(Socios!$H:$H,E86),IF(COUNTIF(Socios!$F:$F,C86)&gt;0,"nome igual em Socios: confira o CPF","sem CPF: não cruzado")))</f>
        <v/>
      </c>
      <c r="L86" s="27" t="str">
        <f aca="false">IF(E86="","",COUNTIFS(Eleitoral!$K:$K,E86,Eleitoral!$E:$E,"Doação recebida"))</f>
        <v/>
      </c>
      <c r="M86" s="24"/>
      <c r="N86" s="11"/>
    </row>
    <row r="87" customFormat="false" ht="15" hidden="false" customHeight="false" outlineLevel="0" collapsed="false">
      <c r="A87" s="23"/>
      <c r="B87" s="24"/>
      <c r="C87" s="31" t="str">
        <f aca="false">IF(A87="","",SUBSTITUTE(SUBSTITUTE(SUBSTITUTE(SUBSTITUTE(SUBSTITUTE(SUBSTITUTE(SUBSTITUTE(SUBSTITUTE(SUBSTITUTE(SUBSTITUTE(SUBSTITUTE(SUBSTITUTE(SUBSTITUTE(UPPER(TRIM(A87)),"Á","A"),"À","A"),"Â","A"),"Ã","A"),"É","E"),"Ê","E"),"Í","I"),"Ó","O"),"Ô","O"),"Õ","O"),"Ú","U"),"Ü","U"),"Ç","C"))</f>
        <v/>
      </c>
      <c r="D87" s="31" t="str">
        <f aca="false">IF(B87="","",IF(LEN(SUBSTITUTE(SUBSTITUTE(SUBSTITUTE(SUBSTITUTE(TRIM(B87),"*",""),".",""),"-","")," ",""))=11,MID(SUBSTITUTE(SUBSTITUTE(SUBSTITUTE(SUBSTITUTE(TRIM(B87),"*",""),".",""),"-","")," ",""),4,6),SUBSTITUTE(SUBSTITUTE(SUBSTITUTE(SUBSTITUTE(TRIM(B87),"*",""),".",""),"-","")," ","")))</f>
        <v/>
      </c>
      <c r="E87" s="31" t="str">
        <f aca="false">IF(OR(C87="",D87=""),"",C87&amp;"|"&amp;D87)</f>
        <v/>
      </c>
      <c r="F87" s="11"/>
      <c r="G87" s="11"/>
      <c r="H87" s="22"/>
      <c r="I87" s="23"/>
      <c r="J87" s="11"/>
      <c r="K87" s="25" t="str">
        <f aca="false">IF(C87="","",IF(E87&lt;&gt;"",COUNTIF(Socios!$H:$H,E87),IF(COUNTIF(Socios!$F:$F,C87)&gt;0,"nome igual em Socios: confira o CPF","sem CPF: não cruzado")))</f>
        <v/>
      </c>
      <c r="L87" s="27" t="str">
        <f aca="false">IF(E87="","",COUNTIFS(Eleitoral!$K:$K,E87,Eleitoral!$E:$E,"Doação recebida"))</f>
        <v/>
      </c>
      <c r="M87" s="24"/>
      <c r="N87" s="11"/>
    </row>
    <row r="88" customFormat="false" ht="15" hidden="false" customHeight="false" outlineLevel="0" collapsed="false">
      <c r="A88" s="23"/>
      <c r="B88" s="24"/>
      <c r="C88" s="31" t="str">
        <f aca="false">IF(A88="","",SUBSTITUTE(SUBSTITUTE(SUBSTITUTE(SUBSTITUTE(SUBSTITUTE(SUBSTITUTE(SUBSTITUTE(SUBSTITUTE(SUBSTITUTE(SUBSTITUTE(SUBSTITUTE(SUBSTITUTE(SUBSTITUTE(UPPER(TRIM(A88)),"Á","A"),"À","A"),"Â","A"),"Ã","A"),"É","E"),"Ê","E"),"Í","I"),"Ó","O"),"Ô","O"),"Õ","O"),"Ú","U"),"Ü","U"),"Ç","C"))</f>
        <v/>
      </c>
      <c r="D88" s="31" t="str">
        <f aca="false">IF(B88="","",IF(LEN(SUBSTITUTE(SUBSTITUTE(SUBSTITUTE(SUBSTITUTE(TRIM(B88),"*",""),".",""),"-","")," ",""))=11,MID(SUBSTITUTE(SUBSTITUTE(SUBSTITUTE(SUBSTITUTE(TRIM(B88),"*",""),".",""),"-","")," ",""),4,6),SUBSTITUTE(SUBSTITUTE(SUBSTITUTE(SUBSTITUTE(TRIM(B88),"*",""),".",""),"-","")," ","")))</f>
        <v/>
      </c>
      <c r="E88" s="31" t="str">
        <f aca="false">IF(OR(C88="",D88=""),"",C88&amp;"|"&amp;D88)</f>
        <v/>
      </c>
      <c r="F88" s="11"/>
      <c r="G88" s="11"/>
      <c r="H88" s="22"/>
      <c r="I88" s="23"/>
      <c r="J88" s="11"/>
      <c r="K88" s="25" t="str">
        <f aca="false">IF(C88="","",IF(E88&lt;&gt;"",COUNTIF(Socios!$H:$H,E88),IF(COUNTIF(Socios!$F:$F,C88)&gt;0,"nome igual em Socios: confira o CPF","sem CPF: não cruzado")))</f>
        <v/>
      </c>
      <c r="L88" s="27" t="str">
        <f aca="false">IF(E88="","",COUNTIFS(Eleitoral!$K:$K,E88,Eleitoral!$E:$E,"Doação recebida"))</f>
        <v/>
      </c>
      <c r="M88" s="24"/>
      <c r="N88" s="11"/>
    </row>
    <row r="89" customFormat="false" ht="15" hidden="false" customHeight="false" outlineLevel="0" collapsed="false">
      <c r="A89" s="23"/>
      <c r="B89" s="24"/>
      <c r="C89" s="31" t="str">
        <f aca="false">IF(A89="","",SUBSTITUTE(SUBSTITUTE(SUBSTITUTE(SUBSTITUTE(SUBSTITUTE(SUBSTITUTE(SUBSTITUTE(SUBSTITUTE(SUBSTITUTE(SUBSTITUTE(SUBSTITUTE(SUBSTITUTE(SUBSTITUTE(UPPER(TRIM(A89)),"Á","A"),"À","A"),"Â","A"),"Ã","A"),"É","E"),"Ê","E"),"Í","I"),"Ó","O"),"Ô","O"),"Õ","O"),"Ú","U"),"Ü","U"),"Ç","C"))</f>
        <v/>
      </c>
      <c r="D89" s="31" t="str">
        <f aca="false">IF(B89="","",IF(LEN(SUBSTITUTE(SUBSTITUTE(SUBSTITUTE(SUBSTITUTE(TRIM(B89),"*",""),".",""),"-","")," ",""))=11,MID(SUBSTITUTE(SUBSTITUTE(SUBSTITUTE(SUBSTITUTE(TRIM(B89),"*",""),".",""),"-","")," ",""),4,6),SUBSTITUTE(SUBSTITUTE(SUBSTITUTE(SUBSTITUTE(TRIM(B89),"*",""),".",""),"-","")," ","")))</f>
        <v/>
      </c>
      <c r="E89" s="31" t="str">
        <f aca="false">IF(OR(C89="",D89=""),"",C89&amp;"|"&amp;D89)</f>
        <v/>
      </c>
      <c r="F89" s="11"/>
      <c r="G89" s="11"/>
      <c r="H89" s="22"/>
      <c r="I89" s="23"/>
      <c r="J89" s="11"/>
      <c r="K89" s="25" t="str">
        <f aca="false">IF(C89="","",IF(E89&lt;&gt;"",COUNTIF(Socios!$H:$H,E89),IF(COUNTIF(Socios!$F:$F,C89)&gt;0,"nome igual em Socios: confira o CPF","sem CPF: não cruzado")))</f>
        <v/>
      </c>
      <c r="L89" s="27" t="str">
        <f aca="false">IF(E89="","",COUNTIFS(Eleitoral!$K:$K,E89,Eleitoral!$E:$E,"Doação recebida"))</f>
        <v/>
      </c>
      <c r="M89" s="24"/>
      <c r="N89" s="11"/>
    </row>
    <row r="90" customFormat="false" ht="15" hidden="false" customHeight="false" outlineLevel="0" collapsed="false">
      <c r="A90" s="23"/>
      <c r="B90" s="24"/>
      <c r="C90" s="31" t="str">
        <f aca="false">IF(A90="","",SUBSTITUTE(SUBSTITUTE(SUBSTITUTE(SUBSTITUTE(SUBSTITUTE(SUBSTITUTE(SUBSTITUTE(SUBSTITUTE(SUBSTITUTE(SUBSTITUTE(SUBSTITUTE(SUBSTITUTE(SUBSTITUTE(UPPER(TRIM(A90)),"Á","A"),"À","A"),"Â","A"),"Ã","A"),"É","E"),"Ê","E"),"Í","I"),"Ó","O"),"Ô","O"),"Õ","O"),"Ú","U"),"Ü","U"),"Ç","C"))</f>
        <v/>
      </c>
      <c r="D90" s="31" t="str">
        <f aca="false">IF(B90="","",IF(LEN(SUBSTITUTE(SUBSTITUTE(SUBSTITUTE(SUBSTITUTE(TRIM(B90),"*",""),".",""),"-","")," ",""))=11,MID(SUBSTITUTE(SUBSTITUTE(SUBSTITUTE(SUBSTITUTE(TRIM(B90),"*",""),".",""),"-","")," ",""),4,6),SUBSTITUTE(SUBSTITUTE(SUBSTITUTE(SUBSTITUTE(TRIM(B90),"*",""),".",""),"-","")," ","")))</f>
        <v/>
      </c>
      <c r="E90" s="31" t="str">
        <f aca="false">IF(OR(C90="",D90=""),"",C90&amp;"|"&amp;D90)</f>
        <v/>
      </c>
      <c r="F90" s="11"/>
      <c r="G90" s="11"/>
      <c r="H90" s="22"/>
      <c r="I90" s="23"/>
      <c r="J90" s="11"/>
      <c r="K90" s="25" t="str">
        <f aca="false">IF(C90="","",IF(E90&lt;&gt;"",COUNTIF(Socios!$H:$H,E90),IF(COUNTIF(Socios!$F:$F,C90)&gt;0,"nome igual em Socios: confira o CPF","sem CPF: não cruzado")))</f>
        <v/>
      </c>
      <c r="L90" s="27" t="str">
        <f aca="false">IF(E90="","",COUNTIFS(Eleitoral!$K:$K,E90,Eleitoral!$E:$E,"Doação recebida"))</f>
        <v/>
      </c>
      <c r="M90" s="24"/>
      <c r="N90" s="11"/>
    </row>
    <row r="91" customFormat="false" ht="15" hidden="false" customHeight="false" outlineLevel="0" collapsed="false">
      <c r="A91" s="23"/>
      <c r="B91" s="24"/>
      <c r="C91" s="31" t="str">
        <f aca="false">IF(A91="","",SUBSTITUTE(SUBSTITUTE(SUBSTITUTE(SUBSTITUTE(SUBSTITUTE(SUBSTITUTE(SUBSTITUTE(SUBSTITUTE(SUBSTITUTE(SUBSTITUTE(SUBSTITUTE(SUBSTITUTE(SUBSTITUTE(UPPER(TRIM(A91)),"Á","A"),"À","A"),"Â","A"),"Ã","A"),"É","E"),"Ê","E"),"Í","I"),"Ó","O"),"Ô","O"),"Õ","O"),"Ú","U"),"Ü","U"),"Ç","C"))</f>
        <v/>
      </c>
      <c r="D91" s="31" t="str">
        <f aca="false">IF(B91="","",IF(LEN(SUBSTITUTE(SUBSTITUTE(SUBSTITUTE(SUBSTITUTE(TRIM(B91),"*",""),".",""),"-","")," ",""))=11,MID(SUBSTITUTE(SUBSTITUTE(SUBSTITUTE(SUBSTITUTE(TRIM(B91),"*",""),".",""),"-","")," ",""),4,6),SUBSTITUTE(SUBSTITUTE(SUBSTITUTE(SUBSTITUTE(TRIM(B91),"*",""),".",""),"-","")," ","")))</f>
        <v/>
      </c>
      <c r="E91" s="31" t="str">
        <f aca="false">IF(OR(C91="",D91=""),"",C91&amp;"|"&amp;D91)</f>
        <v/>
      </c>
      <c r="F91" s="11"/>
      <c r="G91" s="11"/>
      <c r="H91" s="22"/>
      <c r="I91" s="23"/>
      <c r="J91" s="11"/>
      <c r="K91" s="25" t="str">
        <f aca="false">IF(C91="","",IF(E91&lt;&gt;"",COUNTIF(Socios!$H:$H,E91),IF(COUNTIF(Socios!$F:$F,C91)&gt;0,"nome igual em Socios: confira o CPF","sem CPF: não cruzado")))</f>
        <v/>
      </c>
      <c r="L91" s="27" t="str">
        <f aca="false">IF(E91="","",COUNTIFS(Eleitoral!$K:$K,E91,Eleitoral!$E:$E,"Doação recebida"))</f>
        <v/>
      </c>
      <c r="M91" s="24"/>
      <c r="N91" s="11"/>
    </row>
    <row r="92" customFormat="false" ht="15" hidden="false" customHeight="false" outlineLevel="0" collapsed="false">
      <c r="A92" s="23"/>
      <c r="B92" s="24"/>
      <c r="C92" s="31" t="str">
        <f aca="false">IF(A92="","",SUBSTITUTE(SUBSTITUTE(SUBSTITUTE(SUBSTITUTE(SUBSTITUTE(SUBSTITUTE(SUBSTITUTE(SUBSTITUTE(SUBSTITUTE(SUBSTITUTE(SUBSTITUTE(SUBSTITUTE(SUBSTITUTE(UPPER(TRIM(A92)),"Á","A"),"À","A"),"Â","A"),"Ã","A"),"É","E"),"Ê","E"),"Í","I"),"Ó","O"),"Ô","O"),"Õ","O"),"Ú","U"),"Ü","U"),"Ç","C"))</f>
        <v/>
      </c>
      <c r="D92" s="31" t="str">
        <f aca="false">IF(B92="","",IF(LEN(SUBSTITUTE(SUBSTITUTE(SUBSTITUTE(SUBSTITUTE(TRIM(B92),"*",""),".",""),"-","")," ",""))=11,MID(SUBSTITUTE(SUBSTITUTE(SUBSTITUTE(SUBSTITUTE(TRIM(B92),"*",""),".",""),"-","")," ",""),4,6),SUBSTITUTE(SUBSTITUTE(SUBSTITUTE(SUBSTITUTE(TRIM(B92),"*",""),".",""),"-","")," ","")))</f>
        <v/>
      </c>
      <c r="E92" s="31" t="str">
        <f aca="false">IF(OR(C92="",D92=""),"",C92&amp;"|"&amp;D92)</f>
        <v/>
      </c>
      <c r="F92" s="11"/>
      <c r="G92" s="11"/>
      <c r="H92" s="22"/>
      <c r="I92" s="23"/>
      <c r="J92" s="11"/>
      <c r="K92" s="25" t="str">
        <f aca="false">IF(C92="","",IF(E92&lt;&gt;"",COUNTIF(Socios!$H:$H,E92),IF(COUNTIF(Socios!$F:$F,C92)&gt;0,"nome igual em Socios: confira o CPF","sem CPF: não cruzado")))</f>
        <v/>
      </c>
      <c r="L92" s="27" t="str">
        <f aca="false">IF(E92="","",COUNTIFS(Eleitoral!$K:$K,E92,Eleitoral!$E:$E,"Doação recebida"))</f>
        <v/>
      </c>
      <c r="M92" s="24"/>
      <c r="N92" s="11"/>
    </row>
    <row r="93" customFormat="false" ht="15" hidden="false" customHeight="false" outlineLevel="0" collapsed="false">
      <c r="A93" s="23"/>
      <c r="B93" s="24"/>
      <c r="C93" s="31" t="str">
        <f aca="false">IF(A93="","",SUBSTITUTE(SUBSTITUTE(SUBSTITUTE(SUBSTITUTE(SUBSTITUTE(SUBSTITUTE(SUBSTITUTE(SUBSTITUTE(SUBSTITUTE(SUBSTITUTE(SUBSTITUTE(SUBSTITUTE(SUBSTITUTE(UPPER(TRIM(A93)),"Á","A"),"À","A"),"Â","A"),"Ã","A"),"É","E"),"Ê","E"),"Í","I"),"Ó","O"),"Ô","O"),"Õ","O"),"Ú","U"),"Ü","U"),"Ç","C"))</f>
        <v/>
      </c>
      <c r="D93" s="31" t="str">
        <f aca="false">IF(B93="","",IF(LEN(SUBSTITUTE(SUBSTITUTE(SUBSTITUTE(SUBSTITUTE(TRIM(B93),"*",""),".",""),"-","")," ",""))=11,MID(SUBSTITUTE(SUBSTITUTE(SUBSTITUTE(SUBSTITUTE(TRIM(B93),"*",""),".",""),"-","")," ",""),4,6),SUBSTITUTE(SUBSTITUTE(SUBSTITUTE(SUBSTITUTE(TRIM(B93),"*",""),".",""),"-","")," ","")))</f>
        <v/>
      </c>
      <c r="E93" s="31" t="str">
        <f aca="false">IF(OR(C93="",D93=""),"",C93&amp;"|"&amp;D93)</f>
        <v/>
      </c>
      <c r="F93" s="11"/>
      <c r="G93" s="11"/>
      <c r="H93" s="22"/>
      <c r="I93" s="23"/>
      <c r="J93" s="11"/>
      <c r="K93" s="25" t="str">
        <f aca="false">IF(C93="","",IF(E93&lt;&gt;"",COUNTIF(Socios!$H:$H,E93),IF(COUNTIF(Socios!$F:$F,C93)&gt;0,"nome igual em Socios: confira o CPF","sem CPF: não cruzado")))</f>
        <v/>
      </c>
      <c r="L93" s="27" t="str">
        <f aca="false">IF(E93="","",COUNTIFS(Eleitoral!$K:$K,E93,Eleitoral!$E:$E,"Doação recebida"))</f>
        <v/>
      </c>
      <c r="M93" s="24"/>
      <c r="N93" s="11"/>
    </row>
    <row r="94" customFormat="false" ht="15" hidden="false" customHeight="false" outlineLevel="0" collapsed="false">
      <c r="A94" s="23"/>
      <c r="B94" s="24"/>
      <c r="C94" s="31" t="str">
        <f aca="false">IF(A94="","",SUBSTITUTE(SUBSTITUTE(SUBSTITUTE(SUBSTITUTE(SUBSTITUTE(SUBSTITUTE(SUBSTITUTE(SUBSTITUTE(SUBSTITUTE(SUBSTITUTE(SUBSTITUTE(SUBSTITUTE(SUBSTITUTE(UPPER(TRIM(A94)),"Á","A"),"À","A"),"Â","A"),"Ã","A"),"É","E"),"Ê","E"),"Í","I"),"Ó","O"),"Ô","O"),"Õ","O"),"Ú","U"),"Ü","U"),"Ç","C"))</f>
        <v/>
      </c>
      <c r="D94" s="31" t="str">
        <f aca="false">IF(B94="","",IF(LEN(SUBSTITUTE(SUBSTITUTE(SUBSTITUTE(SUBSTITUTE(TRIM(B94),"*",""),".",""),"-","")," ",""))=11,MID(SUBSTITUTE(SUBSTITUTE(SUBSTITUTE(SUBSTITUTE(TRIM(B94),"*",""),".",""),"-","")," ",""),4,6),SUBSTITUTE(SUBSTITUTE(SUBSTITUTE(SUBSTITUTE(TRIM(B94),"*",""),".",""),"-","")," ","")))</f>
        <v/>
      </c>
      <c r="E94" s="31" t="str">
        <f aca="false">IF(OR(C94="",D94=""),"",C94&amp;"|"&amp;D94)</f>
        <v/>
      </c>
      <c r="F94" s="11"/>
      <c r="G94" s="11"/>
      <c r="H94" s="22"/>
      <c r="I94" s="23"/>
      <c r="J94" s="11"/>
      <c r="K94" s="25" t="str">
        <f aca="false">IF(C94="","",IF(E94&lt;&gt;"",COUNTIF(Socios!$H:$H,E94),IF(COUNTIF(Socios!$F:$F,C94)&gt;0,"nome igual em Socios: confira o CPF","sem CPF: não cruzado")))</f>
        <v/>
      </c>
      <c r="L94" s="27" t="str">
        <f aca="false">IF(E94="","",COUNTIFS(Eleitoral!$K:$K,E94,Eleitoral!$E:$E,"Doação recebida"))</f>
        <v/>
      </c>
      <c r="M94" s="24"/>
      <c r="N94" s="11"/>
    </row>
    <row r="95" customFormat="false" ht="15" hidden="false" customHeight="false" outlineLevel="0" collapsed="false">
      <c r="A95" s="23"/>
      <c r="B95" s="24"/>
      <c r="C95" s="31" t="str">
        <f aca="false">IF(A95="","",SUBSTITUTE(SUBSTITUTE(SUBSTITUTE(SUBSTITUTE(SUBSTITUTE(SUBSTITUTE(SUBSTITUTE(SUBSTITUTE(SUBSTITUTE(SUBSTITUTE(SUBSTITUTE(SUBSTITUTE(SUBSTITUTE(UPPER(TRIM(A95)),"Á","A"),"À","A"),"Â","A"),"Ã","A"),"É","E"),"Ê","E"),"Í","I"),"Ó","O"),"Ô","O"),"Õ","O"),"Ú","U"),"Ü","U"),"Ç","C"))</f>
        <v/>
      </c>
      <c r="D95" s="31" t="str">
        <f aca="false">IF(B95="","",IF(LEN(SUBSTITUTE(SUBSTITUTE(SUBSTITUTE(SUBSTITUTE(TRIM(B95),"*",""),".",""),"-","")," ",""))=11,MID(SUBSTITUTE(SUBSTITUTE(SUBSTITUTE(SUBSTITUTE(TRIM(B95),"*",""),".",""),"-","")," ",""),4,6),SUBSTITUTE(SUBSTITUTE(SUBSTITUTE(SUBSTITUTE(TRIM(B95),"*",""),".",""),"-","")," ","")))</f>
        <v/>
      </c>
      <c r="E95" s="31" t="str">
        <f aca="false">IF(OR(C95="",D95=""),"",C95&amp;"|"&amp;D95)</f>
        <v/>
      </c>
      <c r="F95" s="11"/>
      <c r="G95" s="11"/>
      <c r="H95" s="22"/>
      <c r="I95" s="23"/>
      <c r="J95" s="11"/>
      <c r="K95" s="25" t="str">
        <f aca="false">IF(C95="","",IF(E95&lt;&gt;"",COUNTIF(Socios!$H:$H,E95),IF(COUNTIF(Socios!$F:$F,C95)&gt;0,"nome igual em Socios: confira o CPF","sem CPF: não cruzado")))</f>
        <v/>
      </c>
      <c r="L95" s="27" t="str">
        <f aca="false">IF(E95="","",COUNTIFS(Eleitoral!$K:$K,E95,Eleitoral!$E:$E,"Doação recebida"))</f>
        <v/>
      </c>
      <c r="M95" s="24"/>
      <c r="N95" s="11"/>
    </row>
    <row r="96" customFormat="false" ht="15" hidden="false" customHeight="false" outlineLevel="0" collapsed="false">
      <c r="A96" s="23"/>
      <c r="B96" s="24"/>
      <c r="C96" s="31" t="str">
        <f aca="false">IF(A96="","",SUBSTITUTE(SUBSTITUTE(SUBSTITUTE(SUBSTITUTE(SUBSTITUTE(SUBSTITUTE(SUBSTITUTE(SUBSTITUTE(SUBSTITUTE(SUBSTITUTE(SUBSTITUTE(SUBSTITUTE(SUBSTITUTE(UPPER(TRIM(A96)),"Á","A"),"À","A"),"Â","A"),"Ã","A"),"É","E"),"Ê","E"),"Í","I"),"Ó","O"),"Ô","O"),"Õ","O"),"Ú","U"),"Ü","U"),"Ç","C"))</f>
        <v/>
      </c>
      <c r="D96" s="31" t="str">
        <f aca="false">IF(B96="","",IF(LEN(SUBSTITUTE(SUBSTITUTE(SUBSTITUTE(SUBSTITUTE(TRIM(B96),"*",""),".",""),"-","")," ",""))=11,MID(SUBSTITUTE(SUBSTITUTE(SUBSTITUTE(SUBSTITUTE(TRIM(B96),"*",""),".",""),"-","")," ",""),4,6),SUBSTITUTE(SUBSTITUTE(SUBSTITUTE(SUBSTITUTE(TRIM(B96),"*",""),".",""),"-","")," ","")))</f>
        <v/>
      </c>
      <c r="E96" s="31" t="str">
        <f aca="false">IF(OR(C96="",D96=""),"",C96&amp;"|"&amp;D96)</f>
        <v/>
      </c>
      <c r="F96" s="11"/>
      <c r="G96" s="11"/>
      <c r="H96" s="22"/>
      <c r="I96" s="23"/>
      <c r="J96" s="11"/>
      <c r="K96" s="25" t="str">
        <f aca="false">IF(C96="","",IF(E96&lt;&gt;"",COUNTIF(Socios!$H:$H,E96),IF(COUNTIF(Socios!$F:$F,C96)&gt;0,"nome igual em Socios: confira o CPF","sem CPF: não cruzado")))</f>
        <v/>
      </c>
      <c r="L96" s="27" t="str">
        <f aca="false">IF(E96="","",COUNTIFS(Eleitoral!$K:$K,E96,Eleitoral!$E:$E,"Doação recebida"))</f>
        <v/>
      </c>
      <c r="M96" s="24"/>
      <c r="N96" s="11"/>
    </row>
    <row r="97" customFormat="false" ht="15" hidden="false" customHeight="false" outlineLevel="0" collapsed="false">
      <c r="A97" s="23"/>
      <c r="B97" s="24"/>
      <c r="C97" s="31" t="str">
        <f aca="false">IF(A97="","",SUBSTITUTE(SUBSTITUTE(SUBSTITUTE(SUBSTITUTE(SUBSTITUTE(SUBSTITUTE(SUBSTITUTE(SUBSTITUTE(SUBSTITUTE(SUBSTITUTE(SUBSTITUTE(SUBSTITUTE(SUBSTITUTE(UPPER(TRIM(A97)),"Á","A"),"À","A"),"Â","A"),"Ã","A"),"É","E"),"Ê","E"),"Í","I"),"Ó","O"),"Ô","O"),"Õ","O"),"Ú","U"),"Ü","U"),"Ç","C"))</f>
        <v/>
      </c>
      <c r="D97" s="31" t="str">
        <f aca="false">IF(B97="","",IF(LEN(SUBSTITUTE(SUBSTITUTE(SUBSTITUTE(SUBSTITUTE(TRIM(B97),"*",""),".",""),"-","")," ",""))=11,MID(SUBSTITUTE(SUBSTITUTE(SUBSTITUTE(SUBSTITUTE(TRIM(B97),"*",""),".",""),"-","")," ",""),4,6),SUBSTITUTE(SUBSTITUTE(SUBSTITUTE(SUBSTITUTE(TRIM(B97),"*",""),".",""),"-","")," ","")))</f>
        <v/>
      </c>
      <c r="E97" s="31" t="str">
        <f aca="false">IF(OR(C97="",D97=""),"",C97&amp;"|"&amp;D97)</f>
        <v/>
      </c>
      <c r="F97" s="11"/>
      <c r="G97" s="11"/>
      <c r="H97" s="22"/>
      <c r="I97" s="23"/>
      <c r="J97" s="11"/>
      <c r="K97" s="25" t="str">
        <f aca="false">IF(C97="","",IF(E97&lt;&gt;"",COUNTIF(Socios!$H:$H,E97),IF(COUNTIF(Socios!$F:$F,C97)&gt;0,"nome igual em Socios: confira o CPF","sem CPF: não cruzado")))</f>
        <v/>
      </c>
      <c r="L97" s="27" t="str">
        <f aca="false">IF(E97="","",COUNTIFS(Eleitoral!$K:$K,E97,Eleitoral!$E:$E,"Doação recebida"))</f>
        <v/>
      </c>
      <c r="M97" s="24"/>
      <c r="N97" s="11"/>
    </row>
    <row r="98" customFormat="false" ht="15" hidden="false" customHeight="false" outlineLevel="0" collapsed="false">
      <c r="A98" s="23"/>
      <c r="B98" s="24"/>
      <c r="C98" s="31" t="str">
        <f aca="false">IF(A98="","",SUBSTITUTE(SUBSTITUTE(SUBSTITUTE(SUBSTITUTE(SUBSTITUTE(SUBSTITUTE(SUBSTITUTE(SUBSTITUTE(SUBSTITUTE(SUBSTITUTE(SUBSTITUTE(SUBSTITUTE(SUBSTITUTE(UPPER(TRIM(A98)),"Á","A"),"À","A"),"Â","A"),"Ã","A"),"É","E"),"Ê","E"),"Í","I"),"Ó","O"),"Ô","O"),"Õ","O"),"Ú","U"),"Ü","U"),"Ç","C"))</f>
        <v/>
      </c>
      <c r="D98" s="31" t="str">
        <f aca="false">IF(B98="","",IF(LEN(SUBSTITUTE(SUBSTITUTE(SUBSTITUTE(SUBSTITUTE(TRIM(B98),"*",""),".",""),"-","")," ",""))=11,MID(SUBSTITUTE(SUBSTITUTE(SUBSTITUTE(SUBSTITUTE(TRIM(B98),"*",""),".",""),"-","")," ",""),4,6),SUBSTITUTE(SUBSTITUTE(SUBSTITUTE(SUBSTITUTE(TRIM(B98),"*",""),".",""),"-","")," ","")))</f>
        <v/>
      </c>
      <c r="E98" s="31" t="str">
        <f aca="false">IF(OR(C98="",D98=""),"",C98&amp;"|"&amp;D98)</f>
        <v/>
      </c>
      <c r="F98" s="11"/>
      <c r="G98" s="11"/>
      <c r="H98" s="22"/>
      <c r="I98" s="23"/>
      <c r="J98" s="11"/>
      <c r="K98" s="25" t="str">
        <f aca="false">IF(C98="","",IF(E98&lt;&gt;"",COUNTIF(Socios!$H:$H,E98),IF(COUNTIF(Socios!$F:$F,C98)&gt;0,"nome igual em Socios: confira o CPF","sem CPF: não cruzado")))</f>
        <v/>
      </c>
      <c r="L98" s="27" t="str">
        <f aca="false">IF(E98="","",COUNTIFS(Eleitoral!$K:$K,E98,Eleitoral!$E:$E,"Doação recebida"))</f>
        <v/>
      </c>
      <c r="M98" s="24"/>
      <c r="N98" s="11"/>
    </row>
    <row r="99" customFormat="false" ht="15" hidden="false" customHeight="false" outlineLevel="0" collapsed="false">
      <c r="A99" s="23"/>
      <c r="B99" s="24"/>
      <c r="C99" s="31" t="str">
        <f aca="false">IF(A99="","",SUBSTITUTE(SUBSTITUTE(SUBSTITUTE(SUBSTITUTE(SUBSTITUTE(SUBSTITUTE(SUBSTITUTE(SUBSTITUTE(SUBSTITUTE(SUBSTITUTE(SUBSTITUTE(SUBSTITUTE(SUBSTITUTE(UPPER(TRIM(A99)),"Á","A"),"À","A"),"Â","A"),"Ã","A"),"É","E"),"Ê","E"),"Í","I"),"Ó","O"),"Ô","O"),"Õ","O"),"Ú","U"),"Ü","U"),"Ç","C"))</f>
        <v/>
      </c>
      <c r="D99" s="31" t="str">
        <f aca="false">IF(B99="","",IF(LEN(SUBSTITUTE(SUBSTITUTE(SUBSTITUTE(SUBSTITUTE(TRIM(B99),"*",""),".",""),"-","")," ",""))=11,MID(SUBSTITUTE(SUBSTITUTE(SUBSTITUTE(SUBSTITUTE(TRIM(B99),"*",""),".",""),"-","")," ",""),4,6),SUBSTITUTE(SUBSTITUTE(SUBSTITUTE(SUBSTITUTE(TRIM(B99),"*",""),".",""),"-","")," ","")))</f>
        <v/>
      </c>
      <c r="E99" s="31" t="str">
        <f aca="false">IF(OR(C99="",D99=""),"",C99&amp;"|"&amp;D99)</f>
        <v/>
      </c>
      <c r="F99" s="11"/>
      <c r="G99" s="11"/>
      <c r="H99" s="22"/>
      <c r="I99" s="23"/>
      <c r="J99" s="11"/>
      <c r="K99" s="25" t="str">
        <f aca="false">IF(C99="","",IF(E99&lt;&gt;"",COUNTIF(Socios!$H:$H,E99),IF(COUNTIF(Socios!$F:$F,C99)&gt;0,"nome igual em Socios: confira o CPF","sem CPF: não cruzado")))</f>
        <v/>
      </c>
      <c r="L99" s="27" t="str">
        <f aca="false">IF(E99="","",COUNTIFS(Eleitoral!$K:$K,E99,Eleitoral!$E:$E,"Doação recebida"))</f>
        <v/>
      </c>
      <c r="M99" s="24"/>
      <c r="N99" s="11"/>
    </row>
    <row r="100" customFormat="false" ht="15" hidden="false" customHeight="false" outlineLevel="0" collapsed="false">
      <c r="A100" s="23"/>
      <c r="B100" s="24"/>
      <c r="C100" s="31" t="str">
        <f aca="false">IF(A100="","",SUBSTITUTE(SUBSTITUTE(SUBSTITUTE(SUBSTITUTE(SUBSTITUTE(SUBSTITUTE(SUBSTITUTE(SUBSTITUTE(SUBSTITUTE(SUBSTITUTE(SUBSTITUTE(SUBSTITUTE(SUBSTITUTE(UPPER(TRIM(A100)),"Á","A"),"À","A"),"Â","A"),"Ã","A"),"É","E"),"Ê","E"),"Í","I"),"Ó","O"),"Ô","O"),"Õ","O"),"Ú","U"),"Ü","U"),"Ç","C"))</f>
        <v/>
      </c>
      <c r="D100" s="31" t="str">
        <f aca="false">IF(B100="","",IF(LEN(SUBSTITUTE(SUBSTITUTE(SUBSTITUTE(SUBSTITUTE(TRIM(B100),"*",""),".",""),"-","")," ",""))=11,MID(SUBSTITUTE(SUBSTITUTE(SUBSTITUTE(SUBSTITUTE(TRIM(B100),"*",""),".",""),"-","")," ",""),4,6),SUBSTITUTE(SUBSTITUTE(SUBSTITUTE(SUBSTITUTE(TRIM(B100),"*",""),".",""),"-","")," ","")))</f>
        <v/>
      </c>
      <c r="E100" s="31" t="str">
        <f aca="false">IF(OR(C100="",D100=""),"",C100&amp;"|"&amp;D100)</f>
        <v/>
      </c>
      <c r="F100" s="11"/>
      <c r="G100" s="11"/>
      <c r="H100" s="22"/>
      <c r="I100" s="23"/>
      <c r="J100" s="11"/>
      <c r="K100" s="25" t="str">
        <f aca="false">IF(C100="","",IF(E100&lt;&gt;"",COUNTIF(Socios!$H:$H,E100),IF(COUNTIF(Socios!$F:$F,C100)&gt;0,"nome igual em Socios: confira o CPF","sem CPF: não cruzado")))</f>
        <v/>
      </c>
      <c r="L100" s="27" t="str">
        <f aca="false">IF(E100="","",COUNTIFS(Eleitoral!$K:$K,E100,Eleitoral!$E:$E,"Doação recebida"))</f>
        <v/>
      </c>
      <c r="M100" s="24"/>
      <c r="N100" s="11"/>
    </row>
    <row r="101" customFormat="false" ht="15" hidden="false" customHeight="false" outlineLevel="0" collapsed="false">
      <c r="A101" s="23"/>
      <c r="B101" s="24"/>
      <c r="C101" s="31" t="str">
        <f aca="false">IF(A101="","",SUBSTITUTE(SUBSTITUTE(SUBSTITUTE(SUBSTITUTE(SUBSTITUTE(SUBSTITUTE(SUBSTITUTE(SUBSTITUTE(SUBSTITUTE(SUBSTITUTE(SUBSTITUTE(SUBSTITUTE(SUBSTITUTE(UPPER(TRIM(A101)),"Á","A"),"À","A"),"Â","A"),"Ã","A"),"É","E"),"Ê","E"),"Í","I"),"Ó","O"),"Ô","O"),"Õ","O"),"Ú","U"),"Ü","U"),"Ç","C"))</f>
        <v/>
      </c>
      <c r="D101" s="31" t="str">
        <f aca="false">IF(B101="","",IF(LEN(SUBSTITUTE(SUBSTITUTE(SUBSTITUTE(SUBSTITUTE(TRIM(B101),"*",""),".",""),"-","")," ",""))=11,MID(SUBSTITUTE(SUBSTITUTE(SUBSTITUTE(SUBSTITUTE(TRIM(B101),"*",""),".",""),"-","")," ",""),4,6),SUBSTITUTE(SUBSTITUTE(SUBSTITUTE(SUBSTITUTE(TRIM(B101),"*",""),".",""),"-","")," ","")))</f>
        <v/>
      </c>
      <c r="E101" s="31" t="str">
        <f aca="false">IF(OR(C101="",D101=""),"",C101&amp;"|"&amp;D101)</f>
        <v/>
      </c>
      <c r="F101" s="11"/>
      <c r="G101" s="11"/>
      <c r="H101" s="22"/>
      <c r="I101" s="23"/>
      <c r="J101" s="11"/>
      <c r="K101" s="25" t="str">
        <f aca="false">IF(C101="","",IF(E101&lt;&gt;"",COUNTIF(Socios!$H:$H,E101),IF(COUNTIF(Socios!$F:$F,C101)&gt;0,"nome igual em Socios: confira o CPF","sem CPF: não cruzado")))</f>
        <v/>
      </c>
      <c r="L101" s="27" t="str">
        <f aca="false">IF(E101="","",COUNTIFS(Eleitoral!$K:$K,E101,Eleitoral!$E:$E,"Doação recebida"))</f>
        <v/>
      </c>
      <c r="M101" s="24"/>
      <c r="N101" s="11"/>
    </row>
    <row r="102" customFormat="false" ht="15" hidden="false" customHeight="false" outlineLevel="0" collapsed="false">
      <c r="A102" s="23"/>
      <c r="B102" s="24"/>
      <c r="C102" s="31" t="str">
        <f aca="false">IF(A102="","",SUBSTITUTE(SUBSTITUTE(SUBSTITUTE(SUBSTITUTE(SUBSTITUTE(SUBSTITUTE(SUBSTITUTE(SUBSTITUTE(SUBSTITUTE(SUBSTITUTE(SUBSTITUTE(SUBSTITUTE(SUBSTITUTE(UPPER(TRIM(A102)),"Á","A"),"À","A"),"Â","A"),"Ã","A"),"É","E"),"Ê","E"),"Í","I"),"Ó","O"),"Ô","O"),"Õ","O"),"Ú","U"),"Ü","U"),"Ç","C"))</f>
        <v/>
      </c>
      <c r="D102" s="31" t="str">
        <f aca="false">IF(B102="","",IF(LEN(SUBSTITUTE(SUBSTITUTE(SUBSTITUTE(SUBSTITUTE(TRIM(B102),"*",""),".",""),"-","")," ",""))=11,MID(SUBSTITUTE(SUBSTITUTE(SUBSTITUTE(SUBSTITUTE(TRIM(B102),"*",""),".",""),"-","")," ",""),4,6),SUBSTITUTE(SUBSTITUTE(SUBSTITUTE(SUBSTITUTE(TRIM(B102),"*",""),".",""),"-","")," ","")))</f>
        <v/>
      </c>
      <c r="E102" s="31" t="str">
        <f aca="false">IF(OR(C102="",D102=""),"",C102&amp;"|"&amp;D102)</f>
        <v/>
      </c>
      <c r="F102" s="11"/>
      <c r="G102" s="11"/>
      <c r="H102" s="22"/>
      <c r="I102" s="23"/>
      <c r="J102" s="11"/>
      <c r="K102" s="25" t="str">
        <f aca="false">IF(C102="","",IF(E102&lt;&gt;"",COUNTIF(Socios!$H:$H,E102),IF(COUNTIF(Socios!$F:$F,C102)&gt;0,"nome igual em Socios: confira o CPF","sem CPF: não cruzado")))</f>
        <v/>
      </c>
      <c r="L102" s="27" t="str">
        <f aca="false">IF(E102="","",COUNTIFS(Eleitoral!$K:$K,E102,Eleitoral!$E:$E,"Doação recebida"))</f>
        <v/>
      </c>
      <c r="M102" s="24"/>
      <c r="N102" s="11"/>
    </row>
    <row r="103" customFormat="false" ht="15" hidden="false" customHeight="false" outlineLevel="0" collapsed="false">
      <c r="A103" s="23"/>
      <c r="B103" s="24"/>
      <c r="C103" s="31" t="str">
        <f aca="false">IF(A103="","",SUBSTITUTE(SUBSTITUTE(SUBSTITUTE(SUBSTITUTE(SUBSTITUTE(SUBSTITUTE(SUBSTITUTE(SUBSTITUTE(SUBSTITUTE(SUBSTITUTE(SUBSTITUTE(SUBSTITUTE(SUBSTITUTE(UPPER(TRIM(A103)),"Á","A"),"À","A"),"Â","A"),"Ã","A"),"É","E"),"Ê","E"),"Í","I"),"Ó","O"),"Ô","O"),"Õ","O"),"Ú","U"),"Ü","U"),"Ç","C"))</f>
        <v/>
      </c>
      <c r="D103" s="31" t="str">
        <f aca="false">IF(B103="","",IF(LEN(SUBSTITUTE(SUBSTITUTE(SUBSTITUTE(SUBSTITUTE(TRIM(B103),"*",""),".",""),"-","")," ",""))=11,MID(SUBSTITUTE(SUBSTITUTE(SUBSTITUTE(SUBSTITUTE(TRIM(B103),"*",""),".",""),"-","")," ",""),4,6),SUBSTITUTE(SUBSTITUTE(SUBSTITUTE(SUBSTITUTE(TRIM(B103),"*",""),".",""),"-","")," ","")))</f>
        <v/>
      </c>
      <c r="E103" s="31" t="str">
        <f aca="false">IF(OR(C103="",D103=""),"",C103&amp;"|"&amp;D103)</f>
        <v/>
      </c>
      <c r="F103" s="11"/>
      <c r="G103" s="11"/>
      <c r="H103" s="22"/>
      <c r="I103" s="23"/>
      <c r="J103" s="11"/>
      <c r="K103" s="25" t="str">
        <f aca="false">IF(C103="","",IF(E103&lt;&gt;"",COUNTIF(Socios!$H:$H,E103),IF(COUNTIF(Socios!$F:$F,C103)&gt;0,"nome igual em Socios: confira o CPF","sem CPF: não cruzado")))</f>
        <v/>
      </c>
      <c r="L103" s="27" t="str">
        <f aca="false">IF(E103="","",COUNTIFS(Eleitoral!$K:$K,E103,Eleitoral!$E:$E,"Doação recebida"))</f>
        <v/>
      </c>
      <c r="M103" s="24"/>
      <c r="N103" s="11"/>
    </row>
    <row r="104" customFormat="false" ht="15" hidden="false" customHeight="false" outlineLevel="0" collapsed="false">
      <c r="A104" s="23"/>
      <c r="B104" s="24"/>
      <c r="C104" s="31" t="str">
        <f aca="false">IF(A104="","",SUBSTITUTE(SUBSTITUTE(SUBSTITUTE(SUBSTITUTE(SUBSTITUTE(SUBSTITUTE(SUBSTITUTE(SUBSTITUTE(SUBSTITUTE(SUBSTITUTE(SUBSTITUTE(SUBSTITUTE(SUBSTITUTE(UPPER(TRIM(A104)),"Á","A"),"À","A"),"Â","A"),"Ã","A"),"É","E"),"Ê","E"),"Í","I"),"Ó","O"),"Ô","O"),"Õ","O"),"Ú","U"),"Ü","U"),"Ç","C"))</f>
        <v/>
      </c>
      <c r="D104" s="31" t="str">
        <f aca="false">IF(B104="","",IF(LEN(SUBSTITUTE(SUBSTITUTE(SUBSTITUTE(SUBSTITUTE(TRIM(B104),"*",""),".",""),"-","")," ",""))=11,MID(SUBSTITUTE(SUBSTITUTE(SUBSTITUTE(SUBSTITUTE(TRIM(B104),"*",""),".",""),"-","")," ",""),4,6),SUBSTITUTE(SUBSTITUTE(SUBSTITUTE(SUBSTITUTE(TRIM(B104),"*",""),".",""),"-","")," ","")))</f>
        <v/>
      </c>
      <c r="E104" s="31" t="str">
        <f aca="false">IF(OR(C104="",D104=""),"",C104&amp;"|"&amp;D104)</f>
        <v/>
      </c>
      <c r="F104" s="11"/>
      <c r="G104" s="11"/>
      <c r="H104" s="22"/>
      <c r="I104" s="23"/>
      <c r="J104" s="11"/>
      <c r="K104" s="25" t="str">
        <f aca="false">IF(C104="","",IF(E104&lt;&gt;"",COUNTIF(Socios!$H:$H,E104),IF(COUNTIF(Socios!$F:$F,C104)&gt;0,"nome igual em Socios: confira o CPF","sem CPF: não cruzado")))</f>
        <v/>
      </c>
      <c r="L104" s="27" t="str">
        <f aca="false">IF(E104="","",COUNTIFS(Eleitoral!$K:$K,E104,Eleitoral!$E:$E,"Doação recebida"))</f>
        <v/>
      </c>
      <c r="M104" s="24"/>
      <c r="N104" s="11"/>
    </row>
    <row r="105" customFormat="false" ht="15" hidden="false" customHeight="false" outlineLevel="0" collapsed="false">
      <c r="A105" s="23"/>
      <c r="B105" s="24"/>
      <c r="C105" s="31" t="str">
        <f aca="false">IF(A105="","",SUBSTITUTE(SUBSTITUTE(SUBSTITUTE(SUBSTITUTE(SUBSTITUTE(SUBSTITUTE(SUBSTITUTE(SUBSTITUTE(SUBSTITUTE(SUBSTITUTE(SUBSTITUTE(SUBSTITUTE(SUBSTITUTE(UPPER(TRIM(A105)),"Á","A"),"À","A"),"Â","A"),"Ã","A"),"É","E"),"Ê","E"),"Í","I"),"Ó","O"),"Ô","O"),"Õ","O"),"Ú","U"),"Ü","U"),"Ç","C"))</f>
        <v/>
      </c>
      <c r="D105" s="31" t="str">
        <f aca="false">IF(B105="","",IF(LEN(SUBSTITUTE(SUBSTITUTE(SUBSTITUTE(SUBSTITUTE(TRIM(B105),"*",""),".",""),"-","")," ",""))=11,MID(SUBSTITUTE(SUBSTITUTE(SUBSTITUTE(SUBSTITUTE(TRIM(B105),"*",""),".",""),"-","")," ",""),4,6),SUBSTITUTE(SUBSTITUTE(SUBSTITUTE(SUBSTITUTE(TRIM(B105),"*",""),".",""),"-","")," ","")))</f>
        <v/>
      </c>
      <c r="E105" s="31" t="str">
        <f aca="false">IF(OR(C105="",D105=""),"",C105&amp;"|"&amp;D105)</f>
        <v/>
      </c>
      <c r="F105" s="11"/>
      <c r="G105" s="11"/>
      <c r="H105" s="22"/>
      <c r="I105" s="23"/>
      <c r="J105" s="11"/>
      <c r="K105" s="25" t="str">
        <f aca="false">IF(C105="","",IF(E105&lt;&gt;"",COUNTIF(Socios!$H:$H,E105),IF(COUNTIF(Socios!$F:$F,C105)&gt;0,"nome igual em Socios: confira o CPF","sem CPF: não cruzado")))</f>
        <v/>
      </c>
      <c r="L105" s="27" t="str">
        <f aca="false">IF(E105="","",COUNTIFS(Eleitoral!$K:$K,E105,Eleitoral!$E:$E,"Doação recebida"))</f>
        <v/>
      </c>
      <c r="M105" s="24"/>
      <c r="N105" s="11"/>
    </row>
    <row r="106" customFormat="false" ht="15" hidden="false" customHeight="false" outlineLevel="0" collapsed="false">
      <c r="A106" s="23"/>
      <c r="B106" s="24"/>
      <c r="C106" s="31" t="str">
        <f aca="false">IF(A106="","",SUBSTITUTE(SUBSTITUTE(SUBSTITUTE(SUBSTITUTE(SUBSTITUTE(SUBSTITUTE(SUBSTITUTE(SUBSTITUTE(SUBSTITUTE(SUBSTITUTE(SUBSTITUTE(SUBSTITUTE(SUBSTITUTE(UPPER(TRIM(A106)),"Á","A"),"À","A"),"Â","A"),"Ã","A"),"É","E"),"Ê","E"),"Í","I"),"Ó","O"),"Ô","O"),"Õ","O"),"Ú","U"),"Ü","U"),"Ç","C"))</f>
        <v/>
      </c>
      <c r="D106" s="31" t="str">
        <f aca="false">IF(B106="","",IF(LEN(SUBSTITUTE(SUBSTITUTE(SUBSTITUTE(SUBSTITUTE(TRIM(B106),"*",""),".",""),"-","")," ",""))=11,MID(SUBSTITUTE(SUBSTITUTE(SUBSTITUTE(SUBSTITUTE(TRIM(B106),"*",""),".",""),"-","")," ",""),4,6),SUBSTITUTE(SUBSTITUTE(SUBSTITUTE(SUBSTITUTE(TRIM(B106),"*",""),".",""),"-","")," ","")))</f>
        <v/>
      </c>
      <c r="E106" s="31" t="str">
        <f aca="false">IF(OR(C106="",D106=""),"",C106&amp;"|"&amp;D106)</f>
        <v/>
      </c>
      <c r="F106" s="11"/>
      <c r="G106" s="11"/>
      <c r="H106" s="22"/>
      <c r="I106" s="23"/>
      <c r="J106" s="11"/>
      <c r="K106" s="25" t="str">
        <f aca="false">IF(C106="","",IF(E106&lt;&gt;"",COUNTIF(Socios!$H:$H,E106),IF(COUNTIF(Socios!$F:$F,C106)&gt;0,"nome igual em Socios: confira o CPF","sem CPF: não cruzado")))</f>
        <v/>
      </c>
      <c r="L106" s="27" t="str">
        <f aca="false">IF(E106="","",COUNTIFS(Eleitoral!$K:$K,E106,Eleitoral!$E:$E,"Doação recebida"))</f>
        <v/>
      </c>
      <c r="M106" s="24"/>
      <c r="N106" s="11"/>
    </row>
    <row r="107" customFormat="false" ht="15" hidden="false" customHeight="false" outlineLevel="0" collapsed="false">
      <c r="A107" s="23"/>
      <c r="B107" s="24"/>
      <c r="C107" s="31" t="str">
        <f aca="false">IF(A107="","",SUBSTITUTE(SUBSTITUTE(SUBSTITUTE(SUBSTITUTE(SUBSTITUTE(SUBSTITUTE(SUBSTITUTE(SUBSTITUTE(SUBSTITUTE(SUBSTITUTE(SUBSTITUTE(SUBSTITUTE(SUBSTITUTE(UPPER(TRIM(A107)),"Á","A"),"À","A"),"Â","A"),"Ã","A"),"É","E"),"Ê","E"),"Í","I"),"Ó","O"),"Ô","O"),"Õ","O"),"Ú","U"),"Ü","U"),"Ç","C"))</f>
        <v/>
      </c>
      <c r="D107" s="31" t="str">
        <f aca="false">IF(B107="","",IF(LEN(SUBSTITUTE(SUBSTITUTE(SUBSTITUTE(SUBSTITUTE(TRIM(B107),"*",""),".",""),"-","")," ",""))=11,MID(SUBSTITUTE(SUBSTITUTE(SUBSTITUTE(SUBSTITUTE(TRIM(B107),"*",""),".",""),"-","")," ",""),4,6),SUBSTITUTE(SUBSTITUTE(SUBSTITUTE(SUBSTITUTE(TRIM(B107),"*",""),".",""),"-","")," ","")))</f>
        <v/>
      </c>
      <c r="E107" s="31" t="str">
        <f aca="false">IF(OR(C107="",D107=""),"",C107&amp;"|"&amp;D107)</f>
        <v/>
      </c>
      <c r="F107" s="11"/>
      <c r="G107" s="11"/>
      <c r="H107" s="22"/>
      <c r="I107" s="23"/>
      <c r="J107" s="11"/>
      <c r="K107" s="25" t="str">
        <f aca="false">IF(C107="","",IF(E107&lt;&gt;"",COUNTIF(Socios!$H:$H,E107),IF(COUNTIF(Socios!$F:$F,C107)&gt;0,"nome igual em Socios: confira o CPF","sem CPF: não cruzado")))</f>
        <v/>
      </c>
      <c r="L107" s="27" t="str">
        <f aca="false">IF(E107="","",COUNTIFS(Eleitoral!$K:$K,E107,Eleitoral!$E:$E,"Doação recebida"))</f>
        <v/>
      </c>
      <c r="M107" s="24"/>
      <c r="N107" s="11"/>
    </row>
    <row r="108" customFormat="false" ht="15" hidden="false" customHeight="false" outlineLevel="0" collapsed="false">
      <c r="A108" s="23"/>
      <c r="B108" s="24"/>
      <c r="C108" s="31" t="str">
        <f aca="false">IF(A108="","",SUBSTITUTE(SUBSTITUTE(SUBSTITUTE(SUBSTITUTE(SUBSTITUTE(SUBSTITUTE(SUBSTITUTE(SUBSTITUTE(SUBSTITUTE(SUBSTITUTE(SUBSTITUTE(SUBSTITUTE(SUBSTITUTE(UPPER(TRIM(A108)),"Á","A"),"À","A"),"Â","A"),"Ã","A"),"É","E"),"Ê","E"),"Í","I"),"Ó","O"),"Ô","O"),"Õ","O"),"Ú","U"),"Ü","U"),"Ç","C"))</f>
        <v/>
      </c>
      <c r="D108" s="31" t="str">
        <f aca="false">IF(B108="","",IF(LEN(SUBSTITUTE(SUBSTITUTE(SUBSTITUTE(SUBSTITUTE(TRIM(B108),"*",""),".",""),"-","")," ",""))=11,MID(SUBSTITUTE(SUBSTITUTE(SUBSTITUTE(SUBSTITUTE(TRIM(B108),"*",""),".",""),"-","")," ",""),4,6),SUBSTITUTE(SUBSTITUTE(SUBSTITUTE(SUBSTITUTE(TRIM(B108),"*",""),".",""),"-","")," ","")))</f>
        <v/>
      </c>
      <c r="E108" s="31" t="str">
        <f aca="false">IF(OR(C108="",D108=""),"",C108&amp;"|"&amp;D108)</f>
        <v/>
      </c>
      <c r="F108" s="11"/>
      <c r="G108" s="11"/>
      <c r="H108" s="22"/>
      <c r="I108" s="23"/>
      <c r="J108" s="11"/>
      <c r="K108" s="25" t="str">
        <f aca="false">IF(C108="","",IF(E108&lt;&gt;"",COUNTIF(Socios!$H:$H,E108),IF(COUNTIF(Socios!$F:$F,C108)&gt;0,"nome igual em Socios: confira o CPF","sem CPF: não cruzado")))</f>
        <v/>
      </c>
      <c r="L108" s="27" t="str">
        <f aca="false">IF(E108="","",COUNTIFS(Eleitoral!$K:$K,E108,Eleitoral!$E:$E,"Doação recebida"))</f>
        <v/>
      </c>
      <c r="M108" s="24"/>
      <c r="N108" s="11"/>
    </row>
    <row r="109" customFormat="false" ht="15" hidden="false" customHeight="false" outlineLevel="0" collapsed="false">
      <c r="A109" s="23"/>
      <c r="B109" s="24"/>
      <c r="C109" s="31" t="str">
        <f aca="false">IF(A109="","",SUBSTITUTE(SUBSTITUTE(SUBSTITUTE(SUBSTITUTE(SUBSTITUTE(SUBSTITUTE(SUBSTITUTE(SUBSTITUTE(SUBSTITUTE(SUBSTITUTE(SUBSTITUTE(SUBSTITUTE(SUBSTITUTE(UPPER(TRIM(A109)),"Á","A"),"À","A"),"Â","A"),"Ã","A"),"É","E"),"Ê","E"),"Í","I"),"Ó","O"),"Ô","O"),"Õ","O"),"Ú","U"),"Ü","U"),"Ç","C"))</f>
        <v/>
      </c>
      <c r="D109" s="31" t="str">
        <f aca="false">IF(B109="","",IF(LEN(SUBSTITUTE(SUBSTITUTE(SUBSTITUTE(SUBSTITUTE(TRIM(B109),"*",""),".",""),"-","")," ",""))=11,MID(SUBSTITUTE(SUBSTITUTE(SUBSTITUTE(SUBSTITUTE(TRIM(B109),"*",""),".",""),"-","")," ",""),4,6),SUBSTITUTE(SUBSTITUTE(SUBSTITUTE(SUBSTITUTE(TRIM(B109),"*",""),".",""),"-","")," ","")))</f>
        <v/>
      </c>
      <c r="E109" s="31" t="str">
        <f aca="false">IF(OR(C109="",D109=""),"",C109&amp;"|"&amp;D109)</f>
        <v/>
      </c>
      <c r="F109" s="11"/>
      <c r="G109" s="11"/>
      <c r="H109" s="22"/>
      <c r="I109" s="23"/>
      <c r="J109" s="11"/>
      <c r="K109" s="25" t="str">
        <f aca="false">IF(C109="","",IF(E109&lt;&gt;"",COUNTIF(Socios!$H:$H,E109),IF(COUNTIF(Socios!$F:$F,C109)&gt;0,"nome igual em Socios: confira o CPF","sem CPF: não cruzado")))</f>
        <v/>
      </c>
      <c r="L109" s="27" t="str">
        <f aca="false">IF(E109="","",COUNTIFS(Eleitoral!$K:$K,E109,Eleitoral!$E:$E,"Doação recebida"))</f>
        <v/>
      </c>
      <c r="M109" s="24"/>
      <c r="N109" s="11"/>
    </row>
    <row r="110" customFormat="false" ht="15" hidden="false" customHeight="false" outlineLevel="0" collapsed="false">
      <c r="A110" s="23"/>
      <c r="B110" s="24"/>
      <c r="C110" s="31" t="str">
        <f aca="false">IF(A110="","",SUBSTITUTE(SUBSTITUTE(SUBSTITUTE(SUBSTITUTE(SUBSTITUTE(SUBSTITUTE(SUBSTITUTE(SUBSTITUTE(SUBSTITUTE(SUBSTITUTE(SUBSTITUTE(SUBSTITUTE(SUBSTITUTE(UPPER(TRIM(A110)),"Á","A"),"À","A"),"Â","A"),"Ã","A"),"É","E"),"Ê","E"),"Í","I"),"Ó","O"),"Ô","O"),"Õ","O"),"Ú","U"),"Ü","U"),"Ç","C"))</f>
        <v/>
      </c>
      <c r="D110" s="31" t="str">
        <f aca="false">IF(B110="","",IF(LEN(SUBSTITUTE(SUBSTITUTE(SUBSTITUTE(SUBSTITUTE(TRIM(B110),"*",""),".",""),"-","")," ",""))=11,MID(SUBSTITUTE(SUBSTITUTE(SUBSTITUTE(SUBSTITUTE(TRIM(B110),"*",""),".",""),"-","")," ",""),4,6),SUBSTITUTE(SUBSTITUTE(SUBSTITUTE(SUBSTITUTE(TRIM(B110),"*",""),".",""),"-","")," ","")))</f>
        <v/>
      </c>
      <c r="E110" s="31" t="str">
        <f aca="false">IF(OR(C110="",D110=""),"",C110&amp;"|"&amp;D110)</f>
        <v/>
      </c>
      <c r="F110" s="11"/>
      <c r="G110" s="11"/>
      <c r="H110" s="22"/>
      <c r="I110" s="23"/>
      <c r="J110" s="11"/>
      <c r="K110" s="25" t="str">
        <f aca="false">IF(C110="","",IF(E110&lt;&gt;"",COUNTIF(Socios!$H:$H,E110),IF(COUNTIF(Socios!$F:$F,C110)&gt;0,"nome igual em Socios: confira o CPF","sem CPF: não cruzado")))</f>
        <v/>
      </c>
      <c r="L110" s="27" t="str">
        <f aca="false">IF(E110="","",COUNTIFS(Eleitoral!$K:$K,E110,Eleitoral!$E:$E,"Doação recebida"))</f>
        <v/>
      </c>
      <c r="M110" s="24"/>
      <c r="N110" s="11"/>
    </row>
    <row r="111" customFormat="false" ht="15" hidden="false" customHeight="false" outlineLevel="0" collapsed="false">
      <c r="A111" s="23"/>
      <c r="B111" s="24"/>
      <c r="C111" s="31" t="str">
        <f aca="false">IF(A111="","",SUBSTITUTE(SUBSTITUTE(SUBSTITUTE(SUBSTITUTE(SUBSTITUTE(SUBSTITUTE(SUBSTITUTE(SUBSTITUTE(SUBSTITUTE(SUBSTITUTE(SUBSTITUTE(SUBSTITUTE(SUBSTITUTE(UPPER(TRIM(A111)),"Á","A"),"À","A"),"Â","A"),"Ã","A"),"É","E"),"Ê","E"),"Í","I"),"Ó","O"),"Ô","O"),"Õ","O"),"Ú","U"),"Ü","U"),"Ç","C"))</f>
        <v/>
      </c>
      <c r="D111" s="31" t="str">
        <f aca="false">IF(B111="","",IF(LEN(SUBSTITUTE(SUBSTITUTE(SUBSTITUTE(SUBSTITUTE(TRIM(B111),"*",""),".",""),"-","")," ",""))=11,MID(SUBSTITUTE(SUBSTITUTE(SUBSTITUTE(SUBSTITUTE(TRIM(B111),"*",""),".",""),"-","")," ",""),4,6),SUBSTITUTE(SUBSTITUTE(SUBSTITUTE(SUBSTITUTE(TRIM(B111),"*",""),".",""),"-","")," ","")))</f>
        <v/>
      </c>
      <c r="E111" s="31" t="str">
        <f aca="false">IF(OR(C111="",D111=""),"",C111&amp;"|"&amp;D111)</f>
        <v/>
      </c>
      <c r="F111" s="11"/>
      <c r="G111" s="11"/>
      <c r="H111" s="22"/>
      <c r="I111" s="23"/>
      <c r="J111" s="11"/>
      <c r="K111" s="25" t="str">
        <f aca="false">IF(C111="","",IF(E111&lt;&gt;"",COUNTIF(Socios!$H:$H,E111),IF(COUNTIF(Socios!$F:$F,C111)&gt;0,"nome igual em Socios: confira o CPF","sem CPF: não cruzado")))</f>
        <v/>
      </c>
      <c r="L111" s="27" t="str">
        <f aca="false">IF(E111="","",COUNTIFS(Eleitoral!$K:$K,E111,Eleitoral!$E:$E,"Doação recebida"))</f>
        <v/>
      </c>
      <c r="M111" s="24"/>
      <c r="N111" s="11"/>
    </row>
    <row r="112" customFormat="false" ht="15" hidden="false" customHeight="false" outlineLevel="0" collapsed="false">
      <c r="A112" s="23"/>
      <c r="B112" s="24"/>
      <c r="C112" s="31" t="str">
        <f aca="false">IF(A112="","",SUBSTITUTE(SUBSTITUTE(SUBSTITUTE(SUBSTITUTE(SUBSTITUTE(SUBSTITUTE(SUBSTITUTE(SUBSTITUTE(SUBSTITUTE(SUBSTITUTE(SUBSTITUTE(SUBSTITUTE(SUBSTITUTE(UPPER(TRIM(A112)),"Á","A"),"À","A"),"Â","A"),"Ã","A"),"É","E"),"Ê","E"),"Í","I"),"Ó","O"),"Ô","O"),"Õ","O"),"Ú","U"),"Ü","U"),"Ç","C"))</f>
        <v/>
      </c>
      <c r="D112" s="31" t="str">
        <f aca="false">IF(B112="","",IF(LEN(SUBSTITUTE(SUBSTITUTE(SUBSTITUTE(SUBSTITUTE(TRIM(B112),"*",""),".",""),"-","")," ",""))=11,MID(SUBSTITUTE(SUBSTITUTE(SUBSTITUTE(SUBSTITUTE(TRIM(B112),"*",""),".",""),"-","")," ",""),4,6),SUBSTITUTE(SUBSTITUTE(SUBSTITUTE(SUBSTITUTE(TRIM(B112),"*",""),".",""),"-","")," ","")))</f>
        <v/>
      </c>
      <c r="E112" s="31" t="str">
        <f aca="false">IF(OR(C112="",D112=""),"",C112&amp;"|"&amp;D112)</f>
        <v/>
      </c>
      <c r="F112" s="11"/>
      <c r="G112" s="11"/>
      <c r="H112" s="22"/>
      <c r="I112" s="23"/>
      <c r="J112" s="11"/>
      <c r="K112" s="25" t="str">
        <f aca="false">IF(C112="","",IF(E112&lt;&gt;"",COUNTIF(Socios!$H:$H,E112),IF(COUNTIF(Socios!$F:$F,C112)&gt;0,"nome igual em Socios: confira o CPF","sem CPF: não cruzado")))</f>
        <v/>
      </c>
      <c r="L112" s="27" t="str">
        <f aca="false">IF(E112="","",COUNTIFS(Eleitoral!$K:$K,E112,Eleitoral!$E:$E,"Doação recebida"))</f>
        <v/>
      </c>
      <c r="M112" s="24"/>
      <c r="N112" s="11"/>
    </row>
    <row r="113" customFormat="false" ht="15" hidden="false" customHeight="false" outlineLevel="0" collapsed="false">
      <c r="A113" s="23"/>
      <c r="B113" s="24"/>
      <c r="C113" s="31" t="str">
        <f aca="false">IF(A113="","",SUBSTITUTE(SUBSTITUTE(SUBSTITUTE(SUBSTITUTE(SUBSTITUTE(SUBSTITUTE(SUBSTITUTE(SUBSTITUTE(SUBSTITUTE(SUBSTITUTE(SUBSTITUTE(SUBSTITUTE(SUBSTITUTE(UPPER(TRIM(A113)),"Á","A"),"À","A"),"Â","A"),"Ã","A"),"É","E"),"Ê","E"),"Í","I"),"Ó","O"),"Ô","O"),"Õ","O"),"Ú","U"),"Ü","U"),"Ç","C"))</f>
        <v/>
      </c>
      <c r="D113" s="31" t="str">
        <f aca="false">IF(B113="","",IF(LEN(SUBSTITUTE(SUBSTITUTE(SUBSTITUTE(SUBSTITUTE(TRIM(B113),"*",""),".",""),"-","")," ",""))=11,MID(SUBSTITUTE(SUBSTITUTE(SUBSTITUTE(SUBSTITUTE(TRIM(B113),"*",""),".",""),"-","")," ",""),4,6),SUBSTITUTE(SUBSTITUTE(SUBSTITUTE(SUBSTITUTE(TRIM(B113),"*",""),".",""),"-","")," ","")))</f>
        <v/>
      </c>
      <c r="E113" s="31" t="str">
        <f aca="false">IF(OR(C113="",D113=""),"",C113&amp;"|"&amp;D113)</f>
        <v/>
      </c>
      <c r="F113" s="11"/>
      <c r="G113" s="11"/>
      <c r="H113" s="22"/>
      <c r="I113" s="23"/>
      <c r="J113" s="11"/>
      <c r="K113" s="25" t="str">
        <f aca="false">IF(C113="","",IF(E113&lt;&gt;"",COUNTIF(Socios!$H:$H,E113),IF(COUNTIF(Socios!$F:$F,C113)&gt;0,"nome igual em Socios: confira o CPF","sem CPF: não cruzado")))</f>
        <v/>
      </c>
      <c r="L113" s="27" t="str">
        <f aca="false">IF(E113="","",COUNTIFS(Eleitoral!$K:$K,E113,Eleitoral!$E:$E,"Doação recebida"))</f>
        <v/>
      </c>
      <c r="M113" s="24"/>
      <c r="N113" s="11"/>
    </row>
    <row r="114" customFormat="false" ht="15" hidden="false" customHeight="false" outlineLevel="0" collapsed="false">
      <c r="A114" s="23"/>
      <c r="B114" s="24"/>
      <c r="C114" s="31" t="str">
        <f aca="false">IF(A114="","",SUBSTITUTE(SUBSTITUTE(SUBSTITUTE(SUBSTITUTE(SUBSTITUTE(SUBSTITUTE(SUBSTITUTE(SUBSTITUTE(SUBSTITUTE(SUBSTITUTE(SUBSTITUTE(SUBSTITUTE(SUBSTITUTE(UPPER(TRIM(A114)),"Á","A"),"À","A"),"Â","A"),"Ã","A"),"É","E"),"Ê","E"),"Í","I"),"Ó","O"),"Ô","O"),"Õ","O"),"Ú","U"),"Ü","U"),"Ç","C"))</f>
        <v/>
      </c>
      <c r="D114" s="31" t="str">
        <f aca="false">IF(B114="","",IF(LEN(SUBSTITUTE(SUBSTITUTE(SUBSTITUTE(SUBSTITUTE(TRIM(B114),"*",""),".",""),"-","")," ",""))=11,MID(SUBSTITUTE(SUBSTITUTE(SUBSTITUTE(SUBSTITUTE(TRIM(B114),"*",""),".",""),"-","")," ",""),4,6),SUBSTITUTE(SUBSTITUTE(SUBSTITUTE(SUBSTITUTE(TRIM(B114),"*",""),".",""),"-","")," ","")))</f>
        <v/>
      </c>
      <c r="E114" s="31" t="str">
        <f aca="false">IF(OR(C114="",D114=""),"",C114&amp;"|"&amp;D114)</f>
        <v/>
      </c>
      <c r="F114" s="11"/>
      <c r="G114" s="11"/>
      <c r="H114" s="22"/>
      <c r="I114" s="23"/>
      <c r="J114" s="11"/>
      <c r="K114" s="25" t="str">
        <f aca="false">IF(C114="","",IF(E114&lt;&gt;"",COUNTIF(Socios!$H:$H,E114),IF(COUNTIF(Socios!$F:$F,C114)&gt;0,"nome igual em Socios: confira o CPF","sem CPF: não cruzado")))</f>
        <v/>
      </c>
      <c r="L114" s="27" t="str">
        <f aca="false">IF(E114="","",COUNTIFS(Eleitoral!$K:$K,E114,Eleitoral!$E:$E,"Doação recebida"))</f>
        <v/>
      </c>
      <c r="M114" s="24"/>
      <c r="N114" s="11"/>
    </row>
    <row r="115" customFormat="false" ht="15" hidden="false" customHeight="false" outlineLevel="0" collapsed="false">
      <c r="A115" s="23"/>
      <c r="B115" s="24"/>
      <c r="C115" s="31" t="str">
        <f aca="false">IF(A115="","",SUBSTITUTE(SUBSTITUTE(SUBSTITUTE(SUBSTITUTE(SUBSTITUTE(SUBSTITUTE(SUBSTITUTE(SUBSTITUTE(SUBSTITUTE(SUBSTITUTE(SUBSTITUTE(SUBSTITUTE(SUBSTITUTE(UPPER(TRIM(A115)),"Á","A"),"À","A"),"Â","A"),"Ã","A"),"É","E"),"Ê","E"),"Í","I"),"Ó","O"),"Ô","O"),"Õ","O"),"Ú","U"),"Ü","U"),"Ç","C"))</f>
        <v/>
      </c>
      <c r="D115" s="31" t="str">
        <f aca="false">IF(B115="","",IF(LEN(SUBSTITUTE(SUBSTITUTE(SUBSTITUTE(SUBSTITUTE(TRIM(B115),"*",""),".",""),"-","")," ",""))=11,MID(SUBSTITUTE(SUBSTITUTE(SUBSTITUTE(SUBSTITUTE(TRIM(B115),"*",""),".",""),"-","")," ",""),4,6),SUBSTITUTE(SUBSTITUTE(SUBSTITUTE(SUBSTITUTE(TRIM(B115),"*",""),".",""),"-","")," ","")))</f>
        <v/>
      </c>
      <c r="E115" s="31" t="str">
        <f aca="false">IF(OR(C115="",D115=""),"",C115&amp;"|"&amp;D115)</f>
        <v/>
      </c>
      <c r="F115" s="11"/>
      <c r="G115" s="11"/>
      <c r="H115" s="22"/>
      <c r="I115" s="23"/>
      <c r="J115" s="11"/>
      <c r="K115" s="25" t="str">
        <f aca="false">IF(C115="","",IF(E115&lt;&gt;"",COUNTIF(Socios!$H:$H,E115),IF(COUNTIF(Socios!$F:$F,C115)&gt;0,"nome igual em Socios: confira o CPF","sem CPF: não cruzado")))</f>
        <v/>
      </c>
      <c r="L115" s="27" t="str">
        <f aca="false">IF(E115="","",COUNTIFS(Eleitoral!$K:$K,E115,Eleitoral!$E:$E,"Doação recebida"))</f>
        <v/>
      </c>
      <c r="M115" s="24"/>
      <c r="N115" s="11"/>
    </row>
    <row r="116" customFormat="false" ht="15" hidden="false" customHeight="false" outlineLevel="0" collapsed="false">
      <c r="A116" s="23"/>
      <c r="B116" s="24"/>
      <c r="C116" s="31" t="str">
        <f aca="false">IF(A116="","",SUBSTITUTE(SUBSTITUTE(SUBSTITUTE(SUBSTITUTE(SUBSTITUTE(SUBSTITUTE(SUBSTITUTE(SUBSTITUTE(SUBSTITUTE(SUBSTITUTE(SUBSTITUTE(SUBSTITUTE(SUBSTITUTE(UPPER(TRIM(A116)),"Á","A"),"À","A"),"Â","A"),"Ã","A"),"É","E"),"Ê","E"),"Í","I"),"Ó","O"),"Ô","O"),"Õ","O"),"Ú","U"),"Ü","U"),"Ç","C"))</f>
        <v/>
      </c>
      <c r="D116" s="31" t="str">
        <f aca="false">IF(B116="","",IF(LEN(SUBSTITUTE(SUBSTITUTE(SUBSTITUTE(SUBSTITUTE(TRIM(B116),"*",""),".",""),"-","")," ",""))=11,MID(SUBSTITUTE(SUBSTITUTE(SUBSTITUTE(SUBSTITUTE(TRIM(B116),"*",""),".",""),"-","")," ",""),4,6),SUBSTITUTE(SUBSTITUTE(SUBSTITUTE(SUBSTITUTE(TRIM(B116),"*",""),".",""),"-","")," ","")))</f>
        <v/>
      </c>
      <c r="E116" s="31" t="str">
        <f aca="false">IF(OR(C116="",D116=""),"",C116&amp;"|"&amp;D116)</f>
        <v/>
      </c>
      <c r="F116" s="11"/>
      <c r="G116" s="11"/>
      <c r="H116" s="22"/>
      <c r="I116" s="23"/>
      <c r="J116" s="11"/>
      <c r="K116" s="25" t="str">
        <f aca="false">IF(C116="","",IF(E116&lt;&gt;"",COUNTIF(Socios!$H:$H,E116),IF(COUNTIF(Socios!$F:$F,C116)&gt;0,"nome igual em Socios: confira o CPF","sem CPF: não cruzado")))</f>
        <v/>
      </c>
      <c r="L116" s="27" t="str">
        <f aca="false">IF(E116="","",COUNTIFS(Eleitoral!$K:$K,E116,Eleitoral!$E:$E,"Doação recebida"))</f>
        <v/>
      </c>
      <c r="M116" s="24"/>
      <c r="N116" s="11"/>
    </row>
    <row r="117" customFormat="false" ht="15" hidden="false" customHeight="false" outlineLevel="0" collapsed="false">
      <c r="A117" s="23"/>
      <c r="B117" s="24"/>
      <c r="C117" s="31" t="str">
        <f aca="false">IF(A117="","",SUBSTITUTE(SUBSTITUTE(SUBSTITUTE(SUBSTITUTE(SUBSTITUTE(SUBSTITUTE(SUBSTITUTE(SUBSTITUTE(SUBSTITUTE(SUBSTITUTE(SUBSTITUTE(SUBSTITUTE(SUBSTITUTE(UPPER(TRIM(A117)),"Á","A"),"À","A"),"Â","A"),"Ã","A"),"É","E"),"Ê","E"),"Í","I"),"Ó","O"),"Ô","O"),"Õ","O"),"Ú","U"),"Ü","U"),"Ç","C"))</f>
        <v/>
      </c>
      <c r="D117" s="31" t="str">
        <f aca="false">IF(B117="","",IF(LEN(SUBSTITUTE(SUBSTITUTE(SUBSTITUTE(SUBSTITUTE(TRIM(B117),"*",""),".",""),"-","")," ",""))=11,MID(SUBSTITUTE(SUBSTITUTE(SUBSTITUTE(SUBSTITUTE(TRIM(B117),"*",""),".",""),"-","")," ",""),4,6),SUBSTITUTE(SUBSTITUTE(SUBSTITUTE(SUBSTITUTE(TRIM(B117),"*",""),".",""),"-","")," ","")))</f>
        <v/>
      </c>
      <c r="E117" s="31" t="str">
        <f aca="false">IF(OR(C117="",D117=""),"",C117&amp;"|"&amp;D117)</f>
        <v/>
      </c>
      <c r="F117" s="11"/>
      <c r="G117" s="11"/>
      <c r="H117" s="22"/>
      <c r="I117" s="23"/>
      <c r="J117" s="11"/>
      <c r="K117" s="25" t="str">
        <f aca="false">IF(C117="","",IF(E117&lt;&gt;"",COUNTIF(Socios!$H:$H,E117),IF(COUNTIF(Socios!$F:$F,C117)&gt;0,"nome igual em Socios: confira o CPF","sem CPF: não cruzado")))</f>
        <v/>
      </c>
      <c r="L117" s="27" t="str">
        <f aca="false">IF(E117="","",COUNTIFS(Eleitoral!$K:$K,E117,Eleitoral!$E:$E,"Doação recebida"))</f>
        <v/>
      </c>
      <c r="M117" s="24"/>
      <c r="N117" s="11"/>
    </row>
    <row r="118" customFormat="false" ht="15" hidden="false" customHeight="false" outlineLevel="0" collapsed="false">
      <c r="A118" s="23"/>
      <c r="B118" s="24"/>
      <c r="C118" s="31" t="str">
        <f aca="false">IF(A118="","",SUBSTITUTE(SUBSTITUTE(SUBSTITUTE(SUBSTITUTE(SUBSTITUTE(SUBSTITUTE(SUBSTITUTE(SUBSTITUTE(SUBSTITUTE(SUBSTITUTE(SUBSTITUTE(SUBSTITUTE(SUBSTITUTE(UPPER(TRIM(A118)),"Á","A"),"À","A"),"Â","A"),"Ã","A"),"É","E"),"Ê","E"),"Í","I"),"Ó","O"),"Ô","O"),"Õ","O"),"Ú","U"),"Ü","U"),"Ç","C"))</f>
        <v/>
      </c>
      <c r="D118" s="31" t="str">
        <f aca="false">IF(B118="","",IF(LEN(SUBSTITUTE(SUBSTITUTE(SUBSTITUTE(SUBSTITUTE(TRIM(B118),"*",""),".",""),"-","")," ",""))=11,MID(SUBSTITUTE(SUBSTITUTE(SUBSTITUTE(SUBSTITUTE(TRIM(B118),"*",""),".",""),"-","")," ",""),4,6),SUBSTITUTE(SUBSTITUTE(SUBSTITUTE(SUBSTITUTE(TRIM(B118),"*",""),".",""),"-","")," ","")))</f>
        <v/>
      </c>
      <c r="E118" s="31" t="str">
        <f aca="false">IF(OR(C118="",D118=""),"",C118&amp;"|"&amp;D118)</f>
        <v/>
      </c>
      <c r="F118" s="11"/>
      <c r="G118" s="11"/>
      <c r="H118" s="22"/>
      <c r="I118" s="23"/>
      <c r="J118" s="11"/>
      <c r="K118" s="25" t="str">
        <f aca="false">IF(C118="","",IF(E118&lt;&gt;"",COUNTIF(Socios!$H:$H,E118),IF(COUNTIF(Socios!$F:$F,C118)&gt;0,"nome igual em Socios: confira o CPF","sem CPF: não cruzado")))</f>
        <v/>
      </c>
      <c r="L118" s="27" t="str">
        <f aca="false">IF(E118="","",COUNTIFS(Eleitoral!$K:$K,E118,Eleitoral!$E:$E,"Doação recebida"))</f>
        <v/>
      </c>
      <c r="M118" s="24"/>
      <c r="N118" s="11"/>
    </row>
    <row r="119" customFormat="false" ht="15" hidden="false" customHeight="false" outlineLevel="0" collapsed="false">
      <c r="A119" s="23"/>
      <c r="B119" s="24"/>
      <c r="C119" s="31" t="str">
        <f aca="false">IF(A119="","",SUBSTITUTE(SUBSTITUTE(SUBSTITUTE(SUBSTITUTE(SUBSTITUTE(SUBSTITUTE(SUBSTITUTE(SUBSTITUTE(SUBSTITUTE(SUBSTITUTE(SUBSTITUTE(SUBSTITUTE(SUBSTITUTE(UPPER(TRIM(A119)),"Á","A"),"À","A"),"Â","A"),"Ã","A"),"É","E"),"Ê","E"),"Í","I"),"Ó","O"),"Ô","O"),"Õ","O"),"Ú","U"),"Ü","U"),"Ç","C"))</f>
        <v/>
      </c>
      <c r="D119" s="31" t="str">
        <f aca="false">IF(B119="","",IF(LEN(SUBSTITUTE(SUBSTITUTE(SUBSTITUTE(SUBSTITUTE(TRIM(B119),"*",""),".",""),"-","")," ",""))=11,MID(SUBSTITUTE(SUBSTITUTE(SUBSTITUTE(SUBSTITUTE(TRIM(B119),"*",""),".",""),"-","")," ",""),4,6),SUBSTITUTE(SUBSTITUTE(SUBSTITUTE(SUBSTITUTE(TRIM(B119),"*",""),".",""),"-","")," ","")))</f>
        <v/>
      </c>
      <c r="E119" s="31" t="str">
        <f aca="false">IF(OR(C119="",D119=""),"",C119&amp;"|"&amp;D119)</f>
        <v/>
      </c>
      <c r="F119" s="11"/>
      <c r="G119" s="11"/>
      <c r="H119" s="22"/>
      <c r="I119" s="23"/>
      <c r="J119" s="11"/>
      <c r="K119" s="25" t="str">
        <f aca="false">IF(C119="","",IF(E119&lt;&gt;"",COUNTIF(Socios!$H:$H,E119),IF(COUNTIF(Socios!$F:$F,C119)&gt;0,"nome igual em Socios: confira o CPF","sem CPF: não cruzado")))</f>
        <v/>
      </c>
      <c r="L119" s="27" t="str">
        <f aca="false">IF(E119="","",COUNTIFS(Eleitoral!$K:$K,E119,Eleitoral!$E:$E,"Doação recebida"))</f>
        <v/>
      </c>
      <c r="M119" s="24"/>
      <c r="N119" s="11"/>
    </row>
    <row r="120" customFormat="false" ht="15" hidden="false" customHeight="false" outlineLevel="0" collapsed="false">
      <c r="A120" s="23"/>
      <c r="B120" s="24"/>
      <c r="C120" s="31" t="str">
        <f aca="false">IF(A120="","",SUBSTITUTE(SUBSTITUTE(SUBSTITUTE(SUBSTITUTE(SUBSTITUTE(SUBSTITUTE(SUBSTITUTE(SUBSTITUTE(SUBSTITUTE(SUBSTITUTE(SUBSTITUTE(SUBSTITUTE(SUBSTITUTE(UPPER(TRIM(A120)),"Á","A"),"À","A"),"Â","A"),"Ã","A"),"É","E"),"Ê","E"),"Í","I"),"Ó","O"),"Ô","O"),"Õ","O"),"Ú","U"),"Ü","U"),"Ç","C"))</f>
        <v/>
      </c>
      <c r="D120" s="31" t="str">
        <f aca="false">IF(B120="","",IF(LEN(SUBSTITUTE(SUBSTITUTE(SUBSTITUTE(SUBSTITUTE(TRIM(B120),"*",""),".",""),"-","")," ",""))=11,MID(SUBSTITUTE(SUBSTITUTE(SUBSTITUTE(SUBSTITUTE(TRIM(B120),"*",""),".",""),"-","")," ",""),4,6),SUBSTITUTE(SUBSTITUTE(SUBSTITUTE(SUBSTITUTE(TRIM(B120),"*",""),".",""),"-","")," ","")))</f>
        <v/>
      </c>
      <c r="E120" s="31" t="str">
        <f aca="false">IF(OR(C120="",D120=""),"",C120&amp;"|"&amp;D120)</f>
        <v/>
      </c>
      <c r="F120" s="11"/>
      <c r="G120" s="11"/>
      <c r="H120" s="22"/>
      <c r="I120" s="23"/>
      <c r="J120" s="11"/>
      <c r="K120" s="25" t="str">
        <f aca="false">IF(C120="","",IF(E120&lt;&gt;"",COUNTIF(Socios!$H:$H,E120),IF(COUNTIF(Socios!$F:$F,C120)&gt;0,"nome igual em Socios: confira o CPF","sem CPF: não cruzado")))</f>
        <v/>
      </c>
      <c r="L120" s="27" t="str">
        <f aca="false">IF(E120="","",COUNTIFS(Eleitoral!$K:$K,E120,Eleitoral!$E:$E,"Doação recebida"))</f>
        <v/>
      </c>
      <c r="M120" s="24"/>
      <c r="N120" s="11"/>
    </row>
    <row r="121" customFormat="false" ht="15" hidden="false" customHeight="false" outlineLevel="0" collapsed="false">
      <c r="A121" s="23"/>
      <c r="B121" s="24"/>
      <c r="C121" s="31" t="str">
        <f aca="false">IF(A121="","",SUBSTITUTE(SUBSTITUTE(SUBSTITUTE(SUBSTITUTE(SUBSTITUTE(SUBSTITUTE(SUBSTITUTE(SUBSTITUTE(SUBSTITUTE(SUBSTITUTE(SUBSTITUTE(SUBSTITUTE(SUBSTITUTE(UPPER(TRIM(A121)),"Á","A"),"À","A"),"Â","A"),"Ã","A"),"É","E"),"Ê","E"),"Í","I"),"Ó","O"),"Ô","O"),"Õ","O"),"Ú","U"),"Ü","U"),"Ç","C"))</f>
        <v/>
      </c>
      <c r="D121" s="31" t="str">
        <f aca="false">IF(B121="","",IF(LEN(SUBSTITUTE(SUBSTITUTE(SUBSTITUTE(SUBSTITUTE(TRIM(B121),"*",""),".",""),"-","")," ",""))=11,MID(SUBSTITUTE(SUBSTITUTE(SUBSTITUTE(SUBSTITUTE(TRIM(B121),"*",""),".",""),"-","")," ",""),4,6),SUBSTITUTE(SUBSTITUTE(SUBSTITUTE(SUBSTITUTE(TRIM(B121),"*",""),".",""),"-","")," ","")))</f>
        <v/>
      </c>
      <c r="E121" s="31" t="str">
        <f aca="false">IF(OR(C121="",D121=""),"",C121&amp;"|"&amp;D121)</f>
        <v/>
      </c>
      <c r="F121" s="11"/>
      <c r="G121" s="11"/>
      <c r="H121" s="22"/>
      <c r="I121" s="23"/>
      <c r="J121" s="11"/>
      <c r="K121" s="25" t="str">
        <f aca="false">IF(C121="","",IF(E121&lt;&gt;"",COUNTIF(Socios!$H:$H,E121),IF(COUNTIF(Socios!$F:$F,C121)&gt;0,"nome igual em Socios: confira o CPF","sem CPF: não cruzado")))</f>
        <v/>
      </c>
      <c r="L121" s="27" t="str">
        <f aca="false">IF(E121="","",COUNTIFS(Eleitoral!$K:$K,E121,Eleitoral!$E:$E,"Doação recebida"))</f>
        <v/>
      </c>
      <c r="M121" s="24"/>
      <c r="N121" s="11"/>
    </row>
    <row r="122" customFormat="false" ht="15" hidden="false" customHeight="false" outlineLevel="0" collapsed="false">
      <c r="A122" s="23"/>
      <c r="B122" s="24"/>
      <c r="C122" s="31" t="str">
        <f aca="false">IF(A122="","",SUBSTITUTE(SUBSTITUTE(SUBSTITUTE(SUBSTITUTE(SUBSTITUTE(SUBSTITUTE(SUBSTITUTE(SUBSTITUTE(SUBSTITUTE(SUBSTITUTE(SUBSTITUTE(SUBSTITUTE(SUBSTITUTE(UPPER(TRIM(A122)),"Á","A"),"À","A"),"Â","A"),"Ã","A"),"É","E"),"Ê","E"),"Í","I"),"Ó","O"),"Ô","O"),"Õ","O"),"Ú","U"),"Ü","U"),"Ç","C"))</f>
        <v/>
      </c>
      <c r="D122" s="31" t="str">
        <f aca="false">IF(B122="","",IF(LEN(SUBSTITUTE(SUBSTITUTE(SUBSTITUTE(SUBSTITUTE(TRIM(B122),"*",""),".",""),"-","")," ",""))=11,MID(SUBSTITUTE(SUBSTITUTE(SUBSTITUTE(SUBSTITUTE(TRIM(B122),"*",""),".",""),"-","")," ",""),4,6),SUBSTITUTE(SUBSTITUTE(SUBSTITUTE(SUBSTITUTE(TRIM(B122),"*",""),".",""),"-","")," ","")))</f>
        <v/>
      </c>
      <c r="E122" s="31" t="str">
        <f aca="false">IF(OR(C122="",D122=""),"",C122&amp;"|"&amp;D122)</f>
        <v/>
      </c>
      <c r="F122" s="11"/>
      <c r="G122" s="11"/>
      <c r="H122" s="22"/>
      <c r="I122" s="23"/>
      <c r="J122" s="11"/>
      <c r="K122" s="25" t="str">
        <f aca="false">IF(C122="","",IF(E122&lt;&gt;"",COUNTIF(Socios!$H:$H,E122),IF(COUNTIF(Socios!$F:$F,C122)&gt;0,"nome igual em Socios: confira o CPF","sem CPF: não cruzado")))</f>
        <v/>
      </c>
      <c r="L122" s="27" t="str">
        <f aca="false">IF(E122="","",COUNTIFS(Eleitoral!$K:$K,E122,Eleitoral!$E:$E,"Doação recebida"))</f>
        <v/>
      </c>
      <c r="M122" s="24"/>
      <c r="N122" s="11"/>
    </row>
    <row r="123" customFormat="false" ht="15" hidden="false" customHeight="false" outlineLevel="0" collapsed="false">
      <c r="A123" s="23"/>
      <c r="B123" s="24"/>
      <c r="C123" s="31" t="str">
        <f aca="false">IF(A123="","",SUBSTITUTE(SUBSTITUTE(SUBSTITUTE(SUBSTITUTE(SUBSTITUTE(SUBSTITUTE(SUBSTITUTE(SUBSTITUTE(SUBSTITUTE(SUBSTITUTE(SUBSTITUTE(SUBSTITUTE(SUBSTITUTE(UPPER(TRIM(A123)),"Á","A"),"À","A"),"Â","A"),"Ã","A"),"É","E"),"Ê","E"),"Í","I"),"Ó","O"),"Ô","O"),"Õ","O"),"Ú","U"),"Ü","U"),"Ç","C"))</f>
        <v/>
      </c>
      <c r="D123" s="31" t="str">
        <f aca="false">IF(B123="","",IF(LEN(SUBSTITUTE(SUBSTITUTE(SUBSTITUTE(SUBSTITUTE(TRIM(B123),"*",""),".",""),"-","")," ",""))=11,MID(SUBSTITUTE(SUBSTITUTE(SUBSTITUTE(SUBSTITUTE(TRIM(B123),"*",""),".",""),"-","")," ",""),4,6),SUBSTITUTE(SUBSTITUTE(SUBSTITUTE(SUBSTITUTE(TRIM(B123),"*",""),".",""),"-","")," ","")))</f>
        <v/>
      </c>
      <c r="E123" s="31" t="str">
        <f aca="false">IF(OR(C123="",D123=""),"",C123&amp;"|"&amp;D123)</f>
        <v/>
      </c>
      <c r="F123" s="11"/>
      <c r="G123" s="11"/>
      <c r="H123" s="22"/>
      <c r="I123" s="23"/>
      <c r="J123" s="11"/>
      <c r="K123" s="25" t="str">
        <f aca="false">IF(C123="","",IF(E123&lt;&gt;"",COUNTIF(Socios!$H:$H,E123),IF(COUNTIF(Socios!$F:$F,C123)&gt;0,"nome igual em Socios: confira o CPF","sem CPF: não cruzado")))</f>
        <v/>
      </c>
      <c r="L123" s="27" t="str">
        <f aca="false">IF(E123="","",COUNTIFS(Eleitoral!$K:$K,E123,Eleitoral!$E:$E,"Doação recebida"))</f>
        <v/>
      </c>
      <c r="M123" s="24"/>
      <c r="N123" s="11"/>
    </row>
    <row r="124" customFormat="false" ht="15" hidden="false" customHeight="false" outlineLevel="0" collapsed="false">
      <c r="A124" s="23"/>
      <c r="B124" s="24"/>
      <c r="C124" s="31" t="str">
        <f aca="false">IF(A124="","",SUBSTITUTE(SUBSTITUTE(SUBSTITUTE(SUBSTITUTE(SUBSTITUTE(SUBSTITUTE(SUBSTITUTE(SUBSTITUTE(SUBSTITUTE(SUBSTITUTE(SUBSTITUTE(SUBSTITUTE(SUBSTITUTE(UPPER(TRIM(A124)),"Á","A"),"À","A"),"Â","A"),"Ã","A"),"É","E"),"Ê","E"),"Í","I"),"Ó","O"),"Ô","O"),"Õ","O"),"Ú","U"),"Ü","U"),"Ç","C"))</f>
        <v/>
      </c>
      <c r="D124" s="31" t="str">
        <f aca="false">IF(B124="","",IF(LEN(SUBSTITUTE(SUBSTITUTE(SUBSTITUTE(SUBSTITUTE(TRIM(B124),"*",""),".",""),"-","")," ",""))=11,MID(SUBSTITUTE(SUBSTITUTE(SUBSTITUTE(SUBSTITUTE(TRIM(B124),"*",""),".",""),"-","")," ",""),4,6),SUBSTITUTE(SUBSTITUTE(SUBSTITUTE(SUBSTITUTE(TRIM(B124),"*",""),".",""),"-","")," ","")))</f>
        <v/>
      </c>
      <c r="E124" s="31" t="str">
        <f aca="false">IF(OR(C124="",D124=""),"",C124&amp;"|"&amp;D124)</f>
        <v/>
      </c>
      <c r="F124" s="11"/>
      <c r="G124" s="11"/>
      <c r="H124" s="22"/>
      <c r="I124" s="23"/>
      <c r="J124" s="11"/>
      <c r="K124" s="25" t="str">
        <f aca="false">IF(C124="","",IF(E124&lt;&gt;"",COUNTIF(Socios!$H:$H,E124),IF(COUNTIF(Socios!$F:$F,C124)&gt;0,"nome igual em Socios: confira o CPF","sem CPF: não cruzado")))</f>
        <v/>
      </c>
      <c r="L124" s="27" t="str">
        <f aca="false">IF(E124="","",COUNTIFS(Eleitoral!$K:$K,E124,Eleitoral!$E:$E,"Doação recebida"))</f>
        <v/>
      </c>
      <c r="M124" s="24"/>
      <c r="N124" s="11"/>
    </row>
    <row r="125" customFormat="false" ht="15" hidden="false" customHeight="false" outlineLevel="0" collapsed="false">
      <c r="A125" s="23"/>
      <c r="B125" s="24"/>
      <c r="C125" s="31" t="str">
        <f aca="false">IF(A125="","",SUBSTITUTE(SUBSTITUTE(SUBSTITUTE(SUBSTITUTE(SUBSTITUTE(SUBSTITUTE(SUBSTITUTE(SUBSTITUTE(SUBSTITUTE(SUBSTITUTE(SUBSTITUTE(SUBSTITUTE(SUBSTITUTE(UPPER(TRIM(A125)),"Á","A"),"À","A"),"Â","A"),"Ã","A"),"É","E"),"Ê","E"),"Í","I"),"Ó","O"),"Ô","O"),"Õ","O"),"Ú","U"),"Ü","U"),"Ç","C"))</f>
        <v/>
      </c>
      <c r="D125" s="31" t="str">
        <f aca="false">IF(B125="","",IF(LEN(SUBSTITUTE(SUBSTITUTE(SUBSTITUTE(SUBSTITUTE(TRIM(B125),"*",""),".",""),"-","")," ",""))=11,MID(SUBSTITUTE(SUBSTITUTE(SUBSTITUTE(SUBSTITUTE(TRIM(B125),"*",""),".",""),"-","")," ",""),4,6),SUBSTITUTE(SUBSTITUTE(SUBSTITUTE(SUBSTITUTE(TRIM(B125),"*",""),".",""),"-","")," ","")))</f>
        <v/>
      </c>
      <c r="E125" s="31" t="str">
        <f aca="false">IF(OR(C125="",D125=""),"",C125&amp;"|"&amp;D125)</f>
        <v/>
      </c>
      <c r="F125" s="11"/>
      <c r="G125" s="11"/>
      <c r="H125" s="22"/>
      <c r="I125" s="23"/>
      <c r="J125" s="11"/>
      <c r="K125" s="25" t="str">
        <f aca="false">IF(C125="","",IF(E125&lt;&gt;"",COUNTIF(Socios!$H:$H,E125),IF(COUNTIF(Socios!$F:$F,C125)&gt;0,"nome igual em Socios: confira o CPF","sem CPF: não cruzado")))</f>
        <v/>
      </c>
      <c r="L125" s="27" t="str">
        <f aca="false">IF(E125="","",COUNTIFS(Eleitoral!$K:$K,E125,Eleitoral!$E:$E,"Doação recebida"))</f>
        <v/>
      </c>
      <c r="M125" s="24"/>
      <c r="N125" s="11"/>
    </row>
    <row r="126" customFormat="false" ht="15" hidden="false" customHeight="false" outlineLevel="0" collapsed="false">
      <c r="A126" s="23"/>
      <c r="B126" s="24"/>
      <c r="C126" s="31" t="str">
        <f aca="false">IF(A126="","",SUBSTITUTE(SUBSTITUTE(SUBSTITUTE(SUBSTITUTE(SUBSTITUTE(SUBSTITUTE(SUBSTITUTE(SUBSTITUTE(SUBSTITUTE(SUBSTITUTE(SUBSTITUTE(SUBSTITUTE(SUBSTITUTE(UPPER(TRIM(A126)),"Á","A"),"À","A"),"Â","A"),"Ã","A"),"É","E"),"Ê","E"),"Í","I"),"Ó","O"),"Ô","O"),"Õ","O"),"Ú","U"),"Ü","U"),"Ç","C"))</f>
        <v/>
      </c>
      <c r="D126" s="31" t="str">
        <f aca="false">IF(B126="","",IF(LEN(SUBSTITUTE(SUBSTITUTE(SUBSTITUTE(SUBSTITUTE(TRIM(B126),"*",""),".",""),"-","")," ",""))=11,MID(SUBSTITUTE(SUBSTITUTE(SUBSTITUTE(SUBSTITUTE(TRIM(B126),"*",""),".",""),"-","")," ",""),4,6),SUBSTITUTE(SUBSTITUTE(SUBSTITUTE(SUBSTITUTE(TRIM(B126),"*",""),".",""),"-","")," ","")))</f>
        <v/>
      </c>
      <c r="E126" s="31" t="str">
        <f aca="false">IF(OR(C126="",D126=""),"",C126&amp;"|"&amp;D126)</f>
        <v/>
      </c>
      <c r="F126" s="11"/>
      <c r="G126" s="11"/>
      <c r="H126" s="22"/>
      <c r="I126" s="23"/>
      <c r="J126" s="11"/>
      <c r="K126" s="25" t="str">
        <f aca="false">IF(C126="","",IF(E126&lt;&gt;"",COUNTIF(Socios!$H:$H,E126),IF(COUNTIF(Socios!$F:$F,C126)&gt;0,"nome igual em Socios: confira o CPF","sem CPF: não cruzado")))</f>
        <v/>
      </c>
      <c r="L126" s="27" t="str">
        <f aca="false">IF(E126="","",COUNTIFS(Eleitoral!$K:$K,E126,Eleitoral!$E:$E,"Doação recebida"))</f>
        <v/>
      </c>
      <c r="M126" s="24"/>
      <c r="N126" s="11"/>
    </row>
    <row r="127" customFormat="false" ht="15" hidden="false" customHeight="false" outlineLevel="0" collapsed="false">
      <c r="A127" s="23"/>
      <c r="B127" s="24"/>
      <c r="C127" s="31" t="str">
        <f aca="false">IF(A127="","",SUBSTITUTE(SUBSTITUTE(SUBSTITUTE(SUBSTITUTE(SUBSTITUTE(SUBSTITUTE(SUBSTITUTE(SUBSTITUTE(SUBSTITUTE(SUBSTITUTE(SUBSTITUTE(SUBSTITUTE(SUBSTITUTE(UPPER(TRIM(A127)),"Á","A"),"À","A"),"Â","A"),"Ã","A"),"É","E"),"Ê","E"),"Í","I"),"Ó","O"),"Ô","O"),"Õ","O"),"Ú","U"),"Ü","U"),"Ç","C"))</f>
        <v/>
      </c>
      <c r="D127" s="31" t="str">
        <f aca="false">IF(B127="","",IF(LEN(SUBSTITUTE(SUBSTITUTE(SUBSTITUTE(SUBSTITUTE(TRIM(B127),"*",""),".",""),"-","")," ",""))=11,MID(SUBSTITUTE(SUBSTITUTE(SUBSTITUTE(SUBSTITUTE(TRIM(B127),"*",""),".",""),"-","")," ",""),4,6),SUBSTITUTE(SUBSTITUTE(SUBSTITUTE(SUBSTITUTE(TRIM(B127),"*",""),".",""),"-","")," ","")))</f>
        <v/>
      </c>
      <c r="E127" s="31" t="str">
        <f aca="false">IF(OR(C127="",D127=""),"",C127&amp;"|"&amp;D127)</f>
        <v/>
      </c>
      <c r="F127" s="11"/>
      <c r="G127" s="11"/>
      <c r="H127" s="22"/>
      <c r="I127" s="23"/>
      <c r="J127" s="11"/>
      <c r="K127" s="25" t="str">
        <f aca="false">IF(C127="","",IF(E127&lt;&gt;"",COUNTIF(Socios!$H:$H,E127),IF(COUNTIF(Socios!$F:$F,C127)&gt;0,"nome igual em Socios: confira o CPF","sem CPF: não cruzado")))</f>
        <v/>
      </c>
      <c r="L127" s="27" t="str">
        <f aca="false">IF(E127="","",COUNTIFS(Eleitoral!$K:$K,E127,Eleitoral!$E:$E,"Doação recebida"))</f>
        <v/>
      </c>
      <c r="M127" s="24"/>
      <c r="N127" s="11"/>
    </row>
    <row r="128" customFormat="false" ht="15" hidden="false" customHeight="false" outlineLevel="0" collapsed="false">
      <c r="A128" s="23"/>
      <c r="B128" s="24"/>
      <c r="C128" s="31" t="str">
        <f aca="false">IF(A128="","",SUBSTITUTE(SUBSTITUTE(SUBSTITUTE(SUBSTITUTE(SUBSTITUTE(SUBSTITUTE(SUBSTITUTE(SUBSTITUTE(SUBSTITUTE(SUBSTITUTE(SUBSTITUTE(SUBSTITUTE(SUBSTITUTE(UPPER(TRIM(A128)),"Á","A"),"À","A"),"Â","A"),"Ã","A"),"É","E"),"Ê","E"),"Í","I"),"Ó","O"),"Ô","O"),"Õ","O"),"Ú","U"),"Ü","U"),"Ç","C"))</f>
        <v/>
      </c>
      <c r="D128" s="31" t="str">
        <f aca="false">IF(B128="","",IF(LEN(SUBSTITUTE(SUBSTITUTE(SUBSTITUTE(SUBSTITUTE(TRIM(B128),"*",""),".",""),"-","")," ",""))=11,MID(SUBSTITUTE(SUBSTITUTE(SUBSTITUTE(SUBSTITUTE(TRIM(B128),"*",""),".",""),"-","")," ",""),4,6),SUBSTITUTE(SUBSTITUTE(SUBSTITUTE(SUBSTITUTE(TRIM(B128),"*",""),".",""),"-","")," ","")))</f>
        <v/>
      </c>
      <c r="E128" s="31" t="str">
        <f aca="false">IF(OR(C128="",D128=""),"",C128&amp;"|"&amp;D128)</f>
        <v/>
      </c>
      <c r="F128" s="11"/>
      <c r="G128" s="11"/>
      <c r="H128" s="22"/>
      <c r="I128" s="23"/>
      <c r="J128" s="11"/>
      <c r="K128" s="25" t="str">
        <f aca="false">IF(C128="","",IF(E128&lt;&gt;"",COUNTIF(Socios!$H:$H,E128),IF(COUNTIF(Socios!$F:$F,C128)&gt;0,"nome igual em Socios: confira o CPF","sem CPF: não cruzado")))</f>
        <v/>
      </c>
      <c r="L128" s="27" t="str">
        <f aca="false">IF(E128="","",COUNTIFS(Eleitoral!$K:$K,E128,Eleitoral!$E:$E,"Doação recebida"))</f>
        <v/>
      </c>
      <c r="M128" s="24"/>
      <c r="N128" s="11"/>
    </row>
    <row r="129" customFormat="false" ht="15" hidden="false" customHeight="false" outlineLevel="0" collapsed="false">
      <c r="A129" s="23"/>
      <c r="B129" s="24"/>
      <c r="C129" s="31" t="str">
        <f aca="false">IF(A129="","",SUBSTITUTE(SUBSTITUTE(SUBSTITUTE(SUBSTITUTE(SUBSTITUTE(SUBSTITUTE(SUBSTITUTE(SUBSTITUTE(SUBSTITUTE(SUBSTITUTE(SUBSTITUTE(SUBSTITUTE(SUBSTITUTE(UPPER(TRIM(A129)),"Á","A"),"À","A"),"Â","A"),"Ã","A"),"É","E"),"Ê","E"),"Í","I"),"Ó","O"),"Ô","O"),"Õ","O"),"Ú","U"),"Ü","U"),"Ç","C"))</f>
        <v/>
      </c>
      <c r="D129" s="31" t="str">
        <f aca="false">IF(B129="","",IF(LEN(SUBSTITUTE(SUBSTITUTE(SUBSTITUTE(SUBSTITUTE(TRIM(B129),"*",""),".",""),"-","")," ",""))=11,MID(SUBSTITUTE(SUBSTITUTE(SUBSTITUTE(SUBSTITUTE(TRIM(B129),"*",""),".",""),"-","")," ",""),4,6),SUBSTITUTE(SUBSTITUTE(SUBSTITUTE(SUBSTITUTE(TRIM(B129),"*",""),".",""),"-","")," ","")))</f>
        <v/>
      </c>
      <c r="E129" s="31" t="str">
        <f aca="false">IF(OR(C129="",D129=""),"",C129&amp;"|"&amp;D129)</f>
        <v/>
      </c>
      <c r="F129" s="11"/>
      <c r="G129" s="11"/>
      <c r="H129" s="22"/>
      <c r="I129" s="23"/>
      <c r="J129" s="11"/>
      <c r="K129" s="25" t="str">
        <f aca="false">IF(C129="","",IF(E129&lt;&gt;"",COUNTIF(Socios!$H:$H,E129),IF(COUNTIF(Socios!$F:$F,C129)&gt;0,"nome igual em Socios: confira o CPF","sem CPF: não cruzado")))</f>
        <v/>
      </c>
      <c r="L129" s="27" t="str">
        <f aca="false">IF(E129="","",COUNTIFS(Eleitoral!$K:$K,E129,Eleitoral!$E:$E,"Doação recebida"))</f>
        <v/>
      </c>
      <c r="M129" s="24"/>
      <c r="N129" s="11"/>
    </row>
    <row r="130" customFormat="false" ht="15" hidden="false" customHeight="false" outlineLevel="0" collapsed="false">
      <c r="A130" s="23"/>
      <c r="B130" s="24"/>
      <c r="C130" s="31" t="str">
        <f aca="false">IF(A130="","",SUBSTITUTE(SUBSTITUTE(SUBSTITUTE(SUBSTITUTE(SUBSTITUTE(SUBSTITUTE(SUBSTITUTE(SUBSTITUTE(SUBSTITUTE(SUBSTITUTE(SUBSTITUTE(SUBSTITUTE(SUBSTITUTE(UPPER(TRIM(A130)),"Á","A"),"À","A"),"Â","A"),"Ã","A"),"É","E"),"Ê","E"),"Í","I"),"Ó","O"),"Ô","O"),"Õ","O"),"Ú","U"),"Ü","U"),"Ç","C"))</f>
        <v/>
      </c>
      <c r="D130" s="31" t="str">
        <f aca="false">IF(B130="","",IF(LEN(SUBSTITUTE(SUBSTITUTE(SUBSTITUTE(SUBSTITUTE(TRIM(B130),"*",""),".",""),"-","")," ",""))=11,MID(SUBSTITUTE(SUBSTITUTE(SUBSTITUTE(SUBSTITUTE(TRIM(B130),"*",""),".",""),"-","")," ",""),4,6),SUBSTITUTE(SUBSTITUTE(SUBSTITUTE(SUBSTITUTE(TRIM(B130),"*",""),".",""),"-","")," ","")))</f>
        <v/>
      </c>
      <c r="E130" s="31" t="str">
        <f aca="false">IF(OR(C130="",D130=""),"",C130&amp;"|"&amp;D130)</f>
        <v/>
      </c>
      <c r="F130" s="11"/>
      <c r="G130" s="11"/>
      <c r="H130" s="22"/>
      <c r="I130" s="23"/>
      <c r="J130" s="11"/>
      <c r="K130" s="25" t="str">
        <f aca="false">IF(C130="","",IF(E130&lt;&gt;"",COUNTIF(Socios!$H:$H,E130),IF(COUNTIF(Socios!$F:$F,C130)&gt;0,"nome igual em Socios: confira o CPF","sem CPF: não cruzado")))</f>
        <v/>
      </c>
      <c r="L130" s="27" t="str">
        <f aca="false">IF(E130="","",COUNTIFS(Eleitoral!$K:$K,E130,Eleitoral!$E:$E,"Doação recebida"))</f>
        <v/>
      </c>
      <c r="M130" s="24"/>
      <c r="N130" s="11"/>
    </row>
    <row r="131" customFormat="false" ht="15" hidden="false" customHeight="false" outlineLevel="0" collapsed="false">
      <c r="A131" s="23"/>
      <c r="B131" s="24"/>
      <c r="C131" s="31" t="str">
        <f aca="false">IF(A131="","",SUBSTITUTE(SUBSTITUTE(SUBSTITUTE(SUBSTITUTE(SUBSTITUTE(SUBSTITUTE(SUBSTITUTE(SUBSTITUTE(SUBSTITUTE(SUBSTITUTE(SUBSTITUTE(SUBSTITUTE(SUBSTITUTE(UPPER(TRIM(A131)),"Á","A"),"À","A"),"Â","A"),"Ã","A"),"É","E"),"Ê","E"),"Í","I"),"Ó","O"),"Ô","O"),"Õ","O"),"Ú","U"),"Ü","U"),"Ç","C"))</f>
        <v/>
      </c>
      <c r="D131" s="31" t="str">
        <f aca="false">IF(B131="","",IF(LEN(SUBSTITUTE(SUBSTITUTE(SUBSTITUTE(SUBSTITUTE(TRIM(B131),"*",""),".",""),"-","")," ",""))=11,MID(SUBSTITUTE(SUBSTITUTE(SUBSTITUTE(SUBSTITUTE(TRIM(B131),"*",""),".",""),"-","")," ",""),4,6),SUBSTITUTE(SUBSTITUTE(SUBSTITUTE(SUBSTITUTE(TRIM(B131),"*",""),".",""),"-","")," ","")))</f>
        <v/>
      </c>
      <c r="E131" s="31" t="str">
        <f aca="false">IF(OR(C131="",D131=""),"",C131&amp;"|"&amp;D131)</f>
        <v/>
      </c>
      <c r="F131" s="11"/>
      <c r="G131" s="11"/>
      <c r="H131" s="22"/>
      <c r="I131" s="23"/>
      <c r="J131" s="11"/>
      <c r="K131" s="25" t="str">
        <f aca="false">IF(C131="","",IF(E131&lt;&gt;"",COUNTIF(Socios!$H:$H,E131),IF(COUNTIF(Socios!$F:$F,C131)&gt;0,"nome igual em Socios: confira o CPF","sem CPF: não cruzado")))</f>
        <v/>
      </c>
      <c r="L131" s="27" t="str">
        <f aca="false">IF(E131="","",COUNTIFS(Eleitoral!$K:$K,E131,Eleitoral!$E:$E,"Doação recebida"))</f>
        <v/>
      </c>
      <c r="M131" s="24"/>
      <c r="N131" s="11"/>
    </row>
    <row r="132" customFormat="false" ht="15" hidden="false" customHeight="false" outlineLevel="0" collapsed="false">
      <c r="A132" s="23"/>
      <c r="B132" s="24"/>
      <c r="C132" s="31" t="str">
        <f aca="false">IF(A132="","",SUBSTITUTE(SUBSTITUTE(SUBSTITUTE(SUBSTITUTE(SUBSTITUTE(SUBSTITUTE(SUBSTITUTE(SUBSTITUTE(SUBSTITUTE(SUBSTITUTE(SUBSTITUTE(SUBSTITUTE(SUBSTITUTE(UPPER(TRIM(A132)),"Á","A"),"À","A"),"Â","A"),"Ã","A"),"É","E"),"Ê","E"),"Í","I"),"Ó","O"),"Ô","O"),"Õ","O"),"Ú","U"),"Ü","U"),"Ç","C"))</f>
        <v/>
      </c>
      <c r="D132" s="31" t="str">
        <f aca="false">IF(B132="","",IF(LEN(SUBSTITUTE(SUBSTITUTE(SUBSTITUTE(SUBSTITUTE(TRIM(B132),"*",""),".",""),"-","")," ",""))=11,MID(SUBSTITUTE(SUBSTITUTE(SUBSTITUTE(SUBSTITUTE(TRIM(B132),"*",""),".",""),"-","")," ",""),4,6),SUBSTITUTE(SUBSTITUTE(SUBSTITUTE(SUBSTITUTE(TRIM(B132),"*",""),".",""),"-","")," ","")))</f>
        <v/>
      </c>
      <c r="E132" s="31" t="str">
        <f aca="false">IF(OR(C132="",D132=""),"",C132&amp;"|"&amp;D132)</f>
        <v/>
      </c>
      <c r="F132" s="11"/>
      <c r="G132" s="11"/>
      <c r="H132" s="22"/>
      <c r="I132" s="23"/>
      <c r="J132" s="11"/>
      <c r="K132" s="25" t="str">
        <f aca="false">IF(C132="","",IF(E132&lt;&gt;"",COUNTIF(Socios!$H:$H,E132),IF(COUNTIF(Socios!$F:$F,C132)&gt;0,"nome igual em Socios: confira o CPF","sem CPF: não cruzado")))</f>
        <v/>
      </c>
      <c r="L132" s="27" t="str">
        <f aca="false">IF(E132="","",COUNTIFS(Eleitoral!$K:$K,E132,Eleitoral!$E:$E,"Doação recebida"))</f>
        <v/>
      </c>
      <c r="M132" s="24"/>
      <c r="N132" s="11"/>
    </row>
    <row r="133" customFormat="false" ht="15" hidden="false" customHeight="false" outlineLevel="0" collapsed="false">
      <c r="A133" s="23"/>
      <c r="B133" s="24"/>
      <c r="C133" s="31" t="str">
        <f aca="false">IF(A133="","",SUBSTITUTE(SUBSTITUTE(SUBSTITUTE(SUBSTITUTE(SUBSTITUTE(SUBSTITUTE(SUBSTITUTE(SUBSTITUTE(SUBSTITUTE(SUBSTITUTE(SUBSTITUTE(SUBSTITUTE(SUBSTITUTE(UPPER(TRIM(A133)),"Á","A"),"À","A"),"Â","A"),"Ã","A"),"É","E"),"Ê","E"),"Í","I"),"Ó","O"),"Ô","O"),"Õ","O"),"Ú","U"),"Ü","U"),"Ç","C"))</f>
        <v/>
      </c>
      <c r="D133" s="31" t="str">
        <f aca="false">IF(B133="","",IF(LEN(SUBSTITUTE(SUBSTITUTE(SUBSTITUTE(SUBSTITUTE(TRIM(B133),"*",""),".",""),"-","")," ",""))=11,MID(SUBSTITUTE(SUBSTITUTE(SUBSTITUTE(SUBSTITUTE(TRIM(B133),"*",""),".",""),"-","")," ",""),4,6),SUBSTITUTE(SUBSTITUTE(SUBSTITUTE(SUBSTITUTE(TRIM(B133),"*",""),".",""),"-","")," ","")))</f>
        <v/>
      </c>
      <c r="E133" s="31" t="str">
        <f aca="false">IF(OR(C133="",D133=""),"",C133&amp;"|"&amp;D133)</f>
        <v/>
      </c>
      <c r="F133" s="11"/>
      <c r="G133" s="11"/>
      <c r="H133" s="22"/>
      <c r="I133" s="23"/>
      <c r="J133" s="11"/>
      <c r="K133" s="25" t="str">
        <f aca="false">IF(C133="","",IF(E133&lt;&gt;"",COUNTIF(Socios!$H:$H,E133),IF(COUNTIF(Socios!$F:$F,C133)&gt;0,"nome igual em Socios: confira o CPF","sem CPF: não cruzado")))</f>
        <v/>
      </c>
      <c r="L133" s="27" t="str">
        <f aca="false">IF(E133="","",COUNTIFS(Eleitoral!$K:$K,E133,Eleitoral!$E:$E,"Doação recebida"))</f>
        <v/>
      </c>
      <c r="M133" s="24"/>
      <c r="N133" s="11"/>
    </row>
    <row r="134" customFormat="false" ht="15" hidden="false" customHeight="false" outlineLevel="0" collapsed="false">
      <c r="A134" s="23"/>
      <c r="B134" s="24"/>
      <c r="C134" s="31" t="str">
        <f aca="false">IF(A134="","",SUBSTITUTE(SUBSTITUTE(SUBSTITUTE(SUBSTITUTE(SUBSTITUTE(SUBSTITUTE(SUBSTITUTE(SUBSTITUTE(SUBSTITUTE(SUBSTITUTE(SUBSTITUTE(SUBSTITUTE(SUBSTITUTE(UPPER(TRIM(A134)),"Á","A"),"À","A"),"Â","A"),"Ã","A"),"É","E"),"Ê","E"),"Í","I"),"Ó","O"),"Ô","O"),"Õ","O"),"Ú","U"),"Ü","U"),"Ç","C"))</f>
        <v/>
      </c>
      <c r="D134" s="31" t="str">
        <f aca="false">IF(B134="","",IF(LEN(SUBSTITUTE(SUBSTITUTE(SUBSTITUTE(SUBSTITUTE(TRIM(B134),"*",""),".",""),"-","")," ",""))=11,MID(SUBSTITUTE(SUBSTITUTE(SUBSTITUTE(SUBSTITUTE(TRIM(B134),"*",""),".",""),"-","")," ",""),4,6),SUBSTITUTE(SUBSTITUTE(SUBSTITUTE(SUBSTITUTE(TRIM(B134),"*",""),".",""),"-","")," ","")))</f>
        <v/>
      </c>
      <c r="E134" s="31" t="str">
        <f aca="false">IF(OR(C134="",D134=""),"",C134&amp;"|"&amp;D134)</f>
        <v/>
      </c>
      <c r="F134" s="11"/>
      <c r="G134" s="11"/>
      <c r="H134" s="22"/>
      <c r="I134" s="23"/>
      <c r="J134" s="11"/>
      <c r="K134" s="25" t="str">
        <f aca="false">IF(C134="","",IF(E134&lt;&gt;"",COUNTIF(Socios!$H:$H,E134),IF(COUNTIF(Socios!$F:$F,C134)&gt;0,"nome igual em Socios: confira o CPF","sem CPF: não cruzado")))</f>
        <v/>
      </c>
      <c r="L134" s="27" t="str">
        <f aca="false">IF(E134="","",COUNTIFS(Eleitoral!$K:$K,E134,Eleitoral!$E:$E,"Doação recebida"))</f>
        <v/>
      </c>
      <c r="M134" s="24"/>
      <c r="N134" s="11"/>
    </row>
    <row r="135" customFormat="false" ht="15" hidden="false" customHeight="false" outlineLevel="0" collapsed="false">
      <c r="A135" s="23"/>
      <c r="B135" s="24"/>
      <c r="C135" s="31" t="str">
        <f aca="false">IF(A135="","",SUBSTITUTE(SUBSTITUTE(SUBSTITUTE(SUBSTITUTE(SUBSTITUTE(SUBSTITUTE(SUBSTITUTE(SUBSTITUTE(SUBSTITUTE(SUBSTITUTE(SUBSTITUTE(SUBSTITUTE(SUBSTITUTE(UPPER(TRIM(A135)),"Á","A"),"À","A"),"Â","A"),"Ã","A"),"É","E"),"Ê","E"),"Í","I"),"Ó","O"),"Ô","O"),"Õ","O"),"Ú","U"),"Ü","U"),"Ç","C"))</f>
        <v/>
      </c>
      <c r="D135" s="31" t="str">
        <f aca="false">IF(B135="","",IF(LEN(SUBSTITUTE(SUBSTITUTE(SUBSTITUTE(SUBSTITUTE(TRIM(B135),"*",""),".",""),"-","")," ",""))=11,MID(SUBSTITUTE(SUBSTITUTE(SUBSTITUTE(SUBSTITUTE(TRIM(B135),"*",""),".",""),"-","")," ",""),4,6),SUBSTITUTE(SUBSTITUTE(SUBSTITUTE(SUBSTITUTE(TRIM(B135),"*",""),".",""),"-","")," ","")))</f>
        <v/>
      </c>
      <c r="E135" s="31" t="str">
        <f aca="false">IF(OR(C135="",D135=""),"",C135&amp;"|"&amp;D135)</f>
        <v/>
      </c>
      <c r="F135" s="11"/>
      <c r="G135" s="11"/>
      <c r="H135" s="22"/>
      <c r="I135" s="23"/>
      <c r="J135" s="11"/>
      <c r="K135" s="25" t="str">
        <f aca="false">IF(C135="","",IF(E135&lt;&gt;"",COUNTIF(Socios!$H:$H,E135),IF(COUNTIF(Socios!$F:$F,C135)&gt;0,"nome igual em Socios: confira o CPF","sem CPF: não cruzado")))</f>
        <v/>
      </c>
      <c r="L135" s="27" t="str">
        <f aca="false">IF(E135="","",COUNTIFS(Eleitoral!$K:$K,E135,Eleitoral!$E:$E,"Doação recebida"))</f>
        <v/>
      </c>
      <c r="M135" s="24"/>
      <c r="N135" s="11"/>
    </row>
    <row r="136" customFormat="false" ht="15" hidden="false" customHeight="false" outlineLevel="0" collapsed="false">
      <c r="A136" s="23"/>
      <c r="B136" s="24"/>
      <c r="C136" s="31" t="str">
        <f aca="false">IF(A136="","",SUBSTITUTE(SUBSTITUTE(SUBSTITUTE(SUBSTITUTE(SUBSTITUTE(SUBSTITUTE(SUBSTITUTE(SUBSTITUTE(SUBSTITUTE(SUBSTITUTE(SUBSTITUTE(SUBSTITUTE(SUBSTITUTE(UPPER(TRIM(A136)),"Á","A"),"À","A"),"Â","A"),"Ã","A"),"É","E"),"Ê","E"),"Í","I"),"Ó","O"),"Ô","O"),"Õ","O"),"Ú","U"),"Ü","U"),"Ç","C"))</f>
        <v/>
      </c>
      <c r="D136" s="31" t="str">
        <f aca="false">IF(B136="","",IF(LEN(SUBSTITUTE(SUBSTITUTE(SUBSTITUTE(SUBSTITUTE(TRIM(B136),"*",""),".",""),"-","")," ",""))=11,MID(SUBSTITUTE(SUBSTITUTE(SUBSTITUTE(SUBSTITUTE(TRIM(B136),"*",""),".",""),"-","")," ",""),4,6),SUBSTITUTE(SUBSTITUTE(SUBSTITUTE(SUBSTITUTE(TRIM(B136),"*",""),".",""),"-","")," ","")))</f>
        <v/>
      </c>
      <c r="E136" s="31" t="str">
        <f aca="false">IF(OR(C136="",D136=""),"",C136&amp;"|"&amp;D136)</f>
        <v/>
      </c>
      <c r="F136" s="11"/>
      <c r="G136" s="11"/>
      <c r="H136" s="22"/>
      <c r="I136" s="23"/>
      <c r="J136" s="11"/>
      <c r="K136" s="25" t="str">
        <f aca="false">IF(C136="","",IF(E136&lt;&gt;"",COUNTIF(Socios!$H:$H,E136),IF(COUNTIF(Socios!$F:$F,C136)&gt;0,"nome igual em Socios: confira o CPF","sem CPF: não cruzado")))</f>
        <v/>
      </c>
      <c r="L136" s="27" t="str">
        <f aca="false">IF(E136="","",COUNTIFS(Eleitoral!$K:$K,E136,Eleitoral!$E:$E,"Doação recebida"))</f>
        <v/>
      </c>
      <c r="M136" s="24"/>
      <c r="N136" s="11"/>
    </row>
    <row r="137" customFormat="false" ht="15" hidden="false" customHeight="false" outlineLevel="0" collapsed="false">
      <c r="A137" s="23"/>
      <c r="B137" s="24"/>
      <c r="C137" s="31" t="str">
        <f aca="false">IF(A137="","",SUBSTITUTE(SUBSTITUTE(SUBSTITUTE(SUBSTITUTE(SUBSTITUTE(SUBSTITUTE(SUBSTITUTE(SUBSTITUTE(SUBSTITUTE(SUBSTITUTE(SUBSTITUTE(SUBSTITUTE(SUBSTITUTE(UPPER(TRIM(A137)),"Á","A"),"À","A"),"Â","A"),"Ã","A"),"É","E"),"Ê","E"),"Í","I"),"Ó","O"),"Ô","O"),"Õ","O"),"Ú","U"),"Ü","U"),"Ç","C"))</f>
        <v/>
      </c>
      <c r="D137" s="31" t="str">
        <f aca="false">IF(B137="","",IF(LEN(SUBSTITUTE(SUBSTITUTE(SUBSTITUTE(SUBSTITUTE(TRIM(B137),"*",""),".",""),"-","")," ",""))=11,MID(SUBSTITUTE(SUBSTITUTE(SUBSTITUTE(SUBSTITUTE(TRIM(B137),"*",""),".",""),"-","")," ",""),4,6),SUBSTITUTE(SUBSTITUTE(SUBSTITUTE(SUBSTITUTE(TRIM(B137),"*",""),".",""),"-","")," ","")))</f>
        <v/>
      </c>
      <c r="E137" s="31" t="str">
        <f aca="false">IF(OR(C137="",D137=""),"",C137&amp;"|"&amp;D137)</f>
        <v/>
      </c>
      <c r="F137" s="11"/>
      <c r="G137" s="11"/>
      <c r="H137" s="22"/>
      <c r="I137" s="23"/>
      <c r="J137" s="11"/>
      <c r="K137" s="25" t="str">
        <f aca="false">IF(C137="","",IF(E137&lt;&gt;"",COUNTIF(Socios!$H:$H,E137),IF(COUNTIF(Socios!$F:$F,C137)&gt;0,"nome igual em Socios: confira o CPF","sem CPF: não cruzado")))</f>
        <v/>
      </c>
      <c r="L137" s="27" t="str">
        <f aca="false">IF(E137="","",COUNTIFS(Eleitoral!$K:$K,E137,Eleitoral!$E:$E,"Doação recebida"))</f>
        <v/>
      </c>
      <c r="M137" s="24"/>
      <c r="N137" s="11"/>
    </row>
    <row r="138" customFormat="false" ht="15" hidden="false" customHeight="false" outlineLevel="0" collapsed="false">
      <c r="A138" s="23"/>
      <c r="B138" s="24"/>
      <c r="C138" s="31" t="str">
        <f aca="false">IF(A138="","",SUBSTITUTE(SUBSTITUTE(SUBSTITUTE(SUBSTITUTE(SUBSTITUTE(SUBSTITUTE(SUBSTITUTE(SUBSTITUTE(SUBSTITUTE(SUBSTITUTE(SUBSTITUTE(SUBSTITUTE(SUBSTITUTE(UPPER(TRIM(A138)),"Á","A"),"À","A"),"Â","A"),"Ã","A"),"É","E"),"Ê","E"),"Í","I"),"Ó","O"),"Ô","O"),"Õ","O"),"Ú","U"),"Ü","U"),"Ç","C"))</f>
        <v/>
      </c>
      <c r="D138" s="31" t="str">
        <f aca="false">IF(B138="","",IF(LEN(SUBSTITUTE(SUBSTITUTE(SUBSTITUTE(SUBSTITUTE(TRIM(B138),"*",""),".",""),"-","")," ",""))=11,MID(SUBSTITUTE(SUBSTITUTE(SUBSTITUTE(SUBSTITUTE(TRIM(B138),"*",""),".",""),"-","")," ",""),4,6),SUBSTITUTE(SUBSTITUTE(SUBSTITUTE(SUBSTITUTE(TRIM(B138),"*",""),".",""),"-","")," ","")))</f>
        <v/>
      </c>
      <c r="E138" s="31" t="str">
        <f aca="false">IF(OR(C138="",D138=""),"",C138&amp;"|"&amp;D138)</f>
        <v/>
      </c>
      <c r="F138" s="11"/>
      <c r="G138" s="11"/>
      <c r="H138" s="22"/>
      <c r="I138" s="23"/>
      <c r="J138" s="11"/>
      <c r="K138" s="25" t="str">
        <f aca="false">IF(C138="","",IF(E138&lt;&gt;"",COUNTIF(Socios!$H:$H,E138),IF(COUNTIF(Socios!$F:$F,C138)&gt;0,"nome igual em Socios: confira o CPF","sem CPF: não cruzado")))</f>
        <v/>
      </c>
      <c r="L138" s="27" t="str">
        <f aca="false">IF(E138="","",COUNTIFS(Eleitoral!$K:$K,E138,Eleitoral!$E:$E,"Doação recebida"))</f>
        <v/>
      </c>
      <c r="M138" s="24"/>
      <c r="N138" s="11"/>
    </row>
    <row r="139" customFormat="false" ht="15" hidden="false" customHeight="false" outlineLevel="0" collapsed="false">
      <c r="A139" s="23"/>
      <c r="B139" s="24"/>
      <c r="C139" s="31" t="str">
        <f aca="false">IF(A139="","",SUBSTITUTE(SUBSTITUTE(SUBSTITUTE(SUBSTITUTE(SUBSTITUTE(SUBSTITUTE(SUBSTITUTE(SUBSTITUTE(SUBSTITUTE(SUBSTITUTE(SUBSTITUTE(SUBSTITUTE(SUBSTITUTE(UPPER(TRIM(A139)),"Á","A"),"À","A"),"Â","A"),"Ã","A"),"É","E"),"Ê","E"),"Í","I"),"Ó","O"),"Ô","O"),"Õ","O"),"Ú","U"),"Ü","U"),"Ç","C"))</f>
        <v/>
      </c>
      <c r="D139" s="31" t="str">
        <f aca="false">IF(B139="","",IF(LEN(SUBSTITUTE(SUBSTITUTE(SUBSTITUTE(SUBSTITUTE(TRIM(B139),"*",""),".",""),"-","")," ",""))=11,MID(SUBSTITUTE(SUBSTITUTE(SUBSTITUTE(SUBSTITUTE(TRIM(B139),"*",""),".",""),"-","")," ",""),4,6),SUBSTITUTE(SUBSTITUTE(SUBSTITUTE(SUBSTITUTE(TRIM(B139),"*",""),".",""),"-","")," ","")))</f>
        <v/>
      </c>
      <c r="E139" s="31" t="str">
        <f aca="false">IF(OR(C139="",D139=""),"",C139&amp;"|"&amp;D139)</f>
        <v/>
      </c>
      <c r="F139" s="11"/>
      <c r="G139" s="11"/>
      <c r="H139" s="22"/>
      <c r="I139" s="23"/>
      <c r="J139" s="11"/>
      <c r="K139" s="25" t="str">
        <f aca="false">IF(C139="","",IF(E139&lt;&gt;"",COUNTIF(Socios!$H:$H,E139),IF(COUNTIF(Socios!$F:$F,C139)&gt;0,"nome igual em Socios: confira o CPF","sem CPF: não cruzado")))</f>
        <v/>
      </c>
      <c r="L139" s="27" t="str">
        <f aca="false">IF(E139="","",COUNTIFS(Eleitoral!$K:$K,E139,Eleitoral!$E:$E,"Doação recebida"))</f>
        <v/>
      </c>
      <c r="M139" s="24"/>
      <c r="N139" s="11"/>
    </row>
    <row r="140" customFormat="false" ht="15" hidden="false" customHeight="false" outlineLevel="0" collapsed="false">
      <c r="A140" s="23"/>
      <c r="B140" s="24"/>
      <c r="C140" s="31" t="str">
        <f aca="false">IF(A140="","",SUBSTITUTE(SUBSTITUTE(SUBSTITUTE(SUBSTITUTE(SUBSTITUTE(SUBSTITUTE(SUBSTITUTE(SUBSTITUTE(SUBSTITUTE(SUBSTITUTE(SUBSTITUTE(SUBSTITUTE(SUBSTITUTE(UPPER(TRIM(A140)),"Á","A"),"À","A"),"Â","A"),"Ã","A"),"É","E"),"Ê","E"),"Í","I"),"Ó","O"),"Ô","O"),"Õ","O"),"Ú","U"),"Ü","U"),"Ç","C"))</f>
        <v/>
      </c>
      <c r="D140" s="31" t="str">
        <f aca="false">IF(B140="","",IF(LEN(SUBSTITUTE(SUBSTITUTE(SUBSTITUTE(SUBSTITUTE(TRIM(B140),"*",""),".",""),"-","")," ",""))=11,MID(SUBSTITUTE(SUBSTITUTE(SUBSTITUTE(SUBSTITUTE(TRIM(B140),"*",""),".",""),"-","")," ",""),4,6),SUBSTITUTE(SUBSTITUTE(SUBSTITUTE(SUBSTITUTE(TRIM(B140),"*",""),".",""),"-","")," ","")))</f>
        <v/>
      </c>
      <c r="E140" s="31" t="str">
        <f aca="false">IF(OR(C140="",D140=""),"",C140&amp;"|"&amp;D140)</f>
        <v/>
      </c>
      <c r="F140" s="11"/>
      <c r="G140" s="11"/>
      <c r="H140" s="22"/>
      <c r="I140" s="23"/>
      <c r="J140" s="11"/>
      <c r="K140" s="25" t="str">
        <f aca="false">IF(C140="","",IF(E140&lt;&gt;"",COUNTIF(Socios!$H:$H,E140),IF(COUNTIF(Socios!$F:$F,C140)&gt;0,"nome igual em Socios: confira o CPF","sem CPF: não cruzado")))</f>
        <v/>
      </c>
      <c r="L140" s="27" t="str">
        <f aca="false">IF(E140="","",COUNTIFS(Eleitoral!$K:$K,E140,Eleitoral!$E:$E,"Doação recebida"))</f>
        <v/>
      </c>
      <c r="M140" s="24"/>
      <c r="N140" s="11"/>
    </row>
    <row r="141" customFormat="false" ht="15" hidden="false" customHeight="false" outlineLevel="0" collapsed="false">
      <c r="A141" s="23"/>
      <c r="B141" s="24"/>
      <c r="C141" s="31" t="str">
        <f aca="false">IF(A141="","",SUBSTITUTE(SUBSTITUTE(SUBSTITUTE(SUBSTITUTE(SUBSTITUTE(SUBSTITUTE(SUBSTITUTE(SUBSTITUTE(SUBSTITUTE(SUBSTITUTE(SUBSTITUTE(SUBSTITUTE(SUBSTITUTE(UPPER(TRIM(A141)),"Á","A"),"À","A"),"Â","A"),"Ã","A"),"É","E"),"Ê","E"),"Í","I"),"Ó","O"),"Ô","O"),"Õ","O"),"Ú","U"),"Ü","U"),"Ç","C"))</f>
        <v/>
      </c>
      <c r="D141" s="31" t="str">
        <f aca="false">IF(B141="","",IF(LEN(SUBSTITUTE(SUBSTITUTE(SUBSTITUTE(SUBSTITUTE(TRIM(B141),"*",""),".",""),"-","")," ",""))=11,MID(SUBSTITUTE(SUBSTITUTE(SUBSTITUTE(SUBSTITUTE(TRIM(B141),"*",""),".",""),"-","")," ",""),4,6),SUBSTITUTE(SUBSTITUTE(SUBSTITUTE(SUBSTITUTE(TRIM(B141),"*",""),".",""),"-","")," ","")))</f>
        <v/>
      </c>
      <c r="E141" s="31" t="str">
        <f aca="false">IF(OR(C141="",D141=""),"",C141&amp;"|"&amp;D141)</f>
        <v/>
      </c>
      <c r="F141" s="11"/>
      <c r="G141" s="11"/>
      <c r="H141" s="22"/>
      <c r="I141" s="23"/>
      <c r="J141" s="11"/>
      <c r="K141" s="25" t="str">
        <f aca="false">IF(C141="","",IF(E141&lt;&gt;"",COUNTIF(Socios!$H:$H,E141),IF(COUNTIF(Socios!$F:$F,C141)&gt;0,"nome igual em Socios: confira o CPF","sem CPF: não cruzado")))</f>
        <v/>
      </c>
      <c r="L141" s="27" t="str">
        <f aca="false">IF(E141="","",COUNTIFS(Eleitoral!$K:$K,E141,Eleitoral!$E:$E,"Doação recebida"))</f>
        <v/>
      </c>
      <c r="M141" s="24"/>
      <c r="N141" s="11"/>
    </row>
    <row r="142" customFormat="false" ht="15" hidden="false" customHeight="false" outlineLevel="0" collapsed="false">
      <c r="A142" s="23"/>
      <c r="B142" s="24"/>
      <c r="C142" s="31" t="str">
        <f aca="false">IF(A142="","",SUBSTITUTE(SUBSTITUTE(SUBSTITUTE(SUBSTITUTE(SUBSTITUTE(SUBSTITUTE(SUBSTITUTE(SUBSTITUTE(SUBSTITUTE(SUBSTITUTE(SUBSTITUTE(SUBSTITUTE(SUBSTITUTE(UPPER(TRIM(A142)),"Á","A"),"À","A"),"Â","A"),"Ã","A"),"É","E"),"Ê","E"),"Í","I"),"Ó","O"),"Ô","O"),"Õ","O"),"Ú","U"),"Ü","U"),"Ç","C"))</f>
        <v/>
      </c>
      <c r="D142" s="31" t="str">
        <f aca="false">IF(B142="","",IF(LEN(SUBSTITUTE(SUBSTITUTE(SUBSTITUTE(SUBSTITUTE(TRIM(B142),"*",""),".",""),"-","")," ",""))=11,MID(SUBSTITUTE(SUBSTITUTE(SUBSTITUTE(SUBSTITUTE(TRIM(B142),"*",""),".",""),"-","")," ",""),4,6),SUBSTITUTE(SUBSTITUTE(SUBSTITUTE(SUBSTITUTE(TRIM(B142),"*",""),".",""),"-","")," ","")))</f>
        <v/>
      </c>
      <c r="E142" s="31" t="str">
        <f aca="false">IF(OR(C142="",D142=""),"",C142&amp;"|"&amp;D142)</f>
        <v/>
      </c>
      <c r="F142" s="11"/>
      <c r="G142" s="11"/>
      <c r="H142" s="22"/>
      <c r="I142" s="23"/>
      <c r="J142" s="11"/>
      <c r="K142" s="25" t="str">
        <f aca="false">IF(C142="","",IF(E142&lt;&gt;"",COUNTIF(Socios!$H:$H,E142),IF(COUNTIF(Socios!$F:$F,C142)&gt;0,"nome igual em Socios: confira o CPF","sem CPF: não cruzado")))</f>
        <v/>
      </c>
      <c r="L142" s="27" t="str">
        <f aca="false">IF(E142="","",COUNTIFS(Eleitoral!$K:$K,E142,Eleitoral!$E:$E,"Doação recebida"))</f>
        <v/>
      </c>
      <c r="M142" s="24"/>
      <c r="N142" s="11"/>
    </row>
    <row r="143" customFormat="false" ht="15" hidden="false" customHeight="false" outlineLevel="0" collapsed="false">
      <c r="A143" s="23"/>
      <c r="B143" s="24"/>
      <c r="C143" s="31" t="str">
        <f aca="false">IF(A143="","",SUBSTITUTE(SUBSTITUTE(SUBSTITUTE(SUBSTITUTE(SUBSTITUTE(SUBSTITUTE(SUBSTITUTE(SUBSTITUTE(SUBSTITUTE(SUBSTITUTE(SUBSTITUTE(SUBSTITUTE(SUBSTITUTE(UPPER(TRIM(A143)),"Á","A"),"À","A"),"Â","A"),"Ã","A"),"É","E"),"Ê","E"),"Í","I"),"Ó","O"),"Ô","O"),"Õ","O"),"Ú","U"),"Ü","U"),"Ç","C"))</f>
        <v/>
      </c>
      <c r="D143" s="31" t="str">
        <f aca="false">IF(B143="","",IF(LEN(SUBSTITUTE(SUBSTITUTE(SUBSTITUTE(SUBSTITUTE(TRIM(B143),"*",""),".",""),"-","")," ",""))=11,MID(SUBSTITUTE(SUBSTITUTE(SUBSTITUTE(SUBSTITUTE(TRIM(B143),"*",""),".",""),"-","")," ",""),4,6),SUBSTITUTE(SUBSTITUTE(SUBSTITUTE(SUBSTITUTE(TRIM(B143),"*",""),".",""),"-","")," ","")))</f>
        <v/>
      </c>
      <c r="E143" s="31" t="str">
        <f aca="false">IF(OR(C143="",D143=""),"",C143&amp;"|"&amp;D143)</f>
        <v/>
      </c>
      <c r="F143" s="11"/>
      <c r="G143" s="11"/>
      <c r="H143" s="22"/>
      <c r="I143" s="23"/>
      <c r="J143" s="11"/>
      <c r="K143" s="25" t="str">
        <f aca="false">IF(C143="","",IF(E143&lt;&gt;"",COUNTIF(Socios!$H:$H,E143),IF(COUNTIF(Socios!$F:$F,C143)&gt;0,"nome igual em Socios: confira o CPF","sem CPF: não cruzado")))</f>
        <v/>
      </c>
      <c r="L143" s="27" t="str">
        <f aca="false">IF(E143="","",COUNTIFS(Eleitoral!$K:$K,E143,Eleitoral!$E:$E,"Doação recebida"))</f>
        <v/>
      </c>
      <c r="M143" s="24"/>
      <c r="N143" s="11"/>
    </row>
    <row r="144" customFormat="false" ht="15" hidden="false" customHeight="false" outlineLevel="0" collapsed="false">
      <c r="A144" s="23"/>
      <c r="B144" s="24"/>
      <c r="C144" s="31" t="str">
        <f aca="false">IF(A144="","",SUBSTITUTE(SUBSTITUTE(SUBSTITUTE(SUBSTITUTE(SUBSTITUTE(SUBSTITUTE(SUBSTITUTE(SUBSTITUTE(SUBSTITUTE(SUBSTITUTE(SUBSTITUTE(SUBSTITUTE(SUBSTITUTE(UPPER(TRIM(A144)),"Á","A"),"À","A"),"Â","A"),"Ã","A"),"É","E"),"Ê","E"),"Í","I"),"Ó","O"),"Ô","O"),"Õ","O"),"Ú","U"),"Ü","U"),"Ç","C"))</f>
        <v/>
      </c>
      <c r="D144" s="31" t="str">
        <f aca="false">IF(B144="","",IF(LEN(SUBSTITUTE(SUBSTITUTE(SUBSTITUTE(SUBSTITUTE(TRIM(B144),"*",""),".",""),"-","")," ",""))=11,MID(SUBSTITUTE(SUBSTITUTE(SUBSTITUTE(SUBSTITUTE(TRIM(B144),"*",""),".",""),"-","")," ",""),4,6),SUBSTITUTE(SUBSTITUTE(SUBSTITUTE(SUBSTITUTE(TRIM(B144),"*",""),".",""),"-","")," ","")))</f>
        <v/>
      </c>
      <c r="E144" s="31" t="str">
        <f aca="false">IF(OR(C144="",D144=""),"",C144&amp;"|"&amp;D144)</f>
        <v/>
      </c>
      <c r="F144" s="11"/>
      <c r="G144" s="11"/>
      <c r="H144" s="22"/>
      <c r="I144" s="23"/>
      <c r="J144" s="11"/>
      <c r="K144" s="25" t="str">
        <f aca="false">IF(C144="","",IF(E144&lt;&gt;"",COUNTIF(Socios!$H:$H,E144),IF(COUNTIF(Socios!$F:$F,C144)&gt;0,"nome igual em Socios: confira o CPF","sem CPF: não cruzado")))</f>
        <v/>
      </c>
      <c r="L144" s="27" t="str">
        <f aca="false">IF(E144="","",COUNTIFS(Eleitoral!$K:$K,E144,Eleitoral!$E:$E,"Doação recebida"))</f>
        <v/>
      </c>
      <c r="M144" s="24"/>
      <c r="N144" s="11"/>
    </row>
    <row r="145" customFormat="false" ht="15" hidden="false" customHeight="false" outlineLevel="0" collapsed="false">
      <c r="A145" s="23"/>
      <c r="B145" s="24"/>
      <c r="C145" s="31" t="str">
        <f aca="false">IF(A145="","",SUBSTITUTE(SUBSTITUTE(SUBSTITUTE(SUBSTITUTE(SUBSTITUTE(SUBSTITUTE(SUBSTITUTE(SUBSTITUTE(SUBSTITUTE(SUBSTITUTE(SUBSTITUTE(SUBSTITUTE(SUBSTITUTE(UPPER(TRIM(A145)),"Á","A"),"À","A"),"Â","A"),"Ã","A"),"É","E"),"Ê","E"),"Í","I"),"Ó","O"),"Ô","O"),"Õ","O"),"Ú","U"),"Ü","U"),"Ç","C"))</f>
        <v/>
      </c>
      <c r="D145" s="31" t="str">
        <f aca="false">IF(B145="","",IF(LEN(SUBSTITUTE(SUBSTITUTE(SUBSTITUTE(SUBSTITUTE(TRIM(B145),"*",""),".",""),"-","")," ",""))=11,MID(SUBSTITUTE(SUBSTITUTE(SUBSTITUTE(SUBSTITUTE(TRIM(B145),"*",""),".",""),"-","")," ",""),4,6),SUBSTITUTE(SUBSTITUTE(SUBSTITUTE(SUBSTITUTE(TRIM(B145),"*",""),".",""),"-","")," ","")))</f>
        <v/>
      </c>
      <c r="E145" s="31" t="str">
        <f aca="false">IF(OR(C145="",D145=""),"",C145&amp;"|"&amp;D145)</f>
        <v/>
      </c>
      <c r="F145" s="11"/>
      <c r="G145" s="11"/>
      <c r="H145" s="22"/>
      <c r="I145" s="23"/>
      <c r="J145" s="11"/>
      <c r="K145" s="25" t="str">
        <f aca="false">IF(C145="","",IF(E145&lt;&gt;"",COUNTIF(Socios!$H:$H,E145),IF(COUNTIF(Socios!$F:$F,C145)&gt;0,"nome igual em Socios: confira o CPF","sem CPF: não cruzado")))</f>
        <v/>
      </c>
      <c r="L145" s="27" t="str">
        <f aca="false">IF(E145="","",COUNTIFS(Eleitoral!$K:$K,E145,Eleitoral!$E:$E,"Doação recebida"))</f>
        <v/>
      </c>
      <c r="M145" s="24"/>
      <c r="N145" s="11"/>
    </row>
    <row r="146" customFormat="false" ht="15" hidden="false" customHeight="false" outlineLevel="0" collapsed="false">
      <c r="A146" s="23"/>
      <c r="B146" s="24"/>
      <c r="C146" s="31" t="str">
        <f aca="false">IF(A146="","",SUBSTITUTE(SUBSTITUTE(SUBSTITUTE(SUBSTITUTE(SUBSTITUTE(SUBSTITUTE(SUBSTITUTE(SUBSTITUTE(SUBSTITUTE(SUBSTITUTE(SUBSTITUTE(SUBSTITUTE(SUBSTITUTE(UPPER(TRIM(A146)),"Á","A"),"À","A"),"Â","A"),"Ã","A"),"É","E"),"Ê","E"),"Í","I"),"Ó","O"),"Ô","O"),"Õ","O"),"Ú","U"),"Ü","U"),"Ç","C"))</f>
        <v/>
      </c>
      <c r="D146" s="31" t="str">
        <f aca="false">IF(B146="","",IF(LEN(SUBSTITUTE(SUBSTITUTE(SUBSTITUTE(SUBSTITUTE(TRIM(B146),"*",""),".",""),"-","")," ",""))=11,MID(SUBSTITUTE(SUBSTITUTE(SUBSTITUTE(SUBSTITUTE(TRIM(B146),"*",""),".",""),"-","")," ",""),4,6),SUBSTITUTE(SUBSTITUTE(SUBSTITUTE(SUBSTITUTE(TRIM(B146),"*",""),".",""),"-","")," ","")))</f>
        <v/>
      </c>
      <c r="E146" s="31" t="str">
        <f aca="false">IF(OR(C146="",D146=""),"",C146&amp;"|"&amp;D146)</f>
        <v/>
      </c>
      <c r="F146" s="11"/>
      <c r="G146" s="11"/>
      <c r="H146" s="22"/>
      <c r="I146" s="23"/>
      <c r="J146" s="11"/>
      <c r="K146" s="25" t="str">
        <f aca="false">IF(C146="","",IF(E146&lt;&gt;"",COUNTIF(Socios!$H:$H,E146),IF(COUNTIF(Socios!$F:$F,C146)&gt;0,"nome igual em Socios: confira o CPF","sem CPF: não cruzado")))</f>
        <v/>
      </c>
      <c r="L146" s="27" t="str">
        <f aca="false">IF(E146="","",COUNTIFS(Eleitoral!$K:$K,E146,Eleitoral!$E:$E,"Doação recebida"))</f>
        <v/>
      </c>
      <c r="M146" s="24"/>
      <c r="N146" s="11"/>
    </row>
    <row r="147" customFormat="false" ht="15" hidden="false" customHeight="false" outlineLevel="0" collapsed="false">
      <c r="A147" s="23"/>
      <c r="B147" s="24"/>
      <c r="C147" s="31" t="str">
        <f aca="false">IF(A147="","",SUBSTITUTE(SUBSTITUTE(SUBSTITUTE(SUBSTITUTE(SUBSTITUTE(SUBSTITUTE(SUBSTITUTE(SUBSTITUTE(SUBSTITUTE(SUBSTITUTE(SUBSTITUTE(SUBSTITUTE(SUBSTITUTE(UPPER(TRIM(A147)),"Á","A"),"À","A"),"Â","A"),"Ã","A"),"É","E"),"Ê","E"),"Í","I"),"Ó","O"),"Ô","O"),"Õ","O"),"Ú","U"),"Ü","U"),"Ç","C"))</f>
        <v/>
      </c>
      <c r="D147" s="31" t="str">
        <f aca="false">IF(B147="","",IF(LEN(SUBSTITUTE(SUBSTITUTE(SUBSTITUTE(SUBSTITUTE(TRIM(B147),"*",""),".",""),"-","")," ",""))=11,MID(SUBSTITUTE(SUBSTITUTE(SUBSTITUTE(SUBSTITUTE(TRIM(B147),"*",""),".",""),"-","")," ",""),4,6),SUBSTITUTE(SUBSTITUTE(SUBSTITUTE(SUBSTITUTE(TRIM(B147),"*",""),".",""),"-","")," ","")))</f>
        <v/>
      </c>
      <c r="E147" s="31" t="str">
        <f aca="false">IF(OR(C147="",D147=""),"",C147&amp;"|"&amp;D147)</f>
        <v/>
      </c>
      <c r="F147" s="11"/>
      <c r="G147" s="11"/>
      <c r="H147" s="22"/>
      <c r="I147" s="23"/>
      <c r="J147" s="11"/>
      <c r="K147" s="25" t="str">
        <f aca="false">IF(C147="","",IF(E147&lt;&gt;"",COUNTIF(Socios!$H:$H,E147),IF(COUNTIF(Socios!$F:$F,C147)&gt;0,"nome igual em Socios: confira o CPF","sem CPF: não cruzado")))</f>
        <v/>
      </c>
      <c r="L147" s="27" t="str">
        <f aca="false">IF(E147="","",COUNTIFS(Eleitoral!$K:$K,E147,Eleitoral!$E:$E,"Doação recebida"))</f>
        <v/>
      </c>
      <c r="M147" s="24"/>
      <c r="N147" s="11"/>
    </row>
    <row r="148" customFormat="false" ht="15" hidden="false" customHeight="false" outlineLevel="0" collapsed="false">
      <c r="A148" s="23"/>
      <c r="B148" s="24"/>
      <c r="C148" s="31" t="str">
        <f aca="false">IF(A148="","",SUBSTITUTE(SUBSTITUTE(SUBSTITUTE(SUBSTITUTE(SUBSTITUTE(SUBSTITUTE(SUBSTITUTE(SUBSTITUTE(SUBSTITUTE(SUBSTITUTE(SUBSTITUTE(SUBSTITUTE(SUBSTITUTE(UPPER(TRIM(A148)),"Á","A"),"À","A"),"Â","A"),"Ã","A"),"É","E"),"Ê","E"),"Í","I"),"Ó","O"),"Ô","O"),"Õ","O"),"Ú","U"),"Ü","U"),"Ç","C"))</f>
        <v/>
      </c>
      <c r="D148" s="31" t="str">
        <f aca="false">IF(B148="","",IF(LEN(SUBSTITUTE(SUBSTITUTE(SUBSTITUTE(SUBSTITUTE(TRIM(B148),"*",""),".",""),"-","")," ",""))=11,MID(SUBSTITUTE(SUBSTITUTE(SUBSTITUTE(SUBSTITUTE(TRIM(B148),"*",""),".",""),"-","")," ",""),4,6),SUBSTITUTE(SUBSTITUTE(SUBSTITUTE(SUBSTITUTE(TRIM(B148),"*",""),".",""),"-","")," ","")))</f>
        <v/>
      </c>
      <c r="E148" s="31" t="str">
        <f aca="false">IF(OR(C148="",D148=""),"",C148&amp;"|"&amp;D148)</f>
        <v/>
      </c>
      <c r="F148" s="11"/>
      <c r="G148" s="11"/>
      <c r="H148" s="22"/>
      <c r="I148" s="23"/>
      <c r="J148" s="11"/>
      <c r="K148" s="25" t="str">
        <f aca="false">IF(C148="","",IF(E148&lt;&gt;"",COUNTIF(Socios!$H:$H,E148),IF(COUNTIF(Socios!$F:$F,C148)&gt;0,"nome igual em Socios: confira o CPF","sem CPF: não cruzado")))</f>
        <v/>
      </c>
      <c r="L148" s="27" t="str">
        <f aca="false">IF(E148="","",COUNTIFS(Eleitoral!$K:$K,E148,Eleitoral!$E:$E,"Doação recebida"))</f>
        <v/>
      </c>
      <c r="M148" s="24"/>
      <c r="N148" s="11"/>
    </row>
    <row r="149" customFormat="false" ht="15" hidden="false" customHeight="false" outlineLevel="0" collapsed="false">
      <c r="A149" s="23"/>
      <c r="B149" s="24"/>
      <c r="C149" s="31" t="str">
        <f aca="false">IF(A149="","",SUBSTITUTE(SUBSTITUTE(SUBSTITUTE(SUBSTITUTE(SUBSTITUTE(SUBSTITUTE(SUBSTITUTE(SUBSTITUTE(SUBSTITUTE(SUBSTITUTE(SUBSTITUTE(SUBSTITUTE(SUBSTITUTE(UPPER(TRIM(A149)),"Á","A"),"À","A"),"Â","A"),"Ã","A"),"É","E"),"Ê","E"),"Í","I"),"Ó","O"),"Ô","O"),"Õ","O"),"Ú","U"),"Ü","U"),"Ç","C"))</f>
        <v/>
      </c>
      <c r="D149" s="31" t="str">
        <f aca="false">IF(B149="","",IF(LEN(SUBSTITUTE(SUBSTITUTE(SUBSTITUTE(SUBSTITUTE(TRIM(B149),"*",""),".",""),"-","")," ",""))=11,MID(SUBSTITUTE(SUBSTITUTE(SUBSTITUTE(SUBSTITUTE(TRIM(B149),"*",""),".",""),"-","")," ",""),4,6),SUBSTITUTE(SUBSTITUTE(SUBSTITUTE(SUBSTITUTE(TRIM(B149),"*",""),".",""),"-","")," ","")))</f>
        <v/>
      </c>
      <c r="E149" s="31" t="str">
        <f aca="false">IF(OR(C149="",D149=""),"",C149&amp;"|"&amp;D149)</f>
        <v/>
      </c>
      <c r="F149" s="11"/>
      <c r="G149" s="11"/>
      <c r="H149" s="22"/>
      <c r="I149" s="23"/>
      <c r="J149" s="11"/>
      <c r="K149" s="25" t="str">
        <f aca="false">IF(C149="","",IF(E149&lt;&gt;"",COUNTIF(Socios!$H:$H,E149),IF(COUNTIF(Socios!$F:$F,C149)&gt;0,"nome igual em Socios: confira o CPF","sem CPF: não cruzado")))</f>
        <v/>
      </c>
      <c r="L149" s="27" t="str">
        <f aca="false">IF(E149="","",COUNTIFS(Eleitoral!$K:$K,E149,Eleitoral!$E:$E,"Doação recebida"))</f>
        <v/>
      </c>
      <c r="M149" s="24"/>
      <c r="N149" s="11"/>
    </row>
    <row r="150" customFormat="false" ht="15" hidden="false" customHeight="false" outlineLevel="0" collapsed="false">
      <c r="A150" s="23"/>
      <c r="B150" s="24"/>
      <c r="C150" s="31" t="str">
        <f aca="false">IF(A150="","",SUBSTITUTE(SUBSTITUTE(SUBSTITUTE(SUBSTITUTE(SUBSTITUTE(SUBSTITUTE(SUBSTITUTE(SUBSTITUTE(SUBSTITUTE(SUBSTITUTE(SUBSTITUTE(SUBSTITUTE(SUBSTITUTE(UPPER(TRIM(A150)),"Á","A"),"À","A"),"Â","A"),"Ã","A"),"É","E"),"Ê","E"),"Í","I"),"Ó","O"),"Ô","O"),"Õ","O"),"Ú","U"),"Ü","U"),"Ç","C"))</f>
        <v/>
      </c>
      <c r="D150" s="31" t="str">
        <f aca="false">IF(B150="","",IF(LEN(SUBSTITUTE(SUBSTITUTE(SUBSTITUTE(SUBSTITUTE(TRIM(B150),"*",""),".",""),"-","")," ",""))=11,MID(SUBSTITUTE(SUBSTITUTE(SUBSTITUTE(SUBSTITUTE(TRIM(B150),"*",""),".",""),"-","")," ",""),4,6),SUBSTITUTE(SUBSTITUTE(SUBSTITUTE(SUBSTITUTE(TRIM(B150),"*",""),".",""),"-","")," ","")))</f>
        <v/>
      </c>
      <c r="E150" s="31" t="str">
        <f aca="false">IF(OR(C150="",D150=""),"",C150&amp;"|"&amp;D150)</f>
        <v/>
      </c>
      <c r="F150" s="11"/>
      <c r="G150" s="11"/>
      <c r="H150" s="22"/>
      <c r="I150" s="23"/>
      <c r="J150" s="11"/>
      <c r="K150" s="25" t="str">
        <f aca="false">IF(C150="","",IF(E150&lt;&gt;"",COUNTIF(Socios!$H:$H,E150),IF(COUNTIF(Socios!$F:$F,C150)&gt;0,"nome igual em Socios: confira o CPF","sem CPF: não cruzado")))</f>
        <v/>
      </c>
      <c r="L150" s="27" t="str">
        <f aca="false">IF(E150="","",COUNTIFS(Eleitoral!$K:$K,E150,Eleitoral!$E:$E,"Doação recebida"))</f>
        <v/>
      </c>
      <c r="M150" s="24"/>
      <c r="N150" s="11"/>
    </row>
    <row r="151" customFormat="false" ht="15" hidden="false" customHeight="false" outlineLevel="0" collapsed="false">
      <c r="A151" s="23"/>
      <c r="B151" s="24"/>
      <c r="C151" s="31" t="str">
        <f aca="false">IF(A151="","",SUBSTITUTE(SUBSTITUTE(SUBSTITUTE(SUBSTITUTE(SUBSTITUTE(SUBSTITUTE(SUBSTITUTE(SUBSTITUTE(SUBSTITUTE(SUBSTITUTE(SUBSTITUTE(SUBSTITUTE(SUBSTITUTE(UPPER(TRIM(A151)),"Á","A"),"À","A"),"Â","A"),"Ã","A"),"É","E"),"Ê","E"),"Í","I"),"Ó","O"),"Ô","O"),"Õ","O"),"Ú","U"),"Ü","U"),"Ç","C"))</f>
        <v/>
      </c>
      <c r="D151" s="31" t="str">
        <f aca="false">IF(B151="","",IF(LEN(SUBSTITUTE(SUBSTITUTE(SUBSTITUTE(SUBSTITUTE(TRIM(B151),"*",""),".",""),"-","")," ",""))=11,MID(SUBSTITUTE(SUBSTITUTE(SUBSTITUTE(SUBSTITUTE(TRIM(B151),"*",""),".",""),"-","")," ",""),4,6),SUBSTITUTE(SUBSTITUTE(SUBSTITUTE(SUBSTITUTE(TRIM(B151),"*",""),".",""),"-","")," ","")))</f>
        <v/>
      </c>
      <c r="E151" s="31" t="str">
        <f aca="false">IF(OR(C151="",D151=""),"",C151&amp;"|"&amp;D151)</f>
        <v/>
      </c>
      <c r="F151" s="11"/>
      <c r="G151" s="11"/>
      <c r="H151" s="22"/>
      <c r="I151" s="23"/>
      <c r="J151" s="11"/>
      <c r="K151" s="25" t="str">
        <f aca="false">IF(C151="","",IF(E151&lt;&gt;"",COUNTIF(Socios!$H:$H,E151),IF(COUNTIF(Socios!$F:$F,C151)&gt;0,"nome igual em Socios: confira o CPF","sem CPF: não cruzado")))</f>
        <v/>
      </c>
      <c r="L151" s="27" t="str">
        <f aca="false">IF(E151="","",COUNTIFS(Eleitoral!$K:$K,E151,Eleitoral!$E:$E,"Doação recebida"))</f>
        <v/>
      </c>
      <c r="M151" s="24"/>
      <c r="N151" s="11"/>
    </row>
    <row r="152" customFormat="false" ht="15" hidden="false" customHeight="false" outlineLevel="0" collapsed="false">
      <c r="A152" s="23"/>
      <c r="B152" s="24"/>
      <c r="C152" s="31" t="str">
        <f aca="false">IF(A152="","",SUBSTITUTE(SUBSTITUTE(SUBSTITUTE(SUBSTITUTE(SUBSTITUTE(SUBSTITUTE(SUBSTITUTE(SUBSTITUTE(SUBSTITUTE(SUBSTITUTE(SUBSTITUTE(SUBSTITUTE(SUBSTITUTE(UPPER(TRIM(A152)),"Á","A"),"À","A"),"Â","A"),"Ã","A"),"É","E"),"Ê","E"),"Í","I"),"Ó","O"),"Ô","O"),"Õ","O"),"Ú","U"),"Ü","U"),"Ç","C"))</f>
        <v/>
      </c>
      <c r="D152" s="31" t="str">
        <f aca="false">IF(B152="","",IF(LEN(SUBSTITUTE(SUBSTITUTE(SUBSTITUTE(SUBSTITUTE(TRIM(B152),"*",""),".",""),"-","")," ",""))=11,MID(SUBSTITUTE(SUBSTITUTE(SUBSTITUTE(SUBSTITUTE(TRIM(B152),"*",""),".",""),"-","")," ",""),4,6),SUBSTITUTE(SUBSTITUTE(SUBSTITUTE(SUBSTITUTE(TRIM(B152),"*",""),".",""),"-","")," ","")))</f>
        <v/>
      </c>
      <c r="E152" s="31" t="str">
        <f aca="false">IF(OR(C152="",D152=""),"",C152&amp;"|"&amp;D152)</f>
        <v/>
      </c>
      <c r="F152" s="11"/>
      <c r="G152" s="11"/>
      <c r="H152" s="22"/>
      <c r="I152" s="23"/>
      <c r="J152" s="11"/>
      <c r="K152" s="25" t="str">
        <f aca="false">IF(C152="","",IF(E152&lt;&gt;"",COUNTIF(Socios!$H:$H,E152),IF(COUNTIF(Socios!$F:$F,C152)&gt;0,"nome igual em Socios: confira o CPF","sem CPF: não cruzado")))</f>
        <v/>
      </c>
      <c r="L152" s="27" t="str">
        <f aca="false">IF(E152="","",COUNTIFS(Eleitoral!$K:$K,E152,Eleitoral!$E:$E,"Doação recebida"))</f>
        <v/>
      </c>
      <c r="M152" s="24"/>
      <c r="N152" s="11"/>
    </row>
    <row r="153" customFormat="false" ht="15" hidden="false" customHeight="false" outlineLevel="0" collapsed="false">
      <c r="A153" s="23"/>
      <c r="B153" s="24"/>
      <c r="C153" s="31" t="str">
        <f aca="false">IF(A153="","",SUBSTITUTE(SUBSTITUTE(SUBSTITUTE(SUBSTITUTE(SUBSTITUTE(SUBSTITUTE(SUBSTITUTE(SUBSTITUTE(SUBSTITUTE(SUBSTITUTE(SUBSTITUTE(SUBSTITUTE(SUBSTITUTE(UPPER(TRIM(A153)),"Á","A"),"À","A"),"Â","A"),"Ã","A"),"É","E"),"Ê","E"),"Í","I"),"Ó","O"),"Ô","O"),"Õ","O"),"Ú","U"),"Ü","U"),"Ç","C"))</f>
        <v/>
      </c>
      <c r="D153" s="31" t="str">
        <f aca="false">IF(B153="","",IF(LEN(SUBSTITUTE(SUBSTITUTE(SUBSTITUTE(SUBSTITUTE(TRIM(B153),"*",""),".",""),"-","")," ",""))=11,MID(SUBSTITUTE(SUBSTITUTE(SUBSTITUTE(SUBSTITUTE(TRIM(B153),"*",""),".",""),"-","")," ",""),4,6),SUBSTITUTE(SUBSTITUTE(SUBSTITUTE(SUBSTITUTE(TRIM(B153),"*",""),".",""),"-","")," ","")))</f>
        <v/>
      </c>
      <c r="E153" s="31" t="str">
        <f aca="false">IF(OR(C153="",D153=""),"",C153&amp;"|"&amp;D153)</f>
        <v/>
      </c>
      <c r="F153" s="11"/>
      <c r="G153" s="11"/>
      <c r="H153" s="22"/>
      <c r="I153" s="23"/>
      <c r="J153" s="11"/>
      <c r="K153" s="25" t="str">
        <f aca="false">IF(C153="","",IF(E153&lt;&gt;"",COUNTIF(Socios!$H:$H,E153),IF(COUNTIF(Socios!$F:$F,C153)&gt;0,"nome igual em Socios: confira o CPF","sem CPF: não cruzado")))</f>
        <v/>
      </c>
      <c r="L153" s="27" t="str">
        <f aca="false">IF(E153="","",COUNTIFS(Eleitoral!$K:$K,E153,Eleitoral!$E:$E,"Doação recebida"))</f>
        <v/>
      </c>
      <c r="M153" s="24"/>
      <c r="N153" s="11"/>
    </row>
    <row r="154" customFormat="false" ht="15" hidden="false" customHeight="false" outlineLevel="0" collapsed="false">
      <c r="A154" s="23"/>
      <c r="B154" s="24"/>
      <c r="C154" s="31" t="str">
        <f aca="false">IF(A154="","",SUBSTITUTE(SUBSTITUTE(SUBSTITUTE(SUBSTITUTE(SUBSTITUTE(SUBSTITUTE(SUBSTITUTE(SUBSTITUTE(SUBSTITUTE(SUBSTITUTE(SUBSTITUTE(SUBSTITUTE(SUBSTITUTE(UPPER(TRIM(A154)),"Á","A"),"À","A"),"Â","A"),"Ã","A"),"É","E"),"Ê","E"),"Í","I"),"Ó","O"),"Ô","O"),"Õ","O"),"Ú","U"),"Ü","U"),"Ç","C"))</f>
        <v/>
      </c>
      <c r="D154" s="31" t="str">
        <f aca="false">IF(B154="","",IF(LEN(SUBSTITUTE(SUBSTITUTE(SUBSTITUTE(SUBSTITUTE(TRIM(B154),"*",""),".",""),"-","")," ",""))=11,MID(SUBSTITUTE(SUBSTITUTE(SUBSTITUTE(SUBSTITUTE(TRIM(B154),"*",""),".",""),"-","")," ",""),4,6),SUBSTITUTE(SUBSTITUTE(SUBSTITUTE(SUBSTITUTE(TRIM(B154),"*",""),".",""),"-","")," ","")))</f>
        <v/>
      </c>
      <c r="E154" s="31" t="str">
        <f aca="false">IF(OR(C154="",D154=""),"",C154&amp;"|"&amp;D154)</f>
        <v/>
      </c>
      <c r="F154" s="11"/>
      <c r="G154" s="11"/>
      <c r="H154" s="22"/>
      <c r="I154" s="23"/>
      <c r="J154" s="11"/>
      <c r="K154" s="25" t="str">
        <f aca="false">IF(C154="","",IF(E154&lt;&gt;"",COUNTIF(Socios!$H:$H,E154),IF(COUNTIF(Socios!$F:$F,C154)&gt;0,"nome igual em Socios: confira o CPF","sem CPF: não cruzado")))</f>
        <v/>
      </c>
      <c r="L154" s="27" t="str">
        <f aca="false">IF(E154="","",COUNTIFS(Eleitoral!$K:$K,E154,Eleitoral!$E:$E,"Doação recebida"))</f>
        <v/>
      </c>
      <c r="M154" s="24"/>
      <c r="N154" s="11"/>
    </row>
    <row r="155" customFormat="false" ht="15" hidden="false" customHeight="false" outlineLevel="0" collapsed="false">
      <c r="A155" s="23"/>
      <c r="B155" s="24"/>
      <c r="C155" s="31" t="str">
        <f aca="false">IF(A155="","",SUBSTITUTE(SUBSTITUTE(SUBSTITUTE(SUBSTITUTE(SUBSTITUTE(SUBSTITUTE(SUBSTITUTE(SUBSTITUTE(SUBSTITUTE(SUBSTITUTE(SUBSTITUTE(SUBSTITUTE(SUBSTITUTE(UPPER(TRIM(A155)),"Á","A"),"À","A"),"Â","A"),"Ã","A"),"É","E"),"Ê","E"),"Í","I"),"Ó","O"),"Ô","O"),"Õ","O"),"Ú","U"),"Ü","U"),"Ç","C"))</f>
        <v/>
      </c>
      <c r="D155" s="31" t="str">
        <f aca="false">IF(B155="","",IF(LEN(SUBSTITUTE(SUBSTITUTE(SUBSTITUTE(SUBSTITUTE(TRIM(B155),"*",""),".",""),"-","")," ",""))=11,MID(SUBSTITUTE(SUBSTITUTE(SUBSTITUTE(SUBSTITUTE(TRIM(B155),"*",""),".",""),"-","")," ",""),4,6),SUBSTITUTE(SUBSTITUTE(SUBSTITUTE(SUBSTITUTE(TRIM(B155),"*",""),".",""),"-","")," ","")))</f>
        <v/>
      </c>
      <c r="E155" s="31" t="str">
        <f aca="false">IF(OR(C155="",D155=""),"",C155&amp;"|"&amp;D155)</f>
        <v/>
      </c>
      <c r="F155" s="11"/>
      <c r="G155" s="11"/>
      <c r="H155" s="22"/>
      <c r="I155" s="23"/>
      <c r="J155" s="11"/>
      <c r="K155" s="25" t="str">
        <f aca="false">IF(C155="","",IF(E155&lt;&gt;"",COUNTIF(Socios!$H:$H,E155),IF(COUNTIF(Socios!$F:$F,C155)&gt;0,"nome igual em Socios: confira o CPF","sem CPF: não cruzado")))</f>
        <v/>
      </c>
      <c r="L155" s="27" t="str">
        <f aca="false">IF(E155="","",COUNTIFS(Eleitoral!$K:$K,E155,Eleitoral!$E:$E,"Doação recebida"))</f>
        <v/>
      </c>
      <c r="M155" s="24"/>
      <c r="N155" s="11"/>
    </row>
    <row r="156" customFormat="false" ht="15" hidden="false" customHeight="false" outlineLevel="0" collapsed="false">
      <c r="A156" s="23"/>
      <c r="B156" s="24"/>
      <c r="C156" s="31" t="str">
        <f aca="false">IF(A156="","",SUBSTITUTE(SUBSTITUTE(SUBSTITUTE(SUBSTITUTE(SUBSTITUTE(SUBSTITUTE(SUBSTITUTE(SUBSTITUTE(SUBSTITUTE(SUBSTITUTE(SUBSTITUTE(SUBSTITUTE(SUBSTITUTE(UPPER(TRIM(A156)),"Á","A"),"À","A"),"Â","A"),"Ã","A"),"É","E"),"Ê","E"),"Í","I"),"Ó","O"),"Ô","O"),"Õ","O"),"Ú","U"),"Ü","U"),"Ç","C"))</f>
        <v/>
      </c>
      <c r="D156" s="31" t="str">
        <f aca="false">IF(B156="","",IF(LEN(SUBSTITUTE(SUBSTITUTE(SUBSTITUTE(SUBSTITUTE(TRIM(B156),"*",""),".",""),"-","")," ",""))=11,MID(SUBSTITUTE(SUBSTITUTE(SUBSTITUTE(SUBSTITUTE(TRIM(B156),"*",""),".",""),"-","")," ",""),4,6),SUBSTITUTE(SUBSTITUTE(SUBSTITUTE(SUBSTITUTE(TRIM(B156),"*",""),".",""),"-","")," ","")))</f>
        <v/>
      </c>
      <c r="E156" s="31" t="str">
        <f aca="false">IF(OR(C156="",D156=""),"",C156&amp;"|"&amp;D156)</f>
        <v/>
      </c>
      <c r="F156" s="11"/>
      <c r="G156" s="11"/>
      <c r="H156" s="22"/>
      <c r="I156" s="23"/>
      <c r="J156" s="11"/>
      <c r="K156" s="25" t="str">
        <f aca="false">IF(C156="","",IF(E156&lt;&gt;"",COUNTIF(Socios!$H:$H,E156),IF(COUNTIF(Socios!$F:$F,C156)&gt;0,"nome igual em Socios: confira o CPF","sem CPF: não cruzado")))</f>
        <v/>
      </c>
      <c r="L156" s="27" t="str">
        <f aca="false">IF(E156="","",COUNTIFS(Eleitoral!$K:$K,E156,Eleitoral!$E:$E,"Doação recebida"))</f>
        <v/>
      </c>
      <c r="M156" s="24"/>
      <c r="N156" s="11"/>
    </row>
    <row r="157" customFormat="false" ht="15" hidden="false" customHeight="false" outlineLevel="0" collapsed="false">
      <c r="A157" s="23"/>
      <c r="B157" s="24"/>
      <c r="C157" s="31" t="str">
        <f aca="false">IF(A157="","",SUBSTITUTE(SUBSTITUTE(SUBSTITUTE(SUBSTITUTE(SUBSTITUTE(SUBSTITUTE(SUBSTITUTE(SUBSTITUTE(SUBSTITUTE(SUBSTITUTE(SUBSTITUTE(SUBSTITUTE(SUBSTITUTE(UPPER(TRIM(A157)),"Á","A"),"À","A"),"Â","A"),"Ã","A"),"É","E"),"Ê","E"),"Í","I"),"Ó","O"),"Ô","O"),"Õ","O"),"Ú","U"),"Ü","U"),"Ç","C"))</f>
        <v/>
      </c>
      <c r="D157" s="31" t="str">
        <f aca="false">IF(B157="","",IF(LEN(SUBSTITUTE(SUBSTITUTE(SUBSTITUTE(SUBSTITUTE(TRIM(B157),"*",""),".",""),"-","")," ",""))=11,MID(SUBSTITUTE(SUBSTITUTE(SUBSTITUTE(SUBSTITUTE(TRIM(B157),"*",""),".",""),"-","")," ",""),4,6),SUBSTITUTE(SUBSTITUTE(SUBSTITUTE(SUBSTITUTE(TRIM(B157),"*",""),".",""),"-","")," ","")))</f>
        <v/>
      </c>
      <c r="E157" s="31" t="str">
        <f aca="false">IF(OR(C157="",D157=""),"",C157&amp;"|"&amp;D157)</f>
        <v/>
      </c>
      <c r="F157" s="11"/>
      <c r="G157" s="11"/>
      <c r="H157" s="22"/>
      <c r="I157" s="23"/>
      <c r="J157" s="11"/>
      <c r="K157" s="25" t="str">
        <f aca="false">IF(C157="","",IF(E157&lt;&gt;"",COUNTIF(Socios!$H:$H,E157),IF(COUNTIF(Socios!$F:$F,C157)&gt;0,"nome igual em Socios: confira o CPF","sem CPF: não cruzado")))</f>
        <v/>
      </c>
      <c r="L157" s="27" t="str">
        <f aca="false">IF(E157="","",COUNTIFS(Eleitoral!$K:$K,E157,Eleitoral!$E:$E,"Doação recebida"))</f>
        <v/>
      </c>
      <c r="M157" s="24"/>
      <c r="N157" s="11"/>
    </row>
    <row r="158" customFormat="false" ht="15" hidden="false" customHeight="false" outlineLevel="0" collapsed="false">
      <c r="A158" s="23"/>
      <c r="B158" s="24"/>
      <c r="C158" s="31" t="str">
        <f aca="false">IF(A158="","",SUBSTITUTE(SUBSTITUTE(SUBSTITUTE(SUBSTITUTE(SUBSTITUTE(SUBSTITUTE(SUBSTITUTE(SUBSTITUTE(SUBSTITUTE(SUBSTITUTE(SUBSTITUTE(SUBSTITUTE(SUBSTITUTE(UPPER(TRIM(A158)),"Á","A"),"À","A"),"Â","A"),"Ã","A"),"É","E"),"Ê","E"),"Í","I"),"Ó","O"),"Ô","O"),"Õ","O"),"Ú","U"),"Ü","U"),"Ç","C"))</f>
        <v/>
      </c>
      <c r="D158" s="31" t="str">
        <f aca="false">IF(B158="","",IF(LEN(SUBSTITUTE(SUBSTITUTE(SUBSTITUTE(SUBSTITUTE(TRIM(B158),"*",""),".",""),"-","")," ",""))=11,MID(SUBSTITUTE(SUBSTITUTE(SUBSTITUTE(SUBSTITUTE(TRIM(B158),"*",""),".",""),"-","")," ",""),4,6),SUBSTITUTE(SUBSTITUTE(SUBSTITUTE(SUBSTITUTE(TRIM(B158),"*",""),".",""),"-","")," ","")))</f>
        <v/>
      </c>
      <c r="E158" s="31" t="str">
        <f aca="false">IF(OR(C158="",D158=""),"",C158&amp;"|"&amp;D158)</f>
        <v/>
      </c>
      <c r="F158" s="11"/>
      <c r="G158" s="11"/>
      <c r="H158" s="22"/>
      <c r="I158" s="23"/>
      <c r="J158" s="11"/>
      <c r="K158" s="25" t="str">
        <f aca="false">IF(C158="","",IF(E158&lt;&gt;"",COUNTIF(Socios!$H:$H,E158),IF(COUNTIF(Socios!$F:$F,C158)&gt;0,"nome igual em Socios: confira o CPF","sem CPF: não cruzado")))</f>
        <v/>
      </c>
      <c r="L158" s="27" t="str">
        <f aca="false">IF(E158="","",COUNTIFS(Eleitoral!$K:$K,E158,Eleitoral!$E:$E,"Doação recebida"))</f>
        <v/>
      </c>
      <c r="M158" s="24"/>
      <c r="N158" s="11"/>
    </row>
    <row r="159" customFormat="false" ht="15" hidden="false" customHeight="false" outlineLevel="0" collapsed="false">
      <c r="A159" s="23"/>
      <c r="B159" s="24"/>
      <c r="C159" s="31" t="str">
        <f aca="false">IF(A159="","",SUBSTITUTE(SUBSTITUTE(SUBSTITUTE(SUBSTITUTE(SUBSTITUTE(SUBSTITUTE(SUBSTITUTE(SUBSTITUTE(SUBSTITUTE(SUBSTITUTE(SUBSTITUTE(SUBSTITUTE(SUBSTITUTE(UPPER(TRIM(A159)),"Á","A"),"À","A"),"Â","A"),"Ã","A"),"É","E"),"Ê","E"),"Í","I"),"Ó","O"),"Ô","O"),"Õ","O"),"Ú","U"),"Ü","U"),"Ç","C"))</f>
        <v/>
      </c>
      <c r="D159" s="31" t="str">
        <f aca="false">IF(B159="","",IF(LEN(SUBSTITUTE(SUBSTITUTE(SUBSTITUTE(SUBSTITUTE(TRIM(B159),"*",""),".",""),"-","")," ",""))=11,MID(SUBSTITUTE(SUBSTITUTE(SUBSTITUTE(SUBSTITUTE(TRIM(B159),"*",""),".",""),"-","")," ",""),4,6),SUBSTITUTE(SUBSTITUTE(SUBSTITUTE(SUBSTITUTE(TRIM(B159),"*",""),".",""),"-","")," ","")))</f>
        <v/>
      </c>
      <c r="E159" s="31" t="str">
        <f aca="false">IF(OR(C159="",D159=""),"",C159&amp;"|"&amp;D159)</f>
        <v/>
      </c>
      <c r="F159" s="11"/>
      <c r="G159" s="11"/>
      <c r="H159" s="22"/>
      <c r="I159" s="23"/>
      <c r="J159" s="11"/>
      <c r="K159" s="25" t="str">
        <f aca="false">IF(C159="","",IF(E159&lt;&gt;"",COUNTIF(Socios!$H:$H,E159),IF(COUNTIF(Socios!$F:$F,C159)&gt;0,"nome igual em Socios: confira o CPF","sem CPF: não cruzado")))</f>
        <v/>
      </c>
      <c r="L159" s="27" t="str">
        <f aca="false">IF(E159="","",COUNTIFS(Eleitoral!$K:$K,E159,Eleitoral!$E:$E,"Doação recebida"))</f>
        <v/>
      </c>
      <c r="M159" s="24"/>
      <c r="N159" s="11"/>
    </row>
    <row r="160" customFormat="false" ht="15" hidden="false" customHeight="false" outlineLevel="0" collapsed="false">
      <c r="A160" s="23"/>
      <c r="B160" s="24"/>
      <c r="C160" s="31" t="str">
        <f aca="false">IF(A160="","",SUBSTITUTE(SUBSTITUTE(SUBSTITUTE(SUBSTITUTE(SUBSTITUTE(SUBSTITUTE(SUBSTITUTE(SUBSTITUTE(SUBSTITUTE(SUBSTITUTE(SUBSTITUTE(SUBSTITUTE(SUBSTITUTE(UPPER(TRIM(A160)),"Á","A"),"À","A"),"Â","A"),"Ã","A"),"É","E"),"Ê","E"),"Í","I"),"Ó","O"),"Ô","O"),"Õ","O"),"Ú","U"),"Ü","U"),"Ç","C"))</f>
        <v/>
      </c>
      <c r="D160" s="31" t="str">
        <f aca="false">IF(B160="","",IF(LEN(SUBSTITUTE(SUBSTITUTE(SUBSTITUTE(SUBSTITUTE(TRIM(B160),"*",""),".",""),"-","")," ",""))=11,MID(SUBSTITUTE(SUBSTITUTE(SUBSTITUTE(SUBSTITUTE(TRIM(B160),"*",""),".",""),"-","")," ",""),4,6),SUBSTITUTE(SUBSTITUTE(SUBSTITUTE(SUBSTITUTE(TRIM(B160),"*",""),".",""),"-","")," ","")))</f>
        <v/>
      </c>
      <c r="E160" s="31" t="str">
        <f aca="false">IF(OR(C160="",D160=""),"",C160&amp;"|"&amp;D160)</f>
        <v/>
      </c>
      <c r="F160" s="11"/>
      <c r="G160" s="11"/>
      <c r="H160" s="22"/>
      <c r="I160" s="23"/>
      <c r="J160" s="11"/>
      <c r="K160" s="25" t="str">
        <f aca="false">IF(C160="","",IF(E160&lt;&gt;"",COUNTIF(Socios!$H:$H,E160),IF(COUNTIF(Socios!$F:$F,C160)&gt;0,"nome igual em Socios: confira o CPF","sem CPF: não cruzado")))</f>
        <v/>
      </c>
      <c r="L160" s="27" t="str">
        <f aca="false">IF(E160="","",COUNTIFS(Eleitoral!$K:$K,E160,Eleitoral!$E:$E,"Doação recebida"))</f>
        <v/>
      </c>
      <c r="M160" s="24"/>
      <c r="N160" s="11"/>
    </row>
    <row r="161" customFormat="false" ht="15" hidden="false" customHeight="false" outlineLevel="0" collapsed="false">
      <c r="A161" s="23"/>
      <c r="B161" s="24"/>
      <c r="C161" s="31" t="str">
        <f aca="false">IF(A161="","",SUBSTITUTE(SUBSTITUTE(SUBSTITUTE(SUBSTITUTE(SUBSTITUTE(SUBSTITUTE(SUBSTITUTE(SUBSTITUTE(SUBSTITUTE(SUBSTITUTE(SUBSTITUTE(SUBSTITUTE(SUBSTITUTE(UPPER(TRIM(A161)),"Á","A"),"À","A"),"Â","A"),"Ã","A"),"É","E"),"Ê","E"),"Í","I"),"Ó","O"),"Ô","O"),"Õ","O"),"Ú","U"),"Ü","U"),"Ç","C"))</f>
        <v/>
      </c>
      <c r="D161" s="31" t="str">
        <f aca="false">IF(B161="","",IF(LEN(SUBSTITUTE(SUBSTITUTE(SUBSTITUTE(SUBSTITUTE(TRIM(B161),"*",""),".",""),"-","")," ",""))=11,MID(SUBSTITUTE(SUBSTITUTE(SUBSTITUTE(SUBSTITUTE(TRIM(B161),"*",""),".",""),"-","")," ",""),4,6),SUBSTITUTE(SUBSTITUTE(SUBSTITUTE(SUBSTITUTE(TRIM(B161),"*",""),".",""),"-","")," ","")))</f>
        <v/>
      </c>
      <c r="E161" s="31" t="str">
        <f aca="false">IF(OR(C161="",D161=""),"",C161&amp;"|"&amp;D161)</f>
        <v/>
      </c>
      <c r="F161" s="11"/>
      <c r="G161" s="11"/>
      <c r="H161" s="22"/>
      <c r="I161" s="23"/>
      <c r="J161" s="11"/>
      <c r="K161" s="25" t="str">
        <f aca="false">IF(C161="","",IF(E161&lt;&gt;"",COUNTIF(Socios!$H:$H,E161),IF(COUNTIF(Socios!$F:$F,C161)&gt;0,"nome igual em Socios: confira o CPF","sem CPF: não cruzado")))</f>
        <v/>
      </c>
      <c r="L161" s="27" t="str">
        <f aca="false">IF(E161="","",COUNTIFS(Eleitoral!$K:$K,E161,Eleitoral!$E:$E,"Doação recebida"))</f>
        <v/>
      </c>
      <c r="M161" s="24"/>
      <c r="N161" s="11"/>
    </row>
    <row r="162" customFormat="false" ht="15" hidden="false" customHeight="false" outlineLevel="0" collapsed="false">
      <c r="A162" s="23"/>
      <c r="B162" s="24"/>
      <c r="C162" s="31" t="str">
        <f aca="false">IF(A162="","",SUBSTITUTE(SUBSTITUTE(SUBSTITUTE(SUBSTITUTE(SUBSTITUTE(SUBSTITUTE(SUBSTITUTE(SUBSTITUTE(SUBSTITUTE(SUBSTITUTE(SUBSTITUTE(SUBSTITUTE(SUBSTITUTE(UPPER(TRIM(A162)),"Á","A"),"À","A"),"Â","A"),"Ã","A"),"É","E"),"Ê","E"),"Í","I"),"Ó","O"),"Ô","O"),"Õ","O"),"Ú","U"),"Ü","U"),"Ç","C"))</f>
        <v/>
      </c>
      <c r="D162" s="31" t="str">
        <f aca="false">IF(B162="","",IF(LEN(SUBSTITUTE(SUBSTITUTE(SUBSTITUTE(SUBSTITUTE(TRIM(B162),"*",""),".",""),"-","")," ",""))=11,MID(SUBSTITUTE(SUBSTITUTE(SUBSTITUTE(SUBSTITUTE(TRIM(B162),"*",""),".",""),"-","")," ",""),4,6),SUBSTITUTE(SUBSTITUTE(SUBSTITUTE(SUBSTITUTE(TRIM(B162),"*",""),".",""),"-","")," ","")))</f>
        <v/>
      </c>
      <c r="E162" s="31" t="str">
        <f aca="false">IF(OR(C162="",D162=""),"",C162&amp;"|"&amp;D162)</f>
        <v/>
      </c>
      <c r="F162" s="11"/>
      <c r="G162" s="11"/>
      <c r="H162" s="22"/>
      <c r="I162" s="23"/>
      <c r="J162" s="11"/>
      <c r="K162" s="25" t="str">
        <f aca="false">IF(C162="","",IF(E162&lt;&gt;"",COUNTIF(Socios!$H:$H,E162),IF(COUNTIF(Socios!$F:$F,C162)&gt;0,"nome igual em Socios: confira o CPF","sem CPF: não cruzado")))</f>
        <v/>
      </c>
      <c r="L162" s="27" t="str">
        <f aca="false">IF(E162="","",COUNTIFS(Eleitoral!$K:$K,E162,Eleitoral!$E:$E,"Doação recebida"))</f>
        <v/>
      </c>
      <c r="M162" s="24"/>
      <c r="N162" s="11"/>
    </row>
    <row r="163" customFormat="false" ht="15" hidden="false" customHeight="false" outlineLevel="0" collapsed="false">
      <c r="A163" s="23"/>
      <c r="B163" s="24"/>
      <c r="C163" s="31" t="str">
        <f aca="false">IF(A163="","",SUBSTITUTE(SUBSTITUTE(SUBSTITUTE(SUBSTITUTE(SUBSTITUTE(SUBSTITUTE(SUBSTITUTE(SUBSTITUTE(SUBSTITUTE(SUBSTITUTE(SUBSTITUTE(SUBSTITUTE(SUBSTITUTE(UPPER(TRIM(A163)),"Á","A"),"À","A"),"Â","A"),"Ã","A"),"É","E"),"Ê","E"),"Í","I"),"Ó","O"),"Ô","O"),"Õ","O"),"Ú","U"),"Ü","U"),"Ç","C"))</f>
        <v/>
      </c>
      <c r="D163" s="31" t="str">
        <f aca="false">IF(B163="","",IF(LEN(SUBSTITUTE(SUBSTITUTE(SUBSTITUTE(SUBSTITUTE(TRIM(B163),"*",""),".",""),"-","")," ",""))=11,MID(SUBSTITUTE(SUBSTITUTE(SUBSTITUTE(SUBSTITUTE(TRIM(B163),"*",""),".",""),"-","")," ",""),4,6),SUBSTITUTE(SUBSTITUTE(SUBSTITUTE(SUBSTITUTE(TRIM(B163),"*",""),".",""),"-","")," ","")))</f>
        <v/>
      </c>
      <c r="E163" s="31" t="str">
        <f aca="false">IF(OR(C163="",D163=""),"",C163&amp;"|"&amp;D163)</f>
        <v/>
      </c>
      <c r="F163" s="11"/>
      <c r="G163" s="11"/>
      <c r="H163" s="22"/>
      <c r="I163" s="23"/>
      <c r="J163" s="11"/>
      <c r="K163" s="25" t="str">
        <f aca="false">IF(C163="","",IF(E163&lt;&gt;"",COUNTIF(Socios!$H:$H,E163),IF(COUNTIF(Socios!$F:$F,C163)&gt;0,"nome igual em Socios: confira o CPF","sem CPF: não cruzado")))</f>
        <v/>
      </c>
      <c r="L163" s="27" t="str">
        <f aca="false">IF(E163="","",COUNTIFS(Eleitoral!$K:$K,E163,Eleitoral!$E:$E,"Doação recebida"))</f>
        <v/>
      </c>
      <c r="M163" s="24"/>
      <c r="N163" s="11"/>
    </row>
    <row r="164" customFormat="false" ht="15" hidden="false" customHeight="false" outlineLevel="0" collapsed="false">
      <c r="A164" s="23"/>
      <c r="B164" s="24"/>
      <c r="C164" s="31" t="str">
        <f aca="false">IF(A164="","",SUBSTITUTE(SUBSTITUTE(SUBSTITUTE(SUBSTITUTE(SUBSTITUTE(SUBSTITUTE(SUBSTITUTE(SUBSTITUTE(SUBSTITUTE(SUBSTITUTE(SUBSTITUTE(SUBSTITUTE(SUBSTITUTE(UPPER(TRIM(A164)),"Á","A"),"À","A"),"Â","A"),"Ã","A"),"É","E"),"Ê","E"),"Í","I"),"Ó","O"),"Ô","O"),"Õ","O"),"Ú","U"),"Ü","U"),"Ç","C"))</f>
        <v/>
      </c>
      <c r="D164" s="31" t="str">
        <f aca="false">IF(B164="","",IF(LEN(SUBSTITUTE(SUBSTITUTE(SUBSTITUTE(SUBSTITUTE(TRIM(B164),"*",""),".",""),"-","")," ",""))=11,MID(SUBSTITUTE(SUBSTITUTE(SUBSTITUTE(SUBSTITUTE(TRIM(B164),"*",""),".",""),"-","")," ",""),4,6),SUBSTITUTE(SUBSTITUTE(SUBSTITUTE(SUBSTITUTE(TRIM(B164),"*",""),".",""),"-","")," ","")))</f>
        <v/>
      </c>
      <c r="E164" s="31" t="str">
        <f aca="false">IF(OR(C164="",D164=""),"",C164&amp;"|"&amp;D164)</f>
        <v/>
      </c>
      <c r="F164" s="11"/>
      <c r="G164" s="11"/>
      <c r="H164" s="22"/>
      <c r="I164" s="23"/>
      <c r="J164" s="11"/>
      <c r="K164" s="25" t="str">
        <f aca="false">IF(C164="","",IF(E164&lt;&gt;"",COUNTIF(Socios!$H:$H,E164),IF(COUNTIF(Socios!$F:$F,C164)&gt;0,"nome igual em Socios: confira o CPF","sem CPF: não cruzado")))</f>
        <v/>
      </c>
      <c r="L164" s="27" t="str">
        <f aca="false">IF(E164="","",COUNTIFS(Eleitoral!$K:$K,E164,Eleitoral!$E:$E,"Doação recebida"))</f>
        <v/>
      </c>
      <c r="M164" s="24"/>
      <c r="N164" s="11"/>
    </row>
    <row r="165" customFormat="false" ht="15" hidden="false" customHeight="false" outlineLevel="0" collapsed="false">
      <c r="A165" s="23"/>
      <c r="B165" s="24"/>
      <c r="C165" s="31" t="str">
        <f aca="false">IF(A165="","",SUBSTITUTE(SUBSTITUTE(SUBSTITUTE(SUBSTITUTE(SUBSTITUTE(SUBSTITUTE(SUBSTITUTE(SUBSTITUTE(SUBSTITUTE(SUBSTITUTE(SUBSTITUTE(SUBSTITUTE(SUBSTITUTE(UPPER(TRIM(A165)),"Á","A"),"À","A"),"Â","A"),"Ã","A"),"É","E"),"Ê","E"),"Í","I"),"Ó","O"),"Ô","O"),"Õ","O"),"Ú","U"),"Ü","U"),"Ç","C"))</f>
        <v/>
      </c>
      <c r="D165" s="31" t="str">
        <f aca="false">IF(B165="","",IF(LEN(SUBSTITUTE(SUBSTITUTE(SUBSTITUTE(SUBSTITUTE(TRIM(B165),"*",""),".",""),"-","")," ",""))=11,MID(SUBSTITUTE(SUBSTITUTE(SUBSTITUTE(SUBSTITUTE(TRIM(B165),"*",""),".",""),"-","")," ",""),4,6),SUBSTITUTE(SUBSTITUTE(SUBSTITUTE(SUBSTITUTE(TRIM(B165),"*",""),".",""),"-","")," ","")))</f>
        <v/>
      </c>
      <c r="E165" s="31" t="str">
        <f aca="false">IF(OR(C165="",D165=""),"",C165&amp;"|"&amp;D165)</f>
        <v/>
      </c>
      <c r="F165" s="11"/>
      <c r="G165" s="11"/>
      <c r="H165" s="22"/>
      <c r="I165" s="23"/>
      <c r="J165" s="11"/>
      <c r="K165" s="25" t="str">
        <f aca="false">IF(C165="","",IF(E165&lt;&gt;"",COUNTIF(Socios!$H:$H,E165),IF(COUNTIF(Socios!$F:$F,C165)&gt;0,"nome igual em Socios: confira o CPF","sem CPF: não cruzado")))</f>
        <v/>
      </c>
      <c r="L165" s="27" t="str">
        <f aca="false">IF(E165="","",COUNTIFS(Eleitoral!$K:$K,E165,Eleitoral!$E:$E,"Doação recebida"))</f>
        <v/>
      </c>
      <c r="M165" s="24"/>
      <c r="N165" s="11"/>
    </row>
    <row r="166" customFormat="false" ht="15" hidden="false" customHeight="false" outlineLevel="0" collapsed="false">
      <c r="A166" s="23"/>
      <c r="B166" s="24"/>
      <c r="C166" s="31" t="str">
        <f aca="false">IF(A166="","",SUBSTITUTE(SUBSTITUTE(SUBSTITUTE(SUBSTITUTE(SUBSTITUTE(SUBSTITUTE(SUBSTITUTE(SUBSTITUTE(SUBSTITUTE(SUBSTITUTE(SUBSTITUTE(SUBSTITUTE(SUBSTITUTE(UPPER(TRIM(A166)),"Á","A"),"À","A"),"Â","A"),"Ã","A"),"É","E"),"Ê","E"),"Í","I"),"Ó","O"),"Ô","O"),"Õ","O"),"Ú","U"),"Ü","U"),"Ç","C"))</f>
        <v/>
      </c>
      <c r="D166" s="31" t="str">
        <f aca="false">IF(B166="","",IF(LEN(SUBSTITUTE(SUBSTITUTE(SUBSTITUTE(SUBSTITUTE(TRIM(B166),"*",""),".",""),"-","")," ",""))=11,MID(SUBSTITUTE(SUBSTITUTE(SUBSTITUTE(SUBSTITUTE(TRIM(B166),"*",""),".",""),"-","")," ",""),4,6),SUBSTITUTE(SUBSTITUTE(SUBSTITUTE(SUBSTITUTE(TRIM(B166),"*",""),".",""),"-","")," ","")))</f>
        <v/>
      </c>
      <c r="E166" s="31" t="str">
        <f aca="false">IF(OR(C166="",D166=""),"",C166&amp;"|"&amp;D166)</f>
        <v/>
      </c>
      <c r="F166" s="11"/>
      <c r="G166" s="11"/>
      <c r="H166" s="22"/>
      <c r="I166" s="23"/>
      <c r="J166" s="11"/>
      <c r="K166" s="25" t="str">
        <f aca="false">IF(C166="","",IF(E166&lt;&gt;"",COUNTIF(Socios!$H:$H,E166),IF(COUNTIF(Socios!$F:$F,C166)&gt;0,"nome igual em Socios: confira o CPF","sem CPF: não cruzado")))</f>
        <v/>
      </c>
      <c r="L166" s="27" t="str">
        <f aca="false">IF(E166="","",COUNTIFS(Eleitoral!$K:$K,E166,Eleitoral!$E:$E,"Doação recebida"))</f>
        <v/>
      </c>
      <c r="M166" s="24"/>
      <c r="N166" s="11"/>
    </row>
    <row r="167" customFormat="false" ht="15" hidden="false" customHeight="false" outlineLevel="0" collapsed="false">
      <c r="A167" s="23"/>
      <c r="B167" s="24"/>
      <c r="C167" s="31" t="str">
        <f aca="false">IF(A167="","",SUBSTITUTE(SUBSTITUTE(SUBSTITUTE(SUBSTITUTE(SUBSTITUTE(SUBSTITUTE(SUBSTITUTE(SUBSTITUTE(SUBSTITUTE(SUBSTITUTE(SUBSTITUTE(SUBSTITUTE(SUBSTITUTE(UPPER(TRIM(A167)),"Á","A"),"À","A"),"Â","A"),"Ã","A"),"É","E"),"Ê","E"),"Í","I"),"Ó","O"),"Ô","O"),"Õ","O"),"Ú","U"),"Ü","U"),"Ç","C"))</f>
        <v/>
      </c>
      <c r="D167" s="31" t="str">
        <f aca="false">IF(B167="","",IF(LEN(SUBSTITUTE(SUBSTITUTE(SUBSTITUTE(SUBSTITUTE(TRIM(B167),"*",""),".",""),"-","")," ",""))=11,MID(SUBSTITUTE(SUBSTITUTE(SUBSTITUTE(SUBSTITUTE(TRIM(B167),"*",""),".",""),"-","")," ",""),4,6),SUBSTITUTE(SUBSTITUTE(SUBSTITUTE(SUBSTITUTE(TRIM(B167),"*",""),".",""),"-","")," ","")))</f>
        <v/>
      </c>
      <c r="E167" s="31" t="str">
        <f aca="false">IF(OR(C167="",D167=""),"",C167&amp;"|"&amp;D167)</f>
        <v/>
      </c>
      <c r="F167" s="11"/>
      <c r="G167" s="11"/>
      <c r="H167" s="22"/>
      <c r="I167" s="23"/>
      <c r="J167" s="11"/>
      <c r="K167" s="25" t="str">
        <f aca="false">IF(C167="","",IF(E167&lt;&gt;"",COUNTIF(Socios!$H:$H,E167),IF(COUNTIF(Socios!$F:$F,C167)&gt;0,"nome igual em Socios: confira o CPF","sem CPF: não cruzado")))</f>
        <v/>
      </c>
      <c r="L167" s="27" t="str">
        <f aca="false">IF(E167="","",COUNTIFS(Eleitoral!$K:$K,E167,Eleitoral!$E:$E,"Doação recebida"))</f>
        <v/>
      </c>
      <c r="M167" s="24"/>
      <c r="N167" s="11"/>
    </row>
    <row r="168" customFormat="false" ht="15" hidden="false" customHeight="false" outlineLevel="0" collapsed="false">
      <c r="A168" s="23"/>
      <c r="B168" s="24"/>
      <c r="C168" s="31" t="str">
        <f aca="false">IF(A168="","",SUBSTITUTE(SUBSTITUTE(SUBSTITUTE(SUBSTITUTE(SUBSTITUTE(SUBSTITUTE(SUBSTITUTE(SUBSTITUTE(SUBSTITUTE(SUBSTITUTE(SUBSTITUTE(SUBSTITUTE(SUBSTITUTE(UPPER(TRIM(A168)),"Á","A"),"À","A"),"Â","A"),"Ã","A"),"É","E"),"Ê","E"),"Í","I"),"Ó","O"),"Ô","O"),"Õ","O"),"Ú","U"),"Ü","U"),"Ç","C"))</f>
        <v/>
      </c>
      <c r="D168" s="31" t="str">
        <f aca="false">IF(B168="","",IF(LEN(SUBSTITUTE(SUBSTITUTE(SUBSTITUTE(SUBSTITUTE(TRIM(B168),"*",""),".",""),"-","")," ",""))=11,MID(SUBSTITUTE(SUBSTITUTE(SUBSTITUTE(SUBSTITUTE(TRIM(B168),"*",""),".",""),"-","")," ",""),4,6),SUBSTITUTE(SUBSTITUTE(SUBSTITUTE(SUBSTITUTE(TRIM(B168),"*",""),".",""),"-","")," ","")))</f>
        <v/>
      </c>
      <c r="E168" s="31" t="str">
        <f aca="false">IF(OR(C168="",D168=""),"",C168&amp;"|"&amp;D168)</f>
        <v/>
      </c>
      <c r="F168" s="11"/>
      <c r="G168" s="11"/>
      <c r="H168" s="22"/>
      <c r="I168" s="23"/>
      <c r="J168" s="11"/>
      <c r="K168" s="25" t="str">
        <f aca="false">IF(C168="","",IF(E168&lt;&gt;"",COUNTIF(Socios!$H:$H,E168),IF(COUNTIF(Socios!$F:$F,C168)&gt;0,"nome igual em Socios: confira o CPF","sem CPF: não cruzado")))</f>
        <v/>
      </c>
      <c r="L168" s="27" t="str">
        <f aca="false">IF(E168="","",COUNTIFS(Eleitoral!$K:$K,E168,Eleitoral!$E:$E,"Doação recebida"))</f>
        <v/>
      </c>
      <c r="M168" s="24"/>
      <c r="N168" s="11"/>
    </row>
    <row r="169" customFormat="false" ht="15" hidden="false" customHeight="false" outlineLevel="0" collapsed="false">
      <c r="A169" s="23"/>
      <c r="B169" s="24"/>
      <c r="C169" s="31" t="str">
        <f aca="false">IF(A169="","",SUBSTITUTE(SUBSTITUTE(SUBSTITUTE(SUBSTITUTE(SUBSTITUTE(SUBSTITUTE(SUBSTITUTE(SUBSTITUTE(SUBSTITUTE(SUBSTITUTE(SUBSTITUTE(SUBSTITUTE(SUBSTITUTE(UPPER(TRIM(A169)),"Á","A"),"À","A"),"Â","A"),"Ã","A"),"É","E"),"Ê","E"),"Í","I"),"Ó","O"),"Ô","O"),"Õ","O"),"Ú","U"),"Ü","U"),"Ç","C"))</f>
        <v/>
      </c>
      <c r="D169" s="31" t="str">
        <f aca="false">IF(B169="","",IF(LEN(SUBSTITUTE(SUBSTITUTE(SUBSTITUTE(SUBSTITUTE(TRIM(B169),"*",""),".",""),"-","")," ",""))=11,MID(SUBSTITUTE(SUBSTITUTE(SUBSTITUTE(SUBSTITUTE(TRIM(B169),"*",""),".",""),"-","")," ",""),4,6),SUBSTITUTE(SUBSTITUTE(SUBSTITUTE(SUBSTITUTE(TRIM(B169),"*",""),".",""),"-","")," ","")))</f>
        <v/>
      </c>
      <c r="E169" s="31" t="str">
        <f aca="false">IF(OR(C169="",D169=""),"",C169&amp;"|"&amp;D169)</f>
        <v/>
      </c>
      <c r="F169" s="11"/>
      <c r="G169" s="11"/>
      <c r="H169" s="22"/>
      <c r="I169" s="23"/>
      <c r="J169" s="11"/>
      <c r="K169" s="25" t="str">
        <f aca="false">IF(C169="","",IF(E169&lt;&gt;"",COUNTIF(Socios!$H:$H,E169),IF(COUNTIF(Socios!$F:$F,C169)&gt;0,"nome igual em Socios: confira o CPF","sem CPF: não cruzado")))</f>
        <v/>
      </c>
      <c r="L169" s="27" t="str">
        <f aca="false">IF(E169="","",COUNTIFS(Eleitoral!$K:$K,E169,Eleitoral!$E:$E,"Doação recebida"))</f>
        <v/>
      </c>
      <c r="M169" s="24"/>
      <c r="N169" s="11"/>
    </row>
    <row r="170" customFormat="false" ht="15" hidden="false" customHeight="false" outlineLevel="0" collapsed="false">
      <c r="A170" s="23"/>
      <c r="B170" s="24"/>
      <c r="C170" s="31" t="str">
        <f aca="false">IF(A170="","",SUBSTITUTE(SUBSTITUTE(SUBSTITUTE(SUBSTITUTE(SUBSTITUTE(SUBSTITUTE(SUBSTITUTE(SUBSTITUTE(SUBSTITUTE(SUBSTITUTE(SUBSTITUTE(SUBSTITUTE(SUBSTITUTE(UPPER(TRIM(A170)),"Á","A"),"À","A"),"Â","A"),"Ã","A"),"É","E"),"Ê","E"),"Í","I"),"Ó","O"),"Ô","O"),"Õ","O"),"Ú","U"),"Ü","U"),"Ç","C"))</f>
        <v/>
      </c>
      <c r="D170" s="31" t="str">
        <f aca="false">IF(B170="","",IF(LEN(SUBSTITUTE(SUBSTITUTE(SUBSTITUTE(SUBSTITUTE(TRIM(B170),"*",""),".",""),"-","")," ",""))=11,MID(SUBSTITUTE(SUBSTITUTE(SUBSTITUTE(SUBSTITUTE(TRIM(B170),"*",""),".",""),"-","")," ",""),4,6),SUBSTITUTE(SUBSTITUTE(SUBSTITUTE(SUBSTITUTE(TRIM(B170),"*",""),".",""),"-","")," ","")))</f>
        <v/>
      </c>
      <c r="E170" s="31" t="str">
        <f aca="false">IF(OR(C170="",D170=""),"",C170&amp;"|"&amp;D170)</f>
        <v/>
      </c>
      <c r="F170" s="11"/>
      <c r="G170" s="11"/>
      <c r="H170" s="22"/>
      <c r="I170" s="23"/>
      <c r="J170" s="11"/>
      <c r="K170" s="25" t="str">
        <f aca="false">IF(C170="","",IF(E170&lt;&gt;"",COUNTIF(Socios!$H:$H,E170),IF(COUNTIF(Socios!$F:$F,C170)&gt;0,"nome igual em Socios: confira o CPF","sem CPF: não cruzado")))</f>
        <v/>
      </c>
      <c r="L170" s="27" t="str">
        <f aca="false">IF(E170="","",COUNTIFS(Eleitoral!$K:$K,E170,Eleitoral!$E:$E,"Doação recebida"))</f>
        <v/>
      </c>
      <c r="M170" s="24"/>
      <c r="N170" s="11"/>
    </row>
    <row r="171" customFormat="false" ht="15" hidden="false" customHeight="false" outlineLevel="0" collapsed="false">
      <c r="A171" s="23"/>
      <c r="B171" s="24"/>
      <c r="C171" s="31" t="str">
        <f aca="false">IF(A171="","",SUBSTITUTE(SUBSTITUTE(SUBSTITUTE(SUBSTITUTE(SUBSTITUTE(SUBSTITUTE(SUBSTITUTE(SUBSTITUTE(SUBSTITUTE(SUBSTITUTE(SUBSTITUTE(SUBSTITUTE(SUBSTITUTE(UPPER(TRIM(A171)),"Á","A"),"À","A"),"Â","A"),"Ã","A"),"É","E"),"Ê","E"),"Í","I"),"Ó","O"),"Ô","O"),"Õ","O"),"Ú","U"),"Ü","U"),"Ç","C"))</f>
        <v/>
      </c>
      <c r="D171" s="31" t="str">
        <f aca="false">IF(B171="","",IF(LEN(SUBSTITUTE(SUBSTITUTE(SUBSTITUTE(SUBSTITUTE(TRIM(B171),"*",""),".",""),"-","")," ",""))=11,MID(SUBSTITUTE(SUBSTITUTE(SUBSTITUTE(SUBSTITUTE(TRIM(B171),"*",""),".",""),"-","")," ",""),4,6),SUBSTITUTE(SUBSTITUTE(SUBSTITUTE(SUBSTITUTE(TRIM(B171),"*",""),".",""),"-","")," ","")))</f>
        <v/>
      </c>
      <c r="E171" s="31" t="str">
        <f aca="false">IF(OR(C171="",D171=""),"",C171&amp;"|"&amp;D171)</f>
        <v/>
      </c>
      <c r="F171" s="11"/>
      <c r="G171" s="11"/>
      <c r="H171" s="22"/>
      <c r="I171" s="23"/>
      <c r="J171" s="11"/>
      <c r="K171" s="25" t="str">
        <f aca="false">IF(C171="","",IF(E171&lt;&gt;"",COUNTIF(Socios!$H:$H,E171),IF(COUNTIF(Socios!$F:$F,C171)&gt;0,"nome igual em Socios: confira o CPF","sem CPF: não cruzado")))</f>
        <v/>
      </c>
      <c r="L171" s="27" t="str">
        <f aca="false">IF(E171="","",COUNTIFS(Eleitoral!$K:$K,E171,Eleitoral!$E:$E,"Doação recebida"))</f>
        <v/>
      </c>
      <c r="M171" s="24"/>
      <c r="N171" s="11"/>
    </row>
    <row r="172" customFormat="false" ht="15" hidden="false" customHeight="false" outlineLevel="0" collapsed="false">
      <c r="A172" s="23"/>
      <c r="B172" s="24"/>
      <c r="C172" s="31" t="str">
        <f aca="false">IF(A172="","",SUBSTITUTE(SUBSTITUTE(SUBSTITUTE(SUBSTITUTE(SUBSTITUTE(SUBSTITUTE(SUBSTITUTE(SUBSTITUTE(SUBSTITUTE(SUBSTITUTE(SUBSTITUTE(SUBSTITUTE(SUBSTITUTE(UPPER(TRIM(A172)),"Á","A"),"À","A"),"Â","A"),"Ã","A"),"É","E"),"Ê","E"),"Í","I"),"Ó","O"),"Ô","O"),"Õ","O"),"Ú","U"),"Ü","U"),"Ç","C"))</f>
        <v/>
      </c>
      <c r="D172" s="31" t="str">
        <f aca="false">IF(B172="","",IF(LEN(SUBSTITUTE(SUBSTITUTE(SUBSTITUTE(SUBSTITUTE(TRIM(B172),"*",""),".",""),"-","")," ",""))=11,MID(SUBSTITUTE(SUBSTITUTE(SUBSTITUTE(SUBSTITUTE(TRIM(B172),"*",""),".",""),"-","")," ",""),4,6),SUBSTITUTE(SUBSTITUTE(SUBSTITUTE(SUBSTITUTE(TRIM(B172),"*",""),".",""),"-","")," ","")))</f>
        <v/>
      </c>
      <c r="E172" s="31" t="str">
        <f aca="false">IF(OR(C172="",D172=""),"",C172&amp;"|"&amp;D172)</f>
        <v/>
      </c>
      <c r="F172" s="11"/>
      <c r="G172" s="11"/>
      <c r="H172" s="22"/>
      <c r="I172" s="23"/>
      <c r="J172" s="11"/>
      <c r="K172" s="25" t="str">
        <f aca="false">IF(C172="","",IF(E172&lt;&gt;"",COUNTIF(Socios!$H:$H,E172),IF(COUNTIF(Socios!$F:$F,C172)&gt;0,"nome igual em Socios: confira o CPF","sem CPF: não cruzado")))</f>
        <v/>
      </c>
      <c r="L172" s="27" t="str">
        <f aca="false">IF(E172="","",COUNTIFS(Eleitoral!$K:$K,E172,Eleitoral!$E:$E,"Doação recebida"))</f>
        <v/>
      </c>
      <c r="M172" s="24"/>
      <c r="N172" s="11"/>
    </row>
    <row r="173" customFormat="false" ht="15" hidden="false" customHeight="false" outlineLevel="0" collapsed="false">
      <c r="A173" s="23"/>
      <c r="B173" s="24"/>
      <c r="C173" s="31" t="str">
        <f aca="false">IF(A173="","",SUBSTITUTE(SUBSTITUTE(SUBSTITUTE(SUBSTITUTE(SUBSTITUTE(SUBSTITUTE(SUBSTITUTE(SUBSTITUTE(SUBSTITUTE(SUBSTITUTE(SUBSTITUTE(SUBSTITUTE(SUBSTITUTE(UPPER(TRIM(A173)),"Á","A"),"À","A"),"Â","A"),"Ã","A"),"É","E"),"Ê","E"),"Í","I"),"Ó","O"),"Ô","O"),"Õ","O"),"Ú","U"),"Ü","U"),"Ç","C"))</f>
        <v/>
      </c>
      <c r="D173" s="31" t="str">
        <f aca="false">IF(B173="","",IF(LEN(SUBSTITUTE(SUBSTITUTE(SUBSTITUTE(SUBSTITUTE(TRIM(B173),"*",""),".",""),"-","")," ",""))=11,MID(SUBSTITUTE(SUBSTITUTE(SUBSTITUTE(SUBSTITUTE(TRIM(B173),"*",""),".",""),"-","")," ",""),4,6),SUBSTITUTE(SUBSTITUTE(SUBSTITUTE(SUBSTITUTE(TRIM(B173),"*",""),".",""),"-","")," ","")))</f>
        <v/>
      </c>
      <c r="E173" s="31" t="str">
        <f aca="false">IF(OR(C173="",D173=""),"",C173&amp;"|"&amp;D173)</f>
        <v/>
      </c>
      <c r="F173" s="11"/>
      <c r="G173" s="11"/>
      <c r="H173" s="22"/>
      <c r="I173" s="23"/>
      <c r="J173" s="11"/>
      <c r="K173" s="25" t="str">
        <f aca="false">IF(C173="","",IF(E173&lt;&gt;"",COUNTIF(Socios!$H:$H,E173),IF(COUNTIF(Socios!$F:$F,C173)&gt;0,"nome igual em Socios: confira o CPF","sem CPF: não cruzado")))</f>
        <v/>
      </c>
      <c r="L173" s="27" t="str">
        <f aca="false">IF(E173="","",COUNTIFS(Eleitoral!$K:$K,E173,Eleitoral!$E:$E,"Doação recebida"))</f>
        <v/>
      </c>
      <c r="M173" s="24"/>
      <c r="N173" s="11"/>
    </row>
    <row r="174" customFormat="false" ht="15" hidden="false" customHeight="false" outlineLevel="0" collapsed="false">
      <c r="A174" s="23"/>
      <c r="B174" s="24"/>
      <c r="C174" s="31" t="str">
        <f aca="false">IF(A174="","",SUBSTITUTE(SUBSTITUTE(SUBSTITUTE(SUBSTITUTE(SUBSTITUTE(SUBSTITUTE(SUBSTITUTE(SUBSTITUTE(SUBSTITUTE(SUBSTITUTE(SUBSTITUTE(SUBSTITUTE(SUBSTITUTE(UPPER(TRIM(A174)),"Á","A"),"À","A"),"Â","A"),"Ã","A"),"É","E"),"Ê","E"),"Í","I"),"Ó","O"),"Ô","O"),"Õ","O"),"Ú","U"),"Ü","U"),"Ç","C"))</f>
        <v/>
      </c>
      <c r="D174" s="31" t="str">
        <f aca="false">IF(B174="","",IF(LEN(SUBSTITUTE(SUBSTITUTE(SUBSTITUTE(SUBSTITUTE(TRIM(B174),"*",""),".",""),"-","")," ",""))=11,MID(SUBSTITUTE(SUBSTITUTE(SUBSTITUTE(SUBSTITUTE(TRIM(B174),"*",""),".",""),"-","")," ",""),4,6),SUBSTITUTE(SUBSTITUTE(SUBSTITUTE(SUBSTITUTE(TRIM(B174),"*",""),".",""),"-","")," ","")))</f>
        <v/>
      </c>
      <c r="E174" s="31" t="str">
        <f aca="false">IF(OR(C174="",D174=""),"",C174&amp;"|"&amp;D174)</f>
        <v/>
      </c>
      <c r="F174" s="11"/>
      <c r="G174" s="11"/>
      <c r="H174" s="22"/>
      <c r="I174" s="23"/>
      <c r="J174" s="11"/>
      <c r="K174" s="25" t="str">
        <f aca="false">IF(C174="","",IF(E174&lt;&gt;"",COUNTIF(Socios!$H:$H,E174),IF(COUNTIF(Socios!$F:$F,C174)&gt;0,"nome igual em Socios: confira o CPF","sem CPF: não cruzado")))</f>
        <v/>
      </c>
      <c r="L174" s="27" t="str">
        <f aca="false">IF(E174="","",COUNTIFS(Eleitoral!$K:$K,E174,Eleitoral!$E:$E,"Doação recebida"))</f>
        <v/>
      </c>
      <c r="M174" s="24"/>
      <c r="N174" s="11"/>
    </row>
    <row r="175" customFormat="false" ht="15" hidden="false" customHeight="false" outlineLevel="0" collapsed="false">
      <c r="A175" s="23"/>
      <c r="B175" s="24"/>
      <c r="C175" s="31" t="str">
        <f aca="false">IF(A175="","",SUBSTITUTE(SUBSTITUTE(SUBSTITUTE(SUBSTITUTE(SUBSTITUTE(SUBSTITUTE(SUBSTITUTE(SUBSTITUTE(SUBSTITUTE(SUBSTITUTE(SUBSTITUTE(SUBSTITUTE(SUBSTITUTE(UPPER(TRIM(A175)),"Á","A"),"À","A"),"Â","A"),"Ã","A"),"É","E"),"Ê","E"),"Í","I"),"Ó","O"),"Ô","O"),"Õ","O"),"Ú","U"),"Ü","U"),"Ç","C"))</f>
        <v/>
      </c>
      <c r="D175" s="31" t="str">
        <f aca="false">IF(B175="","",IF(LEN(SUBSTITUTE(SUBSTITUTE(SUBSTITUTE(SUBSTITUTE(TRIM(B175),"*",""),".",""),"-","")," ",""))=11,MID(SUBSTITUTE(SUBSTITUTE(SUBSTITUTE(SUBSTITUTE(TRIM(B175),"*",""),".",""),"-","")," ",""),4,6),SUBSTITUTE(SUBSTITUTE(SUBSTITUTE(SUBSTITUTE(TRIM(B175),"*",""),".",""),"-","")," ","")))</f>
        <v/>
      </c>
      <c r="E175" s="31" t="str">
        <f aca="false">IF(OR(C175="",D175=""),"",C175&amp;"|"&amp;D175)</f>
        <v/>
      </c>
      <c r="F175" s="11"/>
      <c r="G175" s="11"/>
      <c r="H175" s="22"/>
      <c r="I175" s="23"/>
      <c r="J175" s="11"/>
      <c r="K175" s="25" t="str">
        <f aca="false">IF(C175="","",IF(E175&lt;&gt;"",COUNTIF(Socios!$H:$H,E175),IF(COUNTIF(Socios!$F:$F,C175)&gt;0,"nome igual em Socios: confira o CPF","sem CPF: não cruzado")))</f>
        <v/>
      </c>
      <c r="L175" s="27" t="str">
        <f aca="false">IF(E175="","",COUNTIFS(Eleitoral!$K:$K,E175,Eleitoral!$E:$E,"Doação recebida"))</f>
        <v/>
      </c>
      <c r="M175" s="24"/>
      <c r="N175" s="11"/>
    </row>
    <row r="176" customFormat="false" ht="15" hidden="false" customHeight="false" outlineLevel="0" collapsed="false">
      <c r="A176" s="23"/>
      <c r="B176" s="24"/>
      <c r="C176" s="31" t="str">
        <f aca="false">IF(A176="","",SUBSTITUTE(SUBSTITUTE(SUBSTITUTE(SUBSTITUTE(SUBSTITUTE(SUBSTITUTE(SUBSTITUTE(SUBSTITUTE(SUBSTITUTE(SUBSTITUTE(SUBSTITUTE(SUBSTITUTE(SUBSTITUTE(UPPER(TRIM(A176)),"Á","A"),"À","A"),"Â","A"),"Ã","A"),"É","E"),"Ê","E"),"Í","I"),"Ó","O"),"Ô","O"),"Õ","O"),"Ú","U"),"Ü","U"),"Ç","C"))</f>
        <v/>
      </c>
      <c r="D176" s="31" t="str">
        <f aca="false">IF(B176="","",IF(LEN(SUBSTITUTE(SUBSTITUTE(SUBSTITUTE(SUBSTITUTE(TRIM(B176),"*",""),".",""),"-","")," ",""))=11,MID(SUBSTITUTE(SUBSTITUTE(SUBSTITUTE(SUBSTITUTE(TRIM(B176),"*",""),".",""),"-","")," ",""),4,6),SUBSTITUTE(SUBSTITUTE(SUBSTITUTE(SUBSTITUTE(TRIM(B176),"*",""),".",""),"-","")," ","")))</f>
        <v/>
      </c>
      <c r="E176" s="31" t="str">
        <f aca="false">IF(OR(C176="",D176=""),"",C176&amp;"|"&amp;D176)</f>
        <v/>
      </c>
      <c r="F176" s="11"/>
      <c r="G176" s="11"/>
      <c r="H176" s="22"/>
      <c r="I176" s="23"/>
      <c r="J176" s="11"/>
      <c r="K176" s="25" t="str">
        <f aca="false">IF(C176="","",IF(E176&lt;&gt;"",COUNTIF(Socios!$H:$H,E176),IF(COUNTIF(Socios!$F:$F,C176)&gt;0,"nome igual em Socios: confira o CPF","sem CPF: não cruzado")))</f>
        <v/>
      </c>
      <c r="L176" s="27" t="str">
        <f aca="false">IF(E176="","",COUNTIFS(Eleitoral!$K:$K,E176,Eleitoral!$E:$E,"Doação recebida"))</f>
        <v/>
      </c>
      <c r="M176" s="24"/>
      <c r="N176" s="11"/>
    </row>
    <row r="177" customFormat="false" ht="15" hidden="false" customHeight="false" outlineLevel="0" collapsed="false">
      <c r="A177" s="23"/>
      <c r="B177" s="24"/>
      <c r="C177" s="31" t="str">
        <f aca="false">IF(A177="","",SUBSTITUTE(SUBSTITUTE(SUBSTITUTE(SUBSTITUTE(SUBSTITUTE(SUBSTITUTE(SUBSTITUTE(SUBSTITUTE(SUBSTITUTE(SUBSTITUTE(SUBSTITUTE(SUBSTITUTE(SUBSTITUTE(UPPER(TRIM(A177)),"Á","A"),"À","A"),"Â","A"),"Ã","A"),"É","E"),"Ê","E"),"Í","I"),"Ó","O"),"Ô","O"),"Õ","O"),"Ú","U"),"Ü","U"),"Ç","C"))</f>
        <v/>
      </c>
      <c r="D177" s="31" t="str">
        <f aca="false">IF(B177="","",IF(LEN(SUBSTITUTE(SUBSTITUTE(SUBSTITUTE(SUBSTITUTE(TRIM(B177),"*",""),".",""),"-","")," ",""))=11,MID(SUBSTITUTE(SUBSTITUTE(SUBSTITUTE(SUBSTITUTE(TRIM(B177),"*",""),".",""),"-","")," ",""),4,6),SUBSTITUTE(SUBSTITUTE(SUBSTITUTE(SUBSTITUTE(TRIM(B177),"*",""),".",""),"-","")," ","")))</f>
        <v/>
      </c>
      <c r="E177" s="31" t="str">
        <f aca="false">IF(OR(C177="",D177=""),"",C177&amp;"|"&amp;D177)</f>
        <v/>
      </c>
      <c r="F177" s="11"/>
      <c r="G177" s="11"/>
      <c r="H177" s="22"/>
      <c r="I177" s="23"/>
      <c r="J177" s="11"/>
      <c r="K177" s="25" t="str">
        <f aca="false">IF(C177="","",IF(E177&lt;&gt;"",COUNTIF(Socios!$H:$H,E177),IF(COUNTIF(Socios!$F:$F,C177)&gt;0,"nome igual em Socios: confira o CPF","sem CPF: não cruzado")))</f>
        <v/>
      </c>
      <c r="L177" s="27" t="str">
        <f aca="false">IF(E177="","",COUNTIFS(Eleitoral!$K:$K,E177,Eleitoral!$E:$E,"Doação recebida"))</f>
        <v/>
      </c>
      <c r="M177" s="24"/>
      <c r="N177" s="11"/>
    </row>
    <row r="178" customFormat="false" ht="15" hidden="false" customHeight="false" outlineLevel="0" collapsed="false">
      <c r="A178" s="23"/>
      <c r="B178" s="24"/>
      <c r="C178" s="31" t="str">
        <f aca="false">IF(A178="","",SUBSTITUTE(SUBSTITUTE(SUBSTITUTE(SUBSTITUTE(SUBSTITUTE(SUBSTITUTE(SUBSTITUTE(SUBSTITUTE(SUBSTITUTE(SUBSTITUTE(SUBSTITUTE(SUBSTITUTE(SUBSTITUTE(UPPER(TRIM(A178)),"Á","A"),"À","A"),"Â","A"),"Ã","A"),"É","E"),"Ê","E"),"Í","I"),"Ó","O"),"Ô","O"),"Õ","O"),"Ú","U"),"Ü","U"),"Ç","C"))</f>
        <v/>
      </c>
      <c r="D178" s="31" t="str">
        <f aca="false">IF(B178="","",IF(LEN(SUBSTITUTE(SUBSTITUTE(SUBSTITUTE(SUBSTITUTE(TRIM(B178),"*",""),".",""),"-","")," ",""))=11,MID(SUBSTITUTE(SUBSTITUTE(SUBSTITUTE(SUBSTITUTE(TRIM(B178),"*",""),".",""),"-","")," ",""),4,6),SUBSTITUTE(SUBSTITUTE(SUBSTITUTE(SUBSTITUTE(TRIM(B178),"*",""),".",""),"-","")," ","")))</f>
        <v/>
      </c>
      <c r="E178" s="31" t="str">
        <f aca="false">IF(OR(C178="",D178=""),"",C178&amp;"|"&amp;D178)</f>
        <v/>
      </c>
      <c r="F178" s="11"/>
      <c r="G178" s="11"/>
      <c r="H178" s="22"/>
      <c r="I178" s="23"/>
      <c r="J178" s="11"/>
      <c r="K178" s="25" t="str">
        <f aca="false">IF(C178="","",IF(E178&lt;&gt;"",COUNTIF(Socios!$H:$H,E178),IF(COUNTIF(Socios!$F:$F,C178)&gt;0,"nome igual em Socios: confira o CPF","sem CPF: não cruzado")))</f>
        <v/>
      </c>
      <c r="L178" s="27" t="str">
        <f aca="false">IF(E178="","",COUNTIFS(Eleitoral!$K:$K,E178,Eleitoral!$E:$E,"Doação recebida"))</f>
        <v/>
      </c>
      <c r="M178" s="24"/>
      <c r="N178" s="11"/>
    </row>
    <row r="179" customFormat="false" ht="15" hidden="false" customHeight="false" outlineLevel="0" collapsed="false">
      <c r="A179" s="23"/>
      <c r="B179" s="24"/>
      <c r="C179" s="31" t="str">
        <f aca="false">IF(A179="","",SUBSTITUTE(SUBSTITUTE(SUBSTITUTE(SUBSTITUTE(SUBSTITUTE(SUBSTITUTE(SUBSTITUTE(SUBSTITUTE(SUBSTITUTE(SUBSTITUTE(SUBSTITUTE(SUBSTITUTE(SUBSTITUTE(UPPER(TRIM(A179)),"Á","A"),"À","A"),"Â","A"),"Ã","A"),"É","E"),"Ê","E"),"Í","I"),"Ó","O"),"Ô","O"),"Õ","O"),"Ú","U"),"Ü","U"),"Ç","C"))</f>
        <v/>
      </c>
      <c r="D179" s="31" t="str">
        <f aca="false">IF(B179="","",IF(LEN(SUBSTITUTE(SUBSTITUTE(SUBSTITUTE(SUBSTITUTE(TRIM(B179),"*",""),".",""),"-","")," ",""))=11,MID(SUBSTITUTE(SUBSTITUTE(SUBSTITUTE(SUBSTITUTE(TRIM(B179),"*",""),".",""),"-","")," ",""),4,6),SUBSTITUTE(SUBSTITUTE(SUBSTITUTE(SUBSTITUTE(TRIM(B179),"*",""),".",""),"-","")," ","")))</f>
        <v/>
      </c>
      <c r="E179" s="31" t="str">
        <f aca="false">IF(OR(C179="",D179=""),"",C179&amp;"|"&amp;D179)</f>
        <v/>
      </c>
      <c r="F179" s="11"/>
      <c r="G179" s="11"/>
      <c r="H179" s="22"/>
      <c r="I179" s="23"/>
      <c r="J179" s="11"/>
      <c r="K179" s="25" t="str">
        <f aca="false">IF(C179="","",IF(E179&lt;&gt;"",COUNTIF(Socios!$H:$H,E179),IF(COUNTIF(Socios!$F:$F,C179)&gt;0,"nome igual em Socios: confira o CPF","sem CPF: não cruzado")))</f>
        <v/>
      </c>
      <c r="L179" s="27" t="str">
        <f aca="false">IF(E179="","",COUNTIFS(Eleitoral!$K:$K,E179,Eleitoral!$E:$E,"Doação recebida"))</f>
        <v/>
      </c>
      <c r="M179" s="24"/>
      <c r="N179" s="11"/>
    </row>
    <row r="180" customFormat="false" ht="15" hidden="false" customHeight="false" outlineLevel="0" collapsed="false">
      <c r="A180" s="23"/>
      <c r="B180" s="24"/>
      <c r="C180" s="31" t="str">
        <f aca="false">IF(A180="","",SUBSTITUTE(SUBSTITUTE(SUBSTITUTE(SUBSTITUTE(SUBSTITUTE(SUBSTITUTE(SUBSTITUTE(SUBSTITUTE(SUBSTITUTE(SUBSTITUTE(SUBSTITUTE(SUBSTITUTE(SUBSTITUTE(UPPER(TRIM(A180)),"Á","A"),"À","A"),"Â","A"),"Ã","A"),"É","E"),"Ê","E"),"Í","I"),"Ó","O"),"Ô","O"),"Õ","O"),"Ú","U"),"Ü","U"),"Ç","C"))</f>
        <v/>
      </c>
      <c r="D180" s="31" t="str">
        <f aca="false">IF(B180="","",IF(LEN(SUBSTITUTE(SUBSTITUTE(SUBSTITUTE(SUBSTITUTE(TRIM(B180),"*",""),".",""),"-","")," ",""))=11,MID(SUBSTITUTE(SUBSTITUTE(SUBSTITUTE(SUBSTITUTE(TRIM(B180),"*",""),".",""),"-","")," ",""),4,6),SUBSTITUTE(SUBSTITUTE(SUBSTITUTE(SUBSTITUTE(TRIM(B180),"*",""),".",""),"-","")," ","")))</f>
        <v/>
      </c>
      <c r="E180" s="31" t="str">
        <f aca="false">IF(OR(C180="",D180=""),"",C180&amp;"|"&amp;D180)</f>
        <v/>
      </c>
      <c r="F180" s="11"/>
      <c r="G180" s="11"/>
      <c r="H180" s="22"/>
      <c r="I180" s="23"/>
      <c r="J180" s="11"/>
      <c r="K180" s="25" t="str">
        <f aca="false">IF(C180="","",IF(E180&lt;&gt;"",COUNTIF(Socios!$H:$H,E180),IF(COUNTIF(Socios!$F:$F,C180)&gt;0,"nome igual em Socios: confira o CPF","sem CPF: não cruzado")))</f>
        <v/>
      </c>
      <c r="L180" s="27" t="str">
        <f aca="false">IF(E180="","",COUNTIFS(Eleitoral!$K:$K,E180,Eleitoral!$E:$E,"Doação recebida"))</f>
        <v/>
      </c>
      <c r="M180" s="24"/>
      <c r="N180" s="11"/>
    </row>
    <row r="181" customFormat="false" ht="15" hidden="false" customHeight="false" outlineLevel="0" collapsed="false">
      <c r="A181" s="23"/>
      <c r="B181" s="24"/>
      <c r="C181" s="31" t="str">
        <f aca="false">IF(A181="","",SUBSTITUTE(SUBSTITUTE(SUBSTITUTE(SUBSTITUTE(SUBSTITUTE(SUBSTITUTE(SUBSTITUTE(SUBSTITUTE(SUBSTITUTE(SUBSTITUTE(SUBSTITUTE(SUBSTITUTE(SUBSTITUTE(UPPER(TRIM(A181)),"Á","A"),"À","A"),"Â","A"),"Ã","A"),"É","E"),"Ê","E"),"Í","I"),"Ó","O"),"Ô","O"),"Õ","O"),"Ú","U"),"Ü","U"),"Ç","C"))</f>
        <v/>
      </c>
      <c r="D181" s="31" t="str">
        <f aca="false">IF(B181="","",IF(LEN(SUBSTITUTE(SUBSTITUTE(SUBSTITUTE(SUBSTITUTE(TRIM(B181),"*",""),".",""),"-","")," ",""))=11,MID(SUBSTITUTE(SUBSTITUTE(SUBSTITUTE(SUBSTITUTE(TRIM(B181),"*",""),".",""),"-","")," ",""),4,6),SUBSTITUTE(SUBSTITUTE(SUBSTITUTE(SUBSTITUTE(TRIM(B181),"*",""),".",""),"-","")," ","")))</f>
        <v/>
      </c>
      <c r="E181" s="31" t="str">
        <f aca="false">IF(OR(C181="",D181=""),"",C181&amp;"|"&amp;D181)</f>
        <v/>
      </c>
      <c r="F181" s="11"/>
      <c r="G181" s="11"/>
      <c r="H181" s="22"/>
      <c r="I181" s="23"/>
      <c r="J181" s="11"/>
      <c r="K181" s="25" t="str">
        <f aca="false">IF(C181="","",IF(E181&lt;&gt;"",COUNTIF(Socios!$H:$H,E181),IF(COUNTIF(Socios!$F:$F,C181)&gt;0,"nome igual em Socios: confira o CPF","sem CPF: não cruzado")))</f>
        <v/>
      </c>
      <c r="L181" s="27" t="str">
        <f aca="false">IF(E181="","",COUNTIFS(Eleitoral!$K:$K,E181,Eleitoral!$E:$E,"Doação recebida"))</f>
        <v/>
      </c>
      <c r="M181" s="24"/>
      <c r="N181" s="11"/>
    </row>
    <row r="182" customFormat="false" ht="15" hidden="false" customHeight="false" outlineLevel="0" collapsed="false">
      <c r="A182" s="23"/>
      <c r="B182" s="24"/>
      <c r="C182" s="31" t="str">
        <f aca="false">IF(A182="","",SUBSTITUTE(SUBSTITUTE(SUBSTITUTE(SUBSTITUTE(SUBSTITUTE(SUBSTITUTE(SUBSTITUTE(SUBSTITUTE(SUBSTITUTE(SUBSTITUTE(SUBSTITUTE(SUBSTITUTE(SUBSTITUTE(UPPER(TRIM(A182)),"Á","A"),"À","A"),"Â","A"),"Ã","A"),"É","E"),"Ê","E"),"Í","I"),"Ó","O"),"Ô","O"),"Õ","O"),"Ú","U"),"Ü","U"),"Ç","C"))</f>
        <v/>
      </c>
      <c r="D182" s="31" t="str">
        <f aca="false">IF(B182="","",IF(LEN(SUBSTITUTE(SUBSTITUTE(SUBSTITUTE(SUBSTITUTE(TRIM(B182),"*",""),".",""),"-","")," ",""))=11,MID(SUBSTITUTE(SUBSTITUTE(SUBSTITUTE(SUBSTITUTE(TRIM(B182),"*",""),".",""),"-","")," ",""),4,6),SUBSTITUTE(SUBSTITUTE(SUBSTITUTE(SUBSTITUTE(TRIM(B182),"*",""),".",""),"-","")," ","")))</f>
        <v/>
      </c>
      <c r="E182" s="31" t="str">
        <f aca="false">IF(OR(C182="",D182=""),"",C182&amp;"|"&amp;D182)</f>
        <v/>
      </c>
      <c r="F182" s="11"/>
      <c r="G182" s="11"/>
      <c r="H182" s="22"/>
      <c r="I182" s="23"/>
      <c r="J182" s="11"/>
      <c r="K182" s="25" t="str">
        <f aca="false">IF(C182="","",IF(E182&lt;&gt;"",COUNTIF(Socios!$H:$H,E182),IF(COUNTIF(Socios!$F:$F,C182)&gt;0,"nome igual em Socios: confira o CPF","sem CPF: não cruzado")))</f>
        <v/>
      </c>
      <c r="L182" s="27" t="str">
        <f aca="false">IF(E182="","",COUNTIFS(Eleitoral!$K:$K,E182,Eleitoral!$E:$E,"Doação recebida"))</f>
        <v/>
      </c>
      <c r="M182" s="24"/>
      <c r="N182" s="11"/>
    </row>
    <row r="183" customFormat="false" ht="15" hidden="false" customHeight="false" outlineLevel="0" collapsed="false">
      <c r="A183" s="23"/>
      <c r="B183" s="24"/>
      <c r="C183" s="31" t="str">
        <f aca="false">IF(A183="","",SUBSTITUTE(SUBSTITUTE(SUBSTITUTE(SUBSTITUTE(SUBSTITUTE(SUBSTITUTE(SUBSTITUTE(SUBSTITUTE(SUBSTITUTE(SUBSTITUTE(SUBSTITUTE(SUBSTITUTE(SUBSTITUTE(UPPER(TRIM(A183)),"Á","A"),"À","A"),"Â","A"),"Ã","A"),"É","E"),"Ê","E"),"Í","I"),"Ó","O"),"Ô","O"),"Õ","O"),"Ú","U"),"Ü","U"),"Ç","C"))</f>
        <v/>
      </c>
      <c r="D183" s="31" t="str">
        <f aca="false">IF(B183="","",IF(LEN(SUBSTITUTE(SUBSTITUTE(SUBSTITUTE(SUBSTITUTE(TRIM(B183),"*",""),".",""),"-","")," ",""))=11,MID(SUBSTITUTE(SUBSTITUTE(SUBSTITUTE(SUBSTITUTE(TRIM(B183),"*",""),".",""),"-","")," ",""),4,6),SUBSTITUTE(SUBSTITUTE(SUBSTITUTE(SUBSTITUTE(TRIM(B183),"*",""),".",""),"-","")," ","")))</f>
        <v/>
      </c>
      <c r="E183" s="31" t="str">
        <f aca="false">IF(OR(C183="",D183=""),"",C183&amp;"|"&amp;D183)</f>
        <v/>
      </c>
      <c r="F183" s="11"/>
      <c r="G183" s="11"/>
      <c r="H183" s="22"/>
      <c r="I183" s="23"/>
      <c r="J183" s="11"/>
      <c r="K183" s="25" t="str">
        <f aca="false">IF(C183="","",IF(E183&lt;&gt;"",COUNTIF(Socios!$H:$H,E183),IF(COUNTIF(Socios!$F:$F,C183)&gt;0,"nome igual em Socios: confira o CPF","sem CPF: não cruzado")))</f>
        <v/>
      </c>
      <c r="L183" s="27" t="str">
        <f aca="false">IF(E183="","",COUNTIFS(Eleitoral!$K:$K,E183,Eleitoral!$E:$E,"Doação recebida"))</f>
        <v/>
      </c>
      <c r="M183" s="24"/>
      <c r="N183" s="11"/>
    </row>
    <row r="184" customFormat="false" ht="15" hidden="false" customHeight="false" outlineLevel="0" collapsed="false">
      <c r="A184" s="23"/>
      <c r="B184" s="24"/>
      <c r="C184" s="31" t="str">
        <f aca="false">IF(A184="","",SUBSTITUTE(SUBSTITUTE(SUBSTITUTE(SUBSTITUTE(SUBSTITUTE(SUBSTITUTE(SUBSTITUTE(SUBSTITUTE(SUBSTITUTE(SUBSTITUTE(SUBSTITUTE(SUBSTITUTE(SUBSTITUTE(UPPER(TRIM(A184)),"Á","A"),"À","A"),"Â","A"),"Ã","A"),"É","E"),"Ê","E"),"Í","I"),"Ó","O"),"Ô","O"),"Õ","O"),"Ú","U"),"Ü","U"),"Ç","C"))</f>
        <v/>
      </c>
      <c r="D184" s="31" t="str">
        <f aca="false">IF(B184="","",IF(LEN(SUBSTITUTE(SUBSTITUTE(SUBSTITUTE(SUBSTITUTE(TRIM(B184),"*",""),".",""),"-","")," ",""))=11,MID(SUBSTITUTE(SUBSTITUTE(SUBSTITUTE(SUBSTITUTE(TRIM(B184),"*",""),".",""),"-","")," ",""),4,6),SUBSTITUTE(SUBSTITUTE(SUBSTITUTE(SUBSTITUTE(TRIM(B184),"*",""),".",""),"-","")," ","")))</f>
        <v/>
      </c>
      <c r="E184" s="31" t="str">
        <f aca="false">IF(OR(C184="",D184=""),"",C184&amp;"|"&amp;D184)</f>
        <v/>
      </c>
      <c r="F184" s="11"/>
      <c r="G184" s="11"/>
      <c r="H184" s="22"/>
      <c r="I184" s="23"/>
      <c r="J184" s="11"/>
      <c r="K184" s="25" t="str">
        <f aca="false">IF(C184="","",IF(E184&lt;&gt;"",COUNTIF(Socios!$H:$H,E184),IF(COUNTIF(Socios!$F:$F,C184)&gt;0,"nome igual em Socios: confira o CPF","sem CPF: não cruzado")))</f>
        <v/>
      </c>
      <c r="L184" s="27" t="str">
        <f aca="false">IF(E184="","",COUNTIFS(Eleitoral!$K:$K,E184,Eleitoral!$E:$E,"Doação recebida"))</f>
        <v/>
      </c>
      <c r="M184" s="24"/>
      <c r="N184" s="11"/>
    </row>
    <row r="185" customFormat="false" ht="15" hidden="false" customHeight="false" outlineLevel="0" collapsed="false">
      <c r="A185" s="23"/>
      <c r="B185" s="24"/>
      <c r="C185" s="31" t="str">
        <f aca="false">IF(A185="","",SUBSTITUTE(SUBSTITUTE(SUBSTITUTE(SUBSTITUTE(SUBSTITUTE(SUBSTITUTE(SUBSTITUTE(SUBSTITUTE(SUBSTITUTE(SUBSTITUTE(SUBSTITUTE(SUBSTITUTE(SUBSTITUTE(UPPER(TRIM(A185)),"Á","A"),"À","A"),"Â","A"),"Ã","A"),"É","E"),"Ê","E"),"Í","I"),"Ó","O"),"Ô","O"),"Õ","O"),"Ú","U"),"Ü","U"),"Ç","C"))</f>
        <v/>
      </c>
      <c r="D185" s="31" t="str">
        <f aca="false">IF(B185="","",IF(LEN(SUBSTITUTE(SUBSTITUTE(SUBSTITUTE(SUBSTITUTE(TRIM(B185),"*",""),".",""),"-","")," ",""))=11,MID(SUBSTITUTE(SUBSTITUTE(SUBSTITUTE(SUBSTITUTE(TRIM(B185),"*",""),".",""),"-","")," ",""),4,6),SUBSTITUTE(SUBSTITUTE(SUBSTITUTE(SUBSTITUTE(TRIM(B185),"*",""),".",""),"-","")," ","")))</f>
        <v/>
      </c>
      <c r="E185" s="31" t="str">
        <f aca="false">IF(OR(C185="",D185=""),"",C185&amp;"|"&amp;D185)</f>
        <v/>
      </c>
      <c r="F185" s="11"/>
      <c r="G185" s="11"/>
      <c r="H185" s="22"/>
      <c r="I185" s="23"/>
      <c r="J185" s="11"/>
      <c r="K185" s="25" t="str">
        <f aca="false">IF(C185="","",IF(E185&lt;&gt;"",COUNTIF(Socios!$H:$H,E185),IF(COUNTIF(Socios!$F:$F,C185)&gt;0,"nome igual em Socios: confira o CPF","sem CPF: não cruzado")))</f>
        <v/>
      </c>
      <c r="L185" s="27" t="str">
        <f aca="false">IF(E185="","",COUNTIFS(Eleitoral!$K:$K,E185,Eleitoral!$E:$E,"Doação recebida"))</f>
        <v/>
      </c>
      <c r="M185" s="24"/>
      <c r="N185" s="11"/>
    </row>
    <row r="186" customFormat="false" ht="15" hidden="false" customHeight="false" outlineLevel="0" collapsed="false">
      <c r="A186" s="23"/>
      <c r="B186" s="24"/>
      <c r="C186" s="31" t="str">
        <f aca="false">IF(A186="","",SUBSTITUTE(SUBSTITUTE(SUBSTITUTE(SUBSTITUTE(SUBSTITUTE(SUBSTITUTE(SUBSTITUTE(SUBSTITUTE(SUBSTITUTE(SUBSTITUTE(SUBSTITUTE(SUBSTITUTE(SUBSTITUTE(UPPER(TRIM(A186)),"Á","A"),"À","A"),"Â","A"),"Ã","A"),"É","E"),"Ê","E"),"Í","I"),"Ó","O"),"Ô","O"),"Õ","O"),"Ú","U"),"Ü","U"),"Ç","C"))</f>
        <v/>
      </c>
      <c r="D186" s="31" t="str">
        <f aca="false">IF(B186="","",IF(LEN(SUBSTITUTE(SUBSTITUTE(SUBSTITUTE(SUBSTITUTE(TRIM(B186),"*",""),".",""),"-","")," ",""))=11,MID(SUBSTITUTE(SUBSTITUTE(SUBSTITUTE(SUBSTITUTE(TRIM(B186),"*",""),".",""),"-","")," ",""),4,6),SUBSTITUTE(SUBSTITUTE(SUBSTITUTE(SUBSTITUTE(TRIM(B186),"*",""),".",""),"-","")," ","")))</f>
        <v/>
      </c>
      <c r="E186" s="31" t="str">
        <f aca="false">IF(OR(C186="",D186=""),"",C186&amp;"|"&amp;D186)</f>
        <v/>
      </c>
      <c r="F186" s="11"/>
      <c r="G186" s="11"/>
      <c r="H186" s="22"/>
      <c r="I186" s="23"/>
      <c r="J186" s="11"/>
      <c r="K186" s="25" t="str">
        <f aca="false">IF(C186="","",IF(E186&lt;&gt;"",COUNTIF(Socios!$H:$H,E186),IF(COUNTIF(Socios!$F:$F,C186)&gt;0,"nome igual em Socios: confira o CPF","sem CPF: não cruzado")))</f>
        <v/>
      </c>
      <c r="L186" s="27" t="str">
        <f aca="false">IF(E186="","",COUNTIFS(Eleitoral!$K:$K,E186,Eleitoral!$E:$E,"Doação recebida"))</f>
        <v/>
      </c>
      <c r="M186" s="24"/>
      <c r="N186" s="11"/>
    </row>
    <row r="187" customFormat="false" ht="15" hidden="false" customHeight="false" outlineLevel="0" collapsed="false">
      <c r="A187" s="23"/>
      <c r="B187" s="24"/>
      <c r="C187" s="31" t="str">
        <f aca="false">IF(A187="","",SUBSTITUTE(SUBSTITUTE(SUBSTITUTE(SUBSTITUTE(SUBSTITUTE(SUBSTITUTE(SUBSTITUTE(SUBSTITUTE(SUBSTITUTE(SUBSTITUTE(SUBSTITUTE(SUBSTITUTE(SUBSTITUTE(UPPER(TRIM(A187)),"Á","A"),"À","A"),"Â","A"),"Ã","A"),"É","E"),"Ê","E"),"Í","I"),"Ó","O"),"Ô","O"),"Õ","O"),"Ú","U"),"Ü","U"),"Ç","C"))</f>
        <v/>
      </c>
      <c r="D187" s="31" t="str">
        <f aca="false">IF(B187="","",IF(LEN(SUBSTITUTE(SUBSTITUTE(SUBSTITUTE(SUBSTITUTE(TRIM(B187),"*",""),".",""),"-","")," ",""))=11,MID(SUBSTITUTE(SUBSTITUTE(SUBSTITUTE(SUBSTITUTE(TRIM(B187),"*",""),".",""),"-","")," ",""),4,6),SUBSTITUTE(SUBSTITUTE(SUBSTITUTE(SUBSTITUTE(TRIM(B187),"*",""),".",""),"-","")," ","")))</f>
        <v/>
      </c>
      <c r="E187" s="31" t="str">
        <f aca="false">IF(OR(C187="",D187=""),"",C187&amp;"|"&amp;D187)</f>
        <v/>
      </c>
      <c r="F187" s="11"/>
      <c r="G187" s="11"/>
      <c r="H187" s="22"/>
      <c r="I187" s="23"/>
      <c r="J187" s="11"/>
      <c r="K187" s="25" t="str">
        <f aca="false">IF(C187="","",IF(E187&lt;&gt;"",COUNTIF(Socios!$H:$H,E187),IF(COUNTIF(Socios!$F:$F,C187)&gt;0,"nome igual em Socios: confira o CPF","sem CPF: não cruzado")))</f>
        <v/>
      </c>
      <c r="L187" s="27" t="str">
        <f aca="false">IF(E187="","",COUNTIFS(Eleitoral!$K:$K,E187,Eleitoral!$E:$E,"Doação recebida"))</f>
        <v/>
      </c>
      <c r="M187" s="24"/>
      <c r="N187" s="11"/>
    </row>
    <row r="188" customFormat="false" ht="15" hidden="false" customHeight="false" outlineLevel="0" collapsed="false">
      <c r="A188" s="23"/>
      <c r="B188" s="24"/>
      <c r="C188" s="31" t="str">
        <f aca="false">IF(A188="","",SUBSTITUTE(SUBSTITUTE(SUBSTITUTE(SUBSTITUTE(SUBSTITUTE(SUBSTITUTE(SUBSTITUTE(SUBSTITUTE(SUBSTITUTE(SUBSTITUTE(SUBSTITUTE(SUBSTITUTE(SUBSTITUTE(UPPER(TRIM(A188)),"Á","A"),"À","A"),"Â","A"),"Ã","A"),"É","E"),"Ê","E"),"Í","I"),"Ó","O"),"Ô","O"),"Õ","O"),"Ú","U"),"Ü","U"),"Ç","C"))</f>
        <v/>
      </c>
      <c r="D188" s="31" t="str">
        <f aca="false">IF(B188="","",IF(LEN(SUBSTITUTE(SUBSTITUTE(SUBSTITUTE(SUBSTITUTE(TRIM(B188),"*",""),".",""),"-","")," ",""))=11,MID(SUBSTITUTE(SUBSTITUTE(SUBSTITUTE(SUBSTITUTE(TRIM(B188),"*",""),".",""),"-","")," ",""),4,6),SUBSTITUTE(SUBSTITUTE(SUBSTITUTE(SUBSTITUTE(TRIM(B188),"*",""),".",""),"-","")," ","")))</f>
        <v/>
      </c>
      <c r="E188" s="31" t="str">
        <f aca="false">IF(OR(C188="",D188=""),"",C188&amp;"|"&amp;D188)</f>
        <v/>
      </c>
      <c r="F188" s="11"/>
      <c r="G188" s="11"/>
      <c r="H188" s="22"/>
      <c r="I188" s="23"/>
      <c r="J188" s="11"/>
      <c r="K188" s="25" t="str">
        <f aca="false">IF(C188="","",IF(E188&lt;&gt;"",COUNTIF(Socios!$H:$H,E188),IF(COUNTIF(Socios!$F:$F,C188)&gt;0,"nome igual em Socios: confira o CPF","sem CPF: não cruzado")))</f>
        <v/>
      </c>
      <c r="L188" s="27" t="str">
        <f aca="false">IF(E188="","",COUNTIFS(Eleitoral!$K:$K,E188,Eleitoral!$E:$E,"Doação recebida"))</f>
        <v/>
      </c>
      <c r="M188" s="24"/>
      <c r="N188" s="11"/>
    </row>
    <row r="189" customFormat="false" ht="15" hidden="false" customHeight="false" outlineLevel="0" collapsed="false">
      <c r="A189" s="23"/>
      <c r="B189" s="24"/>
      <c r="C189" s="31" t="str">
        <f aca="false">IF(A189="","",SUBSTITUTE(SUBSTITUTE(SUBSTITUTE(SUBSTITUTE(SUBSTITUTE(SUBSTITUTE(SUBSTITUTE(SUBSTITUTE(SUBSTITUTE(SUBSTITUTE(SUBSTITUTE(SUBSTITUTE(SUBSTITUTE(UPPER(TRIM(A189)),"Á","A"),"À","A"),"Â","A"),"Ã","A"),"É","E"),"Ê","E"),"Í","I"),"Ó","O"),"Ô","O"),"Õ","O"),"Ú","U"),"Ü","U"),"Ç","C"))</f>
        <v/>
      </c>
      <c r="D189" s="31" t="str">
        <f aca="false">IF(B189="","",IF(LEN(SUBSTITUTE(SUBSTITUTE(SUBSTITUTE(SUBSTITUTE(TRIM(B189),"*",""),".",""),"-","")," ",""))=11,MID(SUBSTITUTE(SUBSTITUTE(SUBSTITUTE(SUBSTITUTE(TRIM(B189),"*",""),".",""),"-","")," ",""),4,6),SUBSTITUTE(SUBSTITUTE(SUBSTITUTE(SUBSTITUTE(TRIM(B189),"*",""),".",""),"-","")," ","")))</f>
        <v/>
      </c>
      <c r="E189" s="31" t="str">
        <f aca="false">IF(OR(C189="",D189=""),"",C189&amp;"|"&amp;D189)</f>
        <v/>
      </c>
      <c r="F189" s="11"/>
      <c r="G189" s="11"/>
      <c r="H189" s="22"/>
      <c r="I189" s="23"/>
      <c r="J189" s="11"/>
      <c r="K189" s="25" t="str">
        <f aca="false">IF(C189="","",IF(E189&lt;&gt;"",COUNTIF(Socios!$H:$H,E189),IF(COUNTIF(Socios!$F:$F,C189)&gt;0,"nome igual em Socios: confira o CPF","sem CPF: não cruzado")))</f>
        <v/>
      </c>
      <c r="L189" s="27" t="str">
        <f aca="false">IF(E189="","",COUNTIFS(Eleitoral!$K:$K,E189,Eleitoral!$E:$E,"Doação recebida"))</f>
        <v/>
      </c>
      <c r="M189" s="24"/>
      <c r="N189" s="11"/>
    </row>
    <row r="190" customFormat="false" ht="15" hidden="false" customHeight="false" outlineLevel="0" collapsed="false">
      <c r="A190" s="23"/>
      <c r="B190" s="24"/>
      <c r="C190" s="31" t="str">
        <f aca="false">IF(A190="","",SUBSTITUTE(SUBSTITUTE(SUBSTITUTE(SUBSTITUTE(SUBSTITUTE(SUBSTITUTE(SUBSTITUTE(SUBSTITUTE(SUBSTITUTE(SUBSTITUTE(SUBSTITUTE(SUBSTITUTE(SUBSTITUTE(UPPER(TRIM(A190)),"Á","A"),"À","A"),"Â","A"),"Ã","A"),"É","E"),"Ê","E"),"Í","I"),"Ó","O"),"Ô","O"),"Õ","O"),"Ú","U"),"Ü","U"),"Ç","C"))</f>
        <v/>
      </c>
      <c r="D190" s="31" t="str">
        <f aca="false">IF(B190="","",IF(LEN(SUBSTITUTE(SUBSTITUTE(SUBSTITUTE(SUBSTITUTE(TRIM(B190),"*",""),".",""),"-","")," ",""))=11,MID(SUBSTITUTE(SUBSTITUTE(SUBSTITUTE(SUBSTITUTE(TRIM(B190),"*",""),".",""),"-","")," ",""),4,6),SUBSTITUTE(SUBSTITUTE(SUBSTITUTE(SUBSTITUTE(TRIM(B190),"*",""),".",""),"-","")," ","")))</f>
        <v/>
      </c>
      <c r="E190" s="31" t="str">
        <f aca="false">IF(OR(C190="",D190=""),"",C190&amp;"|"&amp;D190)</f>
        <v/>
      </c>
      <c r="F190" s="11"/>
      <c r="G190" s="11"/>
      <c r="H190" s="22"/>
      <c r="I190" s="23"/>
      <c r="J190" s="11"/>
      <c r="K190" s="25" t="str">
        <f aca="false">IF(C190="","",IF(E190&lt;&gt;"",COUNTIF(Socios!$H:$H,E190),IF(COUNTIF(Socios!$F:$F,C190)&gt;0,"nome igual em Socios: confira o CPF","sem CPF: não cruzado")))</f>
        <v/>
      </c>
      <c r="L190" s="27" t="str">
        <f aca="false">IF(E190="","",COUNTIFS(Eleitoral!$K:$K,E190,Eleitoral!$E:$E,"Doação recebida"))</f>
        <v/>
      </c>
      <c r="M190" s="24"/>
      <c r="N190" s="11"/>
    </row>
    <row r="191" customFormat="false" ht="15" hidden="false" customHeight="false" outlineLevel="0" collapsed="false">
      <c r="A191" s="23"/>
      <c r="B191" s="24"/>
      <c r="C191" s="31" t="str">
        <f aca="false">IF(A191="","",SUBSTITUTE(SUBSTITUTE(SUBSTITUTE(SUBSTITUTE(SUBSTITUTE(SUBSTITUTE(SUBSTITUTE(SUBSTITUTE(SUBSTITUTE(SUBSTITUTE(SUBSTITUTE(SUBSTITUTE(SUBSTITUTE(UPPER(TRIM(A191)),"Á","A"),"À","A"),"Â","A"),"Ã","A"),"É","E"),"Ê","E"),"Í","I"),"Ó","O"),"Ô","O"),"Õ","O"),"Ú","U"),"Ü","U"),"Ç","C"))</f>
        <v/>
      </c>
      <c r="D191" s="31" t="str">
        <f aca="false">IF(B191="","",IF(LEN(SUBSTITUTE(SUBSTITUTE(SUBSTITUTE(SUBSTITUTE(TRIM(B191),"*",""),".",""),"-","")," ",""))=11,MID(SUBSTITUTE(SUBSTITUTE(SUBSTITUTE(SUBSTITUTE(TRIM(B191),"*",""),".",""),"-","")," ",""),4,6),SUBSTITUTE(SUBSTITUTE(SUBSTITUTE(SUBSTITUTE(TRIM(B191),"*",""),".",""),"-","")," ","")))</f>
        <v/>
      </c>
      <c r="E191" s="31" t="str">
        <f aca="false">IF(OR(C191="",D191=""),"",C191&amp;"|"&amp;D191)</f>
        <v/>
      </c>
      <c r="F191" s="11"/>
      <c r="G191" s="11"/>
      <c r="H191" s="22"/>
      <c r="I191" s="23"/>
      <c r="J191" s="11"/>
      <c r="K191" s="25" t="str">
        <f aca="false">IF(C191="","",IF(E191&lt;&gt;"",COUNTIF(Socios!$H:$H,E191),IF(COUNTIF(Socios!$F:$F,C191)&gt;0,"nome igual em Socios: confira o CPF","sem CPF: não cruzado")))</f>
        <v/>
      </c>
      <c r="L191" s="27" t="str">
        <f aca="false">IF(E191="","",COUNTIFS(Eleitoral!$K:$K,E191,Eleitoral!$E:$E,"Doação recebida"))</f>
        <v/>
      </c>
      <c r="M191" s="24"/>
      <c r="N191" s="11"/>
    </row>
    <row r="192" customFormat="false" ht="15" hidden="false" customHeight="false" outlineLevel="0" collapsed="false">
      <c r="A192" s="23"/>
      <c r="B192" s="24"/>
      <c r="C192" s="31" t="str">
        <f aca="false">IF(A192="","",SUBSTITUTE(SUBSTITUTE(SUBSTITUTE(SUBSTITUTE(SUBSTITUTE(SUBSTITUTE(SUBSTITUTE(SUBSTITUTE(SUBSTITUTE(SUBSTITUTE(SUBSTITUTE(SUBSTITUTE(SUBSTITUTE(UPPER(TRIM(A192)),"Á","A"),"À","A"),"Â","A"),"Ã","A"),"É","E"),"Ê","E"),"Í","I"),"Ó","O"),"Ô","O"),"Õ","O"),"Ú","U"),"Ü","U"),"Ç","C"))</f>
        <v/>
      </c>
      <c r="D192" s="31" t="str">
        <f aca="false">IF(B192="","",IF(LEN(SUBSTITUTE(SUBSTITUTE(SUBSTITUTE(SUBSTITUTE(TRIM(B192),"*",""),".",""),"-","")," ",""))=11,MID(SUBSTITUTE(SUBSTITUTE(SUBSTITUTE(SUBSTITUTE(TRIM(B192),"*",""),".",""),"-","")," ",""),4,6),SUBSTITUTE(SUBSTITUTE(SUBSTITUTE(SUBSTITUTE(TRIM(B192),"*",""),".",""),"-","")," ","")))</f>
        <v/>
      </c>
      <c r="E192" s="31" t="str">
        <f aca="false">IF(OR(C192="",D192=""),"",C192&amp;"|"&amp;D192)</f>
        <v/>
      </c>
      <c r="F192" s="11"/>
      <c r="G192" s="11"/>
      <c r="H192" s="22"/>
      <c r="I192" s="23"/>
      <c r="J192" s="11"/>
      <c r="K192" s="25" t="str">
        <f aca="false">IF(C192="","",IF(E192&lt;&gt;"",COUNTIF(Socios!$H:$H,E192),IF(COUNTIF(Socios!$F:$F,C192)&gt;0,"nome igual em Socios: confira o CPF","sem CPF: não cruzado")))</f>
        <v/>
      </c>
      <c r="L192" s="27" t="str">
        <f aca="false">IF(E192="","",COUNTIFS(Eleitoral!$K:$K,E192,Eleitoral!$E:$E,"Doação recebida"))</f>
        <v/>
      </c>
      <c r="M192" s="24"/>
      <c r="N192" s="11"/>
    </row>
    <row r="193" customFormat="false" ht="15" hidden="false" customHeight="false" outlineLevel="0" collapsed="false">
      <c r="A193" s="23"/>
      <c r="B193" s="24"/>
      <c r="C193" s="31" t="str">
        <f aca="false">IF(A193="","",SUBSTITUTE(SUBSTITUTE(SUBSTITUTE(SUBSTITUTE(SUBSTITUTE(SUBSTITUTE(SUBSTITUTE(SUBSTITUTE(SUBSTITUTE(SUBSTITUTE(SUBSTITUTE(SUBSTITUTE(SUBSTITUTE(UPPER(TRIM(A193)),"Á","A"),"À","A"),"Â","A"),"Ã","A"),"É","E"),"Ê","E"),"Í","I"),"Ó","O"),"Ô","O"),"Õ","O"),"Ú","U"),"Ü","U"),"Ç","C"))</f>
        <v/>
      </c>
      <c r="D193" s="31" t="str">
        <f aca="false">IF(B193="","",IF(LEN(SUBSTITUTE(SUBSTITUTE(SUBSTITUTE(SUBSTITUTE(TRIM(B193),"*",""),".",""),"-","")," ",""))=11,MID(SUBSTITUTE(SUBSTITUTE(SUBSTITUTE(SUBSTITUTE(TRIM(B193),"*",""),".",""),"-","")," ",""),4,6),SUBSTITUTE(SUBSTITUTE(SUBSTITUTE(SUBSTITUTE(TRIM(B193),"*",""),".",""),"-","")," ","")))</f>
        <v/>
      </c>
      <c r="E193" s="31" t="str">
        <f aca="false">IF(OR(C193="",D193=""),"",C193&amp;"|"&amp;D193)</f>
        <v/>
      </c>
      <c r="F193" s="11"/>
      <c r="G193" s="11"/>
      <c r="H193" s="22"/>
      <c r="I193" s="23"/>
      <c r="J193" s="11"/>
      <c r="K193" s="25" t="str">
        <f aca="false">IF(C193="","",IF(E193&lt;&gt;"",COUNTIF(Socios!$H:$H,E193),IF(COUNTIF(Socios!$F:$F,C193)&gt;0,"nome igual em Socios: confira o CPF","sem CPF: não cruzado")))</f>
        <v/>
      </c>
      <c r="L193" s="27" t="str">
        <f aca="false">IF(E193="","",COUNTIFS(Eleitoral!$K:$K,E193,Eleitoral!$E:$E,"Doação recebida"))</f>
        <v/>
      </c>
      <c r="M193" s="24"/>
      <c r="N193" s="11"/>
    </row>
    <row r="194" customFormat="false" ht="15" hidden="false" customHeight="false" outlineLevel="0" collapsed="false">
      <c r="A194" s="23"/>
      <c r="B194" s="24"/>
      <c r="C194" s="31" t="str">
        <f aca="false">IF(A194="","",SUBSTITUTE(SUBSTITUTE(SUBSTITUTE(SUBSTITUTE(SUBSTITUTE(SUBSTITUTE(SUBSTITUTE(SUBSTITUTE(SUBSTITUTE(SUBSTITUTE(SUBSTITUTE(SUBSTITUTE(SUBSTITUTE(UPPER(TRIM(A194)),"Á","A"),"À","A"),"Â","A"),"Ã","A"),"É","E"),"Ê","E"),"Í","I"),"Ó","O"),"Ô","O"),"Õ","O"),"Ú","U"),"Ü","U"),"Ç","C"))</f>
        <v/>
      </c>
      <c r="D194" s="31" t="str">
        <f aca="false">IF(B194="","",IF(LEN(SUBSTITUTE(SUBSTITUTE(SUBSTITUTE(SUBSTITUTE(TRIM(B194),"*",""),".",""),"-","")," ",""))=11,MID(SUBSTITUTE(SUBSTITUTE(SUBSTITUTE(SUBSTITUTE(TRIM(B194),"*",""),".",""),"-","")," ",""),4,6),SUBSTITUTE(SUBSTITUTE(SUBSTITUTE(SUBSTITUTE(TRIM(B194),"*",""),".",""),"-","")," ","")))</f>
        <v/>
      </c>
      <c r="E194" s="31" t="str">
        <f aca="false">IF(OR(C194="",D194=""),"",C194&amp;"|"&amp;D194)</f>
        <v/>
      </c>
      <c r="F194" s="11"/>
      <c r="G194" s="11"/>
      <c r="H194" s="22"/>
      <c r="I194" s="23"/>
      <c r="J194" s="11"/>
      <c r="K194" s="25" t="str">
        <f aca="false">IF(C194="","",IF(E194&lt;&gt;"",COUNTIF(Socios!$H:$H,E194),IF(COUNTIF(Socios!$F:$F,C194)&gt;0,"nome igual em Socios: confira o CPF","sem CPF: não cruzado")))</f>
        <v/>
      </c>
      <c r="L194" s="27" t="str">
        <f aca="false">IF(E194="","",COUNTIFS(Eleitoral!$K:$K,E194,Eleitoral!$E:$E,"Doação recebida"))</f>
        <v/>
      </c>
      <c r="M194" s="24"/>
      <c r="N194" s="11"/>
    </row>
    <row r="195" customFormat="false" ht="15" hidden="false" customHeight="false" outlineLevel="0" collapsed="false">
      <c r="A195" s="23"/>
      <c r="B195" s="24"/>
      <c r="C195" s="31" t="str">
        <f aca="false">IF(A195="","",SUBSTITUTE(SUBSTITUTE(SUBSTITUTE(SUBSTITUTE(SUBSTITUTE(SUBSTITUTE(SUBSTITUTE(SUBSTITUTE(SUBSTITUTE(SUBSTITUTE(SUBSTITUTE(SUBSTITUTE(SUBSTITUTE(UPPER(TRIM(A195)),"Á","A"),"À","A"),"Â","A"),"Ã","A"),"É","E"),"Ê","E"),"Í","I"),"Ó","O"),"Ô","O"),"Õ","O"),"Ú","U"),"Ü","U"),"Ç","C"))</f>
        <v/>
      </c>
      <c r="D195" s="31" t="str">
        <f aca="false">IF(B195="","",IF(LEN(SUBSTITUTE(SUBSTITUTE(SUBSTITUTE(SUBSTITUTE(TRIM(B195),"*",""),".",""),"-","")," ",""))=11,MID(SUBSTITUTE(SUBSTITUTE(SUBSTITUTE(SUBSTITUTE(TRIM(B195),"*",""),".",""),"-","")," ",""),4,6),SUBSTITUTE(SUBSTITUTE(SUBSTITUTE(SUBSTITUTE(TRIM(B195),"*",""),".",""),"-","")," ","")))</f>
        <v/>
      </c>
      <c r="E195" s="31" t="str">
        <f aca="false">IF(OR(C195="",D195=""),"",C195&amp;"|"&amp;D195)</f>
        <v/>
      </c>
      <c r="F195" s="11"/>
      <c r="G195" s="11"/>
      <c r="H195" s="22"/>
      <c r="I195" s="23"/>
      <c r="J195" s="11"/>
      <c r="K195" s="25" t="str">
        <f aca="false">IF(C195="","",IF(E195&lt;&gt;"",COUNTIF(Socios!$H:$H,E195),IF(COUNTIF(Socios!$F:$F,C195)&gt;0,"nome igual em Socios: confira o CPF","sem CPF: não cruzado")))</f>
        <v/>
      </c>
      <c r="L195" s="27" t="str">
        <f aca="false">IF(E195="","",COUNTIFS(Eleitoral!$K:$K,E195,Eleitoral!$E:$E,"Doação recebida"))</f>
        <v/>
      </c>
      <c r="M195" s="24"/>
      <c r="N195" s="11"/>
    </row>
    <row r="196" customFormat="false" ht="15" hidden="false" customHeight="false" outlineLevel="0" collapsed="false">
      <c r="A196" s="23"/>
      <c r="B196" s="24"/>
      <c r="C196" s="31" t="str">
        <f aca="false">IF(A196="","",SUBSTITUTE(SUBSTITUTE(SUBSTITUTE(SUBSTITUTE(SUBSTITUTE(SUBSTITUTE(SUBSTITUTE(SUBSTITUTE(SUBSTITUTE(SUBSTITUTE(SUBSTITUTE(SUBSTITUTE(SUBSTITUTE(UPPER(TRIM(A196)),"Á","A"),"À","A"),"Â","A"),"Ã","A"),"É","E"),"Ê","E"),"Í","I"),"Ó","O"),"Ô","O"),"Õ","O"),"Ú","U"),"Ü","U"),"Ç","C"))</f>
        <v/>
      </c>
      <c r="D196" s="31" t="str">
        <f aca="false">IF(B196="","",IF(LEN(SUBSTITUTE(SUBSTITUTE(SUBSTITUTE(SUBSTITUTE(TRIM(B196),"*",""),".",""),"-","")," ",""))=11,MID(SUBSTITUTE(SUBSTITUTE(SUBSTITUTE(SUBSTITUTE(TRIM(B196),"*",""),".",""),"-","")," ",""),4,6),SUBSTITUTE(SUBSTITUTE(SUBSTITUTE(SUBSTITUTE(TRIM(B196),"*",""),".",""),"-","")," ","")))</f>
        <v/>
      </c>
      <c r="E196" s="31" t="str">
        <f aca="false">IF(OR(C196="",D196=""),"",C196&amp;"|"&amp;D196)</f>
        <v/>
      </c>
      <c r="F196" s="11"/>
      <c r="G196" s="11"/>
      <c r="H196" s="22"/>
      <c r="I196" s="23"/>
      <c r="J196" s="11"/>
      <c r="K196" s="25" t="str">
        <f aca="false">IF(C196="","",IF(E196&lt;&gt;"",COUNTIF(Socios!$H:$H,E196),IF(COUNTIF(Socios!$F:$F,C196)&gt;0,"nome igual em Socios: confira o CPF","sem CPF: não cruzado")))</f>
        <v/>
      </c>
      <c r="L196" s="27" t="str">
        <f aca="false">IF(E196="","",COUNTIFS(Eleitoral!$K:$K,E196,Eleitoral!$E:$E,"Doação recebida"))</f>
        <v/>
      </c>
      <c r="M196" s="24"/>
      <c r="N196" s="11"/>
    </row>
    <row r="197" customFormat="false" ht="15" hidden="false" customHeight="false" outlineLevel="0" collapsed="false">
      <c r="A197" s="23"/>
      <c r="B197" s="24"/>
      <c r="C197" s="31" t="str">
        <f aca="false">IF(A197="","",SUBSTITUTE(SUBSTITUTE(SUBSTITUTE(SUBSTITUTE(SUBSTITUTE(SUBSTITUTE(SUBSTITUTE(SUBSTITUTE(SUBSTITUTE(SUBSTITUTE(SUBSTITUTE(SUBSTITUTE(SUBSTITUTE(UPPER(TRIM(A197)),"Á","A"),"À","A"),"Â","A"),"Ã","A"),"É","E"),"Ê","E"),"Í","I"),"Ó","O"),"Ô","O"),"Õ","O"),"Ú","U"),"Ü","U"),"Ç","C"))</f>
        <v/>
      </c>
      <c r="D197" s="31" t="str">
        <f aca="false">IF(B197="","",IF(LEN(SUBSTITUTE(SUBSTITUTE(SUBSTITUTE(SUBSTITUTE(TRIM(B197),"*",""),".",""),"-","")," ",""))=11,MID(SUBSTITUTE(SUBSTITUTE(SUBSTITUTE(SUBSTITUTE(TRIM(B197),"*",""),".",""),"-","")," ",""),4,6),SUBSTITUTE(SUBSTITUTE(SUBSTITUTE(SUBSTITUTE(TRIM(B197),"*",""),".",""),"-","")," ","")))</f>
        <v/>
      </c>
      <c r="E197" s="31" t="str">
        <f aca="false">IF(OR(C197="",D197=""),"",C197&amp;"|"&amp;D197)</f>
        <v/>
      </c>
      <c r="F197" s="11"/>
      <c r="G197" s="11"/>
      <c r="H197" s="22"/>
      <c r="I197" s="23"/>
      <c r="J197" s="11"/>
      <c r="K197" s="25" t="str">
        <f aca="false">IF(C197="","",IF(E197&lt;&gt;"",COUNTIF(Socios!$H:$H,E197),IF(COUNTIF(Socios!$F:$F,C197)&gt;0,"nome igual em Socios: confira o CPF","sem CPF: não cruzado")))</f>
        <v/>
      </c>
      <c r="L197" s="27" t="str">
        <f aca="false">IF(E197="","",COUNTIFS(Eleitoral!$K:$K,E197,Eleitoral!$E:$E,"Doação recebida"))</f>
        <v/>
      </c>
      <c r="M197" s="24"/>
      <c r="N197" s="11"/>
    </row>
    <row r="198" customFormat="false" ht="15" hidden="false" customHeight="false" outlineLevel="0" collapsed="false">
      <c r="A198" s="23"/>
      <c r="B198" s="24"/>
      <c r="C198" s="31" t="str">
        <f aca="false">IF(A198="","",SUBSTITUTE(SUBSTITUTE(SUBSTITUTE(SUBSTITUTE(SUBSTITUTE(SUBSTITUTE(SUBSTITUTE(SUBSTITUTE(SUBSTITUTE(SUBSTITUTE(SUBSTITUTE(SUBSTITUTE(SUBSTITUTE(UPPER(TRIM(A198)),"Á","A"),"À","A"),"Â","A"),"Ã","A"),"É","E"),"Ê","E"),"Í","I"),"Ó","O"),"Ô","O"),"Õ","O"),"Ú","U"),"Ü","U"),"Ç","C"))</f>
        <v/>
      </c>
      <c r="D198" s="31" t="str">
        <f aca="false">IF(B198="","",IF(LEN(SUBSTITUTE(SUBSTITUTE(SUBSTITUTE(SUBSTITUTE(TRIM(B198),"*",""),".",""),"-","")," ",""))=11,MID(SUBSTITUTE(SUBSTITUTE(SUBSTITUTE(SUBSTITUTE(TRIM(B198),"*",""),".",""),"-","")," ",""),4,6),SUBSTITUTE(SUBSTITUTE(SUBSTITUTE(SUBSTITUTE(TRIM(B198),"*",""),".",""),"-","")," ","")))</f>
        <v/>
      </c>
      <c r="E198" s="31" t="str">
        <f aca="false">IF(OR(C198="",D198=""),"",C198&amp;"|"&amp;D198)</f>
        <v/>
      </c>
      <c r="F198" s="11"/>
      <c r="G198" s="11"/>
      <c r="H198" s="22"/>
      <c r="I198" s="23"/>
      <c r="J198" s="11"/>
      <c r="K198" s="25" t="str">
        <f aca="false">IF(C198="","",IF(E198&lt;&gt;"",COUNTIF(Socios!$H:$H,E198),IF(COUNTIF(Socios!$F:$F,C198)&gt;0,"nome igual em Socios: confira o CPF","sem CPF: não cruzado")))</f>
        <v/>
      </c>
      <c r="L198" s="27" t="str">
        <f aca="false">IF(E198="","",COUNTIFS(Eleitoral!$K:$K,E198,Eleitoral!$E:$E,"Doação recebida"))</f>
        <v/>
      </c>
      <c r="M198" s="24"/>
      <c r="N198" s="11"/>
    </row>
    <row r="199" customFormat="false" ht="15" hidden="false" customHeight="false" outlineLevel="0" collapsed="false">
      <c r="A199" s="23"/>
      <c r="B199" s="24"/>
      <c r="C199" s="31" t="str">
        <f aca="false">IF(A199="","",SUBSTITUTE(SUBSTITUTE(SUBSTITUTE(SUBSTITUTE(SUBSTITUTE(SUBSTITUTE(SUBSTITUTE(SUBSTITUTE(SUBSTITUTE(SUBSTITUTE(SUBSTITUTE(SUBSTITUTE(SUBSTITUTE(UPPER(TRIM(A199)),"Á","A"),"À","A"),"Â","A"),"Ã","A"),"É","E"),"Ê","E"),"Í","I"),"Ó","O"),"Ô","O"),"Õ","O"),"Ú","U"),"Ü","U"),"Ç","C"))</f>
        <v/>
      </c>
      <c r="D199" s="31" t="str">
        <f aca="false">IF(B199="","",IF(LEN(SUBSTITUTE(SUBSTITUTE(SUBSTITUTE(SUBSTITUTE(TRIM(B199),"*",""),".",""),"-","")," ",""))=11,MID(SUBSTITUTE(SUBSTITUTE(SUBSTITUTE(SUBSTITUTE(TRIM(B199),"*",""),".",""),"-","")," ",""),4,6),SUBSTITUTE(SUBSTITUTE(SUBSTITUTE(SUBSTITUTE(TRIM(B199),"*",""),".",""),"-","")," ","")))</f>
        <v/>
      </c>
      <c r="E199" s="31" t="str">
        <f aca="false">IF(OR(C199="",D199=""),"",C199&amp;"|"&amp;D199)</f>
        <v/>
      </c>
      <c r="F199" s="11"/>
      <c r="G199" s="11"/>
      <c r="H199" s="22"/>
      <c r="I199" s="23"/>
      <c r="J199" s="11"/>
      <c r="K199" s="25" t="str">
        <f aca="false">IF(C199="","",IF(E199&lt;&gt;"",COUNTIF(Socios!$H:$H,E199),IF(COUNTIF(Socios!$F:$F,C199)&gt;0,"nome igual em Socios: confira o CPF","sem CPF: não cruzado")))</f>
        <v/>
      </c>
      <c r="L199" s="27" t="str">
        <f aca="false">IF(E199="","",COUNTIFS(Eleitoral!$K:$K,E199,Eleitoral!$E:$E,"Doação recebida"))</f>
        <v/>
      </c>
      <c r="M199" s="24"/>
      <c r="N199" s="11"/>
    </row>
    <row r="200" customFormat="false" ht="15" hidden="false" customHeight="false" outlineLevel="0" collapsed="false">
      <c r="A200" s="23"/>
      <c r="B200" s="24"/>
      <c r="C200" s="31" t="str">
        <f aca="false">IF(A200="","",SUBSTITUTE(SUBSTITUTE(SUBSTITUTE(SUBSTITUTE(SUBSTITUTE(SUBSTITUTE(SUBSTITUTE(SUBSTITUTE(SUBSTITUTE(SUBSTITUTE(SUBSTITUTE(SUBSTITUTE(SUBSTITUTE(UPPER(TRIM(A200)),"Á","A"),"À","A"),"Â","A"),"Ã","A"),"É","E"),"Ê","E"),"Í","I"),"Ó","O"),"Ô","O"),"Õ","O"),"Ú","U"),"Ü","U"),"Ç","C"))</f>
        <v/>
      </c>
      <c r="D200" s="31" t="str">
        <f aca="false">IF(B200="","",IF(LEN(SUBSTITUTE(SUBSTITUTE(SUBSTITUTE(SUBSTITUTE(TRIM(B200),"*",""),".",""),"-","")," ",""))=11,MID(SUBSTITUTE(SUBSTITUTE(SUBSTITUTE(SUBSTITUTE(TRIM(B200),"*",""),".",""),"-","")," ",""),4,6),SUBSTITUTE(SUBSTITUTE(SUBSTITUTE(SUBSTITUTE(TRIM(B200),"*",""),".",""),"-","")," ","")))</f>
        <v/>
      </c>
      <c r="E200" s="31" t="str">
        <f aca="false">IF(OR(C200="",D200=""),"",C200&amp;"|"&amp;D200)</f>
        <v/>
      </c>
      <c r="F200" s="11"/>
      <c r="G200" s="11"/>
      <c r="H200" s="22"/>
      <c r="I200" s="23"/>
      <c r="J200" s="11"/>
      <c r="K200" s="25" t="str">
        <f aca="false">IF(C200="","",IF(E200&lt;&gt;"",COUNTIF(Socios!$H:$H,E200),IF(COUNTIF(Socios!$F:$F,C200)&gt;0,"nome igual em Socios: confira o CPF","sem CPF: não cruzado")))</f>
        <v/>
      </c>
      <c r="L200" s="27" t="str">
        <f aca="false">IF(E200="","",COUNTIFS(Eleitoral!$K:$K,E200,Eleitoral!$E:$E,"Doação recebida"))</f>
        <v/>
      </c>
      <c r="M200" s="24"/>
      <c r="N200" s="11"/>
    </row>
    <row r="201" customFormat="false" ht="15" hidden="false" customHeight="false" outlineLevel="0" collapsed="false">
      <c r="A201" s="23"/>
      <c r="B201" s="24"/>
      <c r="C201" s="31" t="str">
        <f aca="false">IF(A201="","",SUBSTITUTE(SUBSTITUTE(SUBSTITUTE(SUBSTITUTE(SUBSTITUTE(SUBSTITUTE(SUBSTITUTE(SUBSTITUTE(SUBSTITUTE(SUBSTITUTE(SUBSTITUTE(SUBSTITUTE(SUBSTITUTE(UPPER(TRIM(A201)),"Á","A"),"À","A"),"Â","A"),"Ã","A"),"É","E"),"Ê","E"),"Í","I"),"Ó","O"),"Ô","O"),"Õ","O"),"Ú","U"),"Ü","U"),"Ç","C"))</f>
        <v/>
      </c>
      <c r="D201" s="31" t="str">
        <f aca="false">IF(B201="","",IF(LEN(SUBSTITUTE(SUBSTITUTE(SUBSTITUTE(SUBSTITUTE(TRIM(B201),"*",""),".",""),"-","")," ",""))=11,MID(SUBSTITUTE(SUBSTITUTE(SUBSTITUTE(SUBSTITUTE(TRIM(B201),"*",""),".",""),"-","")," ",""),4,6),SUBSTITUTE(SUBSTITUTE(SUBSTITUTE(SUBSTITUTE(TRIM(B201),"*",""),".",""),"-","")," ","")))</f>
        <v/>
      </c>
      <c r="E201" s="31" t="str">
        <f aca="false">IF(OR(C201="",D201=""),"",C201&amp;"|"&amp;D201)</f>
        <v/>
      </c>
      <c r="F201" s="11"/>
      <c r="G201" s="11"/>
      <c r="H201" s="22"/>
      <c r="I201" s="23"/>
      <c r="J201" s="11"/>
      <c r="K201" s="25" t="str">
        <f aca="false">IF(C201="","",IF(E201&lt;&gt;"",COUNTIF(Socios!$H:$H,E201),IF(COUNTIF(Socios!$F:$F,C201)&gt;0,"nome igual em Socios: confira o CPF","sem CPF: não cruzado")))</f>
        <v/>
      </c>
      <c r="L201" s="27" t="str">
        <f aca="false">IF(E201="","",COUNTIFS(Eleitoral!$K:$K,E201,Eleitoral!$E:$E,"Doação recebida"))</f>
        <v/>
      </c>
      <c r="M201" s="24"/>
      <c r="N201" s="11"/>
    </row>
    <row r="202" customFormat="false" ht="15" hidden="false" customHeight="false" outlineLevel="0" collapsed="false">
      <c r="A202" s="23"/>
      <c r="B202" s="24"/>
      <c r="C202" s="31" t="str">
        <f aca="false">IF(A202="","",SUBSTITUTE(SUBSTITUTE(SUBSTITUTE(SUBSTITUTE(SUBSTITUTE(SUBSTITUTE(SUBSTITUTE(SUBSTITUTE(SUBSTITUTE(SUBSTITUTE(SUBSTITUTE(SUBSTITUTE(SUBSTITUTE(UPPER(TRIM(A202)),"Á","A"),"À","A"),"Â","A"),"Ã","A"),"É","E"),"Ê","E"),"Í","I"),"Ó","O"),"Ô","O"),"Õ","O"),"Ú","U"),"Ü","U"),"Ç","C"))</f>
        <v/>
      </c>
      <c r="D202" s="31" t="str">
        <f aca="false">IF(B202="","",IF(LEN(SUBSTITUTE(SUBSTITUTE(SUBSTITUTE(SUBSTITUTE(TRIM(B202),"*",""),".",""),"-","")," ",""))=11,MID(SUBSTITUTE(SUBSTITUTE(SUBSTITUTE(SUBSTITUTE(TRIM(B202),"*",""),".",""),"-","")," ",""),4,6),SUBSTITUTE(SUBSTITUTE(SUBSTITUTE(SUBSTITUTE(TRIM(B202),"*",""),".",""),"-","")," ","")))</f>
        <v/>
      </c>
      <c r="E202" s="31" t="str">
        <f aca="false">IF(OR(C202="",D202=""),"",C202&amp;"|"&amp;D202)</f>
        <v/>
      </c>
      <c r="F202" s="11"/>
      <c r="G202" s="11"/>
      <c r="H202" s="22"/>
      <c r="I202" s="23"/>
      <c r="J202" s="11"/>
      <c r="K202" s="25" t="str">
        <f aca="false">IF(C202="","",IF(E202&lt;&gt;"",COUNTIF(Socios!$H:$H,E202),IF(COUNTIF(Socios!$F:$F,C202)&gt;0,"nome igual em Socios: confira o CPF","sem CPF: não cruzado")))</f>
        <v/>
      </c>
      <c r="L202" s="27" t="str">
        <f aca="false">IF(E202="","",COUNTIFS(Eleitoral!$K:$K,E202,Eleitoral!$E:$E,"Doação recebida"))</f>
        <v/>
      </c>
      <c r="M202" s="24"/>
      <c r="N202" s="11"/>
    </row>
    <row r="203" customFormat="false" ht="15" hidden="false" customHeight="false" outlineLevel="0" collapsed="false">
      <c r="A203" s="23"/>
      <c r="B203" s="24"/>
      <c r="C203" s="31" t="str">
        <f aca="false">IF(A203="","",SUBSTITUTE(SUBSTITUTE(SUBSTITUTE(SUBSTITUTE(SUBSTITUTE(SUBSTITUTE(SUBSTITUTE(SUBSTITUTE(SUBSTITUTE(SUBSTITUTE(SUBSTITUTE(SUBSTITUTE(SUBSTITUTE(UPPER(TRIM(A203)),"Á","A"),"À","A"),"Â","A"),"Ã","A"),"É","E"),"Ê","E"),"Í","I"),"Ó","O"),"Ô","O"),"Õ","O"),"Ú","U"),"Ü","U"),"Ç","C"))</f>
        <v/>
      </c>
      <c r="D203" s="31" t="str">
        <f aca="false">IF(B203="","",IF(LEN(SUBSTITUTE(SUBSTITUTE(SUBSTITUTE(SUBSTITUTE(TRIM(B203),"*",""),".",""),"-","")," ",""))=11,MID(SUBSTITUTE(SUBSTITUTE(SUBSTITUTE(SUBSTITUTE(TRIM(B203),"*",""),".",""),"-","")," ",""),4,6),SUBSTITUTE(SUBSTITUTE(SUBSTITUTE(SUBSTITUTE(TRIM(B203),"*",""),".",""),"-","")," ","")))</f>
        <v/>
      </c>
      <c r="E203" s="31" t="str">
        <f aca="false">IF(OR(C203="",D203=""),"",C203&amp;"|"&amp;D203)</f>
        <v/>
      </c>
      <c r="F203" s="11"/>
      <c r="G203" s="11"/>
      <c r="H203" s="22"/>
      <c r="I203" s="23"/>
      <c r="J203" s="11"/>
      <c r="K203" s="25" t="str">
        <f aca="false">IF(C203="","",IF(E203&lt;&gt;"",COUNTIF(Socios!$H:$H,E203),IF(COUNTIF(Socios!$F:$F,C203)&gt;0,"nome igual em Socios: confira o CPF","sem CPF: não cruzado")))</f>
        <v/>
      </c>
      <c r="L203" s="27" t="str">
        <f aca="false">IF(E203="","",COUNTIFS(Eleitoral!$K:$K,E203,Eleitoral!$E:$E,"Doação recebida"))</f>
        <v/>
      </c>
      <c r="M203" s="24"/>
      <c r="N203" s="11"/>
    </row>
    <row r="204" customFormat="false" ht="15" hidden="false" customHeight="false" outlineLevel="0" collapsed="false">
      <c r="A204" s="23"/>
      <c r="B204" s="24"/>
      <c r="C204" s="31" t="str">
        <f aca="false">IF(A204="","",SUBSTITUTE(SUBSTITUTE(SUBSTITUTE(SUBSTITUTE(SUBSTITUTE(SUBSTITUTE(SUBSTITUTE(SUBSTITUTE(SUBSTITUTE(SUBSTITUTE(SUBSTITUTE(SUBSTITUTE(SUBSTITUTE(UPPER(TRIM(A204)),"Á","A"),"À","A"),"Â","A"),"Ã","A"),"É","E"),"Ê","E"),"Í","I"),"Ó","O"),"Ô","O"),"Õ","O"),"Ú","U"),"Ü","U"),"Ç","C"))</f>
        <v/>
      </c>
      <c r="D204" s="31" t="str">
        <f aca="false">IF(B204="","",IF(LEN(SUBSTITUTE(SUBSTITUTE(SUBSTITUTE(SUBSTITUTE(TRIM(B204),"*",""),".",""),"-","")," ",""))=11,MID(SUBSTITUTE(SUBSTITUTE(SUBSTITUTE(SUBSTITUTE(TRIM(B204),"*",""),".",""),"-","")," ",""),4,6),SUBSTITUTE(SUBSTITUTE(SUBSTITUTE(SUBSTITUTE(TRIM(B204),"*",""),".",""),"-","")," ","")))</f>
        <v/>
      </c>
      <c r="E204" s="31" t="str">
        <f aca="false">IF(OR(C204="",D204=""),"",C204&amp;"|"&amp;D204)</f>
        <v/>
      </c>
      <c r="F204" s="11"/>
      <c r="G204" s="11"/>
      <c r="H204" s="22"/>
      <c r="I204" s="23"/>
      <c r="J204" s="11"/>
      <c r="K204" s="25" t="str">
        <f aca="false">IF(C204="","",IF(E204&lt;&gt;"",COUNTIF(Socios!$H:$H,E204),IF(COUNTIF(Socios!$F:$F,C204)&gt;0,"nome igual em Socios: confira o CPF","sem CPF: não cruzado")))</f>
        <v/>
      </c>
      <c r="L204" s="27" t="str">
        <f aca="false">IF(E204="","",COUNTIFS(Eleitoral!$K:$K,E204,Eleitoral!$E:$E,"Doação recebida"))</f>
        <v/>
      </c>
      <c r="M204" s="24"/>
      <c r="N204" s="11"/>
    </row>
    <row r="205" customFormat="false" ht="15" hidden="false" customHeight="false" outlineLevel="0" collapsed="false">
      <c r="A205" s="23"/>
      <c r="B205" s="24"/>
      <c r="C205" s="31" t="str">
        <f aca="false">IF(A205="","",SUBSTITUTE(SUBSTITUTE(SUBSTITUTE(SUBSTITUTE(SUBSTITUTE(SUBSTITUTE(SUBSTITUTE(SUBSTITUTE(SUBSTITUTE(SUBSTITUTE(SUBSTITUTE(SUBSTITUTE(SUBSTITUTE(UPPER(TRIM(A205)),"Á","A"),"À","A"),"Â","A"),"Ã","A"),"É","E"),"Ê","E"),"Í","I"),"Ó","O"),"Ô","O"),"Õ","O"),"Ú","U"),"Ü","U"),"Ç","C"))</f>
        <v/>
      </c>
      <c r="D205" s="31" t="str">
        <f aca="false">IF(B205="","",IF(LEN(SUBSTITUTE(SUBSTITUTE(SUBSTITUTE(SUBSTITUTE(TRIM(B205),"*",""),".",""),"-","")," ",""))=11,MID(SUBSTITUTE(SUBSTITUTE(SUBSTITUTE(SUBSTITUTE(TRIM(B205),"*",""),".",""),"-","")," ",""),4,6),SUBSTITUTE(SUBSTITUTE(SUBSTITUTE(SUBSTITUTE(TRIM(B205),"*",""),".",""),"-","")," ","")))</f>
        <v/>
      </c>
      <c r="E205" s="31" t="str">
        <f aca="false">IF(OR(C205="",D205=""),"",C205&amp;"|"&amp;D205)</f>
        <v/>
      </c>
      <c r="F205" s="11"/>
      <c r="G205" s="11"/>
      <c r="H205" s="22"/>
      <c r="I205" s="23"/>
      <c r="J205" s="11"/>
      <c r="K205" s="25" t="str">
        <f aca="false">IF(C205="","",IF(E205&lt;&gt;"",COUNTIF(Socios!$H:$H,E205),IF(COUNTIF(Socios!$F:$F,C205)&gt;0,"nome igual em Socios: confira o CPF","sem CPF: não cruzado")))</f>
        <v/>
      </c>
      <c r="L205" s="27" t="str">
        <f aca="false">IF(E205="","",COUNTIFS(Eleitoral!$K:$K,E205,Eleitoral!$E:$E,"Doação recebida"))</f>
        <v/>
      </c>
      <c r="M205" s="24"/>
      <c r="N205" s="11"/>
    </row>
    <row r="206" customFormat="false" ht="15" hidden="false" customHeight="false" outlineLevel="0" collapsed="false">
      <c r="A206" s="23"/>
      <c r="B206" s="24"/>
      <c r="C206" s="31" t="str">
        <f aca="false">IF(A206="","",SUBSTITUTE(SUBSTITUTE(SUBSTITUTE(SUBSTITUTE(SUBSTITUTE(SUBSTITUTE(SUBSTITUTE(SUBSTITUTE(SUBSTITUTE(SUBSTITUTE(SUBSTITUTE(SUBSTITUTE(SUBSTITUTE(UPPER(TRIM(A206)),"Á","A"),"À","A"),"Â","A"),"Ã","A"),"É","E"),"Ê","E"),"Í","I"),"Ó","O"),"Ô","O"),"Õ","O"),"Ú","U"),"Ü","U"),"Ç","C"))</f>
        <v/>
      </c>
      <c r="D206" s="31" t="str">
        <f aca="false">IF(B206="","",IF(LEN(SUBSTITUTE(SUBSTITUTE(SUBSTITUTE(SUBSTITUTE(TRIM(B206),"*",""),".",""),"-","")," ",""))=11,MID(SUBSTITUTE(SUBSTITUTE(SUBSTITUTE(SUBSTITUTE(TRIM(B206),"*",""),".",""),"-","")," ",""),4,6),SUBSTITUTE(SUBSTITUTE(SUBSTITUTE(SUBSTITUTE(TRIM(B206),"*",""),".",""),"-","")," ","")))</f>
        <v/>
      </c>
      <c r="E206" s="31" t="str">
        <f aca="false">IF(OR(C206="",D206=""),"",C206&amp;"|"&amp;D206)</f>
        <v/>
      </c>
      <c r="F206" s="11"/>
      <c r="G206" s="11"/>
      <c r="H206" s="22"/>
      <c r="I206" s="23"/>
      <c r="J206" s="11"/>
      <c r="K206" s="25" t="str">
        <f aca="false">IF(C206="","",IF(E206&lt;&gt;"",COUNTIF(Socios!$H:$H,E206),IF(COUNTIF(Socios!$F:$F,C206)&gt;0,"nome igual em Socios: confira o CPF","sem CPF: não cruzado")))</f>
        <v/>
      </c>
      <c r="L206" s="27" t="str">
        <f aca="false">IF(E206="","",COUNTIFS(Eleitoral!$K:$K,E206,Eleitoral!$E:$E,"Doação recebida"))</f>
        <v/>
      </c>
      <c r="M206" s="24"/>
      <c r="N206" s="11"/>
    </row>
    <row r="207" customFormat="false" ht="15" hidden="false" customHeight="false" outlineLevel="0" collapsed="false">
      <c r="A207" s="23"/>
      <c r="B207" s="24"/>
      <c r="C207" s="31" t="str">
        <f aca="false">IF(A207="","",SUBSTITUTE(SUBSTITUTE(SUBSTITUTE(SUBSTITUTE(SUBSTITUTE(SUBSTITUTE(SUBSTITUTE(SUBSTITUTE(SUBSTITUTE(SUBSTITUTE(SUBSTITUTE(SUBSTITUTE(SUBSTITUTE(UPPER(TRIM(A207)),"Á","A"),"À","A"),"Â","A"),"Ã","A"),"É","E"),"Ê","E"),"Í","I"),"Ó","O"),"Ô","O"),"Õ","O"),"Ú","U"),"Ü","U"),"Ç","C"))</f>
        <v/>
      </c>
      <c r="D207" s="31" t="str">
        <f aca="false">IF(B207="","",IF(LEN(SUBSTITUTE(SUBSTITUTE(SUBSTITUTE(SUBSTITUTE(TRIM(B207),"*",""),".",""),"-","")," ",""))=11,MID(SUBSTITUTE(SUBSTITUTE(SUBSTITUTE(SUBSTITUTE(TRIM(B207),"*",""),".",""),"-","")," ",""),4,6),SUBSTITUTE(SUBSTITUTE(SUBSTITUTE(SUBSTITUTE(TRIM(B207),"*",""),".",""),"-","")," ","")))</f>
        <v/>
      </c>
      <c r="E207" s="31" t="str">
        <f aca="false">IF(OR(C207="",D207=""),"",C207&amp;"|"&amp;D207)</f>
        <v/>
      </c>
      <c r="F207" s="11"/>
      <c r="G207" s="11"/>
      <c r="H207" s="22"/>
      <c r="I207" s="23"/>
      <c r="J207" s="11"/>
      <c r="K207" s="25" t="str">
        <f aca="false">IF(C207="","",IF(E207&lt;&gt;"",COUNTIF(Socios!$H:$H,E207),IF(COUNTIF(Socios!$F:$F,C207)&gt;0,"nome igual em Socios: confira o CPF","sem CPF: não cruzado")))</f>
        <v/>
      </c>
      <c r="L207" s="27" t="str">
        <f aca="false">IF(E207="","",COUNTIFS(Eleitoral!$K:$K,E207,Eleitoral!$E:$E,"Doação recebida"))</f>
        <v/>
      </c>
      <c r="M207" s="24"/>
      <c r="N207" s="11"/>
    </row>
    <row r="208" customFormat="false" ht="15" hidden="false" customHeight="false" outlineLevel="0" collapsed="false">
      <c r="A208" s="23"/>
      <c r="B208" s="24"/>
      <c r="C208" s="31" t="str">
        <f aca="false">IF(A208="","",SUBSTITUTE(SUBSTITUTE(SUBSTITUTE(SUBSTITUTE(SUBSTITUTE(SUBSTITUTE(SUBSTITUTE(SUBSTITUTE(SUBSTITUTE(SUBSTITUTE(SUBSTITUTE(SUBSTITUTE(SUBSTITUTE(UPPER(TRIM(A208)),"Á","A"),"À","A"),"Â","A"),"Ã","A"),"É","E"),"Ê","E"),"Í","I"),"Ó","O"),"Ô","O"),"Õ","O"),"Ú","U"),"Ü","U"),"Ç","C"))</f>
        <v/>
      </c>
      <c r="D208" s="31" t="str">
        <f aca="false">IF(B208="","",IF(LEN(SUBSTITUTE(SUBSTITUTE(SUBSTITUTE(SUBSTITUTE(TRIM(B208),"*",""),".",""),"-","")," ",""))=11,MID(SUBSTITUTE(SUBSTITUTE(SUBSTITUTE(SUBSTITUTE(TRIM(B208),"*",""),".",""),"-","")," ",""),4,6),SUBSTITUTE(SUBSTITUTE(SUBSTITUTE(SUBSTITUTE(TRIM(B208),"*",""),".",""),"-","")," ","")))</f>
        <v/>
      </c>
      <c r="E208" s="31" t="str">
        <f aca="false">IF(OR(C208="",D208=""),"",C208&amp;"|"&amp;D208)</f>
        <v/>
      </c>
      <c r="F208" s="11"/>
      <c r="G208" s="11"/>
      <c r="H208" s="22"/>
      <c r="I208" s="23"/>
      <c r="J208" s="11"/>
      <c r="K208" s="25" t="str">
        <f aca="false">IF(C208="","",IF(E208&lt;&gt;"",COUNTIF(Socios!$H:$H,E208),IF(COUNTIF(Socios!$F:$F,C208)&gt;0,"nome igual em Socios: confira o CPF","sem CPF: não cruzado")))</f>
        <v/>
      </c>
      <c r="L208" s="27" t="str">
        <f aca="false">IF(E208="","",COUNTIFS(Eleitoral!$K:$K,E208,Eleitoral!$E:$E,"Doação recebida"))</f>
        <v/>
      </c>
      <c r="M208" s="24"/>
      <c r="N208" s="11"/>
    </row>
    <row r="209" customFormat="false" ht="15" hidden="false" customHeight="false" outlineLevel="0" collapsed="false">
      <c r="A209" s="23"/>
      <c r="B209" s="24"/>
      <c r="C209" s="31" t="str">
        <f aca="false">IF(A209="","",SUBSTITUTE(SUBSTITUTE(SUBSTITUTE(SUBSTITUTE(SUBSTITUTE(SUBSTITUTE(SUBSTITUTE(SUBSTITUTE(SUBSTITUTE(SUBSTITUTE(SUBSTITUTE(SUBSTITUTE(SUBSTITUTE(UPPER(TRIM(A209)),"Á","A"),"À","A"),"Â","A"),"Ã","A"),"É","E"),"Ê","E"),"Í","I"),"Ó","O"),"Ô","O"),"Õ","O"),"Ú","U"),"Ü","U"),"Ç","C"))</f>
        <v/>
      </c>
      <c r="D209" s="31" t="str">
        <f aca="false">IF(B209="","",IF(LEN(SUBSTITUTE(SUBSTITUTE(SUBSTITUTE(SUBSTITUTE(TRIM(B209),"*",""),".",""),"-","")," ",""))=11,MID(SUBSTITUTE(SUBSTITUTE(SUBSTITUTE(SUBSTITUTE(TRIM(B209),"*",""),".",""),"-","")," ",""),4,6),SUBSTITUTE(SUBSTITUTE(SUBSTITUTE(SUBSTITUTE(TRIM(B209),"*",""),".",""),"-","")," ","")))</f>
        <v/>
      </c>
      <c r="E209" s="31" t="str">
        <f aca="false">IF(OR(C209="",D209=""),"",C209&amp;"|"&amp;D209)</f>
        <v/>
      </c>
      <c r="F209" s="11"/>
      <c r="G209" s="11"/>
      <c r="H209" s="22"/>
      <c r="I209" s="23"/>
      <c r="J209" s="11"/>
      <c r="K209" s="25" t="str">
        <f aca="false">IF(C209="","",IF(E209&lt;&gt;"",COUNTIF(Socios!$H:$H,E209),IF(COUNTIF(Socios!$F:$F,C209)&gt;0,"nome igual em Socios: confira o CPF","sem CPF: não cruzado")))</f>
        <v/>
      </c>
      <c r="L209" s="27" t="str">
        <f aca="false">IF(E209="","",COUNTIFS(Eleitoral!$K:$K,E209,Eleitoral!$E:$E,"Doação recebida"))</f>
        <v/>
      </c>
      <c r="M209" s="24"/>
      <c r="N209" s="11"/>
    </row>
    <row r="210" customFormat="false" ht="15" hidden="false" customHeight="false" outlineLevel="0" collapsed="false">
      <c r="A210" s="23"/>
      <c r="B210" s="24"/>
      <c r="C210" s="31" t="str">
        <f aca="false">IF(A210="","",SUBSTITUTE(SUBSTITUTE(SUBSTITUTE(SUBSTITUTE(SUBSTITUTE(SUBSTITUTE(SUBSTITUTE(SUBSTITUTE(SUBSTITUTE(SUBSTITUTE(SUBSTITUTE(SUBSTITUTE(SUBSTITUTE(UPPER(TRIM(A210)),"Á","A"),"À","A"),"Â","A"),"Ã","A"),"É","E"),"Ê","E"),"Í","I"),"Ó","O"),"Ô","O"),"Õ","O"),"Ú","U"),"Ü","U"),"Ç","C"))</f>
        <v/>
      </c>
      <c r="D210" s="31" t="str">
        <f aca="false">IF(B210="","",IF(LEN(SUBSTITUTE(SUBSTITUTE(SUBSTITUTE(SUBSTITUTE(TRIM(B210),"*",""),".",""),"-","")," ",""))=11,MID(SUBSTITUTE(SUBSTITUTE(SUBSTITUTE(SUBSTITUTE(TRIM(B210),"*",""),".",""),"-","")," ",""),4,6),SUBSTITUTE(SUBSTITUTE(SUBSTITUTE(SUBSTITUTE(TRIM(B210),"*",""),".",""),"-","")," ","")))</f>
        <v/>
      </c>
      <c r="E210" s="31" t="str">
        <f aca="false">IF(OR(C210="",D210=""),"",C210&amp;"|"&amp;D210)</f>
        <v/>
      </c>
      <c r="F210" s="11"/>
      <c r="G210" s="11"/>
      <c r="H210" s="22"/>
      <c r="I210" s="23"/>
      <c r="J210" s="11"/>
      <c r="K210" s="25" t="str">
        <f aca="false">IF(C210="","",IF(E210&lt;&gt;"",COUNTIF(Socios!$H:$H,E210),IF(COUNTIF(Socios!$F:$F,C210)&gt;0,"nome igual em Socios: confira o CPF","sem CPF: não cruzado")))</f>
        <v/>
      </c>
      <c r="L210" s="27" t="str">
        <f aca="false">IF(E210="","",COUNTIFS(Eleitoral!$K:$K,E210,Eleitoral!$E:$E,"Doação recebida"))</f>
        <v/>
      </c>
      <c r="M210" s="24"/>
      <c r="N210" s="11"/>
    </row>
    <row r="211" customFormat="false" ht="15" hidden="false" customHeight="false" outlineLevel="0" collapsed="false">
      <c r="A211" s="23"/>
      <c r="B211" s="24"/>
      <c r="C211" s="31" t="str">
        <f aca="false">IF(A211="","",SUBSTITUTE(SUBSTITUTE(SUBSTITUTE(SUBSTITUTE(SUBSTITUTE(SUBSTITUTE(SUBSTITUTE(SUBSTITUTE(SUBSTITUTE(SUBSTITUTE(SUBSTITUTE(SUBSTITUTE(SUBSTITUTE(UPPER(TRIM(A211)),"Á","A"),"À","A"),"Â","A"),"Ã","A"),"É","E"),"Ê","E"),"Í","I"),"Ó","O"),"Ô","O"),"Õ","O"),"Ú","U"),"Ü","U"),"Ç","C"))</f>
        <v/>
      </c>
      <c r="D211" s="31" t="str">
        <f aca="false">IF(B211="","",IF(LEN(SUBSTITUTE(SUBSTITUTE(SUBSTITUTE(SUBSTITUTE(TRIM(B211),"*",""),".",""),"-","")," ",""))=11,MID(SUBSTITUTE(SUBSTITUTE(SUBSTITUTE(SUBSTITUTE(TRIM(B211),"*",""),".",""),"-","")," ",""),4,6),SUBSTITUTE(SUBSTITUTE(SUBSTITUTE(SUBSTITUTE(TRIM(B211),"*",""),".",""),"-","")," ","")))</f>
        <v/>
      </c>
      <c r="E211" s="31" t="str">
        <f aca="false">IF(OR(C211="",D211=""),"",C211&amp;"|"&amp;D211)</f>
        <v/>
      </c>
      <c r="F211" s="11"/>
      <c r="G211" s="11"/>
      <c r="H211" s="22"/>
      <c r="I211" s="23"/>
      <c r="J211" s="11"/>
      <c r="K211" s="25" t="str">
        <f aca="false">IF(C211="","",IF(E211&lt;&gt;"",COUNTIF(Socios!$H:$H,E211),IF(COUNTIF(Socios!$F:$F,C211)&gt;0,"nome igual em Socios: confira o CPF","sem CPF: não cruzado")))</f>
        <v/>
      </c>
      <c r="L211" s="27" t="str">
        <f aca="false">IF(E211="","",COUNTIFS(Eleitoral!$K:$K,E211,Eleitoral!$E:$E,"Doação recebida"))</f>
        <v/>
      </c>
      <c r="M211" s="24"/>
      <c r="N211" s="11"/>
    </row>
    <row r="212" customFormat="false" ht="15" hidden="false" customHeight="false" outlineLevel="0" collapsed="false">
      <c r="A212" s="23"/>
      <c r="B212" s="24"/>
      <c r="C212" s="31" t="str">
        <f aca="false">IF(A212="","",SUBSTITUTE(SUBSTITUTE(SUBSTITUTE(SUBSTITUTE(SUBSTITUTE(SUBSTITUTE(SUBSTITUTE(SUBSTITUTE(SUBSTITUTE(SUBSTITUTE(SUBSTITUTE(SUBSTITUTE(SUBSTITUTE(UPPER(TRIM(A212)),"Á","A"),"À","A"),"Â","A"),"Ã","A"),"É","E"),"Ê","E"),"Í","I"),"Ó","O"),"Ô","O"),"Õ","O"),"Ú","U"),"Ü","U"),"Ç","C"))</f>
        <v/>
      </c>
      <c r="D212" s="31" t="str">
        <f aca="false">IF(B212="","",IF(LEN(SUBSTITUTE(SUBSTITUTE(SUBSTITUTE(SUBSTITUTE(TRIM(B212),"*",""),".",""),"-","")," ",""))=11,MID(SUBSTITUTE(SUBSTITUTE(SUBSTITUTE(SUBSTITUTE(TRIM(B212),"*",""),".",""),"-","")," ",""),4,6),SUBSTITUTE(SUBSTITUTE(SUBSTITUTE(SUBSTITUTE(TRIM(B212),"*",""),".",""),"-","")," ","")))</f>
        <v/>
      </c>
      <c r="E212" s="31" t="str">
        <f aca="false">IF(OR(C212="",D212=""),"",C212&amp;"|"&amp;D212)</f>
        <v/>
      </c>
      <c r="F212" s="11"/>
      <c r="G212" s="11"/>
      <c r="H212" s="22"/>
      <c r="I212" s="23"/>
      <c r="J212" s="11"/>
      <c r="K212" s="25" t="str">
        <f aca="false">IF(C212="","",IF(E212&lt;&gt;"",COUNTIF(Socios!$H:$H,E212),IF(COUNTIF(Socios!$F:$F,C212)&gt;0,"nome igual em Socios: confira o CPF","sem CPF: não cruzado")))</f>
        <v/>
      </c>
      <c r="L212" s="27" t="str">
        <f aca="false">IF(E212="","",COUNTIFS(Eleitoral!$K:$K,E212,Eleitoral!$E:$E,"Doação recebida"))</f>
        <v/>
      </c>
      <c r="M212" s="24"/>
      <c r="N212" s="11"/>
    </row>
    <row r="213" customFormat="false" ht="15" hidden="false" customHeight="false" outlineLevel="0" collapsed="false">
      <c r="A213" s="23"/>
      <c r="B213" s="24"/>
      <c r="C213" s="31" t="str">
        <f aca="false">IF(A213="","",SUBSTITUTE(SUBSTITUTE(SUBSTITUTE(SUBSTITUTE(SUBSTITUTE(SUBSTITUTE(SUBSTITUTE(SUBSTITUTE(SUBSTITUTE(SUBSTITUTE(SUBSTITUTE(SUBSTITUTE(SUBSTITUTE(UPPER(TRIM(A213)),"Á","A"),"À","A"),"Â","A"),"Ã","A"),"É","E"),"Ê","E"),"Í","I"),"Ó","O"),"Ô","O"),"Õ","O"),"Ú","U"),"Ü","U"),"Ç","C"))</f>
        <v/>
      </c>
      <c r="D213" s="31" t="str">
        <f aca="false">IF(B213="","",IF(LEN(SUBSTITUTE(SUBSTITUTE(SUBSTITUTE(SUBSTITUTE(TRIM(B213),"*",""),".",""),"-","")," ",""))=11,MID(SUBSTITUTE(SUBSTITUTE(SUBSTITUTE(SUBSTITUTE(TRIM(B213),"*",""),".",""),"-","")," ",""),4,6),SUBSTITUTE(SUBSTITUTE(SUBSTITUTE(SUBSTITUTE(TRIM(B213),"*",""),".",""),"-","")," ","")))</f>
        <v/>
      </c>
      <c r="E213" s="31" t="str">
        <f aca="false">IF(OR(C213="",D213=""),"",C213&amp;"|"&amp;D213)</f>
        <v/>
      </c>
      <c r="F213" s="11"/>
      <c r="G213" s="11"/>
      <c r="H213" s="22"/>
      <c r="I213" s="23"/>
      <c r="J213" s="11"/>
      <c r="K213" s="25" t="str">
        <f aca="false">IF(C213="","",IF(E213&lt;&gt;"",COUNTIF(Socios!$H:$H,E213),IF(COUNTIF(Socios!$F:$F,C213)&gt;0,"nome igual em Socios: confira o CPF","sem CPF: não cruzado")))</f>
        <v/>
      </c>
      <c r="L213" s="27" t="str">
        <f aca="false">IF(E213="","",COUNTIFS(Eleitoral!$K:$K,E213,Eleitoral!$E:$E,"Doação recebida"))</f>
        <v/>
      </c>
      <c r="M213" s="24"/>
      <c r="N213" s="11"/>
    </row>
    <row r="214" customFormat="false" ht="15" hidden="false" customHeight="false" outlineLevel="0" collapsed="false">
      <c r="A214" s="23"/>
      <c r="B214" s="24"/>
      <c r="C214" s="31" t="str">
        <f aca="false">IF(A214="","",SUBSTITUTE(SUBSTITUTE(SUBSTITUTE(SUBSTITUTE(SUBSTITUTE(SUBSTITUTE(SUBSTITUTE(SUBSTITUTE(SUBSTITUTE(SUBSTITUTE(SUBSTITUTE(SUBSTITUTE(SUBSTITUTE(UPPER(TRIM(A214)),"Á","A"),"À","A"),"Â","A"),"Ã","A"),"É","E"),"Ê","E"),"Í","I"),"Ó","O"),"Ô","O"),"Õ","O"),"Ú","U"),"Ü","U"),"Ç","C"))</f>
        <v/>
      </c>
      <c r="D214" s="31" t="str">
        <f aca="false">IF(B214="","",IF(LEN(SUBSTITUTE(SUBSTITUTE(SUBSTITUTE(SUBSTITUTE(TRIM(B214),"*",""),".",""),"-","")," ",""))=11,MID(SUBSTITUTE(SUBSTITUTE(SUBSTITUTE(SUBSTITUTE(TRIM(B214),"*",""),".",""),"-","")," ",""),4,6),SUBSTITUTE(SUBSTITUTE(SUBSTITUTE(SUBSTITUTE(TRIM(B214),"*",""),".",""),"-","")," ","")))</f>
        <v/>
      </c>
      <c r="E214" s="31" t="str">
        <f aca="false">IF(OR(C214="",D214=""),"",C214&amp;"|"&amp;D214)</f>
        <v/>
      </c>
      <c r="F214" s="11"/>
      <c r="G214" s="11"/>
      <c r="H214" s="22"/>
      <c r="I214" s="23"/>
      <c r="J214" s="11"/>
      <c r="K214" s="25" t="str">
        <f aca="false">IF(C214="","",IF(E214&lt;&gt;"",COUNTIF(Socios!$H:$H,E214),IF(COUNTIF(Socios!$F:$F,C214)&gt;0,"nome igual em Socios: confira o CPF","sem CPF: não cruzado")))</f>
        <v/>
      </c>
      <c r="L214" s="27" t="str">
        <f aca="false">IF(E214="","",COUNTIFS(Eleitoral!$K:$K,E214,Eleitoral!$E:$E,"Doação recebida"))</f>
        <v/>
      </c>
      <c r="M214" s="24"/>
      <c r="N214" s="11"/>
    </row>
    <row r="215" customFormat="false" ht="15" hidden="false" customHeight="false" outlineLevel="0" collapsed="false">
      <c r="A215" s="23"/>
      <c r="B215" s="24"/>
      <c r="C215" s="31" t="str">
        <f aca="false">IF(A215="","",SUBSTITUTE(SUBSTITUTE(SUBSTITUTE(SUBSTITUTE(SUBSTITUTE(SUBSTITUTE(SUBSTITUTE(SUBSTITUTE(SUBSTITUTE(SUBSTITUTE(SUBSTITUTE(SUBSTITUTE(SUBSTITUTE(UPPER(TRIM(A215)),"Á","A"),"À","A"),"Â","A"),"Ã","A"),"É","E"),"Ê","E"),"Í","I"),"Ó","O"),"Ô","O"),"Õ","O"),"Ú","U"),"Ü","U"),"Ç","C"))</f>
        <v/>
      </c>
      <c r="D215" s="31" t="str">
        <f aca="false">IF(B215="","",IF(LEN(SUBSTITUTE(SUBSTITUTE(SUBSTITUTE(SUBSTITUTE(TRIM(B215),"*",""),".",""),"-","")," ",""))=11,MID(SUBSTITUTE(SUBSTITUTE(SUBSTITUTE(SUBSTITUTE(TRIM(B215),"*",""),".",""),"-","")," ",""),4,6),SUBSTITUTE(SUBSTITUTE(SUBSTITUTE(SUBSTITUTE(TRIM(B215),"*",""),".",""),"-","")," ","")))</f>
        <v/>
      </c>
      <c r="E215" s="31" t="str">
        <f aca="false">IF(OR(C215="",D215=""),"",C215&amp;"|"&amp;D215)</f>
        <v/>
      </c>
      <c r="F215" s="11"/>
      <c r="G215" s="11"/>
      <c r="H215" s="22"/>
      <c r="I215" s="23"/>
      <c r="J215" s="11"/>
      <c r="K215" s="25" t="str">
        <f aca="false">IF(C215="","",IF(E215&lt;&gt;"",COUNTIF(Socios!$H:$H,E215),IF(COUNTIF(Socios!$F:$F,C215)&gt;0,"nome igual em Socios: confira o CPF","sem CPF: não cruzado")))</f>
        <v/>
      </c>
      <c r="L215" s="27" t="str">
        <f aca="false">IF(E215="","",COUNTIFS(Eleitoral!$K:$K,E215,Eleitoral!$E:$E,"Doação recebida"))</f>
        <v/>
      </c>
      <c r="M215" s="24"/>
      <c r="N215" s="11"/>
    </row>
    <row r="216" customFormat="false" ht="15" hidden="false" customHeight="false" outlineLevel="0" collapsed="false">
      <c r="A216" s="23"/>
      <c r="B216" s="24"/>
      <c r="C216" s="31" t="str">
        <f aca="false">IF(A216="","",SUBSTITUTE(SUBSTITUTE(SUBSTITUTE(SUBSTITUTE(SUBSTITUTE(SUBSTITUTE(SUBSTITUTE(SUBSTITUTE(SUBSTITUTE(SUBSTITUTE(SUBSTITUTE(SUBSTITUTE(SUBSTITUTE(UPPER(TRIM(A216)),"Á","A"),"À","A"),"Â","A"),"Ã","A"),"É","E"),"Ê","E"),"Í","I"),"Ó","O"),"Ô","O"),"Õ","O"),"Ú","U"),"Ü","U"),"Ç","C"))</f>
        <v/>
      </c>
      <c r="D216" s="31" t="str">
        <f aca="false">IF(B216="","",IF(LEN(SUBSTITUTE(SUBSTITUTE(SUBSTITUTE(SUBSTITUTE(TRIM(B216),"*",""),".",""),"-","")," ",""))=11,MID(SUBSTITUTE(SUBSTITUTE(SUBSTITUTE(SUBSTITUTE(TRIM(B216),"*",""),".",""),"-","")," ",""),4,6),SUBSTITUTE(SUBSTITUTE(SUBSTITUTE(SUBSTITUTE(TRIM(B216),"*",""),".",""),"-","")," ","")))</f>
        <v/>
      </c>
      <c r="E216" s="31" t="str">
        <f aca="false">IF(OR(C216="",D216=""),"",C216&amp;"|"&amp;D216)</f>
        <v/>
      </c>
      <c r="F216" s="11"/>
      <c r="G216" s="11"/>
      <c r="H216" s="22"/>
      <c r="I216" s="23"/>
      <c r="J216" s="11"/>
      <c r="K216" s="25" t="str">
        <f aca="false">IF(C216="","",IF(E216&lt;&gt;"",COUNTIF(Socios!$H:$H,E216),IF(COUNTIF(Socios!$F:$F,C216)&gt;0,"nome igual em Socios: confira o CPF","sem CPF: não cruzado")))</f>
        <v/>
      </c>
      <c r="L216" s="27" t="str">
        <f aca="false">IF(E216="","",COUNTIFS(Eleitoral!$K:$K,E216,Eleitoral!$E:$E,"Doação recebida"))</f>
        <v/>
      </c>
      <c r="M216" s="24"/>
      <c r="N216" s="11"/>
    </row>
    <row r="217" customFormat="false" ht="15" hidden="false" customHeight="false" outlineLevel="0" collapsed="false">
      <c r="A217" s="23"/>
      <c r="B217" s="24"/>
      <c r="C217" s="31" t="str">
        <f aca="false">IF(A217="","",SUBSTITUTE(SUBSTITUTE(SUBSTITUTE(SUBSTITUTE(SUBSTITUTE(SUBSTITUTE(SUBSTITUTE(SUBSTITUTE(SUBSTITUTE(SUBSTITUTE(SUBSTITUTE(SUBSTITUTE(SUBSTITUTE(UPPER(TRIM(A217)),"Á","A"),"À","A"),"Â","A"),"Ã","A"),"É","E"),"Ê","E"),"Í","I"),"Ó","O"),"Ô","O"),"Õ","O"),"Ú","U"),"Ü","U"),"Ç","C"))</f>
        <v/>
      </c>
      <c r="D217" s="31" t="str">
        <f aca="false">IF(B217="","",IF(LEN(SUBSTITUTE(SUBSTITUTE(SUBSTITUTE(SUBSTITUTE(TRIM(B217),"*",""),".",""),"-","")," ",""))=11,MID(SUBSTITUTE(SUBSTITUTE(SUBSTITUTE(SUBSTITUTE(TRIM(B217),"*",""),".",""),"-","")," ",""),4,6),SUBSTITUTE(SUBSTITUTE(SUBSTITUTE(SUBSTITUTE(TRIM(B217),"*",""),".",""),"-","")," ","")))</f>
        <v/>
      </c>
      <c r="E217" s="31" t="str">
        <f aca="false">IF(OR(C217="",D217=""),"",C217&amp;"|"&amp;D217)</f>
        <v/>
      </c>
      <c r="F217" s="11"/>
      <c r="G217" s="11"/>
      <c r="H217" s="22"/>
      <c r="I217" s="23"/>
      <c r="J217" s="11"/>
      <c r="K217" s="25" t="str">
        <f aca="false">IF(C217="","",IF(E217&lt;&gt;"",COUNTIF(Socios!$H:$H,E217),IF(COUNTIF(Socios!$F:$F,C217)&gt;0,"nome igual em Socios: confira o CPF","sem CPF: não cruzado")))</f>
        <v/>
      </c>
      <c r="L217" s="27" t="str">
        <f aca="false">IF(E217="","",COUNTIFS(Eleitoral!$K:$K,E217,Eleitoral!$E:$E,"Doação recebida"))</f>
        <v/>
      </c>
      <c r="M217" s="24"/>
      <c r="N217" s="11"/>
    </row>
    <row r="218" customFormat="false" ht="15" hidden="false" customHeight="false" outlineLevel="0" collapsed="false">
      <c r="A218" s="23"/>
      <c r="B218" s="24"/>
      <c r="C218" s="31" t="str">
        <f aca="false">IF(A218="","",SUBSTITUTE(SUBSTITUTE(SUBSTITUTE(SUBSTITUTE(SUBSTITUTE(SUBSTITUTE(SUBSTITUTE(SUBSTITUTE(SUBSTITUTE(SUBSTITUTE(SUBSTITUTE(SUBSTITUTE(SUBSTITUTE(UPPER(TRIM(A218)),"Á","A"),"À","A"),"Â","A"),"Ã","A"),"É","E"),"Ê","E"),"Í","I"),"Ó","O"),"Ô","O"),"Õ","O"),"Ú","U"),"Ü","U"),"Ç","C"))</f>
        <v/>
      </c>
      <c r="D218" s="31" t="str">
        <f aca="false">IF(B218="","",IF(LEN(SUBSTITUTE(SUBSTITUTE(SUBSTITUTE(SUBSTITUTE(TRIM(B218),"*",""),".",""),"-","")," ",""))=11,MID(SUBSTITUTE(SUBSTITUTE(SUBSTITUTE(SUBSTITUTE(TRIM(B218),"*",""),".",""),"-","")," ",""),4,6),SUBSTITUTE(SUBSTITUTE(SUBSTITUTE(SUBSTITUTE(TRIM(B218),"*",""),".",""),"-","")," ","")))</f>
        <v/>
      </c>
      <c r="E218" s="31" t="str">
        <f aca="false">IF(OR(C218="",D218=""),"",C218&amp;"|"&amp;D218)</f>
        <v/>
      </c>
      <c r="F218" s="11"/>
      <c r="G218" s="11"/>
      <c r="H218" s="22"/>
      <c r="I218" s="23"/>
      <c r="J218" s="11"/>
      <c r="K218" s="25" t="str">
        <f aca="false">IF(C218="","",IF(E218&lt;&gt;"",COUNTIF(Socios!$H:$H,E218),IF(COUNTIF(Socios!$F:$F,C218)&gt;0,"nome igual em Socios: confira o CPF","sem CPF: não cruzado")))</f>
        <v/>
      </c>
      <c r="L218" s="27" t="str">
        <f aca="false">IF(E218="","",COUNTIFS(Eleitoral!$K:$K,E218,Eleitoral!$E:$E,"Doação recebida"))</f>
        <v/>
      </c>
      <c r="M218" s="24"/>
      <c r="N218" s="11"/>
    </row>
    <row r="219" customFormat="false" ht="15" hidden="false" customHeight="false" outlineLevel="0" collapsed="false">
      <c r="A219" s="23"/>
      <c r="B219" s="24"/>
      <c r="C219" s="31" t="str">
        <f aca="false">IF(A219="","",SUBSTITUTE(SUBSTITUTE(SUBSTITUTE(SUBSTITUTE(SUBSTITUTE(SUBSTITUTE(SUBSTITUTE(SUBSTITUTE(SUBSTITUTE(SUBSTITUTE(SUBSTITUTE(SUBSTITUTE(SUBSTITUTE(UPPER(TRIM(A219)),"Á","A"),"À","A"),"Â","A"),"Ã","A"),"É","E"),"Ê","E"),"Í","I"),"Ó","O"),"Ô","O"),"Õ","O"),"Ú","U"),"Ü","U"),"Ç","C"))</f>
        <v/>
      </c>
      <c r="D219" s="31" t="str">
        <f aca="false">IF(B219="","",IF(LEN(SUBSTITUTE(SUBSTITUTE(SUBSTITUTE(SUBSTITUTE(TRIM(B219),"*",""),".",""),"-","")," ",""))=11,MID(SUBSTITUTE(SUBSTITUTE(SUBSTITUTE(SUBSTITUTE(TRIM(B219),"*",""),".",""),"-","")," ",""),4,6),SUBSTITUTE(SUBSTITUTE(SUBSTITUTE(SUBSTITUTE(TRIM(B219),"*",""),".",""),"-","")," ","")))</f>
        <v/>
      </c>
      <c r="E219" s="31" t="str">
        <f aca="false">IF(OR(C219="",D219=""),"",C219&amp;"|"&amp;D219)</f>
        <v/>
      </c>
      <c r="F219" s="11"/>
      <c r="G219" s="11"/>
      <c r="H219" s="22"/>
      <c r="I219" s="23"/>
      <c r="J219" s="11"/>
      <c r="K219" s="25" t="str">
        <f aca="false">IF(C219="","",IF(E219&lt;&gt;"",COUNTIF(Socios!$H:$H,E219),IF(COUNTIF(Socios!$F:$F,C219)&gt;0,"nome igual em Socios: confira o CPF","sem CPF: não cruzado")))</f>
        <v/>
      </c>
      <c r="L219" s="27" t="str">
        <f aca="false">IF(E219="","",COUNTIFS(Eleitoral!$K:$K,E219,Eleitoral!$E:$E,"Doação recebida"))</f>
        <v/>
      </c>
      <c r="M219" s="24"/>
      <c r="N219" s="11"/>
    </row>
    <row r="220" customFormat="false" ht="15" hidden="false" customHeight="false" outlineLevel="0" collapsed="false">
      <c r="A220" s="23"/>
      <c r="B220" s="24"/>
      <c r="C220" s="31" t="str">
        <f aca="false">IF(A220="","",SUBSTITUTE(SUBSTITUTE(SUBSTITUTE(SUBSTITUTE(SUBSTITUTE(SUBSTITUTE(SUBSTITUTE(SUBSTITUTE(SUBSTITUTE(SUBSTITUTE(SUBSTITUTE(SUBSTITUTE(SUBSTITUTE(UPPER(TRIM(A220)),"Á","A"),"À","A"),"Â","A"),"Ã","A"),"É","E"),"Ê","E"),"Í","I"),"Ó","O"),"Ô","O"),"Õ","O"),"Ú","U"),"Ü","U"),"Ç","C"))</f>
        <v/>
      </c>
      <c r="D220" s="31" t="str">
        <f aca="false">IF(B220="","",IF(LEN(SUBSTITUTE(SUBSTITUTE(SUBSTITUTE(SUBSTITUTE(TRIM(B220),"*",""),".",""),"-","")," ",""))=11,MID(SUBSTITUTE(SUBSTITUTE(SUBSTITUTE(SUBSTITUTE(TRIM(B220),"*",""),".",""),"-","")," ",""),4,6),SUBSTITUTE(SUBSTITUTE(SUBSTITUTE(SUBSTITUTE(TRIM(B220),"*",""),".",""),"-","")," ","")))</f>
        <v/>
      </c>
      <c r="E220" s="31" t="str">
        <f aca="false">IF(OR(C220="",D220=""),"",C220&amp;"|"&amp;D220)</f>
        <v/>
      </c>
      <c r="F220" s="11"/>
      <c r="G220" s="11"/>
      <c r="H220" s="22"/>
      <c r="I220" s="23"/>
      <c r="J220" s="11"/>
      <c r="K220" s="25" t="str">
        <f aca="false">IF(C220="","",IF(E220&lt;&gt;"",COUNTIF(Socios!$H:$H,E220),IF(COUNTIF(Socios!$F:$F,C220)&gt;0,"nome igual em Socios: confira o CPF","sem CPF: não cruzado")))</f>
        <v/>
      </c>
      <c r="L220" s="27" t="str">
        <f aca="false">IF(E220="","",COUNTIFS(Eleitoral!$K:$K,E220,Eleitoral!$E:$E,"Doação recebida"))</f>
        <v/>
      </c>
      <c r="M220" s="24"/>
      <c r="N220" s="11"/>
    </row>
    <row r="221" customFormat="false" ht="15" hidden="false" customHeight="false" outlineLevel="0" collapsed="false">
      <c r="A221" s="23"/>
      <c r="B221" s="24"/>
      <c r="C221" s="31" t="str">
        <f aca="false">IF(A221="","",SUBSTITUTE(SUBSTITUTE(SUBSTITUTE(SUBSTITUTE(SUBSTITUTE(SUBSTITUTE(SUBSTITUTE(SUBSTITUTE(SUBSTITUTE(SUBSTITUTE(SUBSTITUTE(SUBSTITUTE(SUBSTITUTE(UPPER(TRIM(A221)),"Á","A"),"À","A"),"Â","A"),"Ã","A"),"É","E"),"Ê","E"),"Í","I"),"Ó","O"),"Ô","O"),"Õ","O"),"Ú","U"),"Ü","U"),"Ç","C"))</f>
        <v/>
      </c>
      <c r="D221" s="31" t="str">
        <f aca="false">IF(B221="","",IF(LEN(SUBSTITUTE(SUBSTITUTE(SUBSTITUTE(SUBSTITUTE(TRIM(B221),"*",""),".",""),"-","")," ",""))=11,MID(SUBSTITUTE(SUBSTITUTE(SUBSTITUTE(SUBSTITUTE(TRIM(B221),"*",""),".",""),"-","")," ",""),4,6),SUBSTITUTE(SUBSTITUTE(SUBSTITUTE(SUBSTITUTE(TRIM(B221),"*",""),".",""),"-","")," ","")))</f>
        <v/>
      </c>
      <c r="E221" s="31" t="str">
        <f aca="false">IF(OR(C221="",D221=""),"",C221&amp;"|"&amp;D221)</f>
        <v/>
      </c>
      <c r="F221" s="11"/>
      <c r="G221" s="11"/>
      <c r="H221" s="22"/>
      <c r="I221" s="23"/>
      <c r="J221" s="11"/>
      <c r="K221" s="25" t="str">
        <f aca="false">IF(C221="","",IF(E221&lt;&gt;"",COUNTIF(Socios!$H:$H,E221),IF(COUNTIF(Socios!$F:$F,C221)&gt;0,"nome igual em Socios: confira o CPF","sem CPF: não cruzado")))</f>
        <v/>
      </c>
      <c r="L221" s="27" t="str">
        <f aca="false">IF(E221="","",COUNTIFS(Eleitoral!$K:$K,E221,Eleitoral!$E:$E,"Doação recebida"))</f>
        <v/>
      </c>
      <c r="M221" s="24"/>
      <c r="N221" s="11"/>
    </row>
    <row r="222" customFormat="false" ht="15" hidden="false" customHeight="false" outlineLevel="0" collapsed="false">
      <c r="A222" s="23"/>
      <c r="B222" s="24"/>
      <c r="C222" s="31" t="str">
        <f aca="false">IF(A222="","",SUBSTITUTE(SUBSTITUTE(SUBSTITUTE(SUBSTITUTE(SUBSTITUTE(SUBSTITUTE(SUBSTITUTE(SUBSTITUTE(SUBSTITUTE(SUBSTITUTE(SUBSTITUTE(SUBSTITUTE(SUBSTITUTE(UPPER(TRIM(A222)),"Á","A"),"À","A"),"Â","A"),"Ã","A"),"É","E"),"Ê","E"),"Í","I"),"Ó","O"),"Ô","O"),"Õ","O"),"Ú","U"),"Ü","U"),"Ç","C"))</f>
        <v/>
      </c>
      <c r="D222" s="31" t="str">
        <f aca="false">IF(B222="","",IF(LEN(SUBSTITUTE(SUBSTITUTE(SUBSTITUTE(SUBSTITUTE(TRIM(B222),"*",""),".",""),"-","")," ",""))=11,MID(SUBSTITUTE(SUBSTITUTE(SUBSTITUTE(SUBSTITUTE(TRIM(B222),"*",""),".",""),"-","")," ",""),4,6),SUBSTITUTE(SUBSTITUTE(SUBSTITUTE(SUBSTITUTE(TRIM(B222),"*",""),".",""),"-","")," ","")))</f>
        <v/>
      </c>
      <c r="E222" s="31" t="str">
        <f aca="false">IF(OR(C222="",D222=""),"",C222&amp;"|"&amp;D222)</f>
        <v/>
      </c>
      <c r="F222" s="11"/>
      <c r="G222" s="11"/>
      <c r="H222" s="22"/>
      <c r="I222" s="23"/>
      <c r="J222" s="11"/>
      <c r="K222" s="25" t="str">
        <f aca="false">IF(C222="","",IF(E222&lt;&gt;"",COUNTIF(Socios!$H:$H,E222),IF(COUNTIF(Socios!$F:$F,C222)&gt;0,"nome igual em Socios: confira o CPF","sem CPF: não cruzado")))</f>
        <v/>
      </c>
      <c r="L222" s="27" t="str">
        <f aca="false">IF(E222="","",COUNTIFS(Eleitoral!$K:$K,E222,Eleitoral!$E:$E,"Doação recebida"))</f>
        <v/>
      </c>
      <c r="M222" s="24"/>
      <c r="N222" s="11"/>
    </row>
    <row r="223" customFormat="false" ht="15" hidden="false" customHeight="false" outlineLevel="0" collapsed="false">
      <c r="A223" s="23"/>
      <c r="B223" s="24"/>
      <c r="C223" s="31" t="str">
        <f aca="false">IF(A223="","",SUBSTITUTE(SUBSTITUTE(SUBSTITUTE(SUBSTITUTE(SUBSTITUTE(SUBSTITUTE(SUBSTITUTE(SUBSTITUTE(SUBSTITUTE(SUBSTITUTE(SUBSTITUTE(SUBSTITUTE(SUBSTITUTE(UPPER(TRIM(A223)),"Á","A"),"À","A"),"Â","A"),"Ã","A"),"É","E"),"Ê","E"),"Í","I"),"Ó","O"),"Ô","O"),"Õ","O"),"Ú","U"),"Ü","U"),"Ç","C"))</f>
        <v/>
      </c>
      <c r="D223" s="31" t="str">
        <f aca="false">IF(B223="","",IF(LEN(SUBSTITUTE(SUBSTITUTE(SUBSTITUTE(SUBSTITUTE(TRIM(B223),"*",""),".",""),"-","")," ",""))=11,MID(SUBSTITUTE(SUBSTITUTE(SUBSTITUTE(SUBSTITUTE(TRIM(B223),"*",""),".",""),"-","")," ",""),4,6),SUBSTITUTE(SUBSTITUTE(SUBSTITUTE(SUBSTITUTE(TRIM(B223),"*",""),".",""),"-","")," ","")))</f>
        <v/>
      </c>
      <c r="E223" s="31" t="str">
        <f aca="false">IF(OR(C223="",D223=""),"",C223&amp;"|"&amp;D223)</f>
        <v/>
      </c>
      <c r="F223" s="11"/>
      <c r="G223" s="11"/>
      <c r="H223" s="22"/>
      <c r="I223" s="23"/>
      <c r="J223" s="11"/>
      <c r="K223" s="25" t="str">
        <f aca="false">IF(C223="","",IF(E223&lt;&gt;"",COUNTIF(Socios!$H:$H,E223),IF(COUNTIF(Socios!$F:$F,C223)&gt;0,"nome igual em Socios: confira o CPF","sem CPF: não cruzado")))</f>
        <v/>
      </c>
      <c r="L223" s="27" t="str">
        <f aca="false">IF(E223="","",COUNTIFS(Eleitoral!$K:$K,E223,Eleitoral!$E:$E,"Doação recebida"))</f>
        <v/>
      </c>
      <c r="M223" s="24"/>
      <c r="N223" s="11"/>
    </row>
    <row r="224" customFormat="false" ht="15" hidden="false" customHeight="false" outlineLevel="0" collapsed="false">
      <c r="A224" s="23"/>
      <c r="B224" s="24"/>
      <c r="C224" s="31" t="str">
        <f aca="false">IF(A224="","",SUBSTITUTE(SUBSTITUTE(SUBSTITUTE(SUBSTITUTE(SUBSTITUTE(SUBSTITUTE(SUBSTITUTE(SUBSTITUTE(SUBSTITUTE(SUBSTITUTE(SUBSTITUTE(SUBSTITUTE(SUBSTITUTE(UPPER(TRIM(A224)),"Á","A"),"À","A"),"Â","A"),"Ã","A"),"É","E"),"Ê","E"),"Í","I"),"Ó","O"),"Ô","O"),"Õ","O"),"Ú","U"),"Ü","U"),"Ç","C"))</f>
        <v/>
      </c>
      <c r="D224" s="31" t="str">
        <f aca="false">IF(B224="","",IF(LEN(SUBSTITUTE(SUBSTITUTE(SUBSTITUTE(SUBSTITUTE(TRIM(B224),"*",""),".",""),"-","")," ",""))=11,MID(SUBSTITUTE(SUBSTITUTE(SUBSTITUTE(SUBSTITUTE(TRIM(B224),"*",""),".",""),"-","")," ",""),4,6),SUBSTITUTE(SUBSTITUTE(SUBSTITUTE(SUBSTITUTE(TRIM(B224),"*",""),".",""),"-","")," ","")))</f>
        <v/>
      </c>
      <c r="E224" s="31" t="str">
        <f aca="false">IF(OR(C224="",D224=""),"",C224&amp;"|"&amp;D224)</f>
        <v/>
      </c>
      <c r="F224" s="11"/>
      <c r="G224" s="11"/>
      <c r="H224" s="22"/>
      <c r="I224" s="23"/>
      <c r="J224" s="11"/>
      <c r="K224" s="25" t="str">
        <f aca="false">IF(C224="","",IF(E224&lt;&gt;"",COUNTIF(Socios!$H:$H,E224),IF(COUNTIF(Socios!$F:$F,C224)&gt;0,"nome igual em Socios: confira o CPF","sem CPF: não cruzado")))</f>
        <v/>
      </c>
      <c r="L224" s="27" t="str">
        <f aca="false">IF(E224="","",COUNTIFS(Eleitoral!$K:$K,E224,Eleitoral!$E:$E,"Doação recebida"))</f>
        <v/>
      </c>
      <c r="M224" s="24"/>
      <c r="N224" s="11"/>
    </row>
    <row r="225" customFormat="false" ht="15" hidden="false" customHeight="false" outlineLevel="0" collapsed="false">
      <c r="A225" s="23"/>
      <c r="B225" s="24"/>
      <c r="C225" s="31" t="str">
        <f aca="false">IF(A225="","",SUBSTITUTE(SUBSTITUTE(SUBSTITUTE(SUBSTITUTE(SUBSTITUTE(SUBSTITUTE(SUBSTITUTE(SUBSTITUTE(SUBSTITUTE(SUBSTITUTE(SUBSTITUTE(SUBSTITUTE(SUBSTITUTE(UPPER(TRIM(A225)),"Á","A"),"À","A"),"Â","A"),"Ã","A"),"É","E"),"Ê","E"),"Í","I"),"Ó","O"),"Ô","O"),"Õ","O"),"Ú","U"),"Ü","U"),"Ç","C"))</f>
        <v/>
      </c>
      <c r="D225" s="31" t="str">
        <f aca="false">IF(B225="","",IF(LEN(SUBSTITUTE(SUBSTITUTE(SUBSTITUTE(SUBSTITUTE(TRIM(B225),"*",""),".",""),"-","")," ",""))=11,MID(SUBSTITUTE(SUBSTITUTE(SUBSTITUTE(SUBSTITUTE(TRIM(B225),"*",""),".",""),"-","")," ",""),4,6),SUBSTITUTE(SUBSTITUTE(SUBSTITUTE(SUBSTITUTE(TRIM(B225),"*",""),".",""),"-","")," ","")))</f>
        <v/>
      </c>
      <c r="E225" s="31" t="str">
        <f aca="false">IF(OR(C225="",D225=""),"",C225&amp;"|"&amp;D225)</f>
        <v/>
      </c>
      <c r="F225" s="11"/>
      <c r="G225" s="11"/>
      <c r="H225" s="22"/>
      <c r="I225" s="23"/>
      <c r="J225" s="11"/>
      <c r="K225" s="25" t="str">
        <f aca="false">IF(C225="","",IF(E225&lt;&gt;"",COUNTIF(Socios!$H:$H,E225),IF(COUNTIF(Socios!$F:$F,C225)&gt;0,"nome igual em Socios: confira o CPF","sem CPF: não cruzado")))</f>
        <v/>
      </c>
      <c r="L225" s="27" t="str">
        <f aca="false">IF(E225="","",COUNTIFS(Eleitoral!$K:$K,E225,Eleitoral!$E:$E,"Doação recebida"))</f>
        <v/>
      </c>
      <c r="M225" s="24"/>
      <c r="N225" s="11"/>
    </row>
    <row r="226" customFormat="false" ht="15" hidden="false" customHeight="false" outlineLevel="0" collapsed="false">
      <c r="A226" s="23"/>
      <c r="B226" s="24"/>
      <c r="C226" s="31" t="str">
        <f aca="false">IF(A226="","",SUBSTITUTE(SUBSTITUTE(SUBSTITUTE(SUBSTITUTE(SUBSTITUTE(SUBSTITUTE(SUBSTITUTE(SUBSTITUTE(SUBSTITUTE(SUBSTITUTE(SUBSTITUTE(SUBSTITUTE(SUBSTITUTE(UPPER(TRIM(A226)),"Á","A"),"À","A"),"Â","A"),"Ã","A"),"É","E"),"Ê","E"),"Í","I"),"Ó","O"),"Ô","O"),"Õ","O"),"Ú","U"),"Ü","U"),"Ç","C"))</f>
        <v/>
      </c>
      <c r="D226" s="31" t="str">
        <f aca="false">IF(B226="","",IF(LEN(SUBSTITUTE(SUBSTITUTE(SUBSTITUTE(SUBSTITUTE(TRIM(B226),"*",""),".",""),"-","")," ",""))=11,MID(SUBSTITUTE(SUBSTITUTE(SUBSTITUTE(SUBSTITUTE(TRIM(B226),"*",""),".",""),"-","")," ",""),4,6),SUBSTITUTE(SUBSTITUTE(SUBSTITUTE(SUBSTITUTE(TRIM(B226),"*",""),".",""),"-","")," ","")))</f>
        <v/>
      </c>
      <c r="E226" s="31" t="str">
        <f aca="false">IF(OR(C226="",D226=""),"",C226&amp;"|"&amp;D226)</f>
        <v/>
      </c>
      <c r="F226" s="11"/>
      <c r="G226" s="11"/>
      <c r="H226" s="22"/>
      <c r="I226" s="23"/>
      <c r="J226" s="11"/>
      <c r="K226" s="25" t="str">
        <f aca="false">IF(C226="","",IF(E226&lt;&gt;"",COUNTIF(Socios!$H:$H,E226),IF(COUNTIF(Socios!$F:$F,C226)&gt;0,"nome igual em Socios: confira o CPF","sem CPF: não cruzado")))</f>
        <v/>
      </c>
      <c r="L226" s="27" t="str">
        <f aca="false">IF(E226="","",COUNTIFS(Eleitoral!$K:$K,E226,Eleitoral!$E:$E,"Doação recebida"))</f>
        <v/>
      </c>
      <c r="M226" s="24"/>
      <c r="N226" s="11"/>
    </row>
    <row r="227" customFormat="false" ht="15" hidden="false" customHeight="false" outlineLevel="0" collapsed="false">
      <c r="A227" s="23"/>
      <c r="B227" s="24"/>
      <c r="C227" s="31" t="str">
        <f aca="false">IF(A227="","",SUBSTITUTE(SUBSTITUTE(SUBSTITUTE(SUBSTITUTE(SUBSTITUTE(SUBSTITUTE(SUBSTITUTE(SUBSTITUTE(SUBSTITUTE(SUBSTITUTE(SUBSTITUTE(SUBSTITUTE(SUBSTITUTE(UPPER(TRIM(A227)),"Á","A"),"À","A"),"Â","A"),"Ã","A"),"É","E"),"Ê","E"),"Í","I"),"Ó","O"),"Ô","O"),"Õ","O"),"Ú","U"),"Ü","U"),"Ç","C"))</f>
        <v/>
      </c>
      <c r="D227" s="31" t="str">
        <f aca="false">IF(B227="","",IF(LEN(SUBSTITUTE(SUBSTITUTE(SUBSTITUTE(SUBSTITUTE(TRIM(B227),"*",""),".",""),"-","")," ",""))=11,MID(SUBSTITUTE(SUBSTITUTE(SUBSTITUTE(SUBSTITUTE(TRIM(B227),"*",""),".",""),"-","")," ",""),4,6),SUBSTITUTE(SUBSTITUTE(SUBSTITUTE(SUBSTITUTE(TRIM(B227),"*",""),".",""),"-","")," ","")))</f>
        <v/>
      </c>
      <c r="E227" s="31" t="str">
        <f aca="false">IF(OR(C227="",D227=""),"",C227&amp;"|"&amp;D227)</f>
        <v/>
      </c>
      <c r="F227" s="11"/>
      <c r="G227" s="11"/>
      <c r="H227" s="22"/>
      <c r="I227" s="23"/>
      <c r="J227" s="11"/>
      <c r="K227" s="25" t="str">
        <f aca="false">IF(C227="","",IF(E227&lt;&gt;"",COUNTIF(Socios!$H:$H,E227),IF(COUNTIF(Socios!$F:$F,C227)&gt;0,"nome igual em Socios: confira o CPF","sem CPF: não cruzado")))</f>
        <v/>
      </c>
      <c r="L227" s="27" t="str">
        <f aca="false">IF(E227="","",COUNTIFS(Eleitoral!$K:$K,E227,Eleitoral!$E:$E,"Doação recebida"))</f>
        <v/>
      </c>
      <c r="M227" s="24"/>
      <c r="N227" s="11"/>
    </row>
    <row r="228" customFormat="false" ht="15" hidden="false" customHeight="false" outlineLevel="0" collapsed="false">
      <c r="A228" s="23"/>
      <c r="B228" s="24"/>
      <c r="C228" s="31" t="str">
        <f aca="false">IF(A228="","",SUBSTITUTE(SUBSTITUTE(SUBSTITUTE(SUBSTITUTE(SUBSTITUTE(SUBSTITUTE(SUBSTITUTE(SUBSTITUTE(SUBSTITUTE(SUBSTITUTE(SUBSTITUTE(SUBSTITUTE(SUBSTITUTE(UPPER(TRIM(A228)),"Á","A"),"À","A"),"Â","A"),"Ã","A"),"É","E"),"Ê","E"),"Í","I"),"Ó","O"),"Ô","O"),"Õ","O"),"Ú","U"),"Ü","U"),"Ç","C"))</f>
        <v/>
      </c>
      <c r="D228" s="31" t="str">
        <f aca="false">IF(B228="","",IF(LEN(SUBSTITUTE(SUBSTITUTE(SUBSTITUTE(SUBSTITUTE(TRIM(B228),"*",""),".",""),"-","")," ",""))=11,MID(SUBSTITUTE(SUBSTITUTE(SUBSTITUTE(SUBSTITUTE(TRIM(B228),"*",""),".",""),"-","")," ",""),4,6),SUBSTITUTE(SUBSTITUTE(SUBSTITUTE(SUBSTITUTE(TRIM(B228),"*",""),".",""),"-","")," ","")))</f>
        <v/>
      </c>
      <c r="E228" s="31" t="str">
        <f aca="false">IF(OR(C228="",D228=""),"",C228&amp;"|"&amp;D228)</f>
        <v/>
      </c>
      <c r="F228" s="11"/>
      <c r="G228" s="11"/>
      <c r="H228" s="22"/>
      <c r="I228" s="23"/>
      <c r="J228" s="11"/>
      <c r="K228" s="25" t="str">
        <f aca="false">IF(C228="","",IF(E228&lt;&gt;"",COUNTIF(Socios!$H:$H,E228),IF(COUNTIF(Socios!$F:$F,C228)&gt;0,"nome igual em Socios: confira o CPF","sem CPF: não cruzado")))</f>
        <v/>
      </c>
      <c r="L228" s="27" t="str">
        <f aca="false">IF(E228="","",COUNTIFS(Eleitoral!$K:$K,E228,Eleitoral!$E:$E,"Doação recebida"))</f>
        <v/>
      </c>
      <c r="M228" s="24"/>
      <c r="N228" s="11"/>
    </row>
    <row r="229" customFormat="false" ht="15" hidden="false" customHeight="false" outlineLevel="0" collapsed="false">
      <c r="A229" s="23"/>
      <c r="B229" s="24"/>
      <c r="C229" s="31" t="str">
        <f aca="false">IF(A229="","",SUBSTITUTE(SUBSTITUTE(SUBSTITUTE(SUBSTITUTE(SUBSTITUTE(SUBSTITUTE(SUBSTITUTE(SUBSTITUTE(SUBSTITUTE(SUBSTITUTE(SUBSTITUTE(SUBSTITUTE(SUBSTITUTE(UPPER(TRIM(A229)),"Á","A"),"À","A"),"Â","A"),"Ã","A"),"É","E"),"Ê","E"),"Í","I"),"Ó","O"),"Ô","O"),"Õ","O"),"Ú","U"),"Ü","U"),"Ç","C"))</f>
        <v/>
      </c>
      <c r="D229" s="31" t="str">
        <f aca="false">IF(B229="","",IF(LEN(SUBSTITUTE(SUBSTITUTE(SUBSTITUTE(SUBSTITUTE(TRIM(B229),"*",""),".",""),"-","")," ",""))=11,MID(SUBSTITUTE(SUBSTITUTE(SUBSTITUTE(SUBSTITUTE(TRIM(B229),"*",""),".",""),"-","")," ",""),4,6),SUBSTITUTE(SUBSTITUTE(SUBSTITUTE(SUBSTITUTE(TRIM(B229),"*",""),".",""),"-","")," ","")))</f>
        <v/>
      </c>
      <c r="E229" s="31" t="str">
        <f aca="false">IF(OR(C229="",D229=""),"",C229&amp;"|"&amp;D229)</f>
        <v/>
      </c>
      <c r="F229" s="11"/>
      <c r="G229" s="11"/>
      <c r="H229" s="22"/>
      <c r="I229" s="23"/>
      <c r="J229" s="11"/>
      <c r="K229" s="25" t="str">
        <f aca="false">IF(C229="","",IF(E229&lt;&gt;"",COUNTIF(Socios!$H:$H,E229),IF(COUNTIF(Socios!$F:$F,C229)&gt;0,"nome igual em Socios: confira o CPF","sem CPF: não cruzado")))</f>
        <v/>
      </c>
      <c r="L229" s="27" t="str">
        <f aca="false">IF(E229="","",COUNTIFS(Eleitoral!$K:$K,E229,Eleitoral!$E:$E,"Doação recebida"))</f>
        <v/>
      </c>
      <c r="M229" s="24"/>
      <c r="N229" s="11"/>
    </row>
    <row r="230" customFormat="false" ht="15" hidden="false" customHeight="false" outlineLevel="0" collapsed="false">
      <c r="A230" s="23"/>
      <c r="B230" s="24"/>
      <c r="C230" s="31" t="str">
        <f aca="false">IF(A230="","",SUBSTITUTE(SUBSTITUTE(SUBSTITUTE(SUBSTITUTE(SUBSTITUTE(SUBSTITUTE(SUBSTITUTE(SUBSTITUTE(SUBSTITUTE(SUBSTITUTE(SUBSTITUTE(SUBSTITUTE(SUBSTITUTE(UPPER(TRIM(A230)),"Á","A"),"À","A"),"Â","A"),"Ã","A"),"É","E"),"Ê","E"),"Í","I"),"Ó","O"),"Ô","O"),"Õ","O"),"Ú","U"),"Ü","U"),"Ç","C"))</f>
        <v/>
      </c>
      <c r="D230" s="31" t="str">
        <f aca="false">IF(B230="","",IF(LEN(SUBSTITUTE(SUBSTITUTE(SUBSTITUTE(SUBSTITUTE(TRIM(B230),"*",""),".",""),"-","")," ",""))=11,MID(SUBSTITUTE(SUBSTITUTE(SUBSTITUTE(SUBSTITUTE(TRIM(B230),"*",""),".",""),"-","")," ",""),4,6),SUBSTITUTE(SUBSTITUTE(SUBSTITUTE(SUBSTITUTE(TRIM(B230),"*",""),".",""),"-","")," ","")))</f>
        <v/>
      </c>
      <c r="E230" s="31" t="str">
        <f aca="false">IF(OR(C230="",D230=""),"",C230&amp;"|"&amp;D230)</f>
        <v/>
      </c>
      <c r="F230" s="11"/>
      <c r="G230" s="11"/>
      <c r="H230" s="22"/>
      <c r="I230" s="23"/>
      <c r="J230" s="11"/>
      <c r="K230" s="25" t="str">
        <f aca="false">IF(C230="","",IF(E230&lt;&gt;"",COUNTIF(Socios!$H:$H,E230),IF(COUNTIF(Socios!$F:$F,C230)&gt;0,"nome igual em Socios: confira o CPF","sem CPF: não cruzado")))</f>
        <v/>
      </c>
      <c r="L230" s="27" t="str">
        <f aca="false">IF(E230="","",COUNTIFS(Eleitoral!$K:$K,E230,Eleitoral!$E:$E,"Doação recebida"))</f>
        <v/>
      </c>
      <c r="M230" s="24"/>
      <c r="N230" s="11"/>
    </row>
    <row r="231" customFormat="false" ht="15" hidden="false" customHeight="false" outlineLevel="0" collapsed="false">
      <c r="A231" s="23"/>
      <c r="B231" s="24"/>
      <c r="C231" s="31" t="str">
        <f aca="false">IF(A231="","",SUBSTITUTE(SUBSTITUTE(SUBSTITUTE(SUBSTITUTE(SUBSTITUTE(SUBSTITUTE(SUBSTITUTE(SUBSTITUTE(SUBSTITUTE(SUBSTITUTE(SUBSTITUTE(SUBSTITUTE(SUBSTITUTE(UPPER(TRIM(A231)),"Á","A"),"À","A"),"Â","A"),"Ã","A"),"É","E"),"Ê","E"),"Í","I"),"Ó","O"),"Ô","O"),"Õ","O"),"Ú","U"),"Ü","U"),"Ç","C"))</f>
        <v/>
      </c>
      <c r="D231" s="31" t="str">
        <f aca="false">IF(B231="","",IF(LEN(SUBSTITUTE(SUBSTITUTE(SUBSTITUTE(SUBSTITUTE(TRIM(B231),"*",""),".",""),"-","")," ",""))=11,MID(SUBSTITUTE(SUBSTITUTE(SUBSTITUTE(SUBSTITUTE(TRIM(B231),"*",""),".",""),"-","")," ",""),4,6),SUBSTITUTE(SUBSTITUTE(SUBSTITUTE(SUBSTITUTE(TRIM(B231),"*",""),".",""),"-","")," ","")))</f>
        <v/>
      </c>
      <c r="E231" s="31" t="str">
        <f aca="false">IF(OR(C231="",D231=""),"",C231&amp;"|"&amp;D231)</f>
        <v/>
      </c>
      <c r="F231" s="11"/>
      <c r="G231" s="11"/>
      <c r="H231" s="22"/>
      <c r="I231" s="23"/>
      <c r="J231" s="11"/>
      <c r="K231" s="25" t="str">
        <f aca="false">IF(C231="","",IF(E231&lt;&gt;"",COUNTIF(Socios!$H:$H,E231),IF(COUNTIF(Socios!$F:$F,C231)&gt;0,"nome igual em Socios: confira o CPF","sem CPF: não cruzado")))</f>
        <v/>
      </c>
      <c r="L231" s="27" t="str">
        <f aca="false">IF(E231="","",COUNTIFS(Eleitoral!$K:$K,E231,Eleitoral!$E:$E,"Doação recebida"))</f>
        <v/>
      </c>
      <c r="M231" s="24"/>
      <c r="N231" s="11"/>
    </row>
    <row r="232" customFormat="false" ht="15" hidden="false" customHeight="false" outlineLevel="0" collapsed="false">
      <c r="A232" s="23"/>
      <c r="B232" s="24"/>
      <c r="C232" s="31" t="str">
        <f aca="false">IF(A232="","",SUBSTITUTE(SUBSTITUTE(SUBSTITUTE(SUBSTITUTE(SUBSTITUTE(SUBSTITUTE(SUBSTITUTE(SUBSTITUTE(SUBSTITUTE(SUBSTITUTE(SUBSTITUTE(SUBSTITUTE(SUBSTITUTE(UPPER(TRIM(A232)),"Á","A"),"À","A"),"Â","A"),"Ã","A"),"É","E"),"Ê","E"),"Í","I"),"Ó","O"),"Ô","O"),"Õ","O"),"Ú","U"),"Ü","U"),"Ç","C"))</f>
        <v/>
      </c>
      <c r="D232" s="31" t="str">
        <f aca="false">IF(B232="","",IF(LEN(SUBSTITUTE(SUBSTITUTE(SUBSTITUTE(SUBSTITUTE(TRIM(B232),"*",""),".",""),"-","")," ",""))=11,MID(SUBSTITUTE(SUBSTITUTE(SUBSTITUTE(SUBSTITUTE(TRIM(B232),"*",""),".",""),"-","")," ",""),4,6),SUBSTITUTE(SUBSTITUTE(SUBSTITUTE(SUBSTITUTE(TRIM(B232),"*",""),".",""),"-","")," ","")))</f>
        <v/>
      </c>
      <c r="E232" s="31" t="str">
        <f aca="false">IF(OR(C232="",D232=""),"",C232&amp;"|"&amp;D232)</f>
        <v/>
      </c>
      <c r="F232" s="11"/>
      <c r="G232" s="11"/>
      <c r="H232" s="22"/>
      <c r="I232" s="23"/>
      <c r="J232" s="11"/>
      <c r="K232" s="25" t="str">
        <f aca="false">IF(C232="","",IF(E232&lt;&gt;"",COUNTIF(Socios!$H:$H,E232),IF(COUNTIF(Socios!$F:$F,C232)&gt;0,"nome igual em Socios: confira o CPF","sem CPF: não cruzado")))</f>
        <v/>
      </c>
      <c r="L232" s="27" t="str">
        <f aca="false">IF(E232="","",COUNTIFS(Eleitoral!$K:$K,E232,Eleitoral!$E:$E,"Doação recebida"))</f>
        <v/>
      </c>
      <c r="M232" s="24"/>
      <c r="N232" s="11"/>
    </row>
    <row r="233" customFormat="false" ht="15" hidden="false" customHeight="false" outlineLevel="0" collapsed="false">
      <c r="A233" s="23"/>
      <c r="B233" s="24"/>
      <c r="C233" s="31" t="str">
        <f aca="false">IF(A233="","",SUBSTITUTE(SUBSTITUTE(SUBSTITUTE(SUBSTITUTE(SUBSTITUTE(SUBSTITUTE(SUBSTITUTE(SUBSTITUTE(SUBSTITUTE(SUBSTITUTE(SUBSTITUTE(SUBSTITUTE(SUBSTITUTE(UPPER(TRIM(A233)),"Á","A"),"À","A"),"Â","A"),"Ã","A"),"É","E"),"Ê","E"),"Í","I"),"Ó","O"),"Ô","O"),"Õ","O"),"Ú","U"),"Ü","U"),"Ç","C"))</f>
        <v/>
      </c>
      <c r="D233" s="31" t="str">
        <f aca="false">IF(B233="","",IF(LEN(SUBSTITUTE(SUBSTITUTE(SUBSTITUTE(SUBSTITUTE(TRIM(B233),"*",""),".",""),"-","")," ",""))=11,MID(SUBSTITUTE(SUBSTITUTE(SUBSTITUTE(SUBSTITUTE(TRIM(B233),"*",""),".",""),"-","")," ",""),4,6),SUBSTITUTE(SUBSTITUTE(SUBSTITUTE(SUBSTITUTE(TRIM(B233),"*",""),".",""),"-","")," ","")))</f>
        <v/>
      </c>
      <c r="E233" s="31" t="str">
        <f aca="false">IF(OR(C233="",D233=""),"",C233&amp;"|"&amp;D233)</f>
        <v/>
      </c>
      <c r="F233" s="11"/>
      <c r="G233" s="11"/>
      <c r="H233" s="22"/>
      <c r="I233" s="23"/>
      <c r="J233" s="11"/>
      <c r="K233" s="25" t="str">
        <f aca="false">IF(C233="","",IF(E233&lt;&gt;"",COUNTIF(Socios!$H:$H,E233),IF(COUNTIF(Socios!$F:$F,C233)&gt;0,"nome igual em Socios: confira o CPF","sem CPF: não cruzado")))</f>
        <v/>
      </c>
      <c r="L233" s="27" t="str">
        <f aca="false">IF(E233="","",COUNTIFS(Eleitoral!$K:$K,E233,Eleitoral!$E:$E,"Doação recebida"))</f>
        <v/>
      </c>
      <c r="M233" s="24"/>
      <c r="N233" s="11"/>
    </row>
    <row r="234" customFormat="false" ht="15" hidden="false" customHeight="false" outlineLevel="0" collapsed="false">
      <c r="A234" s="23"/>
      <c r="B234" s="24"/>
      <c r="C234" s="31" t="str">
        <f aca="false">IF(A234="","",SUBSTITUTE(SUBSTITUTE(SUBSTITUTE(SUBSTITUTE(SUBSTITUTE(SUBSTITUTE(SUBSTITUTE(SUBSTITUTE(SUBSTITUTE(SUBSTITUTE(SUBSTITUTE(SUBSTITUTE(SUBSTITUTE(UPPER(TRIM(A234)),"Á","A"),"À","A"),"Â","A"),"Ã","A"),"É","E"),"Ê","E"),"Í","I"),"Ó","O"),"Ô","O"),"Õ","O"),"Ú","U"),"Ü","U"),"Ç","C"))</f>
        <v/>
      </c>
      <c r="D234" s="31" t="str">
        <f aca="false">IF(B234="","",IF(LEN(SUBSTITUTE(SUBSTITUTE(SUBSTITUTE(SUBSTITUTE(TRIM(B234),"*",""),".",""),"-","")," ",""))=11,MID(SUBSTITUTE(SUBSTITUTE(SUBSTITUTE(SUBSTITUTE(TRIM(B234),"*",""),".",""),"-","")," ",""),4,6),SUBSTITUTE(SUBSTITUTE(SUBSTITUTE(SUBSTITUTE(TRIM(B234),"*",""),".",""),"-","")," ","")))</f>
        <v/>
      </c>
      <c r="E234" s="31" t="str">
        <f aca="false">IF(OR(C234="",D234=""),"",C234&amp;"|"&amp;D234)</f>
        <v/>
      </c>
      <c r="F234" s="11"/>
      <c r="G234" s="11"/>
      <c r="H234" s="22"/>
      <c r="I234" s="23"/>
      <c r="J234" s="11"/>
      <c r="K234" s="25" t="str">
        <f aca="false">IF(C234="","",IF(E234&lt;&gt;"",COUNTIF(Socios!$H:$H,E234),IF(COUNTIF(Socios!$F:$F,C234)&gt;0,"nome igual em Socios: confira o CPF","sem CPF: não cruzado")))</f>
        <v/>
      </c>
      <c r="L234" s="27" t="str">
        <f aca="false">IF(E234="","",COUNTIFS(Eleitoral!$K:$K,E234,Eleitoral!$E:$E,"Doação recebida"))</f>
        <v/>
      </c>
      <c r="M234" s="24"/>
      <c r="N234" s="11"/>
    </row>
    <row r="235" customFormat="false" ht="15" hidden="false" customHeight="false" outlineLevel="0" collapsed="false">
      <c r="A235" s="23"/>
      <c r="B235" s="24"/>
      <c r="C235" s="31" t="str">
        <f aca="false">IF(A235="","",SUBSTITUTE(SUBSTITUTE(SUBSTITUTE(SUBSTITUTE(SUBSTITUTE(SUBSTITUTE(SUBSTITUTE(SUBSTITUTE(SUBSTITUTE(SUBSTITUTE(SUBSTITUTE(SUBSTITUTE(SUBSTITUTE(UPPER(TRIM(A235)),"Á","A"),"À","A"),"Â","A"),"Ã","A"),"É","E"),"Ê","E"),"Í","I"),"Ó","O"),"Ô","O"),"Õ","O"),"Ú","U"),"Ü","U"),"Ç","C"))</f>
        <v/>
      </c>
      <c r="D235" s="31" t="str">
        <f aca="false">IF(B235="","",IF(LEN(SUBSTITUTE(SUBSTITUTE(SUBSTITUTE(SUBSTITUTE(TRIM(B235),"*",""),".",""),"-","")," ",""))=11,MID(SUBSTITUTE(SUBSTITUTE(SUBSTITUTE(SUBSTITUTE(TRIM(B235),"*",""),".",""),"-","")," ",""),4,6),SUBSTITUTE(SUBSTITUTE(SUBSTITUTE(SUBSTITUTE(TRIM(B235),"*",""),".",""),"-","")," ","")))</f>
        <v/>
      </c>
      <c r="E235" s="31" t="str">
        <f aca="false">IF(OR(C235="",D235=""),"",C235&amp;"|"&amp;D235)</f>
        <v/>
      </c>
      <c r="F235" s="11"/>
      <c r="G235" s="11"/>
      <c r="H235" s="22"/>
      <c r="I235" s="23"/>
      <c r="J235" s="11"/>
      <c r="K235" s="25" t="str">
        <f aca="false">IF(C235="","",IF(E235&lt;&gt;"",COUNTIF(Socios!$H:$H,E235),IF(COUNTIF(Socios!$F:$F,C235)&gt;0,"nome igual em Socios: confira o CPF","sem CPF: não cruzado")))</f>
        <v/>
      </c>
      <c r="L235" s="27" t="str">
        <f aca="false">IF(E235="","",COUNTIFS(Eleitoral!$K:$K,E235,Eleitoral!$E:$E,"Doação recebida"))</f>
        <v/>
      </c>
      <c r="M235" s="24"/>
      <c r="N235" s="11"/>
    </row>
    <row r="236" customFormat="false" ht="15" hidden="false" customHeight="false" outlineLevel="0" collapsed="false">
      <c r="A236" s="23"/>
      <c r="B236" s="24"/>
      <c r="C236" s="31" t="str">
        <f aca="false">IF(A236="","",SUBSTITUTE(SUBSTITUTE(SUBSTITUTE(SUBSTITUTE(SUBSTITUTE(SUBSTITUTE(SUBSTITUTE(SUBSTITUTE(SUBSTITUTE(SUBSTITUTE(SUBSTITUTE(SUBSTITUTE(SUBSTITUTE(UPPER(TRIM(A236)),"Á","A"),"À","A"),"Â","A"),"Ã","A"),"É","E"),"Ê","E"),"Í","I"),"Ó","O"),"Ô","O"),"Õ","O"),"Ú","U"),"Ü","U"),"Ç","C"))</f>
        <v/>
      </c>
      <c r="D236" s="31" t="str">
        <f aca="false">IF(B236="","",IF(LEN(SUBSTITUTE(SUBSTITUTE(SUBSTITUTE(SUBSTITUTE(TRIM(B236),"*",""),".",""),"-","")," ",""))=11,MID(SUBSTITUTE(SUBSTITUTE(SUBSTITUTE(SUBSTITUTE(TRIM(B236),"*",""),".",""),"-","")," ",""),4,6),SUBSTITUTE(SUBSTITUTE(SUBSTITUTE(SUBSTITUTE(TRIM(B236),"*",""),".",""),"-","")," ","")))</f>
        <v/>
      </c>
      <c r="E236" s="31" t="str">
        <f aca="false">IF(OR(C236="",D236=""),"",C236&amp;"|"&amp;D236)</f>
        <v/>
      </c>
      <c r="F236" s="11"/>
      <c r="G236" s="11"/>
      <c r="H236" s="22"/>
      <c r="I236" s="23"/>
      <c r="J236" s="11"/>
      <c r="K236" s="25" t="str">
        <f aca="false">IF(C236="","",IF(E236&lt;&gt;"",COUNTIF(Socios!$H:$H,E236),IF(COUNTIF(Socios!$F:$F,C236)&gt;0,"nome igual em Socios: confira o CPF","sem CPF: não cruzado")))</f>
        <v/>
      </c>
      <c r="L236" s="27" t="str">
        <f aca="false">IF(E236="","",COUNTIFS(Eleitoral!$K:$K,E236,Eleitoral!$E:$E,"Doação recebida"))</f>
        <v/>
      </c>
      <c r="M236" s="24"/>
      <c r="N236" s="11"/>
    </row>
    <row r="237" customFormat="false" ht="15" hidden="false" customHeight="false" outlineLevel="0" collapsed="false">
      <c r="A237" s="23"/>
      <c r="B237" s="24"/>
      <c r="C237" s="31" t="str">
        <f aca="false">IF(A237="","",SUBSTITUTE(SUBSTITUTE(SUBSTITUTE(SUBSTITUTE(SUBSTITUTE(SUBSTITUTE(SUBSTITUTE(SUBSTITUTE(SUBSTITUTE(SUBSTITUTE(SUBSTITUTE(SUBSTITUTE(SUBSTITUTE(UPPER(TRIM(A237)),"Á","A"),"À","A"),"Â","A"),"Ã","A"),"É","E"),"Ê","E"),"Í","I"),"Ó","O"),"Ô","O"),"Õ","O"),"Ú","U"),"Ü","U"),"Ç","C"))</f>
        <v/>
      </c>
      <c r="D237" s="31" t="str">
        <f aca="false">IF(B237="","",IF(LEN(SUBSTITUTE(SUBSTITUTE(SUBSTITUTE(SUBSTITUTE(TRIM(B237),"*",""),".",""),"-","")," ",""))=11,MID(SUBSTITUTE(SUBSTITUTE(SUBSTITUTE(SUBSTITUTE(TRIM(B237),"*",""),".",""),"-","")," ",""),4,6),SUBSTITUTE(SUBSTITUTE(SUBSTITUTE(SUBSTITUTE(TRIM(B237),"*",""),".",""),"-","")," ","")))</f>
        <v/>
      </c>
      <c r="E237" s="31" t="str">
        <f aca="false">IF(OR(C237="",D237=""),"",C237&amp;"|"&amp;D237)</f>
        <v/>
      </c>
      <c r="F237" s="11"/>
      <c r="G237" s="11"/>
      <c r="H237" s="22"/>
      <c r="I237" s="23"/>
      <c r="J237" s="11"/>
      <c r="K237" s="25" t="str">
        <f aca="false">IF(C237="","",IF(E237&lt;&gt;"",COUNTIF(Socios!$H:$H,E237),IF(COUNTIF(Socios!$F:$F,C237)&gt;0,"nome igual em Socios: confira o CPF","sem CPF: não cruzado")))</f>
        <v/>
      </c>
      <c r="L237" s="27" t="str">
        <f aca="false">IF(E237="","",COUNTIFS(Eleitoral!$K:$K,E237,Eleitoral!$E:$E,"Doação recebida"))</f>
        <v/>
      </c>
      <c r="M237" s="24"/>
      <c r="N237" s="11"/>
    </row>
    <row r="238" customFormat="false" ht="15" hidden="false" customHeight="false" outlineLevel="0" collapsed="false">
      <c r="A238" s="23"/>
      <c r="B238" s="24"/>
      <c r="C238" s="31" t="str">
        <f aca="false">IF(A238="","",SUBSTITUTE(SUBSTITUTE(SUBSTITUTE(SUBSTITUTE(SUBSTITUTE(SUBSTITUTE(SUBSTITUTE(SUBSTITUTE(SUBSTITUTE(SUBSTITUTE(SUBSTITUTE(SUBSTITUTE(SUBSTITUTE(UPPER(TRIM(A238)),"Á","A"),"À","A"),"Â","A"),"Ã","A"),"É","E"),"Ê","E"),"Í","I"),"Ó","O"),"Ô","O"),"Õ","O"),"Ú","U"),"Ü","U"),"Ç","C"))</f>
        <v/>
      </c>
      <c r="D238" s="31" t="str">
        <f aca="false">IF(B238="","",IF(LEN(SUBSTITUTE(SUBSTITUTE(SUBSTITUTE(SUBSTITUTE(TRIM(B238),"*",""),".",""),"-","")," ",""))=11,MID(SUBSTITUTE(SUBSTITUTE(SUBSTITUTE(SUBSTITUTE(TRIM(B238),"*",""),".",""),"-","")," ",""),4,6),SUBSTITUTE(SUBSTITUTE(SUBSTITUTE(SUBSTITUTE(TRIM(B238),"*",""),".",""),"-","")," ","")))</f>
        <v/>
      </c>
      <c r="E238" s="31" t="str">
        <f aca="false">IF(OR(C238="",D238=""),"",C238&amp;"|"&amp;D238)</f>
        <v/>
      </c>
      <c r="F238" s="11"/>
      <c r="G238" s="11"/>
      <c r="H238" s="22"/>
      <c r="I238" s="23"/>
      <c r="J238" s="11"/>
      <c r="K238" s="25" t="str">
        <f aca="false">IF(C238="","",IF(E238&lt;&gt;"",COUNTIF(Socios!$H:$H,E238),IF(COUNTIF(Socios!$F:$F,C238)&gt;0,"nome igual em Socios: confira o CPF","sem CPF: não cruzado")))</f>
        <v/>
      </c>
      <c r="L238" s="27" t="str">
        <f aca="false">IF(E238="","",COUNTIFS(Eleitoral!$K:$K,E238,Eleitoral!$E:$E,"Doação recebida"))</f>
        <v/>
      </c>
      <c r="M238" s="24"/>
      <c r="N238" s="11"/>
    </row>
    <row r="239" customFormat="false" ht="15" hidden="false" customHeight="false" outlineLevel="0" collapsed="false">
      <c r="A239" s="23"/>
      <c r="B239" s="24"/>
      <c r="C239" s="31" t="str">
        <f aca="false">IF(A239="","",SUBSTITUTE(SUBSTITUTE(SUBSTITUTE(SUBSTITUTE(SUBSTITUTE(SUBSTITUTE(SUBSTITUTE(SUBSTITUTE(SUBSTITUTE(SUBSTITUTE(SUBSTITUTE(SUBSTITUTE(SUBSTITUTE(UPPER(TRIM(A239)),"Á","A"),"À","A"),"Â","A"),"Ã","A"),"É","E"),"Ê","E"),"Í","I"),"Ó","O"),"Ô","O"),"Õ","O"),"Ú","U"),"Ü","U"),"Ç","C"))</f>
        <v/>
      </c>
      <c r="D239" s="31" t="str">
        <f aca="false">IF(B239="","",IF(LEN(SUBSTITUTE(SUBSTITUTE(SUBSTITUTE(SUBSTITUTE(TRIM(B239),"*",""),".",""),"-","")," ",""))=11,MID(SUBSTITUTE(SUBSTITUTE(SUBSTITUTE(SUBSTITUTE(TRIM(B239),"*",""),".",""),"-","")," ",""),4,6),SUBSTITUTE(SUBSTITUTE(SUBSTITUTE(SUBSTITUTE(TRIM(B239),"*",""),".",""),"-","")," ","")))</f>
        <v/>
      </c>
      <c r="E239" s="31" t="str">
        <f aca="false">IF(OR(C239="",D239=""),"",C239&amp;"|"&amp;D239)</f>
        <v/>
      </c>
      <c r="F239" s="11"/>
      <c r="G239" s="11"/>
      <c r="H239" s="22"/>
      <c r="I239" s="23"/>
      <c r="J239" s="11"/>
      <c r="K239" s="25" t="str">
        <f aca="false">IF(C239="","",IF(E239&lt;&gt;"",COUNTIF(Socios!$H:$H,E239),IF(COUNTIF(Socios!$F:$F,C239)&gt;0,"nome igual em Socios: confira o CPF","sem CPF: não cruzado")))</f>
        <v/>
      </c>
      <c r="L239" s="27" t="str">
        <f aca="false">IF(E239="","",COUNTIFS(Eleitoral!$K:$K,E239,Eleitoral!$E:$E,"Doação recebida"))</f>
        <v/>
      </c>
      <c r="M239" s="24"/>
      <c r="N239" s="11"/>
    </row>
    <row r="240" customFormat="false" ht="15" hidden="false" customHeight="false" outlineLevel="0" collapsed="false">
      <c r="A240" s="23"/>
      <c r="B240" s="24"/>
      <c r="C240" s="31" t="str">
        <f aca="false">IF(A240="","",SUBSTITUTE(SUBSTITUTE(SUBSTITUTE(SUBSTITUTE(SUBSTITUTE(SUBSTITUTE(SUBSTITUTE(SUBSTITUTE(SUBSTITUTE(SUBSTITUTE(SUBSTITUTE(SUBSTITUTE(SUBSTITUTE(UPPER(TRIM(A240)),"Á","A"),"À","A"),"Â","A"),"Ã","A"),"É","E"),"Ê","E"),"Í","I"),"Ó","O"),"Ô","O"),"Õ","O"),"Ú","U"),"Ü","U"),"Ç","C"))</f>
        <v/>
      </c>
      <c r="D240" s="31" t="str">
        <f aca="false">IF(B240="","",IF(LEN(SUBSTITUTE(SUBSTITUTE(SUBSTITUTE(SUBSTITUTE(TRIM(B240),"*",""),".",""),"-","")," ",""))=11,MID(SUBSTITUTE(SUBSTITUTE(SUBSTITUTE(SUBSTITUTE(TRIM(B240),"*",""),".",""),"-","")," ",""),4,6),SUBSTITUTE(SUBSTITUTE(SUBSTITUTE(SUBSTITUTE(TRIM(B240),"*",""),".",""),"-","")," ","")))</f>
        <v/>
      </c>
      <c r="E240" s="31" t="str">
        <f aca="false">IF(OR(C240="",D240=""),"",C240&amp;"|"&amp;D240)</f>
        <v/>
      </c>
      <c r="F240" s="11"/>
      <c r="G240" s="11"/>
      <c r="H240" s="22"/>
      <c r="I240" s="23"/>
      <c r="J240" s="11"/>
      <c r="K240" s="25" t="str">
        <f aca="false">IF(C240="","",IF(E240&lt;&gt;"",COUNTIF(Socios!$H:$H,E240),IF(COUNTIF(Socios!$F:$F,C240)&gt;0,"nome igual em Socios: confira o CPF","sem CPF: não cruzado")))</f>
        <v/>
      </c>
      <c r="L240" s="27" t="str">
        <f aca="false">IF(E240="","",COUNTIFS(Eleitoral!$K:$K,E240,Eleitoral!$E:$E,"Doação recebida"))</f>
        <v/>
      </c>
      <c r="M240" s="24"/>
      <c r="N240" s="11"/>
    </row>
    <row r="241" customFormat="false" ht="15" hidden="false" customHeight="false" outlineLevel="0" collapsed="false">
      <c r="A241" s="23"/>
      <c r="B241" s="24"/>
      <c r="C241" s="31" t="str">
        <f aca="false">IF(A241="","",SUBSTITUTE(SUBSTITUTE(SUBSTITUTE(SUBSTITUTE(SUBSTITUTE(SUBSTITUTE(SUBSTITUTE(SUBSTITUTE(SUBSTITUTE(SUBSTITUTE(SUBSTITUTE(SUBSTITUTE(SUBSTITUTE(UPPER(TRIM(A241)),"Á","A"),"À","A"),"Â","A"),"Ã","A"),"É","E"),"Ê","E"),"Í","I"),"Ó","O"),"Ô","O"),"Õ","O"),"Ú","U"),"Ü","U"),"Ç","C"))</f>
        <v/>
      </c>
      <c r="D241" s="31" t="str">
        <f aca="false">IF(B241="","",IF(LEN(SUBSTITUTE(SUBSTITUTE(SUBSTITUTE(SUBSTITUTE(TRIM(B241),"*",""),".",""),"-","")," ",""))=11,MID(SUBSTITUTE(SUBSTITUTE(SUBSTITUTE(SUBSTITUTE(TRIM(B241),"*",""),".",""),"-","")," ",""),4,6),SUBSTITUTE(SUBSTITUTE(SUBSTITUTE(SUBSTITUTE(TRIM(B241),"*",""),".",""),"-","")," ","")))</f>
        <v/>
      </c>
      <c r="E241" s="31" t="str">
        <f aca="false">IF(OR(C241="",D241=""),"",C241&amp;"|"&amp;D241)</f>
        <v/>
      </c>
      <c r="F241" s="11"/>
      <c r="G241" s="11"/>
      <c r="H241" s="22"/>
      <c r="I241" s="23"/>
      <c r="J241" s="11"/>
      <c r="K241" s="25" t="str">
        <f aca="false">IF(C241="","",IF(E241&lt;&gt;"",COUNTIF(Socios!$H:$H,E241),IF(COUNTIF(Socios!$F:$F,C241)&gt;0,"nome igual em Socios: confira o CPF","sem CPF: não cruzado")))</f>
        <v/>
      </c>
      <c r="L241" s="27" t="str">
        <f aca="false">IF(E241="","",COUNTIFS(Eleitoral!$K:$K,E241,Eleitoral!$E:$E,"Doação recebida"))</f>
        <v/>
      </c>
      <c r="M241" s="24"/>
      <c r="N241" s="11"/>
    </row>
    <row r="242" customFormat="false" ht="15" hidden="false" customHeight="false" outlineLevel="0" collapsed="false">
      <c r="A242" s="23"/>
      <c r="B242" s="24"/>
      <c r="C242" s="31" t="str">
        <f aca="false">IF(A242="","",SUBSTITUTE(SUBSTITUTE(SUBSTITUTE(SUBSTITUTE(SUBSTITUTE(SUBSTITUTE(SUBSTITUTE(SUBSTITUTE(SUBSTITUTE(SUBSTITUTE(SUBSTITUTE(SUBSTITUTE(SUBSTITUTE(UPPER(TRIM(A242)),"Á","A"),"À","A"),"Â","A"),"Ã","A"),"É","E"),"Ê","E"),"Í","I"),"Ó","O"),"Ô","O"),"Õ","O"),"Ú","U"),"Ü","U"),"Ç","C"))</f>
        <v/>
      </c>
      <c r="D242" s="31" t="str">
        <f aca="false">IF(B242="","",IF(LEN(SUBSTITUTE(SUBSTITUTE(SUBSTITUTE(SUBSTITUTE(TRIM(B242),"*",""),".",""),"-","")," ",""))=11,MID(SUBSTITUTE(SUBSTITUTE(SUBSTITUTE(SUBSTITUTE(TRIM(B242),"*",""),".",""),"-","")," ",""),4,6),SUBSTITUTE(SUBSTITUTE(SUBSTITUTE(SUBSTITUTE(TRIM(B242),"*",""),".",""),"-","")," ","")))</f>
        <v/>
      </c>
      <c r="E242" s="31" t="str">
        <f aca="false">IF(OR(C242="",D242=""),"",C242&amp;"|"&amp;D242)</f>
        <v/>
      </c>
      <c r="F242" s="11"/>
      <c r="G242" s="11"/>
      <c r="H242" s="22"/>
      <c r="I242" s="23"/>
      <c r="J242" s="11"/>
      <c r="K242" s="25" t="str">
        <f aca="false">IF(C242="","",IF(E242&lt;&gt;"",COUNTIF(Socios!$H:$H,E242),IF(COUNTIF(Socios!$F:$F,C242)&gt;0,"nome igual em Socios: confira o CPF","sem CPF: não cruzado")))</f>
        <v/>
      </c>
      <c r="L242" s="27" t="str">
        <f aca="false">IF(E242="","",COUNTIFS(Eleitoral!$K:$K,E242,Eleitoral!$E:$E,"Doação recebida"))</f>
        <v/>
      </c>
      <c r="M242" s="24"/>
      <c r="N242" s="11"/>
    </row>
    <row r="243" customFormat="false" ht="15" hidden="false" customHeight="false" outlineLevel="0" collapsed="false">
      <c r="A243" s="23"/>
      <c r="B243" s="24"/>
      <c r="C243" s="31" t="str">
        <f aca="false">IF(A243="","",SUBSTITUTE(SUBSTITUTE(SUBSTITUTE(SUBSTITUTE(SUBSTITUTE(SUBSTITUTE(SUBSTITUTE(SUBSTITUTE(SUBSTITUTE(SUBSTITUTE(SUBSTITUTE(SUBSTITUTE(SUBSTITUTE(UPPER(TRIM(A243)),"Á","A"),"À","A"),"Â","A"),"Ã","A"),"É","E"),"Ê","E"),"Í","I"),"Ó","O"),"Ô","O"),"Õ","O"),"Ú","U"),"Ü","U"),"Ç","C"))</f>
        <v/>
      </c>
      <c r="D243" s="31" t="str">
        <f aca="false">IF(B243="","",IF(LEN(SUBSTITUTE(SUBSTITUTE(SUBSTITUTE(SUBSTITUTE(TRIM(B243),"*",""),".",""),"-","")," ",""))=11,MID(SUBSTITUTE(SUBSTITUTE(SUBSTITUTE(SUBSTITUTE(TRIM(B243),"*",""),".",""),"-","")," ",""),4,6),SUBSTITUTE(SUBSTITUTE(SUBSTITUTE(SUBSTITUTE(TRIM(B243),"*",""),".",""),"-","")," ","")))</f>
        <v/>
      </c>
      <c r="E243" s="31" t="str">
        <f aca="false">IF(OR(C243="",D243=""),"",C243&amp;"|"&amp;D243)</f>
        <v/>
      </c>
      <c r="F243" s="11"/>
      <c r="G243" s="11"/>
      <c r="H243" s="22"/>
      <c r="I243" s="23"/>
      <c r="J243" s="11"/>
      <c r="K243" s="25" t="str">
        <f aca="false">IF(C243="","",IF(E243&lt;&gt;"",COUNTIF(Socios!$H:$H,E243),IF(COUNTIF(Socios!$F:$F,C243)&gt;0,"nome igual em Socios: confira o CPF","sem CPF: não cruzado")))</f>
        <v/>
      </c>
      <c r="L243" s="27" t="str">
        <f aca="false">IF(E243="","",COUNTIFS(Eleitoral!$K:$K,E243,Eleitoral!$E:$E,"Doação recebida"))</f>
        <v/>
      </c>
      <c r="M243" s="24"/>
      <c r="N243" s="11"/>
    </row>
    <row r="244" customFormat="false" ht="15" hidden="false" customHeight="false" outlineLevel="0" collapsed="false">
      <c r="A244" s="23"/>
      <c r="B244" s="24"/>
      <c r="C244" s="31" t="str">
        <f aca="false">IF(A244="","",SUBSTITUTE(SUBSTITUTE(SUBSTITUTE(SUBSTITUTE(SUBSTITUTE(SUBSTITUTE(SUBSTITUTE(SUBSTITUTE(SUBSTITUTE(SUBSTITUTE(SUBSTITUTE(SUBSTITUTE(SUBSTITUTE(UPPER(TRIM(A244)),"Á","A"),"À","A"),"Â","A"),"Ã","A"),"É","E"),"Ê","E"),"Í","I"),"Ó","O"),"Ô","O"),"Õ","O"),"Ú","U"),"Ü","U"),"Ç","C"))</f>
        <v/>
      </c>
      <c r="D244" s="31" t="str">
        <f aca="false">IF(B244="","",IF(LEN(SUBSTITUTE(SUBSTITUTE(SUBSTITUTE(SUBSTITUTE(TRIM(B244),"*",""),".",""),"-","")," ",""))=11,MID(SUBSTITUTE(SUBSTITUTE(SUBSTITUTE(SUBSTITUTE(TRIM(B244),"*",""),".",""),"-","")," ",""),4,6),SUBSTITUTE(SUBSTITUTE(SUBSTITUTE(SUBSTITUTE(TRIM(B244),"*",""),".",""),"-","")," ","")))</f>
        <v/>
      </c>
      <c r="E244" s="31" t="str">
        <f aca="false">IF(OR(C244="",D244=""),"",C244&amp;"|"&amp;D244)</f>
        <v/>
      </c>
      <c r="F244" s="11"/>
      <c r="G244" s="11"/>
      <c r="H244" s="22"/>
      <c r="I244" s="23"/>
      <c r="J244" s="11"/>
      <c r="K244" s="25" t="str">
        <f aca="false">IF(C244="","",IF(E244&lt;&gt;"",COUNTIF(Socios!$H:$H,E244),IF(COUNTIF(Socios!$F:$F,C244)&gt;0,"nome igual em Socios: confira o CPF","sem CPF: não cruzado")))</f>
        <v/>
      </c>
      <c r="L244" s="27" t="str">
        <f aca="false">IF(E244="","",COUNTIFS(Eleitoral!$K:$K,E244,Eleitoral!$E:$E,"Doação recebida"))</f>
        <v/>
      </c>
      <c r="M244" s="24"/>
      <c r="N244" s="11"/>
    </row>
    <row r="245" customFormat="false" ht="15" hidden="false" customHeight="false" outlineLevel="0" collapsed="false">
      <c r="A245" s="23"/>
      <c r="B245" s="24"/>
      <c r="C245" s="31" t="str">
        <f aca="false">IF(A245="","",SUBSTITUTE(SUBSTITUTE(SUBSTITUTE(SUBSTITUTE(SUBSTITUTE(SUBSTITUTE(SUBSTITUTE(SUBSTITUTE(SUBSTITUTE(SUBSTITUTE(SUBSTITUTE(SUBSTITUTE(SUBSTITUTE(UPPER(TRIM(A245)),"Á","A"),"À","A"),"Â","A"),"Ã","A"),"É","E"),"Ê","E"),"Í","I"),"Ó","O"),"Ô","O"),"Õ","O"),"Ú","U"),"Ü","U"),"Ç","C"))</f>
        <v/>
      </c>
      <c r="D245" s="31" t="str">
        <f aca="false">IF(B245="","",IF(LEN(SUBSTITUTE(SUBSTITUTE(SUBSTITUTE(SUBSTITUTE(TRIM(B245),"*",""),".",""),"-","")," ",""))=11,MID(SUBSTITUTE(SUBSTITUTE(SUBSTITUTE(SUBSTITUTE(TRIM(B245),"*",""),".",""),"-","")," ",""),4,6),SUBSTITUTE(SUBSTITUTE(SUBSTITUTE(SUBSTITUTE(TRIM(B245),"*",""),".",""),"-","")," ","")))</f>
        <v/>
      </c>
      <c r="E245" s="31" t="str">
        <f aca="false">IF(OR(C245="",D245=""),"",C245&amp;"|"&amp;D245)</f>
        <v/>
      </c>
      <c r="F245" s="11"/>
      <c r="G245" s="11"/>
      <c r="H245" s="22"/>
      <c r="I245" s="23"/>
      <c r="J245" s="11"/>
      <c r="K245" s="25" t="str">
        <f aca="false">IF(C245="","",IF(E245&lt;&gt;"",COUNTIF(Socios!$H:$H,E245),IF(COUNTIF(Socios!$F:$F,C245)&gt;0,"nome igual em Socios: confira o CPF","sem CPF: não cruzado")))</f>
        <v/>
      </c>
      <c r="L245" s="27" t="str">
        <f aca="false">IF(E245="","",COUNTIFS(Eleitoral!$K:$K,E245,Eleitoral!$E:$E,"Doação recebida"))</f>
        <v/>
      </c>
      <c r="M245" s="24"/>
      <c r="N245" s="11"/>
    </row>
    <row r="246" customFormat="false" ht="15" hidden="false" customHeight="false" outlineLevel="0" collapsed="false">
      <c r="A246" s="23"/>
      <c r="B246" s="24"/>
      <c r="C246" s="31" t="str">
        <f aca="false">IF(A246="","",SUBSTITUTE(SUBSTITUTE(SUBSTITUTE(SUBSTITUTE(SUBSTITUTE(SUBSTITUTE(SUBSTITUTE(SUBSTITUTE(SUBSTITUTE(SUBSTITUTE(SUBSTITUTE(SUBSTITUTE(SUBSTITUTE(UPPER(TRIM(A246)),"Á","A"),"À","A"),"Â","A"),"Ã","A"),"É","E"),"Ê","E"),"Í","I"),"Ó","O"),"Ô","O"),"Õ","O"),"Ú","U"),"Ü","U"),"Ç","C"))</f>
        <v/>
      </c>
      <c r="D246" s="31" t="str">
        <f aca="false">IF(B246="","",IF(LEN(SUBSTITUTE(SUBSTITUTE(SUBSTITUTE(SUBSTITUTE(TRIM(B246),"*",""),".",""),"-","")," ",""))=11,MID(SUBSTITUTE(SUBSTITUTE(SUBSTITUTE(SUBSTITUTE(TRIM(B246),"*",""),".",""),"-","")," ",""),4,6),SUBSTITUTE(SUBSTITUTE(SUBSTITUTE(SUBSTITUTE(TRIM(B246),"*",""),".",""),"-","")," ","")))</f>
        <v/>
      </c>
      <c r="E246" s="31" t="str">
        <f aca="false">IF(OR(C246="",D246=""),"",C246&amp;"|"&amp;D246)</f>
        <v/>
      </c>
      <c r="F246" s="11"/>
      <c r="G246" s="11"/>
      <c r="H246" s="22"/>
      <c r="I246" s="23"/>
      <c r="J246" s="11"/>
      <c r="K246" s="25" t="str">
        <f aca="false">IF(C246="","",IF(E246&lt;&gt;"",COUNTIF(Socios!$H:$H,E246),IF(COUNTIF(Socios!$F:$F,C246)&gt;0,"nome igual em Socios: confira o CPF","sem CPF: não cruzado")))</f>
        <v/>
      </c>
      <c r="L246" s="27" t="str">
        <f aca="false">IF(E246="","",COUNTIFS(Eleitoral!$K:$K,E246,Eleitoral!$E:$E,"Doação recebida"))</f>
        <v/>
      </c>
      <c r="M246" s="24"/>
      <c r="N246" s="11"/>
    </row>
    <row r="247" customFormat="false" ht="15" hidden="false" customHeight="false" outlineLevel="0" collapsed="false">
      <c r="A247" s="23"/>
      <c r="B247" s="24"/>
      <c r="C247" s="31" t="str">
        <f aca="false">IF(A247="","",SUBSTITUTE(SUBSTITUTE(SUBSTITUTE(SUBSTITUTE(SUBSTITUTE(SUBSTITUTE(SUBSTITUTE(SUBSTITUTE(SUBSTITUTE(SUBSTITUTE(SUBSTITUTE(SUBSTITUTE(SUBSTITUTE(UPPER(TRIM(A247)),"Á","A"),"À","A"),"Â","A"),"Ã","A"),"É","E"),"Ê","E"),"Í","I"),"Ó","O"),"Ô","O"),"Õ","O"),"Ú","U"),"Ü","U"),"Ç","C"))</f>
        <v/>
      </c>
      <c r="D247" s="31" t="str">
        <f aca="false">IF(B247="","",IF(LEN(SUBSTITUTE(SUBSTITUTE(SUBSTITUTE(SUBSTITUTE(TRIM(B247),"*",""),".",""),"-","")," ",""))=11,MID(SUBSTITUTE(SUBSTITUTE(SUBSTITUTE(SUBSTITUTE(TRIM(B247),"*",""),".",""),"-","")," ",""),4,6),SUBSTITUTE(SUBSTITUTE(SUBSTITUTE(SUBSTITUTE(TRIM(B247),"*",""),".",""),"-","")," ","")))</f>
        <v/>
      </c>
      <c r="E247" s="31" t="str">
        <f aca="false">IF(OR(C247="",D247=""),"",C247&amp;"|"&amp;D247)</f>
        <v/>
      </c>
      <c r="F247" s="11"/>
      <c r="G247" s="11"/>
      <c r="H247" s="22"/>
      <c r="I247" s="23"/>
      <c r="J247" s="11"/>
      <c r="K247" s="25" t="str">
        <f aca="false">IF(C247="","",IF(E247&lt;&gt;"",COUNTIF(Socios!$H:$H,E247),IF(COUNTIF(Socios!$F:$F,C247)&gt;0,"nome igual em Socios: confira o CPF","sem CPF: não cruzado")))</f>
        <v/>
      </c>
      <c r="L247" s="27" t="str">
        <f aca="false">IF(E247="","",COUNTIFS(Eleitoral!$K:$K,E247,Eleitoral!$E:$E,"Doação recebida"))</f>
        <v/>
      </c>
      <c r="M247" s="24"/>
      <c r="N247" s="11"/>
    </row>
    <row r="248" customFormat="false" ht="15" hidden="false" customHeight="false" outlineLevel="0" collapsed="false">
      <c r="A248" s="23"/>
      <c r="B248" s="24"/>
      <c r="C248" s="31" t="str">
        <f aca="false">IF(A248="","",SUBSTITUTE(SUBSTITUTE(SUBSTITUTE(SUBSTITUTE(SUBSTITUTE(SUBSTITUTE(SUBSTITUTE(SUBSTITUTE(SUBSTITUTE(SUBSTITUTE(SUBSTITUTE(SUBSTITUTE(SUBSTITUTE(UPPER(TRIM(A248)),"Á","A"),"À","A"),"Â","A"),"Ã","A"),"É","E"),"Ê","E"),"Í","I"),"Ó","O"),"Ô","O"),"Õ","O"),"Ú","U"),"Ü","U"),"Ç","C"))</f>
        <v/>
      </c>
      <c r="D248" s="31" t="str">
        <f aca="false">IF(B248="","",IF(LEN(SUBSTITUTE(SUBSTITUTE(SUBSTITUTE(SUBSTITUTE(TRIM(B248),"*",""),".",""),"-","")," ",""))=11,MID(SUBSTITUTE(SUBSTITUTE(SUBSTITUTE(SUBSTITUTE(TRIM(B248),"*",""),".",""),"-","")," ",""),4,6),SUBSTITUTE(SUBSTITUTE(SUBSTITUTE(SUBSTITUTE(TRIM(B248),"*",""),".",""),"-","")," ","")))</f>
        <v/>
      </c>
      <c r="E248" s="31" t="str">
        <f aca="false">IF(OR(C248="",D248=""),"",C248&amp;"|"&amp;D248)</f>
        <v/>
      </c>
      <c r="F248" s="11"/>
      <c r="G248" s="11"/>
      <c r="H248" s="22"/>
      <c r="I248" s="23"/>
      <c r="J248" s="11"/>
      <c r="K248" s="25" t="str">
        <f aca="false">IF(C248="","",IF(E248&lt;&gt;"",COUNTIF(Socios!$H:$H,E248),IF(COUNTIF(Socios!$F:$F,C248)&gt;0,"nome igual em Socios: confira o CPF","sem CPF: não cruzado")))</f>
        <v/>
      </c>
      <c r="L248" s="27" t="str">
        <f aca="false">IF(E248="","",COUNTIFS(Eleitoral!$K:$K,E248,Eleitoral!$E:$E,"Doação recebida"))</f>
        <v/>
      </c>
      <c r="M248" s="24"/>
      <c r="N248" s="11"/>
    </row>
    <row r="249" customFormat="false" ht="15" hidden="false" customHeight="false" outlineLevel="0" collapsed="false">
      <c r="A249" s="23"/>
      <c r="B249" s="24"/>
      <c r="C249" s="31" t="str">
        <f aca="false">IF(A249="","",SUBSTITUTE(SUBSTITUTE(SUBSTITUTE(SUBSTITUTE(SUBSTITUTE(SUBSTITUTE(SUBSTITUTE(SUBSTITUTE(SUBSTITUTE(SUBSTITUTE(SUBSTITUTE(SUBSTITUTE(SUBSTITUTE(UPPER(TRIM(A249)),"Á","A"),"À","A"),"Â","A"),"Ã","A"),"É","E"),"Ê","E"),"Í","I"),"Ó","O"),"Ô","O"),"Õ","O"),"Ú","U"),"Ü","U"),"Ç","C"))</f>
        <v/>
      </c>
      <c r="D249" s="31" t="str">
        <f aca="false">IF(B249="","",IF(LEN(SUBSTITUTE(SUBSTITUTE(SUBSTITUTE(SUBSTITUTE(TRIM(B249),"*",""),".",""),"-","")," ",""))=11,MID(SUBSTITUTE(SUBSTITUTE(SUBSTITUTE(SUBSTITUTE(TRIM(B249),"*",""),".",""),"-","")," ",""),4,6),SUBSTITUTE(SUBSTITUTE(SUBSTITUTE(SUBSTITUTE(TRIM(B249),"*",""),".",""),"-","")," ","")))</f>
        <v/>
      </c>
      <c r="E249" s="31" t="str">
        <f aca="false">IF(OR(C249="",D249=""),"",C249&amp;"|"&amp;D249)</f>
        <v/>
      </c>
      <c r="F249" s="11"/>
      <c r="G249" s="11"/>
      <c r="H249" s="22"/>
      <c r="I249" s="23"/>
      <c r="J249" s="11"/>
      <c r="K249" s="25" t="str">
        <f aca="false">IF(C249="","",IF(E249&lt;&gt;"",COUNTIF(Socios!$H:$H,E249),IF(COUNTIF(Socios!$F:$F,C249)&gt;0,"nome igual em Socios: confira o CPF","sem CPF: não cruzado")))</f>
        <v/>
      </c>
      <c r="L249" s="27" t="str">
        <f aca="false">IF(E249="","",COUNTIFS(Eleitoral!$K:$K,E249,Eleitoral!$E:$E,"Doação recebida"))</f>
        <v/>
      </c>
      <c r="M249" s="24"/>
      <c r="N249" s="11"/>
    </row>
    <row r="250" customFormat="false" ht="15" hidden="false" customHeight="false" outlineLevel="0" collapsed="false">
      <c r="A250" s="23"/>
      <c r="B250" s="24"/>
      <c r="C250" s="31" t="str">
        <f aca="false">IF(A250="","",SUBSTITUTE(SUBSTITUTE(SUBSTITUTE(SUBSTITUTE(SUBSTITUTE(SUBSTITUTE(SUBSTITUTE(SUBSTITUTE(SUBSTITUTE(SUBSTITUTE(SUBSTITUTE(SUBSTITUTE(SUBSTITUTE(UPPER(TRIM(A250)),"Á","A"),"À","A"),"Â","A"),"Ã","A"),"É","E"),"Ê","E"),"Í","I"),"Ó","O"),"Ô","O"),"Õ","O"),"Ú","U"),"Ü","U"),"Ç","C"))</f>
        <v/>
      </c>
      <c r="D250" s="31" t="str">
        <f aca="false">IF(B250="","",IF(LEN(SUBSTITUTE(SUBSTITUTE(SUBSTITUTE(SUBSTITUTE(TRIM(B250),"*",""),".",""),"-","")," ",""))=11,MID(SUBSTITUTE(SUBSTITUTE(SUBSTITUTE(SUBSTITUTE(TRIM(B250),"*",""),".",""),"-","")," ",""),4,6),SUBSTITUTE(SUBSTITUTE(SUBSTITUTE(SUBSTITUTE(TRIM(B250),"*",""),".",""),"-","")," ","")))</f>
        <v/>
      </c>
      <c r="E250" s="31" t="str">
        <f aca="false">IF(OR(C250="",D250=""),"",C250&amp;"|"&amp;D250)</f>
        <v/>
      </c>
      <c r="F250" s="11"/>
      <c r="G250" s="11"/>
      <c r="H250" s="22"/>
      <c r="I250" s="23"/>
      <c r="J250" s="11"/>
      <c r="K250" s="25" t="str">
        <f aca="false">IF(C250="","",IF(E250&lt;&gt;"",COUNTIF(Socios!$H:$H,E250),IF(COUNTIF(Socios!$F:$F,C250)&gt;0,"nome igual em Socios: confira o CPF","sem CPF: não cruzado")))</f>
        <v/>
      </c>
      <c r="L250" s="27" t="str">
        <f aca="false">IF(E250="","",COUNTIFS(Eleitoral!$K:$K,E250,Eleitoral!$E:$E,"Doação recebida"))</f>
        <v/>
      </c>
      <c r="M250" s="24"/>
      <c r="N250" s="11"/>
    </row>
    <row r="251" customFormat="false" ht="15" hidden="false" customHeight="false" outlineLevel="0" collapsed="false">
      <c r="A251" s="23"/>
      <c r="B251" s="24"/>
      <c r="C251" s="31" t="str">
        <f aca="false">IF(A251="","",SUBSTITUTE(SUBSTITUTE(SUBSTITUTE(SUBSTITUTE(SUBSTITUTE(SUBSTITUTE(SUBSTITUTE(SUBSTITUTE(SUBSTITUTE(SUBSTITUTE(SUBSTITUTE(SUBSTITUTE(SUBSTITUTE(UPPER(TRIM(A251)),"Á","A"),"À","A"),"Â","A"),"Ã","A"),"É","E"),"Ê","E"),"Í","I"),"Ó","O"),"Ô","O"),"Õ","O"),"Ú","U"),"Ü","U"),"Ç","C"))</f>
        <v/>
      </c>
      <c r="D251" s="31" t="str">
        <f aca="false">IF(B251="","",IF(LEN(SUBSTITUTE(SUBSTITUTE(SUBSTITUTE(SUBSTITUTE(TRIM(B251),"*",""),".",""),"-","")," ",""))=11,MID(SUBSTITUTE(SUBSTITUTE(SUBSTITUTE(SUBSTITUTE(TRIM(B251),"*",""),".",""),"-","")," ",""),4,6),SUBSTITUTE(SUBSTITUTE(SUBSTITUTE(SUBSTITUTE(TRIM(B251),"*",""),".",""),"-","")," ","")))</f>
        <v/>
      </c>
      <c r="E251" s="31" t="str">
        <f aca="false">IF(OR(C251="",D251=""),"",C251&amp;"|"&amp;D251)</f>
        <v/>
      </c>
      <c r="F251" s="11"/>
      <c r="G251" s="11"/>
      <c r="H251" s="22"/>
      <c r="I251" s="23"/>
      <c r="J251" s="11"/>
      <c r="K251" s="25" t="str">
        <f aca="false">IF(C251="","",IF(E251&lt;&gt;"",COUNTIF(Socios!$H:$H,E251),IF(COUNTIF(Socios!$F:$F,C251)&gt;0,"nome igual em Socios: confira o CPF","sem CPF: não cruzado")))</f>
        <v/>
      </c>
      <c r="L251" s="27" t="str">
        <f aca="false">IF(E251="","",COUNTIFS(Eleitoral!$K:$K,E251,Eleitoral!$E:$E,"Doação recebida"))</f>
        <v/>
      </c>
      <c r="M251" s="24"/>
      <c r="N251" s="11"/>
    </row>
    <row r="252" customFormat="false" ht="15" hidden="false" customHeight="false" outlineLevel="0" collapsed="false">
      <c r="A252" s="23"/>
      <c r="B252" s="24"/>
      <c r="C252" s="31" t="str">
        <f aca="false">IF(A252="","",SUBSTITUTE(SUBSTITUTE(SUBSTITUTE(SUBSTITUTE(SUBSTITUTE(SUBSTITUTE(SUBSTITUTE(SUBSTITUTE(SUBSTITUTE(SUBSTITUTE(SUBSTITUTE(SUBSTITUTE(SUBSTITUTE(UPPER(TRIM(A252)),"Á","A"),"À","A"),"Â","A"),"Ã","A"),"É","E"),"Ê","E"),"Í","I"),"Ó","O"),"Ô","O"),"Õ","O"),"Ú","U"),"Ü","U"),"Ç","C"))</f>
        <v/>
      </c>
      <c r="D252" s="31" t="str">
        <f aca="false">IF(B252="","",IF(LEN(SUBSTITUTE(SUBSTITUTE(SUBSTITUTE(SUBSTITUTE(TRIM(B252),"*",""),".",""),"-","")," ",""))=11,MID(SUBSTITUTE(SUBSTITUTE(SUBSTITUTE(SUBSTITUTE(TRIM(B252),"*",""),".",""),"-","")," ",""),4,6),SUBSTITUTE(SUBSTITUTE(SUBSTITUTE(SUBSTITUTE(TRIM(B252),"*",""),".",""),"-","")," ","")))</f>
        <v/>
      </c>
      <c r="E252" s="31" t="str">
        <f aca="false">IF(OR(C252="",D252=""),"",C252&amp;"|"&amp;D252)</f>
        <v/>
      </c>
      <c r="F252" s="11"/>
      <c r="G252" s="11"/>
      <c r="H252" s="22"/>
      <c r="I252" s="23"/>
      <c r="J252" s="11"/>
      <c r="K252" s="25" t="str">
        <f aca="false">IF(C252="","",IF(E252&lt;&gt;"",COUNTIF(Socios!$H:$H,E252),IF(COUNTIF(Socios!$F:$F,C252)&gt;0,"nome igual em Socios: confira o CPF","sem CPF: não cruzado")))</f>
        <v/>
      </c>
      <c r="L252" s="27" t="str">
        <f aca="false">IF(E252="","",COUNTIFS(Eleitoral!$K:$K,E252,Eleitoral!$E:$E,"Doação recebida"))</f>
        <v/>
      </c>
      <c r="M252" s="24"/>
      <c r="N252" s="11"/>
    </row>
    <row r="253" customFormat="false" ht="15" hidden="false" customHeight="false" outlineLevel="0" collapsed="false">
      <c r="A253" s="23"/>
      <c r="B253" s="24"/>
      <c r="C253" s="31" t="str">
        <f aca="false">IF(A253="","",SUBSTITUTE(SUBSTITUTE(SUBSTITUTE(SUBSTITUTE(SUBSTITUTE(SUBSTITUTE(SUBSTITUTE(SUBSTITUTE(SUBSTITUTE(SUBSTITUTE(SUBSTITUTE(SUBSTITUTE(SUBSTITUTE(UPPER(TRIM(A253)),"Á","A"),"À","A"),"Â","A"),"Ã","A"),"É","E"),"Ê","E"),"Í","I"),"Ó","O"),"Ô","O"),"Õ","O"),"Ú","U"),"Ü","U"),"Ç","C"))</f>
        <v/>
      </c>
      <c r="D253" s="31" t="str">
        <f aca="false">IF(B253="","",IF(LEN(SUBSTITUTE(SUBSTITUTE(SUBSTITUTE(SUBSTITUTE(TRIM(B253),"*",""),".",""),"-","")," ",""))=11,MID(SUBSTITUTE(SUBSTITUTE(SUBSTITUTE(SUBSTITUTE(TRIM(B253),"*",""),".",""),"-","")," ",""),4,6),SUBSTITUTE(SUBSTITUTE(SUBSTITUTE(SUBSTITUTE(TRIM(B253),"*",""),".",""),"-","")," ","")))</f>
        <v/>
      </c>
      <c r="E253" s="31" t="str">
        <f aca="false">IF(OR(C253="",D253=""),"",C253&amp;"|"&amp;D253)</f>
        <v/>
      </c>
      <c r="F253" s="11"/>
      <c r="G253" s="11"/>
      <c r="H253" s="22"/>
      <c r="I253" s="23"/>
      <c r="J253" s="11"/>
      <c r="K253" s="25" t="str">
        <f aca="false">IF(C253="","",IF(E253&lt;&gt;"",COUNTIF(Socios!$H:$H,E253),IF(COUNTIF(Socios!$F:$F,C253)&gt;0,"nome igual em Socios: confira o CPF","sem CPF: não cruzado")))</f>
        <v/>
      </c>
      <c r="L253" s="27" t="str">
        <f aca="false">IF(E253="","",COUNTIFS(Eleitoral!$K:$K,E253,Eleitoral!$E:$E,"Doação recebida"))</f>
        <v/>
      </c>
      <c r="M253" s="24"/>
      <c r="N253" s="11"/>
    </row>
    <row r="254" customFormat="false" ht="15" hidden="false" customHeight="false" outlineLevel="0" collapsed="false">
      <c r="A254" s="23"/>
      <c r="B254" s="24"/>
      <c r="C254" s="31" t="str">
        <f aca="false">IF(A254="","",SUBSTITUTE(SUBSTITUTE(SUBSTITUTE(SUBSTITUTE(SUBSTITUTE(SUBSTITUTE(SUBSTITUTE(SUBSTITUTE(SUBSTITUTE(SUBSTITUTE(SUBSTITUTE(SUBSTITUTE(SUBSTITUTE(UPPER(TRIM(A254)),"Á","A"),"À","A"),"Â","A"),"Ã","A"),"É","E"),"Ê","E"),"Í","I"),"Ó","O"),"Ô","O"),"Õ","O"),"Ú","U"),"Ü","U"),"Ç","C"))</f>
        <v/>
      </c>
      <c r="D254" s="31" t="str">
        <f aca="false">IF(B254="","",IF(LEN(SUBSTITUTE(SUBSTITUTE(SUBSTITUTE(SUBSTITUTE(TRIM(B254),"*",""),".",""),"-","")," ",""))=11,MID(SUBSTITUTE(SUBSTITUTE(SUBSTITUTE(SUBSTITUTE(TRIM(B254),"*",""),".",""),"-","")," ",""),4,6),SUBSTITUTE(SUBSTITUTE(SUBSTITUTE(SUBSTITUTE(TRIM(B254),"*",""),".",""),"-","")," ","")))</f>
        <v/>
      </c>
      <c r="E254" s="31" t="str">
        <f aca="false">IF(OR(C254="",D254=""),"",C254&amp;"|"&amp;D254)</f>
        <v/>
      </c>
      <c r="F254" s="11"/>
      <c r="G254" s="11"/>
      <c r="H254" s="22"/>
      <c r="I254" s="23"/>
      <c r="J254" s="11"/>
      <c r="K254" s="25" t="str">
        <f aca="false">IF(C254="","",IF(E254&lt;&gt;"",COUNTIF(Socios!$H:$H,E254),IF(COUNTIF(Socios!$F:$F,C254)&gt;0,"nome igual em Socios: confira o CPF","sem CPF: não cruzado")))</f>
        <v/>
      </c>
      <c r="L254" s="27" t="str">
        <f aca="false">IF(E254="","",COUNTIFS(Eleitoral!$K:$K,E254,Eleitoral!$E:$E,"Doação recebida"))</f>
        <v/>
      </c>
      <c r="M254" s="24"/>
      <c r="N254" s="11"/>
    </row>
    <row r="255" customFormat="false" ht="15" hidden="false" customHeight="false" outlineLevel="0" collapsed="false">
      <c r="A255" s="23"/>
      <c r="B255" s="24"/>
      <c r="C255" s="31" t="str">
        <f aca="false">IF(A255="","",SUBSTITUTE(SUBSTITUTE(SUBSTITUTE(SUBSTITUTE(SUBSTITUTE(SUBSTITUTE(SUBSTITUTE(SUBSTITUTE(SUBSTITUTE(SUBSTITUTE(SUBSTITUTE(SUBSTITUTE(SUBSTITUTE(UPPER(TRIM(A255)),"Á","A"),"À","A"),"Â","A"),"Ã","A"),"É","E"),"Ê","E"),"Í","I"),"Ó","O"),"Ô","O"),"Õ","O"),"Ú","U"),"Ü","U"),"Ç","C"))</f>
        <v/>
      </c>
      <c r="D255" s="31" t="str">
        <f aca="false">IF(B255="","",IF(LEN(SUBSTITUTE(SUBSTITUTE(SUBSTITUTE(SUBSTITUTE(TRIM(B255),"*",""),".",""),"-","")," ",""))=11,MID(SUBSTITUTE(SUBSTITUTE(SUBSTITUTE(SUBSTITUTE(TRIM(B255),"*",""),".",""),"-","")," ",""),4,6),SUBSTITUTE(SUBSTITUTE(SUBSTITUTE(SUBSTITUTE(TRIM(B255),"*",""),".",""),"-","")," ","")))</f>
        <v/>
      </c>
      <c r="E255" s="31" t="str">
        <f aca="false">IF(OR(C255="",D255=""),"",C255&amp;"|"&amp;D255)</f>
        <v/>
      </c>
      <c r="F255" s="11"/>
      <c r="G255" s="11"/>
      <c r="H255" s="22"/>
      <c r="I255" s="23"/>
      <c r="J255" s="11"/>
      <c r="K255" s="25" t="str">
        <f aca="false">IF(C255="","",IF(E255&lt;&gt;"",COUNTIF(Socios!$H:$H,E255),IF(COUNTIF(Socios!$F:$F,C255)&gt;0,"nome igual em Socios: confira o CPF","sem CPF: não cruzado")))</f>
        <v/>
      </c>
      <c r="L255" s="27" t="str">
        <f aca="false">IF(E255="","",COUNTIFS(Eleitoral!$K:$K,E255,Eleitoral!$E:$E,"Doação recebida"))</f>
        <v/>
      </c>
      <c r="M255" s="24"/>
      <c r="N255" s="11"/>
    </row>
    <row r="256" customFormat="false" ht="15" hidden="false" customHeight="false" outlineLevel="0" collapsed="false">
      <c r="A256" s="23"/>
      <c r="B256" s="24"/>
      <c r="C256" s="31" t="str">
        <f aca="false">IF(A256="","",SUBSTITUTE(SUBSTITUTE(SUBSTITUTE(SUBSTITUTE(SUBSTITUTE(SUBSTITUTE(SUBSTITUTE(SUBSTITUTE(SUBSTITUTE(SUBSTITUTE(SUBSTITUTE(SUBSTITUTE(SUBSTITUTE(UPPER(TRIM(A256)),"Á","A"),"À","A"),"Â","A"),"Ã","A"),"É","E"),"Ê","E"),"Í","I"),"Ó","O"),"Ô","O"),"Õ","O"),"Ú","U"),"Ü","U"),"Ç","C"))</f>
        <v/>
      </c>
      <c r="D256" s="31" t="str">
        <f aca="false">IF(B256="","",IF(LEN(SUBSTITUTE(SUBSTITUTE(SUBSTITUTE(SUBSTITUTE(TRIM(B256),"*",""),".",""),"-","")," ",""))=11,MID(SUBSTITUTE(SUBSTITUTE(SUBSTITUTE(SUBSTITUTE(TRIM(B256),"*",""),".",""),"-","")," ",""),4,6),SUBSTITUTE(SUBSTITUTE(SUBSTITUTE(SUBSTITUTE(TRIM(B256),"*",""),".",""),"-","")," ","")))</f>
        <v/>
      </c>
      <c r="E256" s="31" t="str">
        <f aca="false">IF(OR(C256="",D256=""),"",C256&amp;"|"&amp;D256)</f>
        <v/>
      </c>
      <c r="F256" s="11"/>
      <c r="G256" s="11"/>
      <c r="H256" s="22"/>
      <c r="I256" s="23"/>
      <c r="J256" s="11"/>
      <c r="K256" s="25" t="str">
        <f aca="false">IF(C256="","",IF(E256&lt;&gt;"",COUNTIF(Socios!$H:$H,E256),IF(COUNTIF(Socios!$F:$F,C256)&gt;0,"nome igual em Socios: confira o CPF","sem CPF: não cruzado")))</f>
        <v/>
      </c>
      <c r="L256" s="27" t="str">
        <f aca="false">IF(E256="","",COUNTIFS(Eleitoral!$K:$K,E256,Eleitoral!$E:$E,"Doação recebida"))</f>
        <v/>
      </c>
      <c r="M256" s="24"/>
      <c r="N256" s="11"/>
    </row>
    <row r="257" customFormat="false" ht="15" hidden="false" customHeight="false" outlineLevel="0" collapsed="false">
      <c r="A257" s="23"/>
      <c r="B257" s="24"/>
      <c r="C257" s="31" t="str">
        <f aca="false">IF(A257="","",SUBSTITUTE(SUBSTITUTE(SUBSTITUTE(SUBSTITUTE(SUBSTITUTE(SUBSTITUTE(SUBSTITUTE(SUBSTITUTE(SUBSTITUTE(SUBSTITUTE(SUBSTITUTE(SUBSTITUTE(SUBSTITUTE(UPPER(TRIM(A257)),"Á","A"),"À","A"),"Â","A"),"Ã","A"),"É","E"),"Ê","E"),"Í","I"),"Ó","O"),"Ô","O"),"Õ","O"),"Ú","U"),"Ü","U"),"Ç","C"))</f>
        <v/>
      </c>
      <c r="D257" s="31" t="str">
        <f aca="false">IF(B257="","",IF(LEN(SUBSTITUTE(SUBSTITUTE(SUBSTITUTE(SUBSTITUTE(TRIM(B257),"*",""),".",""),"-","")," ",""))=11,MID(SUBSTITUTE(SUBSTITUTE(SUBSTITUTE(SUBSTITUTE(TRIM(B257),"*",""),".",""),"-","")," ",""),4,6),SUBSTITUTE(SUBSTITUTE(SUBSTITUTE(SUBSTITUTE(TRIM(B257),"*",""),".",""),"-","")," ","")))</f>
        <v/>
      </c>
      <c r="E257" s="31" t="str">
        <f aca="false">IF(OR(C257="",D257=""),"",C257&amp;"|"&amp;D257)</f>
        <v/>
      </c>
      <c r="F257" s="11"/>
      <c r="G257" s="11"/>
      <c r="H257" s="22"/>
      <c r="I257" s="23"/>
      <c r="J257" s="11"/>
      <c r="K257" s="25" t="str">
        <f aca="false">IF(C257="","",IF(E257&lt;&gt;"",COUNTIF(Socios!$H:$H,E257),IF(COUNTIF(Socios!$F:$F,C257)&gt;0,"nome igual em Socios: confira o CPF","sem CPF: não cruzado")))</f>
        <v/>
      </c>
      <c r="L257" s="27" t="str">
        <f aca="false">IF(E257="","",COUNTIFS(Eleitoral!$K:$K,E257,Eleitoral!$E:$E,"Doação recebida"))</f>
        <v/>
      </c>
      <c r="M257" s="24"/>
      <c r="N257" s="11"/>
    </row>
    <row r="258" customFormat="false" ht="15" hidden="false" customHeight="false" outlineLevel="0" collapsed="false">
      <c r="A258" s="23"/>
      <c r="B258" s="24"/>
      <c r="C258" s="31" t="str">
        <f aca="false">IF(A258="","",SUBSTITUTE(SUBSTITUTE(SUBSTITUTE(SUBSTITUTE(SUBSTITUTE(SUBSTITUTE(SUBSTITUTE(SUBSTITUTE(SUBSTITUTE(SUBSTITUTE(SUBSTITUTE(SUBSTITUTE(SUBSTITUTE(UPPER(TRIM(A258)),"Á","A"),"À","A"),"Â","A"),"Ã","A"),"É","E"),"Ê","E"),"Í","I"),"Ó","O"),"Ô","O"),"Õ","O"),"Ú","U"),"Ü","U"),"Ç","C"))</f>
        <v/>
      </c>
      <c r="D258" s="31" t="str">
        <f aca="false">IF(B258="","",IF(LEN(SUBSTITUTE(SUBSTITUTE(SUBSTITUTE(SUBSTITUTE(TRIM(B258),"*",""),".",""),"-","")," ",""))=11,MID(SUBSTITUTE(SUBSTITUTE(SUBSTITUTE(SUBSTITUTE(TRIM(B258),"*",""),".",""),"-","")," ",""),4,6),SUBSTITUTE(SUBSTITUTE(SUBSTITUTE(SUBSTITUTE(TRIM(B258),"*",""),".",""),"-","")," ","")))</f>
        <v/>
      </c>
      <c r="E258" s="31" t="str">
        <f aca="false">IF(OR(C258="",D258=""),"",C258&amp;"|"&amp;D258)</f>
        <v/>
      </c>
      <c r="F258" s="11"/>
      <c r="G258" s="11"/>
      <c r="H258" s="22"/>
      <c r="I258" s="23"/>
      <c r="J258" s="11"/>
      <c r="K258" s="25" t="str">
        <f aca="false">IF(C258="","",IF(E258&lt;&gt;"",COUNTIF(Socios!$H:$H,E258),IF(COUNTIF(Socios!$F:$F,C258)&gt;0,"nome igual em Socios: confira o CPF","sem CPF: não cruzado")))</f>
        <v/>
      </c>
      <c r="L258" s="27" t="str">
        <f aca="false">IF(E258="","",COUNTIFS(Eleitoral!$K:$K,E258,Eleitoral!$E:$E,"Doação recebida"))</f>
        <v/>
      </c>
      <c r="M258" s="24"/>
      <c r="N258" s="11"/>
    </row>
    <row r="259" customFormat="false" ht="15" hidden="false" customHeight="false" outlineLevel="0" collapsed="false">
      <c r="A259" s="23"/>
      <c r="B259" s="24"/>
      <c r="C259" s="31" t="str">
        <f aca="false">IF(A259="","",SUBSTITUTE(SUBSTITUTE(SUBSTITUTE(SUBSTITUTE(SUBSTITUTE(SUBSTITUTE(SUBSTITUTE(SUBSTITUTE(SUBSTITUTE(SUBSTITUTE(SUBSTITUTE(SUBSTITUTE(SUBSTITUTE(UPPER(TRIM(A259)),"Á","A"),"À","A"),"Â","A"),"Ã","A"),"É","E"),"Ê","E"),"Í","I"),"Ó","O"),"Ô","O"),"Õ","O"),"Ú","U"),"Ü","U"),"Ç","C"))</f>
        <v/>
      </c>
      <c r="D259" s="31" t="str">
        <f aca="false">IF(B259="","",IF(LEN(SUBSTITUTE(SUBSTITUTE(SUBSTITUTE(SUBSTITUTE(TRIM(B259),"*",""),".",""),"-","")," ",""))=11,MID(SUBSTITUTE(SUBSTITUTE(SUBSTITUTE(SUBSTITUTE(TRIM(B259),"*",""),".",""),"-","")," ",""),4,6),SUBSTITUTE(SUBSTITUTE(SUBSTITUTE(SUBSTITUTE(TRIM(B259),"*",""),".",""),"-","")," ","")))</f>
        <v/>
      </c>
      <c r="E259" s="31" t="str">
        <f aca="false">IF(OR(C259="",D259=""),"",C259&amp;"|"&amp;D259)</f>
        <v/>
      </c>
      <c r="F259" s="11"/>
      <c r="G259" s="11"/>
      <c r="H259" s="22"/>
      <c r="I259" s="23"/>
      <c r="J259" s="11"/>
      <c r="K259" s="25" t="str">
        <f aca="false">IF(C259="","",IF(E259&lt;&gt;"",COUNTIF(Socios!$H:$H,E259),IF(COUNTIF(Socios!$F:$F,C259)&gt;0,"nome igual em Socios: confira o CPF","sem CPF: não cruzado")))</f>
        <v/>
      </c>
      <c r="L259" s="27" t="str">
        <f aca="false">IF(E259="","",COUNTIFS(Eleitoral!$K:$K,E259,Eleitoral!$E:$E,"Doação recebida"))</f>
        <v/>
      </c>
      <c r="M259" s="24"/>
      <c r="N259" s="11"/>
    </row>
    <row r="260" customFormat="false" ht="15" hidden="false" customHeight="false" outlineLevel="0" collapsed="false">
      <c r="A260" s="23"/>
      <c r="B260" s="24"/>
      <c r="C260" s="31" t="str">
        <f aca="false">IF(A260="","",SUBSTITUTE(SUBSTITUTE(SUBSTITUTE(SUBSTITUTE(SUBSTITUTE(SUBSTITUTE(SUBSTITUTE(SUBSTITUTE(SUBSTITUTE(SUBSTITUTE(SUBSTITUTE(SUBSTITUTE(SUBSTITUTE(UPPER(TRIM(A260)),"Á","A"),"À","A"),"Â","A"),"Ã","A"),"É","E"),"Ê","E"),"Í","I"),"Ó","O"),"Ô","O"),"Õ","O"),"Ú","U"),"Ü","U"),"Ç","C"))</f>
        <v/>
      </c>
      <c r="D260" s="31" t="str">
        <f aca="false">IF(B260="","",IF(LEN(SUBSTITUTE(SUBSTITUTE(SUBSTITUTE(SUBSTITUTE(TRIM(B260),"*",""),".",""),"-","")," ",""))=11,MID(SUBSTITUTE(SUBSTITUTE(SUBSTITUTE(SUBSTITUTE(TRIM(B260),"*",""),".",""),"-","")," ",""),4,6),SUBSTITUTE(SUBSTITUTE(SUBSTITUTE(SUBSTITUTE(TRIM(B260),"*",""),".",""),"-","")," ","")))</f>
        <v/>
      </c>
      <c r="E260" s="31" t="str">
        <f aca="false">IF(OR(C260="",D260=""),"",C260&amp;"|"&amp;D260)</f>
        <v/>
      </c>
      <c r="F260" s="11"/>
      <c r="G260" s="11"/>
      <c r="H260" s="22"/>
      <c r="I260" s="23"/>
      <c r="J260" s="11"/>
      <c r="K260" s="25" t="str">
        <f aca="false">IF(C260="","",IF(E260&lt;&gt;"",COUNTIF(Socios!$H:$H,E260),IF(COUNTIF(Socios!$F:$F,C260)&gt;0,"nome igual em Socios: confira o CPF","sem CPF: não cruzado")))</f>
        <v/>
      </c>
      <c r="L260" s="27" t="str">
        <f aca="false">IF(E260="","",COUNTIFS(Eleitoral!$K:$K,E260,Eleitoral!$E:$E,"Doação recebida"))</f>
        <v/>
      </c>
      <c r="M260" s="24"/>
      <c r="N260" s="11"/>
    </row>
    <row r="261" customFormat="false" ht="15" hidden="false" customHeight="false" outlineLevel="0" collapsed="false">
      <c r="A261" s="23"/>
      <c r="B261" s="24"/>
      <c r="C261" s="31" t="str">
        <f aca="false">IF(A261="","",SUBSTITUTE(SUBSTITUTE(SUBSTITUTE(SUBSTITUTE(SUBSTITUTE(SUBSTITUTE(SUBSTITUTE(SUBSTITUTE(SUBSTITUTE(SUBSTITUTE(SUBSTITUTE(SUBSTITUTE(SUBSTITUTE(UPPER(TRIM(A261)),"Á","A"),"À","A"),"Â","A"),"Ã","A"),"É","E"),"Ê","E"),"Í","I"),"Ó","O"),"Ô","O"),"Õ","O"),"Ú","U"),"Ü","U"),"Ç","C"))</f>
        <v/>
      </c>
      <c r="D261" s="31" t="str">
        <f aca="false">IF(B261="","",IF(LEN(SUBSTITUTE(SUBSTITUTE(SUBSTITUTE(SUBSTITUTE(TRIM(B261),"*",""),".",""),"-","")," ",""))=11,MID(SUBSTITUTE(SUBSTITUTE(SUBSTITUTE(SUBSTITUTE(TRIM(B261),"*",""),".",""),"-","")," ",""),4,6),SUBSTITUTE(SUBSTITUTE(SUBSTITUTE(SUBSTITUTE(TRIM(B261),"*",""),".",""),"-","")," ","")))</f>
        <v/>
      </c>
      <c r="E261" s="31" t="str">
        <f aca="false">IF(OR(C261="",D261=""),"",C261&amp;"|"&amp;D261)</f>
        <v/>
      </c>
      <c r="F261" s="11"/>
      <c r="G261" s="11"/>
      <c r="H261" s="22"/>
      <c r="I261" s="23"/>
      <c r="J261" s="11"/>
      <c r="K261" s="25" t="str">
        <f aca="false">IF(C261="","",IF(E261&lt;&gt;"",COUNTIF(Socios!$H:$H,E261),IF(COUNTIF(Socios!$F:$F,C261)&gt;0,"nome igual em Socios: confira o CPF","sem CPF: não cruzado")))</f>
        <v/>
      </c>
      <c r="L261" s="27" t="str">
        <f aca="false">IF(E261="","",COUNTIFS(Eleitoral!$K:$K,E261,Eleitoral!$E:$E,"Doação recebida"))</f>
        <v/>
      </c>
      <c r="M261" s="24"/>
      <c r="N261" s="11"/>
    </row>
    <row r="262" customFormat="false" ht="15" hidden="false" customHeight="false" outlineLevel="0" collapsed="false">
      <c r="A262" s="23"/>
      <c r="B262" s="24"/>
      <c r="C262" s="31" t="str">
        <f aca="false">IF(A262="","",SUBSTITUTE(SUBSTITUTE(SUBSTITUTE(SUBSTITUTE(SUBSTITUTE(SUBSTITUTE(SUBSTITUTE(SUBSTITUTE(SUBSTITUTE(SUBSTITUTE(SUBSTITUTE(SUBSTITUTE(SUBSTITUTE(UPPER(TRIM(A262)),"Á","A"),"À","A"),"Â","A"),"Ã","A"),"É","E"),"Ê","E"),"Í","I"),"Ó","O"),"Ô","O"),"Õ","O"),"Ú","U"),"Ü","U"),"Ç","C"))</f>
        <v/>
      </c>
      <c r="D262" s="31" t="str">
        <f aca="false">IF(B262="","",IF(LEN(SUBSTITUTE(SUBSTITUTE(SUBSTITUTE(SUBSTITUTE(TRIM(B262),"*",""),".",""),"-","")," ",""))=11,MID(SUBSTITUTE(SUBSTITUTE(SUBSTITUTE(SUBSTITUTE(TRIM(B262),"*",""),".",""),"-","")," ",""),4,6),SUBSTITUTE(SUBSTITUTE(SUBSTITUTE(SUBSTITUTE(TRIM(B262),"*",""),".",""),"-","")," ","")))</f>
        <v/>
      </c>
      <c r="E262" s="31" t="str">
        <f aca="false">IF(OR(C262="",D262=""),"",C262&amp;"|"&amp;D262)</f>
        <v/>
      </c>
      <c r="F262" s="11"/>
      <c r="G262" s="11"/>
      <c r="H262" s="22"/>
      <c r="I262" s="23"/>
      <c r="J262" s="11"/>
      <c r="K262" s="25" t="str">
        <f aca="false">IF(C262="","",IF(E262&lt;&gt;"",COUNTIF(Socios!$H:$H,E262),IF(COUNTIF(Socios!$F:$F,C262)&gt;0,"nome igual em Socios: confira o CPF","sem CPF: não cruzado")))</f>
        <v/>
      </c>
      <c r="L262" s="27" t="str">
        <f aca="false">IF(E262="","",COUNTIFS(Eleitoral!$K:$K,E262,Eleitoral!$E:$E,"Doação recebida"))</f>
        <v/>
      </c>
      <c r="M262" s="24"/>
      <c r="N262" s="11"/>
    </row>
    <row r="263" customFormat="false" ht="15" hidden="false" customHeight="false" outlineLevel="0" collapsed="false">
      <c r="A263" s="23"/>
      <c r="B263" s="24"/>
      <c r="C263" s="31" t="str">
        <f aca="false">IF(A263="","",SUBSTITUTE(SUBSTITUTE(SUBSTITUTE(SUBSTITUTE(SUBSTITUTE(SUBSTITUTE(SUBSTITUTE(SUBSTITUTE(SUBSTITUTE(SUBSTITUTE(SUBSTITUTE(SUBSTITUTE(SUBSTITUTE(UPPER(TRIM(A263)),"Á","A"),"À","A"),"Â","A"),"Ã","A"),"É","E"),"Ê","E"),"Í","I"),"Ó","O"),"Ô","O"),"Õ","O"),"Ú","U"),"Ü","U"),"Ç","C"))</f>
        <v/>
      </c>
      <c r="D263" s="31" t="str">
        <f aca="false">IF(B263="","",IF(LEN(SUBSTITUTE(SUBSTITUTE(SUBSTITUTE(SUBSTITUTE(TRIM(B263),"*",""),".",""),"-","")," ",""))=11,MID(SUBSTITUTE(SUBSTITUTE(SUBSTITUTE(SUBSTITUTE(TRIM(B263),"*",""),".",""),"-","")," ",""),4,6),SUBSTITUTE(SUBSTITUTE(SUBSTITUTE(SUBSTITUTE(TRIM(B263),"*",""),".",""),"-","")," ","")))</f>
        <v/>
      </c>
      <c r="E263" s="31" t="str">
        <f aca="false">IF(OR(C263="",D263=""),"",C263&amp;"|"&amp;D263)</f>
        <v/>
      </c>
      <c r="F263" s="11"/>
      <c r="G263" s="11"/>
      <c r="H263" s="22"/>
      <c r="I263" s="23"/>
      <c r="J263" s="11"/>
      <c r="K263" s="25" t="str">
        <f aca="false">IF(C263="","",IF(E263&lt;&gt;"",COUNTIF(Socios!$H:$H,E263),IF(COUNTIF(Socios!$F:$F,C263)&gt;0,"nome igual em Socios: confira o CPF","sem CPF: não cruzado")))</f>
        <v/>
      </c>
      <c r="L263" s="27" t="str">
        <f aca="false">IF(E263="","",COUNTIFS(Eleitoral!$K:$K,E263,Eleitoral!$E:$E,"Doação recebida"))</f>
        <v/>
      </c>
      <c r="M263" s="24"/>
      <c r="N263" s="11"/>
    </row>
    <row r="264" customFormat="false" ht="15" hidden="false" customHeight="false" outlineLevel="0" collapsed="false">
      <c r="A264" s="23"/>
      <c r="B264" s="24"/>
      <c r="C264" s="31" t="str">
        <f aca="false">IF(A264="","",SUBSTITUTE(SUBSTITUTE(SUBSTITUTE(SUBSTITUTE(SUBSTITUTE(SUBSTITUTE(SUBSTITUTE(SUBSTITUTE(SUBSTITUTE(SUBSTITUTE(SUBSTITUTE(SUBSTITUTE(SUBSTITUTE(UPPER(TRIM(A264)),"Á","A"),"À","A"),"Â","A"),"Ã","A"),"É","E"),"Ê","E"),"Í","I"),"Ó","O"),"Ô","O"),"Õ","O"),"Ú","U"),"Ü","U"),"Ç","C"))</f>
        <v/>
      </c>
      <c r="D264" s="31" t="str">
        <f aca="false">IF(B264="","",IF(LEN(SUBSTITUTE(SUBSTITUTE(SUBSTITUTE(SUBSTITUTE(TRIM(B264),"*",""),".",""),"-","")," ",""))=11,MID(SUBSTITUTE(SUBSTITUTE(SUBSTITUTE(SUBSTITUTE(TRIM(B264),"*",""),".",""),"-","")," ",""),4,6),SUBSTITUTE(SUBSTITUTE(SUBSTITUTE(SUBSTITUTE(TRIM(B264),"*",""),".",""),"-","")," ","")))</f>
        <v/>
      </c>
      <c r="E264" s="31" t="str">
        <f aca="false">IF(OR(C264="",D264=""),"",C264&amp;"|"&amp;D264)</f>
        <v/>
      </c>
      <c r="F264" s="11"/>
      <c r="G264" s="11"/>
      <c r="H264" s="22"/>
      <c r="I264" s="23"/>
      <c r="J264" s="11"/>
      <c r="K264" s="25" t="str">
        <f aca="false">IF(C264="","",IF(E264&lt;&gt;"",COUNTIF(Socios!$H:$H,E264),IF(COUNTIF(Socios!$F:$F,C264)&gt;0,"nome igual em Socios: confira o CPF","sem CPF: não cruzado")))</f>
        <v/>
      </c>
      <c r="L264" s="27" t="str">
        <f aca="false">IF(E264="","",COUNTIFS(Eleitoral!$K:$K,E264,Eleitoral!$E:$E,"Doação recebida"))</f>
        <v/>
      </c>
      <c r="M264" s="24"/>
      <c r="N264" s="11"/>
    </row>
    <row r="265" customFormat="false" ht="15" hidden="false" customHeight="false" outlineLevel="0" collapsed="false">
      <c r="A265" s="23"/>
      <c r="B265" s="24"/>
      <c r="C265" s="31" t="str">
        <f aca="false">IF(A265="","",SUBSTITUTE(SUBSTITUTE(SUBSTITUTE(SUBSTITUTE(SUBSTITUTE(SUBSTITUTE(SUBSTITUTE(SUBSTITUTE(SUBSTITUTE(SUBSTITUTE(SUBSTITUTE(SUBSTITUTE(SUBSTITUTE(UPPER(TRIM(A265)),"Á","A"),"À","A"),"Â","A"),"Ã","A"),"É","E"),"Ê","E"),"Í","I"),"Ó","O"),"Ô","O"),"Õ","O"),"Ú","U"),"Ü","U"),"Ç","C"))</f>
        <v/>
      </c>
      <c r="D265" s="31" t="str">
        <f aca="false">IF(B265="","",IF(LEN(SUBSTITUTE(SUBSTITUTE(SUBSTITUTE(SUBSTITUTE(TRIM(B265),"*",""),".",""),"-","")," ",""))=11,MID(SUBSTITUTE(SUBSTITUTE(SUBSTITUTE(SUBSTITUTE(TRIM(B265),"*",""),".",""),"-","")," ",""),4,6),SUBSTITUTE(SUBSTITUTE(SUBSTITUTE(SUBSTITUTE(TRIM(B265),"*",""),".",""),"-","")," ","")))</f>
        <v/>
      </c>
      <c r="E265" s="31" t="str">
        <f aca="false">IF(OR(C265="",D265=""),"",C265&amp;"|"&amp;D265)</f>
        <v/>
      </c>
      <c r="F265" s="11"/>
      <c r="G265" s="11"/>
      <c r="H265" s="22"/>
      <c r="I265" s="23"/>
      <c r="J265" s="11"/>
      <c r="K265" s="25" t="str">
        <f aca="false">IF(C265="","",IF(E265&lt;&gt;"",COUNTIF(Socios!$H:$H,E265),IF(COUNTIF(Socios!$F:$F,C265)&gt;0,"nome igual em Socios: confira o CPF","sem CPF: não cruzado")))</f>
        <v/>
      </c>
      <c r="L265" s="27" t="str">
        <f aca="false">IF(E265="","",COUNTIFS(Eleitoral!$K:$K,E265,Eleitoral!$E:$E,"Doação recebida"))</f>
        <v/>
      </c>
      <c r="M265" s="24"/>
      <c r="N265" s="11"/>
    </row>
    <row r="266" customFormat="false" ht="15" hidden="false" customHeight="false" outlineLevel="0" collapsed="false">
      <c r="A266" s="23"/>
      <c r="B266" s="24"/>
      <c r="C266" s="31" t="str">
        <f aca="false">IF(A266="","",SUBSTITUTE(SUBSTITUTE(SUBSTITUTE(SUBSTITUTE(SUBSTITUTE(SUBSTITUTE(SUBSTITUTE(SUBSTITUTE(SUBSTITUTE(SUBSTITUTE(SUBSTITUTE(SUBSTITUTE(SUBSTITUTE(UPPER(TRIM(A266)),"Á","A"),"À","A"),"Â","A"),"Ã","A"),"É","E"),"Ê","E"),"Í","I"),"Ó","O"),"Ô","O"),"Õ","O"),"Ú","U"),"Ü","U"),"Ç","C"))</f>
        <v/>
      </c>
      <c r="D266" s="31" t="str">
        <f aca="false">IF(B266="","",IF(LEN(SUBSTITUTE(SUBSTITUTE(SUBSTITUTE(SUBSTITUTE(TRIM(B266),"*",""),".",""),"-","")," ",""))=11,MID(SUBSTITUTE(SUBSTITUTE(SUBSTITUTE(SUBSTITUTE(TRIM(B266),"*",""),".",""),"-","")," ",""),4,6),SUBSTITUTE(SUBSTITUTE(SUBSTITUTE(SUBSTITUTE(TRIM(B266),"*",""),".",""),"-","")," ","")))</f>
        <v/>
      </c>
      <c r="E266" s="31" t="str">
        <f aca="false">IF(OR(C266="",D266=""),"",C266&amp;"|"&amp;D266)</f>
        <v/>
      </c>
      <c r="F266" s="11"/>
      <c r="G266" s="11"/>
      <c r="H266" s="22"/>
      <c r="I266" s="23"/>
      <c r="J266" s="11"/>
      <c r="K266" s="25" t="str">
        <f aca="false">IF(C266="","",IF(E266&lt;&gt;"",COUNTIF(Socios!$H:$H,E266),IF(COUNTIF(Socios!$F:$F,C266)&gt;0,"nome igual em Socios: confira o CPF","sem CPF: não cruzado")))</f>
        <v/>
      </c>
      <c r="L266" s="27" t="str">
        <f aca="false">IF(E266="","",COUNTIFS(Eleitoral!$K:$K,E266,Eleitoral!$E:$E,"Doação recebida"))</f>
        <v/>
      </c>
      <c r="M266" s="24"/>
      <c r="N266" s="11"/>
    </row>
    <row r="267" customFormat="false" ht="15" hidden="false" customHeight="false" outlineLevel="0" collapsed="false">
      <c r="A267" s="23"/>
      <c r="B267" s="24"/>
      <c r="C267" s="31" t="str">
        <f aca="false">IF(A267="","",SUBSTITUTE(SUBSTITUTE(SUBSTITUTE(SUBSTITUTE(SUBSTITUTE(SUBSTITUTE(SUBSTITUTE(SUBSTITUTE(SUBSTITUTE(SUBSTITUTE(SUBSTITUTE(SUBSTITUTE(SUBSTITUTE(UPPER(TRIM(A267)),"Á","A"),"À","A"),"Â","A"),"Ã","A"),"É","E"),"Ê","E"),"Í","I"),"Ó","O"),"Ô","O"),"Õ","O"),"Ú","U"),"Ü","U"),"Ç","C"))</f>
        <v/>
      </c>
      <c r="D267" s="31" t="str">
        <f aca="false">IF(B267="","",IF(LEN(SUBSTITUTE(SUBSTITUTE(SUBSTITUTE(SUBSTITUTE(TRIM(B267),"*",""),".",""),"-","")," ",""))=11,MID(SUBSTITUTE(SUBSTITUTE(SUBSTITUTE(SUBSTITUTE(TRIM(B267),"*",""),".",""),"-","")," ",""),4,6),SUBSTITUTE(SUBSTITUTE(SUBSTITUTE(SUBSTITUTE(TRIM(B267),"*",""),".",""),"-","")," ","")))</f>
        <v/>
      </c>
      <c r="E267" s="31" t="str">
        <f aca="false">IF(OR(C267="",D267=""),"",C267&amp;"|"&amp;D267)</f>
        <v/>
      </c>
      <c r="F267" s="11"/>
      <c r="G267" s="11"/>
      <c r="H267" s="22"/>
      <c r="I267" s="23"/>
      <c r="J267" s="11"/>
      <c r="K267" s="25" t="str">
        <f aca="false">IF(C267="","",IF(E267&lt;&gt;"",COUNTIF(Socios!$H:$H,E267),IF(COUNTIF(Socios!$F:$F,C267)&gt;0,"nome igual em Socios: confira o CPF","sem CPF: não cruzado")))</f>
        <v/>
      </c>
      <c r="L267" s="27" t="str">
        <f aca="false">IF(E267="","",COUNTIFS(Eleitoral!$K:$K,E267,Eleitoral!$E:$E,"Doação recebida"))</f>
        <v/>
      </c>
      <c r="M267" s="24"/>
      <c r="N267" s="11"/>
    </row>
    <row r="268" customFormat="false" ht="15" hidden="false" customHeight="false" outlineLevel="0" collapsed="false">
      <c r="A268" s="23"/>
      <c r="B268" s="24"/>
      <c r="C268" s="31" t="str">
        <f aca="false">IF(A268="","",SUBSTITUTE(SUBSTITUTE(SUBSTITUTE(SUBSTITUTE(SUBSTITUTE(SUBSTITUTE(SUBSTITUTE(SUBSTITUTE(SUBSTITUTE(SUBSTITUTE(SUBSTITUTE(SUBSTITUTE(SUBSTITUTE(UPPER(TRIM(A268)),"Á","A"),"À","A"),"Â","A"),"Ã","A"),"É","E"),"Ê","E"),"Í","I"),"Ó","O"),"Ô","O"),"Õ","O"),"Ú","U"),"Ü","U"),"Ç","C"))</f>
        <v/>
      </c>
      <c r="D268" s="31" t="str">
        <f aca="false">IF(B268="","",IF(LEN(SUBSTITUTE(SUBSTITUTE(SUBSTITUTE(SUBSTITUTE(TRIM(B268),"*",""),".",""),"-","")," ",""))=11,MID(SUBSTITUTE(SUBSTITUTE(SUBSTITUTE(SUBSTITUTE(TRIM(B268),"*",""),".",""),"-","")," ",""),4,6),SUBSTITUTE(SUBSTITUTE(SUBSTITUTE(SUBSTITUTE(TRIM(B268),"*",""),".",""),"-","")," ","")))</f>
        <v/>
      </c>
      <c r="E268" s="31" t="str">
        <f aca="false">IF(OR(C268="",D268=""),"",C268&amp;"|"&amp;D268)</f>
        <v/>
      </c>
      <c r="F268" s="11"/>
      <c r="G268" s="11"/>
      <c r="H268" s="22"/>
      <c r="I268" s="23"/>
      <c r="J268" s="11"/>
      <c r="K268" s="25" t="str">
        <f aca="false">IF(C268="","",IF(E268&lt;&gt;"",COUNTIF(Socios!$H:$H,E268),IF(COUNTIF(Socios!$F:$F,C268)&gt;0,"nome igual em Socios: confira o CPF","sem CPF: não cruzado")))</f>
        <v/>
      </c>
      <c r="L268" s="27" t="str">
        <f aca="false">IF(E268="","",COUNTIFS(Eleitoral!$K:$K,E268,Eleitoral!$E:$E,"Doação recebida"))</f>
        <v/>
      </c>
      <c r="M268" s="24"/>
      <c r="N268" s="11"/>
    </row>
    <row r="269" customFormat="false" ht="15" hidden="false" customHeight="false" outlineLevel="0" collapsed="false">
      <c r="A269" s="23"/>
      <c r="B269" s="24"/>
      <c r="C269" s="31" t="str">
        <f aca="false">IF(A269="","",SUBSTITUTE(SUBSTITUTE(SUBSTITUTE(SUBSTITUTE(SUBSTITUTE(SUBSTITUTE(SUBSTITUTE(SUBSTITUTE(SUBSTITUTE(SUBSTITUTE(SUBSTITUTE(SUBSTITUTE(SUBSTITUTE(UPPER(TRIM(A269)),"Á","A"),"À","A"),"Â","A"),"Ã","A"),"É","E"),"Ê","E"),"Í","I"),"Ó","O"),"Ô","O"),"Õ","O"),"Ú","U"),"Ü","U"),"Ç","C"))</f>
        <v/>
      </c>
      <c r="D269" s="31" t="str">
        <f aca="false">IF(B269="","",IF(LEN(SUBSTITUTE(SUBSTITUTE(SUBSTITUTE(SUBSTITUTE(TRIM(B269),"*",""),".",""),"-","")," ",""))=11,MID(SUBSTITUTE(SUBSTITUTE(SUBSTITUTE(SUBSTITUTE(TRIM(B269),"*",""),".",""),"-","")," ",""),4,6),SUBSTITUTE(SUBSTITUTE(SUBSTITUTE(SUBSTITUTE(TRIM(B269),"*",""),".",""),"-","")," ","")))</f>
        <v/>
      </c>
      <c r="E269" s="31" t="str">
        <f aca="false">IF(OR(C269="",D269=""),"",C269&amp;"|"&amp;D269)</f>
        <v/>
      </c>
      <c r="F269" s="11"/>
      <c r="G269" s="11"/>
      <c r="H269" s="22"/>
      <c r="I269" s="23"/>
      <c r="J269" s="11"/>
      <c r="K269" s="25" t="str">
        <f aca="false">IF(C269="","",IF(E269&lt;&gt;"",COUNTIF(Socios!$H:$H,E269),IF(COUNTIF(Socios!$F:$F,C269)&gt;0,"nome igual em Socios: confira o CPF","sem CPF: não cruzado")))</f>
        <v/>
      </c>
      <c r="L269" s="27" t="str">
        <f aca="false">IF(E269="","",COUNTIFS(Eleitoral!$K:$K,E269,Eleitoral!$E:$E,"Doação recebida"))</f>
        <v/>
      </c>
      <c r="M269" s="24"/>
      <c r="N269" s="11"/>
    </row>
    <row r="270" customFormat="false" ht="15" hidden="false" customHeight="false" outlineLevel="0" collapsed="false">
      <c r="A270" s="23"/>
      <c r="B270" s="24"/>
      <c r="C270" s="31" t="str">
        <f aca="false">IF(A270="","",SUBSTITUTE(SUBSTITUTE(SUBSTITUTE(SUBSTITUTE(SUBSTITUTE(SUBSTITUTE(SUBSTITUTE(SUBSTITUTE(SUBSTITUTE(SUBSTITUTE(SUBSTITUTE(SUBSTITUTE(SUBSTITUTE(UPPER(TRIM(A270)),"Á","A"),"À","A"),"Â","A"),"Ã","A"),"É","E"),"Ê","E"),"Í","I"),"Ó","O"),"Ô","O"),"Õ","O"),"Ú","U"),"Ü","U"),"Ç","C"))</f>
        <v/>
      </c>
      <c r="D270" s="31" t="str">
        <f aca="false">IF(B270="","",IF(LEN(SUBSTITUTE(SUBSTITUTE(SUBSTITUTE(SUBSTITUTE(TRIM(B270),"*",""),".",""),"-","")," ",""))=11,MID(SUBSTITUTE(SUBSTITUTE(SUBSTITUTE(SUBSTITUTE(TRIM(B270),"*",""),".",""),"-","")," ",""),4,6),SUBSTITUTE(SUBSTITUTE(SUBSTITUTE(SUBSTITUTE(TRIM(B270),"*",""),".",""),"-","")," ","")))</f>
        <v/>
      </c>
      <c r="E270" s="31" t="str">
        <f aca="false">IF(OR(C270="",D270=""),"",C270&amp;"|"&amp;D270)</f>
        <v/>
      </c>
      <c r="F270" s="11"/>
      <c r="G270" s="11"/>
      <c r="H270" s="22"/>
      <c r="I270" s="23"/>
      <c r="J270" s="11"/>
      <c r="K270" s="25" t="str">
        <f aca="false">IF(C270="","",IF(E270&lt;&gt;"",COUNTIF(Socios!$H:$H,E270),IF(COUNTIF(Socios!$F:$F,C270)&gt;0,"nome igual em Socios: confira o CPF","sem CPF: não cruzado")))</f>
        <v/>
      </c>
      <c r="L270" s="27" t="str">
        <f aca="false">IF(E270="","",COUNTIFS(Eleitoral!$K:$K,E270,Eleitoral!$E:$E,"Doação recebida"))</f>
        <v/>
      </c>
      <c r="M270" s="24"/>
      <c r="N270" s="11"/>
    </row>
    <row r="271" customFormat="false" ht="15" hidden="false" customHeight="false" outlineLevel="0" collapsed="false">
      <c r="A271" s="23"/>
      <c r="B271" s="24"/>
      <c r="C271" s="31" t="str">
        <f aca="false">IF(A271="","",SUBSTITUTE(SUBSTITUTE(SUBSTITUTE(SUBSTITUTE(SUBSTITUTE(SUBSTITUTE(SUBSTITUTE(SUBSTITUTE(SUBSTITUTE(SUBSTITUTE(SUBSTITUTE(SUBSTITUTE(SUBSTITUTE(UPPER(TRIM(A271)),"Á","A"),"À","A"),"Â","A"),"Ã","A"),"É","E"),"Ê","E"),"Í","I"),"Ó","O"),"Ô","O"),"Õ","O"),"Ú","U"),"Ü","U"),"Ç","C"))</f>
        <v/>
      </c>
      <c r="D271" s="31" t="str">
        <f aca="false">IF(B271="","",IF(LEN(SUBSTITUTE(SUBSTITUTE(SUBSTITUTE(SUBSTITUTE(TRIM(B271),"*",""),".",""),"-","")," ",""))=11,MID(SUBSTITUTE(SUBSTITUTE(SUBSTITUTE(SUBSTITUTE(TRIM(B271),"*",""),".",""),"-","")," ",""),4,6),SUBSTITUTE(SUBSTITUTE(SUBSTITUTE(SUBSTITUTE(TRIM(B271),"*",""),".",""),"-","")," ","")))</f>
        <v/>
      </c>
      <c r="E271" s="31" t="str">
        <f aca="false">IF(OR(C271="",D271=""),"",C271&amp;"|"&amp;D271)</f>
        <v/>
      </c>
      <c r="F271" s="11"/>
      <c r="G271" s="11"/>
      <c r="H271" s="22"/>
      <c r="I271" s="23"/>
      <c r="J271" s="11"/>
      <c r="K271" s="25" t="str">
        <f aca="false">IF(C271="","",IF(E271&lt;&gt;"",COUNTIF(Socios!$H:$H,E271),IF(COUNTIF(Socios!$F:$F,C271)&gt;0,"nome igual em Socios: confira o CPF","sem CPF: não cruzado")))</f>
        <v/>
      </c>
      <c r="L271" s="27" t="str">
        <f aca="false">IF(E271="","",COUNTIFS(Eleitoral!$K:$K,E271,Eleitoral!$E:$E,"Doação recebida"))</f>
        <v/>
      </c>
      <c r="M271" s="24"/>
      <c r="N271" s="11"/>
    </row>
    <row r="272" customFormat="false" ht="15" hidden="false" customHeight="false" outlineLevel="0" collapsed="false">
      <c r="A272" s="23"/>
      <c r="B272" s="24"/>
      <c r="C272" s="31" t="str">
        <f aca="false">IF(A272="","",SUBSTITUTE(SUBSTITUTE(SUBSTITUTE(SUBSTITUTE(SUBSTITUTE(SUBSTITUTE(SUBSTITUTE(SUBSTITUTE(SUBSTITUTE(SUBSTITUTE(SUBSTITUTE(SUBSTITUTE(SUBSTITUTE(UPPER(TRIM(A272)),"Á","A"),"À","A"),"Â","A"),"Ã","A"),"É","E"),"Ê","E"),"Í","I"),"Ó","O"),"Ô","O"),"Õ","O"),"Ú","U"),"Ü","U"),"Ç","C"))</f>
        <v/>
      </c>
      <c r="D272" s="31" t="str">
        <f aca="false">IF(B272="","",IF(LEN(SUBSTITUTE(SUBSTITUTE(SUBSTITUTE(SUBSTITUTE(TRIM(B272),"*",""),".",""),"-","")," ",""))=11,MID(SUBSTITUTE(SUBSTITUTE(SUBSTITUTE(SUBSTITUTE(TRIM(B272),"*",""),".",""),"-","")," ",""),4,6),SUBSTITUTE(SUBSTITUTE(SUBSTITUTE(SUBSTITUTE(TRIM(B272),"*",""),".",""),"-","")," ","")))</f>
        <v/>
      </c>
      <c r="E272" s="31" t="str">
        <f aca="false">IF(OR(C272="",D272=""),"",C272&amp;"|"&amp;D272)</f>
        <v/>
      </c>
      <c r="F272" s="11"/>
      <c r="G272" s="11"/>
      <c r="H272" s="22"/>
      <c r="I272" s="23"/>
      <c r="J272" s="11"/>
      <c r="K272" s="25" t="str">
        <f aca="false">IF(C272="","",IF(E272&lt;&gt;"",COUNTIF(Socios!$H:$H,E272),IF(COUNTIF(Socios!$F:$F,C272)&gt;0,"nome igual em Socios: confira o CPF","sem CPF: não cruzado")))</f>
        <v/>
      </c>
      <c r="L272" s="27" t="str">
        <f aca="false">IF(E272="","",COUNTIFS(Eleitoral!$K:$K,E272,Eleitoral!$E:$E,"Doação recebida"))</f>
        <v/>
      </c>
      <c r="M272" s="24"/>
      <c r="N272" s="11"/>
    </row>
    <row r="273" customFormat="false" ht="15" hidden="false" customHeight="false" outlineLevel="0" collapsed="false">
      <c r="A273" s="23"/>
      <c r="B273" s="24"/>
      <c r="C273" s="31" t="str">
        <f aca="false">IF(A273="","",SUBSTITUTE(SUBSTITUTE(SUBSTITUTE(SUBSTITUTE(SUBSTITUTE(SUBSTITUTE(SUBSTITUTE(SUBSTITUTE(SUBSTITUTE(SUBSTITUTE(SUBSTITUTE(SUBSTITUTE(SUBSTITUTE(UPPER(TRIM(A273)),"Á","A"),"À","A"),"Â","A"),"Ã","A"),"É","E"),"Ê","E"),"Í","I"),"Ó","O"),"Ô","O"),"Õ","O"),"Ú","U"),"Ü","U"),"Ç","C"))</f>
        <v/>
      </c>
      <c r="D273" s="31" t="str">
        <f aca="false">IF(B273="","",IF(LEN(SUBSTITUTE(SUBSTITUTE(SUBSTITUTE(SUBSTITUTE(TRIM(B273),"*",""),".",""),"-","")," ",""))=11,MID(SUBSTITUTE(SUBSTITUTE(SUBSTITUTE(SUBSTITUTE(TRIM(B273),"*",""),".",""),"-","")," ",""),4,6),SUBSTITUTE(SUBSTITUTE(SUBSTITUTE(SUBSTITUTE(TRIM(B273),"*",""),".",""),"-","")," ","")))</f>
        <v/>
      </c>
      <c r="E273" s="31" t="str">
        <f aca="false">IF(OR(C273="",D273=""),"",C273&amp;"|"&amp;D273)</f>
        <v/>
      </c>
      <c r="F273" s="11"/>
      <c r="G273" s="11"/>
      <c r="H273" s="22"/>
      <c r="I273" s="23"/>
      <c r="J273" s="11"/>
      <c r="K273" s="25" t="str">
        <f aca="false">IF(C273="","",IF(E273&lt;&gt;"",COUNTIF(Socios!$H:$H,E273),IF(COUNTIF(Socios!$F:$F,C273)&gt;0,"nome igual em Socios: confira o CPF","sem CPF: não cruzado")))</f>
        <v/>
      </c>
      <c r="L273" s="27" t="str">
        <f aca="false">IF(E273="","",COUNTIFS(Eleitoral!$K:$K,E273,Eleitoral!$E:$E,"Doação recebida"))</f>
        <v/>
      </c>
      <c r="M273" s="24"/>
      <c r="N273" s="11"/>
    </row>
    <row r="274" customFormat="false" ht="15" hidden="false" customHeight="false" outlineLevel="0" collapsed="false">
      <c r="A274" s="23"/>
      <c r="B274" s="24"/>
      <c r="C274" s="31" t="str">
        <f aca="false">IF(A274="","",SUBSTITUTE(SUBSTITUTE(SUBSTITUTE(SUBSTITUTE(SUBSTITUTE(SUBSTITUTE(SUBSTITUTE(SUBSTITUTE(SUBSTITUTE(SUBSTITUTE(SUBSTITUTE(SUBSTITUTE(SUBSTITUTE(UPPER(TRIM(A274)),"Á","A"),"À","A"),"Â","A"),"Ã","A"),"É","E"),"Ê","E"),"Í","I"),"Ó","O"),"Ô","O"),"Õ","O"),"Ú","U"),"Ü","U"),"Ç","C"))</f>
        <v/>
      </c>
      <c r="D274" s="31" t="str">
        <f aca="false">IF(B274="","",IF(LEN(SUBSTITUTE(SUBSTITUTE(SUBSTITUTE(SUBSTITUTE(TRIM(B274),"*",""),".",""),"-","")," ",""))=11,MID(SUBSTITUTE(SUBSTITUTE(SUBSTITUTE(SUBSTITUTE(TRIM(B274),"*",""),".",""),"-","")," ",""),4,6),SUBSTITUTE(SUBSTITUTE(SUBSTITUTE(SUBSTITUTE(TRIM(B274),"*",""),".",""),"-","")," ","")))</f>
        <v/>
      </c>
      <c r="E274" s="31" t="str">
        <f aca="false">IF(OR(C274="",D274=""),"",C274&amp;"|"&amp;D274)</f>
        <v/>
      </c>
      <c r="F274" s="11"/>
      <c r="G274" s="11"/>
      <c r="H274" s="22"/>
      <c r="I274" s="23"/>
      <c r="J274" s="11"/>
      <c r="K274" s="25" t="str">
        <f aca="false">IF(C274="","",IF(E274&lt;&gt;"",COUNTIF(Socios!$H:$H,E274),IF(COUNTIF(Socios!$F:$F,C274)&gt;0,"nome igual em Socios: confira o CPF","sem CPF: não cruzado")))</f>
        <v/>
      </c>
      <c r="L274" s="27" t="str">
        <f aca="false">IF(E274="","",COUNTIFS(Eleitoral!$K:$K,E274,Eleitoral!$E:$E,"Doação recebida"))</f>
        <v/>
      </c>
      <c r="M274" s="24"/>
      <c r="N274" s="11"/>
    </row>
    <row r="275" customFormat="false" ht="15" hidden="false" customHeight="false" outlineLevel="0" collapsed="false">
      <c r="A275" s="23"/>
      <c r="B275" s="24"/>
      <c r="C275" s="31" t="str">
        <f aca="false">IF(A275="","",SUBSTITUTE(SUBSTITUTE(SUBSTITUTE(SUBSTITUTE(SUBSTITUTE(SUBSTITUTE(SUBSTITUTE(SUBSTITUTE(SUBSTITUTE(SUBSTITUTE(SUBSTITUTE(SUBSTITUTE(SUBSTITUTE(UPPER(TRIM(A275)),"Á","A"),"À","A"),"Â","A"),"Ã","A"),"É","E"),"Ê","E"),"Í","I"),"Ó","O"),"Ô","O"),"Õ","O"),"Ú","U"),"Ü","U"),"Ç","C"))</f>
        <v/>
      </c>
      <c r="D275" s="31" t="str">
        <f aca="false">IF(B275="","",IF(LEN(SUBSTITUTE(SUBSTITUTE(SUBSTITUTE(SUBSTITUTE(TRIM(B275),"*",""),".",""),"-","")," ",""))=11,MID(SUBSTITUTE(SUBSTITUTE(SUBSTITUTE(SUBSTITUTE(TRIM(B275),"*",""),".",""),"-","")," ",""),4,6),SUBSTITUTE(SUBSTITUTE(SUBSTITUTE(SUBSTITUTE(TRIM(B275),"*",""),".",""),"-","")," ","")))</f>
        <v/>
      </c>
      <c r="E275" s="31" t="str">
        <f aca="false">IF(OR(C275="",D275=""),"",C275&amp;"|"&amp;D275)</f>
        <v/>
      </c>
      <c r="F275" s="11"/>
      <c r="G275" s="11"/>
      <c r="H275" s="22"/>
      <c r="I275" s="23"/>
      <c r="J275" s="11"/>
      <c r="K275" s="25" t="str">
        <f aca="false">IF(C275="","",IF(E275&lt;&gt;"",COUNTIF(Socios!$H:$H,E275),IF(COUNTIF(Socios!$F:$F,C275)&gt;0,"nome igual em Socios: confira o CPF","sem CPF: não cruzado")))</f>
        <v/>
      </c>
      <c r="L275" s="27" t="str">
        <f aca="false">IF(E275="","",COUNTIFS(Eleitoral!$K:$K,E275,Eleitoral!$E:$E,"Doação recebida"))</f>
        <v/>
      </c>
      <c r="M275" s="24"/>
      <c r="N275" s="11"/>
    </row>
    <row r="276" customFormat="false" ht="15" hidden="false" customHeight="false" outlineLevel="0" collapsed="false">
      <c r="A276" s="23"/>
      <c r="B276" s="24"/>
      <c r="C276" s="31" t="str">
        <f aca="false">IF(A276="","",SUBSTITUTE(SUBSTITUTE(SUBSTITUTE(SUBSTITUTE(SUBSTITUTE(SUBSTITUTE(SUBSTITUTE(SUBSTITUTE(SUBSTITUTE(SUBSTITUTE(SUBSTITUTE(SUBSTITUTE(SUBSTITUTE(UPPER(TRIM(A276)),"Á","A"),"À","A"),"Â","A"),"Ã","A"),"É","E"),"Ê","E"),"Í","I"),"Ó","O"),"Ô","O"),"Õ","O"),"Ú","U"),"Ü","U"),"Ç","C"))</f>
        <v/>
      </c>
      <c r="D276" s="31" t="str">
        <f aca="false">IF(B276="","",IF(LEN(SUBSTITUTE(SUBSTITUTE(SUBSTITUTE(SUBSTITUTE(TRIM(B276),"*",""),".",""),"-","")," ",""))=11,MID(SUBSTITUTE(SUBSTITUTE(SUBSTITUTE(SUBSTITUTE(TRIM(B276),"*",""),".",""),"-","")," ",""),4,6),SUBSTITUTE(SUBSTITUTE(SUBSTITUTE(SUBSTITUTE(TRIM(B276),"*",""),".",""),"-","")," ","")))</f>
        <v/>
      </c>
      <c r="E276" s="31" t="str">
        <f aca="false">IF(OR(C276="",D276=""),"",C276&amp;"|"&amp;D276)</f>
        <v/>
      </c>
      <c r="F276" s="11"/>
      <c r="G276" s="11"/>
      <c r="H276" s="22"/>
      <c r="I276" s="23"/>
      <c r="J276" s="11"/>
      <c r="K276" s="25" t="str">
        <f aca="false">IF(C276="","",IF(E276&lt;&gt;"",COUNTIF(Socios!$H:$H,E276),IF(COUNTIF(Socios!$F:$F,C276)&gt;0,"nome igual em Socios: confira o CPF","sem CPF: não cruzado")))</f>
        <v/>
      </c>
      <c r="L276" s="27" t="str">
        <f aca="false">IF(E276="","",COUNTIFS(Eleitoral!$K:$K,E276,Eleitoral!$E:$E,"Doação recebida"))</f>
        <v/>
      </c>
      <c r="M276" s="24"/>
      <c r="N276" s="11"/>
    </row>
    <row r="277" customFormat="false" ht="15" hidden="false" customHeight="false" outlineLevel="0" collapsed="false">
      <c r="A277" s="23"/>
      <c r="B277" s="24"/>
      <c r="C277" s="31" t="str">
        <f aca="false">IF(A277="","",SUBSTITUTE(SUBSTITUTE(SUBSTITUTE(SUBSTITUTE(SUBSTITUTE(SUBSTITUTE(SUBSTITUTE(SUBSTITUTE(SUBSTITUTE(SUBSTITUTE(SUBSTITUTE(SUBSTITUTE(SUBSTITUTE(UPPER(TRIM(A277)),"Á","A"),"À","A"),"Â","A"),"Ã","A"),"É","E"),"Ê","E"),"Í","I"),"Ó","O"),"Ô","O"),"Õ","O"),"Ú","U"),"Ü","U"),"Ç","C"))</f>
        <v/>
      </c>
      <c r="D277" s="31" t="str">
        <f aca="false">IF(B277="","",IF(LEN(SUBSTITUTE(SUBSTITUTE(SUBSTITUTE(SUBSTITUTE(TRIM(B277),"*",""),".",""),"-","")," ",""))=11,MID(SUBSTITUTE(SUBSTITUTE(SUBSTITUTE(SUBSTITUTE(TRIM(B277),"*",""),".",""),"-","")," ",""),4,6),SUBSTITUTE(SUBSTITUTE(SUBSTITUTE(SUBSTITUTE(TRIM(B277),"*",""),".",""),"-","")," ","")))</f>
        <v/>
      </c>
      <c r="E277" s="31" t="str">
        <f aca="false">IF(OR(C277="",D277=""),"",C277&amp;"|"&amp;D277)</f>
        <v/>
      </c>
      <c r="F277" s="11"/>
      <c r="G277" s="11"/>
      <c r="H277" s="22"/>
      <c r="I277" s="23"/>
      <c r="J277" s="11"/>
      <c r="K277" s="25" t="str">
        <f aca="false">IF(C277="","",IF(E277&lt;&gt;"",COUNTIF(Socios!$H:$H,E277),IF(COUNTIF(Socios!$F:$F,C277)&gt;0,"nome igual em Socios: confira o CPF","sem CPF: não cruzado")))</f>
        <v/>
      </c>
      <c r="L277" s="27" t="str">
        <f aca="false">IF(E277="","",COUNTIFS(Eleitoral!$K:$K,E277,Eleitoral!$E:$E,"Doação recebida"))</f>
        <v/>
      </c>
      <c r="M277" s="24"/>
      <c r="N277" s="11"/>
    </row>
    <row r="278" customFormat="false" ht="15" hidden="false" customHeight="false" outlineLevel="0" collapsed="false">
      <c r="A278" s="23"/>
      <c r="B278" s="24"/>
      <c r="C278" s="31" t="str">
        <f aca="false">IF(A278="","",SUBSTITUTE(SUBSTITUTE(SUBSTITUTE(SUBSTITUTE(SUBSTITUTE(SUBSTITUTE(SUBSTITUTE(SUBSTITUTE(SUBSTITUTE(SUBSTITUTE(SUBSTITUTE(SUBSTITUTE(SUBSTITUTE(UPPER(TRIM(A278)),"Á","A"),"À","A"),"Â","A"),"Ã","A"),"É","E"),"Ê","E"),"Í","I"),"Ó","O"),"Ô","O"),"Õ","O"),"Ú","U"),"Ü","U"),"Ç","C"))</f>
        <v/>
      </c>
      <c r="D278" s="31" t="str">
        <f aca="false">IF(B278="","",IF(LEN(SUBSTITUTE(SUBSTITUTE(SUBSTITUTE(SUBSTITUTE(TRIM(B278),"*",""),".",""),"-","")," ",""))=11,MID(SUBSTITUTE(SUBSTITUTE(SUBSTITUTE(SUBSTITUTE(TRIM(B278),"*",""),".",""),"-","")," ",""),4,6),SUBSTITUTE(SUBSTITUTE(SUBSTITUTE(SUBSTITUTE(TRIM(B278),"*",""),".",""),"-","")," ","")))</f>
        <v/>
      </c>
      <c r="E278" s="31" t="str">
        <f aca="false">IF(OR(C278="",D278=""),"",C278&amp;"|"&amp;D278)</f>
        <v/>
      </c>
      <c r="F278" s="11"/>
      <c r="G278" s="11"/>
      <c r="H278" s="22"/>
      <c r="I278" s="23"/>
      <c r="J278" s="11"/>
      <c r="K278" s="25" t="str">
        <f aca="false">IF(C278="","",IF(E278&lt;&gt;"",COUNTIF(Socios!$H:$H,E278),IF(COUNTIF(Socios!$F:$F,C278)&gt;0,"nome igual em Socios: confira o CPF","sem CPF: não cruzado")))</f>
        <v/>
      </c>
      <c r="L278" s="27" t="str">
        <f aca="false">IF(E278="","",COUNTIFS(Eleitoral!$K:$K,E278,Eleitoral!$E:$E,"Doação recebida"))</f>
        <v/>
      </c>
      <c r="M278" s="24"/>
      <c r="N278" s="11"/>
    </row>
    <row r="279" customFormat="false" ht="15" hidden="false" customHeight="false" outlineLevel="0" collapsed="false">
      <c r="A279" s="23"/>
      <c r="B279" s="24"/>
      <c r="C279" s="31" t="str">
        <f aca="false">IF(A279="","",SUBSTITUTE(SUBSTITUTE(SUBSTITUTE(SUBSTITUTE(SUBSTITUTE(SUBSTITUTE(SUBSTITUTE(SUBSTITUTE(SUBSTITUTE(SUBSTITUTE(SUBSTITUTE(SUBSTITUTE(SUBSTITUTE(UPPER(TRIM(A279)),"Á","A"),"À","A"),"Â","A"),"Ã","A"),"É","E"),"Ê","E"),"Í","I"),"Ó","O"),"Ô","O"),"Õ","O"),"Ú","U"),"Ü","U"),"Ç","C"))</f>
        <v/>
      </c>
      <c r="D279" s="31" t="str">
        <f aca="false">IF(B279="","",IF(LEN(SUBSTITUTE(SUBSTITUTE(SUBSTITUTE(SUBSTITUTE(TRIM(B279),"*",""),".",""),"-","")," ",""))=11,MID(SUBSTITUTE(SUBSTITUTE(SUBSTITUTE(SUBSTITUTE(TRIM(B279),"*",""),".",""),"-","")," ",""),4,6),SUBSTITUTE(SUBSTITUTE(SUBSTITUTE(SUBSTITUTE(TRIM(B279),"*",""),".",""),"-","")," ","")))</f>
        <v/>
      </c>
      <c r="E279" s="31" t="str">
        <f aca="false">IF(OR(C279="",D279=""),"",C279&amp;"|"&amp;D279)</f>
        <v/>
      </c>
      <c r="F279" s="11"/>
      <c r="G279" s="11"/>
      <c r="H279" s="22"/>
      <c r="I279" s="23"/>
      <c r="J279" s="11"/>
      <c r="K279" s="25" t="str">
        <f aca="false">IF(C279="","",IF(E279&lt;&gt;"",COUNTIF(Socios!$H:$H,E279),IF(COUNTIF(Socios!$F:$F,C279)&gt;0,"nome igual em Socios: confira o CPF","sem CPF: não cruzado")))</f>
        <v/>
      </c>
      <c r="L279" s="27" t="str">
        <f aca="false">IF(E279="","",COUNTIFS(Eleitoral!$K:$K,E279,Eleitoral!$E:$E,"Doação recebida"))</f>
        <v/>
      </c>
      <c r="M279" s="24"/>
      <c r="N279" s="11"/>
    </row>
    <row r="280" customFormat="false" ht="15" hidden="false" customHeight="false" outlineLevel="0" collapsed="false">
      <c r="A280" s="23"/>
      <c r="B280" s="24"/>
      <c r="C280" s="31" t="str">
        <f aca="false">IF(A280="","",SUBSTITUTE(SUBSTITUTE(SUBSTITUTE(SUBSTITUTE(SUBSTITUTE(SUBSTITUTE(SUBSTITUTE(SUBSTITUTE(SUBSTITUTE(SUBSTITUTE(SUBSTITUTE(SUBSTITUTE(SUBSTITUTE(UPPER(TRIM(A280)),"Á","A"),"À","A"),"Â","A"),"Ã","A"),"É","E"),"Ê","E"),"Í","I"),"Ó","O"),"Ô","O"),"Õ","O"),"Ú","U"),"Ü","U"),"Ç","C"))</f>
        <v/>
      </c>
      <c r="D280" s="31" t="str">
        <f aca="false">IF(B280="","",IF(LEN(SUBSTITUTE(SUBSTITUTE(SUBSTITUTE(SUBSTITUTE(TRIM(B280),"*",""),".",""),"-","")," ",""))=11,MID(SUBSTITUTE(SUBSTITUTE(SUBSTITUTE(SUBSTITUTE(TRIM(B280),"*",""),".",""),"-","")," ",""),4,6),SUBSTITUTE(SUBSTITUTE(SUBSTITUTE(SUBSTITUTE(TRIM(B280),"*",""),".",""),"-","")," ","")))</f>
        <v/>
      </c>
      <c r="E280" s="31" t="str">
        <f aca="false">IF(OR(C280="",D280=""),"",C280&amp;"|"&amp;D280)</f>
        <v/>
      </c>
      <c r="F280" s="11"/>
      <c r="G280" s="11"/>
      <c r="H280" s="22"/>
      <c r="I280" s="23"/>
      <c r="J280" s="11"/>
      <c r="K280" s="25" t="str">
        <f aca="false">IF(C280="","",IF(E280&lt;&gt;"",COUNTIF(Socios!$H:$H,E280),IF(COUNTIF(Socios!$F:$F,C280)&gt;0,"nome igual em Socios: confira o CPF","sem CPF: não cruzado")))</f>
        <v/>
      </c>
      <c r="L280" s="27" t="str">
        <f aca="false">IF(E280="","",COUNTIFS(Eleitoral!$K:$K,E280,Eleitoral!$E:$E,"Doação recebida"))</f>
        <v/>
      </c>
      <c r="M280" s="24"/>
      <c r="N280" s="11"/>
    </row>
    <row r="281" customFormat="false" ht="15" hidden="false" customHeight="false" outlineLevel="0" collapsed="false">
      <c r="A281" s="23"/>
      <c r="B281" s="24"/>
      <c r="C281" s="31" t="str">
        <f aca="false">IF(A281="","",SUBSTITUTE(SUBSTITUTE(SUBSTITUTE(SUBSTITUTE(SUBSTITUTE(SUBSTITUTE(SUBSTITUTE(SUBSTITUTE(SUBSTITUTE(SUBSTITUTE(SUBSTITUTE(SUBSTITUTE(SUBSTITUTE(UPPER(TRIM(A281)),"Á","A"),"À","A"),"Â","A"),"Ã","A"),"É","E"),"Ê","E"),"Í","I"),"Ó","O"),"Ô","O"),"Õ","O"),"Ú","U"),"Ü","U"),"Ç","C"))</f>
        <v/>
      </c>
      <c r="D281" s="31" t="str">
        <f aca="false">IF(B281="","",IF(LEN(SUBSTITUTE(SUBSTITUTE(SUBSTITUTE(SUBSTITUTE(TRIM(B281),"*",""),".",""),"-","")," ",""))=11,MID(SUBSTITUTE(SUBSTITUTE(SUBSTITUTE(SUBSTITUTE(TRIM(B281),"*",""),".",""),"-","")," ",""),4,6),SUBSTITUTE(SUBSTITUTE(SUBSTITUTE(SUBSTITUTE(TRIM(B281),"*",""),".",""),"-","")," ","")))</f>
        <v/>
      </c>
      <c r="E281" s="31" t="str">
        <f aca="false">IF(OR(C281="",D281=""),"",C281&amp;"|"&amp;D281)</f>
        <v/>
      </c>
      <c r="F281" s="11"/>
      <c r="G281" s="11"/>
      <c r="H281" s="22"/>
      <c r="I281" s="23"/>
      <c r="J281" s="11"/>
      <c r="K281" s="25" t="str">
        <f aca="false">IF(C281="","",IF(E281&lt;&gt;"",COUNTIF(Socios!$H:$H,E281),IF(COUNTIF(Socios!$F:$F,C281)&gt;0,"nome igual em Socios: confira o CPF","sem CPF: não cruzado")))</f>
        <v/>
      </c>
      <c r="L281" s="27" t="str">
        <f aca="false">IF(E281="","",COUNTIFS(Eleitoral!$K:$K,E281,Eleitoral!$E:$E,"Doação recebida"))</f>
        <v/>
      </c>
      <c r="M281" s="24"/>
      <c r="N281" s="11"/>
    </row>
    <row r="282" customFormat="false" ht="15" hidden="false" customHeight="false" outlineLevel="0" collapsed="false">
      <c r="A282" s="23"/>
      <c r="B282" s="24"/>
      <c r="C282" s="31" t="str">
        <f aca="false">IF(A282="","",SUBSTITUTE(SUBSTITUTE(SUBSTITUTE(SUBSTITUTE(SUBSTITUTE(SUBSTITUTE(SUBSTITUTE(SUBSTITUTE(SUBSTITUTE(SUBSTITUTE(SUBSTITUTE(SUBSTITUTE(SUBSTITUTE(UPPER(TRIM(A282)),"Á","A"),"À","A"),"Â","A"),"Ã","A"),"É","E"),"Ê","E"),"Í","I"),"Ó","O"),"Ô","O"),"Õ","O"),"Ú","U"),"Ü","U"),"Ç","C"))</f>
        <v/>
      </c>
      <c r="D282" s="31" t="str">
        <f aca="false">IF(B282="","",IF(LEN(SUBSTITUTE(SUBSTITUTE(SUBSTITUTE(SUBSTITUTE(TRIM(B282),"*",""),".",""),"-","")," ",""))=11,MID(SUBSTITUTE(SUBSTITUTE(SUBSTITUTE(SUBSTITUTE(TRIM(B282),"*",""),".",""),"-","")," ",""),4,6),SUBSTITUTE(SUBSTITUTE(SUBSTITUTE(SUBSTITUTE(TRIM(B282),"*",""),".",""),"-","")," ","")))</f>
        <v/>
      </c>
      <c r="E282" s="31" t="str">
        <f aca="false">IF(OR(C282="",D282=""),"",C282&amp;"|"&amp;D282)</f>
        <v/>
      </c>
      <c r="F282" s="11"/>
      <c r="G282" s="11"/>
      <c r="H282" s="22"/>
      <c r="I282" s="23"/>
      <c r="J282" s="11"/>
      <c r="K282" s="25" t="str">
        <f aca="false">IF(C282="","",IF(E282&lt;&gt;"",COUNTIF(Socios!$H:$H,E282),IF(COUNTIF(Socios!$F:$F,C282)&gt;0,"nome igual em Socios: confira o CPF","sem CPF: não cruzado")))</f>
        <v/>
      </c>
      <c r="L282" s="27" t="str">
        <f aca="false">IF(E282="","",COUNTIFS(Eleitoral!$K:$K,E282,Eleitoral!$E:$E,"Doação recebida"))</f>
        <v/>
      </c>
      <c r="M282" s="24"/>
      <c r="N282" s="11"/>
    </row>
    <row r="283" customFormat="false" ht="15" hidden="false" customHeight="false" outlineLevel="0" collapsed="false">
      <c r="A283" s="23"/>
      <c r="B283" s="24"/>
      <c r="C283" s="31" t="str">
        <f aca="false">IF(A283="","",SUBSTITUTE(SUBSTITUTE(SUBSTITUTE(SUBSTITUTE(SUBSTITUTE(SUBSTITUTE(SUBSTITUTE(SUBSTITUTE(SUBSTITUTE(SUBSTITUTE(SUBSTITUTE(SUBSTITUTE(SUBSTITUTE(UPPER(TRIM(A283)),"Á","A"),"À","A"),"Â","A"),"Ã","A"),"É","E"),"Ê","E"),"Í","I"),"Ó","O"),"Ô","O"),"Õ","O"),"Ú","U"),"Ü","U"),"Ç","C"))</f>
        <v/>
      </c>
      <c r="D283" s="31" t="str">
        <f aca="false">IF(B283="","",IF(LEN(SUBSTITUTE(SUBSTITUTE(SUBSTITUTE(SUBSTITUTE(TRIM(B283),"*",""),".",""),"-","")," ",""))=11,MID(SUBSTITUTE(SUBSTITUTE(SUBSTITUTE(SUBSTITUTE(TRIM(B283),"*",""),".",""),"-","")," ",""),4,6),SUBSTITUTE(SUBSTITUTE(SUBSTITUTE(SUBSTITUTE(TRIM(B283),"*",""),".",""),"-","")," ","")))</f>
        <v/>
      </c>
      <c r="E283" s="31" t="str">
        <f aca="false">IF(OR(C283="",D283=""),"",C283&amp;"|"&amp;D283)</f>
        <v/>
      </c>
      <c r="F283" s="11"/>
      <c r="G283" s="11"/>
      <c r="H283" s="22"/>
      <c r="I283" s="23"/>
      <c r="J283" s="11"/>
      <c r="K283" s="25" t="str">
        <f aca="false">IF(C283="","",IF(E283&lt;&gt;"",COUNTIF(Socios!$H:$H,E283),IF(COUNTIF(Socios!$F:$F,C283)&gt;0,"nome igual em Socios: confira o CPF","sem CPF: não cruzado")))</f>
        <v/>
      </c>
      <c r="L283" s="27" t="str">
        <f aca="false">IF(E283="","",COUNTIFS(Eleitoral!$K:$K,E283,Eleitoral!$E:$E,"Doação recebida"))</f>
        <v/>
      </c>
      <c r="M283" s="24"/>
      <c r="N283" s="11"/>
    </row>
    <row r="284" customFormat="false" ht="15" hidden="false" customHeight="false" outlineLevel="0" collapsed="false">
      <c r="A284" s="23"/>
      <c r="B284" s="24"/>
      <c r="C284" s="31" t="str">
        <f aca="false">IF(A284="","",SUBSTITUTE(SUBSTITUTE(SUBSTITUTE(SUBSTITUTE(SUBSTITUTE(SUBSTITUTE(SUBSTITUTE(SUBSTITUTE(SUBSTITUTE(SUBSTITUTE(SUBSTITUTE(SUBSTITUTE(SUBSTITUTE(UPPER(TRIM(A284)),"Á","A"),"À","A"),"Â","A"),"Ã","A"),"É","E"),"Ê","E"),"Í","I"),"Ó","O"),"Ô","O"),"Õ","O"),"Ú","U"),"Ü","U"),"Ç","C"))</f>
        <v/>
      </c>
      <c r="D284" s="31" t="str">
        <f aca="false">IF(B284="","",IF(LEN(SUBSTITUTE(SUBSTITUTE(SUBSTITUTE(SUBSTITUTE(TRIM(B284),"*",""),".",""),"-","")," ",""))=11,MID(SUBSTITUTE(SUBSTITUTE(SUBSTITUTE(SUBSTITUTE(TRIM(B284),"*",""),".",""),"-","")," ",""),4,6),SUBSTITUTE(SUBSTITUTE(SUBSTITUTE(SUBSTITUTE(TRIM(B284),"*",""),".",""),"-","")," ","")))</f>
        <v/>
      </c>
      <c r="E284" s="31" t="str">
        <f aca="false">IF(OR(C284="",D284=""),"",C284&amp;"|"&amp;D284)</f>
        <v/>
      </c>
      <c r="F284" s="11"/>
      <c r="G284" s="11"/>
      <c r="H284" s="22"/>
      <c r="I284" s="23"/>
      <c r="J284" s="11"/>
      <c r="K284" s="25" t="str">
        <f aca="false">IF(C284="","",IF(E284&lt;&gt;"",COUNTIF(Socios!$H:$H,E284),IF(COUNTIF(Socios!$F:$F,C284)&gt;0,"nome igual em Socios: confira o CPF","sem CPF: não cruzado")))</f>
        <v/>
      </c>
      <c r="L284" s="27" t="str">
        <f aca="false">IF(E284="","",COUNTIFS(Eleitoral!$K:$K,E284,Eleitoral!$E:$E,"Doação recebida"))</f>
        <v/>
      </c>
      <c r="M284" s="24"/>
      <c r="N284" s="11"/>
    </row>
    <row r="285" customFormat="false" ht="15" hidden="false" customHeight="false" outlineLevel="0" collapsed="false">
      <c r="A285" s="23"/>
      <c r="B285" s="24"/>
      <c r="C285" s="31" t="str">
        <f aca="false">IF(A285="","",SUBSTITUTE(SUBSTITUTE(SUBSTITUTE(SUBSTITUTE(SUBSTITUTE(SUBSTITUTE(SUBSTITUTE(SUBSTITUTE(SUBSTITUTE(SUBSTITUTE(SUBSTITUTE(SUBSTITUTE(SUBSTITUTE(UPPER(TRIM(A285)),"Á","A"),"À","A"),"Â","A"),"Ã","A"),"É","E"),"Ê","E"),"Í","I"),"Ó","O"),"Ô","O"),"Õ","O"),"Ú","U"),"Ü","U"),"Ç","C"))</f>
        <v/>
      </c>
      <c r="D285" s="31" t="str">
        <f aca="false">IF(B285="","",IF(LEN(SUBSTITUTE(SUBSTITUTE(SUBSTITUTE(SUBSTITUTE(TRIM(B285),"*",""),".",""),"-","")," ",""))=11,MID(SUBSTITUTE(SUBSTITUTE(SUBSTITUTE(SUBSTITUTE(TRIM(B285),"*",""),".",""),"-","")," ",""),4,6),SUBSTITUTE(SUBSTITUTE(SUBSTITUTE(SUBSTITUTE(TRIM(B285),"*",""),".",""),"-","")," ","")))</f>
        <v/>
      </c>
      <c r="E285" s="31" t="str">
        <f aca="false">IF(OR(C285="",D285=""),"",C285&amp;"|"&amp;D285)</f>
        <v/>
      </c>
      <c r="F285" s="11"/>
      <c r="G285" s="11"/>
      <c r="H285" s="22"/>
      <c r="I285" s="23"/>
      <c r="J285" s="11"/>
      <c r="K285" s="25" t="str">
        <f aca="false">IF(C285="","",IF(E285&lt;&gt;"",COUNTIF(Socios!$H:$H,E285),IF(COUNTIF(Socios!$F:$F,C285)&gt;0,"nome igual em Socios: confira o CPF","sem CPF: não cruzado")))</f>
        <v/>
      </c>
      <c r="L285" s="27" t="str">
        <f aca="false">IF(E285="","",COUNTIFS(Eleitoral!$K:$K,E285,Eleitoral!$E:$E,"Doação recebida"))</f>
        <v/>
      </c>
      <c r="M285" s="24"/>
      <c r="N285" s="11"/>
    </row>
    <row r="286" customFormat="false" ht="15" hidden="false" customHeight="false" outlineLevel="0" collapsed="false">
      <c r="A286" s="23"/>
      <c r="B286" s="24"/>
      <c r="C286" s="31" t="str">
        <f aca="false">IF(A286="","",SUBSTITUTE(SUBSTITUTE(SUBSTITUTE(SUBSTITUTE(SUBSTITUTE(SUBSTITUTE(SUBSTITUTE(SUBSTITUTE(SUBSTITUTE(SUBSTITUTE(SUBSTITUTE(SUBSTITUTE(SUBSTITUTE(UPPER(TRIM(A286)),"Á","A"),"À","A"),"Â","A"),"Ã","A"),"É","E"),"Ê","E"),"Í","I"),"Ó","O"),"Ô","O"),"Õ","O"),"Ú","U"),"Ü","U"),"Ç","C"))</f>
        <v/>
      </c>
      <c r="D286" s="31" t="str">
        <f aca="false">IF(B286="","",IF(LEN(SUBSTITUTE(SUBSTITUTE(SUBSTITUTE(SUBSTITUTE(TRIM(B286),"*",""),".",""),"-","")," ",""))=11,MID(SUBSTITUTE(SUBSTITUTE(SUBSTITUTE(SUBSTITUTE(TRIM(B286),"*",""),".",""),"-","")," ",""),4,6),SUBSTITUTE(SUBSTITUTE(SUBSTITUTE(SUBSTITUTE(TRIM(B286),"*",""),".",""),"-","")," ","")))</f>
        <v/>
      </c>
      <c r="E286" s="31" t="str">
        <f aca="false">IF(OR(C286="",D286=""),"",C286&amp;"|"&amp;D286)</f>
        <v/>
      </c>
      <c r="F286" s="11"/>
      <c r="G286" s="11"/>
      <c r="H286" s="22"/>
      <c r="I286" s="23"/>
      <c r="J286" s="11"/>
      <c r="K286" s="25" t="str">
        <f aca="false">IF(C286="","",IF(E286&lt;&gt;"",COUNTIF(Socios!$H:$H,E286),IF(COUNTIF(Socios!$F:$F,C286)&gt;0,"nome igual em Socios: confira o CPF","sem CPF: não cruzado")))</f>
        <v/>
      </c>
      <c r="L286" s="27" t="str">
        <f aca="false">IF(E286="","",COUNTIFS(Eleitoral!$K:$K,E286,Eleitoral!$E:$E,"Doação recebida"))</f>
        <v/>
      </c>
      <c r="M286" s="24"/>
      <c r="N286" s="11"/>
    </row>
    <row r="287" customFormat="false" ht="15" hidden="false" customHeight="false" outlineLevel="0" collapsed="false">
      <c r="A287" s="23"/>
      <c r="B287" s="24"/>
      <c r="C287" s="31" t="str">
        <f aca="false">IF(A287="","",SUBSTITUTE(SUBSTITUTE(SUBSTITUTE(SUBSTITUTE(SUBSTITUTE(SUBSTITUTE(SUBSTITUTE(SUBSTITUTE(SUBSTITUTE(SUBSTITUTE(SUBSTITUTE(SUBSTITUTE(SUBSTITUTE(UPPER(TRIM(A287)),"Á","A"),"À","A"),"Â","A"),"Ã","A"),"É","E"),"Ê","E"),"Í","I"),"Ó","O"),"Ô","O"),"Õ","O"),"Ú","U"),"Ü","U"),"Ç","C"))</f>
        <v/>
      </c>
      <c r="D287" s="31" t="str">
        <f aca="false">IF(B287="","",IF(LEN(SUBSTITUTE(SUBSTITUTE(SUBSTITUTE(SUBSTITUTE(TRIM(B287),"*",""),".",""),"-","")," ",""))=11,MID(SUBSTITUTE(SUBSTITUTE(SUBSTITUTE(SUBSTITUTE(TRIM(B287),"*",""),".",""),"-","")," ",""),4,6),SUBSTITUTE(SUBSTITUTE(SUBSTITUTE(SUBSTITUTE(TRIM(B287),"*",""),".",""),"-","")," ","")))</f>
        <v/>
      </c>
      <c r="E287" s="31" t="str">
        <f aca="false">IF(OR(C287="",D287=""),"",C287&amp;"|"&amp;D287)</f>
        <v/>
      </c>
      <c r="F287" s="11"/>
      <c r="G287" s="11"/>
      <c r="H287" s="22"/>
      <c r="I287" s="23"/>
      <c r="J287" s="11"/>
      <c r="K287" s="25" t="str">
        <f aca="false">IF(C287="","",IF(E287&lt;&gt;"",COUNTIF(Socios!$H:$H,E287),IF(COUNTIF(Socios!$F:$F,C287)&gt;0,"nome igual em Socios: confira o CPF","sem CPF: não cruzado")))</f>
        <v/>
      </c>
      <c r="L287" s="27" t="str">
        <f aca="false">IF(E287="","",COUNTIFS(Eleitoral!$K:$K,E287,Eleitoral!$E:$E,"Doação recebida"))</f>
        <v/>
      </c>
      <c r="M287" s="24"/>
      <c r="N287" s="11"/>
    </row>
    <row r="288" customFormat="false" ht="15" hidden="false" customHeight="false" outlineLevel="0" collapsed="false">
      <c r="A288" s="23"/>
      <c r="B288" s="24"/>
      <c r="C288" s="31" t="str">
        <f aca="false">IF(A288="","",SUBSTITUTE(SUBSTITUTE(SUBSTITUTE(SUBSTITUTE(SUBSTITUTE(SUBSTITUTE(SUBSTITUTE(SUBSTITUTE(SUBSTITUTE(SUBSTITUTE(SUBSTITUTE(SUBSTITUTE(SUBSTITUTE(UPPER(TRIM(A288)),"Á","A"),"À","A"),"Â","A"),"Ã","A"),"É","E"),"Ê","E"),"Í","I"),"Ó","O"),"Ô","O"),"Õ","O"),"Ú","U"),"Ü","U"),"Ç","C"))</f>
        <v/>
      </c>
      <c r="D288" s="31" t="str">
        <f aca="false">IF(B288="","",IF(LEN(SUBSTITUTE(SUBSTITUTE(SUBSTITUTE(SUBSTITUTE(TRIM(B288),"*",""),".",""),"-","")," ",""))=11,MID(SUBSTITUTE(SUBSTITUTE(SUBSTITUTE(SUBSTITUTE(TRIM(B288),"*",""),".",""),"-","")," ",""),4,6),SUBSTITUTE(SUBSTITUTE(SUBSTITUTE(SUBSTITUTE(TRIM(B288),"*",""),".",""),"-","")," ","")))</f>
        <v/>
      </c>
      <c r="E288" s="31" t="str">
        <f aca="false">IF(OR(C288="",D288=""),"",C288&amp;"|"&amp;D288)</f>
        <v/>
      </c>
      <c r="F288" s="11"/>
      <c r="G288" s="11"/>
      <c r="H288" s="22"/>
      <c r="I288" s="23"/>
      <c r="J288" s="11"/>
      <c r="K288" s="25" t="str">
        <f aca="false">IF(C288="","",IF(E288&lt;&gt;"",COUNTIF(Socios!$H:$H,E288),IF(COUNTIF(Socios!$F:$F,C288)&gt;0,"nome igual em Socios: confira o CPF","sem CPF: não cruzado")))</f>
        <v/>
      </c>
      <c r="L288" s="27" t="str">
        <f aca="false">IF(E288="","",COUNTIFS(Eleitoral!$K:$K,E288,Eleitoral!$E:$E,"Doação recebida"))</f>
        <v/>
      </c>
      <c r="M288" s="24"/>
      <c r="N288" s="11"/>
    </row>
    <row r="289" customFormat="false" ht="15" hidden="false" customHeight="false" outlineLevel="0" collapsed="false">
      <c r="A289" s="23"/>
      <c r="B289" s="24"/>
      <c r="C289" s="31" t="str">
        <f aca="false">IF(A289="","",SUBSTITUTE(SUBSTITUTE(SUBSTITUTE(SUBSTITUTE(SUBSTITUTE(SUBSTITUTE(SUBSTITUTE(SUBSTITUTE(SUBSTITUTE(SUBSTITUTE(SUBSTITUTE(SUBSTITUTE(SUBSTITUTE(UPPER(TRIM(A289)),"Á","A"),"À","A"),"Â","A"),"Ã","A"),"É","E"),"Ê","E"),"Í","I"),"Ó","O"),"Ô","O"),"Õ","O"),"Ú","U"),"Ü","U"),"Ç","C"))</f>
        <v/>
      </c>
      <c r="D289" s="31" t="str">
        <f aca="false">IF(B289="","",IF(LEN(SUBSTITUTE(SUBSTITUTE(SUBSTITUTE(SUBSTITUTE(TRIM(B289),"*",""),".",""),"-","")," ",""))=11,MID(SUBSTITUTE(SUBSTITUTE(SUBSTITUTE(SUBSTITUTE(TRIM(B289),"*",""),".",""),"-","")," ",""),4,6),SUBSTITUTE(SUBSTITUTE(SUBSTITUTE(SUBSTITUTE(TRIM(B289),"*",""),".",""),"-","")," ","")))</f>
        <v/>
      </c>
      <c r="E289" s="31" t="str">
        <f aca="false">IF(OR(C289="",D289=""),"",C289&amp;"|"&amp;D289)</f>
        <v/>
      </c>
      <c r="F289" s="11"/>
      <c r="G289" s="11"/>
      <c r="H289" s="22"/>
      <c r="I289" s="23"/>
      <c r="J289" s="11"/>
      <c r="K289" s="25" t="str">
        <f aca="false">IF(C289="","",IF(E289&lt;&gt;"",COUNTIF(Socios!$H:$H,E289),IF(COUNTIF(Socios!$F:$F,C289)&gt;0,"nome igual em Socios: confira o CPF","sem CPF: não cruzado")))</f>
        <v/>
      </c>
      <c r="L289" s="27" t="str">
        <f aca="false">IF(E289="","",COUNTIFS(Eleitoral!$K:$K,E289,Eleitoral!$E:$E,"Doação recebida"))</f>
        <v/>
      </c>
      <c r="M289" s="24"/>
      <c r="N289" s="11"/>
    </row>
    <row r="290" customFormat="false" ht="15" hidden="false" customHeight="false" outlineLevel="0" collapsed="false">
      <c r="A290" s="23"/>
      <c r="B290" s="24"/>
      <c r="C290" s="31" t="str">
        <f aca="false">IF(A290="","",SUBSTITUTE(SUBSTITUTE(SUBSTITUTE(SUBSTITUTE(SUBSTITUTE(SUBSTITUTE(SUBSTITUTE(SUBSTITUTE(SUBSTITUTE(SUBSTITUTE(SUBSTITUTE(SUBSTITUTE(SUBSTITUTE(UPPER(TRIM(A290)),"Á","A"),"À","A"),"Â","A"),"Ã","A"),"É","E"),"Ê","E"),"Í","I"),"Ó","O"),"Ô","O"),"Õ","O"),"Ú","U"),"Ü","U"),"Ç","C"))</f>
        <v/>
      </c>
      <c r="D290" s="31" t="str">
        <f aca="false">IF(B290="","",IF(LEN(SUBSTITUTE(SUBSTITUTE(SUBSTITUTE(SUBSTITUTE(TRIM(B290),"*",""),".",""),"-","")," ",""))=11,MID(SUBSTITUTE(SUBSTITUTE(SUBSTITUTE(SUBSTITUTE(TRIM(B290),"*",""),".",""),"-","")," ",""),4,6),SUBSTITUTE(SUBSTITUTE(SUBSTITUTE(SUBSTITUTE(TRIM(B290),"*",""),".",""),"-","")," ","")))</f>
        <v/>
      </c>
      <c r="E290" s="31" t="str">
        <f aca="false">IF(OR(C290="",D290=""),"",C290&amp;"|"&amp;D290)</f>
        <v/>
      </c>
      <c r="F290" s="11"/>
      <c r="G290" s="11"/>
      <c r="H290" s="22"/>
      <c r="I290" s="23"/>
      <c r="J290" s="11"/>
      <c r="K290" s="25" t="str">
        <f aca="false">IF(C290="","",IF(E290&lt;&gt;"",COUNTIF(Socios!$H:$H,E290),IF(COUNTIF(Socios!$F:$F,C290)&gt;0,"nome igual em Socios: confira o CPF","sem CPF: não cruzado")))</f>
        <v/>
      </c>
      <c r="L290" s="27" t="str">
        <f aca="false">IF(E290="","",COUNTIFS(Eleitoral!$K:$K,E290,Eleitoral!$E:$E,"Doação recebida"))</f>
        <v/>
      </c>
      <c r="M290" s="24"/>
      <c r="N290" s="11"/>
    </row>
    <row r="291" customFormat="false" ht="15" hidden="false" customHeight="false" outlineLevel="0" collapsed="false">
      <c r="A291" s="23"/>
      <c r="B291" s="24"/>
      <c r="C291" s="31" t="str">
        <f aca="false">IF(A291="","",SUBSTITUTE(SUBSTITUTE(SUBSTITUTE(SUBSTITUTE(SUBSTITUTE(SUBSTITUTE(SUBSTITUTE(SUBSTITUTE(SUBSTITUTE(SUBSTITUTE(SUBSTITUTE(SUBSTITUTE(SUBSTITUTE(UPPER(TRIM(A291)),"Á","A"),"À","A"),"Â","A"),"Ã","A"),"É","E"),"Ê","E"),"Í","I"),"Ó","O"),"Ô","O"),"Õ","O"),"Ú","U"),"Ü","U"),"Ç","C"))</f>
        <v/>
      </c>
      <c r="D291" s="31" t="str">
        <f aca="false">IF(B291="","",IF(LEN(SUBSTITUTE(SUBSTITUTE(SUBSTITUTE(SUBSTITUTE(TRIM(B291),"*",""),".",""),"-","")," ",""))=11,MID(SUBSTITUTE(SUBSTITUTE(SUBSTITUTE(SUBSTITUTE(TRIM(B291),"*",""),".",""),"-","")," ",""),4,6),SUBSTITUTE(SUBSTITUTE(SUBSTITUTE(SUBSTITUTE(TRIM(B291),"*",""),".",""),"-","")," ","")))</f>
        <v/>
      </c>
      <c r="E291" s="31" t="str">
        <f aca="false">IF(OR(C291="",D291=""),"",C291&amp;"|"&amp;D291)</f>
        <v/>
      </c>
      <c r="F291" s="11"/>
      <c r="G291" s="11"/>
      <c r="H291" s="22"/>
      <c r="I291" s="23"/>
      <c r="J291" s="11"/>
      <c r="K291" s="25" t="str">
        <f aca="false">IF(C291="","",IF(E291&lt;&gt;"",COUNTIF(Socios!$H:$H,E291),IF(COUNTIF(Socios!$F:$F,C291)&gt;0,"nome igual em Socios: confira o CPF","sem CPF: não cruzado")))</f>
        <v/>
      </c>
      <c r="L291" s="27" t="str">
        <f aca="false">IF(E291="","",COUNTIFS(Eleitoral!$K:$K,E291,Eleitoral!$E:$E,"Doação recebida"))</f>
        <v/>
      </c>
      <c r="M291" s="24"/>
      <c r="N291" s="11"/>
    </row>
    <row r="292" customFormat="false" ht="15" hidden="false" customHeight="false" outlineLevel="0" collapsed="false">
      <c r="A292" s="23"/>
      <c r="B292" s="24"/>
      <c r="C292" s="31" t="str">
        <f aca="false">IF(A292="","",SUBSTITUTE(SUBSTITUTE(SUBSTITUTE(SUBSTITUTE(SUBSTITUTE(SUBSTITUTE(SUBSTITUTE(SUBSTITUTE(SUBSTITUTE(SUBSTITUTE(SUBSTITUTE(SUBSTITUTE(SUBSTITUTE(UPPER(TRIM(A292)),"Á","A"),"À","A"),"Â","A"),"Ã","A"),"É","E"),"Ê","E"),"Í","I"),"Ó","O"),"Ô","O"),"Õ","O"),"Ú","U"),"Ü","U"),"Ç","C"))</f>
        <v/>
      </c>
      <c r="D292" s="31" t="str">
        <f aca="false">IF(B292="","",IF(LEN(SUBSTITUTE(SUBSTITUTE(SUBSTITUTE(SUBSTITUTE(TRIM(B292),"*",""),".",""),"-","")," ",""))=11,MID(SUBSTITUTE(SUBSTITUTE(SUBSTITUTE(SUBSTITUTE(TRIM(B292),"*",""),".",""),"-","")," ",""),4,6),SUBSTITUTE(SUBSTITUTE(SUBSTITUTE(SUBSTITUTE(TRIM(B292),"*",""),".",""),"-","")," ","")))</f>
        <v/>
      </c>
      <c r="E292" s="31" t="str">
        <f aca="false">IF(OR(C292="",D292=""),"",C292&amp;"|"&amp;D292)</f>
        <v/>
      </c>
      <c r="F292" s="11"/>
      <c r="G292" s="11"/>
      <c r="H292" s="22"/>
      <c r="I292" s="23"/>
      <c r="J292" s="11"/>
      <c r="K292" s="25" t="str">
        <f aca="false">IF(C292="","",IF(E292&lt;&gt;"",COUNTIF(Socios!$H:$H,E292),IF(COUNTIF(Socios!$F:$F,C292)&gt;0,"nome igual em Socios: confira o CPF","sem CPF: não cruzado")))</f>
        <v/>
      </c>
      <c r="L292" s="27" t="str">
        <f aca="false">IF(E292="","",COUNTIFS(Eleitoral!$K:$K,E292,Eleitoral!$E:$E,"Doação recebida"))</f>
        <v/>
      </c>
      <c r="M292" s="24"/>
      <c r="N292" s="11"/>
    </row>
    <row r="293" customFormat="false" ht="15" hidden="false" customHeight="false" outlineLevel="0" collapsed="false">
      <c r="A293" s="23"/>
      <c r="B293" s="24"/>
      <c r="C293" s="31" t="str">
        <f aca="false">IF(A293="","",SUBSTITUTE(SUBSTITUTE(SUBSTITUTE(SUBSTITUTE(SUBSTITUTE(SUBSTITUTE(SUBSTITUTE(SUBSTITUTE(SUBSTITUTE(SUBSTITUTE(SUBSTITUTE(SUBSTITUTE(SUBSTITUTE(UPPER(TRIM(A293)),"Á","A"),"À","A"),"Â","A"),"Ã","A"),"É","E"),"Ê","E"),"Í","I"),"Ó","O"),"Ô","O"),"Õ","O"),"Ú","U"),"Ü","U"),"Ç","C"))</f>
        <v/>
      </c>
      <c r="D293" s="31" t="str">
        <f aca="false">IF(B293="","",IF(LEN(SUBSTITUTE(SUBSTITUTE(SUBSTITUTE(SUBSTITUTE(TRIM(B293),"*",""),".",""),"-","")," ",""))=11,MID(SUBSTITUTE(SUBSTITUTE(SUBSTITUTE(SUBSTITUTE(TRIM(B293),"*",""),".",""),"-","")," ",""),4,6),SUBSTITUTE(SUBSTITUTE(SUBSTITUTE(SUBSTITUTE(TRIM(B293),"*",""),".",""),"-","")," ","")))</f>
        <v/>
      </c>
      <c r="E293" s="31" t="str">
        <f aca="false">IF(OR(C293="",D293=""),"",C293&amp;"|"&amp;D293)</f>
        <v/>
      </c>
      <c r="F293" s="11"/>
      <c r="G293" s="11"/>
      <c r="H293" s="22"/>
      <c r="I293" s="23"/>
      <c r="J293" s="11"/>
      <c r="K293" s="25" t="str">
        <f aca="false">IF(C293="","",IF(E293&lt;&gt;"",COUNTIF(Socios!$H:$H,E293),IF(COUNTIF(Socios!$F:$F,C293)&gt;0,"nome igual em Socios: confira o CPF","sem CPF: não cruzado")))</f>
        <v/>
      </c>
      <c r="L293" s="27" t="str">
        <f aca="false">IF(E293="","",COUNTIFS(Eleitoral!$K:$K,E293,Eleitoral!$E:$E,"Doação recebida"))</f>
        <v/>
      </c>
      <c r="M293" s="24"/>
      <c r="N293" s="11"/>
    </row>
    <row r="294" customFormat="false" ht="15" hidden="false" customHeight="false" outlineLevel="0" collapsed="false">
      <c r="A294" s="23"/>
      <c r="B294" s="24"/>
      <c r="C294" s="31" t="str">
        <f aca="false">IF(A294="","",SUBSTITUTE(SUBSTITUTE(SUBSTITUTE(SUBSTITUTE(SUBSTITUTE(SUBSTITUTE(SUBSTITUTE(SUBSTITUTE(SUBSTITUTE(SUBSTITUTE(SUBSTITUTE(SUBSTITUTE(SUBSTITUTE(UPPER(TRIM(A294)),"Á","A"),"À","A"),"Â","A"),"Ã","A"),"É","E"),"Ê","E"),"Í","I"),"Ó","O"),"Ô","O"),"Õ","O"),"Ú","U"),"Ü","U"),"Ç","C"))</f>
        <v/>
      </c>
      <c r="D294" s="31" t="str">
        <f aca="false">IF(B294="","",IF(LEN(SUBSTITUTE(SUBSTITUTE(SUBSTITUTE(SUBSTITUTE(TRIM(B294),"*",""),".",""),"-","")," ",""))=11,MID(SUBSTITUTE(SUBSTITUTE(SUBSTITUTE(SUBSTITUTE(TRIM(B294),"*",""),".",""),"-","")," ",""),4,6),SUBSTITUTE(SUBSTITUTE(SUBSTITUTE(SUBSTITUTE(TRIM(B294),"*",""),".",""),"-","")," ","")))</f>
        <v/>
      </c>
      <c r="E294" s="31" t="str">
        <f aca="false">IF(OR(C294="",D294=""),"",C294&amp;"|"&amp;D294)</f>
        <v/>
      </c>
      <c r="F294" s="11"/>
      <c r="G294" s="11"/>
      <c r="H294" s="22"/>
      <c r="I294" s="23"/>
      <c r="J294" s="11"/>
      <c r="K294" s="25" t="str">
        <f aca="false">IF(C294="","",IF(E294&lt;&gt;"",COUNTIF(Socios!$H:$H,E294),IF(COUNTIF(Socios!$F:$F,C294)&gt;0,"nome igual em Socios: confira o CPF","sem CPF: não cruzado")))</f>
        <v/>
      </c>
      <c r="L294" s="27" t="str">
        <f aca="false">IF(E294="","",COUNTIFS(Eleitoral!$K:$K,E294,Eleitoral!$E:$E,"Doação recebida"))</f>
        <v/>
      </c>
      <c r="M294" s="24"/>
      <c r="N294" s="11"/>
    </row>
    <row r="295" customFormat="false" ht="15" hidden="false" customHeight="false" outlineLevel="0" collapsed="false">
      <c r="A295" s="23"/>
      <c r="B295" s="24"/>
      <c r="C295" s="31" t="str">
        <f aca="false">IF(A295="","",SUBSTITUTE(SUBSTITUTE(SUBSTITUTE(SUBSTITUTE(SUBSTITUTE(SUBSTITUTE(SUBSTITUTE(SUBSTITUTE(SUBSTITUTE(SUBSTITUTE(SUBSTITUTE(SUBSTITUTE(SUBSTITUTE(UPPER(TRIM(A295)),"Á","A"),"À","A"),"Â","A"),"Ã","A"),"É","E"),"Ê","E"),"Í","I"),"Ó","O"),"Ô","O"),"Õ","O"),"Ú","U"),"Ü","U"),"Ç","C"))</f>
        <v/>
      </c>
      <c r="D295" s="31" t="str">
        <f aca="false">IF(B295="","",IF(LEN(SUBSTITUTE(SUBSTITUTE(SUBSTITUTE(SUBSTITUTE(TRIM(B295),"*",""),".",""),"-","")," ",""))=11,MID(SUBSTITUTE(SUBSTITUTE(SUBSTITUTE(SUBSTITUTE(TRIM(B295),"*",""),".",""),"-","")," ",""),4,6),SUBSTITUTE(SUBSTITUTE(SUBSTITUTE(SUBSTITUTE(TRIM(B295),"*",""),".",""),"-","")," ","")))</f>
        <v/>
      </c>
      <c r="E295" s="31" t="str">
        <f aca="false">IF(OR(C295="",D295=""),"",C295&amp;"|"&amp;D295)</f>
        <v/>
      </c>
      <c r="F295" s="11"/>
      <c r="G295" s="11"/>
      <c r="H295" s="22"/>
      <c r="I295" s="23"/>
      <c r="J295" s="11"/>
      <c r="K295" s="25" t="str">
        <f aca="false">IF(C295="","",IF(E295&lt;&gt;"",COUNTIF(Socios!$H:$H,E295),IF(COUNTIF(Socios!$F:$F,C295)&gt;0,"nome igual em Socios: confira o CPF","sem CPF: não cruzado")))</f>
        <v/>
      </c>
      <c r="L295" s="27" t="str">
        <f aca="false">IF(E295="","",COUNTIFS(Eleitoral!$K:$K,E295,Eleitoral!$E:$E,"Doação recebida"))</f>
        <v/>
      </c>
      <c r="M295" s="24"/>
      <c r="N295" s="11"/>
    </row>
    <row r="296" customFormat="false" ht="15" hidden="false" customHeight="false" outlineLevel="0" collapsed="false">
      <c r="A296" s="23"/>
      <c r="B296" s="24"/>
      <c r="C296" s="31" t="str">
        <f aca="false">IF(A296="","",SUBSTITUTE(SUBSTITUTE(SUBSTITUTE(SUBSTITUTE(SUBSTITUTE(SUBSTITUTE(SUBSTITUTE(SUBSTITUTE(SUBSTITUTE(SUBSTITUTE(SUBSTITUTE(SUBSTITUTE(SUBSTITUTE(UPPER(TRIM(A296)),"Á","A"),"À","A"),"Â","A"),"Ã","A"),"É","E"),"Ê","E"),"Í","I"),"Ó","O"),"Ô","O"),"Õ","O"),"Ú","U"),"Ü","U"),"Ç","C"))</f>
        <v/>
      </c>
      <c r="D296" s="31" t="str">
        <f aca="false">IF(B296="","",IF(LEN(SUBSTITUTE(SUBSTITUTE(SUBSTITUTE(SUBSTITUTE(TRIM(B296),"*",""),".",""),"-","")," ",""))=11,MID(SUBSTITUTE(SUBSTITUTE(SUBSTITUTE(SUBSTITUTE(TRIM(B296),"*",""),".",""),"-","")," ",""),4,6),SUBSTITUTE(SUBSTITUTE(SUBSTITUTE(SUBSTITUTE(TRIM(B296),"*",""),".",""),"-","")," ","")))</f>
        <v/>
      </c>
      <c r="E296" s="31" t="str">
        <f aca="false">IF(OR(C296="",D296=""),"",C296&amp;"|"&amp;D296)</f>
        <v/>
      </c>
      <c r="F296" s="11"/>
      <c r="G296" s="11"/>
      <c r="H296" s="22"/>
      <c r="I296" s="23"/>
      <c r="J296" s="11"/>
      <c r="K296" s="25" t="str">
        <f aca="false">IF(C296="","",IF(E296&lt;&gt;"",COUNTIF(Socios!$H:$H,E296),IF(COUNTIF(Socios!$F:$F,C296)&gt;0,"nome igual em Socios: confira o CPF","sem CPF: não cruzado")))</f>
        <v/>
      </c>
      <c r="L296" s="27" t="str">
        <f aca="false">IF(E296="","",COUNTIFS(Eleitoral!$K:$K,E296,Eleitoral!$E:$E,"Doação recebida"))</f>
        <v/>
      </c>
      <c r="M296" s="24"/>
      <c r="N296" s="11"/>
    </row>
    <row r="297" customFormat="false" ht="15" hidden="false" customHeight="false" outlineLevel="0" collapsed="false">
      <c r="A297" s="23"/>
      <c r="B297" s="24"/>
      <c r="C297" s="31" t="str">
        <f aca="false">IF(A297="","",SUBSTITUTE(SUBSTITUTE(SUBSTITUTE(SUBSTITUTE(SUBSTITUTE(SUBSTITUTE(SUBSTITUTE(SUBSTITUTE(SUBSTITUTE(SUBSTITUTE(SUBSTITUTE(SUBSTITUTE(SUBSTITUTE(UPPER(TRIM(A297)),"Á","A"),"À","A"),"Â","A"),"Ã","A"),"É","E"),"Ê","E"),"Í","I"),"Ó","O"),"Ô","O"),"Õ","O"),"Ú","U"),"Ü","U"),"Ç","C"))</f>
        <v/>
      </c>
      <c r="D297" s="31" t="str">
        <f aca="false">IF(B297="","",IF(LEN(SUBSTITUTE(SUBSTITUTE(SUBSTITUTE(SUBSTITUTE(TRIM(B297),"*",""),".",""),"-","")," ",""))=11,MID(SUBSTITUTE(SUBSTITUTE(SUBSTITUTE(SUBSTITUTE(TRIM(B297),"*",""),".",""),"-","")," ",""),4,6),SUBSTITUTE(SUBSTITUTE(SUBSTITUTE(SUBSTITUTE(TRIM(B297),"*",""),".",""),"-","")," ","")))</f>
        <v/>
      </c>
      <c r="E297" s="31" t="str">
        <f aca="false">IF(OR(C297="",D297=""),"",C297&amp;"|"&amp;D297)</f>
        <v/>
      </c>
      <c r="F297" s="11"/>
      <c r="G297" s="11"/>
      <c r="H297" s="22"/>
      <c r="I297" s="23"/>
      <c r="J297" s="11"/>
      <c r="K297" s="25" t="str">
        <f aca="false">IF(C297="","",IF(E297&lt;&gt;"",COUNTIF(Socios!$H:$H,E297),IF(COUNTIF(Socios!$F:$F,C297)&gt;0,"nome igual em Socios: confira o CPF","sem CPF: não cruzado")))</f>
        <v/>
      </c>
      <c r="L297" s="27" t="str">
        <f aca="false">IF(E297="","",COUNTIFS(Eleitoral!$K:$K,E297,Eleitoral!$E:$E,"Doação recebida"))</f>
        <v/>
      </c>
      <c r="M297" s="24"/>
      <c r="N297" s="11"/>
    </row>
    <row r="298" customFormat="false" ht="15" hidden="false" customHeight="false" outlineLevel="0" collapsed="false">
      <c r="A298" s="23"/>
      <c r="B298" s="24"/>
      <c r="C298" s="31" t="str">
        <f aca="false">IF(A298="","",SUBSTITUTE(SUBSTITUTE(SUBSTITUTE(SUBSTITUTE(SUBSTITUTE(SUBSTITUTE(SUBSTITUTE(SUBSTITUTE(SUBSTITUTE(SUBSTITUTE(SUBSTITUTE(SUBSTITUTE(SUBSTITUTE(UPPER(TRIM(A298)),"Á","A"),"À","A"),"Â","A"),"Ã","A"),"É","E"),"Ê","E"),"Í","I"),"Ó","O"),"Ô","O"),"Õ","O"),"Ú","U"),"Ü","U"),"Ç","C"))</f>
        <v/>
      </c>
      <c r="D298" s="31" t="str">
        <f aca="false">IF(B298="","",IF(LEN(SUBSTITUTE(SUBSTITUTE(SUBSTITUTE(SUBSTITUTE(TRIM(B298),"*",""),".",""),"-","")," ",""))=11,MID(SUBSTITUTE(SUBSTITUTE(SUBSTITUTE(SUBSTITUTE(TRIM(B298),"*",""),".",""),"-","")," ",""),4,6),SUBSTITUTE(SUBSTITUTE(SUBSTITUTE(SUBSTITUTE(TRIM(B298),"*",""),".",""),"-","")," ","")))</f>
        <v/>
      </c>
      <c r="E298" s="31" t="str">
        <f aca="false">IF(OR(C298="",D298=""),"",C298&amp;"|"&amp;D298)</f>
        <v/>
      </c>
      <c r="F298" s="11"/>
      <c r="G298" s="11"/>
      <c r="H298" s="22"/>
      <c r="I298" s="23"/>
      <c r="J298" s="11"/>
      <c r="K298" s="25" t="str">
        <f aca="false">IF(C298="","",IF(E298&lt;&gt;"",COUNTIF(Socios!$H:$H,E298),IF(COUNTIF(Socios!$F:$F,C298)&gt;0,"nome igual em Socios: confira o CPF","sem CPF: não cruzado")))</f>
        <v/>
      </c>
      <c r="L298" s="27" t="str">
        <f aca="false">IF(E298="","",COUNTIFS(Eleitoral!$K:$K,E298,Eleitoral!$E:$E,"Doação recebida"))</f>
        <v/>
      </c>
      <c r="M298" s="24"/>
      <c r="N298" s="11"/>
    </row>
    <row r="299" customFormat="false" ht="15" hidden="false" customHeight="false" outlineLevel="0" collapsed="false">
      <c r="A299" s="23"/>
      <c r="B299" s="24"/>
      <c r="C299" s="31" t="str">
        <f aca="false">IF(A299="","",SUBSTITUTE(SUBSTITUTE(SUBSTITUTE(SUBSTITUTE(SUBSTITUTE(SUBSTITUTE(SUBSTITUTE(SUBSTITUTE(SUBSTITUTE(SUBSTITUTE(SUBSTITUTE(SUBSTITUTE(SUBSTITUTE(UPPER(TRIM(A299)),"Á","A"),"À","A"),"Â","A"),"Ã","A"),"É","E"),"Ê","E"),"Í","I"),"Ó","O"),"Ô","O"),"Õ","O"),"Ú","U"),"Ü","U"),"Ç","C"))</f>
        <v/>
      </c>
      <c r="D299" s="31" t="str">
        <f aca="false">IF(B299="","",IF(LEN(SUBSTITUTE(SUBSTITUTE(SUBSTITUTE(SUBSTITUTE(TRIM(B299),"*",""),".",""),"-","")," ",""))=11,MID(SUBSTITUTE(SUBSTITUTE(SUBSTITUTE(SUBSTITUTE(TRIM(B299),"*",""),".",""),"-","")," ",""),4,6),SUBSTITUTE(SUBSTITUTE(SUBSTITUTE(SUBSTITUTE(TRIM(B299),"*",""),".",""),"-","")," ","")))</f>
        <v/>
      </c>
      <c r="E299" s="31" t="str">
        <f aca="false">IF(OR(C299="",D299=""),"",C299&amp;"|"&amp;D299)</f>
        <v/>
      </c>
      <c r="F299" s="11"/>
      <c r="G299" s="11"/>
      <c r="H299" s="22"/>
      <c r="I299" s="23"/>
      <c r="J299" s="11"/>
      <c r="K299" s="25" t="str">
        <f aca="false">IF(C299="","",IF(E299&lt;&gt;"",COUNTIF(Socios!$H:$H,E299),IF(COUNTIF(Socios!$F:$F,C299)&gt;0,"nome igual em Socios: confira o CPF","sem CPF: não cruzado")))</f>
        <v/>
      </c>
      <c r="L299" s="27" t="str">
        <f aca="false">IF(E299="","",COUNTIFS(Eleitoral!$K:$K,E299,Eleitoral!$E:$E,"Doação recebida"))</f>
        <v/>
      </c>
      <c r="M299" s="24"/>
      <c r="N299" s="11"/>
    </row>
    <row r="300" customFormat="false" ht="15" hidden="false" customHeight="false" outlineLevel="0" collapsed="false">
      <c r="A300" s="23"/>
      <c r="B300" s="24"/>
      <c r="C300" s="31" t="str">
        <f aca="false">IF(A300="","",SUBSTITUTE(SUBSTITUTE(SUBSTITUTE(SUBSTITUTE(SUBSTITUTE(SUBSTITUTE(SUBSTITUTE(SUBSTITUTE(SUBSTITUTE(SUBSTITUTE(SUBSTITUTE(SUBSTITUTE(SUBSTITUTE(UPPER(TRIM(A300)),"Á","A"),"À","A"),"Â","A"),"Ã","A"),"É","E"),"Ê","E"),"Í","I"),"Ó","O"),"Ô","O"),"Õ","O"),"Ú","U"),"Ü","U"),"Ç","C"))</f>
        <v/>
      </c>
      <c r="D300" s="31" t="str">
        <f aca="false">IF(B300="","",IF(LEN(SUBSTITUTE(SUBSTITUTE(SUBSTITUTE(SUBSTITUTE(TRIM(B300),"*",""),".",""),"-","")," ",""))=11,MID(SUBSTITUTE(SUBSTITUTE(SUBSTITUTE(SUBSTITUTE(TRIM(B300),"*",""),".",""),"-","")," ",""),4,6),SUBSTITUTE(SUBSTITUTE(SUBSTITUTE(SUBSTITUTE(TRIM(B300),"*",""),".",""),"-","")," ","")))</f>
        <v/>
      </c>
      <c r="E300" s="31" t="str">
        <f aca="false">IF(OR(C300="",D300=""),"",C300&amp;"|"&amp;D300)</f>
        <v/>
      </c>
      <c r="F300" s="11"/>
      <c r="G300" s="11"/>
      <c r="H300" s="22"/>
      <c r="I300" s="23"/>
      <c r="J300" s="11"/>
      <c r="K300" s="25" t="str">
        <f aca="false">IF(C300="","",IF(E300&lt;&gt;"",COUNTIF(Socios!$H:$H,E300),IF(COUNTIF(Socios!$F:$F,C300)&gt;0,"nome igual em Socios: confira o CPF","sem CPF: não cruzado")))</f>
        <v/>
      </c>
      <c r="L300" s="27" t="str">
        <f aca="false">IF(E300="","",COUNTIFS(Eleitoral!$K:$K,E300,Eleitoral!$E:$E,"Doação recebida"))</f>
        <v/>
      </c>
      <c r="M300" s="24"/>
      <c r="N300" s="11"/>
    </row>
    <row r="301" customFormat="false" ht="15" hidden="false" customHeight="false" outlineLevel="0" collapsed="false">
      <c r="A301" s="23"/>
      <c r="B301" s="24"/>
      <c r="C301" s="31" t="str">
        <f aca="false">IF(A301="","",SUBSTITUTE(SUBSTITUTE(SUBSTITUTE(SUBSTITUTE(SUBSTITUTE(SUBSTITUTE(SUBSTITUTE(SUBSTITUTE(SUBSTITUTE(SUBSTITUTE(SUBSTITUTE(SUBSTITUTE(SUBSTITUTE(UPPER(TRIM(A301)),"Á","A"),"À","A"),"Â","A"),"Ã","A"),"É","E"),"Ê","E"),"Í","I"),"Ó","O"),"Ô","O"),"Õ","O"),"Ú","U"),"Ü","U"),"Ç","C"))</f>
        <v/>
      </c>
      <c r="D301" s="31" t="str">
        <f aca="false">IF(B301="","",IF(LEN(SUBSTITUTE(SUBSTITUTE(SUBSTITUTE(SUBSTITUTE(TRIM(B301),"*",""),".",""),"-","")," ",""))=11,MID(SUBSTITUTE(SUBSTITUTE(SUBSTITUTE(SUBSTITUTE(TRIM(B301),"*",""),".",""),"-","")," ",""),4,6),SUBSTITUTE(SUBSTITUTE(SUBSTITUTE(SUBSTITUTE(TRIM(B301),"*",""),".",""),"-","")," ","")))</f>
        <v/>
      </c>
      <c r="E301" s="31" t="str">
        <f aca="false">IF(OR(C301="",D301=""),"",C301&amp;"|"&amp;D301)</f>
        <v/>
      </c>
      <c r="F301" s="11"/>
      <c r="G301" s="11"/>
      <c r="H301" s="22"/>
      <c r="I301" s="23"/>
      <c r="J301" s="11"/>
      <c r="K301" s="25" t="str">
        <f aca="false">IF(C301="","",IF(E301&lt;&gt;"",COUNTIF(Socios!$H:$H,E301),IF(COUNTIF(Socios!$F:$F,C301)&gt;0,"nome igual em Socios: confira o CPF","sem CPF: não cruzado")))</f>
        <v/>
      </c>
      <c r="L301" s="27" t="str">
        <f aca="false">IF(E301="","",COUNTIFS(Eleitoral!$K:$K,E301,Eleitoral!$E:$E,"Doação recebida"))</f>
        <v/>
      </c>
      <c r="M301" s="24"/>
      <c r="N301" s="11"/>
    </row>
    <row r="302" customFormat="false" ht="15" hidden="false" customHeight="false" outlineLevel="0" collapsed="false">
      <c r="A302" s="23"/>
      <c r="B302" s="24"/>
      <c r="C302" s="31" t="str">
        <f aca="false">IF(A302="","",SUBSTITUTE(SUBSTITUTE(SUBSTITUTE(SUBSTITUTE(SUBSTITUTE(SUBSTITUTE(SUBSTITUTE(SUBSTITUTE(SUBSTITUTE(SUBSTITUTE(SUBSTITUTE(SUBSTITUTE(SUBSTITUTE(UPPER(TRIM(A302)),"Á","A"),"À","A"),"Â","A"),"Ã","A"),"É","E"),"Ê","E"),"Í","I"),"Ó","O"),"Ô","O"),"Õ","O"),"Ú","U"),"Ü","U"),"Ç","C"))</f>
        <v/>
      </c>
      <c r="D302" s="31" t="str">
        <f aca="false">IF(B302="","",IF(LEN(SUBSTITUTE(SUBSTITUTE(SUBSTITUTE(SUBSTITUTE(TRIM(B302),"*",""),".",""),"-","")," ",""))=11,MID(SUBSTITUTE(SUBSTITUTE(SUBSTITUTE(SUBSTITUTE(TRIM(B302),"*",""),".",""),"-","")," ",""),4,6),SUBSTITUTE(SUBSTITUTE(SUBSTITUTE(SUBSTITUTE(TRIM(B302),"*",""),".",""),"-","")," ","")))</f>
        <v/>
      </c>
      <c r="E302" s="31" t="str">
        <f aca="false">IF(OR(C302="",D302=""),"",C302&amp;"|"&amp;D302)</f>
        <v/>
      </c>
      <c r="F302" s="11"/>
      <c r="G302" s="11"/>
      <c r="H302" s="22"/>
      <c r="I302" s="23"/>
      <c r="J302" s="11"/>
      <c r="K302" s="25" t="str">
        <f aca="false">IF(C302="","",IF(E302&lt;&gt;"",COUNTIF(Socios!$H:$H,E302),IF(COUNTIF(Socios!$F:$F,C302)&gt;0,"nome igual em Socios: confira o CPF","sem CPF: não cruzado")))</f>
        <v/>
      </c>
      <c r="L302" s="27" t="str">
        <f aca="false">IF(E302="","",COUNTIFS(Eleitoral!$K:$K,E302,Eleitoral!$E:$E,"Doação recebida"))</f>
        <v/>
      </c>
      <c r="M302" s="24"/>
      <c r="N302" s="11"/>
    </row>
    <row r="303" customFormat="false" ht="15" hidden="false" customHeight="false" outlineLevel="0" collapsed="false">
      <c r="A303" s="23"/>
      <c r="B303" s="24"/>
      <c r="C303" s="31" t="str">
        <f aca="false">IF(A303="","",SUBSTITUTE(SUBSTITUTE(SUBSTITUTE(SUBSTITUTE(SUBSTITUTE(SUBSTITUTE(SUBSTITUTE(SUBSTITUTE(SUBSTITUTE(SUBSTITUTE(SUBSTITUTE(SUBSTITUTE(SUBSTITUTE(UPPER(TRIM(A303)),"Á","A"),"À","A"),"Â","A"),"Ã","A"),"É","E"),"Ê","E"),"Í","I"),"Ó","O"),"Ô","O"),"Õ","O"),"Ú","U"),"Ü","U"),"Ç","C"))</f>
        <v/>
      </c>
      <c r="D303" s="31" t="str">
        <f aca="false">IF(B303="","",IF(LEN(SUBSTITUTE(SUBSTITUTE(SUBSTITUTE(SUBSTITUTE(TRIM(B303),"*",""),".",""),"-","")," ",""))=11,MID(SUBSTITUTE(SUBSTITUTE(SUBSTITUTE(SUBSTITUTE(TRIM(B303),"*",""),".",""),"-","")," ",""),4,6),SUBSTITUTE(SUBSTITUTE(SUBSTITUTE(SUBSTITUTE(TRIM(B303),"*",""),".",""),"-","")," ","")))</f>
        <v/>
      </c>
      <c r="E303" s="31" t="str">
        <f aca="false">IF(OR(C303="",D303=""),"",C303&amp;"|"&amp;D303)</f>
        <v/>
      </c>
      <c r="F303" s="11"/>
      <c r="G303" s="11"/>
      <c r="H303" s="22"/>
      <c r="I303" s="23"/>
      <c r="J303" s="11"/>
      <c r="K303" s="25" t="str">
        <f aca="false">IF(C303="","",IF(E303&lt;&gt;"",COUNTIF(Socios!$H:$H,E303),IF(COUNTIF(Socios!$F:$F,C303)&gt;0,"nome igual em Socios: confira o CPF","sem CPF: não cruzado")))</f>
        <v/>
      </c>
      <c r="L303" s="27" t="str">
        <f aca="false">IF(E303="","",COUNTIFS(Eleitoral!$K:$K,E303,Eleitoral!$E:$E,"Doação recebida"))</f>
        <v/>
      </c>
      <c r="M303" s="24"/>
      <c r="N303" s="11"/>
    </row>
    <row r="304" customFormat="false" ht="15" hidden="false" customHeight="false" outlineLevel="0" collapsed="false">
      <c r="A304" s="23"/>
      <c r="B304" s="24"/>
      <c r="C304" s="31" t="str">
        <f aca="false">IF(A304="","",SUBSTITUTE(SUBSTITUTE(SUBSTITUTE(SUBSTITUTE(SUBSTITUTE(SUBSTITUTE(SUBSTITUTE(SUBSTITUTE(SUBSTITUTE(SUBSTITUTE(SUBSTITUTE(SUBSTITUTE(SUBSTITUTE(UPPER(TRIM(A304)),"Á","A"),"À","A"),"Â","A"),"Ã","A"),"É","E"),"Ê","E"),"Í","I"),"Ó","O"),"Ô","O"),"Õ","O"),"Ú","U"),"Ü","U"),"Ç","C"))</f>
        <v/>
      </c>
      <c r="D304" s="31" t="str">
        <f aca="false">IF(B304="","",IF(LEN(SUBSTITUTE(SUBSTITUTE(SUBSTITUTE(SUBSTITUTE(TRIM(B304),"*",""),".",""),"-","")," ",""))=11,MID(SUBSTITUTE(SUBSTITUTE(SUBSTITUTE(SUBSTITUTE(TRIM(B304),"*",""),".",""),"-","")," ",""),4,6),SUBSTITUTE(SUBSTITUTE(SUBSTITUTE(SUBSTITUTE(TRIM(B304),"*",""),".",""),"-","")," ","")))</f>
        <v/>
      </c>
      <c r="E304" s="31" t="str">
        <f aca="false">IF(OR(C304="",D304=""),"",C304&amp;"|"&amp;D304)</f>
        <v/>
      </c>
      <c r="F304" s="11"/>
      <c r="G304" s="11"/>
      <c r="H304" s="22"/>
      <c r="I304" s="23"/>
      <c r="J304" s="11"/>
      <c r="K304" s="25" t="str">
        <f aca="false">IF(C304="","",IF(E304&lt;&gt;"",COUNTIF(Socios!$H:$H,E304),IF(COUNTIF(Socios!$F:$F,C304)&gt;0,"nome igual em Socios: confira o CPF","sem CPF: não cruzado")))</f>
        <v/>
      </c>
      <c r="L304" s="27" t="str">
        <f aca="false">IF(E304="","",COUNTIFS(Eleitoral!$K:$K,E304,Eleitoral!$E:$E,"Doação recebida"))</f>
        <v/>
      </c>
      <c r="M304" s="24"/>
      <c r="N304" s="11"/>
    </row>
  </sheetData>
  <autoFilter ref="A4:N304"/>
  <conditionalFormatting sqref="K5:K304">
    <cfRule type="expression" priority="2" aboveAverage="0" equalAverage="0" bottom="0" percent="0" rank="0" text="" dxfId="6">
      <formula>AND(ISNUMBER(K5),K5&gt;0)</formula>
    </cfRule>
    <cfRule type="expression" priority="3" aboveAverage="0" equalAverage="0" bottom="0" percent="0" rank="0" text="" dxfId="12">
      <formula>ISNUMBER(SEARCH("confira",K5))</formula>
    </cfRule>
  </conditionalFormatting>
  <conditionalFormatting sqref="L5:L304">
    <cfRule type="expression" priority="4" aboveAverage="0" equalAverage="0" bottom="0" percent="0" rank="0" text="" dxfId="6">
      <formula>AND(ISNUMBER(L5),L5&gt;0)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7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6" min="5" style="0" width="12"/>
    <col collapsed="false" customWidth="true" hidden="false" outlineLevel="0" max="7" min="7" style="0" width="28"/>
    <col collapsed="false" customWidth="true" hidden="false" outlineLevel="0" max="8" min="8" style="0" width="15"/>
    <col collapsed="false" customWidth="true" hidden="false" outlineLevel="0" max="9" min="9" style="0" width="30"/>
    <col collapsed="false" customWidth="true" hidden="false" outlineLevel="0" max="10" min="10" style="0" width="18"/>
    <col collapsed="false" customWidth="true" hidden="false" outlineLevel="0" max="11" min="11" style="0" width="10"/>
    <col collapsed="false" customWidth="true" hidden="false" outlineLevel="0" max="14" min="12" style="0" width="16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9" min="18" style="0" width="12"/>
    <col collapsed="false" customWidth="true" hidden="false" outlineLevel="0" max="20" min="20" style="0" width="28"/>
  </cols>
  <sheetData>
    <row r="1" customFormat="false" ht="17.35" hidden="false" customHeight="false" outlineLevel="0" collapsed="false">
      <c r="A1" s="14" t="s">
        <v>222</v>
      </c>
    </row>
    <row r="2" customFormat="false" ht="15" hidden="false" customHeight="false" outlineLevel="0" collapsed="false">
      <c r="A2" s="15" t="s">
        <v>223</v>
      </c>
    </row>
    <row r="3" customFormat="false" ht="15" hidden="false" customHeight="false" outlineLevel="0" collapsed="false">
      <c r="A3" s="15" t="s">
        <v>64</v>
      </c>
    </row>
    <row r="4" customFormat="false" ht="48" hidden="false" customHeight="true" outlineLevel="0" collapsed="false">
      <c r="A4" s="9" t="s">
        <v>224</v>
      </c>
      <c r="B4" s="16" t="s">
        <v>225</v>
      </c>
      <c r="C4" s="9" t="s">
        <v>226</v>
      </c>
      <c r="D4" s="9" t="s">
        <v>227</v>
      </c>
      <c r="E4" s="9" t="s">
        <v>228</v>
      </c>
      <c r="F4" s="9" t="s">
        <v>229</v>
      </c>
      <c r="G4" s="9" t="s">
        <v>230</v>
      </c>
      <c r="H4" s="9" t="s">
        <v>231</v>
      </c>
      <c r="I4" s="9" t="s">
        <v>232</v>
      </c>
      <c r="J4" s="9" t="s">
        <v>233</v>
      </c>
      <c r="K4" s="16" t="s">
        <v>234</v>
      </c>
      <c r="L4" s="16" t="s">
        <v>235</v>
      </c>
      <c r="M4" s="16" t="s">
        <v>236</v>
      </c>
      <c r="N4" s="16" t="s">
        <v>237</v>
      </c>
      <c r="O4" s="16" t="s">
        <v>238</v>
      </c>
      <c r="P4" s="16" t="s">
        <v>239</v>
      </c>
      <c r="Q4" s="16" t="s">
        <v>240</v>
      </c>
      <c r="R4" s="16" t="s">
        <v>241</v>
      </c>
      <c r="S4" s="9" t="s">
        <v>71</v>
      </c>
      <c r="T4" s="9" t="s">
        <v>74</v>
      </c>
    </row>
    <row r="5" customFormat="false" ht="23.85" hidden="false" customHeight="false" outlineLevel="0" collapsed="false">
      <c r="A5" s="20" t="s">
        <v>242</v>
      </c>
      <c r="B5" s="30" t="str">
        <f aca="false">IF(A5="","",IF(LEN(UPPER(SUBSTITUTE(SUBSTITUTE(SUBSTITUTE(SUBSTITUTE(TRIM(A5),".",""),"/",""),"-","")," ","")))&lt;14,RIGHT(REPT("0",14)&amp;UPPER(SUBSTITUTE(SUBSTITUTE(SUBSTITUTE(SUBSTITUTE(TRIM(A5),".",""),"/",""),"-","")," ","")),14),UPPER(SUBSTITUTE(SUBSTITUTE(SUBSTITUTE(SUBSTITUTE(TRIM(A5),".",""),"/",""),"-","")," ",""))))</f>
        <v>11222333000186</v>
      </c>
      <c r="C5" s="18" t="s">
        <v>243</v>
      </c>
      <c r="D5" s="19" t="s">
        <v>244</v>
      </c>
      <c r="E5" s="17" t="n">
        <v>45726</v>
      </c>
      <c r="F5" s="19" t="s">
        <v>245</v>
      </c>
      <c r="G5" s="18" t="s">
        <v>246</v>
      </c>
      <c r="H5" s="32" t="n">
        <v>10000</v>
      </c>
      <c r="I5" s="18" t="s">
        <v>247</v>
      </c>
      <c r="J5" s="19" t="s">
        <v>248</v>
      </c>
      <c r="K5" s="26" t="n">
        <f aca="false">IF(B5="","",COUNTIF(Contratos!$D:$D,B5))</f>
        <v>1</v>
      </c>
      <c r="L5" s="33" t="n">
        <f aca="false">IF(B5="","",SUMIFS(Contratos!$K:$K,Contratos!$D:$D,B5))</f>
        <v>630000</v>
      </c>
      <c r="M5" s="33" t="n">
        <f aca="false">IF(B5="","",SUMIFS(Pagamentos!$G:$G,Pagamentos!$D:$D,B5,Pagamentos!$F:$F,"Empenho"))</f>
        <v>480000</v>
      </c>
      <c r="N5" s="33" t="n">
        <f aca="false">IF(B5="","",SUMIFS(Pagamentos!$G:$G,Pagamentos!$D:$D,B5,Pagamentos!$F:$F,"Pagamento"))</f>
        <v>240000</v>
      </c>
      <c r="O5" s="34" t="n">
        <f aca="false">IF(OR(B5="",H5="",L5="",L5=0),"",H5/L5)</f>
        <v>0.0158730158730159</v>
      </c>
      <c r="P5" s="26" t="n">
        <f aca="false">IF(B5="","",COUNTIF(Sancoes!$C:$C,B5))</f>
        <v>0</v>
      </c>
      <c r="Q5" s="26" t="n">
        <f aca="false">IF(B5="","",COUNTIF(Socios!$B:$B,B5))</f>
        <v>1</v>
      </c>
      <c r="R5" s="26" t="n">
        <f aca="false">IF(B5="","",COUNTIFS(Socios!$B:$B,B5,Socios!$L:$L,"SIM"))</f>
        <v>1</v>
      </c>
      <c r="S5" s="20" t="s">
        <v>91</v>
      </c>
      <c r="T5" s="18" t="s">
        <v>249</v>
      </c>
    </row>
    <row r="6" customFormat="false" ht="23.85" hidden="false" customHeight="false" outlineLevel="0" collapsed="false">
      <c r="A6" s="20" t="s">
        <v>250</v>
      </c>
      <c r="B6" s="30" t="str">
        <f aca="false">IF(A6="","",IF(LEN(UPPER(SUBSTITUTE(SUBSTITUTE(SUBSTITUTE(SUBSTITUTE(TRIM(A6),".",""),"/",""),"-","")," ","")))&lt;14,RIGHT(REPT("0",14)&amp;UPPER(SUBSTITUTE(SUBSTITUTE(SUBSTITUTE(SUBSTITUTE(TRIM(A6),".",""),"/",""),"-","")," ","")),14),UPPER(SUBSTITUTE(SUBSTITUTE(SUBSTITUTE(SUBSTITUTE(TRIM(A6),".",""),"/",""),"-","")," ",""))))</f>
        <v>44555666000186</v>
      </c>
      <c r="C6" s="18" t="s">
        <v>251</v>
      </c>
      <c r="D6" s="19" t="s">
        <v>252</v>
      </c>
      <c r="E6" s="17" t="n">
        <v>42156</v>
      </c>
      <c r="F6" s="19" t="s">
        <v>245</v>
      </c>
      <c r="G6" s="18" t="s">
        <v>253</v>
      </c>
      <c r="H6" s="32" t="n">
        <v>2000000</v>
      </c>
      <c r="I6" s="18" t="s">
        <v>254</v>
      </c>
      <c r="J6" s="19" t="s">
        <v>248</v>
      </c>
      <c r="K6" s="26" t="n">
        <f aca="false">IF(B6="","",COUNTIF(Contratos!$D:$D,B6))</f>
        <v>1</v>
      </c>
      <c r="L6" s="33" t="n">
        <f aca="false">IF(B6="","",SUMIFS(Contratos!$K:$K,Contratos!$D:$D,B6))</f>
        <v>2300000</v>
      </c>
      <c r="M6" s="33" t="n">
        <f aca="false">IF(B6="","",SUMIFS(Pagamentos!$G:$G,Pagamentos!$D:$D,B6,Pagamentos!$F:$F,"Empenho"))</f>
        <v>0</v>
      </c>
      <c r="N6" s="33" t="n">
        <f aca="false">IF(B6="","",SUMIFS(Pagamentos!$G:$G,Pagamentos!$D:$D,B6,Pagamentos!$F:$F,"Pagamento"))</f>
        <v>0</v>
      </c>
      <c r="O6" s="34" t="n">
        <f aca="false">IF(OR(B6="",H6="",L6="",L6=0),"",H6/L6)</f>
        <v>0.869565217391304</v>
      </c>
      <c r="P6" s="26" t="n">
        <f aca="false">IF(B6="","",COUNTIF(Sancoes!$C:$C,B6))</f>
        <v>1</v>
      </c>
      <c r="Q6" s="26" t="n">
        <f aca="false">IF(B6="","",COUNTIF(Socios!$B:$B,B6))</f>
        <v>1</v>
      </c>
      <c r="R6" s="26" t="n">
        <f aca="false">IF(B6="","",COUNTIFS(Socios!$B:$B,B6,Socios!$L:$L,"SIM"))</f>
        <v>0</v>
      </c>
      <c r="S6" s="20" t="s">
        <v>91</v>
      </c>
      <c r="T6" s="18" t="s">
        <v>249</v>
      </c>
    </row>
    <row r="7" customFormat="false" ht="15" hidden="false" customHeight="false" outlineLevel="0" collapsed="false">
      <c r="A7" s="24"/>
      <c r="B7" s="31" t="str">
        <f aca="false">IF(A7="","",IF(LEN(UPPER(SUBSTITUTE(SUBSTITUTE(SUBSTITUTE(SUBSTITUTE(TRIM(A7),".",""),"/",""),"-","")," ","")))&lt;14,RIGHT(REPT("0",14)&amp;UPPER(SUBSTITUTE(SUBSTITUTE(SUBSTITUTE(SUBSTITUTE(TRIM(A7),".",""),"/",""),"-","")," ","")),14),UPPER(SUBSTITUTE(SUBSTITUTE(SUBSTITUTE(SUBSTITUTE(TRIM(A7),".",""),"/",""),"-","")," ",""))))</f>
        <v/>
      </c>
      <c r="C7" s="11"/>
      <c r="D7" s="23"/>
      <c r="E7" s="22"/>
      <c r="F7" s="23"/>
      <c r="G7" s="11"/>
      <c r="H7" s="35"/>
      <c r="I7" s="11"/>
      <c r="J7" s="23"/>
      <c r="K7" s="27" t="str">
        <f aca="false">IF(B7="","",COUNTIF(Contratos!$D:$D,B7))</f>
        <v/>
      </c>
      <c r="L7" s="36" t="str">
        <f aca="false">IF(B7="","",SUMIFS(Contratos!$K:$K,Contratos!$D:$D,B7))</f>
        <v/>
      </c>
      <c r="M7" s="36" t="str">
        <f aca="false">IF(B7="","",SUMIFS(Pagamentos!$G:$G,Pagamentos!$D:$D,B7,Pagamentos!$F:$F,"Empenho"))</f>
        <v/>
      </c>
      <c r="N7" s="36" t="str">
        <f aca="false">IF(B7="","",SUMIFS(Pagamentos!$G:$G,Pagamentos!$D:$D,B7,Pagamentos!$F:$F,"Pagamento"))</f>
        <v/>
      </c>
      <c r="O7" s="37" t="str">
        <f aca="false">IF(OR(B7="",H7="",L7="",L7=0),"",H7/L7)</f>
        <v/>
      </c>
      <c r="P7" s="27" t="str">
        <f aca="false">IF(B7="","",COUNTIF(Sancoes!$C:$C,B7))</f>
        <v/>
      </c>
      <c r="Q7" s="27" t="str">
        <f aca="false">IF(B7="","",COUNTIF(Socios!$B:$B,B7))</f>
        <v/>
      </c>
      <c r="R7" s="27" t="str">
        <f aca="false">IF(B7="","",COUNTIFS(Socios!$B:$B,B7,Socios!$L:$L,"SIM"))</f>
        <v/>
      </c>
      <c r="S7" s="24"/>
      <c r="T7" s="11"/>
    </row>
    <row r="8" customFormat="false" ht="15" hidden="false" customHeight="false" outlineLevel="0" collapsed="false">
      <c r="A8" s="24"/>
      <c r="B8" s="31" t="str">
        <f aca="false">IF(A8="","",IF(LEN(UPPER(SUBSTITUTE(SUBSTITUTE(SUBSTITUTE(SUBSTITUTE(TRIM(A8),".",""),"/",""),"-","")," ","")))&lt;14,RIGHT(REPT("0",14)&amp;UPPER(SUBSTITUTE(SUBSTITUTE(SUBSTITUTE(SUBSTITUTE(TRIM(A8),".",""),"/",""),"-","")," ","")),14),UPPER(SUBSTITUTE(SUBSTITUTE(SUBSTITUTE(SUBSTITUTE(TRIM(A8),".",""),"/",""),"-","")," ",""))))</f>
        <v/>
      </c>
      <c r="C8" s="11"/>
      <c r="D8" s="23"/>
      <c r="E8" s="22"/>
      <c r="F8" s="23"/>
      <c r="G8" s="11"/>
      <c r="H8" s="35"/>
      <c r="I8" s="11"/>
      <c r="J8" s="23"/>
      <c r="K8" s="27" t="str">
        <f aca="false">IF(B8="","",COUNTIF(Contratos!$D:$D,B8))</f>
        <v/>
      </c>
      <c r="L8" s="36" t="str">
        <f aca="false">IF(B8="","",SUMIFS(Contratos!$K:$K,Contratos!$D:$D,B8))</f>
        <v/>
      </c>
      <c r="M8" s="36" t="str">
        <f aca="false">IF(B8="","",SUMIFS(Pagamentos!$G:$G,Pagamentos!$D:$D,B8,Pagamentos!$F:$F,"Empenho"))</f>
        <v/>
      </c>
      <c r="N8" s="36" t="str">
        <f aca="false">IF(B8="","",SUMIFS(Pagamentos!$G:$G,Pagamentos!$D:$D,B8,Pagamentos!$F:$F,"Pagamento"))</f>
        <v/>
      </c>
      <c r="O8" s="37" t="str">
        <f aca="false">IF(OR(B8="",H8="",L8="",L8=0),"",H8/L8)</f>
        <v/>
      </c>
      <c r="P8" s="27" t="str">
        <f aca="false">IF(B8="","",COUNTIF(Sancoes!$C:$C,B8))</f>
        <v/>
      </c>
      <c r="Q8" s="27" t="str">
        <f aca="false">IF(B8="","",COUNTIF(Socios!$B:$B,B8))</f>
        <v/>
      </c>
      <c r="R8" s="27" t="str">
        <f aca="false">IF(B8="","",COUNTIFS(Socios!$B:$B,B8,Socios!$L:$L,"SIM"))</f>
        <v/>
      </c>
      <c r="S8" s="24"/>
      <c r="T8" s="11"/>
    </row>
    <row r="9" customFormat="false" ht="15" hidden="false" customHeight="false" outlineLevel="0" collapsed="false">
      <c r="A9" s="24"/>
      <c r="B9" s="31" t="str">
        <f aca="false">IF(A9="","",IF(LEN(UPPER(SUBSTITUTE(SUBSTITUTE(SUBSTITUTE(SUBSTITUTE(TRIM(A9),".",""),"/",""),"-","")," ","")))&lt;14,RIGHT(REPT("0",14)&amp;UPPER(SUBSTITUTE(SUBSTITUTE(SUBSTITUTE(SUBSTITUTE(TRIM(A9),".",""),"/",""),"-","")," ","")),14),UPPER(SUBSTITUTE(SUBSTITUTE(SUBSTITUTE(SUBSTITUTE(TRIM(A9),".",""),"/",""),"-","")," ",""))))</f>
        <v/>
      </c>
      <c r="C9" s="11"/>
      <c r="D9" s="23"/>
      <c r="E9" s="22"/>
      <c r="F9" s="23"/>
      <c r="G9" s="11"/>
      <c r="H9" s="35"/>
      <c r="I9" s="11"/>
      <c r="J9" s="23"/>
      <c r="K9" s="27" t="str">
        <f aca="false">IF(B9="","",COUNTIF(Contratos!$D:$D,B9))</f>
        <v/>
      </c>
      <c r="L9" s="36" t="str">
        <f aca="false">IF(B9="","",SUMIFS(Contratos!$K:$K,Contratos!$D:$D,B9))</f>
        <v/>
      </c>
      <c r="M9" s="36" t="str">
        <f aca="false">IF(B9="","",SUMIFS(Pagamentos!$G:$G,Pagamentos!$D:$D,B9,Pagamentos!$F:$F,"Empenho"))</f>
        <v/>
      </c>
      <c r="N9" s="36" t="str">
        <f aca="false">IF(B9="","",SUMIFS(Pagamentos!$G:$G,Pagamentos!$D:$D,B9,Pagamentos!$F:$F,"Pagamento"))</f>
        <v/>
      </c>
      <c r="O9" s="37" t="str">
        <f aca="false">IF(OR(B9="",H9="",L9="",L9=0),"",H9/L9)</f>
        <v/>
      </c>
      <c r="P9" s="27" t="str">
        <f aca="false">IF(B9="","",COUNTIF(Sancoes!$C:$C,B9))</f>
        <v/>
      </c>
      <c r="Q9" s="27" t="str">
        <f aca="false">IF(B9="","",COUNTIF(Socios!$B:$B,B9))</f>
        <v/>
      </c>
      <c r="R9" s="27" t="str">
        <f aca="false">IF(B9="","",COUNTIFS(Socios!$B:$B,B9,Socios!$L:$L,"SIM"))</f>
        <v/>
      </c>
      <c r="S9" s="24"/>
      <c r="T9" s="11"/>
    </row>
    <row r="10" customFormat="false" ht="15" hidden="false" customHeight="false" outlineLevel="0" collapsed="false">
      <c r="A10" s="24"/>
      <c r="B10" s="31" t="str">
        <f aca="false">IF(A10="","",IF(LEN(UPPER(SUBSTITUTE(SUBSTITUTE(SUBSTITUTE(SUBSTITUTE(TRIM(A10),".",""),"/",""),"-","")," ","")))&lt;14,RIGHT(REPT("0",14)&amp;UPPER(SUBSTITUTE(SUBSTITUTE(SUBSTITUTE(SUBSTITUTE(TRIM(A10),".",""),"/",""),"-","")," ","")),14),UPPER(SUBSTITUTE(SUBSTITUTE(SUBSTITUTE(SUBSTITUTE(TRIM(A10),".",""),"/",""),"-","")," ",""))))</f>
        <v/>
      </c>
      <c r="C10" s="11"/>
      <c r="D10" s="23"/>
      <c r="E10" s="22"/>
      <c r="F10" s="23"/>
      <c r="G10" s="11"/>
      <c r="H10" s="35"/>
      <c r="I10" s="11"/>
      <c r="J10" s="23"/>
      <c r="K10" s="27" t="str">
        <f aca="false">IF(B10="","",COUNTIF(Contratos!$D:$D,B10))</f>
        <v/>
      </c>
      <c r="L10" s="36" t="str">
        <f aca="false">IF(B10="","",SUMIFS(Contratos!$K:$K,Contratos!$D:$D,B10))</f>
        <v/>
      </c>
      <c r="M10" s="36" t="str">
        <f aca="false">IF(B10="","",SUMIFS(Pagamentos!$G:$G,Pagamentos!$D:$D,B10,Pagamentos!$F:$F,"Empenho"))</f>
        <v/>
      </c>
      <c r="N10" s="36" t="str">
        <f aca="false">IF(B10="","",SUMIFS(Pagamentos!$G:$G,Pagamentos!$D:$D,B10,Pagamentos!$F:$F,"Pagamento"))</f>
        <v/>
      </c>
      <c r="O10" s="37" t="str">
        <f aca="false">IF(OR(B10="",H10="",L10="",L10=0),"",H10/L10)</f>
        <v/>
      </c>
      <c r="P10" s="27" t="str">
        <f aca="false">IF(B10="","",COUNTIF(Sancoes!$C:$C,B10))</f>
        <v/>
      </c>
      <c r="Q10" s="27" t="str">
        <f aca="false">IF(B10="","",COUNTIF(Socios!$B:$B,B10))</f>
        <v/>
      </c>
      <c r="R10" s="27" t="str">
        <f aca="false">IF(B10="","",COUNTIFS(Socios!$B:$B,B10,Socios!$L:$L,"SIM"))</f>
        <v/>
      </c>
      <c r="S10" s="24"/>
      <c r="T10" s="11"/>
    </row>
    <row r="11" customFormat="false" ht="15" hidden="false" customHeight="false" outlineLevel="0" collapsed="false">
      <c r="A11" s="24"/>
      <c r="B11" s="31" t="str">
        <f aca="false">IF(A11="","",IF(LEN(UPPER(SUBSTITUTE(SUBSTITUTE(SUBSTITUTE(SUBSTITUTE(TRIM(A11),".",""),"/",""),"-","")," ","")))&lt;14,RIGHT(REPT("0",14)&amp;UPPER(SUBSTITUTE(SUBSTITUTE(SUBSTITUTE(SUBSTITUTE(TRIM(A11),".",""),"/",""),"-","")," ","")),14),UPPER(SUBSTITUTE(SUBSTITUTE(SUBSTITUTE(SUBSTITUTE(TRIM(A11),".",""),"/",""),"-","")," ",""))))</f>
        <v/>
      </c>
      <c r="C11" s="11"/>
      <c r="D11" s="23"/>
      <c r="E11" s="22"/>
      <c r="F11" s="23"/>
      <c r="G11" s="11"/>
      <c r="H11" s="35"/>
      <c r="I11" s="11"/>
      <c r="J11" s="23"/>
      <c r="K11" s="27" t="str">
        <f aca="false">IF(B11="","",COUNTIF(Contratos!$D:$D,B11))</f>
        <v/>
      </c>
      <c r="L11" s="36" t="str">
        <f aca="false">IF(B11="","",SUMIFS(Contratos!$K:$K,Contratos!$D:$D,B11))</f>
        <v/>
      </c>
      <c r="M11" s="36" t="str">
        <f aca="false">IF(B11="","",SUMIFS(Pagamentos!$G:$G,Pagamentos!$D:$D,B11,Pagamentos!$F:$F,"Empenho"))</f>
        <v/>
      </c>
      <c r="N11" s="36" t="str">
        <f aca="false">IF(B11="","",SUMIFS(Pagamentos!$G:$G,Pagamentos!$D:$D,B11,Pagamentos!$F:$F,"Pagamento"))</f>
        <v/>
      </c>
      <c r="O11" s="37" t="str">
        <f aca="false">IF(OR(B11="",H11="",L11="",L11=0),"",H11/L11)</f>
        <v/>
      </c>
      <c r="P11" s="27" t="str">
        <f aca="false">IF(B11="","",COUNTIF(Sancoes!$C:$C,B11))</f>
        <v/>
      </c>
      <c r="Q11" s="27" t="str">
        <f aca="false">IF(B11="","",COUNTIF(Socios!$B:$B,B11))</f>
        <v/>
      </c>
      <c r="R11" s="27" t="str">
        <f aca="false">IF(B11="","",COUNTIFS(Socios!$B:$B,B11,Socios!$L:$L,"SIM"))</f>
        <v/>
      </c>
      <c r="S11" s="24"/>
      <c r="T11" s="11"/>
    </row>
    <row r="12" customFormat="false" ht="15" hidden="false" customHeight="false" outlineLevel="0" collapsed="false">
      <c r="A12" s="24"/>
      <c r="B12" s="31" t="str">
        <f aca="false">IF(A12="","",IF(LEN(UPPER(SUBSTITUTE(SUBSTITUTE(SUBSTITUTE(SUBSTITUTE(TRIM(A12),".",""),"/",""),"-","")," ","")))&lt;14,RIGHT(REPT("0",14)&amp;UPPER(SUBSTITUTE(SUBSTITUTE(SUBSTITUTE(SUBSTITUTE(TRIM(A12),".",""),"/",""),"-","")," ","")),14),UPPER(SUBSTITUTE(SUBSTITUTE(SUBSTITUTE(SUBSTITUTE(TRIM(A12),".",""),"/",""),"-","")," ",""))))</f>
        <v/>
      </c>
      <c r="C12" s="11"/>
      <c r="D12" s="23"/>
      <c r="E12" s="22"/>
      <c r="F12" s="23"/>
      <c r="G12" s="11"/>
      <c r="H12" s="35"/>
      <c r="I12" s="11"/>
      <c r="J12" s="23"/>
      <c r="K12" s="27" t="str">
        <f aca="false">IF(B12="","",COUNTIF(Contratos!$D:$D,B12))</f>
        <v/>
      </c>
      <c r="L12" s="36" t="str">
        <f aca="false">IF(B12="","",SUMIFS(Contratos!$K:$K,Contratos!$D:$D,B12))</f>
        <v/>
      </c>
      <c r="M12" s="36" t="str">
        <f aca="false">IF(B12="","",SUMIFS(Pagamentos!$G:$G,Pagamentos!$D:$D,B12,Pagamentos!$F:$F,"Empenho"))</f>
        <v/>
      </c>
      <c r="N12" s="36" t="str">
        <f aca="false">IF(B12="","",SUMIFS(Pagamentos!$G:$G,Pagamentos!$D:$D,B12,Pagamentos!$F:$F,"Pagamento"))</f>
        <v/>
      </c>
      <c r="O12" s="37" t="str">
        <f aca="false">IF(OR(B12="",H12="",L12="",L12=0),"",H12/L12)</f>
        <v/>
      </c>
      <c r="P12" s="27" t="str">
        <f aca="false">IF(B12="","",COUNTIF(Sancoes!$C:$C,B12))</f>
        <v/>
      </c>
      <c r="Q12" s="27" t="str">
        <f aca="false">IF(B12="","",COUNTIF(Socios!$B:$B,B12))</f>
        <v/>
      </c>
      <c r="R12" s="27" t="str">
        <f aca="false">IF(B12="","",COUNTIFS(Socios!$B:$B,B12,Socios!$L:$L,"SIM"))</f>
        <v/>
      </c>
      <c r="S12" s="24"/>
      <c r="T12" s="11"/>
    </row>
    <row r="13" customFormat="false" ht="15" hidden="false" customHeight="false" outlineLevel="0" collapsed="false">
      <c r="A13" s="24"/>
      <c r="B13" s="31" t="str">
        <f aca="false">IF(A13="","",IF(LEN(UPPER(SUBSTITUTE(SUBSTITUTE(SUBSTITUTE(SUBSTITUTE(TRIM(A13),".",""),"/",""),"-","")," ","")))&lt;14,RIGHT(REPT("0",14)&amp;UPPER(SUBSTITUTE(SUBSTITUTE(SUBSTITUTE(SUBSTITUTE(TRIM(A13),".",""),"/",""),"-","")," ","")),14),UPPER(SUBSTITUTE(SUBSTITUTE(SUBSTITUTE(SUBSTITUTE(TRIM(A13),".",""),"/",""),"-","")," ",""))))</f>
        <v/>
      </c>
      <c r="C13" s="11"/>
      <c r="D13" s="23"/>
      <c r="E13" s="22"/>
      <c r="F13" s="23"/>
      <c r="G13" s="11"/>
      <c r="H13" s="35"/>
      <c r="I13" s="11"/>
      <c r="J13" s="23"/>
      <c r="K13" s="27" t="str">
        <f aca="false">IF(B13="","",COUNTIF(Contratos!$D:$D,B13))</f>
        <v/>
      </c>
      <c r="L13" s="36" t="str">
        <f aca="false">IF(B13="","",SUMIFS(Contratos!$K:$K,Contratos!$D:$D,B13))</f>
        <v/>
      </c>
      <c r="M13" s="36" t="str">
        <f aca="false">IF(B13="","",SUMIFS(Pagamentos!$G:$G,Pagamentos!$D:$D,B13,Pagamentos!$F:$F,"Empenho"))</f>
        <v/>
      </c>
      <c r="N13" s="36" t="str">
        <f aca="false">IF(B13="","",SUMIFS(Pagamentos!$G:$G,Pagamentos!$D:$D,B13,Pagamentos!$F:$F,"Pagamento"))</f>
        <v/>
      </c>
      <c r="O13" s="37" t="str">
        <f aca="false">IF(OR(B13="",H13="",L13="",L13=0),"",H13/L13)</f>
        <v/>
      </c>
      <c r="P13" s="27" t="str">
        <f aca="false">IF(B13="","",COUNTIF(Sancoes!$C:$C,B13))</f>
        <v/>
      </c>
      <c r="Q13" s="27" t="str">
        <f aca="false">IF(B13="","",COUNTIF(Socios!$B:$B,B13))</f>
        <v/>
      </c>
      <c r="R13" s="27" t="str">
        <f aca="false">IF(B13="","",COUNTIFS(Socios!$B:$B,B13,Socios!$L:$L,"SIM"))</f>
        <v/>
      </c>
      <c r="S13" s="24"/>
      <c r="T13" s="11"/>
    </row>
    <row r="14" customFormat="false" ht="15" hidden="false" customHeight="false" outlineLevel="0" collapsed="false">
      <c r="A14" s="24"/>
      <c r="B14" s="31" t="str">
        <f aca="false">IF(A14="","",IF(LEN(UPPER(SUBSTITUTE(SUBSTITUTE(SUBSTITUTE(SUBSTITUTE(TRIM(A14),".",""),"/",""),"-","")," ","")))&lt;14,RIGHT(REPT("0",14)&amp;UPPER(SUBSTITUTE(SUBSTITUTE(SUBSTITUTE(SUBSTITUTE(TRIM(A14),".",""),"/",""),"-","")," ","")),14),UPPER(SUBSTITUTE(SUBSTITUTE(SUBSTITUTE(SUBSTITUTE(TRIM(A14),".",""),"/",""),"-","")," ",""))))</f>
        <v/>
      </c>
      <c r="C14" s="11"/>
      <c r="D14" s="23"/>
      <c r="E14" s="22"/>
      <c r="F14" s="23"/>
      <c r="G14" s="11"/>
      <c r="H14" s="35"/>
      <c r="I14" s="11"/>
      <c r="J14" s="23"/>
      <c r="K14" s="27" t="str">
        <f aca="false">IF(B14="","",COUNTIF(Contratos!$D:$D,B14))</f>
        <v/>
      </c>
      <c r="L14" s="36" t="str">
        <f aca="false">IF(B14="","",SUMIFS(Contratos!$K:$K,Contratos!$D:$D,B14))</f>
        <v/>
      </c>
      <c r="M14" s="36" t="str">
        <f aca="false">IF(B14="","",SUMIFS(Pagamentos!$G:$G,Pagamentos!$D:$D,B14,Pagamentos!$F:$F,"Empenho"))</f>
        <v/>
      </c>
      <c r="N14" s="36" t="str">
        <f aca="false">IF(B14="","",SUMIFS(Pagamentos!$G:$G,Pagamentos!$D:$D,B14,Pagamentos!$F:$F,"Pagamento"))</f>
        <v/>
      </c>
      <c r="O14" s="37" t="str">
        <f aca="false">IF(OR(B14="",H14="",L14="",L14=0),"",H14/L14)</f>
        <v/>
      </c>
      <c r="P14" s="27" t="str">
        <f aca="false">IF(B14="","",COUNTIF(Sancoes!$C:$C,B14))</f>
        <v/>
      </c>
      <c r="Q14" s="27" t="str">
        <f aca="false">IF(B14="","",COUNTIF(Socios!$B:$B,B14))</f>
        <v/>
      </c>
      <c r="R14" s="27" t="str">
        <f aca="false">IF(B14="","",COUNTIFS(Socios!$B:$B,B14,Socios!$L:$L,"SIM"))</f>
        <v/>
      </c>
      <c r="S14" s="24"/>
      <c r="T14" s="11"/>
    </row>
    <row r="15" customFormat="false" ht="15" hidden="false" customHeight="false" outlineLevel="0" collapsed="false">
      <c r="A15" s="24"/>
      <c r="B15" s="31" t="str">
        <f aca="false">IF(A15="","",IF(LEN(UPPER(SUBSTITUTE(SUBSTITUTE(SUBSTITUTE(SUBSTITUTE(TRIM(A15),".",""),"/",""),"-","")," ","")))&lt;14,RIGHT(REPT("0",14)&amp;UPPER(SUBSTITUTE(SUBSTITUTE(SUBSTITUTE(SUBSTITUTE(TRIM(A15),".",""),"/",""),"-","")," ","")),14),UPPER(SUBSTITUTE(SUBSTITUTE(SUBSTITUTE(SUBSTITUTE(TRIM(A15),".",""),"/",""),"-","")," ",""))))</f>
        <v/>
      </c>
      <c r="C15" s="11"/>
      <c r="D15" s="23"/>
      <c r="E15" s="22"/>
      <c r="F15" s="23"/>
      <c r="G15" s="11"/>
      <c r="H15" s="35"/>
      <c r="I15" s="11"/>
      <c r="J15" s="23"/>
      <c r="K15" s="27" t="str">
        <f aca="false">IF(B15="","",COUNTIF(Contratos!$D:$D,B15))</f>
        <v/>
      </c>
      <c r="L15" s="36" t="str">
        <f aca="false">IF(B15="","",SUMIFS(Contratos!$K:$K,Contratos!$D:$D,B15))</f>
        <v/>
      </c>
      <c r="M15" s="36" t="str">
        <f aca="false">IF(B15="","",SUMIFS(Pagamentos!$G:$G,Pagamentos!$D:$D,B15,Pagamentos!$F:$F,"Empenho"))</f>
        <v/>
      </c>
      <c r="N15" s="36" t="str">
        <f aca="false">IF(B15="","",SUMIFS(Pagamentos!$G:$G,Pagamentos!$D:$D,B15,Pagamentos!$F:$F,"Pagamento"))</f>
        <v/>
      </c>
      <c r="O15" s="37" t="str">
        <f aca="false">IF(OR(B15="",H15="",L15="",L15=0),"",H15/L15)</f>
        <v/>
      </c>
      <c r="P15" s="27" t="str">
        <f aca="false">IF(B15="","",COUNTIF(Sancoes!$C:$C,B15))</f>
        <v/>
      </c>
      <c r="Q15" s="27" t="str">
        <f aca="false">IF(B15="","",COUNTIF(Socios!$B:$B,B15))</f>
        <v/>
      </c>
      <c r="R15" s="27" t="str">
        <f aca="false">IF(B15="","",COUNTIFS(Socios!$B:$B,B15,Socios!$L:$L,"SIM"))</f>
        <v/>
      </c>
      <c r="S15" s="24"/>
      <c r="T15" s="11"/>
    </row>
    <row r="16" customFormat="false" ht="15" hidden="false" customHeight="false" outlineLevel="0" collapsed="false">
      <c r="A16" s="24"/>
      <c r="B16" s="31" t="str">
        <f aca="false">IF(A16="","",IF(LEN(UPPER(SUBSTITUTE(SUBSTITUTE(SUBSTITUTE(SUBSTITUTE(TRIM(A16),".",""),"/",""),"-","")," ","")))&lt;14,RIGHT(REPT("0",14)&amp;UPPER(SUBSTITUTE(SUBSTITUTE(SUBSTITUTE(SUBSTITUTE(TRIM(A16),".",""),"/",""),"-","")," ","")),14),UPPER(SUBSTITUTE(SUBSTITUTE(SUBSTITUTE(SUBSTITUTE(TRIM(A16),".",""),"/",""),"-","")," ",""))))</f>
        <v/>
      </c>
      <c r="C16" s="11"/>
      <c r="D16" s="23"/>
      <c r="E16" s="22"/>
      <c r="F16" s="23"/>
      <c r="G16" s="11"/>
      <c r="H16" s="35"/>
      <c r="I16" s="11"/>
      <c r="J16" s="23"/>
      <c r="K16" s="27" t="str">
        <f aca="false">IF(B16="","",COUNTIF(Contratos!$D:$D,B16))</f>
        <v/>
      </c>
      <c r="L16" s="36" t="str">
        <f aca="false">IF(B16="","",SUMIFS(Contratos!$K:$K,Contratos!$D:$D,B16))</f>
        <v/>
      </c>
      <c r="M16" s="36" t="str">
        <f aca="false">IF(B16="","",SUMIFS(Pagamentos!$G:$G,Pagamentos!$D:$D,B16,Pagamentos!$F:$F,"Empenho"))</f>
        <v/>
      </c>
      <c r="N16" s="36" t="str">
        <f aca="false">IF(B16="","",SUMIFS(Pagamentos!$G:$G,Pagamentos!$D:$D,B16,Pagamentos!$F:$F,"Pagamento"))</f>
        <v/>
      </c>
      <c r="O16" s="37" t="str">
        <f aca="false">IF(OR(B16="",H16="",L16="",L16=0),"",H16/L16)</f>
        <v/>
      </c>
      <c r="P16" s="27" t="str">
        <f aca="false">IF(B16="","",COUNTIF(Sancoes!$C:$C,B16))</f>
        <v/>
      </c>
      <c r="Q16" s="27" t="str">
        <f aca="false">IF(B16="","",COUNTIF(Socios!$B:$B,B16))</f>
        <v/>
      </c>
      <c r="R16" s="27" t="str">
        <f aca="false">IF(B16="","",COUNTIFS(Socios!$B:$B,B16,Socios!$L:$L,"SIM"))</f>
        <v/>
      </c>
      <c r="S16" s="24"/>
      <c r="T16" s="11"/>
    </row>
    <row r="17" customFormat="false" ht="15" hidden="false" customHeight="false" outlineLevel="0" collapsed="false">
      <c r="A17" s="24"/>
      <c r="B17" s="31" t="str">
        <f aca="false">IF(A17="","",IF(LEN(UPPER(SUBSTITUTE(SUBSTITUTE(SUBSTITUTE(SUBSTITUTE(TRIM(A17),".",""),"/",""),"-","")," ","")))&lt;14,RIGHT(REPT("0",14)&amp;UPPER(SUBSTITUTE(SUBSTITUTE(SUBSTITUTE(SUBSTITUTE(TRIM(A17),".",""),"/",""),"-","")," ","")),14),UPPER(SUBSTITUTE(SUBSTITUTE(SUBSTITUTE(SUBSTITUTE(TRIM(A17),".",""),"/",""),"-","")," ",""))))</f>
        <v/>
      </c>
      <c r="C17" s="11"/>
      <c r="D17" s="23"/>
      <c r="E17" s="22"/>
      <c r="F17" s="23"/>
      <c r="G17" s="11"/>
      <c r="H17" s="35"/>
      <c r="I17" s="11"/>
      <c r="J17" s="23"/>
      <c r="K17" s="27" t="str">
        <f aca="false">IF(B17="","",COUNTIF(Contratos!$D:$D,B17))</f>
        <v/>
      </c>
      <c r="L17" s="36" t="str">
        <f aca="false">IF(B17="","",SUMIFS(Contratos!$K:$K,Contratos!$D:$D,B17))</f>
        <v/>
      </c>
      <c r="M17" s="36" t="str">
        <f aca="false">IF(B17="","",SUMIFS(Pagamentos!$G:$G,Pagamentos!$D:$D,B17,Pagamentos!$F:$F,"Empenho"))</f>
        <v/>
      </c>
      <c r="N17" s="36" t="str">
        <f aca="false">IF(B17="","",SUMIFS(Pagamentos!$G:$G,Pagamentos!$D:$D,B17,Pagamentos!$F:$F,"Pagamento"))</f>
        <v/>
      </c>
      <c r="O17" s="37" t="str">
        <f aca="false">IF(OR(B17="",H17="",L17="",L17=0),"",H17/L17)</f>
        <v/>
      </c>
      <c r="P17" s="27" t="str">
        <f aca="false">IF(B17="","",COUNTIF(Sancoes!$C:$C,B17))</f>
        <v/>
      </c>
      <c r="Q17" s="27" t="str">
        <f aca="false">IF(B17="","",COUNTIF(Socios!$B:$B,B17))</f>
        <v/>
      </c>
      <c r="R17" s="27" t="str">
        <f aca="false">IF(B17="","",COUNTIFS(Socios!$B:$B,B17,Socios!$L:$L,"SIM"))</f>
        <v/>
      </c>
      <c r="S17" s="24"/>
      <c r="T17" s="11"/>
    </row>
    <row r="18" customFormat="false" ht="15" hidden="false" customHeight="false" outlineLevel="0" collapsed="false">
      <c r="A18" s="24"/>
      <c r="B18" s="31" t="str">
        <f aca="false">IF(A18="","",IF(LEN(UPPER(SUBSTITUTE(SUBSTITUTE(SUBSTITUTE(SUBSTITUTE(TRIM(A18),".",""),"/",""),"-","")," ","")))&lt;14,RIGHT(REPT("0",14)&amp;UPPER(SUBSTITUTE(SUBSTITUTE(SUBSTITUTE(SUBSTITUTE(TRIM(A18),".",""),"/",""),"-","")," ","")),14),UPPER(SUBSTITUTE(SUBSTITUTE(SUBSTITUTE(SUBSTITUTE(TRIM(A18),".",""),"/",""),"-","")," ",""))))</f>
        <v/>
      </c>
      <c r="C18" s="11"/>
      <c r="D18" s="23"/>
      <c r="E18" s="22"/>
      <c r="F18" s="23"/>
      <c r="G18" s="11"/>
      <c r="H18" s="35"/>
      <c r="I18" s="11"/>
      <c r="J18" s="23"/>
      <c r="K18" s="27" t="str">
        <f aca="false">IF(B18="","",COUNTIF(Contratos!$D:$D,B18))</f>
        <v/>
      </c>
      <c r="L18" s="36" t="str">
        <f aca="false">IF(B18="","",SUMIFS(Contratos!$K:$K,Contratos!$D:$D,B18))</f>
        <v/>
      </c>
      <c r="M18" s="36" t="str">
        <f aca="false">IF(B18="","",SUMIFS(Pagamentos!$G:$G,Pagamentos!$D:$D,B18,Pagamentos!$F:$F,"Empenho"))</f>
        <v/>
      </c>
      <c r="N18" s="36" t="str">
        <f aca="false">IF(B18="","",SUMIFS(Pagamentos!$G:$G,Pagamentos!$D:$D,B18,Pagamentos!$F:$F,"Pagamento"))</f>
        <v/>
      </c>
      <c r="O18" s="37" t="str">
        <f aca="false">IF(OR(B18="",H18="",L18="",L18=0),"",H18/L18)</f>
        <v/>
      </c>
      <c r="P18" s="27" t="str">
        <f aca="false">IF(B18="","",COUNTIF(Sancoes!$C:$C,B18))</f>
        <v/>
      </c>
      <c r="Q18" s="27" t="str">
        <f aca="false">IF(B18="","",COUNTIF(Socios!$B:$B,B18))</f>
        <v/>
      </c>
      <c r="R18" s="27" t="str">
        <f aca="false">IF(B18="","",COUNTIFS(Socios!$B:$B,B18,Socios!$L:$L,"SIM"))</f>
        <v/>
      </c>
      <c r="S18" s="24"/>
      <c r="T18" s="11"/>
    </row>
    <row r="19" customFormat="false" ht="15" hidden="false" customHeight="false" outlineLevel="0" collapsed="false">
      <c r="A19" s="24"/>
      <c r="B19" s="31" t="str">
        <f aca="false">IF(A19="","",IF(LEN(UPPER(SUBSTITUTE(SUBSTITUTE(SUBSTITUTE(SUBSTITUTE(TRIM(A19),".",""),"/",""),"-","")," ","")))&lt;14,RIGHT(REPT("0",14)&amp;UPPER(SUBSTITUTE(SUBSTITUTE(SUBSTITUTE(SUBSTITUTE(TRIM(A19),".",""),"/",""),"-","")," ","")),14),UPPER(SUBSTITUTE(SUBSTITUTE(SUBSTITUTE(SUBSTITUTE(TRIM(A19),".",""),"/",""),"-","")," ",""))))</f>
        <v/>
      </c>
      <c r="C19" s="11"/>
      <c r="D19" s="23"/>
      <c r="E19" s="22"/>
      <c r="F19" s="23"/>
      <c r="G19" s="11"/>
      <c r="H19" s="35"/>
      <c r="I19" s="11"/>
      <c r="J19" s="23"/>
      <c r="K19" s="27" t="str">
        <f aca="false">IF(B19="","",COUNTIF(Contratos!$D:$D,B19))</f>
        <v/>
      </c>
      <c r="L19" s="36" t="str">
        <f aca="false">IF(B19="","",SUMIFS(Contratos!$K:$K,Contratos!$D:$D,B19))</f>
        <v/>
      </c>
      <c r="M19" s="36" t="str">
        <f aca="false">IF(B19="","",SUMIFS(Pagamentos!$G:$G,Pagamentos!$D:$D,B19,Pagamentos!$F:$F,"Empenho"))</f>
        <v/>
      </c>
      <c r="N19" s="36" t="str">
        <f aca="false">IF(B19="","",SUMIFS(Pagamentos!$G:$G,Pagamentos!$D:$D,B19,Pagamentos!$F:$F,"Pagamento"))</f>
        <v/>
      </c>
      <c r="O19" s="37" t="str">
        <f aca="false">IF(OR(B19="",H19="",L19="",L19=0),"",H19/L19)</f>
        <v/>
      </c>
      <c r="P19" s="27" t="str">
        <f aca="false">IF(B19="","",COUNTIF(Sancoes!$C:$C,B19))</f>
        <v/>
      </c>
      <c r="Q19" s="27" t="str">
        <f aca="false">IF(B19="","",COUNTIF(Socios!$B:$B,B19))</f>
        <v/>
      </c>
      <c r="R19" s="27" t="str">
        <f aca="false">IF(B19="","",COUNTIFS(Socios!$B:$B,B19,Socios!$L:$L,"SIM"))</f>
        <v/>
      </c>
      <c r="S19" s="24"/>
      <c r="T19" s="11"/>
    </row>
    <row r="20" customFormat="false" ht="15" hidden="false" customHeight="false" outlineLevel="0" collapsed="false">
      <c r="A20" s="24"/>
      <c r="B20" s="31" t="str">
        <f aca="false">IF(A20="","",IF(LEN(UPPER(SUBSTITUTE(SUBSTITUTE(SUBSTITUTE(SUBSTITUTE(TRIM(A20),".",""),"/",""),"-","")," ","")))&lt;14,RIGHT(REPT("0",14)&amp;UPPER(SUBSTITUTE(SUBSTITUTE(SUBSTITUTE(SUBSTITUTE(TRIM(A20),".",""),"/",""),"-","")," ","")),14),UPPER(SUBSTITUTE(SUBSTITUTE(SUBSTITUTE(SUBSTITUTE(TRIM(A20),".",""),"/",""),"-","")," ",""))))</f>
        <v/>
      </c>
      <c r="C20" s="11"/>
      <c r="D20" s="23"/>
      <c r="E20" s="22"/>
      <c r="F20" s="23"/>
      <c r="G20" s="11"/>
      <c r="H20" s="35"/>
      <c r="I20" s="11"/>
      <c r="J20" s="23"/>
      <c r="K20" s="27" t="str">
        <f aca="false">IF(B20="","",COUNTIF(Contratos!$D:$D,B20))</f>
        <v/>
      </c>
      <c r="L20" s="36" t="str">
        <f aca="false">IF(B20="","",SUMIFS(Contratos!$K:$K,Contratos!$D:$D,B20))</f>
        <v/>
      </c>
      <c r="M20" s="36" t="str">
        <f aca="false">IF(B20="","",SUMIFS(Pagamentos!$G:$G,Pagamentos!$D:$D,B20,Pagamentos!$F:$F,"Empenho"))</f>
        <v/>
      </c>
      <c r="N20" s="36" t="str">
        <f aca="false">IF(B20="","",SUMIFS(Pagamentos!$G:$G,Pagamentos!$D:$D,B20,Pagamentos!$F:$F,"Pagamento"))</f>
        <v/>
      </c>
      <c r="O20" s="37" t="str">
        <f aca="false">IF(OR(B20="",H20="",L20="",L20=0),"",H20/L20)</f>
        <v/>
      </c>
      <c r="P20" s="27" t="str">
        <f aca="false">IF(B20="","",COUNTIF(Sancoes!$C:$C,B20))</f>
        <v/>
      </c>
      <c r="Q20" s="27" t="str">
        <f aca="false">IF(B20="","",COUNTIF(Socios!$B:$B,B20))</f>
        <v/>
      </c>
      <c r="R20" s="27" t="str">
        <f aca="false">IF(B20="","",COUNTIFS(Socios!$B:$B,B20,Socios!$L:$L,"SIM"))</f>
        <v/>
      </c>
      <c r="S20" s="24"/>
      <c r="T20" s="11"/>
    </row>
    <row r="21" customFormat="false" ht="15" hidden="false" customHeight="false" outlineLevel="0" collapsed="false">
      <c r="A21" s="24"/>
      <c r="B21" s="31" t="str">
        <f aca="false">IF(A21="","",IF(LEN(UPPER(SUBSTITUTE(SUBSTITUTE(SUBSTITUTE(SUBSTITUTE(TRIM(A21),".",""),"/",""),"-","")," ","")))&lt;14,RIGHT(REPT("0",14)&amp;UPPER(SUBSTITUTE(SUBSTITUTE(SUBSTITUTE(SUBSTITUTE(TRIM(A21),".",""),"/",""),"-","")," ","")),14),UPPER(SUBSTITUTE(SUBSTITUTE(SUBSTITUTE(SUBSTITUTE(TRIM(A21),".",""),"/",""),"-","")," ",""))))</f>
        <v/>
      </c>
      <c r="C21" s="11"/>
      <c r="D21" s="23"/>
      <c r="E21" s="22"/>
      <c r="F21" s="23"/>
      <c r="G21" s="11"/>
      <c r="H21" s="35"/>
      <c r="I21" s="11"/>
      <c r="J21" s="23"/>
      <c r="K21" s="27" t="str">
        <f aca="false">IF(B21="","",COUNTIF(Contratos!$D:$D,B21))</f>
        <v/>
      </c>
      <c r="L21" s="36" t="str">
        <f aca="false">IF(B21="","",SUMIFS(Contratos!$K:$K,Contratos!$D:$D,B21))</f>
        <v/>
      </c>
      <c r="M21" s="36" t="str">
        <f aca="false">IF(B21="","",SUMIFS(Pagamentos!$G:$G,Pagamentos!$D:$D,B21,Pagamentos!$F:$F,"Empenho"))</f>
        <v/>
      </c>
      <c r="N21" s="36" t="str">
        <f aca="false">IF(B21="","",SUMIFS(Pagamentos!$G:$G,Pagamentos!$D:$D,B21,Pagamentos!$F:$F,"Pagamento"))</f>
        <v/>
      </c>
      <c r="O21" s="37" t="str">
        <f aca="false">IF(OR(B21="",H21="",L21="",L21=0),"",H21/L21)</f>
        <v/>
      </c>
      <c r="P21" s="27" t="str">
        <f aca="false">IF(B21="","",COUNTIF(Sancoes!$C:$C,B21))</f>
        <v/>
      </c>
      <c r="Q21" s="27" t="str">
        <f aca="false">IF(B21="","",COUNTIF(Socios!$B:$B,B21))</f>
        <v/>
      </c>
      <c r="R21" s="27" t="str">
        <f aca="false">IF(B21="","",COUNTIFS(Socios!$B:$B,B21,Socios!$L:$L,"SIM"))</f>
        <v/>
      </c>
      <c r="S21" s="24"/>
      <c r="T21" s="11"/>
    </row>
    <row r="22" customFormat="false" ht="15" hidden="false" customHeight="false" outlineLevel="0" collapsed="false">
      <c r="A22" s="24"/>
      <c r="B22" s="31" t="str">
        <f aca="false">IF(A22="","",IF(LEN(UPPER(SUBSTITUTE(SUBSTITUTE(SUBSTITUTE(SUBSTITUTE(TRIM(A22),".",""),"/",""),"-","")," ","")))&lt;14,RIGHT(REPT("0",14)&amp;UPPER(SUBSTITUTE(SUBSTITUTE(SUBSTITUTE(SUBSTITUTE(TRIM(A22),".",""),"/",""),"-","")," ","")),14),UPPER(SUBSTITUTE(SUBSTITUTE(SUBSTITUTE(SUBSTITUTE(TRIM(A22),".",""),"/",""),"-","")," ",""))))</f>
        <v/>
      </c>
      <c r="C22" s="11"/>
      <c r="D22" s="23"/>
      <c r="E22" s="22"/>
      <c r="F22" s="23"/>
      <c r="G22" s="11"/>
      <c r="H22" s="35"/>
      <c r="I22" s="11"/>
      <c r="J22" s="23"/>
      <c r="K22" s="27" t="str">
        <f aca="false">IF(B22="","",COUNTIF(Contratos!$D:$D,B22))</f>
        <v/>
      </c>
      <c r="L22" s="36" t="str">
        <f aca="false">IF(B22="","",SUMIFS(Contratos!$K:$K,Contratos!$D:$D,B22))</f>
        <v/>
      </c>
      <c r="M22" s="36" t="str">
        <f aca="false">IF(B22="","",SUMIFS(Pagamentos!$G:$G,Pagamentos!$D:$D,B22,Pagamentos!$F:$F,"Empenho"))</f>
        <v/>
      </c>
      <c r="N22" s="36" t="str">
        <f aca="false">IF(B22="","",SUMIFS(Pagamentos!$G:$G,Pagamentos!$D:$D,B22,Pagamentos!$F:$F,"Pagamento"))</f>
        <v/>
      </c>
      <c r="O22" s="37" t="str">
        <f aca="false">IF(OR(B22="",H22="",L22="",L22=0),"",H22/L22)</f>
        <v/>
      </c>
      <c r="P22" s="27" t="str">
        <f aca="false">IF(B22="","",COUNTIF(Sancoes!$C:$C,B22))</f>
        <v/>
      </c>
      <c r="Q22" s="27" t="str">
        <f aca="false">IF(B22="","",COUNTIF(Socios!$B:$B,B22))</f>
        <v/>
      </c>
      <c r="R22" s="27" t="str">
        <f aca="false">IF(B22="","",COUNTIFS(Socios!$B:$B,B22,Socios!$L:$L,"SIM"))</f>
        <v/>
      </c>
      <c r="S22" s="24"/>
      <c r="T22" s="11"/>
    </row>
    <row r="23" customFormat="false" ht="15" hidden="false" customHeight="false" outlineLevel="0" collapsed="false">
      <c r="A23" s="24"/>
      <c r="B23" s="31" t="str">
        <f aca="false">IF(A23="","",IF(LEN(UPPER(SUBSTITUTE(SUBSTITUTE(SUBSTITUTE(SUBSTITUTE(TRIM(A23),".",""),"/",""),"-","")," ","")))&lt;14,RIGHT(REPT("0",14)&amp;UPPER(SUBSTITUTE(SUBSTITUTE(SUBSTITUTE(SUBSTITUTE(TRIM(A23),".",""),"/",""),"-","")," ","")),14),UPPER(SUBSTITUTE(SUBSTITUTE(SUBSTITUTE(SUBSTITUTE(TRIM(A23),".",""),"/",""),"-","")," ",""))))</f>
        <v/>
      </c>
      <c r="C23" s="11"/>
      <c r="D23" s="23"/>
      <c r="E23" s="22"/>
      <c r="F23" s="23"/>
      <c r="G23" s="11"/>
      <c r="H23" s="35"/>
      <c r="I23" s="11"/>
      <c r="J23" s="23"/>
      <c r="K23" s="27" t="str">
        <f aca="false">IF(B23="","",COUNTIF(Contratos!$D:$D,B23))</f>
        <v/>
      </c>
      <c r="L23" s="36" t="str">
        <f aca="false">IF(B23="","",SUMIFS(Contratos!$K:$K,Contratos!$D:$D,B23))</f>
        <v/>
      </c>
      <c r="M23" s="36" t="str">
        <f aca="false">IF(B23="","",SUMIFS(Pagamentos!$G:$G,Pagamentos!$D:$D,B23,Pagamentos!$F:$F,"Empenho"))</f>
        <v/>
      </c>
      <c r="N23" s="36" t="str">
        <f aca="false">IF(B23="","",SUMIFS(Pagamentos!$G:$G,Pagamentos!$D:$D,B23,Pagamentos!$F:$F,"Pagamento"))</f>
        <v/>
      </c>
      <c r="O23" s="37" t="str">
        <f aca="false">IF(OR(B23="",H23="",L23="",L23=0),"",H23/L23)</f>
        <v/>
      </c>
      <c r="P23" s="27" t="str">
        <f aca="false">IF(B23="","",COUNTIF(Sancoes!$C:$C,B23))</f>
        <v/>
      </c>
      <c r="Q23" s="27" t="str">
        <f aca="false">IF(B23="","",COUNTIF(Socios!$B:$B,B23))</f>
        <v/>
      </c>
      <c r="R23" s="27" t="str">
        <f aca="false">IF(B23="","",COUNTIFS(Socios!$B:$B,B23,Socios!$L:$L,"SIM"))</f>
        <v/>
      </c>
      <c r="S23" s="24"/>
      <c r="T23" s="11"/>
    </row>
    <row r="24" customFormat="false" ht="15" hidden="false" customHeight="false" outlineLevel="0" collapsed="false">
      <c r="A24" s="24"/>
      <c r="B24" s="31" t="str">
        <f aca="false">IF(A24="","",IF(LEN(UPPER(SUBSTITUTE(SUBSTITUTE(SUBSTITUTE(SUBSTITUTE(TRIM(A24),".",""),"/",""),"-","")," ","")))&lt;14,RIGHT(REPT("0",14)&amp;UPPER(SUBSTITUTE(SUBSTITUTE(SUBSTITUTE(SUBSTITUTE(TRIM(A24),".",""),"/",""),"-","")," ","")),14),UPPER(SUBSTITUTE(SUBSTITUTE(SUBSTITUTE(SUBSTITUTE(TRIM(A24),".",""),"/",""),"-","")," ",""))))</f>
        <v/>
      </c>
      <c r="C24" s="11"/>
      <c r="D24" s="23"/>
      <c r="E24" s="22"/>
      <c r="F24" s="23"/>
      <c r="G24" s="11"/>
      <c r="H24" s="35"/>
      <c r="I24" s="11"/>
      <c r="J24" s="23"/>
      <c r="K24" s="27" t="str">
        <f aca="false">IF(B24="","",COUNTIF(Contratos!$D:$D,B24))</f>
        <v/>
      </c>
      <c r="L24" s="36" t="str">
        <f aca="false">IF(B24="","",SUMIFS(Contratos!$K:$K,Contratos!$D:$D,B24))</f>
        <v/>
      </c>
      <c r="M24" s="36" t="str">
        <f aca="false">IF(B24="","",SUMIFS(Pagamentos!$G:$G,Pagamentos!$D:$D,B24,Pagamentos!$F:$F,"Empenho"))</f>
        <v/>
      </c>
      <c r="N24" s="36" t="str">
        <f aca="false">IF(B24="","",SUMIFS(Pagamentos!$G:$G,Pagamentos!$D:$D,B24,Pagamentos!$F:$F,"Pagamento"))</f>
        <v/>
      </c>
      <c r="O24" s="37" t="str">
        <f aca="false">IF(OR(B24="",H24="",L24="",L24=0),"",H24/L24)</f>
        <v/>
      </c>
      <c r="P24" s="27" t="str">
        <f aca="false">IF(B24="","",COUNTIF(Sancoes!$C:$C,B24))</f>
        <v/>
      </c>
      <c r="Q24" s="27" t="str">
        <f aca="false">IF(B24="","",COUNTIF(Socios!$B:$B,B24))</f>
        <v/>
      </c>
      <c r="R24" s="27" t="str">
        <f aca="false">IF(B24="","",COUNTIFS(Socios!$B:$B,B24,Socios!$L:$L,"SIM"))</f>
        <v/>
      </c>
      <c r="S24" s="24"/>
      <c r="T24" s="11"/>
    </row>
    <row r="25" customFormat="false" ht="15" hidden="false" customHeight="false" outlineLevel="0" collapsed="false">
      <c r="A25" s="24"/>
      <c r="B25" s="31" t="str">
        <f aca="false">IF(A25="","",IF(LEN(UPPER(SUBSTITUTE(SUBSTITUTE(SUBSTITUTE(SUBSTITUTE(TRIM(A25),".",""),"/",""),"-","")," ","")))&lt;14,RIGHT(REPT("0",14)&amp;UPPER(SUBSTITUTE(SUBSTITUTE(SUBSTITUTE(SUBSTITUTE(TRIM(A25),".",""),"/",""),"-","")," ","")),14),UPPER(SUBSTITUTE(SUBSTITUTE(SUBSTITUTE(SUBSTITUTE(TRIM(A25),".",""),"/",""),"-","")," ",""))))</f>
        <v/>
      </c>
      <c r="C25" s="11"/>
      <c r="D25" s="23"/>
      <c r="E25" s="22"/>
      <c r="F25" s="23"/>
      <c r="G25" s="11"/>
      <c r="H25" s="35"/>
      <c r="I25" s="11"/>
      <c r="J25" s="23"/>
      <c r="K25" s="27" t="str">
        <f aca="false">IF(B25="","",COUNTIF(Contratos!$D:$D,B25))</f>
        <v/>
      </c>
      <c r="L25" s="36" t="str">
        <f aca="false">IF(B25="","",SUMIFS(Contratos!$K:$K,Contratos!$D:$D,B25))</f>
        <v/>
      </c>
      <c r="M25" s="36" t="str">
        <f aca="false">IF(B25="","",SUMIFS(Pagamentos!$G:$G,Pagamentos!$D:$D,B25,Pagamentos!$F:$F,"Empenho"))</f>
        <v/>
      </c>
      <c r="N25" s="36" t="str">
        <f aca="false">IF(B25="","",SUMIFS(Pagamentos!$G:$G,Pagamentos!$D:$D,B25,Pagamentos!$F:$F,"Pagamento"))</f>
        <v/>
      </c>
      <c r="O25" s="37" t="str">
        <f aca="false">IF(OR(B25="",H25="",L25="",L25=0),"",H25/L25)</f>
        <v/>
      </c>
      <c r="P25" s="27" t="str">
        <f aca="false">IF(B25="","",COUNTIF(Sancoes!$C:$C,B25))</f>
        <v/>
      </c>
      <c r="Q25" s="27" t="str">
        <f aca="false">IF(B25="","",COUNTIF(Socios!$B:$B,B25))</f>
        <v/>
      </c>
      <c r="R25" s="27" t="str">
        <f aca="false">IF(B25="","",COUNTIFS(Socios!$B:$B,B25,Socios!$L:$L,"SIM"))</f>
        <v/>
      </c>
      <c r="S25" s="24"/>
      <c r="T25" s="11"/>
    </row>
    <row r="26" customFormat="false" ht="15" hidden="false" customHeight="false" outlineLevel="0" collapsed="false">
      <c r="A26" s="24"/>
      <c r="B26" s="31" t="str">
        <f aca="false">IF(A26="","",IF(LEN(UPPER(SUBSTITUTE(SUBSTITUTE(SUBSTITUTE(SUBSTITUTE(TRIM(A26),".",""),"/",""),"-","")," ","")))&lt;14,RIGHT(REPT("0",14)&amp;UPPER(SUBSTITUTE(SUBSTITUTE(SUBSTITUTE(SUBSTITUTE(TRIM(A26),".",""),"/",""),"-","")," ","")),14),UPPER(SUBSTITUTE(SUBSTITUTE(SUBSTITUTE(SUBSTITUTE(TRIM(A26),".",""),"/",""),"-","")," ",""))))</f>
        <v/>
      </c>
      <c r="C26" s="11"/>
      <c r="D26" s="23"/>
      <c r="E26" s="22"/>
      <c r="F26" s="23"/>
      <c r="G26" s="11"/>
      <c r="H26" s="35"/>
      <c r="I26" s="11"/>
      <c r="J26" s="23"/>
      <c r="K26" s="27" t="str">
        <f aca="false">IF(B26="","",COUNTIF(Contratos!$D:$D,B26))</f>
        <v/>
      </c>
      <c r="L26" s="36" t="str">
        <f aca="false">IF(B26="","",SUMIFS(Contratos!$K:$K,Contratos!$D:$D,B26))</f>
        <v/>
      </c>
      <c r="M26" s="36" t="str">
        <f aca="false">IF(B26="","",SUMIFS(Pagamentos!$G:$G,Pagamentos!$D:$D,B26,Pagamentos!$F:$F,"Empenho"))</f>
        <v/>
      </c>
      <c r="N26" s="36" t="str">
        <f aca="false">IF(B26="","",SUMIFS(Pagamentos!$G:$G,Pagamentos!$D:$D,B26,Pagamentos!$F:$F,"Pagamento"))</f>
        <v/>
      </c>
      <c r="O26" s="37" t="str">
        <f aca="false">IF(OR(B26="",H26="",L26="",L26=0),"",H26/L26)</f>
        <v/>
      </c>
      <c r="P26" s="27" t="str">
        <f aca="false">IF(B26="","",COUNTIF(Sancoes!$C:$C,B26))</f>
        <v/>
      </c>
      <c r="Q26" s="27" t="str">
        <f aca="false">IF(B26="","",COUNTIF(Socios!$B:$B,B26))</f>
        <v/>
      </c>
      <c r="R26" s="27" t="str">
        <f aca="false">IF(B26="","",COUNTIFS(Socios!$B:$B,B26,Socios!$L:$L,"SIM"))</f>
        <v/>
      </c>
      <c r="S26" s="24"/>
      <c r="T26" s="11"/>
    </row>
    <row r="27" customFormat="false" ht="15" hidden="false" customHeight="false" outlineLevel="0" collapsed="false">
      <c r="A27" s="24"/>
      <c r="B27" s="31" t="str">
        <f aca="false">IF(A27="","",IF(LEN(UPPER(SUBSTITUTE(SUBSTITUTE(SUBSTITUTE(SUBSTITUTE(TRIM(A27),".",""),"/",""),"-","")," ","")))&lt;14,RIGHT(REPT("0",14)&amp;UPPER(SUBSTITUTE(SUBSTITUTE(SUBSTITUTE(SUBSTITUTE(TRIM(A27),".",""),"/",""),"-","")," ","")),14),UPPER(SUBSTITUTE(SUBSTITUTE(SUBSTITUTE(SUBSTITUTE(TRIM(A27),".",""),"/",""),"-","")," ",""))))</f>
        <v/>
      </c>
      <c r="C27" s="11"/>
      <c r="D27" s="23"/>
      <c r="E27" s="22"/>
      <c r="F27" s="23"/>
      <c r="G27" s="11"/>
      <c r="H27" s="35"/>
      <c r="I27" s="11"/>
      <c r="J27" s="23"/>
      <c r="K27" s="27" t="str">
        <f aca="false">IF(B27="","",COUNTIF(Contratos!$D:$D,B27))</f>
        <v/>
      </c>
      <c r="L27" s="36" t="str">
        <f aca="false">IF(B27="","",SUMIFS(Contratos!$K:$K,Contratos!$D:$D,B27))</f>
        <v/>
      </c>
      <c r="M27" s="36" t="str">
        <f aca="false">IF(B27="","",SUMIFS(Pagamentos!$G:$G,Pagamentos!$D:$D,B27,Pagamentos!$F:$F,"Empenho"))</f>
        <v/>
      </c>
      <c r="N27" s="36" t="str">
        <f aca="false">IF(B27="","",SUMIFS(Pagamentos!$G:$G,Pagamentos!$D:$D,B27,Pagamentos!$F:$F,"Pagamento"))</f>
        <v/>
      </c>
      <c r="O27" s="37" t="str">
        <f aca="false">IF(OR(B27="",H27="",L27="",L27=0),"",H27/L27)</f>
        <v/>
      </c>
      <c r="P27" s="27" t="str">
        <f aca="false">IF(B27="","",COUNTIF(Sancoes!$C:$C,B27))</f>
        <v/>
      </c>
      <c r="Q27" s="27" t="str">
        <f aca="false">IF(B27="","",COUNTIF(Socios!$B:$B,B27))</f>
        <v/>
      </c>
      <c r="R27" s="27" t="str">
        <f aca="false">IF(B27="","",COUNTIFS(Socios!$B:$B,B27,Socios!$L:$L,"SIM"))</f>
        <v/>
      </c>
      <c r="S27" s="24"/>
      <c r="T27" s="11"/>
    </row>
    <row r="28" customFormat="false" ht="15" hidden="false" customHeight="false" outlineLevel="0" collapsed="false">
      <c r="A28" s="24"/>
      <c r="B28" s="31" t="str">
        <f aca="false">IF(A28="","",IF(LEN(UPPER(SUBSTITUTE(SUBSTITUTE(SUBSTITUTE(SUBSTITUTE(TRIM(A28),".",""),"/",""),"-","")," ","")))&lt;14,RIGHT(REPT("0",14)&amp;UPPER(SUBSTITUTE(SUBSTITUTE(SUBSTITUTE(SUBSTITUTE(TRIM(A28),".",""),"/",""),"-","")," ","")),14),UPPER(SUBSTITUTE(SUBSTITUTE(SUBSTITUTE(SUBSTITUTE(TRIM(A28),".",""),"/",""),"-","")," ",""))))</f>
        <v/>
      </c>
      <c r="C28" s="11"/>
      <c r="D28" s="23"/>
      <c r="E28" s="22"/>
      <c r="F28" s="23"/>
      <c r="G28" s="11"/>
      <c r="H28" s="35"/>
      <c r="I28" s="11"/>
      <c r="J28" s="23"/>
      <c r="K28" s="27" t="str">
        <f aca="false">IF(B28="","",COUNTIF(Contratos!$D:$D,B28))</f>
        <v/>
      </c>
      <c r="L28" s="36" t="str">
        <f aca="false">IF(B28="","",SUMIFS(Contratos!$K:$K,Contratos!$D:$D,B28))</f>
        <v/>
      </c>
      <c r="M28" s="36" t="str">
        <f aca="false">IF(B28="","",SUMIFS(Pagamentos!$G:$G,Pagamentos!$D:$D,B28,Pagamentos!$F:$F,"Empenho"))</f>
        <v/>
      </c>
      <c r="N28" s="36" t="str">
        <f aca="false">IF(B28="","",SUMIFS(Pagamentos!$G:$G,Pagamentos!$D:$D,B28,Pagamentos!$F:$F,"Pagamento"))</f>
        <v/>
      </c>
      <c r="O28" s="37" t="str">
        <f aca="false">IF(OR(B28="",H28="",L28="",L28=0),"",H28/L28)</f>
        <v/>
      </c>
      <c r="P28" s="27" t="str">
        <f aca="false">IF(B28="","",COUNTIF(Sancoes!$C:$C,B28))</f>
        <v/>
      </c>
      <c r="Q28" s="27" t="str">
        <f aca="false">IF(B28="","",COUNTIF(Socios!$B:$B,B28))</f>
        <v/>
      </c>
      <c r="R28" s="27" t="str">
        <f aca="false">IF(B28="","",COUNTIFS(Socios!$B:$B,B28,Socios!$L:$L,"SIM"))</f>
        <v/>
      </c>
      <c r="S28" s="24"/>
      <c r="T28" s="11"/>
    </row>
    <row r="29" customFormat="false" ht="15" hidden="false" customHeight="false" outlineLevel="0" collapsed="false">
      <c r="A29" s="24"/>
      <c r="B29" s="31" t="str">
        <f aca="false">IF(A29="","",IF(LEN(UPPER(SUBSTITUTE(SUBSTITUTE(SUBSTITUTE(SUBSTITUTE(TRIM(A29),".",""),"/",""),"-","")," ","")))&lt;14,RIGHT(REPT("0",14)&amp;UPPER(SUBSTITUTE(SUBSTITUTE(SUBSTITUTE(SUBSTITUTE(TRIM(A29),".",""),"/",""),"-","")," ","")),14),UPPER(SUBSTITUTE(SUBSTITUTE(SUBSTITUTE(SUBSTITUTE(TRIM(A29),".",""),"/",""),"-","")," ",""))))</f>
        <v/>
      </c>
      <c r="C29" s="11"/>
      <c r="D29" s="23"/>
      <c r="E29" s="22"/>
      <c r="F29" s="23"/>
      <c r="G29" s="11"/>
      <c r="H29" s="35"/>
      <c r="I29" s="11"/>
      <c r="J29" s="23"/>
      <c r="K29" s="27" t="str">
        <f aca="false">IF(B29="","",COUNTIF(Contratos!$D:$D,B29))</f>
        <v/>
      </c>
      <c r="L29" s="36" t="str">
        <f aca="false">IF(B29="","",SUMIFS(Contratos!$K:$K,Contratos!$D:$D,B29))</f>
        <v/>
      </c>
      <c r="M29" s="36" t="str">
        <f aca="false">IF(B29="","",SUMIFS(Pagamentos!$G:$G,Pagamentos!$D:$D,B29,Pagamentos!$F:$F,"Empenho"))</f>
        <v/>
      </c>
      <c r="N29" s="36" t="str">
        <f aca="false">IF(B29="","",SUMIFS(Pagamentos!$G:$G,Pagamentos!$D:$D,B29,Pagamentos!$F:$F,"Pagamento"))</f>
        <v/>
      </c>
      <c r="O29" s="37" t="str">
        <f aca="false">IF(OR(B29="",H29="",L29="",L29=0),"",H29/L29)</f>
        <v/>
      </c>
      <c r="P29" s="27" t="str">
        <f aca="false">IF(B29="","",COUNTIF(Sancoes!$C:$C,B29))</f>
        <v/>
      </c>
      <c r="Q29" s="27" t="str">
        <f aca="false">IF(B29="","",COUNTIF(Socios!$B:$B,B29))</f>
        <v/>
      </c>
      <c r="R29" s="27" t="str">
        <f aca="false">IF(B29="","",COUNTIFS(Socios!$B:$B,B29,Socios!$L:$L,"SIM"))</f>
        <v/>
      </c>
      <c r="S29" s="24"/>
      <c r="T29" s="11"/>
    </row>
    <row r="30" customFormat="false" ht="15" hidden="false" customHeight="false" outlineLevel="0" collapsed="false">
      <c r="A30" s="24"/>
      <c r="B30" s="31" t="str">
        <f aca="false">IF(A30="","",IF(LEN(UPPER(SUBSTITUTE(SUBSTITUTE(SUBSTITUTE(SUBSTITUTE(TRIM(A30),".",""),"/",""),"-","")," ","")))&lt;14,RIGHT(REPT("0",14)&amp;UPPER(SUBSTITUTE(SUBSTITUTE(SUBSTITUTE(SUBSTITUTE(TRIM(A30),".",""),"/",""),"-","")," ","")),14),UPPER(SUBSTITUTE(SUBSTITUTE(SUBSTITUTE(SUBSTITUTE(TRIM(A30),".",""),"/",""),"-","")," ",""))))</f>
        <v/>
      </c>
      <c r="C30" s="11"/>
      <c r="D30" s="23"/>
      <c r="E30" s="22"/>
      <c r="F30" s="23"/>
      <c r="G30" s="11"/>
      <c r="H30" s="35"/>
      <c r="I30" s="11"/>
      <c r="J30" s="23"/>
      <c r="K30" s="27" t="str">
        <f aca="false">IF(B30="","",COUNTIF(Contratos!$D:$D,B30))</f>
        <v/>
      </c>
      <c r="L30" s="36" t="str">
        <f aca="false">IF(B30="","",SUMIFS(Contratos!$K:$K,Contratos!$D:$D,B30))</f>
        <v/>
      </c>
      <c r="M30" s="36" t="str">
        <f aca="false">IF(B30="","",SUMIFS(Pagamentos!$G:$G,Pagamentos!$D:$D,B30,Pagamentos!$F:$F,"Empenho"))</f>
        <v/>
      </c>
      <c r="N30" s="36" t="str">
        <f aca="false">IF(B30="","",SUMIFS(Pagamentos!$G:$G,Pagamentos!$D:$D,B30,Pagamentos!$F:$F,"Pagamento"))</f>
        <v/>
      </c>
      <c r="O30" s="37" t="str">
        <f aca="false">IF(OR(B30="",H30="",L30="",L30=0),"",H30/L30)</f>
        <v/>
      </c>
      <c r="P30" s="27" t="str">
        <f aca="false">IF(B30="","",COUNTIF(Sancoes!$C:$C,B30))</f>
        <v/>
      </c>
      <c r="Q30" s="27" t="str">
        <f aca="false">IF(B30="","",COUNTIF(Socios!$B:$B,B30))</f>
        <v/>
      </c>
      <c r="R30" s="27" t="str">
        <f aca="false">IF(B30="","",COUNTIFS(Socios!$B:$B,B30,Socios!$L:$L,"SIM"))</f>
        <v/>
      </c>
      <c r="S30" s="24"/>
      <c r="T30" s="11"/>
    </row>
    <row r="31" customFormat="false" ht="15" hidden="false" customHeight="false" outlineLevel="0" collapsed="false">
      <c r="A31" s="24"/>
      <c r="B31" s="31" t="str">
        <f aca="false">IF(A31="","",IF(LEN(UPPER(SUBSTITUTE(SUBSTITUTE(SUBSTITUTE(SUBSTITUTE(TRIM(A31),".",""),"/",""),"-","")," ","")))&lt;14,RIGHT(REPT("0",14)&amp;UPPER(SUBSTITUTE(SUBSTITUTE(SUBSTITUTE(SUBSTITUTE(TRIM(A31),".",""),"/",""),"-","")," ","")),14),UPPER(SUBSTITUTE(SUBSTITUTE(SUBSTITUTE(SUBSTITUTE(TRIM(A31),".",""),"/",""),"-","")," ",""))))</f>
        <v/>
      </c>
      <c r="C31" s="11"/>
      <c r="D31" s="23"/>
      <c r="E31" s="22"/>
      <c r="F31" s="23"/>
      <c r="G31" s="11"/>
      <c r="H31" s="35"/>
      <c r="I31" s="11"/>
      <c r="J31" s="23"/>
      <c r="K31" s="27" t="str">
        <f aca="false">IF(B31="","",COUNTIF(Contratos!$D:$D,B31))</f>
        <v/>
      </c>
      <c r="L31" s="36" t="str">
        <f aca="false">IF(B31="","",SUMIFS(Contratos!$K:$K,Contratos!$D:$D,B31))</f>
        <v/>
      </c>
      <c r="M31" s="36" t="str">
        <f aca="false">IF(B31="","",SUMIFS(Pagamentos!$G:$G,Pagamentos!$D:$D,B31,Pagamentos!$F:$F,"Empenho"))</f>
        <v/>
      </c>
      <c r="N31" s="36" t="str">
        <f aca="false">IF(B31="","",SUMIFS(Pagamentos!$G:$G,Pagamentos!$D:$D,B31,Pagamentos!$F:$F,"Pagamento"))</f>
        <v/>
      </c>
      <c r="O31" s="37" t="str">
        <f aca="false">IF(OR(B31="",H31="",L31="",L31=0),"",H31/L31)</f>
        <v/>
      </c>
      <c r="P31" s="27" t="str">
        <f aca="false">IF(B31="","",COUNTIF(Sancoes!$C:$C,B31))</f>
        <v/>
      </c>
      <c r="Q31" s="27" t="str">
        <f aca="false">IF(B31="","",COUNTIF(Socios!$B:$B,B31))</f>
        <v/>
      </c>
      <c r="R31" s="27" t="str">
        <f aca="false">IF(B31="","",COUNTIFS(Socios!$B:$B,B31,Socios!$L:$L,"SIM"))</f>
        <v/>
      </c>
      <c r="S31" s="24"/>
      <c r="T31" s="11"/>
    </row>
    <row r="32" customFormat="false" ht="15" hidden="false" customHeight="false" outlineLevel="0" collapsed="false">
      <c r="A32" s="24"/>
      <c r="B32" s="31" t="str">
        <f aca="false">IF(A32="","",IF(LEN(UPPER(SUBSTITUTE(SUBSTITUTE(SUBSTITUTE(SUBSTITUTE(TRIM(A32),".",""),"/",""),"-","")," ","")))&lt;14,RIGHT(REPT("0",14)&amp;UPPER(SUBSTITUTE(SUBSTITUTE(SUBSTITUTE(SUBSTITUTE(TRIM(A32),".",""),"/",""),"-","")," ","")),14),UPPER(SUBSTITUTE(SUBSTITUTE(SUBSTITUTE(SUBSTITUTE(TRIM(A32),".",""),"/",""),"-","")," ",""))))</f>
        <v/>
      </c>
      <c r="C32" s="11"/>
      <c r="D32" s="23"/>
      <c r="E32" s="22"/>
      <c r="F32" s="23"/>
      <c r="G32" s="11"/>
      <c r="H32" s="35"/>
      <c r="I32" s="11"/>
      <c r="J32" s="23"/>
      <c r="K32" s="27" t="str">
        <f aca="false">IF(B32="","",COUNTIF(Contratos!$D:$D,B32))</f>
        <v/>
      </c>
      <c r="L32" s="36" t="str">
        <f aca="false">IF(B32="","",SUMIFS(Contratos!$K:$K,Contratos!$D:$D,B32))</f>
        <v/>
      </c>
      <c r="M32" s="36" t="str">
        <f aca="false">IF(B32="","",SUMIFS(Pagamentos!$G:$G,Pagamentos!$D:$D,B32,Pagamentos!$F:$F,"Empenho"))</f>
        <v/>
      </c>
      <c r="N32" s="36" t="str">
        <f aca="false">IF(B32="","",SUMIFS(Pagamentos!$G:$G,Pagamentos!$D:$D,B32,Pagamentos!$F:$F,"Pagamento"))</f>
        <v/>
      </c>
      <c r="O32" s="37" t="str">
        <f aca="false">IF(OR(B32="",H32="",L32="",L32=0),"",H32/L32)</f>
        <v/>
      </c>
      <c r="P32" s="27" t="str">
        <f aca="false">IF(B32="","",COUNTIF(Sancoes!$C:$C,B32))</f>
        <v/>
      </c>
      <c r="Q32" s="27" t="str">
        <f aca="false">IF(B32="","",COUNTIF(Socios!$B:$B,B32))</f>
        <v/>
      </c>
      <c r="R32" s="27" t="str">
        <f aca="false">IF(B32="","",COUNTIFS(Socios!$B:$B,B32,Socios!$L:$L,"SIM"))</f>
        <v/>
      </c>
      <c r="S32" s="24"/>
      <c r="T32" s="11"/>
    </row>
    <row r="33" customFormat="false" ht="15" hidden="false" customHeight="false" outlineLevel="0" collapsed="false">
      <c r="A33" s="24"/>
      <c r="B33" s="31" t="str">
        <f aca="false">IF(A33="","",IF(LEN(UPPER(SUBSTITUTE(SUBSTITUTE(SUBSTITUTE(SUBSTITUTE(TRIM(A33),".",""),"/",""),"-","")," ","")))&lt;14,RIGHT(REPT("0",14)&amp;UPPER(SUBSTITUTE(SUBSTITUTE(SUBSTITUTE(SUBSTITUTE(TRIM(A33),".",""),"/",""),"-","")," ","")),14),UPPER(SUBSTITUTE(SUBSTITUTE(SUBSTITUTE(SUBSTITUTE(TRIM(A33),".",""),"/",""),"-","")," ",""))))</f>
        <v/>
      </c>
      <c r="C33" s="11"/>
      <c r="D33" s="23"/>
      <c r="E33" s="22"/>
      <c r="F33" s="23"/>
      <c r="G33" s="11"/>
      <c r="H33" s="35"/>
      <c r="I33" s="11"/>
      <c r="J33" s="23"/>
      <c r="K33" s="27" t="str">
        <f aca="false">IF(B33="","",COUNTIF(Contratos!$D:$D,B33))</f>
        <v/>
      </c>
      <c r="L33" s="36" t="str">
        <f aca="false">IF(B33="","",SUMIFS(Contratos!$K:$K,Contratos!$D:$D,B33))</f>
        <v/>
      </c>
      <c r="M33" s="36" t="str">
        <f aca="false">IF(B33="","",SUMIFS(Pagamentos!$G:$G,Pagamentos!$D:$D,B33,Pagamentos!$F:$F,"Empenho"))</f>
        <v/>
      </c>
      <c r="N33" s="36" t="str">
        <f aca="false">IF(B33="","",SUMIFS(Pagamentos!$G:$G,Pagamentos!$D:$D,B33,Pagamentos!$F:$F,"Pagamento"))</f>
        <v/>
      </c>
      <c r="O33" s="37" t="str">
        <f aca="false">IF(OR(B33="",H33="",L33="",L33=0),"",H33/L33)</f>
        <v/>
      </c>
      <c r="P33" s="27" t="str">
        <f aca="false">IF(B33="","",COUNTIF(Sancoes!$C:$C,B33))</f>
        <v/>
      </c>
      <c r="Q33" s="27" t="str">
        <f aca="false">IF(B33="","",COUNTIF(Socios!$B:$B,B33))</f>
        <v/>
      </c>
      <c r="R33" s="27" t="str">
        <f aca="false">IF(B33="","",COUNTIFS(Socios!$B:$B,B33,Socios!$L:$L,"SIM"))</f>
        <v/>
      </c>
      <c r="S33" s="24"/>
      <c r="T33" s="11"/>
    </row>
    <row r="34" customFormat="false" ht="15" hidden="false" customHeight="false" outlineLevel="0" collapsed="false">
      <c r="A34" s="24"/>
      <c r="B34" s="31" t="str">
        <f aca="false">IF(A34="","",IF(LEN(UPPER(SUBSTITUTE(SUBSTITUTE(SUBSTITUTE(SUBSTITUTE(TRIM(A34),".",""),"/",""),"-","")," ","")))&lt;14,RIGHT(REPT("0",14)&amp;UPPER(SUBSTITUTE(SUBSTITUTE(SUBSTITUTE(SUBSTITUTE(TRIM(A34),".",""),"/",""),"-","")," ","")),14),UPPER(SUBSTITUTE(SUBSTITUTE(SUBSTITUTE(SUBSTITUTE(TRIM(A34),".",""),"/",""),"-","")," ",""))))</f>
        <v/>
      </c>
      <c r="C34" s="11"/>
      <c r="D34" s="23"/>
      <c r="E34" s="22"/>
      <c r="F34" s="23"/>
      <c r="G34" s="11"/>
      <c r="H34" s="35"/>
      <c r="I34" s="11"/>
      <c r="J34" s="23"/>
      <c r="K34" s="27" t="str">
        <f aca="false">IF(B34="","",COUNTIF(Contratos!$D:$D,B34))</f>
        <v/>
      </c>
      <c r="L34" s="36" t="str">
        <f aca="false">IF(B34="","",SUMIFS(Contratos!$K:$K,Contratos!$D:$D,B34))</f>
        <v/>
      </c>
      <c r="M34" s="36" t="str">
        <f aca="false">IF(B34="","",SUMIFS(Pagamentos!$G:$G,Pagamentos!$D:$D,B34,Pagamentos!$F:$F,"Empenho"))</f>
        <v/>
      </c>
      <c r="N34" s="36" t="str">
        <f aca="false">IF(B34="","",SUMIFS(Pagamentos!$G:$G,Pagamentos!$D:$D,B34,Pagamentos!$F:$F,"Pagamento"))</f>
        <v/>
      </c>
      <c r="O34" s="37" t="str">
        <f aca="false">IF(OR(B34="",H34="",L34="",L34=0),"",H34/L34)</f>
        <v/>
      </c>
      <c r="P34" s="27" t="str">
        <f aca="false">IF(B34="","",COUNTIF(Sancoes!$C:$C,B34))</f>
        <v/>
      </c>
      <c r="Q34" s="27" t="str">
        <f aca="false">IF(B34="","",COUNTIF(Socios!$B:$B,B34))</f>
        <v/>
      </c>
      <c r="R34" s="27" t="str">
        <f aca="false">IF(B34="","",COUNTIFS(Socios!$B:$B,B34,Socios!$L:$L,"SIM"))</f>
        <v/>
      </c>
      <c r="S34" s="24"/>
      <c r="T34" s="11"/>
    </row>
    <row r="35" customFormat="false" ht="15" hidden="false" customHeight="false" outlineLevel="0" collapsed="false">
      <c r="A35" s="24"/>
      <c r="B35" s="31" t="str">
        <f aca="false">IF(A35="","",IF(LEN(UPPER(SUBSTITUTE(SUBSTITUTE(SUBSTITUTE(SUBSTITUTE(TRIM(A35),".",""),"/",""),"-","")," ","")))&lt;14,RIGHT(REPT("0",14)&amp;UPPER(SUBSTITUTE(SUBSTITUTE(SUBSTITUTE(SUBSTITUTE(TRIM(A35),".",""),"/",""),"-","")," ","")),14),UPPER(SUBSTITUTE(SUBSTITUTE(SUBSTITUTE(SUBSTITUTE(TRIM(A35),".",""),"/",""),"-","")," ",""))))</f>
        <v/>
      </c>
      <c r="C35" s="11"/>
      <c r="D35" s="23"/>
      <c r="E35" s="22"/>
      <c r="F35" s="23"/>
      <c r="G35" s="11"/>
      <c r="H35" s="35"/>
      <c r="I35" s="11"/>
      <c r="J35" s="23"/>
      <c r="K35" s="27" t="str">
        <f aca="false">IF(B35="","",COUNTIF(Contratos!$D:$D,B35))</f>
        <v/>
      </c>
      <c r="L35" s="36" t="str">
        <f aca="false">IF(B35="","",SUMIFS(Contratos!$K:$K,Contratos!$D:$D,B35))</f>
        <v/>
      </c>
      <c r="M35" s="36" t="str">
        <f aca="false">IF(B35="","",SUMIFS(Pagamentos!$G:$G,Pagamentos!$D:$D,B35,Pagamentos!$F:$F,"Empenho"))</f>
        <v/>
      </c>
      <c r="N35" s="36" t="str">
        <f aca="false">IF(B35="","",SUMIFS(Pagamentos!$G:$G,Pagamentos!$D:$D,B35,Pagamentos!$F:$F,"Pagamento"))</f>
        <v/>
      </c>
      <c r="O35" s="37" t="str">
        <f aca="false">IF(OR(B35="",H35="",L35="",L35=0),"",H35/L35)</f>
        <v/>
      </c>
      <c r="P35" s="27" t="str">
        <f aca="false">IF(B35="","",COUNTIF(Sancoes!$C:$C,B35))</f>
        <v/>
      </c>
      <c r="Q35" s="27" t="str">
        <f aca="false">IF(B35="","",COUNTIF(Socios!$B:$B,B35))</f>
        <v/>
      </c>
      <c r="R35" s="27" t="str">
        <f aca="false">IF(B35="","",COUNTIFS(Socios!$B:$B,B35,Socios!$L:$L,"SIM"))</f>
        <v/>
      </c>
      <c r="S35" s="24"/>
      <c r="T35" s="11"/>
    </row>
    <row r="36" customFormat="false" ht="15" hidden="false" customHeight="false" outlineLevel="0" collapsed="false">
      <c r="A36" s="24"/>
      <c r="B36" s="31" t="str">
        <f aca="false">IF(A36="","",IF(LEN(UPPER(SUBSTITUTE(SUBSTITUTE(SUBSTITUTE(SUBSTITUTE(TRIM(A36),".",""),"/",""),"-","")," ","")))&lt;14,RIGHT(REPT("0",14)&amp;UPPER(SUBSTITUTE(SUBSTITUTE(SUBSTITUTE(SUBSTITUTE(TRIM(A36),".",""),"/",""),"-","")," ","")),14),UPPER(SUBSTITUTE(SUBSTITUTE(SUBSTITUTE(SUBSTITUTE(TRIM(A36),".",""),"/",""),"-","")," ",""))))</f>
        <v/>
      </c>
      <c r="C36" s="11"/>
      <c r="D36" s="23"/>
      <c r="E36" s="22"/>
      <c r="F36" s="23"/>
      <c r="G36" s="11"/>
      <c r="H36" s="35"/>
      <c r="I36" s="11"/>
      <c r="J36" s="23"/>
      <c r="K36" s="27" t="str">
        <f aca="false">IF(B36="","",COUNTIF(Contratos!$D:$D,B36))</f>
        <v/>
      </c>
      <c r="L36" s="36" t="str">
        <f aca="false">IF(B36="","",SUMIFS(Contratos!$K:$K,Contratos!$D:$D,B36))</f>
        <v/>
      </c>
      <c r="M36" s="36" t="str">
        <f aca="false">IF(B36="","",SUMIFS(Pagamentos!$G:$G,Pagamentos!$D:$D,B36,Pagamentos!$F:$F,"Empenho"))</f>
        <v/>
      </c>
      <c r="N36" s="36" t="str">
        <f aca="false">IF(B36="","",SUMIFS(Pagamentos!$G:$G,Pagamentos!$D:$D,B36,Pagamentos!$F:$F,"Pagamento"))</f>
        <v/>
      </c>
      <c r="O36" s="37" t="str">
        <f aca="false">IF(OR(B36="",H36="",L36="",L36=0),"",H36/L36)</f>
        <v/>
      </c>
      <c r="P36" s="27" t="str">
        <f aca="false">IF(B36="","",COUNTIF(Sancoes!$C:$C,B36))</f>
        <v/>
      </c>
      <c r="Q36" s="27" t="str">
        <f aca="false">IF(B36="","",COUNTIF(Socios!$B:$B,B36))</f>
        <v/>
      </c>
      <c r="R36" s="27" t="str">
        <f aca="false">IF(B36="","",COUNTIFS(Socios!$B:$B,B36,Socios!$L:$L,"SIM"))</f>
        <v/>
      </c>
      <c r="S36" s="24"/>
      <c r="T36" s="11"/>
    </row>
    <row r="37" customFormat="false" ht="15" hidden="false" customHeight="false" outlineLevel="0" collapsed="false">
      <c r="A37" s="24"/>
      <c r="B37" s="31" t="str">
        <f aca="false">IF(A37="","",IF(LEN(UPPER(SUBSTITUTE(SUBSTITUTE(SUBSTITUTE(SUBSTITUTE(TRIM(A37),".",""),"/",""),"-","")," ","")))&lt;14,RIGHT(REPT("0",14)&amp;UPPER(SUBSTITUTE(SUBSTITUTE(SUBSTITUTE(SUBSTITUTE(TRIM(A37),".",""),"/",""),"-","")," ","")),14),UPPER(SUBSTITUTE(SUBSTITUTE(SUBSTITUTE(SUBSTITUTE(TRIM(A37),".",""),"/",""),"-","")," ",""))))</f>
        <v/>
      </c>
      <c r="C37" s="11"/>
      <c r="D37" s="23"/>
      <c r="E37" s="22"/>
      <c r="F37" s="23"/>
      <c r="G37" s="11"/>
      <c r="H37" s="35"/>
      <c r="I37" s="11"/>
      <c r="J37" s="23"/>
      <c r="K37" s="27" t="str">
        <f aca="false">IF(B37="","",COUNTIF(Contratos!$D:$D,B37))</f>
        <v/>
      </c>
      <c r="L37" s="36" t="str">
        <f aca="false">IF(B37="","",SUMIFS(Contratos!$K:$K,Contratos!$D:$D,B37))</f>
        <v/>
      </c>
      <c r="M37" s="36" t="str">
        <f aca="false">IF(B37="","",SUMIFS(Pagamentos!$G:$G,Pagamentos!$D:$D,B37,Pagamentos!$F:$F,"Empenho"))</f>
        <v/>
      </c>
      <c r="N37" s="36" t="str">
        <f aca="false">IF(B37="","",SUMIFS(Pagamentos!$G:$G,Pagamentos!$D:$D,B37,Pagamentos!$F:$F,"Pagamento"))</f>
        <v/>
      </c>
      <c r="O37" s="37" t="str">
        <f aca="false">IF(OR(B37="",H37="",L37="",L37=0),"",H37/L37)</f>
        <v/>
      </c>
      <c r="P37" s="27" t="str">
        <f aca="false">IF(B37="","",COUNTIF(Sancoes!$C:$C,B37))</f>
        <v/>
      </c>
      <c r="Q37" s="27" t="str">
        <f aca="false">IF(B37="","",COUNTIF(Socios!$B:$B,B37))</f>
        <v/>
      </c>
      <c r="R37" s="27" t="str">
        <f aca="false">IF(B37="","",COUNTIFS(Socios!$B:$B,B37,Socios!$L:$L,"SIM"))</f>
        <v/>
      </c>
      <c r="S37" s="24"/>
      <c r="T37" s="11"/>
    </row>
    <row r="38" customFormat="false" ht="15" hidden="false" customHeight="false" outlineLevel="0" collapsed="false">
      <c r="A38" s="24"/>
      <c r="B38" s="31" t="str">
        <f aca="false">IF(A38="","",IF(LEN(UPPER(SUBSTITUTE(SUBSTITUTE(SUBSTITUTE(SUBSTITUTE(TRIM(A38),".",""),"/",""),"-","")," ","")))&lt;14,RIGHT(REPT("0",14)&amp;UPPER(SUBSTITUTE(SUBSTITUTE(SUBSTITUTE(SUBSTITUTE(TRIM(A38),".",""),"/",""),"-","")," ","")),14),UPPER(SUBSTITUTE(SUBSTITUTE(SUBSTITUTE(SUBSTITUTE(TRIM(A38),".",""),"/",""),"-","")," ",""))))</f>
        <v/>
      </c>
      <c r="C38" s="11"/>
      <c r="D38" s="23"/>
      <c r="E38" s="22"/>
      <c r="F38" s="23"/>
      <c r="G38" s="11"/>
      <c r="H38" s="35"/>
      <c r="I38" s="11"/>
      <c r="J38" s="23"/>
      <c r="K38" s="27" t="str">
        <f aca="false">IF(B38="","",COUNTIF(Contratos!$D:$D,B38))</f>
        <v/>
      </c>
      <c r="L38" s="36" t="str">
        <f aca="false">IF(B38="","",SUMIFS(Contratos!$K:$K,Contratos!$D:$D,B38))</f>
        <v/>
      </c>
      <c r="M38" s="36" t="str">
        <f aca="false">IF(B38="","",SUMIFS(Pagamentos!$G:$G,Pagamentos!$D:$D,B38,Pagamentos!$F:$F,"Empenho"))</f>
        <v/>
      </c>
      <c r="N38" s="36" t="str">
        <f aca="false">IF(B38="","",SUMIFS(Pagamentos!$G:$G,Pagamentos!$D:$D,B38,Pagamentos!$F:$F,"Pagamento"))</f>
        <v/>
      </c>
      <c r="O38" s="37" t="str">
        <f aca="false">IF(OR(B38="",H38="",L38="",L38=0),"",H38/L38)</f>
        <v/>
      </c>
      <c r="P38" s="27" t="str">
        <f aca="false">IF(B38="","",COUNTIF(Sancoes!$C:$C,B38))</f>
        <v/>
      </c>
      <c r="Q38" s="27" t="str">
        <f aca="false">IF(B38="","",COUNTIF(Socios!$B:$B,B38))</f>
        <v/>
      </c>
      <c r="R38" s="27" t="str">
        <f aca="false">IF(B38="","",COUNTIFS(Socios!$B:$B,B38,Socios!$L:$L,"SIM"))</f>
        <v/>
      </c>
      <c r="S38" s="24"/>
      <c r="T38" s="11"/>
    </row>
    <row r="39" customFormat="false" ht="15" hidden="false" customHeight="false" outlineLevel="0" collapsed="false">
      <c r="A39" s="24"/>
      <c r="B39" s="31" t="str">
        <f aca="false">IF(A39="","",IF(LEN(UPPER(SUBSTITUTE(SUBSTITUTE(SUBSTITUTE(SUBSTITUTE(TRIM(A39),".",""),"/",""),"-","")," ","")))&lt;14,RIGHT(REPT("0",14)&amp;UPPER(SUBSTITUTE(SUBSTITUTE(SUBSTITUTE(SUBSTITUTE(TRIM(A39),".",""),"/",""),"-","")," ","")),14),UPPER(SUBSTITUTE(SUBSTITUTE(SUBSTITUTE(SUBSTITUTE(TRIM(A39),".",""),"/",""),"-","")," ",""))))</f>
        <v/>
      </c>
      <c r="C39" s="11"/>
      <c r="D39" s="23"/>
      <c r="E39" s="22"/>
      <c r="F39" s="23"/>
      <c r="G39" s="11"/>
      <c r="H39" s="35"/>
      <c r="I39" s="11"/>
      <c r="J39" s="23"/>
      <c r="K39" s="27" t="str">
        <f aca="false">IF(B39="","",COUNTIF(Contratos!$D:$D,B39))</f>
        <v/>
      </c>
      <c r="L39" s="36" t="str">
        <f aca="false">IF(B39="","",SUMIFS(Contratos!$K:$K,Contratos!$D:$D,B39))</f>
        <v/>
      </c>
      <c r="M39" s="36" t="str">
        <f aca="false">IF(B39="","",SUMIFS(Pagamentos!$G:$G,Pagamentos!$D:$D,B39,Pagamentos!$F:$F,"Empenho"))</f>
        <v/>
      </c>
      <c r="N39" s="36" t="str">
        <f aca="false">IF(B39="","",SUMIFS(Pagamentos!$G:$G,Pagamentos!$D:$D,B39,Pagamentos!$F:$F,"Pagamento"))</f>
        <v/>
      </c>
      <c r="O39" s="37" t="str">
        <f aca="false">IF(OR(B39="",H39="",L39="",L39=0),"",H39/L39)</f>
        <v/>
      </c>
      <c r="P39" s="27" t="str">
        <f aca="false">IF(B39="","",COUNTIF(Sancoes!$C:$C,B39))</f>
        <v/>
      </c>
      <c r="Q39" s="27" t="str">
        <f aca="false">IF(B39="","",COUNTIF(Socios!$B:$B,B39))</f>
        <v/>
      </c>
      <c r="R39" s="27" t="str">
        <f aca="false">IF(B39="","",COUNTIFS(Socios!$B:$B,B39,Socios!$L:$L,"SIM"))</f>
        <v/>
      </c>
      <c r="S39" s="24"/>
      <c r="T39" s="11"/>
    </row>
    <row r="40" customFormat="false" ht="15" hidden="false" customHeight="false" outlineLevel="0" collapsed="false">
      <c r="A40" s="24"/>
      <c r="B40" s="31" t="str">
        <f aca="false">IF(A40="","",IF(LEN(UPPER(SUBSTITUTE(SUBSTITUTE(SUBSTITUTE(SUBSTITUTE(TRIM(A40),".",""),"/",""),"-","")," ","")))&lt;14,RIGHT(REPT("0",14)&amp;UPPER(SUBSTITUTE(SUBSTITUTE(SUBSTITUTE(SUBSTITUTE(TRIM(A40),".",""),"/",""),"-","")," ","")),14),UPPER(SUBSTITUTE(SUBSTITUTE(SUBSTITUTE(SUBSTITUTE(TRIM(A40),".",""),"/",""),"-","")," ",""))))</f>
        <v/>
      </c>
      <c r="C40" s="11"/>
      <c r="D40" s="23"/>
      <c r="E40" s="22"/>
      <c r="F40" s="23"/>
      <c r="G40" s="11"/>
      <c r="H40" s="35"/>
      <c r="I40" s="11"/>
      <c r="J40" s="23"/>
      <c r="K40" s="27" t="str">
        <f aca="false">IF(B40="","",COUNTIF(Contratos!$D:$D,B40))</f>
        <v/>
      </c>
      <c r="L40" s="36" t="str">
        <f aca="false">IF(B40="","",SUMIFS(Contratos!$K:$K,Contratos!$D:$D,B40))</f>
        <v/>
      </c>
      <c r="M40" s="36" t="str">
        <f aca="false">IF(B40="","",SUMIFS(Pagamentos!$G:$G,Pagamentos!$D:$D,B40,Pagamentos!$F:$F,"Empenho"))</f>
        <v/>
      </c>
      <c r="N40" s="36" t="str">
        <f aca="false">IF(B40="","",SUMIFS(Pagamentos!$G:$G,Pagamentos!$D:$D,B40,Pagamentos!$F:$F,"Pagamento"))</f>
        <v/>
      </c>
      <c r="O40" s="37" t="str">
        <f aca="false">IF(OR(B40="",H40="",L40="",L40=0),"",H40/L40)</f>
        <v/>
      </c>
      <c r="P40" s="27" t="str">
        <f aca="false">IF(B40="","",COUNTIF(Sancoes!$C:$C,B40))</f>
        <v/>
      </c>
      <c r="Q40" s="27" t="str">
        <f aca="false">IF(B40="","",COUNTIF(Socios!$B:$B,B40))</f>
        <v/>
      </c>
      <c r="R40" s="27" t="str">
        <f aca="false">IF(B40="","",COUNTIFS(Socios!$B:$B,B40,Socios!$L:$L,"SIM"))</f>
        <v/>
      </c>
      <c r="S40" s="24"/>
      <c r="T40" s="11"/>
    </row>
    <row r="41" customFormat="false" ht="15" hidden="false" customHeight="false" outlineLevel="0" collapsed="false">
      <c r="A41" s="24"/>
      <c r="B41" s="31" t="str">
        <f aca="false">IF(A41="","",IF(LEN(UPPER(SUBSTITUTE(SUBSTITUTE(SUBSTITUTE(SUBSTITUTE(TRIM(A41),".",""),"/",""),"-","")," ","")))&lt;14,RIGHT(REPT("0",14)&amp;UPPER(SUBSTITUTE(SUBSTITUTE(SUBSTITUTE(SUBSTITUTE(TRIM(A41),".",""),"/",""),"-","")," ","")),14),UPPER(SUBSTITUTE(SUBSTITUTE(SUBSTITUTE(SUBSTITUTE(TRIM(A41),".",""),"/",""),"-","")," ",""))))</f>
        <v/>
      </c>
      <c r="C41" s="11"/>
      <c r="D41" s="23"/>
      <c r="E41" s="22"/>
      <c r="F41" s="23"/>
      <c r="G41" s="11"/>
      <c r="H41" s="35"/>
      <c r="I41" s="11"/>
      <c r="J41" s="23"/>
      <c r="K41" s="27" t="str">
        <f aca="false">IF(B41="","",COUNTIF(Contratos!$D:$D,B41))</f>
        <v/>
      </c>
      <c r="L41" s="36" t="str">
        <f aca="false">IF(B41="","",SUMIFS(Contratos!$K:$K,Contratos!$D:$D,B41))</f>
        <v/>
      </c>
      <c r="M41" s="36" t="str">
        <f aca="false">IF(B41="","",SUMIFS(Pagamentos!$G:$G,Pagamentos!$D:$D,B41,Pagamentos!$F:$F,"Empenho"))</f>
        <v/>
      </c>
      <c r="N41" s="36" t="str">
        <f aca="false">IF(B41="","",SUMIFS(Pagamentos!$G:$G,Pagamentos!$D:$D,B41,Pagamentos!$F:$F,"Pagamento"))</f>
        <v/>
      </c>
      <c r="O41" s="37" t="str">
        <f aca="false">IF(OR(B41="",H41="",L41="",L41=0),"",H41/L41)</f>
        <v/>
      </c>
      <c r="P41" s="27" t="str">
        <f aca="false">IF(B41="","",COUNTIF(Sancoes!$C:$C,B41))</f>
        <v/>
      </c>
      <c r="Q41" s="27" t="str">
        <f aca="false">IF(B41="","",COUNTIF(Socios!$B:$B,B41))</f>
        <v/>
      </c>
      <c r="R41" s="27" t="str">
        <f aca="false">IF(B41="","",COUNTIFS(Socios!$B:$B,B41,Socios!$L:$L,"SIM"))</f>
        <v/>
      </c>
      <c r="S41" s="24"/>
      <c r="T41" s="11"/>
    </row>
    <row r="42" customFormat="false" ht="15" hidden="false" customHeight="false" outlineLevel="0" collapsed="false">
      <c r="A42" s="24"/>
      <c r="B42" s="31" t="str">
        <f aca="false">IF(A42="","",IF(LEN(UPPER(SUBSTITUTE(SUBSTITUTE(SUBSTITUTE(SUBSTITUTE(TRIM(A42),".",""),"/",""),"-","")," ","")))&lt;14,RIGHT(REPT("0",14)&amp;UPPER(SUBSTITUTE(SUBSTITUTE(SUBSTITUTE(SUBSTITUTE(TRIM(A42),".",""),"/",""),"-","")," ","")),14),UPPER(SUBSTITUTE(SUBSTITUTE(SUBSTITUTE(SUBSTITUTE(TRIM(A42),".",""),"/",""),"-","")," ",""))))</f>
        <v/>
      </c>
      <c r="C42" s="11"/>
      <c r="D42" s="23"/>
      <c r="E42" s="22"/>
      <c r="F42" s="23"/>
      <c r="G42" s="11"/>
      <c r="H42" s="35"/>
      <c r="I42" s="11"/>
      <c r="J42" s="23"/>
      <c r="K42" s="27" t="str">
        <f aca="false">IF(B42="","",COUNTIF(Contratos!$D:$D,B42))</f>
        <v/>
      </c>
      <c r="L42" s="36" t="str">
        <f aca="false">IF(B42="","",SUMIFS(Contratos!$K:$K,Contratos!$D:$D,B42))</f>
        <v/>
      </c>
      <c r="M42" s="36" t="str">
        <f aca="false">IF(B42="","",SUMIFS(Pagamentos!$G:$G,Pagamentos!$D:$D,B42,Pagamentos!$F:$F,"Empenho"))</f>
        <v/>
      </c>
      <c r="N42" s="36" t="str">
        <f aca="false">IF(B42="","",SUMIFS(Pagamentos!$G:$G,Pagamentos!$D:$D,B42,Pagamentos!$F:$F,"Pagamento"))</f>
        <v/>
      </c>
      <c r="O42" s="37" t="str">
        <f aca="false">IF(OR(B42="",H42="",L42="",L42=0),"",H42/L42)</f>
        <v/>
      </c>
      <c r="P42" s="27" t="str">
        <f aca="false">IF(B42="","",COUNTIF(Sancoes!$C:$C,B42))</f>
        <v/>
      </c>
      <c r="Q42" s="27" t="str">
        <f aca="false">IF(B42="","",COUNTIF(Socios!$B:$B,B42))</f>
        <v/>
      </c>
      <c r="R42" s="27" t="str">
        <f aca="false">IF(B42="","",COUNTIFS(Socios!$B:$B,B42,Socios!$L:$L,"SIM"))</f>
        <v/>
      </c>
      <c r="S42" s="24"/>
      <c r="T42" s="11"/>
    </row>
    <row r="43" customFormat="false" ht="15" hidden="false" customHeight="false" outlineLevel="0" collapsed="false">
      <c r="A43" s="24"/>
      <c r="B43" s="31" t="str">
        <f aca="false">IF(A43="","",IF(LEN(UPPER(SUBSTITUTE(SUBSTITUTE(SUBSTITUTE(SUBSTITUTE(TRIM(A43),".",""),"/",""),"-","")," ","")))&lt;14,RIGHT(REPT("0",14)&amp;UPPER(SUBSTITUTE(SUBSTITUTE(SUBSTITUTE(SUBSTITUTE(TRIM(A43),".",""),"/",""),"-","")," ","")),14),UPPER(SUBSTITUTE(SUBSTITUTE(SUBSTITUTE(SUBSTITUTE(TRIM(A43),".",""),"/",""),"-","")," ",""))))</f>
        <v/>
      </c>
      <c r="C43" s="11"/>
      <c r="D43" s="23"/>
      <c r="E43" s="22"/>
      <c r="F43" s="23"/>
      <c r="G43" s="11"/>
      <c r="H43" s="35"/>
      <c r="I43" s="11"/>
      <c r="J43" s="23"/>
      <c r="K43" s="27" t="str">
        <f aca="false">IF(B43="","",COUNTIF(Contratos!$D:$D,B43))</f>
        <v/>
      </c>
      <c r="L43" s="36" t="str">
        <f aca="false">IF(B43="","",SUMIFS(Contratos!$K:$K,Contratos!$D:$D,B43))</f>
        <v/>
      </c>
      <c r="M43" s="36" t="str">
        <f aca="false">IF(B43="","",SUMIFS(Pagamentos!$G:$G,Pagamentos!$D:$D,B43,Pagamentos!$F:$F,"Empenho"))</f>
        <v/>
      </c>
      <c r="N43" s="36" t="str">
        <f aca="false">IF(B43="","",SUMIFS(Pagamentos!$G:$G,Pagamentos!$D:$D,B43,Pagamentos!$F:$F,"Pagamento"))</f>
        <v/>
      </c>
      <c r="O43" s="37" t="str">
        <f aca="false">IF(OR(B43="",H43="",L43="",L43=0),"",H43/L43)</f>
        <v/>
      </c>
      <c r="P43" s="27" t="str">
        <f aca="false">IF(B43="","",COUNTIF(Sancoes!$C:$C,B43))</f>
        <v/>
      </c>
      <c r="Q43" s="27" t="str">
        <f aca="false">IF(B43="","",COUNTIF(Socios!$B:$B,B43))</f>
        <v/>
      </c>
      <c r="R43" s="27" t="str">
        <f aca="false">IF(B43="","",COUNTIFS(Socios!$B:$B,B43,Socios!$L:$L,"SIM"))</f>
        <v/>
      </c>
      <c r="S43" s="24"/>
      <c r="T43" s="11"/>
    </row>
    <row r="44" customFormat="false" ht="15" hidden="false" customHeight="false" outlineLevel="0" collapsed="false">
      <c r="A44" s="24"/>
      <c r="B44" s="31" t="str">
        <f aca="false">IF(A44="","",IF(LEN(UPPER(SUBSTITUTE(SUBSTITUTE(SUBSTITUTE(SUBSTITUTE(TRIM(A44),".",""),"/",""),"-","")," ","")))&lt;14,RIGHT(REPT("0",14)&amp;UPPER(SUBSTITUTE(SUBSTITUTE(SUBSTITUTE(SUBSTITUTE(TRIM(A44),".",""),"/",""),"-","")," ","")),14),UPPER(SUBSTITUTE(SUBSTITUTE(SUBSTITUTE(SUBSTITUTE(TRIM(A44),".",""),"/",""),"-","")," ",""))))</f>
        <v/>
      </c>
      <c r="C44" s="11"/>
      <c r="D44" s="23"/>
      <c r="E44" s="22"/>
      <c r="F44" s="23"/>
      <c r="G44" s="11"/>
      <c r="H44" s="35"/>
      <c r="I44" s="11"/>
      <c r="J44" s="23"/>
      <c r="K44" s="27" t="str">
        <f aca="false">IF(B44="","",COUNTIF(Contratos!$D:$D,B44))</f>
        <v/>
      </c>
      <c r="L44" s="36" t="str">
        <f aca="false">IF(B44="","",SUMIFS(Contratos!$K:$K,Contratos!$D:$D,B44))</f>
        <v/>
      </c>
      <c r="M44" s="36" t="str">
        <f aca="false">IF(B44="","",SUMIFS(Pagamentos!$G:$G,Pagamentos!$D:$D,B44,Pagamentos!$F:$F,"Empenho"))</f>
        <v/>
      </c>
      <c r="N44" s="36" t="str">
        <f aca="false">IF(B44="","",SUMIFS(Pagamentos!$G:$G,Pagamentos!$D:$D,B44,Pagamentos!$F:$F,"Pagamento"))</f>
        <v/>
      </c>
      <c r="O44" s="37" t="str">
        <f aca="false">IF(OR(B44="",H44="",L44="",L44=0),"",H44/L44)</f>
        <v/>
      </c>
      <c r="P44" s="27" t="str">
        <f aca="false">IF(B44="","",COUNTIF(Sancoes!$C:$C,B44))</f>
        <v/>
      </c>
      <c r="Q44" s="27" t="str">
        <f aca="false">IF(B44="","",COUNTIF(Socios!$B:$B,B44))</f>
        <v/>
      </c>
      <c r="R44" s="27" t="str">
        <f aca="false">IF(B44="","",COUNTIFS(Socios!$B:$B,B44,Socios!$L:$L,"SIM"))</f>
        <v/>
      </c>
      <c r="S44" s="24"/>
      <c r="T44" s="11"/>
    </row>
    <row r="45" customFormat="false" ht="15" hidden="false" customHeight="false" outlineLevel="0" collapsed="false">
      <c r="A45" s="24"/>
      <c r="B45" s="31" t="str">
        <f aca="false">IF(A45="","",IF(LEN(UPPER(SUBSTITUTE(SUBSTITUTE(SUBSTITUTE(SUBSTITUTE(TRIM(A45),".",""),"/",""),"-","")," ","")))&lt;14,RIGHT(REPT("0",14)&amp;UPPER(SUBSTITUTE(SUBSTITUTE(SUBSTITUTE(SUBSTITUTE(TRIM(A45),".",""),"/",""),"-","")," ","")),14),UPPER(SUBSTITUTE(SUBSTITUTE(SUBSTITUTE(SUBSTITUTE(TRIM(A45),".",""),"/",""),"-","")," ",""))))</f>
        <v/>
      </c>
      <c r="C45" s="11"/>
      <c r="D45" s="23"/>
      <c r="E45" s="22"/>
      <c r="F45" s="23"/>
      <c r="G45" s="11"/>
      <c r="H45" s="35"/>
      <c r="I45" s="11"/>
      <c r="J45" s="23"/>
      <c r="K45" s="27" t="str">
        <f aca="false">IF(B45="","",COUNTIF(Contratos!$D:$D,B45))</f>
        <v/>
      </c>
      <c r="L45" s="36" t="str">
        <f aca="false">IF(B45="","",SUMIFS(Contratos!$K:$K,Contratos!$D:$D,B45))</f>
        <v/>
      </c>
      <c r="M45" s="36" t="str">
        <f aca="false">IF(B45="","",SUMIFS(Pagamentos!$G:$G,Pagamentos!$D:$D,B45,Pagamentos!$F:$F,"Empenho"))</f>
        <v/>
      </c>
      <c r="N45" s="36" t="str">
        <f aca="false">IF(B45="","",SUMIFS(Pagamentos!$G:$G,Pagamentos!$D:$D,B45,Pagamentos!$F:$F,"Pagamento"))</f>
        <v/>
      </c>
      <c r="O45" s="37" t="str">
        <f aca="false">IF(OR(B45="",H45="",L45="",L45=0),"",H45/L45)</f>
        <v/>
      </c>
      <c r="P45" s="27" t="str">
        <f aca="false">IF(B45="","",COUNTIF(Sancoes!$C:$C,B45))</f>
        <v/>
      </c>
      <c r="Q45" s="27" t="str">
        <f aca="false">IF(B45="","",COUNTIF(Socios!$B:$B,B45))</f>
        <v/>
      </c>
      <c r="R45" s="27" t="str">
        <f aca="false">IF(B45="","",COUNTIFS(Socios!$B:$B,B45,Socios!$L:$L,"SIM"))</f>
        <v/>
      </c>
      <c r="S45" s="24"/>
      <c r="T45" s="11"/>
    </row>
    <row r="46" customFormat="false" ht="15" hidden="false" customHeight="false" outlineLevel="0" collapsed="false">
      <c r="A46" s="24"/>
      <c r="B46" s="31" t="str">
        <f aca="false">IF(A46="","",IF(LEN(UPPER(SUBSTITUTE(SUBSTITUTE(SUBSTITUTE(SUBSTITUTE(TRIM(A46),".",""),"/",""),"-","")," ","")))&lt;14,RIGHT(REPT("0",14)&amp;UPPER(SUBSTITUTE(SUBSTITUTE(SUBSTITUTE(SUBSTITUTE(TRIM(A46),".",""),"/",""),"-","")," ","")),14),UPPER(SUBSTITUTE(SUBSTITUTE(SUBSTITUTE(SUBSTITUTE(TRIM(A46),".",""),"/",""),"-","")," ",""))))</f>
        <v/>
      </c>
      <c r="C46" s="11"/>
      <c r="D46" s="23"/>
      <c r="E46" s="22"/>
      <c r="F46" s="23"/>
      <c r="G46" s="11"/>
      <c r="H46" s="35"/>
      <c r="I46" s="11"/>
      <c r="J46" s="23"/>
      <c r="K46" s="27" t="str">
        <f aca="false">IF(B46="","",COUNTIF(Contratos!$D:$D,B46))</f>
        <v/>
      </c>
      <c r="L46" s="36" t="str">
        <f aca="false">IF(B46="","",SUMIFS(Contratos!$K:$K,Contratos!$D:$D,B46))</f>
        <v/>
      </c>
      <c r="M46" s="36" t="str">
        <f aca="false">IF(B46="","",SUMIFS(Pagamentos!$G:$G,Pagamentos!$D:$D,B46,Pagamentos!$F:$F,"Empenho"))</f>
        <v/>
      </c>
      <c r="N46" s="36" t="str">
        <f aca="false">IF(B46="","",SUMIFS(Pagamentos!$G:$G,Pagamentos!$D:$D,B46,Pagamentos!$F:$F,"Pagamento"))</f>
        <v/>
      </c>
      <c r="O46" s="37" t="str">
        <f aca="false">IF(OR(B46="",H46="",L46="",L46=0),"",H46/L46)</f>
        <v/>
      </c>
      <c r="P46" s="27" t="str">
        <f aca="false">IF(B46="","",COUNTIF(Sancoes!$C:$C,B46))</f>
        <v/>
      </c>
      <c r="Q46" s="27" t="str">
        <f aca="false">IF(B46="","",COUNTIF(Socios!$B:$B,B46))</f>
        <v/>
      </c>
      <c r="R46" s="27" t="str">
        <f aca="false">IF(B46="","",COUNTIFS(Socios!$B:$B,B46,Socios!$L:$L,"SIM"))</f>
        <v/>
      </c>
      <c r="S46" s="24"/>
      <c r="T46" s="11"/>
    </row>
    <row r="47" customFormat="false" ht="15" hidden="false" customHeight="false" outlineLevel="0" collapsed="false">
      <c r="A47" s="24"/>
      <c r="B47" s="31" t="str">
        <f aca="false">IF(A47="","",IF(LEN(UPPER(SUBSTITUTE(SUBSTITUTE(SUBSTITUTE(SUBSTITUTE(TRIM(A47),".",""),"/",""),"-","")," ","")))&lt;14,RIGHT(REPT("0",14)&amp;UPPER(SUBSTITUTE(SUBSTITUTE(SUBSTITUTE(SUBSTITUTE(TRIM(A47),".",""),"/",""),"-","")," ","")),14),UPPER(SUBSTITUTE(SUBSTITUTE(SUBSTITUTE(SUBSTITUTE(TRIM(A47),".",""),"/",""),"-","")," ",""))))</f>
        <v/>
      </c>
      <c r="C47" s="11"/>
      <c r="D47" s="23"/>
      <c r="E47" s="22"/>
      <c r="F47" s="23"/>
      <c r="G47" s="11"/>
      <c r="H47" s="35"/>
      <c r="I47" s="11"/>
      <c r="J47" s="23"/>
      <c r="K47" s="27" t="str">
        <f aca="false">IF(B47="","",COUNTIF(Contratos!$D:$D,B47))</f>
        <v/>
      </c>
      <c r="L47" s="36" t="str">
        <f aca="false">IF(B47="","",SUMIFS(Contratos!$K:$K,Contratos!$D:$D,B47))</f>
        <v/>
      </c>
      <c r="M47" s="36" t="str">
        <f aca="false">IF(B47="","",SUMIFS(Pagamentos!$G:$G,Pagamentos!$D:$D,B47,Pagamentos!$F:$F,"Empenho"))</f>
        <v/>
      </c>
      <c r="N47" s="36" t="str">
        <f aca="false">IF(B47="","",SUMIFS(Pagamentos!$G:$G,Pagamentos!$D:$D,B47,Pagamentos!$F:$F,"Pagamento"))</f>
        <v/>
      </c>
      <c r="O47" s="37" t="str">
        <f aca="false">IF(OR(B47="",H47="",L47="",L47=0),"",H47/L47)</f>
        <v/>
      </c>
      <c r="P47" s="27" t="str">
        <f aca="false">IF(B47="","",COUNTIF(Sancoes!$C:$C,B47))</f>
        <v/>
      </c>
      <c r="Q47" s="27" t="str">
        <f aca="false">IF(B47="","",COUNTIF(Socios!$B:$B,B47))</f>
        <v/>
      </c>
      <c r="R47" s="27" t="str">
        <f aca="false">IF(B47="","",COUNTIFS(Socios!$B:$B,B47,Socios!$L:$L,"SIM"))</f>
        <v/>
      </c>
      <c r="S47" s="24"/>
      <c r="T47" s="11"/>
    </row>
    <row r="48" customFormat="false" ht="15" hidden="false" customHeight="false" outlineLevel="0" collapsed="false">
      <c r="A48" s="24"/>
      <c r="B48" s="31" t="str">
        <f aca="false">IF(A48="","",IF(LEN(UPPER(SUBSTITUTE(SUBSTITUTE(SUBSTITUTE(SUBSTITUTE(TRIM(A48),".",""),"/",""),"-","")," ","")))&lt;14,RIGHT(REPT("0",14)&amp;UPPER(SUBSTITUTE(SUBSTITUTE(SUBSTITUTE(SUBSTITUTE(TRIM(A48),".",""),"/",""),"-","")," ","")),14),UPPER(SUBSTITUTE(SUBSTITUTE(SUBSTITUTE(SUBSTITUTE(TRIM(A48),".",""),"/",""),"-","")," ",""))))</f>
        <v/>
      </c>
      <c r="C48" s="11"/>
      <c r="D48" s="23"/>
      <c r="E48" s="22"/>
      <c r="F48" s="23"/>
      <c r="G48" s="11"/>
      <c r="H48" s="35"/>
      <c r="I48" s="11"/>
      <c r="J48" s="23"/>
      <c r="K48" s="27" t="str">
        <f aca="false">IF(B48="","",COUNTIF(Contratos!$D:$D,B48))</f>
        <v/>
      </c>
      <c r="L48" s="36" t="str">
        <f aca="false">IF(B48="","",SUMIFS(Contratos!$K:$K,Contratos!$D:$D,B48))</f>
        <v/>
      </c>
      <c r="M48" s="36" t="str">
        <f aca="false">IF(B48="","",SUMIFS(Pagamentos!$G:$G,Pagamentos!$D:$D,B48,Pagamentos!$F:$F,"Empenho"))</f>
        <v/>
      </c>
      <c r="N48" s="36" t="str">
        <f aca="false">IF(B48="","",SUMIFS(Pagamentos!$G:$G,Pagamentos!$D:$D,B48,Pagamentos!$F:$F,"Pagamento"))</f>
        <v/>
      </c>
      <c r="O48" s="37" t="str">
        <f aca="false">IF(OR(B48="",H48="",L48="",L48=0),"",H48/L48)</f>
        <v/>
      </c>
      <c r="P48" s="27" t="str">
        <f aca="false">IF(B48="","",COUNTIF(Sancoes!$C:$C,B48))</f>
        <v/>
      </c>
      <c r="Q48" s="27" t="str">
        <f aca="false">IF(B48="","",COUNTIF(Socios!$B:$B,B48))</f>
        <v/>
      </c>
      <c r="R48" s="27" t="str">
        <f aca="false">IF(B48="","",COUNTIFS(Socios!$B:$B,B48,Socios!$L:$L,"SIM"))</f>
        <v/>
      </c>
      <c r="S48" s="24"/>
      <c r="T48" s="11"/>
    </row>
    <row r="49" customFormat="false" ht="15" hidden="false" customHeight="false" outlineLevel="0" collapsed="false">
      <c r="A49" s="24"/>
      <c r="B49" s="31" t="str">
        <f aca="false">IF(A49="","",IF(LEN(UPPER(SUBSTITUTE(SUBSTITUTE(SUBSTITUTE(SUBSTITUTE(TRIM(A49),".",""),"/",""),"-","")," ","")))&lt;14,RIGHT(REPT("0",14)&amp;UPPER(SUBSTITUTE(SUBSTITUTE(SUBSTITUTE(SUBSTITUTE(TRIM(A49),".",""),"/",""),"-","")," ","")),14),UPPER(SUBSTITUTE(SUBSTITUTE(SUBSTITUTE(SUBSTITUTE(TRIM(A49),".",""),"/",""),"-","")," ",""))))</f>
        <v/>
      </c>
      <c r="C49" s="11"/>
      <c r="D49" s="23"/>
      <c r="E49" s="22"/>
      <c r="F49" s="23"/>
      <c r="G49" s="11"/>
      <c r="H49" s="35"/>
      <c r="I49" s="11"/>
      <c r="J49" s="23"/>
      <c r="K49" s="27" t="str">
        <f aca="false">IF(B49="","",COUNTIF(Contratos!$D:$D,B49))</f>
        <v/>
      </c>
      <c r="L49" s="36" t="str">
        <f aca="false">IF(B49="","",SUMIFS(Contratos!$K:$K,Contratos!$D:$D,B49))</f>
        <v/>
      </c>
      <c r="M49" s="36" t="str">
        <f aca="false">IF(B49="","",SUMIFS(Pagamentos!$G:$G,Pagamentos!$D:$D,B49,Pagamentos!$F:$F,"Empenho"))</f>
        <v/>
      </c>
      <c r="N49" s="36" t="str">
        <f aca="false">IF(B49="","",SUMIFS(Pagamentos!$G:$G,Pagamentos!$D:$D,B49,Pagamentos!$F:$F,"Pagamento"))</f>
        <v/>
      </c>
      <c r="O49" s="37" t="str">
        <f aca="false">IF(OR(B49="",H49="",L49="",L49=0),"",H49/L49)</f>
        <v/>
      </c>
      <c r="P49" s="27" t="str">
        <f aca="false">IF(B49="","",COUNTIF(Sancoes!$C:$C,B49))</f>
        <v/>
      </c>
      <c r="Q49" s="27" t="str">
        <f aca="false">IF(B49="","",COUNTIF(Socios!$B:$B,B49))</f>
        <v/>
      </c>
      <c r="R49" s="27" t="str">
        <f aca="false">IF(B49="","",COUNTIFS(Socios!$B:$B,B49,Socios!$L:$L,"SIM"))</f>
        <v/>
      </c>
      <c r="S49" s="24"/>
      <c r="T49" s="11"/>
    </row>
    <row r="50" customFormat="false" ht="15" hidden="false" customHeight="false" outlineLevel="0" collapsed="false">
      <c r="A50" s="24"/>
      <c r="B50" s="31" t="str">
        <f aca="false">IF(A50="","",IF(LEN(UPPER(SUBSTITUTE(SUBSTITUTE(SUBSTITUTE(SUBSTITUTE(TRIM(A50),".",""),"/",""),"-","")," ","")))&lt;14,RIGHT(REPT("0",14)&amp;UPPER(SUBSTITUTE(SUBSTITUTE(SUBSTITUTE(SUBSTITUTE(TRIM(A50),".",""),"/",""),"-","")," ","")),14),UPPER(SUBSTITUTE(SUBSTITUTE(SUBSTITUTE(SUBSTITUTE(TRIM(A50),".",""),"/",""),"-","")," ",""))))</f>
        <v/>
      </c>
      <c r="C50" s="11"/>
      <c r="D50" s="23"/>
      <c r="E50" s="22"/>
      <c r="F50" s="23"/>
      <c r="G50" s="11"/>
      <c r="H50" s="35"/>
      <c r="I50" s="11"/>
      <c r="J50" s="23"/>
      <c r="K50" s="27" t="str">
        <f aca="false">IF(B50="","",COUNTIF(Contratos!$D:$D,B50))</f>
        <v/>
      </c>
      <c r="L50" s="36" t="str">
        <f aca="false">IF(B50="","",SUMIFS(Contratos!$K:$K,Contratos!$D:$D,B50))</f>
        <v/>
      </c>
      <c r="M50" s="36" t="str">
        <f aca="false">IF(B50="","",SUMIFS(Pagamentos!$G:$G,Pagamentos!$D:$D,B50,Pagamentos!$F:$F,"Empenho"))</f>
        <v/>
      </c>
      <c r="N50" s="36" t="str">
        <f aca="false">IF(B50="","",SUMIFS(Pagamentos!$G:$G,Pagamentos!$D:$D,B50,Pagamentos!$F:$F,"Pagamento"))</f>
        <v/>
      </c>
      <c r="O50" s="37" t="str">
        <f aca="false">IF(OR(B50="",H50="",L50="",L50=0),"",H50/L50)</f>
        <v/>
      </c>
      <c r="P50" s="27" t="str">
        <f aca="false">IF(B50="","",COUNTIF(Sancoes!$C:$C,B50))</f>
        <v/>
      </c>
      <c r="Q50" s="27" t="str">
        <f aca="false">IF(B50="","",COUNTIF(Socios!$B:$B,B50))</f>
        <v/>
      </c>
      <c r="R50" s="27" t="str">
        <f aca="false">IF(B50="","",COUNTIFS(Socios!$B:$B,B50,Socios!$L:$L,"SIM"))</f>
        <v/>
      </c>
      <c r="S50" s="24"/>
      <c r="T50" s="11"/>
    </row>
    <row r="51" customFormat="false" ht="15" hidden="false" customHeight="false" outlineLevel="0" collapsed="false">
      <c r="A51" s="24"/>
      <c r="B51" s="31" t="str">
        <f aca="false">IF(A51="","",IF(LEN(UPPER(SUBSTITUTE(SUBSTITUTE(SUBSTITUTE(SUBSTITUTE(TRIM(A51),".",""),"/",""),"-","")," ","")))&lt;14,RIGHT(REPT("0",14)&amp;UPPER(SUBSTITUTE(SUBSTITUTE(SUBSTITUTE(SUBSTITUTE(TRIM(A51),".",""),"/",""),"-","")," ","")),14),UPPER(SUBSTITUTE(SUBSTITUTE(SUBSTITUTE(SUBSTITUTE(TRIM(A51),".",""),"/",""),"-","")," ",""))))</f>
        <v/>
      </c>
      <c r="C51" s="11"/>
      <c r="D51" s="23"/>
      <c r="E51" s="22"/>
      <c r="F51" s="23"/>
      <c r="G51" s="11"/>
      <c r="H51" s="35"/>
      <c r="I51" s="11"/>
      <c r="J51" s="23"/>
      <c r="K51" s="27" t="str">
        <f aca="false">IF(B51="","",COUNTIF(Contratos!$D:$D,B51))</f>
        <v/>
      </c>
      <c r="L51" s="36" t="str">
        <f aca="false">IF(B51="","",SUMIFS(Contratos!$K:$K,Contratos!$D:$D,B51))</f>
        <v/>
      </c>
      <c r="M51" s="36" t="str">
        <f aca="false">IF(B51="","",SUMIFS(Pagamentos!$G:$G,Pagamentos!$D:$D,B51,Pagamentos!$F:$F,"Empenho"))</f>
        <v/>
      </c>
      <c r="N51" s="36" t="str">
        <f aca="false">IF(B51="","",SUMIFS(Pagamentos!$G:$G,Pagamentos!$D:$D,B51,Pagamentos!$F:$F,"Pagamento"))</f>
        <v/>
      </c>
      <c r="O51" s="37" t="str">
        <f aca="false">IF(OR(B51="",H51="",L51="",L51=0),"",H51/L51)</f>
        <v/>
      </c>
      <c r="P51" s="27" t="str">
        <f aca="false">IF(B51="","",COUNTIF(Sancoes!$C:$C,B51))</f>
        <v/>
      </c>
      <c r="Q51" s="27" t="str">
        <f aca="false">IF(B51="","",COUNTIF(Socios!$B:$B,B51))</f>
        <v/>
      </c>
      <c r="R51" s="27" t="str">
        <f aca="false">IF(B51="","",COUNTIFS(Socios!$B:$B,B51,Socios!$L:$L,"SIM"))</f>
        <v/>
      </c>
      <c r="S51" s="24"/>
      <c r="T51" s="11"/>
    </row>
    <row r="52" customFormat="false" ht="15" hidden="false" customHeight="false" outlineLevel="0" collapsed="false">
      <c r="A52" s="24"/>
      <c r="B52" s="31" t="str">
        <f aca="false">IF(A52="","",IF(LEN(UPPER(SUBSTITUTE(SUBSTITUTE(SUBSTITUTE(SUBSTITUTE(TRIM(A52),".",""),"/",""),"-","")," ","")))&lt;14,RIGHT(REPT("0",14)&amp;UPPER(SUBSTITUTE(SUBSTITUTE(SUBSTITUTE(SUBSTITUTE(TRIM(A52),".",""),"/",""),"-","")," ","")),14),UPPER(SUBSTITUTE(SUBSTITUTE(SUBSTITUTE(SUBSTITUTE(TRIM(A52),".",""),"/",""),"-","")," ",""))))</f>
        <v/>
      </c>
      <c r="C52" s="11"/>
      <c r="D52" s="23"/>
      <c r="E52" s="22"/>
      <c r="F52" s="23"/>
      <c r="G52" s="11"/>
      <c r="H52" s="35"/>
      <c r="I52" s="11"/>
      <c r="J52" s="23"/>
      <c r="K52" s="27" t="str">
        <f aca="false">IF(B52="","",COUNTIF(Contratos!$D:$D,B52))</f>
        <v/>
      </c>
      <c r="L52" s="36" t="str">
        <f aca="false">IF(B52="","",SUMIFS(Contratos!$K:$K,Contratos!$D:$D,B52))</f>
        <v/>
      </c>
      <c r="M52" s="36" t="str">
        <f aca="false">IF(B52="","",SUMIFS(Pagamentos!$G:$G,Pagamentos!$D:$D,B52,Pagamentos!$F:$F,"Empenho"))</f>
        <v/>
      </c>
      <c r="N52" s="36" t="str">
        <f aca="false">IF(B52="","",SUMIFS(Pagamentos!$G:$G,Pagamentos!$D:$D,B52,Pagamentos!$F:$F,"Pagamento"))</f>
        <v/>
      </c>
      <c r="O52" s="37" t="str">
        <f aca="false">IF(OR(B52="",H52="",L52="",L52=0),"",H52/L52)</f>
        <v/>
      </c>
      <c r="P52" s="27" t="str">
        <f aca="false">IF(B52="","",COUNTIF(Sancoes!$C:$C,B52))</f>
        <v/>
      </c>
      <c r="Q52" s="27" t="str">
        <f aca="false">IF(B52="","",COUNTIF(Socios!$B:$B,B52))</f>
        <v/>
      </c>
      <c r="R52" s="27" t="str">
        <f aca="false">IF(B52="","",COUNTIFS(Socios!$B:$B,B52,Socios!$L:$L,"SIM"))</f>
        <v/>
      </c>
      <c r="S52" s="24"/>
      <c r="T52" s="11"/>
    </row>
    <row r="53" customFormat="false" ht="15" hidden="false" customHeight="false" outlineLevel="0" collapsed="false">
      <c r="A53" s="24"/>
      <c r="B53" s="31" t="str">
        <f aca="false">IF(A53="","",IF(LEN(UPPER(SUBSTITUTE(SUBSTITUTE(SUBSTITUTE(SUBSTITUTE(TRIM(A53),".",""),"/",""),"-","")," ","")))&lt;14,RIGHT(REPT("0",14)&amp;UPPER(SUBSTITUTE(SUBSTITUTE(SUBSTITUTE(SUBSTITUTE(TRIM(A53),".",""),"/",""),"-","")," ","")),14),UPPER(SUBSTITUTE(SUBSTITUTE(SUBSTITUTE(SUBSTITUTE(TRIM(A53),".",""),"/",""),"-","")," ",""))))</f>
        <v/>
      </c>
      <c r="C53" s="11"/>
      <c r="D53" s="23"/>
      <c r="E53" s="22"/>
      <c r="F53" s="23"/>
      <c r="G53" s="11"/>
      <c r="H53" s="35"/>
      <c r="I53" s="11"/>
      <c r="J53" s="23"/>
      <c r="K53" s="27" t="str">
        <f aca="false">IF(B53="","",COUNTIF(Contratos!$D:$D,B53))</f>
        <v/>
      </c>
      <c r="L53" s="36" t="str">
        <f aca="false">IF(B53="","",SUMIFS(Contratos!$K:$K,Contratos!$D:$D,B53))</f>
        <v/>
      </c>
      <c r="M53" s="36" t="str">
        <f aca="false">IF(B53="","",SUMIFS(Pagamentos!$G:$G,Pagamentos!$D:$D,B53,Pagamentos!$F:$F,"Empenho"))</f>
        <v/>
      </c>
      <c r="N53" s="36" t="str">
        <f aca="false">IF(B53="","",SUMIFS(Pagamentos!$G:$G,Pagamentos!$D:$D,B53,Pagamentos!$F:$F,"Pagamento"))</f>
        <v/>
      </c>
      <c r="O53" s="37" t="str">
        <f aca="false">IF(OR(B53="",H53="",L53="",L53=0),"",H53/L53)</f>
        <v/>
      </c>
      <c r="P53" s="27" t="str">
        <f aca="false">IF(B53="","",COUNTIF(Sancoes!$C:$C,B53))</f>
        <v/>
      </c>
      <c r="Q53" s="27" t="str">
        <f aca="false">IF(B53="","",COUNTIF(Socios!$B:$B,B53))</f>
        <v/>
      </c>
      <c r="R53" s="27" t="str">
        <f aca="false">IF(B53="","",COUNTIFS(Socios!$B:$B,B53,Socios!$L:$L,"SIM"))</f>
        <v/>
      </c>
      <c r="S53" s="24"/>
      <c r="T53" s="11"/>
    </row>
    <row r="54" customFormat="false" ht="15" hidden="false" customHeight="false" outlineLevel="0" collapsed="false">
      <c r="A54" s="24"/>
      <c r="B54" s="31" t="str">
        <f aca="false">IF(A54="","",IF(LEN(UPPER(SUBSTITUTE(SUBSTITUTE(SUBSTITUTE(SUBSTITUTE(TRIM(A54),".",""),"/",""),"-","")," ","")))&lt;14,RIGHT(REPT("0",14)&amp;UPPER(SUBSTITUTE(SUBSTITUTE(SUBSTITUTE(SUBSTITUTE(TRIM(A54),".",""),"/",""),"-","")," ","")),14),UPPER(SUBSTITUTE(SUBSTITUTE(SUBSTITUTE(SUBSTITUTE(TRIM(A54),".",""),"/",""),"-","")," ",""))))</f>
        <v/>
      </c>
      <c r="C54" s="11"/>
      <c r="D54" s="23"/>
      <c r="E54" s="22"/>
      <c r="F54" s="23"/>
      <c r="G54" s="11"/>
      <c r="H54" s="35"/>
      <c r="I54" s="11"/>
      <c r="J54" s="23"/>
      <c r="K54" s="27" t="str">
        <f aca="false">IF(B54="","",COUNTIF(Contratos!$D:$D,B54))</f>
        <v/>
      </c>
      <c r="L54" s="36" t="str">
        <f aca="false">IF(B54="","",SUMIFS(Contratos!$K:$K,Contratos!$D:$D,B54))</f>
        <v/>
      </c>
      <c r="M54" s="36" t="str">
        <f aca="false">IF(B54="","",SUMIFS(Pagamentos!$G:$G,Pagamentos!$D:$D,B54,Pagamentos!$F:$F,"Empenho"))</f>
        <v/>
      </c>
      <c r="N54" s="36" t="str">
        <f aca="false">IF(B54="","",SUMIFS(Pagamentos!$G:$G,Pagamentos!$D:$D,B54,Pagamentos!$F:$F,"Pagamento"))</f>
        <v/>
      </c>
      <c r="O54" s="37" t="str">
        <f aca="false">IF(OR(B54="",H54="",L54="",L54=0),"",H54/L54)</f>
        <v/>
      </c>
      <c r="P54" s="27" t="str">
        <f aca="false">IF(B54="","",COUNTIF(Sancoes!$C:$C,B54))</f>
        <v/>
      </c>
      <c r="Q54" s="27" t="str">
        <f aca="false">IF(B54="","",COUNTIF(Socios!$B:$B,B54))</f>
        <v/>
      </c>
      <c r="R54" s="27" t="str">
        <f aca="false">IF(B54="","",COUNTIFS(Socios!$B:$B,B54,Socios!$L:$L,"SIM"))</f>
        <v/>
      </c>
      <c r="S54" s="24"/>
      <c r="T54" s="11"/>
    </row>
    <row r="55" customFormat="false" ht="15" hidden="false" customHeight="false" outlineLevel="0" collapsed="false">
      <c r="A55" s="24"/>
      <c r="B55" s="31" t="str">
        <f aca="false">IF(A55="","",IF(LEN(UPPER(SUBSTITUTE(SUBSTITUTE(SUBSTITUTE(SUBSTITUTE(TRIM(A55),".",""),"/",""),"-","")," ","")))&lt;14,RIGHT(REPT("0",14)&amp;UPPER(SUBSTITUTE(SUBSTITUTE(SUBSTITUTE(SUBSTITUTE(TRIM(A55),".",""),"/",""),"-","")," ","")),14),UPPER(SUBSTITUTE(SUBSTITUTE(SUBSTITUTE(SUBSTITUTE(TRIM(A55),".",""),"/",""),"-","")," ",""))))</f>
        <v/>
      </c>
      <c r="C55" s="11"/>
      <c r="D55" s="23"/>
      <c r="E55" s="22"/>
      <c r="F55" s="23"/>
      <c r="G55" s="11"/>
      <c r="H55" s="35"/>
      <c r="I55" s="11"/>
      <c r="J55" s="23"/>
      <c r="K55" s="27" t="str">
        <f aca="false">IF(B55="","",COUNTIF(Contratos!$D:$D,B55))</f>
        <v/>
      </c>
      <c r="L55" s="36" t="str">
        <f aca="false">IF(B55="","",SUMIFS(Contratos!$K:$K,Contratos!$D:$D,B55))</f>
        <v/>
      </c>
      <c r="M55" s="36" t="str">
        <f aca="false">IF(B55="","",SUMIFS(Pagamentos!$G:$G,Pagamentos!$D:$D,B55,Pagamentos!$F:$F,"Empenho"))</f>
        <v/>
      </c>
      <c r="N55" s="36" t="str">
        <f aca="false">IF(B55="","",SUMIFS(Pagamentos!$G:$G,Pagamentos!$D:$D,B55,Pagamentos!$F:$F,"Pagamento"))</f>
        <v/>
      </c>
      <c r="O55" s="37" t="str">
        <f aca="false">IF(OR(B55="",H55="",L55="",L55=0),"",H55/L55)</f>
        <v/>
      </c>
      <c r="P55" s="27" t="str">
        <f aca="false">IF(B55="","",COUNTIF(Sancoes!$C:$C,B55))</f>
        <v/>
      </c>
      <c r="Q55" s="27" t="str">
        <f aca="false">IF(B55="","",COUNTIF(Socios!$B:$B,B55))</f>
        <v/>
      </c>
      <c r="R55" s="27" t="str">
        <f aca="false">IF(B55="","",COUNTIFS(Socios!$B:$B,B55,Socios!$L:$L,"SIM"))</f>
        <v/>
      </c>
      <c r="S55" s="24"/>
      <c r="T55" s="11"/>
    </row>
    <row r="56" customFormat="false" ht="15" hidden="false" customHeight="false" outlineLevel="0" collapsed="false">
      <c r="A56" s="24"/>
      <c r="B56" s="31" t="str">
        <f aca="false">IF(A56="","",IF(LEN(UPPER(SUBSTITUTE(SUBSTITUTE(SUBSTITUTE(SUBSTITUTE(TRIM(A56),".",""),"/",""),"-","")," ","")))&lt;14,RIGHT(REPT("0",14)&amp;UPPER(SUBSTITUTE(SUBSTITUTE(SUBSTITUTE(SUBSTITUTE(TRIM(A56),".",""),"/",""),"-","")," ","")),14),UPPER(SUBSTITUTE(SUBSTITUTE(SUBSTITUTE(SUBSTITUTE(TRIM(A56),".",""),"/",""),"-","")," ",""))))</f>
        <v/>
      </c>
      <c r="C56" s="11"/>
      <c r="D56" s="23"/>
      <c r="E56" s="22"/>
      <c r="F56" s="23"/>
      <c r="G56" s="11"/>
      <c r="H56" s="35"/>
      <c r="I56" s="11"/>
      <c r="J56" s="23"/>
      <c r="K56" s="27" t="str">
        <f aca="false">IF(B56="","",COUNTIF(Contratos!$D:$D,B56))</f>
        <v/>
      </c>
      <c r="L56" s="36" t="str">
        <f aca="false">IF(B56="","",SUMIFS(Contratos!$K:$K,Contratos!$D:$D,B56))</f>
        <v/>
      </c>
      <c r="M56" s="36" t="str">
        <f aca="false">IF(B56="","",SUMIFS(Pagamentos!$G:$G,Pagamentos!$D:$D,B56,Pagamentos!$F:$F,"Empenho"))</f>
        <v/>
      </c>
      <c r="N56" s="36" t="str">
        <f aca="false">IF(B56="","",SUMIFS(Pagamentos!$G:$G,Pagamentos!$D:$D,B56,Pagamentos!$F:$F,"Pagamento"))</f>
        <v/>
      </c>
      <c r="O56" s="37" t="str">
        <f aca="false">IF(OR(B56="",H56="",L56="",L56=0),"",H56/L56)</f>
        <v/>
      </c>
      <c r="P56" s="27" t="str">
        <f aca="false">IF(B56="","",COUNTIF(Sancoes!$C:$C,B56))</f>
        <v/>
      </c>
      <c r="Q56" s="27" t="str">
        <f aca="false">IF(B56="","",COUNTIF(Socios!$B:$B,B56))</f>
        <v/>
      </c>
      <c r="R56" s="27" t="str">
        <f aca="false">IF(B56="","",COUNTIFS(Socios!$B:$B,B56,Socios!$L:$L,"SIM"))</f>
        <v/>
      </c>
      <c r="S56" s="24"/>
      <c r="T56" s="11"/>
    </row>
    <row r="57" customFormat="false" ht="15" hidden="false" customHeight="false" outlineLevel="0" collapsed="false">
      <c r="A57" s="24"/>
      <c r="B57" s="31" t="str">
        <f aca="false">IF(A57="","",IF(LEN(UPPER(SUBSTITUTE(SUBSTITUTE(SUBSTITUTE(SUBSTITUTE(TRIM(A57),".",""),"/",""),"-","")," ","")))&lt;14,RIGHT(REPT("0",14)&amp;UPPER(SUBSTITUTE(SUBSTITUTE(SUBSTITUTE(SUBSTITUTE(TRIM(A57),".",""),"/",""),"-","")," ","")),14),UPPER(SUBSTITUTE(SUBSTITUTE(SUBSTITUTE(SUBSTITUTE(TRIM(A57),".",""),"/",""),"-","")," ",""))))</f>
        <v/>
      </c>
      <c r="C57" s="11"/>
      <c r="D57" s="23"/>
      <c r="E57" s="22"/>
      <c r="F57" s="23"/>
      <c r="G57" s="11"/>
      <c r="H57" s="35"/>
      <c r="I57" s="11"/>
      <c r="J57" s="23"/>
      <c r="K57" s="27" t="str">
        <f aca="false">IF(B57="","",COUNTIF(Contratos!$D:$D,B57))</f>
        <v/>
      </c>
      <c r="L57" s="36" t="str">
        <f aca="false">IF(B57="","",SUMIFS(Contratos!$K:$K,Contratos!$D:$D,B57))</f>
        <v/>
      </c>
      <c r="M57" s="36" t="str">
        <f aca="false">IF(B57="","",SUMIFS(Pagamentos!$G:$G,Pagamentos!$D:$D,B57,Pagamentos!$F:$F,"Empenho"))</f>
        <v/>
      </c>
      <c r="N57" s="36" t="str">
        <f aca="false">IF(B57="","",SUMIFS(Pagamentos!$G:$G,Pagamentos!$D:$D,B57,Pagamentos!$F:$F,"Pagamento"))</f>
        <v/>
      </c>
      <c r="O57" s="37" t="str">
        <f aca="false">IF(OR(B57="",H57="",L57="",L57=0),"",H57/L57)</f>
        <v/>
      </c>
      <c r="P57" s="27" t="str">
        <f aca="false">IF(B57="","",COUNTIF(Sancoes!$C:$C,B57))</f>
        <v/>
      </c>
      <c r="Q57" s="27" t="str">
        <f aca="false">IF(B57="","",COUNTIF(Socios!$B:$B,B57))</f>
        <v/>
      </c>
      <c r="R57" s="27" t="str">
        <f aca="false">IF(B57="","",COUNTIFS(Socios!$B:$B,B57,Socios!$L:$L,"SIM"))</f>
        <v/>
      </c>
      <c r="S57" s="24"/>
      <c r="T57" s="11"/>
    </row>
    <row r="58" customFormat="false" ht="15" hidden="false" customHeight="false" outlineLevel="0" collapsed="false">
      <c r="A58" s="24"/>
      <c r="B58" s="31" t="str">
        <f aca="false">IF(A58="","",IF(LEN(UPPER(SUBSTITUTE(SUBSTITUTE(SUBSTITUTE(SUBSTITUTE(TRIM(A58),".",""),"/",""),"-","")," ","")))&lt;14,RIGHT(REPT("0",14)&amp;UPPER(SUBSTITUTE(SUBSTITUTE(SUBSTITUTE(SUBSTITUTE(TRIM(A58),".",""),"/",""),"-","")," ","")),14),UPPER(SUBSTITUTE(SUBSTITUTE(SUBSTITUTE(SUBSTITUTE(TRIM(A58),".",""),"/",""),"-","")," ",""))))</f>
        <v/>
      </c>
      <c r="C58" s="11"/>
      <c r="D58" s="23"/>
      <c r="E58" s="22"/>
      <c r="F58" s="23"/>
      <c r="G58" s="11"/>
      <c r="H58" s="35"/>
      <c r="I58" s="11"/>
      <c r="J58" s="23"/>
      <c r="K58" s="27" t="str">
        <f aca="false">IF(B58="","",COUNTIF(Contratos!$D:$D,B58))</f>
        <v/>
      </c>
      <c r="L58" s="36" t="str">
        <f aca="false">IF(B58="","",SUMIFS(Contratos!$K:$K,Contratos!$D:$D,B58))</f>
        <v/>
      </c>
      <c r="M58" s="36" t="str">
        <f aca="false">IF(B58="","",SUMIFS(Pagamentos!$G:$G,Pagamentos!$D:$D,B58,Pagamentos!$F:$F,"Empenho"))</f>
        <v/>
      </c>
      <c r="N58" s="36" t="str">
        <f aca="false">IF(B58="","",SUMIFS(Pagamentos!$G:$G,Pagamentos!$D:$D,B58,Pagamentos!$F:$F,"Pagamento"))</f>
        <v/>
      </c>
      <c r="O58" s="37" t="str">
        <f aca="false">IF(OR(B58="",H58="",L58="",L58=0),"",H58/L58)</f>
        <v/>
      </c>
      <c r="P58" s="27" t="str">
        <f aca="false">IF(B58="","",COUNTIF(Sancoes!$C:$C,B58))</f>
        <v/>
      </c>
      <c r="Q58" s="27" t="str">
        <f aca="false">IF(B58="","",COUNTIF(Socios!$B:$B,B58))</f>
        <v/>
      </c>
      <c r="R58" s="27" t="str">
        <f aca="false">IF(B58="","",COUNTIFS(Socios!$B:$B,B58,Socios!$L:$L,"SIM"))</f>
        <v/>
      </c>
      <c r="S58" s="24"/>
      <c r="T58" s="11"/>
    </row>
    <row r="59" customFormat="false" ht="15" hidden="false" customHeight="false" outlineLevel="0" collapsed="false">
      <c r="A59" s="24"/>
      <c r="B59" s="31" t="str">
        <f aca="false">IF(A59="","",IF(LEN(UPPER(SUBSTITUTE(SUBSTITUTE(SUBSTITUTE(SUBSTITUTE(TRIM(A59),".",""),"/",""),"-","")," ","")))&lt;14,RIGHT(REPT("0",14)&amp;UPPER(SUBSTITUTE(SUBSTITUTE(SUBSTITUTE(SUBSTITUTE(TRIM(A59),".",""),"/",""),"-","")," ","")),14),UPPER(SUBSTITUTE(SUBSTITUTE(SUBSTITUTE(SUBSTITUTE(TRIM(A59),".",""),"/",""),"-","")," ",""))))</f>
        <v/>
      </c>
      <c r="C59" s="11"/>
      <c r="D59" s="23"/>
      <c r="E59" s="22"/>
      <c r="F59" s="23"/>
      <c r="G59" s="11"/>
      <c r="H59" s="35"/>
      <c r="I59" s="11"/>
      <c r="J59" s="23"/>
      <c r="K59" s="27" t="str">
        <f aca="false">IF(B59="","",COUNTIF(Contratos!$D:$D,B59))</f>
        <v/>
      </c>
      <c r="L59" s="36" t="str">
        <f aca="false">IF(B59="","",SUMIFS(Contratos!$K:$K,Contratos!$D:$D,B59))</f>
        <v/>
      </c>
      <c r="M59" s="36" t="str">
        <f aca="false">IF(B59="","",SUMIFS(Pagamentos!$G:$G,Pagamentos!$D:$D,B59,Pagamentos!$F:$F,"Empenho"))</f>
        <v/>
      </c>
      <c r="N59" s="36" t="str">
        <f aca="false">IF(B59="","",SUMIFS(Pagamentos!$G:$G,Pagamentos!$D:$D,B59,Pagamentos!$F:$F,"Pagamento"))</f>
        <v/>
      </c>
      <c r="O59" s="37" t="str">
        <f aca="false">IF(OR(B59="",H59="",L59="",L59=0),"",H59/L59)</f>
        <v/>
      </c>
      <c r="P59" s="27" t="str">
        <f aca="false">IF(B59="","",COUNTIF(Sancoes!$C:$C,B59))</f>
        <v/>
      </c>
      <c r="Q59" s="27" t="str">
        <f aca="false">IF(B59="","",COUNTIF(Socios!$B:$B,B59))</f>
        <v/>
      </c>
      <c r="R59" s="27" t="str">
        <f aca="false">IF(B59="","",COUNTIFS(Socios!$B:$B,B59,Socios!$L:$L,"SIM"))</f>
        <v/>
      </c>
      <c r="S59" s="24"/>
      <c r="T59" s="11"/>
    </row>
    <row r="60" customFormat="false" ht="15" hidden="false" customHeight="false" outlineLevel="0" collapsed="false">
      <c r="A60" s="24"/>
      <c r="B60" s="31" t="str">
        <f aca="false">IF(A60="","",IF(LEN(UPPER(SUBSTITUTE(SUBSTITUTE(SUBSTITUTE(SUBSTITUTE(TRIM(A60),".",""),"/",""),"-","")," ","")))&lt;14,RIGHT(REPT("0",14)&amp;UPPER(SUBSTITUTE(SUBSTITUTE(SUBSTITUTE(SUBSTITUTE(TRIM(A60),".",""),"/",""),"-","")," ","")),14),UPPER(SUBSTITUTE(SUBSTITUTE(SUBSTITUTE(SUBSTITUTE(TRIM(A60),".",""),"/",""),"-","")," ",""))))</f>
        <v/>
      </c>
      <c r="C60" s="11"/>
      <c r="D60" s="23"/>
      <c r="E60" s="22"/>
      <c r="F60" s="23"/>
      <c r="G60" s="11"/>
      <c r="H60" s="35"/>
      <c r="I60" s="11"/>
      <c r="J60" s="23"/>
      <c r="K60" s="27" t="str">
        <f aca="false">IF(B60="","",COUNTIF(Contratos!$D:$D,B60))</f>
        <v/>
      </c>
      <c r="L60" s="36" t="str">
        <f aca="false">IF(B60="","",SUMIFS(Contratos!$K:$K,Contratos!$D:$D,B60))</f>
        <v/>
      </c>
      <c r="M60" s="36" t="str">
        <f aca="false">IF(B60="","",SUMIFS(Pagamentos!$G:$G,Pagamentos!$D:$D,B60,Pagamentos!$F:$F,"Empenho"))</f>
        <v/>
      </c>
      <c r="N60" s="36" t="str">
        <f aca="false">IF(B60="","",SUMIFS(Pagamentos!$G:$G,Pagamentos!$D:$D,B60,Pagamentos!$F:$F,"Pagamento"))</f>
        <v/>
      </c>
      <c r="O60" s="37" t="str">
        <f aca="false">IF(OR(B60="",H60="",L60="",L60=0),"",H60/L60)</f>
        <v/>
      </c>
      <c r="P60" s="27" t="str">
        <f aca="false">IF(B60="","",COUNTIF(Sancoes!$C:$C,B60))</f>
        <v/>
      </c>
      <c r="Q60" s="27" t="str">
        <f aca="false">IF(B60="","",COUNTIF(Socios!$B:$B,B60))</f>
        <v/>
      </c>
      <c r="R60" s="27" t="str">
        <f aca="false">IF(B60="","",COUNTIFS(Socios!$B:$B,B60,Socios!$L:$L,"SIM"))</f>
        <v/>
      </c>
      <c r="S60" s="24"/>
      <c r="T60" s="11"/>
    </row>
    <row r="61" customFormat="false" ht="15" hidden="false" customHeight="false" outlineLevel="0" collapsed="false">
      <c r="A61" s="24"/>
      <c r="B61" s="31" t="str">
        <f aca="false">IF(A61="","",IF(LEN(UPPER(SUBSTITUTE(SUBSTITUTE(SUBSTITUTE(SUBSTITUTE(TRIM(A61),".",""),"/",""),"-","")," ","")))&lt;14,RIGHT(REPT("0",14)&amp;UPPER(SUBSTITUTE(SUBSTITUTE(SUBSTITUTE(SUBSTITUTE(TRIM(A61),".",""),"/",""),"-","")," ","")),14),UPPER(SUBSTITUTE(SUBSTITUTE(SUBSTITUTE(SUBSTITUTE(TRIM(A61),".",""),"/",""),"-","")," ",""))))</f>
        <v/>
      </c>
      <c r="C61" s="11"/>
      <c r="D61" s="23"/>
      <c r="E61" s="22"/>
      <c r="F61" s="23"/>
      <c r="G61" s="11"/>
      <c r="H61" s="35"/>
      <c r="I61" s="11"/>
      <c r="J61" s="23"/>
      <c r="K61" s="27" t="str">
        <f aca="false">IF(B61="","",COUNTIF(Contratos!$D:$D,B61))</f>
        <v/>
      </c>
      <c r="L61" s="36" t="str">
        <f aca="false">IF(B61="","",SUMIFS(Contratos!$K:$K,Contratos!$D:$D,B61))</f>
        <v/>
      </c>
      <c r="M61" s="36" t="str">
        <f aca="false">IF(B61="","",SUMIFS(Pagamentos!$G:$G,Pagamentos!$D:$D,B61,Pagamentos!$F:$F,"Empenho"))</f>
        <v/>
      </c>
      <c r="N61" s="36" t="str">
        <f aca="false">IF(B61="","",SUMIFS(Pagamentos!$G:$G,Pagamentos!$D:$D,B61,Pagamentos!$F:$F,"Pagamento"))</f>
        <v/>
      </c>
      <c r="O61" s="37" t="str">
        <f aca="false">IF(OR(B61="",H61="",L61="",L61=0),"",H61/L61)</f>
        <v/>
      </c>
      <c r="P61" s="27" t="str">
        <f aca="false">IF(B61="","",COUNTIF(Sancoes!$C:$C,B61))</f>
        <v/>
      </c>
      <c r="Q61" s="27" t="str">
        <f aca="false">IF(B61="","",COUNTIF(Socios!$B:$B,B61))</f>
        <v/>
      </c>
      <c r="R61" s="27" t="str">
        <f aca="false">IF(B61="","",COUNTIFS(Socios!$B:$B,B61,Socios!$L:$L,"SIM"))</f>
        <v/>
      </c>
      <c r="S61" s="24"/>
      <c r="T61" s="11"/>
    </row>
    <row r="62" customFormat="false" ht="15" hidden="false" customHeight="false" outlineLevel="0" collapsed="false">
      <c r="A62" s="24"/>
      <c r="B62" s="31" t="str">
        <f aca="false">IF(A62="","",IF(LEN(UPPER(SUBSTITUTE(SUBSTITUTE(SUBSTITUTE(SUBSTITUTE(TRIM(A62),".",""),"/",""),"-","")," ","")))&lt;14,RIGHT(REPT("0",14)&amp;UPPER(SUBSTITUTE(SUBSTITUTE(SUBSTITUTE(SUBSTITUTE(TRIM(A62),".",""),"/",""),"-","")," ","")),14),UPPER(SUBSTITUTE(SUBSTITUTE(SUBSTITUTE(SUBSTITUTE(TRIM(A62),".",""),"/",""),"-","")," ",""))))</f>
        <v/>
      </c>
      <c r="C62" s="11"/>
      <c r="D62" s="23"/>
      <c r="E62" s="22"/>
      <c r="F62" s="23"/>
      <c r="G62" s="11"/>
      <c r="H62" s="35"/>
      <c r="I62" s="11"/>
      <c r="J62" s="23"/>
      <c r="K62" s="27" t="str">
        <f aca="false">IF(B62="","",COUNTIF(Contratos!$D:$D,B62))</f>
        <v/>
      </c>
      <c r="L62" s="36" t="str">
        <f aca="false">IF(B62="","",SUMIFS(Contratos!$K:$K,Contratos!$D:$D,B62))</f>
        <v/>
      </c>
      <c r="M62" s="36" t="str">
        <f aca="false">IF(B62="","",SUMIFS(Pagamentos!$G:$G,Pagamentos!$D:$D,B62,Pagamentos!$F:$F,"Empenho"))</f>
        <v/>
      </c>
      <c r="N62" s="36" t="str">
        <f aca="false">IF(B62="","",SUMIFS(Pagamentos!$G:$G,Pagamentos!$D:$D,B62,Pagamentos!$F:$F,"Pagamento"))</f>
        <v/>
      </c>
      <c r="O62" s="37" t="str">
        <f aca="false">IF(OR(B62="",H62="",L62="",L62=0),"",H62/L62)</f>
        <v/>
      </c>
      <c r="P62" s="27" t="str">
        <f aca="false">IF(B62="","",COUNTIF(Sancoes!$C:$C,B62))</f>
        <v/>
      </c>
      <c r="Q62" s="27" t="str">
        <f aca="false">IF(B62="","",COUNTIF(Socios!$B:$B,B62))</f>
        <v/>
      </c>
      <c r="R62" s="27" t="str">
        <f aca="false">IF(B62="","",COUNTIFS(Socios!$B:$B,B62,Socios!$L:$L,"SIM"))</f>
        <v/>
      </c>
      <c r="S62" s="24"/>
      <c r="T62" s="11"/>
    </row>
    <row r="63" customFormat="false" ht="15" hidden="false" customHeight="false" outlineLevel="0" collapsed="false">
      <c r="A63" s="24"/>
      <c r="B63" s="31" t="str">
        <f aca="false">IF(A63="","",IF(LEN(UPPER(SUBSTITUTE(SUBSTITUTE(SUBSTITUTE(SUBSTITUTE(TRIM(A63),".",""),"/",""),"-","")," ","")))&lt;14,RIGHT(REPT("0",14)&amp;UPPER(SUBSTITUTE(SUBSTITUTE(SUBSTITUTE(SUBSTITUTE(TRIM(A63),".",""),"/",""),"-","")," ","")),14),UPPER(SUBSTITUTE(SUBSTITUTE(SUBSTITUTE(SUBSTITUTE(TRIM(A63),".",""),"/",""),"-","")," ",""))))</f>
        <v/>
      </c>
      <c r="C63" s="11"/>
      <c r="D63" s="23"/>
      <c r="E63" s="22"/>
      <c r="F63" s="23"/>
      <c r="G63" s="11"/>
      <c r="H63" s="35"/>
      <c r="I63" s="11"/>
      <c r="J63" s="23"/>
      <c r="K63" s="27" t="str">
        <f aca="false">IF(B63="","",COUNTIF(Contratos!$D:$D,B63))</f>
        <v/>
      </c>
      <c r="L63" s="36" t="str">
        <f aca="false">IF(B63="","",SUMIFS(Contratos!$K:$K,Contratos!$D:$D,B63))</f>
        <v/>
      </c>
      <c r="M63" s="36" t="str">
        <f aca="false">IF(B63="","",SUMIFS(Pagamentos!$G:$G,Pagamentos!$D:$D,B63,Pagamentos!$F:$F,"Empenho"))</f>
        <v/>
      </c>
      <c r="N63" s="36" t="str">
        <f aca="false">IF(B63="","",SUMIFS(Pagamentos!$G:$G,Pagamentos!$D:$D,B63,Pagamentos!$F:$F,"Pagamento"))</f>
        <v/>
      </c>
      <c r="O63" s="37" t="str">
        <f aca="false">IF(OR(B63="",H63="",L63="",L63=0),"",H63/L63)</f>
        <v/>
      </c>
      <c r="P63" s="27" t="str">
        <f aca="false">IF(B63="","",COUNTIF(Sancoes!$C:$C,B63))</f>
        <v/>
      </c>
      <c r="Q63" s="27" t="str">
        <f aca="false">IF(B63="","",COUNTIF(Socios!$B:$B,B63))</f>
        <v/>
      </c>
      <c r="R63" s="27" t="str">
        <f aca="false">IF(B63="","",COUNTIFS(Socios!$B:$B,B63,Socios!$L:$L,"SIM"))</f>
        <v/>
      </c>
      <c r="S63" s="24"/>
      <c r="T63" s="11"/>
    </row>
    <row r="64" customFormat="false" ht="15" hidden="false" customHeight="false" outlineLevel="0" collapsed="false">
      <c r="A64" s="24"/>
      <c r="B64" s="31" t="str">
        <f aca="false">IF(A64="","",IF(LEN(UPPER(SUBSTITUTE(SUBSTITUTE(SUBSTITUTE(SUBSTITUTE(TRIM(A64),".",""),"/",""),"-","")," ","")))&lt;14,RIGHT(REPT("0",14)&amp;UPPER(SUBSTITUTE(SUBSTITUTE(SUBSTITUTE(SUBSTITUTE(TRIM(A64),".",""),"/",""),"-","")," ","")),14),UPPER(SUBSTITUTE(SUBSTITUTE(SUBSTITUTE(SUBSTITUTE(TRIM(A64),".",""),"/",""),"-","")," ",""))))</f>
        <v/>
      </c>
      <c r="C64" s="11"/>
      <c r="D64" s="23"/>
      <c r="E64" s="22"/>
      <c r="F64" s="23"/>
      <c r="G64" s="11"/>
      <c r="H64" s="35"/>
      <c r="I64" s="11"/>
      <c r="J64" s="23"/>
      <c r="K64" s="27" t="str">
        <f aca="false">IF(B64="","",COUNTIF(Contratos!$D:$D,B64))</f>
        <v/>
      </c>
      <c r="L64" s="36" t="str">
        <f aca="false">IF(B64="","",SUMIFS(Contratos!$K:$K,Contratos!$D:$D,B64))</f>
        <v/>
      </c>
      <c r="M64" s="36" t="str">
        <f aca="false">IF(B64="","",SUMIFS(Pagamentos!$G:$G,Pagamentos!$D:$D,B64,Pagamentos!$F:$F,"Empenho"))</f>
        <v/>
      </c>
      <c r="N64" s="36" t="str">
        <f aca="false">IF(B64="","",SUMIFS(Pagamentos!$G:$G,Pagamentos!$D:$D,B64,Pagamentos!$F:$F,"Pagamento"))</f>
        <v/>
      </c>
      <c r="O64" s="37" t="str">
        <f aca="false">IF(OR(B64="",H64="",L64="",L64=0),"",H64/L64)</f>
        <v/>
      </c>
      <c r="P64" s="27" t="str">
        <f aca="false">IF(B64="","",COUNTIF(Sancoes!$C:$C,B64))</f>
        <v/>
      </c>
      <c r="Q64" s="27" t="str">
        <f aca="false">IF(B64="","",COUNTIF(Socios!$B:$B,B64))</f>
        <v/>
      </c>
      <c r="R64" s="27" t="str">
        <f aca="false">IF(B64="","",COUNTIFS(Socios!$B:$B,B64,Socios!$L:$L,"SIM"))</f>
        <v/>
      </c>
      <c r="S64" s="24"/>
      <c r="T64" s="11"/>
    </row>
    <row r="65" customFormat="false" ht="15" hidden="false" customHeight="false" outlineLevel="0" collapsed="false">
      <c r="A65" s="24"/>
      <c r="B65" s="31" t="str">
        <f aca="false">IF(A65="","",IF(LEN(UPPER(SUBSTITUTE(SUBSTITUTE(SUBSTITUTE(SUBSTITUTE(TRIM(A65),".",""),"/",""),"-","")," ","")))&lt;14,RIGHT(REPT("0",14)&amp;UPPER(SUBSTITUTE(SUBSTITUTE(SUBSTITUTE(SUBSTITUTE(TRIM(A65),".",""),"/",""),"-","")," ","")),14),UPPER(SUBSTITUTE(SUBSTITUTE(SUBSTITUTE(SUBSTITUTE(TRIM(A65),".",""),"/",""),"-","")," ",""))))</f>
        <v/>
      </c>
      <c r="C65" s="11"/>
      <c r="D65" s="23"/>
      <c r="E65" s="22"/>
      <c r="F65" s="23"/>
      <c r="G65" s="11"/>
      <c r="H65" s="35"/>
      <c r="I65" s="11"/>
      <c r="J65" s="23"/>
      <c r="K65" s="27" t="str">
        <f aca="false">IF(B65="","",COUNTIF(Contratos!$D:$D,B65))</f>
        <v/>
      </c>
      <c r="L65" s="36" t="str">
        <f aca="false">IF(B65="","",SUMIFS(Contratos!$K:$K,Contratos!$D:$D,B65))</f>
        <v/>
      </c>
      <c r="M65" s="36" t="str">
        <f aca="false">IF(B65="","",SUMIFS(Pagamentos!$G:$G,Pagamentos!$D:$D,B65,Pagamentos!$F:$F,"Empenho"))</f>
        <v/>
      </c>
      <c r="N65" s="36" t="str">
        <f aca="false">IF(B65="","",SUMIFS(Pagamentos!$G:$G,Pagamentos!$D:$D,B65,Pagamentos!$F:$F,"Pagamento"))</f>
        <v/>
      </c>
      <c r="O65" s="37" t="str">
        <f aca="false">IF(OR(B65="",H65="",L65="",L65=0),"",H65/L65)</f>
        <v/>
      </c>
      <c r="P65" s="27" t="str">
        <f aca="false">IF(B65="","",COUNTIF(Sancoes!$C:$C,B65))</f>
        <v/>
      </c>
      <c r="Q65" s="27" t="str">
        <f aca="false">IF(B65="","",COUNTIF(Socios!$B:$B,B65))</f>
        <v/>
      </c>
      <c r="R65" s="27" t="str">
        <f aca="false">IF(B65="","",COUNTIFS(Socios!$B:$B,B65,Socios!$L:$L,"SIM"))</f>
        <v/>
      </c>
      <c r="S65" s="24"/>
      <c r="T65" s="11"/>
    </row>
    <row r="66" customFormat="false" ht="15" hidden="false" customHeight="false" outlineLevel="0" collapsed="false">
      <c r="A66" s="24"/>
      <c r="B66" s="31" t="str">
        <f aca="false">IF(A66="","",IF(LEN(UPPER(SUBSTITUTE(SUBSTITUTE(SUBSTITUTE(SUBSTITUTE(TRIM(A66),".",""),"/",""),"-","")," ","")))&lt;14,RIGHT(REPT("0",14)&amp;UPPER(SUBSTITUTE(SUBSTITUTE(SUBSTITUTE(SUBSTITUTE(TRIM(A66),".",""),"/",""),"-","")," ","")),14),UPPER(SUBSTITUTE(SUBSTITUTE(SUBSTITUTE(SUBSTITUTE(TRIM(A66),".",""),"/",""),"-","")," ",""))))</f>
        <v/>
      </c>
      <c r="C66" s="11"/>
      <c r="D66" s="23"/>
      <c r="E66" s="22"/>
      <c r="F66" s="23"/>
      <c r="G66" s="11"/>
      <c r="H66" s="35"/>
      <c r="I66" s="11"/>
      <c r="J66" s="23"/>
      <c r="K66" s="27" t="str">
        <f aca="false">IF(B66="","",COUNTIF(Contratos!$D:$D,B66))</f>
        <v/>
      </c>
      <c r="L66" s="36" t="str">
        <f aca="false">IF(B66="","",SUMIFS(Contratos!$K:$K,Contratos!$D:$D,B66))</f>
        <v/>
      </c>
      <c r="M66" s="36" t="str">
        <f aca="false">IF(B66="","",SUMIFS(Pagamentos!$G:$G,Pagamentos!$D:$D,B66,Pagamentos!$F:$F,"Empenho"))</f>
        <v/>
      </c>
      <c r="N66" s="36" t="str">
        <f aca="false">IF(B66="","",SUMIFS(Pagamentos!$G:$G,Pagamentos!$D:$D,B66,Pagamentos!$F:$F,"Pagamento"))</f>
        <v/>
      </c>
      <c r="O66" s="37" t="str">
        <f aca="false">IF(OR(B66="",H66="",L66="",L66=0),"",H66/L66)</f>
        <v/>
      </c>
      <c r="P66" s="27" t="str">
        <f aca="false">IF(B66="","",COUNTIF(Sancoes!$C:$C,B66))</f>
        <v/>
      </c>
      <c r="Q66" s="27" t="str">
        <f aca="false">IF(B66="","",COUNTIF(Socios!$B:$B,B66))</f>
        <v/>
      </c>
      <c r="R66" s="27" t="str">
        <f aca="false">IF(B66="","",COUNTIFS(Socios!$B:$B,B66,Socios!$L:$L,"SIM"))</f>
        <v/>
      </c>
      <c r="S66" s="24"/>
      <c r="T66" s="11"/>
    </row>
    <row r="67" customFormat="false" ht="15" hidden="false" customHeight="false" outlineLevel="0" collapsed="false">
      <c r="A67" s="24"/>
      <c r="B67" s="31" t="str">
        <f aca="false">IF(A67="","",IF(LEN(UPPER(SUBSTITUTE(SUBSTITUTE(SUBSTITUTE(SUBSTITUTE(TRIM(A67),".",""),"/",""),"-","")," ","")))&lt;14,RIGHT(REPT("0",14)&amp;UPPER(SUBSTITUTE(SUBSTITUTE(SUBSTITUTE(SUBSTITUTE(TRIM(A67),".",""),"/",""),"-","")," ","")),14),UPPER(SUBSTITUTE(SUBSTITUTE(SUBSTITUTE(SUBSTITUTE(TRIM(A67),".",""),"/",""),"-","")," ",""))))</f>
        <v/>
      </c>
      <c r="C67" s="11"/>
      <c r="D67" s="23"/>
      <c r="E67" s="22"/>
      <c r="F67" s="23"/>
      <c r="G67" s="11"/>
      <c r="H67" s="35"/>
      <c r="I67" s="11"/>
      <c r="J67" s="23"/>
      <c r="K67" s="27" t="str">
        <f aca="false">IF(B67="","",COUNTIF(Contratos!$D:$D,B67))</f>
        <v/>
      </c>
      <c r="L67" s="36" t="str">
        <f aca="false">IF(B67="","",SUMIFS(Contratos!$K:$K,Contratos!$D:$D,B67))</f>
        <v/>
      </c>
      <c r="M67" s="36" t="str">
        <f aca="false">IF(B67="","",SUMIFS(Pagamentos!$G:$G,Pagamentos!$D:$D,B67,Pagamentos!$F:$F,"Empenho"))</f>
        <v/>
      </c>
      <c r="N67" s="36" t="str">
        <f aca="false">IF(B67="","",SUMIFS(Pagamentos!$G:$G,Pagamentos!$D:$D,B67,Pagamentos!$F:$F,"Pagamento"))</f>
        <v/>
      </c>
      <c r="O67" s="37" t="str">
        <f aca="false">IF(OR(B67="",H67="",L67="",L67=0),"",H67/L67)</f>
        <v/>
      </c>
      <c r="P67" s="27" t="str">
        <f aca="false">IF(B67="","",COUNTIF(Sancoes!$C:$C,B67))</f>
        <v/>
      </c>
      <c r="Q67" s="27" t="str">
        <f aca="false">IF(B67="","",COUNTIF(Socios!$B:$B,B67))</f>
        <v/>
      </c>
      <c r="R67" s="27" t="str">
        <f aca="false">IF(B67="","",COUNTIFS(Socios!$B:$B,B67,Socios!$L:$L,"SIM"))</f>
        <v/>
      </c>
      <c r="S67" s="24"/>
      <c r="T67" s="11"/>
    </row>
    <row r="68" customFormat="false" ht="15" hidden="false" customHeight="false" outlineLevel="0" collapsed="false">
      <c r="A68" s="24"/>
      <c r="B68" s="31" t="str">
        <f aca="false">IF(A68="","",IF(LEN(UPPER(SUBSTITUTE(SUBSTITUTE(SUBSTITUTE(SUBSTITUTE(TRIM(A68),".",""),"/",""),"-","")," ","")))&lt;14,RIGHT(REPT("0",14)&amp;UPPER(SUBSTITUTE(SUBSTITUTE(SUBSTITUTE(SUBSTITUTE(TRIM(A68),".",""),"/",""),"-","")," ","")),14),UPPER(SUBSTITUTE(SUBSTITUTE(SUBSTITUTE(SUBSTITUTE(TRIM(A68),".",""),"/",""),"-","")," ",""))))</f>
        <v/>
      </c>
      <c r="C68" s="11"/>
      <c r="D68" s="23"/>
      <c r="E68" s="22"/>
      <c r="F68" s="23"/>
      <c r="G68" s="11"/>
      <c r="H68" s="35"/>
      <c r="I68" s="11"/>
      <c r="J68" s="23"/>
      <c r="K68" s="27" t="str">
        <f aca="false">IF(B68="","",COUNTIF(Contratos!$D:$D,B68))</f>
        <v/>
      </c>
      <c r="L68" s="36" t="str">
        <f aca="false">IF(B68="","",SUMIFS(Contratos!$K:$K,Contratos!$D:$D,B68))</f>
        <v/>
      </c>
      <c r="M68" s="36" t="str">
        <f aca="false">IF(B68="","",SUMIFS(Pagamentos!$G:$G,Pagamentos!$D:$D,B68,Pagamentos!$F:$F,"Empenho"))</f>
        <v/>
      </c>
      <c r="N68" s="36" t="str">
        <f aca="false">IF(B68="","",SUMIFS(Pagamentos!$G:$G,Pagamentos!$D:$D,B68,Pagamentos!$F:$F,"Pagamento"))</f>
        <v/>
      </c>
      <c r="O68" s="37" t="str">
        <f aca="false">IF(OR(B68="",H68="",L68="",L68=0),"",H68/L68)</f>
        <v/>
      </c>
      <c r="P68" s="27" t="str">
        <f aca="false">IF(B68="","",COUNTIF(Sancoes!$C:$C,B68))</f>
        <v/>
      </c>
      <c r="Q68" s="27" t="str">
        <f aca="false">IF(B68="","",COUNTIF(Socios!$B:$B,B68))</f>
        <v/>
      </c>
      <c r="R68" s="27" t="str">
        <f aca="false">IF(B68="","",COUNTIFS(Socios!$B:$B,B68,Socios!$L:$L,"SIM"))</f>
        <v/>
      </c>
      <c r="S68" s="24"/>
      <c r="T68" s="11"/>
    </row>
    <row r="69" customFormat="false" ht="15" hidden="false" customHeight="false" outlineLevel="0" collapsed="false">
      <c r="A69" s="24"/>
      <c r="B69" s="31" t="str">
        <f aca="false">IF(A69="","",IF(LEN(UPPER(SUBSTITUTE(SUBSTITUTE(SUBSTITUTE(SUBSTITUTE(TRIM(A69),".",""),"/",""),"-","")," ","")))&lt;14,RIGHT(REPT("0",14)&amp;UPPER(SUBSTITUTE(SUBSTITUTE(SUBSTITUTE(SUBSTITUTE(TRIM(A69),".",""),"/",""),"-","")," ","")),14),UPPER(SUBSTITUTE(SUBSTITUTE(SUBSTITUTE(SUBSTITUTE(TRIM(A69),".",""),"/",""),"-","")," ",""))))</f>
        <v/>
      </c>
      <c r="C69" s="11"/>
      <c r="D69" s="23"/>
      <c r="E69" s="22"/>
      <c r="F69" s="23"/>
      <c r="G69" s="11"/>
      <c r="H69" s="35"/>
      <c r="I69" s="11"/>
      <c r="J69" s="23"/>
      <c r="K69" s="27" t="str">
        <f aca="false">IF(B69="","",COUNTIF(Contratos!$D:$D,B69))</f>
        <v/>
      </c>
      <c r="L69" s="36" t="str">
        <f aca="false">IF(B69="","",SUMIFS(Contratos!$K:$K,Contratos!$D:$D,B69))</f>
        <v/>
      </c>
      <c r="M69" s="36" t="str">
        <f aca="false">IF(B69="","",SUMIFS(Pagamentos!$G:$G,Pagamentos!$D:$D,B69,Pagamentos!$F:$F,"Empenho"))</f>
        <v/>
      </c>
      <c r="N69" s="36" t="str">
        <f aca="false">IF(B69="","",SUMIFS(Pagamentos!$G:$G,Pagamentos!$D:$D,B69,Pagamentos!$F:$F,"Pagamento"))</f>
        <v/>
      </c>
      <c r="O69" s="37" t="str">
        <f aca="false">IF(OR(B69="",H69="",L69="",L69=0),"",H69/L69)</f>
        <v/>
      </c>
      <c r="P69" s="27" t="str">
        <f aca="false">IF(B69="","",COUNTIF(Sancoes!$C:$C,B69))</f>
        <v/>
      </c>
      <c r="Q69" s="27" t="str">
        <f aca="false">IF(B69="","",COUNTIF(Socios!$B:$B,B69))</f>
        <v/>
      </c>
      <c r="R69" s="27" t="str">
        <f aca="false">IF(B69="","",COUNTIFS(Socios!$B:$B,B69,Socios!$L:$L,"SIM"))</f>
        <v/>
      </c>
      <c r="S69" s="24"/>
      <c r="T69" s="11"/>
    </row>
    <row r="70" customFormat="false" ht="15" hidden="false" customHeight="false" outlineLevel="0" collapsed="false">
      <c r="A70" s="24"/>
      <c r="B70" s="31" t="str">
        <f aca="false">IF(A70="","",IF(LEN(UPPER(SUBSTITUTE(SUBSTITUTE(SUBSTITUTE(SUBSTITUTE(TRIM(A70),".",""),"/",""),"-","")," ","")))&lt;14,RIGHT(REPT("0",14)&amp;UPPER(SUBSTITUTE(SUBSTITUTE(SUBSTITUTE(SUBSTITUTE(TRIM(A70),".",""),"/",""),"-","")," ","")),14),UPPER(SUBSTITUTE(SUBSTITUTE(SUBSTITUTE(SUBSTITUTE(TRIM(A70),".",""),"/",""),"-","")," ",""))))</f>
        <v/>
      </c>
      <c r="C70" s="11"/>
      <c r="D70" s="23"/>
      <c r="E70" s="22"/>
      <c r="F70" s="23"/>
      <c r="G70" s="11"/>
      <c r="H70" s="35"/>
      <c r="I70" s="11"/>
      <c r="J70" s="23"/>
      <c r="K70" s="27" t="str">
        <f aca="false">IF(B70="","",COUNTIF(Contratos!$D:$D,B70))</f>
        <v/>
      </c>
      <c r="L70" s="36" t="str">
        <f aca="false">IF(B70="","",SUMIFS(Contratos!$K:$K,Contratos!$D:$D,B70))</f>
        <v/>
      </c>
      <c r="M70" s="36" t="str">
        <f aca="false">IF(B70="","",SUMIFS(Pagamentos!$G:$G,Pagamentos!$D:$D,B70,Pagamentos!$F:$F,"Empenho"))</f>
        <v/>
      </c>
      <c r="N70" s="36" t="str">
        <f aca="false">IF(B70="","",SUMIFS(Pagamentos!$G:$G,Pagamentos!$D:$D,B70,Pagamentos!$F:$F,"Pagamento"))</f>
        <v/>
      </c>
      <c r="O70" s="37" t="str">
        <f aca="false">IF(OR(B70="",H70="",L70="",L70=0),"",H70/L70)</f>
        <v/>
      </c>
      <c r="P70" s="27" t="str">
        <f aca="false">IF(B70="","",COUNTIF(Sancoes!$C:$C,B70))</f>
        <v/>
      </c>
      <c r="Q70" s="27" t="str">
        <f aca="false">IF(B70="","",COUNTIF(Socios!$B:$B,B70))</f>
        <v/>
      </c>
      <c r="R70" s="27" t="str">
        <f aca="false">IF(B70="","",COUNTIFS(Socios!$B:$B,B70,Socios!$L:$L,"SIM"))</f>
        <v/>
      </c>
      <c r="S70" s="24"/>
      <c r="T70" s="11"/>
    </row>
    <row r="71" customFormat="false" ht="15" hidden="false" customHeight="false" outlineLevel="0" collapsed="false">
      <c r="A71" s="24"/>
      <c r="B71" s="31" t="str">
        <f aca="false">IF(A71="","",IF(LEN(UPPER(SUBSTITUTE(SUBSTITUTE(SUBSTITUTE(SUBSTITUTE(TRIM(A71),".",""),"/",""),"-","")," ","")))&lt;14,RIGHT(REPT("0",14)&amp;UPPER(SUBSTITUTE(SUBSTITUTE(SUBSTITUTE(SUBSTITUTE(TRIM(A71),".",""),"/",""),"-","")," ","")),14),UPPER(SUBSTITUTE(SUBSTITUTE(SUBSTITUTE(SUBSTITUTE(TRIM(A71),".",""),"/",""),"-","")," ",""))))</f>
        <v/>
      </c>
      <c r="C71" s="11"/>
      <c r="D71" s="23"/>
      <c r="E71" s="22"/>
      <c r="F71" s="23"/>
      <c r="G71" s="11"/>
      <c r="H71" s="35"/>
      <c r="I71" s="11"/>
      <c r="J71" s="23"/>
      <c r="K71" s="27" t="str">
        <f aca="false">IF(B71="","",COUNTIF(Contratos!$D:$D,B71))</f>
        <v/>
      </c>
      <c r="L71" s="36" t="str">
        <f aca="false">IF(B71="","",SUMIFS(Contratos!$K:$K,Contratos!$D:$D,B71))</f>
        <v/>
      </c>
      <c r="M71" s="36" t="str">
        <f aca="false">IF(B71="","",SUMIFS(Pagamentos!$G:$G,Pagamentos!$D:$D,B71,Pagamentos!$F:$F,"Empenho"))</f>
        <v/>
      </c>
      <c r="N71" s="36" t="str">
        <f aca="false">IF(B71="","",SUMIFS(Pagamentos!$G:$G,Pagamentos!$D:$D,B71,Pagamentos!$F:$F,"Pagamento"))</f>
        <v/>
      </c>
      <c r="O71" s="37" t="str">
        <f aca="false">IF(OR(B71="",H71="",L71="",L71=0),"",H71/L71)</f>
        <v/>
      </c>
      <c r="P71" s="27" t="str">
        <f aca="false">IF(B71="","",COUNTIF(Sancoes!$C:$C,B71))</f>
        <v/>
      </c>
      <c r="Q71" s="27" t="str">
        <f aca="false">IF(B71="","",COUNTIF(Socios!$B:$B,B71))</f>
        <v/>
      </c>
      <c r="R71" s="27" t="str">
        <f aca="false">IF(B71="","",COUNTIFS(Socios!$B:$B,B71,Socios!$L:$L,"SIM"))</f>
        <v/>
      </c>
      <c r="S71" s="24"/>
      <c r="T71" s="11"/>
    </row>
    <row r="72" customFormat="false" ht="15" hidden="false" customHeight="false" outlineLevel="0" collapsed="false">
      <c r="A72" s="24"/>
      <c r="B72" s="31" t="str">
        <f aca="false">IF(A72="","",IF(LEN(UPPER(SUBSTITUTE(SUBSTITUTE(SUBSTITUTE(SUBSTITUTE(TRIM(A72),".",""),"/",""),"-","")," ","")))&lt;14,RIGHT(REPT("0",14)&amp;UPPER(SUBSTITUTE(SUBSTITUTE(SUBSTITUTE(SUBSTITUTE(TRIM(A72),".",""),"/",""),"-","")," ","")),14),UPPER(SUBSTITUTE(SUBSTITUTE(SUBSTITUTE(SUBSTITUTE(TRIM(A72),".",""),"/",""),"-","")," ",""))))</f>
        <v/>
      </c>
      <c r="C72" s="11"/>
      <c r="D72" s="23"/>
      <c r="E72" s="22"/>
      <c r="F72" s="23"/>
      <c r="G72" s="11"/>
      <c r="H72" s="35"/>
      <c r="I72" s="11"/>
      <c r="J72" s="23"/>
      <c r="K72" s="27" t="str">
        <f aca="false">IF(B72="","",COUNTIF(Contratos!$D:$D,B72))</f>
        <v/>
      </c>
      <c r="L72" s="36" t="str">
        <f aca="false">IF(B72="","",SUMIFS(Contratos!$K:$K,Contratos!$D:$D,B72))</f>
        <v/>
      </c>
      <c r="M72" s="36" t="str">
        <f aca="false">IF(B72="","",SUMIFS(Pagamentos!$G:$G,Pagamentos!$D:$D,B72,Pagamentos!$F:$F,"Empenho"))</f>
        <v/>
      </c>
      <c r="N72" s="36" t="str">
        <f aca="false">IF(B72="","",SUMIFS(Pagamentos!$G:$G,Pagamentos!$D:$D,B72,Pagamentos!$F:$F,"Pagamento"))</f>
        <v/>
      </c>
      <c r="O72" s="37" t="str">
        <f aca="false">IF(OR(B72="",H72="",L72="",L72=0),"",H72/L72)</f>
        <v/>
      </c>
      <c r="P72" s="27" t="str">
        <f aca="false">IF(B72="","",COUNTIF(Sancoes!$C:$C,B72))</f>
        <v/>
      </c>
      <c r="Q72" s="27" t="str">
        <f aca="false">IF(B72="","",COUNTIF(Socios!$B:$B,B72))</f>
        <v/>
      </c>
      <c r="R72" s="27" t="str">
        <f aca="false">IF(B72="","",COUNTIFS(Socios!$B:$B,B72,Socios!$L:$L,"SIM"))</f>
        <v/>
      </c>
      <c r="S72" s="24"/>
      <c r="T72" s="11"/>
    </row>
    <row r="73" customFormat="false" ht="15" hidden="false" customHeight="false" outlineLevel="0" collapsed="false">
      <c r="A73" s="24"/>
      <c r="B73" s="31" t="str">
        <f aca="false">IF(A73="","",IF(LEN(UPPER(SUBSTITUTE(SUBSTITUTE(SUBSTITUTE(SUBSTITUTE(TRIM(A73),".",""),"/",""),"-","")," ","")))&lt;14,RIGHT(REPT("0",14)&amp;UPPER(SUBSTITUTE(SUBSTITUTE(SUBSTITUTE(SUBSTITUTE(TRIM(A73),".",""),"/",""),"-","")," ","")),14),UPPER(SUBSTITUTE(SUBSTITUTE(SUBSTITUTE(SUBSTITUTE(TRIM(A73),".",""),"/",""),"-","")," ",""))))</f>
        <v/>
      </c>
      <c r="C73" s="11"/>
      <c r="D73" s="23"/>
      <c r="E73" s="22"/>
      <c r="F73" s="23"/>
      <c r="G73" s="11"/>
      <c r="H73" s="35"/>
      <c r="I73" s="11"/>
      <c r="J73" s="23"/>
      <c r="K73" s="27" t="str">
        <f aca="false">IF(B73="","",COUNTIF(Contratos!$D:$D,B73))</f>
        <v/>
      </c>
      <c r="L73" s="36" t="str">
        <f aca="false">IF(B73="","",SUMIFS(Contratos!$K:$K,Contratos!$D:$D,B73))</f>
        <v/>
      </c>
      <c r="M73" s="36" t="str">
        <f aca="false">IF(B73="","",SUMIFS(Pagamentos!$G:$G,Pagamentos!$D:$D,B73,Pagamentos!$F:$F,"Empenho"))</f>
        <v/>
      </c>
      <c r="N73" s="36" t="str">
        <f aca="false">IF(B73="","",SUMIFS(Pagamentos!$G:$G,Pagamentos!$D:$D,B73,Pagamentos!$F:$F,"Pagamento"))</f>
        <v/>
      </c>
      <c r="O73" s="37" t="str">
        <f aca="false">IF(OR(B73="",H73="",L73="",L73=0),"",H73/L73)</f>
        <v/>
      </c>
      <c r="P73" s="27" t="str">
        <f aca="false">IF(B73="","",COUNTIF(Sancoes!$C:$C,B73))</f>
        <v/>
      </c>
      <c r="Q73" s="27" t="str">
        <f aca="false">IF(B73="","",COUNTIF(Socios!$B:$B,B73))</f>
        <v/>
      </c>
      <c r="R73" s="27" t="str">
        <f aca="false">IF(B73="","",COUNTIFS(Socios!$B:$B,B73,Socios!$L:$L,"SIM"))</f>
        <v/>
      </c>
      <c r="S73" s="24"/>
      <c r="T73" s="11"/>
    </row>
    <row r="74" customFormat="false" ht="15" hidden="false" customHeight="false" outlineLevel="0" collapsed="false">
      <c r="A74" s="24"/>
      <c r="B74" s="31" t="str">
        <f aca="false">IF(A74="","",IF(LEN(UPPER(SUBSTITUTE(SUBSTITUTE(SUBSTITUTE(SUBSTITUTE(TRIM(A74),".",""),"/",""),"-","")," ","")))&lt;14,RIGHT(REPT("0",14)&amp;UPPER(SUBSTITUTE(SUBSTITUTE(SUBSTITUTE(SUBSTITUTE(TRIM(A74),".",""),"/",""),"-","")," ","")),14),UPPER(SUBSTITUTE(SUBSTITUTE(SUBSTITUTE(SUBSTITUTE(TRIM(A74),".",""),"/",""),"-","")," ",""))))</f>
        <v/>
      </c>
      <c r="C74" s="11"/>
      <c r="D74" s="23"/>
      <c r="E74" s="22"/>
      <c r="F74" s="23"/>
      <c r="G74" s="11"/>
      <c r="H74" s="35"/>
      <c r="I74" s="11"/>
      <c r="J74" s="23"/>
      <c r="K74" s="27" t="str">
        <f aca="false">IF(B74="","",COUNTIF(Contratos!$D:$D,B74))</f>
        <v/>
      </c>
      <c r="L74" s="36" t="str">
        <f aca="false">IF(B74="","",SUMIFS(Contratos!$K:$K,Contratos!$D:$D,B74))</f>
        <v/>
      </c>
      <c r="M74" s="36" t="str">
        <f aca="false">IF(B74="","",SUMIFS(Pagamentos!$G:$G,Pagamentos!$D:$D,B74,Pagamentos!$F:$F,"Empenho"))</f>
        <v/>
      </c>
      <c r="N74" s="36" t="str">
        <f aca="false">IF(B74="","",SUMIFS(Pagamentos!$G:$G,Pagamentos!$D:$D,B74,Pagamentos!$F:$F,"Pagamento"))</f>
        <v/>
      </c>
      <c r="O74" s="37" t="str">
        <f aca="false">IF(OR(B74="",H74="",L74="",L74=0),"",H74/L74)</f>
        <v/>
      </c>
      <c r="P74" s="27" t="str">
        <f aca="false">IF(B74="","",COUNTIF(Sancoes!$C:$C,B74))</f>
        <v/>
      </c>
      <c r="Q74" s="27" t="str">
        <f aca="false">IF(B74="","",COUNTIF(Socios!$B:$B,B74))</f>
        <v/>
      </c>
      <c r="R74" s="27" t="str">
        <f aca="false">IF(B74="","",COUNTIFS(Socios!$B:$B,B74,Socios!$L:$L,"SIM"))</f>
        <v/>
      </c>
      <c r="S74" s="24"/>
      <c r="T74" s="11"/>
    </row>
    <row r="75" customFormat="false" ht="15" hidden="false" customHeight="false" outlineLevel="0" collapsed="false">
      <c r="A75" s="24"/>
      <c r="B75" s="31" t="str">
        <f aca="false">IF(A75="","",IF(LEN(UPPER(SUBSTITUTE(SUBSTITUTE(SUBSTITUTE(SUBSTITUTE(TRIM(A75),".",""),"/",""),"-","")," ","")))&lt;14,RIGHT(REPT("0",14)&amp;UPPER(SUBSTITUTE(SUBSTITUTE(SUBSTITUTE(SUBSTITUTE(TRIM(A75),".",""),"/",""),"-","")," ","")),14),UPPER(SUBSTITUTE(SUBSTITUTE(SUBSTITUTE(SUBSTITUTE(TRIM(A75),".",""),"/",""),"-","")," ",""))))</f>
        <v/>
      </c>
      <c r="C75" s="11"/>
      <c r="D75" s="23"/>
      <c r="E75" s="22"/>
      <c r="F75" s="23"/>
      <c r="G75" s="11"/>
      <c r="H75" s="35"/>
      <c r="I75" s="11"/>
      <c r="J75" s="23"/>
      <c r="K75" s="27" t="str">
        <f aca="false">IF(B75="","",COUNTIF(Contratos!$D:$D,B75))</f>
        <v/>
      </c>
      <c r="L75" s="36" t="str">
        <f aca="false">IF(B75="","",SUMIFS(Contratos!$K:$K,Contratos!$D:$D,B75))</f>
        <v/>
      </c>
      <c r="M75" s="36" t="str">
        <f aca="false">IF(B75="","",SUMIFS(Pagamentos!$G:$G,Pagamentos!$D:$D,B75,Pagamentos!$F:$F,"Empenho"))</f>
        <v/>
      </c>
      <c r="N75" s="36" t="str">
        <f aca="false">IF(B75="","",SUMIFS(Pagamentos!$G:$G,Pagamentos!$D:$D,B75,Pagamentos!$F:$F,"Pagamento"))</f>
        <v/>
      </c>
      <c r="O75" s="37" t="str">
        <f aca="false">IF(OR(B75="",H75="",L75="",L75=0),"",H75/L75)</f>
        <v/>
      </c>
      <c r="P75" s="27" t="str">
        <f aca="false">IF(B75="","",COUNTIF(Sancoes!$C:$C,B75))</f>
        <v/>
      </c>
      <c r="Q75" s="27" t="str">
        <f aca="false">IF(B75="","",COUNTIF(Socios!$B:$B,B75))</f>
        <v/>
      </c>
      <c r="R75" s="27" t="str">
        <f aca="false">IF(B75="","",COUNTIFS(Socios!$B:$B,B75,Socios!$L:$L,"SIM"))</f>
        <v/>
      </c>
      <c r="S75" s="24"/>
      <c r="T75" s="11"/>
    </row>
    <row r="76" customFormat="false" ht="15" hidden="false" customHeight="false" outlineLevel="0" collapsed="false">
      <c r="A76" s="24"/>
      <c r="B76" s="31" t="str">
        <f aca="false">IF(A76="","",IF(LEN(UPPER(SUBSTITUTE(SUBSTITUTE(SUBSTITUTE(SUBSTITUTE(TRIM(A76),".",""),"/",""),"-","")," ","")))&lt;14,RIGHT(REPT("0",14)&amp;UPPER(SUBSTITUTE(SUBSTITUTE(SUBSTITUTE(SUBSTITUTE(TRIM(A76),".",""),"/",""),"-","")," ","")),14),UPPER(SUBSTITUTE(SUBSTITUTE(SUBSTITUTE(SUBSTITUTE(TRIM(A76),".",""),"/",""),"-","")," ",""))))</f>
        <v/>
      </c>
      <c r="C76" s="11"/>
      <c r="D76" s="23"/>
      <c r="E76" s="22"/>
      <c r="F76" s="23"/>
      <c r="G76" s="11"/>
      <c r="H76" s="35"/>
      <c r="I76" s="11"/>
      <c r="J76" s="23"/>
      <c r="K76" s="27" t="str">
        <f aca="false">IF(B76="","",COUNTIF(Contratos!$D:$D,B76))</f>
        <v/>
      </c>
      <c r="L76" s="36" t="str">
        <f aca="false">IF(B76="","",SUMIFS(Contratos!$K:$K,Contratos!$D:$D,B76))</f>
        <v/>
      </c>
      <c r="M76" s="36" t="str">
        <f aca="false">IF(B76="","",SUMIFS(Pagamentos!$G:$G,Pagamentos!$D:$D,B76,Pagamentos!$F:$F,"Empenho"))</f>
        <v/>
      </c>
      <c r="N76" s="36" t="str">
        <f aca="false">IF(B76="","",SUMIFS(Pagamentos!$G:$G,Pagamentos!$D:$D,B76,Pagamentos!$F:$F,"Pagamento"))</f>
        <v/>
      </c>
      <c r="O76" s="37" t="str">
        <f aca="false">IF(OR(B76="",H76="",L76="",L76=0),"",H76/L76)</f>
        <v/>
      </c>
      <c r="P76" s="27" t="str">
        <f aca="false">IF(B76="","",COUNTIF(Sancoes!$C:$C,B76))</f>
        <v/>
      </c>
      <c r="Q76" s="27" t="str">
        <f aca="false">IF(B76="","",COUNTIF(Socios!$B:$B,B76))</f>
        <v/>
      </c>
      <c r="R76" s="27" t="str">
        <f aca="false">IF(B76="","",COUNTIFS(Socios!$B:$B,B76,Socios!$L:$L,"SIM"))</f>
        <v/>
      </c>
      <c r="S76" s="24"/>
      <c r="T76" s="11"/>
    </row>
    <row r="77" customFormat="false" ht="15" hidden="false" customHeight="false" outlineLevel="0" collapsed="false">
      <c r="A77" s="24"/>
      <c r="B77" s="31" t="str">
        <f aca="false">IF(A77="","",IF(LEN(UPPER(SUBSTITUTE(SUBSTITUTE(SUBSTITUTE(SUBSTITUTE(TRIM(A77),".",""),"/",""),"-","")," ","")))&lt;14,RIGHT(REPT("0",14)&amp;UPPER(SUBSTITUTE(SUBSTITUTE(SUBSTITUTE(SUBSTITUTE(TRIM(A77),".",""),"/",""),"-","")," ","")),14),UPPER(SUBSTITUTE(SUBSTITUTE(SUBSTITUTE(SUBSTITUTE(TRIM(A77),".",""),"/",""),"-","")," ",""))))</f>
        <v/>
      </c>
      <c r="C77" s="11"/>
      <c r="D77" s="23"/>
      <c r="E77" s="22"/>
      <c r="F77" s="23"/>
      <c r="G77" s="11"/>
      <c r="H77" s="35"/>
      <c r="I77" s="11"/>
      <c r="J77" s="23"/>
      <c r="K77" s="27" t="str">
        <f aca="false">IF(B77="","",COUNTIF(Contratos!$D:$D,B77))</f>
        <v/>
      </c>
      <c r="L77" s="36" t="str">
        <f aca="false">IF(B77="","",SUMIFS(Contratos!$K:$K,Contratos!$D:$D,B77))</f>
        <v/>
      </c>
      <c r="M77" s="36" t="str">
        <f aca="false">IF(B77="","",SUMIFS(Pagamentos!$G:$G,Pagamentos!$D:$D,B77,Pagamentos!$F:$F,"Empenho"))</f>
        <v/>
      </c>
      <c r="N77" s="36" t="str">
        <f aca="false">IF(B77="","",SUMIFS(Pagamentos!$G:$G,Pagamentos!$D:$D,B77,Pagamentos!$F:$F,"Pagamento"))</f>
        <v/>
      </c>
      <c r="O77" s="37" t="str">
        <f aca="false">IF(OR(B77="",H77="",L77="",L77=0),"",H77/L77)</f>
        <v/>
      </c>
      <c r="P77" s="27" t="str">
        <f aca="false">IF(B77="","",COUNTIF(Sancoes!$C:$C,B77))</f>
        <v/>
      </c>
      <c r="Q77" s="27" t="str">
        <f aca="false">IF(B77="","",COUNTIF(Socios!$B:$B,B77))</f>
        <v/>
      </c>
      <c r="R77" s="27" t="str">
        <f aca="false">IF(B77="","",COUNTIFS(Socios!$B:$B,B77,Socios!$L:$L,"SIM"))</f>
        <v/>
      </c>
      <c r="S77" s="24"/>
      <c r="T77" s="11"/>
    </row>
    <row r="78" customFormat="false" ht="15" hidden="false" customHeight="false" outlineLevel="0" collapsed="false">
      <c r="A78" s="24"/>
      <c r="B78" s="31" t="str">
        <f aca="false">IF(A78="","",IF(LEN(UPPER(SUBSTITUTE(SUBSTITUTE(SUBSTITUTE(SUBSTITUTE(TRIM(A78),".",""),"/",""),"-","")," ","")))&lt;14,RIGHT(REPT("0",14)&amp;UPPER(SUBSTITUTE(SUBSTITUTE(SUBSTITUTE(SUBSTITUTE(TRIM(A78),".",""),"/",""),"-","")," ","")),14),UPPER(SUBSTITUTE(SUBSTITUTE(SUBSTITUTE(SUBSTITUTE(TRIM(A78),".",""),"/",""),"-","")," ",""))))</f>
        <v/>
      </c>
      <c r="C78" s="11"/>
      <c r="D78" s="23"/>
      <c r="E78" s="22"/>
      <c r="F78" s="23"/>
      <c r="G78" s="11"/>
      <c r="H78" s="35"/>
      <c r="I78" s="11"/>
      <c r="J78" s="23"/>
      <c r="K78" s="27" t="str">
        <f aca="false">IF(B78="","",COUNTIF(Contratos!$D:$D,B78))</f>
        <v/>
      </c>
      <c r="L78" s="36" t="str">
        <f aca="false">IF(B78="","",SUMIFS(Contratos!$K:$K,Contratos!$D:$D,B78))</f>
        <v/>
      </c>
      <c r="M78" s="36" t="str">
        <f aca="false">IF(B78="","",SUMIFS(Pagamentos!$G:$G,Pagamentos!$D:$D,B78,Pagamentos!$F:$F,"Empenho"))</f>
        <v/>
      </c>
      <c r="N78" s="36" t="str">
        <f aca="false">IF(B78="","",SUMIFS(Pagamentos!$G:$G,Pagamentos!$D:$D,B78,Pagamentos!$F:$F,"Pagamento"))</f>
        <v/>
      </c>
      <c r="O78" s="37" t="str">
        <f aca="false">IF(OR(B78="",H78="",L78="",L78=0),"",H78/L78)</f>
        <v/>
      </c>
      <c r="P78" s="27" t="str">
        <f aca="false">IF(B78="","",COUNTIF(Sancoes!$C:$C,B78))</f>
        <v/>
      </c>
      <c r="Q78" s="27" t="str">
        <f aca="false">IF(B78="","",COUNTIF(Socios!$B:$B,B78))</f>
        <v/>
      </c>
      <c r="R78" s="27" t="str">
        <f aca="false">IF(B78="","",COUNTIFS(Socios!$B:$B,B78,Socios!$L:$L,"SIM"))</f>
        <v/>
      </c>
      <c r="S78" s="24"/>
      <c r="T78" s="11"/>
    </row>
    <row r="79" customFormat="false" ht="15" hidden="false" customHeight="false" outlineLevel="0" collapsed="false">
      <c r="A79" s="24"/>
      <c r="B79" s="31" t="str">
        <f aca="false">IF(A79="","",IF(LEN(UPPER(SUBSTITUTE(SUBSTITUTE(SUBSTITUTE(SUBSTITUTE(TRIM(A79),".",""),"/",""),"-","")," ","")))&lt;14,RIGHT(REPT("0",14)&amp;UPPER(SUBSTITUTE(SUBSTITUTE(SUBSTITUTE(SUBSTITUTE(TRIM(A79),".",""),"/",""),"-","")," ","")),14),UPPER(SUBSTITUTE(SUBSTITUTE(SUBSTITUTE(SUBSTITUTE(TRIM(A79),".",""),"/",""),"-","")," ",""))))</f>
        <v/>
      </c>
      <c r="C79" s="11"/>
      <c r="D79" s="23"/>
      <c r="E79" s="22"/>
      <c r="F79" s="23"/>
      <c r="G79" s="11"/>
      <c r="H79" s="35"/>
      <c r="I79" s="11"/>
      <c r="J79" s="23"/>
      <c r="K79" s="27" t="str">
        <f aca="false">IF(B79="","",COUNTIF(Contratos!$D:$D,B79))</f>
        <v/>
      </c>
      <c r="L79" s="36" t="str">
        <f aca="false">IF(B79="","",SUMIFS(Contratos!$K:$K,Contratos!$D:$D,B79))</f>
        <v/>
      </c>
      <c r="M79" s="36" t="str">
        <f aca="false">IF(B79="","",SUMIFS(Pagamentos!$G:$G,Pagamentos!$D:$D,B79,Pagamentos!$F:$F,"Empenho"))</f>
        <v/>
      </c>
      <c r="N79" s="36" t="str">
        <f aca="false">IF(B79="","",SUMIFS(Pagamentos!$G:$G,Pagamentos!$D:$D,B79,Pagamentos!$F:$F,"Pagamento"))</f>
        <v/>
      </c>
      <c r="O79" s="37" t="str">
        <f aca="false">IF(OR(B79="",H79="",L79="",L79=0),"",H79/L79)</f>
        <v/>
      </c>
      <c r="P79" s="27" t="str">
        <f aca="false">IF(B79="","",COUNTIF(Sancoes!$C:$C,B79))</f>
        <v/>
      </c>
      <c r="Q79" s="27" t="str">
        <f aca="false">IF(B79="","",COUNTIF(Socios!$B:$B,B79))</f>
        <v/>
      </c>
      <c r="R79" s="27" t="str">
        <f aca="false">IF(B79="","",COUNTIFS(Socios!$B:$B,B79,Socios!$L:$L,"SIM"))</f>
        <v/>
      </c>
      <c r="S79" s="24"/>
      <c r="T79" s="11"/>
    </row>
    <row r="80" customFormat="false" ht="15" hidden="false" customHeight="false" outlineLevel="0" collapsed="false">
      <c r="A80" s="24"/>
      <c r="B80" s="31" t="str">
        <f aca="false">IF(A80="","",IF(LEN(UPPER(SUBSTITUTE(SUBSTITUTE(SUBSTITUTE(SUBSTITUTE(TRIM(A80),".",""),"/",""),"-","")," ","")))&lt;14,RIGHT(REPT("0",14)&amp;UPPER(SUBSTITUTE(SUBSTITUTE(SUBSTITUTE(SUBSTITUTE(TRIM(A80),".",""),"/",""),"-","")," ","")),14),UPPER(SUBSTITUTE(SUBSTITUTE(SUBSTITUTE(SUBSTITUTE(TRIM(A80),".",""),"/",""),"-","")," ",""))))</f>
        <v/>
      </c>
      <c r="C80" s="11"/>
      <c r="D80" s="23"/>
      <c r="E80" s="22"/>
      <c r="F80" s="23"/>
      <c r="G80" s="11"/>
      <c r="H80" s="35"/>
      <c r="I80" s="11"/>
      <c r="J80" s="23"/>
      <c r="K80" s="27" t="str">
        <f aca="false">IF(B80="","",COUNTIF(Contratos!$D:$D,B80))</f>
        <v/>
      </c>
      <c r="L80" s="36" t="str">
        <f aca="false">IF(B80="","",SUMIFS(Contratos!$K:$K,Contratos!$D:$D,B80))</f>
        <v/>
      </c>
      <c r="M80" s="36" t="str">
        <f aca="false">IF(B80="","",SUMIFS(Pagamentos!$G:$G,Pagamentos!$D:$D,B80,Pagamentos!$F:$F,"Empenho"))</f>
        <v/>
      </c>
      <c r="N80" s="36" t="str">
        <f aca="false">IF(B80="","",SUMIFS(Pagamentos!$G:$G,Pagamentos!$D:$D,B80,Pagamentos!$F:$F,"Pagamento"))</f>
        <v/>
      </c>
      <c r="O80" s="37" t="str">
        <f aca="false">IF(OR(B80="",H80="",L80="",L80=0),"",H80/L80)</f>
        <v/>
      </c>
      <c r="P80" s="27" t="str">
        <f aca="false">IF(B80="","",COUNTIF(Sancoes!$C:$C,B80))</f>
        <v/>
      </c>
      <c r="Q80" s="27" t="str">
        <f aca="false">IF(B80="","",COUNTIF(Socios!$B:$B,B80))</f>
        <v/>
      </c>
      <c r="R80" s="27" t="str">
        <f aca="false">IF(B80="","",COUNTIFS(Socios!$B:$B,B80,Socios!$L:$L,"SIM"))</f>
        <v/>
      </c>
      <c r="S80" s="24"/>
      <c r="T80" s="11"/>
    </row>
    <row r="81" customFormat="false" ht="15" hidden="false" customHeight="false" outlineLevel="0" collapsed="false">
      <c r="A81" s="24"/>
      <c r="B81" s="31" t="str">
        <f aca="false">IF(A81="","",IF(LEN(UPPER(SUBSTITUTE(SUBSTITUTE(SUBSTITUTE(SUBSTITUTE(TRIM(A81),".",""),"/",""),"-","")," ","")))&lt;14,RIGHT(REPT("0",14)&amp;UPPER(SUBSTITUTE(SUBSTITUTE(SUBSTITUTE(SUBSTITUTE(TRIM(A81),".",""),"/",""),"-","")," ","")),14),UPPER(SUBSTITUTE(SUBSTITUTE(SUBSTITUTE(SUBSTITUTE(TRIM(A81),".",""),"/",""),"-","")," ",""))))</f>
        <v/>
      </c>
      <c r="C81" s="11"/>
      <c r="D81" s="23"/>
      <c r="E81" s="22"/>
      <c r="F81" s="23"/>
      <c r="G81" s="11"/>
      <c r="H81" s="35"/>
      <c r="I81" s="11"/>
      <c r="J81" s="23"/>
      <c r="K81" s="27" t="str">
        <f aca="false">IF(B81="","",COUNTIF(Contratos!$D:$D,B81))</f>
        <v/>
      </c>
      <c r="L81" s="36" t="str">
        <f aca="false">IF(B81="","",SUMIFS(Contratos!$K:$K,Contratos!$D:$D,B81))</f>
        <v/>
      </c>
      <c r="M81" s="36" t="str">
        <f aca="false">IF(B81="","",SUMIFS(Pagamentos!$G:$G,Pagamentos!$D:$D,B81,Pagamentos!$F:$F,"Empenho"))</f>
        <v/>
      </c>
      <c r="N81" s="36" t="str">
        <f aca="false">IF(B81="","",SUMIFS(Pagamentos!$G:$G,Pagamentos!$D:$D,B81,Pagamentos!$F:$F,"Pagamento"))</f>
        <v/>
      </c>
      <c r="O81" s="37" t="str">
        <f aca="false">IF(OR(B81="",H81="",L81="",L81=0),"",H81/L81)</f>
        <v/>
      </c>
      <c r="P81" s="27" t="str">
        <f aca="false">IF(B81="","",COUNTIF(Sancoes!$C:$C,B81))</f>
        <v/>
      </c>
      <c r="Q81" s="27" t="str">
        <f aca="false">IF(B81="","",COUNTIF(Socios!$B:$B,B81))</f>
        <v/>
      </c>
      <c r="R81" s="27" t="str">
        <f aca="false">IF(B81="","",COUNTIFS(Socios!$B:$B,B81,Socios!$L:$L,"SIM"))</f>
        <v/>
      </c>
      <c r="S81" s="24"/>
      <c r="T81" s="11"/>
    </row>
    <row r="82" customFormat="false" ht="15" hidden="false" customHeight="false" outlineLevel="0" collapsed="false">
      <c r="A82" s="24"/>
      <c r="B82" s="31" t="str">
        <f aca="false">IF(A82="","",IF(LEN(UPPER(SUBSTITUTE(SUBSTITUTE(SUBSTITUTE(SUBSTITUTE(TRIM(A82),".",""),"/",""),"-","")," ","")))&lt;14,RIGHT(REPT("0",14)&amp;UPPER(SUBSTITUTE(SUBSTITUTE(SUBSTITUTE(SUBSTITUTE(TRIM(A82),".",""),"/",""),"-","")," ","")),14),UPPER(SUBSTITUTE(SUBSTITUTE(SUBSTITUTE(SUBSTITUTE(TRIM(A82),".",""),"/",""),"-","")," ",""))))</f>
        <v/>
      </c>
      <c r="C82" s="11"/>
      <c r="D82" s="23"/>
      <c r="E82" s="22"/>
      <c r="F82" s="23"/>
      <c r="G82" s="11"/>
      <c r="H82" s="35"/>
      <c r="I82" s="11"/>
      <c r="J82" s="23"/>
      <c r="K82" s="27" t="str">
        <f aca="false">IF(B82="","",COUNTIF(Contratos!$D:$D,B82))</f>
        <v/>
      </c>
      <c r="L82" s="36" t="str">
        <f aca="false">IF(B82="","",SUMIFS(Contratos!$K:$K,Contratos!$D:$D,B82))</f>
        <v/>
      </c>
      <c r="M82" s="36" t="str">
        <f aca="false">IF(B82="","",SUMIFS(Pagamentos!$G:$G,Pagamentos!$D:$D,B82,Pagamentos!$F:$F,"Empenho"))</f>
        <v/>
      </c>
      <c r="N82" s="36" t="str">
        <f aca="false">IF(B82="","",SUMIFS(Pagamentos!$G:$G,Pagamentos!$D:$D,B82,Pagamentos!$F:$F,"Pagamento"))</f>
        <v/>
      </c>
      <c r="O82" s="37" t="str">
        <f aca="false">IF(OR(B82="",H82="",L82="",L82=0),"",H82/L82)</f>
        <v/>
      </c>
      <c r="P82" s="27" t="str">
        <f aca="false">IF(B82="","",COUNTIF(Sancoes!$C:$C,B82))</f>
        <v/>
      </c>
      <c r="Q82" s="27" t="str">
        <f aca="false">IF(B82="","",COUNTIF(Socios!$B:$B,B82))</f>
        <v/>
      </c>
      <c r="R82" s="27" t="str">
        <f aca="false">IF(B82="","",COUNTIFS(Socios!$B:$B,B82,Socios!$L:$L,"SIM"))</f>
        <v/>
      </c>
      <c r="S82" s="24"/>
      <c r="T82" s="11"/>
    </row>
    <row r="83" customFormat="false" ht="15" hidden="false" customHeight="false" outlineLevel="0" collapsed="false">
      <c r="A83" s="24"/>
      <c r="B83" s="31" t="str">
        <f aca="false">IF(A83="","",IF(LEN(UPPER(SUBSTITUTE(SUBSTITUTE(SUBSTITUTE(SUBSTITUTE(TRIM(A83),".",""),"/",""),"-","")," ","")))&lt;14,RIGHT(REPT("0",14)&amp;UPPER(SUBSTITUTE(SUBSTITUTE(SUBSTITUTE(SUBSTITUTE(TRIM(A83),".",""),"/",""),"-","")," ","")),14),UPPER(SUBSTITUTE(SUBSTITUTE(SUBSTITUTE(SUBSTITUTE(TRIM(A83),".",""),"/",""),"-","")," ",""))))</f>
        <v/>
      </c>
      <c r="C83" s="11"/>
      <c r="D83" s="23"/>
      <c r="E83" s="22"/>
      <c r="F83" s="23"/>
      <c r="G83" s="11"/>
      <c r="H83" s="35"/>
      <c r="I83" s="11"/>
      <c r="J83" s="23"/>
      <c r="K83" s="27" t="str">
        <f aca="false">IF(B83="","",COUNTIF(Contratos!$D:$D,B83))</f>
        <v/>
      </c>
      <c r="L83" s="36" t="str">
        <f aca="false">IF(B83="","",SUMIFS(Contratos!$K:$K,Contratos!$D:$D,B83))</f>
        <v/>
      </c>
      <c r="M83" s="36" t="str">
        <f aca="false">IF(B83="","",SUMIFS(Pagamentos!$G:$G,Pagamentos!$D:$D,B83,Pagamentos!$F:$F,"Empenho"))</f>
        <v/>
      </c>
      <c r="N83" s="36" t="str">
        <f aca="false">IF(B83="","",SUMIFS(Pagamentos!$G:$G,Pagamentos!$D:$D,B83,Pagamentos!$F:$F,"Pagamento"))</f>
        <v/>
      </c>
      <c r="O83" s="37" t="str">
        <f aca="false">IF(OR(B83="",H83="",L83="",L83=0),"",H83/L83)</f>
        <v/>
      </c>
      <c r="P83" s="27" t="str">
        <f aca="false">IF(B83="","",COUNTIF(Sancoes!$C:$C,B83))</f>
        <v/>
      </c>
      <c r="Q83" s="27" t="str">
        <f aca="false">IF(B83="","",COUNTIF(Socios!$B:$B,B83))</f>
        <v/>
      </c>
      <c r="R83" s="27" t="str">
        <f aca="false">IF(B83="","",COUNTIFS(Socios!$B:$B,B83,Socios!$L:$L,"SIM"))</f>
        <v/>
      </c>
      <c r="S83" s="24"/>
      <c r="T83" s="11"/>
    </row>
    <row r="84" customFormat="false" ht="15" hidden="false" customHeight="false" outlineLevel="0" collapsed="false">
      <c r="A84" s="24"/>
      <c r="B84" s="31" t="str">
        <f aca="false">IF(A84="","",IF(LEN(UPPER(SUBSTITUTE(SUBSTITUTE(SUBSTITUTE(SUBSTITUTE(TRIM(A84),".",""),"/",""),"-","")," ","")))&lt;14,RIGHT(REPT("0",14)&amp;UPPER(SUBSTITUTE(SUBSTITUTE(SUBSTITUTE(SUBSTITUTE(TRIM(A84),".",""),"/",""),"-","")," ","")),14),UPPER(SUBSTITUTE(SUBSTITUTE(SUBSTITUTE(SUBSTITUTE(TRIM(A84),".",""),"/",""),"-","")," ",""))))</f>
        <v/>
      </c>
      <c r="C84" s="11"/>
      <c r="D84" s="23"/>
      <c r="E84" s="22"/>
      <c r="F84" s="23"/>
      <c r="G84" s="11"/>
      <c r="H84" s="35"/>
      <c r="I84" s="11"/>
      <c r="J84" s="23"/>
      <c r="K84" s="27" t="str">
        <f aca="false">IF(B84="","",COUNTIF(Contratos!$D:$D,B84))</f>
        <v/>
      </c>
      <c r="L84" s="36" t="str">
        <f aca="false">IF(B84="","",SUMIFS(Contratos!$K:$K,Contratos!$D:$D,B84))</f>
        <v/>
      </c>
      <c r="M84" s="36" t="str">
        <f aca="false">IF(B84="","",SUMIFS(Pagamentos!$G:$G,Pagamentos!$D:$D,B84,Pagamentos!$F:$F,"Empenho"))</f>
        <v/>
      </c>
      <c r="N84" s="36" t="str">
        <f aca="false">IF(B84="","",SUMIFS(Pagamentos!$G:$G,Pagamentos!$D:$D,B84,Pagamentos!$F:$F,"Pagamento"))</f>
        <v/>
      </c>
      <c r="O84" s="37" t="str">
        <f aca="false">IF(OR(B84="",H84="",L84="",L84=0),"",H84/L84)</f>
        <v/>
      </c>
      <c r="P84" s="27" t="str">
        <f aca="false">IF(B84="","",COUNTIF(Sancoes!$C:$C,B84))</f>
        <v/>
      </c>
      <c r="Q84" s="27" t="str">
        <f aca="false">IF(B84="","",COUNTIF(Socios!$B:$B,B84))</f>
        <v/>
      </c>
      <c r="R84" s="27" t="str">
        <f aca="false">IF(B84="","",COUNTIFS(Socios!$B:$B,B84,Socios!$L:$L,"SIM"))</f>
        <v/>
      </c>
      <c r="S84" s="24"/>
      <c r="T84" s="11"/>
    </row>
    <row r="85" customFormat="false" ht="15" hidden="false" customHeight="false" outlineLevel="0" collapsed="false">
      <c r="A85" s="24"/>
      <c r="B85" s="31" t="str">
        <f aca="false">IF(A85="","",IF(LEN(UPPER(SUBSTITUTE(SUBSTITUTE(SUBSTITUTE(SUBSTITUTE(TRIM(A85),".",""),"/",""),"-","")," ","")))&lt;14,RIGHT(REPT("0",14)&amp;UPPER(SUBSTITUTE(SUBSTITUTE(SUBSTITUTE(SUBSTITUTE(TRIM(A85),".",""),"/",""),"-","")," ","")),14),UPPER(SUBSTITUTE(SUBSTITUTE(SUBSTITUTE(SUBSTITUTE(TRIM(A85),".",""),"/",""),"-","")," ",""))))</f>
        <v/>
      </c>
      <c r="C85" s="11"/>
      <c r="D85" s="23"/>
      <c r="E85" s="22"/>
      <c r="F85" s="23"/>
      <c r="G85" s="11"/>
      <c r="H85" s="35"/>
      <c r="I85" s="11"/>
      <c r="J85" s="23"/>
      <c r="K85" s="27" t="str">
        <f aca="false">IF(B85="","",COUNTIF(Contratos!$D:$D,B85))</f>
        <v/>
      </c>
      <c r="L85" s="36" t="str">
        <f aca="false">IF(B85="","",SUMIFS(Contratos!$K:$K,Contratos!$D:$D,B85))</f>
        <v/>
      </c>
      <c r="M85" s="36" t="str">
        <f aca="false">IF(B85="","",SUMIFS(Pagamentos!$G:$G,Pagamentos!$D:$D,B85,Pagamentos!$F:$F,"Empenho"))</f>
        <v/>
      </c>
      <c r="N85" s="36" t="str">
        <f aca="false">IF(B85="","",SUMIFS(Pagamentos!$G:$G,Pagamentos!$D:$D,B85,Pagamentos!$F:$F,"Pagamento"))</f>
        <v/>
      </c>
      <c r="O85" s="37" t="str">
        <f aca="false">IF(OR(B85="",H85="",L85="",L85=0),"",H85/L85)</f>
        <v/>
      </c>
      <c r="P85" s="27" t="str">
        <f aca="false">IF(B85="","",COUNTIF(Sancoes!$C:$C,B85))</f>
        <v/>
      </c>
      <c r="Q85" s="27" t="str">
        <f aca="false">IF(B85="","",COUNTIF(Socios!$B:$B,B85))</f>
        <v/>
      </c>
      <c r="R85" s="27" t="str">
        <f aca="false">IF(B85="","",COUNTIFS(Socios!$B:$B,B85,Socios!$L:$L,"SIM"))</f>
        <v/>
      </c>
      <c r="S85" s="24"/>
      <c r="T85" s="11"/>
    </row>
    <row r="86" customFormat="false" ht="15" hidden="false" customHeight="false" outlineLevel="0" collapsed="false">
      <c r="A86" s="24"/>
      <c r="B86" s="31" t="str">
        <f aca="false">IF(A86="","",IF(LEN(UPPER(SUBSTITUTE(SUBSTITUTE(SUBSTITUTE(SUBSTITUTE(TRIM(A86),".",""),"/",""),"-","")," ","")))&lt;14,RIGHT(REPT("0",14)&amp;UPPER(SUBSTITUTE(SUBSTITUTE(SUBSTITUTE(SUBSTITUTE(TRIM(A86),".",""),"/",""),"-","")," ","")),14),UPPER(SUBSTITUTE(SUBSTITUTE(SUBSTITUTE(SUBSTITUTE(TRIM(A86),".",""),"/",""),"-","")," ",""))))</f>
        <v/>
      </c>
      <c r="C86" s="11"/>
      <c r="D86" s="23"/>
      <c r="E86" s="22"/>
      <c r="F86" s="23"/>
      <c r="G86" s="11"/>
      <c r="H86" s="35"/>
      <c r="I86" s="11"/>
      <c r="J86" s="23"/>
      <c r="K86" s="27" t="str">
        <f aca="false">IF(B86="","",COUNTIF(Contratos!$D:$D,B86))</f>
        <v/>
      </c>
      <c r="L86" s="36" t="str">
        <f aca="false">IF(B86="","",SUMIFS(Contratos!$K:$K,Contratos!$D:$D,B86))</f>
        <v/>
      </c>
      <c r="M86" s="36" t="str">
        <f aca="false">IF(B86="","",SUMIFS(Pagamentos!$G:$G,Pagamentos!$D:$D,B86,Pagamentos!$F:$F,"Empenho"))</f>
        <v/>
      </c>
      <c r="N86" s="36" t="str">
        <f aca="false">IF(B86="","",SUMIFS(Pagamentos!$G:$G,Pagamentos!$D:$D,B86,Pagamentos!$F:$F,"Pagamento"))</f>
        <v/>
      </c>
      <c r="O86" s="37" t="str">
        <f aca="false">IF(OR(B86="",H86="",L86="",L86=0),"",H86/L86)</f>
        <v/>
      </c>
      <c r="P86" s="27" t="str">
        <f aca="false">IF(B86="","",COUNTIF(Sancoes!$C:$C,B86))</f>
        <v/>
      </c>
      <c r="Q86" s="27" t="str">
        <f aca="false">IF(B86="","",COUNTIF(Socios!$B:$B,B86))</f>
        <v/>
      </c>
      <c r="R86" s="27" t="str">
        <f aca="false">IF(B86="","",COUNTIFS(Socios!$B:$B,B86,Socios!$L:$L,"SIM"))</f>
        <v/>
      </c>
      <c r="S86" s="24"/>
      <c r="T86" s="11"/>
    </row>
    <row r="87" customFormat="false" ht="15" hidden="false" customHeight="false" outlineLevel="0" collapsed="false">
      <c r="A87" s="24"/>
      <c r="B87" s="31" t="str">
        <f aca="false">IF(A87="","",IF(LEN(UPPER(SUBSTITUTE(SUBSTITUTE(SUBSTITUTE(SUBSTITUTE(TRIM(A87),".",""),"/",""),"-","")," ","")))&lt;14,RIGHT(REPT("0",14)&amp;UPPER(SUBSTITUTE(SUBSTITUTE(SUBSTITUTE(SUBSTITUTE(TRIM(A87),".",""),"/",""),"-","")," ","")),14),UPPER(SUBSTITUTE(SUBSTITUTE(SUBSTITUTE(SUBSTITUTE(TRIM(A87),".",""),"/",""),"-","")," ",""))))</f>
        <v/>
      </c>
      <c r="C87" s="11"/>
      <c r="D87" s="23"/>
      <c r="E87" s="22"/>
      <c r="F87" s="23"/>
      <c r="G87" s="11"/>
      <c r="H87" s="35"/>
      <c r="I87" s="11"/>
      <c r="J87" s="23"/>
      <c r="K87" s="27" t="str">
        <f aca="false">IF(B87="","",COUNTIF(Contratos!$D:$D,B87))</f>
        <v/>
      </c>
      <c r="L87" s="36" t="str">
        <f aca="false">IF(B87="","",SUMIFS(Contratos!$K:$K,Contratos!$D:$D,B87))</f>
        <v/>
      </c>
      <c r="M87" s="36" t="str">
        <f aca="false">IF(B87="","",SUMIFS(Pagamentos!$G:$G,Pagamentos!$D:$D,B87,Pagamentos!$F:$F,"Empenho"))</f>
        <v/>
      </c>
      <c r="N87" s="36" t="str">
        <f aca="false">IF(B87="","",SUMIFS(Pagamentos!$G:$G,Pagamentos!$D:$D,B87,Pagamentos!$F:$F,"Pagamento"))</f>
        <v/>
      </c>
      <c r="O87" s="37" t="str">
        <f aca="false">IF(OR(B87="",H87="",L87="",L87=0),"",H87/L87)</f>
        <v/>
      </c>
      <c r="P87" s="27" t="str">
        <f aca="false">IF(B87="","",COUNTIF(Sancoes!$C:$C,B87))</f>
        <v/>
      </c>
      <c r="Q87" s="27" t="str">
        <f aca="false">IF(B87="","",COUNTIF(Socios!$B:$B,B87))</f>
        <v/>
      </c>
      <c r="R87" s="27" t="str">
        <f aca="false">IF(B87="","",COUNTIFS(Socios!$B:$B,B87,Socios!$L:$L,"SIM"))</f>
        <v/>
      </c>
      <c r="S87" s="24"/>
      <c r="T87" s="11"/>
    </row>
    <row r="88" customFormat="false" ht="15" hidden="false" customHeight="false" outlineLevel="0" collapsed="false">
      <c r="A88" s="24"/>
      <c r="B88" s="31" t="str">
        <f aca="false">IF(A88="","",IF(LEN(UPPER(SUBSTITUTE(SUBSTITUTE(SUBSTITUTE(SUBSTITUTE(TRIM(A88),".",""),"/",""),"-","")," ","")))&lt;14,RIGHT(REPT("0",14)&amp;UPPER(SUBSTITUTE(SUBSTITUTE(SUBSTITUTE(SUBSTITUTE(TRIM(A88),".",""),"/",""),"-","")," ","")),14),UPPER(SUBSTITUTE(SUBSTITUTE(SUBSTITUTE(SUBSTITUTE(TRIM(A88),".",""),"/",""),"-","")," ",""))))</f>
        <v/>
      </c>
      <c r="C88" s="11"/>
      <c r="D88" s="23"/>
      <c r="E88" s="22"/>
      <c r="F88" s="23"/>
      <c r="G88" s="11"/>
      <c r="H88" s="35"/>
      <c r="I88" s="11"/>
      <c r="J88" s="23"/>
      <c r="K88" s="27" t="str">
        <f aca="false">IF(B88="","",COUNTIF(Contratos!$D:$D,B88))</f>
        <v/>
      </c>
      <c r="L88" s="36" t="str">
        <f aca="false">IF(B88="","",SUMIFS(Contratos!$K:$K,Contratos!$D:$D,B88))</f>
        <v/>
      </c>
      <c r="M88" s="36" t="str">
        <f aca="false">IF(B88="","",SUMIFS(Pagamentos!$G:$G,Pagamentos!$D:$D,B88,Pagamentos!$F:$F,"Empenho"))</f>
        <v/>
      </c>
      <c r="N88" s="36" t="str">
        <f aca="false">IF(B88="","",SUMIFS(Pagamentos!$G:$G,Pagamentos!$D:$D,B88,Pagamentos!$F:$F,"Pagamento"))</f>
        <v/>
      </c>
      <c r="O88" s="37" t="str">
        <f aca="false">IF(OR(B88="",H88="",L88="",L88=0),"",H88/L88)</f>
        <v/>
      </c>
      <c r="P88" s="27" t="str">
        <f aca="false">IF(B88="","",COUNTIF(Sancoes!$C:$C,B88))</f>
        <v/>
      </c>
      <c r="Q88" s="27" t="str">
        <f aca="false">IF(B88="","",COUNTIF(Socios!$B:$B,B88))</f>
        <v/>
      </c>
      <c r="R88" s="27" t="str">
        <f aca="false">IF(B88="","",COUNTIFS(Socios!$B:$B,B88,Socios!$L:$L,"SIM"))</f>
        <v/>
      </c>
      <c r="S88" s="24"/>
      <c r="T88" s="11"/>
    </row>
    <row r="89" customFormat="false" ht="15" hidden="false" customHeight="false" outlineLevel="0" collapsed="false">
      <c r="A89" s="24"/>
      <c r="B89" s="31" t="str">
        <f aca="false">IF(A89="","",IF(LEN(UPPER(SUBSTITUTE(SUBSTITUTE(SUBSTITUTE(SUBSTITUTE(TRIM(A89),".",""),"/",""),"-","")," ","")))&lt;14,RIGHT(REPT("0",14)&amp;UPPER(SUBSTITUTE(SUBSTITUTE(SUBSTITUTE(SUBSTITUTE(TRIM(A89),".",""),"/",""),"-","")," ","")),14),UPPER(SUBSTITUTE(SUBSTITUTE(SUBSTITUTE(SUBSTITUTE(TRIM(A89),".",""),"/",""),"-","")," ",""))))</f>
        <v/>
      </c>
      <c r="C89" s="11"/>
      <c r="D89" s="23"/>
      <c r="E89" s="22"/>
      <c r="F89" s="23"/>
      <c r="G89" s="11"/>
      <c r="H89" s="35"/>
      <c r="I89" s="11"/>
      <c r="J89" s="23"/>
      <c r="K89" s="27" t="str">
        <f aca="false">IF(B89="","",COUNTIF(Contratos!$D:$D,B89))</f>
        <v/>
      </c>
      <c r="L89" s="36" t="str">
        <f aca="false">IF(B89="","",SUMIFS(Contratos!$K:$K,Contratos!$D:$D,B89))</f>
        <v/>
      </c>
      <c r="M89" s="36" t="str">
        <f aca="false">IF(B89="","",SUMIFS(Pagamentos!$G:$G,Pagamentos!$D:$D,B89,Pagamentos!$F:$F,"Empenho"))</f>
        <v/>
      </c>
      <c r="N89" s="36" t="str">
        <f aca="false">IF(B89="","",SUMIFS(Pagamentos!$G:$G,Pagamentos!$D:$D,B89,Pagamentos!$F:$F,"Pagamento"))</f>
        <v/>
      </c>
      <c r="O89" s="37" t="str">
        <f aca="false">IF(OR(B89="",H89="",L89="",L89=0),"",H89/L89)</f>
        <v/>
      </c>
      <c r="P89" s="27" t="str">
        <f aca="false">IF(B89="","",COUNTIF(Sancoes!$C:$C,B89))</f>
        <v/>
      </c>
      <c r="Q89" s="27" t="str">
        <f aca="false">IF(B89="","",COUNTIF(Socios!$B:$B,B89))</f>
        <v/>
      </c>
      <c r="R89" s="27" t="str">
        <f aca="false">IF(B89="","",COUNTIFS(Socios!$B:$B,B89,Socios!$L:$L,"SIM"))</f>
        <v/>
      </c>
      <c r="S89" s="24"/>
      <c r="T89" s="11"/>
    </row>
    <row r="90" customFormat="false" ht="15" hidden="false" customHeight="false" outlineLevel="0" collapsed="false">
      <c r="A90" s="24"/>
      <c r="B90" s="31" t="str">
        <f aca="false">IF(A90="","",IF(LEN(UPPER(SUBSTITUTE(SUBSTITUTE(SUBSTITUTE(SUBSTITUTE(TRIM(A90),".",""),"/",""),"-","")," ","")))&lt;14,RIGHT(REPT("0",14)&amp;UPPER(SUBSTITUTE(SUBSTITUTE(SUBSTITUTE(SUBSTITUTE(TRIM(A90),".",""),"/",""),"-","")," ","")),14),UPPER(SUBSTITUTE(SUBSTITUTE(SUBSTITUTE(SUBSTITUTE(TRIM(A90),".",""),"/",""),"-","")," ",""))))</f>
        <v/>
      </c>
      <c r="C90" s="11"/>
      <c r="D90" s="23"/>
      <c r="E90" s="22"/>
      <c r="F90" s="23"/>
      <c r="G90" s="11"/>
      <c r="H90" s="35"/>
      <c r="I90" s="11"/>
      <c r="J90" s="23"/>
      <c r="K90" s="27" t="str">
        <f aca="false">IF(B90="","",COUNTIF(Contratos!$D:$D,B90))</f>
        <v/>
      </c>
      <c r="L90" s="36" t="str">
        <f aca="false">IF(B90="","",SUMIFS(Contratos!$K:$K,Contratos!$D:$D,B90))</f>
        <v/>
      </c>
      <c r="M90" s="36" t="str">
        <f aca="false">IF(B90="","",SUMIFS(Pagamentos!$G:$G,Pagamentos!$D:$D,B90,Pagamentos!$F:$F,"Empenho"))</f>
        <v/>
      </c>
      <c r="N90" s="36" t="str">
        <f aca="false">IF(B90="","",SUMIFS(Pagamentos!$G:$G,Pagamentos!$D:$D,B90,Pagamentos!$F:$F,"Pagamento"))</f>
        <v/>
      </c>
      <c r="O90" s="37" t="str">
        <f aca="false">IF(OR(B90="",H90="",L90="",L90=0),"",H90/L90)</f>
        <v/>
      </c>
      <c r="P90" s="27" t="str">
        <f aca="false">IF(B90="","",COUNTIF(Sancoes!$C:$C,B90))</f>
        <v/>
      </c>
      <c r="Q90" s="27" t="str">
        <f aca="false">IF(B90="","",COUNTIF(Socios!$B:$B,B90))</f>
        <v/>
      </c>
      <c r="R90" s="27" t="str">
        <f aca="false">IF(B90="","",COUNTIFS(Socios!$B:$B,B90,Socios!$L:$L,"SIM"))</f>
        <v/>
      </c>
      <c r="S90" s="24"/>
      <c r="T90" s="11"/>
    </row>
    <row r="91" customFormat="false" ht="15" hidden="false" customHeight="false" outlineLevel="0" collapsed="false">
      <c r="A91" s="24"/>
      <c r="B91" s="31" t="str">
        <f aca="false">IF(A91="","",IF(LEN(UPPER(SUBSTITUTE(SUBSTITUTE(SUBSTITUTE(SUBSTITUTE(TRIM(A91),".",""),"/",""),"-","")," ","")))&lt;14,RIGHT(REPT("0",14)&amp;UPPER(SUBSTITUTE(SUBSTITUTE(SUBSTITUTE(SUBSTITUTE(TRIM(A91),".",""),"/",""),"-","")," ","")),14),UPPER(SUBSTITUTE(SUBSTITUTE(SUBSTITUTE(SUBSTITUTE(TRIM(A91),".",""),"/",""),"-","")," ",""))))</f>
        <v/>
      </c>
      <c r="C91" s="11"/>
      <c r="D91" s="23"/>
      <c r="E91" s="22"/>
      <c r="F91" s="23"/>
      <c r="G91" s="11"/>
      <c r="H91" s="35"/>
      <c r="I91" s="11"/>
      <c r="J91" s="23"/>
      <c r="K91" s="27" t="str">
        <f aca="false">IF(B91="","",COUNTIF(Contratos!$D:$D,B91))</f>
        <v/>
      </c>
      <c r="L91" s="36" t="str">
        <f aca="false">IF(B91="","",SUMIFS(Contratos!$K:$K,Contratos!$D:$D,B91))</f>
        <v/>
      </c>
      <c r="M91" s="36" t="str">
        <f aca="false">IF(B91="","",SUMIFS(Pagamentos!$G:$G,Pagamentos!$D:$D,B91,Pagamentos!$F:$F,"Empenho"))</f>
        <v/>
      </c>
      <c r="N91" s="36" t="str">
        <f aca="false">IF(B91="","",SUMIFS(Pagamentos!$G:$G,Pagamentos!$D:$D,B91,Pagamentos!$F:$F,"Pagamento"))</f>
        <v/>
      </c>
      <c r="O91" s="37" t="str">
        <f aca="false">IF(OR(B91="",H91="",L91="",L91=0),"",H91/L91)</f>
        <v/>
      </c>
      <c r="P91" s="27" t="str">
        <f aca="false">IF(B91="","",COUNTIF(Sancoes!$C:$C,B91))</f>
        <v/>
      </c>
      <c r="Q91" s="27" t="str">
        <f aca="false">IF(B91="","",COUNTIF(Socios!$B:$B,B91))</f>
        <v/>
      </c>
      <c r="R91" s="27" t="str">
        <f aca="false">IF(B91="","",COUNTIFS(Socios!$B:$B,B91,Socios!$L:$L,"SIM"))</f>
        <v/>
      </c>
      <c r="S91" s="24"/>
      <c r="T91" s="11"/>
    </row>
    <row r="92" customFormat="false" ht="15" hidden="false" customHeight="false" outlineLevel="0" collapsed="false">
      <c r="A92" s="24"/>
      <c r="B92" s="31" t="str">
        <f aca="false">IF(A92="","",IF(LEN(UPPER(SUBSTITUTE(SUBSTITUTE(SUBSTITUTE(SUBSTITUTE(TRIM(A92),".",""),"/",""),"-","")," ","")))&lt;14,RIGHT(REPT("0",14)&amp;UPPER(SUBSTITUTE(SUBSTITUTE(SUBSTITUTE(SUBSTITUTE(TRIM(A92),".",""),"/",""),"-","")," ","")),14),UPPER(SUBSTITUTE(SUBSTITUTE(SUBSTITUTE(SUBSTITUTE(TRIM(A92),".",""),"/",""),"-","")," ",""))))</f>
        <v/>
      </c>
      <c r="C92" s="11"/>
      <c r="D92" s="23"/>
      <c r="E92" s="22"/>
      <c r="F92" s="23"/>
      <c r="G92" s="11"/>
      <c r="H92" s="35"/>
      <c r="I92" s="11"/>
      <c r="J92" s="23"/>
      <c r="K92" s="27" t="str">
        <f aca="false">IF(B92="","",COUNTIF(Contratos!$D:$D,B92))</f>
        <v/>
      </c>
      <c r="L92" s="36" t="str">
        <f aca="false">IF(B92="","",SUMIFS(Contratos!$K:$K,Contratos!$D:$D,B92))</f>
        <v/>
      </c>
      <c r="M92" s="36" t="str">
        <f aca="false">IF(B92="","",SUMIFS(Pagamentos!$G:$G,Pagamentos!$D:$D,B92,Pagamentos!$F:$F,"Empenho"))</f>
        <v/>
      </c>
      <c r="N92" s="36" t="str">
        <f aca="false">IF(B92="","",SUMIFS(Pagamentos!$G:$G,Pagamentos!$D:$D,B92,Pagamentos!$F:$F,"Pagamento"))</f>
        <v/>
      </c>
      <c r="O92" s="37" t="str">
        <f aca="false">IF(OR(B92="",H92="",L92="",L92=0),"",H92/L92)</f>
        <v/>
      </c>
      <c r="P92" s="27" t="str">
        <f aca="false">IF(B92="","",COUNTIF(Sancoes!$C:$C,B92))</f>
        <v/>
      </c>
      <c r="Q92" s="27" t="str">
        <f aca="false">IF(B92="","",COUNTIF(Socios!$B:$B,B92))</f>
        <v/>
      </c>
      <c r="R92" s="27" t="str">
        <f aca="false">IF(B92="","",COUNTIFS(Socios!$B:$B,B92,Socios!$L:$L,"SIM"))</f>
        <v/>
      </c>
      <c r="S92" s="24"/>
      <c r="T92" s="11"/>
    </row>
    <row r="93" customFormat="false" ht="15" hidden="false" customHeight="false" outlineLevel="0" collapsed="false">
      <c r="A93" s="24"/>
      <c r="B93" s="31" t="str">
        <f aca="false">IF(A93="","",IF(LEN(UPPER(SUBSTITUTE(SUBSTITUTE(SUBSTITUTE(SUBSTITUTE(TRIM(A93),".",""),"/",""),"-","")," ","")))&lt;14,RIGHT(REPT("0",14)&amp;UPPER(SUBSTITUTE(SUBSTITUTE(SUBSTITUTE(SUBSTITUTE(TRIM(A93),".",""),"/",""),"-","")," ","")),14),UPPER(SUBSTITUTE(SUBSTITUTE(SUBSTITUTE(SUBSTITUTE(TRIM(A93),".",""),"/",""),"-","")," ",""))))</f>
        <v/>
      </c>
      <c r="C93" s="11"/>
      <c r="D93" s="23"/>
      <c r="E93" s="22"/>
      <c r="F93" s="23"/>
      <c r="G93" s="11"/>
      <c r="H93" s="35"/>
      <c r="I93" s="11"/>
      <c r="J93" s="23"/>
      <c r="K93" s="27" t="str">
        <f aca="false">IF(B93="","",COUNTIF(Contratos!$D:$D,B93))</f>
        <v/>
      </c>
      <c r="L93" s="36" t="str">
        <f aca="false">IF(B93="","",SUMIFS(Contratos!$K:$K,Contratos!$D:$D,B93))</f>
        <v/>
      </c>
      <c r="M93" s="36" t="str">
        <f aca="false">IF(B93="","",SUMIFS(Pagamentos!$G:$G,Pagamentos!$D:$D,B93,Pagamentos!$F:$F,"Empenho"))</f>
        <v/>
      </c>
      <c r="N93" s="36" t="str">
        <f aca="false">IF(B93="","",SUMIFS(Pagamentos!$G:$G,Pagamentos!$D:$D,B93,Pagamentos!$F:$F,"Pagamento"))</f>
        <v/>
      </c>
      <c r="O93" s="37" t="str">
        <f aca="false">IF(OR(B93="",H93="",L93="",L93=0),"",H93/L93)</f>
        <v/>
      </c>
      <c r="P93" s="27" t="str">
        <f aca="false">IF(B93="","",COUNTIF(Sancoes!$C:$C,B93))</f>
        <v/>
      </c>
      <c r="Q93" s="27" t="str">
        <f aca="false">IF(B93="","",COUNTIF(Socios!$B:$B,B93))</f>
        <v/>
      </c>
      <c r="R93" s="27" t="str">
        <f aca="false">IF(B93="","",COUNTIFS(Socios!$B:$B,B93,Socios!$L:$L,"SIM"))</f>
        <v/>
      </c>
      <c r="S93" s="24"/>
      <c r="T93" s="11"/>
    </row>
    <row r="94" customFormat="false" ht="15" hidden="false" customHeight="false" outlineLevel="0" collapsed="false">
      <c r="A94" s="24"/>
      <c r="B94" s="31" t="str">
        <f aca="false">IF(A94="","",IF(LEN(UPPER(SUBSTITUTE(SUBSTITUTE(SUBSTITUTE(SUBSTITUTE(TRIM(A94),".",""),"/",""),"-","")," ","")))&lt;14,RIGHT(REPT("0",14)&amp;UPPER(SUBSTITUTE(SUBSTITUTE(SUBSTITUTE(SUBSTITUTE(TRIM(A94),".",""),"/",""),"-","")," ","")),14),UPPER(SUBSTITUTE(SUBSTITUTE(SUBSTITUTE(SUBSTITUTE(TRIM(A94),".",""),"/",""),"-","")," ",""))))</f>
        <v/>
      </c>
      <c r="C94" s="11"/>
      <c r="D94" s="23"/>
      <c r="E94" s="22"/>
      <c r="F94" s="23"/>
      <c r="G94" s="11"/>
      <c r="H94" s="35"/>
      <c r="I94" s="11"/>
      <c r="J94" s="23"/>
      <c r="K94" s="27" t="str">
        <f aca="false">IF(B94="","",COUNTIF(Contratos!$D:$D,B94))</f>
        <v/>
      </c>
      <c r="L94" s="36" t="str">
        <f aca="false">IF(B94="","",SUMIFS(Contratos!$K:$K,Contratos!$D:$D,B94))</f>
        <v/>
      </c>
      <c r="M94" s="36" t="str">
        <f aca="false">IF(B94="","",SUMIFS(Pagamentos!$G:$G,Pagamentos!$D:$D,B94,Pagamentos!$F:$F,"Empenho"))</f>
        <v/>
      </c>
      <c r="N94" s="36" t="str">
        <f aca="false">IF(B94="","",SUMIFS(Pagamentos!$G:$G,Pagamentos!$D:$D,B94,Pagamentos!$F:$F,"Pagamento"))</f>
        <v/>
      </c>
      <c r="O94" s="37" t="str">
        <f aca="false">IF(OR(B94="",H94="",L94="",L94=0),"",H94/L94)</f>
        <v/>
      </c>
      <c r="P94" s="27" t="str">
        <f aca="false">IF(B94="","",COUNTIF(Sancoes!$C:$C,B94))</f>
        <v/>
      </c>
      <c r="Q94" s="27" t="str">
        <f aca="false">IF(B94="","",COUNTIF(Socios!$B:$B,B94))</f>
        <v/>
      </c>
      <c r="R94" s="27" t="str">
        <f aca="false">IF(B94="","",COUNTIFS(Socios!$B:$B,B94,Socios!$L:$L,"SIM"))</f>
        <v/>
      </c>
      <c r="S94" s="24"/>
      <c r="T94" s="11"/>
    </row>
    <row r="95" customFormat="false" ht="15" hidden="false" customHeight="false" outlineLevel="0" collapsed="false">
      <c r="A95" s="24"/>
      <c r="B95" s="31" t="str">
        <f aca="false">IF(A95="","",IF(LEN(UPPER(SUBSTITUTE(SUBSTITUTE(SUBSTITUTE(SUBSTITUTE(TRIM(A95),".",""),"/",""),"-","")," ","")))&lt;14,RIGHT(REPT("0",14)&amp;UPPER(SUBSTITUTE(SUBSTITUTE(SUBSTITUTE(SUBSTITUTE(TRIM(A95),".",""),"/",""),"-","")," ","")),14),UPPER(SUBSTITUTE(SUBSTITUTE(SUBSTITUTE(SUBSTITUTE(TRIM(A95),".",""),"/",""),"-","")," ",""))))</f>
        <v/>
      </c>
      <c r="C95" s="11"/>
      <c r="D95" s="23"/>
      <c r="E95" s="22"/>
      <c r="F95" s="23"/>
      <c r="G95" s="11"/>
      <c r="H95" s="35"/>
      <c r="I95" s="11"/>
      <c r="J95" s="23"/>
      <c r="K95" s="27" t="str">
        <f aca="false">IF(B95="","",COUNTIF(Contratos!$D:$D,B95))</f>
        <v/>
      </c>
      <c r="L95" s="36" t="str">
        <f aca="false">IF(B95="","",SUMIFS(Contratos!$K:$K,Contratos!$D:$D,B95))</f>
        <v/>
      </c>
      <c r="M95" s="36" t="str">
        <f aca="false">IF(B95="","",SUMIFS(Pagamentos!$G:$G,Pagamentos!$D:$D,B95,Pagamentos!$F:$F,"Empenho"))</f>
        <v/>
      </c>
      <c r="N95" s="36" t="str">
        <f aca="false">IF(B95="","",SUMIFS(Pagamentos!$G:$G,Pagamentos!$D:$D,B95,Pagamentos!$F:$F,"Pagamento"))</f>
        <v/>
      </c>
      <c r="O95" s="37" t="str">
        <f aca="false">IF(OR(B95="",H95="",L95="",L95=0),"",H95/L95)</f>
        <v/>
      </c>
      <c r="P95" s="27" t="str">
        <f aca="false">IF(B95="","",COUNTIF(Sancoes!$C:$C,B95))</f>
        <v/>
      </c>
      <c r="Q95" s="27" t="str">
        <f aca="false">IF(B95="","",COUNTIF(Socios!$B:$B,B95))</f>
        <v/>
      </c>
      <c r="R95" s="27" t="str">
        <f aca="false">IF(B95="","",COUNTIFS(Socios!$B:$B,B95,Socios!$L:$L,"SIM"))</f>
        <v/>
      </c>
      <c r="S95" s="24"/>
      <c r="T95" s="11"/>
    </row>
    <row r="96" customFormat="false" ht="15" hidden="false" customHeight="false" outlineLevel="0" collapsed="false">
      <c r="A96" s="24"/>
      <c r="B96" s="31" t="str">
        <f aca="false">IF(A96="","",IF(LEN(UPPER(SUBSTITUTE(SUBSTITUTE(SUBSTITUTE(SUBSTITUTE(TRIM(A96),".",""),"/",""),"-","")," ","")))&lt;14,RIGHT(REPT("0",14)&amp;UPPER(SUBSTITUTE(SUBSTITUTE(SUBSTITUTE(SUBSTITUTE(TRIM(A96),".",""),"/",""),"-","")," ","")),14),UPPER(SUBSTITUTE(SUBSTITUTE(SUBSTITUTE(SUBSTITUTE(TRIM(A96),".",""),"/",""),"-","")," ",""))))</f>
        <v/>
      </c>
      <c r="C96" s="11"/>
      <c r="D96" s="23"/>
      <c r="E96" s="22"/>
      <c r="F96" s="23"/>
      <c r="G96" s="11"/>
      <c r="H96" s="35"/>
      <c r="I96" s="11"/>
      <c r="J96" s="23"/>
      <c r="K96" s="27" t="str">
        <f aca="false">IF(B96="","",COUNTIF(Contratos!$D:$D,B96))</f>
        <v/>
      </c>
      <c r="L96" s="36" t="str">
        <f aca="false">IF(B96="","",SUMIFS(Contratos!$K:$K,Contratos!$D:$D,B96))</f>
        <v/>
      </c>
      <c r="M96" s="36" t="str">
        <f aca="false">IF(B96="","",SUMIFS(Pagamentos!$G:$G,Pagamentos!$D:$D,B96,Pagamentos!$F:$F,"Empenho"))</f>
        <v/>
      </c>
      <c r="N96" s="36" t="str">
        <f aca="false">IF(B96="","",SUMIFS(Pagamentos!$G:$G,Pagamentos!$D:$D,B96,Pagamentos!$F:$F,"Pagamento"))</f>
        <v/>
      </c>
      <c r="O96" s="37" t="str">
        <f aca="false">IF(OR(B96="",H96="",L96="",L96=0),"",H96/L96)</f>
        <v/>
      </c>
      <c r="P96" s="27" t="str">
        <f aca="false">IF(B96="","",COUNTIF(Sancoes!$C:$C,B96))</f>
        <v/>
      </c>
      <c r="Q96" s="27" t="str">
        <f aca="false">IF(B96="","",COUNTIF(Socios!$B:$B,B96))</f>
        <v/>
      </c>
      <c r="R96" s="27" t="str">
        <f aca="false">IF(B96="","",COUNTIFS(Socios!$B:$B,B96,Socios!$L:$L,"SIM"))</f>
        <v/>
      </c>
      <c r="S96" s="24"/>
      <c r="T96" s="11"/>
    </row>
    <row r="97" customFormat="false" ht="15" hidden="false" customHeight="false" outlineLevel="0" collapsed="false">
      <c r="A97" s="24"/>
      <c r="B97" s="31" t="str">
        <f aca="false">IF(A97="","",IF(LEN(UPPER(SUBSTITUTE(SUBSTITUTE(SUBSTITUTE(SUBSTITUTE(TRIM(A97),".",""),"/",""),"-","")," ","")))&lt;14,RIGHT(REPT("0",14)&amp;UPPER(SUBSTITUTE(SUBSTITUTE(SUBSTITUTE(SUBSTITUTE(TRIM(A97),".",""),"/",""),"-","")," ","")),14),UPPER(SUBSTITUTE(SUBSTITUTE(SUBSTITUTE(SUBSTITUTE(TRIM(A97),".",""),"/",""),"-","")," ",""))))</f>
        <v/>
      </c>
      <c r="C97" s="11"/>
      <c r="D97" s="23"/>
      <c r="E97" s="22"/>
      <c r="F97" s="23"/>
      <c r="G97" s="11"/>
      <c r="H97" s="35"/>
      <c r="I97" s="11"/>
      <c r="J97" s="23"/>
      <c r="K97" s="27" t="str">
        <f aca="false">IF(B97="","",COUNTIF(Contratos!$D:$D,B97))</f>
        <v/>
      </c>
      <c r="L97" s="36" t="str">
        <f aca="false">IF(B97="","",SUMIFS(Contratos!$K:$K,Contratos!$D:$D,B97))</f>
        <v/>
      </c>
      <c r="M97" s="36" t="str">
        <f aca="false">IF(B97="","",SUMIFS(Pagamentos!$G:$G,Pagamentos!$D:$D,B97,Pagamentos!$F:$F,"Empenho"))</f>
        <v/>
      </c>
      <c r="N97" s="36" t="str">
        <f aca="false">IF(B97="","",SUMIFS(Pagamentos!$G:$G,Pagamentos!$D:$D,B97,Pagamentos!$F:$F,"Pagamento"))</f>
        <v/>
      </c>
      <c r="O97" s="37" t="str">
        <f aca="false">IF(OR(B97="",H97="",L97="",L97=0),"",H97/L97)</f>
        <v/>
      </c>
      <c r="P97" s="27" t="str">
        <f aca="false">IF(B97="","",COUNTIF(Sancoes!$C:$C,B97))</f>
        <v/>
      </c>
      <c r="Q97" s="27" t="str">
        <f aca="false">IF(B97="","",COUNTIF(Socios!$B:$B,B97))</f>
        <v/>
      </c>
      <c r="R97" s="27" t="str">
        <f aca="false">IF(B97="","",COUNTIFS(Socios!$B:$B,B97,Socios!$L:$L,"SIM"))</f>
        <v/>
      </c>
      <c r="S97" s="24"/>
      <c r="T97" s="11"/>
    </row>
    <row r="98" customFormat="false" ht="15" hidden="false" customHeight="false" outlineLevel="0" collapsed="false">
      <c r="A98" s="24"/>
      <c r="B98" s="31" t="str">
        <f aca="false">IF(A98="","",IF(LEN(UPPER(SUBSTITUTE(SUBSTITUTE(SUBSTITUTE(SUBSTITUTE(TRIM(A98),".",""),"/",""),"-","")," ","")))&lt;14,RIGHT(REPT("0",14)&amp;UPPER(SUBSTITUTE(SUBSTITUTE(SUBSTITUTE(SUBSTITUTE(TRIM(A98),".",""),"/",""),"-","")," ","")),14),UPPER(SUBSTITUTE(SUBSTITUTE(SUBSTITUTE(SUBSTITUTE(TRIM(A98),".",""),"/",""),"-","")," ",""))))</f>
        <v/>
      </c>
      <c r="C98" s="11"/>
      <c r="D98" s="23"/>
      <c r="E98" s="22"/>
      <c r="F98" s="23"/>
      <c r="G98" s="11"/>
      <c r="H98" s="35"/>
      <c r="I98" s="11"/>
      <c r="J98" s="23"/>
      <c r="K98" s="27" t="str">
        <f aca="false">IF(B98="","",COUNTIF(Contratos!$D:$D,B98))</f>
        <v/>
      </c>
      <c r="L98" s="36" t="str">
        <f aca="false">IF(B98="","",SUMIFS(Contratos!$K:$K,Contratos!$D:$D,B98))</f>
        <v/>
      </c>
      <c r="M98" s="36" t="str">
        <f aca="false">IF(B98="","",SUMIFS(Pagamentos!$G:$G,Pagamentos!$D:$D,B98,Pagamentos!$F:$F,"Empenho"))</f>
        <v/>
      </c>
      <c r="N98" s="36" t="str">
        <f aca="false">IF(B98="","",SUMIFS(Pagamentos!$G:$G,Pagamentos!$D:$D,B98,Pagamentos!$F:$F,"Pagamento"))</f>
        <v/>
      </c>
      <c r="O98" s="37" t="str">
        <f aca="false">IF(OR(B98="",H98="",L98="",L98=0),"",H98/L98)</f>
        <v/>
      </c>
      <c r="P98" s="27" t="str">
        <f aca="false">IF(B98="","",COUNTIF(Sancoes!$C:$C,B98))</f>
        <v/>
      </c>
      <c r="Q98" s="27" t="str">
        <f aca="false">IF(B98="","",COUNTIF(Socios!$B:$B,B98))</f>
        <v/>
      </c>
      <c r="R98" s="27" t="str">
        <f aca="false">IF(B98="","",COUNTIFS(Socios!$B:$B,B98,Socios!$L:$L,"SIM"))</f>
        <v/>
      </c>
      <c r="S98" s="24"/>
      <c r="T98" s="11"/>
    </row>
    <row r="99" customFormat="false" ht="15" hidden="false" customHeight="false" outlineLevel="0" collapsed="false">
      <c r="A99" s="24"/>
      <c r="B99" s="31" t="str">
        <f aca="false">IF(A99="","",IF(LEN(UPPER(SUBSTITUTE(SUBSTITUTE(SUBSTITUTE(SUBSTITUTE(TRIM(A99),".",""),"/",""),"-","")," ","")))&lt;14,RIGHT(REPT("0",14)&amp;UPPER(SUBSTITUTE(SUBSTITUTE(SUBSTITUTE(SUBSTITUTE(TRIM(A99),".",""),"/",""),"-","")," ","")),14),UPPER(SUBSTITUTE(SUBSTITUTE(SUBSTITUTE(SUBSTITUTE(TRIM(A99),".",""),"/",""),"-","")," ",""))))</f>
        <v/>
      </c>
      <c r="C99" s="11"/>
      <c r="D99" s="23"/>
      <c r="E99" s="22"/>
      <c r="F99" s="23"/>
      <c r="G99" s="11"/>
      <c r="H99" s="35"/>
      <c r="I99" s="11"/>
      <c r="J99" s="23"/>
      <c r="K99" s="27" t="str">
        <f aca="false">IF(B99="","",COUNTIF(Contratos!$D:$D,B99))</f>
        <v/>
      </c>
      <c r="L99" s="36" t="str">
        <f aca="false">IF(B99="","",SUMIFS(Contratos!$K:$K,Contratos!$D:$D,B99))</f>
        <v/>
      </c>
      <c r="M99" s="36" t="str">
        <f aca="false">IF(B99="","",SUMIFS(Pagamentos!$G:$G,Pagamentos!$D:$D,B99,Pagamentos!$F:$F,"Empenho"))</f>
        <v/>
      </c>
      <c r="N99" s="36" t="str">
        <f aca="false">IF(B99="","",SUMIFS(Pagamentos!$G:$G,Pagamentos!$D:$D,B99,Pagamentos!$F:$F,"Pagamento"))</f>
        <v/>
      </c>
      <c r="O99" s="37" t="str">
        <f aca="false">IF(OR(B99="",H99="",L99="",L99=0),"",H99/L99)</f>
        <v/>
      </c>
      <c r="P99" s="27" t="str">
        <f aca="false">IF(B99="","",COUNTIF(Sancoes!$C:$C,B99))</f>
        <v/>
      </c>
      <c r="Q99" s="27" t="str">
        <f aca="false">IF(B99="","",COUNTIF(Socios!$B:$B,B99))</f>
        <v/>
      </c>
      <c r="R99" s="27" t="str">
        <f aca="false">IF(B99="","",COUNTIFS(Socios!$B:$B,B99,Socios!$L:$L,"SIM"))</f>
        <v/>
      </c>
      <c r="S99" s="24"/>
      <c r="T99" s="11"/>
    </row>
    <row r="100" customFormat="false" ht="15" hidden="false" customHeight="false" outlineLevel="0" collapsed="false">
      <c r="A100" s="24"/>
      <c r="B100" s="31" t="str">
        <f aca="false">IF(A100="","",IF(LEN(UPPER(SUBSTITUTE(SUBSTITUTE(SUBSTITUTE(SUBSTITUTE(TRIM(A100),".",""),"/",""),"-","")," ","")))&lt;14,RIGHT(REPT("0",14)&amp;UPPER(SUBSTITUTE(SUBSTITUTE(SUBSTITUTE(SUBSTITUTE(TRIM(A100),".",""),"/",""),"-","")," ","")),14),UPPER(SUBSTITUTE(SUBSTITUTE(SUBSTITUTE(SUBSTITUTE(TRIM(A100),".",""),"/",""),"-","")," ",""))))</f>
        <v/>
      </c>
      <c r="C100" s="11"/>
      <c r="D100" s="23"/>
      <c r="E100" s="22"/>
      <c r="F100" s="23"/>
      <c r="G100" s="11"/>
      <c r="H100" s="35"/>
      <c r="I100" s="11"/>
      <c r="J100" s="23"/>
      <c r="K100" s="27" t="str">
        <f aca="false">IF(B100="","",COUNTIF(Contratos!$D:$D,B100))</f>
        <v/>
      </c>
      <c r="L100" s="36" t="str">
        <f aca="false">IF(B100="","",SUMIFS(Contratos!$K:$K,Contratos!$D:$D,B100))</f>
        <v/>
      </c>
      <c r="M100" s="36" t="str">
        <f aca="false">IF(B100="","",SUMIFS(Pagamentos!$G:$G,Pagamentos!$D:$D,B100,Pagamentos!$F:$F,"Empenho"))</f>
        <v/>
      </c>
      <c r="N100" s="36" t="str">
        <f aca="false">IF(B100="","",SUMIFS(Pagamentos!$G:$G,Pagamentos!$D:$D,B100,Pagamentos!$F:$F,"Pagamento"))</f>
        <v/>
      </c>
      <c r="O100" s="37" t="str">
        <f aca="false">IF(OR(B100="",H100="",L100="",L100=0),"",H100/L100)</f>
        <v/>
      </c>
      <c r="P100" s="27" t="str">
        <f aca="false">IF(B100="","",COUNTIF(Sancoes!$C:$C,B100))</f>
        <v/>
      </c>
      <c r="Q100" s="27" t="str">
        <f aca="false">IF(B100="","",COUNTIF(Socios!$B:$B,B100))</f>
        <v/>
      </c>
      <c r="R100" s="27" t="str">
        <f aca="false">IF(B100="","",COUNTIFS(Socios!$B:$B,B100,Socios!$L:$L,"SIM"))</f>
        <v/>
      </c>
      <c r="S100" s="24"/>
      <c r="T100" s="11"/>
    </row>
    <row r="101" customFormat="false" ht="15" hidden="false" customHeight="false" outlineLevel="0" collapsed="false">
      <c r="A101" s="24"/>
      <c r="B101" s="31" t="str">
        <f aca="false">IF(A101="","",IF(LEN(UPPER(SUBSTITUTE(SUBSTITUTE(SUBSTITUTE(SUBSTITUTE(TRIM(A101),".",""),"/",""),"-","")," ","")))&lt;14,RIGHT(REPT("0",14)&amp;UPPER(SUBSTITUTE(SUBSTITUTE(SUBSTITUTE(SUBSTITUTE(TRIM(A101),".",""),"/",""),"-","")," ","")),14),UPPER(SUBSTITUTE(SUBSTITUTE(SUBSTITUTE(SUBSTITUTE(TRIM(A101),".",""),"/",""),"-","")," ",""))))</f>
        <v/>
      </c>
      <c r="C101" s="11"/>
      <c r="D101" s="23"/>
      <c r="E101" s="22"/>
      <c r="F101" s="23"/>
      <c r="G101" s="11"/>
      <c r="H101" s="35"/>
      <c r="I101" s="11"/>
      <c r="J101" s="23"/>
      <c r="K101" s="27" t="str">
        <f aca="false">IF(B101="","",COUNTIF(Contratos!$D:$D,B101))</f>
        <v/>
      </c>
      <c r="L101" s="36" t="str">
        <f aca="false">IF(B101="","",SUMIFS(Contratos!$K:$K,Contratos!$D:$D,B101))</f>
        <v/>
      </c>
      <c r="M101" s="36" t="str">
        <f aca="false">IF(B101="","",SUMIFS(Pagamentos!$G:$G,Pagamentos!$D:$D,B101,Pagamentos!$F:$F,"Empenho"))</f>
        <v/>
      </c>
      <c r="N101" s="36" t="str">
        <f aca="false">IF(B101="","",SUMIFS(Pagamentos!$G:$G,Pagamentos!$D:$D,B101,Pagamentos!$F:$F,"Pagamento"))</f>
        <v/>
      </c>
      <c r="O101" s="37" t="str">
        <f aca="false">IF(OR(B101="",H101="",L101="",L101=0),"",H101/L101)</f>
        <v/>
      </c>
      <c r="P101" s="27" t="str">
        <f aca="false">IF(B101="","",COUNTIF(Sancoes!$C:$C,B101))</f>
        <v/>
      </c>
      <c r="Q101" s="27" t="str">
        <f aca="false">IF(B101="","",COUNTIF(Socios!$B:$B,B101))</f>
        <v/>
      </c>
      <c r="R101" s="27" t="str">
        <f aca="false">IF(B101="","",COUNTIFS(Socios!$B:$B,B101,Socios!$L:$L,"SIM"))</f>
        <v/>
      </c>
      <c r="S101" s="24"/>
      <c r="T101" s="11"/>
    </row>
    <row r="102" customFormat="false" ht="15" hidden="false" customHeight="false" outlineLevel="0" collapsed="false">
      <c r="A102" s="24"/>
      <c r="B102" s="31" t="str">
        <f aca="false">IF(A102="","",IF(LEN(UPPER(SUBSTITUTE(SUBSTITUTE(SUBSTITUTE(SUBSTITUTE(TRIM(A102),".",""),"/",""),"-","")," ","")))&lt;14,RIGHT(REPT("0",14)&amp;UPPER(SUBSTITUTE(SUBSTITUTE(SUBSTITUTE(SUBSTITUTE(TRIM(A102),".",""),"/",""),"-","")," ","")),14),UPPER(SUBSTITUTE(SUBSTITUTE(SUBSTITUTE(SUBSTITUTE(TRIM(A102),".",""),"/",""),"-","")," ",""))))</f>
        <v/>
      </c>
      <c r="C102" s="11"/>
      <c r="D102" s="23"/>
      <c r="E102" s="22"/>
      <c r="F102" s="23"/>
      <c r="G102" s="11"/>
      <c r="H102" s="35"/>
      <c r="I102" s="11"/>
      <c r="J102" s="23"/>
      <c r="K102" s="27" t="str">
        <f aca="false">IF(B102="","",COUNTIF(Contratos!$D:$D,B102))</f>
        <v/>
      </c>
      <c r="L102" s="36" t="str">
        <f aca="false">IF(B102="","",SUMIFS(Contratos!$K:$K,Contratos!$D:$D,B102))</f>
        <v/>
      </c>
      <c r="M102" s="36" t="str">
        <f aca="false">IF(B102="","",SUMIFS(Pagamentos!$G:$G,Pagamentos!$D:$D,B102,Pagamentos!$F:$F,"Empenho"))</f>
        <v/>
      </c>
      <c r="N102" s="36" t="str">
        <f aca="false">IF(B102="","",SUMIFS(Pagamentos!$G:$G,Pagamentos!$D:$D,B102,Pagamentos!$F:$F,"Pagamento"))</f>
        <v/>
      </c>
      <c r="O102" s="37" t="str">
        <f aca="false">IF(OR(B102="",H102="",L102="",L102=0),"",H102/L102)</f>
        <v/>
      </c>
      <c r="P102" s="27" t="str">
        <f aca="false">IF(B102="","",COUNTIF(Sancoes!$C:$C,B102))</f>
        <v/>
      </c>
      <c r="Q102" s="27" t="str">
        <f aca="false">IF(B102="","",COUNTIF(Socios!$B:$B,B102))</f>
        <v/>
      </c>
      <c r="R102" s="27" t="str">
        <f aca="false">IF(B102="","",COUNTIFS(Socios!$B:$B,B102,Socios!$L:$L,"SIM"))</f>
        <v/>
      </c>
      <c r="S102" s="24"/>
      <c r="T102" s="11"/>
    </row>
    <row r="103" customFormat="false" ht="15" hidden="false" customHeight="false" outlineLevel="0" collapsed="false">
      <c r="A103" s="24"/>
      <c r="B103" s="31" t="str">
        <f aca="false">IF(A103="","",IF(LEN(UPPER(SUBSTITUTE(SUBSTITUTE(SUBSTITUTE(SUBSTITUTE(TRIM(A103),".",""),"/",""),"-","")," ","")))&lt;14,RIGHT(REPT("0",14)&amp;UPPER(SUBSTITUTE(SUBSTITUTE(SUBSTITUTE(SUBSTITUTE(TRIM(A103),".",""),"/",""),"-","")," ","")),14),UPPER(SUBSTITUTE(SUBSTITUTE(SUBSTITUTE(SUBSTITUTE(TRIM(A103),".",""),"/",""),"-","")," ",""))))</f>
        <v/>
      </c>
      <c r="C103" s="11"/>
      <c r="D103" s="23"/>
      <c r="E103" s="22"/>
      <c r="F103" s="23"/>
      <c r="G103" s="11"/>
      <c r="H103" s="35"/>
      <c r="I103" s="11"/>
      <c r="J103" s="23"/>
      <c r="K103" s="27" t="str">
        <f aca="false">IF(B103="","",COUNTIF(Contratos!$D:$D,B103))</f>
        <v/>
      </c>
      <c r="L103" s="36" t="str">
        <f aca="false">IF(B103="","",SUMIFS(Contratos!$K:$K,Contratos!$D:$D,B103))</f>
        <v/>
      </c>
      <c r="M103" s="36" t="str">
        <f aca="false">IF(B103="","",SUMIFS(Pagamentos!$G:$G,Pagamentos!$D:$D,B103,Pagamentos!$F:$F,"Empenho"))</f>
        <v/>
      </c>
      <c r="N103" s="36" t="str">
        <f aca="false">IF(B103="","",SUMIFS(Pagamentos!$G:$G,Pagamentos!$D:$D,B103,Pagamentos!$F:$F,"Pagamento"))</f>
        <v/>
      </c>
      <c r="O103" s="37" t="str">
        <f aca="false">IF(OR(B103="",H103="",L103="",L103=0),"",H103/L103)</f>
        <v/>
      </c>
      <c r="P103" s="27" t="str">
        <f aca="false">IF(B103="","",COUNTIF(Sancoes!$C:$C,B103))</f>
        <v/>
      </c>
      <c r="Q103" s="27" t="str">
        <f aca="false">IF(B103="","",COUNTIF(Socios!$B:$B,B103))</f>
        <v/>
      </c>
      <c r="R103" s="27" t="str">
        <f aca="false">IF(B103="","",COUNTIFS(Socios!$B:$B,B103,Socios!$L:$L,"SIM"))</f>
        <v/>
      </c>
      <c r="S103" s="24"/>
      <c r="T103" s="11"/>
    </row>
    <row r="104" customFormat="false" ht="15" hidden="false" customHeight="false" outlineLevel="0" collapsed="false">
      <c r="A104" s="24"/>
      <c r="B104" s="31" t="str">
        <f aca="false">IF(A104="","",IF(LEN(UPPER(SUBSTITUTE(SUBSTITUTE(SUBSTITUTE(SUBSTITUTE(TRIM(A104),".",""),"/",""),"-","")," ","")))&lt;14,RIGHT(REPT("0",14)&amp;UPPER(SUBSTITUTE(SUBSTITUTE(SUBSTITUTE(SUBSTITUTE(TRIM(A104),".",""),"/",""),"-","")," ","")),14),UPPER(SUBSTITUTE(SUBSTITUTE(SUBSTITUTE(SUBSTITUTE(TRIM(A104),".",""),"/",""),"-","")," ",""))))</f>
        <v/>
      </c>
      <c r="C104" s="11"/>
      <c r="D104" s="23"/>
      <c r="E104" s="22"/>
      <c r="F104" s="23"/>
      <c r="G104" s="11"/>
      <c r="H104" s="35"/>
      <c r="I104" s="11"/>
      <c r="J104" s="23"/>
      <c r="K104" s="27" t="str">
        <f aca="false">IF(B104="","",COUNTIF(Contratos!$D:$D,B104))</f>
        <v/>
      </c>
      <c r="L104" s="36" t="str">
        <f aca="false">IF(B104="","",SUMIFS(Contratos!$K:$K,Contratos!$D:$D,B104))</f>
        <v/>
      </c>
      <c r="M104" s="36" t="str">
        <f aca="false">IF(B104="","",SUMIFS(Pagamentos!$G:$G,Pagamentos!$D:$D,B104,Pagamentos!$F:$F,"Empenho"))</f>
        <v/>
      </c>
      <c r="N104" s="36" t="str">
        <f aca="false">IF(B104="","",SUMIFS(Pagamentos!$G:$G,Pagamentos!$D:$D,B104,Pagamentos!$F:$F,"Pagamento"))</f>
        <v/>
      </c>
      <c r="O104" s="37" t="str">
        <f aca="false">IF(OR(B104="",H104="",L104="",L104=0),"",H104/L104)</f>
        <v/>
      </c>
      <c r="P104" s="27" t="str">
        <f aca="false">IF(B104="","",COUNTIF(Sancoes!$C:$C,B104))</f>
        <v/>
      </c>
      <c r="Q104" s="27" t="str">
        <f aca="false">IF(B104="","",COUNTIF(Socios!$B:$B,B104))</f>
        <v/>
      </c>
      <c r="R104" s="27" t="str">
        <f aca="false">IF(B104="","",COUNTIFS(Socios!$B:$B,B104,Socios!$L:$L,"SIM"))</f>
        <v/>
      </c>
      <c r="S104" s="24"/>
      <c r="T104" s="11"/>
    </row>
    <row r="105" customFormat="false" ht="15" hidden="false" customHeight="false" outlineLevel="0" collapsed="false">
      <c r="A105" s="24"/>
      <c r="B105" s="31" t="str">
        <f aca="false">IF(A105="","",IF(LEN(UPPER(SUBSTITUTE(SUBSTITUTE(SUBSTITUTE(SUBSTITUTE(TRIM(A105),".",""),"/",""),"-","")," ","")))&lt;14,RIGHT(REPT("0",14)&amp;UPPER(SUBSTITUTE(SUBSTITUTE(SUBSTITUTE(SUBSTITUTE(TRIM(A105),".",""),"/",""),"-","")," ","")),14),UPPER(SUBSTITUTE(SUBSTITUTE(SUBSTITUTE(SUBSTITUTE(TRIM(A105),".",""),"/",""),"-","")," ",""))))</f>
        <v/>
      </c>
      <c r="C105" s="11"/>
      <c r="D105" s="23"/>
      <c r="E105" s="22"/>
      <c r="F105" s="23"/>
      <c r="G105" s="11"/>
      <c r="H105" s="35"/>
      <c r="I105" s="11"/>
      <c r="J105" s="23"/>
      <c r="K105" s="27" t="str">
        <f aca="false">IF(B105="","",COUNTIF(Contratos!$D:$D,B105))</f>
        <v/>
      </c>
      <c r="L105" s="36" t="str">
        <f aca="false">IF(B105="","",SUMIFS(Contratos!$K:$K,Contratos!$D:$D,B105))</f>
        <v/>
      </c>
      <c r="M105" s="36" t="str">
        <f aca="false">IF(B105="","",SUMIFS(Pagamentos!$G:$G,Pagamentos!$D:$D,B105,Pagamentos!$F:$F,"Empenho"))</f>
        <v/>
      </c>
      <c r="N105" s="36" t="str">
        <f aca="false">IF(B105="","",SUMIFS(Pagamentos!$G:$G,Pagamentos!$D:$D,B105,Pagamentos!$F:$F,"Pagamento"))</f>
        <v/>
      </c>
      <c r="O105" s="37" t="str">
        <f aca="false">IF(OR(B105="",H105="",L105="",L105=0),"",H105/L105)</f>
        <v/>
      </c>
      <c r="P105" s="27" t="str">
        <f aca="false">IF(B105="","",COUNTIF(Sancoes!$C:$C,B105))</f>
        <v/>
      </c>
      <c r="Q105" s="27" t="str">
        <f aca="false">IF(B105="","",COUNTIF(Socios!$B:$B,B105))</f>
        <v/>
      </c>
      <c r="R105" s="27" t="str">
        <f aca="false">IF(B105="","",COUNTIFS(Socios!$B:$B,B105,Socios!$L:$L,"SIM"))</f>
        <v/>
      </c>
      <c r="S105" s="24"/>
      <c r="T105" s="11"/>
    </row>
    <row r="106" customFormat="false" ht="15" hidden="false" customHeight="false" outlineLevel="0" collapsed="false">
      <c r="A106" s="24"/>
      <c r="B106" s="31" t="str">
        <f aca="false">IF(A106="","",IF(LEN(UPPER(SUBSTITUTE(SUBSTITUTE(SUBSTITUTE(SUBSTITUTE(TRIM(A106),".",""),"/",""),"-","")," ","")))&lt;14,RIGHT(REPT("0",14)&amp;UPPER(SUBSTITUTE(SUBSTITUTE(SUBSTITUTE(SUBSTITUTE(TRIM(A106),".",""),"/",""),"-","")," ","")),14),UPPER(SUBSTITUTE(SUBSTITUTE(SUBSTITUTE(SUBSTITUTE(TRIM(A106),".",""),"/",""),"-","")," ",""))))</f>
        <v/>
      </c>
      <c r="C106" s="11"/>
      <c r="D106" s="23"/>
      <c r="E106" s="22"/>
      <c r="F106" s="23"/>
      <c r="G106" s="11"/>
      <c r="H106" s="35"/>
      <c r="I106" s="11"/>
      <c r="J106" s="23"/>
      <c r="K106" s="27" t="str">
        <f aca="false">IF(B106="","",COUNTIF(Contratos!$D:$D,B106))</f>
        <v/>
      </c>
      <c r="L106" s="36" t="str">
        <f aca="false">IF(B106="","",SUMIFS(Contratos!$K:$K,Contratos!$D:$D,B106))</f>
        <v/>
      </c>
      <c r="M106" s="36" t="str">
        <f aca="false">IF(B106="","",SUMIFS(Pagamentos!$G:$G,Pagamentos!$D:$D,B106,Pagamentos!$F:$F,"Empenho"))</f>
        <v/>
      </c>
      <c r="N106" s="36" t="str">
        <f aca="false">IF(B106="","",SUMIFS(Pagamentos!$G:$G,Pagamentos!$D:$D,B106,Pagamentos!$F:$F,"Pagamento"))</f>
        <v/>
      </c>
      <c r="O106" s="37" t="str">
        <f aca="false">IF(OR(B106="",H106="",L106="",L106=0),"",H106/L106)</f>
        <v/>
      </c>
      <c r="P106" s="27" t="str">
        <f aca="false">IF(B106="","",COUNTIF(Sancoes!$C:$C,B106))</f>
        <v/>
      </c>
      <c r="Q106" s="27" t="str">
        <f aca="false">IF(B106="","",COUNTIF(Socios!$B:$B,B106))</f>
        <v/>
      </c>
      <c r="R106" s="27" t="str">
        <f aca="false">IF(B106="","",COUNTIFS(Socios!$B:$B,B106,Socios!$L:$L,"SIM"))</f>
        <v/>
      </c>
      <c r="S106" s="24"/>
      <c r="T106" s="11"/>
    </row>
    <row r="107" customFormat="false" ht="15" hidden="false" customHeight="false" outlineLevel="0" collapsed="false">
      <c r="A107" s="24"/>
      <c r="B107" s="31" t="str">
        <f aca="false">IF(A107="","",IF(LEN(UPPER(SUBSTITUTE(SUBSTITUTE(SUBSTITUTE(SUBSTITUTE(TRIM(A107),".",""),"/",""),"-","")," ","")))&lt;14,RIGHT(REPT("0",14)&amp;UPPER(SUBSTITUTE(SUBSTITUTE(SUBSTITUTE(SUBSTITUTE(TRIM(A107),".",""),"/",""),"-","")," ","")),14),UPPER(SUBSTITUTE(SUBSTITUTE(SUBSTITUTE(SUBSTITUTE(TRIM(A107),".",""),"/",""),"-","")," ",""))))</f>
        <v/>
      </c>
      <c r="C107" s="11"/>
      <c r="D107" s="23"/>
      <c r="E107" s="22"/>
      <c r="F107" s="23"/>
      <c r="G107" s="11"/>
      <c r="H107" s="35"/>
      <c r="I107" s="11"/>
      <c r="J107" s="23"/>
      <c r="K107" s="27" t="str">
        <f aca="false">IF(B107="","",COUNTIF(Contratos!$D:$D,B107))</f>
        <v/>
      </c>
      <c r="L107" s="36" t="str">
        <f aca="false">IF(B107="","",SUMIFS(Contratos!$K:$K,Contratos!$D:$D,B107))</f>
        <v/>
      </c>
      <c r="M107" s="36" t="str">
        <f aca="false">IF(B107="","",SUMIFS(Pagamentos!$G:$G,Pagamentos!$D:$D,B107,Pagamentos!$F:$F,"Empenho"))</f>
        <v/>
      </c>
      <c r="N107" s="36" t="str">
        <f aca="false">IF(B107="","",SUMIFS(Pagamentos!$G:$G,Pagamentos!$D:$D,B107,Pagamentos!$F:$F,"Pagamento"))</f>
        <v/>
      </c>
      <c r="O107" s="37" t="str">
        <f aca="false">IF(OR(B107="",H107="",L107="",L107=0),"",H107/L107)</f>
        <v/>
      </c>
      <c r="P107" s="27" t="str">
        <f aca="false">IF(B107="","",COUNTIF(Sancoes!$C:$C,B107))</f>
        <v/>
      </c>
      <c r="Q107" s="27" t="str">
        <f aca="false">IF(B107="","",COUNTIF(Socios!$B:$B,B107))</f>
        <v/>
      </c>
      <c r="R107" s="27" t="str">
        <f aca="false">IF(B107="","",COUNTIFS(Socios!$B:$B,B107,Socios!$L:$L,"SIM"))</f>
        <v/>
      </c>
      <c r="S107" s="24"/>
      <c r="T107" s="11"/>
    </row>
    <row r="108" customFormat="false" ht="15" hidden="false" customHeight="false" outlineLevel="0" collapsed="false">
      <c r="A108" s="24"/>
      <c r="B108" s="31" t="str">
        <f aca="false">IF(A108="","",IF(LEN(UPPER(SUBSTITUTE(SUBSTITUTE(SUBSTITUTE(SUBSTITUTE(TRIM(A108),".",""),"/",""),"-","")," ","")))&lt;14,RIGHT(REPT("0",14)&amp;UPPER(SUBSTITUTE(SUBSTITUTE(SUBSTITUTE(SUBSTITUTE(TRIM(A108),".",""),"/",""),"-","")," ","")),14),UPPER(SUBSTITUTE(SUBSTITUTE(SUBSTITUTE(SUBSTITUTE(TRIM(A108),".",""),"/",""),"-","")," ",""))))</f>
        <v/>
      </c>
      <c r="C108" s="11"/>
      <c r="D108" s="23"/>
      <c r="E108" s="22"/>
      <c r="F108" s="23"/>
      <c r="G108" s="11"/>
      <c r="H108" s="35"/>
      <c r="I108" s="11"/>
      <c r="J108" s="23"/>
      <c r="K108" s="27" t="str">
        <f aca="false">IF(B108="","",COUNTIF(Contratos!$D:$D,B108))</f>
        <v/>
      </c>
      <c r="L108" s="36" t="str">
        <f aca="false">IF(B108="","",SUMIFS(Contratos!$K:$K,Contratos!$D:$D,B108))</f>
        <v/>
      </c>
      <c r="M108" s="36" t="str">
        <f aca="false">IF(B108="","",SUMIFS(Pagamentos!$G:$G,Pagamentos!$D:$D,B108,Pagamentos!$F:$F,"Empenho"))</f>
        <v/>
      </c>
      <c r="N108" s="36" t="str">
        <f aca="false">IF(B108="","",SUMIFS(Pagamentos!$G:$G,Pagamentos!$D:$D,B108,Pagamentos!$F:$F,"Pagamento"))</f>
        <v/>
      </c>
      <c r="O108" s="37" t="str">
        <f aca="false">IF(OR(B108="",H108="",L108="",L108=0),"",H108/L108)</f>
        <v/>
      </c>
      <c r="P108" s="27" t="str">
        <f aca="false">IF(B108="","",COUNTIF(Sancoes!$C:$C,B108))</f>
        <v/>
      </c>
      <c r="Q108" s="27" t="str">
        <f aca="false">IF(B108="","",COUNTIF(Socios!$B:$B,B108))</f>
        <v/>
      </c>
      <c r="R108" s="27" t="str">
        <f aca="false">IF(B108="","",COUNTIFS(Socios!$B:$B,B108,Socios!$L:$L,"SIM"))</f>
        <v/>
      </c>
      <c r="S108" s="24"/>
      <c r="T108" s="11"/>
    </row>
    <row r="109" customFormat="false" ht="15" hidden="false" customHeight="false" outlineLevel="0" collapsed="false">
      <c r="A109" s="24"/>
      <c r="B109" s="31" t="str">
        <f aca="false">IF(A109="","",IF(LEN(UPPER(SUBSTITUTE(SUBSTITUTE(SUBSTITUTE(SUBSTITUTE(TRIM(A109),".",""),"/",""),"-","")," ","")))&lt;14,RIGHT(REPT("0",14)&amp;UPPER(SUBSTITUTE(SUBSTITUTE(SUBSTITUTE(SUBSTITUTE(TRIM(A109),".",""),"/",""),"-","")," ","")),14),UPPER(SUBSTITUTE(SUBSTITUTE(SUBSTITUTE(SUBSTITUTE(TRIM(A109),".",""),"/",""),"-","")," ",""))))</f>
        <v/>
      </c>
      <c r="C109" s="11"/>
      <c r="D109" s="23"/>
      <c r="E109" s="22"/>
      <c r="F109" s="23"/>
      <c r="G109" s="11"/>
      <c r="H109" s="35"/>
      <c r="I109" s="11"/>
      <c r="J109" s="23"/>
      <c r="K109" s="27" t="str">
        <f aca="false">IF(B109="","",COUNTIF(Contratos!$D:$D,B109))</f>
        <v/>
      </c>
      <c r="L109" s="36" t="str">
        <f aca="false">IF(B109="","",SUMIFS(Contratos!$K:$K,Contratos!$D:$D,B109))</f>
        <v/>
      </c>
      <c r="M109" s="36" t="str">
        <f aca="false">IF(B109="","",SUMIFS(Pagamentos!$G:$G,Pagamentos!$D:$D,B109,Pagamentos!$F:$F,"Empenho"))</f>
        <v/>
      </c>
      <c r="N109" s="36" t="str">
        <f aca="false">IF(B109="","",SUMIFS(Pagamentos!$G:$G,Pagamentos!$D:$D,B109,Pagamentos!$F:$F,"Pagamento"))</f>
        <v/>
      </c>
      <c r="O109" s="37" t="str">
        <f aca="false">IF(OR(B109="",H109="",L109="",L109=0),"",H109/L109)</f>
        <v/>
      </c>
      <c r="P109" s="27" t="str">
        <f aca="false">IF(B109="","",COUNTIF(Sancoes!$C:$C,B109))</f>
        <v/>
      </c>
      <c r="Q109" s="27" t="str">
        <f aca="false">IF(B109="","",COUNTIF(Socios!$B:$B,B109))</f>
        <v/>
      </c>
      <c r="R109" s="27" t="str">
        <f aca="false">IF(B109="","",COUNTIFS(Socios!$B:$B,B109,Socios!$L:$L,"SIM"))</f>
        <v/>
      </c>
      <c r="S109" s="24"/>
      <c r="T109" s="11"/>
    </row>
    <row r="110" customFormat="false" ht="15" hidden="false" customHeight="false" outlineLevel="0" collapsed="false">
      <c r="A110" s="24"/>
      <c r="B110" s="31" t="str">
        <f aca="false">IF(A110="","",IF(LEN(UPPER(SUBSTITUTE(SUBSTITUTE(SUBSTITUTE(SUBSTITUTE(TRIM(A110),".",""),"/",""),"-","")," ","")))&lt;14,RIGHT(REPT("0",14)&amp;UPPER(SUBSTITUTE(SUBSTITUTE(SUBSTITUTE(SUBSTITUTE(TRIM(A110),".",""),"/",""),"-","")," ","")),14),UPPER(SUBSTITUTE(SUBSTITUTE(SUBSTITUTE(SUBSTITUTE(TRIM(A110),".",""),"/",""),"-","")," ",""))))</f>
        <v/>
      </c>
      <c r="C110" s="11"/>
      <c r="D110" s="23"/>
      <c r="E110" s="22"/>
      <c r="F110" s="23"/>
      <c r="G110" s="11"/>
      <c r="H110" s="35"/>
      <c r="I110" s="11"/>
      <c r="J110" s="23"/>
      <c r="K110" s="27" t="str">
        <f aca="false">IF(B110="","",COUNTIF(Contratos!$D:$D,B110))</f>
        <v/>
      </c>
      <c r="L110" s="36" t="str">
        <f aca="false">IF(B110="","",SUMIFS(Contratos!$K:$K,Contratos!$D:$D,B110))</f>
        <v/>
      </c>
      <c r="M110" s="36" t="str">
        <f aca="false">IF(B110="","",SUMIFS(Pagamentos!$G:$G,Pagamentos!$D:$D,B110,Pagamentos!$F:$F,"Empenho"))</f>
        <v/>
      </c>
      <c r="N110" s="36" t="str">
        <f aca="false">IF(B110="","",SUMIFS(Pagamentos!$G:$G,Pagamentos!$D:$D,B110,Pagamentos!$F:$F,"Pagamento"))</f>
        <v/>
      </c>
      <c r="O110" s="37" t="str">
        <f aca="false">IF(OR(B110="",H110="",L110="",L110=0),"",H110/L110)</f>
        <v/>
      </c>
      <c r="P110" s="27" t="str">
        <f aca="false">IF(B110="","",COUNTIF(Sancoes!$C:$C,B110))</f>
        <v/>
      </c>
      <c r="Q110" s="27" t="str">
        <f aca="false">IF(B110="","",COUNTIF(Socios!$B:$B,B110))</f>
        <v/>
      </c>
      <c r="R110" s="27" t="str">
        <f aca="false">IF(B110="","",COUNTIFS(Socios!$B:$B,B110,Socios!$L:$L,"SIM"))</f>
        <v/>
      </c>
      <c r="S110" s="24"/>
      <c r="T110" s="11"/>
    </row>
    <row r="111" customFormat="false" ht="15" hidden="false" customHeight="false" outlineLevel="0" collapsed="false">
      <c r="A111" s="24"/>
      <c r="B111" s="31" t="str">
        <f aca="false">IF(A111="","",IF(LEN(UPPER(SUBSTITUTE(SUBSTITUTE(SUBSTITUTE(SUBSTITUTE(TRIM(A111),".",""),"/",""),"-","")," ","")))&lt;14,RIGHT(REPT("0",14)&amp;UPPER(SUBSTITUTE(SUBSTITUTE(SUBSTITUTE(SUBSTITUTE(TRIM(A111),".",""),"/",""),"-","")," ","")),14),UPPER(SUBSTITUTE(SUBSTITUTE(SUBSTITUTE(SUBSTITUTE(TRIM(A111),".",""),"/",""),"-","")," ",""))))</f>
        <v/>
      </c>
      <c r="C111" s="11"/>
      <c r="D111" s="23"/>
      <c r="E111" s="22"/>
      <c r="F111" s="23"/>
      <c r="G111" s="11"/>
      <c r="H111" s="35"/>
      <c r="I111" s="11"/>
      <c r="J111" s="23"/>
      <c r="K111" s="27" t="str">
        <f aca="false">IF(B111="","",COUNTIF(Contratos!$D:$D,B111))</f>
        <v/>
      </c>
      <c r="L111" s="36" t="str">
        <f aca="false">IF(B111="","",SUMIFS(Contratos!$K:$K,Contratos!$D:$D,B111))</f>
        <v/>
      </c>
      <c r="M111" s="36" t="str">
        <f aca="false">IF(B111="","",SUMIFS(Pagamentos!$G:$G,Pagamentos!$D:$D,B111,Pagamentos!$F:$F,"Empenho"))</f>
        <v/>
      </c>
      <c r="N111" s="36" t="str">
        <f aca="false">IF(B111="","",SUMIFS(Pagamentos!$G:$G,Pagamentos!$D:$D,B111,Pagamentos!$F:$F,"Pagamento"))</f>
        <v/>
      </c>
      <c r="O111" s="37" t="str">
        <f aca="false">IF(OR(B111="",H111="",L111="",L111=0),"",H111/L111)</f>
        <v/>
      </c>
      <c r="P111" s="27" t="str">
        <f aca="false">IF(B111="","",COUNTIF(Sancoes!$C:$C,B111))</f>
        <v/>
      </c>
      <c r="Q111" s="27" t="str">
        <f aca="false">IF(B111="","",COUNTIF(Socios!$B:$B,B111))</f>
        <v/>
      </c>
      <c r="R111" s="27" t="str">
        <f aca="false">IF(B111="","",COUNTIFS(Socios!$B:$B,B111,Socios!$L:$L,"SIM"))</f>
        <v/>
      </c>
      <c r="S111" s="24"/>
      <c r="T111" s="11"/>
    </row>
    <row r="112" customFormat="false" ht="15" hidden="false" customHeight="false" outlineLevel="0" collapsed="false">
      <c r="A112" s="24"/>
      <c r="B112" s="31" t="str">
        <f aca="false">IF(A112="","",IF(LEN(UPPER(SUBSTITUTE(SUBSTITUTE(SUBSTITUTE(SUBSTITUTE(TRIM(A112),".",""),"/",""),"-","")," ","")))&lt;14,RIGHT(REPT("0",14)&amp;UPPER(SUBSTITUTE(SUBSTITUTE(SUBSTITUTE(SUBSTITUTE(TRIM(A112),".",""),"/",""),"-","")," ","")),14),UPPER(SUBSTITUTE(SUBSTITUTE(SUBSTITUTE(SUBSTITUTE(TRIM(A112),".",""),"/",""),"-","")," ",""))))</f>
        <v/>
      </c>
      <c r="C112" s="11"/>
      <c r="D112" s="23"/>
      <c r="E112" s="22"/>
      <c r="F112" s="23"/>
      <c r="G112" s="11"/>
      <c r="H112" s="35"/>
      <c r="I112" s="11"/>
      <c r="J112" s="23"/>
      <c r="K112" s="27" t="str">
        <f aca="false">IF(B112="","",COUNTIF(Contratos!$D:$D,B112))</f>
        <v/>
      </c>
      <c r="L112" s="36" t="str">
        <f aca="false">IF(B112="","",SUMIFS(Contratos!$K:$K,Contratos!$D:$D,B112))</f>
        <v/>
      </c>
      <c r="M112" s="36" t="str">
        <f aca="false">IF(B112="","",SUMIFS(Pagamentos!$G:$G,Pagamentos!$D:$D,B112,Pagamentos!$F:$F,"Empenho"))</f>
        <v/>
      </c>
      <c r="N112" s="36" t="str">
        <f aca="false">IF(B112="","",SUMIFS(Pagamentos!$G:$G,Pagamentos!$D:$D,B112,Pagamentos!$F:$F,"Pagamento"))</f>
        <v/>
      </c>
      <c r="O112" s="37" t="str">
        <f aca="false">IF(OR(B112="",H112="",L112="",L112=0),"",H112/L112)</f>
        <v/>
      </c>
      <c r="P112" s="27" t="str">
        <f aca="false">IF(B112="","",COUNTIF(Sancoes!$C:$C,B112))</f>
        <v/>
      </c>
      <c r="Q112" s="27" t="str">
        <f aca="false">IF(B112="","",COUNTIF(Socios!$B:$B,B112))</f>
        <v/>
      </c>
      <c r="R112" s="27" t="str">
        <f aca="false">IF(B112="","",COUNTIFS(Socios!$B:$B,B112,Socios!$L:$L,"SIM"))</f>
        <v/>
      </c>
      <c r="S112" s="24"/>
      <c r="T112" s="11"/>
    </row>
    <row r="113" customFormat="false" ht="15" hidden="false" customHeight="false" outlineLevel="0" collapsed="false">
      <c r="A113" s="24"/>
      <c r="B113" s="31" t="str">
        <f aca="false">IF(A113="","",IF(LEN(UPPER(SUBSTITUTE(SUBSTITUTE(SUBSTITUTE(SUBSTITUTE(TRIM(A113),".",""),"/",""),"-","")," ","")))&lt;14,RIGHT(REPT("0",14)&amp;UPPER(SUBSTITUTE(SUBSTITUTE(SUBSTITUTE(SUBSTITUTE(TRIM(A113),".",""),"/",""),"-","")," ","")),14),UPPER(SUBSTITUTE(SUBSTITUTE(SUBSTITUTE(SUBSTITUTE(TRIM(A113),".",""),"/",""),"-","")," ",""))))</f>
        <v/>
      </c>
      <c r="C113" s="11"/>
      <c r="D113" s="23"/>
      <c r="E113" s="22"/>
      <c r="F113" s="23"/>
      <c r="G113" s="11"/>
      <c r="H113" s="35"/>
      <c r="I113" s="11"/>
      <c r="J113" s="23"/>
      <c r="K113" s="27" t="str">
        <f aca="false">IF(B113="","",COUNTIF(Contratos!$D:$D,B113))</f>
        <v/>
      </c>
      <c r="L113" s="36" t="str">
        <f aca="false">IF(B113="","",SUMIFS(Contratos!$K:$K,Contratos!$D:$D,B113))</f>
        <v/>
      </c>
      <c r="M113" s="36" t="str">
        <f aca="false">IF(B113="","",SUMIFS(Pagamentos!$G:$G,Pagamentos!$D:$D,B113,Pagamentos!$F:$F,"Empenho"))</f>
        <v/>
      </c>
      <c r="N113" s="36" t="str">
        <f aca="false">IF(B113="","",SUMIFS(Pagamentos!$G:$G,Pagamentos!$D:$D,B113,Pagamentos!$F:$F,"Pagamento"))</f>
        <v/>
      </c>
      <c r="O113" s="37" t="str">
        <f aca="false">IF(OR(B113="",H113="",L113="",L113=0),"",H113/L113)</f>
        <v/>
      </c>
      <c r="P113" s="27" t="str">
        <f aca="false">IF(B113="","",COUNTIF(Sancoes!$C:$C,B113))</f>
        <v/>
      </c>
      <c r="Q113" s="27" t="str">
        <f aca="false">IF(B113="","",COUNTIF(Socios!$B:$B,B113))</f>
        <v/>
      </c>
      <c r="R113" s="27" t="str">
        <f aca="false">IF(B113="","",COUNTIFS(Socios!$B:$B,B113,Socios!$L:$L,"SIM"))</f>
        <v/>
      </c>
      <c r="S113" s="24"/>
      <c r="T113" s="11"/>
    </row>
    <row r="114" customFormat="false" ht="15" hidden="false" customHeight="false" outlineLevel="0" collapsed="false">
      <c r="A114" s="24"/>
      <c r="B114" s="31" t="str">
        <f aca="false">IF(A114="","",IF(LEN(UPPER(SUBSTITUTE(SUBSTITUTE(SUBSTITUTE(SUBSTITUTE(TRIM(A114),".",""),"/",""),"-","")," ","")))&lt;14,RIGHT(REPT("0",14)&amp;UPPER(SUBSTITUTE(SUBSTITUTE(SUBSTITUTE(SUBSTITUTE(TRIM(A114),".",""),"/",""),"-","")," ","")),14),UPPER(SUBSTITUTE(SUBSTITUTE(SUBSTITUTE(SUBSTITUTE(TRIM(A114),".",""),"/",""),"-","")," ",""))))</f>
        <v/>
      </c>
      <c r="C114" s="11"/>
      <c r="D114" s="23"/>
      <c r="E114" s="22"/>
      <c r="F114" s="23"/>
      <c r="G114" s="11"/>
      <c r="H114" s="35"/>
      <c r="I114" s="11"/>
      <c r="J114" s="23"/>
      <c r="K114" s="27" t="str">
        <f aca="false">IF(B114="","",COUNTIF(Contratos!$D:$D,B114))</f>
        <v/>
      </c>
      <c r="L114" s="36" t="str">
        <f aca="false">IF(B114="","",SUMIFS(Contratos!$K:$K,Contratos!$D:$D,B114))</f>
        <v/>
      </c>
      <c r="M114" s="36" t="str">
        <f aca="false">IF(B114="","",SUMIFS(Pagamentos!$G:$G,Pagamentos!$D:$D,B114,Pagamentos!$F:$F,"Empenho"))</f>
        <v/>
      </c>
      <c r="N114" s="36" t="str">
        <f aca="false">IF(B114="","",SUMIFS(Pagamentos!$G:$G,Pagamentos!$D:$D,B114,Pagamentos!$F:$F,"Pagamento"))</f>
        <v/>
      </c>
      <c r="O114" s="37" t="str">
        <f aca="false">IF(OR(B114="",H114="",L114="",L114=0),"",H114/L114)</f>
        <v/>
      </c>
      <c r="P114" s="27" t="str">
        <f aca="false">IF(B114="","",COUNTIF(Sancoes!$C:$C,B114))</f>
        <v/>
      </c>
      <c r="Q114" s="27" t="str">
        <f aca="false">IF(B114="","",COUNTIF(Socios!$B:$B,B114))</f>
        <v/>
      </c>
      <c r="R114" s="27" t="str">
        <f aca="false">IF(B114="","",COUNTIFS(Socios!$B:$B,B114,Socios!$L:$L,"SIM"))</f>
        <v/>
      </c>
      <c r="S114" s="24"/>
      <c r="T114" s="11"/>
    </row>
    <row r="115" customFormat="false" ht="15" hidden="false" customHeight="false" outlineLevel="0" collapsed="false">
      <c r="A115" s="24"/>
      <c r="B115" s="31" t="str">
        <f aca="false">IF(A115="","",IF(LEN(UPPER(SUBSTITUTE(SUBSTITUTE(SUBSTITUTE(SUBSTITUTE(TRIM(A115),".",""),"/",""),"-","")," ","")))&lt;14,RIGHT(REPT("0",14)&amp;UPPER(SUBSTITUTE(SUBSTITUTE(SUBSTITUTE(SUBSTITUTE(TRIM(A115),".",""),"/",""),"-","")," ","")),14),UPPER(SUBSTITUTE(SUBSTITUTE(SUBSTITUTE(SUBSTITUTE(TRIM(A115),".",""),"/",""),"-","")," ",""))))</f>
        <v/>
      </c>
      <c r="C115" s="11"/>
      <c r="D115" s="23"/>
      <c r="E115" s="22"/>
      <c r="F115" s="23"/>
      <c r="G115" s="11"/>
      <c r="H115" s="35"/>
      <c r="I115" s="11"/>
      <c r="J115" s="23"/>
      <c r="K115" s="27" t="str">
        <f aca="false">IF(B115="","",COUNTIF(Contratos!$D:$D,B115))</f>
        <v/>
      </c>
      <c r="L115" s="36" t="str">
        <f aca="false">IF(B115="","",SUMIFS(Contratos!$K:$K,Contratos!$D:$D,B115))</f>
        <v/>
      </c>
      <c r="M115" s="36" t="str">
        <f aca="false">IF(B115="","",SUMIFS(Pagamentos!$G:$G,Pagamentos!$D:$D,B115,Pagamentos!$F:$F,"Empenho"))</f>
        <v/>
      </c>
      <c r="N115" s="36" t="str">
        <f aca="false">IF(B115="","",SUMIFS(Pagamentos!$G:$G,Pagamentos!$D:$D,B115,Pagamentos!$F:$F,"Pagamento"))</f>
        <v/>
      </c>
      <c r="O115" s="37" t="str">
        <f aca="false">IF(OR(B115="",H115="",L115="",L115=0),"",H115/L115)</f>
        <v/>
      </c>
      <c r="P115" s="27" t="str">
        <f aca="false">IF(B115="","",COUNTIF(Sancoes!$C:$C,B115))</f>
        <v/>
      </c>
      <c r="Q115" s="27" t="str">
        <f aca="false">IF(B115="","",COUNTIF(Socios!$B:$B,B115))</f>
        <v/>
      </c>
      <c r="R115" s="27" t="str">
        <f aca="false">IF(B115="","",COUNTIFS(Socios!$B:$B,B115,Socios!$L:$L,"SIM"))</f>
        <v/>
      </c>
      <c r="S115" s="24"/>
      <c r="T115" s="11"/>
    </row>
    <row r="116" customFormat="false" ht="15" hidden="false" customHeight="false" outlineLevel="0" collapsed="false">
      <c r="A116" s="24"/>
      <c r="B116" s="31" t="str">
        <f aca="false">IF(A116="","",IF(LEN(UPPER(SUBSTITUTE(SUBSTITUTE(SUBSTITUTE(SUBSTITUTE(TRIM(A116),".",""),"/",""),"-","")," ","")))&lt;14,RIGHT(REPT("0",14)&amp;UPPER(SUBSTITUTE(SUBSTITUTE(SUBSTITUTE(SUBSTITUTE(TRIM(A116),".",""),"/",""),"-","")," ","")),14),UPPER(SUBSTITUTE(SUBSTITUTE(SUBSTITUTE(SUBSTITUTE(TRIM(A116),".",""),"/",""),"-","")," ",""))))</f>
        <v/>
      </c>
      <c r="C116" s="11"/>
      <c r="D116" s="23"/>
      <c r="E116" s="22"/>
      <c r="F116" s="23"/>
      <c r="G116" s="11"/>
      <c r="H116" s="35"/>
      <c r="I116" s="11"/>
      <c r="J116" s="23"/>
      <c r="K116" s="27" t="str">
        <f aca="false">IF(B116="","",COUNTIF(Contratos!$D:$D,B116))</f>
        <v/>
      </c>
      <c r="L116" s="36" t="str">
        <f aca="false">IF(B116="","",SUMIFS(Contratos!$K:$K,Contratos!$D:$D,B116))</f>
        <v/>
      </c>
      <c r="M116" s="36" t="str">
        <f aca="false">IF(B116="","",SUMIFS(Pagamentos!$G:$G,Pagamentos!$D:$D,B116,Pagamentos!$F:$F,"Empenho"))</f>
        <v/>
      </c>
      <c r="N116" s="36" t="str">
        <f aca="false">IF(B116="","",SUMIFS(Pagamentos!$G:$G,Pagamentos!$D:$D,B116,Pagamentos!$F:$F,"Pagamento"))</f>
        <v/>
      </c>
      <c r="O116" s="37" t="str">
        <f aca="false">IF(OR(B116="",H116="",L116="",L116=0),"",H116/L116)</f>
        <v/>
      </c>
      <c r="P116" s="27" t="str">
        <f aca="false">IF(B116="","",COUNTIF(Sancoes!$C:$C,B116))</f>
        <v/>
      </c>
      <c r="Q116" s="27" t="str">
        <f aca="false">IF(B116="","",COUNTIF(Socios!$B:$B,B116))</f>
        <v/>
      </c>
      <c r="R116" s="27" t="str">
        <f aca="false">IF(B116="","",COUNTIFS(Socios!$B:$B,B116,Socios!$L:$L,"SIM"))</f>
        <v/>
      </c>
      <c r="S116" s="24"/>
      <c r="T116" s="11"/>
    </row>
    <row r="117" customFormat="false" ht="15" hidden="false" customHeight="false" outlineLevel="0" collapsed="false">
      <c r="A117" s="24"/>
      <c r="B117" s="31" t="str">
        <f aca="false">IF(A117="","",IF(LEN(UPPER(SUBSTITUTE(SUBSTITUTE(SUBSTITUTE(SUBSTITUTE(TRIM(A117),".",""),"/",""),"-","")," ","")))&lt;14,RIGHT(REPT("0",14)&amp;UPPER(SUBSTITUTE(SUBSTITUTE(SUBSTITUTE(SUBSTITUTE(TRIM(A117),".",""),"/",""),"-","")," ","")),14),UPPER(SUBSTITUTE(SUBSTITUTE(SUBSTITUTE(SUBSTITUTE(TRIM(A117),".",""),"/",""),"-","")," ",""))))</f>
        <v/>
      </c>
      <c r="C117" s="11"/>
      <c r="D117" s="23"/>
      <c r="E117" s="22"/>
      <c r="F117" s="23"/>
      <c r="G117" s="11"/>
      <c r="H117" s="35"/>
      <c r="I117" s="11"/>
      <c r="J117" s="23"/>
      <c r="K117" s="27" t="str">
        <f aca="false">IF(B117="","",COUNTIF(Contratos!$D:$D,B117))</f>
        <v/>
      </c>
      <c r="L117" s="36" t="str">
        <f aca="false">IF(B117="","",SUMIFS(Contratos!$K:$K,Contratos!$D:$D,B117))</f>
        <v/>
      </c>
      <c r="M117" s="36" t="str">
        <f aca="false">IF(B117="","",SUMIFS(Pagamentos!$G:$G,Pagamentos!$D:$D,B117,Pagamentos!$F:$F,"Empenho"))</f>
        <v/>
      </c>
      <c r="N117" s="36" t="str">
        <f aca="false">IF(B117="","",SUMIFS(Pagamentos!$G:$G,Pagamentos!$D:$D,B117,Pagamentos!$F:$F,"Pagamento"))</f>
        <v/>
      </c>
      <c r="O117" s="37" t="str">
        <f aca="false">IF(OR(B117="",H117="",L117="",L117=0),"",H117/L117)</f>
        <v/>
      </c>
      <c r="P117" s="27" t="str">
        <f aca="false">IF(B117="","",COUNTIF(Sancoes!$C:$C,B117))</f>
        <v/>
      </c>
      <c r="Q117" s="27" t="str">
        <f aca="false">IF(B117="","",COUNTIF(Socios!$B:$B,B117))</f>
        <v/>
      </c>
      <c r="R117" s="27" t="str">
        <f aca="false">IF(B117="","",COUNTIFS(Socios!$B:$B,B117,Socios!$L:$L,"SIM"))</f>
        <v/>
      </c>
      <c r="S117" s="24"/>
      <c r="T117" s="11"/>
    </row>
    <row r="118" customFormat="false" ht="15" hidden="false" customHeight="false" outlineLevel="0" collapsed="false">
      <c r="A118" s="24"/>
      <c r="B118" s="31" t="str">
        <f aca="false">IF(A118="","",IF(LEN(UPPER(SUBSTITUTE(SUBSTITUTE(SUBSTITUTE(SUBSTITUTE(TRIM(A118),".",""),"/",""),"-","")," ","")))&lt;14,RIGHT(REPT("0",14)&amp;UPPER(SUBSTITUTE(SUBSTITUTE(SUBSTITUTE(SUBSTITUTE(TRIM(A118),".",""),"/",""),"-","")," ","")),14),UPPER(SUBSTITUTE(SUBSTITUTE(SUBSTITUTE(SUBSTITUTE(TRIM(A118),".",""),"/",""),"-","")," ",""))))</f>
        <v/>
      </c>
      <c r="C118" s="11"/>
      <c r="D118" s="23"/>
      <c r="E118" s="22"/>
      <c r="F118" s="23"/>
      <c r="G118" s="11"/>
      <c r="H118" s="35"/>
      <c r="I118" s="11"/>
      <c r="J118" s="23"/>
      <c r="K118" s="27" t="str">
        <f aca="false">IF(B118="","",COUNTIF(Contratos!$D:$D,B118))</f>
        <v/>
      </c>
      <c r="L118" s="36" t="str">
        <f aca="false">IF(B118="","",SUMIFS(Contratos!$K:$K,Contratos!$D:$D,B118))</f>
        <v/>
      </c>
      <c r="M118" s="36" t="str">
        <f aca="false">IF(B118="","",SUMIFS(Pagamentos!$G:$G,Pagamentos!$D:$D,B118,Pagamentos!$F:$F,"Empenho"))</f>
        <v/>
      </c>
      <c r="N118" s="36" t="str">
        <f aca="false">IF(B118="","",SUMIFS(Pagamentos!$G:$G,Pagamentos!$D:$D,B118,Pagamentos!$F:$F,"Pagamento"))</f>
        <v/>
      </c>
      <c r="O118" s="37" t="str">
        <f aca="false">IF(OR(B118="",H118="",L118="",L118=0),"",H118/L118)</f>
        <v/>
      </c>
      <c r="P118" s="27" t="str">
        <f aca="false">IF(B118="","",COUNTIF(Sancoes!$C:$C,B118))</f>
        <v/>
      </c>
      <c r="Q118" s="27" t="str">
        <f aca="false">IF(B118="","",COUNTIF(Socios!$B:$B,B118))</f>
        <v/>
      </c>
      <c r="R118" s="27" t="str">
        <f aca="false">IF(B118="","",COUNTIFS(Socios!$B:$B,B118,Socios!$L:$L,"SIM"))</f>
        <v/>
      </c>
      <c r="S118" s="24"/>
      <c r="T118" s="11"/>
    </row>
    <row r="119" customFormat="false" ht="15" hidden="false" customHeight="false" outlineLevel="0" collapsed="false">
      <c r="A119" s="24"/>
      <c r="B119" s="31" t="str">
        <f aca="false">IF(A119="","",IF(LEN(UPPER(SUBSTITUTE(SUBSTITUTE(SUBSTITUTE(SUBSTITUTE(TRIM(A119),".",""),"/",""),"-","")," ","")))&lt;14,RIGHT(REPT("0",14)&amp;UPPER(SUBSTITUTE(SUBSTITUTE(SUBSTITUTE(SUBSTITUTE(TRIM(A119),".",""),"/",""),"-","")," ","")),14),UPPER(SUBSTITUTE(SUBSTITUTE(SUBSTITUTE(SUBSTITUTE(TRIM(A119),".",""),"/",""),"-","")," ",""))))</f>
        <v/>
      </c>
      <c r="C119" s="11"/>
      <c r="D119" s="23"/>
      <c r="E119" s="22"/>
      <c r="F119" s="23"/>
      <c r="G119" s="11"/>
      <c r="H119" s="35"/>
      <c r="I119" s="11"/>
      <c r="J119" s="23"/>
      <c r="K119" s="27" t="str">
        <f aca="false">IF(B119="","",COUNTIF(Contratos!$D:$D,B119))</f>
        <v/>
      </c>
      <c r="L119" s="36" t="str">
        <f aca="false">IF(B119="","",SUMIFS(Contratos!$K:$K,Contratos!$D:$D,B119))</f>
        <v/>
      </c>
      <c r="M119" s="36" t="str">
        <f aca="false">IF(B119="","",SUMIFS(Pagamentos!$G:$G,Pagamentos!$D:$D,B119,Pagamentos!$F:$F,"Empenho"))</f>
        <v/>
      </c>
      <c r="N119" s="36" t="str">
        <f aca="false">IF(B119="","",SUMIFS(Pagamentos!$G:$G,Pagamentos!$D:$D,B119,Pagamentos!$F:$F,"Pagamento"))</f>
        <v/>
      </c>
      <c r="O119" s="37" t="str">
        <f aca="false">IF(OR(B119="",H119="",L119="",L119=0),"",H119/L119)</f>
        <v/>
      </c>
      <c r="P119" s="27" t="str">
        <f aca="false">IF(B119="","",COUNTIF(Sancoes!$C:$C,B119))</f>
        <v/>
      </c>
      <c r="Q119" s="27" t="str">
        <f aca="false">IF(B119="","",COUNTIF(Socios!$B:$B,B119))</f>
        <v/>
      </c>
      <c r="R119" s="27" t="str">
        <f aca="false">IF(B119="","",COUNTIFS(Socios!$B:$B,B119,Socios!$L:$L,"SIM"))</f>
        <v/>
      </c>
      <c r="S119" s="24"/>
      <c r="T119" s="11"/>
    </row>
    <row r="120" customFormat="false" ht="15" hidden="false" customHeight="false" outlineLevel="0" collapsed="false">
      <c r="A120" s="24"/>
      <c r="B120" s="31" t="str">
        <f aca="false">IF(A120="","",IF(LEN(UPPER(SUBSTITUTE(SUBSTITUTE(SUBSTITUTE(SUBSTITUTE(TRIM(A120),".",""),"/",""),"-","")," ","")))&lt;14,RIGHT(REPT("0",14)&amp;UPPER(SUBSTITUTE(SUBSTITUTE(SUBSTITUTE(SUBSTITUTE(TRIM(A120),".",""),"/",""),"-","")," ","")),14),UPPER(SUBSTITUTE(SUBSTITUTE(SUBSTITUTE(SUBSTITUTE(TRIM(A120),".",""),"/",""),"-","")," ",""))))</f>
        <v/>
      </c>
      <c r="C120" s="11"/>
      <c r="D120" s="23"/>
      <c r="E120" s="22"/>
      <c r="F120" s="23"/>
      <c r="G120" s="11"/>
      <c r="H120" s="35"/>
      <c r="I120" s="11"/>
      <c r="J120" s="23"/>
      <c r="K120" s="27" t="str">
        <f aca="false">IF(B120="","",COUNTIF(Contratos!$D:$D,B120))</f>
        <v/>
      </c>
      <c r="L120" s="36" t="str">
        <f aca="false">IF(B120="","",SUMIFS(Contratos!$K:$K,Contratos!$D:$D,B120))</f>
        <v/>
      </c>
      <c r="M120" s="36" t="str">
        <f aca="false">IF(B120="","",SUMIFS(Pagamentos!$G:$G,Pagamentos!$D:$D,B120,Pagamentos!$F:$F,"Empenho"))</f>
        <v/>
      </c>
      <c r="N120" s="36" t="str">
        <f aca="false">IF(B120="","",SUMIFS(Pagamentos!$G:$G,Pagamentos!$D:$D,B120,Pagamentos!$F:$F,"Pagamento"))</f>
        <v/>
      </c>
      <c r="O120" s="37" t="str">
        <f aca="false">IF(OR(B120="",H120="",L120="",L120=0),"",H120/L120)</f>
        <v/>
      </c>
      <c r="P120" s="27" t="str">
        <f aca="false">IF(B120="","",COUNTIF(Sancoes!$C:$C,B120))</f>
        <v/>
      </c>
      <c r="Q120" s="27" t="str">
        <f aca="false">IF(B120="","",COUNTIF(Socios!$B:$B,B120))</f>
        <v/>
      </c>
      <c r="R120" s="27" t="str">
        <f aca="false">IF(B120="","",COUNTIFS(Socios!$B:$B,B120,Socios!$L:$L,"SIM"))</f>
        <v/>
      </c>
      <c r="S120" s="24"/>
      <c r="T120" s="11"/>
    </row>
    <row r="121" customFormat="false" ht="15" hidden="false" customHeight="false" outlineLevel="0" collapsed="false">
      <c r="A121" s="24"/>
      <c r="B121" s="31" t="str">
        <f aca="false">IF(A121="","",IF(LEN(UPPER(SUBSTITUTE(SUBSTITUTE(SUBSTITUTE(SUBSTITUTE(TRIM(A121),".",""),"/",""),"-","")," ","")))&lt;14,RIGHT(REPT("0",14)&amp;UPPER(SUBSTITUTE(SUBSTITUTE(SUBSTITUTE(SUBSTITUTE(TRIM(A121),".",""),"/",""),"-","")," ","")),14),UPPER(SUBSTITUTE(SUBSTITUTE(SUBSTITUTE(SUBSTITUTE(TRIM(A121),".",""),"/",""),"-","")," ",""))))</f>
        <v/>
      </c>
      <c r="C121" s="11"/>
      <c r="D121" s="23"/>
      <c r="E121" s="22"/>
      <c r="F121" s="23"/>
      <c r="G121" s="11"/>
      <c r="H121" s="35"/>
      <c r="I121" s="11"/>
      <c r="J121" s="23"/>
      <c r="K121" s="27" t="str">
        <f aca="false">IF(B121="","",COUNTIF(Contratos!$D:$D,B121))</f>
        <v/>
      </c>
      <c r="L121" s="36" t="str">
        <f aca="false">IF(B121="","",SUMIFS(Contratos!$K:$K,Contratos!$D:$D,B121))</f>
        <v/>
      </c>
      <c r="M121" s="36" t="str">
        <f aca="false">IF(B121="","",SUMIFS(Pagamentos!$G:$G,Pagamentos!$D:$D,B121,Pagamentos!$F:$F,"Empenho"))</f>
        <v/>
      </c>
      <c r="N121" s="36" t="str">
        <f aca="false">IF(B121="","",SUMIFS(Pagamentos!$G:$G,Pagamentos!$D:$D,B121,Pagamentos!$F:$F,"Pagamento"))</f>
        <v/>
      </c>
      <c r="O121" s="37" t="str">
        <f aca="false">IF(OR(B121="",H121="",L121="",L121=0),"",H121/L121)</f>
        <v/>
      </c>
      <c r="P121" s="27" t="str">
        <f aca="false">IF(B121="","",COUNTIF(Sancoes!$C:$C,B121))</f>
        <v/>
      </c>
      <c r="Q121" s="27" t="str">
        <f aca="false">IF(B121="","",COUNTIF(Socios!$B:$B,B121))</f>
        <v/>
      </c>
      <c r="R121" s="27" t="str">
        <f aca="false">IF(B121="","",COUNTIFS(Socios!$B:$B,B121,Socios!$L:$L,"SIM"))</f>
        <v/>
      </c>
      <c r="S121" s="24"/>
      <c r="T121" s="11"/>
    </row>
    <row r="122" customFormat="false" ht="15" hidden="false" customHeight="false" outlineLevel="0" collapsed="false">
      <c r="A122" s="24"/>
      <c r="B122" s="31" t="str">
        <f aca="false">IF(A122="","",IF(LEN(UPPER(SUBSTITUTE(SUBSTITUTE(SUBSTITUTE(SUBSTITUTE(TRIM(A122),".",""),"/",""),"-","")," ","")))&lt;14,RIGHT(REPT("0",14)&amp;UPPER(SUBSTITUTE(SUBSTITUTE(SUBSTITUTE(SUBSTITUTE(TRIM(A122),".",""),"/",""),"-","")," ","")),14),UPPER(SUBSTITUTE(SUBSTITUTE(SUBSTITUTE(SUBSTITUTE(TRIM(A122),".",""),"/",""),"-","")," ",""))))</f>
        <v/>
      </c>
      <c r="C122" s="11"/>
      <c r="D122" s="23"/>
      <c r="E122" s="22"/>
      <c r="F122" s="23"/>
      <c r="G122" s="11"/>
      <c r="H122" s="35"/>
      <c r="I122" s="11"/>
      <c r="J122" s="23"/>
      <c r="K122" s="27" t="str">
        <f aca="false">IF(B122="","",COUNTIF(Contratos!$D:$D,B122))</f>
        <v/>
      </c>
      <c r="L122" s="36" t="str">
        <f aca="false">IF(B122="","",SUMIFS(Contratos!$K:$K,Contratos!$D:$D,B122))</f>
        <v/>
      </c>
      <c r="M122" s="36" t="str">
        <f aca="false">IF(B122="","",SUMIFS(Pagamentos!$G:$G,Pagamentos!$D:$D,B122,Pagamentos!$F:$F,"Empenho"))</f>
        <v/>
      </c>
      <c r="N122" s="36" t="str">
        <f aca="false">IF(B122="","",SUMIFS(Pagamentos!$G:$G,Pagamentos!$D:$D,B122,Pagamentos!$F:$F,"Pagamento"))</f>
        <v/>
      </c>
      <c r="O122" s="37" t="str">
        <f aca="false">IF(OR(B122="",H122="",L122="",L122=0),"",H122/L122)</f>
        <v/>
      </c>
      <c r="P122" s="27" t="str">
        <f aca="false">IF(B122="","",COUNTIF(Sancoes!$C:$C,B122))</f>
        <v/>
      </c>
      <c r="Q122" s="27" t="str">
        <f aca="false">IF(B122="","",COUNTIF(Socios!$B:$B,B122))</f>
        <v/>
      </c>
      <c r="R122" s="27" t="str">
        <f aca="false">IF(B122="","",COUNTIFS(Socios!$B:$B,B122,Socios!$L:$L,"SIM"))</f>
        <v/>
      </c>
      <c r="S122" s="24"/>
      <c r="T122" s="11"/>
    </row>
    <row r="123" customFormat="false" ht="15" hidden="false" customHeight="false" outlineLevel="0" collapsed="false">
      <c r="A123" s="24"/>
      <c r="B123" s="31" t="str">
        <f aca="false">IF(A123="","",IF(LEN(UPPER(SUBSTITUTE(SUBSTITUTE(SUBSTITUTE(SUBSTITUTE(TRIM(A123),".",""),"/",""),"-","")," ","")))&lt;14,RIGHT(REPT("0",14)&amp;UPPER(SUBSTITUTE(SUBSTITUTE(SUBSTITUTE(SUBSTITUTE(TRIM(A123),".",""),"/",""),"-","")," ","")),14),UPPER(SUBSTITUTE(SUBSTITUTE(SUBSTITUTE(SUBSTITUTE(TRIM(A123),".",""),"/",""),"-","")," ",""))))</f>
        <v/>
      </c>
      <c r="C123" s="11"/>
      <c r="D123" s="23"/>
      <c r="E123" s="22"/>
      <c r="F123" s="23"/>
      <c r="G123" s="11"/>
      <c r="H123" s="35"/>
      <c r="I123" s="11"/>
      <c r="J123" s="23"/>
      <c r="K123" s="27" t="str">
        <f aca="false">IF(B123="","",COUNTIF(Contratos!$D:$D,B123))</f>
        <v/>
      </c>
      <c r="L123" s="36" t="str">
        <f aca="false">IF(B123="","",SUMIFS(Contratos!$K:$K,Contratos!$D:$D,B123))</f>
        <v/>
      </c>
      <c r="M123" s="36" t="str">
        <f aca="false">IF(B123="","",SUMIFS(Pagamentos!$G:$G,Pagamentos!$D:$D,B123,Pagamentos!$F:$F,"Empenho"))</f>
        <v/>
      </c>
      <c r="N123" s="36" t="str">
        <f aca="false">IF(B123="","",SUMIFS(Pagamentos!$G:$G,Pagamentos!$D:$D,B123,Pagamentos!$F:$F,"Pagamento"))</f>
        <v/>
      </c>
      <c r="O123" s="37" t="str">
        <f aca="false">IF(OR(B123="",H123="",L123="",L123=0),"",H123/L123)</f>
        <v/>
      </c>
      <c r="P123" s="27" t="str">
        <f aca="false">IF(B123="","",COUNTIF(Sancoes!$C:$C,B123))</f>
        <v/>
      </c>
      <c r="Q123" s="27" t="str">
        <f aca="false">IF(B123="","",COUNTIF(Socios!$B:$B,B123))</f>
        <v/>
      </c>
      <c r="R123" s="27" t="str">
        <f aca="false">IF(B123="","",COUNTIFS(Socios!$B:$B,B123,Socios!$L:$L,"SIM"))</f>
        <v/>
      </c>
      <c r="S123" s="24"/>
      <c r="T123" s="11"/>
    </row>
    <row r="124" customFormat="false" ht="15" hidden="false" customHeight="false" outlineLevel="0" collapsed="false">
      <c r="A124" s="24"/>
      <c r="B124" s="31" t="str">
        <f aca="false">IF(A124="","",IF(LEN(UPPER(SUBSTITUTE(SUBSTITUTE(SUBSTITUTE(SUBSTITUTE(TRIM(A124),".",""),"/",""),"-","")," ","")))&lt;14,RIGHT(REPT("0",14)&amp;UPPER(SUBSTITUTE(SUBSTITUTE(SUBSTITUTE(SUBSTITUTE(TRIM(A124),".",""),"/",""),"-","")," ","")),14),UPPER(SUBSTITUTE(SUBSTITUTE(SUBSTITUTE(SUBSTITUTE(TRIM(A124),".",""),"/",""),"-","")," ",""))))</f>
        <v/>
      </c>
      <c r="C124" s="11"/>
      <c r="D124" s="23"/>
      <c r="E124" s="22"/>
      <c r="F124" s="23"/>
      <c r="G124" s="11"/>
      <c r="H124" s="35"/>
      <c r="I124" s="11"/>
      <c r="J124" s="23"/>
      <c r="K124" s="27" t="str">
        <f aca="false">IF(B124="","",COUNTIF(Contratos!$D:$D,B124))</f>
        <v/>
      </c>
      <c r="L124" s="36" t="str">
        <f aca="false">IF(B124="","",SUMIFS(Contratos!$K:$K,Contratos!$D:$D,B124))</f>
        <v/>
      </c>
      <c r="M124" s="36" t="str">
        <f aca="false">IF(B124="","",SUMIFS(Pagamentos!$G:$G,Pagamentos!$D:$D,B124,Pagamentos!$F:$F,"Empenho"))</f>
        <v/>
      </c>
      <c r="N124" s="36" t="str">
        <f aca="false">IF(B124="","",SUMIFS(Pagamentos!$G:$G,Pagamentos!$D:$D,B124,Pagamentos!$F:$F,"Pagamento"))</f>
        <v/>
      </c>
      <c r="O124" s="37" t="str">
        <f aca="false">IF(OR(B124="",H124="",L124="",L124=0),"",H124/L124)</f>
        <v/>
      </c>
      <c r="P124" s="27" t="str">
        <f aca="false">IF(B124="","",COUNTIF(Sancoes!$C:$C,B124))</f>
        <v/>
      </c>
      <c r="Q124" s="27" t="str">
        <f aca="false">IF(B124="","",COUNTIF(Socios!$B:$B,B124))</f>
        <v/>
      </c>
      <c r="R124" s="27" t="str">
        <f aca="false">IF(B124="","",COUNTIFS(Socios!$B:$B,B124,Socios!$L:$L,"SIM"))</f>
        <v/>
      </c>
      <c r="S124" s="24"/>
      <c r="T124" s="11"/>
    </row>
    <row r="125" customFormat="false" ht="15" hidden="false" customHeight="false" outlineLevel="0" collapsed="false">
      <c r="A125" s="24"/>
      <c r="B125" s="31" t="str">
        <f aca="false">IF(A125="","",IF(LEN(UPPER(SUBSTITUTE(SUBSTITUTE(SUBSTITUTE(SUBSTITUTE(TRIM(A125),".",""),"/",""),"-","")," ","")))&lt;14,RIGHT(REPT("0",14)&amp;UPPER(SUBSTITUTE(SUBSTITUTE(SUBSTITUTE(SUBSTITUTE(TRIM(A125),".",""),"/",""),"-","")," ","")),14),UPPER(SUBSTITUTE(SUBSTITUTE(SUBSTITUTE(SUBSTITUTE(TRIM(A125),".",""),"/",""),"-","")," ",""))))</f>
        <v/>
      </c>
      <c r="C125" s="11"/>
      <c r="D125" s="23"/>
      <c r="E125" s="22"/>
      <c r="F125" s="23"/>
      <c r="G125" s="11"/>
      <c r="H125" s="35"/>
      <c r="I125" s="11"/>
      <c r="J125" s="23"/>
      <c r="K125" s="27" t="str">
        <f aca="false">IF(B125="","",COUNTIF(Contratos!$D:$D,B125))</f>
        <v/>
      </c>
      <c r="L125" s="36" t="str">
        <f aca="false">IF(B125="","",SUMIFS(Contratos!$K:$K,Contratos!$D:$D,B125))</f>
        <v/>
      </c>
      <c r="M125" s="36" t="str">
        <f aca="false">IF(B125="","",SUMIFS(Pagamentos!$G:$G,Pagamentos!$D:$D,B125,Pagamentos!$F:$F,"Empenho"))</f>
        <v/>
      </c>
      <c r="N125" s="36" t="str">
        <f aca="false">IF(B125="","",SUMIFS(Pagamentos!$G:$G,Pagamentos!$D:$D,B125,Pagamentos!$F:$F,"Pagamento"))</f>
        <v/>
      </c>
      <c r="O125" s="37" t="str">
        <f aca="false">IF(OR(B125="",H125="",L125="",L125=0),"",H125/L125)</f>
        <v/>
      </c>
      <c r="P125" s="27" t="str">
        <f aca="false">IF(B125="","",COUNTIF(Sancoes!$C:$C,B125))</f>
        <v/>
      </c>
      <c r="Q125" s="27" t="str">
        <f aca="false">IF(B125="","",COUNTIF(Socios!$B:$B,B125))</f>
        <v/>
      </c>
      <c r="R125" s="27" t="str">
        <f aca="false">IF(B125="","",COUNTIFS(Socios!$B:$B,B125,Socios!$L:$L,"SIM"))</f>
        <v/>
      </c>
      <c r="S125" s="24"/>
      <c r="T125" s="11"/>
    </row>
    <row r="126" customFormat="false" ht="15" hidden="false" customHeight="false" outlineLevel="0" collapsed="false">
      <c r="A126" s="24"/>
      <c r="B126" s="31" t="str">
        <f aca="false">IF(A126="","",IF(LEN(UPPER(SUBSTITUTE(SUBSTITUTE(SUBSTITUTE(SUBSTITUTE(TRIM(A126),".",""),"/",""),"-","")," ","")))&lt;14,RIGHT(REPT("0",14)&amp;UPPER(SUBSTITUTE(SUBSTITUTE(SUBSTITUTE(SUBSTITUTE(TRIM(A126),".",""),"/",""),"-","")," ","")),14),UPPER(SUBSTITUTE(SUBSTITUTE(SUBSTITUTE(SUBSTITUTE(TRIM(A126),".",""),"/",""),"-","")," ",""))))</f>
        <v/>
      </c>
      <c r="C126" s="11"/>
      <c r="D126" s="23"/>
      <c r="E126" s="22"/>
      <c r="F126" s="23"/>
      <c r="G126" s="11"/>
      <c r="H126" s="35"/>
      <c r="I126" s="11"/>
      <c r="J126" s="23"/>
      <c r="K126" s="27" t="str">
        <f aca="false">IF(B126="","",COUNTIF(Contratos!$D:$D,B126))</f>
        <v/>
      </c>
      <c r="L126" s="36" t="str">
        <f aca="false">IF(B126="","",SUMIFS(Contratos!$K:$K,Contratos!$D:$D,B126))</f>
        <v/>
      </c>
      <c r="M126" s="36" t="str">
        <f aca="false">IF(B126="","",SUMIFS(Pagamentos!$G:$G,Pagamentos!$D:$D,B126,Pagamentos!$F:$F,"Empenho"))</f>
        <v/>
      </c>
      <c r="N126" s="36" t="str">
        <f aca="false">IF(B126="","",SUMIFS(Pagamentos!$G:$G,Pagamentos!$D:$D,B126,Pagamentos!$F:$F,"Pagamento"))</f>
        <v/>
      </c>
      <c r="O126" s="37" t="str">
        <f aca="false">IF(OR(B126="",H126="",L126="",L126=0),"",H126/L126)</f>
        <v/>
      </c>
      <c r="P126" s="27" t="str">
        <f aca="false">IF(B126="","",COUNTIF(Sancoes!$C:$C,B126))</f>
        <v/>
      </c>
      <c r="Q126" s="27" t="str">
        <f aca="false">IF(B126="","",COUNTIF(Socios!$B:$B,B126))</f>
        <v/>
      </c>
      <c r="R126" s="27" t="str">
        <f aca="false">IF(B126="","",COUNTIFS(Socios!$B:$B,B126,Socios!$L:$L,"SIM"))</f>
        <v/>
      </c>
      <c r="S126" s="24"/>
      <c r="T126" s="11"/>
    </row>
    <row r="127" customFormat="false" ht="15" hidden="false" customHeight="false" outlineLevel="0" collapsed="false">
      <c r="A127" s="24"/>
      <c r="B127" s="31" t="str">
        <f aca="false">IF(A127="","",IF(LEN(UPPER(SUBSTITUTE(SUBSTITUTE(SUBSTITUTE(SUBSTITUTE(TRIM(A127),".",""),"/",""),"-","")," ","")))&lt;14,RIGHT(REPT("0",14)&amp;UPPER(SUBSTITUTE(SUBSTITUTE(SUBSTITUTE(SUBSTITUTE(TRIM(A127),".",""),"/",""),"-","")," ","")),14),UPPER(SUBSTITUTE(SUBSTITUTE(SUBSTITUTE(SUBSTITUTE(TRIM(A127),".",""),"/",""),"-","")," ",""))))</f>
        <v/>
      </c>
      <c r="C127" s="11"/>
      <c r="D127" s="23"/>
      <c r="E127" s="22"/>
      <c r="F127" s="23"/>
      <c r="G127" s="11"/>
      <c r="H127" s="35"/>
      <c r="I127" s="11"/>
      <c r="J127" s="23"/>
      <c r="K127" s="27" t="str">
        <f aca="false">IF(B127="","",COUNTIF(Contratos!$D:$D,B127))</f>
        <v/>
      </c>
      <c r="L127" s="36" t="str">
        <f aca="false">IF(B127="","",SUMIFS(Contratos!$K:$K,Contratos!$D:$D,B127))</f>
        <v/>
      </c>
      <c r="M127" s="36" t="str">
        <f aca="false">IF(B127="","",SUMIFS(Pagamentos!$G:$G,Pagamentos!$D:$D,B127,Pagamentos!$F:$F,"Empenho"))</f>
        <v/>
      </c>
      <c r="N127" s="36" t="str">
        <f aca="false">IF(B127="","",SUMIFS(Pagamentos!$G:$G,Pagamentos!$D:$D,B127,Pagamentos!$F:$F,"Pagamento"))</f>
        <v/>
      </c>
      <c r="O127" s="37" t="str">
        <f aca="false">IF(OR(B127="",H127="",L127="",L127=0),"",H127/L127)</f>
        <v/>
      </c>
      <c r="P127" s="27" t="str">
        <f aca="false">IF(B127="","",COUNTIF(Sancoes!$C:$C,B127))</f>
        <v/>
      </c>
      <c r="Q127" s="27" t="str">
        <f aca="false">IF(B127="","",COUNTIF(Socios!$B:$B,B127))</f>
        <v/>
      </c>
      <c r="R127" s="27" t="str">
        <f aca="false">IF(B127="","",COUNTIFS(Socios!$B:$B,B127,Socios!$L:$L,"SIM"))</f>
        <v/>
      </c>
      <c r="S127" s="24"/>
      <c r="T127" s="11"/>
    </row>
    <row r="128" customFormat="false" ht="15" hidden="false" customHeight="false" outlineLevel="0" collapsed="false">
      <c r="A128" s="24"/>
      <c r="B128" s="31" t="str">
        <f aca="false">IF(A128="","",IF(LEN(UPPER(SUBSTITUTE(SUBSTITUTE(SUBSTITUTE(SUBSTITUTE(TRIM(A128),".",""),"/",""),"-","")," ","")))&lt;14,RIGHT(REPT("0",14)&amp;UPPER(SUBSTITUTE(SUBSTITUTE(SUBSTITUTE(SUBSTITUTE(TRIM(A128),".",""),"/",""),"-","")," ","")),14),UPPER(SUBSTITUTE(SUBSTITUTE(SUBSTITUTE(SUBSTITUTE(TRIM(A128),".",""),"/",""),"-","")," ",""))))</f>
        <v/>
      </c>
      <c r="C128" s="11"/>
      <c r="D128" s="23"/>
      <c r="E128" s="22"/>
      <c r="F128" s="23"/>
      <c r="G128" s="11"/>
      <c r="H128" s="35"/>
      <c r="I128" s="11"/>
      <c r="J128" s="23"/>
      <c r="K128" s="27" t="str">
        <f aca="false">IF(B128="","",COUNTIF(Contratos!$D:$D,B128))</f>
        <v/>
      </c>
      <c r="L128" s="36" t="str">
        <f aca="false">IF(B128="","",SUMIFS(Contratos!$K:$K,Contratos!$D:$D,B128))</f>
        <v/>
      </c>
      <c r="M128" s="36" t="str">
        <f aca="false">IF(B128="","",SUMIFS(Pagamentos!$G:$G,Pagamentos!$D:$D,B128,Pagamentos!$F:$F,"Empenho"))</f>
        <v/>
      </c>
      <c r="N128" s="36" t="str">
        <f aca="false">IF(B128="","",SUMIFS(Pagamentos!$G:$G,Pagamentos!$D:$D,B128,Pagamentos!$F:$F,"Pagamento"))</f>
        <v/>
      </c>
      <c r="O128" s="37" t="str">
        <f aca="false">IF(OR(B128="",H128="",L128="",L128=0),"",H128/L128)</f>
        <v/>
      </c>
      <c r="P128" s="27" t="str">
        <f aca="false">IF(B128="","",COUNTIF(Sancoes!$C:$C,B128))</f>
        <v/>
      </c>
      <c r="Q128" s="27" t="str">
        <f aca="false">IF(B128="","",COUNTIF(Socios!$B:$B,B128))</f>
        <v/>
      </c>
      <c r="R128" s="27" t="str">
        <f aca="false">IF(B128="","",COUNTIFS(Socios!$B:$B,B128,Socios!$L:$L,"SIM"))</f>
        <v/>
      </c>
      <c r="S128" s="24"/>
      <c r="T128" s="11"/>
    </row>
    <row r="129" customFormat="false" ht="15" hidden="false" customHeight="false" outlineLevel="0" collapsed="false">
      <c r="A129" s="24"/>
      <c r="B129" s="31" t="str">
        <f aca="false">IF(A129="","",IF(LEN(UPPER(SUBSTITUTE(SUBSTITUTE(SUBSTITUTE(SUBSTITUTE(TRIM(A129),".",""),"/",""),"-","")," ","")))&lt;14,RIGHT(REPT("0",14)&amp;UPPER(SUBSTITUTE(SUBSTITUTE(SUBSTITUTE(SUBSTITUTE(TRIM(A129),".",""),"/",""),"-","")," ","")),14),UPPER(SUBSTITUTE(SUBSTITUTE(SUBSTITUTE(SUBSTITUTE(TRIM(A129),".",""),"/",""),"-","")," ",""))))</f>
        <v/>
      </c>
      <c r="C129" s="11"/>
      <c r="D129" s="23"/>
      <c r="E129" s="22"/>
      <c r="F129" s="23"/>
      <c r="G129" s="11"/>
      <c r="H129" s="35"/>
      <c r="I129" s="11"/>
      <c r="J129" s="23"/>
      <c r="K129" s="27" t="str">
        <f aca="false">IF(B129="","",COUNTIF(Contratos!$D:$D,B129))</f>
        <v/>
      </c>
      <c r="L129" s="36" t="str">
        <f aca="false">IF(B129="","",SUMIFS(Contratos!$K:$K,Contratos!$D:$D,B129))</f>
        <v/>
      </c>
      <c r="M129" s="36" t="str">
        <f aca="false">IF(B129="","",SUMIFS(Pagamentos!$G:$G,Pagamentos!$D:$D,B129,Pagamentos!$F:$F,"Empenho"))</f>
        <v/>
      </c>
      <c r="N129" s="36" t="str">
        <f aca="false">IF(B129="","",SUMIFS(Pagamentos!$G:$G,Pagamentos!$D:$D,B129,Pagamentos!$F:$F,"Pagamento"))</f>
        <v/>
      </c>
      <c r="O129" s="37" t="str">
        <f aca="false">IF(OR(B129="",H129="",L129="",L129=0),"",H129/L129)</f>
        <v/>
      </c>
      <c r="P129" s="27" t="str">
        <f aca="false">IF(B129="","",COUNTIF(Sancoes!$C:$C,B129))</f>
        <v/>
      </c>
      <c r="Q129" s="27" t="str">
        <f aca="false">IF(B129="","",COUNTIF(Socios!$B:$B,B129))</f>
        <v/>
      </c>
      <c r="R129" s="27" t="str">
        <f aca="false">IF(B129="","",COUNTIFS(Socios!$B:$B,B129,Socios!$L:$L,"SIM"))</f>
        <v/>
      </c>
      <c r="S129" s="24"/>
      <c r="T129" s="11"/>
    </row>
    <row r="130" customFormat="false" ht="15" hidden="false" customHeight="false" outlineLevel="0" collapsed="false">
      <c r="A130" s="24"/>
      <c r="B130" s="31" t="str">
        <f aca="false">IF(A130="","",IF(LEN(UPPER(SUBSTITUTE(SUBSTITUTE(SUBSTITUTE(SUBSTITUTE(TRIM(A130),".",""),"/",""),"-","")," ","")))&lt;14,RIGHT(REPT("0",14)&amp;UPPER(SUBSTITUTE(SUBSTITUTE(SUBSTITUTE(SUBSTITUTE(TRIM(A130),".",""),"/",""),"-","")," ","")),14),UPPER(SUBSTITUTE(SUBSTITUTE(SUBSTITUTE(SUBSTITUTE(TRIM(A130),".",""),"/",""),"-","")," ",""))))</f>
        <v/>
      </c>
      <c r="C130" s="11"/>
      <c r="D130" s="23"/>
      <c r="E130" s="22"/>
      <c r="F130" s="23"/>
      <c r="G130" s="11"/>
      <c r="H130" s="35"/>
      <c r="I130" s="11"/>
      <c r="J130" s="23"/>
      <c r="K130" s="27" t="str">
        <f aca="false">IF(B130="","",COUNTIF(Contratos!$D:$D,B130))</f>
        <v/>
      </c>
      <c r="L130" s="36" t="str">
        <f aca="false">IF(B130="","",SUMIFS(Contratos!$K:$K,Contratos!$D:$D,B130))</f>
        <v/>
      </c>
      <c r="M130" s="36" t="str">
        <f aca="false">IF(B130="","",SUMIFS(Pagamentos!$G:$G,Pagamentos!$D:$D,B130,Pagamentos!$F:$F,"Empenho"))</f>
        <v/>
      </c>
      <c r="N130" s="36" t="str">
        <f aca="false">IF(B130="","",SUMIFS(Pagamentos!$G:$G,Pagamentos!$D:$D,B130,Pagamentos!$F:$F,"Pagamento"))</f>
        <v/>
      </c>
      <c r="O130" s="37" t="str">
        <f aca="false">IF(OR(B130="",H130="",L130="",L130=0),"",H130/L130)</f>
        <v/>
      </c>
      <c r="P130" s="27" t="str">
        <f aca="false">IF(B130="","",COUNTIF(Sancoes!$C:$C,B130))</f>
        <v/>
      </c>
      <c r="Q130" s="27" t="str">
        <f aca="false">IF(B130="","",COUNTIF(Socios!$B:$B,B130))</f>
        <v/>
      </c>
      <c r="R130" s="27" t="str">
        <f aca="false">IF(B130="","",COUNTIFS(Socios!$B:$B,B130,Socios!$L:$L,"SIM"))</f>
        <v/>
      </c>
      <c r="S130" s="24"/>
      <c r="T130" s="11"/>
    </row>
    <row r="131" customFormat="false" ht="15" hidden="false" customHeight="false" outlineLevel="0" collapsed="false">
      <c r="A131" s="24"/>
      <c r="B131" s="31" t="str">
        <f aca="false">IF(A131="","",IF(LEN(UPPER(SUBSTITUTE(SUBSTITUTE(SUBSTITUTE(SUBSTITUTE(TRIM(A131),".",""),"/",""),"-","")," ","")))&lt;14,RIGHT(REPT("0",14)&amp;UPPER(SUBSTITUTE(SUBSTITUTE(SUBSTITUTE(SUBSTITUTE(TRIM(A131),".",""),"/",""),"-","")," ","")),14),UPPER(SUBSTITUTE(SUBSTITUTE(SUBSTITUTE(SUBSTITUTE(TRIM(A131),".",""),"/",""),"-","")," ",""))))</f>
        <v/>
      </c>
      <c r="C131" s="11"/>
      <c r="D131" s="23"/>
      <c r="E131" s="22"/>
      <c r="F131" s="23"/>
      <c r="G131" s="11"/>
      <c r="H131" s="35"/>
      <c r="I131" s="11"/>
      <c r="J131" s="23"/>
      <c r="K131" s="27" t="str">
        <f aca="false">IF(B131="","",COUNTIF(Contratos!$D:$D,B131))</f>
        <v/>
      </c>
      <c r="L131" s="36" t="str">
        <f aca="false">IF(B131="","",SUMIFS(Contratos!$K:$K,Contratos!$D:$D,B131))</f>
        <v/>
      </c>
      <c r="M131" s="36" t="str">
        <f aca="false">IF(B131="","",SUMIFS(Pagamentos!$G:$G,Pagamentos!$D:$D,B131,Pagamentos!$F:$F,"Empenho"))</f>
        <v/>
      </c>
      <c r="N131" s="36" t="str">
        <f aca="false">IF(B131="","",SUMIFS(Pagamentos!$G:$G,Pagamentos!$D:$D,B131,Pagamentos!$F:$F,"Pagamento"))</f>
        <v/>
      </c>
      <c r="O131" s="37" t="str">
        <f aca="false">IF(OR(B131="",H131="",L131="",L131=0),"",H131/L131)</f>
        <v/>
      </c>
      <c r="P131" s="27" t="str">
        <f aca="false">IF(B131="","",COUNTIF(Sancoes!$C:$C,B131))</f>
        <v/>
      </c>
      <c r="Q131" s="27" t="str">
        <f aca="false">IF(B131="","",COUNTIF(Socios!$B:$B,B131))</f>
        <v/>
      </c>
      <c r="R131" s="27" t="str">
        <f aca="false">IF(B131="","",COUNTIFS(Socios!$B:$B,B131,Socios!$L:$L,"SIM"))</f>
        <v/>
      </c>
      <c r="S131" s="24"/>
      <c r="T131" s="11"/>
    </row>
    <row r="132" customFormat="false" ht="15" hidden="false" customHeight="false" outlineLevel="0" collapsed="false">
      <c r="A132" s="24"/>
      <c r="B132" s="31" t="str">
        <f aca="false">IF(A132="","",IF(LEN(UPPER(SUBSTITUTE(SUBSTITUTE(SUBSTITUTE(SUBSTITUTE(TRIM(A132),".",""),"/",""),"-","")," ","")))&lt;14,RIGHT(REPT("0",14)&amp;UPPER(SUBSTITUTE(SUBSTITUTE(SUBSTITUTE(SUBSTITUTE(TRIM(A132),".",""),"/",""),"-","")," ","")),14),UPPER(SUBSTITUTE(SUBSTITUTE(SUBSTITUTE(SUBSTITUTE(TRIM(A132),".",""),"/",""),"-","")," ",""))))</f>
        <v/>
      </c>
      <c r="C132" s="11"/>
      <c r="D132" s="23"/>
      <c r="E132" s="22"/>
      <c r="F132" s="23"/>
      <c r="G132" s="11"/>
      <c r="H132" s="35"/>
      <c r="I132" s="11"/>
      <c r="J132" s="23"/>
      <c r="K132" s="27" t="str">
        <f aca="false">IF(B132="","",COUNTIF(Contratos!$D:$D,B132))</f>
        <v/>
      </c>
      <c r="L132" s="36" t="str">
        <f aca="false">IF(B132="","",SUMIFS(Contratos!$K:$K,Contratos!$D:$D,B132))</f>
        <v/>
      </c>
      <c r="M132" s="36" t="str">
        <f aca="false">IF(B132="","",SUMIFS(Pagamentos!$G:$G,Pagamentos!$D:$D,B132,Pagamentos!$F:$F,"Empenho"))</f>
        <v/>
      </c>
      <c r="N132" s="36" t="str">
        <f aca="false">IF(B132="","",SUMIFS(Pagamentos!$G:$G,Pagamentos!$D:$D,B132,Pagamentos!$F:$F,"Pagamento"))</f>
        <v/>
      </c>
      <c r="O132" s="37" t="str">
        <f aca="false">IF(OR(B132="",H132="",L132="",L132=0),"",H132/L132)</f>
        <v/>
      </c>
      <c r="P132" s="27" t="str">
        <f aca="false">IF(B132="","",COUNTIF(Sancoes!$C:$C,B132))</f>
        <v/>
      </c>
      <c r="Q132" s="27" t="str">
        <f aca="false">IF(B132="","",COUNTIF(Socios!$B:$B,B132))</f>
        <v/>
      </c>
      <c r="R132" s="27" t="str">
        <f aca="false">IF(B132="","",COUNTIFS(Socios!$B:$B,B132,Socios!$L:$L,"SIM"))</f>
        <v/>
      </c>
      <c r="S132" s="24"/>
      <c r="T132" s="11"/>
    </row>
    <row r="133" customFormat="false" ht="15" hidden="false" customHeight="false" outlineLevel="0" collapsed="false">
      <c r="A133" s="24"/>
      <c r="B133" s="31" t="str">
        <f aca="false">IF(A133="","",IF(LEN(UPPER(SUBSTITUTE(SUBSTITUTE(SUBSTITUTE(SUBSTITUTE(TRIM(A133),".",""),"/",""),"-","")," ","")))&lt;14,RIGHT(REPT("0",14)&amp;UPPER(SUBSTITUTE(SUBSTITUTE(SUBSTITUTE(SUBSTITUTE(TRIM(A133),".",""),"/",""),"-","")," ","")),14),UPPER(SUBSTITUTE(SUBSTITUTE(SUBSTITUTE(SUBSTITUTE(TRIM(A133),".",""),"/",""),"-","")," ",""))))</f>
        <v/>
      </c>
      <c r="C133" s="11"/>
      <c r="D133" s="23"/>
      <c r="E133" s="22"/>
      <c r="F133" s="23"/>
      <c r="G133" s="11"/>
      <c r="H133" s="35"/>
      <c r="I133" s="11"/>
      <c r="J133" s="23"/>
      <c r="K133" s="27" t="str">
        <f aca="false">IF(B133="","",COUNTIF(Contratos!$D:$D,B133))</f>
        <v/>
      </c>
      <c r="L133" s="36" t="str">
        <f aca="false">IF(B133="","",SUMIFS(Contratos!$K:$K,Contratos!$D:$D,B133))</f>
        <v/>
      </c>
      <c r="M133" s="36" t="str">
        <f aca="false">IF(B133="","",SUMIFS(Pagamentos!$G:$G,Pagamentos!$D:$D,B133,Pagamentos!$F:$F,"Empenho"))</f>
        <v/>
      </c>
      <c r="N133" s="36" t="str">
        <f aca="false">IF(B133="","",SUMIFS(Pagamentos!$G:$G,Pagamentos!$D:$D,B133,Pagamentos!$F:$F,"Pagamento"))</f>
        <v/>
      </c>
      <c r="O133" s="37" t="str">
        <f aca="false">IF(OR(B133="",H133="",L133="",L133=0),"",H133/L133)</f>
        <v/>
      </c>
      <c r="P133" s="27" t="str">
        <f aca="false">IF(B133="","",COUNTIF(Sancoes!$C:$C,B133))</f>
        <v/>
      </c>
      <c r="Q133" s="27" t="str">
        <f aca="false">IF(B133="","",COUNTIF(Socios!$B:$B,B133))</f>
        <v/>
      </c>
      <c r="R133" s="27" t="str">
        <f aca="false">IF(B133="","",COUNTIFS(Socios!$B:$B,B133,Socios!$L:$L,"SIM"))</f>
        <v/>
      </c>
      <c r="S133" s="24"/>
      <c r="T133" s="11"/>
    </row>
    <row r="134" customFormat="false" ht="15" hidden="false" customHeight="false" outlineLevel="0" collapsed="false">
      <c r="A134" s="24"/>
      <c r="B134" s="31" t="str">
        <f aca="false">IF(A134="","",IF(LEN(UPPER(SUBSTITUTE(SUBSTITUTE(SUBSTITUTE(SUBSTITUTE(TRIM(A134),".",""),"/",""),"-","")," ","")))&lt;14,RIGHT(REPT("0",14)&amp;UPPER(SUBSTITUTE(SUBSTITUTE(SUBSTITUTE(SUBSTITUTE(TRIM(A134),".",""),"/",""),"-","")," ","")),14),UPPER(SUBSTITUTE(SUBSTITUTE(SUBSTITUTE(SUBSTITUTE(TRIM(A134),".",""),"/",""),"-","")," ",""))))</f>
        <v/>
      </c>
      <c r="C134" s="11"/>
      <c r="D134" s="23"/>
      <c r="E134" s="22"/>
      <c r="F134" s="23"/>
      <c r="G134" s="11"/>
      <c r="H134" s="35"/>
      <c r="I134" s="11"/>
      <c r="J134" s="23"/>
      <c r="K134" s="27" t="str">
        <f aca="false">IF(B134="","",COUNTIF(Contratos!$D:$D,B134))</f>
        <v/>
      </c>
      <c r="L134" s="36" t="str">
        <f aca="false">IF(B134="","",SUMIFS(Contratos!$K:$K,Contratos!$D:$D,B134))</f>
        <v/>
      </c>
      <c r="M134" s="36" t="str">
        <f aca="false">IF(B134="","",SUMIFS(Pagamentos!$G:$G,Pagamentos!$D:$D,B134,Pagamentos!$F:$F,"Empenho"))</f>
        <v/>
      </c>
      <c r="N134" s="36" t="str">
        <f aca="false">IF(B134="","",SUMIFS(Pagamentos!$G:$G,Pagamentos!$D:$D,B134,Pagamentos!$F:$F,"Pagamento"))</f>
        <v/>
      </c>
      <c r="O134" s="37" t="str">
        <f aca="false">IF(OR(B134="",H134="",L134="",L134=0),"",H134/L134)</f>
        <v/>
      </c>
      <c r="P134" s="27" t="str">
        <f aca="false">IF(B134="","",COUNTIF(Sancoes!$C:$C,B134))</f>
        <v/>
      </c>
      <c r="Q134" s="27" t="str">
        <f aca="false">IF(B134="","",COUNTIF(Socios!$B:$B,B134))</f>
        <v/>
      </c>
      <c r="R134" s="27" t="str">
        <f aca="false">IF(B134="","",COUNTIFS(Socios!$B:$B,B134,Socios!$L:$L,"SIM"))</f>
        <v/>
      </c>
      <c r="S134" s="24"/>
      <c r="T134" s="11"/>
    </row>
    <row r="135" customFormat="false" ht="15" hidden="false" customHeight="false" outlineLevel="0" collapsed="false">
      <c r="A135" s="24"/>
      <c r="B135" s="31" t="str">
        <f aca="false">IF(A135="","",IF(LEN(UPPER(SUBSTITUTE(SUBSTITUTE(SUBSTITUTE(SUBSTITUTE(TRIM(A135),".",""),"/",""),"-","")," ","")))&lt;14,RIGHT(REPT("0",14)&amp;UPPER(SUBSTITUTE(SUBSTITUTE(SUBSTITUTE(SUBSTITUTE(TRIM(A135),".",""),"/",""),"-","")," ","")),14),UPPER(SUBSTITUTE(SUBSTITUTE(SUBSTITUTE(SUBSTITUTE(TRIM(A135),".",""),"/",""),"-","")," ",""))))</f>
        <v/>
      </c>
      <c r="C135" s="11"/>
      <c r="D135" s="23"/>
      <c r="E135" s="22"/>
      <c r="F135" s="23"/>
      <c r="G135" s="11"/>
      <c r="H135" s="35"/>
      <c r="I135" s="11"/>
      <c r="J135" s="23"/>
      <c r="K135" s="27" t="str">
        <f aca="false">IF(B135="","",COUNTIF(Contratos!$D:$D,B135))</f>
        <v/>
      </c>
      <c r="L135" s="36" t="str">
        <f aca="false">IF(B135="","",SUMIFS(Contratos!$K:$K,Contratos!$D:$D,B135))</f>
        <v/>
      </c>
      <c r="M135" s="36" t="str">
        <f aca="false">IF(B135="","",SUMIFS(Pagamentos!$G:$G,Pagamentos!$D:$D,B135,Pagamentos!$F:$F,"Empenho"))</f>
        <v/>
      </c>
      <c r="N135" s="36" t="str">
        <f aca="false">IF(B135="","",SUMIFS(Pagamentos!$G:$G,Pagamentos!$D:$D,B135,Pagamentos!$F:$F,"Pagamento"))</f>
        <v/>
      </c>
      <c r="O135" s="37" t="str">
        <f aca="false">IF(OR(B135="",H135="",L135="",L135=0),"",H135/L135)</f>
        <v/>
      </c>
      <c r="P135" s="27" t="str">
        <f aca="false">IF(B135="","",COUNTIF(Sancoes!$C:$C,B135))</f>
        <v/>
      </c>
      <c r="Q135" s="27" t="str">
        <f aca="false">IF(B135="","",COUNTIF(Socios!$B:$B,B135))</f>
        <v/>
      </c>
      <c r="R135" s="27" t="str">
        <f aca="false">IF(B135="","",COUNTIFS(Socios!$B:$B,B135,Socios!$L:$L,"SIM"))</f>
        <v/>
      </c>
      <c r="S135" s="24"/>
      <c r="T135" s="11"/>
    </row>
    <row r="136" customFormat="false" ht="15" hidden="false" customHeight="false" outlineLevel="0" collapsed="false">
      <c r="A136" s="24"/>
      <c r="B136" s="31" t="str">
        <f aca="false">IF(A136="","",IF(LEN(UPPER(SUBSTITUTE(SUBSTITUTE(SUBSTITUTE(SUBSTITUTE(TRIM(A136),".",""),"/",""),"-","")," ","")))&lt;14,RIGHT(REPT("0",14)&amp;UPPER(SUBSTITUTE(SUBSTITUTE(SUBSTITUTE(SUBSTITUTE(TRIM(A136),".",""),"/",""),"-","")," ","")),14),UPPER(SUBSTITUTE(SUBSTITUTE(SUBSTITUTE(SUBSTITUTE(TRIM(A136),".",""),"/",""),"-","")," ",""))))</f>
        <v/>
      </c>
      <c r="C136" s="11"/>
      <c r="D136" s="23"/>
      <c r="E136" s="22"/>
      <c r="F136" s="23"/>
      <c r="G136" s="11"/>
      <c r="H136" s="35"/>
      <c r="I136" s="11"/>
      <c r="J136" s="23"/>
      <c r="K136" s="27" t="str">
        <f aca="false">IF(B136="","",COUNTIF(Contratos!$D:$D,B136))</f>
        <v/>
      </c>
      <c r="L136" s="36" t="str">
        <f aca="false">IF(B136="","",SUMIFS(Contratos!$K:$K,Contratos!$D:$D,B136))</f>
        <v/>
      </c>
      <c r="M136" s="36" t="str">
        <f aca="false">IF(B136="","",SUMIFS(Pagamentos!$G:$G,Pagamentos!$D:$D,B136,Pagamentos!$F:$F,"Empenho"))</f>
        <v/>
      </c>
      <c r="N136" s="36" t="str">
        <f aca="false">IF(B136="","",SUMIFS(Pagamentos!$G:$G,Pagamentos!$D:$D,B136,Pagamentos!$F:$F,"Pagamento"))</f>
        <v/>
      </c>
      <c r="O136" s="37" t="str">
        <f aca="false">IF(OR(B136="",H136="",L136="",L136=0),"",H136/L136)</f>
        <v/>
      </c>
      <c r="P136" s="27" t="str">
        <f aca="false">IF(B136="","",COUNTIF(Sancoes!$C:$C,B136))</f>
        <v/>
      </c>
      <c r="Q136" s="27" t="str">
        <f aca="false">IF(B136="","",COUNTIF(Socios!$B:$B,B136))</f>
        <v/>
      </c>
      <c r="R136" s="27" t="str">
        <f aca="false">IF(B136="","",COUNTIFS(Socios!$B:$B,B136,Socios!$L:$L,"SIM"))</f>
        <v/>
      </c>
      <c r="S136" s="24"/>
      <c r="T136" s="11"/>
    </row>
    <row r="137" customFormat="false" ht="15" hidden="false" customHeight="false" outlineLevel="0" collapsed="false">
      <c r="A137" s="24"/>
      <c r="B137" s="31" t="str">
        <f aca="false">IF(A137="","",IF(LEN(UPPER(SUBSTITUTE(SUBSTITUTE(SUBSTITUTE(SUBSTITUTE(TRIM(A137),".",""),"/",""),"-","")," ","")))&lt;14,RIGHT(REPT("0",14)&amp;UPPER(SUBSTITUTE(SUBSTITUTE(SUBSTITUTE(SUBSTITUTE(TRIM(A137),".",""),"/",""),"-","")," ","")),14),UPPER(SUBSTITUTE(SUBSTITUTE(SUBSTITUTE(SUBSTITUTE(TRIM(A137),".",""),"/",""),"-","")," ",""))))</f>
        <v/>
      </c>
      <c r="C137" s="11"/>
      <c r="D137" s="23"/>
      <c r="E137" s="22"/>
      <c r="F137" s="23"/>
      <c r="G137" s="11"/>
      <c r="H137" s="35"/>
      <c r="I137" s="11"/>
      <c r="J137" s="23"/>
      <c r="K137" s="27" t="str">
        <f aca="false">IF(B137="","",COUNTIF(Contratos!$D:$D,B137))</f>
        <v/>
      </c>
      <c r="L137" s="36" t="str">
        <f aca="false">IF(B137="","",SUMIFS(Contratos!$K:$K,Contratos!$D:$D,B137))</f>
        <v/>
      </c>
      <c r="M137" s="36" t="str">
        <f aca="false">IF(B137="","",SUMIFS(Pagamentos!$G:$G,Pagamentos!$D:$D,B137,Pagamentos!$F:$F,"Empenho"))</f>
        <v/>
      </c>
      <c r="N137" s="36" t="str">
        <f aca="false">IF(B137="","",SUMIFS(Pagamentos!$G:$G,Pagamentos!$D:$D,B137,Pagamentos!$F:$F,"Pagamento"))</f>
        <v/>
      </c>
      <c r="O137" s="37" t="str">
        <f aca="false">IF(OR(B137="",H137="",L137="",L137=0),"",H137/L137)</f>
        <v/>
      </c>
      <c r="P137" s="27" t="str">
        <f aca="false">IF(B137="","",COUNTIF(Sancoes!$C:$C,B137))</f>
        <v/>
      </c>
      <c r="Q137" s="27" t="str">
        <f aca="false">IF(B137="","",COUNTIF(Socios!$B:$B,B137))</f>
        <v/>
      </c>
      <c r="R137" s="27" t="str">
        <f aca="false">IF(B137="","",COUNTIFS(Socios!$B:$B,B137,Socios!$L:$L,"SIM"))</f>
        <v/>
      </c>
      <c r="S137" s="24"/>
      <c r="T137" s="11"/>
    </row>
    <row r="138" customFormat="false" ht="15" hidden="false" customHeight="false" outlineLevel="0" collapsed="false">
      <c r="A138" s="24"/>
      <c r="B138" s="31" t="str">
        <f aca="false">IF(A138="","",IF(LEN(UPPER(SUBSTITUTE(SUBSTITUTE(SUBSTITUTE(SUBSTITUTE(TRIM(A138),".",""),"/",""),"-","")," ","")))&lt;14,RIGHT(REPT("0",14)&amp;UPPER(SUBSTITUTE(SUBSTITUTE(SUBSTITUTE(SUBSTITUTE(TRIM(A138),".",""),"/",""),"-","")," ","")),14),UPPER(SUBSTITUTE(SUBSTITUTE(SUBSTITUTE(SUBSTITUTE(TRIM(A138),".",""),"/",""),"-","")," ",""))))</f>
        <v/>
      </c>
      <c r="C138" s="11"/>
      <c r="D138" s="23"/>
      <c r="E138" s="22"/>
      <c r="F138" s="23"/>
      <c r="G138" s="11"/>
      <c r="H138" s="35"/>
      <c r="I138" s="11"/>
      <c r="J138" s="23"/>
      <c r="K138" s="27" t="str">
        <f aca="false">IF(B138="","",COUNTIF(Contratos!$D:$D,B138))</f>
        <v/>
      </c>
      <c r="L138" s="36" t="str">
        <f aca="false">IF(B138="","",SUMIFS(Contratos!$K:$K,Contratos!$D:$D,B138))</f>
        <v/>
      </c>
      <c r="M138" s="36" t="str">
        <f aca="false">IF(B138="","",SUMIFS(Pagamentos!$G:$G,Pagamentos!$D:$D,B138,Pagamentos!$F:$F,"Empenho"))</f>
        <v/>
      </c>
      <c r="N138" s="36" t="str">
        <f aca="false">IF(B138="","",SUMIFS(Pagamentos!$G:$G,Pagamentos!$D:$D,B138,Pagamentos!$F:$F,"Pagamento"))</f>
        <v/>
      </c>
      <c r="O138" s="37" t="str">
        <f aca="false">IF(OR(B138="",H138="",L138="",L138=0),"",H138/L138)</f>
        <v/>
      </c>
      <c r="P138" s="27" t="str">
        <f aca="false">IF(B138="","",COUNTIF(Sancoes!$C:$C,B138))</f>
        <v/>
      </c>
      <c r="Q138" s="27" t="str">
        <f aca="false">IF(B138="","",COUNTIF(Socios!$B:$B,B138))</f>
        <v/>
      </c>
      <c r="R138" s="27" t="str">
        <f aca="false">IF(B138="","",COUNTIFS(Socios!$B:$B,B138,Socios!$L:$L,"SIM"))</f>
        <v/>
      </c>
      <c r="S138" s="24"/>
      <c r="T138" s="11"/>
    </row>
    <row r="139" customFormat="false" ht="15" hidden="false" customHeight="false" outlineLevel="0" collapsed="false">
      <c r="A139" s="24"/>
      <c r="B139" s="31" t="str">
        <f aca="false">IF(A139="","",IF(LEN(UPPER(SUBSTITUTE(SUBSTITUTE(SUBSTITUTE(SUBSTITUTE(TRIM(A139),".",""),"/",""),"-","")," ","")))&lt;14,RIGHT(REPT("0",14)&amp;UPPER(SUBSTITUTE(SUBSTITUTE(SUBSTITUTE(SUBSTITUTE(TRIM(A139),".",""),"/",""),"-","")," ","")),14),UPPER(SUBSTITUTE(SUBSTITUTE(SUBSTITUTE(SUBSTITUTE(TRIM(A139),".",""),"/",""),"-","")," ",""))))</f>
        <v/>
      </c>
      <c r="C139" s="11"/>
      <c r="D139" s="23"/>
      <c r="E139" s="22"/>
      <c r="F139" s="23"/>
      <c r="G139" s="11"/>
      <c r="H139" s="35"/>
      <c r="I139" s="11"/>
      <c r="J139" s="23"/>
      <c r="K139" s="27" t="str">
        <f aca="false">IF(B139="","",COUNTIF(Contratos!$D:$D,B139))</f>
        <v/>
      </c>
      <c r="L139" s="36" t="str">
        <f aca="false">IF(B139="","",SUMIFS(Contratos!$K:$K,Contratos!$D:$D,B139))</f>
        <v/>
      </c>
      <c r="M139" s="36" t="str">
        <f aca="false">IF(B139="","",SUMIFS(Pagamentos!$G:$G,Pagamentos!$D:$D,B139,Pagamentos!$F:$F,"Empenho"))</f>
        <v/>
      </c>
      <c r="N139" s="36" t="str">
        <f aca="false">IF(B139="","",SUMIFS(Pagamentos!$G:$G,Pagamentos!$D:$D,B139,Pagamentos!$F:$F,"Pagamento"))</f>
        <v/>
      </c>
      <c r="O139" s="37" t="str">
        <f aca="false">IF(OR(B139="",H139="",L139="",L139=0),"",H139/L139)</f>
        <v/>
      </c>
      <c r="P139" s="27" t="str">
        <f aca="false">IF(B139="","",COUNTIF(Sancoes!$C:$C,B139))</f>
        <v/>
      </c>
      <c r="Q139" s="27" t="str">
        <f aca="false">IF(B139="","",COUNTIF(Socios!$B:$B,B139))</f>
        <v/>
      </c>
      <c r="R139" s="27" t="str">
        <f aca="false">IF(B139="","",COUNTIFS(Socios!$B:$B,B139,Socios!$L:$L,"SIM"))</f>
        <v/>
      </c>
      <c r="S139" s="24"/>
      <c r="T139" s="11"/>
    </row>
    <row r="140" customFormat="false" ht="15" hidden="false" customHeight="false" outlineLevel="0" collapsed="false">
      <c r="A140" s="24"/>
      <c r="B140" s="31" t="str">
        <f aca="false">IF(A140="","",IF(LEN(UPPER(SUBSTITUTE(SUBSTITUTE(SUBSTITUTE(SUBSTITUTE(TRIM(A140),".",""),"/",""),"-","")," ","")))&lt;14,RIGHT(REPT("0",14)&amp;UPPER(SUBSTITUTE(SUBSTITUTE(SUBSTITUTE(SUBSTITUTE(TRIM(A140),".",""),"/",""),"-","")," ","")),14),UPPER(SUBSTITUTE(SUBSTITUTE(SUBSTITUTE(SUBSTITUTE(TRIM(A140),".",""),"/",""),"-","")," ",""))))</f>
        <v/>
      </c>
      <c r="C140" s="11"/>
      <c r="D140" s="23"/>
      <c r="E140" s="22"/>
      <c r="F140" s="23"/>
      <c r="G140" s="11"/>
      <c r="H140" s="35"/>
      <c r="I140" s="11"/>
      <c r="J140" s="23"/>
      <c r="K140" s="27" t="str">
        <f aca="false">IF(B140="","",COUNTIF(Contratos!$D:$D,B140))</f>
        <v/>
      </c>
      <c r="L140" s="36" t="str">
        <f aca="false">IF(B140="","",SUMIFS(Contratos!$K:$K,Contratos!$D:$D,B140))</f>
        <v/>
      </c>
      <c r="M140" s="36" t="str">
        <f aca="false">IF(B140="","",SUMIFS(Pagamentos!$G:$G,Pagamentos!$D:$D,B140,Pagamentos!$F:$F,"Empenho"))</f>
        <v/>
      </c>
      <c r="N140" s="36" t="str">
        <f aca="false">IF(B140="","",SUMIFS(Pagamentos!$G:$G,Pagamentos!$D:$D,B140,Pagamentos!$F:$F,"Pagamento"))</f>
        <v/>
      </c>
      <c r="O140" s="37" t="str">
        <f aca="false">IF(OR(B140="",H140="",L140="",L140=0),"",H140/L140)</f>
        <v/>
      </c>
      <c r="P140" s="27" t="str">
        <f aca="false">IF(B140="","",COUNTIF(Sancoes!$C:$C,B140))</f>
        <v/>
      </c>
      <c r="Q140" s="27" t="str">
        <f aca="false">IF(B140="","",COUNTIF(Socios!$B:$B,B140))</f>
        <v/>
      </c>
      <c r="R140" s="27" t="str">
        <f aca="false">IF(B140="","",COUNTIFS(Socios!$B:$B,B140,Socios!$L:$L,"SIM"))</f>
        <v/>
      </c>
      <c r="S140" s="24"/>
      <c r="T140" s="11"/>
    </row>
    <row r="141" customFormat="false" ht="15" hidden="false" customHeight="false" outlineLevel="0" collapsed="false">
      <c r="A141" s="24"/>
      <c r="B141" s="31" t="str">
        <f aca="false">IF(A141="","",IF(LEN(UPPER(SUBSTITUTE(SUBSTITUTE(SUBSTITUTE(SUBSTITUTE(TRIM(A141),".",""),"/",""),"-","")," ","")))&lt;14,RIGHT(REPT("0",14)&amp;UPPER(SUBSTITUTE(SUBSTITUTE(SUBSTITUTE(SUBSTITUTE(TRIM(A141),".",""),"/",""),"-","")," ","")),14),UPPER(SUBSTITUTE(SUBSTITUTE(SUBSTITUTE(SUBSTITUTE(TRIM(A141),".",""),"/",""),"-","")," ",""))))</f>
        <v/>
      </c>
      <c r="C141" s="11"/>
      <c r="D141" s="23"/>
      <c r="E141" s="22"/>
      <c r="F141" s="23"/>
      <c r="G141" s="11"/>
      <c r="H141" s="35"/>
      <c r="I141" s="11"/>
      <c r="J141" s="23"/>
      <c r="K141" s="27" t="str">
        <f aca="false">IF(B141="","",COUNTIF(Contratos!$D:$D,B141))</f>
        <v/>
      </c>
      <c r="L141" s="36" t="str">
        <f aca="false">IF(B141="","",SUMIFS(Contratos!$K:$K,Contratos!$D:$D,B141))</f>
        <v/>
      </c>
      <c r="M141" s="36" t="str">
        <f aca="false">IF(B141="","",SUMIFS(Pagamentos!$G:$G,Pagamentos!$D:$D,B141,Pagamentos!$F:$F,"Empenho"))</f>
        <v/>
      </c>
      <c r="N141" s="36" t="str">
        <f aca="false">IF(B141="","",SUMIFS(Pagamentos!$G:$G,Pagamentos!$D:$D,B141,Pagamentos!$F:$F,"Pagamento"))</f>
        <v/>
      </c>
      <c r="O141" s="37" t="str">
        <f aca="false">IF(OR(B141="",H141="",L141="",L141=0),"",H141/L141)</f>
        <v/>
      </c>
      <c r="P141" s="27" t="str">
        <f aca="false">IF(B141="","",COUNTIF(Sancoes!$C:$C,B141))</f>
        <v/>
      </c>
      <c r="Q141" s="27" t="str">
        <f aca="false">IF(B141="","",COUNTIF(Socios!$B:$B,B141))</f>
        <v/>
      </c>
      <c r="R141" s="27" t="str">
        <f aca="false">IF(B141="","",COUNTIFS(Socios!$B:$B,B141,Socios!$L:$L,"SIM"))</f>
        <v/>
      </c>
      <c r="S141" s="24"/>
      <c r="T141" s="11"/>
    </row>
    <row r="142" customFormat="false" ht="15" hidden="false" customHeight="false" outlineLevel="0" collapsed="false">
      <c r="A142" s="24"/>
      <c r="B142" s="31" t="str">
        <f aca="false">IF(A142="","",IF(LEN(UPPER(SUBSTITUTE(SUBSTITUTE(SUBSTITUTE(SUBSTITUTE(TRIM(A142),".",""),"/",""),"-","")," ","")))&lt;14,RIGHT(REPT("0",14)&amp;UPPER(SUBSTITUTE(SUBSTITUTE(SUBSTITUTE(SUBSTITUTE(TRIM(A142),".",""),"/",""),"-","")," ","")),14),UPPER(SUBSTITUTE(SUBSTITUTE(SUBSTITUTE(SUBSTITUTE(TRIM(A142),".",""),"/",""),"-","")," ",""))))</f>
        <v/>
      </c>
      <c r="C142" s="11"/>
      <c r="D142" s="23"/>
      <c r="E142" s="22"/>
      <c r="F142" s="23"/>
      <c r="G142" s="11"/>
      <c r="H142" s="35"/>
      <c r="I142" s="11"/>
      <c r="J142" s="23"/>
      <c r="K142" s="27" t="str">
        <f aca="false">IF(B142="","",COUNTIF(Contratos!$D:$D,B142))</f>
        <v/>
      </c>
      <c r="L142" s="36" t="str">
        <f aca="false">IF(B142="","",SUMIFS(Contratos!$K:$K,Contratos!$D:$D,B142))</f>
        <v/>
      </c>
      <c r="M142" s="36" t="str">
        <f aca="false">IF(B142="","",SUMIFS(Pagamentos!$G:$G,Pagamentos!$D:$D,B142,Pagamentos!$F:$F,"Empenho"))</f>
        <v/>
      </c>
      <c r="N142" s="36" t="str">
        <f aca="false">IF(B142="","",SUMIFS(Pagamentos!$G:$G,Pagamentos!$D:$D,B142,Pagamentos!$F:$F,"Pagamento"))</f>
        <v/>
      </c>
      <c r="O142" s="37" t="str">
        <f aca="false">IF(OR(B142="",H142="",L142="",L142=0),"",H142/L142)</f>
        <v/>
      </c>
      <c r="P142" s="27" t="str">
        <f aca="false">IF(B142="","",COUNTIF(Sancoes!$C:$C,B142))</f>
        <v/>
      </c>
      <c r="Q142" s="27" t="str">
        <f aca="false">IF(B142="","",COUNTIF(Socios!$B:$B,B142))</f>
        <v/>
      </c>
      <c r="R142" s="27" t="str">
        <f aca="false">IF(B142="","",COUNTIFS(Socios!$B:$B,B142,Socios!$L:$L,"SIM"))</f>
        <v/>
      </c>
      <c r="S142" s="24"/>
      <c r="T142" s="11"/>
    </row>
    <row r="143" customFormat="false" ht="15" hidden="false" customHeight="false" outlineLevel="0" collapsed="false">
      <c r="A143" s="24"/>
      <c r="B143" s="31" t="str">
        <f aca="false">IF(A143="","",IF(LEN(UPPER(SUBSTITUTE(SUBSTITUTE(SUBSTITUTE(SUBSTITUTE(TRIM(A143),".",""),"/",""),"-","")," ","")))&lt;14,RIGHT(REPT("0",14)&amp;UPPER(SUBSTITUTE(SUBSTITUTE(SUBSTITUTE(SUBSTITUTE(TRIM(A143),".",""),"/",""),"-","")," ","")),14),UPPER(SUBSTITUTE(SUBSTITUTE(SUBSTITUTE(SUBSTITUTE(TRIM(A143),".",""),"/",""),"-","")," ",""))))</f>
        <v/>
      </c>
      <c r="C143" s="11"/>
      <c r="D143" s="23"/>
      <c r="E143" s="22"/>
      <c r="F143" s="23"/>
      <c r="G143" s="11"/>
      <c r="H143" s="35"/>
      <c r="I143" s="11"/>
      <c r="J143" s="23"/>
      <c r="K143" s="27" t="str">
        <f aca="false">IF(B143="","",COUNTIF(Contratos!$D:$D,B143))</f>
        <v/>
      </c>
      <c r="L143" s="36" t="str">
        <f aca="false">IF(B143="","",SUMIFS(Contratos!$K:$K,Contratos!$D:$D,B143))</f>
        <v/>
      </c>
      <c r="M143" s="36" t="str">
        <f aca="false">IF(B143="","",SUMIFS(Pagamentos!$G:$G,Pagamentos!$D:$D,B143,Pagamentos!$F:$F,"Empenho"))</f>
        <v/>
      </c>
      <c r="N143" s="36" t="str">
        <f aca="false">IF(B143="","",SUMIFS(Pagamentos!$G:$G,Pagamentos!$D:$D,B143,Pagamentos!$F:$F,"Pagamento"))</f>
        <v/>
      </c>
      <c r="O143" s="37" t="str">
        <f aca="false">IF(OR(B143="",H143="",L143="",L143=0),"",H143/L143)</f>
        <v/>
      </c>
      <c r="P143" s="27" t="str">
        <f aca="false">IF(B143="","",COUNTIF(Sancoes!$C:$C,B143))</f>
        <v/>
      </c>
      <c r="Q143" s="27" t="str">
        <f aca="false">IF(B143="","",COUNTIF(Socios!$B:$B,B143))</f>
        <v/>
      </c>
      <c r="R143" s="27" t="str">
        <f aca="false">IF(B143="","",COUNTIFS(Socios!$B:$B,B143,Socios!$L:$L,"SIM"))</f>
        <v/>
      </c>
      <c r="S143" s="24"/>
      <c r="T143" s="11"/>
    </row>
    <row r="144" customFormat="false" ht="15" hidden="false" customHeight="false" outlineLevel="0" collapsed="false">
      <c r="A144" s="24"/>
      <c r="B144" s="31" t="str">
        <f aca="false">IF(A144="","",IF(LEN(UPPER(SUBSTITUTE(SUBSTITUTE(SUBSTITUTE(SUBSTITUTE(TRIM(A144),".",""),"/",""),"-","")," ","")))&lt;14,RIGHT(REPT("0",14)&amp;UPPER(SUBSTITUTE(SUBSTITUTE(SUBSTITUTE(SUBSTITUTE(TRIM(A144),".",""),"/",""),"-","")," ","")),14),UPPER(SUBSTITUTE(SUBSTITUTE(SUBSTITUTE(SUBSTITUTE(TRIM(A144),".",""),"/",""),"-","")," ",""))))</f>
        <v/>
      </c>
      <c r="C144" s="11"/>
      <c r="D144" s="23"/>
      <c r="E144" s="22"/>
      <c r="F144" s="23"/>
      <c r="G144" s="11"/>
      <c r="H144" s="35"/>
      <c r="I144" s="11"/>
      <c r="J144" s="23"/>
      <c r="K144" s="27" t="str">
        <f aca="false">IF(B144="","",COUNTIF(Contratos!$D:$D,B144))</f>
        <v/>
      </c>
      <c r="L144" s="36" t="str">
        <f aca="false">IF(B144="","",SUMIFS(Contratos!$K:$K,Contratos!$D:$D,B144))</f>
        <v/>
      </c>
      <c r="M144" s="36" t="str">
        <f aca="false">IF(B144="","",SUMIFS(Pagamentos!$G:$G,Pagamentos!$D:$D,B144,Pagamentos!$F:$F,"Empenho"))</f>
        <v/>
      </c>
      <c r="N144" s="36" t="str">
        <f aca="false">IF(B144="","",SUMIFS(Pagamentos!$G:$G,Pagamentos!$D:$D,B144,Pagamentos!$F:$F,"Pagamento"))</f>
        <v/>
      </c>
      <c r="O144" s="37" t="str">
        <f aca="false">IF(OR(B144="",H144="",L144="",L144=0),"",H144/L144)</f>
        <v/>
      </c>
      <c r="P144" s="27" t="str">
        <f aca="false">IF(B144="","",COUNTIF(Sancoes!$C:$C,B144))</f>
        <v/>
      </c>
      <c r="Q144" s="27" t="str">
        <f aca="false">IF(B144="","",COUNTIF(Socios!$B:$B,B144))</f>
        <v/>
      </c>
      <c r="R144" s="27" t="str">
        <f aca="false">IF(B144="","",COUNTIFS(Socios!$B:$B,B144,Socios!$L:$L,"SIM"))</f>
        <v/>
      </c>
      <c r="S144" s="24"/>
      <c r="T144" s="11"/>
    </row>
    <row r="145" customFormat="false" ht="15" hidden="false" customHeight="false" outlineLevel="0" collapsed="false">
      <c r="A145" s="24"/>
      <c r="B145" s="31" t="str">
        <f aca="false">IF(A145="","",IF(LEN(UPPER(SUBSTITUTE(SUBSTITUTE(SUBSTITUTE(SUBSTITUTE(TRIM(A145),".",""),"/",""),"-","")," ","")))&lt;14,RIGHT(REPT("0",14)&amp;UPPER(SUBSTITUTE(SUBSTITUTE(SUBSTITUTE(SUBSTITUTE(TRIM(A145),".",""),"/",""),"-","")," ","")),14),UPPER(SUBSTITUTE(SUBSTITUTE(SUBSTITUTE(SUBSTITUTE(TRIM(A145),".",""),"/",""),"-","")," ",""))))</f>
        <v/>
      </c>
      <c r="C145" s="11"/>
      <c r="D145" s="23"/>
      <c r="E145" s="22"/>
      <c r="F145" s="23"/>
      <c r="G145" s="11"/>
      <c r="H145" s="35"/>
      <c r="I145" s="11"/>
      <c r="J145" s="23"/>
      <c r="K145" s="27" t="str">
        <f aca="false">IF(B145="","",COUNTIF(Contratos!$D:$D,B145))</f>
        <v/>
      </c>
      <c r="L145" s="36" t="str">
        <f aca="false">IF(B145="","",SUMIFS(Contratos!$K:$K,Contratos!$D:$D,B145))</f>
        <v/>
      </c>
      <c r="M145" s="36" t="str">
        <f aca="false">IF(B145="","",SUMIFS(Pagamentos!$G:$G,Pagamentos!$D:$D,B145,Pagamentos!$F:$F,"Empenho"))</f>
        <v/>
      </c>
      <c r="N145" s="36" t="str">
        <f aca="false">IF(B145="","",SUMIFS(Pagamentos!$G:$G,Pagamentos!$D:$D,B145,Pagamentos!$F:$F,"Pagamento"))</f>
        <v/>
      </c>
      <c r="O145" s="37" t="str">
        <f aca="false">IF(OR(B145="",H145="",L145="",L145=0),"",H145/L145)</f>
        <v/>
      </c>
      <c r="P145" s="27" t="str">
        <f aca="false">IF(B145="","",COUNTIF(Sancoes!$C:$C,B145))</f>
        <v/>
      </c>
      <c r="Q145" s="27" t="str">
        <f aca="false">IF(B145="","",COUNTIF(Socios!$B:$B,B145))</f>
        <v/>
      </c>
      <c r="R145" s="27" t="str">
        <f aca="false">IF(B145="","",COUNTIFS(Socios!$B:$B,B145,Socios!$L:$L,"SIM"))</f>
        <v/>
      </c>
      <c r="S145" s="24"/>
      <c r="T145" s="11"/>
    </row>
    <row r="146" customFormat="false" ht="15" hidden="false" customHeight="false" outlineLevel="0" collapsed="false">
      <c r="A146" s="24"/>
      <c r="B146" s="31" t="str">
        <f aca="false">IF(A146="","",IF(LEN(UPPER(SUBSTITUTE(SUBSTITUTE(SUBSTITUTE(SUBSTITUTE(TRIM(A146),".",""),"/",""),"-","")," ","")))&lt;14,RIGHT(REPT("0",14)&amp;UPPER(SUBSTITUTE(SUBSTITUTE(SUBSTITUTE(SUBSTITUTE(TRIM(A146),".",""),"/",""),"-","")," ","")),14),UPPER(SUBSTITUTE(SUBSTITUTE(SUBSTITUTE(SUBSTITUTE(TRIM(A146),".",""),"/",""),"-","")," ",""))))</f>
        <v/>
      </c>
      <c r="C146" s="11"/>
      <c r="D146" s="23"/>
      <c r="E146" s="22"/>
      <c r="F146" s="23"/>
      <c r="G146" s="11"/>
      <c r="H146" s="35"/>
      <c r="I146" s="11"/>
      <c r="J146" s="23"/>
      <c r="K146" s="27" t="str">
        <f aca="false">IF(B146="","",COUNTIF(Contratos!$D:$D,B146))</f>
        <v/>
      </c>
      <c r="L146" s="36" t="str">
        <f aca="false">IF(B146="","",SUMIFS(Contratos!$K:$K,Contratos!$D:$D,B146))</f>
        <v/>
      </c>
      <c r="M146" s="36" t="str">
        <f aca="false">IF(B146="","",SUMIFS(Pagamentos!$G:$G,Pagamentos!$D:$D,B146,Pagamentos!$F:$F,"Empenho"))</f>
        <v/>
      </c>
      <c r="N146" s="36" t="str">
        <f aca="false">IF(B146="","",SUMIFS(Pagamentos!$G:$G,Pagamentos!$D:$D,B146,Pagamentos!$F:$F,"Pagamento"))</f>
        <v/>
      </c>
      <c r="O146" s="37" t="str">
        <f aca="false">IF(OR(B146="",H146="",L146="",L146=0),"",H146/L146)</f>
        <v/>
      </c>
      <c r="P146" s="27" t="str">
        <f aca="false">IF(B146="","",COUNTIF(Sancoes!$C:$C,B146))</f>
        <v/>
      </c>
      <c r="Q146" s="27" t="str">
        <f aca="false">IF(B146="","",COUNTIF(Socios!$B:$B,B146))</f>
        <v/>
      </c>
      <c r="R146" s="27" t="str">
        <f aca="false">IF(B146="","",COUNTIFS(Socios!$B:$B,B146,Socios!$L:$L,"SIM"))</f>
        <v/>
      </c>
      <c r="S146" s="24"/>
      <c r="T146" s="11"/>
    </row>
    <row r="147" customFormat="false" ht="15" hidden="false" customHeight="false" outlineLevel="0" collapsed="false">
      <c r="A147" s="24"/>
      <c r="B147" s="31" t="str">
        <f aca="false">IF(A147="","",IF(LEN(UPPER(SUBSTITUTE(SUBSTITUTE(SUBSTITUTE(SUBSTITUTE(TRIM(A147),".",""),"/",""),"-","")," ","")))&lt;14,RIGHT(REPT("0",14)&amp;UPPER(SUBSTITUTE(SUBSTITUTE(SUBSTITUTE(SUBSTITUTE(TRIM(A147),".",""),"/",""),"-","")," ","")),14),UPPER(SUBSTITUTE(SUBSTITUTE(SUBSTITUTE(SUBSTITUTE(TRIM(A147),".",""),"/",""),"-","")," ",""))))</f>
        <v/>
      </c>
      <c r="C147" s="11"/>
      <c r="D147" s="23"/>
      <c r="E147" s="22"/>
      <c r="F147" s="23"/>
      <c r="G147" s="11"/>
      <c r="H147" s="35"/>
      <c r="I147" s="11"/>
      <c r="J147" s="23"/>
      <c r="K147" s="27" t="str">
        <f aca="false">IF(B147="","",COUNTIF(Contratos!$D:$D,B147))</f>
        <v/>
      </c>
      <c r="L147" s="36" t="str">
        <f aca="false">IF(B147="","",SUMIFS(Contratos!$K:$K,Contratos!$D:$D,B147))</f>
        <v/>
      </c>
      <c r="M147" s="36" t="str">
        <f aca="false">IF(B147="","",SUMIFS(Pagamentos!$G:$G,Pagamentos!$D:$D,B147,Pagamentos!$F:$F,"Empenho"))</f>
        <v/>
      </c>
      <c r="N147" s="36" t="str">
        <f aca="false">IF(B147="","",SUMIFS(Pagamentos!$G:$G,Pagamentos!$D:$D,B147,Pagamentos!$F:$F,"Pagamento"))</f>
        <v/>
      </c>
      <c r="O147" s="37" t="str">
        <f aca="false">IF(OR(B147="",H147="",L147="",L147=0),"",H147/L147)</f>
        <v/>
      </c>
      <c r="P147" s="27" t="str">
        <f aca="false">IF(B147="","",COUNTIF(Sancoes!$C:$C,B147))</f>
        <v/>
      </c>
      <c r="Q147" s="27" t="str">
        <f aca="false">IF(B147="","",COUNTIF(Socios!$B:$B,B147))</f>
        <v/>
      </c>
      <c r="R147" s="27" t="str">
        <f aca="false">IF(B147="","",COUNTIFS(Socios!$B:$B,B147,Socios!$L:$L,"SIM"))</f>
        <v/>
      </c>
      <c r="S147" s="24"/>
      <c r="T147" s="11"/>
    </row>
    <row r="148" customFormat="false" ht="15" hidden="false" customHeight="false" outlineLevel="0" collapsed="false">
      <c r="A148" s="24"/>
      <c r="B148" s="31" t="str">
        <f aca="false">IF(A148="","",IF(LEN(UPPER(SUBSTITUTE(SUBSTITUTE(SUBSTITUTE(SUBSTITUTE(TRIM(A148),".",""),"/",""),"-","")," ","")))&lt;14,RIGHT(REPT("0",14)&amp;UPPER(SUBSTITUTE(SUBSTITUTE(SUBSTITUTE(SUBSTITUTE(TRIM(A148),".",""),"/",""),"-","")," ","")),14),UPPER(SUBSTITUTE(SUBSTITUTE(SUBSTITUTE(SUBSTITUTE(TRIM(A148),".",""),"/",""),"-","")," ",""))))</f>
        <v/>
      </c>
      <c r="C148" s="11"/>
      <c r="D148" s="23"/>
      <c r="E148" s="22"/>
      <c r="F148" s="23"/>
      <c r="G148" s="11"/>
      <c r="H148" s="35"/>
      <c r="I148" s="11"/>
      <c r="J148" s="23"/>
      <c r="K148" s="27" t="str">
        <f aca="false">IF(B148="","",COUNTIF(Contratos!$D:$D,B148))</f>
        <v/>
      </c>
      <c r="L148" s="36" t="str">
        <f aca="false">IF(B148="","",SUMIFS(Contratos!$K:$K,Contratos!$D:$D,B148))</f>
        <v/>
      </c>
      <c r="M148" s="36" t="str">
        <f aca="false">IF(B148="","",SUMIFS(Pagamentos!$G:$G,Pagamentos!$D:$D,B148,Pagamentos!$F:$F,"Empenho"))</f>
        <v/>
      </c>
      <c r="N148" s="36" t="str">
        <f aca="false">IF(B148="","",SUMIFS(Pagamentos!$G:$G,Pagamentos!$D:$D,B148,Pagamentos!$F:$F,"Pagamento"))</f>
        <v/>
      </c>
      <c r="O148" s="37" t="str">
        <f aca="false">IF(OR(B148="",H148="",L148="",L148=0),"",H148/L148)</f>
        <v/>
      </c>
      <c r="P148" s="27" t="str">
        <f aca="false">IF(B148="","",COUNTIF(Sancoes!$C:$C,B148))</f>
        <v/>
      </c>
      <c r="Q148" s="27" t="str">
        <f aca="false">IF(B148="","",COUNTIF(Socios!$B:$B,B148))</f>
        <v/>
      </c>
      <c r="R148" s="27" t="str">
        <f aca="false">IF(B148="","",COUNTIFS(Socios!$B:$B,B148,Socios!$L:$L,"SIM"))</f>
        <v/>
      </c>
      <c r="S148" s="24"/>
      <c r="T148" s="11"/>
    </row>
    <row r="149" customFormat="false" ht="15" hidden="false" customHeight="false" outlineLevel="0" collapsed="false">
      <c r="A149" s="24"/>
      <c r="B149" s="31" t="str">
        <f aca="false">IF(A149="","",IF(LEN(UPPER(SUBSTITUTE(SUBSTITUTE(SUBSTITUTE(SUBSTITUTE(TRIM(A149),".",""),"/",""),"-","")," ","")))&lt;14,RIGHT(REPT("0",14)&amp;UPPER(SUBSTITUTE(SUBSTITUTE(SUBSTITUTE(SUBSTITUTE(TRIM(A149),".",""),"/",""),"-","")," ","")),14),UPPER(SUBSTITUTE(SUBSTITUTE(SUBSTITUTE(SUBSTITUTE(TRIM(A149),".",""),"/",""),"-","")," ",""))))</f>
        <v/>
      </c>
      <c r="C149" s="11"/>
      <c r="D149" s="23"/>
      <c r="E149" s="22"/>
      <c r="F149" s="23"/>
      <c r="G149" s="11"/>
      <c r="H149" s="35"/>
      <c r="I149" s="11"/>
      <c r="J149" s="23"/>
      <c r="K149" s="27" t="str">
        <f aca="false">IF(B149="","",COUNTIF(Contratos!$D:$D,B149))</f>
        <v/>
      </c>
      <c r="L149" s="36" t="str">
        <f aca="false">IF(B149="","",SUMIFS(Contratos!$K:$K,Contratos!$D:$D,B149))</f>
        <v/>
      </c>
      <c r="M149" s="36" t="str">
        <f aca="false">IF(B149="","",SUMIFS(Pagamentos!$G:$G,Pagamentos!$D:$D,B149,Pagamentos!$F:$F,"Empenho"))</f>
        <v/>
      </c>
      <c r="N149" s="36" t="str">
        <f aca="false">IF(B149="","",SUMIFS(Pagamentos!$G:$G,Pagamentos!$D:$D,B149,Pagamentos!$F:$F,"Pagamento"))</f>
        <v/>
      </c>
      <c r="O149" s="37" t="str">
        <f aca="false">IF(OR(B149="",H149="",L149="",L149=0),"",H149/L149)</f>
        <v/>
      </c>
      <c r="P149" s="27" t="str">
        <f aca="false">IF(B149="","",COUNTIF(Sancoes!$C:$C,B149))</f>
        <v/>
      </c>
      <c r="Q149" s="27" t="str">
        <f aca="false">IF(B149="","",COUNTIF(Socios!$B:$B,B149))</f>
        <v/>
      </c>
      <c r="R149" s="27" t="str">
        <f aca="false">IF(B149="","",COUNTIFS(Socios!$B:$B,B149,Socios!$L:$L,"SIM"))</f>
        <v/>
      </c>
      <c r="S149" s="24"/>
      <c r="T149" s="11"/>
    </row>
    <row r="150" customFormat="false" ht="15" hidden="false" customHeight="false" outlineLevel="0" collapsed="false">
      <c r="A150" s="24"/>
      <c r="B150" s="31" t="str">
        <f aca="false">IF(A150="","",IF(LEN(UPPER(SUBSTITUTE(SUBSTITUTE(SUBSTITUTE(SUBSTITUTE(TRIM(A150),".",""),"/",""),"-","")," ","")))&lt;14,RIGHT(REPT("0",14)&amp;UPPER(SUBSTITUTE(SUBSTITUTE(SUBSTITUTE(SUBSTITUTE(TRIM(A150),".",""),"/",""),"-","")," ","")),14),UPPER(SUBSTITUTE(SUBSTITUTE(SUBSTITUTE(SUBSTITUTE(TRIM(A150),".",""),"/",""),"-","")," ",""))))</f>
        <v/>
      </c>
      <c r="C150" s="11"/>
      <c r="D150" s="23"/>
      <c r="E150" s="22"/>
      <c r="F150" s="23"/>
      <c r="G150" s="11"/>
      <c r="H150" s="35"/>
      <c r="I150" s="11"/>
      <c r="J150" s="23"/>
      <c r="K150" s="27" t="str">
        <f aca="false">IF(B150="","",COUNTIF(Contratos!$D:$D,B150))</f>
        <v/>
      </c>
      <c r="L150" s="36" t="str">
        <f aca="false">IF(B150="","",SUMIFS(Contratos!$K:$K,Contratos!$D:$D,B150))</f>
        <v/>
      </c>
      <c r="M150" s="36" t="str">
        <f aca="false">IF(B150="","",SUMIFS(Pagamentos!$G:$G,Pagamentos!$D:$D,B150,Pagamentos!$F:$F,"Empenho"))</f>
        <v/>
      </c>
      <c r="N150" s="36" t="str">
        <f aca="false">IF(B150="","",SUMIFS(Pagamentos!$G:$G,Pagamentos!$D:$D,B150,Pagamentos!$F:$F,"Pagamento"))</f>
        <v/>
      </c>
      <c r="O150" s="37" t="str">
        <f aca="false">IF(OR(B150="",H150="",L150="",L150=0),"",H150/L150)</f>
        <v/>
      </c>
      <c r="P150" s="27" t="str">
        <f aca="false">IF(B150="","",COUNTIF(Sancoes!$C:$C,B150))</f>
        <v/>
      </c>
      <c r="Q150" s="27" t="str">
        <f aca="false">IF(B150="","",COUNTIF(Socios!$B:$B,B150))</f>
        <v/>
      </c>
      <c r="R150" s="27" t="str">
        <f aca="false">IF(B150="","",COUNTIFS(Socios!$B:$B,B150,Socios!$L:$L,"SIM"))</f>
        <v/>
      </c>
      <c r="S150" s="24"/>
      <c r="T150" s="11"/>
    </row>
    <row r="151" customFormat="false" ht="15" hidden="false" customHeight="false" outlineLevel="0" collapsed="false">
      <c r="A151" s="24"/>
      <c r="B151" s="31" t="str">
        <f aca="false">IF(A151="","",IF(LEN(UPPER(SUBSTITUTE(SUBSTITUTE(SUBSTITUTE(SUBSTITUTE(TRIM(A151),".",""),"/",""),"-","")," ","")))&lt;14,RIGHT(REPT("0",14)&amp;UPPER(SUBSTITUTE(SUBSTITUTE(SUBSTITUTE(SUBSTITUTE(TRIM(A151),".",""),"/",""),"-","")," ","")),14),UPPER(SUBSTITUTE(SUBSTITUTE(SUBSTITUTE(SUBSTITUTE(TRIM(A151),".",""),"/",""),"-","")," ",""))))</f>
        <v/>
      </c>
      <c r="C151" s="11"/>
      <c r="D151" s="23"/>
      <c r="E151" s="22"/>
      <c r="F151" s="23"/>
      <c r="G151" s="11"/>
      <c r="H151" s="35"/>
      <c r="I151" s="11"/>
      <c r="J151" s="23"/>
      <c r="K151" s="27" t="str">
        <f aca="false">IF(B151="","",COUNTIF(Contratos!$D:$D,B151))</f>
        <v/>
      </c>
      <c r="L151" s="36" t="str">
        <f aca="false">IF(B151="","",SUMIFS(Contratos!$K:$K,Contratos!$D:$D,B151))</f>
        <v/>
      </c>
      <c r="M151" s="36" t="str">
        <f aca="false">IF(B151="","",SUMIFS(Pagamentos!$G:$G,Pagamentos!$D:$D,B151,Pagamentos!$F:$F,"Empenho"))</f>
        <v/>
      </c>
      <c r="N151" s="36" t="str">
        <f aca="false">IF(B151="","",SUMIFS(Pagamentos!$G:$G,Pagamentos!$D:$D,B151,Pagamentos!$F:$F,"Pagamento"))</f>
        <v/>
      </c>
      <c r="O151" s="37" t="str">
        <f aca="false">IF(OR(B151="",H151="",L151="",L151=0),"",H151/L151)</f>
        <v/>
      </c>
      <c r="P151" s="27" t="str">
        <f aca="false">IF(B151="","",COUNTIF(Sancoes!$C:$C,B151))</f>
        <v/>
      </c>
      <c r="Q151" s="27" t="str">
        <f aca="false">IF(B151="","",COUNTIF(Socios!$B:$B,B151))</f>
        <v/>
      </c>
      <c r="R151" s="27" t="str">
        <f aca="false">IF(B151="","",COUNTIFS(Socios!$B:$B,B151,Socios!$L:$L,"SIM"))</f>
        <v/>
      </c>
      <c r="S151" s="24"/>
      <c r="T151" s="11"/>
    </row>
    <row r="152" customFormat="false" ht="15" hidden="false" customHeight="false" outlineLevel="0" collapsed="false">
      <c r="A152" s="24"/>
      <c r="B152" s="31" t="str">
        <f aca="false">IF(A152="","",IF(LEN(UPPER(SUBSTITUTE(SUBSTITUTE(SUBSTITUTE(SUBSTITUTE(TRIM(A152),".",""),"/",""),"-","")," ","")))&lt;14,RIGHT(REPT("0",14)&amp;UPPER(SUBSTITUTE(SUBSTITUTE(SUBSTITUTE(SUBSTITUTE(TRIM(A152),".",""),"/",""),"-","")," ","")),14),UPPER(SUBSTITUTE(SUBSTITUTE(SUBSTITUTE(SUBSTITUTE(TRIM(A152),".",""),"/",""),"-","")," ",""))))</f>
        <v/>
      </c>
      <c r="C152" s="11"/>
      <c r="D152" s="23"/>
      <c r="E152" s="22"/>
      <c r="F152" s="23"/>
      <c r="G152" s="11"/>
      <c r="H152" s="35"/>
      <c r="I152" s="11"/>
      <c r="J152" s="23"/>
      <c r="K152" s="27" t="str">
        <f aca="false">IF(B152="","",COUNTIF(Contratos!$D:$D,B152))</f>
        <v/>
      </c>
      <c r="L152" s="36" t="str">
        <f aca="false">IF(B152="","",SUMIFS(Contratos!$K:$K,Contratos!$D:$D,B152))</f>
        <v/>
      </c>
      <c r="M152" s="36" t="str">
        <f aca="false">IF(B152="","",SUMIFS(Pagamentos!$G:$G,Pagamentos!$D:$D,B152,Pagamentos!$F:$F,"Empenho"))</f>
        <v/>
      </c>
      <c r="N152" s="36" t="str">
        <f aca="false">IF(B152="","",SUMIFS(Pagamentos!$G:$G,Pagamentos!$D:$D,B152,Pagamentos!$F:$F,"Pagamento"))</f>
        <v/>
      </c>
      <c r="O152" s="37" t="str">
        <f aca="false">IF(OR(B152="",H152="",L152="",L152=0),"",H152/L152)</f>
        <v/>
      </c>
      <c r="P152" s="27" t="str">
        <f aca="false">IF(B152="","",COUNTIF(Sancoes!$C:$C,B152))</f>
        <v/>
      </c>
      <c r="Q152" s="27" t="str">
        <f aca="false">IF(B152="","",COUNTIF(Socios!$B:$B,B152))</f>
        <v/>
      </c>
      <c r="R152" s="27" t="str">
        <f aca="false">IF(B152="","",COUNTIFS(Socios!$B:$B,B152,Socios!$L:$L,"SIM"))</f>
        <v/>
      </c>
      <c r="S152" s="24"/>
      <c r="T152" s="11"/>
    </row>
    <row r="153" customFormat="false" ht="15" hidden="false" customHeight="false" outlineLevel="0" collapsed="false">
      <c r="A153" s="24"/>
      <c r="B153" s="31" t="str">
        <f aca="false">IF(A153="","",IF(LEN(UPPER(SUBSTITUTE(SUBSTITUTE(SUBSTITUTE(SUBSTITUTE(TRIM(A153),".",""),"/",""),"-","")," ","")))&lt;14,RIGHT(REPT("0",14)&amp;UPPER(SUBSTITUTE(SUBSTITUTE(SUBSTITUTE(SUBSTITUTE(TRIM(A153),".",""),"/",""),"-","")," ","")),14),UPPER(SUBSTITUTE(SUBSTITUTE(SUBSTITUTE(SUBSTITUTE(TRIM(A153),".",""),"/",""),"-","")," ",""))))</f>
        <v/>
      </c>
      <c r="C153" s="11"/>
      <c r="D153" s="23"/>
      <c r="E153" s="22"/>
      <c r="F153" s="23"/>
      <c r="G153" s="11"/>
      <c r="H153" s="35"/>
      <c r="I153" s="11"/>
      <c r="J153" s="23"/>
      <c r="K153" s="27" t="str">
        <f aca="false">IF(B153="","",COUNTIF(Contratos!$D:$D,B153))</f>
        <v/>
      </c>
      <c r="L153" s="36" t="str">
        <f aca="false">IF(B153="","",SUMIFS(Contratos!$K:$K,Contratos!$D:$D,B153))</f>
        <v/>
      </c>
      <c r="M153" s="36" t="str">
        <f aca="false">IF(B153="","",SUMIFS(Pagamentos!$G:$G,Pagamentos!$D:$D,B153,Pagamentos!$F:$F,"Empenho"))</f>
        <v/>
      </c>
      <c r="N153" s="36" t="str">
        <f aca="false">IF(B153="","",SUMIFS(Pagamentos!$G:$G,Pagamentos!$D:$D,B153,Pagamentos!$F:$F,"Pagamento"))</f>
        <v/>
      </c>
      <c r="O153" s="37" t="str">
        <f aca="false">IF(OR(B153="",H153="",L153="",L153=0),"",H153/L153)</f>
        <v/>
      </c>
      <c r="P153" s="27" t="str">
        <f aca="false">IF(B153="","",COUNTIF(Sancoes!$C:$C,B153))</f>
        <v/>
      </c>
      <c r="Q153" s="27" t="str">
        <f aca="false">IF(B153="","",COUNTIF(Socios!$B:$B,B153))</f>
        <v/>
      </c>
      <c r="R153" s="27" t="str">
        <f aca="false">IF(B153="","",COUNTIFS(Socios!$B:$B,B153,Socios!$L:$L,"SIM"))</f>
        <v/>
      </c>
      <c r="S153" s="24"/>
      <c r="T153" s="11"/>
    </row>
    <row r="154" customFormat="false" ht="15" hidden="false" customHeight="false" outlineLevel="0" collapsed="false">
      <c r="A154" s="24"/>
      <c r="B154" s="31" t="str">
        <f aca="false">IF(A154="","",IF(LEN(UPPER(SUBSTITUTE(SUBSTITUTE(SUBSTITUTE(SUBSTITUTE(TRIM(A154),".",""),"/",""),"-","")," ","")))&lt;14,RIGHT(REPT("0",14)&amp;UPPER(SUBSTITUTE(SUBSTITUTE(SUBSTITUTE(SUBSTITUTE(TRIM(A154),".",""),"/",""),"-","")," ","")),14),UPPER(SUBSTITUTE(SUBSTITUTE(SUBSTITUTE(SUBSTITUTE(TRIM(A154),".",""),"/",""),"-","")," ",""))))</f>
        <v/>
      </c>
      <c r="C154" s="11"/>
      <c r="D154" s="23"/>
      <c r="E154" s="22"/>
      <c r="F154" s="23"/>
      <c r="G154" s="11"/>
      <c r="H154" s="35"/>
      <c r="I154" s="11"/>
      <c r="J154" s="23"/>
      <c r="K154" s="27" t="str">
        <f aca="false">IF(B154="","",COUNTIF(Contratos!$D:$D,B154))</f>
        <v/>
      </c>
      <c r="L154" s="36" t="str">
        <f aca="false">IF(B154="","",SUMIFS(Contratos!$K:$K,Contratos!$D:$D,B154))</f>
        <v/>
      </c>
      <c r="M154" s="36" t="str">
        <f aca="false">IF(B154="","",SUMIFS(Pagamentos!$G:$G,Pagamentos!$D:$D,B154,Pagamentos!$F:$F,"Empenho"))</f>
        <v/>
      </c>
      <c r="N154" s="36" t="str">
        <f aca="false">IF(B154="","",SUMIFS(Pagamentos!$G:$G,Pagamentos!$D:$D,B154,Pagamentos!$F:$F,"Pagamento"))</f>
        <v/>
      </c>
      <c r="O154" s="37" t="str">
        <f aca="false">IF(OR(B154="",H154="",L154="",L154=0),"",H154/L154)</f>
        <v/>
      </c>
      <c r="P154" s="27" t="str">
        <f aca="false">IF(B154="","",COUNTIF(Sancoes!$C:$C,B154))</f>
        <v/>
      </c>
      <c r="Q154" s="27" t="str">
        <f aca="false">IF(B154="","",COUNTIF(Socios!$B:$B,B154))</f>
        <v/>
      </c>
      <c r="R154" s="27" t="str">
        <f aca="false">IF(B154="","",COUNTIFS(Socios!$B:$B,B154,Socios!$L:$L,"SIM"))</f>
        <v/>
      </c>
      <c r="S154" s="24"/>
      <c r="T154" s="11"/>
    </row>
    <row r="155" customFormat="false" ht="15" hidden="false" customHeight="false" outlineLevel="0" collapsed="false">
      <c r="A155" s="24"/>
      <c r="B155" s="31" t="str">
        <f aca="false">IF(A155="","",IF(LEN(UPPER(SUBSTITUTE(SUBSTITUTE(SUBSTITUTE(SUBSTITUTE(TRIM(A155),".",""),"/",""),"-","")," ","")))&lt;14,RIGHT(REPT("0",14)&amp;UPPER(SUBSTITUTE(SUBSTITUTE(SUBSTITUTE(SUBSTITUTE(TRIM(A155),".",""),"/",""),"-","")," ","")),14),UPPER(SUBSTITUTE(SUBSTITUTE(SUBSTITUTE(SUBSTITUTE(TRIM(A155),".",""),"/",""),"-","")," ",""))))</f>
        <v/>
      </c>
      <c r="C155" s="11"/>
      <c r="D155" s="23"/>
      <c r="E155" s="22"/>
      <c r="F155" s="23"/>
      <c r="G155" s="11"/>
      <c r="H155" s="35"/>
      <c r="I155" s="11"/>
      <c r="J155" s="23"/>
      <c r="K155" s="27" t="str">
        <f aca="false">IF(B155="","",COUNTIF(Contratos!$D:$D,B155))</f>
        <v/>
      </c>
      <c r="L155" s="36" t="str">
        <f aca="false">IF(B155="","",SUMIFS(Contratos!$K:$K,Contratos!$D:$D,B155))</f>
        <v/>
      </c>
      <c r="M155" s="36" t="str">
        <f aca="false">IF(B155="","",SUMIFS(Pagamentos!$G:$G,Pagamentos!$D:$D,B155,Pagamentos!$F:$F,"Empenho"))</f>
        <v/>
      </c>
      <c r="N155" s="36" t="str">
        <f aca="false">IF(B155="","",SUMIFS(Pagamentos!$G:$G,Pagamentos!$D:$D,B155,Pagamentos!$F:$F,"Pagamento"))</f>
        <v/>
      </c>
      <c r="O155" s="37" t="str">
        <f aca="false">IF(OR(B155="",H155="",L155="",L155=0),"",H155/L155)</f>
        <v/>
      </c>
      <c r="P155" s="27" t="str">
        <f aca="false">IF(B155="","",COUNTIF(Sancoes!$C:$C,B155))</f>
        <v/>
      </c>
      <c r="Q155" s="27" t="str">
        <f aca="false">IF(B155="","",COUNTIF(Socios!$B:$B,B155))</f>
        <v/>
      </c>
      <c r="R155" s="27" t="str">
        <f aca="false">IF(B155="","",COUNTIFS(Socios!$B:$B,B155,Socios!$L:$L,"SIM"))</f>
        <v/>
      </c>
      <c r="S155" s="24"/>
      <c r="T155" s="11"/>
    </row>
    <row r="156" customFormat="false" ht="15" hidden="false" customHeight="false" outlineLevel="0" collapsed="false">
      <c r="A156" s="24"/>
      <c r="B156" s="31" t="str">
        <f aca="false">IF(A156="","",IF(LEN(UPPER(SUBSTITUTE(SUBSTITUTE(SUBSTITUTE(SUBSTITUTE(TRIM(A156),".",""),"/",""),"-","")," ","")))&lt;14,RIGHT(REPT("0",14)&amp;UPPER(SUBSTITUTE(SUBSTITUTE(SUBSTITUTE(SUBSTITUTE(TRIM(A156),".",""),"/",""),"-","")," ","")),14),UPPER(SUBSTITUTE(SUBSTITUTE(SUBSTITUTE(SUBSTITUTE(TRIM(A156),".",""),"/",""),"-","")," ",""))))</f>
        <v/>
      </c>
      <c r="C156" s="11"/>
      <c r="D156" s="23"/>
      <c r="E156" s="22"/>
      <c r="F156" s="23"/>
      <c r="G156" s="11"/>
      <c r="H156" s="35"/>
      <c r="I156" s="11"/>
      <c r="J156" s="23"/>
      <c r="K156" s="27" t="str">
        <f aca="false">IF(B156="","",COUNTIF(Contratos!$D:$D,B156))</f>
        <v/>
      </c>
      <c r="L156" s="36" t="str">
        <f aca="false">IF(B156="","",SUMIFS(Contratos!$K:$K,Contratos!$D:$D,B156))</f>
        <v/>
      </c>
      <c r="M156" s="36" t="str">
        <f aca="false">IF(B156="","",SUMIFS(Pagamentos!$G:$G,Pagamentos!$D:$D,B156,Pagamentos!$F:$F,"Empenho"))</f>
        <v/>
      </c>
      <c r="N156" s="36" t="str">
        <f aca="false">IF(B156="","",SUMIFS(Pagamentos!$G:$G,Pagamentos!$D:$D,B156,Pagamentos!$F:$F,"Pagamento"))</f>
        <v/>
      </c>
      <c r="O156" s="37" t="str">
        <f aca="false">IF(OR(B156="",H156="",L156="",L156=0),"",H156/L156)</f>
        <v/>
      </c>
      <c r="P156" s="27" t="str">
        <f aca="false">IF(B156="","",COUNTIF(Sancoes!$C:$C,B156))</f>
        <v/>
      </c>
      <c r="Q156" s="27" t="str">
        <f aca="false">IF(B156="","",COUNTIF(Socios!$B:$B,B156))</f>
        <v/>
      </c>
      <c r="R156" s="27" t="str">
        <f aca="false">IF(B156="","",COUNTIFS(Socios!$B:$B,B156,Socios!$L:$L,"SIM"))</f>
        <v/>
      </c>
      <c r="S156" s="24"/>
      <c r="T156" s="11"/>
    </row>
    <row r="157" customFormat="false" ht="15" hidden="false" customHeight="false" outlineLevel="0" collapsed="false">
      <c r="A157" s="24"/>
      <c r="B157" s="31" t="str">
        <f aca="false">IF(A157="","",IF(LEN(UPPER(SUBSTITUTE(SUBSTITUTE(SUBSTITUTE(SUBSTITUTE(TRIM(A157),".",""),"/",""),"-","")," ","")))&lt;14,RIGHT(REPT("0",14)&amp;UPPER(SUBSTITUTE(SUBSTITUTE(SUBSTITUTE(SUBSTITUTE(TRIM(A157),".",""),"/",""),"-","")," ","")),14),UPPER(SUBSTITUTE(SUBSTITUTE(SUBSTITUTE(SUBSTITUTE(TRIM(A157),".",""),"/",""),"-","")," ",""))))</f>
        <v/>
      </c>
      <c r="C157" s="11"/>
      <c r="D157" s="23"/>
      <c r="E157" s="22"/>
      <c r="F157" s="23"/>
      <c r="G157" s="11"/>
      <c r="H157" s="35"/>
      <c r="I157" s="11"/>
      <c r="J157" s="23"/>
      <c r="K157" s="27" t="str">
        <f aca="false">IF(B157="","",COUNTIF(Contratos!$D:$D,B157))</f>
        <v/>
      </c>
      <c r="L157" s="36" t="str">
        <f aca="false">IF(B157="","",SUMIFS(Contratos!$K:$K,Contratos!$D:$D,B157))</f>
        <v/>
      </c>
      <c r="M157" s="36" t="str">
        <f aca="false">IF(B157="","",SUMIFS(Pagamentos!$G:$G,Pagamentos!$D:$D,B157,Pagamentos!$F:$F,"Empenho"))</f>
        <v/>
      </c>
      <c r="N157" s="36" t="str">
        <f aca="false">IF(B157="","",SUMIFS(Pagamentos!$G:$G,Pagamentos!$D:$D,B157,Pagamentos!$F:$F,"Pagamento"))</f>
        <v/>
      </c>
      <c r="O157" s="37" t="str">
        <f aca="false">IF(OR(B157="",H157="",L157="",L157=0),"",H157/L157)</f>
        <v/>
      </c>
      <c r="P157" s="27" t="str">
        <f aca="false">IF(B157="","",COUNTIF(Sancoes!$C:$C,B157))</f>
        <v/>
      </c>
      <c r="Q157" s="27" t="str">
        <f aca="false">IF(B157="","",COUNTIF(Socios!$B:$B,B157))</f>
        <v/>
      </c>
      <c r="R157" s="27" t="str">
        <f aca="false">IF(B157="","",COUNTIFS(Socios!$B:$B,B157,Socios!$L:$L,"SIM"))</f>
        <v/>
      </c>
      <c r="S157" s="24"/>
      <c r="T157" s="11"/>
    </row>
    <row r="158" customFormat="false" ht="15" hidden="false" customHeight="false" outlineLevel="0" collapsed="false">
      <c r="A158" s="24"/>
      <c r="B158" s="31" t="str">
        <f aca="false">IF(A158="","",IF(LEN(UPPER(SUBSTITUTE(SUBSTITUTE(SUBSTITUTE(SUBSTITUTE(TRIM(A158),".",""),"/",""),"-","")," ","")))&lt;14,RIGHT(REPT("0",14)&amp;UPPER(SUBSTITUTE(SUBSTITUTE(SUBSTITUTE(SUBSTITUTE(TRIM(A158),".",""),"/",""),"-","")," ","")),14),UPPER(SUBSTITUTE(SUBSTITUTE(SUBSTITUTE(SUBSTITUTE(TRIM(A158),".",""),"/",""),"-","")," ",""))))</f>
        <v/>
      </c>
      <c r="C158" s="11"/>
      <c r="D158" s="23"/>
      <c r="E158" s="22"/>
      <c r="F158" s="23"/>
      <c r="G158" s="11"/>
      <c r="H158" s="35"/>
      <c r="I158" s="11"/>
      <c r="J158" s="23"/>
      <c r="K158" s="27" t="str">
        <f aca="false">IF(B158="","",COUNTIF(Contratos!$D:$D,B158))</f>
        <v/>
      </c>
      <c r="L158" s="36" t="str">
        <f aca="false">IF(B158="","",SUMIFS(Contratos!$K:$K,Contratos!$D:$D,B158))</f>
        <v/>
      </c>
      <c r="M158" s="36" t="str">
        <f aca="false">IF(B158="","",SUMIFS(Pagamentos!$G:$G,Pagamentos!$D:$D,B158,Pagamentos!$F:$F,"Empenho"))</f>
        <v/>
      </c>
      <c r="N158" s="36" t="str">
        <f aca="false">IF(B158="","",SUMIFS(Pagamentos!$G:$G,Pagamentos!$D:$D,B158,Pagamentos!$F:$F,"Pagamento"))</f>
        <v/>
      </c>
      <c r="O158" s="37" t="str">
        <f aca="false">IF(OR(B158="",H158="",L158="",L158=0),"",H158/L158)</f>
        <v/>
      </c>
      <c r="P158" s="27" t="str">
        <f aca="false">IF(B158="","",COUNTIF(Sancoes!$C:$C,B158))</f>
        <v/>
      </c>
      <c r="Q158" s="27" t="str">
        <f aca="false">IF(B158="","",COUNTIF(Socios!$B:$B,B158))</f>
        <v/>
      </c>
      <c r="R158" s="27" t="str">
        <f aca="false">IF(B158="","",COUNTIFS(Socios!$B:$B,B158,Socios!$L:$L,"SIM"))</f>
        <v/>
      </c>
      <c r="S158" s="24"/>
      <c r="T158" s="11"/>
    </row>
    <row r="159" customFormat="false" ht="15" hidden="false" customHeight="false" outlineLevel="0" collapsed="false">
      <c r="A159" s="24"/>
      <c r="B159" s="31" t="str">
        <f aca="false">IF(A159="","",IF(LEN(UPPER(SUBSTITUTE(SUBSTITUTE(SUBSTITUTE(SUBSTITUTE(TRIM(A159),".",""),"/",""),"-","")," ","")))&lt;14,RIGHT(REPT("0",14)&amp;UPPER(SUBSTITUTE(SUBSTITUTE(SUBSTITUTE(SUBSTITUTE(TRIM(A159),".",""),"/",""),"-","")," ","")),14),UPPER(SUBSTITUTE(SUBSTITUTE(SUBSTITUTE(SUBSTITUTE(TRIM(A159),".",""),"/",""),"-","")," ",""))))</f>
        <v/>
      </c>
      <c r="C159" s="11"/>
      <c r="D159" s="23"/>
      <c r="E159" s="22"/>
      <c r="F159" s="23"/>
      <c r="G159" s="11"/>
      <c r="H159" s="35"/>
      <c r="I159" s="11"/>
      <c r="J159" s="23"/>
      <c r="K159" s="27" t="str">
        <f aca="false">IF(B159="","",COUNTIF(Contratos!$D:$D,B159))</f>
        <v/>
      </c>
      <c r="L159" s="36" t="str">
        <f aca="false">IF(B159="","",SUMIFS(Contratos!$K:$K,Contratos!$D:$D,B159))</f>
        <v/>
      </c>
      <c r="M159" s="36" t="str">
        <f aca="false">IF(B159="","",SUMIFS(Pagamentos!$G:$G,Pagamentos!$D:$D,B159,Pagamentos!$F:$F,"Empenho"))</f>
        <v/>
      </c>
      <c r="N159" s="36" t="str">
        <f aca="false">IF(B159="","",SUMIFS(Pagamentos!$G:$G,Pagamentos!$D:$D,B159,Pagamentos!$F:$F,"Pagamento"))</f>
        <v/>
      </c>
      <c r="O159" s="37" t="str">
        <f aca="false">IF(OR(B159="",H159="",L159="",L159=0),"",H159/L159)</f>
        <v/>
      </c>
      <c r="P159" s="27" t="str">
        <f aca="false">IF(B159="","",COUNTIF(Sancoes!$C:$C,B159))</f>
        <v/>
      </c>
      <c r="Q159" s="27" t="str">
        <f aca="false">IF(B159="","",COUNTIF(Socios!$B:$B,B159))</f>
        <v/>
      </c>
      <c r="R159" s="27" t="str">
        <f aca="false">IF(B159="","",COUNTIFS(Socios!$B:$B,B159,Socios!$L:$L,"SIM"))</f>
        <v/>
      </c>
      <c r="S159" s="24"/>
      <c r="T159" s="11"/>
    </row>
    <row r="160" customFormat="false" ht="15" hidden="false" customHeight="false" outlineLevel="0" collapsed="false">
      <c r="A160" s="24"/>
      <c r="B160" s="31" t="str">
        <f aca="false">IF(A160="","",IF(LEN(UPPER(SUBSTITUTE(SUBSTITUTE(SUBSTITUTE(SUBSTITUTE(TRIM(A160),".",""),"/",""),"-","")," ","")))&lt;14,RIGHT(REPT("0",14)&amp;UPPER(SUBSTITUTE(SUBSTITUTE(SUBSTITUTE(SUBSTITUTE(TRIM(A160),".",""),"/",""),"-","")," ","")),14),UPPER(SUBSTITUTE(SUBSTITUTE(SUBSTITUTE(SUBSTITUTE(TRIM(A160),".",""),"/",""),"-","")," ",""))))</f>
        <v/>
      </c>
      <c r="C160" s="11"/>
      <c r="D160" s="23"/>
      <c r="E160" s="22"/>
      <c r="F160" s="23"/>
      <c r="G160" s="11"/>
      <c r="H160" s="35"/>
      <c r="I160" s="11"/>
      <c r="J160" s="23"/>
      <c r="K160" s="27" t="str">
        <f aca="false">IF(B160="","",COUNTIF(Contratos!$D:$D,B160))</f>
        <v/>
      </c>
      <c r="L160" s="36" t="str">
        <f aca="false">IF(B160="","",SUMIFS(Contratos!$K:$K,Contratos!$D:$D,B160))</f>
        <v/>
      </c>
      <c r="M160" s="36" t="str">
        <f aca="false">IF(B160="","",SUMIFS(Pagamentos!$G:$G,Pagamentos!$D:$D,B160,Pagamentos!$F:$F,"Empenho"))</f>
        <v/>
      </c>
      <c r="N160" s="36" t="str">
        <f aca="false">IF(B160="","",SUMIFS(Pagamentos!$G:$G,Pagamentos!$D:$D,B160,Pagamentos!$F:$F,"Pagamento"))</f>
        <v/>
      </c>
      <c r="O160" s="37" t="str">
        <f aca="false">IF(OR(B160="",H160="",L160="",L160=0),"",H160/L160)</f>
        <v/>
      </c>
      <c r="P160" s="27" t="str">
        <f aca="false">IF(B160="","",COUNTIF(Sancoes!$C:$C,B160))</f>
        <v/>
      </c>
      <c r="Q160" s="27" t="str">
        <f aca="false">IF(B160="","",COUNTIF(Socios!$B:$B,B160))</f>
        <v/>
      </c>
      <c r="R160" s="27" t="str">
        <f aca="false">IF(B160="","",COUNTIFS(Socios!$B:$B,B160,Socios!$L:$L,"SIM"))</f>
        <v/>
      </c>
      <c r="S160" s="24"/>
      <c r="T160" s="11"/>
    </row>
    <row r="161" customFormat="false" ht="15" hidden="false" customHeight="false" outlineLevel="0" collapsed="false">
      <c r="A161" s="24"/>
      <c r="B161" s="31" t="str">
        <f aca="false">IF(A161="","",IF(LEN(UPPER(SUBSTITUTE(SUBSTITUTE(SUBSTITUTE(SUBSTITUTE(TRIM(A161),".",""),"/",""),"-","")," ","")))&lt;14,RIGHT(REPT("0",14)&amp;UPPER(SUBSTITUTE(SUBSTITUTE(SUBSTITUTE(SUBSTITUTE(TRIM(A161),".",""),"/",""),"-","")," ","")),14),UPPER(SUBSTITUTE(SUBSTITUTE(SUBSTITUTE(SUBSTITUTE(TRIM(A161),".",""),"/",""),"-","")," ",""))))</f>
        <v/>
      </c>
      <c r="C161" s="11"/>
      <c r="D161" s="23"/>
      <c r="E161" s="22"/>
      <c r="F161" s="23"/>
      <c r="G161" s="11"/>
      <c r="H161" s="35"/>
      <c r="I161" s="11"/>
      <c r="J161" s="23"/>
      <c r="K161" s="27" t="str">
        <f aca="false">IF(B161="","",COUNTIF(Contratos!$D:$D,B161))</f>
        <v/>
      </c>
      <c r="L161" s="36" t="str">
        <f aca="false">IF(B161="","",SUMIFS(Contratos!$K:$K,Contratos!$D:$D,B161))</f>
        <v/>
      </c>
      <c r="M161" s="36" t="str">
        <f aca="false">IF(B161="","",SUMIFS(Pagamentos!$G:$G,Pagamentos!$D:$D,B161,Pagamentos!$F:$F,"Empenho"))</f>
        <v/>
      </c>
      <c r="N161" s="36" t="str">
        <f aca="false">IF(B161="","",SUMIFS(Pagamentos!$G:$G,Pagamentos!$D:$D,B161,Pagamentos!$F:$F,"Pagamento"))</f>
        <v/>
      </c>
      <c r="O161" s="37" t="str">
        <f aca="false">IF(OR(B161="",H161="",L161="",L161=0),"",H161/L161)</f>
        <v/>
      </c>
      <c r="P161" s="27" t="str">
        <f aca="false">IF(B161="","",COUNTIF(Sancoes!$C:$C,B161))</f>
        <v/>
      </c>
      <c r="Q161" s="27" t="str">
        <f aca="false">IF(B161="","",COUNTIF(Socios!$B:$B,B161))</f>
        <v/>
      </c>
      <c r="R161" s="27" t="str">
        <f aca="false">IF(B161="","",COUNTIFS(Socios!$B:$B,B161,Socios!$L:$L,"SIM"))</f>
        <v/>
      </c>
      <c r="S161" s="24"/>
      <c r="T161" s="11"/>
    </row>
    <row r="162" customFormat="false" ht="15" hidden="false" customHeight="false" outlineLevel="0" collapsed="false">
      <c r="A162" s="24"/>
      <c r="B162" s="31" t="str">
        <f aca="false">IF(A162="","",IF(LEN(UPPER(SUBSTITUTE(SUBSTITUTE(SUBSTITUTE(SUBSTITUTE(TRIM(A162),".",""),"/",""),"-","")," ","")))&lt;14,RIGHT(REPT("0",14)&amp;UPPER(SUBSTITUTE(SUBSTITUTE(SUBSTITUTE(SUBSTITUTE(TRIM(A162),".",""),"/",""),"-","")," ","")),14),UPPER(SUBSTITUTE(SUBSTITUTE(SUBSTITUTE(SUBSTITUTE(TRIM(A162),".",""),"/",""),"-","")," ",""))))</f>
        <v/>
      </c>
      <c r="C162" s="11"/>
      <c r="D162" s="23"/>
      <c r="E162" s="22"/>
      <c r="F162" s="23"/>
      <c r="G162" s="11"/>
      <c r="H162" s="35"/>
      <c r="I162" s="11"/>
      <c r="J162" s="23"/>
      <c r="K162" s="27" t="str">
        <f aca="false">IF(B162="","",COUNTIF(Contratos!$D:$D,B162))</f>
        <v/>
      </c>
      <c r="L162" s="36" t="str">
        <f aca="false">IF(B162="","",SUMIFS(Contratos!$K:$K,Contratos!$D:$D,B162))</f>
        <v/>
      </c>
      <c r="M162" s="36" t="str">
        <f aca="false">IF(B162="","",SUMIFS(Pagamentos!$G:$G,Pagamentos!$D:$D,B162,Pagamentos!$F:$F,"Empenho"))</f>
        <v/>
      </c>
      <c r="N162" s="36" t="str">
        <f aca="false">IF(B162="","",SUMIFS(Pagamentos!$G:$G,Pagamentos!$D:$D,B162,Pagamentos!$F:$F,"Pagamento"))</f>
        <v/>
      </c>
      <c r="O162" s="37" t="str">
        <f aca="false">IF(OR(B162="",H162="",L162="",L162=0),"",H162/L162)</f>
        <v/>
      </c>
      <c r="P162" s="27" t="str">
        <f aca="false">IF(B162="","",COUNTIF(Sancoes!$C:$C,B162))</f>
        <v/>
      </c>
      <c r="Q162" s="27" t="str">
        <f aca="false">IF(B162="","",COUNTIF(Socios!$B:$B,B162))</f>
        <v/>
      </c>
      <c r="R162" s="27" t="str">
        <f aca="false">IF(B162="","",COUNTIFS(Socios!$B:$B,B162,Socios!$L:$L,"SIM"))</f>
        <v/>
      </c>
      <c r="S162" s="24"/>
      <c r="T162" s="11"/>
    </row>
    <row r="163" customFormat="false" ht="15" hidden="false" customHeight="false" outlineLevel="0" collapsed="false">
      <c r="A163" s="24"/>
      <c r="B163" s="31" t="str">
        <f aca="false">IF(A163="","",IF(LEN(UPPER(SUBSTITUTE(SUBSTITUTE(SUBSTITUTE(SUBSTITUTE(TRIM(A163),".",""),"/",""),"-","")," ","")))&lt;14,RIGHT(REPT("0",14)&amp;UPPER(SUBSTITUTE(SUBSTITUTE(SUBSTITUTE(SUBSTITUTE(TRIM(A163),".",""),"/",""),"-","")," ","")),14),UPPER(SUBSTITUTE(SUBSTITUTE(SUBSTITUTE(SUBSTITUTE(TRIM(A163),".",""),"/",""),"-","")," ",""))))</f>
        <v/>
      </c>
      <c r="C163" s="11"/>
      <c r="D163" s="23"/>
      <c r="E163" s="22"/>
      <c r="F163" s="23"/>
      <c r="G163" s="11"/>
      <c r="H163" s="35"/>
      <c r="I163" s="11"/>
      <c r="J163" s="23"/>
      <c r="K163" s="27" t="str">
        <f aca="false">IF(B163="","",COUNTIF(Contratos!$D:$D,B163))</f>
        <v/>
      </c>
      <c r="L163" s="36" t="str">
        <f aca="false">IF(B163="","",SUMIFS(Contratos!$K:$K,Contratos!$D:$D,B163))</f>
        <v/>
      </c>
      <c r="M163" s="36" t="str">
        <f aca="false">IF(B163="","",SUMIFS(Pagamentos!$G:$G,Pagamentos!$D:$D,B163,Pagamentos!$F:$F,"Empenho"))</f>
        <v/>
      </c>
      <c r="N163" s="36" t="str">
        <f aca="false">IF(B163="","",SUMIFS(Pagamentos!$G:$G,Pagamentos!$D:$D,B163,Pagamentos!$F:$F,"Pagamento"))</f>
        <v/>
      </c>
      <c r="O163" s="37" t="str">
        <f aca="false">IF(OR(B163="",H163="",L163="",L163=0),"",H163/L163)</f>
        <v/>
      </c>
      <c r="P163" s="27" t="str">
        <f aca="false">IF(B163="","",COUNTIF(Sancoes!$C:$C,B163))</f>
        <v/>
      </c>
      <c r="Q163" s="27" t="str">
        <f aca="false">IF(B163="","",COUNTIF(Socios!$B:$B,B163))</f>
        <v/>
      </c>
      <c r="R163" s="27" t="str">
        <f aca="false">IF(B163="","",COUNTIFS(Socios!$B:$B,B163,Socios!$L:$L,"SIM"))</f>
        <v/>
      </c>
      <c r="S163" s="24"/>
      <c r="T163" s="11"/>
    </row>
    <row r="164" customFormat="false" ht="15" hidden="false" customHeight="false" outlineLevel="0" collapsed="false">
      <c r="A164" s="24"/>
      <c r="B164" s="31" t="str">
        <f aca="false">IF(A164="","",IF(LEN(UPPER(SUBSTITUTE(SUBSTITUTE(SUBSTITUTE(SUBSTITUTE(TRIM(A164),".",""),"/",""),"-","")," ","")))&lt;14,RIGHT(REPT("0",14)&amp;UPPER(SUBSTITUTE(SUBSTITUTE(SUBSTITUTE(SUBSTITUTE(TRIM(A164),".",""),"/",""),"-","")," ","")),14),UPPER(SUBSTITUTE(SUBSTITUTE(SUBSTITUTE(SUBSTITUTE(TRIM(A164),".",""),"/",""),"-","")," ",""))))</f>
        <v/>
      </c>
      <c r="C164" s="11"/>
      <c r="D164" s="23"/>
      <c r="E164" s="22"/>
      <c r="F164" s="23"/>
      <c r="G164" s="11"/>
      <c r="H164" s="35"/>
      <c r="I164" s="11"/>
      <c r="J164" s="23"/>
      <c r="K164" s="27" t="str">
        <f aca="false">IF(B164="","",COUNTIF(Contratos!$D:$D,B164))</f>
        <v/>
      </c>
      <c r="L164" s="36" t="str">
        <f aca="false">IF(B164="","",SUMIFS(Contratos!$K:$K,Contratos!$D:$D,B164))</f>
        <v/>
      </c>
      <c r="M164" s="36" t="str">
        <f aca="false">IF(B164="","",SUMIFS(Pagamentos!$G:$G,Pagamentos!$D:$D,B164,Pagamentos!$F:$F,"Empenho"))</f>
        <v/>
      </c>
      <c r="N164" s="36" t="str">
        <f aca="false">IF(B164="","",SUMIFS(Pagamentos!$G:$G,Pagamentos!$D:$D,B164,Pagamentos!$F:$F,"Pagamento"))</f>
        <v/>
      </c>
      <c r="O164" s="37" t="str">
        <f aca="false">IF(OR(B164="",H164="",L164="",L164=0),"",H164/L164)</f>
        <v/>
      </c>
      <c r="P164" s="27" t="str">
        <f aca="false">IF(B164="","",COUNTIF(Sancoes!$C:$C,B164))</f>
        <v/>
      </c>
      <c r="Q164" s="27" t="str">
        <f aca="false">IF(B164="","",COUNTIF(Socios!$B:$B,B164))</f>
        <v/>
      </c>
      <c r="R164" s="27" t="str">
        <f aca="false">IF(B164="","",COUNTIFS(Socios!$B:$B,B164,Socios!$L:$L,"SIM"))</f>
        <v/>
      </c>
      <c r="S164" s="24"/>
      <c r="T164" s="11"/>
    </row>
    <row r="165" customFormat="false" ht="15" hidden="false" customHeight="false" outlineLevel="0" collapsed="false">
      <c r="A165" s="24"/>
      <c r="B165" s="31" t="str">
        <f aca="false">IF(A165="","",IF(LEN(UPPER(SUBSTITUTE(SUBSTITUTE(SUBSTITUTE(SUBSTITUTE(TRIM(A165),".",""),"/",""),"-","")," ","")))&lt;14,RIGHT(REPT("0",14)&amp;UPPER(SUBSTITUTE(SUBSTITUTE(SUBSTITUTE(SUBSTITUTE(TRIM(A165),".",""),"/",""),"-","")," ","")),14),UPPER(SUBSTITUTE(SUBSTITUTE(SUBSTITUTE(SUBSTITUTE(TRIM(A165),".",""),"/",""),"-","")," ",""))))</f>
        <v/>
      </c>
      <c r="C165" s="11"/>
      <c r="D165" s="23"/>
      <c r="E165" s="22"/>
      <c r="F165" s="23"/>
      <c r="G165" s="11"/>
      <c r="H165" s="35"/>
      <c r="I165" s="11"/>
      <c r="J165" s="23"/>
      <c r="K165" s="27" t="str">
        <f aca="false">IF(B165="","",COUNTIF(Contratos!$D:$D,B165))</f>
        <v/>
      </c>
      <c r="L165" s="36" t="str">
        <f aca="false">IF(B165="","",SUMIFS(Contratos!$K:$K,Contratos!$D:$D,B165))</f>
        <v/>
      </c>
      <c r="M165" s="36" t="str">
        <f aca="false">IF(B165="","",SUMIFS(Pagamentos!$G:$G,Pagamentos!$D:$D,B165,Pagamentos!$F:$F,"Empenho"))</f>
        <v/>
      </c>
      <c r="N165" s="36" t="str">
        <f aca="false">IF(B165="","",SUMIFS(Pagamentos!$G:$G,Pagamentos!$D:$D,B165,Pagamentos!$F:$F,"Pagamento"))</f>
        <v/>
      </c>
      <c r="O165" s="37" t="str">
        <f aca="false">IF(OR(B165="",H165="",L165="",L165=0),"",H165/L165)</f>
        <v/>
      </c>
      <c r="P165" s="27" t="str">
        <f aca="false">IF(B165="","",COUNTIF(Sancoes!$C:$C,B165))</f>
        <v/>
      </c>
      <c r="Q165" s="27" t="str">
        <f aca="false">IF(B165="","",COUNTIF(Socios!$B:$B,B165))</f>
        <v/>
      </c>
      <c r="R165" s="27" t="str">
        <f aca="false">IF(B165="","",COUNTIFS(Socios!$B:$B,B165,Socios!$L:$L,"SIM"))</f>
        <v/>
      </c>
      <c r="S165" s="24"/>
      <c r="T165" s="11"/>
    </row>
    <row r="166" customFormat="false" ht="15" hidden="false" customHeight="false" outlineLevel="0" collapsed="false">
      <c r="A166" s="24"/>
      <c r="B166" s="31" t="str">
        <f aca="false">IF(A166="","",IF(LEN(UPPER(SUBSTITUTE(SUBSTITUTE(SUBSTITUTE(SUBSTITUTE(TRIM(A166),".",""),"/",""),"-","")," ","")))&lt;14,RIGHT(REPT("0",14)&amp;UPPER(SUBSTITUTE(SUBSTITUTE(SUBSTITUTE(SUBSTITUTE(TRIM(A166),".",""),"/",""),"-","")," ","")),14),UPPER(SUBSTITUTE(SUBSTITUTE(SUBSTITUTE(SUBSTITUTE(TRIM(A166),".",""),"/",""),"-","")," ",""))))</f>
        <v/>
      </c>
      <c r="C166" s="11"/>
      <c r="D166" s="23"/>
      <c r="E166" s="22"/>
      <c r="F166" s="23"/>
      <c r="G166" s="11"/>
      <c r="H166" s="35"/>
      <c r="I166" s="11"/>
      <c r="J166" s="23"/>
      <c r="K166" s="27" t="str">
        <f aca="false">IF(B166="","",COUNTIF(Contratos!$D:$D,B166))</f>
        <v/>
      </c>
      <c r="L166" s="36" t="str">
        <f aca="false">IF(B166="","",SUMIFS(Contratos!$K:$K,Contratos!$D:$D,B166))</f>
        <v/>
      </c>
      <c r="M166" s="36" t="str">
        <f aca="false">IF(B166="","",SUMIFS(Pagamentos!$G:$G,Pagamentos!$D:$D,B166,Pagamentos!$F:$F,"Empenho"))</f>
        <v/>
      </c>
      <c r="N166" s="36" t="str">
        <f aca="false">IF(B166="","",SUMIFS(Pagamentos!$G:$G,Pagamentos!$D:$D,B166,Pagamentos!$F:$F,"Pagamento"))</f>
        <v/>
      </c>
      <c r="O166" s="37" t="str">
        <f aca="false">IF(OR(B166="",H166="",L166="",L166=0),"",H166/L166)</f>
        <v/>
      </c>
      <c r="P166" s="27" t="str">
        <f aca="false">IF(B166="","",COUNTIF(Sancoes!$C:$C,B166))</f>
        <v/>
      </c>
      <c r="Q166" s="27" t="str">
        <f aca="false">IF(B166="","",COUNTIF(Socios!$B:$B,B166))</f>
        <v/>
      </c>
      <c r="R166" s="27" t="str">
        <f aca="false">IF(B166="","",COUNTIFS(Socios!$B:$B,B166,Socios!$L:$L,"SIM"))</f>
        <v/>
      </c>
      <c r="S166" s="24"/>
      <c r="T166" s="11"/>
    </row>
    <row r="167" customFormat="false" ht="15" hidden="false" customHeight="false" outlineLevel="0" collapsed="false">
      <c r="A167" s="24"/>
      <c r="B167" s="31" t="str">
        <f aca="false">IF(A167="","",IF(LEN(UPPER(SUBSTITUTE(SUBSTITUTE(SUBSTITUTE(SUBSTITUTE(TRIM(A167),".",""),"/",""),"-","")," ","")))&lt;14,RIGHT(REPT("0",14)&amp;UPPER(SUBSTITUTE(SUBSTITUTE(SUBSTITUTE(SUBSTITUTE(TRIM(A167),".",""),"/",""),"-","")," ","")),14),UPPER(SUBSTITUTE(SUBSTITUTE(SUBSTITUTE(SUBSTITUTE(TRIM(A167),".",""),"/",""),"-","")," ",""))))</f>
        <v/>
      </c>
      <c r="C167" s="11"/>
      <c r="D167" s="23"/>
      <c r="E167" s="22"/>
      <c r="F167" s="23"/>
      <c r="G167" s="11"/>
      <c r="H167" s="35"/>
      <c r="I167" s="11"/>
      <c r="J167" s="23"/>
      <c r="K167" s="27" t="str">
        <f aca="false">IF(B167="","",COUNTIF(Contratos!$D:$D,B167))</f>
        <v/>
      </c>
      <c r="L167" s="36" t="str">
        <f aca="false">IF(B167="","",SUMIFS(Contratos!$K:$K,Contratos!$D:$D,B167))</f>
        <v/>
      </c>
      <c r="M167" s="36" t="str">
        <f aca="false">IF(B167="","",SUMIFS(Pagamentos!$G:$G,Pagamentos!$D:$D,B167,Pagamentos!$F:$F,"Empenho"))</f>
        <v/>
      </c>
      <c r="N167" s="36" t="str">
        <f aca="false">IF(B167="","",SUMIFS(Pagamentos!$G:$G,Pagamentos!$D:$D,B167,Pagamentos!$F:$F,"Pagamento"))</f>
        <v/>
      </c>
      <c r="O167" s="37" t="str">
        <f aca="false">IF(OR(B167="",H167="",L167="",L167=0),"",H167/L167)</f>
        <v/>
      </c>
      <c r="P167" s="27" t="str">
        <f aca="false">IF(B167="","",COUNTIF(Sancoes!$C:$C,B167))</f>
        <v/>
      </c>
      <c r="Q167" s="27" t="str">
        <f aca="false">IF(B167="","",COUNTIF(Socios!$B:$B,B167))</f>
        <v/>
      </c>
      <c r="R167" s="27" t="str">
        <f aca="false">IF(B167="","",COUNTIFS(Socios!$B:$B,B167,Socios!$L:$L,"SIM"))</f>
        <v/>
      </c>
      <c r="S167" s="24"/>
      <c r="T167" s="11"/>
    </row>
    <row r="168" customFormat="false" ht="15" hidden="false" customHeight="false" outlineLevel="0" collapsed="false">
      <c r="A168" s="24"/>
      <c r="B168" s="31" t="str">
        <f aca="false">IF(A168="","",IF(LEN(UPPER(SUBSTITUTE(SUBSTITUTE(SUBSTITUTE(SUBSTITUTE(TRIM(A168),".",""),"/",""),"-","")," ","")))&lt;14,RIGHT(REPT("0",14)&amp;UPPER(SUBSTITUTE(SUBSTITUTE(SUBSTITUTE(SUBSTITUTE(TRIM(A168),".",""),"/",""),"-","")," ","")),14),UPPER(SUBSTITUTE(SUBSTITUTE(SUBSTITUTE(SUBSTITUTE(TRIM(A168),".",""),"/",""),"-","")," ",""))))</f>
        <v/>
      </c>
      <c r="C168" s="11"/>
      <c r="D168" s="23"/>
      <c r="E168" s="22"/>
      <c r="F168" s="23"/>
      <c r="G168" s="11"/>
      <c r="H168" s="35"/>
      <c r="I168" s="11"/>
      <c r="J168" s="23"/>
      <c r="K168" s="27" t="str">
        <f aca="false">IF(B168="","",COUNTIF(Contratos!$D:$D,B168))</f>
        <v/>
      </c>
      <c r="L168" s="36" t="str">
        <f aca="false">IF(B168="","",SUMIFS(Contratos!$K:$K,Contratos!$D:$D,B168))</f>
        <v/>
      </c>
      <c r="M168" s="36" t="str">
        <f aca="false">IF(B168="","",SUMIFS(Pagamentos!$G:$G,Pagamentos!$D:$D,B168,Pagamentos!$F:$F,"Empenho"))</f>
        <v/>
      </c>
      <c r="N168" s="36" t="str">
        <f aca="false">IF(B168="","",SUMIFS(Pagamentos!$G:$G,Pagamentos!$D:$D,B168,Pagamentos!$F:$F,"Pagamento"))</f>
        <v/>
      </c>
      <c r="O168" s="37" t="str">
        <f aca="false">IF(OR(B168="",H168="",L168="",L168=0),"",H168/L168)</f>
        <v/>
      </c>
      <c r="P168" s="27" t="str">
        <f aca="false">IF(B168="","",COUNTIF(Sancoes!$C:$C,B168))</f>
        <v/>
      </c>
      <c r="Q168" s="27" t="str">
        <f aca="false">IF(B168="","",COUNTIF(Socios!$B:$B,B168))</f>
        <v/>
      </c>
      <c r="R168" s="27" t="str">
        <f aca="false">IF(B168="","",COUNTIFS(Socios!$B:$B,B168,Socios!$L:$L,"SIM"))</f>
        <v/>
      </c>
      <c r="S168" s="24"/>
      <c r="T168" s="11"/>
    </row>
    <row r="169" customFormat="false" ht="15" hidden="false" customHeight="false" outlineLevel="0" collapsed="false">
      <c r="A169" s="24"/>
      <c r="B169" s="31" t="str">
        <f aca="false">IF(A169="","",IF(LEN(UPPER(SUBSTITUTE(SUBSTITUTE(SUBSTITUTE(SUBSTITUTE(TRIM(A169),".",""),"/",""),"-","")," ","")))&lt;14,RIGHT(REPT("0",14)&amp;UPPER(SUBSTITUTE(SUBSTITUTE(SUBSTITUTE(SUBSTITUTE(TRIM(A169),".",""),"/",""),"-","")," ","")),14),UPPER(SUBSTITUTE(SUBSTITUTE(SUBSTITUTE(SUBSTITUTE(TRIM(A169),".",""),"/",""),"-","")," ",""))))</f>
        <v/>
      </c>
      <c r="C169" s="11"/>
      <c r="D169" s="23"/>
      <c r="E169" s="22"/>
      <c r="F169" s="23"/>
      <c r="G169" s="11"/>
      <c r="H169" s="35"/>
      <c r="I169" s="11"/>
      <c r="J169" s="23"/>
      <c r="K169" s="27" t="str">
        <f aca="false">IF(B169="","",COUNTIF(Contratos!$D:$D,B169))</f>
        <v/>
      </c>
      <c r="L169" s="36" t="str">
        <f aca="false">IF(B169="","",SUMIFS(Contratos!$K:$K,Contratos!$D:$D,B169))</f>
        <v/>
      </c>
      <c r="M169" s="36" t="str">
        <f aca="false">IF(B169="","",SUMIFS(Pagamentos!$G:$G,Pagamentos!$D:$D,B169,Pagamentos!$F:$F,"Empenho"))</f>
        <v/>
      </c>
      <c r="N169" s="36" t="str">
        <f aca="false">IF(B169="","",SUMIFS(Pagamentos!$G:$G,Pagamentos!$D:$D,B169,Pagamentos!$F:$F,"Pagamento"))</f>
        <v/>
      </c>
      <c r="O169" s="37" t="str">
        <f aca="false">IF(OR(B169="",H169="",L169="",L169=0),"",H169/L169)</f>
        <v/>
      </c>
      <c r="P169" s="27" t="str">
        <f aca="false">IF(B169="","",COUNTIF(Sancoes!$C:$C,B169))</f>
        <v/>
      </c>
      <c r="Q169" s="27" t="str">
        <f aca="false">IF(B169="","",COUNTIF(Socios!$B:$B,B169))</f>
        <v/>
      </c>
      <c r="R169" s="27" t="str">
        <f aca="false">IF(B169="","",COUNTIFS(Socios!$B:$B,B169,Socios!$L:$L,"SIM"))</f>
        <v/>
      </c>
      <c r="S169" s="24"/>
      <c r="T169" s="11"/>
    </row>
    <row r="170" customFormat="false" ht="15" hidden="false" customHeight="false" outlineLevel="0" collapsed="false">
      <c r="A170" s="24"/>
      <c r="B170" s="31" t="str">
        <f aca="false">IF(A170="","",IF(LEN(UPPER(SUBSTITUTE(SUBSTITUTE(SUBSTITUTE(SUBSTITUTE(TRIM(A170),".",""),"/",""),"-","")," ","")))&lt;14,RIGHT(REPT("0",14)&amp;UPPER(SUBSTITUTE(SUBSTITUTE(SUBSTITUTE(SUBSTITUTE(TRIM(A170),".",""),"/",""),"-","")," ","")),14),UPPER(SUBSTITUTE(SUBSTITUTE(SUBSTITUTE(SUBSTITUTE(TRIM(A170),".",""),"/",""),"-","")," ",""))))</f>
        <v/>
      </c>
      <c r="C170" s="11"/>
      <c r="D170" s="23"/>
      <c r="E170" s="22"/>
      <c r="F170" s="23"/>
      <c r="G170" s="11"/>
      <c r="H170" s="35"/>
      <c r="I170" s="11"/>
      <c r="J170" s="23"/>
      <c r="K170" s="27" t="str">
        <f aca="false">IF(B170="","",COUNTIF(Contratos!$D:$D,B170))</f>
        <v/>
      </c>
      <c r="L170" s="36" t="str">
        <f aca="false">IF(B170="","",SUMIFS(Contratos!$K:$K,Contratos!$D:$D,B170))</f>
        <v/>
      </c>
      <c r="M170" s="36" t="str">
        <f aca="false">IF(B170="","",SUMIFS(Pagamentos!$G:$G,Pagamentos!$D:$D,B170,Pagamentos!$F:$F,"Empenho"))</f>
        <v/>
      </c>
      <c r="N170" s="36" t="str">
        <f aca="false">IF(B170="","",SUMIFS(Pagamentos!$G:$G,Pagamentos!$D:$D,B170,Pagamentos!$F:$F,"Pagamento"))</f>
        <v/>
      </c>
      <c r="O170" s="37" t="str">
        <f aca="false">IF(OR(B170="",H170="",L170="",L170=0),"",H170/L170)</f>
        <v/>
      </c>
      <c r="P170" s="27" t="str">
        <f aca="false">IF(B170="","",COUNTIF(Sancoes!$C:$C,B170))</f>
        <v/>
      </c>
      <c r="Q170" s="27" t="str">
        <f aca="false">IF(B170="","",COUNTIF(Socios!$B:$B,B170))</f>
        <v/>
      </c>
      <c r="R170" s="27" t="str">
        <f aca="false">IF(B170="","",COUNTIFS(Socios!$B:$B,B170,Socios!$L:$L,"SIM"))</f>
        <v/>
      </c>
      <c r="S170" s="24"/>
      <c r="T170" s="11"/>
    </row>
    <row r="171" customFormat="false" ht="15" hidden="false" customHeight="false" outlineLevel="0" collapsed="false">
      <c r="A171" s="24"/>
      <c r="B171" s="31" t="str">
        <f aca="false">IF(A171="","",IF(LEN(UPPER(SUBSTITUTE(SUBSTITUTE(SUBSTITUTE(SUBSTITUTE(TRIM(A171),".",""),"/",""),"-","")," ","")))&lt;14,RIGHT(REPT("0",14)&amp;UPPER(SUBSTITUTE(SUBSTITUTE(SUBSTITUTE(SUBSTITUTE(TRIM(A171),".",""),"/",""),"-","")," ","")),14),UPPER(SUBSTITUTE(SUBSTITUTE(SUBSTITUTE(SUBSTITUTE(TRIM(A171),".",""),"/",""),"-","")," ",""))))</f>
        <v/>
      </c>
      <c r="C171" s="11"/>
      <c r="D171" s="23"/>
      <c r="E171" s="22"/>
      <c r="F171" s="23"/>
      <c r="G171" s="11"/>
      <c r="H171" s="35"/>
      <c r="I171" s="11"/>
      <c r="J171" s="23"/>
      <c r="K171" s="27" t="str">
        <f aca="false">IF(B171="","",COUNTIF(Contratos!$D:$D,B171))</f>
        <v/>
      </c>
      <c r="L171" s="36" t="str">
        <f aca="false">IF(B171="","",SUMIFS(Contratos!$K:$K,Contratos!$D:$D,B171))</f>
        <v/>
      </c>
      <c r="M171" s="36" t="str">
        <f aca="false">IF(B171="","",SUMIFS(Pagamentos!$G:$G,Pagamentos!$D:$D,B171,Pagamentos!$F:$F,"Empenho"))</f>
        <v/>
      </c>
      <c r="N171" s="36" t="str">
        <f aca="false">IF(B171="","",SUMIFS(Pagamentos!$G:$G,Pagamentos!$D:$D,B171,Pagamentos!$F:$F,"Pagamento"))</f>
        <v/>
      </c>
      <c r="O171" s="37" t="str">
        <f aca="false">IF(OR(B171="",H171="",L171="",L171=0),"",H171/L171)</f>
        <v/>
      </c>
      <c r="P171" s="27" t="str">
        <f aca="false">IF(B171="","",COUNTIF(Sancoes!$C:$C,B171))</f>
        <v/>
      </c>
      <c r="Q171" s="27" t="str">
        <f aca="false">IF(B171="","",COUNTIF(Socios!$B:$B,B171))</f>
        <v/>
      </c>
      <c r="R171" s="27" t="str">
        <f aca="false">IF(B171="","",COUNTIFS(Socios!$B:$B,B171,Socios!$L:$L,"SIM"))</f>
        <v/>
      </c>
      <c r="S171" s="24"/>
      <c r="T171" s="11"/>
    </row>
    <row r="172" customFormat="false" ht="15" hidden="false" customHeight="false" outlineLevel="0" collapsed="false">
      <c r="A172" s="24"/>
      <c r="B172" s="31" t="str">
        <f aca="false">IF(A172="","",IF(LEN(UPPER(SUBSTITUTE(SUBSTITUTE(SUBSTITUTE(SUBSTITUTE(TRIM(A172),".",""),"/",""),"-","")," ","")))&lt;14,RIGHT(REPT("0",14)&amp;UPPER(SUBSTITUTE(SUBSTITUTE(SUBSTITUTE(SUBSTITUTE(TRIM(A172),".",""),"/",""),"-","")," ","")),14),UPPER(SUBSTITUTE(SUBSTITUTE(SUBSTITUTE(SUBSTITUTE(TRIM(A172),".",""),"/",""),"-","")," ",""))))</f>
        <v/>
      </c>
      <c r="C172" s="11"/>
      <c r="D172" s="23"/>
      <c r="E172" s="22"/>
      <c r="F172" s="23"/>
      <c r="G172" s="11"/>
      <c r="H172" s="35"/>
      <c r="I172" s="11"/>
      <c r="J172" s="23"/>
      <c r="K172" s="27" t="str">
        <f aca="false">IF(B172="","",COUNTIF(Contratos!$D:$D,B172))</f>
        <v/>
      </c>
      <c r="L172" s="36" t="str">
        <f aca="false">IF(B172="","",SUMIFS(Contratos!$K:$K,Contratos!$D:$D,B172))</f>
        <v/>
      </c>
      <c r="M172" s="36" t="str">
        <f aca="false">IF(B172="","",SUMIFS(Pagamentos!$G:$G,Pagamentos!$D:$D,B172,Pagamentos!$F:$F,"Empenho"))</f>
        <v/>
      </c>
      <c r="N172" s="36" t="str">
        <f aca="false">IF(B172="","",SUMIFS(Pagamentos!$G:$G,Pagamentos!$D:$D,B172,Pagamentos!$F:$F,"Pagamento"))</f>
        <v/>
      </c>
      <c r="O172" s="37" t="str">
        <f aca="false">IF(OR(B172="",H172="",L172="",L172=0),"",H172/L172)</f>
        <v/>
      </c>
      <c r="P172" s="27" t="str">
        <f aca="false">IF(B172="","",COUNTIF(Sancoes!$C:$C,B172))</f>
        <v/>
      </c>
      <c r="Q172" s="27" t="str">
        <f aca="false">IF(B172="","",COUNTIF(Socios!$B:$B,B172))</f>
        <v/>
      </c>
      <c r="R172" s="27" t="str">
        <f aca="false">IF(B172="","",COUNTIFS(Socios!$B:$B,B172,Socios!$L:$L,"SIM"))</f>
        <v/>
      </c>
      <c r="S172" s="24"/>
      <c r="T172" s="11"/>
    </row>
    <row r="173" customFormat="false" ht="15" hidden="false" customHeight="false" outlineLevel="0" collapsed="false">
      <c r="A173" s="24"/>
      <c r="B173" s="31" t="str">
        <f aca="false">IF(A173="","",IF(LEN(UPPER(SUBSTITUTE(SUBSTITUTE(SUBSTITUTE(SUBSTITUTE(TRIM(A173),".",""),"/",""),"-","")," ","")))&lt;14,RIGHT(REPT("0",14)&amp;UPPER(SUBSTITUTE(SUBSTITUTE(SUBSTITUTE(SUBSTITUTE(TRIM(A173),".",""),"/",""),"-","")," ","")),14),UPPER(SUBSTITUTE(SUBSTITUTE(SUBSTITUTE(SUBSTITUTE(TRIM(A173),".",""),"/",""),"-","")," ",""))))</f>
        <v/>
      </c>
      <c r="C173" s="11"/>
      <c r="D173" s="23"/>
      <c r="E173" s="22"/>
      <c r="F173" s="23"/>
      <c r="G173" s="11"/>
      <c r="H173" s="35"/>
      <c r="I173" s="11"/>
      <c r="J173" s="23"/>
      <c r="K173" s="27" t="str">
        <f aca="false">IF(B173="","",COUNTIF(Contratos!$D:$D,B173))</f>
        <v/>
      </c>
      <c r="L173" s="36" t="str">
        <f aca="false">IF(B173="","",SUMIFS(Contratos!$K:$K,Contratos!$D:$D,B173))</f>
        <v/>
      </c>
      <c r="M173" s="36" t="str">
        <f aca="false">IF(B173="","",SUMIFS(Pagamentos!$G:$G,Pagamentos!$D:$D,B173,Pagamentos!$F:$F,"Empenho"))</f>
        <v/>
      </c>
      <c r="N173" s="36" t="str">
        <f aca="false">IF(B173="","",SUMIFS(Pagamentos!$G:$G,Pagamentos!$D:$D,B173,Pagamentos!$F:$F,"Pagamento"))</f>
        <v/>
      </c>
      <c r="O173" s="37" t="str">
        <f aca="false">IF(OR(B173="",H173="",L173="",L173=0),"",H173/L173)</f>
        <v/>
      </c>
      <c r="P173" s="27" t="str">
        <f aca="false">IF(B173="","",COUNTIF(Sancoes!$C:$C,B173))</f>
        <v/>
      </c>
      <c r="Q173" s="27" t="str">
        <f aca="false">IF(B173="","",COUNTIF(Socios!$B:$B,B173))</f>
        <v/>
      </c>
      <c r="R173" s="27" t="str">
        <f aca="false">IF(B173="","",COUNTIFS(Socios!$B:$B,B173,Socios!$L:$L,"SIM"))</f>
        <v/>
      </c>
      <c r="S173" s="24"/>
      <c r="T173" s="11"/>
    </row>
    <row r="174" customFormat="false" ht="15" hidden="false" customHeight="false" outlineLevel="0" collapsed="false">
      <c r="A174" s="24"/>
      <c r="B174" s="31" t="str">
        <f aca="false">IF(A174="","",IF(LEN(UPPER(SUBSTITUTE(SUBSTITUTE(SUBSTITUTE(SUBSTITUTE(TRIM(A174),".",""),"/",""),"-","")," ","")))&lt;14,RIGHT(REPT("0",14)&amp;UPPER(SUBSTITUTE(SUBSTITUTE(SUBSTITUTE(SUBSTITUTE(TRIM(A174),".",""),"/",""),"-","")," ","")),14),UPPER(SUBSTITUTE(SUBSTITUTE(SUBSTITUTE(SUBSTITUTE(TRIM(A174),".",""),"/",""),"-","")," ",""))))</f>
        <v/>
      </c>
      <c r="C174" s="11"/>
      <c r="D174" s="23"/>
      <c r="E174" s="22"/>
      <c r="F174" s="23"/>
      <c r="G174" s="11"/>
      <c r="H174" s="35"/>
      <c r="I174" s="11"/>
      <c r="J174" s="23"/>
      <c r="K174" s="27" t="str">
        <f aca="false">IF(B174="","",COUNTIF(Contratos!$D:$D,B174))</f>
        <v/>
      </c>
      <c r="L174" s="36" t="str">
        <f aca="false">IF(B174="","",SUMIFS(Contratos!$K:$K,Contratos!$D:$D,B174))</f>
        <v/>
      </c>
      <c r="M174" s="36" t="str">
        <f aca="false">IF(B174="","",SUMIFS(Pagamentos!$G:$G,Pagamentos!$D:$D,B174,Pagamentos!$F:$F,"Empenho"))</f>
        <v/>
      </c>
      <c r="N174" s="36" t="str">
        <f aca="false">IF(B174="","",SUMIFS(Pagamentos!$G:$G,Pagamentos!$D:$D,B174,Pagamentos!$F:$F,"Pagamento"))</f>
        <v/>
      </c>
      <c r="O174" s="37" t="str">
        <f aca="false">IF(OR(B174="",H174="",L174="",L174=0),"",H174/L174)</f>
        <v/>
      </c>
      <c r="P174" s="27" t="str">
        <f aca="false">IF(B174="","",COUNTIF(Sancoes!$C:$C,B174))</f>
        <v/>
      </c>
      <c r="Q174" s="27" t="str">
        <f aca="false">IF(B174="","",COUNTIF(Socios!$B:$B,B174))</f>
        <v/>
      </c>
      <c r="R174" s="27" t="str">
        <f aca="false">IF(B174="","",COUNTIFS(Socios!$B:$B,B174,Socios!$L:$L,"SIM"))</f>
        <v/>
      </c>
      <c r="S174" s="24"/>
      <c r="T174" s="11"/>
    </row>
    <row r="175" customFormat="false" ht="15" hidden="false" customHeight="false" outlineLevel="0" collapsed="false">
      <c r="A175" s="24"/>
      <c r="B175" s="31" t="str">
        <f aca="false">IF(A175="","",IF(LEN(UPPER(SUBSTITUTE(SUBSTITUTE(SUBSTITUTE(SUBSTITUTE(TRIM(A175),".",""),"/",""),"-","")," ","")))&lt;14,RIGHT(REPT("0",14)&amp;UPPER(SUBSTITUTE(SUBSTITUTE(SUBSTITUTE(SUBSTITUTE(TRIM(A175),".",""),"/",""),"-","")," ","")),14),UPPER(SUBSTITUTE(SUBSTITUTE(SUBSTITUTE(SUBSTITUTE(TRIM(A175),".",""),"/",""),"-","")," ",""))))</f>
        <v/>
      </c>
      <c r="C175" s="11"/>
      <c r="D175" s="23"/>
      <c r="E175" s="22"/>
      <c r="F175" s="23"/>
      <c r="G175" s="11"/>
      <c r="H175" s="35"/>
      <c r="I175" s="11"/>
      <c r="J175" s="23"/>
      <c r="K175" s="27" t="str">
        <f aca="false">IF(B175="","",COUNTIF(Contratos!$D:$D,B175))</f>
        <v/>
      </c>
      <c r="L175" s="36" t="str">
        <f aca="false">IF(B175="","",SUMIFS(Contratos!$K:$K,Contratos!$D:$D,B175))</f>
        <v/>
      </c>
      <c r="M175" s="36" t="str">
        <f aca="false">IF(B175="","",SUMIFS(Pagamentos!$G:$G,Pagamentos!$D:$D,B175,Pagamentos!$F:$F,"Empenho"))</f>
        <v/>
      </c>
      <c r="N175" s="36" t="str">
        <f aca="false">IF(B175="","",SUMIFS(Pagamentos!$G:$G,Pagamentos!$D:$D,B175,Pagamentos!$F:$F,"Pagamento"))</f>
        <v/>
      </c>
      <c r="O175" s="37" t="str">
        <f aca="false">IF(OR(B175="",H175="",L175="",L175=0),"",H175/L175)</f>
        <v/>
      </c>
      <c r="P175" s="27" t="str">
        <f aca="false">IF(B175="","",COUNTIF(Sancoes!$C:$C,B175))</f>
        <v/>
      </c>
      <c r="Q175" s="27" t="str">
        <f aca="false">IF(B175="","",COUNTIF(Socios!$B:$B,B175))</f>
        <v/>
      </c>
      <c r="R175" s="27" t="str">
        <f aca="false">IF(B175="","",COUNTIFS(Socios!$B:$B,B175,Socios!$L:$L,"SIM"))</f>
        <v/>
      </c>
      <c r="S175" s="24"/>
      <c r="T175" s="11"/>
    </row>
    <row r="176" customFormat="false" ht="15" hidden="false" customHeight="false" outlineLevel="0" collapsed="false">
      <c r="A176" s="24"/>
      <c r="B176" s="31" t="str">
        <f aca="false">IF(A176="","",IF(LEN(UPPER(SUBSTITUTE(SUBSTITUTE(SUBSTITUTE(SUBSTITUTE(TRIM(A176),".",""),"/",""),"-","")," ","")))&lt;14,RIGHT(REPT("0",14)&amp;UPPER(SUBSTITUTE(SUBSTITUTE(SUBSTITUTE(SUBSTITUTE(TRIM(A176),".",""),"/",""),"-","")," ","")),14),UPPER(SUBSTITUTE(SUBSTITUTE(SUBSTITUTE(SUBSTITUTE(TRIM(A176),".",""),"/",""),"-","")," ",""))))</f>
        <v/>
      </c>
      <c r="C176" s="11"/>
      <c r="D176" s="23"/>
      <c r="E176" s="22"/>
      <c r="F176" s="23"/>
      <c r="G176" s="11"/>
      <c r="H176" s="35"/>
      <c r="I176" s="11"/>
      <c r="J176" s="23"/>
      <c r="K176" s="27" t="str">
        <f aca="false">IF(B176="","",COUNTIF(Contratos!$D:$D,B176))</f>
        <v/>
      </c>
      <c r="L176" s="36" t="str">
        <f aca="false">IF(B176="","",SUMIFS(Contratos!$K:$K,Contratos!$D:$D,B176))</f>
        <v/>
      </c>
      <c r="M176" s="36" t="str">
        <f aca="false">IF(B176="","",SUMIFS(Pagamentos!$G:$G,Pagamentos!$D:$D,B176,Pagamentos!$F:$F,"Empenho"))</f>
        <v/>
      </c>
      <c r="N176" s="36" t="str">
        <f aca="false">IF(B176="","",SUMIFS(Pagamentos!$G:$G,Pagamentos!$D:$D,B176,Pagamentos!$F:$F,"Pagamento"))</f>
        <v/>
      </c>
      <c r="O176" s="37" t="str">
        <f aca="false">IF(OR(B176="",H176="",L176="",L176=0),"",H176/L176)</f>
        <v/>
      </c>
      <c r="P176" s="27" t="str">
        <f aca="false">IF(B176="","",COUNTIF(Sancoes!$C:$C,B176))</f>
        <v/>
      </c>
      <c r="Q176" s="27" t="str">
        <f aca="false">IF(B176="","",COUNTIF(Socios!$B:$B,B176))</f>
        <v/>
      </c>
      <c r="R176" s="27" t="str">
        <f aca="false">IF(B176="","",COUNTIFS(Socios!$B:$B,B176,Socios!$L:$L,"SIM"))</f>
        <v/>
      </c>
      <c r="S176" s="24"/>
      <c r="T176" s="11"/>
    </row>
    <row r="177" customFormat="false" ht="15" hidden="false" customHeight="false" outlineLevel="0" collapsed="false">
      <c r="A177" s="24"/>
      <c r="B177" s="31" t="str">
        <f aca="false">IF(A177="","",IF(LEN(UPPER(SUBSTITUTE(SUBSTITUTE(SUBSTITUTE(SUBSTITUTE(TRIM(A177),".",""),"/",""),"-","")," ","")))&lt;14,RIGHT(REPT("0",14)&amp;UPPER(SUBSTITUTE(SUBSTITUTE(SUBSTITUTE(SUBSTITUTE(TRIM(A177),".",""),"/",""),"-","")," ","")),14),UPPER(SUBSTITUTE(SUBSTITUTE(SUBSTITUTE(SUBSTITUTE(TRIM(A177),".",""),"/",""),"-","")," ",""))))</f>
        <v/>
      </c>
      <c r="C177" s="11"/>
      <c r="D177" s="23"/>
      <c r="E177" s="22"/>
      <c r="F177" s="23"/>
      <c r="G177" s="11"/>
      <c r="H177" s="35"/>
      <c r="I177" s="11"/>
      <c r="J177" s="23"/>
      <c r="K177" s="27" t="str">
        <f aca="false">IF(B177="","",COUNTIF(Contratos!$D:$D,B177))</f>
        <v/>
      </c>
      <c r="L177" s="36" t="str">
        <f aca="false">IF(B177="","",SUMIFS(Contratos!$K:$K,Contratos!$D:$D,B177))</f>
        <v/>
      </c>
      <c r="M177" s="36" t="str">
        <f aca="false">IF(B177="","",SUMIFS(Pagamentos!$G:$G,Pagamentos!$D:$D,B177,Pagamentos!$F:$F,"Empenho"))</f>
        <v/>
      </c>
      <c r="N177" s="36" t="str">
        <f aca="false">IF(B177="","",SUMIFS(Pagamentos!$G:$G,Pagamentos!$D:$D,B177,Pagamentos!$F:$F,"Pagamento"))</f>
        <v/>
      </c>
      <c r="O177" s="37" t="str">
        <f aca="false">IF(OR(B177="",H177="",L177="",L177=0),"",H177/L177)</f>
        <v/>
      </c>
      <c r="P177" s="27" t="str">
        <f aca="false">IF(B177="","",COUNTIF(Sancoes!$C:$C,B177))</f>
        <v/>
      </c>
      <c r="Q177" s="27" t="str">
        <f aca="false">IF(B177="","",COUNTIF(Socios!$B:$B,B177))</f>
        <v/>
      </c>
      <c r="R177" s="27" t="str">
        <f aca="false">IF(B177="","",COUNTIFS(Socios!$B:$B,B177,Socios!$L:$L,"SIM"))</f>
        <v/>
      </c>
      <c r="S177" s="24"/>
      <c r="T177" s="11"/>
    </row>
    <row r="178" customFormat="false" ht="15" hidden="false" customHeight="false" outlineLevel="0" collapsed="false">
      <c r="A178" s="24"/>
      <c r="B178" s="31" t="str">
        <f aca="false">IF(A178="","",IF(LEN(UPPER(SUBSTITUTE(SUBSTITUTE(SUBSTITUTE(SUBSTITUTE(TRIM(A178),".",""),"/",""),"-","")," ","")))&lt;14,RIGHT(REPT("0",14)&amp;UPPER(SUBSTITUTE(SUBSTITUTE(SUBSTITUTE(SUBSTITUTE(TRIM(A178),".",""),"/",""),"-","")," ","")),14),UPPER(SUBSTITUTE(SUBSTITUTE(SUBSTITUTE(SUBSTITUTE(TRIM(A178),".",""),"/",""),"-","")," ",""))))</f>
        <v/>
      </c>
      <c r="C178" s="11"/>
      <c r="D178" s="23"/>
      <c r="E178" s="22"/>
      <c r="F178" s="23"/>
      <c r="G178" s="11"/>
      <c r="H178" s="35"/>
      <c r="I178" s="11"/>
      <c r="J178" s="23"/>
      <c r="K178" s="27" t="str">
        <f aca="false">IF(B178="","",COUNTIF(Contratos!$D:$D,B178))</f>
        <v/>
      </c>
      <c r="L178" s="36" t="str">
        <f aca="false">IF(B178="","",SUMIFS(Contratos!$K:$K,Contratos!$D:$D,B178))</f>
        <v/>
      </c>
      <c r="M178" s="36" t="str">
        <f aca="false">IF(B178="","",SUMIFS(Pagamentos!$G:$G,Pagamentos!$D:$D,B178,Pagamentos!$F:$F,"Empenho"))</f>
        <v/>
      </c>
      <c r="N178" s="36" t="str">
        <f aca="false">IF(B178="","",SUMIFS(Pagamentos!$G:$G,Pagamentos!$D:$D,B178,Pagamentos!$F:$F,"Pagamento"))</f>
        <v/>
      </c>
      <c r="O178" s="37" t="str">
        <f aca="false">IF(OR(B178="",H178="",L178="",L178=0),"",H178/L178)</f>
        <v/>
      </c>
      <c r="P178" s="27" t="str">
        <f aca="false">IF(B178="","",COUNTIF(Sancoes!$C:$C,B178))</f>
        <v/>
      </c>
      <c r="Q178" s="27" t="str">
        <f aca="false">IF(B178="","",COUNTIF(Socios!$B:$B,B178))</f>
        <v/>
      </c>
      <c r="R178" s="27" t="str">
        <f aca="false">IF(B178="","",COUNTIFS(Socios!$B:$B,B178,Socios!$L:$L,"SIM"))</f>
        <v/>
      </c>
      <c r="S178" s="24"/>
      <c r="T178" s="11"/>
    </row>
    <row r="179" customFormat="false" ht="15" hidden="false" customHeight="false" outlineLevel="0" collapsed="false">
      <c r="A179" s="24"/>
      <c r="B179" s="31" t="str">
        <f aca="false">IF(A179="","",IF(LEN(UPPER(SUBSTITUTE(SUBSTITUTE(SUBSTITUTE(SUBSTITUTE(TRIM(A179),".",""),"/",""),"-","")," ","")))&lt;14,RIGHT(REPT("0",14)&amp;UPPER(SUBSTITUTE(SUBSTITUTE(SUBSTITUTE(SUBSTITUTE(TRIM(A179),".",""),"/",""),"-","")," ","")),14),UPPER(SUBSTITUTE(SUBSTITUTE(SUBSTITUTE(SUBSTITUTE(TRIM(A179),".",""),"/",""),"-","")," ",""))))</f>
        <v/>
      </c>
      <c r="C179" s="11"/>
      <c r="D179" s="23"/>
      <c r="E179" s="22"/>
      <c r="F179" s="23"/>
      <c r="G179" s="11"/>
      <c r="H179" s="35"/>
      <c r="I179" s="11"/>
      <c r="J179" s="23"/>
      <c r="K179" s="27" t="str">
        <f aca="false">IF(B179="","",COUNTIF(Contratos!$D:$D,B179))</f>
        <v/>
      </c>
      <c r="L179" s="36" t="str">
        <f aca="false">IF(B179="","",SUMIFS(Contratos!$K:$K,Contratos!$D:$D,B179))</f>
        <v/>
      </c>
      <c r="M179" s="36" t="str">
        <f aca="false">IF(B179="","",SUMIFS(Pagamentos!$G:$G,Pagamentos!$D:$D,B179,Pagamentos!$F:$F,"Empenho"))</f>
        <v/>
      </c>
      <c r="N179" s="36" t="str">
        <f aca="false">IF(B179="","",SUMIFS(Pagamentos!$G:$G,Pagamentos!$D:$D,B179,Pagamentos!$F:$F,"Pagamento"))</f>
        <v/>
      </c>
      <c r="O179" s="37" t="str">
        <f aca="false">IF(OR(B179="",H179="",L179="",L179=0),"",H179/L179)</f>
        <v/>
      </c>
      <c r="P179" s="27" t="str">
        <f aca="false">IF(B179="","",COUNTIF(Sancoes!$C:$C,B179))</f>
        <v/>
      </c>
      <c r="Q179" s="27" t="str">
        <f aca="false">IF(B179="","",COUNTIF(Socios!$B:$B,B179))</f>
        <v/>
      </c>
      <c r="R179" s="27" t="str">
        <f aca="false">IF(B179="","",COUNTIFS(Socios!$B:$B,B179,Socios!$L:$L,"SIM"))</f>
        <v/>
      </c>
      <c r="S179" s="24"/>
      <c r="T179" s="11"/>
    </row>
    <row r="180" customFormat="false" ht="15" hidden="false" customHeight="false" outlineLevel="0" collapsed="false">
      <c r="A180" s="24"/>
      <c r="B180" s="31" t="str">
        <f aca="false">IF(A180="","",IF(LEN(UPPER(SUBSTITUTE(SUBSTITUTE(SUBSTITUTE(SUBSTITUTE(TRIM(A180),".",""),"/",""),"-","")," ","")))&lt;14,RIGHT(REPT("0",14)&amp;UPPER(SUBSTITUTE(SUBSTITUTE(SUBSTITUTE(SUBSTITUTE(TRIM(A180),".",""),"/",""),"-","")," ","")),14),UPPER(SUBSTITUTE(SUBSTITUTE(SUBSTITUTE(SUBSTITUTE(TRIM(A180),".",""),"/",""),"-","")," ",""))))</f>
        <v/>
      </c>
      <c r="C180" s="11"/>
      <c r="D180" s="23"/>
      <c r="E180" s="22"/>
      <c r="F180" s="23"/>
      <c r="G180" s="11"/>
      <c r="H180" s="35"/>
      <c r="I180" s="11"/>
      <c r="J180" s="23"/>
      <c r="K180" s="27" t="str">
        <f aca="false">IF(B180="","",COUNTIF(Contratos!$D:$D,B180))</f>
        <v/>
      </c>
      <c r="L180" s="36" t="str">
        <f aca="false">IF(B180="","",SUMIFS(Contratos!$K:$K,Contratos!$D:$D,B180))</f>
        <v/>
      </c>
      <c r="M180" s="36" t="str">
        <f aca="false">IF(B180="","",SUMIFS(Pagamentos!$G:$G,Pagamentos!$D:$D,B180,Pagamentos!$F:$F,"Empenho"))</f>
        <v/>
      </c>
      <c r="N180" s="36" t="str">
        <f aca="false">IF(B180="","",SUMIFS(Pagamentos!$G:$G,Pagamentos!$D:$D,B180,Pagamentos!$F:$F,"Pagamento"))</f>
        <v/>
      </c>
      <c r="O180" s="37" t="str">
        <f aca="false">IF(OR(B180="",H180="",L180="",L180=0),"",H180/L180)</f>
        <v/>
      </c>
      <c r="P180" s="27" t="str">
        <f aca="false">IF(B180="","",COUNTIF(Sancoes!$C:$C,B180))</f>
        <v/>
      </c>
      <c r="Q180" s="27" t="str">
        <f aca="false">IF(B180="","",COUNTIF(Socios!$B:$B,B180))</f>
        <v/>
      </c>
      <c r="R180" s="27" t="str">
        <f aca="false">IF(B180="","",COUNTIFS(Socios!$B:$B,B180,Socios!$L:$L,"SIM"))</f>
        <v/>
      </c>
      <c r="S180" s="24"/>
      <c r="T180" s="11"/>
    </row>
    <row r="181" customFormat="false" ht="15" hidden="false" customHeight="false" outlineLevel="0" collapsed="false">
      <c r="A181" s="24"/>
      <c r="B181" s="31" t="str">
        <f aca="false">IF(A181="","",IF(LEN(UPPER(SUBSTITUTE(SUBSTITUTE(SUBSTITUTE(SUBSTITUTE(TRIM(A181),".",""),"/",""),"-","")," ","")))&lt;14,RIGHT(REPT("0",14)&amp;UPPER(SUBSTITUTE(SUBSTITUTE(SUBSTITUTE(SUBSTITUTE(TRIM(A181),".",""),"/",""),"-","")," ","")),14),UPPER(SUBSTITUTE(SUBSTITUTE(SUBSTITUTE(SUBSTITUTE(TRIM(A181),".",""),"/",""),"-","")," ",""))))</f>
        <v/>
      </c>
      <c r="C181" s="11"/>
      <c r="D181" s="23"/>
      <c r="E181" s="22"/>
      <c r="F181" s="23"/>
      <c r="G181" s="11"/>
      <c r="H181" s="35"/>
      <c r="I181" s="11"/>
      <c r="J181" s="23"/>
      <c r="K181" s="27" t="str">
        <f aca="false">IF(B181="","",COUNTIF(Contratos!$D:$D,B181))</f>
        <v/>
      </c>
      <c r="L181" s="36" t="str">
        <f aca="false">IF(B181="","",SUMIFS(Contratos!$K:$K,Contratos!$D:$D,B181))</f>
        <v/>
      </c>
      <c r="M181" s="36" t="str">
        <f aca="false">IF(B181="","",SUMIFS(Pagamentos!$G:$G,Pagamentos!$D:$D,B181,Pagamentos!$F:$F,"Empenho"))</f>
        <v/>
      </c>
      <c r="N181" s="36" t="str">
        <f aca="false">IF(B181="","",SUMIFS(Pagamentos!$G:$G,Pagamentos!$D:$D,B181,Pagamentos!$F:$F,"Pagamento"))</f>
        <v/>
      </c>
      <c r="O181" s="37" t="str">
        <f aca="false">IF(OR(B181="",H181="",L181="",L181=0),"",H181/L181)</f>
        <v/>
      </c>
      <c r="P181" s="27" t="str">
        <f aca="false">IF(B181="","",COUNTIF(Sancoes!$C:$C,B181))</f>
        <v/>
      </c>
      <c r="Q181" s="27" t="str">
        <f aca="false">IF(B181="","",COUNTIF(Socios!$B:$B,B181))</f>
        <v/>
      </c>
      <c r="R181" s="27" t="str">
        <f aca="false">IF(B181="","",COUNTIFS(Socios!$B:$B,B181,Socios!$L:$L,"SIM"))</f>
        <v/>
      </c>
      <c r="S181" s="24"/>
      <c r="T181" s="11"/>
    </row>
    <row r="182" customFormat="false" ht="15" hidden="false" customHeight="false" outlineLevel="0" collapsed="false">
      <c r="A182" s="24"/>
      <c r="B182" s="31" t="str">
        <f aca="false">IF(A182="","",IF(LEN(UPPER(SUBSTITUTE(SUBSTITUTE(SUBSTITUTE(SUBSTITUTE(TRIM(A182),".",""),"/",""),"-","")," ","")))&lt;14,RIGHT(REPT("0",14)&amp;UPPER(SUBSTITUTE(SUBSTITUTE(SUBSTITUTE(SUBSTITUTE(TRIM(A182),".",""),"/",""),"-","")," ","")),14),UPPER(SUBSTITUTE(SUBSTITUTE(SUBSTITUTE(SUBSTITUTE(TRIM(A182),".",""),"/",""),"-","")," ",""))))</f>
        <v/>
      </c>
      <c r="C182" s="11"/>
      <c r="D182" s="23"/>
      <c r="E182" s="22"/>
      <c r="F182" s="23"/>
      <c r="G182" s="11"/>
      <c r="H182" s="35"/>
      <c r="I182" s="11"/>
      <c r="J182" s="23"/>
      <c r="K182" s="27" t="str">
        <f aca="false">IF(B182="","",COUNTIF(Contratos!$D:$D,B182))</f>
        <v/>
      </c>
      <c r="L182" s="36" t="str">
        <f aca="false">IF(B182="","",SUMIFS(Contratos!$K:$K,Contratos!$D:$D,B182))</f>
        <v/>
      </c>
      <c r="M182" s="36" t="str">
        <f aca="false">IF(B182="","",SUMIFS(Pagamentos!$G:$G,Pagamentos!$D:$D,B182,Pagamentos!$F:$F,"Empenho"))</f>
        <v/>
      </c>
      <c r="N182" s="36" t="str">
        <f aca="false">IF(B182="","",SUMIFS(Pagamentos!$G:$G,Pagamentos!$D:$D,B182,Pagamentos!$F:$F,"Pagamento"))</f>
        <v/>
      </c>
      <c r="O182" s="37" t="str">
        <f aca="false">IF(OR(B182="",H182="",L182="",L182=0),"",H182/L182)</f>
        <v/>
      </c>
      <c r="P182" s="27" t="str">
        <f aca="false">IF(B182="","",COUNTIF(Sancoes!$C:$C,B182))</f>
        <v/>
      </c>
      <c r="Q182" s="27" t="str">
        <f aca="false">IF(B182="","",COUNTIF(Socios!$B:$B,B182))</f>
        <v/>
      </c>
      <c r="R182" s="27" t="str">
        <f aca="false">IF(B182="","",COUNTIFS(Socios!$B:$B,B182,Socios!$L:$L,"SIM"))</f>
        <v/>
      </c>
      <c r="S182" s="24"/>
      <c r="T182" s="11"/>
    </row>
    <row r="183" customFormat="false" ht="15" hidden="false" customHeight="false" outlineLevel="0" collapsed="false">
      <c r="A183" s="24"/>
      <c r="B183" s="31" t="str">
        <f aca="false">IF(A183="","",IF(LEN(UPPER(SUBSTITUTE(SUBSTITUTE(SUBSTITUTE(SUBSTITUTE(TRIM(A183),".",""),"/",""),"-","")," ","")))&lt;14,RIGHT(REPT("0",14)&amp;UPPER(SUBSTITUTE(SUBSTITUTE(SUBSTITUTE(SUBSTITUTE(TRIM(A183),".",""),"/",""),"-","")," ","")),14),UPPER(SUBSTITUTE(SUBSTITUTE(SUBSTITUTE(SUBSTITUTE(TRIM(A183),".",""),"/",""),"-","")," ",""))))</f>
        <v/>
      </c>
      <c r="C183" s="11"/>
      <c r="D183" s="23"/>
      <c r="E183" s="22"/>
      <c r="F183" s="23"/>
      <c r="G183" s="11"/>
      <c r="H183" s="35"/>
      <c r="I183" s="11"/>
      <c r="J183" s="23"/>
      <c r="K183" s="27" t="str">
        <f aca="false">IF(B183="","",COUNTIF(Contratos!$D:$D,B183))</f>
        <v/>
      </c>
      <c r="L183" s="36" t="str">
        <f aca="false">IF(B183="","",SUMIFS(Contratos!$K:$K,Contratos!$D:$D,B183))</f>
        <v/>
      </c>
      <c r="M183" s="36" t="str">
        <f aca="false">IF(B183="","",SUMIFS(Pagamentos!$G:$G,Pagamentos!$D:$D,B183,Pagamentos!$F:$F,"Empenho"))</f>
        <v/>
      </c>
      <c r="N183" s="36" t="str">
        <f aca="false">IF(B183="","",SUMIFS(Pagamentos!$G:$G,Pagamentos!$D:$D,B183,Pagamentos!$F:$F,"Pagamento"))</f>
        <v/>
      </c>
      <c r="O183" s="37" t="str">
        <f aca="false">IF(OR(B183="",H183="",L183="",L183=0),"",H183/L183)</f>
        <v/>
      </c>
      <c r="P183" s="27" t="str">
        <f aca="false">IF(B183="","",COUNTIF(Sancoes!$C:$C,B183))</f>
        <v/>
      </c>
      <c r="Q183" s="27" t="str">
        <f aca="false">IF(B183="","",COUNTIF(Socios!$B:$B,B183))</f>
        <v/>
      </c>
      <c r="R183" s="27" t="str">
        <f aca="false">IF(B183="","",COUNTIFS(Socios!$B:$B,B183,Socios!$L:$L,"SIM"))</f>
        <v/>
      </c>
      <c r="S183" s="24"/>
      <c r="T183" s="11"/>
    </row>
    <row r="184" customFormat="false" ht="15" hidden="false" customHeight="false" outlineLevel="0" collapsed="false">
      <c r="A184" s="24"/>
      <c r="B184" s="31" t="str">
        <f aca="false">IF(A184="","",IF(LEN(UPPER(SUBSTITUTE(SUBSTITUTE(SUBSTITUTE(SUBSTITUTE(TRIM(A184),".",""),"/",""),"-","")," ","")))&lt;14,RIGHT(REPT("0",14)&amp;UPPER(SUBSTITUTE(SUBSTITUTE(SUBSTITUTE(SUBSTITUTE(TRIM(A184),".",""),"/",""),"-","")," ","")),14),UPPER(SUBSTITUTE(SUBSTITUTE(SUBSTITUTE(SUBSTITUTE(TRIM(A184),".",""),"/",""),"-","")," ",""))))</f>
        <v/>
      </c>
      <c r="C184" s="11"/>
      <c r="D184" s="23"/>
      <c r="E184" s="22"/>
      <c r="F184" s="23"/>
      <c r="G184" s="11"/>
      <c r="H184" s="35"/>
      <c r="I184" s="11"/>
      <c r="J184" s="23"/>
      <c r="K184" s="27" t="str">
        <f aca="false">IF(B184="","",COUNTIF(Contratos!$D:$D,B184))</f>
        <v/>
      </c>
      <c r="L184" s="36" t="str">
        <f aca="false">IF(B184="","",SUMIFS(Contratos!$K:$K,Contratos!$D:$D,B184))</f>
        <v/>
      </c>
      <c r="M184" s="36" t="str">
        <f aca="false">IF(B184="","",SUMIFS(Pagamentos!$G:$G,Pagamentos!$D:$D,B184,Pagamentos!$F:$F,"Empenho"))</f>
        <v/>
      </c>
      <c r="N184" s="36" t="str">
        <f aca="false">IF(B184="","",SUMIFS(Pagamentos!$G:$G,Pagamentos!$D:$D,B184,Pagamentos!$F:$F,"Pagamento"))</f>
        <v/>
      </c>
      <c r="O184" s="37" t="str">
        <f aca="false">IF(OR(B184="",H184="",L184="",L184=0),"",H184/L184)</f>
        <v/>
      </c>
      <c r="P184" s="27" t="str">
        <f aca="false">IF(B184="","",COUNTIF(Sancoes!$C:$C,B184))</f>
        <v/>
      </c>
      <c r="Q184" s="27" t="str">
        <f aca="false">IF(B184="","",COUNTIF(Socios!$B:$B,B184))</f>
        <v/>
      </c>
      <c r="R184" s="27" t="str">
        <f aca="false">IF(B184="","",COUNTIFS(Socios!$B:$B,B184,Socios!$L:$L,"SIM"))</f>
        <v/>
      </c>
      <c r="S184" s="24"/>
      <c r="T184" s="11"/>
    </row>
    <row r="185" customFormat="false" ht="15" hidden="false" customHeight="false" outlineLevel="0" collapsed="false">
      <c r="A185" s="24"/>
      <c r="B185" s="31" t="str">
        <f aca="false">IF(A185="","",IF(LEN(UPPER(SUBSTITUTE(SUBSTITUTE(SUBSTITUTE(SUBSTITUTE(TRIM(A185),".",""),"/",""),"-","")," ","")))&lt;14,RIGHT(REPT("0",14)&amp;UPPER(SUBSTITUTE(SUBSTITUTE(SUBSTITUTE(SUBSTITUTE(TRIM(A185),".",""),"/",""),"-","")," ","")),14),UPPER(SUBSTITUTE(SUBSTITUTE(SUBSTITUTE(SUBSTITUTE(TRIM(A185),".",""),"/",""),"-","")," ",""))))</f>
        <v/>
      </c>
      <c r="C185" s="11"/>
      <c r="D185" s="23"/>
      <c r="E185" s="22"/>
      <c r="F185" s="23"/>
      <c r="G185" s="11"/>
      <c r="H185" s="35"/>
      <c r="I185" s="11"/>
      <c r="J185" s="23"/>
      <c r="K185" s="27" t="str">
        <f aca="false">IF(B185="","",COUNTIF(Contratos!$D:$D,B185))</f>
        <v/>
      </c>
      <c r="L185" s="36" t="str">
        <f aca="false">IF(B185="","",SUMIFS(Contratos!$K:$K,Contratos!$D:$D,B185))</f>
        <v/>
      </c>
      <c r="M185" s="36" t="str">
        <f aca="false">IF(B185="","",SUMIFS(Pagamentos!$G:$G,Pagamentos!$D:$D,B185,Pagamentos!$F:$F,"Empenho"))</f>
        <v/>
      </c>
      <c r="N185" s="36" t="str">
        <f aca="false">IF(B185="","",SUMIFS(Pagamentos!$G:$G,Pagamentos!$D:$D,B185,Pagamentos!$F:$F,"Pagamento"))</f>
        <v/>
      </c>
      <c r="O185" s="37" t="str">
        <f aca="false">IF(OR(B185="",H185="",L185="",L185=0),"",H185/L185)</f>
        <v/>
      </c>
      <c r="P185" s="27" t="str">
        <f aca="false">IF(B185="","",COUNTIF(Sancoes!$C:$C,B185))</f>
        <v/>
      </c>
      <c r="Q185" s="27" t="str">
        <f aca="false">IF(B185="","",COUNTIF(Socios!$B:$B,B185))</f>
        <v/>
      </c>
      <c r="R185" s="27" t="str">
        <f aca="false">IF(B185="","",COUNTIFS(Socios!$B:$B,B185,Socios!$L:$L,"SIM"))</f>
        <v/>
      </c>
      <c r="S185" s="24"/>
      <c r="T185" s="11"/>
    </row>
    <row r="186" customFormat="false" ht="15" hidden="false" customHeight="false" outlineLevel="0" collapsed="false">
      <c r="A186" s="24"/>
      <c r="B186" s="31" t="str">
        <f aca="false">IF(A186="","",IF(LEN(UPPER(SUBSTITUTE(SUBSTITUTE(SUBSTITUTE(SUBSTITUTE(TRIM(A186),".",""),"/",""),"-","")," ","")))&lt;14,RIGHT(REPT("0",14)&amp;UPPER(SUBSTITUTE(SUBSTITUTE(SUBSTITUTE(SUBSTITUTE(TRIM(A186),".",""),"/",""),"-","")," ","")),14),UPPER(SUBSTITUTE(SUBSTITUTE(SUBSTITUTE(SUBSTITUTE(TRIM(A186),".",""),"/",""),"-","")," ",""))))</f>
        <v/>
      </c>
      <c r="C186" s="11"/>
      <c r="D186" s="23"/>
      <c r="E186" s="22"/>
      <c r="F186" s="23"/>
      <c r="G186" s="11"/>
      <c r="H186" s="35"/>
      <c r="I186" s="11"/>
      <c r="J186" s="23"/>
      <c r="K186" s="27" t="str">
        <f aca="false">IF(B186="","",COUNTIF(Contratos!$D:$D,B186))</f>
        <v/>
      </c>
      <c r="L186" s="36" t="str">
        <f aca="false">IF(B186="","",SUMIFS(Contratos!$K:$K,Contratos!$D:$D,B186))</f>
        <v/>
      </c>
      <c r="M186" s="36" t="str">
        <f aca="false">IF(B186="","",SUMIFS(Pagamentos!$G:$G,Pagamentos!$D:$D,B186,Pagamentos!$F:$F,"Empenho"))</f>
        <v/>
      </c>
      <c r="N186" s="36" t="str">
        <f aca="false">IF(B186="","",SUMIFS(Pagamentos!$G:$G,Pagamentos!$D:$D,B186,Pagamentos!$F:$F,"Pagamento"))</f>
        <v/>
      </c>
      <c r="O186" s="37" t="str">
        <f aca="false">IF(OR(B186="",H186="",L186="",L186=0),"",H186/L186)</f>
        <v/>
      </c>
      <c r="P186" s="27" t="str">
        <f aca="false">IF(B186="","",COUNTIF(Sancoes!$C:$C,B186))</f>
        <v/>
      </c>
      <c r="Q186" s="27" t="str">
        <f aca="false">IF(B186="","",COUNTIF(Socios!$B:$B,B186))</f>
        <v/>
      </c>
      <c r="R186" s="27" t="str">
        <f aca="false">IF(B186="","",COUNTIFS(Socios!$B:$B,B186,Socios!$L:$L,"SIM"))</f>
        <v/>
      </c>
      <c r="S186" s="24"/>
      <c r="T186" s="11"/>
    </row>
    <row r="187" customFormat="false" ht="15" hidden="false" customHeight="false" outlineLevel="0" collapsed="false">
      <c r="A187" s="24"/>
      <c r="B187" s="31" t="str">
        <f aca="false">IF(A187="","",IF(LEN(UPPER(SUBSTITUTE(SUBSTITUTE(SUBSTITUTE(SUBSTITUTE(TRIM(A187),".",""),"/",""),"-","")," ","")))&lt;14,RIGHT(REPT("0",14)&amp;UPPER(SUBSTITUTE(SUBSTITUTE(SUBSTITUTE(SUBSTITUTE(TRIM(A187),".",""),"/",""),"-","")," ","")),14),UPPER(SUBSTITUTE(SUBSTITUTE(SUBSTITUTE(SUBSTITUTE(TRIM(A187),".",""),"/",""),"-","")," ",""))))</f>
        <v/>
      </c>
      <c r="C187" s="11"/>
      <c r="D187" s="23"/>
      <c r="E187" s="22"/>
      <c r="F187" s="23"/>
      <c r="G187" s="11"/>
      <c r="H187" s="35"/>
      <c r="I187" s="11"/>
      <c r="J187" s="23"/>
      <c r="K187" s="27" t="str">
        <f aca="false">IF(B187="","",COUNTIF(Contratos!$D:$D,B187))</f>
        <v/>
      </c>
      <c r="L187" s="36" t="str">
        <f aca="false">IF(B187="","",SUMIFS(Contratos!$K:$K,Contratos!$D:$D,B187))</f>
        <v/>
      </c>
      <c r="M187" s="36" t="str">
        <f aca="false">IF(B187="","",SUMIFS(Pagamentos!$G:$G,Pagamentos!$D:$D,B187,Pagamentos!$F:$F,"Empenho"))</f>
        <v/>
      </c>
      <c r="N187" s="36" t="str">
        <f aca="false">IF(B187="","",SUMIFS(Pagamentos!$G:$G,Pagamentos!$D:$D,B187,Pagamentos!$F:$F,"Pagamento"))</f>
        <v/>
      </c>
      <c r="O187" s="37" t="str">
        <f aca="false">IF(OR(B187="",H187="",L187="",L187=0),"",H187/L187)</f>
        <v/>
      </c>
      <c r="P187" s="27" t="str">
        <f aca="false">IF(B187="","",COUNTIF(Sancoes!$C:$C,B187))</f>
        <v/>
      </c>
      <c r="Q187" s="27" t="str">
        <f aca="false">IF(B187="","",COUNTIF(Socios!$B:$B,B187))</f>
        <v/>
      </c>
      <c r="R187" s="27" t="str">
        <f aca="false">IF(B187="","",COUNTIFS(Socios!$B:$B,B187,Socios!$L:$L,"SIM"))</f>
        <v/>
      </c>
      <c r="S187" s="24"/>
      <c r="T187" s="11"/>
    </row>
    <row r="188" customFormat="false" ht="15" hidden="false" customHeight="false" outlineLevel="0" collapsed="false">
      <c r="A188" s="24"/>
      <c r="B188" s="31" t="str">
        <f aca="false">IF(A188="","",IF(LEN(UPPER(SUBSTITUTE(SUBSTITUTE(SUBSTITUTE(SUBSTITUTE(TRIM(A188),".",""),"/",""),"-","")," ","")))&lt;14,RIGHT(REPT("0",14)&amp;UPPER(SUBSTITUTE(SUBSTITUTE(SUBSTITUTE(SUBSTITUTE(TRIM(A188),".",""),"/",""),"-","")," ","")),14),UPPER(SUBSTITUTE(SUBSTITUTE(SUBSTITUTE(SUBSTITUTE(TRIM(A188),".",""),"/",""),"-","")," ",""))))</f>
        <v/>
      </c>
      <c r="C188" s="11"/>
      <c r="D188" s="23"/>
      <c r="E188" s="22"/>
      <c r="F188" s="23"/>
      <c r="G188" s="11"/>
      <c r="H188" s="35"/>
      <c r="I188" s="11"/>
      <c r="J188" s="23"/>
      <c r="K188" s="27" t="str">
        <f aca="false">IF(B188="","",COUNTIF(Contratos!$D:$D,B188))</f>
        <v/>
      </c>
      <c r="L188" s="36" t="str">
        <f aca="false">IF(B188="","",SUMIFS(Contratos!$K:$K,Contratos!$D:$D,B188))</f>
        <v/>
      </c>
      <c r="M188" s="36" t="str">
        <f aca="false">IF(B188="","",SUMIFS(Pagamentos!$G:$G,Pagamentos!$D:$D,B188,Pagamentos!$F:$F,"Empenho"))</f>
        <v/>
      </c>
      <c r="N188" s="36" t="str">
        <f aca="false">IF(B188="","",SUMIFS(Pagamentos!$G:$G,Pagamentos!$D:$D,B188,Pagamentos!$F:$F,"Pagamento"))</f>
        <v/>
      </c>
      <c r="O188" s="37" t="str">
        <f aca="false">IF(OR(B188="",H188="",L188="",L188=0),"",H188/L188)</f>
        <v/>
      </c>
      <c r="P188" s="27" t="str">
        <f aca="false">IF(B188="","",COUNTIF(Sancoes!$C:$C,B188))</f>
        <v/>
      </c>
      <c r="Q188" s="27" t="str">
        <f aca="false">IF(B188="","",COUNTIF(Socios!$B:$B,B188))</f>
        <v/>
      </c>
      <c r="R188" s="27" t="str">
        <f aca="false">IF(B188="","",COUNTIFS(Socios!$B:$B,B188,Socios!$L:$L,"SIM"))</f>
        <v/>
      </c>
      <c r="S188" s="24"/>
      <c r="T188" s="11"/>
    </row>
    <row r="189" customFormat="false" ht="15" hidden="false" customHeight="false" outlineLevel="0" collapsed="false">
      <c r="A189" s="24"/>
      <c r="B189" s="31" t="str">
        <f aca="false">IF(A189="","",IF(LEN(UPPER(SUBSTITUTE(SUBSTITUTE(SUBSTITUTE(SUBSTITUTE(TRIM(A189),".",""),"/",""),"-","")," ","")))&lt;14,RIGHT(REPT("0",14)&amp;UPPER(SUBSTITUTE(SUBSTITUTE(SUBSTITUTE(SUBSTITUTE(TRIM(A189),".",""),"/",""),"-","")," ","")),14),UPPER(SUBSTITUTE(SUBSTITUTE(SUBSTITUTE(SUBSTITUTE(TRIM(A189),".",""),"/",""),"-","")," ",""))))</f>
        <v/>
      </c>
      <c r="C189" s="11"/>
      <c r="D189" s="23"/>
      <c r="E189" s="22"/>
      <c r="F189" s="23"/>
      <c r="G189" s="11"/>
      <c r="H189" s="35"/>
      <c r="I189" s="11"/>
      <c r="J189" s="23"/>
      <c r="K189" s="27" t="str">
        <f aca="false">IF(B189="","",COUNTIF(Contratos!$D:$D,B189))</f>
        <v/>
      </c>
      <c r="L189" s="36" t="str">
        <f aca="false">IF(B189="","",SUMIFS(Contratos!$K:$K,Contratos!$D:$D,B189))</f>
        <v/>
      </c>
      <c r="M189" s="36" t="str">
        <f aca="false">IF(B189="","",SUMIFS(Pagamentos!$G:$G,Pagamentos!$D:$D,B189,Pagamentos!$F:$F,"Empenho"))</f>
        <v/>
      </c>
      <c r="N189" s="36" t="str">
        <f aca="false">IF(B189="","",SUMIFS(Pagamentos!$G:$G,Pagamentos!$D:$D,B189,Pagamentos!$F:$F,"Pagamento"))</f>
        <v/>
      </c>
      <c r="O189" s="37" t="str">
        <f aca="false">IF(OR(B189="",H189="",L189="",L189=0),"",H189/L189)</f>
        <v/>
      </c>
      <c r="P189" s="27" t="str">
        <f aca="false">IF(B189="","",COUNTIF(Sancoes!$C:$C,B189))</f>
        <v/>
      </c>
      <c r="Q189" s="27" t="str">
        <f aca="false">IF(B189="","",COUNTIF(Socios!$B:$B,B189))</f>
        <v/>
      </c>
      <c r="R189" s="27" t="str">
        <f aca="false">IF(B189="","",COUNTIFS(Socios!$B:$B,B189,Socios!$L:$L,"SIM"))</f>
        <v/>
      </c>
      <c r="S189" s="24"/>
      <c r="T189" s="11"/>
    </row>
    <row r="190" customFormat="false" ht="15" hidden="false" customHeight="false" outlineLevel="0" collapsed="false">
      <c r="A190" s="24"/>
      <c r="B190" s="31" t="str">
        <f aca="false">IF(A190="","",IF(LEN(UPPER(SUBSTITUTE(SUBSTITUTE(SUBSTITUTE(SUBSTITUTE(TRIM(A190),".",""),"/",""),"-","")," ","")))&lt;14,RIGHT(REPT("0",14)&amp;UPPER(SUBSTITUTE(SUBSTITUTE(SUBSTITUTE(SUBSTITUTE(TRIM(A190),".",""),"/",""),"-","")," ","")),14),UPPER(SUBSTITUTE(SUBSTITUTE(SUBSTITUTE(SUBSTITUTE(TRIM(A190),".",""),"/",""),"-","")," ",""))))</f>
        <v/>
      </c>
      <c r="C190" s="11"/>
      <c r="D190" s="23"/>
      <c r="E190" s="22"/>
      <c r="F190" s="23"/>
      <c r="G190" s="11"/>
      <c r="H190" s="35"/>
      <c r="I190" s="11"/>
      <c r="J190" s="23"/>
      <c r="K190" s="27" t="str">
        <f aca="false">IF(B190="","",COUNTIF(Contratos!$D:$D,B190))</f>
        <v/>
      </c>
      <c r="L190" s="36" t="str">
        <f aca="false">IF(B190="","",SUMIFS(Contratos!$K:$K,Contratos!$D:$D,B190))</f>
        <v/>
      </c>
      <c r="M190" s="36" t="str">
        <f aca="false">IF(B190="","",SUMIFS(Pagamentos!$G:$G,Pagamentos!$D:$D,B190,Pagamentos!$F:$F,"Empenho"))</f>
        <v/>
      </c>
      <c r="N190" s="36" t="str">
        <f aca="false">IF(B190="","",SUMIFS(Pagamentos!$G:$G,Pagamentos!$D:$D,B190,Pagamentos!$F:$F,"Pagamento"))</f>
        <v/>
      </c>
      <c r="O190" s="37" t="str">
        <f aca="false">IF(OR(B190="",H190="",L190="",L190=0),"",H190/L190)</f>
        <v/>
      </c>
      <c r="P190" s="27" t="str">
        <f aca="false">IF(B190="","",COUNTIF(Sancoes!$C:$C,B190))</f>
        <v/>
      </c>
      <c r="Q190" s="27" t="str">
        <f aca="false">IF(B190="","",COUNTIF(Socios!$B:$B,B190))</f>
        <v/>
      </c>
      <c r="R190" s="27" t="str">
        <f aca="false">IF(B190="","",COUNTIFS(Socios!$B:$B,B190,Socios!$L:$L,"SIM"))</f>
        <v/>
      </c>
      <c r="S190" s="24"/>
      <c r="T190" s="11"/>
    </row>
    <row r="191" customFormat="false" ht="15" hidden="false" customHeight="false" outlineLevel="0" collapsed="false">
      <c r="A191" s="24"/>
      <c r="B191" s="31" t="str">
        <f aca="false">IF(A191="","",IF(LEN(UPPER(SUBSTITUTE(SUBSTITUTE(SUBSTITUTE(SUBSTITUTE(TRIM(A191),".",""),"/",""),"-","")," ","")))&lt;14,RIGHT(REPT("0",14)&amp;UPPER(SUBSTITUTE(SUBSTITUTE(SUBSTITUTE(SUBSTITUTE(TRIM(A191),".",""),"/",""),"-","")," ","")),14),UPPER(SUBSTITUTE(SUBSTITUTE(SUBSTITUTE(SUBSTITUTE(TRIM(A191),".",""),"/",""),"-","")," ",""))))</f>
        <v/>
      </c>
      <c r="C191" s="11"/>
      <c r="D191" s="23"/>
      <c r="E191" s="22"/>
      <c r="F191" s="23"/>
      <c r="G191" s="11"/>
      <c r="H191" s="35"/>
      <c r="I191" s="11"/>
      <c r="J191" s="23"/>
      <c r="K191" s="27" t="str">
        <f aca="false">IF(B191="","",COUNTIF(Contratos!$D:$D,B191))</f>
        <v/>
      </c>
      <c r="L191" s="36" t="str">
        <f aca="false">IF(B191="","",SUMIFS(Contratos!$K:$K,Contratos!$D:$D,B191))</f>
        <v/>
      </c>
      <c r="M191" s="36" t="str">
        <f aca="false">IF(B191="","",SUMIFS(Pagamentos!$G:$G,Pagamentos!$D:$D,B191,Pagamentos!$F:$F,"Empenho"))</f>
        <v/>
      </c>
      <c r="N191" s="36" t="str">
        <f aca="false">IF(B191="","",SUMIFS(Pagamentos!$G:$G,Pagamentos!$D:$D,B191,Pagamentos!$F:$F,"Pagamento"))</f>
        <v/>
      </c>
      <c r="O191" s="37" t="str">
        <f aca="false">IF(OR(B191="",H191="",L191="",L191=0),"",H191/L191)</f>
        <v/>
      </c>
      <c r="P191" s="27" t="str">
        <f aca="false">IF(B191="","",COUNTIF(Sancoes!$C:$C,B191))</f>
        <v/>
      </c>
      <c r="Q191" s="27" t="str">
        <f aca="false">IF(B191="","",COUNTIF(Socios!$B:$B,B191))</f>
        <v/>
      </c>
      <c r="R191" s="27" t="str">
        <f aca="false">IF(B191="","",COUNTIFS(Socios!$B:$B,B191,Socios!$L:$L,"SIM"))</f>
        <v/>
      </c>
      <c r="S191" s="24"/>
      <c r="T191" s="11"/>
    </row>
    <row r="192" customFormat="false" ht="15" hidden="false" customHeight="false" outlineLevel="0" collapsed="false">
      <c r="A192" s="24"/>
      <c r="B192" s="31" t="str">
        <f aca="false">IF(A192="","",IF(LEN(UPPER(SUBSTITUTE(SUBSTITUTE(SUBSTITUTE(SUBSTITUTE(TRIM(A192),".",""),"/",""),"-","")," ","")))&lt;14,RIGHT(REPT("0",14)&amp;UPPER(SUBSTITUTE(SUBSTITUTE(SUBSTITUTE(SUBSTITUTE(TRIM(A192),".",""),"/",""),"-","")," ","")),14),UPPER(SUBSTITUTE(SUBSTITUTE(SUBSTITUTE(SUBSTITUTE(TRIM(A192),".",""),"/",""),"-","")," ",""))))</f>
        <v/>
      </c>
      <c r="C192" s="11"/>
      <c r="D192" s="23"/>
      <c r="E192" s="22"/>
      <c r="F192" s="23"/>
      <c r="G192" s="11"/>
      <c r="H192" s="35"/>
      <c r="I192" s="11"/>
      <c r="J192" s="23"/>
      <c r="K192" s="27" t="str">
        <f aca="false">IF(B192="","",COUNTIF(Contratos!$D:$D,B192))</f>
        <v/>
      </c>
      <c r="L192" s="36" t="str">
        <f aca="false">IF(B192="","",SUMIFS(Contratos!$K:$K,Contratos!$D:$D,B192))</f>
        <v/>
      </c>
      <c r="M192" s="36" t="str">
        <f aca="false">IF(B192="","",SUMIFS(Pagamentos!$G:$G,Pagamentos!$D:$D,B192,Pagamentos!$F:$F,"Empenho"))</f>
        <v/>
      </c>
      <c r="N192" s="36" t="str">
        <f aca="false">IF(B192="","",SUMIFS(Pagamentos!$G:$G,Pagamentos!$D:$D,B192,Pagamentos!$F:$F,"Pagamento"))</f>
        <v/>
      </c>
      <c r="O192" s="37" t="str">
        <f aca="false">IF(OR(B192="",H192="",L192="",L192=0),"",H192/L192)</f>
        <v/>
      </c>
      <c r="P192" s="27" t="str">
        <f aca="false">IF(B192="","",COUNTIF(Sancoes!$C:$C,B192))</f>
        <v/>
      </c>
      <c r="Q192" s="27" t="str">
        <f aca="false">IF(B192="","",COUNTIF(Socios!$B:$B,B192))</f>
        <v/>
      </c>
      <c r="R192" s="27" t="str">
        <f aca="false">IF(B192="","",COUNTIFS(Socios!$B:$B,B192,Socios!$L:$L,"SIM"))</f>
        <v/>
      </c>
      <c r="S192" s="24"/>
      <c r="T192" s="11"/>
    </row>
    <row r="193" customFormat="false" ht="15" hidden="false" customHeight="false" outlineLevel="0" collapsed="false">
      <c r="A193" s="24"/>
      <c r="B193" s="31" t="str">
        <f aca="false">IF(A193="","",IF(LEN(UPPER(SUBSTITUTE(SUBSTITUTE(SUBSTITUTE(SUBSTITUTE(TRIM(A193),".",""),"/",""),"-","")," ","")))&lt;14,RIGHT(REPT("0",14)&amp;UPPER(SUBSTITUTE(SUBSTITUTE(SUBSTITUTE(SUBSTITUTE(TRIM(A193),".",""),"/",""),"-","")," ","")),14),UPPER(SUBSTITUTE(SUBSTITUTE(SUBSTITUTE(SUBSTITUTE(TRIM(A193),".",""),"/",""),"-","")," ",""))))</f>
        <v/>
      </c>
      <c r="C193" s="11"/>
      <c r="D193" s="23"/>
      <c r="E193" s="22"/>
      <c r="F193" s="23"/>
      <c r="G193" s="11"/>
      <c r="H193" s="35"/>
      <c r="I193" s="11"/>
      <c r="J193" s="23"/>
      <c r="K193" s="27" t="str">
        <f aca="false">IF(B193="","",COUNTIF(Contratos!$D:$D,B193))</f>
        <v/>
      </c>
      <c r="L193" s="36" t="str">
        <f aca="false">IF(B193="","",SUMIFS(Contratos!$K:$K,Contratos!$D:$D,B193))</f>
        <v/>
      </c>
      <c r="M193" s="36" t="str">
        <f aca="false">IF(B193="","",SUMIFS(Pagamentos!$G:$G,Pagamentos!$D:$D,B193,Pagamentos!$F:$F,"Empenho"))</f>
        <v/>
      </c>
      <c r="N193" s="36" t="str">
        <f aca="false">IF(B193="","",SUMIFS(Pagamentos!$G:$G,Pagamentos!$D:$D,B193,Pagamentos!$F:$F,"Pagamento"))</f>
        <v/>
      </c>
      <c r="O193" s="37" t="str">
        <f aca="false">IF(OR(B193="",H193="",L193="",L193=0),"",H193/L193)</f>
        <v/>
      </c>
      <c r="P193" s="27" t="str">
        <f aca="false">IF(B193="","",COUNTIF(Sancoes!$C:$C,B193))</f>
        <v/>
      </c>
      <c r="Q193" s="27" t="str">
        <f aca="false">IF(B193="","",COUNTIF(Socios!$B:$B,B193))</f>
        <v/>
      </c>
      <c r="R193" s="27" t="str">
        <f aca="false">IF(B193="","",COUNTIFS(Socios!$B:$B,B193,Socios!$L:$L,"SIM"))</f>
        <v/>
      </c>
      <c r="S193" s="24"/>
      <c r="T193" s="11"/>
    </row>
    <row r="194" customFormat="false" ht="15" hidden="false" customHeight="false" outlineLevel="0" collapsed="false">
      <c r="A194" s="24"/>
      <c r="B194" s="31" t="str">
        <f aca="false">IF(A194="","",IF(LEN(UPPER(SUBSTITUTE(SUBSTITUTE(SUBSTITUTE(SUBSTITUTE(TRIM(A194),".",""),"/",""),"-","")," ","")))&lt;14,RIGHT(REPT("0",14)&amp;UPPER(SUBSTITUTE(SUBSTITUTE(SUBSTITUTE(SUBSTITUTE(TRIM(A194),".",""),"/",""),"-","")," ","")),14),UPPER(SUBSTITUTE(SUBSTITUTE(SUBSTITUTE(SUBSTITUTE(TRIM(A194),".",""),"/",""),"-","")," ",""))))</f>
        <v/>
      </c>
      <c r="C194" s="11"/>
      <c r="D194" s="23"/>
      <c r="E194" s="22"/>
      <c r="F194" s="23"/>
      <c r="G194" s="11"/>
      <c r="H194" s="35"/>
      <c r="I194" s="11"/>
      <c r="J194" s="23"/>
      <c r="K194" s="27" t="str">
        <f aca="false">IF(B194="","",COUNTIF(Contratos!$D:$D,B194))</f>
        <v/>
      </c>
      <c r="L194" s="36" t="str">
        <f aca="false">IF(B194="","",SUMIFS(Contratos!$K:$K,Contratos!$D:$D,B194))</f>
        <v/>
      </c>
      <c r="M194" s="36" t="str">
        <f aca="false">IF(B194="","",SUMIFS(Pagamentos!$G:$G,Pagamentos!$D:$D,B194,Pagamentos!$F:$F,"Empenho"))</f>
        <v/>
      </c>
      <c r="N194" s="36" t="str">
        <f aca="false">IF(B194="","",SUMIFS(Pagamentos!$G:$G,Pagamentos!$D:$D,B194,Pagamentos!$F:$F,"Pagamento"))</f>
        <v/>
      </c>
      <c r="O194" s="37" t="str">
        <f aca="false">IF(OR(B194="",H194="",L194="",L194=0),"",H194/L194)</f>
        <v/>
      </c>
      <c r="P194" s="27" t="str">
        <f aca="false">IF(B194="","",COUNTIF(Sancoes!$C:$C,B194))</f>
        <v/>
      </c>
      <c r="Q194" s="27" t="str">
        <f aca="false">IF(B194="","",COUNTIF(Socios!$B:$B,B194))</f>
        <v/>
      </c>
      <c r="R194" s="27" t="str">
        <f aca="false">IF(B194="","",COUNTIFS(Socios!$B:$B,B194,Socios!$L:$L,"SIM"))</f>
        <v/>
      </c>
      <c r="S194" s="24"/>
      <c r="T194" s="11"/>
    </row>
    <row r="195" customFormat="false" ht="15" hidden="false" customHeight="false" outlineLevel="0" collapsed="false">
      <c r="A195" s="24"/>
      <c r="B195" s="31" t="str">
        <f aca="false">IF(A195="","",IF(LEN(UPPER(SUBSTITUTE(SUBSTITUTE(SUBSTITUTE(SUBSTITUTE(TRIM(A195),".",""),"/",""),"-","")," ","")))&lt;14,RIGHT(REPT("0",14)&amp;UPPER(SUBSTITUTE(SUBSTITUTE(SUBSTITUTE(SUBSTITUTE(TRIM(A195),".",""),"/",""),"-","")," ","")),14),UPPER(SUBSTITUTE(SUBSTITUTE(SUBSTITUTE(SUBSTITUTE(TRIM(A195),".",""),"/",""),"-","")," ",""))))</f>
        <v/>
      </c>
      <c r="C195" s="11"/>
      <c r="D195" s="23"/>
      <c r="E195" s="22"/>
      <c r="F195" s="23"/>
      <c r="G195" s="11"/>
      <c r="H195" s="35"/>
      <c r="I195" s="11"/>
      <c r="J195" s="23"/>
      <c r="K195" s="27" t="str">
        <f aca="false">IF(B195="","",COUNTIF(Contratos!$D:$D,B195))</f>
        <v/>
      </c>
      <c r="L195" s="36" t="str">
        <f aca="false">IF(B195="","",SUMIFS(Contratos!$K:$K,Contratos!$D:$D,B195))</f>
        <v/>
      </c>
      <c r="M195" s="36" t="str">
        <f aca="false">IF(B195="","",SUMIFS(Pagamentos!$G:$G,Pagamentos!$D:$D,B195,Pagamentos!$F:$F,"Empenho"))</f>
        <v/>
      </c>
      <c r="N195" s="36" t="str">
        <f aca="false">IF(B195="","",SUMIFS(Pagamentos!$G:$G,Pagamentos!$D:$D,B195,Pagamentos!$F:$F,"Pagamento"))</f>
        <v/>
      </c>
      <c r="O195" s="37" t="str">
        <f aca="false">IF(OR(B195="",H195="",L195="",L195=0),"",H195/L195)</f>
        <v/>
      </c>
      <c r="P195" s="27" t="str">
        <f aca="false">IF(B195="","",COUNTIF(Sancoes!$C:$C,B195))</f>
        <v/>
      </c>
      <c r="Q195" s="27" t="str">
        <f aca="false">IF(B195="","",COUNTIF(Socios!$B:$B,B195))</f>
        <v/>
      </c>
      <c r="R195" s="27" t="str">
        <f aca="false">IF(B195="","",COUNTIFS(Socios!$B:$B,B195,Socios!$L:$L,"SIM"))</f>
        <v/>
      </c>
      <c r="S195" s="24"/>
      <c r="T195" s="11"/>
    </row>
    <row r="196" customFormat="false" ht="15" hidden="false" customHeight="false" outlineLevel="0" collapsed="false">
      <c r="A196" s="24"/>
      <c r="B196" s="31" t="str">
        <f aca="false">IF(A196="","",IF(LEN(UPPER(SUBSTITUTE(SUBSTITUTE(SUBSTITUTE(SUBSTITUTE(TRIM(A196),".",""),"/",""),"-","")," ","")))&lt;14,RIGHT(REPT("0",14)&amp;UPPER(SUBSTITUTE(SUBSTITUTE(SUBSTITUTE(SUBSTITUTE(TRIM(A196),".",""),"/",""),"-","")," ","")),14),UPPER(SUBSTITUTE(SUBSTITUTE(SUBSTITUTE(SUBSTITUTE(TRIM(A196),".",""),"/",""),"-","")," ",""))))</f>
        <v/>
      </c>
      <c r="C196" s="11"/>
      <c r="D196" s="23"/>
      <c r="E196" s="22"/>
      <c r="F196" s="23"/>
      <c r="G196" s="11"/>
      <c r="H196" s="35"/>
      <c r="I196" s="11"/>
      <c r="J196" s="23"/>
      <c r="K196" s="27" t="str">
        <f aca="false">IF(B196="","",COUNTIF(Contratos!$D:$D,B196))</f>
        <v/>
      </c>
      <c r="L196" s="36" t="str">
        <f aca="false">IF(B196="","",SUMIFS(Contratos!$K:$K,Contratos!$D:$D,B196))</f>
        <v/>
      </c>
      <c r="M196" s="36" t="str">
        <f aca="false">IF(B196="","",SUMIFS(Pagamentos!$G:$G,Pagamentos!$D:$D,B196,Pagamentos!$F:$F,"Empenho"))</f>
        <v/>
      </c>
      <c r="N196" s="36" t="str">
        <f aca="false">IF(B196="","",SUMIFS(Pagamentos!$G:$G,Pagamentos!$D:$D,B196,Pagamentos!$F:$F,"Pagamento"))</f>
        <v/>
      </c>
      <c r="O196" s="37" t="str">
        <f aca="false">IF(OR(B196="",H196="",L196="",L196=0),"",H196/L196)</f>
        <v/>
      </c>
      <c r="P196" s="27" t="str">
        <f aca="false">IF(B196="","",COUNTIF(Sancoes!$C:$C,B196))</f>
        <v/>
      </c>
      <c r="Q196" s="27" t="str">
        <f aca="false">IF(B196="","",COUNTIF(Socios!$B:$B,B196))</f>
        <v/>
      </c>
      <c r="R196" s="27" t="str">
        <f aca="false">IF(B196="","",COUNTIFS(Socios!$B:$B,B196,Socios!$L:$L,"SIM"))</f>
        <v/>
      </c>
      <c r="S196" s="24"/>
      <c r="T196" s="11"/>
    </row>
    <row r="197" customFormat="false" ht="15" hidden="false" customHeight="false" outlineLevel="0" collapsed="false">
      <c r="A197" s="24"/>
      <c r="B197" s="31" t="str">
        <f aca="false">IF(A197="","",IF(LEN(UPPER(SUBSTITUTE(SUBSTITUTE(SUBSTITUTE(SUBSTITUTE(TRIM(A197),".",""),"/",""),"-","")," ","")))&lt;14,RIGHT(REPT("0",14)&amp;UPPER(SUBSTITUTE(SUBSTITUTE(SUBSTITUTE(SUBSTITUTE(TRIM(A197),".",""),"/",""),"-","")," ","")),14),UPPER(SUBSTITUTE(SUBSTITUTE(SUBSTITUTE(SUBSTITUTE(TRIM(A197),".",""),"/",""),"-","")," ",""))))</f>
        <v/>
      </c>
      <c r="C197" s="11"/>
      <c r="D197" s="23"/>
      <c r="E197" s="22"/>
      <c r="F197" s="23"/>
      <c r="G197" s="11"/>
      <c r="H197" s="35"/>
      <c r="I197" s="11"/>
      <c r="J197" s="23"/>
      <c r="K197" s="27" t="str">
        <f aca="false">IF(B197="","",COUNTIF(Contratos!$D:$D,B197))</f>
        <v/>
      </c>
      <c r="L197" s="36" t="str">
        <f aca="false">IF(B197="","",SUMIFS(Contratos!$K:$K,Contratos!$D:$D,B197))</f>
        <v/>
      </c>
      <c r="M197" s="36" t="str">
        <f aca="false">IF(B197="","",SUMIFS(Pagamentos!$G:$G,Pagamentos!$D:$D,B197,Pagamentos!$F:$F,"Empenho"))</f>
        <v/>
      </c>
      <c r="N197" s="36" t="str">
        <f aca="false">IF(B197="","",SUMIFS(Pagamentos!$G:$G,Pagamentos!$D:$D,B197,Pagamentos!$F:$F,"Pagamento"))</f>
        <v/>
      </c>
      <c r="O197" s="37" t="str">
        <f aca="false">IF(OR(B197="",H197="",L197="",L197=0),"",H197/L197)</f>
        <v/>
      </c>
      <c r="P197" s="27" t="str">
        <f aca="false">IF(B197="","",COUNTIF(Sancoes!$C:$C,B197))</f>
        <v/>
      </c>
      <c r="Q197" s="27" t="str">
        <f aca="false">IF(B197="","",COUNTIF(Socios!$B:$B,B197))</f>
        <v/>
      </c>
      <c r="R197" s="27" t="str">
        <f aca="false">IF(B197="","",COUNTIFS(Socios!$B:$B,B197,Socios!$L:$L,"SIM"))</f>
        <v/>
      </c>
      <c r="S197" s="24"/>
      <c r="T197" s="11"/>
    </row>
    <row r="198" customFormat="false" ht="15" hidden="false" customHeight="false" outlineLevel="0" collapsed="false">
      <c r="A198" s="24"/>
      <c r="B198" s="31" t="str">
        <f aca="false">IF(A198="","",IF(LEN(UPPER(SUBSTITUTE(SUBSTITUTE(SUBSTITUTE(SUBSTITUTE(TRIM(A198),".",""),"/",""),"-","")," ","")))&lt;14,RIGHT(REPT("0",14)&amp;UPPER(SUBSTITUTE(SUBSTITUTE(SUBSTITUTE(SUBSTITUTE(TRIM(A198),".",""),"/",""),"-","")," ","")),14),UPPER(SUBSTITUTE(SUBSTITUTE(SUBSTITUTE(SUBSTITUTE(TRIM(A198),".",""),"/",""),"-","")," ",""))))</f>
        <v/>
      </c>
      <c r="C198" s="11"/>
      <c r="D198" s="23"/>
      <c r="E198" s="22"/>
      <c r="F198" s="23"/>
      <c r="G198" s="11"/>
      <c r="H198" s="35"/>
      <c r="I198" s="11"/>
      <c r="J198" s="23"/>
      <c r="K198" s="27" t="str">
        <f aca="false">IF(B198="","",COUNTIF(Contratos!$D:$D,B198))</f>
        <v/>
      </c>
      <c r="L198" s="36" t="str">
        <f aca="false">IF(B198="","",SUMIFS(Contratos!$K:$K,Contratos!$D:$D,B198))</f>
        <v/>
      </c>
      <c r="M198" s="36" t="str">
        <f aca="false">IF(B198="","",SUMIFS(Pagamentos!$G:$G,Pagamentos!$D:$D,B198,Pagamentos!$F:$F,"Empenho"))</f>
        <v/>
      </c>
      <c r="N198" s="36" t="str">
        <f aca="false">IF(B198="","",SUMIFS(Pagamentos!$G:$G,Pagamentos!$D:$D,B198,Pagamentos!$F:$F,"Pagamento"))</f>
        <v/>
      </c>
      <c r="O198" s="37" t="str">
        <f aca="false">IF(OR(B198="",H198="",L198="",L198=0),"",H198/L198)</f>
        <v/>
      </c>
      <c r="P198" s="27" t="str">
        <f aca="false">IF(B198="","",COUNTIF(Sancoes!$C:$C,B198))</f>
        <v/>
      </c>
      <c r="Q198" s="27" t="str">
        <f aca="false">IF(B198="","",COUNTIF(Socios!$B:$B,B198))</f>
        <v/>
      </c>
      <c r="R198" s="27" t="str">
        <f aca="false">IF(B198="","",COUNTIFS(Socios!$B:$B,B198,Socios!$L:$L,"SIM"))</f>
        <v/>
      </c>
      <c r="S198" s="24"/>
      <c r="T198" s="11"/>
    </row>
    <row r="199" customFormat="false" ht="15" hidden="false" customHeight="false" outlineLevel="0" collapsed="false">
      <c r="A199" s="24"/>
      <c r="B199" s="31" t="str">
        <f aca="false">IF(A199="","",IF(LEN(UPPER(SUBSTITUTE(SUBSTITUTE(SUBSTITUTE(SUBSTITUTE(TRIM(A199),".",""),"/",""),"-","")," ","")))&lt;14,RIGHT(REPT("0",14)&amp;UPPER(SUBSTITUTE(SUBSTITUTE(SUBSTITUTE(SUBSTITUTE(TRIM(A199),".",""),"/",""),"-","")," ","")),14),UPPER(SUBSTITUTE(SUBSTITUTE(SUBSTITUTE(SUBSTITUTE(TRIM(A199),".",""),"/",""),"-","")," ",""))))</f>
        <v/>
      </c>
      <c r="C199" s="11"/>
      <c r="D199" s="23"/>
      <c r="E199" s="22"/>
      <c r="F199" s="23"/>
      <c r="G199" s="11"/>
      <c r="H199" s="35"/>
      <c r="I199" s="11"/>
      <c r="J199" s="23"/>
      <c r="K199" s="27" t="str">
        <f aca="false">IF(B199="","",COUNTIF(Contratos!$D:$D,B199))</f>
        <v/>
      </c>
      <c r="L199" s="36" t="str">
        <f aca="false">IF(B199="","",SUMIFS(Contratos!$K:$K,Contratos!$D:$D,B199))</f>
        <v/>
      </c>
      <c r="M199" s="36" t="str">
        <f aca="false">IF(B199="","",SUMIFS(Pagamentos!$G:$G,Pagamentos!$D:$D,B199,Pagamentos!$F:$F,"Empenho"))</f>
        <v/>
      </c>
      <c r="N199" s="36" t="str">
        <f aca="false">IF(B199="","",SUMIFS(Pagamentos!$G:$G,Pagamentos!$D:$D,B199,Pagamentos!$F:$F,"Pagamento"))</f>
        <v/>
      </c>
      <c r="O199" s="37" t="str">
        <f aca="false">IF(OR(B199="",H199="",L199="",L199=0),"",H199/L199)</f>
        <v/>
      </c>
      <c r="P199" s="27" t="str">
        <f aca="false">IF(B199="","",COUNTIF(Sancoes!$C:$C,B199))</f>
        <v/>
      </c>
      <c r="Q199" s="27" t="str">
        <f aca="false">IF(B199="","",COUNTIF(Socios!$B:$B,B199))</f>
        <v/>
      </c>
      <c r="R199" s="27" t="str">
        <f aca="false">IF(B199="","",COUNTIFS(Socios!$B:$B,B199,Socios!$L:$L,"SIM"))</f>
        <v/>
      </c>
      <c r="S199" s="24"/>
      <c r="T199" s="11"/>
    </row>
    <row r="200" customFormat="false" ht="15" hidden="false" customHeight="false" outlineLevel="0" collapsed="false">
      <c r="A200" s="24"/>
      <c r="B200" s="31" t="str">
        <f aca="false">IF(A200="","",IF(LEN(UPPER(SUBSTITUTE(SUBSTITUTE(SUBSTITUTE(SUBSTITUTE(TRIM(A200),".",""),"/",""),"-","")," ","")))&lt;14,RIGHT(REPT("0",14)&amp;UPPER(SUBSTITUTE(SUBSTITUTE(SUBSTITUTE(SUBSTITUTE(TRIM(A200),".",""),"/",""),"-","")," ","")),14),UPPER(SUBSTITUTE(SUBSTITUTE(SUBSTITUTE(SUBSTITUTE(TRIM(A200),".",""),"/",""),"-","")," ",""))))</f>
        <v/>
      </c>
      <c r="C200" s="11"/>
      <c r="D200" s="23"/>
      <c r="E200" s="22"/>
      <c r="F200" s="23"/>
      <c r="G200" s="11"/>
      <c r="H200" s="35"/>
      <c r="I200" s="11"/>
      <c r="J200" s="23"/>
      <c r="K200" s="27" t="str">
        <f aca="false">IF(B200="","",COUNTIF(Contratos!$D:$D,B200))</f>
        <v/>
      </c>
      <c r="L200" s="36" t="str">
        <f aca="false">IF(B200="","",SUMIFS(Contratos!$K:$K,Contratos!$D:$D,B200))</f>
        <v/>
      </c>
      <c r="M200" s="36" t="str">
        <f aca="false">IF(B200="","",SUMIFS(Pagamentos!$G:$G,Pagamentos!$D:$D,B200,Pagamentos!$F:$F,"Empenho"))</f>
        <v/>
      </c>
      <c r="N200" s="36" t="str">
        <f aca="false">IF(B200="","",SUMIFS(Pagamentos!$G:$G,Pagamentos!$D:$D,B200,Pagamentos!$F:$F,"Pagamento"))</f>
        <v/>
      </c>
      <c r="O200" s="37" t="str">
        <f aca="false">IF(OR(B200="",H200="",L200="",L200=0),"",H200/L200)</f>
        <v/>
      </c>
      <c r="P200" s="27" t="str">
        <f aca="false">IF(B200="","",COUNTIF(Sancoes!$C:$C,B200))</f>
        <v/>
      </c>
      <c r="Q200" s="27" t="str">
        <f aca="false">IF(B200="","",COUNTIF(Socios!$B:$B,B200))</f>
        <v/>
      </c>
      <c r="R200" s="27" t="str">
        <f aca="false">IF(B200="","",COUNTIFS(Socios!$B:$B,B200,Socios!$L:$L,"SIM"))</f>
        <v/>
      </c>
      <c r="S200" s="24"/>
      <c r="T200" s="11"/>
    </row>
    <row r="201" customFormat="false" ht="15" hidden="false" customHeight="false" outlineLevel="0" collapsed="false">
      <c r="A201" s="24"/>
      <c r="B201" s="31" t="str">
        <f aca="false">IF(A201="","",IF(LEN(UPPER(SUBSTITUTE(SUBSTITUTE(SUBSTITUTE(SUBSTITUTE(TRIM(A201),".",""),"/",""),"-","")," ","")))&lt;14,RIGHT(REPT("0",14)&amp;UPPER(SUBSTITUTE(SUBSTITUTE(SUBSTITUTE(SUBSTITUTE(TRIM(A201),".",""),"/",""),"-","")," ","")),14),UPPER(SUBSTITUTE(SUBSTITUTE(SUBSTITUTE(SUBSTITUTE(TRIM(A201),".",""),"/",""),"-","")," ",""))))</f>
        <v/>
      </c>
      <c r="C201" s="11"/>
      <c r="D201" s="23"/>
      <c r="E201" s="22"/>
      <c r="F201" s="23"/>
      <c r="G201" s="11"/>
      <c r="H201" s="35"/>
      <c r="I201" s="11"/>
      <c r="J201" s="23"/>
      <c r="K201" s="27" t="str">
        <f aca="false">IF(B201="","",COUNTIF(Contratos!$D:$D,B201))</f>
        <v/>
      </c>
      <c r="L201" s="36" t="str">
        <f aca="false">IF(B201="","",SUMIFS(Contratos!$K:$K,Contratos!$D:$D,B201))</f>
        <v/>
      </c>
      <c r="M201" s="36" t="str">
        <f aca="false">IF(B201="","",SUMIFS(Pagamentos!$G:$G,Pagamentos!$D:$D,B201,Pagamentos!$F:$F,"Empenho"))</f>
        <v/>
      </c>
      <c r="N201" s="36" t="str">
        <f aca="false">IF(B201="","",SUMIFS(Pagamentos!$G:$G,Pagamentos!$D:$D,B201,Pagamentos!$F:$F,"Pagamento"))</f>
        <v/>
      </c>
      <c r="O201" s="37" t="str">
        <f aca="false">IF(OR(B201="",H201="",L201="",L201=0),"",H201/L201)</f>
        <v/>
      </c>
      <c r="P201" s="27" t="str">
        <f aca="false">IF(B201="","",COUNTIF(Sancoes!$C:$C,B201))</f>
        <v/>
      </c>
      <c r="Q201" s="27" t="str">
        <f aca="false">IF(B201="","",COUNTIF(Socios!$B:$B,B201))</f>
        <v/>
      </c>
      <c r="R201" s="27" t="str">
        <f aca="false">IF(B201="","",COUNTIFS(Socios!$B:$B,B201,Socios!$L:$L,"SIM"))</f>
        <v/>
      </c>
      <c r="S201" s="24"/>
      <c r="T201" s="11"/>
    </row>
    <row r="202" customFormat="false" ht="15" hidden="false" customHeight="false" outlineLevel="0" collapsed="false">
      <c r="A202" s="24"/>
      <c r="B202" s="31" t="str">
        <f aca="false">IF(A202="","",IF(LEN(UPPER(SUBSTITUTE(SUBSTITUTE(SUBSTITUTE(SUBSTITUTE(TRIM(A202),".",""),"/",""),"-","")," ","")))&lt;14,RIGHT(REPT("0",14)&amp;UPPER(SUBSTITUTE(SUBSTITUTE(SUBSTITUTE(SUBSTITUTE(TRIM(A202),".",""),"/",""),"-","")," ","")),14),UPPER(SUBSTITUTE(SUBSTITUTE(SUBSTITUTE(SUBSTITUTE(TRIM(A202),".",""),"/",""),"-","")," ",""))))</f>
        <v/>
      </c>
      <c r="C202" s="11"/>
      <c r="D202" s="23"/>
      <c r="E202" s="22"/>
      <c r="F202" s="23"/>
      <c r="G202" s="11"/>
      <c r="H202" s="35"/>
      <c r="I202" s="11"/>
      <c r="J202" s="23"/>
      <c r="K202" s="27" t="str">
        <f aca="false">IF(B202="","",COUNTIF(Contratos!$D:$D,B202))</f>
        <v/>
      </c>
      <c r="L202" s="36" t="str">
        <f aca="false">IF(B202="","",SUMIFS(Contratos!$K:$K,Contratos!$D:$D,B202))</f>
        <v/>
      </c>
      <c r="M202" s="36" t="str">
        <f aca="false">IF(B202="","",SUMIFS(Pagamentos!$G:$G,Pagamentos!$D:$D,B202,Pagamentos!$F:$F,"Empenho"))</f>
        <v/>
      </c>
      <c r="N202" s="36" t="str">
        <f aca="false">IF(B202="","",SUMIFS(Pagamentos!$G:$G,Pagamentos!$D:$D,B202,Pagamentos!$F:$F,"Pagamento"))</f>
        <v/>
      </c>
      <c r="O202" s="37" t="str">
        <f aca="false">IF(OR(B202="",H202="",L202="",L202=0),"",H202/L202)</f>
        <v/>
      </c>
      <c r="P202" s="27" t="str">
        <f aca="false">IF(B202="","",COUNTIF(Sancoes!$C:$C,B202))</f>
        <v/>
      </c>
      <c r="Q202" s="27" t="str">
        <f aca="false">IF(B202="","",COUNTIF(Socios!$B:$B,B202))</f>
        <v/>
      </c>
      <c r="R202" s="27" t="str">
        <f aca="false">IF(B202="","",COUNTIFS(Socios!$B:$B,B202,Socios!$L:$L,"SIM"))</f>
        <v/>
      </c>
      <c r="S202" s="24"/>
      <c r="T202" s="11"/>
    </row>
    <row r="203" customFormat="false" ht="15" hidden="false" customHeight="false" outlineLevel="0" collapsed="false">
      <c r="A203" s="24"/>
      <c r="B203" s="31" t="str">
        <f aca="false">IF(A203="","",IF(LEN(UPPER(SUBSTITUTE(SUBSTITUTE(SUBSTITUTE(SUBSTITUTE(TRIM(A203),".",""),"/",""),"-","")," ","")))&lt;14,RIGHT(REPT("0",14)&amp;UPPER(SUBSTITUTE(SUBSTITUTE(SUBSTITUTE(SUBSTITUTE(TRIM(A203),".",""),"/",""),"-","")," ","")),14),UPPER(SUBSTITUTE(SUBSTITUTE(SUBSTITUTE(SUBSTITUTE(TRIM(A203),".",""),"/",""),"-","")," ",""))))</f>
        <v/>
      </c>
      <c r="C203" s="11"/>
      <c r="D203" s="23"/>
      <c r="E203" s="22"/>
      <c r="F203" s="23"/>
      <c r="G203" s="11"/>
      <c r="H203" s="35"/>
      <c r="I203" s="11"/>
      <c r="J203" s="23"/>
      <c r="K203" s="27" t="str">
        <f aca="false">IF(B203="","",COUNTIF(Contratos!$D:$D,B203))</f>
        <v/>
      </c>
      <c r="L203" s="36" t="str">
        <f aca="false">IF(B203="","",SUMIFS(Contratos!$K:$K,Contratos!$D:$D,B203))</f>
        <v/>
      </c>
      <c r="M203" s="36" t="str">
        <f aca="false">IF(B203="","",SUMIFS(Pagamentos!$G:$G,Pagamentos!$D:$D,B203,Pagamentos!$F:$F,"Empenho"))</f>
        <v/>
      </c>
      <c r="N203" s="36" t="str">
        <f aca="false">IF(B203="","",SUMIFS(Pagamentos!$G:$G,Pagamentos!$D:$D,B203,Pagamentos!$F:$F,"Pagamento"))</f>
        <v/>
      </c>
      <c r="O203" s="37" t="str">
        <f aca="false">IF(OR(B203="",H203="",L203="",L203=0),"",H203/L203)</f>
        <v/>
      </c>
      <c r="P203" s="27" t="str">
        <f aca="false">IF(B203="","",COUNTIF(Sancoes!$C:$C,B203))</f>
        <v/>
      </c>
      <c r="Q203" s="27" t="str">
        <f aca="false">IF(B203="","",COUNTIF(Socios!$B:$B,B203))</f>
        <v/>
      </c>
      <c r="R203" s="27" t="str">
        <f aca="false">IF(B203="","",COUNTIFS(Socios!$B:$B,B203,Socios!$L:$L,"SIM"))</f>
        <v/>
      </c>
      <c r="S203" s="24"/>
      <c r="T203" s="11"/>
    </row>
    <row r="204" customFormat="false" ht="15" hidden="false" customHeight="false" outlineLevel="0" collapsed="false">
      <c r="A204" s="24"/>
      <c r="B204" s="31" t="str">
        <f aca="false">IF(A204="","",IF(LEN(UPPER(SUBSTITUTE(SUBSTITUTE(SUBSTITUTE(SUBSTITUTE(TRIM(A204),".",""),"/",""),"-","")," ","")))&lt;14,RIGHT(REPT("0",14)&amp;UPPER(SUBSTITUTE(SUBSTITUTE(SUBSTITUTE(SUBSTITUTE(TRIM(A204),".",""),"/",""),"-","")," ","")),14),UPPER(SUBSTITUTE(SUBSTITUTE(SUBSTITUTE(SUBSTITUTE(TRIM(A204),".",""),"/",""),"-","")," ",""))))</f>
        <v/>
      </c>
      <c r="C204" s="11"/>
      <c r="D204" s="23"/>
      <c r="E204" s="22"/>
      <c r="F204" s="23"/>
      <c r="G204" s="11"/>
      <c r="H204" s="35"/>
      <c r="I204" s="11"/>
      <c r="J204" s="23"/>
      <c r="K204" s="27" t="str">
        <f aca="false">IF(B204="","",COUNTIF(Contratos!$D:$D,B204))</f>
        <v/>
      </c>
      <c r="L204" s="36" t="str">
        <f aca="false">IF(B204="","",SUMIFS(Contratos!$K:$K,Contratos!$D:$D,B204))</f>
        <v/>
      </c>
      <c r="M204" s="36" t="str">
        <f aca="false">IF(B204="","",SUMIFS(Pagamentos!$G:$G,Pagamentos!$D:$D,B204,Pagamentos!$F:$F,"Empenho"))</f>
        <v/>
      </c>
      <c r="N204" s="36" t="str">
        <f aca="false">IF(B204="","",SUMIFS(Pagamentos!$G:$G,Pagamentos!$D:$D,B204,Pagamentos!$F:$F,"Pagamento"))</f>
        <v/>
      </c>
      <c r="O204" s="37" t="str">
        <f aca="false">IF(OR(B204="",H204="",L204="",L204=0),"",H204/L204)</f>
        <v/>
      </c>
      <c r="P204" s="27" t="str">
        <f aca="false">IF(B204="","",COUNTIF(Sancoes!$C:$C,B204))</f>
        <v/>
      </c>
      <c r="Q204" s="27" t="str">
        <f aca="false">IF(B204="","",COUNTIF(Socios!$B:$B,B204))</f>
        <v/>
      </c>
      <c r="R204" s="27" t="str">
        <f aca="false">IF(B204="","",COUNTIFS(Socios!$B:$B,B204,Socios!$L:$L,"SIM"))</f>
        <v/>
      </c>
      <c r="S204" s="24"/>
      <c r="T204" s="11"/>
    </row>
    <row r="205" customFormat="false" ht="15" hidden="false" customHeight="false" outlineLevel="0" collapsed="false">
      <c r="A205" s="24"/>
      <c r="B205" s="31" t="str">
        <f aca="false">IF(A205="","",IF(LEN(UPPER(SUBSTITUTE(SUBSTITUTE(SUBSTITUTE(SUBSTITUTE(TRIM(A205),".",""),"/",""),"-","")," ","")))&lt;14,RIGHT(REPT("0",14)&amp;UPPER(SUBSTITUTE(SUBSTITUTE(SUBSTITUTE(SUBSTITUTE(TRIM(A205),".",""),"/",""),"-","")," ","")),14),UPPER(SUBSTITUTE(SUBSTITUTE(SUBSTITUTE(SUBSTITUTE(TRIM(A205),".",""),"/",""),"-","")," ",""))))</f>
        <v/>
      </c>
      <c r="C205" s="11"/>
      <c r="D205" s="23"/>
      <c r="E205" s="22"/>
      <c r="F205" s="23"/>
      <c r="G205" s="11"/>
      <c r="H205" s="35"/>
      <c r="I205" s="11"/>
      <c r="J205" s="23"/>
      <c r="K205" s="27" t="str">
        <f aca="false">IF(B205="","",COUNTIF(Contratos!$D:$D,B205))</f>
        <v/>
      </c>
      <c r="L205" s="36" t="str">
        <f aca="false">IF(B205="","",SUMIFS(Contratos!$K:$K,Contratos!$D:$D,B205))</f>
        <v/>
      </c>
      <c r="M205" s="36" t="str">
        <f aca="false">IF(B205="","",SUMIFS(Pagamentos!$G:$G,Pagamentos!$D:$D,B205,Pagamentos!$F:$F,"Empenho"))</f>
        <v/>
      </c>
      <c r="N205" s="36" t="str">
        <f aca="false">IF(B205="","",SUMIFS(Pagamentos!$G:$G,Pagamentos!$D:$D,B205,Pagamentos!$F:$F,"Pagamento"))</f>
        <v/>
      </c>
      <c r="O205" s="37" t="str">
        <f aca="false">IF(OR(B205="",H205="",L205="",L205=0),"",H205/L205)</f>
        <v/>
      </c>
      <c r="P205" s="27" t="str">
        <f aca="false">IF(B205="","",COUNTIF(Sancoes!$C:$C,B205))</f>
        <v/>
      </c>
      <c r="Q205" s="27" t="str">
        <f aca="false">IF(B205="","",COUNTIF(Socios!$B:$B,B205))</f>
        <v/>
      </c>
      <c r="R205" s="27" t="str">
        <f aca="false">IF(B205="","",COUNTIFS(Socios!$B:$B,B205,Socios!$L:$L,"SIM"))</f>
        <v/>
      </c>
      <c r="S205" s="24"/>
      <c r="T205" s="11"/>
    </row>
    <row r="206" customFormat="false" ht="15" hidden="false" customHeight="false" outlineLevel="0" collapsed="false">
      <c r="A206" s="24"/>
      <c r="B206" s="31" t="str">
        <f aca="false">IF(A206="","",IF(LEN(UPPER(SUBSTITUTE(SUBSTITUTE(SUBSTITUTE(SUBSTITUTE(TRIM(A206),".",""),"/",""),"-","")," ","")))&lt;14,RIGHT(REPT("0",14)&amp;UPPER(SUBSTITUTE(SUBSTITUTE(SUBSTITUTE(SUBSTITUTE(TRIM(A206),".",""),"/",""),"-","")," ","")),14),UPPER(SUBSTITUTE(SUBSTITUTE(SUBSTITUTE(SUBSTITUTE(TRIM(A206),".",""),"/",""),"-","")," ",""))))</f>
        <v/>
      </c>
      <c r="C206" s="11"/>
      <c r="D206" s="23"/>
      <c r="E206" s="22"/>
      <c r="F206" s="23"/>
      <c r="G206" s="11"/>
      <c r="H206" s="35"/>
      <c r="I206" s="11"/>
      <c r="J206" s="23"/>
      <c r="K206" s="27" t="str">
        <f aca="false">IF(B206="","",COUNTIF(Contratos!$D:$D,B206))</f>
        <v/>
      </c>
      <c r="L206" s="36" t="str">
        <f aca="false">IF(B206="","",SUMIFS(Contratos!$K:$K,Contratos!$D:$D,B206))</f>
        <v/>
      </c>
      <c r="M206" s="36" t="str">
        <f aca="false">IF(B206="","",SUMIFS(Pagamentos!$G:$G,Pagamentos!$D:$D,B206,Pagamentos!$F:$F,"Empenho"))</f>
        <v/>
      </c>
      <c r="N206" s="36" t="str">
        <f aca="false">IF(B206="","",SUMIFS(Pagamentos!$G:$G,Pagamentos!$D:$D,B206,Pagamentos!$F:$F,"Pagamento"))</f>
        <v/>
      </c>
      <c r="O206" s="37" t="str">
        <f aca="false">IF(OR(B206="",H206="",L206="",L206=0),"",H206/L206)</f>
        <v/>
      </c>
      <c r="P206" s="27" t="str">
        <f aca="false">IF(B206="","",COUNTIF(Sancoes!$C:$C,B206))</f>
        <v/>
      </c>
      <c r="Q206" s="27" t="str">
        <f aca="false">IF(B206="","",COUNTIF(Socios!$B:$B,B206))</f>
        <v/>
      </c>
      <c r="R206" s="27" t="str">
        <f aca="false">IF(B206="","",COUNTIFS(Socios!$B:$B,B206,Socios!$L:$L,"SIM"))</f>
        <v/>
      </c>
      <c r="S206" s="24"/>
      <c r="T206" s="11"/>
    </row>
    <row r="207" customFormat="false" ht="15" hidden="false" customHeight="false" outlineLevel="0" collapsed="false">
      <c r="A207" s="24"/>
      <c r="B207" s="31" t="str">
        <f aca="false">IF(A207="","",IF(LEN(UPPER(SUBSTITUTE(SUBSTITUTE(SUBSTITUTE(SUBSTITUTE(TRIM(A207),".",""),"/",""),"-","")," ","")))&lt;14,RIGHT(REPT("0",14)&amp;UPPER(SUBSTITUTE(SUBSTITUTE(SUBSTITUTE(SUBSTITUTE(TRIM(A207),".",""),"/",""),"-","")," ","")),14),UPPER(SUBSTITUTE(SUBSTITUTE(SUBSTITUTE(SUBSTITUTE(TRIM(A207),".",""),"/",""),"-","")," ",""))))</f>
        <v/>
      </c>
      <c r="C207" s="11"/>
      <c r="D207" s="23"/>
      <c r="E207" s="22"/>
      <c r="F207" s="23"/>
      <c r="G207" s="11"/>
      <c r="H207" s="35"/>
      <c r="I207" s="11"/>
      <c r="J207" s="23"/>
      <c r="K207" s="27" t="str">
        <f aca="false">IF(B207="","",COUNTIF(Contratos!$D:$D,B207))</f>
        <v/>
      </c>
      <c r="L207" s="36" t="str">
        <f aca="false">IF(B207="","",SUMIFS(Contratos!$K:$K,Contratos!$D:$D,B207))</f>
        <v/>
      </c>
      <c r="M207" s="36" t="str">
        <f aca="false">IF(B207="","",SUMIFS(Pagamentos!$G:$G,Pagamentos!$D:$D,B207,Pagamentos!$F:$F,"Empenho"))</f>
        <v/>
      </c>
      <c r="N207" s="36" t="str">
        <f aca="false">IF(B207="","",SUMIFS(Pagamentos!$G:$G,Pagamentos!$D:$D,B207,Pagamentos!$F:$F,"Pagamento"))</f>
        <v/>
      </c>
      <c r="O207" s="37" t="str">
        <f aca="false">IF(OR(B207="",H207="",L207="",L207=0),"",H207/L207)</f>
        <v/>
      </c>
      <c r="P207" s="27" t="str">
        <f aca="false">IF(B207="","",COUNTIF(Sancoes!$C:$C,B207))</f>
        <v/>
      </c>
      <c r="Q207" s="27" t="str">
        <f aca="false">IF(B207="","",COUNTIF(Socios!$B:$B,B207))</f>
        <v/>
      </c>
      <c r="R207" s="27" t="str">
        <f aca="false">IF(B207="","",COUNTIFS(Socios!$B:$B,B207,Socios!$L:$L,"SIM"))</f>
        <v/>
      </c>
      <c r="S207" s="24"/>
      <c r="T207" s="11"/>
    </row>
    <row r="208" customFormat="false" ht="15" hidden="false" customHeight="false" outlineLevel="0" collapsed="false">
      <c r="A208" s="24"/>
      <c r="B208" s="31" t="str">
        <f aca="false">IF(A208="","",IF(LEN(UPPER(SUBSTITUTE(SUBSTITUTE(SUBSTITUTE(SUBSTITUTE(TRIM(A208),".",""),"/",""),"-","")," ","")))&lt;14,RIGHT(REPT("0",14)&amp;UPPER(SUBSTITUTE(SUBSTITUTE(SUBSTITUTE(SUBSTITUTE(TRIM(A208),".",""),"/",""),"-","")," ","")),14),UPPER(SUBSTITUTE(SUBSTITUTE(SUBSTITUTE(SUBSTITUTE(TRIM(A208),".",""),"/",""),"-","")," ",""))))</f>
        <v/>
      </c>
      <c r="C208" s="11"/>
      <c r="D208" s="23"/>
      <c r="E208" s="22"/>
      <c r="F208" s="23"/>
      <c r="G208" s="11"/>
      <c r="H208" s="35"/>
      <c r="I208" s="11"/>
      <c r="J208" s="23"/>
      <c r="K208" s="27" t="str">
        <f aca="false">IF(B208="","",COUNTIF(Contratos!$D:$D,B208))</f>
        <v/>
      </c>
      <c r="L208" s="36" t="str">
        <f aca="false">IF(B208="","",SUMIFS(Contratos!$K:$K,Contratos!$D:$D,B208))</f>
        <v/>
      </c>
      <c r="M208" s="36" t="str">
        <f aca="false">IF(B208="","",SUMIFS(Pagamentos!$G:$G,Pagamentos!$D:$D,B208,Pagamentos!$F:$F,"Empenho"))</f>
        <v/>
      </c>
      <c r="N208" s="36" t="str">
        <f aca="false">IF(B208="","",SUMIFS(Pagamentos!$G:$G,Pagamentos!$D:$D,B208,Pagamentos!$F:$F,"Pagamento"))</f>
        <v/>
      </c>
      <c r="O208" s="37" t="str">
        <f aca="false">IF(OR(B208="",H208="",L208="",L208=0),"",H208/L208)</f>
        <v/>
      </c>
      <c r="P208" s="27" t="str">
        <f aca="false">IF(B208="","",COUNTIF(Sancoes!$C:$C,B208))</f>
        <v/>
      </c>
      <c r="Q208" s="27" t="str">
        <f aca="false">IF(B208="","",COUNTIF(Socios!$B:$B,B208))</f>
        <v/>
      </c>
      <c r="R208" s="27" t="str">
        <f aca="false">IF(B208="","",COUNTIFS(Socios!$B:$B,B208,Socios!$L:$L,"SIM"))</f>
        <v/>
      </c>
      <c r="S208" s="24"/>
      <c r="T208" s="11"/>
    </row>
    <row r="209" customFormat="false" ht="15" hidden="false" customHeight="false" outlineLevel="0" collapsed="false">
      <c r="A209" s="24"/>
      <c r="B209" s="31" t="str">
        <f aca="false">IF(A209="","",IF(LEN(UPPER(SUBSTITUTE(SUBSTITUTE(SUBSTITUTE(SUBSTITUTE(TRIM(A209),".",""),"/",""),"-","")," ","")))&lt;14,RIGHT(REPT("0",14)&amp;UPPER(SUBSTITUTE(SUBSTITUTE(SUBSTITUTE(SUBSTITUTE(TRIM(A209),".",""),"/",""),"-","")," ","")),14),UPPER(SUBSTITUTE(SUBSTITUTE(SUBSTITUTE(SUBSTITUTE(TRIM(A209),".",""),"/",""),"-","")," ",""))))</f>
        <v/>
      </c>
      <c r="C209" s="11"/>
      <c r="D209" s="23"/>
      <c r="E209" s="22"/>
      <c r="F209" s="23"/>
      <c r="G209" s="11"/>
      <c r="H209" s="35"/>
      <c r="I209" s="11"/>
      <c r="J209" s="23"/>
      <c r="K209" s="27" t="str">
        <f aca="false">IF(B209="","",COUNTIF(Contratos!$D:$D,B209))</f>
        <v/>
      </c>
      <c r="L209" s="36" t="str">
        <f aca="false">IF(B209="","",SUMIFS(Contratos!$K:$K,Contratos!$D:$D,B209))</f>
        <v/>
      </c>
      <c r="M209" s="36" t="str">
        <f aca="false">IF(B209="","",SUMIFS(Pagamentos!$G:$G,Pagamentos!$D:$D,B209,Pagamentos!$F:$F,"Empenho"))</f>
        <v/>
      </c>
      <c r="N209" s="36" t="str">
        <f aca="false">IF(B209="","",SUMIFS(Pagamentos!$G:$G,Pagamentos!$D:$D,B209,Pagamentos!$F:$F,"Pagamento"))</f>
        <v/>
      </c>
      <c r="O209" s="37" t="str">
        <f aca="false">IF(OR(B209="",H209="",L209="",L209=0),"",H209/L209)</f>
        <v/>
      </c>
      <c r="P209" s="27" t="str">
        <f aca="false">IF(B209="","",COUNTIF(Sancoes!$C:$C,B209))</f>
        <v/>
      </c>
      <c r="Q209" s="27" t="str">
        <f aca="false">IF(B209="","",COUNTIF(Socios!$B:$B,B209))</f>
        <v/>
      </c>
      <c r="R209" s="27" t="str">
        <f aca="false">IF(B209="","",COUNTIFS(Socios!$B:$B,B209,Socios!$L:$L,"SIM"))</f>
        <v/>
      </c>
      <c r="S209" s="24"/>
      <c r="T209" s="11"/>
    </row>
    <row r="210" customFormat="false" ht="15" hidden="false" customHeight="false" outlineLevel="0" collapsed="false">
      <c r="A210" s="24"/>
      <c r="B210" s="31" t="str">
        <f aca="false">IF(A210="","",IF(LEN(UPPER(SUBSTITUTE(SUBSTITUTE(SUBSTITUTE(SUBSTITUTE(TRIM(A210),".",""),"/",""),"-","")," ","")))&lt;14,RIGHT(REPT("0",14)&amp;UPPER(SUBSTITUTE(SUBSTITUTE(SUBSTITUTE(SUBSTITUTE(TRIM(A210),".",""),"/",""),"-","")," ","")),14),UPPER(SUBSTITUTE(SUBSTITUTE(SUBSTITUTE(SUBSTITUTE(TRIM(A210),".",""),"/",""),"-","")," ",""))))</f>
        <v/>
      </c>
      <c r="C210" s="11"/>
      <c r="D210" s="23"/>
      <c r="E210" s="22"/>
      <c r="F210" s="23"/>
      <c r="G210" s="11"/>
      <c r="H210" s="35"/>
      <c r="I210" s="11"/>
      <c r="J210" s="23"/>
      <c r="K210" s="27" t="str">
        <f aca="false">IF(B210="","",COUNTIF(Contratos!$D:$D,B210))</f>
        <v/>
      </c>
      <c r="L210" s="36" t="str">
        <f aca="false">IF(B210="","",SUMIFS(Contratos!$K:$K,Contratos!$D:$D,B210))</f>
        <v/>
      </c>
      <c r="M210" s="36" t="str">
        <f aca="false">IF(B210="","",SUMIFS(Pagamentos!$G:$G,Pagamentos!$D:$D,B210,Pagamentos!$F:$F,"Empenho"))</f>
        <v/>
      </c>
      <c r="N210" s="36" t="str">
        <f aca="false">IF(B210="","",SUMIFS(Pagamentos!$G:$G,Pagamentos!$D:$D,B210,Pagamentos!$F:$F,"Pagamento"))</f>
        <v/>
      </c>
      <c r="O210" s="37" t="str">
        <f aca="false">IF(OR(B210="",H210="",L210="",L210=0),"",H210/L210)</f>
        <v/>
      </c>
      <c r="P210" s="27" t="str">
        <f aca="false">IF(B210="","",COUNTIF(Sancoes!$C:$C,B210))</f>
        <v/>
      </c>
      <c r="Q210" s="27" t="str">
        <f aca="false">IF(B210="","",COUNTIF(Socios!$B:$B,B210))</f>
        <v/>
      </c>
      <c r="R210" s="27" t="str">
        <f aca="false">IF(B210="","",COUNTIFS(Socios!$B:$B,B210,Socios!$L:$L,"SIM"))</f>
        <v/>
      </c>
      <c r="S210" s="24"/>
      <c r="T210" s="11"/>
    </row>
    <row r="211" customFormat="false" ht="15" hidden="false" customHeight="false" outlineLevel="0" collapsed="false">
      <c r="A211" s="24"/>
      <c r="B211" s="31" t="str">
        <f aca="false">IF(A211="","",IF(LEN(UPPER(SUBSTITUTE(SUBSTITUTE(SUBSTITUTE(SUBSTITUTE(TRIM(A211),".",""),"/",""),"-","")," ","")))&lt;14,RIGHT(REPT("0",14)&amp;UPPER(SUBSTITUTE(SUBSTITUTE(SUBSTITUTE(SUBSTITUTE(TRIM(A211),".",""),"/",""),"-","")," ","")),14),UPPER(SUBSTITUTE(SUBSTITUTE(SUBSTITUTE(SUBSTITUTE(TRIM(A211),".",""),"/",""),"-","")," ",""))))</f>
        <v/>
      </c>
      <c r="C211" s="11"/>
      <c r="D211" s="23"/>
      <c r="E211" s="22"/>
      <c r="F211" s="23"/>
      <c r="G211" s="11"/>
      <c r="H211" s="35"/>
      <c r="I211" s="11"/>
      <c r="J211" s="23"/>
      <c r="K211" s="27" t="str">
        <f aca="false">IF(B211="","",COUNTIF(Contratos!$D:$D,B211))</f>
        <v/>
      </c>
      <c r="L211" s="36" t="str">
        <f aca="false">IF(B211="","",SUMIFS(Contratos!$K:$K,Contratos!$D:$D,B211))</f>
        <v/>
      </c>
      <c r="M211" s="36" t="str">
        <f aca="false">IF(B211="","",SUMIFS(Pagamentos!$G:$G,Pagamentos!$D:$D,B211,Pagamentos!$F:$F,"Empenho"))</f>
        <v/>
      </c>
      <c r="N211" s="36" t="str">
        <f aca="false">IF(B211="","",SUMIFS(Pagamentos!$G:$G,Pagamentos!$D:$D,B211,Pagamentos!$F:$F,"Pagamento"))</f>
        <v/>
      </c>
      <c r="O211" s="37" t="str">
        <f aca="false">IF(OR(B211="",H211="",L211="",L211=0),"",H211/L211)</f>
        <v/>
      </c>
      <c r="P211" s="27" t="str">
        <f aca="false">IF(B211="","",COUNTIF(Sancoes!$C:$C,B211))</f>
        <v/>
      </c>
      <c r="Q211" s="27" t="str">
        <f aca="false">IF(B211="","",COUNTIF(Socios!$B:$B,B211))</f>
        <v/>
      </c>
      <c r="R211" s="27" t="str">
        <f aca="false">IF(B211="","",COUNTIFS(Socios!$B:$B,B211,Socios!$L:$L,"SIM"))</f>
        <v/>
      </c>
      <c r="S211" s="24"/>
      <c r="T211" s="11"/>
    </row>
    <row r="212" customFormat="false" ht="15" hidden="false" customHeight="false" outlineLevel="0" collapsed="false">
      <c r="A212" s="24"/>
      <c r="B212" s="31" t="str">
        <f aca="false">IF(A212="","",IF(LEN(UPPER(SUBSTITUTE(SUBSTITUTE(SUBSTITUTE(SUBSTITUTE(TRIM(A212),".",""),"/",""),"-","")," ","")))&lt;14,RIGHT(REPT("0",14)&amp;UPPER(SUBSTITUTE(SUBSTITUTE(SUBSTITUTE(SUBSTITUTE(TRIM(A212),".",""),"/",""),"-","")," ","")),14),UPPER(SUBSTITUTE(SUBSTITUTE(SUBSTITUTE(SUBSTITUTE(TRIM(A212),".",""),"/",""),"-","")," ",""))))</f>
        <v/>
      </c>
      <c r="C212" s="11"/>
      <c r="D212" s="23"/>
      <c r="E212" s="22"/>
      <c r="F212" s="23"/>
      <c r="G212" s="11"/>
      <c r="H212" s="35"/>
      <c r="I212" s="11"/>
      <c r="J212" s="23"/>
      <c r="K212" s="27" t="str">
        <f aca="false">IF(B212="","",COUNTIF(Contratos!$D:$D,B212))</f>
        <v/>
      </c>
      <c r="L212" s="36" t="str">
        <f aca="false">IF(B212="","",SUMIFS(Contratos!$K:$K,Contratos!$D:$D,B212))</f>
        <v/>
      </c>
      <c r="M212" s="36" t="str">
        <f aca="false">IF(B212="","",SUMIFS(Pagamentos!$G:$G,Pagamentos!$D:$D,B212,Pagamentos!$F:$F,"Empenho"))</f>
        <v/>
      </c>
      <c r="N212" s="36" t="str">
        <f aca="false">IF(B212="","",SUMIFS(Pagamentos!$G:$G,Pagamentos!$D:$D,B212,Pagamentos!$F:$F,"Pagamento"))</f>
        <v/>
      </c>
      <c r="O212" s="37" t="str">
        <f aca="false">IF(OR(B212="",H212="",L212="",L212=0),"",H212/L212)</f>
        <v/>
      </c>
      <c r="P212" s="27" t="str">
        <f aca="false">IF(B212="","",COUNTIF(Sancoes!$C:$C,B212))</f>
        <v/>
      </c>
      <c r="Q212" s="27" t="str">
        <f aca="false">IF(B212="","",COUNTIF(Socios!$B:$B,B212))</f>
        <v/>
      </c>
      <c r="R212" s="27" t="str">
        <f aca="false">IF(B212="","",COUNTIFS(Socios!$B:$B,B212,Socios!$L:$L,"SIM"))</f>
        <v/>
      </c>
      <c r="S212" s="24"/>
      <c r="T212" s="11"/>
    </row>
    <row r="213" customFormat="false" ht="15" hidden="false" customHeight="false" outlineLevel="0" collapsed="false">
      <c r="A213" s="24"/>
      <c r="B213" s="31" t="str">
        <f aca="false">IF(A213="","",IF(LEN(UPPER(SUBSTITUTE(SUBSTITUTE(SUBSTITUTE(SUBSTITUTE(TRIM(A213),".",""),"/",""),"-","")," ","")))&lt;14,RIGHT(REPT("0",14)&amp;UPPER(SUBSTITUTE(SUBSTITUTE(SUBSTITUTE(SUBSTITUTE(TRIM(A213),".",""),"/",""),"-","")," ","")),14),UPPER(SUBSTITUTE(SUBSTITUTE(SUBSTITUTE(SUBSTITUTE(TRIM(A213),".",""),"/",""),"-","")," ",""))))</f>
        <v/>
      </c>
      <c r="C213" s="11"/>
      <c r="D213" s="23"/>
      <c r="E213" s="22"/>
      <c r="F213" s="23"/>
      <c r="G213" s="11"/>
      <c r="H213" s="35"/>
      <c r="I213" s="11"/>
      <c r="J213" s="23"/>
      <c r="K213" s="27" t="str">
        <f aca="false">IF(B213="","",COUNTIF(Contratos!$D:$D,B213))</f>
        <v/>
      </c>
      <c r="L213" s="36" t="str">
        <f aca="false">IF(B213="","",SUMIFS(Contratos!$K:$K,Contratos!$D:$D,B213))</f>
        <v/>
      </c>
      <c r="M213" s="36" t="str">
        <f aca="false">IF(B213="","",SUMIFS(Pagamentos!$G:$G,Pagamentos!$D:$D,B213,Pagamentos!$F:$F,"Empenho"))</f>
        <v/>
      </c>
      <c r="N213" s="36" t="str">
        <f aca="false">IF(B213="","",SUMIFS(Pagamentos!$G:$G,Pagamentos!$D:$D,B213,Pagamentos!$F:$F,"Pagamento"))</f>
        <v/>
      </c>
      <c r="O213" s="37" t="str">
        <f aca="false">IF(OR(B213="",H213="",L213="",L213=0),"",H213/L213)</f>
        <v/>
      </c>
      <c r="P213" s="27" t="str">
        <f aca="false">IF(B213="","",COUNTIF(Sancoes!$C:$C,B213))</f>
        <v/>
      </c>
      <c r="Q213" s="27" t="str">
        <f aca="false">IF(B213="","",COUNTIF(Socios!$B:$B,B213))</f>
        <v/>
      </c>
      <c r="R213" s="27" t="str">
        <f aca="false">IF(B213="","",COUNTIFS(Socios!$B:$B,B213,Socios!$L:$L,"SIM"))</f>
        <v/>
      </c>
      <c r="S213" s="24"/>
      <c r="T213" s="11"/>
    </row>
    <row r="214" customFormat="false" ht="15" hidden="false" customHeight="false" outlineLevel="0" collapsed="false">
      <c r="A214" s="24"/>
      <c r="B214" s="31" t="str">
        <f aca="false">IF(A214="","",IF(LEN(UPPER(SUBSTITUTE(SUBSTITUTE(SUBSTITUTE(SUBSTITUTE(TRIM(A214),".",""),"/",""),"-","")," ","")))&lt;14,RIGHT(REPT("0",14)&amp;UPPER(SUBSTITUTE(SUBSTITUTE(SUBSTITUTE(SUBSTITUTE(TRIM(A214),".",""),"/",""),"-","")," ","")),14),UPPER(SUBSTITUTE(SUBSTITUTE(SUBSTITUTE(SUBSTITUTE(TRIM(A214),".",""),"/",""),"-","")," ",""))))</f>
        <v/>
      </c>
      <c r="C214" s="11"/>
      <c r="D214" s="23"/>
      <c r="E214" s="22"/>
      <c r="F214" s="23"/>
      <c r="G214" s="11"/>
      <c r="H214" s="35"/>
      <c r="I214" s="11"/>
      <c r="J214" s="23"/>
      <c r="K214" s="27" t="str">
        <f aca="false">IF(B214="","",COUNTIF(Contratos!$D:$D,B214))</f>
        <v/>
      </c>
      <c r="L214" s="36" t="str">
        <f aca="false">IF(B214="","",SUMIFS(Contratos!$K:$K,Contratos!$D:$D,B214))</f>
        <v/>
      </c>
      <c r="M214" s="36" t="str">
        <f aca="false">IF(B214="","",SUMIFS(Pagamentos!$G:$G,Pagamentos!$D:$D,B214,Pagamentos!$F:$F,"Empenho"))</f>
        <v/>
      </c>
      <c r="N214" s="36" t="str">
        <f aca="false">IF(B214="","",SUMIFS(Pagamentos!$G:$G,Pagamentos!$D:$D,B214,Pagamentos!$F:$F,"Pagamento"))</f>
        <v/>
      </c>
      <c r="O214" s="37" t="str">
        <f aca="false">IF(OR(B214="",H214="",L214="",L214=0),"",H214/L214)</f>
        <v/>
      </c>
      <c r="P214" s="27" t="str">
        <f aca="false">IF(B214="","",COUNTIF(Sancoes!$C:$C,B214))</f>
        <v/>
      </c>
      <c r="Q214" s="27" t="str">
        <f aca="false">IF(B214="","",COUNTIF(Socios!$B:$B,B214))</f>
        <v/>
      </c>
      <c r="R214" s="27" t="str">
        <f aca="false">IF(B214="","",COUNTIFS(Socios!$B:$B,B214,Socios!$L:$L,"SIM"))</f>
        <v/>
      </c>
      <c r="S214" s="24"/>
      <c r="T214" s="11"/>
    </row>
    <row r="215" customFormat="false" ht="15" hidden="false" customHeight="false" outlineLevel="0" collapsed="false">
      <c r="A215" s="24"/>
      <c r="B215" s="31" t="str">
        <f aca="false">IF(A215="","",IF(LEN(UPPER(SUBSTITUTE(SUBSTITUTE(SUBSTITUTE(SUBSTITUTE(TRIM(A215),".",""),"/",""),"-","")," ","")))&lt;14,RIGHT(REPT("0",14)&amp;UPPER(SUBSTITUTE(SUBSTITUTE(SUBSTITUTE(SUBSTITUTE(TRIM(A215),".",""),"/",""),"-","")," ","")),14),UPPER(SUBSTITUTE(SUBSTITUTE(SUBSTITUTE(SUBSTITUTE(TRIM(A215),".",""),"/",""),"-","")," ",""))))</f>
        <v/>
      </c>
      <c r="C215" s="11"/>
      <c r="D215" s="23"/>
      <c r="E215" s="22"/>
      <c r="F215" s="23"/>
      <c r="G215" s="11"/>
      <c r="H215" s="35"/>
      <c r="I215" s="11"/>
      <c r="J215" s="23"/>
      <c r="K215" s="27" t="str">
        <f aca="false">IF(B215="","",COUNTIF(Contratos!$D:$D,B215))</f>
        <v/>
      </c>
      <c r="L215" s="36" t="str">
        <f aca="false">IF(B215="","",SUMIFS(Contratos!$K:$K,Contratos!$D:$D,B215))</f>
        <v/>
      </c>
      <c r="M215" s="36" t="str">
        <f aca="false">IF(B215="","",SUMIFS(Pagamentos!$G:$G,Pagamentos!$D:$D,B215,Pagamentos!$F:$F,"Empenho"))</f>
        <v/>
      </c>
      <c r="N215" s="36" t="str">
        <f aca="false">IF(B215="","",SUMIFS(Pagamentos!$G:$G,Pagamentos!$D:$D,B215,Pagamentos!$F:$F,"Pagamento"))</f>
        <v/>
      </c>
      <c r="O215" s="37" t="str">
        <f aca="false">IF(OR(B215="",H215="",L215="",L215=0),"",H215/L215)</f>
        <v/>
      </c>
      <c r="P215" s="27" t="str">
        <f aca="false">IF(B215="","",COUNTIF(Sancoes!$C:$C,B215))</f>
        <v/>
      </c>
      <c r="Q215" s="27" t="str">
        <f aca="false">IF(B215="","",COUNTIF(Socios!$B:$B,B215))</f>
        <v/>
      </c>
      <c r="R215" s="27" t="str">
        <f aca="false">IF(B215="","",COUNTIFS(Socios!$B:$B,B215,Socios!$L:$L,"SIM"))</f>
        <v/>
      </c>
      <c r="S215" s="24"/>
      <c r="T215" s="11"/>
    </row>
    <row r="216" customFormat="false" ht="15" hidden="false" customHeight="false" outlineLevel="0" collapsed="false">
      <c r="A216" s="24"/>
      <c r="B216" s="31" t="str">
        <f aca="false">IF(A216="","",IF(LEN(UPPER(SUBSTITUTE(SUBSTITUTE(SUBSTITUTE(SUBSTITUTE(TRIM(A216),".",""),"/",""),"-","")," ","")))&lt;14,RIGHT(REPT("0",14)&amp;UPPER(SUBSTITUTE(SUBSTITUTE(SUBSTITUTE(SUBSTITUTE(TRIM(A216),".",""),"/",""),"-","")," ","")),14),UPPER(SUBSTITUTE(SUBSTITUTE(SUBSTITUTE(SUBSTITUTE(TRIM(A216),".",""),"/",""),"-","")," ",""))))</f>
        <v/>
      </c>
      <c r="C216" s="11"/>
      <c r="D216" s="23"/>
      <c r="E216" s="22"/>
      <c r="F216" s="23"/>
      <c r="G216" s="11"/>
      <c r="H216" s="35"/>
      <c r="I216" s="11"/>
      <c r="J216" s="23"/>
      <c r="K216" s="27" t="str">
        <f aca="false">IF(B216="","",COUNTIF(Contratos!$D:$D,B216))</f>
        <v/>
      </c>
      <c r="L216" s="36" t="str">
        <f aca="false">IF(B216="","",SUMIFS(Contratos!$K:$K,Contratos!$D:$D,B216))</f>
        <v/>
      </c>
      <c r="M216" s="36" t="str">
        <f aca="false">IF(B216="","",SUMIFS(Pagamentos!$G:$G,Pagamentos!$D:$D,B216,Pagamentos!$F:$F,"Empenho"))</f>
        <v/>
      </c>
      <c r="N216" s="36" t="str">
        <f aca="false">IF(B216="","",SUMIFS(Pagamentos!$G:$G,Pagamentos!$D:$D,B216,Pagamentos!$F:$F,"Pagamento"))</f>
        <v/>
      </c>
      <c r="O216" s="37" t="str">
        <f aca="false">IF(OR(B216="",H216="",L216="",L216=0),"",H216/L216)</f>
        <v/>
      </c>
      <c r="P216" s="27" t="str">
        <f aca="false">IF(B216="","",COUNTIF(Sancoes!$C:$C,B216))</f>
        <v/>
      </c>
      <c r="Q216" s="27" t="str">
        <f aca="false">IF(B216="","",COUNTIF(Socios!$B:$B,B216))</f>
        <v/>
      </c>
      <c r="R216" s="27" t="str">
        <f aca="false">IF(B216="","",COUNTIFS(Socios!$B:$B,B216,Socios!$L:$L,"SIM"))</f>
        <v/>
      </c>
      <c r="S216" s="24"/>
      <c r="T216" s="11"/>
    </row>
    <row r="217" customFormat="false" ht="15" hidden="false" customHeight="false" outlineLevel="0" collapsed="false">
      <c r="A217" s="24"/>
      <c r="B217" s="31" t="str">
        <f aca="false">IF(A217="","",IF(LEN(UPPER(SUBSTITUTE(SUBSTITUTE(SUBSTITUTE(SUBSTITUTE(TRIM(A217),".",""),"/",""),"-","")," ","")))&lt;14,RIGHT(REPT("0",14)&amp;UPPER(SUBSTITUTE(SUBSTITUTE(SUBSTITUTE(SUBSTITUTE(TRIM(A217),".",""),"/",""),"-","")," ","")),14),UPPER(SUBSTITUTE(SUBSTITUTE(SUBSTITUTE(SUBSTITUTE(TRIM(A217),".",""),"/",""),"-","")," ",""))))</f>
        <v/>
      </c>
      <c r="C217" s="11"/>
      <c r="D217" s="23"/>
      <c r="E217" s="22"/>
      <c r="F217" s="23"/>
      <c r="G217" s="11"/>
      <c r="H217" s="35"/>
      <c r="I217" s="11"/>
      <c r="J217" s="23"/>
      <c r="K217" s="27" t="str">
        <f aca="false">IF(B217="","",COUNTIF(Contratos!$D:$D,B217))</f>
        <v/>
      </c>
      <c r="L217" s="36" t="str">
        <f aca="false">IF(B217="","",SUMIFS(Contratos!$K:$K,Contratos!$D:$D,B217))</f>
        <v/>
      </c>
      <c r="M217" s="36" t="str">
        <f aca="false">IF(B217="","",SUMIFS(Pagamentos!$G:$G,Pagamentos!$D:$D,B217,Pagamentos!$F:$F,"Empenho"))</f>
        <v/>
      </c>
      <c r="N217" s="36" t="str">
        <f aca="false">IF(B217="","",SUMIFS(Pagamentos!$G:$G,Pagamentos!$D:$D,B217,Pagamentos!$F:$F,"Pagamento"))</f>
        <v/>
      </c>
      <c r="O217" s="37" t="str">
        <f aca="false">IF(OR(B217="",H217="",L217="",L217=0),"",H217/L217)</f>
        <v/>
      </c>
      <c r="P217" s="27" t="str">
        <f aca="false">IF(B217="","",COUNTIF(Sancoes!$C:$C,B217))</f>
        <v/>
      </c>
      <c r="Q217" s="27" t="str">
        <f aca="false">IF(B217="","",COUNTIF(Socios!$B:$B,B217))</f>
        <v/>
      </c>
      <c r="R217" s="27" t="str">
        <f aca="false">IF(B217="","",COUNTIFS(Socios!$B:$B,B217,Socios!$L:$L,"SIM"))</f>
        <v/>
      </c>
      <c r="S217" s="24"/>
      <c r="T217" s="11"/>
    </row>
    <row r="218" customFormat="false" ht="15" hidden="false" customHeight="false" outlineLevel="0" collapsed="false">
      <c r="A218" s="24"/>
      <c r="B218" s="31" t="str">
        <f aca="false">IF(A218="","",IF(LEN(UPPER(SUBSTITUTE(SUBSTITUTE(SUBSTITUTE(SUBSTITUTE(TRIM(A218),".",""),"/",""),"-","")," ","")))&lt;14,RIGHT(REPT("0",14)&amp;UPPER(SUBSTITUTE(SUBSTITUTE(SUBSTITUTE(SUBSTITUTE(TRIM(A218),".",""),"/",""),"-","")," ","")),14),UPPER(SUBSTITUTE(SUBSTITUTE(SUBSTITUTE(SUBSTITUTE(TRIM(A218),".",""),"/",""),"-","")," ",""))))</f>
        <v/>
      </c>
      <c r="C218" s="11"/>
      <c r="D218" s="23"/>
      <c r="E218" s="22"/>
      <c r="F218" s="23"/>
      <c r="G218" s="11"/>
      <c r="H218" s="35"/>
      <c r="I218" s="11"/>
      <c r="J218" s="23"/>
      <c r="K218" s="27" t="str">
        <f aca="false">IF(B218="","",COUNTIF(Contratos!$D:$D,B218))</f>
        <v/>
      </c>
      <c r="L218" s="36" t="str">
        <f aca="false">IF(B218="","",SUMIFS(Contratos!$K:$K,Contratos!$D:$D,B218))</f>
        <v/>
      </c>
      <c r="M218" s="36" t="str">
        <f aca="false">IF(B218="","",SUMIFS(Pagamentos!$G:$G,Pagamentos!$D:$D,B218,Pagamentos!$F:$F,"Empenho"))</f>
        <v/>
      </c>
      <c r="N218" s="36" t="str">
        <f aca="false">IF(B218="","",SUMIFS(Pagamentos!$G:$G,Pagamentos!$D:$D,B218,Pagamentos!$F:$F,"Pagamento"))</f>
        <v/>
      </c>
      <c r="O218" s="37" t="str">
        <f aca="false">IF(OR(B218="",H218="",L218="",L218=0),"",H218/L218)</f>
        <v/>
      </c>
      <c r="P218" s="27" t="str">
        <f aca="false">IF(B218="","",COUNTIF(Sancoes!$C:$C,B218))</f>
        <v/>
      </c>
      <c r="Q218" s="27" t="str">
        <f aca="false">IF(B218="","",COUNTIF(Socios!$B:$B,B218))</f>
        <v/>
      </c>
      <c r="R218" s="27" t="str">
        <f aca="false">IF(B218="","",COUNTIFS(Socios!$B:$B,B218,Socios!$L:$L,"SIM"))</f>
        <v/>
      </c>
      <c r="S218" s="24"/>
      <c r="T218" s="11"/>
    </row>
    <row r="219" customFormat="false" ht="15" hidden="false" customHeight="false" outlineLevel="0" collapsed="false">
      <c r="A219" s="24"/>
      <c r="B219" s="31" t="str">
        <f aca="false">IF(A219="","",IF(LEN(UPPER(SUBSTITUTE(SUBSTITUTE(SUBSTITUTE(SUBSTITUTE(TRIM(A219),".",""),"/",""),"-","")," ","")))&lt;14,RIGHT(REPT("0",14)&amp;UPPER(SUBSTITUTE(SUBSTITUTE(SUBSTITUTE(SUBSTITUTE(TRIM(A219),".",""),"/",""),"-","")," ","")),14),UPPER(SUBSTITUTE(SUBSTITUTE(SUBSTITUTE(SUBSTITUTE(TRIM(A219),".",""),"/",""),"-","")," ",""))))</f>
        <v/>
      </c>
      <c r="C219" s="11"/>
      <c r="D219" s="23"/>
      <c r="E219" s="22"/>
      <c r="F219" s="23"/>
      <c r="G219" s="11"/>
      <c r="H219" s="35"/>
      <c r="I219" s="11"/>
      <c r="J219" s="23"/>
      <c r="K219" s="27" t="str">
        <f aca="false">IF(B219="","",COUNTIF(Contratos!$D:$D,B219))</f>
        <v/>
      </c>
      <c r="L219" s="36" t="str">
        <f aca="false">IF(B219="","",SUMIFS(Contratos!$K:$K,Contratos!$D:$D,B219))</f>
        <v/>
      </c>
      <c r="M219" s="36" t="str">
        <f aca="false">IF(B219="","",SUMIFS(Pagamentos!$G:$G,Pagamentos!$D:$D,B219,Pagamentos!$F:$F,"Empenho"))</f>
        <v/>
      </c>
      <c r="N219" s="36" t="str">
        <f aca="false">IF(B219="","",SUMIFS(Pagamentos!$G:$G,Pagamentos!$D:$D,B219,Pagamentos!$F:$F,"Pagamento"))</f>
        <v/>
      </c>
      <c r="O219" s="37" t="str">
        <f aca="false">IF(OR(B219="",H219="",L219="",L219=0),"",H219/L219)</f>
        <v/>
      </c>
      <c r="P219" s="27" t="str">
        <f aca="false">IF(B219="","",COUNTIF(Sancoes!$C:$C,B219))</f>
        <v/>
      </c>
      <c r="Q219" s="27" t="str">
        <f aca="false">IF(B219="","",COUNTIF(Socios!$B:$B,B219))</f>
        <v/>
      </c>
      <c r="R219" s="27" t="str">
        <f aca="false">IF(B219="","",COUNTIFS(Socios!$B:$B,B219,Socios!$L:$L,"SIM"))</f>
        <v/>
      </c>
      <c r="S219" s="24"/>
      <c r="T219" s="11"/>
    </row>
    <row r="220" customFormat="false" ht="15" hidden="false" customHeight="false" outlineLevel="0" collapsed="false">
      <c r="A220" s="24"/>
      <c r="B220" s="31" t="str">
        <f aca="false">IF(A220="","",IF(LEN(UPPER(SUBSTITUTE(SUBSTITUTE(SUBSTITUTE(SUBSTITUTE(TRIM(A220),".",""),"/",""),"-","")," ","")))&lt;14,RIGHT(REPT("0",14)&amp;UPPER(SUBSTITUTE(SUBSTITUTE(SUBSTITUTE(SUBSTITUTE(TRIM(A220),".",""),"/",""),"-","")," ","")),14),UPPER(SUBSTITUTE(SUBSTITUTE(SUBSTITUTE(SUBSTITUTE(TRIM(A220),".",""),"/",""),"-","")," ",""))))</f>
        <v/>
      </c>
      <c r="C220" s="11"/>
      <c r="D220" s="23"/>
      <c r="E220" s="22"/>
      <c r="F220" s="23"/>
      <c r="G220" s="11"/>
      <c r="H220" s="35"/>
      <c r="I220" s="11"/>
      <c r="J220" s="23"/>
      <c r="K220" s="27" t="str">
        <f aca="false">IF(B220="","",COUNTIF(Contratos!$D:$D,B220))</f>
        <v/>
      </c>
      <c r="L220" s="36" t="str">
        <f aca="false">IF(B220="","",SUMIFS(Contratos!$K:$K,Contratos!$D:$D,B220))</f>
        <v/>
      </c>
      <c r="M220" s="36" t="str">
        <f aca="false">IF(B220="","",SUMIFS(Pagamentos!$G:$G,Pagamentos!$D:$D,B220,Pagamentos!$F:$F,"Empenho"))</f>
        <v/>
      </c>
      <c r="N220" s="36" t="str">
        <f aca="false">IF(B220="","",SUMIFS(Pagamentos!$G:$G,Pagamentos!$D:$D,B220,Pagamentos!$F:$F,"Pagamento"))</f>
        <v/>
      </c>
      <c r="O220" s="37" t="str">
        <f aca="false">IF(OR(B220="",H220="",L220="",L220=0),"",H220/L220)</f>
        <v/>
      </c>
      <c r="P220" s="27" t="str">
        <f aca="false">IF(B220="","",COUNTIF(Sancoes!$C:$C,B220))</f>
        <v/>
      </c>
      <c r="Q220" s="27" t="str">
        <f aca="false">IF(B220="","",COUNTIF(Socios!$B:$B,B220))</f>
        <v/>
      </c>
      <c r="R220" s="27" t="str">
        <f aca="false">IF(B220="","",COUNTIFS(Socios!$B:$B,B220,Socios!$L:$L,"SIM"))</f>
        <v/>
      </c>
      <c r="S220" s="24"/>
      <c r="T220" s="11"/>
    </row>
    <row r="221" customFormat="false" ht="15" hidden="false" customHeight="false" outlineLevel="0" collapsed="false">
      <c r="A221" s="24"/>
      <c r="B221" s="31" t="str">
        <f aca="false">IF(A221="","",IF(LEN(UPPER(SUBSTITUTE(SUBSTITUTE(SUBSTITUTE(SUBSTITUTE(TRIM(A221),".",""),"/",""),"-","")," ","")))&lt;14,RIGHT(REPT("0",14)&amp;UPPER(SUBSTITUTE(SUBSTITUTE(SUBSTITUTE(SUBSTITUTE(TRIM(A221),".",""),"/",""),"-","")," ","")),14),UPPER(SUBSTITUTE(SUBSTITUTE(SUBSTITUTE(SUBSTITUTE(TRIM(A221),".",""),"/",""),"-","")," ",""))))</f>
        <v/>
      </c>
      <c r="C221" s="11"/>
      <c r="D221" s="23"/>
      <c r="E221" s="22"/>
      <c r="F221" s="23"/>
      <c r="G221" s="11"/>
      <c r="H221" s="35"/>
      <c r="I221" s="11"/>
      <c r="J221" s="23"/>
      <c r="K221" s="27" t="str">
        <f aca="false">IF(B221="","",COUNTIF(Contratos!$D:$D,B221))</f>
        <v/>
      </c>
      <c r="L221" s="36" t="str">
        <f aca="false">IF(B221="","",SUMIFS(Contratos!$K:$K,Contratos!$D:$D,B221))</f>
        <v/>
      </c>
      <c r="M221" s="36" t="str">
        <f aca="false">IF(B221="","",SUMIFS(Pagamentos!$G:$G,Pagamentos!$D:$D,B221,Pagamentos!$F:$F,"Empenho"))</f>
        <v/>
      </c>
      <c r="N221" s="36" t="str">
        <f aca="false">IF(B221="","",SUMIFS(Pagamentos!$G:$G,Pagamentos!$D:$D,B221,Pagamentos!$F:$F,"Pagamento"))</f>
        <v/>
      </c>
      <c r="O221" s="37" t="str">
        <f aca="false">IF(OR(B221="",H221="",L221="",L221=0),"",H221/L221)</f>
        <v/>
      </c>
      <c r="P221" s="27" t="str">
        <f aca="false">IF(B221="","",COUNTIF(Sancoes!$C:$C,B221))</f>
        <v/>
      </c>
      <c r="Q221" s="27" t="str">
        <f aca="false">IF(B221="","",COUNTIF(Socios!$B:$B,B221))</f>
        <v/>
      </c>
      <c r="R221" s="27" t="str">
        <f aca="false">IF(B221="","",COUNTIFS(Socios!$B:$B,B221,Socios!$L:$L,"SIM"))</f>
        <v/>
      </c>
      <c r="S221" s="24"/>
      <c r="T221" s="11"/>
    </row>
    <row r="222" customFormat="false" ht="15" hidden="false" customHeight="false" outlineLevel="0" collapsed="false">
      <c r="A222" s="24"/>
      <c r="B222" s="31" t="str">
        <f aca="false">IF(A222="","",IF(LEN(UPPER(SUBSTITUTE(SUBSTITUTE(SUBSTITUTE(SUBSTITUTE(TRIM(A222),".",""),"/",""),"-","")," ","")))&lt;14,RIGHT(REPT("0",14)&amp;UPPER(SUBSTITUTE(SUBSTITUTE(SUBSTITUTE(SUBSTITUTE(TRIM(A222),".",""),"/",""),"-","")," ","")),14),UPPER(SUBSTITUTE(SUBSTITUTE(SUBSTITUTE(SUBSTITUTE(TRIM(A222),".",""),"/",""),"-","")," ",""))))</f>
        <v/>
      </c>
      <c r="C222" s="11"/>
      <c r="D222" s="23"/>
      <c r="E222" s="22"/>
      <c r="F222" s="23"/>
      <c r="G222" s="11"/>
      <c r="H222" s="35"/>
      <c r="I222" s="11"/>
      <c r="J222" s="23"/>
      <c r="K222" s="27" t="str">
        <f aca="false">IF(B222="","",COUNTIF(Contratos!$D:$D,B222))</f>
        <v/>
      </c>
      <c r="L222" s="36" t="str">
        <f aca="false">IF(B222="","",SUMIFS(Contratos!$K:$K,Contratos!$D:$D,B222))</f>
        <v/>
      </c>
      <c r="M222" s="36" t="str">
        <f aca="false">IF(B222="","",SUMIFS(Pagamentos!$G:$G,Pagamentos!$D:$D,B222,Pagamentos!$F:$F,"Empenho"))</f>
        <v/>
      </c>
      <c r="N222" s="36" t="str">
        <f aca="false">IF(B222="","",SUMIFS(Pagamentos!$G:$G,Pagamentos!$D:$D,B222,Pagamentos!$F:$F,"Pagamento"))</f>
        <v/>
      </c>
      <c r="O222" s="37" t="str">
        <f aca="false">IF(OR(B222="",H222="",L222="",L222=0),"",H222/L222)</f>
        <v/>
      </c>
      <c r="P222" s="27" t="str">
        <f aca="false">IF(B222="","",COUNTIF(Sancoes!$C:$C,B222))</f>
        <v/>
      </c>
      <c r="Q222" s="27" t="str">
        <f aca="false">IF(B222="","",COUNTIF(Socios!$B:$B,B222))</f>
        <v/>
      </c>
      <c r="R222" s="27" t="str">
        <f aca="false">IF(B222="","",COUNTIFS(Socios!$B:$B,B222,Socios!$L:$L,"SIM"))</f>
        <v/>
      </c>
      <c r="S222" s="24"/>
      <c r="T222" s="11"/>
    </row>
    <row r="223" customFormat="false" ht="15" hidden="false" customHeight="false" outlineLevel="0" collapsed="false">
      <c r="A223" s="24"/>
      <c r="B223" s="31" t="str">
        <f aca="false">IF(A223="","",IF(LEN(UPPER(SUBSTITUTE(SUBSTITUTE(SUBSTITUTE(SUBSTITUTE(TRIM(A223),".",""),"/",""),"-","")," ","")))&lt;14,RIGHT(REPT("0",14)&amp;UPPER(SUBSTITUTE(SUBSTITUTE(SUBSTITUTE(SUBSTITUTE(TRIM(A223),".",""),"/",""),"-","")," ","")),14),UPPER(SUBSTITUTE(SUBSTITUTE(SUBSTITUTE(SUBSTITUTE(TRIM(A223),".",""),"/",""),"-","")," ",""))))</f>
        <v/>
      </c>
      <c r="C223" s="11"/>
      <c r="D223" s="23"/>
      <c r="E223" s="22"/>
      <c r="F223" s="23"/>
      <c r="G223" s="11"/>
      <c r="H223" s="35"/>
      <c r="I223" s="11"/>
      <c r="J223" s="23"/>
      <c r="K223" s="27" t="str">
        <f aca="false">IF(B223="","",COUNTIF(Contratos!$D:$D,B223))</f>
        <v/>
      </c>
      <c r="L223" s="36" t="str">
        <f aca="false">IF(B223="","",SUMIFS(Contratos!$K:$K,Contratos!$D:$D,B223))</f>
        <v/>
      </c>
      <c r="M223" s="36" t="str">
        <f aca="false">IF(B223="","",SUMIFS(Pagamentos!$G:$G,Pagamentos!$D:$D,B223,Pagamentos!$F:$F,"Empenho"))</f>
        <v/>
      </c>
      <c r="N223" s="36" t="str">
        <f aca="false">IF(B223="","",SUMIFS(Pagamentos!$G:$G,Pagamentos!$D:$D,B223,Pagamentos!$F:$F,"Pagamento"))</f>
        <v/>
      </c>
      <c r="O223" s="37" t="str">
        <f aca="false">IF(OR(B223="",H223="",L223="",L223=0),"",H223/L223)</f>
        <v/>
      </c>
      <c r="P223" s="27" t="str">
        <f aca="false">IF(B223="","",COUNTIF(Sancoes!$C:$C,B223))</f>
        <v/>
      </c>
      <c r="Q223" s="27" t="str">
        <f aca="false">IF(B223="","",COUNTIF(Socios!$B:$B,B223))</f>
        <v/>
      </c>
      <c r="R223" s="27" t="str">
        <f aca="false">IF(B223="","",COUNTIFS(Socios!$B:$B,B223,Socios!$L:$L,"SIM"))</f>
        <v/>
      </c>
      <c r="S223" s="24"/>
      <c r="T223" s="11"/>
    </row>
    <row r="224" customFormat="false" ht="15" hidden="false" customHeight="false" outlineLevel="0" collapsed="false">
      <c r="A224" s="24"/>
      <c r="B224" s="31" t="str">
        <f aca="false">IF(A224="","",IF(LEN(UPPER(SUBSTITUTE(SUBSTITUTE(SUBSTITUTE(SUBSTITUTE(TRIM(A224),".",""),"/",""),"-","")," ","")))&lt;14,RIGHT(REPT("0",14)&amp;UPPER(SUBSTITUTE(SUBSTITUTE(SUBSTITUTE(SUBSTITUTE(TRIM(A224),".",""),"/",""),"-","")," ","")),14),UPPER(SUBSTITUTE(SUBSTITUTE(SUBSTITUTE(SUBSTITUTE(TRIM(A224),".",""),"/",""),"-","")," ",""))))</f>
        <v/>
      </c>
      <c r="C224" s="11"/>
      <c r="D224" s="23"/>
      <c r="E224" s="22"/>
      <c r="F224" s="23"/>
      <c r="G224" s="11"/>
      <c r="H224" s="35"/>
      <c r="I224" s="11"/>
      <c r="J224" s="23"/>
      <c r="K224" s="27" t="str">
        <f aca="false">IF(B224="","",COUNTIF(Contratos!$D:$D,B224))</f>
        <v/>
      </c>
      <c r="L224" s="36" t="str">
        <f aca="false">IF(B224="","",SUMIFS(Contratos!$K:$K,Contratos!$D:$D,B224))</f>
        <v/>
      </c>
      <c r="M224" s="36" t="str">
        <f aca="false">IF(B224="","",SUMIFS(Pagamentos!$G:$G,Pagamentos!$D:$D,B224,Pagamentos!$F:$F,"Empenho"))</f>
        <v/>
      </c>
      <c r="N224" s="36" t="str">
        <f aca="false">IF(B224="","",SUMIFS(Pagamentos!$G:$G,Pagamentos!$D:$D,B224,Pagamentos!$F:$F,"Pagamento"))</f>
        <v/>
      </c>
      <c r="O224" s="37" t="str">
        <f aca="false">IF(OR(B224="",H224="",L224="",L224=0),"",H224/L224)</f>
        <v/>
      </c>
      <c r="P224" s="27" t="str">
        <f aca="false">IF(B224="","",COUNTIF(Sancoes!$C:$C,B224))</f>
        <v/>
      </c>
      <c r="Q224" s="27" t="str">
        <f aca="false">IF(B224="","",COUNTIF(Socios!$B:$B,B224))</f>
        <v/>
      </c>
      <c r="R224" s="27" t="str">
        <f aca="false">IF(B224="","",COUNTIFS(Socios!$B:$B,B224,Socios!$L:$L,"SIM"))</f>
        <v/>
      </c>
      <c r="S224" s="24"/>
      <c r="T224" s="11"/>
    </row>
    <row r="225" customFormat="false" ht="15" hidden="false" customHeight="false" outlineLevel="0" collapsed="false">
      <c r="A225" s="24"/>
      <c r="B225" s="31" t="str">
        <f aca="false">IF(A225="","",IF(LEN(UPPER(SUBSTITUTE(SUBSTITUTE(SUBSTITUTE(SUBSTITUTE(TRIM(A225),".",""),"/",""),"-","")," ","")))&lt;14,RIGHT(REPT("0",14)&amp;UPPER(SUBSTITUTE(SUBSTITUTE(SUBSTITUTE(SUBSTITUTE(TRIM(A225),".",""),"/",""),"-","")," ","")),14),UPPER(SUBSTITUTE(SUBSTITUTE(SUBSTITUTE(SUBSTITUTE(TRIM(A225),".",""),"/",""),"-","")," ",""))))</f>
        <v/>
      </c>
      <c r="C225" s="11"/>
      <c r="D225" s="23"/>
      <c r="E225" s="22"/>
      <c r="F225" s="23"/>
      <c r="G225" s="11"/>
      <c r="H225" s="35"/>
      <c r="I225" s="11"/>
      <c r="J225" s="23"/>
      <c r="K225" s="27" t="str">
        <f aca="false">IF(B225="","",COUNTIF(Contratos!$D:$D,B225))</f>
        <v/>
      </c>
      <c r="L225" s="36" t="str">
        <f aca="false">IF(B225="","",SUMIFS(Contratos!$K:$K,Contratos!$D:$D,B225))</f>
        <v/>
      </c>
      <c r="M225" s="36" t="str">
        <f aca="false">IF(B225="","",SUMIFS(Pagamentos!$G:$G,Pagamentos!$D:$D,B225,Pagamentos!$F:$F,"Empenho"))</f>
        <v/>
      </c>
      <c r="N225" s="36" t="str">
        <f aca="false">IF(B225="","",SUMIFS(Pagamentos!$G:$G,Pagamentos!$D:$D,B225,Pagamentos!$F:$F,"Pagamento"))</f>
        <v/>
      </c>
      <c r="O225" s="37" t="str">
        <f aca="false">IF(OR(B225="",H225="",L225="",L225=0),"",H225/L225)</f>
        <v/>
      </c>
      <c r="P225" s="27" t="str">
        <f aca="false">IF(B225="","",COUNTIF(Sancoes!$C:$C,B225))</f>
        <v/>
      </c>
      <c r="Q225" s="27" t="str">
        <f aca="false">IF(B225="","",COUNTIF(Socios!$B:$B,B225))</f>
        <v/>
      </c>
      <c r="R225" s="27" t="str">
        <f aca="false">IF(B225="","",COUNTIFS(Socios!$B:$B,B225,Socios!$L:$L,"SIM"))</f>
        <v/>
      </c>
      <c r="S225" s="24"/>
      <c r="T225" s="11"/>
    </row>
    <row r="226" customFormat="false" ht="15" hidden="false" customHeight="false" outlineLevel="0" collapsed="false">
      <c r="A226" s="24"/>
      <c r="B226" s="31" t="str">
        <f aca="false">IF(A226="","",IF(LEN(UPPER(SUBSTITUTE(SUBSTITUTE(SUBSTITUTE(SUBSTITUTE(TRIM(A226),".",""),"/",""),"-","")," ","")))&lt;14,RIGHT(REPT("0",14)&amp;UPPER(SUBSTITUTE(SUBSTITUTE(SUBSTITUTE(SUBSTITUTE(TRIM(A226),".",""),"/",""),"-","")," ","")),14),UPPER(SUBSTITUTE(SUBSTITUTE(SUBSTITUTE(SUBSTITUTE(TRIM(A226),".",""),"/",""),"-","")," ",""))))</f>
        <v/>
      </c>
      <c r="C226" s="11"/>
      <c r="D226" s="23"/>
      <c r="E226" s="22"/>
      <c r="F226" s="23"/>
      <c r="G226" s="11"/>
      <c r="H226" s="35"/>
      <c r="I226" s="11"/>
      <c r="J226" s="23"/>
      <c r="K226" s="27" t="str">
        <f aca="false">IF(B226="","",COUNTIF(Contratos!$D:$D,B226))</f>
        <v/>
      </c>
      <c r="L226" s="36" t="str">
        <f aca="false">IF(B226="","",SUMIFS(Contratos!$K:$K,Contratos!$D:$D,B226))</f>
        <v/>
      </c>
      <c r="M226" s="36" t="str">
        <f aca="false">IF(B226="","",SUMIFS(Pagamentos!$G:$G,Pagamentos!$D:$D,B226,Pagamentos!$F:$F,"Empenho"))</f>
        <v/>
      </c>
      <c r="N226" s="36" t="str">
        <f aca="false">IF(B226="","",SUMIFS(Pagamentos!$G:$G,Pagamentos!$D:$D,B226,Pagamentos!$F:$F,"Pagamento"))</f>
        <v/>
      </c>
      <c r="O226" s="37" t="str">
        <f aca="false">IF(OR(B226="",H226="",L226="",L226=0),"",H226/L226)</f>
        <v/>
      </c>
      <c r="P226" s="27" t="str">
        <f aca="false">IF(B226="","",COUNTIF(Sancoes!$C:$C,B226))</f>
        <v/>
      </c>
      <c r="Q226" s="27" t="str">
        <f aca="false">IF(B226="","",COUNTIF(Socios!$B:$B,B226))</f>
        <v/>
      </c>
      <c r="R226" s="27" t="str">
        <f aca="false">IF(B226="","",COUNTIFS(Socios!$B:$B,B226,Socios!$L:$L,"SIM"))</f>
        <v/>
      </c>
      <c r="S226" s="24"/>
      <c r="T226" s="11"/>
    </row>
    <row r="227" customFormat="false" ht="15" hidden="false" customHeight="false" outlineLevel="0" collapsed="false">
      <c r="A227" s="24"/>
      <c r="B227" s="31" t="str">
        <f aca="false">IF(A227="","",IF(LEN(UPPER(SUBSTITUTE(SUBSTITUTE(SUBSTITUTE(SUBSTITUTE(TRIM(A227),".",""),"/",""),"-","")," ","")))&lt;14,RIGHT(REPT("0",14)&amp;UPPER(SUBSTITUTE(SUBSTITUTE(SUBSTITUTE(SUBSTITUTE(TRIM(A227),".",""),"/",""),"-","")," ","")),14),UPPER(SUBSTITUTE(SUBSTITUTE(SUBSTITUTE(SUBSTITUTE(TRIM(A227),".",""),"/",""),"-","")," ",""))))</f>
        <v/>
      </c>
      <c r="C227" s="11"/>
      <c r="D227" s="23"/>
      <c r="E227" s="22"/>
      <c r="F227" s="23"/>
      <c r="G227" s="11"/>
      <c r="H227" s="35"/>
      <c r="I227" s="11"/>
      <c r="J227" s="23"/>
      <c r="K227" s="27" t="str">
        <f aca="false">IF(B227="","",COUNTIF(Contratos!$D:$D,B227))</f>
        <v/>
      </c>
      <c r="L227" s="36" t="str">
        <f aca="false">IF(B227="","",SUMIFS(Contratos!$K:$K,Contratos!$D:$D,B227))</f>
        <v/>
      </c>
      <c r="M227" s="36" t="str">
        <f aca="false">IF(B227="","",SUMIFS(Pagamentos!$G:$G,Pagamentos!$D:$D,B227,Pagamentos!$F:$F,"Empenho"))</f>
        <v/>
      </c>
      <c r="N227" s="36" t="str">
        <f aca="false">IF(B227="","",SUMIFS(Pagamentos!$G:$G,Pagamentos!$D:$D,B227,Pagamentos!$F:$F,"Pagamento"))</f>
        <v/>
      </c>
      <c r="O227" s="37" t="str">
        <f aca="false">IF(OR(B227="",H227="",L227="",L227=0),"",H227/L227)</f>
        <v/>
      </c>
      <c r="P227" s="27" t="str">
        <f aca="false">IF(B227="","",COUNTIF(Sancoes!$C:$C,B227))</f>
        <v/>
      </c>
      <c r="Q227" s="27" t="str">
        <f aca="false">IF(B227="","",COUNTIF(Socios!$B:$B,B227))</f>
        <v/>
      </c>
      <c r="R227" s="27" t="str">
        <f aca="false">IF(B227="","",COUNTIFS(Socios!$B:$B,B227,Socios!$L:$L,"SIM"))</f>
        <v/>
      </c>
      <c r="S227" s="24"/>
      <c r="T227" s="11"/>
    </row>
    <row r="228" customFormat="false" ht="15" hidden="false" customHeight="false" outlineLevel="0" collapsed="false">
      <c r="A228" s="24"/>
      <c r="B228" s="31" t="str">
        <f aca="false">IF(A228="","",IF(LEN(UPPER(SUBSTITUTE(SUBSTITUTE(SUBSTITUTE(SUBSTITUTE(TRIM(A228),".",""),"/",""),"-","")," ","")))&lt;14,RIGHT(REPT("0",14)&amp;UPPER(SUBSTITUTE(SUBSTITUTE(SUBSTITUTE(SUBSTITUTE(TRIM(A228),".",""),"/",""),"-","")," ","")),14),UPPER(SUBSTITUTE(SUBSTITUTE(SUBSTITUTE(SUBSTITUTE(TRIM(A228),".",""),"/",""),"-","")," ",""))))</f>
        <v/>
      </c>
      <c r="C228" s="11"/>
      <c r="D228" s="23"/>
      <c r="E228" s="22"/>
      <c r="F228" s="23"/>
      <c r="G228" s="11"/>
      <c r="H228" s="35"/>
      <c r="I228" s="11"/>
      <c r="J228" s="23"/>
      <c r="K228" s="27" t="str">
        <f aca="false">IF(B228="","",COUNTIF(Contratos!$D:$D,B228))</f>
        <v/>
      </c>
      <c r="L228" s="36" t="str">
        <f aca="false">IF(B228="","",SUMIFS(Contratos!$K:$K,Contratos!$D:$D,B228))</f>
        <v/>
      </c>
      <c r="M228" s="36" t="str">
        <f aca="false">IF(B228="","",SUMIFS(Pagamentos!$G:$G,Pagamentos!$D:$D,B228,Pagamentos!$F:$F,"Empenho"))</f>
        <v/>
      </c>
      <c r="N228" s="36" t="str">
        <f aca="false">IF(B228="","",SUMIFS(Pagamentos!$G:$G,Pagamentos!$D:$D,B228,Pagamentos!$F:$F,"Pagamento"))</f>
        <v/>
      </c>
      <c r="O228" s="37" t="str">
        <f aca="false">IF(OR(B228="",H228="",L228="",L228=0),"",H228/L228)</f>
        <v/>
      </c>
      <c r="P228" s="27" t="str">
        <f aca="false">IF(B228="","",COUNTIF(Sancoes!$C:$C,B228))</f>
        <v/>
      </c>
      <c r="Q228" s="27" t="str">
        <f aca="false">IF(B228="","",COUNTIF(Socios!$B:$B,B228))</f>
        <v/>
      </c>
      <c r="R228" s="27" t="str">
        <f aca="false">IF(B228="","",COUNTIFS(Socios!$B:$B,B228,Socios!$L:$L,"SIM"))</f>
        <v/>
      </c>
      <c r="S228" s="24"/>
      <c r="T228" s="11"/>
    </row>
    <row r="229" customFormat="false" ht="15" hidden="false" customHeight="false" outlineLevel="0" collapsed="false">
      <c r="A229" s="24"/>
      <c r="B229" s="31" t="str">
        <f aca="false">IF(A229="","",IF(LEN(UPPER(SUBSTITUTE(SUBSTITUTE(SUBSTITUTE(SUBSTITUTE(TRIM(A229),".",""),"/",""),"-","")," ","")))&lt;14,RIGHT(REPT("0",14)&amp;UPPER(SUBSTITUTE(SUBSTITUTE(SUBSTITUTE(SUBSTITUTE(TRIM(A229),".",""),"/",""),"-","")," ","")),14),UPPER(SUBSTITUTE(SUBSTITUTE(SUBSTITUTE(SUBSTITUTE(TRIM(A229),".",""),"/",""),"-","")," ",""))))</f>
        <v/>
      </c>
      <c r="C229" s="11"/>
      <c r="D229" s="23"/>
      <c r="E229" s="22"/>
      <c r="F229" s="23"/>
      <c r="G229" s="11"/>
      <c r="H229" s="35"/>
      <c r="I229" s="11"/>
      <c r="J229" s="23"/>
      <c r="K229" s="27" t="str">
        <f aca="false">IF(B229="","",COUNTIF(Contratos!$D:$D,B229))</f>
        <v/>
      </c>
      <c r="L229" s="36" t="str">
        <f aca="false">IF(B229="","",SUMIFS(Contratos!$K:$K,Contratos!$D:$D,B229))</f>
        <v/>
      </c>
      <c r="M229" s="36" t="str">
        <f aca="false">IF(B229="","",SUMIFS(Pagamentos!$G:$G,Pagamentos!$D:$D,B229,Pagamentos!$F:$F,"Empenho"))</f>
        <v/>
      </c>
      <c r="N229" s="36" t="str">
        <f aca="false">IF(B229="","",SUMIFS(Pagamentos!$G:$G,Pagamentos!$D:$D,B229,Pagamentos!$F:$F,"Pagamento"))</f>
        <v/>
      </c>
      <c r="O229" s="37" t="str">
        <f aca="false">IF(OR(B229="",H229="",L229="",L229=0),"",H229/L229)</f>
        <v/>
      </c>
      <c r="P229" s="27" t="str">
        <f aca="false">IF(B229="","",COUNTIF(Sancoes!$C:$C,B229))</f>
        <v/>
      </c>
      <c r="Q229" s="27" t="str">
        <f aca="false">IF(B229="","",COUNTIF(Socios!$B:$B,B229))</f>
        <v/>
      </c>
      <c r="R229" s="27" t="str">
        <f aca="false">IF(B229="","",COUNTIFS(Socios!$B:$B,B229,Socios!$L:$L,"SIM"))</f>
        <v/>
      </c>
      <c r="S229" s="24"/>
      <c r="T229" s="11"/>
    </row>
    <row r="230" customFormat="false" ht="15" hidden="false" customHeight="false" outlineLevel="0" collapsed="false">
      <c r="A230" s="24"/>
      <c r="B230" s="31" t="str">
        <f aca="false">IF(A230="","",IF(LEN(UPPER(SUBSTITUTE(SUBSTITUTE(SUBSTITUTE(SUBSTITUTE(TRIM(A230),".",""),"/",""),"-","")," ","")))&lt;14,RIGHT(REPT("0",14)&amp;UPPER(SUBSTITUTE(SUBSTITUTE(SUBSTITUTE(SUBSTITUTE(TRIM(A230),".",""),"/",""),"-","")," ","")),14),UPPER(SUBSTITUTE(SUBSTITUTE(SUBSTITUTE(SUBSTITUTE(TRIM(A230),".",""),"/",""),"-","")," ",""))))</f>
        <v/>
      </c>
      <c r="C230" s="11"/>
      <c r="D230" s="23"/>
      <c r="E230" s="22"/>
      <c r="F230" s="23"/>
      <c r="G230" s="11"/>
      <c r="H230" s="35"/>
      <c r="I230" s="11"/>
      <c r="J230" s="23"/>
      <c r="K230" s="27" t="str">
        <f aca="false">IF(B230="","",COUNTIF(Contratos!$D:$D,B230))</f>
        <v/>
      </c>
      <c r="L230" s="36" t="str">
        <f aca="false">IF(B230="","",SUMIFS(Contratos!$K:$K,Contratos!$D:$D,B230))</f>
        <v/>
      </c>
      <c r="M230" s="36" t="str">
        <f aca="false">IF(B230="","",SUMIFS(Pagamentos!$G:$G,Pagamentos!$D:$D,B230,Pagamentos!$F:$F,"Empenho"))</f>
        <v/>
      </c>
      <c r="N230" s="36" t="str">
        <f aca="false">IF(B230="","",SUMIFS(Pagamentos!$G:$G,Pagamentos!$D:$D,B230,Pagamentos!$F:$F,"Pagamento"))</f>
        <v/>
      </c>
      <c r="O230" s="37" t="str">
        <f aca="false">IF(OR(B230="",H230="",L230="",L230=0),"",H230/L230)</f>
        <v/>
      </c>
      <c r="P230" s="27" t="str">
        <f aca="false">IF(B230="","",COUNTIF(Sancoes!$C:$C,B230))</f>
        <v/>
      </c>
      <c r="Q230" s="27" t="str">
        <f aca="false">IF(B230="","",COUNTIF(Socios!$B:$B,B230))</f>
        <v/>
      </c>
      <c r="R230" s="27" t="str">
        <f aca="false">IF(B230="","",COUNTIFS(Socios!$B:$B,B230,Socios!$L:$L,"SIM"))</f>
        <v/>
      </c>
      <c r="S230" s="24"/>
      <c r="T230" s="11"/>
    </row>
    <row r="231" customFormat="false" ht="15" hidden="false" customHeight="false" outlineLevel="0" collapsed="false">
      <c r="A231" s="24"/>
      <c r="B231" s="31" t="str">
        <f aca="false">IF(A231="","",IF(LEN(UPPER(SUBSTITUTE(SUBSTITUTE(SUBSTITUTE(SUBSTITUTE(TRIM(A231),".",""),"/",""),"-","")," ","")))&lt;14,RIGHT(REPT("0",14)&amp;UPPER(SUBSTITUTE(SUBSTITUTE(SUBSTITUTE(SUBSTITUTE(TRIM(A231),".",""),"/",""),"-","")," ","")),14),UPPER(SUBSTITUTE(SUBSTITUTE(SUBSTITUTE(SUBSTITUTE(TRIM(A231),".",""),"/",""),"-","")," ",""))))</f>
        <v/>
      </c>
      <c r="C231" s="11"/>
      <c r="D231" s="23"/>
      <c r="E231" s="22"/>
      <c r="F231" s="23"/>
      <c r="G231" s="11"/>
      <c r="H231" s="35"/>
      <c r="I231" s="11"/>
      <c r="J231" s="23"/>
      <c r="K231" s="27" t="str">
        <f aca="false">IF(B231="","",COUNTIF(Contratos!$D:$D,B231))</f>
        <v/>
      </c>
      <c r="L231" s="36" t="str">
        <f aca="false">IF(B231="","",SUMIFS(Contratos!$K:$K,Contratos!$D:$D,B231))</f>
        <v/>
      </c>
      <c r="M231" s="36" t="str">
        <f aca="false">IF(B231="","",SUMIFS(Pagamentos!$G:$G,Pagamentos!$D:$D,B231,Pagamentos!$F:$F,"Empenho"))</f>
        <v/>
      </c>
      <c r="N231" s="36" t="str">
        <f aca="false">IF(B231="","",SUMIFS(Pagamentos!$G:$G,Pagamentos!$D:$D,B231,Pagamentos!$F:$F,"Pagamento"))</f>
        <v/>
      </c>
      <c r="O231" s="37" t="str">
        <f aca="false">IF(OR(B231="",H231="",L231="",L231=0),"",H231/L231)</f>
        <v/>
      </c>
      <c r="P231" s="27" t="str">
        <f aca="false">IF(B231="","",COUNTIF(Sancoes!$C:$C,B231))</f>
        <v/>
      </c>
      <c r="Q231" s="27" t="str">
        <f aca="false">IF(B231="","",COUNTIF(Socios!$B:$B,B231))</f>
        <v/>
      </c>
      <c r="R231" s="27" t="str">
        <f aca="false">IF(B231="","",COUNTIFS(Socios!$B:$B,B231,Socios!$L:$L,"SIM"))</f>
        <v/>
      </c>
      <c r="S231" s="24"/>
      <c r="T231" s="11"/>
    </row>
    <row r="232" customFormat="false" ht="15" hidden="false" customHeight="false" outlineLevel="0" collapsed="false">
      <c r="A232" s="24"/>
      <c r="B232" s="31" t="str">
        <f aca="false">IF(A232="","",IF(LEN(UPPER(SUBSTITUTE(SUBSTITUTE(SUBSTITUTE(SUBSTITUTE(TRIM(A232),".",""),"/",""),"-","")," ","")))&lt;14,RIGHT(REPT("0",14)&amp;UPPER(SUBSTITUTE(SUBSTITUTE(SUBSTITUTE(SUBSTITUTE(TRIM(A232),".",""),"/",""),"-","")," ","")),14),UPPER(SUBSTITUTE(SUBSTITUTE(SUBSTITUTE(SUBSTITUTE(TRIM(A232),".",""),"/",""),"-","")," ",""))))</f>
        <v/>
      </c>
      <c r="C232" s="11"/>
      <c r="D232" s="23"/>
      <c r="E232" s="22"/>
      <c r="F232" s="23"/>
      <c r="G232" s="11"/>
      <c r="H232" s="35"/>
      <c r="I232" s="11"/>
      <c r="J232" s="23"/>
      <c r="K232" s="27" t="str">
        <f aca="false">IF(B232="","",COUNTIF(Contratos!$D:$D,B232))</f>
        <v/>
      </c>
      <c r="L232" s="36" t="str">
        <f aca="false">IF(B232="","",SUMIFS(Contratos!$K:$K,Contratos!$D:$D,B232))</f>
        <v/>
      </c>
      <c r="M232" s="36" t="str">
        <f aca="false">IF(B232="","",SUMIFS(Pagamentos!$G:$G,Pagamentos!$D:$D,B232,Pagamentos!$F:$F,"Empenho"))</f>
        <v/>
      </c>
      <c r="N232" s="36" t="str">
        <f aca="false">IF(B232="","",SUMIFS(Pagamentos!$G:$G,Pagamentos!$D:$D,B232,Pagamentos!$F:$F,"Pagamento"))</f>
        <v/>
      </c>
      <c r="O232" s="37" t="str">
        <f aca="false">IF(OR(B232="",H232="",L232="",L232=0),"",H232/L232)</f>
        <v/>
      </c>
      <c r="P232" s="27" t="str">
        <f aca="false">IF(B232="","",COUNTIF(Sancoes!$C:$C,B232))</f>
        <v/>
      </c>
      <c r="Q232" s="27" t="str">
        <f aca="false">IF(B232="","",COUNTIF(Socios!$B:$B,B232))</f>
        <v/>
      </c>
      <c r="R232" s="27" t="str">
        <f aca="false">IF(B232="","",COUNTIFS(Socios!$B:$B,B232,Socios!$L:$L,"SIM"))</f>
        <v/>
      </c>
      <c r="S232" s="24"/>
      <c r="T232" s="11"/>
    </row>
    <row r="233" customFormat="false" ht="15" hidden="false" customHeight="false" outlineLevel="0" collapsed="false">
      <c r="A233" s="24"/>
      <c r="B233" s="31" t="str">
        <f aca="false">IF(A233="","",IF(LEN(UPPER(SUBSTITUTE(SUBSTITUTE(SUBSTITUTE(SUBSTITUTE(TRIM(A233),".",""),"/",""),"-","")," ","")))&lt;14,RIGHT(REPT("0",14)&amp;UPPER(SUBSTITUTE(SUBSTITUTE(SUBSTITUTE(SUBSTITUTE(TRIM(A233),".",""),"/",""),"-","")," ","")),14),UPPER(SUBSTITUTE(SUBSTITUTE(SUBSTITUTE(SUBSTITUTE(TRIM(A233),".",""),"/",""),"-","")," ",""))))</f>
        <v/>
      </c>
      <c r="C233" s="11"/>
      <c r="D233" s="23"/>
      <c r="E233" s="22"/>
      <c r="F233" s="23"/>
      <c r="G233" s="11"/>
      <c r="H233" s="35"/>
      <c r="I233" s="11"/>
      <c r="J233" s="23"/>
      <c r="K233" s="27" t="str">
        <f aca="false">IF(B233="","",COUNTIF(Contratos!$D:$D,B233))</f>
        <v/>
      </c>
      <c r="L233" s="36" t="str">
        <f aca="false">IF(B233="","",SUMIFS(Contratos!$K:$K,Contratos!$D:$D,B233))</f>
        <v/>
      </c>
      <c r="M233" s="36" t="str">
        <f aca="false">IF(B233="","",SUMIFS(Pagamentos!$G:$G,Pagamentos!$D:$D,B233,Pagamentos!$F:$F,"Empenho"))</f>
        <v/>
      </c>
      <c r="N233" s="36" t="str">
        <f aca="false">IF(B233="","",SUMIFS(Pagamentos!$G:$G,Pagamentos!$D:$D,B233,Pagamentos!$F:$F,"Pagamento"))</f>
        <v/>
      </c>
      <c r="O233" s="37" t="str">
        <f aca="false">IF(OR(B233="",H233="",L233="",L233=0),"",H233/L233)</f>
        <v/>
      </c>
      <c r="P233" s="27" t="str">
        <f aca="false">IF(B233="","",COUNTIF(Sancoes!$C:$C,B233))</f>
        <v/>
      </c>
      <c r="Q233" s="27" t="str">
        <f aca="false">IF(B233="","",COUNTIF(Socios!$B:$B,B233))</f>
        <v/>
      </c>
      <c r="R233" s="27" t="str">
        <f aca="false">IF(B233="","",COUNTIFS(Socios!$B:$B,B233,Socios!$L:$L,"SIM"))</f>
        <v/>
      </c>
      <c r="S233" s="24"/>
      <c r="T233" s="11"/>
    </row>
    <row r="234" customFormat="false" ht="15" hidden="false" customHeight="false" outlineLevel="0" collapsed="false">
      <c r="A234" s="24"/>
      <c r="B234" s="31" t="str">
        <f aca="false">IF(A234="","",IF(LEN(UPPER(SUBSTITUTE(SUBSTITUTE(SUBSTITUTE(SUBSTITUTE(TRIM(A234),".",""),"/",""),"-","")," ","")))&lt;14,RIGHT(REPT("0",14)&amp;UPPER(SUBSTITUTE(SUBSTITUTE(SUBSTITUTE(SUBSTITUTE(TRIM(A234),".",""),"/",""),"-","")," ","")),14),UPPER(SUBSTITUTE(SUBSTITUTE(SUBSTITUTE(SUBSTITUTE(TRIM(A234),".",""),"/",""),"-","")," ",""))))</f>
        <v/>
      </c>
      <c r="C234" s="11"/>
      <c r="D234" s="23"/>
      <c r="E234" s="22"/>
      <c r="F234" s="23"/>
      <c r="G234" s="11"/>
      <c r="H234" s="35"/>
      <c r="I234" s="11"/>
      <c r="J234" s="23"/>
      <c r="K234" s="27" t="str">
        <f aca="false">IF(B234="","",COUNTIF(Contratos!$D:$D,B234))</f>
        <v/>
      </c>
      <c r="L234" s="36" t="str">
        <f aca="false">IF(B234="","",SUMIFS(Contratos!$K:$K,Contratos!$D:$D,B234))</f>
        <v/>
      </c>
      <c r="M234" s="36" t="str">
        <f aca="false">IF(B234="","",SUMIFS(Pagamentos!$G:$G,Pagamentos!$D:$D,B234,Pagamentos!$F:$F,"Empenho"))</f>
        <v/>
      </c>
      <c r="N234" s="36" t="str">
        <f aca="false">IF(B234="","",SUMIFS(Pagamentos!$G:$G,Pagamentos!$D:$D,B234,Pagamentos!$F:$F,"Pagamento"))</f>
        <v/>
      </c>
      <c r="O234" s="37" t="str">
        <f aca="false">IF(OR(B234="",H234="",L234="",L234=0),"",H234/L234)</f>
        <v/>
      </c>
      <c r="P234" s="27" t="str">
        <f aca="false">IF(B234="","",COUNTIF(Sancoes!$C:$C,B234))</f>
        <v/>
      </c>
      <c r="Q234" s="27" t="str">
        <f aca="false">IF(B234="","",COUNTIF(Socios!$B:$B,B234))</f>
        <v/>
      </c>
      <c r="R234" s="27" t="str">
        <f aca="false">IF(B234="","",COUNTIFS(Socios!$B:$B,B234,Socios!$L:$L,"SIM"))</f>
        <v/>
      </c>
      <c r="S234" s="24"/>
      <c r="T234" s="11"/>
    </row>
    <row r="235" customFormat="false" ht="15" hidden="false" customHeight="false" outlineLevel="0" collapsed="false">
      <c r="A235" s="24"/>
      <c r="B235" s="31" t="str">
        <f aca="false">IF(A235="","",IF(LEN(UPPER(SUBSTITUTE(SUBSTITUTE(SUBSTITUTE(SUBSTITUTE(TRIM(A235),".",""),"/",""),"-","")," ","")))&lt;14,RIGHT(REPT("0",14)&amp;UPPER(SUBSTITUTE(SUBSTITUTE(SUBSTITUTE(SUBSTITUTE(TRIM(A235),".",""),"/",""),"-","")," ","")),14),UPPER(SUBSTITUTE(SUBSTITUTE(SUBSTITUTE(SUBSTITUTE(TRIM(A235),".",""),"/",""),"-","")," ",""))))</f>
        <v/>
      </c>
      <c r="C235" s="11"/>
      <c r="D235" s="23"/>
      <c r="E235" s="22"/>
      <c r="F235" s="23"/>
      <c r="G235" s="11"/>
      <c r="H235" s="35"/>
      <c r="I235" s="11"/>
      <c r="J235" s="23"/>
      <c r="K235" s="27" t="str">
        <f aca="false">IF(B235="","",COUNTIF(Contratos!$D:$D,B235))</f>
        <v/>
      </c>
      <c r="L235" s="36" t="str">
        <f aca="false">IF(B235="","",SUMIFS(Contratos!$K:$K,Contratos!$D:$D,B235))</f>
        <v/>
      </c>
      <c r="M235" s="36" t="str">
        <f aca="false">IF(B235="","",SUMIFS(Pagamentos!$G:$G,Pagamentos!$D:$D,B235,Pagamentos!$F:$F,"Empenho"))</f>
        <v/>
      </c>
      <c r="N235" s="36" t="str">
        <f aca="false">IF(B235="","",SUMIFS(Pagamentos!$G:$G,Pagamentos!$D:$D,B235,Pagamentos!$F:$F,"Pagamento"))</f>
        <v/>
      </c>
      <c r="O235" s="37" t="str">
        <f aca="false">IF(OR(B235="",H235="",L235="",L235=0),"",H235/L235)</f>
        <v/>
      </c>
      <c r="P235" s="27" t="str">
        <f aca="false">IF(B235="","",COUNTIF(Sancoes!$C:$C,B235))</f>
        <v/>
      </c>
      <c r="Q235" s="27" t="str">
        <f aca="false">IF(B235="","",COUNTIF(Socios!$B:$B,B235))</f>
        <v/>
      </c>
      <c r="R235" s="27" t="str">
        <f aca="false">IF(B235="","",COUNTIFS(Socios!$B:$B,B235,Socios!$L:$L,"SIM"))</f>
        <v/>
      </c>
      <c r="S235" s="24"/>
      <c r="T235" s="11"/>
    </row>
    <row r="236" customFormat="false" ht="15" hidden="false" customHeight="false" outlineLevel="0" collapsed="false">
      <c r="A236" s="24"/>
      <c r="B236" s="31" t="str">
        <f aca="false">IF(A236="","",IF(LEN(UPPER(SUBSTITUTE(SUBSTITUTE(SUBSTITUTE(SUBSTITUTE(TRIM(A236),".",""),"/",""),"-","")," ","")))&lt;14,RIGHT(REPT("0",14)&amp;UPPER(SUBSTITUTE(SUBSTITUTE(SUBSTITUTE(SUBSTITUTE(TRIM(A236),".",""),"/",""),"-","")," ","")),14),UPPER(SUBSTITUTE(SUBSTITUTE(SUBSTITUTE(SUBSTITUTE(TRIM(A236),".",""),"/",""),"-","")," ",""))))</f>
        <v/>
      </c>
      <c r="C236" s="11"/>
      <c r="D236" s="23"/>
      <c r="E236" s="22"/>
      <c r="F236" s="23"/>
      <c r="G236" s="11"/>
      <c r="H236" s="35"/>
      <c r="I236" s="11"/>
      <c r="J236" s="23"/>
      <c r="K236" s="27" t="str">
        <f aca="false">IF(B236="","",COUNTIF(Contratos!$D:$D,B236))</f>
        <v/>
      </c>
      <c r="L236" s="36" t="str">
        <f aca="false">IF(B236="","",SUMIFS(Contratos!$K:$K,Contratos!$D:$D,B236))</f>
        <v/>
      </c>
      <c r="M236" s="36" t="str">
        <f aca="false">IF(B236="","",SUMIFS(Pagamentos!$G:$G,Pagamentos!$D:$D,B236,Pagamentos!$F:$F,"Empenho"))</f>
        <v/>
      </c>
      <c r="N236" s="36" t="str">
        <f aca="false">IF(B236="","",SUMIFS(Pagamentos!$G:$G,Pagamentos!$D:$D,B236,Pagamentos!$F:$F,"Pagamento"))</f>
        <v/>
      </c>
      <c r="O236" s="37" t="str">
        <f aca="false">IF(OR(B236="",H236="",L236="",L236=0),"",H236/L236)</f>
        <v/>
      </c>
      <c r="P236" s="27" t="str">
        <f aca="false">IF(B236="","",COUNTIF(Sancoes!$C:$C,B236))</f>
        <v/>
      </c>
      <c r="Q236" s="27" t="str">
        <f aca="false">IF(B236="","",COUNTIF(Socios!$B:$B,B236))</f>
        <v/>
      </c>
      <c r="R236" s="27" t="str">
        <f aca="false">IF(B236="","",COUNTIFS(Socios!$B:$B,B236,Socios!$L:$L,"SIM"))</f>
        <v/>
      </c>
      <c r="S236" s="24"/>
      <c r="T236" s="11"/>
    </row>
    <row r="237" customFormat="false" ht="15" hidden="false" customHeight="false" outlineLevel="0" collapsed="false">
      <c r="A237" s="24"/>
      <c r="B237" s="31" t="str">
        <f aca="false">IF(A237="","",IF(LEN(UPPER(SUBSTITUTE(SUBSTITUTE(SUBSTITUTE(SUBSTITUTE(TRIM(A237),".",""),"/",""),"-","")," ","")))&lt;14,RIGHT(REPT("0",14)&amp;UPPER(SUBSTITUTE(SUBSTITUTE(SUBSTITUTE(SUBSTITUTE(TRIM(A237),".",""),"/",""),"-","")," ","")),14),UPPER(SUBSTITUTE(SUBSTITUTE(SUBSTITUTE(SUBSTITUTE(TRIM(A237),".",""),"/",""),"-","")," ",""))))</f>
        <v/>
      </c>
      <c r="C237" s="11"/>
      <c r="D237" s="23"/>
      <c r="E237" s="22"/>
      <c r="F237" s="23"/>
      <c r="G237" s="11"/>
      <c r="H237" s="35"/>
      <c r="I237" s="11"/>
      <c r="J237" s="23"/>
      <c r="K237" s="27" t="str">
        <f aca="false">IF(B237="","",COUNTIF(Contratos!$D:$D,B237))</f>
        <v/>
      </c>
      <c r="L237" s="36" t="str">
        <f aca="false">IF(B237="","",SUMIFS(Contratos!$K:$K,Contratos!$D:$D,B237))</f>
        <v/>
      </c>
      <c r="M237" s="36" t="str">
        <f aca="false">IF(B237="","",SUMIFS(Pagamentos!$G:$G,Pagamentos!$D:$D,B237,Pagamentos!$F:$F,"Empenho"))</f>
        <v/>
      </c>
      <c r="N237" s="36" t="str">
        <f aca="false">IF(B237="","",SUMIFS(Pagamentos!$G:$G,Pagamentos!$D:$D,B237,Pagamentos!$F:$F,"Pagamento"))</f>
        <v/>
      </c>
      <c r="O237" s="37" t="str">
        <f aca="false">IF(OR(B237="",H237="",L237="",L237=0),"",H237/L237)</f>
        <v/>
      </c>
      <c r="P237" s="27" t="str">
        <f aca="false">IF(B237="","",COUNTIF(Sancoes!$C:$C,B237))</f>
        <v/>
      </c>
      <c r="Q237" s="27" t="str">
        <f aca="false">IF(B237="","",COUNTIF(Socios!$B:$B,B237))</f>
        <v/>
      </c>
      <c r="R237" s="27" t="str">
        <f aca="false">IF(B237="","",COUNTIFS(Socios!$B:$B,B237,Socios!$L:$L,"SIM"))</f>
        <v/>
      </c>
      <c r="S237" s="24"/>
      <c r="T237" s="11"/>
    </row>
    <row r="238" customFormat="false" ht="15" hidden="false" customHeight="false" outlineLevel="0" collapsed="false">
      <c r="A238" s="24"/>
      <c r="B238" s="31" t="str">
        <f aca="false">IF(A238="","",IF(LEN(UPPER(SUBSTITUTE(SUBSTITUTE(SUBSTITUTE(SUBSTITUTE(TRIM(A238),".",""),"/",""),"-","")," ","")))&lt;14,RIGHT(REPT("0",14)&amp;UPPER(SUBSTITUTE(SUBSTITUTE(SUBSTITUTE(SUBSTITUTE(TRIM(A238),".",""),"/",""),"-","")," ","")),14),UPPER(SUBSTITUTE(SUBSTITUTE(SUBSTITUTE(SUBSTITUTE(TRIM(A238),".",""),"/",""),"-","")," ",""))))</f>
        <v/>
      </c>
      <c r="C238" s="11"/>
      <c r="D238" s="23"/>
      <c r="E238" s="22"/>
      <c r="F238" s="23"/>
      <c r="G238" s="11"/>
      <c r="H238" s="35"/>
      <c r="I238" s="11"/>
      <c r="J238" s="23"/>
      <c r="K238" s="27" t="str">
        <f aca="false">IF(B238="","",COUNTIF(Contratos!$D:$D,B238))</f>
        <v/>
      </c>
      <c r="L238" s="36" t="str">
        <f aca="false">IF(B238="","",SUMIFS(Contratos!$K:$K,Contratos!$D:$D,B238))</f>
        <v/>
      </c>
      <c r="M238" s="36" t="str">
        <f aca="false">IF(B238="","",SUMIFS(Pagamentos!$G:$G,Pagamentos!$D:$D,B238,Pagamentos!$F:$F,"Empenho"))</f>
        <v/>
      </c>
      <c r="N238" s="36" t="str">
        <f aca="false">IF(B238="","",SUMIFS(Pagamentos!$G:$G,Pagamentos!$D:$D,B238,Pagamentos!$F:$F,"Pagamento"))</f>
        <v/>
      </c>
      <c r="O238" s="37" t="str">
        <f aca="false">IF(OR(B238="",H238="",L238="",L238=0),"",H238/L238)</f>
        <v/>
      </c>
      <c r="P238" s="27" t="str">
        <f aca="false">IF(B238="","",COUNTIF(Sancoes!$C:$C,B238))</f>
        <v/>
      </c>
      <c r="Q238" s="27" t="str">
        <f aca="false">IF(B238="","",COUNTIF(Socios!$B:$B,B238))</f>
        <v/>
      </c>
      <c r="R238" s="27" t="str">
        <f aca="false">IF(B238="","",COUNTIFS(Socios!$B:$B,B238,Socios!$L:$L,"SIM"))</f>
        <v/>
      </c>
      <c r="S238" s="24"/>
      <c r="T238" s="11"/>
    </row>
    <row r="239" customFormat="false" ht="15" hidden="false" customHeight="false" outlineLevel="0" collapsed="false">
      <c r="A239" s="24"/>
      <c r="B239" s="31" t="str">
        <f aca="false">IF(A239="","",IF(LEN(UPPER(SUBSTITUTE(SUBSTITUTE(SUBSTITUTE(SUBSTITUTE(TRIM(A239),".",""),"/",""),"-","")," ","")))&lt;14,RIGHT(REPT("0",14)&amp;UPPER(SUBSTITUTE(SUBSTITUTE(SUBSTITUTE(SUBSTITUTE(TRIM(A239),".",""),"/",""),"-","")," ","")),14),UPPER(SUBSTITUTE(SUBSTITUTE(SUBSTITUTE(SUBSTITUTE(TRIM(A239),".",""),"/",""),"-","")," ",""))))</f>
        <v/>
      </c>
      <c r="C239" s="11"/>
      <c r="D239" s="23"/>
      <c r="E239" s="22"/>
      <c r="F239" s="23"/>
      <c r="G239" s="11"/>
      <c r="H239" s="35"/>
      <c r="I239" s="11"/>
      <c r="J239" s="23"/>
      <c r="K239" s="27" t="str">
        <f aca="false">IF(B239="","",COUNTIF(Contratos!$D:$D,B239))</f>
        <v/>
      </c>
      <c r="L239" s="36" t="str">
        <f aca="false">IF(B239="","",SUMIFS(Contratos!$K:$K,Contratos!$D:$D,B239))</f>
        <v/>
      </c>
      <c r="M239" s="36" t="str">
        <f aca="false">IF(B239="","",SUMIFS(Pagamentos!$G:$G,Pagamentos!$D:$D,B239,Pagamentos!$F:$F,"Empenho"))</f>
        <v/>
      </c>
      <c r="N239" s="36" t="str">
        <f aca="false">IF(B239="","",SUMIFS(Pagamentos!$G:$G,Pagamentos!$D:$D,B239,Pagamentos!$F:$F,"Pagamento"))</f>
        <v/>
      </c>
      <c r="O239" s="37" t="str">
        <f aca="false">IF(OR(B239="",H239="",L239="",L239=0),"",H239/L239)</f>
        <v/>
      </c>
      <c r="P239" s="27" t="str">
        <f aca="false">IF(B239="","",COUNTIF(Sancoes!$C:$C,B239))</f>
        <v/>
      </c>
      <c r="Q239" s="27" t="str">
        <f aca="false">IF(B239="","",COUNTIF(Socios!$B:$B,B239))</f>
        <v/>
      </c>
      <c r="R239" s="27" t="str">
        <f aca="false">IF(B239="","",COUNTIFS(Socios!$B:$B,B239,Socios!$L:$L,"SIM"))</f>
        <v/>
      </c>
      <c r="S239" s="24"/>
      <c r="T239" s="11"/>
    </row>
    <row r="240" customFormat="false" ht="15" hidden="false" customHeight="false" outlineLevel="0" collapsed="false">
      <c r="A240" s="24"/>
      <c r="B240" s="31" t="str">
        <f aca="false">IF(A240="","",IF(LEN(UPPER(SUBSTITUTE(SUBSTITUTE(SUBSTITUTE(SUBSTITUTE(TRIM(A240),".",""),"/",""),"-","")," ","")))&lt;14,RIGHT(REPT("0",14)&amp;UPPER(SUBSTITUTE(SUBSTITUTE(SUBSTITUTE(SUBSTITUTE(TRIM(A240),".",""),"/",""),"-","")," ","")),14),UPPER(SUBSTITUTE(SUBSTITUTE(SUBSTITUTE(SUBSTITUTE(TRIM(A240),".",""),"/",""),"-","")," ",""))))</f>
        <v/>
      </c>
      <c r="C240" s="11"/>
      <c r="D240" s="23"/>
      <c r="E240" s="22"/>
      <c r="F240" s="23"/>
      <c r="G240" s="11"/>
      <c r="H240" s="35"/>
      <c r="I240" s="11"/>
      <c r="J240" s="23"/>
      <c r="K240" s="27" t="str">
        <f aca="false">IF(B240="","",COUNTIF(Contratos!$D:$D,B240))</f>
        <v/>
      </c>
      <c r="L240" s="36" t="str">
        <f aca="false">IF(B240="","",SUMIFS(Contratos!$K:$K,Contratos!$D:$D,B240))</f>
        <v/>
      </c>
      <c r="M240" s="36" t="str">
        <f aca="false">IF(B240="","",SUMIFS(Pagamentos!$G:$G,Pagamentos!$D:$D,B240,Pagamentos!$F:$F,"Empenho"))</f>
        <v/>
      </c>
      <c r="N240" s="36" t="str">
        <f aca="false">IF(B240="","",SUMIFS(Pagamentos!$G:$G,Pagamentos!$D:$D,B240,Pagamentos!$F:$F,"Pagamento"))</f>
        <v/>
      </c>
      <c r="O240" s="37" t="str">
        <f aca="false">IF(OR(B240="",H240="",L240="",L240=0),"",H240/L240)</f>
        <v/>
      </c>
      <c r="P240" s="27" t="str">
        <f aca="false">IF(B240="","",COUNTIF(Sancoes!$C:$C,B240))</f>
        <v/>
      </c>
      <c r="Q240" s="27" t="str">
        <f aca="false">IF(B240="","",COUNTIF(Socios!$B:$B,B240))</f>
        <v/>
      </c>
      <c r="R240" s="27" t="str">
        <f aca="false">IF(B240="","",COUNTIFS(Socios!$B:$B,B240,Socios!$L:$L,"SIM"))</f>
        <v/>
      </c>
      <c r="S240" s="24"/>
      <c r="T240" s="11"/>
    </row>
    <row r="241" customFormat="false" ht="15" hidden="false" customHeight="false" outlineLevel="0" collapsed="false">
      <c r="A241" s="24"/>
      <c r="B241" s="31" t="str">
        <f aca="false">IF(A241="","",IF(LEN(UPPER(SUBSTITUTE(SUBSTITUTE(SUBSTITUTE(SUBSTITUTE(TRIM(A241),".",""),"/",""),"-","")," ","")))&lt;14,RIGHT(REPT("0",14)&amp;UPPER(SUBSTITUTE(SUBSTITUTE(SUBSTITUTE(SUBSTITUTE(TRIM(A241),".",""),"/",""),"-","")," ","")),14),UPPER(SUBSTITUTE(SUBSTITUTE(SUBSTITUTE(SUBSTITUTE(TRIM(A241),".",""),"/",""),"-","")," ",""))))</f>
        <v/>
      </c>
      <c r="C241" s="11"/>
      <c r="D241" s="23"/>
      <c r="E241" s="22"/>
      <c r="F241" s="23"/>
      <c r="G241" s="11"/>
      <c r="H241" s="35"/>
      <c r="I241" s="11"/>
      <c r="J241" s="23"/>
      <c r="K241" s="27" t="str">
        <f aca="false">IF(B241="","",COUNTIF(Contratos!$D:$D,B241))</f>
        <v/>
      </c>
      <c r="L241" s="36" t="str">
        <f aca="false">IF(B241="","",SUMIFS(Contratos!$K:$K,Contratos!$D:$D,B241))</f>
        <v/>
      </c>
      <c r="M241" s="36" t="str">
        <f aca="false">IF(B241="","",SUMIFS(Pagamentos!$G:$G,Pagamentos!$D:$D,B241,Pagamentos!$F:$F,"Empenho"))</f>
        <v/>
      </c>
      <c r="N241" s="36" t="str">
        <f aca="false">IF(B241="","",SUMIFS(Pagamentos!$G:$G,Pagamentos!$D:$D,B241,Pagamentos!$F:$F,"Pagamento"))</f>
        <v/>
      </c>
      <c r="O241" s="37" t="str">
        <f aca="false">IF(OR(B241="",H241="",L241="",L241=0),"",H241/L241)</f>
        <v/>
      </c>
      <c r="P241" s="27" t="str">
        <f aca="false">IF(B241="","",COUNTIF(Sancoes!$C:$C,B241))</f>
        <v/>
      </c>
      <c r="Q241" s="27" t="str">
        <f aca="false">IF(B241="","",COUNTIF(Socios!$B:$B,B241))</f>
        <v/>
      </c>
      <c r="R241" s="27" t="str">
        <f aca="false">IF(B241="","",COUNTIFS(Socios!$B:$B,B241,Socios!$L:$L,"SIM"))</f>
        <v/>
      </c>
      <c r="S241" s="24"/>
      <c r="T241" s="11"/>
    </row>
    <row r="242" customFormat="false" ht="15" hidden="false" customHeight="false" outlineLevel="0" collapsed="false">
      <c r="A242" s="24"/>
      <c r="B242" s="31" t="str">
        <f aca="false">IF(A242="","",IF(LEN(UPPER(SUBSTITUTE(SUBSTITUTE(SUBSTITUTE(SUBSTITUTE(TRIM(A242),".",""),"/",""),"-","")," ","")))&lt;14,RIGHT(REPT("0",14)&amp;UPPER(SUBSTITUTE(SUBSTITUTE(SUBSTITUTE(SUBSTITUTE(TRIM(A242),".",""),"/",""),"-","")," ","")),14),UPPER(SUBSTITUTE(SUBSTITUTE(SUBSTITUTE(SUBSTITUTE(TRIM(A242),".",""),"/",""),"-","")," ",""))))</f>
        <v/>
      </c>
      <c r="C242" s="11"/>
      <c r="D242" s="23"/>
      <c r="E242" s="22"/>
      <c r="F242" s="23"/>
      <c r="G242" s="11"/>
      <c r="H242" s="35"/>
      <c r="I242" s="11"/>
      <c r="J242" s="23"/>
      <c r="K242" s="27" t="str">
        <f aca="false">IF(B242="","",COUNTIF(Contratos!$D:$D,B242))</f>
        <v/>
      </c>
      <c r="L242" s="36" t="str">
        <f aca="false">IF(B242="","",SUMIFS(Contratos!$K:$K,Contratos!$D:$D,B242))</f>
        <v/>
      </c>
      <c r="M242" s="36" t="str">
        <f aca="false">IF(B242="","",SUMIFS(Pagamentos!$G:$G,Pagamentos!$D:$D,B242,Pagamentos!$F:$F,"Empenho"))</f>
        <v/>
      </c>
      <c r="N242" s="36" t="str">
        <f aca="false">IF(B242="","",SUMIFS(Pagamentos!$G:$G,Pagamentos!$D:$D,B242,Pagamentos!$F:$F,"Pagamento"))</f>
        <v/>
      </c>
      <c r="O242" s="37" t="str">
        <f aca="false">IF(OR(B242="",H242="",L242="",L242=0),"",H242/L242)</f>
        <v/>
      </c>
      <c r="P242" s="27" t="str">
        <f aca="false">IF(B242="","",COUNTIF(Sancoes!$C:$C,B242))</f>
        <v/>
      </c>
      <c r="Q242" s="27" t="str">
        <f aca="false">IF(B242="","",COUNTIF(Socios!$B:$B,B242))</f>
        <v/>
      </c>
      <c r="R242" s="27" t="str">
        <f aca="false">IF(B242="","",COUNTIFS(Socios!$B:$B,B242,Socios!$L:$L,"SIM"))</f>
        <v/>
      </c>
      <c r="S242" s="24"/>
      <c r="T242" s="11"/>
    </row>
    <row r="243" customFormat="false" ht="15" hidden="false" customHeight="false" outlineLevel="0" collapsed="false">
      <c r="A243" s="24"/>
      <c r="B243" s="31" t="str">
        <f aca="false">IF(A243="","",IF(LEN(UPPER(SUBSTITUTE(SUBSTITUTE(SUBSTITUTE(SUBSTITUTE(TRIM(A243),".",""),"/",""),"-","")," ","")))&lt;14,RIGHT(REPT("0",14)&amp;UPPER(SUBSTITUTE(SUBSTITUTE(SUBSTITUTE(SUBSTITUTE(TRIM(A243),".",""),"/",""),"-","")," ","")),14),UPPER(SUBSTITUTE(SUBSTITUTE(SUBSTITUTE(SUBSTITUTE(TRIM(A243),".",""),"/",""),"-","")," ",""))))</f>
        <v/>
      </c>
      <c r="C243" s="11"/>
      <c r="D243" s="23"/>
      <c r="E243" s="22"/>
      <c r="F243" s="23"/>
      <c r="G243" s="11"/>
      <c r="H243" s="35"/>
      <c r="I243" s="11"/>
      <c r="J243" s="23"/>
      <c r="K243" s="27" t="str">
        <f aca="false">IF(B243="","",COUNTIF(Contratos!$D:$D,B243))</f>
        <v/>
      </c>
      <c r="L243" s="36" t="str">
        <f aca="false">IF(B243="","",SUMIFS(Contratos!$K:$K,Contratos!$D:$D,B243))</f>
        <v/>
      </c>
      <c r="M243" s="36" t="str">
        <f aca="false">IF(B243="","",SUMIFS(Pagamentos!$G:$G,Pagamentos!$D:$D,B243,Pagamentos!$F:$F,"Empenho"))</f>
        <v/>
      </c>
      <c r="N243" s="36" t="str">
        <f aca="false">IF(B243="","",SUMIFS(Pagamentos!$G:$G,Pagamentos!$D:$D,B243,Pagamentos!$F:$F,"Pagamento"))</f>
        <v/>
      </c>
      <c r="O243" s="37" t="str">
        <f aca="false">IF(OR(B243="",H243="",L243="",L243=0),"",H243/L243)</f>
        <v/>
      </c>
      <c r="P243" s="27" t="str">
        <f aca="false">IF(B243="","",COUNTIF(Sancoes!$C:$C,B243))</f>
        <v/>
      </c>
      <c r="Q243" s="27" t="str">
        <f aca="false">IF(B243="","",COUNTIF(Socios!$B:$B,B243))</f>
        <v/>
      </c>
      <c r="R243" s="27" t="str">
        <f aca="false">IF(B243="","",COUNTIFS(Socios!$B:$B,B243,Socios!$L:$L,"SIM"))</f>
        <v/>
      </c>
      <c r="S243" s="24"/>
      <c r="T243" s="11"/>
    </row>
    <row r="244" customFormat="false" ht="15" hidden="false" customHeight="false" outlineLevel="0" collapsed="false">
      <c r="A244" s="24"/>
      <c r="B244" s="31" t="str">
        <f aca="false">IF(A244="","",IF(LEN(UPPER(SUBSTITUTE(SUBSTITUTE(SUBSTITUTE(SUBSTITUTE(TRIM(A244),".",""),"/",""),"-","")," ","")))&lt;14,RIGHT(REPT("0",14)&amp;UPPER(SUBSTITUTE(SUBSTITUTE(SUBSTITUTE(SUBSTITUTE(TRIM(A244),".",""),"/",""),"-","")," ","")),14),UPPER(SUBSTITUTE(SUBSTITUTE(SUBSTITUTE(SUBSTITUTE(TRIM(A244),".",""),"/",""),"-","")," ",""))))</f>
        <v/>
      </c>
      <c r="C244" s="11"/>
      <c r="D244" s="23"/>
      <c r="E244" s="22"/>
      <c r="F244" s="23"/>
      <c r="G244" s="11"/>
      <c r="H244" s="35"/>
      <c r="I244" s="11"/>
      <c r="J244" s="23"/>
      <c r="K244" s="27" t="str">
        <f aca="false">IF(B244="","",COUNTIF(Contratos!$D:$D,B244))</f>
        <v/>
      </c>
      <c r="L244" s="36" t="str">
        <f aca="false">IF(B244="","",SUMIFS(Contratos!$K:$K,Contratos!$D:$D,B244))</f>
        <v/>
      </c>
      <c r="M244" s="36" t="str">
        <f aca="false">IF(B244="","",SUMIFS(Pagamentos!$G:$G,Pagamentos!$D:$D,B244,Pagamentos!$F:$F,"Empenho"))</f>
        <v/>
      </c>
      <c r="N244" s="36" t="str">
        <f aca="false">IF(B244="","",SUMIFS(Pagamentos!$G:$G,Pagamentos!$D:$D,B244,Pagamentos!$F:$F,"Pagamento"))</f>
        <v/>
      </c>
      <c r="O244" s="37" t="str">
        <f aca="false">IF(OR(B244="",H244="",L244="",L244=0),"",H244/L244)</f>
        <v/>
      </c>
      <c r="P244" s="27" t="str">
        <f aca="false">IF(B244="","",COUNTIF(Sancoes!$C:$C,B244))</f>
        <v/>
      </c>
      <c r="Q244" s="27" t="str">
        <f aca="false">IF(B244="","",COUNTIF(Socios!$B:$B,B244))</f>
        <v/>
      </c>
      <c r="R244" s="27" t="str">
        <f aca="false">IF(B244="","",COUNTIFS(Socios!$B:$B,B244,Socios!$L:$L,"SIM"))</f>
        <v/>
      </c>
      <c r="S244" s="24"/>
      <c r="T244" s="11"/>
    </row>
    <row r="245" customFormat="false" ht="15" hidden="false" customHeight="false" outlineLevel="0" collapsed="false">
      <c r="A245" s="24"/>
      <c r="B245" s="31" t="str">
        <f aca="false">IF(A245="","",IF(LEN(UPPER(SUBSTITUTE(SUBSTITUTE(SUBSTITUTE(SUBSTITUTE(TRIM(A245),".",""),"/",""),"-","")," ","")))&lt;14,RIGHT(REPT("0",14)&amp;UPPER(SUBSTITUTE(SUBSTITUTE(SUBSTITUTE(SUBSTITUTE(TRIM(A245),".",""),"/",""),"-","")," ","")),14),UPPER(SUBSTITUTE(SUBSTITUTE(SUBSTITUTE(SUBSTITUTE(TRIM(A245),".",""),"/",""),"-","")," ",""))))</f>
        <v/>
      </c>
      <c r="C245" s="11"/>
      <c r="D245" s="23"/>
      <c r="E245" s="22"/>
      <c r="F245" s="23"/>
      <c r="G245" s="11"/>
      <c r="H245" s="35"/>
      <c r="I245" s="11"/>
      <c r="J245" s="23"/>
      <c r="K245" s="27" t="str">
        <f aca="false">IF(B245="","",COUNTIF(Contratos!$D:$D,B245))</f>
        <v/>
      </c>
      <c r="L245" s="36" t="str">
        <f aca="false">IF(B245="","",SUMIFS(Contratos!$K:$K,Contratos!$D:$D,B245))</f>
        <v/>
      </c>
      <c r="M245" s="36" t="str">
        <f aca="false">IF(B245="","",SUMIFS(Pagamentos!$G:$G,Pagamentos!$D:$D,B245,Pagamentos!$F:$F,"Empenho"))</f>
        <v/>
      </c>
      <c r="N245" s="36" t="str">
        <f aca="false">IF(B245="","",SUMIFS(Pagamentos!$G:$G,Pagamentos!$D:$D,B245,Pagamentos!$F:$F,"Pagamento"))</f>
        <v/>
      </c>
      <c r="O245" s="37" t="str">
        <f aca="false">IF(OR(B245="",H245="",L245="",L245=0),"",H245/L245)</f>
        <v/>
      </c>
      <c r="P245" s="27" t="str">
        <f aca="false">IF(B245="","",COUNTIF(Sancoes!$C:$C,B245))</f>
        <v/>
      </c>
      <c r="Q245" s="27" t="str">
        <f aca="false">IF(B245="","",COUNTIF(Socios!$B:$B,B245))</f>
        <v/>
      </c>
      <c r="R245" s="27" t="str">
        <f aca="false">IF(B245="","",COUNTIFS(Socios!$B:$B,B245,Socios!$L:$L,"SIM"))</f>
        <v/>
      </c>
      <c r="S245" s="24"/>
      <c r="T245" s="11"/>
    </row>
    <row r="246" customFormat="false" ht="15" hidden="false" customHeight="false" outlineLevel="0" collapsed="false">
      <c r="A246" s="24"/>
      <c r="B246" s="31" t="str">
        <f aca="false">IF(A246="","",IF(LEN(UPPER(SUBSTITUTE(SUBSTITUTE(SUBSTITUTE(SUBSTITUTE(TRIM(A246),".",""),"/",""),"-","")," ","")))&lt;14,RIGHT(REPT("0",14)&amp;UPPER(SUBSTITUTE(SUBSTITUTE(SUBSTITUTE(SUBSTITUTE(TRIM(A246),".",""),"/",""),"-","")," ","")),14),UPPER(SUBSTITUTE(SUBSTITUTE(SUBSTITUTE(SUBSTITUTE(TRIM(A246),".",""),"/",""),"-","")," ",""))))</f>
        <v/>
      </c>
      <c r="C246" s="11"/>
      <c r="D246" s="23"/>
      <c r="E246" s="22"/>
      <c r="F246" s="23"/>
      <c r="G246" s="11"/>
      <c r="H246" s="35"/>
      <c r="I246" s="11"/>
      <c r="J246" s="23"/>
      <c r="K246" s="27" t="str">
        <f aca="false">IF(B246="","",COUNTIF(Contratos!$D:$D,B246))</f>
        <v/>
      </c>
      <c r="L246" s="36" t="str">
        <f aca="false">IF(B246="","",SUMIFS(Contratos!$K:$K,Contratos!$D:$D,B246))</f>
        <v/>
      </c>
      <c r="M246" s="36" t="str">
        <f aca="false">IF(B246="","",SUMIFS(Pagamentos!$G:$G,Pagamentos!$D:$D,B246,Pagamentos!$F:$F,"Empenho"))</f>
        <v/>
      </c>
      <c r="N246" s="36" t="str">
        <f aca="false">IF(B246="","",SUMIFS(Pagamentos!$G:$G,Pagamentos!$D:$D,B246,Pagamentos!$F:$F,"Pagamento"))</f>
        <v/>
      </c>
      <c r="O246" s="37" t="str">
        <f aca="false">IF(OR(B246="",H246="",L246="",L246=0),"",H246/L246)</f>
        <v/>
      </c>
      <c r="P246" s="27" t="str">
        <f aca="false">IF(B246="","",COUNTIF(Sancoes!$C:$C,B246))</f>
        <v/>
      </c>
      <c r="Q246" s="27" t="str">
        <f aca="false">IF(B246="","",COUNTIF(Socios!$B:$B,B246))</f>
        <v/>
      </c>
      <c r="R246" s="27" t="str">
        <f aca="false">IF(B246="","",COUNTIFS(Socios!$B:$B,B246,Socios!$L:$L,"SIM"))</f>
        <v/>
      </c>
      <c r="S246" s="24"/>
      <c r="T246" s="11"/>
    </row>
    <row r="247" customFormat="false" ht="15" hidden="false" customHeight="false" outlineLevel="0" collapsed="false">
      <c r="A247" s="24"/>
      <c r="B247" s="31" t="str">
        <f aca="false">IF(A247="","",IF(LEN(UPPER(SUBSTITUTE(SUBSTITUTE(SUBSTITUTE(SUBSTITUTE(TRIM(A247),".",""),"/",""),"-","")," ","")))&lt;14,RIGHT(REPT("0",14)&amp;UPPER(SUBSTITUTE(SUBSTITUTE(SUBSTITUTE(SUBSTITUTE(TRIM(A247),".",""),"/",""),"-","")," ","")),14),UPPER(SUBSTITUTE(SUBSTITUTE(SUBSTITUTE(SUBSTITUTE(TRIM(A247),".",""),"/",""),"-","")," ",""))))</f>
        <v/>
      </c>
      <c r="C247" s="11"/>
      <c r="D247" s="23"/>
      <c r="E247" s="22"/>
      <c r="F247" s="23"/>
      <c r="G247" s="11"/>
      <c r="H247" s="35"/>
      <c r="I247" s="11"/>
      <c r="J247" s="23"/>
      <c r="K247" s="27" t="str">
        <f aca="false">IF(B247="","",COUNTIF(Contratos!$D:$D,B247))</f>
        <v/>
      </c>
      <c r="L247" s="36" t="str">
        <f aca="false">IF(B247="","",SUMIFS(Contratos!$K:$K,Contratos!$D:$D,B247))</f>
        <v/>
      </c>
      <c r="M247" s="36" t="str">
        <f aca="false">IF(B247="","",SUMIFS(Pagamentos!$G:$G,Pagamentos!$D:$D,B247,Pagamentos!$F:$F,"Empenho"))</f>
        <v/>
      </c>
      <c r="N247" s="36" t="str">
        <f aca="false">IF(B247="","",SUMIFS(Pagamentos!$G:$G,Pagamentos!$D:$D,B247,Pagamentos!$F:$F,"Pagamento"))</f>
        <v/>
      </c>
      <c r="O247" s="37" t="str">
        <f aca="false">IF(OR(B247="",H247="",L247="",L247=0),"",H247/L247)</f>
        <v/>
      </c>
      <c r="P247" s="27" t="str">
        <f aca="false">IF(B247="","",COUNTIF(Sancoes!$C:$C,B247))</f>
        <v/>
      </c>
      <c r="Q247" s="27" t="str">
        <f aca="false">IF(B247="","",COUNTIF(Socios!$B:$B,B247))</f>
        <v/>
      </c>
      <c r="R247" s="27" t="str">
        <f aca="false">IF(B247="","",COUNTIFS(Socios!$B:$B,B247,Socios!$L:$L,"SIM"))</f>
        <v/>
      </c>
      <c r="S247" s="24"/>
      <c r="T247" s="11"/>
    </row>
    <row r="248" customFormat="false" ht="15" hidden="false" customHeight="false" outlineLevel="0" collapsed="false">
      <c r="A248" s="24"/>
      <c r="B248" s="31" t="str">
        <f aca="false">IF(A248="","",IF(LEN(UPPER(SUBSTITUTE(SUBSTITUTE(SUBSTITUTE(SUBSTITUTE(TRIM(A248),".",""),"/",""),"-","")," ","")))&lt;14,RIGHT(REPT("0",14)&amp;UPPER(SUBSTITUTE(SUBSTITUTE(SUBSTITUTE(SUBSTITUTE(TRIM(A248),".",""),"/",""),"-","")," ","")),14),UPPER(SUBSTITUTE(SUBSTITUTE(SUBSTITUTE(SUBSTITUTE(TRIM(A248),".",""),"/",""),"-","")," ",""))))</f>
        <v/>
      </c>
      <c r="C248" s="11"/>
      <c r="D248" s="23"/>
      <c r="E248" s="22"/>
      <c r="F248" s="23"/>
      <c r="G248" s="11"/>
      <c r="H248" s="35"/>
      <c r="I248" s="11"/>
      <c r="J248" s="23"/>
      <c r="K248" s="27" t="str">
        <f aca="false">IF(B248="","",COUNTIF(Contratos!$D:$D,B248))</f>
        <v/>
      </c>
      <c r="L248" s="36" t="str">
        <f aca="false">IF(B248="","",SUMIFS(Contratos!$K:$K,Contratos!$D:$D,B248))</f>
        <v/>
      </c>
      <c r="M248" s="36" t="str">
        <f aca="false">IF(B248="","",SUMIFS(Pagamentos!$G:$G,Pagamentos!$D:$D,B248,Pagamentos!$F:$F,"Empenho"))</f>
        <v/>
      </c>
      <c r="N248" s="36" t="str">
        <f aca="false">IF(B248="","",SUMIFS(Pagamentos!$G:$G,Pagamentos!$D:$D,B248,Pagamentos!$F:$F,"Pagamento"))</f>
        <v/>
      </c>
      <c r="O248" s="37" t="str">
        <f aca="false">IF(OR(B248="",H248="",L248="",L248=0),"",H248/L248)</f>
        <v/>
      </c>
      <c r="P248" s="27" t="str">
        <f aca="false">IF(B248="","",COUNTIF(Sancoes!$C:$C,B248))</f>
        <v/>
      </c>
      <c r="Q248" s="27" t="str">
        <f aca="false">IF(B248="","",COUNTIF(Socios!$B:$B,B248))</f>
        <v/>
      </c>
      <c r="R248" s="27" t="str">
        <f aca="false">IF(B248="","",COUNTIFS(Socios!$B:$B,B248,Socios!$L:$L,"SIM"))</f>
        <v/>
      </c>
      <c r="S248" s="24"/>
      <c r="T248" s="11"/>
    </row>
    <row r="249" customFormat="false" ht="15" hidden="false" customHeight="false" outlineLevel="0" collapsed="false">
      <c r="A249" s="24"/>
      <c r="B249" s="31" t="str">
        <f aca="false">IF(A249="","",IF(LEN(UPPER(SUBSTITUTE(SUBSTITUTE(SUBSTITUTE(SUBSTITUTE(TRIM(A249),".",""),"/",""),"-","")," ","")))&lt;14,RIGHT(REPT("0",14)&amp;UPPER(SUBSTITUTE(SUBSTITUTE(SUBSTITUTE(SUBSTITUTE(TRIM(A249),".",""),"/",""),"-","")," ","")),14),UPPER(SUBSTITUTE(SUBSTITUTE(SUBSTITUTE(SUBSTITUTE(TRIM(A249),".",""),"/",""),"-","")," ",""))))</f>
        <v/>
      </c>
      <c r="C249" s="11"/>
      <c r="D249" s="23"/>
      <c r="E249" s="22"/>
      <c r="F249" s="23"/>
      <c r="G249" s="11"/>
      <c r="H249" s="35"/>
      <c r="I249" s="11"/>
      <c r="J249" s="23"/>
      <c r="K249" s="27" t="str">
        <f aca="false">IF(B249="","",COUNTIF(Contratos!$D:$D,B249))</f>
        <v/>
      </c>
      <c r="L249" s="36" t="str">
        <f aca="false">IF(B249="","",SUMIFS(Contratos!$K:$K,Contratos!$D:$D,B249))</f>
        <v/>
      </c>
      <c r="M249" s="36" t="str">
        <f aca="false">IF(B249="","",SUMIFS(Pagamentos!$G:$G,Pagamentos!$D:$D,B249,Pagamentos!$F:$F,"Empenho"))</f>
        <v/>
      </c>
      <c r="N249" s="36" t="str">
        <f aca="false">IF(B249="","",SUMIFS(Pagamentos!$G:$G,Pagamentos!$D:$D,B249,Pagamentos!$F:$F,"Pagamento"))</f>
        <v/>
      </c>
      <c r="O249" s="37" t="str">
        <f aca="false">IF(OR(B249="",H249="",L249="",L249=0),"",H249/L249)</f>
        <v/>
      </c>
      <c r="P249" s="27" t="str">
        <f aca="false">IF(B249="","",COUNTIF(Sancoes!$C:$C,B249))</f>
        <v/>
      </c>
      <c r="Q249" s="27" t="str">
        <f aca="false">IF(B249="","",COUNTIF(Socios!$B:$B,B249))</f>
        <v/>
      </c>
      <c r="R249" s="27" t="str">
        <f aca="false">IF(B249="","",COUNTIFS(Socios!$B:$B,B249,Socios!$L:$L,"SIM"))</f>
        <v/>
      </c>
      <c r="S249" s="24"/>
      <c r="T249" s="11"/>
    </row>
    <row r="250" customFormat="false" ht="15" hidden="false" customHeight="false" outlineLevel="0" collapsed="false">
      <c r="A250" s="24"/>
      <c r="B250" s="31" t="str">
        <f aca="false">IF(A250="","",IF(LEN(UPPER(SUBSTITUTE(SUBSTITUTE(SUBSTITUTE(SUBSTITUTE(TRIM(A250),".",""),"/",""),"-","")," ","")))&lt;14,RIGHT(REPT("0",14)&amp;UPPER(SUBSTITUTE(SUBSTITUTE(SUBSTITUTE(SUBSTITUTE(TRIM(A250),".",""),"/",""),"-","")," ","")),14),UPPER(SUBSTITUTE(SUBSTITUTE(SUBSTITUTE(SUBSTITUTE(TRIM(A250),".",""),"/",""),"-","")," ",""))))</f>
        <v/>
      </c>
      <c r="C250" s="11"/>
      <c r="D250" s="23"/>
      <c r="E250" s="22"/>
      <c r="F250" s="23"/>
      <c r="G250" s="11"/>
      <c r="H250" s="35"/>
      <c r="I250" s="11"/>
      <c r="J250" s="23"/>
      <c r="K250" s="27" t="str">
        <f aca="false">IF(B250="","",COUNTIF(Contratos!$D:$D,B250))</f>
        <v/>
      </c>
      <c r="L250" s="36" t="str">
        <f aca="false">IF(B250="","",SUMIFS(Contratos!$K:$K,Contratos!$D:$D,B250))</f>
        <v/>
      </c>
      <c r="M250" s="36" t="str">
        <f aca="false">IF(B250="","",SUMIFS(Pagamentos!$G:$G,Pagamentos!$D:$D,B250,Pagamentos!$F:$F,"Empenho"))</f>
        <v/>
      </c>
      <c r="N250" s="36" t="str">
        <f aca="false">IF(B250="","",SUMIFS(Pagamentos!$G:$G,Pagamentos!$D:$D,B250,Pagamentos!$F:$F,"Pagamento"))</f>
        <v/>
      </c>
      <c r="O250" s="37" t="str">
        <f aca="false">IF(OR(B250="",H250="",L250="",L250=0),"",H250/L250)</f>
        <v/>
      </c>
      <c r="P250" s="27" t="str">
        <f aca="false">IF(B250="","",COUNTIF(Sancoes!$C:$C,B250))</f>
        <v/>
      </c>
      <c r="Q250" s="27" t="str">
        <f aca="false">IF(B250="","",COUNTIF(Socios!$B:$B,B250))</f>
        <v/>
      </c>
      <c r="R250" s="27" t="str">
        <f aca="false">IF(B250="","",COUNTIFS(Socios!$B:$B,B250,Socios!$L:$L,"SIM"))</f>
        <v/>
      </c>
      <c r="S250" s="24"/>
      <c r="T250" s="11"/>
    </row>
    <row r="251" customFormat="false" ht="15" hidden="false" customHeight="false" outlineLevel="0" collapsed="false">
      <c r="A251" s="24"/>
      <c r="B251" s="31" t="str">
        <f aca="false">IF(A251="","",IF(LEN(UPPER(SUBSTITUTE(SUBSTITUTE(SUBSTITUTE(SUBSTITUTE(TRIM(A251),".",""),"/",""),"-","")," ","")))&lt;14,RIGHT(REPT("0",14)&amp;UPPER(SUBSTITUTE(SUBSTITUTE(SUBSTITUTE(SUBSTITUTE(TRIM(A251),".",""),"/",""),"-","")," ","")),14),UPPER(SUBSTITUTE(SUBSTITUTE(SUBSTITUTE(SUBSTITUTE(TRIM(A251),".",""),"/",""),"-","")," ",""))))</f>
        <v/>
      </c>
      <c r="C251" s="11"/>
      <c r="D251" s="23"/>
      <c r="E251" s="22"/>
      <c r="F251" s="23"/>
      <c r="G251" s="11"/>
      <c r="H251" s="35"/>
      <c r="I251" s="11"/>
      <c r="J251" s="23"/>
      <c r="K251" s="27" t="str">
        <f aca="false">IF(B251="","",COUNTIF(Contratos!$D:$D,B251))</f>
        <v/>
      </c>
      <c r="L251" s="36" t="str">
        <f aca="false">IF(B251="","",SUMIFS(Contratos!$K:$K,Contratos!$D:$D,B251))</f>
        <v/>
      </c>
      <c r="M251" s="36" t="str">
        <f aca="false">IF(B251="","",SUMIFS(Pagamentos!$G:$G,Pagamentos!$D:$D,B251,Pagamentos!$F:$F,"Empenho"))</f>
        <v/>
      </c>
      <c r="N251" s="36" t="str">
        <f aca="false">IF(B251="","",SUMIFS(Pagamentos!$G:$G,Pagamentos!$D:$D,B251,Pagamentos!$F:$F,"Pagamento"))</f>
        <v/>
      </c>
      <c r="O251" s="37" t="str">
        <f aca="false">IF(OR(B251="",H251="",L251="",L251=0),"",H251/L251)</f>
        <v/>
      </c>
      <c r="P251" s="27" t="str">
        <f aca="false">IF(B251="","",COUNTIF(Sancoes!$C:$C,B251))</f>
        <v/>
      </c>
      <c r="Q251" s="27" t="str">
        <f aca="false">IF(B251="","",COUNTIF(Socios!$B:$B,B251))</f>
        <v/>
      </c>
      <c r="R251" s="27" t="str">
        <f aca="false">IF(B251="","",COUNTIFS(Socios!$B:$B,B251,Socios!$L:$L,"SIM"))</f>
        <v/>
      </c>
      <c r="S251" s="24"/>
      <c r="T251" s="11"/>
    </row>
    <row r="252" customFormat="false" ht="15" hidden="false" customHeight="false" outlineLevel="0" collapsed="false">
      <c r="A252" s="24"/>
      <c r="B252" s="31" t="str">
        <f aca="false">IF(A252="","",IF(LEN(UPPER(SUBSTITUTE(SUBSTITUTE(SUBSTITUTE(SUBSTITUTE(TRIM(A252),".",""),"/",""),"-","")," ","")))&lt;14,RIGHT(REPT("0",14)&amp;UPPER(SUBSTITUTE(SUBSTITUTE(SUBSTITUTE(SUBSTITUTE(TRIM(A252),".",""),"/",""),"-","")," ","")),14),UPPER(SUBSTITUTE(SUBSTITUTE(SUBSTITUTE(SUBSTITUTE(TRIM(A252),".",""),"/",""),"-","")," ",""))))</f>
        <v/>
      </c>
      <c r="C252" s="11"/>
      <c r="D252" s="23"/>
      <c r="E252" s="22"/>
      <c r="F252" s="23"/>
      <c r="G252" s="11"/>
      <c r="H252" s="35"/>
      <c r="I252" s="11"/>
      <c r="J252" s="23"/>
      <c r="K252" s="27" t="str">
        <f aca="false">IF(B252="","",COUNTIF(Contratos!$D:$D,B252))</f>
        <v/>
      </c>
      <c r="L252" s="36" t="str">
        <f aca="false">IF(B252="","",SUMIFS(Contratos!$K:$K,Contratos!$D:$D,B252))</f>
        <v/>
      </c>
      <c r="M252" s="36" t="str">
        <f aca="false">IF(B252="","",SUMIFS(Pagamentos!$G:$G,Pagamentos!$D:$D,B252,Pagamentos!$F:$F,"Empenho"))</f>
        <v/>
      </c>
      <c r="N252" s="36" t="str">
        <f aca="false">IF(B252="","",SUMIFS(Pagamentos!$G:$G,Pagamentos!$D:$D,B252,Pagamentos!$F:$F,"Pagamento"))</f>
        <v/>
      </c>
      <c r="O252" s="37" t="str">
        <f aca="false">IF(OR(B252="",H252="",L252="",L252=0),"",H252/L252)</f>
        <v/>
      </c>
      <c r="P252" s="27" t="str">
        <f aca="false">IF(B252="","",COUNTIF(Sancoes!$C:$C,B252))</f>
        <v/>
      </c>
      <c r="Q252" s="27" t="str">
        <f aca="false">IF(B252="","",COUNTIF(Socios!$B:$B,B252))</f>
        <v/>
      </c>
      <c r="R252" s="27" t="str">
        <f aca="false">IF(B252="","",COUNTIFS(Socios!$B:$B,B252,Socios!$L:$L,"SIM"))</f>
        <v/>
      </c>
      <c r="S252" s="24"/>
      <c r="T252" s="11"/>
    </row>
    <row r="253" customFormat="false" ht="15" hidden="false" customHeight="false" outlineLevel="0" collapsed="false">
      <c r="A253" s="24"/>
      <c r="B253" s="31" t="str">
        <f aca="false">IF(A253="","",IF(LEN(UPPER(SUBSTITUTE(SUBSTITUTE(SUBSTITUTE(SUBSTITUTE(TRIM(A253),".",""),"/",""),"-","")," ","")))&lt;14,RIGHT(REPT("0",14)&amp;UPPER(SUBSTITUTE(SUBSTITUTE(SUBSTITUTE(SUBSTITUTE(TRIM(A253),".",""),"/",""),"-","")," ","")),14),UPPER(SUBSTITUTE(SUBSTITUTE(SUBSTITUTE(SUBSTITUTE(TRIM(A253),".",""),"/",""),"-","")," ",""))))</f>
        <v/>
      </c>
      <c r="C253" s="11"/>
      <c r="D253" s="23"/>
      <c r="E253" s="22"/>
      <c r="F253" s="23"/>
      <c r="G253" s="11"/>
      <c r="H253" s="35"/>
      <c r="I253" s="11"/>
      <c r="J253" s="23"/>
      <c r="K253" s="27" t="str">
        <f aca="false">IF(B253="","",COUNTIF(Contratos!$D:$D,B253))</f>
        <v/>
      </c>
      <c r="L253" s="36" t="str">
        <f aca="false">IF(B253="","",SUMIFS(Contratos!$K:$K,Contratos!$D:$D,B253))</f>
        <v/>
      </c>
      <c r="M253" s="36" t="str">
        <f aca="false">IF(B253="","",SUMIFS(Pagamentos!$G:$G,Pagamentos!$D:$D,B253,Pagamentos!$F:$F,"Empenho"))</f>
        <v/>
      </c>
      <c r="N253" s="36" t="str">
        <f aca="false">IF(B253="","",SUMIFS(Pagamentos!$G:$G,Pagamentos!$D:$D,B253,Pagamentos!$F:$F,"Pagamento"))</f>
        <v/>
      </c>
      <c r="O253" s="37" t="str">
        <f aca="false">IF(OR(B253="",H253="",L253="",L253=0),"",H253/L253)</f>
        <v/>
      </c>
      <c r="P253" s="27" t="str">
        <f aca="false">IF(B253="","",COUNTIF(Sancoes!$C:$C,B253))</f>
        <v/>
      </c>
      <c r="Q253" s="27" t="str">
        <f aca="false">IF(B253="","",COUNTIF(Socios!$B:$B,B253))</f>
        <v/>
      </c>
      <c r="R253" s="27" t="str">
        <f aca="false">IF(B253="","",COUNTIFS(Socios!$B:$B,B253,Socios!$L:$L,"SIM"))</f>
        <v/>
      </c>
      <c r="S253" s="24"/>
      <c r="T253" s="11"/>
    </row>
    <row r="254" customFormat="false" ht="15" hidden="false" customHeight="false" outlineLevel="0" collapsed="false">
      <c r="A254" s="24"/>
      <c r="B254" s="31" t="str">
        <f aca="false">IF(A254="","",IF(LEN(UPPER(SUBSTITUTE(SUBSTITUTE(SUBSTITUTE(SUBSTITUTE(TRIM(A254),".",""),"/",""),"-","")," ","")))&lt;14,RIGHT(REPT("0",14)&amp;UPPER(SUBSTITUTE(SUBSTITUTE(SUBSTITUTE(SUBSTITUTE(TRIM(A254),".",""),"/",""),"-","")," ","")),14),UPPER(SUBSTITUTE(SUBSTITUTE(SUBSTITUTE(SUBSTITUTE(TRIM(A254),".",""),"/",""),"-","")," ",""))))</f>
        <v/>
      </c>
      <c r="C254" s="11"/>
      <c r="D254" s="23"/>
      <c r="E254" s="22"/>
      <c r="F254" s="23"/>
      <c r="G254" s="11"/>
      <c r="H254" s="35"/>
      <c r="I254" s="11"/>
      <c r="J254" s="23"/>
      <c r="K254" s="27" t="str">
        <f aca="false">IF(B254="","",COUNTIF(Contratos!$D:$D,B254))</f>
        <v/>
      </c>
      <c r="L254" s="36" t="str">
        <f aca="false">IF(B254="","",SUMIFS(Contratos!$K:$K,Contratos!$D:$D,B254))</f>
        <v/>
      </c>
      <c r="M254" s="36" t="str">
        <f aca="false">IF(B254="","",SUMIFS(Pagamentos!$G:$G,Pagamentos!$D:$D,B254,Pagamentos!$F:$F,"Empenho"))</f>
        <v/>
      </c>
      <c r="N254" s="36" t="str">
        <f aca="false">IF(B254="","",SUMIFS(Pagamentos!$G:$G,Pagamentos!$D:$D,B254,Pagamentos!$F:$F,"Pagamento"))</f>
        <v/>
      </c>
      <c r="O254" s="37" t="str">
        <f aca="false">IF(OR(B254="",H254="",L254="",L254=0),"",H254/L254)</f>
        <v/>
      </c>
      <c r="P254" s="27" t="str">
        <f aca="false">IF(B254="","",COUNTIF(Sancoes!$C:$C,B254))</f>
        <v/>
      </c>
      <c r="Q254" s="27" t="str">
        <f aca="false">IF(B254="","",COUNTIF(Socios!$B:$B,B254))</f>
        <v/>
      </c>
      <c r="R254" s="27" t="str">
        <f aca="false">IF(B254="","",COUNTIFS(Socios!$B:$B,B254,Socios!$L:$L,"SIM"))</f>
        <v/>
      </c>
      <c r="S254" s="24"/>
      <c r="T254" s="11"/>
    </row>
    <row r="255" customFormat="false" ht="15" hidden="false" customHeight="false" outlineLevel="0" collapsed="false">
      <c r="A255" s="24"/>
      <c r="B255" s="31" t="str">
        <f aca="false">IF(A255="","",IF(LEN(UPPER(SUBSTITUTE(SUBSTITUTE(SUBSTITUTE(SUBSTITUTE(TRIM(A255),".",""),"/",""),"-","")," ","")))&lt;14,RIGHT(REPT("0",14)&amp;UPPER(SUBSTITUTE(SUBSTITUTE(SUBSTITUTE(SUBSTITUTE(TRIM(A255),".",""),"/",""),"-","")," ","")),14),UPPER(SUBSTITUTE(SUBSTITUTE(SUBSTITUTE(SUBSTITUTE(TRIM(A255),".",""),"/",""),"-","")," ",""))))</f>
        <v/>
      </c>
      <c r="C255" s="11"/>
      <c r="D255" s="23"/>
      <c r="E255" s="22"/>
      <c r="F255" s="23"/>
      <c r="G255" s="11"/>
      <c r="H255" s="35"/>
      <c r="I255" s="11"/>
      <c r="J255" s="23"/>
      <c r="K255" s="27" t="str">
        <f aca="false">IF(B255="","",COUNTIF(Contratos!$D:$D,B255))</f>
        <v/>
      </c>
      <c r="L255" s="36" t="str">
        <f aca="false">IF(B255="","",SUMIFS(Contratos!$K:$K,Contratos!$D:$D,B255))</f>
        <v/>
      </c>
      <c r="M255" s="36" t="str">
        <f aca="false">IF(B255="","",SUMIFS(Pagamentos!$G:$G,Pagamentos!$D:$D,B255,Pagamentos!$F:$F,"Empenho"))</f>
        <v/>
      </c>
      <c r="N255" s="36" t="str">
        <f aca="false">IF(B255="","",SUMIFS(Pagamentos!$G:$G,Pagamentos!$D:$D,B255,Pagamentos!$F:$F,"Pagamento"))</f>
        <v/>
      </c>
      <c r="O255" s="37" t="str">
        <f aca="false">IF(OR(B255="",H255="",L255="",L255=0),"",H255/L255)</f>
        <v/>
      </c>
      <c r="P255" s="27" t="str">
        <f aca="false">IF(B255="","",COUNTIF(Sancoes!$C:$C,B255))</f>
        <v/>
      </c>
      <c r="Q255" s="27" t="str">
        <f aca="false">IF(B255="","",COUNTIF(Socios!$B:$B,B255))</f>
        <v/>
      </c>
      <c r="R255" s="27" t="str">
        <f aca="false">IF(B255="","",COUNTIFS(Socios!$B:$B,B255,Socios!$L:$L,"SIM"))</f>
        <v/>
      </c>
      <c r="S255" s="24"/>
      <c r="T255" s="11"/>
    </row>
    <row r="256" customFormat="false" ht="15" hidden="false" customHeight="false" outlineLevel="0" collapsed="false">
      <c r="A256" s="24"/>
      <c r="B256" s="31" t="str">
        <f aca="false">IF(A256="","",IF(LEN(UPPER(SUBSTITUTE(SUBSTITUTE(SUBSTITUTE(SUBSTITUTE(TRIM(A256),".",""),"/",""),"-","")," ","")))&lt;14,RIGHT(REPT("0",14)&amp;UPPER(SUBSTITUTE(SUBSTITUTE(SUBSTITUTE(SUBSTITUTE(TRIM(A256),".",""),"/",""),"-","")," ","")),14),UPPER(SUBSTITUTE(SUBSTITUTE(SUBSTITUTE(SUBSTITUTE(TRIM(A256),".",""),"/",""),"-","")," ",""))))</f>
        <v/>
      </c>
      <c r="C256" s="11"/>
      <c r="D256" s="23"/>
      <c r="E256" s="22"/>
      <c r="F256" s="23"/>
      <c r="G256" s="11"/>
      <c r="H256" s="35"/>
      <c r="I256" s="11"/>
      <c r="J256" s="23"/>
      <c r="K256" s="27" t="str">
        <f aca="false">IF(B256="","",COUNTIF(Contratos!$D:$D,B256))</f>
        <v/>
      </c>
      <c r="L256" s="36" t="str">
        <f aca="false">IF(B256="","",SUMIFS(Contratos!$K:$K,Contratos!$D:$D,B256))</f>
        <v/>
      </c>
      <c r="M256" s="36" t="str">
        <f aca="false">IF(B256="","",SUMIFS(Pagamentos!$G:$G,Pagamentos!$D:$D,B256,Pagamentos!$F:$F,"Empenho"))</f>
        <v/>
      </c>
      <c r="N256" s="36" t="str">
        <f aca="false">IF(B256="","",SUMIFS(Pagamentos!$G:$G,Pagamentos!$D:$D,B256,Pagamentos!$F:$F,"Pagamento"))</f>
        <v/>
      </c>
      <c r="O256" s="37" t="str">
        <f aca="false">IF(OR(B256="",H256="",L256="",L256=0),"",H256/L256)</f>
        <v/>
      </c>
      <c r="P256" s="27" t="str">
        <f aca="false">IF(B256="","",COUNTIF(Sancoes!$C:$C,B256))</f>
        <v/>
      </c>
      <c r="Q256" s="27" t="str">
        <f aca="false">IF(B256="","",COUNTIF(Socios!$B:$B,B256))</f>
        <v/>
      </c>
      <c r="R256" s="27" t="str">
        <f aca="false">IF(B256="","",COUNTIFS(Socios!$B:$B,B256,Socios!$L:$L,"SIM"))</f>
        <v/>
      </c>
      <c r="S256" s="24"/>
      <c r="T256" s="11"/>
    </row>
    <row r="257" customFormat="false" ht="15" hidden="false" customHeight="false" outlineLevel="0" collapsed="false">
      <c r="A257" s="24"/>
      <c r="B257" s="31" t="str">
        <f aca="false">IF(A257="","",IF(LEN(UPPER(SUBSTITUTE(SUBSTITUTE(SUBSTITUTE(SUBSTITUTE(TRIM(A257),".",""),"/",""),"-","")," ","")))&lt;14,RIGHT(REPT("0",14)&amp;UPPER(SUBSTITUTE(SUBSTITUTE(SUBSTITUTE(SUBSTITUTE(TRIM(A257),".",""),"/",""),"-","")," ","")),14),UPPER(SUBSTITUTE(SUBSTITUTE(SUBSTITUTE(SUBSTITUTE(TRIM(A257),".",""),"/",""),"-","")," ",""))))</f>
        <v/>
      </c>
      <c r="C257" s="11"/>
      <c r="D257" s="23"/>
      <c r="E257" s="22"/>
      <c r="F257" s="23"/>
      <c r="G257" s="11"/>
      <c r="H257" s="35"/>
      <c r="I257" s="11"/>
      <c r="J257" s="23"/>
      <c r="K257" s="27" t="str">
        <f aca="false">IF(B257="","",COUNTIF(Contratos!$D:$D,B257))</f>
        <v/>
      </c>
      <c r="L257" s="36" t="str">
        <f aca="false">IF(B257="","",SUMIFS(Contratos!$K:$K,Contratos!$D:$D,B257))</f>
        <v/>
      </c>
      <c r="M257" s="36" t="str">
        <f aca="false">IF(B257="","",SUMIFS(Pagamentos!$G:$G,Pagamentos!$D:$D,B257,Pagamentos!$F:$F,"Empenho"))</f>
        <v/>
      </c>
      <c r="N257" s="36" t="str">
        <f aca="false">IF(B257="","",SUMIFS(Pagamentos!$G:$G,Pagamentos!$D:$D,B257,Pagamentos!$F:$F,"Pagamento"))</f>
        <v/>
      </c>
      <c r="O257" s="37" t="str">
        <f aca="false">IF(OR(B257="",H257="",L257="",L257=0),"",H257/L257)</f>
        <v/>
      </c>
      <c r="P257" s="27" t="str">
        <f aca="false">IF(B257="","",COUNTIF(Sancoes!$C:$C,B257))</f>
        <v/>
      </c>
      <c r="Q257" s="27" t="str">
        <f aca="false">IF(B257="","",COUNTIF(Socios!$B:$B,B257))</f>
        <v/>
      </c>
      <c r="R257" s="27" t="str">
        <f aca="false">IF(B257="","",COUNTIFS(Socios!$B:$B,B257,Socios!$L:$L,"SIM"))</f>
        <v/>
      </c>
      <c r="S257" s="24"/>
      <c r="T257" s="11"/>
    </row>
    <row r="258" customFormat="false" ht="15" hidden="false" customHeight="false" outlineLevel="0" collapsed="false">
      <c r="A258" s="24"/>
      <c r="B258" s="31" t="str">
        <f aca="false">IF(A258="","",IF(LEN(UPPER(SUBSTITUTE(SUBSTITUTE(SUBSTITUTE(SUBSTITUTE(TRIM(A258),".",""),"/",""),"-","")," ","")))&lt;14,RIGHT(REPT("0",14)&amp;UPPER(SUBSTITUTE(SUBSTITUTE(SUBSTITUTE(SUBSTITUTE(TRIM(A258),".",""),"/",""),"-","")," ","")),14),UPPER(SUBSTITUTE(SUBSTITUTE(SUBSTITUTE(SUBSTITUTE(TRIM(A258),".",""),"/",""),"-","")," ",""))))</f>
        <v/>
      </c>
      <c r="C258" s="11"/>
      <c r="D258" s="23"/>
      <c r="E258" s="22"/>
      <c r="F258" s="23"/>
      <c r="G258" s="11"/>
      <c r="H258" s="35"/>
      <c r="I258" s="11"/>
      <c r="J258" s="23"/>
      <c r="K258" s="27" t="str">
        <f aca="false">IF(B258="","",COUNTIF(Contratos!$D:$D,B258))</f>
        <v/>
      </c>
      <c r="L258" s="36" t="str">
        <f aca="false">IF(B258="","",SUMIFS(Contratos!$K:$K,Contratos!$D:$D,B258))</f>
        <v/>
      </c>
      <c r="M258" s="36" t="str">
        <f aca="false">IF(B258="","",SUMIFS(Pagamentos!$G:$G,Pagamentos!$D:$D,B258,Pagamentos!$F:$F,"Empenho"))</f>
        <v/>
      </c>
      <c r="N258" s="36" t="str">
        <f aca="false">IF(B258="","",SUMIFS(Pagamentos!$G:$G,Pagamentos!$D:$D,B258,Pagamentos!$F:$F,"Pagamento"))</f>
        <v/>
      </c>
      <c r="O258" s="37" t="str">
        <f aca="false">IF(OR(B258="",H258="",L258="",L258=0),"",H258/L258)</f>
        <v/>
      </c>
      <c r="P258" s="27" t="str">
        <f aca="false">IF(B258="","",COUNTIF(Sancoes!$C:$C,B258))</f>
        <v/>
      </c>
      <c r="Q258" s="27" t="str">
        <f aca="false">IF(B258="","",COUNTIF(Socios!$B:$B,B258))</f>
        <v/>
      </c>
      <c r="R258" s="27" t="str">
        <f aca="false">IF(B258="","",COUNTIFS(Socios!$B:$B,B258,Socios!$L:$L,"SIM"))</f>
        <v/>
      </c>
      <c r="S258" s="24"/>
      <c r="T258" s="11"/>
    </row>
    <row r="259" customFormat="false" ht="15" hidden="false" customHeight="false" outlineLevel="0" collapsed="false">
      <c r="A259" s="24"/>
      <c r="B259" s="31" t="str">
        <f aca="false">IF(A259="","",IF(LEN(UPPER(SUBSTITUTE(SUBSTITUTE(SUBSTITUTE(SUBSTITUTE(TRIM(A259),".",""),"/",""),"-","")," ","")))&lt;14,RIGHT(REPT("0",14)&amp;UPPER(SUBSTITUTE(SUBSTITUTE(SUBSTITUTE(SUBSTITUTE(TRIM(A259),".",""),"/",""),"-","")," ","")),14),UPPER(SUBSTITUTE(SUBSTITUTE(SUBSTITUTE(SUBSTITUTE(TRIM(A259),".",""),"/",""),"-","")," ",""))))</f>
        <v/>
      </c>
      <c r="C259" s="11"/>
      <c r="D259" s="23"/>
      <c r="E259" s="22"/>
      <c r="F259" s="23"/>
      <c r="G259" s="11"/>
      <c r="H259" s="35"/>
      <c r="I259" s="11"/>
      <c r="J259" s="23"/>
      <c r="K259" s="27" t="str">
        <f aca="false">IF(B259="","",COUNTIF(Contratos!$D:$D,B259))</f>
        <v/>
      </c>
      <c r="L259" s="36" t="str">
        <f aca="false">IF(B259="","",SUMIFS(Contratos!$K:$K,Contratos!$D:$D,B259))</f>
        <v/>
      </c>
      <c r="M259" s="36" t="str">
        <f aca="false">IF(B259="","",SUMIFS(Pagamentos!$G:$G,Pagamentos!$D:$D,B259,Pagamentos!$F:$F,"Empenho"))</f>
        <v/>
      </c>
      <c r="N259" s="36" t="str">
        <f aca="false">IF(B259="","",SUMIFS(Pagamentos!$G:$G,Pagamentos!$D:$D,B259,Pagamentos!$F:$F,"Pagamento"))</f>
        <v/>
      </c>
      <c r="O259" s="37" t="str">
        <f aca="false">IF(OR(B259="",H259="",L259="",L259=0),"",H259/L259)</f>
        <v/>
      </c>
      <c r="P259" s="27" t="str">
        <f aca="false">IF(B259="","",COUNTIF(Sancoes!$C:$C,B259))</f>
        <v/>
      </c>
      <c r="Q259" s="27" t="str">
        <f aca="false">IF(B259="","",COUNTIF(Socios!$B:$B,B259))</f>
        <v/>
      </c>
      <c r="R259" s="27" t="str">
        <f aca="false">IF(B259="","",COUNTIFS(Socios!$B:$B,B259,Socios!$L:$L,"SIM"))</f>
        <v/>
      </c>
      <c r="S259" s="24"/>
      <c r="T259" s="11"/>
    </row>
    <row r="260" customFormat="false" ht="15" hidden="false" customHeight="false" outlineLevel="0" collapsed="false">
      <c r="A260" s="24"/>
      <c r="B260" s="31" t="str">
        <f aca="false">IF(A260="","",IF(LEN(UPPER(SUBSTITUTE(SUBSTITUTE(SUBSTITUTE(SUBSTITUTE(TRIM(A260),".",""),"/",""),"-","")," ","")))&lt;14,RIGHT(REPT("0",14)&amp;UPPER(SUBSTITUTE(SUBSTITUTE(SUBSTITUTE(SUBSTITUTE(TRIM(A260),".",""),"/",""),"-","")," ","")),14),UPPER(SUBSTITUTE(SUBSTITUTE(SUBSTITUTE(SUBSTITUTE(TRIM(A260),".",""),"/",""),"-","")," ",""))))</f>
        <v/>
      </c>
      <c r="C260" s="11"/>
      <c r="D260" s="23"/>
      <c r="E260" s="22"/>
      <c r="F260" s="23"/>
      <c r="G260" s="11"/>
      <c r="H260" s="35"/>
      <c r="I260" s="11"/>
      <c r="J260" s="23"/>
      <c r="K260" s="27" t="str">
        <f aca="false">IF(B260="","",COUNTIF(Contratos!$D:$D,B260))</f>
        <v/>
      </c>
      <c r="L260" s="36" t="str">
        <f aca="false">IF(B260="","",SUMIFS(Contratos!$K:$K,Contratos!$D:$D,B260))</f>
        <v/>
      </c>
      <c r="M260" s="36" t="str">
        <f aca="false">IF(B260="","",SUMIFS(Pagamentos!$G:$G,Pagamentos!$D:$D,B260,Pagamentos!$F:$F,"Empenho"))</f>
        <v/>
      </c>
      <c r="N260" s="36" t="str">
        <f aca="false">IF(B260="","",SUMIFS(Pagamentos!$G:$G,Pagamentos!$D:$D,B260,Pagamentos!$F:$F,"Pagamento"))</f>
        <v/>
      </c>
      <c r="O260" s="37" t="str">
        <f aca="false">IF(OR(B260="",H260="",L260="",L260=0),"",H260/L260)</f>
        <v/>
      </c>
      <c r="P260" s="27" t="str">
        <f aca="false">IF(B260="","",COUNTIF(Sancoes!$C:$C,B260))</f>
        <v/>
      </c>
      <c r="Q260" s="27" t="str">
        <f aca="false">IF(B260="","",COUNTIF(Socios!$B:$B,B260))</f>
        <v/>
      </c>
      <c r="R260" s="27" t="str">
        <f aca="false">IF(B260="","",COUNTIFS(Socios!$B:$B,B260,Socios!$L:$L,"SIM"))</f>
        <v/>
      </c>
      <c r="S260" s="24"/>
      <c r="T260" s="11"/>
    </row>
    <row r="261" customFormat="false" ht="15" hidden="false" customHeight="false" outlineLevel="0" collapsed="false">
      <c r="A261" s="24"/>
      <c r="B261" s="31" t="str">
        <f aca="false">IF(A261="","",IF(LEN(UPPER(SUBSTITUTE(SUBSTITUTE(SUBSTITUTE(SUBSTITUTE(TRIM(A261),".",""),"/",""),"-","")," ","")))&lt;14,RIGHT(REPT("0",14)&amp;UPPER(SUBSTITUTE(SUBSTITUTE(SUBSTITUTE(SUBSTITUTE(TRIM(A261),".",""),"/",""),"-","")," ","")),14),UPPER(SUBSTITUTE(SUBSTITUTE(SUBSTITUTE(SUBSTITUTE(TRIM(A261),".",""),"/",""),"-","")," ",""))))</f>
        <v/>
      </c>
      <c r="C261" s="11"/>
      <c r="D261" s="23"/>
      <c r="E261" s="22"/>
      <c r="F261" s="23"/>
      <c r="G261" s="11"/>
      <c r="H261" s="35"/>
      <c r="I261" s="11"/>
      <c r="J261" s="23"/>
      <c r="K261" s="27" t="str">
        <f aca="false">IF(B261="","",COUNTIF(Contratos!$D:$D,B261))</f>
        <v/>
      </c>
      <c r="L261" s="36" t="str">
        <f aca="false">IF(B261="","",SUMIFS(Contratos!$K:$K,Contratos!$D:$D,B261))</f>
        <v/>
      </c>
      <c r="M261" s="36" t="str">
        <f aca="false">IF(B261="","",SUMIFS(Pagamentos!$G:$G,Pagamentos!$D:$D,B261,Pagamentos!$F:$F,"Empenho"))</f>
        <v/>
      </c>
      <c r="N261" s="36" t="str">
        <f aca="false">IF(B261="","",SUMIFS(Pagamentos!$G:$G,Pagamentos!$D:$D,B261,Pagamentos!$F:$F,"Pagamento"))</f>
        <v/>
      </c>
      <c r="O261" s="37" t="str">
        <f aca="false">IF(OR(B261="",H261="",L261="",L261=0),"",H261/L261)</f>
        <v/>
      </c>
      <c r="P261" s="27" t="str">
        <f aca="false">IF(B261="","",COUNTIF(Sancoes!$C:$C,B261))</f>
        <v/>
      </c>
      <c r="Q261" s="27" t="str">
        <f aca="false">IF(B261="","",COUNTIF(Socios!$B:$B,B261))</f>
        <v/>
      </c>
      <c r="R261" s="27" t="str">
        <f aca="false">IF(B261="","",COUNTIFS(Socios!$B:$B,B261,Socios!$L:$L,"SIM"))</f>
        <v/>
      </c>
      <c r="S261" s="24"/>
      <c r="T261" s="11"/>
    </row>
    <row r="262" customFormat="false" ht="15" hidden="false" customHeight="false" outlineLevel="0" collapsed="false">
      <c r="A262" s="24"/>
      <c r="B262" s="31" t="str">
        <f aca="false">IF(A262="","",IF(LEN(UPPER(SUBSTITUTE(SUBSTITUTE(SUBSTITUTE(SUBSTITUTE(TRIM(A262),".",""),"/",""),"-","")," ","")))&lt;14,RIGHT(REPT("0",14)&amp;UPPER(SUBSTITUTE(SUBSTITUTE(SUBSTITUTE(SUBSTITUTE(TRIM(A262),".",""),"/",""),"-","")," ","")),14),UPPER(SUBSTITUTE(SUBSTITUTE(SUBSTITUTE(SUBSTITUTE(TRIM(A262),".",""),"/",""),"-","")," ",""))))</f>
        <v/>
      </c>
      <c r="C262" s="11"/>
      <c r="D262" s="23"/>
      <c r="E262" s="22"/>
      <c r="F262" s="23"/>
      <c r="G262" s="11"/>
      <c r="H262" s="35"/>
      <c r="I262" s="11"/>
      <c r="J262" s="23"/>
      <c r="K262" s="27" t="str">
        <f aca="false">IF(B262="","",COUNTIF(Contratos!$D:$D,B262))</f>
        <v/>
      </c>
      <c r="L262" s="36" t="str">
        <f aca="false">IF(B262="","",SUMIFS(Contratos!$K:$K,Contratos!$D:$D,B262))</f>
        <v/>
      </c>
      <c r="M262" s="36" t="str">
        <f aca="false">IF(B262="","",SUMIFS(Pagamentos!$G:$G,Pagamentos!$D:$D,B262,Pagamentos!$F:$F,"Empenho"))</f>
        <v/>
      </c>
      <c r="N262" s="36" t="str">
        <f aca="false">IF(B262="","",SUMIFS(Pagamentos!$G:$G,Pagamentos!$D:$D,B262,Pagamentos!$F:$F,"Pagamento"))</f>
        <v/>
      </c>
      <c r="O262" s="37" t="str">
        <f aca="false">IF(OR(B262="",H262="",L262="",L262=0),"",H262/L262)</f>
        <v/>
      </c>
      <c r="P262" s="27" t="str">
        <f aca="false">IF(B262="","",COUNTIF(Sancoes!$C:$C,B262))</f>
        <v/>
      </c>
      <c r="Q262" s="27" t="str">
        <f aca="false">IF(B262="","",COUNTIF(Socios!$B:$B,B262))</f>
        <v/>
      </c>
      <c r="R262" s="27" t="str">
        <f aca="false">IF(B262="","",COUNTIFS(Socios!$B:$B,B262,Socios!$L:$L,"SIM"))</f>
        <v/>
      </c>
      <c r="S262" s="24"/>
      <c r="T262" s="11"/>
    </row>
    <row r="263" customFormat="false" ht="15" hidden="false" customHeight="false" outlineLevel="0" collapsed="false">
      <c r="A263" s="24"/>
      <c r="B263" s="31" t="str">
        <f aca="false">IF(A263="","",IF(LEN(UPPER(SUBSTITUTE(SUBSTITUTE(SUBSTITUTE(SUBSTITUTE(TRIM(A263),".",""),"/",""),"-","")," ","")))&lt;14,RIGHT(REPT("0",14)&amp;UPPER(SUBSTITUTE(SUBSTITUTE(SUBSTITUTE(SUBSTITUTE(TRIM(A263),".",""),"/",""),"-","")," ","")),14),UPPER(SUBSTITUTE(SUBSTITUTE(SUBSTITUTE(SUBSTITUTE(TRIM(A263),".",""),"/",""),"-","")," ",""))))</f>
        <v/>
      </c>
      <c r="C263" s="11"/>
      <c r="D263" s="23"/>
      <c r="E263" s="22"/>
      <c r="F263" s="23"/>
      <c r="G263" s="11"/>
      <c r="H263" s="35"/>
      <c r="I263" s="11"/>
      <c r="J263" s="23"/>
      <c r="K263" s="27" t="str">
        <f aca="false">IF(B263="","",COUNTIF(Contratos!$D:$D,B263))</f>
        <v/>
      </c>
      <c r="L263" s="36" t="str">
        <f aca="false">IF(B263="","",SUMIFS(Contratos!$K:$K,Contratos!$D:$D,B263))</f>
        <v/>
      </c>
      <c r="M263" s="36" t="str">
        <f aca="false">IF(B263="","",SUMIFS(Pagamentos!$G:$G,Pagamentos!$D:$D,B263,Pagamentos!$F:$F,"Empenho"))</f>
        <v/>
      </c>
      <c r="N263" s="36" t="str">
        <f aca="false">IF(B263="","",SUMIFS(Pagamentos!$G:$G,Pagamentos!$D:$D,B263,Pagamentos!$F:$F,"Pagamento"))</f>
        <v/>
      </c>
      <c r="O263" s="37" t="str">
        <f aca="false">IF(OR(B263="",H263="",L263="",L263=0),"",H263/L263)</f>
        <v/>
      </c>
      <c r="P263" s="27" t="str">
        <f aca="false">IF(B263="","",COUNTIF(Sancoes!$C:$C,B263))</f>
        <v/>
      </c>
      <c r="Q263" s="27" t="str">
        <f aca="false">IF(B263="","",COUNTIF(Socios!$B:$B,B263))</f>
        <v/>
      </c>
      <c r="R263" s="27" t="str">
        <f aca="false">IF(B263="","",COUNTIFS(Socios!$B:$B,B263,Socios!$L:$L,"SIM"))</f>
        <v/>
      </c>
      <c r="S263" s="24"/>
      <c r="T263" s="11"/>
    </row>
    <row r="264" customFormat="false" ht="15" hidden="false" customHeight="false" outlineLevel="0" collapsed="false">
      <c r="A264" s="24"/>
      <c r="B264" s="31" t="str">
        <f aca="false">IF(A264="","",IF(LEN(UPPER(SUBSTITUTE(SUBSTITUTE(SUBSTITUTE(SUBSTITUTE(TRIM(A264),".",""),"/",""),"-","")," ","")))&lt;14,RIGHT(REPT("0",14)&amp;UPPER(SUBSTITUTE(SUBSTITUTE(SUBSTITUTE(SUBSTITUTE(TRIM(A264),".",""),"/",""),"-","")," ","")),14),UPPER(SUBSTITUTE(SUBSTITUTE(SUBSTITUTE(SUBSTITUTE(TRIM(A264),".",""),"/",""),"-","")," ",""))))</f>
        <v/>
      </c>
      <c r="C264" s="11"/>
      <c r="D264" s="23"/>
      <c r="E264" s="22"/>
      <c r="F264" s="23"/>
      <c r="G264" s="11"/>
      <c r="H264" s="35"/>
      <c r="I264" s="11"/>
      <c r="J264" s="23"/>
      <c r="K264" s="27" t="str">
        <f aca="false">IF(B264="","",COUNTIF(Contratos!$D:$D,B264))</f>
        <v/>
      </c>
      <c r="L264" s="36" t="str">
        <f aca="false">IF(B264="","",SUMIFS(Contratos!$K:$K,Contratos!$D:$D,B264))</f>
        <v/>
      </c>
      <c r="M264" s="36" t="str">
        <f aca="false">IF(B264="","",SUMIFS(Pagamentos!$G:$G,Pagamentos!$D:$D,B264,Pagamentos!$F:$F,"Empenho"))</f>
        <v/>
      </c>
      <c r="N264" s="36" t="str">
        <f aca="false">IF(B264="","",SUMIFS(Pagamentos!$G:$G,Pagamentos!$D:$D,B264,Pagamentos!$F:$F,"Pagamento"))</f>
        <v/>
      </c>
      <c r="O264" s="37" t="str">
        <f aca="false">IF(OR(B264="",H264="",L264="",L264=0),"",H264/L264)</f>
        <v/>
      </c>
      <c r="P264" s="27" t="str">
        <f aca="false">IF(B264="","",COUNTIF(Sancoes!$C:$C,B264))</f>
        <v/>
      </c>
      <c r="Q264" s="27" t="str">
        <f aca="false">IF(B264="","",COUNTIF(Socios!$B:$B,B264))</f>
        <v/>
      </c>
      <c r="R264" s="27" t="str">
        <f aca="false">IF(B264="","",COUNTIFS(Socios!$B:$B,B264,Socios!$L:$L,"SIM"))</f>
        <v/>
      </c>
      <c r="S264" s="24"/>
      <c r="T264" s="11"/>
    </row>
    <row r="265" customFormat="false" ht="15" hidden="false" customHeight="false" outlineLevel="0" collapsed="false">
      <c r="A265" s="24"/>
      <c r="B265" s="31" t="str">
        <f aca="false">IF(A265="","",IF(LEN(UPPER(SUBSTITUTE(SUBSTITUTE(SUBSTITUTE(SUBSTITUTE(TRIM(A265),".",""),"/",""),"-","")," ","")))&lt;14,RIGHT(REPT("0",14)&amp;UPPER(SUBSTITUTE(SUBSTITUTE(SUBSTITUTE(SUBSTITUTE(TRIM(A265),".",""),"/",""),"-","")," ","")),14),UPPER(SUBSTITUTE(SUBSTITUTE(SUBSTITUTE(SUBSTITUTE(TRIM(A265),".",""),"/",""),"-","")," ",""))))</f>
        <v/>
      </c>
      <c r="C265" s="11"/>
      <c r="D265" s="23"/>
      <c r="E265" s="22"/>
      <c r="F265" s="23"/>
      <c r="G265" s="11"/>
      <c r="H265" s="35"/>
      <c r="I265" s="11"/>
      <c r="J265" s="23"/>
      <c r="K265" s="27" t="str">
        <f aca="false">IF(B265="","",COUNTIF(Contratos!$D:$D,B265))</f>
        <v/>
      </c>
      <c r="L265" s="36" t="str">
        <f aca="false">IF(B265="","",SUMIFS(Contratos!$K:$K,Contratos!$D:$D,B265))</f>
        <v/>
      </c>
      <c r="M265" s="36" t="str">
        <f aca="false">IF(B265="","",SUMIFS(Pagamentos!$G:$G,Pagamentos!$D:$D,B265,Pagamentos!$F:$F,"Empenho"))</f>
        <v/>
      </c>
      <c r="N265" s="36" t="str">
        <f aca="false">IF(B265="","",SUMIFS(Pagamentos!$G:$G,Pagamentos!$D:$D,B265,Pagamentos!$F:$F,"Pagamento"))</f>
        <v/>
      </c>
      <c r="O265" s="37" t="str">
        <f aca="false">IF(OR(B265="",H265="",L265="",L265=0),"",H265/L265)</f>
        <v/>
      </c>
      <c r="P265" s="27" t="str">
        <f aca="false">IF(B265="","",COUNTIF(Sancoes!$C:$C,B265))</f>
        <v/>
      </c>
      <c r="Q265" s="27" t="str">
        <f aca="false">IF(B265="","",COUNTIF(Socios!$B:$B,B265))</f>
        <v/>
      </c>
      <c r="R265" s="27" t="str">
        <f aca="false">IF(B265="","",COUNTIFS(Socios!$B:$B,B265,Socios!$L:$L,"SIM"))</f>
        <v/>
      </c>
      <c r="S265" s="24"/>
      <c r="T265" s="11"/>
    </row>
    <row r="266" customFormat="false" ht="15" hidden="false" customHeight="false" outlineLevel="0" collapsed="false">
      <c r="A266" s="24"/>
      <c r="B266" s="31" t="str">
        <f aca="false">IF(A266="","",IF(LEN(UPPER(SUBSTITUTE(SUBSTITUTE(SUBSTITUTE(SUBSTITUTE(TRIM(A266),".",""),"/",""),"-","")," ","")))&lt;14,RIGHT(REPT("0",14)&amp;UPPER(SUBSTITUTE(SUBSTITUTE(SUBSTITUTE(SUBSTITUTE(TRIM(A266),".",""),"/",""),"-","")," ","")),14),UPPER(SUBSTITUTE(SUBSTITUTE(SUBSTITUTE(SUBSTITUTE(TRIM(A266),".",""),"/",""),"-","")," ",""))))</f>
        <v/>
      </c>
      <c r="C266" s="11"/>
      <c r="D266" s="23"/>
      <c r="E266" s="22"/>
      <c r="F266" s="23"/>
      <c r="G266" s="11"/>
      <c r="H266" s="35"/>
      <c r="I266" s="11"/>
      <c r="J266" s="23"/>
      <c r="K266" s="27" t="str">
        <f aca="false">IF(B266="","",COUNTIF(Contratos!$D:$D,B266))</f>
        <v/>
      </c>
      <c r="L266" s="36" t="str">
        <f aca="false">IF(B266="","",SUMIFS(Contratos!$K:$K,Contratos!$D:$D,B266))</f>
        <v/>
      </c>
      <c r="M266" s="36" t="str">
        <f aca="false">IF(B266="","",SUMIFS(Pagamentos!$G:$G,Pagamentos!$D:$D,B266,Pagamentos!$F:$F,"Empenho"))</f>
        <v/>
      </c>
      <c r="N266" s="36" t="str">
        <f aca="false">IF(B266="","",SUMIFS(Pagamentos!$G:$G,Pagamentos!$D:$D,B266,Pagamentos!$F:$F,"Pagamento"))</f>
        <v/>
      </c>
      <c r="O266" s="37" t="str">
        <f aca="false">IF(OR(B266="",H266="",L266="",L266=0),"",H266/L266)</f>
        <v/>
      </c>
      <c r="P266" s="27" t="str">
        <f aca="false">IF(B266="","",COUNTIF(Sancoes!$C:$C,B266))</f>
        <v/>
      </c>
      <c r="Q266" s="27" t="str">
        <f aca="false">IF(B266="","",COUNTIF(Socios!$B:$B,B266))</f>
        <v/>
      </c>
      <c r="R266" s="27" t="str">
        <f aca="false">IF(B266="","",COUNTIFS(Socios!$B:$B,B266,Socios!$L:$L,"SIM"))</f>
        <v/>
      </c>
      <c r="S266" s="24"/>
      <c r="T266" s="11"/>
    </row>
    <row r="267" customFormat="false" ht="15" hidden="false" customHeight="false" outlineLevel="0" collapsed="false">
      <c r="A267" s="24"/>
      <c r="B267" s="31" t="str">
        <f aca="false">IF(A267="","",IF(LEN(UPPER(SUBSTITUTE(SUBSTITUTE(SUBSTITUTE(SUBSTITUTE(TRIM(A267),".",""),"/",""),"-","")," ","")))&lt;14,RIGHT(REPT("0",14)&amp;UPPER(SUBSTITUTE(SUBSTITUTE(SUBSTITUTE(SUBSTITUTE(TRIM(A267),".",""),"/",""),"-","")," ","")),14),UPPER(SUBSTITUTE(SUBSTITUTE(SUBSTITUTE(SUBSTITUTE(TRIM(A267),".",""),"/",""),"-","")," ",""))))</f>
        <v/>
      </c>
      <c r="C267" s="11"/>
      <c r="D267" s="23"/>
      <c r="E267" s="22"/>
      <c r="F267" s="23"/>
      <c r="G267" s="11"/>
      <c r="H267" s="35"/>
      <c r="I267" s="11"/>
      <c r="J267" s="23"/>
      <c r="K267" s="27" t="str">
        <f aca="false">IF(B267="","",COUNTIF(Contratos!$D:$D,B267))</f>
        <v/>
      </c>
      <c r="L267" s="36" t="str">
        <f aca="false">IF(B267="","",SUMIFS(Contratos!$K:$K,Contratos!$D:$D,B267))</f>
        <v/>
      </c>
      <c r="M267" s="36" t="str">
        <f aca="false">IF(B267="","",SUMIFS(Pagamentos!$G:$G,Pagamentos!$D:$D,B267,Pagamentos!$F:$F,"Empenho"))</f>
        <v/>
      </c>
      <c r="N267" s="36" t="str">
        <f aca="false">IF(B267="","",SUMIFS(Pagamentos!$G:$G,Pagamentos!$D:$D,B267,Pagamentos!$F:$F,"Pagamento"))</f>
        <v/>
      </c>
      <c r="O267" s="37" t="str">
        <f aca="false">IF(OR(B267="",H267="",L267="",L267=0),"",H267/L267)</f>
        <v/>
      </c>
      <c r="P267" s="27" t="str">
        <f aca="false">IF(B267="","",COUNTIF(Sancoes!$C:$C,B267))</f>
        <v/>
      </c>
      <c r="Q267" s="27" t="str">
        <f aca="false">IF(B267="","",COUNTIF(Socios!$B:$B,B267))</f>
        <v/>
      </c>
      <c r="R267" s="27" t="str">
        <f aca="false">IF(B267="","",COUNTIFS(Socios!$B:$B,B267,Socios!$L:$L,"SIM"))</f>
        <v/>
      </c>
      <c r="S267" s="24"/>
      <c r="T267" s="11"/>
    </row>
    <row r="268" customFormat="false" ht="15" hidden="false" customHeight="false" outlineLevel="0" collapsed="false">
      <c r="A268" s="24"/>
      <c r="B268" s="31" t="str">
        <f aca="false">IF(A268="","",IF(LEN(UPPER(SUBSTITUTE(SUBSTITUTE(SUBSTITUTE(SUBSTITUTE(TRIM(A268),".",""),"/",""),"-","")," ","")))&lt;14,RIGHT(REPT("0",14)&amp;UPPER(SUBSTITUTE(SUBSTITUTE(SUBSTITUTE(SUBSTITUTE(TRIM(A268),".",""),"/",""),"-","")," ","")),14),UPPER(SUBSTITUTE(SUBSTITUTE(SUBSTITUTE(SUBSTITUTE(TRIM(A268),".",""),"/",""),"-","")," ",""))))</f>
        <v/>
      </c>
      <c r="C268" s="11"/>
      <c r="D268" s="23"/>
      <c r="E268" s="22"/>
      <c r="F268" s="23"/>
      <c r="G268" s="11"/>
      <c r="H268" s="35"/>
      <c r="I268" s="11"/>
      <c r="J268" s="23"/>
      <c r="K268" s="27" t="str">
        <f aca="false">IF(B268="","",COUNTIF(Contratos!$D:$D,B268))</f>
        <v/>
      </c>
      <c r="L268" s="36" t="str">
        <f aca="false">IF(B268="","",SUMIFS(Contratos!$K:$K,Contratos!$D:$D,B268))</f>
        <v/>
      </c>
      <c r="M268" s="36" t="str">
        <f aca="false">IF(B268="","",SUMIFS(Pagamentos!$G:$G,Pagamentos!$D:$D,B268,Pagamentos!$F:$F,"Empenho"))</f>
        <v/>
      </c>
      <c r="N268" s="36" t="str">
        <f aca="false">IF(B268="","",SUMIFS(Pagamentos!$G:$G,Pagamentos!$D:$D,B268,Pagamentos!$F:$F,"Pagamento"))</f>
        <v/>
      </c>
      <c r="O268" s="37" t="str">
        <f aca="false">IF(OR(B268="",H268="",L268="",L268=0),"",H268/L268)</f>
        <v/>
      </c>
      <c r="P268" s="27" t="str">
        <f aca="false">IF(B268="","",COUNTIF(Sancoes!$C:$C,B268))</f>
        <v/>
      </c>
      <c r="Q268" s="27" t="str">
        <f aca="false">IF(B268="","",COUNTIF(Socios!$B:$B,B268))</f>
        <v/>
      </c>
      <c r="R268" s="27" t="str">
        <f aca="false">IF(B268="","",COUNTIFS(Socios!$B:$B,B268,Socios!$L:$L,"SIM"))</f>
        <v/>
      </c>
      <c r="S268" s="24"/>
      <c r="T268" s="11"/>
    </row>
    <row r="269" customFormat="false" ht="15" hidden="false" customHeight="false" outlineLevel="0" collapsed="false">
      <c r="A269" s="24"/>
      <c r="B269" s="31" t="str">
        <f aca="false">IF(A269="","",IF(LEN(UPPER(SUBSTITUTE(SUBSTITUTE(SUBSTITUTE(SUBSTITUTE(TRIM(A269),".",""),"/",""),"-","")," ","")))&lt;14,RIGHT(REPT("0",14)&amp;UPPER(SUBSTITUTE(SUBSTITUTE(SUBSTITUTE(SUBSTITUTE(TRIM(A269),".",""),"/",""),"-","")," ","")),14),UPPER(SUBSTITUTE(SUBSTITUTE(SUBSTITUTE(SUBSTITUTE(TRIM(A269),".",""),"/",""),"-","")," ",""))))</f>
        <v/>
      </c>
      <c r="C269" s="11"/>
      <c r="D269" s="23"/>
      <c r="E269" s="22"/>
      <c r="F269" s="23"/>
      <c r="G269" s="11"/>
      <c r="H269" s="35"/>
      <c r="I269" s="11"/>
      <c r="J269" s="23"/>
      <c r="K269" s="27" t="str">
        <f aca="false">IF(B269="","",COUNTIF(Contratos!$D:$D,B269))</f>
        <v/>
      </c>
      <c r="L269" s="36" t="str">
        <f aca="false">IF(B269="","",SUMIFS(Contratos!$K:$K,Contratos!$D:$D,B269))</f>
        <v/>
      </c>
      <c r="M269" s="36" t="str">
        <f aca="false">IF(B269="","",SUMIFS(Pagamentos!$G:$G,Pagamentos!$D:$D,B269,Pagamentos!$F:$F,"Empenho"))</f>
        <v/>
      </c>
      <c r="N269" s="36" t="str">
        <f aca="false">IF(B269="","",SUMIFS(Pagamentos!$G:$G,Pagamentos!$D:$D,B269,Pagamentos!$F:$F,"Pagamento"))</f>
        <v/>
      </c>
      <c r="O269" s="37" t="str">
        <f aca="false">IF(OR(B269="",H269="",L269="",L269=0),"",H269/L269)</f>
        <v/>
      </c>
      <c r="P269" s="27" t="str">
        <f aca="false">IF(B269="","",COUNTIF(Sancoes!$C:$C,B269))</f>
        <v/>
      </c>
      <c r="Q269" s="27" t="str">
        <f aca="false">IF(B269="","",COUNTIF(Socios!$B:$B,B269))</f>
        <v/>
      </c>
      <c r="R269" s="27" t="str">
        <f aca="false">IF(B269="","",COUNTIFS(Socios!$B:$B,B269,Socios!$L:$L,"SIM"))</f>
        <v/>
      </c>
      <c r="S269" s="24"/>
      <c r="T269" s="11"/>
    </row>
    <row r="270" customFormat="false" ht="15" hidden="false" customHeight="false" outlineLevel="0" collapsed="false">
      <c r="A270" s="24"/>
      <c r="B270" s="31" t="str">
        <f aca="false">IF(A270="","",IF(LEN(UPPER(SUBSTITUTE(SUBSTITUTE(SUBSTITUTE(SUBSTITUTE(TRIM(A270),".",""),"/",""),"-","")," ","")))&lt;14,RIGHT(REPT("0",14)&amp;UPPER(SUBSTITUTE(SUBSTITUTE(SUBSTITUTE(SUBSTITUTE(TRIM(A270),".",""),"/",""),"-","")," ","")),14),UPPER(SUBSTITUTE(SUBSTITUTE(SUBSTITUTE(SUBSTITUTE(TRIM(A270),".",""),"/",""),"-","")," ",""))))</f>
        <v/>
      </c>
      <c r="C270" s="11"/>
      <c r="D270" s="23"/>
      <c r="E270" s="22"/>
      <c r="F270" s="23"/>
      <c r="G270" s="11"/>
      <c r="H270" s="35"/>
      <c r="I270" s="11"/>
      <c r="J270" s="23"/>
      <c r="K270" s="27" t="str">
        <f aca="false">IF(B270="","",COUNTIF(Contratos!$D:$D,B270))</f>
        <v/>
      </c>
      <c r="L270" s="36" t="str">
        <f aca="false">IF(B270="","",SUMIFS(Contratos!$K:$K,Contratos!$D:$D,B270))</f>
        <v/>
      </c>
      <c r="M270" s="36" t="str">
        <f aca="false">IF(B270="","",SUMIFS(Pagamentos!$G:$G,Pagamentos!$D:$D,B270,Pagamentos!$F:$F,"Empenho"))</f>
        <v/>
      </c>
      <c r="N270" s="36" t="str">
        <f aca="false">IF(B270="","",SUMIFS(Pagamentos!$G:$G,Pagamentos!$D:$D,B270,Pagamentos!$F:$F,"Pagamento"))</f>
        <v/>
      </c>
      <c r="O270" s="37" t="str">
        <f aca="false">IF(OR(B270="",H270="",L270="",L270=0),"",H270/L270)</f>
        <v/>
      </c>
      <c r="P270" s="27" t="str">
        <f aca="false">IF(B270="","",COUNTIF(Sancoes!$C:$C,B270))</f>
        <v/>
      </c>
      <c r="Q270" s="27" t="str">
        <f aca="false">IF(B270="","",COUNTIF(Socios!$B:$B,B270))</f>
        <v/>
      </c>
      <c r="R270" s="27" t="str">
        <f aca="false">IF(B270="","",COUNTIFS(Socios!$B:$B,B270,Socios!$L:$L,"SIM"))</f>
        <v/>
      </c>
      <c r="S270" s="24"/>
      <c r="T270" s="11"/>
    </row>
    <row r="271" customFormat="false" ht="15" hidden="false" customHeight="false" outlineLevel="0" collapsed="false">
      <c r="A271" s="24"/>
      <c r="B271" s="31" t="str">
        <f aca="false">IF(A271="","",IF(LEN(UPPER(SUBSTITUTE(SUBSTITUTE(SUBSTITUTE(SUBSTITUTE(TRIM(A271),".",""),"/",""),"-","")," ","")))&lt;14,RIGHT(REPT("0",14)&amp;UPPER(SUBSTITUTE(SUBSTITUTE(SUBSTITUTE(SUBSTITUTE(TRIM(A271),".",""),"/",""),"-","")," ","")),14),UPPER(SUBSTITUTE(SUBSTITUTE(SUBSTITUTE(SUBSTITUTE(TRIM(A271),".",""),"/",""),"-","")," ",""))))</f>
        <v/>
      </c>
      <c r="C271" s="11"/>
      <c r="D271" s="23"/>
      <c r="E271" s="22"/>
      <c r="F271" s="23"/>
      <c r="G271" s="11"/>
      <c r="H271" s="35"/>
      <c r="I271" s="11"/>
      <c r="J271" s="23"/>
      <c r="K271" s="27" t="str">
        <f aca="false">IF(B271="","",COUNTIF(Contratos!$D:$D,B271))</f>
        <v/>
      </c>
      <c r="L271" s="36" t="str">
        <f aca="false">IF(B271="","",SUMIFS(Contratos!$K:$K,Contratos!$D:$D,B271))</f>
        <v/>
      </c>
      <c r="M271" s="36" t="str">
        <f aca="false">IF(B271="","",SUMIFS(Pagamentos!$G:$G,Pagamentos!$D:$D,B271,Pagamentos!$F:$F,"Empenho"))</f>
        <v/>
      </c>
      <c r="N271" s="36" t="str">
        <f aca="false">IF(B271="","",SUMIFS(Pagamentos!$G:$G,Pagamentos!$D:$D,B271,Pagamentos!$F:$F,"Pagamento"))</f>
        <v/>
      </c>
      <c r="O271" s="37" t="str">
        <f aca="false">IF(OR(B271="",H271="",L271="",L271=0),"",H271/L271)</f>
        <v/>
      </c>
      <c r="P271" s="27" t="str">
        <f aca="false">IF(B271="","",COUNTIF(Sancoes!$C:$C,B271))</f>
        <v/>
      </c>
      <c r="Q271" s="27" t="str">
        <f aca="false">IF(B271="","",COUNTIF(Socios!$B:$B,B271))</f>
        <v/>
      </c>
      <c r="R271" s="27" t="str">
        <f aca="false">IF(B271="","",COUNTIFS(Socios!$B:$B,B271,Socios!$L:$L,"SIM"))</f>
        <v/>
      </c>
      <c r="S271" s="24"/>
      <c r="T271" s="11"/>
    </row>
    <row r="272" customFormat="false" ht="15" hidden="false" customHeight="false" outlineLevel="0" collapsed="false">
      <c r="A272" s="24"/>
      <c r="B272" s="31" t="str">
        <f aca="false">IF(A272="","",IF(LEN(UPPER(SUBSTITUTE(SUBSTITUTE(SUBSTITUTE(SUBSTITUTE(TRIM(A272),".",""),"/",""),"-","")," ","")))&lt;14,RIGHT(REPT("0",14)&amp;UPPER(SUBSTITUTE(SUBSTITUTE(SUBSTITUTE(SUBSTITUTE(TRIM(A272),".",""),"/",""),"-","")," ","")),14),UPPER(SUBSTITUTE(SUBSTITUTE(SUBSTITUTE(SUBSTITUTE(TRIM(A272),".",""),"/",""),"-","")," ",""))))</f>
        <v/>
      </c>
      <c r="C272" s="11"/>
      <c r="D272" s="23"/>
      <c r="E272" s="22"/>
      <c r="F272" s="23"/>
      <c r="G272" s="11"/>
      <c r="H272" s="35"/>
      <c r="I272" s="11"/>
      <c r="J272" s="23"/>
      <c r="K272" s="27" t="str">
        <f aca="false">IF(B272="","",COUNTIF(Contratos!$D:$D,B272))</f>
        <v/>
      </c>
      <c r="L272" s="36" t="str">
        <f aca="false">IF(B272="","",SUMIFS(Contratos!$K:$K,Contratos!$D:$D,B272))</f>
        <v/>
      </c>
      <c r="M272" s="36" t="str">
        <f aca="false">IF(B272="","",SUMIFS(Pagamentos!$G:$G,Pagamentos!$D:$D,B272,Pagamentos!$F:$F,"Empenho"))</f>
        <v/>
      </c>
      <c r="N272" s="36" t="str">
        <f aca="false">IF(B272="","",SUMIFS(Pagamentos!$G:$G,Pagamentos!$D:$D,B272,Pagamentos!$F:$F,"Pagamento"))</f>
        <v/>
      </c>
      <c r="O272" s="37" t="str">
        <f aca="false">IF(OR(B272="",H272="",L272="",L272=0),"",H272/L272)</f>
        <v/>
      </c>
      <c r="P272" s="27" t="str">
        <f aca="false">IF(B272="","",COUNTIF(Sancoes!$C:$C,B272))</f>
        <v/>
      </c>
      <c r="Q272" s="27" t="str">
        <f aca="false">IF(B272="","",COUNTIF(Socios!$B:$B,B272))</f>
        <v/>
      </c>
      <c r="R272" s="27" t="str">
        <f aca="false">IF(B272="","",COUNTIFS(Socios!$B:$B,B272,Socios!$L:$L,"SIM"))</f>
        <v/>
      </c>
      <c r="S272" s="24"/>
      <c r="T272" s="11"/>
    </row>
    <row r="273" customFormat="false" ht="15" hidden="false" customHeight="false" outlineLevel="0" collapsed="false">
      <c r="A273" s="24"/>
      <c r="B273" s="31" t="str">
        <f aca="false">IF(A273="","",IF(LEN(UPPER(SUBSTITUTE(SUBSTITUTE(SUBSTITUTE(SUBSTITUTE(TRIM(A273),".",""),"/",""),"-","")," ","")))&lt;14,RIGHT(REPT("0",14)&amp;UPPER(SUBSTITUTE(SUBSTITUTE(SUBSTITUTE(SUBSTITUTE(TRIM(A273),".",""),"/",""),"-","")," ","")),14),UPPER(SUBSTITUTE(SUBSTITUTE(SUBSTITUTE(SUBSTITUTE(TRIM(A273),".",""),"/",""),"-","")," ",""))))</f>
        <v/>
      </c>
      <c r="C273" s="11"/>
      <c r="D273" s="23"/>
      <c r="E273" s="22"/>
      <c r="F273" s="23"/>
      <c r="G273" s="11"/>
      <c r="H273" s="35"/>
      <c r="I273" s="11"/>
      <c r="J273" s="23"/>
      <c r="K273" s="27" t="str">
        <f aca="false">IF(B273="","",COUNTIF(Contratos!$D:$D,B273))</f>
        <v/>
      </c>
      <c r="L273" s="36" t="str">
        <f aca="false">IF(B273="","",SUMIFS(Contratos!$K:$K,Contratos!$D:$D,B273))</f>
        <v/>
      </c>
      <c r="M273" s="36" t="str">
        <f aca="false">IF(B273="","",SUMIFS(Pagamentos!$G:$G,Pagamentos!$D:$D,B273,Pagamentos!$F:$F,"Empenho"))</f>
        <v/>
      </c>
      <c r="N273" s="36" t="str">
        <f aca="false">IF(B273="","",SUMIFS(Pagamentos!$G:$G,Pagamentos!$D:$D,B273,Pagamentos!$F:$F,"Pagamento"))</f>
        <v/>
      </c>
      <c r="O273" s="37" t="str">
        <f aca="false">IF(OR(B273="",H273="",L273="",L273=0),"",H273/L273)</f>
        <v/>
      </c>
      <c r="P273" s="27" t="str">
        <f aca="false">IF(B273="","",COUNTIF(Sancoes!$C:$C,B273))</f>
        <v/>
      </c>
      <c r="Q273" s="27" t="str">
        <f aca="false">IF(B273="","",COUNTIF(Socios!$B:$B,B273))</f>
        <v/>
      </c>
      <c r="R273" s="27" t="str">
        <f aca="false">IF(B273="","",COUNTIFS(Socios!$B:$B,B273,Socios!$L:$L,"SIM"))</f>
        <v/>
      </c>
      <c r="S273" s="24"/>
      <c r="T273" s="11"/>
    </row>
    <row r="274" customFormat="false" ht="15" hidden="false" customHeight="false" outlineLevel="0" collapsed="false">
      <c r="A274" s="24"/>
      <c r="B274" s="31" t="str">
        <f aca="false">IF(A274="","",IF(LEN(UPPER(SUBSTITUTE(SUBSTITUTE(SUBSTITUTE(SUBSTITUTE(TRIM(A274),".",""),"/",""),"-","")," ","")))&lt;14,RIGHT(REPT("0",14)&amp;UPPER(SUBSTITUTE(SUBSTITUTE(SUBSTITUTE(SUBSTITUTE(TRIM(A274),".",""),"/",""),"-","")," ","")),14),UPPER(SUBSTITUTE(SUBSTITUTE(SUBSTITUTE(SUBSTITUTE(TRIM(A274),".",""),"/",""),"-","")," ",""))))</f>
        <v/>
      </c>
      <c r="C274" s="11"/>
      <c r="D274" s="23"/>
      <c r="E274" s="22"/>
      <c r="F274" s="23"/>
      <c r="G274" s="11"/>
      <c r="H274" s="35"/>
      <c r="I274" s="11"/>
      <c r="J274" s="23"/>
      <c r="K274" s="27" t="str">
        <f aca="false">IF(B274="","",COUNTIF(Contratos!$D:$D,B274))</f>
        <v/>
      </c>
      <c r="L274" s="36" t="str">
        <f aca="false">IF(B274="","",SUMIFS(Contratos!$K:$K,Contratos!$D:$D,B274))</f>
        <v/>
      </c>
      <c r="M274" s="36" t="str">
        <f aca="false">IF(B274="","",SUMIFS(Pagamentos!$G:$G,Pagamentos!$D:$D,B274,Pagamentos!$F:$F,"Empenho"))</f>
        <v/>
      </c>
      <c r="N274" s="36" t="str">
        <f aca="false">IF(B274="","",SUMIFS(Pagamentos!$G:$G,Pagamentos!$D:$D,B274,Pagamentos!$F:$F,"Pagamento"))</f>
        <v/>
      </c>
      <c r="O274" s="37" t="str">
        <f aca="false">IF(OR(B274="",H274="",L274="",L274=0),"",H274/L274)</f>
        <v/>
      </c>
      <c r="P274" s="27" t="str">
        <f aca="false">IF(B274="","",COUNTIF(Sancoes!$C:$C,B274))</f>
        <v/>
      </c>
      <c r="Q274" s="27" t="str">
        <f aca="false">IF(B274="","",COUNTIF(Socios!$B:$B,B274))</f>
        <v/>
      </c>
      <c r="R274" s="27" t="str">
        <f aca="false">IF(B274="","",COUNTIFS(Socios!$B:$B,B274,Socios!$L:$L,"SIM"))</f>
        <v/>
      </c>
      <c r="S274" s="24"/>
      <c r="T274" s="11"/>
    </row>
    <row r="275" customFormat="false" ht="15" hidden="false" customHeight="false" outlineLevel="0" collapsed="false">
      <c r="A275" s="24"/>
      <c r="B275" s="31" t="str">
        <f aca="false">IF(A275="","",IF(LEN(UPPER(SUBSTITUTE(SUBSTITUTE(SUBSTITUTE(SUBSTITUTE(TRIM(A275),".",""),"/",""),"-","")," ","")))&lt;14,RIGHT(REPT("0",14)&amp;UPPER(SUBSTITUTE(SUBSTITUTE(SUBSTITUTE(SUBSTITUTE(TRIM(A275),".",""),"/",""),"-","")," ","")),14),UPPER(SUBSTITUTE(SUBSTITUTE(SUBSTITUTE(SUBSTITUTE(TRIM(A275),".",""),"/",""),"-","")," ",""))))</f>
        <v/>
      </c>
      <c r="C275" s="11"/>
      <c r="D275" s="23"/>
      <c r="E275" s="22"/>
      <c r="F275" s="23"/>
      <c r="G275" s="11"/>
      <c r="H275" s="35"/>
      <c r="I275" s="11"/>
      <c r="J275" s="23"/>
      <c r="K275" s="27" t="str">
        <f aca="false">IF(B275="","",COUNTIF(Contratos!$D:$D,B275))</f>
        <v/>
      </c>
      <c r="L275" s="36" t="str">
        <f aca="false">IF(B275="","",SUMIFS(Contratos!$K:$K,Contratos!$D:$D,B275))</f>
        <v/>
      </c>
      <c r="M275" s="36" t="str">
        <f aca="false">IF(B275="","",SUMIFS(Pagamentos!$G:$G,Pagamentos!$D:$D,B275,Pagamentos!$F:$F,"Empenho"))</f>
        <v/>
      </c>
      <c r="N275" s="36" t="str">
        <f aca="false">IF(B275="","",SUMIFS(Pagamentos!$G:$G,Pagamentos!$D:$D,B275,Pagamentos!$F:$F,"Pagamento"))</f>
        <v/>
      </c>
      <c r="O275" s="37" t="str">
        <f aca="false">IF(OR(B275="",H275="",L275="",L275=0),"",H275/L275)</f>
        <v/>
      </c>
      <c r="P275" s="27" t="str">
        <f aca="false">IF(B275="","",COUNTIF(Sancoes!$C:$C,B275))</f>
        <v/>
      </c>
      <c r="Q275" s="27" t="str">
        <f aca="false">IF(B275="","",COUNTIF(Socios!$B:$B,B275))</f>
        <v/>
      </c>
      <c r="R275" s="27" t="str">
        <f aca="false">IF(B275="","",COUNTIFS(Socios!$B:$B,B275,Socios!$L:$L,"SIM"))</f>
        <v/>
      </c>
      <c r="S275" s="24"/>
      <c r="T275" s="11"/>
    </row>
    <row r="276" customFormat="false" ht="15" hidden="false" customHeight="false" outlineLevel="0" collapsed="false">
      <c r="A276" s="24"/>
      <c r="B276" s="31" t="str">
        <f aca="false">IF(A276="","",IF(LEN(UPPER(SUBSTITUTE(SUBSTITUTE(SUBSTITUTE(SUBSTITUTE(TRIM(A276),".",""),"/",""),"-","")," ","")))&lt;14,RIGHT(REPT("0",14)&amp;UPPER(SUBSTITUTE(SUBSTITUTE(SUBSTITUTE(SUBSTITUTE(TRIM(A276),".",""),"/",""),"-","")," ","")),14),UPPER(SUBSTITUTE(SUBSTITUTE(SUBSTITUTE(SUBSTITUTE(TRIM(A276),".",""),"/",""),"-","")," ",""))))</f>
        <v/>
      </c>
      <c r="C276" s="11"/>
      <c r="D276" s="23"/>
      <c r="E276" s="22"/>
      <c r="F276" s="23"/>
      <c r="G276" s="11"/>
      <c r="H276" s="35"/>
      <c r="I276" s="11"/>
      <c r="J276" s="23"/>
      <c r="K276" s="27" t="str">
        <f aca="false">IF(B276="","",COUNTIF(Contratos!$D:$D,B276))</f>
        <v/>
      </c>
      <c r="L276" s="36" t="str">
        <f aca="false">IF(B276="","",SUMIFS(Contratos!$K:$K,Contratos!$D:$D,B276))</f>
        <v/>
      </c>
      <c r="M276" s="36" t="str">
        <f aca="false">IF(B276="","",SUMIFS(Pagamentos!$G:$G,Pagamentos!$D:$D,B276,Pagamentos!$F:$F,"Empenho"))</f>
        <v/>
      </c>
      <c r="N276" s="36" t="str">
        <f aca="false">IF(B276="","",SUMIFS(Pagamentos!$G:$G,Pagamentos!$D:$D,B276,Pagamentos!$F:$F,"Pagamento"))</f>
        <v/>
      </c>
      <c r="O276" s="37" t="str">
        <f aca="false">IF(OR(B276="",H276="",L276="",L276=0),"",H276/L276)</f>
        <v/>
      </c>
      <c r="P276" s="27" t="str">
        <f aca="false">IF(B276="","",COUNTIF(Sancoes!$C:$C,B276))</f>
        <v/>
      </c>
      <c r="Q276" s="27" t="str">
        <f aca="false">IF(B276="","",COUNTIF(Socios!$B:$B,B276))</f>
        <v/>
      </c>
      <c r="R276" s="27" t="str">
        <f aca="false">IF(B276="","",COUNTIFS(Socios!$B:$B,B276,Socios!$L:$L,"SIM"))</f>
        <v/>
      </c>
      <c r="S276" s="24"/>
      <c r="T276" s="11"/>
    </row>
    <row r="277" customFormat="false" ht="15" hidden="false" customHeight="false" outlineLevel="0" collapsed="false">
      <c r="A277" s="24"/>
      <c r="B277" s="31" t="str">
        <f aca="false">IF(A277="","",IF(LEN(UPPER(SUBSTITUTE(SUBSTITUTE(SUBSTITUTE(SUBSTITUTE(TRIM(A277),".",""),"/",""),"-","")," ","")))&lt;14,RIGHT(REPT("0",14)&amp;UPPER(SUBSTITUTE(SUBSTITUTE(SUBSTITUTE(SUBSTITUTE(TRIM(A277),".",""),"/",""),"-","")," ","")),14),UPPER(SUBSTITUTE(SUBSTITUTE(SUBSTITUTE(SUBSTITUTE(TRIM(A277),".",""),"/",""),"-","")," ",""))))</f>
        <v/>
      </c>
      <c r="C277" s="11"/>
      <c r="D277" s="23"/>
      <c r="E277" s="22"/>
      <c r="F277" s="23"/>
      <c r="G277" s="11"/>
      <c r="H277" s="35"/>
      <c r="I277" s="11"/>
      <c r="J277" s="23"/>
      <c r="K277" s="27" t="str">
        <f aca="false">IF(B277="","",COUNTIF(Contratos!$D:$D,B277))</f>
        <v/>
      </c>
      <c r="L277" s="36" t="str">
        <f aca="false">IF(B277="","",SUMIFS(Contratos!$K:$K,Contratos!$D:$D,B277))</f>
        <v/>
      </c>
      <c r="M277" s="36" t="str">
        <f aca="false">IF(B277="","",SUMIFS(Pagamentos!$G:$G,Pagamentos!$D:$D,B277,Pagamentos!$F:$F,"Empenho"))</f>
        <v/>
      </c>
      <c r="N277" s="36" t="str">
        <f aca="false">IF(B277="","",SUMIFS(Pagamentos!$G:$G,Pagamentos!$D:$D,B277,Pagamentos!$F:$F,"Pagamento"))</f>
        <v/>
      </c>
      <c r="O277" s="37" t="str">
        <f aca="false">IF(OR(B277="",H277="",L277="",L277=0),"",H277/L277)</f>
        <v/>
      </c>
      <c r="P277" s="27" t="str">
        <f aca="false">IF(B277="","",COUNTIF(Sancoes!$C:$C,B277))</f>
        <v/>
      </c>
      <c r="Q277" s="27" t="str">
        <f aca="false">IF(B277="","",COUNTIF(Socios!$B:$B,B277))</f>
        <v/>
      </c>
      <c r="R277" s="27" t="str">
        <f aca="false">IF(B277="","",COUNTIFS(Socios!$B:$B,B277,Socios!$L:$L,"SIM"))</f>
        <v/>
      </c>
      <c r="S277" s="24"/>
      <c r="T277" s="11"/>
    </row>
    <row r="278" customFormat="false" ht="15" hidden="false" customHeight="false" outlineLevel="0" collapsed="false">
      <c r="A278" s="24"/>
      <c r="B278" s="31" t="str">
        <f aca="false">IF(A278="","",IF(LEN(UPPER(SUBSTITUTE(SUBSTITUTE(SUBSTITUTE(SUBSTITUTE(TRIM(A278),".",""),"/",""),"-","")," ","")))&lt;14,RIGHT(REPT("0",14)&amp;UPPER(SUBSTITUTE(SUBSTITUTE(SUBSTITUTE(SUBSTITUTE(TRIM(A278),".",""),"/",""),"-","")," ","")),14),UPPER(SUBSTITUTE(SUBSTITUTE(SUBSTITUTE(SUBSTITUTE(TRIM(A278),".",""),"/",""),"-","")," ",""))))</f>
        <v/>
      </c>
      <c r="C278" s="11"/>
      <c r="D278" s="23"/>
      <c r="E278" s="22"/>
      <c r="F278" s="23"/>
      <c r="G278" s="11"/>
      <c r="H278" s="35"/>
      <c r="I278" s="11"/>
      <c r="J278" s="23"/>
      <c r="K278" s="27" t="str">
        <f aca="false">IF(B278="","",COUNTIF(Contratos!$D:$D,B278))</f>
        <v/>
      </c>
      <c r="L278" s="36" t="str">
        <f aca="false">IF(B278="","",SUMIFS(Contratos!$K:$K,Contratos!$D:$D,B278))</f>
        <v/>
      </c>
      <c r="M278" s="36" t="str">
        <f aca="false">IF(B278="","",SUMIFS(Pagamentos!$G:$G,Pagamentos!$D:$D,B278,Pagamentos!$F:$F,"Empenho"))</f>
        <v/>
      </c>
      <c r="N278" s="36" t="str">
        <f aca="false">IF(B278="","",SUMIFS(Pagamentos!$G:$G,Pagamentos!$D:$D,B278,Pagamentos!$F:$F,"Pagamento"))</f>
        <v/>
      </c>
      <c r="O278" s="37" t="str">
        <f aca="false">IF(OR(B278="",H278="",L278="",L278=0),"",H278/L278)</f>
        <v/>
      </c>
      <c r="P278" s="27" t="str">
        <f aca="false">IF(B278="","",COUNTIF(Sancoes!$C:$C,B278))</f>
        <v/>
      </c>
      <c r="Q278" s="27" t="str">
        <f aca="false">IF(B278="","",COUNTIF(Socios!$B:$B,B278))</f>
        <v/>
      </c>
      <c r="R278" s="27" t="str">
        <f aca="false">IF(B278="","",COUNTIFS(Socios!$B:$B,B278,Socios!$L:$L,"SIM"))</f>
        <v/>
      </c>
      <c r="S278" s="24"/>
      <c r="T278" s="11"/>
    </row>
    <row r="279" customFormat="false" ht="15" hidden="false" customHeight="false" outlineLevel="0" collapsed="false">
      <c r="A279" s="24"/>
      <c r="B279" s="31" t="str">
        <f aca="false">IF(A279="","",IF(LEN(UPPER(SUBSTITUTE(SUBSTITUTE(SUBSTITUTE(SUBSTITUTE(TRIM(A279),".",""),"/",""),"-","")," ","")))&lt;14,RIGHT(REPT("0",14)&amp;UPPER(SUBSTITUTE(SUBSTITUTE(SUBSTITUTE(SUBSTITUTE(TRIM(A279),".",""),"/",""),"-","")," ","")),14),UPPER(SUBSTITUTE(SUBSTITUTE(SUBSTITUTE(SUBSTITUTE(TRIM(A279),".",""),"/",""),"-","")," ",""))))</f>
        <v/>
      </c>
      <c r="C279" s="11"/>
      <c r="D279" s="23"/>
      <c r="E279" s="22"/>
      <c r="F279" s="23"/>
      <c r="G279" s="11"/>
      <c r="H279" s="35"/>
      <c r="I279" s="11"/>
      <c r="J279" s="23"/>
      <c r="K279" s="27" t="str">
        <f aca="false">IF(B279="","",COUNTIF(Contratos!$D:$D,B279))</f>
        <v/>
      </c>
      <c r="L279" s="36" t="str">
        <f aca="false">IF(B279="","",SUMIFS(Contratos!$K:$K,Contratos!$D:$D,B279))</f>
        <v/>
      </c>
      <c r="M279" s="36" t="str">
        <f aca="false">IF(B279="","",SUMIFS(Pagamentos!$G:$G,Pagamentos!$D:$D,B279,Pagamentos!$F:$F,"Empenho"))</f>
        <v/>
      </c>
      <c r="N279" s="36" t="str">
        <f aca="false">IF(B279="","",SUMIFS(Pagamentos!$G:$G,Pagamentos!$D:$D,B279,Pagamentos!$F:$F,"Pagamento"))</f>
        <v/>
      </c>
      <c r="O279" s="37" t="str">
        <f aca="false">IF(OR(B279="",H279="",L279="",L279=0),"",H279/L279)</f>
        <v/>
      </c>
      <c r="P279" s="27" t="str">
        <f aca="false">IF(B279="","",COUNTIF(Sancoes!$C:$C,B279))</f>
        <v/>
      </c>
      <c r="Q279" s="27" t="str">
        <f aca="false">IF(B279="","",COUNTIF(Socios!$B:$B,B279))</f>
        <v/>
      </c>
      <c r="R279" s="27" t="str">
        <f aca="false">IF(B279="","",COUNTIFS(Socios!$B:$B,B279,Socios!$L:$L,"SIM"))</f>
        <v/>
      </c>
      <c r="S279" s="24"/>
      <c r="T279" s="11"/>
    </row>
    <row r="280" customFormat="false" ht="15" hidden="false" customHeight="false" outlineLevel="0" collapsed="false">
      <c r="A280" s="24"/>
      <c r="B280" s="31" t="str">
        <f aca="false">IF(A280="","",IF(LEN(UPPER(SUBSTITUTE(SUBSTITUTE(SUBSTITUTE(SUBSTITUTE(TRIM(A280),".",""),"/",""),"-","")," ","")))&lt;14,RIGHT(REPT("0",14)&amp;UPPER(SUBSTITUTE(SUBSTITUTE(SUBSTITUTE(SUBSTITUTE(TRIM(A280),".",""),"/",""),"-","")," ","")),14),UPPER(SUBSTITUTE(SUBSTITUTE(SUBSTITUTE(SUBSTITUTE(TRIM(A280),".",""),"/",""),"-","")," ",""))))</f>
        <v/>
      </c>
      <c r="C280" s="11"/>
      <c r="D280" s="23"/>
      <c r="E280" s="22"/>
      <c r="F280" s="23"/>
      <c r="G280" s="11"/>
      <c r="H280" s="35"/>
      <c r="I280" s="11"/>
      <c r="J280" s="23"/>
      <c r="K280" s="27" t="str">
        <f aca="false">IF(B280="","",COUNTIF(Contratos!$D:$D,B280))</f>
        <v/>
      </c>
      <c r="L280" s="36" t="str">
        <f aca="false">IF(B280="","",SUMIFS(Contratos!$K:$K,Contratos!$D:$D,B280))</f>
        <v/>
      </c>
      <c r="M280" s="36" t="str">
        <f aca="false">IF(B280="","",SUMIFS(Pagamentos!$G:$G,Pagamentos!$D:$D,B280,Pagamentos!$F:$F,"Empenho"))</f>
        <v/>
      </c>
      <c r="N280" s="36" t="str">
        <f aca="false">IF(B280="","",SUMIFS(Pagamentos!$G:$G,Pagamentos!$D:$D,B280,Pagamentos!$F:$F,"Pagamento"))</f>
        <v/>
      </c>
      <c r="O280" s="37" t="str">
        <f aca="false">IF(OR(B280="",H280="",L280="",L280=0),"",H280/L280)</f>
        <v/>
      </c>
      <c r="P280" s="27" t="str">
        <f aca="false">IF(B280="","",COUNTIF(Sancoes!$C:$C,B280))</f>
        <v/>
      </c>
      <c r="Q280" s="27" t="str">
        <f aca="false">IF(B280="","",COUNTIF(Socios!$B:$B,B280))</f>
        <v/>
      </c>
      <c r="R280" s="27" t="str">
        <f aca="false">IF(B280="","",COUNTIFS(Socios!$B:$B,B280,Socios!$L:$L,"SIM"))</f>
        <v/>
      </c>
      <c r="S280" s="24"/>
      <c r="T280" s="11"/>
    </row>
    <row r="281" customFormat="false" ht="15" hidden="false" customHeight="false" outlineLevel="0" collapsed="false">
      <c r="A281" s="24"/>
      <c r="B281" s="31" t="str">
        <f aca="false">IF(A281="","",IF(LEN(UPPER(SUBSTITUTE(SUBSTITUTE(SUBSTITUTE(SUBSTITUTE(TRIM(A281),".",""),"/",""),"-","")," ","")))&lt;14,RIGHT(REPT("0",14)&amp;UPPER(SUBSTITUTE(SUBSTITUTE(SUBSTITUTE(SUBSTITUTE(TRIM(A281),".",""),"/",""),"-","")," ","")),14),UPPER(SUBSTITUTE(SUBSTITUTE(SUBSTITUTE(SUBSTITUTE(TRIM(A281),".",""),"/",""),"-","")," ",""))))</f>
        <v/>
      </c>
      <c r="C281" s="11"/>
      <c r="D281" s="23"/>
      <c r="E281" s="22"/>
      <c r="F281" s="23"/>
      <c r="G281" s="11"/>
      <c r="H281" s="35"/>
      <c r="I281" s="11"/>
      <c r="J281" s="23"/>
      <c r="K281" s="27" t="str">
        <f aca="false">IF(B281="","",COUNTIF(Contratos!$D:$D,B281))</f>
        <v/>
      </c>
      <c r="L281" s="36" t="str">
        <f aca="false">IF(B281="","",SUMIFS(Contratos!$K:$K,Contratos!$D:$D,B281))</f>
        <v/>
      </c>
      <c r="M281" s="36" t="str">
        <f aca="false">IF(B281="","",SUMIFS(Pagamentos!$G:$G,Pagamentos!$D:$D,B281,Pagamentos!$F:$F,"Empenho"))</f>
        <v/>
      </c>
      <c r="N281" s="36" t="str">
        <f aca="false">IF(B281="","",SUMIFS(Pagamentos!$G:$G,Pagamentos!$D:$D,B281,Pagamentos!$F:$F,"Pagamento"))</f>
        <v/>
      </c>
      <c r="O281" s="37" t="str">
        <f aca="false">IF(OR(B281="",H281="",L281="",L281=0),"",H281/L281)</f>
        <v/>
      </c>
      <c r="P281" s="27" t="str">
        <f aca="false">IF(B281="","",COUNTIF(Sancoes!$C:$C,B281))</f>
        <v/>
      </c>
      <c r="Q281" s="27" t="str">
        <f aca="false">IF(B281="","",COUNTIF(Socios!$B:$B,B281))</f>
        <v/>
      </c>
      <c r="R281" s="27" t="str">
        <f aca="false">IF(B281="","",COUNTIFS(Socios!$B:$B,B281,Socios!$L:$L,"SIM"))</f>
        <v/>
      </c>
      <c r="S281" s="24"/>
      <c r="T281" s="11"/>
    </row>
    <row r="282" customFormat="false" ht="15" hidden="false" customHeight="false" outlineLevel="0" collapsed="false">
      <c r="A282" s="24"/>
      <c r="B282" s="31" t="str">
        <f aca="false">IF(A282="","",IF(LEN(UPPER(SUBSTITUTE(SUBSTITUTE(SUBSTITUTE(SUBSTITUTE(TRIM(A282),".",""),"/",""),"-","")," ","")))&lt;14,RIGHT(REPT("0",14)&amp;UPPER(SUBSTITUTE(SUBSTITUTE(SUBSTITUTE(SUBSTITUTE(TRIM(A282),".",""),"/",""),"-","")," ","")),14),UPPER(SUBSTITUTE(SUBSTITUTE(SUBSTITUTE(SUBSTITUTE(TRIM(A282),".",""),"/",""),"-","")," ",""))))</f>
        <v/>
      </c>
      <c r="C282" s="11"/>
      <c r="D282" s="23"/>
      <c r="E282" s="22"/>
      <c r="F282" s="23"/>
      <c r="G282" s="11"/>
      <c r="H282" s="35"/>
      <c r="I282" s="11"/>
      <c r="J282" s="23"/>
      <c r="K282" s="27" t="str">
        <f aca="false">IF(B282="","",COUNTIF(Contratos!$D:$D,B282))</f>
        <v/>
      </c>
      <c r="L282" s="36" t="str">
        <f aca="false">IF(B282="","",SUMIFS(Contratos!$K:$K,Contratos!$D:$D,B282))</f>
        <v/>
      </c>
      <c r="M282" s="36" t="str">
        <f aca="false">IF(B282="","",SUMIFS(Pagamentos!$G:$G,Pagamentos!$D:$D,B282,Pagamentos!$F:$F,"Empenho"))</f>
        <v/>
      </c>
      <c r="N282" s="36" t="str">
        <f aca="false">IF(B282="","",SUMIFS(Pagamentos!$G:$G,Pagamentos!$D:$D,B282,Pagamentos!$F:$F,"Pagamento"))</f>
        <v/>
      </c>
      <c r="O282" s="37" t="str">
        <f aca="false">IF(OR(B282="",H282="",L282="",L282=0),"",H282/L282)</f>
        <v/>
      </c>
      <c r="P282" s="27" t="str">
        <f aca="false">IF(B282="","",COUNTIF(Sancoes!$C:$C,B282))</f>
        <v/>
      </c>
      <c r="Q282" s="27" t="str">
        <f aca="false">IF(B282="","",COUNTIF(Socios!$B:$B,B282))</f>
        <v/>
      </c>
      <c r="R282" s="27" t="str">
        <f aca="false">IF(B282="","",COUNTIFS(Socios!$B:$B,B282,Socios!$L:$L,"SIM"))</f>
        <v/>
      </c>
      <c r="S282" s="24"/>
      <c r="T282" s="11"/>
    </row>
    <row r="283" customFormat="false" ht="15" hidden="false" customHeight="false" outlineLevel="0" collapsed="false">
      <c r="A283" s="24"/>
      <c r="B283" s="31" t="str">
        <f aca="false">IF(A283="","",IF(LEN(UPPER(SUBSTITUTE(SUBSTITUTE(SUBSTITUTE(SUBSTITUTE(TRIM(A283),".",""),"/",""),"-","")," ","")))&lt;14,RIGHT(REPT("0",14)&amp;UPPER(SUBSTITUTE(SUBSTITUTE(SUBSTITUTE(SUBSTITUTE(TRIM(A283),".",""),"/",""),"-","")," ","")),14),UPPER(SUBSTITUTE(SUBSTITUTE(SUBSTITUTE(SUBSTITUTE(TRIM(A283),".",""),"/",""),"-","")," ",""))))</f>
        <v/>
      </c>
      <c r="C283" s="11"/>
      <c r="D283" s="23"/>
      <c r="E283" s="22"/>
      <c r="F283" s="23"/>
      <c r="G283" s="11"/>
      <c r="H283" s="35"/>
      <c r="I283" s="11"/>
      <c r="J283" s="23"/>
      <c r="K283" s="27" t="str">
        <f aca="false">IF(B283="","",COUNTIF(Contratos!$D:$D,B283))</f>
        <v/>
      </c>
      <c r="L283" s="36" t="str">
        <f aca="false">IF(B283="","",SUMIFS(Contratos!$K:$K,Contratos!$D:$D,B283))</f>
        <v/>
      </c>
      <c r="M283" s="36" t="str">
        <f aca="false">IF(B283="","",SUMIFS(Pagamentos!$G:$G,Pagamentos!$D:$D,B283,Pagamentos!$F:$F,"Empenho"))</f>
        <v/>
      </c>
      <c r="N283" s="36" t="str">
        <f aca="false">IF(B283="","",SUMIFS(Pagamentos!$G:$G,Pagamentos!$D:$D,B283,Pagamentos!$F:$F,"Pagamento"))</f>
        <v/>
      </c>
      <c r="O283" s="37" t="str">
        <f aca="false">IF(OR(B283="",H283="",L283="",L283=0),"",H283/L283)</f>
        <v/>
      </c>
      <c r="P283" s="27" t="str">
        <f aca="false">IF(B283="","",COUNTIF(Sancoes!$C:$C,B283))</f>
        <v/>
      </c>
      <c r="Q283" s="27" t="str">
        <f aca="false">IF(B283="","",COUNTIF(Socios!$B:$B,B283))</f>
        <v/>
      </c>
      <c r="R283" s="27" t="str">
        <f aca="false">IF(B283="","",COUNTIFS(Socios!$B:$B,B283,Socios!$L:$L,"SIM"))</f>
        <v/>
      </c>
      <c r="S283" s="24"/>
      <c r="T283" s="11"/>
    </row>
    <row r="284" customFormat="false" ht="15" hidden="false" customHeight="false" outlineLevel="0" collapsed="false">
      <c r="A284" s="24"/>
      <c r="B284" s="31" t="str">
        <f aca="false">IF(A284="","",IF(LEN(UPPER(SUBSTITUTE(SUBSTITUTE(SUBSTITUTE(SUBSTITUTE(TRIM(A284),".",""),"/",""),"-","")," ","")))&lt;14,RIGHT(REPT("0",14)&amp;UPPER(SUBSTITUTE(SUBSTITUTE(SUBSTITUTE(SUBSTITUTE(TRIM(A284),".",""),"/",""),"-","")," ","")),14),UPPER(SUBSTITUTE(SUBSTITUTE(SUBSTITUTE(SUBSTITUTE(TRIM(A284),".",""),"/",""),"-","")," ",""))))</f>
        <v/>
      </c>
      <c r="C284" s="11"/>
      <c r="D284" s="23"/>
      <c r="E284" s="22"/>
      <c r="F284" s="23"/>
      <c r="G284" s="11"/>
      <c r="H284" s="35"/>
      <c r="I284" s="11"/>
      <c r="J284" s="23"/>
      <c r="K284" s="27" t="str">
        <f aca="false">IF(B284="","",COUNTIF(Contratos!$D:$D,B284))</f>
        <v/>
      </c>
      <c r="L284" s="36" t="str">
        <f aca="false">IF(B284="","",SUMIFS(Contratos!$K:$K,Contratos!$D:$D,B284))</f>
        <v/>
      </c>
      <c r="M284" s="36" t="str">
        <f aca="false">IF(B284="","",SUMIFS(Pagamentos!$G:$G,Pagamentos!$D:$D,B284,Pagamentos!$F:$F,"Empenho"))</f>
        <v/>
      </c>
      <c r="N284" s="36" t="str">
        <f aca="false">IF(B284="","",SUMIFS(Pagamentos!$G:$G,Pagamentos!$D:$D,B284,Pagamentos!$F:$F,"Pagamento"))</f>
        <v/>
      </c>
      <c r="O284" s="37" t="str">
        <f aca="false">IF(OR(B284="",H284="",L284="",L284=0),"",H284/L284)</f>
        <v/>
      </c>
      <c r="P284" s="27" t="str">
        <f aca="false">IF(B284="","",COUNTIF(Sancoes!$C:$C,B284))</f>
        <v/>
      </c>
      <c r="Q284" s="27" t="str">
        <f aca="false">IF(B284="","",COUNTIF(Socios!$B:$B,B284))</f>
        <v/>
      </c>
      <c r="R284" s="27" t="str">
        <f aca="false">IF(B284="","",COUNTIFS(Socios!$B:$B,B284,Socios!$L:$L,"SIM"))</f>
        <v/>
      </c>
      <c r="S284" s="24"/>
      <c r="T284" s="11"/>
    </row>
    <row r="285" customFormat="false" ht="15" hidden="false" customHeight="false" outlineLevel="0" collapsed="false">
      <c r="A285" s="24"/>
      <c r="B285" s="31" t="str">
        <f aca="false">IF(A285="","",IF(LEN(UPPER(SUBSTITUTE(SUBSTITUTE(SUBSTITUTE(SUBSTITUTE(TRIM(A285),".",""),"/",""),"-","")," ","")))&lt;14,RIGHT(REPT("0",14)&amp;UPPER(SUBSTITUTE(SUBSTITUTE(SUBSTITUTE(SUBSTITUTE(TRIM(A285),".",""),"/",""),"-","")," ","")),14),UPPER(SUBSTITUTE(SUBSTITUTE(SUBSTITUTE(SUBSTITUTE(TRIM(A285),".",""),"/",""),"-","")," ",""))))</f>
        <v/>
      </c>
      <c r="C285" s="11"/>
      <c r="D285" s="23"/>
      <c r="E285" s="22"/>
      <c r="F285" s="23"/>
      <c r="G285" s="11"/>
      <c r="H285" s="35"/>
      <c r="I285" s="11"/>
      <c r="J285" s="23"/>
      <c r="K285" s="27" t="str">
        <f aca="false">IF(B285="","",COUNTIF(Contratos!$D:$D,B285))</f>
        <v/>
      </c>
      <c r="L285" s="36" t="str">
        <f aca="false">IF(B285="","",SUMIFS(Contratos!$K:$K,Contratos!$D:$D,B285))</f>
        <v/>
      </c>
      <c r="M285" s="36" t="str">
        <f aca="false">IF(B285="","",SUMIFS(Pagamentos!$G:$G,Pagamentos!$D:$D,B285,Pagamentos!$F:$F,"Empenho"))</f>
        <v/>
      </c>
      <c r="N285" s="36" t="str">
        <f aca="false">IF(B285="","",SUMIFS(Pagamentos!$G:$G,Pagamentos!$D:$D,B285,Pagamentos!$F:$F,"Pagamento"))</f>
        <v/>
      </c>
      <c r="O285" s="37" t="str">
        <f aca="false">IF(OR(B285="",H285="",L285="",L285=0),"",H285/L285)</f>
        <v/>
      </c>
      <c r="P285" s="27" t="str">
        <f aca="false">IF(B285="","",COUNTIF(Sancoes!$C:$C,B285))</f>
        <v/>
      </c>
      <c r="Q285" s="27" t="str">
        <f aca="false">IF(B285="","",COUNTIF(Socios!$B:$B,B285))</f>
        <v/>
      </c>
      <c r="R285" s="27" t="str">
        <f aca="false">IF(B285="","",COUNTIFS(Socios!$B:$B,B285,Socios!$L:$L,"SIM"))</f>
        <v/>
      </c>
      <c r="S285" s="24"/>
      <c r="T285" s="11"/>
    </row>
    <row r="286" customFormat="false" ht="15" hidden="false" customHeight="false" outlineLevel="0" collapsed="false">
      <c r="A286" s="24"/>
      <c r="B286" s="31" t="str">
        <f aca="false">IF(A286="","",IF(LEN(UPPER(SUBSTITUTE(SUBSTITUTE(SUBSTITUTE(SUBSTITUTE(TRIM(A286),".",""),"/",""),"-","")," ","")))&lt;14,RIGHT(REPT("0",14)&amp;UPPER(SUBSTITUTE(SUBSTITUTE(SUBSTITUTE(SUBSTITUTE(TRIM(A286),".",""),"/",""),"-","")," ","")),14),UPPER(SUBSTITUTE(SUBSTITUTE(SUBSTITUTE(SUBSTITUTE(TRIM(A286),".",""),"/",""),"-","")," ",""))))</f>
        <v/>
      </c>
      <c r="C286" s="11"/>
      <c r="D286" s="23"/>
      <c r="E286" s="22"/>
      <c r="F286" s="23"/>
      <c r="G286" s="11"/>
      <c r="H286" s="35"/>
      <c r="I286" s="11"/>
      <c r="J286" s="23"/>
      <c r="K286" s="27" t="str">
        <f aca="false">IF(B286="","",COUNTIF(Contratos!$D:$D,B286))</f>
        <v/>
      </c>
      <c r="L286" s="36" t="str">
        <f aca="false">IF(B286="","",SUMIFS(Contratos!$K:$K,Contratos!$D:$D,B286))</f>
        <v/>
      </c>
      <c r="M286" s="36" t="str">
        <f aca="false">IF(B286="","",SUMIFS(Pagamentos!$G:$G,Pagamentos!$D:$D,B286,Pagamentos!$F:$F,"Empenho"))</f>
        <v/>
      </c>
      <c r="N286" s="36" t="str">
        <f aca="false">IF(B286="","",SUMIFS(Pagamentos!$G:$G,Pagamentos!$D:$D,B286,Pagamentos!$F:$F,"Pagamento"))</f>
        <v/>
      </c>
      <c r="O286" s="37" t="str">
        <f aca="false">IF(OR(B286="",H286="",L286="",L286=0),"",H286/L286)</f>
        <v/>
      </c>
      <c r="P286" s="27" t="str">
        <f aca="false">IF(B286="","",COUNTIF(Sancoes!$C:$C,B286))</f>
        <v/>
      </c>
      <c r="Q286" s="27" t="str">
        <f aca="false">IF(B286="","",COUNTIF(Socios!$B:$B,B286))</f>
        <v/>
      </c>
      <c r="R286" s="27" t="str">
        <f aca="false">IF(B286="","",COUNTIFS(Socios!$B:$B,B286,Socios!$L:$L,"SIM"))</f>
        <v/>
      </c>
      <c r="S286" s="24"/>
      <c r="T286" s="11"/>
    </row>
    <row r="287" customFormat="false" ht="15" hidden="false" customHeight="false" outlineLevel="0" collapsed="false">
      <c r="A287" s="24"/>
      <c r="B287" s="31" t="str">
        <f aca="false">IF(A287="","",IF(LEN(UPPER(SUBSTITUTE(SUBSTITUTE(SUBSTITUTE(SUBSTITUTE(TRIM(A287),".",""),"/",""),"-","")," ","")))&lt;14,RIGHT(REPT("0",14)&amp;UPPER(SUBSTITUTE(SUBSTITUTE(SUBSTITUTE(SUBSTITUTE(TRIM(A287),".",""),"/",""),"-","")," ","")),14),UPPER(SUBSTITUTE(SUBSTITUTE(SUBSTITUTE(SUBSTITUTE(TRIM(A287),".",""),"/",""),"-","")," ",""))))</f>
        <v/>
      </c>
      <c r="C287" s="11"/>
      <c r="D287" s="23"/>
      <c r="E287" s="22"/>
      <c r="F287" s="23"/>
      <c r="G287" s="11"/>
      <c r="H287" s="35"/>
      <c r="I287" s="11"/>
      <c r="J287" s="23"/>
      <c r="K287" s="27" t="str">
        <f aca="false">IF(B287="","",COUNTIF(Contratos!$D:$D,B287))</f>
        <v/>
      </c>
      <c r="L287" s="36" t="str">
        <f aca="false">IF(B287="","",SUMIFS(Contratos!$K:$K,Contratos!$D:$D,B287))</f>
        <v/>
      </c>
      <c r="M287" s="36" t="str">
        <f aca="false">IF(B287="","",SUMIFS(Pagamentos!$G:$G,Pagamentos!$D:$D,B287,Pagamentos!$F:$F,"Empenho"))</f>
        <v/>
      </c>
      <c r="N287" s="36" t="str">
        <f aca="false">IF(B287="","",SUMIFS(Pagamentos!$G:$G,Pagamentos!$D:$D,B287,Pagamentos!$F:$F,"Pagamento"))</f>
        <v/>
      </c>
      <c r="O287" s="37" t="str">
        <f aca="false">IF(OR(B287="",H287="",L287="",L287=0),"",H287/L287)</f>
        <v/>
      </c>
      <c r="P287" s="27" t="str">
        <f aca="false">IF(B287="","",COUNTIF(Sancoes!$C:$C,B287))</f>
        <v/>
      </c>
      <c r="Q287" s="27" t="str">
        <f aca="false">IF(B287="","",COUNTIF(Socios!$B:$B,B287))</f>
        <v/>
      </c>
      <c r="R287" s="27" t="str">
        <f aca="false">IF(B287="","",COUNTIFS(Socios!$B:$B,B287,Socios!$L:$L,"SIM"))</f>
        <v/>
      </c>
      <c r="S287" s="24"/>
      <c r="T287" s="11"/>
    </row>
    <row r="288" customFormat="false" ht="15" hidden="false" customHeight="false" outlineLevel="0" collapsed="false">
      <c r="A288" s="24"/>
      <c r="B288" s="31" t="str">
        <f aca="false">IF(A288="","",IF(LEN(UPPER(SUBSTITUTE(SUBSTITUTE(SUBSTITUTE(SUBSTITUTE(TRIM(A288),".",""),"/",""),"-","")," ","")))&lt;14,RIGHT(REPT("0",14)&amp;UPPER(SUBSTITUTE(SUBSTITUTE(SUBSTITUTE(SUBSTITUTE(TRIM(A288),".",""),"/",""),"-","")," ","")),14),UPPER(SUBSTITUTE(SUBSTITUTE(SUBSTITUTE(SUBSTITUTE(TRIM(A288),".",""),"/",""),"-","")," ",""))))</f>
        <v/>
      </c>
      <c r="C288" s="11"/>
      <c r="D288" s="23"/>
      <c r="E288" s="22"/>
      <c r="F288" s="23"/>
      <c r="G288" s="11"/>
      <c r="H288" s="35"/>
      <c r="I288" s="11"/>
      <c r="J288" s="23"/>
      <c r="K288" s="27" t="str">
        <f aca="false">IF(B288="","",COUNTIF(Contratos!$D:$D,B288))</f>
        <v/>
      </c>
      <c r="L288" s="36" t="str">
        <f aca="false">IF(B288="","",SUMIFS(Contratos!$K:$K,Contratos!$D:$D,B288))</f>
        <v/>
      </c>
      <c r="M288" s="36" t="str">
        <f aca="false">IF(B288="","",SUMIFS(Pagamentos!$G:$G,Pagamentos!$D:$D,B288,Pagamentos!$F:$F,"Empenho"))</f>
        <v/>
      </c>
      <c r="N288" s="36" t="str">
        <f aca="false">IF(B288="","",SUMIFS(Pagamentos!$G:$G,Pagamentos!$D:$D,B288,Pagamentos!$F:$F,"Pagamento"))</f>
        <v/>
      </c>
      <c r="O288" s="37" t="str">
        <f aca="false">IF(OR(B288="",H288="",L288="",L288=0),"",H288/L288)</f>
        <v/>
      </c>
      <c r="P288" s="27" t="str">
        <f aca="false">IF(B288="","",COUNTIF(Sancoes!$C:$C,B288))</f>
        <v/>
      </c>
      <c r="Q288" s="27" t="str">
        <f aca="false">IF(B288="","",COUNTIF(Socios!$B:$B,B288))</f>
        <v/>
      </c>
      <c r="R288" s="27" t="str">
        <f aca="false">IF(B288="","",COUNTIFS(Socios!$B:$B,B288,Socios!$L:$L,"SIM"))</f>
        <v/>
      </c>
      <c r="S288" s="24"/>
      <c r="T288" s="11"/>
    </row>
    <row r="289" customFormat="false" ht="15" hidden="false" customHeight="false" outlineLevel="0" collapsed="false">
      <c r="A289" s="24"/>
      <c r="B289" s="31" t="str">
        <f aca="false">IF(A289="","",IF(LEN(UPPER(SUBSTITUTE(SUBSTITUTE(SUBSTITUTE(SUBSTITUTE(TRIM(A289),".",""),"/",""),"-","")," ","")))&lt;14,RIGHT(REPT("0",14)&amp;UPPER(SUBSTITUTE(SUBSTITUTE(SUBSTITUTE(SUBSTITUTE(TRIM(A289),".",""),"/",""),"-","")," ","")),14),UPPER(SUBSTITUTE(SUBSTITUTE(SUBSTITUTE(SUBSTITUTE(TRIM(A289),".",""),"/",""),"-","")," ",""))))</f>
        <v/>
      </c>
      <c r="C289" s="11"/>
      <c r="D289" s="23"/>
      <c r="E289" s="22"/>
      <c r="F289" s="23"/>
      <c r="G289" s="11"/>
      <c r="H289" s="35"/>
      <c r="I289" s="11"/>
      <c r="J289" s="23"/>
      <c r="K289" s="27" t="str">
        <f aca="false">IF(B289="","",COUNTIF(Contratos!$D:$D,B289))</f>
        <v/>
      </c>
      <c r="L289" s="36" t="str">
        <f aca="false">IF(B289="","",SUMIFS(Contratos!$K:$K,Contratos!$D:$D,B289))</f>
        <v/>
      </c>
      <c r="M289" s="36" t="str">
        <f aca="false">IF(B289="","",SUMIFS(Pagamentos!$G:$G,Pagamentos!$D:$D,B289,Pagamentos!$F:$F,"Empenho"))</f>
        <v/>
      </c>
      <c r="N289" s="36" t="str">
        <f aca="false">IF(B289="","",SUMIFS(Pagamentos!$G:$G,Pagamentos!$D:$D,B289,Pagamentos!$F:$F,"Pagamento"))</f>
        <v/>
      </c>
      <c r="O289" s="37" t="str">
        <f aca="false">IF(OR(B289="",H289="",L289="",L289=0),"",H289/L289)</f>
        <v/>
      </c>
      <c r="P289" s="27" t="str">
        <f aca="false">IF(B289="","",COUNTIF(Sancoes!$C:$C,B289))</f>
        <v/>
      </c>
      <c r="Q289" s="27" t="str">
        <f aca="false">IF(B289="","",COUNTIF(Socios!$B:$B,B289))</f>
        <v/>
      </c>
      <c r="R289" s="27" t="str">
        <f aca="false">IF(B289="","",COUNTIFS(Socios!$B:$B,B289,Socios!$L:$L,"SIM"))</f>
        <v/>
      </c>
      <c r="S289" s="24"/>
      <c r="T289" s="11"/>
    </row>
    <row r="290" customFormat="false" ht="15" hidden="false" customHeight="false" outlineLevel="0" collapsed="false">
      <c r="A290" s="24"/>
      <c r="B290" s="31" t="str">
        <f aca="false">IF(A290="","",IF(LEN(UPPER(SUBSTITUTE(SUBSTITUTE(SUBSTITUTE(SUBSTITUTE(TRIM(A290),".",""),"/",""),"-","")," ","")))&lt;14,RIGHT(REPT("0",14)&amp;UPPER(SUBSTITUTE(SUBSTITUTE(SUBSTITUTE(SUBSTITUTE(TRIM(A290),".",""),"/",""),"-","")," ","")),14),UPPER(SUBSTITUTE(SUBSTITUTE(SUBSTITUTE(SUBSTITUTE(TRIM(A290),".",""),"/",""),"-","")," ",""))))</f>
        <v/>
      </c>
      <c r="C290" s="11"/>
      <c r="D290" s="23"/>
      <c r="E290" s="22"/>
      <c r="F290" s="23"/>
      <c r="G290" s="11"/>
      <c r="H290" s="35"/>
      <c r="I290" s="11"/>
      <c r="J290" s="23"/>
      <c r="K290" s="27" t="str">
        <f aca="false">IF(B290="","",COUNTIF(Contratos!$D:$D,B290))</f>
        <v/>
      </c>
      <c r="L290" s="36" t="str">
        <f aca="false">IF(B290="","",SUMIFS(Contratos!$K:$K,Contratos!$D:$D,B290))</f>
        <v/>
      </c>
      <c r="M290" s="36" t="str">
        <f aca="false">IF(B290="","",SUMIFS(Pagamentos!$G:$G,Pagamentos!$D:$D,B290,Pagamentos!$F:$F,"Empenho"))</f>
        <v/>
      </c>
      <c r="N290" s="36" t="str">
        <f aca="false">IF(B290="","",SUMIFS(Pagamentos!$G:$G,Pagamentos!$D:$D,B290,Pagamentos!$F:$F,"Pagamento"))</f>
        <v/>
      </c>
      <c r="O290" s="37" t="str">
        <f aca="false">IF(OR(B290="",H290="",L290="",L290=0),"",H290/L290)</f>
        <v/>
      </c>
      <c r="P290" s="27" t="str">
        <f aca="false">IF(B290="","",COUNTIF(Sancoes!$C:$C,B290))</f>
        <v/>
      </c>
      <c r="Q290" s="27" t="str">
        <f aca="false">IF(B290="","",COUNTIF(Socios!$B:$B,B290))</f>
        <v/>
      </c>
      <c r="R290" s="27" t="str">
        <f aca="false">IF(B290="","",COUNTIFS(Socios!$B:$B,B290,Socios!$L:$L,"SIM"))</f>
        <v/>
      </c>
      <c r="S290" s="24"/>
      <c r="T290" s="11"/>
    </row>
    <row r="291" customFormat="false" ht="15" hidden="false" customHeight="false" outlineLevel="0" collapsed="false">
      <c r="A291" s="24"/>
      <c r="B291" s="31" t="str">
        <f aca="false">IF(A291="","",IF(LEN(UPPER(SUBSTITUTE(SUBSTITUTE(SUBSTITUTE(SUBSTITUTE(TRIM(A291),".",""),"/",""),"-","")," ","")))&lt;14,RIGHT(REPT("0",14)&amp;UPPER(SUBSTITUTE(SUBSTITUTE(SUBSTITUTE(SUBSTITUTE(TRIM(A291),".",""),"/",""),"-","")," ","")),14),UPPER(SUBSTITUTE(SUBSTITUTE(SUBSTITUTE(SUBSTITUTE(TRIM(A291),".",""),"/",""),"-","")," ",""))))</f>
        <v/>
      </c>
      <c r="C291" s="11"/>
      <c r="D291" s="23"/>
      <c r="E291" s="22"/>
      <c r="F291" s="23"/>
      <c r="G291" s="11"/>
      <c r="H291" s="35"/>
      <c r="I291" s="11"/>
      <c r="J291" s="23"/>
      <c r="K291" s="27" t="str">
        <f aca="false">IF(B291="","",COUNTIF(Contratos!$D:$D,B291))</f>
        <v/>
      </c>
      <c r="L291" s="36" t="str">
        <f aca="false">IF(B291="","",SUMIFS(Contratos!$K:$K,Contratos!$D:$D,B291))</f>
        <v/>
      </c>
      <c r="M291" s="36" t="str">
        <f aca="false">IF(B291="","",SUMIFS(Pagamentos!$G:$G,Pagamentos!$D:$D,B291,Pagamentos!$F:$F,"Empenho"))</f>
        <v/>
      </c>
      <c r="N291" s="36" t="str">
        <f aca="false">IF(B291="","",SUMIFS(Pagamentos!$G:$G,Pagamentos!$D:$D,B291,Pagamentos!$F:$F,"Pagamento"))</f>
        <v/>
      </c>
      <c r="O291" s="37" t="str">
        <f aca="false">IF(OR(B291="",H291="",L291="",L291=0),"",H291/L291)</f>
        <v/>
      </c>
      <c r="P291" s="27" t="str">
        <f aca="false">IF(B291="","",COUNTIF(Sancoes!$C:$C,B291))</f>
        <v/>
      </c>
      <c r="Q291" s="27" t="str">
        <f aca="false">IF(B291="","",COUNTIF(Socios!$B:$B,B291))</f>
        <v/>
      </c>
      <c r="R291" s="27" t="str">
        <f aca="false">IF(B291="","",COUNTIFS(Socios!$B:$B,B291,Socios!$L:$L,"SIM"))</f>
        <v/>
      </c>
      <c r="S291" s="24"/>
      <c r="T291" s="11"/>
    </row>
    <row r="292" customFormat="false" ht="15" hidden="false" customHeight="false" outlineLevel="0" collapsed="false">
      <c r="A292" s="24"/>
      <c r="B292" s="31" t="str">
        <f aca="false">IF(A292="","",IF(LEN(UPPER(SUBSTITUTE(SUBSTITUTE(SUBSTITUTE(SUBSTITUTE(TRIM(A292),".",""),"/",""),"-","")," ","")))&lt;14,RIGHT(REPT("0",14)&amp;UPPER(SUBSTITUTE(SUBSTITUTE(SUBSTITUTE(SUBSTITUTE(TRIM(A292),".",""),"/",""),"-","")," ","")),14),UPPER(SUBSTITUTE(SUBSTITUTE(SUBSTITUTE(SUBSTITUTE(TRIM(A292),".",""),"/",""),"-","")," ",""))))</f>
        <v/>
      </c>
      <c r="C292" s="11"/>
      <c r="D292" s="23"/>
      <c r="E292" s="22"/>
      <c r="F292" s="23"/>
      <c r="G292" s="11"/>
      <c r="H292" s="35"/>
      <c r="I292" s="11"/>
      <c r="J292" s="23"/>
      <c r="K292" s="27" t="str">
        <f aca="false">IF(B292="","",COUNTIF(Contratos!$D:$D,B292))</f>
        <v/>
      </c>
      <c r="L292" s="36" t="str">
        <f aca="false">IF(B292="","",SUMIFS(Contratos!$K:$K,Contratos!$D:$D,B292))</f>
        <v/>
      </c>
      <c r="M292" s="36" t="str">
        <f aca="false">IF(B292="","",SUMIFS(Pagamentos!$G:$G,Pagamentos!$D:$D,B292,Pagamentos!$F:$F,"Empenho"))</f>
        <v/>
      </c>
      <c r="N292" s="36" t="str">
        <f aca="false">IF(B292="","",SUMIFS(Pagamentos!$G:$G,Pagamentos!$D:$D,B292,Pagamentos!$F:$F,"Pagamento"))</f>
        <v/>
      </c>
      <c r="O292" s="37" t="str">
        <f aca="false">IF(OR(B292="",H292="",L292="",L292=0),"",H292/L292)</f>
        <v/>
      </c>
      <c r="P292" s="27" t="str">
        <f aca="false">IF(B292="","",COUNTIF(Sancoes!$C:$C,B292))</f>
        <v/>
      </c>
      <c r="Q292" s="27" t="str">
        <f aca="false">IF(B292="","",COUNTIF(Socios!$B:$B,B292))</f>
        <v/>
      </c>
      <c r="R292" s="27" t="str">
        <f aca="false">IF(B292="","",COUNTIFS(Socios!$B:$B,B292,Socios!$L:$L,"SIM"))</f>
        <v/>
      </c>
      <c r="S292" s="24"/>
      <c r="T292" s="11"/>
    </row>
    <row r="293" customFormat="false" ht="15" hidden="false" customHeight="false" outlineLevel="0" collapsed="false">
      <c r="A293" s="24"/>
      <c r="B293" s="31" t="str">
        <f aca="false">IF(A293="","",IF(LEN(UPPER(SUBSTITUTE(SUBSTITUTE(SUBSTITUTE(SUBSTITUTE(TRIM(A293),".",""),"/",""),"-","")," ","")))&lt;14,RIGHT(REPT("0",14)&amp;UPPER(SUBSTITUTE(SUBSTITUTE(SUBSTITUTE(SUBSTITUTE(TRIM(A293),".",""),"/",""),"-","")," ","")),14),UPPER(SUBSTITUTE(SUBSTITUTE(SUBSTITUTE(SUBSTITUTE(TRIM(A293),".",""),"/",""),"-","")," ",""))))</f>
        <v/>
      </c>
      <c r="C293" s="11"/>
      <c r="D293" s="23"/>
      <c r="E293" s="22"/>
      <c r="F293" s="23"/>
      <c r="G293" s="11"/>
      <c r="H293" s="35"/>
      <c r="I293" s="11"/>
      <c r="J293" s="23"/>
      <c r="K293" s="27" t="str">
        <f aca="false">IF(B293="","",COUNTIF(Contratos!$D:$D,B293))</f>
        <v/>
      </c>
      <c r="L293" s="36" t="str">
        <f aca="false">IF(B293="","",SUMIFS(Contratos!$K:$K,Contratos!$D:$D,B293))</f>
        <v/>
      </c>
      <c r="M293" s="36" t="str">
        <f aca="false">IF(B293="","",SUMIFS(Pagamentos!$G:$G,Pagamentos!$D:$D,B293,Pagamentos!$F:$F,"Empenho"))</f>
        <v/>
      </c>
      <c r="N293" s="36" t="str">
        <f aca="false">IF(B293="","",SUMIFS(Pagamentos!$G:$G,Pagamentos!$D:$D,B293,Pagamentos!$F:$F,"Pagamento"))</f>
        <v/>
      </c>
      <c r="O293" s="37" t="str">
        <f aca="false">IF(OR(B293="",H293="",L293="",L293=0),"",H293/L293)</f>
        <v/>
      </c>
      <c r="P293" s="27" t="str">
        <f aca="false">IF(B293="","",COUNTIF(Sancoes!$C:$C,B293))</f>
        <v/>
      </c>
      <c r="Q293" s="27" t="str">
        <f aca="false">IF(B293="","",COUNTIF(Socios!$B:$B,B293))</f>
        <v/>
      </c>
      <c r="R293" s="27" t="str">
        <f aca="false">IF(B293="","",COUNTIFS(Socios!$B:$B,B293,Socios!$L:$L,"SIM"))</f>
        <v/>
      </c>
      <c r="S293" s="24"/>
      <c r="T293" s="11"/>
    </row>
    <row r="294" customFormat="false" ht="15" hidden="false" customHeight="false" outlineLevel="0" collapsed="false">
      <c r="A294" s="24"/>
      <c r="B294" s="31" t="str">
        <f aca="false">IF(A294="","",IF(LEN(UPPER(SUBSTITUTE(SUBSTITUTE(SUBSTITUTE(SUBSTITUTE(TRIM(A294),".",""),"/",""),"-","")," ","")))&lt;14,RIGHT(REPT("0",14)&amp;UPPER(SUBSTITUTE(SUBSTITUTE(SUBSTITUTE(SUBSTITUTE(TRIM(A294),".",""),"/",""),"-","")," ","")),14),UPPER(SUBSTITUTE(SUBSTITUTE(SUBSTITUTE(SUBSTITUTE(TRIM(A294),".",""),"/",""),"-","")," ",""))))</f>
        <v/>
      </c>
      <c r="C294" s="11"/>
      <c r="D294" s="23"/>
      <c r="E294" s="22"/>
      <c r="F294" s="23"/>
      <c r="G294" s="11"/>
      <c r="H294" s="35"/>
      <c r="I294" s="11"/>
      <c r="J294" s="23"/>
      <c r="K294" s="27" t="str">
        <f aca="false">IF(B294="","",COUNTIF(Contratos!$D:$D,B294))</f>
        <v/>
      </c>
      <c r="L294" s="36" t="str">
        <f aca="false">IF(B294="","",SUMIFS(Contratos!$K:$K,Contratos!$D:$D,B294))</f>
        <v/>
      </c>
      <c r="M294" s="36" t="str">
        <f aca="false">IF(B294="","",SUMIFS(Pagamentos!$G:$G,Pagamentos!$D:$D,B294,Pagamentos!$F:$F,"Empenho"))</f>
        <v/>
      </c>
      <c r="N294" s="36" t="str">
        <f aca="false">IF(B294="","",SUMIFS(Pagamentos!$G:$G,Pagamentos!$D:$D,B294,Pagamentos!$F:$F,"Pagamento"))</f>
        <v/>
      </c>
      <c r="O294" s="37" t="str">
        <f aca="false">IF(OR(B294="",H294="",L294="",L294=0),"",H294/L294)</f>
        <v/>
      </c>
      <c r="P294" s="27" t="str">
        <f aca="false">IF(B294="","",COUNTIF(Sancoes!$C:$C,B294))</f>
        <v/>
      </c>
      <c r="Q294" s="27" t="str">
        <f aca="false">IF(B294="","",COUNTIF(Socios!$B:$B,B294))</f>
        <v/>
      </c>
      <c r="R294" s="27" t="str">
        <f aca="false">IF(B294="","",COUNTIFS(Socios!$B:$B,B294,Socios!$L:$L,"SIM"))</f>
        <v/>
      </c>
      <c r="S294" s="24"/>
      <c r="T294" s="11"/>
    </row>
    <row r="295" customFormat="false" ht="15" hidden="false" customHeight="false" outlineLevel="0" collapsed="false">
      <c r="A295" s="24"/>
      <c r="B295" s="31" t="str">
        <f aca="false">IF(A295="","",IF(LEN(UPPER(SUBSTITUTE(SUBSTITUTE(SUBSTITUTE(SUBSTITUTE(TRIM(A295),".",""),"/",""),"-","")," ","")))&lt;14,RIGHT(REPT("0",14)&amp;UPPER(SUBSTITUTE(SUBSTITUTE(SUBSTITUTE(SUBSTITUTE(TRIM(A295),".",""),"/",""),"-","")," ","")),14),UPPER(SUBSTITUTE(SUBSTITUTE(SUBSTITUTE(SUBSTITUTE(TRIM(A295),".",""),"/",""),"-","")," ",""))))</f>
        <v/>
      </c>
      <c r="C295" s="11"/>
      <c r="D295" s="23"/>
      <c r="E295" s="22"/>
      <c r="F295" s="23"/>
      <c r="G295" s="11"/>
      <c r="H295" s="35"/>
      <c r="I295" s="11"/>
      <c r="J295" s="23"/>
      <c r="K295" s="27" t="str">
        <f aca="false">IF(B295="","",COUNTIF(Contratos!$D:$D,B295))</f>
        <v/>
      </c>
      <c r="L295" s="36" t="str">
        <f aca="false">IF(B295="","",SUMIFS(Contratos!$K:$K,Contratos!$D:$D,B295))</f>
        <v/>
      </c>
      <c r="M295" s="36" t="str">
        <f aca="false">IF(B295="","",SUMIFS(Pagamentos!$G:$G,Pagamentos!$D:$D,B295,Pagamentos!$F:$F,"Empenho"))</f>
        <v/>
      </c>
      <c r="N295" s="36" t="str">
        <f aca="false">IF(B295="","",SUMIFS(Pagamentos!$G:$G,Pagamentos!$D:$D,B295,Pagamentos!$F:$F,"Pagamento"))</f>
        <v/>
      </c>
      <c r="O295" s="37" t="str">
        <f aca="false">IF(OR(B295="",H295="",L295="",L295=0),"",H295/L295)</f>
        <v/>
      </c>
      <c r="P295" s="27" t="str">
        <f aca="false">IF(B295="","",COUNTIF(Sancoes!$C:$C,B295))</f>
        <v/>
      </c>
      <c r="Q295" s="27" t="str">
        <f aca="false">IF(B295="","",COUNTIF(Socios!$B:$B,B295))</f>
        <v/>
      </c>
      <c r="R295" s="27" t="str">
        <f aca="false">IF(B295="","",COUNTIFS(Socios!$B:$B,B295,Socios!$L:$L,"SIM"))</f>
        <v/>
      </c>
      <c r="S295" s="24"/>
      <c r="T295" s="11"/>
    </row>
    <row r="296" customFormat="false" ht="15" hidden="false" customHeight="false" outlineLevel="0" collapsed="false">
      <c r="A296" s="24"/>
      <c r="B296" s="31" t="str">
        <f aca="false">IF(A296="","",IF(LEN(UPPER(SUBSTITUTE(SUBSTITUTE(SUBSTITUTE(SUBSTITUTE(TRIM(A296),".",""),"/",""),"-","")," ","")))&lt;14,RIGHT(REPT("0",14)&amp;UPPER(SUBSTITUTE(SUBSTITUTE(SUBSTITUTE(SUBSTITUTE(TRIM(A296),".",""),"/",""),"-","")," ","")),14),UPPER(SUBSTITUTE(SUBSTITUTE(SUBSTITUTE(SUBSTITUTE(TRIM(A296),".",""),"/",""),"-","")," ",""))))</f>
        <v/>
      </c>
      <c r="C296" s="11"/>
      <c r="D296" s="23"/>
      <c r="E296" s="22"/>
      <c r="F296" s="23"/>
      <c r="G296" s="11"/>
      <c r="H296" s="35"/>
      <c r="I296" s="11"/>
      <c r="J296" s="23"/>
      <c r="K296" s="27" t="str">
        <f aca="false">IF(B296="","",COUNTIF(Contratos!$D:$D,B296))</f>
        <v/>
      </c>
      <c r="L296" s="36" t="str">
        <f aca="false">IF(B296="","",SUMIFS(Contratos!$K:$K,Contratos!$D:$D,B296))</f>
        <v/>
      </c>
      <c r="M296" s="36" t="str">
        <f aca="false">IF(B296="","",SUMIFS(Pagamentos!$G:$G,Pagamentos!$D:$D,B296,Pagamentos!$F:$F,"Empenho"))</f>
        <v/>
      </c>
      <c r="N296" s="36" t="str">
        <f aca="false">IF(B296="","",SUMIFS(Pagamentos!$G:$G,Pagamentos!$D:$D,B296,Pagamentos!$F:$F,"Pagamento"))</f>
        <v/>
      </c>
      <c r="O296" s="37" t="str">
        <f aca="false">IF(OR(B296="",H296="",L296="",L296=0),"",H296/L296)</f>
        <v/>
      </c>
      <c r="P296" s="27" t="str">
        <f aca="false">IF(B296="","",COUNTIF(Sancoes!$C:$C,B296))</f>
        <v/>
      </c>
      <c r="Q296" s="27" t="str">
        <f aca="false">IF(B296="","",COUNTIF(Socios!$B:$B,B296))</f>
        <v/>
      </c>
      <c r="R296" s="27" t="str">
        <f aca="false">IF(B296="","",COUNTIFS(Socios!$B:$B,B296,Socios!$L:$L,"SIM"))</f>
        <v/>
      </c>
      <c r="S296" s="24"/>
      <c r="T296" s="11"/>
    </row>
    <row r="297" customFormat="false" ht="15" hidden="false" customHeight="false" outlineLevel="0" collapsed="false">
      <c r="A297" s="24"/>
      <c r="B297" s="31" t="str">
        <f aca="false">IF(A297="","",IF(LEN(UPPER(SUBSTITUTE(SUBSTITUTE(SUBSTITUTE(SUBSTITUTE(TRIM(A297),".",""),"/",""),"-","")," ","")))&lt;14,RIGHT(REPT("0",14)&amp;UPPER(SUBSTITUTE(SUBSTITUTE(SUBSTITUTE(SUBSTITUTE(TRIM(A297),".",""),"/",""),"-","")," ","")),14),UPPER(SUBSTITUTE(SUBSTITUTE(SUBSTITUTE(SUBSTITUTE(TRIM(A297),".",""),"/",""),"-","")," ",""))))</f>
        <v/>
      </c>
      <c r="C297" s="11"/>
      <c r="D297" s="23"/>
      <c r="E297" s="22"/>
      <c r="F297" s="23"/>
      <c r="G297" s="11"/>
      <c r="H297" s="35"/>
      <c r="I297" s="11"/>
      <c r="J297" s="23"/>
      <c r="K297" s="27" t="str">
        <f aca="false">IF(B297="","",COUNTIF(Contratos!$D:$D,B297))</f>
        <v/>
      </c>
      <c r="L297" s="36" t="str">
        <f aca="false">IF(B297="","",SUMIFS(Contratos!$K:$K,Contratos!$D:$D,B297))</f>
        <v/>
      </c>
      <c r="M297" s="36" t="str">
        <f aca="false">IF(B297="","",SUMIFS(Pagamentos!$G:$G,Pagamentos!$D:$D,B297,Pagamentos!$F:$F,"Empenho"))</f>
        <v/>
      </c>
      <c r="N297" s="36" t="str">
        <f aca="false">IF(B297="","",SUMIFS(Pagamentos!$G:$G,Pagamentos!$D:$D,B297,Pagamentos!$F:$F,"Pagamento"))</f>
        <v/>
      </c>
      <c r="O297" s="37" t="str">
        <f aca="false">IF(OR(B297="",H297="",L297="",L297=0),"",H297/L297)</f>
        <v/>
      </c>
      <c r="P297" s="27" t="str">
        <f aca="false">IF(B297="","",COUNTIF(Sancoes!$C:$C,B297))</f>
        <v/>
      </c>
      <c r="Q297" s="27" t="str">
        <f aca="false">IF(B297="","",COUNTIF(Socios!$B:$B,B297))</f>
        <v/>
      </c>
      <c r="R297" s="27" t="str">
        <f aca="false">IF(B297="","",COUNTIFS(Socios!$B:$B,B297,Socios!$L:$L,"SIM"))</f>
        <v/>
      </c>
      <c r="S297" s="24"/>
      <c r="T297" s="11"/>
    </row>
    <row r="298" customFormat="false" ht="15" hidden="false" customHeight="false" outlineLevel="0" collapsed="false">
      <c r="A298" s="24"/>
      <c r="B298" s="31" t="str">
        <f aca="false">IF(A298="","",IF(LEN(UPPER(SUBSTITUTE(SUBSTITUTE(SUBSTITUTE(SUBSTITUTE(TRIM(A298),".",""),"/",""),"-","")," ","")))&lt;14,RIGHT(REPT("0",14)&amp;UPPER(SUBSTITUTE(SUBSTITUTE(SUBSTITUTE(SUBSTITUTE(TRIM(A298),".",""),"/",""),"-","")," ","")),14),UPPER(SUBSTITUTE(SUBSTITUTE(SUBSTITUTE(SUBSTITUTE(TRIM(A298),".",""),"/",""),"-","")," ",""))))</f>
        <v/>
      </c>
      <c r="C298" s="11"/>
      <c r="D298" s="23"/>
      <c r="E298" s="22"/>
      <c r="F298" s="23"/>
      <c r="G298" s="11"/>
      <c r="H298" s="35"/>
      <c r="I298" s="11"/>
      <c r="J298" s="23"/>
      <c r="K298" s="27" t="str">
        <f aca="false">IF(B298="","",COUNTIF(Contratos!$D:$D,B298))</f>
        <v/>
      </c>
      <c r="L298" s="36" t="str">
        <f aca="false">IF(B298="","",SUMIFS(Contratos!$K:$K,Contratos!$D:$D,B298))</f>
        <v/>
      </c>
      <c r="M298" s="36" t="str">
        <f aca="false">IF(B298="","",SUMIFS(Pagamentos!$G:$G,Pagamentos!$D:$D,B298,Pagamentos!$F:$F,"Empenho"))</f>
        <v/>
      </c>
      <c r="N298" s="36" t="str">
        <f aca="false">IF(B298="","",SUMIFS(Pagamentos!$G:$G,Pagamentos!$D:$D,B298,Pagamentos!$F:$F,"Pagamento"))</f>
        <v/>
      </c>
      <c r="O298" s="37" t="str">
        <f aca="false">IF(OR(B298="",H298="",L298="",L298=0),"",H298/L298)</f>
        <v/>
      </c>
      <c r="P298" s="27" t="str">
        <f aca="false">IF(B298="","",COUNTIF(Sancoes!$C:$C,B298))</f>
        <v/>
      </c>
      <c r="Q298" s="27" t="str">
        <f aca="false">IF(B298="","",COUNTIF(Socios!$B:$B,B298))</f>
        <v/>
      </c>
      <c r="R298" s="27" t="str">
        <f aca="false">IF(B298="","",COUNTIFS(Socios!$B:$B,B298,Socios!$L:$L,"SIM"))</f>
        <v/>
      </c>
      <c r="S298" s="24"/>
      <c r="T298" s="11"/>
    </row>
    <row r="299" customFormat="false" ht="15" hidden="false" customHeight="false" outlineLevel="0" collapsed="false">
      <c r="A299" s="24"/>
      <c r="B299" s="31" t="str">
        <f aca="false">IF(A299="","",IF(LEN(UPPER(SUBSTITUTE(SUBSTITUTE(SUBSTITUTE(SUBSTITUTE(TRIM(A299),".",""),"/",""),"-","")," ","")))&lt;14,RIGHT(REPT("0",14)&amp;UPPER(SUBSTITUTE(SUBSTITUTE(SUBSTITUTE(SUBSTITUTE(TRIM(A299),".",""),"/",""),"-","")," ","")),14),UPPER(SUBSTITUTE(SUBSTITUTE(SUBSTITUTE(SUBSTITUTE(TRIM(A299),".",""),"/",""),"-","")," ",""))))</f>
        <v/>
      </c>
      <c r="C299" s="11"/>
      <c r="D299" s="23"/>
      <c r="E299" s="22"/>
      <c r="F299" s="23"/>
      <c r="G299" s="11"/>
      <c r="H299" s="35"/>
      <c r="I299" s="11"/>
      <c r="J299" s="23"/>
      <c r="K299" s="27" t="str">
        <f aca="false">IF(B299="","",COUNTIF(Contratos!$D:$D,B299))</f>
        <v/>
      </c>
      <c r="L299" s="36" t="str">
        <f aca="false">IF(B299="","",SUMIFS(Contratos!$K:$K,Contratos!$D:$D,B299))</f>
        <v/>
      </c>
      <c r="M299" s="36" t="str">
        <f aca="false">IF(B299="","",SUMIFS(Pagamentos!$G:$G,Pagamentos!$D:$D,B299,Pagamentos!$F:$F,"Empenho"))</f>
        <v/>
      </c>
      <c r="N299" s="36" t="str">
        <f aca="false">IF(B299="","",SUMIFS(Pagamentos!$G:$G,Pagamentos!$D:$D,B299,Pagamentos!$F:$F,"Pagamento"))</f>
        <v/>
      </c>
      <c r="O299" s="37" t="str">
        <f aca="false">IF(OR(B299="",H299="",L299="",L299=0),"",H299/L299)</f>
        <v/>
      </c>
      <c r="P299" s="27" t="str">
        <f aca="false">IF(B299="","",COUNTIF(Sancoes!$C:$C,B299))</f>
        <v/>
      </c>
      <c r="Q299" s="27" t="str">
        <f aca="false">IF(B299="","",COUNTIF(Socios!$B:$B,B299))</f>
        <v/>
      </c>
      <c r="R299" s="27" t="str">
        <f aca="false">IF(B299="","",COUNTIFS(Socios!$B:$B,B299,Socios!$L:$L,"SIM"))</f>
        <v/>
      </c>
      <c r="S299" s="24"/>
      <c r="T299" s="11"/>
    </row>
    <row r="300" customFormat="false" ht="15" hidden="false" customHeight="false" outlineLevel="0" collapsed="false">
      <c r="A300" s="24"/>
      <c r="B300" s="31" t="str">
        <f aca="false">IF(A300="","",IF(LEN(UPPER(SUBSTITUTE(SUBSTITUTE(SUBSTITUTE(SUBSTITUTE(TRIM(A300),".",""),"/",""),"-","")," ","")))&lt;14,RIGHT(REPT("0",14)&amp;UPPER(SUBSTITUTE(SUBSTITUTE(SUBSTITUTE(SUBSTITUTE(TRIM(A300),".",""),"/",""),"-","")," ","")),14),UPPER(SUBSTITUTE(SUBSTITUTE(SUBSTITUTE(SUBSTITUTE(TRIM(A300),".",""),"/",""),"-","")," ",""))))</f>
        <v/>
      </c>
      <c r="C300" s="11"/>
      <c r="D300" s="23"/>
      <c r="E300" s="22"/>
      <c r="F300" s="23"/>
      <c r="G300" s="11"/>
      <c r="H300" s="35"/>
      <c r="I300" s="11"/>
      <c r="J300" s="23"/>
      <c r="K300" s="27" t="str">
        <f aca="false">IF(B300="","",COUNTIF(Contratos!$D:$D,B300))</f>
        <v/>
      </c>
      <c r="L300" s="36" t="str">
        <f aca="false">IF(B300="","",SUMIFS(Contratos!$K:$K,Contratos!$D:$D,B300))</f>
        <v/>
      </c>
      <c r="M300" s="36" t="str">
        <f aca="false">IF(B300="","",SUMIFS(Pagamentos!$G:$G,Pagamentos!$D:$D,B300,Pagamentos!$F:$F,"Empenho"))</f>
        <v/>
      </c>
      <c r="N300" s="36" t="str">
        <f aca="false">IF(B300="","",SUMIFS(Pagamentos!$G:$G,Pagamentos!$D:$D,B300,Pagamentos!$F:$F,"Pagamento"))</f>
        <v/>
      </c>
      <c r="O300" s="37" t="str">
        <f aca="false">IF(OR(B300="",H300="",L300="",L300=0),"",H300/L300)</f>
        <v/>
      </c>
      <c r="P300" s="27" t="str">
        <f aca="false">IF(B300="","",COUNTIF(Sancoes!$C:$C,B300))</f>
        <v/>
      </c>
      <c r="Q300" s="27" t="str">
        <f aca="false">IF(B300="","",COUNTIF(Socios!$B:$B,B300))</f>
        <v/>
      </c>
      <c r="R300" s="27" t="str">
        <f aca="false">IF(B300="","",COUNTIFS(Socios!$B:$B,B300,Socios!$L:$L,"SIM"))</f>
        <v/>
      </c>
      <c r="S300" s="24"/>
      <c r="T300" s="11"/>
    </row>
    <row r="301" customFormat="false" ht="15" hidden="false" customHeight="false" outlineLevel="0" collapsed="false">
      <c r="A301" s="24"/>
      <c r="B301" s="31" t="str">
        <f aca="false">IF(A301="","",IF(LEN(UPPER(SUBSTITUTE(SUBSTITUTE(SUBSTITUTE(SUBSTITUTE(TRIM(A301),".",""),"/",""),"-","")," ","")))&lt;14,RIGHT(REPT("0",14)&amp;UPPER(SUBSTITUTE(SUBSTITUTE(SUBSTITUTE(SUBSTITUTE(TRIM(A301),".",""),"/",""),"-","")," ","")),14),UPPER(SUBSTITUTE(SUBSTITUTE(SUBSTITUTE(SUBSTITUTE(TRIM(A301),".",""),"/",""),"-","")," ",""))))</f>
        <v/>
      </c>
      <c r="C301" s="11"/>
      <c r="D301" s="23"/>
      <c r="E301" s="22"/>
      <c r="F301" s="23"/>
      <c r="G301" s="11"/>
      <c r="H301" s="35"/>
      <c r="I301" s="11"/>
      <c r="J301" s="23"/>
      <c r="K301" s="27" t="str">
        <f aca="false">IF(B301="","",COUNTIF(Contratos!$D:$D,B301))</f>
        <v/>
      </c>
      <c r="L301" s="36" t="str">
        <f aca="false">IF(B301="","",SUMIFS(Contratos!$K:$K,Contratos!$D:$D,B301))</f>
        <v/>
      </c>
      <c r="M301" s="36" t="str">
        <f aca="false">IF(B301="","",SUMIFS(Pagamentos!$G:$G,Pagamentos!$D:$D,B301,Pagamentos!$F:$F,"Empenho"))</f>
        <v/>
      </c>
      <c r="N301" s="36" t="str">
        <f aca="false">IF(B301="","",SUMIFS(Pagamentos!$G:$G,Pagamentos!$D:$D,B301,Pagamentos!$F:$F,"Pagamento"))</f>
        <v/>
      </c>
      <c r="O301" s="37" t="str">
        <f aca="false">IF(OR(B301="",H301="",L301="",L301=0),"",H301/L301)</f>
        <v/>
      </c>
      <c r="P301" s="27" t="str">
        <f aca="false">IF(B301="","",COUNTIF(Sancoes!$C:$C,B301))</f>
        <v/>
      </c>
      <c r="Q301" s="27" t="str">
        <f aca="false">IF(B301="","",COUNTIF(Socios!$B:$B,B301))</f>
        <v/>
      </c>
      <c r="R301" s="27" t="str">
        <f aca="false">IF(B301="","",COUNTIFS(Socios!$B:$B,B301,Socios!$L:$L,"SIM"))</f>
        <v/>
      </c>
      <c r="S301" s="24"/>
      <c r="T301" s="11"/>
    </row>
    <row r="302" customFormat="false" ht="15" hidden="false" customHeight="false" outlineLevel="0" collapsed="false">
      <c r="A302" s="24"/>
      <c r="B302" s="31" t="str">
        <f aca="false">IF(A302="","",IF(LEN(UPPER(SUBSTITUTE(SUBSTITUTE(SUBSTITUTE(SUBSTITUTE(TRIM(A302),".",""),"/",""),"-","")," ","")))&lt;14,RIGHT(REPT("0",14)&amp;UPPER(SUBSTITUTE(SUBSTITUTE(SUBSTITUTE(SUBSTITUTE(TRIM(A302),".",""),"/",""),"-","")," ","")),14),UPPER(SUBSTITUTE(SUBSTITUTE(SUBSTITUTE(SUBSTITUTE(TRIM(A302),".",""),"/",""),"-","")," ",""))))</f>
        <v/>
      </c>
      <c r="C302" s="11"/>
      <c r="D302" s="23"/>
      <c r="E302" s="22"/>
      <c r="F302" s="23"/>
      <c r="G302" s="11"/>
      <c r="H302" s="35"/>
      <c r="I302" s="11"/>
      <c r="J302" s="23"/>
      <c r="K302" s="27" t="str">
        <f aca="false">IF(B302="","",COUNTIF(Contratos!$D:$D,B302))</f>
        <v/>
      </c>
      <c r="L302" s="36" t="str">
        <f aca="false">IF(B302="","",SUMIFS(Contratos!$K:$K,Contratos!$D:$D,B302))</f>
        <v/>
      </c>
      <c r="M302" s="36" t="str">
        <f aca="false">IF(B302="","",SUMIFS(Pagamentos!$G:$G,Pagamentos!$D:$D,B302,Pagamentos!$F:$F,"Empenho"))</f>
        <v/>
      </c>
      <c r="N302" s="36" t="str">
        <f aca="false">IF(B302="","",SUMIFS(Pagamentos!$G:$G,Pagamentos!$D:$D,B302,Pagamentos!$F:$F,"Pagamento"))</f>
        <v/>
      </c>
      <c r="O302" s="37" t="str">
        <f aca="false">IF(OR(B302="",H302="",L302="",L302=0),"",H302/L302)</f>
        <v/>
      </c>
      <c r="P302" s="27" t="str">
        <f aca="false">IF(B302="","",COUNTIF(Sancoes!$C:$C,B302))</f>
        <v/>
      </c>
      <c r="Q302" s="27" t="str">
        <f aca="false">IF(B302="","",COUNTIF(Socios!$B:$B,B302))</f>
        <v/>
      </c>
      <c r="R302" s="27" t="str">
        <f aca="false">IF(B302="","",COUNTIFS(Socios!$B:$B,B302,Socios!$L:$L,"SIM"))</f>
        <v/>
      </c>
      <c r="S302" s="24"/>
      <c r="T302" s="11"/>
    </row>
    <row r="303" customFormat="false" ht="15" hidden="false" customHeight="false" outlineLevel="0" collapsed="false">
      <c r="A303" s="24"/>
      <c r="B303" s="31" t="str">
        <f aca="false">IF(A303="","",IF(LEN(UPPER(SUBSTITUTE(SUBSTITUTE(SUBSTITUTE(SUBSTITUTE(TRIM(A303),".",""),"/",""),"-","")," ","")))&lt;14,RIGHT(REPT("0",14)&amp;UPPER(SUBSTITUTE(SUBSTITUTE(SUBSTITUTE(SUBSTITUTE(TRIM(A303),".",""),"/",""),"-","")," ","")),14),UPPER(SUBSTITUTE(SUBSTITUTE(SUBSTITUTE(SUBSTITUTE(TRIM(A303),".",""),"/",""),"-","")," ",""))))</f>
        <v/>
      </c>
      <c r="C303" s="11"/>
      <c r="D303" s="23"/>
      <c r="E303" s="22"/>
      <c r="F303" s="23"/>
      <c r="G303" s="11"/>
      <c r="H303" s="35"/>
      <c r="I303" s="11"/>
      <c r="J303" s="23"/>
      <c r="K303" s="27" t="str">
        <f aca="false">IF(B303="","",COUNTIF(Contratos!$D:$D,B303))</f>
        <v/>
      </c>
      <c r="L303" s="36" t="str">
        <f aca="false">IF(B303="","",SUMIFS(Contratos!$K:$K,Contratos!$D:$D,B303))</f>
        <v/>
      </c>
      <c r="M303" s="36" t="str">
        <f aca="false">IF(B303="","",SUMIFS(Pagamentos!$G:$G,Pagamentos!$D:$D,B303,Pagamentos!$F:$F,"Empenho"))</f>
        <v/>
      </c>
      <c r="N303" s="36" t="str">
        <f aca="false">IF(B303="","",SUMIFS(Pagamentos!$G:$G,Pagamentos!$D:$D,B303,Pagamentos!$F:$F,"Pagamento"))</f>
        <v/>
      </c>
      <c r="O303" s="37" t="str">
        <f aca="false">IF(OR(B303="",H303="",L303="",L303=0),"",H303/L303)</f>
        <v/>
      </c>
      <c r="P303" s="27" t="str">
        <f aca="false">IF(B303="","",COUNTIF(Sancoes!$C:$C,B303))</f>
        <v/>
      </c>
      <c r="Q303" s="27" t="str">
        <f aca="false">IF(B303="","",COUNTIF(Socios!$B:$B,B303))</f>
        <v/>
      </c>
      <c r="R303" s="27" t="str">
        <f aca="false">IF(B303="","",COUNTIFS(Socios!$B:$B,B303,Socios!$L:$L,"SIM"))</f>
        <v/>
      </c>
      <c r="S303" s="24"/>
      <c r="T303" s="11"/>
    </row>
    <row r="304" customFormat="false" ht="15" hidden="false" customHeight="false" outlineLevel="0" collapsed="false">
      <c r="A304" s="24"/>
      <c r="B304" s="31" t="str">
        <f aca="false">IF(A304="","",IF(LEN(UPPER(SUBSTITUTE(SUBSTITUTE(SUBSTITUTE(SUBSTITUTE(TRIM(A304),".",""),"/",""),"-","")," ","")))&lt;14,RIGHT(REPT("0",14)&amp;UPPER(SUBSTITUTE(SUBSTITUTE(SUBSTITUTE(SUBSTITUTE(TRIM(A304),".",""),"/",""),"-","")," ","")),14),UPPER(SUBSTITUTE(SUBSTITUTE(SUBSTITUTE(SUBSTITUTE(TRIM(A304),".",""),"/",""),"-","")," ",""))))</f>
        <v/>
      </c>
      <c r="C304" s="11"/>
      <c r="D304" s="23"/>
      <c r="E304" s="22"/>
      <c r="F304" s="23"/>
      <c r="G304" s="11"/>
      <c r="H304" s="35"/>
      <c r="I304" s="11"/>
      <c r="J304" s="23"/>
      <c r="K304" s="27" t="str">
        <f aca="false">IF(B304="","",COUNTIF(Contratos!$D:$D,B304))</f>
        <v/>
      </c>
      <c r="L304" s="36" t="str">
        <f aca="false">IF(B304="","",SUMIFS(Contratos!$K:$K,Contratos!$D:$D,B304))</f>
        <v/>
      </c>
      <c r="M304" s="36" t="str">
        <f aca="false">IF(B304="","",SUMIFS(Pagamentos!$G:$G,Pagamentos!$D:$D,B304,Pagamentos!$F:$F,"Empenho"))</f>
        <v/>
      </c>
      <c r="N304" s="36" t="str">
        <f aca="false">IF(B304="","",SUMIFS(Pagamentos!$G:$G,Pagamentos!$D:$D,B304,Pagamentos!$F:$F,"Pagamento"))</f>
        <v/>
      </c>
      <c r="O304" s="37" t="str">
        <f aca="false">IF(OR(B304="",H304="",L304="",L304=0),"",H304/L304)</f>
        <v/>
      </c>
      <c r="P304" s="27" t="str">
        <f aca="false">IF(B304="","",COUNTIF(Sancoes!$C:$C,B304))</f>
        <v/>
      </c>
      <c r="Q304" s="27" t="str">
        <f aca="false">IF(B304="","",COUNTIF(Socios!$B:$B,B304))</f>
        <v/>
      </c>
      <c r="R304" s="27" t="str">
        <f aca="false">IF(B304="","",COUNTIFS(Socios!$B:$B,B304,Socios!$L:$L,"SIM"))</f>
        <v/>
      </c>
      <c r="S304" s="24"/>
      <c r="T304" s="11"/>
    </row>
    <row r="305" customFormat="false" ht="15" hidden="false" customHeight="false" outlineLevel="0" collapsed="false">
      <c r="A305" s="24"/>
      <c r="B305" s="31" t="str">
        <f aca="false">IF(A305="","",IF(LEN(UPPER(SUBSTITUTE(SUBSTITUTE(SUBSTITUTE(SUBSTITUTE(TRIM(A305),".",""),"/",""),"-","")," ","")))&lt;14,RIGHT(REPT("0",14)&amp;UPPER(SUBSTITUTE(SUBSTITUTE(SUBSTITUTE(SUBSTITUTE(TRIM(A305),".",""),"/",""),"-","")," ","")),14),UPPER(SUBSTITUTE(SUBSTITUTE(SUBSTITUTE(SUBSTITUTE(TRIM(A305),".",""),"/",""),"-","")," ",""))))</f>
        <v/>
      </c>
      <c r="C305" s="11"/>
      <c r="D305" s="23"/>
      <c r="E305" s="22"/>
      <c r="F305" s="23"/>
      <c r="G305" s="11"/>
      <c r="H305" s="35"/>
      <c r="I305" s="11"/>
      <c r="J305" s="23"/>
      <c r="K305" s="27" t="str">
        <f aca="false">IF(B305="","",COUNTIF(Contratos!$D:$D,B305))</f>
        <v/>
      </c>
      <c r="L305" s="36" t="str">
        <f aca="false">IF(B305="","",SUMIFS(Contratos!$K:$K,Contratos!$D:$D,B305))</f>
        <v/>
      </c>
      <c r="M305" s="36" t="str">
        <f aca="false">IF(B305="","",SUMIFS(Pagamentos!$G:$G,Pagamentos!$D:$D,B305,Pagamentos!$F:$F,"Empenho"))</f>
        <v/>
      </c>
      <c r="N305" s="36" t="str">
        <f aca="false">IF(B305="","",SUMIFS(Pagamentos!$G:$G,Pagamentos!$D:$D,B305,Pagamentos!$F:$F,"Pagamento"))</f>
        <v/>
      </c>
      <c r="O305" s="37" t="str">
        <f aca="false">IF(OR(B305="",H305="",L305="",L305=0),"",H305/L305)</f>
        <v/>
      </c>
      <c r="P305" s="27" t="str">
        <f aca="false">IF(B305="","",COUNTIF(Sancoes!$C:$C,B305))</f>
        <v/>
      </c>
      <c r="Q305" s="27" t="str">
        <f aca="false">IF(B305="","",COUNTIF(Socios!$B:$B,B305))</f>
        <v/>
      </c>
      <c r="R305" s="27" t="str">
        <f aca="false">IF(B305="","",COUNTIFS(Socios!$B:$B,B305,Socios!$L:$L,"SIM"))</f>
        <v/>
      </c>
      <c r="S305" s="24"/>
      <c r="T305" s="11"/>
    </row>
    <row r="306" customFormat="false" ht="15" hidden="false" customHeight="false" outlineLevel="0" collapsed="false">
      <c r="A306" s="24"/>
      <c r="B306" s="31" t="str">
        <f aca="false">IF(A306="","",IF(LEN(UPPER(SUBSTITUTE(SUBSTITUTE(SUBSTITUTE(SUBSTITUTE(TRIM(A306),".",""),"/",""),"-","")," ","")))&lt;14,RIGHT(REPT("0",14)&amp;UPPER(SUBSTITUTE(SUBSTITUTE(SUBSTITUTE(SUBSTITUTE(TRIM(A306),".",""),"/",""),"-","")," ","")),14),UPPER(SUBSTITUTE(SUBSTITUTE(SUBSTITUTE(SUBSTITUTE(TRIM(A306),".",""),"/",""),"-","")," ",""))))</f>
        <v/>
      </c>
      <c r="C306" s="11"/>
      <c r="D306" s="23"/>
      <c r="E306" s="22"/>
      <c r="F306" s="23"/>
      <c r="G306" s="11"/>
      <c r="H306" s="35"/>
      <c r="I306" s="11"/>
      <c r="J306" s="23"/>
      <c r="K306" s="27" t="str">
        <f aca="false">IF(B306="","",COUNTIF(Contratos!$D:$D,B306))</f>
        <v/>
      </c>
      <c r="L306" s="36" t="str">
        <f aca="false">IF(B306="","",SUMIFS(Contratos!$K:$K,Contratos!$D:$D,B306))</f>
        <v/>
      </c>
      <c r="M306" s="36" t="str">
        <f aca="false">IF(B306="","",SUMIFS(Pagamentos!$G:$G,Pagamentos!$D:$D,B306,Pagamentos!$F:$F,"Empenho"))</f>
        <v/>
      </c>
      <c r="N306" s="36" t="str">
        <f aca="false">IF(B306="","",SUMIFS(Pagamentos!$G:$G,Pagamentos!$D:$D,B306,Pagamentos!$F:$F,"Pagamento"))</f>
        <v/>
      </c>
      <c r="O306" s="37" t="str">
        <f aca="false">IF(OR(B306="",H306="",L306="",L306=0),"",H306/L306)</f>
        <v/>
      </c>
      <c r="P306" s="27" t="str">
        <f aca="false">IF(B306="","",COUNTIF(Sancoes!$C:$C,B306))</f>
        <v/>
      </c>
      <c r="Q306" s="27" t="str">
        <f aca="false">IF(B306="","",COUNTIF(Socios!$B:$B,B306))</f>
        <v/>
      </c>
      <c r="R306" s="27" t="str">
        <f aca="false">IF(B306="","",COUNTIFS(Socios!$B:$B,B306,Socios!$L:$L,"SIM"))</f>
        <v/>
      </c>
      <c r="S306" s="24"/>
      <c r="T306" s="11"/>
    </row>
    <row r="307" customFormat="false" ht="15" hidden="false" customHeight="false" outlineLevel="0" collapsed="false">
      <c r="A307" s="24"/>
      <c r="B307" s="31" t="str">
        <f aca="false">IF(A307="","",IF(LEN(UPPER(SUBSTITUTE(SUBSTITUTE(SUBSTITUTE(SUBSTITUTE(TRIM(A307),".",""),"/",""),"-","")," ","")))&lt;14,RIGHT(REPT("0",14)&amp;UPPER(SUBSTITUTE(SUBSTITUTE(SUBSTITUTE(SUBSTITUTE(TRIM(A307),".",""),"/",""),"-","")," ","")),14),UPPER(SUBSTITUTE(SUBSTITUTE(SUBSTITUTE(SUBSTITUTE(TRIM(A307),".",""),"/",""),"-","")," ",""))))</f>
        <v/>
      </c>
      <c r="C307" s="11"/>
      <c r="D307" s="23"/>
      <c r="E307" s="22"/>
      <c r="F307" s="23"/>
      <c r="G307" s="11"/>
      <c r="H307" s="35"/>
      <c r="I307" s="11"/>
      <c r="J307" s="23"/>
      <c r="K307" s="27" t="str">
        <f aca="false">IF(B307="","",COUNTIF(Contratos!$D:$D,B307))</f>
        <v/>
      </c>
      <c r="L307" s="36" t="str">
        <f aca="false">IF(B307="","",SUMIFS(Contratos!$K:$K,Contratos!$D:$D,B307))</f>
        <v/>
      </c>
      <c r="M307" s="36" t="str">
        <f aca="false">IF(B307="","",SUMIFS(Pagamentos!$G:$G,Pagamentos!$D:$D,B307,Pagamentos!$F:$F,"Empenho"))</f>
        <v/>
      </c>
      <c r="N307" s="36" t="str">
        <f aca="false">IF(B307="","",SUMIFS(Pagamentos!$G:$G,Pagamentos!$D:$D,B307,Pagamentos!$F:$F,"Pagamento"))</f>
        <v/>
      </c>
      <c r="O307" s="37" t="str">
        <f aca="false">IF(OR(B307="",H307="",L307="",L307=0),"",H307/L307)</f>
        <v/>
      </c>
      <c r="P307" s="27" t="str">
        <f aca="false">IF(B307="","",COUNTIF(Sancoes!$C:$C,B307))</f>
        <v/>
      </c>
      <c r="Q307" s="27" t="str">
        <f aca="false">IF(B307="","",COUNTIF(Socios!$B:$B,B307))</f>
        <v/>
      </c>
      <c r="R307" s="27" t="str">
        <f aca="false">IF(B307="","",COUNTIFS(Socios!$B:$B,B307,Socios!$L:$L,"SIM"))</f>
        <v/>
      </c>
      <c r="S307" s="24"/>
      <c r="T307" s="11"/>
    </row>
    <row r="308" customFormat="false" ht="15" hidden="false" customHeight="false" outlineLevel="0" collapsed="false">
      <c r="A308" s="24"/>
      <c r="B308" s="31" t="str">
        <f aca="false">IF(A308="","",IF(LEN(UPPER(SUBSTITUTE(SUBSTITUTE(SUBSTITUTE(SUBSTITUTE(TRIM(A308),".",""),"/",""),"-","")," ","")))&lt;14,RIGHT(REPT("0",14)&amp;UPPER(SUBSTITUTE(SUBSTITUTE(SUBSTITUTE(SUBSTITUTE(TRIM(A308),".",""),"/",""),"-","")," ","")),14),UPPER(SUBSTITUTE(SUBSTITUTE(SUBSTITUTE(SUBSTITUTE(TRIM(A308),".",""),"/",""),"-","")," ",""))))</f>
        <v/>
      </c>
      <c r="C308" s="11"/>
      <c r="D308" s="23"/>
      <c r="E308" s="22"/>
      <c r="F308" s="23"/>
      <c r="G308" s="11"/>
      <c r="H308" s="35"/>
      <c r="I308" s="11"/>
      <c r="J308" s="23"/>
      <c r="K308" s="27" t="str">
        <f aca="false">IF(B308="","",COUNTIF(Contratos!$D:$D,B308))</f>
        <v/>
      </c>
      <c r="L308" s="36" t="str">
        <f aca="false">IF(B308="","",SUMIFS(Contratos!$K:$K,Contratos!$D:$D,B308))</f>
        <v/>
      </c>
      <c r="M308" s="36" t="str">
        <f aca="false">IF(B308="","",SUMIFS(Pagamentos!$G:$G,Pagamentos!$D:$D,B308,Pagamentos!$F:$F,"Empenho"))</f>
        <v/>
      </c>
      <c r="N308" s="36" t="str">
        <f aca="false">IF(B308="","",SUMIFS(Pagamentos!$G:$G,Pagamentos!$D:$D,B308,Pagamentos!$F:$F,"Pagamento"))</f>
        <v/>
      </c>
      <c r="O308" s="37" t="str">
        <f aca="false">IF(OR(B308="",H308="",L308="",L308=0),"",H308/L308)</f>
        <v/>
      </c>
      <c r="P308" s="27" t="str">
        <f aca="false">IF(B308="","",COUNTIF(Sancoes!$C:$C,B308))</f>
        <v/>
      </c>
      <c r="Q308" s="27" t="str">
        <f aca="false">IF(B308="","",COUNTIF(Socios!$B:$B,B308))</f>
        <v/>
      </c>
      <c r="R308" s="27" t="str">
        <f aca="false">IF(B308="","",COUNTIFS(Socios!$B:$B,B308,Socios!$L:$L,"SIM"))</f>
        <v/>
      </c>
      <c r="S308" s="24"/>
      <c r="T308" s="11"/>
    </row>
    <row r="309" customFormat="false" ht="15" hidden="false" customHeight="false" outlineLevel="0" collapsed="false">
      <c r="A309" s="24"/>
      <c r="B309" s="31" t="str">
        <f aca="false">IF(A309="","",IF(LEN(UPPER(SUBSTITUTE(SUBSTITUTE(SUBSTITUTE(SUBSTITUTE(TRIM(A309),".",""),"/",""),"-","")," ","")))&lt;14,RIGHT(REPT("0",14)&amp;UPPER(SUBSTITUTE(SUBSTITUTE(SUBSTITUTE(SUBSTITUTE(TRIM(A309),".",""),"/",""),"-","")," ","")),14),UPPER(SUBSTITUTE(SUBSTITUTE(SUBSTITUTE(SUBSTITUTE(TRIM(A309),".",""),"/",""),"-","")," ",""))))</f>
        <v/>
      </c>
      <c r="C309" s="11"/>
      <c r="D309" s="23"/>
      <c r="E309" s="22"/>
      <c r="F309" s="23"/>
      <c r="G309" s="11"/>
      <c r="H309" s="35"/>
      <c r="I309" s="11"/>
      <c r="J309" s="23"/>
      <c r="K309" s="27" t="str">
        <f aca="false">IF(B309="","",COUNTIF(Contratos!$D:$D,B309))</f>
        <v/>
      </c>
      <c r="L309" s="36" t="str">
        <f aca="false">IF(B309="","",SUMIFS(Contratos!$K:$K,Contratos!$D:$D,B309))</f>
        <v/>
      </c>
      <c r="M309" s="36" t="str">
        <f aca="false">IF(B309="","",SUMIFS(Pagamentos!$G:$G,Pagamentos!$D:$D,B309,Pagamentos!$F:$F,"Empenho"))</f>
        <v/>
      </c>
      <c r="N309" s="36" t="str">
        <f aca="false">IF(B309="","",SUMIFS(Pagamentos!$G:$G,Pagamentos!$D:$D,B309,Pagamentos!$F:$F,"Pagamento"))</f>
        <v/>
      </c>
      <c r="O309" s="37" t="str">
        <f aca="false">IF(OR(B309="",H309="",L309="",L309=0),"",H309/L309)</f>
        <v/>
      </c>
      <c r="P309" s="27" t="str">
        <f aca="false">IF(B309="","",COUNTIF(Sancoes!$C:$C,B309))</f>
        <v/>
      </c>
      <c r="Q309" s="27" t="str">
        <f aca="false">IF(B309="","",COUNTIF(Socios!$B:$B,B309))</f>
        <v/>
      </c>
      <c r="R309" s="27" t="str">
        <f aca="false">IF(B309="","",COUNTIFS(Socios!$B:$B,B309,Socios!$L:$L,"SIM"))</f>
        <v/>
      </c>
      <c r="S309" s="24"/>
      <c r="T309" s="11"/>
    </row>
    <row r="310" customFormat="false" ht="15" hidden="false" customHeight="false" outlineLevel="0" collapsed="false">
      <c r="A310" s="24"/>
      <c r="B310" s="31" t="str">
        <f aca="false">IF(A310="","",IF(LEN(UPPER(SUBSTITUTE(SUBSTITUTE(SUBSTITUTE(SUBSTITUTE(TRIM(A310),".",""),"/",""),"-","")," ","")))&lt;14,RIGHT(REPT("0",14)&amp;UPPER(SUBSTITUTE(SUBSTITUTE(SUBSTITUTE(SUBSTITUTE(TRIM(A310),".",""),"/",""),"-","")," ","")),14),UPPER(SUBSTITUTE(SUBSTITUTE(SUBSTITUTE(SUBSTITUTE(TRIM(A310),".",""),"/",""),"-","")," ",""))))</f>
        <v/>
      </c>
      <c r="C310" s="11"/>
      <c r="D310" s="23"/>
      <c r="E310" s="22"/>
      <c r="F310" s="23"/>
      <c r="G310" s="11"/>
      <c r="H310" s="35"/>
      <c r="I310" s="11"/>
      <c r="J310" s="23"/>
      <c r="K310" s="27" t="str">
        <f aca="false">IF(B310="","",COUNTIF(Contratos!$D:$D,B310))</f>
        <v/>
      </c>
      <c r="L310" s="36" t="str">
        <f aca="false">IF(B310="","",SUMIFS(Contratos!$K:$K,Contratos!$D:$D,B310))</f>
        <v/>
      </c>
      <c r="M310" s="36" t="str">
        <f aca="false">IF(B310="","",SUMIFS(Pagamentos!$G:$G,Pagamentos!$D:$D,B310,Pagamentos!$F:$F,"Empenho"))</f>
        <v/>
      </c>
      <c r="N310" s="36" t="str">
        <f aca="false">IF(B310="","",SUMIFS(Pagamentos!$G:$G,Pagamentos!$D:$D,B310,Pagamentos!$F:$F,"Pagamento"))</f>
        <v/>
      </c>
      <c r="O310" s="37" t="str">
        <f aca="false">IF(OR(B310="",H310="",L310="",L310=0),"",H310/L310)</f>
        <v/>
      </c>
      <c r="P310" s="27" t="str">
        <f aca="false">IF(B310="","",COUNTIF(Sancoes!$C:$C,B310))</f>
        <v/>
      </c>
      <c r="Q310" s="27" t="str">
        <f aca="false">IF(B310="","",COUNTIF(Socios!$B:$B,B310))</f>
        <v/>
      </c>
      <c r="R310" s="27" t="str">
        <f aca="false">IF(B310="","",COUNTIFS(Socios!$B:$B,B310,Socios!$L:$L,"SIM"))</f>
        <v/>
      </c>
      <c r="S310" s="24"/>
      <c r="T310" s="11"/>
    </row>
    <row r="311" customFormat="false" ht="15" hidden="false" customHeight="false" outlineLevel="0" collapsed="false">
      <c r="A311" s="24"/>
      <c r="B311" s="31" t="str">
        <f aca="false">IF(A311="","",IF(LEN(UPPER(SUBSTITUTE(SUBSTITUTE(SUBSTITUTE(SUBSTITUTE(TRIM(A311),".",""),"/",""),"-","")," ","")))&lt;14,RIGHT(REPT("0",14)&amp;UPPER(SUBSTITUTE(SUBSTITUTE(SUBSTITUTE(SUBSTITUTE(TRIM(A311),".",""),"/",""),"-","")," ","")),14),UPPER(SUBSTITUTE(SUBSTITUTE(SUBSTITUTE(SUBSTITUTE(TRIM(A311),".",""),"/",""),"-","")," ",""))))</f>
        <v/>
      </c>
      <c r="C311" s="11"/>
      <c r="D311" s="23"/>
      <c r="E311" s="22"/>
      <c r="F311" s="23"/>
      <c r="G311" s="11"/>
      <c r="H311" s="35"/>
      <c r="I311" s="11"/>
      <c r="J311" s="23"/>
      <c r="K311" s="27" t="str">
        <f aca="false">IF(B311="","",COUNTIF(Contratos!$D:$D,B311))</f>
        <v/>
      </c>
      <c r="L311" s="36" t="str">
        <f aca="false">IF(B311="","",SUMIFS(Contratos!$K:$K,Contratos!$D:$D,B311))</f>
        <v/>
      </c>
      <c r="M311" s="36" t="str">
        <f aca="false">IF(B311="","",SUMIFS(Pagamentos!$G:$G,Pagamentos!$D:$D,B311,Pagamentos!$F:$F,"Empenho"))</f>
        <v/>
      </c>
      <c r="N311" s="36" t="str">
        <f aca="false">IF(B311="","",SUMIFS(Pagamentos!$G:$G,Pagamentos!$D:$D,B311,Pagamentos!$F:$F,"Pagamento"))</f>
        <v/>
      </c>
      <c r="O311" s="37" t="str">
        <f aca="false">IF(OR(B311="",H311="",L311="",L311=0),"",H311/L311)</f>
        <v/>
      </c>
      <c r="P311" s="27" t="str">
        <f aca="false">IF(B311="","",COUNTIF(Sancoes!$C:$C,B311))</f>
        <v/>
      </c>
      <c r="Q311" s="27" t="str">
        <f aca="false">IF(B311="","",COUNTIF(Socios!$B:$B,B311))</f>
        <v/>
      </c>
      <c r="R311" s="27" t="str">
        <f aca="false">IF(B311="","",COUNTIFS(Socios!$B:$B,B311,Socios!$L:$L,"SIM"))</f>
        <v/>
      </c>
      <c r="S311" s="24"/>
      <c r="T311" s="11"/>
    </row>
    <row r="312" customFormat="false" ht="15" hidden="false" customHeight="false" outlineLevel="0" collapsed="false">
      <c r="A312" s="24"/>
      <c r="B312" s="31" t="str">
        <f aca="false">IF(A312="","",IF(LEN(UPPER(SUBSTITUTE(SUBSTITUTE(SUBSTITUTE(SUBSTITUTE(TRIM(A312),".",""),"/",""),"-","")," ","")))&lt;14,RIGHT(REPT("0",14)&amp;UPPER(SUBSTITUTE(SUBSTITUTE(SUBSTITUTE(SUBSTITUTE(TRIM(A312),".",""),"/",""),"-","")," ","")),14),UPPER(SUBSTITUTE(SUBSTITUTE(SUBSTITUTE(SUBSTITUTE(TRIM(A312),".",""),"/",""),"-","")," ",""))))</f>
        <v/>
      </c>
      <c r="C312" s="11"/>
      <c r="D312" s="23"/>
      <c r="E312" s="22"/>
      <c r="F312" s="23"/>
      <c r="G312" s="11"/>
      <c r="H312" s="35"/>
      <c r="I312" s="11"/>
      <c r="J312" s="23"/>
      <c r="K312" s="27" t="str">
        <f aca="false">IF(B312="","",COUNTIF(Contratos!$D:$D,B312))</f>
        <v/>
      </c>
      <c r="L312" s="36" t="str">
        <f aca="false">IF(B312="","",SUMIFS(Contratos!$K:$K,Contratos!$D:$D,B312))</f>
        <v/>
      </c>
      <c r="M312" s="36" t="str">
        <f aca="false">IF(B312="","",SUMIFS(Pagamentos!$G:$G,Pagamentos!$D:$D,B312,Pagamentos!$F:$F,"Empenho"))</f>
        <v/>
      </c>
      <c r="N312" s="36" t="str">
        <f aca="false">IF(B312="","",SUMIFS(Pagamentos!$G:$G,Pagamentos!$D:$D,B312,Pagamentos!$F:$F,"Pagamento"))</f>
        <v/>
      </c>
      <c r="O312" s="37" t="str">
        <f aca="false">IF(OR(B312="",H312="",L312="",L312=0),"",H312/L312)</f>
        <v/>
      </c>
      <c r="P312" s="27" t="str">
        <f aca="false">IF(B312="","",COUNTIF(Sancoes!$C:$C,B312))</f>
        <v/>
      </c>
      <c r="Q312" s="27" t="str">
        <f aca="false">IF(B312="","",COUNTIF(Socios!$B:$B,B312))</f>
        <v/>
      </c>
      <c r="R312" s="27" t="str">
        <f aca="false">IF(B312="","",COUNTIFS(Socios!$B:$B,B312,Socios!$L:$L,"SIM"))</f>
        <v/>
      </c>
      <c r="S312" s="24"/>
      <c r="T312" s="11"/>
    </row>
    <row r="313" customFormat="false" ht="15" hidden="false" customHeight="false" outlineLevel="0" collapsed="false">
      <c r="A313" s="24"/>
      <c r="B313" s="31" t="str">
        <f aca="false">IF(A313="","",IF(LEN(UPPER(SUBSTITUTE(SUBSTITUTE(SUBSTITUTE(SUBSTITUTE(TRIM(A313),".",""),"/",""),"-","")," ","")))&lt;14,RIGHT(REPT("0",14)&amp;UPPER(SUBSTITUTE(SUBSTITUTE(SUBSTITUTE(SUBSTITUTE(TRIM(A313),".",""),"/",""),"-","")," ","")),14),UPPER(SUBSTITUTE(SUBSTITUTE(SUBSTITUTE(SUBSTITUTE(TRIM(A313),".",""),"/",""),"-","")," ",""))))</f>
        <v/>
      </c>
      <c r="C313" s="11"/>
      <c r="D313" s="23"/>
      <c r="E313" s="22"/>
      <c r="F313" s="23"/>
      <c r="G313" s="11"/>
      <c r="H313" s="35"/>
      <c r="I313" s="11"/>
      <c r="J313" s="23"/>
      <c r="K313" s="27" t="str">
        <f aca="false">IF(B313="","",COUNTIF(Contratos!$D:$D,B313))</f>
        <v/>
      </c>
      <c r="L313" s="36" t="str">
        <f aca="false">IF(B313="","",SUMIFS(Contratos!$K:$K,Contratos!$D:$D,B313))</f>
        <v/>
      </c>
      <c r="M313" s="36" t="str">
        <f aca="false">IF(B313="","",SUMIFS(Pagamentos!$G:$G,Pagamentos!$D:$D,B313,Pagamentos!$F:$F,"Empenho"))</f>
        <v/>
      </c>
      <c r="N313" s="36" t="str">
        <f aca="false">IF(B313="","",SUMIFS(Pagamentos!$G:$G,Pagamentos!$D:$D,B313,Pagamentos!$F:$F,"Pagamento"))</f>
        <v/>
      </c>
      <c r="O313" s="37" t="str">
        <f aca="false">IF(OR(B313="",H313="",L313="",L313=0),"",H313/L313)</f>
        <v/>
      </c>
      <c r="P313" s="27" t="str">
        <f aca="false">IF(B313="","",COUNTIF(Sancoes!$C:$C,B313))</f>
        <v/>
      </c>
      <c r="Q313" s="27" t="str">
        <f aca="false">IF(B313="","",COUNTIF(Socios!$B:$B,B313))</f>
        <v/>
      </c>
      <c r="R313" s="27" t="str">
        <f aca="false">IF(B313="","",COUNTIFS(Socios!$B:$B,B313,Socios!$L:$L,"SIM"))</f>
        <v/>
      </c>
      <c r="S313" s="24"/>
      <c r="T313" s="11"/>
    </row>
    <row r="314" customFormat="false" ht="15" hidden="false" customHeight="false" outlineLevel="0" collapsed="false">
      <c r="A314" s="24"/>
      <c r="B314" s="31" t="str">
        <f aca="false">IF(A314="","",IF(LEN(UPPER(SUBSTITUTE(SUBSTITUTE(SUBSTITUTE(SUBSTITUTE(TRIM(A314),".",""),"/",""),"-","")," ","")))&lt;14,RIGHT(REPT("0",14)&amp;UPPER(SUBSTITUTE(SUBSTITUTE(SUBSTITUTE(SUBSTITUTE(TRIM(A314),".",""),"/",""),"-","")," ","")),14),UPPER(SUBSTITUTE(SUBSTITUTE(SUBSTITUTE(SUBSTITUTE(TRIM(A314),".",""),"/",""),"-","")," ",""))))</f>
        <v/>
      </c>
      <c r="C314" s="11"/>
      <c r="D314" s="23"/>
      <c r="E314" s="22"/>
      <c r="F314" s="23"/>
      <c r="G314" s="11"/>
      <c r="H314" s="35"/>
      <c r="I314" s="11"/>
      <c r="J314" s="23"/>
      <c r="K314" s="27" t="str">
        <f aca="false">IF(B314="","",COUNTIF(Contratos!$D:$D,B314))</f>
        <v/>
      </c>
      <c r="L314" s="36" t="str">
        <f aca="false">IF(B314="","",SUMIFS(Contratos!$K:$K,Contratos!$D:$D,B314))</f>
        <v/>
      </c>
      <c r="M314" s="36" t="str">
        <f aca="false">IF(B314="","",SUMIFS(Pagamentos!$G:$G,Pagamentos!$D:$D,B314,Pagamentos!$F:$F,"Empenho"))</f>
        <v/>
      </c>
      <c r="N314" s="36" t="str">
        <f aca="false">IF(B314="","",SUMIFS(Pagamentos!$G:$G,Pagamentos!$D:$D,B314,Pagamentos!$F:$F,"Pagamento"))</f>
        <v/>
      </c>
      <c r="O314" s="37" t="str">
        <f aca="false">IF(OR(B314="",H314="",L314="",L314=0),"",H314/L314)</f>
        <v/>
      </c>
      <c r="P314" s="27" t="str">
        <f aca="false">IF(B314="","",COUNTIF(Sancoes!$C:$C,B314))</f>
        <v/>
      </c>
      <c r="Q314" s="27" t="str">
        <f aca="false">IF(B314="","",COUNTIF(Socios!$B:$B,B314))</f>
        <v/>
      </c>
      <c r="R314" s="27" t="str">
        <f aca="false">IF(B314="","",COUNTIFS(Socios!$B:$B,B314,Socios!$L:$L,"SIM"))</f>
        <v/>
      </c>
      <c r="S314" s="24"/>
      <c r="T314" s="11"/>
    </row>
    <row r="315" customFormat="false" ht="15" hidden="false" customHeight="false" outlineLevel="0" collapsed="false">
      <c r="A315" s="24"/>
      <c r="B315" s="31" t="str">
        <f aca="false">IF(A315="","",IF(LEN(UPPER(SUBSTITUTE(SUBSTITUTE(SUBSTITUTE(SUBSTITUTE(TRIM(A315),".",""),"/",""),"-","")," ","")))&lt;14,RIGHT(REPT("0",14)&amp;UPPER(SUBSTITUTE(SUBSTITUTE(SUBSTITUTE(SUBSTITUTE(TRIM(A315),".",""),"/",""),"-","")," ","")),14),UPPER(SUBSTITUTE(SUBSTITUTE(SUBSTITUTE(SUBSTITUTE(TRIM(A315),".",""),"/",""),"-","")," ",""))))</f>
        <v/>
      </c>
      <c r="C315" s="11"/>
      <c r="D315" s="23"/>
      <c r="E315" s="22"/>
      <c r="F315" s="23"/>
      <c r="G315" s="11"/>
      <c r="H315" s="35"/>
      <c r="I315" s="11"/>
      <c r="J315" s="23"/>
      <c r="K315" s="27" t="str">
        <f aca="false">IF(B315="","",COUNTIF(Contratos!$D:$D,B315))</f>
        <v/>
      </c>
      <c r="L315" s="36" t="str">
        <f aca="false">IF(B315="","",SUMIFS(Contratos!$K:$K,Contratos!$D:$D,B315))</f>
        <v/>
      </c>
      <c r="M315" s="36" t="str">
        <f aca="false">IF(B315="","",SUMIFS(Pagamentos!$G:$G,Pagamentos!$D:$D,B315,Pagamentos!$F:$F,"Empenho"))</f>
        <v/>
      </c>
      <c r="N315" s="36" t="str">
        <f aca="false">IF(B315="","",SUMIFS(Pagamentos!$G:$G,Pagamentos!$D:$D,B315,Pagamentos!$F:$F,"Pagamento"))</f>
        <v/>
      </c>
      <c r="O315" s="37" t="str">
        <f aca="false">IF(OR(B315="",H315="",L315="",L315=0),"",H315/L315)</f>
        <v/>
      </c>
      <c r="P315" s="27" t="str">
        <f aca="false">IF(B315="","",COUNTIF(Sancoes!$C:$C,B315))</f>
        <v/>
      </c>
      <c r="Q315" s="27" t="str">
        <f aca="false">IF(B315="","",COUNTIF(Socios!$B:$B,B315))</f>
        <v/>
      </c>
      <c r="R315" s="27" t="str">
        <f aca="false">IF(B315="","",COUNTIFS(Socios!$B:$B,B315,Socios!$L:$L,"SIM"))</f>
        <v/>
      </c>
      <c r="S315" s="24"/>
      <c r="T315" s="11"/>
    </row>
    <row r="316" customFormat="false" ht="15" hidden="false" customHeight="false" outlineLevel="0" collapsed="false">
      <c r="A316" s="24"/>
      <c r="B316" s="31" t="str">
        <f aca="false">IF(A316="","",IF(LEN(UPPER(SUBSTITUTE(SUBSTITUTE(SUBSTITUTE(SUBSTITUTE(TRIM(A316),".",""),"/",""),"-","")," ","")))&lt;14,RIGHT(REPT("0",14)&amp;UPPER(SUBSTITUTE(SUBSTITUTE(SUBSTITUTE(SUBSTITUTE(TRIM(A316),".",""),"/",""),"-","")," ","")),14),UPPER(SUBSTITUTE(SUBSTITUTE(SUBSTITUTE(SUBSTITUTE(TRIM(A316),".",""),"/",""),"-","")," ",""))))</f>
        <v/>
      </c>
      <c r="C316" s="11"/>
      <c r="D316" s="23"/>
      <c r="E316" s="22"/>
      <c r="F316" s="23"/>
      <c r="G316" s="11"/>
      <c r="H316" s="35"/>
      <c r="I316" s="11"/>
      <c r="J316" s="23"/>
      <c r="K316" s="27" t="str">
        <f aca="false">IF(B316="","",COUNTIF(Contratos!$D:$D,B316))</f>
        <v/>
      </c>
      <c r="L316" s="36" t="str">
        <f aca="false">IF(B316="","",SUMIFS(Contratos!$K:$K,Contratos!$D:$D,B316))</f>
        <v/>
      </c>
      <c r="M316" s="36" t="str">
        <f aca="false">IF(B316="","",SUMIFS(Pagamentos!$G:$G,Pagamentos!$D:$D,B316,Pagamentos!$F:$F,"Empenho"))</f>
        <v/>
      </c>
      <c r="N316" s="36" t="str">
        <f aca="false">IF(B316="","",SUMIFS(Pagamentos!$G:$G,Pagamentos!$D:$D,B316,Pagamentos!$F:$F,"Pagamento"))</f>
        <v/>
      </c>
      <c r="O316" s="37" t="str">
        <f aca="false">IF(OR(B316="",H316="",L316="",L316=0),"",H316/L316)</f>
        <v/>
      </c>
      <c r="P316" s="27" t="str">
        <f aca="false">IF(B316="","",COUNTIF(Sancoes!$C:$C,B316))</f>
        <v/>
      </c>
      <c r="Q316" s="27" t="str">
        <f aca="false">IF(B316="","",COUNTIF(Socios!$B:$B,B316))</f>
        <v/>
      </c>
      <c r="R316" s="27" t="str">
        <f aca="false">IF(B316="","",COUNTIFS(Socios!$B:$B,B316,Socios!$L:$L,"SIM"))</f>
        <v/>
      </c>
      <c r="S316" s="24"/>
      <c r="T316" s="11"/>
    </row>
    <row r="317" customFormat="false" ht="15" hidden="false" customHeight="false" outlineLevel="0" collapsed="false">
      <c r="A317" s="24"/>
      <c r="B317" s="31" t="str">
        <f aca="false">IF(A317="","",IF(LEN(UPPER(SUBSTITUTE(SUBSTITUTE(SUBSTITUTE(SUBSTITUTE(TRIM(A317),".",""),"/",""),"-","")," ","")))&lt;14,RIGHT(REPT("0",14)&amp;UPPER(SUBSTITUTE(SUBSTITUTE(SUBSTITUTE(SUBSTITUTE(TRIM(A317),".",""),"/",""),"-","")," ","")),14),UPPER(SUBSTITUTE(SUBSTITUTE(SUBSTITUTE(SUBSTITUTE(TRIM(A317),".",""),"/",""),"-","")," ",""))))</f>
        <v/>
      </c>
      <c r="C317" s="11"/>
      <c r="D317" s="23"/>
      <c r="E317" s="22"/>
      <c r="F317" s="23"/>
      <c r="G317" s="11"/>
      <c r="H317" s="35"/>
      <c r="I317" s="11"/>
      <c r="J317" s="23"/>
      <c r="K317" s="27" t="str">
        <f aca="false">IF(B317="","",COUNTIF(Contratos!$D:$D,B317))</f>
        <v/>
      </c>
      <c r="L317" s="36" t="str">
        <f aca="false">IF(B317="","",SUMIFS(Contratos!$K:$K,Contratos!$D:$D,B317))</f>
        <v/>
      </c>
      <c r="M317" s="36" t="str">
        <f aca="false">IF(B317="","",SUMIFS(Pagamentos!$G:$G,Pagamentos!$D:$D,B317,Pagamentos!$F:$F,"Empenho"))</f>
        <v/>
      </c>
      <c r="N317" s="36" t="str">
        <f aca="false">IF(B317="","",SUMIFS(Pagamentos!$G:$G,Pagamentos!$D:$D,B317,Pagamentos!$F:$F,"Pagamento"))</f>
        <v/>
      </c>
      <c r="O317" s="37" t="str">
        <f aca="false">IF(OR(B317="",H317="",L317="",L317=0),"",H317/L317)</f>
        <v/>
      </c>
      <c r="P317" s="27" t="str">
        <f aca="false">IF(B317="","",COUNTIF(Sancoes!$C:$C,B317))</f>
        <v/>
      </c>
      <c r="Q317" s="27" t="str">
        <f aca="false">IF(B317="","",COUNTIF(Socios!$B:$B,B317))</f>
        <v/>
      </c>
      <c r="R317" s="27" t="str">
        <f aca="false">IF(B317="","",COUNTIFS(Socios!$B:$B,B317,Socios!$L:$L,"SIM"))</f>
        <v/>
      </c>
      <c r="S317" s="24"/>
      <c r="T317" s="11"/>
    </row>
    <row r="318" customFormat="false" ht="15" hidden="false" customHeight="false" outlineLevel="0" collapsed="false">
      <c r="A318" s="24"/>
      <c r="B318" s="31" t="str">
        <f aca="false">IF(A318="","",IF(LEN(UPPER(SUBSTITUTE(SUBSTITUTE(SUBSTITUTE(SUBSTITUTE(TRIM(A318),".",""),"/",""),"-","")," ","")))&lt;14,RIGHT(REPT("0",14)&amp;UPPER(SUBSTITUTE(SUBSTITUTE(SUBSTITUTE(SUBSTITUTE(TRIM(A318),".",""),"/",""),"-","")," ","")),14),UPPER(SUBSTITUTE(SUBSTITUTE(SUBSTITUTE(SUBSTITUTE(TRIM(A318),".",""),"/",""),"-","")," ",""))))</f>
        <v/>
      </c>
      <c r="C318" s="11"/>
      <c r="D318" s="23"/>
      <c r="E318" s="22"/>
      <c r="F318" s="23"/>
      <c r="G318" s="11"/>
      <c r="H318" s="35"/>
      <c r="I318" s="11"/>
      <c r="J318" s="23"/>
      <c r="K318" s="27" t="str">
        <f aca="false">IF(B318="","",COUNTIF(Contratos!$D:$D,B318))</f>
        <v/>
      </c>
      <c r="L318" s="36" t="str">
        <f aca="false">IF(B318="","",SUMIFS(Contratos!$K:$K,Contratos!$D:$D,B318))</f>
        <v/>
      </c>
      <c r="M318" s="36" t="str">
        <f aca="false">IF(B318="","",SUMIFS(Pagamentos!$G:$G,Pagamentos!$D:$D,B318,Pagamentos!$F:$F,"Empenho"))</f>
        <v/>
      </c>
      <c r="N318" s="36" t="str">
        <f aca="false">IF(B318="","",SUMIFS(Pagamentos!$G:$G,Pagamentos!$D:$D,B318,Pagamentos!$F:$F,"Pagamento"))</f>
        <v/>
      </c>
      <c r="O318" s="37" t="str">
        <f aca="false">IF(OR(B318="",H318="",L318="",L318=0),"",H318/L318)</f>
        <v/>
      </c>
      <c r="P318" s="27" t="str">
        <f aca="false">IF(B318="","",COUNTIF(Sancoes!$C:$C,B318))</f>
        <v/>
      </c>
      <c r="Q318" s="27" t="str">
        <f aca="false">IF(B318="","",COUNTIF(Socios!$B:$B,B318))</f>
        <v/>
      </c>
      <c r="R318" s="27" t="str">
        <f aca="false">IF(B318="","",COUNTIFS(Socios!$B:$B,B318,Socios!$L:$L,"SIM"))</f>
        <v/>
      </c>
      <c r="S318" s="24"/>
      <c r="T318" s="11"/>
    </row>
    <row r="319" customFormat="false" ht="15" hidden="false" customHeight="false" outlineLevel="0" collapsed="false">
      <c r="A319" s="24"/>
      <c r="B319" s="31" t="str">
        <f aca="false">IF(A319="","",IF(LEN(UPPER(SUBSTITUTE(SUBSTITUTE(SUBSTITUTE(SUBSTITUTE(TRIM(A319),".",""),"/",""),"-","")," ","")))&lt;14,RIGHT(REPT("0",14)&amp;UPPER(SUBSTITUTE(SUBSTITUTE(SUBSTITUTE(SUBSTITUTE(TRIM(A319),".",""),"/",""),"-","")," ","")),14),UPPER(SUBSTITUTE(SUBSTITUTE(SUBSTITUTE(SUBSTITUTE(TRIM(A319),".",""),"/",""),"-","")," ",""))))</f>
        <v/>
      </c>
      <c r="C319" s="11"/>
      <c r="D319" s="23"/>
      <c r="E319" s="22"/>
      <c r="F319" s="23"/>
      <c r="G319" s="11"/>
      <c r="H319" s="35"/>
      <c r="I319" s="11"/>
      <c r="J319" s="23"/>
      <c r="K319" s="27" t="str">
        <f aca="false">IF(B319="","",COUNTIF(Contratos!$D:$D,B319))</f>
        <v/>
      </c>
      <c r="L319" s="36" t="str">
        <f aca="false">IF(B319="","",SUMIFS(Contratos!$K:$K,Contratos!$D:$D,B319))</f>
        <v/>
      </c>
      <c r="M319" s="36" t="str">
        <f aca="false">IF(B319="","",SUMIFS(Pagamentos!$G:$G,Pagamentos!$D:$D,B319,Pagamentos!$F:$F,"Empenho"))</f>
        <v/>
      </c>
      <c r="N319" s="36" t="str">
        <f aca="false">IF(B319="","",SUMIFS(Pagamentos!$G:$G,Pagamentos!$D:$D,B319,Pagamentos!$F:$F,"Pagamento"))</f>
        <v/>
      </c>
      <c r="O319" s="37" t="str">
        <f aca="false">IF(OR(B319="",H319="",L319="",L319=0),"",H319/L319)</f>
        <v/>
      </c>
      <c r="P319" s="27" t="str">
        <f aca="false">IF(B319="","",COUNTIF(Sancoes!$C:$C,B319))</f>
        <v/>
      </c>
      <c r="Q319" s="27" t="str">
        <f aca="false">IF(B319="","",COUNTIF(Socios!$B:$B,B319))</f>
        <v/>
      </c>
      <c r="R319" s="27" t="str">
        <f aca="false">IF(B319="","",COUNTIFS(Socios!$B:$B,B319,Socios!$L:$L,"SIM"))</f>
        <v/>
      </c>
      <c r="S319" s="24"/>
      <c r="T319" s="11"/>
    </row>
    <row r="320" customFormat="false" ht="15" hidden="false" customHeight="false" outlineLevel="0" collapsed="false">
      <c r="A320" s="24"/>
      <c r="B320" s="31" t="str">
        <f aca="false">IF(A320="","",IF(LEN(UPPER(SUBSTITUTE(SUBSTITUTE(SUBSTITUTE(SUBSTITUTE(TRIM(A320),".",""),"/",""),"-","")," ","")))&lt;14,RIGHT(REPT("0",14)&amp;UPPER(SUBSTITUTE(SUBSTITUTE(SUBSTITUTE(SUBSTITUTE(TRIM(A320),".",""),"/",""),"-","")," ","")),14),UPPER(SUBSTITUTE(SUBSTITUTE(SUBSTITUTE(SUBSTITUTE(TRIM(A320),".",""),"/",""),"-","")," ",""))))</f>
        <v/>
      </c>
      <c r="C320" s="11"/>
      <c r="D320" s="23"/>
      <c r="E320" s="22"/>
      <c r="F320" s="23"/>
      <c r="G320" s="11"/>
      <c r="H320" s="35"/>
      <c r="I320" s="11"/>
      <c r="J320" s="23"/>
      <c r="K320" s="27" t="str">
        <f aca="false">IF(B320="","",COUNTIF(Contratos!$D:$D,B320))</f>
        <v/>
      </c>
      <c r="L320" s="36" t="str">
        <f aca="false">IF(B320="","",SUMIFS(Contratos!$K:$K,Contratos!$D:$D,B320))</f>
        <v/>
      </c>
      <c r="M320" s="36" t="str">
        <f aca="false">IF(B320="","",SUMIFS(Pagamentos!$G:$G,Pagamentos!$D:$D,B320,Pagamentos!$F:$F,"Empenho"))</f>
        <v/>
      </c>
      <c r="N320" s="36" t="str">
        <f aca="false">IF(B320="","",SUMIFS(Pagamentos!$G:$G,Pagamentos!$D:$D,B320,Pagamentos!$F:$F,"Pagamento"))</f>
        <v/>
      </c>
      <c r="O320" s="37" t="str">
        <f aca="false">IF(OR(B320="",H320="",L320="",L320=0),"",H320/L320)</f>
        <v/>
      </c>
      <c r="P320" s="27" t="str">
        <f aca="false">IF(B320="","",COUNTIF(Sancoes!$C:$C,B320))</f>
        <v/>
      </c>
      <c r="Q320" s="27" t="str">
        <f aca="false">IF(B320="","",COUNTIF(Socios!$B:$B,B320))</f>
        <v/>
      </c>
      <c r="R320" s="27" t="str">
        <f aca="false">IF(B320="","",COUNTIFS(Socios!$B:$B,B320,Socios!$L:$L,"SIM"))</f>
        <v/>
      </c>
      <c r="S320" s="24"/>
      <c r="T320" s="11"/>
    </row>
    <row r="321" customFormat="false" ht="15" hidden="false" customHeight="false" outlineLevel="0" collapsed="false">
      <c r="A321" s="24"/>
      <c r="B321" s="31" t="str">
        <f aca="false">IF(A321="","",IF(LEN(UPPER(SUBSTITUTE(SUBSTITUTE(SUBSTITUTE(SUBSTITUTE(TRIM(A321),".",""),"/",""),"-","")," ","")))&lt;14,RIGHT(REPT("0",14)&amp;UPPER(SUBSTITUTE(SUBSTITUTE(SUBSTITUTE(SUBSTITUTE(TRIM(A321),".",""),"/",""),"-","")," ","")),14),UPPER(SUBSTITUTE(SUBSTITUTE(SUBSTITUTE(SUBSTITUTE(TRIM(A321),".",""),"/",""),"-","")," ",""))))</f>
        <v/>
      </c>
      <c r="C321" s="11"/>
      <c r="D321" s="23"/>
      <c r="E321" s="22"/>
      <c r="F321" s="23"/>
      <c r="G321" s="11"/>
      <c r="H321" s="35"/>
      <c r="I321" s="11"/>
      <c r="J321" s="23"/>
      <c r="K321" s="27" t="str">
        <f aca="false">IF(B321="","",COUNTIF(Contratos!$D:$D,B321))</f>
        <v/>
      </c>
      <c r="L321" s="36" t="str">
        <f aca="false">IF(B321="","",SUMIFS(Contratos!$K:$K,Contratos!$D:$D,B321))</f>
        <v/>
      </c>
      <c r="M321" s="36" t="str">
        <f aca="false">IF(B321="","",SUMIFS(Pagamentos!$G:$G,Pagamentos!$D:$D,B321,Pagamentos!$F:$F,"Empenho"))</f>
        <v/>
      </c>
      <c r="N321" s="36" t="str">
        <f aca="false">IF(B321="","",SUMIFS(Pagamentos!$G:$G,Pagamentos!$D:$D,B321,Pagamentos!$F:$F,"Pagamento"))</f>
        <v/>
      </c>
      <c r="O321" s="37" t="str">
        <f aca="false">IF(OR(B321="",H321="",L321="",L321=0),"",H321/L321)</f>
        <v/>
      </c>
      <c r="P321" s="27" t="str">
        <f aca="false">IF(B321="","",COUNTIF(Sancoes!$C:$C,B321))</f>
        <v/>
      </c>
      <c r="Q321" s="27" t="str">
        <f aca="false">IF(B321="","",COUNTIF(Socios!$B:$B,B321))</f>
        <v/>
      </c>
      <c r="R321" s="27" t="str">
        <f aca="false">IF(B321="","",COUNTIFS(Socios!$B:$B,B321,Socios!$L:$L,"SIM"))</f>
        <v/>
      </c>
      <c r="S321" s="24"/>
      <c r="T321" s="11"/>
    </row>
    <row r="322" customFormat="false" ht="15" hidden="false" customHeight="false" outlineLevel="0" collapsed="false">
      <c r="A322" s="24"/>
      <c r="B322" s="31" t="str">
        <f aca="false">IF(A322="","",IF(LEN(UPPER(SUBSTITUTE(SUBSTITUTE(SUBSTITUTE(SUBSTITUTE(TRIM(A322),".",""),"/",""),"-","")," ","")))&lt;14,RIGHT(REPT("0",14)&amp;UPPER(SUBSTITUTE(SUBSTITUTE(SUBSTITUTE(SUBSTITUTE(TRIM(A322),".",""),"/",""),"-","")," ","")),14),UPPER(SUBSTITUTE(SUBSTITUTE(SUBSTITUTE(SUBSTITUTE(TRIM(A322),".",""),"/",""),"-","")," ",""))))</f>
        <v/>
      </c>
      <c r="C322" s="11"/>
      <c r="D322" s="23"/>
      <c r="E322" s="22"/>
      <c r="F322" s="23"/>
      <c r="G322" s="11"/>
      <c r="H322" s="35"/>
      <c r="I322" s="11"/>
      <c r="J322" s="23"/>
      <c r="K322" s="27" t="str">
        <f aca="false">IF(B322="","",COUNTIF(Contratos!$D:$D,B322))</f>
        <v/>
      </c>
      <c r="L322" s="36" t="str">
        <f aca="false">IF(B322="","",SUMIFS(Contratos!$K:$K,Contratos!$D:$D,B322))</f>
        <v/>
      </c>
      <c r="M322" s="36" t="str">
        <f aca="false">IF(B322="","",SUMIFS(Pagamentos!$G:$G,Pagamentos!$D:$D,B322,Pagamentos!$F:$F,"Empenho"))</f>
        <v/>
      </c>
      <c r="N322" s="36" t="str">
        <f aca="false">IF(B322="","",SUMIFS(Pagamentos!$G:$G,Pagamentos!$D:$D,B322,Pagamentos!$F:$F,"Pagamento"))</f>
        <v/>
      </c>
      <c r="O322" s="37" t="str">
        <f aca="false">IF(OR(B322="",H322="",L322="",L322=0),"",H322/L322)</f>
        <v/>
      </c>
      <c r="P322" s="27" t="str">
        <f aca="false">IF(B322="","",COUNTIF(Sancoes!$C:$C,B322))</f>
        <v/>
      </c>
      <c r="Q322" s="27" t="str">
        <f aca="false">IF(B322="","",COUNTIF(Socios!$B:$B,B322))</f>
        <v/>
      </c>
      <c r="R322" s="27" t="str">
        <f aca="false">IF(B322="","",COUNTIFS(Socios!$B:$B,B322,Socios!$L:$L,"SIM"))</f>
        <v/>
      </c>
      <c r="S322" s="24"/>
      <c r="T322" s="11"/>
    </row>
    <row r="323" customFormat="false" ht="15" hidden="false" customHeight="false" outlineLevel="0" collapsed="false">
      <c r="A323" s="24"/>
      <c r="B323" s="31" t="str">
        <f aca="false">IF(A323="","",IF(LEN(UPPER(SUBSTITUTE(SUBSTITUTE(SUBSTITUTE(SUBSTITUTE(TRIM(A323),".",""),"/",""),"-","")," ","")))&lt;14,RIGHT(REPT("0",14)&amp;UPPER(SUBSTITUTE(SUBSTITUTE(SUBSTITUTE(SUBSTITUTE(TRIM(A323),".",""),"/",""),"-","")," ","")),14),UPPER(SUBSTITUTE(SUBSTITUTE(SUBSTITUTE(SUBSTITUTE(TRIM(A323),".",""),"/",""),"-","")," ",""))))</f>
        <v/>
      </c>
      <c r="C323" s="11"/>
      <c r="D323" s="23"/>
      <c r="E323" s="22"/>
      <c r="F323" s="23"/>
      <c r="G323" s="11"/>
      <c r="H323" s="35"/>
      <c r="I323" s="11"/>
      <c r="J323" s="23"/>
      <c r="K323" s="27" t="str">
        <f aca="false">IF(B323="","",COUNTIF(Contratos!$D:$D,B323))</f>
        <v/>
      </c>
      <c r="L323" s="36" t="str">
        <f aca="false">IF(B323="","",SUMIFS(Contratos!$K:$K,Contratos!$D:$D,B323))</f>
        <v/>
      </c>
      <c r="M323" s="36" t="str">
        <f aca="false">IF(B323="","",SUMIFS(Pagamentos!$G:$G,Pagamentos!$D:$D,B323,Pagamentos!$F:$F,"Empenho"))</f>
        <v/>
      </c>
      <c r="N323" s="36" t="str">
        <f aca="false">IF(B323="","",SUMIFS(Pagamentos!$G:$G,Pagamentos!$D:$D,B323,Pagamentos!$F:$F,"Pagamento"))</f>
        <v/>
      </c>
      <c r="O323" s="37" t="str">
        <f aca="false">IF(OR(B323="",H323="",L323="",L323=0),"",H323/L323)</f>
        <v/>
      </c>
      <c r="P323" s="27" t="str">
        <f aca="false">IF(B323="","",COUNTIF(Sancoes!$C:$C,B323))</f>
        <v/>
      </c>
      <c r="Q323" s="27" t="str">
        <f aca="false">IF(B323="","",COUNTIF(Socios!$B:$B,B323))</f>
        <v/>
      </c>
      <c r="R323" s="27" t="str">
        <f aca="false">IF(B323="","",COUNTIFS(Socios!$B:$B,B323,Socios!$L:$L,"SIM"))</f>
        <v/>
      </c>
      <c r="S323" s="24"/>
      <c r="T323" s="11"/>
    </row>
    <row r="324" customFormat="false" ht="15" hidden="false" customHeight="false" outlineLevel="0" collapsed="false">
      <c r="A324" s="24"/>
      <c r="B324" s="31" t="str">
        <f aca="false">IF(A324="","",IF(LEN(UPPER(SUBSTITUTE(SUBSTITUTE(SUBSTITUTE(SUBSTITUTE(TRIM(A324),".",""),"/",""),"-","")," ","")))&lt;14,RIGHT(REPT("0",14)&amp;UPPER(SUBSTITUTE(SUBSTITUTE(SUBSTITUTE(SUBSTITUTE(TRIM(A324),".",""),"/",""),"-","")," ","")),14),UPPER(SUBSTITUTE(SUBSTITUTE(SUBSTITUTE(SUBSTITUTE(TRIM(A324),".",""),"/",""),"-","")," ",""))))</f>
        <v/>
      </c>
      <c r="C324" s="11"/>
      <c r="D324" s="23"/>
      <c r="E324" s="22"/>
      <c r="F324" s="23"/>
      <c r="G324" s="11"/>
      <c r="H324" s="35"/>
      <c r="I324" s="11"/>
      <c r="J324" s="23"/>
      <c r="K324" s="27" t="str">
        <f aca="false">IF(B324="","",COUNTIF(Contratos!$D:$D,B324))</f>
        <v/>
      </c>
      <c r="L324" s="36" t="str">
        <f aca="false">IF(B324="","",SUMIFS(Contratos!$K:$K,Contratos!$D:$D,B324))</f>
        <v/>
      </c>
      <c r="M324" s="36" t="str">
        <f aca="false">IF(B324="","",SUMIFS(Pagamentos!$G:$G,Pagamentos!$D:$D,B324,Pagamentos!$F:$F,"Empenho"))</f>
        <v/>
      </c>
      <c r="N324" s="36" t="str">
        <f aca="false">IF(B324="","",SUMIFS(Pagamentos!$G:$G,Pagamentos!$D:$D,B324,Pagamentos!$F:$F,"Pagamento"))</f>
        <v/>
      </c>
      <c r="O324" s="37" t="str">
        <f aca="false">IF(OR(B324="",H324="",L324="",L324=0),"",H324/L324)</f>
        <v/>
      </c>
      <c r="P324" s="27" t="str">
        <f aca="false">IF(B324="","",COUNTIF(Sancoes!$C:$C,B324))</f>
        <v/>
      </c>
      <c r="Q324" s="27" t="str">
        <f aca="false">IF(B324="","",COUNTIF(Socios!$B:$B,B324))</f>
        <v/>
      </c>
      <c r="R324" s="27" t="str">
        <f aca="false">IF(B324="","",COUNTIFS(Socios!$B:$B,B324,Socios!$L:$L,"SIM"))</f>
        <v/>
      </c>
      <c r="S324" s="24"/>
      <c r="T324" s="11"/>
    </row>
    <row r="325" customFormat="false" ht="15" hidden="false" customHeight="false" outlineLevel="0" collapsed="false">
      <c r="A325" s="24"/>
      <c r="B325" s="31" t="str">
        <f aca="false">IF(A325="","",IF(LEN(UPPER(SUBSTITUTE(SUBSTITUTE(SUBSTITUTE(SUBSTITUTE(TRIM(A325),".",""),"/",""),"-","")," ","")))&lt;14,RIGHT(REPT("0",14)&amp;UPPER(SUBSTITUTE(SUBSTITUTE(SUBSTITUTE(SUBSTITUTE(TRIM(A325),".",""),"/",""),"-","")," ","")),14),UPPER(SUBSTITUTE(SUBSTITUTE(SUBSTITUTE(SUBSTITUTE(TRIM(A325),".",""),"/",""),"-","")," ",""))))</f>
        <v/>
      </c>
      <c r="C325" s="11"/>
      <c r="D325" s="23"/>
      <c r="E325" s="22"/>
      <c r="F325" s="23"/>
      <c r="G325" s="11"/>
      <c r="H325" s="35"/>
      <c r="I325" s="11"/>
      <c r="J325" s="23"/>
      <c r="K325" s="27" t="str">
        <f aca="false">IF(B325="","",COUNTIF(Contratos!$D:$D,B325))</f>
        <v/>
      </c>
      <c r="L325" s="36" t="str">
        <f aca="false">IF(B325="","",SUMIFS(Contratos!$K:$K,Contratos!$D:$D,B325))</f>
        <v/>
      </c>
      <c r="M325" s="36" t="str">
        <f aca="false">IF(B325="","",SUMIFS(Pagamentos!$G:$G,Pagamentos!$D:$D,B325,Pagamentos!$F:$F,"Empenho"))</f>
        <v/>
      </c>
      <c r="N325" s="36" t="str">
        <f aca="false">IF(B325="","",SUMIFS(Pagamentos!$G:$G,Pagamentos!$D:$D,B325,Pagamentos!$F:$F,"Pagamento"))</f>
        <v/>
      </c>
      <c r="O325" s="37" t="str">
        <f aca="false">IF(OR(B325="",H325="",L325="",L325=0),"",H325/L325)</f>
        <v/>
      </c>
      <c r="P325" s="27" t="str">
        <f aca="false">IF(B325="","",COUNTIF(Sancoes!$C:$C,B325))</f>
        <v/>
      </c>
      <c r="Q325" s="27" t="str">
        <f aca="false">IF(B325="","",COUNTIF(Socios!$B:$B,B325))</f>
        <v/>
      </c>
      <c r="R325" s="27" t="str">
        <f aca="false">IF(B325="","",COUNTIFS(Socios!$B:$B,B325,Socios!$L:$L,"SIM"))</f>
        <v/>
      </c>
      <c r="S325" s="24"/>
      <c r="T325" s="11"/>
    </row>
    <row r="326" customFormat="false" ht="15" hidden="false" customHeight="false" outlineLevel="0" collapsed="false">
      <c r="A326" s="24"/>
      <c r="B326" s="31" t="str">
        <f aca="false">IF(A326="","",IF(LEN(UPPER(SUBSTITUTE(SUBSTITUTE(SUBSTITUTE(SUBSTITUTE(TRIM(A326),".",""),"/",""),"-","")," ","")))&lt;14,RIGHT(REPT("0",14)&amp;UPPER(SUBSTITUTE(SUBSTITUTE(SUBSTITUTE(SUBSTITUTE(TRIM(A326),".",""),"/",""),"-","")," ","")),14),UPPER(SUBSTITUTE(SUBSTITUTE(SUBSTITUTE(SUBSTITUTE(TRIM(A326),".",""),"/",""),"-","")," ",""))))</f>
        <v/>
      </c>
      <c r="C326" s="11"/>
      <c r="D326" s="23"/>
      <c r="E326" s="22"/>
      <c r="F326" s="23"/>
      <c r="G326" s="11"/>
      <c r="H326" s="35"/>
      <c r="I326" s="11"/>
      <c r="J326" s="23"/>
      <c r="K326" s="27" t="str">
        <f aca="false">IF(B326="","",COUNTIF(Contratos!$D:$D,B326))</f>
        <v/>
      </c>
      <c r="L326" s="36" t="str">
        <f aca="false">IF(B326="","",SUMIFS(Contratos!$K:$K,Contratos!$D:$D,B326))</f>
        <v/>
      </c>
      <c r="M326" s="36" t="str">
        <f aca="false">IF(B326="","",SUMIFS(Pagamentos!$G:$G,Pagamentos!$D:$D,B326,Pagamentos!$F:$F,"Empenho"))</f>
        <v/>
      </c>
      <c r="N326" s="36" t="str">
        <f aca="false">IF(B326="","",SUMIFS(Pagamentos!$G:$G,Pagamentos!$D:$D,B326,Pagamentos!$F:$F,"Pagamento"))</f>
        <v/>
      </c>
      <c r="O326" s="37" t="str">
        <f aca="false">IF(OR(B326="",H326="",L326="",L326=0),"",H326/L326)</f>
        <v/>
      </c>
      <c r="P326" s="27" t="str">
        <f aca="false">IF(B326="","",COUNTIF(Sancoes!$C:$C,B326))</f>
        <v/>
      </c>
      <c r="Q326" s="27" t="str">
        <f aca="false">IF(B326="","",COUNTIF(Socios!$B:$B,B326))</f>
        <v/>
      </c>
      <c r="R326" s="27" t="str">
        <f aca="false">IF(B326="","",COUNTIFS(Socios!$B:$B,B326,Socios!$L:$L,"SIM"))</f>
        <v/>
      </c>
      <c r="S326" s="24"/>
      <c r="T326" s="11"/>
    </row>
    <row r="327" customFormat="false" ht="15" hidden="false" customHeight="false" outlineLevel="0" collapsed="false">
      <c r="A327" s="24"/>
      <c r="B327" s="31" t="str">
        <f aca="false">IF(A327="","",IF(LEN(UPPER(SUBSTITUTE(SUBSTITUTE(SUBSTITUTE(SUBSTITUTE(TRIM(A327),".",""),"/",""),"-","")," ","")))&lt;14,RIGHT(REPT("0",14)&amp;UPPER(SUBSTITUTE(SUBSTITUTE(SUBSTITUTE(SUBSTITUTE(TRIM(A327),".",""),"/",""),"-","")," ","")),14),UPPER(SUBSTITUTE(SUBSTITUTE(SUBSTITUTE(SUBSTITUTE(TRIM(A327),".",""),"/",""),"-","")," ",""))))</f>
        <v/>
      </c>
      <c r="C327" s="11"/>
      <c r="D327" s="23"/>
      <c r="E327" s="22"/>
      <c r="F327" s="23"/>
      <c r="G327" s="11"/>
      <c r="H327" s="35"/>
      <c r="I327" s="11"/>
      <c r="J327" s="23"/>
      <c r="K327" s="27" t="str">
        <f aca="false">IF(B327="","",COUNTIF(Contratos!$D:$D,B327))</f>
        <v/>
      </c>
      <c r="L327" s="36" t="str">
        <f aca="false">IF(B327="","",SUMIFS(Contratos!$K:$K,Contratos!$D:$D,B327))</f>
        <v/>
      </c>
      <c r="M327" s="36" t="str">
        <f aca="false">IF(B327="","",SUMIFS(Pagamentos!$G:$G,Pagamentos!$D:$D,B327,Pagamentos!$F:$F,"Empenho"))</f>
        <v/>
      </c>
      <c r="N327" s="36" t="str">
        <f aca="false">IF(B327="","",SUMIFS(Pagamentos!$G:$G,Pagamentos!$D:$D,B327,Pagamentos!$F:$F,"Pagamento"))</f>
        <v/>
      </c>
      <c r="O327" s="37" t="str">
        <f aca="false">IF(OR(B327="",H327="",L327="",L327=0),"",H327/L327)</f>
        <v/>
      </c>
      <c r="P327" s="27" t="str">
        <f aca="false">IF(B327="","",COUNTIF(Sancoes!$C:$C,B327))</f>
        <v/>
      </c>
      <c r="Q327" s="27" t="str">
        <f aca="false">IF(B327="","",COUNTIF(Socios!$B:$B,B327))</f>
        <v/>
      </c>
      <c r="R327" s="27" t="str">
        <f aca="false">IF(B327="","",COUNTIFS(Socios!$B:$B,B327,Socios!$L:$L,"SIM"))</f>
        <v/>
      </c>
      <c r="S327" s="24"/>
      <c r="T327" s="11"/>
    </row>
    <row r="328" customFormat="false" ht="15" hidden="false" customHeight="false" outlineLevel="0" collapsed="false">
      <c r="A328" s="24"/>
      <c r="B328" s="31" t="str">
        <f aca="false">IF(A328="","",IF(LEN(UPPER(SUBSTITUTE(SUBSTITUTE(SUBSTITUTE(SUBSTITUTE(TRIM(A328),".",""),"/",""),"-","")," ","")))&lt;14,RIGHT(REPT("0",14)&amp;UPPER(SUBSTITUTE(SUBSTITUTE(SUBSTITUTE(SUBSTITUTE(TRIM(A328),".",""),"/",""),"-","")," ","")),14),UPPER(SUBSTITUTE(SUBSTITUTE(SUBSTITUTE(SUBSTITUTE(TRIM(A328),".",""),"/",""),"-","")," ",""))))</f>
        <v/>
      </c>
      <c r="C328" s="11"/>
      <c r="D328" s="23"/>
      <c r="E328" s="22"/>
      <c r="F328" s="23"/>
      <c r="G328" s="11"/>
      <c r="H328" s="35"/>
      <c r="I328" s="11"/>
      <c r="J328" s="23"/>
      <c r="K328" s="27" t="str">
        <f aca="false">IF(B328="","",COUNTIF(Contratos!$D:$D,B328))</f>
        <v/>
      </c>
      <c r="L328" s="36" t="str">
        <f aca="false">IF(B328="","",SUMIFS(Contratos!$K:$K,Contratos!$D:$D,B328))</f>
        <v/>
      </c>
      <c r="M328" s="36" t="str">
        <f aca="false">IF(B328="","",SUMIFS(Pagamentos!$G:$G,Pagamentos!$D:$D,B328,Pagamentos!$F:$F,"Empenho"))</f>
        <v/>
      </c>
      <c r="N328" s="36" t="str">
        <f aca="false">IF(B328="","",SUMIFS(Pagamentos!$G:$G,Pagamentos!$D:$D,B328,Pagamentos!$F:$F,"Pagamento"))</f>
        <v/>
      </c>
      <c r="O328" s="37" t="str">
        <f aca="false">IF(OR(B328="",H328="",L328="",L328=0),"",H328/L328)</f>
        <v/>
      </c>
      <c r="P328" s="27" t="str">
        <f aca="false">IF(B328="","",COUNTIF(Sancoes!$C:$C,B328))</f>
        <v/>
      </c>
      <c r="Q328" s="27" t="str">
        <f aca="false">IF(B328="","",COUNTIF(Socios!$B:$B,B328))</f>
        <v/>
      </c>
      <c r="R328" s="27" t="str">
        <f aca="false">IF(B328="","",COUNTIFS(Socios!$B:$B,B328,Socios!$L:$L,"SIM"))</f>
        <v/>
      </c>
      <c r="S328" s="24"/>
      <c r="T328" s="11"/>
    </row>
    <row r="329" customFormat="false" ht="15" hidden="false" customHeight="false" outlineLevel="0" collapsed="false">
      <c r="A329" s="24"/>
      <c r="B329" s="31" t="str">
        <f aca="false">IF(A329="","",IF(LEN(UPPER(SUBSTITUTE(SUBSTITUTE(SUBSTITUTE(SUBSTITUTE(TRIM(A329),".",""),"/",""),"-","")," ","")))&lt;14,RIGHT(REPT("0",14)&amp;UPPER(SUBSTITUTE(SUBSTITUTE(SUBSTITUTE(SUBSTITUTE(TRIM(A329),".",""),"/",""),"-","")," ","")),14),UPPER(SUBSTITUTE(SUBSTITUTE(SUBSTITUTE(SUBSTITUTE(TRIM(A329),".",""),"/",""),"-","")," ",""))))</f>
        <v/>
      </c>
      <c r="C329" s="11"/>
      <c r="D329" s="23"/>
      <c r="E329" s="22"/>
      <c r="F329" s="23"/>
      <c r="G329" s="11"/>
      <c r="H329" s="35"/>
      <c r="I329" s="11"/>
      <c r="J329" s="23"/>
      <c r="K329" s="27" t="str">
        <f aca="false">IF(B329="","",COUNTIF(Contratos!$D:$D,B329))</f>
        <v/>
      </c>
      <c r="L329" s="36" t="str">
        <f aca="false">IF(B329="","",SUMIFS(Contratos!$K:$K,Contratos!$D:$D,B329))</f>
        <v/>
      </c>
      <c r="M329" s="36" t="str">
        <f aca="false">IF(B329="","",SUMIFS(Pagamentos!$G:$G,Pagamentos!$D:$D,B329,Pagamentos!$F:$F,"Empenho"))</f>
        <v/>
      </c>
      <c r="N329" s="36" t="str">
        <f aca="false">IF(B329="","",SUMIFS(Pagamentos!$G:$G,Pagamentos!$D:$D,B329,Pagamentos!$F:$F,"Pagamento"))</f>
        <v/>
      </c>
      <c r="O329" s="37" t="str">
        <f aca="false">IF(OR(B329="",H329="",L329="",L329=0),"",H329/L329)</f>
        <v/>
      </c>
      <c r="P329" s="27" t="str">
        <f aca="false">IF(B329="","",COUNTIF(Sancoes!$C:$C,B329))</f>
        <v/>
      </c>
      <c r="Q329" s="27" t="str">
        <f aca="false">IF(B329="","",COUNTIF(Socios!$B:$B,B329))</f>
        <v/>
      </c>
      <c r="R329" s="27" t="str">
        <f aca="false">IF(B329="","",COUNTIFS(Socios!$B:$B,B329,Socios!$L:$L,"SIM"))</f>
        <v/>
      </c>
      <c r="S329" s="24"/>
      <c r="T329" s="11"/>
    </row>
    <row r="330" customFormat="false" ht="15" hidden="false" customHeight="false" outlineLevel="0" collapsed="false">
      <c r="A330" s="24"/>
      <c r="B330" s="31" t="str">
        <f aca="false">IF(A330="","",IF(LEN(UPPER(SUBSTITUTE(SUBSTITUTE(SUBSTITUTE(SUBSTITUTE(TRIM(A330),".",""),"/",""),"-","")," ","")))&lt;14,RIGHT(REPT("0",14)&amp;UPPER(SUBSTITUTE(SUBSTITUTE(SUBSTITUTE(SUBSTITUTE(TRIM(A330),".",""),"/",""),"-","")," ","")),14),UPPER(SUBSTITUTE(SUBSTITUTE(SUBSTITUTE(SUBSTITUTE(TRIM(A330),".",""),"/",""),"-","")," ",""))))</f>
        <v/>
      </c>
      <c r="C330" s="11"/>
      <c r="D330" s="23"/>
      <c r="E330" s="22"/>
      <c r="F330" s="23"/>
      <c r="G330" s="11"/>
      <c r="H330" s="35"/>
      <c r="I330" s="11"/>
      <c r="J330" s="23"/>
      <c r="K330" s="27" t="str">
        <f aca="false">IF(B330="","",COUNTIF(Contratos!$D:$D,B330))</f>
        <v/>
      </c>
      <c r="L330" s="36" t="str">
        <f aca="false">IF(B330="","",SUMIFS(Contratos!$K:$K,Contratos!$D:$D,B330))</f>
        <v/>
      </c>
      <c r="M330" s="36" t="str">
        <f aca="false">IF(B330="","",SUMIFS(Pagamentos!$G:$G,Pagamentos!$D:$D,B330,Pagamentos!$F:$F,"Empenho"))</f>
        <v/>
      </c>
      <c r="N330" s="36" t="str">
        <f aca="false">IF(B330="","",SUMIFS(Pagamentos!$G:$G,Pagamentos!$D:$D,B330,Pagamentos!$F:$F,"Pagamento"))</f>
        <v/>
      </c>
      <c r="O330" s="37" t="str">
        <f aca="false">IF(OR(B330="",H330="",L330="",L330=0),"",H330/L330)</f>
        <v/>
      </c>
      <c r="P330" s="27" t="str">
        <f aca="false">IF(B330="","",COUNTIF(Sancoes!$C:$C,B330))</f>
        <v/>
      </c>
      <c r="Q330" s="27" t="str">
        <f aca="false">IF(B330="","",COUNTIF(Socios!$B:$B,B330))</f>
        <v/>
      </c>
      <c r="R330" s="27" t="str">
        <f aca="false">IF(B330="","",COUNTIFS(Socios!$B:$B,B330,Socios!$L:$L,"SIM"))</f>
        <v/>
      </c>
      <c r="S330" s="24"/>
      <c r="T330" s="11"/>
    </row>
    <row r="331" customFormat="false" ht="15" hidden="false" customHeight="false" outlineLevel="0" collapsed="false">
      <c r="A331" s="24"/>
      <c r="B331" s="31" t="str">
        <f aca="false">IF(A331="","",IF(LEN(UPPER(SUBSTITUTE(SUBSTITUTE(SUBSTITUTE(SUBSTITUTE(TRIM(A331),".",""),"/",""),"-","")," ","")))&lt;14,RIGHT(REPT("0",14)&amp;UPPER(SUBSTITUTE(SUBSTITUTE(SUBSTITUTE(SUBSTITUTE(TRIM(A331),".",""),"/",""),"-","")," ","")),14),UPPER(SUBSTITUTE(SUBSTITUTE(SUBSTITUTE(SUBSTITUTE(TRIM(A331),".",""),"/",""),"-","")," ",""))))</f>
        <v/>
      </c>
      <c r="C331" s="11"/>
      <c r="D331" s="23"/>
      <c r="E331" s="22"/>
      <c r="F331" s="23"/>
      <c r="G331" s="11"/>
      <c r="H331" s="35"/>
      <c r="I331" s="11"/>
      <c r="J331" s="23"/>
      <c r="K331" s="27" t="str">
        <f aca="false">IF(B331="","",COUNTIF(Contratos!$D:$D,B331))</f>
        <v/>
      </c>
      <c r="L331" s="36" t="str">
        <f aca="false">IF(B331="","",SUMIFS(Contratos!$K:$K,Contratos!$D:$D,B331))</f>
        <v/>
      </c>
      <c r="M331" s="36" t="str">
        <f aca="false">IF(B331="","",SUMIFS(Pagamentos!$G:$G,Pagamentos!$D:$D,B331,Pagamentos!$F:$F,"Empenho"))</f>
        <v/>
      </c>
      <c r="N331" s="36" t="str">
        <f aca="false">IF(B331="","",SUMIFS(Pagamentos!$G:$G,Pagamentos!$D:$D,B331,Pagamentos!$F:$F,"Pagamento"))</f>
        <v/>
      </c>
      <c r="O331" s="37" t="str">
        <f aca="false">IF(OR(B331="",H331="",L331="",L331=0),"",H331/L331)</f>
        <v/>
      </c>
      <c r="P331" s="27" t="str">
        <f aca="false">IF(B331="","",COUNTIF(Sancoes!$C:$C,B331))</f>
        <v/>
      </c>
      <c r="Q331" s="27" t="str">
        <f aca="false">IF(B331="","",COUNTIF(Socios!$B:$B,B331))</f>
        <v/>
      </c>
      <c r="R331" s="27" t="str">
        <f aca="false">IF(B331="","",COUNTIFS(Socios!$B:$B,B331,Socios!$L:$L,"SIM"))</f>
        <v/>
      </c>
      <c r="S331" s="24"/>
      <c r="T331" s="11"/>
    </row>
    <row r="332" customFormat="false" ht="15" hidden="false" customHeight="false" outlineLevel="0" collapsed="false">
      <c r="A332" s="24"/>
      <c r="B332" s="31" t="str">
        <f aca="false">IF(A332="","",IF(LEN(UPPER(SUBSTITUTE(SUBSTITUTE(SUBSTITUTE(SUBSTITUTE(TRIM(A332),".",""),"/",""),"-","")," ","")))&lt;14,RIGHT(REPT("0",14)&amp;UPPER(SUBSTITUTE(SUBSTITUTE(SUBSTITUTE(SUBSTITUTE(TRIM(A332),".",""),"/",""),"-","")," ","")),14),UPPER(SUBSTITUTE(SUBSTITUTE(SUBSTITUTE(SUBSTITUTE(TRIM(A332),".",""),"/",""),"-","")," ",""))))</f>
        <v/>
      </c>
      <c r="C332" s="11"/>
      <c r="D332" s="23"/>
      <c r="E332" s="22"/>
      <c r="F332" s="23"/>
      <c r="G332" s="11"/>
      <c r="H332" s="35"/>
      <c r="I332" s="11"/>
      <c r="J332" s="23"/>
      <c r="K332" s="27" t="str">
        <f aca="false">IF(B332="","",COUNTIF(Contratos!$D:$D,B332))</f>
        <v/>
      </c>
      <c r="L332" s="36" t="str">
        <f aca="false">IF(B332="","",SUMIFS(Contratos!$K:$K,Contratos!$D:$D,B332))</f>
        <v/>
      </c>
      <c r="M332" s="36" t="str">
        <f aca="false">IF(B332="","",SUMIFS(Pagamentos!$G:$G,Pagamentos!$D:$D,B332,Pagamentos!$F:$F,"Empenho"))</f>
        <v/>
      </c>
      <c r="N332" s="36" t="str">
        <f aca="false">IF(B332="","",SUMIFS(Pagamentos!$G:$G,Pagamentos!$D:$D,B332,Pagamentos!$F:$F,"Pagamento"))</f>
        <v/>
      </c>
      <c r="O332" s="37" t="str">
        <f aca="false">IF(OR(B332="",H332="",L332="",L332=0),"",H332/L332)</f>
        <v/>
      </c>
      <c r="P332" s="27" t="str">
        <f aca="false">IF(B332="","",COUNTIF(Sancoes!$C:$C,B332))</f>
        <v/>
      </c>
      <c r="Q332" s="27" t="str">
        <f aca="false">IF(B332="","",COUNTIF(Socios!$B:$B,B332))</f>
        <v/>
      </c>
      <c r="R332" s="27" t="str">
        <f aca="false">IF(B332="","",COUNTIFS(Socios!$B:$B,B332,Socios!$L:$L,"SIM"))</f>
        <v/>
      </c>
      <c r="S332" s="24"/>
      <c r="T332" s="11"/>
    </row>
    <row r="333" customFormat="false" ht="15" hidden="false" customHeight="false" outlineLevel="0" collapsed="false">
      <c r="A333" s="24"/>
      <c r="B333" s="31" t="str">
        <f aca="false">IF(A333="","",IF(LEN(UPPER(SUBSTITUTE(SUBSTITUTE(SUBSTITUTE(SUBSTITUTE(TRIM(A333),".",""),"/",""),"-","")," ","")))&lt;14,RIGHT(REPT("0",14)&amp;UPPER(SUBSTITUTE(SUBSTITUTE(SUBSTITUTE(SUBSTITUTE(TRIM(A333),".",""),"/",""),"-","")," ","")),14),UPPER(SUBSTITUTE(SUBSTITUTE(SUBSTITUTE(SUBSTITUTE(TRIM(A333),".",""),"/",""),"-","")," ",""))))</f>
        <v/>
      </c>
      <c r="C333" s="11"/>
      <c r="D333" s="23"/>
      <c r="E333" s="22"/>
      <c r="F333" s="23"/>
      <c r="G333" s="11"/>
      <c r="H333" s="35"/>
      <c r="I333" s="11"/>
      <c r="J333" s="23"/>
      <c r="K333" s="27" t="str">
        <f aca="false">IF(B333="","",COUNTIF(Contratos!$D:$D,B333))</f>
        <v/>
      </c>
      <c r="L333" s="36" t="str">
        <f aca="false">IF(B333="","",SUMIFS(Contratos!$K:$K,Contratos!$D:$D,B333))</f>
        <v/>
      </c>
      <c r="M333" s="36" t="str">
        <f aca="false">IF(B333="","",SUMIFS(Pagamentos!$G:$G,Pagamentos!$D:$D,B333,Pagamentos!$F:$F,"Empenho"))</f>
        <v/>
      </c>
      <c r="N333" s="36" t="str">
        <f aca="false">IF(B333="","",SUMIFS(Pagamentos!$G:$G,Pagamentos!$D:$D,B333,Pagamentos!$F:$F,"Pagamento"))</f>
        <v/>
      </c>
      <c r="O333" s="37" t="str">
        <f aca="false">IF(OR(B333="",H333="",L333="",L333=0),"",H333/L333)</f>
        <v/>
      </c>
      <c r="P333" s="27" t="str">
        <f aca="false">IF(B333="","",COUNTIF(Sancoes!$C:$C,B333))</f>
        <v/>
      </c>
      <c r="Q333" s="27" t="str">
        <f aca="false">IF(B333="","",COUNTIF(Socios!$B:$B,B333))</f>
        <v/>
      </c>
      <c r="R333" s="27" t="str">
        <f aca="false">IF(B333="","",COUNTIFS(Socios!$B:$B,B333,Socios!$L:$L,"SIM"))</f>
        <v/>
      </c>
      <c r="S333" s="24"/>
      <c r="T333" s="11"/>
    </row>
    <row r="334" customFormat="false" ht="15" hidden="false" customHeight="false" outlineLevel="0" collapsed="false">
      <c r="A334" s="24"/>
      <c r="B334" s="31" t="str">
        <f aca="false">IF(A334="","",IF(LEN(UPPER(SUBSTITUTE(SUBSTITUTE(SUBSTITUTE(SUBSTITUTE(TRIM(A334),".",""),"/",""),"-","")," ","")))&lt;14,RIGHT(REPT("0",14)&amp;UPPER(SUBSTITUTE(SUBSTITUTE(SUBSTITUTE(SUBSTITUTE(TRIM(A334),".",""),"/",""),"-","")," ","")),14),UPPER(SUBSTITUTE(SUBSTITUTE(SUBSTITUTE(SUBSTITUTE(TRIM(A334),".",""),"/",""),"-","")," ",""))))</f>
        <v/>
      </c>
      <c r="C334" s="11"/>
      <c r="D334" s="23"/>
      <c r="E334" s="22"/>
      <c r="F334" s="23"/>
      <c r="G334" s="11"/>
      <c r="H334" s="35"/>
      <c r="I334" s="11"/>
      <c r="J334" s="23"/>
      <c r="K334" s="27" t="str">
        <f aca="false">IF(B334="","",COUNTIF(Contratos!$D:$D,B334))</f>
        <v/>
      </c>
      <c r="L334" s="36" t="str">
        <f aca="false">IF(B334="","",SUMIFS(Contratos!$K:$K,Contratos!$D:$D,B334))</f>
        <v/>
      </c>
      <c r="M334" s="36" t="str">
        <f aca="false">IF(B334="","",SUMIFS(Pagamentos!$G:$G,Pagamentos!$D:$D,B334,Pagamentos!$F:$F,"Empenho"))</f>
        <v/>
      </c>
      <c r="N334" s="36" t="str">
        <f aca="false">IF(B334="","",SUMIFS(Pagamentos!$G:$G,Pagamentos!$D:$D,B334,Pagamentos!$F:$F,"Pagamento"))</f>
        <v/>
      </c>
      <c r="O334" s="37" t="str">
        <f aca="false">IF(OR(B334="",H334="",L334="",L334=0),"",H334/L334)</f>
        <v/>
      </c>
      <c r="P334" s="27" t="str">
        <f aca="false">IF(B334="","",COUNTIF(Sancoes!$C:$C,B334))</f>
        <v/>
      </c>
      <c r="Q334" s="27" t="str">
        <f aca="false">IF(B334="","",COUNTIF(Socios!$B:$B,B334))</f>
        <v/>
      </c>
      <c r="R334" s="27" t="str">
        <f aca="false">IF(B334="","",COUNTIFS(Socios!$B:$B,B334,Socios!$L:$L,"SIM"))</f>
        <v/>
      </c>
      <c r="S334" s="24"/>
      <c r="T334" s="11"/>
    </row>
    <row r="335" customFormat="false" ht="15" hidden="false" customHeight="false" outlineLevel="0" collapsed="false">
      <c r="A335" s="24"/>
      <c r="B335" s="31" t="str">
        <f aca="false">IF(A335="","",IF(LEN(UPPER(SUBSTITUTE(SUBSTITUTE(SUBSTITUTE(SUBSTITUTE(TRIM(A335),".",""),"/",""),"-","")," ","")))&lt;14,RIGHT(REPT("0",14)&amp;UPPER(SUBSTITUTE(SUBSTITUTE(SUBSTITUTE(SUBSTITUTE(TRIM(A335),".",""),"/",""),"-","")," ","")),14),UPPER(SUBSTITUTE(SUBSTITUTE(SUBSTITUTE(SUBSTITUTE(TRIM(A335),".",""),"/",""),"-","")," ",""))))</f>
        <v/>
      </c>
      <c r="C335" s="11"/>
      <c r="D335" s="23"/>
      <c r="E335" s="22"/>
      <c r="F335" s="23"/>
      <c r="G335" s="11"/>
      <c r="H335" s="35"/>
      <c r="I335" s="11"/>
      <c r="J335" s="23"/>
      <c r="K335" s="27" t="str">
        <f aca="false">IF(B335="","",COUNTIF(Contratos!$D:$D,B335))</f>
        <v/>
      </c>
      <c r="L335" s="36" t="str">
        <f aca="false">IF(B335="","",SUMIFS(Contratos!$K:$K,Contratos!$D:$D,B335))</f>
        <v/>
      </c>
      <c r="M335" s="36" t="str">
        <f aca="false">IF(B335="","",SUMIFS(Pagamentos!$G:$G,Pagamentos!$D:$D,B335,Pagamentos!$F:$F,"Empenho"))</f>
        <v/>
      </c>
      <c r="N335" s="36" t="str">
        <f aca="false">IF(B335="","",SUMIFS(Pagamentos!$G:$G,Pagamentos!$D:$D,B335,Pagamentos!$F:$F,"Pagamento"))</f>
        <v/>
      </c>
      <c r="O335" s="37" t="str">
        <f aca="false">IF(OR(B335="",H335="",L335="",L335=0),"",H335/L335)</f>
        <v/>
      </c>
      <c r="P335" s="27" t="str">
        <f aca="false">IF(B335="","",COUNTIF(Sancoes!$C:$C,B335))</f>
        <v/>
      </c>
      <c r="Q335" s="27" t="str">
        <f aca="false">IF(B335="","",COUNTIF(Socios!$B:$B,B335))</f>
        <v/>
      </c>
      <c r="R335" s="27" t="str">
        <f aca="false">IF(B335="","",COUNTIFS(Socios!$B:$B,B335,Socios!$L:$L,"SIM"))</f>
        <v/>
      </c>
      <c r="S335" s="24"/>
      <c r="T335" s="11"/>
    </row>
    <row r="336" customFormat="false" ht="15" hidden="false" customHeight="false" outlineLevel="0" collapsed="false">
      <c r="A336" s="24"/>
      <c r="B336" s="31" t="str">
        <f aca="false">IF(A336="","",IF(LEN(UPPER(SUBSTITUTE(SUBSTITUTE(SUBSTITUTE(SUBSTITUTE(TRIM(A336),".",""),"/",""),"-","")," ","")))&lt;14,RIGHT(REPT("0",14)&amp;UPPER(SUBSTITUTE(SUBSTITUTE(SUBSTITUTE(SUBSTITUTE(TRIM(A336),".",""),"/",""),"-","")," ","")),14),UPPER(SUBSTITUTE(SUBSTITUTE(SUBSTITUTE(SUBSTITUTE(TRIM(A336),".",""),"/",""),"-","")," ",""))))</f>
        <v/>
      </c>
      <c r="C336" s="11"/>
      <c r="D336" s="23"/>
      <c r="E336" s="22"/>
      <c r="F336" s="23"/>
      <c r="G336" s="11"/>
      <c r="H336" s="35"/>
      <c r="I336" s="11"/>
      <c r="J336" s="23"/>
      <c r="K336" s="27" t="str">
        <f aca="false">IF(B336="","",COUNTIF(Contratos!$D:$D,B336))</f>
        <v/>
      </c>
      <c r="L336" s="36" t="str">
        <f aca="false">IF(B336="","",SUMIFS(Contratos!$K:$K,Contratos!$D:$D,B336))</f>
        <v/>
      </c>
      <c r="M336" s="36" t="str">
        <f aca="false">IF(B336="","",SUMIFS(Pagamentos!$G:$G,Pagamentos!$D:$D,B336,Pagamentos!$F:$F,"Empenho"))</f>
        <v/>
      </c>
      <c r="N336" s="36" t="str">
        <f aca="false">IF(B336="","",SUMIFS(Pagamentos!$G:$G,Pagamentos!$D:$D,B336,Pagamentos!$F:$F,"Pagamento"))</f>
        <v/>
      </c>
      <c r="O336" s="37" t="str">
        <f aca="false">IF(OR(B336="",H336="",L336="",L336=0),"",H336/L336)</f>
        <v/>
      </c>
      <c r="P336" s="27" t="str">
        <f aca="false">IF(B336="","",COUNTIF(Sancoes!$C:$C,B336))</f>
        <v/>
      </c>
      <c r="Q336" s="27" t="str">
        <f aca="false">IF(B336="","",COUNTIF(Socios!$B:$B,B336))</f>
        <v/>
      </c>
      <c r="R336" s="27" t="str">
        <f aca="false">IF(B336="","",COUNTIFS(Socios!$B:$B,B336,Socios!$L:$L,"SIM"))</f>
        <v/>
      </c>
      <c r="S336" s="24"/>
      <c r="T336" s="11"/>
    </row>
    <row r="337" customFormat="false" ht="15" hidden="false" customHeight="false" outlineLevel="0" collapsed="false">
      <c r="A337" s="24"/>
      <c r="B337" s="31" t="str">
        <f aca="false">IF(A337="","",IF(LEN(UPPER(SUBSTITUTE(SUBSTITUTE(SUBSTITUTE(SUBSTITUTE(TRIM(A337),".",""),"/",""),"-","")," ","")))&lt;14,RIGHT(REPT("0",14)&amp;UPPER(SUBSTITUTE(SUBSTITUTE(SUBSTITUTE(SUBSTITUTE(TRIM(A337),".",""),"/",""),"-","")," ","")),14),UPPER(SUBSTITUTE(SUBSTITUTE(SUBSTITUTE(SUBSTITUTE(TRIM(A337),".",""),"/",""),"-","")," ",""))))</f>
        <v/>
      </c>
      <c r="C337" s="11"/>
      <c r="D337" s="23"/>
      <c r="E337" s="22"/>
      <c r="F337" s="23"/>
      <c r="G337" s="11"/>
      <c r="H337" s="35"/>
      <c r="I337" s="11"/>
      <c r="J337" s="23"/>
      <c r="K337" s="27" t="str">
        <f aca="false">IF(B337="","",COUNTIF(Contratos!$D:$D,B337))</f>
        <v/>
      </c>
      <c r="L337" s="36" t="str">
        <f aca="false">IF(B337="","",SUMIFS(Contratos!$K:$K,Contratos!$D:$D,B337))</f>
        <v/>
      </c>
      <c r="M337" s="36" t="str">
        <f aca="false">IF(B337="","",SUMIFS(Pagamentos!$G:$G,Pagamentos!$D:$D,B337,Pagamentos!$F:$F,"Empenho"))</f>
        <v/>
      </c>
      <c r="N337" s="36" t="str">
        <f aca="false">IF(B337="","",SUMIFS(Pagamentos!$G:$G,Pagamentos!$D:$D,B337,Pagamentos!$F:$F,"Pagamento"))</f>
        <v/>
      </c>
      <c r="O337" s="37" t="str">
        <f aca="false">IF(OR(B337="",H337="",L337="",L337=0),"",H337/L337)</f>
        <v/>
      </c>
      <c r="P337" s="27" t="str">
        <f aca="false">IF(B337="","",COUNTIF(Sancoes!$C:$C,B337))</f>
        <v/>
      </c>
      <c r="Q337" s="27" t="str">
        <f aca="false">IF(B337="","",COUNTIF(Socios!$B:$B,B337))</f>
        <v/>
      </c>
      <c r="R337" s="27" t="str">
        <f aca="false">IF(B337="","",COUNTIFS(Socios!$B:$B,B337,Socios!$L:$L,"SIM"))</f>
        <v/>
      </c>
      <c r="S337" s="24"/>
      <c r="T337" s="11"/>
    </row>
    <row r="338" customFormat="false" ht="15" hidden="false" customHeight="false" outlineLevel="0" collapsed="false">
      <c r="A338" s="24"/>
      <c r="B338" s="31" t="str">
        <f aca="false">IF(A338="","",IF(LEN(UPPER(SUBSTITUTE(SUBSTITUTE(SUBSTITUTE(SUBSTITUTE(TRIM(A338),".",""),"/",""),"-","")," ","")))&lt;14,RIGHT(REPT("0",14)&amp;UPPER(SUBSTITUTE(SUBSTITUTE(SUBSTITUTE(SUBSTITUTE(TRIM(A338),".",""),"/",""),"-","")," ","")),14),UPPER(SUBSTITUTE(SUBSTITUTE(SUBSTITUTE(SUBSTITUTE(TRIM(A338),".",""),"/",""),"-","")," ",""))))</f>
        <v/>
      </c>
      <c r="C338" s="11"/>
      <c r="D338" s="23"/>
      <c r="E338" s="22"/>
      <c r="F338" s="23"/>
      <c r="G338" s="11"/>
      <c r="H338" s="35"/>
      <c r="I338" s="11"/>
      <c r="J338" s="23"/>
      <c r="K338" s="27" t="str">
        <f aca="false">IF(B338="","",COUNTIF(Contratos!$D:$D,B338))</f>
        <v/>
      </c>
      <c r="L338" s="36" t="str">
        <f aca="false">IF(B338="","",SUMIFS(Contratos!$K:$K,Contratos!$D:$D,B338))</f>
        <v/>
      </c>
      <c r="M338" s="36" t="str">
        <f aca="false">IF(B338="","",SUMIFS(Pagamentos!$G:$G,Pagamentos!$D:$D,B338,Pagamentos!$F:$F,"Empenho"))</f>
        <v/>
      </c>
      <c r="N338" s="36" t="str">
        <f aca="false">IF(B338="","",SUMIFS(Pagamentos!$G:$G,Pagamentos!$D:$D,B338,Pagamentos!$F:$F,"Pagamento"))</f>
        <v/>
      </c>
      <c r="O338" s="37" t="str">
        <f aca="false">IF(OR(B338="",H338="",L338="",L338=0),"",H338/L338)</f>
        <v/>
      </c>
      <c r="P338" s="27" t="str">
        <f aca="false">IF(B338="","",COUNTIF(Sancoes!$C:$C,B338))</f>
        <v/>
      </c>
      <c r="Q338" s="27" t="str">
        <f aca="false">IF(B338="","",COUNTIF(Socios!$B:$B,B338))</f>
        <v/>
      </c>
      <c r="R338" s="27" t="str">
        <f aca="false">IF(B338="","",COUNTIFS(Socios!$B:$B,B338,Socios!$L:$L,"SIM"))</f>
        <v/>
      </c>
      <c r="S338" s="24"/>
      <c r="T338" s="11"/>
    </row>
    <row r="339" customFormat="false" ht="15" hidden="false" customHeight="false" outlineLevel="0" collapsed="false">
      <c r="A339" s="24"/>
      <c r="B339" s="31" t="str">
        <f aca="false">IF(A339="","",IF(LEN(UPPER(SUBSTITUTE(SUBSTITUTE(SUBSTITUTE(SUBSTITUTE(TRIM(A339),".",""),"/",""),"-","")," ","")))&lt;14,RIGHT(REPT("0",14)&amp;UPPER(SUBSTITUTE(SUBSTITUTE(SUBSTITUTE(SUBSTITUTE(TRIM(A339),".",""),"/",""),"-","")," ","")),14),UPPER(SUBSTITUTE(SUBSTITUTE(SUBSTITUTE(SUBSTITUTE(TRIM(A339),".",""),"/",""),"-","")," ",""))))</f>
        <v/>
      </c>
      <c r="C339" s="11"/>
      <c r="D339" s="23"/>
      <c r="E339" s="22"/>
      <c r="F339" s="23"/>
      <c r="G339" s="11"/>
      <c r="H339" s="35"/>
      <c r="I339" s="11"/>
      <c r="J339" s="23"/>
      <c r="K339" s="27" t="str">
        <f aca="false">IF(B339="","",COUNTIF(Contratos!$D:$D,B339))</f>
        <v/>
      </c>
      <c r="L339" s="36" t="str">
        <f aca="false">IF(B339="","",SUMIFS(Contratos!$K:$K,Contratos!$D:$D,B339))</f>
        <v/>
      </c>
      <c r="M339" s="36" t="str">
        <f aca="false">IF(B339="","",SUMIFS(Pagamentos!$G:$G,Pagamentos!$D:$D,B339,Pagamentos!$F:$F,"Empenho"))</f>
        <v/>
      </c>
      <c r="N339" s="36" t="str">
        <f aca="false">IF(B339="","",SUMIFS(Pagamentos!$G:$G,Pagamentos!$D:$D,B339,Pagamentos!$F:$F,"Pagamento"))</f>
        <v/>
      </c>
      <c r="O339" s="37" t="str">
        <f aca="false">IF(OR(B339="",H339="",L339="",L339=0),"",H339/L339)</f>
        <v/>
      </c>
      <c r="P339" s="27" t="str">
        <f aca="false">IF(B339="","",COUNTIF(Sancoes!$C:$C,B339))</f>
        <v/>
      </c>
      <c r="Q339" s="27" t="str">
        <f aca="false">IF(B339="","",COUNTIF(Socios!$B:$B,B339))</f>
        <v/>
      </c>
      <c r="R339" s="27" t="str">
        <f aca="false">IF(B339="","",COUNTIFS(Socios!$B:$B,B339,Socios!$L:$L,"SIM"))</f>
        <v/>
      </c>
      <c r="S339" s="24"/>
      <c r="T339" s="11"/>
    </row>
    <row r="340" customFormat="false" ht="15" hidden="false" customHeight="false" outlineLevel="0" collapsed="false">
      <c r="A340" s="24"/>
      <c r="B340" s="31" t="str">
        <f aca="false">IF(A340="","",IF(LEN(UPPER(SUBSTITUTE(SUBSTITUTE(SUBSTITUTE(SUBSTITUTE(TRIM(A340),".",""),"/",""),"-","")," ","")))&lt;14,RIGHT(REPT("0",14)&amp;UPPER(SUBSTITUTE(SUBSTITUTE(SUBSTITUTE(SUBSTITUTE(TRIM(A340),".",""),"/",""),"-","")," ","")),14),UPPER(SUBSTITUTE(SUBSTITUTE(SUBSTITUTE(SUBSTITUTE(TRIM(A340),".",""),"/",""),"-","")," ",""))))</f>
        <v/>
      </c>
      <c r="C340" s="11"/>
      <c r="D340" s="23"/>
      <c r="E340" s="22"/>
      <c r="F340" s="23"/>
      <c r="G340" s="11"/>
      <c r="H340" s="35"/>
      <c r="I340" s="11"/>
      <c r="J340" s="23"/>
      <c r="K340" s="27" t="str">
        <f aca="false">IF(B340="","",COUNTIF(Contratos!$D:$D,B340))</f>
        <v/>
      </c>
      <c r="L340" s="36" t="str">
        <f aca="false">IF(B340="","",SUMIFS(Contratos!$K:$K,Contratos!$D:$D,B340))</f>
        <v/>
      </c>
      <c r="M340" s="36" t="str">
        <f aca="false">IF(B340="","",SUMIFS(Pagamentos!$G:$G,Pagamentos!$D:$D,B340,Pagamentos!$F:$F,"Empenho"))</f>
        <v/>
      </c>
      <c r="N340" s="36" t="str">
        <f aca="false">IF(B340="","",SUMIFS(Pagamentos!$G:$G,Pagamentos!$D:$D,B340,Pagamentos!$F:$F,"Pagamento"))</f>
        <v/>
      </c>
      <c r="O340" s="37" t="str">
        <f aca="false">IF(OR(B340="",H340="",L340="",L340=0),"",H340/L340)</f>
        <v/>
      </c>
      <c r="P340" s="27" t="str">
        <f aca="false">IF(B340="","",COUNTIF(Sancoes!$C:$C,B340))</f>
        <v/>
      </c>
      <c r="Q340" s="27" t="str">
        <f aca="false">IF(B340="","",COUNTIF(Socios!$B:$B,B340))</f>
        <v/>
      </c>
      <c r="R340" s="27" t="str">
        <f aca="false">IF(B340="","",COUNTIFS(Socios!$B:$B,B340,Socios!$L:$L,"SIM"))</f>
        <v/>
      </c>
      <c r="S340" s="24"/>
      <c r="T340" s="11"/>
    </row>
    <row r="341" customFormat="false" ht="15" hidden="false" customHeight="false" outlineLevel="0" collapsed="false">
      <c r="A341" s="24"/>
      <c r="B341" s="31" t="str">
        <f aca="false">IF(A341="","",IF(LEN(UPPER(SUBSTITUTE(SUBSTITUTE(SUBSTITUTE(SUBSTITUTE(TRIM(A341),".",""),"/",""),"-","")," ","")))&lt;14,RIGHT(REPT("0",14)&amp;UPPER(SUBSTITUTE(SUBSTITUTE(SUBSTITUTE(SUBSTITUTE(TRIM(A341),".",""),"/",""),"-","")," ","")),14),UPPER(SUBSTITUTE(SUBSTITUTE(SUBSTITUTE(SUBSTITUTE(TRIM(A341),".",""),"/",""),"-","")," ",""))))</f>
        <v/>
      </c>
      <c r="C341" s="11"/>
      <c r="D341" s="23"/>
      <c r="E341" s="22"/>
      <c r="F341" s="23"/>
      <c r="G341" s="11"/>
      <c r="H341" s="35"/>
      <c r="I341" s="11"/>
      <c r="J341" s="23"/>
      <c r="K341" s="27" t="str">
        <f aca="false">IF(B341="","",COUNTIF(Contratos!$D:$D,B341))</f>
        <v/>
      </c>
      <c r="L341" s="36" t="str">
        <f aca="false">IF(B341="","",SUMIFS(Contratos!$K:$K,Contratos!$D:$D,B341))</f>
        <v/>
      </c>
      <c r="M341" s="36" t="str">
        <f aca="false">IF(B341="","",SUMIFS(Pagamentos!$G:$G,Pagamentos!$D:$D,B341,Pagamentos!$F:$F,"Empenho"))</f>
        <v/>
      </c>
      <c r="N341" s="36" t="str">
        <f aca="false">IF(B341="","",SUMIFS(Pagamentos!$G:$G,Pagamentos!$D:$D,B341,Pagamentos!$F:$F,"Pagamento"))</f>
        <v/>
      </c>
      <c r="O341" s="37" t="str">
        <f aca="false">IF(OR(B341="",H341="",L341="",L341=0),"",H341/L341)</f>
        <v/>
      </c>
      <c r="P341" s="27" t="str">
        <f aca="false">IF(B341="","",COUNTIF(Sancoes!$C:$C,B341))</f>
        <v/>
      </c>
      <c r="Q341" s="27" t="str">
        <f aca="false">IF(B341="","",COUNTIF(Socios!$B:$B,B341))</f>
        <v/>
      </c>
      <c r="R341" s="27" t="str">
        <f aca="false">IF(B341="","",COUNTIFS(Socios!$B:$B,B341,Socios!$L:$L,"SIM"))</f>
        <v/>
      </c>
      <c r="S341" s="24"/>
      <c r="T341" s="11"/>
    </row>
    <row r="342" customFormat="false" ht="15" hidden="false" customHeight="false" outlineLevel="0" collapsed="false">
      <c r="A342" s="24"/>
      <c r="B342" s="31" t="str">
        <f aca="false">IF(A342="","",IF(LEN(UPPER(SUBSTITUTE(SUBSTITUTE(SUBSTITUTE(SUBSTITUTE(TRIM(A342),".",""),"/",""),"-","")," ","")))&lt;14,RIGHT(REPT("0",14)&amp;UPPER(SUBSTITUTE(SUBSTITUTE(SUBSTITUTE(SUBSTITUTE(TRIM(A342),".",""),"/",""),"-","")," ","")),14),UPPER(SUBSTITUTE(SUBSTITUTE(SUBSTITUTE(SUBSTITUTE(TRIM(A342),".",""),"/",""),"-","")," ",""))))</f>
        <v/>
      </c>
      <c r="C342" s="11"/>
      <c r="D342" s="23"/>
      <c r="E342" s="22"/>
      <c r="F342" s="23"/>
      <c r="G342" s="11"/>
      <c r="H342" s="35"/>
      <c r="I342" s="11"/>
      <c r="J342" s="23"/>
      <c r="K342" s="27" t="str">
        <f aca="false">IF(B342="","",COUNTIF(Contratos!$D:$D,B342))</f>
        <v/>
      </c>
      <c r="L342" s="36" t="str">
        <f aca="false">IF(B342="","",SUMIFS(Contratos!$K:$K,Contratos!$D:$D,B342))</f>
        <v/>
      </c>
      <c r="M342" s="36" t="str">
        <f aca="false">IF(B342="","",SUMIFS(Pagamentos!$G:$G,Pagamentos!$D:$D,B342,Pagamentos!$F:$F,"Empenho"))</f>
        <v/>
      </c>
      <c r="N342" s="36" t="str">
        <f aca="false">IF(B342="","",SUMIFS(Pagamentos!$G:$G,Pagamentos!$D:$D,B342,Pagamentos!$F:$F,"Pagamento"))</f>
        <v/>
      </c>
      <c r="O342" s="37" t="str">
        <f aca="false">IF(OR(B342="",H342="",L342="",L342=0),"",H342/L342)</f>
        <v/>
      </c>
      <c r="P342" s="27" t="str">
        <f aca="false">IF(B342="","",COUNTIF(Sancoes!$C:$C,B342))</f>
        <v/>
      </c>
      <c r="Q342" s="27" t="str">
        <f aca="false">IF(B342="","",COUNTIF(Socios!$B:$B,B342))</f>
        <v/>
      </c>
      <c r="R342" s="27" t="str">
        <f aca="false">IF(B342="","",COUNTIFS(Socios!$B:$B,B342,Socios!$L:$L,"SIM"))</f>
        <v/>
      </c>
      <c r="S342" s="24"/>
      <c r="T342" s="11"/>
    </row>
    <row r="343" customFormat="false" ht="15" hidden="false" customHeight="false" outlineLevel="0" collapsed="false">
      <c r="A343" s="24"/>
      <c r="B343" s="31" t="str">
        <f aca="false">IF(A343="","",IF(LEN(UPPER(SUBSTITUTE(SUBSTITUTE(SUBSTITUTE(SUBSTITUTE(TRIM(A343),".",""),"/",""),"-","")," ","")))&lt;14,RIGHT(REPT("0",14)&amp;UPPER(SUBSTITUTE(SUBSTITUTE(SUBSTITUTE(SUBSTITUTE(TRIM(A343),".",""),"/",""),"-","")," ","")),14),UPPER(SUBSTITUTE(SUBSTITUTE(SUBSTITUTE(SUBSTITUTE(TRIM(A343),".",""),"/",""),"-","")," ",""))))</f>
        <v/>
      </c>
      <c r="C343" s="11"/>
      <c r="D343" s="23"/>
      <c r="E343" s="22"/>
      <c r="F343" s="23"/>
      <c r="G343" s="11"/>
      <c r="H343" s="35"/>
      <c r="I343" s="11"/>
      <c r="J343" s="23"/>
      <c r="K343" s="27" t="str">
        <f aca="false">IF(B343="","",COUNTIF(Contratos!$D:$D,B343))</f>
        <v/>
      </c>
      <c r="L343" s="36" t="str">
        <f aca="false">IF(B343="","",SUMIFS(Contratos!$K:$K,Contratos!$D:$D,B343))</f>
        <v/>
      </c>
      <c r="M343" s="36" t="str">
        <f aca="false">IF(B343="","",SUMIFS(Pagamentos!$G:$G,Pagamentos!$D:$D,B343,Pagamentos!$F:$F,"Empenho"))</f>
        <v/>
      </c>
      <c r="N343" s="36" t="str">
        <f aca="false">IF(B343="","",SUMIFS(Pagamentos!$G:$G,Pagamentos!$D:$D,B343,Pagamentos!$F:$F,"Pagamento"))</f>
        <v/>
      </c>
      <c r="O343" s="37" t="str">
        <f aca="false">IF(OR(B343="",H343="",L343="",L343=0),"",H343/L343)</f>
        <v/>
      </c>
      <c r="P343" s="27" t="str">
        <f aca="false">IF(B343="","",COUNTIF(Sancoes!$C:$C,B343))</f>
        <v/>
      </c>
      <c r="Q343" s="27" t="str">
        <f aca="false">IF(B343="","",COUNTIF(Socios!$B:$B,B343))</f>
        <v/>
      </c>
      <c r="R343" s="27" t="str">
        <f aca="false">IF(B343="","",COUNTIFS(Socios!$B:$B,B343,Socios!$L:$L,"SIM"))</f>
        <v/>
      </c>
      <c r="S343" s="24"/>
      <c r="T343" s="11"/>
    </row>
    <row r="344" customFormat="false" ht="15" hidden="false" customHeight="false" outlineLevel="0" collapsed="false">
      <c r="A344" s="24"/>
      <c r="B344" s="31" t="str">
        <f aca="false">IF(A344="","",IF(LEN(UPPER(SUBSTITUTE(SUBSTITUTE(SUBSTITUTE(SUBSTITUTE(TRIM(A344),".",""),"/",""),"-","")," ","")))&lt;14,RIGHT(REPT("0",14)&amp;UPPER(SUBSTITUTE(SUBSTITUTE(SUBSTITUTE(SUBSTITUTE(TRIM(A344),".",""),"/",""),"-","")," ","")),14),UPPER(SUBSTITUTE(SUBSTITUTE(SUBSTITUTE(SUBSTITUTE(TRIM(A344),".",""),"/",""),"-","")," ",""))))</f>
        <v/>
      </c>
      <c r="C344" s="11"/>
      <c r="D344" s="23"/>
      <c r="E344" s="22"/>
      <c r="F344" s="23"/>
      <c r="G344" s="11"/>
      <c r="H344" s="35"/>
      <c r="I344" s="11"/>
      <c r="J344" s="23"/>
      <c r="K344" s="27" t="str">
        <f aca="false">IF(B344="","",COUNTIF(Contratos!$D:$D,B344))</f>
        <v/>
      </c>
      <c r="L344" s="36" t="str">
        <f aca="false">IF(B344="","",SUMIFS(Contratos!$K:$K,Contratos!$D:$D,B344))</f>
        <v/>
      </c>
      <c r="M344" s="36" t="str">
        <f aca="false">IF(B344="","",SUMIFS(Pagamentos!$G:$G,Pagamentos!$D:$D,B344,Pagamentos!$F:$F,"Empenho"))</f>
        <v/>
      </c>
      <c r="N344" s="36" t="str">
        <f aca="false">IF(B344="","",SUMIFS(Pagamentos!$G:$G,Pagamentos!$D:$D,B344,Pagamentos!$F:$F,"Pagamento"))</f>
        <v/>
      </c>
      <c r="O344" s="37" t="str">
        <f aca="false">IF(OR(B344="",H344="",L344="",L344=0),"",H344/L344)</f>
        <v/>
      </c>
      <c r="P344" s="27" t="str">
        <f aca="false">IF(B344="","",COUNTIF(Sancoes!$C:$C,B344))</f>
        <v/>
      </c>
      <c r="Q344" s="27" t="str">
        <f aca="false">IF(B344="","",COUNTIF(Socios!$B:$B,B344))</f>
        <v/>
      </c>
      <c r="R344" s="27" t="str">
        <f aca="false">IF(B344="","",COUNTIFS(Socios!$B:$B,B344,Socios!$L:$L,"SIM"))</f>
        <v/>
      </c>
      <c r="S344" s="24"/>
      <c r="T344" s="11"/>
    </row>
    <row r="345" customFormat="false" ht="15" hidden="false" customHeight="false" outlineLevel="0" collapsed="false">
      <c r="A345" s="24"/>
      <c r="B345" s="31" t="str">
        <f aca="false">IF(A345="","",IF(LEN(UPPER(SUBSTITUTE(SUBSTITUTE(SUBSTITUTE(SUBSTITUTE(TRIM(A345),".",""),"/",""),"-","")," ","")))&lt;14,RIGHT(REPT("0",14)&amp;UPPER(SUBSTITUTE(SUBSTITUTE(SUBSTITUTE(SUBSTITUTE(TRIM(A345),".",""),"/",""),"-","")," ","")),14),UPPER(SUBSTITUTE(SUBSTITUTE(SUBSTITUTE(SUBSTITUTE(TRIM(A345),".",""),"/",""),"-","")," ",""))))</f>
        <v/>
      </c>
      <c r="C345" s="11"/>
      <c r="D345" s="23"/>
      <c r="E345" s="22"/>
      <c r="F345" s="23"/>
      <c r="G345" s="11"/>
      <c r="H345" s="35"/>
      <c r="I345" s="11"/>
      <c r="J345" s="23"/>
      <c r="K345" s="27" t="str">
        <f aca="false">IF(B345="","",COUNTIF(Contratos!$D:$D,B345))</f>
        <v/>
      </c>
      <c r="L345" s="36" t="str">
        <f aca="false">IF(B345="","",SUMIFS(Contratos!$K:$K,Contratos!$D:$D,B345))</f>
        <v/>
      </c>
      <c r="M345" s="36" t="str">
        <f aca="false">IF(B345="","",SUMIFS(Pagamentos!$G:$G,Pagamentos!$D:$D,B345,Pagamentos!$F:$F,"Empenho"))</f>
        <v/>
      </c>
      <c r="N345" s="36" t="str">
        <f aca="false">IF(B345="","",SUMIFS(Pagamentos!$G:$G,Pagamentos!$D:$D,B345,Pagamentos!$F:$F,"Pagamento"))</f>
        <v/>
      </c>
      <c r="O345" s="37" t="str">
        <f aca="false">IF(OR(B345="",H345="",L345="",L345=0),"",H345/L345)</f>
        <v/>
      </c>
      <c r="P345" s="27" t="str">
        <f aca="false">IF(B345="","",COUNTIF(Sancoes!$C:$C,B345))</f>
        <v/>
      </c>
      <c r="Q345" s="27" t="str">
        <f aca="false">IF(B345="","",COUNTIF(Socios!$B:$B,B345))</f>
        <v/>
      </c>
      <c r="R345" s="27" t="str">
        <f aca="false">IF(B345="","",COUNTIFS(Socios!$B:$B,B345,Socios!$L:$L,"SIM"))</f>
        <v/>
      </c>
      <c r="S345" s="24"/>
      <c r="T345" s="11"/>
    </row>
    <row r="346" customFormat="false" ht="15" hidden="false" customHeight="false" outlineLevel="0" collapsed="false">
      <c r="A346" s="24"/>
      <c r="B346" s="31" t="str">
        <f aca="false">IF(A346="","",IF(LEN(UPPER(SUBSTITUTE(SUBSTITUTE(SUBSTITUTE(SUBSTITUTE(TRIM(A346),".",""),"/",""),"-","")," ","")))&lt;14,RIGHT(REPT("0",14)&amp;UPPER(SUBSTITUTE(SUBSTITUTE(SUBSTITUTE(SUBSTITUTE(TRIM(A346),".",""),"/",""),"-","")," ","")),14),UPPER(SUBSTITUTE(SUBSTITUTE(SUBSTITUTE(SUBSTITUTE(TRIM(A346),".",""),"/",""),"-","")," ",""))))</f>
        <v/>
      </c>
      <c r="C346" s="11"/>
      <c r="D346" s="23"/>
      <c r="E346" s="22"/>
      <c r="F346" s="23"/>
      <c r="G346" s="11"/>
      <c r="H346" s="35"/>
      <c r="I346" s="11"/>
      <c r="J346" s="23"/>
      <c r="K346" s="27" t="str">
        <f aca="false">IF(B346="","",COUNTIF(Contratos!$D:$D,B346))</f>
        <v/>
      </c>
      <c r="L346" s="36" t="str">
        <f aca="false">IF(B346="","",SUMIFS(Contratos!$K:$K,Contratos!$D:$D,B346))</f>
        <v/>
      </c>
      <c r="M346" s="36" t="str">
        <f aca="false">IF(B346="","",SUMIFS(Pagamentos!$G:$G,Pagamentos!$D:$D,B346,Pagamentos!$F:$F,"Empenho"))</f>
        <v/>
      </c>
      <c r="N346" s="36" t="str">
        <f aca="false">IF(B346="","",SUMIFS(Pagamentos!$G:$G,Pagamentos!$D:$D,B346,Pagamentos!$F:$F,"Pagamento"))</f>
        <v/>
      </c>
      <c r="O346" s="37" t="str">
        <f aca="false">IF(OR(B346="",H346="",L346="",L346=0),"",H346/L346)</f>
        <v/>
      </c>
      <c r="P346" s="27" t="str">
        <f aca="false">IF(B346="","",COUNTIF(Sancoes!$C:$C,B346))</f>
        <v/>
      </c>
      <c r="Q346" s="27" t="str">
        <f aca="false">IF(B346="","",COUNTIF(Socios!$B:$B,B346))</f>
        <v/>
      </c>
      <c r="R346" s="27" t="str">
        <f aca="false">IF(B346="","",COUNTIFS(Socios!$B:$B,B346,Socios!$L:$L,"SIM"))</f>
        <v/>
      </c>
      <c r="S346" s="24"/>
      <c r="T346" s="11"/>
    </row>
    <row r="347" customFormat="false" ht="15" hidden="false" customHeight="false" outlineLevel="0" collapsed="false">
      <c r="A347" s="24"/>
      <c r="B347" s="31" t="str">
        <f aca="false">IF(A347="","",IF(LEN(UPPER(SUBSTITUTE(SUBSTITUTE(SUBSTITUTE(SUBSTITUTE(TRIM(A347),".",""),"/",""),"-","")," ","")))&lt;14,RIGHT(REPT("0",14)&amp;UPPER(SUBSTITUTE(SUBSTITUTE(SUBSTITUTE(SUBSTITUTE(TRIM(A347),".",""),"/",""),"-","")," ","")),14),UPPER(SUBSTITUTE(SUBSTITUTE(SUBSTITUTE(SUBSTITUTE(TRIM(A347),".",""),"/",""),"-","")," ",""))))</f>
        <v/>
      </c>
      <c r="C347" s="11"/>
      <c r="D347" s="23"/>
      <c r="E347" s="22"/>
      <c r="F347" s="23"/>
      <c r="G347" s="11"/>
      <c r="H347" s="35"/>
      <c r="I347" s="11"/>
      <c r="J347" s="23"/>
      <c r="K347" s="27" t="str">
        <f aca="false">IF(B347="","",COUNTIF(Contratos!$D:$D,B347))</f>
        <v/>
      </c>
      <c r="L347" s="36" t="str">
        <f aca="false">IF(B347="","",SUMIFS(Contratos!$K:$K,Contratos!$D:$D,B347))</f>
        <v/>
      </c>
      <c r="M347" s="36" t="str">
        <f aca="false">IF(B347="","",SUMIFS(Pagamentos!$G:$G,Pagamentos!$D:$D,B347,Pagamentos!$F:$F,"Empenho"))</f>
        <v/>
      </c>
      <c r="N347" s="36" t="str">
        <f aca="false">IF(B347="","",SUMIFS(Pagamentos!$G:$G,Pagamentos!$D:$D,B347,Pagamentos!$F:$F,"Pagamento"))</f>
        <v/>
      </c>
      <c r="O347" s="37" t="str">
        <f aca="false">IF(OR(B347="",H347="",L347="",L347=0),"",H347/L347)</f>
        <v/>
      </c>
      <c r="P347" s="27" t="str">
        <f aca="false">IF(B347="","",COUNTIF(Sancoes!$C:$C,B347))</f>
        <v/>
      </c>
      <c r="Q347" s="27" t="str">
        <f aca="false">IF(B347="","",COUNTIF(Socios!$B:$B,B347))</f>
        <v/>
      </c>
      <c r="R347" s="27" t="str">
        <f aca="false">IF(B347="","",COUNTIFS(Socios!$B:$B,B347,Socios!$L:$L,"SIM"))</f>
        <v/>
      </c>
      <c r="S347" s="24"/>
      <c r="T347" s="11"/>
    </row>
    <row r="348" customFormat="false" ht="15" hidden="false" customHeight="false" outlineLevel="0" collapsed="false">
      <c r="A348" s="24"/>
      <c r="B348" s="31" t="str">
        <f aca="false">IF(A348="","",IF(LEN(UPPER(SUBSTITUTE(SUBSTITUTE(SUBSTITUTE(SUBSTITUTE(TRIM(A348),".",""),"/",""),"-","")," ","")))&lt;14,RIGHT(REPT("0",14)&amp;UPPER(SUBSTITUTE(SUBSTITUTE(SUBSTITUTE(SUBSTITUTE(TRIM(A348),".",""),"/",""),"-","")," ","")),14),UPPER(SUBSTITUTE(SUBSTITUTE(SUBSTITUTE(SUBSTITUTE(TRIM(A348),".",""),"/",""),"-","")," ",""))))</f>
        <v/>
      </c>
      <c r="C348" s="11"/>
      <c r="D348" s="23"/>
      <c r="E348" s="22"/>
      <c r="F348" s="23"/>
      <c r="G348" s="11"/>
      <c r="H348" s="35"/>
      <c r="I348" s="11"/>
      <c r="J348" s="23"/>
      <c r="K348" s="27" t="str">
        <f aca="false">IF(B348="","",COUNTIF(Contratos!$D:$D,B348))</f>
        <v/>
      </c>
      <c r="L348" s="36" t="str">
        <f aca="false">IF(B348="","",SUMIFS(Contratos!$K:$K,Contratos!$D:$D,B348))</f>
        <v/>
      </c>
      <c r="M348" s="36" t="str">
        <f aca="false">IF(B348="","",SUMIFS(Pagamentos!$G:$G,Pagamentos!$D:$D,B348,Pagamentos!$F:$F,"Empenho"))</f>
        <v/>
      </c>
      <c r="N348" s="36" t="str">
        <f aca="false">IF(B348="","",SUMIFS(Pagamentos!$G:$G,Pagamentos!$D:$D,B348,Pagamentos!$F:$F,"Pagamento"))</f>
        <v/>
      </c>
      <c r="O348" s="37" t="str">
        <f aca="false">IF(OR(B348="",H348="",L348="",L348=0),"",H348/L348)</f>
        <v/>
      </c>
      <c r="P348" s="27" t="str">
        <f aca="false">IF(B348="","",COUNTIF(Sancoes!$C:$C,B348))</f>
        <v/>
      </c>
      <c r="Q348" s="27" t="str">
        <f aca="false">IF(B348="","",COUNTIF(Socios!$B:$B,B348))</f>
        <v/>
      </c>
      <c r="R348" s="27" t="str">
        <f aca="false">IF(B348="","",COUNTIFS(Socios!$B:$B,B348,Socios!$L:$L,"SIM"))</f>
        <v/>
      </c>
      <c r="S348" s="24"/>
      <c r="T348" s="11"/>
    </row>
    <row r="349" customFormat="false" ht="15" hidden="false" customHeight="false" outlineLevel="0" collapsed="false">
      <c r="A349" s="24"/>
      <c r="B349" s="31" t="str">
        <f aca="false">IF(A349="","",IF(LEN(UPPER(SUBSTITUTE(SUBSTITUTE(SUBSTITUTE(SUBSTITUTE(TRIM(A349),".",""),"/",""),"-","")," ","")))&lt;14,RIGHT(REPT("0",14)&amp;UPPER(SUBSTITUTE(SUBSTITUTE(SUBSTITUTE(SUBSTITUTE(TRIM(A349),".",""),"/",""),"-","")," ","")),14),UPPER(SUBSTITUTE(SUBSTITUTE(SUBSTITUTE(SUBSTITUTE(TRIM(A349),".",""),"/",""),"-","")," ",""))))</f>
        <v/>
      </c>
      <c r="C349" s="11"/>
      <c r="D349" s="23"/>
      <c r="E349" s="22"/>
      <c r="F349" s="23"/>
      <c r="G349" s="11"/>
      <c r="H349" s="35"/>
      <c r="I349" s="11"/>
      <c r="J349" s="23"/>
      <c r="K349" s="27" t="str">
        <f aca="false">IF(B349="","",COUNTIF(Contratos!$D:$D,B349))</f>
        <v/>
      </c>
      <c r="L349" s="36" t="str">
        <f aca="false">IF(B349="","",SUMIFS(Contratos!$K:$K,Contratos!$D:$D,B349))</f>
        <v/>
      </c>
      <c r="M349" s="36" t="str">
        <f aca="false">IF(B349="","",SUMIFS(Pagamentos!$G:$G,Pagamentos!$D:$D,B349,Pagamentos!$F:$F,"Empenho"))</f>
        <v/>
      </c>
      <c r="N349" s="36" t="str">
        <f aca="false">IF(B349="","",SUMIFS(Pagamentos!$G:$G,Pagamentos!$D:$D,B349,Pagamentos!$F:$F,"Pagamento"))</f>
        <v/>
      </c>
      <c r="O349" s="37" t="str">
        <f aca="false">IF(OR(B349="",H349="",L349="",L349=0),"",H349/L349)</f>
        <v/>
      </c>
      <c r="P349" s="27" t="str">
        <f aca="false">IF(B349="","",COUNTIF(Sancoes!$C:$C,B349))</f>
        <v/>
      </c>
      <c r="Q349" s="27" t="str">
        <f aca="false">IF(B349="","",COUNTIF(Socios!$B:$B,B349))</f>
        <v/>
      </c>
      <c r="R349" s="27" t="str">
        <f aca="false">IF(B349="","",COUNTIFS(Socios!$B:$B,B349,Socios!$L:$L,"SIM"))</f>
        <v/>
      </c>
      <c r="S349" s="24"/>
      <c r="T349" s="11"/>
    </row>
    <row r="350" customFormat="false" ht="15" hidden="false" customHeight="false" outlineLevel="0" collapsed="false">
      <c r="A350" s="24"/>
      <c r="B350" s="31" t="str">
        <f aca="false">IF(A350="","",IF(LEN(UPPER(SUBSTITUTE(SUBSTITUTE(SUBSTITUTE(SUBSTITUTE(TRIM(A350),".",""),"/",""),"-","")," ","")))&lt;14,RIGHT(REPT("0",14)&amp;UPPER(SUBSTITUTE(SUBSTITUTE(SUBSTITUTE(SUBSTITUTE(TRIM(A350),".",""),"/",""),"-","")," ","")),14),UPPER(SUBSTITUTE(SUBSTITUTE(SUBSTITUTE(SUBSTITUTE(TRIM(A350),".",""),"/",""),"-","")," ",""))))</f>
        <v/>
      </c>
      <c r="C350" s="11"/>
      <c r="D350" s="23"/>
      <c r="E350" s="22"/>
      <c r="F350" s="23"/>
      <c r="G350" s="11"/>
      <c r="H350" s="35"/>
      <c r="I350" s="11"/>
      <c r="J350" s="23"/>
      <c r="K350" s="27" t="str">
        <f aca="false">IF(B350="","",COUNTIF(Contratos!$D:$D,B350))</f>
        <v/>
      </c>
      <c r="L350" s="36" t="str">
        <f aca="false">IF(B350="","",SUMIFS(Contratos!$K:$K,Contratos!$D:$D,B350))</f>
        <v/>
      </c>
      <c r="M350" s="36" t="str">
        <f aca="false">IF(B350="","",SUMIFS(Pagamentos!$G:$G,Pagamentos!$D:$D,B350,Pagamentos!$F:$F,"Empenho"))</f>
        <v/>
      </c>
      <c r="N350" s="36" t="str">
        <f aca="false">IF(B350="","",SUMIFS(Pagamentos!$G:$G,Pagamentos!$D:$D,B350,Pagamentos!$F:$F,"Pagamento"))</f>
        <v/>
      </c>
      <c r="O350" s="37" t="str">
        <f aca="false">IF(OR(B350="",H350="",L350="",L350=0),"",H350/L350)</f>
        <v/>
      </c>
      <c r="P350" s="27" t="str">
        <f aca="false">IF(B350="","",COUNTIF(Sancoes!$C:$C,B350))</f>
        <v/>
      </c>
      <c r="Q350" s="27" t="str">
        <f aca="false">IF(B350="","",COUNTIF(Socios!$B:$B,B350))</f>
        <v/>
      </c>
      <c r="R350" s="27" t="str">
        <f aca="false">IF(B350="","",COUNTIFS(Socios!$B:$B,B350,Socios!$L:$L,"SIM"))</f>
        <v/>
      </c>
      <c r="S350" s="24"/>
      <c r="T350" s="11"/>
    </row>
    <row r="351" customFormat="false" ht="15" hidden="false" customHeight="false" outlineLevel="0" collapsed="false">
      <c r="A351" s="24"/>
      <c r="B351" s="31" t="str">
        <f aca="false">IF(A351="","",IF(LEN(UPPER(SUBSTITUTE(SUBSTITUTE(SUBSTITUTE(SUBSTITUTE(TRIM(A351),".",""),"/",""),"-","")," ","")))&lt;14,RIGHT(REPT("0",14)&amp;UPPER(SUBSTITUTE(SUBSTITUTE(SUBSTITUTE(SUBSTITUTE(TRIM(A351),".",""),"/",""),"-","")," ","")),14),UPPER(SUBSTITUTE(SUBSTITUTE(SUBSTITUTE(SUBSTITUTE(TRIM(A351),".",""),"/",""),"-","")," ",""))))</f>
        <v/>
      </c>
      <c r="C351" s="11"/>
      <c r="D351" s="23"/>
      <c r="E351" s="22"/>
      <c r="F351" s="23"/>
      <c r="G351" s="11"/>
      <c r="H351" s="35"/>
      <c r="I351" s="11"/>
      <c r="J351" s="23"/>
      <c r="K351" s="27" t="str">
        <f aca="false">IF(B351="","",COUNTIF(Contratos!$D:$D,B351))</f>
        <v/>
      </c>
      <c r="L351" s="36" t="str">
        <f aca="false">IF(B351="","",SUMIFS(Contratos!$K:$K,Contratos!$D:$D,B351))</f>
        <v/>
      </c>
      <c r="M351" s="36" t="str">
        <f aca="false">IF(B351="","",SUMIFS(Pagamentos!$G:$G,Pagamentos!$D:$D,B351,Pagamentos!$F:$F,"Empenho"))</f>
        <v/>
      </c>
      <c r="N351" s="36" t="str">
        <f aca="false">IF(B351="","",SUMIFS(Pagamentos!$G:$G,Pagamentos!$D:$D,B351,Pagamentos!$F:$F,"Pagamento"))</f>
        <v/>
      </c>
      <c r="O351" s="37" t="str">
        <f aca="false">IF(OR(B351="",H351="",L351="",L351=0),"",H351/L351)</f>
        <v/>
      </c>
      <c r="P351" s="27" t="str">
        <f aca="false">IF(B351="","",COUNTIF(Sancoes!$C:$C,B351))</f>
        <v/>
      </c>
      <c r="Q351" s="27" t="str">
        <f aca="false">IF(B351="","",COUNTIF(Socios!$B:$B,B351))</f>
        <v/>
      </c>
      <c r="R351" s="27" t="str">
        <f aca="false">IF(B351="","",COUNTIFS(Socios!$B:$B,B351,Socios!$L:$L,"SIM"))</f>
        <v/>
      </c>
      <c r="S351" s="24"/>
      <c r="T351" s="11"/>
    </row>
    <row r="352" customFormat="false" ht="15" hidden="false" customHeight="false" outlineLevel="0" collapsed="false">
      <c r="A352" s="24"/>
      <c r="B352" s="31" t="str">
        <f aca="false">IF(A352="","",IF(LEN(UPPER(SUBSTITUTE(SUBSTITUTE(SUBSTITUTE(SUBSTITUTE(TRIM(A352),".",""),"/",""),"-","")," ","")))&lt;14,RIGHT(REPT("0",14)&amp;UPPER(SUBSTITUTE(SUBSTITUTE(SUBSTITUTE(SUBSTITUTE(TRIM(A352),".",""),"/",""),"-","")," ","")),14),UPPER(SUBSTITUTE(SUBSTITUTE(SUBSTITUTE(SUBSTITUTE(TRIM(A352),".",""),"/",""),"-","")," ",""))))</f>
        <v/>
      </c>
      <c r="C352" s="11"/>
      <c r="D352" s="23"/>
      <c r="E352" s="22"/>
      <c r="F352" s="23"/>
      <c r="G352" s="11"/>
      <c r="H352" s="35"/>
      <c r="I352" s="11"/>
      <c r="J352" s="23"/>
      <c r="K352" s="27" t="str">
        <f aca="false">IF(B352="","",COUNTIF(Contratos!$D:$D,B352))</f>
        <v/>
      </c>
      <c r="L352" s="36" t="str">
        <f aca="false">IF(B352="","",SUMIFS(Contratos!$K:$K,Contratos!$D:$D,B352))</f>
        <v/>
      </c>
      <c r="M352" s="36" t="str">
        <f aca="false">IF(B352="","",SUMIFS(Pagamentos!$G:$G,Pagamentos!$D:$D,B352,Pagamentos!$F:$F,"Empenho"))</f>
        <v/>
      </c>
      <c r="N352" s="36" t="str">
        <f aca="false">IF(B352="","",SUMIFS(Pagamentos!$G:$G,Pagamentos!$D:$D,B352,Pagamentos!$F:$F,"Pagamento"))</f>
        <v/>
      </c>
      <c r="O352" s="37" t="str">
        <f aca="false">IF(OR(B352="",H352="",L352="",L352=0),"",H352/L352)</f>
        <v/>
      </c>
      <c r="P352" s="27" t="str">
        <f aca="false">IF(B352="","",COUNTIF(Sancoes!$C:$C,B352))</f>
        <v/>
      </c>
      <c r="Q352" s="27" t="str">
        <f aca="false">IF(B352="","",COUNTIF(Socios!$B:$B,B352))</f>
        <v/>
      </c>
      <c r="R352" s="27" t="str">
        <f aca="false">IF(B352="","",COUNTIFS(Socios!$B:$B,B352,Socios!$L:$L,"SIM"))</f>
        <v/>
      </c>
      <c r="S352" s="24"/>
      <c r="T352" s="11"/>
    </row>
    <row r="353" customFormat="false" ht="15" hidden="false" customHeight="false" outlineLevel="0" collapsed="false">
      <c r="A353" s="24"/>
      <c r="B353" s="31" t="str">
        <f aca="false">IF(A353="","",IF(LEN(UPPER(SUBSTITUTE(SUBSTITUTE(SUBSTITUTE(SUBSTITUTE(TRIM(A353),".",""),"/",""),"-","")," ","")))&lt;14,RIGHT(REPT("0",14)&amp;UPPER(SUBSTITUTE(SUBSTITUTE(SUBSTITUTE(SUBSTITUTE(TRIM(A353),".",""),"/",""),"-","")," ","")),14),UPPER(SUBSTITUTE(SUBSTITUTE(SUBSTITUTE(SUBSTITUTE(TRIM(A353),".",""),"/",""),"-","")," ",""))))</f>
        <v/>
      </c>
      <c r="C353" s="11"/>
      <c r="D353" s="23"/>
      <c r="E353" s="22"/>
      <c r="F353" s="23"/>
      <c r="G353" s="11"/>
      <c r="H353" s="35"/>
      <c r="I353" s="11"/>
      <c r="J353" s="23"/>
      <c r="K353" s="27" t="str">
        <f aca="false">IF(B353="","",COUNTIF(Contratos!$D:$D,B353))</f>
        <v/>
      </c>
      <c r="L353" s="36" t="str">
        <f aca="false">IF(B353="","",SUMIFS(Contratos!$K:$K,Contratos!$D:$D,B353))</f>
        <v/>
      </c>
      <c r="M353" s="36" t="str">
        <f aca="false">IF(B353="","",SUMIFS(Pagamentos!$G:$G,Pagamentos!$D:$D,B353,Pagamentos!$F:$F,"Empenho"))</f>
        <v/>
      </c>
      <c r="N353" s="36" t="str">
        <f aca="false">IF(B353="","",SUMIFS(Pagamentos!$G:$G,Pagamentos!$D:$D,B353,Pagamentos!$F:$F,"Pagamento"))</f>
        <v/>
      </c>
      <c r="O353" s="37" t="str">
        <f aca="false">IF(OR(B353="",H353="",L353="",L353=0),"",H353/L353)</f>
        <v/>
      </c>
      <c r="P353" s="27" t="str">
        <f aca="false">IF(B353="","",COUNTIF(Sancoes!$C:$C,B353))</f>
        <v/>
      </c>
      <c r="Q353" s="27" t="str">
        <f aca="false">IF(B353="","",COUNTIF(Socios!$B:$B,B353))</f>
        <v/>
      </c>
      <c r="R353" s="27" t="str">
        <f aca="false">IF(B353="","",COUNTIFS(Socios!$B:$B,B353,Socios!$L:$L,"SIM"))</f>
        <v/>
      </c>
      <c r="S353" s="24"/>
      <c r="T353" s="11"/>
    </row>
    <row r="354" customFormat="false" ht="15" hidden="false" customHeight="false" outlineLevel="0" collapsed="false">
      <c r="A354" s="24"/>
      <c r="B354" s="31" t="str">
        <f aca="false">IF(A354="","",IF(LEN(UPPER(SUBSTITUTE(SUBSTITUTE(SUBSTITUTE(SUBSTITUTE(TRIM(A354),".",""),"/",""),"-","")," ","")))&lt;14,RIGHT(REPT("0",14)&amp;UPPER(SUBSTITUTE(SUBSTITUTE(SUBSTITUTE(SUBSTITUTE(TRIM(A354),".",""),"/",""),"-","")," ","")),14),UPPER(SUBSTITUTE(SUBSTITUTE(SUBSTITUTE(SUBSTITUTE(TRIM(A354),".",""),"/",""),"-","")," ",""))))</f>
        <v/>
      </c>
      <c r="C354" s="11"/>
      <c r="D354" s="23"/>
      <c r="E354" s="22"/>
      <c r="F354" s="23"/>
      <c r="G354" s="11"/>
      <c r="H354" s="35"/>
      <c r="I354" s="11"/>
      <c r="J354" s="23"/>
      <c r="K354" s="27" t="str">
        <f aca="false">IF(B354="","",COUNTIF(Contratos!$D:$D,B354))</f>
        <v/>
      </c>
      <c r="L354" s="36" t="str">
        <f aca="false">IF(B354="","",SUMIFS(Contratos!$K:$K,Contratos!$D:$D,B354))</f>
        <v/>
      </c>
      <c r="M354" s="36" t="str">
        <f aca="false">IF(B354="","",SUMIFS(Pagamentos!$G:$G,Pagamentos!$D:$D,B354,Pagamentos!$F:$F,"Empenho"))</f>
        <v/>
      </c>
      <c r="N354" s="36" t="str">
        <f aca="false">IF(B354="","",SUMIFS(Pagamentos!$G:$G,Pagamentos!$D:$D,B354,Pagamentos!$F:$F,"Pagamento"))</f>
        <v/>
      </c>
      <c r="O354" s="37" t="str">
        <f aca="false">IF(OR(B354="",H354="",L354="",L354=0),"",H354/L354)</f>
        <v/>
      </c>
      <c r="P354" s="27" t="str">
        <f aca="false">IF(B354="","",COUNTIF(Sancoes!$C:$C,B354))</f>
        <v/>
      </c>
      <c r="Q354" s="27" t="str">
        <f aca="false">IF(B354="","",COUNTIF(Socios!$B:$B,B354))</f>
        <v/>
      </c>
      <c r="R354" s="27" t="str">
        <f aca="false">IF(B354="","",COUNTIFS(Socios!$B:$B,B354,Socios!$L:$L,"SIM"))</f>
        <v/>
      </c>
      <c r="S354" s="24"/>
      <c r="T354" s="11"/>
    </row>
    <row r="355" customFormat="false" ht="15" hidden="false" customHeight="false" outlineLevel="0" collapsed="false">
      <c r="A355" s="24"/>
      <c r="B355" s="31" t="str">
        <f aca="false">IF(A355="","",IF(LEN(UPPER(SUBSTITUTE(SUBSTITUTE(SUBSTITUTE(SUBSTITUTE(TRIM(A355),".",""),"/",""),"-","")," ","")))&lt;14,RIGHT(REPT("0",14)&amp;UPPER(SUBSTITUTE(SUBSTITUTE(SUBSTITUTE(SUBSTITUTE(TRIM(A355),".",""),"/",""),"-","")," ","")),14),UPPER(SUBSTITUTE(SUBSTITUTE(SUBSTITUTE(SUBSTITUTE(TRIM(A355),".",""),"/",""),"-","")," ",""))))</f>
        <v/>
      </c>
      <c r="C355" s="11"/>
      <c r="D355" s="23"/>
      <c r="E355" s="22"/>
      <c r="F355" s="23"/>
      <c r="G355" s="11"/>
      <c r="H355" s="35"/>
      <c r="I355" s="11"/>
      <c r="J355" s="23"/>
      <c r="K355" s="27" t="str">
        <f aca="false">IF(B355="","",COUNTIF(Contratos!$D:$D,B355))</f>
        <v/>
      </c>
      <c r="L355" s="36" t="str">
        <f aca="false">IF(B355="","",SUMIFS(Contratos!$K:$K,Contratos!$D:$D,B355))</f>
        <v/>
      </c>
      <c r="M355" s="36" t="str">
        <f aca="false">IF(B355="","",SUMIFS(Pagamentos!$G:$G,Pagamentos!$D:$D,B355,Pagamentos!$F:$F,"Empenho"))</f>
        <v/>
      </c>
      <c r="N355" s="36" t="str">
        <f aca="false">IF(B355="","",SUMIFS(Pagamentos!$G:$G,Pagamentos!$D:$D,B355,Pagamentos!$F:$F,"Pagamento"))</f>
        <v/>
      </c>
      <c r="O355" s="37" t="str">
        <f aca="false">IF(OR(B355="",H355="",L355="",L355=0),"",H355/L355)</f>
        <v/>
      </c>
      <c r="P355" s="27" t="str">
        <f aca="false">IF(B355="","",COUNTIF(Sancoes!$C:$C,B355))</f>
        <v/>
      </c>
      <c r="Q355" s="27" t="str">
        <f aca="false">IF(B355="","",COUNTIF(Socios!$B:$B,B355))</f>
        <v/>
      </c>
      <c r="R355" s="27" t="str">
        <f aca="false">IF(B355="","",COUNTIFS(Socios!$B:$B,B355,Socios!$L:$L,"SIM"))</f>
        <v/>
      </c>
      <c r="S355" s="24"/>
      <c r="T355" s="11"/>
    </row>
    <row r="356" customFormat="false" ht="15" hidden="false" customHeight="false" outlineLevel="0" collapsed="false">
      <c r="A356" s="24"/>
      <c r="B356" s="31" t="str">
        <f aca="false">IF(A356="","",IF(LEN(UPPER(SUBSTITUTE(SUBSTITUTE(SUBSTITUTE(SUBSTITUTE(TRIM(A356),".",""),"/",""),"-","")," ","")))&lt;14,RIGHT(REPT("0",14)&amp;UPPER(SUBSTITUTE(SUBSTITUTE(SUBSTITUTE(SUBSTITUTE(TRIM(A356),".",""),"/",""),"-","")," ","")),14),UPPER(SUBSTITUTE(SUBSTITUTE(SUBSTITUTE(SUBSTITUTE(TRIM(A356),".",""),"/",""),"-","")," ",""))))</f>
        <v/>
      </c>
      <c r="C356" s="11"/>
      <c r="D356" s="23"/>
      <c r="E356" s="22"/>
      <c r="F356" s="23"/>
      <c r="G356" s="11"/>
      <c r="H356" s="35"/>
      <c r="I356" s="11"/>
      <c r="J356" s="23"/>
      <c r="K356" s="27" t="str">
        <f aca="false">IF(B356="","",COUNTIF(Contratos!$D:$D,B356))</f>
        <v/>
      </c>
      <c r="L356" s="36" t="str">
        <f aca="false">IF(B356="","",SUMIFS(Contratos!$K:$K,Contratos!$D:$D,B356))</f>
        <v/>
      </c>
      <c r="M356" s="36" t="str">
        <f aca="false">IF(B356="","",SUMIFS(Pagamentos!$G:$G,Pagamentos!$D:$D,B356,Pagamentos!$F:$F,"Empenho"))</f>
        <v/>
      </c>
      <c r="N356" s="36" t="str">
        <f aca="false">IF(B356="","",SUMIFS(Pagamentos!$G:$G,Pagamentos!$D:$D,B356,Pagamentos!$F:$F,"Pagamento"))</f>
        <v/>
      </c>
      <c r="O356" s="37" t="str">
        <f aca="false">IF(OR(B356="",H356="",L356="",L356=0),"",H356/L356)</f>
        <v/>
      </c>
      <c r="P356" s="27" t="str">
        <f aca="false">IF(B356="","",COUNTIF(Sancoes!$C:$C,B356))</f>
        <v/>
      </c>
      <c r="Q356" s="27" t="str">
        <f aca="false">IF(B356="","",COUNTIF(Socios!$B:$B,B356))</f>
        <v/>
      </c>
      <c r="R356" s="27" t="str">
        <f aca="false">IF(B356="","",COUNTIFS(Socios!$B:$B,B356,Socios!$L:$L,"SIM"))</f>
        <v/>
      </c>
      <c r="S356" s="24"/>
      <c r="T356" s="11"/>
    </row>
    <row r="357" customFormat="false" ht="15" hidden="false" customHeight="false" outlineLevel="0" collapsed="false">
      <c r="A357" s="24"/>
      <c r="B357" s="31" t="str">
        <f aca="false">IF(A357="","",IF(LEN(UPPER(SUBSTITUTE(SUBSTITUTE(SUBSTITUTE(SUBSTITUTE(TRIM(A357),".",""),"/",""),"-","")," ","")))&lt;14,RIGHT(REPT("0",14)&amp;UPPER(SUBSTITUTE(SUBSTITUTE(SUBSTITUTE(SUBSTITUTE(TRIM(A357),".",""),"/",""),"-","")," ","")),14),UPPER(SUBSTITUTE(SUBSTITUTE(SUBSTITUTE(SUBSTITUTE(TRIM(A357),".",""),"/",""),"-","")," ",""))))</f>
        <v/>
      </c>
      <c r="C357" s="11"/>
      <c r="D357" s="23"/>
      <c r="E357" s="22"/>
      <c r="F357" s="23"/>
      <c r="G357" s="11"/>
      <c r="H357" s="35"/>
      <c r="I357" s="11"/>
      <c r="J357" s="23"/>
      <c r="K357" s="27" t="str">
        <f aca="false">IF(B357="","",COUNTIF(Contratos!$D:$D,B357))</f>
        <v/>
      </c>
      <c r="L357" s="36" t="str">
        <f aca="false">IF(B357="","",SUMIFS(Contratos!$K:$K,Contratos!$D:$D,B357))</f>
        <v/>
      </c>
      <c r="M357" s="36" t="str">
        <f aca="false">IF(B357="","",SUMIFS(Pagamentos!$G:$G,Pagamentos!$D:$D,B357,Pagamentos!$F:$F,"Empenho"))</f>
        <v/>
      </c>
      <c r="N357" s="36" t="str">
        <f aca="false">IF(B357="","",SUMIFS(Pagamentos!$G:$G,Pagamentos!$D:$D,B357,Pagamentos!$F:$F,"Pagamento"))</f>
        <v/>
      </c>
      <c r="O357" s="37" t="str">
        <f aca="false">IF(OR(B357="",H357="",L357="",L357=0),"",H357/L357)</f>
        <v/>
      </c>
      <c r="P357" s="27" t="str">
        <f aca="false">IF(B357="","",COUNTIF(Sancoes!$C:$C,B357))</f>
        <v/>
      </c>
      <c r="Q357" s="27" t="str">
        <f aca="false">IF(B357="","",COUNTIF(Socios!$B:$B,B357))</f>
        <v/>
      </c>
      <c r="R357" s="27" t="str">
        <f aca="false">IF(B357="","",COUNTIFS(Socios!$B:$B,B357,Socios!$L:$L,"SIM"))</f>
        <v/>
      </c>
      <c r="S357" s="24"/>
      <c r="T357" s="11"/>
    </row>
    <row r="358" customFormat="false" ht="15" hidden="false" customHeight="false" outlineLevel="0" collapsed="false">
      <c r="A358" s="24"/>
      <c r="B358" s="31" t="str">
        <f aca="false">IF(A358="","",IF(LEN(UPPER(SUBSTITUTE(SUBSTITUTE(SUBSTITUTE(SUBSTITUTE(TRIM(A358),".",""),"/",""),"-","")," ","")))&lt;14,RIGHT(REPT("0",14)&amp;UPPER(SUBSTITUTE(SUBSTITUTE(SUBSTITUTE(SUBSTITUTE(TRIM(A358),".",""),"/",""),"-","")," ","")),14),UPPER(SUBSTITUTE(SUBSTITUTE(SUBSTITUTE(SUBSTITUTE(TRIM(A358),".",""),"/",""),"-","")," ",""))))</f>
        <v/>
      </c>
      <c r="C358" s="11"/>
      <c r="D358" s="23"/>
      <c r="E358" s="22"/>
      <c r="F358" s="23"/>
      <c r="G358" s="11"/>
      <c r="H358" s="35"/>
      <c r="I358" s="11"/>
      <c r="J358" s="23"/>
      <c r="K358" s="27" t="str">
        <f aca="false">IF(B358="","",COUNTIF(Contratos!$D:$D,B358))</f>
        <v/>
      </c>
      <c r="L358" s="36" t="str">
        <f aca="false">IF(B358="","",SUMIFS(Contratos!$K:$K,Contratos!$D:$D,B358))</f>
        <v/>
      </c>
      <c r="M358" s="36" t="str">
        <f aca="false">IF(B358="","",SUMIFS(Pagamentos!$G:$G,Pagamentos!$D:$D,B358,Pagamentos!$F:$F,"Empenho"))</f>
        <v/>
      </c>
      <c r="N358" s="36" t="str">
        <f aca="false">IF(B358="","",SUMIFS(Pagamentos!$G:$G,Pagamentos!$D:$D,B358,Pagamentos!$F:$F,"Pagamento"))</f>
        <v/>
      </c>
      <c r="O358" s="37" t="str">
        <f aca="false">IF(OR(B358="",H358="",L358="",L358=0),"",H358/L358)</f>
        <v/>
      </c>
      <c r="P358" s="27" t="str">
        <f aca="false">IF(B358="","",COUNTIF(Sancoes!$C:$C,B358))</f>
        <v/>
      </c>
      <c r="Q358" s="27" t="str">
        <f aca="false">IF(B358="","",COUNTIF(Socios!$B:$B,B358))</f>
        <v/>
      </c>
      <c r="R358" s="27" t="str">
        <f aca="false">IF(B358="","",COUNTIFS(Socios!$B:$B,B358,Socios!$L:$L,"SIM"))</f>
        <v/>
      </c>
      <c r="S358" s="24"/>
      <c r="T358" s="11"/>
    </row>
    <row r="359" customFormat="false" ht="15" hidden="false" customHeight="false" outlineLevel="0" collapsed="false">
      <c r="A359" s="24"/>
      <c r="B359" s="31" t="str">
        <f aca="false">IF(A359="","",IF(LEN(UPPER(SUBSTITUTE(SUBSTITUTE(SUBSTITUTE(SUBSTITUTE(TRIM(A359),".",""),"/",""),"-","")," ","")))&lt;14,RIGHT(REPT("0",14)&amp;UPPER(SUBSTITUTE(SUBSTITUTE(SUBSTITUTE(SUBSTITUTE(TRIM(A359),".",""),"/",""),"-","")," ","")),14),UPPER(SUBSTITUTE(SUBSTITUTE(SUBSTITUTE(SUBSTITUTE(TRIM(A359),".",""),"/",""),"-","")," ",""))))</f>
        <v/>
      </c>
      <c r="C359" s="11"/>
      <c r="D359" s="23"/>
      <c r="E359" s="22"/>
      <c r="F359" s="23"/>
      <c r="G359" s="11"/>
      <c r="H359" s="35"/>
      <c r="I359" s="11"/>
      <c r="J359" s="23"/>
      <c r="K359" s="27" t="str">
        <f aca="false">IF(B359="","",COUNTIF(Contratos!$D:$D,B359))</f>
        <v/>
      </c>
      <c r="L359" s="36" t="str">
        <f aca="false">IF(B359="","",SUMIFS(Contratos!$K:$K,Contratos!$D:$D,B359))</f>
        <v/>
      </c>
      <c r="M359" s="36" t="str">
        <f aca="false">IF(B359="","",SUMIFS(Pagamentos!$G:$G,Pagamentos!$D:$D,B359,Pagamentos!$F:$F,"Empenho"))</f>
        <v/>
      </c>
      <c r="N359" s="36" t="str">
        <f aca="false">IF(B359="","",SUMIFS(Pagamentos!$G:$G,Pagamentos!$D:$D,B359,Pagamentos!$F:$F,"Pagamento"))</f>
        <v/>
      </c>
      <c r="O359" s="37" t="str">
        <f aca="false">IF(OR(B359="",H359="",L359="",L359=0),"",H359/L359)</f>
        <v/>
      </c>
      <c r="P359" s="27" t="str">
        <f aca="false">IF(B359="","",COUNTIF(Sancoes!$C:$C,B359))</f>
        <v/>
      </c>
      <c r="Q359" s="27" t="str">
        <f aca="false">IF(B359="","",COUNTIF(Socios!$B:$B,B359))</f>
        <v/>
      </c>
      <c r="R359" s="27" t="str">
        <f aca="false">IF(B359="","",COUNTIFS(Socios!$B:$B,B359,Socios!$L:$L,"SIM"))</f>
        <v/>
      </c>
      <c r="S359" s="24"/>
      <c r="T359" s="11"/>
    </row>
    <row r="360" customFormat="false" ht="15" hidden="false" customHeight="false" outlineLevel="0" collapsed="false">
      <c r="A360" s="24"/>
      <c r="B360" s="31" t="str">
        <f aca="false">IF(A360="","",IF(LEN(UPPER(SUBSTITUTE(SUBSTITUTE(SUBSTITUTE(SUBSTITUTE(TRIM(A360),".",""),"/",""),"-","")," ","")))&lt;14,RIGHT(REPT("0",14)&amp;UPPER(SUBSTITUTE(SUBSTITUTE(SUBSTITUTE(SUBSTITUTE(TRIM(A360),".",""),"/",""),"-","")," ","")),14),UPPER(SUBSTITUTE(SUBSTITUTE(SUBSTITUTE(SUBSTITUTE(TRIM(A360),".",""),"/",""),"-","")," ",""))))</f>
        <v/>
      </c>
      <c r="C360" s="11"/>
      <c r="D360" s="23"/>
      <c r="E360" s="22"/>
      <c r="F360" s="23"/>
      <c r="G360" s="11"/>
      <c r="H360" s="35"/>
      <c r="I360" s="11"/>
      <c r="J360" s="23"/>
      <c r="K360" s="27" t="str">
        <f aca="false">IF(B360="","",COUNTIF(Contratos!$D:$D,B360))</f>
        <v/>
      </c>
      <c r="L360" s="36" t="str">
        <f aca="false">IF(B360="","",SUMIFS(Contratos!$K:$K,Contratos!$D:$D,B360))</f>
        <v/>
      </c>
      <c r="M360" s="36" t="str">
        <f aca="false">IF(B360="","",SUMIFS(Pagamentos!$G:$G,Pagamentos!$D:$D,B360,Pagamentos!$F:$F,"Empenho"))</f>
        <v/>
      </c>
      <c r="N360" s="36" t="str">
        <f aca="false">IF(B360="","",SUMIFS(Pagamentos!$G:$G,Pagamentos!$D:$D,B360,Pagamentos!$F:$F,"Pagamento"))</f>
        <v/>
      </c>
      <c r="O360" s="37" t="str">
        <f aca="false">IF(OR(B360="",H360="",L360="",L360=0),"",H360/L360)</f>
        <v/>
      </c>
      <c r="P360" s="27" t="str">
        <f aca="false">IF(B360="","",COUNTIF(Sancoes!$C:$C,B360))</f>
        <v/>
      </c>
      <c r="Q360" s="27" t="str">
        <f aca="false">IF(B360="","",COUNTIF(Socios!$B:$B,B360))</f>
        <v/>
      </c>
      <c r="R360" s="27" t="str">
        <f aca="false">IF(B360="","",COUNTIFS(Socios!$B:$B,B360,Socios!$L:$L,"SIM"))</f>
        <v/>
      </c>
      <c r="S360" s="24"/>
      <c r="T360" s="11"/>
    </row>
    <row r="361" customFormat="false" ht="15" hidden="false" customHeight="false" outlineLevel="0" collapsed="false">
      <c r="A361" s="24"/>
      <c r="B361" s="31" t="str">
        <f aca="false">IF(A361="","",IF(LEN(UPPER(SUBSTITUTE(SUBSTITUTE(SUBSTITUTE(SUBSTITUTE(TRIM(A361),".",""),"/",""),"-","")," ","")))&lt;14,RIGHT(REPT("0",14)&amp;UPPER(SUBSTITUTE(SUBSTITUTE(SUBSTITUTE(SUBSTITUTE(TRIM(A361),".",""),"/",""),"-","")," ","")),14),UPPER(SUBSTITUTE(SUBSTITUTE(SUBSTITUTE(SUBSTITUTE(TRIM(A361),".",""),"/",""),"-","")," ",""))))</f>
        <v/>
      </c>
      <c r="C361" s="11"/>
      <c r="D361" s="23"/>
      <c r="E361" s="22"/>
      <c r="F361" s="23"/>
      <c r="G361" s="11"/>
      <c r="H361" s="35"/>
      <c r="I361" s="11"/>
      <c r="J361" s="23"/>
      <c r="K361" s="27" t="str">
        <f aca="false">IF(B361="","",COUNTIF(Contratos!$D:$D,B361))</f>
        <v/>
      </c>
      <c r="L361" s="36" t="str">
        <f aca="false">IF(B361="","",SUMIFS(Contratos!$K:$K,Contratos!$D:$D,B361))</f>
        <v/>
      </c>
      <c r="M361" s="36" t="str">
        <f aca="false">IF(B361="","",SUMIFS(Pagamentos!$G:$G,Pagamentos!$D:$D,B361,Pagamentos!$F:$F,"Empenho"))</f>
        <v/>
      </c>
      <c r="N361" s="36" t="str">
        <f aca="false">IF(B361="","",SUMIFS(Pagamentos!$G:$G,Pagamentos!$D:$D,B361,Pagamentos!$F:$F,"Pagamento"))</f>
        <v/>
      </c>
      <c r="O361" s="37" t="str">
        <f aca="false">IF(OR(B361="",H361="",L361="",L361=0),"",H361/L361)</f>
        <v/>
      </c>
      <c r="P361" s="27" t="str">
        <f aca="false">IF(B361="","",COUNTIF(Sancoes!$C:$C,B361))</f>
        <v/>
      </c>
      <c r="Q361" s="27" t="str">
        <f aca="false">IF(B361="","",COUNTIF(Socios!$B:$B,B361))</f>
        <v/>
      </c>
      <c r="R361" s="27" t="str">
        <f aca="false">IF(B361="","",COUNTIFS(Socios!$B:$B,B361,Socios!$L:$L,"SIM"))</f>
        <v/>
      </c>
      <c r="S361" s="24"/>
      <c r="T361" s="11"/>
    </row>
    <row r="362" customFormat="false" ht="15" hidden="false" customHeight="false" outlineLevel="0" collapsed="false">
      <c r="A362" s="24"/>
      <c r="B362" s="31" t="str">
        <f aca="false">IF(A362="","",IF(LEN(UPPER(SUBSTITUTE(SUBSTITUTE(SUBSTITUTE(SUBSTITUTE(TRIM(A362),".",""),"/",""),"-","")," ","")))&lt;14,RIGHT(REPT("0",14)&amp;UPPER(SUBSTITUTE(SUBSTITUTE(SUBSTITUTE(SUBSTITUTE(TRIM(A362),".",""),"/",""),"-","")," ","")),14),UPPER(SUBSTITUTE(SUBSTITUTE(SUBSTITUTE(SUBSTITUTE(TRIM(A362),".",""),"/",""),"-","")," ",""))))</f>
        <v/>
      </c>
      <c r="C362" s="11"/>
      <c r="D362" s="23"/>
      <c r="E362" s="22"/>
      <c r="F362" s="23"/>
      <c r="G362" s="11"/>
      <c r="H362" s="35"/>
      <c r="I362" s="11"/>
      <c r="J362" s="23"/>
      <c r="K362" s="27" t="str">
        <f aca="false">IF(B362="","",COUNTIF(Contratos!$D:$D,B362))</f>
        <v/>
      </c>
      <c r="L362" s="36" t="str">
        <f aca="false">IF(B362="","",SUMIFS(Contratos!$K:$K,Contratos!$D:$D,B362))</f>
        <v/>
      </c>
      <c r="M362" s="36" t="str">
        <f aca="false">IF(B362="","",SUMIFS(Pagamentos!$G:$G,Pagamentos!$D:$D,B362,Pagamentos!$F:$F,"Empenho"))</f>
        <v/>
      </c>
      <c r="N362" s="36" t="str">
        <f aca="false">IF(B362="","",SUMIFS(Pagamentos!$G:$G,Pagamentos!$D:$D,B362,Pagamentos!$F:$F,"Pagamento"))</f>
        <v/>
      </c>
      <c r="O362" s="37" t="str">
        <f aca="false">IF(OR(B362="",H362="",L362="",L362=0),"",H362/L362)</f>
        <v/>
      </c>
      <c r="P362" s="27" t="str">
        <f aca="false">IF(B362="","",COUNTIF(Sancoes!$C:$C,B362))</f>
        <v/>
      </c>
      <c r="Q362" s="27" t="str">
        <f aca="false">IF(B362="","",COUNTIF(Socios!$B:$B,B362))</f>
        <v/>
      </c>
      <c r="R362" s="27" t="str">
        <f aca="false">IF(B362="","",COUNTIFS(Socios!$B:$B,B362,Socios!$L:$L,"SIM"))</f>
        <v/>
      </c>
      <c r="S362" s="24"/>
      <c r="T362" s="11"/>
    </row>
    <row r="363" customFormat="false" ht="15" hidden="false" customHeight="false" outlineLevel="0" collapsed="false">
      <c r="A363" s="24"/>
      <c r="B363" s="31" t="str">
        <f aca="false">IF(A363="","",IF(LEN(UPPER(SUBSTITUTE(SUBSTITUTE(SUBSTITUTE(SUBSTITUTE(TRIM(A363),".",""),"/",""),"-","")," ","")))&lt;14,RIGHT(REPT("0",14)&amp;UPPER(SUBSTITUTE(SUBSTITUTE(SUBSTITUTE(SUBSTITUTE(TRIM(A363),".",""),"/",""),"-","")," ","")),14),UPPER(SUBSTITUTE(SUBSTITUTE(SUBSTITUTE(SUBSTITUTE(TRIM(A363),".",""),"/",""),"-","")," ",""))))</f>
        <v/>
      </c>
      <c r="C363" s="11"/>
      <c r="D363" s="23"/>
      <c r="E363" s="22"/>
      <c r="F363" s="23"/>
      <c r="G363" s="11"/>
      <c r="H363" s="35"/>
      <c r="I363" s="11"/>
      <c r="J363" s="23"/>
      <c r="K363" s="27" t="str">
        <f aca="false">IF(B363="","",COUNTIF(Contratos!$D:$D,B363))</f>
        <v/>
      </c>
      <c r="L363" s="36" t="str">
        <f aca="false">IF(B363="","",SUMIFS(Contratos!$K:$K,Contratos!$D:$D,B363))</f>
        <v/>
      </c>
      <c r="M363" s="36" t="str">
        <f aca="false">IF(B363="","",SUMIFS(Pagamentos!$G:$G,Pagamentos!$D:$D,B363,Pagamentos!$F:$F,"Empenho"))</f>
        <v/>
      </c>
      <c r="N363" s="36" t="str">
        <f aca="false">IF(B363="","",SUMIFS(Pagamentos!$G:$G,Pagamentos!$D:$D,B363,Pagamentos!$F:$F,"Pagamento"))</f>
        <v/>
      </c>
      <c r="O363" s="37" t="str">
        <f aca="false">IF(OR(B363="",H363="",L363="",L363=0),"",H363/L363)</f>
        <v/>
      </c>
      <c r="P363" s="27" t="str">
        <f aca="false">IF(B363="","",COUNTIF(Sancoes!$C:$C,B363))</f>
        <v/>
      </c>
      <c r="Q363" s="27" t="str">
        <f aca="false">IF(B363="","",COUNTIF(Socios!$B:$B,B363))</f>
        <v/>
      </c>
      <c r="R363" s="27" t="str">
        <f aca="false">IF(B363="","",COUNTIFS(Socios!$B:$B,B363,Socios!$L:$L,"SIM"))</f>
        <v/>
      </c>
      <c r="S363" s="24"/>
      <c r="T363" s="11"/>
    </row>
    <row r="364" customFormat="false" ht="15" hidden="false" customHeight="false" outlineLevel="0" collapsed="false">
      <c r="A364" s="24"/>
      <c r="B364" s="31" t="str">
        <f aca="false">IF(A364="","",IF(LEN(UPPER(SUBSTITUTE(SUBSTITUTE(SUBSTITUTE(SUBSTITUTE(TRIM(A364),".",""),"/",""),"-","")," ","")))&lt;14,RIGHT(REPT("0",14)&amp;UPPER(SUBSTITUTE(SUBSTITUTE(SUBSTITUTE(SUBSTITUTE(TRIM(A364),".",""),"/",""),"-","")," ","")),14),UPPER(SUBSTITUTE(SUBSTITUTE(SUBSTITUTE(SUBSTITUTE(TRIM(A364),".",""),"/",""),"-","")," ",""))))</f>
        <v/>
      </c>
      <c r="C364" s="11"/>
      <c r="D364" s="23"/>
      <c r="E364" s="22"/>
      <c r="F364" s="23"/>
      <c r="G364" s="11"/>
      <c r="H364" s="35"/>
      <c r="I364" s="11"/>
      <c r="J364" s="23"/>
      <c r="K364" s="27" t="str">
        <f aca="false">IF(B364="","",COUNTIF(Contratos!$D:$D,B364))</f>
        <v/>
      </c>
      <c r="L364" s="36" t="str">
        <f aca="false">IF(B364="","",SUMIFS(Contratos!$K:$K,Contratos!$D:$D,B364))</f>
        <v/>
      </c>
      <c r="M364" s="36" t="str">
        <f aca="false">IF(B364="","",SUMIFS(Pagamentos!$G:$G,Pagamentos!$D:$D,B364,Pagamentos!$F:$F,"Empenho"))</f>
        <v/>
      </c>
      <c r="N364" s="36" t="str">
        <f aca="false">IF(B364="","",SUMIFS(Pagamentos!$G:$G,Pagamentos!$D:$D,B364,Pagamentos!$F:$F,"Pagamento"))</f>
        <v/>
      </c>
      <c r="O364" s="37" t="str">
        <f aca="false">IF(OR(B364="",H364="",L364="",L364=0),"",H364/L364)</f>
        <v/>
      </c>
      <c r="P364" s="27" t="str">
        <f aca="false">IF(B364="","",COUNTIF(Sancoes!$C:$C,B364))</f>
        <v/>
      </c>
      <c r="Q364" s="27" t="str">
        <f aca="false">IF(B364="","",COUNTIF(Socios!$B:$B,B364))</f>
        <v/>
      </c>
      <c r="R364" s="27" t="str">
        <f aca="false">IF(B364="","",COUNTIFS(Socios!$B:$B,B364,Socios!$L:$L,"SIM"))</f>
        <v/>
      </c>
      <c r="S364" s="24"/>
      <c r="T364" s="11"/>
    </row>
    <row r="365" customFormat="false" ht="15" hidden="false" customHeight="false" outlineLevel="0" collapsed="false">
      <c r="A365" s="24"/>
      <c r="B365" s="31" t="str">
        <f aca="false">IF(A365="","",IF(LEN(UPPER(SUBSTITUTE(SUBSTITUTE(SUBSTITUTE(SUBSTITUTE(TRIM(A365),".",""),"/",""),"-","")," ","")))&lt;14,RIGHT(REPT("0",14)&amp;UPPER(SUBSTITUTE(SUBSTITUTE(SUBSTITUTE(SUBSTITUTE(TRIM(A365),".",""),"/",""),"-","")," ","")),14),UPPER(SUBSTITUTE(SUBSTITUTE(SUBSTITUTE(SUBSTITUTE(TRIM(A365),".",""),"/",""),"-","")," ",""))))</f>
        <v/>
      </c>
      <c r="C365" s="11"/>
      <c r="D365" s="23"/>
      <c r="E365" s="22"/>
      <c r="F365" s="23"/>
      <c r="G365" s="11"/>
      <c r="H365" s="35"/>
      <c r="I365" s="11"/>
      <c r="J365" s="23"/>
      <c r="K365" s="27" t="str">
        <f aca="false">IF(B365="","",COUNTIF(Contratos!$D:$D,B365))</f>
        <v/>
      </c>
      <c r="L365" s="36" t="str">
        <f aca="false">IF(B365="","",SUMIFS(Contratos!$K:$K,Contratos!$D:$D,B365))</f>
        <v/>
      </c>
      <c r="M365" s="36" t="str">
        <f aca="false">IF(B365="","",SUMIFS(Pagamentos!$G:$G,Pagamentos!$D:$D,B365,Pagamentos!$F:$F,"Empenho"))</f>
        <v/>
      </c>
      <c r="N365" s="36" t="str">
        <f aca="false">IF(B365="","",SUMIFS(Pagamentos!$G:$G,Pagamentos!$D:$D,B365,Pagamentos!$F:$F,"Pagamento"))</f>
        <v/>
      </c>
      <c r="O365" s="37" t="str">
        <f aca="false">IF(OR(B365="",H365="",L365="",L365=0),"",H365/L365)</f>
        <v/>
      </c>
      <c r="P365" s="27" t="str">
        <f aca="false">IF(B365="","",COUNTIF(Sancoes!$C:$C,B365))</f>
        <v/>
      </c>
      <c r="Q365" s="27" t="str">
        <f aca="false">IF(B365="","",COUNTIF(Socios!$B:$B,B365))</f>
        <v/>
      </c>
      <c r="R365" s="27" t="str">
        <f aca="false">IF(B365="","",COUNTIFS(Socios!$B:$B,B365,Socios!$L:$L,"SIM"))</f>
        <v/>
      </c>
      <c r="S365" s="24"/>
      <c r="T365" s="11"/>
    </row>
    <row r="366" customFormat="false" ht="15" hidden="false" customHeight="false" outlineLevel="0" collapsed="false">
      <c r="A366" s="24"/>
      <c r="B366" s="31" t="str">
        <f aca="false">IF(A366="","",IF(LEN(UPPER(SUBSTITUTE(SUBSTITUTE(SUBSTITUTE(SUBSTITUTE(TRIM(A366),".",""),"/",""),"-","")," ","")))&lt;14,RIGHT(REPT("0",14)&amp;UPPER(SUBSTITUTE(SUBSTITUTE(SUBSTITUTE(SUBSTITUTE(TRIM(A366),".",""),"/",""),"-","")," ","")),14),UPPER(SUBSTITUTE(SUBSTITUTE(SUBSTITUTE(SUBSTITUTE(TRIM(A366),".",""),"/",""),"-","")," ",""))))</f>
        <v/>
      </c>
      <c r="C366" s="11"/>
      <c r="D366" s="23"/>
      <c r="E366" s="22"/>
      <c r="F366" s="23"/>
      <c r="G366" s="11"/>
      <c r="H366" s="35"/>
      <c r="I366" s="11"/>
      <c r="J366" s="23"/>
      <c r="K366" s="27" t="str">
        <f aca="false">IF(B366="","",COUNTIF(Contratos!$D:$D,B366))</f>
        <v/>
      </c>
      <c r="L366" s="36" t="str">
        <f aca="false">IF(B366="","",SUMIFS(Contratos!$K:$K,Contratos!$D:$D,B366))</f>
        <v/>
      </c>
      <c r="M366" s="36" t="str">
        <f aca="false">IF(B366="","",SUMIFS(Pagamentos!$G:$G,Pagamentos!$D:$D,B366,Pagamentos!$F:$F,"Empenho"))</f>
        <v/>
      </c>
      <c r="N366" s="36" t="str">
        <f aca="false">IF(B366="","",SUMIFS(Pagamentos!$G:$G,Pagamentos!$D:$D,B366,Pagamentos!$F:$F,"Pagamento"))</f>
        <v/>
      </c>
      <c r="O366" s="37" t="str">
        <f aca="false">IF(OR(B366="",H366="",L366="",L366=0),"",H366/L366)</f>
        <v/>
      </c>
      <c r="P366" s="27" t="str">
        <f aca="false">IF(B366="","",COUNTIF(Sancoes!$C:$C,B366))</f>
        <v/>
      </c>
      <c r="Q366" s="27" t="str">
        <f aca="false">IF(B366="","",COUNTIF(Socios!$B:$B,B366))</f>
        <v/>
      </c>
      <c r="R366" s="27" t="str">
        <f aca="false">IF(B366="","",COUNTIFS(Socios!$B:$B,B366,Socios!$L:$L,"SIM"))</f>
        <v/>
      </c>
      <c r="S366" s="24"/>
      <c r="T366" s="11"/>
    </row>
    <row r="367" customFormat="false" ht="15" hidden="false" customHeight="false" outlineLevel="0" collapsed="false">
      <c r="A367" s="24"/>
      <c r="B367" s="31" t="str">
        <f aca="false">IF(A367="","",IF(LEN(UPPER(SUBSTITUTE(SUBSTITUTE(SUBSTITUTE(SUBSTITUTE(TRIM(A367),".",""),"/",""),"-","")," ","")))&lt;14,RIGHT(REPT("0",14)&amp;UPPER(SUBSTITUTE(SUBSTITUTE(SUBSTITUTE(SUBSTITUTE(TRIM(A367),".",""),"/",""),"-","")," ","")),14),UPPER(SUBSTITUTE(SUBSTITUTE(SUBSTITUTE(SUBSTITUTE(TRIM(A367),".",""),"/",""),"-","")," ",""))))</f>
        <v/>
      </c>
      <c r="C367" s="11"/>
      <c r="D367" s="23"/>
      <c r="E367" s="22"/>
      <c r="F367" s="23"/>
      <c r="G367" s="11"/>
      <c r="H367" s="35"/>
      <c r="I367" s="11"/>
      <c r="J367" s="23"/>
      <c r="K367" s="27" t="str">
        <f aca="false">IF(B367="","",COUNTIF(Contratos!$D:$D,B367))</f>
        <v/>
      </c>
      <c r="L367" s="36" t="str">
        <f aca="false">IF(B367="","",SUMIFS(Contratos!$K:$K,Contratos!$D:$D,B367))</f>
        <v/>
      </c>
      <c r="M367" s="36" t="str">
        <f aca="false">IF(B367="","",SUMIFS(Pagamentos!$G:$G,Pagamentos!$D:$D,B367,Pagamentos!$F:$F,"Empenho"))</f>
        <v/>
      </c>
      <c r="N367" s="36" t="str">
        <f aca="false">IF(B367="","",SUMIFS(Pagamentos!$G:$G,Pagamentos!$D:$D,B367,Pagamentos!$F:$F,"Pagamento"))</f>
        <v/>
      </c>
      <c r="O367" s="37" t="str">
        <f aca="false">IF(OR(B367="",H367="",L367="",L367=0),"",H367/L367)</f>
        <v/>
      </c>
      <c r="P367" s="27" t="str">
        <f aca="false">IF(B367="","",COUNTIF(Sancoes!$C:$C,B367))</f>
        <v/>
      </c>
      <c r="Q367" s="27" t="str">
        <f aca="false">IF(B367="","",COUNTIF(Socios!$B:$B,B367))</f>
        <v/>
      </c>
      <c r="R367" s="27" t="str">
        <f aca="false">IF(B367="","",COUNTIFS(Socios!$B:$B,B367,Socios!$L:$L,"SIM"))</f>
        <v/>
      </c>
      <c r="S367" s="24"/>
      <c r="T367" s="11"/>
    </row>
    <row r="368" customFormat="false" ht="15" hidden="false" customHeight="false" outlineLevel="0" collapsed="false">
      <c r="A368" s="24"/>
      <c r="B368" s="31" t="str">
        <f aca="false">IF(A368="","",IF(LEN(UPPER(SUBSTITUTE(SUBSTITUTE(SUBSTITUTE(SUBSTITUTE(TRIM(A368),".",""),"/",""),"-","")," ","")))&lt;14,RIGHT(REPT("0",14)&amp;UPPER(SUBSTITUTE(SUBSTITUTE(SUBSTITUTE(SUBSTITUTE(TRIM(A368),".",""),"/",""),"-","")," ","")),14),UPPER(SUBSTITUTE(SUBSTITUTE(SUBSTITUTE(SUBSTITUTE(TRIM(A368),".",""),"/",""),"-","")," ",""))))</f>
        <v/>
      </c>
      <c r="C368" s="11"/>
      <c r="D368" s="23"/>
      <c r="E368" s="22"/>
      <c r="F368" s="23"/>
      <c r="G368" s="11"/>
      <c r="H368" s="35"/>
      <c r="I368" s="11"/>
      <c r="J368" s="23"/>
      <c r="K368" s="27" t="str">
        <f aca="false">IF(B368="","",COUNTIF(Contratos!$D:$D,B368))</f>
        <v/>
      </c>
      <c r="L368" s="36" t="str">
        <f aca="false">IF(B368="","",SUMIFS(Contratos!$K:$K,Contratos!$D:$D,B368))</f>
        <v/>
      </c>
      <c r="M368" s="36" t="str">
        <f aca="false">IF(B368="","",SUMIFS(Pagamentos!$G:$G,Pagamentos!$D:$D,B368,Pagamentos!$F:$F,"Empenho"))</f>
        <v/>
      </c>
      <c r="N368" s="36" t="str">
        <f aca="false">IF(B368="","",SUMIFS(Pagamentos!$G:$G,Pagamentos!$D:$D,B368,Pagamentos!$F:$F,"Pagamento"))</f>
        <v/>
      </c>
      <c r="O368" s="37" t="str">
        <f aca="false">IF(OR(B368="",H368="",L368="",L368=0),"",H368/L368)</f>
        <v/>
      </c>
      <c r="P368" s="27" t="str">
        <f aca="false">IF(B368="","",COUNTIF(Sancoes!$C:$C,B368))</f>
        <v/>
      </c>
      <c r="Q368" s="27" t="str">
        <f aca="false">IF(B368="","",COUNTIF(Socios!$B:$B,B368))</f>
        <v/>
      </c>
      <c r="R368" s="27" t="str">
        <f aca="false">IF(B368="","",COUNTIFS(Socios!$B:$B,B368,Socios!$L:$L,"SIM"))</f>
        <v/>
      </c>
      <c r="S368" s="24"/>
      <c r="T368" s="11"/>
    </row>
    <row r="369" customFormat="false" ht="15" hidden="false" customHeight="false" outlineLevel="0" collapsed="false">
      <c r="A369" s="24"/>
      <c r="B369" s="31" t="str">
        <f aca="false">IF(A369="","",IF(LEN(UPPER(SUBSTITUTE(SUBSTITUTE(SUBSTITUTE(SUBSTITUTE(TRIM(A369),".",""),"/",""),"-","")," ","")))&lt;14,RIGHT(REPT("0",14)&amp;UPPER(SUBSTITUTE(SUBSTITUTE(SUBSTITUTE(SUBSTITUTE(TRIM(A369),".",""),"/",""),"-","")," ","")),14),UPPER(SUBSTITUTE(SUBSTITUTE(SUBSTITUTE(SUBSTITUTE(TRIM(A369),".",""),"/",""),"-","")," ",""))))</f>
        <v/>
      </c>
      <c r="C369" s="11"/>
      <c r="D369" s="23"/>
      <c r="E369" s="22"/>
      <c r="F369" s="23"/>
      <c r="G369" s="11"/>
      <c r="H369" s="35"/>
      <c r="I369" s="11"/>
      <c r="J369" s="23"/>
      <c r="K369" s="27" t="str">
        <f aca="false">IF(B369="","",COUNTIF(Contratos!$D:$D,B369))</f>
        <v/>
      </c>
      <c r="L369" s="36" t="str">
        <f aca="false">IF(B369="","",SUMIFS(Contratos!$K:$K,Contratos!$D:$D,B369))</f>
        <v/>
      </c>
      <c r="M369" s="36" t="str">
        <f aca="false">IF(B369="","",SUMIFS(Pagamentos!$G:$G,Pagamentos!$D:$D,B369,Pagamentos!$F:$F,"Empenho"))</f>
        <v/>
      </c>
      <c r="N369" s="36" t="str">
        <f aca="false">IF(B369="","",SUMIFS(Pagamentos!$G:$G,Pagamentos!$D:$D,B369,Pagamentos!$F:$F,"Pagamento"))</f>
        <v/>
      </c>
      <c r="O369" s="37" t="str">
        <f aca="false">IF(OR(B369="",H369="",L369="",L369=0),"",H369/L369)</f>
        <v/>
      </c>
      <c r="P369" s="27" t="str">
        <f aca="false">IF(B369="","",COUNTIF(Sancoes!$C:$C,B369))</f>
        <v/>
      </c>
      <c r="Q369" s="27" t="str">
        <f aca="false">IF(B369="","",COUNTIF(Socios!$B:$B,B369))</f>
        <v/>
      </c>
      <c r="R369" s="27" t="str">
        <f aca="false">IF(B369="","",COUNTIFS(Socios!$B:$B,B369,Socios!$L:$L,"SIM"))</f>
        <v/>
      </c>
      <c r="S369" s="24"/>
      <c r="T369" s="11"/>
    </row>
    <row r="370" customFormat="false" ht="15" hidden="false" customHeight="false" outlineLevel="0" collapsed="false">
      <c r="A370" s="24"/>
      <c r="B370" s="31" t="str">
        <f aca="false">IF(A370="","",IF(LEN(UPPER(SUBSTITUTE(SUBSTITUTE(SUBSTITUTE(SUBSTITUTE(TRIM(A370),".",""),"/",""),"-","")," ","")))&lt;14,RIGHT(REPT("0",14)&amp;UPPER(SUBSTITUTE(SUBSTITUTE(SUBSTITUTE(SUBSTITUTE(TRIM(A370),".",""),"/",""),"-","")," ","")),14),UPPER(SUBSTITUTE(SUBSTITUTE(SUBSTITUTE(SUBSTITUTE(TRIM(A370),".",""),"/",""),"-","")," ",""))))</f>
        <v/>
      </c>
      <c r="C370" s="11"/>
      <c r="D370" s="23"/>
      <c r="E370" s="22"/>
      <c r="F370" s="23"/>
      <c r="G370" s="11"/>
      <c r="H370" s="35"/>
      <c r="I370" s="11"/>
      <c r="J370" s="23"/>
      <c r="K370" s="27" t="str">
        <f aca="false">IF(B370="","",COUNTIF(Contratos!$D:$D,B370))</f>
        <v/>
      </c>
      <c r="L370" s="36" t="str">
        <f aca="false">IF(B370="","",SUMIFS(Contratos!$K:$K,Contratos!$D:$D,B370))</f>
        <v/>
      </c>
      <c r="M370" s="36" t="str">
        <f aca="false">IF(B370="","",SUMIFS(Pagamentos!$G:$G,Pagamentos!$D:$D,B370,Pagamentos!$F:$F,"Empenho"))</f>
        <v/>
      </c>
      <c r="N370" s="36" t="str">
        <f aca="false">IF(B370="","",SUMIFS(Pagamentos!$G:$G,Pagamentos!$D:$D,B370,Pagamentos!$F:$F,"Pagamento"))</f>
        <v/>
      </c>
      <c r="O370" s="37" t="str">
        <f aca="false">IF(OR(B370="",H370="",L370="",L370=0),"",H370/L370)</f>
        <v/>
      </c>
      <c r="P370" s="27" t="str">
        <f aca="false">IF(B370="","",COUNTIF(Sancoes!$C:$C,B370))</f>
        <v/>
      </c>
      <c r="Q370" s="27" t="str">
        <f aca="false">IF(B370="","",COUNTIF(Socios!$B:$B,B370))</f>
        <v/>
      </c>
      <c r="R370" s="27" t="str">
        <f aca="false">IF(B370="","",COUNTIFS(Socios!$B:$B,B370,Socios!$L:$L,"SIM"))</f>
        <v/>
      </c>
      <c r="S370" s="24"/>
      <c r="T370" s="11"/>
    </row>
    <row r="371" customFormat="false" ht="15" hidden="false" customHeight="false" outlineLevel="0" collapsed="false">
      <c r="A371" s="24"/>
      <c r="B371" s="31" t="str">
        <f aca="false">IF(A371="","",IF(LEN(UPPER(SUBSTITUTE(SUBSTITUTE(SUBSTITUTE(SUBSTITUTE(TRIM(A371),".",""),"/",""),"-","")," ","")))&lt;14,RIGHT(REPT("0",14)&amp;UPPER(SUBSTITUTE(SUBSTITUTE(SUBSTITUTE(SUBSTITUTE(TRIM(A371),".",""),"/",""),"-","")," ","")),14),UPPER(SUBSTITUTE(SUBSTITUTE(SUBSTITUTE(SUBSTITUTE(TRIM(A371),".",""),"/",""),"-","")," ",""))))</f>
        <v/>
      </c>
      <c r="C371" s="11"/>
      <c r="D371" s="23"/>
      <c r="E371" s="22"/>
      <c r="F371" s="23"/>
      <c r="G371" s="11"/>
      <c r="H371" s="35"/>
      <c r="I371" s="11"/>
      <c r="J371" s="23"/>
      <c r="K371" s="27" t="str">
        <f aca="false">IF(B371="","",COUNTIF(Contratos!$D:$D,B371))</f>
        <v/>
      </c>
      <c r="L371" s="36" t="str">
        <f aca="false">IF(B371="","",SUMIFS(Contratos!$K:$K,Contratos!$D:$D,B371))</f>
        <v/>
      </c>
      <c r="M371" s="36" t="str">
        <f aca="false">IF(B371="","",SUMIFS(Pagamentos!$G:$G,Pagamentos!$D:$D,B371,Pagamentos!$F:$F,"Empenho"))</f>
        <v/>
      </c>
      <c r="N371" s="36" t="str">
        <f aca="false">IF(B371="","",SUMIFS(Pagamentos!$G:$G,Pagamentos!$D:$D,B371,Pagamentos!$F:$F,"Pagamento"))</f>
        <v/>
      </c>
      <c r="O371" s="37" t="str">
        <f aca="false">IF(OR(B371="",H371="",L371="",L371=0),"",H371/L371)</f>
        <v/>
      </c>
      <c r="P371" s="27" t="str">
        <f aca="false">IF(B371="","",COUNTIF(Sancoes!$C:$C,B371))</f>
        <v/>
      </c>
      <c r="Q371" s="27" t="str">
        <f aca="false">IF(B371="","",COUNTIF(Socios!$B:$B,B371))</f>
        <v/>
      </c>
      <c r="R371" s="27" t="str">
        <f aca="false">IF(B371="","",COUNTIFS(Socios!$B:$B,B371,Socios!$L:$L,"SIM"))</f>
        <v/>
      </c>
      <c r="S371" s="24"/>
      <c r="T371" s="11"/>
    </row>
    <row r="372" customFormat="false" ht="15" hidden="false" customHeight="false" outlineLevel="0" collapsed="false">
      <c r="A372" s="24"/>
      <c r="B372" s="31" t="str">
        <f aca="false">IF(A372="","",IF(LEN(UPPER(SUBSTITUTE(SUBSTITUTE(SUBSTITUTE(SUBSTITUTE(TRIM(A372),".",""),"/",""),"-","")," ","")))&lt;14,RIGHT(REPT("0",14)&amp;UPPER(SUBSTITUTE(SUBSTITUTE(SUBSTITUTE(SUBSTITUTE(TRIM(A372),".",""),"/",""),"-","")," ","")),14),UPPER(SUBSTITUTE(SUBSTITUTE(SUBSTITUTE(SUBSTITUTE(TRIM(A372),".",""),"/",""),"-","")," ",""))))</f>
        <v/>
      </c>
      <c r="C372" s="11"/>
      <c r="D372" s="23"/>
      <c r="E372" s="22"/>
      <c r="F372" s="23"/>
      <c r="G372" s="11"/>
      <c r="H372" s="35"/>
      <c r="I372" s="11"/>
      <c r="J372" s="23"/>
      <c r="K372" s="27" t="str">
        <f aca="false">IF(B372="","",COUNTIF(Contratos!$D:$D,B372))</f>
        <v/>
      </c>
      <c r="L372" s="36" t="str">
        <f aca="false">IF(B372="","",SUMIFS(Contratos!$K:$K,Contratos!$D:$D,B372))</f>
        <v/>
      </c>
      <c r="M372" s="36" t="str">
        <f aca="false">IF(B372="","",SUMIFS(Pagamentos!$G:$G,Pagamentos!$D:$D,B372,Pagamentos!$F:$F,"Empenho"))</f>
        <v/>
      </c>
      <c r="N372" s="36" t="str">
        <f aca="false">IF(B372="","",SUMIFS(Pagamentos!$G:$G,Pagamentos!$D:$D,B372,Pagamentos!$F:$F,"Pagamento"))</f>
        <v/>
      </c>
      <c r="O372" s="37" t="str">
        <f aca="false">IF(OR(B372="",H372="",L372="",L372=0),"",H372/L372)</f>
        <v/>
      </c>
      <c r="P372" s="27" t="str">
        <f aca="false">IF(B372="","",COUNTIF(Sancoes!$C:$C,B372))</f>
        <v/>
      </c>
      <c r="Q372" s="27" t="str">
        <f aca="false">IF(B372="","",COUNTIF(Socios!$B:$B,B372))</f>
        <v/>
      </c>
      <c r="R372" s="27" t="str">
        <f aca="false">IF(B372="","",COUNTIFS(Socios!$B:$B,B372,Socios!$L:$L,"SIM"))</f>
        <v/>
      </c>
      <c r="S372" s="24"/>
      <c r="T372" s="11"/>
    </row>
    <row r="373" customFormat="false" ht="15" hidden="false" customHeight="false" outlineLevel="0" collapsed="false">
      <c r="A373" s="24"/>
      <c r="B373" s="31" t="str">
        <f aca="false">IF(A373="","",IF(LEN(UPPER(SUBSTITUTE(SUBSTITUTE(SUBSTITUTE(SUBSTITUTE(TRIM(A373),".",""),"/",""),"-","")," ","")))&lt;14,RIGHT(REPT("0",14)&amp;UPPER(SUBSTITUTE(SUBSTITUTE(SUBSTITUTE(SUBSTITUTE(TRIM(A373),".",""),"/",""),"-","")," ","")),14),UPPER(SUBSTITUTE(SUBSTITUTE(SUBSTITUTE(SUBSTITUTE(TRIM(A373),".",""),"/",""),"-","")," ",""))))</f>
        <v/>
      </c>
      <c r="C373" s="11"/>
      <c r="D373" s="23"/>
      <c r="E373" s="22"/>
      <c r="F373" s="23"/>
      <c r="G373" s="11"/>
      <c r="H373" s="35"/>
      <c r="I373" s="11"/>
      <c r="J373" s="23"/>
      <c r="K373" s="27" t="str">
        <f aca="false">IF(B373="","",COUNTIF(Contratos!$D:$D,B373))</f>
        <v/>
      </c>
      <c r="L373" s="36" t="str">
        <f aca="false">IF(B373="","",SUMIFS(Contratos!$K:$K,Contratos!$D:$D,B373))</f>
        <v/>
      </c>
      <c r="M373" s="36" t="str">
        <f aca="false">IF(B373="","",SUMIFS(Pagamentos!$G:$G,Pagamentos!$D:$D,B373,Pagamentos!$F:$F,"Empenho"))</f>
        <v/>
      </c>
      <c r="N373" s="36" t="str">
        <f aca="false">IF(B373="","",SUMIFS(Pagamentos!$G:$G,Pagamentos!$D:$D,B373,Pagamentos!$F:$F,"Pagamento"))</f>
        <v/>
      </c>
      <c r="O373" s="37" t="str">
        <f aca="false">IF(OR(B373="",H373="",L373="",L373=0),"",H373/L373)</f>
        <v/>
      </c>
      <c r="P373" s="27" t="str">
        <f aca="false">IF(B373="","",COUNTIF(Sancoes!$C:$C,B373))</f>
        <v/>
      </c>
      <c r="Q373" s="27" t="str">
        <f aca="false">IF(B373="","",COUNTIF(Socios!$B:$B,B373))</f>
        <v/>
      </c>
      <c r="R373" s="27" t="str">
        <f aca="false">IF(B373="","",COUNTIFS(Socios!$B:$B,B373,Socios!$L:$L,"SIM"))</f>
        <v/>
      </c>
      <c r="S373" s="24"/>
      <c r="T373" s="11"/>
    </row>
    <row r="374" customFormat="false" ht="15" hidden="false" customHeight="false" outlineLevel="0" collapsed="false">
      <c r="A374" s="24"/>
      <c r="B374" s="31" t="str">
        <f aca="false">IF(A374="","",IF(LEN(UPPER(SUBSTITUTE(SUBSTITUTE(SUBSTITUTE(SUBSTITUTE(TRIM(A374),".",""),"/",""),"-","")," ","")))&lt;14,RIGHT(REPT("0",14)&amp;UPPER(SUBSTITUTE(SUBSTITUTE(SUBSTITUTE(SUBSTITUTE(TRIM(A374),".",""),"/",""),"-","")," ","")),14),UPPER(SUBSTITUTE(SUBSTITUTE(SUBSTITUTE(SUBSTITUTE(TRIM(A374),".",""),"/",""),"-","")," ",""))))</f>
        <v/>
      </c>
      <c r="C374" s="11"/>
      <c r="D374" s="23"/>
      <c r="E374" s="22"/>
      <c r="F374" s="23"/>
      <c r="G374" s="11"/>
      <c r="H374" s="35"/>
      <c r="I374" s="11"/>
      <c r="J374" s="23"/>
      <c r="K374" s="27" t="str">
        <f aca="false">IF(B374="","",COUNTIF(Contratos!$D:$D,B374))</f>
        <v/>
      </c>
      <c r="L374" s="36" t="str">
        <f aca="false">IF(B374="","",SUMIFS(Contratos!$K:$K,Contratos!$D:$D,B374))</f>
        <v/>
      </c>
      <c r="M374" s="36" t="str">
        <f aca="false">IF(B374="","",SUMIFS(Pagamentos!$G:$G,Pagamentos!$D:$D,B374,Pagamentos!$F:$F,"Empenho"))</f>
        <v/>
      </c>
      <c r="N374" s="36" t="str">
        <f aca="false">IF(B374="","",SUMIFS(Pagamentos!$G:$G,Pagamentos!$D:$D,B374,Pagamentos!$F:$F,"Pagamento"))</f>
        <v/>
      </c>
      <c r="O374" s="37" t="str">
        <f aca="false">IF(OR(B374="",H374="",L374="",L374=0),"",H374/L374)</f>
        <v/>
      </c>
      <c r="P374" s="27" t="str">
        <f aca="false">IF(B374="","",COUNTIF(Sancoes!$C:$C,B374))</f>
        <v/>
      </c>
      <c r="Q374" s="27" t="str">
        <f aca="false">IF(B374="","",COUNTIF(Socios!$B:$B,B374))</f>
        <v/>
      </c>
      <c r="R374" s="27" t="str">
        <f aca="false">IF(B374="","",COUNTIFS(Socios!$B:$B,B374,Socios!$L:$L,"SIM"))</f>
        <v/>
      </c>
      <c r="S374" s="24"/>
      <c r="T374" s="11"/>
    </row>
    <row r="375" customFormat="false" ht="15" hidden="false" customHeight="false" outlineLevel="0" collapsed="false">
      <c r="A375" s="24"/>
      <c r="B375" s="31" t="str">
        <f aca="false">IF(A375="","",IF(LEN(UPPER(SUBSTITUTE(SUBSTITUTE(SUBSTITUTE(SUBSTITUTE(TRIM(A375),".",""),"/",""),"-","")," ","")))&lt;14,RIGHT(REPT("0",14)&amp;UPPER(SUBSTITUTE(SUBSTITUTE(SUBSTITUTE(SUBSTITUTE(TRIM(A375),".",""),"/",""),"-","")," ","")),14),UPPER(SUBSTITUTE(SUBSTITUTE(SUBSTITUTE(SUBSTITUTE(TRIM(A375),".",""),"/",""),"-","")," ",""))))</f>
        <v/>
      </c>
      <c r="C375" s="11"/>
      <c r="D375" s="23"/>
      <c r="E375" s="22"/>
      <c r="F375" s="23"/>
      <c r="G375" s="11"/>
      <c r="H375" s="35"/>
      <c r="I375" s="11"/>
      <c r="J375" s="23"/>
      <c r="K375" s="27" t="str">
        <f aca="false">IF(B375="","",COUNTIF(Contratos!$D:$D,B375))</f>
        <v/>
      </c>
      <c r="L375" s="36" t="str">
        <f aca="false">IF(B375="","",SUMIFS(Contratos!$K:$K,Contratos!$D:$D,B375))</f>
        <v/>
      </c>
      <c r="M375" s="36" t="str">
        <f aca="false">IF(B375="","",SUMIFS(Pagamentos!$G:$G,Pagamentos!$D:$D,B375,Pagamentos!$F:$F,"Empenho"))</f>
        <v/>
      </c>
      <c r="N375" s="36" t="str">
        <f aca="false">IF(B375="","",SUMIFS(Pagamentos!$G:$G,Pagamentos!$D:$D,B375,Pagamentos!$F:$F,"Pagamento"))</f>
        <v/>
      </c>
      <c r="O375" s="37" t="str">
        <f aca="false">IF(OR(B375="",H375="",L375="",L375=0),"",H375/L375)</f>
        <v/>
      </c>
      <c r="P375" s="27" t="str">
        <f aca="false">IF(B375="","",COUNTIF(Sancoes!$C:$C,B375))</f>
        <v/>
      </c>
      <c r="Q375" s="27" t="str">
        <f aca="false">IF(B375="","",COUNTIF(Socios!$B:$B,B375))</f>
        <v/>
      </c>
      <c r="R375" s="27" t="str">
        <f aca="false">IF(B375="","",COUNTIFS(Socios!$B:$B,B375,Socios!$L:$L,"SIM"))</f>
        <v/>
      </c>
      <c r="S375" s="24"/>
      <c r="T375" s="11"/>
    </row>
    <row r="376" customFormat="false" ht="15" hidden="false" customHeight="false" outlineLevel="0" collapsed="false">
      <c r="A376" s="24"/>
      <c r="B376" s="31" t="str">
        <f aca="false">IF(A376="","",IF(LEN(UPPER(SUBSTITUTE(SUBSTITUTE(SUBSTITUTE(SUBSTITUTE(TRIM(A376),".",""),"/",""),"-","")," ","")))&lt;14,RIGHT(REPT("0",14)&amp;UPPER(SUBSTITUTE(SUBSTITUTE(SUBSTITUTE(SUBSTITUTE(TRIM(A376),".",""),"/",""),"-","")," ","")),14),UPPER(SUBSTITUTE(SUBSTITUTE(SUBSTITUTE(SUBSTITUTE(TRIM(A376),".",""),"/",""),"-","")," ",""))))</f>
        <v/>
      </c>
      <c r="C376" s="11"/>
      <c r="D376" s="23"/>
      <c r="E376" s="22"/>
      <c r="F376" s="23"/>
      <c r="G376" s="11"/>
      <c r="H376" s="35"/>
      <c r="I376" s="11"/>
      <c r="J376" s="23"/>
      <c r="K376" s="27" t="str">
        <f aca="false">IF(B376="","",COUNTIF(Contratos!$D:$D,B376))</f>
        <v/>
      </c>
      <c r="L376" s="36" t="str">
        <f aca="false">IF(B376="","",SUMIFS(Contratos!$K:$K,Contratos!$D:$D,B376))</f>
        <v/>
      </c>
      <c r="M376" s="36" t="str">
        <f aca="false">IF(B376="","",SUMIFS(Pagamentos!$G:$G,Pagamentos!$D:$D,B376,Pagamentos!$F:$F,"Empenho"))</f>
        <v/>
      </c>
      <c r="N376" s="36" t="str">
        <f aca="false">IF(B376="","",SUMIFS(Pagamentos!$G:$G,Pagamentos!$D:$D,B376,Pagamentos!$F:$F,"Pagamento"))</f>
        <v/>
      </c>
      <c r="O376" s="37" t="str">
        <f aca="false">IF(OR(B376="",H376="",L376="",L376=0),"",H376/L376)</f>
        <v/>
      </c>
      <c r="P376" s="27" t="str">
        <f aca="false">IF(B376="","",COUNTIF(Sancoes!$C:$C,B376))</f>
        <v/>
      </c>
      <c r="Q376" s="27" t="str">
        <f aca="false">IF(B376="","",COUNTIF(Socios!$B:$B,B376))</f>
        <v/>
      </c>
      <c r="R376" s="27" t="str">
        <f aca="false">IF(B376="","",COUNTIFS(Socios!$B:$B,B376,Socios!$L:$L,"SIM"))</f>
        <v/>
      </c>
      <c r="S376" s="24"/>
      <c r="T376" s="11"/>
    </row>
    <row r="377" customFormat="false" ht="15" hidden="false" customHeight="false" outlineLevel="0" collapsed="false">
      <c r="A377" s="24"/>
      <c r="B377" s="31" t="str">
        <f aca="false">IF(A377="","",IF(LEN(UPPER(SUBSTITUTE(SUBSTITUTE(SUBSTITUTE(SUBSTITUTE(TRIM(A377),".",""),"/",""),"-","")," ","")))&lt;14,RIGHT(REPT("0",14)&amp;UPPER(SUBSTITUTE(SUBSTITUTE(SUBSTITUTE(SUBSTITUTE(TRIM(A377),".",""),"/",""),"-","")," ","")),14),UPPER(SUBSTITUTE(SUBSTITUTE(SUBSTITUTE(SUBSTITUTE(TRIM(A377),".",""),"/",""),"-","")," ",""))))</f>
        <v/>
      </c>
      <c r="C377" s="11"/>
      <c r="D377" s="23"/>
      <c r="E377" s="22"/>
      <c r="F377" s="23"/>
      <c r="G377" s="11"/>
      <c r="H377" s="35"/>
      <c r="I377" s="11"/>
      <c r="J377" s="23"/>
      <c r="K377" s="27" t="str">
        <f aca="false">IF(B377="","",COUNTIF(Contratos!$D:$D,B377))</f>
        <v/>
      </c>
      <c r="L377" s="36" t="str">
        <f aca="false">IF(B377="","",SUMIFS(Contratos!$K:$K,Contratos!$D:$D,B377))</f>
        <v/>
      </c>
      <c r="M377" s="36" t="str">
        <f aca="false">IF(B377="","",SUMIFS(Pagamentos!$G:$G,Pagamentos!$D:$D,B377,Pagamentos!$F:$F,"Empenho"))</f>
        <v/>
      </c>
      <c r="N377" s="36" t="str">
        <f aca="false">IF(B377="","",SUMIFS(Pagamentos!$G:$G,Pagamentos!$D:$D,B377,Pagamentos!$F:$F,"Pagamento"))</f>
        <v/>
      </c>
      <c r="O377" s="37" t="str">
        <f aca="false">IF(OR(B377="",H377="",L377="",L377=0),"",H377/L377)</f>
        <v/>
      </c>
      <c r="P377" s="27" t="str">
        <f aca="false">IF(B377="","",COUNTIF(Sancoes!$C:$C,B377))</f>
        <v/>
      </c>
      <c r="Q377" s="27" t="str">
        <f aca="false">IF(B377="","",COUNTIF(Socios!$B:$B,B377))</f>
        <v/>
      </c>
      <c r="R377" s="27" t="str">
        <f aca="false">IF(B377="","",COUNTIFS(Socios!$B:$B,B377,Socios!$L:$L,"SIM"))</f>
        <v/>
      </c>
      <c r="S377" s="24"/>
      <c r="T377" s="11"/>
    </row>
    <row r="378" customFormat="false" ht="15" hidden="false" customHeight="false" outlineLevel="0" collapsed="false">
      <c r="A378" s="24"/>
      <c r="B378" s="31" t="str">
        <f aca="false">IF(A378="","",IF(LEN(UPPER(SUBSTITUTE(SUBSTITUTE(SUBSTITUTE(SUBSTITUTE(TRIM(A378),".",""),"/",""),"-","")," ","")))&lt;14,RIGHT(REPT("0",14)&amp;UPPER(SUBSTITUTE(SUBSTITUTE(SUBSTITUTE(SUBSTITUTE(TRIM(A378),".",""),"/",""),"-","")," ","")),14),UPPER(SUBSTITUTE(SUBSTITUTE(SUBSTITUTE(SUBSTITUTE(TRIM(A378),".",""),"/",""),"-","")," ",""))))</f>
        <v/>
      </c>
      <c r="C378" s="11"/>
      <c r="D378" s="23"/>
      <c r="E378" s="22"/>
      <c r="F378" s="23"/>
      <c r="G378" s="11"/>
      <c r="H378" s="35"/>
      <c r="I378" s="11"/>
      <c r="J378" s="23"/>
      <c r="K378" s="27" t="str">
        <f aca="false">IF(B378="","",COUNTIF(Contratos!$D:$D,B378))</f>
        <v/>
      </c>
      <c r="L378" s="36" t="str">
        <f aca="false">IF(B378="","",SUMIFS(Contratos!$K:$K,Contratos!$D:$D,B378))</f>
        <v/>
      </c>
      <c r="M378" s="36" t="str">
        <f aca="false">IF(B378="","",SUMIFS(Pagamentos!$G:$G,Pagamentos!$D:$D,B378,Pagamentos!$F:$F,"Empenho"))</f>
        <v/>
      </c>
      <c r="N378" s="36" t="str">
        <f aca="false">IF(B378="","",SUMIFS(Pagamentos!$G:$G,Pagamentos!$D:$D,B378,Pagamentos!$F:$F,"Pagamento"))</f>
        <v/>
      </c>
      <c r="O378" s="37" t="str">
        <f aca="false">IF(OR(B378="",H378="",L378="",L378=0),"",H378/L378)</f>
        <v/>
      </c>
      <c r="P378" s="27" t="str">
        <f aca="false">IF(B378="","",COUNTIF(Sancoes!$C:$C,B378))</f>
        <v/>
      </c>
      <c r="Q378" s="27" t="str">
        <f aca="false">IF(B378="","",COUNTIF(Socios!$B:$B,B378))</f>
        <v/>
      </c>
      <c r="R378" s="27" t="str">
        <f aca="false">IF(B378="","",COUNTIFS(Socios!$B:$B,B378,Socios!$L:$L,"SIM"))</f>
        <v/>
      </c>
      <c r="S378" s="24"/>
      <c r="T378" s="11"/>
    </row>
    <row r="379" customFormat="false" ht="15" hidden="false" customHeight="false" outlineLevel="0" collapsed="false">
      <c r="A379" s="24"/>
      <c r="B379" s="31" t="str">
        <f aca="false">IF(A379="","",IF(LEN(UPPER(SUBSTITUTE(SUBSTITUTE(SUBSTITUTE(SUBSTITUTE(TRIM(A379),".",""),"/",""),"-","")," ","")))&lt;14,RIGHT(REPT("0",14)&amp;UPPER(SUBSTITUTE(SUBSTITUTE(SUBSTITUTE(SUBSTITUTE(TRIM(A379),".",""),"/",""),"-","")," ","")),14),UPPER(SUBSTITUTE(SUBSTITUTE(SUBSTITUTE(SUBSTITUTE(TRIM(A379),".",""),"/",""),"-","")," ",""))))</f>
        <v/>
      </c>
      <c r="C379" s="11"/>
      <c r="D379" s="23"/>
      <c r="E379" s="22"/>
      <c r="F379" s="23"/>
      <c r="G379" s="11"/>
      <c r="H379" s="35"/>
      <c r="I379" s="11"/>
      <c r="J379" s="23"/>
      <c r="K379" s="27" t="str">
        <f aca="false">IF(B379="","",COUNTIF(Contratos!$D:$D,B379))</f>
        <v/>
      </c>
      <c r="L379" s="36" t="str">
        <f aca="false">IF(B379="","",SUMIFS(Contratos!$K:$K,Contratos!$D:$D,B379))</f>
        <v/>
      </c>
      <c r="M379" s="36" t="str">
        <f aca="false">IF(B379="","",SUMIFS(Pagamentos!$G:$G,Pagamentos!$D:$D,B379,Pagamentos!$F:$F,"Empenho"))</f>
        <v/>
      </c>
      <c r="N379" s="36" t="str">
        <f aca="false">IF(B379="","",SUMIFS(Pagamentos!$G:$G,Pagamentos!$D:$D,B379,Pagamentos!$F:$F,"Pagamento"))</f>
        <v/>
      </c>
      <c r="O379" s="37" t="str">
        <f aca="false">IF(OR(B379="",H379="",L379="",L379=0),"",H379/L379)</f>
        <v/>
      </c>
      <c r="P379" s="27" t="str">
        <f aca="false">IF(B379="","",COUNTIF(Sancoes!$C:$C,B379))</f>
        <v/>
      </c>
      <c r="Q379" s="27" t="str">
        <f aca="false">IF(B379="","",COUNTIF(Socios!$B:$B,B379))</f>
        <v/>
      </c>
      <c r="R379" s="27" t="str">
        <f aca="false">IF(B379="","",COUNTIFS(Socios!$B:$B,B379,Socios!$L:$L,"SIM"))</f>
        <v/>
      </c>
      <c r="S379" s="24"/>
      <c r="T379" s="11"/>
    </row>
    <row r="380" customFormat="false" ht="15" hidden="false" customHeight="false" outlineLevel="0" collapsed="false">
      <c r="A380" s="24"/>
      <c r="B380" s="31" t="str">
        <f aca="false">IF(A380="","",IF(LEN(UPPER(SUBSTITUTE(SUBSTITUTE(SUBSTITUTE(SUBSTITUTE(TRIM(A380),".",""),"/",""),"-","")," ","")))&lt;14,RIGHT(REPT("0",14)&amp;UPPER(SUBSTITUTE(SUBSTITUTE(SUBSTITUTE(SUBSTITUTE(TRIM(A380),".",""),"/",""),"-","")," ","")),14),UPPER(SUBSTITUTE(SUBSTITUTE(SUBSTITUTE(SUBSTITUTE(TRIM(A380),".",""),"/",""),"-","")," ",""))))</f>
        <v/>
      </c>
      <c r="C380" s="11"/>
      <c r="D380" s="23"/>
      <c r="E380" s="22"/>
      <c r="F380" s="23"/>
      <c r="G380" s="11"/>
      <c r="H380" s="35"/>
      <c r="I380" s="11"/>
      <c r="J380" s="23"/>
      <c r="K380" s="27" t="str">
        <f aca="false">IF(B380="","",COUNTIF(Contratos!$D:$D,B380))</f>
        <v/>
      </c>
      <c r="L380" s="36" t="str">
        <f aca="false">IF(B380="","",SUMIFS(Contratos!$K:$K,Contratos!$D:$D,B380))</f>
        <v/>
      </c>
      <c r="M380" s="36" t="str">
        <f aca="false">IF(B380="","",SUMIFS(Pagamentos!$G:$G,Pagamentos!$D:$D,B380,Pagamentos!$F:$F,"Empenho"))</f>
        <v/>
      </c>
      <c r="N380" s="36" t="str">
        <f aca="false">IF(B380="","",SUMIFS(Pagamentos!$G:$G,Pagamentos!$D:$D,B380,Pagamentos!$F:$F,"Pagamento"))</f>
        <v/>
      </c>
      <c r="O380" s="37" t="str">
        <f aca="false">IF(OR(B380="",H380="",L380="",L380=0),"",H380/L380)</f>
        <v/>
      </c>
      <c r="P380" s="27" t="str">
        <f aca="false">IF(B380="","",COUNTIF(Sancoes!$C:$C,B380))</f>
        <v/>
      </c>
      <c r="Q380" s="27" t="str">
        <f aca="false">IF(B380="","",COUNTIF(Socios!$B:$B,B380))</f>
        <v/>
      </c>
      <c r="R380" s="27" t="str">
        <f aca="false">IF(B380="","",COUNTIFS(Socios!$B:$B,B380,Socios!$L:$L,"SIM"))</f>
        <v/>
      </c>
      <c r="S380" s="24"/>
      <c r="T380" s="11"/>
    </row>
    <row r="381" customFormat="false" ht="15" hidden="false" customHeight="false" outlineLevel="0" collapsed="false">
      <c r="A381" s="24"/>
      <c r="B381" s="31" t="str">
        <f aca="false">IF(A381="","",IF(LEN(UPPER(SUBSTITUTE(SUBSTITUTE(SUBSTITUTE(SUBSTITUTE(TRIM(A381),".",""),"/",""),"-","")," ","")))&lt;14,RIGHT(REPT("0",14)&amp;UPPER(SUBSTITUTE(SUBSTITUTE(SUBSTITUTE(SUBSTITUTE(TRIM(A381),".",""),"/",""),"-","")," ","")),14),UPPER(SUBSTITUTE(SUBSTITUTE(SUBSTITUTE(SUBSTITUTE(TRIM(A381),".",""),"/",""),"-","")," ",""))))</f>
        <v/>
      </c>
      <c r="C381" s="11"/>
      <c r="D381" s="23"/>
      <c r="E381" s="22"/>
      <c r="F381" s="23"/>
      <c r="G381" s="11"/>
      <c r="H381" s="35"/>
      <c r="I381" s="11"/>
      <c r="J381" s="23"/>
      <c r="K381" s="27" t="str">
        <f aca="false">IF(B381="","",COUNTIF(Contratos!$D:$D,B381))</f>
        <v/>
      </c>
      <c r="L381" s="36" t="str">
        <f aca="false">IF(B381="","",SUMIFS(Contratos!$K:$K,Contratos!$D:$D,B381))</f>
        <v/>
      </c>
      <c r="M381" s="36" t="str">
        <f aca="false">IF(B381="","",SUMIFS(Pagamentos!$G:$G,Pagamentos!$D:$D,B381,Pagamentos!$F:$F,"Empenho"))</f>
        <v/>
      </c>
      <c r="N381" s="36" t="str">
        <f aca="false">IF(B381="","",SUMIFS(Pagamentos!$G:$G,Pagamentos!$D:$D,B381,Pagamentos!$F:$F,"Pagamento"))</f>
        <v/>
      </c>
      <c r="O381" s="37" t="str">
        <f aca="false">IF(OR(B381="",H381="",L381="",L381=0),"",H381/L381)</f>
        <v/>
      </c>
      <c r="P381" s="27" t="str">
        <f aca="false">IF(B381="","",COUNTIF(Sancoes!$C:$C,B381))</f>
        <v/>
      </c>
      <c r="Q381" s="27" t="str">
        <f aca="false">IF(B381="","",COUNTIF(Socios!$B:$B,B381))</f>
        <v/>
      </c>
      <c r="R381" s="27" t="str">
        <f aca="false">IF(B381="","",COUNTIFS(Socios!$B:$B,B381,Socios!$L:$L,"SIM"))</f>
        <v/>
      </c>
      <c r="S381" s="24"/>
      <c r="T381" s="11"/>
    </row>
    <row r="382" customFormat="false" ht="15" hidden="false" customHeight="false" outlineLevel="0" collapsed="false">
      <c r="A382" s="24"/>
      <c r="B382" s="31" t="str">
        <f aca="false">IF(A382="","",IF(LEN(UPPER(SUBSTITUTE(SUBSTITUTE(SUBSTITUTE(SUBSTITUTE(TRIM(A382),".",""),"/",""),"-","")," ","")))&lt;14,RIGHT(REPT("0",14)&amp;UPPER(SUBSTITUTE(SUBSTITUTE(SUBSTITUTE(SUBSTITUTE(TRIM(A382),".",""),"/",""),"-","")," ","")),14),UPPER(SUBSTITUTE(SUBSTITUTE(SUBSTITUTE(SUBSTITUTE(TRIM(A382),".",""),"/",""),"-","")," ",""))))</f>
        <v/>
      </c>
      <c r="C382" s="11"/>
      <c r="D382" s="23"/>
      <c r="E382" s="22"/>
      <c r="F382" s="23"/>
      <c r="G382" s="11"/>
      <c r="H382" s="35"/>
      <c r="I382" s="11"/>
      <c r="J382" s="23"/>
      <c r="K382" s="27" t="str">
        <f aca="false">IF(B382="","",COUNTIF(Contratos!$D:$D,B382))</f>
        <v/>
      </c>
      <c r="L382" s="36" t="str">
        <f aca="false">IF(B382="","",SUMIFS(Contratos!$K:$K,Contratos!$D:$D,B382))</f>
        <v/>
      </c>
      <c r="M382" s="36" t="str">
        <f aca="false">IF(B382="","",SUMIFS(Pagamentos!$G:$G,Pagamentos!$D:$D,B382,Pagamentos!$F:$F,"Empenho"))</f>
        <v/>
      </c>
      <c r="N382" s="36" t="str">
        <f aca="false">IF(B382="","",SUMIFS(Pagamentos!$G:$G,Pagamentos!$D:$D,B382,Pagamentos!$F:$F,"Pagamento"))</f>
        <v/>
      </c>
      <c r="O382" s="37" t="str">
        <f aca="false">IF(OR(B382="",H382="",L382="",L382=0),"",H382/L382)</f>
        <v/>
      </c>
      <c r="P382" s="27" t="str">
        <f aca="false">IF(B382="","",COUNTIF(Sancoes!$C:$C,B382))</f>
        <v/>
      </c>
      <c r="Q382" s="27" t="str">
        <f aca="false">IF(B382="","",COUNTIF(Socios!$B:$B,B382))</f>
        <v/>
      </c>
      <c r="R382" s="27" t="str">
        <f aca="false">IF(B382="","",COUNTIFS(Socios!$B:$B,B382,Socios!$L:$L,"SIM"))</f>
        <v/>
      </c>
      <c r="S382" s="24"/>
      <c r="T382" s="11"/>
    </row>
    <row r="383" customFormat="false" ht="15" hidden="false" customHeight="false" outlineLevel="0" collapsed="false">
      <c r="A383" s="24"/>
      <c r="B383" s="31" t="str">
        <f aca="false">IF(A383="","",IF(LEN(UPPER(SUBSTITUTE(SUBSTITUTE(SUBSTITUTE(SUBSTITUTE(TRIM(A383),".",""),"/",""),"-","")," ","")))&lt;14,RIGHT(REPT("0",14)&amp;UPPER(SUBSTITUTE(SUBSTITUTE(SUBSTITUTE(SUBSTITUTE(TRIM(A383),".",""),"/",""),"-","")," ","")),14),UPPER(SUBSTITUTE(SUBSTITUTE(SUBSTITUTE(SUBSTITUTE(TRIM(A383),".",""),"/",""),"-","")," ",""))))</f>
        <v/>
      </c>
      <c r="C383" s="11"/>
      <c r="D383" s="23"/>
      <c r="E383" s="22"/>
      <c r="F383" s="23"/>
      <c r="G383" s="11"/>
      <c r="H383" s="35"/>
      <c r="I383" s="11"/>
      <c r="J383" s="23"/>
      <c r="K383" s="27" t="str">
        <f aca="false">IF(B383="","",COUNTIF(Contratos!$D:$D,B383))</f>
        <v/>
      </c>
      <c r="L383" s="36" t="str">
        <f aca="false">IF(B383="","",SUMIFS(Contratos!$K:$K,Contratos!$D:$D,B383))</f>
        <v/>
      </c>
      <c r="M383" s="36" t="str">
        <f aca="false">IF(B383="","",SUMIFS(Pagamentos!$G:$G,Pagamentos!$D:$D,B383,Pagamentos!$F:$F,"Empenho"))</f>
        <v/>
      </c>
      <c r="N383" s="36" t="str">
        <f aca="false">IF(B383="","",SUMIFS(Pagamentos!$G:$G,Pagamentos!$D:$D,B383,Pagamentos!$F:$F,"Pagamento"))</f>
        <v/>
      </c>
      <c r="O383" s="37" t="str">
        <f aca="false">IF(OR(B383="",H383="",L383="",L383=0),"",H383/L383)</f>
        <v/>
      </c>
      <c r="P383" s="27" t="str">
        <f aca="false">IF(B383="","",COUNTIF(Sancoes!$C:$C,B383))</f>
        <v/>
      </c>
      <c r="Q383" s="27" t="str">
        <f aca="false">IF(B383="","",COUNTIF(Socios!$B:$B,B383))</f>
        <v/>
      </c>
      <c r="R383" s="27" t="str">
        <f aca="false">IF(B383="","",COUNTIFS(Socios!$B:$B,B383,Socios!$L:$L,"SIM"))</f>
        <v/>
      </c>
      <c r="S383" s="24"/>
      <c r="T383" s="11"/>
    </row>
    <row r="384" customFormat="false" ht="15" hidden="false" customHeight="false" outlineLevel="0" collapsed="false">
      <c r="A384" s="24"/>
      <c r="B384" s="31" t="str">
        <f aca="false">IF(A384="","",IF(LEN(UPPER(SUBSTITUTE(SUBSTITUTE(SUBSTITUTE(SUBSTITUTE(TRIM(A384),".",""),"/",""),"-","")," ","")))&lt;14,RIGHT(REPT("0",14)&amp;UPPER(SUBSTITUTE(SUBSTITUTE(SUBSTITUTE(SUBSTITUTE(TRIM(A384),".",""),"/",""),"-","")," ","")),14),UPPER(SUBSTITUTE(SUBSTITUTE(SUBSTITUTE(SUBSTITUTE(TRIM(A384),".",""),"/",""),"-","")," ",""))))</f>
        <v/>
      </c>
      <c r="C384" s="11"/>
      <c r="D384" s="23"/>
      <c r="E384" s="22"/>
      <c r="F384" s="23"/>
      <c r="G384" s="11"/>
      <c r="H384" s="35"/>
      <c r="I384" s="11"/>
      <c r="J384" s="23"/>
      <c r="K384" s="27" t="str">
        <f aca="false">IF(B384="","",COUNTIF(Contratos!$D:$D,B384))</f>
        <v/>
      </c>
      <c r="L384" s="36" t="str">
        <f aca="false">IF(B384="","",SUMIFS(Contratos!$K:$K,Contratos!$D:$D,B384))</f>
        <v/>
      </c>
      <c r="M384" s="36" t="str">
        <f aca="false">IF(B384="","",SUMIFS(Pagamentos!$G:$G,Pagamentos!$D:$D,B384,Pagamentos!$F:$F,"Empenho"))</f>
        <v/>
      </c>
      <c r="N384" s="36" t="str">
        <f aca="false">IF(B384="","",SUMIFS(Pagamentos!$G:$G,Pagamentos!$D:$D,B384,Pagamentos!$F:$F,"Pagamento"))</f>
        <v/>
      </c>
      <c r="O384" s="37" t="str">
        <f aca="false">IF(OR(B384="",H384="",L384="",L384=0),"",H384/L384)</f>
        <v/>
      </c>
      <c r="P384" s="27" t="str">
        <f aca="false">IF(B384="","",COUNTIF(Sancoes!$C:$C,B384))</f>
        <v/>
      </c>
      <c r="Q384" s="27" t="str">
        <f aca="false">IF(B384="","",COUNTIF(Socios!$B:$B,B384))</f>
        <v/>
      </c>
      <c r="R384" s="27" t="str">
        <f aca="false">IF(B384="","",COUNTIFS(Socios!$B:$B,B384,Socios!$L:$L,"SIM"))</f>
        <v/>
      </c>
      <c r="S384" s="24"/>
      <c r="T384" s="11"/>
    </row>
    <row r="385" customFormat="false" ht="15" hidden="false" customHeight="false" outlineLevel="0" collapsed="false">
      <c r="A385" s="24"/>
      <c r="B385" s="31" t="str">
        <f aca="false">IF(A385="","",IF(LEN(UPPER(SUBSTITUTE(SUBSTITUTE(SUBSTITUTE(SUBSTITUTE(TRIM(A385),".",""),"/",""),"-","")," ","")))&lt;14,RIGHT(REPT("0",14)&amp;UPPER(SUBSTITUTE(SUBSTITUTE(SUBSTITUTE(SUBSTITUTE(TRIM(A385),".",""),"/",""),"-","")," ","")),14),UPPER(SUBSTITUTE(SUBSTITUTE(SUBSTITUTE(SUBSTITUTE(TRIM(A385),".",""),"/",""),"-","")," ",""))))</f>
        <v/>
      </c>
      <c r="C385" s="11"/>
      <c r="D385" s="23"/>
      <c r="E385" s="22"/>
      <c r="F385" s="23"/>
      <c r="G385" s="11"/>
      <c r="H385" s="35"/>
      <c r="I385" s="11"/>
      <c r="J385" s="23"/>
      <c r="K385" s="27" t="str">
        <f aca="false">IF(B385="","",COUNTIF(Contratos!$D:$D,B385))</f>
        <v/>
      </c>
      <c r="L385" s="36" t="str">
        <f aca="false">IF(B385="","",SUMIFS(Contratos!$K:$K,Contratos!$D:$D,B385))</f>
        <v/>
      </c>
      <c r="M385" s="36" t="str">
        <f aca="false">IF(B385="","",SUMIFS(Pagamentos!$G:$G,Pagamentos!$D:$D,B385,Pagamentos!$F:$F,"Empenho"))</f>
        <v/>
      </c>
      <c r="N385" s="36" t="str">
        <f aca="false">IF(B385="","",SUMIFS(Pagamentos!$G:$G,Pagamentos!$D:$D,B385,Pagamentos!$F:$F,"Pagamento"))</f>
        <v/>
      </c>
      <c r="O385" s="37" t="str">
        <f aca="false">IF(OR(B385="",H385="",L385="",L385=0),"",H385/L385)</f>
        <v/>
      </c>
      <c r="P385" s="27" t="str">
        <f aca="false">IF(B385="","",COUNTIF(Sancoes!$C:$C,B385))</f>
        <v/>
      </c>
      <c r="Q385" s="27" t="str">
        <f aca="false">IF(B385="","",COUNTIF(Socios!$B:$B,B385))</f>
        <v/>
      </c>
      <c r="R385" s="27" t="str">
        <f aca="false">IF(B385="","",COUNTIFS(Socios!$B:$B,B385,Socios!$L:$L,"SIM"))</f>
        <v/>
      </c>
      <c r="S385" s="24"/>
      <c r="T385" s="11"/>
    </row>
    <row r="386" customFormat="false" ht="15" hidden="false" customHeight="false" outlineLevel="0" collapsed="false">
      <c r="A386" s="24"/>
      <c r="B386" s="31" t="str">
        <f aca="false">IF(A386="","",IF(LEN(UPPER(SUBSTITUTE(SUBSTITUTE(SUBSTITUTE(SUBSTITUTE(TRIM(A386),".",""),"/",""),"-","")," ","")))&lt;14,RIGHT(REPT("0",14)&amp;UPPER(SUBSTITUTE(SUBSTITUTE(SUBSTITUTE(SUBSTITUTE(TRIM(A386),".",""),"/",""),"-","")," ","")),14),UPPER(SUBSTITUTE(SUBSTITUTE(SUBSTITUTE(SUBSTITUTE(TRIM(A386),".",""),"/",""),"-","")," ",""))))</f>
        <v/>
      </c>
      <c r="C386" s="11"/>
      <c r="D386" s="23"/>
      <c r="E386" s="22"/>
      <c r="F386" s="23"/>
      <c r="G386" s="11"/>
      <c r="H386" s="35"/>
      <c r="I386" s="11"/>
      <c r="J386" s="23"/>
      <c r="K386" s="27" t="str">
        <f aca="false">IF(B386="","",COUNTIF(Contratos!$D:$D,B386))</f>
        <v/>
      </c>
      <c r="L386" s="36" t="str">
        <f aca="false">IF(B386="","",SUMIFS(Contratos!$K:$K,Contratos!$D:$D,B386))</f>
        <v/>
      </c>
      <c r="M386" s="36" t="str">
        <f aca="false">IF(B386="","",SUMIFS(Pagamentos!$G:$G,Pagamentos!$D:$D,B386,Pagamentos!$F:$F,"Empenho"))</f>
        <v/>
      </c>
      <c r="N386" s="36" t="str">
        <f aca="false">IF(B386="","",SUMIFS(Pagamentos!$G:$G,Pagamentos!$D:$D,B386,Pagamentos!$F:$F,"Pagamento"))</f>
        <v/>
      </c>
      <c r="O386" s="37" t="str">
        <f aca="false">IF(OR(B386="",H386="",L386="",L386=0),"",H386/L386)</f>
        <v/>
      </c>
      <c r="P386" s="27" t="str">
        <f aca="false">IF(B386="","",COUNTIF(Sancoes!$C:$C,B386))</f>
        <v/>
      </c>
      <c r="Q386" s="27" t="str">
        <f aca="false">IF(B386="","",COUNTIF(Socios!$B:$B,B386))</f>
        <v/>
      </c>
      <c r="R386" s="27" t="str">
        <f aca="false">IF(B386="","",COUNTIFS(Socios!$B:$B,B386,Socios!$L:$L,"SIM"))</f>
        <v/>
      </c>
      <c r="S386" s="24"/>
      <c r="T386" s="11"/>
    </row>
    <row r="387" customFormat="false" ht="15" hidden="false" customHeight="false" outlineLevel="0" collapsed="false">
      <c r="A387" s="24"/>
      <c r="B387" s="31" t="str">
        <f aca="false">IF(A387="","",IF(LEN(UPPER(SUBSTITUTE(SUBSTITUTE(SUBSTITUTE(SUBSTITUTE(TRIM(A387),".",""),"/",""),"-","")," ","")))&lt;14,RIGHT(REPT("0",14)&amp;UPPER(SUBSTITUTE(SUBSTITUTE(SUBSTITUTE(SUBSTITUTE(TRIM(A387),".",""),"/",""),"-","")," ","")),14),UPPER(SUBSTITUTE(SUBSTITUTE(SUBSTITUTE(SUBSTITUTE(TRIM(A387),".",""),"/",""),"-","")," ",""))))</f>
        <v/>
      </c>
      <c r="C387" s="11"/>
      <c r="D387" s="23"/>
      <c r="E387" s="22"/>
      <c r="F387" s="23"/>
      <c r="G387" s="11"/>
      <c r="H387" s="35"/>
      <c r="I387" s="11"/>
      <c r="J387" s="23"/>
      <c r="K387" s="27" t="str">
        <f aca="false">IF(B387="","",COUNTIF(Contratos!$D:$D,B387))</f>
        <v/>
      </c>
      <c r="L387" s="36" t="str">
        <f aca="false">IF(B387="","",SUMIFS(Contratos!$K:$K,Contratos!$D:$D,B387))</f>
        <v/>
      </c>
      <c r="M387" s="36" t="str">
        <f aca="false">IF(B387="","",SUMIFS(Pagamentos!$G:$G,Pagamentos!$D:$D,B387,Pagamentos!$F:$F,"Empenho"))</f>
        <v/>
      </c>
      <c r="N387" s="36" t="str">
        <f aca="false">IF(B387="","",SUMIFS(Pagamentos!$G:$G,Pagamentos!$D:$D,B387,Pagamentos!$F:$F,"Pagamento"))</f>
        <v/>
      </c>
      <c r="O387" s="37" t="str">
        <f aca="false">IF(OR(B387="",H387="",L387="",L387=0),"",H387/L387)</f>
        <v/>
      </c>
      <c r="P387" s="27" t="str">
        <f aca="false">IF(B387="","",COUNTIF(Sancoes!$C:$C,B387))</f>
        <v/>
      </c>
      <c r="Q387" s="27" t="str">
        <f aca="false">IF(B387="","",COUNTIF(Socios!$B:$B,B387))</f>
        <v/>
      </c>
      <c r="R387" s="27" t="str">
        <f aca="false">IF(B387="","",COUNTIFS(Socios!$B:$B,B387,Socios!$L:$L,"SIM"))</f>
        <v/>
      </c>
      <c r="S387" s="24"/>
      <c r="T387" s="11"/>
    </row>
    <row r="388" customFormat="false" ht="15" hidden="false" customHeight="false" outlineLevel="0" collapsed="false">
      <c r="A388" s="24"/>
      <c r="B388" s="31" t="str">
        <f aca="false">IF(A388="","",IF(LEN(UPPER(SUBSTITUTE(SUBSTITUTE(SUBSTITUTE(SUBSTITUTE(TRIM(A388),".",""),"/",""),"-","")," ","")))&lt;14,RIGHT(REPT("0",14)&amp;UPPER(SUBSTITUTE(SUBSTITUTE(SUBSTITUTE(SUBSTITUTE(TRIM(A388),".",""),"/",""),"-","")," ","")),14),UPPER(SUBSTITUTE(SUBSTITUTE(SUBSTITUTE(SUBSTITUTE(TRIM(A388),".",""),"/",""),"-","")," ",""))))</f>
        <v/>
      </c>
      <c r="C388" s="11"/>
      <c r="D388" s="23"/>
      <c r="E388" s="22"/>
      <c r="F388" s="23"/>
      <c r="G388" s="11"/>
      <c r="H388" s="35"/>
      <c r="I388" s="11"/>
      <c r="J388" s="23"/>
      <c r="K388" s="27" t="str">
        <f aca="false">IF(B388="","",COUNTIF(Contratos!$D:$D,B388))</f>
        <v/>
      </c>
      <c r="L388" s="36" t="str">
        <f aca="false">IF(B388="","",SUMIFS(Contratos!$K:$K,Contratos!$D:$D,B388))</f>
        <v/>
      </c>
      <c r="M388" s="36" t="str">
        <f aca="false">IF(B388="","",SUMIFS(Pagamentos!$G:$G,Pagamentos!$D:$D,B388,Pagamentos!$F:$F,"Empenho"))</f>
        <v/>
      </c>
      <c r="N388" s="36" t="str">
        <f aca="false">IF(B388="","",SUMIFS(Pagamentos!$G:$G,Pagamentos!$D:$D,B388,Pagamentos!$F:$F,"Pagamento"))</f>
        <v/>
      </c>
      <c r="O388" s="37" t="str">
        <f aca="false">IF(OR(B388="",H388="",L388="",L388=0),"",H388/L388)</f>
        <v/>
      </c>
      <c r="P388" s="27" t="str">
        <f aca="false">IF(B388="","",COUNTIF(Sancoes!$C:$C,B388))</f>
        <v/>
      </c>
      <c r="Q388" s="27" t="str">
        <f aca="false">IF(B388="","",COUNTIF(Socios!$B:$B,B388))</f>
        <v/>
      </c>
      <c r="R388" s="27" t="str">
        <f aca="false">IF(B388="","",COUNTIFS(Socios!$B:$B,B388,Socios!$L:$L,"SIM"))</f>
        <v/>
      </c>
      <c r="S388" s="24"/>
      <c r="T388" s="11"/>
    </row>
    <row r="389" customFormat="false" ht="15" hidden="false" customHeight="false" outlineLevel="0" collapsed="false">
      <c r="A389" s="24"/>
      <c r="B389" s="31" t="str">
        <f aca="false">IF(A389="","",IF(LEN(UPPER(SUBSTITUTE(SUBSTITUTE(SUBSTITUTE(SUBSTITUTE(TRIM(A389),".",""),"/",""),"-","")," ","")))&lt;14,RIGHT(REPT("0",14)&amp;UPPER(SUBSTITUTE(SUBSTITUTE(SUBSTITUTE(SUBSTITUTE(TRIM(A389),".",""),"/",""),"-","")," ","")),14),UPPER(SUBSTITUTE(SUBSTITUTE(SUBSTITUTE(SUBSTITUTE(TRIM(A389),".",""),"/",""),"-","")," ",""))))</f>
        <v/>
      </c>
      <c r="C389" s="11"/>
      <c r="D389" s="23"/>
      <c r="E389" s="22"/>
      <c r="F389" s="23"/>
      <c r="G389" s="11"/>
      <c r="H389" s="35"/>
      <c r="I389" s="11"/>
      <c r="J389" s="23"/>
      <c r="K389" s="27" t="str">
        <f aca="false">IF(B389="","",COUNTIF(Contratos!$D:$D,B389))</f>
        <v/>
      </c>
      <c r="L389" s="36" t="str">
        <f aca="false">IF(B389="","",SUMIFS(Contratos!$K:$K,Contratos!$D:$D,B389))</f>
        <v/>
      </c>
      <c r="M389" s="36" t="str">
        <f aca="false">IF(B389="","",SUMIFS(Pagamentos!$G:$G,Pagamentos!$D:$D,B389,Pagamentos!$F:$F,"Empenho"))</f>
        <v/>
      </c>
      <c r="N389" s="36" t="str">
        <f aca="false">IF(B389="","",SUMIFS(Pagamentos!$G:$G,Pagamentos!$D:$D,B389,Pagamentos!$F:$F,"Pagamento"))</f>
        <v/>
      </c>
      <c r="O389" s="37" t="str">
        <f aca="false">IF(OR(B389="",H389="",L389="",L389=0),"",H389/L389)</f>
        <v/>
      </c>
      <c r="P389" s="27" t="str">
        <f aca="false">IF(B389="","",COUNTIF(Sancoes!$C:$C,B389))</f>
        <v/>
      </c>
      <c r="Q389" s="27" t="str">
        <f aca="false">IF(B389="","",COUNTIF(Socios!$B:$B,B389))</f>
        <v/>
      </c>
      <c r="R389" s="27" t="str">
        <f aca="false">IF(B389="","",COUNTIFS(Socios!$B:$B,B389,Socios!$L:$L,"SIM"))</f>
        <v/>
      </c>
      <c r="S389" s="24"/>
      <c r="T389" s="11"/>
    </row>
    <row r="390" customFormat="false" ht="15" hidden="false" customHeight="false" outlineLevel="0" collapsed="false">
      <c r="A390" s="24"/>
      <c r="B390" s="31" t="str">
        <f aca="false">IF(A390="","",IF(LEN(UPPER(SUBSTITUTE(SUBSTITUTE(SUBSTITUTE(SUBSTITUTE(TRIM(A390),".",""),"/",""),"-","")," ","")))&lt;14,RIGHT(REPT("0",14)&amp;UPPER(SUBSTITUTE(SUBSTITUTE(SUBSTITUTE(SUBSTITUTE(TRIM(A390),".",""),"/",""),"-","")," ","")),14),UPPER(SUBSTITUTE(SUBSTITUTE(SUBSTITUTE(SUBSTITUTE(TRIM(A390),".",""),"/",""),"-","")," ",""))))</f>
        <v/>
      </c>
      <c r="C390" s="11"/>
      <c r="D390" s="23"/>
      <c r="E390" s="22"/>
      <c r="F390" s="23"/>
      <c r="G390" s="11"/>
      <c r="H390" s="35"/>
      <c r="I390" s="11"/>
      <c r="J390" s="23"/>
      <c r="K390" s="27" t="str">
        <f aca="false">IF(B390="","",COUNTIF(Contratos!$D:$D,B390))</f>
        <v/>
      </c>
      <c r="L390" s="36" t="str">
        <f aca="false">IF(B390="","",SUMIFS(Contratos!$K:$K,Contratos!$D:$D,B390))</f>
        <v/>
      </c>
      <c r="M390" s="36" t="str">
        <f aca="false">IF(B390="","",SUMIFS(Pagamentos!$G:$G,Pagamentos!$D:$D,B390,Pagamentos!$F:$F,"Empenho"))</f>
        <v/>
      </c>
      <c r="N390" s="36" t="str">
        <f aca="false">IF(B390="","",SUMIFS(Pagamentos!$G:$G,Pagamentos!$D:$D,B390,Pagamentos!$F:$F,"Pagamento"))</f>
        <v/>
      </c>
      <c r="O390" s="37" t="str">
        <f aca="false">IF(OR(B390="",H390="",L390="",L390=0),"",H390/L390)</f>
        <v/>
      </c>
      <c r="P390" s="27" t="str">
        <f aca="false">IF(B390="","",COUNTIF(Sancoes!$C:$C,B390))</f>
        <v/>
      </c>
      <c r="Q390" s="27" t="str">
        <f aca="false">IF(B390="","",COUNTIF(Socios!$B:$B,B390))</f>
        <v/>
      </c>
      <c r="R390" s="27" t="str">
        <f aca="false">IF(B390="","",COUNTIFS(Socios!$B:$B,B390,Socios!$L:$L,"SIM"))</f>
        <v/>
      </c>
      <c r="S390" s="24"/>
      <c r="T390" s="11"/>
    </row>
    <row r="391" customFormat="false" ht="15" hidden="false" customHeight="false" outlineLevel="0" collapsed="false">
      <c r="A391" s="24"/>
      <c r="B391" s="31" t="str">
        <f aca="false">IF(A391="","",IF(LEN(UPPER(SUBSTITUTE(SUBSTITUTE(SUBSTITUTE(SUBSTITUTE(TRIM(A391),".",""),"/",""),"-","")," ","")))&lt;14,RIGHT(REPT("0",14)&amp;UPPER(SUBSTITUTE(SUBSTITUTE(SUBSTITUTE(SUBSTITUTE(TRIM(A391),".",""),"/",""),"-","")," ","")),14),UPPER(SUBSTITUTE(SUBSTITUTE(SUBSTITUTE(SUBSTITUTE(TRIM(A391),".",""),"/",""),"-","")," ",""))))</f>
        <v/>
      </c>
      <c r="C391" s="11"/>
      <c r="D391" s="23"/>
      <c r="E391" s="22"/>
      <c r="F391" s="23"/>
      <c r="G391" s="11"/>
      <c r="H391" s="35"/>
      <c r="I391" s="11"/>
      <c r="J391" s="23"/>
      <c r="K391" s="27" t="str">
        <f aca="false">IF(B391="","",COUNTIF(Contratos!$D:$D,B391))</f>
        <v/>
      </c>
      <c r="L391" s="36" t="str">
        <f aca="false">IF(B391="","",SUMIFS(Contratos!$K:$K,Contratos!$D:$D,B391))</f>
        <v/>
      </c>
      <c r="M391" s="36" t="str">
        <f aca="false">IF(B391="","",SUMIFS(Pagamentos!$G:$G,Pagamentos!$D:$D,B391,Pagamentos!$F:$F,"Empenho"))</f>
        <v/>
      </c>
      <c r="N391" s="36" t="str">
        <f aca="false">IF(B391="","",SUMIFS(Pagamentos!$G:$G,Pagamentos!$D:$D,B391,Pagamentos!$F:$F,"Pagamento"))</f>
        <v/>
      </c>
      <c r="O391" s="37" t="str">
        <f aca="false">IF(OR(B391="",H391="",L391="",L391=0),"",H391/L391)</f>
        <v/>
      </c>
      <c r="P391" s="27" t="str">
        <f aca="false">IF(B391="","",COUNTIF(Sancoes!$C:$C,B391))</f>
        <v/>
      </c>
      <c r="Q391" s="27" t="str">
        <f aca="false">IF(B391="","",COUNTIF(Socios!$B:$B,B391))</f>
        <v/>
      </c>
      <c r="R391" s="27" t="str">
        <f aca="false">IF(B391="","",COUNTIFS(Socios!$B:$B,B391,Socios!$L:$L,"SIM"))</f>
        <v/>
      </c>
      <c r="S391" s="24"/>
      <c r="T391" s="11"/>
    </row>
    <row r="392" customFormat="false" ht="15" hidden="false" customHeight="false" outlineLevel="0" collapsed="false">
      <c r="A392" s="24"/>
      <c r="B392" s="31" t="str">
        <f aca="false">IF(A392="","",IF(LEN(UPPER(SUBSTITUTE(SUBSTITUTE(SUBSTITUTE(SUBSTITUTE(TRIM(A392),".",""),"/",""),"-","")," ","")))&lt;14,RIGHT(REPT("0",14)&amp;UPPER(SUBSTITUTE(SUBSTITUTE(SUBSTITUTE(SUBSTITUTE(TRIM(A392),".",""),"/",""),"-","")," ","")),14),UPPER(SUBSTITUTE(SUBSTITUTE(SUBSTITUTE(SUBSTITUTE(TRIM(A392),".",""),"/",""),"-","")," ",""))))</f>
        <v/>
      </c>
      <c r="C392" s="11"/>
      <c r="D392" s="23"/>
      <c r="E392" s="22"/>
      <c r="F392" s="23"/>
      <c r="G392" s="11"/>
      <c r="H392" s="35"/>
      <c r="I392" s="11"/>
      <c r="J392" s="23"/>
      <c r="K392" s="27" t="str">
        <f aca="false">IF(B392="","",COUNTIF(Contratos!$D:$D,B392))</f>
        <v/>
      </c>
      <c r="L392" s="36" t="str">
        <f aca="false">IF(B392="","",SUMIFS(Contratos!$K:$K,Contratos!$D:$D,B392))</f>
        <v/>
      </c>
      <c r="M392" s="36" t="str">
        <f aca="false">IF(B392="","",SUMIFS(Pagamentos!$G:$G,Pagamentos!$D:$D,B392,Pagamentos!$F:$F,"Empenho"))</f>
        <v/>
      </c>
      <c r="N392" s="36" t="str">
        <f aca="false">IF(B392="","",SUMIFS(Pagamentos!$G:$G,Pagamentos!$D:$D,B392,Pagamentos!$F:$F,"Pagamento"))</f>
        <v/>
      </c>
      <c r="O392" s="37" t="str">
        <f aca="false">IF(OR(B392="",H392="",L392="",L392=0),"",H392/L392)</f>
        <v/>
      </c>
      <c r="P392" s="27" t="str">
        <f aca="false">IF(B392="","",COUNTIF(Sancoes!$C:$C,B392))</f>
        <v/>
      </c>
      <c r="Q392" s="27" t="str">
        <f aca="false">IF(B392="","",COUNTIF(Socios!$B:$B,B392))</f>
        <v/>
      </c>
      <c r="R392" s="27" t="str">
        <f aca="false">IF(B392="","",COUNTIFS(Socios!$B:$B,B392,Socios!$L:$L,"SIM"))</f>
        <v/>
      </c>
      <c r="S392" s="24"/>
      <c r="T392" s="11"/>
    </row>
    <row r="393" customFormat="false" ht="15" hidden="false" customHeight="false" outlineLevel="0" collapsed="false">
      <c r="A393" s="24"/>
      <c r="B393" s="31" t="str">
        <f aca="false">IF(A393="","",IF(LEN(UPPER(SUBSTITUTE(SUBSTITUTE(SUBSTITUTE(SUBSTITUTE(TRIM(A393),".",""),"/",""),"-","")," ","")))&lt;14,RIGHT(REPT("0",14)&amp;UPPER(SUBSTITUTE(SUBSTITUTE(SUBSTITUTE(SUBSTITUTE(TRIM(A393),".",""),"/",""),"-","")," ","")),14),UPPER(SUBSTITUTE(SUBSTITUTE(SUBSTITUTE(SUBSTITUTE(TRIM(A393),".",""),"/",""),"-","")," ",""))))</f>
        <v/>
      </c>
      <c r="C393" s="11"/>
      <c r="D393" s="23"/>
      <c r="E393" s="22"/>
      <c r="F393" s="23"/>
      <c r="G393" s="11"/>
      <c r="H393" s="35"/>
      <c r="I393" s="11"/>
      <c r="J393" s="23"/>
      <c r="K393" s="27" t="str">
        <f aca="false">IF(B393="","",COUNTIF(Contratos!$D:$D,B393))</f>
        <v/>
      </c>
      <c r="L393" s="36" t="str">
        <f aca="false">IF(B393="","",SUMIFS(Contratos!$K:$K,Contratos!$D:$D,B393))</f>
        <v/>
      </c>
      <c r="M393" s="36" t="str">
        <f aca="false">IF(B393="","",SUMIFS(Pagamentos!$G:$G,Pagamentos!$D:$D,B393,Pagamentos!$F:$F,"Empenho"))</f>
        <v/>
      </c>
      <c r="N393" s="36" t="str">
        <f aca="false">IF(B393="","",SUMIFS(Pagamentos!$G:$G,Pagamentos!$D:$D,B393,Pagamentos!$F:$F,"Pagamento"))</f>
        <v/>
      </c>
      <c r="O393" s="37" t="str">
        <f aca="false">IF(OR(B393="",H393="",L393="",L393=0),"",H393/L393)</f>
        <v/>
      </c>
      <c r="P393" s="27" t="str">
        <f aca="false">IF(B393="","",COUNTIF(Sancoes!$C:$C,B393))</f>
        <v/>
      </c>
      <c r="Q393" s="27" t="str">
        <f aca="false">IF(B393="","",COUNTIF(Socios!$B:$B,B393))</f>
        <v/>
      </c>
      <c r="R393" s="27" t="str">
        <f aca="false">IF(B393="","",COUNTIFS(Socios!$B:$B,B393,Socios!$L:$L,"SIM"))</f>
        <v/>
      </c>
      <c r="S393" s="24"/>
      <c r="T393" s="11"/>
    </row>
    <row r="394" customFormat="false" ht="15" hidden="false" customHeight="false" outlineLevel="0" collapsed="false">
      <c r="A394" s="24"/>
      <c r="B394" s="31" t="str">
        <f aca="false">IF(A394="","",IF(LEN(UPPER(SUBSTITUTE(SUBSTITUTE(SUBSTITUTE(SUBSTITUTE(TRIM(A394),".",""),"/",""),"-","")," ","")))&lt;14,RIGHT(REPT("0",14)&amp;UPPER(SUBSTITUTE(SUBSTITUTE(SUBSTITUTE(SUBSTITUTE(TRIM(A394),".",""),"/",""),"-","")," ","")),14),UPPER(SUBSTITUTE(SUBSTITUTE(SUBSTITUTE(SUBSTITUTE(TRIM(A394),".",""),"/",""),"-","")," ",""))))</f>
        <v/>
      </c>
      <c r="C394" s="11"/>
      <c r="D394" s="23"/>
      <c r="E394" s="22"/>
      <c r="F394" s="23"/>
      <c r="G394" s="11"/>
      <c r="H394" s="35"/>
      <c r="I394" s="11"/>
      <c r="J394" s="23"/>
      <c r="K394" s="27" t="str">
        <f aca="false">IF(B394="","",COUNTIF(Contratos!$D:$D,B394))</f>
        <v/>
      </c>
      <c r="L394" s="36" t="str">
        <f aca="false">IF(B394="","",SUMIFS(Contratos!$K:$K,Contratos!$D:$D,B394))</f>
        <v/>
      </c>
      <c r="M394" s="36" t="str">
        <f aca="false">IF(B394="","",SUMIFS(Pagamentos!$G:$G,Pagamentos!$D:$D,B394,Pagamentos!$F:$F,"Empenho"))</f>
        <v/>
      </c>
      <c r="N394" s="36" t="str">
        <f aca="false">IF(B394="","",SUMIFS(Pagamentos!$G:$G,Pagamentos!$D:$D,B394,Pagamentos!$F:$F,"Pagamento"))</f>
        <v/>
      </c>
      <c r="O394" s="37" t="str">
        <f aca="false">IF(OR(B394="",H394="",L394="",L394=0),"",H394/L394)</f>
        <v/>
      </c>
      <c r="P394" s="27" t="str">
        <f aca="false">IF(B394="","",COUNTIF(Sancoes!$C:$C,B394))</f>
        <v/>
      </c>
      <c r="Q394" s="27" t="str">
        <f aca="false">IF(B394="","",COUNTIF(Socios!$B:$B,B394))</f>
        <v/>
      </c>
      <c r="R394" s="27" t="str">
        <f aca="false">IF(B394="","",COUNTIFS(Socios!$B:$B,B394,Socios!$L:$L,"SIM"))</f>
        <v/>
      </c>
      <c r="S394" s="24"/>
      <c r="T394" s="11"/>
    </row>
    <row r="395" customFormat="false" ht="15" hidden="false" customHeight="false" outlineLevel="0" collapsed="false">
      <c r="A395" s="24"/>
      <c r="B395" s="31" t="str">
        <f aca="false">IF(A395="","",IF(LEN(UPPER(SUBSTITUTE(SUBSTITUTE(SUBSTITUTE(SUBSTITUTE(TRIM(A395),".",""),"/",""),"-","")," ","")))&lt;14,RIGHT(REPT("0",14)&amp;UPPER(SUBSTITUTE(SUBSTITUTE(SUBSTITUTE(SUBSTITUTE(TRIM(A395),".",""),"/",""),"-","")," ","")),14),UPPER(SUBSTITUTE(SUBSTITUTE(SUBSTITUTE(SUBSTITUTE(TRIM(A395),".",""),"/",""),"-","")," ",""))))</f>
        <v/>
      </c>
      <c r="C395" s="11"/>
      <c r="D395" s="23"/>
      <c r="E395" s="22"/>
      <c r="F395" s="23"/>
      <c r="G395" s="11"/>
      <c r="H395" s="35"/>
      <c r="I395" s="11"/>
      <c r="J395" s="23"/>
      <c r="K395" s="27" t="str">
        <f aca="false">IF(B395="","",COUNTIF(Contratos!$D:$D,B395))</f>
        <v/>
      </c>
      <c r="L395" s="36" t="str">
        <f aca="false">IF(B395="","",SUMIFS(Contratos!$K:$K,Contratos!$D:$D,B395))</f>
        <v/>
      </c>
      <c r="M395" s="36" t="str">
        <f aca="false">IF(B395="","",SUMIFS(Pagamentos!$G:$G,Pagamentos!$D:$D,B395,Pagamentos!$F:$F,"Empenho"))</f>
        <v/>
      </c>
      <c r="N395" s="36" t="str">
        <f aca="false">IF(B395="","",SUMIFS(Pagamentos!$G:$G,Pagamentos!$D:$D,B395,Pagamentos!$F:$F,"Pagamento"))</f>
        <v/>
      </c>
      <c r="O395" s="37" t="str">
        <f aca="false">IF(OR(B395="",H395="",L395="",L395=0),"",H395/L395)</f>
        <v/>
      </c>
      <c r="P395" s="27" t="str">
        <f aca="false">IF(B395="","",COUNTIF(Sancoes!$C:$C,B395))</f>
        <v/>
      </c>
      <c r="Q395" s="27" t="str">
        <f aca="false">IF(B395="","",COUNTIF(Socios!$B:$B,B395))</f>
        <v/>
      </c>
      <c r="R395" s="27" t="str">
        <f aca="false">IF(B395="","",COUNTIFS(Socios!$B:$B,B395,Socios!$L:$L,"SIM"))</f>
        <v/>
      </c>
      <c r="S395" s="24"/>
      <c r="T395" s="11"/>
    </row>
    <row r="396" customFormat="false" ht="15" hidden="false" customHeight="false" outlineLevel="0" collapsed="false">
      <c r="A396" s="24"/>
      <c r="B396" s="31" t="str">
        <f aca="false">IF(A396="","",IF(LEN(UPPER(SUBSTITUTE(SUBSTITUTE(SUBSTITUTE(SUBSTITUTE(TRIM(A396),".",""),"/",""),"-","")," ","")))&lt;14,RIGHT(REPT("0",14)&amp;UPPER(SUBSTITUTE(SUBSTITUTE(SUBSTITUTE(SUBSTITUTE(TRIM(A396),".",""),"/",""),"-","")," ","")),14),UPPER(SUBSTITUTE(SUBSTITUTE(SUBSTITUTE(SUBSTITUTE(TRIM(A396),".",""),"/",""),"-","")," ",""))))</f>
        <v/>
      </c>
      <c r="C396" s="11"/>
      <c r="D396" s="23"/>
      <c r="E396" s="22"/>
      <c r="F396" s="23"/>
      <c r="G396" s="11"/>
      <c r="H396" s="35"/>
      <c r="I396" s="11"/>
      <c r="J396" s="23"/>
      <c r="K396" s="27" t="str">
        <f aca="false">IF(B396="","",COUNTIF(Contratos!$D:$D,B396))</f>
        <v/>
      </c>
      <c r="L396" s="36" t="str">
        <f aca="false">IF(B396="","",SUMIFS(Contratos!$K:$K,Contratos!$D:$D,B396))</f>
        <v/>
      </c>
      <c r="M396" s="36" t="str">
        <f aca="false">IF(B396="","",SUMIFS(Pagamentos!$G:$G,Pagamentos!$D:$D,B396,Pagamentos!$F:$F,"Empenho"))</f>
        <v/>
      </c>
      <c r="N396" s="36" t="str">
        <f aca="false">IF(B396="","",SUMIFS(Pagamentos!$G:$G,Pagamentos!$D:$D,B396,Pagamentos!$F:$F,"Pagamento"))</f>
        <v/>
      </c>
      <c r="O396" s="37" t="str">
        <f aca="false">IF(OR(B396="",H396="",L396="",L396=0),"",H396/L396)</f>
        <v/>
      </c>
      <c r="P396" s="27" t="str">
        <f aca="false">IF(B396="","",COUNTIF(Sancoes!$C:$C,B396))</f>
        <v/>
      </c>
      <c r="Q396" s="27" t="str">
        <f aca="false">IF(B396="","",COUNTIF(Socios!$B:$B,B396))</f>
        <v/>
      </c>
      <c r="R396" s="27" t="str">
        <f aca="false">IF(B396="","",COUNTIFS(Socios!$B:$B,B396,Socios!$L:$L,"SIM"))</f>
        <v/>
      </c>
      <c r="S396" s="24"/>
      <c r="T396" s="11"/>
    </row>
    <row r="397" customFormat="false" ht="15" hidden="false" customHeight="false" outlineLevel="0" collapsed="false">
      <c r="A397" s="24"/>
      <c r="B397" s="31" t="str">
        <f aca="false">IF(A397="","",IF(LEN(UPPER(SUBSTITUTE(SUBSTITUTE(SUBSTITUTE(SUBSTITUTE(TRIM(A397),".",""),"/",""),"-","")," ","")))&lt;14,RIGHT(REPT("0",14)&amp;UPPER(SUBSTITUTE(SUBSTITUTE(SUBSTITUTE(SUBSTITUTE(TRIM(A397),".",""),"/",""),"-","")," ","")),14),UPPER(SUBSTITUTE(SUBSTITUTE(SUBSTITUTE(SUBSTITUTE(TRIM(A397),".",""),"/",""),"-","")," ",""))))</f>
        <v/>
      </c>
      <c r="C397" s="11"/>
      <c r="D397" s="23"/>
      <c r="E397" s="22"/>
      <c r="F397" s="23"/>
      <c r="G397" s="11"/>
      <c r="H397" s="35"/>
      <c r="I397" s="11"/>
      <c r="J397" s="23"/>
      <c r="K397" s="27" t="str">
        <f aca="false">IF(B397="","",COUNTIF(Contratos!$D:$D,B397))</f>
        <v/>
      </c>
      <c r="L397" s="36" t="str">
        <f aca="false">IF(B397="","",SUMIFS(Contratos!$K:$K,Contratos!$D:$D,B397))</f>
        <v/>
      </c>
      <c r="M397" s="36" t="str">
        <f aca="false">IF(B397="","",SUMIFS(Pagamentos!$G:$G,Pagamentos!$D:$D,B397,Pagamentos!$F:$F,"Empenho"))</f>
        <v/>
      </c>
      <c r="N397" s="36" t="str">
        <f aca="false">IF(B397="","",SUMIFS(Pagamentos!$G:$G,Pagamentos!$D:$D,B397,Pagamentos!$F:$F,"Pagamento"))</f>
        <v/>
      </c>
      <c r="O397" s="37" t="str">
        <f aca="false">IF(OR(B397="",H397="",L397="",L397=0),"",H397/L397)</f>
        <v/>
      </c>
      <c r="P397" s="27" t="str">
        <f aca="false">IF(B397="","",COUNTIF(Sancoes!$C:$C,B397))</f>
        <v/>
      </c>
      <c r="Q397" s="27" t="str">
        <f aca="false">IF(B397="","",COUNTIF(Socios!$B:$B,B397))</f>
        <v/>
      </c>
      <c r="R397" s="27" t="str">
        <f aca="false">IF(B397="","",COUNTIFS(Socios!$B:$B,B397,Socios!$L:$L,"SIM"))</f>
        <v/>
      </c>
      <c r="S397" s="24"/>
      <c r="T397" s="11"/>
    </row>
    <row r="398" customFormat="false" ht="15" hidden="false" customHeight="false" outlineLevel="0" collapsed="false">
      <c r="A398" s="24"/>
      <c r="B398" s="31" t="str">
        <f aca="false">IF(A398="","",IF(LEN(UPPER(SUBSTITUTE(SUBSTITUTE(SUBSTITUTE(SUBSTITUTE(TRIM(A398),".",""),"/",""),"-","")," ","")))&lt;14,RIGHT(REPT("0",14)&amp;UPPER(SUBSTITUTE(SUBSTITUTE(SUBSTITUTE(SUBSTITUTE(TRIM(A398),".",""),"/",""),"-","")," ","")),14),UPPER(SUBSTITUTE(SUBSTITUTE(SUBSTITUTE(SUBSTITUTE(TRIM(A398),".",""),"/",""),"-","")," ",""))))</f>
        <v/>
      </c>
      <c r="C398" s="11"/>
      <c r="D398" s="23"/>
      <c r="E398" s="22"/>
      <c r="F398" s="23"/>
      <c r="G398" s="11"/>
      <c r="H398" s="35"/>
      <c r="I398" s="11"/>
      <c r="J398" s="23"/>
      <c r="K398" s="27" t="str">
        <f aca="false">IF(B398="","",COUNTIF(Contratos!$D:$D,B398))</f>
        <v/>
      </c>
      <c r="L398" s="36" t="str">
        <f aca="false">IF(B398="","",SUMIFS(Contratos!$K:$K,Contratos!$D:$D,B398))</f>
        <v/>
      </c>
      <c r="M398" s="36" t="str">
        <f aca="false">IF(B398="","",SUMIFS(Pagamentos!$G:$G,Pagamentos!$D:$D,B398,Pagamentos!$F:$F,"Empenho"))</f>
        <v/>
      </c>
      <c r="N398" s="36" t="str">
        <f aca="false">IF(B398="","",SUMIFS(Pagamentos!$G:$G,Pagamentos!$D:$D,B398,Pagamentos!$F:$F,"Pagamento"))</f>
        <v/>
      </c>
      <c r="O398" s="37" t="str">
        <f aca="false">IF(OR(B398="",H398="",L398="",L398=0),"",H398/L398)</f>
        <v/>
      </c>
      <c r="P398" s="27" t="str">
        <f aca="false">IF(B398="","",COUNTIF(Sancoes!$C:$C,B398))</f>
        <v/>
      </c>
      <c r="Q398" s="27" t="str">
        <f aca="false">IF(B398="","",COUNTIF(Socios!$B:$B,B398))</f>
        <v/>
      </c>
      <c r="R398" s="27" t="str">
        <f aca="false">IF(B398="","",COUNTIFS(Socios!$B:$B,B398,Socios!$L:$L,"SIM"))</f>
        <v/>
      </c>
      <c r="S398" s="24"/>
      <c r="T398" s="11"/>
    </row>
    <row r="399" customFormat="false" ht="15" hidden="false" customHeight="false" outlineLevel="0" collapsed="false">
      <c r="A399" s="24"/>
      <c r="B399" s="31" t="str">
        <f aca="false">IF(A399="","",IF(LEN(UPPER(SUBSTITUTE(SUBSTITUTE(SUBSTITUTE(SUBSTITUTE(TRIM(A399),".",""),"/",""),"-","")," ","")))&lt;14,RIGHT(REPT("0",14)&amp;UPPER(SUBSTITUTE(SUBSTITUTE(SUBSTITUTE(SUBSTITUTE(TRIM(A399),".",""),"/",""),"-","")," ","")),14),UPPER(SUBSTITUTE(SUBSTITUTE(SUBSTITUTE(SUBSTITUTE(TRIM(A399),".",""),"/",""),"-","")," ",""))))</f>
        <v/>
      </c>
      <c r="C399" s="11"/>
      <c r="D399" s="23"/>
      <c r="E399" s="22"/>
      <c r="F399" s="23"/>
      <c r="G399" s="11"/>
      <c r="H399" s="35"/>
      <c r="I399" s="11"/>
      <c r="J399" s="23"/>
      <c r="K399" s="27" t="str">
        <f aca="false">IF(B399="","",COUNTIF(Contratos!$D:$D,B399))</f>
        <v/>
      </c>
      <c r="L399" s="36" t="str">
        <f aca="false">IF(B399="","",SUMIFS(Contratos!$K:$K,Contratos!$D:$D,B399))</f>
        <v/>
      </c>
      <c r="M399" s="36" t="str">
        <f aca="false">IF(B399="","",SUMIFS(Pagamentos!$G:$G,Pagamentos!$D:$D,B399,Pagamentos!$F:$F,"Empenho"))</f>
        <v/>
      </c>
      <c r="N399" s="36" t="str">
        <f aca="false">IF(B399="","",SUMIFS(Pagamentos!$G:$G,Pagamentos!$D:$D,B399,Pagamentos!$F:$F,"Pagamento"))</f>
        <v/>
      </c>
      <c r="O399" s="37" t="str">
        <f aca="false">IF(OR(B399="",H399="",L399="",L399=0),"",H399/L399)</f>
        <v/>
      </c>
      <c r="P399" s="27" t="str">
        <f aca="false">IF(B399="","",COUNTIF(Sancoes!$C:$C,B399))</f>
        <v/>
      </c>
      <c r="Q399" s="27" t="str">
        <f aca="false">IF(B399="","",COUNTIF(Socios!$B:$B,B399))</f>
        <v/>
      </c>
      <c r="R399" s="27" t="str">
        <f aca="false">IF(B399="","",COUNTIFS(Socios!$B:$B,B399,Socios!$L:$L,"SIM"))</f>
        <v/>
      </c>
      <c r="S399" s="24"/>
      <c r="T399" s="11"/>
    </row>
    <row r="400" customFormat="false" ht="15" hidden="false" customHeight="false" outlineLevel="0" collapsed="false">
      <c r="A400" s="24"/>
      <c r="B400" s="31" t="str">
        <f aca="false">IF(A400="","",IF(LEN(UPPER(SUBSTITUTE(SUBSTITUTE(SUBSTITUTE(SUBSTITUTE(TRIM(A400),".",""),"/",""),"-","")," ","")))&lt;14,RIGHT(REPT("0",14)&amp;UPPER(SUBSTITUTE(SUBSTITUTE(SUBSTITUTE(SUBSTITUTE(TRIM(A400),".",""),"/",""),"-","")," ","")),14),UPPER(SUBSTITUTE(SUBSTITUTE(SUBSTITUTE(SUBSTITUTE(TRIM(A400),".",""),"/",""),"-","")," ",""))))</f>
        <v/>
      </c>
      <c r="C400" s="11"/>
      <c r="D400" s="23"/>
      <c r="E400" s="22"/>
      <c r="F400" s="23"/>
      <c r="G400" s="11"/>
      <c r="H400" s="35"/>
      <c r="I400" s="11"/>
      <c r="J400" s="23"/>
      <c r="K400" s="27" t="str">
        <f aca="false">IF(B400="","",COUNTIF(Contratos!$D:$D,B400))</f>
        <v/>
      </c>
      <c r="L400" s="36" t="str">
        <f aca="false">IF(B400="","",SUMIFS(Contratos!$K:$K,Contratos!$D:$D,B400))</f>
        <v/>
      </c>
      <c r="M400" s="36" t="str">
        <f aca="false">IF(B400="","",SUMIFS(Pagamentos!$G:$G,Pagamentos!$D:$D,B400,Pagamentos!$F:$F,"Empenho"))</f>
        <v/>
      </c>
      <c r="N400" s="36" t="str">
        <f aca="false">IF(B400="","",SUMIFS(Pagamentos!$G:$G,Pagamentos!$D:$D,B400,Pagamentos!$F:$F,"Pagamento"))</f>
        <v/>
      </c>
      <c r="O400" s="37" t="str">
        <f aca="false">IF(OR(B400="",H400="",L400="",L400=0),"",H400/L400)</f>
        <v/>
      </c>
      <c r="P400" s="27" t="str">
        <f aca="false">IF(B400="","",COUNTIF(Sancoes!$C:$C,B400))</f>
        <v/>
      </c>
      <c r="Q400" s="27" t="str">
        <f aca="false">IF(B400="","",COUNTIF(Socios!$B:$B,B400))</f>
        <v/>
      </c>
      <c r="R400" s="27" t="str">
        <f aca="false">IF(B400="","",COUNTIFS(Socios!$B:$B,B400,Socios!$L:$L,"SIM"))</f>
        <v/>
      </c>
      <c r="S400" s="24"/>
      <c r="T400" s="11"/>
    </row>
    <row r="401" customFormat="false" ht="15" hidden="false" customHeight="false" outlineLevel="0" collapsed="false">
      <c r="A401" s="24"/>
      <c r="B401" s="31" t="str">
        <f aca="false">IF(A401="","",IF(LEN(UPPER(SUBSTITUTE(SUBSTITUTE(SUBSTITUTE(SUBSTITUTE(TRIM(A401),".",""),"/",""),"-","")," ","")))&lt;14,RIGHT(REPT("0",14)&amp;UPPER(SUBSTITUTE(SUBSTITUTE(SUBSTITUTE(SUBSTITUTE(TRIM(A401),".",""),"/",""),"-","")," ","")),14),UPPER(SUBSTITUTE(SUBSTITUTE(SUBSTITUTE(SUBSTITUTE(TRIM(A401),".",""),"/",""),"-","")," ",""))))</f>
        <v/>
      </c>
      <c r="C401" s="11"/>
      <c r="D401" s="23"/>
      <c r="E401" s="22"/>
      <c r="F401" s="23"/>
      <c r="G401" s="11"/>
      <c r="H401" s="35"/>
      <c r="I401" s="11"/>
      <c r="J401" s="23"/>
      <c r="K401" s="27" t="str">
        <f aca="false">IF(B401="","",COUNTIF(Contratos!$D:$D,B401))</f>
        <v/>
      </c>
      <c r="L401" s="36" t="str">
        <f aca="false">IF(B401="","",SUMIFS(Contratos!$K:$K,Contratos!$D:$D,B401))</f>
        <v/>
      </c>
      <c r="M401" s="36" t="str">
        <f aca="false">IF(B401="","",SUMIFS(Pagamentos!$G:$G,Pagamentos!$D:$D,B401,Pagamentos!$F:$F,"Empenho"))</f>
        <v/>
      </c>
      <c r="N401" s="36" t="str">
        <f aca="false">IF(B401="","",SUMIFS(Pagamentos!$G:$G,Pagamentos!$D:$D,B401,Pagamentos!$F:$F,"Pagamento"))</f>
        <v/>
      </c>
      <c r="O401" s="37" t="str">
        <f aca="false">IF(OR(B401="",H401="",L401="",L401=0),"",H401/L401)</f>
        <v/>
      </c>
      <c r="P401" s="27" t="str">
        <f aca="false">IF(B401="","",COUNTIF(Sancoes!$C:$C,B401))</f>
        <v/>
      </c>
      <c r="Q401" s="27" t="str">
        <f aca="false">IF(B401="","",COUNTIF(Socios!$B:$B,B401))</f>
        <v/>
      </c>
      <c r="R401" s="27" t="str">
        <f aca="false">IF(B401="","",COUNTIFS(Socios!$B:$B,B401,Socios!$L:$L,"SIM"))</f>
        <v/>
      </c>
      <c r="S401" s="24"/>
      <c r="T401" s="11"/>
    </row>
    <row r="402" customFormat="false" ht="15" hidden="false" customHeight="false" outlineLevel="0" collapsed="false">
      <c r="A402" s="24"/>
      <c r="B402" s="31" t="str">
        <f aca="false">IF(A402="","",IF(LEN(UPPER(SUBSTITUTE(SUBSTITUTE(SUBSTITUTE(SUBSTITUTE(TRIM(A402),".",""),"/",""),"-","")," ","")))&lt;14,RIGHT(REPT("0",14)&amp;UPPER(SUBSTITUTE(SUBSTITUTE(SUBSTITUTE(SUBSTITUTE(TRIM(A402),".",""),"/",""),"-","")," ","")),14),UPPER(SUBSTITUTE(SUBSTITUTE(SUBSTITUTE(SUBSTITUTE(TRIM(A402),".",""),"/",""),"-","")," ",""))))</f>
        <v/>
      </c>
      <c r="C402" s="11"/>
      <c r="D402" s="23"/>
      <c r="E402" s="22"/>
      <c r="F402" s="23"/>
      <c r="G402" s="11"/>
      <c r="H402" s="35"/>
      <c r="I402" s="11"/>
      <c r="J402" s="23"/>
      <c r="K402" s="27" t="str">
        <f aca="false">IF(B402="","",COUNTIF(Contratos!$D:$D,B402))</f>
        <v/>
      </c>
      <c r="L402" s="36" t="str">
        <f aca="false">IF(B402="","",SUMIFS(Contratos!$K:$K,Contratos!$D:$D,B402))</f>
        <v/>
      </c>
      <c r="M402" s="36" t="str">
        <f aca="false">IF(B402="","",SUMIFS(Pagamentos!$G:$G,Pagamentos!$D:$D,B402,Pagamentos!$F:$F,"Empenho"))</f>
        <v/>
      </c>
      <c r="N402" s="36" t="str">
        <f aca="false">IF(B402="","",SUMIFS(Pagamentos!$G:$G,Pagamentos!$D:$D,B402,Pagamentos!$F:$F,"Pagamento"))</f>
        <v/>
      </c>
      <c r="O402" s="37" t="str">
        <f aca="false">IF(OR(B402="",H402="",L402="",L402=0),"",H402/L402)</f>
        <v/>
      </c>
      <c r="P402" s="27" t="str">
        <f aca="false">IF(B402="","",COUNTIF(Sancoes!$C:$C,B402))</f>
        <v/>
      </c>
      <c r="Q402" s="27" t="str">
        <f aca="false">IF(B402="","",COUNTIF(Socios!$B:$B,B402))</f>
        <v/>
      </c>
      <c r="R402" s="27" t="str">
        <f aca="false">IF(B402="","",COUNTIFS(Socios!$B:$B,B402,Socios!$L:$L,"SIM"))</f>
        <v/>
      </c>
      <c r="S402" s="24"/>
      <c r="T402" s="11"/>
    </row>
    <row r="403" customFormat="false" ht="15" hidden="false" customHeight="false" outlineLevel="0" collapsed="false">
      <c r="A403" s="24"/>
      <c r="B403" s="31" t="str">
        <f aca="false">IF(A403="","",IF(LEN(UPPER(SUBSTITUTE(SUBSTITUTE(SUBSTITUTE(SUBSTITUTE(TRIM(A403),".",""),"/",""),"-","")," ","")))&lt;14,RIGHT(REPT("0",14)&amp;UPPER(SUBSTITUTE(SUBSTITUTE(SUBSTITUTE(SUBSTITUTE(TRIM(A403),".",""),"/",""),"-","")," ","")),14),UPPER(SUBSTITUTE(SUBSTITUTE(SUBSTITUTE(SUBSTITUTE(TRIM(A403),".",""),"/",""),"-","")," ",""))))</f>
        <v/>
      </c>
      <c r="C403" s="11"/>
      <c r="D403" s="23"/>
      <c r="E403" s="22"/>
      <c r="F403" s="23"/>
      <c r="G403" s="11"/>
      <c r="H403" s="35"/>
      <c r="I403" s="11"/>
      <c r="J403" s="23"/>
      <c r="K403" s="27" t="str">
        <f aca="false">IF(B403="","",COUNTIF(Contratos!$D:$D,B403))</f>
        <v/>
      </c>
      <c r="L403" s="36" t="str">
        <f aca="false">IF(B403="","",SUMIFS(Contratos!$K:$K,Contratos!$D:$D,B403))</f>
        <v/>
      </c>
      <c r="M403" s="36" t="str">
        <f aca="false">IF(B403="","",SUMIFS(Pagamentos!$G:$G,Pagamentos!$D:$D,B403,Pagamentos!$F:$F,"Empenho"))</f>
        <v/>
      </c>
      <c r="N403" s="36" t="str">
        <f aca="false">IF(B403="","",SUMIFS(Pagamentos!$G:$G,Pagamentos!$D:$D,B403,Pagamentos!$F:$F,"Pagamento"))</f>
        <v/>
      </c>
      <c r="O403" s="37" t="str">
        <f aca="false">IF(OR(B403="",H403="",L403="",L403=0),"",H403/L403)</f>
        <v/>
      </c>
      <c r="P403" s="27" t="str">
        <f aca="false">IF(B403="","",COUNTIF(Sancoes!$C:$C,B403))</f>
        <v/>
      </c>
      <c r="Q403" s="27" t="str">
        <f aca="false">IF(B403="","",COUNTIF(Socios!$B:$B,B403))</f>
        <v/>
      </c>
      <c r="R403" s="27" t="str">
        <f aca="false">IF(B403="","",COUNTIFS(Socios!$B:$B,B403,Socios!$L:$L,"SIM"))</f>
        <v/>
      </c>
      <c r="S403" s="24"/>
      <c r="T403" s="11"/>
    </row>
    <row r="404" customFormat="false" ht="15" hidden="false" customHeight="false" outlineLevel="0" collapsed="false">
      <c r="A404" s="24"/>
      <c r="B404" s="31" t="str">
        <f aca="false">IF(A404="","",IF(LEN(UPPER(SUBSTITUTE(SUBSTITUTE(SUBSTITUTE(SUBSTITUTE(TRIM(A404),".",""),"/",""),"-","")," ","")))&lt;14,RIGHT(REPT("0",14)&amp;UPPER(SUBSTITUTE(SUBSTITUTE(SUBSTITUTE(SUBSTITUTE(TRIM(A404),".",""),"/",""),"-","")," ","")),14),UPPER(SUBSTITUTE(SUBSTITUTE(SUBSTITUTE(SUBSTITUTE(TRIM(A404),".",""),"/",""),"-","")," ",""))))</f>
        <v/>
      </c>
      <c r="C404" s="11"/>
      <c r="D404" s="23"/>
      <c r="E404" s="22"/>
      <c r="F404" s="23"/>
      <c r="G404" s="11"/>
      <c r="H404" s="35"/>
      <c r="I404" s="11"/>
      <c r="J404" s="23"/>
      <c r="K404" s="27" t="str">
        <f aca="false">IF(B404="","",COUNTIF(Contratos!$D:$D,B404))</f>
        <v/>
      </c>
      <c r="L404" s="36" t="str">
        <f aca="false">IF(B404="","",SUMIFS(Contratos!$K:$K,Contratos!$D:$D,B404))</f>
        <v/>
      </c>
      <c r="M404" s="36" t="str">
        <f aca="false">IF(B404="","",SUMIFS(Pagamentos!$G:$G,Pagamentos!$D:$D,B404,Pagamentos!$F:$F,"Empenho"))</f>
        <v/>
      </c>
      <c r="N404" s="36" t="str">
        <f aca="false">IF(B404="","",SUMIFS(Pagamentos!$G:$G,Pagamentos!$D:$D,B404,Pagamentos!$F:$F,"Pagamento"))</f>
        <v/>
      </c>
      <c r="O404" s="37" t="str">
        <f aca="false">IF(OR(B404="",H404="",L404="",L404=0),"",H404/L404)</f>
        <v/>
      </c>
      <c r="P404" s="27" t="str">
        <f aca="false">IF(B404="","",COUNTIF(Sancoes!$C:$C,B404))</f>
        <v/>
      </c>
      <c r="Q404" s="27" t="str">
        <f aca="false">IF(B404="","",COUNTIF(Socios!$B:$B,B404))</f>
        <v/>
      </c>
      <c r="R404" s="27" t="str">
        <f aca="false">IF(B404="","",COUNTIFS(Socios!$B:$B,B404,Socios!$L:$L,"SIM"))</f>
        <v/>
      </c>
      <c r="S404" s="24"/>
      <c r="T404" s="11"/>
    </row>
    <row r="405" customFormat="false" ht="15" hidden="false" customHeight="false" outlineLevel="0" collapsed="false">
      <c r="A405" s="24"/>
      <c r="B405" s="31" t="str">
        <f aca="false">IF(A405="","",IF(LEN(UPPER(SUBSTITUTE(SUBSTITUTE(SUBSTITUTE(SUBSTITUTE(TRIM(A405),".",""),"/",""),"-","")," ","")))&lt;14,RIGHT(REPT("0",14)&amp;UPPER(SUBSTITUTE(SUBSTITUTE(SUBSTITUTE(SUBSTITUTE(TRIM(A405),".",""),"/",""),"-","")," ","")),14),UPPER(SUBSTITUTE(SUBSTITUTE(SUBSTITUTE(SUBSTITUTE(TRIM(A405),".",""),"/",""),"-","")," ",""))))</f>
        <v/>
      </c>
      <c r="C405" s="11"/>
      <c r="D405" s="23"/>
      <c r="E405" s="22"/>
      <c r="F405" s="23"/>
      <c r="G405" s="11"/>
      <c r="H405" s="35"/>
      <c r="I405" s="11"/>
      <c r="J405" s="23"/>
      <c r="K405" s="27" t="str">
        <f aca="false">IF(B405="","",COUNTIF(Contratos!$D:$D,B405))</f>
        <v/>
      </c>
      <c r="L405" s="36" t="str">
        <f aca="false">IF(B405="","",SUMIFS(Contratos!$K:$K,Contratos!$D:$D,B405))</f>
        <v/>
      </c>
      <c r="M405" s="36" t="str">
        <f aca="false">IF(B405="","",SUMIFS(Pagamentos!$G:$G,Pagamentos!$D:$D,B405,Pagamentos!$F:$F,"Empenho"))</f>
        <v/>
      </c>
      <c r="N405" s="36" t="str">
        <f aca="false">IF(B405="","",SUMIFS(Pagamentos!$G:$G,Pagamentos!$D:$D,B405,Pagamentos!$F:$F,"Pagamento"))</f>
        <v/>
      </c>
      <c r="O405" s="37" t="str">
        <f aca="false">IF(OR(B405="",H405="",L405="",L405=0),"",H405/L405)</f>
        <v/>
      </c>
      <c r="P405" s="27" t="str">
        <f aca="false">IF(B405="","",COUNTIF(Sancoes!$C:$C,B405))</f>
        <v/>
      </c>
      <c r="Q405" s="27" t="str">
        <f aca="false">IF(B405="","",COUNTIF(Socios!$B:$B,B405))</f>
        <v/>
      </c>
      <c r="R405" s="27" t="str">
        <f aca="false">IF(B405="","",COUNTIFS(Socios!$B:$B,B405,Socios!$L:$L,"SIM"))</f>
        <v/>
      </c>
      <c r="S405" s="24"/>
      <c r="T405" s="11"/>
    </row>
    <row r="406" customFormat="false" ht="15" hidden="false" customHeight="false" outlineLevel="0" collapsed="false">
      <c r="A406" s="24"/>
      <c r="B406" s="31" t="str">
        <f aca="false">IF(A406="","",IF(LEN(UPPER(SUBSTITUTE(SUBSTITUTE(SUBSTITUTE(SUBSTITUTE(TRIM(A406),".",""),"/",""),"-","")," ","")))&lt;14,RIGHT(REPT("0",14)&amp;UPPER(SUBSTITUTE(SUBSTITUTE(SUBSTITUTE(SUBSTITUTE(TRIM(A406),".",""),"/",""),"-","")," ","")),14),UPPER(SUBSTITUTE(SUBSTITUTE(SUBSTITUTE(SUBSTITUTE(TRIM(A406),".",""),"/",""),"-","")," ",""))))</f>
        <v/>
      </c>
      <c r="C406" s="11"/>
      <c r="D406" s="23"/>
      <c r="E406" s="22"/>
      <c r="F406" s="23"/>
      <c r="G406" s="11"/>
      <c r="H406" s="35"/>
      <c r="I406" s="11"/>
      <c r="J406" s="23"/>
      <c r="K406" s="27" t="str">
        <f aca="false">IF(B406="","",COUNTIF(Contratos!$D:$D,B406))</f>
        <v/>
      </c>
      <c r="L406" s="36" t="str">
        <f aca="false">IF(B406="","",SUMIFS(Contratos!$K:$K,Contratos!$D:$D,B406))</f>
        <v/>
      </c>
      <c r="M406" s="36" t="str">
        <f aca="false">IF(B406="","",SUMIFS(Pagamentos!$G:$G,Pagamentos!$D:$D,B406,Pagamentos!$F:$F,"Empenho"))</f>
        <v/>
      </c>
      <c r="N406" s="36" t="str">
        <f aca="false">IF(B406="","",SUMIFS(Pagamentos!$G:$G,Pagamentos!$D:$D,B406,Pagamentos!$F:$F,"Pagamento"))</f>
        <v/>
      </c>
      <c r="O406" s="37" t="str">
        <f aca="false">IF(OR(B406="",H406="",L406="",L406=0),"",H406/L406)</f>
        <v/>
      </c>
      <c r="P406" s="27" t="str">
        <f aca="false">IF(B406="","",COUNTIF(Sancoes!$C:$C,B406))</f>
        <v/>
      </c>
      <c r="Q406" s="27" t="str">
        <f aca="false">IF(B406="","",COUNTIF(Socios!$B:$B,B406))</f>
        <v/>
      </c>
      <c r="R406" s="27" t="str">
        <f aca="false">IF(B406="","",COUNTIFS(Socios!$B:$B,B406,Socios!$L:$L,"SIM"))</f>
        <v/>
      </c>
      <c r="S406" s="24"/>
      <c r="T406" s="11"/>
    </row>
    <row r="407" customFormat="false" ht="15" hidden="false" customHeight="false" outlineLevel="0" collapsed="false">
      <c r="A407" s="24"/>
      <c r="B407" s="31" t="str">
        <f aca="false">IF(A407="","",IF(LEN(UPPER(SUBSTITUTE(SUBSTITUTE(SUBSTITUTE(SUBSTITUTE(TRIM(A407),".",""),"/",""),"-","")," ","")))&lt;14,RIGHT(REPT("0",14)&amp;UPPER(SUBSTITUTE(SUBSTITUTE(SUBSTITUTE(SUBSTITUTE(TRIM(A407),".",""),"/",""),"-","")," ","")),14),UPPER(SUBSTITUTE(SUBSTITUTE(SUBSTITUTE(SUBSTITUTE(TRIM(A407),".",""),"/",""),"-","")," ",""))))</f>
        <v/>
      </c>
      <c r="C407" s="11"/>
      <c r="D407" s="23"/>
      <c r="E407" s="22"/>
      <c r="F407" s="23"/>
      <c r="G407" s="11"/>
      <c r="H407" s="35"/>
      <c r="I407" s="11"/>
      <c r="J407" s="23"/>
      <c r="K407" s="27" t="str">
        <f aca="false">IF(B407="","",COUNTIF(Contratos!$D:$D,B407))</f>
        <v/>
      </c>
      <c r="L407" s="36" t="str">
        <f aca="false">IF(B407="","",SUMIFS(Contratos!$K:$K,Contratos!$D:$D,B407))</f>
        <v/>
      </c>
      <c r="M407" s="36" t="str">
        <f aca="false">IF(B407="","",SUMIFS(Pagamentos!$G:$G,Pagamentos!$D:$D,B407,Pagamentos!$F:$F,"Empenho"))</f>
        <v/>
      </c>
      <c r="N407" s="36" t="str">
        <f aca="false">IF(B407="","",SUMIFS(Pagamentos!$G:$G,Pagamentos!$D:$D,B407,Pagamentos!$F:$F,"Pagamento"))</f>
        <v/>
      </c>
      <c r="O407" s="37" t="str">
        <f aca="false">IF(OR(B407="",H407="",L407="",L407=0),"",H407/L407)</f>
        <v/>
      </c>
      <c r="P407" s="27" t="str">
        <f aca="false">IF(B407="","",COUNTIF(Sancoes!$C:$C,B407))</f>
        <v/>
      </c>
      <c r="Q407" s="27" t="str">
        <f aca="false">IF(B407="","",COUNTIF(Socios!$B:$B,B407))</f>
        <v/>
      </c>
      <c r="R407" s="27" t="str">
        <f aca="false">IF(B407="","",COUNTIFS(Socios!$B:$B,B407,Socios!$L:$L,"SIM"))</f>
        <v/>
      </c>
      <c r="S407" s="24"/>
      <c r="T407" s="11"/>
    </row>
    <row r="408" customFormat="false" ht="15" hidden="false" customHeight="false" outlineLevel="0" collapsed="false">
      <c r="A408" s="24"/>
      <c r="B408" s="31" t="str">
        <f aca="false">IF(A408="","",IF(LEN(UPPER(SUBSTITUTE(SUBSTITUTE(SUBSTITUTE(SUBSTITUTE(TRIM(A408),".",""),"/",""),"-","")," ","")))&lt;14,RIGHT(REPT("0",14)&amp;UPPER(SUBSTITUTE(SUBSTITUTE(SUBSTITUTE(SUBSTITUTE(TRIM(A408),".",""),"/",""),"-","")," ","")),14),UPPER(SUBSTITUTE(SUBSTITUTE(SUBSTITUTE(SUBSTITUTE(TRIM(A408),".",""),"/",""),"-","")," ",""))))</f>
        <v/>
      </c>
      <c r="C408" s="11"/>
      <c r="D408" s="23"/>
      <c r="E408" s="22"/>
      <c r="F408" s="23"/>
      <c r="G408" s="11"/>
      <c r="H408" s="35"/>
      <c r="I408" s="11"/>
      <c r="J408" s="23"/>
      <c r="K408" s="27" t="str">
        <f aca="false">IF(B408="","",COUNTIF(Contratos!$D:$D,B408))</f>
        <v/>
      </c>
      <c r="L408" s="36" t="str">
        <f aca="false">IF(B408="","",SUMIFS(Contratos!$K:$K,Contratos!$D:$D,B408))</f>
        <v/>
      </c>
      <c r="M408" s="36" t="str">
        <f aca="false">IF(B408="","",SUMIFS(Pagamentos!$G:$G,Pagamentos!$D:$D,B408,Pagamentos!$F:$F,"Empenho"))</f>
        <v/>
      </c>
      <c r="N408" s="36" t="str">
        <f aca="false">IF(B408="","",SUMIFS(Pagamentos!$G:$G,Pagamentos!$D:$D,B408,Pagamentos!$F:$F,"Pagamento"))</f>
        <v/>
      </c>
      <c r="O408" s="37" t="str">
        <f aca="false">IF(OR(B408="",H408="",L408="",L408=0),"",H408/L408)</f>
        <v/>
      </c>
      <c r="P408" s="27" t="str">
        <f aca="false">IF(B408="","",COUNTIF(Sancoes!$C:$C,B408))</f>
        <v/>
      </c>
      <c r="Q408" s="27" t="str">
        <f aca="false">IF(B408="","",COUNTIF(Socios!$B:$B,B408))</f>
        <v/>
      </c>
      <c r="R408" s="27" t="str">
        <f aca="false">IF(B408="","",COUNTIFS(Socios!$B:$B,B408,Socios!$L:$L,"SIM"))</f>
        <v/>
      </c>
      <c r="S408" s="24"/>
      <c r="T408" s="11"/>
    </row>
    <row r="409" customFormat="false" ht="15" hidden="false" customHeight="false" outlineLevel="0" collapsed="false">
      <c r="A409" s="24"/>
      <c r="B409" s="31" t="str">
        <f aca="false">IF(A409="","",IF(LEN(UPPER(SUBSTITUTE(SUBSTITUTE(SUBSTITUTE(SUBSTITUTE(TRIM(A409),".",""),"/",""),"-","")," ","")))&lt;14,RIGHT(REPT("0",14)&amp;UPPER(SUBSTITUTE(SUBSTITUTE(SUBSTITUTE(SUBSTITUTE(TRIM(A409),".",""),"/",""),"-","")," ","")),14),UPPER(SUBSTITUTE(SUBSTITUTE(SUBSTITUTE(SUBSTITUTE(TRIM(A409),".",""),"/",""),"-","")," ",""))))</f>
        <v/>
      </c>
      <c r="C409" s="11"/>
      <c r="D409" s="23"/>
      <c r="E409" s="22"/>
      <c r="F409" s="23"/>
      <c r="G409" s="11"/>
      <c r="H409" s="35"/>
      <c r="I409" s="11"/>
      <c r="J409" s="23"/>
      <c r="K409" s="27" t="str">
        <f aca="false">IF(B409="","",COUNTIF(Contratos!$D:$D,B409))</f>
        <v/>
      </c>
      <c r="L409" s="36" t="str">
        <f aca="false">IF(B409="","",SUMIFS(Contratos!$K:$K,Contratos!$D:$D,B409))</f>
        <v/>
      </c>
      <c r="M409" s="36" t="str">
        <f aca="false">IF(B409="","",SUMIFS(Pagamentos!$G:$G,Pagamentos!$D:$D,B409,Pagamentos!$F:$F,"Empenho"))</f>
        <v/>
      </c>
      <c r="N409" s="36" t="str">
        <f aca="false">IF(B409="","",SUMIFS(Pagamentos!$G:$G,Pagamentos!$D:$D,B409,Pagamentos!$F:$F,"Pagamento"))</f>
        <v/>
      </c>
      <c r="O409" s="37" t="str">
        <f aca="false">IF(OR(B409="",H409="",L409="",L409=0),"",H409/L409)</f>
        <v/>
      </c>
      <c r="P409" s="27" t="str">
        <f aca="false">IF(B409="","",COUNTIF(Sancoes!$C:$C,B409))</f>
        <v/>
      </c>
      <c r="Q409" s="27" t="str">
        <f aca="false">IF(B409="","",COUNTIF(Socios!$B:$B,B409))</f>
        <v/>
      </c>
      <c r="R409" s="27" t="str">
        <f aca="false">IF(B409="","",COUNTIFS(Socios!$B:$B,B409,Socios!$L:$L,"SIM"))</f>
        <v/>
      </c>
      <c r="S409" s="24"/>
      <c r="T409" s="11"/>
    </row>
    <row r="410" customFormat="false" ht="15" hidden="false" customHeight="false" outlineLevel="0" collapsed="false">
      <c r="A410" s="24"/>
      <c r="B410" s="31" t="str">
        <f aca="false">IF(A410="","",IF(LEN(UPPER(SUBSTITUTE(SUBSTITUTE(SUBSTITUTE(SUBSTITUTE(TRIM(A410),".",""),"/",""),"-","")," ","")))&lt;14,RIGHT(REPT("0",14)&amp;UPPER(SUBSTITUTE(SUBSTITUTE(SUBSTITUTE(SUBSTITUTE(TRIM(A410),".",""),"/",""),"-","")," ","")),14),UPPER(SUBSTITUTE(SUBSTITUTE(SUBSTITUTE(SUBSTITUTE(TRIM(A410),".",""),"/",""),"-","")," ",""))))</f>
        <v/>
      </c>
      <c r="C410" s="11"/>
      <c r="D410" s="23"/>
      <c r="E410" s="22"/>
      <c r="F410" s="23"/>
      <c r="G410" s="11"/>
      <c r="H410" s="35"/>
      <c r="I410" s="11"/>
      <c r="J410" s="23"/>
      <c r="K410" s="27" t="str">
        <f aca="false">IF(B410="","",COUNTIF(Contratos!$D:$D,B410))</f>
        <v/>
      </c>
      <c r="L410" s="36" t="str">
        <f aca="false">IF(B410="","",SUMIFS(Contratos!$K:$K,Contratos!$D:$D,B410))</f>
        <v/>
      </c>
      <c r="M410" s="36" t="str">
        <f aca="false">IF(B410="","",SUMIFS(Pagamentos!$G:$G,Pagamentos!$D:$D,B410,Pagamentos!$F:$F,"Empenho"))</f>
        <v/>
      </c>
      <c r="N410" s="36" t="str">
        <f aca="false">IF(B410="","",SUMIFS(Pagamentos!$G:$G,Pagamentos!$D:$D,B410,Pagamentos!$F:$F,"Pagamento"))</f>
        <v/>
      </c>
      <c r="O410" s="37" t="str">
        <f aca="false">IF(OR(B410="",H410="",L410="",L410=0),"",H410/L410)</f>
        <v/>
      </c>
      <c r="P410" s="27" t="str">
        <f aca="false">IF(B410="","",COUNTIF(Sancoes!$C:$C,B410))</f>
        <v/>
      </c>
      <c r="Q410" s="27" t="str">
        <f aca="false">IF(B410="","",COUNTIF(Socios!$B:$B,B410))</f>
        <v/>
      </c>
      <c r="R410" s="27" t="str">
        <f aca="false">IF(B410="","",COUNTIFS(Socios!$B:$B,B410,Socios!$L:$L,"SIM"))</f>
        <v/>
      </c>
      <c r="S410" s="24"/>
      <c r="T410" s="11"/>
    </row>
    <row r="411" customFormat="false" ht="15" hidden="false" customHeight="false" outlineLevel="0" collapsed="false">
      <c r="A411" s="24"/>
      <c r="B411" s="31" t="str">
        <f aca="false">IF(A411="","",IF(LEN(UPPER(SUBSTITUTE(SUBSTITUTE(SUBSTITUTE(SUBSTITUTE(TRIM(A411),".",""),"/",""),"-","")," ","")))&lt;14,RIGHT(REPT("0",14)&amp;UPPER(SUBSTITUTE(SUBSTITUTE(SUBSTITUTE(SUBSTITUTE(TRIM(A411),".",""),"/",""),"-","")," ","")),14),UPPER(SUBSTITUTE(SUBSTITUTE(SUBSTITUTE(SUBSTITUTE(TRIM(A411),".",""),"/",""),"-","")," ",""))))</f>
        <v/>
      </c>
      <c r="C411" s="11"/>
      <c r="D411" s="23"/>
      <c r="E411" s="22"/>
      <c r="F411" s="23"/>
      <c r="G411" s="11"/>
      <c r="H411" s="35"/>
      <c r="I411" s="11"/>
      <c r="J411" s="23"/>
      <c r="K411" s="27" t="str">
        <f aca="false">IF(B411="","",COUNTIF(Contratos!$D:$D,B411))</f>
        <v/>
      </c>
      <c r="L411" s="36" t="str">
        <f aca="false">IF(B411="","",SUMIFS(Contratos!$K:$K,Contratos!$D:$D,B411))</f>
        <v/>
      </c>
      <c r="M411" s="36" t="str">
        <f aca="false">IF(B411="","",SUMIFS(Pagamentos!$G:$G,Pagamentos!$D:$D,B411,Pagamentos!$F:$F,"Empenho"))</f>
        <v/>
      </c>
      <c r="N411" s="36" t="str">
        <f aca="false">IF(B411="","",SUMIFS(Pagamentos!$G:$G,Pagamentos!$D:$D,B411,Pagamentos!$F:$F,"Pagamento"))</f>
        <v/>
      </c>
      <c r="O411" s="37" t="str">
        <f aca="false">IF(OR(B411="",H411="",L411="",L411=0),"",H411/L411)</f>
        <v/>
      </c>
      <c r="P411" s="27" t="str">
        <f aca="false">IF(B411="","",COUNTIF(Sancoes!$C:$C,B411))</f>
        <v/>
      </c>
      <c r="Q411" s="27" t="str">
        <f aca="false">IF(B411="","",COUNTIF(Socios!$B:$B,B411))</f>
        <v/>
      </c>
      <c r="R411" s="27" t="str">
        <f aca="false">IF(B411="","",COUNTIFS(Socios!$B:$B,B411,Socios!$L:$L,"SIM"))</f>
        <v/>
      </c>
      <c r="S411" s="24"/>
      <c r="T411" s="11"/>
    </row>
    <row r="412" customFormat="false" ht="15" hidden="false" customHeight="false" outlineLevel="0" collapsed="false">
      <c r="A412" s="24"/>
      <c r="B412" s="31" t="str">
        <f aca="false">IF(A412="","",IF(LEN(UPPER(SUBSTITUTE(SUBSTITUTE(SUBSTITUTE(SUBSTITUTE(TRIM(A412),".",""),"/",""),"-","")," ","")))&lt;14,RIGHT(REPT("0",14)&amp;UPPER(SUBSTITUTE(SUBSTITUTE(SUBSTITUTE(SUBSTITUTE(TRIM(A412),".",""),"/",""),"-","")," ","")),14),UPPER(SUBSTITUTE(SUBSTITUTE(SUBSTITUTE(SUBSTITUTE(TRIM(A412),".",""),"/",""),"-","")," ",""))))</f>
        <v/>
      </c>
      <c r="C412" s="11"/>
      <c r="D412" s="23"/>
      <c r="E412" s="22"/>
      <c r="F412" s="23"/>
      <c r="G412" s="11"/>
      <c r="H412" s="35"/>
      <c r="I412" s="11"/>
      <c r="J412" s="23"/>
      <c r="K412" s="27" t="str">
        <f aca="false">IF(B412="","",COUNTIF(Contratos!$D:$D,B412))</f>
        <v/>
      </c>
      <c r="L412" s="36" t="str">
        <f aca="false">IF(B412="","",SUMIFS(Contratos!$K:$K,Contratos!$D:$D,B412))</f>
        <v/>
      </c>
      <c r="M412" s="36" t="str">
        <f aca="false">IF(B412="","",SUMIFS(Pagamentos!$G:$G,Pagamentos!$D:$D,B412,Pagamentos!$F:$F,"Empenho"))</f>
        <v/>
      </c>
      <c r="N412" s="36" t="str">
        <f aca="false">IF(B412="","",SUMIFS(Pagamentos!$G:$G,Pagamentos!$D:$D,B412,Pagamentos!$F:$F,"Pagamento"))</f>
        <v/>
      </c>
      <c r="O412" s="37" t="str">
        <f aca="false">IF(OR(B412="",H412="",L412="",L412=0),"",H412/L412)</f>
        <v/>
      </c>
      <c r="P412" s="27" t="str">
        <f aca="false">IF(B412="","",COUNTIF(Sancoes!$C:$C,B412))</f>
        <v/>
      </c>
      <c r="Q412" s="27" t="str">
        <f aca="false">IF(B412="","",COUNTIF(Socios!$B:$B,B412))</f>
        <v/>
      </c>
      <c r="R412" s="27" t="str">
        <f aca="false">IF(B412="","",COUNTIFS(Socios!$B:$B,B412,Socios!$L:$L,"SIM"))</f>
        <v/>
      </c>
      <c r="S412" s="24"/>
      <c r="T412" s="11"/>
    </row>
    <row r="413" customFormat="false" ht="15" hidden="false" customHeight="false" outlineLevel="0" collapsed="false">
      <c r="A413" s="24"/>
      <c r="B413" s="31" t="str">
        <f aca="false">IF(A413="","",IF(LEN(UPPER(SUBSTITUTE(SUBSTITUTE(SUBSTITUTE(SUBSTITUTE(TRIM(A413),".",""),"/",""),"-","")," ","")))&lt;14,RIGHT(REPT("0",14)&amp;UPPER(SUBSTITUTE(SUBSTITUTE(SUBSTITUTE(SUBSTITUTE(TRIM(A413),".",""),"/",""),"-","")," ","")),14),UPPER(SUBSTITUTE(SUBSTITUTE(SUBSTITUTE(SUBSTITUTE(TRIM(A413),".",""),"/",""),"-","")," ",""))))</f>
        <v/>
      </c>
      <c r="C413" s="11"/>
      <c r="D413" s="23"/>
      <c r="E413" s="22"/>
      <c r="F413" s="23"/>
      <c r="G413" s="11"/>
      <c r="H413" s="35"/>
      <c r="I413" s="11"/>
      <c r="J413" s="23"/>
      <c r="K413" s="27" t="str">
        <f aca="false">IF(B413="","",COUNTIF(Contratos!$D:$D,B413))</f>
        <v/>
      </c>
      <c r="L413" s="36" t="str">
        <f aca="false">IF(B413="","",SUMIFS(Contratos!$K:$K,Contratos!$D:$D,B413))</f>
        <v/>
      </c>
      <c r="M413" s="36" t="str">
        <f aca="false">IF(B413="","",SUMIFS(Pagamentos!$G:$G,Pagamentos!$D:$D,B413,Pagamentos!$F:$F,"Empenho"))</f>
        <v/>
      </c>
      <c r="N413" s="36" t="str">
        <f aca="false">IF(B413="","",SUMIFS(Pagamentos!$G:$G,Pagamentos!$D:$D,B413,Pagamentos!$F:$F,"Pagamento"))</f>
        <v/>
      </c>
      <c r="O413" s="37" t="str">
        <f aca="false">IF(OR(B413="",H413="",L413="",L413=0),"",H413/L413)</f>
        <v/>
      </c>
      <c r="P413" s="27" t="str">
        <f aca="false">IF(B413="","",COUNTIF(Sancoes!$C:$C,B413))</f>
        <v/>
      </c>
      <c r="Q413" s="27" t="str">
        <f aca="false">IF(B413="","",COUNTIF(Socios!$B:$B,B413))</f>
        <v/>
      </c>
      <c r="R413" s="27" t="str">
        <f aca="false">IF(B413="","",COUNTIFS(Socios!$B:$B,B413,Socios!$L:$L,"SIM"))</f>
        <v/>
      </c>
      <c r="S413" s="24"/>
      <c r="T413" s="11"/>
    </row>
    <row r="414" customFormat="false" ht="15" hidden="false" customHeight="false" outlineLevel="0" collapsed="false">
      <c r="A414" s="24"/>
      <c r="B414" s="31" t="str">
        <f aca="false">IF(A414="","",IF(LEN(UPPER(SUBSTITUTE(SUBSTITUTE(SUBSTITUTE(SUBSTITUTE(TRIM(A414),".",""),"/",""),"-","")," ","")))&lt;14,RIGHT(REPT("0",14)&amp;UPPER(SUBSTITUTE(SUBSTITUTE(SUBSTITUTE(SUBSTITUTE(TRIM(A414),".",""),"/",""),"-","")," ","")),14),UPPER(SUBSTITUTE(SUBSTITUTE(SUBSTITUTE(SUBSTITUTE(TRIM(A414),".",""),"/",""),"-","")," ",""))))</f>
        <v/>
      </c>
      <c r="C414" s="11"/>
      <c r="D414" s="23"/>
      <c r="E414" s="22"/>
      <c r="F414" s="23"/>
      <c r="G414" s="11"/>
      <c r="H414" s="35"/>
      <c r="I414" s="11"/>
      <c r="J414" s="23"/>
      <c r="K414" s="27" t="str">
        <f aca="false">IF(B414="","",COUNTIF(Contratos!$D:$D,B414))</f>
        <v/>
      </c>
      <c r="L414" s="36" t="str">
        <f aca="false">IF(B414="","",SUMIFS(Contratos!$K:$K,Contratos!$D:$D,B414))</f>
        <v/>
      </c>
      <c r="M414" s="36" t="str">
        <f aca="false">IF(B414="","",SUMIFS(Pagamentos!$G:$G,Pagamentos!$D:$D,B414,Pagamentos!$F:$F,"Empenho"))</f>
        <v/>
      </c>
      <c r="N414" s="36" t="str">
        <f aca="false">IF(B414="","",SUMIFS(Pagamentos!$G:$G,Pagamentos!$D:$D,B414,Pagamentos!$F:$F,"Pagamento"))</f>
        <v/>
      </c>
      <c r="O414" s="37" t="str">
        <f aca="false">IF(OR(B414="",H414="",L414="",L414=0),"",H414/L414)</f>
        <v/>
      </c>
      <c r="P414" s="27" t="str">
        <f aca="false">IF(B414="","",COUNTIF(Sancoes!$C:$C,B414))</f>
        <v/>
      </c>
      <c r="Q414" s="27" t="str">
        <f aca="false">IF(B414="","",COUNTIF(Socios!$B:$B,B414))</f>
        <v/>
      </c>
      <c r="R414" s="27" t="str">
        <f aca="false">IF(B414="","",COUNTIFS(Socios!$B:$B,B414,Socios!$L:$L,"SIM"))</f>
        <v/>
      </c>
      <c r="S414" s="24"/>
      <c r="T414" s="11"/>
    </row>
    <row r="415" customFormat="false" ht="15" hidden="false" customHeight="false" outlineLevel="0" collapsed="false">
      <c r="A415" s="24"/>
      <c r="B415" s="31" t="str">
        <f aca="false">IF(A415="","",IF(LEN(UPPER(SUBSTITUTE(SUBSTITUTE(SUBSTITUTE(SUBSTITUTE(TRIM(A415),".",""),"/",""),"-","")," ","")))&lt;14,RIGHT(REPT("0",14)&amp;UPPER(SUBSTITUTE(SUBSTITUTE(SUBSTITUTE(SUBSTITUTE(TRIM(A415),".",""),"/",""),"-","")," ","")),14),UPPER(SUBSTITUTE(SUBSTITUTE(SUBSTITUTE(SUBSTITUTE(TRIM(A415),".",""),"/",""),"-","")," ",""))))</f>
        <v/>
      </c>
      <c r="C415" s="11"/>
      <c r="D415" s="23"/>
      <c r="E415" s="22"/>
      <c r="F415" s="23"/>
      <c r="G415" s="11"/>
      <c r="H415" s="35"/>
      <c r="I415" s="11"/>
      <c r="J415" s="23"/>
      <c r="K415" s="27" t="str">
        <f aca="false">IF(B415="","",COUNTIF(Contratos!$D:$D,B415))</f>
        <v/>
      </c>
      <c r="L415" s="36" t="str">
        <f aca="false">IF(B415="","",SUMIFS(Contratos!$K:$K,Contratos!$D:$D,B415))</f>
        <v/>
      </c>
      <c r="M415" s="36" t="str">
        <f aca="false">IF(B415="","",SUMIFS(Pagamentos!$G:$G,Pagamentos!$D:$D,B415,Pagamentos!$F:$F,"Empenho"))</f>
        <v/>
      </c>
      <c r="N415" s="36" t="str">
        <f aca="false">IF(B415="","",SUMIFS(Pagamentos!$G:$G,Pagamentos!$D:$D,B415,Pagamentos!$F:$F,"Pagamento"))</f>
        <v/>
      </c>
      <c r="O415" s="37" t="str">
        <f aca="false">IF(OR(B415="",H415="",L415="",L415=0),"",H415/L415)</f>
        <v/>
      </c>
      <c r="P415" s="27" t="str">
        <f aca="false">IF(B415="","",COUNTIF(Sancoes!$C:$C,B415))</f>
        <v/>
      </c>
      <c r="Q415" s="27" t="str">
        <f aca="false">IF(B415="","",COUNTIF(Socios!$B:$B,B415))</f>
        <v/>
      </c>
      <c r="R415" s="27" t="str">
        <f aca="false">IF(B415="","",COUNTIFS(Socios!$B:$B,B415,Socios!$L:$L,"SIM"))</f>
        <v/>
      </c>
      <c r="S415" s="24"/>
      <c r="T415" s="11"/>
    </row>
    <row r="416" customFormat="false" ht="15" hidden="false" customHeight="false" outlineLevel="0" collapsed="false">
      <c r="A416" s="24"/>
      <c r="B416" s="31" t="str">
        <f aca="false">IF(A416="","",IF(LEN(UPPER(SUBSTITUTE(SUBSTITUTE(SUBSTITUTE(SUBSTITUTE(TRIM(A416),".",""),"/",""),"-","")," ","")))&lt;14,RIGHT(REPT("0",14)&amp;UPPER(SUBSTITUTE(SUBSTITUTE(SUBSTITUTE(SUBSTITUTE(TRIM(A416),".",""),"/",""),"-","")," ","")),14),UPPER(SUBSTITUTE(SUBSTITUTE(SUBSTITUTE(SUBSTITUTE(TRIM(A416),".",""),"/",""),"-","")," ",""))))</f>
        <v/>
      </c>
      <c r="C416" s="11"/>
      <c r="D416" s="23"/>
      <c r="E416" s="22"/>
      <c r="F416" s="23"/>
      <c r="G416" s="11"/>
      <c r="H416" s="35"/>
      <c r="I416" s="11"/>
      <c r="J416" s="23"/>
      <c r="K416" s="27" t="str">
        <f aca="false">IF(B416="","",COUNTIF(Contratos!$D:$D,B416))</f>
        <v/>
      </c>
      <c r="L416" s="36" t="str">
        <f aca="false">IF(B416="","",SUMIFS(Contratos!$K:$K,Contratos!$D:$D,B416))</f>
        <v/>
      </c>
      <c r="M416" s="36" t="str">
        <f aca="false">IF(B416="","",SUMIFS(Pagamentos!$G:$G,Pagamentos!$D:$D,B416,Pagamentos!$F:$F,"Empenho"))</f>
        <v/>
      </c>
      <c r="N416" s="36" t="str">
        <f aca="false">IF(B416="","",SUMIFS(Pagamentos!$G:$G,Pagamentos!$D:$D,B416,Pagamentos!$F:$F,"Pagamento"))</f>
        <v/>
      </c>
      <c r="O416" s="37" t="str">
        <f aca="false">IF(OR(B416="",H416="",L416="",L416=0),"",H416/L416)</f>
        <v/>
      </c>
      <c r="P416" s="27" t="str">
        <f aca="false">IF(B416="","",COUNTIF(Sancoes!$C:$C,B416))</f>
        <v/>
      </c>
      <c r="Q416" s="27" t="str">
        <f aca="false">IF(B416="","",COUNTIF(Socios!$B:$B,B416))</f>
        <v/>
      </c>
      <c r="R416" s="27" t="str">
        <f aca="false">IF(B416="","",COUNTIFS(Socios!$B:$B,B416,Socios!$L:$L,"SIM"))</f>
        <v/>
      </c>
      <c r="S416" s="24"/>
      <c r="T416" s="11"/>
    </row>
    <row r="417" customFormat="false" ht="15" hidden="false" customHeight="false" outlineLevel="0" collapsed="false">
      <c r="A417" s="24"/>
      <c r="B417" s="31" t="str">
        <f aca="false">IF(A417="","",IF(LEN(UPPER(SUBSTITUTE(SUBSTITUTE(SUBSTITUTE(SUBSTITUTE(TRIM(A417),".",""),"/",""),"-","")," ","")))&lt;14,RIGHT(REPT("0",14)&amp;UPPER(SUBSTITUTE(SUBSTITUTE(SUBSTITUTE(SUBSTITUTE(TRIM(A417),".",""),"/",""),"-","")," ","")),14),UPPER(SUBSTITUTE(SUBSTITUTE(SUBSTITUTE(SUBSTITUTE(TRIM(A417),".",""),"/",""),"-","")," ",""))))</f>
        <v/>
      </c>
      <c r="C417" s="11"/>
      <c r="D417" s="23"/>
      <c r="E417" s="22"/>
      <c r="F417" s="23"/>
      <c r="G417" s="11"/>
      <c r="H417" s="35"/>
      <c r="I417" s="11"/>
      <c r="J417" s="23"/>
      <c r="K417" s="27" t="str">
        <f aca="false">IF(B417="","",COUNTIF(Contratos!$D:$D,B417))</f>
        <v/>
      </c>
      <c r="L417" s="36" t="str">
        <f aca="false">IF(B417="","",SUMIFS(Contratos!$K:$K,Contratos!$D:$D,B417))</f>
        <v/>
      </c>
      <c r="M417" s="36" t="str">
        <f aca="false">IF(B417="","",SUMIFS(Pagamentos!$G:$G,Pagamentos!$D:$D,B417,Pagamentos!$F:$F,"Empenho"))</f>
        <v/>
      </c>
      <c r="N417" s="36" t="str">
        <f aca="false">IF(B417="","",SUMIFS(Pagamentos!$G:$G,Pagamentos!$D:$D,B417,Pagamentos!$F:$F,"Pagamento"))</f>
        <v/>
      </c>
      <c r="O417" s="37" t="str">
        <f aca="false">IF(OR(B417="",H417="",L417="",L417=0),"",H417/L417)</f>
        <v/>
      </c>
      <c r="P417" s="27" t="str">
        <f aca="false">IF(B417="","",COUNTIF(Sancoes!$C:$C,B417))</f>
        <v/>
      </c>
      <c r="Q417" s="27" t="str">
        <f aca="false">IF(B417="","",COUNTIF(Socios!$B:$B,B417))</f>
        <v/>
      </c>
      <c r="R417" s="27" t="str">
        <f aca="false">IF(B417="","",COUNTIFS(Socios!$B:$B,B417,Socios!$L:$L,"SIM"))</f>
        <v/>
      </c>
      <c r="S417" s="24"/>
      <c r="T417" s="11"/>
    </row>
    <row r="418" customFormat="false" ht="15" hidden="false" customHeight="false" outlineLevel="0" collapsed="false">
      <c r="A418" s="24"/>
      <c r="B418" s="31" t="str">
        <f aca="false">IF(A418="","",IF(LEN(UPPER(SUBSTITUTE(SUBSTITUTE(SUBSTITUTE(SUBSTITUTE(TRIM(A418),".",""),"/",""),"-","")," ","")))&lt;14,RIGHT(REPT("0",14)&amp;UPPER(SUBSTITUTE(SUBSTITUTE(SUBSTITUTE(SUBSTITUTE(TRIM(A418),".",""),"/",""),"-","")," ","")),14),UPPER(SUBSTITUTE(SUBSTITUTE(SUBSTITUTE(SUBSTITUTE(TRIM(A418),".",""),"/",""),"-","")," ",""))))</f>
        <v/>
      </c>
      <c r="C418" s="11"/>
      <c r="D418" s="23"/>
      <c r="E418" s="22"/>
      <c r="F418" s="23"/>
      <c r="G418" s="11"/>
      <c r="H418" s="35"/>
      <c r="I418" s="11"/>
      <c r="J418" s="23"/>
      <c r="K418" s="27" t="str">
        <f aca="false">IF(B418="","",COUNTIF(Contratos!$D:$D,B418))</f>
        <v/>
      </c>
      <c r="L418" s="36" t="str">
        <f aca="false">IF(B418="","",SUMIFS(Contratos!$K:$K,Contratos!$D:$D,B418))</f>
        <v/>
      </c>
      <c r="M418" s="36" t="str">
        <f aca="false">IF(B418="","",SUMIFS(Pagamentos!$G:$G,Pagamentos!$D:$D,B418,Pagamentos!$F:$F,"Empenho"))</f>
        <v/>
      </c>
      <c r="N418" s="36" t="str">
        <f aca="false">IF(B418="","",SUMIFS(Pagamentos!$G:$G,Pagamentos!$D:$D,B418,Pagamentos!$F:$F,"Pagamento"))</f>
        <v/>
      </c>
      <c r="O418" s="37" t="str">
        <f aca="false">IF(OR(B418="",H418="",L418="",L418=0),"",H418/L418)</f>
        <v/>
      </c>
      <c r="P418" s="27" t="str">
        <f aca="false">IF(B418="","",COUNTIF(Sancoes!$C:$C,B418))</f>
        <v/>
      </c>
      <c r="Q418" s="27" t="str">
        <f aca="false">IF(B418="","",COUNTIF(Socios!$B:$B,B418))</f>
        <v/>
      </c>
      <c r="R418" s="27" t="str">
        <f aca="false">IF(B418="","",COUNTIFS(Socios!$B:$B,B418,Socios!$L:$L,"SIM"))</f>
        <v/>
      </c>
      <c r="S418" s="24"/>
      <c r="T418" s="11"/>
    </row>
    <row r="419" customFormat="false" ht="15" hidden="false" customHeight="false" outlineLevel="0" collapsed="false">
      <c r="A419" s="24"/>
      <c r="B419" s="31" t="str">
        <f aca="false">IF(A419="","",IF(LEN(UPPER(SUBSTITUTE(SUBSTITUTE(SUBSTITUTE(SUBSTITUTE(TRIM(A419),".",""),"/",""),"-","")," ","")))&lt;14,RIGHT(REPT("0",14)&amp;UPPER(SUBSTITUTE(SUBSTITUTE(SUBSTITUTE(SUBSTITUTE(TRIM(A419),".",""),"/",""),"-","")," ","")),14),UPPER(SUBSTITUTE(SUBSTITUTE(SUBSTITUTE(SUBSTITUTE(TRIM(A419),".",""),"/",""),"-","")," ",""))))</f>
        <v/>
      </c>
      <c r="C419" s="11"/>
      <c r="D419" s="23"/>
      <c r="E419" s="22"/>
      <c r="F419" s="23"/>
      <c r="G419" s="11"/>
      <c r="H419" s="35"/>
      <c r="I419" s="11"/>
      <c r="J419" s="23"/>
      <c r="K419" s="27" t="str">
        <f aca="false">IF(B419="","",COUNTIF(Contratos!$D:$D,B419))</f>
        <v/>
      </c>
      <c r="L419" s="36" t="str">
        <f aca="false">IF(B419="","",SUMIFS(Contratos!$K:$K,Contratos!$D:$D,B419))</f>
        <v/>
      </c>
      <c r="M419" s="36" t="str">
        <f aca="false">IF(B419="","",SUMIFS(Pagamentos!$G:$G,Pagamentos!$D:$D,B419,Pagamentos!$F:$F,"Empenho"))</f>
        <v/>
      </c>
      <c r="N419" s="36" t="str">
        <f aca="false">IF(B419="","",SUMIFS(Pagamentos!$G:$G,Pagamentos!$D:$D,B419,Pagamentos!$F:$F,"Pagamento"))</f>
        <v/>
      </c>
      <c r="O419" s="37" t="str">
        <f aca="false">IF(OR(B419="",H419="",L419="",L419=0),"",H419/L419)</f>
        <v/>
      </c>
      <c r="P419" s="27" t="str">
        <f aca="false">IF(B419="","",COUNTIF(Sancoes!$C:$C,B419))</f>
        <v/>
      </c>
      <c r="Q419" s="27" t="str">
        <f aca="false">IF(B419="","",COUNTIF(Socios!$B:$B,B419))</f>
        <v/>
      </c>
      <c r="R419" s="27" t="str">
        <f aca="false">IF(B419="","",COUNTIFS(Socios!$B:$B,B419,Socios!$L:$L,"SIM"))</f>
        <v/>
      </c>
      <c r="S419" s="24"/>
      <c r="T419" s="11"/>
    </row>
    <row r="420" customFormat="false" ht="15" hidden="false" customHeight="false" outlineLevel="0" collapsed="false">
      <c r="A420" s="24"/>
      <c r="B420" s="31" t="str">
        <f aca="false">IF(A420="","",IF(LEN(UPPER(SUBSTITUTE(SUBSTITUTE(SUBSTITUTE(SUBSTITUTE(TRIM(A420),".",""),"/",""),"-","")," ","")))&lt;14,RIGHT(REPT("0",14)&amp;UPPER(SUBSTITUTE(SUBSTITUTE(SUBSTITUTE(SUBSTITUTE(TRIM(A420),".",""),"/",""),"-","")," ","")),14),UPPER(SUBSTITUTE(SUBSTITUTE(SUBSTITUTE(SUBSTITUTE(TRIM(A420),".",""),"/",""),"-","")," ",""))))</f>
        <v/>
      </c>
      <c r="C420" s="11"/>
      <c r="D420" s="23"/>
      <c r="E420" s="22"/>
      <c r="F420" s="23"/>
      <c r="G420" s="11"/>
      <c r="H420" s="35"/>
      <c r="I420" s="11"/>
      <c r="J420" s="23"/>
      <c r="K420" s="27" t="str">
        <f aca="false">IF(B420="","",COUNTIF(Contratos!$D:$D,B420))</f>
        <v/>
      </c>
      <c r="L420" s="36" t="str">
        <f aca="false">IF(B420="","",SUMIFS(Contratos!$K:$K,Contratos!$D:$D,B420))</f>
        <v/>
      </c>
      <c r="M420" s="36" t="str">
        <f aca="false">IF(B420="","",SUMIFS(Pagamentos!$G:$G,Pagamentos!$D:$D,B420,Pagamentos!$F:$F,"Empenho"))</f>
        <v/>
      </c>
      <c r="N420" s="36" t="str">
        <f aca="false">IF(B420="","",SUMIFS(Pagamentos!$G:$G,Pagamentos!$D:$D,B420,Pagamentos!$F:$F,"Pagamento"))</f>
        <v/>
      </c>
      <c r="O420" s="37" t="str">
        <f aca="false">IF(OR(B420="",H420="",L420="",L420=0),"",H420/L420)</f>
        <v/>
      </c>
      <c r="P420" s="27" t="str">
        <f aca="false">IF(B420="","",COUNTIF(Sancoes!$C:$C,B420))</f>
        <v/>
      </c>
      <c r="Q420" s="27" t="str">
        <f aca="false">IF(B420="","",COUNTIF(Socios!$B:$B,B420))</f>
        <v/>
      </c>
      <c r="R420" s="27" t="str">
        <f aca="false">IF(B420="","",COUNTIFS(Socios!$B:$B,B420,Socios!$L:$L,"SIM"))</f>
        <v/>
      </c>
      <c r="S420" s="24"/>
      <c r="T420" s="11"/>
    </row>
    <row r="421" customFormat="false" ht="15" hidden="false" customHeight="false" outlineLevel="0" collapsed="false">
      <c r="A421" s="24"/>
      <c r="B421" s="31" t="str">
        <f aca="false">IF(A421="","",IF(LEN(UPPER(SUBSTITUTE(SUBSTITUTE(SUBSTITUTE(SUBSTITUTE(TRIM(A421),".",""),"/",""),"-","")," ","")))&lt;14,RIGHT(REPT("0",14)&amp;UPPER(SUBSTITUTE(SUBSTITUTE(SUBSTITUTE(SUBSTITUTE(TRIM(A421),".",""),"/",""),"-","")," ","")),14),UPPER(SUBSTITUTE(SUBSTITUTE(SUBSTITUTE(SUBSTITUTE(TRIM(A421),".",""),"/",""),"-","")," ",""))))</f>
        <v/>
      </c>
      <c r="C421" s="11"/>
      <c r="D421" s="23"/>
      <c r="E421" s="22"/>
      <c r="F421" s="23"/>
      <c r="G421" s="11"/>
      <c r="H421" s="35"/>
      <c r="I421" s="11"/>
      <c r="J421" s="23"/>
      <c r="K421" s="27" t="str">
        <f aca="false">IF(B421="","",COUNTIF(Contratos!$D:$D,B421))</f>
        <v/>
      </c>
      <c r="L421" s="36" t="str">
        <f aca="false">IF(B421="","",SUMIFS(Contratos!$K:$K,Contratos!$D:$D,B421))</f>
        <v/>
      </c>
      <c r="M421" s="36" t="str">
        <f aca="false">IF(B421="","",SUMIFS(Pagamentos!$G:$G,Pagamentos!$D:$D,B421,Pagamentos!$F:$F,"Empenho"))</f>
        <v/>
      </c>
      <c r="N421" s="36" t="str">
        <f aca="false">IF(B421="","",SUMIFS(Pagamentos!$G:$G,Pagamentos!$D:$D,B421,Pagamentos!$F:$F,"Pagamento"))</f>
        <v/>
      </c>
      <c r="O421" s="37" t="str">
        <f aca="false">IF(OR(B421="",H421="",L421="",L421=0),"",H421/L421)</f>
        <v/>
      </c>
      <c r="P421" s="27" t="str">
        <f aca="false">IF(B421="","",COUNTIF(Sancoes!$C:$C,B421))</f>
        <v/>
      </c>
      <c r="Q421" s="27" t="str">
        <f aca="false">IF(B421="","",COUNTIF(Socios!$B:$B,B421))</f>
        <v/>
      </c>
      <c r="R421" s="27" t="str">
        <f aca="false">IF(B421="","",COUNTIFS(Socios!$B:$B,B421,Socios!$L:$L,"SIM"))</f>
        <v/>
      </c>
      <c r="S421" s="24"/>
      <c r="T421" s="11"/>
    </row>
    <row r="422" customFormat="false" ht="15" hidden="false" customHeight="false" outlineLevel="0" collapsed="false">
      <c r="A422" s="24"/>
      <c r="B422" s="31" t="str">
        <f aca="false">IF(A422="","",IF(LEN(UPPER(SUBSTITUTE(SUBSTITUTE(SUBSTITUTE(SUBSTITUTE(TRIM(A422),".",""),"/",""),"-","")," ","")))&lt;14,RIGHT(REPT("0",14)&amp;UPPER(SUBSTITUTE(SUBSTITUTE(SUBSTITUTE(SUBSTITUTE(TRIM(A422),".",""),"/",""),"-","")," ","")),14),UPPER(SUBSTITUTE(SUBSTITUTE(SUBSTITUTE(SUBSTITUTE(TRIM(A422),".",""),"/",""),"-","")," ",""))))</f>
        <v/>
      </c>
      <c r="C422" s="11"/>
      <c r="D422" s="23"/>
      <c r="E422" s="22"/>
      <c r="F422" s="23"/>
      <c r="G422" s="11"/>
      <c r="H422" s="35"/>
      <c r="I422" s="11"/>
      <c r="J422" s="23"/>
      <c r="K422" s="27" t="str">
        <f aca="false">IF(B422="","",COUNTIF(Contratos!$D:$D,B422))</f>
        <v/>
      </c>
      <c r="L422" s="36" t="str">
        <f aca="false">IF(B422="","",SUMIFS(Contratos!$K:$K,Contratos!$D:$D,B422))</f>
        <v/>
      </c>
      <c r="M422" s="36" t="str">
        <f aca="false">IF(B422="","",SUMIFS(Pagamentos!$G:$G,Pagamentos!$D:$D,B422,Pagamentos!$F:$F,"Empenho"))</f>
        <v/>
      </c>
      <c r="N422" s="36" t="str">
        <f aca="false">IF(B422="","",SUMIFS(Pagamentos!$G:$G,Pagamentos!$D:$D,B422,Pagamentos!$F:$F,"Pagamento"))</f>
        <v/>
      </c>
      <c r="O422" s="37" t="str">
        <f aca="false">IF(OR(B422="",H422="",L422="",L422=0),"",H422/L422)</f>
        <v/>
      </c>
      <c r="P422" s="27" t="str">
        <f aca="false">IF(B422="","",COUNTIF(Sancoes!$C:$C,B422))</f>
        <v/>
      </c>
      <c r="Q422" s="27" t="str">
        <f aca="false">IF(B422="","",COUNTIF(Socios!$B:$B,B422))</f>
        <v/>
      </c>
      <c r="R422" s="27" t="str">
        <f aca="false">IF(B422="","",COUNTIFS(Socios!$B:$B,B422,Socios!$L:$L,"SIM"))</f>
        <v/>
      </c>
      <c r="S422" s="24"/>
      <c r="T422" s="11"/>
    </row>
    <row r="423" customFormat="false" ht="15" hidden="false" customHeight="false" outlineLevel="0" collapsed="false">
      <c r="A423" s="24"/>
      <c r="B423" s="31" t="str">
        <f aca="false">IF(A423="","",IF(LEN(UPPER(SUBSTITUTE(SUBSTITUTE(SUBSTITUTE(SUBSTITUTE(TRIM(A423),".",""),"/",""),"-","")," ","")))&lt;14,RIGHT(REPT("0",14)&amp;UPPER(SUBSTITUTE(SUBSTITUTE(SUBSTITUTE(SUBSTITUTE(TRIM(A423),".",""),"/",""),"-","")," ","")),14),UPPER(SUBSTITUTE(SUBSTITUTE(SUBSTITUTE(SUBSTITUTE(TRIM(A423),".",""),"/",""),"-","")," ",""))))</f>
        <v/>
      </c>
      <c r="C423" s="11"/>
      <c r="D423" s="23"/>
      <c r="E423" s="22"/>
      <c r="F423" s="23"/>
      <c r="G423" s="11"/>
      <c r="H423" s="35"/>
      <c r="I423" s="11"/>
      <c r="J423" s="23"/>
      <c r="K423" s="27" t="str">
        <f aca="false">IF(B423="","",COUNTIF(Contratos!$D:$D,B423))</f>
        <v/>
      </c>
      <c r="L423" s="36" t="str">
        <f aca="false">IF(B423="","",SUMIFS(Contratos!$K:$K,Contratos!$D:$D,B423))</f>
        <v/>
      </c>
      <c r="M423" s="36" t="str">
        <f aca="false">IF(B423="","",SUMIFS(Pagamentos!$G:$G,Pagamentos!$D:$D,B423,Pagamentos!$F:$F,"Empenho"))</f>
        <v/>
      </c>
      <c r="N423" s="36" t="str">
        <f aca="false">IF(B423="","",SUMIFS(Pagamentos!$G:$G,Pagamentos!$D:$D,B423,Pagamentos!$F:$F,"Pagamento"))</f>
        <v/>
      </c>
      <c r="O423" s="37" t="str">
        <f aca="false">IF(OR(B423="",H423="",L423="",L423=0),"",H423/L423)</f>
        <v/>
      </c>
      <c r="P423" s="27" t="str">
        <f aca="false">IF(B423="","",COUNTIF(Sancoes!$C:$C,B423))</f>
        <v/>
      </c>
      <c r="Q423" s="27" t="str">
        <f aca="false">IF(B423="","",COUNTIF(Socios!$B:$B,B423))</f>
        <v/>
      </c>
      <c r="R423" s="27" t="str">
        <f aca="false">IF(B423="","",COUNTIFS(Socios!$B:$B,B423,Socios!$L:$L,"SIM"))</f>
        <v/>
      </c>
      <c r="S423" s="24"/>
      <c r="T423" s="11"/>
    </row>
    <row r="424" customFormat="false" ht="15" hidden="false" customHeight="false" outlineLevel="0" collapsed="false">
      <c r="A424" s="24"/>
      <c r="B424" s="31" t="str">
        <f aca="false">IF(A424="","",IF(LEN(UPPER(SUBSTITUTE(SUBSTITUTE(SUBSTITUTE(SUBSTITUTE(TRIM(A424),".",""),"/",""),"-","")," ","")))&lt;14,RIGHT(REPT("0",14)&amp;UPPER(SUBSTITUTE(SUBSTITUTE(SUBSTITUTE(SUBSTITUTE(TRIM(A424),".",""),"/",""),"-","")," ","")),14),UPPER(SUBSTITUTE(SUBSTITUTE(SUBSTITUTE(SUBSTITUTE(TRIM(A424),".",""),"/",""),"-","")," ",""))))</f>
        <v/>
      </c>
      <c r="C424" s="11"/>
      <c r="D424" s="23"/>
      <c r="E424" s="22"/>
      <c r="F424" s="23"/>
      <c r="G424" s="11"/>
      <c r="H424" s="35"/>
      <c r="I424" s="11"/>
      <c r="J424" s="23"/>
      <c r="K424" s="27" t="str">
        <f aca="false">IF(B424="","",COUNTIF(Contratos!$D:$D,B424))</f>
        <v/>
      </c>
      <c r="L424" s="36" t="str">
        <f aca="false">IF(B424="","",SUMIFS(Contratos!$K:$K,Contratos!$D:$D,B424))</f>
        <v/>
      </c>
      <c r="M424" s="36" t="str">
        <f aca="false">IF(B424="","",SUMIFS(Pagamentos!$G:$G,Pagamentos!$D:$D,B424,Pagamentos!$F:$F,"Empenho"))</f>
        <v/>
      </c>
      <c r="N424" s="36" t="str">
        <f aca="false">IF(B424="","",SUMIFS(Pagamentos!$G:$G,Pagamentos!$D:$D,B424,Pagamentos!$F:$F,"Pagamento"))</f>
        <v/>
      </c>
      <c r="O424" s="37" t="str">
        <f aca="false">IF(OR(B424="",H424="",L424="",L424=0),"",H424/L424)</f>
        <v/>
      </c>
      <c r="P424" s="27" t="str">
        <f aca="false">IF(B424="","",COUNTIF(Sancoes!$C:$C,B424))</f>
        <v/>
      </c>
      <c r="Q424" s="27" t="str">
        <f aca="false">IF(B424="","",COUNTIF(Socios!$B:$B,B424))</f>
        <v/>
      </c>
      <c r="R424" s="27" t="str">
        <f aca="false">IF(B424="","",COUNTIFS(Socios!$B:$B,B424,Socios!$L:$L,"SIM"))</f>
        <v/>
      </c>
      <c r="S424" s="24"/>
      <c r="T424" s="11"/>
    </row>
    <row r="425" customFormat="false" ht="15" hidden="false" customHeight="false" outlineLevel="0" collapsed="false">
      <c r="A425" s="24"/>
      <c r="B425" s="31" t="str">
        <f aca="false">IF(A425="","",IF(LEN(UPPER(SUBSTITUTE(SUBSTITUTE(SUBSTITUTE(SUBSTITUTE(TRIM(A425),".",""),"/",""),"-","")," ","")))&lt;14,RIGHT(REPT("0",14)&amp;UPPER(SUBSTITUTE(SUBSTITUTE(SUBSTITUTE(SUBSTITUTE(TRIM(A425),".",""),"/",""),"-","")," ","")),14),UPPER(SUBSTITUTE(SUBSTITUTE(SUBSTITUTE(SUBSTITUTE(TRIM(A425),".",""),"/",""),"-","")," ",""))))</f>
        <v/>
      </c>
      <c r="C425" s="11"/>
      <c r="D425" s="23"/>
      <c r="E425" s="22"/>
      <c r="F425" s="23"/>
      <c r="G425" s="11"/>
      <c r="H425" s="35"/>
      <c r="I425" s="11"/>
      <c r="J425" s="23"/>
      <c r="K425" s="27" t="str">
        <f aca="false">IF(B425="","",COUNTIF(Contratos!$D:$D,B425))</f>
        <v/>
      </c>
      <c r="L425" s="36" t="str">
        <f aca="false">IF(B425="","",SUMIFS(Contratos!$K:$K,Contratos!$D:$D,B425))</f>
        <v/>
      </c>
      <c r="M425" s="36" t="str">
        <f aca="false">IF(B425="","",SUMIFS(Pagamentos!$G:$G,Pagamentos!$D:$D,B425,Pagamentos!$F:$F,"Empenho"))</f>
        <v/>
      </c>
      <c r="N425" s="36" t="str">
        <f aca="false">IF(B425="","",SUMIFS(Pagamentos!$G:$G,Pagamentos!$D:$D,B425,Pagamentos!$F:$F,"Pagamento"))</f>
        <v/>
      </c>
      <c r="O425" s="37" t="str">
        <f aca="false">IF(OR(B425="",H425="",L425="",L425=0),"",H425/L425)</f>
        <v/>
      </c>
      <c r="P425" s="27" t="str">
        <f aca="false">IF(B425="","",COUNTIF(Sancoes!$C:$C,B425))</f>
        <v/>
      </c>
      <c r="Q425" s="27" t="str">
        <f aca="false">IF(B425="","",COUNTIF(Socios!$B:$B,B425))</f>
        <v/>
      </c>
      <c r="R425" s="27" t="str">
        <f aca="false">IF(B425="","",COUNTIFS(Socios!$B:$B,B425,Socios!$L:$L,"SIM"))</f>
        <v/>
      </c>
      <c r="S425" s="24"/>
      <c r="T425" s="11"/>
    </row>
    <row r="426" customFormat="false" ht="15" hidden="false" customHeight="false" outlineLevel="0" collapsed="false">
      <c r="A426" s="24"/>
      <c r="B426" s="31" t="str">
        <f aca="false">IF(A426="","",IF(LEN(UPPER(SUBSTITUTE(SUBSTITUTE(SUBSTITUTE(SUBSTITUTE(TRIM(A426),".",""),"/",""),"-","")," ","")))&lt;14,RIGHT(REPT("0",14)&amp;UPPER(SUBSTITUTE(SUBSTITUTE(SUBSTITUTE(SUBSTITUTE(TRIM(A426),".",""),"/",""),"-","")," ","")),14),UPPER(SUBSTITUTE(SUBSTITUTE(SUBSTITUTE(SUBSTITUTE(TRIM(A426),".",""),"/",""),"-","")," ",""))))</f>
        <v/>
      </c>
      <c r="C426" s="11"/>
      <c r="D426" s="23"/>
      <c r="E426" s="22"/>
      <c r="F426" s="23"/>
      <c r="G426" s="11"/>
      <c r="H426" s="35"/>
      <c r="I426" s="11"/>
      <c r="J426" s="23"/>
      <c r="K426" s="27" t="str">
        <f aca="false">IF(B426="","",COUNTIF(Contratos!$D:$D,B426))</f>
        <v/>
      </c>
      <c r="L426" s="36" t="str">
        <f aca="false">IF(B426="","",SUMIFS(Contratos!$K:$K,Contratos!$D:$D,B426))</f>
        <v/>
      </c>
      <c r="M426" s="36" t="str">
        <f aca="false">IF(B426="","",SUMIFS(Pagamentos!$G:$G,Pagamentos!$D:$D,B426,Pagamentos!$F:$F,"Empenho"))</f>
        <v/>
      </c>
      <c r="N426" s="36" t="str">
        <f aca="false">IF(B426="","",SUMIFS(Pagamentos!$G:$G,Pagamentos!$D:$D,B426,Pagamentos!$F:$F,"Pagamento"))</f>
        <v/>
      </c>
      <c r="O426" s="37" t="str">
        <f aca="false">IF(OR(B426="",H426="",L426="",L426=0),"",H426/L426)</f>
        <v/>
      </c>
      <c r="P426" s="27" t="str">
        <f aca="false">IF(B426="","",COUNTIF(Sancoes!$C:$C,B426))</f>
        <v/>
      </c>
      <c r="Q426" s="27" t="str">
        <f aca="false">IF(B426="","",COUNTIF(Socios!$B:$B,B426))</f>
        <v/>
      </c>
      <c r="R426" s="27" t="str">
        <f aca="false">IF(B426="","",COUNTIFS(Socios!$B:$B,B426,Socios!$L:$L,"SIM"))</f>
        <v/>
      </c>
      <c r="S426" s="24"/>
      <c r="T426" s="11"/>
    </row>
    <row r="427" customFormat="false" ht="15" hidden="false" customHeight="false" outlineLevel="0" collapsed="false">
      <c r="A427" s="24"/>
      <c r="B427" s="31" t="str">
        <f aca="false">IF(A427="","",IF(LEN(UPPER(SUBSTITUTE(SUBSTITUTE(SUBSTITUTE(SUBSTITUTE(TRIM(A427),".",""),"/",""),"-","")," ","")))&lt;14,RIGHT(REPT("0",14)&amp;UPPER(SUBSTITUTE(SUBSTITUTE(SUBSTITUTE(SUBSTITUTE(TRIM(A427),".",""),"/",""),"-","")," ","")),14),UPPER(SUBSTITUTE(SUBSTITUTE(SUBSTITUTE(SUBSTITUTE(TRIM(A427),".",""),"/",""),"-","")," ",""))))</f>
        <v/>
      </c>
      <c r="C427" s="11"/>
      <c r="D427" s="23"/>
      <c r="E427" s="22"/>
      <c r="F427" s="23"/>
      <c r="G427" s="11"/>
      <c r="H427" s="35"/>
      <c r="I427" s="11"/>
      <c r="J427" s="23"/>
      <c r="K427" s="27" t="str">
        <f aca="false">IF(B427="","",COUNTIF(Contratos!$D:$D,B427))</f>
        <v/>
      </c>
      <c r="L427" s="36" t="str">
        <f aca="false">IF(B427="","",SUMIFS(Contratos!$K:$K,Contratos!$D:$D,B427))</f>
        <v/>
      </c>
      <c r="M427" s="36" t="str">
        <f aca="false">IF(B427="","",SUMIFS(Pagamentos!$G:$G,Pagamentos!$D:$D,B427,Pagamentos!$F:$F,"Empenho"))</f>
        <v/>
      </c>
      <c r="N427" s="36" t="str">
        <f aca="false">IF(B427="","",SUMIFS(Pagamentos!$G:$G,Pagamentos!$D:$D,B427,Pagamentos!$F:$F,"Pagamento"))</f>
        <v/>
      </c>
      <c r="O427" s="37" t="str">
        <f aca="false">IF(OR(B427="",H427="",L427="",L427=0),"",H427/L427)</f>
        <v/>
      </c>
      <c r="P427" s="27" t="str">
        <f aca="false">IF(B427="","",COUNTIF(Sancoes!$C:$C,B427))</f>
        <v/>
      </c>
      <c r="Q427" s="27" t="str">
        <f aca="false">IF(B427="","",COUNTIF(Socios!$B:$B,B427))</f>
        <v/>
      </c>
      <c r="R427" s="27" t="str">
        <f aca="false">IF(B427="","",COUNTIFS(Socios!$B:$B,B427,Socios!$L:$L,"SIM"))</f>
        <v/>
      </c>
      <c r="S427" s="24"/>
      <c r="T427" s="11"/>
    </row>
    <row r="428" customFormat="false" ht="15" hidden="false" customHeight="false" outlineLevel="0" collapsed="false">
      <c r="A428" s="24"/>
      <c r="B428" s="31" t="str">
        <f aca="false">IF(A428="","",IF(LEN(UPPER(SUBSTITUTE(SUBSTITUTE(SUBSTITUTE(SUBSTITUTE(TRIM(A428),".",""),"/",""),"-","")," ","")))&lt;14,RIGHT(REPT("0",14)&amp;UPPER(SUBSTITUTE(SUBSTITUTE(SUBSTITUTE(SUBSTITUTE(TRIM(A428),".",""),"/",""),"-","")," ","")),14),UPPER(SUBSTITUTE(SUBSTITUTE(SUBSTITUTE(SUBSTITUTE(TRIM(A428),".",""),"/",""),"-","")," ",""))))</f>
        <v/>
      </c>
      <c r="C428" s="11"/>
      <c r="D428" s="23"/>
      <c r="E428" s="22"/>
      <c r="F428" s="23"/>
      <c r="G428" s="11"/>
      <c r="H428" s="35"/>
      <c r="I428" s="11"/>
      <c r="J428" s="23"/>
      <c r="K428" s="27" t="str">
        <f aca="false">IF(B428="","",COUNTIF(Contratos!$D:$D,B428))</f>
        <v/>
      </c>
      <c r="L428" s="36" t="str">
        <f aca="false">IF(B428="","",SUMIFS(Contratos!$K:$K,Contratos!$D:$D,B428))</f>
        <v/>
      </c>
      <c r="M428" s="36" t="str">
        <f aca="false">IF(B428="","",SUMIFS(Pagamentos!$G:$G,Pagamentos!$D:$D,B428,Pagamentos!$F:$F,"Empenho"))</f>
        <v/>
      </c>
      <c r="N428" s="36" t="str">
        <f aca="false">IF(B428="","",SUMIFS(Pagamentos!$G:$G,Pagamentos!$D:$D,B428,Pagamentos!$F:$F,"Pagamento"))</f>
        <v/>
      </c>
      <c r="O428" s="37" t="str">
        <f aca="false">IF(OR(B428="",H428="",L428="",L428=0),"",H428/L428)</f>
        <v/>
      </c>
      <c r="P428" s="27" t="str">
        <f aca="false">IF(B428="","",COUNTIF(Sancoes!$C:$C,B428))</f>
        <v/>
      </c>
      <c r="Q428" s="27" t="str">
        <f aca="false">IF(B428="","",COUNTIF(Socios!$B:$B,B428))</f>
        <v/>
      </c>
      <c r="R428" s="27" t="str">
        <f aca="false">IF(B428="","",COUNTIFS(Socios!$B:$B,B428,Socios!$L:$L,"SIM"))</f>
        <v/>
      </c>
      <c r="S428" s="24"/>
      <c r="T428" s="11"/>
    </row>
    <row r="429" customFormat="false" ht="15" hidden="false" customHeight="false" outlineLevel="0" collapsed="false">
      <c r="A429" s="24"/>
      <c r="B429" s="31" t="str">
        <f aca="false">IF(A429="","",IF(LEN(UPPER(SUBSTITUTE(SUBSTITUTE(SUBSTITUTE(SUBSTITUTE(TRIM(A429),".",""),"/",""),"-","")," ","")))&lt;14,RIGHT(REPT("0",14)&amp;UPPER(SUBSTITUTE(SUBSTITUTE(SUBSTITUTE(SUBSTITUTE(TRIM(A429),".",""),"/",""),"-","")," ","")),14),UPPER(SUBSTITUTE(SUBSTITUTE(SUBSTITUTE(SUBSTITUTE(TRIM(A429),".",""),"/",""),"-","")," ",""))))</f>
        <v/>
      </c>
      <c r="C429" s="11"/>
      <c r="D429" s="23"/>
      <c r="E429" s="22"/>
      <c r="F429" s="23"/>
      <c r="G429" s="11"/>
      <c r="H429" s="35"/>
      <c r="I429" s="11"/>
      <c r="J429" s="23"/>
      <c r="K429" s="27" t="str">
        <f aca="false">IF(B429="","",COUNTIF(Contratos!$D:$D,B429))</f>
        <v/>
      </c>
      <c r="L429" s="36" t="str">
        <f aca="false">IF(B429="","",SUMIFS(Contratos!$K:$K,Contratos!$D:$D,B429))</f>
        <v/>
      </c>
      <c r="M429" s="36" t="str">
        <f aca="false">IF(B429="","",SUMIFS(Pagamentos!$G:$G,Pagamentos!$D:$D,B429,Pagamentos!$F:$F,"Empenho"))</f>
        <v/>
      </c>
      <c r="N429" s="36" t="str">
        <f aca="false">IF(B429="","",SUMIFS(Pagamentos!$G:$G,Pagamentos!$D:$D,B429,Pagamentos!$F:$F,"Pagamento"))</f>
        <v/>
      </c>
      <c r="O429" s="37" t="str">
        <f aca="false">IF(OR(B429="",H429="",L429="",L429=0),"",H429/L429)</f>
        <v/>
      </c>
      <c r="P429" s="27" t="str">
        <f aca="false">IF(B429="","",COUNTIF(Sancoes!$C:$C,B429))</f>
        <v/>
      </c>
      <c r="Q429" s="27" t="str">
        <f aca="false">IF(B429="","",COUNTIF(Socios!$B:$B,B429))</f>
        <v/>
      </c>
      <c r="R429" s="27" t="str">
        <f aca="false">IF(B429="","",COUNTIFS(Socios!$B:$B,B429,Socios!$L:$L,"SIM"))</f>
        <v/>
      </c>
      <c r="S429" s="24"/>
      <c r="T429" s="11"/>
    </row>
    <row r="430" customFormat="false" ht="15" hidden="false" customHeight="false" outlineLevel="0" collapsed="false">
      <c r="A430" s="24"/>
      <c r="B430" s="31" t="str">
        <f aca="false">IF(A430="","",IF(LEN(UPPER(SUBSTITUTE(SUBSTITUTE(SUBSTITUTE(SUBSTITUTE(TRIM(A430),".",""),"/",""),"-","")," ","")))&lt;14,RIGHT(REPT("0",14)&amp;UPPER(SUBSTITUTE(SUBSTITUTE(SUBSTITUTE(SUBSTITUTE(TRIM(A430),".",""),"/",""),"-","")," ","")),14),UPPER(SUBSTITUTE(SUBSTITUTE(SUBSTITUTE(SUBSTITUTE(TRIM(A430),".",""),"/",""),"-","")," ",""))))</f>
        <v/>
      </c>
      <c r="C430" s="11"/>
      <c r="D430" s="23"/>
      <c r="E430" s="22"/>
      <c r="F430" s="23"/>
      <c r="G430" s="11"/>
      <c r="H430" s="35"/>
      <c r="I430" s="11"/>
      <c r="J430" s="23"/>
      <c r="K430" s="27" t="str">
        <f aca="false">IF(B430="","",COUNTIF(Contratos!$D:$D,B430))</f>
        <v/>
      </c>
      <c r="L430" s="36" t="str">
        <f aca="false">IF(B430="","",SUMIFS(Contratos!$K:$K,Contratos!$D:$D,B430))</f>
        <v/>
      </c>
      <c r="M430" s="36" t="str">
        <f aca="false">IF(B430="","",SUMIFS(Pagamentos!$G:$G,Pagamentos!$D:$D,B430,Pagamentos!$F:$F,"Empenho"))</f>
        <v/>
      </c>
      <c r="N430" s="36" t="str">
        <f aca="false">IF(B430="","",SUMIFS(Pagamentos!$G:$G,Pagamentos!$D:$D,B430,Pagamentos!$F:$F,"Pagamento"))</f>
        <v/>
      </c>
      <c r="O430" s="37" t="str">
        <f aca="false">IF(OR(B430="",H430="",L430="",L430=0),"",H430/L430)</f>
        <v/>
      </c>
      <c r="P430" s="27" t="str">
        <f aca="false">IF(B430="","",COUNTIF(Sancoes!$C:$C,B430))</f>
        <v/>
      </c>
      <c r="Q430" s="27" t="str">
        <f aca="false">IF(B430="","",COUNTIF(Socios!$B:$B,B430))</f>
        <v/>
      </c>
      <c r="R430" s="27" t="str">
        <f aca="false">IF(B430="","",COUNTIFS(Socios!$B:$B,B430,Socios!$L:$L,"SIM"))</f>
        <v/>
      </c>
      <c r="S430" s="24"/>
      <c r="T430" s="11"/>
    </row>
    <row r="431" customFormat="false" ht="15" hidden="false" customHeight="false" outlineLevel="0" collapsed="false">
      <c r="A431" s="24"/>
      <c r="B431" s="31" t="str">
        <f aca="false">IF(A431="","",IF(LEN(UPPER(SUBSTITUTE(SUBSTITUTE(SUBSTITUTE(SUBSTITUTE(TRIM(A431),".",""),"/",""),"-","")," ","")))&lt;14,RIGHT(REPT("0",14)&amp;UPPER(SUBSTITUTE(SUBSTITUTE(SUBSTITUTE(SUBSTITUTE(TRIM(A431),".",""),"/",""),"-","")," ","")),14),UPPER(SUBSTITUTE(SUBSTITUTE(SUBSTITUTE(SUBSTITUTE(TRIM(A431),".",""),"/",""),"-","")," ",""))))</f>
        <v/>
      </c>
      <c r="C431" s="11"/>
      <c r="D431" s="23"/>
      <c r="E431" s="22"/>
      <c r="F431" s="23"/>
      <c r="G431" s="11"/>
      <c r="H431" s="35"/>
      <c r="I431" s="11"/>
      <c r="J431" s="23"/>
      <c r="K431" s="27" t="str">
        <f aca="false">IF(B431="","",COUNTIF(Contratos!$D:$D,B431))</f>
        <v/>
      </c>
      <c r="L431" s="36" t="str">
        <f aca="false">IF(B431="","",SUMIFS(Contratos!$K:$K,Contratos!$D:$D,B431))</f>
        <v/>
      </c>
      <c r="M431" s="36" t="str">
        <f aca="false">IF(B431="","",SUMIFS(Pagamentos!$G:$G,Pagamentos!$D:$D,B431,Pagamentos!$F:$F,"Empenho"))</f>
        <v/>
      </c>
      <c r="N431" s="36" t="str">
        <f aca="false">IF(B431="","",SUMIFS(Pagamentos!$G:$G,Pagamentos!$D:$D,B431,Pagamentos!$F:$F,"Pagamento"))</f>
        <v/>
      </c>
      <c r="O431" s="37" t="str">
        <f aca="false">IF(OR(B431="",H431="",L431="",L431=0),"",H431/L431)</f>
        <v/>
      </c>
      <c r="P431" s="27" t="str">
        <f aca="false">IF(B431="","",COUNTIF(Sancoes!$C:$C,B431))</f>
        <v/>
      </c>
      <c r="Q431" s="27" t="str">
        <f aca="false">IF(B431="","",COUNTIF(Socios!$B:$B,B431))</f>
        <v/>
      </c>
      <c r="R431" s="27" t="str">
        <f aca="false">IF(B431="","",COUNTIFS(Socios!$B:$B,B431,Socios!$L:$L,"SIM"))</f>
        <v/>
      </c>
      <c r="S431" s="24"/>
      <c r="T431" s="11"/>
    </row>
    <row r="432" customFormat="false" ht="15" hidden="false" customHeight="false" outlineLevel="0" collapsed="false">
      <c r="A432" s="24"/>
      <c r="B432" s="31" t="str">
        <f aca="false">IF(A432="","",IF(LEN(UPPER(SUBSTITUTE(SUBSTITUTE(SUBSTITUTE(SUBSTITUTE(TRIM(A432),".",""),"/",""),"-","")," ","")))&lt;14,RIGHT(REPT("0",14)&amp;UPPER(SUBSTITUTE(SUBSTITUTE(SUBSTITUTE(SUBSTITUTE(TRIM(A432),".",""),"/",""),"-","")," ","")),14),UPPER(SUBSTITUTE(SUBSTITUTE(SUBSTITUTE(SUBSTITUTE(TRIM(A432),".",""),"/",""),"-","")," ",""))))</f>
        <v/>
      </c>
      <c r="C432" s="11"/>
      <c r="D432" s="23"/>
      <c r="E432" s="22"/>
      <c r="F432" s="23"/>
      <c r="G432" s="11"/>
      <c r="H432" s="35"/>
      <c r="I432" s="11"/>
      <c r="J432" s="23"/>
      <c r="K432" s="27" t="str">
        <f aca="false">IF(B432="","",COUNTIF(Contratos!$D:$D,B432))</f>
        <v/>
      </c>
      <c r="L432" s="36" t="str">
        <f aca="false">IF(B432="","",SUMIFS(Contratos!$K:$K,Contratos!$D:$D,B432))</f>
        <v/>
      </c>
      <c r="M432" s="36" t="str">
        <f aca="false">IF(B432="","",SUMIFS(Pagamentos!$G:$G,Pagamentos!$D:$D,B432,Pagamentos!$F:$F,"Empenho"))</f>
        <v/>
      </c>
      <c r="N432" s="36" t="str">
        <f aca="false">IF(B432="","",SUMIFS(Pagamentos!$G:$G,Pagamentos!$D:$D,B432,Pagamentos!$F:$F,"Pagamento"))</f>
        <v/>
      </c>
      <c r="O432" s="37" t="str">
        <f aca="false">IF(OR(B432="",H432="",L432="",L432=0),"",H432/L432)</f>
        <v/>
      </c>
      <c r="P432" s="27" t="str">
        <f aca="false">IF(B432="","",COUNTIF(Sancoes!$C:$C,B432))</f>
        <v/>
      </c>
      <c r="Q432" s="27" t="str">
        <f aca="false">IF(B432="","",COUNTIF(Socios!$B:$B,B432))</f>
        <v/>
      </c>
      <c r="R432" s="27" t="str">
        <f aca="false">IF(B432="","",COUNTIFS(Socios!$B:$B,B432,Socios!$L:$L,"SIM"))</f>
        <v/>
      </c>
      <c r="S432" s="24"/>
      <c r="T432" s="11"/>
    </row>
    <row r="433" customFormat="false" ht="15" hidden="false" customHeight="false" outlineLevel="0" collapsed="false">
      <c r="A433" s="24"/>
      <c r="B433" s="31" t="str">
        <f aca="false">IF(A433="","",IF(LEN(UPPER(SUBSTITUTE(SUBSTITUTE(SUBSTITUTE(SUBSTITUTE(TRIM(A433),".",""),"/",""),"-","")," ","")))&lt;14,RIGHT(REPT("0",14)&amp;UPPER(SUBSTITUTE(SUBSTITUTE(SUBSTITUTE(SUBSTITUTE(TRIM(A433),".",""),"/",""),"-","")," ","")),14),UPPER(SUBSTITUTE(SUBSTITUTE(SUBSTITUTE(SUBSTITUTE(TRIM(A433),".",""),"/",""),"-","")," ",""))))</f>
        <v/>
      </c>
      <c r="C433" s="11"/>
      <c r="D433" s="23"/>
      <c r="E433" s="22"/>
      <c r="F433" s="23"/>
      <c r="G433" s="11"/>
      <c r="H433" s="35"/>
      <c r="I433" s="11"/>
      <c r="J433" s="23"/>
      <c r="K433" s="27" t="str">
        <f aca="false">IF(B433="","",COUNTIF(Contratos!$D:$D,B433))</f>
        <v/>
      </c>
      <c r="L433" s="36" t="str">
        <f aca="false">IF(B433="","",SUMIFS(Contratos!$K:$K,Contratos!$D:$D,B433))</f>
        <v/>
      </c>
      <c r="M433" s="36" t="str">
        <f aca="false">IF(B433="","",SUMIFS(Pagamentos!$G:$G,Pagamentos!$D:$D,B433,Pagamentos!$F:$F,"Empenho"))</f>
        <v/>
      </c>
      <c r="N433" s="36" t="str">
        <f aca="false">IF(B433="","",SUMIFS(Pagamentos!$G:$G,Pagamentos!$D:$D,B433,Pagamentos!$F:$F,"Pagamento"))</f>
        <v/>
      </c>
      <c r="O433" s="37" t="str">
        <f aca="false">IF(OR(B433="",H433="",L433="",L433=0),"",H433/L433)</f>
        <v/>
      </c>
      <c r="P433" s="27" t="str">
        <f aca="false">IF(B433="","",COUNTIF(Sancoes!$C:$C,B433))</f>
        <v/>
      </c>
      <c r="Q433" s="27" t="str">
        <f aca="false">IF(B433="","",COUNTIF(Socios!$B:$B,B433))</f>
        <v/>
      </c>
      <c r="R433" s="27" t="str">
        <f aca="false">IF(B433="","",COUNTIFS(Socios!$B:$B,B433,Socios!$L:$L,"SIM"))</f>
        <v/>
      </c>
      <c r="S433" s="24"/>
      <c r="T433" s="11"/>
    </row>
    <row r="434" customFormat="false" ht="15" hidden="false" customHeight="false" outlineLevel="0" collapsed="false">
      <c r="A434" s="24"/>
      <c r="B434" s="31" t="str">
        <f aca="false">IF(A434="","",IF(LEN(UPPER(SUBSTITUTE(SUBSTITUTE(SUBSTITUTE(SUBSTITUTE(TRIM(A434),".",""),"/",""),"-","")," ","")))&lt;14,RIGHT(REPT("0",14)&amp;UPPER(SUBSTITUTE(SUBSTITUTE(SUBSTITUTE(SUBSTITUTE(TRIM(A434),".",""),"/",""),"-","")," ","")),14),UPPER(SUBSTITUTE(SUBSTITUTE(SUBSTITUTE(SUBSTITUTE(TRIM(A434),".",""),"/",""),"-","")," ",""))))</f>
        <v/>
      </c>
      <c r="C434" s="11"/>
      <c r="D434" s="23"/>
      <c r="E434" s="22"/>
      <c r="F434" s="23"/>
      <c r="G434" s="11"/>
      <c r="H434" s="35"/>
      <c r="I434" s="11"/>
      <c r="J434" s="23"/>
      <c r="K434" s="27" t="str">
        <f aca="false">IF(B434="","",COUNTIF(Contratos!$D:$D,B434))</f>
        <v/>
      </c>
      <c r="L434" s="36" t="str">
        <f aca="false">IF(B434="","",SUMIFS(Contratos!$K:$K,Contratos!$D:$D,B434))</f>
        <v/>
      </c>
      <c r="M434" s="36" t="str">
        <f aca="false">IF(B434="","",SUMIFS(Pagamentos!$G:$G,Pagamentos!$D:$D,B434,Pagamentos!$F:$F,"Empenho"))</f>
        <v/>
      </c>
      <c r="N434" s="36" t="str">
        <f aca="false">IF(B434="","",SUMIFS(Pagamentos!$G:$G,Pagamentos!$D:$D,B434,Pagamentos!$F:$F,"Pagamento"))</f>
        <v/>
      </c>
      <c r="O434" s="37" t="str">
        <f aca="false">IF(OR(B434="",H434="",L434="",L434=0),"",H434/L434)</f>
        <v/>
      </c>
      <c r="P434" s="27" t="str">
        <f aca="false">IF(B434="","",COUNTIF(Sancoes!$C:$C,B434))</f>
        <v/>
      </c>
      <c r="Q434" s="27" t="str">
        <f aca="false">IF(B434="","",COUNTIF(Socios!$B:$B,B434))</f>
        <v/>
      </c>
      <c r="R434" s="27" t="str">
        <f aca="false">IF(B434="","",COUNTIFS(Socios!$B:$B,B434,Socios!$L:$L,"SIM"))</f>
        <v/>
      </c>
      <c r="S434" s="24"/>
      <c r="T434" s="11"/>
    </row>
    <row r="435" customFormat="false" ht="15" hidden="false" customHeight="false" outlineLevel="0" collapsed="false">
      <c r="A435" s="24"/>
      <c r="B435" s="31" t="str">
        <f aca="false">IF(A435="","",IF(LEN(UPPER(SUBSTITUTE(SUBSTITUTE(SUBSTITUTE(SUBSTITUTE(TRIM(A435),".",""),"/",""),"-","")," ","")))&lt;14,RIGHT(REPT("0",14)&amp;UPPER(SUBSTITUTE(SUBSTITUTE(SUBSTITUTE(SUBSTITUTE(TRIM(A435),".",""),"/",""),"-","")," ","")),14),UPPER(SUBSTITUTE(SUBSTITUTE(SUBSTITUTE(SUBSTITUTE(TRIM(A435),".",""),"/",""),"-","")," ",""))))</f>
        <v/>
      </c>
      <c r="C435" s="11"/>
      <c r="D435" s="23"/>
      <c r="E435" s="22"/>
      <c r="F435" s="23"/>
      <c r="G435" s="11"/>
      <c r="H435" s="35"/>
      <c r="I435" s="11"/>
      <c r="J435" s="23"/>
      <c r="K435" s="27" t="str">
        <f aca="false">IF(B435="","",COUNTIF(Contratos!$D:$D,B435))</f>
        <v/>
      </c>
      <c r="L435" s="36" t="str">
        <f aca="false">IF(B435="","",SUMIFS(Contratos!$K:$K,Contratos!$D:$D,B435))</f>
        <v/>
      </c>
      <c r="M435" s="36" t="str">
        <f aca="false">IF(B435="","",SUMIFS(Pagamentos!$G:$G,Pagamentos!$D:$D,B435,Pagamentos!$F:$F,"Empenho"))</f>
        <v/>
      </c>
      <c r="N435" s="36" t="str">
        <f aca="false">IF(B435="","",SUMIFS(Pagamentos!$G:$G,Pagamentos!$D:$D,B435,Pagamentos!$F:$F,"Pagamento"))</f>
        <v/>
      </c>
      <c r="O435" s="37" t="str">
        <f aca="false">IF(OR(B435="",H435="",L435="",L435=0),"",H435/L435)</f>
        <v/>
      </c>
      <c r="P435" s="27" t="str">
        <f aca="false">IF(B435="","",COUNTIF(Sancoes!$C:$C,B435))</f>
        <v/>
      </c>
      <c r="Q435" s="27" t="str">
        <f aca="false">IF(B435="","",COUNTIF(Socios!$B:$B,B435))</f>
        <v/>
      </c>
      <c r="R435" s="27" t="str">
        <f aca="false">IF(B435="","",COUNTIFS(Socios!$B:$B,B435,Socios!$L:$L,"SIM"))</f>
        <v/>
      </c>
      <c r="S435" s="24"/>
      <c r="T435" s="11"/>
    </row>
    <row r="436" customFormat="false" ht="15" hidden="false" customHeight="false" outlineLevel="0" collapsed="false">
      <c r="A436" s="24"/>
      <c r="B436" s="31" t="str">
        <f aca="false">IF(A436="","",IF(LEN(UPPER(SUBSTITUTE(SUBSTITUTE(SUBSTITUTE(SUBSTITUTE(TRIM(A436),".",""),"/",""),"-","")," ","")))&lt;14,RIGHT(REPT("0",14)&amp;UPPER(SUBSTITUTE(SUBSTITUTE(SUBSTITUTE(SUBSTITUTE(TRIM(A436),".",""),"/",""),"-","")," ","")),14),UPPER(SUBSTITUTE(SUBSTITUTE(SUBSTITUTE(SUBSTITUTE(TRIM(A436),".",""),"/",""),"-","")," ",""))))</f>
        <v/>
      </c>
      <c r="C436" s="11"/>
      <c r="D436" s="23"/>
      <c r="E436" s="22"/>
      <c r="F436" s="23"/>
      <c r="G436" s="11"/>
      <c r="H436" s="35"/>
      <c r="I436" s="11"/>
      <c r="J436" s="23"/>
      <c r="K436" s="27" t="str">
        <f aca="false">IF(B436="","",COUNTIF(Contratos!$D:$D,B436))</f>
        <v/>
      </c>
      <c r="L436" s="36" t="str">
        <f aca="false">IF(B436="","",SUMIFS(Contratos!$K:$K,Contratos!$D:$D,B436))</f>
        <v/>
      </c>
      <c r="M436" s="36" t="str">
        <f aca="false">IF(B436="","",SUMIFS(Pagamentos!$G:$G,Pagamentos!$D:$D,B436,Pagamentos!$F:$F,"Empenho"))</f>
        <v/>
      </c>
      <c r="N436" s="36" t="str">
        <f aca="false">IF(B436="","",SUMIFS(Pagamentos!$G:$G,Pagamentos!$D:$D,B436,Pagamentos!$F:$F,"Pagamento"))</f>
        <v/>
      </c>
      <c r="O436" s="37" t="str">
        <f aca="false">IF(OR(B436="",H436="",L436="",L436=0),"",H436/L436)</f>
        <v/>
      </c>
      <c r="P436" s="27" t="str">
        <f aca="false">IF(B436="","",COUNTIF(Sancoes!$C:$C,B436))</f>
        <v/>
      </c>
      <c r="Q436" s="27" t="str">
        <f aca="false">IF(B436="","",COUNTIF(Socios!$B:$B,B436))</f>
        <v/>
      </c>
      <c r="R436" s="27" t="str">
        <f aca="false">IF(B436="","",COUNTIFS(Socios!$B:$B,B436,Socios!$L:$L,"SIM"))</f>
        <v/>
      </c>
      <c r="S436" s="24"/>
      <c r="T436" s="11"/>
    </row>
    <row r="437" customFormat="false" ht="15" hidden="false" customHeight="false" outlineLevel="0" collapsed="false">
      <c r="A437" s="24"/>
      <c r="B437" s="31" t="str">
        <f aca="false">IF(A437="","",IF(LEN(UPPER(SUBSTITUTE(SUBSTITUTE(SUBSTITUTE(SUBSTITUTE(TRIM(A437),".",""),"/",""),"-","")," ","")))&lt;14,RIGHT(REPT("0",14)&amp;UPPER(SUBSTITUTE(SUBSTITUTE(SUBSTITUTE(SUBSTITUTE(TRIM(A437),".",""),"/",""),"-","")," ","")),14),UPPER(SUBSTITUTE(SUBSTITUTE(SUBSTITUTE(SUBSTITUTE(TRIM(A437),".",""),"/",""),"-","")," ",""))))</f>
        <v/>
      </c>
      <c r="C437" s="11"/>
      <c r="D437" s="23"/>
      <c r="E437" s="22"/>
      <c r="F437" s="23"/>
      <c r="G437" s="11"/>
      <c r="H437" s="35"/>
      <c r="I437" s="11"/>
      <c r="J437" s="23"/>
      <c r="K437" s="27" t="str">
        <f aca="false">IF(B437="","",COUNTIF(Contratos!$D:$D,B437))</f>
        <v/>
      </c>
      <c r="L437" s="36" t="str">
        <f aca="false">IF(B437="","",SUMIFS(Contratos!$K:$K,Contratos!$D:$D,B437))</f>
        <v/>
      </c>
      <c r="M437" s="36" t="str">
        <f aca="false">IF(B437="","",SUMIFS(Pagamentos!$G:$G,Pagamentos!$D:$D,B437,Pagamentos!$F:$F,"Empenho"))</f>
        <v/>
      </c>
      <c r="N437" s="36" t="str">
        <f aca="false">IF(B437="","",SUMIFS(Pagamentos!$G:$G,Pagamentos!$D:$D,B437,Pagamentos!$F:$F,"Pagamento"))</f>
        <v/>
      </c>
      <c r="O437" s="37" t="str">
        <f aca="false">IF(OR(B437="",H437="",L437="",L437=0),"",H437/L437)</f>
        <v/>
      </c>
      <c r="P437" s="27" t="str">
        <f aca="false">IF(B437="","",COUNTIF(Sancoes!$C:$C,B437))</f>
        <v/>
      </c>
      <c r="Q437" s="27" t="str">
        <f aca="false">IF(B437="","",COUNTIF(Socios!$B:$B,B437))</f>
        <v/>
      </c>
      <c r="R437" s="27" t="str">
        <f aca="false">IF(B437="","",COUNTIFS(Socios!$B:$B,B437,Socios!$L:$L,"SIM"))</f>
        <v/>
      </c>
      <c r="S437" s="24"/>
      <c r="T437" s="11"/>
    </row>
    <row r="438" customFormat="false" ht="15" hidden="false" customHeight="false" outlineLevel="0" collapsed="false">
      <c r="A438" s="24"/>
      <c r="B438" s="31" t="str">
        <f aca="false">IF(A438="","",IF(LEN(UPPER(SUBSTITUTE(SUBSTITUTE(SUBSTITUTE(SUBSTITUTE(TRIM(A438),".",""),"/",""),"-","")," ","")))&lt;14,RIGHT(REPT("0",14)&amp;UPPER(SUBSTITUTE(SUBSTITUTE(SUBSTITUTE(SUBSTITUTE(TRIM(A438),".",""),"/",""),"-","")," ","")),14),UPPER(SUBSTITUTE(SUBSTITUTE(SUBSTITUTE(SUBSTITUTE(TRIM(A438),".",""),"/",""),"-","")," ",""))))</f>
        <v/>
      </c>
      <c r="C438" s="11"/>
      <c r="D438" s="23"/>
      <c r="E438" s="22"/>
      <c r="F438" s="23"/>
      <c r="G438" s="11"/>
      <c r="H438" s="35"/>
      <c r="I438" s="11"/>
      <c r="J438" s="23"/>
      <c r="K438" s="27" t="str">
        <f aca="false">IF(B438="","",COUNTIF(Contratos!$D:$D,B438))</f>
        <v/>
      </c>
      <c r="L438" s="36" t="str">
        <f aca="false">IF(B438="","",SUMIFS(Contratos!$K:$K,Contratos!$D:$D,B438))</f>
        <v/>
      </c>
      <c r="M438" s="36" t="str">
        <f aca="false">IF(B438="","",SUMIFS(Pagamentos!$G:$G,Pagamentos!$D:$D,B438,Pagamentos!$F:$F,"Empenho"))</f>
        <v/>
      </c>
      <c r="N438" s="36" t="str">
        <f aca="false">IF(B438="","",SUMIFS(Pagamentos!$G:$G,Pagamentos!$D:$D,B438,Pagamentos!$F:$F,"Pagamento"))</f>
        <v/>
      </c>
      <c r="O438" s="37" t="str">
        <f aca="false">IF(OR(B438="",H438="",L438="",L438=0),"",H438/L438)</f>
        <v/>
      </c>
      <c r="P438" s="27" t="str">
        <f aca="false">IF(B438="","",COUNTIF(Sancoes!$C:$C,B438))</f>
        <v/>
      </c>
      <c r="Q438" s="27" t="str">
        <f aca="false">IF(B438="","",COUNTIF(Socios!$B:$B,B438))</f>
        <v/>
      </c>
      <c r="R438" s="27" t="str">
        <f aca="false">IF(B438="","",COUNTIFS(Socios!$B:$B,B438,Socios!$L:$L,"SIM"))</f>
        <v/>
      </c>
      <c r="S438" s="24"/>
      <c r="T438" s="11"/>
    </row>
    <row r="439" customFormat="false" ht="15" hidden="false" customHeight="false" outlineLevel="0" collapsed="false">
      <c r="A439" s="24"/>
      <c r="B439" s="31" t="str">
        <f aca="false">IF(A439="","",IF(LEN(UPPER(SUBSTITUTE(SUBSTITUTE(SUBSTITUTE(SUBSTITUTE(TRIM(A439),".",""),"/",""),"-","")," ","")))&lt;14,RIGHT(REPT("0",14)&amp;UPPER(SUBSTITUTE(SUBSTITUTE(SUBSTITUTE(SUBSTITUTE(TRIM(A439),".",""),"/",""),"-","")," ","")),14),UPPER(SUBSTITUTE(SUBSTITUTE(SUBSTITUTE(SUBSTITUTE(TRIM(A439),".",""),"/",""),"-","")," ",""))))</f>
        <v/>
      </c>
      <c r="C439" s="11"/>
      <c r="D439" s="23"/>
      <c r="E439" s="22"/>
      <c r="F439" s="23"/>
      <c r="G439" s="11"/>
      <c r="H439" s="35"/>
      <c r="I439" s="11"/>
      <c r="J439" s="23"/>
      <c r="K439" s="27" t="str">
        <f aca="false">IF(B439="","",COUNTIF(Contratos!$D:$D,B439))</f>
        <v/>
      </c>
      <c r="L439" s="36" t="str">
        <f aca="false">IF(B439="","",SUMIFS(Contratos!$K:$K,Contratos!$D:$D,B439))</f>
        <v/>
      </c>
      <c r="M439" s="36" t="str">
        <f aca="false">IF(B439="","",SUMIFS(Pagamentos!$G:$G,Pagamentos!$D:$D,B439,Pagamentos!$F:$F,"Empenho"))</f>
        <v/>
      </c>
      <c r="N439" s="36" t="str">
        <f aca="false">IF(B439="","",SUMIFS(Pagamentos!$G:$G,Pagamentos!$D:$D,B439,Pagamentos!$F:$F,"Pagamento"))</f>
        <v/>
      </c>
      <c r="O439" s="37" t="str">
        <f aca="false">IF(OR(B439="",H439="",L439="",L439=0),"",H439/L439)</f>
        <v/>
      </c>
      <c r="P439" s="27" t="str">
        <f aca="false">IF(B439="","",COUNTIF(Sancoes!$C:$C,B439))</f>
        <v/>
      </c>
      <c r="Q439" s="27" t="str">
        <f aca="false">IF(B439="","",COUNTIF(Socios!$B:$B,B439))</f>
        <v/>
      </c>
      <c r="R439" s="27" t="str">
        <f aca="false">IF(B439="","",COUNTIFS(Socios!$B:$B,B439,Socios!$L:$L,"SIM"))</f>
        <v/>
      </c>
      <c r="S439" s="24"/>
      <c r="T439" s="11"/>
    </row>
    <row r="440" customFormat="false" ht="15" hidden="false" customHeight="false" outlineLevel="0" collapsed="false">
      <c r="A440" s="24"/>
      <c r="B440" s="31" t="str">
        <f aca="false">IF(A440="","",IF(LEN(UPPER(SUBSTITUTE(SUBSTITUTE(SUBSTITUTE(SUBSTITUTE(TRIM(A440),".",""),"/",""),"-","")," ","")))&lt;14,RIGHT(REPT("0",14)&amp;UPPER(SUBSTITUTE(SUBSTITUTE(SUBSTITUTE(SUBSTITUTE(TRIM(A440),".",""),"/",""),"-","")," ","")),14),UPPER(SUBSTITUTE(SUBSTITUTE(SUBSTITUTE(SUBSTITUTE(TRIM(A440),".",""),"/",""),"-","")," ",""))))</f>
        <v/>
      </c>
      <c r="C440" s="11"/>
      <c r="D440" s="23"/>
      <c r="E440" s="22"/>
      <c r="F440" s="23"/>
      <c r="G440" s="11"/>
      <c r="H440" s="35"/>
      <c r="I440" s="11"/>
      <c r="J440" s="23"/>
      <c r="K440" s="27" t="str">
        <f aca="false">IF(B440="","",COUNTIF(Contratos!$D:$D,B440))</f>
        <v/>
      </c>
      <c r="L440" s="36" t="str">
        <f aca="false">IF(B440="","",SUMIFS(Contratos!$K:$K,Contratos!$D:$D,B440))</f>
        <v/>
      </c>
      <c r="M440" s="36" t="str">
        <f aca="false">IF(B440="","",SUMIFS(Pagamentos!$G:$G,Pagamentos!$D:$D,B440,Pagamentos!$F:$F,"Empenho"))</f>
        <v/>
      </c>
      <c r="N440" s="36" t="str">
        <f aca="false">IF(B440="","",SUMIFS(Pagamentos!$G:$G,Pagamentos!$D:$D,B440,Pagamentos!$F:$F,"Pagamento"))</f>
        <v/>
      </c>
      <c r="O440" s="37" t="str">
        <f aca="false">IF(OR(B440="",H440="",L440="",L440=0),"",H440/L440)</f>
        <v/>
      </c>
      <c r="P440" s="27" t="str">
        <f aca="false">IF(B440="","",COUNTIF(Sancoes!$C:$C,B440))</f>
        <v/>
      </c>
      <c r="Q440" s="27" t="str">
        <f aca="false">IF(B440="","",COUNTIF(Socios!$B:$B,B440))</f>
        <v/>
      </c>
      <c r="R440" s="27" t="str">
        <f aca="false">IF(B440="","",COUNTIFS(Socios!$B:$B,B440,Socios!$L:$L,"SIM"))</f>
        <v/>
      </c>
      <c r="S440" s="24"/>
      <c r="T440" s="11"/>
    </row>
    <row r="441" customFormat="false" ht="15" hidden="false" customHeight="false" outlineLevel="0" collapsed="false">
      <c r="A441" s="24"/>
      <c r="B441" s="31" t="str">
        <f aca="false">IF(A441="","",IF(LEN(UPPER(SUBSTITUTE(SUBSTITUTE(SUBSTITUTE(SUBSTITUTE(TRIM(A441),".",""),"/",""),"-","")," ","")))&lt;14,RIGHT(REPT("0",14)&amp;UPPER(SUBSTITUTE(SUBSTITUTE(SUBSTITUTE(SUBSTITUTE(TRIM(A441),".",""),"/",""),"-","")," ","")),14),UPPER(SUBSTITUTE(SUBSTITUTE(SUBSTITUTE(SUBSTITUTE(TRIM(A441),".",""),"/",""),"-","")," ",""))))</f>
        <v/>
      </c>
      <c r="C441" s="11"/>
      <c r="D441" s="23"/>
      <c r="E441" s="22"/>
      <c r="F441" s="23"/>
      <c r="G441" s="11"/>
      <c r="H441" s="35"/>
      <c r="I441" s="11"/>
      <c r="J441" s="23"/>
      <c r="K441" s="27" t="str">
        <f aca="false">IF(B441="","",COUNTIF(Contratos!$D:$D,B441))</f>
        <v/>
      </c>
      <c r="L441" s="36" t="str">
        <f aca="false">IF(B441="","",SUMIFS(Contratos!$K:$K,Contratos!$D:$D,B441))</f>
        <v/>
      </c>
      <c r="M441" s="36" t="str">
        <f aca="false">IF(B441="","",SUMIFS(Pagamentos!$G:$G,Pagamentos!$D:$D,B441,Pagamentos!$F:$F,"Empenho"))</f>
        <v/>
      </c>
      <c r="N441" s="36" t="str">
        <f aca="false">IF(B441="","",SUMIFS(Pagamentos!$G:$G,Pagamentos!$D:$D,B441,Pagamentos!$F:$F,"Pagamento"))</f>
        <v/>
      </c>
      <c r="O441" s="37" t="str">
        <f aca="false">IF(OR(B441="",H441="",L441="",L441=0),"",H441/L441)</f>
        <v/>
      </c>
      <c r="P441" s="27" t="str">
        <f aca="false">IF(B441="","",COUNTIF(Sancoes!$C:$C,B441))</f>
        <v/>
      </c>
      <c r="Q441" s="27" t="str">
        <f aca="false">IF(B441="","",COUNTIF(Socios!$B:$B,B441))</f>
        <v/>
      </c>
      <c r="R441" s="27" t="str">
        <f aca="false">IF(B441="","",COUNTIFS(Socios!$B:$B,B441,Socios!$L:$L,"SIM"))</f>
        <v/>
      </c>
      <c r="S441" s="24"/>
      <c r="T441" s="11"/>
    </row>
    <row r="442" customFormat="false" ht="15" hidden="false" customHeight="false" outlineLevel="0" collapsed="false">
      <c r="A442" s="24"/>
      <c r="B442" s="31" t="str">
        <f aca="false">IF(A442="","",IF(LEN(UPPER(SUBSTITUTE(SUBSTITUTE(SUBSTITUTE(SUBSTITUTE(TRIM(A442),".",""),"/",""),"-","")," ","")))&lt;14,RIGHT(REPT("0",14)&amp;UPPER(SUBSTITUTE(SUBSTITUTE(SUBSTITUTE(SUBSTITUTE(TRIM(A442),".",""),"/",""),"-","")," ","")),14),UPPER(SUBSTITUTE(SUBSTITUTE(SUBSTITUTE(SUBSTITUTE(TRIM(A442),".",""),"/",""),"-","")," ",""))))</f>
        <v/>
      </c>
      <c r="C442" s="11"/>
      <c r="D442" s="23"/>
      <c r="E442" s="22"/>
      <c r="F442" s="23"/>
      <c r="G442" s="11"/>
      <c r="H442" s="35"/>
      <c r="I442" s="11"/>
      <c r="J442" s="23"/>
      <c r="K442" s="27" t="str">
        <f aca="false">IF(B442="","",COUNTIF(Contratos!$D:$D,B442))</f>
        <v/>
      </c>
      <c r="L442" s="36" t="str">
        <f aca="false">IF(B442="","",SUMIFS(Contratos!$K:$K,Contratos!$D:$D,B442))</f>
        <v/>
      </c>
      <c r="M442" s="36" t="str">
        <f aca="false">IF(B442="","",SUMIFS(Pagamentos!$G:$G,Pagamentos!$D:$D,B442,Pagamentos!$F:$F,"Empenho"))</f>
        <v/>
      </c>
      <c r="N442" s="36" t="str">
        <f aca="false">IF(B442="","",SUMIFS(Pagamentos!$G:$G,Pagamentos!$D:$D,B442,Pagamentos!$F:$F,"Pagamento"))</f>
        <v/>
      </c>
      <c r="O442" s="37" t="str">
        <f aca="false">IF(OR(B442="",H442="",L442="",L442=0),"",H442/L442)</f>
        <v/>
      </c>
      <c r="P442" s="27" t="str">
        <f aca="false">IF(B442="","",COUNTIF(Sancoes!$C:$C,B442))</f>
        <v/>
      </c>
      <c r="Q442" s="27" t="str">
        <f aca="false">IF(B442="","",COUNTIF(Socios!$B:$B,B442))</f>
        <v/>
      </c>
      <c r="R442" s="27" t="str">
        <f aca="false">IF(B442="","",COUNTIFS(Socios!$B:$B,B442,Socios!$L:$L,"SIM"))</f>
        <v/>
      </c>
      <c r="S442" s="24"/>
      <c r="T442" s="11"/>
    </row>
    <row r="443" customFormat="false" ht="15" hidden="false" customHeight="false" outlineLevel="0" collapsed="false">
      <c r="A443" s="24"/>
      <c r="B443" s="31" t="str">
        <f aca="false">IF(A443="","",IF(LEN(UPPER(SUBSTITUTE(SUBSTITUTE(SUBSTITUTE(SUBSTITUTE(TRIM(A443),".",""),"/",""),"-","")," ","")))&lt;14,RIGHT(REPT("0",14)&amp;UPPER(SUBSTITUTE(SUBSTITUTE(SUBSTITUTE(SUBSTITUTE(TRIM(A443),".",""),"/",""),"-","")," ","")),14),UPPER(SUBSTITUTE(SUBSTITUTE(SUBSTITUTE(SUBSTITUTE(TRIM(A443),".",""),"/",""),"-","")," ",""))))</f>
        <v/>
      </c>
      <c r="C443" s="11"/>
      <c r="D443" s="23"/>
      <c r="E443" s="22"/>
      <c r="F443" s="23"/>
      <c r="G443" s="11"/>
      <c r="H443" s="35"/>
      <c r="I443" s="11"/>
      <c r="J443" s="23"/>
      <c r="K443" s="27" t="str">
        <f aca="false">IF(B443="","",COUNTIF(Contratos!$D:$D,B443))</f>
        <v/>
      </c>
      <c r="L443" s="36" t="str">
        <f aca="false">IF(B443="","",SUMIFS(Contratos!$K:$K,Contratos!$D:$D,B443))</f>
        <v/>
      </c>
      <c r="M443" s="36" t="str">
        <f aca="false">IF(B443="","",SUMIFS(Pagamentos!$G:$G,Pagamentos!$D:$D,B443,Pagamentos!$F:$F,"Empenho"))</f>
        <v/>
      </c>
      <c r="N443" s="36" t="str">
        <f aca="false">IF(B443="","",SUMIFS(Pagamentos!$G:$G,Pagamentos!$D:$D,B443,Pagamentos!$F:$F,"Pagamento"))</f>
        <v/>
      </c>
      <c r="O443" s="37" t="str">
        <f aca="false">IF(OR(B443="",H443="",L443="",L443=0),"",H443/L443)</f>
        <v/>
      </c>
      <c r="P443" s="27" t="str">
        <f aca="false">IF(B443="","",COUNTIF(Sancoes!$C:$C,B443))</f>
        <v/>
      </c>
      <c r="Q443" s="27" t="str">
        <f aca="false">IF(B443="","",COUNTIF(Socios!$B:$B,B443))</f>
        <v/>
      </c>
      <c r="R443" s="27" t="str">
        <f aca="false">IF(B443="","",COUNTIFS(Socios!$B:$B,B443,Socios!$L:$L,"SIM"))</f>
        <v/>
      </c>
      <c r="S443" s="24"/>
      <c r="T443" s="11"/>
    </row>
    <row r="444" customFormat="false" ht="15" hidden="false" customHeight="false" outlineLevel="0" collapsed="false">
      <c r="A444" s="24"/>
      <c r="B444" s="31" t="str">
        <f aca="false">IF(A444="","",IF(LEN(UPPER(SUBSTITUTE(SUBSTITUTE(SUBSTITUTE(SUBSTITUTE(TRIM(A444),".",""),"/",""),"-","")," ","")))&lt;14,RIGHT(REPT("0",14)&amp;UPPER(SUBSTITUTE(SUBSTITUTE(SUBSTITUTE(SUBSTITUTE(TRIM(A444),".",""),"/",""),"-","")," ","")),14),UPPER(SUBSTITUTE(SUBSTITUTE(SUBSTITUTE(SUBSTITUTE(TRIM(A444),".",""),"/",""),"-","")," ",""))))</f>
        <v/>
      </c>
      <c r="C444" s="11"/>
      <c r="D444" s="23"/>
      <c r="E444" s="22"/>
      <c r="F444" s="23"/>
      <c r="G444" s="11"/>
      <c r="H444" s="35"/>
      <c r="I444" s="11"/>
      <c r="J444" s="23"/>
      <c r="K444" s="27" t="str">
        <f aca="false">IF(B444="","",COUNTIF(Contratos!$D:$D,B444))</f>
        <v/>
      </c>
      <c r="L444" s="36" t="str">
        <f aca="false">IF(B444="","",SUMIFS(Contratos!$K:$K,Contratos!$D:$D,B444))</f>
        <v/>
      </c>
      <c r="M444" s="36" t="str">
        <f aca="false">IF(B444="","",SUMIFS(Pagamentos!$G:$G,Pagamentos!$D:$D,B444,Pagamentos!$F:$F,"Empenho"))</f>
        <v/>
      </c>
      <c r="N444" s="36" t="str">
        <f aca="false">IF(B444="","",SUMIFS(Pagamentos!$G:$G,Pagamentos!$D:$D,B444,Pagamentos!$F:$F,"Pagamento"))</f>
        <v/>
      </c>
      <c r="O444" s="37" t="str">
        <f aca="false">IF(OR(B444="",H444="",L444="",L444=0),"",H444/L444)</f>
        <v/>
      </c>
      <c r="P444" s="27" t="str">
        <f aca="false">IF(B444="","",COUNTIF(Sancoes!$C:$C,B444))</f>
        <v/>
      </c>
      <c r="Q444" s="27" t="str">
        <f aca="false">IF(B444="","",COUNTIF(Socios!$B:$B,B444))</f>
        <v/>
      </c>
      <c r="R444" s="27" t="str">
        <f aca="false">IF(B444="","",COUNTIFS(Socios!$B:$B,B444,Socios!$L:$L,"SIM"))</f>
        <v/>
      </c>
      <c r="S444" s="24"/>
      <c r="T444" s="11"/>
    </row>
    <row r="445" customFormat="false" ht="15" hidden="false" customHeight="false" outlineLevel="0" collapsed="false">
      <c r="A445" s="24"/>
      <c r="B445" s="31" t="str">
        <f aca="false">IF(A445="","",IF(LEN(UPPER(SUBSTITUTE(SUBSTITUTE(SUBSTITUTE(SUBSTITUTE(TRIM(A445),".",""),"/",""),"-","")," ","")))&lt;14,RIGHT(REPT("0",14)&amp;UPPER(SUBSTITUTE(SUBSTITUTE(SUBSTITUTE(SUBSTITUTE(TRIM(A445),".",""),"/",""),"-","")," ","")),14),UPPER(SUBSTITUTE(SUBSTITUTE(SUBSTITUTE(SUBSTITUTE(TRIM(A445),".",""),"/",""),"-","")," ",""))))</f>
        <v/>
      </c>
      <c r="C445" s="11"/>
      <c r="D445" s="23"/>
      <c r="E445" s="22"/>
      <c r="F445" s="23"/>
      <c r="G445" s="11"/>
      <c r="H445" s="35"/>
      <c r="I445" s="11"/>
      <c r="J445" s="23"/>
      <c r="K445" s="27" t="str">
        <f aca="false">IF(B445="","",COUNTIF(Contratos!$D:$D,B445))</f>
        <v/>
      </c>
      <c r="L445" s="36" t="str">
        <f aca="false">IF(B445="","",SUMIFS(Contratos!$K:$K,Contratos!$D:$D,B445))</f>
        <v/>
      </c>
      <c r="M445" s="36" t="str">
        <f aca="false">IF(B445="","",SUMIFS(Pagamentos!$G:$G,Pagamentos!$D:$D,B445,Pagamentos!$F:$F,"Empenho"))</f>
        <v/>
      </c>
      <c r="N445" s="36" t="str">
        <f aca="false">IF(B445="","",SUMIFS(Pagamentos!$G:$G,Pagamentos!$D:$D,B445,Pagamentos!$F:$F,"Pagamento"))</f>
        <v/>
      </c>
      <c r="O445" s="37" t="str">
        <f aca="false">IF(OR(B445="",H445="",L445="",L445=0),"",H445/L445)</f>
        <v/>
      </c>
      <c r="P445" s="27" t="str">
        <f aca="false">IF(B445="","",COUNTIF(Sancoes!$C:$C,B445))</f>
        <v/>
      </c>
      <c r="Q445" s="27" t="str">
        <f aca="false">IF(B445="","",COUNTIF(Socios!$B:$B,B445))</f>
        <v/>
      </c>
      <c r="R445" s="27" t="str">
        <f aca="false">IF(B445="","",COUNTIFS(Socios!$B:$B,B445,Socios!$L:$L,"SIM"))</f>
        <v/>
      </c>
      <c r="S445" s="24"/>
      <c r="T445" s="11"/>
    </row>
    <row r="446" customFormat="false" ht="15" hidden="false" customHeight="false" outlineLevel="0" collapsed="false">
      <c r="A446" s="24"/>
      <c r="B446" s="31" t="str">
        <f aca="false">IF(A446="","",IF(LEN(UPPER(SUBSTITUTE(SUBSTITUTE(SUBSTITUTE(SUBSTITUTE(TRIM(A446),".",""),"/",""),"-","")," ","")))&lt;14,RIGHT(REPT("0",14)&amp;UPPER(SUBSTITUTE(SUBSTITUTE(SUBSTITUTE(SUBSTITUTE(TRIM(A446),".",""),"/",""),"-","")," ","")),14),UPPER(SUBSTITUTE(SUBSTITUTE(SUBSTITUTE(SUBSTITUTE(TRIM(A446),".",""),"/",""),"-","")," ",""))))</f>
        <v/>
      </c>
      <c r="C446" s="11"/>
      <c r="D446" s="23"/>
      <c r="E446" s="22"/>
      <c r="F446" s="23"/>
      <c r="G446" s="11"/>
      <c r="H446" s="35"/>
      <c r="I446" s="11"/>
      <c r="J446" s="23"/>
      <c r="K446" s="27" t="str">
        <f aca="false">IF(B446="","",COUNTIF(Contratos!$D:$D,B446))</f>
        <v/>
      </c>
      <c r="L446" s="36" t="str">
        <f aca="false">IF(B446="","",SUMIFS(Contratos!$K:$K,Contratos!$D:$D,B446))</f>
        <v/>
      </c>
      <c r="M446" s="36" t="str">
        <f aca="false">IF(B446="","",SUMIFS(Pagamentos!$G:$G,Pagamentos!$D:$D,B446,Pagamentos!$F:$F,"Empenho"))</f>
        <v/>
      </c>
      <c r="N446" s="36" t="str">
        <f aca="false">IF(B446="","",SUMIFS(Pagamentos!$G:$G,Pagamentos!$D:$D,B446,Pagamentos!$F:$F,"Pagamento"))</f>
        <v/>
      </c>
      <c r="O446" s="37" t="str">
        <f aca="false">IF(OR(B446="",H446="",L446="",L446=0),"",H446/L446)</f>
        <v/>
      </c>
      <c r="P446" s="27" t="str">
        <f aca="false">IF(B446="","",COUNTIF(Sancoes!$C:$C,B446))</f>
        <v/>
      </c>
      <c r="Q446" s="27" t="str">
        <f aca="false">IF(B446="","",COUNTIF(Socios!$B:$B,B446))</f>
        <v/>
      </c>
      <c r="R446" s="27" t="str">
        <f aca="false">IF(B446="","",COUNTIFS(Socios!$B:$B,B446,Socios!$L:$L,"SIM"))</f>
        <v/>
      </c>
      <c r="S446" s="24"/>
      <c r="T446" s="11"/>
    </row>
    <row r="447" customFormat="false" ht="15" hidden="false" customHeight="false" outlineLevel="0" collapsed="false">
      <c r="A447" s="24"/>
      <c r="B447" s="31" t="str">
        <f aca="false">IF(A447="","",IF(LEN(UPPER(SUBSTITUTE(SUBSTITUTE(SUBSTITUTE(SUBSTITUTE(TRIM(A447),".",""),"/",""),"-","")," ","")))&lt;14,RIGHT(REPT("0",14)&amp;UPPER(SUBSTITUTE(SUBSTITUTE(SUBSTITUTE(SUBSTITUTE(TRIM(A447),".",""),"/",""),"-","")," ","")),14),UPPER(SUBSTITUTE(SUBSTITUTE(SUBSTITUTE(SUBSTITUTE(TRIM(A447),".",""),"/",""),"-","")," ",""))))</f>
        <v/>
      </c>
      <c r="C447" s="11"/>
      <c r="D447" s="23"/>
      <c r="E447" s="22"/>
      <c r="F447" s="23"/>
      <c r="G447" s="11"/>
      <c r="H447" s="35"/>
      <c r="I447" s="11"/>
      <c r="J447" s="23"/>
      <c r="K447" s="27" t="str">
        <f aca="false">IF(B447="","",COUNTIF(Contratos!$D:$D,B447))</f>
        <v/>
      </c>
      <c r="L447" s="36" t="str">
        <f aca="false">IF(B447="","",SUMIFS(Contratos!$K:$K,Contratos!$D:$D,B447))</f>
        <v/>
      </c>
      <c r="M447" s="36" t="str">
        <f aca="false">IF(B447="","",SUMIFS(Pagamentos!$G:$G,Pagamentos!$D:$D,B447,Pagamentos!$F:$F,"Empenho"))</f>
        <v/>
      </c>
      <c r="N447" s="36" t="str">
        <f aca="false">IF(B447="","",SUMIFS(Pagamentos!$G:$G,Pagamentos!$D:$D,B447,Pagamentos!$F:$F,"Pagamento"))</f>
        <v/>
      </c>
      <c r="O447" s="37" t="str">
        <f aca="false">IF(OR(B447="",H447="",L447="",L447=0),"",H447/L447)</f>
        <v/>
      </c>
      <c r="P447" s="27" t="str">
        <f aca="false">IF(B447="","",COUNTIF(Sancoes!$C:$C,B447))</f>
        <v/>
      </c>
      <c r="Q447" s="27" t="str">
        <f aca="false">IF(B447="","",COUNTIF(Socios!$B:$B,B447))</f>
        <v/>
      </c>
      <c r="R447" s="27" t="str">
        <f aca="false">IF(B447="","",COUNTIFS(Socios!$B:$B,B447,Socios!$L:$L,"SIM"))</f>
        <v/>
      </c>
      <c r="S447" s="24"/>
      <c r="T447" s="11"/>
    </row>
    <row r="448" customFormat="false" ht="15" hidden="false" customHeight="false" outlineLevel="0" collapsed="false">
      <c r="A448" s="24"/>
      <c r="B448" s="31" t="str">
        <f aca="false">IF(A448="","",IF(LEN(UPPER(SUBSTITUTE(SUBSTITUTE(SUBSTITUTE(SUBSTITUTE(TRIM(A448),".",""),"/",""),"-","")," ","")))&lt;14,RIGHT(REPT("0",14)&amp;UPPER(SUBSTITUTE(SUBSTITUTE(SUBSTITUTE(SUBSTITUTE(TRIM(A448),".",""),"/",""),"-","")," ","")),14),UPPER(SUBSTITUTE(SUBSTITUTE(SUBSTITUTE(SUBSTITUTE(TRIM(A448),".",""),"/",""),"-","")," ",""))))</f>
        <v/>
      </c>
      <c r="C448" s="11"/>
      <c r="D448" s="23"/>
      <c r="E448" s="22"/>
      <c r="F448" s="23"/>
      <c r="G448" s="11"/>
      <c r="H448" s="35"/>
      <c r="I448" s="11"/>
      <c r="J448" s="23"/>
      <c r="K448" s="27" t="str">
        <f aca="false">IF(B448="","",COUNTIF(Contratos!$D:$D,B448))</f>
        <v/>
      </c>
      <c r="L448" s="36" t="str">
        <f aca="false">IF(B448="","",SUMIFS(Contratos!$K:$K,Contratos!$D:$D,B448))</f>
        <v/>
      </c>
      <c r="M448" s="36" t="str">
        <f aca="false">IF(B448="","",SUMIFS(Pagamentos!$G:$G,Pagamentos!$D:$D,B448,Pagamentos!$F:$F,"Empenho"))</f>
        <v/>
      </c>
      <c r="N448" s="36" t="str">
        <f aca="false">IF(B448="","",SUMIFS(Pagamentos!$G:$G,Pagamentos!$D:$D,B448,Pagamentos!$F:$F,"Pagamento"))</f>
        <v/>
      </c>
      <c r="O448" s="37" t="str">
        <f aca="false">IF(OR(B448="",H448="",L448="",L448=0),"",H448/L448)</f>
        <v/>
      </c>
      <c r="P448" s="27" t="str">
        <f aca="false">IF(B448="","",COUNTIF(Sancoes!$C:$C,B448))</f>
        <v/>
      </c>
      <c r="Q448" s="27" t="str">
        <f aca="false">IF(B448="","",COUNTIF(Socios!$B:$B,B448))</f>
        <v/>
      </c>
      <c r="R448" s="27" t="str">
        <f aca="false">IF(B448="","",COUNTIFS(Socios!$B:$B,B448,Socios!$L:$L,"SIM"))</f>
        <v/>
      </c>
      <c r="S448" s="24"/>
      <c r="T448" s="11"/>
    </row>
    <row r="449" customFormat="false" ht="15" hidden="false" customHeight="false" outlineLevel="0" collapsed="false">
      <c r="A449" s="24"/>
      <c r="B449" s="31" t="str">
        <f aca="false">IF(A449="","",IF(LEN(UPPER(SUBSTITUTE(SUBSTITUTE(SUBSTITUTE(SUBSTITUTE(TRIM(A449),".",""),"/",""),"-","")," ","")))&lt;14,RIGHT(REPT("0",14)&amp;UPPER(SUBSTITUTE(SUBSTITUTE(SUBSTITUTE(SUBSTITUTE(TRIM(A449),".",""),"/",""),"-","")," ","")),14),UPPER(SUBSTITUTE(SUBSTITUTE(SUBSTITUTE(SUBSTITUTE(TRIM(A449),".",""),"/",""),"-","")," ",""))))</f>
        <v/>
      </c>
      <c r="C449" s="11"/>
      <c r="D449" s="23"/>
      <c r="E449" s="22"/>
      <c r="F449" s="23"/>
      <c r="G449" s="11"/>
      <c r="H449" s="35"/>
      <c r="I449" s="11"/>
      <c r="J449" s="23"/>
      <c r="K449" s="27" t="str">
        <f aca="false">IF(B449="","",COUNTIF(Contratos!$D:$D,B449))</f>
        <v/>
      </c>
      <c r="L449" s="36" t="str">
        <f aca="false">IF(B449="","",SUMIFS(Contratos!$K:$K,Contratos!$D:$D,B449))</f>
        <v/>
      </c>
      <c r="M449" s="36" t="str">
        <f aca="false">IF(B449="","",SUMIFS(Pagamentos!$G:$G,Pagamentos!$D:$D,B449,Pagamentos!$F:$F,"Empenho"))</f>
        <v/>
      </c>
      <c r="N449" s="36" t="str">
        <f aca="false">IF(B449="","",SUMIFS(Pagamentos!$G:$G,Pagamentos!$D:$D,B449,Pagamentos!$F:$F,"Pagamento"))</f>
        <v/>
      </c>
      <c r="O449" s="37" t="str">
        <f aca="false">IF(OR(B449="",H449="",L449="",L449=0),"",H449/L449)</f>
        <v/>
      </c>
      <c r="P449" s="27" t="str">
        <f aca="false">IF(B449="","",COUNTIF(Sancoes!$C:$C,B449))</f>
        <v/>
      </c>
      <c r="Q449" s="27" t="str">
        <f aca="false">IF(B449="","",COUNTIF(Socios!$B:$B,B449))</f>
        <v/>
      </c>
      <c r="R449" s="27" t="str">
        <f aca="false">IF(B449="","",COUNTIFS(Socios!$B:$B,B449,Socios!$L:$L,"SIM"))</f>
        <v/>
      </c>
      <c r="S449" s="24"/>
      <c r="T449" s="11"/>
    </row>
    <row r="450" customFormat="false" ht="15" hidden="false" customHeight="false" outlineLevel="0" collapsed="false">
      <c r="A450" s="24"/>
      <c r="B450" s="31" t="str">
        <f aca="false">IF(A450="","",IF(LEN(UPPER(SUBSTITUTE(SUBSTITUTE(SUBSTITUTE(SUBSTITUTE(TRIM(A450),".",""),"/",""),"-","")," ","")))&lt;14,RIGHT(REPT("0",14)&amp;UPPER(SUBSTITUTE(SUBSTITUTE(SUBSTITUTE(SUBSTITUTE(TRIM(A450),".",""),"/",""),"-","")," ","")),14),UPPER(SUBSTITUTE(SUBSTITUTE(SUBSTITUTE(SUBSTITUTE(TRIM(A450),".",""),"/",""),"-","")," ",""))))</f>
        <v/>
      </c>
      <c r="C450" s="11"/>
      <c r="D450" s="23"/>
      <c r="E450" s="22"/>
      <c r="F450" s="23"/>
      <c r="G450" s="11"/>
      <c r="H450" s="35"/>
      <c r="I450" s="11"/>
      <c r="J450" s="23"/>
      <c r="K450" s="27" t="str">
        <f aca="false">IF(B450="","",COUNTIF(Contratos!$D:$D,B450))</f>
        <v/>
      </c>
      <c r="L450" s="36" t="str">
        <f aca="false">IF(B450="","",SUMIFS(Contratos!$K:$K,Contratos!$D:$D,B450))</f>
        <v/>
      </c>
      <c r="M450" s="36" t="str">
        <f aca="false">IF(B450="","",SUMIFS(Pagamentos!$G:$G,Pagamentos!$D:$D,B450,Pagamentos!$F:$F,"Empenho"))</f>
        <v/>
      </c>
      <c r="N450" s="36" t="str">
        <f aca="false">IF(B450="","",SUMIFS(Pagamentos!$G:$G,Pagamentos!$D:$D,B450,Pagamentos!$F:$F,"Pagamento"))</f>
        <v/>
      </c>
      <c r="O450" s="37" t="str">
        <f aca="false">IF(OR(B450="",H450="",L450="",L450=0),"",H450/L450)</f>
        <v/>
      </c>
      <c r="P450" s="27" t="str">
        <f aca="false">IF(B450="","",COUNTIF(Sancoes!$C:$C,B450))</f>
        <v/>
      </c>
      <c r="Q450" s="27" t="str">
        <f aca="false">IF(B450="","",COUNTIF(Socios!$B:$B,B450))</f>
        <v/>
      </c>
      <c r="R450" s="27" t="str">
        <f aca="false">IF(B450="","",COUNTIFS(Socios!$B:$B,B450,Socios!$L:$L,"SIM"))</f>
        <v/>
      </c>
      <c r="S450" s="24"/>
      <c r="T450" s="11"/>
    </row>
    <row r="451" customFormat="false" ht="15" hidden="false" customHeight="false" outlineLevel="0" collapsed="false">
      <c r="A451" s="24"/>
      <c r="B451" s="31" t="str">
        <f aca="false">IF(A451="","",IF(LEN(UPPER(SUBSTITUTE(SUBSTITUTE(SUBSTITUTE(SUBSTITUTE(TRIM(A451),".",""),"/",""),"-","")," ","")))&lt;14,RIGHT(REPT("0",14)&amp;UPPER(SUBSTITUTE(SUBSTITUTE(SUBSTITUTE(SUBSTITUTE(TRIM(A451),".",""),"/",""),"-","")," ","")),14),UPPER(SUBSTITUTE(SUBSTITUTE(SUBSTITUTE(SUBSTITUTE(TRIM(A451),".",""),"/",""),"-","")," ",""))))</f>
        <v/>
      </c>
      <c r="C451" s="11"/>
      <c r="D451" s="23"/>
      <c r="E451" s="22"/>
      <c r="F451" s="23"/>
      <c r="G451" s="11"/>
      <c r="H451" s="35"/>
      <c r="I451" s="11"/>
      <c r="J451" s="23"/>
      <c r="K451" s="27" t="str">
        <f aca="false">IF(B451="","",COUNTIF(Contratos!$D:$D,B451))</f>
        <v/>
      </c>
      <c r="L451" s="36" t="str">
        <f aca="false">IF(B451="","",SUMIFS(Contratos!$K:$K,Contratos!$D:$D,B451))</f>
        <v/>
      </c>
      <c r="M451" s="36" t="str">
        <f aca="false">IF(B451="","",SUMIFS(Pagamentos!$G:$G,Pagamentos!$D:$D,B451,Pagamentos!$F:$F,"Empenho"))</f>
        <v/>
      </c>
      <c r="N451" s="36" t="str">
        <f aca="false">IF(B451="","",SUMIFS(Pagamentos!$G:$G,Pagamentos!$D:$D,B451,Pagamentos!$F:$F,"Pagamento"))</f>
        <v/>
      </c>
      <c r="O451" s="37" t="str">
        <f aca="false">IF(OR(B451="",H451="",L451="",L451=0),"",H451/L451)</f>
        <v/>
      </c>
      <c r="P451" s="27" t="str">
        <f aca="false">IF(B451="","",COUNTIF(Sancoes!$C:$C,B451))</f>
        <v/>
      </c>
      <c r="Q451" s="27" t="str">
        <f aca="false">IF(B451="","",COUNTIF(Socios!$B:$B,B451))</f>
        <v/>
      </c>
      <c r="R451" s="27" t="str">
        <f aca="false">IF(B451="","",COUNTIFS(Socios!$B:$B,B451,Socios!$L:$L,"SIM"))</f>
        <v/>
      </c>
      <c r="S451" s="24"/>
      <c r="T451" s="11"/>
    </row>
    <row r="452" customFormat="false" ht="15" hidden="false" customHeight="false" outlineLevel="0" collapsed="false">
      <c r="A452" s="24"/>
      <c r="B452" s="31" t="str">
        <f aca="false">IF(A452="","",IF(LEN(UPPER(SUBSTITUTE(SUBSTITUTE(SUBSTITUTE(SUBSTITUTE(TRIM(A452),".",""),"/",""),"-","")," ","")))&lt;14,RIGHT(REPT("0",14)&amp;UPPER(SUBSTITUTE(SUBSTITUTE(SUBSTITUTE(SUBSTITUTE(TRIM(A452),".",""),"/",""),"-","")," ","")),14),UPPER(SUBSTITUTE(SUBSTITUTE(SUBSTITUTE(SUBSTITUTE(TRIM(A452),".",""),"/",""),"-","")," ",""))))</f>
        <v/>
      </c>
      <c r="C452" s="11"/>
      <c r="D452" s="23"/>
      <c r="E452" s="22"/>
      <c r="F452" s="23"/>
      <c r="G452" s="11"/>
      <c r="H452" s="35"/>
      <c r="I452" s="11"/>
      <c r="J452" s="23"/>
      <c r="K452" s="27" t="str">
        <f aca="false">IF(B452="","",COUNTIF(Contratos!$D:$D,B452))</f>
        <v/>
      </c>
      <c r="L452" s="36" t="str">
        <f aca="false">IF(B452="","",SUMIFS(Contratos!$K:$K,Contratos!$D:$D,B452))</f>
        <v/>
      </c>
      <c r="M452" s="36" t="str">
        <f aca="false">IF(B452="","",SUMIFS(Pagamentos!$G:$G,Pagamentos!$D:$D,B452,Pagamentos!$F:$F,"Empenho"))</f>
        <v/>
      </c>
      <c r="N452" s="36" t="str">
        <f aca="false">IF(B452="","",SUMIFS(Pagamentos!$G:$G,Pagamentos!$D:$D,B452,Pagamentos!$F:$F,"Pagamento"))</f>
        <v/>
      </c>
      <c r="O452" s="37" t="str">
        <f aca="false">IF(OR(B452="",H452="",L452="",L452=0),"",H452/L452)</f>
        <v/>
      </c>
      <c r="P452" s="27" t="str">
        <f aca="false">IF(B452="","",COUNTIF(Sancoes!$C:$C,B452))</f>
        <v/>
      </c>
      <c r="Q452" s="27" t="str">
        <f aca="false">IF(B452="","",COUNTIF(Socios!$B:$B,B452))</f>
        <v/>
      </c>
      <c r="R452" s="27" t="str">
        <f aca="false">IF(B452="","",COUNTIFS(Socios!$B:$B,B452,Socios!$L:$L,"SIM"))</f>
        <v/>
      </c>
      <c r="S452" s="24"/>
      <c r="T452" s="11"/>
    </row>
    <row r="453" customFormat="false" ht="15" hidden="false" customHeight="false" outlineLevel="0" collapsed="false">
      <c r="A453" s="24"/>
      <c r="B453" s="31" t="str">
        <f aca="false">IF(A453="","",IF(LEN(UPPER(SUBSTITUTE(SUBSTITUTE(SUBSTITUTE(SUBSTITUTE(TRIM(A453),".",""),"/",""),"-","")," ","")))&lt;14,RIGHT(REPT("0",14)&amp;UPPER(SUBSTITUTE(SUBSTITUTE(SUBSTITUTE(SUBSTITUTE(TRIM(A453),".",""),"/",""),"-","")," ","")),14),UPPER(SUBSTITUTE(SUBSTITUTE(SUBSTITUTE(SUBSTITUTE(TRIM(A453),".",""),"/",""),"-","")," ",""))))</f>
        <v/>
      </c>
      <c r="C453" s="11"/>
      <c r="D453" s="23"/>
      <c r="E453" s="22"/>
      <c r="F453" s="23"/>
      <c r="G453" s="11"/>
      <c r="H453" s="35"/>
      <c r="I453" s="11"/>
      <c r="J453" s="23"/>
      <c r="K453" s="27" t="str">
        <f aca="false">IF(B453="","",COUNTIF(Contratos!$D:$D,B453))</f>
        <v/>
      </c>
      <c r="L453" s="36" t="str">
        <f aca="false">IF(B453="","",SUMIFS(Contratos!$K:$K,Contratos!$D:$D,B453))</f>
        <v/>
      </c>
      <c r="M453" s="36" t="str">
        <f aca="false">IF(B453="","",SUMIFS(Pagamentos!$G:$G,Pagamentos!$D:$D,B453,Pagamentos!$F:$F,"Empenho"))</f>
        <v/>
      </c>
      <c r="N453" s="36" t="str">
        <f aca="false">IF(B453="","",SUMIFS(Pagamentos!$G:$G,Pagamentos!$D:$D,B453,Pagamentos!$F:$F,"Pagamento"))</f>
        <v/>
      </c>
      <c r="O453" s="37" t="str">
        <f aca="false">IF(OR(B453="",H453="",L453="",L453=0),"",H453/L453)</f>
        <v/>
      </c>
      <c r="P453" s="27" t="str">
        <f aca="false">IF(B453="","",COUNTIF(Sancoes!$C:$C,B453))</f>
        <v/>
      </c>
      <c r="Q453" s="27" t="str">
        <f aca="false">IF(B453="","",COUNTIF(Socios!$B:$B,B453))</f>
        <v/>
      </c>
      <c r="R453" s="27" t="str">
        <f aca="false">IF(B453="","",COUNTIFS(Socios!$B:$B,B453,Socios!$L:$L,"SIM"))</f>
        <v/>
      </c>
      <c r="S453" s="24"/>
      <c r="T453" s="11"/>
    </row>
    <row r="454" customFormat="false" ht="15" hidden="false" customHeight="false" outlineLevel="0" collapsed="false">
      <c r="A454" s="24"/>
      <c r="B454" s="31" t="str">
        <f aca="false">IF(A454="","",IF(LEN(UPPER(SUBSTITUTE(SUBSTITUTE(SUBSTITUTE(SUBSTITUTE(TRIM(A454),".",""),"/",""),"-","")," ","")))&lt;14,RIGHT(REPT("0",14)&amp;UPPER(SUBSTITUTE(SUBSTITUTE(SUBSTITUTE(SUBSTITUTE(TRIM(A454),".",""),"/",""),"-","")," ","")),14),UPPER(SUBSTITUTE(SUBSTITUTE(SUBSTITUTE(SUBSTITUTE(TRIM(A454),".",""),"/",""),"-","")," ",""))))</f>
        <v/>
      </c>
      <c r="C454" s="11"/>
      <c r="D454" s="23"/>
      <c r="E454" s="22"/>
      <c r="F454" s="23"/>
      <c r="G454" s="11"/>
      <c r="H454" s="35"/>
      <c r="I454" s="11"/>
      <c r="J454" s="23"/>
      <c r="K454" s="27" t="str">
        <f aca="false">IF(B454="","",COUNTIF(Contratos!$D:$D,B454))</f>
        <v/>
      </c>
      <c r="L454" s="36" t="str">
        <f aca="false">IF(B454="","",SUMIFS(Contratos!$K:$K,Contratos!$D:$D,B454))</f>
        <v/>
      </c>
      <c r="M454" s="36" t="str">
        <f aca="false">IF(B454="","",SUMIFS(Pagamentos!$G:$G,Pagamentos!$D:$D,B454,Pagamentos!$F:$F,"Empenho"))</f>
        <v/>
      </c>
      <c r="N454" s="36" t="str">
        <f aca="false">IF(B454="","",SUMIFS(Pagamentos!$G:$G,Pagamentos!$D:$D,B454,Pagamentos!$F:$F,"Pagamento"))</f>
        <v/>
      </c>
      <c r="O454" s="37" t="str">
        <f aca="false">IF(OR(B454="",H454="",L454="",L454=0),"",H454/L454)</f>
        <v/>
      </c>
      <c r="P454" s="27" t="str">
        <f aca="false">IF(B454="","",COUNTIF(Sancoes!$C:$C,B454))</f>
        <v/>
      </c>
      <c r="Q454" s="27" t="str">
        <f aca="false">IF(B454="","",COUNTIF(Socios!$B:$B,B454))</f>
        <v/>
      </c>
      <c r="R454" s="27" t="str">
        <f aca="false">IF(B454="","",COUNTIFS(Socios!$B:$B,B454,Socios!$L:$L,"SIM"))</f>
        <v/>
      </c>
      <c r="S454" s="24"/>
      <c r="T454" s="11"/>
    </row>
    <row r="455" customFormat="false" ht="15" hidden="false" customHeight="false" outlineLevel="0" collapsed="false">
      <c r="A455" s="24"/>
      <c r="B455" s="31" t="str">
        <f aca="false">IF(A455="","",IF(LEN(UPPER(SUBSTITUTE(SUBSTITUTE(SUBSTITUTE(SUBSTITUTE(TRIM(A455),".",""),"/",""),"-","")," ","")))&lt;14,RIGHT(REPT("0",14)&amp;UPPER(SUBSTITUTE(SUBSTITUTE(SUBSTITUTE(SUBSTITUTE(TRIM(A455),".",""),"/",""),"-","")," ","")),14),UPPER(SUBSTITUTE(SUBSTITUTE(SUBSTITUTE(SUBSTITUTE(TRIM(A455),".",""),"/",""),"-","")," ",""))))</f>
        <v/>
      </c>
      <c r="C455" s="11"/>
      <c r="D455" s="23"/>
      <c r="E455" s="22"/>
      <c r="F455" s="23"/>
      <c r="G455" s="11"/>
      <c r="H455" s="35"/>
      <c r="I455" s="11"/>
      <c r="J455" s="23"/>
      <c r="K455" s="27" t="str">
        <f aca="false">IF(B455="","",COUNTIF(Contratos!$D:$D,B455))</f>
        <v/>
      </c>
      <c r="L455" s="36" t="str">
        <f aca="false">IF(B455="","",SUMIFS(Contratos!$K:$K,Contratos!$D:$D,B455))</f>
        <v/>
      </c>
      <c r="M455" s="36" t="str">
        <f aca="false">IF(B455="","",SUMIFS(Pagamentos!$G:$G,Pagamentos!$D:$D,B455,Pagamentos!$F:$F,"Empenho"))</f>
        <v/>
      </c>
      <c r="N455" s="36" t="str">
        <f aca="false">IF(B455="","",SUMIFS(Pagamentos!$G:$G,Pagamentos!$D:$D,B455,Pagamentos!$F:$F,"Pagamento"))</f>
        <v/>
      </c>
      <c r="O455" s="37" t="str">
        <f aca="false">IF(OR(B455="",H455="",L455="",L455=0),"",H455/L455)</f>
        <v/>
      </c>
      <c r="P455" s="27" t="str">
        <f aca="false">IF(B455="","",COUNTIF(Sancoes!$C:$C,B455))</f>
        <v/>
      </c>
      <c r="Q455" s="27" t="str">
        <f aca="false">IF(B455="","",COUNTIF(Socios!$B:$B,B455))</f>
        <v/>
      </c>
      <c r="R455" s="27" t="str">
        <f aca="false">IF(B455="","",COUNTIFS(Socios!$B:$B,B455,Socios!$L:$L,"SIM"))</f>
        <v/>
      </c>
      <c r="S455" s="24"/>
      <c r="T455" s="11"/>
    </row>
    <row r="456" customFormat="false" ht="15" hidden="false" customHeight="false" outlineLevel="0" collapsed="false">
      <c r="A456" s="24"/>
      <c r="B456" s="31" t="str">
        <f aca="false">IF(A456="","",IF(LEN(UPPER(SUBSTITUTE(SUBSTITUTE(SUBSTITUTE(SUBSTITUTE(TRIM(A456),".",""),"/",""),"-","")," ","")))&lt;14,RIGHT(REPT("0",14)&amp;UPPER(SUBSTITUTE(SUBSTITUTE(SUBSTITUTE(SUBSTITUTE(TRIM(A456),".",""),"/",""),"-","")," ","")),14),UPPER(SUBSTITUTE(SUBSTITUTE(SUBSTITUTE(SUBSTITUTE(TRIM(A456),".",""),"/",""),"-","")," ",""))))</f>
        <v/>
      </c>
      <c r="C456" s="11"/>
      <c r="D456" s="23"/>
      <c r="E456" s="22"/>
      <c r="F456" s="23"/>
      <c r="G456" s="11"/>
      <c r="H456" s="35"/>
      <c r="I456" s="11"/>
      <c r="J456" s="23"/>
      <c r="K456" s="27" t="str">
        <f aca="false">IF(B456="","",COUNTIF(Contratos!$D:$D,B456))</f>
        <v/>
      </c>
      <c r="L456" s="36" t="str">
        <f aca="false">IF(B456="","",SUMIFS(Contratos!$K:$K,Contratos!$D:$D,B456))</f>
        <v/>
      </c>
      <c r="M456" s="36" t="str">
        <f aca="false">IF(B456="","",SUMIFS(Pagamentos!$G:$G,Pagamentos!$D:$D,B456,Pagamentos!$F:$F,"Empenho"))</f>
        <v/>
      </c>
      <c r="N456" s="36" t="str">
        <f aca="false">IF(B456="","",SUMIFS(Pagamentos!$G:$G,Pagamentos!$D:$D,B456,Pagamentos!$F:$F,"Pagamento"))</f>
        <v/>
      </c>
      <c r="O456" s="37" t="str">
        <f aca="false">IF(OR(B456="",H456="",L456="",L456=0),"",H456/L456)</f>
        <v/>
      </c>
      <c r="P456" s="27" t="str">
        <f aca="false">IF(B456="","",COUNTIF(Sancoes!$C:$C,B456))</f>
        <v/>
      </c>
      <c r="Q456" s="27" t="str">
        <f aca="false">IF(B456="","",COUNTIF(Socios!$B:$B,B456))</f>
        <v/>
      </c>
      <c r="R456" s="27" t="str">
        <f aca="false">IF(B456="","",COUNTIFS(Socios!$B:$B,B456,Socios!$L:$L,"SIM"))</f>
        <v/>
      </c>
      <c r="S456" s="24"/>
      <c r="T456" s="11"/>
    </row>
    <row r="457" customFormat="false" ht="15" hidden="false" customHeight="false" outlineLevel="0" collapsed="false">
      <c r="A457" s="24"/>
      <c r="B457" s="31" t="str">
        <f aca="false">IF(A457="","",IF(LEN(UPPER(SUBSTITUTE(SUBSTITUTE(SUBSTITUTE(SUBSTITUTE(TRIM(A457),".",""),"/",""),"-","")," ","")))&lt;14,RIGHT(REPT("0",14)&amp;UPPER(SUBSTITUTE(SUBSTITUTE(SUBSTITUTE(SUBSTITUTE(TRIM(A457),".",""),"/",""),"-","")," ","")),14),UPPER(SUBSTITUTE(SUBSTITUTE(SUBSTITUTE(SUBSTITUTE(TRIM(A457),".",""),"/",""),"-","")," ",""))))</f>
        <v/>
      </c>
      <c r="C457" s="11"/>
      <c r="D457" s="23"/>
      <c r="E457" s="22"/>
      <c r="F457" s="23"/>
      <c r="G457" s="11"/>
      <c r="H457" s="35"/>
      <c r="I457" s="11"/>
      <c r="J457" s="23"/>
      <c r="K457" s="27" t="str">
        <f aca="false">IF(B457="","",COUNTIF(Contratos!$D:$D,B457))</f>
        <v/>
      </c>
      <c r="L457" s="36" t="str">
        <f aca="false">IF(B457="","",SUMIFS(Contratos!$K:$K,Contratos!$D:$D,B457))</f>
        <v/>
      </c>
      <c r="M457" s="36" t="str">
        <f aca="false">IF(B457="","",SUMIFS(Pagamentos!$G:$G,Pagamentos!$D:$D,B457,Pagamentos!$F:$F,"Empenho"))</f>
        <v/>
      </c>
      <c r="N457" s="36" t="str">
        <f aca="false">IF(B457="","",SUMIFS(Pagamentos!$G:$G,Pagamentos!$D:$D,B457,Pagamentos!$F:$F,"Pagamento"))</f>
        <v/>
      </c>
      <c r="O457" s="37" t="str">
        <f aca="false">IF(OR(B457="",H457="",L457="",L457=0),"",H457/L457)</f>
        <v/>
      </c>
      <c r="P457" s="27" t="str">
        <f aca="false">IF(B457="","",COUNTIF(Sancoes!$C:$C,B457))</f>
        <v/>
      </c>
      <c r="Q457" s="27" t="str">
        <f aca="false">IF(B457="","",COUNTIF(Socios!$B:$B,B457))</f>
        <v/>
      </c>
      <c r="R457" s="27" t="str">
        <f aca="false">IF(B457="","",COUNTIFS(Socios!$B:$B,B457,Socios!$L:$L,"SIM"))</f>
        <v/>
      </c>
      <c r="S457" s="24"/>
      <c r="T457" s="11"/>
    </row>
    <row r="458" customFormat="false" ht="15" hidden="false" customHeight="false" outlineLevel="0" collapsed="false">
      <c r="A458" s="24"/>
      <c r="B458" s="31" t="str">
        <f aca="false">IF(A458="","",IF(LEN(UPPER(SUBSTITUTE(SUBSTITUTE(SUBSTITUTE(SUBSTITUTE(TRIM(A458),".",""),"/",""),"-","")," ","")))&lt;14,RIGHT(REPT("0",14)&amp;UPPER(SUBSTITUTE(SUBSTITUTE(SUBSTITUTE(SUBSTITUTE(TRIM(A458),".",""),"/",""),"-","")," ","")),14),UPPER(SUBSTITUTE(SUBSTITUTE(SUBSTITUTE(SUBSTITUTE(TRIM(A458),".",""),"/",""),"-","")," ",""))))</f>
        <v/>
      </c>
      <c r="C458" s="11"/>
      <c r="D458" s="23"/>
      <c r="E458" s="22"/>
      <c r="F458" s="23"/>
      <c r="G458" s="11"/>
      <c r="H458" s="35"/>
      <c r="I458" s="11"/>
      <c r="J458" s="23"/>
      <c r="K458" s="27" t="str">
        <f aca="false">IF(B458="","",COUNTIF(Contratos!$D:$D,B458))</f>
        <v/>
      </c>
      <c r="L458" s="36" t="str">
        <f aca="false">IF(B458="","",SUMIFS(Contratos!$K:$K,Contratos!$D:$D,B458))</f>
        <v/>
      </c>
      <c r="M458" s="36" t="str">
        <f aca="false">IF(B458="","",SUMIFS(Pagamentos!$G:$G,Pagamentos!$D:$D,B458,Pagamentos!$F:$F,"Empenho"))</f>
        <v/>
      </c>
      <c r="N458" s="36" t="str">
        <f aca="false">IF(B458="","",SUMIFS(Pagamentos!$G:$G,Pagamentos!$D:$D,B458,Pagamentos!$F:$F,"Pagamento"))</f>
        <v/>
      </c>
      <c r="O458" s="37" t="str">
        <f aca="false">IF(OR(B458="",H458="",L458="",L458=0),"",H458/L458)</f>
        <v/>
      </c>
      <c r="P458" s="27" t="str">
        <f aca="false">IF(B458="","",COUNTIF(Sancoes!$C:$C,B458))</f>
        <v/>
      </c>
      <c r="Q458" s="27" t="str">
        <f aca="false">IF(B458="","",COUNTIF(Socios!$B:$B,B458))</f>
        <v/>
      </c>
      <c r="R458" s="27" t="str">
        <f aca="false">IF(B458="","",COUNTIFS(Socios!$B:$B,B458,Socios!$L:$L,"SIM"))</f>
        <v/>
      </c>
      <c r="S458" s="24"/>
      <c r="T458" s="11"/>
    </row>
    <row r="459" customFormat="false" ht="15" hidden="false" customHeight="false" outlineLevel="0" collapsed="false">
      <c r="A459" s="24"/>
      <c r="B459" s="31" t="str">
        <f aca="false">IF(A459="","",IF(LEN(UPPER(SUBSTITUTE(SUBSTITUTE(SUBSTITUTE(SUBSTITUTE(TRIM(A459),".",""),"/",""),"-","")," ","")))&lt;14,RIGHT(REPT("0",14)&amp;UPPER(SUBSTITUTE(SUBSTITUTE(SUBSTITUTE(SUBSTITUTE(TRIM(A459),".",""),"/",""),"-","")," ","")),14),UPPER(SUBSTITUTE(SUBSTITUTE(SUBSTITUTE(SUBSTITUTE(TRIM(A459),".",""),"/",""),"-","")," ",""))))</f>
        <v/>
      </c>
      <c r="C459" s="11"/>
      <c r="D459" s="23"/>
      <c r="E459" s="22"/>
      <c r="F459" s="23"/>
      <c r="G459" s="11"/>
      <c r="H459" s="35"/>
      <c r="I459" s="11"/>
      <c r="J459" s="23"/>
      <c r="K459" s="27" t="str">
        <f aca="false">IF(B459="","",COUNTIF(Contratos!$D:$D,B459))</f>
        <v/>
      </c>
      <c r="L459" s="36" t="str">
        <f aca="false">IF(B459="","",SUMIFS(Contratos!$K:$K,Contratos!$D:$D,B459))</f>
        <v/>
      </c>
      <c r="M459" s="36" t="str">
        <f aca="false">IF(B459="","",SUMIFS(Pagamentos!$G:$G,Pagamentos!$D:$D,B459,Pagamentos!$F:$F,"Empenho"))</f>
        <v/>
      </c>
      <c r="N459" s="36" t="str">
        <f aca="false">IF(B459="","",SUMIFS(Pagamentos!$G:$G,Pagamentos!$D:$D,B459,Pagamentos!$F:$F,"Pagamento"))</f>
        <v/>
      </c>
      <c r="O459" s="37" t="str">
        <f aca="false">IF(OR(B459="",H459="",L459="",L459=0),"",H459/L459)</f>
        <v/>
      </c>
      <c r="P459" s="27" t="str">
        <f aca="false">IF(B459="","",COUNTIF(Sancoes!$C:$C,B459))</f>
        <v/>
      </c>
      <c r="Q459" s="27" t="str">
        <f aca="false">IF(B459="","",COUNTIF(Socios!$B:$B,B459))</f>
        <v/>
      </c>
      <c r="R459" s="27" t="str">
        <f aca="false">IF(B459="","",COUNTIFS(Socios!$B:$B,B459,Socios!$L:$L,"SIM"))</f>
        <v/>
      </c>
      <c r="S459" s="24"/>
      <c r="T459" s="11"/>
    </row>
    <row r="460" customFormat="false" ht="15" hidden="false" customHeight="false" outlineLevel="0" collapsed="false">
      <c r="A460" s="24"/>
      <c r="B460" s="31" t="str">
        <f aca="false">IF(A460="","",IF(LEN(UPPER(SUBSTITUTE(SUBSTITUTE(SUBSTITUTE(SUBSTITUTE(TRIM(A460),".",""),"/",""),"-","")," ","")))&lt;14,RIGHT(REPT("0",14)&amp;UPPER(SUBSTITUTE(SUBSTITUTE(SUBSTITUTE(SUBSTITUTE(TRIM(A460),".",""),"/",""),"-","")," ","")),14),UPPER(SUBSTITUTE(SUBSTITUTE(SUBSTITUTE(SUBSTITUTE(TRIM(A460),".",""),"/",""),"-","")," ",""))))</f>
        <v/>
      </c>
      <c r="C460" s="11"/>
      <c r="D460" s="23"/>
      <c r="E460" s="22"/>
      <c r="F460" s="23"/>
      <c r="G460" s="11"/>
      <c r="H460" s="35"/>
      <c r="I460" s="11"/>
      <c r="J460" s="23"/>
      <c r="K460" s="27" t="str">
        <f aca="false">IF(B460="","",COUNTIF(Contratos!$D:$D,B460))</f>
        <v/>
      </c>
      <c r="L460" s="36" t="str">
        <f aca="false">IF(B460="","",SUMIFS(Contratos!$K:$K,Contratos!$D:$D,B460))</f>
        <v/>
      </c>
      <c r="M460" s="36" t="str">
        <f aca="false">IF(B460="","",SUMIFS(Pagamentos!$G:$G,Pagamentos!$D:$D,B460,Pagamentos!$F:$F,"Empenho"))</f>
        <v/>
      </c>
      <c r="N460" s="36" t="str">
        <f aca="false">IF(B460="","",SUMIFS(Pagamentos!$G:$G,Pagamentos!$D:$D,B460,Pagamentos!$F:$F,"Pagamento"))</f>
        <v/>
      </c>
      <c r="O460" s="37" t="str">
        <f aca="false">IF(OR(B460="",H460="",L460="",L460=0),"",H460/L460)</f>
        <v/>
      </c>
      <c r="P460" s="27" t="str">
        <f aca="false">IF(B460="","",COUNTIF(Sancoes!$C:$C,B460))</f>
        <v/>
      </c>
      <c r="Q460" s="27" t="str">
        <f aca="false">IF(B460="","",COUNTIF(Socios!$B:$B,B460))</f>
        <v/>
      </c>
      <c r="R460" s="27" t="str">
        <f aca="false">IF(B460="","",COUNTIFS(Socios!$B:$B,B460,Socios!$L:$L,"SIM"))</f>
        <v/>
      </c>
      <c r="S460" s="24"/>
      <c r="T460" s="11"/>
    </row>
    <row r="461" customFormat="false" ht="15" hidden="false" customHeight="false" outlineLevel="0" collapsed="false">
      <c r="A461" s="24"/>
      <c r="B461" s="31" t="str">
        <f aca="false">IF(A461="","",IF(LEN(UPPER(SUBSTITUTE(SUBSTITUTE(SUBSTITUTE(SUBSTITUTE(TRIM(A461),".",""),"/",""),"-","")," ","")))&lt;14,RIGHT(REPT("0",14)&amp;UPPER(SUBSTITUTE(SUBSTITUTE(SUBSTITUTE(SUBSTITUTE(TRIM(A461),".",""),"/",""),"-","")," ","")),14),UPPER(SUBSTITUTE(SUBSTITUTE(SUBSTITUTE(SUBSTITUTE(TRIM(A461),".",""),"/",""),"-","")," ",""))))</f>
        <v/>
      </c>
      <c r="C461" s="11"/>
      <c r="D461" s="23"/>
      <c r="E461" s="22"/>
      <c r="F461" s="23"/>
      <c r="G461" s="11"/>
      <c r="H461" s="35"/>
      <c r="I461" s="11"/>
      <c r="J461" s="23"/>
      <c r="K461" s="27" t="str">
        <f aca="false">IF(B461="","",COUNTIF(Contratos!$D:$D,B461))</f>
        <v/>
      </c>
      <c r="L461" s="36" t="str">
        <f aca="false">IF(B461="","",SUMIFS(Contratos!$K:$K,Contratos!$D:$D,B461))</f>
        <v/>
      </c>
      <c r="M461" s="36" t="str">
        <f aca="false">IF(B461="","",SUMIFS(Pagamentos!$G:$G,Pagamentos!$D:$D,B461,Pagamentos!$F:$F,"Empenho"))</f>
        <v/>
      </c>
      <c r="N461" s="36" t="str">
        <f aca="false">IF(B461="","",SUMIFS(Pagamentos!$G:$G,Pagamentos!$D:$D,B461,Pagamentos!$F:$F,"Pagamento"))</f>
        <v/>
      </c>
      <c r="O461" s="37" t="str">
        <f aca="false">IF(OR(B461="",H461="",L461="",L461=0),"",H461/L461)</f>
        <v/>
      </c>
      <c r="P461" s="27" t="str">
        <f aca="false">IF(B461="","",COUNTIF(Sancoes!$C:$C,B461))</f>
        <v/>
      </c>
      <c r="Q461" s="27" t="str">
        <f aca="false">IF(B461="","",COUNTIF(Socios!$B:$B,B461))</f>
        <v/>
      </c>
      <c r="R461" s="27" t="str">
        <f aca="false">IF(B461="","",COUNTIFS(Socios!$B:$B,B461,Socios!$L:$L,"SIM"))</f>
        <v/>
      </c>
      <c r="S461" s="24"/>
      <c r="T461" s="11"/>
    </row>
    <row r="462" customFormat="false" ht="15" hidden="false" customHeight="false" outlineLevel="0" collapsed="false">
      <c r="A462" s="24"/>
      <c r="B462" s="31" t="str">
        <f aca="false">IF(A462="","",IF(LEN(UPPER(SUBSTITUTE(SUBSTITUTE(SUBSTITUTE(SUBSTITUTE(TRIM(A462),".",""),"/",""),"-","")," ","")))&lt;14,RIGHT(REPT("0",14)&amp;UPPER(SUBSTITUTE(SUBSTITUTE(SUBSTITUTE(SUBSTITUTE(TRIM(A462),".",""),"/",""),"-","")," ","")),14),UPPER(SUBSTITUTE(SUBSTITUTE(SUBSTITUTE(SUBSTITUTE(TRIM(A462),".",""),"/",""),"-","")," ",""))))</f>
        <v/>
      </c>
      <c r="C462" s="11"/>
      <c r="D462" s="23"/>
      <c r="E462" s="22"/>
      <c r="F462" s="23"/>
      <c r="G462" s="11"/>
      <c r="H462" s="35"/>
      <c r="I462" s="11"/>
      <c r="J462" s="23"/>
      <c r="K462" s="27" t="str">
        <f aca="false">IF(B462="","",COUNTIF(Contratos!$D:$D,B462))</f>
        <v/>
      </c>
      <c r="L462" s="36" t="str">
        <f aca="false">IF(B462="","",SUMIFS(Contratos!$K:$K,Contratos!$D:$D,B462))</f>
        <v/>
      </c>
      <c r="M462" s="36" t="str">
        <f aca="false">IF(B462="","",SUMIFS(Pagamentos!$G:$G,Pagamentos!$D:$D,B462,Pagamentos!$F:$F,"Empenho"))</f>
        <v/>
      </c>
      <c r="N462" s="36" t="str">
        <f aca="false">IF(B462="","",SUMIFS(Pagamentos!$G:$G,Pagamentos!$D:$D,B462,Pagamentos!$F:$F,"Pagamento"))</f>
        <v/>
      </c>
      <c r="O462" s="37" t="str">
        <f aca="false">IF(OR(B462="",H462="",L462="",L462=0),"",H462/L462)</f>
        <v/>
      </c>
      <c r="P462" s="27" t="str">
        <f aca="false">IF(B462="","",COUNTIF(Sancoes!$C:$C,B462))</f>
        <v/>
      </c>
      <c r="Q462" s="27" t="str">
        <f aca="false">IF(B462="","",COUNTIF(Socios!$B:$B,B462))</f>
        <v/>
      </c>
      <c r="R462" s="27" t="str">
        <f aca="false">IF(B462="","",COUNTIFS(Socios!$B:$B,B462,Socios!$L:$L,"SIM"))</f>
        <v/>
      </c>
      <c r="S462" s="24"/>
      <c r="T462" s="11"/>
    </row>
    <row r="463" customFormat="false" ht="15" hidden="false" customHeight="false" outlineLevel="0" collapsed="false">
      <c r="A463" s="24"/>
      <c r="B463" s="31" t="str">
        <f aca="false">IF(A463="","",IF(LEN(UPPER(SUBSTITUTE(SUBSTITUTE(SUBSTITUTE(SUBSTITUTE(TRIM(A463),".",""),"/",""),"-","")," ","")))&lt;14,RIGHT(REPT("0",14)&amp;UPPER(SUBSTITUTE(SUBSTITUTE(SUBSTITUTE(SUBSTITUTE(TRIM(A463),".",""),"/",""),"-","")," ","")),14),UPPER(SUBSTITUTE(SUBSTITUTE(SUBSTITUTE(SUBSTITUTE(TRIM(A463),".",""),"/",""),"-","")," ",""))))</f>
        <v/>
      </c>
      <c r="C463" s="11"/>
      <c r="D463" s="23"/>
      <c r="E463" s="22"/>
      <c r="F463" s="23"/>
      <c r="G463" s="11"/>
      <c r="H463" s="35"/>
      <c r="I463" s="11"/>
      <c r="J463" s="23"/>
      <c r="K463" s="27" t="str">
        <f aca="false">IF(B463="","",COUNTIF(Contratos!$D:$D,B463))</f>
        <v/>
      </c>
      <c r="L463" s="36" t="str">
        <f aca="false">IF(B463="","",SUMIFS(Contratos!$K:$K,Contratos!$D:$D,B463))</f>
        <v/>
      </c>
      <c r="M463" s="36" t="str">
        <f aca="false">IF(B463="","",SUMIFS(Pagamentos!$G:$G,Pagamentos!$D:$D,B463,Pagamentos!$F:$F,"Empenho"))</f>
        <v/>
      </c>
      <c r="N463" s="36" t="str">
        <f aca="false">IF(B463="","",SUMIFS(Pagamentos!$G:$G,Pagamentos!$D:$D,B463,Pagamentos!$F:$F,"Pagamento"))</f>
        <v/>
      </c>
      <c r="O463" s="37" t="str">
        <f aca="false">IF(OR(B463="",H463="",L463="",L463=0),"",H463/L463)</f>
        <v/>
      </c>
      <c r="P463" s="27" t="str">
        <f aca="false">IF(B463="","",COUNTIF(Sancoes!$C:$C,B463))</f>
        <v/>
      </c>
      <c r="Q463" s="27" t="str">
        <f aca="false">IF(B463="","",COUNTIF(Socios!$B:$B,B463))</f>
        <v/>
      </c>
      <c r="R463" s="27" t="str">
        <f aca="false">IF(B463="","",COUNTIFS(Socios!$B:$B,B463,Socios!$L:$L,"SIM"))</f>
        <v/>
      </c>
      <c r="S463" s="24"/>
      <c r="T463" s="11"/>
    </row>
    <row r="464" customFormat="false" ht="15" hidden="false" customHeight="false" outlineLevel="0" collapsed="false">
      <c r="A464" s="24"/>
      <c r="B464" s="31" t="str">
        <f aca="false">IF(A464="","",IF(LEN(UPPER(SUBSTITUTE(SUBSTITUTE(SUBSTITUTE(SUBSTITUTE(TRIM(A464),".",""),"/",""),"-","")," ","")))&lt;14,RIGHT(REPT("0",14)&amp;UPPER(SUBSTITUTE(SUBSTITUTE(SUBSTITUTE(SUBSTITUTE(TRIM(A464),".",""),"/",""),"-","")," ","")),14),UPPER(SUBSTITUTE(SUBSTITUTE(SUBSTITUTE(SUBSTITUTE(TRIM(A464),".",""),"/",""),"-","")," ",""))))</f>
        <v/>
      </c>
      <c r="C464" s="11"/>
      <c r="D464" s="23"/>
      <c r="E464" s="22"/>
      <c r="F464" s="23"/>
      <c r="G464" s="11"/>
      <c r="H464" s="35"/>
      <c r="I464" s="11"/>
      <c r="J464" s="23"/>
      <c r="K464" s="27" t="str">
        <f aca="false">IF(B464="","",COUNTIF(Contratos!$D:$D,B464))</f>
        <v/>
      </c>
      <c r="L464" s="36" t="str">
        <f aca="false">IF(B464="","",SUMIFS(Contratos!$K:$K,Contratos!$D:$D,B464))</f>
        <v/>
      </c>
      <c r="M464" s="36" t="str">
        <f aca="false">IF(B464="","",SUMIFS(Pagamentos!$G:$G,Pagamentos!$D:$D,B464,Pagamentos!$F:$F,"Empenho"))</f>
        <v/>
      </c>
      <c r="N464" s="36" t="str">
        <f aca="false">IF(B464="","",SUMIFS(Pagamentos!$G:$G,Pagamentos!$D:$D,B464,Pagamentos!$F:$F,"Pagamento"))</f>
        <v/>
      </c>
      <c r="O464" s="37" t="str">
        <f aca="false">IF(OR(B464="",H464="",L464="",L464=0),"",H464/L464)</f>
        <v/>
      </c>
      <c r="P464" s="27" t="str">
        <f aca="false">IF(B464="","",COUNTIF(Sancoes!$C:$C,B464))</f>
        <v/>
      </c>
      <c r="Q464" s="27" t="str">
        <f aca="false">IF(B464="","",COUNTIF(Socios!$B:$B,B464))</f>
        <v/>
      </c>
      <c r="R464" s="27" t="str">
        <f aca="false">IF(B464="","",COUNTIFS(Socios!$B:$B,B464,Socios!$L:$L,"SIM"))</f>
        <v/>
      </c>
      <c r="S464" s="24"/>
      <c r="T464" s="11"/>
    </row>
    <row r="465" customFormat="false" ht="15" hidden="false" customHeight="false" outlineLevel="0" collapsed="false">
      <c r="A465" s="24"/>
      <c r="B465" s="31" t="str">
        <f aca="false">IF(A465="","",IF(LEN(UPPER(SUBSTITUTE(SUBSTITUTE(SUBSTITUTE(SUBSTITUTE(TRIM(A465),".",""),"/",""),"-","")," ","")))&lt;14,RIGHT(REPT("0",14)&amp;UPPER(SUBSTITUTE(SUBSTITUTE(SUBSTITUTE(SUBSTITUTE(TRIM(A465),".",""),"/",""),"-","")," ","")),14),UPPER(SUBSTITUTE(SUBSTITUTE(SUBSTITUTE(SUBSTITUTE(TRIM(A465),".",""),"/",""),"-","")," ",""))))</f>
        <v/>
      </c>
      <c r="C465" s="11"/>
      <c r="D465" s="23"/>
      <c r="E465" s="22"/>
      <c r="F465" s="23"/>
      <c r="G465" s="11"/>
      <c r="H465" s="35"/>
      <c r="I465" s="11"/>
      <c r="J465" s="23"/>
      <c r="K465" s="27" t="str">
        <f aca="false">IF(B465="","",COUNTIF(Contratos!$D:$D,B465))</f>
        <v/>
      </c>
      <c r="L465" s="36" t="str">
        <f aca="false">IF(B465="","",SUMIFS(Contratos!$K:$K,Contratos!$D:$D,B465))</f>
        <v/>
      </c>
      <c r="M465" s="36" t="str">
        <f aca="false">IF(B465="","",SUMIFS(Pagamentos!$G:$G,Pagamentos!$D:$D,B465,Pagamentos!$F:$F,"Empenho"))</f>
        <v/>
      </c>
      <c r="N465" s="36" t="str">
        <f aca="false">IF(B465="","",SUMIFS(Pagamentos!$G:$G,Pagamentos!$D:$D,B465,Pagamentos!$F:$F,"Pagamento"))</f>
        <v/>
      </c>
      <c r="O465" s="37" t="str">
        <f aca="false">IF(OR(B465="",H465="",L465="",L465=0),"",H465/L465)</f>
        <v/>
      </c>
      <c r="P465" s="27" t="str">
        <f aca="false">IF(B465="","",COUNTIF(Sancoes!$C:$C,B465))</f>
        <v/>
      </c>
      <c r="Q465" s="27" t="str">
        <f aca="false">IF(B465="","",COUNTIF(Socios!$B:$B,B465))</f>
        <v/>
      </c>
      <c r="R465" s="27" t="str">
        <f aca="false">IF(B465="","",COUNTIFS(Socios!$B:$B,B465,Socios!$L:$L,"SIM"))</f>
        <v/>
      </c>
      <c r="S465" s="24"/>
      <c r="T465" s="11"/>
    </row>
    <row r="466" customFormat="false" ht="15" hidden="false" customHeight="false" outlineLevel="0" collapsed="false">
      <c r="A466" s="24"/>
      <c r="B466" s="31" t="str">
        <f aca="false">IF(A466="","",IF(LEN(UPPER(SUBSTITUTE(SUBSTITUTE(SUBSTITUTE(SUBSTITUTE(TRIM(A466),".",""),"/",""),"-","")," ","")))&lt;14,RIGHT(REPT("0",14)&amp;UPPER(SUBSTITUTE(SUBSTITUTE(SUBSTITUTE(SUBSTITUTE(TRIM(A466),".",""),"/",""),"-","")," ","")),14),UPPER(SUBSTITUTE(SUBSTITUTE(SUBSTITUTE(SUBSTITUTE(TRIM(A466),".",""),"/",""),"-","")," ",""))))</f>
        <v/>
      </c>
      <c r="C466" s="11"/>
      <c r="D466" s="23"/>
      <c r="E466" s="22"/>
      <c r="F466" s="23"/>
      <c r="G466" s="11"/>
      <c r="H466" s="35"/>
      <c r="I466" s="11"/>
      <c r="J466" s="23"/>
      <c r="K466" s="27" t="str">
        <f aca="false">IF(B466="","",COUNTIF(Contratos!$D:$D,B466))</f>
        <v/>
      </c>
      <c r="L466" s="36" t="str">
        <f aca="false">IF(B466="","",SUMIFS(Contratos!$K:$K,Contratos!$D:$D,B466))</f>
        <v/>
      </c>
      <c r="M466" s="36" t="str">
        <f aca="false">IF(B466="","",SUMIFS(Pagamentos!$G:$G,Pagamentos!$D:$D,B466,Pagamentos!$F:$F,"Empenho"))</f>
        <v/>
      </c>
      <c r="N466" s="36" t="str">
        <f aca="false">IF(B466="","",SUMIFS(Pagamentos!$G:$G,Pagamentos!$D:$D,B466,Pagamentos!$F:$F,"Pagamento"))</f>
        <v/>
      </c>
      <c r="O466" s="37" t="str">
        <f aca="false">IF(OR(B466="",H466="",L466="",L466=0),"",H466/L466)</f>
        <v/>
      </c>
      <c r="P466" s="27" t="str">
        <f aca="false">IF(B466="","",COUNTIF(Sancoes!$C:$C,B466))</f>
        <v/>
      </c>
      <c r="Q466" s="27" t="str">
        <f aca="false">IF(B466="","",COUNTIF(Socios!$B:$B,B466))</f>
        <v/>
      </c>
      <c r="R466" s="27" t="str">
        <f aca="false">IF(B466="","",COUNTIFS(Socios!$B:$B,B466,Socios!$L:$L,"SIM"))</f>
        <v/>
      </c>
      <c r="S466" s="24"/>
      <c r="T466" s="11"/>
    </row>
    <row r="467" customFormat="false" ht="15" hidden="false" customHeight="false" outlineLevel="0" collapsed="false">
      <c r="A467" s="24"/>
      <c r="B467" s="31" t="str">
        <f aca="false">IF(A467="","",IF(LEN(UPPER(SUBSTITUTE(SUBSTITUTE(SUBSTITUTE(SUBSTITUTE(TRIM(A467),".",""),"/",""),"-","")," ","")))&lt;14,RIGHT(REPT("0",14)&amp;UPPER(SUBSTITUTE(SUBSTITUTE(SUBSTITUTE(SUBSTITUTE(TRIM(A467),".",""),"/",""),"-","")," ","")),14),UPPER(SUBSTITUTE(SUBSTITUTE(SUBSTITUTE(SUBSTITUTE(TRIM(A467),".",""),"/",""),"-","")," ",""))))</f>
        <v/>
      </c>
      <c r="C467" s="11"/>
      <c r="D467" s="23"/>
      <c r="E467" s="22"/>
      <c r="F467" s="23"/>
      <c r="G467" s="11"/>
      <c r="H467" s="35"/>
      <c r="I467" s="11"/>
      <c r="J467" s="23"/>
      <c r="K467" s="27" t="str">
        <f aca="false">IF(B467="","",COUNTIF(Contratos!$D:$D,B467))</f>
        <v/>
      </c>
      <c r="L467" s="36" t="str">
        <f aca="false">IF(B467="","",SUMIFS(Contratos!$K:$K,Contratos!$D:$D,B467))</f>
        <v/>
      </c>
      <c r="M467" s="36" t="str">
        <f aca="false">IF(B467="","",SUMIFS(Pagamentos!$G:$G,Pagamentos!$D:$D,B467,Pagamentos!$F:$F,"Empenho"))</f>
        <v/>
      </c>
      <c r="N467" s="36" t="str">
        <f aca="false">IF(B467="","",SUMIFS(Pagamentos!$G:$G,Pagamentos!$D:$D,B467,Pagamentos!$F:$F,"Pagamento"))</f>
        <v/>
      </c>
      <c r="O467" s="37" t="str">
        <f aca="false">IF(OR(B467="",H467="",L467="",L467=0),"",H467/L467)</f>
        <v/>
      </c>
      <c r="P467" s="27" t="str">
        <f aca="false">IF(B467="","",COUNTIF(Sancoes!$C:$C,B467))</f>
        <v/>
      </c>
      <c r="Q467" s="27" t="str">
        <f aca="false">IF(B467="","",COUNTIF(Socios!$B:$B,B467))</f>
        <v/>
      </c>
      <c r="R467" s="27" t="str">
        <f aca="false">IF(B467="","",COUNTIFS(Socios!$B:$B,B467,Socios!$L:$L,"SIM"))</f>
        <v/>
      </c>
      <c r="S467" s="24"/>
      <c r="T467" s="11"/>
    </row>
    <row r="468" customFormat="false" ht="15" hidden="false" customHeight="false" outlineLevel="0" collapsed="false">
      <c r="A468" s="24"/>
      <c r="B468" s="31" t="str">
        <f aca="false">IF(A468="","",IF(LEN(UPPER(SUBSTITUTE(SUBSTITUTE(SUBSTITUTE(SUBSTITUTE(TRIM(A468),".",""),"/",""),"-","")," ","")))&lt;14,RIGHT(REPT("0",14)&amp;UPPER(SUBSTITUTE(SUBSTITUTE(SUBSTITUTE(SUBSTITUTE(TRIM(A468),".",""),"/",""),"-","")," ","")),14),UPPER(SUBSTITUTE(SUBSTITUTE(SUBSTITUTE(SUBSTITUTE(TRIM(A468),".",""),"/",""),"-","")," ",""))))</f>
        <v/>
      </c>
      <c r="C468" s="11"/>
      <c r="D468" s="23"/>
      <c r="E468" s="22"/>
      <c r="F468" s="23"/>
      <c r="G468" s="11"/>
      <c r="H468" s="35"/>
      <c r="I468" s="11"/>
      <c r="J468" s="23"/>
      <c r="K468" s="27" t="str">
        <f aca="false">IF(B468="","",COUNTIF(Contratos!$D:$D,B468))</f>
        <v/>
      </c>
      <c r="L468" s="36" t="str">
        <f aca="false">IF(B468="","",SUMIFS(Contratos!$K:$K,Contratos!$D:$D,B468))</f>
        <v/>
      </c>
      <c r="M468" s="36" t="str">
        <f aca="false">IF(B468="","",SUMIFS(Pagamentos!$G:$G,Pagamentos!$D:$D,B468,Pagamentos!$F:$F,"Empenho"))</f>
        <v/>
      </c>
      <c r="N468" s="36" t="str">
        <f aca="false">IF(B468="","",SUMIFS(Pagamentos!$G:$G,Pagamentos!$D:$D,B468,Pagamentos!$F:$F,"Pagamento"))</f>
        <v/>
      </c>
      <c r="O468" s="37" t="str">
        <f aca="false">IF(OR(B468="",H468="",L468="",L468=0),"",H468/L468)</f>
        <v/>
      </c>
      <c r="P468" s="27" t="str">
        <f aca="false">IF(B468="","",COUNTIF(Sancoes!$C:$C,B468))</f>
        <v/>
      </c>
      <c r="Q468" s="27" t="str">
        <f aca="false">IF(B468="","",COUNTIF(Socios!$B:$B,B468))</f>
        <v/>
      </c>
      <c r="R468" s="27" t="str">
        <f aca="false">IF(B468="","",COUNTIFS(Socios!$B:$B,B468,Socios!$L:$L,"SIM"))</f>
        <v/>
      </c>
      <c r="S468" s="24"/>
      <c r="T468" s="11"/>
    </row>
    <row r="469" customFormat="false" ht="15" hidden="false" customHeight="false" outlineLevel="0" collapsed="false">
      <c r="A469" s="24"/>
      <c r="B469" s="31" t="str">
        <f aca="false">IF(A469="","",IF(LEN(UPPER(SUBSTITUTE(SUBSTITUTE(SUBSTITUTE(SUBSTITUTE(TRIM(A469),".",""),"/",""),"-","")," ","")))&lt;14,RIGHT(REPT("0",14)&amp;UPPER(SUBSTITUTE(SUBSTITUTE(SUBSTITUTE(SUBSTITUTE(TRIM(A469),".",""),"/",""),"-","")," ","")),14),UPPER(SUBSTITUTE(SUBSTITUTE(SUBSTITUTE(SUBSTITUTE(TRIM(A469),".",""),"/",""),"-","")," ",""))))</f>
        <v/>
      </c>
      <c r="C469" s="11"/>
      <c r="D469" s="23"/>
      <c r="E469" s="22"/>
      <c r="F469" s="23"/>
      <c r="G469" s="11"/>
      <c r="H469" s="35"/>
      <c r="I469" s="11"/>
      <c r="J469" s="23"/>
      <c r="K469" s="27" t="str">
        <f aca="false">IF(B469="","",COUNTIF(Contratos!$D:$D,B469))</f>
        <v/>
      </c>
      <c r="L469" s="36" t="str">
        <f aca="false">IF(B469="","",SUMIFS(Contratos!$K:$K,Contratos!$D:$D,B469))</f>
        <v/>
      </c>
      <c r="M469" s="36" t="str">
        <f aca="false">IF(B469="","",SUMIFS(Pagamentos!$G:$G,Pagamentos!$D:$D,B469,Pagamentos!$F:$F,"Empenho"))</f>
        <v/>
      </c>
      <c r="N469" s="36" t="str">
        <f aca="false">IF(B469="","",SUMIFS(Pagamentos!$G:$G,Pagamentos!$D:$D,B469,Pagamentos!$F:$F,"Pagamento"))</f>
        <v/>
      </c>
      <c r="O469" s="37" t="str">
        <f aca="false">IF(OR(B469="",H469="",L469="",L469=0),"",H469/L469)</f>
        <v/>
      </c>
      <c r="P469" s="27" t="str">
        <f aca="false">IF(B469="","",COUNTIF(Sancoes!$C:$C,B469))</f>
        <v/>
      </c>
      <c r="Q469" s="27" t="str">
        <f aca="false">IF(B469="","",COUNTIF(Socios!$B:$B,B469))</f>
        <v/>
      </c>
      <c r="R469" s="27" t="str">
        <f aca="false">IF(B469="","",COUNTIFS(Socios!$B:$B,B469,Socios!$L:$L,"SIM"))</f>
        <v/>
      </c>
      <c r="S469" s="24"/>
      <c r="T469" s="11"/>
    </row>
    <row r="470" customFormat="false" ht="15" hidden="false" customHeight="false" outlineLevel="0" collapsed="false">
      <c r="A470" s="24"/>
      <c r="B470" s="31" t="str">
        <f aca="false">IF(A470="","",IF(LEN(UPPER(SUBSTITUTE(SUBSTITUTE(SUBSTITUTE(SUBSTITUTE(TRIM(A470),".",""),"/",""),"-","")," ","")))&lt;14,RIGHT(REPT("0",14)&amp;UPPER(SUBSTITUTE(SUBSTITUTE(SUBSTITUTE(SUBSTITUTE(TRIM(A470),".",""),"/",""),"-","")," ","")),14),UPPER(SUBSTITUTE(SUBSTITUTE(SUBSTITUTE(SUBSTITUTE(TRIM(A470),".",""),"/",""),"-","")," ",""))))</f>
        <v/>
      </c>
      <c r="C470" s="11"/>
      <c r="D470" s="23"/>
      <c r="E470" s="22"/>
      <c r="F470" s="23"/>
      <c r="G470" s="11"/>
      <c r="H470" s="35"/>
      <c r="I470" s="11"/>
      <c r="J470" s="23"/>
      <c r="K470" s="27" t="str">
        <f aca="false">IF(B470="","",COUNTIF(Contratos!$D:$D,B470))</f>
        <v/>
      </c>
      <c r="L470" s="36" t="str">
        <f aca="false">IF(B470="","",SUMIFS(Contratos!$K:$K,Contratos!$D:$D,B470))</f>
        <v/>
      </c>
      <c r="M470" s="36" t="str">
        <f aca="false">IF(B470="","",SUMIFS(Pagamentos!$G:$G,Pagamentos!$D:$D,B470,Pagamentos!$F:$F,"Empenho"))</f>
        <v/>
      </c>
      <c r="N470" s="36" t="str">
        <f aca="false">IF(B470="","",SUMIFS(Pagamentos!$G:$G,Pagamentos!$D:$D,B470,Pagamentos!$F:$F,"Pagamento"))</f>
        <v/>
      </c>
      <c r="O470" s="37" t="str">
        <f aca="false">IF(OR(B470="",H470="",L470="",L470=0),"",H470/L470)</f>
        <v/>
      </c>
      <c r="P470" s="27" t="str">
        <f aca="false">IF(B470="","",COUNTIF(Sancoes!$C:$C,B470))</f>
        <v/>
      </c>
      <c r="Q470" s="27" t="str">
        <f aca="false">IF(B470="","",COUNTIF(Socios!$B:$B,B470))</f>
        <v/>
      </c>
      <c r="R470" s="27" t="str">
        <f aca="false">IF(B470="","",COUNTIFS(Socios!$B:$B,B470,Socios!$L:$L,"SIM"))</f>
        <v/>
      </c>
      <c r="S470" s="24"/>
      <c r="T470" s="11"/>
    </row>
    <row r="471" customFormat="false" ht="15" hidden="false" customHeight="false" outlineLevel="0" collapsed="false">
      <c r="A471" s="24"/>
      <c r="B471" s="31" t="str">
        <f aca="false">IF(A471="","",IF(LEN(UPPER(SUBSTITUTE(SUBSTITUTE(SUBSTITUTE(SUBSTITUTE(TRIM(A471),".",""),"/",""),"-","")," ","")))&lt;14,RIGHT(REPT("0",14)&amp;UPPER(SUBSTITUTE(SUBSTITUTE(SUBSTITUTE(SUBSTITUTE(TRIM(A471),".",""),"/",""),"-","")," ","")),14),UPPER(SUBSTITUTE(SUBSTITUTE(SUBSTITUTE(SUBSTITUTE(TRIM(A471),".",""),"/",""),"-","")," ",""))))</f>
        <v/>
      </c>
      <c r="C471" s="11"/>
      <c r="D471" s="23"/>
      <c r="E471" s="22"/>
      <c r="F471" s="23"/>
      <c r="G471" s="11"/>
      <c r="H471" s="35"/>
      <c r="I471" s="11"/>
      <c r="J471" s="23"/>
      <c r="K471" s="27" t="str">
        <f aca="false">IF(B471="","",COUNTIF(Contratos!$D:$D,B471))</f>
        <v/>
      </c>
      <c r="L471" s="36" t="str">
        <f aca="false">IF(B471="","",SUMIFS(Contratos!$K:$K,Contratos!$D:$D,B471))</f>
        <v/>
      </c>
      <c r="M471" s="36" t="str">
        <f aca="false">IF(B471="","",SUMIFS(Pagamentos!$G:$G,Pagamentos!$D:$D,B471,Pagamentos!$F:$F,"Empenho"))</f>
        <v/>
      </c>
      <c r="N471" s="36" t="str">
        <f aca="false">IF(B471="","",SUMIFS(Pagamentos!$G:$G,Pagamentos!$D:$D,B471,Pagamentos!$F:$F,"Pagamento"))</f>
        <v/>
      </c>
      <c r="O471" s="37" t="str">
        <f aca="false">IF(OR(B471="",H471="",L471="",L471=0),"",H471/L471)</f>
        <v/>
      </c>
      <c r="P471" s="27" t="str">
        <f aca="false">IF(B471="","",COUNTIF(Sancoes!$C:$C,B471))</f>
        <v/>
      </c>
      <c r="Q471" s="27" t="str">
        <f aca="false">IF(B471="","",COUNTIF(Socios!$B:$B,B471))</f>
        <v/>
      </c>
      <c r="R471" s="27" t="str">
        <f aca="false">IF(B471="","",COUNTIFS(Socios!$B:$B,B471,Socios!$L:$L,"SIM"))</f>
        <v/>
      </c>
      <c r="S471" s="24"/>
      <c r="T471" s="11"/>
    </row>
    <row r="472" customFormat="false" ht="15" hidden="false" customHeight="false" outlineLevel="0" collapsed="false">
      <c r="A472" s="24"/>
      <c r="B472" s="31" t="str">
        <f aca="false">IF(A472="","",IF(LEN(UPPER(SUBSTITUTE(SUBSTITUTE(SUBSTITUTE(SUBSTITUTE(TRIM(A472),".",""),"/",""),"-","")," ","")))&lt;14,RIGHT(REPT("0",14)&amp;UPPER(SUBSTITUTE(SUBSTITUTE(SUBSTITUTE(SUBSTITUTE(TRIM(A472),".",""),"/",""),"-","")," ","")),14),UPPER(SUBSTITUTE(SUBSTITUTE(SUBSTITUTE(SUBSTITUTE(TRIM(A472),".",""),"/",""),"-","")," ",""))))</f>
        <v/>
      </c>
      <c r="C472" s="11"/>
      <c r="D472" s="23"/>
      <c r="E472" s="22"/>
      <c r="F472" s="23"/>
      <c r="G472" s="11"/>
      <c r="H472" s="35"/>
      <c r="I472" s="11"/>
      <c r="J472" s="23"/>
      <c r="K472" s="27" t="str">
        <f aca="false">IF(B472="","",COUNTIF(Contratos!$D:$D,B472))</f>
        <v/>
      </c>
      <c r="L472" s="36" t="str">
        <f aca="false">IF(B472="","",SUMIFS(Contratos!$K:$K,Contratos!$D:$D,B472))</f>
        <v/>
      </c>
      <c r="M472" s="36" t="str">
        <f aca="false">IF(B472="","",SUMIFS(Pagamentos!$G:$G,Pagamentos!$D:$D,B472,Pagamentos!$F:$F,"Empenho"))</f>
        <v/>
      </c>
      <c r="N472" s="36" t="str">
        <f aca="false">IF(B472="","",SUMIFS(Pagamentos!$G:$G,Pagamentos!$D:$D,B472,Pagamentos!$F:$F,"Pagamento"))</f>
        <v/>
      </c>
      <c r="O472" s="37" t="str">
        <f aca="false">IF(OR(B472="",H472="",L472="",L472=0),"",H472/L472)</f>
        <v/>
      </c>
      <c r="P472" s="27" t="str">
        <f aca="false">IF(B472="","",COUNTIF(Sancoes!$C:$C,B472))</f>
        <v/>
      </c>
      <c r="Q472" s="27" t="str">
        <f aca="false">IF(B472="","",COUNTIF(Socios!$B:$B,B472))</f>
        <v/>
      </c>
      <c r="R472" s="27" t="str">
        <f aca="false">IF(B472="","",COUNTIFS(Socios!$B:$B,B472,Socios!$L:$L,"SIM"))</f>
        <v/>
      </c>
      <c r="S472" s="24"/>
      <c r="T472" s="11"/>
    </row>
    <row r="473" customFormat="false" ht="15" hidden="false" customHeight="false" outlineLevel="0" collapsed="false">
      <c r="A473" s="24"/>
      <c r="B473" s="31" t="str">
        <f aca="false">IF(A473="","",IF(LEN(UPPER(SUBSTITUTE(SUBSTITUTE(SUBSTITUTE(SUBSTITUTE(TRIM(A473),".",""),"/",""),"-","")," ","")))&lt;14,RIGHT(REPT("0",14)&amp;UPPER(SUBSTITUTE(SUBSTITUTE(SUBSTITUTE(SUBSTITUTE(TRIM(A473),".",""),"/",""),"-","")," ","")),14),UPPER(SUBSTITUTE(SUBSTITUTE(SUBSTITUTE(SUBSTITUTE(TRIM(A473),".",""),"/",""),"-","")," ",""))))</f>
        <v/>
      </c>
      <c r="C473" s="11"/>
      <c r="D473" s="23"/>
      <c r="E473" s="22"/>
      <c r="F473" s="23"/>
      <c r="G473" s="11"/>
      <c r="H473" s="35"/>
      <c r="I473" s="11"/>
      <c r="J473" s="23"/>
      <c r="K473" s="27" t="str">
        <f aca="false">IF(B473="","",COUNTIF(Contratos!$D:$D,B473))</f>
        <v/>
      </c>
      <c r="L473" s="36" t="str">
        <f aca="false">IF(B473="","",SUMIFS(Contratos!$K:$K,Contratos!$D:$D,B473))</f>
        <v/>
      </c>
      <c r="M473" s="36" t="str">
        <f aca="false">IF(B473="","",SUMIFS(Pagamentos!$G:$G,Pagamentos!$D:$D,B473,Pagamentos!$F:$F,"Empenho"))</f>
        <v/>
      </c>
      <c r="N473" s="36" t="str">
        <f aca="false">IF(B473="","",SUMIFS(Pagamentos!$G:$G,Pagamentos!$D:$D,B473,Pagamentos!$F:$F,"Pagamento"))</f>
        <v/>
      </c>
      <c r="O473" s="37" t="str">
        <f aca="false">IF(OR(B473="",H473="",L473="",L473=0),"",H473/L473)</f>
        <v/>
      </c>
      <c r="P473" s="27" t="str">
        <f aca="false">IF(B473="","",COUNTIF(Sancoes!$C:$C,B473))</f>
        <v/>
      </c>
      <c r="Q473" s="27" t="str">
        <f aca="false">IF(B473="","",COUNTIF(Socios!$B:$B,B473))</f>
        <v/>
      </c>
      <c r="R473" s="27" t="str">
        <f aca="false">IF(B473="","",COUNTIFS(Socios!$B:$B,B473,Socios!$L:$L,"SIM"))</f>
        <v/>
      </c>
      <c r="S473" s="24"/>
      <c r="T473" s="11"/>
    </row>
    <row r="474" customFormat="false" ht="15" hidden="false" customHeight="false" outlineLevel="0" collapsed="false">
      <c r="A474" s="24"/>
      <c r="B474" s="31" t="str">
        <f aca="false">IF(A474="","",IF(LEN(UPPER(SUBSTITUTE(SUBSTITUTE(SUBSTITUTE(SUBSTITUTE(TRIM(A474),".",""),"/",""),"-","")," ","")))&lt;14,RIGHT(REPT("0",14)&amp;UPPER(SUBSTITUTE(SUBSTITUTE(SUBSTITUTE(SUBSTITUTE(TRIM(A474),".",""),"/",""),"-","")," ","")),14),UPPER(SUBSTITUTE(SUBSTITUTE(SUBSTITUTE(SUBSTITUTE(TRIM(A474),".",""),"/",""),"-","")," ",""))))</f>
        <v/>
      </c>
      <c r="C474" s="11"/>
      <c r="D474" s="23"/>
      <c r="E474" s="22"/>
      <c r="F474" s="23"/>
      <c r="G474" s="11"/>
      <c r="H474" s="35"/>
      <c r="I474" s="11"/>
      <c r="J474" s="23"/>
      <c r="K474" s="27" t="str">
        <f aca="false">IF(B474="","",COUNTIF(Contratos!$D:$D,B474))</f>
        <v/>
      </c>
      <c r="L474" s="36" t="str">
        <f aca="false">IF(B474="","",SUMIFS(Contratos!$K:$K,Contratos!$D:$D,B474))</f>
        <v/>
      </c>
      <c r="M474" s="36" t="str">
        <f aca="false">IF(B474="","",SUMIFS(Pagamentos!$G:$G,Pagamentos!$D:$D,B474,Pagamentos!$F:$F,"Empenho"))</f>
        <v/>
      </c>
      <c r="N474" s="36" t="str">
        <f aca="false">IF(B474="","",SUMIFS(Pagamentos!$G:$G,Pagamentos!$D:$D,B474,Pagamentos!$F:$F,"Pagamento"))</f>
        <v/>
      </c>
      <c r="O474" s="37" t="str">
        <f aca="false">IF(OR(B474="",H474="",L474="",L474=0),"",H474/L474)</f>
        <v/>
      </c>
      <c r="P474" s="27" t="str">
        <f aca="false">IF(B474="","",COUNTIF(Sancoes!$C:$C,B474))</f>
        <v/>
      </c>
      <c r="Q474" s="27" t="str">
        <f aca="false">IF(B474="","",COUNTIF(Socios!$B:$B,B474))</f>
        <v/>
      </c>
      <c r="R474" s="27" t="str">
        <f aca="false">IF(B474="","",COUNTIFS(Socios!$B:$B,B474,Socios!$L:$L,"SIM"))</f>
        <v/>
      </c>
      <c r="S474" s="24"/>
      <c r="T474" s="11"/>
    </row>
    <row r="475" customFormat="false" ht="15" hidden="false" customHeight="false" outlineLevel="0" collapsed="false">
      <c r="A475" s="24"/>
      <c r="B475" s="31" t="str">
        <f aca="false">IF(A475="","",IF(LEN(UPPER(SUBSTITUTE(SUBSTITUTE(SUBSTITUTE(SUBSTITUTE(TRIM(A475),".",""),"/",""),"-","")," ","")))&lt;14,RIGHT(REPT("0",14)&amp;UPPER(SUBSTITUTE(SUBSTITUTE(SUBSTITUTE(SUBSTITUTE(TRIM(A475),".",""),"/",""),"-","")," ","")),14),UPPER(SUBSTITUTE(SUBSTITUTE(SUBSTITUTE(SUBSTITUTE(TRIM(A475),".",""),"/",""),"-","")," ",""))))</f>
        <v/>
      </c>
      <c r="C475" s="11"/>
      <c r="D475" s="23"/>
      <c r="E475" s="22"/>
      <c r="F475" s="23"/>
      <c r="G475" s="11"/>
      <c r="H475" s="35"/>
      <c r="I475" s="11"/>
      <c r="J475" s="23"/>
      <c r="K475" s="27" t="str">
        <f aca="false">IF(B475="","",COUNTIF(Contratos!$D:$D,B475))</f>
        <v/>
      </c>
      <c r="L475" s="36" t="str">
        <f aca="false">IF(B475="","",SUMIFS(Contratos!$K:$K,Contratos!$D:$D,B475))</f>
        <v/>
      </c>
      <c r="M475" s="36" t="str">
        <f aca="false">IF(B475="","",SUMIFS(Pagamentos!$G:$G,Pagamentos!$D:$D,B475,Pagamentos!$F:$F,"Empenho"))</f>
        <v/>
      </c>
      <c r="N475" s="36" t="str">
        <f aca="false">IF(B475="","",SUMIFS(Pagamentos!$G:$G,Pagamentos!$D:$D,B475,Pagamentos!$F:$F,"Pagamento"))</f>
        <v/>
      </c>
      <c r="O475" s="37" t="str">
        <f aca="false">IF(OR(B475="",H475="",L475="",L475=0),"",H475/L475)</f>
        <v/>
      </c>
      <c r="P475" s="27" t="str">
        <f aca="false">IF(B475="","",COUNTIF(Sancoes!$C:$C,B475))</f>
        <v/>
      </c>
      <c r="Q475" s="27" t="str">
        <f aca="false">IF(B475="","",COUNTIF(Socios!$B:$B,B475))</f>
        <v/>
      </c>
      <c r="R475" s="27" t="str">
        <f aca="false">IF(B475="","",COUNTIFS(Socios!$B:$B,B475,Socios!$L:$L,"SIM"))</f>
        <v/>
      </c>
      <c r="S475" s="24"/>
      <c r="T475" s="11"/>
    </row>
    <row r="476" customFormat="false" ht="15" hidden="false" customHeight="false" outlineLevel="0" collapsed="false">
      <c r="A476" s="24"/>
      <c r="B476" s="31" t="str">
        <f aca="false">IF(A476="","",IF(LEN(UPPER(SUBSTITUTE(SUBSTITUTE(SUBSTITUTE(SUBSTITUTE(TRIM(A476),".",""),"/",""),"-","")," ","")))&lt;14,RIGHT(REPT("0",14)&amp;UPPER(SUBSTITUTE(SUBSTITUTE(SUBSTITUTE(SUBSTITUTE(TRIM(A476),".",""),"/",""),"-","")," ","")),14),UPPER(SUBSTITUTE(SUBSTITUTE(SUBSTITUTE(SUBSTITUTE(TRIM(A476),".",""),"/",""),"-","")," ",""))))</f>
        <v/>
      </c>
      <c r="C476" s="11"/>
      <c r="D476" s="23"/>
      <c r="E476" s="22"/>
      <c r="F476" s="23"/>
      <c r="G476" s="11"/>
      <c r="H476" s="35"/>
      <c r="I476" s="11"/>
      <c r="J476" s="23"/>
      <c r="K476" s="27" t="str">
        <f aca="false">IF(B476="","",COUNTIF(Contratos!$D:$D,B476))</f>
        <v/>
      </c>
      <c r="L476" s="36" t="str">
        <f aca="false">IF(B476="","",SUMIFS(Contratos!$K:$K,Contratos!$D:$D,B476))</f>
        <v/>
      </c>
      <c r="M476" s="36" t="str">
        <f aca="false">IF(B476="","",SUMIFS(Pagamentos!$G:$G,Pagamentos!$D:$D,B476,Pagamentos!$F:$F,"Empenho"))</f>
        <v/>
      </c>
      <c r="N476" s="36" t="str">
        <f aca="false">IF(B476="","",SUMIFS(Pagamentos!$G:$G,Pagamentos!$D:$D,B476,Pagamentos!$F:$F,"Pagamento"))</f>
        <v/>
      </c>
      <c r="O476" s="37" t="str">
        <f aca="false">IF(OR(B476="",H476="",L476="",L476=0),"",H476/L476)</f>
        <v/>
      </c>
      <c r="P476" s="27" t="str">
        <f aca="false">IF(B476="","",COUNTIF(Sancoes!$C:$C,B476))</f>
        <v/>
      </c>
      <c r="Q476" s="27" t="str">
        <f aca="false">IF(B476="","",COUNTIF(Socios!$B:$B,B476))</f>
        <v/>
      </c>
      <c r="R476" s="27" t="str">
        <f aca="false">IF(B476="","",COUNTIFS(Socios!$B:$B,B476,Socios!$L:$L,"SIM"))</f>
        <v/>
      </c>
      <c r="S476" s="24"/>
      <c r="T476" s="11"/>
    </row>
    <row r="477" customFormat="false" ht="15" hidden="false" customHeight="false" outlineLevel="0" collapsed="false">
      <c r="A477" s="24"/>
      <c r="B477" s="31" t="str">
        <f aca="false">IF(A477="","",IF(LEN(UPPER(SUBSTITUTE(SUBSTITUTE(SUBSTITUTE(SUBSTITUTE(TRIM(A477),".",""),"/",""),"-","")," ","")))&lt;14,RIGHT(REPT("0",14)&amp;UPPER(SUBSTITUTE(SUBSTITUTE(SUBSTITUTE(SUBSTITUTE(TRIM(A477),".",""),"/",""),"-","")," ","")),14),UPPER(SUBSTITUTE(SUBSTITUTE(SUBSTITUTE(SUBSTITUTE(TRIM(A477),".",""),"/",""),"-","")," ",""))))</f>
        <v/>
      </c>
      <c r="C477" s="11"/>
      <c r="D477" s="23"/>
      <c r="E477" s="22"/>
      <c r="F477" s="23"/>
      <c r="G477" s="11"/>
      <c r="H477" s="35"/>
      <c r="I477" s="11"/>
      <c r="J477" s="23"/>
      <c r="K477" s="27" t="str">
        <f aca="false">IF(B477="","",COUNTIF(Contratos!$D:$D,B477))</f>
        <v/>
      </c>
      <c r="L477" s="36" t="str">
        <f aca="false">IF(B477="","",SUMIFS(Contratos!$K:$K,Contratos!$D:$D,B477))</f>
        <v/>
      </c>
      <c r="M477" s="36" t="str">
        <f aca="false">IF(B477="","",SUMIFS(Pagamentos!$G:$G,Pagamentos!$D:$D,B477,Pagamentos!$F:$F,"Empenho"))</f>
        <v/>
      </c>
      <c r="N477" s="36" t="str">
        <f aca="false">IF(B477="","",SUMIFS(Pagamentos!$G:$G,Pagamentos!$D:$D,B477,Pagamentos!$F:$F,"Pagamento"))</f>
        <v/>
      </c>
      <c r="O477" s="37" t="str">
        <f aca="false">IF(OR(B477="",H477="",L477="",L477=0),"",H477/L477)</f>
        <v/>
      </c>
      <c r="P477" s="27" t="str">
        <f aca="false">IF(B477="","",COUNTIF(Sancoes!$C:$C,B477))</f>
        <v/>
      </c>
      <c r="Q477" s="27" t="str">
        <f aca="false">IF(B477="","",COUNTIF(Socios!$B:$B,B477))</f>
        <v/>
      </c>
      <c r="R477" s="27" t="str">
        <f aca="false">IF(B477="","",COUNTIFS(Socios!$B:$B,B477,Socios!$L:$L,"SIM"))</f>
        <v/>
      </c>
      <c r="S477" s="24"/>
      <c r="T477" s="11"/>
    </row>
    <row r="478" customFormat="false" ht="15" hidden="false" customHeight="false" outlineLevel="0" collapsed="false">
      <c r="A478" s="24"/>
      <c r="B478" s="31" t="str">
        <f aca="false">IF(A478="","",IF(LEN(UPPER(SUBSTITUTE(SUBSTITUTE(SUBSTITUTE(SUBSTITUTE(TRIM(A478),".",""),"/",""),"-","")," ","")))&lt;14,RIGHT(REPT("0",14)&amp;UPPER(SUBSTITUTE(SUBSTITUTE(SUBSTITUTE(SUBSTITUTE(TRIM(A478),".",""),"/",""),"-","")," ","")),14),UPPER(SUBSTITUTE(SUBSTITUTE(SUBSTITUTE(SUBSTITUTE(TRIM(A478),".",""),"/",""),"-","")," ",""))))</f>
        <v/>
      </c>
      <c r="C478" s="11"/>
      <c r="D478" s="23"/>
      <c r="E478" s="22"/>
      <c r="F478" s="23"/>
      <c r="G478" s="11"/>
      <c r="H478" s="35"/>
      <c r="I478" s="11"/>
      <c r="J478" s="23"/>
      <c r="K478" s="27" t="str">
        <f aca="false">IF(B478="","",COUNTIF(Contratos!$D:$D,B478))</f>
        <v/>
      </c>
      <c r="L478" s="36" t="str">
        <f aca="false">IF(B478="","",SUMIFS(Contratos!$K:$K,Contratos!$D:$D,B478))</f>
        <v/>
      </c>
      <c r="M478" s="36" t="str">
        <f aca="false">IF(B478="","",SUMIFS(Pagamentos!$G:$G,Pagamentos!$D:$D,B478,Pagamentos!$F:$F,"Empenho"))</f>
        <v/>
      </c>
      <c r="N478" s="36" t="str">
        <f aca="false">IF(B478="","",SUMIFS(Pagamentos!$G:$G,Pagamentos!$D:$D,B478,Pagamentos!$F:$F,"Pagamento"))</f>
        <v/>
      </c>
      <c r="O478" s="37" t="str">
        <f aca="false">IF(OR(B478="",H478="",L478="",L478=0),"",H478/L478)</f>
        <v/>
      </c>
      <c r="P478" s="27" t="str">
        <f aca="false">IF(B478="","",COUNTIF(Sancoes!$C:$C,B478))</f>
        <v/>
      </c>
      <c r="Q478" s="27" t="str">
        <f aca="false">IF(B478="","",COUNTIF(Socios!$B:$B,B478))</f>
        <v/>
      </c>
      <c r="R478" s="27" t="str">
        <f aca="false">IF(B478="","",COUNTIFS(Socios!$B:$B,B478,Socios!$L:$L,"SIM"))</f>
        <v/>
      </c>
      <c r="S478" s="24"/>
      <c r="T478" s="11"/>
    </row>
    <row r="479" customFormat="false" ht="15" hidden="false" customHeight="false" outlineLevel="0" collapsed="false">
      <c r="A479" s="24"/>
      <c r="B479" s="31" t="str">
        <f aca="false">IF(A479="","",IF(LEN(UPPER(SUBSTITUTE(SUBSTITUTE(SUBSTITUTE(SUBSTITUTE(TRIM(A479),".",""),"/",""),"-","")," ","")))&lt;14,RIGHT(REPT("0",14)&amp;UPPER(SUBSTITUTE(SUBSTITUTE(SUBSTITUTE(SUBSTITUTE(TRIM(A479),".",""),"/",""),"-","")," ","")),14),UPPER(SUBSTITUTE(SUBSTITUTE(SUBSTITUTE(SUBSTITUTE(TRIM(A479),".",""),"/",""),"-","")," ",""))))</f>
        <v/>
      </c>
      <c r="C479" s="11"/>
      <c r="D479" s="23"/>
      <c r="E479" s="22"/>
      <c r="F479" s="23"/>
      <c r="G479" s="11"/>
      <c r="H479" s="35"/>
      <c r="I479" s="11"/>
      <c r="J479" s="23"/>
      <c r="K479" s="27" t="str">
        <f aca="false">IF(B479="","",COUNTIF(Contratos!$D:$D,B479))</f>
        <v/>
      </c>
      <c r="L479" s="36" t="str">
        <f aca="false">IF(B479="","",SUMIFS(Contratos!$K:$K,Contratos!$D:$D,B479))</f>
        <v/>
      </c>
      <c r="M479" s="36" t="str">
        <f aca="false">IF(B479="","",SUMIFS(Pagamentos!$G:$G,Pagamentos!$D:$D,B479,Pagamentos!$F:$F,"Empenho"))</f>
        <v/>
      </c>
      <c r="N479" s="36" t="str">
        <f aca="false">IF(B479="","",SUMIFS(Pagamentos!$G:$G,Pagamentos!$D:$D,B479,Pagamentos!$F:$F,"Pagamento"))</f>
        <v/>
      </c>
      <c r="O479" s="37" t="str">
        <f aca="false">IF(OR(B479="",H479="",L479="",L479=0),"",H479/L479)</f>
        <v/>
      </c>
      <c r="P479" s="27" t="str">
        <f aca="false">IF(B479="","",COUNTIF(Sancoes!$C:$C,B479))</f>
        <v/>
      </c>
      <c r="Q479" s="27" t="str">
        <f aca="false">IF(B479="","",COUNTIF(Socios!$B:$B,B479))</f>
        <v/>
      </c>
      <c r="R479" s="27" t="str">
        <f aca="false">IF(B479="","",COUNTIFS(Socios!$B:$B,B479,Socios!$L:$L,"SIM"))</f>
        <v/>
      </c>
      <c r="S479" s="24"/>
      <c r="T479" s="11"/>
    </row>
    <row r="480" customFormat="false" ht="15" hidden="false" customHeight="false" outlineLevel="0" collapsed="false">
      <c r="A480" s="24"/>
      <c r="B480" s="31" t="str">
        <f aca="false">IF(A480="","",IF(LEN(UPPER(SUBSTITUTE(SUBSTITUTE(SUBSTITUTE(SUBSTITUTE(TRIM(A480),".",""),"/",""),"-","")," ","")))&lt;14,RIGHT(REPT("0",14)&amp;UPPER(SUBSTITUTE(SUBSTITUTE(SUBSTITUTE(SUBSTITUTE(TRIM(A480),".",""),"/",""),"-","")," ","")),14),UPPER(SUBSTITUTE(SUBSTITUTE(SUBSTITUTE(SUBSTITUTE(TRIM(A480),".",""),"/",""),"-","")," ",""))))</f>
        <v/>
      </c>
      <c r="C480" s="11"/>
      <c r="D480" s="23"/>
      <c r="E480" s="22"/>
      <c r="F480" s="23"/>
      <c r="G480" s="11"/>
      <c r="H480" s="35"/>
      <c r="I480" s="11"/>
      <c r="J480" s="23"/>
      <c r="K480" s="27" t="str">
        <f aca="false">IF(B480="","",COUNTIF(Contratos!$D:$D,B480))</f>
        <v/>
      </c>
      <c r="L480" s="36" t="str">
        <f aca="false">IF(B480="","",SUMIFS(Contratos!$K:$K,Contratos!$D:$D,B480))</f>
        <v/>
      </c>
      <c r="M480" s="36" t="str">
        <f aca="false">IF(B480="","",SUMIFS(Pagamentos!$G:$G,Pagamentos!$D:$D,B480,Pagamentos!$F:$F,"Empenho"))</f>
        <v/>
      </c>
      <c r="N480" s="36" t="str">
        <f aca="false">IF(B480="","",SUMIFS(Pagamentos!$G:$G,Pagamentos!$D:$D,B480,Pagamentos!$F:$F,"Pagamento"))</f>
        <v/>
      </c>
      <c r="O480" s="37" t="str">
        <f aca="false">IF(OR(B480="",H480="",L480="",L480=0),"",H480/L480)</f>
        <v/>
      </c>
      <c r="P480" s="27" t="str">
        <f aca="false">IF(B480="","",COUNTIF(Sancoes!$C:$C,B480))</f>
        <v/>
      </c>
      <c r="Q480" s="27" t="str">
        <f aca="false">IF(B480="","",COUNTIF(Socios!$B:$B,B480))</f>
        <v/>
      </c>
      <c r="R480" s="27" t="str">
        <f aca="false">IF(B480="","",COUNTIFS(Socios!$B:$B,B480,Socios!$L:$L,"SIM"))</f>
        <v/>
      </c>
      <c r="S480" s="24"/>
      <c r="T480" s="11"/>
    </row>
    <row r="481" customFormat="false" ht="15" hidden="false" customHeight="false" outlineLevel="0" collapsed="false">
      <c r="A481" s="24"/>
      <c r="B481" s="31" t="str">
        <f aca="false">IF(A481="","",IF(LEN(UPPER(SUBSTITUTE(SUBSTITUTE(SUBSTITUTE(SUBSTITUTE(TRIM(A481),".",""),"/",""),"-","")," ","")))&lt;14,RIGHT(REPT("0",14)&amp;UPPER(SUBSTITUTE(SUBSTITUTE(SUBSTITUTE(SUBSTITUTE(TRIM(A481),".",""),"/",""),"-","")," ","")),14),UPPER(SUBSTITUTE(SUBSTITUTE(SUBSTITUTE(SUBSTITUTE(TRIM(A481),".",""),"/",""),"-","")," ",""))))</f>
        <v/>
      </c>
      <c r="C481" s="11"/>
      <c r="D481" s="23"/>
      <c r="E481" s="22"/>
      <c r="F481" s="23"/>
      <c r="G481" s="11"/>
      <c r="H481" s="35"/>
      <c r="I481" s="11"/>
      <c r="J481" s="23"/>
      <c r="K481" s="27" t="str">
        <f aca="false">IF(B481="","",COUNTIF(Contratos!$D:$D,B481))</f>
        <v/>
      </c>
      <c r="L481" s="36" t="str">
        <f aca="false">IF(B481="","",SUMIFS(Contratos!$K:$K,Contratos!$D:$D,B481))</f>
        <v/>
      </c>
      <c r="M481" s="36" t="str">
        <f aca="false">IF(B481="","",SUMIFS(Pagamentos!$G:$G,Pagamentos!$D:$D,B481,Pagamentos!$F:$F,"Empenho"))</f>
        <v/>
      </c>
      <c r="N481" s="36" t="str">
        <f aca="false">IF(B481="","",SUMIFS(Pagamentos!$G:$G,Pagamentos!$D:$D,B481,Pagamentos!$F:$F,"Pagamento"))</f>
        <v/>
      </c>
      <c r="O481" s="37" t="str">
        <f aca="false">IF(OR(B481="",H481="",L481="",L481=0),"",H481/L481)</f>
        <v/>
      </c>
      <c r="P481" s="27" t="str">
        <f aca="false">IF(B481="","",COUNTIF(Sancoes!$C:$C,B481))</f>
        <v/>
      </c>
      <c r="Q481" s="27" t="str">
        <f aca="false">IF(B481="","",COUNTIF(Socios!$B:$B,B481))</f>
        <v/>
      </c>
      <c r="R481" s="27" t="str">
        <f aca="false">IF(B481="","",COUNTIFS(Socios!$B:$B,B481,Socios!$L:$L,"SIM"))</f>
        <v/>
      </c>
      <c r="S481" s="24"/>
      <c r="T481" s="11"/>
    </row>
    <row r="482" customFormat="false" ht="15" hidden="false" customHeight="false" outlineLevel="0" collapsed="false">
      <c r="A482" s="24"/>
      <c r="B482" s="31" t="str">
        <f aca="false">IF(A482="","",IF(LEN(UPPER(SUBSTITUTE(SUBSTITUTE(SUBSTITUTE(SUBSTITUTE(TRIM(A482),".",""),"/",""),"-","")," ","")))&lt;14,RIGHT(REPT("0",14)&amp;UPPER(SUBSTITUTE(SUBSTITUTE(SUBSTITUTE(SUBSTITUTE(TRIM(A482),".",""),"/",""),"-","")," ","")),14),UPPER(SUBSTITUTE(SUBSTITUTE(SUBSTITUTE(SUBSTITUTE(TRIM(A482),".",""),"/",""),"-","")," ",""))))</f>
        <v/>
      </c>
      <c r="C482" s="11"/>
      <c r="D482" s="23"/>
      <c r="E482" s="22"/>
      <c r="F482" s="23"/>
      <c r="G482" s="11"/>
      <c r="H482" s="35"/>
      <c r="I482" s="11"/>
      <c r="J482" s="23"/>
      <c r="K482" s="27" t="str">
        <f aca="false">IF(B482="","",COUNTIF(Contratos!$D:$D,B482))</f>
        <v/>
      </c>
      <c r="L482" s="36" t="str">
        <f aca="false">IF(B482="","",SUMIFS(Contratos!$K:$K,Contratos!$D:$D,B482))</f>
        <v/>
      </c>
      <c r="M482" s="36" t="str">
        <f aca="false">IF(B482="","",SUMIFS(Pagamentos!$G:$G,Pagamentos!$D:$D,B482,Pagamentos!$F:$F,"Empenho"))</f>
        <v/>
      </c>
      <c r="N482" s="36" t="str">
        <f aca="false">IF(B482="","",SUMIFS(Pagamentos!$G:$G,Pagamentos!$D:$D,B482,Pagamentos!$F:$F,"Pagamento"))</f>
        <v/>
      </c>
      <c r="O482" s="37" t="str">
        <f aca="false">IF(OR(B482="",H482="",L482="",L482=0),"",H482/L482)</f>
        <v/>
      </c>
      <c r="P482" s="27" t="str">
        <f aca="false">IF(B482="","",COUNTIF(Sancoes!$C:$C,B482))</f>
        <v/>
      </c>
      <c r="Q482" s="27" t="str">
        <f aca="false">IF(B482="","",COUNTIF(Socios!$B:$B,B482))</f>
        <v/>
      </c>
      <c r="R482" s="27" t="str">
        <f aca="false">IF(B482="","",COUNTIFS(Socios!$B:$B,B482,Socios!$L:$L,"SIM"))</f>
        <v/>
      </c>
      <c r="S482" s="24"/>
      <c r="T482" s="11"/>
    </row>
    <row r="483" customFormat="false" ht="15" hidden="false" customHeight="false" outlineLevel="0" collapsed="false">
      <c r="A483" s="24"/>
      <c r="B483" s="31" t="str">
        <f aca="false">IF(A483="","",IF(LEN(UPPER(SUBSTITUTE(SUBSTITUTE(SUBSTITUTE(SUBSTITUTE(TRIM(A483),".",""),"/",""),"-","")," ","")))&lt;14,RIGHT(REPT("0",14)&amp;UPPER(SUBSTITUTE(SUBSTITUTE(SUBSTITUTE(SUBSTITUTE(TRIM(A483),".",""),"/",""),"-","")," ","")),14),UPPER(SUBSTITUTE(SUBSTITUTE(SUBSTITUTE(SUBSTITUTE(TRIM(A483),".",""),"/",""),"-","")," ",""))))</f>
        <v/>
      </c>
      <c r="C483" s="11"/>
      <c r="D483" s="23"/>
      <c r="E483" s="22"/>
      <c r="F483" s="23"/>
      <c r="G483" s="11"/>
      <c r="H483" s="35"/>
      <c r="I483" s="11"/>
      <c r="J483" s="23"/>
      <c r="K483" s="27" t="str">
        <f aca="false">IF(B483="","",COUNTIF(Contratos!$D:$D,B483))</f>
        <v/>
      </c>
      <c r="L483" s="36" t="str">
        <f aca="false">IF(B483="","",SUMIFS(Contratos!$K:$K,Contratos!$D:$D,B483))</f>
        <v/>
      </c>
      <c r="M483" s="36" t="str">
        <f aca="false">IF(B483="","",SUMIFS(Pagamentos!$G:$G,Pagamentos!$D:$D,B483,Pagamentos!$F:$F,"Empenho"))</f>
        <v/>
      </c>
      <c r="N483" s="36" t="str">
        <f aca="false">IF(B483="","",SUMIFS(Pagamentos!$G:$G,Pagamentos!$D:$D,B483,Pagamentos!$F:$F,"Pagamento"))</f>
        <v/>
      </c>
      <c r="O483" s="37" t="str">
        <f aca="false">IF(OR(B483="",H483="",L483="",L483=0),"",H483/L483)</f>
        <v/>
      </c>
      <c r="P483" s="27" t="str">
        <f aca="false">IF(B483="","",COUNTIF(Sancoes!$C:$C,B483))</f>
        <v/>
      </c>
      <c r="Q483" s="27" t="str">
        <f aca="false">IF(B483="","",COUNTIF(Socios!$B:$B,B483))</f>
        <v/>
      </c>
      <c r="R483" s="27" t="str">
        <f aca="false">IF(B483="","",COUNTIFS(Socios!$B:$B,B483,Socios!$L:$L,"SIM"))</f>
        <v/>
      </c>
      <c r="S483" s="24"/>
      <c r="T483" s="11"/>
    </row>
    <row r="484" customFormat="false" ht="15" hidden="false" customHeight="false" outlineLevel="0" collapsed="false">
      <c r="A484" s="24"/>
      <c r="B484" s="31" t="str">
        <f aca="false">IF(A484="","",IF(LEN(UPPER(SUBSTITUTE(SUBSTITUTE(SUBSTITUTE(SUBSTITUTE(TRIM(A484),".",""),"/",""),"-","")," ","")))&lt;14,RIGHT(REPT("0",14)&amp;UPPER(SUBSTITUTE(SUBSTITUTE(SUBSTITUTE(SUBSTITUTE(TRIM(A484),".",""),"/",""),"-","")," ","")),14),UPPER(SUBSTITUTE(SUBSTITUTE(SUBSTITUTE(SUBSTITUTE(TRIM(A484),".",""),"/",""),"-","")," ",""))))</f>
        <v/>
      </c>
      <c r="C484" s="11"/>
      <c r="D484" s="23"/>
      <c r="E484" s="22"/>
      <c r="F484" s="23"/>
      <c r="G484" s="11"/>
      <c r="H484" s="35"/>
      <c r="I484" s="11"/>
      <c r="J484" s="23"/>
      <c r="K484" s="27" t="str">
        <f aca="false">IF(B484="","",COUNTIF(Contratos!$D:$D,B484))</f>
        <v/>
      </c>
      <c r="L484" s="36" t="str">
        <f aca="false">IF(B484="","",SUMIFS(Contratos!$K:$K,Contratos!$D:$D,B484))</f>
        <v/>
      </c>
      <c r="M484" s="36" t="str">
        <f aca="false">IF(B484="","",SUMIFS(Pagamentos!$G:$G,Pagamentos!$D:$D,B484,Pagamentos!$F:$F,"Empenho"))</f>
        <v/>
      </c>
      <c r="N484" s="36" t="str">
        <f aca="false">IF(B484="","",SUMIFS(Pagamentos!$G:$G,Pagamentos!$D:$D,B484,Pagamentos!$F:$F,"Pagamento"))</f>
        <v/>
      </c>
      <c r="O484" s="37" t="str">
        <f aca="false">IF(OR(B484="",H484="",L484="",L484=0),"",H484/L484)</f>
        <v/>
      </c>
      <c r="P484" s="27" t="str">
        <f aca="false">IF(B484="","",COUNTIF(Sancoes!$C:$C,B484))</f>
        <v/>
      </c>
      <c r="Q484" s="27" t="str">
        <f aca="false">IF(B484="","",COUNTIF(Socios!$B:$B,B484))</f>
        <v/>
      </c>
      <c r="R484" s="27" t="str">
        <f aca="false">IF(B484="","",COUNTIFS(Socios!$B:$B,B484,Socios!$L:$L,"SIM"))</f>
        <v/>
      </c>
      <c r="S484" s="24"/>
      <c r="T484" s="11"/>
    </row>
    <row r="485" customFormat="false" ht="15" hidden="false" customHeight="false" outlineLevel="0" collapsed="false">
      <c r="A485" s="24"/>
      <c r="B485" s="31" t="str">
        <f aca="false">IF(A485="","",IF(LEN(UPPER(SUBSTITUTE(SUBSTITUTE(SUBSTITUTE(SUBSTITUTE(TRIM(A485),".",""),"/",""),"-","")," ","")))&lt;14,RIGHT(REPT("0",14)&amp;UPPER(SUBSTITUTE(SUBSTITUTE(SUBSTITUTE(SUBSTITUTE(TRIM(A485),".",""),"/",""),"-","")," ","")),14),UPPER(SUBSTITUTE(SUBSTITUTE(SUBSTITUTE(SUBSTITUTE(TRIM(A485),".",""),"/",""),"-","")," ",""))))</f>
        <v/>
      </c>
      <c r="C485" s="11"/>
      <c r="D485" s="23"/>
      <c r="E485" s="22"/>
      <c r="F485" s="23"/>
      <c r="G485" s="11"/>
      <c r="H485" s="35"/>
      <c r="I485" s="11"/>
      <c r="J485" s="23"/>
      <c r="K485" s="27" t="str">
        <f aca="false">IF(B485="","",COUNTIF(Contratos!$D:$D,B485))</f>
        <v/>
      </c>
      <c r="L485" s="36" t="str">
        <f aca="false">IF(B485="","",SUMIFS(Contratos!$K:$K,Contratos!$D:$D,B485))</f>
        <v/>
      </c>
      <c r="M485" s="36" t="str">
        <f aca="false">IF(B485="","",SUMIFS(Pagamentos!$G:$G,Pagamentos!$D:$D,B485,Pagamentos!$F:$F,"Empenho"))</f>
        <v/>
      </c>
      <c r="N485" s="36" t="str">
        <f aca="false">IF(B485="","",SUMIFS(Pagamentos!$G:$G,Pagamentos!$D:$D,B485,Pagamentos!$F:$F,"Pagamento"))</f>
        <v/>
      </c>
      <c r="O485" s="37" t="str">
        <f aca="false">IF(OR(B485="",H485="",L485="",L485=0),"",H485/L485)</f>
        <v/>
      </c>
      <c r="P485" s="27" t="str">
        <f aca="false">IF(B485="","",COUNTIF(Sancoes!$C:$C,B485))</f>
        <v/>
      </c>
      <c r="Q485" s="27" t="str">
        <f aca="false">IF(B485="","",COUNTIF(Socios!$B:$B,B485))</f>
        <v/>
      </c>
      <c r="R485" s="27" t="str">
        <f aca="false">IF(B485="","",COUNTIFS(Socios!$B:$B,B485,Socios!$L:$L,"SIM"))</f>
        <v/>
      </c>
      <c r="S485" s="24"/>
      <c r="T485" s="11"/>
    </row>
    <row r="486" customFormat="false" ht="15" hidden="false" customHeight="false" outlineLevel="0" collapsed="false">
      <c r="A486" s="24"/>
      <c r="B486" s="31" t="str">
        <f aca="false">IF(A486="","",IF(LEN(UPPER(SUBSTITUTE(SUBSTITUTE(SUBSTITUTE(SUBSTITUTE(TRIM(A486),".",""),"/",""),"-","")," ","")))&lt;14,RIGHT(REPT("0",14)&amp;UPPER(SUBSTITUTE(SUBSTITUTE(SUBSTITUTE(SUBSTITUTE(TRIM(A486),".",""),"/",""),"-","")," ","")),14),UPPER(SUBSTITUTE(SUBSTITUTE(SUBSTITUTE(SUBSTITUTE(TRIM(A486),".",""),"/",""),"-","")," ",""))))</f>
        <v/>
      </c>
      <c r="C486" s="11"/>
      <c r="D486" s="23"/>
      <c r="E486" s="22"/>
      <c r="F486" s="23"/>
      <c r="G486" s="11"/>
      <c r="H486" s="35"/>
      <c r="I486" s="11"/>
      <c r="J486" s="23"/>
      <c r="K486" s="27" t="str">
        <f aca="false">IF(B486="","",COUNTIF(Contratos!$D:$D,B486))</f>
        <v/>
      </c>
      <c r="L486" s="36" t="str">
        <f aca="false">IF(B486="","",SUMIFS(Contratos!$K:$K,Contratos!$D:$D,B486))</f>
        <v/>
      </c>
      <c r="M486" s="36" t="str">
        <f aca="false">IF(B486="","",SUMIFS(Pagamentos!$G:$G,Pagamentos!$D:$D,B486,Pagamentos!$F:$F,"Empenho"))</f>
        <v/>
      </c>
      <c r="N486" s="36" t="str">
        <f aca="false">IF(B486="","",SUMIFS(Pagamentos!$G:$G,Pagamentos!$D:$D,B486,Pagamentos!$F:$F,"Pagamento"))</f>
        <v/>
      </c>
      <c r="O486" s="37" t="str">
        <f aca="false">IF(OR(B486="",H486="",L486="",L486=0),"",H486/L486)</f>
        <v/>
      </c>
      <c r="P486" s="27" t="str">
        <f aca="false">IF(B486="","",COUNTIF(Sancoes!$C:$C,B486))</f>
        <v/>
      </c>
      <c r="Q486" s="27" t="str">
        <f aca="false">IF(B486="","",COUNTIF(Socios!$B:$B,B486))</f>
        <v/>
      </c>
      <c r="R486" s="27" t="str">
        <f aca="false">IF(B486="","",COUNTIFS(Socios!$B:$B,B486,Socios!$L:$L,"SIM"))</f>
        <v/>
      </c>
      <c r="S486" s="24"/>
      <c r="T486" s="11"/>
    </row>
    <row r="487" customFormat="false" ht="15" hidden="false" customHeight="false" outlineLevel="0" collapsed="false">
      <c r="A487" s="24"/>
      <c r="B487" s="31" t="str">
        <f aca="false">IF(A487="","",IF(LEN(UPPER(SUBSTITUTE(SUBSTITUTE(SUBSTITUTE(SUBSTITUTE(TRIM(A487),".",""),"/",""),"-","")," ","")))&lt;14,RIGHT(REPT("0",14)&amp;UPPER(SUBSTITUTE(SUBSTITUTE(SUBSTITUTE(SUBSTITUTE(TRIM(A487),".",""),"/",""),"-","")," ","")),14),UPPER(SUBSTITUTE(SUBSTITUTE(SUBSTITUTE(SUBSTITUTE(TRIM(A487),".",""),"/",""),"-","")," ",""))))</f>
        <v/>
      </c>
      <c r="C487" s="11"/>
      <c r="D487" s="23"/>
      <c r="E487" s="22"/>
      <c r="F487" s="23"/>
      <c r="G487" s="11"/>
      <c r="H487" s="35"/>
      <c r="I487" s="11"/>
      <c r="J487" s="23"/>
      <c r="K487" s="27" t="str">
        <f aca="false">IF(B487="","",COUNTIF(Contratos!$D:$D,B487))</f>
        <v/>
      </c>
      <c r="L487" s="36" t="str">
        <f aca="false">IF(B487="","",SUMIFS(Contratos!$K:$K,Contratos!$D:$D,B487))</f>
        <v/>
      </c>
      <c r="M487" s="36" t="str">
        <f aca="false">IF(B487="","",SUMIFS(Pagamentos!$G:$G,Pagamentos!$D:$D,B487,Pagamentos!$F:$F,"Empenho"))</f>
        <v/>
      </c>
      <c r="N487" s="36" t="str">
        <f aca="false">IF(B487="","",SUMIFS(Pagamentos!$G:$G,Pagamentos!$D:$D,B487,Pagamentos!$F:$F,"Pagamento"))</f>
        <v/>
      </c>
      <c r="O487" s="37" t="str">
        <f aca="false">IF(OR(B487="",H487="",L487="",L487=0),"",H487/L487)</f>
        <v/>
      </c>
      <c r="P487" s="27" t="str">
        <f aca="false">IF(B487="","",COUNTIF(Sancoes!$C:$C,B487))</f>
        <v/>
      </c>
      <c r="Q487" s="27" t="str">
        <f aca="false">IF(B487="","",COUNTIF(Socios!$B:$B,B487))</f>
        <v/>
      </c>
      <c r="R487" s="27" t="str">
        <f aca="false">IF(B487="","",COUNTIFS(Socios!$B:$B,B487,Socios!$L:$L,"SIM"))</f>
        <v/>
      </c>
      <c r="S487" s="24"/>
      <c r="T487" s="11"/>
    </row>
    <row r="488" customFormat="false" ht="15" hidden="false" customHeight="false" outlineLevel="0" collapsed="false">
      <c r="A488" s="24"/>
      <c r="B488" s="31" t="str">
        <f aca="false">IF(A488="","",IF(LEN(UPPER(SUBSTITUTE(SUBSTITUTE(SUBSTITUTE(SUBSTITUTE(TRIM(A488),".",""),"/",""),"-","")," ","")))&lt;14,RIGHT(REPT("0",14)&amp;UPPER(SUBSTITUTE(SUBSTITUTE(SUBSTITUTE(SUBSTITUTE(TRIM(A488),".",""),"/",""),"-","")," ","")),14),UPPER(SUBSTITUTE(SUBSTITUTE(SUBSTITUTE(SUBSTITUTE(TRIM(A488),".",""),"/",""),"-","")," ",""))))</f>
        <v/>
      </c>
      <c r="C488" s="11"/>
      <c r="D488" s="23"/>
      <c r="E488" s="22"/>
      <c r="F488" s="23"/>
      <c r="G488" s="11"/>
      <c r="H488" s="35"/>
      <c r="I488" s="11"/>
      <c r="J488" s="23"/>
      <c r="K488" s="27" t="str">
        <f aca="false">IF(B488="","",COUNTIF(Contratos!$D:$D,B488))</f>
        <v/>
      </c>
      <c r="L488" s="36" t="str">
        <f aca="false">IF(B488="","",SUMIFS(Contratos!$K:$K,Contratos!$D:$D,B488))</f>
        <v/>
      </c>
      <c r="M488" s="36" t="str">
        <f aca="false">IF(B488="","",SUMIFS(Pagamentos!$G:$G,Pagamentos!$D:$D,B488,Pagamentos!$F:$F,"Empenho"))</f>
        <v/>
      </c>
      <c r="N488" s="36" t="str">
        <f aca="false">IF(B488="","",SUMIFS(Pagamentos!$G:$G,Pagamentos!$D:$D,B488,Pagamentos!$F:$F,"Pagamento"))</f>
        <v/>
      </c>
      <c r="O488" s="37" t="str">
        <f aca="false">IF(OR(B488="",H488="",L488="",L488=0),"",H488/L488)</f>
        <v/>
      </c>
      <c r="P488" s="27" t="str">
        <f aca="false">IF(B488="","",COUNTIF(Sancoes!$C:$C,B488))</f>
        <v/>
      </c>
      <c r="Q488" s="27" t="str">
        <f aca="false">IF(B488="","",COUNTIF(Socios!$B:$B,B488))</f>
        <v/>
      </c>
      <c r="R488" s="27" t="str">
        <f aca="false">IF(B488="","",COUNTIFS(Socios!$B:$B,B488,Socios!$L:$L,"SIM"))</f>
        <v/>
      </c>
      <c r="S488" s="24"/>
      <c r="T488" s="11"/>
    </row>
    <row r="489" customFormat="false" ht="15" hidden="false" customHeight="false" outlineLevel="0" collapsed="false">
      <c r="A489" s="24"/>
      <c r="B489" s="31" t="str">
        <f aca="false">IF(A489="","",IF(LEN(UPPER(SUBSTITUTE(SUBSTITUTE(SUBSTITUTE(SUBSTITUTE(TRIM(A489),".",""),"/",""),"-","")," ","")))&lt;14,RIGHT(REPT("0",14)&amp;UPPER(SUBSTITUTE(SUBSTITUTE(SUBSTITUTE(SUBSTITUTE(TRIM(A489),".",""),"/",""),"-","")," ","")),14),UPPER(SUBSTITUTE(SUBSTITUTE(SUBSTITUTE(SUBSTITUTE(TRIM(A489),".",""),"/",""),"-","")," ",""))))</f>
        <v/>
      </c>
      <c r="C489" s="11"/>
      <c r="D489" s="23"/>
      <c r="E489" s="22"/>
      <c r="F489" s="23"/>
      <c r="G489" s="11"/>
      <c r="H489" s="35"/>
      <c r="I489" s="11"/>
      <c r="J489" s="23"/>
      <c r="K489" s="27" t="str">
        <f aca="false">IF(B489="","",COUNTIF(Contratos!$D:$D,B489))</f>
        <v/>
      </c>
      <c r="L489" s="36" t="str">
        <f aca="false">IF(B489="","",SUMIFS(Contratos!$K:$K,Contratos!$D:$D,B489))</f>
        <v/>
      </c>
      <c r="M489" s="36" t="str">
        <f aca="false">IF(B489="","",SUMIFS(Pagamentos!$G:$G,Pagamentos!$D:$D,B489,Pagamentos!$F:$F,"Empenho"))</f>
        <v/>
      </c>
      <c r="N489" s="36" t="str">
        <f aca="false">IF(B489="","",SUMIFS(Pagamentos!$G:$G,Pagamentos!$D:$D,B489,Pagamentos!$F:$F,"Pagamento"))</f>
        <v/>
      </c>
      <c r="O489" s="37" t="str">
        <f aca="false">IF(OR(B489="",H489="",L489="",L489=0),"",H489/L489)</f>
        <v/>
      </c>
      <c r="P489" s="27" t="str">
        <f aca="false">IF(B489="","",COUNTIF(Sancoes!$C:$C,B489))</f>
        <v/>
      </c>
      <c r="Q489" s="27" t="str">
        <f aca="false">IF(B489="","",COUNTIF(Socios!$B:$B,B489))</f>
        <v/>
      </c>
      <c r="R489" s="27" t="str">
        <f aca="false">IF(B489="","",COUNTIFS(Socios!$B:$B,B489,Socios!$L:$L,"SIM"))</f>
        <v/>
      </c>
      <c r="S489" s="24"/>
      <c r="T489" s="11"/>
    </row>
    <row r="490" customFormat="false" ht="15" hidden="false" customHeight="false" outlineLevel="0" collapsed="false">
      <c r="A490" s="24"/>
      <c r="B490" s="31" t="str">
        <f aca="false">IF(A490="","",IF(LEN(UPPER(SUBSTITUTE(SUBSTITUTE(SUBSTITUTE(SUBSTITUTE(TRIM(A490),".",""),"/",""),"-","")," ","")))&lt;14,RIGHT(REPT("0",14)&amp;UPPER(SUBSTITUTE(SUBSTITUTE(SUBSTITUTE(SUBSTITUTE(TRIM(A490),".",""),"/",""),"-","")," ","")),14),UPPER(SUBSTITUTE(SUBSTITUTE(SUBSTITUTE(SUBSTITUTE(TRIM(A490),".",""),"/",""),"-","")," ",""))))</f>
        <v/>
      </c>
      <c r="C490" s="11"/>
      <c r="D490" s="23"/>
      <c r="E490" s="22"/>
      <c r="F490" s="23"/>
      <c r="G490" s="11"/>
      <c r="H490" s="35"/>
      <c r="I490" s="11"/>
      <c r="J490" s="23"/>
      <c r="K490" s="27" t="str">
        <f aca="false">IF(B490="","",COUNTIF(Contratos!$D:$D,B490))</f>
        <v/>
      </c>
      <c r="L490" s="36" t="str">
        <f aca="false">IF(B490="","",SUMIFS(Contratos!$K:$K,Contratos!$D:$D,B490))</f>
        <v/>
      </c>
      <c r="M490" s="36" t="str">
        <f aca="false">IF(B490="","",SUMIFS(Pagamentos!$G:$G,Pagamentos!$D:$D,B490,Pagamentos!$F:$F,"Empenho"))</f>
        <v/>
      </c>
      <c r="N490" s="36" t="str">
        <f aca="false">IF(B490="","",SUMIFS(Pagamentos!$G:$G,Pagamentos!$D:$D,B490,Pagamentos!$F:$F,"Pagamento"))</f>
        <v/>
      </c>
      <c r="O490" s="37" t="str">
        <f aca="false">IF(OR(B490="",H490="",L490="",L490=0),"",H490/L490)</f>
        <v/>
      </c>
      <c r="P490" s="27" t="str">
        <f aca="false">IF(B490="","",COUNTIF(Sancoes!$C:$C,B490))</f>
        <v/>
      </c>
      <c r="Q490" s="27" t="str">
        <f aca="false">IF(B490="","",COUNTIF(Socios!$B:$B,B490))</f>
        <v/>
      </c>
      <c r="R490" s="27" t="str">
        <f aca="false">IF(B490="","",COUNTIFS(Socios!$B:$B,B490,Socios!$L:$L,"SIM"))</f>
        <v/>
      </c>
      <c r="S490" s="24"/>
      <c r="T490" s="11"/>
    </row>
    <row r="491" customFormat="false" ht="15" hidden="false" customHeight="false" outlineLevel="0" collapsed="false">
      <c r="A491" s="24"/>
      <c r="B491" s="31" t="str">
        <f aca="false">IF(A491="","",IF(LEN(UPPER(SUBSTITUTE(SUBSTITUTE(SUBSTITUTE(SUBSTITUTE(TRIM(A491),".",""),"/",""),"-","")," ","")))&lt;14,RIGHT(REPT("0",14)&amp;UPPER(SUBSTITUTE(SUBSTITUTE(SUBSTITUTE(SUBSTITUTE(TRIM(A491),".",""),"/",""),"-","")," ","")),14),UPPER(SUBSTITUTE(SUBSTITUTE(SUBSTITUTE(SUBSTITUTE(TRIM(A491),".",""),"/",""),"-","")," ",""))))</f>
        <v/>
      </c>
      <c r="C491" s="11"/>
      <c r="D491" s="23"/>
      <c r="E491" s="22"/>
      <c r="F491" s="23"/>
      <c r="G491" s="11"/>
      <c r="H491" s="35"/>
      <c r="I491" s="11"/>
      <c r="J491" s="23"/>
      <c r="K491" s="27" t="str">
        <f aca="false">IF(B491="","",COUNTIF(Contratos!$D:$D,B491))</f>
        <v/>
      </c>
      <c r="L491" s="36" t="str">
        <f aca="false">IF(B491="","",SUMIFS(Contratos!$K:$K,Contratos!$D:$D,B491))</f>
        <v/>
      </c>
      <c r="M491" s="36" t="str">
        <f aca="false">IF(B491="","",SUMIFS(Pagamentos!$G:$G,Pagamentos!$D:$D,B491,Pagamentos!$F:$F,"Empenho"))</f>
        <v/>
      </c>
      <c r="N491" s="36" t="str">
        <f aca="false">IF(B491="","",SUMIFS(Pagamentos!$G:$G,Pagamentos!$D:$D,B491,Pagamentos!$F:$F,"Pagamento"))</f>
        <v/>
      </c>
      <c r="O491" s="37" t="str">
        <f aca="false">IF(OR(B491="",H491="",L491="",L491=0),"",H491/L491)</f>
        <v/>
      </c>
      <c r="P491" s="27" t="str">
        <f aca="false">IF(B491="","",COUNTIF(Sancoes!$C:$C,B491))</f>
        <v/>
      </c>
      <c r="Q491" s="27" t="str">
        <f aca="false">IF(B491="","",COUNTIF(Socios!$B:$B,B491))</f>
        <v/>
      </c>
      <c r="R491" s="27" t="str">
        <f aca="false">IF(B491="","",COUNTIFS(Socios!$B:$B,B491,Socios!$L:$L,"SIM"))</f>
        <v/>
      </c>
      <c r="S491" s="24"/>
      <c r="T491" s="11"/>
    </row>
    <row r="492" customFormat="false" ht="15" hidden="false" customHeight="false" outlineLevel="0" collapsed="false">
      <c r="A492" s="24"/>
      <c r="B492" s="31" t="str">
        <f aca="false">IF(A492="","",IF(LEN(UPPER(SUBSTITUTE(SUBSTITUTE(SUBSTITUTE(SUBSTITUTE(TRIM(A492),".",""),"/",""),"-","")," ","")))&lt;14,RIGHT(REPT("0",14)&amp;UPPER(SUBSTITUTE(SUBSTITUTE(SUBSTITUTE(SUBSTITUTE(TRIM(A492),".",""),"/",""),"-","")," ","")),14),UPPER(SUBSTITUTE(SUBSTITUTE(SUBSTITUTE(SUBSTITUTE(TRIM(A492),".",""),"/",""),"-","")," ",""))))</f>
        <v/>
      </c>
      <c r="C492" s="11"/>
      <c r="D492" s="23"/>
      <c r="E492" s="22"/>
      <c r="F492" s="23"/>
      <c r="G492" s="11"/>
      <c r="H492" s="35"/>
      <c r="I492" s="11"/>
      <c r="J492" s="23"/>
      <c r="K492" s="27" t="str">
        <f aca="false">IF(B492="","",COUNTIF(Contratos!$D:$D,B492))</f>
        <v/>
      </c>
      <c r="L492" s="36" t="str">
        <f aca="false">IF(B492="","",SUMIFS(Contratos!$K:$K,Contratos!$D:$D,B492))</f>
        <v/>
      </c>
      <c r="M492" s="36" t="str">
        <f aca="false">IF(B492="","",SUMIFS(Pagamentos!$G:$G,Pagamentos!$D:$D,B492,Pagamentos!$F:$F,"Empenho"))</f>
        <v/>
      </c>
      <c r="N492" s="36" t="str">
        <f aca="false">IF(B492="","",SUMIFS(Pagamentos!$G:$G,Pagamentos!$D:$D,B492,Pagamentos!$F:$F,"Pagamento"))</f>
        <v/>
      </c>
      <c r="O492" s="37" t="str">
        <f aca="false">IF(OR(B492="",H492="",L492="",L492=0),"",H492/L492)</f>
        <v/>
      </c>
      <c r="P492" s="27" t="str">
        <f aca="false">IF(B492="","",COUNTIF(Sancoes!$C:$C,B492))</f>
        <v/>
      </c>
      <c r="Q492" s="27" t="str">
        <f aca="false">IF(B492="","",COUNTIF(Socios!$B:$B,B492))</f>
        <v/>
      </c>
      <c r="R492" s="27" t="str">
        <f aca="false">IF(B492="","",COUNTIFS(Socios!$B:$B,B492,Socios!$L:$L,"SIM"))</f>
        <v/>
      </c>
      <c r="S492" s="24"/>
      <c r="T492" s="11"/>
    </row>
    <row r="493" customFormat="false" ht="15" hidden="false" customHeight="false" outlineLevel="0" collapsed="false">
      <c r="A493" s="24"/>
      <c r="B493" s="31" t="str">
        <f aca="false">IF(A493="","",IF(LEN(UPPER(SUBSTITUTE(SUBSTITUTE(SUBSTITUTE(SUBSTITUTE(TRIM(A493),".",""),"/",""),"-","")," ","")))&lt;14,RIGHT(REPT("0",14)&amp;UPPER(SUBSTITUTE(SUBSTITUTE(SUBSTITUTE(SUBSTITUTE(TRIM(A493),".",""),"/",""),"-","")," ","")),14),UPPER(SUBSTITUTE(SUBSTITUTE(SUBSTITUTE(SUBSTITUTE(TRIM(A493),".",""),"/",""),"-","")," ",""))))</f>
        <v/>
      </c>
      <c r="C493" s="11"/>
      <c r="D493" s="23"/>
      <c r="E493" s="22"/>
      <c r="F493" s="23"/>
      <c r="G493" s="11"/>
      <c r="H493" s="35"/>
      <c r="I493" s="11"/>
      <c r="J493" s="23"/>
      <c r="K493" s="27" t="str">
        <f aca="false">IF(B493="","",COUNTIF(Contratos!$D:$D,B493))</f>
        <v/>
      </c>
      <c r="L493" s="36" t="str">
        <f aca="false">IF(B493="","",SUMIFS(Contratos!$K:$K,Contratos!$D:$D,B493))</f>
        <v/>
      </c>
      <c r="M493" s="36" t="str">
        <f aca="false">IF(B493="","",SUMIFS(Pagamentos!$G:$G,Pagamentos!$D:$D,B493,Pagamentos!$F:$F,"Empenho"))</f>
        <v/>
      </c>
      <c r="N493" s="36" t="str">
        <f aca="false">IF(B493="","",SUMIFS(Pagamentos!$G:$G,Pagamentos!$D:$D,B493,Pagamentos!$F:$F,"Pagamento"))</f>
        <v/>
      </c>
      <c r="O493" s="37" t="str">
        <f aca="false">IF(OR(B493="",H493="",L493="",L493=0),"",H493/L493)</f>
        <v/>
      </c>
      <c r="P493" s="27" t="str">
        <f aca="false">IF(B493="","",COUNTIF(Sancoes!$C:$C,B493))</f>
        <v/>
      </c>
      <c r="Q493" s="27" t="str">
        <f aca="false">IF(B493="","",COUNTIF(Socios!$B:$B,B493))</f>
        <v/>
      </c>
      <c r="R493" s="27" t="str">
        <f aca="false">IF(B493="","",COUNTIFS(Socios!$B:$B,B493,Socios!$L:$L,"SIM"))</f>
        <v/>
      </c>
      <c r="S493" s="24"/>
      <c r="T493" s="11"/>
    </row>
    <row r="494" customFormat="false" ht="15" hidden="false" customHeight="false" outlineLevel="0" collapsed="false">
      <c r="A494" s="24"/>
      <c r="B494" s="31" t="str">
        <f aca="false">IF(A494="","",IF(LEN(UPPER(SUBSTITUTE(SUBSTITUTE(SUBSTITUTE(SUBSTITUTE(TRIM(A494),".",""),"/",""),"-","")," ","")))&lt;14,RIGHT(REPT("0",14)&amp;UPPER(SUBSTITUTE(SUBSTITUTE(SUBSTITUTE(SUBSTITUTE(TRIM(A494),".",""),"/",""),"-","")," ","")),14),UPPER(SUBSTITUTE(SUBSTITUTE(SUBSTITUTE(SUBSTITUTE(TRIM(A494),".",""),"/",""),"-","")," ",""))))</f>
        <v/>
      </c>
      <c r="C494" s="11"/>
      <c r="D494" s="23"/>
      <c r="E494" s="22"/>
      <c r="F494" s="23"/>
      <c r="G494" s="11"/>
      <c r="H494" s="35"/>
      <c r="I494" s="11"/>
      <c r="J494" s="23"/>
      <c r="K494" s="27" t="str">
        <f aca="false">IF(B494="","",COUNTIF(Contratos!$D:$D,B494))</f>
        <v/>
      </c>
      <c r="L494" s="36" t="str">
        <f aca="false">IF(B494="","",SUMIFS(Contratos!$K:$K,Contratos!$D:$D,B494))</f>
        <v/>
      </c>
      <c r="M494" s="36" t="str">
        <f aca="false">IF(B494="","",SUMIFS(Pagamentos!$G:$G,Pagamentos!$D:$D,B494,Pagamentos!$F:$F,"Empenho"))</f>
        <v/>
      </c>
      <c r="N494" s="36" t="str">
        <f aca="false">IF(B494="","",SUMIFS(Pagamentos!$G:$G,Pagamentos!$D:$D,B494,Pagamentos!$F:$F,"Pagamento"))</f>
        <v/>
      </c>
      <c r="O494" s="37" t="str">
        <f aca="false">IF(OR(B494="",H494="",L494="",L494=0),"",H494/L494)</f>
        <v/>
      </c>
      <c r="P494" s="27" t="str">
        <f aca="false">IF(B494="","",COUNTIF(Sancoes!$C:$C,B494))</f>
        <v/>
      </c>
      <c r="Q494" s="27" t="str">
        <f aca="false">IF(B494="","",COUNTIF(Socios!$B:$B,B494))</f>
        <v/>
      </c>
      <c r="R494" s="27" t="str">
        <f aca="false">IF(B494="","",COUNTIFS(Socios!$B:$B,B494,Socios!$L:$L,"SIM"))</f>
        <v/>
      </c>
      <c r="S494" s="24"/>
      <c r="T494" s="11"/>
    </row>
    <row r="495" customFormat="false" ht="15" hidden="false" customHeight="false" outlineLevel="0" collapsed="false">
      <c r="A495" s="24"/>
      <c r="B495" s="31" t="str">
        <f aca="false">IF(A495="","",IF(LEN(UPPER(SUBSTITUTE(SUBSTITUTE(SUBSTITUTE(SUBSTITUTE(TRIM(A495),".",""),"/",""),"-","")," ","")))&lt;14,RIGHT(REPT("0",14)&amp;UPPER(SUBSTITUTE(SUBSTITUTE(SUBSTITUTE(SUBSTITUTE(TRIM(A495),".",""),"/",""),"-","")," ","")),14),UPPER(SUBSTITUTE(SUBSTITUTE(SUBSTITUTE(SUBSTITUTE(TRIM(A495),".",""),"/",""),"-","")," ",""))))</f>
        <v/>
      </c>
      <c r="C495" s="11"/>
      <c r="D495" s="23"/>
      <c r="E495" s="22"/>
      <c r="F495" s="23"/>
      <c r="G495" s="11"/>
      <c r="H495" s="35"/>
      <c r="I495" s="11"/>
      <c r="J495" s="23"/>
      <c r="K495" s="27" t="str">
        <f aca="false">IF(B495="","",COUNTIF(Contratos!$D:$D,B495))</f>
        <v/>
      </c>
      <c r="L495" s="36" t="str">
        <f aca="false">IF(B495="","",SUMIFS(Contratos!$K:$K,Contratos!$D:$D,B495))</f>
        <v/>
      </c>
      <c r="M495" s="36" t="str">
        <f aca="false">IF(B495="","",SUMIFS(Pagamentos!$G:$G,Pagamentos!$D:$D,B495,Pagamentos!$F:$F,"Empenho"))</f>
        <v/>
      </c>
      <c r="N495" s="36" t="str">
        <f aca="false">IF(B495="","",SUMIFS(Pagamentos!$G:$G,Pagamentos!$D:$D,B495,Pagamentos!$F:$F,"Pagamento"))</f>
        <v/>
      </c>
      <c r="O495" s="37" t="str">
        <f aca="false">IF(OR(B495="",H495="",L495="",L495=0),"",H495/L495)</f>
        <v/>
      </c>
      <c r="P495" s="27" t="str">
        <f aca="false">IF(B495="","",COUNTIF(Sancoes!$C:$C,B495))</f>
        <v/>
      </c>
      <c r="Q495" s="27" t="str">
        <f aca="false">IF(B495="","",COUNTIF(Socios!$B:$B,B495))</f>
        <v/>
      </c>
      <c r="R495" s="27" t="str">
        <f aca="false">IF(B495="","",COUNTIFS(Socios!$B:$B,B495,Socios!$L:$L,"SIM"))</f>
        <v/>
      </c>
      <c r="S495" s="24"/>
      <c r="T495" s="11"/>
    </row>
    <row r="496" customFormat="false" ht="15" hidden="false" customHeight="false" outlineLevel="0" collapsed="false">
      <c r="A496" s="24"/>
      <c r="B496" s="31" t="str">
        <f aca="false">IF(A496="","",IF(LEN(UPPER(SUBSTITUTE(SUBSTITUTE(SUBSTITUTE(SUBSTITUTE(TRIM(A496),".",""),"/",""),"-","")," ","")))&lt;14,RIGHT(REPT("0",14)&amp;UPPER(SUBSTITUTE(SUBSTITUTE(SUBSTITUTE(SUBSTITUTE(TRIM(A496),".",""),"/",""),"-","")," ","")),14),UPPER(SUBSTITUTE(SUBSTITUTE(SUBSTITUTE(SUBSTITUTE(TRIM(A496),".",""),"/",""),"-","")," ",""))))</f>
        <v/>
      </c>
      <c r="C496" s="11"/>
      <c r="D496" s="23"/>
      <c r="E496" s="22"/>
      <c r="F496" s="23"/>
      <c r="G496" s="11"/>
      <c r="H496" s="35"/>
      <c r="I496" s="11"/>
      <c r="J496" s="23"/>
      <c r="K496" s="27" t="str">
        <f aca="false">IF(B496="","",COUNTIF(Contratos!$D:$D,B496))</f>
        <v/>
      </c>
      <c r="L496" s="36" t="str">
        <f aca="false">IF(B496="","",SUMIFS(Contratos!$K:$K,Contratos!$D:$D,B496))</f>
        <v/>
      </c>
      <c r="M496" s="36" t="str">
        <f aca="false">IF(B496="","",SUMIFS(Pagamentos!$G:$G,Pagamentos!$D:$D,B496,Pagamentos!$F:$F,"Empenho"))</f>
        <v/>
      </c>
      <c r="N496" s="36" t="str">
        <f aca="false">IF(B496="","",SUMIFS(Pagamentos!$G:$G,Pagamentos!$D:$D,B496,Pagamentos!$F:$F,"Pagamento"))</f>
        <v/>
      </c>
      <c r="O496" s="37" t="str">
        <f aca="false">IF(OR(B496="",H496="",L496="",L496=0),"",H496/L496)</f>
        <v/>
      </c>
      <c r="P496" s="27" t="str">
        <f aca="false">IF(B496="","",COUNTIF(Sancoes!$C:$C,B496))</f>
        <v/>
      </c>
      <c r="Q496" s="27" t="str">
        <f aca="false">IF(B496="","",COUNTIF(Socios!$B:$B,B496))</f>
        <v/>
      </c>
      <c r="R496" s="27" t="str">
        <f aca="false">IF(B496="","",COUNTIFS(Socios!$B:$B,B496,Socios!$L:$L,"SIM"))</f>
        <v/>
      </c>
      <c r="S496" s="24"/>
      <c r="T496" s="11"/>
    </row>
    <row r="497" customFormat="false" ht="15" hidden="false" customHeight="false" outlineLevel="0" collapsed="false">
      <c r="A497" s="24"/>
      <c r="B497" s="31" t="str">
        <f aca="false">IF(A497="","",IF(LEN(UPPER(SUBSTITUTE(SUBSTITUTE(SUBSTITUTE(SUBSTITUTE(TRIM(A497),".",""),"/",""),"-","")," ","")))&lt;14,RIGHT(REPT("0",14)&amp;UPPER(SUBSTITUTE(SUBSTITUTE(SUBSTITUTE(SUBSTITUTE(TRIM(A497),".",""),"/",""),"-","")," ","")),14),UPPER(SUBSTITUTE(SUBSTITUTE(SUBSTITUTE(SUBSTITUTE(TRIM(A497),".",""),"/",""),"-","")," ",""))))</f>
        <v/>
      </c>
      <c r="C497" s="11"/>
      <c r="D497" s="23"/>
      <c r="E497" s="22"/>
      <c r="F497" s="23"/>
      <c r="G497" s="11"/>
      <c r="H497" s="35"/>
      <c r="I497" s="11"/>
      <c r="J497" s="23"/>
      <c r="K497" s="27" t="str">
        <f aca="false">IF(B497="","",COUNTIF(Contratos!$D:$D,B497))</f>
        <v/>
      </c>
      <c r="L497" s="36" t="str">
        <f aca="false">IF(B497="","",SUMIFS(Contratos!$K:$K,Contratos!$D:$D,B497))</f>
        <v/>
      </c>
      <c r="M497" s="36" t="str">
        <f aca="false">IF(B497="","",SUMIFS(Pagamentos!$G:$G,Pagamentos!$D:$D,B497,Pagamentos!$F:$F,"Empenho"))</f>
        <v/>
      </c>
      <c r="N497" s="36" t="str">
        <f aca="false">IF(B497="","",SUMIFS(Pagamentos!$G:$G,Pagamentos!$D:$D,B497,Pagamentos!$F:$F,"Pagamento"))</f>
        <v/>
      </c>
      <c r="O497" s="37" t="str">
        <f aca="false">IF(OR(B497="",H497="",L497="",L497=0),"",H497/L497)</f>
        <v/>
      </c>
      <c r="P497" s="27" t="str">
        <f aca="false">IF(B497="","",COUNTIF(Sancoes!$C:$C,B497))</f>
        <v/>
      </c>
      <c r="Q497" s="27" t="str">
        <f aca="false">IF(B497="","",COUNTIF(Socios!$B:$B,B497))</f>
        <v/>
      </c>
      <c r="R497" s="27" t="str">
        <f aca="false">IF(B497="","",COUNTIFS(Socios!$B:$B,B497,Socios!$L:$L,"SIM"))</f>
        <v/>
      </c>
      <c r="S497" s="24"/>
      <c r="T497" s="11"/>
    </row>
    <row r="498" customFormat="false" ht="15" hidden="false" customHeight="false" outlineLevel="0" collapsed="false">
      <c r="A498" s="24"/>
      <c r="B498" s="31" t="str">
        <f aca="false">IF(A498="","",IF(LEN(UPPER(SUBSTITUTE(SUBSTITUTE(SUBSTITUTE(SUBSTITUTE(TRIM(A498),".",""),"/",""),"-","")," ","")))&lt;14,RIGHT(REPT("0",14)&amp;UPPER(SUBSTITUTE(SUBSTITUTE(SUBSTITUTE(SUBSTITUTE(TRIM(A498),".",""),"/",""),"-","")," ","")),14),UPPER(SUBSTITUTE(SUBSTITUTE(SUBSTITUTE(SUBSTITUTE(TRIM(A498),".",""),"/",""),"-","")," ",""))))</f>
        <v/>
      </c>
      <c r="C498" s="11"/>
      <c r="D498" s="23"/>
      <c r="E498" s="22"/>
      <c r="F498" s="23"/>
      <c r="G498" s="11"/>
      <c r="H498" s="35"/>
      <c r="I498" s="11"/>
      <c r="J498" s="23"/>
      <c r="K498" s="27" t="str">
        <f aca="false">IF(B498="","",COUNTIF(Contratos!$D:$D,B498))</f>
        <v/>
      </c>
      <c r="L498" s="36" t="str">
        <f aca="false">IF(B498="","",SUMIFS(Contratos!$K:$K,Contratos!$D:$D,B498))</f>
        <v/>
      </c>
      <c r="M498" s="36" t="str">
        <f aca="false">IF(B498="","",SUMIFS(Pagamentos!$G:$G,Pagamentos!$D:$D,B498,Pagamentos!$F:$F,"Empenho"))</f>
        <v/>
      </c>
      <c r="N498" s="36" t="str">
        <f aca="false">IF(B498="","",SUMIFS(Pagamentos!$G:$G,Pagamentos!$D:$D,B498,Pagamentos!$F:$F,"Pagamento"))</f>
        <v/>
      </c>
      <c r="O498" s="37" t="str">
        <f aca="false">IF(OR(B498="",H498="",L498="",L498=0),"",H498/L498)</f>
        <v/>
      </c>
      <c r="P498" s="27" t="str">
        <f aca="false">IF(B498="","",COUNTIF(Sancoes!$C:$C,B498))</f>
        <v/>
      </c>
      <c r="Q498" s="27" t="str">
        <f aca="false">IF(B498="","",COUNTIF(Socios!$B:$B,B498))</f>
        <v/>
      </c>
      <c r="R498" s="27" t="str">
        <f aca="false">IF(B498="","",COUNTIFS(Socios!$B:$B,B498,Socios!$L:$L,"SIM"))</f>
        <v/>
      </c>
      <c r="S498" s="24"/>
      <c r="T498" s="11"/>
    </row>
    <row r="499" customFormat="false" ht="15" hidden="false" customHeight="false" outlineLevel="0" collapsed="false">
      <c r="A499" s="24"/>
      <c r="B499" s="31" t="str">
        <f aca="false">IF(A499="","",IF(LEN(UPPER(SUBSTITUTE(SUBSTITUTE(SUBSTITUTE(SUBSTITUTE(TRIM(A499),".",""),"/",""),"-","")," ","")))&lt;14,RIGHT(REPT("0",14)&amp;UPPER(SUBSTITUTE(SUBSTITUTE(SUBSTITUTE(SUBSTITUTE(TRIM(A499),".",""),"/",""),"-","")," ","")),14),UPPER(SUBSTITUTE(SUBSTITUTE(SUBSTITUTE(SUBSTITUTE(TRIM(A499),".",""),"/",""),"-","")," ",""))))</f>
        <v/>
      </c>
      <c r="C499" s="11"/>
      <c r="D499" s="23"/>
      <c r="E499" s="22"/>
      <c r="F499" s="23"/>
      <c r="G499" s="11"/>
      <c r="H499" s="35"/>
      <c r="I499" s="11"/>
      <c r="J499" s="23"/>
      <c r="K499" s="27" t="str">
        <f aca="false">IF(B499="","",COUNTIF(Contratos!$D:$D,B499))</f>
        <v/>
      </c>
      <c r="L499" s="36" t="str">
        <f aca="false">IF(B499="","",SUMIFS(Contratos!$K:$K,Contratos!$D:$D,B499))</f>
        <v/>
      </c>
      <c r="M499" s="36" t="str">
        <f aca="false">IF(B499="","",SUMIFS(Pagamentos!$G:$G,Pagamentos!$D:$D,B499,Pagamentos!$F:$F,"Empenho"))</f>
        <v/>
      </c>
      <c r="N499" s="36" t="str">
        <f aca="false">IF(B499="","",SUMIFS(Pagamentos!$G:$G,Pagamentos!$D:$D,B499,Pagamentos!$F:$F,"Pagamento"))</f>
        <v/>
      </c>
      <c r="O499" s="37" t="str">
        <f aca="false">IF(OR(B499="",H499="",L499="",L499=0),"",H499/L499)</f>
        <v/>
      </c>
      <c r="P499" s="27" t="str">
        <f aca="false">IF(B499="","",COUNTIF(Sancoes!$C:$C,B499))</f>
        <v/>
      </c>
      <c r="Q499" s="27" t="str">
        <f aca="false">IF(B499="","",COUNTIF(Socios!$B:$B,B499))</f>
        <v/>
      </c>
      <c r="R499" s="27" t="str">
        <f aca="false">IF(B499="","",COUNTIFS(Socios!$B:$B,B499,Socios!$L:$L,"SIM"))</f>
        <v/>
      </c>
      <c r="S499" s="24"/>
      <c r="T499" s="11"/>
    </row>
    <row r="500" customFormat="false" ht="15" hidden="false" customHeight="false" outlineLevel="0" collapsed="false">
      <c r="A500" s="24"/>
      <c r="B500" s="31" t="str">
        <f aca="false">IF(A500="","",IF(LEN(UPPER(SUBSTITUTE(SUBSTITUTE(SUBSTITUTE(SUBSTITUTE(TRIM(A500),".",""),"/",""),"-","")," ","")))&lt;14,RIGHT(REPT("0",14)&amp;UPPER(SUBSTITUTE(SUBSTITUTE(SUBSTITUTE(SUBSTITUTE(TRIM(A500),".",""),"/",""),"-","")," ","")),14),UPPER(SUBSTITUTE(SUBSTITUTE(SUBSTITUTE(SUBSTITUTE(TRIM(A500),".",""),"/",""),"-","")," ",""))))</f>
        <v/>
      </c>
      <c r="C500" s="11"/>
      <c r="D500" s="23"/>
      <c r="E500" s="22"/>
      <c r="F500" s="23"/>
      <c r="G500" s="11"/>
      <c r="H500" s="35"/>
      <c r="I500" s="11"/>
      <c r="J500" s="23"/>
      <c r="K500" s="27" t="str">
        <f aca="false">IF(B500="","",COUNTIF(Contratos!$D:$D,B500))</f>
        <v/>
      </c>
      <c r="L500" s="36" t="str">
        <f aca="false">IF(B500="","",SUMIFS(Contratos!$K:$K,Contratos!$D:$D,B500))</f>
        <v/>
      </c>
      <c r="M500" s="36" t="str">
        <f aca="false">IF(B500="","",SUMIFS(Pagamentos!$G:$G,Pagamentos!$D:$D,B500,Pagamentos!$F:$F,"Empenho"))</f>
        <v/>
      </c>
      <c r="N500" s="36" t="str">
        <f aca="false">IF(B500="","",SUMIFS(Pagamentos!$G:$G,Pagamentos!$D:$D,B500,Pagamentos!$F:$F,"Pagamento"))</f>
        <v/>
      </c>
      <c r="O500" s="37" t="str">
        <f aca="false">IF(OR(B500="",H500="",L500="",L500=0),"",H500/L500)</f>
        <v/>
      </c>
      <c r="P500" s="27" t="str">
        <f aca="false">IF(B500="","",COUNTIF(Sancoes!$C:$C,B500))</f>
        <v/>
      </c>
      <c r="Q500" s="27" t="str">
        <f aca="false">IF(B500="","",COUNTIF(Socios!$B:$B,B500))</f>
        <v/>
      </c>
      <c r="R500" s="27" t="str">
        <f aca="false">IF(B500="","",COUNTIFS(Socios!$B:$B,B500,Socios!$L:$L,"SIM"))</f>
        <v/>
      </c>
      <c r="S500" s="24"/>
      <c r="T500" s="11"/>
    </row>
    <row r="501" customFormat="false" ht="15" hidden="false" customHeight="false" outlineLevel="0" collapsed="false">
      <c r="A501" s="24"/>
      <c r="B501" s="31" t="str">
        <f aca="false">IF(A501="","",IF(LEN(UPPER(SUBSTITUTE(SUBSTITUTE(SUBSTITUTE(SUBSTITUTE(TRIM(A501),".",""),"/",""),"-","")," ","")))&lt;14,RIGHT(REPT("0",14)&amp;UPPER(SUBSTITUTE(SUBSTITUTE(SUBSTITUTE(SUBSTITUTE(TRIM(A501),".",""),"/",""),"-","")," ","")),14),UPPER(SUBSTITUTE(SUBSTITUTE(SUBSTITUTE(SUBSTITUTE(TRIM(A501),".",""),"/",""),"-","")," ",""))))</f>
        <v/>
      </c>
      <c r="C501" s="11"/>
      <c r="D501" s="23"/>
      <c r="E501" s="22"/>
      <c r="F501" s="23"/>
      <c r="G501" s="11"/>
      <c r="H501" s="35"/>
      <c r="I501" s="11"/>
      <c r="J501" s="23"/>
      <c r="K501" s="27" t="str">
        <f aca="false">IF(B501="","",COUNTIF(Contratos!$D:$D,B501))</f>
        <v/>
      </c>
      <c r="L501" s="36" t="str">
        <f aca="false">IF(B501="","",SUMIFS(Contratos!$K:$K,Contratos!$D:$D,B501))</f>
        <v/>
      </c>
      <c r="M501" s="36" t="str">
        <f aca="false">IF(B501="","",SUMIFS(Pagamentos!$G:$G,Pagamentos!$D:$D,B501,Pagamentos!$F:$F,"Empenho"))</f>
        <v/>
      </c>
      <c r="N501" s="36" t="str">
        <f aca="false">IF(B501="","",SUMIFS(Pagamentos!$G:$G,Pagamentos!$D:$D,B501,Pagamentos!$F:$F,"Pagamento"))</f>
        <v/>
      </c>
      <c r="O501" s="37" t="str">
        <f aca="false">IF(OR(B501="",H501="",L501="",L501=0),"",H501/L501)</f>
        <v/>
      </c>
      <c r="P501" s="27" t="str">
        <f aca="false">IF(B501="","",COUNTIF(Sancoes!$C:$C,B501))</f>
        <v/>
      </c>
      <c r="Q501" s="27" t="str">
        <f aca="false">IF(B501="","",COUNTIF(Socios!$B:$B,B501))</f>
        <v/>
      </c>
      <c r="R501" s="27" t="str">
        <f aca="false">IF(B501="","",COUNTIFS(Socios!$B:$B,B501,Socios!$L:$L,"SIM"))</f>
        <v/>
      </c>
      <c r="S501" s="24"/>
      <c r="T501" s="11"/>
    </row>
    <row r="502" customFormat="false" ht="15" hidden="false" customHeight="false" outlineLevel="0" collapsed="false">
      <c r="A502" s="24"/>
      <c r="B502" s="31" t="str">
        <f aca="false">IF(A502="","",IF(LEN(UPPER(SUBSTITUTE(SUBSTITUTE(SUBSTITUTE(SUBSTITUTE(TRIM(A502),".",""),"/",""),"-","")," ","")))&lt;14,RIGHT(REPT("0",14)&amp;UPPER(SUBSTITUTE(SUBSTITUTE(SUBSTITUTE(SUBSTITUTE(TRIM(A502),".",""),"/",""),"-","")," ","")),14),UPPER(SUBSTITUTE(SUBSTITUTE(SUBSTITUTE(SUBSTITUTE(TRIM(A502),".",""),"/",""),"-","")," ",""))))</f>
        <v/>
      </c>
      <c r="C502" s="11"/>
      <c r="D502" s="23"/>
      <c r="E502" s="22"/>
      <c r="F502" s="23"/>
      <c r="G502" s="11"/>
      <c r="H502" s="35"/>
      <c r="I502" s="11"/>
      <c r="J502" s="23"/>
      <c r="K502" s="27" t="str">
        <f aca="false">IF(B502="","",COUNTIF(Contratos!$D:$D,B502))</f>
        <v/>
      </c>
      <c r="L502" s="36" t="str">
        <f aca="false">IF(B502="","",SUMIFS(Contratos!$K:$K,Contratos!$D:$D,B502))</f>
        <v/>
      </c>
      <c r="M502" s="36" t="str">
        <f aca="false">IF(B502="","",SUMIFS(Pagamentos!$G:$G,Pagamentos!$D:$D,B502,Pagamentos!$F:$F,"Empenho"))</f>
        <v/>
      </c>
      <c r="N502" s="36" t="str">
        <f aca="false">IF(B502="","",SUMIFS(Pagamentos!$G:$G,Pagamentos!$D:$D,B502,Pagamentos!$F:$F,"Pagamento"))</f>
        <v/>
      </c>
      <c r="O502" s="37" t="str">
        <f aca="false">IF(OR(B502="",H502="",L502="",L502=0),"",H502/L502)</f>
        <v/>
      </c>
      <c r="P502" s="27" t="str">
        <f aca="false">IF(B502="","",COUNTIF(Sancoes!$C:$C,B502))</f>
        <v/>
      </c>
      <c r="Q502" s="27" t="str">
        <f aca="false">IF(B502="","",COUNTIF(Socios!$B:$B,B502))</f>
        <v/>
      </c>
      <c r="R502" s="27" t="str">
        <f aca="false">IF(B502="","",COUNTIFS(Socios!$B:$B,B502,Socios!$L:$L,"SIM"))</f>
        <v/>
      </c>
      <c r="S502" s="24"/>
      <c r="T502" s="11"/>
    </row>
    <row r="503" customFormat="false" ht="15" hidden="false" customHeight="false" outlineLevel="0" collapsed="false">
      <c r="A503" s="24"/>
      <c r="B503" s="31" t="str">
        <f aca="false">IF(A503="","",IF(LEN(UPPER(SUBSTITUTE(SUBSTITUTE(SUBSTITUTE(SUBSTITUTE(TRIM(A503),".",""),"/",""),"-","")," ","")))&lt;14,RIGHT(REPT("0",14)&amp;UPPER(SUBSTITUTE(SUBSTITUTE(SUBSTITUTE(SUBSTITUTE(TRIM(A503),".",""),"/",""),"-","")," ","")),14),UPPER(SUBSTITUTE(SUBSTITUTE(SUBSTITUTE(SUBSTITUTE(TRIM(A503),".",""),"/",""),"-","")," ",""))))</f>
        <v/>
      </c>
      <c r="C503" s="11"/>
      <c r="D503" s="23"/>
      <c r="E503" s="22"/>
      <c r="F503" s="23"/>
      <c r="G503" s="11"/>
      <c r="H503" s="35"/>
      <c r="I503" s="11"/>
      <c r="J503" s="23"/>
      <c r="K503" s="27" t="str">
        <f aca="false">IF(B503="","",COUNTIF(Contratos!$D:$D,B503))</f>
        <v/>
      </c>
      <c r="L503" s="36" t="str">
        <f aca="false">IF(B503="","",SUMIFS(Contratos!$K:$K,Contratos!$D:$D,B503))</f>
        <v/>
      </c>
      <c r="M503" s="36" t="str">
        <f aca="false">IF(B503="","",SUMIFS(Pagamentos!$G:$G,Pagamentos!$D:$D,B503,Pagamentos!$F:$F,"Empenho"))</f>
        <v/>
      </c>
      <c r="N503" s="36" t="str">
        <f aca="false">IF(B503="","",SUMIFS(Pagamentos!$G:$G,Pagamentos!$D:$D,B503,Pagamentos!$F:$F,"Pagamento"))</f>
        <v/>
      </c>
      <c r="O503" s="37" t="str">
        <f aca="false">IF(OR(B503="",H503="",L503="",L503=0),"",H503/L503)</f>
        <v/>
      </c>
      <c r="P503" s="27" t="str">
        <f aca="false">IF(B503="","",COUNTIF(Sancoes!$C:$C,B503))</f>
        <v/>
      </c>
      <c r="Q503" s="27" t="str">
        <f aca="false">IF(B503="","",COUNTIF(Socios!$B:$B,B503))</f>
        <v/>
      </c>
      <c r="R503" s="27" t="str">
        <f aca="false">IF(B503="","",COUNTIFS(Socios!$B:$B,B503,Socios!$L:$L,"SIM"))</f>
        <v/>
      </c>
      <c r="S503" s="24"/>
      <c r="T503" s="11"/>
    </row>
    <row r="504" customFormat="false" ht="15" hidden="false" customHeight="false" outlineLevel="0" collapsed="false">
      <c r="A504" s="24"/>
      <c r="B504" s="31" t="str">
        <f aca="false">IF(A504="","",IF(LEN(UPPER(SUBSTITUTE(SUBSTITUTE(SUBSTITUTE(SUBSTITUTE(TRIM(A504),".",""),"/",""),"-","")," ","")))&lt;14,RIGHT(REPT("0",14)&amp;UPPER(SUBSTITUTE(SUBSTITUTE(SUBSTITUTE(SUBSTITUTE(TRIM(A504),".",""),"/",""),"-","")," ","")),14),UPPER(SUBSTITUTE(SUBSTITUTE(SUBSTITUTE(SUBSTITUTE(TRIM(A504),".",""),"/",""),"-","")," ",""))))</f>
        <v/>
      </c>
      <c r="C504" s="11"/>
      <c r="D504" s="23"/>
      <c r="E504" s="22"/>
      <c r="F504" s="23"/>
      <c r="G504" s="11"/>
      <c r="H504" s="35"/>
      <c r="I504" s="11"/>
      <c r="J504" s="23"/>
      <c r="K504" s="27" t="str">
        <f aca="false">IF(B504="","",COUNTIF(Contratos!$D:$D,B504))</f>
        <v/>
      </c>
      <c r="L504" s="36" t="str">
        <f aca="false">IF(B504="","",SUMIFS(Contratos!$K:$K,Contratos!$D:$D,B504))</f>
        <v/>
      </c>
      <c r="M504" s="36" t="str">
        <f aca="false">IF(B504="","",SUMIFS(Pagamentos!$G:$G,Pagamentos!$D:$D,B504,Pagamentos!$F:$F,"Empenho"))</f>
        <v/>
      </c>
      <c r="N504" s="36" t="str">
        <f aca="false">IF(B504="","",SUMIFS(Pagamentos!$G:$G,Pagamentos!$D:$D,B504,Pagamentos!$F:$F,"Pagamento"))</f>
        <v/>
      </c>
      <c r="O504" s="37" t="str">
        <f aca="false">IF(OR(B504="",H504="",L504="",L504=0),"",H504/L504)</f>
        <v/>
      </c>
      <c r="P504" s="27" t="str">
        <f aca="false">IF(B504="","",COUNTIF(Sancoes!$C:$C,B504))</f>
        <v/>
      </c>
      <c r="Q504" s="27" t="str">
        <f aca="false">IF(B504="","",COUNTIF(Socios!$B:$B,B504))</f>
        <v/>
      </c>
      <c r="R504" s="27" t="str">
        <f aca="false">IF(B504="","",COUNTIFS(Socios!$B:$B,B504,Socios!$L:$L,"SIM"))</f>
        <v/>
      </c>
      <c r="S504" s="24"/>
      <c r="T504" s="11"/>
    </row>
  </sheetData>
  <autoFilter ref="A4:T504"/>
  <conditionalFormatting sqref="P5:P504">
    <cfRule type="expression" priority="2" aboveAverage="0" equalAverage="0" bottom="0" percent="0" rank="0" text="" dxfId="6">
      <formula>AND(ISNUMBER(P5),P5&gt;0)</formula>
    </cfRule>
  </conditionalFormatting>
  <conditionalFormatting sqref="R5:R504">
    <cfRule type="expression" priority="3" aboveAverage="0" equalAverage="0" bottom="0" percent="0" rank="0" text="" dxfId="6">
      <formula>AND(ISNUMBER(R5),R5&gt;0)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7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30"/>
    <col collapsed="false" customWidth="true" hidden="false" outlineLevel="0" max="9" min="9" style="0" width="20"/>
    <col collapsed="false" customWidth="true" hidden="false" outlineLevel="0" max="11" min="10" style="0" width="12"/>
    <col collapsed="false" customWidth="true" hidden="false" outlineLevel="0" max="12" min="12" style="0" width="18"/>
    <col collapsed="false" customWidth="true" hidden="false" outlineLevel="0" max="13" min="13" style="0" width="12"/>
    <col collapsed="false" customWidth="true" hidden="false" outlineLevel="0" max="14" min="14" style="0" width="28"/>
  </cols>
  <sheetData>
    <row r="1" customFormat="false" ht="17.35" hidden="false" customHeight="false" outlineLevel="0" collapsed="false">
      <c r="A1" s="14" t="s">
        <v>255</v>
      </c>
    </row>
    <row r="2" customFormat="false" ht="15" hidden="false" customHeight="false" outlineLevel="0" collapsed="false">
      <c r="A2" s="15" t="s">
        <v>256</v>
      </c>
    </row>
    <row r="3" customFormat="false" ht="15" hidden="false" customHeight="false" outlineLevel="0" collapsed="false">
      <c r="A3" s="15" t="s">
        <v>257</v>
      </c>
    </row>
    <row r="4" customFormat="false" ht="48" hidden="false" customHeight="true" outlineLevel="0" collapsed="false">
      <c r="A4" s="9" t="s">
        <v>258</v>
      </c>
      <c r="B4" s="16" t="s">
        <v>225</v>
      </c>
      <c r="C4" s="16" t="s">
        <v>259</v>
      </c>
      <c r="D4" s="9" t="s">
        <v>260</v>
      </c>
      <c r="E4" s="9" t="s">
        <v>203</v>
      </c>
      <c r="F4" s="16" t="s">
        <v>204</v>
      </c>
      <c r="G4" s="16" t="s">
        <v>205</v>
      </c>
      <c r="H4" s="16" t="s">
        <v>206</v>
      </c>
      <c r="I4" s="9" t="s">
        <v>261</v>
      </c>
      <c r="J4" s="9" t="s">
        <v>262</v>
      </c>
      <c r="K4" s="9" t="s">
        <v>263</v>
      </c>
      <c r="L4" s="16" t="s">
        <v>264</v>
      </c>
      <c r="M4" s="9" t="s">
        <v>71</v>
      </c>
      <c r="N4" s="9" t="s">
        <v>74</v>
      </c>
    </row>
    <row r="5" customFormat="false" ht="15" hidden="false" customHeight="false" outlineLevel="0" collapsed="false">
      <c r="A5" s="20" t="s">
        <v>242</v>
      </c>
      <c r="B5" s="30" t="str">
        <f aca="false">IF(A5="","",IF(LEN(UPPER(SUBSTITUTE(SUBSTITUTE(SUBSTITUTE(SUBSTITUTE(TRIM(A5),".",""),"/",""),"-","")," ","")))&lt;14,RIGHT(REPT("0",14)&amp;UPPER(SUBSTITUTE(SUBSTITUTE(SUBSTITUTE(SUBSTITUTE(TRIM(A5),".",""),"/",""),"-","")," ","")),14),UPPER(SUBSTITUTE(SUBSTITUTE(SUBSTITUTE(SUBSTITUTE(TRIM(A5),".",""),"/",""),"-","")," ",""))))</f>
        <v>11222333000186</v>
      </c>
      <c r="C5" s="21" t="str">
        <f aca="false">IF(B5="","",IFERROR(INDEX(Empresas!$C:$C,MATCH(B5,Empresas!$B:$B,0)),"cadastre o CNPJ em Empresas"))</f>
        <v>ALIMENTOS MODELO LTDA</v>
      </c>
      <c r="D5" s="19" t="s">
        <v>83</v>
      </c>
      <c r="E5" s="20" t="s">
        <v>213</v>
      </c>
      <c r="F5" s="30" t="str">
        <f aca="false">IF(D5="","",SUBSTITUTE(SUBSTITUTE(SUBSTITUTE(SUBSTITUTE(SUBSTITUTE(SUBSTITUTE(SUBSTITUTE(SUBSTITUTE(SUBSTITUTE(SUBSTITUTE(SUBSTITUTE(SUBSTITUTE(SUBSTITUTE(UPPER(TRIM(D5)),"Á","A"),"À","A"),"Â","A"),"Ã","A"),"É","E"),"Ê","E"),"Í","I"),"Ó","O"),"Ô","O"),"Õ","O"),"Ú","U"),"Ü","U"),"Ç","C"))</f>
        <v>FULANO DE TAL</v>
      </c>
      <c r="G5" s="30" t="str">
        <f aca="false">IF(E5="","",IF(LEN(SUBSTITUTE(SUBSTITUTE(SUBSTITUTE(SUBSTITUTE(TRIM(E5),"*",""),".",""),"-","")," ",""))=11,MID(SUBSTITUTE(SUBSTITUTE(SUBSTITUTE(SUBSTITUTE(TRIM(E5),"*",""),".",""),"-","")," ",""),4,6),SUBSTITUTE(SUBSTITUTE(SUBSTITUTE(SUBSTITUTE(TRIM(E5),"*",""),".",""),"-","")," ","")))</f>
        <v>123456</v>
      </c>
      <c r="H5" s="30" t="str">
        <f aca="false">IF(OR(F5="",G5=""),"",F5&amp;"|"&amp;G5)</f>
        <v>FULANO DE TAL|123456</v>
      </c>
      <c r="I5" s="19" t="s">
        <v>265</v>
      </c>
      <c r="J5" s="17" t="n">
        <v>45726</v>
      </c>
      <c r="K5" s="17"/>
      <c r="L5" s="21" t="str">
        <f aca="false">IF(F5="","",IF(AND(H5&lt;&gt;"",COUNTIF(Pessoas!$E:$E,H5)&gt;0),"SIM",IF(COUNTIF(Pessoas!$C:$C,F5)&gt;0,"nome igual em Pessoas: confira o CPF","")))</f>
        <v>SIM</v>
      </c>
      <c r="M5" s="20" t="s">
        <v>91</v>
      </c>
      <c r="N5" s="18" t="s">
        <v>81</v>
      </c>
    </row>
    <row r="6" customFormat="false" ht="23.85" hidden="false" customHeight="false" outlineLevel="0" collapsed="false">
      <c r="A6" s="20" t="s">
        <v>250</v>
      </c>
      <c r="B6" s="30" t="str">
        <f aca="false">IF(A6="","",IF(LEN(UPPER(SUBSTITUTE(SUBSTITUTE(SUBSTITUTE(SUBSTITUTE(TRIM(A6),".",""),"/",""),"-","")," ","")))&lt;14,RIGHT(REPT("0",14)&amp;UPPER(SUBSTITUTE(SUBSTITUTE(SUBSTITUTE(SUBSTITUTE(TRIM(A6),".",""),"/",""),"-","")," ","")),14),UPPER(SUBSTITUTE(SUBSTITUTE(SUBSTITUTE(SUBSTITUTE(TRIM(A6),".",""),"/",""),"-","")," ",""))))</f>
        <v>44555666000186</v>
      </c>
      <c r="C6" s="21" t="str">
        <f aca="false">IF(B6="","",IFERROR(INDEX(Empresas!$C:$C,MATCH(B6,Empresas!$B:$B,0)),"cadastre o CNPJ em Empresas"))</f>
        <v>CONSTRUTORA EXEMPLO LTDA</v>
      </c>
      <c r="D6" s="19" t="s">
        <v>266</v>
      </c>
      <c r="E6" s="20" t="s">
        <v>267</v>
      </c>
      <c r="F6" s="30" t="str">
        <f aca="false">IF(D6="","",SUBSTITUTE(SUBSTITUTE(SUBSTITUTE(SUBSTITUTE(SUBSTITUTE(SUBSTITUTE(SUBSTITUTE(SUBSTITUTE(SUBSTITUTE(SUBSTITUTE(SUBSTITUTE(SUBSTITUTE(SUBSTITUTE(UPPER(TRIM(D6)),"Á","A"),"À","A"),"Â","A"),"Ã","A"),"É","E"),"Ê","E"),"Í","I"),"Ó","O"),"Ô","O"),"Õ","O"),"Ú","U"),"Ü","U"),"Ç","C"))</f>
        <v>MARIA EXEMPLO</v>
      </c>
      <c r="G6" s="30" t="str">
        <f aca="false">IF(E6="","",IF(LEN(SUBSTITUTE(SUBSTITUTE(SUBSTITUTE(SUBSTITUTE(TRIM(E6),"*",""),".",""),"-","")," ",""))=11,MID(SUBSTITUTE(SUBSTITUTE(SUBSTITUTE(SUBSTITUTE(TRIM(E6),"*",""),".",""),"-","")," ",""),4,6),SUBSTITUTE(SUBSTITUTE(SUBSTITUTE(SUBSTITUTE(TRIM(E6),"*",""),".",""),"-","")," ","")))</f>
        <v>654321</v>
      </c>
      <c r="H6" s="30" t="str">
        <f aca="false">IF(OR(F6="",G6=""),"",F6&amp;"|"&amp;G6)</f>
        <v>MARIA EXEMPLO|654321</v>
      </c>
      <c r="I6" s="19" t="s">
        <v>268</v>
      </c>
      <c r="J6" s="17" t="n">
        <v>42156</v>
      </c>
      <c r="K6" s="17"/>
      <c r="L6" s="21" t="str">
        <f aca="false">IF(F6="","",IF(AND(H6&lt;&gt;"",COUNTIF(Pessoas!$E:$E,H6)&gt;0),"SIM",IF(COUNTIF(Pessoas!$C:$C,F6)&gt;0,"nome igual em Pessoas: confira o CPF","")))</f>
        <v/>
      </c>
      <c r="M6" s="20" t="s">
        <v>91</v>
      </c>
      <c r="N6" s="18" t="s">
        <v>81</v>
      </c>
    </row>
    <row r="7" customFormat="false" ht="15" hidden="false" customHeight="false" outlineLevel="0" collapsed="false">
      <c r="A7" s="24"/>
      <c r="B7" s="31" t="str">
        <f aca="false">IF(A7="","",IF(LEN(UPPER(SUBSTITUTE(SUBSTITUTE(SUBSTITUTE(SUBSTITUTE(TRIM(A7),".",""),"/",""),"-","")," ","")))&lt;14,RIGHT(REPT("0",14)&amp;UPPER(SUBSTITUTE(SUBSTITUTE(SUBSTITUTE(SUBSTITUTE(TRIM(A7),".",""),"/",""),"-","")," ","")),14),UPPER(SUBSTITUTE(SUBSTITUTE(SUBSTITUTE(SUBSTITUTE(TRIM(A7),".",""),"/",""),"-","")," ",""))))</f>
        <v/>
      </c>
      <c r="C7" s="25" t="str">
        <f aca="false">IF(B7="","",IFERROR(INDEX(Empresas!$C:$C,MATCH(B7,Empresas!$B:$B,0)),"cadastre o CNPJ em Empresas"))</f>
        <v/>
      </c>
      <c r="D7" s="23"/>
      <c r="E7" s="24"/>
      <c r="F7" s="31" t="str">
        <f aca="false">IF(D7="","",SUBSTITUTE(SUBSTITUTE(SUBSTITUTE(SUBSTITUTE(SUBSTITUTE(SUBSTITUTE(SUBSTITUTE(SUBSTITUTE(SUBSTITUTE(SUBSTITUTE(SUBSTITUTE(SUBSTITUTE(SUBSTITUTE(UPPER(TRIM(D7)),"Á","A"),"À","A"),"Â","A"),"Ã","A"),"É","E"),"Ê","E"),"Í","I"),"Ó","O"),"Ô","O"),"Õ","O"),"Ú","U"),"Ü","U"),"Ç","C"))</f>
        <v/>
      </c>
      <c r="G7" s="31" t="str">
        <f aca="false">IF(E7="","",IF(LEN(SUBSTITUTE(SUBSTITUTE(SUBSTITUTE(SUBSTITUTE(TRIM(E7),"*",""),".",""),"-","")," ",""))=11,MID(SUBSTITUTE(SUBSTITUTE(SUBSTITUTE(SUBSTITUTE(TRIM(E7),"*",""),".",""),"-","")," ",""),4,6),SUBSTITUTE(SUBSTITUTE(SUBSTITUTE(SUBSTITUTE(TRIM(E7),"*",""),".",""),"-","")," ","")))</f>
        <v/>
      </c>
      <c r="H7" s="31" t="str">
        <f aca="false">IF(OR(F7="",G7=""),"",F7&amp;"|"&amp;G7)</f>
        <v/>
      </c>
      <c r="I7" s="23"/>
      <c r="J7" s="22"/>
      <c r="K7" s="22"/>
      <c r="L7" s="25" t="str">
        <f aca="false">IF(F7="","",IF(AND(H7&lt;&gt;"",COUNTIF(Pessoas!$E:$E,H7)&gt;0),"SIM",IF(COUNTIF(Pessoas!$C:$C,F7)&gt;0,"nome igual em Pessoas: confira o CPF","")))</f>
        <v/>
      </c>
      <c r="M7" s="24"/>
      <c r="N7" s="11"/>
    </row>
    <row r="8" customFormat="false" ht="15" hidden="false" customHeight="false" outlineLevel="0" collapsed="false">
      <c r="A8" s="24"/>
      <c r="B8" s="31" t="str">
        <f aca="false">IF(A8="","",IF(LEN(UPPER(SUBSTITUTE(SUBSTITUTE(SUBSTITUTE(SUBSTITUTE(TRIM(A8),".",""),"/",""),"-","")," ","")))&lt;14,RIGHT(REPT("0",14)&amp;UPPER(SUBSTITUTE(SUBSTITUTE(SUBSTITUTE(SUBSTITUTE(TRIM(A8),".",""),"/",""),"-","")," ","")),14),UPPER(SUBSTITUTE(SUBSTITUTE(SUBSTITUTE(SUBSTITUTE(TRIM(A8),".",""),"/",""),"-","")," ",""))))</f>
        <v/>
      </c>
      <c r="C8" s="25" t="str">
        <f aca="false">IF(B8="","",IFERROR(INDEX(Empresas!$C:$C,MATCH(B8,Empresas!$B:$B,0)),"cadastre o CNPJ em Empresas"))</f>
        <v/>
      </c>
      <c r="D8" s="23"/>
      <c r="E8" s="24"/>
      <c r="F8" s="31" t="str">
        <f aca="false">IF(D8="","",SUBSTITUTE(SUBSTITUTE(SUBSTITUTE(SUBSTITUTE(SUBSTITUTE(SUBSTITUTE(SUBSTITUTE(SUBSTITUTE(SUBSTITUTE(SUBSTITUTE(SUBSTITUTE(SUBSTITUTE(SUBSTITUTE(UPPER(TRIM(D8)),"Á","A"),"À","A"),"Â","A"),"Ã","A"),"É","E"),"Ê","E"),"Í","I"),"Ó","O"),"Ô","O"),"Õ","O"),"Ú","U"),"Ü","U"),"Ç","C"))</f>
        <v/>
      </c>
      <c r="G8" s="31" t="str">
        <f aca="false">IF(E8="","",IF(LEN(SUBSTITUTE(SUBSTITUTE(SUBSTITUTE(SUBSTITUTE(TRIM(E8),"*",""),".",""),"-","")," ",""))=11,MID(SUBSTITUTE(SUBSTITUTE(SUBSTITUTE(SUBSTITUTE(TRIM(E8),"*",""),".",""),"-","")," ",""),4,6),SUBSTITUTE(SUBSTITUTE(SUBSTITUTE(SUBSTITUTE(TRIM(E8),"*",""),".",""),"-","")," ","")))</f>
        <v/>
      </c>
      <c r="H8" s="31" t="str">
        <f aca="false">IF(OR(F8="",G8=""),"",F8&amp;"|"&amp;G8)</f>
        <v/>
      </c>
      <c r="I8" s="23"/>
      <c r="J8" s="22"/>
      <c r="K8" s="22"/>
      <c r="L8" s="25" t="str">
        <f aca="false">IF(F8="","",IF(AND(H8&lt;&gt;"",COUNTIF(Pessoas!$E:$E,H8)&gt;0),"SIM",IF(COUNTIF(Pessoas!$C:$C,F8)&gt;0,"nome igual em Pessoas: confira o CPF","")))</f>
        <v/>
      </c>
      <c r="M8" s="24"/>
      <c r="N8" s="11"/>
    </row>
    <row r="9" customFormat="false" ht="15" hidden="false" customHeight="false" outlineLevel="0" collapsed="false">
      <c r="A9" s="24"/>
      <c r="B9" s="31" t="str">
        <f aca="false">IF(A9="","",IF(LEN(UPPER(SUBSTITUTE(SUBSTITUTE(SUBSTITUTE(SUBSTITUTE(TRIM(A9),".",""),"/",""),"-","")," ","")))&lt;14,RIGHT(REPT("0",14)&amp;UPPER(SUBSTITUTE(SUBSTITUTE(SUBSTITUTE(SUBSTITUTE(TRIM(A9),".",""),"/",""),"-","")," ","")),14),UPPER(SUBSTITUTE(SUBSTITUTE(SUBSTITUTE(SUBSTITUTE(TRIM(A9),".",""),"/",""),"-","")," ",""))))</f>
        <v/>
      </c>
      <c r="C9" s="25" t="str">
        <f aca="false">IF(B9="","",IFERROR(INDEX(Empresas!$C:$C,MATCH(B9,Empresas!$B:$B,0)),"cadastre o CNPJ em Empresas"))</f>
        <v/>
      </c>
      <c r="D9" s="23"/>
      <c r="E9" s="24"/>
      <c r="F9" s="31" t="str">
        <f aca="false">IF(D9="","",SUBSTITUTE(SUBSTITUTE(SUBSTITUTE(SUBSTITUTE(SUBSTITUTE(SUBSTITUTE(SUBSTITUTE(SUBSTITUTE(SUBSTITUTE(SUBSTITUTE(SUBSTITUTE(SUBSTITUTE(SUBSTITUTE(UPPER(TRIM(D9)),"Á","A"),"À","A"),"Â","A"),"Ã","A"),"É","E"),"Ê","E"),"Í","I"),"Ó","O"),"Ô","O"),"Õ","O"),"Ú","U"),"Ü","U"),"Ç","C"))</f>
        <v/>
      </c>
      <c r="G9" s="31" t="str">
        <f aca="false">IF(E9="","",IF(LEN(SUBSTITUTE(SUBSTITUTE(SUBSTITUTE(SUBSTITUTE(TRIM(E9),"*",""),".",""),"-","")," ",""))=11,MID(SUBSTITUTE(SUBSTITUTE(SUBSTITUTE(SUBSTITUTE(TRIM(E9),"*",""),".",""),"-","")," ",""),4,6),SUBSTITUTE(SUBSTITUTE(SUBSTITUTE(SUBSTITUTE(TRIM(E9),"*",""),".",""),"-","")," ","")))</f>
        <v/>
      </c>
      <c r="H9" s="31" t="str">
        <f aca="false">IF(OR(F9="",G9=""),"",F9&amp;"|"&amp;G9)</f>
        <v/>
      </c>
      <c r="I9" s="23"/>
      <c r="J9" s="22"/>
      <c r="K9" s="22"/>
      <c r="L9" s="25" t="str">
        <f aca="false">IF(F9="","",IF(AND(H9&lt;&gt;"",COUNTIF(Pessoas!$E:$E,H9)&gt;0),"SIM",IF(COUNTIF(Pessoas!$C:$C,F9)&gt;0,"nome igual em Pessoas: confira o CPF","")))</f>
        <v/>
      </c>
      <c r="M9" s="24"/>
      <c r="N9" s="11"/>
    </row>
    <row r="10" customFormat="false" ht="15" hidden="false" customHeight="false" outlineLevel="0" collapsed="false">
      <c r="A10" s="24"/>
      <c r="B10" s="31" t="str">
        <f aca="false">IF(A10="","",IF(LEN(UPPER(SUBSTITUTE(SUBSTITUTE(SUBSTITUTE(SUBSTITUTE(TRIM(A10),".",""),"/",""),"-","")," ","")))&lt;14,RIGHT(REPT("0",14)&amp;UPPER(SUBSTITUTE(SUBSTITUTE(SUBSTITUTE(SUBSTITUTE(TRIM(A10),".",""),"/",""),"-","")," ","")),14),UPPER(SUBSTITUTE(SUBSTITUTE(SUBSTITUTE(SUBSTITUTE(TRIM(A10),".",""),"/",""),"-","")," ",""))))</f>
        <v/>
      </c>
      <c r="C10" s="25" t="str">
        <f aca="false">IF(B10="","",IFERROR(INDEX(Empresas!$C:$C,MATCH(B10,Empresas!$B:$B,0)),"cadastre o CNPJ em Empresas"))</f>
        <v/>
      </c>
      <c r="D10" s="23"/>
      <c r="E10" s="24"/>
      <c r="F10" s="31" t="str">
        <f aca="false">IF(D10="","",SUBSTITUTE(SUBSTITUTE(SUBSTITUTE(SUBSTITUTE(SUBSTITUTE(SUBSTITUTE(SUBSTITUTE(SUBSTITUTE(SUBSTITUTE(SUBSTITUTE(SUBSTITUTE(SUBSTITUTE(SUBSTITUTE(UPPER(TRIM(D10)),"Á","A"),"À","A"),"Â","A"),"Ã","A"),"É","E"),"Ê","E"),"Í","I"),"Ó","O"),"Ô","O"),"Õ","O"),"Ú","U"),"Ü","U"),"Ç","C"))</f>
        <v/>
      </c>
      <c r="G10" s="31" t="str">
        <f aca="false">IF(E10="","",IF(LEN(SUBSTITUTE(SUBSTITUTE(SUBSTITUTE(SUBSTITUTE(TRIM(E10),"*",""),".",""),"-","")," ",""))=11,MID(SUBSTITUTE(SUBSTITUTE(SUBSTITUTE(SUBSTITUTE(TRIM(E10),"*",""),".",""),"-","")," ",""),4,6),SUBSTITUTE(SUBSTITUTE(SUBSTITUTE(SUBSTITUTE(TRIM(E10),"*",""),".",""),"-","")," ","")))</f>
        <v/>
      </c>
      <c r="H10" s="31" t="str">
        <f aca="false">IF(OR(F10="",G10=""),"",F10&amp;"|"&amp;G10)</f>
        <v/>
      </c>
      <c r="I10" s="23"/>
      <c r="J10" s="22"/>
      <c r="K10" s="22"/>
      <c r="L10" s="25" t="str">
        <f aca="false">IF(F10="","",IF(AND(H10&lt;&gt;"",COUNTIF(Pessoas!$E:$E,H10)&gt;0),"SIM",IF(COUNTIF(Pessoas!$C:$C,F10)&gt;0,"nome igual em Pessoas: confira o CPF","")))</f>
        <v/>
      </c>
      <c r="M10" s="24"/>
      <c r="N10" s="11"/>
    </row>
    <row r="11" customFormat="false" ht="15" hidden="false" customHeight="false" outlineLevel="0" collapsed="false">
      <c r="A11" s="24"/>
      <c r="B11" s="31" t="str">
        <f aca="false">IF(A11="","",IF(LEN(UPPER(SUBSTITUTE(SUBSTITUTE(SUBSTITUTE(SUBSTITUTE(TRIM(A11),".",""),"/",""),"-","")," ","")))&lt;14,RIGHT(REPT("0",14)&amp;UPPER(SUBSTITUTE(SUBSTITUTE(SUBSTITUTE(SUBSTITUTE(TRIM(A11),".",""),"/",""),"-","")," ","")),14),UPPER(SUBSTITUTE(SUBSTITUTE(SUBSTITUTE(SUBSTITUTE(TRIM(A11),".",""),"/",""),"-","")," ",""))))</f>
        <v/>
      </c>
      <c r="C11" s="25" t="str">
        <f aca="false">IF(B11="","",IFERROR(INDEX(Empresas!$C:$C,MATCH(B11,Empresas!$B:$B,0)),"cadastre o CNPJ em Empresas"))</f>
        <v/>
      </c>
      <c r="D11" s="23"/>
      <c r="E11" s="24"/>
      <c r="F11" s="31" t="str">
        <f aca="false">IF(D11="","",SUBSTITUTE(SUBSTITUTE(SUBSTITUTE(SUBSTITUTE(SUBSTITUTE(SUBSTITUTE(SUBSTITUTE(SUBSTITUTE(SUBSTITUTE(SUBSTITUTE(SUBSTITUTE(SUBSTITUTE(SUBSTITUTE(UPPER(TRIM(D11)),"Á","A"),"À","A"),"Â","A"),"Ã","A"),"É","E"),"Ê","E"),"Í","I"),"Ó","O"),"Ô","O"),"Õ","O"),"Ú","U"),"Ü","U"),"Ç","C"))</f>
        <v/>
      </c>
      <c r="G11" s="31" t="str">
        <f aca="false">IF(E11="","",IF(LEN(SUBSTITUTE(SUBSTITUTE(SUBSTITUTE(SUBSTITUTE(TRIM(E11),"*",""),".",""),"-","")," ",""))=11,MID(SUBSTITUTE(SUBSTITUTE(SUBSTITUTE(SUBSTITUTE(TRIM(E11),"*",""),".",""),"-","")," ",""),4,6),SUBSTITUTE(SUBSTITUTE(SUBSTITUTE(SUBSTITUTE(TRIM(E11),"*",""),".",""),"-","")," ","")))</f>
        <v/>
      </c>
      <c r="H11" s="31" t="str">
        <f aca="false">IF(OR(F11="",G11=""),"",F11&amp;"|"&amp;G11)</f>
        <v/>
      </c>
      <c r="I11" s="23"/>
      <c r="J11" s="22"/>
      <c r="K11" s="22"/>
      <c r="L11" s="25" t="str">
        <f aca="false">IF(F11="","",IF(AND(H11&lt;&gt;"",COUNTIF(Pessoas!$E:$E,H11)&gt;0),"SIM",IF(COUNTIF(Pessoas!$C:$C,F11)&gt;0,"nome igual em Pessoas: confira o CPF","")))</f>
        <v/>
      </c>
      <c r="M11" s="24"/>
      <c r="N11" s="11"/>
    </row>
    <row r="12" customFormat="false" ht="15" hidden="false" customHeight="false" outlineLevel="0" collapsed="false">
      <c r="A12" s="24"/>
      <c r="B12" s="31" t="str">
        <f aca="false">IF(A12="","",IF(LEN(UPPER(SUBSTITUTE(SUBSTITUTE(SUBSTITUTE(SUBSTITUTE(TRIM(A12),".",""),"/",""),"-","")," ","")))&lt;14,RIGHT(REPT("0",14)&amp;UPPER(SUBSTITUTE(SUBSTITUTE(SUBSTITUTE(SUBSTITUTE(TRIM(A12),".",""),"/",""),"-","")," ","")),14),UPPER(SUBSTITUTE(SUBSTITUTE(SUBSTITUTE(SUBSTITUTE(TRIM(A12),".",""),"/",""),"-","")," ",""))))</f>
        <v/>
      </c>
      <c r="C12" s="25" t="str">
        <f aca="false">IF(B12="","",IFERROR(INDEX(Empresas!$C:$C,MATCH(B12,Empresas!$B:$B,0)),"cadastre o CNPJ em Empresas"))</f>
        <v/>
      </c>
      <c r="D12" s="23"/>
      <c r="E12" s="24"/>
      <c r="F12" s="31" t="str">
        <f aca="false">IF(D12="","",SUBSTITUTE(SUBSTITUTE(SUBSTITUTE(SUBSTITUTE(SUBSTITUTE(SUBSTITUTE(SUBSTITUTE(SUBSTITUTE(SUBSTITUTE(SUBSTITUTE(SUBSTITUTE(SUBSTITUTE(SUBSTITUTE(UPPER(TRIM(D12)),"Á","A"),"À","A"),"Â","A"),"Ã","A"),"É","E"),"Ê","E"),"Í","I"),"Ó","O"),"Ô","O"),"Õ","O"),"Ú","U"),"Ü","U"),"Ç","C"))</f>
        <v/>
      </c>
      <c r="G12" s="31" t="str">
        <f aca="false">IF(E12="","",IF(LEN(SUBSTITUTE(SUBSTITUTE(SUBSTITUTE(SUBSTITUTE(TRIM(E12),"*",""),".",""),"-","")," ",""))=11,MID(SUBSTITUTE(SUBSTITUTE(SUBSTITUTE(SUBSTITUTE(TRIM(E12),"*",""),".",""),"-","")," ",""),4,6),SUBSTITUTE(SUBSTITUTE(SUBSTITUTE(SUBSTITUTE(TRIM(E12),"*",""),".",""),"-","")," ","")))</f>
        <v/>
      </c>
      <c r="H12" s="31" t="str">
        <f aca="false">IF(OR(F12="",G12=""),"",F12&amp;"|"&amp;G12)</f>
        <v/>
      </c>
      <c r="I12" s="23"/>
      <c r="J12" s="22"/>
      <c r="K12" s="22"/>
      <c r="L12" s="25" t="str">
        <f aca="false">IF(F12="","",IF(AND(H12&lt;&gt;"",COUNTIF(Pessoas!$E:$E,H12)&gt;0),"SIM",IF(COUNTIF(Pessoas!$C:$C,F12)&gt;0,"nome igual em Pessoas: confira o CPF","")))</f>
        <v/>
      </c>
      <c r="M12" s="24"/>
      <c r="N12" s="11"/>
    </row>
    <row r="13" customFormat="false" ht="15" hidden="false" customHeight="false" outlineLevel="0" collapsed="false">
      <c r="A13" s="24"/>
      <c r="B13" s="31" t="str">
        <f aca="false">IF(A13="","",IF(LEN(UPPER(SUBSTITUTE(SUBSTITUTE(SUBSTITUTE(SUBSTITUTE(TRIM(A13),".",""),"/",""),"-","")," ","")))&lt;14,RIGHT(REPT("0",14)&amp;UPPER(SUBSTITUTE(SUBSTITUTE(SUBSTITUTE(SUBSTITUTE(TRIM(A13),".",""),"/",""),"-","")," ","")),14),UPPER(SUBSTITUTE(SUBSTITUTE(SUBSTITUTE(SUBSTITUTE(TRIM(A13),".",""),"/",""),"-","")," ",""))))</f>
        <v/>
      </c>
      <c r="C13" s="25" t="str">
        <f aca="false">IF(B13="","",IFERROR(INDEX(Empresas!$C:$C,MATCH(B13,Empresas!$B:$B,0)),"cadastre o CNPJ em Empresas"))</f>
        <v/>
      </c>
      <c r="D13" s="23"/>
      <c r="E13" s="24"/>
      <c r="F13" s="31" t="str">
        <f aca="false">IF(D13="","",SUBSTITUTE(SUBSTITUTE(SUBSTITUTE(SUBSTITUTE(SUBSTITUTE(SUBSTITUTE(SUBSTITUTE(SUBSTITUTE(SUBSTITUTE(SUBSTITUTE(SUBSTITUTE(SUBSTITUTE(SUBSTITUTE(UPPER(TRIM(D13)),"Á","A"),"À","A"),"Â","A"),"Ã","A"),"É","E"),"Ê","E"),"Í","I"),"Ó","O"),"Ô","O"),"Õ","O"),"Ú","U"),"Ü","U"),"Ç","C"))</f>
        <v/>
      </c>
      <c r="G13" s="31" t="str">
        <f aca="false">IF(E13="","",IF(LEN(SUBSTITUTE(SUBSTITUTE(SUBSTITUTE(SUBSTITUTE(TRIM(E13),"*",""),".",""),"-","")," ",""))=11,MID(SUBSTITUTE(SUBSTITUTE(SUBSTITUTE(SUBSTITUTE(TRIM(E13),"*",""),".",""),"-","")," ",""),4,6),SUBSTITUTE(SUBSTITUTE(SUBSTITUTE(SUBSTITUTE(TRIM(E13),"*",""),".",""),"-","")," ","")))</f>
        <v/>
      </c>
      <c r="H13" s="31" t="str">
        <f aca="false">IF(OR(F13="",G13=""),"",F13&amp;"|"&amp;G13)</f>
        <v/>
      </c>
      <c r="I13" s="23"/>
      <c r="J13" s="22"/>
      <c r="K13" s="22"/>
      <c r="L13" s="25" t="str">
        <f aca="false">IF(F13="","",IF(AND(H13&lt;&gt;"",COUNTIF(Pessoas!$E:$E,H13)&gt;0),"SIM",IF(COUNTIF(Pessoas!$C:$C,F13)&gt;0,"nome igual em Pessoas: confira o CPF","")))</f>
        <v/>
      </c>
      <c r="M13" s="24"/>
      <c r="N13" s="11"/>
    </row>
    <row r="14" customFormat="false" ht="15" hidden="false" customHeight="false" outlineLevel="0" collapsed="false">
      <c r="A14" s="24"/>
      <c r="B14" s="31" t="str">
        <f aca="false">IF(A14="","",IF(LEN(UPPER(SUBSTITUTE(SUBSTITUTE(SUBSTITUTE(SUBSTITUTE(TRIM(A14),".",""),"/",""),"-","")," ","")))&lt;14,RIGHT(REPT("0",14)&amp;UPPER(SUBSTITUTE(SUBSTITUTE(SUBSTITUTE(SUBSTITUTE(TRIM(A14),".",""),"/",""),"-","")," ","")),14),UPPER(SUBSTITUTE(SUBSTITUTE(SUBSTITUTE(SUBSTITUTE(TRIM(A14),".",""),"/",""),"-","")," ",""))))</f>
        <v/>
      </c>
      <c r="C14" s="25" t="str">
        <f aca="false">IF(B14="","",IFERROR(INDEX(Empresas!$C:$C,MATCH(B14,Empresas!$B:$B,0)),"cadastre o CNPJ em Empresas"))</f>
        <v/>
      </c>
      <c r="D14" s="23"/>
      <c r="E14" s="24"/>
      <c r="F14" s="31" t="str">
        <f aca="false">IF(D14="","",SUBSTITUTE(SUBSTITUTE(SUBSTITUTE(SUBSTITUTE(SUBSTITUTE(SUBSTITUTE(SUBSTITUTE(SUBSTITUTE(SUBSTITUTE(SUBSTITUTE(SUBSTITUTE(SUBSTITUTE(SUBSTITUTE(UPPER(TRIM(D14)),"Á","A"),"À","A"),"Â","A"),"Ã","A"),"É","E"),"Ê","E"),"Í","I"),"Ó","O"),"Ô","O"),"Õ","O"),"Ú","U"),"Ü","U"),"Ç","C"))</f>
        <v/>
      </c>
      <c r="G14" s="31" t="str">
        <f aca="false">IF(E14="","",IF(LEN(SUBSTITUTE(SUBSTITUTE(SUBSTITUTE(SUBSTITUTE(TRIM(E14),"*",""),".",""),"-","")," ",""))=11,MID(SUBSTITUTE(SUBSTITUTE(SUBSTITUTE(SUBSTITUTE(TRIM(E14),"*",""),".",""),"-","")," ",""),4,6),SUBSTITUTE(SUBSTITUTE(SUBSTITUTE(SUBSTITUTE(TRIM(E14),"*",""),".",""),"-","")," ","")))</f>
        <v/>
      </c>
      <c r="H14" s="31" t="str">
        <f aca="false">IF(OR(F14="",G14=""),"",F14&amp;"|"&amp;G14)</f>
        <v/>
      </c>
      <c r="I14" s="23"/>
      <c r="J14" s="22"/>
      <c r="K14" s="22"/>
      <c r="L14" s="25" t="str">
        <f aca="false">IF(F14="","",IF(AND(H14&lt;&gt;"",COUNTIF(Pessoas!$E:$E,H14)&gt;0),"SIM",IF(COUNTIF(Pessoas!$C:$C,F14)&gt;0,"nome igual em Pessoas: confira o CPF","")))</f>
        <v/>
      </c>
      <c r="M14" s="24"/>
      <c r="N14" s="11"/>
    </row>
    <row r="15" customFormat="false" ht="15" hidden="false" customHeight="false" outlineLevel="0" collapsed="false">
      <c r="A15" s="24"/>
      <c r="B15" s="31" t="str">
        <f aca="false">IF(A15="","",IF(LEN(UPPER(SUBSTITUTE(SUBSTITUTE(SUBSTITUTE(SUBSTITUTE(TRIM(A15),".",""),"/",""),"-","")," ","")))&lt;14,RIGHT(REPT("0",14)&amp;UPPER(SUBSTITUTE(SUBSTITUTE(SUBSTITUTE(SUBSTITUTE(TRIM(A15),".",""),"/",""),"-","")," ","")),14),UPPER(SUBSTITUTE(SUBSTITUTE(SUBSTITUTE(SUBSTITUTE(TRIM(A15),".",""),"/",""),"-","")," ",""))))</f>
        <v/>
      </c>
      <c r="C15" s="25" t="str">
        <f aca="false">IF(B15="","",IFERROR(INDEX(Empresas!$C:$C,MATCH(B15,Empresas!$B:$B,0)),"cadastre o CNPJ em Empresas"))</f>
        <v/>
      </c>
      <c r="D15" s="23"/>
      <c r="E15" s="24"/>
      <c r="F15" s="31" t="str">
        <f aca="false">IF(D15="","",SUBSTITUTE(SUBSTITUTE(SUBSTITUTE(SUBSTITUTE(SUBSTITUTE(SUBSTITUTE(SUBSTITUTE(SUBSTITUTE(SUBSTITUTE(SUBSTITUTE(SUBSTITUTE(SUBSTITUTE(SUBSTITUTE(UPPER(TRIM(D15)),"Á","A"),"À","A"),"Â","A"),"Ã","A"),"É","E"),"Ê","E"),"Í","I"),"Ó","O"),"Ô","O"),"Õ","O"),"Ú","U"),"Ü","U"),"Ç","C"))</f>
        <v/>
      </c>
      <c r="G15" s="31" t="str">
        <f aca="false">IF(E15="","",IF(LEN(SUBSTITUTE(SUBSTITUTE(SUBSTITUTE(SUBSTITUTE(TRIM(E15),"*",""),".",""),"-","")," ",""))=11,MID(SUBSTITUTE(SUBSTITUTE(SUBSTITUTE(SUBSTITUTE(TRIM(E15),"*",""),".",""),"-","")," ",""),4,6),SUBSTITUTE(SUBSTITUTE(SUBSTITUTE(SUBSTITUTE(TRIM(E15),"*",""),".",""),"-","")," ","")))</f>
        <v/>
      </c>
      <c r="H15" s="31" t="str">
        <f aca="false">IF(OR(F15="",G15=""),"",F15&amp;"|"&amp;G15)</f>
        <v/>
      </c>
      <c r="I15" s="23"/>
      <c r="J15" s="22"/>
      <c r="K15" s="22"/>
      <c r="L15" s="25" t="str">
        <f aca="false">IF(F15="","",IF(AND(H15&lt;&gt;"",COUNTIF(Pessoas!$E:$E,H15)&gt;0),"SIM",IF(COUNTIF(Pessoas!$C:$C,F15)&gt;0,"nome igual em Pessoas: confira o CPF","")))</f>
        <v/>
      </c>
      <c r="M15" s="24"/>
      <c r="N15" s="11"/>
    </row>
    <row r="16" customFormat="false" ht="15" hidden="false" customHeight="false" outlineLevel="0" collapsed="false">
      <c r="A16" s="24"/>
      <c r="B16" s="31" t="str">
        <f aca="false">IF(A16="","",IF(LEN(UPPER(SUBSTITUTE(SUBSTITUTE(SUBSTITUTE(SUBSTITUTE(TRIM(A16),".",""),"/",""),"-","")," ","")))&lt;14,RIGHT(REPT("0",14)&amp;UPPER(SUBSTITUTE(SUBSTITUTE(SUBSTITUTE(SUBSTITUTE(TRIM(A16),".",""),"/",""),"-","")," ","")),14),UPPER(SUBSTITUTE(SUBSTITUTE(SUBSTITUTE(SUBSTITUTE(TRIM(A16),".",""),"/",""),"-","")," ",""))))</f>
        <v/>
      </c>
      <c r="C16" s="25" t="str">
        <f aca="false">IF(B16="","",IFERROR(INDEX(Empresas!$C:$C,MATCH(B16,Empresas!$B:$B,0)),"cadastre o CNPJ em Empresas"))</f>
        <v/>
      </c>
      <c r="D16" s="23"/>
      <c r="E16" s="24"/>
      <c r="F16" s="31" t="str">
        <f aca="false">IF(D16="","",SUBSTITUTE(SUBSTITUTE(SUBSTITUTE(SUBSTITUTE(SUBSTITUTE(SUBSTITUTE(SUBSTITUTE(SUBSTITUTE(SUBSTITUTE(SUBSTITUTE(SUBSTITUTE(SUBSTITUTE(SUBSTITUTE(UPPER(TRIM(D16)),"Á","A"),"À","A"),"Â","A"),"Ã","A"),"É","E"),"Ê","E"),"Í","I"),"Ó","O"),"Ô","O"),"Õ","O"),"Ú","U"),"Ü","U"),"Ç","C"))</f>
        <v/>
      </c>
      <c r="G16" s="31" t="str">
        <f aca="false">IF(E16="","",IF(LEN(SUBSTITUTE(SUBSTITUTE(SUBSTITUTE(SUBSTITUTE(TRIM(E16),"*",""),".",""),"-","")," ",""))=11,MID(SUBSTITUTE(SUBSTITUTE(SUBSTITUTE(SUBSTITUTE(TRIM(E16),"*",""),".",""),"-","")," ",""),4,6),SUBSTITUTE(SUBSTITUTE(SUBSTITUTE(SUBSTITUTE(TRIM(E16),"*",""),".",""),"-","")," ","")))</f>
        <v/>
      </c>
      <c r="H16" s="31" t="str">
        <f aca="false">IF(OR(F16="",G16=""),"",F16&amp;"|"&amp;G16)</f>
        <v/>
      </c>
      <c r="I16" s="23"/>
      <c r="J16" s="22"/>
      <c r="K16" s="22"/>
      <c r="L16" s="25" t="str">
        <f aca="false">IF(F16="","",IF(AND(H16&lt;&gt;"",COUNTIF(Pessoas!$E:$E,H16)&gt;0),"SIM",IF(COUNTIF(Pessoas!$C:$C,F16)&gt;0,"nome igual em Pessoas: confira o CPF","")))</f>
        <v/>
      </c>
      <c r="M16" s="24"/>
      <c r="N16" s="11"/>
    </row>
    <row r="17" customFormat="false" ht="15" hidden="false" customHeight="false" outlineLevel="0" collapsed="false">
      <c r="A17" s="24"/>
      <c r="B17" s="31" t="str">
        <f aca="false">IF(A17="","",IF(LEN(UPPER(SUBSTITUTE(SUBSTITUTE(SUBSTITUTE(SUBSTITUTE(TRIM(A17),".",""),"/",""),"-","")," ","")))&lt;14,RIGHT(REPT("0",14)&amp;UPPER(SUBSTITUTE(SUBSTITUTE(SUBSTITUTE(SUBSTITUTE(TRIM(A17),".",""),"/",""),"-","")," ","")),14),UPPER(SUBSTITUTE(SUBSTITUTE(SUBSTITUTE(SUBSTITUTE(TRIM(A17),".",""),"/",""),"-","")," ",""))))</f>
        <v/>
      </c>
      <c r="C17" s="25" t="str">
        <f aca="false">IF(B17="","",IFERROR(INDEX(Empresas!$C:$C,MATCH(B17,Empresas!$B:$B,0)),"cadastre o CNPJ em Empresas"))</f>
        <v/>
      </c>
      <c r="D17" s="23"/>
      <c r="E17" s="24"/>
      <c r="F17" s="31" t="str">
        <f aca="false">IF(D17="","",SUBSTITUTE(SUBSTITUTE(SUBSTITUTE(SUBSTITUTE(SUBSTITUTE(SUBSTITUTE(SUBSTITUTE(SUBSTITUTE(SUBSTITUTE(SUBSTITUTE(SUBSTITUTE(SUBSTITUTE(SUBSTITUTE(UPPER(TRIM(D17)),"Á","A"),"À","A"),"Â","A"),"Ã","A"),"É","E"),"Ê","E"),"Í","I"),"Ó","O"),"Ô","O"),"Õ","O"),"Ú","U"),"Ü","U"),"Ç","C"))</f>
        <v/>
      </c>
      <c r="G17" s="31" t="str">
        <f aca="false">IF(E17="","",IF(LEN(SUBSTITUTE(SUBSTITUTE(SUBSTITUTE(SUBSTITUTE(TRIM(E17),"*",""),".",""),"-","")," ",""))=11,MID(SUBSTITUTE(SUBSTITUTE(SUBSTITUTE(SUBSTITUTE(TRIM(E17),"*",""),".",""),"-","")," ",""),4,6),SUBSTITUTE(SUBSTITUTE(SUBSTITUTE(SUBSTITUTE(TRIM(E17),"*",""),".",""),"-","")," ","")))</f>
        <v/>
      </c>
      <c r="H17" s="31" t="str">
        <f aca="false">IF(OR(F17="",G17=""),"",F17&amp;"|"&amp;G17)</f>
        <v/>
      </c>
      <c r="I17" s="23"/>
      <c r="J17" s="22"/>
      <c r="K17" s="22"/>
      <c r="L17" s="25" t="str">
        <f aca="false">IF(F17="","",IF(AND(H17&lt;&gt;"",COUNTIF(Pessoas!$E:$E,H17)&gt;0),"SIM",IF(COUNTIF(Pessoas!$C:$C,F17)&gt;0,"nome igual em Pessoas: confira o CPF","")))</f>
        <v/>
      </c>
      <c r="M17" s="24"/>
      <c r="N17" s="11"/>
    </row>
    <row r="18" customFormat="false" ht="15" hidden="false" customHeight="false" outlineLevel="0" collapsed="false">
      <c r="A18" s="24"/>
      <c r="B18" s="31" t="str">
        <f aca="false">IF(A18="","",IF(LEN(UPPER(SUBSTITUTE(SUBSTITUTE(SUBSTITUTE(SUBSTITUTE(TRIM(A18),".",""),"/",""),"-","")," ","")))&lt;14,RIGHT(REPT("0",14)&amp;UPPER(SUBSTITUTE(SUBSTITUTE(SUBSTITUTE(SUBSTITUTE(TRIM(A18),".",""),"/",""),"-","")," ","")),14),UPPER(SUBSTITUTE(SUBSTITUTE(SUBSTITUTE(SUBSTITUTE(TRIM(A18),".",""),"/",""),"-","")," ",""))))</f>
        <v/>
      </c>
      <c r="C18" s="25" t="str">
        <f aca="false">IF(B18="","",IFERROR(INDEX(Empresas!$C:$C,MATCH(B18,Empresas!$B:$B,0)),"cadastre o CNPJ em Empresas"))</f>
        <v/>
      </c>
      <c r="D18" s="23"/>
      <c r="E18" s="24"/>
      <c r="F18" s="31" t="str">
        <f aca="false">IF(D18="","",SUBSTITUTE(SUBSTITUTE(SUBSTITUTE(SUBSTITUTE(SUBSTITUTE(SUBSTITUTE(SUBSTITUTE(SUBSTITUTE(SUBSTITUTE(SUBSTITUTE(SUBSTITUTE(SUBSTITUTE(SUBSTITUTE(UPPER(TRIM(D18)),"Á","A"),"À","A"),"Â","A"),"Ã","A"),"É","E"),"Ê","E"),"Í","I"),"Ó","O"),"Ô","O"),"Õ","O"),"Ú","U"),"Ü","U"),"Ç","C"))</f>
        <v/>
      </c>
      <c r="G18" s="31" t="str">
        <f aca="false">IF(E18="","",IF(LEN(SUBSTITUTE(SUBSTITUTE(SUBSTITUTE(SUBSTITUTE(TRIM(E18),"*",""),".",""),"-","")," ",""))=11,MID(SUBSTITUTE(SUBSTITUTE(SUBSTITUTE(SUBSTITUTE(TRIM(E18),"*",""),".",""),"-","")," ",""),4,6),SUBSTITUTE(SUBSTITUTE(SUBSTITUTE(SUBSTITUTE(TRIM(E18),"*",""),".",""),"-","")," ","")))</f>
        <v/>
      </c>
      <c r="H18" s="31" t="str">
        <f aca="false">IF(OR(F18="",G18=""),"",F18&amp;"|"&amp;G18)</f>
        <v/>
      </c>
      <c r="I18" s="23"/>
      <c r="J18" s="22"/>
      <c r="K18" s="22"/>
      <c r="L18" s="25" t="str">
        <f aca="false">IF(F18="","",IF(AND(H18&lt;&gt;"",COUNTIF(Pessoas!$E:$E,H18)&gt;0),"SIM",IF(COUNTIF(Pessoas!$C:$C,F18)&gt;0,"nome igual em Pessoas: confira o CPF","")))</f>
        <v/>
      </c>
      <c r="M18" s="24"/>
      <c r="N18" s="11"/>
    </row>
    <row r="19" customFormat="false" ht="15" hidden="false" customHeight="false" outlineLevel="0" collapsed="false">
      <c r="A19" s="24"/>
      <c r="B19" s="31" t="str">
        <f aca="false">IF(A19="","",IF(LEN(UPPER(SUBSTITUTE(SUBSTITUTE(SUBSTITUTE(SUBSTITUTE(TRIM(A19),".",""),"/",""),"-","")," ","")))&lt;14,RIGHT(REPT("0",14)&amp;UPPER(SUBSTITUTE(SUBSTITUTE(SUBSTITUTE(SUBSTITUTE(TRIM(A19),".",""),"/",""),"-","")," ","")),14),UPPER(SUBSTITUTE(SUBSTITUTE(SUBSTITUTE(SUBSTITUTE(TRIM(A19),".",""),"/",""),"-","")," ",""))))</f>
        <v/>
      </c>
      <c r="C19" s="25" t="str">
        <f aca="false">IF(B19="","",IFERROR(INDEX(Empresas!$C:$C,MATCH(B19,Empresas!$B:$B,0)),"cadastre o CNPJ em Empresas"))</f>
        <v/>
      </c>
      <c r="D19" s="23"/>
      <c r="E19" s="24"/>
      <c r="F19" s="31" t="str">
        <f aca="false">IF(D19="","",SUBSTITUTE(SUBSTITUTE(SUBSTITUTE(SUBSTITUTE(SUBSTITUTE(SUBSTITUTE(SUBSTITUTE(SUBSTITUTE(SUBSTITUTE(SUBSTITUTE(SUBSTITUTE(SUBSTITUTE(SUBSTITUTE(UPPER(TRIM(D19)),"Á","A"),"À","A"),"Â","A"),"Ã","A"),"É","E"),"Ê","E"),"Í","I"),"Ó","O"),"Ô","O"),"Õ","O"),"Ú","U"),"Ü","U"),"Ç","C"))</f>
        <v/>
      </c>
      <c r="G19" s="31" t="str">
        <f aca="false">IF(E19="","",IF(LEN(SUBSTITUTE(SUBSTITUTE(SUBSTITUTE(SUBSTITUTE(TRIM(E19),"*",""),".",""),"-","")," ",""))=11,MID(SUBSTITUTE(SUBSTITUTE(SUBSTITUTE(SUBSTITUTE(TRIM(E19),"*",""),".",""),"-","")," ",""),4,6),SUBSTITUTE(SUBSTITUTE(SUBSTITUTE(SUBSTITUTE(TRIM(E19),"*",""),".",""),"-","")," ","")))</f>
        <v/>
      </c>
      <c r="H19" s="31" t="str">
        <f aca="false">IF(OR(F19="",G19=""),"",F19&amp;"|"&amp;G19)</f>
        <v/>
      </c>
      <c r="I19" s="23"/>
      <c r="J19" s="22"/>
      <c r="K19" s="22"/>
      <c r="L19" s="25" t="str">
        <f aca="false">IF(F19="","",IF(AND(H19&lt;&gt;"",COUNTIF(Pessoas!$E:$E,H19)&gt;0),"SIM",IF(COUNTIF(Pessoas!$C:$C,F19)&gt;0,"nome igual em Pessoas: confira o CPF","")))</f>
        <v/>
      </c>
      <c r="M19" s="24"/>
      <c r="N19" s="11"/>
    </row>
    <row r="20" customFormat="false" ht="15" hidden="false" customHeight="false" outlineLevel="0" collapsed="false">
      <c r="A20" s="24"/>
      <c r="B20" s="31" t="str">
        <f aca="false">IF(A20="","",IF(LEN(UPPER(SUBSTITUTE(SUBSTITUTE(SUBSTITUTE(SUBSTITUTE(TRIM(A20),".",""),"/",""),"-","")," ","")))&lt;14,RIGHT(REPT("0",14)&amp;UPPER(SUBSTITUTE(SUBSTITUTE(SUBSTITUTE(SUBSTITUTE(TRIM(A20),".",""),"/",""),"-","")," ","")),14),UPPER(SUBSTITUTE(SUBSTITUTE(SUBSTITUTE(SUBSTITUTE(TRIM(A20),".",""),"/",""),"-","")," ",""))))</f>
        <v/>
      </c>
      <c r="C20" s="25" t="str">
        <f aca="false">IF(B20="","",IFERROR(INDEX(Empresas!$C:$C,MATCH(B20,Empresas!$B:$B,0)),"cadastre o CNPJ em Empresas"))</f>
        <v/>
      </c>
      <c r="D20" s="23"/>
      <c r="E20" s="24"/>
      <c r="F20" s="31" t="str">
        <f aca="false">IF(D20="","",SUBSTITUTE(SUBSTITUTE(SUBSTITUTE(SUBSTITUTE(SUBSTITUTE(SUBSTITUTE(SUBSTITUTE(SUBSTITUTE(SUBSTITUTE(SUBSTITUTE(SUBSTITUTE(SUBSTITUTE(SUBSTITUTE(UPPER(TRIM(D20)),"Á","A"),"À","A"),"Â","A"),"Ã","A"),"É","E"),"Ê","E"),"Í","I"),"Ó","O"),"Ô","O"),"Õ","O"),"Ú","U"),"Ü","U"),"Ç","C"))</f>
        <v/>
      </c>
      <c r="G20" s="31" t="str">
        <f aca="false">IF(E20="","",IF(LEN(SUBSTITUTE(SUBSTITUTE(SUBSTITUTE(SUBSTITUTE(TRIM(E20),"*",""),".",""),"-","")," ",""))=11,MID(SUBSTITUTE(SUBSTITUTE(SUBSTITUTE(SUBSTITUTE(TRIM(E20),"*",""),".",""),"-","")," ",""),4,6),SUBSTITUTE(SUBSTITUTE(SUBSTITUTE(SUBSTITUTE(TRIM(E20),"*",""),".",""),"-","")," ","")))</f>
        <v/>
      </c>
      <c r="H20" s="31" t="str">
        <f aca="false">IF(OR(F20="",G20=""),"",F20&amp;"|"&amp;G20)</f>
        <v/>
      </c>
      <c r="I20" s="23"/>
      <c r="J20" s="22"/>
      <c r="K20" s="22"/>
      <c r="L20" s="25" t="str">
        <f aca="false">IF(F20="","",IF(AND(H20&lt;&gt;"",COUNTIF(Pessoas!$E:$E,H20)&gt;0),"SIM",IF(COUNTIF(Pessoas!$C:$C,F20)&gt;0,"nome igual em Pessoas: confira o CPF","")))</f>
        <v/>
      </c>
      <c r="M20" s="24"/>
      <c r="N20" s="11"/>
    </row>
    <row r="21" customFormat="false" ht="15" hidden="false" customHeight="false" outlineLevel="0" collapsed="false">
      <c r="A21" s="24"/>
      <c r="B21" s="31" t="str">
        <f aca="false">IF(A21="","",IF(LEN(UPPER(SUBSTITUTE(SUBSTITUTE(SUBSTITUTE(SUBSTITUTE(TRIM(A21),".",""),"/",""),"-","")," ","")))&lt;14,RIGHT(REPT("0",14)&amp;UPPER(SUBSTITUTE(SUBSTITUTE(SUBSTITUTE(SUBSTITUTE(TRIM(A21),".",""),"/",""),"-","")," ","")),14),UPPER(SUBSTITUTE(SUBSTITUTE(SUBSTITUTE(SUBSTITUTE(TRIM(A21),".",""),"/",""),"-","")," ",""))))</f>
        <v/>
      </c>
      <c r="C21" s="25" t="str">
        <f aca="false">IF(B21="","",IFERROR(INDEX(Empresas!$C:$C,MATCH(B21,Empresas!$B:$B,0)),"cadastre o CNPJ em Empresas"))</f>
        <v/>
      </c>
      <c r="D21" s="23"/>
      <c r="E21" s="24"/>
      <c r="F21" s="31" t="str">
        <f aca="false">IF(D21="","",SUBSTITUTE(SUBSTITUTE(SUBSTITUTE(SUBSTITUTE(SUBSTITUTE(SUBSTITUTE(SUBSTITUTE(SUBSTITUTE(SUBSTITUTE(SUBSTITUTE(SUBSTITUTE(SUBSTITUTE(SUBSTITUTE(UPPER(TRIM(D21)),"Á","A"),"À","A"),"Â","A"),"Ã","A"),"É","E"),"Ê","E"),"Í","I"),"Ó","O"),"Ô","O"),"Õ","O"),"Ú","U"),"Ü","U"),"Ç","C"))</f>
        <v/>
      </c>
      <c r="G21" s="31" t="str">
        <f aca="false">IF(E21="","",IF(LEN(SUBSTITUTE(SUBSTITUTE(SUBSTITUTE(SUBSTITUTE(TRIM(E21),"*",""),".",""),"-","")," ",""))=11,MID(SUBSTITUTE(SUBSTITUTE(SUBSTITUTE(SUBSTITUTE(TRIM(E21),"*",""),".",""),"-","")," ",""),4,6),SUBSTITUTE(SUBSTITUTE(SUBSTITUTE(SUBSTITUTE(TRIM(E21),"*",""),".",""),"-","")," ","")))</f>
        <v/>
      </c>
      <c r="H21" s="31" t="str">
        <f aca="false">IF(OR(F21="",G21=""),"",F21&amp;"|"&amp;G21)</f>
        <v/>
      </c>
      <c r="I21" s="23"/>
      <c r="J21" s="22"/>
      <c r="K21" s="22"/>
      <c r="L21" s="25" t="str">
        <f aca="false">IF(F21="","",IF(AND(H21&lt;&gt;"",COUNTIF(Pessoas!$E:$E,H21)&gt;0),"SIM",IF(COUNTIF(Pessoas!$C:$C,F21)&gt;0,"nome igual em Pessoas: confira o CPF","")))</f>
        <v/>
      </c>
      <c r="M21" s="24"/>
      <c r="N21" s="11"/>
    </row>
    <row r="22" customFormat="false" ht="15" hidden="false" customHeight="false" outlineLevel="0" collapsed="false">
      <c r="A22" s="24"/>
      <c r="B22" s="31" t="str">
        <f aca="false">IF(A22="","",IF(LEN(UPPER(SUBSTITUTE(SUBSTITUTE(SUBSTITUTE(SUBSTITUTE(TRIM(A22),".",""),"/",""),"-","")," ","")))&lt;14,RIGHT(REPT("0",14)&amp;UPPER(SUBSTITUTE(SUBSTITUTE(SUBSTITUTE(SUBSTITUTE(TRIM(A22),".",""),"/",""),"-","")," ","")),14),UPPER(SUBSTITUTE(SUBSTITUTE(SUBSTITUTE(SUBSTITUTE(TRIM(A22),".",""),"/",""),"-","")," ",""))))</f>
        <v/>
      </c>
      <c r="C22" s="25" t="str">
        <f aca="false">IF(B22="","",IFERROR(INDEX(Empresas!$C:$C,MATCH(B22,Empresas!$B:$B,0)),"cadastre o CNPJ em Empresas"))</f>
        <v/>
      </c>
      <c r="D22" s="23"/>
      <c r="E22" s="24"/>
      <c r="F22" s="31" t="str">
        <f aca="false">IF(D22="","",SUBSTITUTE(SUBSTITUTE(SUBSTITUTE(SUBSTITUTE(SUBSTITUTE(SUBSTITUTE(SUBSTITUTE(SUBSTITUTE(SUBSTITUTE(SUBSTITUTE(SUBSTITUTE(SUBSTITUTE(SUBSTITUTE(UPPER(TRIM(D22)),"Á","A"),"À","A"),"Â","A"),"Ã","A"),"É","E"),"Ê","E"),"Í","I"),"Ó","O"),"Ô","O"),"Õ","O"),"Ú","U"),"Ü","U"),"Ç","C"))</f>
        <v/>
      </c>
      <c r="G22" s="31" t="str">
        <f aca="false">IF(E22="","",IF(LEN(SUBSTITUTE(SUBSTITUTE(SUBSTITUTE(SUBSTITUTE(TRIM(E22),"*",""),".",""),"-","")," ",""))=11,MID(SUBSTITUTE(SUBSTITUTE(SUBSTITUTE(SUBSTITUTE(TRIM(E22),"*",""),".",""),"-","")," ",""),4,6),SUBSTITUTE(SUBSTITUTE(SUBSTITUTE(SUBSTITUTE(TRIM(E22),"*",""),".",""),"-","")," ","")))</f>
        <v/>
      </c>
      <c r="H22" s="31" t="str">
        <f aca="false">IF(OR(F22="",G22=""),"",F22&amp;"|"&amp;G22)</f>
        <v/>
      </c>
      <c r="I22" s="23"/>
      <c r="J22" s="22"/>
      <c r="K22" s="22"/>
      <c r="L22" s="25" t="str">
        <f aca="false">IF(F22="","",IF(AND(H22&lt;&gt;"",COUNTIF(Pessoas!$E:$E,H22)&gt;0),"SIM",IF(COUNTIF(Pessoas!$C:$C,F22)&gt;0,"nome igual em Pessoas: confira o CPF","")))</f>
        <v/>
      </c>
      <c r="M22" s="24"/>
      <c r="N22" s="11"/>
    </row>
    <row r="23" customFormat="false" ht="15" hidden="false" customHeight="false" outlineLevel="0" collapsed="false">
      <c r="A23" s="24"/>
      <c r="B23" s="31" t="str">
        <f aca="false">IF(A23="","",IF(LEN(UPPER(SUBSTITUTE(SUBSTITUTE(SUBSTITUTE(SUBSTITUTE(TRIM(A23),".",""),"/",""),"-","")," ","")))&lt;14,RIGHT(REPT("0",14)&amp;UPPER(SUBSTITUTE(SUBSTITUTE(SUBSTITUTE(SUBSTITUTE(TRIM(A23),".",""),"/",""),"-","")," ","")),14),UPPER(SUBSTITUTE(SUBSTITUTE(SUBSTITUTE(SUBSTITUTE(TRIM(A23),".",""),"/",""),"-","")," ",""))))</f>
        <v/>
      </c>
      <c r="C23" s="25" t="str">
        <f aca="false">IF(B23="","",IFERROR(INDEX(Empresas!$C:$C,MATCH(B23,Empresas!$B:$B,0)),"cadastre o CNPJ em Empresas"))</f>
        <v/>
      </c>
      <c r="D23" s="23"/>
      <c r="E23" s="24"/>
      <c r="F23" s="31" t="str">
        <f aca="false">IF(D23="","",SUBSTITUTE(SUBSTITUTE(SUBSTITUTE(SUBSTITUTE(SUBSTITUTE(SUBSTITUTE(SUBSTITUTE(SUBSTITUTE(SUBSTITUTE(SUBSTITUTE(SUBSTITUTE(SUBSTITUTE(SUBSTITUTE(UPPER(TRIM(D23)),"Á","A"),"À","A"),"Â","A"),"Ã","A"),"É","E"),"Ê","E"),"Í","I"),"Ó","O"),"Ô","O"),"Õ","O"),"Ú","U"),"Ü","U"),"Ç","C"))</f>
        <v/>
      </c>
      <c r="G23" s="31" t="str">
        <f aca="false">IF(E23="","",IF(LEN(SUBSTITUTE(SUBSTITUTE(SUBSTITUTE(SUBSTITUTE(TRIM(E23),"*",""),".",""),"-","")," ",""))=11,MID(SUBSTITUTE(SUBSTITUTE(SUBSTITUTE(SUBSTITUTE(TRIM(E23),"*",""),".",""),"-","")," ",""),4,6),SUBSTITUTE(SUBSTITUTE(SUBSTITUTE(SUBSTITUTE(TRIM(E23),"*",""),".",""),"-","")," ","")))</f>
        <v/>
      </c>
      <c r="H23" s="31" t="str">
        <f aca="false">IF(OR(F23="",G23=""),"",F23&amp;"|"&amp;G23)</f>
        <v/>
      </c>
      <c r="I23" s="23"/>
      <c r="J23" s="22"/>
      <c r="K23" s="22"/>
      <c r="L23" s="25" t="str">
        <f aca="false">IF(F23="","",IF(AND(H23&lt;&gt;"",COUNTIF(Pessoas!$E:$E,H23)&gt;0),"SIM",IF(COUNTIF(Pessoas!$C:$C,F23)&gt;0,"nome igual em Pessoas: confira o CPF","")))</f>
        <v/>
      </c>
      <c r="M23" s="24"/>
      <c r="N23" s="11"/>
    </row>
    <row r="24" customFormat="false" ht="15" hidden="false" customHeight="false" outlineLevel="0" collapsed="false">
      <c r="A24" s="24"/>
      <c r="B24" s="31" t="str">
        <f aca="false">IF(A24="","",IF(LEN(UPPER(SUBSTITUTE(SUBSTITUTE(SUBSTITUTE(SUBSTITUTE(TRIM(A24),".",""),"/",""),"-","")," ","")))&lt;14,RIGHT(REPT("0",14)&amp;UPPER(SUBSTITUTE(SUBSTITUTE(SUBSTITUTE(SUBSTITUTE(TRIM(A24),".",""),"/",""),"-","")," ","")),14),UPPER(SUBSTITUTE(SUBSTITUTE(SUBSTITUTE(SUBSTITUTE(TRIM(A24),".",""),"/",""),"-","")," ",""))))</f>
        <v/>
      </c>
      <c r="C24" s="25" t="str">
        <f aca="false">IF(B24="","",IFERROR(INDEX(Empresas!$C:$C,MATCH(B24,Empresas!$B:$B,0)),"cadastre o CNPJ em Empresas"))</f>
        <v/>
      </c>
      <c r="D24" s="23"/>
      <c r="E24" s="24"/>
      <c r="F24" s="31" t="str">
        <f aca="false">IF(D24="","",SUBSTITUTE(SUBSTITUTE(SUBSTITUTE(SUBSTITUTE(SUBSTITUTE(SUBSTITUTE(SUBSTITUTE(SUBSTITUTE(SUBSTITUTE(SUBSTITUTE(SUBSTITUTE(SUBSTITUTE(SUBSTITUTE(UPPER(TRIM(D24)),"Á","A"),"À","A"),"Â","A"),"Ã","A"),"É","E"),"Ê","E"),"Í","I"),"Ó","O"),"Ô","O"),"Õ","O"),"Ú","U"),"Ü","U"),"Ç","C"))</f>
        <v/>
      </c>
      <c r="G24" s="31" t="str">
        <f aca="false">IF(E24="","",IF(LEN(SUBSTITUTE(SUBSTITUTE(SUBSTITUTE(SUBSTITUTE(TRIM(E24),"*",""),".",""),"-","")," ",""))=11,MID(SUBSTITUTE(SUBSTITUTE(SUBSTITUTE(SUBSTITUTE(TRIM(E24),"*",""),".",""),"-","")," ",""),4,6),SUBSTITUTE(SUBSTITUTE(SUBSTITUTE(SUBSTITUTE(TRIM(E24),"*",""),".",""),"-","")," ","")))</f>
        <v/>
      </c>
      <c r="H24" s="31" t="str">
        <f aca="false">IF(OR(F24="",G24=""),"",F24&amp;"|"&amp;G24)</f>
        <v/>
      </c>
      <c r="I24" s="23"/>
      <c r="J24" s="22"/>
      <c r="K24" s="22"/>
      <c r="L24" s="25" t="str">
        <f aca="false">IF(F24="","",IF(AND(H24&lt;&gt;"",COUNTIF(Pessoas!$E:$E,H24)&gt;0),"SIM",IF(COUNTIF(Pessoas!$C:$C,F24)&gt;0,"nome igual em Pessoas: confira o CPF","")))</f>
        <v/>
      </c>
      <c r="M24" s="24"/>
      <c r="N24" s="11"/>
    </row>
    <row r="25" customFormat="false" ht="15" hidden="false" customHeight="false" outlineLevel="0" collapsed="false">
      <c r="A25" s="24"/>
      <c r="B25" s="31" t="str">
        <f aca="false">IF(A25="","",IF(LEN(UPPER(SUBSTITUTE(SUBSTITUTE(SUBSTITUTE(SUBSTITUTE(TRIM(A25),".",""),"/",""),"-","")," ","")))&lt;14,RIGHT(REPT("0",14)&amp;UPPER(SUBSTITUTE(SUBSTITUTE(SUBSTITUTE(SUBSTITUTE(TRIM(A25),".",""),"/",""),"-","")," ","")),14),UPPER(SUBSTITUTE(SUBSTITUTE(SUBSTITUTE(SUBSTITUTE(TRIM(A25),".",""),"/",""),"-","")," ",""))))</f>
        <v/>
      </c>
      <c r="C25" s="25" t="str">
        <f aca="false">IF(B25="","",IFERROR(INDEX(Empresas!$C:$C,MATCH(B25,Empresas!$B:$B,0)),"cadastre o CNPJ em Empresas"))</f>
        <v/>
      </c>
      <c r="D25" s="23"/>
      <c r="E25" s="24"/>
      <c r="F25" s="31" t="str">
        <f aca="false">IF(D25="","",SUBSTITUTE(SUBSTITUTE(SUBSTITUTE(SUBSTITUTE(SUBSTITUTE(SUBSTITUTE(SUBSTITUTE(SUBSTITUTE(SUBSTITUTE(SUBSTITUTE(SUBSTITUTE(SUBSTITUTE(SUBSTITUTE(UPPER(TRIM(D25)),"Á","A"),"À","A"),"Â","A"),"Ã","A"),"É","E"),"Ê","E"),"Í","I"),"Ó","O"),"Ô","O"),"Õ","O"),"Ú","U"),"Ü","U"),"Ç","C"))</f>
        <v/>
      </c>
      <c r="G25" s="31" t="str">
        <f aca="false">IF(E25="","",IF(LEN(SUBSTITUTE(SUBSTITUTE(SUBSTITUTE(SUBSTITUTE(TRIM(E25),"*",""),".",""),"-","")," ",""))=11,MID(SUBSTITUTE(SUBSTITUTE(SUBSTITUTE(SUBSTITUTE(TRIM(E25),"*",""),".",""),"-","")," ",""),4,6),SUBSTITUTE(SUBSTITUTE(SUBSTITUTE(SUBSTITUTE(TRIM(E25),"*",""),".",""),"-","")," ","")))</f>
        <v/>
      </c>
      <c r="H25" s="31" t="str">
        <f aca="false">IF(OR(F25="",G25=""),"",F25&amp;"|"&amp;G25)</f>
        <v/>
      </c>
      <c r="I25" s="23"/>
      <c r="J25" s="22"/>
      <c r="K25" s="22"/>
      <c r="L25" s="25" t="str">
        <f aca="false">IF(F25="","",IF(AND(H25&lt;&gt;"",COUNTIF(Pessoas!$E:$E,H25)&gt;0),"SIM",IF(COUNTIF(Pessoas!$C:$C,F25)&gt;0,"nome igual em Pessoas: confira o CPF","")))</f>
        <v/>
      </c>
      <c r="M25" s="24"/>
      <c r="N25" s="11"/>
    </row>
    <row r="26" customFormat="false" ht="15" hidden="false" customHeight="false" outlineLevel="0" collapsed="false">
      <c r="A26" s="24"/>
      <c r="B26" s="31" t="str">
        <f aca="false">IF(A26="","",IF(LEN(UPPER(SUBSTITUTE(SUBSTITUTE(SUBSTITUTE(SUBSTITUTE(TRIM(A26),".",""),"/",""),"-","")," ","")))&lt;14,RIGHT(REPT("0",14)&amp;UPPER(SUBSTITUTE(SUBSTITUTE(SUBSTITUTE(SUBSTITUTE(TRIM(A26),".",""),"/",""),"-","")," ","")),14),UPPER(SUBSTITUTE(SUBSTITUTE(SUBSTITUTE(SUBSTITUTE(TRIM(A26),".",""),"/",""),"-","")," ",""))))</f>
        <v/>
      </c>
      <c r="C26" s="25" t="str">
        <f aca="false">IF(B26="","",IFERROR(INDEX(Empresas!$C:$C,MATCH(B26,Empresas!$B:$B,0)),"cadastre o CNPJ em Empresas"))</f>
        <v/>
      </c>
      <c r="D26" s="23"/>
      <c r="E26" s="24"/>
      <c r="F26" s="31" t="str">
        <f aca="false">IF(D26="","",SUBSTITUTE(SUBSTITUTE(SUBSTITUTE(SUBSTITUTE(SUBSTITUTE(SUBSTITUTE(SUBSTITUTE(SUBSTITUTE(SUBSTITUTE(SUBSTITUTE(SUBSTITUTE(SUBSTITUTE(SUBSTITUTE(UPPER(TRIM(D26)),"Á","A"),"À","A"),"Â","A"),"Ã","A"),"É","E"),"Ê","E"),"Í","I"),"Ó","O"),"Ô","O"),"Õ","O"),"Ú","U"),"Ü","U"),"Ç","C"))</f>
        <v/>
      </c>
      <c r="G26" s="31" t="str">
        <f aca="false">IF(E26="","",IF(LEN(SUBSTITUTE(SUBSTITUTE(SUBSTITUTE(SUBSTITUTE(TRIM(E26),"*",""),".",""),"-","")," ",""))=11,MID(SUBSTITUTE(SUBSTITUTE(SUBSTITUTE(SUBSTITUTE(TRIM(E26),"*",""),".",""),"-","")," ",""),4,6),SUBSTITUTE(SUBSTITUTE(SUBSTITUTE(SUBSTITUTE(TRIM(E26),"*",""),".",""),"-","")," ","")))</f>
        <v/>
      </c>
      <c r="H26" s="31" t="str">
        <f aca="false">IF(OR(F26="",G26=""),"",F26&amp;"|"&amp;G26)</f>
        <v/>
      </c>
      <c r="I26" s="23"/>
      <c r="J26" s="22"/>
      <c r="K26" s="22"/>
      <c r="L26" s="25" t="str">
        <f aca="false">IF(F26="","",IF(AND(H26&lt;&gt;"",COUNTIF(Pessoas!$E:$E,H26)&gt;0),"SIM",IF(COUNTIF(Pessoas!$C:$C,F26)&gt;0,"nome igual em Pessoas: confira o CPF","")))</f>
        <v/>
      </c>
      <c r="M26" s="24"/>
      <c r="N26" s="11"/>
    </row>
    <row r="27" customFormat="false" ht="15" hidden="false" customHeight="false" outlineLevel="0" collapsed="false">
      <c r="A27" s="24"/>
      <c r="B27" s="31" t="str">
        <f aca="false">IF(A27="","",IF(LEN(UPPER(SUBSTITUTE(SUBSTITUTE(SUBSTITUTE(SUBSTITUTE(TRIM(A27),".",""),"/",""),"-","")," ","")))&lt;14,RIGHT(REPT("0",14)&amp;UPPER(SUBSTITUTE(SUBSTITUTE(SUBSTITUTE(SUBSTITUTE(TRIM(A27),".",""),"/",""),"-","")," ","")),14),UPPER(SUBSTITUTE(SUBSTITUTE(SUBSTITUTE(SUBSTITUTE(TRIM(A27),".",""),"/",""),"-","")," ",""))))</f>
        <v/>
      </c>
      <c r="C27" s="25" t="str">
        <f aca="false">IF(B27="","",IFERROR(INDEX(Empresas!$C:$C,MATCH(B27,Empresas!$B:$B,0)),"cadastre o CNPJ em Empresas"))</f>
        <v/>
      </c>
      <c r="D27" s="23"/>
      <c r="E27" s="24"/>
      <c r="F27" s="31" t="str">
        <f aca="false">IF(D27="","",SUBSTITUTE(SUBSTITUTE(SUBSTITUTE(SUBSTITUTE(SUBSTITUTE(SUBSTITUTE(SUBSTITUTE(SUBSTITUTE(SUBSTITUTE(SUBSTITUTE(SUBSTITUTE(SUBSTITUTE(SUBSTITUTE(UPPER(TRIM(D27)),"Á","A"),"À","A"),"Â","A"),"Ã","A"),"É","E"),"Ê","E"),"Í","I"),"Ó","O"),"Ô","O"),"Õ","O"),"Ú","U"),"Ü","U"),"Ç","C"))</f>
        <v/>
      </c>
      <c r="G27" s="31" t="str">
        <f aca="false">IF(E27="","",IF(LEN(SUBSTITUTE(SUBSTITUTE(SUBSTITUTE(SUBSTITUTE(TRIM(E27),"*",""),".",""),"-","")," ",""))=11,MID(SUBSTITUTE(SUBSTITUTE(SUBSTITUTE(SUBSTITUTE(TRIM(E27),"*",""),".",""),"-","")," ",""),4,6),SUBSTITUTE(SUBSTITUTE(SUBSTITUTE(SUBSTITUTE(TRIM(E27),"*",""),".",""),"-","")," ","")))</f>
        <v/>
      </c>
      <c r="H27" s="31" t="str">
        <f aca="false">IF(OR(F27="",G27=""),"",F27&amp;"|"&amp;G27)</f>
        <v/>
      </c>
      <c r="I27" s="23"/>
      <c r="J27" s="22"/>
      <c r="K27" s="22"/>
      <c r="L27" s="25" t="str">
        <f aca="false">IF(F27="","",IF(AND(H27&lt;&gt;"",COUNTIF(Pessoas!$E:$E,H27)&gt;0),"SIM",IF(COUNTIF(Pessoas!$C:$C,F27)&gt;0,"nome igual em Pessoas: confira o CPF","")))</f>
        <v/>
      </c>
      <c r="M27" s="24"/>
      <c r="N27" s="11"/>
    </row>
    <row r="28" customFormat="false" ht="15" hidden="false" customHeight="false" outlineLevel="0" collapsed="false">
      <c r="A28" s="24"/>
      <c r="B28" s="31" t="str">
        <f aca="false">IF(A28="","",IF(LEN(UPPER(SUBSTITUTE(SUBSTITUTE(SUBSTITUTE(SUBSTITUTE(TRIM(A28),".",""),"/",""),"-","")," ","")))&lt;14,RIGHT(REPT("0",14)&amp;UPPER(SUBSTITUTE(SUBSTITUTE(SUBSTITUTE(SUBSTITUTE(TRIM(A28),".",""),"/",""),"-","")," ","")),14),UPPER(SUBSTITUTE(SUBSTITUTE(SUBSTITUTE(SUBSTITUTE(TRIM(A28),".",""),"/",""),"-","")," ",""))))</f>
        <v/>
      </c>
      <c r="C28" s="25" t="str">
        <f aca="false">IF(B28="","",IFERROR(INDEX(Empresas!$C:$C,MATCH(B28,Empresas!$B:$B,0)),"cadastre o CNPJ em Empresas"))</f>
        <v/>
      </c>
      <c r="D28" s="23"/>
      <c r="E28" s="24"/>
      <c r="F28" s="31" t="str">
        <f aca="false">IF(D28="","",SUBSTITUTE(SUBSTITUTE(SUBSTITUTE(SUBSTITUTE(SUBSTITUTE(SUBSTITUTE(SUBSTITUTE(SUBSTITUTE(SUBSTITUTE(SUBSTITUTE(SUBSTITUTE(SUBSTITUTE(SUBSTITUTE(UPPER(TRIM(D28)),"Á","A"),"À","A"),"Â","A"),"Ã","A"),"É","E"),"Ê","E"),"Í","I"),"Ó","O"),"Ô","O"),"Õ","O"),"Ú","U"),"Ü","U"),"Ç","C"))</f>
        <v/>
      </c>
      <c r="G28" s="31" t="str">
        <f aca="false">IF(E28="","",IF(LEN(SUBSTITUTE(SUBSTITUTE(SUBSTITUTE(SUBSTITUTE(TRIM(E28),"*",""),".",""),"-","")," ",""))=11,MID(SUBSTITUTE(SUBSTITUTE(SUBSTITUTE(SUBSTITUTE(TRIM(E28),"*",""),".",""),"-","")," ",""),4,6),SUBSTITUTE(SUBSTITUTE(SUBSTITUTE(SUBSTITUTE(TRIM(E28),"*",""),".",""),"-","")," ","")))</f>
        <v/>
      </c>
      <c r="H28" s="31" t="str">
        <f aca="false">IF(OR(F28="",G28=""),"",F28&amp;"|"&amp;G28)</f>
        <v/>
      </c>
      <c r="I28" s="23"/>
      <c r="J28" s="22"/>
      <c r="K28" s="22"/>
      <c r="L28" s="25" t="str">
        <f aca="false">IF(F28="","",IF(AND(H28&lt;&gt;"",COUNTIF(Pessoas!$E:$E,H28)&gt;0),"SIM",IF(COUNTIF(Pessoas!$C:$C,F28)&gt;0,"nome igual em Pessoas: confira o CPF","")))</f>
        <v/>
      </c>
      <c r="M28" s="24"/>
      <c r="N28" s="11"/>
    </row>
    <row r="29" customFormat="false" ht="15" hidden="false" customHeight="false" outlineLevel="0" collapsed="false">
      <c r="A29" s="24"/>
      <c r="B29" s="31" t="str">
        <f aca="false">IF(A29="","",IF(LEN(UPPER(SUBSTITUTE(SUBSTITUTE(SUBSTITUTE(SUBSTITUTE(TRIM(A29),".",""),"/",""),"-","")," ","")))&lt;14,RIGHT(REPT("0",14)&amp;UPPER(SUBSTITUTE(SUBSTITUTE(SUBSTITUTE(SUBSTITUTE(TRIM(A29),".",""),"/",""),"-","")," ","")),14),UPPER(SUBSTITUTE(SUBSTITUTE(SUBSTITUTE(SUBSTITUTE(TRIM(A29),".",""),"/",""),"-","")," ",""))))</f>
        <v/>
      </c>
      <c r="C29" s="25" t="str">
        <f aca="false">IF(B29="","",IFERROR(INDEX(Empresas!$C:$C,MATCH(B29,Empresas!$B:$B,0)),"cadastre o CNPJ em Empresas"))</f>
        <v/>
      </c>
      <c r="D29" s="23"/>
      <c r="E29" s="24"/>
      <c r="F29" s="31" t="str">
        <f aca="false">IF(D29="","",SUBSTITUTE(SUBSTITUTE(SUBSTITUTE(SUBSTITUTE(SUBSTITUTE(SUBSTITUTE(SUBSTITUTE(SUBSTITUTE(SUBSTITUTE(SUBSTITUTE(SUBSTITUTE(SUBSTITUTE(SUBSTITUTE(UPPER(TRIM(D29)),"Á","A"),"À","A"),"Â","A"),"Ã","A"),"É","E"),"Ê","E"),"Í","I"),"Ó","O"),"Ô","O"),"Õ","O"),"Ú","U"),"Ü","U"),"Ç","C"))</f>
        <v/>
      </c>
      <c r="G29" s="31" t="str">
        <f aca="false">IF(E29="","",IF(LEN(SUBSTITUTE(SUBSTITUTE(SUBSTITUTE(SUBSTITUTE(TRIM(E29),"*",""),".",""),"-","")," ",""))=11,MID(SUBSTITUTE(SUBSTITUTE(SUBSTITUTE(SUBSTITUTE(TRIM(E29),"*",""),".",""),"-","")," ",""),4,6),SUBSTITUTE(SUBSTITUTE(SUBSTITUTE(SUBSTITUTE(TRIM(E29),"*",""),".",""),"-","")," ","")))</f>
        <v/>
      </c>
      <c r="H29" s="31" t="str">
        <f aca="false">IF(OR(F29="",G29=""),"",F29&amp;"|"&amp;G29)</f>
        <v/>
      </c>
      <c r="I29" s="23"/>
      <c r="J29" s="22"/>
      <c r="K29" s="22"/>
      <c r="L29" s="25" t="str">
        <f aca="false">IF(F29="","",IF(AND(H29&lt;&gt;"",COUNTIF(Pessoas!$E:$E,H29)&gt;0),"SIM",IF(COUNTIF(Pessoas!$C:$C,F29)&gt;0,"nome igual em Pessoas: confira o CPF","")))</f>
        <v/>
      </c>
      <c r="M29" s="24"/>
      <c r="N29" s="11"/>
    </row>
    <row r="30" customFormat="false" ht="15" hidden="false" customHeight="false" outlineLevel="0" collapsed="false">
      <c r="A30" s="24"/>
      <c r="B30" s="31" t="str">
        <f aca="false">IF(A30="","",IF(LEN(UPPER(SUBSTITUTE(SUBSTITUTE(SUBSTITUTE(SUBSTITUTE(TRIM(A30),".",""),"/",""),"-","")," ","")))&lt;14,RIGHT(REPT("0",14)&amp;UPPER(SUBSTITUTE(SUBSTITUTE(SUBSTITUTE(SUBSTITUTE(TRIM(A30),".",""),"/",""),"-","")," ","")),14),UPPER(SUBSTITUTE(SUBSTITUTE(SUBSTITUTE(SUBSTITUTE(TRIM(A30),".",""),"/",""),"-","")," ",""))))</f>
        <v/>
      </c>
      <c r="C30" s="25" t="str">
        <f aca="false">IF(B30="","",IFERROR(INDEX(Empresas!$C:$C,MATCH(B30,Empresas!$B:$B,0)),"cadastre o CNPJ em Empresas"))</f>
        <v/>
      </c>
      <c r="D30" s="23"/>
      <c r="E30" s="24"/>
      <c r="F30" s="31" t="str">
        <f aca="false">IF(D30="","",SUBSTITUTE(SUBSTITUTE(SUBSTITUTE(SUBSTITUTE(SUBSTITUTE(SUBSTITUTE(SUBSTITUTE(SUBSTITUTE(SUBSTITUTE(SUBSTITUTE(SUBSTITUTE(SUBSTITUTE(SUBSTITUTE(UPPER(TRIM(D30)),"Á","A"),"À","A"),"Â","A"),"Ã","A"),"É","E"),"Ê","E"),"Í","I"),"Ó","O"),"Ô","O"),"Õ","O"),"Ú","U"),"Ü","U"),"Ç","C"))</f>
        <v/>
      </c>
      <c r="G30" s="31" t="str">
        <f aca="false">IF(E30="","",IF(LEN(SUBSTITUTE(SUBSTITUTE(SUBSTITUTE(SUBSTITUTE(TRIM(E30),"*",""),".",""),"-","")," ",""))=11,MID(SUBSTITUTE(SUBSTITUTE(SUBSTITUTE(SUBSTITUTE(TRIM(E30),"*",""),".",""),"-","")," ",""),4,6),SUBSTITUTE(SUBSTITUTE(SUBSTITUTE(SUBSTITUTE(TRIM(E30),"*",""),".",""),"-","")," ","")))</f>
        <v/>
      </c>
      <c r="H30" s="31" t="str">
        <f aca="false">IF(OR(F30="",G30=""),"",F30&amp;"|"&amp;G30)</f>
        <v/>
      </c>
      <c r="I30" s="23"/>
      <c r="J30" s="22"/>
      <c r="K30" s="22"/>
      <c r="L30" s="25" t="str">
        <f aca="false">IF(F30="","",IF(AND(H30&lt;&gt;"",COUNTIF(Pessoas!$E:$E,H30)&gt;0),"SIM",IF(COUNTIF(Pessoas!$C:$C,F30)&gt;0,"nome igual em Pessoas: confira o CPF","")))</f>
        <v/>
      </c>
      <c r="M30" s="24"/>
      <c r="N30" s="11"/>
    </row>
    <row r="31" customFormat="false" ht="15" hidden="false" customHeight="false" outlineLevel="0" collapsed="false">
      <c r="A31" s="24"/>
      <c r="B31" s="31" t="str">
        <f aca="false">IF(A31="","",IF(LEN(UPPER(SUBSTITUTE(SUBSTITUTE(SUBSTITUTE(SUBSTITUTE(TRIM(A31),".",""),"/",""),"-","")," ","")))&lt;14,RIGHT(REPT("0",14)&amp;UPPER(SUBSTITUTE(SUBSTITUTE(SUBSTITUTE(SUBSTITUTE(TRIM(A31),".",""),"/",""),"-","")," ","")),14),UPPER(SUBSTITUTE(SUBSTITUTE(SUBSTITUTE(SUBSTITUTE(TRIM(A31),".",""),"/",""),"-","")," ",""))))</f>
        <v/>
      </c>
      <c r="C31" s="25" t="str">
        <f aca="false">IF(B31="","",IFERROR(INDEX(Empresas!$C:$C,MATCH(B31,Empresas!$B:$B,0)),"cadastre o CNPJ em Empresas"))</f>
        <v/>
      </c>
      <c r="D31" s="23"/>
      <c r="E31" s="24"/>
      <c r="F31" s="31" t="str">
        <f aca="false">IF(D31="","",SUBSTITUTE(SUBSTITUTE(SUBSTITUTE(SUBSTITUTE(SUBSTITUTE(SUBSTITUTE(SUBSTITUTE(SUBSTITUTE(SUBSTITUTE(SUBSTITUTE(SUBSTITUTE(SUBSTITUTE(SUBSTITUTE(UPPER(TRIM(D31)),"Á","A"),"À","A"),"Â","A"),"Ã","A"),"É","E"),"Ê","E"),"Í","I"),"Ó","O"),"Ô","O"),"Õ","O"),"Ú","U"),"Ü","U"),"Ç","C"))</f>
        <v/>
      </c>
      <c r="G31" s="31" t="str">
        <f aca="false">IF(E31="","",IF(LEN(SUBSTITUTE(SUBSTITUTE(SUBSTITUTE(SUBSTITUTE(TRIM(E31),"*",""),".",""),"-","")," ",""))=11,MID(SUBSTITUTE(SUBSTITUTE(SUBSTITUTE(SUBSTITUTE(TRIM(E31),"*",""),".",""),"-","")," ",""),4,6),SUBSTITUTE(SUBSTITUTE(SUBSTITUTE(SUBSTITUTE(TRIM(E31),"*",""),".",""),"-","")," ","")))</f>
        <v/>
      </c>
      <c r="H31" s="31" t="str">
        <f aca="false">IF(OR(F31="",G31=""),"",F31&amp;"|"&amp;G31)</f>
        <v/>
      </c>
      <c r="I31" s="23"/>
      <c r="J31" s="22"/>
      <c r="K31" s="22"/>
      <c r="L31" s="25" t="str">
        <f aca="false">IF(F31="","",IF(AND(H31&lt;&gt;"",COUNTIF(Pessoas!$E:$E,H31)&gt;0),"SIM",IF(COUNTIF(Pessoas!$C:$C,F31)&gt;0,"nome igual em Pessoas: confira o CPF","")))</f>
        <v/>
      </c>
      <c r="M31" s="24"/>
      <c r="N31" s="11"/>
    </row>
    <row r="32" customFormat="false" ht="15" hidden="false" customHeight="false" outlineLevel="0" collapsed="false">
      <c r="A32" s="24"/>
      <c r="B32" s="31" t="str">
        <f aca="false">IF(A32="","",IF(LEN(UPPER(SUBSTITUTE(SUBSTITUTE(SUBSTITUTE(SUBSTITUTE(TRIM(A32),".",""),"/",""),"-","")," ","")))&lt;14,RIGHT(REPT("0",14)&amp;UPPER(SUBSTITUTE(SUBSTITUTE(SUBSTITUTE(SUBSTITUTE(TRIM(A32),".",""),"/",""),"-","")," ","")),14),UPPER(SUBSTITUTE(SUBSTITUTE(SUBSTITUTE(SUBSTITUTE(TRIM(A32),".",""),"/",""),"-","")," ",""))))</f>
        <v/>
      </c>
      <c r="C32" s="25" t="str">
        <f aca="false">IF(B32="","",IFERROR(INDEX(Empresas!$C:$C,MATCH(B32,Empresas!$B:$B,0)),"cadastre o CNPJ em Empresas"))</f>
        <v/>
      </c>
      <c r="D32" s="23"/>
      <c r="E32" s="24"/>
      <c r="F32" s="31" t="str">
        <f aca="false">IF(D32="","",SUBSTITUTE(SUBSTITUTE(SUBSTITUTE(SUBSTITUTE(SUBSTITUTE(SUBSTITUTE(SUBSTITUTE(SUBSTITUTE(SUBSTITUTE(SUBSTITUTE(SUBSTITUTE(SUBSTITUTE(SUBSTITUTE(UPPER(TRIM(D32)),"Á","A"),"À","A"),"Â","A"),"Ã","A"),"É","E"),"Ê","E"),"Í","I"),"Ó","O"),"Ô","O"),"Õ","O"),"Ú","U"),"Ü","U"),"Ç","C"))</f>
        <v/>
      </c>
      <c r="G32" s="31" t="str">
        <f aca="false">IF(E32="","",IF(LEN(SUBSTITUTE(SUBSTITUTE(SUBSTITUTE(SUBSTITUTE(TRIM(E32),"*",""),".",""),"-","")," ",""))=11,MID(SUBSTITUTE(SUBSTITUTE(SUBSTITUTE(SUBSTITUTE(TRIM(E32),"*",""),".",""),"-","")," ",""),4,6),SUBSTITUTE(SUBSTITUTE(SUBSTITUTE(SUBSTITUTE(TRIM(E32),"*",""),".",""),"-","")," ","")))</f>
        <v/>
      </c>
      <c r="H32" s="31" t="str">
        <f aca="false">IF(OR(F32="",G32=""),"",F32&amp;"|"&amp;G32)</f>
        <v/>
      </c>
      <c r="I32" s="23"/>
      <c r="J32" s="22"/>
      <c r="K32" s="22"/>
      <c r="L32" s="25" t="str">
        <f aca="false">IF(F32="","",IF(AND(H32&lt;&gt;"",COUNTIF(Pessoas!$E:$E,H32)&gt;0),"SIM",IF(COUNTIF(Pessoas!$C:$C,F32)&gt;0,"nome igual em Pessoas: confira o CPF","")))</f>
        <v/>
      </c>
      <c r="M32" s="24"/>
      <c r="N32" s="11"/>
    </row>
    <row r="33" customFormat="false" ht="15" hidden="false" customHeight="false" outlineLevel="0" collapsed="false">
      <c r="A33" s="24"/>
      <c r="B33" s="31" t="str">
        <f aca="false">IF(A33="","",IF(LEN(UPPER(SUBSTITUTE(SUBSTITUTE(SUBSTITUTE(SUBSTITUTE(TRIM(A33),".",""),"/",""),"-","")," ","")))&lt;14,RIGHT(REPT("0",14)&amp;UPPER(SUBSTITUTE(SUBSTITUTE(SUBSTITUTE(SUBSTITUTE(TRIM(A33),".",""),"/",""),"-","")," ","")),14),UPPER(SUBSTITUTE(SUBSTITUTE(SUBSTITUTE(SUBSTITUTE(TRIM(A33),".",""),"/",""),"-","")," ",""))))</f>
        <v/>
      </c>
      <c r="C33" s="25" t="str">
        <f aca="false">IF(B33="","",IFERROR(INDEX(Empresas!$C:$C,MATCH(B33,Empresas!$B:$B,0)),"cadastre o CNPJ em Empresas"))</f>
        <v/>
      </c>
      <c r="D33" s="23"/>
      <c r="E33" s="24"/>
      <c r="F33" s="31" t="str">
        <f aca="false">IF(D33="","",SUBSTITUTE(SUBSTITUTE(SUBSTITUTE(SUBSTITUTE(SUBSTITUTE(SUBSTITUTE(SUBSTITUTE(SUBSTITUTE(SUBSTITUTE(SUBSTITUTE(SUBSTITUTE(SUBSTITUTE(SUBSTITUTE(UPPER(TRIM(D33)),"Á","A"),"À","A"),"Â","A"),"Ã","A"),"É","E"),"Ê","E"),"Í","I"),"Ó","O"),"Ô","O"),"Õ","O"),"Ú","U"),"Ü","U"),"Ç","C"))</f>
        <v/>
      </c>
      <c r="G33" s="31" t="str">
        <f aca="false">IF(E33="","",IF(LEN(SUBSTITUTE(SUBSTITUTE(SUBSTITUTE(SUBSTITUTE(TRIM(E33),"*",""),".",""),"-","")," ",""))=11,MID(SUBSTITUTE(SUBSTITUTE(SUBSTITUTE(SUBSTITUTE(TRIM(E33),"*",""),".",""),"-","")," ",""),4,6),SUBSTITUTE(SUBSTITUTE(SUBSTITUTE(SUBSTITUTE(TRIM(E33),"*",""),".",""),"-","")," ","")))</f>
        <v/>
      </c>
      <c r="H33" s="31" t="str">
        <f aca="false">IF(OR(F33="",G33=""),"",F33&amp;"|"&amp;G33)</f>
        <v/>
      </c>
      <c r="I33" s="23"/>
      <c r="J33" s="22"/>
      <c r="K33" s="22"/>
      <c r="L33" s="25" t="str">
        <f aca="false">IF(F33="","",IF(AND(H33&lt;&gt;"",COUNTIF(Pessoas!$E:$E,H33)&gt;0),"SIM",IF(COUNTIF(Pessoas!$C:$C,F33)&gt;0,"nome igual em Pessoas: confira o CPF","")))</f>
        <v/>
      </c>
      <c r="M33" s="24"/>
      <c r="N33" s="11"/>
    </row>
    <row r="34" customFormat="false" ht="15" hidden="false" customHeight="false" outlineLevel="0" collapsed="false">
      <c r="A34" s="24"/>
      <c r="B34" s="31" t="str">
        <f aca="false">IF(A34="","",IF(LEN(UPPER(SUBSTITUTE(SUBSTITUTE(SUBSTITUTE(SUBSTITUTE(TRIM(A34),".",""),"/",""),"-","")," ","")))&lt;14,RIGHT(REPT("0",14)&amp;UPPER(SUBSTITUTE(SUBSTITUTE(SUBSTITUTE(SUBSTITUTE(TRIM(A34),".",""),"/",""),"-","")," ","")),14),UPPER(SUBSTITUTE(SUBSTITUTE(SUBSTITUTE(SUBSTITUTE(TRIM(A34),".",""),"/",""),"-","")," ",""))))</f>
        <v/>
      </c>
      <c r="C34" s="25" t="str">
        <f aca="false">IF(B34="","",IFERROR(INDEX(Empresas!$C:$C,MATCH(B34,Empresas!$B:$B,0)),"cadastre o CNPJ em Empresas"))</f>
        <v/>
      </c>
      <c r="D34" s="23"/>
      <c r="E34" s="24"/>
      <c r="F34" s="31" t="str">
        <f aca="false">IF(D34="","",SUBSTITUTE(SUBSTITUTE(SUBSTITUTE(SUBSTITUTE(SUBSTITUTE(SUBSTITUTE(SUBSTITUTE(SUBSTITUTE(SUBSTITUTE(SUBSTITUTE(SUBSTITUTE(SUBSTITUTE(SUBSTITUTE(UPPER(TRIM(D34)),"Á","A"),"À","A"),"Â","A"),"Ã","A"),"É","E"),"Ê","E"),"Í","I"),"Ó","O"),"Ô","O"),"Õ","O"),"Ú","U"),"Ü","U"),"Ç","C"))</f>
        <v/>
      </c>
      <c r="G34" s="31" t="str">
        <f aca="false">IF(E34="","",IF(LEN(SUBSTITUTE(SUBSTITUTE(SUBSTITUTE(SUBSTITUTE(TRIM(E34),"*",""),".",""),"-","")," ",""))=11,MID(SUBSTITUTE(SUBSTITUTE(SUBSTITUTE(SUBSTITUTE(TRIM(E34),"*",""),".",""),"-","")," ",""),4,6),SUBSTITUTE(SUBSTITUTE(SUBSTITUTE(SUBSTITUTE(TRIM(E34),"*",""),".",""),"-","")," ","")))</f>
        <v/>
      </c>
      <c r="H34" s="31" t="str">
        <f aca="false">IF(OR(F34="",G34=""),"",F34&amp;"|"&amp;G34)</f>
        <v/>
      </c>
      <c r="I34" s="23"/>
      <c r="J34" s="22"/>
      <c r="K34" s="22"/>
      <c r="L34" s="25" t="str">
        <f aca="false">IF(F34="","",IF(AND(H34&lt;&gt;"",COUNTIF(Pessoas!$E:$E,H34)&gt;0),"SIM",IF(COUNTIF(Pessoas!$C:$C,F34)&gt;0,"nome igual em Pessoas: confira o CPF","")))</f>
        <v/>
      </c>
      <c r="M34" s="24"/>
      <c r="N34" s="11"/>
    </row>
    <row r="35" customFormat="false" ht="15" hidden="false" customHeight="false" outlineLevel="0" collapsed="false">
      <c r="A35" s="24"/>
      <c r="B35" s="31" t="str">
        <f aca="false">IF(A35="","",IF(LEN(UPPER(SUBSTITUTE(SUBSTITUTE(SUBSTITUTE(SUBSTITUTE(TRIM(A35),".",""),"/",""),"-","")," ","")))&lt;14,RIGHT(REPT("0",14)&amp;UPPER(SUBSTITUTE(SUBSTITUTE(SUBSTITUTE(SUBSTITUTE(TRIM(A35),".",""),"/",""),"-","")," ","")),14),UPPER(SUBSTITUTE(SUBSTITUTE(SUBSTITUTE(SUBSTITUTE(TRIM(A35),".",""),"/",""),"-","")," ",""))))</f>
        <v/>
      </c>
      <c r="C35" s="25" t="str">
        <f aca="false">IF(B35="","",IFERROR(INDEX(Empresas!$C:$C,MATCH(B35,Empresas!$B:$B,0)),"cadastre o CNPJ em Empresas"))</f>
        <v/>
      </c>
      <c r="D35" s="23"/>
      <c r="E35" s="24"/>
      <c r="F35" s="31" t="str">
        <f aca="false">IF(D35="","",SUBSTITUTE(SUBSTITUTE(SUBSTITUTE(SUBSTITUTE(SUBSTITUTE(SUBSTITUTE(SUBSTITUTE(SUBSTITUTE(SUBSTITUTE(SUBSTITUTE(SUBSTITUTE(SUBSTITUTE(SUBSTITUTE(UPPER(TRIM(D35)),"Á","A"),"À","A"),"Â","A"),"Ã","A"),"É","E"),"Ê","E"),"Í","I"),"Ó","O"),"Ô","O"),"Õ","O"),"Ú","U"),"Ü","U"),"Ç","C"))</f>
        <v/>
      </c>
      <c r="G35" s="31" t="str">
        <f aca="false">IF(E35="","",IF(LEN(SUBSTITUTE(SUBSTITUTE(SUBSTITUTE(SUBSTITUTE(TRIM(E35),"*",""),".",""),"-","")," ",""))=11,MID(SUBSTITUTE(SUBSTITUTE(SUBSTITUTE(SUBSTITUTE(TRIM(E35),"*",""),".",""),"-","")," ",""),4,6),SUBSTITUTE(SUBSTITUTE(SUBSTITUTE(SUBSTITUTE(TRIM(E35),"*",""),".",""),"-","")," ","")))</f>
        <v/>
      </c>
      <c r="H35" s="31" t="str">
        <f aca="false">IF(OR(F35="",G35=""),"",F35&amp;"|"&amp;G35)</f>
        <v/>
      </c>
      <c r="I35" s="23"/>
      <c r="J35" s="22"/>
      <c r="K35" s="22"/>
      <c r="L35" s="25" t="str">
        <f aca="false">IF(F35="","",IF(AND(H35&lt;&gt;"",COUNTIF(Pessoas!$E:$E,H35)&gt;0),"SIM",IF(COUNTIF(Pessoas!$C:$C,F35)&gt;0,"nome igual em Pessoas: confira o CPF","")))</f>
        <v/>
      </c>
      <c r="M35" s="24"/>
      <c r="N35" s="11"/>
    </row>
    <row r="36" customFormat="false" ht="15" hidden="false" customHeight="false" outlineLevel="0" collapsed="false">
      <c r="A36" s="24"/>
      <c r="B36" s="31" t="str">
        <f aca="false">IF(A36="","",IF(LEN(UPPER(SUBSTITUTE(SUBSTITUTE(SUBSTITUTE(SUBSTITUTE(TRIM(A36),".",""),"/",""),"-","")," ","")))&lt;14,RIGHT(REPT("0",14)&amp;UPPER(SUBSTITUTE(SUBSTITUTE(SUBSTITUTE(SUBSTITUTE(TRIM(A36),".",""),"/",""),"-","")," ","")),14),UPPER(SUBSTITUTE(SUBSTITUTE(SUBSTITUTE(SUBSTITUTE(TRIM(A36),".",""),"/",""),"-","")," ",""))))</f>
        <v/>
      </c>
      <c r="C36" s="25" t="str">
        <f aca="false">IF(B36="","",IFERROR(INDEX(Empresas!$C:$C,MATCH(B36,Empresas!$B:$B,0)),"cadastre o CNPJ em Empresas"))</f>
        <v/>
      </c>
      <c r="D36" s="23"/>
      <c r="E36" s="24"/>
      <c r="F36" s="31" t="str">
        <f aca="false">IF(D36="","",SUBSTITUTE(SUBSTITUTE(SUBSTITUTE(SUBSTITUTE(SUBSTITUTE(SUBSTITUTE(SUBSTITUTE(SUBSTITUTE(SUBSTITUTE(SUBSTITUTE(SUBSTITUTE(SUBSTITUTE(SUBSTITUTE(UPPER(TRIM(D36)),"Á","A"),"À","A"),"Â","A"),"Ã","A"),"É","E"),"Ê","E"),"Í","I"),"Ó","O"),"Ô","O"),"Õ","O"),"Ú","U"),"Ü","U"),"Ç","C"))</f>
        <v/>
      </c>
      <c r="G36" s="31" t="str">
        <f aca="false">IF(E36="","",IF(LEN(SUBSTITUTE(SUBSTITUTE(SUBSTITUTE(SUBSTITUTE(TRIM(E36),"*",""),".",""),"-","")," ",""))=11,MID(SUBSTITUTE(SUBSTITUTE(SUBSTITUTE(SUBSTITUTE(TRIM(E36),"*",""),".",""),"-","")," ",""),4,6),SUBSTITUTE(SUBSTITUTE(SUBSTITUTE(SUBSTITUTE(TRIM(E36),"*",""),".",""),"-","")," ","")))</f>
        <v/>
      </c>
      <c r="H36" s="31" t="str">
        <f aca="false">IF(OR(F36="",G36=""),"",F36&amp;"|"&amp;G36)</f>
        <v/>
      </c>
      <c r="I36" s="23"/>
      <c r="J36" s="22"/>
      <c r="K36" s="22"/>
      <c r="L36" s="25" t="str">
        <f aca="false">IF(F36="","",IF(AND(H36&lt;&gt;"",COUNTIF(Pessoas!$E:$E,H36)&gt;0),"SIM",IF(COUNTIF(Pessoas!$C:$C,F36)&gt;0,"nome igual em Pessoas: confira o CPF","")))</f>
        <v/>
      </c>
      <c r="M36" s="24"/>
      <c r="N36" s="11"/>
    </row>
    <row r="37" customFormat="false" ht="15" hidden="false" customHeight="false" outlineLevel="0" collapsed="false">
      <c r="A37" s="24"/>
      <c r="B37" s="31" t="str">
        <f aca="false">IF(A37="","",IF(LEN(UPPER(SUBSTITUTE(SUBSTITUTE(SUBSTITUTE(SUBSTITUTE(TRIM(A37),".",""),"/",""),"-","")," ","")))&lt;14,RIGHT(REPT("0",14)&amp;UPPER(SUBSTITUTE(SUBSTITUTE(SUBSTITUTE(SUBSTITUTE(TRIM(A37),".",""),"/",""),"-","")," ","")),14),UPPER(SUBSTITUTE(SUBSTITUTE(SUBSTITUTE(SUBSTITUTE(TRIM(A37),".",""),"/",""),"-","")," ",""))))</f>
        <v/>
      </c>
      <c r="C37" s="25" t="str">
        <f aca="false">IF(B37="","",IFERROR(INDEX(Empresas!$C:$C,MATCH(B37,Empresas!$B:$B,0)),"cadastre o CNPJ em Empresas"))</f>
        <v/>
      </c>
      <c r="D37" s="23"/>
      <c r="E37" s="24"/>
      <c r="F37" s="31" t="str">
        <f aca="false">IF(D37="","",SUBSTITUTE(SUBSTITUTE(SUBSTITUTE(SUBSTITUTE(SUBSTITUTE(SUBSTITUTE(SUBSTITUTE(SUBSTITUTE(SUBSTITUTE(SUBSTITUTE(SUBSTITUTE(SUBSTITUTE(SUBSTITUTE(UPPER(TRIM(D37)),"Á","A"),"À","A"),"Â","A"),"Ã","A"),"É","E"),"Ê","E"),"Í","I"),"Ó","O"),"Ô","O"),"Õ","O"),"Ú","U"),"Ü","U"),"Ç","C"))</f>
        <v/>
      </c>
      <c r="G37" s="31" t="str">
        <f aca="false">IF(E37="","",IF(LEN(SUBSTITUTE(SUBSTITUTE(SUBSTITUTE(SUBSTITUTE(TRIM(E37),"*",""),".",""),"-","")," ",""))=11,MID(SUBSTITUTE(SUBSTITUTE(SUBSTITUTE(SUBSTITUTE(TRIM(E37),"*",""),".",""),"-","")," ",""),4,6),SUBSTITUTE(SUBSTITUTE(SUBSTITUTE(SUBSTITUTE(TRIM(E37),"*",""),".",""),"-","")," ","")))</f>
        <v/>
      </c>
      <c r="H37" s="31" t="str">
        <f aca="false">IF(OR(F37="",G37=""),"",F37&amp;"|"&amp;G37)</f>
        <v/>
      </c>
      <c r="I37" s="23"/>
      <c r="J37" s="22"/>
      <c r="K37" s="22"/>
      <c r="L37" s="25" t="str">
        <f aca="false">IF(F37="","",IF(AND(H37&lt;&gt;"",COUNTIF(Pessoas!$E:$E,H37)&gt;0),"SIM",IF(COUNTIF(Pessoas!$C:$C,F37)&gt;0,"nome igual em Pessoas: confira o CPF","")))</f>
        <v/>
      </c>
      <c r="M37" s="24"/>
      <c r="N37" s="11"/>
    </row>
    <row r="38" customFormat="false" ht="15" hidden="false" customHeight="false" outlineLevel="0" collapsed="false">
      <c r="A38" s="24"/>
      <c r="B38" s="31" t="str">
        <f aca="false">IF(A38="","",IF(LEN(UPPER(SUBSTITUTE(SUBSTITUTE(SUBSTITUTE(SUBSTITUTE(TRIM(A38),".",""),"/",""),"-","")," ","")))&lt;14,RIGHT(REPT("0",14)&amp;UPPER(SUBSTITUTE(SUBSTITUTE(SUBSTITUTE(SUBSTITUTE(TRIM(A38),".",""),"/",""),"-","")," ","")),14),UPPER(SUBSTITUTE(SUBSTITUTE(SUBSTITUTE(SUBSTITUTE(TRIM(A38),".",""),"/",""),"-","")," ",""))))</f>
        <v/>
      </c>
      <c r="C38" s="25" t="str">
        <f aca="false">IF(B38="","",IFERROR(INDEX(Empresas!$C:$C,MATCH(B38,Empresas!$B:$B,0)),"cadastre o CNPJ em Empresas"))</f>
        <v/>
      </c>
      <c r="D38" s="23"/>
      <c r="E38" s="24"/>
      <c r="F38" s="31" t="str">
        <f aca="false">IF(D38="","",SUBSTITUTE(SUBSTITUTE(SUBSTITUTE(SUBSTITUTE(SUBSTITUTE(SUBSTITUTE(SUBSTITUTE(SUBSTITUTE(SUBSTITUTE(SUBSTITUTE(SUBSTITUTE(SUBSTITUTE(SUBSTITUTE(UPPER(TRIM(D38)),"Á","A"),"À","A"),"Â","A"),"Ã","A"),"É","E"),"Ê","E"),"Í","I"),"Ó","O"),"Ô","O"),"Õ","O"),"Ú","U"),"Ü","U"),"Ç","C"))</f>
        <v/>
      </c>
      <c r="G38" s="31" t="str">
        <f aca="false">IF(E38="","",IF(LEN(SUBSTITUTE(SUBSTITUTE(SUBSTITUTE(SUBSTITUTE(TRIM(E38),"*",""),".",""),"-","")," ",""))=11,MID(SUBSTITUTE(SUBSTITUTE(SUBSTITUTE(SUBSTITUTE(TRIM(E38),"*",""),".",""),"-","")," ",""),4,6),SUBSTITUTE(SUBSTITUTE(SUBSTITUTE(SUBSTITUTE(TRIM(E38),"*",""),".",""),"-","")," ","")))</f>
        <v/>
      </c>
      <c r="H38" s="31" t="str">
        <f aca="false">IF(OR(F38="",G38=""),"",F38&amp;"|"&amp;G38)</f>
        <v/>
      </c>
      <c r="I38" s="23"/>
      <c r="J38" s="22"/>
      <c r="K38" s="22"/>
      <c r="L38" s="25" t="str">
        <f aca="false">IF(F38="","",IF(AND(H38&lt;&gt;"",COUNTIF(Pessoas!$E:$E,H38)&gt;0),"SIM",IF(COUNTIF(Pessoas!$C:$C,F38)&gt;0,"nome igual em Pessoas: confira o CPF","")))</f>
        <v/>
      </c>
      <c r="M38" s="24"/>
      <c r="N38" s="11"/>
    </row>
    <row r="39" customFormat="false" ht="15" hidden="false" customHeight="false" outlineLevel="0" collapsed="false">
      <c r="A39" s="24"/>
      <c r="B39" s="31" t="str">
        <f aca="false">IF(A39="","",IF(LEN(UPPER(SUBSTITUTE(SUBSTITUTE(SUBSTITUTE(SUBSTITUTE(TRIM(A39),".",""),"/",""),"-","")," ","")))&lt;14,RIGHT(REPT("0",14)&amp;UPPER(SUBSTITUTE(SUBSTITUTE(SUBSTITUTE(SUBSTITUTE(TRIM(A39),".",""),"/",""),"-","")," ","")),14),UPPER(SUBSTITUTE(SUBSTITUTE(SUBSTITUTE(SUBSTITUTE(TRIM(A39),".",""),"/",""),"-","")," ",""))))</f>
        <v/>
      </c>
      <c r="C39" s="25" t="str">
        <f aca="false">IF(B39="","",IFERROR(INDEX(Empresas!$C:$C,MATCH(B39,Empresas!$B:$B,0)),"cadastre o CNPJ em Empresas"))</f>
        <v/>
      </c>
      <c r="D39" s="23"/>
      <c r="E39" s="24"/>
      <c r="F39" s="31" t="str">
        <f aca="false">IF(D39="","",SUBSTITUTE(SUBSTITUTE(SUBSTITUTE(SUBSTITUTE(SUBSTITUTE(SUBSTITUTE(SUBSTITUTE(SUBSTITUTE(SUBSTITUTE(SUBSTITUTE(SUBSTITUTE(SUBSTITUTE(SUBSTITUTE(UPPER(TRIM(D39)),"Á","A"),"À","A"),"Â","A"),"Ã","A"),"É","E"),"Ê","E"),"Í","I"),"Ó","O"),"Ô","O"),"Õ","O"),"Ú","U"),"Ü","U"),"Ç","C"))</f>
        <v/>
      </c>
      <c r="G39" s="31" t="str">
        <f aca="false">IF(E39="","",IF(LEN(SUBSTITUTE(SUBSTITUTE(SUBSTITUTE(SUBSTITUTE(TRIM(E39),"*",""),".",""),"-","")," ",""))=11,MID(SUBSTITUTE(SUBSTITUTE(SUBSTITUTE(SUBSTITUTE(TRIM(E39),"*",""),".",""),"-","")," ",""),4,6),SUBSTITUTE(SUBSTITUTE(SUBSTITUTE(SUBSTITUTE(TRIM(E39),"*",""),".",""),"-","")," ","")))</f>
        <v/>
      </c>
      <c r="H39" s="31" t="str">
        <f aca="false">IF(OR(F39="",G39=""),"",F39&amp;"|"&amp;G39)</f>
        <v/>
      </c>
      <c r="I39" s="23"/>
      <c r="J39" s="22"/>
      <c r="K39" s="22"/>
      <c r="L39" s="25" t="str">
        <f aca="false">IF(F39="","",IF(AND(H39&lt;&gt;"",COUNTIF(Pessoas!$E:$E,H39)&gt;0),"SIM",IF(COUNTIF(Pessoas!$C:$C,F39)&gt;0,"nome igual em Pessoas: confira o CPF","")))</f>
        <v/>
      </c>
      <c r="M39" s="24"/>
      <c r="N39" s="11"/>
    </row>
    <row r="40" customFormat="false" ht="15" hidden="false" customHeight="false" outlineLevel="0" collapsed="false">
      <c r="A40" s="24"/>
      <c r="B40" s="31" t="str">
        <f aca="false">IF(A40="","",IF(LEN(UPPER(SUBSTITUTE(SUBSTITUTE(SUBSTITUTE(SUBSTITUTE(TRIM(A40),".",""),"/",""),"-","")," ","")))&lt;14,RIGHT(REPT("0",14)&amp;UPPER(SUBSTITUTE(SUBSTITUTE(SUBSTITUTE(SUBSTITUTE(TRIM(A40),".",""),"/",""),"-","")," ","")),14),UPPER(SUBSTITUTE(SUBSTITUTE(SUBSTITUTE(SUBSTITUTE(TRIM(A40),".",""),"/",""),"-","")," ",""))))</f>
        <v/>
      </c>
      <c r="C40" s="25" t="str">
        <f aca="false">IF(B40="","",IFERROR(INDEX(Empresas!$C:$C,MATCH(B40,Empresas!$B:$B,0)),"cadastre o CNPJ em Empresas"))</f>
        <v/>
      </c>
      <c r="D40" s="23"/>
      <c r="E40" s="24"/>
      <c r="F40" s="31" t="str">
        <f aca="false">IF(D40="","",SUBSTITUTE(SUBSTITUTE(SUBSTITUTE(SUBSTITUTE(SUBSTITUTE(SUBSTITUTE(SUBSTITUTE(SUBSTITUTE(SUBSTITUTE(SUBSTITUTE(SUBSTITUTE(SUBSTITUTE(SUBSTITUTE(UPPER(TRIM(D40)),"Á","A"),"À","A"),"Â","A"),"Ã","A"),"É","E"),"Ê","E"),"Í","I"),"Ó","O"),"Ô","O"),"Õ","O"),"Ú","U"),"Ü","U"),"Ç","C"))</f>
        <v/>
      </c>
      <c r="G40" s="31" t="str">
        <f aca="false">IF(E40="","",IF(LEN(SUBSTITUTE(SUBSTITUTE(SUBSTITUTE(SUBSTITUTE(TRIM(E40),"*",""),".",""),"-","")," ",""))=11,MID(SUBSTITUTE(SUBSTITUTE(SUBSTITUTE(SUBSTITUTE(TRIM(E40),"*",""),".",""),"-","")," ",""),4,6),SUBSTITUTE(SUBSTITUTE(SUBSTITUTE(SUBSTITUTE(TRIM(E40),"*",""),".",""),"-","")," ","")))</f>
        <v/>
      </c>
      <c r="H40" s="31" t="str">
        <f aca="false">IF(OR(F40="",G40=""),"",F40&amp;"|"&amp;G40)</f>
        <v/>
      </c>
      <c r="I40" s="23"/>
      <c r="J40" s="22"/>
      <c r="K40" s="22"/>
      <c r="L40" s="25" t="str">
        <f aca="false">IF(F40="","",IF(AND(H40&lt;&gt;"",COUNTIF(Pessoas!$E:$E,H40)&gt;0),"SIM",IF(COUNTIF(Pessoas!$C:$C,F40)&gt;0,"nome igual em Pessoas: confira o CPF","")))</f>
        <v/>
      </c>
      <c r="M40" s="24"/>
      <c r="N40" s="11"/>
    </row>
    <row r="41" customFormat="false" ht="15" hidden="false" customHeight="false" outlineLevel="0" collapsed="false">
      <c r="A41" s="24"/>
      <c r="B41" s="31" t="str">
        <f aca="false">IF(A41="","",IF(LEN(UPPER(SUBSTITUTE(SUBSTITUTE(SUBSTITUTE(SUBSTITUTE(TRIM(A41),".",""),"/",""),"-","")," ","")))&lt;14,RIGHT(REPT("0",14)&amp;UPPER(SUBSTITUTE(SUBSTITUTE(SUBSTITUTE(SUBSTITUTE(TRIM(A41),".",""),"/",""),"-","")," ","")),14),UPPER(SUBSTITUTE(SUBSTITUTE(SUBSTITUTE(SUBSTITUTE(TRIM(A41),".",""),"/",""),"-","")," ",""))))</f>
        <v/>
      </c>
      <c r="C41" s="25" t="str">
        <f aca="false">IF(B41="","",IFERROR(INDEX(Empresas!$C:$C,MATCH(B41,Empresas!$B:$B,0)),"cadastre o CNPJ em Empresas"))</f>
        <v/>
      </c>
      <c r="D41" s="23"/>
      <c r="E41" s="24"/>
      <c r="F41" s="31" t="str">
        <f aca="false">IF(D41="","",SUBSTITUTE(SUBSTITUTE(SUBSTITUTE(SUBSTITUTE(SUBSTITUTE(SUBSTITUTE(SUBSTITUTE(SUBSTITUTE(SUBSTITUTE(SUBSTITUTE(SUBSTITUTE(SUBSTITUTE(SUBSTITUTE(UPPER(TRIM(D41)),"Á","A"),"À","A"),"Â","A"),"Ã","A"),"É","E"),"Ê","E"),"Í","I"),"Ó","O"),"Ô","O"),"Õ","O"),"Ú","U"),"Ü","U"),"Ç","C"))</f>
        <v/>
      </c>
      <c r="G41" s="31" t="str">
        <f aca="false">IF(E41="","",IF(LEN(SUBSTITUTE(SUBSTITUTE(SUBSTITUTE(SUBSTITUTE(TRIM(E41),"*",""),".",""),"-","")," ",""))=11,MID(SUBSTITUTE(SUBSTITUTE(SUBSTITUTE(SUBSTITUTE(TRIM(E41),"*",""),".",""),"-","")," ",""),4,6),SUBSTITUTE(SUBSTITUTE(SUBSTITUTE(SUBSTITUTE(TRIM(E41),"*",""),".",""),"-","")," ","")))</f>
        <v/>
      </c>
      <c r="H41" s="31" t="str">
        <f aca="false">IF(OR(F41="",G41=""),"",F41&amp;"|"&amp;G41)</f>
        <v/>
      </c>
      <c r="I41" s="23"/>
      <c r="J41" s="22"/>
      <c r="K41" s="22"/>
      <c r="L41" s="25" t="str">
        <f aca="false">IF(F41="","",IF(AND(H41&lt;&gt;"",COUNTIF(Pessoas!$E:$E,H41)&gt;0),"SIM",IF(COUNTIF(Pessoas!$C:$C,F41)&gt;0,"nome igual em Pessoas: confira o CPF","")))</f>
        <v/>
      </c>
      <c r="M41" s="24"/>
      <c r="N41" s="11"/>
    </row>
    <row r="42" customFormat="false" ht="15" hidden="false" customHeight="false" outlineLevel="0" collapsed="false">
      <c r="A42" s="24"/>
      <c r="B42" s="31" t="str">
        <f aca="false">IF(A42="","",IF(LEN(UPPER(SUBSTITUTE(SUBSTITUTE(SUBSTITUTE(SUBSTITUTE(TRIM(A42),".",""),"/",""),"-","")," ","")))&lt;14,RIGHT(REPT("0",14)&amp;UPPER(SUBSTITUTE(SUBSTITUTE(SUBSTITUTE(SUBSTITUTE(TRIM(A42),".",""),"/",""),"-","")," ","")),14),UPPER(SUBSTITUTE(SUBSTITUTE(SUBSTITUTE(SUBSTITUTE(TRIM(A42),".",""),"/",""),"-","")," ",""))))</f>
        <v/>
      </c>
      <c r="C42" s="25" t="str">
        <f aca="false">IF(B42="","",IFERROR(INDEX(Empresas!$C:$C,MATCH(B42,Empresas!$B:$B,0)),"cadastre o CNPJ em Empresas"))</f>
        <v/>
      </c>
      <c r="D42" s="23"/>
      <c r="E42" s="24"/>
      <c r="F42" s="31" t="str">
        <f aca="false">IF(D42="","",SUBSTITUTE(SUBSTITUTE(SUBSTITUTE(SUBSTITUTE(SUBSTITUTE(SUBSTITUTE(SUBSTITUTE(SUBSTITUTE(SUBSTITUTE(SUBSTITUTE(SUBSTITUTE(SUBSTITUTE(SUBSTITUTE(UPPER(TRIM(D42)),"Á","A"),"À","A"),"Â","A"),"Ã","A"),"É","E"),"Ê","E"),"Í","I"),"Ó","O"),"Ô","O"),"Õ","O"),"Ú","U"),"Ü","U"),"Ç","C"))</f>
        <v/>
      </c>
      <c r="G42" s="31" t="str">
        <f aca="false">IF(E42="","",IF(LEN(SUBSTITUTE(SUBSTITUTE(SUBSTITUTE(SUBSTITUTE(TRIM(E42),"*",""),".",""),"-","")," ",""))=11,MID(SUBSTITUTE(SUBSTITUTE(SUBSTITUTE(SUBSTITUTE(TRIM(E42),"*",""),".",""),"-","")," ",""),4,6),SUBSTITUTE(SUBSTITUTE(SUBSTITUTE(SUBSTITUTE(TRIM(E42),"*",""),".",""),"-","")," ","")))</f>
        <v/>
      </c>
      <c r="H42" s="31" t="str">
        <f aca="false">IF(OR(F42="",G42=""),"",F42&amp;"|"&amp;G42)</f>
        <v/>
      </c>
      <c r="I42" s="23"/>
      <c r="J42" s="22"/>
      <c r="K42" s="22"/>
      <c r="L42" s="25" t="str">
        <f aca="false">IF(F42="","",IF(AND(H42&lt;&gt;"",COUNTIF(Pessoas!$E:$E,H42)&gt;0),"SIM",IF(COUNTIF(Pessoas!$C:$C,F42)&gt;0,"nome igual em Pessoas: confira o CPF","")))</f>
        <v/>
      </c>
      <c r="M42" s="24"/>
      <c r="N42" s="11"/>
    </row>
    <row r="43" customFormat="false" ht="15" hidden="false" customHeight="false" outlineLevel="0" collapsed="false">
      <c r="A43" s="24"/>
      <c r="B43" s="31" t="str">
        <f aca="false">IF(A43="","",IF(LEN(UPPER(SUBSTITUTE(SUBSTITUTE(SUBSTITUTE(SUBSTITUTE(TRIM(A43),".",""),"/",""),"-","")," ","")))&lt;14,RIGHT(REPT("0",14)&amp;UPPER(SUBSTITUTE(SUBSTITUTE(SUBSTITUTE(SUBSTITUTE(TRIM(A43),".",""),"/",""),"-","")," ","")),14),UPPER(SUBSTITUTE(SUBSTITUTE(SUBSTITUTE(SUBSTITUTE(TRIM(A43),".",""),"/",""),"-","")," ",""))))</f>
        <v/>
      </c>
      <c r="C43" s="25" t="str">
        <f aca="false">IF(B43="","",IFERROR(INDEX(Empresas!$C:$C,MATCH(B43,Empresas!$B:$B,0)),"cadastre o CNPJ em Empresas"))</f>
        <v/>
      </c>
      <c r="D43" s="23"/>
      <c r="E43" s="24"/>
      <c r="F43" s="31" t="str">
        <f aca="false">IF(D43="","",SUBSTITUTE(SUBSTITUTE(SUBSTITUTE(SUBSTITUTE(SUBSTITUTE(SUBSTITUTE(SUBSTITUTE(SUBSTITUTE(SUBSTITUTE(SUBSTITUTE(SUBSTITUTE(SUBSTITUTE(SUBSTITUTE(UPPER(TRIM(D43)),"Á","A"),"À","A"),"Â","A"),"Ã","A"),"É","E"),"Ê","E"),"Í","I"),"Ó","O"),"Ô","O"),"Õ","O"),"Ú","U"),"Ü","U"),"Ç","C"))</f>
        <v/>
      </c>
      <c r="G43" s="31" t="str">
        <f aca="false">IF(E43="","",IF(LEN(SUBSTITUTE(SUBSTITUTE(SUBSTITUTE(SUBSTITUTE(TRIM(E43),"*",""),".",""),"-","")," ",""))=11,MID(SUBSTITUTE(SUBSTITUTE(SUBSTITUTE(SUBSTITUTE(TRIM(E43),"*",""),".",""),"-","")," ",""),4,6),SUBSTITUTE(SUBSTITUTE(SUBSTITUTE(SUBSTITUTE(TRIM(E43),"*",""),".",""),"-","")," ","")))</f>
        <v/>
      </c>
      <c r="H43" s="31" t="str">
        <f aca="false">IF(OR(F43="",G43=""),"",F43&amp;"|"&amp;G43)</f>
        <v/>
      </c>
      <c r="I43" s="23"/>
      <c r="J43" s="22"/>
      <c r="K43" s="22"/>
      <c r="L43" s="25" t="str">
        <f aca="false">IF(F43="","",IF(AND(H43&lt;&gt;"",COUNTIF(Pessoas!$E:$E,H43)&gt;0),"SIM",IF(COUNTIF(Pessoas!$C:$C,F43)&gt;0,"nome igual em Pessoas: confira o CPF","")))</f>
        <v/>
      </c>
      <c r="M43" s="24"/>
      <c r="N43" s="11"/>
    </row>
    <row r="44" customFormat="false" ht="15" hidden="false" customHeight="false" outlineLevel="0" collapsed="false">
      <c r="A44" s="24"/>
      <c r="B44" s="31" t="str">
        <f aca="false">IF(A44="","",IF(LEN(UPPER(SUBSTITUTE(SUBSTITUTE(SUBSTITUTE(SUBSTITUTE(TRIM(A44),".",""),"/",""),"-","")," ","")))&lt;14,RIGHT(REPT("0",14)&amp;UPPER(SUBSTITUTE(SUBSTITUTE(SUBSTITUTE(SUBSTITUTE(TRIM(A44),".",""),"/",""),"-","")," ","")),14),UPPER(SUBSTITUTE(SUBSTITUTE(SUBSTITUTE(SUBSTITUTE(TRIM(A44),".",""),"/",""),"-","")," ",""))))</f>
        <v/>
      </c>
      <c r="C44" s="25" t="str">
        <f aca="false">IF(B44="","",IFERROR(INDEX(Empresas!$C:$C,MATCH(B44,Empresas!$B:$B,0)),"cadastre o CNPJ em Empresas"))</f>
        <v/>
      </c>
      <c r="D44" s="23"/>
      <c r="E44" s="24"/>
      <c r="F44" s="31" t="str">
        <f aca="false">IF(D44="","",SUBSTITUTE(SUBSTITUTE(SUBSTITUTE(SUBSTITUTE(SUBSTITUTE(SUBSTITUTE(SUBSTITUTE(SUBSTITUTE(SUBSTITUTE(SUBSTITUTE(SUBSTITUTE(SUBSTITUTE(SUBSTITUTE(UPPER(TRIM(D44)),"Á","A"),"À","A"),"Â","A"),"Ã","A"),"É","E"),"Ê","E"),"Í","I"),"Ó","O"),"Ô","O"),"Õ","O"),"Ú","U"),"Ü","U"),"Ç","C"))</f>
        <v/>
      </c>
      <c r="G44" s="31" t="str">
        <f aca="false">IF(E44="","",IF(LEN(SUBSTITUTE(SUBSTITUTE(SUBSTITUTE(SUBSTITUTE(TRIM(E44),"*",""),".",""),"-","")," ",""))=11,MID(SUBSTITUTE(SUBSTITUTE(SUBSTITUTE(SUBSTITUTE(TRIM(E44),"*",""),".",""),"-","")," ",""),4,6),SUBSTITUTE(SUBSTITUTE(SUBSTITUTE(SUBSTITUTE(TRIM(E44),"*",""),".",""),"-","")," ","")))</f>
        <v/>
      </c>
      <c r="H44" s="31" t="str">
        <f aca="false">IF(OR(F44="",G44=""),"",F44&amp;"|"&amp;G44)</f>
        <v/>
      </c>
      <c r="I44" s="23"/>
      <c r="J44" s="22"/>
      <c r="K44" s="22"/>
      <c r="L44" s="25" t="str">
        <f aca="false">IF(F44="","",IF(AND(H44&lt;&gt;"",COUNTIF(Pessoas!$E:$E,H44)&gt;0),"SIM",IF(COUNTIF(Pessoas!$C:$C,F44)&gt;0,"nome igual em Pessoas: confira o CPF","")))</f>
        <v/>
      </c>
      <c r="M44" s="24"/>
      <c r="N44" s="11"/>
    </row>
    <row r="45" customFormat="false" ht="15" hidden="false" customHeight="false" outlineLevel="0" collapsed="false">
      <c r="A45" s="24"/>
      <c r="B45" s="31" t="str">
        <f aca="false">IF(A45="","",IF(LEN(UPPER(SUBSTITUTE(SUBSTITUTE(SUBSTITUTE(SUBSTITUTE(TRIM(A45),".",""),"/",""),"-","")," ","")))&lt;14,RIGHT(REPT("0",14)&amp;UPPER(SUBSTITUTE(SUBSTITUTE(SUBSTITUTE(SUBSTITUTE(TRIM(A45),".",""),"/",""),"-","")," ","")),14),UPPER(SUBSTITUTE(SUBSTITUTE(SUBSTITUTE(SUBSTITUTE(TRIM(A45),".",""),"/",""),"-","")," ",""))))</f>
        <v/>
      </c>
      <c r="C45" s="25" t="str">
        <f aca="false">IF(B45="","",IFERROR(INDEX(Empresas!$C:$C,MATCH(B45,Empresas!$B:$B,0)),"cadastre o CNPJ em Empresas"))</f>
        <v/>
      </c>
      <c r="D45" s="23"/>
      <c r="E45" s="24"/>
      <c r="F45" s="31" t="str">
        <f aca="false">IF(D45="","",SUBSTITUTE(SUBSTITUTE(SUBSTITUTE(SUBSTITUTE(SUBSTITUTE(SUBSTITUTE(SUBSTITUTE(SUBSTITUTE(SUBSTITUTE(SUBSTITUTE(SUBSTITUTE(SUBSTITUTE(SUBSTITUTE(UPPER(TRIM(D45)),"Á","A"),"À","A"),"Â","A"),"Ã","A"),"É","E"),"Ê","E"),"Í","I"),"Ó","O"),"Ô","O"),"Õ","O"),"Ú","U"),"Ü","U"),"Ç","C"))</f>
        <v/>
      </c>
      <c r="G45" s="31" t="str">
        <f aca="false">IF(E45="","",IF(LEN(SUBSTITUTE(SUBSTITUTE(SUBSTITUTE(SUBSTITUTE(TRIM(E45),"*",""),".",""),"-","")," ",""))=11,MID(SUBSTITUTE(SUBSTITUTE(SUBSTITUTE(SUBSTITUTE(TRIM(E45),"*",""),".",""),"-","")," ",""),4,6),SUBSTITUTE(SUBSTITUTE(SUBSTITUTE(SUBSTITUTE(TRIM(E45),"*",""),".",""),"-","")," ","")))</f>
        <v/>
      </c>
      <c r="H45" s="31" t="str">
        <f aca="false">IF(OR(F45="",G45=""),"",F45&amp;"|"&amp;G45)</f>
        <v/>
      </c>
      <c r="I45" s="23"/>
      <c r="J45" s="22"/>
      <c r="K45" s="22"/>
      <c r="L45" s="25" t="str">
        <f aca="false">IF(F45="","",IF(AND(H45&lt;&gt;"",COUNTIF(Pessoas!$E:$E,H45)&gt;0),"SIM",IF(COUNTIF(Pessoas!$C:$C,F45)&gt;0,"nome igual em Pessoas: confira o CPF","")))</f>
        <v/>
      </c>
      <c r="M45" s="24"/>
      <c r="N45" s="11"/>
    </row>
    <row r="46" customFormat="false" ht="15" hidden="false" customHeight="false" outlineLevel="0" collapsed="false">
      <c r="A46" s="24"/>
      <c r="B46" s="31" t="str">
        <f aca="false">IF(A46="","",IF(LEN(UPPER(SUBSTITUTE(SUBSTITUTE(SUBSTITUTE(SUBSTITUTE(TRIM(A46),".",""),"/",""),"-","")," ","")))&lt;14,RIGHT(REPT("0",14)&amp;UPPER(SUBSTITUTE(SUBSTITUTE(SUBSTITUTE(SUBSTITUTE(TRIM(A46),".",""),"/",""),"-","")," ","")),14),UPPER(SUBSTITUTE(SUBSTITUTE(SUBSTITUTE(SUBSTITUTE(TRIM(A46),".",""),"/",""),"-","")," ",""))))</f>
        <v/>
      </c>
      <c r="C46" s="25" t="str">
        <f aca="false">IF(B46="","",IFERROR(INDEX(Empresas!$C:$C,MATCH(B46,Empresas!$B:$B,0)),"cadastre o CNPJ em Empresas"))</f>
        <v/>
      </c>
      <c r="D46" s="23"/>
      <c r="E46" s="24"/>
      <c r="F46" s="31" t="str">
        <f aca="false">IF(D46="","",SUBSTITUTE(SUBSTITUTE(SUBSTITUTE(SUBSTITUTE(SUBSTITUTE(SUBSTITUTE(SUBSTITUTE(SUBSTITUTE(SUBSTITUTE(SUBSTITUTE(SUBSTITUTE(SUBSTITUTE(SUBSTITUTE(UPPER(TRIM(D46)),"Á","A"),"À","A"),"Â","A"),"Ã","A"),"É","E"),"Ê","E"),"Í","I"),"Ó","O"),"Ô","O"),"Õ","O"),"Ú","U"),"Ü","U"),"Ç","C"))</f>
        <v/>
      </c>
      <c r="G46" s="31" t="str">
        <f aca="false">IF(E46="","",IF(LEN(SUBSTITUTE(SUBSTITUTE(SUBSTITUTE(SUBSTITUTE(TRIM(E46),"*",""),".",""),"-","")," ",""))=11,MID(SUBSTITUTE(SUBSTITUTE(SUBSTITUTE(SUBSTITUTE(TRIM(E46),"*",""),".",""),"-","")," ",""),4,6),SUBSTITUTE(SUBSTITUTE(SUBSTITUTE(SUBSTITUTE(TRIM(E46),"*",""),".",""),"-","")," ","")))</f>
        <v/>
      </c>
      <c r="H46" s="31" t="str">
        <f aca="false">IF(OR(F46="",G46=""),"",F46&amp;"|"&amp;G46)</f>
        <v/>
      </c>
      <c r="I46" s="23"/>
      <c r="J46" s="22"/>
      <c r="K46" s="22"/>
      <c r="L46" s="25" t="str">
        <f aca="false">IF(F46="","",IF(AND(H46&lt;&gt;"",COUNTIF(Pessoas!$E:$E,H46)&gt;0),"SIM",IF(COUNTIF(Pessoas!$C:$C,F46)&gt;0,"nome igual em Pessoas: confira o CPF","")))</f>
        <v/>
      </c>
      <c r="M46" s="24"/>
      <c r="N46" s="11"/>
    </row>
    <row r="47" customFormat="false" ht="15" hidden="false" customHeight="false" outlineLevel="0" collapsed="false">
      <c r="A47" s="24"/>
      <c r="B47" s="31" t="str">
        <f aca="false">IF(A47="","",IF(LEN(UPPER(SUBSTITUTE(SUBSTITUTE(SUBSTITUTE(SUBSTITUTE(TRIM(A47),".",""),"/",""),"-","")," ","")))&lt;14,RIGHT(REPT("0",14)&amp;UPPER(SUBSTITUTE(SUBSTITUTE(SUBSTITUTE(SUBSTITUTE(TRIM(A47),".",""),"/",""),"-","")," ","")),14),UPPER(SUBSTITUTE(SUBSTITUTE(SUBSTITUTE(SUBSTITUTE(TRIM(A47),".",""),"/",""),"-","")," ",""))))</f>
        <v/>
      </c>
      <c r="C47" s="25" t="str">
        <f aca="false">IF(B47="","",IFERROR(INDEX(Empresas!$C:$C,MATCH(B47,Empresas!$B:$B,0)),"cadastre o CNPJ em Empresas"))</f>
        <v/>
      </c>
      <c r="D47" s="23"/>
      <c r="E47" s="24"/>
      <c r="F47" s="31" t="str">
        <f aca="false">IF(D47="","",SUBSTITUTE(SUBSTITUTE(SUBSTITUTE(SUBSTITUTE(SUBSTITUTE(SUBSTITUTE(SUBSTITUTE(SUBSTITUTE(SUBSTITUTE(SUBSTITUTE(SUBSTITUTE(SUBSTITUTE(SUBSTITUTE(UPPER(TRIM(D47)),"Á","A"),"À","A"),"Â","A"),"Ã","A"),"É","E"),"Ê","E"),"Í","I"),"Ó","O"),"Ô","O"),"Õ","O"),"Ú","U"),"Ü","U"),"Ç","C"))</f>
        <v/>
      </c>
      <c r="G47" s="31" t="str">
        <f aca="false">IF(E47="","",IF(LEN(SUBSTITUTE(SUBSTITUTE(SUBSTITUTE(SUBSTITUTE(TRIM(E47),"*",""),".",""),"-","")," ",""))=11,MID(SUBSTITUTE(SUBSTITUTE(SUBSTITUTE(SUBSTITUTE(TRIM(E47),"*",""),".",""),"-","")," ",""),4,6),SUBSTITUTE(SUBSTITUTE(SUBSTITUTE(SUBSTITUTE(TRIM(E47),"*",""),".",""),"-","")," ","")))</f>
        <v/>
      </c>
      <c r="H47" s="31" t="str">
        <f aca="false">IF(OR(F47="",G47=""),"",F47&amp;"|"&amp;G47)</f>
        <v/>
      </c>
      <c r="I47" s="23"/>
      <c r="J47" s="22"/>
      <c r="K47" s="22"/>
      <c r="L47" s="25" t="str">
        <f aca="false">IF(F47="","",IF(AND(H47&lt;&gt;"",COUNTIF(Pessoas!$E:$E,H47)&gt;0),"SIM",IF(COUNTIF(Pessoas!$C:$C,F47)&gt;0,"nome igual em Pessoas: confira o CPF","")))</f>
        <v/>
      </c>
      <c r="M47" s="24"/>
      <c r="N47" s="11"/>
    </row>
    <row r="48" customFormat="false" ht="15" hidden="false" customHeight="false" outlineLevel="0" collapsed="false">
      <c r="A48" s="24"/>
      <c r="B48" s="31" t="str">
        <f aca="false">IF(A48="","",IF(LEN(UPPER(SUBSTITUTE(SUBSTITUTE(SUBSTITUTE(SUBSTITUTE(TRIM(A48),".",""),"/",""),"-","")," ","")))&lt;14,RIGHT(REPT("0",14)&amp;UPPER(SUBSTITUTE(SUBSTITUTE(SUBSTITUTE(SUBSTITUTE(TRIM(A48),".",""),"/",""),"-","")," ","")),14),UPPER(SUBSTITUTE(SUBSTITUTE(SUBSTITUTE(SUBSTITUTE(TRIM(A48),".",""),"/",""),"-","")," ",""))))</f>
        <v/>
      </c>
      <c r="C48" s="25" t="str">
        <f aca="false">IF(B48="","",IFERROR(INDEX(Empresas!$C:$C,MATCH(B48,Empresas!$B:$B,0)),"cadastre o CNPJ em Empresas"))</f>
        <v/>
      </c>
      <c r="D48" s="23"/>
      <c r="E48" s="24"/>
      <c r="F48" s="31" t="str">
        <f aca="false">IF(D48="","",SUBSTITUTE(SUBSTITUTE(SUBSTITUTE(SUBSTITUTE(SUBSTITUTE(SUBSTITUTE(SUBSTITUTE(SUBSTITUTE(SUBSTITUTE(SUBSTITUTE(SUBSTITUTE(SUBSTITUTE(SUBSTITUTE(UPPER(TRIM(D48)),"Á","A"),"À","A"),"Â","A"),"Ã","A"),"É","E"),"Ê","E"),"Í","I"),"Ó","O"),"Ô","O"),"Õ","O"),"Ú","U"),"Ü","U"),"Ç","C"))</f>
        <v/>
      </c>
      <c r="G48" s="31" t="str">
        <f aca="false">IF(E48="","",IF(LEN(SUBSTITUTE(SUBSTITUTE(SUBSTITUTE(SUBSTITUTE(TRIM(E48),"*",""),".",""),"-","")," ",""))=11,MID(SUBSTITUTE(SUBSTITUTE(SUBSTITUTE(SUBSTITUTE(TRIM(E48),"*",""),".",""),"-","")," ",""),4,6),SUBSTITUTE(SUBSTITUTE(SUBSTITUTE(SUBSTITUTE(TRIM(E48),"*",""),".",""),"-","")," ","")))</f>
        <v/>
      </c>
      <c r="H48" s="31" t="str">
        <f aca="false">IF(OR(F48="",G48=""),"",F48&amp;"|"&amp;G48)</f>
        <v/>
      </c>
      <c r="I48" s="23"/>
      <c r="J48" s="22"/>
      <c r="K48" s="22"/>
      <c r="L48" s="25" t="str">
        <f aca="false">IF(F48="","",IF(AND(H48&lt;&gt;"",COUNTIF(Pessoas!$E:$E,H48)&gt;0),"SIM",IF(COUNTIF(Pessoas!$C:$C,F48)&gt;0,"nome igual em Pessoas: confira o CPF","")))</f>
        <v/>
      </c>
      <c r="M48" s="24"/>
      <c r="N48" s="11"/>
    </row>
    <row r="49" customFormat="false" ht="15" hidden="false" customHeight="false" outlineLevel="0" collapsed="false">
      <c r="A49" s="24"/>
      <c r="B49" s="31" t="str">
        <f aca="false">IF(A49="","",IF(LEN(UPPER(SUBSTITUTE(SUBSTITUTE(SUBSTITUTE(SUBSTITUTE(TRIM(A49),".",""),"/",""),"-","")," ","")))&lt;14,RIGHT(REPT("0",14)&amp;UPPER(SUBSTITUTE(SUBSTITUTE(SUBSTITUTE(SUBSTITUTE(TRIM(A49),".",""),"/",""),"-","")," ","")),14),UPPER(SUBSTITUTE(SUBSTITUTE(SUBSTITUTE(SUBSTITUTE(TRIM(A49),".",""),"/",""),"-","")," ",""))))</f>
        <v/>
      </c>
      <c r="C49" s="25" t="str">
        <f aca="false">IF(B49="","",IFERROR(INDEX(Empresas!$C:$C,MATCH(B49,Empresas!$B:$B,0)),"cadastre o CNPJ em Empresas"))</f>
        <v/>
      </c>
      <c r="D49" s="23"/>
      <c r="E49" s="24"/>
      <c r="F49" s="31" t="str">
        <f aca="false">IF(D49="","",SUBSTITUTE(SUBSTITUTE(SUBSTITUTE(SUBSTITUTE(SUBSTITUTE(SUBSTITUTE(SUBSTITUTE(SUBSTITUTE(SUBSTITUTE(SUBSTITUTE(SUBSTITUTE(SUBSTITUTE(SUBSTITUTE(UPPER(TRIM(D49)),"Á","A"),"À","A"),"Â","A"),"Ã","A"),"É","E"),"Ê","E"),"Í","I"),"Ó","O"),"Ô","O"),"Õ","O"),"Ú","U"),"Ü","U"),"Ç","C"))</f>
        <v/>
      </c>
      <c r="G49" s="31" t="str">
        <f aca="false">IF(E49="","",IF(LEN(SUBSTITUTE(SUBSTITUTE(SUBSTITUTE(SUBSTITUTE(TRIM(E49),"*",""),".",""),"-","")," ",""))=11,MID(SUBSTITUTE(SUBSTITUTE(SUBSTITUTE(SUBSTITUTE(TRIM(E49),"*",""),".",""),"-","")," ",""),4,6),SUBSTITUTE(SUBSTITUTE(SUBSTITUTE(SUBSTITUTE(TRIM(E49),"*",""),".",""),"-","")," ","")))</f>
        <v/>
      </c>
      <c r="H49" s="31" t="str">
        <f aca="false">IF(OR(F49="",G49=""),"",F49&amp;"|"&amp;G49)</f>
        <v/>
      </c>
      <c r="I49" s="23"/>
      <c r="J49" s="22"/>
      <c r="K49" s="22"/>
      <c r="L49" s="25" t="str">
        <f aca="false">IF(F49="","",IF(AND(H49&lt;&gt;"",COUNTIF(Pessoas!$E:$E,H49)&gt;0),"SIM",IF(COUNTIF(Pessoas!$C:$C,F49)&gt;0,"nome igual em Pessoas: confira o CPF","")))</f>
        <v/>
      </c>
      <c r="M49" s="24"/>
      <c r="N49" s="11"/>
    </row>
    <row r="50" customFormat="false" ht="15" hidden="false" customHeight="false" outlineLevel="0" collapsed="false">
      <c r="A50" s="24"/>
      <c r="B50" s="31" t="str">
        <f aca="false">IF(A50="","",IF(LEN(UPPER(SUBSTITUTE(SUBSTITUTE(SUBSTITUTE(SUBSTITUTE(TRIM(A50),".",""),"/",""),"-","")," ","")))&lt;14,RIGHT(REPT("0",14)&amp;UPPER(SUBSTITUTE(SUBSTITUTE(SUBSTITUTE(SUBSTITUTE(TRIM(A50),".",""),"/",""),"-","")," ","")),14),UPPER(SUBSTITUTE(SUBSTITUTE(SUBSTITUTE(SUBSTITUTE(TRIM(A50),".",""),"/",""),"-","")," ",""))))</f>
        <v/>
      </c>
      <c r="C50" s="25" t="str">
        <f aca="false">IF(B50="","",IFERROR(INDEX(Empresas!$C:$C,MATCH(B50,Empresas!$B:$B,0)),"cadastre o CNPJ em Empresas"))</f>
        <v/>
      </c>
      <c r="D50" s="23"/>
      <c r="E50" s="24"/>
      <c r="F50" s="31" t="str">
        <f aca="false">IF(D50="","",SUBSTITUTE(SUBSTITUTE(SUBSTITUTE(SUBSTITUTE(SUBSTITUTE(SUBSTITUTE(SUBSTITUTE(SUBSTITUTE(SUBSTITUTE(SUBSTITUTE(SUBSTITUTE(SUBSTITUTE(SUBSTITUTE(UPPER(TRIM(D50)),"Á","A"),"À","A"),"Â","A"),"Ã","A"),"É","E"),"Ê","E"),"Í","I"),"Ó","O"),"Ô","O"),"Õ","O"),"Ú","U"),"Ü","U"),"Ç","C"))</f>
        <v/>
      </c>
      <c r="G50" s="31" t="str">
        <f aca="false">IF(E50="","",IF(LEN(SUBSTITUTE(SUBSTITUTE(SUBSTITUTE(SUBSTITUTE(TRIM(E50),"*",""),".",""),"-","")," ",""))=11,MID(SUBSTITUTE(SUBSTITUTE(SUBSTITUTE(SUBSTITUTE(TRIM(E50),"*",""),".",""),"-","")," ",""),4,6),SUBSTITUTE(SUBSTITUTE(SUBSTITUTE(SUBSTITUTE(TRIM(E50),"*",""),".",""),"-","")," ","")))</f>
        <v/>
      </c>
      <c r="H50" s="31" t="str">
        <f aca="false">IF(OR(F50="",G50=""),"",F50&amp;"|"&amp;G50)</f>
        <v/>
      </c>
      <c r="I50" s="23"/>
      <c r="J50" s="22"/>
      <c r="K50" s="22"/>
      <c r="L50" s="25" t="str">
        <f aca="false">IF(F50="","",IF(AND(H50&lt;&gt;"",COUNTIF(Pessoas!$E:$E,H50)&gt;0),"SIM",IF(COUNTIF(Pessoas!$C:$C,F50)&gt;0,"nome igual em Pessoas: confira o CPF","")))</f>
        <v/>
      </c>
      <c r="M50" s="24"/>
      <c r="N50" s="11"/>
    </row>
    <row r="51" customFormat="false" ht="15" hidden="false" customHeight="false" outlineLevel="0" collapsed="false">
      <c r="A51" s="24"/>
      <c r="B51" s="31" t="str">
        <f aca="false">IF(A51="","",IF(LEN(UPPER(SUBSTITUTE(SUBSTITUTE(SUBSTITUTE(SUBSTITUTE(TRIM(A51),".",""),"/",""),"-","")," ","")))&lt;14,RIGHT(REPT("0",14)&amp;UPPER(SUBSTITUTE(SUBSTITUTE(SUBSTITUTE(SUBSTITUTE(TRIM(A51),".",""),"/",""),"-","")," ","")),14),UPPER(SUBSTITUTE(SUBSTITUTE(SUBSTITUTE(SUBSTITUTE(TRIM(A51),".",""),"/",""),"-","")," ",""))))</f>
        <v/>
      </c>
      <c r="C51" s="25" t="str">
        <f aca="false">IF(B51="","",IFERROR(INDEX(Empresas!$C:$C,MATCH(B51,Empresas!$B:$B,0)),"cadastre o CNPJ em Empresas"))</f>
        <v/>
      </c>
      <c r="D51" s="23"/>
      <c r="E51" s="24"/>
      <c r="F51" s="31" t="str">
        <f aca="false">IF(D51="","",SUBSTITUTE(SUBSTITUTE(SUBSTITUTE(SUBSTITUTE(SUBSTITUTE(SUBSTITUTE(SUBSTITUTE(SUBSTITUTE(SUBSTITUTE(SUBSTITUTE(SUBSTITUTE(SUBSTITUTE(SUBSTITUTE(UPPER(TRIM(D51)),"Á","A"),"À","A"),"Â","A"),"Ã","A"),"É","E"),"Ê","E"),"Í","I"),"Ó","O"),"Ô","O"),"Õ","O"),"Ú","U"),"Ü","U"),"Ç","C"))</f>
        <v/>
      </c>
      <c r="G51" s="31" t="str">
        <f aca="false">IF(E51="","",IF(LEN(SUBSTITUTE(SUBSTITUTE(SUBSTITUTE(SUBSTITUTE(TRIM(E51),"*",""),".",""),"-","")," ",""))=11,MID(SUBSTITUTE(SUBSTITUTE(SUBSTITUTE(SUBSTITUTE(TRIM(E51),"*",""),".",""),"-","")," ",""),4,6),SUBSTITUTE(SUBSTITUTE(SUBSTITUTE(SUBSTITUTE(TRIM(E51),"*",""),".",""),"-","")," ","")))</f>
        <v/>
      </c>
      <c r="H51" s="31" t="str">
        <f aca="false">IF(OR(F51="",G51=""),"",F51&amp;"|"&amp;G51)</f>
        <v/>
      </c>
      <c r="I51" s="23"/>
      <c r="J51" s="22"/>
      <c r="K51" s="22"/>
      <c r="L51" s="25" t="str">
        <f aca="false">IF(F51="","",IF(AND(H51&lt;&gt;"",COUNTIF(Pessoas!$E:$E,H51)&gt;0),"SIM",IF(COUNTIF(Pessoas!$C:$C,F51)&gt;0,"nome igual em Pessoas: confira o CPF","")))</f>
        <v/>
      </c>
      <c r="M51" s="24"/>
      <c r="N51" s="11"/>
    </row>
    <row r="52" customFormat="false" ht="15" hidden="false" customHeight="false" outlineLevel="0" collapsed="false">
      <c r="A52" s="24"/>
      <c r="B52" s="31" t="str">
        <f aca="false">IF(A52="","",IF(LEN(UPPER(SUBSTITUTE(SUBSTITUTE(SUBSTITUTE(SUBSTITUTE(TRIM(A52),".",""),"/",""),"-","")," ","")))&lt;14,RIGHT(REPT("0",14)&amp;UPPER(SUBSTITUTE(SUBSTITUTE(SUBSTITUTE(SUBSTITUTE(TRIM(A52),".",""),"/",""),"-","")," ","")),14),UPPER(SUBSTITUTE(SUBSTITUTE(SUBSTITUTE(SUBSTITUTE(TRIM(A52),".",""),"/",""),"-","")," ",""))))</f>
        <v/>
      </c>
      <c r="C52" s="25" t="str">
        <f aca="false">IF(B52="","",IFERROR(INDEX(Empresas!$C:$C,MATCH(B52,Empresas!$B:$B,0)),"cadastre o CNPJ em Empresas"))</f>
        <v/>
      </c>
      <c r="D52" s="23"/>
      <c r="E52" s="24"/>
      <c r="F52" s="31" t="str">
        <f aca="false">IF(D52="","",SUBSTITUTE(SUBSTITUTE(SUBSTITUTE(SUBSTITUTE(SUBSTITUTE(SUBSTITUTE(SUBSTITUTE(SUBSTITUTE(SUBSTITUTE(SUBSTITUTE(SUBSTITUTE(SUBSTITUTE(SUBSTITUTE(UPPER(TRIM(D52)),"Á","A"),"À","A"),"Â","A"),"Ã","A"),"É","E"),"Ê","E"),"Í","I"),"Ó","O"),"Ô","O"),"Õ","O"),"Ú","U"),"Ü","U"),"Ç","C"))</f>
        <v/>
      </c>
      <c r="G52" s="31" t="str">
        <f aca="false">IF(E52="","",IF(LEN(SUBSTITUTE(SUBSTITUTE(SUBSTITUTE(SUBSTITUTE(TRIM(E52),"*",""),".",""),"-","")," ",""))=11,MID(SUBSTITUTE(SUBSTITUTE(SUBSTITUTE(SUBSTITUTE(TRIM(E52),"*",""),".",""),"-","")," ",""),4,6),SUBSTITUTE(SUBSTITUTE(SUBSTITUTE(SUBSTITUTE(TRIM(E52),"*",""),".",""),"-","")," ","")))</f>
        <v/>
      </c>
      <c r="H52" s="31" t="str">
        <f aca="false">IF(OR(F52="",G52=""),"",F52&amp;"|"&amp;G52)</f>
        <v/>
      </c>
      <c r="I52" s="23"/>
      <c r="J52" s="22"/>
      <c r="K52" s="22"/>
      <c r="L52" s="25" t="str">
        <f aca="false">IF(F52="","",IF(AND(H52&lt;&gt;"",COUNTIF(Pessoas!$E:$E,H52)&gt;0),"SIM",IF(COUNTIF(Pessoas!$C:$C,F52)&gt;0,"nome igual em Pessoas: confira o CPF","")))</f>
        <v/>
      </c>
      <c r="M52" s="24"/>
      <c r="N52" s="11"/>
    </row>
    <row r="53" customFormat="false" ht="15" hidden="false" customHeight="false" outlineLevel="0" collapsed="false">
      <c r="A53" s="24"/>
      <c r="B53" s="31" t="str">
        <f aca="false">IF(A53="","",IF(LEN(UPPER(SUBSTITUTE(SUBSTITUTE(SUBSTITUTE(SUBSTITUTE(TRIM(A53),".",""),"/",""),"-","")," ","")))&lt;14,RIGHT(REPT("0",14)&amp;UPPER(SUBSTITUTE(SUBSTITUTE(SUBSTITUTE(SUBSTITUTE(TRIM(A53),".",""),"/",""),"-","")," ","")),14),UPPER(SUBSTITUTE(SUBSTITUTE(SUBSTITUTE(SUBSTITUTE(TRIM(A53),".",""),"/",""),"-","")," ",""))))</f>
        <v/>
      </c>
      <c r="C53" s="25" t="str">
        <f aca="false">IF(B53="","",IFERROR(INDEX(Empresas!$C:$C,MATCH(B53,Empresas!$B:$B,0)),"cadastre o CNPJ em Empresas"))</f>
        <v/>
      </c>
      <c r="D53" s="23"/>
      <c r="E53" s="24"/>
      <c r="F53" s="31" t="str">
        <f aca="false">IF(D53="","",SUBSTITUTE(SUBSTITUTE(SUBSTITUTE(SUBSTITUTE(SUBSTITUTE(SUBSTITUTE(SUBSTITUTE(SUBSTITUTE(SUBSTITUTE(SUBSTITUTE(SUBSTITUTE(SUBSTITUTE(SUBSTITUTE(UPPER(TRIM(D53)),"Á","A"),"À","A"),"Â","A"),"Ã","A"),"É","E"),"Ê","E"),"Í","I"),"Ó","O"),"Ô","O"),"Õ","O"),"Ú","U"),"Ü","U"),"Ç","C"))</f>
        <v/>
      </c>
      <c r="G53" s="31" t="str">
        <f aca="false">IF(E53="","",IF(LEN(SUBSTITUTE(SUBSTITUTE(SUBSTITUTE(SUBSTITUTE(TRIM(E53),"*",""),".",""),"-","")," ",""))=11,MID(SUBSTITUTE(SUBSTITUTE(SUBSTITUTE(SUBSTITUTE(TRIM(E53),"*",""),".",""),"-","")," ",""),4,6),SUBSTITUTE(SUBSTITUTE(SUBSTITUTE(SUBSTITUTE(TRIM(E53),"*",""),".",""),"-","")," ","")))</f>
        <v/>
      </c>
      <c r="H53" s="31" t="str">
        <f aca="false">IF(OR(F53="",G53=""),"",F53&amp;"|"&amp;G53)</f>
        <v/>
      </c>
      <c r="I53" s="23"/>
      <c r="J53" s="22"/>
      <c r="K53" s="22"/>
      <c r="L53" s="25" t="str">
        <f aca="false">IF(F53="","",IF(AND(H53&lt;&gt;"",COUNTIF(Pessoas!$E:$E,H53)&gt;0),"SIM",IF(COUNTIF(Pessoas!$C:$C,F53)&gt;0,"nome igual em Pessoas: confira o CPF","")))</f>
        <v/>
      </c>
      <c r="M53" s="24"/>
      <c r="N53" s="11"/>
    </row>
    <row r="54" customFormat="false" ht="15" hidden="false" customHeight="false" outlineLevel="0" collapsed="false">
      <c r="A54" s="24"/>
      <c r="B54" s="31" t="str">
        <f aca="false">IF(A54="","",IF(LEN(UPPER(SUBSTITUTE(SUBSTITUTE(SUBSTITUTE(SUBSTITUTE(TRIM(A54),".",""),"/",""),"-","")," ","")))&lt;14,RIGHT(REPT("0",14)&amp;UPPER(SUBSTITUTE(SUBSTITUTE(SUBSTITUTE(SUBSTITUTE(TRIM(A54),".",""),"/",""),"-","")," ","")),14),UPPER(SUBSTITUTE(SUBSTITUTE(SUBSTITUTE(SUBSTITUTE(TRIM(A54),".",""),"/",""),"-","")," ",""))))</f>
        <v/>
      </c>
      <c r="C54" s="25" t="str">
        <f aca="false">IF(B54="","",IFERROR(INDEX(Empresas!$C:$C,MATCH(B54,Empresas!$B:$B,0)),"cadastre o CNPJ em Empresas"))</f>
        <v/>
      </c>
      <c r="D54" s="23"/>
      <c r="E54" s="24"/>
      <c r="F54" s="31" t="str">
        <f aca="false">IF(D54="","",SUBSTITUTE(SUBSTITUTE(SUBSTITUTE(SUBSTITUTE(SUBSTITUTE(SUBSTITUTE(SUBSTITUTE(SUBSTITUTE(SUBSTITUTE(SUBSTITUTE(SUBSTITUTE(SUBSTITUTE(SUBSTITUTE(UPPER(TRIM(D54)),"Á","A"),"À","A"),"Â","A"),"Ã","A"),"É","E"),"Ê","E"),"Í","I"),"Ó","O"),"Ô","O"),"Õ","O"),"Ú","U"),"Ü","U"),"Ç","C"))</f>
        <v/>
      </c>
      <c r="G54" s="31" t="str">
        <f aca="false">IF(E54="","",IF(LEN(SUBSTITUTE(SUBSTITUTE(SUBSTITUTE(SUBSTITUTE(TRIM(E54),"*",""),".",""),"-","")," ",""))=11,MID(SUBSTITUTE(SUBSTITUTE(SUBSTITUTE(SUBSTITUTE(TRIM(E54),"*",""),".",""),"-","")," ",""),4,6),SUBSTITUTE(SUBSTITUTE(SUBSTITUTE(SUBSTITUTE(TRIM(E54),"*",""),".",""),"-","")," ","")))</f>
        <v/>
      </c>
      <c r="H54" s="31" t="str">
        <f aca="false">IF(OR(F54="",G54=""),"",F54&amp;"|"&amp;G54)</f>
        <v/>
      </c>
      <c r="I54" s="23"/>
      <c r="J54" s="22"/>
      <c r="K54" s="22"/>
      <c r="L54" s="25" t="str">
        <f aca="false">IF(F54="","",IF(AND(H54&lt;&gt;"",COUNTIF(Pessoas!$E:$E,H54)&gt;0),"SIM",IF(COUNTIF(Pessoas!$C:$C,F54)&gt;0,"nome igual em Pessoas: confira o CPF","")))</f>
        <v/>
      </c>
      <c r="M54" s="24"/>
      <c r="N54" s="11"/>
    </row>
    <row r="55" customFormat="false" ht="15" hidden="false" customHeight="false" outlineLevel="0" collapsed="false">
      <c r="A55" s="24"/>
      <c r="B55" s="31" t="str">
        <f aca="false">IF(A55="","",IF(LEN(UPPER(SUBSTITUTE(SUBSTITUTE(SUBSTITUTE(SUBSTITUTE(TRIM(A55),".",""),"/",""),"-","")," ","")))&lt;14,RIGHT(REPT("0",14)&amp;UPPER(SUBSTITUTE(SUBSTITUTE(SUBSTITUTE(SUBSTITUTE(TRIM(A55),".",""),"/",""),"-","")," ","")),14),UPPER(SUBSTITUTE(SUBSTITUTE(SUBSTITUTE(SUBSTITUTE(TRIM(A55),".",""),"/",""),"-","")," ",""))))</f>
        <v/>
      </c>
      <c r="C55" s="25" t="str">
        <f aca="false">IF(B55="","",IFERROR(INDEX(Empresas!$C:$C,MATCH(B55,Empresas!$B:$B,0)),"cadastre o CNPJ em Empresas"))</f>
        <v/>
      </c>
      <c r="D55" s="23"/>
      <c r="E55" s="24"/>
      <c r="F55" s="31" t="str">
        <f aca="false">IF(D55="","",SUBSTITUTE(SUBSTITUTE(SUBSTITUTE(SUBSTITUTE(SUBSTITUTE(SUBSTITUTE(SUBSTITUTE(SUBSTITUTE(SUBSTITUTE(SUBSTITUTE(SUBSTITUTE(SUBSTITUTE(SUBSTITUTE(UPPER(TRIM(D55)),"Á","A"),"À","A"),"Â","A"),"Ã","A"),"É","E"),"Ê","E"),"Í","I"),"Ó","O"),"Ô","O"),"Õ","O"),"Ú","U"),"Ü","U"),"Ç","C"))</f>
        <v/>
      </c>
      <c r="G55" s="31" t="str">
        <f aca="false">IF(E55="","",IF(LEN(SUBSTITUTE(SUBSTITUTE(SUBSTITUTE(SUBSTITUTE(TRIM(E55),"*",""),".",""),"-","")," ",""))=11,MID(SUBSTITUTE(SUBSTITUTE(SUBSTITUTE(SUBSTITUTE(TRIM(E55),"*",""),".",""),"-","")," ",""),4,6),SUBSTITUTE(SUBSTITUTE(SUBSTITUTE(SUBSTITUTE(TRIM(E55),"*",""),".",""),"-","")," ","")))</f>
        <v/>
      </c>
      <c r="H55" s="31" t="str">
        <f aca="false">IF(OR(F55="",G55=""),"",F55&amp;"|"&amp;G55)</f>
        <v/>
      </c>
      <c r="I55" s="23"/>
      <c r="J55" s="22"/>
      <c r="K55" s="22"/>
      <c r="L55" s="25" t="str">
        <f aca="false">IF(F55="","",IF(AND(H55&lt;&gt;"",COUNTIF(Pessoas!$E:$E,H55)&gt;0),"SIM",IF(COUNTIF(Pessoas!$C:$C,F55)&gt;0,"nome igual em Pessoas: confira o CPF","")))</f>
        <v/>
      </c>
      <c r="M55" s="24"/>
      <c r="N55" s="11"/>
    </row>
    <row r="56" customFormat="false" ht="15" hidden="false" customHeight="false" outlineLevel="0" collapsed="false">
      <c r="A56" s="24"/>
      <c r="B56" s="31" t="str">
        <f aca="false">IF(A56="","",IF(LEN(UPPER(SUBSTITUTE(SUBSTITUTE(SUBSTITUTE(SUBSTITUTE(TRIM(A56),".",""),"/",""),"-","")," ","")))&lt;14,RIGHT(REPT("0",14)&amp;UPPER(SUBSTITUTE(SUBSTITUTE(SUBSTITUTE(SUBSTITUTE(TRIM(A56),".",""),"/",""),"-","")," ","")),14),UPPER(SUBSTITUTE(SUBSTITUTE(SUBSTITUTE(SUBSTITUTE(TRIM(A56),".",""),"/",""),"-","")," ",""))))</f>
        <v/>
      </c>
      <c r="C56" s="25" t="str">
        <f aca="false">IF(B56="","",IFERROR(INDEX(Empresas!$C:$C,MATCH(B56,Empresas!$B:$B,0)),"cadastre o CNPJ em Empresas"))</f>
        <v/>
      </c>
      <c r="D56" s="23"/>
      <c r="E56" s="24"/>
      <c r="F56" s="31" t="str">
        <f aca="false">IF(D56="","",SUBSTITUTE(SUBSTITUTE(SUBSTITUTE(SUBSTITUTE(SUBSTITUTE(SUBSTITUTE(SUBSTITUTE(SUBSTITUTE(SUBSTITUTE(SUBSTITUTE(SUBSTITUTE(SUBSTITUTE(SUBSTITUTE(UPPER(TRIM(D56)),"Á","A"),"À","A"),"Â","A"),"Ã","A"),"É","E"),"Ê","E"),"Í","I"),"Ó","O"),"Ô","O"),"Õ","O"),"Ú","U"),"Ü","U"),"Ç","C"))</f>
        <v/>
      </c>
      <c r="G56" s="31" t="str">
        <f aca="false">IF(E56="","",IF(LEN(SUBSTITUTE(SUBSTITUTE(SUBSTITUTE(SUBSTITUTE(TRIM(E56),"*",""),".",""),"-","")," ",""))=11,MID(SUBSTITUTE(SUBSTITUTE(SUBSTITUTE(SUBSTITUTE(TRIM(E56),"*",""),".",""),"-","")," ",""),4,6),SUBSTITUTE(SUBSTITUTE(SUBSTITUTE(SUBSTITUTE(TRIM(E56),"*",""),".",""),"-","")," ","")))</f>
        <v/>
      </c>
      <c r="H56" s="31" t="str">
        <f aca="false">IF(OR(F56="",G56=""),"",F56&amp;"|"&amp;G56)</f>
        <v/>
      </c>
      <c r="I56" s="23"/>
      <c r="J56" s="22"/>
      <c r="K56" s="22"/>
      <c r="L56" s="25" t="str">
        <f aca="false">IF(F56="","",IF(AND(H56&lt;&gt;"",COUNTIF(Pessoas!$E:$E,H56)&gt;0),"SIM",IF(COUNTIF(Pessoas!$C:$C,F56)&gt;0,"nome igual em Pessoas: confira o CPF","")))</f>
        <v/>
      </c>
      <c r="M56" s="24"/>
      <c r="N56" s="11"/>
    </row>
    <row r="57" customFormat="false" ht="15" hidden="false" customHeight="false" outlineLevel="0" collapsed="false">
      <c r="A57" s="24"/>
      <c r="B57" s="31" t="str">
        <f aca="false">IF(A57="","",IF(LEN(UPPER(SUBSTITUTE(SUBSTITUTE(SUBSTITUTE(SUBSTITUTE(TRIM(A57),".",""),"/",""),"-","")," ","")))&lt;14,RIGHT(REPT("0",14)&amp;UPPER(SUBSTITUTE(SUBSTITUTE(SUBSTITUTE(SUBSTITUTE(TRIM(A57),".",""),"/",""),"-","")," ","")),14),UPPER(SUBSTITUTE(SUBSTITUTE(SUBSTITUTE(SUBSTITUTE(TRIM(A57),".",""),"/",""),"-","")," ",""))))</f>
        <v/>
      </c>
      <c r="C57" s="25" t="str">
        <f aca="false">IF(B57="","",IFERROR(INDEX(Empresas!$C:$C,MATCH(B57,Empresas!$B:$B,0)),"cadastre o CNPJ em Empresas"))</f>
        <v/>
      </c>
      <c r="D57" s="23"/>
      <c r="E57" s="24"/>
      <c r="F57" s="31" t="str">
        <f aca="false">IF(D57="","",SUBSTITUTE(SUBSTITUTE(SUBSTITUTE(SUBSTITUTE(SUBSTITUTE(SUBSTITUTE(SUBSTITUTE(SUBSTITUTE(SUBSTITUTE(SUBSTITUTE(SUBSTITUTE(SUBSTITUTE(SUBSTITUTE(UPPER(TRIM(D57)),"Á","A"),"À","A"),"Â","A"),"Ã","A"),"É","E"),"Ê","E"),"Í","I"),"Ó","O"),"Ô","O"),"Õ","O"),"Ú","U"),"Ü","U"),"Ç","C"))</f>
        <v/>
      </c>
      <c r="G57" s="31" t="str">
        <f aca="false">IF(E57="","",IF(LEN(SUBSTITUTE(SUBSTITUTE(SUBSTITUTE(SUBSTITUTE(TRIM(E57),"*",""),".",""),"-","")," ",""))=11,MID(SUBSTITUTE(SUBSTITUTE(SUBSTITUTE(SUBSTITUTE(TRIM(E57),"*",""),".",""),"-","")," ",""),4,6),SUBSTITUTE(SUBSTITUTE(SUBSTITUTE(SUBSTITUTE(TRIM(E57),"*",""),".",""),"-","")," ","")))</f>
        <v/>
      </c>
      <c r="H57" s="31" t="str">
        <f aca="false">IF(OR(F57="",G57=""),"",F57&amp;"|"&amp;G57)</f>
        <v/>
      </c>
      <c r="I57" s="23"/>
      <c r="J57" s="22"/>
      <c r="K57" s="22"/>
      <c r="L57" s="25" t="str">
        <f aca="false">IF(F57="","",IF(AND(H57&lt;&gt;"",COUNTIF(Pessoas!$E:$E,H57)&gt;0),"SIM",IF(COUNTIF(Pessoas!$C:$C,F57)&gt;0,"nome igual em Pessoas: confira o CPF","")))</f>
        <v/>
      </c>
      <c r="M57" s="24"/>
      <c r="N57" s="11"/>
    </row>
    <row r="58" customFormat="false" ht="15" hidden="false" customHeight="false" outlineLevel="0" collapsed="false">
      <c r="A58" s="24"/>
      <c r="B58" s="31" t="str">
        <f aca="false">IF(A58="","",IF(LEN(UPPER(SUBSTITUTE(SUBSTITUTE(SUBSTITUTE(SUBSTITUTE(TRIM(A58),".",""),"/",""),"-","")," ","")))&lt;14,RIGHT(REPT("0",14)&amp;UPPER(SUBSTITUTE(SUBSTITUTE(SUBSTITUTE(SUBSTITUTE(TRIM(A58),".",""),"/",""),"-","")," ","")),14),UPPER(SUBSTITUTE(SUBSTITUTE(SUBSTITUTE(SUBSTITUTE(TRIM(A58),".",""),"/",""),"-","")," ",""))))</f>
        <v/>
      </c>
      <c r="C58" s="25" t="str">
        <f aca="false">IF(B58="","",IFERROR(INDEX(Empresas!$C:$C,MATCH(B58,Empresas!$B:$B,0)),"cadastre o CNPJ em Empresas"))</f>
        <v/>
      </c>
      <c r="D58" s="23"/>
      <c r="E58" s="24"/>
      <c r="F58" s="31" t="str">
        <f aca="false">IF(D58="","",SUBSTITUTE(SUBSTITUTE(SUBSTITUTE(SUBSTITUTE(SUBSTITUTE(SUBSTITUTE(SUBSTITUTE(SUBSTITUTE(SUBSTITUTE(SUBSTITUTE(SUBSTITUTE(SUBSTITUTE(SUBSTITUTE(UPPER(TRIM(D58)),"Á","A"),"À","A"),"Â","A"),"Ã","A"),"É","E"),"Ê","E"),"Í","I"),"Ó","O"),"Ô","O"),"Õ","O"),"Ú","U"),"Ü","U"),"Ç","C"))</f>
        <v/>
      </c>
      <c r="G58" s="31" t="str">
        <f aca="false">IF(E58="","",IF(LEN(SUBSTITUTE(SUBSTITUTE(SUBSTITUTE(SUBSTITUTE(TRIM(E58),"*",""),".",""),"-","")," ",""))=11,MID(SUBSTITUTE(SUBSTITUTE(SUBSTITUTE(SUBSTITUTE(TRIM(E58),"*",""),".",""),"-","")," ",""),4,6),SUBSTITUTE(SUBSTITUTE(SUBSTITUTE(SUBSTITUTE(TRIM(E58),"*",""),".",""),"-","")," ","")))</f>
        <v/>
      </c>
      <c r="H58" s="31" t="str">
        <f aca="false">IF(OR(F58="",G58=""),"",F58&amp;"|"&amp;G58)</f>
        <v/>
      </c>
      <c r="I58" s="23"/>
      <c r="J58" s="22"/>
      <c r="K58" s="22"/>
      <c r="L58" s="25" t="str">
        <f aca="false">IF(F58="","",IF(AND(H58&lt;&gt;"",COUNTIF(Pessoas!$E:$E,H58)&gt;0),"SIM",IF(COUNTIF(Pessoas!$C:$C,F58)&gt;0,"nome igual em Pessoas: confira o CPF","")))</f>
        <v/>
      </c>
      <c r="M58" s="24"/>
      <c r="N58" s="11"/>
    </row>
    <row r="59" customFormat="false" ht="15" hidden="false" customHeight="false" outlineLevel="0" collapsed="false">
      <c r="A59" s="24"/>
      <c r="B59" s="31" t="str">
        <f aca="false">IF(A59="","",IF(LEN(UPPER(SUBSTITUTE(SUBSTITUTE(SUBSTITUTE(SUBSTITUTE(TRIM(A59),".",""),"/",""),"-","")," ","")))&lt;14,RIGHT(REPT("0",14)&amp;UPPER(SUBSTITUTE(SUBSTITUTE(SUBSTITUTE(SUBSTITUTE(TRIM(A59),".",""),"/",""),"-","")," ","")),14),UPPER(SUBSTITUTE(SUBSTITUTE(SUBSTITUTE(SUBSTITUTE(TRIM(A59),".",""),"/",""),"-","")," ",""))))</f>
        <v/>
      </c>
      <c r="C59" s="25" t="str">
        <f aca="false">IF(B59="","",IFERROR(INDEX(Empresas!$C:$C,MATCH(B59,Empresas!$B:$B,0)),"cadastre o CNPJ em Empresas"))</f>
        <v/>
      </c>
      <c r="D59" s="23"/>
      <c r="E59" s="24"/>
      <c r="F59" s="31" t="str">
        <f aca="false">IF(D59="","",SUBSTITUTE(SUBSTITUTE(SUBSTITUTE(SUBSTITUTE(SUBSTITUTE(SUBSTITUTE(SUBSTITUTE(SUBSTITUTE(SUBSTITUTE(SUBSTITUTE(SUBSTITUTE(SUBSTITUTE(SUBSTITUTE(UPPER(TRIM(D59)),"Á","A"),"À","A"),"Â","A"),"Ã","A"),"É","E"),"Ê","E"),"Í","I"),"Ó","O"),"Ô","O"),"Õ","O"),"Ú","U"),"Ü","U"),"Ç","C"))</f>
        <v/>
      </c>
      <c r="G59" s="31" t="str">
        <f aca="false">IF(E59="","",IF(LEN(SUBSTITUTE(SUBSTITUTE(SUBSTITUTE(SUBSTITUTE(TRIM(E59),"*",""),".",""),"-","")," ",""))=11,MID(SUBSTITUTE(SUBSTITUTE(SUBSTITUTE(SUBSTITUTE(TRIM(E59),"*",""),".",""),"-","")," ",""),4,6),SUBSTITUTE(SUBSTITUTE(SUBSTITUTE(SUBSTITUTE(TRIM(E59),"*",""),".",""),"-","")," ","")))</f>
        <v/>
      </c>
      <c r="H59" s="31" t="str">
        <f aca="false">IF(OR(F59="",G59=""),"",F59&amp;"|"&amp;G59)</f>
        <v/>
      </c>
      <c r="I59" s="23"/>
      <c r="J59" s="22"/>
      <c r="K59" s="22"/>
      <c r="L59" s="25" t="str">
        <f aca="false">IF(F59="","",IF(AND(H59&lt;&gt;"",COUNTIF(Pessoas!$E:$E,H59)&gt;0),"SIM",IF(COUNTIF(Pessoas!$C:$C,F59)&gt;0,"nome igual em Pessoas: confira o CPF","")))</f>
        <v/>
      </c>
      <c r="M59" s="24"/>
      <c r="N59" s="11"/>
    </row>
    <row r="60" customFormat="false" ht="15" hidden="false" customHeight="false" outlineLevel="0" collapsed="false">
      <c r="A60" s="24"/>
      <c r="B60" s="31" t="str">
        <f aca="false">IF(A60="","",IF(LEN(UPPER(SUBSTITUTE(SUBSTITUTE(SUBSTITUTE(SUBSTITUTE(TRIM(A60),".",""),"/",""),"-","")," ","")))&lt;14,RIGHT(REPT("0",14)&amp;UPPER(SUBSTITUTE(SUBSTITUTE(SUBSTITUTE(SUBSTITUTE(TRIM(A60),".",""),"/",""),"-","")," ","")),14),UPPER(SUBSTITUTE(SUBSTITUTE(SUBSTITUTE(SUBSTITUTE(TRIM(A60),".",""),"/",""),"-","")," ",""))))</f>
        <v/>
      </c>
      <c r="C60" s="25" t="str">
        <f aca="false">IF(B60="","",IFERROR(INDEX(Empresas!$C:$C,MATCH(B60,Empresas!$B:$B,0)),"cadastre o CNPJ em Empresas"))</f>
        <v/>
      </c>
      <c r="D60" s="23"/>
      <c r="E60" s="24"/>
      <c r="F60" s="31" t="str">
        <f aca="false">IF(D60="","",SUBSTITUTE(SUBSTITUTE(SUBSTITUTE(SUBSTITUTE(SUBSTITUTE(SUBSTITUTE(SUBSTITUTE(SUBSTITUTE(SUBSTITUTE(SUBSTITUTE(SUBSTITUTE(SUBSTITUTE(SUBSTITUTE(UPPER(TRIM(D60)),"Á","A"),"À","A"),"Â","A"),"Ã","A"),"É","E"),"Ê","E"),"Í","I"),"Ó","O"),"Ô","O"),"Õ","O"),"Ú","U"),"Ü","U"),"Ç","C"))</f>
        <v/>
      </c>
      <c r="G60" s="31" t="str">
        <f aca="false">IF(E60="","",IF(LEN(SUBSTITUTE(SUBSTITUTE(SUBSTITUTE(SUBSTITUTE(TRIM(E60),"*",""),".",""),"-","")," ",""))=11,MID(SUBSTITUTE(SUBSTITUTE(SUBSTITUTE(SUBSTITUTE(TRIM(E60),"*",""),".",""),"-","")," ",""),4,6),SUBSTITUTE(SUBSTITUTE(SUBSTITUTE(SUBSTITUTE(TRIM(E60),"*",""),".",""),"-","")," ","")))</f>
        <v/>
      </c>
      <c r="H60" s="31" t="str">
        <f aca="false">IF(OR(F60="",G60=""),"",F60&amp;"|"&amp;G60)</f>
        <v/>
      </c>
      <c r="I60" s="23"/>
      <c r="J60" s="22"/>
      <c r="K60" s="22"/>
      <c r="L60" s="25" t="str">
        <f aca="false">IF(F60="","",IF(AND(H60&lt;&gt;"",COUNTIF(Pessoas!$E:$E,H60)&gt;0),"SIM",IF(COUNTIF(Pessoas!$C:$C,F60)&gt;0,"nome igual em Pessoas: confira o CPF","")))</f>
        <v/>
      </c>
      <c r="M60" s="24"/>
      <c r="N60" s="11"/>
    </row>
    <row r="61" customFormat="false" ht="15" hidden="false" customHeight="false" outlineLevel="0" collapsed="false">
      <c r="A61" s="24"/>
      <c r="B61" s="31" t="str">
        <f aca="false">IF(A61="","",IF(LEN(UPPER(SUBSTITUTE(SUBSTITUTE(SUBSTITUTE(SUBSTITUTE(TRIM(A61),".",""),"/",""),"-","")," ","")))&lt;14,RIGHT(REPT("0",14)&amp;UPPER(SUBSTITUTE(SUBSTITUTE(SUBSTITUTE(SUBSTITUTE(TRIM(A61),".",""),"/",""),"-","")," ","")),14),UPPER(SUBSTITUTE(SUBSTITUTE(SUBSTITUTE(SUBSTITUTE(TRIM(A61),".",""),"/",""),"-","")," ",""))))</f>
        <v/>
      </c>
      <c r="C61" s="25" t="str">
        <f aca="false">IF(B61="","",IFERROR(INDEX(Empresas!$C:$C,MATCH(B61,Empresas!$B:$B,0)),"cadastre o CNPJ em Empresas"))</f>
        <v/>
      </c>
      <c r="D61" s="23"/>
      <c r="E61" s="24"/>
      <c r="F61" s="31" t="str">
        <f aca="false">IF(D61="","",SUBSTITUTE(SUBSTITUTE(SUBSTITUTE(SUBSTITUTE(SUBSTITUTE(SUBSTITUTE(SUBSTITUTE(SUBSTITUTE(SUBSTITUTE(SUBSTITUTE(SUBSTITUTE(SUBSTITUTE(SUBSTITUTE(UPPER(TRIM(D61)),"Á","A"),"À","A"),"Â","A"),"Ã","A"),"É","E"),"Ê","E"),"Í","I"),"Ó","O"),"Ô","O"),"Õ","O"),"Ú","U"),"Ü","U"),"Ç","C"))</f>
        <v/>
      </c>
      <c r="G61" s="31" t="str">
        <f aca="false">IF(E61="","",IF(LEN(SUBSTITUTE(SUBSTITUTE(SUBSTITUTE(SUBSTITUTE(TRIM(E61),"*",""),".",""),"-","")," ",""))=11,MID(SUBSTITUTE(SUBSTITUTE(SUBSTITUTE(SUBSTITUTE(TRIM(E61),"*",""),".",""),"-","")," ",""),4,6),SUBSTITUTE(SUBSTITUTE(SUBSTITUTE(SUBSTITUTE(TRIM(E61),"*",""),".",""),"-","")," ","")))</f>
        <v/>
      </c>
      <c r="H61" s="31" t="str">
        <f aca="false">IF(OR(F61="",G61=""),"",F61&amp;"|"&amp;G61)</f>
        <v/>
      </c>
      <c r="I61" s="23"/>
      <c r="J61" s="22"/>
      <c r="K61" s="22"/>
      <c r="L61" s="25" t="str">
        <f aca="false">IF(F61="","",IF(AND(H61&lt;&gt;"",COUNTIF(Pessoas!$E:$E,H61)&gt;0),"SIM",IF(COUNTIF(Pessoas!$C:$C,F61)&gt;0,"nome igual em Pessoas: confira o CPF","")))</f>
        <v/>
      </c>
      <c r="M61" s="24"/>
      <c r="N61" s="11"/>
    </row>
    <row r="62" customFormat="false" ht="15" hidden="false" customHeight="false" outlineLevel="0" collapsed="false">
      <c r="A62" s="24"/>
      <c r="B62" s="31" t="str">
        <f aca="false">IF(A62="","",IF(LEN(UPPER(SUBSTITUTE(SUBSTITUTE(SUBSTITUTE(SUBSTITUTE(TRIM(A62),".",""),"/",""),"-","")," ","")))&lt;14,RIGHT(REPT("0",14)&amp;UPPER(SUBSTITUTE(SUBSTITUTE(SUBSTITUTE(SUBSTITUTE(TRIM(A62),".",""),"/",""),"-","")," ","")),14),UPPER(SUBSTITUTE(SUBSTITUTE(SUBSTITUTE(SUBSTITUTE(TRIM(A62),".",""),"/",""),"-","")," ",""))))</f>
        <v/>
      </c>
      <c r="C62" s="25" t="str">
        <f aca="false">IF(B62="","",IFERROR(INDEX(Empresas!$C:$C,MATCH(B62,Empresas!$B:$B,0)),"cadastre o CNPJ em Empresas"))</f>
        <v/>
      </c>
      <c r="D62" s="23"/>
      <c r="E62" s="24"/>
      <c r="F62" s="31" t="str">
        <f aca="false">IF(D62="","",SUBSTITUTE(SUBSTITUTE(SUBSTITUTE(SUBSTITUTE(SUBSTITUTE(SUBSTITUTE(SUBSTITUTE(SUBSTITUTE(SUBSTITUTE(SUBSTITUTE(SUBSTITUTE(SUBSTITUTE(SUBSTITUTE(UPPER(TRIM(D62)),"Á","A"),"À","A"),"Â","A"),"Ã","A"),"É","E"),"Ê","E"),"Í","I"),"Ó","O"),"Ô","O"),"Õ","O"),"Ú","U"),"Ü","U"),"Ç","C"))</f>
        <v/>
      </c>
      <c r="G62" s="31" t="str">
        <f aca="false">IF(E62="","",IF(LEN(SUBSTITUTE(SUBSTITUTE(SUBSTITUTE(SUBSTITUTE(TRIM(E62),"*",""),".",""),"-","")," ",""))=11,MID(SUBSTITUTE(SUBSTITUTE(SUBSTITUTE(SUBSTITUTE(TRIM(E62),"*",""),".",""),"-","")," ",""),4,6),SUBSTITUTE(SUBSTITUTE(SUBSTITUTE(SUBSTITUTE(TRIM(E62),"*",""),".",""),"-","")," ","")))</f>
        <v/>
      </c>
      <c r="H62" s="31" t="str">
        <f aca="false">IF(OR(F62="",G62=""),"",F62&amp;"|"&amp;G62)</f>
        <v/>
      </c>
      <c r="I62" s="23"/>
      <c r="J62" s="22"/>
      <c r="K62" s="22"/>
      <c r="L62" s="25" t="str">
        <f aca="false">IF(F62="","",IF(AND(H62&lt;&gt;"",COUNTIF(Pessoas!$E:$E,H62)&gt;0),"SIM",IF(COUNTIF(Pessoas!$C:$C,F62)&gt;0,"nome igual em Pessoas: confira o CPF","")))</f>
        <v/>
      </c>
      <c r="M62" s="24"/>
      <c r="N62" s="11"/>
    </row>
    <row r="63" customFormat="false" ht="15" hidden="false" customHeight="false" outlineLevel="0" collapsed="false">
      <c r="A63" s="24"/>
      <c r="B63" s="31" t="str">
        <f aca="false">IF(A63="","",IF(LEN(UPPER(SUBSTITUTE(SUBSTITUTE(SUBSTITUTE(SUBSTITUTE(TRIM(A63),".",""),"/",""),"-","")," ","")))&lt;14,RIGHT(REPT("0",14)&amp;UPPER(SUBSTITUTE(SUBSTITUTE(SUBSTITUTE(SUBSTITUTE(TRIM(A63),".",""),"/",""),"-","")," ","")),14),UPPER(SUBSTITUTE(SUBSTITUTE(SUBSTITUTE(SUBSTITUTE(TRIM(A63),".",""),"/",""),"-","")," ",""))))</f>
        <v/>
      </c>
      <c r="C63" s="25" t="str">
        <f aca="false">IF(B63="","",IFERROR(INDEX(Empresas!$C:$C,MATCH(B63,Empresas!$B:$B,0)),"cadastre o CNPJ em Empresas"))</f>
        <v/>
      </c>
      <c r="D63" s="23"/>
      <c r="E63" s="24"/>
      <c r="F63" s="31" t="str">
        <f aca="false">IF(D63="","",SUBSTITUTE(SUBSTITUTE(SUBSTITUTE(SUBSTITUTE(SUBSTITUTE(SUBSTITUTE(SUBSTITUTE(SUBSTITUTE(SUBSTITUTE(SUBSTITUTE(SUBSTITUTE(SUBSTITUTE(SUBSTITUTE(UPPER(TRIM(D63)),"Á","A"),"À","A"),"Â","A"),"Ã","A"),"É","E"),"Ê","E"),"Í","I"),"Ó","O"),"Ô","O"),"Õ","O"),"Ú","U"),"Ü","U"),"Ç","C"))</f>
        <v/>
      </c>
      <c r="G63" s="31" t="str">
        <f aca="false">IF(E63="","",IF(LEN(SUBSTITUTE(SUBSTITUTE(SUBSTITUTE(SUBSTITUTE(TRIM(E63),"*",""),".",""),"-","")," ",""))=11,MID(SUBSTITUTE(SUBSTITUTE(SUBSTITUTE(SUBSTITUTE(TRIM(E63),"*",""),".",""),"-","")," ",""),4,6),SUBSTITUTE(SUBSTITUTE(SUBSTITUTE(SUBSTITUTE(TRIM(E63),"*",""),".",""),"-","")," ","")))</f>
        <v/>
      </c>
      <c r="H63" s="31" t="str">
        <f aca="false">IF(OR(F63="",G63=""),"",F63&amp;"|"&amp;G63)</f>
        <v/>
      </c>
      <c r="I63" s="23"/>
      <c r="J63" s="22"/>
      <c r="K63" s="22"/>
      <c r="L63" s="25" t="str">
        <f aca="false">IF(F63="","",IF(AND(H63&lt;&gt;"",COUNTIF(Pessoas!$E:$E,H63)&gt;0),"SIM",IF(COUNTIF(Pessoas!$C:$C,F63)&gt;0,"nome igual em Pessoas: confira o CPF","")))</f>
        <v/>
      </c>
      <c r="M63" s="24"/>
      <c r="N63" s="11"/>
    </row>
    <row r="64" customFormat="false" ht="15" hidden="false" customHeight="false" outlineLevel="0" collapsed="false">
      <c r="A64" s="24"/>
      <c r="B64" s="31" t="str">
        <f aca="false">IF(A64="","",IF(LEN(UPPER(SUBSTITUTE(SUBSTITUTE(SUBSTITUTE(SUBSTITUTE(TRIM(A64),".",""),"/",""),"-","")," ","")))&lt;14,RIGHT(REPT("0",14)&amp;UPPER(SUBSTITUTE(SUBSTITUTE(SUBSTITUTE(SUBSTITUTE(TRIM(A64),".",""),"/",""),"-","")," ","")),14),UPPER(SUBSTITUTE(SUBSTITUTE(SUBSTITUTE(SUBSTITUTE(TRIM(A64),".",""),"/",""),"-","")," ",""))))</f>
        <v/>
      </c>
      <c r="C64" s="25" t="str">
        <f aca="false">IF(B64="","",IFERROR(INDEX(Empresas!$C:$C,MATCH(B64,Empresas!$B:$B,0)),"cadastre o CNPJ em Empresas"))</f>
        <v/>
      </c>
      <c r="D64" s="23"/>
      <c r="E64" s="24"/>
      <c r="F64" s="31" t="str">
        <f aca="false">IF(D64="","",SUBSTITUTE(SUBSTITUTE(SUBSTITUTE(SUBSTITUTE(SUBSTITUTE(SUBSTITUTE(SUBSTITUTE(SUBSTITUTE(SUBSTITUTE(SUBSTITUTE(SUBSTITUTE(SUBSTITUTE(SUBSTITUTE(UPPER(TRIM(D64)),"Á","A"),"À","A"),"Â","A"),"Ã","A"),"É","E"),"Ê","E"),"Í","I"),"Ó","O"),"Ô","O"),"Õ","O"),"Ú","U"),"Ü","U"),"Ç","C"))</f>
        <v/>
      </c>
      <c r="G64" s="31" t="str">
        <f aca="false">IF(E64="","",IF(LEN(SUBSTITUTE(SUBSTITUTE(SUBSTITUTE(SUBSTITUTE(TRIM(E64),"*",""),".",""),"-","")," ",""))=11,MID(SUBSTITUTE(SUBSTITUTE(SUBSTITUTE(SUBSTITUTE(TRIM(E64),"*",""),".",""),"-","")," ",""),4,6),SUBSTITUTE(SUBSTITUTE(SUBSTITUTE(SUBSTITUTE(TRIM(E64),"*",""),".",""),"-","")," ","")))</f>
        <v/>
      </c>
      <c r="H64" s="31" t="str">
        <f aca="false">IF(OR(F64="",G64=""),"",F64&amp;"|"&amp;G64)</f>
        <v/>
      </c>
      <c r="I64" s="23"/>
      <c r="J64" s="22"/>
      <c r="K64" s="22"/>
      <c r="L64" s="25" t="str">
        <f aca="false">IF(F64="","",IF(AND(H64&lt;&gt;"",COUNTIF(Pessoas!$E:$E,H64)&gt;0),"SIM",IF(COUNTIF(Pessoas!$C:$C,F64)&gt;0,"nome igual em Pessoas: confira o CPF","")))</f>
        <v/>
      </c>
      <c r="M64" s="24"/>
      <c r="N64" s="11"/>
    </row>
    <row r="65" customFormat="false" ht="15" hidden="false" customHeight="false" outlineLevel="0" collapsed="false">
      <c r="A65" s="24"/>
      <c r="B65" s="31" t="str">
        <f aca="false">IF(A65="","",IF(LEN(UPPER(SUBSTITUTE(SUBSTITUTE(SUBSTITUTE(SUBSTITUTE(TRIM(A65),".",""),"/",""),"-","")," ","")))&lt;14,RIGHT(REPT("0",14)&amp;UPPER(SUBSTITUTE(SUBSTITUTE(SUBSTITUTE(SUBSTITUTE(TRIM(A65),".",""),"/",""),"-","")," ","")),14),UPPER(SUBSTITUTE(SUBSTITUTE(SUBSTITUTE(SUBSTITUTE(TRIM(A65),".",""),"/",""),"-","")," ",""))))</f>
        <v/>
      </c>
      <c r="C65" s="25" t="str">
        <f aca="false">IF(B65="","",IFERROR(INDEX(Empresas!$C:$C,MATCH(B65,Empresas!$B:$B,0)),"cadastre o CNPJ em Empresas"))</f>
        <v/>
      </c>
      <c r="D65" s="23"/>
      <c r="E65" s="24"/>
      <c r="F65" s="31" t="str">
        <f aca="false">IF(D65="","",SUBSTITUTE(SUBSTITUTE(SUBSTITUTE(SUBSTITUTE(SUBSTITUTE(SUBSTITUTE(SUBSTITUTE(SUBSTITUTE(SUBSTITUTE(SUBSTITUTE(SUBSTITUTE(SUBSTITUTE(SUBSTITUTE(UPPER(TRIM(D65)),"Á","A"),"À","A"),"Â","A"),"Ã","A"),"É","E"),"Ê","E"),"Í","I"),"Ó","O"),"Ô","O"),"Õ","O"),"Ú","U"),"Ü","U"),"Ç","C"))</f>
        <v/>
      </c>
      <c r="G65" s="31" t="str">
        <f aca="false">IF(E65="","",IF(LEN(SUBSTITUTE(SUBSTITUTE(SUBSTITUTE(SUBSTITUTE(TRIM(E65),"*",""),".",""),"-","")," ",""))=11,MID(SUBSTITUTE(SUBSTITUTE(SUBSTITUTE(SUBSTITUTE(TRIM(E65),"*",""),".",""),"-","")," ",""),4,6),SUBSTITUTE(SUBSTITUTE(SUBSTITUTE(SUBSTITUTE(TRIM(E65),"*",""),".",""),"-","")," ","")))</f>
        <v/>
      </c>
      <c r="H65" s="31" t="str">
        <f aca="false">IF(OR(F65="",G65=""),"",F65&amp;"|"&amp;G65)</f>
        <v/>
      </c>
      <c r="I65" s="23"/>
      <c r="J65" s="22"/>
      <c r="K65" s="22"/>
      <c r="L65" s="25" t="str">
        <f aca="false">IF(F65="","",IF(AND(H65&lt;&gt;"",COUNTIF(Pessoas!$E:$E,H65)&gt;0),"SIM",IF(COUNTIF(Pessoas!$C:$C,F65)&gt;0,"nome igual em Pessoas: confira o CPF","")))</f>
        <v/>
      </c>
      <c r="M65" s="24"/>
      <c r="N65" s="11"/>
    </row>
    <row r="66" customFormat="false" ht="15" hidden="false" customHeight="false" outlineLevel="0" collapsed="false">
      <c r="A66" s="24"/>
      <c r="B66" s="31" t="str">
        <f aca="false">IF(A66="","",IF(LEN(UPPER(SUBSTITUTE(SUBSTITUTE(SUBSTITUTE(SUBSTITUTE(TRIM(A66),".",""),"/",""),"-","")," ","")))&lt;14,RIGHT(REPT("0",14)&amp;UPPER(SUBSTITUTE(SUBSTITUTE(SUBSTITUTE(SUBSTITUTE(TRIM(A66),".",""),"/",""),"-","")," ","")),14),UPPER(SUBSTITUTE(SUBSTITUTE(SUBSTITUTE(SUBSTITUTE(TRIM(A66),".",""),"/",""),"-","")," ",""))))</f>
        <v/>
      </c>
      <c r="C66" s="25" t="str">
        <f aca="false">IF(B66="","",IFERROR(INDEX(Empresas!$C:$C,MATCH(B66,Empresas!$B:$B,0)),"cadastre o CNPJ em Empresas"))</f>
        <v/>
      </c>
      <c r="D66" s="23"/>
      <c r="E66" s="24"/>
      <c r="F66" s="31" t="str">
        <f aca="false">IF(D66="","",SUBSTITUTE(SUBSTITUTE(SUBSTITUTE(SUBSTITUTE(SUBSTITUTE(SUBSTITUTE(SUBSTITUTE(SUBSTITUTE(SUBSTITUTE(SUBSTITUTE(SUBSTITUTE(SUBSTITUTE(SUBSTITUTE(UPPER(TRIM(D66)),"Á","A"),"À","A"),"Â","A"),"Ã","A"),"É","E"),"Ê","E"),"Í","I"),"Ó","O"),"Ô","O"),"Õ","O"),"Ú","U"),"Ü","U"),"Ç","C"))</f>
        <v/>
      </c>
      <c r="G66" s="31" t="str">
        <f aca="false">IF(E66="","",IF(LEN(SUBSTITUTE(SUBSTITUTE(SUBSTITUTE(SUBSTITUTE(TRIM(E66),"*",""),".",""),"-","")," ",""))=11,MID(SUBSTITUTE(SUBSTITUTE(SUBSTITUTE(SUBSTITUTE(TRIM(E66),"*",""),".",""),"-","")," ",""),4,6),SUBSTITUTE(SUBSTITUTE(SUBSTITUTE(SUBSTITUTE(TRIM(E66),"*",""),".",""),"-","")," ","")))</f>
        <v/>
      </c>
      <c r="H66" s="31" t="str">
        <f aca="false">IF(OR(F66="",G66=""),"",F66&amp;"|"&amp;G66)</f>
        <v/>
      </c>
      <c r="I66" s="23"/>
      <c r="J66" s="22"/>
      <c r="K66" s="22"/>
      <c r="L66" s="25" t="str">
        <f aca="false">IF(F66="","",IF(AND(H66&lt;&gt;"",COUNTIF(Pessoas!$E:$E,H66)&gt;0),"SIM",IF(COUNTIF(Pessoas!$C:$C,F66)&gt;0,"nome igual em Pessoas: confira o CPF","")))</f>
        <v/>
      </c>
      <c r="M66" s="24"/>
      <c r="N66" s="11"/>
    </row>
    <row r="67" customFormat="false" ht="15" hidden="false" customHeight="false" outlineLevel="0" collapsed="false">
      <c r="A67" s="24"/>
      <c r="B67" s="31" t="str">
        <f aca="false">IF(A67="","",IF(LEN(UPPER(SUBSTITUTE(SUBSTITUTE(SUBSTITUTE(SUBSTITUTE(TRIM(A67),".",""),"/",""),"-","")," ","")))&lt;14,RIGHT(REPT("0",14)&amp;UPPER(SUBSTITUTE(SUBSTITUTE(SUBSTITUTE(SUBSTITUTE(TRIM(A67),".",""),"/",""),"-","")," ","")),14),UPPER(SUBSTITUTE(SUBSTITUTE(SUBSTITUTE(SUBSTITUTE(TRIM(A67),".",""),"/",""),"-","")," ",""))))</f>
        <v/>
      </c>
      <c r="C67" s="25" t="str">
        <f aca="false">IF(B67="","",IFERROR(INDEX(Empresas!$C:$C,MATCH(B67,Empresas!$B:$B,0)),"cadastre o CNPJ em Empresas"))</f>
        <v/>
      </c>
      <c r="D67" s="23"/>
      <c r="E67" s="24"/>
      <c r="F67" s="31" t="str">
        <f aca="false">IF(D67="","",SUBSTITUTE(SUBSTITUTE(SUBSTITUTE(SUBSTITUTE(SUBSTITUTE(SUBSTITUTE(SUBSTITUTE(SUBSTITUTE(SUBSTITUTE(SUBSTITUTE(SUBSTITUTE(SUBSTITUTE(SUBSTITUTE(UPPER(TRIM(D67)),"Á","A"),"À","A"),"Â","A"),"Ã","A"),"É","E"),"Ê","E"),"Í","I"),"Ó","O"),"Ô","O"),"Õ","O"),"Ú","U"),"Ü","U"),"Ç","C"))</f>
        <v/>
      </c>
      <c r="G67" s="31" t="str">
        <f aca="false">IF(E67="","",IF(LEN(SUBSTITUTE(SUBSTITUTE(SUBSTITUTE(SUBSTITUTE(TRIM(E67),"*",""),".",""),"-","")," ",""))=11,MID(SUBSTITUTE(SUBSTITUTE(SUBSTITUTE(SUBSTITUTE(TRIM(E67),"*",""),".",""),"-","")," ",""),4,6),SUBSTITUTE(SUBSTITUTE(SUBSTITUTE(SUBSTITUTE(TRIM(E67),"*",""),".",""),"-","")," ","")))</f>
        <v/>
      </c>
      <c r="H67" s="31" t="str">
        <f aca="false">IF(OR(F67="",G67=""),"",F67&amp;"|"&amp;G67)</f>
        <v/>
      </c>
      <c r="I67" s="23"/>
      <c r="J67" s="22"/>
      <c r="K67" s="22"/>
      <c r="L67" s="25" t="str">
        <f aca="false">IF(F67="","",IF(AND(H67&lt;&gt;"",COUNTIF(Pessoas!$E:$E,H67)&gt;0),"SIM",IF(COUNTIF(Pessoas!$C:$C,F67)&gt;0,"nome igual em Pessoas: confira o CPF","")))</f>
        <v/>
      </c>
      <c r="M67" s="24"/>
      <c r="N67" s="11"/>
    </row>
    <row r="68" customFormat="false" ht="15" hidden="false" customHeight="false" outlineLevel="0" collapsed="false">
      <c r="A68" s="24"/>
      <c r="B68" s="31" t="str">
        <f aca="false">IF(A68="","",IF(LEN(UPPER(SUBSTITUTE(SUBSTITUTE(SUBSTITUTE(SUBSTITUTE(TRIM(A68),".",""),"/",""),"-","")," ","")))&lt;14,RIGHT(REPT("0",14)&amp;UPPER(SUBSTITUTE(SUBSTITUTE(SUBSTITUTE(SUBSTITUTE(TRIM(A68),".",""),"/",""),"-","")," ","")),14),UPPER(SUBSTITUTE(SUBSTITUTE(SUBSTITUTE(SUBSTITUTE(TRIM(A68),".",""),"/",""),"-","")," ",""))))</f>
        <v/>
      </c>
      <c r="C68" s="25" t="str">
        <f aca="false">IF(B68="","",IFERROR(INDEX(Empresas!$C:$C,MATCH(B68,Empresas!$B:$B,0)),"cadastre o CNPJ em Empresas"))</f>
        <v/>
      </c>
      <c r="D68" s="23"/>
      <c r="E68" s="24"/>
      <c r="F68" s="31" t="str">
        <f aca="false">IF(D68="","",SUBSTITUTE(SUBSTITUTE(SUBSTITUTE(SUBSTITUTE(SUBSTITUTE(SUBSTITUTE(SUBSTITUTE(SUBSTITUTE(SUBSTITUTE(SUBSTITUTE(SUBSTITUTE(SUBSTITUTE(SUBSTITUTE(UPPER(TRIM(D68)),"Á","A"),"À","A"),"Â","A"),"Ã","A"),"É","E"),"Ê","E"),"Í","I"),"Ó","O"),"Ô","O"),"Õ","O"),"Ú","U"),"Ü","U"),"Ç","C"))</f>
        <v/>
      </c>
      <c r="G68" s="31" t="str">
        <f aca="false">IF(E68="","",IF(LEN(SUBSTITUTE(SUBSTITUTE(SUBSTITUTE(SUBSTITUTE(TRIM(E68),"*",""),".",""),"-","")," ",""))=11,MID(SUBSTITUTE(SUBSTITUTE(SUBSTITUTE(SUBSTITUTE(TRIM(E68),"*",""),".",""),"-","")," ",""),4,6),SUBSTITUTE(SUBSTITUTE(SUBSTITUTE(SUBSTITUTE(TRIM(E68),"*",""),".",""),"-","")," ","")))</f>
        <v/>
      </c>
      <c r="H68" s="31" t="str">
        <f aca="false">IF(OR(F68="",G68=""),"",F68&amp;"|"&amp;G68)</f>
        <v/>
      </c>
      <c r="I68" s="23"/>
      <c r="J68" s="22"/>
      <c r="K68" s="22"/>
      <c r="L68" s="25" t="str">
        <f aca="false">IF(F68="","",IF(AND(H68&lt;&gt;"",COUNTIF(Pessoas!$E:$E,H68)&gt;0),"SIM",IF(COUNTIF(Pessoas!$C:$C,F68)&gt;0,"nome igual em Pessoas: confira o CPF","")))</f>
        <v/>
      </c>
      <c r="M68" s="24"/>
      <c r="N68" s="11"/>
    </row>
    <row r="69" customFormat="false" ht="15" hidden="false" customHeight="false" outlineLevel="0" collapsed="false">
      <c r="A69" s="24"/>
      <c r="B69" s="31" t="str">
        <f aca="false">IF(A69="","",IF(LEN(UPPER(SUBSTITUTE(SUBSTITUTE(SUBSTITUTE(SUBSTITUTE(TRIM(A69),".",""),"/",""),"-","")," ","")))&lt;14,RIGHT(REPT("0",14)&amp;UPPER(SUBSTITUTE(SUBSTITUTE(SUBSTITUTE(SUBSTITUTE(TRIM(A69),".",""),"/",""),"-","")," ","")),14),UPPER(SUBSTITUTE(SUBSTITUTE(SUBSTITUTE(SUBSTITUTE(TRIM(A69),".",""),"/",""),"-","")," ",""))))</f>
        <v/>
      </c>
      <c r="C69" s="25" t="str">
        <f aca="false">IF(B69="","",IFERROR(INDEX(Empresas!$C:$C,MATCH(B69,Empresas!$B:$B,0)),"cadastre o CNPJ em Empresas"))</f>
        <v/>
      </c>
      <c r="D69" s="23"/>
      <c r="E69" s="24"/>
      <c r="F69" s="31" t="str">
        <f aca="false">IF(D69="","",SUBSTITUTE(SUBSTITUTE(SUBSTITUTE(SUBSTITUTE(SUBSTITUTE(SUBSTITUTE(SUBSTITUTE(SUBSTITUTE(SUBSTITUTE(SUBSTITUTE(SUBSTITUTE(SUBSTITUTE(SUBSTITUTE(UPPER(TRIM(D69)),"Á","A"),"À","A"),"Â","A"),"Ã","A"),"É","E"),"Ê","E"),"Í","I"),"Ó","O"),"Ô","O"),"Õ","O"),"Ú","U"),"Ü","U"),"Ç","C"))</f>
        <v/>
      </c>
      <c r="G69" s="31" t="str">
        <f aca="false">IF(E69="","",IF(LEN(SUBSTITUTE(SUBSTITUTE(SUBSTITUTE(SUBSTITUTE(TRIM(E69),"*",""),".",""),"-","")," ",""))=11,MID(SUBSTITUTE(SUBSTITUTE(SUBSTITUTE(SUBSTITUTE(TRIM(E69),"*",""),".",""),"-","")," ",""),4,6),SUBSTITUTE(SUBSTITUTE(SUBSTITUTE(SUBSTITUTE(TRIM(E69),"*",""),".",""),"-","")," ","")))</f>
        <v/>
      </c>
      <c r="H69" s="31" t="str">
        <f aca="false">IF(OR(F69="",G69=""),"",F69&amp;"|"&amp;G69)</f>
        <v/>
      </c>
      <c r="I69" s="23"/>
      <c r="J69" s="22"/>
      <c r="K69" s="22"/>
      <c r="L69" s="25" t="str">
        <f aca="false">IF(F69="","",IF(AND(H69&lt;&gt;"",COUNTIF(Pessoas!$E:$E,H69)&gt;0),"SIM",IF(COUNTIF(Pessoas!$C:$C,F69)&gt;0,"nome igual em Pessoas: confira o CPF","")))</f>
        <v/>
      </c>
      <c r="M69" s="24"/>
      <c r="N69" s="11"/>
    </row>
    <row r="70" customFormat="false" ht="15" hidden="false" customHeight="false" outlineLevel="0" collapsed="false">
      <c r="A70" s="24"/>
      <c r="B70" s="31" t="str">
        <f aca="false">IF(A70="","",IF(LEN(UPPER(SUBSTITUTE(SUBSTITUTE(SUBSTITUTE(SUBSTITUTE(TRIM(A70),".",""),"/",""),"-","")," ","")))&lt;14,RIGHT(REPT("0",14)&amp;UPPER(SUBSTITUTE(SUBSTITUTE(SUBSTITUTE(SUBSTITUTE(TRIM(A70),".",""),"/",""),"-","")," ","")),14),UPPER(SUBSTITUTE(SUBSTITUTE(SUBSTITUTE(SUBSTITUTE(TRIM(A70),".",""),"/",""),"-","")," ",""))))</f>
        <v/>
      </c>
      <c r="C70" s="25" t="str">
        <f aca="false">IF(B70="","",IFERROR(INDEX(Empresas!$C:$C,MATCH(B70,Empresas!$B:$B,0)),"cadastre o CNPJ em Empresas"))</f>
        <v/>
      </c>
      <c r="D70" s="23"/>
      <c r="E70" s="24"/>
      <c r="F70" s="31" t="str">
        <f aca="false">IF(D70="","",SUBSTITUTE(SUBSTITUTE(SUBSTITUTE(SUBSTITUTE(SUBSTITUTE(SUBSTITUTE(SUBSTITUTE(SUBSTITUTE(SUBSTITUTE(SUBSTITUTE(SUBSTITUTE(SUBSTITUTE(SUBSTITUTE(UPPER(TRIM(D70)),"Á","A"),"À","A"),"Â","A"),"Ã","A"),"É","E"),"Ê","E"),"Í","I"),"Ó","O"),"Ô","O"),"Õ","O"),"Ú","U"),"Ü","U"),"Ç","C"))</f>
        <v/>
      </c>
      <c r="G70" s="31" t="str">
        <f aca="false">IF(E70="","",IF(LEN(SUBSTITUTE(SUBSTITUTE(SUBSTITUTE(SUBSTITUTE(TRIM(E70),"*",""),".",""),"-","")," ",""))=11,MID(SUBSTITUTE(SUBSTITUTE(SUBSTITUTE(SUBSTITUTE(TRIM(E70),"*",""),".",""),"-","")," ",""),4,6),SUBSTITUTE(SUBSTITUTE(SUBSTITUTE(SUBSTITUTE(TRIM(E70),"*",""),".",""),"-","")," ","")))</f>
        <v/>
      </c>
      <c r="H70" s="31" t="str">
        <f aca="false">IF(OR(F70="",G70=""),"",F70&amp;"|"&amp;G70)</f>
        <v/>
      </c>
      <c r="I70" s="23"/>
      <c r="J70" s="22"/>
      <c r="K70" s="22"/>
      <c r="L70" s="25" t="str">
        <f aca="false">IF(F70="","",IF(AND(H70&lt;&gt;"",COUNTIF(Pessoas!$E:$E,H70)&gt;0),"SIM",IF(COUNTIF(Pessoas!$C:$C,F70)&gt;0,"nome igual em Pessoas: confira o CPF","")))</f>
        <v/>
      </c>
      <c r="M70" s="24"/>
      <c r="N70" s="11"/>
    </row>
    <row r="71" customFormat="false" ht="15" hidden="false" customHeight="false" outlineLevel="0" collapsed="false">
      <c r="A71" s="24"/>
      <c r="B71" s="31" t="str">
        <f aca="false">IF(A71="","",IF(LEN(UPPER(SUBSTITUTE(SUBSTITUTE(SUBSTITUTE(SUBSTITUTE(TRIM(A71),".",""),"/",""),"-","")," ","")))&lt;14,RIGHT(REPT("0",14)&amp;UPPER(SUBSTITUTE(SUBSTITUTE(SUBSTITUTE(SUBSTITUTE(TRIM(A71),".",""),"/",""),"-","")," ","")),14),UPPER(SUBSTITUTE(SUBSTITUTE(SUBSTITUTE(SUBSTITUTE(TRIM(A71),".",""),"/",""),"-","")," ",""))))</f>
        <v/>
      </c>
      <c r="C71" s="25" t="str">
        <f aca="false">IF(B71="","",IFERROR(INDEX(Empresas!$C:$C,MATCH(B71,Empresas!$B:$B,0)),"cadastre o CNPJ em Empresas"))</f>
        <v/>
      </c>
      <c r="D71" s="23"/>
      <c r="E71" s="24"/>
      <c r="F71" s="31" t="str">
        <f aca="false">IF(D71="","",SUBSTITUTE(SUBSTITUTE(SUBSTITUTE(SUBSTITUTE(SUBSTITUTE(SUBSTITUTE(SUBSTITUTE(SUBSTITUTE(SUBSTITUTE(SUBSTITUTE(SUBSTITUTE(SUBSTITUTE(SUBSTITUTE(UPPER(TRIM(D71)),"Á","A"),"À","A"),"Â","A"),"Ã","A"),"É","E"),"Ê","E"),"Í","I"),"Ó","O"),"Ô","O"),"Õ","O"),"Ú","U"),"Ü","U"),"Ç","C"))</f>
        <v/>
      </c>
      <c r="G71" s="31" t="str">
        <f aca="false">IF(E71="","",IF(LEN(SUBSTITUTE(SUBSTITUTE(SUBSTITUTE(SUBSTITUTE(TRIM(E71),"*",""),".",""),"-","")," ",""))=11,MID(SUBSTITUTE(SUBSTITUTE(SUBSTITUTE(SUBSTITUTE(TRIM(E71),"*",""),".",""),"-","")," ",""),4,6),SUBSTITUTE(SUBSTITUTE(SUBSTITUTE(SUBSTITUTE(TRIM(E71),"*",""),".",""),"-","")," ","")))</f>
        <v/>
      </c>
      <c r="H71" s="31" t="str">
        <f aca="false">IF(OR(F71="",G71=""),"",F71&amp;"|"&amp;G71)</f>
        <v/>
      </c>
      <c r="I71" s="23"/>
      <c r="J71" s="22"/>
      <c r="K71" s="22"/>
      <c r="L71" s="25" t="str">
        <f aca="false">IF(F71="","",IF(AND(H71&lt;&gt;"",COUNTIF(Pessoas!$E:$E,H71)&gt;0),"SIM",IF(COUNTIF(Pessoas!$C:$C,F71)&gt;0,"nome igual em Pessoas: confira o CPF","")))</f>
        <v/>
      </c>
      <c r="M71" s="24"/>
      <c r="N71" s="11"/>
    </row>
    <row r="72" customFormat="false" ht="15" hidden="false" customHeight="false" outlineLevel="0" collapsed="false">
      <c r="A72" s="24"/>
      <c r="B72" s="31" t="str">
        <f aca="false">IF(A72="","",IF(LEN(UPPER(SUBSTITUTE(SUBSTITUTE(SUBSTITUTE(SUBSTITUTE(TRIM(A72),".",""),"/",""),"-","")," ","")))&lt;14,RIGHT(REPT("0",14)&amp;UPPER(SUBSTITUTE(SUBSTITUTE(SUBSTITUTE(SUBSTITUTE(TRIM(A72),".",""),"/",""),"-","")," ","")),14),UPPER(SUBSTITUTE(SUBSTITUTE(SUBSTITUTE(SUBSTITUTE(TRIM(A72),".",""),"/",""),"-","")," ",""))))</f>
        <v/>
      </c>
      <c r="C72" s="25" t="str">
        <f aca="false">IF(B72="","",IFERROR(INDEX(Empresas!$C:$C,MATCH(B72,Empresas!$B:$B,0)),"cadastre o CNPJ em Empresas"))</f>
        <v/>
      </c>
      <c r="D72" s="23"/>
      <c r="E72" s="24"/>
      <c r="F72" s="31" t="str">
        <f aca="false">IF(D72="","",SUBSTITUTE(SUBSTITUTE(SUBSTITUTE(SUBSTITUTE(SUBSTITUTE(SUBSTITUTE(SUBSTITUTE(SUBSTITUTE(SUBSTITUTE(SUBSTITUTE(SUBSTITUTE(SUBSTITUTE(SUBSTITUTE(UPPER(TRIM(D72)),"Á","A"),"À","A"),"Â","A"),"Ã","A"),"É","E"),"Ê","E"),"Í","I"),"Ó","O"),"Ô","O"),"Õ","O"),"Ú","U"),"Ü","U"),"Ç","C"))</f>
        <v/>
      </c>
      <c r="G72" s="31" t="str">
        <f aca="false">IF(E72="","",IF(LEN(SUBSTITUTE(SUBSTITUTE(SUBSTITUTE(SUBSTITUTE(TRIM(E72),"*",""),".",""),"-","")," ",""))=11,MID(SUBSTITUTE(SUBSTITUTE(SUBSTITUTE(SUBSTITUTE(TRIM(E72),"*",""),".",""),"-","")," ",""),4,6),SUBSTITUTE(SUBSTITUTE(SUBSTITUTE(SUBSTITUTE(TRIM(E72),"*",""),".",""),"-","")," ","")))</f>
        <v/>
      </c>
      <c r="H72" s="31" t="str">
        <f aca="false">IF(OR(F72="",G72=""),"",F72&amp;"|"&amp;G72)</f>
        <v/>
      </c>
      <c r="I72" s="23"/>
      <c r="J72" s="22"/>
      <c r="K72" s="22"/>
      <c r="L72" s="25" t="str">
        <f aca="false">IF(F72="","",IF(AND(H72&lt;&gt;"",COUNTIF(Pessoas!$E:$E,H72)&gt;0),"SIM",IF(COUNTIF(Pessoas!$C:$C,F72)&gt;0,"nome igual em Pessoas: confira o CPF","")))</f>
        <v/>
      </c>
      <c r="M72" s="24"/>
      <c r="N72" s="11"/>
    </row>
    <row r="73" customFormat="false" ht="15" hidden="false" customHeight="false" outlineLevel="0" collapsed="false">
      <c r="A73" s="24"/>
      <c r="B73" s="31" t="str">
        <f aca="false">IF(A73="","",IF(LEN(UPPER(SUBSTITUTE(SUBSTITUTE(SUBSTITUTE(SUBSTITUTE(TRIM(A73),".",""),"/",""),"-","")," ","")))&lt;14,RIGHT(REPT("0",14)&amp;UPPER(SUBSTITUTE(SUBSTITUTE(SUBSTITUTE(SUBSTITUTE(TRIM(A73),".",""),"/",""),"-","")," ","")),14),UPPER(SUBSTITUTE(SUBSTITUTE(SUBSTITUTE(SUBSTITUTE(TRIM(A73),".",""),"/",""),"-","")," ",""))))</f>
        <v/>
      </c>
      <c r="C73" s="25" t="str">
        <f aca="false">IF(B73="","",IFERROR(INDEX(Empresas!$C:$C,MATCH(B73,Empresas!$B:$B,0)),"cadastre o CNPJ em Empresas"))</f>
        <v/>
      </c>
      <c r="D73" s="23"/>
      <c r="E73" s="24"/>
      <c r="F73" s="31" t="str">
        <f aca="false">IF(D73="","",SUBSTITUTE(SUBSTITUTE(SUBSTITUTE(SUBSTITUTE(SUBSTITUTE(SUBSTITUTE(SUBSTITUTE(SUBSTITUTE(SUBSTITUTE(SUBSTITUTE(SUBSTITUTE(SUBSTITUTE(SUBSTITUTE(UPPER(TRIM(D73)),"Á","A"),"À","A"),"Â","A"),"Ã","A"),"É","E"),"Ê","E"),"Í","I"),"Ó","O"),"Ô","O"),"Õ","O"),"Ú","U"),"Ü","U"),"Ç","C"))</f>
        <v/>
      </c>
      <c r="G73" s="31" t="str">
        <f aca="false">IF(E73="","",IF(LEN(SUBSTITUTE(SUBSTITUTE(SUBSTITUTE(SUBSTITUTE(TRIM(E73),"*",""),".",""),"-","")," ",""))=11,MID(SUBSTITUTE(SUBSTITUTE(SUBSTITUTE(SUBSTITUTE(TRIM(E73),"*",""),".",""),"-","")," ",""),4,6),SUBSTITUTE(SUBSTITUTE(SUBSTITUTE(SUBSTITUTE(TRIM(E73),"*",""),".",""),"-","")," ","")))</f>
        <v/>
      </c>
      <c r="H73" s="31" t="str">
        <f aca="false">IF(OR(F73="",G73=""),"",F73&amp;"|"&amp;G73)</f>
        <v/>
      </c>
      <c r="I73" s="23"/>
      <c r="J73" s="22"/>
      <c r="K73" s="22"/>
      <c r="L73" s="25" t="str">
        <f aca="false">IF(F73="","",IF(AND(H73&lt;&gt;"",COUNTIF(Pessoas!$E:$E,H73)&gt;0),"SIM",IF(COUNTIF(Pessoas!$C:$C,F73)&gt;0,"nome igual em Pessoas: confira o CPF","")))</f>
        <v/>
      </c>
      <c r="M73" s="24"/>
      <c r="N73" s="11"/>
    </row>
    <row r="74" customFormat="false" ht="15" hidden="false" customHeight="false" outlineLevel="0" collapsed="false">
      <c r="A74" s="24"/>
      <c r="B74" s="31" t="str">
        <f aca="false">IF(A74="","",IF(LEN(UPPER(SUBSTITUTE(SUBSTITUTE(SUBSTITUTE(SUBSTITUTE(TRIM(A74),".",""),"/",""),"-","")," ","")))&lt;14,RIGHT(REPT("0",14)&amp;UPPER(SUBSTITUTE(SUBSTITUTE(SUBSTITUTE(SUBSTITUTE(TRIM(A74),".",""),"/",""),"-","")," ","")),14),UPPER(SUBSTITUTE(SUBSTITUTE(SUBSTITUTE(SUBSTITUTE(TRIM(A74),".",""),"/",""),"-","")," ",""))))</f>
        <v/>
      </c>
      <c r="C74" s="25" t="str">
        <f aca="false">IF(B74="","",IFERROR(INDEX(Empresas!$C:$C,MATCH(B74,Empresas!$B:$B,0)),"cadastre o CNPJ em Empresas"))</f>
        <v/>
      </c>
      <c r="D74" s="23"/>
      <c r="E74" s="24"/>
      <c r="F74" s="31" t="str">
        <f aca="false">IF(D74="","",SUBSTITUTE(SUBSTITUTE(SUBSTITUTE(SUBSTITUTE(SUBSTITUTE(SUBSTITUTE(SUBSTITUTE(SUBSTITUTE(SUBSTITUTE(SUBSTITUTE(SUBSTITUTE(SUBSTITUTE(SUBSTITUTE(UPPER(TRIM(D74)),"Á","A"),"À","A"),"Â","A"),"Ã","A"),"É","E"),"Ê","E"),"Í","I"),"Ó","O"),"Ô","O"),"Õ","O"),"Ú","U"),"Ü","U"),"Ç","C"))</f>
        <v/>
      </c>
      <c r="G74" s="31" t="str">
        <f aca="false">IF(E74="","",IF(LEN(SUBSTITUTE(SUBSTITUTE(SUBSTITUTE(SUBSTITUTE(TRIM(E74),"*",""),".",""),"-","")," ",""))=11,MID(SUBSTITUTE(SUBSTITUTE(SUBSTITUTE(SUBSTITUTE(TRIM(E74),"*",""),".",""),"-","")," ",""),4,6),SUBSTITUTE(SUBSTITUTE(SUBSTITUTE(SUBSTITUTE(TRIM(E74),"*",""),".",""),"-","")," ","")))</f>
        <v/>
      </c>
      <c r="H74" s="31" t="str">
        <f aca="false">IF(OR(F74="",G74=""),"",F74&amp;"|"&amp;G74)</f>
        <v/>
      </c>
      <c r="I74" s="23"/>
      <c r="J74" s="22"/>
      <c r="K74" s="22"/>
      <c r="L74" s="25" t="str">
        <f aca="false">IF(F74="","",IF(AND(H74&lt;&gt;"",COUNTIF(Pessoas!$E:$E,H74)&gt;0),"SIM",IF(COUNTIF(Pessoas!$C:$C,F74)&gt;0,"nome igual em Pessoas: confira o CPF","")))</f>
        <v/>
      </c>
      <c r="M74" s="24"/>
      <c r="N74" s="11"/>
    </row>
    <row r="75" customFormat="false" ht="15" hidden="false" customHeight="false" outlineLevel="0" collapsed="false">
      <c r="A75" s="24"/>
      <c r="B75" s="31" t="str">
        <f aca="false">IF(A75="","",IF(LEN(UPPER(SUBSTITUTE(SUBSTITUTE(SUBSTITUTE(SUBSTITUTE(TRIM(A75),".",""),"/",""),"-","")," ","")))&lt;14,RIGHT(REPT("0",14)&amp;UPPER(SUBSTITUTE(SUBSTITUTE(SUBSTITUTE(SUBSTITUTE(TRIM(A75),".",""),"/",""),"-","")," ","")),14),UPPER(SUBSTITUTE(SUBSTITUTE(SUBSTITUTE(SUBSTITUTE(TRIM(A75),".",""),"/",""),"-","")," ",""))))</f>
        <v/>
      </c>
      <c r="C75" s="25" t="str">
        <f aca="false">IF(B75="","",IFERROR(INDEX(Empresas!$C:$C,MATCH(B75,Empresas!$B:$B,0)),"cadastre o CNPJ em Empresas"))</f>
        <v/>
      </c>
      <c r="D75" s="23"/>
      <c r="E75" s="24"/>
      <c r="F75" s="31" t="str">
        <f aca="false">IF(D75="","",SUBSTITUTE(SUBSTITUTE(SUBSTITUTE(SUBSTITUTE(SUBSTITUTE(SUBSTITUTE(SUBSTITUTE(SUBSTITUTE(SUBSTITUTE(SUBSTITUTE(SUBSTITUTE(SUBSTITUTE(SUBSTITUTE(UPPER(TRIM(D75)),"Á","A"),"À","A"),"Â","A"),"Ã","A"),"É","E"),"Ê","E"),"Í","I"),"Ó","O"),"Ô","O"),"Õ","O"),"Ú","U"),"Ü","U"),"Ç","C"))</f>
        <v/>
      </c>
      <c r="G75" s="31" t="str">
        <f aca="false">IF(E75="","",IF(LEN(SUBSTITUTE(SUBSTITUTE(SUBSTITUTE(SUBSTITUTE(TRIM(E75),"*",""),".",""),"-","")," ",""))=11,MID(SUBSTITUTE(SUBSTITUTE(SUBSTITUTE(SUBSTITUTE(TRIM(E75),"*",""),".",""),"-","")," ",""),4,6),SUBSTITUTE(SUBSTITUTE(SUBSTITUTE(SUBSTITUTE(TRIM(E75),"*",""),".",""),"-","")," ","")))</f>
        <v/>
      </c>
      <c r="H75" s="31" t="str">
        <f aca="false">IF(OR(F75="",G75=""),"",F75&amp;"|"&amp;G75)</f>
        <v/>
      </c>
      <c r="I75" s="23"/>
      <c r="J75" s="22"/>
      <c r="K75" s="22"/>
      <c r="L75" s="25" t="str">
        <f aca="false">IF(F75="","",IF(AND(H75&lt;&gt;"",COUNTIF(Pessoas!$E:$E,H75)&gt;0),"SIM",IF(COUNTIF(Pessoas!$C:$C,F75)&gt;0,"nome igual em Pessoas: confira o CPF","")))</f>
        <v/>
      </c>
      <c r="M75" s="24"/>
      <c r="N75" s="11"/>
    </row>
    <row r="76" customFormat="false" ht="15" hidden="false" customHeight="false" outlineLevel="0" collapsed="false">
      <c r="A76" s="24"/>
      <c r="B76" s="31" t="str">
        <f aca="false">IF(A76="","",IF(LEN(UPPER(SUBSTITUTE(SUBSTITUTE(SUBSTITUTE(SUBSTITUTE(TRIM(A76),".",""),"/",""),"-","")," ","")))&lt;14,RIGHT(REPT("0",14)&amp;UPPER(SUBSTITUTE(SUBSTITUTE(SUBSTITUTE(SUBSTITUTE(TRIM(A76),".",""),"/",""),"-","")," ","")),14),UPPER(SUBSTITUTE(SUBSTITUTE(SUBSTITUTE(SUBSTITUTE(TRIM(A76),".",""),"/",""),"-","")," ",""))))</f>
        <v/>
      </c>
      <c r="C76" s="25" t="str">
        <f aca="false">IF(B76="","",IFERROR(INDEX(Empresas!$C:$C,MATCH(B76,Empresas!$B:$B,0)),"cadastre o CNPJ em Empresas"))</f>
        <v/>
      </c>
      <c r="D76" s="23"/>
      <c r="E76" s="24"/>
      <c r="F76" s="31" t="str">
        <f aca="false">IF(D76="","",SUBSTITUTE(SUBSTITUTE(SUBSTITUTE(SUBSTITUTE(SUBSTITUTE(SUBSTITUTE(SUBSTITUTE(SUBSTITUTE(SUBSTITUTE(SUBSTITUTE(SUBSTITUTE(SUBSTITUTE(SUBSTITUTE(UPPER(TRIM(D76)),"Á","A"),"À","A"),"Â","A"),"Ã","A"),"É","E"),"Ê","E"),"Í","I"),"Ó","O"),"Ô","O"),"Õ","O"),"Ú","U"),"Ü","U"),"Ç","C"))</f>
        <v/>
      </c>
      <c r="G76" s="31" t="str">
        <f aca="false">IF(E76="","",IF(LEN(SUBSTITUTE(SUBSTITUTE(SUBSTITUTE(SUBSTITUTE(TRIM(E76),"*",""),".",""),"-","")," ",""))=11,MID(SUBSTITUTE(SUBSTITUTE(SUBSTITUTE(SUBSTITUTE(TRIM(E76),"*",""),".",""),"-","")," ",""),4,6),SUBSTITUTE(SUBSTITUTE(SUBSTITUTE(SUBSTITUTE(TRIM(E76),"*",""),".",""),"-","")," ","")))</f>
        <v/>
      </c>
      <c r="H76" s="31" t="str">
        <f aca="false">IF(OR(F76="",G76=""),"",F76&amp;"|"&amp;G76)</f>
        <v/>
      </c>
      <c r="I76" s="23"/>
      <c r="J76" s="22"/>
      <c r="K76" s="22"/>
      <c r="L76" s="25" t="str">
        <f aca="false">IF(F76="","",IF(AND(H76&lt;&gt;"",COUNTIF(Pessoas!$E:$E,H76)&gt;0),"SIM",IF(COUNTIF(Pessoas!$C:$C,F76)&gt;0,"nome igual em Pessoas: confira o CPF","")))</f>
        <v/>
      </c>
      <c r="M76" s="24"/>
      <c r="N76" s="11"/>
    </row>
    <row r="77" customFormat="false" ht="15" hidden="false" customHeight="false" outlineLevel="0" collapsed="false">
      <c r="A77" s="24"/>
      <c r="B77" s="31" t="str">
        <f aca="false">IF(A77="","",IF(LEN(UPPER(SUBSTITUTE(SUBSTITUTE(SUBSTITUTE(SUBSTITUTE(TRIM(A77),".",""),"/",""),"-","")," ","")))&lt;14,RIGHT(REPT("0",14)&amp;UPPER(SUBSTITUTE(SUBSTITUTE(SUBSTITUTE(SUBSTITUTE(TRIM(A77),".",""),"/",""),"-","")," ","")),14),UPPER(SUBSTITUTE(SUBSTITUTE(SUBSTITUTE(SUBSTITUTE(TRIM(A77),".",""),"/",""),"-","")," ",""))))</f>
        <v/>
      </c>
      <c r="C77" s="25" t="str">
        <f aca="false">IF(B77="","",IFERROR(INDEX(Empresas!$C:$C,MATCH(B77,Empresas!$B:$B,0)),"cadastre o CNPJ em Empresas"))</f>
        <v/>
      </c>
      <c r="D77" s="23"/>
      <c r="E77" s="24"/>
      <c r="F77" s="31" t="str">
        <f aca="false">IF(D77="","",SUBSTITUTE(SUBSTITUTE(SUBSTITUTE(SUBSTITUTE(SUBSTITUTE(SUBSTITUTE(SUBSTITUTE(SUBSTITUTE(SUBSTITUTE(SUBSTITUTE(SUBSTITUTE(SUBSTITUTE(SUBSTITUTE(UPPER(TRIM(D77)),"Á","A"),"À","A"),"Â","A"),"Ã","A"),"É","E"),"Ê","E"),"Í","I"),"Ó","O"),"Ô","O"),"Õ","O"),"Ú","U"),"Ü","U"),"Ç","C"))</f>
        <v/>
      </c>
      <c r="G77" s="31" t="str">
        <f aca="false">IF(E77="","",IF(LEN(SUBSTITUTE(SUBSTITUTE(SUBSTITUTE(SUBSTITUTE(TRIM(E77),"*",""),".",""),"-","")," ",""))=11,MID(SUBSTITUTE(SUBSTITUTE(SUBSTITUTE(SUBSTITUTE(TRIM(E77),"*",""),".",""),"-","")," ",""),4,6),SUBSTITUTE(SUBSTITUTE(SUBSTITUTE(SUBSTITUTE(TRIM(E77),"*",""),".",""),"-","")," ","")))</f>
        <v/>
      </c>
      <c r="H77" s="31" t="str">
        <f aca="false">IF(OR(F77="",G77=""),"",F77&amp;"|"&amp;G77)</f>
        <v/>
      </c>
      <c r="I77" s="23"/>
      <c r="J77" s="22"/>
      <c r="K77" s="22"/>
      <c r="L77" s="25" t="str">
        <f aca="false">IF(F77="","",IF(AND(H77&lt;&gt;"",COUNTIF(Pessoas!$E:$E,H77)&gt;0),"SIM",IF(COUNTIF(Pessoas!$C:$C,F77)&gt;0,"nome igual em Pessoas: confira o CPF","")))</f>
        <v/>
      </c>
      <c r="M77" s="24"/>
      <c r="N77" s="11"/>
    </row>
    <row r="78" customFormat="false" ht="15" hidden="false" customHeight="false" outlineLevel="0" collapsed="false">
      <c r="A78" s="24"/>
      <c r="B78" s="31" t="str">
        <f aca="false">IF(A78="","",IF(LEN(UPPER(SUBSTITUTE(SUBSTITUTE(SUBSTITUTE(SUBSTITUTE(TRIM(A78),".",""),"/",""),"-","")," ","")))&lt;14,RIGHT(REPT("0",14)&amp;UPPER(SUBSTITUTE(SUBSTITUTE(SUBSTITUTE(SUBSTITUTE(TRIM(A78),".",""),"/",""),"-","")," ","")),14),UPPER(SUBSTITUTE(SUBSTITUTE(SUBSTITUTE(SUBSTITUTE(TRIM(A78),".",""),"/",""),"-","")," ",""))))</f>
        <v/>
      </c>
      <c r="C78" s="25" t="str">
        <f aca="false">IF(B78="","",IFERROR(INDEX(Empresas!$C:$C,MATCH(B78,Empresas!$B:$B,0)),"cadastre o CNPJ em Empresas"))</f>
        <v/>
      </c>
      <c r="D78" s="23"/>
      <c r="E78" s="24"/>
      <c r="F78" s="31" t="str">
        <f aca="false">IF(D78="","",SUBSTITUTE(SUBSTITUTE(SUBSTITUTE(SUBSTITUTE(SUBSTITUTE(SUBSTITUTE(SUBSTITUTE(SUBSTITUTE(SUBSTITUTE(SUBSTITUTE(SUBSTITUTE(SUBSTITUTE(SUBSTITUTE(UPPER(TRIM(D78)),"Á","A"),"À","A"),"Â","A"),"Ã","A"),"É","E"),"Ê","E"),"Í","I"),"Ó","O"),"Ô","O"),"Õ","O"),"Ú","U"),"Ü","U"),"Ç","C"))</f>
        <v/>
      </c>
      <c r="G78" s="31" t="str">
        <f aca="false">IF(E78="","",IF(LEN(SUBSTITUTE(SUBSTITUTE(SUBSTITUTE(SUBSTITUTE(TRIM(E78),"*",""),".",""),"-","")," ",""))=11,MID(SUBSTITUTE(SUBSTITUTE(SUBSTITUTE(SUBSTITUTE(TRIM(E78),"*",""),".",""),"-","")," ",""),4,6),SUBSTITUTE(SUBSTITUTE(SUBSTITUTE(SUBSTITUTE(TRIM(E78),"*",""),".",""),"-","")," ","")))</f>
        <v/>
      </c>
      <c r="H78" s="31" t="str">
        <f aca="false">IF(OR(F78="",G78=""),"",F78&amp;"|"&amp;G78)</f>
        <v/>
      </c>
      <c r="I78" s="23"/>
      <c r="J78" s="22"/>
      <c r="K78" s="22"/>
      <c r="L78" s="25" t="str">
        <f aca="false">IF(F78="","",IF(AND(H78&lt;&gt;"",COUNTIF(Pessoas!$E:$E,H78)&gt;0),"SIM",IF(COUNTIF(Pessoas!$C:$C,F78)&gt;0,"nome igual em Pessoas: confira o CPF","")))</f>
        <v/>
      </c>
      <c r="M78" s="24"/>
      <c r="N78" s="11"/>
    </row>
    <row r="79" customFormat="false" ht="15" hidden="false" customHeight="false" outlineLevel="0" collapsed="false">
      <c r="A79" s="24"/>
      <c r="B79" s="31" t="str">
        <f aca="false">IF(A79="","",IF(LEN(UPPER(SUBSTITUTE(SUBSTITUTE(SUBSTITUTE(SUBSTITUTE(TRIM(A79),".",""),"/",""),"-","")," ","")))&lt;14,RIGHT(REPT("0",14)&amp;UPPER(SUBSTITUTE(SUBSTITUTE(SUBSTITUTE(SUBSTITUTE(TRIM(A79),".",""),"/",""),"-","")," ","")),14),UPPER(SUBSTITUTE(SUBSTITUTE(SUBSTITUTE(SUBSTITUTE(TRIM(A79),".",""),"/",""),"-","")," ",""))))</f>
        <v/>
      </c>
      <c r="C79" s="25" t="str">
        <f aca="false">IF(B79="","",IFERROR(INDEX(Empresas!$C:$C,MATCH(B79,Empresas!$B:$B,0)),"cadastre o CNPJ em Empresas"))</f>
        <v/>
      </c>
      <c r="D79" s="23"/>
      <c r="E79" s="24"/>
      <c r="F79" s="31" t="str">
        <f aca="false">IF(D79="","",SUBSTITUTE(SUBSTITUTE(SUBSTITUTE(SUBSTITUTE(SUBSTITUTE(SUBSTITUTE(SUBSTITUTE(SUBSTITUTE(SUBSTITUTE(SUBSTITUTE(SUBSTITUTE(SUBSTITUTE(SUBSTITUTE(UPPER(TRIM(D79)),"Á","A"),"À","A"),"Â","A"),"Ã","A"),"É","E"),"Ê","E"),"Í","I"),"Ó","O"),"Ô","O"),"Õ","O"),"Ú","U"),"Ü","U"),"Ç","C"))</f>
        <v/>
      </c>
      <c r="G79" s="31" t="str">
        <f aca="false">IF(E79="","",IF(LEN(SUBSTITUTE(SUBSTITUTE(SUBSTITUTE(SUBSTITUTE(TRIM(E79),"*",""),".",""),"-","")," ",""))=11,MID(SUBSTITUTE(SUBSTITUTE(SUBSTITUTE(SUBSTITUTE(TRIM(E79),"*",""),".",""),"-","")," ",""),4,6),SUBSTITUTE(SUBSTITUTE(SUBSTITUTE(SUBSTITUTE(TRIM(E79),"*",""),".",""),"-","")," ","")))</f>
        <v/>
      </c>
      <c r="H79" s="31" t="str">
        <f aca="false">IF(OR(F79="",G79=""),"",F79&amp;"|"&amp;G79)</f>
        <v/>
      </c>
      <c r="I79" s="23"/>
      <c r="J79" s="22"/>
      <c r="K79" s="22"/>
      <c r="L79" s="25" t="str">
        <f aca="false">IF(F79="","",IF(AND(H79&lt;&gt;"",COUNTIF(Pessoas!$E:$E,H79)&gt;0),"SIM",IF(COUNTIF(Pessoas!$C:$C,F79)&gt;0,"nome igual em Pessoas: confira o CPF","")))</f>
        <v/>
      </c>
      <c r="M79" s="24"/>
      <c r="N79" s="11"/>
    </row>
    <row r="80" customFormat="false" ht="15" hidden="false" customHeight="false" outlineLevel="0" collapsed="false">
      <c r="A80" s="24"/>
      <c r="B80" s="31" t="str">
        <f aca="false">IF(A80="","",IF(LEN(UPPER(SUBSTITUTE(SUBSTITUTE(SUBSTITUTE(SUBSTITUTE(TRIM(A80),".",""),"/",""),"-","")," ","")))&lt;14,RIGHT(REPT("0",14)&amp;UPPER(SUBSTITUTE(SUBSTITUTE(SUBSTITUTE(SUBSTITUTE(TRIM(A80),".",""),"/",""),"-","")," ","")),14),UPPER(SUBSTITUTE(SUBSTITUTE(SUBSTITUTE(SUBSTITUTE(TRIM(A80),".",""),"/",""),"-","")," ",""))))</f>
        <v/>
      </c>
      <c r="C80" s="25" t="str">
        <f aca="false">IF(B80="","",IFERROR(INDEX(Empresas!$C:$C,MATCH(B80,Empresas!$B:$B,0)),"cadastre o CNPJ em Empresas"))</f>
        <v/>
      </c>
      <c r="D80" s="23"/>
      <c r="E80" s="24"/>
      <c r="F80" s="31" t="str">
        <f aca="false">IF(D80="","",SUBSTITUTE(SUBSTITUTE(SUBSTITUTE(SUBSTITUTE(SUBSTITUTE(SUBSTITUTE(SUBSTITUTE(SUBSTITUTE(SUBSTITUTE(SUBSTITUTE(SUBSTITUTE(SUBSTITUTE(SUBSTITUTE(UPPER(TRIM(D80)),"Á","A"),"À","A"),"Â","A"),"Ã","A"),"É","E"),"Ê","E"),"Í","I"),"Ó","O"),"Ô","O"),"Õ","O"),"Ú","U"),"Ü","U"),"Ç","C"))</f>
        <v/>
      </c>
      <c r="G80" s="31" t="str">
        <f aca="false">IF(E80="","",IF(LEN(SUBSTITUTE(SUBSTITUTE(SUBSTITUTE(SUBSTITUTE(TRIM(E80),"*",""),".",""),"-","")," ",""))=11,MID(SUBSTITUTE(SUBSTITUTE(SUBSTITUTE(SUBSTITUTE(TRIM(E80),"*",""),".",""),"-","")," ",""),4,6),SUBSTITUTE(SUBSTITUTE(SUBSTITUTE(SUBSTITUTE(TRIM(E80),"*",""),".",""),"-","")," ","")))</f>
        <v/>
      </c>
      <c r="H80" s="31" t="str">
        <f aca="false">IF(OR(F80="",G80=""),"",F80&amp;"|"&amp;G80)</f>
        <v/>
      </c>
      <c r="I80" s="23"/>
      <c r="J80" s="22"/>
      <c r="K80" s="22"/>
      <c r="L80" s="25" t="str">
        <f aca="false">IF(F80="","",IF(AND(H80&lt;&gt;"",COUNTIF(Pessoas!$E:$E,H80)&gt;0),"SIM",IF(COUNTIF(Pessoas!$C:$C,F80)&gt;0,"nome igual em Pessoas: confira o CPF","")))</f>
        <v/>
      </c>
      <c r="M80" s="24"/>
      <c r="N80" s="11"/>
    </row>
    <row r="81" customFormat="false" ht="15" hidden="false" customHeight="false" outlineLevel="0" collapsed="false">
      <c r="A81" s="24"/>
      <c r="B81" s="31" t="str">
        <f aca="false">IF(A81="","",IF(LEN(UPPER(SUBSTITUTE(SUBSTITUTE(SUBSTITUTE(SUBSTITUTE(TRIM(A81),".",""),"/",""),"-","")," ","")))&lt;14,RIGHT(REPT("0",14)&amp;UPPER(SUBSTITUTE(SUBSTITUTE(SUBSTITUTE(SUBSTITUTE(TRIM(A81),".",""),"/",""),"-","")," ","")),14),UPPER(SUBSTITUTE(SUBSTITUTE(SUBSTITUTE(SUBSTITUTE(TRIM(A81),".",""),"/",""),"-","")," ",""))))</f>
        <v/>
      </c>
      <c r="C81" s="25" t="str">
        <f aca="false">IF(B81="","",IFERROR(INDEX(Empresas!$C:$C,MATCH(B81,Empresas!$B:$B,0)),"cadastre o CNPJ em Empresas"))</f>
        <v/>
      </c>
      <c r="D81" s="23"/>
      <c r="E81" s="24"/>
      <c r="F81" s="31" t="str">
        <f aca="false">IF(D81="","",SUBSTITUTE(SUBSTITUTE(SUBSTITUTE(SUBSTITUTE(SUBSTITUTE(SUBSTITUTE(SUBSTITUTE(SUBSTITUTE(SUBSTITUTE(SUBSTITUTE(SUBSTITUTE(SUBSTITUTE(SUBSTITUTE(UPPER(TRIM(D81)),"Á","A"),"À","A"),"Â","A"),"Ã","A"),"É","E"),"Ê","E"),"Í","I"),"Ó","O"),"Ô","O"),"Õ","O"),"Ú","U"),"Ü","U"),"Ç","C"))</f>
        <v/>
      </c>
      <c r="G81" s="31" t="str">
        <f aca="false">IF(E81="","",IF(LEN(SUBSTITUTE(SUBSTITUTE(SUBSTITUTE(SUBSTITUTE(TRIM(E81),"*",""),".",""),"-","")," ",""))=11,MID(SUBSTITUTE(SUBSTITUTE(SUBSTITUTE(SUBSTITUTE(TRIM(E81),"*",""),".",""),"-","")," ",""),4,6),SUBSTITUTE(SUBSTITUTE(SUBSTITUTE(SUBSTITUTE(TRIM(E81),"*",""),".",""),"-","")," ","")))</f>
        <v/>
      </c>
      <c r="H81" s="31" t="str">
        <f aca="false">IF(OR(F81="",G81=""),"",F81&amp;"|"&amp;G81)</f>
        <v/>
      </c>
      <c r="I81" s="23"/>
      <c r="J81" s="22"/>
      <c r="K81" s="22"/>
      <c r="L81" s="25" t="str">
        <f aca="false">IF(F81="","",IF(AND(H81&lt;&gt;"",COUNTIF(Pessoas!$E:$E,H81)&gt;0),"SIM",IF(COUNTIF(Pessoas!$C:$C,F81)&gt;0,"nome igual em Pessoas: confira o CPF","")))</f>
        <v/>
      </c>
      <c r="M81" s="24"/>
      <c r="N81" s="11"/>
    </row>
    <row r="82" customFormat="false" ht="15" hidden="false" customHeight="false" outlineLevel="0" collapsed="false">
      <c r="A82" s="24"/>
      <c r="B82" s="31" t="str">
        <f aca="false">IF(A82="","",IF(LEN(UPPER(SUBSTITUTE(SUBSTITUTE(SUBSTITUTE(SUBSTITUTE(TRIM(A82),".",""),"/",""),"-","")," ","")))&lt;14,RIGHT(REPT("0",14)&amp;UPPER(SUBSTITUTE(SUBSTITUTE(SUBSTITUTE(SUBSTITUTE(TRIM(A82),".",""),"/",""),"-","")," ","")),14),UPPER(SUBSTITUTE(SUBSTITUTE(SUBSTITUTE(SUBSTITUTE(TRIM(A82),".",""),"/",""),"-","")," ",""))))</f>
        <v/>
      </c>
      <c r="C82" s="25" t="str">
        <f aca="false">IF(B82="","",IFERROR(INDEX(Empresas!$C:$C,MATCH(B82,Empresas!$B:$B,0)),"cadastre o CNPJ em Empresas"))</f>
        <v/>
      </c>
      <c r="D82" s="23"/>
      <c r="E82" s="24"/>
      <c r="F82" s="31" t="str">
        <f aca="false">IF(D82="","",SUBSTITUTE(SUBSTITUTE(SUBSTITUTE(SUBSTITUTE(SUBSTITUTE(SUBSTITUTE(SUBSTITUTE(SUBSTITUTE(SUBSTITUTE(SUBSTITUTE(SUBSTITUTE(SUBSTITUTE(SUBSTITUTE(UPPER(TRIM(D82)),"Á","A"),"À","A"),"Â","A"),"Ã","A"),"É","E"),"Ê","E"),"Í","I"),"Ó","O"),"Ô","O"),"Õ","O"),"Ú","U"),"Ü","U"),"Ç","C"))</f>
        <v/>
      </c>
      <c r="G82" s="31" t="str">
        <f aca="false">IF(E82="","",IF(LEN(SUBSTITUTE(SUBSTITUTE(SUBSTITUTE(SUBSTITUTE(TRIM(E82),"*",""),".",""),"-","")," ",""))=11,MID(SUBSTITUTE(SUBSTITUTE(SUBSTITUTE(SUBSTITUTE(TRIM(E82),"*",""),".",""),"-","")," ",""),4,6),SUBSTITUTE(SUBSTITUTE(SUBSTITUTE(SUBSTITUTE(TRIM(E82),"*",""),".",""),"-","")," ","")))</f>
        <v/>
      </c>
      <c r="H82" s="31" t="str">
        <f aca="false">IF(OR(F82="",G82=""),"",F82&amp;"|"&amp;G82)</f>
        <v/>
      </c>
      <c r="I82" s="23"/>
      <c r="J82" s="22"/>
      <c r="K82" s="22"/>
      <c r="L82" s="25" t="str">
        <f aca="false">IF(F82="","",IF(AND(H82&lt;&gt;"",COUNTIF(Pessoas!$E:$E,H82)&gt;0),"SIM",IF(COUNTIF(Pessoas!$C:$C,F82)&gt;0,"nome igual em Pessoas: confira o CPF","")))</f>
        <v/>
      </c>
      <c r="M82" s="24"/>
      <c r="N82" s="11"/>
    </row>
    <row r="83" customFormat="false" ht="15" hidden="false" customHeight="false" outlineLevel="0" collapsed="false">
      <c r="A83" s="24"/>
      <c r="B83" s="31" t="str">
        <f aca="false">IF(A83="","",IF(LEN(UPPER(SUBSTITUTE(SUBSTITUTE(SUBSTITUTE(SUBSTITUTE(TRIM(A83),".",""),"/",""),"-","")," ","")))&lt;14,RIGHT(REPT("0",14)&amp;UPPER(SUBSTITUTE(SUBSTITUTE(SUBSTITUTE(SUBSTITUTE(TRIM(A83),".",""),"/",""),"-","")," ","")),14),UPPER(SUBSTITUTE(SUBSTITUTE(SUBSTITUTE(SUBSTITUTE(TRIM(A83),".",""),"/",""),"-","")," ",""))))</f>
        <v/>
      </c>
      <c r="C83" s="25" t="str">
        <f aca="false">IF(B83="","",IFERROR(INDEX(Empresas!$C:$C,MATCH(B83,Empresas!$B:$B,0)),"cadastre o CNPJ em Empresas"))</f>
        <v/>
      </c>
      <c r="D83" s="23"/>
      <c r="E83" s="24"/>
      <c r="F83" s="31" t="str">
        <f aca="false">IF(D83="","",SUBSTITUTE(SUBSTITUTE(SUBSTITUTE(SUBSTITUTE(SUBSTITUTE(SUBSTITUTE(SUBSTITUTE(SUBSTITUTE(SUBSTITUTE(SUBSTITUTE(SUBSTITUTE(SUBSTITUTE(SUBSTITUTE(UPPER(TRIM(D83)),"Á","A"),"À","A"),"Â","A"),"Ã","A"),"É","E"),"Ê","E"),"Í","I"),"Ó","O"),"Ô","O"),"Õ","O"),"Ú","U"),"Ü","U"),"Ç","C"))</f>
        <v/>
      </c>
      <c r="G83" s="31" t="str">
        <f aca="false">IF(E83="","",IF(LEN(SUBSTITUTE(SUBSTITUTE(SUBSTITUTE(SUBSTITUTE(TRIM(E83),"*",""),".",""),"-","")," ",""))=11,MID(SUBSTITUTE(SUBSTITUTE(SUBSTITUTE(SUBSTITUTE(TRIM(E83),"*",""),".",""),"-","")," ",""),4,6),SUBSTITUTE(SUBSTITUTE(SUBSTITUTE(SUBSTITUTE(TRIM(E83),"*",""),".",""),"-","")," ","")))</f>
        <v/>
      </c>
      <c r="H83" s="31" t="str">
        <f aca="false">IF(OR(F83="",G83=""),"",F83&amp;"|"&amp;G83)</f>
        <v/>
      </c>
      <c r="I83" s="23"/>
      <c r="J83" s="22"/>
      <c r="K83" s="22"/>
      <c r="L83" s="25" t="str">
        <f aca="false">IF(F83="","",IF(AND(H83&lt;&gt;"",COUNTIF(Pessoas!$E:$E,H83)&gt;0),"SIM",IF(COUNTIF(Pessoas!$C:$C,F83)&gt;0,"nome igual em Pessoas: confira o CPF","")))</f>
        <v/>
      </c>
      <c r="M83" s="24"/>
      <c r="N83" s="11"/>
    </row>
    <row r="84" customFormat="false" ht="15" hidden="false" customHeight="false" outlineLevel="0" collapsed="false">
      <c r="A84" s="24"/>
      <c r="B84" s="31" t="str">
        <f aca="false">IF(A84="","",IF(LEN(UPPER(SUBSTITUTE(SUBSTITUTE(SUBSTITUTE(SUBSTITUTE(TRIM(A84),".",""),"/",""),"-","")," ","")))&lt;14,RIGHT(REPT("0",14)&amp;UPPER(SUBSTITUTE(SUBSTITUTE(SUBSTITUTE(SUBSTITUTE(TRIM(A84),".",""),"/",""),"-","")," ","")),14),UPPER(SUBSTITUTE(SUBSTITUTE(SUBSTITUTE(SUBSTITUTE(TRIM(A84),".",""),"/",""),"-","")," ",""))))</f>
        <v/>
      </c>
      <c r="C84" s="25" t="str">
        <f aca="false">IF(B84="","",IFERROR(INDEX(Empresas!$C:$C,MATCH(B84,Empresas!$B:$B,0)),"cadastre o CNPJ em Empresas"))</f>
        <v/>
      </c>
      <c r="D84" s="23"/>
      <c r="E84" s="24"/>
      <c r="F84" s="31" t="str">
        <f aca="false">IF(D84="","",SUBSTITUTE(SUBSTITUTE(SUBSTITUTE(SUBSTITUTE(SUBSTITUTE(SUBSTITUTE(SUBSTITUTE(SUBSTITUTE(SUBSTITUTE(SUBSTITUTE(SUBSTITUTE(SUBSTITUTE(SUBSTITUTE(UPPER(TRIM(D84)),"Á","A"),"À","A"),"Â","A"),"Ã","A"),"É","E"),"Ê","E"),"Í","I"),"Ó","O"),"Ô","O"),"Õ","O"),"Ú","U"),"Ü","U"),"Ç","C"))</f>
        <v/>
      </c>
      <c r="G84" s="31" t="str">
        <f aca="false">IF(E84="","",IF(LEN(SUBSTITUTE(SUBSTITUTE(SUBSTITUTE(SUBSTITUTE(TRIM(E84),"*",""),".",""),"-","")," ",""))=11,MID(SUBSTITUTE(SUBSTITUTE(SUBSTITUTE(SUBSTITUTE(TRIM(E84),"*",""),".",""),"-","")," ",""),4,6),SUBSTITUTE(SUBSTITUTE(SUBSTITUTE(SUBSTITUTE(TRIM(E84),"*",""),".",""),"-","")," ","")))</f>
        <v/>
      </c>
      <c r="H84" s="31" t="str">
        <f aca="false">IF(OR(F84="",G84=""),"",F84&amp;"|"&amp;G84)</f>
        <v/>
      </c>
      <c r="I84" s="23"/>
      <c r="J84" s="22"/>
      <c r="K84" s="22"/>
      <c r="L84" s="25" t="str">
        <f aca="false">IF(F84="","",IF(AND(H84&lt;&gt;"",COUNTIF(Pessoas!$E:$E,H84)&gt;0),"SIM",IF(COUNTIF(Pessoas!$C:$C,F84)&gt;0,"nome igual em Pessoas: confira o CPF","")))</f>
        <v/>
      </c>
      <c r="M84" s="24"/>
      <c r="N84" s="11"/>
    </row>
    <row r="85" customFormat="false" ht="15" hidden="false" customHeight="false" outlineLevel="0" collapsed="false">
      <c r="A85" s="24"/>
      <c r="B85" s="31" t="str">
        <f aca="false">IF(A85="","",IF(LEN(UPPER(SUBSTITUTE(SUBSTITUTE(SUBSTITUTE(SUBSTITUTE(TRIM(A85),".",""),"/",""),"-","")," ","")))&lt;14,RIGHT(REPT("0",14)&amp;UPPER(SUBSTITUTE(SUBSTITUTE(SUBSTITUTE(SUBSTITUTE(TRIM(A85),".",""),"/",""),"-","")," ","")),14),UPPER(SUBSTITUTE(SUBSTITUTE(SUBSTITUTE(SUBSTITUTE(TRIM(A85),".",""),"/",""),"-","")," ",""))))</f>
        <v/>
      </c>
      <c r="C85" s="25" t="str">
        <f aca="false">IF(B85="","",IFERROR(INDEX(Empresas!$C:$C,MATCH(B85,Empresas!$B:$B,0)),"cadastre o CNPJ em Empresas"))</f>
        <v/>
      </c>
      <c r="D85" s="23"/>
      <c r="E85" s="24"/>
      <c r="F85" s="31" t="str">
        <f aca="false">IF(D85="","",SUBSTITUTE(SUBSTITUTE(SUBSTITUTE(SUBSTITUTE(SUBSTITUTE(SUBSTITUTE(SUBSTITUTE(SUBSTITUTE(SUBSTITUTE(SUBSTITUTE(SUBSTITUTE(SUBSTITUTE(SUBSTITUTE(UPPER(TRIM(D85)),"Á","A"),"À","A"),"Â","A"),"Ã","A"),"É","E"),"Ê","E"),"Í","I"),"Ó","O"),"Ô","O"),"Õ","O"),"Ú","U"),"Ü","U"),"Ç","C"))</f>
        <v/>
      </c>
      <c r="G85" s="31" t="str">
        <f aca="false">IF(E85="","",IF(LEN(SUBSTITUTE(SUBSTITUTE(SUBSTITUTE(SUBSTITUTE(TRIM(E85),"*",""),".",""),"-","")," ",""))=11,MID(SUBSTITUTE(SUBSTITUTE(SUBSTITUTE(SUBSTITUTE(TRIM(E85),"*",""),".",""),"-","")," ",""),4,6),SUBSTITUTE(SUBSTITUTE(SUBSTITUTE(SUBSTITUTE(TRIM(E85),"*",""),".",""),"-","")," ","")))</f>
        <v/>
      </c>
      <c r="H85" s="31" t="str">
        <f aca="false">IF(OR(F85="",G85=""),"",F85&amp;"|"&amp;G85)</f>
        <v/>
      </c>
      <c r="I85" s="23"/>
      <c r="J85" s="22"/>
      <c r="K85" s="22"/>
      <c r="L85" s="25" t="str">
        <f aca="false">IF(F85="","",IF(AND(H85&lt;&gt;"",COUNTIF(Pessoas!$E:$E,H85)&gt;0),"SIM",IF(COUNTIF(Pessoas!$C:$C,F85)&gt;0,"nome igual em Pessoas: confira o CPF","")))</f>
        <v/>
      </c>
      <c r="M85" s="24"/>
      <c r="N85" s="11"/>
    </row>
    <row r="86" customFormat="false" ht="15" hidden="false" customHeight="false" outlineLevel="0" collapsed="false">
      <c r="A86" s="24"/>
      <c r="B86" s="31" t="str">
        <f aca="false">IF(A86="","",IF(LEN(UPPER(SUBSTITUTE(SUBSTITUTE(SUBSTITUTE(SUBSTITUTE(TRIM(A86),".",""),"/",""),"-","")," ","")))&lt;14,RIGHT(REPT("0",14)&amp;UPPER(SUBSTITUTE(SUBSTITUTE(SUBSTITUTE(SUBSTITUTE(TRIM(A86),".",""),"/",""),"-","")," ","")),14),UPPER(SUBSTITUTE(SUBSTITUTE(SUBSTITUTE(SUBSTITUTE(TRIM(A86),".",""),"/",""),"-","")," ",""))))</f>
        <v/>
      </c>
      <c r="C86" s="25" t="str">
        <f aca="false">IF(B86="","",IFERROR(INDEX(Empresas!$C:$C,MATCH(B86,Empresas!$B:$B,0)),"cadastre o CNPJ em Empresas"))</f>
        <v/>
      </c>
      <c r="D86" s="23"/>
      <c r="E86" s="24"/>
      <c r="F86" s="31" t="str">
        <f aca="false">IF(D86="","",SUBSTITUTE(SUBSTITUTE(SUBSTITUTE(SUBSTITUTE(SUBSTITUTE(SUBSTITUTE(SUBSTITUTE(SUBSTITUTE(SUBSTITUTE(SUBSTITUTE(SUBSTITUTE(SUBSTITUTE(SUBSTITUTE(UPPER(TRIM(D86)),"Á","A"),"À","A"),"Â","A"),"Ã","A"),"É","E"),"Ê","E"),"Í","I"),"Ó","O"),"Ô","O"),"Õ","O"),"Ú","U"),"Ü","U"),"Ç","C"))</f>
        <v/>
      </c>
      <c r="G86" s="31" t="str">
        <f aca="false">IF(E86="","",IF(LEN(SUBSTITUTE(SUBSTITUTE(SUBSTITUTE(SUBSTITUTE(TRIM(E86),"*",""),".",""),"-","")," ",""))=11,MID(SUBSTITUTE(SUBSTITUTE(SUBSTITUTE(SUBSTITUTE(TRIM(E86),"*",""),".",""),"-","")," ",""),4,6),SUBSTITUTE(SUBSTITUTE(SUBSTITUTE(SUBSTITUTE(TRIM(E86),"*",""),".",""),"-","")," ","")))</f>
        <v/>
      </c>
      <c r="H86" s="31" t="str">
        <f aca="false">IF(OR(F86="",G86=""),"",F86&amp;"|"&amp;G86)</f>
        <v/>
      </c>
      <c r="I86" s="23"/>
      <c r="J86" s="22"/>
      <c r="K86" s="22"/>
      <c r="L86" s="25" t="str">
        <f aca="false">IF(F86="","",IF(AND(H86&lt;&gt;"",COUNTIF(Pessoas!$E:$E,H86)&gt;0),"SIM",IF(COUNTIF(Pessoas!$C:$C,F86)&gt;0,"nome igual em Pessoas: confira o CPF","")))</f>
        <v/>
      </c>
      <c r="M86" s="24"/>
      <c r="N86" s="11"/>
    </row>
    <row r="87" customFormat="false" ht="15" hidden="false" customHeight="false" outlineLevel="0" collapsed="false">
      <c r="A87" s="24"/>
      <c r="B87" s="31" t="str">
        <f aca="false">IF(A87="","",IF(LEN(UPPER(SUBSTITUTE(SUBSTITUTE(SUBSTITUTE(SUBSTITUTE(TRIM(A87),".",""),"/",""),"-","")," ","")))&lt;14,RIGHT(REPT("0",14)&amp;UPPER(SUBSTITUTE(SUBSTITUTE(SUBSTITUTE(SUBSTITUTE(TRIM(A87),".",""),"/",""),"-","")," ","")),14),UPPER(SUBSTITUTE(SUBSTITUTE(SUBSTITUTE(SUBSTITUTE(TRIM(A87),".",""),"/",""),"-","")," ",""))))</f>
        <v/>
      </c>
      <c r="C87" s="25" t="str">
        <f aca="false">IF(B87="","",IFERROR(INDEX(Empresas!$C:$C,MATCH(B87,Empresas!$B:$B,0)),"cadastre o CNPJ em Empresas"))</f>
        <v/>
      </c>
      <c r="D87" s="23"/>
      <c r="E87" s="24"/>
      <c r="F87" s="31" t="str">
        <f aca="false">IF(D87="","",SUBSTITUTE(SUBSTITUTE(SUBSTITUTE(SUBSTITUTE(SUBSTITUTE(SUBSTITUTE(SUBSTITUTE(SUBSTITUTE(SUBSTITUTE(SUBSTITUTE(SUBSTITUTE(SUBSTITUTE(SUBSTITUTE(UPPER(TRIM(D87)),"Á","A"),"À","A"),"Â","A"),"Ã","A"),"É","E"),"Ê","E"),"Í","I"),"Ó","O"),"Ô","O"),"Õ","O"),"Ú","U"),"Ü","U"),"Ç","C"))</f>
        <v/>
      </c>
      <c r="G87" s="31" t="str">
        <f aca="false">IF(E87="","",IF(LEN(SUBSTITUTE(SUBSTITUTE(SUBSTITUTE(SUBSTITUTE(TRIM(E87),"*",""),".",""),"-","")," ",""))=11,MID(SUBSTITUTE(SUBSTITUTE(SUBSTITUTE(SUBSTITUTE(TRIM(E87),"*",""),".",""),"-","")," ",""),4,6),SUBSTITUTE(SUBSTITUTE(SUBSTITUTE(SUBSTITUTE(TRIM(E87),"*",""),".",""),"-","")," ","")))</f>
        <v/>
      </c>
      <c r="H87" s="31" t="str">
        <f aca="false">IF(OR(F87="",G87=""),"",F87&amp;"|"&amp;G87)</f>
        <v/>
      </c>
      <c r="I87" s="23"/>
      <c r="J87" s="22"/>
      <c r="K87" s="22"/>
      <c r="L87" s="25" t="str">
        <f aca="false">IF(F87="","",IF(AND(H87&lt;&gt;"",COUNTIF(Pessoas!$E:$E,H87)&gt;0),"SIM",IF(COUNTIF(Pessoas!$C:$C,F87)&gt;0,"nome igual em Pessoas: confira o CPF","")))</f>
        <v/>
      </c>
      <c r="M87" s="24"/>
      <c r="N87" s="11"/>
    </row>
    <row r="88" customFormat="false" ht="15" hidden="false" customHeight="false" outlineLevel="0" collapsed="false">
      <c r="A88" s="24"/>
      <c r="B88" s="31" t="str">
        <f aca="false">IF(A88="","",IF(LEN(UPPER(SUBSTITUTE(SUBSTITUTE(SUBSTITUTE(SUBSTITUTE(TRIM(A88),".",""),"/",""),"-","")," ","")))&lt;14,RIGHT(REPT("0",14)&amp;UPPER(SUBSTITUTE(SUBSTITUTE(SUBSTITUTE(SUBSTITUTE(TRIM(A88),".",""),"/",""),"-","")," ","")),14),UPPER(SUBSTITUTE(SUBSTITUTE(SUBSTITUTE(SUBSTITUTE(TRIM(A88),".",""),"/",""),"-","")," ",""))))</f>
        <v/>
      </c>
      <c r="C88" s="25" t="str">
        <f aca="false">IF(B88="","",IFERROR(INDEX(Empresas!$C:$C,MATCH(B88,Empresas!$B:$B,0)),"cadastre o CNPJ em Empresas"))</f>
        <v/>
      </c>
      <c r="D88" s="23"/>
      <c r="E88" s="24"/>
      <c r="F88" s="31" t="str">
        <f aca="false">IF(D88="","",SUBSTITUTE(SUBSTITUTE(SUBSTITUTE(SUBSTITUTE(SUBSTITUTE(SUBSTITUTE(SUBSTITUTE(SUBSTITUTE(SUBSTITUTE(SUBSTITUTE(SUBSTITUTE(SUBSTITUTE(SUBSTITUTE(UPPER(TRIM(D88)),"Á","A"),"À","A"),"Â","A"),"Ã","A"),"É","E"),"Ê","E"),"Í","I"),"Ó","O"),"Ô","O"),"Õ","O"),"Ú","U"),"Ü","U"),"Ç","C"))</f>
        <v/>
      </c>
      <c r="G88" s="31" t="str">
        <f aca="false">IF(E88="","",IF(LEN(SUBSTITUTE(SUBSTITUTE(SUBSTITUTE(SUBSTITUTE(TRIM(E88),"*",""),".",""),"-","")," ",""))=11,MID(SUBSTITUTE(SUBSTITUTE(SUBSTITUTE(SUBSTITUTE(TRIM(E88),"*",""),".",""),"-","")," ",""),4,6),SUBSTITUTE(SUBSTITUTE(SUBSTITUTE(SUBSTITUTE(TRIM(E88),"*",""),".",""),"-","")," ","")))</f>
        <v/>
      </c>
      <c r="H88" s="31" t="str">
        <f aca="false">IF(OR(F88="",G88=""),"",F88&amp;"|"&amp;G88)</f>
        <v/>
      </c>
      <c r="I88" s="23"/>
      <c r="J88" s="22"/>
      <c r="K88" s="22"/>
      <c r="L88" s="25" t="str">
        <f aca="false">IF(F88="","",IF(AND(H88&lt;&gt;"",COUNTIF(Pessoas!$E:$E,H88)&gt;0),"SIM",IF(COUNTIF(Pessoas!$C:$C,F88)&gt;0,"nome igual em Pessoas: confira o CPF","")))</f>
        <v/>
      </c>
      <c r="M88" s="24"/>
      <c r="N88" s="11"/>
    </row>
    <row r="89" customFormat="false" ht="15" hidden="false" customHeight="false" outlineLevel="0" collapsed="false">
      <c r="A89" s="24"/>
      <c r="B89" s="31" t="str">
        <f aca="false">IF(A89="","",IF(LEN(UPPER(SUBSTITUTE(SUBSTITUTE(SUBSTITUTE(SUBSTITUTE(TRIM(A89),".",""),"/",""),"-","")," ","")))&lt;14,RIGHT(REPT("0",14)&amp;UPPER(SUBSTITUTE(SUBSTITUTE(SUBSTITUTE(SUBSTITUTE(TRIM(A89),".",""),"/",""),"-","")," ","")),14),UPPER(SUBSTITUTE(SUBSTITUTE(SUBSTITUTE(SUBSTITUTE(TRIM(A89),".",""),"/",""),"-","")," ",""))))</f>
        <v/>
      </c>
      <c r="C89" s="25" t="str">
        <f aca="false">IF(B89="","",IFERROR(INDEX(Empresas!$C:$C,MATCH(B89,Empresas!$B:$B,0)),"cadastre o CNPJ em Empresas"))</f>
        <v/>
      </c>
      <c r="D89" s="23"/>
      <c r="E89" s="24"/>
      <c r="F89" s="31" t="str">
        <f aca="false">IF(D89="","",SUBSTITUTE(SUBSTITUTE(SUBSTITUTE(SUBSTITUTE(SUBSTITUTE(SUBSTITUTE(SUBSTITUTE(SUBSTITUTE(SUBSTITUTE(SUBSTITUTE(SUBSTITUTE(SUBSTITUTE(SUBSTITUTE(UPPER(TRIM(D89)),"Á","A"),"À","A"),"Â","A"),"Ã","A"),"É","E"),"Ê","E"),"Í","I"),"Ó","O"),"Ô","O"),"Õ","O"),"Ú","U"),"Ü","U"),"Ç","C"))</f>
        <v/>
      </c>
      <c r="G89" s="31" t="str">
        <f aca="false">IF(E89="","",IF(LEN(SUBSTITUTE(SUBSTITUTE(SUBSTITUTE(SUBSTITUTE(TRIM(E89),"*",""),".",""),"-","")," ",""))=11,MID(SUBSTITUTE(SUBSTITUTE(SUBSTITUTE(SUBSTITUTE(TRIM(E89),"*",""),".",""),"-","")," ",""),4,6),SUBSTITUTE(SUBSTITUTE(SUBSTITUTE(SUBSTITUTE(TRIM(E89),"*",""),".",""),"-","")," ","")))</f>
        <v/>
      </c>
      <c r="H89" s="31" t="str">
        <f aca="false">IF(OR(F89="",G89=""),"",F89&amp;"|"&amp;G89)</f>
        <v/>
      </c>
      <c r="I89" s="23"/>
      <c r="J89" s="22"/>
      <c r="K89" s="22"/>
      <c r="L89" s="25" t="str">
        <f aca="false">IF(F89="","",IF(AND(H89&lt;&gt;"",COUNTIF(Pessoas!$E:$E,H89)&gt;0),"SIM",IF(COUNTIF(Pessoas!$C:$C,F89)&gt;0,"nome igual em Pessoas: confira o CPF","")))</f>
        <v/>
      </c>
      <c r="M89" s="24"/>
      <c r="N89" s="11"/>
    </row>
    <row r="90" customFormat="false" ht="15" hidden="false" customHeight="false" outlineLevel="0" collapsed="false">
      <c r="A90" s="24"/>
      <c r="B90" s="31" t="str">
        <f aca="false">IF(A90="","",IF(LEN(UPPER(SUBSTITUTE(SUBSTITUTE(SUBSTITUTE(SUBSTITUTE(TRIM(A90),".",""),"/",""),"-","")," ","")))&lt;14,RIGHT(REPT("0",14)&amp;UPPER(SUBSTITUTE(SUBSTITUTE(SUBSTITUTE(SUBSTITUTE(TRIM(A90),".",""),"/",""),"-","")," ","")),14),UPPER(SUBSTITUTE(SUBSTITUTE(SUBSTITUTE(SUBSTITUTE(TRIM(A90),".",""),"/",""),"-","")," ",""))))</f>
        <v/>
      </c>
      <c r="C90" s="25" t="str">
        <f aca="false">IF(B90="","",IFERROR(INDEX(Empresas!$C:$C,MATCH(B90,Empresas!$B:$B,0)),"cadastre o CNPJ em Empresas"))</f>
        <v/>
      </c>
      <c r="D90" s="23"/>
      <c r="E90" s="24"/>
      <c r="F90" s="31" t="str">
        <f aca="false">IF(D90="","",SUBSTITUTE(SUBSTITUTE(SUBSTITUTE(SUBSTITUTE(SUBSTITUTE(SUBSTITUTE(SUBSTITUTE(SUBSTITUTE(SUBSTITUTE(SUBSTITUTE(SUBSTITUTE(SUBSTITUTE(SUBSTITUTE(UPPER(TRIM(D90)),"Á","A"),"À","A"),"Â","A"),"Ã","A"),"É","E"),"Ê","E"),"Í","I"),"Ó","O"),"Ô","O"),"Õ","O"),"Ú","U"),"Ü","U"),"Ç","C"))</f>
        <v/>
      </c>
      <c r="G90" s="31" t="str">
        <f aca="false">IF(E90="","",IF(LEN(SUBSTITUTE(SUBSTITUTE(SUBSTITUTE(SUBSTITUTE(TRIM(E90),"*",""),".",""),"-","")," ",""))=11,MID(SUBSTITUTE(SUBSTITUTE(SUBSTITUTE(SUBSTITUTE(TRIM(E90),"*",""),".",""),"-","")," ",""),4,6),SUBSTITUTE(SUBSTITUTE(SUBSTITUTE(SUBSTITUTE(TRIM(E90),"*",""),".",""),"-","")," ","")))</f>
        <v/>
      </c>
      <c r="H90" s="31" t="str">
        <f aca="false">IF(OR(F90="",G90=""),"",F90&amp;"|"&amp;G90)</f>
        <v/>
      </c>
      <c r="I90" s="23"/>
      <c r="J90" s="22"/>
      <c r="K90" s="22"/>
      <c r="L90" s="25" t="str">
        <f aca="false">IF(F90="","",IF(AND(H90&lt;&gt;"",COUNTIF(Pessoas!$E:$E,H90)&gt;0),"SIM",IF(COUNTIF(Pessoas!$C:$C,F90)&gt;0,"nome igual em Pessoas: confira o CPF","")))</f>
        <v/>
      </c>
      <c r="M90" s="24"/>
      <c r="N90" s="11"/>
    </row>
    <row r="91" customFormat="false" ht="15" hidden="false" customHeight="false" outlineLevel="0" collapsed="false">
      <c r="A91" s="24"/>
      <c r="B91" s="31" t="str">
        <f aca="false">IF(A91="","",IF(LEN(UPPER(SUBSTITUTE(SUBSTITUTE(SUBSTITUTE(SUBSTITUTE(TRIM(A91),".",""),"/",""),"-","")," ","")))&lt;14,RIGHT(REPT("0",14)&amp;UPPER(SUBSTITUTE(SUBSTITUTE(SUBSTITUTE(SUBSTITUTE(TRIM(A91),".",""),"/",""),"-","")," ","")),14),UPPER(SUBSTITUTE(SUBSTITUTE(SUBSTITUTE(SUBSTITUTE(TRIM(A91),".",""),"/",""),"-","")," ",""))))</f>
        <v/>
      </c>
      <c r="C91" s="25" t="str">
        <f aca="false">IF(B91="","",IFERROR(INDEX(Empresas!$C:$C,MATCH(B91,Empresas!$B:$B,0)),"cadastre o CNPJ em Empresas"))</f>
        <v/>
      </c>
      <c r="D91" s="23"/>
      <c r="E91" s="24"/>
      <c r="F91" s="31" t="str">
        <f aca="false">IF(D91="","",SUBSTITUTE(SUBSTITUTE(SUBSTITUTE(SUBSTITUTE(SUBSTITUTE(SUBSTITUTE(SUBSTITUTE(SUBSTITUTE(SUBSTITUTE(SUBSTITUTE(SUBSTITUTE(SUBSTITUTE(SUBSTITUTE(UPPER(TRIM(D91)),"Á","A"),"À","A"),"Â","A"),"Ã","A"),"É","E"),"Ê","E"),"Í","I"),"Ó","O"),"Ô","O"),"Õ","O"),"Ú","U"),"Ü","U"),"Ç","C"))</f>
        <v/>
      </c>
      <c r="G91" s="31" t="str">
        <f aca="false">IF(E91="","",IF(LEN(SUBSTITUTE(SUBSTITUTE(SUBSTITUTE(SUBSTITUTE(TRIM(E91),"*",""),".",""),"-","")," ",""))=11,MID(SUBSTITUTE(SUBSTITUTE(SUBSTITUTE(SUBSTITUTE(TRIM(E91),"*",""),".",""),"-","")," ",""),4,6),SUBSTITUTE(SUBSTITUTE(SUBSTITUTE(SUBSTITUTE(TRIM(E91),"*",""),".",""),"-","")," ","")))</f>
        <v/>
      </c>
      <c r="H91" s="31" t="str">
        <f aca="false">IF(OR(F91="",G91=""),"",F91&amp;"|"&amp;G91)</f>
        <v/>
      </c>
      <c r="I91" s="23"/>
      <c r="J91" s="22"/>
      <c r="K91" s="22"/>
      <c r="L91" s="25" t="str">
        <f aca="false">IF(F91="","",IF(AND(H91&lt;&gt;"",COUNTIF(Pessoas!$E:$E,H91)&gt;0),"SIM",IF(COUNTIF(Pessoas!$C:$C,F91)&gt;0,"nome igual em Pessoas: confira o CPF","")))</f>
        <v/>
      </c>
      <c r="M91" s="24"/>
      <c r="N91" s="11"/>
    </row>
    <row r="92" customFormat="false" ht="15" hidden="false" customHeight="false" outlineLevel="0" collapsed="false">
      <c r="A92" s="24"/>
      <c r="B92" s="31" t="str">
        <f aca="false">IF(A92="","",IF(LEN(UPPER(SUBSTITUTE(SUBSTITUTE(SUBSTITUTE(SUBSTITUTE(TRIM(A92),".",""),"/",""),"-","")," ","")))&lt;14,RIGHT(REPT("0",14)&amp;UPPER(SUBSTITUTE(SUBSTITUTE(SUBSTITUTE(SUBSTITUTE(TRIM(A92),".",""),"/",""),"-","")," ","")),14),UPPER(SUBSTITUTE(SUBSTITUTE(SUBSTITUTE(SUBSTITUTE(TRIM(A92),".",""),"/",""),"-","")," ",""))))</f>
        <v/>
      </c>
      <c r="C92" s="25" t="str">
        <f aca="false">IF(B92="","",IFERROR(INDEX(Empresas!$C:$C,MATCH(B92,Empresas!$B:$B,0)),"cadastre o CNPJ em Empresas"))</f>
        <v/>
      </c>
      <c r="D92" s="23"/>
      <c r="E92" s="24"/>
      <c r="F92" s="31" t="str">
        <f aca="false">IF(D92="","",SUBSTITUTE(SUBSTITUTE(SUBSTITUTE(SUBSTITUTE(SUBSTITUTE(SUBSTITUTE(SUBSTITUTE(SUBSTITUTE(SUBSTITUTE(SUBSTITUTE(SUBSTITUTE(SUBSTITUTE(SUBSTITUTE(UPPER(TRIM(D92)),"Á","A"),"À","A"),"Â","A"),"Ã","A"),"É","E"),"Ê","E"),"Í","I"),"Ó","O"),"Ô","O"),"Õ","O"),"Ú","U"),"Ü","U"),"Ç","C"))</f>
        <v/>
      </c>
      <c r="G92" s="31" t="str">
        <f aca="false">IF(E92="","",IF(LEN(SUBSTITUTE(SUBSTITUTE(SUBSTITUTE(SUBSTITUTE(TRIM(E92),"*",""),".",""),"-","")," ",""))=11,MID(SUBSTITUTE(SUBSTITUTE(SUBSTITUTE(SUBSTITUTE(TRIM(E92),"*",""),".",""),"-","")," ",""),4,6),SUBSTITUTE(SUBSTITUTE(SUBSTITUTE(SUBSTITUTE(TRIM(E92),"*",""),".",""),"-","")," ","")))</f>
        <v/>
      </c>
      <c r="H92" s="31" t="str">
        <f aca="false">IF(OR(F92="",G92=""),"",F92&amp;"|"&amp;G92)</f>
        <v/>
      </c>
      <c r="I92" s="23"/>
      <c r="J92" s="22"/>
      <c r="K92" s="22"/>
      <c r="L92" s="25" t="str">
        <f aca="false">IF(F92="","",IF(AND(H92&lt;&gt;"",COUNTIF(Pessoas!$E:$E,H92)&gt;0),"SIM",IF(COUNTIF(Pessoas!$C:$C,F92)&gt;0,"nome igual em Pessoas: confira o CPF","")))</f>
        <v/>
      </c>
      <c r="M92" s="24"/>
      <c r="N92" s="11"/>
    </row>
    <row r="93" customFormat="false" ht="15" hidden="false" customHeight="false" outlineLevel="0" collapsed="false">
      <c r="A93" s="24"/>
      <c r="B93" s="31" t="str">
        <f aca="false">IF(A93="","",IF(LEN(UPPER(SUBSTITUTE(SUBSTITUTE(SUBSTITUTE(SUBSTITUTE(TRIM(A93),".",""),"/",""),"-","")," ","")))&lt;14,RIGHT(REPT("0",14)&amp;UPPER(SUBSTITUTE(SUBSTITUTE(SUBSTITUTE(SUBSTITUTE(TRIM(A93),".",""),"/",""),"-","")," ","")),14),UPPER(SUBSTITUTE(SUBSTITUTE(SUBSTITUTE(SUBSTITUTE(TRIM(A93),".",""),"/",""),"-","")," ",""))))</f>
        <v/>
      </c>
      <c r="C93" s="25" t="str">
        <f aca="false">IF(B93="","",IFERROR(INDEX(Empresas!$C:$C,MATCH(B93,Empresas!$B:$B,0)),"cadastre o CNPJ em Empresas"))</f>
        <v/>
      </c>
      <c r="D93" s="23"/>
      <c r="E93" s="24"/>
      <c r="F93" s="31" t="str">
        <f aca="false">IF(D93="","",SUBSTITUTE(SUBSTITUTE(SUBSTITUTE(SUBSTITUTE(SUBSTITUTE(SUBSTITUTE(SUBSTITUTE(SUBSTITUTE(SUBSTITUTE(SUBSTITUTE(SUBSTITUTE(SUBSTITUTE(SUBSTITUTE(UPPER(TRIM(D93)),"Á","A"),"À","A"),"Â","A"),"Ã","A"),"É","E"),"Ê","E"),"Í","I"),"Ó","O"),"Ô","O"),"Õ","O"),"Ú","U"),"Ü","U"),"Ç","C"))</f>
        <v/>
      </c>
      <c r="G93" s="31" t="str">
        <f aca="false">IF(E93="","",IF(LEN(SUBSTITUTE(SUBSTITUTE(SUBSTITUTE(SUBSTITUTE(TRIM(E93),"*",""),".",""),"-","")," ",""))=11,MID(SUBSTITUTE(SUBSTITUTE(SUBSTITUTE(SUBSTITUTE(TRIM(E93),"*",""),".",""),"-","")," ",""),4,6),SUBSTITUTE(SUBSTITUTE(SUBSTITUTE(SUBSTITUTE(TRIM(E93),"*",""),".",""),"-","")," ","")))</f>
        <v/>
      </c>
      <c r="H93" s="31" t="str">
        <f aca="false">IF(OR(F93="",G93=""),"",F93&amp;"|"&amp;G93)</f>
        <v/>
      </c>
      <c r="I93" s="23"/>
      <c r="J93" s="22"/>
      <c r="K93" s="22"/>
      <c r="L93" s="25" t="str">
        <f aca="false">IF(F93="","",IF(AND(H93&lt;&gt;"",COUNTIF(Pessoas!$E:$E,H93)&gt;0),"SIM",IF(COUNTIF(Pessoas!$C:$C,F93)&gt;0,"nome igual em Pessoas: confira o CPF","")))</f>
        <v/>
      </c>
      <c r="M93" s="24"/>
      <c r="N93" s="11"/>
    </row>
    <row r="94" customFormat="false" ht="15" hidden="false" customHeight="false" outlineLevel="0" collapsed="false">
      <c r="A94" s="24"/>
      <c r="B94" s="31" t="str">
        <f aca="false">IF(A94="","",IF(LEN(UPPER(SUBSTITUTE(SUBSTITUTE(SUBSTITUTE(SUBSTITUTE(TRIM(A94),".",""),"/",""),"-","")," ","")))&lt;14,RIGHT(REPT("0",14)&amp;UPPER(SUBSTITUTE(SUBSTITUTE(SUBSTITUTE(SUBSTITUTE(TRIM(A94),".",""),"/",""),"-","")," ","")),14),UPPER(SUBSTITUTE(SUBSTITUTE(SUBSTITUTE(SUBSTITUTE(TRIM(A94),".",""),"/",""),"-","")," ",""))))</f>
        <v/>
      </c>
      <c r="C94" s="25" t="str">
        <f aca="false">IF(B94="","",IFERROR(INDEX(Empresas!$C:$C,MATCH(B94,Empresas!$B:$B,0)),"cadastre o CNPJ em Empresas"))</f>
        <v/>
      </c>
      <c r="D94" s="23"/>
      <c r="E94" s="24"/>
      <c r="F94" s="31" t="str">
        <f aca="false">IF(D94="","",SUBSTITUTE(SUBSTITUTE(SUBSTITUTE(SUBSTITUTE(SUBSTITUTE(SUBSTITUTE(SUBSTITUTE(SUBSTITUTE(SUBSTITUTE(SUBSTITUTE(SUBSTITUTE(SUBSTITUTE(SUBSTITUTE(UPPER(TRIM(D94)),"Á","A"),"À","A"),"Â","A"),"Ã","A"),"É","E"),"Ê","E"),"Í","I"),"Ó","O"),"Ô","O"),"Õ","O"),"Ú","U"),"Ü","U"),"Ç","C"))</f>
        <v/>
      </c>
      <c r="G94" s="31" t="str">
        <f aca="false">IF(E94="","",IF(LEN(SUBSTITUTE(SUBSTITUTE(SUBSTITUTE(SUBSTITUTE(TRIM(E94),"*",""),".",""),"-","")," ",""))=11,MID(SUBSTITUTE(SUBSTITUTE(SUBSTITUTE(SUBSTITUTE(TRIM(E94),"*",""),".",""),"-","")," ",""),4,6),SUBSTITUTE(SUBSTITUTE(SUBSTITUTE(SUBSTITUTE(TRIM(E94),"*",""),".",""),"-","")," ","")))</f>
        <v/>
      </c>
      <c r="H94" s="31" t="str">
        <f aca="false">IF(OR(F94="",G94=""),"",F94&amp;"|"&amp;G94)</f>
        <v/>
      </c>
      <c r="I94" s="23"/>
      <c r="J94" s="22"/>
      <c r="K94" s="22"/>
      <c r="L94" s="25" t="str">
        <f aca="false">IF(F94="","",IF(AND(H94&lt;&gt;"",COUNTIF(Pessoas!$E:$E,H94)&gt;0),"SIM",IF(COUNTIF(Pessoas!$C:$C,F94)&gt;0,"nome igual em Pessoas: confira o CPF","")))</f>
        <v/>
      </c>
      <c r="M94" s="24"/>
      <c r="N94" s="11"/>
    </row>
    <row r="95" customFormat="false" ht="15" hidden="false" customHeight="false" outlineLevel="0" collapsed="false">
      <c r="A95" s="24"/>
      <c r="B95" s="31" t="str">
        <f aca="false">IF(A95="","",IF(LEN(UPPER(SUBSTITUTE(SUBSTITUTE(SUBSTITUTE(SUBSTITUTE(TRIM(A95),".",""),"/",""),"-","")," ","")))&lt;14,RIGHT(REPT("0",14)&amp;UPPER(SUBSTITUTE(SUBSTITUTE(SUBSTITUTE(SUBSTITUTE(TRIM(A95),".",""),"/",""),"-","")," ","")),14),UPPER(SUBSTITUTE(SUBSTITUTE(SUBSTITUTE(SUBSTITUTE(TRIM(A95),".",""),"/",""),"-","")," ",""))))</f>
        <v/>
      </c>
      <c r="C95" s="25" t="str">
        <f aca="false">IF(B95="","",IFERROR(INDEX(Empresas!$C:$C,MATCH(B95,Empresas!$B:$B,0)),"cadastre o CNPJ em Empresas"))</f>
        <v/>
      </c>
      <c r="D95" s="23"/>
      <c r="E95" s="24"/>
      <c r="F95" s="31" t="str">
        <f aca="false">IF(D95="","",SUBSTITUTE(SUBSTITUTE(SUBSTITUTE(SUBSTITUTE(SUBSTITUTE(SUBSTITUTE(SUBSTITUTE(SUBSTITUTE(SUBSTITUTE(SUBSTITUTE(SUBSTITUTE(SUBSTITUTE(SUBSTITUTE(UPPER(TRIM(D95)),"Á","A"),"À","A"),"Â","A"),"Ã","A"),"É","E"),"Ê","E"),"Í","I"),"Ó","O"),"Ô","O"),"Õ","O"),"Ú","U"),"Ü","U"),"Ç","C"))</f>
        <v/>
      </c>
      <c r="G95" s="31" t="str">
        <f aca="false">IF(E95="","",IF(LEN(SUBSTITUTE(SUBSTITUTE(SUBSTITUTE(SUBSTITUTE(TRIM(E95),"*",""),".",""),"-","")," ",""))=11,MID(SUBSTITUTE(SUBSTITUTE(SUBSTITUTE(SUBSTITUTE(TRIM(E95),"*",""),".",""),"-","")," ",""),4,6),SUBSTITUTE(SUBSTITUTE(SUBSTITUTE(SUBSTITUTE(TRIM(E95),"*",""),".",""),"-","")," ","")))</f>
        <v/>
      </c>
      <c r="H95" s="31" t="str">
        <f aca="false">IF(OR(F95="",G95=""),"",F95&amp;"|"&amp;G95)</f>
        <v/>
      </c>
      <c r="I95" s="23"/>
      <c r="J95" s="22"/>
      <c r="K95" s="22"/>
      <c r="L95" s="25" t="str">
        <f aca="false">IF(F95="","",IF(AND(H95&lt;&gt;"",COUNTIF(Pessoas!$E:$E,H95)&gt;0),"SIM",IF(COUNTIF(Pessoas!$C:$C,F95)&gt;0,"nome igual em Pessoas: confira o CPF","")))</f>
        <v/>
      </c>
      <c r="M95" s="24"/>
      <c r="N95" s="11"/>
    </row>
    <row r="96" customFormat="false" ht="15" hidden="false" customHeight="false" outlineLevel="0" collapsed="false">
      <c r="A96" s="24"/>
      <c r="B96" s="31" t="str">
        <f aca="false">IF(A96="","",IF(LEN(UPPER(SUBSTITUTE(SUBSTITUTE(SUBSTITUTE(SUBSTITUTE(TRIM(A96),".",""),"/",""),"-","")," ","")))&lt;14,RIGHT(REPT("0",14)&amp;UPPER(SUBSTITUTE(SUBSTITUTE(SUBSTITUTE(SUBSTITUTE(TRIM(A96),".",""),"/",""),"-","")," ","")),14),UPPER(SUBSTITUTE(SUBSTITUTE(SUBSTITUTE(SUBSTITUTE(TRIM(A96),".",""),"/",""),"-","")," ",""))))</f>
        <v/>
      </c>
      <c r="C96" s="25" t="str">
        <f aca="false">IF(B96="","",IFERROR(INDEX(Empresas!$C:$C,MATCH(B96,Empresas!$B:$B,0)),"cadastre o CNPJ em Empresas"))</f>
        <v/>
      </c>
      <c r="D96" s="23"/>
      <c r="E96" s="24"/>
      <c r="F96" s="31" t="str">
        <f aca="false">IF(D96="","",SUBSTITUTE(SUBSTITUTE(SUBSTITUTE(SUBSTITUTE(SUBSTITUTE(SUBSTITUTE(SUBSTITUTE(SUBSTITUTE(SUBSTITUTE(SUBSTITUTE(SUBSTITUTE(SUBSTITUTE(SUBSTITUTE(UPPER(TRIM(D96)),"Á","A"),"À","A"),"Â","A"),"Ã","A"),"É","E"),"Ê","E"),"Í","I"),"Ó","O"),"Ô","O"),"Õ","O"),"Ú","U"),"Ü","U"),"Ç","C"))</f>
        <v/>
      </c>
      <c r="G96" s="31" t="str">
        <f aca="false">IF(E96="","",IF(LEN(SUBSTITUTE(SUBSTITUTE(SUBSTITUTE(SUBSTITUTE(TRIM(E96),"*",""),".",""),"-","")," ",""))=11,MID(SUBSTITUTE(SUBSTITUTE(SUBSTITUTE(SUBSTITUTE(TRIM(E96),"*",""),".",""),"-","")," ",""),4,6),SUBSTITUTE(SUBSTITUTE(SUBSTITUTE(SUBSTITUTE(TRIM(E96),"*",""),".",""),"-","")," ","")))</f>
        <v/>
      </c>
      <c r="H96" s="31" t="str">
        <f aca="false">IF(OR(F96="",G96=""),"",F96&amp;"|"&amp;G96)</f>
        <v/>
      </c>
      <c r="I96" s="23"/>
      <c r="J96" s="22"/>
      <c r="K96" s="22"/>
      <c r="L96" s="25" t="str">
        <f aca="false">IF(F96="","",IF(AND(H96&lt;&gt;"",COUNTIF(Pessoas!$E:$E,H96)&gt;0),"SIM",IF(COUNTIF(Pessoas!$C:$C,F96)&gt;0,"nome igual em Pessoas: confira o CPF","")))</f>
        <v/>
      </c>
      <c r="M96" s="24"/>
      <c r="N96" s="11"/>
    </row>
    <row r="97" customFormat="false" ht="15" hidden="false" customHeight="false" outlineLevel="0" collapsed="false">
      <c r="A97" s="24"/>
      <c r="B97" s="31" t="str">
        <f aca="false">IF(A97="","",IF(LEN(UPPER(SUBSTITUTE(SUBSTITUTE(SUBSTITUTE(SUBSTITUTE(TRIM(A97),".",""),"/",""),"-","")," ","")))&lt;14,RIGHT(REPT("0",14)&amp;UPPER(SUBSTITUTE(SUBSTITUTE(SUBSTITUTE(SUBSTITUTE(TRIM(A97),".",""),"/",""),"-","")," ","")),14),UPPER(SUBSTITUTE(SUBSTITUTE(SUBSTITUTE(SUBSTITUTE(TRIM(A97),".",""),"/",""),"-","")," ",""))))</f>
        <v/>
      </c>
      <c r="C97" s="25" t="str">
        <f aca="false">IF(B97="","",IFERROR(INDEX(Empresas!$C:$C,MATCH(B97,Empresas!$B:$B,0)),"cadastre o CNPJ em Empresas"))</f>
        <v/>
      </c>
      <c r="D97" s="23"/>
      <c r="E97" s="24"/>
      <c r="F97" s="31" t="str">
        <f aca="false">IF(D97="","",SUBSTITUTE(SUBSTITUTE(SUBSTITUTE(SUBSTITUTE(SUBSTITUTE(SUBSTITUTE(SUBSTITUTE(SUBSTITUTE(SUBSTITUTE(SUBSTITUTE(SUBSTITUTE(SUBSTITUTE(SUBSTITUTE(UPPER(TRIM(D97)),"Á","A"),"À","A"),"Â","A"),"Ã","A"),"É","E"),"Ê","E"),"Í","I"),"Ó","O"),"Ô","O"),"Õ","O"),"Ú","U"),"Ü","U"),"Ç","C"))</f>
        <v/>
      </c>
      <c r="G97" s="31" t="str">
        <f aca="false">IF(E97="","",IF(LEN(SUBSTITUTE(SUBSTITUTE(SUBSTITUTE(SUBSTITUTE(TRIM(E97),"*",""),".",""),"-","")," ",""))=11,MID(SUBSTITUTE(SUBSTITUTE(SUBSTITUTE(SUBSTITUTE(TRIM(E97),"*",""),".",""),"-","")," ",""),4,6),SUBSTITUTE(SUBSTITUTE(SUBSTITUTE(SUBSTITUTE(TRIM(E97),"*",""),".",""),"-","")," ","")))</f>
        <v/>
      </c>
      <c r="H97" s="31" t="str">
        <f aca="false">IF(OR(F97="",G97=""),"",F97&amp;"|"&amp;G97)</f>
        <v/>
      </c>
      <c r="I97" s="23"/>
      <c r="J97" s="22"/>
      <c r="K97" s="22"/>
      <c r="L97" s="25" t="str">
        <f aca="false">IF(F97="","",IF(AND(H97&lt;&gt;"",COUNTIF(Pessoas!$E:$E,H97)&gt;0),"SIM",IF(COUNTIF(Pessoas!$C:$C,F97)&gt;0,"nome igual em Pessoas: confira o CPF","")))</f>
        <v/>
      </c>
      <c r="M97" s="24"/>
      <c r="N97" s="11"/>
    </row>
    <row r="98" customFormat="false" ht="15" hidden="false" customHeight="false" outlineLevel="0" collapsed="false">
      <c r="A98" s="24"/>
      <c r="B98" s="31" t="str">
        <f aca="false">IF(A98="","",IF(LEN(UPPER(SUBSTITUTE(SUBSTITUTE(SUBSTITUTE(SUBSTITUTE(TRIM(A98),".",""),"/",""),"-","")," ","")))&lt;14,RIGHT(REPT("0",14)&amp;UPPER(SUBSTITUTE(SUBSTITUTE(SUBSTITUTE(SUBSTITUTE(TRIM(A98),".",""),"/",""),"-","")," ","")),14),UPPER(SUBSTITUTE(SUBSTITUTE(SUBSTITUTE(SUBSTITUTE(TRIM(A98),".",""),"/",""),"-","")," ",""))))</f>
        <v/>
      </c>
      <c r="C98" s="25" t="str">
        <f aca="false">IF(B98="","",IFERROR(INDEX(Empresas!$C:$C,MATCH(B98,Empresas!$B:$B,0)),"cadastre o CNPJ em Empresas"))</f>
        <v/>
      </c>
      <c r="D98" s="23"/>
      <c r="E98" s="24"/>
      <c r="F98" s="31" t="str">
        <f aca="false">IF(D98="","",SUBSTITUTE(SUBSTITUTE(SUBSTITUTE(SUBSTITUTE(SUBSTITUTE(SUBSTITUTE(SUBSTITUTE(SUBSTITUTE(SUBSTITUTE(SUBSTITUTE(SUBSTITUTE(SUBSTITUTE(SUBSTITUTE(UPPER(TRIM(D98)),"Á","A"),"À","A"),"Â","A"),"Ã","A"),"É","E"),"Ê","E"),"Í","I"),"Ó","O"),"Ô","O"),"Õ","O"),"Ú","U"),"Ü","U"),"Ç","C"))</f>
        <v/>
      </c>
      <c r="G98" s="31" t="str">
        <f aca="false">IF(E98="","",IF(LEN(SUBSTITUTE(SUBSTITUTE(SUBSTITUTE(SUBSTITUTE(TRIM(E98),"*",""),".",""),"-","")," ",""))=11,MID(SUBSTITUTE(SUBSTITUTE(SUBSTITUTE(SUBSTITUTE(TRIM(E98),"*",""),".",""),"-","")," ",""),4,6),SUBSTITUTE(SUBSTITUTE(SUBSTITUTE(SUBSTITUTE(TRIM(E98),"*",""),".",""),"-","")," ","")))</f>
        <v/>
      </c>
      <c r="H98" s="31" t="str">
        <f aca="false">IF(OR(F98="",G98=""),"",F98&amp;"|"&amp;G98)</f>
        <v/>
      </c>
      <c r="I98" s="23"/>
      <c r="J98" s="22"/>
      <c r="K98" s="22"/>
      <c r="L98" s="25" t="str">
        <f aca="false">IF(F98="","",IF(AND(H98&lt;&gt;"",COUNTIF(Pessoas!$E:$E,H98)&gt;0),"SIM",IF(COUNTIF(Pessoas!$C:$C,F98)&gt;0,"nome igual em Pessoas: confira o CPF","")))</f>
        <v/>
      </c>
      <c r="M98" s="24"/>
      <c r="N98" s="11"/>
    </row>
    <row r="99" customFormat="false" ht="15" hidden="false" customHeight="false" outlineLevel="0" collapsed="false">
      <c r="A99" s="24"/>
      <c r="B99" s="31" t="str">
        <f aca="false">IF(A99="","",IF(LEN(UPPER(SUBSTITUTE(SUBSTITUTE(SUBSTITUTE(SUBSTITUTE(TRIM(A99),".",""),"/",""),"-","")," ","")))&lt;14,RIGHT(REPT("0",14)&amp;UPPER(SUBSTITUTE(SUBSTITUTE(SUBSTITUTE(SUBSTITUTE(TRIM(A99),".",""),"/",""),"-","")," ","")),14),UPPER(SUBSTITUTE(SUBSTITUTE(SUBSTITUTE(SUBSTITUTE(TRIM(A99),".",""),"/",""),"-","")," ",""))))</f>
        <v/>
      </c>
      <c r="C99" s="25" t="str">
        <f aca="false">IF(B99="","",IFERROR(INDEX(Empresas!$C:$C,MATCH(B99,Empresas!$B:$B,0)),"cadastre o CNPJ em Empresas"))</f>
        <v/>
      </c>
      <c r="D99" s="23"/>
      <c r="E99" s="24"/>
      <c r="F99" s="31" t="str">
        <f aca="false">IF(D99="","",SUBSTITUTE(SUBSTITUTE(SUBSTITUTE(SUBSTITUTE(SUBSTITUTE(SUBSTITUTE(SUBSTITUTE(SUBSTITUTE(SUBSTITUTE(SUBSTITUTE(SUBSTITUTE(SUBSTITUTE(SUBSTITUTE(UPPER(TRIM(D99)),"Á","A"),"À","A"),"Â","A"),"Ã","A"),"É","E"),"Ê","E"),"Í","I"),"Ó","O"),"Ô","O"),"Õ","O"),"Ú","U"),"Ü","U"),"Ç","C"))</f>
        <v/>
      </c>
      <c r="G99" s="31" t="str">
        <f aca="false">IF(E99="","",IF(LEN(SUBSTITUTE(SUBSTITUTE(SUBSTITUTE(SUBSTITUTE(TRIM(E99),"*",""),".",""),"-","")," ",""))=11,MID(SUBSTITUTE(SUBSTITUTE(SUBSTITUTE(SUBSTITUTE(TRIM(E99),"*",""),".",""),"-","")," ",""),4,6),SUBSTITUTE(SUBSTITUTE(SUBSTITUTE(SUBSTITUTE(TRIM(E99),"*",""),".",""),"-","")," ","")))</f>
        <v/>
      </c>
      <c r="H99" s="31" t="str">
        <f aca="false">IF(OR(F99="",G99=""),"",F99&amp;"|"&amp;G99)</f>
        <v/>
      </c>
      <c r="I99" s="23"/>
      <c r="J99" s="22"/>
      <c r="K99" s="22"/>
      <c r="L99" s="25" t="str">
        <f aca="false">IF(F99="","",IF(AND(H99&lt;&gt;"",COUNTIF(Pessoas!$E:$E,H99)&gt;0),"SIM",IF(COUNTIF(Pessoas!$C:$C,F99)&gt;0,"nome igual em Pessoas: confira o CPF","")))</f>
        <v/>
      </c>
      <c r="M99" s="24"/>
      <c r="N99" s="11"/>
    </row>
    <row r="100" customFormat="false" ht="15" hidden="false" customHeight="false" outlineLevel="0" collapsed="false">
      <c r="A100" s="24"/>
      <c r="B100" s="31" t="str">
        <f aca="false">IF(A100="","",IF(LEN(UPPER(SUBSTITUTE(SUBSTITUTE(SUBSTITUTE(SUBSTITUTE(TRIM(A100),".",""),"/",""),"-","")," ","")))&lt;14,RIGHT(REPT("0",14)&amp;UPPER(SUBSTITUTE(SUBSTITUTE(SUBSTITUTE(SUBSTITUTE(TRIM(A100),".",""),"/",""),"-","")," ","")),14),UPPER(SUBSTITUTE(SUBSTITUTE(SUBSTITUTE(SUBSTITUTE(TRIM(A100),".",""),"/",""),"-","")," ",""))))</f>
        <v/>
      </c>
      <c r="C100" s="25" t="str">
        <f aca="false">IF(B100="","",IFERROR(INDEX(Empresas!$C:$C,MATCH(B100,Empresas!$B:$B,0)),"cadastre o CNPJ em Empresas"))</f>
        <v/>
      </c>
      <c r="D100" s="23"/>
      <c r="E100" s="24"/>
      <c r="F100" s="31" t="str">
        <f aca="false">IF(D100="","",SUBSTITUTE(SUBSTITUTE(SUBSTITUTE(SUBSTITUTE(SUBSTITUTE(SUBSTITUTE(SUBSTITUTE(SUBSTITUTE(SUBSTITUTE(SUBSTITUTE(SUBSTITUTE(SUBSTITUTE(SUBSTITUTE(UPPER(TRIM(D100)),"Á","A"),"À","A"),"Â","A"),"Ã","A"),"É","E"),"Ê","E"),"Í","I"),"Ó","O"),"Ô","O"),"Õ","O"),"Ú","U"),"Ü","U"),"Ç","C"))</f>
        <v/>
      </c>
      <c r="G100" s="31" t="str">
        <f aca="false">IF(E100="","",IF(LEN(SUBSTITUTE(SUBSTITUTE(SUBSTITUTE(SUBSTITUTE(TRIM(E100),"*",""),".",""),"-","")," ",""))=11,MID(SUBSTITUTE(SUBSTITUTE(SUBSTITUTE(SUBSTITUTE(TRIM(E100),"*",""),".",""),"-","")," ",""),4,6),SUBSTITUTE(SUBSTITUTE(SUBSTITUTE(SUBSTITUTE(TRIM(E100),"*",""),".",""),"-","")," ","")))</f>
        <v/>
      </c>
      <c r="H100" s="31" t="str">
        <f aca="false">IF(OR(F100="",G100=""),"",F100&amp;"|"&amp;G100)</f>
        <v/>
      </c>
      <c r="I100" s="23"/>
      <c r="J100" s="22"/>
      <c r="K100" s="22"/>
      <c r="L100" s="25" t="str">
        <f aca="false">IF(F100="","",IF(AND(H100&lt;&gt;"",COUNTIF(Pessoas!$E:$E,H100)&gt;0),"SIM",IF(COUNTIF(Pessoas!$C:$C,F100)&gt;0,"nome igual em Pessoas: confira o CPF","")))</f>
        <v/>
      </c>
      <c r="M100" s="24"/>
      <c r="N100" s="11"/>
    </row>
    <row r="101" customFormat="false" ht="15" hidden="false" customHeight="false" outlineLevel="0" collapsed="false">
      <c r="A101" s="24"/>
      <c r="B101" s="31" t="str">
        <f aca="false">IF(A101="","",IF(LEN(UPPER(SUBSTITUTE(SUBSTITUTE(SUBSTITUTE(SUBSTITUTE(TRIM(A101),".",""),"/",""),"-","")," ","")))&lt;14,RIGHT(REPT("0",14)&amp;UPPER(SUBSTITUTE(SUBSTITUTE(SUBSTITUTE(SUBSTITUTE(TRIM(A101),".",""),"/",""),"-","")," ","")),14),UPPER(SUBSTITUTE(SUBSTITUTE(SUBSTITUTE(SUBSTITUTE(TRIM(A101),".",""),"/",""),"-","")," ",""))))</f>
        <v/>
      </c>
      <c r="C101" s="25" t="str">
        <f aca="false">IF(B101="","",IFERROR(INDEX(Empresas!$C:$C,MATCH(B101,Empresas!$B:$B,0)),"cadastre o CNPJ em Empresas"))</f>
        <v/>
      </c>
      <c r="D101" s="23"/>
      <c r="E101" s="24"/>
      <c r="F101" s="31" t="str">
        <f aca="false">IF(D101="","",SUBSTITUTE(SUBSTITUTE(SUBSTITUTE(SUBSTITUTE(SUBSTITUTE(SUBSTITUTE(SUBSTITUTE(SUBSTITUTE(SUBSTITUTE(SUBSTITUTE(SUBSTITUTE(SUBSTITUTE(SUBSTITUTE(UPPER(TRIM(D101)),"Á","A"),"À","A"),"Â","A"),"Ã","A"),"É","E"),"Ê","E"),"Í","I"),"Ó","O"),"Ô","O"),"Õ","O"),"Ú","U"),"Ü","U"),"Ç","C"))</f>
        <v/>
      </c>
      <c r="G101" s="31" t="str">
        <f aca="false">IF(E101="","",IF(LEN(SUBSTITUTE(SUBSTITUTE(SUBSTITUTE(SUBSTITUTE(TRIM(E101),"*",""),".",""),"-","")," ",""))=11,MID(SUBSTITUTE(SUBSTITUTE(SUBSTITUTE(SUBSTITUTE(TRIM(E101),"*",""),".",""),"-","")," ",""),4,6),SUBSTITUTE(SUBSTITUTE(SUBSTITUTE(SUBSTITUTE(TRIM(E101),"*",""),".",""),"-","")," ","")))</f>
        <v/>
      </c>
      <c r="H101" s="31" t="str">
        <f aca="false">IF(OR(F101="",G101=""),"",F101&amp;"|"&amp;G101)</f>
        <v/>
      </c>
      <c r="I101" s="23"/>
      <c r="J101" s="22"/>
      <c r="K101" s="22"/>
      <c r="L101" s="25" t="str">
        <f aca="false">IF(F101="","",IF(AND(H101&lt;&gt;"",COUNTIF(Pessoas!$E:$E,H101)&gt;0),"SIM",IF(COUNTIF(Pessoas!$C:$C,F101)&gt;0,"nome igual em Pessoas: confira o CPF","")))</f>
        <v/>
      </c>
      <c r="M101" s="24"/>
      <c r="N101" s="11"/>
    </row>
    <row r="102" customFormat="false" ht="15" hidden="false" customHeight="false" outlineLevel="0" collapsed="false">
      <c r="A102" s="24"/>
      <c r="B102" s="31" t="str">
        <f aca="false">IF(A102="","",IF(LEN(UPPER(SUBSTITUTE(SUBSTITUTE(SUBSTITUTE(SUBSTITUTE(TRIM(A102),".",""),"/",""),"-","")," ","")))&lt;14,RIGHT(REPT("0",14)&amp;UPPER(SUBSTITUTE(SUBSTITUTE(SUBSTITUTE(SUBSTITUTE(TRIM(A102),".",""),"/",""),"-","")," ","")),14),UPPER(SUBSTITUTE(SUBSTITUTE(SUBSTITUTE(SUBSTITUTE(TRIM(A102),".",""),"/",""),"-","")," ",""))))</f>
        <v/>
      </c>
      <c r="C102" s="25" t="str">
        <f aca="false">IF(B102="","",IFERROR(INDEX(Empresas!$C:$C,MATCH(B102,Empresas!$B:$B,0)),"cadastre o CNPJ em Empresas"))</f>
        <v/>
      </c>
      <c r="D102" s="23"/>
      <c r="E102" s="24"/>
      <c r="F102" s="31" t="str">
        <f aca="false">IF(D102="","",SUBSTITUTE(SUBSTITUTE(SUBSTITUTE(SUBSTITUTE(SUBSTITUTE(SUBSTITUTE(SUBSTITUTE(SUBSTITUTE(SUBSTITUTE(SUBSTITUTE(SUBSTITUTE(SUBSTITUTE(SUBSTITUTE(UPPER(TRIM(D102)),"Á","A"),"À","A"),"Â","A"),"Ã","A"),"É","E"),"Ê","E"),"Í","I"),"Ó","O"),"Ô","O"),"Õ","O"),"Ú","U"),"Ü","U"),"Ç","C"))</f>
        <v/>
      </c>
      <c r="G102" s="31" t="str">
        <f aca="false">IF(E102="","",IF(LEN(SUBSTITUTE(SUBSTITUTE(SUBSTITUTE(SUBSTITUTE(TRIM(E102),"*",""),".",""),"-","")," ",""))=11,MID(SUBSTITUTE(SUBSTITUTE(SUBSTITUTE(SUBSTITUTE(TRIM(E102),"*",""),".",""),"-","")," ",""),4,6),SUBSTITUTE(SUBSTITUTE(SUBSTITUTE(SUBSTITUTE(TRIM(E102),"*",""),".",""),"-","")," ","")))</f>
        <v/>
      </c>
      <c r="H102" s="31" t="str">
        <f aca="false">IF(OR(F102="",G102=""),"",F102&amp;"|"&amp;G102)</f>
        <v/>
      </c>
      <c r="I102" s="23"/>
      <c r="J102" s="22"/>
      <c r="K102" s="22"/>
      <c r="L102" s="25" t="str">
        <f aca="false">IF(F102="","",IF(AND(H102&lt;&gt;"",COUNTIF(Pessoas!$E:$E,H102)&gt;0),"SIM",IF(COUNTIF(Pessoas!$C:$C,F102)&gt;0,"nome igual em Pessoas: confira o CPF","")))</f>
        <v/>
      </c>
      <c r="M102" s="24"/>
      <c r="N102" s="11"/>
    </row>
    <row r="103" customFormat="false" ht="15" hidden="false" customHeight="false" outlineLevel="0" collapsed="false">
      <c r="A103" s="24"/>
      <c r="B103" s="31" t="str">
        <f aca="false">IF(A103="","",IF(LEN(UPPER(SUBSTITUTE(SUBSTITUTE(SUBSTITUTE(SUBSTITUTE(TRIM(A103),".",""),"/",""),"-","")," ","")))&lt;14,RIGHT(REPT("0",14)&amp;UPPER(SUBSTITUTE(SUBSTITUTE(SUBSTITUTE(SUBSTITUTE(TRIM(A103),".",""),"/",""),"-","")," ","")),14),UPPER(SUBSTITUTE(SUBSTITUTE(SUBSTITUTE(SUBSTITUTE(TRIM(A103),".",""),"/",""),"-","")," ",""))))</f>
        <v/>
      </c>
      <c r="C103" s="25" t="str">
        <f aca="false">IF(B103="","",IFERROR(INDEX(Empresas!$C:$C,MATCH(B103,Empresas!$B:$B,0)),"cadastre o CNPJ em Empresas"))</f>
        <v/>
      </c>
      <c r="D103" s="23"/>
      <c r="E103" s="24"/>
      <c r="F103" s="31" t="str">
        <f aca="false">IF(D103="","",SUBSTITUTE(SUBSTITUTE(SUBSTITUTE(SUBSTITUTE(SUBSTITUTE(SUBSTITUTE(SUBSTITUTE(SUBSTITUTE(SUBSTITUTE(SUBSTITUTE(SUBSTITUTE(SUBSTITUTE(SUBSTITUTE(UPPER(TRIM(D103)),"Á","A"),"À","A"),"Â","A"),"Ã","A"),"É","E"),"Ê","E"),"Í","I"),"Ó","O"),"Ô","O"),"Õ","O"),"Ú","U"),"Ü","U"),"Ç","C"))</f>
        <v/>
      </c>
      <c r="G103" s="31" t="str">
        <f aca="false">IF(E103="","",IF(LEN(SUBSTITUTE(SUBSTITUTE(SUBSTITUTE(SUBSTITUTE(TRIM(E103),"*",""),".",""),"-","")," ",""))=11,MID(SUBSTITUTE(SUBSTITUTE(SUBSTITUTE(SUBSTITUTE(TRIM(E103),"*",""),".",""),"-","")," ",""),4,6),SUBSTITUTE(SUBSTITUTE(SUBSTITUTE(SUBSTITUTE(TRIM(E103),"*",""),".",""),"-","")," ","")))</f>
        <v/>
      </c>
      <c r="H103" s="31" t="str">
        <f aca="false">IF(OR(F103="",G103=""),"",F103&amp;"|"&amp;G103)</f>
        <v/>
      </c>
      <c r="I103" s="23"/>
      <c r="J103" s="22"/>
      <c r="K103" s="22"/>
      <c r="L103" s="25" t="str">
        <f aca="false">IF(F103="","",IF(AND(H103&lt;&gt;"",COUNTIF(Pessoas!$E:$E,H103)&gt;0),"SIM",IF(COUNTIF(Pessoas!$C:$C,F103)&gt;0,"nome igual em Pessoas: confira o CPF","")))</f>
        <v/>
      </c>
      <c r="M103" s="24"/>
      <c r="N103" s="11"/>
    </row>
    <row r="104" customFormat="false" ht="15" hidden="false" customHeight="false" outlineLevel="0" collapsed="false">
      <c r="A104" s="24"/>
      <c r="B104" s="31" t="str">
        <f aca="false">IF(A104="","",IF(LEN(UPPER(SUBSTITUTE(SUBSTITUTE(SUBSTITUTE(SUBSTITUTE(TRIM(A104),".",""),"/",""),"-","")," ","")))&lt;14,RIGHT(REPT("0",14)&amp;UPPER(SUBSTITUTE(SUBSTITUTE(SUBSTITUTE(SUBSTITUTE(TRIM(A104),".",""),"/",""),"-","")," ","")),14),UPPER(SUBSTITUTE(SUBSTITUTE(SUBSTITUTE(SUBSTITUTE(TRIM(A104),".",""),"/",""),"-","")," ",""))))</f>
        <v/>
      </c>
      <c r="C104" s="25" t="str">
        <f aca="false">IF(B104="","",IFERROR(INDEX(Empresas!$C:$C,MATCH(B104,Empresas!$B:$B,0)),"cadastre o CNPJ em Empresas"))</f>
        <v/>
      </c>
      <c r="D104" s="23"/>
      <c r="E104" s="24"/>
      <c r="F104" s="31" t="str">
        <f aca="false">IF(D104="","",SUBSTITUTE(SUBSTITUTE(SUBSTITUTE(SUBSTITUTE(SUBSTITUTE(SUBSTITUTE(SUBSTITUTE(SUBSTITUTE(SUBSTITUTE(SUBSTITUTE(SUBSTITUTE(SUBSTITUTE(SUBSTITUTE(UPPER(TRIM(D104)),"Á","A"),"À","A"),"Â","A"),"Ã","A"),"É","E"),"Ê","E"),"Í","I"),"Ó","O"),"Ô","O"),"Õ","O"),"Ú","U"),"Ü","U"),"Ç","C"))</f>
        <v/>
      </c>
      <c r="G104" s="31" t="str">
        <f aca="false">IF(E104="","",IF(LEN(SUBSTITUTE(SUBSTITUTE(SUBSTITUTE(SUBSTITUTE(TRIM(E104),"*",""),".",""),"-","")," ",""))=11,MID(SUBSTITUTE(SUBSTITUTE(SUBSTITUTE(SUBSTITUTE(TRIM(E104),"*",""),".",""),"-","")," ",""),4,6),SUBSTITUTE(SUBSTITUTE(SUBSTITUTE(SUBSTITUTE(TRIM(E104),"*",""),".",""),"-","")," ","")))</f>
        <v/>
      </c>
      <c r="H104" s="31" t="str">
        <f aca="false">IF(OR(F104="",G104=""),"",F104&amp;"|"&amp;G104)</f>
        <v/>
      </c>
      <c r="I104" s="23"/>
      <c r="J104" s="22"/>
      <c r="K104" s="22"/>
      <c r="L104" s="25" t="str">
        <f aca="false">IF(F104="","",IF(AND(H104&lt;&gt;"",COUNTIF(Pessoas!$E:$E,H104)&gt;0),"SIM",IF(COUNTIF(Pessoas!$C:$C,F104)&gt;0,"nome igual em Pessoas: confira o CPF","")))</f>
        <v/>
      </c>
      <c r="M104" s="24"/>
      <c r="N104" s="11"/>
    </row>
    <row r="105" customFormat="false" ht="15" hidden="false" customHeight="false" outlineLevel="0" collapsed="false">
      <c r="A105" s="24"/>
      <c r="B105" s="31" t="str">
        <f aca="false">IF(A105="","",IF(LEN(UPPER(SUBSTITUTE(SUBSTITUTE(SUBSTITUTE(SUBSTITUTE(TRIM(A105),".",""),"/",""),"-","")," ","")))&lt;14,RIGHT(REPT("0",14)&amp;UPPER(SUBSTITUTE(SUBSTITUTE(SUBSTITUTE(SUBSTITUTE(TRIM(A105),".",""),"/",""),"-","")," ","")),14),UPPER(SUBSTITUTE(SUBSTITUTE(SUBSTITUTE(SUBSTITUTE(TRIM(A105),".",""),"/",""),"-","")," ",""))))</f>
        <v/>
      </c>
      <c r="C105" s="25" t="str">
        <f aca="false">IF(B105="","",IFERROR(INDEX(Empresas!$C:$C,MATCH(B105,Empresas!$B:$B,0)),"cadastre o CNPJ em Empresas"))</f>
        <v/>
      </c>
      <c r="D105" s="23"/>
      <c r="E105" s="24"/>
      <c r="F105" s="31" t="str">
        <f aca="false">IF(D105="","",SUBSTITUTE(SUBSTITUTE(SUBSTITUTE(SUBSTITUTE(SUBSTITUTE(SUBSTITUTE(SUBSTITUTE(SUBSTITUTE(SUBSTITUTE(SUBSTITUTE(SUBSTITUTE(SUBSTITUTE(SUBSTITUTE(UPPER(TRIM(D105)),"Á","A"),"À","A"),"Â","A"),"Ã","A"),"É","E"),"Ê","E"),"Í","I"),"Ó","O"),"Ô","O"),"Õ","O"),"Ú","U"),"Ü","U"),"Ç","C"))</f>
        <v/>
      </c>
      <c r="G105" s="31" t="str">
        <f aca="false">IF(E105="","",IF(LEN(SUBSTITUTE(SUBSTITUTE(SUBSTITUTE(SUBSTITUTE(TRIM(E105),"*",""),".",""),"-","")," ",""))=11,MID(SUBSTITUTE(SUBSTITUTE(SUBSTITUTE(SUBSTITUTE(TRIM(E105),"*",""),".",""),"-","")," ",""),4,6),SUBSTITUTE(SUBSTITUTE(SUBSTITUTE(SUBSTITUTE(TRIM(E105),"*",""),".",""),"-","")," ","")))</f>
        <v/>
      </c>
      <c r="H105" s="31" t="str">
        <f aca="false">IF(OR(F105="",G105=""),"",F105&amp;"|"&amp;G105)</f>
        <v/>
      </c>
      <c r="I105" s="23"/>
      <c r="J105" s="22"/>
      <c r="K105" s="22"/>
      <c r="L105" s="25" t="str">
        <f aca="false">IF(F105="","",IF(AND(H105&lt;&gt;"",COUNTIF(Pessoas!$E:$E,H105)&gt;0),"SIM",IF(COUNTIF(Pessoas!$C:$C,F105)&gt;0,"nome igual em Pessoas: confira o CPF","")))</f>
        <v/>
      </c>
      <c r="M105" s="24"/>
      <c r="N105" s="11"/>
    </row>
    <row r="106" customFormat="false" ht="15" hidden="false" customHeight="false" outlineLevel="0" collapsed="false">
      <c r="A106" s="24"/>
      <c r="B106" s="31" t="str">
        <f aca="false">IF(A106="","",IF(LEN(UPPER(SUBSTITUTE(SUBSTITUTE(SUBSTITUTE(SUBSTITUTE(TRIM(A106),".",""),"/",""),"-","")," ","")))&lt;14,RIGHT(REPT("0",14)&amp;UPPER(SUBSTITUTE(SUBSTITUTE(SUBSTITUTE(SUBSTITUTE(TRIM(A106),".",""),"/",""),"-","")," ","")),14),UPPER(SUBSTITUTE(SUBSTITUTE(SUBSTITUTE(SUBSTITUTE(TRIM(A106),".",""),"/",""),"-","")," ",""))))</f>
        <v/>
      </c>
      <c r="C106" s="25" t="str">
        <f aca="false">IF(B106="","",IFERROR(INDEX(Empresas!$C:$C,MATCH(B106,Empresas!$B:$B,0)),"cadastre o CNPJ em Empresas"))</f>
        <v/>
      </c>
      <c r="D106" s="23"/>
      <c r="E106" s="24"/>
      <c r="F106" s="31" t="str">
        <f aca="false">IF(D106="","",SUBSTITUTE(SUBSTITUTE(SUBSTITUTE(SUBSTITUTE(SUBSTITUTE(SUBSTITUTE(SUBSTITUTE(SUBSTITUTE(SUBSTITUTE(SUBSTITUTE(SUBSTITUTE(SUBSTITUTE(SUBSTITUTE(UPPER(TRIM(D106)),"Á","A"),"À","A"),"Â","A"),"Ã","A"),"É","E"),"Ê","E"),"Í","I"),"Ó","O"),"Ô","O"),"Õ","O"),"Ú","U"),"Ü","U"),"Ç","C"))</f>
        <v/>
      </c>
      <c r="G106" s="31" t="str">
        <f aca="false">IF(E106="","",IF(LEN(SUBSTITUTE(SUBSTITUTE(SUBSTITUTE(SUBSTITUTE(TRIM(E106),"*",""),".",""),"-","")," ",""))=11,MID(SUBSTITUTE(SUBSTITUTE(SUBSTITUTE(SUBSTITUTE(TRIM(E106),"*",""),".",""),"-","")," ",""),4,6),SUBSTITUTE(SUBSTITUTE(SUBSTITUTE(SUBSTITUTE(TRIM(E106),"*",""),".",""),"-","")," ","")))</f>
        <v/>
      </c>
      <c r="H106" s="31" t="str">
        <f aca="false">IF(OR(F106="",G106=""),"",F106&amp;"|"&amp;G106)</f>
        <v/>
      </c>
      <c r="I106" s="23"/>
      <c r="J106" s="22"/>
      <c r="K106" s="22"/>
      <c r="L106" s="25" t="str">
        <f aca="false">IF(F106="","",IF(AND(H106&lt;&gt;"",COUNTIF(Pessoas!$E:$E,H106)&gt;0),"SIM",IF(COUNTIF(Pessoas!$C:$C,F106)&gt;0,"nome igual em Pessoas: confira o CPF","")))</f>
        <v/>
      </c>
      <c r="M106" s="24"/>
      <c r="N106" s="11"/>
    </row>
    <row r="107" customFormat="false" ht="15" hidden="false" customHeight="false" outlineLevel="0" collapsed="false">
      <c r="A107" s="24"/>
      <c r="B107" s="31" t="str">
        <f aca="false">IF(A107="","",IF(LEN(UPPER(SUBSTITUTE(SUBSTITUTE(SUBSTITUTE(SUBSTITUTE(TRIM(A107),".",""),"/",""),"-","")," ","")))&lt;14,RIGHT(REPT("0",14)&amp;UPPER(SUBSTITUTE(SUBSTITUTE(SUBSTITUTE(SUBSTITUTE(TRIM(A107),".",""),"/",""),"-","")," ","")),14),UPPER(SUBSTITUTE(SUBSTITUTE(SUBSTITUTE(SUBSTITUTE(TRIM(A107),".",""),"/",""),"-","")," ",""))))</f>
        <v/>
      </c>
      <c r="C107" s="25" t="str">
        <f aca="false">IF(B107="","",IFERROR(INDEX(Empresas!$C:$C,MATCH(B107,Empresas!$B:$B,0)),"cadastre o CNPJ em Empresas"))</f>
        <v/>
      </c>
      <c r="D107" s="23"/>
      <c r="E107" s="24"/>
      <c r="F107" s="31" t="str">
        <f aca="false">IF(D107="","",SUBSTITUTE(SUBSTITUTE(SUBSTITUTE(SUBSTITUTE(SUBSTITUTE(SUBSTITUTE(SUBSTITUTE(SUBSTITUTE(SUBSTITUTE(SUBSTITUTE(SUBSTITUTE(SUBSTITUTE(SUBSTITUTE(UPPER(TRIM(D107)),"Á","A"),"À","A"),"Â","A"),"Ã","A"),"É","E"),"Ê","E"),"Í","I"),"Ó","O"),"Ô","O"),"Õ","O"),"Ú","U"),"Ü","U"),"Ç","C"))</f>
        <v/>
      </c>
      <c r="G107" s="31" t="str">
        <f aca="false">IF(E107="","",IF(LEN(SUBSTITUTE(SUBSTITUTE(SUBSTITUTE(SUBSTITUTE(TRIM(E107),"*",""),".",""),"-","")," ",""))=11,MID(SUBSTITUTE(SUBSTITUTE(SUBSTITUTE(SUBSTITUTE(TRIM(E107),"*",""),".",""),"-","")," ",""),4,6),SUBSTITUTE(SUBSTITUTE(SUBSTITUTE(SUBSTITUTE(TRIM(E107),"*",""),".",""),"-","")," ","")))</f>
        <v/>
      </c>
      <c r="H107" s="31" t="str">
        <f aca="false">IF(OR(F107="",G107=""),"",F107&amp;"|"&amp;G107)</f>
        <v/>
      </c>
      <c r="I107" s="23"/>
      <c r="J107" s="22"/>
      <c r="K107" s="22"/>
      <c r="L107" s="25" t="str">
        <f aca="false">IF(F107="","",IF(AND(H107&lt;&gt;"",COUNTIF(Pessoas!$E:$E,H107)&gt;0),"SIM",IF(COUNTIF(Pessoas!$C:$C,F107)&gt;0,"nome igual em Pessoas: confira o CPF","")))</f>
        <v/>
      </c>
      <c r="M107" s="24"/>
      <c r="N107" s="11"/>
    </row>
    <row r="108" customFormat="false" ht="15" hidden="false" customHeight="false" outlineLevel="0" collapsed="false">
      <c r="A108" s="24"/>
      <c r="B108" s="31" t="str">
        <f aca="false">IF(A108="","",IF(LEN(UPPER(SUBSTITUTE(SUBSTITUTE(SUBSTITUTE(SUBSTITUTE(TRIM(A108),".",""),"/",""),"-","")," ","")))&lt;14,RIGHT(REPT("0",14)&amp;UPPER(SUBSTITUTE(SUBSTITUTE(SUBSTITUTE(SUBSTITUTE(TRIM(A108),".",""),"/",""),"-","")," ","")),14),UPPER(SUBSTITUTE(SUBSTITUTE(SUBSTITUTE(SUBSTITUTE(TRIM(A108),".",""),"/",""),"-","")," ",""))))</f>
        <v/>
      </c>
      <c r="C108" s="25" t="str">
        <f aca="false">IF(B108="","",IFERROR(INDEX(Empresas!$C:$C,MATCH(B108,Empresas!$B:$B,0)),"cadastre o CNPJ em Empresas"))</f>
        <v/>
      </c>
      <c r="D108" s="23"/>
      <c r="E108" s="24"/>
      <c r="F108" s="31" t="str">
        <f aca="false">IF(D108="","",SUBSTITUTE(SUBSTITUTE(SUBSTITUTE(SUBSTITUTE(SUBSTITUTE(SUBSTITUTE(SUBSTITUTE(SUBSTITUTE(SUBSTITUTE(SUBSTITUTE(SUBSTITUTE(SUBSTITUTE(SUBSTITUTE(UPPER(TRIM(D108)),"Á","A"),"À","A"),"Â","A"),"Ã","A"),"É","E"),"Ê","E"),"Í","I"),"Ó","O"),"Ô","O"),"Õ","O"),"Ú","U"),"Ü","U"),"Ç","C"))</f>
        <v/>
      </c>
      <c r="G108" s="31" t="str">
        <f aca="false">IF(E108="","",IF(LEN(SUBSTITUTE(SUBSTITUTE(SUBSTITUTE(SUBSTITUTE(TRIM(E108),"*",""),".",""),"-","")," ",""))=11,MID(SUBSTITUTE(SUBSTITUTE(SUBSTITUTE(SUBSTITUTE(TRIM(E108),"*",""),".",""),"-","")," ",""),4,6),SUBSTITUTE(SUBSTITUTE(SUBSTITUTE(SUBSTITUTE(TRIM(E108),"*",""),".",""),"-","")," ","")))</f>
        <v/>
      </c>
      <c r="H108" s="31" t="str">
        <f aca="false">IF(OR(F108="",G108=""),"",F108&amp;"|"&amp;G108)</f>
        <v/>
      </c>
      <c r="I108" s="23"/>
      <c r="J108" s="22"/>
      <c r="K108" s="22"/>
      <c r="L108" s="25" t="str">
        <f aca="false">IF(F108="","",IF(AND(H108&lt;&gt;"",COUNTIF(Pessoas!$E:$E,H108)&gt;0),"SIM",IF(COUNTIF(Pessoas!$C:$C,F108)&gt;0,"nome igual em Pessoas: confira o CPF","")))</f>
        <v/>
      </c>
      <c r="M108" s="24"/>
      <c r="N108" s="11"/>
    </row>
    <row r="109" customFormat="false" ht="15" hidden="false" customHeight="false" outlineLevel="0" collapsed="false">
      <c r="A109" s="24"/>
      <c r="B109" s="31" t="str">
        <f aca="false">IF(A109="","",IF(LEN(UPPER(SUBSTITUTE(SUBSTITUTE(SUBSTITUTE(SUBSTITUTE(TRIM(A109),".",""),"/",""),"-","")," ","")))&lt;14,RIGHT(REPT("0",14)&amp;UPPER(SUBSTITUTE(SUBSTITUTE(SUBSTITUTE(SUBSTITUTE(TRIM(A109),".",""),"/",""),"-","")," ","")),14),UPPER(SUBSTITUTE(SUBSTITUTE(SUBSTITUTE(SUBSTITUTE(TRIM(A109),".",""),"/",""),"-","")," ",""))))</f>
        <v/>
      </c>
      <c r="C109" s="25" t="str">
        <f aca="false">IF(B109="","",IFERROR(INDEX(Empresas!$C:$C,MATCH(B109,Empresas!$B:$B,0)),"cadastre o CNPJ em Empresas"))</f>
        <v/>
      </c>
      <c r="D109" s="23"/>
      <c r="E109" s="24"/>
      <c r="F109" s="31" t="str">
        <f aca="false">IF(D109="","",SUBSTITUTE(SUBSTITUTE(SUBSTITUTE(SUBSTITUTE(SUBSTITUTE(SUBSTITUTE(SUBSTITUTE(SUBSTITUTE(SUBSTITUTE(SUBSTITUTE(SUBSTITUTE(SUBSTITUTE(SUBSTITUTE(UPPER(TRIM(D109)),"Á","A"),"À","A"),"Â","A"),"Ã","A"),"É","E"),"Ê","E"),"Í","I"),"Ó","O"),"Ô","O"),"Õ","O"),"Ú","U"),"Ü","U"),"Ç","C"))</f>
        <v/>
      </c>
      <c r="G109" s="31" t="str">
        <f aca="false">IF(E109="","",IF(LEN(SUBSTITUTE(SUBSTITUTE(SUBSTITUTE(SUBSTITUTE(TRIM(E109),"*",""),".",""),"-","")," ",""))=11,MID(SUBSTITUTE(SUBSTITUTE(SUBSTITUTE(SUBSTITUTE(TRIM(E109),"*",""),".",""),"-","")," ",""),4,6),SUBSTITUTE(SUBSTITUTE(SUBSTITUTE(SUBSTITUTE(TRIM(E109),"*",""),".",""),"-","")," ","")))</f>
        <v/>
      </c>
      <c r="H109" s="31" t="str">
        <f aca="false">IF(OR(F109="",G109=""),"",F109&amp;"|"&amp;G109)</f>
        <v/>
      </c>
      <c r="I109" s="23"/>
      <c r="J109" s="22"/>
      <c r="K109" s="22"/>
      <c r="L109" s="25" t="str">
        <f aca="false">IF(F109="","",IF(AND(H109&lt;&gt;"",COUNTIF(Pessoas!$E:$E,H109)&gt;0),"SIM",IF(COUNTIF(Pessoas!$C:$C,F109)&gt;0,"nome igual em Pessoas: confira o CPF","")))</f>
        <v/>
      </c>
      <c r="M109" s="24"/>
      <c r="N109" s="11"/>
    </row>
    <row r="110" customFormat="false" ht="15" hidden="false" customHeight="false" outlineLevel="0" collapsed="false">
      <c r="A110" s="24"/>
      <c r="B110" s="31" t="str">
        <f aca="false">IF(A110="","",IF(LEN(UPPER(SUBSTITUTE(SUBSTITUTE(SUBSTITUTE(SUBSTITUTE(TRIM(A110),".",""),"/",""),"-","")," ","")))&lt;14,RIGHT(REPT("0",14)&amp;UPPER(SUBSTITUTE(SUBSTITUTE(SUBSTITUTE(SUBSTITUTE(TRIM(A110),".",""),"/",""),"-","")," ","")),14),UPPER(SUBSTITUTE(SUBSTITUTE(SUBSTITUTE(SUBSTITUTE(TRIM(A110),".",""),"/",""),"-","")," ",""))))</f>
        <v/>
      </c>
      <c r="C110" s="25" t="str">
        <f aca="false">IF(B110="","",IFERROR(INDEX(Empresas!$C:$C,MATCH(B110,Empresas!$B:$B,0)),"cadastre o CNPJ em Empresas"))</f>
        <v/>
      </c>
      <c r="D110" s="23"/>
      <c r="E110" s="24"/>
      <c r="F110" s="31" t="str">
        <f aca="false">IF(D110="","",SUBSTITUTE(SUBSTITUTE(SUBSTITUTE(SUBSTITUTE(SUBSTITUTE(SUBSTITUTE(SUBSTITUTE(SUBSTITUTE(SUBSTITUTE(SUBSTITUTE(SUBSTITUTE(SUBSTITUTE(SUBSTITUTE(UPPER(TRIM(D110)),"Á","A"),"À","A"),"Â","A"),"Ã","A"),"É","E"),"Ê","E"),"Í","I"),"Ó","O"),"Ô","O"),"Õ","O"),"Ú","U"),"Ü","U"),"Ç","C"))</f>
        <v/>
      </c>
      <c r="G110" s="31" t="str">
        <f aca="false">IF(E110="","",IF(LEN(SUBSTITUTE(SUBSTITUTE(SUBSTITUTE(SUBSTITUTE(TRIM(E110),"*",""),".",""),"-","")," ",""))=11,MID(SUBSTITUTE(SUBSTITUTE(SUBSTITUTE(SUBSTITUTE(TRIM(E110),"*",""),".",""),"-","")," ",""),4,6),SUBSTITUTE(SUBSTITUTE(SUBSTITUTE(SUBSTITUTE(TRIM(E110),"*",""),".",""),"-","")," ","")))</f>
        <v/>
      </c>
      <c r="H110" s="31" t="str">
        <f aca="false">IF(OR(F110="",G110=""),"",F110&amp;"|"&amp;G110)</f>
        <v/>
      </c>
      <c r="I110" s="23"/>
      <c r="J110" s="22"/>
      <c r="K110" s="22"/>
      <c r="L110" s="25" t="str">
        <f aca="false">IF(F110="","",IF(AND(H110&lt;&gt;"",COUNTIF(Pessoas!$E:$E,H110)&gt;0),"SIM",IF(COUNTIF(Pessoas!$C:$C,F110)&gt;0,"nome igual em Pessoas: confira o CPF","")))</f>
        <v/>
      </c>
      <c r="M110" s="24"/>
      <c r="N110" s="11"/>
    </row>
    <row r="111" customFormat="false" ht="15" hidden="false" customHeight="false" outlineLevel="0" collapsed="false">
      <c r="A111" s="24"/>
      <c r="B111" s="31" t="str">
        <f aca="false">IF(A111="","",IF(LEN(UPPER(SUBSTITUTE(SUBSTITUTE(SUBSTITUTE(SUBSTITUTE(TRIM(A111),".",""),"/",""),"-","")," ","")))&lt;14,RIGHT(REPT("0",14)&amp;UPPER(SUBSTITUTE(SUBSTITUTE(SUBSTITUTE(SUBSTITUTE(TRIM(A111),".",""),"/",""),"-","")," ","")),14),UPPER(SUBSTITUTE(SUBSTITUTE(SUBSTITUTE(SUBSTITUTE(TRIM(A111),".",""),"/",""),"-","")," ",""))))</f>
        <v/>
      </c>
      <c r="C111" s="25" t="str">
        <f aca="false">IF(B111="","",IFERROR(INDEX(Empresas!$C:$C,MATCH(B111,Empresas!$B:$B,0)),"cadastre o CNPJ em Empresas"))</f>
        <v/>
      </c>
      <c r="D111" s="23"/>
      <c r="E111" s="24"/>
      <c r="F111" s="31" t="str">
        <f aca="false">IF(D111="","",SUBSTITUTE(SUBSTITUTE(SUBSTITUTE(SUBSTITUTE(SUBSTITUTE(SUBSTITUTE(SUBSTITUTE(SUBSTITUTE(SUBSTITUTE(SUBSTITUTE(SUBSTITUTE(SUBSTITUTE(SUBSTITUTE(UPPER(TRIM(D111)),"Á","A"),"À","A"),"Â","A"),"Ã","A"),"É","E"),"Ê","E"),"Í","I"),"Ó","O"),"Ô","O"),"Õ","O"),"Ú","U"),"Ü","U"),"Ç","C"))</f>
        <v/>
      </c>
      <c r="G111" s="31" t="str">
        <f aca="false">IF(E111="","",IF(LEN(SUBSTITUTE(SUBSTITUTE(SUBSTITUTE(SUBSTITUTE(TRIM(E111),"*",""),".",""),"-","")," ",""))=11,MID(SUBSTITUTE(SUBSTITUTE(SUBSTITUTE(SUBSTITUTE(TRIM(E111),"*",""),".",""),"-","")," ",""),4,6),SUBSTITUTE(SUBSTITUTE(SUBSTITUTE(SUBSTITUTE(TRIM(E111),"*",""),".",""),"-","")," ","")))</f>
        <v/>
      </c>
      <c r="H111" s="31" t="str">
        <f aca="false">IF(OR(F111="",G111=""),"",F111&amp;"|"&amp;G111)</f>
        <v/>
      </c>
      <c r="I111" s="23"/>
      <c r="J111" s="22"/>
      <c r="K111" s="22"/>
      <c r="L111" s="25" t="str">
        <f aca="false">IF(F111="","",IF(AND(H111&lt;&gt;"",COUNTIF(Pessoas!$E:$E,H111)&gt;0),"SIM",IF(COUNTIF(Pessoas!$C:$C,F111)&gt;0,"nome igual em Pessoas: confira o CPF","")))</f>
        <v/>
      </c>
      <c r="M111" s="24"/>
      <c r="N111" s="11"/>
    </row>
    <row r="112" customFormat="false" ht="15" hidden="false" customHeight="false" outlineLevel="0" collapsed="false">
      <c r="A112" s="24"/>
      <c r="B112" s="31" t="str">
        <f aca="false">IF(A112="","",IF(LEN(UPPER(SUBSTITUTE(SUBSTITUTE(SUBSTITUTE(SUBSTITUTE(TRIM(A112),".",""),"/",""),"-","")," ","")))&lt;14,RIGHT(REPT("0",14)&amp;UPPER(SUBSTITUTE(SUBSTITUTE(SUBSTITUTE(SUBSTITUTE(TRIM(A112),".",""),"/",""),"-","")," ","")),14),UPPER(SUBSTITUTE(SUBSTITUTE(SUBSTITUTE(SUBSTITUTE(TRIM(A112),".",""),"/",""),"-","")," ",""))))</f>
        <v/>
      </c>
      <c r="C112" s="25" t="str">
        <f aca="false">IF(B112="","",IFERROR(INDEX(Empresas!$C:$C,MATCH(B112,Empresas!$B:$B,0)),"cadastre o CNPJ em Empresas"))</f>
        <v/>
      </c>
      <c r="D112" s="23"/>
      <c r="E112" s="24"/>
      <c r="F112" s="31" t="str">
        <f aca="false">IF(D112="","",SUBSTITUTE(SUBSTITUTE(SUBSTITUTE(SUBSTITUTE(SUBSTITUTE(SUBSTITUTE(SUBSTITUTE(SUBSTITUTE(SUBSTITUTE(SUBSTITUTE(SUBSTITUTE(SUBSTITUTE(SUBSTITUTE(UPPER(TRIM(D112)),"Á","A"),"À","A"),"Â","A"),"Ã","A"),"É","E"),"Ê","E"),"Í","I"),"Ó","O"),"Ô","O"),"Õ","O"),"Ú","U"),"Ü","U"),"Ç","C"))</f>
        <v/>
      </c>
      <c r="G112" s="31" t="str">
        <f aca="false">IF(E112="","",IF(LEN(SUBSTITUTE(SUBSTITUTE(SUBSTITUTE(SUBSTITUTE(TRIM(E112),"*",""),".",""),"-","")," ",""))=11,MID(SUBSTITUTE(SUBSTITUTE(SUBSTITUTE(SUBSTITUTE(TRIM(E112),"*",""),".",""),"-","")," ",""),4,6),SUBSTITUTE(SUBSTITUTE(SUBSTITUTE(SUBSTITUTE(TRIM(E112),"*",""),".",""),"-","")," ","")))</f>
        <v/>
      </c>
      <c r="H112" s="31" t="str">
        <f aca="false">IF(OR(F112="",G112=""),"",F112&amp;"|"&amp;G112)</f>
        <v/>
      </c>
      <c r="I112" s="23"/>
      <c r="J112" s="22"/>
      <c r="K112" s="22"/>
      <c r="L112" s="25" t="str">
        <f aca="false">IF(F112="","",IF(AND(H112&lt;&gt;"",COUNTIF(Pessoas!$E:$E,H112)&gt;0),"SIM",IF(COUNTIF(Pessoas!$C:$C,F112)&gt;0,"nome igual em Pessoas: confira o CPF","")))</f>
        <v/>
      </c>
      <c r="M112" s="24"/>
      <c r="N112" s="11"/>
    </row>
    <row r="113" customFormat="false" ht="15" hidden="false" customHeight="false" outlineLevel="0" collapsed="false">
      <c r="A113" s="24"/>
      <c r="B113" s="31" t="str">
        <f aca="false">IF(A113="","",IF(LEN(UPPER(SUBSTITUTE(SUBSTITUTE(SUBSTITUTE(SUBSTITUTE(TRIM(A113),".",""),"/",""),"-","")," ","")))&lt;14,RIGHT(REPT("0",14)&amp;UPPER(SUBSTITUTE(SUBSTITUTE(SUBSTITUTE(SUBSTITUTE(TRIM(A113),".",""),"/",""),"-","")," ","")),14),UPPER(SUBSTITUTE(SUBSTITUTE(SUBSTITUTE(SUBSTITUTE(TRIM(A113),".",""),"/",""),"-","")," ",""))))</f>
        <v/>
      </c>
      <c r="C113" s="25" t="str">
        <f aca="false">IF(B113="","",IFERROR(INDEX(Empresas!$C:$C,MATCH(B113,Empresas!$B:$B,0)),"cadastre o CNPJ em Empresas"))</f>
        <v/>
      </c>
      <c r="D113" s="23"/>
      <c r="E113" s="24"/>
      <c r="F113" s="31" t="str">
        <f aca="false">IF(D113="","",SUBSTITUTE(SUBSTITUTE(SUBSTITUTE(SUBSTITUTE(SUBSTITUTE(SUBSTITUTE(SUBSTITUTE(SUBSTITUTE(SUBSTITUTE(SUBSTITUTE(SUBSTITUTE(SUBSTITUTE(SUBSTITUTE(UPPER(TRIM(D113)),"Á","A"),"À","A"),"Â","A"),"Ã","A"),"É","E"),"Ê","E"),"Í","I"),"Ó","O"),"Ô","O"),"Õ","O"),"Ú","U"),"Ü","U"),"Ç","C"))</f>
        <v/>
      </c>
      <c r="G113" s="31" t="str">
        <f aca="false">IF(E113="","",IF(LEN(SUBSTITUTE(SUBSTITUTE(SUBSTITUTE(SUBSTITUTE(TRIM(E113),"*",""),".",""),"-","")," ",""))=11,MID(SUBSTITUTE(SUBSTITUTE(SUBSTITUTE(SUBSTITUTE(TRIM(E113),"*",""),".",""),"-","")," ",""),4,6),SUBSTITUTE(SUBSTITUTE(SUBSTITUTE(SUBSTITUTE(TRIM(E113),"*",""),".",""),"-","")," ","")))</f>
        <v/>
      </c>
      <c r="H113" s="31" t="str">
        <f aca="false">IF(OR(F113="",G113=""),"",F113&amp;"|"&amp;G113)</f>
        <v/>
      </c>
      <c r="I113" s="23"/>
      <c r="J113" s="22"/>
      <c r="K113" s="22"/>
      <c r="L113" s="25" t="str">
        <f aca="false">IF(F113="","",IF(AND(H113&lt;&gt;"",COUNTIF(Pessoas!$E:$E,H113)&gt;0),"SIM",IF(COUNTIF(Pessoas!$C:$C,F113)&gt;0,"nome igual em Pessoas: confira o CPF","")))</f>
        <v/>
      </c>
      <c r="M113" s="24"/>
      <c r="N113" s="11"/>
    </row>
    <row r="114" customFormat="false" ht="15" hidden="false" customHeight="false" outlineLevel="0" collapsed="false">
      <c r="A114" s="24"/>
      <c r="B114" s="31" t="str">
        <f aca="false">IF(A114="","",IF(LEN(UPPER(SUBSTITUTE(SUBSTITUTE(SUBSTITUTE(SUBSTITUTE(TRIM(A114),".",""),"/",""),"-","")," ","")))&lt;14,RIGHT(REPT("0",14)&amp;UPPER(SUBSTITUTE(SUBSTITUTE(SUBSTITUTE(SUBSTITUTE(TRIM(A114),".",""),"/",""),"-","")," ","")),14),UPPER(SUBSTITUTE(SUBSTITUTE(SUBSTITUTE(SUBSTITUTE(TRIM(A114),".",""),"/",""),"-","")," ",""))))</f>
        <v/>
      </c>
      <c r="C114" s="25" t="str">
        <f aca="false">IF(B114="","",IFERROR(INDEX(Empresas!$C:$C,MATCH(B114,Empresas!$B:$B,0)),"cadastre o CNPJ em Empresas"))</f>
        <v/>
      </c>
      <c r="D114" s="23"/>
      <c r="E114" s="24"/>
      <c r="F114" s="31" t="str">
        <f aca="false">IF(D114="","",SUBSTITUTE(SUBSTITUTE(SUBSTITUTE(SUBSTITUTE(SUBSTITUTE(SUBSTITUTE(SUBSTITUTE(SUBSTITUTE(SUBSTITUTE(SUBSTITUTE(SUBSTITUTE(SUBSTITUTE(SUBSTITUTE(UPPER(TRIM(D114)),"Á","A"),"À","A"),"Â","A"),"Ã","A"),"É","E"),"Ê","E"),"Í","I"),"Ó","O"),"Ô","O"),"Õ","O"),"Ú","U"),"Ü","U"),"Ç","C"))</f>
        <v/>
      </c>
      <c r="G114" s="31" t="str">
        <f aca="false">IF(E114="","",IF(LEN(SUBSTITUTE(SUBSTITUTE(SUBSTITUTE(SUBSTITUTE(TRIM(E114),"*",""),".",""),"-","")," ",""))=11,MID(SUBSTITUTE(SUBSTITUTE(SUBSTITUTE(SUBSTITUTE(TRIM(E114),"*",""),".",""),"-","")," ",""),4,6),SUBSTITUTE(SUBSTITUTE(SUBSTITUTE(SUBSTITUTE(TRIM(E114),"*",""),".",""),"-","")," ","")))</f>
        <v/>
      </c>
      <c r="H114" s="31" t="str">
        <f aca="false">IF(OR(F114="",G114=""),"",F114&amp;"|"&amp;G114)</f>
        <v/>
      </c>
      <c r="I114" s="23"/>
      <c r="J114" s="22"/>
      <c r="K114" s="22"/>
      <c r="L114" s="25" t="str">
        <f aca="false">IF(F114="","",IF(AND(H114&lt;&gt;"",COUNTIF(Pessoas!$E:$E,H114)&gt;0),"SIM",IF(COUNTIF(Pessoas!$C:$C,F114)&gt;0,"nome igual em Pessoas: confira o CPF","")))</f>
        <v/>
      </c>
      <c r="M114" s="24"/>
      <c r="N114" s="11"/>
    </row>
    <row r="115" customFormat="false" ht="15" hidden="false" customHeight="false" outlineLevel="0" collapsed="false">
      <c r="A115" s="24"/>
      <c r="B115" s="31" t="str">
        <f aca="false">IF(A115="","",IF(LEN(UPPER(SUBSTITUTE(SUBSTITUTE(SUBSTITUTE(SUBSTITUTE(TRIM(A115),".",""),"/",""),"-","")," ","")))&lt;14,RIGHT(REPT("0",14)&amp;UPPER(SUBSTITUTE(SUBSTITUTE(SUBSTITUTE(SUBSTITUTE(TRIM(A115),".",""),"/",""),"-","")," ","")),14),UPPER(SUBSTITUTE(SUBSTITUTE(SUBSTITUTE(SUBSTITUTE(TRIM(A115),".",""),"/",""),"-","")," ",""))))</f>
        <v/>
      </c>
      <c r="C115" s="25" t="str">
        <f aca="false">IF(B115="","",IFERROR(INDEX(Empresas!$C:$C,MATCH(B115,Empresas!$B:$B,0)),"cadastre o CNPJ em Empresas"))</f>
        <v/>
      </c>
      <c r="D115" s="23"/>
      <c r="E115" s="24"/>
      <c r="F115" s="31" t="str">
        <f aca="false">IF(D115="","",SUBSTITUTE(SUBSTITUTE(SUBSTITUTE(SUBSTITUTE(SUBSTITUTE(SUBSTITUTE(SUBSTITUTE(SUBSTITUTE(SUBSTITUTE(SUBSTITUTE(SUBSTITUTE(SUBSTITUTE(SUBSTITUTE(UPPER(TRIM(D115)),"Á","A"),"À","A"),"Â","A"),"Ã","A"),"É","E"),"Ê","E"),"Í","I"),"Ó","O"),"Ô","O"),"Õ","O"),"Ú","U"),"Ü","U"),"Ç","C"))</f>
        <v/>
      </c>
      <c r="G115" s="31" t="str">
        <f aca="false">IF(E115="","",IF(LEN(SUBSTITUTE(SUBSTITUTE(SUBSTITUTE(SUBSTITUTE(TRIM(E115),"*",""),".",""),"-","")," ",""))=11,MID(SUBSTITUTE(SUBSTITUTE(SUBSTITUTE(SUBSTITUTE(TRIM(E115),"*",""),".",""),"-","")," ",""),4,6),SUBSTITUTE(SUBSTITUTE(SUBSTITUTE(SUBSTITUTE(TRIM(E115),"*",""),".",""),"-","")," ","")))</f>
        <v/>
      </c>
      <c r="H115" s="31" t="str">
        <f aca="false">IF(OR(F115="",G115=""),"",F115&amp;"|"&amp;G115)</f>
        <v/>
      </c>
      <c r="I115" s="23"/>
      <c r="J115" s="22"/>
      <c r="K115" s="22"/>
      <c r="L115" s="25" t="str">
        <f aca="false">IF(F115="","",IF(AND(H115&lt;&gt;"",COUNTIF(Pessoas!$E:$E,H115)&gt;0),"SIM",IF(COUNTIF(Pessoas!$C:$C,F115)&gt;0,"nome igual em Pessoas: confira o CPF","")))</f>
        <v/>
      </c>
      <c r="M115" s="24"/>
      <c r="N115" s="11"/>
    </row>
    <row r="116" customFormat="false" ht="15" hidden="false" customHeight="false" outlineLevel="0" collapsed="false">
      <c r="A116" s="24"/>
      <c r="B116" s="31" t="str">
        <f aca="false">IF(A116="","",IF(LEN(UPPER(SUBSTITUTE(SUBSTITUTE(SUBSTITUTE(SUBSTITUTE(TRIM(A116),".",""),"/",""),"-","")," ","")))&lt;14,RIGHT(REPT("0",14)&amp;UPPER(SUBSTITUTE(SUBSTITUTE(SUBSTITUTE(SUBSTITUTE(TRIM(A116),".",""),"/",""),"-","")," ","")),14),UPPER(SUBSTITUTE(SUBSTITUTE(SUBSTITUTE(SUBSTITUTE(TRIM(A116),".",""),"/",""),"-","")," ",""))))</f>
        <v/>
      </c>
      <c r="C116" s="25" t="str">
        <f aca="false">IF(B116="","",IFERROR(INDEX(Empresas!$C:$C,MATCH(B116,Empresas!$B:$B,0)),"cadastre o CNPJ em Empresas"))</f>
        <v/>
      </c>
      <c r="D116" s="23"/>
      <c r="E116" s="24"/>
      <c r="F116" s="31" t="str">
        <f aca="false">IF(D116="","",SUBSTITUTE(SUBSTITUTE(SUBSTITUTE(SUBSTITUTE(SUBSTITUTE(SUBSTITUTE(SUBSTITUTE(SUBSTITUTE(SUBSTITUTE(SUBSTITUTE(SUBSTITUTE(SUBSTITUTE(SUBSTITUTE(UPPER(TRIM(D116)),"Á","A"),"À","A"),"Â","A"),"Ã","A"),"É","E"),"Ê","E"),"Í","I"),"Ó","O"),"Ô","O"),"Õ","O"),"Ú","U"),"Ü","U"),"Ç","C"))</f>
        <v/>
      </c>
      <c r="G116" s="31" t="str">
        <f aca="false">IF(E116="","",IF(LEN(SUBSTITUTE(SUBSTITUTE(SUBSTITUTE(SUBSTITUTE(TRIM(E116),"*",""),".",""),"-","")," ",""))=11,MID(SUBSTITUTE(SUBSTITUTE(SUBSTITUTE(SUBSTITUTE(TRIM(E116),"*",""),".",""),"-","")," ",""),4,6),SUBSTITUTE(SUBSTITUTE(SUBSTITUTE(SUBSTITUTE(TRIM(E116),"*",""),".",""),"-","")," ","")))</f>
        <v/>
      </c>
      <c r="H116" s="31" t="str">
        <f aca="false">IF(OR(F116="",G116=""),"",F116&amp;"|"&amp;G116)</f>
        <v/>
      </c>
      <c r="I116" s="23"/>
      <c r="J116" s="22"/>
      <c r="K116" s="22"/>
      <c r="L116" s="25" t="str">
        <f aca="false">IF(F116="","",IF(AND(H116&lt;&gt;"",COUNTIF(Pessoas!$E:$E,H116)&gt;0),"SIM",IF(COUNTIF(Pessoas!$C:$C,F116)&gt;0,"nome igual em Pessoas: confira o CPF","")))</f>
        <v/>
      </c>
      <c r="M116" s="24"/>
      <c r="N116" s="11"/>
    </row>
    <row r="117" customFormat="false" ht="15" hidden="false" customHeight="false" outlineLevel="0" collapsed="false">
      <c r="A117" s="24"/>
      <c r="B117" s="31" t="str">
        <f aca="false">IF(A117="","",IF(LEN(UPPER(SUBSTITUTE(SUBSTITUTE(SUBSTITUTE(SUBSTITUTE(TRIM(A117),".",""),"/",""),"-","")," ","")))&lt;14,RIGHT(REPT("0",14)&amp;UPPER(SUBSTITUTE(SUBSTITUTE(SUBSTITUTE(SUBSTITUTE(TRIM(A117),".",""),"/",""),"-","")," ","")),14),UPPER(SUBSTITUTE(SUBSTITUTE(SUBSTITUTE(SUBSTITUTE(TRIM(A117),".",""),"/",""),"-","")," ",""))))</f>
        <v/>
      </c>
      <c r="C117" s="25" t="str">
        <f aca="false">IF(B117="","",IFERROR(INDEX(Empresas!$C:$C,MATCH(B117,Empresas!$B:$B,0)),"cadastre o CNPJ em Empresas"))</f>
        <v/>
      </c>
      <c r="D117" s="23"/>
      <c r="E117" s="24"/>
      <c r="F117" s="31" t="str">
        <f aca="false">IF(D117="","",SUBSTITUTE(SUBSTITUTE(SUBSTITUTE(SUBSTITUTE(SUBSTITUTE(SUBSTITUTE(SUBSTITUTE(SUBSTITUTE(SUBSTITUTE(SUBSTITUTE(SUBSTITUTE(SUBSTITUTE(SUBSTITUTE(UPPER(TRIM(D117)),"Á","A"),"À","A"),"Â","A"),"Ã","A"),"É","E"),"Ê","E"),"Í","I"),"Ó","O"),"Ô","O"),"Õ","O"),"Ú","U"),"Ü","U"),"Ç","C"))</f>
        <v/>
      </c>
      <c r="G117" s="31" t="str">
        <f aca="false">IF(E117="","",IF(LEN(SUBSTITUTE(SUBSTITUTE(SUBSTITUTE(SUBSTITUTE(TRIM(E117),"*",""),".",""),"-","")," ",""))=11,MID(SUBSTITUTE(SUBSTITUTE(SUBSTITUTE(SUBSTITUTE(TRIM(E117),"*",""),".",""),"-","")," ",""),4,6),SUBSTITUTE(SUBSTITUTE(SUBSTITUTE(SUBSTITUTE(TRIM(E117),"*",""),".",""),"-","")," ","")))</f>
        <v/>
      </c>
      <c r="H117" s="31" t="str">
        <f aca="false">IF(OR(F117="",G117=""),"",F117&amp;"|"&amp;G117)</f>
        <v/>
      </c>
      <c r="I117" s="23"/>
      <c r="J117" s="22"/>
      <c r="K117" s="22"/>
      <c r="L117" s="25" t="str">
        <f aca="false">IF(F117="","",IF(AND(H117&lt;&gt;"",COUNTIF(Pessoas!$E:$E,H117)&gt;0),"SIM",IF(COUNTIF(Pessoas!$C:$C,F117)&gt;0,"nome igual em Pessoas: confira o CPF","")))</f>
        <v/>
      </c>
      <c r="M117" s="24"/>
      <c r="N117" s="11"/>
    </row>
    <row r="118" customFormat="false" ht="15" hidden="false" customHeight="false" outlineLevel="0" collapsed="false">
      <c r="A118" s="24"/>
      <c r="B118" s="31" t="str">
        <f aca="false">IF(A118="","",IF(LEN(UPPER(SUBSTITUTE(SUBSTITUTE(SUBSTITUTE(SUBSTITUTE(TRIM(A118),".",""),"/",""),"-","")," ","")))&lt;14,RIGHT(REPT("0",14)&amp;UPPER(SUBSTITUTE(SUBSTITUTE(SUBSTITUTE(SUBSTITUTE(TRIM(A118),".",""),"/",""),"-","")," ","")),14),UPPER(SUBSTITUTE(SUBSTITUTE(SUBSTITUTE(SUBSTITUTE(TRIM(A118),".",""),"/",""),"-","")," ",""))))</f>
        <v/>
      </c>
      <c r="C118" s="25" t="str">
        <f aca="false">IF(B118="","",IFERROR(INDEX(Empresas!$C:$C,MATCH(B118,Empresas!$B:$B,0)),"cadastre o CNPJ em Empresas"))</f>
        <v/>
      </c>
      <c r="D118" s="23"/>
      <c r="E118" s="24"/>
      <c r="F118" s="31" t="str">
        <f aca="false">IF(D118="","",SUBSTITUTE(SUBSTITUTE(SUBSTITUTE(SUBSTITUTE(SUBSTITUTE(SUBSTITUTE(SUBSTITUTE(SUBSTITUTE(SUBSTITUTE(SUBSTITUTE(SUBSTITUTE(SUBSTITUTE(SUBSTITUTE(UPPER(TRIM(D118)),"Á","A"),"À","A"),"Â","A"),"Ã","A"),"É","E"),"Ê","E"),"Í","I"),"Ó","O"),"Ô","O"),"Õ","O"),"Ú","U"),"Ü","U"),"Ç","C"))</f>
        <v/>
      </c>
      <c r="G118" s="31" t="str">
        <f aca="false">IF(E118="","",IF(LEN(SUBSTITUTE(SUBSTITUTE(SUBSTITUTE(SUBSTITUTE(TRIM(E118),"*",""),".",""),"-","")," ",""))=11,MID(SUBSTITUTE(SUBSTITUTE(SUBSTITUTE(SUBSTITUTE(TRIM(E118),"*",""),".",""),"-","")," ",""),4,6),SUBSTITUTE(SUBSTITUTE(SUBSTITUTE(SUBSTITUTE(TRIM(E118),"*",""),".",""),"-","")," ","")))</f>
        <v/>
      </c>
      <c r="H118" s="31" t="str">
        <f aca="false">IF(OR(F118="",G118=""),"",F118&amp;"|"&amp;G118)</f>
        <v/>
      </c>
      <c r="I118" s="23"/>
      <c r="J118" s="22"/>
      <c r="K118" s="22"/>
      <c r="L118" s="25" t="str">
        <f aca="false">IF(F118="","",IF(AND(H118&lt;&gt;"",COUNTIF(Pessoas!$E:$E,H118)&gt;0),"SIM",IF(COUNTIF(Pessoas!$C:$C,F118)&gt;0,"nome igual em Pessoas: confira o CPF","")))</f>
        <v/>
      </c>
      <c r="M118" s="24"/>
      <c r="N118" s="11"/>
    </row>
    <row r="119" customFormat="false" ht="15" hidden="false" customHeight="false" outlineLevel="0" collapsed="false">
      <c r="A119" s="24"/>
      <c r="B119" s="31" t="str">
        <f aca="false">IF(A119="","",IF(LEN(UPPER(SUBSTITUTE(SUBSTITUTE(SUBSTITUTE(SUBSTITUTE(TRIM(A119),".",""),"/",""),"-","")," ","")))&lt;14,RIGHT(REPT("0",14)&amp;UPPER(SUBSTITUTE(SUBSTITUTE(SUBSTITUTE(SUBSTITUTE(TRIM(A119),".",""),"/",""),"-","")," ","")),14),UPPER(SUBSTITUTE(SUBSTITUTE(SUBSTITUTE(SUBSTITUTE(TRIM(A119),".",""),"/",""),"-","")," ",""))))</f>
        <v/>
      </c>
      <c r="C119" s="25" t="str">
        <f aca="false">IF(B119="","",IFERROR(INDEX(Empresas!$C:$C,MATCH(B119,Empresas!$B:$B,0)),"cadastre o CNPJ em Empresas"))</f>
        <v/>
      </c>
      <c r="D119" s="23"/>
      <c r="E119" s="24"/>
      <c r="F119" s="31" t="str">
        <f aca="false">IF(D119="","",SUBSTITUTE(SUBSTITUTE(SUBSTITUTE(SUBSTITUTE(SUBSTITUTE(SUBSTITUTE(SUBSTITUTE(SUBSTITUTE(SUBSTITUTE(SUBSTITUTE(SUBSTITUTE(SUBSTITUTE(SUBSTITUTE(UPPER(TRIM(D119)),"Á","A"),"À","A"),"Â","A"),"Ã","A"),"É","E"),"Ê","E"),"Í","I"),"Ó","O"),"Ô","O"),"Õ","O"),"Ú","U"),"Ü","U"),"Ç","C"))</f>
        <v/>
      </c>
      <c r="G119" s="31" t="str">
        <f aca="false">IF(E119="","",IF(LEN(SUBSTITUTE(SUBSTITUTE(SUBSTITUTE(SUBSTITUTE(TRIM(E119),"*",""),".",""),"-","")," ",""))=11,MID(SUBSTITUTE(SUBSTITUTE(SUBSTITUTE(SUBSTITUTE(TRIM(E119),"*",""),".",""),"-","")," ",""),4,6),SUBSTITUTE(SUBSTITUTE(SUBSTITUTE(SUBSTITUTE(TRIM(E119),"*",""),".",""),"-","")," ","")))</f>
        <v/>
      </c>
      <c r="H119" s="31" t="str">
        <f aca="false">IF(OR(F119="",G119=""),"",F119&amp;"|"&amp;G119)</f>
        <v/>
      </c>
      <c r="I119" s="23"/>
      <c r="J119" s="22"/>
      <c r="K119" s="22"/>
      <c r="L119" s="25" t="str">
        <f aca="false">IF(F119="","",IF(AND(H119&lt;&gt;"",COUNTIF(Pessoas!$E:$E,H119)&gt;0),"SIM",IF(COUNTIF(Pessoas!$C:$C,F119)&gt;0,"nome igual em Pessoas: confira o CPF","")))</f>
        <v/>
      </c>
      <c r="M119" s="24"/>
      <c r="N119" s="11"/>
    </row>
    <row r="120" customFormat="false" ht="15" hidden="false" customHeight="false" outlineLevel="0" collapsed="false">
      <c r="A120" s="24"/>
      <c r="B120" s="31" t="str">
        <f aca="false">IF(A120="","",IF(LEN(UPPER(SUBSTITUTE(SUBSTITUTE(SUBSTITUTE(SUBSTITUTE(TRIM(A120),".",""),"/",""),"-","")," ","")))&lt;14,RIGHT(REPT("0",14)&amp;UPPER(SUBSTITUTE(SUBSTITUTE(SUBSTITUTE(SUBSTITUTE(TRIM(A120),".",""),"/",""),"-","")," ","")),14),UPPER(SUBSTITUTE(SUBSTITUTE(SUBSTITUTE(SUBSTITUTE(TRIM(A120),".",""),"/",""),"-","")," ",""))))</f>
        <v/>
      </c>
      <c r="C120" s="25" t="str">
        <f aca="false">IF(B120="","",IFERROR(INDEX(Empresas!$C:$C,MATCH(B120,Empresas!$B:$B,0)),"cadastre o CNPJ em Empresas"))</f>
        <v/>
      </c>
      <c r="D120" s="23"/>
      <c r="E120" s="24"/>
      <c r="F120" s="31" t="str">
        <f aca="false">IF(D120="","",SUBSTITUTE(SUBSTITUTE(SUBSTITUTE(SUBSTITUTE(SUBSTITUTE(SUBSTITUTE(SUBSTITUTE(SUBSTITUTE(SUBSTITUTE(SUBSTITUTE(SUBSTITUTE(SUBSTITUTE(SUBSTITUTE(UPPER(TRIM(D120)),"Á","A"),"À","A"),"Â","A"),"Ã","A"),"É","E"),"Ê","E"),"Í","I"),"Ó","O"),"Ô","O"),"Õ","O"),"Ú","U"),"Ü","U"),"Ç","C"))</f>
        <v/>
      </c>
      <c r="G120" s="31" t="str">
        <f aca="false">IF(E120="","",IF(LEN(SUBSTITUTE(SUBSTITUTE(SUBSTITUTE(SUBSTITUTE(TRIM(E120),"*",""),".",""),"-","")," ",""))=11,MID(SUBSTITUTE(SUBSTITUTE(SUBSTITUTE(SUBSTITUTE(TRIM(E120),"*",""),".",""),"-","")," ",""),4,6),SUBSTITUTE(SUBSTITUTE(SUBSTITUTE(SUBSTITUTE(TRIM(E120),"*",""),".",""),"-","")," ","")))</f>
        <v/>
      </c>
      <c r="H120" s="31" t="str">
        <f aca="false">IF(OR(F120="",G120=""),"",F120&amp;"|"&amp;G120)</f>
        <v/>
      </c>
      <c r="I120" s="23"/>
      <c r="J120" s="22"/>
      <c r="K120" s="22"/>
      <c r="L120" s="25" t="str">
        <f aca="false">IF(F120="","",IF(AND(H120&lt;&gt;"",COUNTIF(Pessoas!$E:$E,H120)&gt;0),"SIM",IF(COUNTIF(Pessoas!$C:$C,F120)&gt;0,"nome igual em Pessoas: confira o CPF","")))</f>
        <v/>
      </c>
      <c r="M120" s="24"/>
      <c r="N120" s="11"/>
    </row>
    <row r="121" customFormat="false" ht="15" hidden="false" customHeight="false" outlineLevel="0" collapsed="false">
      <c r="A121" s="24"/>
      <c r="B121" s="31" t="str">
        <f aca="false">IF(A121="","",IF(LEN(UPPER(SUBSTITUTE(SUBSTITUTE(SUBSTITUTE(SUBSTITUTE(TRIM(A121),".",""),"/",""),"-","")," ","")))&lt;14,RIGHT(REPT("0",14)&amp;UPPER(SUBSTITUTE(SUBSTITUTE(SUBSTITUTE(SUBSTITUTE(TRIM(A121),".",""),"/",""),"-","")," ","")),14),UPPER(SUBSTITUTE(SUBSTITUTE(SUBSTITUTE(SUBSTITUTE(TRIM(A121),".",""),"/",""),"-","")," ",""))))</f>
        <v/>
      </c>
      <c r="C121" s="25" t="str">
        <f aca="false">IF(B121="","",IFERROR(INDEX(Empresas!$C:$C,MATCH(B121,Empresas!$B:$B,0)),"cadastre o CNPJ em Empresas"))</f>
        <v/>
      </c>
      <c r="D121" s="23"/>
      <c r="E121" s="24"/>
      <c r="F121" s="31" t="str">
        <f aca="false">IF(D121="","",SUBSTITUTE(SUBSTITUTE(SUBSTITUTE(SUBSTITUTE(SUBSTITUTE(SUBSTITUTE(SUBSTITUTE(SUBSTITUTE(SUBSTITUTE(SUBSTITUTE(SUBSTITUTE(SUBSTITUTE(SUBSTITUTE(UPPER(TRIM(D121)),"Á","A"),"À","A"),"Â","A"),"Ã","A"),"É","E"),"Ê","E"),"Í","I"),"Ó","O"),"Ô","O"),"Õ","O"),"Ú","U"),"Ü","U"),"Ç","C"))</f>
        <v/>
      </c>
      <c r="G121" s="31" t="str">
        <f aca="false">IF(E121="","",IF(LEN(SUBSTITUTE(SUBSTITUTE(SUBSTITUTE(SUBSTITUTE(TRIM(E121),"*",""),".",""),"-","")," ",""))=11,MID(SUBSTITUTE(SUBSTITUTE(SUBSTITUTE(SUBSTITUTE(TRIM(E121),"*",""),".",""),"-","")," ",""),4,6),SUBSTITUTE(SUBSTITUTE(SUBSTITUTE(SUBSTITUTE(TRIM(E121),"*",""),".",""),"-","")," ","")))</f>
        <v/>
      </c>
      <c r="H121" s="31" t="str">
        <f aca="false">IF(OR(F121="",G121=""),"",F121&amp;"|"&amp;G121)</f>
        <v/>
      </c>
      <c r="I121" s="23"/>
      <c r="J121" s="22"/>
      <c r="K121" s="22"/>
      <c r="L121" s="25" t="str">
        <f aca="false">IF(F121="","",IF(AND(H121&lt;&gt;"",COUNTIF(Pessoas!$E:$E,H121)&gt;0),"SIM",IF(COUNTIF(Pessoas!$C:$C,F121)&gt;0,"nome igual em Pessoas: confira o CPF","")))</f>
        <v/>
      </c>
      <c r="M121" s="24"/>
      <c r="N121" s="11"/>
    </row>
    <row r="122" customFormat="false" ht="15" hidden="false" customHeight="false" outlineLevel="0" collapsed="false">
      <c r="A122" s="24"/>
      <c r="B122" s="31" t="str">
        <f aca="false">IF(A122="","",IF(LEN(UPPER(SUBSTITUTE(SUBSTITUTE(SUBSTITUTE(SUBSTITUTE(TRIM(A122),".",""),"/",""),"-","")," ","")))&lt;14,RIGHT(REPT("0",14)&amp;UPPER(SUBSTITUTE(SUBSTITUTE(SUBSTITUTE(SUBSTITUTE(TRIM(A122),".",""),"/",""),"-","")," ","")),14),UPPER(SUBSTITUTE(SUBSTITUTE(SUBSTITUTE(SUBSTITUTE(TRIM(A122),".",""),"/",""),"-","")," ",""))))</f>
        <v/>
      </c>
      <c r="C122" s="25" t="str">
        <f aca="false">IF(B122="","",IFERROR(INDEX(Empresas!$C:$C,MATCH(B122,Empresas!$B:$B,0)),"cadastre o CNPJ em Empresas"))</f>
        <v/>
      </c>
      <c r="D122" s="23"/>
      <c r="E122" s="24"/>
      <c r="F122" s="31" t="str">
        <f aca="false">IF(D122="","",SUBSTITUTE(SUBSTITUTE(SUBSTITUTE(SUBSTITUTE(SUBSTITUTE(SUBSTITUTE(SUBSTITUTE(SUBSTITUTE(SUBSTITUTE(SUBSTITUTE(SUBSTITUTE(SUBSTITUTE(SUBSTITUTE(UPPER(TRIM(D122)),"Á","A"),"À","A"),"Â","A"),"Ã","A"),"É","E"),"Ê","E"),"Í","I"),"Ó","O"),"Ô","O"),"Õ","O"),"Ú","U"),"Ü","U"),"Ç","C"))</f>
        <v/>
      </c>
      <c r="G122" s="31" t="str">
        <f aca="false">IF(E122="","",IF(LEN(SUBSTITUTE(SUBSTITUTE(SUBSTITUTE(SUBSTITUTE(TRIM(E122),"*",""),".",""),"-","")," ",""))=11,MID(SUBSTITUTE(SUBSTITUTE(SUBSTITUTE(SUBSTITUTE(TRIM(E122),"*",""),".",""),"-","")," ",""),4,6),SUBSTITUTE(SUBSTITUTE(SUBSTITUTE(SUBSTITUTE(TRIM(E122),"*",""),".",""),"-","")," ","")))</f>
        <v/>
      </c>
      <c r="H122" s="31" t="str">
        <f aca="false">IF(OR(F122="",G122=""),"",F122&amp;"|"&amp;G122)</f>
        <v/>
      </c>
      <c r="I122" s="23"/>
      <c r="J122" s="22"/>
      <c r="K122" s="22"/>
      <c r="L122" s="25" t="str">
        <f aca="false">IF(F122="","",IF(AND(H122&lt;&gt;"",COUNTIF(Pessoas!$E:$E,H122)&gt;0),"SIM",IF(COUNTIF(Pessoas!$C:$C,F122)&gt;0,"nome igual em Pessoas: confira o CPF","")))</f>
        <v/>
      </c>
      <c r="M122" s="24"/>
      <c r="N122" s="11"/>
    </row>
    <row r="123" customFormat="false" ht="15" hidden="false" customHeight="false" outlineLevel="0" collapsed="false">
      <c r="A123" s="24"/>
      <c r="B123" s="31" t="str">
        <f aca="false">IF(A123="","",IF(LEN(UPPER(SUBSTITUTE(SUBSTITUTE(SUBSTITUTE(SUBSTITUTE(TRIM(A123),".",""),"/",""),"-","")," ","")))&lt;14,RIGHT(REPT("0",14)&amp;UPPER(SUBSTITUTE(SUBSTITUTE(SUBSTITUTE(SUBSTITUTE(TRIM(A123),".",""),"/",""),"-","")," ","")),14),UPPER(SUBSTITUTE(SUBSTITUTE(SUBSTITUTE(SUBSTITUTE(TRIM(A123),".",""),"/",""),"-","")," ",""))))</f>
        <v/>
      </c>
      <c r="C123" s="25" t="str">
        <f aca="false">IF(B123="","",IFERROR(INDEX(Empresas!$C:$C,MATCH(B123,Empresas!$B:$B,0)),"cadastre o CNPJ em Empresas"))</f>
        <v/>
      </c>
      <c r="D123" s="23"/>
      <c r="E123" s="24"/>
      <c r="F123" s="31" t="str">
        <f aca="false">IF(D123="","",SUBSTITUTE(SUBSTITUTE(SUBSTITUTE(SUBSTITUTE(SUBSTITUTE(SUBSTITUTE(SUBSTITUTE(SUBSTITUTE(SUBSTITUTE(SUBSTITUTE(SUBSTITUTE(SUBSTITUTE(SUBSTITUTE(UPPER(TRIM(D123)),"Á","A"),"À","A"),"Â","A"),"Ã","A"),"É","E"),"Ê","E"),"Í","I"),"Ó","O"),"Ô","O"),"Õ","O"),"Ú","U"),"Ü","U"),"Ç","C"))</f>
        <v/>
      </c>
      <c r="G123" s="31" t="str">
        <f aca="false">IF(E123="","",IF(LEN(SUBSTITUTE(SUBSTITUTE(SUBSTITUTE(SUBSTITUTE(TRIM(E123),"*",""),".",""),"-","")," ",""))=11,MID(SUBSTITUTE(SUBSTITUTE(SUBSTITUTE(SUBSTITUTE(TRIM(E123),"*",""),".",""),"-","")," ",""),4,6),SUBSTITUTE(SUBSTITUTE(SUBSTITUTE(SUBSTITUTE(TRIM(E123),"*",""),".",""),"-","")," ","")))</f>
        <v/>
      </c>
      <c r="H123" s="31" t="str">
        <f aca="false">IF(OR(F123="",G123=""),"",F123&amp;"|"&amp;G123)</f>
        <v/>
      </c>
      <c r="I123" s="23"/>
      <c r="J123" s="22"/>
      <c r="K123" s="22"/>
      <c r="L123" s="25" t="str">
        <f aca="false">IF(F123="","",IF(AND(H123&lt;&gt;"",COUNTIF(Pessoas!$E:$E,H123)&gt;0),"SIM",IF(COUNTIF(Pessoas!$C:$C,F123)&gt;0,"nome igual em Pessoas: confira o CPF","")))</f>
        <v/>
      </c>
      <c r="M123" s="24"/>
      <c r="N123" s="11"/>
    </row>
    <row r="124" customFormat="false" ht="15" hidden="false" customHeight="false" outlineLevel="0" collapsed="false">
      <c r="A124" s="24"/>
      <c r="B124" s="31" t="str">
        <f aca="false">IF(A124="","",IF(LEN(UPPER(SUBSTITUTE(SUBSTITUTE(SUBSTITUTE(SUBSTITUTE(TRIM(A124),".",""),"/",""),"-","")," ","")))&lt;14,RIGHT(REPT("0",14)&amp;UPPER(SUBSTITUTE(SUBSTITUTE(SUBSTITUTE(SUBSTITUTE(TRIM(A124),".",""),"/",""),"-","")," ","")),14),UPPER(SUBSTITUTE(SUBSTITUTE(SUBSTITUTE(SUBSTITUTE(TRIM(A124),".",""),"/",""),"-","")," ",""))))</f>
        <v/>
      </c>
      <c r="C124" s="25" t="str">
        <f aca="false">IF(B124="","",IFERROR(INDEX(Empresas!$C:$C,MATCH(B124,Empresas!$B:$B,0)),"cadastre o CNPJ em Empresas"))</f>
        <v/>
      </c>
      <c r="D124" s="23"/>
      <c r="E124" s="24"/>
      <c r="F124" s="31" t="str">
        <f aca="false">IF(D124="","",SUBSTITUTE(SUBSTITUTE(SUBSTITUTE(SUBSTITUTE(SUBSTITUTE(SUBSTITUTE(SUBSTITUTE(SUBSTITUTE(SUBSTITUTE(SUBSTITUTE(SUBSTITUTE(SUBSTITUTE(SUBSTITUTE(UPPER(TRIM(D124)),"Á","A"),"À","A"),"Â","A"),"Ã","A"),"É","E"),"Ê","E"),"Í","I"),"Ó","O"),"Ô","O"),"Õ","O"),"Ú","U"),"Ü","U"),"Ç","C"))</f>
        <v/>
      </c>
      <c r="G124" s="31" t="str">
        <f aca="false">IF(E124="","",IF(LEN(SUBSTITUTE(SUBSTITUTE(SUBSTITUTE(SUBSTITUTE(TRIM(E124),"*",""),".",""),"-","")," ",""))=11,MID(SUBSTITUTE(SUBSTITUTE(SUBSTITUTE(SUBSTITUTE(TRIM(E124),"*",""),".",""),"-","")," ",""),4,6),SUBSTITUTE(SUBSTITUTE(SUBSTITUTE(SUBSTITUTE(TRIM(E124),"*",""),".",""),"-","")," ","")))</f>
        <v/>
      </c>
      <c r="H124" s="31" t="str">
        <f aca="false">IF(OR(F124="",G124=""),"",F124&amp;"|"&amp;G124)</f>
        <v/>
      </c>
      <c r="I124" s="23"/>
      <c r="J124" s="22"/>
      <c r="K124" s="22"/>
      <c r="L124" s="25" t="str">
        <f aca="false">IF(F124="","",IF(AND(H124&lt;&gt;"",COUNTIF(Pessoas!$E:$E,H124)&gt;0),"SIM",IF(COUNTIF(Pessoas!$C:$C,F124)&gt;0,"nome igual em Pessoas: confira o CPF","")))</f>
        <v/>
      </c>
      <c r="M124" s="24"/>
      <c r="N124" s="11"/>
    </row>
    <row r="125" customFormat="false" ht="15" hidden="false" customHeight="false" outlineLevel="0" collapsed="false">
      <c r="A125" s="24"/>
      <c r="B125" s="31" t="str">
        <f aca="false">IF(A125="","",IF(LEN(UPPER(SUBSTITUTE(SUBSTITUTE(SUBSTITUTE(SUBSTITUTE(TRIM(A125),".",""),"/",""),"-","")," ","")))&lt;14,RIGHT(REPT("0",14)&amp;UPPER(SUBSTITUTE(SUBSTITUTE(SUBSTITUTE(SUBSTITUTE(TRIM(A125),".",""),"/",""),"-","")," ","")),14),UPPER(SUBSTITUTE(SUBSTITUTE(SUBSTITUTE(SUBSTITUTE(TRIM(A125),".",""),"/",""),"-","")," ",""))))</f>
        <v/>
      </c>
      <c r="C125" s="25" t="str">
        <f aca="false">IF(B125="","",IFERROR(INDEX(Empresas!$C:$C,MATCH(B125,Empresas!$B:$B,0)),"cadastre o CNPJ em Empresas"))</f>
        <v/>
      </c>
      <c r="D125" s="23"/>
      <c r="E125" s="24"/>
      <c r="F125" s="31" t="str">
        <f aca="false">IF(D125="","",SUBSTITUTE(SUBSTITUTE(SUBSTITUTE(SUBSTITUTE(SUBSTITUTE(SUBSTITUTE(SUBSTITUTE(SUBSTITUTE(SUBSTITUTE(SUBSTITUTE(SUBSTITUTE(SUBSTITUTE(SUBSTITUTE(UPPER(TRIM(D125)),"Á","A"),"À","A"),"Â","A"),"Ã","A"),"É","E"),"Ê","E"),"Í","I"),"Ó","O"),"Ô","O"),"Õ","O"),"Ú","U"),"Ü","U"),"Ç","C"))</f>
        <v/>
      </c>
      <c r="G125" s="31" t="str">
        <f aca="false">IF(E125="","",IF(LEN(SUBSTITUTE(SUBSTITUTE(SUBSTITUTE(SUBSTITUTE(TRIM(E125),"*",""),".",""),"-","")," ",""))=11,MID(SUBSTITUTE(SUBSTITUTE(SUBSTITUTE(SUBSTITUTE(TRIM(E125),"*",""),".",""),"-","")," ",""),4,6),SUBSTITUTE(SUBSTITUTE(SUBSTITUTE(SUBSTITUTE(TRIM(E125),"*",""),".",""),"-","")," ","")))</f>
        <v/>
      </c>
      <c r="H125" s="31" t="str">
        <f aca="false">IF(OR(F125="",G125=""),"",F125&amp;"|"&amp;G125)</f>
        <v/>
      </c>
      <c r="I125" s="23"/>
      <c r="J125" s="22"/>
      <c r="K125" s="22"/>
      <c r="L125" s="25" t="str">
        <f aca="false">IF(F125="","",IF(AND(H125&lt;&gt;"",COUNTIF(Pessoas!$E:$E,H125)&gt;0),"SIM",IF(COUNTIF(Pessoas!$C:$C,F125)&gt;0,"nome igual em Pessoas: confira o CPF","")))</f>
        <v/>
      </c>
      <c r="M125" s="24"/>
      <c r="N125" s="11"/>
    </row>
    <row r="126" customFormat="false" ht="15" hidden="false" customHeight="false" outlineLevel="0" collapsed="false">
      <c r="A126" s="24"/>
      <c r="B126" s="31" t="str">
        <f aca="false">IF(A126="","",IF(LEN(UPPER(SUBSTITUTE(SUBSTITUTE(SUBSTITUTE(SUBSTITUTE(TRIM(A126),".",""),"/",""),"-","")," ","")))&lt;14,RIGHT(REPT("0",14)&amp;UPPER(SUBSTITUTE(SUBSTITUTE(SUBSTITUTE(SUBSTITUTE(TRIM(A126),".",""),"/",""),"-","")," ","")),14),UPPER(SUBSTITUTE(SUBSTITUTE(SUBSTITUTE(SUBSTITUTE(TRIM(A126),".",""),"/",""),"-","")," ",""))))</f>
        <v/>
      </c>
      <c r="C126" s="25" t="str">
        <f aca="false">IF(B126="","",IFERROR(INDEX(Empresas!$C:$C,MATCH(B126,Empresas!$B:$B,0)),"cadastre o CNPJ em Empresas"))</f>
        <v/>
      </c>
      <c r="D126" s="23"/>
      <c r="E126" s="24"/>
      <c r="F126" s="31" t="str">
        <f aca="false">IF(D126="","",SUBSTITUTE(SUBSTITUTE(SUBSTITUTE(SUBSTITUTE(SUBSTITUTE(SUBSTITUTE(SUBSTITUTE(SUBSTITUTE(SUBSTITUTE(SUBSTITUTE(SUBSTITUTE(SUBSTITUTE(SUBSTITUTE(UPPER(TRIM(D126)),"Á","A"),"À","A"),"Â","A"),"Ã","A"),"É","E"),"Ê","E"),"Í","I"),"Ó","O"),"Ô","O"),"Õ","O"),"Ú","U"),"Ü","U"),"Ç","C"))</f>
        <v/>
      </c>
      <c r="G126" s="31" t="str">
        <f aca="false">IF(E126="","",IF(LEN(SUBSTITUTE(SUBSTITUTE(SUBSTITUTE(SUBSTITUTE(TRIM(E126),"*",""),".",""),"-","")," ",""))=11,MID(SUBSTITUTE(SUBSTITUTE(SUBSTITUTE(SUBSTITUTE(TRIM(E126),"*",""),".",""),"-","")," ",""),4,6),SUBSTITUTE(SUBSTITUTE(SUBSTITUTE(SUBSTITUTE(TRIM(E126),"*",""),".",""),"-","")," ","")))</f>
        <v/>
      </c>
      <c r="H126" s="31" t="str">
        <f aca="false">IF(OR(F126="",G126=""),"",F126&amp;"|"&amp;G126)</f>
        <v/>
      </c>
      <c r="I126" s="23"/>
      <c r="J126" s="22"/>
      <c r="K126" s="22"/>
      <c r="L126" s="25" t="str">
        <f aca="false">IF(F126="","",IF(AND(H126&lt;&gt;"",COUNTIF(Pessoas!$E:$E,H126)&gt;0),"SIM",IF(COUNTIF(Pessoas!$C:$C,F126)&gt;0,"nome igual em Pessoas: confira o CPF","")))</f>
        <v/>
      </c>
      <c r="M126" s="24"/>
      <c r="N126" s="11"/>
    </row>
    <row r="127" customFormat="false" ht="15" hidden="false" customHeight="false" outlineLevel="0" collapsed="false">
      <c r="A127" s="24"/>
      <c r="B127" s="31" t="str">
        <f aca="false">IF(A127="","",IF(LEN(UPPER(SUBSTITUTE(SUBSTITUTE(SUBSTITUTE(SUBSTITUTE(TRIM(A127),".",""),"/",""),"-","")," ","")))&lt;14,RIGHT(REPT("0",14)&amp;UPPER(SUBSTITUTE(SUBSTITUTE(SUBSTITUTE(SUBSTITUTE(TRIM(A127),".",""),"/",""),"-","")," ","")),14),UPPER(SUBSTITUTE(SUBSTITUTE(SUBSTITUTE(SUBSTITUTE(TRIM(A127),".",""),"/",""),"-","")," ",""))))</f>
        <v/>
      </c>
      <c r="C127" s="25" t="str">
        <f aca="false">IF(B127="","",IFERROR(INDEX(Empresas!$C:$C,MATCH(B127,Empresas!$B:$B,0)),"cadastre o CNPJ em Empresas"))</f>
        <v/>
      </c>
      <c r="D127" s="23"/>
      <c r="E127" s="24"/>
      <c r="F127" s="31" t="str">
        <f aca="false">IF(D127="","",SUBSTITUTE(SUBSTITUTE(SUBSTITUTE(SUBSTITUTE(SUBSTITUTE(SUBSTITUTE(SUBSTITUTE(SUBSTITUTE(SUBSTITUTE(SUBSTITUTE(SUBSTITUTE(SUBSTITUTE(SUBSTITUTE(UPPER(TRIM(D127)),"Á","A"),"À","A"),"Â","A"),"Ã","A"),"É","E"),"Ê","E"),"Í","I"),"Ó","O"),"Ô","O"),"Õ","O"),"Ú","U"),"Ü","U"),"Ç","C"))</f>
        <v/>
      </c>
      <c r="G127" s="31" t="str">
        <f aca="false">IF(E127="","",IF(LEN(SUBSTITUTE(SUBSTITUTE(SUBSTITUTE(SUBSTITUTE(TRIM(E127),"*",""),".",""),"-","")," ",""))=11,MID(SUBSTITUTE(SUBSTITUTE(SUBSTITUTE(SUBSTITUTE(TRIM(E127),"*",""),".",""),"-","")," ",""),4,6),SUBSTITUTE(SUBSTITUTE(SUBSTITUTE(SUBSTITUTE(TRIM(E127),"*",""),".",""),"-","")," ","")))</f>
        <v/>
      </c>
      <c r="H127" s="31" t="str">
        <f aca="false">IF(OR(F127="",G127=""),"",F127&amp;"|"&amp;G127)</f>
        <v/>
      </c>
      <c r="I127" s="23"/>
      <c r="J127" s="22"/>
      <c r="K127" s="22"/>
      <c r="L127" s="25" t="str">
        <f aca="false">IF(F127="","",IF(AND(H127&lt;&gt;"",COUNTIF(Pessoas!$E:$E,H127)&gt;0),"SIM",IF(COUNTIF(Pessoas!$C:$C,F127)&gt;0,"nome igual em Pessoas: confira o CPF","")))</f>
        <v/>
      </c>
      <c r="M127" s="24"/>
      <c r="N127" s="11"/>
    </row>
    <row r="128" customFormat="false" ht="15" hidden="false" customHeight="false" outlineLevel="0" collapsed="false">
      <c r="A128" s="24"/>
      <c r="B128" s="31" t="str">
        <f aca="false">IF(A128="","",IF(LEN(UPPER(SUBSTITUTE(SUBSTITUTE(SUBSTITUTE(SUBSTITUTE(TRIM(A128),".",""),"/",""),"-","")," ","")))&lt;14,RIGHT(REPT("0",14)&amp;UPPER(SUBSTITUTE(SUBSTITUTE(SUBSTITUTE(SUBSTITUTE(TRIM(A128),".",""),"/",""),"-","")," ","")),14),UPPER(SUBSTITUTE(SUBSTITUTE(SUBSTITUTE(SUBSTITUTE(TRIM(A128),".",""),"/",""),"-","")," ",""))))</f>
        <v/>
      </c>
      <c r="C128" s="25" t="str">
        <f aca="false">IF(B128="","",IFERROR(INDEX(Empresas!$C:$C,MATCH(B128,Empresas!$B:$B,0)),"cadastre o CNPJ em Empresas"))</f>
        <v/>
      </c>
      <c r="D128" s="23"/>
      <c r="E128" s="24"/>
      <c r="F128" s="31" t="str">
        <f aca="false">IF(D128="","",SUBSTITUTE(SUBSTITUTE(SUBSTITUTE(SUBSTITUTE(SUBSTITUTE(SUBSTITUTE(SUBSTITUTE(SUBSTITUTE(SUBSTITUTE(SUBSTITUTE(SUBSTITUTE(SUBSTITUTE(SUBSTITUTE(UPPER(TRIM(D128)),"Á","A"),"À","A"),"Â","A"),"Ã","A"),"É","E"),"Ê","E"),"Í","I"),"Ó","O"),"Ô","O"),"Õ","O"),"Ú","U"),"Ü","U"),"Ç","C"))</f>
        <v/>
      </c>
      <c r="G128" s="31" t="str">
        <f aca="false">IF(E128="","",IF(LEN(SUBSTITUTE(SUBSTITUTE(SUBSTITUTE(SUBSTITUTE(TRIM(E128),"*",""),".",""),"-","")," ",""))=11,MID(SUBSTITUTE(SUBSTITUTE(SUBSTITUTE(SUBSTITUTE(TRIM(E128),"*",""),".",""),"-","")," ",""),4,6),SUBSTITUTE(SUBSTITUTE(SUBSTITUTE(SUBSTITUTE(TRIM(E128),"*",""),".",""),"-","")," ","")))</f>
        <v/>
      </c>
      <c r="H128" s="31" t="str">
        <f aca="false">IF(OR(F128="",G128=""),"",F128&amp;"|"&amp;G128)</f>
        <v/>
      </c>
      <c r="I128" s="23"/>
      <c r="J128" s="22"/>
      <c r="K128" s="22"/>
      <c r="L128" s="25" t="str">
        <f aca="false">IF(F128="","",IF(AND(H128&lt;&gt;"",COUNTIF(Pessoas!$E:$E,H128)&gt;0),"SIM",IF(COUNTIF(Pessoas!$C:$C,F128)&gt;0,"nome igual em Pessoas: confira o CPF","")))</f>
        <v/>
      </c>
      <c r="M128" s="24"/>
      <c r="N128" s="11"/>
    </row>
    <row r="129" customFormat="false" ht="15" hidden="false" customHeight="false" outlineLevel="0" collapsed="false">
      <c r="A129" s="24"/>
      <c r="B129" s="31" t="str">
        <f aca="false">IF(A129="","",IF(LEN(UPPER(SUBSTITUTE(SUBSTITUTE(SUBSTITUTE(SUBSTITUTE(TRIM(A129),".",""),"/",""),"-","")," ","")))&lt;14,RIGHT(REPT("0",14)&amp;UPPER(SUBSTITUTE(SUBSTITUTE(SUBSTITUTE(SUBSTITUTE(TRIM(A129),".",""),"/",""),"-","")," ","")),14),UPPER(SUBSTITUTE(SUBSTITUTE(SUBSTITUTE(SUBSTITUTE(TRIM(A129),".",""),"/",""),"-","")," ",""))))</f>
        <v/>
      </c>
      <c r="C129" s="25" t="str">
        <f aca="false">IF(B129="","",IFERROR(INDEX(Empresas!$C:$C,MATCH(B129,Empresas!$B:$B,0)),"cadastre o CNPJ em Empresas"))</f>
        <v/>
      </c>
      <c r="D129" s="23"/>
      <c r="E129" s="24"/>
      <c r="F129" s="31" t="str">
        <f aca="false">IF(D129="","",SUBSTITUTE(SUBSTITUTE(SUBSTITUTE(SUBSTITUTE(SUBSTITUTE(SUBSTITUTE(SUBSTITUTE(SUBSTITUTE(SUBSTITUTE(SUBSTITUTE(SUBSTITUTE(SUBSTITUTE(SUBSTITUTE(UPPER(TRIM(D129)),"Á","A"),"À","A"),"Â","A"),"Ã","A"),"É","E"),"Ê","E"),"Í","I"),"Ó","O"),"Ô","O"),"Õ","O"),"Ú","U"),"Ü","U"),"Ç","C"))</f>
        <v/>
      </c>
      <c r="G129" s="31" t="str">
        <f aca="false">IF(E129="","",IF(LEN(SUBSTITUTE(SUBSTITUTE(SUBSTITUTE(SUBSTITUTE(TRIM(E129),"*",""),".",""),"-","")," ",""))=11,MID(SUBSTITUTE(SUBSTITUTE(SUBSTITUTE(SUBSTITUTE(TRIM(E129),"*",""),".",""),"-","")," ",""),4,6),SUBSTITUTE(SUBSTITUTE(SUBSTITUTE(SUBSTITUTE(TRIM(E129),"*",""),".",""),"-","")," ","")))</f>
        <v/>
      </c>
      <c r="H129" s="31" t="str">
        <f aca="false">IF(OR(F129="",G129=""),"",F129&amp;"|"&amp;G129)</f>
        <v/>
      </c>
      <c r="I129" s="23"/>
      <c r="J129" s="22"/>
      <c r="K129" s="22"/>
      <c r="L129" s="25" t="str">
        <f aca="false">IF(F129="","",IF(AND(H129&lt;&gt;"",COUNTIF(Pessoas!$E:$E,H129)&gt;0),"SIM",IF(COUNTIF(Pessoas!$C:$C,F129)&gt;0,"nome igual em Pessoas: confira o CPF","")))</f>
        <v/>
      </c>
      <c r="M129" s="24"/>
      <c r="N129" s="11"/>
    </row>
    <row r="130" customFormat="false" ht="15" hidden="false" customHeight="false" outlineLevel="0" collapsed="false">
      <c r="A130" s="24"/>
      <c r="B130" s="31" t="str">
        <f aca="false">IF(A130="","",IF(LEN(UPPER(SUBSTITUTE(SUBSTITUTE(SUBSTITUTE(SUBSTITUTE(TRIM(A130),".",""),"/",""),"-","")," ","")))&lt;14,RIGHT(REPT("0",14)&amp;UPPER(SUBSTITUTE(SUBSTITUTE(SUBSTITUTE(SUBSTITUTE(TRIM(A130),".",""),"/",""),"-","")," ","")),14),UPPER(SUBSTITUTE(SUBSTITUTE(SUBSTITUTE(SUBSTITUTE(TRIM(A130),".",""),"/",""),"-","")," ",""))))</f>
        <v/>
      </c>
      <c r="C130" s="25" t="str">
        <f aca="false">IF(B130="","",IFERROR(INDEX(Empresas!$C:$C,MATCH(B130,Empresas!$B:$B,0)),"cadastre o CNPJ em Empresas"))</f>
        <v/>
      </c>
      <c r="D130" s="23"/>
      <c r="E130" s="24"/>
      <c r="F130" s="31" t="str">
        <f aca="false">IF(D130="","",SUBSTITUTE(SUBSTITUTE(SUBSTITUTE(SUBSTITUTE(SUBSTITUTE(SUBSTITUTE(SUBSTITUTE(SUBSTITUTE(SUBSTITUTE(SUBSTITUTE(SUBSTITUTE(SUBSTITUTE(SUBSTITUTE(UPPER(TRIM(D130)),"Á","A"),"À","A"),"Â","A"),"Ã","A"),"É","E"),"Ê","E"),"Í","I"),"Ó","O"),"Ô","O"),"Õ","O"),"Ú","U"),"Ü","U"),"Ç","C"))</f>
        <v/>
      </c>
      <c r="G130" s="31" t="str">
        <f aca="false">IF(E130="","",IF(LEN(SUBSTITUTE(SUBSTITUTE(SUBSTITUTE(SUBSTITUTE(TRIM(E130),"*",""),".",""),"-","")," ",""))=11,MID(SUBSTITUTE(SUBSTITUTE(SUBSTITUTE(SUBSTITUTE(TRIM(E130),"*",""),".",""),"-","")," ",""),4,6),SUBSTITUTE(SUBSTITUTE(SUBSTITUTE(SUBSTITUTE(TRIM(E130),"*",""),".",""),"-","")," ","")))</f>
        <v/>
      </c>
      <c r="H130" s="31" t="str">
        <f aca="false">IF(OR(F130="",G130=""),"",F130&amp;"|"&amp;G130)</f>
        <v/>
      </c>
      <c r="I130" s="23"/>
      <c r="J130" s="22"/>
      <c r="K130" s="22"/>
      <c r="L130" s="25" t="str">
        <f aca="false">IF(F130="","",IF(AND(H130&lt;&gt;"",COUNTIF(Pessoas!$E:$E,H130)&gt;0),"SIM",IF(COUNTIF(Pessoas!$C:$C,F130)&gt;0,"nome igual em Pessoas: confira o CPF","")))</f>
        <v/>
      </c>
      <c r="M130" s="24"/>
      <c r="N130" s="11"/>
    </row>
    <row r="131" customFormat="false" ht="15" hidden="false" customHeight="false" outlineLevel="0" collapsed="false">
      <c r="A131" s="24"/>
      <c r="B131" s="31" t="str">
        <f aca="false">IF(A131="","",IF(LEN(UPPER(SUBSTITUTE(SUBSTITUTE(SUBSTITUTE(SUBSTITUTE(TRIM(A131),".",""),"/",""),"-","")," ","")))&lt;14,RIGHT(REPT("0",14)&amp;UPPER(SUBSTITUTE(SUBSTITUTE(SUBSTITUTE(SUBSTITUTE(TRIM(A131),".",""),"/",""),"-","")," ","")),14),UPPER(SUBSTITUTE(SUBSTITUTE(SUBSTITUTE(SUBSTITUTE(TRIM(A131),".",""),"/",""),"-","")," ",""))))</f>
        <v/>
      </c>
      <c r="C131" s="25" t="str">
        <f aca="false">IF(B131="","",IFERROR(INDEX(Empresas!$C:$C,MATCH(B131,Empresas!$B:$B,0)),"cadastre o CNPJ em Empresas"))</f>
        <v/>
      </c>
      <c r="D131" s="23"/>
      <c r="E131" s="24"/>
      <c r="F131" s="31" t="str">
        <f aca="false">IF(D131="","",SUBSTITUTE(SUBSTITUTE(SUBSTITUTE(SUBSTITUTE(SUBSTITUTE(SUBSTITUTE(SUBSTITUTE(SUBSTITUTE(SUBSTITUTE(SUBSTITUTE(SUBSTITUTE(SUBSTITUTE(SUBSTITUTE(UPPER(TRIM(D131)),"Á","A"),"À","A"),"Â","A"),"Ã","A"),"É","E"),"Ê","E"),"Í","I"),"Ó","O"),"Ô","O"),"Õ","O"),"Ú","U"),"Ü","U"),"Ç","C"))</f>
        <v/>
      </c>
      <c r="G131" s="31" t="str">
        <f aca="false">IF(E131="","",IF(LEN(SUBSTITUTE(SUBSTITUTE(SUBSTITUTE(SUBSTITUTE(TRIM(E131),"*",""),".",""),"-","")," ",""))=11,MID(SUBSTITUTE(SUBSTITUTE(SUBSTITUTE(SUBSTITUTE(TRIM(E131),"*",""),".",""),"-","")," ",""),4,6),SUBSTITUTE(SUBSTITUTE(SUBSTITUTE(SUBSTITUTE(TRIM(E131),"*",""),".",""),"-","")," ","")))</f>
        <v/>
      </c>
      <c r="H131" s="31" t="str">
        <f aca="false">IF(OR(F131="",G131=""),"",F131&amp;"|"&amp;G131)</f>
        <v/>
      </c>
      <c r="I131" s="23"/>
      <c r="J131" s="22"/>
      <c r="K131" s="22"/>
      <c r="L131" s="25" t="str">
        <f aca="false">IF(F131="","",IF(AND(H131&lt;&gt;"",COUNTIF(Pessoas!$E:$E,H131)&gt;0),"SIM",IF(COUNTIF(Pessoas!$C:$C,F131)&gt;0,"nome igual em Pessoas: confira o CPF","")))</f>
        <v/>
      </c>
      <c r="M131" s="24"/>
      <c r="N131" s="11"/>
    </row>
    <row r="132" customFormat="false" ht="15" hidden="false" customHeight="false" outlineLevel="0" collapsed="false">
      <c r="A132" s="24"/>
      <c r="B132" s="31" t="str">
        <f aca="false">IF(A132="","",IF(LEN(UPPER(SUBSTITUTE(SUBSTITUTE(SUBSTITUTE(SUBSTITUTE(TRIM(A132),".",""),"/",""),"-","")," ","")))&lt;14,RIGHT(REPT("0",14)&amp;UPPER(SUBSTITUTE(SUBSTITUTE(SUBSTITUTE(SUBSTITUTE(TRIM(A132),".",""),"/",""),"-","")," ","")),14),UPPER(SUBSTITUTE(SUBSTITUTE(SUBSTITUTE(SUBSTITUTE(TRIM(A132),".",""),"/",""),"-","")," ",""))))</f>
        <v/>
      </c>
      <c r="C132" s="25" t="str">
        <f aca="false">IF(B132="","",IFERROR(INDEX(Empresas!$C:$C,MATCH(B132,Empresas!$B:$B,0)),"cadastre o CNPJ em Empresas"))</f>
        <v/>
      </c>
      <c r="D132" s="23"/>
      <c r="E132" s="24"/>
      <c r="F132" s="31" t="str">
        <f aca="false">IF(D132="","",SUBSTITUTE(SUBSTITUTE(SUBSTITUTE(SUBSTITUTE(SUBSTITUTE(SUBSTITUTE(SUBSTITUTE(SUBSTITUTE(SUBSTITUTE(SUBSTITUTE(SUBSTITUTE(SUBSTITUTE(SUBSTITUTE(UPPER(TRIM(D132)),"Á","A"),"À","A"),"Â","A"),"Ã","A"),"É","E"),"Ê","E"),"Í","I"),"Ó","O"),"Ô","O"),"Õ","O"),"Ú","U"),"Ü","U"),"Ç","C"))</f>
        <v/>
      </c>
      <c r="G132" s="31" t="str">
        <f aca="false">IF(E132="","",IF(LEN(SUBSTITUTE(SUBSTITUTE(SUBSTITUTE(SUBSTITUTE(TRIM(E132),"*",""),".",""),"-","")," ",""))=11,MID(SUBSTITUTE(SUBSTITUTE(SUBSTITUTE(SUBSTITUTE(TRIM(E132),"*",""),".",""),"-","")," ",""),4,6),SUBSTITUTE(SUBSTITUTE(SUBSTITUTE(SUBSTITUTE(TRIM(E132),"*",""),".",""),"-","")," ","")))</f>
        <v/>
      </c>
      <c r="H132" s="31" t="str">
        <f aca="false">IF(OR(F132="",G132=""),"",F132&amp;"|"&amp;G132)</f>
        <v/>
      </c>
      <c r="I132" s="23"/>
      <c r="J132" s="22"/>
      <c r="K132" s="22"/>
      <c r="L132" s="25" t="str">
        <f aca="false">IF(F132="","",IF(AND(H132&lt;&gt;"",COUNTIF(Pessoas!$E:$E,H132)&gt;0),"SIM",IF(COUNTIF(Pessoas!$C:$C,F132)&gt;0,"nome igual em Pessoas: confira o CPF","")))</f>
        <v/>
      </c>
      <c r="M132" s="24"/>
      <c r="N132" s="11"/>
    </row>
    <row r="133" customFormat="false" ht="15" hidden="false" customHeight="false" outlineLevel="0" collapsed="false">
      <c r="A133" s="24"/>
      <c r="B133" s="31" t="str">
        <f aca="false">IF(A133="","",IF(LEN(UPPER(SUBSTITUTE(SUBSTITUTE(SUBSTITUTE(SUBSTITUTE(TRIM(A133),".",""),"/",""),"-","")," ","")))&lt;14,RIGHT(REPT("0",14)&amp;UPPER(SUBSTITUTE(SUBSTITUTE(SUBSTITUTE(SUBSTITUTE(TRIM(A133),".",""),"/",""),"-","")," ","")),14),UPPER(SUBSTITUTE(SUBSTITUTE(SUBSTITUTE(SUBSTITUTE(TRIM(A133),".",""),"/",""),"-","")," ",""))))</f>
        <v/>
      </c>
      <c r="C133" s="25" t="str">
        <f aca="false">IF(B133="","",IFERROR(INDEX(Empresas!$C:$C,MATCH(B133,Empresas!$B:$B,0)),"cadastre o CNPJ em Empresas"))</f>
        <v/>
      </c>
      <c r="D133" s="23"/>
      <c r="E133" s="24"/>
      <c r="F133" s="31" t="str">
        <f aca="false">IF(D133="","",SUBSTITUTE(SUBSTITUTE(SUBSTITUTE(SUBSTITUTE(SUBSTITUTE(SUBSTITUTE(SUBSTITUTE(SUBSTITUTE(SUBSTITUTE(SUBSTITUTE(SUBSTITUTE(SUBSTITUTE(SUBSTITUTE(UPPER(TRIM(D133)),"Á","A"),"À","A"),"Â","A"),"Ã","A"),"É","E"),"Ê","E"),"Í","I"),"Ó","O"),"Ô","O"),"Õ","O"),"Ú","U"),"Ü","U"),"Ç","C"))</f>
        <v/>
      </c>
      <c r="G133" s="31" t="str">
        <f aca="false">IF(E133="","",IF(LEN(SUBSTITUTE(SUBSTITUTE(SUBSTITUTE(SUBSTITUTE(TRIM(E133),"*",""),".",""),"-","")," ",""))=11,MID(SUBSTITUTE(SUBSTITUTE(SUBSTITUTE(SUBSTITUTE(TRIM(E133),"*",""),".",""),"-","")," ",""),4,6),SUBSTITUTE(SUBSTITUTE(SUBSTITUTE(SUBSTITUTE(TRIM(E133),"*",""),".",""),"-","")," ","")))</f>
        <v/>
      </c>
      <c r="H133" s="31" t="str">
        <f aca="false">IF(OR(F133="",G133=""),"",F133&amp;"|"&amp;G133)</f>
        <v/>
      </c>
      <c r="I133" s="23"/>
      <c r="J133" s="22"/>
      <c r="K133" s="22"/>
      <c r="L133" s="25" t="str">
        <f aca="false">IF(F133="","",IF(AND(H133&lt;&gt;"",COUNTIF(Pessoas!$E:$E,H133)&gt;0),"SIM",IF(COUNTIF(Pessoas!$C:$C,F133)&gt;0,"nome igual em Pessoas: confira o CPF","")))</f>
        <v/>
      </c>
      <c r="M133" s="24"/>
      <c r="N133" s="11"/>
    </row>
    <row r="134" customFormat="false" ht="15" hidden="false" customHeight="false" outlineLevel="0" collapsed="false">
      <c r="A134" s="24"/>
      <c r="B134" s="31" t="str">
        <f aca="false">IF(A134="","",IF(LEN(UPPER(SUBSTITUTE(SUBSTITUTE(SUBSTITUTE(SUBSTITUTE(TRIM(A134),".",""),"/",""),"-","")," ","")))&lt;14,RIGHT(REPT("0",14)&amp;UPPER(SUBSTITUTE(SUBSTITUTE(SUBSTITUTE(SUBSTITUTE(TRIM(A134),".",""),"/",""),"-","")," ","")),14),UPPER(SUBSTITUTE(SUBSTITUTE(SUBSTITUTE(SUBSTITUTE(TRIM(A134),".",""),"/",""),"-","")," ",""))))</f>
        <v/>
      </c>
      <c r="C134" s="25" t="str">
        <f aca="false">IF(B134="","",IFERROR(INDEX(Empresas!$C:$C,MATCH(B134,Empresas!$B:$B,0)),"cadastre o CNPJ em Empresas"))</f>
        <v/>
      </c>
      <c r="D134" s="23"/>
      <c r="E134" s="24"/>
      <c r="F134" s="31" t="str">
        <f aca="false">IF(D134="","",SUBSTITUTE(SUBSTITUTE(SUBSTITUTE(SUBSTITUTE(SUBSTITUTE(SUBSTITUTE(SUBSTITUTE(SUBSTITUTE(SUBSTITUTE(SUBSTITUTE(SUBSTITUTE(SUBSTITUTE(SUBSTITUTE(UPPER(TRIM(D134)),"Á","A"),"À","A"),"Â","A"),"Ã","A"),"É","E"),"Ê","E"),"Í","I"),"Ó","O"),"Ô","O"),"Õ","O"),"Ú","U"),"Ü","U"),"Ç","C"))</f>
        <v/>
      </c>
      <c r="G134" s="31" t="str">
        <f aca="false">IF(E134="","",IF(LEN(SUBSTITUTE(SUBSTITUTE(SUBSTITUTE(SUBSTITUTE(TRIM(E134),"*",""),".",""),"-","")," ",""))=11,MID(SUBSTITUTE(SUBSTITUTE(SUBSTITUTE(SUBSTITUTE(TRIM(E134),"*",""),".",""),"-","")," ",""),4,6),SUBSTITUTE(SUBSTITUTE(SUBSTITUTE(SUBSTITUTE(TRIM(E134),"*",""),".",""),"-","")," ","")))</f>
        <v/>
      </c>
      <c r="H134" s="31" t="str">
        <f aca="false">IF(OR(F134="",G134=""),"",F134&amp;"|"&amp;G134)</f>
        <v/>
      </c>
      <c r="I134" s="23"/>
      <c r="J134" s="22"/>
      <c r="K134" s="22"/>
      <c r="L134" s="25" t="str">
        <f aca="false">IF(F134="","",IF(AND(H134&lt;&gt;"",COUNTIF(Pessoas!$E:$E,H134)&gt;0),"SIM",IF(COUNTIF(Pessoas!$C:$C,F134)&gt;0,"nome igual em Pessoas: confira o CPF","")))</f>
        <v/>
      </c>
      <c r="M134" s="24"/>
      <c r="N134" s="11"/>
    </row>
    <row r="135" customFormat="false" ht="15" hidden="false" customHeight="false" outlineLevel="0" collapsed="false">
      <c r="A135" s="24"/>
      <c r="B135" s="31" t="str">
        <f aca="false">IF(A135="","",IF(LEN(UPPER(SUBSTITUTE(SUBSTITUTE(SUBSTITUTE(SUBSTITUTE(TRIM(A135),".",""),"/",""),"-","")," ","")))&lt;14,RIGHT(REPT("0",14)&amp;UPPER(SUBSTITUTE(SUBSTITUTE(SUBSTITUTE(SUBSTITUTE(TRIM(A135),".",""),"/",""),"-","")," ","")),14),UPPER(SUBSTITUTE(SUBSTITUTE(SUBSTITUTE(SUBSTITUTE(TRIM(A135),".",""),"/",""),"-","")," ",""))))</f>
        <v/>
      </c>
      <c r="C135" s="25" t="str">
        <f aca="false">IF(B135="","",IFERROR(INDEX(Empresas!$C:$C,MATCH(B135,Empresas!$B:$B,0)),"cadastre o CNPJ em Empresas"))</f>
        <v/>
      </c>
      <c r="D135" s="23"/>
      <c r="E135" s="24"/>
      <c r="F135" s="31" t="str">
        <f aca="false">IF(D135="","",SUBSTITUTE(SUBSTITUTE(SUBSTITUTE(SUBSTITUTE(SUBSTITUTE(SUBSTITUTE(SUBSTITUTE(SUBSTITUTE(SUBSTITUTE(SUBSTITUTE(SUBSTITUTE(SUBSTITUTE(SUBSTITUTE(UPPER(TRIM(D135)),"Á","A"),"À","A"),"Â","A"),"Ã","A"),"É","E"),"Ê","E"),"Í","I"),"Ó","O"),"Ô","O"),"Õ","O"),"Ú","U"),"Ü","U"),"Ç","C"))</f>
        <v/>
      </c>
      <c r="G135" s="31" t="str">
        <f aca="false">IF(E135="","",IF(LEN(SUBSTITUTE(SUBSTITUTE(SUBSTITUTE(SUBSTITUTE(TRIM(E135),"*",""),".",""),"-","")," ",""))=11,MID(SUBSTITUTE(SUBSTITUTE(SUBSTITUTE(SUBSTITUTE(TRIM(E135),"*",""),".",""),"-","")," ",""),4,6),SUBSTITUTE(SUBSTITUTE(SUBSTITUTE(SUBSTITUTE(TRIM(E135),"*",""),".",""),"-","")," ","")))</f>
        <v/>
      </c>
      <c r="H135" s="31" t="str">
        <f aca="false">IF(OR(F135="",G135=""),"",F135&amp;"|"&amp;G135)</f>
        <v/>
      </c>
      <c r="I135" s="23"/>
      <c r="J135" s="22"/>
      <c r="K135" s="22"/>
      <c r="L135" s="25" t="str">
        <f aca="false">IF(F135="","",IF(AND(H135&lt;&gt;"",COUNTIF(Pessoas!$E:$E,H135)&gt;0),"SIM",IF(COUNTIF(Pessoas!$C:$C,F135)&gt;0,"nome igual em Pessoas: confira o CPF","")))</f>
        <v/>
      </c>
      <c r="M135" s="24"/>
      <c r="N135" s="11"/>
    </row>
    <row r="136" customFormat="false" ht="15" hidden="false" customHeight="false" outlineLevel="0" collapsed="false">
      <c r="A136" s="24"/>
      <c r="B136" s="31" t="str">
        <f aca="false">IF(A136="","",IF(LEN(UPPER(SUBSTITUTE(SUBSTITUTE(SUBSTITUTE(SUBSTITUTE(TRIM(A136),".",""),"/",""),"-","")," ","")))&lt;14,RIGHT(REPT("0",14)&amp;UPPER(SUBSTITUTE(SUBSTITUTE(SUBSTITUTE(SUBSTITUTE(TRIM(A136),".",""),"/",""),"-","")," ","")),14),UPPER(SUBSTITUTE(SUBSTITUTE(SUBSTITUTE(SUBSTITUTE(TRIM(A136),".",""),"/",""),"-","")," ",""))))</f>
        <v/>
      </c>
      <c r="C136" s="25" t="str">
        <f aca="false">IF(B136="","",IFERROR(INDEX(Empresas!$C:$C,MATCH(B136,Empresas!$B:$B,0)),"cadastre o CNPJ em Empresas"))</f>
        <v/>
      </c>
      <c r="D136" s="23"/>
      <c r="E136" s="24"/>
      <c r="F136" s="31" t="str">
        <f aca="false">IF(D136="","",SUBSTITUTE(SUBSTITUTE(SUBSTITUTE(SUBSTITUTE(SUBSTITUTE(SUBSTITUTE(SUBSTITUTE(SUBSTITUTE(SUBSTITUTE(SUBSTITUTE(SUBSTITUTE(SUBSTITUTE(SUBSTITUTE(UPPER(TRIM(D136)),"Á","A"),"À","A"),"Â","A"),"Ã","A"),"É","E"),"Ê","E"),"Í","I"),"Ó","O"),"Ô","O"),"Õ","O"),"Ú","U"),"Ü","U"),"Ç","C"))</f>
        <v/>
      </c>
      <c r="G136" s="31" t="str">
        <f aca="false">IF(E136="","",IF(LEN(SUBSTITUTE(SUBSTITUTE(SUBSTITUTE(SUBSTITUTE(TRIM(E136),"*",""),".",""),"-","")," ",""))=11,MID(SUBSTITUTE(SUBSTITUTE(SUBSTITUTE(SUBSTITUTE(TRIM(E136),"*",""),".",""),"-","")," ",""),4,6),SUBSTITUTE(SUBSTITUTE(SUBSTITUTE(SUBSTITUTE(TRIM(E136),"*",""),".",""),"-","")," ","")))</f>
        <v/>
      </c>
      <c r="H136" s="31" t="str">
        <f aca="false">IF(OR(F136="",G136=""),"",F136&amp;"|"&amp;G136)</f>
        <v/>
      </c>
      <c r="I136" s="23"/>
      <c r="J136" s="22"/>
      <c r="K136" s="22"/>
      <c r="L136" s="25" t="str">
        <f aca="false">IF(F136="","",IF(AND(H136&lt;&gt;"",COUNTIF(Pessoas!$E:$E,H136)&gt;0),"SIM",IF(COUNTIF(Pessoas!$C:$C,F136)&gt;0,"nome igual em Pessoas: confira o CPF","")))</f>
        <v/>
      </c>
      <c r="M136" s="24"/>
      <c r="N136" s="11"/>
    </row>
    <row r="137" customFormat="false" ht="15" hidden="false" customHeight="false" outlineLevel="0" collapsed="false">
      <c r="A137" s="24"/>
      <c r="B137" s="31" t="str">
        <f aca="false">IF(A137="","",IF(LEN(UPPER(SUBSTITUTE(SUBSTITUTE(SUBSTITUTE(SUBSTITUTE(TRIM(A137),".",""),"/",""),"-","")," ","")))&lt;14,RIGHT(REPT("0",14)&amp;UPPER(SUBSTITUTE(SUBSTITUTE(SUBSTITUTE(SUBSTITUTE(TRIM(A137),".",""),"/",""),"-","")," ","")),14),UPPER(SUBSTITUTE(SUBSTITUTE(SUBSTITUTE(SUBSTITUTE(TRIM(A137),".",""),"/",""),"-","")," ",""))))</f>
        <v/>
      </c>
      <c r="C137" s="25" t="str">
        <f aca="false">IF(B137="","",IFERROR(INDEX(Empresas!$C:$C,MATCH(B137,Empresas!$B:$B,0)),"cadastre o CNPJ em Empresas"))</f>
        <v/>
      </c>
      <c r="D137" s="23"/>
      <c r="E137" s="24"/>
      <c r="F137" s="31" t="str">
        <f aca="false">IF(D137="","",SUBSTITUTE(SUBSTITUTE(SUBSTITUTE(SUBSTITUTE(SUBSTITUTE(SUBSTITUTE(SUBSTITUTE(SUBSTITUTE(SUBSTITUTE(SUBSTITUTE(SUBSTITUTE(SUBSTITUTE(SUBSTITUTE(UPPER(TRIM(D137)),"Á","A"),"À","A"),"Â","A"),"Ã","A"),"É","E"),"Ê","E"),"Í","I"),"Ó","O"),"Ô","O"),"Õ","O"),"Ú","U"),"Ü","U"),"Ç","C"))</f>
        <v/>
      </c>
      <c r="G137" s="31" t="str">
        <f aca="false">IF(E137="","",IF(LEN(SUBSTITUTE(SUBSTITUTE(SUBSTITUTE(SUBSTITUTE(TRIM(E137),"*",""),".",""),"-","")," ",""))=11,MID(SUBSTITUTE(SUBSTITUTE(SUBSTITUTE(SUBSTITUTE(TRIM(E137),"*",""),".",""),"-","")," ",""),4,6),SUBSTITUTE(SUBSTITUTE(SUBSTITUTE(SUBSTITUTE(TRIM(E137),"*",""),".",""),"-","")," ","")))</f>
        <v/>
      </c>
      <c r="H137" s="31" t="str">
        <f aca="false">IF(OR(F137="",G137=""),"",F137&amp;"|"&amp;G137)</f>
        <v/>
      </c>
      <c r="I137" s="23"/>
      <c r="J137" s="22"/>
      <c r="K137" s="22"/>
      <c r="L137" s="25" t="str">
        <f aca="false">IF(F137="","",IF(AND(H137&lt;&gt;"",COUNTIF(Pessoas!$E:$E,H137)&gt;0),"SIM",IF(COUNTIF(Pessoas!$C:$C,F137)&gt;0,"nome igual em Pessoas: confira o CPF","")))</f>
        <v/>
      </c>
      <c r="M137" s="24"/>
      <c r="N137" s="11"/>
    </row>
    <row r="138" customFormat="false" ht="15" hidden="false" customHeight="false" outlineLevel="0" collapsed="false">
      <c r="A138" s="24"/>
      <c r="B138" s="31" t="str">
        <f aca="false">IF(A138="","",IF(LEN(UPPER(SUBSTITUTE(SUBSTITUTE(SUBSTITUTE(SUBSTITUTE(TRIM(A138),".",""),"/",""),"-","")," ","")))&lt;14,RIGHT(REPT("0",14)&amp;UPPER(SUBSTITUTE(SUBSTITUTE(SUBSTITUTE(SUBSTITUTE(TRIM(A138),".",""),"/",""),"-","")," ","")),14),UPPER(SUBSTITUTE(SUBSTITUTE(SUBSTITUTE(SUBSTITUTE(TRIM(A138),".",""),"/",""),"-","")," ",""))))</f>
        <v/>
      </c>
      <c r="C138" s="25" t="str">
        <f aca="false">IF(B138="","",IFERROR(INDEX(Empresas!$C:$C,MATCH(B138,Empresas!$B:$B,0)),"cadastre o CNPJ em Empresas"))</f>
        <v/>
      </c>
      <c r="D138" s="23"/>
      <c r="E138" s="24"/>
      <c r="F138" s="31" t="str">
        <f aca="false">IF(D138="","",SUBSTITUTE(SUBSTITUTE(SUBSTITUTE(SUBSTITUTE(SUBSTITUTE(SUBSTITUTE(SUBSTITUTE(SUBSTITUTE(SUBSTITUTE(SUBSTITUTE(SUBSTITUTE(SUBSTITUTE(SUBSTITUTE(UPPER(TRIM(D138)),"Á","A"),"À","A"),"Â","A"),"Ã","A"),"É","E"),"Ê","E"),"Í","I"),"Ó","O"),"Ô","O"),"Õ","O"),"Ú","U"),"Ü","U"),"Ç","C"))</f>
        <v/>
      </c>
      <c r="G138" s="31" t="str">
        <f aca="false">IF(E138="","",IF(LEN(SUBSTITUTE(SUBSTITUTE(SUBSTITUTE(SUBSTITUTE(TRIM(E138),"*",""),".",""),"-","")," ",""))=11,MID(SUBSTITUTE(SUBSTITUTE(SUBSTITUTE(SUBSTITUTE(TRIM(E138),"*",""),".",""),"-","")," ",""),4,6),SUBSTITUTE(SUBSTITUTE(SUBSTITUTE(SUBSTITUTE(TRIM(E138),"*",""),".",""),"-","")," ","")))</f>
        <v/>
      </c>
      <c r="H138" s="31" t="str">
        <f aca="false">IF(OR(F138="",G138=""),"",F138&amp;"|"&amp;G138)</f>
        <v/>
      </c>
      <c r="I138" s="23"/>
      <c r="J138" s="22"/>
      <c r="K138" s="22"/>
      <c r="L138" s="25" t="str">
        <f aca="false">IF(F138="","",IF(AND(H138&lt;&gt;"",COUNTIF(Pessoas!$E:$E,H138)&gt;0),"SIM",IF(COUNTIF(Pessoas!$C:$C,F138)&gt;0,"nome igual em Pessoas: confira o CPF","")))</f>
        <v/>
      </c>
      <c r="M138" s="24"/>
      <c r="N138" s="11"/>
    </row>
    <row r="139" customFormat="false" ht="15" hidden="false" customHeight="false" outlineLevel="0" collapsed="false">
      <c r="A139" s="24"/>
      <c r="B139" s="31" t="str">
        <f aca="false">IF(A139="","",IF(LEN(UPPER(SUBSTITUTE(SUBSTITUTE(SUBSTITUTE(SUBSTITUTE(TRIM(A139),".",""),"/",""),"-","")," ","")))&lt;14,RIGHT(REPT("0",14)&amp;UPPER(SUBSTITUTE(SUBSTITUTE(SUBSTITUTE(SUBSTITUTE(TRIM(A139),".",""),"/",""),"-","")," ","")),14),UPPER(SUBSTITUTE(SUBSTITUTE(SUBSTITUTE(SUBSTITUTE(TRIM(A139),".",""),"/",""),"-","")," ",""))))</f>
        <v/>
      </c>
      <c r="C139" s="25" t="str">
        <f aca="false">IF(B139="","",IFERROR(INDEX(Empresas!$C:$C,MATCH(B139,Empresas!$B:$B,0)),"cadastre o CNPJ em Empresas"))</f>
        <v/>
      </c>
      <c r="D139" s="23"/>
      <c r="E139" s="24"/>
      <c r="F139" s="31" t="str">
        <f aca="false">IF(D139="","",SUBSTITUTE(SUBSTITUTE(SUBSTITUTE(SUBSTITUTE(SUBSTITUTE(SUBSTITUTE(SUBSTITUTE(SUBSTITUTE(SUBSTITUTE(SUBSTITUTE(SUBSTITUTE(SUBSTITUTE(SUBSTITUTE(UPPER(TRIM(D139)),"Á","A"),"À","A"),"Â","A"),"Ã","A"),"É","E"),"Ê","E"),"Í","I"),"Ó","O"),"Ô","O"),"Õ","O"),"Ú","U"),"Ü","U"),"Ç","C"))</f>
        <v/>
      </c>
      <c r="G139" s="31" t="str">
        <f aca="false">IF(E139="","",IF(LEN(SUBSTITUTE(SUBSTITUTE(SUBSTITUTE(SUBSTITUTE(TRIM(E139),"*",""),".",""),"-","")," ",""))=11,MID(SUBSTITUTE(SUBSTITUTE(SUBSTITUTE(SUBSTITUTE(TRIM(E139),"*",""),".",""),"-","")," ",""),4,6),SUBSTITUTE(SUBSTITUTE(SUBSTITUTE(SUBSTITUTE(TRIM(E139),"*",""),".",""),"-","")," ","")))</f>
        <v/>
      </c>
      <c r="H139" s="31" t="str">
        <f aca="false">IF(OR(F139="",G139=""),"",F139&amp;"|"&amp;G139)</f>
        <v/>
      </c>
      <c r="I139" s="23"/>
      <c r="J139" s="22"/>
      <c r="K139" s="22"/>
      <c r="L139" s="25" t="str">
        <f aca="false">IF(F139="","",IF(AND(H139&lt;&gt;"",COUNTIF(Pessoas!$E:$E,H139)&gt;0),"SIM",IF(COUNTIF(Pessoas!$C:$C,F139)&gt;0,"nome igual em Pessoas: confira o CPF","")))</f>
        <v/>
      </c>
      <c r="M139" s="24"/>
      <c r="N139" s="11"/>
    </row>
    <row r="140" customFormat="false" ht="15" hidden="false" customHeight="false" outlineLevel="0" collapsed="false">
      <c r="A140" s="24"/>
      <c r="B140" s="31" t="str">
        <f aca="false">IF(A140="","",IF(LEN(UPPER(SUBSTITUTE(SUBSTITUTE(SUBSTITUTE(SUBSTITUTE(TRIM(A140),".",""),"/",""),"-","")," ","")))&lt;14,RIGHT(REPT("0",14)&amp;UPPER(SUBSTITUTE(SUBSTITUTE(SUBSTITUTE(SUBSTITUTE(TRIM(A140),".",""),"/",""),"-","")," ","")),14),UPPER(SUBSTITUTE(SUBSTITUTE(SUBSTITUTE(SUBSTITUTE(TRIM(A140),".",""),"/",""),"-","")," ",""))))</f>
        <v/>
      </c>
      <c r="C140" s="25" t="str">
        <f aca="false">IF(B140="","",IFERROR(INDEX(Empresas!$C:$C,MATCH(B140,Empresas!$B:$B,0)),"cadastre o CNPJ em Empresas"))</f>
        <v/>
      </c>
      <c r="D140" s="23"/>
      <c r="E140" s="24"/>
      <c r="F140" s="31" t="str">
        <f aca="false">IF(D140="","",SUBSTITUTE(SUBSTITUTE(SUBSTITUTE(SUBSTITUTE(SUBSTITUTE(SUBSTITUTE(SUBSTITUTE(SUBSTITUTE(SUBSTITUTE(SUBSTITUTE(SUBSTITUTE(SUBSTITUTE(SUBSTITUTE(UPPER(TRIM(D140)),"Á","A"),"À","A"),"Â","A"),"Ã","A"),"É","E"),"Ê","E"),"Í","I"),"Ó","O"),"Ô","O"),"Õ","O"),"Ú","U"),"Ü","U"),"Ç","C"))</f>
        <v/>
      </c>
      <c r="G140" s="31" t="str">
        <f aca="false">IF(E140="","",IF(LEN(SUBSTITUTE(SUBSTITUTE(SUBSTITUTE(SUBSTITUTE(TRIM(E140),"*",""),".",""),"-","")," ",""))=11,MID(SUBSTITUTE(SUBSTITUTE(SUBSTITUTE(SUBSTITUTE(TRIM(E140),"*",""),".",""),"-","")," ",""),4,6),SUBSTITUTE(SUBSTITUTE(SUBSTITUTE(SUBSTITUTE(TRIM(E140),"*",""),".",""),"-","")," ","")))</f>
        <v/>
      </c>
      <c r="H140" s="31" t="str">
        <f aca="false">IF(OR(F140="",G140=""),"",F140&amp;"|"&amp;G140)</f>
        <v/>
      </c>
      <c r="I140" s="23"/>
      <c r="J140" s="22"/>
      <c r="K140" s="22"/>
      <c r="L140" s="25" t="str">
        <f aca="false">IF(F140="","",IF(AND(H140&lt;&gt;"",COUNTIF(Pessoas!$E:$E,H140)&gt;0),"SIM",IF(COUNTIF(Pessoas!$C:$C,F140)&gt;0,"nome igual em Pessoas: confira o CPF","")))</f>
        <v/>
      </c>
      <c r="M140" s="24"/>
      <c r="N140" s="11"/>
    </row>
    <row r="141" customFormat="false" ht="15" hidden="false" customHeight="false" outlineLevel="0" collapsed="false">
      <c r="A141" s="24"/>
      <c r="B141" s="31" t="str">
        <f aca="false">IF(A141="","",IF(LEN(UPPER(SUBSTITUTE(SUBSTITUTE(SUBSTITUTE(SUBSTITUTE(TRIM(A141),".",""),"/",""),"-","")," ","")))&lt;14,RIGHT(REPT("0",14)&amp;UPPER(SUBSTITUTE(SUBSTITUTE(SUBSTITUTE(SUBSTITUTE(TRIM(A141),".",""),"/",""),"-","")," ","")),14),UPPER(SUBSTITUTE(SUBSTITUTE(SUBSTITUTE(SUBSTITUTE(TRIM(A141),".",""),"/",""),"-","")," ",""))))</f>
        <v/>
      </c>
      <c r="C141" s="25" t="str">
        <f aca="false">IF(B141="","",IFERROR(INDEX(Empresas!$C:$C,MATCH(B141,Empresas!$B:$B,0)),"cadastre o CNPJ em Empresas"))</f>
        <v/>
      </c>
      <c r="D141" s="23"/>
      <c r="E141" s="24"/>
      <c r="F141" s="31" t="str">
        <f aca="false">IF(D141="","",SUBSTITUTE(SUBSTITUTE(SUBSTITUTE(SUBSTITUTE(SUBSTITUTE(SUBSTITUTE(SUBSTITUTE(SUBSTITUTE(SUBSTITUTE(SUBSTITUTE(SUBSTITUTE(SUBSTITUTE(SUBSTITUTE(UPPER(TRIM(D141)),"Á","A"),"À","A"),"Â","A"),"Ã","A"),"É","E"),"Ê","E"),"Í","I"),"Ó","O"),"Ô","O"),"Õ","O"),"Ú","U"),"Ü","U"),"Ç","C"))</f>
        <v/>
      </c>
      <c r="G141" s="31" t="str">
        <f aca="false">IF(E141="","",IF(LEN(SUBSTITUTE(SUBSTITUTE(SUBSTITUTE(SUBSTITUTE(TRIM(E141),"*",""),".",""),"-","")," ",""))=11,MID(SUBSTITUTE(SUBSTITUTE(SUBSTITUTE(SUBSTITUTE(TRIM(E141),"*",""),".",""),"-","")," ",""),4,6),SUBSTITUTE(SUBSTITUTE(SUBSTITUTE(SUBSTITUTE(TRIM(E141),"*",""),".",""),"-","")," ","")))</f>
        <v/>
      </c>
      <c r="H141" s="31" t="str">
        <f aca="false">IF(OR(F141="",G141=""),"",F141&amp;"|"&amp;G141)</f>
        <v/>
      </c>
      <c r="I141" s="23"/>
      <c r="J141" s="22"/>
      <c r="K141" s="22"/>
      <c r="L141" s="25" t="str">
        <f aca="false">IF(F141="","",IF(AND(H141&lt;&gt;"",COUNTIF(Pessoas!$E:$E,H141)&gt;0),"SIM",IF(COUNTIF(Pessoas!$C:$C,F141)&gt;0,"nome igual em Pessoas: confira o CPF","")))</f>
        <v/>
      </c>
      <c r="M141" s="24"/>
      <c r="N141" s="11"/>
    </row>
    <row r="142" customFormat="false" ht="15" hidden="false" customHeight="false" outlineLevel="0" collapsed="false">
      <c r="A142" s="24"/>
      <c r="B142" s="31" t="str">
        <f aca="false">IF(A142="","",IF(LEN(UPPER(SUBSTITUTE(SUBSTITUTE(SUBSTITUTE(SUBSTITUTE(TRIM(A142),".",""),"/",""),"-","")," ","")))&lt;14,RIGHT(REPT("0",14)&amp;UPPER(SUBSTITUTE(SUBSTITUTE(SUBSTITUTE(SUBSTITUTE(TRIM(A142),".",""),"/",""),"-","")," ","")),14),UPPER(SUBSTITUTE(SUBSTITUTE(SUBSTITUTE(SUBSTITUTE(TRIM(A142),".",""),"/",""),"-","")," ",""))))</f>
        <v/>
      </c>
      <c r="C142" s="25" t="str">
        <f aca="false">IF(B142="","",IFERROR(INDEX(Empresas!$C:$C,MATCH(B142,Empresas!$B:$B,0)),"cadastre o CNPJ em Empresas"))</f>
        <v/>
      </c>
      <c r="D142" s="23"/>
      <c r="E142" s="24"/>
      <c r="F142" s="31" t="str">
        <f aca="false">IF(D142="","",SUBSTITUTE(SUBSTITUTE(SUBSTITUTE(SUBSTITUTE(SUBSTITUTE(SUBSTITUTE(SUBSTITUTE(SUBSTITUTE(SUBSTITUTE(SUBSTITUTE(SUBSTITUTE(SUBSTITUTE(SUBSTITUTE(UPPER(TRIM(D142)),"Á","A"),"À","A"),"Â","A"),"Ã","A"),"É","E"),"Ê","E"),"Í","I"),"Ó","O"),"Ô","O"),"Õ","O"),"Ú","U"),"Ü","U"),"Ç","C"))</f>
        <v/>
      </c>
      <c r="G142" s="31" t="str">
        <f aca="false">IF(E142="","",IF(LEN(SUBSTITUTE(SUBSTITUTE(SUBSTITUTE(SUBSTITUTE(TRIM(E142),"*",""),".",""),"-","")," ",""))=11,MID(SUBSTITUTE(SUBSTITUTE(SUBSTITUTE(SUBSTITUTE(TRIM(E142),"*",""),".",""),"-","")," ",""),4,6),SUBSTITUTE(SUBSTITUTE(SUBSTITUTE(SUBSTITUTE(TRIM(E142),"*",""),".",""),"-","")," ","")))</f>
        <v/>
      </c>
      <c r="H142" s="31" t="str">
        <f aca="false">IF(OR(F142="",G142=""),"",F142&amp;"|"&amp;G142)</f>
        <v/>
      </c>
      <c r="I142" s="23"/>
      <c r="J142" s="22"/>
      <c r="K142" s="22"/>
      <c r="L142" s="25" t="str">
        <f aca="false">IF(F142="","",IF(AND(H142&lt;&gt;"",COUNTIF(Pessoas!$E:$E,H142)&gt;0),"SIM",IF(COUNTIF(Pessoas!$C:$C,F142)&gt;0,"nome igual em Pessoas: confira o CPF","")))</f>
        <v/>
      </c>
      <c r="M142" s="24"/>
      <c r="N142" s="11"/>
    </row>
    <row r="143" customFormat="false" ht="15" hidden="false" customHeight="false" outlineLevel="0" collapsed="false">
      <c r="A143" s="24"/>
      <c r="B143" s="31" t="str">
        <f aca="false">IF(A143="","",IF(LEN(UPPER(SUBSTITUTE(SUBSTITUTE(SUBSTITUTE(SUBSTITUTE(TRIM(A143),".",""),"/",""),"-","")," ","")))&lt;14,RIGHT(REPT("0",14)&amp;UPPER(SUBSTITUTE(SUBSTITUTE(SUBSTITUTE(SUBSTITUTE(TRIM(A143),".",""),"/",""),"-","")," ","")),14),UPPER(SUBSTITUTE(SUBSTITUTE(SUBSTITUTE(SUBSTITUTE(TRIM(A143),".",""),"/",""),"-","")," ",""))))</f>
        <v/>
      </c>
      <c r="C143" s="25" t="str">
        <f aca="false">IF(B143="","",IFERROR(INDEX(Empresas!$C:$C,MATCH(B143,Empresas!$B:$B,0)),"cadastre o CNPJ em Empresas"))</f>
        <v/>
      </c>
      <c r="D143" s="23"/>
      <c r="E143" s="24"/>
      <c r="F143" s="31" t="str">
        <f aca="false">IF(D143="","",SUBSTITUTE(SUBSTITUTE(SUBSTITUTE(SUBSTITUTE(SUBSTITUTE(SUBSTITUTE(SUBSTITUTE(SUBSTITUTE(SUBSTITUTE(SUBSTITUTE(SUBSTITUTE(SUBSTITUTE(SUBSTITUTE(UPPER(TRIM(D143)),"Á","A"),"À","A"),"Â","A"),"Ã","A"),"É","E"),"Ê","E"),"Í","I"),"Ó","O"),"Ô","O"),"Õ","O"),"Ú","U"),"Ü","U"),"Ç","C"))</f>
        <v/>
      </c>
      <c r="G143" s="31" t="str">
        <f aca="false">IF(E143="","",IF(LEN(SUBSTITUTE(SUBSTITUTE(SUBSTITUTE(SUBSTITUTE(TRIM(E143),"*",""),".",""),"-","")," ",""))=11,MID(SUBSTITUTE(SUBSTITUTE(SUBSTITUTE(SUBSTITUTE(TRIM(E143),"*",""),".",""),"-","")," ",""),4,6),SUBSTITUTE(SUBSTITUTE(SUBSTITUTE(SUBSTITUTE(TRIM(E143),"*",""),".",""),"-","")," ","")))</f>
        <v/>
      </c>
      <c r="H143" s="31" t="str">
        <f aca="false">IF(OR(F143="",G143=""),"",F143&amp;"|"&amp;G143)</f>
        <v/>
      </c>
      <c r="I143" s="23"/>
      <c r="J143" s="22"/>
      <c r="K143" s="22"/>
      <c r="L143" s="25" t="str">
        <f aca="false">IF(F143="","",IF(AND(H143&lt;&gt;"",COUNTIF(Pessoas!$E:$E,H143)&gt;0),"SIM",IF(COUNTIF(Pessoas!$C:$C,F143)&gt;0,"nome igual em Pessoas: confira o CPF","")))</f>
        <v/>
      </c>
      <c r="M143" s="24"/>
      <c r="N143" s="11"/>
    </row>
    <row r="144" customFormat="false" ht="15" hidden="false" customHeight="false" outlineLevel="0" collapsed="false">
      <c r="A144" s="24"/>
      <c r="B144" s="31" t="str">
        <f aca="false">IF(A144="","",IF(LEN(UPPER(SUBSTITUTE(SUBSTITUTE(SUBSTITUTE(SUBSTITUTE(TRIM(A144),".",""),"/",""),"-","")," ","")))&lt;14,RIGHT(REPT("0",14)&amp;UPPER(SUBSTITUTE(SUBSTITUTE(SUBSTITUTE(SUBSTITUTE(TRIM(A144),".",""),"/",""),"-","")," ","")),14),UPPER(SUBSTITUTE(SUBSTITUTE(SUBSTITUTE(SUBSTITUTE(TRIM(A144),".",""),"/",""),"-","")," ",""))))</f>
        <v/>
      </c>
      <c r="C144" s="25" t="str">
        <f aca="false">IF(B144="","",IFERROR(INDEX(Empresas!$C:$C,MATCH(B144,Empresas!$B:$B,0)),"cadastre o CNPJ em Empresas"))</f>
        <v/>
      </c>
      <c r="D144" s="23"/>
      <c r="E144" s="24"/>
      <c r="F144" s="31" t="str">
        <f aca="false">IF(D144="","",SUBSTITUTE(SUBSTITUTE(SUBSTITUTE(SUBSTITUTE(SUBSTITUTE(SUBSTITUTE(SUBSTITUTE(SUBSTITUTE(SUBSTITUTE(SUBSTITUTE(SUBSTITUTE(SUBSTITUTE(SUBSTITUTE(UPPER(TRIM(D144)),"Á","A"),"À","A"),"Â","A"),"Ã","A"),"É","E"),"Ê","E"),"Í","I"),"Ó","O"),"Ô","O"),"Õ","O"),"Ú","U"),"Ü","U"),"Ç","C"))</f>
        <v/>
      </c>
      <c r="G144" s="31" t="str">
        <f aca="false">IF(E144="","",IF(LEN(SUBSTITUTE(SUBSTITUTE(SUBSTITUTE(SUBSTITUTE(TRIM(E144),"*",""),".",""),"-","")," ",""))=11,MID(SUBSTITUTE(SUBSTITUTE(SUBSTITUTE(SUBSTITUTE(TRIM(E144),"*",""),".",""),"-","")," ",""),4,6),SUBSTITUTE(SUBSTITUTE(SUBSTITUTE(SUBSTITUTE(TRIM(E144),"*",""),".",""),"-","")," ","")))</f>
        <v/>
      </c>
      <c r="H144" s="31" t="str">
        <f aca="false">IF(OR(F144="",G144=""),"",F144&amp;"|"&amp;G144)</f>
        <v/>
      </c>
      <c r="I144" s="23"/>
      <c r="J144" s="22"/>
      <c r="K144" s="22"/>
      <c r="L144" s="25" t="str">
        <f aca="false">IF(F144="","",IF(AND(H144&lt;&gt;"",COUNTIF(Pessoas!$E:$E,H144)&gt;0),"SIM",IF(COUNTIF(Pessoas!$C:$C,F144)&gt;0,"nome igual em Pessoas: confira o CPF","")))</f>
        <v/>
      </c>
      <c r="M144" s="24"/>
      <c r="N144" s="11"/>
    </row>
    <row r="145" customFormat="false" ht="15" hidden="false" customHeight="false" outlineLevel="0" collapsed="false">
      <c r="A145" s="24"/>
      <c r="B145" s="31" t="str">
        <f aca="false">IF(A145="","",IF(LEN(UPPER(SUBSTITUTE(SUBSTITUTE(SUBSTITUTE(SUBSTITUTE(TRIM(A145),".",""),"/",""),"-","")," ","")))&lt;14,RIGHT(REPT("0",14)&amp;UPPER(SUBSTITUTE(SUBSTITUTE(SUBSTITUTE(SUBSTITUTE(TRIM(A145),".",""),"/",""),"-","")," ","")),14),UPPER(SUBSTITUTE(SUBSTITUTE(SUBSTITUTE(SUBSTITUTE(TRIM(A145),".",""),"/",""),"-","")," ",""))))</f>
        <v/>
      </c>
      <c r="C145" s="25" t="str">
        <f aca="false">IF(B145="","",IFERROR(INDEX(Empresas!$C:$C,MATCH(B145,Empresas!$B:$B,0)),"cadastre o CNPJ em Empresas"))</f>
        <v/>
      </c>
      <c r="D145" s="23"/>
      <c r="E145" s="24"/>
      <c r="F145" s="31" t="str">
        <f aca="false">IF(D145="","",SUBSTITUTE(SUBSTITUTE(SUBSTITUTE(SUBSTITUTE(SUBSTITUTE(SUBSTITUTE(SUBSTITUTE(SUBSTITUTE(SUBSTITUTE(SUBSTITUTE(SUBSTITUTE(SUBSTITUTE(SUBSTITUTE(UPPER(TRIM(D145)),"Á","A"),"À","A"),"Â","A"),"Ã","A"),"É","E"),"Ê","E"),"Í","I"),"Ó","O"),"Ô","O"),"Õ","O"),"Ú","U"),"Ü","U"),"Ç","C"))</f>
        <v/>
      </c>
      <c r="G145" s="31" t="str">
        <f aca="false">IF(E145="","",IF(LEN(SUBSTITUTE(SUBSTITUTE(SUBSTITUTE(SUBSTITUTE(TRIM(E145),"*",""),".",""),"-","")," ",""))=11,MID(SUBSTITUTE(SUBSTITUTE(SUBSTITUTE(SUBSTITUTE(TRIM(E145),"*",""),".",""),"-","")," ",""),4,6),SUBSTITUTE(SUBSTITUTE(SUBSTITUTE(SUBSTITUTE(TRIM(E145),"*",""),".",""),"-","")," ","")))</f>
        <v/>
      </c>
      <c r="H145" s="31" t="str">
        <f aca="false">IF(OR(F145="",G145=""),"",F145&amp;"|"&amp;G145)</f>
        <v/>
      </c>
      <c r="I145" s="23"/>
      <c r="J145" s="22"/>
      <c r="K145" s="22"/>
      <c r="L145" s="25" t="str">
        <f aca="false">IF(F145="","",IF(AND(H145&lt;&gt;"",COUNTIF(Pessoas!$E:$E,H145)&gt;0),"SIM",IF(COUNTIF(Pessoas!$C:$C,F145)&gt;0,"nome igual em Pessoas: confira o CPF","")))</f>
        <v/>
      </c>
      <c r="M145" s="24"/>
      <c r="N145" s="11"/>
    </row>
    <row r="146" customFormat="false" ht="15" hidden="false" customHeight="false" outlineLevel="0" collapsed="false">
      <c r="A146" s="24"/>
      <c r="B146" s="31" t="str">
        <f aca="false">IF(A146="","",IF(LEN(UPPER(SUBSTITUTE(SUBSTITUTE(SUBSTITUTE(SUBSTITUTE(TRIM(A146),".",""),"/",""),"-","")," ","")))&lt;14,RIGHT(REPT("0",14)&amp;UPPER(SUBSTITUTE(SUBSTITUTE(SUBSTITUTE(SUBSTITUTE(TRIM(A146),".",""),"/",""),"-","")," ","")),14),UPPER(SUBSTITUTE(SUBSTITUTE(SUBSTITUTE(SUBSTITUTE(TRIM(A146),".",""),"/",""),"-","")," ",""))))</f>
        <v/>
      </c>
      <c r="C146" s="25" t="str">
        <f aca="false">IF(B146="","",IFERROR(INDEX(Empresas!$C:$C,MATCH(B146,Empresas!$B:$B,0)),"cadastre o CNPJ em Empresas"))</f>
        <v/>
      </c>
      <c r="D146" s="23"/>
      <c r="E146" s="24"/>
      <c r="F146" s="31" t="str">
        <f aca="false">IF(D146="","",SUBSTITUTE(SUBSTITUTE(SUBSTITUTE(SUBSTITUTE(SUBSTITUTE(SUBSTITUTE(SUBSTITUTE(SUBSTITUTE(SUBSTITUTE(SUBSTITUTE(SUBSTITUTE(SUBSTITUTE(SUBSTITUTE(UPPER(TRIM(D146)),"Á","A"),"À","A"),"Â","A"),"Ã","A"),"É","E"),"Ê","E"),"Í","I"),"Ó","O"),"Ô","O"),"Õ","O"),"Ú","U"),"Ü","U"),"Ç","C"))</f>
        <v/>
      </c>
      <c r="G146" s="31" t="str">
        <f aca="false">IF(E146="","",IF(LEN(SUBSTITUTE(SUBSTITUTE(SUBSTITUTE(SUBSTITUTE(TRIM(E146),"*",""),".",""),"-","")," ",""))=11,MID(SUBSTITUTE(SUBSTITUTE(SUBSTITUTE(SUBSTITUTE(TRIM(E146),"*",""),".",""),"-","")," ",""),4,6),SUBSTITUTE(SUBSTITUTE(SUBSTITUTE(SUBSTITUTE(TRIM(E146),"*",""),".",""),"-","")," ","")))</f>
        <v/>
      </c>
      <c r="H146" s="31" t="str">
        <f aca="false">IF(OR(F146="",G146=""),"",F146&amp;"|"&amp;G146)</f>
        <v/>
      </c>
      <c r="I146" s="23"/>
      <c r="J146" s="22"/>
      <c r="K146" s="22"/>
      <c r="L146" s="25" t="str">
        <f aca="false">IF(F146="","",IF(AND(H146&lt;&gt;"",COUNTIF(Pessoas!$E:$E,H146)&gt;0),"SIM",IF(COUNTIF(Pessoas!$C:$C,F146)&gt;0,"nome igual em Pessoas: confira o CPF","")))</f>
        <v/>
      </c>
      <c r="M146" s="24"/>
      <c r="N146" s="11"/>
    </row>
    <row r="147" customFormat="false" ht="15" hidden="false" customHeight="false" outlineLevel="0" collapsed="false">
      <c r="A147" s="24"/>
      <c r="B147" s="31" t="str">
        <f aca="false">IF(A147="","",IF(LEN(UPPER(SUBSTITUTE(SUBSTITUTE(SUBSTITUTE(SUBSTITUTE(TRIM(A147),".",""),"/",""),"-","")," ","")))&lt;14,RIGHT(REPT("0",14)&amp;UPPER(SUBSTITUTE(SUBSTITUTE(SUBSTITUTE(SUBSTITUTE(TRIM(A147),".",""),"/",""),"-","")," ","")),14),UPPER(SUBSTITUTE(SUBSTITUTE(SUBSTITUTE(SUBSTITUTE(TRIM(A147),".",""),"/",""),"-","")," ",""))))</f>
        <v/>
      </c>
      <c r="C147" s="25" t="str">
        <f aca="false">IF(B147="","",IFERROR(INDEX(Empresas!$C:$C,MATCH(B147,Empresas!$B:$B,0)),"cadastre o CNPJ em Empresas"))</f>
        <v/>
      </c>
      <c r="D147" s="23"/>
      <c r="E147" s="24"/>
      <c r="F147" s="31" t="str">
        <f aca="false">IF(D147="","",SUBSTITUTE(SUBSTITUTE(SUBSTITUTE(SUBSTITUTE(SUBSTITUTE(SUBSTITUTE(SUBSTITUTE(SUBSTITUTE(SUBSTITUTE(SUBSTITUTE(SUBSTITUTE(SUBSTITUTE(SUBSTITUTE(UPPER(TRIM(D147)),"Á","A"),"À","A"),"Â","A"),"Ã","A"),"É","E"),"Ê","E"),"Í","I"),"Ó","O"),"Ô","O"),"Õ","O"),"Ú","U"),"Ü","U"),"Ç","C"))</f>
        <v/>
      </c>
      <c r="G147" s="31" t="str">
        <f aca="false">IF(E147="","",IF(LEN(SUBSTITUTE(SUBSTITUTE(SUBSTITUTE(SUBSTITUTE(TRIM(E147),"*",""),".",""),"-","")," ",""))=11,MID(SUBSTITUTE(SUBSTITUTE(SUBSTITUTE(SUBSTITUTE(TRIM(E147),"*",""),".",""),"-","")," ",""),4,6),SUBSTITUTE(SUBSTITUTE(SUBSTITUTE(SUBSTITUTE(TRIM(E147),"*",""),".",""),"-","")," ","")))</f>
        <v/>
      </c>
      <c r="H147" s="31" t="str">
        <f aca="false">IF(OR(F147="",G147=""),"",F147&amp;"|"&amp;G147)</f>
        <v/>
      </c>
      <c r="I147" s="23"/>
      <c r="J147" s="22"/>
      <c r="K147" s="22"/>
      <c r="L147" s="25" t="str">
        <f aca="false">IF(F147="","",IF(AND(H147&lt;&gt;"",COUNTIF(Pessoas!$E:$E,H147)&gt;0),"SIM",IF(COUNTIF(Pessoas!$C:$C,F147)&gt;0,"nome igual em Pessoas: confira o CPF","")))</f>
        <v/>
      </c>
      <c r="M147" s="24"/>
      <c r="N147" s="11"/>
    </row>
    <row r="148" customFormat="false" ht="15" hidden="false" customHeight="false" outlineLevel="0" collapsed="false">
      <c r="A148" s="24"/>
      <c r="B148" s="31" t="str">
        <f aca="false">IF(A148="","",IF(LEN(UPPER(SUBSTITUTE(SUBSTITUTE(SUBSTITUTE(SUBSTITUTE(TRIM(A148),".",""),"/",""),"-","")," ","")))&lt;14,RIGHT(REPT("0",14)&amp;UPPER(SUBSTITUTE(SUBSTITUTE(SUBSTITUTE(SUBSTITUTE(TRIM(A148),".",""),"/",""),"-","")," ","")),14),UPPER(SUBSTITUTE(SUBSTITUTE(SUBSTITUTE(SUBSTITUTE(TRIM(A148),".",""),"/",""),"-","")," ",""))))</f>
        <v/>
      </c>
      <c r="C148" s="25" t="str">
        <f aca="false">IF(B148="","",IFERROR(INDEX(Empresas!$C:$C,MATCH(B148,Empresas!$B:$B,0)),"cadastre o CNPJ em Empresas"))</f>
        <v/>
      </c>
      <c r="D148" s="23"/>
      <c r="E148" s="24"/>
      <c r="F148" s="31" t="str">
        <f aca="false">IF(D148="","",SUBSTITUTE(SUBSTITUTE(SUBSTITUTE(SUBSTITUTE(SUBSTITUTE(SUBSTITUTE(SUBSTITUTE(SUBSTITUTE(SUBSTITUTE(SUBSTITUTE(SUBSTITUTE(SUBSTITUTE(SUBSTITUTE(UPPER(TRIM(D148)),"Á","A"),"À","A"),"Â","A"),"Ã","A"),"É","E"),"Ê","E"),"Í","I"),"Ó","O"),"Ô","O"),"Õ","O"),"Ú","U"),"Ü","U"),"Ç","C"))</f>
        <v/>
      </c>
      <c r="G148" s="31" t="str">
        <f aca="false">IF(E148="","",IF(LEN(SUBSTITUTE(SUBSTITUTE(SUBSTITUTE(SUBSTITUTE(TRIM(E148),"*",""),".",""),"-","")," ",""))=11,MID(SUBSTITUTE(SUBSTITUTE(SUBSTITUTE(SUBSTITUTE(TRIM(E148),"*",""),".",""),"-","")," ",""),4,6),SUBSTITUTE(SUBSTITUTE(SUBSTITUTE(SUBSTITUTE(TRIM(E148),"*",""),".",""),"-","")," ","")))</f>
        <v/>
      </c>
      <c r="H148" s="31" t="str">
        <f aca="false">IF(OR(F148="",G148=""),"",F148&amp;"|"&amp;G148)</f>
        <v/>
      </c>
      <c r="I148" s="23"/>
      <c r="J148" s="22"/>
      <c r="K148" s="22"/>
      <c r="L148" s="25" t="str">
        <f aca="false">IF(F148="","",IF(AND(H148&lt;&gt;"",COUNTIF(Pessoas!$E:$E,H148)&gt;0),"SIM",IF(COUNTIF(Pessoas!$C:$C,F148)&gt;0,"nome igual em Pessoas: confira o CPF","")))</f>
        <v/>
      </c>
      <c r="M148" s="24"/>
      <c r="N148" s="11"/>
    </row>
    <row r="149" customFormat="false" ht="15" hidden="false" customHeight="false" outlineLevel="0" collapsed="false">
      <c r="A149" s="24"/>
      <c r="B149" s="31" t="str">
        <f aca="false">IF(A149="","",IF(LEN(UPPER(SUBSTITUTE(SUBSTITUTE(SUBSTITUTE(SUBSTITUTE(TRIM(A149),".",""),"/",""),"-","")," ","")))&lt;14,RIGHT(REPT("0",14)&amp;UPPER(SUBSTITUTE(SUBSTITUTE(SUBSTITUTE(SUBSTITUTE(TRIM(A149),".",""),"/",""),"-","")," ","")),14),UPPER(SUBSTITUTE(SUBSTITUTE(SUBSTITUTE(SUBSTITUTE(TRIM(A149),".",""),"/",""),"-","")," ",""))))</f>
        <v/>
      </c>
      <c r="C149" s="25" t="str">
        <f aca="false">IF(B149="","",IFERROR(INDEX(Empresas!$C:$C,MATCH(B149,Empresas!$B:$B,0)),"cadastre o CNPJ em Empresas"))</f>
        <v/>
      </c>
      <c r="D149" s="23"/>
      <c r="E149" s="24"/>
      <c r="F149" s="31" t="str">
        <f aca="false">IF(D149="","",SUBSTITUTE(SUBSTITUTE(SUBSTITUTE(SUBSTITUTE(SUBSTITUTE(SUBSTITUTE(SUBSTITUTE(SUBSTITUTE(SUBSTITUTE(SUBSTITUTE(SUBSTITUTE(SUBSTITUTE(SUBSTITUTE(UPPER(TRIM(D149)),"Á","A"),"À","A"),"Â","A"),"Ã","A"),"É","E"),"Ê","E"),"Í","I"),"Ó","O"),"Ô","O"),"Õ","O"),"Ú","U"),"Ü","U"),"Ç","C"))</f>
        <v/>
      </c>
      <c r="G149" s="31" t="str">
        <f aca="false">IF(E149="","",IF(LEN(SUBSTITUTE(SUBSTITUTE(SUBSTITUTE(SUBSTITUTE(TRIM(E149),"*",""),".",""),"-","")," ",""))=11,MID(SUBSTITUTE(SUBSTITUTE(SUBSTITUTE(SUBSTITUTE(TRIM(E149),"*",""),".",""),"-","")," ",""),4,6),SUBSTITUTE(SUBSTITUTE(SUBSTITUTE(SUBSTITUTE(TRIM(E149),"*",""),".",""),"-","")," ","")))</f>
        <v/>
      </c>
      <c r="H149" s="31" t="str">
        <f aca="false">IF(OR(F149="",G149=""),"",F149&amp;"|"&amp;G149)</f>
        <v/>
      </c>
      <c r="I149" s="23"/>
      <c r="J149" s="22"/>
      <c r="K149" s="22"/>
      <c r="L149" s="25" t="str">
        <f aca="false">IF(F149="","",IF(AND(H149&lt;&gt;"",COUNTIF(Pessoas!$E:$E,H149)&gt;0),"SIM",IF(COUNTIF(Pessoas!$C:$C,F149)&gt;0,"nome igual em Pessoas: confira o CPF","")))</f>
        <v/>
      </c>
      <c r="M149" s="24"/>
      <c r="N149" s="11"/>
    </row>
    <row r="150" customFormat="false" ht="15" hidden="false" customHeight="false" outlineLevel="0" collapsed="false">
      <c r="A150" s="24"/>
      <c r="B150" s="31" t="str">
        <f aca="false">IF(A150="","",IF(LEN(UPPER(SUBSTITUTE(SUBSTITUTE(SUBSTITUTE(SUBSTITUTE(TRIM(A150),".",""),"/",""),"-","")," ","")))&lt;14,RIGHT(REPT("0",14)&amp;UPPER(SUBSTITUTE(SUBSTITUTE(SUBSTITUTE(SUBSTITUTE(TRIM(A150),".",""),"/",""),"-","")," ","")),14),UPPER(SUBSTITUTE(SUBSTITUTE(SUBSTITUTE(SUBSTITUTE(TRIM(A150),".",""),"/",""),"-","")," ",""))))</f>
        <v/>
      </c>
      <c r="C150" s="25" t="str">
        <f aca="false">IF(B150="","",IFERROR(INDEX(Empresas!$C:$C,MATCH(B150,Empresas!$B:$B,0)),"cadastre o CNPJ em Empresas"))</f>
        <v/>
      </c>
      <c r="D150" s="23"/>
      <c r="E150" s="24"/>
      <c r="F150" s="31" t="str">
        <f aca="false">IF(D150="","",SUBSTITUTE(SUBSTITUTE(SUBSTITUTE(SUBSTITUTE(SUBSTITUTE(SUBSTITUTE(SUBSTITUTE(SUBSTITUTE(SUBSTITUTE(SUBSTITUTE(SUBSTITUTE(SUBSTITUTE(SUBSTITUTE(UPPER(TRIM(D150)),"Á","A"),"À","A"),"Â","A"),"Ã","A"),"É","E"),"Ê","E"),"Í","I"),"Ó","O"),"Ô","O"),"Õ","O"),"Ú","U"),"Ü","U"),"Ç","C"))</f>
        <v/>
      </c>
      <c r="G150" s="31" t="str">
        <f aca="false">IF(E150="","",IF(LEN(SUBSTITUTE(SUBSTITUTE(SUBSTITUTE(SUBSTITUTE(TRIM(E150),"*",""),".",""),"-","")," ",""))=11,MID(SUBSTITUTE(SUBSTITUTE(SUBSTITUTE(SUBSTITUTE(TRIM(E150),"*",""),".",""),"-","")," ",""),4,6),SUBSTITUTE(SUBSTITUTE(SUBSTITUTE(SUBSTITUTE(TRIM(E150),"*",""),".",""),"-","")," ","")))</f>
        <v/>
      </c>
      <c r="H150" s="31" t="str">
        <f aca="false">IF(OR(F150="",G150=""),"",F150&amp;"|"&amp;G150)</f>
        <v/>
      </c>
      <c r="I150" s="23"/>
      <c r="J150" s="22"/>
      <c r="K150" s="22"/>
      <c r="L150" s="25" t="str">
        <f aca="false">IF(F150="","",IF(AND(H150&lt;&gt;"",COUNTIF(Pessoas!$E:$E,H150)&gt;0),"SIM",IF(COUNTIF(Pessoas!$C:$C,F150)&gt;0,"nome igual em Pessoas: confira o CPF","")))</f>
        <v/>
      </c>
      <c r="M150" s="24"/>
      <c r="N150" s="11"/>
    </row>
    <row r="151" customFormat="false" ht="15" hidden="false" customHeight="false" outlineLevel="0" collapsed="false">
      <c r="A151" s="24"/>
      <c r="B151" s="31" t="str">
        <f aca="false">IF(A151="","",IF(LEN(UPPER(SUBSTITUTE(SUBSTITUTE(SUBSTITUTE(SUBSTITUTE(TRIM(A151),".",""),"/",""),"-","")," ","")))&lt;14,RIGHT(REPT("0",14)&amp;UPPER(SUBSTITUTE(SUBSTITUTE(SUBSTITUTE(SUBSTITUTE(TRIM(A151),".",""),"/",""),"-","")," ","")),14),UPPER(SUBSTITUTE(SUBSTITUTE(SUBSTITUTE(SUBSTITUTE(TRIM(A151),".",""),"/",""),"-","")," ",""))))</f>
        <v/>
      </c>
      <c r="C151" s="25" t="str">
        <f aca="false">IF(B151="","",IFERROR(INDEX(Empresas!$C:$C,MATCH(B151,Empresas!$B:$B,0)),"cadastre o CNPJ em Empresas"))</f>
        <v/>
      </c>
      <c r="D151" s="23"/>
      <c r="E151" s="24"/>
      <c r="F151" s="31" t="str">
        <f aca="false">IF(D151="","",SUBSTITUTE(SUBSTITUTE(SUBSTITUTE(SUBSTITUTE(SUBSTITUTE(SUBSTITUTE(SUBSTITUTE(SUBSTITUTE(SUBSTITUTE(SUBSTITUTE(SUBSTITUTE(SUBSTITUTE(SUBSTITUTE(UPPER(TRIM(D151)),"Á","A"),"À","A"),"Â","A"),"Ã","A"),"É","E"),"Ê","E"),"Í","I"),"Ó","O"),"Ô","O"),"Õ","O"),"Ú","U"),"Ü","U"),"Ç","C"))</f>
        <v/>
      </c>
      <c r="G151" s="31" t="str">
        <f aca="false">IF(E151="","",IF(LEN(SUBSTITUTE(SUBSTITUTE(SUBSTITUTE(SUBSTITUTE(TRIM(E151),"*",""),".",""),"-","")," ",""))=11,MID(SUBSTITUTE(SUBSTITUTE(SUBSTITUTE(SUBSTITUTE(TRIM(E151),"*",""),".",""),"-","")," ",""),4,6),SUBSTITUTE(SUBSTITUTE(SUBSTITUTE(SUBSTITUTE(TRIM(E151),"*",""),".",""),"-","")," ","")))</f>
        <v/>
      </c>
      <c r="H151" s="31" t="str">
        <f aca="false">IF(OR(F151="",G151=""),"",F151&amp;"|"&amp;G151)</f>
        <v/>
      </c>
      <c r="I151" s="23"/>
      <c r="J151" s="22"/>
      <c r="K151" s="22"/>
      <c r="L151" s="25" t="str">
        <f aca="false">IF(F151="","",IF(AND(H151&lt;&gt;"",COUNTIF(Pessoas!$E:$E,H151)&gt;0),"SIM",IF(COUNTIF(Pessoas!$C:$C,F151)&gt;0,"nome igual em Pessoas: confira o CPF","")))</f>
        <v/>
      </c>
      <c r="M151" s="24"/>
      <c r="N151" s="11"/>
    </row>
    <row r="152" customFormat="false" ht="15" hidden="false" customHeight="false" outlineLevel="0" collapsed="false">
      <c r="A152" s="24"/>
      <c r="B152" s="31" t="str">
        <f aca="false">IF(A152="","",IF(LEN(UPPER(SUBSTITUTE(SUBSTITUTE(SUBSTITUTE(SUBSTITUTE(TRIM(A152),".",""),"/",""),"-","")," ","")))&lt;14,RIGHT(REPT("0",14)&amp;UPPER(SUBSTITUTE(SUBSTITUTE(SUBSTITUTE(SUBSTITUTE(TRIM(A152),".",""),"/",""),"-","")," ","")),14),UPPER(SUBSTITUTE(SUBSTITUTE(SUBSTITUTE(SUBSTITUTE(TRIM(A152),".",""),"/",""),"-","")," ",""))))</f>
        <v/>
      </c>
      <c r="C152" s="25" t="str">
        <f aca="false">IF(B152="","",IFERROR(INDEX(Empresas!$C:$C,MATCH(B152,Empresas!$B:$B,0)),"cadastre o CNPJ em Empresas"))</f>
        <v/>
      </c>
      <c r="D152" s="23"/>
      <c r="E152" s="24"/>
      <c r="F152" s="31" t="str">
        <f aca="false">IF(D152="","",SUBSTITUTE(SUBSTITUTE(SUBSTITUTE(SUBSTITUTE(SUBSTITUTE(SUBSTITUTE(SUBSTITUTE(SUBSTITUTE(SUBSTITUTE(SUBSTITUTE(SUBSTITUTE(SUBSTITUTE(SUBSTITUTE(UPPER(TRIM(D152)),"Á","A"),"À","A"),"Â","A"),"Ã","A"),"É","E"),"Ê","E"),"Í","I"),"Ó","O"),"Ô","O"),"Õ","O"),"Ú","U"),"Ü","U"),"Ç","C"))</f>
        <v/>
      </c>
      <c r="G152" s="31" t="str">
        <f aca="false">IF(E152="","",IF(LEN(SUBSTITUTE(SUBSTITUTE(SUBSTITUTE(SUBSTITUTE(TRIM(E152),"*",""),".",""),"-","")," ",""))=11,MID(SUBSTITUTE(SUBSTITUTE(SUBSTITUTE(SUBSTITUTE(TRIM(E152),"*",""),".",""),"-","")," ",""),4,6),SUBSTITUTE(SUBSTITUTE(SUBSTITUTE(SUBSTITUTE(TRIM(E152),"*",""),".",""),"-","")," ","")))</f>
        <v/>
      </c>
      <c r="H152" s="31" t="str">
        <f aca="false">IF(OR(F152="",G152=""),"",F152&amp;"|"&amp;G152)</f>
        <v/>
      </c>
      <c r="I152" s="23"/>
      <c r="J152" s="22"/>
      <c r="K152" s="22"/>
      <c r="L152" s="25" t="str">
        <f aca="false">IF(F152="","",IF(AND(H152&lt;&gt;"",COUNTIF(Pessoas!$E:$E,H152)&gt;0),"SIM",IF(COUNTIF(Pessoas!$C:$C,F152)&gt;0,"nome igual em Pessoas: confira o CPF","")))</f>
        <v/>
      </c>
      <c r="M152" s="24"/>
      <c r="N152" s="11"/>
    </row>
    <row r="153" customFormat="false" ht="15" hidden="false" customHeight="false" outlineLevel="0" collapsed="false">
      <c r="A153" s="24"/>
      <c r="B153" s="31" t="str">
        <f aca="false">IF(A153="","",IF(LEN(UPPER(SUBSTITUTE(SUBSTITUTE(SUBSTITUTE(SUBSTITUTE(TRIM(A153),".",""),"/",""),"-","")," ","")))&lt;14,RIGHT(REPT("0",14)&amp;UPPER(SUBSTITUTE(SUBSTITUTE(SUBSTITUTE(SUBSTITUTE(TRIM(A153),".",""),"/",""),"-","")," ","")),14),UPPER(SUBSTITUTE(SUBSTITUTE(SUBSTITUTE(SUBSTITUTE(TRIM(A153),".",""),"/",""),"-","")," ",""))))</f>
        <v/>
      </c>
      <c r="C153" s="25" t="str">
        <f aca="false">IF(B153="","",IFERROR(INDEX(Empresas!$C:$C,MATCH(B153,Empresas!$B:$B,0)),"cadastre o CNPJ em Empresas"))</f>
        <v/>
      </c>
      <c r="D153" s="23"/>
      <c r="E153" s="24"/>
      <c r="F153" s="31" t="str">
        <f aca="false">IF(D153="","",SUBSTITUTE(SUBSTITUTE(SUBSTITUTE(SUBSTITUTE(SUBSTITUTE(SUBSTITUTE(SUBSTITUTE(SUBSTITUTE(SUBSTITUTE(SUBSTITUTE(SUBSTITUTE(SUBSTITUTE(SUBSTITUTE(UPPER(TRIM(D153)),"Á","A"),"À","A"),"Â","A"),"Ã","A"),"É","E"),"Ê","E"),"Í","I"),"Ó","O"),"Ô","O"),"Õ","O"),"Ú","U"),"Ü","U"),"Ç","C"))</f>
        <v/>
      </c>
      <c r="G153" s="31" t="str">
        <f aca="false">IF(E153="","",IF(LEN(SUBSTITUTE(SUBSTITUTE(SUBSTITUTE(SUBSTITUTE(TRIM(E153),"*",""),".",""),"-","")," ",""))=11,MID(SUBSTITUTE(SUBSTITUTE(SUBSTITUTE(SUBSTITUTE(TRIM(E153),"*",""),".",""),"-","")," ",""),4,6),SUBSTITUTE(SUBSTITUTE(SUBSTITUTE(SUBSTITUTE(TRIM(E153),"*",""),".",""),"-","")," ","")))</f>
        <v/>
      </c>
      <c r="H153" s="31" t="str">
        <f aca="false">IF(OR(F153="",G153=""),"",F153&amp;"|"&amp;G153)</f>
        <v/>
      </c>
      <c r="I153" s="23"/>
      <c r="J153" s="22"/>
      <c r="K153" s="22"/>
      <c r="L153" s="25" t="str">
        <f aca="false">IF(F153="","",IF(AND(H153&lt;&gt;"",COUNTIF(Pessoas!$E:$E,H153)&gt;0),"SIM",IF(COUNTIF(Pessoas!$C:$C,F153)&gt;0,"nome igual em Pessoas: confira o CPF","")))</f>
        <v/>
      </c>
      <c r="M153" s="24"/>
      <c r="N153" s="11"/>
    </row>
    <row r="154" customFormat="false" ht="15" hidden="false" customHeight="false" outlineLevel="0" collapsed="false">
      <c r="A154" s="24"/>
      <c r="B154" s="31" t="str">
        <f aca="false">IF(A154="","",IF(LEN(UPPER(SUBSTITUTE(SUBSTITUTE(SUBSTITUTE(SUBSTITUTE(TRIM(A154),".",""),"/",""),"-","")," ","")))&lt;14,RIGHT(REPT("0",14)&amp;UPPER(SUBSTITUTE(SUBSTITUTE(SUBSTITUTE(SUBSTITUTE(TRIM(A154),".",""),"/",""),"-","")," ","")),14),UPPER(SUBSTITUTE(SUBSTITUTE(SUBSTITUTE(SUBSTITUTE(TRIM(A154),".",""),"/",""),"-","")," ",""))))</f>
        <v/>
      </c>
      <c r="C154" s="25" t="str">
        <f aca="false">IF(B154="","",IFERROR(INDEX(Empresas!$C:$C,MATCH(B154,Empresas!$B:$B,0)),"cadastre o CNPJ em Empresas"))</f>
        <v/>
      </c>
      <c r="D154" s="23"/>
      <c r="E154" s="24"/>
      <c r="F154" s="31" t="str">
        <f aca="false">IF(D154="","",SUBSTITUTE(SUBSTITUTE(SUBSTITUTE(SUBSTITUTE(SUBSTITUTE(SUBSTITUTE(SUBSTITUTE(SUBSTITUTE(SUBSTITUTE(SUBSTITUTE(SUBSTITUTE(SUBSTITUTE(SUBSTITUTE(UPPER(TRIM(D154)),"Á","A"),"À","A"),"Â","A"),"Ã","A"),"É","E"),"Ê","E"),"Í","I"),"Ó","O"),"Ô","O"),"Õ","O"),"Ú","U"),"Ü","U"),"Ç","C"))</f>
        <v/>
      </c>
      <c r="G154" s="31" t="str">
        <f aca="false">IF(E154="","",IF(LEN(SUBSTITUTE(SUBSTITUTE(SUBSTITUTE(SUBSTITUTE(TRIM(E154),"*",""),".",""),"-","")," ",""))=11,MID(SUBSTITUTE(SUBSTITUTE(SUBSTITUTE(SUBSTITUTE(TRIM(E154),"*",""),".",""),"-","")," ",""),4,6),SUBSTITUTE(SUBSTITUTE(SUBSTITUTE(SUBSTITUTE(TRIM(E154),"*",""),".",""),"-","")," ","")))</f>
        <v/>
      </c>
      <c r="H154" s="31" t="str">
        <f aca="false">IF(OR(F154="",G154=""),"",F154&amp;"|"&amp;G154)</f>
        <v/>
      </c>
      <c r="I154" s="23"/>
      <c r="J154" s="22"/>
      <c r="K154" s="22"/>
      <c r="L154" s="25" t="str">
        <f aca="false">IF(F154="","",IF(AND(H154&lt;&gt;"",COUNTIF(Pessoas!$E:$E,H154)&gt;0),"SIM",IF(COUNTIF(Pessoas!$C:$C,F154)&gt;0,"nome igual em Pessoas: confira o CPF","")))</f>
        <v/>
      </c>
      <c r="M154" s="24"/>
      <c r="N154" s="11"/>
    </row>
    <row r="155" customFormat="false" ht="15" hidden="false" customHeight="false" outlineLevel="0" collapsed="false">
      <c r="A155" s="24"/>
      <c r="B155" s="31" t="str">
        <f aca="false">IF(A155="","",IF(LEN(UPPER(SUBSTITUTE(SUBSTITUTE(SUBSTITUTE(SUBSTITUTE(TRIM(A155),".",""),"/",""),"-","")," ","")))&lt;14,RIGHT(REPT("0",14)&amp;UPPER(SUBSTITUTE(SUBSTITUTE(SUBSTITUTE(SUBSTITUTE(TRIM(A155),".",""),"/",""),"-","")," ","")),14),UPPER(SUBSTITUTE(SUBSTITUTE(SUBSTITUTE(SUBSTITUTE(TRIM(A155),".",""),"/",""),"-","")," ",""))))</f>
        <v/>
      </c>
      <c r="C155" s="25" t="str">
        <f aca="false">IF(B155="","",IFERROR(INDEX(Empresas!$C:$C,MATCH(B155,Empresas!$B:$B,0)),"cadastre o CNPJ em Empresas"))</f>
        <v/>
      </c>
      <c r="D155" s="23"/>
      <c r="E155" s="24"/>
      <c r="F155" s="31" t="str">
        <f aca="false">IF(D155="","",SUBSTITUTE(SUBSTITUTE(SUBSTITUTE(SUBSTITUTE(SUBSTITUTE(SUBSTITUTE(SUBSTITUTE(SUBSTITUTE(SUBSTITUTE(SUBSTITUTE(SUBSTITUTE(SUBSTITUTE(SUBSTITUTE(UPPER(TRIM(D155)),"Á","A"),"À","A"),"Â","A"),"Ã","A"),"É","E"),"Ê","E"),"Í","I"),"Ó","O"),"Ô","O"),"Õ","O"),"Ú","U"),"Ü","U"),"Ç","C"))</f>
        <v/>
      </c>
      <c r="G155" s="31" t="str">
        <f aca="false">IF(E155="","",IF(LEN(SUBSTITUTE(SUBSTITUTE(SUBSTITUTE(SUBSTITUTE(TRIM(E155),"*",""),".",""),"-","")," ",""))=11,MID(SUBSTITUTE(SUBSTITUTE(SUBSTITUTE(SUBSTITUTE(TRIM(E155),"*",""),".",""),"-","")," ",""),4,6),SUBSTITUTE(SUBSTITUTE(SUBSTITUTE(SUBSTITUTE(TRIM(E155),"*",""),".",""),"-","")," ","")))</f>
        <v/>
      </c>
      <c r="H155" s="31" t="str">
        <f aca="false">IF(OR(F155="",G155=""),"",F155&amp;"|"&amp;G155)</f>
        <v/>
      </c>
      <c r="I155" s="23"/>
      <c r="J155" s="22"/>
      <c r="K155" s="22"/>
      <c r="L155" s="25" t="str">
        <f aca="false">IF(F155="","",IF(AND(H155&lt;&gt;"",COUNTIF(Pessoas!$E:$E,H155)&gt;0),"SIM",IF(COUNTIF(Pessoas!$C:$C,F155)&gt;0,"nome igual em Pessoas: confira o CPF","")))</f>
        <v/>
      </c>
      <c r="M155" s="24"/>
      <c r="N155" s="11"/>
    </row>
    <row r="156" customFormat="false" ht="15" hidden="false" customHeight="false" outlineLevel="0" collapsed="false">
      <c r="A156" s="24"/>
      <c r="B156" s="31" t="str">
        <f aca="false">IF(A156="","",IF(LEN(UPPER(SUBSTITUTE(SUBSTITUTE(SUBSTITUTE(SUBSTITUTE(TRIM(A156),".",""),"/",""),"-","")," ","")))&lt;14,RIGHT(REPT("0",14)&amp;UPPER(SUBSTITUTE(SUBSTITUTE(SUBSTITUTE(SUBSTITUTE(TRIM(A156),".",""),"/",""),"-","")," ","")),14),UPPER(SUBSTITUTE(SUBSTITUTE(SUBSTITUTE(SUBSTITUTE(TRIM(A156),".",""),"/",""),"-","")," ",""))))</f>
        <v/>
      </c>
      <c r="C156" s="25" t="str">
        <f aca="false">IF(B156="","",IFERROR(INDEX(Empresas!$C:$C,MATCH(B156,Empresas!$B:$B,0)),"cadastre o CNPJ em Empresas"))</f>
        <v/>
      </c>
      <c r="D156" s="23"/>
      <c r="E156" s="24"/>
      <c r="F156" s="31" t="str">
        <f aca="false">IF(D156="","",SUBSTITUTE(SUBSTITUTE(SUBSTITUTE(SUBSTITUTE(SUBSTITUTE(SUBSTITUTE(SUBSTITUTE(SUBSTITUTE(SUBSTITUTE(SUBSTITUTE(SUBSTITUTE(SUBSTITUTE(SUBSTITUTE(UPPER(TRIM(D156)),"Á","A"),"À","A"),"Â","A"),"Ã","A"),"É","E"),"Ê","E"),"Í","I"),"Ó","O"),"Ô","O"),"Õ","O"),"Ú","U"),"Ü","U"),"Ç","C"))</f>
        <v/>
      </c>
      <c r="G156" s="31" t="str">
        <f aca="false">IF(E156="","",IF(LEN(SUBSTITUTE(SUBSTITUTE(SUBSTITUTE(SUBSTITUTE(TRIM(E156),"*",""),".",""),"-","")," ",""))=11,MID(SUBSTITUTE(SUBSTITUTE(SUBSTITUTE(SUBSTITUTE(TRIM(E156),"*",""),".",""),"-","")," ",""),4,6),SUBSTITUTE(SUBSTITUTE(SUBSTITUTE(SUBSTITUTE(TRIM(E156),"*",""),".",""),"-","")," ","")))</f>
        <v/>
      </c>
      <c r="H156" s="31" t="str">
        <f aca="false">IF(OR(F156="",G156=""),"",F156&amp;"|"&amp;G156)</f>
        <v/>
      </c>
      <c r="I156" s="23"/>
      <c r="J156" s="22"/>
      <c r="K156" s="22"/>
      <c r="L156" s="25" t="str">
        <f aca="false">IF(F156="","",IF(AND(H156&lt;&gt;"",COUNTIF(Pessoas!$E:$E,H156)&gt;0),"SIM",IF(COUNTIF(Pessoas!$C:$C,F156)&gt;0,"nome igual em Pessoas: confira o CPF","")))</f>
        <v/>
      </c>
      <c r="M156" s="24"/>
      <c r="N156" s="11"/>
    </row>
    <row r="157" customFormat="false" ht="15" hidden="false" customHeight="false" outlineLevel="0" collapsed="false">
      <c r="A157" s="24"/>
      <c r="B157" s="31" t="str">
        <f aca="false">IF(A157="","",IF(LEN(UPPER(SUBSTITUTE(SUBSTITUTE(SUBSTITUTE(SUBSTITUTE(TRIM(A157),".",""),"/",""),"-","")," ","")))&lt;14,RIGHT(REPT("0",14)&amp;UPPER(SUBSTITUTE(SUBSTITUTE(SUBSTITUTE(SUBSTITUTE(TRIM(A157),".",""),"/",""),"-","")," ","")),14),UPPER(SUBSTITUTE(SUBSTITUTE(SUBSTITUTE(SUBSTITUTE(TRIM(A157),".",""),"/",""),"-","")," ",""))))</f>
        <v/>
      </c>
      <c r="C157" s="25" t="str">
        <f aca="false">IF(B157="","",IFERROR(INDEX(Empresas!$C:$C,MATCH(B157,Empresas!$B:$B,0)),"cadastre o CNPJ em Empresas"))</f>
        <v/>
      </c>
      <c r="D157" s="23"/>
      <c r="E157" s="24"/>
      <c r="F157" s="31" t="str">
        <f aca="false">IF(D157="","",SUBSTITUTE(SUBSTITUTE(SUBSTITUTE(SUBSTITUTE(SUBSTITUTE(SUBSTITUTE(SUBSTITUTE(SUBSTITUTE(SUBSTITUTE(SUBSTITUTE(SUBSTITUTE(SUBSTITUTE(SUBSTITUTE(UPPER(TRIM(D157)),"Á","A"),"À","A"),"Â","A"),"Ã","A"),"É","E"),"Ê","E"),"Í","I"),"Ó","O"),"Ô","O"),"Õ","O"),"Ú","U"),"Ü","U"),"Ç","C"))</f>
        <v/>
      </c>
      <c r="G157" s="31" t="str">
        <f aca="false">IF(E157="","",IF(LEN(SUBSTITUTE(SUBSTITUTE(SUBSTITUTE(SUBSTITUTE(TRIM(E157),"*",""),".",""),"-","")," ",""))=11,MID(SUBSTITUTE(SUBSTITUTE(SUBSTITUTE(SUBSTITUTE(TRIM(E157),"*",""),".",""),"-","")," ",""),4,6),SUBSTITUTE(SUBSTITUTE(SUBSTITUTE(SUBSTITUTE(TRIM(E157),"*",""),".",""),"-","")," ","")))</f>
        <v/>
      </c>
      <c r="H157" s="31" t="str">
        <f aca="false">IF(OR(F157="",G157=""),"",F157&amp;"|"&amp;G157)</f>
        <v/>
      </c>
      <c r="I157" s="23"/>
      <c r="J157" s="22"/>
      <c r="K157" s="22"/>
      <c r="L157" s="25" t="str">
        <f aca="false">IF(F157="","",IF(AND(H157&lt;&gt;"",COUNTIF(Pessoas!$E:$E,H157)&gt;0),"SIM",IF(COUNTIF(Pessoas!$C:$C,F157)&gt;0,"nome igual em Pessoas: confira o CPF","")))</f>
        <v/>
      </c>
      <c r="M157" s="24"/>
      <c r="N157" s="11"/>
    </row>
    <row r="158" customFormat="false" ht="15" hidden="false" customHeight="false" outlineLevel="0" collapsed="false">
      <c r="A158" s="24"/>
      <c r="B158" s="31" t="str">
        <f aca="false">IF(A158="","",IF(LEN(UPPER(SUBSTITUTE(SUBSTITUTE(SUBSTITUTE(SUBSTITUTE(TRIM(A158),".",""),"/",""),"-","")," ","")))&lt;14,RIGHT(REPT("0",14)&amp;UPPER(SUBSTITUTE(SUBSTITUTE(SUBSTITUTE(SUBSTITUTE(TRIM(A158),".",""),"/",""),"-","")," ","")),14),UPPER(SUBSTITUTE(SUBSTITUTE(SUBSTITUTE(SUBSTITUTE(TRIM(A158),".",""),"/",""),"-","")," ",""))))</f>
        <v/>
      </c>
      <c r="C158" s="25" t="str">
        <f aca="false">IF(B158="","",IFERROR(INDEX(Empresas!$C:$C,MATCH(B158,Empresas!$B:$B,0)),"cadastre o CNPJ em Empresas"))</f>
        <v/>
      </c>
      <c r="D158" s="23"/>
      <c r="E158" s="24"/>
      <c r="F158" s="31" t="str">
        <f aca="false">IF(D158="","",SUBSTITUTE(SUBSTITUTE(SUBSTITUTE(SUBSTITUTE(SUBSTITUTE(SUBSTITUTE(SUBSTITUTE(SUBSTITUTE(SUBSTITUTE(SUBSTITUTE(SUBSTITUTE(SUBSTITUTE(SUBSTITUTE(UPPER(TRIM(D158)),"Á","A"),"À","A"),"Â","A"),"Ã","A"),"É","E"),"Ê","E"),"Í","I"),"Ó","O"),"Ô","O"),"Õ","O"),"Ú","U"),"Ü","U"),"Ç","C"))</f>
        <v/>
      </c>
      <c r="G158" s="31" t="str">
        <f aca="false">IF(E158="","",IF(LEN(SUBSTITUTE(SUBSTITUTE(SUBSTITUTE(SUBSTITUTE(TRIM(E158),"*",""),".",""),"-","")," ",""))=11,MID(SUBSTITUTE(SUBSTITUTE(SUBSTITUTE(SUBSTITUTE(TRIM(E158),"*",""),".",""),"-","")," ",""),4,6),SUBSTITUTE(SUBSTITUTE(SUBSTITUTE(SUBSTITUTE(TRIM(E158),"*",""),".",""),"-","")," ","")))</f>
        <v/>
      </c>
      <c r="H158" s="31" t="str">
        <f aca="false">IF(OR(F158="",G158=""),"",F158&amp;"|"&amp;G158)</f>
        <v/>
      </c>
      <c r="I158" s="23"/>
      <c r="J158" s="22"/>
      <c r="K158" s="22"/>
      <c r="L158" s="25" t="str">
        <f aca="false">IF(F158="","",IF(AND(H158&lt;&gt;"",COUNTIF(Pessoas!$E:$E,H158)&gt;0),"SIM",IF(COUNTIF(Pessoas!$C:$C,F158)&gt;0,"nome igual em Pessoas: confira o CPF","")))</f>
        <v/>
      </c>
      <c r="M158" s="24"/>
      <c r="N158" s="11"/>
    </row>
    <row r="159" customFormat="false" ht="15" hidden="false" customHeight="false" outlineLevel="0" collapsed="false">
      <c r="A159" s="24"/>
      <c r="B159" s="31" t="str">
        <f aca="false">IF(A159="","",IF(LEN(UPPER(SUBSTITUTE(SUBSTITUTE(SUBSTITUTE(SUBSTITUTE(TRIM(A159),".",""),"/",""),"-","")," ","")))&lt;14,RIGHT(REPT("0",14)&amp;UPPER(SUBSTITUTE(SUBSTITUTE(SUBSTITUTE(SUBSTITUTE(TRIM(A159),".",""),"/",""),"-","")," ","")),14),UPPER(SUBSTITUTE(SUBSTITUTE(SUBSTITUTE(SUBSTITUTE(TRIM(A159),".",""),"/",""),"-","")," ",""))))</f>
        <v/>
      </c>
      <c r="C159" s="25" t="str">
        <f aca="false">IF(B159="","",IFERROR(INDEX(Empresas!$C:$C,MATCH(B159,Empresas!$B:$B,0)),"cadastre o CNPJ em Empresas"))</f>
        <v/>
      </c>
      <c r="D159" s="23"/>
      <c r="E159" s="24"/>
      <c r="F159" s="31" t="str">
        <f aca="false">IF(D159="","",SUBSTITUTE(SUBSTITUTE(SUBSTITUTE(SUBSTITUTE(SUBSTITUTE(SUBSTITUTE(SUBSTITUTE(SUBSTITUTE(SUBSTITUTE(SUBSTITUTE(SUBSTITUTE(SUBSTITUTE(SUBSTITUTE(UPPER(TRIM(D159)),"Á","A"),"À","A"),"Â","A"),"Ã","A"),"É","E"),"Ê","E"),"Í","I"),"Ó","O"),"Ô","O"),"Õ","O"),"Ú","U"),"Ü","U"),"Ç","C"))</f>
        <v/>
      </c>
      <c r="G159" s="31" t="str">
        <f aca="false">IF(E159="","",IF(LEN(SUBSTITUTE(SUBSTITUTE(SUBSTITUTE(SUBSTITUTE(TRIM(E159),"*",""),".",""),"-","")," ",""))=11,MID(SUBSTITUTE(SUBSTITUTE(SUBSTITUTE(SUBSTITUTE(TRIM(E159),"*",""),".",""),"-","")," ",""),4,6),SUBSTITUTE(SUBSTITUTE(SUBSTITUTE(SUBSTITUTE(TRIM(E159),"*",""),".",""),"-","")," ","")))</f>
        <v/>
      </c>
      <c r="H159" s="31" t="str">
        <f aca="false">IF(OR(F159="",G159=""),"",F159&amp;"|"&amp;G159)</f>
        <v/>
      </c>
      <c r="I159" s="23"/>
      <c r="J159" s="22"/>
      <c r="K159" s="22"/>
      <c r="L159" s="25" t="str">
        <f aca="false">IF(F159="","",IF(AND(H159&lt;&gt;"",COUNTIF(Pessoas!$E:$E,H159)&gt;0),"SIM",IF(COUNTIF(Pessoas!$C:$C,F159)&gt;0,"nome igual em Pessoas: confira o CPF","")))</f>
        <v/>
      </c>
      <c r="M159" s="24"/>
      <c r="N159" s="11"/>
    </row>
    <row r="160" customFormat="false" ht="15" hidden="false" customHeight="false" outlineLevel="0" collapsed="false">
      <c r="A160" s="24"/>
      <c r="B160" s="31" t="str">
        <f aca="false">IF(A160="","",IF(LEN(UPPER(SUBSTITUTE(SUBSTITUTE(SUBSTITUTE(SUBSTITUTE(TRIM(A160),".",""),"/",""),"-","")," ","")))&lt;14,RIGHT(REPT("0",14)&amp;UPPER(SUBSTITUTE(SUBSTITUTE(SUBSTITUTE(SUBSTITUTE(TRIM(A160),".",""),"/",""),"-","")," ","")),14),UPPER(SUBSTITUTE(SUBSTITUTE(SUBSTITUTE(SUBSTITUTE(TRIM(A160),".",""),"/",""),"-","")," ",""))))</f>
        <v/>
      </c>
      <c r="C160" s="25" t="str">
        <f aca="false">IF(B160="","",IFERROR(INDEX(Empresas!$C:$C,MATCH(B160,Empresas!$B:$B,0)),"cadastre o CNPJ em Empresas"))</f>
        <v/>
      </c>
      <c r="D160" s="23"/>
      <c r="E160" s="24"/>
      <c r="F160" s="31" t="str">
        <f aca="false">IF(D160="","",SUBSTITUTE(SUBSTITUTE(SUBSTITUTE(SUBSTITUTE(SUBSTITUTE(SUBSTITUTE(SUBSTITUTE(SUBSTITUTE(SUBSTITUTE(SUBSTITUTE(SUBSTITUTE(SUBSTITUTE(SUBSTITUTE(UPPER(TRIM(D160)),"Á","A"),"À","A"),"Â","A"),"Ã","A"),"É","E"),"Ê","E"),"Í","I"),"Ó","O"),"Ô","O"),"Õ","O"),"Ú","U"),"Ü","U"),"Ç","C"))</f>
        <v/>
      </c>
      <c r="G160" s="31" t="str">
        <f aca="false">IF(E160="","",IF(LEN(SUBSTITUTE(SUBSTITUTE(SUBSTITUTE(SUBSTITUTE(TRIM(E160),"*",""),".",""),"-","")," ",""))=11,MID(SUBSTITUTE(SUBSTITUTE(SUBSTITUTE(SUBSTITUTE(TRIM(E160),"*",""),".",""),"-","")," ",""),4,6),SUBSTITUTE(SUBSTITUTE(SUBSTITUTE(SUBSTITUTE(TRIM(E160),"*",""),".",""),"-","")," ","")))</f>
        <v/>
      </c>
      <c r="H160" s="31" t="str">
        <f aca="false">IF(OR(F160="",G160=""),"",F160&amp;"|"&amp;G160)</f>
        <v/>
      </c>
      <c r="I160" s="23"/>
      <c r="J160" s="22"/>
      <c r="K160" s="22"/>
      <c r="L160" s="25" t="str">
        <f aca="false">IF(F160="","",IF(AND(H160&lt;&gt;"",COUNTIF(Pessoas!$E:$E,H160)&gt;0),"SIM",IF(COUNTIF(Pessoas!$C:$C,F160)&gt;0,"nome igual em Pessoas: confira o CPF","")))</f>
        <v/>
      </c>
      <c r="M160" s="24"/>
      <c r="N160" s="11"/>
    </row>
    <row r="161" customFormat="false" ht="15" hidden="false" customHeight="false" outlineLevel="0" collapsed="false">
      <c r="A161" s="24"/>
      <c r="B161" s="31" t="str">
        <f aca="false">IF(A161="","",IF(LEN(UPPER(SUBSTITUTE(SUBSTITUTE(SUBSTITUTE(SUBSTITUTE(TRIM(A161),".",""),"/",""),"-","")," ","")))&lt;14,RIGHT(REPT("0",14)&amp;UPPER(SUBSTITUTE(SUBSTITUTE(SUBSTITUTE(SUBSTITUTE(TRIM(A161),".",""),"/",""),"-","")," ","")),14),UPPER(SUBSTITUTE(SUBSTITUTE(SUBSTITUTE(SUBSTITUTE(TRIM(A161),".",""),"/",""),"-","")," ",""))))</f>
        <v/>
      </c>
      <c r="C161" s="25" t="str">
        <f aca="false">IF(B161="","",IFERROR(INDEX(Empresas!$C:$C,MATCH(B161,Empresas!$B:$B,0)),"cadastre o CNPJ em Empresas"))</f>
        <v/>
      </c>
      <c r="D161" s="23"/>
      <c r="E161" s="24"/>
      <c r="F161" s="31" t="str">
        <f aca="false">IF(D161="","",SUBSTITUTE(SUBSTITUTE(SUBSTITUTE(SUBSTITUTE(SUBSTITUTE(SUBSTITUTE(SUBSTITUTE(SUBSTITUTE(SUBSTITUTE(SUBSTITUTE(SUBSTITUTE(SUBSTITUTE(SUBSTITUTE(UPPER(TRIM(D161)),"Á","A"),"À","A"),"Â","A"),"Ã","A"),"É","E"),"Ê","E"),"Í","I"),"Ó","O"),"Ô","O"),"Õ","O"),"Ú","U"),"Ü","U"),"Ç","C"))</f>
        <v/>
      </c>
      <c r="G161" s="31" t="str">
        <f aca="false">IF(E161="","",IF(LEN(SUBSTITUTE(SUBSTITUTE(SUBSTITUTE(SUBSTITUTE(TRIM(E161),"*",""),".",""),"-","")," ",""))=11,MID(SUBSTITUTE(SUBSTITUTE(SUBSTITUTE(SUBSTITUTE(TRIM(E161),"*",""),".",""),"-","")," ",""),4,6),SUBSTITUTE(SUBSTITUTE(SUBSTITUTE(SUBSTITUTE(TRIM(E161),"*",""),".",""),"-","")," ","")))</f>
        <v/>
      </c>
      <c r="H161" s="31" t="str">
        <f aca="false">IF(OR(F161="",G161=""),"",F161&amp;"|"&amp;G161)</f>
        <v/>
      </c>
      <c r="I161" s="23"/>
      <c r="J161" s="22"/>
      <c r="K161" s="22"/>
      <c r="L161" s="25" t="str">
        <f aca="false">IF(F161="","",IF(AND(H161&lt;&gt;"",COUNTIF(Pessoas!$E:$E,H161)&gt;0),"SIM",IF(COUNTIF(Pessoas!$C:$C,F161)&gt;0,"nome igual em Pessoas: confira o CPF","")))</f>
        <v/>
      </c>
      <c r="M161" s="24"/>
      <c r="N161" s="11"/>
    </row>
    <row r="162" customFormat="false" ht="15" hidden="false" customHeight="false" outlineLevel="0" collapsed="false">
      <c r="A162" s="24"/>
      <c r="B162" s="31" t="str">
        <f aca="false">IF(A162="","",IF(LEN(UPPER(SUBSTITUTE(SUBSTITUTE(SUBSTITUTE(SUBSTITUTE(TRIM(A162),".",""),"/",""),"-","")," ","")))&lt;14,RIGHT(REPT("0",14)&amp;UPPER(SUBSTITUTE(SUBSTITUTE(SUBSTITUTE(SUBSTITUTE(TRIM(A162),".",""),"/",""),"-","")," ","")),14),UPPER(SUBSTITUTE(SUBSTITUTE(SUBSTITUTE(SUBSTITUTE(TRIM(A162),".",""),"/",""),"-","")," ",""))))</f>
        <v/>
      </c>
      <c r="C162" s="25" t="str">
        <f aca="false">IF(B162="","",IFERROR(INDEX(Empresas!$C:$C,MATCH(B162,Empresas!$B:$B,0)),"cadastre o CNPJ em Empresas"))</f>
        <v/>
      </c>
      <c r="D162" s="23"/>
      <c r="E162" s="24"/>
      <c r="F162" s="31" t="str">
        <f aca="false">IF(D162="","",SUBSTITUTE(SUBSTITUTE(SUBSTITUTE(SUBSTITUTE(SUBSTITUTE(SUBSTITUTE(SUBSTITUTE(SUBSTITUTE(SUBSTITUTE(SUBSTITUTE(SUBSTITUTE(SUBSTITUTE(SUBSTITUTE(UPPER(TRIM(D162)),"Á","A"),"À","A"),"Â","A"),"Ã","A"),"É","E"),"Ê","E"),"Í","I"),"Ó","O"),"Ô","O"),"Õ","O"),"Ú","U"),"Ü","U"),"Ç","C"))</f>
        <v/>
      </c>
      <c r="G162" s="31" t="str">
        <f aca="false">IF(E162="","",IF(LEN(SUBSTITUTE(SUBSTITUTE(SUBSTITUTE(SUBSTITUTE(TRIM(E162),"*",""),".",""),"-","")," ",""))=11,MID(SUBSTITUTE(SUBSTITUTE(SUBSTITUTE(SUBSTITUTE(TRIM(E162),"*",""),".",""),"-","")," ",""),4,6),SUBSTITUTE(SUBSTITUTE(SUBSTITUTE(SUBSTITUTE(TRIM(E162),"*",""),".",""),"-","")," ","")))</f>
        <v/>
      </c>
      <c r="H162" s="31" t="str">
        <f aca="false">IF(OR(F162="",G162=""),"",F162&amp;"|"&amp;G162)</f>
        <v/>
      </c>
      <c r="I162" s="23"/>
      <c r="J162" s="22"/>
      <c r="K162" s="22"/>
      <c r="L162" s="25" t="str">
        <f aca="false">IF(F162="","",IF(AND(H162&lt;&gt;"",COUNTIF(Pessoas!$E:$E,H162)&gt;0),"SIM",IF(COUNTIF(Pessoas!$C:$C,F162)&gt;0,"nome igual em Pessoas: confira o CPF","")))</f>
        <v/>
      </c>
      <c r="M162" s="24"/>
      <c r="N162" s="11"/>
    </row>
    <row r="163" customFormat="false" ht="15" hidden="false" customHeight="false" outlineLevel="0" collapsed="false">
      <c r="A163" s="24"/>
      <c r="B163" s="31" t="str">
        <f aca="false">IF(A163="","",IF(LEN(UPPER(SUBSTITUTE(SUBSTITUTE(SUBSTITUTE(SUBSTITUTE(TRIM(A163),".",""),"/",""),"-","")," ","")))&lt;14,RIGHT(REPT("0",14)&amp;UPPER(SUBSTITUTE(SUBSTITUTE(SUBSTITUTE(SUBSTITUTE(TRIM(A163),".",""),"/",""),"-","")," ","")),14),UPPER(SUBSTITUTE(SUBSTITUTE(SUBSTITUTE(SUBSTITUTE(TRIM(A163),".",""),"/",""),"-","")," ",""))))</f>
        <v/>
      </c>
      <c r="C163" s="25" t="str">
        <f aca="false">IF(B163="","",IFERROR(INDEX(Empresas!$C:$C,MATCH(B163,Empresas!$B:$B,0)),"cadastre o CNPJ em Empresas"))</f>
        <v/>
      </c>
      <c r="D163" s="23"/>
      <c r="E163" s="24"/>
      <c r="F163" s="31" t="str">
        <f aca="false">IF(D163="","",SUBSTITUTE(SUBSTITUTE(SUBSTITUTE(SUBSTITUTE(SUBSTITUTE(SUBSTITUTE(SUBSTITUTE(SUBSTITUTE(SUBSTITUTE(SUBSTITUTE(SUBSTITUTE(SUBSTITUTE(SUBSTITUTE(UPPER(TRIM(D163)),"Á","A"),"À","A"),"Â","A"),"Ã","A"),"É","E"),"Ê","E"),"Í","I"),"Ó","O"),"Ô","O"),"Õ","O"),"Ú","U"),"Ü","U"),"Ç","C"))</f>
        <v/>
      </c>
      <c r="G163" s="31" t="str">
        <f aca="false">IF(E163="","",IF(LEN(SUBSTITUTE(SUBSTITUTE(SUBSTITUTE(SUBSTITUTE(TRIM(E163),"*",""),".",""),"-","")," ",""))=11,MID(SUBSTITUTE(SUBSTITUTE(SUBSTITUTE(SUBSTITUTE(TRIM(E163),"*",""),".",""),"-","")," ",""),4,6),SUBSTITUTE(SUBSTITUTE(SUBSTITUTE(SUBSTITUTE(TRIM(E163),"*",""),".",""),"-","")," ","")))</f>
        <v/>
      </c>
      <c r="H163" s="31" t="str">
        <f aca="false">IF(OR(F163="",G163=""),"",F163&amp;"|"&amp;G163)</f>
        <v/>
      </c>
      <c r="I163" s="23"/>
      <c r="J163" s="22"/>
      <c r="K163" s="22"/>
      <c r="L163" s="25" t="str">
        <f aca="false">IF(F163="","",IF(AND(H163&lt;&gt;"",COUNTIF(Pessoas!$E:$E,H163)&gt;0),"SIM",IF(COUNTIF(Pessoas!$C:$C,F163)&gt;0,"nome igual em Pessoas: confira o CPF","")))</f>
        <v/>
      </c>
      <c r="M163" s="24"/>
      <c r="N163" s="11"/>
    </row>
    <row r="164" customFormat="false" ht="15" hidden="false" customHeight="false" outlineLevel="0" collapsed="false">
      <c r="A164" s="24"/>
      <c r="B164" s="31" t="str">
        <f aca="false">IF(A164="","",IF(LEN(UPPER(SUBSTITUTE(SUBSTITUTE(SUBSTITUTE(SUBSTITUTE(TRIM(A164),".",""),"/",""),"-","")," ","")))&lt;14,RIGHT(REPT("0",14)&amp;UPPER(SUBSTITUTE(SUBSTITUTE(SUBSTITUTE(SUBSTITUTE(TRIM(A164),".",""),"/",""),"-","")," ","")),14),UPPER(SUBSTITUTE(SUBSTITUTE(SUBSTITUTE(SUBSTITUTE(TRIM(A164),".",""),"/",""),"-","")," ",""))))</f>
        <v/>
      </c>
      <c r="C164" s="25" t="str">
        <f aca="false">IF(B164="","",IFERROR(INDEX(Empresas!$C:$C,MATCH(B164,Empresas!$B:$B,0)),"cadastre o CNPJ em Empresas"))</f>
        <v/>
      </c>
      <c r="D164" s="23"/>
      <c r="E164" s="24"/>
      <c r="F164" s="31" t="str">
        <f aca="false">IF(D164="","",SUBSTITUTE(SUBSTITUTE(SUBSTITUTE(SUBSTITUTE(SUBSTITUTE(SUBSTITUTE(SUBSTITUTE(SUBSTITUTE(SUBSTITUTE(SUBSTITUTE(SUBSTITUTE(SUBSTITUTE(SUBSTITUTE(UPPER(TRIM(D164)),"Á","A"),"À","A"),"Â","A"),"Ã","A"),"É","E"),"Ê","E"),"Í","I"),"Ó","O"),"Ô","O"),"Õ","O"),"Ú","U"),"Ü","U"),"Ç","C"))</f>
        <v/>
      </c>
      <c r="G164" s="31" t="str">
        <f aca="false">IF(E164="","",IF(LEN(SUBSTITUTE(SUBSTITUTE(SUBSTITUTE(SUBSTITUTE(TRIM(E164),"*",""),".",""),"-","")," ",""))=11,MID(SUBSTITUTE(SUBSTITUTE(SUBSTITUTE(SUBSTITUTE(TRIM(E164),"*",""),".",""),"-","")," ",""),4,6),SUBSTITUTE(SUBSTITUTE(SUBSTITUTE(SUBSTITUTE(TRIM(E164),"*",""),".",""),"-","")," ","")))</f>
        <v/>
      </c>
      <c r="H164" s="31" t="str">
        <f aca="false">IF(OR(F164="",G164=""),"",F164&amp;"|"&amp;G164)</f>
        <v/>
      </c>
      <c r="I164" s="23"/>
      <c r="J164" s="22"/>
      <c r="K164" s="22"/>
      <c r="L164" s="25" t="str">
        <f aca="false">IF(F164="","",IF(AND(H164&lt;&gt;"",COUNTIF(Pessoas!$E:$E,H164)&gt;0),"SIM",IF(COUNTIF(Pessoas!$C:$C,F164)&gt;0,"nome igual em Pessoas: confira o CPF","")))</f>
        <v/>
      </c>
      <c r="M164" s="24"/>
      <c r="N164" s="11"/>
    </row>
    <row r="165" customFormat="false" ht="15" hidden="false" customHeight="false" outlineLevel="0" collapsed="false">
      <c r="A165" s="24"/>
      <c r="B165" s="31" t="str">
        <f aca="false">IF(A165="","",IF(LEN(UPPER(SUBSTITUTE(SUBSTITUTE(SUBSTITUTE(SUBSTITUTE(TRIM(A165),".",""),"/",""),"-","")," ","")))&lt;14,RIGHT(REPT("0",14)&amp;UPPER(SUBSTITUTE(SUBSTITUTE(SUBSTITUTE(SUBSTITUTE(TRIM(A165),".",""),"/",""),"-","")," ","")),14),UPPER(SUBSTITUTE(SUBSTITUTE(SUBSTITUTE(SUBSTITUTE(TRIM(A165),".",""),"/",""),"-","")," ",""))))</f>
        <v/>
      </c>
      <c r="C165" s="25" t="str">
        <f aca="false">IF(B165="","",IFERROR(INDEX(Empresas!$C:$C,MATCH(B165,Empresas!$B:$B,0)),"cadastre o CNPJ em Empresas"))</f>
        <v/>
      </c>
      <c r="D165" s="23"/>
      <c r="E165" s="24"/>
      <c r="F165" s="31" t="str">
        <f aca="false">IF(D165="","",SUBSTITUTE(SUBSTITUTE(SUBSTITUTE(SUBSTITUTE(SUBSTITUTE(SUBSTITUTE(SUBSTITUTE(SUBSTITUTE(SUBSTITUTE(SUBSTITUTE(SUBSTITUTE(SUBSTITUTE(SUBSTITUTE(UPPER(TRIM(D165)),"Á","A"),"À","A"),"Â","A"),"Ã","A"),"É","E"),"Ê","E"),"Í","I"),"Ó","O"),"Ô","O"),"Õ","O"),"Ú","U"),"Ü","U"),"Ç","C"))</f>
        <v/>
      </c>
      <c r="G165" s="31" t="str">
        <f aca="false">IF(E165="","",IF(LEN(SUBSTITUTE(SUBSTITUTE(SUBSTITUTE(SUBSTITUTE(TRIM(E165),"*",""),".",""),"-","")," ",""))=11,MID(SUBSTITUTE(SUBSTITUTE(SUBSTITUTE(SUBSTITUTE(TRIM(E165),"*",""),".",""),"-","")," ",""),4,6),SUBSTITUTE(SUBSTITUTE(SUBSTITUTE(SUBSTITUTE(TRIM(E165),"*",""),".",""),"-","")," ","")))</f>
        <v/>
      </c>
      <c r="H165" s="31" t="str">
        <f aca="false">IF(OR(F165="",G165=""),"",F165&amp;"|"&amp;G165)</f>
        <v/>
      </c>
      <c r="I165" s="23"/>
      <c r="J165" s="22"/>
      <c r="K165" s="22"/>
      <c r="L165" s="25" t="str">
        <f aca="false">IF(F165="","",IF(AND(H165&lt;&gt;"",COUNTIF(Pessoas!$E:$E,H165)&gt;0),"SIM",IF(COUNTIF(Pessoas!$C:$C,F165)&gt;0,"nome igual em Pessoas: confira o CPF","")))</f>
        <v/>
      </c>
      <c r="M165" s="24"/>
      <c r="N165" s="11"/>
    </row>
    <row r="166" customFormat="false" ht="15" hidden="false" customHeight="false" outlineLevel="0" collapsed="false">
      <c r="A166" s="24"/>
      <c r="B166" s="31" t="str">
        <f aca="false">IF(A166="","",IF(LEN(UPPER(SUBSTITUTE(SUBSTITUTE(SUBSTITUTE(SUBSTITUTE(TRIM(A166),".",""),"/",""),"-","")," ","")))&lt;14,RIGHT(REPT("0",14)&amp;UPPER(SUBSTITUTE(SUBSTITUTE(SUBSTITUTE(SUBSTITUTE(TRIM(A166),".",""),"/",""),"-","")," ","")),14),UPPER(SUBSTITUTE(SUBSTITUTE(SUBSTITUTE(SUBSTITUTE(TRIM(A166),".",""),"/",""),"-","")," ",""))))</f>
        <v/>
      </c>
      <c r="C166" s="25" t="str">
        <f aca="false">IF(B166="","",IFERROR(INDEX(Empresas!$C:$C,MATCH(B166,Empresas!$B:$B,0)),"cadastre o CNPJ em Empresas"))</f>
        <v/>
      </c>
      <c r="D166" s="23"/>
      <c r="E166" s="24"/>
      <c r="F166" s="31" t="str">
        <f aca="false">IF(D166="","",SUBSTITUTE(SUBSTITUTE(SUBSTITUTE(SUBSTITUTE(SUBSTITUTE(SUBSTITUTE(SUBSTITUTE(SUBSTITUTE(SUBSTITUTE(SUBSTITUTE(SUBSTITUTE(SUBSTITUTE(SUBSTITUTE(UPPER(TRIM(D166)),"Á","A"),"À","A"),"Â","A"),"Ã","A"),"É","E"),"Ê","E"),"Í","I"),"Ó","O"),"Ô","O"),"Õ","O"),"Ú","U"),"Ü","U"),"Ç","C"))</f>
        <v/>
      </c>
      <c r="G166" s="31" t="str">
        <f aca="false">IF(E166="","",IF(LEN(SUBSTITUTE(SUBSTITUTE(SUBSTITUTE(SUBSTITUTE(TRIM(E166),"*",""),".",""),"-","")," ",""))=11,MID(SUBSTITUTE(SUBSTITUTE(SUBSTITUTE(SUBSTITUTE(TRIM(E166),"*",""),".",""),"-","")," ",""),4,6),SUBSTITUTE(SUBSTITUTE(SUBSTITUTE(SUBSTITUTE(TRIM(E166),"*",""),".",""),"-","")," ","")))</f>
        <v/>
      </c>
      <c r="H166" s="31" t="str">
        <f aca="false">IF(OR(F166="",G166=""),"",F166&amp;"|"&amp;G166)</f>
        <v/>
      </c>
      <c r="I166" s="23"/>
      <c r="J166" s="22"/>
      <c r="K166" s="22"/>
      <c r="L166" s="25" t="str">
        <f aca="false">IF(F166="","",IF(AND(H166&lt;&gt;"",COUNTIF(Pessoas!$E:$E,H166)&gt;0),"SIM",IF(COUNTIF(Pessoas!$C:$C,F166)&gt;0,"nome igual em Pessoas: confira o CPF","")))</f>
        <v/>
      </c>
      <c r="M166" s="24"/>
      <c r="N166" s="11"/>
    </row>
    <row r="167" customFormat="false" ht="15" hidden="false" customHeight="false" outlineLevel="0" collapsed="false">
      <c r="A167" s="24"/>
      <c r="B167" s="31" t="str">
        <f aca="false">IF(A167="","",IF(LEN(UPPER(SUBSTITUTE(SUBSTITUTE(SUBSTITUTE(SUBSTITUTE(TRIM(A167),".",""),"/",""),"-","")," ","")))&lt;14,RIGHT(REPT("0",14)&amp;UPPER(SUBSTITUTE(SUBSTITUTE(SUBSTITUTE(SUBSTITUTE(TRIM(A167),".",""),"/",""),"-","")," ","")),14),UPPER(SUBSTITUTE(SUBSTITUTE(SUBSTITUTE(SUBSTITUTE(TRIM(A167),".",""),"/",""),"-","")," ",""))))</f>
        <v/>
      </c>
      <c r="C167" s="25" t="str">
        <f aca="false">IF(B167="","",IFERROR(INDEX(Empresas!$C:$C,MATCH(B167,Empresas!$B:$B,0)),"cadastre o CNPJ em Empresas"))</f>
        <v/>
      </c>
      <c r="D167" s="23"/>
      <c r="E167" s="24"/>
      <c r="F167" s="31" t="str">
        <f aca="false">IF(D167="","",SUBSTITUTE(SUBSTITUTE(SUBSTITUTE(SUBSTITUTE(SUBSTITUTE(SUBSTITUTE(SUBSTITUTE(SUBSTITUTE(SUBSTITUTE(SUBSTITUTE(SUBSTITUTE(SUBSTITUTE(SUBSTITUTE(UPPER(TRIM(D167)),"Á","A"),"À","A"),"Â","A"),"Ã","A"),"É","E"),"Ê","E"),"Í","I"),"Ó","O"),"Ô","O"),"Õ","O"),"Ú","U"),"Ü","U"),"Ç","C"))</f>
        <v/>
      </c>
      <c r="G167" s="31" t="str">
        <f aca="false">IF(E167="","",IF(LEN(SUBSTITUTE(SUBSTITUTE(SUBSTITUTE(SUBSTITUTE(TRIM(E167),"*",""),".",""),"-","")," ",""))=11,MID(SUBSTITUTE(SUBSTITUTE(SUBSTITUTE(SUBSTITUTE(TRIM(E167),"*",""),".",""),"-","")," ",""),4,6),SUBSTITUTE(SUBSTITUTE(SUBSTITUTE(SUBSTITUTE(TRIM(E167),"*",""),".",""),"-","")," ","")))</f>
        <v/>
      </c>
      <c r="H167" s="31" t="str">
        <f aca="false">IF(OR(F167="",G167=""),"",F167&amp;"|"&amp;G167)</f>
        <v/>
      </c>
      <c r="I167" s="23"/>
      <c r="J167" s="22"/>
      <c r="K167" s="22"/>
      <c r="L167" s="25" t="str">
        <f aca="false">IF(F167="","",IF(AND(H167&lt;&gt;"",COUNTIF(Pessoas!$E:$E,H167)&gt;0),"SIM",IF(COUNTIF(Pessoas!$C:$C,F167)&gt;0,"nome igual em Pessoas: confira o CPF","")))</f>
        <v/>
      </c>
      <c r="M167" s="24"/>
      <c r="N167" s="11"/>
    </row>
    <row r="168" customFormat="false" ht="15" hidden="false" customHeight="false" outlineLevel="0" collapsed="false">
      <c r="A168" s="24"/>
      <c r="B168" s="31" t="str">
        <f aca="false">IF(A168="","",IF(LEN(UPPER(SUBSTITUTE(SUBSTITUTE(SUBSTITUTE(SUBSTITUTE(TRIM(A168),".",""),"/",""),"-","")," ","")))&lt;14,RIGHT(REPT("0",14)&amp;UPPER(SUBSTITUTE(SUBSTITUTE(SUBSTITUTE(SUBSTITUTE(TRIM(A168),".",""),"/",""),"-","")," ","")),14),UPPER(SUBSTITUTE(SUBSTITUTE(SUBSTITUTE(SUBSTITUTE(TRIM(A168),".",""),"/",""),"-","")," ",""))))</f>
        <v/>
      </c>
      <c r="C168" s="25" t="str">
        <f aca="false">IF(B168="","",IFERROR(INDEX(Empresas!$C:$C,MATCH(B168,Empresas!$B:$B,0)),"cadastre o CNPJ em Empresas"))</f>
        <v/>
      </c>
      <c r="D168" s="23"/>
      <c r="E168" s="24"/>
      <c r="F168" s="31" t="str">
        <f aca="false">IF(D168="","",SUBSTITUTE(SUBSTITUTE(SUBSTITUTE(SUBSTITUTE(SUBSTITUTE(SUBSTITUTE(SUBSTITUTE(SUBSTITUTE(SUBSTITUTE(SUBSTITUTE(SUBSTITUTE(SUBSTITUTE(SUBSTITUTE(UPPER(TRIM(D168)),"Á","A"),"À","A"),"Â","A"),"Ã","A"),"É","E"),"Ê","E"),"Í","I"),"Ó","O"),"Ô","O"),"Õ","O"),"Ú","U"),"Ü","U"),"Ç","C"))</f>
        <v/>
      </c>
      <c r="G168" s="31" t="str">
        <f aca="false">IF(E168="","",IF(LEN(SUBSTITUTE(SUBSTITUTE(SUBSTITUTE(SUBSTITUTE(TRIM(E168),"*",""),".",""),"-","")," ",""))=11,MID(SUBSTITUTE(SUBSTITUTE(SUBSTITUTE(SUBSTITUTE(TRIM(E168),"*",""),".",""),"-","")," ",""),4,6),SUBSTITUTE(SUBSTITUTE(SUBSTITUTE(SUBSTITUTE(TRIM(E168),"*",""),".",""),"-","")," ","")))</f>
        <v/>
      </c>
      <c r="H168" s="31" t="str">
        <f aca="false">IF(OR(F168="",G168=""),"",F168&amp;"|"&amp;G168)</f>
        <v/>
      </c>
      <c r="I168" s="23"/>
      <c r="J168" s="22"/>
      <c r="K168" s="22"/>
      <c r="L168" s="25" t="str">
        <f aca="false">IF(F168="","",IF(AND(H168&lt;&gt;"",COUNTIF(Pessoas!$E:$E,H168)&gt;0),"SIM",IF(COUNTIF(Pessoas!$C:$C,F168)&gt;0,"nome igual em Pessoas: confira o CPF","")))</f>
        <v/>
      </c>
      <c r="M168" s="24"/>
      <c r="N168" s="11"/>
    </row>
    <row r="169" customFormat="false" ht="15" hidden="false" customHeight="false" outlineLevel="0" collapsed="false">
      <c r="A169" s="24"/>
      <c r="B169" s="31" t="str">
        <f aca="false">IF(A169="","",IF(LEN(UPPER(SUBSTITUTE(SUBSTITUTE(SUBSTITUTE(SUBSTITUTE(TRIM(A169),".",""),"/",""),"-","")," ","")))&lt;14,RIGHT(REPT("0",14)&amp;UPPER(SUBSTITUTE(SUBSTITUTE(SUBSTITUTE(SUBSTITUTE(TRIM(A169),".",""),"/",""),"-","")," ","")),14),UPPER(SUBSTITUTE(SUBSTITUTE(SUBSTITUTE(SUBSTITUTE(TRIM(A169),".",""),"/",""),"-","")," ",""))))</f>
        <v/>
      </c>
      <c r="C169" s="25" t="str">
        <f aca="false">IF(B169="","",IFERROR(INDEX(Empresas!$C:$C,MATCH(B169,Empresas!$B:$B,0)),"cadastre o CNPJ em Empresas"))</f>
        <v/>
      </c>
      <c r="D169" s="23"/>
      <c r="E169" s="24"/>
      <c r="F169" s="31" t="str">
        <f aca="false">IF(D169="","",SUBSTITUTE(SUBSTITUTE(SUBSTITUTE(SUBSTITUTE(SUBSTITUTE(SUBSTITUTE(SUBSTITUTE(SUBSTITUTE(SUBSTITUTE(SUBSTITUTE(SUBSTITUTE(SUBSTITUTE(SUBSTITUTE(UPPER(TRIM(D169)),"Á","A"),"À","A"),"Â","A"),"Ã","A"),"É","E"),"Ê","E"),"Í","I"),"Ó","O"),"Ô","O"),"Õ","O"),"Ú","U"),"Ü","U"),"Ç","C"))</f>
        <v/>
      </c>
      <c r="G169" s="31" t="str">
        <f aca="false">IF(E169="","",IF(LEN(SUBSTITUTE(SUBSTITUTE(SUBSTITUTE(SUBSTITUTE(TRIM(E169),"*",""),".",""),"-","")," ",""))=11,MID(SUBSTITUTE(SUBSTITUTE(SUBSTITUTE(SUBSTITUTE(TRIM(E169),"*",""),".",""),"-","")," ",""),4,6),SUBSTITUTE(SUBSTITUTE(SUBSTITUTE(SUBSTITUTE(TRIM(E169),"*",""),".",""),"-","")," ","")))</f>
        <v/>
      </c>
      <c r="H169" s="31" t="str">
        <f aca="false">IF(OR(F169="",G169=""),"",F169&amp;"|"&amp;G169)</f>
        <v/>
      </c>
      <c r="I169" s="23"/>
      <c r="J169" s="22"/>
      <c r="K169" s="22"/>
      <c r="L169" s="25" t="str">
        <f aca="false">IF(F169="","",IF(AND(H169&lt;&gt;"",COUNTIF(Pessoas!$E:$E,H169)&gt;0),"SIM",IF(COUNTIF(Pessoas!$C:$C,F169)&gt;0,"nome igual em Pessoas: confira o CPF","")))</f>
        <v/>
      </c>
      <c r="M169" s="24"/>
      <c r="N169" s="11"/>
    </row>
    <row r="170" customFormat="false" ht="15" hidden="false" customHeight="false" outlineLevel="0" collapsed="false">
      <c r="A170" s="24"/>
      <c r="B170" s="31" t="str">
        <f aca="false">IF(A170="","",IF(LEN(UPPER(SUBSTITUTE(SUBSTITUTE(SUBSTITUTE(SUBSTITUTE(TRIM(A170),".",""),"/",""),"-","")," ","")))&lt;14,RIGHT(REPT("0",14)&amp;UPPER(SUBSTITUTE(SUBSTITUTE(SUBSTITUTE(SUBSTITUTE(TRIM(A170),".",""),"/",""),"-","")," ","")),14),UPPER(SUBSTITUTE(SUBSTITUTE(SUBSTITUTE(SUBSTITUTE(TRIM(A170),".",""),"/",""),"-","")," ",""))))</f>
        <v/>
      </c>
      <c r="C170" s="25" t="str">
        <f aca="false">IF(B170="","",IFERROR(INDEX(Empresas!$C:$C,MATCH(B170,Empresas!$B:$B,0)),"cadastre o CNPJ em Empresas"))</f>
        <v/>
      </c>
      <c r="D170" s="23"/>
      <c r="E170" s="24"/>
      <c r="F170" s="31" t="str">
        <f aca="false">IF(D170="","",SUBSTITUTE(SUBSTITUTE(SUBSTITUTE(SUBSTITUTE(SUBSTITUTE(SUBSTITUTE(SUBSTITUTE(SUBSTITUTE(SUBSTITUTE(SUBSTITUTE(SUBSTITUTE(SUBSTITUTE(SUBSTITUTE(UPPER(TRIM(D170)),"Á","A"),"À","A"),"Â","A"),"Ã","A"),"É","E"),"Ê","E"),"Í","I"),"Ó","O"),"Ô","O"),"Õ","O"),"Ú","U"),"Ü","U"),"Ç","C"))</f>
        <v/>
      </c>
      <c r="G170" s="31" t="str">
        <f aca="false">IF(E170="","",IF(LEN(SUBSTITUTE(SUBSTITUTE(SUBSTITUTE(SUBSTITUTE(TRIM(E170),"*",""),".",""),"-","")," ",""))=11,MID(SUBSTITUTE(SUBSTITUTE(SUBSTITUTE(SUBSTITUTE(TRIM(E170),"*",""),".",""),"-","")," ",""),4,6),SUBSTITUTE(SUBSTITUTE(SUBSTITUTE(SUBSTITUTE(TRIM(E170),"*",""),".",""),"-","")," ","")))</f>
        <v/>
      </c>
      <c r="H170" s="31" t="str">
        <f aca="false">IF(OR(F170="",G170=""),"",F170&amp;"|"&amp;G170)</f>
        <v/>
      </c>
      <c r="I170" s="23"/>
      <c r="J170" s="22"/>
      <c r="K170" s="22"/>
      <c r="L170" s="25" t="str">
        <f aca="false">IF(F170="","",IF(AND(H170&lt;&gt;"",COUNTIF(Pessoas!$E:$E,H170)&gt;0),"SIM",IF(COUNTIF(Pessoas!$C:$C,F170)&gt;0,"nome igual em Pessoas: confira o CPF","")))</f>
        <v/>
      </c>
      <c r="M170" s="24"/>
      <c r="N170" s="11"/>
    </row>
    <row r="171" customFormat="false" ht="15" hidden="false" customHeight="false" outlineLevel="0" collapsed="false">
      <c r="A171" s="24"/>
      <c r="B171" s="31" t="str">
        <f aca="false">IF(A171="","",IF(LEN(UPPER(SUBSTITUTE(SUBSTITUTE(SUBSTITUTE(SUBSTITUTE(TRIM(A171),".",""),"/",""),"-","")," ","")))&lt;14,RIGHT(REPT("0",14)&amp;UPPER(SUBSTITUTE(SUBSTITUTE(SUBSTITUTE(SUBSTITUTE(TRIM(A171),".",""),"/",""),"-","")," ","")),14),UPPER(SUBSTITUTE(SUBSTITUTE(SUBSTITUTE(SUBSTITUTE(TRIM(A171),".",""),"/",""),"-","")," ",""))))</f>
        <v/>
      </c>
      <c r="C171" s="25" t="str">
        <f aca="false">IF(B171="","",IFERROR(INDEX(Empresas!$C:$C,MATCH(B171,Empresas!$B:$B,0)),"cadastre o CNPJ em Empresas"))</f>
        <v/>
      </c>
      <c r="D171" s="23"/>
      <c r="E171" s="24"/>
      <c r="F171" s="31" t="str">
        <f aca="false">IF(D171="","",SUBSTITUTE(SUBSTITUTE(SUBSTITUTE(SUBSTITUTE(SUBSTITUTE(SUBSTITUTE(SUBSTITUTE(SUBSTITUTE(SUBSTITUTE(SUBSTITUTE(SUBSTITUTE(SUBSTITUTE(SUBSTITUTE(UPPER(TRIM(D171)),"Á","A"),"À","A"),"Â","A"),"Ã","A"),"É","E"),"Ê","E"),"Í","I"),"Ó","O"),"Ô","O"),"Õ","O"),"Ú","U"),"Ü","U"),"Ç","C"))</f>
        <v/>
      </c>
      <c r="G171" s="31" t="str">
        <f aca="false">IF(E171="","",IF(LEN(SUBSTITUTE(SUBSTITUTE(SUBSTITUTE(SUBSTITUTE(TRIM(E171),"*",""),".",""),"-","")," ",""))=11,MID(SUBSTITUTE(SUBSTITUTE(SUBSTITUTE(SUBSTITUTE(TRIM(E171),"*",""),".",""),"-","")," ",""),4,6),SUBSTITUTE(SUBSTITUTE(SUBSTITUTE(SUBSTITUTE(TRIM(E171),"*",""),".",""),"-","")," ","")))</f>
        <v/>
      </c>
      <c r="H171" s="31" t="str">
        <f aca="false">IF(OR(F171="",G171=""),"",F171&amp;"|"&amp;G171)</f>
        <v/>
      </c>
      <c r="I171" s="23"/>
      <c r="J171" s="22"/>
      <c r="K171" s="22"/>
      <c r="L171" s="25" t="str">
        <f aca="false">IF(F171="","",IF(AND(H171&lt;&gt;"",COUNTIF(Pessoas!$E:$E,H171)&gt;0),"SIM",IF(COUNTIF(Pessoas!$C:$C,F171)&gt;0,"nome igual em Pessoas: confira o CPF","")))</f>
        <v/>
      </c>
      <c r="M171" s="24"/>
      <c r="N171" s="11"/>
    </row>
    <row r="172" customFormat="false" ht="15" hidden="false" customHeight="false" outlineLevel="0" collapsed="false">
      <c r="A172" s="24"/>
      <c r="B172" s="31" t="str">
        <f aca="false">IF(A172="","",IF(LEN(UPPER(SUBSTITUTE(SUBSTITUTE(SUBSTITUTE(SUBSTITUTE(TRIM(A172),".",""),"/",""),"-","")," ","")))&lt;14,RIGHT(REPT("0",14)&amp;UPPER(SUBSTITUTE(SUBSTITUTE(SUBSTITUTE(SUBSTITUTE(TRIM(A172),".",""),"/",""),"-","")," ","")),14),UPPER(SUBSTITUTE(SUBSTITUTE(SUBSTITUTE(SUBSTITUTE(TRIM(A172),".",""),"/",""),"-","")," ",""))))</f>
        <v/>
      </c>
      <c r="C172" s="25" t="str">
        <f aca="false">IF(B172="","",IFERROR(INDEX(Empresas!$C:$C,MATCH(B172,Empresas!$B:$B,0)),"cadastre o CNPJ em Empresas"))</f>
        <v/>
      </c>
      <c r="D172" s="23"/>
      <c r="E172" s="24"/>
      <c r="F172" s="31" t="str">
        <f aca="false">IF(D172="","",SUBSTITUTE(SUBSTITUTE(SUBSTITUTE(SUBSTITUTE(SUBSTITUTE(SUBSTITUTE(SUBSTITUTE(SUBSTITUTE(SUBSTITUTE(SUBSTITUTE(SUBSTITUTE(SUBSTITUTE(SUBSTITUTE(UPPER(TRIM(D172)),"Á","A"),"À","A"),"Â","A"),"Ã","A"),"É","E"),"Ê","E"),"Í","I"),"Ó","O"),"Ô","O"),"Õ","O"),"Ú","U"),"Ü","U"),"Ç","C"))</f>
        <v/>
      </c>
      <c r="G172" s="31" t="str">
        <f aca="false">IF(E172="","",IF(LEN(SUBSTITUTE(SUBSTITUTE(SUBSTITUTE(SUBSTITUTE(TRIM(E172),"*",""),".",""),"-","")," ",""))=11,MID(SUBSTITUTE(SUBSTITUTE(SUBSTITUTE(SUBSTITUTE(TRIM(E172),"*",""),".",""),"-","")," ",""),4,6),SUBSTITUTE(SUBSTITUTE(SUBSTITUTE(SUBSTITUTE(TRIM(E172),"*",""),".",""),"-","")," ","")))</f>
        <v/>
      </c>
      <c r="H172" s="31" t="str">
        <f aca="false">IF(OR(F172="",G172=""),"",F172&amp;"|"&amp;G172)</f>
        <v/>
      </c>
      <c r="I172" s="23"/>
      <c r="J172" s="22"/>
      <c r="K172" s="22"/>
      <c r="L172" s="25" t="str">
        <f aca="false">IF(F172="","",IF(AND(H172&lt;&gt;"",COUNTIF(Pessoas!$E:$E,H172)&gt;0),"SIM",IF(COUNTIF(Pessoas!$C:$C,F172)&gt;0,"nome igual em Pessoas: confira o CPF","")))</f>
        <v/>
      </c>
      <c r="M172" s="24"/>
      <c r="N172" s="11"/>
    </row>
    <row r="173" customFormat="false" ht="15" hidden="false" customHeight="false" outlineLevel="0" collapsed="false">
      <c r="A173" s="24"/>
      <c r="B173" s="31" t="str">
        <f aca="false">IF(A173="","",IF(LEN(UPPER(SUBSTITUTE(SUBSTITUTE(SUBSTITUTE(SUBSTITUTE(TRIM(A173),".",""),"/",""),"-","")," ","")))&lt;14,RIGHT(REPT("0",14)&amp;UPPER(SUBSTITUTE(SUBSTITUTE(SUBSTITUTE(SUBSTITUTE(TRIM(A173),".",""),"/",""),"-","")," ","")),14),UPPER(SUBSTITUTE(SUBSTITUTE(SUBSTITUTE(SUBSTITUTE(TRIM(A173),".",""),"/",""),"-","")," ",""))))</f>
        <v/>
      </c>
      <c r="C173" s="25" t="str">
        <f aca="false">IF(B173="","",IFERROR(INDEX(Empresas!$C:$C,MATCH(B173,Empresas!$B:$B,0)),"cadastre o CNPJ em Empresas"))</f>
        <v/>
      </c>
      <c r="D173" s="23"/>
      <c r="E173" s="24"/>
      <c r="F173" s="31" t="str">
        <f aca="false">IF(D173="","",SUBSTITUTE(SUBSTITUTE(SUBSTITUTE(SUBSTITUTE(SUBSTITUTE(SUBSTITUTE(SUBSTITUTE(SUBSTITUTE(SUBSTITUTE(SUBSTITUTE(SUBSTITUTE(SUBSTITUTE(SUBSTITUTE(UPPER(TRIM(D173)),"Á","A"),"À","A"),"Â","A"),"Ã","A"),"É","E"),"Ê","E"),"Í","I"),"Ó","O"),"Ô","O"),"Õ","O"),"Ú","U"),"Ü","U"),"Ç","C"))</f>
        <v/>
      </c>
      <c r="G173" s="31" t="str">
        <f aca="false">IF(E173="","",IF(LEN(SUBSTITUTE(SUBSTITUTE(SUBSTITUTE(SUBSTITUTE(TRIM(E173),"*",""),".",""),"-","")," ",""))=11,MID(SUBSTITUTE(SUBSTITUTE(SUBSTITUTE(SUBSTITUTE(TRIM(E173),"*",""),".",""),"-","")," ",""),4,6),SUBSTITUTE(SUBSTITUTE(SUBSTITUTE(SUBSTITUTE(TRIM(E173),"*",""),".",""),"-","")," ","")))</f>
        <v/>
      </c>
      <c r="H173" s="31" t="str">
        <f aca="false">IF(OR(F173="",G173=""),"",F173&amp;"|"&amp;G173)</f>
        <v/>
      </c>
      <c r="I173" s="23"/>
      <c r="J173" s="22"/>
      <c r="K173" s="22"/>
      <c r="L173" s="25" t="str">
        <f aca="false">IF(F173="","",IF(AND(H173&lt;&gt;"",COUNTIF(Pessoas!$E:$E,H173)&gt;0),"SIM",IF(COUNTIF(Pessoas!$C:$C,F173)&gt;0,"nome igual em Pessoas: confira o CPF","")))</f>
        <v/>
      </c>
      <c r="M173" s="24"/>
      <c r="N173" s="11"/>
    </row>
    <row r="174" customFormat="false" ht="15" hidden="false" customHeight="false" outlineLevel="0" collapsed="false">
      <c r="A174" s="24"/>
      <c r="B174" s="31" t="str">
        <f aca="false">IF(A174="","",IF(LEN(UPPER(SUBSTITUTE(SUBSTITUTE(SUBSTITUTE(SUBSTITUTE(TRIM(A174),".",""),"/",""),"-","")," ","")))&lt;14,RIGHT(REPT("0",14)&amp;UPPER(SUBSTITUTE(SUBSTITUTE(SUBSTITUTE(SUBSTITUTE(TRIM(A174),".",""),"/",""),"-","")," ","")),14),UPPER(SUBSTITUTE(SUBSTITUTE(SUBSTITUTE(SUBSTITUTE(TRIM(A174),".",""),"/",""),"-","")," ",""))))</f>
        <v/>
      </c>
      <c r="C174" s="25" t="str">
        <f aca="false">IF(B174="","",IFERROR(INDEX(Empresas!$C:$C,MATCH(B174,Empresas!$B:$B,0)),"cadastre o CNPJ em Empresas"))</f>
        <v/>
      </c>
      <c r="D174" s="23"/>
      <c r="E174" s="24"/>
      <c r="F174" s="31" t="str">
        <f aca="false">IF(D174="","",SUBSTITUTE(SUBSTITUTE(SUBSTITUTE(SUBSTITUTE(SUBSTITUTE(SUBSTITUTE(SUBSTITUTE(SUBSTITUTE(SUBSTITUTE(SUBSTITUTE(SUBSTITUTE(SUBSTITUTE(SUBSTITUTE(UPPER(TRIM(D174)),"Á","A"),"À","A"),"Â","A"),"Ã","A"),"É","E"),"Ê","E"),"Í","I"),"Ó","O"),"Ô","O"),"Õ","O"),"Ú","U"),"Ü","U"),"Ç","C"))</f>
        <v/>
      </c>
      <c r="G174" s="31" t="str">
        <f aca="false">IF(E174="","",IF(LEN(SUBSTITUTE(SUBSTITUTE(SUBSTITUTE(SUBSTITUTE(TRIM(E174),"*",""),".",""),"-","")," ",""))=11,MID(SUBSTITUTE(SUBSTITUTE(SUBSTITUTE(SUBSTITUTE(TRIM(E174),"*",""),".",""),"-","")," ",""),4,6),SUBSTITUTE(SUBSTITUTE(SUBSTITUTE(SUBSTITUTE(TRIM(E174),"*",""),".",""),"-","")," ","")))</f>
        <v/>
      </c>
      <c r="H174" s="31" t="str">
        <f aca="false">IF(OR(F174="",G174=""),"",F174&amp;"|"&amp;G174)</f>
        <v/>
      </c>
      <c r="I174" s="23"/>
      <c r="J174" s="22"/>
      <c r="K174" s="22"/>
      <c r="L174" s="25" t="str">
        <f aca="false">IF(F174="","",IF(AND(H174&lt;&gt;"",COUNTIF(Pessoas!$E:$E,H174)&gt;0),"SIM",IF(COUNTIF(Pessoas!$C:$C,F174)&gt;0,"nome igual em Pessoas: confira o CPF","")))</f>
        <v/>
      </c>
      <c r="M174" s="24"/>
      <c r="N174" s="11"/>
    </row>
    <row r="175" customFormat="false" ht="15" hidden="false" customHeight="false" outlineLevel="0" collapsed="false">
      <c r="A175" s="24"/>
      <c r="B175" s="31" t="str">
        <f aca="false">IF(A175="","",IF(LEN(UPPER(SUBSTITUTE(SUBSTITUTE(SUBSTITUTE(SUBSTITUTE(TRIM(A175),".",""),"/",""),"-","")," ","")))&lt;14,RIGHT(REPT("0",14)&amp;UPPER(SUBSTITUTE(SUBSTITUTE(SUBSTITUTE(SUBSTITUTE(TRIM(A175),".",""),"/",""),"-","")," ","")),14),UPPER(SUBSTITUTE(SUBSTITUTE(SUBSTITUTE(SUBSTITUTE(TRIM(A175),".",""),"/",""),"-","")," ",""))))</f>
        <v/>
      </c>
      <c r="C175" s="25" t="str">
        <f aca="false">IF(B175="","",IFERROR(INDEX(Empresas!$C:$C,MATCH(B175,Empresas!$B:$B,0)),"cadastre o CNPJ em Empresas"))</f>
        <v/>
      </c>
      <c r="D175" s="23"/>
      <c r="E175" s="24"/>
      <c r="F175" s="31" t="str">
        <f aca="false">IF(D175="","",SUBSTITUTE(SUBSTITUTE(SUBSTITUTE(SUBSTITUTE(SUBSTITUTE(SUBSTITUTE(SUBSTITUTE(SUBSTITUTE(SUBSTITUTE(SUBSTITUTE(SUBSTITUTE(SUBSTITUTE(SUBSTITUTE(UPPER(TRIM(D175)),"Á","A"),"À","A"),"Â","A"),"Ã","A"),"É","E"),"Ê","E"),"Í","I"),"Ó","O"),"Ô","O"),"Õ","O"),"Ú","U"),"Ü","U"),"Ç","C"))</f>
        <v/>
      </c>
      <c r="G175" s="31" t="str">
        <f aca="false">IF(E175="","",IF(LEN(SUBSTITUTE(SUBSTITUTE(SUBSTITUTE(SUBSTITUTE(TRIM(E175),"*",""),".",""),"-","")," ",""))=11,MID(SUBSTITUTE(SUBSTITUTE(SUBSTITUTE(SUBSTITUTE(TRIM(E175),"*",""),".",""),"-","")," ",""),4,6),SUBSTITUTE(SUBSTITUTE(SUBSTITUTE(SUBSTITUTE(TRIM(E175),"*",""),".",""),"-","")," ","")))</f>
        <v/>
      </c>
      <c r="H175" s="31" t="str">
        <f aca="false">IF(OR(F175="",G175=""),"",F175&amp;"|"&amp;G175)</f>
        <v/>
      </c>
      <c r="I175" s="23"/>
      <c r="J175" s="22"/>
      <c r="K175" s="22"/>
      <c r="L175" s="25" t="str">
        <f aca="false">IF(F175="","",IF(AND(H175&lt;&gt;"",COUNTIF(Pessoas!$E:$E,H175)&gt;0),"SIM",IF(COUNTIF(Pessoas!$C:$C,F175)&gt;0,"nome igual em Pessoas: confira o CPF","")))</f>
        <v/>
      </c>
      <c r="M175" s="24"/>
      <c r="N175" s="11"/>
    </row>
    <row r="176" customFormat="false" ht="15" hidden="false" customHeight="false" outlineLevel="0" collapsed="false">
      <c r="A176" s="24"/>
      <c r="B176" s="31" t="str">
        <f aca="false">IF(A176="","",IF(LEN(UPPER(SUBSTITUTE(SUBSTITUTE(SUBSTITUTE(SUBSTITUTE(TRIM(A176),".",""),"/",""),"-","")," ","")))&lt;14,RIGHT(REPT("0",14)&amp;UPPER(SUBSTITUTE(SUBSTITUTE(SUBSTITUTE(SUBSTITUTE(TRIM(A176),".",""),"/",""),"-","")," ","")),14),UPPER(SUBSTITUTE(SUBSTITUTE(SUBSTITUTE(SUBSTITUTE(TRIM(A176),".",""),"/",""),"-","")," ",""))))</f>
        <v/>
      </c>
      <c r="C176" s="25" t="str">
        <f aca="false">IF(B176="","",IFERROR(INDEX(Empresas!$C:$C,MATCH(B176,Empresas!$B:$B,0)),"cadastre o CNPJ em Empresas"))</f>
        <v/>
      </c>
      <c r="D176" s="23"/>
      <c r="E176" s="24"/>
      <c r="F176" s="31" t="str">
        <f aca="false">IF(D176="","",SUBSTITUTE(SUBSTITUTE(SUBSTITUTE(SUBSTITUTE(SUBSTITUTE(SUBSTITUTE(SUBSTITUTE(SUBSTITUTE(SUBSTITUTE(SUBSTITUTE(SUBSTITUTE(SUBSTITUTE(SUBSTITUTE(UPPER(TRIM(D176)),"Á","A"),"À","A"),"Â","A"),"Ã","A"),"É","E"),"Ê","E"),"Í","I"),"Ó","O"),"Ô","O"),"Õ","O"),"Ú","U"),"Ü","U"),"Ç","C"))</f>
        <v/>
      </c>
      <c r="G176" s="31" t="str">
        <f aca="false">IF(E176="","",IF(LEN(SUBSTITUTE(SUBSTITUTE(SUBSTITUTE(SUBSTITUTE(TRIM(E176),"*",""),".",""),"-","")," ",""))=11,MID(SUBSTITUTE(SUBSTITUTE(SUBSTITUTE(SUBSTITUTE(TRIM(E176),"*",""),".",""),"-","")," ",""),4,6),SUBSTITUTE(SUBSTITUTE(SUBSTITUTE(SUBSTITUTE(TRIM(E176),"*",""),".",""),"-","")," ","")))</f>
        <v/>
      </c>
      <c r="H176" s="31" t="str">
        <f aca="false">IF(OR(F176="",G176=""),"",F176&amp;"|"&amp;G176)</f>
        <v/>
      </c>
      <c r="I176" s="23"/>
      <c r="J176" s="22"/>
      <c r="K176" s="22"/>
      <c r="L176" s="25" t="str">
        <f aca="false">IF(F176="","",IF(AND(H176&lt;&gt;"",COUNTIF(Pessoas!$E:$E,H176)&gt;0),"SIM",IF(COUNTIF(Pessoas!$C:$C,F176)&gt;0,"nome igual em Pessoas: confira o CPF","")))</f>
        <v/>
      </c>
      <c r="M176" s="24"/>
      <c r="N176" s="11"/>
    </row>
    <row r="177" customFormat="false" ht="15" hidden="false" customHeight="false" outlineLevel="0" collapsed="false">
      <c r="A177" s="24"/>
      <c r="B177" s="31" t="str">
        <f aca="false">IF(A177="","",IF(LEN(UPPER(SUBSTITUTE(SUBSTITUTE(SUBSTITUTE(SUBSTITUTE(TRIM(A177),".",""),"/",""),"-","")," ","")))&lt;14,RIGHT(REPT("0",14)&amp;UPPER(SUBSTITUTE(SUBSTITUTE(SUBSTITUTE(SUBSTITUTE(TRIM(A177),".",""),"/",""),"-","")," ","")),14),UPPER(SUBSTITUTE(SUBSTITUTE(SUBSTITUTE(SUBSTITUTE(TRIM(A177),".",""),"/",""),"-","")," ",""))))</f>
        <v/>
      </c>
      <c r="C177" s="25" t="str">
        <f aca="false">IF(B177="","",IFERROR(INDEX(Empresas!$C:$C,MATCH(B177,Empresas!$B:$B,0)),"cadastre o CNPJ em Empresas"))</f>
        <v/>
      </c>
      <c r="D177" s="23"/>
      <c r="E177" s="24"/>
      <c r="F177" s="31" t="str">
        <f aca="false">IF(D177="","",SUBSTITUTE(SUBSTITUTE(SUBSTITUTE(SUBSTITUTE(SUBSTITUTE(SUBSTITUTE(SUBSTITUTE(SUBSTITUTE(SUBSTITUTE(SUBSTITUTE(SUBSTITUTE(SUBSTITUTE(SUBSTITUTE(UPPER(TRIM(D177)),"Á","A"),"À","A"),"Â","A"),"Ã","A"),"É","E"),"Ê","E"),"Í","I"),"Ó","O"),"Ô","O"),"Õ","O"),"Ú","U"),"Ü","U"),"Ç","C"))</f>
        <v/>
      </c>
      <c r="G177" s="31" t="str">
        <f aca="false">IF(E177="","",IF(LEN(SUBSTITUTE(SUBSTITUTE(SUBSTITUTE(SUBSTITUTE(TRIM(E177),"*",""),".",""),"-","")," ",""))=11,MID(SUBSTITUTE(SUBSTITUTE(SUBSTITUTE(SUBSTITUTE(TRIM(E177),"*",""),".",""),"-","")," ",""),4,6),SUBSTITUTE(SUBSTITUTE(SUBSTITUTE(SUBSTITUTE(TRIM(E177),"*",""),".",""),"-","")," ","")))</f>
        <v/>
      </c>
      <c r="H177" s="31" t="str">
        <f aca="false">IF(OR(F177="",G177=""),"",F177&amp;"|"&amp;G177)</f>
        <v/>
      </c>
      <c r="I177" s="23"/>
      <c r="J177" s="22"/>
      <c r="K177" s="22"/>
      <c r="L177" s="25" t="str">
        <f aca="false">IF(F177="","",IF(AND(H177&lt;&gt;"",COUNTIF(Pessoas!$E:$E,H177)&gt;0),"SIM",IF(COUNTIF(Pessoas!$C:$C,F177)&gt;0,"nome igual em Pessoas: confira o CPF","")))</f>
        <v/>
      </c>
      <c r="M177" s="24"/>
      <c r="N177" s="11"/>
    </row>
    <row r="178" customFormat="false" ht="15" hidden="false" customHeight="false" outlineLevel="0" collapsed="false">
      <c r="A178" s="24"/>
      <c r="B178" s="31" t="str">
        <f aca="false">IF(A178="","",IF(LEN(UPPER(SUBSTITUTE(SUBSTITUTE(SUBSTITUTE(SUBSTITUTE(TRIM(A178),".",""),"/",""),"-","")," ","")))&lt;14,RIGHT(REPT("0",14)&amp;UPPER(SUBSTITUTE(SUBSTITUTE(SUBSTITUTE(SUBSTITUTE(TRIM(A178),".",""),"/",""),"-","")," ","")),14),UPPER(SUBSTITUTE(SUBSTITUTE(SUBSTITUTE(SUBSTITUTE(TRIM(A178),".",""),"/",""),"-","")," ",""))))</f>
        <v/>
      </c>
      <c r="C178" s="25" t="str">
        <f aca="false">IF(B178="","",IFERROR(INDEX(Empresas!$C:$C,MATCH(B178,Empresas!$B:$B,0)),"cadastre o CNPJ em Empresas"))</f>
        <v/>
      </c>
      <c r="D178" s="23"/>
      <c r="E178" s="24"/>
      <c r="F178" s="31" t="str">
        <f aca="false">IF(D178="","",SUBSTITUTE(SUBSTITUTE(SUBSTITUTE(SUBSTITUTE(SUBSTITUTE(SUBSTITUTE(SUBSTITUTE(SUBSTITUTE(SUBSTITUTE(SUBSTITUTE(SUBSTITUTE(SUBSTITUTE(SUBSTITUTE(UPPER(TRIM(D178)),"Á","A"),"À","A"),"Â","A"),"Ã","A"),"É","E"),"Ê","E"),"Í","I"),"Ó","O"),"Ô","O"),"Õ","O"),"Ú","U"),"Ü","U"),"Ç","C"))</f>
        <v/>
      </c>
      <c r="G178" s="31" t="str">
        <f aca="false">IF(E178="","",IF(LEN(SUBSTITUTE(SUBSTITUTE(SUBSTITUTE(SUBSTITUTE(TRIM(E178),"*",""),".",""),"-","")," ",""))=11,MID(SUBSTITUTE(SUBSTITUTE(SUBSTITUTE(SUBSTITUTE(TRIM(E178),"*",""),".",""),"-","")," ",""),4,6),SUBSTITUTE(SUBSTITUTE(SUBSTITUTE(SUBSTITUTE(TRIM(E178),"*",""),".",""),"-","")," ","")))</f>
        <v/>
      </c>
      <c r="H178" s="31" t="str">
        <f aca="false">IF(OR(F178="",G178=""),"",F178&amp;"|"&amp;G178)</f>
        <v/>
      </c>
      <c r="I178" s="23"/>
      <c r="J178" s="22"/>
      <c r="K178" s="22"/>
      <c r="L178" s="25" t="str">
        <f aca="false">IF(F178="","",IF(AND(H178&lt;&gt;"",COUNTIF(Pessoas!$E:$E,H178)&gt;0),"SIM",IF(COUNTIF(Pessoas!$C:$C,F178)&gt;0,"nome igual em Pessoas: confira o CPF","")))</f>
        <v/>
      </c>
      <c r="M178" s="24"/>
      <c r="N178" s="11"/>
    </row>
    <row r="179" customFormat="false" ht="15" hidden="false" customHeight="false" outlineLevel="0" collapsed="false">
      <c r="A179" s="24"/>
      <c r="B179" s="31" t="str">
        <f aca="false">IF(A179="","",IF(LEN(UPPER(SUBSTITUTE(SUBSTITUTE(SUBSTITUTE(SUBSTITUTE(TRIM(A179),".",""),"/",""),"-","")," ","")))&lt;14,RIGHT(REPT("0",14)&amp;UPPER(SUBSTITUTE(SUBSTITUTE(SUBSTITUTE(SUBSTITUTE(TRIM(A179),".",""),"/",""),"-","")," ","")),14),UPPER(SUBSTITUTE(SUBSTITUTE(SUBSTITUTE(SUBSTITUTE(TRIM(A179),".",""),"/",""),"-","")," ",""))))</f>
        <v/>
      </c>
      <c r="C179" s="25" t="str">
        <f aca="false">IF(B179="","",IFERROR(INDEX(Empresas!$C:$C,MATCH(B179,Empresas!$B:$B,0)),"cadastre o CNPJ em Empresas"))</f>
        <v/>
      </c>
      <c r="D179" s="23"/>
      <c r="E179" s="24"/>
      <c r="F179" s="31" t="str">
        <f aca="false">IF(D179="","",SUBSTITUTE(SUBSTITUTE(SUBSTITUTE(SUBSTITUTE(SUBSTITUTE(SUBSTITUTE(SUBSTITUTE(SUBSTITUTE(SUBSTITUTE(SUBSTITUTE(SUBSTITUTE(SUBSTITUTE(SUBSTITUTE(UPPER(TRIM(D179)),"Á","A"),"À","A"),"Â","A"),"Ã","A"),"É","E"),"Ê","E"),"Í","I"),"Ó","O"),"Ô","O"),"Õ","O"),"Ú","U"),"Ü","U"),"Ç","C"))</f>
        <v/>
      </c>
      <c r="G179" s="31" t="str">
        <f aca="false">IF(E179="","",IF(LEN(SUBSTITUTE(SUBSTITUTE(SUBSTITUTE(SUBSTITUTE(TRIM(E179),"*",""),".",""),"-","")," ",""))=11,MID(SUBSTITUTE(SUBSTITUTE(SUBSTITUTE(SUBSTITUTE(TRIM(E179),"*",""),".",""),"-","")," ",""),4,6),SUBSTITUTE(SUBSTITUTE(SUBSTITUTE(SUBSTITUTE(TRIM(E179),"*",""),".",""),"-","")," ","")))</f>
        <v/>
      </c>
      <c r="H179" s="31" t="str">
        <f aca="false">IF(OR(F179="",G179=""),"",F179&amp;"|"&amp;G179)</f>
        <v/>
      </c>
      <c r="I179" s="23"/>
      <c r="J179" s="22"/>
      <c r="K179" s="22"/>
      <c r="L179" s="25" t="str">
        <f aca="false">IF(F179="","",IF(AND(H179&lt;&gt;"",COUNTIF(Pessoas!$E:$E,H179)&gt;0),"SIM",IF(COUNTIF(Pessoas!$C:$C,F179)&gt;0,"nome igual em Pessoas: confira o CPF","")))</f>
        <v/>
      </c>
      <c r="M179" s="24"/>
      <c r="N179" s="11"/>
    </row>
    <row r="180" customFormat="false" ht="15" hidden="false" customHeight="false" outlineLevel="0" collapsed="false">
      <c r="A180" s="24"/>
      <c r="B180" s="31" t="str">
        <f aca="false">IF(A180="","",IF(LEN(UPPER(SUBSTITUTE(SUBSTITUTE(SUBSTITUTE(SUBSTITUTE(TRIM(A180),".",""),"/",""),"-","")," ","")))&lt;14,RIGHT(REPT("0",14)&amp;UPPER(SUBSTITUTE(SUBSTITUTE(SUBSTITUTE(SUBSTITUTE(TRIM(A180),".",""),"/",""),"-","")," ","")),14),UPPER(SUBSTITUTE(SUBSTITUTE(SUBSTITUTE(SUBSTITUTE(TRIM(A180),".",""),"/",""),"-","")," ",""))))</f>
        <v/>
      </c>
      <c r="C180" s="25" t="str">
        <f aca="false">IF(B180="","",IFERROR(INDEX(Empresas!$C:$C,MATCH(B180,Empresas!$B:$B,0)),"cadastre o CNPJ em Empresas"))</f>
        <v/>
      </c>
      <c r="D180" s="23"/>
      <c r="E180" s="24"/>
      <c r="F180" s="31" t="str">
        <f aca="false">IF(D180="","",SUBSTITUTE(SUBSTITUTE(SUBSTITUTE(SUBSTITUTE(SUBSTITUTE(SUBSTITUTE(SUBSTITUTE(SUBSTITUTE(SUBSTITUTE(SUBSTITUTE(SUBSTITUTE(SUBSTITUTE(SUBSTITUTE(UPPER(TRIM(D180)),"Á","A"),"À","A"),"Â","A"),"Ã","A"),"É","E"),"Ê","E"),"Í","I"),"Ó","O"),"Ô","O"),"Õ","O"),"Ú","U"),"Ü","U"),"Ç","C"))</f>
        <v/>
      </c>
      <c r="G180" s="31" t="str">
        <f aca="false">IF(E180="","",IF(LEN(SUBSTITUTE(SUBSTITUTE(SUBSTITUTE(SUBSTITUTE(TRIM(E180),"*",""),".",""),"-","")," ",""))=11,MID(SUBSTITUTE(SUBSTITUTE(SUBSTITUTE(SUBSTITUTE(TRIM(E180),"*",""),".",""),"-","")," ",""),4,6),SUBSTITUTE(SUBSTITUTE(SUBSTITUTE(SUBSTITUTE(TRIM(E180),"*",""),".",""),"-","")," ","")))</f>
        <v/>
      </c>
      <c r="H180" s="31" t="str">
        <f aca="false">IF(OR(F180="",G180=""),"",F180&amp;"|"&amp;G180)</f>
        <v/>
      </c>
      <c r="I180" s="23"/>
      <c r="J180" s="22"/>
      <c r="K180" s="22"/>
      <c r="L180" s="25" t="str">
        <f aca="false">IF(F180="","",IF(AND(H180&lt;&gt;"",COUNTIF(Pessoas!$E:$E,H180)&gt;0),"SIM",IF(COUNTIF(Pessoas!$C:$C,F180)&gt;0,"nome igual em Pessoas: confira o CPF","")))</f>
        <v/>
      </c>
      <c r="M180" s="24"/>
      <c r="N180" s="11"/>
    </row>
    <row r="181" customFormat="false" ht="15" hidden="false" customHeight="false" outlineLevel="0" collapsed="false">
      <c r="A181" s="24"/>
      <c r="B181" s="31" t="str">
        <f aca="false">IF(A181="","",IF(LEN(UPPER(SUBSTITUTE(SUBSTITUTE(SUBSTITUTE(SUBSTITUTE(TRIM(A181),".",""),"/",""),"-","")," ","")))&lt;14,RIGHT(REPT("0",14)&amp;UPPER(SUBSTITUTE(SUBSTITUTE(SUBSTITUTE(SUBSTITUTE(TRIM(A181),".",""),"/",""),"-","")," ","")),14),UPPER(SUBSTITUTE(SUBSTITUTE(SUBSTITUTE(SUBSTITUTE(TRIM(A181),".",""),"/",""),"-","")," ",""))))</f>
        <v/>
      </c>
      <c r="C181" s="25" t="str">
        <f aca="false">IF(B181="","",IFERROR(INDEX(Empresas!$C:$C,MATCH(B181,Empresas!$B:$B,0)),"cadastre o CNPJ em Empresas"))</f>
        <v/>
      </c>
      <c r="D181" s="23"/>
      <c r="E181" s="24"/>
      <c r="F181" s="31" t="str">
        <f aca="false">IF(D181="","",SUBSTITUTE(SUBSTITUTE(SUBSTITUTE(SUBSTITUTE(SUBSTITUTE(SUBSTITUTE(SUBSTITUTE(SUBSTITUTE(SUBSTITUTE(SUBSTITUTE(SUBSTITUTE(SUBSTITUTE(SUBSTITUTE(UPPER(TRIM(D181)),"Á","A"),"À","A"),"Â","A"),"Ã","A"),"É","E"),"Ê","E"),"Í","I"),"Ó","O"),"Ô","O"),"Õ","O"),"Ú","U"),"Ü","U"),"Ç","C"))</f>
        <v/>
      </c>
      <c r="G181" s="31" t="str">
        <f aca="false">IF(E181="","",IF(LEN(SUBSTITUTE(SUBSTITUTE(SUBSTITUTE(SUBSTITUTE(TRIM(E181),"*",""),".",""),"-","")," ",""))=11,MID(SUBSTITUTE(SUBSTITUTE(SUBSTITUTE(SUBSTITUTE(TRIM(E181),"*",""),".",""),"-","")," ",""),4,6),SUBSTITUTE(SUBSTITUTE(SUBSTITUTE(SUBSTITUTE(TRIM(E181),"*",""),".",""),"-","")," ","")))</f>
        <v/>
      </c>
      <c r="H181" s="31" t="str">
        <f aca="false">IF(OR(F181="",G181=""),"",F181&amp;"|"&amp;G181)</f>
        <v/>
      </c>
      <c r="I181" s="23"/>
      <c r="J181" s="22"/>
      <c r="K181" s="22"/>
      <c r="L181" s="25" t="str">
        <f aca="false">IF(F181="","",IF(AND(H181&lt;&gt;"",COUNTIF(Pessoas!$E:$E,H181)&gt;0),"SIM",IF(COUNTIF(Pessoas!$C:$C,F181)&gt;0,"nome igual em Pessoas: confira o CPF","")))</f>
        <v/>
      </c>
      <c r="M181" s="24"/>
      <c r="N181" s="11"/>
    </row>
    <row r="182" customFormat="false" ht="15" hidden="false" customHeight="false" outlineLevel="0" collapsed="false">
      <c r="A182" s="24"/>
      <c r="B182" s="31" t="str">
        <f aca="false">IF(A182="","",IF(LEN(UPPER(SUBSTITUTE(SUBSTITUTE(SUBSTITUTE(SUBSTITUTE(TRIM(A182),".",""),"/",""),"-","")," ","")))&lt;14,RIGHT(REPT("0",14)&amp;UPPER(SUBSTITUTE(SUBSTITUTE(SUBSTITUTE(SUBSTITUTE(TRIM(A182),".",""),"/",""),"-","")," ","")),14),UPPER(SUBSTITUTE(SUBSTITUTE(SUBSTITUTE(SUBSTITUTE(TRIM(A182),".",""),"/",""),"-","")," ",""))))</f>
        <v/>
      </c>
      <c r="C182" s="25" t="str">
        <f aca="false">IF(B182="","",IFERROR(INDEX(Empresas!$C:$C,MATCH(B182,Empresas!$B:$B,0)),"cadastre o CNPJ em Empresas"))</f>
        <v/>
      </c>
      <c r="D182" s="23"/>
      <c r="E182" s="24"/>
      <c r="F182" s="31" t="str">
        <f aca="false">IF(D182="","",SUBSTITUTE(SUBSTITUTE(SUBSTITUTE(SUBSTITUTE(SUBSTITUTE(SUBSTITUTE(SUBSTITUTE(SUBSTITUTE(SUBSTITUTE(SUBSTITUTE(SUBSTITUTE(SUBSTITUTE(SUBSTITUTE(UPPER(TRIM(D182)),"Á","A"),"À","A"),"Â","A"),"Ã","A"),"É","E"),"Ê","E"),"Í","I"),"Ó","O"),"Ô","O"),"Õ","O"),"Ú","U"),"Ü","U"),"Ç","C"))</f>
        <v/>
      </c>
      <c r="G182" s="31" t="str">
        <f aca="false">IF(E182="","",IF(LEN(SUBSTITUTE(SUBSTITUTE(SUBSTITUTE(SUBSTITUTE(TRIM(E182),"*",""),".",""),"-","")," ",""))=11,MID(SUBSTITUTE(SUBSTITUTE(SUBSTITUTE(SUBSTITUTE(TRIM(E182),"*",""),".",""),"-","")," ",""),4,6),SUBSTITUTE(SUBSTITUTE(SUBSTITUTE(SUBSTITUTE(TRIM(E182),"*",""),".",""),"-","")," ","")))</f>
        <v/>
      </c>
      <c r="H182" s="31" t="str">
        <f aca="false">IF(OR(F182="",G182=""),"",F182&amp;"|"&amp;G182)</f>
        <v/>
      </c>
      <c r="I182" s="23"/>
      <c r="J182" s="22"/>
      <c r="K182" s="22"/>
      <c r="L182" s="25" t="str">
        <f aca="false">IF(F182="","",IF(AND(H182&lt;&gt;"",COUNTIF(Pessoas!$E:$E,H182)&gt;0),"SIM",IF(COUNTIF(Pessoas!$C:$C,F182)&gt;0,"nome igual em Pessoas: confira o CPF","")))</f>
        <v/>
      </c>
      <c r="M182" s="24"/>
      <c r="N182" s="11"/>
    </row>
    <row r="183" customFormat="false" ht="15" hidden="false" customHeight="false" outlineLevel="0" collapsed="false">
      <c r="A183" s="24"/>
      <c r="B183" s="31" t="str">
        <f aca="false">IF(A183="","",IF(LEN(UPPER(SUBSTITUTE(SUBSTITUTE(SUBSTITUTE(SUBSTITUTE(TRIM(A183),".",""),"/",""),"-","")," ","")))&lt;14,RIGHT(REPT("0",14)&amp;UPPER(SUBSTITUTE(SUBSTITUTE(SUBSTITUTE(SUBSTITUTE(TRIM(A183),".",""),"/",""),"-","")," ","")),14),UPPER(SUBSTITUTE(SUBSTITUTE(SUBSTITUTE(SUBSTITUTE(TRIM(A183),".",""),"/",""),"-","")," ",""))))</f>
        <v/>
      </c>
      <c r="C183" s="25" t="str">
        <f aca="false">IF(B183="","",IFERROR(INDEX(Empresas!$C:$C,MATCH(B183,Empresas!$B:$B,0)),"cadastre o CNPJ em Empresas"))</f>
        <v/>
      </c>
      <c r="D183" s="23"/>
      <c r="E183" s="24"/>
      <c r="F183" s="31" t="str">
        <f aca="false">IF(D183="","",SUBSTITUTE(SUBSTITUTE(SUBSTITUTE(SUBSTITUTE(SUBSTITUTE(SUBSTITUTE(SUBSTITUTE(SUBSTITUTE(SUBSTITUTE(SUBSTITUTE(SUBSTITUTE(SUBSTITUTE(SUBSTITUTE(UPPER(TRIM(D183)),"Á","A"),"À","A"),"Â","A"),"Ã","A"),"É","E"),"Ê","E"),"Í","I"),"Ó","O"),"Ô","O"),"Õ","O"),"Ú","U"),"Ü","U"),"Ç","C"))</f>
        <v/>
      </c>
      <c r="G183" s="31" t="str">
        <f aca="false">IF(E183="","",IF(LEN(SUBSTITUTE(SUBSTITUTE(SUBSTITUTE(SUBSTITUTE(TRIM(E183),"*",""),".",""),"-","")," ",""))=11,MID(SUBSTITUTE(SUBSTITUTE(SUBSTITUTE(SUBSTITUTE(TRIM(E183),"*",""),".",""),"-","")," ",""),4,6),SUBSTITUTE(SUBSTITUTE(SUBSTITUTE(SUBSTITUTE(TRIM(E183),"*",""),".",""),"-","")," ","")))</f>
        <v/>
      </c>
      <c r="H183" s="31" t="str">
        <f aca="false">IF(OR(F183="",G183=""),"",F183&amp;"|"&amp;G183)</f>
        <v/>
      </c>
      <c r="I183" s="23"/>
      <c r="J183" s="22"/>
      <c r="K183" s="22"/>
      <c r="L183" s="25" t="str">
        <f aca="false">IF(F183="","",IF(AND(H183&lt;&gt;"",COUNTIF(Pessoas!$E:$E,H183)&gt;0),"SIM",IF(COUNTIF(Pessoas!$C:$C,F183)&gt;0,"nome igual em Pessoas: confira o CPF","")))</f>
        <v/>
      </c>
      <c r="M183" s="24"/>
      <c r="N183" s="11"/>
    </row>
    <row r="184" customFormat="false" ht="15" hidden="false" customHeight="false" outlineLevel="0" collapsed="false">
      <c r="A184" s="24"/>
      <c r="B184" s="31" t="str">
        <f aca="false">IF(A184="","",IF(LEN(UPPER(SUBSTITUTE(SUBSTITUTE(SUBSTITUTE(SUBSTITUTE(TRIM(A184),".",""),"/",""),"-","")," ","")))&lt;14,RIGHT(REPT("0",14)&amp;UPPER(SUBSTITUTE(SUBSTITUTE(SUBSTITUTE(SUBSTITUTE(TRIM(A184),".",""),"/",""),"-","")," ","")),14),UPPER(SUBSTITUTE(SUBSTITUTE(SUBSTITUTE(SUBSTITUTE(TRIM(A184),".",""),"/",""),"-","")," ",""))))</f>
        <v/>
      </c>
      <c r="C184" s="25" t="str">
        <f aca="false">IF(B184="","",IFERROR(INDEX(Empresas!$C:$C,MATCH(B184,Empresas!$B:$B,0)),"cadastre o CNPJ em Empresas"))</f>
        <v/>
      </c>
      <c r="D184" s="23"/>
      <c r="E184" s="24"/>
      <c r="F184" s="31" t="str">
        <f aca="false">IF(D184="","",SUBSTITUTE(SUBSTITUTE(SUBSTITUTE(SUBSTITUTE(SUBSTITUTE(SUBSTITUTE(SUBSTITUTE(SUBSTITUTE(SUBSTITUTE(SUBSTITUTE(SUBSTITUTE(SUBSTITUTE(SUBSTITUTE(UPPER(TRIM(D184)),"Á","A"),"À","A"),"Â","A"),"Ã","A"),"É","E"),"Ê","E"),"Í","I"),"Ó","O"),"Ô","O"),"Õ","O"),"Ú","U"),"Ü","U"),"Ç","C"))</f>
        <v/>
      </c>
      <c r="G184" s="31" t="str">
        <f aca="false">IF(E184="","",IF(LEN(SUBSTITUTE(SUBSTITUTE(SUBSTITUTE(SUBSTITUTE(TRIM(E184),"*",""),".",""),"-","")," ",""))=11,MID(SUBSTITUTE(SUBSTITUTE(SUBSTITUTE(SUBSTITUTE(TRIM(E184),"*",""),".",""),"-","")," ",""),4,6),SUBSTITUTE(SUBSTITUTE(SUBSTITUTE(SUBSTITUTE(TRIM(E184),"*",""),".",""),"-","")," ","")))</f>
        <v/>
      </c>
      <c r="H184" s="31" t="str">
        <f aca="false">IF(OR(F184="",G184=""),"",F184&amp;"|"&amp;G184)</f>
        <v/>
      </c>
      <c r="I184" s="23"/>
      <c r="J184" s="22"/>
      <c r="K184" s="22"/>
      <c r="L184" s="25" t="str">
        <f aca="false">IF(F184="","",IF(AND(H184&lt;&gt;"",COUNTIF(Pessoas!$E:$E,H184)&gt;0),"SIM",IF(COUNTIF(Pessoas!$C:$C,F184)&gt;0,"nome igual em Pessoas: confira o CPF","")))</f>
        <v/>
      </c>
      <c r="M184" s="24"/>
      <c r="N184" s="11"/>
    </row>
    <row r="185" customFormat="false" ht="15" hidden="false" customHeight="false" outlineLevel="0" collapsed="false">
      <c r="A185" s="24"/>
      <c r="B185" s="31" t="str">
        <f aca="false">IF(A185="","",IF(LEN(UPPER(SUBSTITUTE(SUBSTITUTE(SUBSTITUTE(SUBSTITUTE(TRIM(A185),".",""),"/",""),"-","")," ","")))&lt;14,RIGHT(REPT("0",14)&amp;UPPER(SUBSTITUTE(SUBSTITUTE(SUBSTITUTE(SUBSTITUTE(TRIM(A185),".",""),"/",""),"-","")," ","")),14),UPPER(SUBSTITUTE(SUBSTITUTE(SUBSTITUTE(SUBSTITUTE(TRIM(A185),".",""),"/",""),"-","")," ",""))))</f>
        <v/>
      </c>
      <c r="C185" s="25" t="str">
        <f aca="false">IF(B185="","",IFERROR(INDEX(Empresas!$C:$C,MATCH(B185,Empresas!$B:$B,0)),"cadastre o CNPJ em Empresas"))</f>
        <v/>
      </c>
      <c r="D185" s="23"/>
      <c r="E185" s="24"/>
      <c r="F185" s="31" t="str">
        <f aca="false">IF(D185="","",SUBSTITUTE(SUBSTITUTE(SUBSTITUTE(SUBSTITUTE(SUBSTITUTE(SUBSTITUTE(SUBSTITUTE(SUBSTITUTE(SUBSTITUTE(SUBSTITUTE(SUBSTITUTE(SUBSTITUTE(SUBSTITUTE(UPPER(TRIM(D185)),"Á","A"),"À","A"),"Â","A"),"Ã","A"),"É","E"),"Ê","E"),"Í","I"),"Ó","O"),"Ô","O"),"Õ","O"),"Ú","U"),"Ü","U"),"Ç","C"))</f>
        <v/>
      </c>
      <c r="G185" s="31" t="str">
        <f aca="false">IF(E185="","",IF(LEN(SUBSTITUTE(SUBSTITUTE(SUBSTITUTE(SUBSTITUTE(TRIM(E185),"*",""),".",""),"-","")," ",""))=11,MID(SUBSTITUTE(SUBSTITUTE(SUBSTITUTE(SUBSTITUTE(TRIM(E185),"*",""),".",""),"-","")," ",""),4,6),SUBSTITUTE(SUBSTITUTE(SUBSTITUTE(SUBSTITUTE(TRIM(E185),"*",""),".",""),"-","")," ","")))</f>
        <v/>
      </c>
      <c r="H185" s="31" t="str">
        <f aca="false">IF(OR(F185="",G185=""),"",F185&amp;"|"&amp;G185)</f>
        <v/>
      </c>
      <c r="I185" s="23"/>
      <c r="J185" s="22"/>
      <c r="K185" s="22"/>
      <c r="L185" s="25" t="str">
        <f aca="false">IF(F185="","",IF(AND(H185&lt;&gt;"",COUNTIF(Pessoas!$E:$E,H185)&gt;0),"SIM",IF(COUNTIF(Pessoas!$C:$C,F185)&gt;0,"nome igual em Pessoas: confira o CPF","")))</f>
        <v/>
      </c>
      <c r="M185" s="24"/>
      <c r="N185" s="11"/>
    </row>
    <row r="186" customFormat="false" ht="15" hidden="false" customHeight="false" outlineLevel="0" collapsed="false">
      <c r="A186" s="24"/>
      <c r="B186" s="31" t="str">
        <f aca="false">IF(A186="","",IF(LEN(UPPER(SUBSTITUTE(SUBSTITUTE(SUBSTITUTE(SUBSTITUTE(TRIM(A186),".",""),"/",""),"-","")," ","")))&lt;14,RIGHT(REPT("0",14)&amp;UPPER(SUBSTITUTE(SUBSTITUTE(SUBSTITUTE(SUBSTITUTE(TRIM(A186),".",""),"/",""),"-","")," ","")),14),UPPER(SUBSTITUTE(SUBSTITUTE(SUBSTITUTE(SUBSTITUTE(TRIM(A186),".",""),"/",""),"-","")," ",""))))</f>
        <v/>
      </c>
      <c r="C186" s="25" t="str">
        <f aca="false">IF(B186="","",IFERROR(INDEX(Empresas!$C:$C,MATCH(B186,Empresas!$B:$B,0)),"cadastre o CNPJ em Empresas"))</f>
        <v/>
      </c>
      <c r="D186" s="23"/>
      <c r="E186" s="24"/>
      <c r="F186" s="31" t="str">
        <f aca="false">IF(D186="","",SUBSTITUTE(SUBSTITUTE(SUBSTITUTE(SUBSTITUTE(SUBSTITUTE(SUBSTITUTE(SUBSTITUTE(SUBSTITUTE(SUBSTITUTE(SUBSTITUTE(SUBSTITUTE(SUBSTITUTE(SUBSTITUTE(UPPER(TRIM(D186)),"Á","A"),"À","A"),"Â","A"),"Ã","A"),"É","E"),"Ê","E"),"Í","I"),"Ó","O"),"Ô","O"),"Õ","O"),"Ú","U"),"Ü","U"),"Ç","C"))</f>
        <v/>
      </c>
      <c r="G186" s="31" t="str">
        <f aca="false">IF(E186="","",IF(LEN(SUBSTITUTE(SUBSTITUTE(SUBSTITUTE(SUBSTITUTE(TRIM(E186),"*",""),".",""),"-","")," ",""))=11,MID(SUBSTITUTE(SUBSTITUTE(SUBSTITUTE(SUBSTITUTE(TRIM(E186),"*",""),".",""),"-","")," ",""),4,6),SUBSTITUTE(SUBSTITUTE(SUBSTITUTE(SUBSTITUTE(TRIM(E186),"*",""),".",""),"-","")," ","")))</f>
        <v/>
      </c>
      <c r="H186" s="31" t="str">
        <f aca="false">IF(OR(F186="",G186=""),"",F186&amp;"|"&amp;G186)</f>
        <v/>
      </c>
      <c r="I186" s="23"/>
      <c r="J186" s="22"/>
      <c r="K186" s="22"/>
      <c r="L186" s="25" t="str">
        <f aca="false">IF(F186="","",IF(AND(H186&lt;&gt;"",COUNTIF(Pessoas!$E:$E,H186)&gt;0),"SIM",IF(COUNTIF(Pessoas!$C:$C,F186)&gt;0,"nome igual em Pessoas: confira o CPF","")))</f>
        <v/>
      </c>
      <c r="M186" s="24"/>
      <c r="N186" s="11"/>
    </row>
    <row r="187" customFormat="false" ht="15" hidden="false" customHeight="false" outlineLevel="0" collapsed="false">
      <c r="A187" s="24"/>
      <c r="B187" s="31" t="str">
        <f aca="false">IF(A187="","",IF(LEN(UPPER(SUBSTITUTE(SUBSTITUTE(SUBSTITUTE(SUBSTITUTE(TRIM(A187),".",""),"/",""),"-","")," ","")))&lt;14,RIGHT(REPT("0",14)&amp;UPPER(SUBSTITUTE(SUBSTITUTE(SUBSTITUTE(SUBSTITUTE(TRIM(A187),".",""),"/",""),"-","")," ","")),14),UPPER(SUBSTITUTE(SUBSTITUTE(SUBSTITUTE(SUBSTITUTE(TRIM(A187),".",""),"/",""),"-","")," ",""))))</f>
        <v/>
      </c>
      <c r="C187" s="25" t="str">
        <f aca="false">IF(B187="","",IFERROR(INDEX(Empresas!$C:$C,MATCH(B187,Empresas!$B:$B,0)),"cadastre o CNPJ em Empresas"))</f>
        <v/>
      </c>
      <c r="D187" s="23"/>
      <c r="E187" s="24"/>
      <c r="F187" s="31" t="str">
        <f aca="false">IF(D187="","",SUBSTITUTE(SUBSTITUTE(SUBSTITUTE(SUBSTITUTE(SUBSTITUTE(SUBSTITUTE(SUBSTITUTE(SUBSTITUTE(SUBSTITUTE(SUBSTITUTE(SUBSTITUTE(SUBSTITUTE(SUBSTITUTE(UPPER(TRIM(D187)),"Á","A"),"À","A"),"Â","A"),"Ã","A"),"É","E"),"Ê","E"),"Í","I"),"Ó","O"),"Ô","O"),"Õ","O"),"Ú","U"),"Ü","U"),"Ç","C"))</f>
        <v/>
      </c>
      <c r="G187" s="31" t="str">
        <f aca="false">IF(E187="","",IF(LEN(SUBSTITUTE(SUBSTITUTE(SUBSTITUTE(SUBSTITUTE(TRIM(E187),"*",""),".",""),"-","")," ",""))=11,MID(SUBSTITUTE(SUBSTITUTE(SUBSTITUTE(SUBSTITUTE(TRIM(E187),"*",""),".",""),"-","")," ",""),4,6),SUBSTITUTE(SUBSTITUTE(SUBSTITUTE(SUBSTITUTE(TRIM(E187),"*",""),".",""),"-","")," ","")))</f>
        <v/>
      </c>
      <c r="H187" s="31" t="str">
        <f aca="false">IF(OR(F187="",G187=""),"",F187&amp;"|"&amp;G187)</f>
        <v/>
      </c>
      <c r="I187" s="23"/>
      <c r="J187" s="22"/>
      <c r="K187" s="22"/>
      <c r="L187" s="25" t="str">
        <f aca="false">IF(F187="","",IF(AND(H187&lt;&gt;"",COUNTIF(Pessoas!$E:$E,H187)&gt;0),"SIM",IF(COUNTIF(Pessoas!$C:$C,F187)&gt;0,"nome igual em Pessoas: confira o CPF","")))</f>
        <v/>
      </c>
      <c r="M187" s="24"/>
      <c r="N187" s="11"/>
    </row>
    <row r="188" customFormat="false" ht="15" hidden="false" customHeight="false" outlineLevel="0" collapsed="false">
      <c r="A188" s="24"/>
      <c r="B188" s="31" t="str">
        <f aca="false">IF(A188="","",IF(LEN(UPPER(SUBSTITUTE(SUBSTITUTE(SUBSTITUTE(SUBSTITUTE(TRIM(A188),".",""),"/",""),"-","")," ","")))&lt;14,RIGHT(REPT("0",14)&amp;UPPER(SUBSTITUTE(SUBSTITUTE(SUBSTITUTE(SUBSTITUTE(TRIM(A188),".",""),"/",""),"-","")," ","")),14),UPPER(SUBSTITUTE(SUBSTITUTE(SUBSTITUTE(SUBSTITUTE(TRIM(A188),".",""),"/",""),"-","")," ",""))))</f>
        <v/>
      </c>
      <c r="C188" s="25" t="str">
        <f aca="false">IF(B188="","",IFERROR(INDEX(Empresas!$C:$C,MATCH(B188,Empresas!$B:$B,0)),"cadastre o CNPJ em Empresas"))</f>
        <v/>
      </c>
      <c r="D188" s="23"/>
      <c r="E188" s="24"/>
      <c r="F188" s="31" t="str">
        <f aca="false">IF(D188="","",SUBSTITUTE(SUBSTITUTE(SUBSTITUTE(SUBSTITUTE(SUBSTITUTE(SUBSTITUTE(SUBSTITUTE(SUBSTITUTE(SUBSTITUTE(SUBSTITUTE(SUBSTITUTE(SUBSTITUTE(SUBSTITUTE(UPPER(TRIM(D188)),"Á","A"),"À","A"),"Â","A"),"Ã","A"),"É","E"),"Ê","E"),"Í","I"),"Ó","O"),"Ô","O"),"Õ","O"),"Ú","U"),"Ü","U"),"Ç","C"))</f>
        <v/>
      </c>
      <c r="G188" s="31" t="str">
        <f aca="false">IF(E188="","",IF(LEN(SUBSTITUTE(SUBSTITUTE(SUBSTITUTE(SUBSTITUTE(TRIM(E188),"*",""),".",""),"-","")," ",""))=11,MID(SUBSTITUTE(SUBSTITUTE(SUBSTITUTE(SUBSTITUTE(TRIM(E188),"*",""),".",""),"-","")," ",""),4,6),SUBSTITUTE(SUBSTITUTE(SUBSTITUTE(SUBSTITUTE(TRIM(E188),"*",""),".",""),"-","")," ","")))</f>
        <v/>
      </c>
      <c r="H188" s="31" t="str">
        <f aca="false">IF(OR(F188="",G188=""),"",F188&amp;"|"&amp;G188)</f>
        <v/>
      </c>
      <c r="I188" s="23"/>
      <c r="J188" s="22"/>
      <c r="K188" s="22"/>
      <c r="L188" s="25" t="str">
        <f aca="false">IF(F188="","",IF(AND(H188&lt;&gt;"",COUNTIF(Pessoas!$E:$E,H188)&gt;0),"SIM",IF(COUNTIF(Pessoas!$C:$C,F188)&gt;0,"nome igual em Pessoas: confira o CPF","")))</f>
        <v/>
      </c>
      <c r="M188" s="24"/>
      <c r="N188" s="11"/>
    </row>
    <row r="189" customFormat="false" ht="15" hidden="false" customHeight="false" outlineLevel="0" collapsed="false">
      <c r="A189" s="24"/>
      <c r="B189" s="31" t="str">
        <f aca="false">IF(A189="","",IF(LEN(UPPER(SUBSTITUTE(SUBSTITUTE(SUBSTITUTE(SUBSTITUTE(TRIM(A189),".",""),"/",""),"-","")," ","")))&lt;14,RIGHT(REPT("0",14)&amp;UPPER(SUBSTITUTE(SUBSTITUTE(SUBSTITUTE(SUBSTITUTE(TRIM(A189),".",""),"/",""),"-","")," ","")),14),UPPER(SUBSTITUTE(SUBSTITUTE(SUBSTITUTE(SUBSTITUTE(TRIM(A189),".",""),"/",""),"-","")," ",""))))</f>
        <v/>
      </c>
      <c r="C189" s="25" t="str">
        <f aca="false">IF(B189="","",IFERROR(INDEX(Empresas!$C:$C,MATCH(B189,Empresas!$B:$B,0)),"cadastre o CNPJ em Empresas"))</f>
        <v/>
      </c>
      <c r="D189" s="23"/>
      <c r="E189" s="24"/>
      <c r="F189" s="31" t="str">
        <f aca="false">IF(D189="","",SUBSTITUTE(SUBSTITUTE(SUBSTITUTE(SUBSTITUTE(SUBSTITUTE(SUBSTITUTE(SUBSTITUTE(SUBSTITUTE(SUBSTITUTE(SUBSTITUTE(SUBSTITUTE(SUBSTITUTE(SUBSTITUTE(UPPER(TRIM(D189)),"Á","A"),"À","A"),"Â","A"),"Ã","A"),"É","E"),"Ê","E"),"Í","I"),"Ó","O"),"Ô","O"),"Õ","O"),"Ú","U"),"Ü","U"),"Ç","C"))</f>
        <v/>
      </c>
      <c r="G189" s="31" t="str">
        <f aca="false">IF(E189="","",IF(LEN(SUBSTITUTE(SUBSTITUTE(SUBSTITUTE(SUBSTITUTE(TRIM(E189),"*",""),".",""),"-","")," ",""))=11,MID(SUBSTITUTE(SUBSTITUTE(SUBSTITUTE(SUBSTITUTE(TRIM(E189),"*",""),".",""),"-","")," ",""),4,6),SUBSTITUTE(SUBSTITUTE(SUBSTITUTE(SUBSTITUTE(TRIM(E189),"*",""),".",""),"-","")," ","")))</f>
        <v/>
      </c>
      <c r="H189" s="31" t="str">
        <f aca="false">IF(OR(F189="",G189=""),"",F189&amp;"|"&amp;G189)</f>
        <v/>
      </c>
      <c r="I189" s="23"/>
      <c r="J189" s="22"/>
      <c r="K189" s="22"/>
      <c r="L189" s="25" t="str">
        <f aca="false">IF(F189="","",IF(AND(H189&lt;&gt;"",COUNTIF(Pessoas!$E:$E,H189)&gt;0),"SIM",IF(COUNTIF(Pessoas!$C:$C,F189)&gt;0,"nome igual em Pessoas: confira o CPF","")))</f>
        <v/>
      </c>
      <c r="M189" s="24"/>
      <c r="N189" s="11"/>
    </row>
    <row r="190" customFormat="false" ht="15" hidden="false" customHeight="false" outlineLevel="0" collapsed="false">
      <c r="A190" s="24"/>
      <c r="B190" s="31" t="str">
        <f aca="false">IF(A190="","",IF(LEN(UPPER(SUBSTITUTE(SUBSTITUTE(SUBSTITUTE(SUBSTITUTE(TRIM(A190),".",""),"/",""),"-","")," ","")))&lt;14,RIGHT(REPT("0",14)&amp;UPPER(SUBSTITUTE(SUBSTITUTE(SUBSTITUTE(SUBSTITUTE(TRIM(A190),".",""),"/",""),"-","")," ","")),14),UPPER(SUBSTITUTE(SUBSTITUTE(SUBSTITUTE(SUBSTITUTE(TRIM(A190),".",""),"/",""),"-","")," ",""))))</f>
        <v/>
      </c>
      <c r="C190" s="25" t="str">
        <f aca="false">IF(B190="","",IFERROR(INDEX(Empresas!$C:$C,MATCH(B190,Empresas!$B:$B,0)),"cadastre o CNPJ em Empresas"))</f>
        <v/>
      </c>
      <c r="D190" s="23"/>
      <c r="E190" s="24"/>
      <c r="F190" s="31" t="str">
        <f aca="false">IF(D190="","",SUBSTITUTE(SUBSTITUTE(SUBSTITUTE(SUBSTITUTE(SUBSTITUTE(SUBSTITUTE(SUBSTITUTE(SUBSTITUTE(SUBSTITUTE(SUBSTITUTE(SUBSTITUTE(SUBSTITUTE(SUBSTITUTE(UPPER(TRIM(D190)),"Á","A"),"À","A"),"Â","A"),"Ã","A"),"É","E"),"Ê","E"),"Í","I"),"Ó","O"),"Ô","O"),"Õ","O"),"Ú","U"),"Ü","U"),"Ç","C"))</f>
        <v/>
      </c>
      <c r="G190" s="31" t="str">
        <f aca="false">IF(E190="","",IF(LEN(SUBSTITUTE(SUBSTITUTE(SUBSTITUTE(SUBSTITUTE(TRIM(E190),"*",""),".",""),"-","")," ",""))=11,MID(SUBSTITUTE(SUBSTITUTE(SUBSTITUTE(SUBSTITUTE(TRIM(E190),"*",""),".",""),"-","")," ",""),4,6),SUBSTITUTE(SUBSTITUTE(SUBSTITUTE(SUBSTITUTE(TRIM(E190),"*",""),".",""),"-","")," ","")))</f>
        <v/>
      </c>
      <c r="H190" s="31" t="str">
        <f aca="false">IF(OR(F190="",G190=""),"",F190&amp;"|"&amp;G190)</f>
        <v/>
      </c>
      <c r="I190" s="23"/>
      <c r="J190" s="22"/>
      <c r="K190" s="22"/>
      <c r="L190" s="25" t="str">
        <f aca="false">IF(F190="","",IF(AND(H190&lt;&gt;"",COUNTIF(Pessoas!$E:$E,H190)&gt;0),"SIM",IF(COUNTIF(Pessoas!$C:$C,F190)&gt;0,"nome igual em Pessoas: confira o CPF","")))</f>
        <v/>
      </c>
      <c r="M190" s="24"/>
      <c r="N190" s="11"/>
    </row>
    <row r="191" customFormat="false" ht="15" hidden="false" customHeight="false" outlineLevel="0" collapsed="false">
      <c r="A191" s="24"/>
      <c r="B191" s="31" t="str">
        <f aca="false">IF(A191="","",IF(LEN(UPPER(SUBSTITUTE(SUBSTITUTE(SUBSTITUTE(SUBSTITUTE(TRIM(A191),".",""),"/",""),"-","")," ","")))&lt;14,RIGHT(REPT("0",14)&amp;UPPER(SUBSTITUTE(SUBSTITUTE(SUBSTITUTE(SUBSTITUTE(TRIM(A191),".",""),"/",""),"-","")," ","")),14),UPPER(SUBSTITUTE(SUBSTITUTE(SUBSTITUTE(SUBSTITUTE(TRIM(A191),".",""),"/",""),"-","")," ",""))))</f>
        <v/>
      </c>
      <c r="C191" s="25" t="str">
        <f aca="false">IF(B191="","",IFERROR(INDEX(Empresas!$C:$C,MATCH(B191,Empresas!$B:$B,0)),"cadastre o CNPJ em Empresas"))</f>
        <v/>
      </c>
      <c r="D191" s="23"/>
      <c r="E191" s="24"/>
      <c r="F191" s="31" t="str">
        <f aca="false">IF(D191="","",SUBSTITUTE(SUBSTITUTE(SUBSTITUTE(SUBSTITUTE(SUBSTITUTE(SUBSTITUTE(SUBSTITUTE(SUBSTITUTE(SUBSTITUTE(SUBSTITUTE(SUBSTITUTE(SUBSTITUTE(SUBSTITUTE(UPPER(TRIM(D191)),"Á","A"),"À","A"),"Â","A"),"Ã","A"),"É","E"),"Ê","E"),"Í","I"),"Ó","O"),"Ô","O"),"Õ","O"),"Ú","U"),"Ü","U"),"Ç","C"))</f>
        <v/>
      </c>
      <c r="G191" s="31" t="str">
        <f aca="false">IF(E191="","",IF(LEN(SUBSTITUTE(SUBSTITUTE(SUBSTITUTE(SUBSTITUTE(TRIM(E191),"*",""),".",""),"-","")," ",""))=11,MID(SUBSTITUTE(SUBSTITUTE(SUBSTITUTE(SUBSTITUTE(TRIM(E191),"*",""),".",""),"-","")," ",""),4,6),SUBSTITUTE(SUBSTITUTE(SUBSTITUTE(SUBSTITUTE(TRIM(E191),"*",""),".",""),"-","")," ","")))</f>
        <v/>
      </c>
      <c r="H191" s="31" t="str">
        <f aca="false">IF(OR(F191="",G191=""),"",F191&amp;"|"&amp;G191)</f>
        <v/>
      </c>
      <c r="I191" s="23"/>
      <c r="J191" s="22"/>
      <c r="K191" s="22"/>
      <c r="L191" s="25" t="str">
        <f aca="false">IF(F191="","",IF(AND(H191&lt;&gt;"",COUNTIF(Pessoas!$E:$E,H191)&gt;0),"SIM",IF(COUNTIF(Pessoas!$C:$C,F191)&gt;0,"nome igual em Pessoas: confira o CPF","")))</f>
        <v/>
      </c>
      <c r="M191" s="24"/>
      <c r="N191" s="11"/>
    </row>
    <row r="192" customFormat="false" ht="15" hidden="false" customHeight="false" outlineLevel="0" collapsed="false">
      <c r="A192" s="24"/>
      <c r="B192" s="31" t="str">
        <f aca="false">IF(A192="","",IF(LEN(UPPER(SUBSTITUTE(SUBSTITUTE(SUBSTITUTE(SUBSTITUTE(TRIM(A192),".",""),"/",""),"-","")," ","")))&lt;14,RIGHT(REPT("0",14)&amp;UPPER(SUBSTITUTE(SUBSTITUTE(SUBSTITUTE(SUBSTITUTE(TRIM(A192),".",""),"/",""),"-","")," ","")),14),UPPER(SUBSTITUTE(SUBSTITUTE(SUBSTITUTE(SUBSTITUTE(TRIM(A192),".",""),"/",""),"-","")," ",""))))</f>
        <v/>
      </c>
      <c r="C192" s="25" t="str">
        <f aca="false">IF(B192="","",IFERROR(INDEX(Empresas!$C:$C,MATCH(B192,Empresas!$B:$B,0)),"cadastre o CNPJ em Empresas"))</f>
        <v/>
      </c>
      <c r="D192" s="23"/>
      <c r="E192" s="24"/>
      <c r="F192" s="31" t="str">
        <f aca="false">IF(D192="","",SUBSTITUTE(SUBSTITUTE(SUBSTITUTE(SUBSTITUTE(SUBSTITUTE(SUBSTITUTE(SUBSTITUTE(SUBSTITUTE(SUBSTITUTE(SUBSTITUTE(SUBSTITUTE(SUBSTITUTE(SUBSTITUTE(UPPER(TRIM(D192)),"Á","A"),"À","A"),"Â","A"),"Ã","A"),"É","E"),"Ê","E"),"Í","I"),"Ó","O"),"Ô","O"),"Õ","O"),"Ú","U"),"Ü","U"),"Ç","C"))</f>
        <v/>
      </c>
      <c r="G192" s="31" t="str">
        <f aca="false">IF(E192="","",IF(LEN(SUBSTITUTE(SUBSTITUTE(SUBSTITUTE(SUBSTITUTE(TRIM(E192),"*",""),".",""),"-","")," ",""))=11,MID(SUBSTITUTE(SUBSTITUTE(SUBSTITUTE(SUBSTITUTE(TRIM(E192),"*",""),".",""),"-","")," ",""),4,6),SUBSTITUTE(SUBSTITUTE(SUBSTITUTE(SUBSTITUTE(TRIM(E192),"*",""),".",""),"-","")," ","")))</f>
        <v/>
      </c>
      <c r="H192" s="31" t="str">
        <f aca="false">IF(OR(F192="",G192=""),"",F192&amp;"|"&amp;G192)</f>
        <v/>
      </c>
      <c r="I192" s="23"/>
      <c r="J192" s="22"/>
      <c r="K192" s="22"/>
      <c r="L192" s="25" t="str">
        <f aca="false">IF(F192="","",IF(AND(H192&lt;&gt;"",COUNTIF(Pessoas!$E:$E,H192)&gt;0),"SIM",IF(COUNTIF(Pessoas!$C:$C,F192)&gt;0,"nome igual em Pessoas: confira o CPF","")))</f>
        <v/>
      </c>
      <c r="M192" s="24"/>
      <c r="N192" s="11"/>
    </row>
    <row r="193" customFormat="false" ht="15" hidden="false" customHeight="false" outlineLevel="0" collapsed="false">
      <c r="A193" s="24"/>
      <c r="B193" s="31" t="str">
        <f aca="false">IF(A193="","",IF(LEN(UPPER(SUBSTITUTE(SUBSTITUTE(SUBSTITUTE(SUBSTITUTE(TRIM(A193),".",""),"/",""),"-","")," ","")))&lt;14,RIGHT(REPT("0",14)&amp;UPPER(SUBSTITUTE(SUBSTITUTE(SUBSTITUTE(SUBSTITUTE(TRIM(A193),".",""),"/",""),"-","")," ","")),14),UPPER(SUBSTITUTE(SUBSTITUTE(SUBSTITUTE(SUBSTITUTE(TRIM(A193),".",""),"/",""),"-","")," ",""))))</f>
        <v/>
      </c>
      <c r="C193" s="25" t="str">
        <f aca="false">IF(B193="","",IFERROR(INDEX(Empresas!$C:$C,MATCH(B193,Empresas!$B:$B,0)),"cadastre o CNPJ em Empresas"))</f>
        <v/>
      </c>
      <c r="D193" s="23"/>
      <c r="E193" s="24"/>
      <c r="F193" s="31" t="str">
        <f aca="false">IF(D193="","",SUBSTITUTE(SUBSTITUTE(SUBSTITUTE(SUBSTITUTE(SUBSTITUTE(SUBSTITUTE(SUBSTITUTE(SUBSTITUTE(SUBSTITUTE(SUBSTITUTE(SUBSTITUTE(SUBSTITUTE(SUBSTITUTE(UPPER(TRIM(D193)),"Á","A"),"À","A"),"Â","A"),"Ã","A"),"É","E"),"Ê","E"),"Í","I"),"Ó","O"),"Ô","O"),"Õ","O"),"Ú","U"),"Ü","U"),"Ç","C"))</f>
        <v/>
      </c>
      <c r="G193" s="31" t="str">
        <f aca="false">IF(E193="","",IF(LEN(SUBSTITUTE(SUBSTITUTE(SUBSTITUTE(SUBSTITUTE(TRIM(E193),"*",""),".",""),"-","")," ",""))=11,MID(SUBSTITUTE(SUBSTITUTE(SUBSTITUTE(SUBSTITUTE(TRIM(E193),"*",""),".",""),"-","")," ",""),4,6),SUBSTITUTE(SUBSTITUTE(SUBSTITUTE(SUBSTITUTE(TRIM(E193),"*",""),".",""),"-","")," ","")))</f>
        <v/>
      </c>
      <c r="H193" s="31" t="str">
        <f aca="false">IF(OR(F193="",G193=""),"",F193&amp;"|"&amp;G193)</f>
        <v/>
      </c>
      <c r="I193" s="23"/>
      <c r="J193" s="22"/>
      <c r="K193" s="22"/>
      <c r="L193" s="25" t="str">
        <f aca="false">IF(F193="","",IF(AND(H193&lt;&gt;"",COUNTIF(Pessoas!$E:$E,H193)&gt;0),"SIM",IF(COUNTIF(Pessoas!$C:$C,F193)&gt;0,"nome igual em Pessoas: confira o CPF","")))</f>
        <v/>
      </c>
      <c r="M193" s="24"/>
      <c r="N193" s="11"/>
    </row>
    <row r="194" customFormat="false" ht="15" hidden="false" customHeight="false" outlineLevel="0" collapsed="false">
      <c r="A194" s="24"/>
      <c r="B194" s="31" t="str">
        <f aca="false">IF(A194="","",IF(LEN(UPPER(SUBSTITUTE(SUBSTITUTE(SUBSTITUTE(SUBSTITUTE(TRIM(A194),".",""),"/",""),"-","")," ","")))&lt;14,RIGHT(REPT("0",14)&amp;UPPER(SUBSTITUTE(SUBSTITUTE(SUBSTITUTE(SUBSTITUTE(TRIM(A194),".",""),"/",""),"-","")," ","")),14),UPPER(SUBSTITUTE(SUBSTITUTE(SUBSTITUTE(SUBSTITUTE(TRIM(A194),".",""),"/",""),"-","")," ",""))))</f>
        <v/>
      </c>
      <c r="C194" s="25" t="str">
        <f aca="false">IF(B194="","",IFERROR(INDEX(Empresas!$C:$C,MATCH(B194,Empresas!$B:$B,0)),"cadastre o CNPJ em Empresas"))</f>
        <v/>
      </c>
      <c r="D194" s="23"/>
      <c r="E194" s="24"/>
      <c r="F194" s="31" t="str">
        <f aca="false">IF(D194="","",SUBSTITUTE(SUBSTITUTE(SUBSTITUTE(SUBSTITUTE(SUBSTITUTE(SUBSTITUTE(SUBSTITUTE(SUBSTITUTE(SUBSTITUTE(SUBSTITUTE(SUBSTITUTE(SUBSTITUTE(SUBSTITUTE(UPPER(TRIM(D194)),"Á","A"),"À","A"),"Â","A"),"Ã","A"),"É","E"),"Ê","E"),"Í","I"),"Ó","O"),"Ô","O"),"Õ","O"),"Ú","U"),"Ü","U"),"Ç","C"))</f>
        <v/>
      </c>
      <c r="G194" s="31" t="str">
        <f aca="false">IF(E194="","",IF(LEN(SUBSTITUTE(SUBSTITUTE(SUBSTITUTE(SUBSTITUTE(TRIM(E194),"*",""),".",""),"-","")," ",""))=11,MID(SUBSTITUTE(SUBSTITUTE(SUBSTITUTE(SUBSTITUTE(TRIM(E194),"*",""),".",""),"-","")," ",""),4,6),SUBSTITUTE(SUBSTITUTE(SUBSTITUTE(SUBSTITUTE(TRIM(E194),"*",""),".",""),"-","")," ","")))</f>
        <v/>
      </c>
      <c r="H194" s="31" t="str">
        <f aca="false">IF(OR(F194="",G194=""),"",F194&amp;"|"&amp;G194)</f>
        <v/>
      </c>
      <c r="I194" s="23"/>
      <c r="J194" s="22"/>
      <c r="K194" s="22"/>
      <c r="L194" s="25" t="str">
        <f aca="false">IF(F194="","",IF(AND(H194&lt;&gt;"",COUNTIF(Pessoas!$E:$E,H194)&gt;0),"SIM",IF(COUNTIF(Pessoas!$C:$C,F194)&gt;0,"nome igual em Pessoas: confira o CPF","")))</f>
        <v/>
      </c>
      <c r="M194" s="24"/>
      <c r="N194" s="11"/>
    </row>
    <row r="195" customFormat="false" ht="15" hidden="false" customHeight="false" outlineLevel="0" collapsed="false">
      <c r="A195" s="24"/>
      <c r="B195" s="31" t="str">
        <f aca="false">IF(A195="","",IF(LEN(UPPER(SUBSTITUTE(SUBSTITUTE(SUBSTITUTE(SUBSTITUTE(TRIM(A195),".",""),"/",""),"-","")," ","")))&lt;14,RIGHT(REPT("0",14)&amp;UPPER(SUBSTITUTE(SUBSTITUTE(SUBSTITUTE(SUBSTITUTE(TRIM(A195),".",""),"/",""),"-","")," ","")),14),UPPER(SUBSTITUTE(SUBSTITUTE(SUBSTITUTE(SUBSTITUTE(TRIM(A195),".",""),"/",""),"-","")," ",""))))</f>
        <v/>
      </c>
      <c r="C195" s="25" t="str">
        <f aca="false">IF(B195="","",IFERROR(INDEX(Empresas!$C:$C,MATCH(B195,Empresas!$B:$B,0)),"cadastre o CNPJ em Empresas"))</f>
        <v/>
      </c>
      <c r="D195" s="23"/>
      <c r="E195" s="24"/>
      <c r="F195" s="31" t="str">
        <f aca="false">IF(D195="","",SUBSTITUTE(SUBSTITUTE(SUBSTITUTE(SUBSTITUTE(SUBSTITUTE(SUBSTITUTE(SUBSTITUTE(SUBSTITUTE(SUBSTITUTE(SUBSTITUTE(SUBSTITUTE(SUBSTITUTE(SUBSTITUTE(UPPER(TRIM(D195)),"Á","A"),"À","A"),"Â","A"),"Ã","A"),"É","E"),"Ê","E"),"Í","I"),"Ó","O"),"Ô","O"),"Õ","O"),"Ú","U"),"Ü","U"),"Ç","C"))</f>
        <v/>
      </c>
      <c r="G195" s="31" t="str">
        <f aca="false">IF(E195="","",IF(LEN(SUBSTITUTE(SUBSTITUTE(SUBSTITUTE(SUBSTITUTE(TRIM(E195),"*",""),".",""),"-","")," ",""))=11,MID(SUBSTITUTE(SUBSTITUTE(SUBSTITUTE(SUBSTITUTE(TRIM(E195),"*",""),".",""),"-","")," ",""),4,6),SUBSTITUTE(SUBSTITUTE(SUBSTITUTE(SUBSTITUTE(TRIM(E195),"*",""),".",""),"-","")," ","")))</f>
        <v/>
      </c>
      <c r="H195" s="31" t="str">
        <f aca="false">IF(OR(F195="",G195=""),"",F195&amp;"|"&amp;G195)</f>
        <v/>
      </c>
      <c r="I195" s="23"/>
      <c r="J195" s="22"/>
      <c r="K195" s="22"/>
      <c r="L195" s="25" t="str">
        <f aca="false">IF(F195="","",IF(AND(H195&lt;&gt;"",COUNTIF(Pessoas!$E:$E,H195)&gt;0),"SIM",IF(COUNTIF(Pessoas!$C:$C,F195)&gt;0,"nome igual em Pessoas: confira o CPF","")))</f>
        <v/>
      </c>
      <c r="M195" s="24"/>
      <c r="N195" s="11"/>
    </row>
    <row r="196" customFormat="false" ht="15" hidden="false" customHeight="false" outlineLevel="0" collapsed="false">
      <c r="A196" s="24"/>
      <c r="B196" s="31" t="str">
        <f aca="false">IF(A196="","",IF(LEN(UPPER(SUBSTITUTE(SUBSTITUTE(SUBSTITUTE(SUBSTITUTE(TRIM(A196),".",""),"/",""),"-","")," ","")))&lt;14,RIGHT(REPT("0",14)&amp;UPPER(SUBSTITUTE(SUBSTITUTE(SUBSTITUTE(SUBSTITUTE(TRIM(A196),".",""),"/",""),"-","")," ","")),14),UPPER(SUBSTITUTE(SUBSTITUTE(SUBSTITUTE(SUBSTITUTE(TRIM(A196),".",""),"/",""),"-","")," ",""))))</f>
        <v/>
      </c>
      <c r="C196" s="25" t="str">
        <f aca="false">IF(B196="","",IFERROR(INDEX(Empresas!$C:$C,MATCH(B196,Empresas!$B:$B,0)),"cadastre o CNPJ em Empresas"))</f>
        <v/>
      </c>
      <c r="D196" s="23"/>
      <c r="E196" s="24"/>
      <c r="F196" s="31" t="str">
        <f aca="false">IF(D196="","",SUBSTITUTE(SUBSTITUTE(SUBSTITUTE(SUBSTITUTE(SUBSTITUTE(SUBSTITUTE(SUBSTITUTE(SUBSTITUTE(SUBSTITUTE(SUBSTITUTE(SUBSTITUTE(SUBSTITUTE(SUBSTITUTE(UPPER(TRIM(D196)),"Á","A"),"À","A"),"Â","A"),"Ã","A"),"É","E"),"Ê","E"),"Í","I"),"Ó","O"),"Ô","O"),"Õ","O"),"Ú","U"),"Ü","U"),"Ç","C"))</f>
        <v/>
      </c>
      <c r="G196" s="31" t="str">
        <f aca="false">IF(E196="","",IF(LEN(SUBSTITUTE(SUBSTITUTE(SUBSTITUTE(SUBSTITUTE(TRIM(E196),"*",""),".",""),"-","")," ",""))=11,MID(SUBSTITUTE(SUBSTITUTE(SUBSTITUTE(SUBSTITUTE(TRIM(E196),"*",""),".",""),"-","")," ",""),4,6),SUBSTITUTE(SUBSTITUTE(SUBSTITUTE(SUBSTITUTE(TRIM(E196),"*",""),".",""),"-","")," ","")))</f>
        <v/>
      </c>
      <c r="H196" s="31" t="str">
        <f aca="false">IF(OR(F196="",G196=""),"",F196&amp;"|"&amp;G196)</f>
        <v/>
      </c>
      <c r="I196" s="23"/>
      <c r="J196" s="22"/>
      <c r="K196" s="22"/>
      <c r="L196" s="25" t="str">
        <f aca="false">IF(F196="","",IF(AND(H196&lt;&gt;"",COUNTIF(Pessoas!$E:$E,H196)&gt;0),"SIM",IF(COUNTIF(Pessoas!$C:$C,F196)&gt;0,"nome igual em Pessoas: confira o CPF","")))</f>
        <v/>
      </c>
      <c r="M196" s="24"/>
      <c r="N196" s="11"/>
    </row>
    <row r="197" customFormat="false" ht="15" hidden="false" customHeight="false" outlineLevel="0" collapsed="false">
      <c r="A197" s="24"/>
      <c r="B197" s="31" t="str">
        <f aca="false">IF(A197="","",IF(LEN(UPPER(SUBSTITUTE(SUBSTITUTE(SUBSTITUTE(SUBSTITUTE(TRIM(A197),".",""),"/",""),"-","")," ","")))&lt;14,RIGHT(REPT("0",14)&amp;UPPER(SUBSTITUTE(SUBSTITUTE(SUBSTITUTE(SUBSTITUTE(TRIM(A197),".",""),"/",""),"-","")," ","")),14),UPPER(SUBSTITUTE(SUBSTITUTE(SUBSTITUTE(SUBSTITUTE(TRIM(A197),".",""),"/",""),"-","")," ",""))))</f>
        <v/>
      </c>
      <c r="C197" s="25" t="str">
        <f aca="false">IF(B197="","",IFERROR(INDEX(Empresas!$C:$C,MATCH(B197,Empresas!$B:$B,0)),"cadastre o CNPJ em Empresas"))</f>
        <v/>
      </c>
      <c r="D197" s="23"/>
      <c r="E197" s="24"/>
      <c r="F197" s="31" t="str">
        <f aca="false">IF(D197="","",SUBSTITUTE(SUBSTITUTE(SUBSTITUTE(SUBSTITUTE(SUBSTITUTE(SUBSTITUTE(SUBSTITUTE(SUBSTITUTE(SUBSTITUTE(SUBSTITUTE(SUBSTITUTE(SUBSTITUTE(SUBSTITUTE(UPPER(TRIM(D197)),"Á","A"),"À","A"),"Â","A"),"Ã","A"),"É","E"),"Ê","E"),"Í","I"),"Ó","O"),"Ô","O"),"Õ","O"),"Ú","U"),"Ü","U"),"Ç","C"))</f>
        <v/>
      </c>
      <c r="G197" s="31" t="str">
        <f aca="false">IF(E197="","",IF(LEN(SUBSTITUTE(SUBSTITUTE(SUBSTITUTE(SUBSTITUTE(TRIM(E197),"*",""),".",""),"-","")," ",""))=11,MID(SUBSTITUTE(SUBSTITUTE(SUBSTITUTE(SUBSTITUTE(TRIM(E197),"*",""),".",""),"-","")," ",""),4,6),SUBSTITUTE(SUBSTITUTE(SUBSTITUTE(SUBSTITUTE(TRIM(E197),"*",""),".",""),"-","")," ","")))</f>
        <v/>
      </c>
      <c r="H197" s="31" t="str">
        <f aca="false">IF(OR(F197="",G197=""),"",F197&amp;"|"&amp;G197)</f>
        <v/>
      </c>
      <c r="I197" s="23"/>
      <c r="J197" s="22"/>
      <c r="K197" s="22"/>
      <c r="L197" s="25" t="str">
        <f aca="false">IF(F197="","",IF(AND(H197&lt;&gt;"",COUNTIF(Pessoas!$E:$E,H197)&gt;0),"SIM",IF(COUNTIF(Pessoas!$C:$C,F197)&gt;0,"nome igual em Pessoas: confira o CPF","")))</f>
        <v/>
      </c>
      <c r="M197" s="24"/>
      <c r="N197" s="11"/>
    </row>
    <row r="198" customFormat="false" ht="15" hidden="false" customHeight="false" outlineLevel="0" collapsed="false">
      <c r="A198" s="24"/>
      <c r="B198" s="31" t="str">
        <f aca="false">IF(A198="","",IF(LEN(UPPER(SUBSTITUTE(SUBSTITUTE(SUBSTITUTE(SUBSTITUTE(TRIM(A198),".",""),"/",""),"-","")," ","")))&lt;14,RIGHT(REPT("0",14)&amp;UPPER(SUBSTITUTE(SUBSTITUTE(SUBSTITUTE(SUBSTITUTE(TRIM(A198),".",""),"/",""),"-","")," ","")),14),UPPER(SUBSTITUTE(SUBSTITUTE(SUBSTITUTE(SUBSTITUTE(TRIM(A198),".",""),"/",""),"-","")," ",""))))</f>
        <v/>
      </c>
      <c r="C198" s="25" t="str">
        <f aca="false">IF(B198="","",IFERROR(INDEX(Empresas!$C:$C,MATCH(B198,Empresas!$B:$B,0)),"cadastre o CNPJ em Empresas"))</f>
        <v/>
      </c>
      <c r="D198" s="23"/>
      <c r="E198" s="24"/>
      <c r="F198" s="31" t="str">
        <f aca="false">IF(D198="","",SUBSTITUTE(SUBSTITUTE(SUBSTITUTE(SUBSTITUTE(SUBSTITUTE(SUBSTITUTE(SUBSTITUTE(SUBSTITUTE(SUBSTITUTE(SUBSTITUTE(SUBSTITUTE(SUBSTITUTE(SUBSTITUTE(UPPER(TRIM(D198)),"Á","A"),"À","A"),"Â","A"),"Ã","A"),"É","E"),"Ê","E"),"Í","I"),"Ó","O"),"Ô","O"),"Õ","O"),"Ú","U"),"Ü","U"),"Ç","C"))</f>
        <v/>
      </c>
      <c r="G198" s="31" t="str">
        <f aca="false">IF(E198="","",IF(LEN(SUBSTITUTE(SUBSTITUTE(SUBSTITUTE(SUBSTITUTE(TRIM(E198),"*",""),".",""),"-","")," ",""))=11,MID(SUBSTITUTE(SUBSTITUTE(SUBSTITUTE(SUBSTITUTE(TRIM(E198),"*",""),".",""),"-","")," ",""),4,6),SUBSTITUTE(SUBSTITUTE(SUBSTITUTE(SUBSTITUTE(TRIM(E198),"*",""),".",""),"-","")," ","")))</f>
        <v/>
      </c>
      <c r="H198" s="31" t="str">
        <f aca="false">IF(OR(F198="",G198=""),"",F198&amp;"|"&amp;G198)</f>
        <v/>
      </c>
      <c r="I198" s="23"/>
      <c r="J198" s="22"/>
      <c r="K198" s="22"/>
      <c r="L198" s="25" t="str">
        <f aca="false">IF(F198="","",IF(AND(H198&lt;&gt;"",COUNTIF(Pessoas!$E:$E,H198)&gt;0),"SIM",IF(COUNTIF(Pessoas!$C:$C,F198)&gt;0,"nome igual em Pessoas: confira o CPF","")))</f>
        <v/>
      </c>
      <c r="M198" s="24"/>
      <c r="N198" s="11"/>
    </row>
    <row r="199" customFormat="false" ht="15" hidden="false" customHeight="false" outlineLevel="0" collapsed="false">
      <c r="A199" s="24"/>
      <c r="B199" s="31" t="str">
        <f aca="false">IF(A199="","",IF(LEN(UPPER(SUBSTITUTE(SUBSTITUTE(SUBSTITUTE(SUBSTITUTE(TRIM(A199),".",""),"/",""),"-","")," ","")))&lt;14,RIGHT(REPT("0",14)&amp;UPPER(SUBSTITUTE(SUBSTITUTE(SUBSTITUTE(SUBSTITUTE(TRIM(A199),".",""),"/",""),"-","")," ","")),14),UPPER(SUBSTITUTE(SUBSTITUTE(SUBSTITUTE(SUBSTITUTE(TRIM(A199),".",""),"/",""),"-","")," ",""))))</f>
        <v/>
      </c>
      <c r="C199" s="25" t="str">
        <f aca="false">IF(B199="","",IFERROR(INDEX(Empresas!$C:$C,MATCH(B199,Empresas!$B:$B,0)),"cadastre o CNPJ em Empresas"))</f>
        <v/>
      </c>
      <c r="D199" s="23"/>
      <c r="E199" s="24"/>
      <c r="F199" s="31" t="str">
        <f aca="false">IF(D199="","",SUBSTITUTE(SUBSTITUTE(SUBSTITUTE(SUBSTITUTE(SUBSTITUTE(SUBSTITUTE(SUBSTITUTE(SUBSTITUTE(SUBSTITUTE(SUBSTITUTE(SUBSTITUTE(SUBSTITUTE(SUBSTITUTE(UPPER(TRIM(D199)),"Á","A"),"À","A"),"Â","A"),"Ã","A"),"É","E"),"Ê","E"),"Í","I"),"Ó","O"),"Ô","O"),"Õ","O"),"Ú","U"),"Ü","U"),"Ç","C"))</f>
        <v/>
      </c>
      <c r="G199" s="31" t="str">
        <f aca="false">IF(E199="","",IF(LEN(SUBSTITUTE(SUBSTITUTE(SUBSTITUTE(SUBSTITUTE(TRIM(E199),"*",""),".",""),"-","")," ",""))=11,MID(SUBSTITUTE(SUBSTITUTE(SUBSTITUTE(SUBSTITUTE(TRIM(E199),"*",""),".",""),"-","")," ",""),4,6),SUBSTITUTE(SUBSTITUTE(SUBSTITUTE(SUBSTITUTE(TRIM(E199),"*",""),".",""),"-","")," ","")))</f>
        <v/>
      </c>
      <c r="H199" s="31" t="str">
        <f aca="false">IF(OR(F199="",G199=""),"",F199&amp;"|"&amp;G199)</f>
        <v/>
      </c>
      <c r="I199" s="23"/>
      <c r="J199" s="22"/>
      <c r="K199" s="22"/>
      <c r="L199" s="25" t="str">
        <f aca="false">IF(F199="","",IF(AND(H199&lt;&gt;"",COUNTIF(Pessoas!$E:$E,H199)&gt;0),"SIM",IF(COUNTIF(Pessoas!$C:$C,F199)&gt;0,"nome igual em Pessoas: confira o CPF","")))</f>
        <v/>
      </c>
      <c r="M199" s="24"/>
      <c r="N199" s="11"/>
    </row>
    <row r="200" customFormat="false" ht="15" hidden="false" customHeight="false" outlineLevel="0" collapsed="false">
      <c r="A200" s="24"/>
      <c r="B200" s="31" t="str">
        <f aca="false">IF(A200="","",IF(LEN(UPPER(SUBSTITUTE(SUBSTITUTE(SUBSTITUTE(SUBSTITUTE(TRIM(A200),".",""),"/",""),"-","")," ","")))&lt;14,RIGHT(REPT("0",14)&amp;UPPER(SUBSTITUTE(SUBSTITUTE(SUBSTITUTE(SUBSTITUTE(TRIM(A200),".",""),"/",""),"-","")," ","")),14),UPPER(SUBSTITUTE(SUBSTITUTE(SUBSTITUTE(SUBSTITUTE(TRIM(A200),".",""),"/",""),"-","")," ",""))))</f>
        <v/>
      </c>
      <c r="C200" s="25" t="str">
        <f aca="false">IF(B200="","",IFERROR(INDEX(Empresas!$C:$C,MATCH(B200,Empresas!$B:$B,0)),"cadastre o CNPJ em Empresas"))</f>
        <v/>
      </c>
      <c r="D200" s="23"/>
      <c r="E200" s="24"/>
      <c r="F200" s="31" t="str">
        <f aca="false">IF(D200="","",SUBSTITUTE(SUBSTITUTE(SUBSTITUTE(SUBSTITUTE(SUBSTITUTE(SUBSTITUTE(SUBSTITUTE(SUBSTITUTE(SUBSTITUTE(SUBSTITUTE(SUBSTITUTE(SUBSTITUTE(SUBSTITUTE(UPPER(TRIM(D200)),"Á","A"),"À","A"),"Â","A"),"Ã","A"),"É","E"),"Ê","E"),"Í","I"),"Ó","O"),"Ô","O"),"Õ","O"),"Ú","U"),"Ü","U"),"Ç","C"))</f>
        <v/>
      </c>
      <c r="G200" s="31" t="str">
        <f aca="false">IF(E200="","",IF(LEN(SUBSTITUTE(SUBSTITUTE(SUBSTITUTE(SUBSTITUTE(TRIM(E200),"*",""),".",""),"-","")," ",""))=11,MID(SUBSTITUTE(SUBSTITUTE(SUBSTITUTE(SUBSTITUTE(TRIM(E200),"*",""),".",""),"-","")," ",""),4,6),SUBSTITUTE(SUBSTITUTE(SUBSTITUTE(SUBSTITUTE(TRIM(E200),"*",""),".",""),"-","")," ","")))</f>
        <v/>
      </c>
      <c r="H200" s="31" t="str">
        <f aca="false">IF(OR(F200="",G200=""),"",F200&amp;"|"&amp;G200)</f>
        <v/>
      </c>
      <c r="I200" s="23"/>
      <c r="J200" s="22"/>
      <c r="K200" s="22"/>
      <c r="L200" s="25" t="str">
        <f aca="false">IF(F200="","",IF(AND(H200&lt;&gt;"",COUNTIF(Pessoas!$E:$E,H200)&gt;0),"SIM",IF(COUNTIF(Pessoas!$C:$C,F200)&gt;0,"nome igual em Pessoas: confira o CPF","")))</f>
        <v/>
      </c>
      <c r="M200" s="24"/>
      <c r="N200" s="11"/>
    </row>
    <row r="201" customFormat="false" ht="15" hidden="false" customHeight="false" outlineLevel="0" collapsed="false">
      <c r="A201" s="24"/>
      <c r="B201" s="31" t="str">
        <f aca="false">IF(A201="","",IF(LEN(UPPER(SUBSTITUTE(SUBSTITUTE(SUBSTITUTE(SUBSTITUTE(TRIM(A201),".",""),"/",""),"-","")," ","")))&lt;14,RIGHT(REPT("0",14)&amp;UPPER(SUBSTITUTE(SUBSTITUTE(SUBSTITUTE(SUBSTITUTE(TRIM(A201),".",""),"/",""),"-","")," ","")),14),UPPER(SUBSTITUTE(SUBSTITUTE(SUBSTITUTE(SUBSTITUTE(TRIM(A201),".",""),"/",""),"-","")," ",""))))</f>
        <v/>
      </c>
      <c r="C201" s="25" t="str">
        <f aca="false">IF(B201="","",IFERROR(INDEX(Empresas!$C:$C,MATCH(B201,Empresas!$B:$B,0)),"cadastre o CNPJ em Empresas"))</f>
        <v/>
      </c>
      <c r="D201" s="23"/>
      <c r="E201" s="24"/>
      <c r="F201" s="31" t="str">
        <f aca="false">IF(D201="","",SUBSTITUTE(SUBSTITUTE(SUBSTITUTE(SUBSTITUTE(SUBSTITUTE(SUBSTITUTE(SUBSTITUTE(SUBSTITUTE(SUBSTITUTE(SUBSTITUTE(SUBSTITUTE(SUBSTITUTE(SUBSTITUTE(UPPER(TRIM(D201)),"Á","A"),"À","A"),"Â","A"),"Ã","A"),"É","E"),"Ê","E"),"Í","I"),"Ó","O"),"Ô","O"),"Õ","O"),"Ú","U"),"Ü","U"),"Ç","C"))</f>
        <v/>
      </c>
      <c r="G201" s="31" t="str">
        <f aca="false">IF(E201="","",IF(LEN(SUBSTITUTE(SUBSTITUTE(SUBSTITUTE(SUBSTITUTE(TRIM(E201),"*",""),".",""),"-","")," ",""))=11,MID(SUBSTITUTE(SUBSTITUTE(SUBSTITUTE(SUBSTITUTE(TRIM(E201),"*",""),".",""),"-","")," ",""),4,6),SUBSTITUTE(SUBSTITUTE(SUBSTITUTE(SUBSTITUTE(TRIM(E201),"*",""),".",""),"-","")," ","")))</f>
        <v/>
      </c>
      <c r="H201" s="31" t="str">
        <f aca="false">IF(OR(F201="",G201=""),"",F201&amp;"|"&amp;G201)</f>
        <v/>
      </c>
      <c r="I201" s="23"/>
      <c r="J201" s="22"/>
      <c r="K201" s="22"/>
      <c r="L201" s="25" t="str">
        <f aca="false">IF(F201="","",IF(AND(H201&lt;&gt;"",COUNTIF(Pessoas!$E:$E,H201)&gt;0),"SIM",IF(COUNTIF(Pessoas!$C:$C,F201)&gt;0,"nome igual em Pessoas: confira o CPF","")))</f>
        <v/>
      </c>
      <c r="M201" s="24"/>
      <c r="N201" s="11"/>
    </row>
    <row r="202" customFormat="false" ht="15" hidden="false" customHeight="false" outlineLevel="0" collapsed="false">
      <c r="A202" s="24"/>
      <c r="B202" s="31" t="str">
        <f aca="false">IF(A202="","",IF(LEN(UPPER(SUBSTITUTE(SUBSTITUTE(SUBSTITUTE(SUBSTITUTE(TRIM(A202),".",""),"/",""),"-","")," ","")))&lt;14,RIGHT(REPT("0",14)&amp;UPPER(SUBSTITUTE(SUBSTITUTE(SUBSTITUTE(SUBSTITUTE(TRIM(A202),".",""),"/",""),"-","")," ","")),14),UPPER(SUBSTITUTE(SUBSTITUTE(SUBSTITUTE(SUBSTITUTE(TRIM(A202),".",""),"/",""),"-","")," ",""))))</f>
        <v/>
      </c>
      <c r="C202" s="25" t="str">
        <f aca="false">IF(B202="","",IFERROR(INDEX(Empresas!$C:$C,MATCH(B202,Empresas!$B:$B,0)),"cadastre o CNPJ em Empresas"))</f>
        <v/>
      </c>
      <c r="D202" s="23"/>
      <c r="E202" s="24"/>
      <c r="F202" s="31" t="str">
        <f aca="false">IF(D202="","",SUBSTITUTE(SUBSTITUTE(SUBSTITUTE(SUBSTITUTE(SUBSTITUTE(SUBSTITUTE(SUBSTITUTE(SUBSTITUTE(SUBSTITUTE(SUBSTITUTE(SUBSTITUTE(SUBSTITUTE(SUBSTITUTE(UPPER(TRIM(D202)),"Á","A"),"À","A"),"Â","A"),"Ã","A"),"É","E"),"Ê","E"),"Í","I"),"Ó","O"),"Ô","O"),"Õ","O"),"Ú","U"),"Ü","U"),"Ç","C"))</f>
        <v/>
      </c>
      <c r="G202" s="31" t="str">
        <f aca="false">IF(E202="","",IF(LEN(SUBSTITUTE(SUBSTITUTE(SUBSTITUTE(SUBSTITUTE(TRIM(E202),"*",""),".",""),"-","")," ",""))=11,MID(SUBSTITUTE(SUBSTITUTE(SUBSTITUTE(SUBSTITUTE(TRIM(E202),"*",""),".",""),"-","")," ",""),4,6),SUBSTITUTE(SUBSTITUTE(SUBSTITUTE(SUBSTITUTE(TRIM(E202),"*",""),".",""),"-","")," ","")))</f>
        <v/>
      </c>
      <c r="H202" s="31" t="str">
        <f aca="false">IF(OR(F202="",G202=""),"",F202&amp;"|"&amp;G202)</f>
        <v/>
      </c>
      <c r="I202" s="23"/>
      <c r="J202" s="22"/>
      <c r="K202" s="22"/>
      <c r="L202" s="25" t="str">
        <f aca="false">IF(F202="","",IF(AND(H202&lt;&gt;"",COUNTIF(Pessoas!$E:$E,H202)&gt;0),"SIM",IF(COUNTIF(Pessoas!$C:$C,F202)&gt;0,"nome igual em Pessoas: confira o CPF","")))</f>
        <v/>
      </c>
      <c r="M202" s="24"/>
      <c r="N202" s="11"/>
    </row>
    <row r="203" customFormat="false" ht="15" hidden="false" customHeight="false" outlineLevel="0" collapsed="false">
      <c r="A203" s="24"/>
      <c r="B203" s="31" t="str">
        <f aca="false">IF(A203="","",IF(LEN(UPPER(SUBSTITUTE(SUBSTITUTE(SUBSTITUTE(SUBSTITUTE(TRIM(A203),".",""),"/",""),"-","")," ","")))&lt;14,RIGHT(REPT("0",14)&amp;UPPER(SUBSTITUTE(SUBSTITUTE(SUBSTITUTE(SUBSTITUTE(TRIM(A203),".",""),"/",""),"-","")," ","")),14),UPPER(SUBSTITUTE(SUBSTITUTE(SUBSTITUTE(SUBSTITUTE(TRIM(A203),".",""),"/",""),"-","")," ",""))))</f>
        <v/>
      </c>
      <c r="C203" s="25" t="str">
        <f aca="false">IF(B203="","",IFERROR(INDEX(Empresas!$C:$C,MATCH(B203,Empresas!$B:$B,0)),"cadastre o CNPJ em Empresas"))</f>
        <v/>
      </c>
      <c r="D203" s="23"/>
      <c r="E203" s="24"/>
      <c r="F203" s="31" t="str">
        <f aca="false">IF(D203="","",SUBSTITUTE(SUBSTITUTE(SUBSTITUTE(SUBSTITUTE(SUBSTITUTE(SUBSTITUTE(SUBSTITUTE(SUBSTITUTE(SUBSTITUTE(SUBSTITUTE(SUBSTITUTE(SUBSTITUTE(SUBSTITUTE(UPPER(TRIM(D203)),"Á","A"),"À","A"),"Â","A"),"Ã","A"),"É","E"),"Ê","E"),"Í","I"),"Ó","O"),"Ô","O"),"Õ","O"),"Ú","U"),"Ü","U"),"Ç","C"))</f>
        <v/>
      </c>
      <c r="G203" s="31" t="str">
        <f aca="false">IF(E203="","",IF(LEN(SUBSTITUTE(SUBSTITUTE(SUBSTITUTE(SUBSTITUTE(TRIM(E203),"*",""),".",""),"-","")," ",""))=11,MID(SUBSTITUTE(SUBSTITUTE(SUBSTITUTE(SUBSTITUTE(TRIM(E203),"*",""),".",""),"-","")," ",""),4,6),SUBSTITUTE(SUBSTITUTE(SUBSTITUTE(SUBSTITUTE(TRIM(E203),"*",""),".",""),"-","")," ","")))</f>
        <v/>
      </c>
      <c r="H203" s="31" t="str">
        <f aca="false">IF(OR(F203="",G203=""),"",F203&amp;"|"&amp;G203)</f>
        <v/>
      </c>
      <c r="I203" s="23"/>
      <c r="J203" s="22"/>
      <c r="K203" s="22"/>
      <c r="L203" s="25" t="str">
        <f aca="false">IF(F203="","",IF(AND(H203&lt;&gt;"",COUNTIF(Pessoas!$E:$E,H203)&gt;0),"SIM",IF(COUNTIF(Pessoas!$C:$C,F203)&gt;0,"nome igual em Pessoas: confira o CPF","")))</f>
        <v/>
      </c>
      <c r="M203" s="24"/>
      <c r="N203" s="11"/>
    </row>
    <row r="204" customFormat="false" ht="15" hidden="false" customHeight="false" outlineLevel="0" collapsed="false">
      <c r="A204" s="24"/>
      <c r="B204" s="31" t="str">
        <f aca="false">IF(A204="","",IF(LEN(UPPER(SUBSTITUTE(SUBSTITUTE(SUBSTITUTE(SUBSTITUTE(TRIM(A204),".",""),"/",""),"-","")," ","")))&lt;14,RIGHT(REPT("0",14)&amp;UPPER(SUBSTITUTE(SUBSTITUTE(SUBSTITUTE(SUBSTITUTE(TRIM(A204),".",""),"/",""),"-","")," ","")),14),UPPER(SUBSTITUTE(SUBSTITUTE(SUBSTITUTE(SUBSTITUTE(TRIM(A204),".",""),"/",""),"-","")," ",""))))</f>
        <v/>
      </c>
      <c r="C204" s="25" t="str">
        <f aca="false">IF(B204="","",IFERROR(INDEX(Empresas!$C:$C,MATCH(B204,Empresas!$B:$B,0)),"cadastre o CNPJ em Empresas"))</f>
        <v/>
      </c>
      <c r="D204" s="23"/>
      <c r="E204" s="24"/>
      <c r="F204" s="31" t="str">
        <f aca="false">IF(D204="","",SUBSTITUTE(SUBSTITUTE(SUBSTITUTE(SUBSTITUTE(SUBSTITUTE(SUBSTITUTE(SUBSTITUTE(SUBSTITUTE(SUBSTITUTE(SUBSTITUTE(SUBSTITUTE(SUBSTITUTE(SUBSTITUTE(UPPER(TRIM(D204)),"Á","A"),"À","A"),"Â","A"),"Ã","A"),"É","E"),"Ê","E"),"Í","I"),"Ó","O"),"Ô","O"),"Õ","O"),"Ú","U"),"Ü","U"),"Ç","C"))</f>
        <v/>
      </c>
      <c r="G204" s="31" t="str">
        <f aca="false">IF(E204="","",IF(LEN(SUBSTITUTE(SUBSTITUTE(SUBSTITUTE(SUBSTITUTE(TRIM(E204),"*",""),".",""),"-","")," ",""))=11,MID(SUBSTITUTE(SUBSTITUTE(SUBSTITUTE(SUBSTITUTE(TRIM(E204),"*",""),".",""),"-","")," ",""),4,6),SUBSTITUTE(SUBSTITUTE(SUBSTITUTE(SUBSTITUTE(TRIM(E204),"*",""),".",""),"-","")," ","")))</f>
        <v/>
      </c>
      <c r="H204" s="31" t="str">
        <f aca="false">IF(OR(F204="",G204=""),"",F204&amp;"|"&amp;G204)</f>
        <v/>
      </c>
      <c r="I204" s="23"/>
      <c r="J204" s="22"/>
      <c r="K204" s="22"/>
      <c r="L204" s="25" t="str">
        <f aca="false">IF(F204="","",IF(AND(H204&lt;&gt;"",COUNTIF(Pessoas!$E:$E,H204)&gt;0),"SIM",IF(COUNTIF(Pessoas!$C:$C,F204)&gt;0,"nome igual em Pessoas: confira o CPF","")))</f>
        <v/>
      </c>
      <c r="M204" s="24"/>
      <c r="N204" s="11"/>
    </row>
    <row r="205" customFormat="false" ht="15" hidden="false" customHeight="false" outlineLevel="0" collapsed="false">
      <c r="A205" s="24"/>
      <c r="B205" s="31" t="str">
        <f aca="false">IF(A205="","",IF(LEN(UPPER(SUBSTITUTE(SUBSTITUTE(SUBSTITUTE(SUBSTITUTE(TRIM(A205),".",""),"/",""),"-","")," ","")))&lt;14,RIGHT(REPT("0",14)&amp;UPPER(SUBSTITUTE(SUBSTITUTE(SUBSTITUTE(SUBSTITUTE(TRIM(A205),".",""),"/",""),"-","")," ","")),14),UPPER(SUBSTITUTE(SUBSTITUTE(SUBSTITUTE(SUBSTITUTE(TRIM(A205),".",""),"/",""),"-","")," ",""))))</f>
        <v/>
      </c>
      <c r="C205" s="25" t="str">
        <f aca="false">IF(B205="","",IFERROR(INDEX(Empresas!$C:$C,MATCH(B205,Empresas!$B:$B,0)),"cadastre o CNPJ em Empresas"))</f>
        <v/>
      </c>
      <c r="D205" s="23"/>
      <c r="E205" s="24"/>
      <c r="F205" s="31" t="str">
        <f aca="false">IF(D205="","",SUBSTITUTE(SUBSTITUTE(SUBSTITUTE(SUBSTITUTE(SUBSTITUTE(SUBSTITUTE(SUBSTITUTE(SUBSTITUTE(SUBSTITUTE(SUBSTITUTE(SUBSTITUTE(SUBSTITUTE(SUBSTITUTE(UPPER(TRIM(D205)),"Á","A"),"À","A"),"Â","A"),"Ã","A"),"É","E"),"Ê","E"),"Í","I"),"Ó","O"),"Ô","O"),"Õ","O"),"Ú","U"),"Ü","U"),"Ç","C"))</f>
        <v/>
      </c>
      <c r="G205" s="31" t="str">
        <f aca="false">IF(E205="","",IF(LEN(SUBSTITUTE(SUBSTITUTE(SUBSTITUTE(SUBSTITUTE(TRIM(E205),"*",""),".",""),"-","")," ",""))=11,MID(SUBSTITUTE(SUBSTITUTE(SUBSTITUTE(SUBSTITUTE(TRIM(E205),"*",""),".",""),"-","")," ",""),4,6),SUBSTITUTE(SUBSTITUTE(SUBSTITUTE(SUBSTITUTE(TRIM(E205),"*",""),".",""),"-","")," ","")))</f>
        <v/>
      </c>
      <c r="H205" s="31" t="str">
        <f aca="false">IF(OR(F205="",G205=""),"",F205&amp;"|"&amp;G205)</f>
        <v/>
      </c>
      <c r="I205" s="23"/>
      <c r="J205" s="22"/>
      <c r="K205" s="22"/>
      <c r="L205" s="25" t="str">
        <f aca="false">IF(F205="","",IF(AND(H205&lt;&gt;"",COUNTIF(Pessoas!$E:$E,H205)&gt;0),"SIM",IF(COUNTIF(Pessoas!$C:$C,F205)&gt;0,"nome igual em Pessoas: confira o CPF","")))</f>
        <v/>
      </c>
      <c r="M205" s="24"/>
      <c r="N205" s="11"/>
    </row>
    <row r="206" customFormat="false" ht="15" hidden="false" customHeight="false" outlineLevel="0" collapsed="false">
      <c r="A206" s="24"/>
      <c r="B206" s="31" t="str">
        <f aca="false">IF(A206="","",IF(LEN(UPPER(SUBSTITUTE(SUBSTITUTE(SUBSTITUTE(SUBSTITUTE(TRIM(A206),".",""),"/",""),"-","")," ","")))&lt;14,RIGHT(REPT("0",14)&amp;UPPER(SUBSTITUTE(SUBSTITUTE(SUBSTITUTE(SUBSTITUTE(TRIM(A206),".",""),"/",""),"-","")," ","")),14),UPPER(SUBSTITUTE(SUBSTITUTE(SUBSTITUTE(SUBSTITUTE(TRIM(A206),".",""),"/",""),"-","")," ",""))))</f>
        <v/>
      </c>
      <c r="C206" s="25" t="str">
        <f aca="false">IF(B206="","",IFERROR(INDEX(Empresas!$C:$C,MATCH(B206,Empresas!$B:$B,0)),"cadastre o CNPJ em Empresas"))</f>
        <v/>
      </c>
      <c r="D206" s="23"/>
      <c r="E206" s="24"/>
      <c r="F206" s="31" t="str">
        <f aca="false">IF(D206="","",SUBSTITUTE(SUBSTITUTE(SUBSTITUTE(SUBSTITUTE(SUBSTITUTE(SUBSTITUTE(SUBSTITUTE(SUBSTITUTE(SUBSTITUTE(SUBSTITUTE(SUBSTITUTE(SUBSTITUTE(SUBSTITUTE(UPPER(TRIM(D206)),"Á","A"),"À","A"),"Â","A"),"Ã","A"),"É","E"),"Ê","E"),"Í","I"),"Ó","O"),"Ô","O"),"Õ","O"),"Ú","U"),"Ü","U"),"Ç","C"))</f>
        <v/>
      </c>
      <c r="G206" s="31" t="str">
        <f aca="false">IF(E206="","",IF(LEN(SUBSTITUTE(SUBSTITUTE(SUBSTITUTE(SUBSTITUTE(TRIM(E206),"*",""),".",""),"-","")," ",""))=11,MID(SUBSTITUTE(SUBSTITUTE(SUBSTITUTE(SUBSTITUTE(TRIM(E206),"*",""),".",""),"-","")," ",""),4,6),SUBSTITUTE(SUBSTITUTE(SUBSTITUTE(SUBSTITUTE(TRIM(E206),"*",""),".",""),"-","")," ","")))</f>
        <v/>
      </c>
      <c r="H206" s="31" t="str">
        <f aca="false">IF(OR(F206="",G206=""),"",F206&amp;"|"&amp;G206)</f>
        <v/>
      </c>
      <c r="I206" s="23"/>
      <c r="J206" s="22"/>
      <c r="K206" s="22"/>
      <c r="L206" s="25" t="str">
        <f aca="false">IF(F206="","",IF(AND(H206&lt;&gt;"",COUNTIF(Pessoas!$E:$E,H206)&gt;0),"SIM",IF(COUNTIF(Pessoas!$C:$C,F206)&gt;0,"nome igual em Pessoas: confira o CPF","")))</f>
        <v/>
      </c>
      <c r="M206" s="24"/>
      <c r="N206" s="11"/>
    </row>
    <row r="207" customFormat="false" ht="15" hidden="false" customHeight="false" outlineLevel="0" collapsed="false">
      <c r="A207" s="24"/>
      <c r="B207" s="31" t="str">
        <f aca="false">IF(A207="","",IF(LEN(UPPER(SUBSTITUTE(SUBSTITUTE(SUBSTITUTE(SUBSTITUTE(TRIM(A207),".",""),"/",""),"-","")," ","")))&lt;14,RIGHT(REPT("0",14)&amp;UPPER(SUBSTITUTE(SUBSTITUTE(SUBSTITUTE(SUBSTITUTE(TRIM(A207),".",""),"/",""),"-","")," ","")),14),UPPER(SUBSTITUTE(SUBSTITUTE(SUBSTITUTE(SUBSTITUTE(TRIM(A207),".",""),"/",""),"-","")," ",""))))</f>
        <v/>
      </c>
      <c r="C207" s="25" t="str">
        <f aca="false">IF(B207="","",IFERROR(INDEX(Empresas!$C:$C,MATCH(B207,Empresas!$B:$B,0)),"cadastre o CNPJ em Empresas"))</f>
        <v/>
      </c>
      <c r="D207" s="23"/>
      <c r="E207" s="24"/>
      <c r="F207" s="31" t="str">
        <f aca="false">IF(D207="","",SUBSTITUTE(SUBSTITUTE(SUBSTITUTE(SUBSTITUTE(SUBSTITUTE(SUBSTITUTE(SUBSTITUTE(SUBSTITUTE(SUBSTITUTE(SUBSTITUTE(SUBSTITUTE(SUBSTITUTE(SUBSTITUTE(UPPER(TRIM(D207)),"Á","A"),"À","A"),"Â","A"),"Ã","A"),"É","E"),"Ê","E"),"Í","I"),"Ó","O"),"Ô","O"),"Õ","O"),"Ú","U"),"Ü","U"),"Ç","C"))</f>
        <v/>
      </c>
      <c r="G207" s="31" t="str">
        <f aca="false">IF(E207="","",IF(LEN(SUBSTITUTE(SUBSTITUTE(SUBSTITUTE(SUBSTITUTE(TRIM(E207),"*",""),".",""),"-","")," ",""))=11,MID(SUBSTITUTE(SUBSTITUTE(SUBSTITUTE(SUBSTITUTE(TRIM(E207),"*",""),".",""),"-","")," ",""),4,6),SUBSTITUTE(SUBSTITUTE(SUBSTITUTE(SUBSTITUTE(TRIM(E207),"*",""),".",""),"-","")," ","")))</f>
        <v/>
      </c>
      <c r="H207" s="31" t="str">
        <f aca="false">IF(OR(F207="",G207=""),"",F207&amp;"|"&amp;G207)</f>
        <v/>
      </c>
      <c r="I207" s="23"/>
      <c r="J207" s="22"/>
      <c r="K207" s="22"/>
      <c r="L207" s="25" t="str">
        <f aca="false">IF(F207="","",IF(AND(H207&lt;&gt;"",COUNTIF(Pessoas!$E:$E,H207)&gt;0),"SIM",IF(COUNTIF(Pessoas!$C:$C,F207)&gt;0,"nome igual em Pessoas: confira o CPF","")))</f>
        <v/>
      </c>
      <c r="M207" s="24"/>
      <c r="N207" s="11"/>
    </row>
    <row r="208" customFormat="false" ht="15" hidden="false" customHeight="false" outlineLevel="0" collapsed="false">
      <c r="A208" s="24"/>
      <c r="B208" s="31" t="str">
        <f aca="false">IF(A208="","",IF(LEN(UPPER(SUBSTITUTE(SUBSTITUTE(SUBSTITUTE(SUBSTITUTE(TRIM(A208),".",""),"/",""),"-","")," ","")))&lt;14,RIGHT(REPT("0",14)&amp;UPPER(SUBSTITUTE(SUBSTITUTE(SUBSTITUTE(SUBSTITUTE(TRIM(A208),".",""),"/",""),"-","")," ","")),14),UPPER(SUBSTITUTE(SUBSTITUTE(SUBSTITUTE(SUBSTITUTE(TRIM(A208),".",""),"/",""),"-","")," ",""))))</f>
        <v/>
      </c>
      <c r="C208" s="25" t="str">
        <f aca="false">IF(B208="","",IFERROR(INDEX(Empresas!$C:$C,MATCH(B208,Empresas!$B:$B,0)),"cadastre o CNPJ em Empresas"))</f>
        <v/>
      </c>
      <c r="D208" s="23"/>
      <c r="E208" s="24"/>
      <c r="F208" s="31" t="str">
        <f aca="false">IF(D208="","",SUBSTITUTE(SUBSTITUTE(SUBSTITUTE(SUBSTITUTE(SUBSTITUTE(SUBSTITUTE(SUBSTITUTE(SUBSTITUTE(SUBSTITUTE(SUBSTITUTE(SUBSTITUTE(SUBSTITUTE(SUBSTITUTE(UPPER(TRIM(D208)),"Á","A"),"À","A"),"Â","A"),"Ã","A"),"É","E"),"Ê","E"),"Í","I"),"Ó","O"),"Ô","O"),"Õ","O"),"Ú","U"),"Ü","U"),"Ç","C"))</f>
        <v/>
      </c>
      <c r="G208" s="31" t="str">
        <f aca="false">IF(E208="","",IF(LEN(SUBSTITUTE(SUBSTITUTE(SUBSTITUTE(SUBSTITUTE(TRIM(E208),"*",""),".",""),"-","")," ",""))=11,MID(SUBSTITUTE(SUBSTITUTE(SUBSTITUTE(SUBSTITUTE(TRIM(E208),"*",""),".",""),"-","")," ",""),4,6),SUBSTITUTE(SUBSTITUTE(SUBSTITUTE(SUBSTITUTE(TRIM(E208),"*",""),".",""),"-","")," ","")))</f>
        <v/>
      </c>
      <c r="H208" s="31" t="str">
        <f aca="false">IF(OR(F208="",G208=""),"",F208&amp;"|"&amp;G208)</f>
        <v/>
      </c>
      <c r="I208" s="23"/>
      <c r="J208" s="22"/>
      <c r="K208" s="22"/>
      <c r="L208" s="25" t="str">
        <f aca="false">IF(F208="","",IF(AND(H208&lt;&gt;"",COUNTIF(Pessoas!$E:$E,H208)&gt;0),"SIM",IF(COUNTIF(Pessoas!$C:$C,F208)&gt;0,"nome igual em Pessoas: confira o CPF","")))</f>
        <v/>
      </c>
      <c r="M208" s="24"/>
      <c r="N208" s="11"/>
    </row>
    <row r="209" customFormat="false" ht="15" hidden="false" customHeight="false" outlineLevel="0" collapsed="false">
      <c r="A209" s="24"/>
      <c r="B209" s="31" t="str">
        <f aca="false">IF(A209="","",IF(LEN(UPPER(SUBSTITUTE(SUBSTITUTE(SUBSTITUTE(SUBSTITUTE(TRIM(A209),".",""),"/",""),"-","")," ","")))&lt;14,RIGHT(REPT("0",14)&amp;UPPER(SUBSTITUTE(SUBSTITUTE(SUBSTITUTE(SUBSTITUTE(TRIM(A209),".",""),"/",""),"-","")," ","")),14),UPPER(SUBSTITUTE(SUBSTITUTE(SUBSTITUTE(SUBSTITUTE(TRIM(A209),".",""),"/",""),"-","")," ",""))))</f>
        <v/>
      </c>
      <c r="C209" s="25" t="str">
        <f aca="false">IF(B209="","",IFERROR(INDEX(Empresas!$C:$C,MATCH(B209,Empresas!$B:$B,0)),"cadastre o CNPJ em Empresas"))</f>
        <v/>
      </c>
      <c r="D209" s="23"/>
      <c r="E209" s="24"/>
      <c r="F209" s="31" t="str">
        <f aca="false">IF(D209="","",SUBSTITUTE(SUBSTITUTE(SUBSTITUTE(SUBSTITUTE(SUBSTITUTE(SUBSTITUTE(SUBSTITUTE(SUBSTITUTE(SUBSTITUTE(SUBSTITUTE(SUBSTITUTE(SUBSTITUTE(SUBSTITUTE(UPPER(TRIM(D209)),"Á","A"),"À","A"),"Â","A"),"Ã","A"),"É","E"),"Ê","E"),"Í","I"),"Ó","O"),"Ô","O"),"Õ","O"),"Ú","U"),"Ü","U"),"Ç","C"))</f>
        <v/>
      </c>
      <c r="G209" s="31" t="str">
        <f aca="false">IF(E209="","",IF(LEN(SUBSTITUTE(SUBSTITUTE(SUBSTITUTE(SUBSTITUTE(TRIM(E209),"*",""),".",""),"-","")," ",""))=11,MID(SUBSTITUTE(SUBSTITUTE(SUBSTITUTE(SUBSTITUTE(TRIM(E209),"*",""),".",""),"-","")," ",""),4,6),SUBSTITUTE(SUBSTITUTE(SUBSTITUTE(SUBSTITUTE(TRIM(E209),"*",""),".",""),"-","")," ","")))</f>
        <v/>
      </c>
      <c r="H209" s="31" t="str">
        <f aca="false">IF(OR(F209="",G209=""),"",F209&amp;"|"&amp;G209)</f>
        <v/>
      </c>
      <c r="I209" s="23"/>
      <c r="J209" s="22"/>
      <c r="K209" s="22"/>
      <c r="L209" s="25" t="str">
        <f aca="false">IF(F209="","",IF(AND(H209&lt;&gt;"",COUNTIF(Pessoas!$E:$E,H209)&gt;0),"SIM",IF(COUNTIF(Pessoas!$C:$C,F209)&gt;0,"nome igual em Pessoas: confira o CPF","")))</f>
        <v/>
      </c>
      <c r="M209" s="24"/>
      <c r="N209" s="11"/>
    </row>
    <row r="210" customFormat="false" ht="15" hidden="false" customHeight="false" outlineLevel="0" collapsed="false">
      <c r="A210" s="24"/>
      <c r="B210" s="31" t="str">
        <f aca="false">IF(A210="","",IF(LEN(UPPER(SUBSTITUTE(SUBSTITUTE(SUBSTITUTE(SUBSTITUTE(TRIM(A210),".",""),"/",""),"-","")," ","")))&lt;14,RIGHT(REPT("0",14)&amp;UPPER(SUBSTITUTE(SUBSTITUTE(SUBSTITUTE(SUBSTITUTE(TRIM(A210),".",""),"/",""),"-","")," ","")),14),UPPER(SUBSTITUTE(SUBSTITUTE(SUBSTITUTE(SUBSTITUTE(TRIM(A210),".",""),"/",""),"-","")," ",""))))</f>
        <v/>
      </c>
      <c r="C210" s="25" t="str">
        <f aca="false">IF(B210="","",IFERROR(INDEX(Empresas!$C:$C,MATCH(B210,Empresas!$B:$B,0)),"cadastre o CNPJ em Empresas"))</f>
        <v/>
      </c>
      <c r="D210" s="23"/>
      <c r="E210" s="24"/>
      <c r="F210" s="31" t="str">
        <f aca="false">IF(D210="","",SUBSTITUTE(SUBSTITUTE(SUBSTITUTE(SUBSTITUTE(SUBSTITUTE(SUBSTITUTE(SUBSTITUTE(SUBSTITUTE(SUBSTITUTE(SUBSTITUTE(SUBSTITUTE(SUBSTITUTE(SUBSTITUTE(UPPER(TRIM(D210)),"Á","A"),"À","A"),"Â","A"),"Ã","A"),"É","E"),"Ê","E"),"Í","I"),"Ó","O"),"Ô","O"),"Õ","O"),"Ú","U"),"Ü","U"),"Ç","C"))</f>
        <v/>
      </c>
      <c r="G210" s="31" t="str">
        <f aca="false">IF(E210="","",IF(LEN(SUBSTITUTE(SUBSTITUTE(SUBSTITUTE(SUBSTITUTE(TRIM(E210),"*",""),".",""),"-","")," ",""))=11,MID(SUBSTITUTE(SUBSTITUTE(SUBSTITUTE(SUBSTITUTE(TRIM(E210),"*",""),".",""),"-","")," ",""),4,6),SUBSTITUTE(SUBSTITUTE(SUBSTITUTE(SUBSTITUTE(TRIM(E210),"*",""),".",""),"-","")," ","")))</f>
        <v/>
      </c>
      <c r="H210" s="31" t="str">
        <f aca="false">IF(OR(F210="",G210=""),"",F210&amp;"|"&amp;G210)</f>
        <v/>
      </c>
      <c r="I210" s="23"/>
      <c r="J210" s="22"/>
      <c r="K210" s="22"/>
      <c r="L210" s="25" t="str">
        <f aca="false">IF(F210="","",IF(AND(H210&lt;&gt;"",COUNTIF(Pessoas!$E:$E,H210)&gt;0),"SIM",IF(COUNTIF(Pessoas!$C:$C,F210)&gt;0,"nome igual em Pessoas: confira o CPF","")))</f>
        <v/>
      </c>
      <c r="M210" s="24"/>
      <c r="N210" s="11"/>
    </row>
    <row r="211" customFormat="false" ht="15" hidden="false" customHeight="false" outlineLevel="0" collapsed="false">
      <c r="A211" s="24"/>
      <c r="B211" s="31" t="str">
        <f aca="false">IF(A211="","",IF(LEN(UPPER(SUBSTITUTE(SUBSTITUTE(SUBSTITUTE(SUBSTITUTE(TRIM(A211),".",""),"/",""),"-","")," ","")))&lt;14,RIGHT(REPT("0",14)&amp;UPPER(SUBSTITUTE(SUBSTITUTE(SUBSTITUTE(SUBSTITUTE(TRIM(A211),".",""),"/",""),"-","")," ","")),14),UPPER(SUBSTITUTE(SUBSTITUTE(SUBSTITUTE(SUBSTITUTE(TRIM(A211),".",""),"/",""),"-","")," ",""))))</f>
        <v/>
      </c>
      <c r="C211" s="25" t="str">
        <f aca="false">IF(B211="","",IFERROR(INDEX(Empresas!$C:$C,MATCH(B211,Empresas!$B:$B,0)),"cadastre o CNPJ em Empresas"))</f>
        <v/>
      </c>
      <c r="D211" s="23"/>
      <c r="E211" s="24"/>
      <c r="F211" s="31" t="str">
        <f aca="false">IF(D211="","",SUBSTITUTE(SUBSTITUTE(SUBSTITUTE(SUBSTITUTE(SUBSTITUTE(SUBSTITUTE(SUBSTITUTE(SUBSTITUTE(SUBSTITUTE(SUBSTITUTE(SUBSTITUTE(SUBSTITUTE(SUBSTITUTE(UPPER(TRIM(D211)),"Á","A"),"À","A"),"Â","A"),"Ã","A"),"É","E"),"Ê","E"),"Í","I"),"Ó","O"),"Ô","O"),"Õ","O"),"Ú","U"),"Ü","U"),"Ç","C"))</f>
        <v/>
      </c>
      <c r="G211" s="31" t="str">
        <f aca="false">IF(E211="","",IF(LEN(SUBSTITUTE(SUBSTITUTE(SUBSTITUTE(SUBSTITUTE(TRIM(E211),"*",""),".",""),"-","")," ",""))=11,MID(SUBSTITUTE(SUBSTITUTE(SUBSTITUTE(SUBSTITUTE(TRIM(E211),"*",""),".",""),"-","")," ",""),4,6),SUBSTITUTE(SUBSTITUTE(SUBSTITUTE(SUBSTITUTE(TRIM(E211),"*",""),".",""),"-","")," ","")))</f>
        <v/>
      </c>
      <c r="H211" s="31" t="str">
        <f aca="false">IF(OR(F211="",G211=""),"",F211&amp;"|"&amp;G211)</f>
        <v/>
      </c>
      <c r="I211" s="23"/>
      <c r="J211" s="22"/>
      <c r="K211" s="22"/>
      <c r="L211" s="25" t="str">
        <f aca="false">IF(F211="","",IF(AND(H211&lt;&gt;"",COUNTIF(Pessoas!$E:$E,H211)&gt;0),"SIM",IF(COUNTIF(Pessoas!$C:$C,F211)&gt;0,"nome igual em Pessoas: confira o CPF","")))</f>
        <v/>
      </c>
      <c r="M211" s="24"/>
      <c r="N211" s="11"/>
    </row>
    <row r="212" customFormat="false" ht="15" hidden="false" customHeight="false" outlineLevel="0" collapsed="false">
      <c r="A212" s="24"/>
      <c r="B212" s="31" t="str">
        <f aca="false">IF(A212="","",IF(LEN(UPPER(SUBSTITUTE(SUBSTITUTE(SUBSTITUTE(SUBSTITUTE(TRIM(A212),".",""),"/",""),"-","")," ","")))&lt;14,RIGHT(REPT("0",14)&amp;UPPER(SUBSTITUTE(SUBSTITUTE(SUBSTITUTE(SUBSTITUTE(TRIM(A212),".",""),"/",""),"-","")," ","")),14),UPPER(SUBSTITUTE(SUBSTITUTE(SUBSTITUTE(SUBSTITUTE(TRIM(A212),".",""),"/",""),"-","")," ",""))))</f>
        <v/>
      </c>
      <c r="C212" s="25" t="str">
        <f aca="false">IF(B212="","",IFERROR(INDEX(Empresas!$C:$C,MATCH(B212,Empresas!$B:$B,0)),"cadastre o CNPJ em Empresas"))</f>
        <v/>
      </c>
      <c r="D212" s="23"/>
      <c r="E212" s="24"/>
      <c r="F212" s="31" t="str">
        <f aca="false">IF(D212="","",SUBSTITUTE(SUBSTITUTE(SUBSTITUTE(SUBSTITUTE(SUBSTITUTE(SUBSTITUTE(SUBSTITUTE(SUBSTITUTE(SUBSTITUTE(SUBSTITUTE(SUBSTITUTE(SUBSTITUTE(SUBSTITUTE(UPPER(TRIM(D212)),"Á","A"),"À","A"),"Â","A"),"Ã","A"),"É","E"),"Ê","E"),"Í","I"),"Ó","O"),"Ô","O"),"Õ","O"),"Ú","U"),"Ü","U"),"Ç","C"))</f>
        <v/>
      </c>
      <c r="G212" s="31" t="str">
        <f aca="false">IF(E212="","",IF(LEN(SUBSTITUTE(SUBSTITUTE(SUBSTITUTE(SUBSTITUTE(TRIM(E212),"*",""),".",""),"-","")," ",""))=11,MID(SUBSTITUTE(SUBSTITUTE(SUBSTITUTE(SUBSTITUTE(TRIM(E212),"*",""),".",""),"-","")," ",""),4,6),SUBSTITUTE(SUBSTITUTE(SUBSTITUTE(SUBSTITUTE(TRIM(E212),"*",""),".",""),"-","")," ","")))</f>
        <v/>
      </c>
      <c r="H212" s="31" t="str">
        <f aca="false">IF(OR(F212="",G212=""),"",F212&amp;"|"&amp;G212)</f>
        <v/>
      </c>
      <c r="I212" s="23"/>
      <c r="J212" s="22"/>
      <c r="K212" s="22"/>
      <c r="L212" s="25" t="str">
        <f aca="false">IF(F212="","",IF(AND(H212&lt;&gt;"",COUNTIF(Pessoas!$E:$E,H212)&gt;0),"SIM",IF(COUNTIF(Pessoas!$C:$C,F212)&gt;0,"nome igual em Pessoas: confira o CPF","")))</f>
        <v/>
      </c>
      <c r="M212" s="24"/>
      <c r="N212" s="11"/>
    </row>
    <row r="213" customFormat="false" ht="15" hidden="false" customHeight="false" outlineLevel="0" collapsed="false">
      <c r="A213" s="24"/>
      <c r="B213" s="31" t="str">
        <f aca="false">IF(A213="","",IF(LEN(UPPER(SUBSTITUTE(SUBSTITUTE(SUBSTITUTE(SUBSTITUTE(TRIM(A213),".",""),"/",""),"-","")," ","")))&lt;14,RIGHT(REPT("0",14)&amp;UPPER(SUBSTITUTE(SUBSTITUTE(SUBSTITUTE(SUBSTITUTE(TRIM(A213),".",""),"/",""),"-","")," ","")),14),UPPER(SUBSTITUTE(SUBSTITUTE(SUBSTITUTE(SUBSTITUTE(TRIM(A213),".",""),"/",""),"-","")," ",""))))</f>
        <v/>
      </c>
      <c r="C213" s="25" t="str">
        <f aca="false">IF(B213="","",IFERROR(INDEX(Empresas!$C:$C,MATCH(B213,Empresas!$B:$B,0)),"cadastre o CNPJ em Empresas"))</f>
        <v/>
      </c>
      <c r="D213" s="23"/>
      <c r="E213" s="24"/>
      <c r="F213" s="31" t="str">
        <f aca="false">IF(D213="","",SUBSTITUTE(SUBSTITUTE(SUBSTITUTE(SUBSTITUTE(SUBSTITUTE(SUBSTITUTE(SUBSTITUTE(SUBSTITUTE(SUBSTITUTE(SUBSTITUTE(SUBSTITUTE(SUBSTITUTE(SUBSTITUTE(UPPER(TRIM(D213)),"Á","A"),"À","A"),"Â","A"),"Ã","A"),"É","E"),"Ê","E"),"Í","I"),"Ó","O"),"Ô","O"),"Õ","O"),"Ú","U"),"Ü","U"),"Ç","C"))</f>
        <v/>
      </c>
      <c r="G213" s="31" t="str">
        <f aca="false">IF(E213="","",IF(LEN(SUBSTITUTE(SUBSTITUTE(SUBSTITUTE(SUBSTITUTE(TRIM(E213),"*",""),".",""),"-","")," ",""))=11,MID(SUBSTITUTE(SUBSTITUTE(SUBSTITUTE(SUBSTITUTE(TRIM(E213),"*",""),".",""),"-","")," ",""),4,6),SUBSTITUTE(SUBSTITUTE(SUBSTITUTE(SUBSTITUTE(TRIM(E213),"*",""),".",""),"-","")," ","")))</f>
        <v/>
      </c>
      <c r="H213" s="31" t="str">
        <f aca="false">IF(OR(F213="",G213=""),"",F213&amp;"|"&amp;G213)</f>
        <v/>
      </c>
      <c r="I213" s="23"/>
      <c r="J213" s="22"/>
      <c r="K213" s="22"/>
      <c r="L213" s="25" t="str">
        <f aca="false">IF(F213="","",IF(AND(H213&lt;&gt;"",COUNTIF(Pessoas!$E:$E,H213)&gt;0),"SIM",IF(COUNTIF(Pessoas!$C:$C,F213)&gt;0,"nome igual em Pessoas: confira o CPF","")))</f>
        <v/>
      </c>
      <c r="M213" s="24"/>
      <c r="N213" s="11"/>
    </row>
    <row r="214" customFormat="false" ht="15" hidden="false" customHeight="false" outlineLevel="0" collapsed="false">
      <c r="A214" s="24"/>
      <c r="B214" s="31" t="str">
        <f aca="false">IF(A214="","",IF(LEN(UPPER(SUBSTITUTE(SUBSTITUTE(SUBSTITUTE(SUBSTITUTE(TRIM(A214),".",""),"/",""),"-","")," ","")))&lt;14,RIGHT(REPT("0",14)&amp;UPPER(SUBSTITUTE(SUBSTITUTE(SUBSTITUTE(SUBSTITUTE(TRIM(A214),".",""),"/",""),"-","")," ","")),14),UPPER(SUBSTITUTE(SUBSTITUTE(SUBSTITUTE(SUBSTITUTE(TRIM(A214),".",""),"/",""),"-","")," ",""))))</f>
        <v/>
      </c>
      <c r="C214" s="25" t="str">
        <f aca="false">IF(B214="","",IFERROR(INDEX(Empresas!$C:$C,MATCH(B214,Empresas!$B:$B,0)),"cadastre o CNPJ em Empresas"))</f>
        <v/>
      </c>
      <c r="D214" s="23"/>
      <c r="E214" s="24"/>
      <c r="F214" s="31" t="str">
        <f aca="false">IF(D214="","",SUBSTITUTE(SUBSTITUTE(SUBSTITUTE(SUBSTITUTE(SUBSTITUTE(SUBSTITUTE(SUBSTITUTE(SUBSTITUTE(SUBSTITUTE(SUBSTITUTE(SUBSTITUTE(SUBSTITUTE(SUBSTITUTE(UPPER(TRIM(D214)),"Á","A"),"À","A"),"Â","A"),"Ã","A"),"É","E"),"Ê","E"),"Í","I"),"Ó","O"),"Ô","O"),"Õ","O"),"Ú","U"),"Ü","U"),"Ç","C"))</f>
        <v/>
      </c>
      <c r="G214" s="31" t="str">
        <f aca="false">IF(E214="","",IF(LEN(SUBSTITUTE(SUBSTITUTE(SUBSTITUTE(SUBSTITUTE(TRIM(E214),"*",""),".",""),"-","")," ",""))=11,MID(SUBSTITUTE(SUBSTITUTE(SUBSTITUTE(SUBSTITUTE(TRIM(E214),"*",""),".",""),"-","")," ",""),4,6),SUBSTITUTE(SUBSTITUTE(SUBSTITUTE(SUBSTITUTE(TRIM(E214),"*",""),".",""),"-","")," ","")))</f>
        <v/>
      </c>
      <c r="H214" s="31" t="str">
        <f aca="false">IF(OR(F214="",G214=""),"",F214&amp;"|"&amp;G214)</f>
        <v/>
      </c>
      <c r="I214" s="23"/>
      <c r="J214" s="22"/>
      <c r="K214" s="22"/>
      <c r="L214" s="25" t="str">
        <f aca="false">IF(F214="","",IF(AND(H214&lt;&gt;"",COUNTIF(Pessoas!$E:$E,H214)&gt;0),"SIM",IF(COUNTIF(Pessoas!$C:$C,F214)&gt;0,"nome igual em Pessoas: confira o CPF","")))</f>
        <v/>
      </c>
      <c r="M214" s="24"/>
      <c r="N214" s="11"/>
    </row>
    <row r="215" customFormat="false" ht="15" hidden="false" customHeight="false" outlineLevel="0" collapsed="false">
      <c r="A215" s="24"/>
      <c r="B215" s="31" t="str">
        <f aca="false">IF(A215="","",IF(LEN(UPPER(SUBSTITUTE(SUBSTITUTE(SUBSTITUTE(SUBSTITUTE(TRIM(A215),".",""),"/",""),"-","")," ","")))&lt;14,RIGHT(REPT("0",14)&amp;UPPER(SUBSTITUTE(SUBSTITUTE(SUBSTITUTE(SUBSTITUTE(TRIM(A215),".",""),"/",""),"-","")," ","")),14),UPPER(SUBSTITUTE(SUBSTITUTE(SUBSTITUTE(SUBSTITUTE(TRIM(A215),".",""),"/",""),"-","")," ",""))))</f>
        <v/>
      </c>
      <c r="C215" s="25" t="str">
        <f aca="false">IF(B215="","",IFERROR(INDEX(Empresas!$C:$C,MATCH(B215,Empresas!$B:$B,0)),"cadastre o CNPJ em Empresas"))</f>
        <v/>
      </c>
      <c r="D215" s="23"/>
      <c r="E215" s="24"/>
      <c r="F215" s="31" t="str">
        <f aca="false">IF(D215="","",SUBSTITUTE(SUBSTITUTE(SUBSTITUTE(SUBSTITUTE(SUBSTITUTE(SUBSTITUTE(SUBSTITUTE(SUBSTITUTE(SUBSTITUTE(SUBSTITUTE(SUBSTITUTE(SUBSTITUTE(SUBSTITUTE(UPPER(TRIM(D215)),"Á","A"),"À","A"),"Â","A"),"Ã","A"),"É","E"),"Ê","E"),"Í","I"),"Ó","O"),"Ô","O"),"Õ","O"),"Ú","U"),"Ü","U"),"Ç","C"))</f>
        <v/>
      </c>
      <c r="G215" s="31" t="str">
        <f aca="false">IF(E215="","",IF(LEN(SUBSTITUTE(SUBSTITUTE(SUBSTITUTE(SUBSTITUTE(TRIM(E215),"*",""),".",""),"-","")," ",""))=11,MID(SUBSTITUTE(SUBSTITUTE(SUBSTITUTE(SUBSTITUTE(TRIM(E215),"*",""),".",""),"-","")," ",""),4,6),SUBSTITUTE(SUBSTITUTE(SUBSTITUTE(SUBSTITUTE(TRIM(E215),"*",""),".",""),"-","")," ","")))</f>
        <v/>
      </c>
      <c r="H215" s="31" t="str">
        <f aca="false">IF(OR(F215="",G215=""),"",F215&amp;"|"&amp;G215)</f>
        <v/>
      </c>
      <c r="I215" s="23"/>
      <c r="J215" s="22"/>
      <c r="K215" s="22"/>
      <c r="L215" s="25" t="str">
        <f aca="false">IF(F215="","",IF(AND(H215&lt;&gt;"",COUNTIF(Pessoas!$E:$E,H215)&gt;0),"SIM",IF(COUNTIF(Pessoas!$C:$C,F215)&gt;0,"nome igual em Pessoas: confira o CPF","")))</f>
        <v/>
      </c>
      <c r="M215" s="24"/>
      <c r="N215" s="11"/>
    </row>
    <row r="216" customFormat="false" ht="15" hidden="false" customHeight="false" outlineLevel="0" collapsed="false">
      <c r="A216" s="24"/>
      <c r="B216" s="31" t="str">
        <f aca="false">IF(A216="","",IF(LEN(UPPER(SUBSTITUTE(SUBSTITUTE(SUBSTITUTE(SUBSTITUTE(TRIM(A216),".",""),"/",""),"-","")," ","")))&lt;14,RIGHT(REPT("0",14)&amp;UPPER(SUBSTITUTE(SUBSTITUTE(SUBSTITUTE(SUBSTITUTE(TRIM(A216),".",""),"/",""),"-","")," ","")),14),UPPER(SUBSTITUTE(SUBSTITUTE(SUBSTITUTE(SUBSTITUTE(TRIM(A216),".",""),"/",""),"-","")," ",""))))</f>
        <v/>
      </c>
      <c r="C216" s="25" t="str">
        <f aca="false">IF(B216="","",IFERROR(INDEX(Empresas!$C:$C,MATCH(B216,Empresas!$B:$B,0)),"cadastre o CNPJ em Empresas"))</f>
        <v/>
      </c>
      <c r="D216" s="23"/>
      <c r="E216" s="24"/>
      <c r="F216" s="31" t="str">
        <f aca="false">IF(D216="","",SUBSTITUTE(SUBSTITUTE(SUBSTITUTE(SUBSTITUTE(SUBSTITUTE(SUBSTITUTE(SUBSTITUTE(SUBSTITUTE(SUBSTITUTE(SUBSTITUTE(SUBSTITUTE(SUBSTITUTE(SUBSTITUTE(UPPER(TRIM(D216)),"Á","A"),"À","A"),"Â","A"),"Ã","A"),"É","E"),"Ê","E"),"Í","I"),"Ó","O"),"Ô","O"),"Õ","O"),"Ú","U"),"Ü","U"),"Ç","C"))</f>
        <v/>
      </c>
      <c r="G216" s="31" t="str">
        <f aca="false">IF(E216="","",IF(LEN(SUBSTITUTE(SUBSTITUTE(SUBSTITUTE(SUBSTITUTE(TRIM(E216),"*",""),".",""),"-","")," ",""))=11,MID(SUBSTITUTE(SUBSTITUTE(SUBSTITUTE(SUBSTITUTE(TRIM(E216),"*",""),".",""),"-","")," ",""),4,6),SUBSTITUTE(SUBSTITUTE(SUBSTITUTE(SUBSTITUTE(TRIM(E216),"*",""),".",""),"-","")," ","")))</f>
        <v/>
      </c>
      <c r="H216" s="31" t="str">
        <f aca="false">IF(OR(F216="",G216=""),"",F216&amp;"|"&amp;G216)</f>
        <v/>
      </c>
      <c r="I216" s="23"/>
      <c r="J216" s="22"/>
      <c r="K216" s="22"/>
      <c r="L216" s="25" t="str">
        <f aca="false">IF(F216="","",IF(AND(H216&lt;&gt;"",COUNTIF(Pessoas!$E:$E,H216)&gt;0),"SIM",IF(COUNTIF(Pessoas!$C:$C,F216)&gt;0,"nome igual em Pessoas: confira o CPF","")))</f>
        <v/>
      </c>
      <c r="M216" s="24"/>
      <c r="N216" s="11"/>
    </row>
    <row r="217" customFormat="false" ht="15" hidden="false" customHeight="false" outlineLevel="0" collapsed="false">
      <c r="A217" s="24"/>
      <c r="B217" s="31" t="str">
        <f aca="false">IF(A217="","",IF(LEN(UPPER(SUBSTITUTE(SUBSTITUTE(SUBSTITUTE(SUBSTITUTE(TRIM(A217),".",""),"/",""),"-","")," ","")))&lt;14,RIGHT(REPT("0",14)&amp;UPPER(SUBSTITUTE(SUBSTITUTE(SUBSTITUTE(SUBSTITUTE(TRIM(A217),".",""),"/",""),"-","")," ","")),14),UPPER(SUBSTITUTE(SUBSTITUTE(SUBSTITUTE(SUBSTITUTE(TRIM(A217),".",""),"/",""),"-","")," ",""))))</f>
        <v/>
      </c>
      <c r="C217" s="25" t="str">
        <f aca="false">IF(B217="","",IFERROR(INDEX(Empresas!$C:$C,MATCH(B217,Empresas!$B:$B,0)),"cadastre o CNPJ em Empresas"))</f>
        <v/>
      </c>
      <c r="D217" s="23"/>
      <c r="E217" s="24"/>
      <c r="F217" s="31" t="str">
        <f aca="false">IF(D217="","",SUBSTITUTE(SUBSTITUTE(SUBSTITUTE(SUBSTITUTE(SUBSTITUTE(SUBSTITUTE(SUBSTITUTE(SUBSTITUTE(SUBSTITUTE(SUBSTITUTE(SUBSTITUTE(SUBSTITUTE(SUBSTITUTE(UPPER(TRIM(D217)),"Á","A"),"À","A"),"Â","A"),"Ã","A"),"É","E"),"Ê","E"),"Í","I"),"Ó","O"),"Ô","O"),"Õ","O"),"Ú","U"),"Ü","U"),"Ç","C"))</f>
        <v/>
      </c>
      <c r="G217" s="31" t="str">
        <f aca="false">IF(E217="","",IF(LEN(SUBSTITUTE(SUBSTITUTE(SUBSTITUTE(SUBSTITUTE(TRIM(E217),"*",""),".",""),"-","")," ",""))=11,MID(SUBSTITUTE(SUBSTITUTE(SUBSTITUTE(SUBSTITUTE(TRIM(E217),"*",""),".",""),"-","")," ",""),4,6),SUBSTITUTE(SUBSTITUTE(SUBSTITUTE(SUBSTITUTE(TRIM(E217),"*",""),".",""),"-","")," ","")))</f>
        <v/>
      </c>
      <c r="H217" s="31" t="str">
        <f aca="false">IF(OR(F217="",G217=""),"",F217&amp;"|"&amp;G217)</f>
        <v/>
      </c>
      <c r="I217" s="23"/>
      <c r="J217" s="22"/>
      <c r="K217" s="22"/>
      <c r="L217" s="25" t="str">
        <f aca="false">IF(F217="","",IF(AND(H217&lt;&gt;"",COUNTIF(Pessoas!$E:$E,H217)&gt;0),"SIM",IF(COUNTIF(Pessoas!$C:$C,F217)&gt;0,"nome igual em Pessoas: confira o CPF","")))</f>
        <v/>
      </c>
      <c r="M217" s="24"/>
      <c r="N217" s="11"/>
    </row>
    <row r="218" customFormat="false" ht="15" hidden="false" customHeight="false" outlineLevel="0" collapsed="false">
      <c r="A218" s="24"/>
      <c r="B218" s="31" t="str">
        <f aca="false">IF(A218="","",IF(LEN(UPPER(SUBSTITUTE(SUBSTITUTE(SUBSTITUTE(SUBSTITUTE(TRIM(A218),".",""),"/",""),"-","")," ","")))&lt;14,RIGHT(REPT("0",14)&amp;UPPER(SUBSTITUTE(SUBSTITUTE(SUBSTITUTE(SUBSTITUTE(TRIM(A218),".",""),"/",""),"-","")," ","")),14),UPPER(SUBSTITUTE(SUBSTITUTE(SUBSTITUTE(SUBSTITUTE(TRIM(A218),".",""),"/",""),"-","")," ",""))))</f>
        <v/>
      </c>
      <c r="C218" s="25" t="str">
        <f aca="false">IF(B218="","",IFERROR(INDEX(Empresas!$C:$C,MATCH(B218,Empresas!$B:$B,0)),"cadastre o CNPJ em Empresas"))</f>
        <v/>
      </c>
      <c r="D218" s="23"/>
      <c r="E218" s="24"/>
      <c r="F218" s="31" t="str">
        <f aca="false">IF(D218="","",SUBSTITUTE(SUBSTITUTE(SUBSTITUTE(SUBSTITUTE(SUBSTITUTE(SUBSTITUTE(SUBSTITUTE(SUBSTITUTE(SUBSTITUTE(SUBSTITUTE(SUBSTITUTE(SUBSTITUTE(SUBSTITUTE(UPPER(TRIM(D218)),"Á","A"),"À","A"),"Â","A"),"Ã","A"),"É","E"),"Ê","E"),"Í","I"),"Ó","O"),"Ô","O"),"Õ","O"),"Ú","U"),"Ü","U"),"Ç","C"))</f>
        <v/>
      </c>
      <c r="G218" s="31" t="str">
        <f aca="false">IF(E218="","",IF(LEN(SUBSTITUTE(SUBSTITUTE(SUBSTITUTE(SUBSTITUTE(TRIM(E218),"*",""),".",""),"-","")," ",""))=11,MID(SUBSTITUTE(SUBSTITUTE(SUBSTITUTE(SUBSTITUTE(TRIM(E218),"*",""),".",""),"-","")," ",""),4,6),SUBSTITUTE(SUBSTITUTE(SUBSTITUTE(SUBSTITUTE(TRIM(E218),"*",""),".",""),"-","")," ","")))</f>
        <v/>
      </c>
      <c r="H218" s="31" t="str">
        <f aca="false">IF(OR(F218="",G218=""),"",F218&amp;"|"&amp;G218)</f>
        <v/>
      </c>
      <c r="I218" s="23"/>
      <c r="J218" s="22"/>
      <c r="K218" s="22"/>
      <c r="L218" s="25" t="str">
        <f aca="false">IF(F218="","",IF(AND(H218&lt;&gt;"",COUNTIF(Pessoas!$E:$E,H218)&gt;0),"SIM",IF(COUNTIF(Pessoas!$C:$C,F218)&gt;0,"nome igual em Pessoas: confira o CPF","")))</f>
        <v/>
      </c>
      <c r="M218" s="24"/>
      <c r="N218" s="11"/>
    </row>
    <row r="219" customFormat="false" ht="15" hidden="false" customHeight="false" outlineLevel="0" collapsed="false">
      <c r="A219" s="24"/>
      <c r="B219" s="31" t="str">
        <f aca="false">IF(A219="","",IF(LEN(UPPER(SUBSTITUTE(SUBSTITUTE(SUBSTITUTE(SUBSTITUTE(TRIM(A219),".",""),"/",""),"-","")," ","")))&lt;14,RIGHT(REPT("0",14)&amp;UPPER(SUBSTITUTE(SUBSTITUTE(SUBSTITUTE(SUBSTITUTE(TRIM(A219),".",""),"/",""),"-","")," ","")),14),UPPER(SUBSTITUTE(SUBSTITUTE(SUBSTITUTE(SUBSTITUTE(TRIM(A219),".",""),"/",""),"-","")," ",""))))</f>
        <v/>
      </c>
      <c r="C219" s="25" t="str">
        <f aca="false">IF(B219="","",IFERROR(INDEX(Empresas!$C:$C,MATCH(B219,Empresas!$B:$B,0)),"cadastre o CNPJ em Empresas"))</f>
        <v/>
      </c>
      <c r="D219" s="23"/>
      <c r="E219" s="24"/>
      <c r="F219" s="31" t="str">
        <f aca="false">IF(D219="","",SUBSTITUTE(SUBSTITUTE(SUBSTITUTE(SUBSTITUTE(SUBSTITUTE(SUBSTITUTE(SUBSTITUTE(SUBSTITUTE(SUBSTITUTE(SUBSTITUTE(SUBSTITUTE(SUBSTITUTE(SUBSTITUTE(UPPER(TRIM(D219)),"Á","A"),"À","A"),"Â","A"),"Ã","A"),"É","E"),"Ê","E"),"Í","I"),"Ó","O"),"Ô","O"),"Õ","O"),"Ú","U"),"Ü","U"),"Ç","C"))</f>
        <v/>
      </c>
      <c r="G219" s="31" t="str">
        <f aca="false">IF(E219="","",IF(LEN(SUBSTITUTE(SUBSTITUTE(SUBSTITUTE(SUBSTITUTE(TRIM(E219),"*",""),".",""),"-","")," ",""))=11,MID(SUBSTITUTE(SUBSTITUTE(SUBSTITUTE(SUBSTITUTE(TRIM(E219),"*",""),".",""),"-","")," ",""),4,6),SUBSTITUTE(SUBSTITUTE(SUBSTITUTE(SUBSTITUTE(TRIM(E219),"*",""),".",""),"-","")," ","")))</f>
        <v/>
      </c>
      <c r="H219" s="31" t="str">
        <f aca="false">IF(OR(F219="",G219=""),"",F219&amp;"|"&amp;G219)</f>
        <v/>
      </c>
      <c r="I219" s="23"/>
      <c r="J219" s="22"/>
      <c r="K219" s="22"/>
      <c r="L219" s="25" t="str">
        <f aca="false">IF(F219="","",IF(AND(H219&lt;&gt;"",COUNTIF(Pessoas!$E:$E,H219)&gt;0),"SIM",IF(COUNTIF(Pessoas!$C:$C,F219)&gt;0,"nome igual em Pessoas: confira o CPF","")))</f>
        <v/>
      </c>
      <c r="M219" s="24"/>
      <c r="N219" s="11"/>
    </row>
    <row r="220" customFormat="false" ht="15" hidden="false" customHeight="false" outlineLevel="0" collapsed="false">
      <c r="A220" s="24"/>
      <c r="B220" s="31" t="str">
        <f aca="false">IF(A220="","",IF(LEN(UPPER(SUBSTITUTE(SUBSTITUTE(SUBSTITUTE(SUBSTITUTE(TRIM(A220),".",""),"/",""),"-","")," ","")))&lt;14,RIGHT(REPT("0",14)&amp;UPPER(SUBSTITUTE(SUBSTITUTE(SUBSTITUTE(SUBSTITUTE(TRIM(A220),".",""),"/",""),"-","")," ","")),14),UPPER(SUBSTITUTE(SUBSTITUTE(SUBSTITUTE(SUBSTITUTE(TRIM(A220),".",""),"/",""),"-","")," ",""))))</f>
        <v/>
      </c>
      <c r="C220" s="25" t="str">
        <f aca="false">IF(B220="","",IFERROR(INDEX(Empresas!$C:$C,MATCH(B220,Empresas!$B:$B,0)),"cadastre o CNPJ em Empresas"))</f>
        <v/>
      </c>
      <c r="D220" s="23"/>
      <c r="E220" s="24"/>
      <c r="F220" s="31" t="str">
        <f aca="false">IF(D220="","",SUBSTITUTE(SUBSTITUTE(SUBSTITUTE(SUBSTITUTE(SUBSTITUTE(SUBSTITUTE(SUBSTITUTE(SUBSTITUTE(SUBSTITUTE(SUBSTITUTE(SUBSTITUTE(SUBSTITUTE(SUBSTITUTE(UPPER(TRIM(D220)),"Á","A"),"À","A"),"Â","A"),"Ã","A"),"É","E"),"Ê","E"),"Í","I"),"Ó","O"),"Ô","O"),"Õ","O"),"Ú","U"),"Ü","U"),"Ç","C"))</f>
        <v/>
      </c>
      <c r="G220" s="31" t="str">
        <f aca="false">IF(E220="","",IF(LEN(SUBSTITUTE(SUBSTITUTE(SUBSTITUTE(SUBSTITUTE(TRIM(E220),"*",""),".",""),"-","")," ",""))=11,MID(SUBSTITUTE(SUBSTITUTE(SUBSTITUTE(SUBSTITUTE(TRIM(E220),"*",""),".",""),"-","")," ",""),4,6),SUBSTITUTE(SUBSTITUTE(SUBSTITUTE(SUBSTITUTE(TRIM(E220),"*",""),".",""),"-","")," ","")))</f>
        <v/>
      </c>
      <c r="H220" s="31" t="str">
        <f aca="false">IF(OR(F220="",G220=""),"",F220&amp;"|"&amp;G220)</f>
        <v/>
      </c>
      <c r="I220" s="23"/>
      <c r="J220" s="22"/>
      <c r="K220" s="22"/>
      <c r="L220" s="25" t="str">
        <f aca="false">IF(F220="","",IF(AND(H220&lt;&gt;"",COUNTIF(Pessoas!$E:$E,H220)&gt;0),"SIM",IF(COUNTIF(Pessoas!$C:$C,F220)&gt;0,"nome igual em Pessoas: confira o CPF","")))</f>
        <v/>
      </c>
      <c r="M220" s="24"/>
      <c r="N220" s="11"/>
    </row>
    <row r="221" customFormat="false" ht="15" hidden="false" customHeight="false" outlineLevel="0" collapsed="false">
      <c r="A221" s="24"/>
      <c r="B221" s="31" t="str">
        <f aca="false">IF(A221="","",IF(LEN(UPPER(SUBSTITUTE(SUBSTITUTE(SUBSTITUTE(SUBSTITUTE(TRIM(A221),".",""),"/",""),"-","")," ","")))&lt;14,RIGHT(REPT("0",14)&amp;UPPER(SUBSTITUTE(SUBSTITUTE(SUBSTITUTE(SUBSTITUTE(TRIM(A221),".",""),"/",""),"-","")," ","")),14),UPPER(SUBSTITUTE(SUBSTITUTE(SUBSTITUTE(SUBSTITUTE(TRIM(A221),".",""),"/",""),"-","")," ",""))))</f>
        <v/>
      </c>
      <c r="C221" s="25" t="str">
        <f aca="false">IF(B221="","",IFERROR(INDEX(Empresas!$C:$C,MATCH(B221,Empresas!$B:$B,0)),"cadastre o CNPJ em Empresas"))</f>
        <v/>
      </c>
      <c r="D221" s="23"/>
      <c r="E221" s="24"/>
      <c r="F221" s="31" t="str">
        <f aca="false">IF(D221="","",SUBSTITUTE(SUBSTITUTE(SUBSTITUTE(SUBSTITUTE(SUBSTITUTE(SUBSTITUTE(SUBSTITUTE(SUBSTITUTE(SUBSTITUTE(SUBSTITUTE(SUBSTITUTE(SUBSTITUTE(SUBSTITUTE(UPPER(TRIM(D221)),"Á","A"),"À","A"),"Â","A"),"Ã","A"),"É","E"),"Ê","E"),"Í","I"),"Ó","O"),"Ô","O"),"Õ","O"),"Ú","U"),"Ü","U"),"Ç","C"))</f>
        <v/>
      </c>
      <c r="G221" s="31" t="str">
        <f aca="false">IF(E221="","",IF(LEN(SUBSTITUTE(SUBSTITUTE(SUBSTITUTE(SUBSTITUTE(TRIM(E221),"*",""),".",""),"-","")," ",""))=11,MID(SUBSTITUTE(SUBSTITUTE(SUBSTITUTE(SUBSTITUTE(TRIM(E221),"*",""),".",""),"-","")," ",""),4,6),SUBSTITUTE(SUBSTITUTE(SUBSTITUTE(SUBSTITUTE(TRIM(E221),"*",""),".",""),"-","")," ","")))</f>
        <v/>
      </c>
      <c r="H221" s="31" t="str">
        <f aca="false">IF(OR(F221="",G221=""),"",F221&amp;"|"&amp;G221)</f>
        <v/>
      </c>
      <c r="I221" s="23"/>
      <c r="J221" s="22"/>
      <c r="K221" s="22"/>
      <c r="L221" s="25" t="str">
        <f aca="false">IF(F221="","",IF(AND(H221&lt;&gt;"",COUNTIF(Pessoas!$E:$E,H221)&gt;0),"SIM",IF(COUNTIF(Pessoas!$C:$C,F221)&gt;0,"nome igual em Pessoas: confira o CPF","")))</f>
        <v/>
      </c>
      <c r="M221" s="24"/>
      <c r="N221" s="11"/>
    </row>
    <row r="222" customFormat="false" ht="15" hidden="false" customHeight="false" outlineLevel="0" collapsed="false">
      <c r="A222" s="24"/>
      <c r="B222" s="31" t="str">
        <f aca="false">IF(A222="","",IF(LEN(UPPER(SUBSTITUTE(SUBSTITUTE(SUBSTITUTE(SUBSTITUTE(TRIM(A222),".",""),"/",""),"-","")," ","")))&lt;14,RIGHT(REPT("0",14)&amp;UPPER(SUBSTITUTE(SUBSTITUTE(SUBSTITUTE(SUBSTITUTE(TRIM(A222),".",""),"/",""),"-","")," ","")),14),UPPER(SUBSTITUTE(SUBSTITUTE(SUBSTITUTE(SUBSTITUTE(TRIM(A222),".",""),"/",""),"-","")," ",""))))</f>
        <v/>
      </c>
      <c r="C222" s="25" t="str">
        <f aca="false">IF(B222="","",IFERROR(INDEX(Empresas!$C:$C,MATCH(B222,Empresas!$B:$B,0)),"cadastre o CNPJ em Empresas"))</f>
        <v/>
      </c>
      <c r="D222" s="23"/>
      <c r="E222" s="24"/>
      <c r="F222" s="31" t="str">
        <f aca="false">IF(D222="","",SUBSTITUTE(SUBSTITUTE(SUBSTITUTE(SUBSTITUTE(SUBSTITUTE(SUBSTITUTE(SUBSTITUTE(SUBSTITUTE(SUBSTITUTE(SUBSTITUTE(SUBSTITUTE(SUBSTITUTE(SUBSTITUTE(UPPER(TRIM(D222)),"Á","A"),"À","A"),"Â","A"),"Ã","A"),"É","E"),"Ê","E"),"Í","I"),"Ó","O"),"Ô","O"),"Õ","O"),"Ú","U"),"Ü","U"),"Ç","C"))</f>
        <v/>
      </c>
      <c r="G222" s="31" t="str">
        <f aca="false">IF(E222="","",IF(LEN(SUBSTITUTE(SUBSTITUTE(SUBSTITUTE(SUBSTITUTE(TRIM(E222),"*",""),".",""),"-","")," ",""))=11,MID(SUBSTITUTE(SUBSTITUTE(SUBSTITUTE(SUBSTITUTE(TRIM(E222),"*",""),".",""),"-","")," ",""),4,6),SUBSTITUTE(SUBSTITUTE(SUBSTITUTE(SUBSTITUTE(TRIM(E222),"*",""),".",""),"-","")," ","")))</f>
        <v/>
      </c>
      <c r="H222" s="31" t="str">
        <f aca="false">IF(OR(F222="",G222=""),"",F222&amp;"|"&amp;G222)</f>
        <v/>
      </c>
      <c r="I222" s="23"/>
      <c r="J222" s="22"/>
      <c r="K222" s="22"/>
      <c r="L222" s="25" t="str">
        <f aca="false">IF(F222="","",IF(AND(H222&lt;&gt;"",COUNTIF(Pessoas!$E:$E,H222)&gt;0),"SIM",IF(COUNTIF(Pessoas!$C:$C,F222)&gt;0,"nome igual em Pessoas: confira o CPF","")))</f>
        <v/>
      </c>
      <c r="M222" s="24"/>
      <c r="N222" s="11"/>
    </row>
    <row r="223" customFormat="false" ht="15" hidden="false" customHeight="false" outlineLevel="0" collapsed="false">
      <c r="A223" s="24"/>
      <c r="B223" s="31" t="str">
        <f aca="false">IF(A223="","",IF(LEN(UPPER(SUBSTITUTE(SUBSTITUTE(SUBSTITUTE(SUBSTITUTE(TRIM(A223),".",""),"/",""),"-","")," ","")))&lt;14,RIGHT(REPT("0",14)&amp;UPPER(SUBSTITUTE(SUBSTITUTE(SUBSTITUTE(SUBSTITUTE(TRIM(A223),".",""),"/",""),"-","")," ","")),14),UPPER(SUBSTITUTE(SUBSTITUTE(SUBSTITUTE(SUBSTITUTE(TRIM(A223),".",""),"/",""),"-","")," ",""))))</f>
        <v/>
      </c>
      <c r="C223" s="25" t="str">
        <f aca="false">IF(B223="","",IFERROR(INDEX(Empresas!$C:$C,MATCH(B223,Empresas!$B:$B,0)),"cadastre o CNPJ em Empresas"))</f>
        <v/>
      </c>
      <c r="D223" s="23"/>
      <c r="E223" s="24"/>
      <c r="F223" s="31" t="str">
        <f aca="false">IF(D223="","",SUBSTITUTE(SUBSTITUTE(SUBSTITUTE(SUBSTITUTE(SUBSTITUTE(SUBSTITUTE(SUBSTITUTE(SUBSTITUTE(SUBSTITUTE(SUBSTITUTE(SUBSTITUTE(SUBSTITUTE(SUBSTITUTE(UPPER(TRIM(D223)),"Á","A"),"À","A"),"Â","A"),"Ã","A"),"É","E"),"Ê","E"),"Í","I"),"Ó","O"),"Ô","O"),"Õ","O"),"Ú","U"),"Ü","U"),"Ç","C"))</f>
        <v/>
      </c>
      <c r="G223" s="31" t="str">
        <f aca="false">IF(E223="","",IF(LEN(SUBSTITUTE(SUBSTITUTE(SUBSTITUTE(SUBSTITUTE(TRIM(E223),"*",""),".",""),"-","")," ",""))=11,MID(SUBSTITUTE(SUBSTITUTE(SUBSTITUTE(SUBSTITUTE(TRIM(E223),"*",""),".",""),"-","")," ",""),4,6),SUBSTITUTE(SUBSTITUTE(SUBSTITUTE(SUBSTITUTE(TRIM(E223),"*",""),".",""),"-","")," ","")))</f>
        <v/>
      </c>
      <c r="H223" s="31" t="str">
        <f aca="false">IF(OR(F223="",G223=""),"",F223&amp;"|"&amp;G223)</f>
        <v/>
      </c>
      <c r="I223" s="23"/>
      <c r="J223" s="22"/>
      <c r="K223" s="22"/>
      <c r="L223" s="25" t="str">
        <f aca="false">IF(F223="","",IF(AND(H223&lt;&gt;"",COUNTIF(Pessoas!$E:$E,H223)&gt;0),"SIM",IF(COUNTIF(Pessoas!$C:$C,F223)&gt;0,"nome igual em Pessoas: confira o CPF","")))</f>
        <v/>
      </c>
      <c r="M223" s="24"/>
      <c r="N223" s="11"/>
    </row>
    <row r="224" customFormat="false" ht="15" hidden="false" customHeight="false" outlineLevel="0" collapsed="false">
      <c r="A224" s="24"/>
      <c r="B224" s="31" t="str">
        <f aca="false">IF(A224="","",IF(LEN(UPPER(SUBSTITUTE(SUBSTITUTE(SUBSTITUTE(SUBSTITUTE(TRIM(A224),".",""),"/",""),"-","")," ","")))&lt;14,RIGHT(REPT("0",14)&amp;UPPER(SUBSTITUTE(SUBSTITUTE(SUBSTITUTE(SUBSTITUTE(TRIM(A224),".",""),"/",""),"-","")," ","")),14),UPPER(SUBSTITUTE(SUBSTITUTE(SUBSTITUTE(SUBSTITUTE(TRIM(A224),".",""),"/",""),"-","")," ",""))))</f>
        <v/>
      </c>
      <c r="C224" s="25" t="str">
        <f aca="false">IF(B224="","",IFERROR(INDEX(Empresas!$C:$C,MATCH(B224,Empresas!$B:$B,0)),"cadastre o CNPJ em Empresas"))</f>
        <v/>
      </c>
      <c r="D224" s="23"/>
      <c r="E224" s="24"/>
      <c r="F224" s="31" t="str">
        <f aca="false">IF(D224="","",SUBSTITUTE(SUBSTITUTE(SUBSTITUTE(SUBSTITUTE(SUBSTITUTE(SUBSTITUTE(SUBSTITUTE(SUBSTITUTE(SUBSTITUTE(SUBSTITUTE(SUBSTITUTE(SUBSTITUTE(SUBSTITUTE(UPPER(TRIM(D224)),"Á","A"),"À","A"),"Â","A"),"Ã","A"),"É","E"),"Ê","E"),"Í","I"),"Ó","O"),"Ô","O"),"Õ","O"),"Ú","U"),"Ü","U"),"Ç","C"))</f>
        <v/>
      </c>
      <c r="G224" s="31" t="str">
        <f aca="false">IF(E224="","",IF(LEN(SUBSTITUTE(SUBSTITUTE(SUBSTITUTE(SUBSTITUTE(TRIM(E224),"*",""),".",""),"-","")," ",""))=11,MID(SUBSTITUTE(SUBSTITUTE(SUBSTITUTE(SUBSTITUTE(TRIM(E224),"*",""),".",""),"-","")," ",""),4,6),SUBSTITUTE(SUBSTITUTE(SUBSTITUTE(SUBSTITUTE(TRIM(E224),"*",""),".",""),"-","")," ","")))</f>
        <v/>
      </c>
      <c r="H224" s="31" t="str">
        <f aca="false">IF(OR(F224="",G224=""),"",F224&amp;"|"&amp;G224)</f>
        <v/>
      </c>
      <c r="I224" s="23"/>
      <c r="J224" s="22"/>
      <c r="K224" s="22"/>
      <c r="L224" s="25" t="str">
        <f aca="false">IF(F224="","",IF(AND(H224&lt;&gt;"",COUNTIF(Pessoas!$E:$E,H224)&gt;0),"SIM",IF(COUNTIF(Pessoas!$C:$C,F224)&gt;0,"nome igual em Pessoas: confira o CPF","")))</f>
        <v/>
      </c>
      <c r="M224" s="24"/>
      <c r="N224" s="11"/>
    </row>
    <row r="225" customFormat="false" ht="15" hidden="false" customHeight="false" outlineLevel="0" collapsed="false">
      <c r="A225" s="24"/>
      <c r="B225" s="31" t="str">
        <f aca="false">IF(A225="","",IF(LEN(UPPER(SUBSTITUTE(SUBSTITUTE(SUBSTITUTE(SUBSTITUTE(TRIM(A225),".",""),"/",""),"-","")," ","")))&lt;14,RIGHT(REPT("0",14)&amp;UPPER(SUBSTITUTE(SUBSTITUTE(SUBSTITUTE(SUBSTITUTE(TRIM(A225),".",""),"/",""),"-","")," ","")),14),UPPER(SUBSTITUTE(SUBSTITUTE(SUBSTITUTE(SUBSTITUTE(TRIM(A225),".",""),"/",""),"-","")," ",""))))</f>
        <v/>
      </c>
      <c r="C225" s="25" t="str">
        <f aca="false">IF(B225="","",IFERROR(INDEX(Empresas!$C:$C,MATCH(B225,Empresas!$B:$B,0)),"cadastre o CNPJ em Empresas"))</f>
        <v/>
      </c>
      <c r="D225" s="23"/>
      <c r="E225" s="24"/>
      <c r="F225" s="31" t="str">
        <f aca="false">IF(D225="","",SUBSTITUTE(SUBSTITUTE(SUBSTITUTE(SUBSTITUTE(SUBSTITUTE(SUBSTITUTE(SUBSTITUTE(SUBSTITUTE(SUBSTITUTE(SUBSTITUTE(SUBSTITUTE(SUBSTITUTE(SUBSTITUTE(UPPER(TRIM(D225)),"Á","A"),"À","A"),"Â","A"),"Ã","A"),"É","E"),"Ê","E"),"Í","I"),"Ó","O"),"Ô","O"),"Õ","O"),"Ú","U"),"Ü","U"),"Ç","C"))</f>
        <v/>
      </c>
      <c r="G225" s="31" t="str">
        <f aca="false">IF(E225="","",IF(LEN(SUBSTITUTE(SUBSTITUTE(SUBSTITUTE(SUBSTITUTE(TRIM(E225),"*",""),".",""),"-","")," ",""))=11,MID(SUBSTITUTE(SUBSTITUTE(SUBSTITUTE(SUBSTITUTE(TRIM(E225),"*",""),".",""),"-","")," ",""),4,6),SUBSTITUTE(SUBSTITUTE(SUBSTITUTE(SUBSTITUTE(TRIM(E225),"*",""),".",""),"-","")," ","")))</f>
        <v/>
      </c>
      <c r="H225" s="31" t="str">
        <f aca="false">IF(OR(F225="",G225=""),"",F225&amp;"|"&amp;G225)</f>
        <v/>
      </c>
      <c r="I225" s="23"/>
      <c r="J225" s="22"/>
      <c r="K225" s="22"/>
      <c r="L225" s="25" t="str">
        <f aca="false">IF(F225="","",IF(AND(H225&lt;&gt;"",COUNTIF(Pessoas!$E:$E,H225)&gt;0),"SIM",IF(COUNTIF(Pessoas!$C:$C,F225)&gt;0,"nome igual em Pessoas: confira o CPF","")))</f>
        <v/>
      </c>
      <c r="M225" s="24"/>
      <c r="N225" s="11"/>
    </row>
    <row r="226" customFormat="false" ht="15" hidden="false" customHeight="false" outlineLevel="0" collapsed="false">
      <c r="A226" s="24"/>
      <c r="B226" s="31" t="str">
        <f aca="false">IF(A226="","",IF(LEN(UPPER(SUBSTITUTE(SUBSTITUTE(SUBSTITUTE(SUBSTITUTE(TRIM(A226),".",""),"/",""),"-","")," ","")))&lt;14,RIGHT(REPT("0",14)&amp;UPPER(SUBSTITUTE(SUBSTITUTE(SUBSTITUTE(SUBSTITUTE(TRIM(A226),".",""),"/",""),"-","")," ","")),14),UPPER(SUBSTITUTE(SUBSTITUTE(SUBSTITUTE(SUBSTITUTE(TRIM(A226),".",""),"/",""),"-","")," ",""))))</f>
        <v/>
      </c>
      <c r="C226" s="25" t="str">
        <f aca="false">IF(B226="","",IFERROR(INDEX(Empresas!$C:$C,MATCH(B226,Empresas!$B:$B,0)),"cadastre o CNPJ em Empresas"))</f>
        <v/>
      </c>
      <c r="D226" s="23"/>
      <c r="E226" s="24"/>
      <c r="F226" s="31" t="str">
        <f aca="false">IF(D226="","",SUBSTITUTE(SUBSTITUTE(SUBSTITUTE(SUBSTITUTE(SUBSTITUTE(SUBSTITUTE(SUBSTITUTE(SUBSTITUTE(SUBSTITUTE(SUBSTITUTE(SUBSTITUTE(SUBSTITUTE(SUBSTITUTE(UPPER(TRIM(D226)),"Á","A"),"À","A"),"Â","A"),"Ã","A"),"É","E"),"Ê","E"),"Í","I"),"Ó","O"),"Ô","O"),"Õ","O"),"Ú","U"),"Ü","U"),"Ç","C"))</f>
        <v/>
      </c>
      <c r="G226" s="31" t="str">
        <f aca="false">IF(E226="","",IF(LEN(SUBSTITUTE(SUBSTITUTE(SUBSTITUTE(SUBSTITUTE(TRIM(E226),"*",""),".",""),"-","")," ",""))=11,MID(SUBSTITUTE(SUBSTITUTE(SUBSTITUTE(SUBSTITUTE(TRIM(E226),"*",""),".",""),"-","")," ",""),4,6),SUBSTITUTE(SUBSTITUTE(SUBSTITUTE(SUBSTITUTE(TRIM(E226),"*",""),".",""),"-","")," ","")))</f>
        <v/>
      </c>
      <c r="H226" s="31" t="str">
        <f aca="false">IF(OR(F226="",G226=""),"",F226&amp;"|"&amp;G226)</f>
        <v/>
      </c>
      <c r="I226" s="23"/>
      <c r="J226" s="22"/>
      <c r="K226" s="22"/>
      <c r="L226" s="25" t="str">
        <f aca="false">IF(F226="","",IF(AND(H226&lt;&gt;"",COUNTIF(Pessoas!$E:$E,H226)&gt;0),"SIM",IF(COUNTIF(Pessoas!$C:$C,F226)&gt;0,"nome igual em Pessoas: confira o CPF","")))</f>
        <v/>
      </c>
      <c r="M226" s="24"/>
      <c r="N226" s="11"/>
    </row>
    <row r="227" customFormat="false" ht="15" hidden="false" customHeight="false" outlineLevel="0" collapsed="false">
      <c r="A227" s="24"/>
      <c r="B227" s="31" t="str">
        <f aca="false">IF(A227="","",IF(LEN(UPPER(SUBSTITUTE(SUBSTITUTE(SUBSTITUTE(SUBSTITUTE(TRIM(A227),".",""),"/",""),"-","")," ","")))&lt;14,RIGHT(REPT("0",14)&amp;UPPER(SUBSTITUTE(SUBSTITUTE(SUBSTITUTE(SUBSTITUTE(TRIM(A227),".",""),"/",""),"-","")," ","")),14),UPPER(SUBSTITUTE(SUBSTITUTE(SUBSTITUTE(SUBSTITUTE(TRIM(A227),".",""),"/",""),"-","")," ",""))))</f>
        <v/>
      </c>
      <c r="C227" s="25" t="str">
        <f aca="false">IF(B227="","",IFERROR(INDEX(Empresas!$C:$C,MATCH(B227,Empresas!$B:$B,0)),"cadastre o CNPJ em Empresas"))</f>
        <v/>
      </c>
      <c r="D227" s="23"/>
      <c r="E227" s="24"/>
      <c r="F227" s="31" t="str">
        <f aca="false">IF(D227="","",SUBSTITUTE(SUBSTITUTE(SUBSTITUTE(SUBSTITUTE(SUBSTITUTE(SUBSTITUTE(SUBSTITUTE(SUBSTITUTE(SUBSTITUTE(SUBSTITUTE(SUBSTITUTE(SUBSTITUTE(SUBSTITUTE(UPPER(TRIM(D227)),"Á","A"),"À","A"),"Â","A"),"Ã","A"),"É","E"),"Ê","E"),"Í","I"),"Ó","O"),"Ô","O"),"Õ","O"),"Ú","U"),"Ü","U"),"Ç","C"))</f>
        <v/>
      </c>
      <c r="G227" s="31" t="str">
        <f aca="false">IF(E227="","",IF(LEN(SUBSTITUTE(SUBSTITUTE(SUBSTITUTE(SUBSTITUTE(TRIM(E227),"*",""),".",""),"-","")," ",""))=11,MID(SUBSTITUTE(SUBSTITUTE(SUBSTITUTE(SUBSTITUTE(TRIM(E227),"*",""),".",""),"-","")," ",""),4,6),SUBSTITUTE(SUBSTITUTE(SUBSTITUTE(SUBSTITUTE(TRIM(E227),"*",""),".",""),"-","")," ","")))</f>
        <v/>
      </c>
      <c r="H227" s="31" t="str">
        <f aca="false">IF(OR(F227="",G227=""),"",F227&amp;"|"&amp;G227)</f>
        <v/>
      </c>
      <c r="I227" s="23"/>
      <c r="J227" s="22"/>
      <c r="K227" s="22"/>
      <c r="L227" s="25" t="str">
        <f aca="false">IF(F227="","",IF(AND(H227&lt;&gt;"",COUNTIF(Pessoas!$E:$E,H227)&gt;0),"SIM",IF(COUNTIF(Pessoas!$C:$C,F227)&gt;0,"nome igual em Pessoas: confira o CPF","")))</f>
        <v/>
      </c>
      <c r="M227" s="24"/>
      <c r="N227" s="11"/>
    </row>
    <row r="228" customFormat="false" ht="15" hidden="false" customHeight="false" outlineLevel="0" collapsed="false">
      <c r="A228" s="24"/>
      <c r="B228" s="31" t="str">
        <f aca="false">IF(A228="","",IF(LEN(UPPER(SUBSTITUTE(SUBSTITUTE(SUBSTITUTE(SUBSTITUTE(TRIM(A228),".",""),"/",""),"-","")," ","")))&lt;14,RIGHT(REPT("0",14)&amp;UPPER(SUBSTITUTE(SUBSTITUTE(SUBSTITUTE(SUBSTITUTE(TRIM(A228),".",""),"/",""),"-","")," ","")),14),UPPER(SUBSTITUTE(SUBSTITUTE(SUBSTITUTE(SUBSTITUTE(TRIM(A228),".",""),"/",""),"-","")," ",""))))</f>
        <v/>
      </c>
      <c r="C228" s="25" t="str">
        <f aca="false">IF(B228="","",IFERROR(INDEX(Empresas!$C:$C,MATCH(B228,Empresas!$B:$B,0)),"cadastre o CNPJ em Empresas"))</f>
        <v/>
      </c>
      <c r="D228" s="23"/>
      <c r="E228" s="24"/>
      <c r="F228" s="31" t="str">
        <f aca="false">IF(D228="","",SUBSTITUTE(SUBSTITUTE(SUBSTITUTE(SUBSTITUTE(SUBSTITUTE(SUBSTITUTE(SUBSTITUTE(SUBSTITUTE(SUBSTITUTE(SUBSTITUTE(SUBSTITUTE(SUBSTITUTE(SUBSTITUTE(UPPER(TRIM(D228)),"Á","A"),"À","A"),"Â","A"),"Ã","A"),"É","E"),"Ê","E"),"Í","I"),"Ó","O"),"Ô","O"),"Õ","O"),"Ú","U"),"Ü","U"),"Ç","C"))</f>
        <v/>
      </c>
      <c r="G228" s="31" t="str">
        <f aca="false">IF(E228="","",IF(LEN(SUBSTITUTE(SUBSTITUTE(SUBSTITUTE(SUBSTITUTE(TRIM(E228),"*",""),".",""),"-","")," ",""))=11,MID(SUBSTITUTE(SUBSTITUTE(SUBSTITUTE(SUBSTITUTE(TRIM(E228),"*",""),".",""),"-","")," ",""),4,6),SUBSTITUTE(SUBSTITUTE(SUBSTITUTE(SUBSTITUTE(TRIM(E228),"*",""),".",""),"-","")," ","")))</f>
        <v/>
      </c>
      <c r="H228" s="31" t="str">
        <f aca="false">IF(OR(F228="",G228=""),"",F228&amp;"|"&amp;G228)</f>
        <v/>
      </c>
      <c r="I228" s="23"/>
      <c r="J228" s="22"/>
      <c r="K228" s="22"/>
      <c r="L228" s="25" t="str">
        <f aca="false">IF(F228="","",IF(AND(H228&lt;&gt;"",COUNTIF(Pessoas!$E:$E,H228)&gt;0),"SIM",IF(COUNTIF(Pessoas!$C:$C,F228)&gt;0,"nome igual em Pessoas: confira o CPF","")))</f>
        <v/>
      </c>
      <c r="M228" s="24"/>
      <c r="N228" s="11"/>
    </row>
    <row r="229" customFormat="false" ht="15" hidden="false" customHeight="false" outlineLevel="0" collapsed="false">
      <c r="A229" s="24"/>
      <c r="B229" s="31" t="str">
        <f aca="false">IF(A229="","",IF(LEN(UPPER(SUBSTITUTE(SUBSTITUTE(SUBSTITUTE(SUBSTITUTE(TRIM(A229),".",""),"/",""),"-","")," ","")))&lt;14,RIGHT(REPT("0",14)&amp;UPPER(SUBSTITUTE(SUBSTITUTE(SUBSTITUTE(SUBSTITUTE(TRIM(A229),".",""),"/",""),"-","")," ","")),14),UPPER(SUBSTITUTE(SUBSTITUTE(SUBSTITUTE(SUBSTITUTE(TRIM(A229),".",""),"/",""),"-","")," ",""))))</f>
        <v/>
      </c>
      <c r="C229" s="25" t="str">
        <f aca="false">IF(B229="","",IFERROR(INDEX(Empresas!$C:$C,MATCH(B229,Empresas!$B:$B,0)),"cadastre o CNPJ em Empresas"))</f>
        <v/>
      </c>
      <c r="D229" s="23"/>
      <c r="E229" s="24"/>
      <c r="F229" s="31" t="str">
        <f aca="false">IF(D229="","",SUBSTITUTE(SUBSTITUTE(SUBSTITUTE(SUBSTITUTE(SUBSTITUTE(SUBSTITUTE(SUBSTITUTE(SUBSTITUTE(SUBSTITUTE(SUBSTITUTE(SUBSTITUTE(SUBSTITUTE(SUBSTITUTE(UPPER(TRIM(D229)),"Á","A"),"À","A"),"Â","A"),"Ã","A"),"É","E"),"Ê","E"),"Í","I"),"Ó","O"),"Ô","O"),"Õ","O"),"Ú","U"),"Ü","U"),"Ç","C"))</f>
        <v/>
      </c>
      <c r="G229" s="31" t="str">
        <f aca="false">IF(E229="","",IF(LEN(SUBSTITUTE(SUBSTITUTE(SUBSTITUTE(SUBSTITUTE(TRIM(E229),"*",""),".",""),"-","")," ",""))=11,MID(SUBSTITUTE(SUBSTITUTE(SUBSTITUTE(SUBSTITUTE(TRIM(E229),"*",""),".",""),"-","")," ",""),4,6),SUBSTITUTE(SUBSTITUTE(SUBSTITUTE(SUBSTITUTE(TRIM(E229),"*",""),".",""),"-","")," ","")))</f>
        <v/>
      </c>
      <c r="H229" s="31" t="str">
        <f aca="false">IF(OR(F229="",G229=""),"",F229&amp;"|"&amp;G229)</f>
        <v/>
      </c>
      <c r="I229" s="23"/>
      <c r="J229" s="22"/>
      <c r="K229" s="22"/>
      <c r="L229" s="25" t="str">
        <f aca="false">IF(F229="","",IF(AND(H229&lt;&gt;"",COUNTIF(Pessoas!$E:$E,H229)&gt;0),"SIM",IF(COUNTIF(Pessoas!$C:$C,F229)&gt;0,"nome igual em Pessoas: confira o CPF","")))</f>
        <v/>
      </c>
      <c r="M229" s="24"/>
      <c r="N229" s="11"/>
    </row>
    <row r="230" customFormat="false" ht="15" hidden="false" customHeight="false" outlineLevel="0" collapsed="false">
      <c r="A230" s="24"/>
      <c r="B230" s="31" t="str">
        <f aca="false">IF(A230="","",IF(LEN(UPPER(SUBSTITUTE(SUBSTITUTE(SUBSTITUTE(SUBSTITUTE(TRIM(A230),".",""),"/",""),"-","")," ","")))&lt;14,RIGHT(REPT("0",14)&amp;UPPER(SUBSTITUTE(SUBSTITUTE(SUBSTITUTE(SUBSTITUTE(TRIM(A230),".",""),"/",""),"-","")," ","")),14),UPPER(SUBSTITUTE(SUBSTITUTE(SUBSTITUTE(SUBSTITUTE(TRIM(A230),".",""),"/",""),"-","")," ",""))))</f>
        <v/>
      </c>
      <c r="C230" s="25" t="str">
        <f aca="false">IF(B230="","",IFERROR(INDEX(Empresas!$C:$C,MATCH(B230,Empresas!$B:$B,0)),"cadastre o CNPJ em Empresas"))</f>
        <v/>
      </c>
      <c r="D230" s="23"/>
      <c r="E230" s="24"/>
      <c r="F230" s="31" t="str">
        <f aca="false">IF(D230="","",SUBSTITUTE(SUBSTITUTE(SUBSTITUTE(SUBSTITUTE(SUBSTITUTE(SUBSTITUTE(SUBSTITUTE(SUBSTITUTE(SUBSTITUTE(SUBSTITUTE(SUBSTITUTE(SUBSTITUTE(SUBSTITUTE(UPPER(TRIM(D230)),"Á","A"),"À","A"),"Â","A"),"Ã","A"),"É","E"),"Ê","E"),"Í","I"),"Ó","O"),"Ô","O"),"Õ","O"),"Ú","U"),"Ü","U"),"Ç","C"))</f>
        <v/>
      </c>
      <c r="G230" s="31" t="str">
        <f aca="false">IF(E230="","",IF(LEN(SUBSTITUTE(SUBSTITUTE(SUBSTITUTE(SUBSTITUTE(TRIM(E230),"*",""),".",""),"-","")," ",""))=11,MID(SUBSTITUTE(SUBSTITUTE(SUBSTITUTE(SUBSTITUTE(TRIM(E230),"*",""),".",""),"-","")," ",""),4,6),SUBSTITUTE(SUBSTITUTE(SUBSTITUTE(SUBSTITUTE(TRIM(E230),"*",""),".",""),"-","")," ","")))</f>
        <v/>
      </c>
      <c r="H230" s="31" t="str">
        <f aca="false">IF(OR(F230="",G230=""),"",F230&amp;"|"&amp;G230)</f>
        <v/>
      </c>
      <c r="I230" s="23"/>
      <c r="J230" s="22"/>
      <c r="K230" s="22"/>
      <c r="L230" s="25" t="str">
        <f aca="false">IF(F230="","",IF(AND(H230&lt;&gt;"",COUNTIF(Pessoas!$E:$E,H230)&gt;0),"SIM",IF(COUNTIF(Pessoas!$C:$C,F230)&gt;0,"nome igual em Pessoas: confira o CPF","")))</f>
        <v/>
      </c>
      <c r="M230" s="24"/>
      <c r="N230" s="11"/>
    </row>
    <row r="231" customFormat="false" ht="15" hidden="false" customHeight="false" outlineLevel="0" collapsed="false">
      <c r="A231" s="24"/>
      <c r="B231" s="31" t="str">
        <f aca="false">IF(A231="","",IF(LEN(UPPER(SUBSTITUTE(SUBSTITUTE(SUBSTITUTE(SUBSTITUTE(TRIM(A231),".",""),"/",""),"-","")," ","")))&lt;14,RIGHT(REPT("0",14)&amp;UPPER(SUBSTITUTE(SUBSTITUTE(SUBSTITUTE(SUBSTITUTE(TRIM(A231),".",""),"/",""),"-","")," ","")),14),UPPER(SUBSTITUTE(SUBSTITUTE(SUBSTITUTE(SUBSTITUTE(TRIM(A231),".",""),"/",""),"-","")," ",""))))</f>
        <v/>
      </c>
      <c r="C231" s="25" t="str">
        <f aca="false">IF(B231="","",IFERROR(INDEX(Empresas!$C:$C,MATCH(B231,Empresas!$B:$B,0)),"cadastre o CNPJ em Empresas"))</f>
        <v/>
      </c>
      <c r="D231" s="23"/>
      <c r="E231" s="24"/>
      <c r="F231" s="31" t="str">
        <f aca="false">IF(D231="","",SUBSTITUTE(SUBSTITUTE(SUBSTITUTE(SUBSTITUTE(SUBSTITUTE(SUBSTITUTE(SUBSTITUTE(SUBSTITUTE(SUBSTITUTE(SUBSTITUTE(SUBSTITUTE(SUBSTITUTE(SUBSTITUTE(UPPER(TRIM(D231)),"Á","A"),"À","A"),"Â","A"),"Ã","A"),"É","E"),"Ê","E"),"Í","I"),"Ó","O"),"Ô","O"),"Õ","O"),"Ú","U"),"Ü","U"),"Ç","C"))</f>
        <v/>
      </c>
      <c r="G231" s="31" t="str">
        <f aca="false">IF(E231="","",IF(LEN(SUBSTITUTE(SUBSTITUTE(SUBSTITUTE(SUBSTITUTE(TRIM(E231),"*",""),".",""),"-","")," ",""))=11,MID(SUBSTITUTE(SUBSTITUTE(SUBSTITUTE(SUBSTITUTE(TRIM(E231),"*",""),".",""),"-","")," ",""),4,6),SUBSTITUTE(SUBSTITUTE(SUBSTITUTE(SUBSTITUTE(TRIM(E231),"*",""),".",""),"-","")," ","")))</f>
        <v/>
      </c>
      <c r="H231" s="31" t="str">
        <f aca="false">IF(OR(F231="",G231=""),"",F231&amp;"|"&amp;G231)</f>
        <v/>
      </c>
      <c r="I231" s="23"/>
      <c r="J231" s="22"/>
      <c r="K231" s="22"/>
      <c r="L231" s="25" t="str">
        <f aca="false">IF(F231="","",IF(AND(H231&lt;&gt;"",COUNTIF(Pessoas!$E:$E,H231)&gt;0),"SIM",IF(COUNTIF(Pessoas!$C:$C,F231)&gt;0,"nome igual em Pessoas: confira o CPF","")))</f>
        <v/>
      </c>
      <c r="M231" s="24"/>
      <c r="N231" s="11"/>
    </row>
    <row r="232" customFormat="false" ht="15" hidden="false" customHeight="false" outlineLevel="0" collapsed="false">
      <c r="A232" s="24"/>
      <c r="B232" s="31" t="str">
        <f aca="false">IF(A232="","",IF(LEN(UPPER(SUBSTITUTE(SUBSTITUTE(SUBSTITUTE(SUBSTITUTE(TRIM(A232),".",""),"/",""),"-","")," ","")))&lt;14,RIGHT(REPT("0",14)&amp;UPPER(SUBSTITUTE(SUBSTITUTE(SUBSTITUTE(SUBSTITUTE(TRIM(A232),".",""),"/",""),"-","")," ","")),14),UPPER(SUBSTITUTE(SUBSTITUTE(SUBSTITUTE(SUBSTITUTE(TRIM(A232),".",""),"/",""),"-","")," ",""))))</f>
        <v/>
      </c>
      <c r="C232" s="25" t="str">
        <f aca="false">IF(B232="","",IFERROR(INDEX(Empresas!$C:$C,MATCH(B232,Empresas!$B:$B,0)),"cadastre o CNPJ em Empresas"))</f>
        <v/>
      </c>
      <c r="D232" s="23"/>
      <c r="E232" s="24"/>
      <c r="F232" s="31" t="str">
        <f aca="false">IF(D232="","",SUBSTITUTE(SUBSTITUTE(SUBSTITUTE(SUBSTITUTE(SUBSTITUTE(SUBSTITUTE(SUBSTITUTE(SUBSTITUTE(SUBSTITUTE(SUBSTITUTE(SUBSTITUTE(SUBSTITUTE(SUBSTITUTE(UPPER(TRIM(D232)),"Á","A"),"À","A"),"Â","A"),"Ã","A"),"É","E"),"Ê","E"),"Í","I"),"Ó","O"),"Ô","O"),"Õ","O"),"Ú","U"),"Ü","U"),"Ç","C"))</f>
        <v/>
      </c>
      <c r="G232" s="31" t="str">
        <f aca="false">IF(E232="","",IF(LEN(SUBSTITUTE(SUBSTITUTE(SUBSTITUTE(SUBSTITUTE(TRIM(E232),"*",""),".",""),"-","")," ",""))=11,MID(SUBSTITUTE(SUBSTITUTE(SUBSTITUTE(SUBSTITUTE(TRIM(E232),"*",""),".",""),"-","")," ",""),4,6),SUBSTITUTE(SUBSTITUTE(SUBSTITUTE(SUBSTITUTE(TRIM(E232),"*",""),".",""),"-","")," ","")))</f>
        <v/>
      </c>
      <c r="H232" s="31" t="str">
        <f aca="false">IF(OR(F232="",G232=""),"",F232&amp;"|"&amp;G232)</f>
        <v/>
      </c>
      <c r="I232" s="23"/>
      <c r="J232" s="22"/>
      <c r="K232" s="22"/>
      <c r="L232" s="25" t="str">
        <f aca="false">IF(F232="","",IF(AND(H232&lt;&gt;"",COUNTIF(Pessoas!$E:$E,H232)&gt;0),"SIM",IF(COUNTIF(Pessoas!$C:$C,F232)&gt;0,"nome igual em Pessoas: confira o CPF","")))</f>
        <v/>
      </c>
      <c r="M232" s="24"/>
      <c r="N232" s="11"/>
    </row>
    <row r="233" customFormat="false" ht="15" hidden="false" customHeight="false" outlineLevel="0" collapsed="false">
      <c r="A233" s="24"/>
      <c r="B233" s="31" t="str">
        <f aca="false">IF(A233="","",IF(LEN(UPPER(SUBSTITUTE(SUBSTITUTE(SUBSTITUTE(SUBSTITUTE(TRIM(A233),".",""),"/",""),"-","")," ","")))&lt;14,RIGHT(REPT("0",14)&amp;UPPER(SUBSTITUTE(SUBSTITUTE(SUBSTITUTE(SUBSTITUTE(TRIM(A233),".",""),"/",""),"-","")," ","")),14),UPPER(SUBSTITUTE(SUBSTITUTE(SUBSTITUTE(SUBSTITUTE(TRIM(A233),".",""),"/",""),"-","")," ",""))))</f>
        <v/>
      </c>
      <c r="C233" s="25" t="str">
        <f aca="false">IF(B233="","",IFERROR(INDEX(Empresas!$C:$C,MATCH(B233,Empresas!$B:$B,0)),"cadastre o CNPJ em Empresas"))</f>
        <v/>
      </c>
      <c r="D233" s="23"/>
      <c r="E233" s="24"/>
      <c r="F233" s="31" t="str">
        <f aca="false">IF(D233="","",SUBSTITUTE(SUBSTITUTE(SUBSTITUTE(SUBSTITUTE(SUBSTITUTE(SUBSTITUTE(SUBSTITUTE(SUBSTITUTE(SUBSTITUTE(SUBSTITUTE(SUBSTITUTE(SUBSTITUTE(SUBSTITUTE(UPPER(TRIM(D233)),"Á","A"),"À","A"),"Â","A"),"Ã","A"),"É","E"),"Ê","E"),"Í","I"),"Ó","O"),"Ô","O"),"Õ","O"),"Ú","U"),"Ü","U"),"Ç","C"))</f>
        <v/>
      </c>
      <c r="G233" s="31" t="str">
        <f aca="false">IF(E233="","",IF(LEN(SUBSTITUTE(SUBSTITUTE(SUBSTITUTE(SUBSTITUTE(TRIM(E233),"*",""),".",""),"-","")," ",""))=11,MID(SUBSTITUTE(SUBSTITUTE(SUBSTITUTE(SUBSTITUTE(TRIM(E233),"*",""),".",""),"-","")," ",""),4,6),SUBSTITUTE(SUBSTITUTE(SUBSTITUTE(SUBSTITUTE(TRIM(E233),"*",""),".",""),"-","")," ","")))</f>
        <v/>
      </c>
      <c r="H233" s="31" t="str">
        <f aca="false">IF(OR(F233="",G233=""),"",F233&amp;"|"&amp;G233)</f>
        <v/>
      </c>
      <c r="I233" s="23"/>
      <c r="J233" s="22"/>
      <c r="K233" s="22"/>
      <c r="L233" s="25" t="str">
        <f aca="false">IF(F233="","",IF(AND(H233&lt;&gt;"",COUNTIF(Pessoas!$E:$E,H233)&gt;0),"SIM",IF(COUNTIF(Pessoas!$C:$C,F233)&gt;0,"nome igual em Pessoas: confira o CPF","")))</f>
        <v/>
      </c>
      <c r="M233" s="24"/>
      <c r="N233" s="11"/>
    </row>
    <row r="234" customFormat="false" ht="15" hidden="false" customHeight="false" outlineLevel="0" collapsed="false">
      <c r="A234" s="24"/>
      <c r="B234" s="31" t="str">
        <f aca="false">IF(A234="","",IF(LEN(UPPER(SUBSTITUTE(SUBSTITUTE(SUBSTITUTE(SUBSTITUTE(TRIM(A234),".",""),"/",""),"-","")," ","")))&lt;14,RIGHT(REPT("0",14)&amp;UPPER(SUBSTITUTE(SUBSTITUTE(SUBSTITUTE(SUBSTITUTE(TRIM(A234),".",""),"/",""),"-","")," ","")),14),UPPER(SUBSTITUTE(SUBSTITUTE(SUBSTITUTE(SUBSTITUTE(TRIM(A234),".",""),"/",""),"-","")," ",""))))</f>
        <v/>
      </c>
      <c r="C234" s="25" t="str">
        <f aca="false">IF(B234="","",IFERROR(INDEX(Empresas!$C:$C,MATCH(B234,Empresas!$B:$B,0)),"cadastre o CNPJ em Empresas"))</f>
        <v/>
      </c>
      <c r="D234" s="23"/>
      <c r="E234" s="24"/>
      <c r="F234" s="31" t="str">
        <f aca="false">IF(D234="","",SUBSTITUTE(SUBSTITUTE(SUBSTITUTE(SUBSTITUTE(SUBSTITUTE(SUBSTITUTE(SUBSTITUTE(SUBSTITUTE(SUBSTITUTE(SUBSTITUTE(SUBSTITUTE(SUBSTITUTE(SUBSTITUTE(UPPER(TRIM(D234)),"Á","A"),"À","A"),"Â","A"),"Ã","A"),"É","E"),"Ê","E"),"Í","I"),"Ó","O"),"Ô","O"),"Õ","O"),"Ú","U"),"Ü","U"),"Ç","C"))</f>
        <v/>
      </c>
      <c r="G234" s="31" t="str">
        <f aca="false">IF(E234="","",IF(LEN(SUBSTITUTE(SUBSTITUTE(SUBSTITUTE(SUBSTITUTE(TRIM(E234),"*",""),".",""),"-","")," ",""))=11,MID(SUBSTITUTE(SUBSTITUTE(SUBSTITUTE(SUBSTITUTE(TRIM(E234),"*",""),".",""),"-","")," ",""),4,6),SUBSTITUTE(SUBSTITUTE(SUBSTITUTE(SUBSTITUTE(TRIM(E234),"*",""),".",""),"-","")," ","")))</f>
        <v/>
      </c>
      <c r="H234" s="31" t="str">
        <f aca="false">IF(OR(F234="",G234=""),"",F234&amp;"|"&amp;G234)</f>
        <v/>
      </c>
      <c r="I234" s="23"/>
      <c r="J234" s="22"/>
      <c r="K234" s="22"/>
      <c r="L234" s="25" t="str">
        <f aca="false">IF(F234="","",IF(AND(H234&lt;&gt;"",COUNTIF(Pessoas!$E:$E,H234)&gt;0),"SIM",IF(COUNTIF(Pessoas!$C:$C,F234)&gt;0,"nome igual em Pessoas: confira o CPF","")))</f>
        <v/>
      </c>
      <c r="M234" s="24"/>
      <c r="N234" s="11"/>
    </row>
    <row r="235" customFormat="false" ht="15" hidden="false" customHeight="false" outlineLevel="0" collapsed="false">
      <c r="A235" s="24"/>
      <c r="B235" s="31" t="str">
        <f aca="false">IF(A235="","",IF(LEN(UPPER(SUBSTITUTE(SUBSTITUTE(SUBSTITUTE(SUBSTITUTE(TRIM(A235),".",""),"/",""),"-","")," ","")))&lt;14,RIGHT(REPT("0",14)&amp;UPPER(SUBSTITUTE(SUBSTITUTE(SUBSTITUTE(SUBSTITUTE(TRIM(A235),".",""),"/",""),"-","")," ","")),14),UPPER(SUBSTITUTE(SUBSTITUTE(SUBSTITUTE(SUBSTITUTE(TRIM(A235),".",""),"/",""),"-","")," ",""))))</f>
        <v/>
      </c>
      <c r="C235" s="25" t="str">
        <f aca="false">IF(B235="","",IFERROR(INDEX(Empresas!$C:$C,MATCH(B235,Empresas!$B:$B,0)),"cadastre o CNPJ em Empresas"))</f>
        <v/>
      </c>
      <c r="D235" s="23"/>
      <c r="E235" s="24"/>
      <c r="F235" s="31" t="str">
        <f aca="false">IF(D235="","",SUBSTITUTE(SUBSTITUTE(SUBSTITUTE(SUBSTITUTE(SUBSTITUTE(SUBSTITUTE(SUBSTITUTE(SUBSTITUTE(SUBSTITUTE(SUBSTITUTE(SUBSTITUTE(SUBSTITUTE(SUBSTITUTE(UPPER(TRIM(D235)),"Á","A"),"À","A"),"Â","A"),"Ã","A"),"É","E"),"Ê","E"),"Í","I"),"Ó","O"),"Ô","O"),"Õ","O"),"Ú","U"),"Ü","U"),"Ç","C"))</f>
        <v/>
      </c>
      <c r="G235" s="31" t="str">
        <f aca="false">IF(E235="","",IF(LEN(SUBSTITUTE(SUBSTITUTE(SUBSTITUTE(SUBSTITUTE(TRIM(E235),"*",""),".",""),"-","")," ",""))=11,MID(SUBSTITUTE(SUBSTITUTE(SUBSTITUTE(SUBSTITUTE(TRIM(E235),"*",""),".",""),"-","")," ",""),4,6),SUBSTITUTE(SUBSTITUTE(SUBSTITUTE(SUBSTITUTE(TRIM(E235),"*",""),".",""),"-","")," ","")))</f>
        <v/>
      </c>
      <c r="H235" s="31" t="str">
        <f aca="false">IF(OR(F235="",G235=""),"",F235&amp;"|"&amp;G235)</f>
        <v/>
      </c>
      <c r="I235" s="23"/>
      <c r="J235" s="22"/>
      <c r="K235" s="22"/>
      <c r="L235" s="25" t="str">
        <f aca="false">IF(F235="","",IF(AND(H235&lt;&gt;"",COUNTIF(Pessoas!$E:$E,H235)&gt;0),"SIM",IF(COUNTIF(Pessoas!$C:$C,F235)&gt;0,"nome igual em Pessoas: confira o CPF","")))</f>
        <v/>
      </c>
      <c r="M235" s="24"/>
      <c r="N235" s="11"/>
    </row>
    <row r="236" customFormat="false" ht="15" hidden="false" customHeight="false" outlineLevel="0" collapsed="false">
      <c r="A236" s="24"/>
      <c r="B236" s="31" t="str">
        <f aca="false">IF(A236="","",IF(LEN(UPPER(SUBSTITUTE(SUBSTITUTE(SUBSTITUTE(SUBSTITUTE(TRIM(A236),".",""),"/",""),"-","")," ","")))&lt;14,RIGHT(REPT("0",14)&amp;UPPER(SUBSTITUTE(SUBSTITUTE(SUBSTITUTE(SUBSTITUTE(TRIM(A236),".",""),"/",""),"-","")," ","")),14),UPPER(SUBSTITUTE(SUBSTITUTE(SUBSTITUTE(SUBSTITUTE(TRIM(A236),".",""),"/",""),"-","")," ",""))))</f>
        <v/>
      </c>
      <c r="C236" s="25" t="str">
        <f aca="false">IF(B236="","",IFERROR(INDEX(Empresas!$C:$C,MATCH(B236,Empresas!$B:$B,0)),"cadastre o CNPJ em Empresas"))</f>
        <v/>
      </c>
      <c r="D236" s="23"/>
      <c r="E236" s="24"/>
      <c r="F236" s="31" t="str">
        <f aca="false">IF(D236="","",SUBSTITUTE(SUBSTITUTE(SUBSTITUTE(SUBSTITUTE(SUBSTITUTE(SUBSTITUTE(SUBSTITUTE(SUBSTITUTE(SUBSTITUTE(SUBSTITUTE(SUBSTITUTE(SUBSTITUTE(SUBSTITUTE(UPPER(TRIM(D236)),"Á","A"),"À","A"),"Â","A"),"Ã","A"),"É","E"),"Ê","E"),"Í","I"),"Ó","O"),"Ô","O"),"Õ","O"),"Ú","U"),"Ü","U"),"Ç","C"))</f>
        <v/>
      </c>
      <c r="G236" s="31" t="str">
        <f aca="false">IF(E236="","",IF(LEN(SUBSTITUTE(SUBSTITUTE(SUBSTITUTE(SUBSTITUTE(TRIM(E236),"*",""),".",""),"-","")," ",""))=11,MID(SUBSTITUTE(SUBSTITUTE(SUBSTITUTE(SUBSTITUTE(TRIM(E236),"*",""),".",""),"-","")," ",""),4,6),SUBSTITUTE(SUBSTITUTE(SUBSTITUTE(SUBSTITUTE(TRIM(E236),"*",""),".",""),"-","")," ","")))</f>
        <v/>
      </c>
      <c r="H236" s="31" t="str">
        <f aca="false">IF(OR(F236="",G236=""),"",F236&amp;"|"&amp;G236)</f>
        <v/>
      </c>
      <c r="I236" s="23"/>
      <c r="J236" s="22"/>
      <c r="K236" s="22"/>
      <c r="L236" s="25" t="str">
        <f aca="false">IF(F236="","",IF(AND(H236&lt;&gt;"",COUNTIF(Pessoas!$E:$E,H236)&gt;0),"SIM",IF(COUNTIF(Pessoas!$C:$C,F236)&gt;0,"nome igual em Pessoas: confira o CPF","")))</f>
        <v/>
      </c>
      <c r="M236" s="24"/>
      <c r="N236" s="11"/>
    </row>
    <row r="237" customFormat="false" ht="15" hidden="false" customHeight="false" outlineLevel="0" collapsed="false">
      <c r="A237" s="24"/>
      <c r="B237" s="31" t="str">
        <f aca="false">IF(A237="","",IF(LEN(UPPER(SUBSTITUTE(SUBSTITUTE(SUBSTITUTE(SUBSTITUTE(TRIM(A237),".",""),"/",""),"-","")," ","")))&lt;14,RIGHT(REPT("0",14)&amp;UPPER(SUBSTITUTE(SUBSTITUTE(SUBSTITUTE(SUBSTITUTE(TRIM(A237),".",""),"/",""),"-","")," ","")),14),UPPER(SUBSTITUTE(SUBSTITUTE(SUBSTITUTE(SUBSTITUTE(TRIM(A237),".",""),"/",""),"-","")," ",""))))</f>
        <v/>
      </c>
      <c r="C237" s="25" t="str">
        <f aca="false">IF(B237="","",IFERROR(INDEX(Empresas!$C:$C,MATCH(B237,Empresas!$B:$B,0)),"cadastre o CNPJ em Empresas"))</f>
        <v/>
      </c>
      <c r="D237" s="23"/>
      <c r="E237" s="24"/>
      <c r="F237" s="31" t="str">
        <f aca="false">IF(D237="","",SUBSTITUTE(SUBSTITUTE(SUBSTITUTE(SUBSTITUTE(SUBSTITUTE(SUBSTITUTE(SUBSTITUTE(SUBSTITUTE(SUBSTITUTE(SUBSTITUTE(SUBSTITUTE(SUBSTITUTE(SUBSTITUTE(UPPER(TRIM(D237)),"Á","A"),"À","A"),"Â","A"),"Ã","A"),"É","E"),"Ê","E"),"Í","I"),"Ó","O"),"Ô","O"),"Õ","O"),"Ú","U"),"Ü","U"),"Ç","C"))</f>
        <v/>
      </c>
      <c r="G237" s="31" t="str">
        <f aca="false">IF(E237="","",IF(LEN(SUBSTITUTE(SUBSTITUTE(SUBSTITUTE(SUBSTITUTE(TRIM(E237),"*",""),".",""),"-","")," ",""))=11,MID(SUBSTITUTE(SUBSTITUTE(SUBSTITUTE(SUBSTITUTE(TRIM(E237),"*",""),".",""),"-","")," ",""),4,6),SUBSTITUTE(SUBSTITUTE(SUBSTITUTE(SUBSTITUTE(TRIM(E237),"*",""),".",""),"-","")," ","")))</f>
        <v/>
      </c>
      <c r="H237" s="31" t="str">
        <f aca="false">IF(OR(F237="",G237=""),"",F237&amp;"|"&amp;G237)</f>
        <v/>
      </c>
      <c r="I237" s="23"/>
      <c r="J237" s="22"/>
      <c r="K237" s="22"/>
      <c r="L237" s="25" t="str">
        <f aca="false">IF(F237="","",IF(AND(H237&lt;&gt;"",COUNTIF(Pessoas!$E:$E,H237)&gt;0),"SIM",IF(COUNTIF(Pessoas!$C:$C,F237)&gt;0,"nome igual em Pessoas: confira o CPF","")))</f>
        <v/>
      </c>
      <c r="M237" s="24"/>
      <c r="N237" s="11"/>
    </row>
    <row r="238" customFormat="false" ht="15" hidden="false" customHeight="false" outlineLevel="0" collapsed="false">
      <c r="A238" s="24"/>
      <c r="B238" s="31" t="str">
        <f aca="false">IF(A238="","",IF(LEN(UPPER(SUBSTITUTE(SUBSTITUTE(SUBSTITUTE(SUBSTITUTE(TRIM(A238),".",""),"/",""),"-","")," ","")))&lt;14,RIGHT(REPT("0",14)&amp;UPPER(SUBSTITUTE(SUBSTITUTE(SUBSTITUTE(SUBSTITUTE(TRIM(A238),".",""),"/",""),"-","")," ","")),14),UPPER(SUBSTITUTE(SUBSTITUTE(SUBSTITUTE(SUBSTITUTE(TRIM(A238),".",""),"/",""),"-","")," ",""))))</f>
        <v/>
      </c>
      <c r="C238" s="25" t="str">
        <f aca="false">IF(B238="","",IFERROR(INDEX(Empresas!$C:$C,MATCH(B238,Empresas!$B:$B,0)),"cadastre o CNPJ em Empresas"))</f>
        <v/>
      </c>
      <c r="D238" s="23"/>
      <c r="E238" s="24"/>
      <c r="F238" s="31" t="str">
        <f aca="false">IF(D238="","",SUBSTITUTE(SUBSTITUTE(SUBSTITUTE(SUBSTITUTE(SUBSTITUTE(SUBSTITUTE(SUBSTITUTE(SUBSTITUTE(SUBSTITUTE(SUBSTITUTE(SUBSTITUTE(SUBSTITUTE(SUBSTITUTE(UPPER(TRIM(D238)),"Á","A"),"À","A"),"Â","A"),"Ã","A"),"É","E"),"Ê","E"),"Í","I"),"Ó","O"),"Ô","O"),"Õ","O"),"Ú","U"),"Ü","U"),"Ç","C"))</f>
        <v/>
      </c>
      <c r="G238" s="31" t="str">
        <f aca="false">IF(E238="","",IF(LEN(SUBSTITUTE(SUBSTITUTE(SUBSTITUTE(SUBSTITUTE(TRIM(E238),"*",""),".",""),"-","")," ",""))=11,MID(SUBSTITUTE(SUBSTITUTE(SUBSTITUTE(SUBSTITUTE(TRIM(E238),"*",""),".",""),"-","")," ",""),4,6),SUBSTITUTE(SUBSTITUTE(SUBSTITUTE(SUBSTITUTE(TRIM(E238),"*",""),".",""),"-","")," ","")))</f>
        <v/>
      </c>
      <c r="H238" s="31" t="str">
        <f aca="false">IF(OR(F238="",G238=""),"",F238&amp;"|"&amp;G238)</f>
        <v/>
      </c>
      <c r="I238" s="23"/>
      <c r="J238" s="22"/>
      <c r="K238" s="22"/>
      <c r="L238" s="25" t="str">
        <f aca="false">IF(F238="","",IF(AND(H238&lt;&gt;"",COUNTIF(Pessoas!$E:$E,H238)&gt;0),"SIM",IF(COUNTIF(Pessoas!$C:$C,F238)&gt;0,"nome igual em Pessoas: confira o CPF","")))</f>
        <v/>
      </c>
      <c r="M238" s="24"/>
      <c r="N238" s="11"/>
    </row>
    <row r="239" customFormat="false" ht="15" hidden="false" customHeight="false" outlineLevel="0" collapsed="false">
      <c r="A239" s="24"/>
      <c r="B239" s="31" t="str">
        <f aca="false">IF(A239="","",IF(LEN(UPPER(SUBSTITUTE(SUBSTITUTE(SUBSTITUTE(SUBSTITUTE(TRIM(A239),".",""),"/",""),"-","")," ","")))&lt;14,RIGHT(REPT("0",14)&amp;UPPER(SUBSTITUTE(SUBSTITUTE(SUBSTITUTE(SUBSTITUTE(TRIM(A239),".",""),"/",""),"-","")," ","")),14),UPPER(SUBSTITUTE(SUBSTITUTE(SUBSTITUTE(SUBSTITUTE(TRIM(A239),".",""),"/",""),"-","")," ",""))))</f>
        <v/>
      </c>
      <c r="C239" s="25" t="str">
        <f aca="false">IF(B239="","",IFERROR(INDEX(Empresas!$C:$C,MATCH(B239,Empresas!$B:$B,0)),"cadastre o CNPJ em Empresas"))</f>
        <v/>
      </c>
      <c r="D239" s="23"/>
      <c r="E239" s="24"/>
      <c r="F239" s="31" t="str">
        <f aca="false">IF(D239="","",SUBSTITUTE(SUBSTITUTE(SUBSTITUTE(SUBSTITUTE(SUBSTITUTE(SUBSTITUTE(SUBSTITUTE(SUBSTITUTE(SUBSTITUTE(SUBSTITUTE(SUBSTITUTE(SUBSTITUTE(SUBSTITUTE(UPPER(TRIM(D239)),"Á","A"),"À","A"),"Â","A"),"Ã","A"),"É","E"),"Ê","E"),"Í","I"),"Ó","O"),"Ô","O"),"Õ","O"),"Ú","U"),"Ü","U"),"Ç","C"))</f>
        <v/>
      </c>
      <c r="G239" s="31" t="str">
        <f aca="false">IF(E239="","",IF(LEN(SUBSTITUTE(SUBSTITUTE(SUBSTITUTE(SUBSTITUTE(TRIM(E239),"*",""),".",""),"-","")," ",""))=11,MID(SUBSTITUTE(SUBSTITUTE(SUBSTITUTE(SUBSTITUTE(TRIM(E239),"*",""),".",""),"-","")," ",""),4,6),SUBSTITUTE(SUBSTITUTE(SUBSTITUTE(SUBSTITUTE(TRIM(E239),"*",""),".",""),"-","")," ","")))</f>
        <v/>
      </c>
      <c r="H239" s="31" t="str">
        <f aca="false">IF(OR(F239="",G239=""),"",F239&amp;"|"&amp;G239)</f>
        <v/>
      </c>
      <c r="I239" s="23"/>
      <c r="J239" s="22"/>
      <c r="K239" s="22"/>
      <c r="L239" s="25" t="str">
        <f aca="false">IF(F239="","",IF(AND(H239&lt;&gt;"",COUNTIF(Pessoas!$E:$E,H239)&gt;0),"SIM",IF(COUNTIF(Pessoas!$C:$C,F239)&gt;0,"nome igual em Pessoas: confira o CPF","")))</f>
        <v/>
      </c>
      <c r="M239" s="24"/>
      <c r="N239" s="11"/>
    </row>
    <row r="240" customFormat="false" ht="15" hidden="false" customHeight="false" outlineLevel="0" collapsed="false">
      <c r="A240" s="24"/>
      <c r="B240" s="31" t="str">
        <f aca="false">IF(A240="","",IF(LEN(UPPER(SUBSTITUTE(SUBSTITUTE(SUBSTITUTE(SUBSTITUTE(TRIM(A240),".",""),"/",""),"-","")," ","")))&lt;14,RIGHT(REPT("0",14)&amp;UPPER(SUBSTITUTE(SUBSTITUTE(SUBSTITUTE(SUBSTITUTE(TRIM(A240),".",""),"/",""),"-","")," ","")),14),UPPER(SUBSTITUTE(SUBSTITUTE(SUBSTITUTE(SUBSTITUTE(TRIM(A240),".",""),"/",""),"-","")," ",""))))</f>
        <v/>
      </c>
      <c r="C240" s="25" t="str">
        <f aca="false">IF(B240="","",IFERROR(INDEX(Empresas!$C:$C,MATCH(B240,Empresas!$B:$B,0)),"cadastre o CNPJ em Empresas"))</f>
        <v/>
      </c>
      <c r="D240" s="23"/>
      <c r="E240" s="24"/>
      <c r="F240" s="31" t="str">
        <f aca="false">IF(D240="","",SUBSTITUTE(SUBSTITUTE(SUBSTITUTE(SUBSTITUTE(SUBSTITUTE(SUBSTITUTE(SUBSTITUTE(SUBSTITUTE(SUBSTITUTE(SUBSTITUTE(SUBSTITUTE(SUBSTITUTE(SUBSTITUTE(UPPER(TRIM(D240)),"Á","A"),"À","A"),"Â","A"),"Ã","A"),"É","E"),"Ê","E"),"Í","I"),"Ó","O"),"Ô","O"),"Õ","O"),"Ú","U"),"Ü","U"),"Ç","C"))</f>
        <v/>
      </c>
      <c r="G240" s="31" t="str">
        <f aca="false">IF(E240="","",IF(LEN(SUBSTITUTE(SUBSTITUTE(SUBSTITUTE(SUBSTITUTE(TRIM(E240),"*",""),".",""),"-","")," ",""))=11,MID(SUBSTITUTE(SUBSTITUTE(SUBSTITUTE(SUBSTITUTE(TRIM(E240),"*",""),".",""),"-","")," ",""),4,6),SUBSTITUTE(SUBSTITUTE(SUBSTITUTE(SUBSTITUTE(TRIM(E240),"*",""),".",""),"-","")," ","")))</f>
        <v/>
      </c>
      <c r="H240" s="31" t="str">
        <f aca="false">IF(OR(F240="",G240=""),"",F240&amp;"|"&amp;G240)</f>
        <v/>
      </c>
      <c r="I240" s="23"/>
      <c r="J240" s="22"/>
      <c r="K240" s="22"/>
      <c r="L240" s="25" t="str">
        <f aca="false">IF(F240="","",IF(AND(H240&lt;&gt;"",COUNTIF(Pessoas!$E:$E,H240)&gt;0),"SIM",IF(COUNTIF(Pessoas!$C:$C,F240)&gt;0,"nome igual em Pessoas: confira o CPF","")))</f>
        <v/>
      </c>
      <c r="M240" s="24"/>
      <c r="N240" s="11"/>
    </row>
    <row r="241" customFormat="false" ht="15" hidden="false" customHeight="false" outlineLevel="0" collapsed="false">
      <c r="A241" s="24"/>
      <c r="B241" s="31" t="str">
        <f aca="false">IF(A241="","",IF(LEN(UPPER(SUBSTITUTE(SUBSTITUTE(SUBSTITUTE(SUBSTITUTE(TRIM(A241),".",""),"/",""),"-","")," ","")))&lt;14,RIGHT(REPT("0",14)&amp;UPPER(SUBSTITUTE(SUBSTITUTE(SUBSTITUTE(SUBSTITUTE(TRIM(A241),".",""),"/",""),"-","")," ","")),14),UPPER(SUBSTITUTE(SUBSTITUTE(SUBSTITUTE(SUBSTITUTE(TRIM(A241),".",""),"/",""),"-","")," ",""))))</f>
        <v/>
      </c>
      <c r="C241" s="25" t="str">
        <f aca="false">IF(B241="","",IFERROR(INDEX(Empresas!$C:$C,MATCH(B241,Empresas!$B:$B,0)),"cadastre o CNPJ em Empresas"))</f>
        <v/>
      </c>
      <c r="D241" s="23"/>
      <c r="E241" s="24"/>
      <c r="F241" s="31" t="str">
        <f aca="false">IF(D241="","",SUBSTITUTE(SUBSTITUTE(SUBSTITUTE(SUBSTITUTE(SUBSTITUTE(SUBSTITUTE(SUBSTITUTE(SUBSTITUTE(SUBSTITUTE(SUBSTITUTE(SUBSTITUTE(SUBSTITUTE(SUBSTITUTE(UPPER(TRIM(D241)),"Á","A"),"À","A"),"Â","A"),"Ã","A"),"É","E"),"Ê","E"),"Í","I"),"Ó","O"),"Ô","O"),"Õ","O"),"Ú","U"),"Ü","U"),"Ç","C"))</f>
        <v/>
      </c>
      <c r="G241" s="31" t="str">
        <f aca="false">IF(E241="","",IF(LEN(SUBSTITUTE(SUBSTITUTE(SUBSTITUTE(SUBSTITUTE(TRIM(E241),"*",""),".",""),"-","")," ",""))=11,MID(SUBSTITUTE(SUBSTITUTE(SUBSTITUTE(SUBSTITUTE(TRIM(E241),"*",""),".",""),"-","")," ",""),4,6),SUBSTITUTE(SUBSTITUTE(SUBSTITUTE(SUBSTITUTE(TRIM(E241),"*",""),".",""),"-","")," ","")))</f>
        <v/>
      </c>
      <c r="H241" s="31" t="str">
        <f aca="false">IF(OR(F241="",G241=""),"",F241&amp;"|"&amp;G241)</f>
        <v/>
      </c>
      <c r="I241" s="23"/>
      <c r="J241" s="22"/>
      <c r="K241" s="22"/>
      <c r="L241" s="25" t="str">
        <f aca="false">IF(F241="","",IF(AND(H241&lt;&gt;"",COUNTIF(Pessoas!$E:$E,H241)&gt;0),"SIM",IF(COUNTIF(Pessoas!$C:$C,F241)&gt;0,"nome igual em Pessoas: confira o CPF","")))</f>
        <v/>
      </c>
      <c r="M241" s="24"/>
      <c r="N241" s="11"/>
    </row>
    <row r="242" customFormat="false" ht="15" hidden="false" customHeight="false" outlineLevel="0" collapsed="false">
      <c r="A242" s="24"/>
      <c r="B242" s="31" t="str">
        <f aca="false">IF(A242="","",IF(LEN(UPPER(SUBSTITUTE(SUBSTITUTE(SUBSTITUTE(SUBSTITUTE(TRIM(A242),".",""),"/",""),"-","")," ","")))&lt;14,RIGHT(REPT("0",14)&amp;UPPER(SUBSTITUTE(SUBSTITUTE(SUBSTITUTE(SUBSTITUTE(TRIM(A242),".",""),"/",""),"-","")," ","")),14),UPPER(SUBSTITUTE(SUBSTITUTE(SUBSTITUTE(SUBSTITUTE(TRIM(A242),".",""),"/",""),"-","")," ",""))))</f>
        <v/>
      </c>
      <c r="C242" s="25" t="str">
        <f aca="false">IF(B242="","",IFERROR(INDEX(Empresas!$C:$C,MATCH(B242,Empresas!$B:$B,0)),"cadastre o CNPJ em Empresas"))</f>
        <v/>
      </c>
      <c r="D242" s="23"/>
      <c r="E242" s="24"/>
      <c r="F242" s="31" t="str">
        <f aca="false">IF(D242="","",SUBSTITUTE(SUBSTITUTE(SUBSTITUTE(SUBSTITUTE(SUBSTITUTE(SUBSTITUTE(SUBSTITUTE(SUBSTITUTE(SUBSTITUTE(SUBSTITUTE(SUBSTITUTE(SUBSTITUTE(SUBSTITUTE(UPPER(TRIM(D242)),"Á","A"),"À","A"),"Â","A"),"Ã","A"),"É","E"),"Ê","E"),"Í","I"),"Ó","O"),"Ô","O"),"Õ","O"),"Ú","U"),"Ü","U"),"Ç","C"))</f>
        <v/>
      </c>
      <c r="G242" s="31" t="str">
        <f aca="false">IF(E242="","",IF(LEN(SUBSTITUTE(SUBSTITUTE(SUBSTITUTE(SUBSTITUTE(TRIM(E242),"*",""),".",""),"-","")," ",""))=11,MID(SUBSTITUTE(SUBSTITUTE(SUBSTITUTE(SUBSTITUTE(TRIM(E242),"*",""),".",""),"-","")," ",""),4,6),SUBSTITUTE(SUBSTITUTE(SUBSTITUTE(SUBSTITUTE(TRIM(E242),"*",""),".",""),"-","")," ","")))</f>
        <v/>
      </c>
      <c r="H242" s="31" t="str">
        <f aca="false">IF(OR(F242="",G242=""),"",F242&amp;"|"&amp;G242)</f>
        <v/>
      </c>
      <c r="I242" s="23"/>
      <c r="J242" s="22"/>
      <c r="K242" s="22"/>
      <c r="L242" s="25" t="str">
        <f aca="false">IF(F242="","",IF(AND(H242&lt;&gt;"",COUNTIF(Pessoas!$E:$E,H242)&gt;0),"SIM",IF(COUNTIF(Pessoas!$C:$C,F242)&gt;0,"nome igual em Pessoas: confira o CPF","")))</f>
        <v/>
      </c>
      <c r="M242" s="24"/>
      <c r="N242" s="11"/>
    </row>
    <row r="243" customFormat="false" ht="15" hidden="false" customHeight="false" outlineLevel="0" collapsed="false">
      <c r="A243" s="24"/>
      <c r="B243" s="31" t="str">
        <f aca="false">IF(A243="","",IF(LEN(UPPER(SUBSTITUTE(SUBSTITUTE(SUBSTITUTE(SUBSTITUTE(TRIM(A243),".",""),"/",""),"-","")," ","")))&lt;14,RIGHT(REPT("0",14)&amp;UPPER(SUBSTITUTE(SUBSTITUTE(SUBSTITUTE(SUBSTITUTE(TRIM(A243),".",""),"/",""),"-","")," ","")),14),UPPER(SUBSTITUTE(SUBSTITUTE(SUBSTITUTE(SUBSTITUTE(TRIM(A243),".",""),"/",""),"-","")," ",""))))</f>
        <v/>
      </c>
      <c r="C243" s="25" t="str">
        <f aca="false">IF(B243="","",IFERROR(INDEX(Empresas!$C:$C,MATCH(B243,Empresas!$B:$B,0)),"cadastre o CNPJ em Empresas"))</f>
        <v/>
      </c>
      <c r="D243" s="23"/>
      <c r="E243" s="24"/>
      <c r="F243" s="31" t="str">
        <f aca="false">IF(D243="","",SUBSTITUTE(SUBSTITUTE(SUBSTITUTE(SUBSTITUTE(SUBSTITUTE(SUBSTITUTE(SUBSTITUTE(SUBSTITUTE(SUBSTITUTE(SUBSTITUTE(SUBSTITUTE(SUBSTITUTE(SUBSTITUTE(UPPER(TRIM(D243)),"Á","A"),"À","A"),"Â","A"),"Ã","A"),"É","E"),"Ê","E"),"Í","I"),"Ó","O"),"Ô","O"),"Õ","O"),"Ú","U"),"Ü","U"),"Ç","C"))</f>
        <v/>
      </c>
      <c r="G243" s="31" t="str">
        <f aca="false">IF(E243="","",IF(LEN(SUBSTITUTE(SUBSTITUTE(SUBSTITUTE(SUBSTITUTE(TRIM(E243),"*",""),".",""),"-","")," ",""))=11,MID(SUBSTITUTE(SUBSTITUTE(SUBSTITUTE(SUBSTITUTE(TRIM(E243),"*",""),".",""),"-","")," ",""),4,6),SUBSTITUTE(SUBSTITUTE(SUBSTITUTE(SUBSTITUTE(TRIM(E243),"*",""),".",""),"-","")," ","")))</f>
        <v/>
      </c>
      <c r="H243" s="31" t="str">
        <f aca="false">IF(OR(F243="",G243=""),"",F243&amp;"|"&amp;G243)</f>
        <v/>
      </c>
      <c r="I243" s="23"/>
      <c r="J243" s="22"/>
      <c r="K243" s="22"/>
      <c r="L243" s="25" t="str">
        <f aca="false">IF(F243="","",IF(AND(H243&lt;&gt;"",COUNTIF(Pessoas!$E:$E,H243)&gt;0),"SIM",IF(COUNTIF(Pessoas!$C:$C,F243)&gt;0,"nome igual em Pessoas: confira o CPF","")))</f>
        <v/>
      </c>
      <c r="M243" s="24"/>
      <c r="N243" s="11"/>
    </row>
    <row r="244" customFormat="false" ht="15" hidden="false" customHeight="false" outlineLevel="0" collapsed="false">
      <c r="A244" s="24"/>
      <c r="B244" s="31" t="str">
        <f aca="false">IF(A244="","",IF(LEN(UPPER(SUBSTITUTE(SUBSTITUTE(SUBSTITUTE(SUBSTITUTE(TRIM(A244),".",""),"/",""),"-","")," ","")))&lt;14,RIGHT(REPT("0",14)&amp;UPPER(SUBSTITUTE(SUBSTITUTE(SUBSTITUTE(SUBSTITUTE(TRIM(A244),".",""),"/",""),"-","")," ","")),14),UPPER(SUBSTITUTE(SUBSTITUTE(SUBSTITUTE(SUBSTITUTE(TRIM(A244),".",""),"/",""),"-","")," ",""))))</f>
        <v/>
      </c>
      <c r="C244" s="25" t="str">
        <f aca="false">IF(B244="","",IFERROR(INDEX(Empresas!$C:$C,MATCH(B244,Empresas!$B:$B,0)),"cadastre o CNPJ em Empresas"))</f>
        <v/>
      </c>
      <c r="D244" s="23"/>
      <c r="E244" s="24"/>
      <c r="F244" s="31" t="str">
        <f aca="false">IF(D244="","",SUBSTITUTE(SUBSTITUTE(SUBSTITUTE(SUBSTITUTE(SUBSTITUTE(SUBSTITUTE(SUBSTITUTE(SUBSTITUTE(SUBSTITUTE(SUBSTITUTE(SUBSTITUTE(SUBSTITUTE(SUBSTITUTE(UPPER(TRIM(D244)),"Á","A"),"À","A"),"Â","A"),"Ã","A"),"É","E"),"Ê","E"),"Í","I"),"Ó","O"),"Ô","O"),"Õ","O"),"Ú","U"),"Ü","U"),"Ç","C"))</f>
        <v/>
      </c>
      <c r="G244" s="31" t="str">
        <f aca="false">IF(E244="","",IF(LEN(SUBSTITUTE(SUBSTITUTE(SUBSTITUTE(SUBSTITUTE(TRIM(E244),"*",""),".",""),"-","")," ",""))=11,MID(SUBSTITUTE(SUBSTITUTE(SUBSTITUTE(SUBSTITUTE(TRIM(E244),"*",""),".",""),"-","")," ",""),4,6),SUBSTITUTE(SUBSTITUTE(SUBSTITUTE(SUBSTITUTE(TRIM(E244),"*",""),".",""),"-","")," ","")))</f>
        <v/>
      </c>
      <c r="H244" s="31" t="str">
        <f aca="false">IF(OR(F244="",G244=""),"",F244&amp;"|"&amp;G244)</f>
        <v/>
      </c>
      <c r="I244" s="23"/>
      <c r="J244" s="22"/>
      <c r="K244" s="22"/>
      <c r="L244" s="25" t="str">
        <f aca="false">IF(F244="","",IF(AND(H244&lt;&gt;"",COUNTIF(Pessoas!$E:$E,H244)&gt;0),"SIM",IF(COUNTIF(Pessoas!$C:$C,F244)&gt;0,"nome igual em Pessoas: confira o CPF","")))</f>
        <v/>
      </c>
      <c r="M244" s="24"/>
      <c r="N244" s="11"/>
    </row>
    <row r="245" customFormat="false" ht="15" hidden="false" customHeight="false" outlineLevel="0" collapsed="false">
      <c r="A245" s="24"/>
      <c r="B245" s="31" t="str">
        <f aca="false">IF(A245="","",IF(LEN(UPPER(SUBSTITUTE(SUBSTITUTE(SUBSTITUTE(SUBSTITUTE(TRIM(A245),".",""),"/",""),"-","")," ","")))&lt;14,RIGHT(REPT("0",14)&amp;UPPER(SUBSTITUTE(SUBSTITUTE(SUBSTITUTE(SUBSTITUTE(TRIM(A245),".",""),"/",""),"-","")," ","")),14),UPPER(SUBSTITUTE(SUBSTITUTE(SUBSTITUTE(SUBSTITUTE(TRIM(A245),".",""),"/",""),"-","")," ",""))))</f>
        <v/>
      </c>
      <c r="C245" s="25" t="str">
        <f aca="false">IF(B245="","",IFERROR(INDEX(Empresas!$C:$C,MATCH(B245,Empresas!$B:$B,0)),"cadastre o CNPJ em Empresas"))</f>
        <v/>
      </c>
      <c r="D245" s="23"/>
      <c r="E245" s="24"/>
      <c r="F245" s="31" t="str">
        <f aca="false">IF(D245="","",SUBSTITUTE(SUBSTITUTE(SUBSTITUTE(SUBSTITUTE(SUBSTITUTE(SUBSTITUTE(SUBSTITUTE(SUBSTITUTE(SUBSTITUTE(SUBSTITUTE(SUBSTITUTE(SUBSTITUTE(SUBSTITUTE(UPPER(TRIM(D245)),"Á","A"),"À","A"),"Â","A"),"Ã","A"),"É","E"),"Ê","E"),"Í","I"),"Ó","O"),"Ô","O"),"Õ","O"),"Ú","U"),"Ü","U"),"Ç","C"))</f>
        <v/>
      </c>
      <c r="G245" s="31" t="str">
        <f aca="false">IF(E245="","",IF(LEN(SUBSTITUTE(SUBSTITUTE(SUBSTITUTE(SUBSTITUTE(TRIM(E245),"*",""),".",""),"-","")," ",""))=11,MID(SUBSTITUTE(SUBSTITUTE(SUBSTITUTE(SUBSTITUTE(TRIM(E245),"*",""),".",""),"-","")," ",""),4,6),SUBSTITUTE(SUBSTITUTE(SUBSTITUTE(SUBSTITUTE(TRIM(E245),"*",""),".",""),"-","")," ","")))</f>
        <v/>
      </c>
      <c r="H245" s="31" t="str">
        <f aca="false">IF(OR(F245="",G245=""),"",F245&amp;"|"&amp;G245)</f>
        <v/>
      </c>
      <c r="I245" s="23"/>
      <c r="J245" s="22"/>
      <c r="K245" s="22"/>
      <c r="L245" s="25" t="str">
        <f aca="false">IF(F245="","",IF(AND(H245&lt;&gt;"",COUNTIF(Pessoas!$E:$E,H245)&gt;0),"SIM",IF(COUNTIF(Pessoas!$C:$C,F245)&gt;0,"nome igual em Pessoas: confira o CPF","")))</f>
        <v/>
      </c>
      <c r="M245" s="24"/>
      <c r="N245" s="11"/>
    </row>
    <row r="246" customFormat="false" ht="15" hidden="false" customHeight="false" outlineLevel="0" collapsed="false">
      <c r="A246" s="24"/>
      <c r="B246" s="31" t="str">
        <f aca="false">IF(A246="","",IF(LEN(UPPER(SUBSTITUTE(SUBSTITUTE(SUBSTITUTE(SUBSTITUTE(TRIM(A246),".",""),"/",""),"-","")," ","")))&lt;14,RIGHT(REPT("0",14)&amp;UPPER(SUBSTITUTE(SUBSTITUTE(SUBSTITUTE(SUBSTITUTE(TRIM(A246),".",""),"/",""),"-","")," ","")),14),UPPER(SUBSTITUTE(SUBSTITUTE(SUBSTITUTE(SUBSTITUTE(TRIM(A246),".",""),"/",""),"-","")," ",""))))</f>
        <v/>
      </c>
      <c r="C246" s="25" t="str">
        <f aca="false">IF(B246="","",IFERROR(INDEX(Empresas!$C:$C,MATCH(B246,Empresas!$B:$B,0)),"cadastre o CNPJ em Empresas"))</f>
        <v/>
      </c>
      <c r="D246" s="23"/>
      <c r="E246" s="24"/>
      <c r="F246" s="31" t="str">
        <f aca="false">IF(D246="","",SUBSTITUTE(SUBSTITUTE(SUBSTITUTE(SUBSTITUTE(SUBSTITUTE(SUBSTITUTE(SUBSTITUTE(SUBSTITUTE(SUBSTITUTE(SUBSTITUTE(SUBSTITUTE(SUBSTITUTE(SUBSTITUTE(UPPER(TRIM(D246)),"Á","A"),"À","A"),"Â","A"),"Ã","A"),"É","E"),"Ê","E"),"Í","I"),"Ó","O"),"Ô","O"),"Õ","O"),"Ú","U"),"Ü","U"),"Ç","C"))</f>
        <v/>
      </c>
      <c r="G246" s="31" t="str">
        <f aca="false">IF(E246="","",IF(LEN(SUBSTITUTE(SUBSTITUTE(SUBSTITUTE(SUBSTITUTE(TRIM(E246),"*",""),".",""),"-","")," ",""))=11,MID(SUBSTITUTE(SUBSTITUTE(SUBSTITUTE(SUBSTITUTE(TRIM(E246),"*",""),".",""),"-","")," ",""),4,6),SUBSTITUTE(SUBSTITUTE(SUBSTITUTE(SUBSTITUTE(TRIM(E246),"*",""),".",""),"-","")," ","")))</f>
        <v/>
      </c>
      <c r="H246" s="31" t="str">
        <f aca="false">IF(OR(F246="",G246=""),"",F246&amp;"|"&amp;G246)</f>
        <v/>
      </c>
      <c r="I246" s="23"/>
      <c r="J246" s="22"/>
      <c r="K246" s="22"/>
      <c r="L246" s="25" t="str">
        <f aca="false">IF(F246="","",IF(AND(H246&lt;&gt;"",COUNTIF(Pessoas!$E:$E,H246)&gt;0),"SIM",IF(COUNTIF(Pessoas!$C:$C,F246)&gt;0,"nome igual em Pessoas: confira o CPF","")))</f>
        <v/>
      </c>
      <c r="M246" s="24"/>
      <c r="N246" s="11"/>
    </row>
    <row r="247" customFormat="false" ht="15" hidden="false" customHeight="false" outlineLevel="0" collapsed="false">
      <c r="A247" s="24"/>
      <c r="B247" s="31" t="str">
        <f aca="false">IF(A247="","",IF(LEN(UPPER(SUBSTITUTE(SUBSTITUTE(SUBSTITUTE(SUBSTITUTE(TRIM(A247),".",""),"/",""),"-","")," ","")))&lt;14,RIGHT(REPT("0",14)&amp;UPPER(SUBSTITUTE(SUBSTITUTE(SUBSTITUTE(SUBSTITUTE(TRIM(A247),".",""),"/",""),"-","")," ","")),14),UPPER(SUBSTITUTE(SUBSTITUTE(SUBSTITUTE(SUBSTITUTE(TRIM(A247),".",""),"/",""),"-","")," ",""))))</f>
        <v/>
      </c>
      <c r="C247" s="25" t="str">
        <f aca="false">IF(B247="","",IFERROR(INDEX(Empresas!$C:$C,MATCH(B247,Empresas!$B:$B,0)),"cadastre o CNPJ em Empresas"))</f>
        <v/>
      </c>
      <c r="D247" s="23"/>
      <c r="E247" s="24"/>
      <c r="F247" s="31" t="str">
        <f aca="false">IF(D247="","",SUBSTITUTE(SUBSTITUTE(SUBSTITUTE(SUBSTITUTE(SUBSTITUTE(SUBSTITUTE(SUBSTITUTE(SUBSTITUTE(SUBSTITUTE(SUBSTITUTE(SUBSTITUTE(SUBSTITUTE(SUBSTITUTE(UPPER(TRIM(D247)),"Á","A"),"À","A"),"Â","A"),"Ã","A"),"É","E"),"Ê","E"),"Í","I"),"Ó","O"),"Ô","O"),"Õ","O"),"Ú","U"),"Ü","U"),"Ç","C"))</f>
        <v/>
      </c>
      <c r="G247" s="31" t="str">
        <f aca="false">IF(E247="","",IF(LEN(SUBSTITUTE(SUBSTITUTE(SUBSTITUTE(SUBSTITUTE(TRIM(E247),"*",""),".",""),"-","")," ",""))=11,MID(SUBSTITUTE(SUBSTITUTE(SUBSTITUTE(SUBSTITUTE(TRIM(E247),"*",""),".",""),"-","")," ",""),4,6),SUBSTITUTE(SUBSTITUTE(SUBSTITUTE(SUBSTITUTE(TRIM(E247),"*",""),".",""),"-","")," ","")))</f>
        <v/>
      </c>
      <c r="H247" s="31" t="str">
        <f aca="false">IF(OR(F247="",G247=""),"",F247&amp;"|"&amp;G247)</f>
        <v/>
      </c>
      <c r="I247" s="23"/>
      <c r="J247" s="22"/>
      <c r="K247" s="22"/>
      <c r="L247" s="25" t="str">
        <f aca="false">IF(F247="","",IF(AND(H247&lt;&gt;"",COUNTIF(Pessoas!$E:$E,H247)&gt;0),"SIM",IF(COUNTIF(Pessoas!$C:$C,F247)&gt;0,"nome igual em Pessoas: confira o CPF","")))</f>
        <v/>
      </c>
      <c r="M247" s="24"/>
      <c r="N247" s="11"/>
    </row>
    <row r="248" customFormat="false" ht="15" hidden="false" customHeight="false" outlineLevel="0" collapsed="false">
      <c r="A248" s="24"/>
      <c r="B248" s="31" t="str">
        <f aca="false">IF(A248="","",IF(LEN(UPPER(SUBSTITUTE(SUBSTITUTE(SUBSTITUTE(SUBSTITUTE(TRIM(A248),".",""),"/",""),"-","")," ","")))&lt;14,RIGHT(REPT("0",14)&amp;UPPER(SUBSTITUTE(SUBSTITUTE(SUBSTITUTE(SUBSTITUTE(TRIM(A248),".",""),"/",""),"-","")," ","")),14),UPPER(SUBSTITUTE(SUBSTITUTE(SUBSTITUTE(SUBSTITUTE(TRIM(A248),".",""),"/",""),"-","")," ",""))))</f>
        <v/>
      </c>
      <c r="C248" s="25" t="str">
        <f aca="false">IF(B248="","",IFERROR(INDEX(Empresas!$C:$C,MATCH(B248,Empresas!$B:$B,0)),"cadastre o CNPJ em Empresas"))</f>
        <v/>
      </c>
      <c r="D248" s="23"/>
      <c r="E248" s="24"/>
      <c r="F248" s="31" t="str">
        <f aca="false">IF(D248="","",SUBSTITUTE(SUBSTITUTE(SUBSTITUTE(SUBSTITUTE(SUBSTITUTE(SUBSTITUTE(SUBSTITUTE(SUBSTITUTE(SUBSTITUTE(SUBSTITUTE(SUBSTITUTE(SUBSTITUTE(SUBSTITUTE(UPPER(TRIM(D248)),"Á","A"),"À","A"),"Â","A"),"Ã","A"),"É","E"),"Ê","E"),"Í","I"),"Ó","O"),"Ô","O"),"Õ","O"),"Ú","U"),"Ü","U"),"Ç","C"))</f>
        <v/>
      </c>
      <c r="G248" s="31" t="str">
        <f aca="false">IF(E248="","",IF(LEN(SUBSTITUTE(SUBSTITUTE(SUBSTITUTE(SUBSTITUTE(TRIM(E248),"*",""),".",""),"-","")," ",""))=11,MID(SUBSTITUTE(SUBSTITUTE(SUBSTITUTE(SUBSTITUTE(TRIM(E248),"*",""),".",""),"-","")," ",""),4,6),SUBSTITUTE(SUBSTITUTE(SUBSTITUTE(SUBSTITUTE(TRIM(E248),"*",""),".",""),"-","")," ","")))</f>
        <v/>
      </c>
      <c r="H248" s="31" t="str">
        <f aca="false">IF(OR(F248="",G248=""),"",F248&amp;"|"&amp;G248)</f>
        <v/>
      </c>
      <c r="I248" s="23"/>
      <c r="J248" s="22"/>
      <c r="K248" s="22"/>
      <c r="L248" s="25" t="str">
        <f aca="false">IF(F248="","",IF(AND(H248&lt;&gt;"",COUNTIF(Pessoas!$E:$E,H248)&gt;0),"SIM",IF(COUNTIF(Pessoas!$C:$C,F248)&gt;0,"nome igual em Pessoas: confira o CPF","")))</f>
        <v/>
      </c>
      <c r="M248" s="24"/>
      <c r="N248" s="11"/>
    </row>
    <row r="249" customFormat="false" ht="15" hidden="false" customHeight="false" outlineLevel="0" collapsed="false">
      <c r="A249" s="24"/>
      <c r="B249" s="31" t="str">
        <f aca="false">IF(A249="","",IF(LEN(UPPER(SUBSTITUTE(SUBSTITUTE(SUBSTITUTE(SUBSTITUTE(TRIM(A249),".",""),"/",""),"-","")," ","")))&lt;14,RIGHT(REPT("0",14)&amp;UPPER(SUBSTITUTE(SUBSTITUTE(SUBSTITUTE(SUBSTITUTE(TRIM(A249),".",""),"/",""),"-","")," ","")),14),UPPER(SUBSTITUTE(SUBSTITUTE(SUBSTITUTE(SUBSTITUTE(TRIM(A249),".",""),"/",""),"-","")," ",""))))</f>
        <v/>
      </c>
      <c r="C249" s="25" t="str">
        <f aca="false">IF(B249="","",IFERROR(INDEX(Empresas!$C:$C,MATCH(B249,Empresas!$B:$B,0)),"cadastre o CNPJ em Empresas"))</f>
        <v/>
      </c>
      <c r="D249" s="23"/>
      <c r="E249" s="24"/>
      <c r="F249" s="31" t="str">
        <f aca="false">IF(D249="","",SUBSTITUTE(SUBSTITUTE(SUBSTITUTE(SUBSTITUTE(SUBSTITUTE(SUBSTITUTE(SUBSTITUTE(SUBSTITUTE(SUBSTITUTE(SUBSTITUTE(SUBSTITUTE(SUBSTITUTE(SUBSTITUTE(UPPER(TRIM(D249)),"Á","A"),"À","A"),"Â","A"),"Ã","A"),"É","E"),"Ê","E"),"Í","I"),"Ó","O"),"Ô","O"),"Õ","O"),"Ú","U"),"Ü","U"),"Ç","C"))</f>
        <v/>
      </c>
      <c r="G249" s="31" t="str">
        <f aca="false">IF(E249="","",IF(LEN(SUBSTITUTE(SUBSTITUTE(SUBSTITUTE(SUBSTITUTE(TRIM(E249),"*",""),".",""),"-","")," ",""))=11,MID(SUBSTITUTE(SUBSTITUTE(SUBSTITUTE(SUBSTITUTE(TRIM(E249),"*",""),".",""),"-","")," ",""),4,6),SUBSTITUTE(SUBSTITUTE(SUBSTITUTE(SUBSTITUTE(TRIM(E249),"*",""),".",""),"-","")," ","")))</f>
        <v/>
      </c>
      <c r="H249" s="31" t="str">
        <f aca="false">IF(OR(F249="",G249=""),"",F249&amp;"|"&amp;G249)</f>
        <v/>
      </c>
      <c r="I249" s="23"/>
      <c r="J249" s="22"/>
      <c r="K249" s="22"/>
      <c r="L249" s="25" t="str">
        <f aca="false">IF(F249="","",IF(AND(H249&lt;&gt;"",COUNTIF(Pessoas!$E:$E,H249)&gt;0),"SIM",IF(COUNTIF(Pessoas!$C:$C,F249)&gt;0,"nome igual em Pessoas: confira o CPF","")))</f>
        <v/>
      </c>
      <c r="M249" s="24"/>
      <c r="N249" s="11"/>
    </row>
    <row r="250" customFormat="false" ht="15" hidden="false" customHeight="false" outlineLevel="0" collapsed="false">
      <c r="A250" s="24"/>
      <c r="B250" s="31" t="str">
        <f aca="false">IF(A250="","",IF(LEN(UPPER(SUBSTITUTE(SUBSTITUTE(SUBSTITUTE(SUBSTITUTE(TRIM(A250),".",""),"/",""),"-","")," ","")))&lt;14,RIGHT(REPT("0",14)&amp;UPPER(SUBSTITUTE(SUBSTITUTE(SUBSTITUTE(SUBSTITUTE(TRIM(A250),".",""),"/",""),"-","")," ","")),14),UPPER(SUBSTITUTE(SUBSTITUTE(SUBSTITUTE(SUBSTITUTE(TRIM(A250),".",""),"/",""),"-","")," ",""))))</f>
        <v/>
      </c>
      <c r="C250" s="25" t="str">
        <f aca="false">IF(B250="","",IFERROR(INDEX(Empresas!$C:$C,MATCH(B250,Empresas!$B:$B,0)),"cadastre o CNPJ em Empresas"))</f>
        <v/>
      </c>
      <c r="D250" s="23"/>
      <c r="E250" s="24"/>
      <c r="F250" s="31" t="str">
        <f aca="false">IF(D250="","",SUBSTITUTE(SUBSTITUTE(SUBSTITUTE(SUBSTITUTE(SUBSTITUTE(SUBSTITUTE(SUBSTITUTE(SUBSTITUTE(SUBSTITUTE(SUBSTITUTE(SUBSTITUTE(SUBSTITUTE(SUBSTITUTE(UPPER(TRIM(D250)),"Á","A"),"À","A"),"Â","A"),"Ã","A"),"É","E"),"Ê","E"),"Í","I"),"Ó","O"),"Ô","O"),"Õ","O"),"Ú","U"),"Ü","U"),"Ç","C"))</f>
        <v/>
      </c>
      <c r="G250" s="31" t="str">
        <f aca="false">IF(E250="","",IF(LEN(SUBSTITUTE(SUBSTITUTE(SUBSTITUTE(SUBSTITUTE(TRIM(E250),"*",""),".",""),"-","")," ",""))=11,MID(SUBSTITUTE(SUBSTITUTE(SUBSTITUTE(SUBSTITUTE(TRIM(E250),"*",""),".",""),"-","")," ",""),4,6),SUBSTITUTE(SUBSTITUTE(SUBSTITUTE(SUBSTITUTE(TRIM(E250),"*",""),".",""),"-","")," ","")))</f>
        <v/>
      </c>
      <c r="H250" s="31" t="str">
        <f aca="false">IF(OR(F250="",G250=""),"",F250&amp;"|"&amp;G250)</f>
        <v/>
      </c>
      <c r="I250" s="23"/>
      <c r="J250" s="22"/>
      <c r="K250" s="22"/>
      <c r="L250" s="25" t="str">
        <f aca="false">IF(F250="","",IF(AND(H250&lt;&gt;"",COUNTIF(Pessoas!$E:$E,H250)&gt;0),"SIM",IF(COUNTIF(Pessoas!$C:$C,F250)&gt;0,"nome igual em Pessoas: confira o CPF","")))</f>
        <v/>
      </c>
      <c r="M250" s="24"/>
      <c r="N250" s="11"/>
    </row>
    <row r="251" customFormat="false" ht="15" hidden="false" customHeight="false" outlineLevel="0" collapsed="false">
      <c r="A251" s="24"/>
      <c r="B251" s="31" t="str">
        <f aca="false">IF(A251="","",IF(LEN(UPPER(SUBSTITUTE(SUBSTITUTE(SUBSTITUTE(SUBSTITUTE(TRIM(A251),".",""),"/",""),"-","")," ","")))&lt;14,RIGHT(REPT("0",14)&amp;UPPER(SUBSTITUTE(SUBSTITUTE(SUBSTITUTE(SUBSTITUTE(TRIM(A251),".",""),"/",""),"-","")," ","")),14),UPPER(SUBSTITUTE(SUBSTITUTE(SUBSTITUTE(SUBSTITUTE(TRIM(A251),".",""),"/",""),"-","")," ",""))))</f>
        <v/>
      </c>
      <c r="C251" s="25" t="str">
        <f aca="false">IF(B251="","",IFERROR(INDEX(Empresas!$C:$C,MATCH(B251,Empresas!$B:$B,0)),"cadastre o CNPJ em Empresas"))</f>
        <v/>
      </c>
      <c r="D251" s="23"/>
      <c r="E251" s="24"/>
      <c r="F251" s="31" t="str">
        <f aca="false">IF(D251="","",SUBSTITUTE(SUBSTITUTE(SUBSTITUTE(SUBSTITUTE(SUBSTITUTE(SUBSTITUTE(SUBSTITUTE(SUBSTITUTE(SUBSTITUTE(SUBSTITUTE(SUBSTITUTE(SUBSTITUTE(SUBSTITUTE(UPPER(TRIM(D251)),"Á","A"),"À","A"),"Â","A"),"Ã","A"),"É","E"),"Ê","E"),"Í","I"),"Ó","O"),"Ô","O"),"Õ","O"),"Ú","U"),"Ü","U"),"Ç","C"))</f>
        <v/>
      </c>
      <c r="G251" s="31" t="str">
        <f aca="false">IF(E251="","",IF(LEN(SUBSTITUTE(SUBSTITUTE(SUBSTITUTE(SUBSTITUTE(TRIM(E251),"*",""),".",""),"-","")," ",""))=11,MID(SUBSTITUTE(SUBSTITUTE(SUBSTITUTE(SUBSTITUTE(TRIM(E251),"*",""),".",""),"-","")," ",""),4,6),SUBSTITUTE(SUBSTITUTE(SUBSTITUTE(SUBSTITUTE(TRIM(E251),"*",""),".",""),"-","")," ","")))</f>
        <v/>
      </c>
      <c r="H251" s="31" t="str">
        <f aca="false">IF(OR(F251="",G251=""),"",F251&amp;"|"&amp;G251)</f>
        <v/>
      </c>
      <c r="I251" s="23"/>
      <c r="J251" s="22"/>
      <c r="K251" s="22"/>
      <c r="L251" s="25" t="str">
        <f aca="false">IF(F251="","",IF(AND(H251&lt;&gt;"",COUNTIF(Pessoas!$E:$E,H251)&gt;0),"SIM",IF(COUNTIF(Pessoas!$C:$C,F251)&gt;0,"nome igual em Pessoas: confira o CPF","")))</f>
        <v/>
      </c>
      <c r="M251" s="24"/>
      <c r="N251" s="11"/>
    </row>
    <row r="252" customFormat="false" ht="15" hidden="false" customHeight="false" outlineLevel="0" collapsed="false">
      <c r="A252" s="24"/>
      <c r="B252" s="31" t="str">
        <f aca="false">IF(A252="","",IF(LEN(UPPER(SUBSTITUTE(SUBSTITUTE(SUBSTITUTE(SUBSTITUTE(TRIM(A252),".",""),"/",""),"-","")," ","")))&lt;14,RIGHT(REPT("0",14)&amp;UPPER(SUBSTITUTE(SUBSTITUTE(SUBSTITUTE(SUBSTITUTE(TRIM(A252),".",""),"/",""),"-","")," ","")),14),UPPER(SUBSTITUTE(SUBSTITUTE(SUBSTITUTE(SUBSTITUTE(TRIM(A252),".",""),"/",""),"-","")," ",""))))</f>
        <v/>
      </c>
      <c r="C252" s="25" t="str">
        <f aca="false">IF(B252="","",IFERROR(INDEX(Empresas!$C:$C,MATCH(B252,Empresas!$B:$B,0)),"cadastre o CNPJ em Empresas"))</f>
        <v/>
      </c>
      <c r="D252" s="23"/>
      <c r="E252" s="24"/>
      <c r="F252" s="31" t="str">
        <f aca="false">IF(D252="","",SUBSTITUTE(SUBSTITUTE(SUBSTITUTE(SUBSTITUTE(SUBSTITUTE(SUBSTITUTE(SUBSTITUTE(SUBSTITUTE(SUBSTITUTE(SUBSTITUTE(SUBSTITUTE(SUBSTITUTE(SUBSTITUTE(UPPER(TRIM(D252)),"Á","A"),"À","A"),"Â","A"),"Ã","A"),"É","E"),"Ê","E"),"Í","I"),"Ó","O"),"Ô","O"),"Õ","O"),"Ú","U"),"Ü","U"),"Ç","C"))</f>
        <v/>
      </c>
      <c r="G252" s="31" t="str">
        <f aca="false">IF(E252="","",IF(LEN(SUBSTITUTE(SUBSTITUTE(SUBSTITUTE(SUBSTITUTE(TRIM(E252),"*",""),".",""),"-","")," ",""))=11,MID(SUBSTITUTE(SUBSTITUTE(SUBSTITUTE(SUBSTITUTE(TRIM(E252),"*",""),".",""),"-","")," ",""),4,6),SUBSTITUTE(SUBSTITUTE(SUBSTITUTE(SUBSTITUTE(TRIM(E252),"*",""),".",""),"-","")," ","")))</f>
        <v/>
      </c>
      <c r="H252" s="31" t="str">
        <f aca="false">IF(OR(F252="",G252=""),"",F252&amp;"|"&amp;G252)</f>
        <v/>
      </c>
      <c r="I252" s="23"/>
      <c r="J252" s="22"/>
      <c r="K252" s="22"/>
      <c r="L252" s="25" t="str">
        <f aca="false">IF(F252="","",IF(AND(H252&lt;&gt;"",COUNTIF(Pessoas!$E:$E,H252)&gt;0),"SIM",IF(COUNTIF(Pessoas!$C:$C,F252)&gt;0,"nome igual em Pessoas: confira o CPF","")))</f>
        <v/>
      </c>
      <c r="M252" s="24"/>
      <c r="N252" s="11"/>
    </row>
    <row r="253" customFormat="false" ht="15" hidden="false" customHeight="false" outlineLevel="0" collapsed="false">
      <c r="A253" s="24"/>
      <c r="B253" s="31" t="str">
        <f aca="false">IF(A253="","",IF(LEN(UPPER(SUBSTITUTE(SUBSTITUTE(SUBSTITUTE(SUBSTITUTE(TRIM(A253),".",""),"/",""),"-","")," ","")))&lt;14,RIGHT(REPT("0",14)&amp;UPPER(SUBSTITUTE(SUBSTITUTE(SUBSTITUTE(SUBSTITUTE(TRIM(A253),".",""),"/",""),"-","")," ","")),14),UPPER(SUBSTITUTE(SUBSTITUTE(SUBSTITUTE(SUBSTITUTE(TRIM(A253),".",""),"/",""),"-","")," ",""))))</f>
        <v/>
      </c>
      <c r="C253" s="25" t="str">
        <f aca="false">IF(B253="","",IFERROR(INDEX(Empresas!$C:$C,MATCH(B253,Empresas!$B:$B,0)),"cadastre o CNPJ em Empresas"))</f>
        <v/>
      </c>
      <c r="D253" s="23"/>
      <c r="E253" s="24"/>
      <c r="F253" s="31" t="str">
        <f aca="false">IF(D253="","",SUBSTITUTE(SUBSTITUTE(SUBSTITUTE(SUBSTITUTE(SUBSTITUTE(SUBSTITUTE(SUBSTITUTE(SUBSTITUTE(SUBSTITUTE(SUBSTITUTE(SUBSTITUTE(SUBSTITUTE(SUBSTITUTE(UPPER(TRIM(D253)),"Á","A"),"À","A"),"Â","A"),"Ã","A"),"É","E"),"Ê","E"),"Í","I"),"Ó","O"),"Ô","O"),"Õ","O"),"Ú","U"),"Ü","U"),"Ç","C"))</f>
        <v/>
      </c>
      <c r="G253" s="31" t="str">
        <f aca="false">IF(E253="","",IF(LEN(SUBSTITUTE(SUBSTITUTE(SUBSTITUTE(SUBSTITUTE(TRIM(E253),"*",""),".",""),"-","")," ",""))=11,MID(SUBSTITUTE(SUBSTITUTE(SUBSTITUTE(SUBSTITUTE(TRIM(E253),"*",""),".",""),"-","")," ",""),4,6),SUBSTITUTE(SUBSTITUTE(SUBSTITUTE(SUBSTITUTE(TRIM(E253),"*",""),".",""),"-","")," ","")))</f>
        <v/>
      </c>
      <c r="H253" s="31" t="str">
        <f aca="false">IF(OR(F253="",G253=""),"",F253&amp;"|"&amp;G253)</f>
        <v/>
      </c>
      <c r="I253" s="23"/>
      <c r="J253" s="22"/>
      <c r="K253" s="22"/>
      <c r="L253" s="25" t="str">
        <f aca="false">IF(F253="","",IF(AND(H253&lt;&gt;"",COUNTIF(Pessoas!$E:$E,H253)&gt;0),"SIM",IF(COUNTIF(Pessoas!$C:$C,F253)&gt;0,"nome igual em Pessoas: confira o CPF","")))</f>
        <v/>
      </c>
      <c r="M253" s="24"/>
      <c r="N253" s="11"/>
    </row>
    <row r="254" customFormat="false" ht="15" hidden="false" customHeight="false" outlineLevel="0" collapsed="false">
      <c r="A254" s="24"/>
      <c r="B254" s="31" t="str">
        <f aca="false">IF(A254="","",IF(LEN(UPPER(SUBSTITUTE(SUBSTITUTE(SUBSTITUTE(SUBSTITUTE(TRIM(A254),".",""),"/",""),"-","")," ","")))&lt;14,RIGHT(REPT("0",14)&amp;UPPER(SUBSTITUTE(SUBSTITUTE(SUBSTITUTE(SUBSTITUTE(TRIM(A254),".",""),"/",""),"-","")," ","")),14),UPPER(SUBSTITUTE(SUBSTITUTE(SUBSTITUTE(SUBSTITUTE(TRIM(A254),".",""),"/",""),"-","")," ",""))))</f>
        <v/>
      </c>
      <c r="C254" s="25" t="str">
        <f aca="false">IF(B254="","",IFERROR(INDEX(Empresas!$C:$C,MATCH(B254,Empresas!$B:$B,0)),"cadastre o CNPJ em Empresas"))</f>
        <v/>
      </c>
      <c r="D254" s="23"/>
      <c r="E254" s="24"/>
      <c r="F254" s="31" t="str">
        <f aca="false">IF(D254="","",SUBSTITUTE(SUBSTITUTE(SUBSTITUTE(SUBSTITUTE(SUBSTITUTE(SUBSTITUTE(SUBSTITUTE(SUBSTITUTE(SUBSTITUTE(SUBSTITUTE(SUBSTITUTE(SUBSTITUTE(SUBSTITUTE(UPPER(TRIM(D254)),"Á","A"),"À","A"),"Â","A"),"Ã","A"),"É","E"),"Ê","E"),"Í","I"),"Ó","O"),"Ô","O"),"Õ","O"),"Ú","U"),"Ü","U"),"Ç","C"))</f>
        <v/>
      </c>
      <c r="G254" s="31" t="str">
        <f aca="false">IF(E254="","",IF(LEN(SUBSTITUTE(SUBSTITUTE(SUBSTITUTE(SUBSTITUTE(TRIM(E254),"*",""),".",""),"-","")," ",""))=11,MID(SUBSTITUTE(SUBSTITUTE(SUBSTITUTE(SUBSTITUTE(TRIM(E254),"*",""),".",""),"-","")," ",""),4,6),SUBSTITUTE(SUBSTITUTE(SUBSTITUTE(SUBSTITUTE(TRIM(E254),"*",""),".",""),"-","")," ","")))</f>
        <v/>
      </c>
      <c r="H254" s="31" t="str">
        <f aca="false">IF(OR(F254="",G254=""),"",F254&amp;"|"&amp;G254)</f>
        <v/>
      </c>
      <c r="I254" s="23"/>
      <c r="J254" s="22"/>
      <c r="K254" s="22"/>
      <c r="L254" s="25" t="str">
        <f aca="false">IF(F254="","",IF(AND(H254&lt;&gt;"",COUNTIF(Pessoas!$E:$E,H254)&gt;0),"SIM",IF(COUNTIF(Pessoas!$C:$C,F254)&gt;0,"nome igual em Pessoas: confira o CPF","")))</f>
        <v/>
      </c>
      <c r="M254" s="24"/>
      <c r="N254" s="11"/>
    </row>
    <row r="255" customFormat="false" ht="15" hidden="false" customHeight="false" outlineLevel="0" collapsed="false">
      <c r="A255" s="24"/>
      <c r="B255" s="31" t="str">
        <f aca="false">IF(A255="","",IF(LEN(UPPER(SUBSTITUTE(SUBSTITUTE(SUBSTITUTE(SUBSTITUTE(TRIM(A255),".",""),"/",""),"-","")," ","")))&lt;14,RIGHT(REPT("0",14)&amp;UPPER(SUBSTITUTE(SUBSTITUTE(SUBSTITUTE(SUBSTITUTE(TRIM(A255),".",""),"/",""),"-","")," ","")),14),UPPER(SUBSTITUTE(SUBSTITUTE(SUBSTITUTE(SUBSTITUTE(TRIM(A255),".",""),"/",""),"-","")," ",""))))</f>
        <v/>
      </c>
      <c r="C255" s="25" t="str">
        <f aca="false">IF(B255="","",IFERROR(INDEX(Empresas!$C:$C,MATCH(B255,Empresas!$B:$B,0)),"cadastre o CNPJ em Empresas"))</f>
        <v/>
      </c>
      <c r="D255" s="23"/>
      <c r="E255" s="24"/>
      <c r="F255" s="31" t="str">
        <f aca="false">IF(D255="","",SUBSTITUTE(SUBSTITUTE(SUBSTITUTE(SUBSTITUTE(SUBSTITUTE(SUBSTITUTE(SUBSTITUTE(SUBSTITUTE(SUBSTITUTE(SUBSTITUTE(SUBSTITUTE(SUBSTITUTE(SUBSTITUTE(UPPER(TRIM(D255)),"Á","A"),"À","A"),"Â","A"),"Ã","A"),"É","E"),"Ê","E"),"Í","I"),"Ó","O"),"Ô","O"),"Õ","O"),"Ú","U"),"Ü","U"),"Ç","C"))</f>
        <v/>
      </c>
      <c r="G255" s="31" t="str">
        <f aca="false">IF(E255="","",IF(LEN(SUBSTITUTE(SUBSTITUTE(SUBSTITUTE(SUBSTITUTE(TRIM(E255),"*",""),".",""),"-","")," ",""))=11,MID(SUBSTITUTE(SUBSTITUTE(SUBSTITUTE(SUBSTITUTE(TRIM(E255),"*",""),".",""),"-","")," ",""),4,6),SUBSTITUTE(SUBSTITUTE(SUBSTITUTE(SUBSTITUTE(TRIM(E255),"*",""),".",""),"-","")," ","")))</f>
        <v/>
      </c>
      <c r="H255" s="31" t="str">
        <f aca="false">IF(OR(F255="",G255=""),"",F255&amp;"|"&amp;G255)</f>
        <v/>
      </c>
      <c r="I255" s="23"/>
      <c r="J255" s="22"/>
      <c r="K255" s="22"/>
      <c r="L255" s="25" t="str">
        <f aca="false">IF(F255="","",IF(AND(H255&lt;&gt;"",COUNTIF(Pessoas!$E:$E,H255)&gt;0),"SIM",IF(COUNTIF(Pessoas!$C:$C,F255)&gt;0,"nome igual em Pessoas: confira o CPF","")))</f>
        <v/>
      </c>
      <c r="M255" s="24"/>
      <c r="N255" s="11"/>
    </row>
    <row r="256" customFormat="false" ht="15" hidden="false" customHeight="false" outlineLevel="0" collapsed="false">
      <c r="A256" s="24"/>
      <c r="B256" s="31" t="str">
        <f aca="false">IF(A256="","",IF(LEN(UPPER(SUBSTITUTE(SUBSTITUTE(SUBSTITUTE(SUBSTITUTE(TRIM(A256),".",""),"/",""),"-","")," ","")))&lt;14,RIGHT(REPT("0",14)&amp;UPPER(SUBSTITUTE(SUBSTITUTE(SUBSTITUTE(SUBSTITUTE(TRIM(A256),".",""),"/",""),"-","")," ","")),14),UPPER(SUBSTITUTE(SUBSTITUTE(SUBSTITUTE(SUBSTITUTE(TRIM(A256),".",""),"/",""),"-","")," ",""))))</f>
        <v/>
      </c>
      <c r="C256" s="25" t="str">
        <f aca="false">IF(B256="","",IFERROR(INDEX(Empresas!$C:$C,MATCH(B256,Empresas!$B:$B,0)),"cadastre o CNPJ em Empresas"))</f>
        <v/>
      </c>
      <c r="D256" s="23"/>
      <c r="E256" s="24"/>
      <c r="F256" s="31" t="str">
        <f aca="false">IF(D256="","",SUBSTITUTE(SUBSTITUTE(SUBSTITUTE(SUBSTITUTE(SUBSTITUTE(SUBSTITUTE(SUBSTITUTE(SUBSTITUTE(SUBSTITUTE(SUBSTITUTE(SUBSTITUTE(SUBSTITUTE(SUBSTITUTE(UPPER(TRIM(D256)),"Á","A"),"À","A"),"Â","A"),"Ã","A"),"É","E"),"Ê","E"),"Í","I"),"Ó","O"),"Ô","O"),"Õ","O"),"Ú","U"),"Ü","U"),"Ç","C"))</f>
        <v/>
      </c>
      <c r="G256" s="31" t="str">
        <f aca="false">IF(E256="","",IF(LEN(SUBSTITUTE(SUBSTITUTE(SUBSTITUTE(SUBSTITUTE(TRIM(E256),"*",""),".",""),"-","")," ",""))=11,MID(SUBSTITUTE(SUBSTITUTE(SUBSTITUTE(SUBSTITUTE(TRIM(E256),"*",""),".",""),"-","")," ",""),4,6),SUBSTITUTE(SUBSTITUTE(SUBSTITUTE(SUBSTITUTE(TRIM(E256),"*",""),".",""),"-","")," ","")))</f>
        <v/>
      </c>
      <c r="H256" s="31" t="str">
        <f aca="false">IF(OR(F256="",G256=""),"",F256&amp;"|"&amp;G256)</f>
        <v/>
      </c>
      <c r="I256" s="23"/>
      <c r="J256" s="22"/>
      <c r="K256" s="22"/>
      <c r="L256" s="25" t="str">
        <f aca="false">IF(F256="","",IF(AND(H256&lt;&gt;"",COUNTIF(Pessoas!$E:$E,H256)&gt;0),"SIM",IF(COUNTIF(Pessoas!$C:$C,F256)&gt;0,"nome igual em Pessoas: confira o CPF","")))</f>
        <v/>
      </c>
      <c r="M256" s="24"/>
      <c r="N256" s="11"/>
    </row>
    <row r="257" customFormat="false" ht="15" hidden="false" customHeight="false" outlineLevel="0" collapsed="false">
      <c r="A257" s="24"/>
      <c r="B257" s="31" t="str">
        <f aca="false">IF(A257="","",IF(LEN(UPPER(SUBSTITUTE(SUBSTITUTE(SUBSTITUTE(SUBSTITUTE(TRIM(A257),".",""),"/",""),"-","")," ","")))&lt;14,RIGHT(REPT("0",14)&amp;UPPER(SUBSTITUTE(SUBSTITUTE(SUBSTITUTE(SUBSTITUTE(TRIM(A257),".",""),"/",""),"-","")," ","")),14),UPPER(SUBSTITUTE(SUBSTITUTE(SUBSTITUTE(SUBSTITUTE(TRIM(A257),".",""),"/",""),"-","")," ",""))))</f>
        <v/>
      </c>
      <c r="C257" s="25" t="str">
        <f aca="false">IF(B257="","",IFERROR(INDEX(Empresas!$C:$C,MATCH(B257,Empresas!$B:$B,0)),"cadastre o CNPJ em Empresas"))</f>
        <v/>
      </c>
      <c r="D257" s="23"/>
      <c r="E257" s="24"/>
      <c r="F257" s="31" t="str">
        <f aca="false">IF(D257="","",SUBSTITUTE(SUBSTITUTE(SUBSTITUTE(SUBSTITUTE(SUBSTITUTE(SUBSTITUTE(SUBSTITUTE(SUBSTITUTE(SUBSTITUTE(SUBSTITUTE(SUBSTITUTE(SUBSTITUTE(SUBSTITUTE(UPPER(TRIM(D257)),"Á","A"),"À","A"),"Â","A"),"Ã","A"),"É","E"),"Ê","E"),"Í","I"),"Ó","O"),"Ô","O"),"Õ","O"),"Ú","U"),"Ü","U"),"Ç","C"))</f>
        <v/>
      </c>
      <c r="G257" s="31" t="str">
        <f aca="false">IF(E257="","",IF(LEN(SUBSTITUTE(SUBSTITUTE(SUBSTITUTE(SUBSTITUTE(TRIM(E257),"*",""),".",""),"-","")," ",""))=11,MID(SUBSTITUTE(SUBSTITUTE(SUBSTITUTE(SUBSTITUTE(TRIM(E257),"*",""),".",""),"-","")," ",""),4,6),SUBSTITUTE(SUBSTITUTE(SUBSTITUTE(SUBSTITUTE(TRIM(E257),"*",""),".",""),"-","")," ","")))</f>
        <v/>
      </c>
      <c r="H257" s="31" t="str">
        <f aca="false">IF(OR(F257="",G257=""),"",F257&amp;"|"&amp;G257)</f>
        <v/>
      </c>
      <c r="I257" s="23"/>
      <c r="J257" s="22"/>
      <c r="K257" s="22"/>
      <c r="L257" s="25" t="str">
        <f aca="false">IF(F257="","",IF(AND(H257&lt;&gt;"",COUNTIF(Pessoas!$E:$E,H257)&gt;0),"SIM",IF(COUNTIF(Pessoas!$C:$C,F257)&gt;0,"nome igual em Pessoas: confira o CPF","")))</f>
        <v/>
      </c>
      <c r="M257" s="24"/>
      <c r="N257" s="11"/>
    </row>
    <row r="258" customFormat="false" ht="15" hidden="false" customHeight="false" outlineLevel="0" collapsed="false">
      <c r="A258" s="24"/>
      <c r="B258" s="31" t="str">
        <f aca="false">IF(A258="","",IF(LEN(UPPER(SUBSTITUTE(SUBSTITUTE(SUBSTITUTE(SUBSTITUTE(TRIM(A258),".",""),"/",""),"-","")," ","")))&lt;14,RIGHT(REPT("0",14)&amp;UPPER(SUBSTITUTE(SUBSTITUTE(SUBSTITUTE(SUBSTITUTE(TRIM(A258),".",""),"/",""),"-","")," ","")),14),UPPER(SUBSTITUTE(SUBSTITUTE(SUBSTITUTE(SUBSTITUTE(TRIM(A258),".",""),"/",""),"-","")," ",""))))</f>
        <v/>
      </c>
      <c r="C258" s="25" t="str">
        <f aca="false">IF(B258="","",IFERROR(INDEX(Empresas!$C:$C,MATCH(B258,Empresas!$B:$B,0)),"cadastre o CNPJ em Empresas"))</f>
        <v/>
      </c>
      <c r="D258" s="23"/>
      <c r="E258" s="24"/>
      <c r="F258" s="31" t="str">
        <f aca="false">IF(D258="","",SUBSTITUTE(SUBSTITUTE(SUBSTITUTE(SUBSTITUTE(SUBSTITUTE(SUBSTITUTE(SUBSTITUTE(SUBSTITUTE(SUBSTITUTE(SUBSTITUTE(SUBSTITUTE(SUBSTITUTE(SUBSTITUTE(UPPER(TRIM(D258)),"Á","A"),"À","A"),"Â","A"),"Ã","A"),"É","E"),"Ê","E"),"Í","I"),"Ó","O"),"Ô","O"),"Õ","O"),"Ú","U"),"Ü","U"),"Ç","C"))</f>
        <v/>
      </c>
      <c r="G258" s="31" t="str">
        <f aca="false">IF(E258="","",IF(LEN(SUBSTITUTE(SUBSTITUTE(SUBSTITUTE(SUBSTITUTE(TRIM(E258),"*",""),".",""),"-","")," ",""))=11,MID(SUBSTITUTE(SUBSTITUTE(SUBSTITUTE(SUBSTITUTE(TRIM(E258),"*",""),".",""),"-","")," ",""),4,6),SUBSTITUTE(SUBSTITUTE(SUBSTITUTE(SUBSTITUTE(TRIM(E258),"*",""),".",""),"-","")," ","")))</f>
        <v/>
      </c>
      <c r="H258" s="31" t="str">
        <f aca="false">IF(OR(F258="",G258=""),"",F258&amp;"|"&amp;G258)</f>
        <v/>
      </c>
      <c r="I258" s="23"/>
      <c r="J258" s="22"/>
      <c r="K258" s="22"/>
      <c r="L258" s="25" t="str">
        <f aca="false">IF(F258="","",IF(AND(H258&lt;&gt;"",COUNTIF(Pessoas!$E:$E,H258)&gt;0),"SIM",IF(COUNTIF(Pessoas!$C:$C,F258)&gt;0,"nome igual em Pessoas: confira o CPF","")))</f>
        <v/>
      </c>
      <c r="M258" s="24"/>
      <c r="N258" s="11"/>
    </row>
    <row r="259" customFormat="false" ht="15" hidden="false" customHeight="false" outlineLevel="0" collapsed="false">
      <c r="A259" s="24"/>
      <c r="B259" s="31" t="str">
        <f aca="false">IF(A259="","",IF(LEN(UPPER(SUBSTITUTE(SUBSTITUTE(SUBSTITUTE(SUBSTITUTE(TRIM(A259),".",""),"/",""),"-","")," ","")))&lt;14,RIGHT(REPT("0",14)&amp;UPPER(SUBSTITUTE(SUBSTITUTE(SUBSTITUTE(SUBSTITUTE(TRIM(A259),".",""),"/",""),"-","")," ","")),14),UPPER(SUBSTITUTE(SUBSTITUTE(SUBSTITUTE(SUBSTITUTE(TRIM(A259),".",""),"/",""),"-","")," ",""))))</f>
        <v/>
      </c>
      <c r="C259" s="25" t="str">
        <f aca="false">IF(B259="","",IFERROR(INDEX(Empresas!$C:$C,MATCH(B259,Empresas!$B:$B,0)),"cadastre o CNPJ em Empresas"))</f>
        <v/>
      </c>
      <c r="D259" s="23"/>
      <c r="E259" s="24"/>
      <c r="F259" s="31" t="str">
        <f aca="false">IF(D259="","",SUBSTITUTE(SUBSTITUTE(SUBSTITUTE(SUBSTITUTE(SUBSTITUTE(SUBSTITUTE(SUBSTITUTE(SUBSTITUTE(SUBSTITUTE(SUBSTITUTE(SUBSTITUTE(SUBSTITUTE(SUBSTITUTE(UPPER(TRIM(D259)),"Á","A"),"À","A"),"Â","A"),"Ã","A"),"É","E"),"Ê","E"),"Í","I"),"Ó","O"),"Ô","O"),"Õ","O"),"Ú","U"),"Ü","U"),"Ç","C"))</f>
        <v/>
      </c>
      <c r="G259" s="31" t="str">
        <f aca="false">IF(E259="","",IF(LEN(SUBSTITUTE(SUBSTITUTE(SUBSTITUTE(SUBSTITUTE(TRIM(E259),"*",""),".",""),"-","")," ",""))=11,MID(SUBSTITUTE(SUBSTITUTE(SUBSTITUTE(SUBSTITUTE(TRIM(E259),"*",""),".",""),"-","")," ",""),4,6),SUBSTITUTE(SUBSTITUTE(SUBSTITUTE(SUBSTITUTE(TRIM(E259),"*",""),".",""),"-","")," ","")))</f>
        <v/>
      </c>
      <c r="H259" s="31" t="str">
        <f aca="false">IF(OR(F259="",G259=""),"",F259&amp;"|"&amp;G259)</f>
        <v/>
      </c>
      <c r="I259" s="23"/>
      <c r="J259" s="22"/>
      <c r="K259" s="22"/>
      <c r="L259" s="25" t="str">
        <f aca="false">IF(F259="","",IF(AND(H259&lt;&gt;"",COUNTIF(Pessoas!$E:$E,H259)&gt;0),"SIM",IF(COUNTIF(Pessoas!$C:$C,F259)&gt;0,"nome igual em Pessoas: confira o CPF","")))</f>
        <v/>
      </c>
      <c r="M259" s="24"/>
      <c r="N259" s="11"/>
    </row>
    <row r="260" customFormat="false" ht="15" hidden="false" customHeight="false" outlineLevel="0" collapsed="false">
      <c r="A260" s="24"/>
      <c r="B260" s="31" t="str">
        <f aca="false">IF(A260="","",IF(LEN(UPPER(SUBSTITUTE(SUBSTITUTE(SUBSTITUTE(SUBSTITUTE(TRIM(A260),".",""),"/",""),"-","")," ","")))&lt;14,RIGHT(REPT("0",14)&amp;UPPER(SUBSTITUTE(SUBSTITUTE(SUBSTITUTE(SUBSTITUTE(TRIM(A260),".",""),"/",""),"-","")," ","")),14),UPPER(SUBSTITUTE(SUBSTITUTE(SUBSTITUTE(SUBSTITUTE(TRIM(A260),".",""),"/",""),"-","")," ",""))))</f>
        <v/>
      </c>
      <c r="C260" s="25" t="str">
        <f aca="false">IF(B260="","",IFERROR(INDEX(Empresas!$C:$C,MATCH(B260,Empresas!$B:$B,0)),"cadastre o CNPJ em Empresas"))</f>
        <v/>
      </c>
      <c r="D260" s="23"/>
      <c r="E260" s="24"/>
      <c r="F260" s="31" t="str">
        <f aca="false">IF(D260="","",SUBSTITUTE(SUBSTITUTE(SUBSTITUTE(SUBSTITUTE(SUBSTITUTE(SUBSTITUTE(SUBSTITUTE(SUBSTITUTE(SUBSTITUTE(SUBSTITUTE(SUBSTITUTE(SUBSTITUTE(SUBSTITUTE(UPPER(TRIM(D260)),"Á","A"),"À","A"),"Â","A"),"Ã","A"),"É","E"),"Ê","E"),"Í","I"),"Ó","O"),"Ô","O"),"Õ","O"),"Ú","U"),"Ü","U"),"Ç","C"))</f>
        <v/>
      </c>
      <c r="G260" s="31" t="str">
        <f aca="false">IF(E260="","",IF(LEN(SUBSTITUTE(SUBSTITUTE(SUBSTITUTE(SUBSTITUTE(TRIM(E260),"*",""),".",""),"-","")," ",""))=11,MID(SUBSTITUTE(SUBSTITUTE(SUBSTITUTE(SUBSTITUTE(TRIM(E260),"*",""),".",""),"-","")," ",""),4,6),SUBSTITUTE(SUBSTITUTE(SUBSTITUTE(SUBSTITUTE(TRIM(E260),"*",""),".",""),"-","")," ","")))</f>
        <v/>
      </c>
      <c r="H260" s="31" t="str">
        <f aca="false">IF(OR(F260="",G260=""),"",F260&amp;"|"&amp;G260)</f>
        <v/>
      </c>
      <c r="I260" s="23"/>
      <c r="J260" s="22"/>
      <c r="K260" s="22"/>
      <c r="L260" s="25" t="str">
        <f aca="false">IF(F260="","",IF(AND(H260&lt;&gt;"",COUNTIF(Pessoas!$E:$E,H260)&gt;0),"SIM",IF(COUNTIF(Pessoas!$C:$C,F260)&gt;0,"nome igual em Pessoas: confira o CPF","")))</f>
        <v/>
      </c>
      <c r="M260" s="24"/>
      <c r="N260" s="11"/>
    </row>
    <row r="261" customFormat="false" ht="15" hidden="false" customHeight="false" outlineLevel="0" collapsed="false">
      <c r="A261" s="24"/>
      <c r="B261" s="31" t="str">
        <f aca="false">IF(A261="","",IF(LEN(UPPER(SUBSTITUTE(SUBSTITUTE(SUBSTITUTE(SUBSTITUTE(TRIM(A261),".",""),"/",""),"-","")," ","")))&lt;14,RIGHT(REPT("0",14)&amp;UPPER(SUBSTITUTE(SUBSTITUTE(SUBSTITUTE(SUBSTITUTE(TRIM(A261),".",""),"/",""),"-","")," ","")),14),UPPER(SUBSTITUTE(SUBSTITUTE(SUBSTITUTE(SUBSTITUTE(TRIM(A261),".",""),"/",""),"-","")," ",""))))</f>
        <v/>
      </c>
      <c r="C261" s="25" t="str">
        <f aca="false">IF(B261="","",IFERROR(INDEX(Empresas!$C:$C,MATCH(B261,Empresas!$B:$B,0)),"cadastre o CNPJ em Empresas"))</f>
        <v/>
      </c>
      <c r="D261" s="23"/>
      <c r="E261" s="24"/>
      <c r="F261" s="31" t="str">
        <f aca="false">IF(D261="","",SUBSTITUTE(SUBSTITUTE(SUBSTITUTE(SUBSTITUTE(SUBSTITUTE(SUBSTITUTE(SUBSTITUTE(SUBSTITUTE(SUBSTITUTE(SUBSTITUTE(SUBSTITUTE(SUBSTITUTE(SUBSTITUTE(UPPER(TRIM(D261)),"Á","A"),"À","A"),"Â","A"),"Ã","A"),"É","E"),"Ê","E"),"Í","I"),"Ó","O"),"Ô","O"),"Õ","O"),"Ú","U"),"Ü","U"),"Ç","C"))</f>
        <v/>
      </c>
      <c r="G261" s="31" t="str">
        <f aca="false">IF(E261="","",IF(LEN(SUBSTITUTE(SUBSTITUTE(SUBSTITUTE(SUBSTITUTE(TRIM(E261),"*",""),".",""),"-","")," ",""))=11,MID(SUBSTITUTE(SUBSTITUTE(SUBSTITUTE(SUBSTITUTE(TRIM(E261),"*",""),".",""),"-","")," ",""),4,6),SUBSTITUTE(SUBSTITUTE(SUBSTITUTE(SUBSTITUTE(TRIM(E261),"*",""),".",""),"-","")," ","")))</f>
        <v/>
      </c>
      <c r="H261" s="31" t="str">
        <f aca="false">IF(OR(F261="",G261=""),"",F261&amp;"|"&amp;G261)</f>
        <v/>
      </c>
      <c r="I261" s="23"/>
      <c r="J261" s="22"/>
      <c r="K261" s="22"/>
      <c r="L261" s="25" t="str">
        <f aca="false">IF(F261="","",IF(AND(H261&lt;&gt;"",COUNTIF(Pessoas!$E:$E,H261)&gt;0),"SIM",IF(COUNTIF(Pessoas!$C:$C,F261)&gt;0,"nome igual em Pessoas: confira o CPF","")))</f>
        <v/>
      </c>
      <c r="M261" s="24"/>
      <c r="N261" s="11"/>
    </row>
    <row r="262" customFormat="false" ht="15" hidden="false" customHeight="false" outlineLevel="0" collapsed="false">
      <c r="A262" s="24"/>
      <c r="B262" s="31" t="str">
        <f aca="false">IF(A262="","",IF(LEN(UPPER(SUBSTITUTE(SUBSTITUTE(SUBSTITUTE(SUBSTITUTE(TRIM(A262),".",""),"/",""),"-","")," ","")))&lt;14,RIGHT(REPT("0",14)&amp;UPPER(SUBSTITUTE(SUBSTITUTE(SUBSTITUTE(SUBSTITUTE(TRIM(A262),".",""),"/",""),"-","")," ","")),14),UPPER(SUBSTITUTE(SUBSTITUTE(SUBSTITUTE(SUBSTITUTE(TRIM(A262),".",""),"/",""),"-","")," ",""))))</f>
        <v/>
      </c>
      <c r="C262" s="25" t="str">
        <f aca="false">IF(B262="","",IFERROR(INDEX(Empresas!$C:$C,MATCH(B262,Empresas!$B:$B,0)),"cadastre o CNPJ em Empresas"))</f>
        <v/>
      </c>
      <c r="D262" s="23"/>
      <c r="E262" s="24"/>
      <c r="F262" s="31" t="str">
        <f aca="false">IF(D262="","",SUBSTITUTE(SUBSTITUTE(SUBSTITUTE(SUBSTITUTE(SUBSTITUTE(SUBSTITUTE(SUBSTITUTE(SUBSTITUTE(SUBSTITUTE(SUBSTITUTE(SUBSTITUTE(SUBSTITUTE(SUBSTITUTE(UPPER(TRIM(D262)),"Á","A"),"À","A"),"Â","A"),"Ã","A"),"É","E"),"Ê","E"),"Í","I"),"Ó","O"),"Ô","O"),"Õ","O"),"Ú","U"),"Ü","U"),"Ç","C"))</f>
        <v/>
      </c>
      <c r="G262" s="31" t="str">
        <f aca="false">IF(E262="","",IF(LEN(SUBSTITUTE(SUBSTITUTE(SUBSTITUTE(SUBSTITUTE(TRIM(E262),"*",""),".",""),"-","")," ",""))=11,MID(SUBSTITUTE(SUBSTITUTE(SUBSTITUTE(SUBSTITUTE(TRIM(E262),"*",""),".",""),"-","")," ",""),4,6),SUBSTITUTE(SUBSTITUTE(SUBSTITUTE(SUBSTITUTE(TRIM(E262),"*",""),".",""),"-","")," ","")))</f>
        <v/>
      </c>
      <c r="H262" s="31" t="str">
        <f aca="false">IF(OR(F262="",G262=""),"",F262&amp;"|"&amp;G262)</f>
        <v/>
      </c>
      <c r="I262" s="23"/>
      <c r="J262" s="22"/>
      <c r="K262" s="22"/>
      <c r="L262" s="25" t="str">
        <f aca="false">IF(F262="","",IF(AND(H262&lt;&gt;"",COUNTIF(Pessoas!$E:$E,H262)&gt;0),"SIM",IF(COUNTIF(Pessoas!$C:$C,F262)&gt;0,"nome igual em Pessoas: confira o CPF","")))</f>
        <v/>
      </c>
      <c r="M262" s="24"/>
      <c r="N262" s="11"/>
    </row>
    <row r="263" customFormat="false" ht="15" hidden="false" customHeight="false" outlineLevel="0" collapsed="false">
      <c r="A263" s="24"/>
      <c r="B263" s="31" t="str">
        <f aca="false">IF(A263="","",IF(LEN(UPPER(SUBSTITUTE(SUBSTITUTE(SUBSTITUTE(SUBSTITUTE(TRIM(A263),".",""),"/",""),"-","")," ","")))&lt;14,RIGHT(REPT("0",14)&amp;UPPER(SUBSTITUTE(SUBSTITUTE(SUBSTITUTE(SUBSTITUTE(TRIM(A263),".",""),"/",""),"-","")," ","")),14),UPPER(SUBSTITUTE(SUBSTITUTE(SUBSTITUTE(SUBSTITUTE(TRIM(A263),".",""),"/",""),"-","")," ",""))))</f>
        <v/>
      </c>
      <c r="C263" s="25" t="str">
        <f aca="false">IF(B263="","",IFERROR(INDEX(Empresas!$C:$C,MATCH(B263,Empresas!$B:$B,0)),"cadastre o CNPJ em Empresas"))</f>
        <v/>
      </c>
      <c r="D263" s="23"/>
      <c r="E263" s="24"/>
      <c r="F263" s="31" t="str">
        <f aca="false">IF(D263="","",SUBSTITUTE(SUBSTITUTE(SUBSTITUTE(SUBSTITUTE(SUBSTITUTE(SUBSTITUTE(SUBSTITUTE(SUBSTITUTE(SUBSTITUTE(SUBSTITUTE(SUBSTITUTE(SUBSTITUTE(SUBSTITUTE(UPPER(TRIM(D263)),"Á","A"),"À","A"),"Â","A"),"Ã","A"),"É","E"),"Ê","E"),"Í","I"),"Ó","O"),"Ô","O"),"Õ","O"),"Ú","U"),"Ü","U"),"Ç","C"))</f>
        <v/>
      </c>
      <c r="G263" s="31" t="str">
        <f aca="false">IF(E263="","",IF(LEN(SUBSTITUTE(SUBSTITUTE(SUBSTITUTE(SUBSTITUTE(TRIM(E263),"*",""),".",""),"-","")," ",""))=11,MID(SUBSTITUTE(SUBSTITUTE(SUBSTITUTE(SUBSTITUTE(TRIM(E263),"*",""),".",""),"-","")," ",""),4,6),SUBSTITUTE(SUBSTITUTE(SUBSTITUTE(SUBSTITUTE(TRIM(E263),"*",""),".",""),"-","")," ","")))</f>
        <v/>
      </c>
      <c r="H263" s="31" t="str">
        <f aca="false">IF(OR(F263="",G263=""),"",F263&amp;"|"&amp;G263)</f>
        <v/>
      </c>
      <c r="I263" s="23"/>
      <c r="J263" s="22"/>
      <c r="K263" s="22"/>
      <c r="L263" s="25" t="str">
        <f aca="false">IF(F263="","",IF(AND(H263&lt;&gt;"",COUNTIF(Pessoas!$E:$E,H263)&gt;0),"SIM",IF(COUNTIF(Pessoas!$C:$C,F263)&gt;0,"nome igual em Pessoas: confira o CPF","")))</f>
        <v/>
      </c>
      <c r="M263" s="24"/>
      <c r="N263" s="11"/>
    </row>
    <row r="264" customFormat="false" ht="15" hidden="false" customHeight="false" outlineLevel="0" collapsed="false">
      <c r="A264" s="24"/>
      <c r="B264" s="31" t="str">
        <f aca="false">IF(A264="","",IF(LEN(UPPER(SUBSTITUTE(SUBSTITUTE(SUBSTITUTE(SUBSTITUTE(TRIM(A264),".",""),"/",""),"-","")," ","")))&lt;14,RIGHT(REPT("0",14)&amp;UPPER(SUBSTITUTE(SUBSTITUTE(SUBSTITUTE(SUBSTITUTE(TRIM(A264),".",""),"/",""),"-","")," ","")),14),UPPER(SUBSTITUTE(SUBSTITUTE(SUBSTITUTE(SUBSTITUTE(TRIM(A264),".",""),"/",""),"-","")," ",""))))</f>
        <v/>
      </c>
      <c r="C264" s="25" t="str">
        <f aca="false">IF(B264="","",IFERROR(INDEX(Empresas!$C:$C,MATCH(B264,Empresas!$B:$B,0)),"cadastre o CNPJ em Empresas"))</f>
        <v/>
      </c>
      <c r="D264" s="23"/>
      <c r="E264" s="24"/>
      <c r="F264" s="31" t="str">
        <f aca="false">IF(D264="","",SUBSTITUTE(SUBSTITUTE(SUBSTITUTE(SUBSTITUTE(SUBSTITUTE(SUBSTITUTE(SUBSTITUTE(SUBSTITUTE(SUBSTITUTE(SUBSTITUTE(SUBSTITUTE(SUBSTITUTE(SUBSTITUTE(UPPER(TRIM(D264)),"Á","A"),"À","A"),"Â","A"),"Ã","A"),"É","E"),"Ê","E"),"Í","I"),"Ó","O"),"Ô","O"),"Õ","O"),"Ú","U"),"Ü","U"),"Ç","C"))</f>
        <v/>
      </c>
      <c r="G264" s="31" t="str">
        <f aca="false">IF(E264="","",IF(LEN(SUBSTITUTE(SUBSTITUTE(SUBSTITUTE(SUBSTITUTE(TRIM(E264),"*",""),".",""),"-","")," ",""))=11,MID(SUBSTITUTE(SUBSTITUTE(SUBSTITUTE(SUBSTITUTE(TRIM(E264),"*",""),".",""),"-","")," ",""),4,6),SUBSTITUTE(SUBSTITUTE(SUBSTITUTE(SUBSTITUTE(TRIM(E264),"*",""),".",""),"-","")," ","")))</f>
        <v/>
      </c>
      <c r="H264" s="31" t="str">
        <f aca="false">IF(OR(F264="",G264=""),"",F264&amp;"|"&amp;G264)</f>
        <v/>
      </c>
      <c r="I264" s="23"/>
      <c r="J264" s="22"/>
      <c r="K264" s="22"/>
      <c r="L264" s="25" t="str">
        <f aca="false">IF(F264="","",IF(AND(H264&lt;&gt;"",COUNTIF(Pessoas!$E:$E,H264)&gt;0),"SIM",IF(COUNTIF(Pessoas!$C:$C,F264)&gt;0,"nome igual em Pessoas: confira o CPF","")))</f>
        <v/>
      </c>
      <c r="M264" s="24"/>
      <c r="N264" s="11"/>
    </row>
    <row r="265" customFormat="false" ht="15" hidden="false" customHeight="false" outlineLevel="0" collapsed="false">
      <c r="A265" s="24"/>
      <c r="B265" s="31" t="str">
        <f aca="false">IF(A265="","",IF(LEN(UPPER(SUBSTITUTE(SUBSTITUTE(SUBSTITUTE(SUBSTITUTE(TRIM(A265),".",""),"/",""),"-","")," ","")))&lt;14,RIGHT(REPT("0",14)&amp;UPPER(SUBSTITUTE(SUBSTITUTE(SUBSTITUTE(SUBSTITUTE(TRIM(A265),".",""),"/",""),"-","")," ","")),14),UPPER(SUBSTITUTE(SUBSTITUTE(SUBSTITUTE(SUBSTITUTE(TRIM(A265),".",""),"/",""),"-","")," ",""))))</f>
        <v/>
      </c>
      <c r="C265" s="25" t="str">
        <f aca="false">IF(B265="","",IFERROR(INDEX(Empresas!$C:$C,MATCH(B265,Empresas!$B:$B,0)),"cadastre o CNPJ em Empresas"))</f>
        <v/>
      </c>
      <c r="D265" s="23"/>
      <c r="E265" s="24"/>
      <c r="F265" s="31" t="str">
        <f aca="false">IF(D265="","",SUBSTITUTE(SUBSTITUTE(SUBSTITUTE(SUBSTITUTE(SUBSTITUTE(SUBSTITUTE(SUBSTITUTE(SUBSTITUTE(SUBSTITUTE(SUBSTITUTE(SUBSTITUTE(SUBSTITUTE(SUBSTITUTE(UPPER(TRIM(D265)),"Á","A"),"À","A"),"Â","A"),"Ã","A"),"É","E"),"Ê","E"),"Í","I"),"Ó","O"),"Ô","O"),"Õ","O"),"Ú","U"),"Ü","U"),"Ç","C"))</f>
        <v/>
      </c>
      <c r="G265" s="31" t="str">
        <f aca="false">IF(E265="","",IF(LEN(SUBSTITUTE(SUBSTITUTE(SUBSTITUTE(SUBSTITUTE(TRIM(E265),"*",""),".",""),"-","")," ",""))=11,MID(SUBSTITUTE(SUBSTITUTE(SUBSTITUTE(SUBSTITUTE(TRIM(E265),"*",""),".",""),"-","")," ",""),4,6),SUBSTITUTE(SUBSTITUTE(SUBSTITUTE(SUBSTITUTE(TRIM(E265),"*",""),".",""),"-","")," ","")))</f>
        <v/>
      </c>
      <c r="H265" s="31" t="str">
        <f aca="false">IF(OR(F265="",G265=""),"",F265&amp;"|"&amp;G265)</f>
        <v/>
      </c>
      <c r="I265" s="23"/>
      <c r="J265" s="22"/>
      <c r="K265" s="22"/>
      <c r="L265" s="25" t="str">
        <f aca="false">IF(F265="","",IF(AND(H265&lt;&gt;"",COUNTIF(Pessoas!$E:$E,H265)&gt;0),"SIM",IF(COUNTIF(Pessoas!$C:$C,F265)&gt;0,"nome igual em Pessoas: confira o CPF","")))</f>
        <v/>
      </c>
      <c r="M265" s="24"/>
      <c r="N265" s="11"/>
    </row>
    <row r="266" customFormat="false" ht="15" hidden="false" customHeight="false" outlineLevel="0" collapsed="false">
      <c r="A266" s="24"/>
      <c r="B266" s="31" t="str">
        <f aca="false">IF(A266="","",IF(LEN(UPPER(SUBSTITUTE(SUBSTITUTE(SUBSTITUTE(SUBSTITUTE(TRIM(A266),".",""),"/",""),"-","")," ","")))&lt;14,RIGHT(REPT("0",14)&amp;UPPER(SUBSTITUTE(SUBSTITUTE(SUBSTITUTE(SUBSTITUTE(TRIM(A266),".",""),"/",""),"-","")," ","")),14),UPPER(SUBSTITUTE(SUBSTITUTE(SUBSTITUTE(SUBSTITUTE(TRIM(A266),".",""),"/",""),"-","")," ",""))))</f>
        <v/>
      </c>
      <c r="C266" s="25" t="str">
        <f aca="false">IF(B266="","",IFERROR(INDEX(Empresas!$C:$C,MATCH(B266,Empresas!$B:$B,0)),"cadastre o CNPJ em Empresas"))</f>
        <v/>
      </c>
      <c r="D266" s="23"/>
      <c r="E266" s="24"/>
      <c r="F266" s="31" t="str">
        <f aca="false">IF(D266="","",SUBSTITUTE(SUBSTITUTE(SUBSTITUTE(SUBSTITUTE(SUBSTITUTE(SUBSTITUTE(SUBSTITUTE(SUBSTITUTE(SUBSTITUTE(SUBSTITUTE(SUBSTITUTE(SUBSTITUTE(SUBSTITUTE(UPPER(TRIM(D266)),"Á","A"),"À","A"),"Â","A"),"Ã","A"),"É","E"),"Ê","E"),"Í","I"),"Ó","O"),"Ô","O"),"Õ","O"),"Ú","U"),"Ü","U"),"Ç","C"))</f>
        <v/>
      </c>
      <c r="G266" s="31" t="str">
        <f aca="false">IF(E266="","",IF(LEN(SUBSTITUTE(SUBSTITUTE(SUBSTITUTE(SUBSTITUTE(TRIM(E266),"*",""),".",""),"-","")," ",""))=11,MID(SUBSTITUTE(SUBSTITUTE(SUBSTITUTE(SUBSTITUTE(TRIM(E266),"*",""),".",""),"-","")," ",""),4,6),SUBSTITUTE(SUBSTITUTE(SUBSTITUTE(SUBSTITUTE(TRIM(E266),"*",""),".",""),"-","")," ","")))</f>
        <v/>
      </c>
      <c r="H266" s="31" t="str">
        <f aca="false">IF(OR(F266="",G266=""),"",F266&amp;"|"&amp;G266)</f>
        <v/>
      </c>
      <c r="I266" s="23"/>
      <c r="J266" s="22"/>
      <c r="K266" s="22"/>
      <c r="L266" s="25" t="str">
        <f aca="false">IF(F266="","",IF(AND(H266&lt;&gt;"",COUNTIF(Pessoas!$E:$E,H266)&gt;0),"SIM",IF(COUNTIF(Pessoas!$C:$C,F266)&gt;0,"nome igual em Pessoas: confira o CPF","")))</f>
        <v/>
      </c>
      <c r="M266" s="24"/>
      <c r="N266" s="11"/>
    </row>
    <row r="267" customFormat="false" ht="15" hidden="false" customHeight="false" outlineLevel="0" collapsed="false">
      <c r="A267" s="24"/>
      <c r="B267" s="31" t="str">
        <f aca="false">IF(A267="","",IF(LEN(UPPER(SUBSTITUTE(SUBSTITUTE(SUBSTITUTE(SUBSTITUTE(TRIM(A267),".",""),"/",""),"-","")," ","")))&lt;14,RIGHT(REPT("0",14)&amp;UPPER(SUBSTITUTE(SUBSTITUTE(SUBSTITUTE(SUBSTITUTE(TRIM(A267),".",""),"/",""),"-","")," ","")),14),UPPER(SUBSTITUTE(SUBSTITUTE(SUBSTITUTE(SUBSTITUTE(TRIM(A267),".",""),"/",""),"-","")," ",""))))</f>
        <v/>
      </c>
      <c r="C267" s="25" t="str">
        <f aca="false">IF(B267="","",IFERROR(INDEX(Empresas!$C:$C,MATCH(B267,Empresas!$B:$B,0)),"cadastre o CNPJ em Empresas"))</f>
        <v/>
      </c>
      <c r="D267" s="23"/>
      <c r="E267" s="24"/>
      <c r="F267" s="31" t="str">
        <f aca="false">IF(D267="","",SUBSTITUTE(SUBSTITUTE(SUBSTITUTE(SUBSTITUTE(SUBSTITUTE(SUBSTITUTE(SUBSTITUTE(SUBSTITUTE(SUBSTITUTE(SUBSTITUTE(SUBSTITUTE(SUBSTITUTE(SUBSTITUTE(UPPER(TRIM(D267)),"Á","A"),"À","A"),"Â","A"),"Ã","A"),"É","E"),"Ê","E"),"Í","I"),"Ó","O"),"Ô","O"),"Õ","O"),"Ú","U"),"Ü","U"),"Ç","C"))</f>
        <v/>
      </c>
      <c r="G267" s="31" t="str">
        <f aca="false">IF(E267="","",IF(LEN(SUBSTITUTE(SUBSTITUTE(SUBSTITUTE(SUBSTITUTE(TRIM(E267),"*",""),".",""),"-","")," ",""))=11,MID(SUBSTITUTE(SUBSTITUTE(SUBSTITUTE(SUBSTITUTE(TRIM(E267),"*",""),".",""),"-","")," ",""),4,6),SUBSTITUTE(SUBSTITUTE(SUBSTITUTE(SUBSTITUTE(TRIM(E267),"*",""),".",""),"-","")," ","")))</f>
        <v/>
      </c>
      <c r="H267" s="31" t="str">
        <f aca="false">IF(OR(F267="",G267=""),"",F267&amp;"|"&amp;G267)</f>
        <v/>
      </c>
      <c r="I267" s="23"/>
      <c r="J267" s="22"/>
      <c r="K267" s="22"/>
      <c r="L267" s="25" t="str">
        <f aca="false">IF(F267="","",IF(AND(H267&lt;&gt;"",COUNTIF(Pessoas!$E:$E,H267)&gt;0),"SIM",IF(COUNTIF(Pessoas!$C:$C,F267)&gt;0,"nome igual em Pessoas: confira o CPF","")))</f>
        <v/>
      </c>
      <c r="M267" s="24"/>
      <c r="N267" s="11"/>
    </row>
    <row r="268" customFormat="false" ht="15" hidden="false" customHeight="false" outlineLevel="0" collapsed="false">
      <c r="A268" s="24"/>
      <c r="B268" s="31" t="str">
        <f aca="false">IF(A268="","",IF(LEN(UPPER(SUBSTITUTE(SUBSTITUTE(SUBSTITUTE(SUBSTITUTE(TRIM(A268),".",""),"/",""),"-","")," ","")))&lt;14,RIGHT(REPT("0",14)&amp;UPPER(SUBSTITUTE(SUBSTITUTE(SUBSTITUTE(SUBSTITUTE(TRIM(A268),".",""),"/",""),"-","")," ","")),14),UPPER(SUBSTITUTE(SUBSTITUTE(SUBSTITUTE(SUBSTITUTE(TRIM(A268),".",""),"/",""),"-","")," ",""))))</f>
        <v/>
      </c>
      <c r="C268" s="25" t="str">
        <f aca="false">IF(B268="","",IFERROR(INDEX(Empresas!$C:$C,MATCH(B268,Empresas!$B:$B,0)),"cadastre o CNPJ em Empresas"))</f>
        <v/>
      </c>
      <c r="D268" s="23"/>
      <c r="E268" s="24"/>
      <c r="F268" s="31" t="str">
        <f aca="false">IF(D268="","",SUBSTITUTE(SUBSTITUTE(SUBSTITUTE(SUBSTITUTE(SUBSTITUTE(SUBSTITUTE(SUBSTITUTE(SUBSTITUTE(SUBSTITUTE(SUBSTITUTE(SUBSTITUTE(SUBSTITUTE(SUBSTITUTE(UPPER(TRIM(D268)),"Á","A"),"À","A"),"Â","A"),"Ã","A"),"É","E"),"Ê","E"),"Í","I"),"Ó","O"),"Ô","O"),"Õ","O"),"Ú","U"),"Ü","U"),"Ç","C"))</f>
        <v/>
      </c>
      <c r="G268" s="31" t="str">
        <f aca="false">IF(E268="","",IF(LEN(SUBSTITUTE(SUBSTITUTE(SUBSTITUTE(SUBSTITUTE(TRIM(E268),"*",""),".",""),"-","")," ",""))=11,MID(SUBSTITUTE(SUBSTITUTE(SUBSTITUTE(SUBSTITUTE(TRIM(E268),"*",""),".",""),"-","")," ",""),4,6),SUBSTITUTE(SUBSTITUTE(SUBSTITUTE(SUBSTITUTE(TRIM(E268),"*",""),".",""),"-","")," ","")))</f>
        <v/>
      </c>
      <c r="H268" s="31" t="str">
        <f aca="false">IF(OR(F268="",G268=""),"",F268&amp;"|"&amp;G268)</f>
        <v/>
      </c>
      <c r="I268" s="23"/>
      <c r="J268" s="22"/>
      <c r="K268" s="22"/>
      <c r="L268" s="25" t="str">
        <f aca="false">IF(F268="","",IF(AND(H268&lt;&gt;"",COUNTIF(Pessoas!$E:$E,H268)&gt;0),"SIM",IF(COUNTIF(Pessoas!$C:$C,F268)&gt;0,"nome igual em Pessoas: confira o CPF","")))</f>
        <v/>
      </c>
      <c r="M268" s="24"/>
      <c r="N268" s="11"/>
    </row>
    <row r="269" customFormat="false" ht="15" hidden="false" customHeight="false" outlineLevel="0" collapsed="false">
      <c r="A269" s="24"/>
      <c r="B269" s="31" t="str">
        <f aca="false">IF(A269="","",IF(LEN(UPPER(SUBSTITUTE(SUBSTITUTE(SUBSTITUTE(SUBSTITUTE(TRIM(A269),".",""),"/",""),"-","")," ","")))&lt;14,RIGHT(REPT("0",14)&amp;UPPER(SUBSTITUTE(SUBSTITUTE(SUBSTITUTE(SUBSTITUTE(TRIM(A269),".",""),"/",""),"-","")," ","")),14),UPPER(SUBSTITUTE(SUBSTITUTE(SUBSTITUTE(SUBSTITUTE(TRIM(A269),".",""),"/",""),"-","")," ",""))))</f>
        <v/>
      </c>
      <c r="C269" s="25" t="str">
        <f aca="false">IF(B269="","",IFERROR(INDEX(Empresas!$C:$C,MATCH(B269,Empresas!$B:$B,0)),"cadastre o CNPJ em Empresas"))</f>
        <v/>
      </c>
      <c r="D269" s="23"/>
      <c r="E269" s="24"/>
      <c r="F269" s="31" t="str">
        <f aca="false">IF(D269="","",SUBSTITUTE(SUBSTITUTE(SUBSTITUTE(SUBSTITUTE(SUBSTITUTE(SUBSTITUTE(SUBSTITUTE(SUBSTITUTE(SUBSTITUTE(SUBSTITUTE(SUBSTITUTE(SUBSTITUTE(SUBSTITUTE(UPPER(TRIM(D269)),"Á","A"),"À","A"),"Â","A"),"Ã","A"),"É","E"),"Ê","E"),"Í","I"),"Ó","O"),"Ô","O"),"Õ","O"),"Ú","U"),"Ü","U"),"Ç","C"))</f>
        <v/>
      </c>
      <c r="G269" s="31" t="str">
        <f aca="false">IF(E269="","",IF(LEN(SUBSTITUTE(SUBSTITUTE(SUBSTITUTE(SUBSTITUTE(TRIM(E269),"*",""),".",""),"-","")," ",""))=11,MID(SUBSTITUTE(SUBSTITUTE(SUBSTITUTE(SUBSTITUTE(TRIM(E269),"*",""),".",""),"-","")," ",""),4,6),SUBSTITUTE(SUBSTITUTE(SUBSTITUTE(SUBSTITUTE(TRIM(E269),"*",""),".",""),"-","")," ","")))</f>
        <v/>
      </c>
      <c r="H269" s="31" t="str">
        <f aca="false">IF(OR(F269="",G269=""),"",F269&amp;"|"&amp;G269)</f>
        <v/>
      </c>
      <c r="I269" s="23"/>
      <c r="J269" s="22"/>
      <c r="K269" s="22"/>
      <c r="L269" s="25" t="str">
        <f aca="false">IF(F269="","",IF(AND(H269&lt;&gt;"",COUNTIF(Pessoas!$E:$E,H269)&gt;0),"SIM",IF(COUNTIF(Pessoas!$C:$C,F269)&gt;0,"nome igual em Pessoas: confira o CPF","")))</f>
        <v/>
      </c>
      <c r="M269" s="24"/>
      <c r="N269" s="11"/>
    </row>
    <row r="270" customFormat="false" ht="15" hidden="false" customHeight="false" outlineLevel="0" collapsed="false">
      <c r="A270" s="24"/>
      <c r="B270" s="31" t="str">
        <f aca="false">IF(A270="","",IF(LEN(UPPER(SUBSTITUTE(SUBSTITUTE(SUBSTITUTE(SUBSTITUTE(TRIM(A270),".",""),"/",""),"-","")," ","")))&lt;14,RIGHT(REPT("0",14)&amp;UPPER(SUBSTITUTE(SUBSTITUTE(SUBSTITUTE(SUBSTITUTE(TRIM(A270),".",""),"/",""),"-","")," ","")),14),UPPER(SUBSTITUTE(SUBSTITUTE(SUBSTITUTE(SUBSTITUTE(TRIM(A270),".",""),"/",""),"-","")," ",""))))</f>
        <v/>
      </c>
      <c r="C270" s="25" t="str">
        <f aca="false">IF(B270="","",IFERROR(INDEX(Empresas!$C:$C,MATCH(B270,Empresas!$B:$B,0)),"cadastre o CNPJ em Empresas"))</f>
        <v/>
      </c>
      <c r="D270" s="23"/>
      <c r="E270" s="24"/>
      <c r="F270" s="31" t="str">
        <f aca="false">IF(D270="","",SUBSTITUTE(SUBSTITUTE(SUBSTITUTE(SUBSTITUTE(SUBSTITUTE(SUBSTITUTE(SUBSTITUTE(SUBSTITUTE(SUBSTITUTE(SUBSTITUTE(SUBSTITUTE(SUBSTITUTE(SUBSTITUTE(UPPER(TRIM(D270)),"Á","A"),"À","A"),"Â","A"),"Ã","A"),"É","E"),"Ê","E"),"Í","I"),"Ó","O"),"Ô","O"),"Õ","O"),"Ú","U"),"Ü","U"),"Ç","C"))</f>
        <v/>
      </c>
      <c r="G270" s="31" t="str">
        <f aca="false">IF(E270="","",IF(LEN(SUBSTITUTE(SUBSTITUTE(SUBSTITUTE(SUBSTITUTE(TRIM(E270),"*",""),".",""),"-","")," ",""))=11,MID(SUBSTITUTE(SUBSTITUTE(SUBSTITUTE(SUBSTITUTE(TRIM(E270),"*",""),".",""),"-","")," ",""),4,6),SUBSTITUTE(SUBSTITUTE(SUBSTITUTE(SUBSTITUTE(TRIM(E270),"*",""),".",""),"-","")," ","")))</f>
        <v/>
      </c>
      <c r="H270" s="31" t="str">
        <f aca="false">IF(OR(F270="",G270=""),"",F270&amp;"|"&amp;G270)</f>
        <v/>
      </c>
      <c r="I270" s="23"/>
      <c r="J270" s="22"/>
      <c r="K270" s="22"/>
      <c r="L270" s="25" t="str">
        <f aca="false">IF(F270="","",IF(AND(H270&lt;&gt;"",COUNTIF(Pessoas!$E:$E,H270)&gt;0),"SIM",IF(COUNTIF(Pessoas!$C:$C,F270)&gt;0,"nome igual em Pessoas: confira o CPF","")))</f>
        <v/>
      </c>
      <c r="M270" s="24"/>
      <c r="N270" s="11"/>
    </row>
    <row r="271" customFormat="false" ht="15" hidden="false" customHeight="false" outlineLevel="0" collapsed="false">
      <c r="A271" s="24"/>
      <c r="B271" s="31" t="str">
        <f aca="false">IF(A271="","",IF(LEN(UPPER(SUBSTITUTE(SUBSTITUTE(SUBSTITUTE(SUBSTITUTE(TRIM(A271),".",""),"/",""),"-","")," ","")))&lt;14,RIGHT(REPT("0",14)&amp;UPPER(SUBSTITUTE(SUBSTITUTE(SUBSTITUTE(SUBSTITUTE(TRIM(A271),".",""),"/",""),"-","")," ","")),14),UPPER(SUBSTITUTE(SUBSTITUTE(SUBSTITUTE(SUBSTITUTE(TRIM(A271),".",""),"/",""),"-","")," ",""))))</f>
        <v/>
      </c>
      <c r="C271" s="25" t="str">
        <f aca="false">IF(B271="","",IFERROR(INDEX(Empresas!$C:$C,MATCH(B271,Empresas!$B:$B,0)),"cadastre o CNPJ em Empresas"))</f>
        <v/>
      </c>
      <c r="D271" s="23"/>
      <c r="E271" s="24"/>
      <c r="F271" s="31" t="str">
        <f aca="false">IF(D271="","",SUBSTITUTE(SUBSTITUTE(SUBSTITUTE(SUBSTITUTE(SUBSTITUTE(SUBSTITUTE(SUBSTITUTE(SUBSTITUTE(SUBSTITUTE(SUBSTITUTE(SUBSTITUTE(SUBSTITUTE(SUBSTITUTE(UPPER(TRIM(D271)),"Á","A"),"À","A"),"Â","A"),"Ã","A"),"É","E"),"Ê","E"),"Í","I"),"Ó","O"),"Ô","O"),"Õ","O"),"Ú","U"),"Ü","U"),"Ç","C"))</f>
        <v/>
      </c>
      <c r="G271" s="31" t="str">
        <f aca="false">IF(E271="","",IF(LEN(SUBSTITUTE(SUBSTITUTE(SUBSTITUTE(SUBSTITUTE(TRIM(E271),"*",""),".",""),"-","")," ",""))=11,MID(SUBSTITUTE(SUBSTITUTE(SUBSTITUTE(SUBSTITUTE(TRIM(E271),"*",""),".",""),"-","")," ",""),4,6),SUBSTITUTE(SUBSTITUTE(SUBSTITUTE(SUBSTITUTE(TRIM(E271),"*",""),".",""),"-","")," ","")))</f>
        <v/>
      </c>
      <c r="H271" s="31" t="str">
        <f aca="false">IF(OR(F271="",G271=""),"",F271&amp;"|"&amp;G271)</f>
        <v/>
      </c>
      <c r="I271" s="23"/>
      <c r="J271" s="22"/>
      <c r="K271" s="22"/>
      <c r="L271" s="25" t="str">
        <f aca="false">IF(F271="","",IF(AND(H271&lt;&gt;"",COUNTIF(Pessoas!$E:$E,H271)&gt;0),"SIM",IF(COUNTIF(Pessoas!$C:$C,F271)&gt;0,"nome igual em Pessoas: confira o CPF","")))</f>
        <v/>
      </c>
      <c r="M271" s="24"/>
      <c r="N271" s="11"/>
    </row>
    <row r="272" customFormat="false" ht="15" hidden="false" customHeight="false" outlineLevel="0" collapsed="false">
      <c r="A272" s="24"/>
      <c r="B272" s="31" t="str">
        <f aca="false">IF(A272="","",IF(LEN(UPPER(SUBSTITUTE(SUBSTITUTE(SUBSTITUTE(SUBSTITUTE(TRIM(A272),".",""),"/",""),"-","")," ","")))&lt;14,RIGHT(REPT("0",14)&amp;UPPER(SUBSTITUTE(SUBSTITUTE(SUBSTITUTE(SUBSTITUTE(TRIM(A272),".",""),"/",""),"-","")," ","")),14),UPPER(SUBSTITUTE(SUBSTITUTE(SUBSTITUTE(SUBSTITUTE(TRIM(A272),".",""),"/",""),"-","")," ",""))))</f>
        <v/>
      </c>
      <c r="C272" s="25" t="str">
        <f aca="false">IF(B272="","",IFERROR(INDEX(Empresas!$C:$C,MATCH(B272,Empresas!$B:$B,0)),"cadastre o CNPJ em Empresas"))</f>
        <v/>
      </c>
      <c r="D272" s="23"/>
      <c r="E272" s="24"/>
      <c r="F272" s="31" t="str">
        <f aca="false">IF(D272="","",SUBSTITUTE(SUBSTITUTE(SUBSTITUTE(SUBSTITUTE(SUBSTITUTE(SUBSTITUTE(SUBSTITUTE(SUBSTITUTE(SUBSTITUTE(SUBSTITUTE(SUBSTITUTE(SUBSTITUTE(SUBSTITUTE(UPPER(TRIM(D272)),"Á","A"),"À","A"),"Â","A"),"Ã","A"),"É","E"),"Ê","E"),"Í","I"),"Ó","O"),"Ô","O"),"Õ","O"),"Ú","U"),"Ü","U"),"Ç","C"))</f>
        <v/>
      </c>
      <c r="G272" s="31" t="str">
        <f aca="false">IF(E272="","",IF(LEN(SUBSTITUTE(SUBSTITUTE(SUBSTITUTE(SUBSTITUTE(TRIM(E272),"*",""),".",""),"-","")," ",""))=11,MID(SUBSTITUTE(SUBSTITUTE(SUBSTITUTE(SUBSTITUTE(TRIM(E272),"*",""),".",""),"-","")," ",""),4,6),SUBSTITUTE(SUBSTITUTE(SUBSTITUTE(SUBSTITUTE(TRIM(E272),"*",""),".",""),"-","")," ","")))</f>
        <v/>
      </c>
      <c r="H272" s="31" t="str">
        <f aca="false">IF(OR(F272="",G272=""),"",F272&amp;"|"&amp;G272)</f>
        <v/>
      </c>
      <c r="I272" s="23"/>
      <c r="J272" s="22"/>
      <c r="K272" s="22"/>
      <c r="L272" s="25" t="str">
        <f aca="false">IF(F272="","",IF(AND(H272&lt;&gt;"",COUNTIF(Pessoas!$E:$E,H272)&gt;0),"SIM",IF(COUNTIF(Pessoas!$C:$C,F272)&gt;0,"nome igual em Pessoas: confira o CPF","")))</f>
        <v/>
      </c>
      <c r="M272" s="24"/>
      <c r="N272" s="11"/>
    </row>
    <row r="273" customFormat="false" ht="15" hidden="false" customHeight="false" outlineLevel="0" collapsed="false">
      <c r="A273" s="24"/>
      <c r="B273" s="31" t="str">
        <f aca="false">IF(A273="","",IF(LEN(UPPER(SUBSTITUTE(SUBSTITUTE(SUBSTITUTE(SUBSTITUTE(TRIM(A273),".",""),"/",""),"-","")," ","")))&lt;14,RIGHT(REPT("0",14)&amp;UPPER(SUBSTITUTE(SUBSTITUTE(SUBSTITUTE(SUBSTITUTE(TRIM(A273),".",""),"/",""),"-","")," ","")),14),UPPER(SUBSTITUTE(SUBSTITUTE(SUBSTITUTE(SUBSTITUTE(TRIM(A273),".",""),"/",""),"-","")," ",""))))</f>
        <v/>
      </c>
      <c r="C273" s="25" t="str">
        <f aca="false">IF(B273="","",IFERROR(INDEX(Empresas!$C:$C,MATCH(B273,Empresas!$B:$B,0)),"cadastre o CNPJ em Empresas"))</f>
        <v/>
      </c>
      <c r="D273" s="23"/>
      <c r="E273" s="24"/>
      <c r="F273" s="31" t="str">
        <f aca="false">IF(D273="","",SUBSTITUTE(SUBSTITUTE(SUBSTITUTE(SUBSTITUTE(SUBSTITUTE(SUBSTITUTE(SUBSTITUTE(SUBSTITUTE(SUBSTITUTE(SUBSTITUTE(SUBSTITUTE(SUBSTITUTE(SUBSTITUTE(UPPER(TRIM(D273)),"Á","A"),"À","A"),"Â","A"),"Ã","A"),"É","E"),"Ê","E"),"Í","I"),"Ó","O"),"Ô","O"),"Õ","O"),"Ú","U"),"Ü","U"),"Ç","C"))</f>
        <v/>
      </c>
      <c r="G273" s="31" t="str">
        <f aca="false">IF(E273="","",IF(LEN(SUBSTITUTE(SUBSTITUTE(SUBSTITUTE(SUBSTITUTE(TRIM(E273),"*",""),".",""),"-","")," ",""))=11,MID(SUBSTITUTE(SUBSTITUTE(SUBSTITUTE(SUBSTITUTE(TRIM(E273),"*",""),".",""),"-","")," ",""),4,6),SUBSTITUTE(SUBSTITUTE(SUBSTITUTE(SUBSTITUTE(TRIM(E273),"*",""),".",""),"-","")," ","")))</f>
        <v/>
      </c>
      <c r="H273" s="31" t="str">
        <f aca="false">IF(OR(F273="",G273=""),"",F273&amp;"|"&amp;G273)</f>
        <v/>
      </c>
      <c r="I273" s="23"/>
      <c r="J273" s="22"/>
      <c r="K273" s="22"/>
      <c r="L273" s="25" t="str">
        <f aca="false">IF(F273="","",IF(AND(H273&lt;&gt;"",COUNTIF(Pessoas!$E:$E,H273)&gt;0),"SIM",IF(COUNTIF(Pessoas!$C:$C,F273)&gt;0,"nome igual em Pessoas: confira o CPF","")))</f>
        <v/>
      </c>
      <c r="M273" s="24"/>
      <c r="N273" s="11"/>
    </row>
    <row r="274" customFormat="false" ht="15" hidden="false" customHeight="false" outlineLevel="0" collapsed="false">
      <c r="A274" s="24"/>
      <c r="B274" s="31" t="str">
        <f aca="false">IF(A274="","",IF(LEN(UPPER(SUBSTITUTE(SUBSTITUTE(SUBSTITUTE(SUBSTITUTE(TRIM(A274),".",""),"/",""),"-","")," ","")))&lt;14,RIGHT(REPT("0",14)&amp;UPPER(SUBSTITUTE(SUBSTITUTE(SUBSTITUTE(SUBSTITUTE(TRIM(A274),".",""),"/",""),"-","")," ","")),14),UPPER(SUBSTITUTE(SUBSTITUTE(SUBSTITUTE(SUBSTITUTE(TRIM(A274),".",""),"/",""),"-","")," ",""))))</f>
        <v/>
      </c>
      <c r="C274" s="25" t="str">
        <f aca="false">IF(B274="","",IFERROR(INDEX(Empresas!$C:$C,MATCH(B274,Empresas!$B:$B,0)),"cadastre o CNPJ em Empresas"))</f>
        <v/>
      </c>
      <c r="D274" s="23"/>
      <c r="E274" s="24"/>
      <c r="F274" s="31" t="str">
        <f aca="false">IF(D274="","",SUBSTITUTE(SUBSTITUTE(SUBSTITUTE(SUBSTITUTE(SUBSTITUTE(SUBSTITUTE(SUBSTITUTE(SUBSTITUTE(SUBSTITUTE(SUBSTITUTE(SUBSTITUTE(SUBSTITUTE(SUBSTITUTE(UPPER(TRIM(D274)),"Á","A"),"À","A"),"Â","A"),"Ã","A"),"É","E"),"Ê","E"),"Í","I"),"Ó","O"),"Ô","O"),"Õ","O"),"Ú","U"),"Ü","U"),"Ç","C"))</f>
        <v/>
      </c>
      <c r="G274" s="31" t="str">
        <f aca="false">IF(E274="","",IF(LEN(SUBSTITUTE(SUBSTITUTE(SUBSTITUTE(SUBSTITUTE(TRIM(E274),"*",""),".",""),"-","")," ",""))=11,MID(SUBSTITUTE(SUBSTITUTE(SUBSTITUTE(SUBSTITUTE(TRIM(E274),"*",""),".",""),"-","")," ",""),4,6),SUBSTITUTE(SUBSTITUTE(SUBSTITUTE(SUBSTITUTE(TRIM(E274),"*",""),".",""),"-","")," ","")))</f>
        <v/>
      </c>
      <c r="H274" s="31" t="str">
        <f aca="false">IF(OR(F274="",G274=""),"",F274&amp;"|"&amp;G274)</f>
        <v/>
      </c>
      <c r="I274" s="23"/>
      <c r="J274" s="22"/>
      <c r="K274" s="22"/>
      <c r="L274" s="25" t="str">
        <f aca="false">IF(F274="","",IF(AND(H274&lt;&gt;"",COUNTIF(Pessoas!$E:$E,H274)&gt;0),"SIM",IF(COUNTIF(Pessoas!$C:$C,F274)&gt;0,"nome igual em Pessoas: confira o CPF","")))</f>
        <v/>
      </c>
      <c r="M274" s="24"/>
      <c r="N274" s="11"/>
    </row>
    <row r="275" customFormat="false" ht="15" hidden="false" customHeight="false" outlineLevel="0" collapsed="false">
      <c r="A275" s="24"/>
      <c r="B275" s="31" t="str">
        <f aca="false">IF(A275="","",IF(LEN(UPPER(SUBSTITUTE(SUBSTITUTE(SUBSTITUTE(SUBSTITUTE(TRIM(A275),".",""),"/",""),"-","")," ","")))&lt;14,RIGHT(REPT("0",14)&amp;UPPER(SUBSTITUTE(SUBSTITUTE(SUBSTITUTE(SUBSTITUTE(TRIM(A275),".",""),"/",""),"-","")," ","")),14),UPPER(SUBSTITUTE(SUBSTITUTE(SUBSTITUTE(SUBSTITUTE(TRIM(A275),".",""),"/",""),"-","")," ",""))))</f>
        <v/>
      </c>
      <c r="C275" s="25" t="str">
        <f aca="false">IF(B275="","",IFERROR(INDEX(Empresas!$C:$C,MATCH(B275,Empresas!$B:$B,0)),"cadastre o CNPJ em Empresas"))</f>
        <v/>
      </c>
      <c r="D275" s="23"/>
      <c r="E275" s="24"/>
      <c r="F275" s="31" t="str">
        <f aca="false">IF(D275="","",SUBSTITUTE(SUBSTITUTE(SUBSTITUTE(SUBSTITUTE(SUBSTITUTE(SUBSTITUTE(SUBSTITUTE(SUBSTITUTE(SUBSTITUTE(SUBSTITUTE(SUBSTITUTE(SUBSTITUTE(SUBSTITUTE(UPPER(TRIM(D275)),"Á","A"),"À","A"),"Â","A"),"Ã","A"),"É","E"),"Ê","E"),"Í","I"),"Ó","O"),"Ô","O"),"Õ","O"),"Ú","U"),"Ü","U"),"Ç","C"))</f>
        <v/>
      </c>
      <c r="G275" s="31" t="str">
        <f aca="false">IF(E275="","",IF(LEN(SUBSTITUTE(SUBSTITUTE(SUBSTITUTE(SUBSTITUTE(TRIM(E275),"*",""),".",""),"-","")," ",""))=11,MID(SUBSTITUTE(SUBSTITUTE(SUBSTITUTE(SUBSTITUTE(TRIM(E275),"*",""),".",""),"-","")," ",""),4,6),SUBSTITUTE(SUBSTITUTE(SUBSTITUTE(SUBSTITUTE(TRIM(E275),"*",""),".",""),"-","")," ","")))</f>
        <v/>
      </c>
      <c r="H275" s="31" t="str">
        <f aca="false">IF(OR(F275="",G275=""),"",F275&amp;"|"&amp;G275)</f>
        <v/>
      </c>
      <c r="I275" s="23"/>
      <c r="J275" s="22"/>
      <c r="K275" s="22"/>
      <c r="L275" s="25" t="str">
        <f aca="false">IF(F275="","",IF(AND(H275&lt;&gt;"",COUNTIF(Pessoas!$E:$E,H275)&gt;0),"SIM",IF(COUNTIF(Pessoas!$C:$C,F275)&gt;0,"nome igual em Pessoas: confira o CPF","")))</f>
        <v/>
      </c>
      <c r="M275" s="24"/>
      <c r="N275" s="11"/>
    </row>
    <row r="276" customFormat="false" ht="15" hidden="false" customHeight="false" outlineLevel="0" collapsed="false">
      <c r="A276" s="24"/>
      <c r="B276" s="31" t="str">
        <f aca="false">IF(A276="","",IF(LEN(UPPER(SUBSTITUTE(SUBSTITUTE(SUBSTITUTE(SUBSTITUTE(TRIM(A276),".",""),"/",""),"-","")," ","")))&lt;14,RIGHT(REPT("0",14)&amp;UPPER(SUBSTITUTE(SUBSTITUTE(SUBSTITUTE(SUBSTITUTE(TRIM(A276),".",""),"/",""),"-","")," ","")),14),UPPER(SUBSTITUTE(SUBSTITUTE(SUBSTITUTE(SUBSTITUTE(TRIM(A276),".",""),"/",""),"-","")," ",""))))</f>
        <v/>
      </c>
      <c r="C276" s="25" t="str">
        <f aca="false">IF(B276="","",IFERROR(INDEX(Empresas!$C:$C,MATCH(B276,Empresas!$B:$B,0)),"cadastre o CNPJ em Empresas"))</f>
        <v/>
      </c>
      <c r="D276" s="23"/>
      <c r="E276" s="24"/>
      <c r="F276" s="31" t="str">
        <f aca="false">IF(D276="","",SUBSTITUTE(SUBSTITUTE(SUBSTITUTE(SUBSTITUTE(SUBSTITUTE(SUBSTITUTE(SUBSTITUTE(SUBSTITUTE(SUBSTITUTE(SUBSTITUTE(SUBSTITUTE(SUBSTITUTE(SUBSTITUTE(UPPER(TRIM(D276)),"Á","A"),"À","A"),"Â","A"),"Ã","A"),"É","E"),"Ê","E"),"Í","I"),"Ó","O"),"Ô","O"),"Õ","O"),"Ú","U"),"Ü","U"),"Ç","C"))</f>
        <v/>
      </c>
      <c r="G276" s="31" t="str">
        <f aca="false">IF(E276="","",IF(LEN(SUBSTITUTE(SUBSTITUTE(SUBSTITUTE(SUBSTITUTE(TRIM(E276),"*",""),".",""),"-","")," ",""))=11,MID(SUBSTITUTE(SUBSTITUTE(SUBSTITUTE(SUBSTITUTE(TRIM(E276),"*",""),".",""),"-","")," ",""),4,6),SUBSTITUTE(SUBSTITUTE(SUBSTITUTE(SUBSTITUTE(TRIM(E276),"*",""),".",""),"-","")," ","")))</f>
        <v/>
      </c>
      <c r="H276" s="31" t="str">
        <f aca="false">IF(OR(F276="",G276=""),"",F276&amp;"|"&amp;G276)</f>
        <v/>
      </c>
      <c r="I276" s="23"/>
      <c r="J276" s="22"/>
      <c r="K276" s="22"/>
      <c r="L276" s="25" t="str">
        <f aca="false">IF(F276="","",IF(AND(H276&lt;&gt;"",COUNTIF(Pessoas!$E:$E,H276)&gt;0),"SIM",IF(COUNTIF(Pessoas!$C:$C,F276)&gt;0,"nome igual em Pessoas: confira o CPF","")))</f>
        <v/>
      </c>
      <c r="M276" s="24"/>
      <c r="N276" s="11"/>
    </row>
    <row r="277" customFormat="false" ht="15" hidden="false" customHeight="false" outlineLevel="0" collapsed="false">
      <c r="A277" s="24"/>
      <c r="B277" s="31" t="str">
        <f aca="false">IF(A277="","",IF(LEN(UPPER(SUBSTITUTE(SUBSTITUTE(SUBSTITUTE(SUBSTITUTE(TRIM(A277),".",""),"/",""),"-","")," ","")))&lt;14,RIGHT(REPT("0",14)&amp;UPPER(SUBSTITUTE(SUBSTITUTE(SUBSTITUTE(SUBSTITUTE(TRIM(A277),".",""),"/",""),"-","")," ","")),14),UPPER(SUBSTITUTE(SUBSTITUTE(SUBSTITUTE(SUBSTITUTE(TRIM(A277),".",""),"/",""),"-","")," ",""))))</f>
        <v/>
      </c>
      <c r="C277" s="25" t="str">
        <f aca="false">IF(B277="","",IFERROR(INDEX(Empresas!$C:$C,MATCH(B277,Empresas!$B:$B,0)),"cadastre o CNPJ em Empresas"))</f>
        <v/>
      </c>
      <c r="D277" s="23"/>
      <c r="E277" s="24"/>
      <c r="F277" s="31" t="str">
        <f aca="false">IF(D277="","",SUBSTITUTE(SUBSTITUTE(SUBSTITUTE(SUBSTITUTE(SUBSTITUTE(SUBSTITUTE(SUBSTITUTE(SUBSTITUTE(SUBSTITUTE(SUBSTITUTE(SUBSTITUTE(SUBSTITUTE(SUBSTITUTE(UPPER(TRIM(D277)),"Á","A"),"À","A"),"Â","A"),"Ã","A"),"É","E"),"Ê","E"),"Í","I"),"Ó","O"),"Ô","O"),"Õ","O"),"Ú","U"),"Ü","U"),"Ç","C"))</f>
        <v/>
      </c>
      <c r="G277" s="31" t="str">
        <f aca="false">IF(E277="","",IF(LEN(SUBSTITUTE(SUBSTITUTE(SUBSTITUTE(SUBSTITUTE(TRIM(E277),"*",""),".",""),"-","")," ",""))=11,MID(SUBSTITUTE(SUBSTITUTE(SUBSTITUTE(SUBSTITUTE(TRIM(E277),"*",""),".",""),"-","")," ",""),4,6),SUBSTITUTE(SUBSTITUTE(SUBSTITUTE(SUBSTITUTE(TRIM(E277),"*",""),".",""),"-","")," ","")))</f>
        <v/>
      </c>
      <c r="H277" s="31" t="str">
        <f aca="false">IF(OR(F277="",G277=""),"",F277&amp;"|"&amp;G277)</f>
        <v/>
      </c>
      <c r="I277" s="23"/>
      <c r="J277" s="22"/>
      <c r="K277" s="22"/>
      <c r="L277" s="25" t="str">
        <f aca="false">IF(F277="","",IF(AND(H277&lt;&gt;"",COUNTIF(Pessoas!$E:$E,H277)&gt;0),"SIM",IF(COUNTIF(Pessoas!$C:$C,F277)&gt;0,"nome igual em Pessoas: confira o CPF","")))</f>
        <v/>
      </c>
      <c r="M277" s="24"/>
      <c r="N277" s="11"/>
    </row>
    <row r="278" customFormat="false" ht="15" hidden="false" customHeight="false" outlineLevel="0" collapsed="false">
      <c r="A278" s="24"/>
      <c r="B278" s="31" t="str">
        <f aca="false">IF(A278="","",IF(LEN(UPPER(SUBSTITUTE(SUBSTITUTE(SUBSTITUTE(SUBSTITUTE(TRIM(A278),".",""),"/",""),"-","")," ","")))&lt;14,RIGHT(REPT("0",14)&amp;UPPER(SUBSTITUTE(SUBSTITUTE(SUBSTITUTE(SUBSTITUTE(TRIM(A278),".",""),"/",""),"-","")," ","")),14),UPPER(SUBSTITUTE(SUBSTITUTE(SUBSTITUTE(SUBSTITUTE(TRIM(A278),".",""),"/",""),"-","")," ",""))))</f>
        <v/>
      </c>
      <c r="C278" s="25" t="str">
        <f aca="false">IF(B278="","",IFERROR(INDEX(Empresas!$C:$C,MATCH(B278,Empresas!$B:$B,0)),"cadastre o CNPJ em Empresas"))</f>
        <v/>
      </c>
      <c r="D278" s="23"/>
      <c r="E278" s="24"/>
      <c r="F278" s="31" t="str">
        <f aca="false">IF(D278="","",SUBSTITUTE(SUBSTITUTE(SUBSTITUTE(SUBSTITUTE(SUBSTITUTE(SUBSTITUTE(SUBSTITUTE(SUBSTITUTE(SUBSTITUTE(SUBSTITUTE(SUBSTITUTE(SUBSTITUTE(SUBSTITUTE(UPPER(TRIM(D278)),"Á","A"),"À","A"),"Â","A"),"Ã","A"),"É","E"),"Ê","E"),"Í","I"),"Ó","O"),"Ô","O"),"Õ","O"),"Ú","U"),"Ü","U"),"Ç","C"))</f>
        <v/>
      </c>
      <c r="G278" s="31" t="str">
        <f aca="false">IF(E278="","",IF(LEN(SUBSTITUTE(SUBSTITUTE(SUBSTITUTE(SUBSTITUTE(TRIM(E278),"*",""),".",""),"-","")," ",""))=11,MID(SUBSTITUTE(SUBSTITUTE(SUBSTITUTE(SUBSTITUTE(TRIM(E278),"*",""),".",""),"-","")," ",""),4,6),SUBSTITUTE(SUBSTITUTE(SUBSTITUTE(SUBSTITUTE(TRIM(E278),"*",""),".",""),"-","")," ","")))</f>
        <v/>
      </c>
      <c r="H278" s="31" t="str">
        <f aca="false">IF(OR(F278="",G278=""),"",F278&amp;"|"&amp;G278)</f>
        <v/>
      </c>
      <c r="I278" s="23"/>
      <c r="J278" s="22"/>
      <c r="K278" s="22"/>
      <c r="L278" s="25" t="str">
        <f aca="false">IF(F278="","",IF(AND(H278&lt;&gt;"",COUNTIF(Pessoas!$E:$E,H278)&gt;0),"SIM",IF(COUNTIF(Pessoas!$C:$C,F278)&gt;0,"nome igual em Pessoas: confira o CPF","")))</f>
        <v/>
      </c>
      <c r="M278" s="24"/>
      <c r="N278" s="11"/>
    </row>
    <row r="279" customFormat="false" ht="15" hidden="false" customHeight="false" outlineLevel="0" collapsed="false">
      <c r="A279" s="24"/>
      <c r="B279" s="31" t="str">
        <f aca="false">IF(A279="","",IF(LEN(UPPER(SUBSTITUTE(SUBSTITUTE(SUBSTITUTE(SUBSTITUTE(TRIM(A279),".",""),"/",""),"-","")," ","")))&lt;14,RIGHT(REPT("0",14)&amp;UPPER(SUBSTITUTE(SUBSTITUTE(SUBSTITUTE(SUBSTITUTE(TRIM(A279),".",""),"/",""),"-","")," ","")),14),UPPER(SUBSTITUTE(SUBSTITUTE(SUBSTITUTE(SUBSTITUTE(TRIM(A279),".",""),"/",""),"-","")," ",""))))</f>
        <v/>
      </c>
      <c r="C279" s="25" t="str">
        <f aca="false">IF(B279="","",IFERROR(INDEX(Empresas!$C:$C,MATCH(B279,Empresas!$B:$B,0)),"cadastre o CNPJ em Empresas"))</f>
        <v/>
      </c>
      <c r="D279" s="23"/>
      <c r="E279" s="24"/>
      <c r="F279" s="31" t="str">
        <f aca="false">IF(D279="","",SUBSTITUTE(SUBSTITUTE(SUBSTITUTE(SUBSTITUTE(SUBSTITUTE(SUBSTITUTE(SUBSTITUTE(SUBSTITUTE(SUBSTITUTE(SUBSTITUTE(SUBSTITUTE(SUBSTITUTE(SUBSTITUTE(UPPER(TRIM(D279)),"Á","A"),"À","A"),"Â","A"),"Ã","A"),"É","E"),"Ê","E"),"Í","I"),"Ó","O"),"Ô","O"),"Õ","O"),"Ú","U"),"Ü","U"),"Ç","C"))</f>
        <v/>
      </c>
      <c r="G279" s="31" t="str">
        <f aca="false">IF(E279="","",IF(LEN(SUBSTITUTE(SUBSTITUTE(SUBSTITUTE(SUBSTITUTE(TRIM(E279),"*",""),".",""),"-","")," ",""))=11,MID(SUBSTITUTE(SUBSTITUTE(SUBSTITUTE(SUBSTITUTE(TRIM(E279),"*",""),".",""),"-","")," ",""),4,6),SUBSTITUTE(SUBSTITUTE(SUBSTITUTE(SUBSTITUTE(TRIM(E279),"*",""),".",""),"-","")," ","")))</f>
        <v/>
      </c>
      <c r="H279" s="31" t="str">
        <f aca="false">IF(OR(F279="",G279=""),"",F279&amp;"|"&amp;G279)</f>
        <v/>
      </c>
      <c r="I279" s="23"/>
      <c r="J279" s="22"/>
      <c r="K279" s="22"/>
      <c r="L279" s="25" t="str">
        <f aca="false">IF(F279="","",IF(AND(H279&lt;&gt;"",COUNTIF(Pessoas!$E:$E,H279)&gt;0),"SIM",IF(COUNTIF(Pessoas!$C:$C,F279)&gt;0,"nome igual em Pessoas: confira o CPF","")))</f>
        <v/>
      </c>
      <c r="M279" s="24"/>
      <c r="N279" s="11"/>
    </row>
    <row r="280" customFormat="false" ht="15" hidden="false" customHeight="false" outlineLevel="0" collapsed="false">
      <c r="A280" s="24"/>
      <c r="B280" s="31" t="str">
        <f aca="false">IF(A280="","",IF(LEN(UPPER(SUBSTITUTE(SUBSTITUTE(SUBSTITUTE(SUBSTITUTE(TRIM(A280),".",""),"/",""),"-","")," ","")))&lt;14,RIGHT(REPT("0",14)&amp;UPPER(SUBSTITUTE(SUBSTITUTE(SUBSTITUTE(SUBSTITUTE(TRIM(A280),".",""),"/",""),"-","")," ","")),14),UPPER(SUBSTITUTE(SUBSTITUTE(SUBSTITUTE(SUBSTITUTE(TRIM(A280),".",""),"/",""),"-","")," ",""))))</f>
        <v/>
      </c>
      <c r="C280" s="25" t="str">
        <f aca="false">IF(B280="","",IFERROR(INDEX(Empresas!$C:$C,MATCH(B280,Empresas!$B:$B,0)),"cadastre o CNPJ em Empresas"))</f>
        <v/>
      </c>
      <c r="D280" s="23"/>
      <c r="E280" s="24"/>
      <c r="F280" s="31" t="str">
        <f aca="false">IF(D280="","",SUBSTITUTE(SUBSTITUTE(SUBSTITUTE(SUBSTITUTE(SUBSTITUTE(SUBSTITUTE(SUBSTITUTE(SUBSTITUTE(SUBSTITUTE(SUBSTITUTE(SUBSTITUTE(SUBSTITUTE(SUBSTITUTE(UPPER(TRIM(D280)),"Á","A"),"À","A"),"Â","A"),"Ã","A"),"É","E"),"Ê","E"),"Í","I"),"Ó","O"),"Ô","O"),"Õ","O"),"Ú","U"),"Ü","U"),"Ç","C"))</f>
        <v/>
      </c>
      <c r="G280" s="31" t="str">
        <f aca="false">IF(E280="","",IF(LEN(SUBSTITUTE(SUBSTITUTE(SUBSTITUTE(SUBSTITUTE(TRIM(E280),"*",""),".",""),"-","")," ",""))=11,MID(SUBSTITUTE(SUBSTITUTE(SUBSTITUTE(SUBSTITUTE(TRIM(E280),"*",""),".",""),"-","")," ",""),4,6),SUBSTITUTE(SUBSTITUTE(SUBSTITUTE(SUBSTITUTE(TRIM(E280),"*",""),".",""),"-","")," ","")))</f>
        <v/>
      </c>
      <c r="H280" s="31" t="str">
        <f aca="false">IF(OR(F280="",G280=""),"",F280&amp;"|"&amp;G280)</f>
        <v/>
      </c>
      <c r="I280" s="23"/>
      <c r="J280" s="22"/>
      <c r="K280" s="22"/>
      <c r="L280" s="25" t="str">
        <f aca="false">IF(F280="","",IF(AND(H280&lt;&gt;"",COUNTIF(Pessoas!$E:$E,H280)&gt;0),"SIM",IF(COUNTIF(Pessoas!$C:$C,F280)&gt;0,"nome igual em Pessoas: confira o CPF","")))</f>
        <v/>
      </c>
      <c r="M280" s="24"/>
      <c r="N280" s="11"/>
    </row>
    <row r="281" customFormat="false" ht="15" hidden="false" customHeight="false" outlineLevel="0" collapsed="false">
      <c r="A281" s="24"/>
      <c r="B281" s="31" t="str">
        <f aca="false">IF(A281="","",IF(LEN(UPPER(SUBSTITUTE(SUBSTITUTE(SUBSTITUTE(SUBSTITUTE(TRIM(A281),".",""),"/",""),"-","")," ","")))&lt;14,RIGHT(REPT("0",14)&amp;UPPER(SUBSTITUTE(SUBSTITUTE(SUBSTITUTE(SUBSTITUTE(TRIM(A281),".",""),"/",""),"-","")," ","")),14),UPPER(SUBSTITUTE(SUBSTITUTE(SUBSTITUTE(SUBSTITUTE(TRIM(A281),".",""),"/",""),"-","")," ",""))))</f>
        <v/>
      </c>
      <c r="C281" s="25" t="str">
        <f aca="false">IF(B281="","",IFERROR(INDEX(Empresas!$C:$C,MATCH(B281,Empresas!$B:$B,0)),"cadastre o CNPJ em Empresas"))</f>
        <v/>
      </c>
      <c r="D281" s="23"/>
      <c r="E281" s="24"/>
      <c r="F281" s="31" t="str">
        <f aca="false">IF(D281="","",SUBSTITUTE(SUBSTITUTE(SUBSTITUTE(SUBSTITUTE(SUBSTITUTE(SUBSTITUTE(SUBSTITUTE(SUBSTITUTE(SUBSTITUTE(SUBSTITUTE(SUBSTITUTE(SUBSTITUTE(SUBSTITUTE(UPPER(TRIM(D281)),"Á","A"),"À","A"),"Â","A"),"Ã","A"),"É","E"),"Ê","E"),"Í","I"),"Ó","O"),"Ô","O"),"Õ","O"),"Ú","U"),"Ü","U"),"Ç","C"))</f>
        <v/>
      </c>
      <c r="G281" s="31" t="str">
        <f aca="false">IF(E281="","",IF(LEN(SUBSTITUTE(SUBSTITUTE(SUBSTITUTE(SUBSTITUTE(TRIM(E281),"*",""),".",""),"-","")," ",""))=11,MID(SUBSTITUTE(SUBSTITUTE(SUBSTITUTE(SUBSTITUTE(TRIM(E281),"*",""),".",""),"-","")," ",""),4,6),SUBSTITUTE(SUBSTITUTE(SUBSTITUTE(SUBSTITUTE(TRIM(E281),"*",""),".",""),"-","")," ","")))</f>
        <v/>
      </c>
      <c r="H281" s="31" t="str">
        <f aca="false">IF(OR(F281="",G281=""),"",F281&amp;"|"&amp;G281)</f>
        <v/>
      </c>
      <c r="I281" s="23"/>
      <c r="J281" s="22"/>
      <c r="K281" s="22"/>
      <c r="L281" s="25" t="str">
        <f aca="false">IF(F281="","",IF(AND(H281&lt;&gt;"",COUNTIF(Pessoas!$E:$E,H281)&gt;0),"SIM",IF(COUNTIF(Pessoas!$C:$C,F281)&gt;0,"nome igual em Pessoas: confira o CPF","")))</f>
        <v/>
      </c>
      <c r="M281" s="24"/>
      <c r="N281" s="11"/>
    </row>
    <row r="282" customFormat="false" ht="15" hidden="false" customHeight="false" outlineLevel="0" collapsed="false">
      <c r="A282" s="24"/>
      <c r="B282" s="31" t="str">
        <f aca="false">IF(A282="","",IF(LEN(UPPER(SUBSTITUTE(SUBSTITUTE(SUBSTITUTE(SUBSTITUTE(TRIM(A282),".",""),"/",""),"-","")," ","")))&lt;14,RIGHT(REPT("0",14)&amp;UPPER(SUBSTITUTE(SUBSTITUTE(SUBSTITUTE(SUBSTITUTE(TRIM(A282),".",""),"/",""),"-","")," ","")),14),UPPER(SUBSTITUTE(SUBSTITUTE(SUBSTITUTE(SUBSTITUTE(TRIM(A282),".",""),"/",""),"-","")," ",""))))</f>
        <v/>
      </c>
      <c r="C282" s="25" t="str">
        <f aca="false">IF(B282="","",IFERROR(INDEX(Empresas!$C:$C,MATCH(B282,Empresas!$B:$B,0)),"cadastre o CNPJ em Empresas"))</f>
        <v/>
      </c>
      <c r="D282" s="23"/>
      <c r="E282" s="24"/>
      <c r="F282" s="31" t="str">
        <f aca="false">IF(D282="","",SUBSTITUTE(SUBSTITUTE(SUBSTITUTE(SUBSTITUTE(SUBSTITUTE(SUBSTITUTE(SUBSTITUTE(SUBSTITUTE(SUBSTITUTE(SUBSTITUTE(SUBSTITUTE(SUBSTITUTE(SUBSTITUTE(UPPER(TRIM(D282)),"Á","A"),"À","A"),"Â","A"),"Ã","A"),"É","E"),"Ê","E"),"Í","I"),"Ó","O"),"Ô","O"),"Õ","O"),"Ú","U"),"Ü","U"),"Ç","C"))</f>
        <v/>
      </c>
      <c r="G282" s="31" t="str">
        <f aca="false">IF(E282="","",IF(LEN(SUBSTITUTE(SUBSTITUTE(SUBSTITUTE(SUBSTITUTE(TRIM(E282),"*",""),".",""),"-","")," ",""))=11,MID(SUBSTITUTE(SUBSTITUTE(SUBSTITUTE(SUBSTITUTE(TRIM(E282),"*",""),".",""),"-","")," ",""),4,6),SUBSTITUTE(SUBSTITUTE(SUBSTITUTE(SUBSTITUTE(TRIM(E282),"*",""),".",""),"-","")," ","")))</f>
        <v/>
      </c>
      <c r="H282" s="31" t="str">
        <f aca="false">IF(OR(F282="",G282=""),"",F282&amp;"|"&amp;G282)</f>
        <v/>
      </c>
      <c r="I282" s="23"/>
      <c r="J282" s="22"/>
      <c r="K282" s="22"/>
      <c r="L282" s="25" t="str">
        <f aca="false">IF(F282="","",IF(AND(H282&lt;&gt;"",COUNTIF(Pessoas!$E:$E,H282)&gt;0),"SIM",IF(COUNTIF(Pessoas!$C:$C,F282)&gt;0,"nome igual em Pessoas: confira o CPF","")))</f>
        <v/>
      </c>
      <c r="M282" s="24"/>
      <c r="N282" s="11"/>
    </row>
    <row r="283" customFormat="false" ht="15" hidden="false" customHeight="false" outlineLevel="0" collapsed="false">
      <c r="A283" s="24"/>
      <c r="B283" s="31" t="str">
        <f aca="false">IF(A283="","",IF(LEN(UPPER(SUBSTITUTE(SUBSTITUTE(SUBSTITUTE(SUBSTITUTE(TRIM(A283),".",""),"/",""),"-","")," ","")))&lt;14,RIGHT(REPT("0",14)&amp;UPPER(SUBSTITUTE(SUBSTITUTE(SUBSTITUTE(SUBSTITUTE(TRIM(A283),".",""),"/",""),"-","")," ","")),14),UPPER(SUBSTITUTE(SUBSTITUTE(SUBSTITUTE(SUBSTITUTE(TRIM(A283),".",""),"/",""),"-","")," ",""))))</f>
        <v/>
      </c>
      <c r="C283" s="25" t="str">
        <f aca="false">IF(B283="","",IFERROR(INDEX(Empresas!$C:$C,MATCH(B283,Empresas!$B:$B,0)),"cadastre o CNPJ em Empresas"))</f>
        <v/>
      </c>
      <c r="D283" s="23"/>
      <c r="E283" s="24"/>
      <c r="F283" s="31" t="str">
        <f aca="false">IF(D283="","",SUBSTITUTE(SUBSTITUTE(SUBSTITUTE(SUBSTITUTE(SUBSTITUTE(SUBSTITUTE(SUBSTITUTE(SUBSTITUTE(SUBSTITUTE(SUBSTITUTE(SUBSTITUTE(SUBSTITUTE(SUBSTITUTE(UPPER(TRIM(D283)),"Á","A"),"À","A"),"Â","A"),"Ã","A"),"É","E"),"Ê","E"),"Í","I"),"Ó","O"),"Ô","O"),"Õ","O"),"Ú","U"),"Ü","U"),"Ç","C"))</f>
        <v/>
      </c>
      <c r="G283" s="31" t="str">
        <f aca="false">IF(E283="","",IF(LEN(SUBSTITUTE(SUBSTITUTE(SUBSTITUTE(SUBSTITUTE(TRIM(E283),"*",""),".",""),"-","")," ",""))=11,MID(SUBSTITUTE(SUBSTITUTE(SUBSTITUTE(SUBSTITUTE(TRIM(E283),"*",""),".",""),"-","")," ",""),4,6),SUBSTITUTE(SUBSTITUTE(SUBSTITUTE(SUBSTITUTE(TRIM(E283),"*",""),".",""),"-","")," ","")))</f>
        <v/>
      </c>
      <c r="H283" s="31" t="str">
        <f aca="false">IF(OR(F283="",G283=""),"",F283&amp;"|"&amp;G283)</f>
        <v/>
      </c>
      <c r="I283" s="23"/>
      <c r="J283" s="22"/>
      <c r="K283" s="22"/>
      <c r="L283" s="25" t="str">
        <f aca="false">IF(F283="","",IF(AND(H283&lt;&gt;"",COUNTIF(Pessoas!$E:$E,H283)&gt;0),"SIM",IF(COUNTIF(Pessoas!$C:$C,F283)&gt;0,"nome igual em Pessoas: confira o CPF","")))</f>
        <v/>
      </c>
      <c r="M283" s="24"/>
      <c r="N283" s="11"/>
    </row>
    <row r="284" customFormat="false" ht="15" hidden="false" customHeight="false" outlineLevel="0" collapsed="false">
      <c r="A284" s="24"/>
      <c r="B284" s="31" t="str">
        <f aca="false">IF(A284="","",IF(LEN(UPPER(SUBSTITUTE(SUBSTITUTE(SUBSTITUTE(SUBSTITUTE(TRIM(A284),".",""),"/",""),"-","")," ","")))&lt;14,RIGHT(REPT("0",14)&amp;UPPER(SUBSTITUTE(SUBSTITUTE(SUBSTITUTE(SUBSTITUTE(TRIM(A284),".",""),"/",""),"-","")," ","")),14),UPPER(SUBSTITUTE(SUBSTITUTE(SUBSTITUTE(SUBSTITUTE(TRIM(A284),".",""),"/",""),"-","")," ",""))))</f>
        <v/>
      </c>
      <c r="C284" s="25" t="str">
        <f aca="false">IF(B284="","",IFERROR(INDEX(Empresas!$C:$C,MATCH(B284,Empresas!$B:$B,0)),"cadastre o CNPJ em Empresas"))</f>
        <v/>
      </c>
      <c r="D284" s="23"/>
      <c r="E284" s="24"/>
      <c r="F284" s="31" t="str">
        <f aca="false">IF(D284="","",SUBSTITUTE(SUBSTITUTE(SUBSTITUTE(SUBSTITUTE(SUBSTITUTE(SUBSTITUTE(SUBSTITUTE(SUBSTITUTE(SUBSTITUTE(SUBSTITUTE(SUBSTITUTE(SUBSTITUTE(SUBSTITUTE(UPPER(TRIM(D284)),"Á","A"),"À","A"),"Â","A"),"Ã","A"),"É","E"),"Ê","E"),"Í","I"),"Ó","O"),"Ô","O"),"Õ","O"),"Ú","U"),"Ü","U"),"Ç","C"))</f>
        <v/>
      </c>
      <c r="G284" s="31" t="str">
        <f aca="false">IF(E284="","",IF(LEN(SUBSTITUTE(SUBSTITUTE(SUBSTITUTE(SUBSTITUTE(TRIM(E284),"*",""),".",""),"-","")," ",""))=11,MID(SUBSTITUTE(SUBSTITUTE(SUBSTITUTE(SUBSTITUTE(TRIM(E284),"*",""),".",""),"-","")," ",""),4,6),SUBSTITUTE(SUBSTITUTE(SUBSTITUTE(SUBSTITUTE(TRIM(E284),"*",""),".",""),"-","")," ","")))</f>
        <v/>
      </c>
      <c r="H284" s="31" t="str">
        <f aca="false">IF(OR(F284="",G284=""),"",F284&amp;"|"&amp;G284)</f>
        <v/>
      </c>
      <c r="I284" s="23"/>
      <c r="J284" s="22"/>
      <c r="K284" s="22"/>
      <c r="L284" s="25" t="str">
        <f aca="false">IF(F284="","",IF(AND(H284&lt;&gt;"",COUNTIF(Pessoas!$E:$E,H284)&gt;0),"SIM",IF(COUNTIF(Pessoas!$C:$C,F284)&gt;0,"nome igual em Pessoas: confira o CPF","")))</f>
        <v/>
      </c>
      <c r="M284" s="24"/>
      <c r="N284" s="11"/>
    </row>
    <row r="285" customFormat="false" ht="15" hidden="false" customHeight="false" outlineLevel="0" collapsed="false">
      <c r="A285" s="24"/>
      <c r="B285" s="31" t="str">
        <f aca="false">IF(A285="","",IF(LEN(UPPER(SUBSTITUTE(SUBSTITUTE(SUBSTITUTE(SUBSTITUTE(TRIM(A285),".",""),"/",""),"-","")," ","")))&lt;14,RIGHT(REPT("0",14)&amp;UPPER(SUBSTITUTE(SUBSTITUTE(SUBSTITUTE(SUBSTITUTE(TRIM(A285),".",""),"/",""),"-","")," ","")),14),UPPER(SUBSTITUTE(SUBSTITUTE(SUBSTITUTE(SUBSTITUTE(TRIM(A285),".",""),"/",""),"-","")," ",""))))</f>
        <v/>
      </c>
      <c r="C285" s="25" t="str">
        <f aca="false">IF(B285="","",IFERROR(INDEX(Empresas!$C:$C,MATCH(B285,Empresas!$B:$B,0)),"cadastre o CNPJ em Empresas"))</f>
        <v/>
      </c>
      <c r="D285" s="23"/>
      <c r="E285" s="24"/>
      <c r="F285" s="31" t="str">
        <f aca="false">IF(D285="","",SUBSTITUTE(SUBSTITUTE(SUBSTITUTE(SUBSTITUTE(SUBSTITUTE(SUBSTITUTE(SUBSTITUTE(SUBSTITUTE(SUBSTITUTE(SUBSTITUTE(SUBSTITUTE(SUBSTITUTE(SUBSTITUTE(UPPER(TRIM(D285)),"Á","A"),"À","A"),"Â","A"),"Ã","A"),"É","E"),"Ê","E"),"Í","I"),"Ó","O"),"Ô","O"),"Õ","O"),"Ú","U"),"Ü","U"),"Ç","C"))</f>
        <v/>
      </c>
      <c r="G285" s="31" t="str">
        <f aca="false">IF(E285="","",IF(LEN(SUBSTITUTE(SUBSTITUTE(SUBSTITUTE(SUBSTITUTE(TRIM(E285),"*",""),".",""),"-","")," ",""))=11,MID(SUBSTITUTE(SUBSTITUTE(SUBSTITUTE(SUBSTITUTE(TRIM(E285),"*",""),".",""),"-","")," ",""),4,6),SUBSTITUTE(SUBSTITUTE(SUBSTITUTE(SUBSTITUTE(TRIM(E285),"*",""),".",""),"-","")," ","")))</f>
        <v/>
      </c>
      <c r="H285" s="31" t="str">
        <f aca="false">IF(OR(F285="",G285=""),"",F285&amp;"|"&amp;G285)</f>
        <v/>
      </c>
      <c r="I285" s="23"/>
      <c r="J285" s="22"/>
      <c r="K285" s="22"/>
      <c r="L285" s="25" t="str">
        <f aca="false">IF(F285="","",IF(AND(H285&lt;&gt;"",COUNTIF(Pessoas!$E:$E,H285)&gt;0),"SIM",IF(COUNTIF(Pessoas!$C:$C,F285)&gt;0,"nome igual em Pessoas: confira o CPF","")))</f>
        <v/>
      </c>
      <c r="M285" s="24"/>
      <c r="N285" s="11"/>
    </row>
    <row r="286" customFormat="false" ht="15" hidden="false" customHeight="false" outlineLevel="0" collapsed="false">
      <c r="A286" s="24"/>
      <c r="B286" s="31" t="str">
        <f aca="false">IF(A286="","",IF(LEN(UPPER(SUBSTITUTE(SUBSTITUTE(SUBSTITUTE(SUBSTITUTE(TRIM(A286),".",""),"/",""),"-","")," ","")))&lt;14,RIGHT(REPT("0",14)&amp;UPPER(SUBSTITUTE(SUBSTITUTE(SUBSTITUTE(SUBSTITUTE(TRIM(A286),".",""),"/",""),"-","")," ","")),14),UPPER(SUBSTITUTE(SUBSTITUTE(SUBSTITUTE(SUBSTITUTE(TRIM(A286),".",""),"/",""),"-","")," ",""))))</f>
        <v/>
      </c>
      <c r="C286" s="25" t="str">
        <f aca="false">IF(B286="","",IFERROR(INDEX(Empresas!$C:$C,MATCH(B286,Empresas!$B:$B,0)),"cadastre o CNPJ em Empresas"))</f>
        <v/>
      </c>
      <c r="D286" s="23"/>
      <c r="E286" s="24"/>
      <c r="F286" s="31" t="str">
        <f aca="false">IF(D286="","",SUBSTITUTE(SUBSTITUTE(SUBSTITUTE(SUBSTITUTE(SUBSTITUTE(SUBSTITUTE(SUBSTITUTE(SUBSTITUTE(SUBSTITUTE(SUBSTITUTE(SUBSTITUTE(SUBSTITUTE(SUBSTITUTE(UPPER(TRIM(D286)),"Á","A"),"À","A"),"Â","A"),"Ã","A"),"É","E"),"Ê","E"),"Í","I"),"Ó","O"),"Ô","O"),"Õ","O"),"Ú","U"),"Ü","U"),"Ç","C"))</f>
        <v/>
      </c>
      <c r="G286" s="31" t="str">
        <f aca="false">IF(E286="","",IF(LEN(SUBSTITUTE(SUBSTITUTE(SUBSTITUTE(SUBSTITUTE(TRIM(E286),"*",""),".",""),"-","")," ",""))=11,MID(SUBSTITUTE(SUBSTITUTE(SUBSTITUTE(SUBSTITUTE(TRIM(E286),"*",""),".",""),"-","")," ",""),4,6),SUBSTITUTE(SUBSTITUTE(SUBSTITUTE(SUBSTITUTE(TRIM(E286),"*",""),".",""),"-","")," ","")))</f>
        <v/>
      </c>
      <c r="H286" s="31" t="str">
        <f aca="false">IF(OR(F286="",G286=""),"",F286&amp;"|"&amp;G286)</f>
        <v/>
      </c>
      <c r="I286" s="23"/>
      <c r="J286" s="22"/>
      <c r="K286" s="22"/>
      <c r="L286" s="25" t="str">
        <f aca="false">IF(F286="","",IF(AND(H286&lt;&gt;"",COUNTIF(Pessoas!$E:$E,H286)&gt;0),"SIM",IF(COUNTIF(Pessoas!$C:$C,F286)&gt;0,"nome igual em Pessoas: confira o CPF","")))</f>
        <v/>
      </c>
      <c r="M286" s="24"/>
      <c r="N286" s="11"/>
    </row>
    <row r="287" customFormat="false" ht="15" hidden="false" customHeight="false" outlineLevel="0" collapsed="false">
      <c r="A287" s="24"/>
      <c r="B287" s="31" t="str">
        <f aca="false">IF(A287="","",IF(LEN(UPPER(SUBSTITUTE(SUBSTITUTE(SUBSTITUTE(SUBSTITUTE(TRIM(A287),".",""),"/",""),"-","")," ","")))&lt;14,RIGHT(REPT("0",14)&amp;UPPER(SUBSTITUTE(SUBSTITUTE(SUBSTITUTE(SUBSTITUTE(TRIM(A287),".",""),"/",""),"-","")," ","")),14),UPPER(SUBSTITUTE(SUBSTITUTE(SUBSTITUTE(SUBSTITUTE(TRIM(A287),".",""),"/",""),"-","")," ",""))))</f>
        <v/>
      </c>
      <c r="C287" s="25" t="str">
        <f aca="false">IF(B287="","",IFERROR(INDEX(Empresas!$C:$C,MATCH(B287,Empresas!$B:$B,0)),"cadastre o CNPJ em Empresas"))</f>
        <v/>
      </c>
      <c r="D287" s="23"/>
      <c r="E287" s="24"/>
      <c r="F287" s="31" t="str">
        <f aca="false">IF(D287="","",SUBSTITUTE(SUBSTITUTE(SUBSTITUTE(SUBSTITUTE(SUBSTITUTE(SUBSTITUTE(SUBSTITUTE(SUBSTITUTE(SUBSTITUTE(SUBSTITUTE(SUBSTITUTE(SUBSTITUTE(SUBSTITUTE(UPPER(TRIM(D287)),"Á","A"),"À","A"),"Â","A"),"Ã","A"),"É","E"),"Ê","E"),"Í","I"),"Ó","O"),"Ô","O"),"Õ","O"),"Ú","U"),"Ü","U"),"Ç","C"))</f>
        <v/>
      </c>
      <c r="G287" s="31" t="str">
        <f aca="false">IF(E287="","",IF(LEN(SUBSTITUTE(SUBSTITUTE(SUBSTITUTE(SUBSTITUTE(TRIM(E287),"*",""),".",""),"-","")," ",""))=11,MID(SUBSTITUTE(SUBSTITUTE(SUBSTITUTE(SUBSTITUTE(TRIM(E287),"*",""),".",""),"-","")," ",""),4,6),SUBSTITUTE(SUBSTITUTE(SUBSTITUTE(SUBSTITUTE(TRIM(E287),"*",""),".",""),"-","")," ","")))</f>
        <v/>
      </c>
      <c r="H287" s="31" t="str">
        <f aca="false">IF(OR(F287="",G287=""),"",F287&amp;"|"&amp;G287)</f>
        <v/>
      </c>
      <c r="I287" s="23"/>
      <c r="J287" s="22"/>
      <c r="K287" s="22"/>
      <c r="L287" s="25" t="str">
        <f aca="false">IF(F287="","",IF(AND(H287&lt;&gt;"",COUNTIF(Pessoas!$E:$E,H287)&gt;0),"SIM",IF(COUNTIF(Pessoas!$C:$C,F287)&gt;0,"nome igual em Pessoas: confira o CPF","")))</f>
        <v/>
      </c>
      <c r="M287" s="24"/>
      <c r="N287" s="11"/>
    </row>
    <row r="288" customFormat="false" ht="15" hidden="false" customHeight="false" outlineLevel="0" collapsed="false">
      <c r="A288" s="24"/>
      <c r="B288" s="31" t="str">
        <f aca="false">IF(A288="","",IF(LEN(UPPER(SUBSTITUTE(SUBSTITUTE(SUBSTITUTE(SUBSTITUTE(TRIM(A288),".",""),"/",""),"-","")," ","")))&lt;14,RIGHT(REPT("0",14)&amp;UPPER(SUBSTITUTE(SUBSTITUTE(SUBSTITUTE(SUBSTITUTE(TRIM(A288),".",""),"/",""),"-","")," ","")),14),UPPER(SUBSTITUTE(SUBSTITUTE(SUBSTITUTE(SUBSTITUTE(TRIM(A288),".",""),"/",""),"-","")," ",""))))</f>
        <v/>
      </c>
      <c r="C288" s="25" t="str">
        <f aca="false">IF(B288="","",IFERROR(INDEX(Empresas!$C:$C,MATCH(B288,Empresas!$B:$B,0)),"cadastre o CNPJ em Empresas"))</f>
        <v/>
      </c>
      <c r="D288" s="23"/>
      <c r="E288" s="24"/>
      <c r="F288" s="31" t="str">
        <f aca="false">IF(D288="","",SUBSTITUTE(SUBSTITUTE(SUBSTITUTE(SUBSTITUTE(SUBSTITUTE(SUBSTITUTE(SUBSTITUTE(SUBSTITUTE(SUBSTITUTE(SUBSTITUTE(SUBSTITUTE(SUBSTITUTE(SUBSTITUTE(UPPER(TRIM(D288)),"Á","A"),"À","A"),"Â","A"),"Ã","A"),"É","E"),"Ê","E"),"Í","I"),"Ó","O"),"Ô","O"),"Õ","O"),"Ú","U"),"Ü","U"),"Ç","C"))</f>
        <v/>
      </c>
      <c r="G288" s="31" t="str">
        <f aca="false">IF(E288="","",IF(LEN(SUBSTITUTE(SUBSTITUTE(SUBSTITUTE(SUBSTITUTE(TRIM(E288),"*",""),".",""),"-","")," ",""))=11,MID(SUBSTITUTE(SUBSTITUTE(SUBSTITUTE(SUBSTITUTE(TRIM(E288),"*",""),".",""),"-","")," ",""),4,6),SUBSTITUTE(SUBSTITUTE(SUBSTITUTE(SUBSTITUTE(TRIM(E288),"*",""),".",""),"-","")," ","")))</f>
        <v/>
      </c>
      <c r="H288" s="31" t="str">
        <f aca="false">IF(OR(F288="",G288=""),"",F288&amp;"|"&amp;G288)</f>
        <v/>
      </c>
      <c r="I288" s="23"/>
      <c r="J288" s="22"/>
      <c r="K288" s="22"/>
      <c r="L288" s="25" t="str">
        <f aca="false">IF(F288="","",IF(AND(H288&lt;&gt;"",COUNTIF(Pessoas!$E:$E,H288)&gt;0),"SIM",IF(COUNTIF(Pessoas!$C:$C,F288)&gt;0,"nome igual em Pessoas: confira o CPF","")))</f>
        <v/>
      </c>
      <c r="M288" s="24"/>
      <c r="N288" s="11"/>
    </row>
    <row r="289" customFormat="false" ht="15" hidden="false" customHeight="false" outlineLevel="0" collapsed="false">
      <c r="A289" s="24"/>
      <c r="B289" s="31" t="str">
        <f aca="false">IF(A289="","",IF(LEN(UPPER(SUBSTITUTE(SUBSTITUTE(SUBSTITUTE(SUBSTITUTE(TRIM(A289),".",""),"/",""),"-","")," ","")))&lt;14,RIGHT(REPT("0",14)&amp;UPPER(SUBSTITUTE(SUBSTITUTE(SUBSTITUTE(SUBSTITUTE(TRIM(A289),".",""),"/",""),"-","")," ","")),14),UPPER(SUBSTITUTE(SUBSTITUTE(SUBSTITUTE(SUBSTITUTE(TRIM(A289),".",""),"/",""),"-","")," ",""))))</f>
        <v/>
      </c>
      <c r="C289" s="25" t="str">
        <f aca="false">IF(B289="","",IFERROR(INDEX(Empresas!$C:$C,MATCH(B289,Empresas!$B:$B,0)),"cadastre o CNPJ em Empresas"))</f>
        <v/>
      </c>
      <c r="D289" s="23"/>
      <c r="E289" s="24"/>
      <c r="F289" s="31" t="str">
        <f aca="false">IF(D289="","",SUBSTITUTE(SUBSTITUTE(SUBSTITUTE(SUBSTITUTE(SUBSTITUTE(SUBSTITUTE(SUBSTITUTE(SUBSTITUTE(SUBSTITUTE(SUBSTITUTE(SUBSTITUTE(SUBSTITUTE(SUBSTITUTE(UPPER(TRIM(D289)),"Á","A"),"À","A"),"Â","A"),"Ã","A"),"É","E"),"Ê","E"),"Í","I"),"Ó","O"),"Ô","O"),"Õ","O"),"Ú","U"),"Ü","U"),"Ç","C"))</f>
        <v/>
      </c>
      <c r="G289" s="31" t="str">
        <f aca="false">IF(E289="","",IF(LEN(SUBSTITUTE(SUBSTITUTE(SUBSTITUTE(SUBSTITUTE(TRIM(E289),"*",""),".",""),"-","")," ",""))=11,MID(SUBSTITUTE(SUBSTITUTE(SUBSTITUTE(SUBSTITUTE(TRIM(E289),"*",""),".",""),"-","")," ",""),4,6),SUBSTITUTE(SUBSTITUTE(SUBSTITUTE(SUBSTITUTE(TRIM(E289),"*",""),".",""),"-","")," ","")))</f>
        <v/>
      </c>
      <c r="H289" s="31" t="str">
        <f aca="false">IF(OR(F289="",G289=""),"",F289&amp;"|"&amp;G289)</f>
        <v/>
      </c>
      <c r="I289" s="23"/>
      <c r="J289" s="22"/>
      <c r="K289" s="22"/>
      <c r="L289" s="25" t="str">
        <f aca="false">IF(F289="","",IF(AND(H289&lt;&gt;"",COUNTIF(Pessoas!$E:$E,H289)&gt;0),"SIM",IF(COUNTIF(Pessoas!$C:$C,F289)&gt;0,"nome igual em Pessoas: confira o CPF","")))</f>
        <v/>
      </c>
      <c r="M289" s="24"/>
      <c r="N289" s="11"/>
    </row>
    <row r="290" customFormat="false" ht="15" hidden="false" customHeight="false" outlineLevel="0" collapsed="false">
      <c r="A290" s="24"/>
      <c r="B290" s="31" t="str">
        <f aca="false">IF(A290="","",IF(LEN(UPPER(SUBSTITUTE(SUBSTITUTE(SUBSTITUTE(SUBSTITUTE(TRIM(A290),".",""),"/",""),"-","")," ","")))&lt;14,RIGHT(REPT("0",14)&amp;UPPER(SUBSTITUTE(SUBSTITUTE(SUBSTITUTE(SUBSTITUTE(TRIM(A290),".",""),"/",""),"-","")," ","")),14),UPPER(SUBSTITUTE(SUBSTITUTE(SUBSTITUTE(SUBSTITUTE(TRIM(A290),".",""),"/",""),"-","")," ",""))))</f>
        <v/>
      </c>
      <c r="C290" s="25" t="str">
        <f aca="false">IF(B290="","",IFERROR(INDEX(Empresas!$C:$C,MATCH(B290,Empresas!$B:$B,0)),"cadastre o CNPJ em Empresas"))</f>
        <v/>
      </c>
      <c r="D290" s="23"/>
      <c r="E290" s="24"/>
      <c r="F290" s="31" t="str">
        <f aca="false">IF(D290="","",SUBSTITUTE(SUBSTITUTE(SUBSTITUTE(SUBSTITUTE(SUBSTITUTE(SUBSTITUTE(SUBSTITUTE(SUBSTITUTE(SUBSTITUTE(SUBSTITUTE(SUBSTITUTE(SUBSTITUTE(SUBSTITUTE(UPPER(TRIM(D290)),"Á","A"),"À","A"),"Â","A"),"Ã","A"),"É","E"),"Ê","E"),"Í","I"),"Ó","O"),"Ô","O"),"Õ","O"),"Ú","U"),"Ü","U"),"Ç","C"))</f>
        <v/>
      </c>
      <c r="G290" s="31" t="str">
        <f aca="false">IF(E290="","",IF(LEN(SUBSTITUTE(SUBSTITUTE(SUBSTITUTE(SUBSTITUTE(TRIM(E290),"*",""),".",""),"-","")," ",""))=11,MID(SUBSTITUTE(SUBSTITUTE(SUBSTITUTE(SUBSTITUTE(TRIM(E290),"*",""),".",""),"-","")," ",""),4,6),SUBSTITUTE(SUBSTITUTE(SUBSTITUTE(SUBSTITUTE(TRIM(E290),"*",""),".",""),"-","")," ","")))</f>
        <v/>
      </c>
      <c r="H290" s="31" t="str">
        <f aca="false">IF(OR(F290="",G290=""),"",F290&amp;"|"&amp;G290)</f>
        <v/>
      </c>
      <c r="I290" s="23"/>
      <c r="J290" s="22"/>
      <c r="K290" s="22"/>
      <c r="L290" s="25" t="str">
        <f aca="false">IF(F290="","",IF(AND(H290&lt;&gt;"",COUNTIF(Pessoas!$E:$E,H290)&gt;0),"SIM",IF(COUNTIF(Pessoas!$C:$C,F290)&gt;0,"nome igual em Pessoas: confira o CPF","")))</f>
        <v/>
      </c>
      <c r="M290" s="24"/>
      <c r="N290" s="11"/>
    </row>
    <row r="291" customFormat="false" ht="15" hidden="false" customHeight="false" outlineLevel="0" collapsed="false">
      <c r="A291" s="24"/>
      <c r="B291" s="31" t="str">
        <f aca="false">IF(A291="","",IF(LEN(UPPER(SUBSTITUTE(SUBSTITUTE(SUBSTITUTE(SUBSTITUTE(TRIM(A291),".",""),"/",""),"-","")," ","")))&lt;14,RIGHT(REPT("0",14)&amp;UPPER(SUBSTITUTE(SUBSTITUTE(SUBSTITUTE(SUBSTITUTE(TRIM(A291),".",""),"/",""),"-","")," ","")),14),UPPER(SUBSTITUTE(SUBSTITUTE(SUBSTITUTE(SUBSTITUTE(TRIM(A291),".",""),"/",""),"-","")," ",""))))</f>
        <v/>
      </c>
      <c r="C291" s="25" t="str">
        <f aca="false">IF(B291="","",IFERROR(INDEX(Empresas!$C:$C,MATCH(B291,Empresas!$B:$B,0)),"cadastre o CNPJ em Empresas"))</f>
        <v/>
      </c>
      <c r="D291" s="23"/>
      <c r="E291" s="24"/>
      <c r="F291" s="31" t="str">
        <f aca="false">IF(D291="","",SUBSTITUTE(SUBSTITUTE(SUBSTITUTE(SUBSTITUTE(SUBSTITUTE(SUBSTITUTE(SUBSTITUTE(SUBSTITUTE(SUBSTITUTE(SUBSTITUTE(SUBSTITUTE(SUBSTITUTE(SUBSTITUTE(UPPER(TRIM(D291)),"Á","A"),"À","A"),"Â","A"),"Ã","A"),"É","E"),"Ê","E"),"Í","I"),"Ó","O"),"Ô","O"),"Õ","O"),"Ú","U"),"Ü","U"),"Ç","C"))</f>
        <v/>
      </c>
      <c r="G291" s="31" t="str">
        <f aca="false">IF(E291="","",IF(LEN(SUBSTITUTE(SUBSTITUTE(SUBSTITUTE(SUBSTITUTE(TRIM(E291),"*",""),".",""),"-","")," ",""))=11,MID(SUBSTITUTE(SUBSTITUTE(SUBSTITUTE(SUBSTITUTE(TRIM(E291),"*",""),".",""),"-","")," ",""),4,6),SUBSTITUTE(SUBSTITUTE(SUBSTITUTE(SUBSTITUTE(TRIM(E291),"*",""),".",""),"-","")," ","")))</f>
        <v/>
      </c>
      <c r="H291" s="31" t="str">
        <f aca="false">IF(OR(F291="",G291=""),"",F291&amp;"|"&amp;G291)</f>
        <v/>
      </c>
      <c r="I291" s="23"/>
      <c r="J291" s="22"/>
      <c r="K291" s="22"/>
      <c r="L291" s="25" t="str">
        <f aca="false">IF(F291="","",IF(AND(H291&lt;&gt;"",COUNTIF(Pessoas!$E:$E,H291)&gt;0),"SIM",IF(COUNTIF(Pessoas!$C:$C,F291)&gt;0,"nome igual em Pessoas: confira o CPF","")))</f>
        <v/>
      </c>
      <c r="M291" s="24"/>
      <c r="N291" s="11"/>
    </row>
    <row r="292" customFormat="false" ht="15" hidden="false" customHeight="false" outlineLevel="0" collapsed="false">
      <c r="A292" s="24"/>
      <c r="B292" s="31" t="str">
        <f aca="false">IF(A292="","",IF(LEN(UPPER(SUBSTITUTE(SUBSTITUTE(SUBSTITUTE(SUBSTITUTE(TRIM(A292),".",""),"/",""),"-","")," ","")))&lt;14,RIGHT(REPT("0",14)&amp;UPPER(SUBSTITUTE(SUBSTITUTE(SUBSTITUTE(SUBSTITUTE(TRIM(A292),".",""),"/",""),"-","")," ","")),14),UPPER(SUBSTITUTE(SUBSTITUTE(SUBSTITUTE(SUBSTITUTE(TRIM(A292),".",""),"/",""),"-","")," ",""))))</f>
        <v/>
      </c>
      <c r="C292" s="25" t="str">
        <f aca="false">IF(B292="","",IFERROR(INDEX(Empresas!$C:$C,MATCH(B292,Empresas!$B:$B,0)),"cadastre o CNPJ em Empresas"))</f>
        <v/>
      </c>
      <c r="D292" s="23"/>
      <c r="E292" s="24"/>
      <c r="F292" s="31" t="str">
        <f aca="false">IF(D292="","",SUBSTITUTE(SUBSTITUTE(SUBSTITUTE(SUBSTITUTE(SUBSTITUTE(SUBSTITUTE(SUBSTITUTE(SUBSTITUTE(SUBSTITUTE(SUBSTITUTE(SUBSTITUTE(SUBSTITUTE(SUBSTITUTE(UPPER(TRIM(D292)),"Á","A"),"À","A"),"Â","A"),"Ã","A"),"É","E"),"Ê","E"),"Í","I"),"Ó","O"),"Ô","O"),"Õ","O"),"Ú","U"),"Ü","U"),"Ç","C"))</f>
        <v/>
      </c>
      <c r="G292" s="31" t="str">
        <f aca="false">IF(E292="","",IF(LEN(SUBSTITUTE(SUBSTITUTE(SUBSTITUTE(SUBSTITUTE(TRIM(E292),"*",""),".",""),"-","")," ",""))=11,MID(SUBSTITUTE(SUBSTITUTE(SUBSTITUTE(SUBSTITUTE(TRIM(E292),"*",""),".",""),"-","")," ",""),4,6),SUBSTITUTE(SUBSTITUTE(SUBSTITUTE(SUBSTITUTE(TRIM(E292),"*",""),".",""),"-","")," ","")))</f>
        <v/>
      </c>
      <c r="H292" s="31" t="str">
        <f aca="false">IF(OR(F292="",G292=""),"",F292&amp;"|"&amp;G292)</f>
        <v/>
      </c>
      <c r="I292" s="23"/>
      <c r="J292" s="22"/>
      <c r="K292" s="22"/>
      <c r="L292" s="25" t="str">
        <f aca="false">IF(F292="","",IF(AND(H292&lt;&gt;"",COUNTIF(Pessoas!$E:$E,H292)&gt;0),"SIM",IF(COUNTIF(Pessoas!$C:$C,F292)&gt;0,"nome igual em Pessoas: confira o CPF","")))</f>
        <v/>
      </c>
      <c r="M292" s="24"/>
      <c r="N292" s="11"/>
    </row>
    <row r="293" customFormat="false" ht="15" hidden="false" customHeight="false" outlineLevel="0" collapsed="false">
      <c r="A293" s="24"/>
      <c r="B293" s="31" t="str">
        <f aca="false">IF(A293="","",IF(LEN(UPPER(SUBSTITUTE(SUBSTITUTE(SUBSTITUTE(SUBSTITUTE(TRIM(A293),".",""),"/",""),"-","")," ","")))&lt;14,RIGHT(REPT("0",14)&amp;UPPER(SUBSTITUTE(SUBSTITUTE(SUBSTITUTE(SUBSTITUTE(TRIM(A293),".",""),"/",""),"-","")," ","")),14),UPPER(SUBSTITUTE(SUBSTITUTE(SUBSTITUTE(SUBSTITUTE(TRIM(A293),".",""),"/",""),"-","")," ",""))))</f>
        <v/>
      </c>
      <c r="C293" s="25" t="str">
        <f aca="false">IF(B293="","",IFERROR(INDEX(Empresas!$C:$C,MATCH(B293,Empresas!$B:$B,0)),"cadastre o CNPJ em Empresas"))</f>
        <v/>
      </c>
      <c r="D293" s="23"/>
      <c r="E293" s="24"/>
      <c r="F293" s="31" t="str">
        <f aca="false">IF(D293="","",SUBSTITUTE(SUBSTITUTE(SUBSTITUTE(SUBSTITUTE(SUBSTITUTE(SUBSTITUTE(SUBSTITUTE(SUBSTITUTE(SUBSTITUTE(SUBSTITUTE(SUBSTITUTE(SUBSTITUTE(SUBSTITUTE(UPPER(TRIM(D293)),"Á","A"),"À","A"),"Â","A"),"Ã","A"),"É","E"),"Ê","E"),"Í","I"),"Ó","O"),"Ô","O"),"Õ","O"),"Ú","U"),"Ü","U"),"Ç","C"))</f>
        <v/>
      </c>
      <c r="G293" s="31" t="str">
        <f aca="false">IF(E293="","",IF(LEN(SUBSTITUTE(SUBSTITUTE(SUBSTITUTE(SUBSTITUTE(TRIM(E293),"*",""),".",""),"-","")," ",""))=11,MID(SUBSTITUTE(SUBSTITUTE(SUBSTITUTE(SUBSTITUTE(TRIM(E293),"*",""),".",""),"-","")," ",""),4,6),SUBSTITUTE(SUBSTITUTE(SUBSTITUTE(SUBSTITUTE(TRIM(E293),"*",""),".",""),"-","")," ","")))</f>
        <v/>
      </c>
      <c r="H293" s="31" t="str">
        <f aca="false">IF(OR(F293="",G293=""),"",F293&amp;"|"&amp;G293)</f>
        <v/>
      </c>
      <c r="I293" s="23"/>
      <c r="J293" s="22"/>
      <c r="K293" s="22"/>
      <c r="L293" s="25" t="str">
        <f aca="false">IF(F293="","",IF(AND(H293&lt;&gt;"",COUNTIF(Pessoas!$E:$E,H293)&gt;0),"SIM",IF(COUNTIF(Pessoas!$C:$C,F293)&gt;0,"nome igual em Pessoas: confira o CPF","")))</f>
        <v/>
      </c>
      <c r="M293" s="24"/>
      <c r="N293" s="11"/>
    </row>
    <row r="294" customFormat="false" ht="15" hidden="false" customHeight="false" outlineLevel="0" collapsed="false">
      <c r="A294" s="24"/>
      <c r="B294" s="31" t="str">
        <f aca="false">IF(A294="","",IF(LEN(UPPER(SUBSTITUTE(SUBSTITUTE(SUBSTITUTE(SUBSTITUTE(TRIM(A294),".",""),"/",""),"-","")," ","")))&lt;14,RIGHT(REPT("0",14)&amp;UPPER(SUBSTITUTE(SUBSTITUTE(SUBSTITUTE(SUBSTITUTE(TRIM(A294),".",""),"/",""),"-","")," ","")),14),UPPER(SUBSTITUTE(SUBSTITUTE(SUBSTITUTE(SUBSTITUTE(TRIM(A294),".",""),"/",""),"-","")," ",""))))</f>
        <v/>
      </c>
      <c r="C294" s="25" t="str">
        <f aca="false">IF(B294="","",IFERROR(INDEX(Empresas!$C:$C,MATCH(B294,Empresas!$B:$B,0)),"cadastre o CNPJ em Empresas"))</f>
        <v/>
      </c>
      <c r="D294" s="23"/>
      <c r="E294" s="24"/>
      <c r="F294" s="31" t="str">
        <f aca="false">IF(D294="","",SUBSTITUTE(SUBSTITUTE(SUBSTITUTE(SUBSTITUTE(SUBSTITUTE(SUBSTITUTE(SUBSTITUTE(SUBSTITUTE(SUBSTITUTE(SUBSTITUTE(SUBSTITUTE(SUBSTITUTE(SUBSTITUTE(UPPER(TRIM(D294)),"Á","A"),"À","A"),"Â","A"),"Ã","A"),"É","E"),"Ê","E"),"Í","I"),"Ó","O"),"Ô","O"),"Õ","O"),"Ú","U"),"Ü","U"),"Ç","C"))</f>
        <v/>
      </c>
      <c r="G294" s="31" t="str">
        <f aca="false">IF(E294="","",IF(LEN(SUBSTITUTE(SUBSTITUTE(SUBSTITUTE(SUBSTITUTE(TRIM(E294),"*",""),".",""),"-","")," ",""))=11,MID(SUBSTITUTE(SUBSTITUTE(SUBSTITUTE(SUBSTITUTE(TRIM(E294),"*",""),".",""),"-","")," ",""),4,6),SUBSTITUTE(SUBSTITUTE(SUBSTITUTE(SUBSTITUTE(TRIM(E294),"*",""),".",""),"-","")," ","")))</f>
        <v/>
      </c>
      <c r="H294" s="31" t="str">
        <f aca="false">IF(OR(F294="",G294=""),"",F294&amp;"|"&amp;G294)</f>
        <v/>
      </c>
      <c r="I294" s="23"/>
      <c r="J294" s="22"/>
      <c r="K294" s="22"/>
      <c r="L294" s="25" t="str">
        <f aca="false">IF(F294="","",IF(AND(H294&lt;&gt;"",COUNTIF(Pessoas!$E:$E,H294)&gt;0),"SIM",IF(COUNTIF(Pessoas!$C:$C,F294)&gt;0,"nome igual em Pessoas: confira o CPF","")))</f>
        <v/>
      </c>
      <c r="M294" s="24"/>
      <c r="N294" s="11"/>
    </row>
    <row r="295" customFormat="false" ht="15" hidden="false" customHeight="false" outlineLevel="0" collapsed="false">
      <c r="A295" s="24"/>
      <c r="B295" s="31" t="str">
        <f aca="false">IF(A295="","",IF(LEN(UPPER(SUBSTITUTE(SUBSTITUTE(SUBSTITUTE(SUBSTITUTE(TRIM(A295),".",""),"/",""),"-","")," ","")))&lt;14,RIGHT(REPT("0",14)&amp;UPPER(SUBSTITUTE(SUBSTITUTE(SUBSTITUTE(SUBSTITUTE(TRIM(A295),".",""),"/",""),"-","")," ","")),14),UPPER(SUBSTITUTE(SUBSTITUTE(SUBSTITUTE(SUBSTITUTE(TRIM(A295),".",""),"/",""),"-","")," ",""))))</f>
        <v/>
      </c>
      <c r="C295" s="25" t="str">
        <f aca="false">IF(B295="","",IFERROR(INDEX(Empresas!$C:$C,MATCH(B295,Empresas!$B:$B,0)),"cadastre o CNPJ em Empresas"))</f>
        <v/>
      </c>
      <c r="D295" s="23"/>
      <c r="E295" s="24"/>
      <c r="F295" s="31" t="str">
        <f aca="false">IF(D295="","",SUBSTITUTE(SUBSTITUTE(SUBSTITUTE(SUBSTITUTE(SUBSTITUTE(SUBSTITUTE(SUBSTITUTE(SUBSTITUTE(SUBSTITUTE(SUBSTITUTE(SUBSTITUTE(SUBSTITUTE(SUBSTITUTE(UPPER(TRIM(D295)),"Á","A"),"À","A"),"Â","A"),"Ã","A"),"É","E"),"Ê","E"),"Í","I"),"Ó","O"),"Ô","O"),"Õ","O"),"Ú","U"),"Ü","U"),"Ç","C"))</f>
        <v/>
      </c>
      <c r="G295" s="31" t="str">
        <f aca="false">IF(E295="","",IF(LEN(SUBSTITUTE(SUBSTITUTE(SUBSTITUTE(SUBSTITUTE(TRIM(E295),"*",""),".",""),"-","")," ",""))=11,MID(SUBSTITUTE(SUBSTITUTE(SUBSTITUTE(SUBSTITUTE(TRIM(E295),"*",""),".",""),"-","")," ",""),4,6),SUBSTITUTE(SUBSTITUTE(SUBSTITUTE(SUBSTITUTE(TRIM(E295),"*",""),".",""),"-","")," ","")))</f>
        <v/>
      </c>
      <c r="H295" s="31" t="str">
        <f aca="false">IF(OR(F295="",G295=""),"",F295&amp;"|"&amp;G295)</f>
        <v/>
      </c>
      <c r="I295" s="23"/>
      <c r="J295" s="22"/>
      <c r="K295" s="22"/>
      <c r="L295" s="25" t="str">
        <f aca="false">IF(F295="","",IF(AND(H295&lt;&gt;"",COUNTIF(Pessoas!$E:$E,H295)&gt;0),"SIM",IF(COUNTIF(Pessoas!$C:$C,F295)&gt;0,"nome igual em Pessoas: confira o CPF","")))</f>
        <v/>
      </c>
      <c r="M295" s="24"/>
      <c r="N295" s="11"/>
    </row>
    <row r="296" customFormat="false" ht="15" hidden="false" customHeight="false" outlineLevel="0" collapsed="false">
      <c r="A296" s="24"/>
      <c r="B296" s="31" t="str">
        <f aca="false">IF(A296="","",IF(LEN(UPPER(SUBSTITUTE(SUBSTITUTE(SUBSTITUTE(SUBSTITUTE(TRIM(A296),".",""),"/",""),"-","")," ","")))&lt;14,RIGHT(REPT("0",14)&amp;UPPER(SUBSTITUTE(SUBSTITUTE(SUBSTITUTE(SUBSTITUTE(TRIM(A296),".",""),"/",""),"-","")," ","")),14),UPPER(SUBSTITUTE(SUBSTITUTE(SUBSTITUTE(SUBSTITUTE(TRIM(A296),".",""),"/",""),"-","")," ",""))))</f>
        <v/>
      </c>
      <c r="C296" s="25" t="str">
        <f aca="false">IF(B296="","",IFERROR(INDEX(Empresas!$C:$C,MATCH(B296,Empresas!$B:$B,0)),"cadastre o CNPJ em Empresas"))</f>
        <v/>
      </c>
      <c r="D296" s="23"/>
      <c r="E296" s="24"/>
      <c r="F296" s="31" t="str">
        <f aca="false">IF(D296="","",SUBSTITUTE(SUBSTITUTE(SUBSTITUTE(SUBSTITUTE(SUBSTITUTE(SUBSTITUTE(SUBSTITUTE(SUBSTITUTE(SUBSTITUTE(SUBSTITUTE(SUBSTITUTE(SUBSTITUTE(SUBSTITUTE(UPPER(TRIM(D296)),"Á","A"),"À","A"),"Â","A"),"Ã","A"),"É","E"),"Ê","E"),"Í","I"),"Ó","O"),"Ô","O"),"Õ","O"),"Ú","U"),"Ü","U"),"Ç","C"))</f>
        <v/>
      </c>
      <c r="G296" s="31" t="str">
        <f aca="false">IF(E296="","",IF(LEN(SUBSTITUTE(SUBSTITUTE(SUBSTITUTE(SUBSTITUTE(TRIM(E296),"*",""),".",""),"-","")," ",""))=11,MID(SUBSTITUTE(SUBSTITUTE(SUBSTITUTE(SUBSTITUTE(TRIM(E296),"*",""),".",""),"-","")," ",""),4,6),SUBSTITUTE(SUBSTITUTE(SUBSTITUTE(SUBSTITUTE(TRIM(E296),"*",""),".",""),"-","")," ","")))</f>
        <v/>
      </c>
      <c r="H296" s="31" t="str">
        <f aca="false">IF(OR(F296="",G296=""),"",F296&amp;"|"&amp;G296)</f>
        <v/>
      </c>
      <c r="I296" s="23"/>
      <c r="J296" s="22"/>
      <c r="K296" s="22"/>
      <c r="L296" s="25" t="str">
        <f aca="false">IF(F296="","",IF(AND(H296&lt;&gt;"",COUNTIF(Pessoas!$E:$E,H296)&gt;0),"SIM",IF(COUNTIF(Pessoas!$C:$C,F296)&gt;0,"nome igual em Pessoas: confira o CPF","")))</f>
        <v/>
      </c>
      <c r="M296" s="24"/>
      <c r="N296" s="11"/>
    </row>
    <row r="297" customFormat="false" ht="15" hidden="false" customHeight="false" outlineLevel="0" collapsed="false">
      <c r="A297" s="24"/>
      <c r="B297" s="31" t="str">
        <f aca="false">IF(A297="","",IF(LEN(UPPER(SUBSTITUTE(SUBSTITUTE(SUBSTITUTE(SUBSTITUTE(TRIM(A297),".",""),"/",""),"-","")," ","")))&lt;14,RIGHT(REPT("0",14)&amp;UPPER(SUBSTITUTE(SUBSTITUTE(SUBSTITUTE(SUBSTITUTE(TRIM(A297),".",""),"/",""),"-","")," ","")),14),UPPER(SUBSTITUTE(SUBSTITUTE(SUBSTITUTE(SUBSTITUTE(TRIM(A297),".",""),"/",""),"-","")," ",""))))</f>
        <v/>
      </c>
      <c r="C297" s="25" t="str">
        <f aca="false">IF(B297="","",IFERROR(INDEX(Empresas!$C:$C,MATCH(B297,Empresas!$B:$B,0)),"cadastre o CNPJ em Empresas"))</f>
        <v/>
      </c>
      <c r="D297" s="23"/>
      <c r="E297" s="24"/>
      <c r="F297" s="31" t="str">
        <f aca="false">IF(D297="","",SUBSTITUTE(SUBSTITUTE(SUBSTITUTE(SUBSTITUTE(SUBSTITUTE(SUBSTITUTE(SUBSTITUTE(SUBSTITUTE(SUBSTITUTE(SUBSTITUTE(SUBSTITUTE(SUBSTITUTE(SUBSTITUTE(UPPER(TRIM(D297)),"Á","A"),"À","A"),"Â","A"),"Ã","A"),"É","E"),"Ê","E"),"Í","I"),"Ó","O"),"Ô","O"),"Õ","O"),"Ú","U"),"Ü","U"),"Ç","C"))</f>
        <v/>
      </c>
      <c r="G297" s="31" t="str">
        <f aca="false">IF(E297="","",IF(LEN(SUBSTITUTE(SUBSTITUTE(SUBSTITUTE(SUBSTITUTE(TRIM(E297),"*",""),".",""),"-","")," ",""))=11,MID(SUBSTITUTE(SUBSTITUTE(SUBSTITUTE(SUBSTITUTE(TRIM(E297),"*",""),".",""),"-","")," ",""),4,6),SUBSTITUTE(SUBSTITUTE(SUBSTITUTE(SUBSTITUTE(TRIM(E297),"*",""),".",""),"-","")," ","")))</f>
        <v/>
      </c>
      <c r="H297" s="31" t="str">
        <f aca="false">IF(OR(F297="",G297=""),"",F297&amp;"|"&amp;G297)</f>
        <v/>
      </c>
      <c r="I297" s="23"/>
      <c r="J297" s="22"/>
      <c r="K297" s="22"/>
      <c r="L297" s="25" t="str">
        <f aca="false">IF(F297="","",IF(AND(H297&lt;&gt;"",COUNTIF(Pessoas!$E:$E,H297)&gt;0),"SIM",IF(COUNTIF(Pessoas!$C:$C,F297)&gt;0,"nome igual em Pessoas: confira o CPF","")))</f>
        <v/>
      </c>
      <c r="M297" s="24"/>
      <c r="N297" s="11"/>
    </row>
    <row r="298" customFormat="false" ht="15" hidden="false" customHeight="false" outlineLevel="0" collapsed="false">
      <c r="A298" s="24"/>
      <c r="B298" s="31" t="str">
        <f aca="false">IF(A298="","",IF(LEN(UPPER(SUBSTITUTE(SUBSTITUTE(SUBSTITUTE(SUBSTITUTE(TRIM(A298),".",""),"/",""),"-","")," ","")))&lt;14,RIGHT(REPT("0",14)&amp;UPPER(SUBSTITUTE(SUBSTITUTE(SUBSTITUTE(SUBSTITUTE(TRIM(A298),".",""),"/",""),"-","")," ","")),14),UPPER(SUBSTITUTE(SUBSTITUTE(SUBSTITUTE(SUBSTITUTE(TRIM(A298),".",""),"/",""),"-","")," ",""))))</f>
        <v/>
      </c>
      <c r="C298" s="25" t="str">
        <f aca="false">IF(B298="","",IFERROR(INDEX(Empresas!$C:$C,MATCH(B298,Empresas!$B:$B,0)),"cadastre o CNPJ em Empresas"))</f>
        <v/>
      </c>
      <c r="D298" s="23"/>
      <c r="E298" s="24"/>
      <c r="F298" s="31" t="str">
        <f aca="false">IF(D298="","",SUBSTITUTE(SUBSTITUTE(SUBSTITUTE(SUBSTITUTE(SUBSTITUTE(SUBSTITUTE(SUBSTITUTE(SUBSTITUTE(SUBSTITUTE(SUBSTITUTE(SUBSTITUTE(SUBSTITUTE(SUBSTITUTE(UPPER(TRIM(D298)),"Á","A"),"À","A"),"Â","A"),"Ã","A"),"É","E"),"Ê","E"),"Í","I"),"Ó","O"),"Ô","O"),"Õ","O"),"Ú","U"),"Ü","U"),"Ç","C"))</f>
        <v/>
      </c>
      <c r="G298" s="31" t="str">
        <f aca="false">IF(E298="","",IF(LEN(SUBSTITUTE(SUBSTITUTE(SUBSTITUTE(SUBSTITUTE(TRIM(E298),"*",""),".",""),"-","")," ",""))=11,MID(SUBSTITUTE(SUBSTITUTE(SUBSTITUTE(SUBSTITUTE(TRIM(E298),"*",""),".",""),"-","")," ",""),4,6),SUBSTITUTE(SUBSTITUTE(SUBSTITUTE(SUBSTITUTE(TRIM(E298),"*",""),".",""),"-","")," ","")))</f>
        <v/>
      </c>
      <c r="H298" s="31" t="str">
        <f aca="false">IF(OR(F298="",G298=""),"",F298&amp;"|"&amp;G298)</f>
        <v/>
      </c>
      <c r="I298" s="23"/>
      <c r="J298" s="22"/>
      <c r="K298" s="22"/>
      <c r="L298" s="25" t="str">
        <f aca="false">IF(F298="","",IF(AND(H298&lt;&gt;"",COUNTIF(Pessoas!$E:$E,H298)&gt;0),"SIM",IF(COUNTIF(Pessoas!$C:$C,F298)&gt;0,"nome igual em Pessoas: confira o CPF","")))</f>
        <v/>
      </c>
      <c r="M298" s="24"/>
      <c r="N298" s="11"/>
    </row>
    <row r="299" customFormat="false" ht="15" hidden="false" customHeight="false" outlineLevel="0" collapsed="false">
      <c r="A299" s="24"/>
      <c r="B299" s="31" t="str">
        <f aca="false">IF(A299="","",IF(LEN(UPPER(SUBSTITUTE(SUBSTITUTE(SUBSTITUTE(SUBSTITUTE(TRIM(A299),".",""),"/",""),"-","")," ","")))&lt;14,RIGHT(REPT("0",14)&amp;UPPER(SUBSTITUTE(SUBSTITUTE(SUBSTITUTE(SUBSTITUTE(TRIM(A299),".",""),"/",""),"-","")," ","")),14),UPPER(SUBSTITUTE(SUBSTITUTE(SUBSTITUTE(SUBSTITUTE(TRIM(A299),".",""),"/",""),"-","")," ",""))))</f>
        <v/>
      </c>
      <c r="C299" s="25" t="str">
        <f aca="false">IF(B299="","",IFERROR(INDEX(Empresas!$C:$C,MATCH(B299,Empresas!$B:$B,0)),"cadastre o CNPJ em Empresas"))</f>
        <v/>
      </c>
      <c r="D299" s="23"/>
      <c r="E299" s="24"/>
      <c r="F299" s="31" t="str">
        <f aca="false">IF(D299="","",SUBSTITUTE(SUBSTITUTE(SUBSTITUTE(SUBSTITUTE(SUBSTITUTE(SUBSTITUTE(SUBSTITUTE(SUBSTITUTE(SUBSTITUTE(SUBSTITUTE(SUBSTITUTE(SUBSTITUTE(SUBSTITUTE(UPPER(TRIM(D299)),"Á","A"),"À","A"),"Â","A"),"Ã","A"),"É","E"),"Ê","E"),"Í","I"),"Ó","O"),"Ô","O"),"Õ","O"),"Ú","U"),"Ü","U"),"Ç","C"))</f>
        <v/>
      </c>
      <c r="G299" s="31" t="str">
        <f aca="false">IF(E299="","",IF(LEN(SUBSTITUTE(SUBSTITUTE(SUBSTITUTE(SUBSTITUTE(TRIM(E299),"*",""),".",""),"-","")," ",""))=11,MID(SUBSTITUTE(SUBSTITUTE(SUBSTITUTE(SUBSTITUTE(TRIM(E299),"*",""),".",""),"-","")," ",""),4,6),SUBSTITUTE(SUBSTITUTE(SUBSTITUTE(SUBSTITUTE(TRIM(E299),"*",""),".",""),"-","")," ","")))</f>
        <v/>
      </c>
      <c r="H299" s="31" t="str">
        <f aca="false">IF(OR(F299="",G299=""),"",F299&amp;"|"&amp;G299)</f>
        <v/>
      </c>
      <c r="I299" s="23"/>
      <c r="J299" s="22"/>
      <c r="K299" s="22"/>
      <c r="L299" s="25" t="str">
        <f aca="false">IF(F299="","",IF(AND(H299&lt;&gt;"",COUNTIF(Pessoas!$E:$E,H299)&gt;0),"SIM",IF(COUNTIF(Pessoas!$C:$C,F299)&gt;0,"nome igual em Pessoas: confira o CPF","")))</f>
        <v/>
      </c>
      <c r="M299" s="24"/>
      <c r="N299" s="11"/>
    </row>
    <row r="300" customFormat="false" ht="15" hidden="false" customHeight="false" outlineLevel="0" collapsed="false">
      <c r="A300" s="24"/>
      <c r="B300" s="31" t="str">
        <f aca="false">IF(A300="","",IF(LEN(UPPER(SUBSTITUTE(SUBSTITUTE(SUBSTITUTE(SUBSTITUTE(TRIM(A300),".",""),"/",""),"-","")," ","")))&lt;14,RIGHT(REPT("0",14)&amp;UPPER(SUBSTITUTE(SUBSTITUTE(SUBSTITUTE(SUBSTITUTE(TRIM(A300),".",""),"/",""),"-","")," ","")),14),UPPER(SUBSTITUTE(SUBSTITUTE(SUBSTITUTE(SUBSTITUTE(TRIM(A300),".",""),"/",""),"-","")," ",""))))</f>
        <v/>
      </c>
      <c r="C300" s="25" t="str">
        <f aca="false">IF(B300="","",IFERROR(INDEX(Empresas!$C:$C,MATCH(B300,Empresas!$B:$B,0)),"cadastre o CNPJ em Empresas"))</f>
        <v/>
      </c>
      <c r="D300" s="23"/>
      <c r="E300" s="24"/>
      <c r="F300" s="31" t="str">
        <f aca="false">IF(D300="","",SUBSTITUTE(SUBSTITUTE(SUBSTITUTE(SUBSTITUTE(SUBSTITUTE(SUBSTITUTE(SUBSTITUTE(SUBSTITUTE(SUBSTITUTE(SUBSTITUTE(SUBSTITUTE(SUBSTITUTE(SUBSTITUTE(UPPER(TRIM(D300)),"Á","A"),"À","A"),"Â","A"),"Ã","A"),"É","E"),"Ê","E"),"Í","I"),"Ó","O"),"Ô","O"),"Õ","O"),"Ú","U"),"Ü","U"),"Ç","C"))</f>
        <v/>
      </c>
      <c r="G300" s="31" t="str">
        <f aca="false">IF(E300="","",IF(LEN(SUBSTITUTE(SUBSTITUTE(SUBSTITUTE(SUBSTITUTE(TRIM(E300),"*",""),".",""),"-","")," ",""))=11,MID(SUBSTITUTE(SUBSTITUTE(SUBSTITUTE(SUBSTITUTE(TRIM(E300),"*",""),".",""),"-","")," ",""),4,6),SUBSTITUTE(SUBSTITUTE(SUBSTITUTE(SUBSTITUTE(TRIM(E300),"*",""),".",""),"-","")," ","")))</f>
        <v/>
      </c>
      <c r="H300" s="31" t="str">
        <f aca="false">IF(OR(F300="",G300=""),"",F300&amp;"|"&amp;G300)</f>
        <v/>
      </c>
      <c r="I300" s="23"/>
      <c r="J300" s="22"/>
      <c r="K300" s="22"/>
      <c r="L300" s="25" t="str">
        <f aca="false">IF(F300="","",IF(AND(H300&lt;&gt;"",COUNTIF(Pessoas!$E:$E,H300)&gt;0),"SIM",IF(COUNTIF(Pessoas!$C:$C,F300)&gt;0,"nome igual em Pessoas: confira o CPF","")))</f>
        <v/>
      </c>
      <c r="M300" s="24"/>
      <c r="N300" s="11"/>
    </row>
    <row r="301" customFormat="false" ht="15" hidden="false" customHeight="false" outlineLevel="0" collapsed="false">
      <c r="A301" s="24"/>
      <c r="B301" s="31" t="str">
        <f aca="false">IF(A301="","",IF(LEN(UPPER(SUBSTITUTE(SUBSTITUTE(SUBSTITUTE(SUBSTITUTE(TRIM(A301),".",""),"/",""),"-","")," ","")))&lt;14,RIGHT(REPT("0",14)&amp;UPPER(SUBSTITUTE(SUBSTITUTE(SUBSTITUTE(SUBSTITUTE(TRIM(A301),".",""),"/",""),"-","")," ","")),14),UPPER(SUBSTITUTE(SUBSTITUTE(SUBSTITUTE(SUBSTITUTE(TRIM(A301),".",""),"/",""),"-","")," ",""))))</f>
        <v/>
      </c>
      <c r="C301" s="25" t="str">
        <f aca="false">IF(B301="","",IFERROR(INDEX(Empresas!$C:$C,MATCH(B301,Empresas!$B:$B,0)),"cadastre o CNPJ em Empresas"))</f>
        <v/>
      </c>
      <c r="D301" s="23"/>
      <c r="E301" s="24"/>
      <c r="F301" s="31" t="str">
        <f aca="false">IF(D301="","",SUBSTITUTE(SUBSTITUTE(SUBSTITUTE(SUBSTITUTE(SUBSTITUTE(SUBSTITUTE(SUBSTITUTE(SUBSTITUTE(SUBSTITUTE(SUBSTITUTE(SUBSTITUTE(SUBSTITUTE(SUBSTITUTE(UPPER(TRIM(D301)),"Á","A"),"À","A"),"Â","A"),"Ã","A"),"É","E"),"Ê","E"),"Í","I"),"Ó","O"),"Ô","O"),"Õ","O"),"Ú","U"),"Ü","U"),"Ç","C"))</f>
        <v/>
      </c>
      <c r="G301" s="31" t="str">
        <f aca="false">IF(E301="","",IF(LEN(SUBSTITUTE(SUBSTITUTE(SUBSTITUTE(SUBSTITUTE(TRIM(E301),"*",""),".",""),"-","")," ",""))=11,MID(SUBSTITUTE(SUBSTITUTE(SUBSTITUTE(SUBSTITUTE(TRIM(E301),"*",""),".",""),"-","")," ",""),4,6),SUBSTITUTE(SUBSTITUTE(SUBSTITUTE(SUBSTITUTE(TRIM(E301),"*",""),".",""),"-","")," ","")))</f>
        <v/>
      </c>
      <c r="H301" s="31" t="str">
        <f aca="false">IF(OR(F301="",G301=""),"",F301&amp;"|"&amp;G301)</f>
        <v/>
      </c>
      <c r="I301" s="23"/>
      <c r="J301" s="22"/>
      <c r="K301" s="22"/>
      <c r="L301" s="25" t="str">
        <f aca="false">IF(F301="","",IF(AND(H301&lt;&gt;"",COUNTIF(Pessoas!$E:$E,H301)&gt;0),"SIM",IF(COUNTIF(Pessoas!$C:$C,F301)&gt;0,"nome igual em Pessoas: confira o CPF","")))</f>
        <v/>
      </c>
      <c r="M301" s="24"/>
      <c r="N301" s="11"/>
    </row>
    <row r="302" customFormat="false" ht="15" hidden="false" customHeight="false" outlineLevel="0" collapsed="false">
      <c r="A302" s="24"/>
      <c r="B302" s="31" t="str">
        <f aca="false">IF(A302="","",IF(LEN(UPPER(SUBSTITUTE(SUBSTITUTE(SUBSTITUTE(SUBSTITUTE(TRIM(A302),".",""),"/",""),"-","")," ","")))&lt;14,RIGHT(REPT("0",14)&amp;UPPER(SUBSTITUTE(SUBSTITUTE(SUBSTITUTE(SUBSTITUTE(TRIM(A302),".",""),"/",""),"-","")," ","")),14),UPPER(SUBSTITUTE(SUBSTITUTE(SUBSTITUTE(SUBSTITUTE(TRIM(A302),".",""),"/",""),"-","")," ",""))))</f>
        <v/>
      </c>
      <c r="C302" s="25" t="str">
        <f aca="false">IF(B302="","",IFERROR(INDEX(Empresas!$C:$C,MATCH(B302,Empresas!$B:$B,0)),"cadastre o CNPJ em Empresas"))</f>
        <v/>
      </c>
      <c r="D302" s="23"/>
      <c r="E302" s="24"/>
      <c r="F302" s="31" t="str">
        <f aca="false">IF(D302="","",SUBSTITUTE(SUBSTITUTE(SUBSTITUTE(SUBSTITUTE(SUBSTITUTE(SUBSTITUTE(SUBSTITUTE(SUBSTITUTE(SUBSTITUTE(SUBSTITUTE(SUBSTITUTE(SUBSTITUTE(SUBSTITUTE(UPPER(TRIM(D302)),"Á","A"),"À","A"),"Â","A"),"Ã","A"),"É","E"),"Ê","E"),"Í","I"),"Ó","O"),"Ô","O"),"Õ","O"),"Ú","U"),"Ü","U"),"Ç","C"))</f>
        <v/>
      </c>
      <c r="G302" s="31" t="str">
        <f aca="false">IF(E302="","",IF(LEN(SUBSTITUTE(SUBSTITUTE(SUBSTITUTE(SUBSTITUTE(TRIM(E302),"*",""),".",""),"-","")," ",""))=11,MID(SUBSTITUTE(SUBSTITUTE(SUBSTITUTE(SUBSTITUTE(TRIM(E302),"*",""),".",""),"-","")," ",""),4,6),SUBSTITUTE(SUBSTITUTE(SUBSTITUTE(SUBSTITUTE(TRIM(E302),"*",""),".",""),"-","")," ","")))</f>
        <v/>
      </c>
      <c r="H302" s="31" t="str">
        <f aca="false">IF(OR(F302="",G302=""),"",F302&amp;"|"&amp;G302)</f>
        <v/>
      </c>
      <c r="I302" s="23"/>
      <c r="J302" s="22"/>
      <c r="K302" s="22"/>
      <c r="L302" s="25" t="str">
        <f aca="false">IF(F302="","",IF(AND(H302&lt;&gt;"",COUNTIF(Pessoas!$E:$E,H302)&gt;0),"SIM",IF(COUNTIF(Pessoas!$C:$C,F302)&gt;0,"nome igual em Pessoas: confira o CPF","")))</f>
        <v/>
      </c>
      <c r="M302" s="24"/>
      <c r="N302" s="11"/>
    </row>
    <row r="303" customFormat="false" ht="15" hidden="false" customHeight="false" outlineLevel="0" collapsed="false">
      <c r="A303" s="24"/>
      <c r="B303" s="31" t="str">
        <f aca="false">IF(A303="","",IF(LEN(UPPER(SUBSTITUTE(SUBSTITUTE(SUBSTITUTE(SUBSTITUTE(TRIM(A303),".",""),"/",""),"-","")," ","")))&lt;14,RIGHT(REPT("0",14)&amp;UPPER(SUBSTITUTE(SUBSTITUTE(SUBSTITUTE(SUBSTITUTE(TRIM(A303),".",""),"/",""),"-","")," ","")),14),UPPER(SUBSTITUTE(SUBSTITUTE(SUBSTITUTE(SUBSTITUTE(TRIM(A303),".",""),"/",""),"-","")," ",""))))</f>
        <v/>
      </c>
      <c r="C303" s="25" t="str">
        <f aca="false">IF(B303="","",IFERROR(INDEX(Empresas!$C:$C,MATCH(B303,Empresas!$B:$B,0)),"cadastre o CNPJ em Empresas"))</f>
        <v/>
      </c>
      <c r="D303" s="23"/>
      <c r="E303" s="24"/>
      <c r="F303" s="31" t="str">
        <f aca="false">IF(D303="","",SUBSTITUTE(SUBSTITUTE(SUBSTITUTE(SUBSTITUTE(SUBSTITUTE(SUBSTITUTE(SUBSTITUTE(SUBSTITUTE(SUBSTITUTE(SUBSTITUTE(SUBSTITUTE(SUBSTITUTE(SUBSTITUTE(UPPER(TRIM(D303)),"Á","A"),"À","A"),"Â","A"),"Ã","A"),"É","E"),"Ê","E"),"Í","I"),"Ó","O"),"Ô","O"),"Õ","O"),"Ú","U"),"Ü","U"),"Ç","C"))</f>
        <v/>
      </c>
      <c r="G303" s="31" t="str">
        <f aca="false">IF(E303="","",IF(LEN(SUBSTITUTE(SUBSTITUTE(SUBSTITUTE(SUBSTITUTE(TRIM(E303),"*",""),".",""),"-","")," ",""))=11,MID(SUBSTITUTE(SUBSTITUTE(SUBSTITUTE(SUBSTITUTE(TRIM(E303),"*",""),".",""),"-","")," ",""),4,6),SUBSTITUTE(SUBSTITUTE(SUBSTITUTE(SUBSTITUTE(TRIM(E303),"*",""),".",""),"-","")," ","")))</f>
        <v/>
      </c>
      <c r="H303" s="31" t="str">
        <f aca="false">IF(OR(F303="",G303=""),"",F303&amp;"|"&amp;G303)</f>
        <v/>
      </c>
      <c r="I303" s="23"/>
      <c r="J303" s="22"/>
      <c r="K303" s="22"/>
      <c r="L303" s="25" t="str">
        <f aca="false">IF(F303="","",IF(AND(H303&lt;&gt;"",COUNTIF(Pessoas!$E:$E,H303)&gt;0),"SIM",IF(COUNTIF(Pessoas!$C:$C,F303)&gt;0,"nome igual em Pessoas: confira o CPF","")))</f>
        <v/>
      </c>
      <c r="M303" s="24"/>
      <c r="N303" s="11"/>
    </row>
    <row r="304" customFormat="false" ht="15" hidden="false" customHeight="false" outlineLevel="0" collapsed="false">
      <c r="A304" s="24"/>
      <c r="B304" s="31" t="str">
        <f aca="false">IF(A304="","",IF(LEN(UPPER(SUBSTITUTE(SUBSTITUTE(SUBSTITUTE(SUBSTITUTE(TRIM(A304),".",""),"/",""),"-","")," ","")))&lt;14,RIGHT(REPT("0",14)&amp;UPPER(SUBSTITUTE(SUBSTITUTE(SUBSTITUTE(SUBSTITUTE(TRIM(A304),".",""),"/",""),"-","")," ","")),14),UPPER(SUBSTITUTE(SUBSTITUTE(SUBSTITUTE(SUBSTITUTE(TRIM(A304),".",""),"/",""),"-","")," ",""))))</f>
        <v/>
      </c>
      <c r="C304" s="25" t="str">
        <f aca="false">IF(B304="","",IFERROR(INDEX(Empresas!$C:$C,MATCH(B304,Empresas!$B:$B,0)),"cadastre o CNPJ em Empresas"))</f>
        <v/>
      </c>
      <c r="D304" s="23"/>
      <c r="E304" s="24"/>
      <c r="F304" s="31" t="str">
        <f aca="false">IF(D304="","",SUBSTITUTE(SUBSTITUTE(SUBSTITUTE(SUBSTITUTE(SUBSTITUTE(SUBSTITUTE(SUBSTITUTE(SUBSTITUTE(SUBSTITUTE(SUBSTITUTE(SUBSTITUTE(SUBSTITUTE(SUBSTITUTE(UPPER(TRIM(D304)),"Á","A"),"À","A"),"Â","A"),"Ã","A"),"É","E"),"Ê","E"),"Í","I"),"Ó","O"),"Ô","O"),"Õ","O"),"Ú","U"),"Ü","U"),"Ç","C"))</f>
        <v/>
      </c>
      <c r="G304" s="31" t="str">
        <f aca="false">IF(E304="","",IF(LEN(SUBSTITUTE(SUBSTITUTE(SUBSTITUTE(SUBSTITUTE(TRIM(E304),"*",""),".",""),"-","")," ",""))=11,MID(SUBSTITUTE(SUBSTITUTE(SUBSTITUTE(SUBSTITUTE(TRIM(E304),"*",""),".",""),"-","")," ",""),4,6),SUBSTITUTE(SUBSTITUTE(SUBSTITUTE(SUBSTITUTE(TRIM(E304),"*",""),".",""),"-","")," ","")))</f>
        <v/>
      </c>
      <c r="H304" s="31" t="str">
        <f aca="false">IF(OR(F304="",G304=""),"",F304&amp;"|"&amp;G304)</f>
        <v/>
      </c>
      <c r="I304" s="23"/>
      <c r="J304" s="22"/>
      <c r="K304" s="22"/>
      <c r="L304" s="25" t="str">
        <f aca="false">IF(F304="","",IF(AND(H304&lt;&gt;"",COUNTIF(Pessoas!$E:$E,H304)&gt;0),"SIM",IF(COUNTIF(Pessoas!$C:$C,F304)&gt;0,"nome igual em Pessoas: confira o CPF","")))</f>
        <v/>
      </c>
      <c r="M304" s="24"/>
      <c r="N304" s="11"/>
    </row>
    <row r="305" customFormat="false" ht="15" hidden="false" customHeight="false" outlineLevel="0" collapsed="false">
      <c r="A305" s="24"/>
      <c r="B305" s="31" t="str">
        <f aca="false">IF(A305="","",IF(LEN(UPPER(SUBSTITUTE(SUBSTITUTE(SUBSTITUTE(SUBSTITUTE(TRIM(A305),".",""),"/",""),"-","")," ","")))&lt;14,RIGHT(REPT("0",14)&amp;UPPER(SUBSTITUTE(SUBSTITUTE(SUBSTITUTE(SUBSTITUTE(TRIM(A305),".",""),"/",""),"-","")," ","")),14),UPPER(SUBSTITUTE(SUBSTITUTE(SUBSTITUTE(SUBSTITUTE(TRIM(A305),".",""),"/",""),"-","")," ",""))))</f>
        <v/>
      </c>
      <c r="C305" s="25" t="str">
        <f aca="false">IF(B305="","",IFERROR(INDEX(Empresas!$C:$C,MATCH(B305,Empresas!$B:$B,0)),"cadastre o CNPJ em Empresas"))</f>
        <v/>
      </c>
      <c r="D305" s="23"/>
      <c r="E305" s="24"/>
      <c r="F305" s="31" t="str">
        <f aca="false">IF(D305="","",SUBSTITUTE(SUBSTITUTE(SUBSTITUTE(SUBSTITUTE(SUBSTITUTE(SUBSTITUTE(SUBSTITUTE(SUBSTITUTE(SUBSTITUTE(SUBSTITUTE(SUBSTITUTE(SUBSTITUTE(SUBSTITUTE(UPPER(TRIM(D305)),"Á","A"),"À","A"),"Â","A"),"Ã","A"),"É","E"),"Ê","E"),"Í","I"),"Ó","O"),"Ô","O"),"Õ","O"),"Ú","U"),"Ü","U"),"Ç","C"))</f>
        <v/>
      </c>
      <c r="G305" s="31" t="str">
        <f aca="false">IF(E305="","",IF(LEN(SUBSTITUTE(SUBSTITUTE(SUBSTITUTE(SUBSTITUTE(TRIM(E305),"*",""),".",""),"-","")," ",""))=11,MID(SUBSTITUTE(SUBSTITUTE(SUBSTITUTE(SUBSTITUTE(TRIM(E305),"*",""),".",""),"-","")," ",""),4,6),SUBSTITUTE(SUBSTITUTE(SUBSTITUTE(SUBSTITUTE(TRIM(E305),"*",""),".",""),"-","")," ","")))</f>
        <v/>
      </c>
      <c r="H305" s="31" t="str">
        <f aca="false">IF(OR(F305="",G305=""),"",F305&amp;"|"&amp;G305)</f>
        <v/>
      </c>
      <c r="I305" s="23"/>
      <c r="J305" s="22"/>
      <c r="K305" s="22"/>
      <c r="L305" s="25" t="str">
        <f aca="false">IF(F305="","",IF(AND(H305&lt;&gt;"",COUNTIF(Pessoas!$E:$E,H305)&gt;0),"SIM",IF(COUNTIF(Pessoas!$C:$C,F305)&gt;0,"nome igual em Pessoas: confira o CPF","")))</f>
        <v/>
      </c>
      <c r="M305" s="24"/>
      <c r="N305" s="11"/>
    </row>
    <row r="306" customFormat="false" ht="15" hidden="false" customHeight="false" outlineLevel="0" collapsed="false">
      <c r="A306" s="24"/>
      <c r="B306" s="31" t="str">
        <f aca="false">IF(A306="","",IF(LEN(UPPER(SUBSTITUTE(SUBSTITUTE(SUBSTITUTE(SUBSTITUTE(TRIM(A306),".",""),"/",""),"-","")," ","")))&lt;14,RIGHT(REPT("0",14)&amp;UPPER(SUBSTITUTE(SUBSTITUTE(SUBSTITUTE(SUBSTITUTE(TRIM(A306),".",""),"/",""),"-","")," ","")),14),UPPER(SUBSTITUTE(SUBSTITUTE(SUBSTITUTE(SUBSTITUTE(TRIM(A306),".",""),"/",""),"-","")," ",""))))</f>
        <v/>
      </c>
      <c r="C306" s="25" t="str">
        <f aca="false">IF(B306="","",IFERROR(INDEX(Empresas!$C:$C,MATCH(B306,Empresas!$B:$B,0)),"cadastre o CNPJ em Empresas"))</f>
        <v/>
      </c>
      <c r="D306" s="23"/>
      <c r="E306" s="24"/>
      <c r="F306" s="31" t="str">
        <f aca="false">IF(D306="","",SUBSTITUTE(SUBSTITUTE(SUBSTITUTE(SUBSTITUTE(SUBSTITUTE(SUBSTITUTE(SUBSTITUTE(SUBSTITUTE(SUBSTITUTE(SUBSTITUTE(SUBSTITUTE(SUBSTITUTE(SUBSTITUTE(UPPER(TRIM(D306)),"Á","A"),"À","A"),"Â","A"),"Ã","A"),"É","E"),"Ê","E"),"Í","I"),"Ó","O"),"Ô","O"),"Õ","O"),"Ú","U"),"Ü","U"),"Ç","C"))</f>
        <v/>
      </c>
      <c r="G306" s="31" t="str">
        <f aca="false">IF(E306="","",IF(LEN(SUBSTITUTE(SUBSTITUTE(SUBSTITUTE(SUBSTITUTE(TRIM(E306),"*",""),".",""),"-","")," ",""))=11,MID(SUBSTITUTE(SUBSTITUTE(SUBSTITUTE(SUBSTITUTE(TRIM(E306),"*",""),".",""),"-","")," ",""),4,6),SUBSTITUTE(SUBSTITUTE(SUBSTITUTE(SUBSTITUTE(TRIM(E306),"*",""),".",""),"-","")," ","")))</f>
        <v/>
      </c>
      <c r="H306" s="31" t="str">
        <f aca="false">IF(OR(F306="",G306=""),"",F306&amp;"|"&amp;G306)</f>
        <v/>
      </c>
      <c r="I306" s="23"/>
      <c r="J306" s="22"/>
      <c r="K306" s="22"/>
      <c r="L306" s="25" t="str">
        <f aca="false">IF(F306="","",IF(AND(H306&lt;&gt;"",COUNTIF(Pessoas!$E:$E,H306)&gt;0),"SIM",IF(COUNTIF(Pessoas!$C:$C,F306)&gt;0,"nome igual em Pessoas: confira o CPF","")))</f>
        <v/>
      </c>
      <c r="M306" s="24"/>
      <c r="N306" s="11"/>
    </row>
    <row r="307" customFormat="false" ht="15" hidden="false" customHeight="false" outlineLevel="0" collapsed="false">
      <c r="A307" s="24"/>
      <c r="B307" s="31" t="str">
        <f aca="false">IF(A307="","",IF(LEN(UPPER(SUBSTITUTE(SUBSTITUTE(SUBSTITUTE(SUBSTITUTE(TRIM(A307),".",""),"/",""),"-","")," ","")))&lt;14,RIGHT(REPT("0",14)&amp;UPPER(SUBSTITUTE(SUBSTITUTE(SUBSTITUTE(SUBSTITUTE(TRIM(A307),".",""),"/",""),"-","")," ","")),14),UPPER(SUBSTITUTE(SUBSTITUTE(SUBSTITUTE(SUBSTITUTE(TRIM(A307),".",""),"/",""),"-","")," ",""))))</f>
        <v/>
      </c>
      <c r="C307" s="25" t="str">
        <f aca="false">IF(B307="","",IFERROR(INDEX(Empresas!$C:$C,MATCH(B307,Empresas!$B:$B,0)),"cadastre o CNPJ em Empresas"))</f>
        <v/>
      </c>
      <c r="D307" s="23"/>
      <c r="E307" s="24"/>
      <c r="F307" s="31" t="str">
        <f aca="false">IF(D307="","",SUBSTITUTE(SUBSTITUTE(SUBSTITUTE(SUBSTITUTE(SUBSTITUTE(SUBSTITUTE(SUBSTITUTE(SUBSTITUTE(SUBSTITUTE(SUBSTITUTE(SUBSTITUTE(SUBSTITUTE(SUBSTITUTE(UPPER(TRIM(D307)),"Á","A"),"À","A"),"Â","A"),"Ã","A"),"É","E"),"Ê","E"),"Í","I"),"Ó","O"),"Ô","O"),"Õ","O"),"Ú","U"),"Ü","U"),"Ç","C"))</f>
        <v/>
      </c>
      <c r="G307" s="31" t="str">
        <f aca="false">IF(E307="","",IF(LEN(SUBSTITUTE(SUBSTITUTE(SUBSTITUTE(SUBSTITUTE(TRIM(E307),"*",""),".",""),"-","")," ",""))=11,MID(SUBSTITUTE(SUBSTITUTE(SUBSTITUTE(SUBSTITUTE(TRIM(E307),"*",""),".",""),"-","")," ",""),4,6),SUBSTITUTE(SUBSTITUTE(SUBSTITUTE(SUBSTITUTE(TRIM(E307),"*",""),".",""),"-","")," ","")))</f>
        <v/>
      </c>
      <c r="H307" s="31" t="str">
        <f aca="false">IF(OR(F307="",G307=""),"",F307&amp;"|"&amp;G307)</f>
        <v/>
      </c>
      <c r="I307" s="23"/>
      <c r="J307" s="22"/>
      <c r="K307" s="22"/>
      <c r="L307" s="25" t="str">
        <f aca="false">IF(F307="","",IF(AND(H307&lt;&gt;"",COUNTIF(Pessoas!$E:$E,H307)&gt;0),"SIM",IF(COUNTIF(Pessoas!$C:$C,F307)&gt;0,"nome igual em Pessoas: confira o CPF","")))</f>
        <v/>
      </c>
      <c r="M307" s="24"/>
      <c r="N307" s="11"/>
    </row>
    <row r="308" customFormat="false" ht="15" hidden="false" customHeight="false" outlineLevel="0" collapsed="false">
      <c r="A308" s="24"/>
      <c r="B308" s="31" t="str">
        <f aca="false">IF(A308="","",IF(LEN(UPPER(SUBSTITUTE(SUBSTITUTE(SUBSTITUTE(SUBSTITUTE(TRIM(A308),".",""),"/",""),"-","")," ","")))&lt;14,RIGHT(REPT("0",14)&amp;UPPER(SUBSTITUTE(SUBSTITUTE(SUBSTITUTE(SUBSTITUTE(TRIM(A308),".",""),"/",""),"-","")," ","")),14),UPPER(SUBSTITUTE(SUBSTITUTE(SUBSTITUTE(SUBSTITUTE(TRIM(A308),".",""),"/",""),"-","")," ",""))))</f>
        <v/>
      </c>
      <c r="C308" s="25" t="str">
        <f aca="false">IF(B308="","",IFERROR(INDEX(Empresas!$C:$C,MATCH(B308,Empresas!$B:$B,0)),"cadastre o CNPJ em Empresas"))</f>
        <v/>
      </c>
      <c r="D308" s="23"/>
      <c r="E308" s="24"/>
      <c r="F308" s="31" t="str">
        <f aca="false">IF(D308="","",SUBSTITUTE(SUBSTITUTE(SUBSTITUTE(SUBSTITUTE(SUBSTITUTE(SUBSTITUTE(SUBSTITUTE(SUBSTITUTE(SUBSTITUTE(SUBSTITUTE(SUBSTITUTE(SUBSTITUTE(SUBSTITUTE(UPPER(TRIM(D308)),"Á","A"),"À","A"),"Â","A"),"Ã","A"),"É","E"),"Ê","E"),"Í","I"),"Ó","O"),"Ô","O"),"Õ","O"),"Ú","U"),"Ü","U"),"Ç","C"))</f>
        <v/>
      </c>
      <c r="G308" s="31" t="str">
        <f aca="false">IF(E308="","",IF(LEN(SUBSTITUTE(SUBSTITUTE(SUBSTITUTE(SUBSTITUTE(TRIM(E308),"*",""),".",""),"-","")," ",""))=11,MID(SUBSTITUTE(SUBSTITUTE(SUBSTITUTE(SUBSTITUTE(TRIM(E308),"*",""),".",""),"-","")," ",""),4,6),SUBSTITUTE(SUBSTITUTE(SUBSTITUTE(SUBSTITUTE(TRIM(E308),"*",""),".",""),"-","")," ","")))</f>
        <v/>
      </c>
      <c r="H308" s="31" t="str">
        <f aca="false">IF(OR(F308="",G308=""),"",F308&amp;"|"&amp;G308)</f>
        <v/>
      </c>
      <c r="I308" s="23"/>
      <c r="J308" s="22"/>
      <c r="K308" s="22"/>
      <c r="L308" s="25" t="str">
        <f aca="false">IF(F308="","",IF(AND(H308&lt;&gt;"",COUNTIF(Pessoas!$E:$E,H308)&gt;0),"SIM",IF(COUNTIF(Pessoas!$C:$C,F308)&gt;0,"nome igual em Pessoas: confira o CPF","")))</f>
        <v/>
      </c>
      <c r="M308" s="24"/>
      <c r="N308" s="11"/>
    </row>
    <row r="309" customFormat="false" ht="15" hidden="false" customHeight="false" outlineLevel="0" collapsed="false">
      <c r="A309" s="24"/>
      <c r="B309" s="31" t="str">
        <f aca="false">IF(A309="","",IF(LEN(UPPER(SUBSTITUTE(SUBSTITUTE(SUBSTITUTE(SUBSTITUTE(TRIM(A309),".",""),"/",""),"-","")," ","")))&lt;14,RIGHT(REPT("0",14)&amp;UPPER(SUBSTITUTE(SUBSTITUTE(SUBSTITUTE(SUBSTITUTE(TRIM(A309),".",""),"/",""),"-","")," ","")),14),UPPER(SUBSTITUTE(SUBSTITUTE(SUBSTITUTE(SUBSTITUTE(TRIM(A309),".",""),"/",""),"-","")," ",""))))</f>
        <v/>
      </c>
      <c r="C309" s="25" t="str">
        <f aca="false">IF(B309="","",IFERROR(INDEX(Empresas!$C:$C,MATCH(B309,Empresas!$B:$B,0)),"cadastre o CNPJ em Empresas"))</f>
        <v/>
      </c>
      <c r="D309" s="23"/>
      <c r="E309" s="24"/>
      <c r="F309" s="31" t="str">
        <f aca="false">IF(D309="","",SUBSTITUTE(SUBSTITUTE(SUBSTITUTE(SUBSTITUTE(SUBSTITUTE(SUBSTITUTE(SUBSTITUTE(SUBSTITUTE(SUBSTITUTE(SUBSTITUTE(SUBSTITUTE(SUBSTITUTE(SUBSTITUTE(UPPER(TRIM(D309)),"Á","A"),"À","A"),"Â","A"),"Ã","A"),"É","E"),"Ê","E"),"Í","I"),"Ó","O"),"Ô","O"),"Õ","O"),"Ú","U"),"Ü","U"),"Ç","C"))</f>
        <v/>
      </c>
      <c r="G309" s="31" t="str">
        <f aca="false">IF(E309="","",IF(LEN(SUBSTITUTE(SUBSTITUTE(SUBSTITUTE(SUBSTITUTE(TRIM(E309),"*",""),".",""),"-","")," ",""))=11,MID(SUBSTITUTE(SUBSTITUTE(SUBSTITUTE(SUBSTITUTE(TRIM(E309),"*",""),".",""),"-","")," ",""),4,6),SUBSTITUTE(SUBSTITUTE(SUBSTITUTE(SUBSTITUTE(TRIM(E309),"*",""),".",""),"-","")," ","")))</f>
        <v/>
      </c>
      <c r="H309" s="31" t="str">
        <f aca="false">IF(OR(F309="",G309=""),"",F309&amp;"|"&amp;G309)</f>
        <v/>
      </c>
      <c r="I309" s="23"/>
      <c r="J309" s="22"/>
      <c r="K309" s="22"/>
      <c r="L309" s="25" t="str">
        <f aca="false">IF(F309="","",IF(AND(H309&lt;&gt;"",COUNTIF(Pessoas!$E:$E,H309)&gt;0),"SIM",IF(COUNTIF(Pessoas!$C:$C,F309)&gt;0,"nome igual em Pessoas: confira o CPF","")))</f>
        <v/>
      </c>
      <c r="M309" s="24"/>
      <c r="N309" s="11"/>
    </row>
    <row r="310" customFormat="false" ht="15" hidden="false" customHeight="false" outlineLevel="0" collapsed="false">
      <c r="A310" s="24"/>
      <c r="B310" s="31" t="str">
        <f aca="false">IF(A310="","",IF(LEN(UPPER(SUBSTITUTE(SUBSTITUTE(SUBSTITUTE(SUBSTITUTE(TRIM(A310),".",""),"/",""),"-","")," ","")))&lt;14,RIGHT(REPT("0",14)&amp;UPPER(SUBSTITUTE(SUBSTITUTE(SUBSTITUTE(SUBSTITUTE(TRIM(A310),".",""),"/",""),"-","")," ","")),14),UPPER(SUBSTITUTE(SUBSTITUTE(SUBSTITUTE(SUBSTITUTE(TRIM(A310),".",""),"/",""),"-","")," ",""))))</f>
        <v/>
      </c>
      <c r="C310" s="25" t="str">
        <f aca="false">IF(B310="","",IFERROR(INDEX(Empresas!$C:$C,MATCH(B310,Empresas!$B:$B,0)),"cadastre o CNPJ em Empresas"))</f>
        <v/>
      </c>
      <c r="D310" s="23"/>
      <c r="E310" s="24"/>
      <c r="F310" s="31" t="str">
        <f aca="false">IF(D310="","",SUBSTITUTE(SUBSTITUTE(SUBSTITUTE(SUBSTITUTE(SUBSTITUTE(SUBSTITUTE(SUBSTITUTE(SUBSTITUTE(SUBSTITUTE(SUBSTITUTE(SUBSTITUTE(SUBSTITUTE(SUBSTITUTE(UPPER(TRIM(D310)),"Á","A"),"À","A"),"Â","A"),"Ã","A"),"É","E"),"Ê","E"),"Í","I"),"Ó","O"),"Ô","O"),"Õ","O"),"Ú","U"),"Ü","U"),"Ç","C"))</f>
        <v/>
      </c>
      <c r="G310" s="31" t="str">
        <f aca="false">IF(E310="","",IF(LEN(SUBSTITUTE(SUBSTITUTE(SUBSTITUTE(SUBSTITUTE(TRIM(E310),"*",""),".",""),"-","")," ",""))=11,MID(SUBSTITUTE(SUBSTITUTE(SUBSTITUTE(SUBSTITUTE(TRIM(E310),"*",""),".",""),"-","")," ",""),4,6),SUBSTITUTE(SUBSTITUTE(SUBSTITUTE(SUBSTITUTE(TRIM(E310),"*",""),".",""),"-","")," ","")))</f>
        <v/>
      </c>
      <c r="H310" s="31" t="str">
        <f aca="false">IF(OR(F310="",G310=""),"",F310&amp;"|"&amp;G310)</f>
        <v/>
      </c>
      <c r="I310" s="23"/>
      <c r="J310" s="22"/>
      <c r="K310" s="22"/>
      <c r="L310" s="25" t="str">
        <f aca="false">IF(F310="","",IF(AND(H310&lt;&gt;"",COUNTIF(Pessoas!$E:$E,H310)&gt;0),"SIM",IF(COUNTIF(Pessoas!$C:$C,F310)&gt;0,"nome igual em Pessoas: confira o CPF","")))</f>
        <v/>
      </c>
      <c r="M310" s="24"/>
      <c r="N310" s="11"/>
    </row>
    <row r="311" customFormat="false" ht="15" hidden="false" customHeight="false" outlineLevel="0" collapsed="false">
      <c r="A311" s="24"/>
      <c r="B311" s="31" t="str">
        <f aca="false">IF(A311="","",IF(LEN(UPPER(SUBSTITUTE(SUBSTITUTE(SUBSTITUTE(SUBSTITUTE(TRIM(A311),".",""),"/",""),"-","")," ","")))&lt;14,RIGHT(REPT("0",14)&amp;UPPER(SUBSTITUTE(SUBSTITUTE(SUBSTITUTE(SUBSTITUTE(TRIM(A311),".",""),"/",""),"-","")," ","")),14),UPPER(SUBSTITUTE(SUBSTITUTE(SUBSTITUTE(SUBSTITUTE(TRIM(A311),".",""),"/",""),"-","")," ",""))))</f>
        <v/>
      </c>
      <c r="C311" s="25" t="str">
        <f aca="false">IF(B311="","",IFERROR(INDEX(Empresas!$C:$C,MATCH(B311,Empresas!$B:$B,0)),"cadastre o CNPJ em Empresas"))</f>
        <v/>
      </c>
      <c r="D311" s="23"/>
      <c r="E311" s="24"/>
      <c r="F311" s="31" t="str">
        <f aca="false">IF(D311="","",SUBSTITUTE(SUBSTITUTE(SUBSTITUTE(SUBSTITUTE(SUBSTITUTE(SUBSTITUTE(SUBSTITUTE(SUBSTITUTE(SUBSTITUTE(SUBSTITUTE(SUBSTITUTE(SUBSTITUTE(SUBSTITUTE(UPPER(TRIM(D311)),"Á","A"),"À","A"),"Â","A"),"Ã","A"),"É","E"),"Ê","E"),"Í","I"),"Ó","O"),"Ô","O"),"Õ","O"),"Ú","U"),"Ü","U"),"Ç","C"))</f>
        <v/>
      </c>
      <c r="G311" s="31" t="str">
        <f aca="false">IF(E311="","",IF(LEN(SUBSTITUTE(SUBSTITUTE(SUBSTITUTE(SUBSTITUTE(TRIM(E311),"*",""),".",""),"-","")," ",""))=11,MID(SUBSTITUTE(SUBSTITUTE(SUBSTITUTE(SUBSTITUTE(TRIM(E311),"*",""),".",""),"-","")," ",""),4,6),SUBSTITUTE(SUBSTITUTE(SUBSTITUTE(SUBSTITUTE(TRIM(E311),"*",""),".",""),"-","")," ","")))</f>
        <v/>
      </c>
      <c r="H311" s="31" t="str">
        <f aca="false">IF(OR(F311="",G311=""),"",F311&amp;"|"&amp;G311)</f>
        <v/>
      </c>
      <c r="I311" s="23"/>
      <c r="J311" s="22"/>
      <c r="K311" s="22"/>
      <c r="L311" s="25" t="str">
        <f aca="false">IF(F311="","",IF(AND(H311&lt;&gt;"",COUNTIF(Pessoas!$E:$E,H311)&gt;0),"SIM",IF(COUNTIF(Pessoas!$C:$C,F311)&gt;0,"nome igual em Pessoas: confira o CPF","")))</f>
        <v/>
      </c>
      <c r="M311" s="24"/>
      <c r="N311" s="11"/>
    </row>
    <row r="312" customFormat="false" ht="15" hidden="false" customHeight="false" outlineLevel="0" collapsed="false">
      <c r="A312" s="24"/>
      <c r="B312" s="31" t="str">
        <f aca="false">IF(A312="","",IF(LEN(UPPER(SUBSTITUTE(SUBSTITUTE(SUBSTITUTE(SUBSTITUTE(TRIM(A312),".",""),"/",""),"-","")," ","")))&lt;14,RIGHT(REPT("0",14)&amp;UPPER(SUBSTITUTE(SUBSTITUTE(SUBSTITUTE(SUBSTITUTE(TRIM(A312),".",""),"/",""),"-","")," ","")),14),UPPER(SUBSTITUTE(SUBSTITUTE(SUBSTITUTE(SUBSTITUTE(TRIM(A312),".",""),"/",""),"-","")," ",""))))</f>
        <v/>
      </c>
      <c r="C312" s="25" t="str">
        <f aca="false">IF(B312="","",IFERROR(INDEX(Empresas!$C:$C,MATCH(B312,Empresas!$B:$B,0)),"cadastre o CNPJ em Empresas"))</f>
        <v/>
      </c>
      <c r="D312" s="23"/>
      <c r="E312" s="24"/>
      <c r="F312" s="31" t="str">
        <f aca="false">IF(D312="","",SUBSTITUTE(SUBSTITUTE(SUBSTITUTE(SUBSTITUTE(SUBSTITUTE(SUBSTITUTE(SUBSTITUTE(SUBSTITUTE(SUBSTITUTE(SUBSTITUTE(SUBSTITUTE(SUBSTITUTE(SUBSTITUTE(UPPER(TRIM(D312)),"Á","A"),"À","A"),"Â","A"),"Ã","A"),"É","E"),"Ê","E"),"Í","I"),"Ó","O"),"Ô","O"),"Õ","O"),"Ú","U"),"Ü","U"),"Ç","C"))</f>
        <v/>
      </c>
      <c r="G312" s="31" t="str">
        <f aca="false">IF(E312="","",IF(LEN(SUBSTITUTE(SUBSTITUTE(SUBSTITUTE(SUBSTITUTE(TRIM(E312),"*",""),".",""),"-","")," ",""))=11,MID(SUBSTITUTE(SUBSTITUTE(SUBSTITUTE(SUBSTITUTE(TRIM(E312),"*",""),".",""),"-","")," ",""),4,6),SUBSTITUTE(SUBSTITUTE(SUBSTITUTE(SUBSTITUTE(TRIM(E312),"*",""),".",""),"-","")," ","")))</f>
        <v/>
      </c>
      <c r="H312" s="31" t="str">
        <f aca="false">IF(OR(F312="",G312=""),"",F312&amp;"|"&amp;G312)</f>
        <v/>
      </c>
      <c r="I312" s="23"/>
      <c r="J312" s="22"/>
      <c r="K312" s="22"/>
      <c r="L312" s="25" t="str">
        <f aca="false">IF(F312="","",IF(AND(H312&lt;&gt;"",COUNTIF(Pessoas!$E:$E,H312)&gt;0),"SIM",IF(COUNTIF(Pessoas!$C:$C,F312)&gt;0,"nome igual em Pessoas: confira o CPF","")))</f>
        <v/>
      </c>
      <c r="M312" s="24"/>
      <c r="N312" s="11"/>
    </row>
    <row r="313" customFormat="false" ht="15" hidden="false" customHeight="false" outlineLevel="0" collapsed="false">
      <c r="A313" s="24"/>
      <c r="B313" s="31" t="str">
        <f aca="false">IF(A313="","",IF(LEN(UPPER(SUBSTITUTE(SUBSTITUTE(SUBSTITUTE(SUBSTITUTE(TRIM(A313),".",""),"/",""),"-","")," ","")))&lt;14,RIGHT(REPT("0",14)&amp;UPPER(SUBSTITUTE(SUBSTITUTE(SUBSTITUTE(SUBSTITUTE(TRIM(A313),".",""),"/",""),"-","")," ","")),14),UPPER(SUBSTITUTE(SUBSTITUTE(SUBSTITUTE(SUBSTITUTE(TRIM(A313),".",""),"/",""),"-","")," ",""))))</f>
        <v/>
      </c>
      <c r="C313" s="25" t="str">
        <f aca="false">IF(B313="","",IFERROR(INDEX(Empresas!$C:$C,MATCH(B313,Empresas!$B:$B,0)),"cadastre o CNPJ em Empresas"))</f>
        <v/>
      </c>
      <c r="D313" s="23"/>
      <c r="E313" s="24"/>
      <c r="F313" s="31" t="str">
        <f aca="false">IF(D313="","",SUBSTITUTE(SUBSTITUTE(SUBSTITUTE(SUBSTITUTE(SUBSTITUTE(SUBSTITUTE(SUBSTITUTE(SUBSTITUTE(SUBSTITUTE(SUBSTITUTE(SUBSTITUTE(SUBSTITUTE(SUBSTITUTE(UPPER(TRIM(D313)),"Á","A"),"À","A"),"Â","A"),"Ã","A"),"É","E"),"Ê","E"),"Í","I"),"Ó","O"),"Ô","O"),"Õ","O"),"Ú","U"),"Ü","U"),"Ç","C"))</f>
        <v/>
      </c>
      <c r="G313" s="31" t="str">
        <f aca="false">IF(E313="","",IF(LEN(SUBSTITUTE(SUBSTITUTE(SUBSTITUTE(SUBSTITUTE(TRIM(E313),"*",""),".",""),"-","")," ",""))=11,MID(SUBSTITUTE(SUBSTITUTE(SUBSTITUTE(SUBSTITUTE(TRIM(E313),"*",""),".",""),"-","")," ",""),4,6),SUBSTITUTE(SUBSTITUTE(SUBSTITUTE(SUBSTITUTE(TRIM(E313),"*",""),".",""),"-","")," ","")))</f>
        <v/>
      </c>
      <c r="H313" s="31" t="str">
        <f aca="false">IF(OR(F313="",G313=""),"",F313&amp;"|"&amp;G313)</f>
        <v/>
      </c>
      <c r="I313" s="23"/>
      <c r="J313" s="22"/>
      <c r="K313" s="22"/>
      <c r="L313" s="25" t="str">
        <f aca="false">IF(F313="","",IF(AND(H313&lt;&gt;"",COUNTIF(Pessoas!$E:$E,H313)&gt;0),"SIM",IF(COUNTIF(Pessoas!$C:$C,F313)&gt;0,"nome igual em Pessoas: confira o CPF","")))</f>
        <v/>
      </c>
      <c r="M313" s="24"/>
      <c r="N313" s="11"/>
    </row>
    <row r="314" customFormat="false" ht="15" hidden="false" customHeight="false" outlineLevel="0" collapsed="false">
      <c r="A314" s="24"/>
      <c r="B314" s="31" t="str">
        <f aca="false">IF(A314="","",IF(LEN(UPPER(SUBSTITUTE(SUBSTITUTE(SUBSTITUTE(SUBSTITUTE(TRIM(A314),".",""),"/",""),"-","")," ","")))&lt;14,RIGHT(REPT("0",14)&amp;UPPER(SUBSTITUTE(SUBSTITUTE(SUBSTITUTE(SUBSTITUTE(TRIM(A314),".",""),"/",""),"-","")," ","")),14),UPPER(SUBSTITUTE(SUBSTITUTE(SUBSTITUTE(SUBSTITUTE(TRIM(A314),".",""),"/",""),"-","")," ",""))))</f>
        <v/>
      </c>
      <c r="C314" s="25" t="str">
        <f aca="false">IF(B314="","",IFERROR(INDEX(Empresas!$C:$C,MATCH(B314,Empresas!$B:$B,0)),"cadastre o CNPJ em Empresas"))</f>
        <v/>
      </c>
      <c r="D314" s="23"/>
      <c r="E314" s="24"/>
      <c r="F314" s="31" t="str">
        <f aca="false">IF(D314="","",SUBSTITUTE(SUBSTITUTE(SUBSTITUTE(SUBSTITUTE(SUBSTITUTE(SUBSTITUTE(SUBSTITUTE(SUBSTITUTE(SUBSTITUTE(SUBSTITUTE(SUBSTITUTE(SUBSTITUTE(SUBSTITUTE(UPPER(TRIM(D314)),"Á","A"),"À","A"),"Â","A"),"Ã","A"),"É","E"),"Ê","E"),"Í","I"),"Ó","O"),"Ô","O"),"Õ","O"),"Ú","U"),"Ü","U"),"Ç","C"))</f>
        <v/>
      </c>
      <c r="G314" s="31" t="str">
        <f aca="false">IF(E314="","",IF(LEN(SUBSTITUTE(SUBSTITUTE(SUBSTITUTE(SUBSTITUTE(TRIM(E314),"*",""),".",""),"-","")," ",""))=11,MID(SUBSTITUTE(SUBSTITUTE(SUBSTITUTE(SUBSTITUTE(TRIM(E314),"*",""),".",""),"-","")," ",""),4,6),SUBSTITUTE(SUBSTITUTE(SUBSTITUTE(SUBSTITUTE(TRIM(E314),"*",""),".",""),"-","")," ","")))</f>
        <v/>
      </c>
      <c r="H314" s="31" t="str">
        <f aca="false">IF(OR(F314="",G314=""),"",F314&amp;"|"&amp;G314)</f>
        <v/>
      </c>
      <c r="I314" s="23"/>
      <c r="J314" s="22"/>
      <c r="K314" s="22"/>
      <c r="L314" s="25" t="str">
        <f aca="false">IF(F314="","",IF(AND(H314&lt;&gt;"",COUNTIF(Pessoas!$E:$E,H314)&gt;0),"SIM",IF(COUNTIF(Pessoas!$C:$C,F314)&gt;0,"nome igual em Pessoas: confira o CPF","")))</f>
        <v/>
      </c>
      <c r="M314" s="24"/>
      <c r="N314" s="11"/>
    </row>
    <row r="315" customFormat="false" ht="15" hidden="false" customHeight="false" outlineLevel="0" collapsed="false">
      <c r="A315" s="24"/>
      <c r="B315" s="31" t="str">
        <f aca="false">IF(A315="","",IF(LEN(UPPER(SUBSTITUTE(SUBSTITUTE(SUBSTITUTE(SUBSTITUTE(TRIM(A315),".",""),"/",""),"-","")," ","")))&lt;14,RIGHT(REPT("0",14)&amp;UPPER(SUBSTITUTE(SUBSTITUTE(SUBSTITUTE(SUBSTITUTE(TRIM(A315),".",""),"/",""),"-","")," ","")),14),UPPER(SUBSTITUTE(SUBSTITUTE(SUBSTITUTE(SUBSTITUTE(TRIM(A315),".",""),"/",""),"-","")," ",""))))</f>
        <v/>
      </c>
      <c r="C315" s="25" t="str">
        <f aca="false">IF(B315="","",IFERROR(INDEX(Empresas!$C:$C,MATCH(B315,Empresas!$B:$B,0)),"cadastre o CNPJ em Empresas"))</f>
        <v/>
      </c>
      <c r="D315" s="23"/>
      <c r="E315" s="24"/>
      <c r="F315" s="31" t="str">
        <f aca="false">IF(D315="","",SUBSTITUTE(SUBSTITUTE(SUBSTITUTE(SUBSTITUTE(SUBSTITUTE(SUBSTITUTE(SUBSTITUTE(SUBSTITUTE(SUBSTITUTE(SUBSTITUTE(SUBSTITUTE(SUBSTITUTE(SUBSTITUTE(UPPER(TRIM(D315)),"Á","A"),"À","A"),"Â","A"),"Ã","A"),"É","E"),"Ê","E"),"Í","I"),"Ó","O"),"Ô","O"),"Õ","O"),"Ú","U"),"Ü","U"),"Ç","C"))</f>
        <v/>
      </c>
      <c r="G315" s="31" t="str">
        <f aca="false">IF(E315="","",IF(LEN(SUBSTITUTE(SUBSTITUTE(SUBSTITUTE(SUBSTITUTE(TRIM(E315),"*",""),".",""),"-","")," ",""))=11,MID(SUBSTITUTE(SUBSTITUTE(SUBSTITUTE(SUBSTITUTE(TRIM(E315),"*",""),".",""),"-","")," ",""),4,6),SUBSTITUTE(SUBSTITUTE(SUBSTITUTE(SUBSTITUTE(TRIM(E315),"*",""),".",""),"-","")," ","")))</f>
        <v/>
      </c>
      <c r="H315" s="31" t="str">
        <f aca="false">IF(OR(F315="",G315=""),"",F315&amp;"|"&amp;G315)</f>
        <v/>
      </c>
      <c r="I315" s="23"/>
      <c r="J315" s="22"/>
      <c r="K315" s="22"/>
      <c r="L315" s="25" t="str">
        <f aca="false">IF(F315="","",IF(AND(H315&lt;&gt;"",COUNTIF(Pessoas!$E:$E,H315)&gt;0),"SIM",IF(COUNTIF(Pessoas!$C:$C,F315)&gt;0,"nome igual em Pessoas: confira o CPF","")))</f>
        <v/>
      </c>
      <c r="M315" s="24"/>
      <c r="N315" s="11"/>
    </row>
    <row r="316" customFormat="false" ht="15" hidden="false" customHeight="false" outlineLevel="0" collapsed="false">
      <c r="A316" s="24"/>
      <c r="B316" s="31" t="str">
        <f aca="false">IF(A316="","",IF(LEN(UPPER(SUBSTITUTE(SUBSTITUTE(SUBSTITUTE(SUBSTITUTE(TRIM(A316),".",""),"/",""),"-","")," ","")))&lt;14,RIGHT(REPT("0",14)&amp;UPPER(SUBSTITUTE(SUBSTITUTE(SUBSTITUTE(SUBSTITUTE(TRIM(A316),".",""),"/",""),"-","")," ","")),14),UPPER(SUBSTITUTE(SUBSTITUTE(SUBSTITUTE(SUBSTITUTE(TRIM(A316),".",""),"/",""),"-","")," ",""))))</f>
        <v/>
      </c>
      <c r="C316" s="25" t="str">
        <f aca="false">IF(B316="","",IFERROR(INDEX(Empresas!$C:$C,MATCH(B316,Empresas!$B:$B,0)),"cadastre o CNPJ em Empresas"))</f>
        <v/>
      </c>
      <c r="D316" s="23"/>
      <c r="E316" s="24"/>
      <c r="F316" s="31" t="str">
        <f aca="false">IF(D316="","",SUBSTITUTE(SUBSTITUTE(SUBSTITUTE(SUBSTITUTE(SUBSTITUTE(SUBSTITUTE(SUBSTITUTE(SUBSTITUTE(SUBSTITUTE(SUBSTITUTE(SUBSTITUTE(SUBSTITUTE(SUBSTITUTE(UPPER(TRIM(D316)),"Á","A"),"À","A"),"Â","A"),"Ã","A"),"É","E"),"Ê","E"),"Í","I"),"Ó","O"),"Ô","O"),"Õ","O"),"Ú","U"),"Ü","U"),"Ç","C"))</f>
        <v/>
      </c>
      <c r="G316" s="31" t="str">
        <f aca="false">IF(E316="","",IF(LEN(SUBSTITUTE(SUBSTITUTE(SUBSTITUTE(SUBSTITUTE(TRIM(E316),"*",""),".",""),"-","")," ",""))=11,MID(SUBSTITUTE(SUBSTITUTE(SUBSTITUTE(SUBSTITUTE(TRIM(E316),"*",""),".",""),"-","")," ",""),4,6),SUBSTITUTE(SUBSTITUTE(SUBSTITUTE(SUBSTITUTE(TRIM(E316),"*",""),".",""),"-","")," ","")))</f>
        <v/>
      </c>
      <c r="H316" s="31" t="str">
        <f aca="false">IF(OR(F316="",G316=""),"",F316&amp;"|"&amp;G316)</f>
        <v/>
      </c>
      <c r="I316" s="23"/>
      <c r="J316" s="22"/>
      <c r="K316" s="22"/>
      <c r="L316" s="25" t="str">
        <f aca="false">IF(F316="","",IF(AND(H316&lt;&gt;"",COUNTIF(Pessoas!$E:$E,H316)&gt;0),"SIM",IF(COUNTIF(Pessoas!$C:$C,F316)&gt;0,"nome igual em Pessoas: confira o CPF","")))</f>
        <v/>
      </c>
      <c r="M316" s="24"/>
      <c r="N316" s="11"/>
    </row>
    <row r="317" customFormat="false" ht="15" hidden="false" customHeight="false" outlineLevel="0" collapsed="false">
      <c r="A317" s="24"/>
      <c r="B317" s="31" t="str">
        <f aca="false">IF(A317="","",IF(LEN(UPPER(SUBSTITUTE(SUBSTITUTE(SUBSTITUTE(SUBSTITUTE(TRIM(A317),".",""),"/",""),"-","")," ","")))&lt;14,RIGHT(REPT("0",14)&amp;UPPER(SUBSTITUTE(SUBSTITUTE(SUBSTITUTE(SUBSTITUTE(TRIM(A317),".",""),"/",""),"-","")," ","")),14),UPPER(SUBSTITUTE(SUBSTITUTE(SUBSTITUTE(SUBSTITUTE(TRIM(A317),".",""),"/",""),"-","")," ",""))))</f>
        <v/>
      </c>
      <c r="C317" s="25" t="str">
        <f aca="false">IF(B317="","",IFERROR(INDEX(Empresas!$C:$C,MATCH(B317,Empresas!$B:$B,0)),"cadastre o CNPJ em Empresas"))</f>
        <v/>
      </c>
      <c r="D317" s="23"/>
      <c r="E317" s="24"/>
      <c r="F317" s="31" t="str">
        <f aca="false">IF(D317="","",SUBSTITUTE(SUBSTITUTE(SUBSTITUTE(SUBSTITUTE(SUBSTITUTE(SUBSTITUTE(SUBSTITUTE(SUBSTITUTE(SUBSTITUTE(SUBSTITUTE(SUBSTITUTE(SUBSTITUTE(SUBSTITUTE(UPPER(TRIM(D317)),"Á","A"),"À","A"),"Â","A"),"Ã","A"),"É","E"),"Ê","E"),"Í","I"),"Ó","O"),"Ô","O"),"Õ","O"),"Ú","U"),"Ü","U"),"Ç","C"))</f>
        <v/>
      </c>
      <c r="G317" s="31" t="str">
        <f aca="false">IF(E317="","",IF(LEN(SUBSTITUTE(SUBSTITUTE(SUBSTITUTE(SUBSTITUTE(TRIM(E317),"*",""),".",""),"-","")," ",""))=11,MID(SUBSTITUTE(SUBSTITUTE(SUBSTITUTE(SUBSTITUTE(TRIM(E317),"*",""),".",""),"-","")," ",""),4,6),SUBSTITUTE(SUBSTITUTE(SUBSTITUTE(SUBSTITUTE(TRIM(E317),"*",""),".",""),"-","")," ","")))</f>
        <v/>
      </c>
      <c r="H317" s="31" t="str">
        <f aca="false">IF(OR(F317="",G317=""),"",F317&amp;"|"&amp;G317)</f>
        <v/>
      </c>
      <c r="I317" s="23"/>
      <c r="J317" s="22"/>
      <c r="K317" s="22"/>
      <c r="L317" s="25" t="str">
        <f aca="false">IF(F317="","",IF(AND(H317&lt;&gt;"",COUNTIF(Pessoas!$E:$E,H317)&gt;0),"SIM",IF(COUNTIF(Pessoas!$C:$C,F317)&gt;0,"nome igual em Pessoas: confira o CPF","")))</f>
        <v/>
      </c>
      <c r="M317" s="24"/>
      <c r="N317" s="11"/>
    </row>
    <row r="318" customFormat="false" ht="15" hidden="false" customHeight="false" outlineLevel="0" collapsed="false">
      <c r="A318" s="24"/>
      <c r="B318" s="31" t="str">
        <f aca="false">IF(A318="","",IF(LEN(UPPER(SUBSTITUTE(SUBSTITUTE(SUBSTITUTE(SUBSTITUTE(TRIM(A318),".",""),"/",""),"-","")," ","")))&lt;14,RIGHT(REPT("0",14)&amp;UPPER(SUBSTITUTE(SUBSTITUTE(SUBSTITUTE(SUBSTITUTE(TRIM(A318),".",""),"/",""),"-","")," ","")),14),UPPER(SUBSTITUTE(SUBSTITUTE(SUBSTITUTE(SUBSTITUTE(TRIM(A318),".",""),"/",""),"-","")," ",""))))</f>
        <v/>
      </c>
      <c r="C318" s="25" t="str">
        <f aca="false">IF(B318="","",IFERROR(INDEX(Empresas!$C:$C,MATCH(B318,Empresas!$B:$B,0)),"cadastre o CNPJ em Empresas"))</f>
        <v/>
      </c>
      <c r="D318" s="23"/>
      <c r="E318" s="24"/>
      <c r="F318" s="31" t="str">
        <f aca="false">IF(D318="","",SUBSTITUTE(SUBSTITUTE(SUBSTITUTE(SUBSTITUTE(SUBSTITUTE(SUBSTITUTE(SUBSTITUTE(SUBSTITUTE(SUBSTITUTE(SUBSTITUTE(SUBSTITUTE(SUBSTITUTE(SUBSTITUTE(UPPER(TRIM(D318)),"Á","A"),"À","A"),"Â","A"),"Ã","A"),"É","E"),"Ê","E"),"Í","I"),"Ó","O"),"Ô","O"),"Õ","O"),"Ú","U"),"Ü","U"),"Ç","C"))</f>
        <v/>
      </c>
      <c r="G318" s="31" t="str">
        <f aca="false">IF(E318="","",IF(LEN(SUBSTITUTE(SUBSTITUTE(SUBSTITUTE(SUBSTITUTE(TRIM(E318),"*",""),".",""),"-","")," ",""))=11,MID(SUBSTITUTE(SUBSTITUTE(SUBSTITUTE(SUBSTITUTE(TRIM(E318),"*",""),".",""),"-","")," ",""),4,6),SUBSTITUTE(SUBSTITUTE(SUBSTITUTE(SUBSTITUTE(TRIM(E318),"*",""),".",""),"-","")," ","")))</f>
        <v/>
      </c>
      <c r="H318" s="31" t="str">
        <f aca="false">IF(OR(F318="",G318=""),"",F318&amp;"|"&amp;G318)</f>
        <v/>
      </c>
      <c r="I318" s="23"/>
      <c r="J318" s="22"/>
      <c r="K318" s="22"/>
      <c r="L318" s="25" t="str">
        <f aca="false">IF(F318="","",IF(AND(H318&lt;&gt;"",COUNTIF(Pessoas!$E:$E,H318)&gt;0),"SIM",IF(COUNTIF(Pessoas!$C:$C,F318)&gt;0,"nome igual em Pessoas: confira o CPF","")))</f>
        <v/>
      </c>
      <c r="M318" s="24"/>
      <c r="N318" s="11"/>
    </row>
    <row r="319" customFormat="false" ht="15" hidden="false" customHeight="false" outlineLevel="0" collapsed="false">
      <c r="A319" s="24"/>
      <c r="B319" s="31" t="str">
        <f aca="false">IF(A319="","",IF(LEN(UPPER(SUBSTITUTE(SUBSTITUTE(SUBSTITUTE(SUBSTITUTE(TRIM(A319),".",""),"/",""),"-","")," ","")))&lt;14,RIGHT(REPT("0",14)&amp;UPPER(SUBSTITUTE(SUBSTITUTE(SUBSTITUTE(SUBSTITUTE(TRIM(A319),".",""),"/",""),"-","")," ","")),14),UPPER(SUBSTITUTE(SUBSTITUTE(SUBSTITUTE(SUBSTITUTE(TRIM(A319),".",""),"/",""),"-","")," ",""))))</f>
        <v/>
      </c>
      <c r="C319" s="25" t="str">
        <f aca="false">IF(B319="","",IFERROR(INDEX(Empresas!$C:$C,MATCH(B319,Empresas!$B:$B,0)),"cadastre o CNPJ em Empresas"))</f>
        <v/>
      </c>
      <c r="D319" s="23"/>
      <c r="E319" s="24"/>
      <c r="F319" s="31" t="str">
        <f aca="false">IF(D319="","",SUBSTITUTE(SUBSTITUTE(SUBSTITUTE(SUBSTITUTE(SUBSTITUTE(SUBSTITUTE(SUBSTITUTE(SUBSTITUTE(SUBSTITUTE(SUBSTITUTE(SUBSTITUTE(SUBSTITUTE(SUBSTITUTE(UPPER(TRIM(D319)),"Á","A"),"À","A"),"Â","A"),"Ã","A"),"É","E"),"Ê","E"),"Í","I"),"Ó","O"),"Ô","O"),"Õ","O"),"Ú","U"),"Ü","U"),"Ç","C"))</f>
        <v/>
      </c>
      <c r="G319" s="31" t="str">
        <f aca="false">IF(E319="","",IF(LEN(SUBSTITUTE(SUBSTITUTE(SUBSTITUTE(SUBSTITUTE(TRIM(E319),"*",""),".",""),"-","")," ",""))=11,MID(SUBSTITUTE(SUBSTITUTE(SUBSTITUTE(SUBSTITUTE(TRIM(E319),"*",""),".",""),"-","")," ",""),4,6),SUBSTITUTE(SUBSTITUTE(SUBSTITUTE(SUBSTITUTE(TRIM(E319),"*",""),".",""),"-","")," ","")))</f>
        <v/>
      </c>
      <c r="H319" s="31" t="str">
        <f aca="false">IF(OR(F319="",G319=""),"",F319&amp;"|"&amp;G319)</f>
        <v/>
      </c>
      <c r="I319" s="23"/>
      <c r="J319" s="22"/>
      <c r="K319" s="22"/>
      <c r="L319" s="25" t="str">
        <f aca="false">IF(F319="","",IF(AND(H319&lt;&gt;"",COUNTIF(Pessoas!$E:$E,H319)&gt;0),"SIM",IF(COUNTIF(Pessoas!$C:$C,F319)&gt;0,"nome igual em Pessoas: confira o CPF","")))</f>
        <v/>
      </c>
      <c r="M319" s="24"/>
      <c r="N319" s="11"/>
    </row>
    <row r="320" customFormat="false" ht="15" hidden="false" customHeight="false" outlineLevel="0" collapsed="false">
      <c r="A320" s="24"/>
      <c r="B320" s="31" t="str">
        <f aca="false">IF(A320="","",IF(LEN(UPPER(SUBSTITUTE(SUBSTITUTE(SUBSTITUTE(SUBSTITUTE(TRIM(A320),".",""),"/",""),"-","")," ","")))&lt;14,RIGHT(REPT("0",14)&amp;UPPER(SUBSTITUTE(SUBSTITUTE(SUBSTITUTE(SUBSTITUTE(TRIM(A320),".",""),"/",""),"-","")," ","")),14),UPPER(SUBSTITUTE(SUBSTITUTE(SUBSTITUTE(SUBSTITUTE(TRIM(A320),".",""),"/",""),"-","")," ",""))))</f>
        <v/>
      </c>
      <c r="C320" s="25" t="str">
        <f aca="false">IF(B320="","",IFERROR(INDEX(Empresas!$C:$C,MATCH(B320,Empresas!$B:$B,0)),"cadastre o CNPJ em Empresas"))</f>
        <v/>
      </c>
      <c r="D320" s="23"/>
      <c r="E320" s="24"/>
      <c r="F320" s="31" t="str">
        <f aca="false">IF(D320="","",SUBSTITUTE(SUBSTITUTE(SUBSTITUTE(SUBSTITUTE(SUBSTITUTE(SUBSTITUTE(SUBSTITUTE(SUBSTITUTE(SUBSTITUTE(SUBSTITUTE(SUBSTITUTE(SUBSTITUTE(SUBSTITUTE(UPPER(TRIM(D320)),"Á","A"),"À","A"),"Â","A"),"Ã","A"),"É","E"),"Ê","E"),"Í","I"),"Ó","O"),"Ô","O"),"Õ","O"),"Ú","U"),"Ü","U"),"Ç","C"))</f>
        <v/>
      </c>
      <c r="G320" s="31" t="str">
        <f aca="false">IF(E320="","",IF(LEN(SUBSTITUTE(SUBSTITUTE(SUBSTITUTE(SUBSTITUTE(TRIM(E320),"*",""),".",""),"-","")," ",""))=11,MID(SUBSTITUTE(SUBSTITUTE(SUBSTITUTE(SUBSTITUTE(TRIM(E320),"*",""),".",""),"-","")," ",""),4,6),SUBSTITUTE(SUBSTITUTE(SUBSTITUTE(SUBSTITUTE(TRIM(E320),"*",""),".",""),"-","")," ","")))</f>
        <v/>
      </c>
      <c r="H320" s="31" t="str">
        <f aca="false">IF(OR(F320="",G320=""),"",F320&amp;"|"&amp;G320)</f>
        <v/>
      </c>
      <c r="I320" s="23"/>
      <c r="J320" s="22"/>
      <c r="K320" s="22"/>
      <c r="L320" s="25" t="str">
        <f aca="false">IF(F320="","",IF(AND(H320&lt;&gt;"",COUNTIF(Pessoas!$E:$E,H320)&gt;0),"SIM",IF(COUNTIF(Pessoas!$C:$C,F320)&gt;0,"nome igual em Pessoas: confira o CPF","")))</f>
        <v/>
      </c>
      <c r="M320" s="24"/>
      <c r="N320" s="11"/>
    </row>
    <row r="321" customFormat="false" ht="15" hidden="false" customHeight="false" outlineLevel="0" collapsed="false">
      <c r="A321" s="24"/>
      <c r="B321" s="31" t="str">
        <f aca="false">IF(A321="","",IF(LEN(UPPER(SUBSTITUTE(SUBSTITUTE(SUBSTITUTE(SUBSTITUTE(TRIM(A321),".",""),"/",""),"-","")," ","")))&lt;14,RIGHT(REPT("0",14)&amp;UPPER(SUBSTITUTE(SUBSTITUTE(SUBSTITUTE(SUBSTITUTE(TRIM(A321),".",""),"/",""),"-","")," ","")),14),UPPER(SUBSTITUTE(SUBSTITUTE(SUBSTITUTE(SUBSTITUTE(TRIM(A321),".",""),"/",""),"-","")," ",""))))</f>
        <v/>
      </c>
      <c r="C321" s="25" t="str">
        <f aca="false">IF(B321="","",IFERROR(INDEX(Empresas!$C:$C,MATCH(B321,Empresas!$B:$B,0)),"cadastre o CNPJ em Empresas"))</f>
        <v/>
      </c>
      <c r="D321" s="23"/>
      <c r="E321" s="24"/>
      <c r="F321" s="31" t="str">
        <f aca="false">IF(D321="","",SUBSTITUTE(SUBSTITUTE(SUBSTITUTE(SUBSTITUTE(SUBSTITUTE(SUBSTITUTE(SUBSTITUTE(SUBSTITUTE(SUBSTITUTE(SUBSTITUTE(SUBSTITUTE(SUBSTITUTE(SUBSTITUTE(UPPER(TRIM(D321)),"Á","A"),"À","A"),"Â","A"),"Ã","A"),"É","E"),"Ê","E"),"Í","I"),"Ó","O"),"Ô","O"),"Õ","O"),"Ú","U"),"Ü","U"),"Ç","C"))</f>
        <v/>
      </c>
      <c r="G321" s="31" t="str">
        <f aca="false">IF(E321="","",IF(LEN(SUBSTITUTE(SUBSTITUTE(SUBSTITUTE(SUBSTITUTE(TRIM(E321),"*",""),".",""),"-","")," ",""))=11,MID(SUBSTITUTE(SUBSTITUTE(SUBSTITUTE(SUBSTITUTE(TRIM(E321),"*",""),".",""),"-","")," ",""),4,6),SUBSTITUTE(SUBSTITUTE(SUBSTITUTE(SUBSTITUTE(TRIM(E321),"*",""),".",""),"-","")," ","")))</f>
        <v/>
      </c>
      <c r="H321" s="31" t="str">
        <f aca="false">IF(OR(F321="",G321=""),"",F321&amp;"|"&amp;G321)</f>
        <v/>
      </c>
      <c r="I321" s="23"/>
      <c r="J321" s="22"/>
      <c r="K321" s="22"/>
      <c r="L321" s="25" t="str">
        <f aca="false">IF(F321="","",IF(AND(H321&lt;&gt;"",COUNTIF(Pessoas!$E:$E,H321)&gt;0),"SIM",IF(COUNTIF(Pessoas!$C:$C,F321)&gt;0,"nome igual em Pessoas: confira o CPF","")))</f>
        <v/>
      </c>
      <c r="M321" s="24"/>
      <c r="N321" s="11"/>
    </row>
    <row r="322" customFormat="false" ht="15" hidden="false" customHeight="false" outlineLevel="0" collapsed="false">
      <c r="A322" s="24"/>
      <c r="B322" s="31" t="str">
        <f aca="false">IF(A322="","",IF(LEN(UPPER(SUBSTITUTE(SUBSTITUTE(SUBSTITUTE(SUBSTITUTE(TRIM(A322),".",""),"/",""),"-","")," ","")))&lt;14,RIGHT(REPT("0",14)&amp;UPPER(SUBSTITUTE(SUBSTITUTE(SUBSTITUTE(SUBSTITUTE(TRIM(A322),".",""),"/",""),"-","")," ","")),14),UPPER(SUBSTITUTE(SUBSTITUTE(SUBSTITUTE(SUBSTITUTE(TRIM(A322),".",""),"/",""),"-","")," ",""))))</f>
        <v/>
      </c>
      <c r="C322" s="25" t="str">
        <f aca="false">IF(B322="","",IFERROR(INDEX(Empresas!$C:$C,MATCH(B322,Empresas!$B:$B,0)),"cadastre o CNPJ em Empresas"))</f>
        <v/>
      </c>
      <c r="D322" s="23"/>
      <c r="E322" s="24"/>
      <c r="F322" s="31" t="str">
        <f aca="false">IF(D322="","",SUBSTITUTE(SUBSTITUTE(SUBSTITUTE(SUBSTITUTE(SUBSTITUTE(SUBSTITUTE(SUBSTITUTE(SUBSTITUTE(SUBSTITUTE(SUBSTITUTE(SUBSTITUTE(SUBSTITUTE(SUBSTITUTE(UPPER(TRIM(D322)),"Á","A"),"À","A"),"Â","A"),"Ã","A"),"É","E"),"Ê","E"),"Í","I"),"Ó","O"),"Ô","O"),"Õ","O"),"Ú","U"),"Ü","U"),"Ç","C"))</f>
        <v/>
      </c>
      <c r="G322" s="31" t="str">
        <f aca="false">IF(E322="","",IF(LEN(SUBSTITUTE(SUBSTITUTE(SUBSTITUTE(SUBSTITUTE(TRIM(E322),"*",""),".",""),"-","")," ",""))=11,MID(SUBSTITUTE(SUBSTITUTE(SUBSTITUTE(SUBSTITUTE(TRIM(E322),"*",""),".",""),"-","")," ",""),4,6),SUBSTITUTE(SUBSTITUTE(SUBSTITUTE(SUBSTITUTE(TRIM(E322),"*",""),".",""),"-","")," ","")))</f>
        <v/>
      </c>
      <c r="H322" s="31" t="str">
        <f aca="false">IF(OR(F322="",G322=""),"",F322&amp;"|"&amp;G322)</f>
        <v/>
      </c>
      <c r="I322" s="23"/>
      <c r="J322" s="22"/>
      <c r="K322" s="22"/>
      <c r="L322" s="25" t="str">
        <f aca="false">IF(F322="","",IF(AND(H322&lt;&gt;"",COUNTIF(Pessoas!$E:$E,H322)&gt;0),"SIM",IF(COUNTIF(Pessoas!$C:$C,F322)&gt;0,"nome igual em Pessoas: confira o CPF","")))</f>
        <v/>
      </c>
      <c r="M322" s="24"/>
      <c r="N322" s="11"/>
    </row>
    <row r="323" customFormat="false" ht="15" hidden="false" customHeight="false" outlineLevel="0" collapsed="false">
      <c r="A323" s="24"/>
      <c r="B323" s="31" t="str">
        <f aca="false">IF(A323="","",IF(LEN(UPPER(SUBSTITUTE(SUBSTITUTE(SUBSTITUTE(SUBSTITUTE(TRIM(A323),".",""),"/",""),"-","")," ","")))&lt;14,RIGHT(REPT("0",14)&amp;UPPER(SUBSTITUTE(SUBSTITUTE(SUBSTITUTE(SUBSTITUTE(TRIM(A323),".",""),"/",""),"-","")," ","")),14),UPPER(SUBSTITUTE(SUBSTITUTE(SUBSTITUTE(SUBSTITUTE(TRIM(A323),".",""),"/",""),"-","")," ",""))))</f>
        <v/>
      </c>
      <c r="C323" s="25" t="str">
        <f aca="false">IF(B323="","",IFERROR(INDEX(Empresas!$C:$C,MATCH(B323,Empresas!$B:$B,0)),"cadastre o CNPJ em Empresas"))</f>
        <v/>
      </c>
      <c r="D323" s="23"/>
      <c r="E323" s="24"/>
      <c r="F323" s="31" t="str">
        <f aca="false">IF(D323="","",SUBSTITUTE(SUBSTITUTE(SUBSTITUTE(SUBSTITUTE(SUBSTITUTE(SUBSTITUTE(SUBSTITUTE(SUBSTITUTE(SUBSTITUTE(SUBSTITUTE(SUBSTITUTE(SUBSTITUTE(SUBSTITUTE(UPPER(TRIM(D323)),"Á","A"),"À","A"),"Â","A"),"Ã","A"),"É","E"),"Ê","E"),"Í","I"),"Ó","O"),"Ô","O"),"Õ","O"),"Ú","U"),"Ü","U"),"Ç","C"))</f>
        <v/>
      </c>
      <c r="G323" s="31" t="str">
        <f aca="false">IF(E323="","",IF(LEN(SUBSTITUTE(SUBSTITUTE(SUBSTITUTE(SUBSTITUTE(TRIM(E323),"*",""),".",""),"-","")," ",""))=11,MID(SUBSTITUTE(SUBSTITUTE(SUBSTITUTE(SUBSTITUTE(TRIM(E323),"*",""),".",""),"-","")," ",""),4,6),SUBSTITUTE(SUBSTITUTE(SUBSTITUTE(SUBSTITUTE(TRIM(E323),"*",""),".",""),"-","")," ","")))</f>
        <v/>
      </c>
      <c r="H323" s="31" t="str">
        <f aca="false">IF(OR(F323="",G323=""),"",F323&amp;"|"&amp;G323)</f>
        <v/>
      </c>
      <c r="I323" s="23"/>
      <c r="J323" s="22"/>
      <c r="K323" s="22"/>
      <c r="L323" s="25" t="str">
        <f aca="false">IF(F323="","",IF(AND(H323&lt;&gt;"",COUNTIF(Pessoas!$E:$E,H323)&gt;0),"SIM",IF(COUNTIF(Pessoas!$C:$C,F323)&gt;0,"nome igual em Pessoas: confira o CPF","")))</f>
        <v/>
      </c>
      <c r="M323" s="24"/>
      <c r="N323" s="11"/>
    </row>
    <row r="324" customFormat="false" ht="15" hidden="false" customHeight="false" outlineLevel="0" collapsed="false">
      <c r="A324" s="24"/>
      <c r="B324" s="31" t="str">
        <f aca="false">IF(A324="","",IF(LEN(UPPER(SUBSTITUTE(SUBSTITUTE(SUBSTITUTE(SUBSTITUTE(TRIM(A324),".",""),"/",""),"-","")," ","")))&lt;14,RIGHT(REPT("0",14)&amp;UPPER(SUBSTITUTE(SUBSTITUTE(SUBSTITUTE(SUBSTITUTE(TRIM(A324),".",""),"/",""),"-","")," ","")),14),UPPER(SUBSTITUTE(SUBSTITUTE(SUBSTITUTE(SUBSTITUTE(TRIM(A324),".",""),"/",""),"-","")," ",""))))</f>
        <v/>
      </c>
      <c r="C324" s="25" t="str">
        <f aca="false">IF(B324="","",IFERROR(INDEX(Empresas!$C:$C,MATCH(B324,Empresas!$B:$B,0)),"cadastre o CNPJ em Empresas"))</f>
        <v/>
      </c>
      <c r="D324" s="23"/>
      <c r="E324" s="24"/>
      <c r="F324" s="31" t="str">
        <f aca="false">IF(D324="","",SUBSTITUTE(SUBSTITUTE(SUBSTITUTE(SUBSTITUTE(SUBSTITUTE(SUBSTITUTE(SUBSTITUTE(SUBSTITUTE(SUBSTITUTE(SUBSTITUTE(SUBSTITUTE(SUBSTITUTE(SUBSTITUTE(UPPER(TRIM(D324)),"Á","A"),"À","A"),"Â","A"),"Ã","A"),"É","E"),"Ê","E"),"Í","I"),"Ó","O"),"Ô","O"),"Õ","O"),"Ú","U"),"Ü","U"),"Ç","C"))</f>
        <v/>
      </c>
      <c r="G324" s="31" t="str">
        <f aca="false">IF(E324="","",IF(LEN(SUBSTITUTE(SUBSTITUTE(SUBSTITUTE(SUBSTITUTE(TRIM(E324),"*",""),".",""),"-","")," ",""))=11,MID(SUBSTITUTE(SUBSTITUTE(SUBSTITUTE(SUBSTITUTE(TRIM(E324),"*",""),".",""),"-","")," ",""),4,6),SUBSTITUTE(SUBSTITUTE(SUBSTITUTE(SUBSTITUTE(TRIM(E324),"*",""),".",""),"-","")," ","")))</f>
        <v/>
      </c>
      <c r="H324" s="31" t="str">
        <f aca="false">IF(OR(F324="",G324=""),"",F324&amp;"|"&amp;G324)</f>
        <v/>
      </c>
      <c r="I324" s="23"/>
      <c r="J324" s="22"/>
      <c r="K324" s="22"/>
      <c r="L324" s="25" t="str">
        <f aca="false">IF(F324="","",IF(AND(H324&lt;&gt;"",COUNTIF(Pessoas!$E:$E,H324)&gt;0),"SIM",IF(COUNTIF(Pessoas!$C:$C,F324)&gt;0,"nome igual em Pessoas: confira o CPF","")))</f>
        <v/>
      </c>
      <c r="M324" s="24"/>
      <c r="N324" s="11"/>
    </row>
    <row r="325" customFormat="false" ht="15" hidden="false" customHeight="false" outlineLevel="0" collapsed="false">
      <c r="A325" s="24"/>
      <c r="B325" s="31" t="str">
        <f aca="false">IF(A325="","",IF(LEN(UPPER(SUBSTITUTE(SUBSTITUTE(SUBSTITUTE(SUBSTITUTE(TRIM(A325),".",""),"/",""),"-","")," ","")))&lt;14,RIGHT(REPT("0",14)&amp;UPPER(SUBSTITUTE(SUBSTITUTE(SUBSTITUTE(SUBSTITUTE(TRIM(A325),".",""),"/",""),"-","")," ","")),14),UPPER(SUBSTITUTE(SUBSTITUTE(SUBSTITUTE(SUBSTITUTE(TRIM(A325),".",""),"/",""),"-","")," ",""))))</f>
        <v/>
      </c>
      <c r="C325" s="25" t="str">
        <f aca="false">IF(B325="","",IFERROR(INDEX(Empresas!$C:$C,MATCH(B325,Empresas!$B:$B,0)),"cadastre o CNPJ em Empresas"))</f>
        <v/>
      </c>
      <c r="D325" s="23"/>
      <c r="E325" s="24"/>
      <c r="F325" s="31" t="str">
        <f aca="false">IF(D325="","",SUBSTITUTE(SUBSTITUTE(SUBSTITUTE(SUBSTITUTE(SUBSTITUTE(SUBSTITUTE(SUBSTITUTE(SUBSTITUTE(SUBSTITUTE(SUBSTITUTE(SUBSTITUTE(SUBSTITUTE(SUBSTITUTE(UPPER(TRIM(D325)),"Á","A"),"À","A"),"Â","A"),"Ã","A"),"É","E"),"Ê","E"),"Í","I"),"Ó","O"),"Ô","O"),"Õ","O"),"Ú","U"),"Ü","U"),"Ç","C"))</f>
        <v/>
      </c>
      <c r="G325" s="31" t="str">
        <f aca="false">IF(E325="","",IF(LEN(SUBSTITUTE(SUBSTITUTE(SUBSTITUTE(SUBSTITUTE(TRIM(E325),"*",""),".",""),"-","")," ",""))=11,MID(SUBSTITUTE(SUBSTITUTE(SUBSTITUTE(SUBSTITUTE(TRIM(E325),"*",""),".",""),"-","")," ",""),4,6),SUBSTITUTE(SUBSTITUTE(SUBSTITUTE(SUBSTITUTE(TRIM(E325),"*",""),".",""),"-","")," ","")))</f>
        <v/>
      </c>
      <c r="H325" s="31" t="str">
        <f aca="false">IF(OR(F325="",G325=""),"",F325&amp;"|"&amp;G325)</f>
        <v/>
      </c>
      <c r="I325" s="23"/>
      <c r="J325" s="22"/>
      <c r="K325" s="22"/>
      <c r="L325" s="25" t="str">
        <f aca="false">IF(F325="","",IF(AND(H325&lt;&gt;"",COUNTIF(Pessoas!$E:$E,H325)&gt;0),"SIM",IF(COUNTIF(Pessoas!$C:$C,F325)&gt;0,"nome igual em Pessoas: confira o CPF","")))</f>
        <v/>
      </c>
      <c r="M325" s="24"/>
      <c r="N325" s="11"/>
    </row>
    <row r="326" customFormat="false" ht="15" hidden="false" customHeight="false" outlineLevel="0" collapsed="false">
      <c r="A326" s="24"/>
      <c r="B326" s="31" t="str">
        <f aca="false">IF(A326="","",IF(LEN(UPPER(SUBSTITUTE(SUBSTITUTE(SUBSTITUTE(SUBSTITUTE(TRIM(A326),".",""),"/",""),"-","")," ","")))&lt;14,RIGHT(REPT("0",14)&amp;UPPER(SUBSTITUTE(SUBSTITUTE(SUBSTITUTE(SUBSTITUTE(TRIM(A326),".",""),"/",""),"-","")," ","")),14),UPPER(SUBSTITUTE(SUBSTITUTE(SUBSTITUTE(SUBSTITUTE(TRIM(A326),".",""),"/",""),"-","")," ",""))))</f>
        <v/>
      </c>
      <c r="C326" s="25" t="str">
        <f aca="false">IF(B326="","",IFERROR(INDEX(Empresas!$C:$C,MATCH(B326,Empresas!$B:$B,0)),"cadastre o CNPJ em Empresas"))</f>
        <v/>
      </c>
      <c r="D326" s="23"/>
      <c r="E326" s="24"/>
      <c r="F326" s="31" t="str">
        <f aca="false">IF(D326="","",SUBSTITUTE(SUBSTITUTE(SUBSTITUTE(SUBSTITUTE(SUBSTITUTE(SUBSTITUTE(SUBSTITUTE(SUBSTITUTE(SUBSTITUTE(SUBSTITUTE(SUBSTITUTE(SUBSTITUTE(SUBSTITUTE(UPPER(TRIM(D326)),"Á","A"),"À","A"),"Â","A"),"Ã","A"),"É","E"),"Ê","E"),"Í","I"),"Ó","O"),"Ô","O"),"Õ","O"),"Ú","U"),"Ü","U"),"Ç","C"))</f>
        <v/>
      </c>
      <c r="G326" s="31" t="str">
        <f aca="false">IF(E326="","",IF(LEN(SUBSTITUTE(SUBSTITUTE(SUBSTITUTE(SUBSTITUTE(TRIM(E326),"*",""),".",""),"-","")," ",""))=11,MID(SUBSTITUTE(SUBSTITUTE(SUBSTITUTE(SUBSTITUTE(TRIM(E326),"*",""),".",""),"-","")," ",""),4,6),SUBSTITUTE(SUBSTITUTE(SUBSTITUTE(SUBSTITUTE(TRIM(E326),"*",""),".",""),"-","")," ","")))</f>
        <v/>
      </c>
      <c r="H326" s="31" t="str">
        <f aca="false">IF(OR(F326="",G326=""),"",F326&amp;"|"&amp;G326)</f>
        <v/>
      </c>
      <c r="I326" s="23"/>
      <c r="J326" s="22"/>
      <c r="K326" s="22"/>
      <c r="L326" s="25" t="str">
        <f aca="false">IF(F326="","",IF(AND(H326&lt;&gt;"",COUNTIF(Pessoas!$E:$E,H326)&gt;0),"SIM",IF(COUNTIF(Pessoas!$C:$C,F326)&gt;0,"nome igual em Pessoas: confira o CPF","")))</f>
        <v/>
      </c>
      <c r="M326" s="24"/>
      <c r="N326" s="11"/>
    </row>
    <row r="327" customFormat="false" ht="15" hidden="false" customHeight="false" outlineLevel="0" collapsed="false">
      <c r="A327" s="24"/>
      <c r="B327" s="31" t="str">
        <f aca="false">IF(A327="","",IF(LEN(UPPER(SUBSTITUTE(SUBSTITUTE(SUBSTITUTE(SUBSTITUTE(TRIM(A327),".",""),"/",""),"-","")," ","")))&lt;14,RIGHT(REPT("0",14)&amp;UPPER(SUBSTITUTE(SUBSTITUTE(SUBSTITUTE(SUBSTITUTE(TRIM(A327),".",""),"/",""),"-","")," ","")),14),UPPER(SUBSTITUTE(SUBSTITUTE(SUBSTITUTE(SUBSTITUTE(TRIM(A327),".",""),"/",""),"-","")," ",""))))</f>
        <v/>
      </c>
      <c r="C327" s="25" t="str">
        <f aca="false">IF(B327="","",IFERROR(INDEX(Empresas!$C:$C,MATCH(B327,Empresas!$B:$B,0)),"cadastre o CNPJ em Empresas"))</f>
        <v/>
      </c>
      <c r="D327" s="23"/>
      <c r="E327" s="24"/>
      <c r="F327" s="31" t="str">
        <f aca="false">IF(D327="","",SUBSTITUTE(SUBSTITUTE(SUBSTITUTE(SUBSTITUTE(SUBSTITUTE(SUBSTITUTE(SUBSTITUTE(SUBSTITUTE(SUBSTITUTE(SUBSTITUTE(SUBSTITUTE(SUBSTITUTE(SUBSTITUTE(UPPER(TRIM(D327)),"Á","A"),"À","A"),"Â","A"),"Ã","A"),"É","E"),"Ê","E"),"Í","I"),"Ó","O"),"Ô","O"),"Õ","O"),"Ú","U"),"Ü","U"),"Ç","C"))</f>
        <v/>
      </c>
      <c r="G327" s="31" t="str">
        <f aca="false">IF(E327="","",IF(LEN(SUBSTITUTE(SUBSTITUTE(SUBSTITUTE(SUBSTITUTE(TRIM(E327),"*",""),".",""),"-","")," ",""))=11,MID(SUBSTITUTE(SUBSTITUTE(SUBSTITUTE(SUBSTITUTE(TRIM(E327),"*",""),".",""),"-","")," ",""),4,6),SUBSTITUTE(SUBSTITUTE(SUBSTITUTE(SUBSTITUTE(TRIM(E327),"*",""),".",""),"-","")," ","")))</f>
        <v/>
      </c>
      <c r="H327" s="31" t="str">
        <f aca="false">IF(OR(F327="",G327=""),"",F327&amp;"|"&amp;G327)</f>
        <v/>
      </c>
      <c r="I327" s="23"/>
      <c r="J327" s="22"/>
      <c r="K327" s="22"/>
      <c r="L327" s="25" t="str">
        <f aca="false">IF(F327="","",IF(AND(H327&lt;&gt;"",COUNTIF(Pessoas!$E:$E,H327)&gt;0),"SIM",IF(COUNTIF(Pessoas!$C:$C,F327)&gt;0,"nome igual em Pessoas: confira o CPF","")))</f>
        <v/>
      </c>
      <c r="M327" s="24"/>
      <c r="N327" s="11"/>
    </row>
    <row r="328" customFormat="false" ht="15" hidden="false" customHeight="false" outlineLevel="0" collapsed="false">
      <c r="A328" s="24"/>
      <c r="B328" s="31" t="str">
        <f aca="false">IF(A328="","",IF(LEN(UPPER(SUBSTITUTE(SUBSTITUTE(SUBSTITUTE(SUBSTITUTE(TRIM(A328),".",""),"/",""),"-","")," ","")))&lt;14,RIGHT(REPT("0",14)&amp;UPPER(SUBSTITUTE(SUBSTITUTE(SUBSTITUTE(SUBSTITUTE(TRIM(A328),".",""),"/",""),"-","")," ","")),14),UPPER(SUBSTITUTE(SUBSTITUTE(SUBSTITUTE(SUBSTITUTE(TRIM(A328),".",""),"/",""),"-","")," ",""))))</f>
        <v/>
      </c>
      <c r="C328" s="25" t="str">
        <f aca="false">IF(B328="","",IFERROR(INDEX(Empresas!$C:$C,MATCH(B328,Empresas!$B:$B,0)),"cadastre o CNPJ em Empresas"))</f>
        <v/>
      </c>
      <c r="D328" s="23"/>
      <c r="E328" s="24"/>
      <c r="F328" s="31" t="str">
        <f aca="false">IF(D328="","",SUBSTITUTE(SUBSTITUTE(SUBSTITUTE(SUBSTITUTE(SUBSTITUTE(SUBSTITUTE(SUBSTITUTE(SUBSTITUTE(SUBSTITUTE(SUBSTITUTE(SUBSTITUTE(SUBSTITUTE(SUBSTITUTE(UPPER(TRIM(D328)),"Á","A"),"À","A"),"Â","A"),"Ã","A"),"É","E"),"Ê","E"),"Í","I"),"Ó","O"),"Ô","O"),"Õ","O"),"Ú","U"),"Ü","U"),"Ç","C"))</f>
        <v/>
      </c>
      <c r="G328" s="31" t="str">
        <f aca="false">IF(E328="","",IF(LEN(SUBSTITUTE(SUBSTITUTE(SUBSTITUTE(SUBSTITUTE(TRIM(E328),"*",""),".",""),"-","")," ",""))=11,MID(SUBSTITUTE(SUBSTITUTE(SUBSTITUTE(SUBSTITUTE(TRIM(E328),"*",""),".",""),"-","")," ",""),4,6),SUBSTITUTE(SUBSTITUTE(SUBSTITUTE(SUBSTITUTE(TRIM(E328),"*",""),".",""),"-","")," ","")))</f>
        <v/>
      </c>
      <c r="H328" s="31" t="str">
        <f aca="false">IF(OR(F328="",G328=""),"",F328&amp;"|"&amp;G328)</f>
        <v/>
      </c>
      <c r="I328" s="23"/>
      <c r="J328" s="22"/>
      <c r="K328" s="22"/>
      <c r="L328" s="25" t="str">
        <f aca="false">IF(F328="","",IF(AND(H328&lt;&gt;"",COUNTIF(Pessoas!$E:$E,H328)&gt;0),"SIM",IF(COUNTIF(Pessoas!$C:$C,F328)&gt;0,"nome igual em Pessoas: confira o CPF","")))</f>
        <v/>
      </c>
      <c r="M328" s="24"/>
      <c r="N328" s="11"/>
    </row>
    <row r="329" customFormat="false" ht="15" hidden="false" customHeight="false" outlineLevel="0" collapsed="false">
      <c r="A329" s="24"/>
      <c r="B329" s="31" t="str">
        <f aca="false">IF(A329="","",IF(LEN(UPPER(SUBSTITUTE(SUBSTITUTE(SUBSTITUTE(SUBSTITUTE(TRIM(A329),".",""),"/",""),"-","")," ","")))&lt;14,RIGHT(REPT("0",14)&amp;UPPER(SUBSTITUTE(SUBSTITUTE(SUBSTITUTE(SUBSTITUTE(TRIM(A329),".",""),"/",""),"-","")," ","")),14),UPPER(SUBSTITUTE(SUBSTITUTE(SUBSTITUTE(SUBSTITUTE(TRIM(A329),".",""),"/",""),"-","")," ",""))))</f>
        <v/>
      </c>
      <c r="C329" s="25" t="str">
        <f aca="false">IF(B329="","",IFERROR(INDEX(Empresas!$C:$C,MATCH(B329,Empresas!$B:$B,0)),"cadastre o CNPJ em Empresas"))</f>
        <v/>
      </c>
      <c r="D329" s="23"/>
      <c r="E329" s="24"/>
      <c r="F329" s="31" t="str">
        <f aca="false">IF(D329="","",SUBSTITUTE(SUBSTITUTE(SUBSTITUTE(SUBSTITUTE(SUBSTITUTE(SUBSTITUTE(SUBSTITUTE(SUBSTITUTE(SUBSTITUTE(SUBSTITUTE(SUBSTITUTE(SUBSTITUTE(SUBSTITUTE(UPPER(TRIM(D329)),"Á","A"),"À","A"),"Â","A"),"Ã","A"),"É","E"),"Ê","E"),"Í","I"),"Ó","O"),"Ô","O"),"Õ","O"),"Ú","U"),"Ü","U"),"Ç","C"))</f>
        <v/>
      </c>
      <c r="G329" s="31" t="str">
        <f aca="false">IF(E329="","",IF(LEN(SUBSTITUTE(SUBSTITUTE(SUBSTITUTE(SUBSTITUTE(TRIM(E329),"*",""),".",""),"-","")," ",""))=11,MID(SUBSTITUTE(SUBSTITUTE(SUBSTITUTE(SUBSTITUTE(TRIM(E329),"*",""),".",""),"-","")," ",""),4,6),SUBSTITUTE(SUBSTITUTE(SUBSTITUTE(SUBSTITUTE(TRIM(E329),"*",""),".",""),"-","")," ","")))</f>
        <v/>
      </c>
      <c r="H329" s="31" t="str">
        <f aca="false">IF(OR(F329="",G329=""),"",F329&amp;"|"&amp;G329)</f>
        <v/>
      </c>
      <c r="I329" s="23"/>
      <c r="J329" s="22"/>
      <c r="K329" s="22"/>
      <c r="L329" s="25" t="str">
        <f aca="false">IF(F329="","",IF(AND(H329&lt;&gt;"",COUNTIF(Pessoas!$E:$E,H329)&gt;0),"SIM",IF(COUNTIF(Pessoas!$C:$C,F329)&gt;0,"nome igual em Pessoas: confira o CPF","")))</f>
        <v/>
      </c>
      <c r="M329" s="24"/>
      <c r="N329" s="11"/>
    </row>
    <row r="330" customFormat="false" ht="15" hidden="false" customHeight="false" outlineLevel="0" collapsed="false">
      <c r="A330" s="24"/>
      <c r="B330" s="31" t="str">
        <f aca="false">IF(A330="","",IF(LEN(UPPER(SUBSTITUTE(SUBSTITUTE(SUBSTITUTE(SUBSTITUTE(TRIM(A330),".",""),"/",""),"-","")," ","")))&lt;14,RIGHT(REPT("0",14)&amp;UPPER(SUBSTITUTE(SUBSTITUTE(SUBSTITUTE(SUBSTITUTE(TRIM(A330),".",""),"/",""),"-","")," ","")),14),UPPER(SUBSTITUTE(SUBSTITUTE(SUBSTITUTE(SUBSTITUTE(TRIM(A330),".",""),"/",""),"-","")," ",""))))</f>
        <v/>
      </c>
      <c r="C330" s="25" t="str">
        <f aca="false">IF(B330="","",IFERROR(INDEX(Empresas!$C:$C,MATCH(B330,Empresas!$B:$B,0)),"cadastre o CNPJ em Empresas"))</f>
        <v/>
      </c>
      <c r="D330" s="23"/>
      <c r="E330" s="24"/>
      <c r="F330" s="31" t="str">
        <f aca="false">IF(D330="","",SUBSTITUTE(SUBSTITUTE(SUBSTITUTE(SUBSTITUTE(SUBSTITUTE(SUBSTITUTE(SUBSTITUTE(SUBSTITUTE(SUBSTITUTE(SUBSTITUTE(SUBSTITUTE(SUBSTITUTE(SUBSTITUTE(UPPER(TRIM(D330)),"Á","A"),"À","A"),"Â","A"),"Ã","A"),"É","E"),"Ê","E"),"Í","I"),"Ó","O"),"Ô","O"),"Õ","O"),"Ú","U"),"Ü","U"),"Ç","C"))</f>
        <v/>
      </c>
      <c r="G330" s="31" t="str">
        <f aca="false">IF(E330="","",IF(LEN(SUBSTITUTE(SUBSTITUTE(SUBSTITUTE(SUBSTITUTE(TRIM(E330),"*",""),".",""),"-","")," ",""))=11,MID(SUBSTITUTE(SUBSTITUTE(SUBSTITUTE(SUBSTITUTE(TRIM(E330),"*",""),".",""),"-","")," ",""),4,6),SUBSTITUTE(SUBSTITUTE(SUBSTITUTE(SUBSTITUTE(TRIM(E330),"*",""),".",""),"-","")," ","")))</f>
        <v/>
      </c>
      <c r="H330" s="31" t="str">
        <f aca="false">IF(OR(F330="",G330=""),"",F330&amp;"|"&amp;G330)</f>
        <v/>
      </c>
      <c r="I330" s="23"/>
      <c r="J330" s="22"/>
      <c r="K330" s="22"/>
      <c r="L330" s="25" t="str">
        <f aca="false">IF(F330="","",IF(AND(H330&lt;&gt;"",COUNTIF(Pessoas!$E:$E,H330)&gt;0),"SIM",IF(COUNTIF(Pessoas!$C:$C,F330)&gt;0,"nome igual em Pessoas: confira o CPF","")))</f>
        <v/>
      </c>
      <c r="M330" s="24"/>
      <c r="N330" s="11"/>
    </row>
    <row r="331" customFormat="false" ht="15" hidden="false" customHeight="false" outlineLevel="0" collapsed="false">
      <c r="A331" s="24"/>
      <c r="B331" s="31" t="str">
        <f aca="false">IF(A331="","",IF(LEN(UPPER(SUBSTITUTE(SUBSTITUTE(SUBSTITUTE(SUBSTITUTE(TRIM(A331),".",""),"/",""),"-","")," ","")))&lt;14,RIGHT(REPT("0",14)&amp;UPPER(SUBSTITUTE(SUBSTITUTE(SUBSTITUTE(SUBSTITUTE(TRIM(A331),".",""),"/",""),"-","")," ","")),14),UPPER(SUBSTITUTE(SUBSTITUTE(SUBSTITUTE(SUBSTITUTE(TRIM(A331),".",""),"/",""),"-","")," ",""))))</f>
        <v/>
      </c>
      <c r="C331" s="25" t="str">
        <f aca="false">IF(B331="","",IFERROR(INDEX(Empresas!$C:$C,MATCH(B331,Empresas!$B:$B,0)),"cadastre o CNPJ em Empresas"))</f>
        <v/>
      </c>
      <c r="D331" s="23"/>
      <c r="E331" s="24"/>
      <c r="F331" s="31" t="str">
        <f aca="false">IF(D331="","",SUBSTITUTE(SUBSTITUTE(SUBSTITUTE(SUBSTITUTE(SUBSTITUTE(SUBSTITUTE(SUBSTITUTE(SUBSTITUTE(SUBSTITUTE(SUBSTITUTE(SUBSTITUTE(SUBSTITUTE(SUBSTITUTE(UPPER(TRIM(D331)),"Á","A"),"À","A"),"Â","A"),"Ã","A"),"É","E"),"Ê","E"),"Í","I"),"Ó","O"),"Ô","O"),"Õ","O"),"Ú","U"),"Ü","U"),"Ç","C"))</f>
        <v/>
      </c>
      <c r="G331" s="31" t="str">
        <f aca="false">IF(E331="","",IF(LEN(SUBSTITUTE(SUBSTITUTE(SUBSTITUTE(SUBSTITUTE(TRIM(E331),"*",""),".",""),"-","")," ",""))=11,MID(SUBSTITUTE(SUBSTITUTE(SUBSTITUTE(SUBSTITUTE(TRIM(E331),"*",""),".",""),"-","")," ",""),4,6),SUBSTITUTE(SUBSTITUTE(SUBSTITUTE(SUBSTITUTE(TRIM(E331),"*",""),".",""),"-","")," ","")))</f>
        <v/>
      </c>
      <c r="H331" s="31" t="str">
        <f aca="false">IF(OR(F331="",G331=""),"",F331&amp;"|"&amp;G331)</f>
        <v/>
      </c>
      <c r="I331" s="23"/>
      <c r="J331" s="22"/>
      <c r="K331" s="22"/>
      <c r="L331" s="25" t="str">
        <f aca="false">IF(F331="","",IF(AND(H331&lt;&gt;"",COUNTIF(Pessoas!$E:$E,H331)&gt;0),"SIM",IF(COUNTIF(Pessoas!$C:$C,F331)&gt;0,"nome igual em Pessoas: confira o CPF","")))</f>
        <v/>
      </c>
      <c r="M331" s="24"/>
      <c r="N331" s="11"/>
    </row>
    <row r="332" customFormat="false" ht="15" hidden="false" customHeight="false" outlineLevel="0" collapsed="false">
      <c r="A332" s="24"/>
      <c r="B332" s="31" t="str">
        <f aca="false">IF(A332="","",IF(LEN(UPPER(SUBSTITUTE(SUBSTITUTE(SUBSTITUTE(SUBSTITUTE(TRIM(A332),".",""),"/",""),"-","")," ","")))&lt;14,RIGHT(REPT("0",14)&amp;UPPER(SUBSTITUTE(SUBSTITUTE(SUBSTITUTE(SUBSTITUTE(TRIM(A332),".",""),"/",""),"-","")," ","")),14),UPPER(SUBSTITUTE(SUBSTITUTE(SUBSTITUTE(SUBSTITUTE(TRIM(A332),".",""),"/",""),"-","")," ",""))))</f>
        <v/>
      </c>
      <c r="C332" s="25" t="str">
        <f aca="false">IF(B332="","",IFERROR(INDEX(Empresas!$C:$C,MATCH(B332,Empresas!$B:$B,0)),"cadastre o CNPJ em Empresas"))</f>
        <v/>
      </c>
      <c r="D332" s="23"/>
      <c r="E332" s="24"/>
      <c r="F332" s="31" t="str">
        <f aca="false">IF(D332="","",SUBSTITUTE(SUBSTITUTE(SUBSTITUTE(SUBSTITUTE(SUBSTITUTE(SUBSTITUTE(SUBSTITUTE(SUBSTITUTE(SUBSTITUTE(SUBSTITUTE(SUBSTITUTE(SUBSTITUTE(SUBSTITUTE(UPPER(TRIM(D332)),"Á","A"),"À","A"),"Â","A"),"Ã","A"),"É","E"),"Ê","E"),"Í","I"),"Ó","O"),"Ô","O"),"Õ","O"),"Ú","U"),"Ü","U"),"Ç","C"))</f>
        <v/>
      </c>
      <c r="G332" s="31" t="str">
        <f aca="false">IF(E332="","",IF(LEN(SUBSTITUTE(SUBSTITUTE(SUBSTITUTE(SUBSTITUTE(TRIM(E332),"*",""),".",""),"-","")," ",""))=11,MID(SUBSTITUTE(SUBSTITUTE(SUBSTITUTE(SUBSTITUTE(TRIM(E332),"*",""),".",""),"-","")," ",""),4,6),SUBSTITUTE(SUBSTITUTE(SUBSTITUTE(SUBSTITUTE(TRIM(E332),"*",""),".",""),"-","")," ","")))</f>
        <v/>
      </c>
      <c r="H332" s="31" t="str">
        <f aca="false">IF(OR(F332="",G332=""),"",F332&amp;"|"&amp;G332)</f>
        <v/>
      </c>
      <c r="I332" s="23"/>
      <c r="J332" s="22"/>
      <c r="K332" s="22"/>
      <c r="L332" s="25" t="str">
        <f aca="false">IF(F332="","",IF(AND(H332&lt;&gt;"",COUNTIF(Pessoas!$E:$E,H332)&gt;0),"SIM",IF(COUNTIF(Pessoas!$C:$C,F332)&gt;0,"nome igual em Pessoas: confira o CPF","")))</f>
        <v/>
      </c>
      <c r="M332" s="24"/>
      <c r="N332" s="11"/>
    </row>
    <row r="333" customFormat="false" ht="15" hidden="false" customHeight="false" outlineLevel="0" collapsed="false">
      <c r="A333" s="24"/>
      <c r="B333" s="31" t="str">
        <f aca="false">IF(A333="","",IF(LEN(UPPER(SUBSTITUTE(SUBSTITUTE(SUBSTITUTE(SUBSTITUTE(TRIM(A333),".",""),"/",""),"-","")," ","")))&lt;14,RIGHT(REPT("0",14)&amp;UPPER(SUBSTITUTE(SUBSTITUTE(SUBSTITUTE(SUBSTITUTE(TRIM(A333),".",""),"/",""),"-","")," ","")),14),UPPER(SUBSTITUTE(SUBSTITUTE(SUBSTITUTE(SUBSTITUTE(TRIM(A333),".",""),"/",""),"-","")," ",""))))</f>
        <v/>
      </c>
      <c r="C333" s="25" t="str">
        <f aca="false">IF(B333="","",IFERROR(INDEX(Empresas!$C:$C,MATCH(B333,Empresas!$B:$B,0)),"cadastre o CNPJ em Empresas"))</f>
        <v/>
      </c>
      <c r="D333" s="23"/>
      <c r="E333" s="24"/>
      <c r="F333" s="31" t="str">
        <f aca="false">IF(D333="","",SUBSTITUTE(SUBSTITUTE(SUBSTITUTE(SUBSTITUTE(SUBSTITUTE(SUBSTITUTE(SUBSTITUTE(SUBSTITUTE(SUBSTITUTE(SUBSTITUTE(SUBSTITUTE(SUBSTITUTE(SUBSTITUTE(UPPER(TRIM(D333)),"Á","A"),"À","A"),"Â","A"),"Ã","A"),"É","E"),"Ê","E"),"Í","I"),"Ó","O"),"Ô","O"),"Õ","O"),"Ú","U"),"Ü","U"),"Ç","C"))</f>
        <v/>
      </c>
      <c r="G333" s="31" t="str">
        <f aca="false">IF(E333="","",IF(LEN(SUBSTITUTE(SUBSTITUTE(SUBSTITUTE(SUBSTITUTE(TRIM(E333),"*",""),".",""),"-","")," ",""))=11,MID(SUBSTITUTE(SUBSTITUTE(SUBSTITUTE(SUBSTITUTE(TRIM(E333),"*",""),".",""),"-","")," ",""),4,6),SUBSTITUTE(SUBSTITUTE(SUBSTITUTE(SUBSTITUTE(TRIM(E333),"*",""),".",""),"-","")," ","")))</f>
        <v/>
      </c>
      <c r="H333" s="31" t="str">
        <f aca="false">IF(OR(F333="",G333=""),"",F333&amp;"|"&amp;G333)</f>
        <v/>
      </c>
      <c r="I333" s="23"/>
      <c r="J333" s="22"/>
      <c r="K333" s="22"/>
      <c r="L333" s="25" t="str">
        <f aca="false">IF(F333="","",IF(AND(H333&lt;&gt;"",COUNTIF(Pessoas!$E:$E,H333)&gt;0),"SIM",IF(COUNTIF(Pessoas!$C:$C,F333)&gt;0,"nome igual em Pessoas: confira o CPF","")))</f>
        <v/>
      </c>
      <c r="M333" s="24"/>
      <c r="N333" s="11"/>
    </row>
    <row r="334" customFormat="false" ht="15" hidden="false" customHeight="false" outlineLevel="0" collapsed="false">
      <c r="A334" s="24"/>
      <c r="B334" s="31" t="str">
        <f aca="false">IF(A334="","",IF(LEN(UPPER(SUBSTITUTE(SUBSTITUTE(SUBSTITUTE(SUBSTITUTE(TRIM(A334),".",""),"/",""),"-","")," ","")))&lt;14,RIGHT(REPT("0",14)&amp;UPPER(SUBSTITUTE(SUBSTITUTE(SUBSTITUTE(SUBSTITUTE(TRIM(A334),".",""),"/",""),"-","")," ","")),14),UPPER(SUBSTITUTE(SUBSTITUTE(SUBSTITUTE(SUBSTITUTE(TRIM(A334),".",""),"/",""),"-","")," ",""))))</f>
        <v/>
      </c>
      <c r="C334" s="25" t="str">
        <f aca="false">IF(B334="","",IFERROR(INDEX(Empresas!$C:$C,MATCH(B334,Empresas!$B:$B,0)),"cadastre o CNPJ em Empresas"))</f>
        <v/>
      </c>
      <c r="D334" s="23"/>
      <c r="E334" s="24"/>
      <c r="F334" s="31" t="str">
        <f aca="false">IF(D334="","",SUBSTITUTE(SUBSTITUTE(SUBSTITUTE(SUBSTITUTE(SUBSTITUTE(SUBSTITUTE(SUBSTITUTE(SUBSTITUTE(SUBSTITUTE(SUBSTITUTE(SUBSTITUTE(SUBSTITUTE(SUBSTITUTE(UPPER(TRIM(D334)),"Á","A"),"À","A"),"Â","A"),"Ã","A"),"É","E"),"Ê","E"),"Í","I"),"Ó","O"),"Ô","O"),"Õ","O"),"Ú","U"),"Ü","U"),"Ç","C"))</f>
        <v/>
      </c>
      <c r="G334" s="31" t="str">
        <f aca="false">IF(E334="","",IF(LEN(SUBSTITUTE(SUBSTITUTE(SUBSTITUTE(SUBSTITUTE(TRIM(E334),"*",""),".",""),"-","")," ",""))=11,MID(SUBSTITUTE(SUBSTITUTE(SUBSTITUTE(SUBSTITUTE(TRIM(E334),"*",""),".",""),"-","")," ",""),4,6),SUBSTITUTE(SUBSTITUTE(SUBSTITUTE(SUBSTITUTE(TRIM(E334),"*",""),".",""),"-","")," ","")))</f>
        <v/>
      </c>
      <c r="H334" s="31" t="str">
        <f aca="false">IF(OR(F334="",G334=""),"",F334&amp;"|"&amp;G334)</f>
        <v/>
      </c>
      <c r="I334" s="23"/>
      <c r="J334" s="22"/>
      <c r="K334" s="22"/>
      <c r="L334" s="25" t="str">
        <f aca="false">IF(F334="","",IF(AND(H334&lt;&gt;"",COUNTIF(Pessoas!$E:$E,H334)&gt;0),"SIM",IF(COUNTIF(Pessoas!$C:$C,F334)&gt;0,"nome igual em Pessoas: confira o CPF","")))</f>
        <v/>
      </c>
      <c r="M334" s="24"/>
      <c r="N334" s="11"/>
    </row>
    <row r="335" customFormat="false" ht="15" hidden="false" customHeight="false" outlineLevel="0" collapsed="false">
      <c r="A335" s="24"/>
      <c r="B335" s="31" t="str">
        <f aca="false">IF(A335="","",IF(LEN(UPPER(SUBSTITUTE(SUBSTITUTE(SUBSTITUTE(SUBSTITUTE(TRIM(A335),".",""),"/",""),"-","")," ","")))&lt;14,RIGHT(REPT("0",14)&amp;UPPER(SUBSTITUTE(SUBSTITUTE(SUBSTITUTE(SUBSTITUTE(TRIM(A335),".",""),"/",""),"-","")," ","")),14),UPPER(SUBSTITUTE(SUBSTITUTE(SUBSTITUTE(SUBSTITUTE(TRIM(A335),".",""),"/",""),"-","")," ",""))))</f>
        <v/>
      </c>
      <c r="C335" s="25" t="str">
        <f aca="false">IF(B335="","",IFERROR(INDEX(Empresas!$C:$C,MATCH(B335,Empresas!$B:$B,0)),"cadastre o CNPJ em Empresas"))</f>
        <v/>
      </c>
      <c r="D335" s="23"/>
      <c r="E335" s="24"/>
      <c r="F335" s="31" t="str">
        <f aca="false">IF(D335="","",SUBSTITUTE(SUBSTITUTE(SUBSTITUTE(SUBSTITUTE(SUBSTITUTE(SUBSTITUTE(SUBSTITUTE(SUBSTITUTE(SUBSTITUTE(SUBSTITUTE(SUBSTITUTE(SUBSTITUTE(SUBSTITUTE(UPPER(TRIM(D335)),"Á","A"),"À","A"),"Â","A"),"Ã","A"),"É","E"),"Ê","E"),"Í","I"),"Ó","O"),"Ô","O"),"Õ","O"),"Ú","U"),"Ü","U"),"Ç","C"))</f>
        <v/>
      </c>
      <c r="G335" s="31" t="str">
        <f aca="false">IF(E335="","",IF(LEN(SUBSTITUTE(SUBSTITUTE(SUBSTITUTE(SUBSTITUTE(TRIM(E335),"*",""),".",""),"-","")," ",""))=11,MID(SUBSTITUTE(SUBSTITUTE(SUBSTITUTE(SUBSTITUTE(TRIM(E335),"*",""),".",""),"-","")," ",""),4,6),SUBSTITUTE(SUBSTITUTE(SUBSTITUTE(SUBSTITUTE(TRIM(E335),"*",""),".",""),"-","")," ","")))</f>
        <v/>
      </c>
      <c r="H335" s="31" t="str">
        <f aca="false">IF(OR(F335="",G335=""),"",F335&amp;"|"&amp;G335)</f>
        <v/>
      </c>
      <c r="I335" s="23"/>
      <c r="J335" s="22"/>
      <c r="K335" s="22"/>
      <c r="L335" s="25" t="str">
        <f aca="false">IF(F335="","",IF(AND(H335&lt;&gt;"",COUNTIF(Pessoas!$E:$E,H335)&gt;0),"SIM",IF(COUNTIF(Pessoas!$C:$C,F335)&gt;0,"nome igual em Pessoas: confira o CPF","")))</f>
        <v/>
      </c>
      <c r="M335" s="24"/>
      <c r="N335" s="11"/>
    </row>
    <row r="336" customFormat="false" ht="15" hidden="false" customHeight="false" outlineLevel="0" collapsed="false">
      <c r="A336" s="24"/>
      <c r="B336" s="31" t="str">
        <f aca="false">IF(A336="","",IF(LEN(UPPER(SUBSTITUTE(SUBSTITUTE(SUBSTITUTE(SUBSTITUTE(TRIM(A336),".",""),"/",""),"-","")," ","")))&lt;14,RIGHT(REPT("0",14)&amp;UPPER(SUBSTITUTE(SUBSTITUTE(SUBSTITUTE(SUBSTITUTE(TRIM(A336),".",""),"/",""),"-","")," ","")),14),UPPER(SUBSTITUTE(SUBSTITUTE(SUBSTITUTE(SUBSTITUTE(TRIM(A336),".",""),"/",""),"-","")," ",""))))</f>
        <v/>
      </c>
      <c r="C336" s="25" t="str">
        <f aca="false">IF(B336="","",IFERROR(INDEX(Empresas!$C:$C,MATCH(B336,Empresas!$B:$B,0)),"cadastre o CNPJ em Empresas"))</f>
        <v/>
      </c>
      <c r="D336" s="23"/>
      <c r="E336" s="24"/>
      <c r="F336" s="31" t="str">
        <f aca="false">IF(D336="","",SUBSTITUTE(SUBSTITUTE(SUBSTITUTE(SUBSTITUTE(SUBSTITUTE(SUBSTITUTE(SUBSTITUTE(SUBSTITUTE(SUBSTITUTE(SUBSTITUTE(SUBSTITUTE(SUBSTITUTE(SUBSTITUTE(UPPER(TRIM(D336)),"Á","A"),"À","A"),"Â","A"),"Ã","A"),"É","E"),"Ê","E"),"Í","I"),"Ó","O"),"Ô","O"),"Õ","O"),"Ú","U"),"Ü","U"),"Ç","C"))</f>
        <v/>
      </c>
      <c r="G336" s="31" t="str">
        <f aca="false">IF(E336="","",IF(LEN(SUBSTITUTE(SUBSTITUTE(SUBSTITUTE(SUBSTITUTE(TRIM(E336),"*",""),".",""),"-","")," ",""))=11,MID(SUBSTITUTE(SUBSTITUTE(SUBSTITUTE(SUBSTITUTE(TRIM(E336),"*",""),".",""),"-","")," ",""),4,6),SUBSTITUTE(SUBSTITUTE(SUBSTITUTE(SUBSTITUTE(TRIM(E336),"*",""),".",""),"-","")," ","")))</f>
        <v/>
      </c>
      <c r="H336" s="31" t="str">
        <f aca="false">IF(OR(F336="",G336=""),"",F336&amp;"|"&amp;G336)</f>
        <v/>
      </c>
      <c r="I336" s="23"/>
      <c r="J336" s="22"/>
      <c r="K336" s="22"/>
      <c r="L336" s="25" t="str">
        <f aca="false">IF(F336="","",IF(AND(H336&lt;&gt;"",COUNTIF(Pessoas!$E:$E,H336)&gt;0),"SIM",IF(COUNTIF(Pessoas!$C:$C,F336)&gt;0,"nome igual em Pessoas: confira o CPF","")))</f>
        <v/>
      </c>
      <c r="M336" s="24"/>
      <c r="N336" s="11"/>
    </row>
    <row r="337" customFormat="false" ht="15" hidden="false" customHeight="false" outlineLevel="0" collapsed="false">
      <c r="A337" s="24"/>
      <c r="B337" s="31" t="str">
        <f aca="false">IF(A337="","",IF(LEN(UPPER(SUBSTITUTE(SUBSTITUTE(SUBSTITUTE(SUBSTITUTE(TRIM(A337),".",""),"/",""),"-","")," ","")))&lt;14,RIGHT(REPT("0",14)&amp;UPPER(SUBSTITUTE(SUBSTITUTE(SUBSTITUTE(SUBSTITUTE(TRIM(A337),".",""),"/",""),"-","")," ","")),14),UPPER(SUBSTITUTE(SUBSTITUTE(SUBSTITUTE(SUBSTITUTE(TRIM(A337),".",""),"/",""),"-","")," ",""))))</f>
        <v/>
      </c>
      <c r="C337" s="25" t="str">
        <f aca="false">IF(B337="","",IFERROR(INDEX(Empresas!$C:$C,MATCH(B337,Empresas!$B:$B,0)),"cadastre o CNPJ em Empresas"))</f>
        <v/>
      </c>
      <c r="D337" s="23"/>
      <c r="E337" s="24"/>
      <c r="F337" s="31" t="str">
        <f aca="false">IF(D337="","",SUBSTITUTE(SUBSTITUTE(SUBSTITUTE(SUBSTITUTE(SUBSTITUTE(SUBSTITUTE(SUBSTITUTE(SUBSTITUTE(SUBSTITUTE(SUBSTITUTE(SUBSTITUTE(SUBSTITUTE(SUBSTITUTE(UPPER(TRIM(D337)),"Á","A"),"À","A"),"Â","A"),"Ã","A"),"É","E"),"Ê","E"),"Í","I"),"Ó","O"),"Ô","O"),"Õ","O"),"Ú","U"),"Ü","U"),"Ç","C"))</f>
        <v/>
      </c>
      <c r="G337" s="31" t="str">
        <f aca="false">IF(E337="","",IF(LEN(SUBSTITUTE(SUBSTITUTE(SUBSTITUTE(SUBSTITUTE(TRIM(E337),"*",""),".",""),"-","")," ",""))=11,MID(SUBSTITUTE(SUBSTITUTE(SUBSTITUTE(SUBSTITUTE(TRIM(E337),"*",""),".",""),"-","")," ",""),4,6),SUBSTITUTE(SUBSTITUTE(SUBSTITUTE(SUBSTITUTE(TRIM(E337),"*",""),".",""),"-","")," ","")))</f>
        <v/>
      </c>
      <c r="H337" s="31" t="str">
        <f aca="false">IF(OR(F337="",G337=""),"",F337&amp;"|"&amp;G337)</f>
        <v/>
      </c>
      <c r="I337" s="23"/>
      <c r="J337" s="22"/>
      <c r="K337" s="22"/>
      <c r="L337" s="25" t="str">
        <f aca="false">IF(F337="","",IF(AND(H337&lt;&gt;"",COUNTIF(Pessoas!$E:$E,H337)&gt;0),"SIM",IF(COUNTIF(Pessoas!$C:$C,F337)&gt;0,"nome igual em Pessoas: confira o CPF","")))</f>
        <v/>
      </c>
      <c r="M337" s="24"/>
      <c r="N337" s="11"/>
    </row>
    <row r="338" customFormat="false" ht="15" hidden="false" customHeight="false" outlineLevel="0" collapsed="false">
      <c r="A338" s="24"/>
      <c r="B338" s="31" t="str">
        <f aca="false">IF(A338="","",IF(LEN(UPPER(SUBSTITUTE(SUBSTITUTE(SUBSTITUTE(SUBSTITUTE(TRIM(A338),".",""),"/",""),"-","")," ","")))&lt;14,RIGHT(REPT("0",14)&amp;UPPER(SUBSTITUTE(SUBSTITUTE(SUBSTITUTE(SUBSTITUTE(TRIM(A338),".",""),"/",""),"-","")," ","")),14),UPPER(SUBSTITUTE(SUBSTITUTE(SUBSTITUTE(SUBSTITUTE(TRIM(A338),".",""),"/",""),"-","")," ",""))))</f>
        <v/>
      </c>
      <c r="C338" s="25" t="str">
        <f aca="false">IF(B338="","",IFERROR(INDEX(Empresas!$C:$C,MATCH(B338,Empresas!$B:$B,0)),"cadastre o CNPJ em Empresas"))</f>
        <v/>
      </c>
      <c r="D338" s="23"/>
      <c r="E338" s="24"/>
      <c r="F338" s="31" t="str">
        <f aca="false">IF(D338="","",SUBSTITUTE(SUBSTITUTE(SUBSTITUTE(SUBSTITUTE(SUBSTITUTE(SUBSTITUTE(SUBSTITUTE(SUBSTITUTE(SUBSTITUTE(SUBSTITUTE(SUBSTITUTE(SUBSTITUTE(SUBSTITUTE(UPPER(TRIM(D338)),"Á","A"),"À","A"),"Â","A"),"Ã","A"),"É","E"),"Ê","E"),"Í","I"),"Ó","O"),"Ô","O"),"Õ","O"),"Ú","U"),"Ü","U"),"Ç","C"))</f>
        <v/>
      </c>
      <c r="G338" s="31" t="str">
        <f aca="false">IF(E338="","",IF(LEN(SUBSTITUTE(SUBSTITUTE(SUBSTITUTE(SUBSTITUTE(TRIM(E338),"*",""),".",""),"-","")," ",""))=11,MID(SUBSTITUTE(SUBSTITUTE(SUBSTITUTE(SUBSTITUTE(TRIM(E338),"*",""),".",""),"-","")," ",""),4,6),SUBSTITUTE(SUBSTITUTE(SUBSTITUTE(SUBSTITUTE(TRIM(E338),"*",""),".",""),"-","")," ","")))</f>
        <v/>
      </c>
      <c r="H338" s="31" t="str">
        <f aca="false">IF(OR(F338="",G338=""),"",F338&amp;"|"&amp;G338)</f>
        <v/>
      </c>
      <c r="I338" s="23"/>
      <c r="J338" s="22"/>
      <c r="K338" s="22"/>
      <c r="L338" s="25" t="str">
        <f aca="false">IF(F338="","",IF(AND(H338&lt;&gt;"",COUNTIF(Pessoas!$E:$E,H338)&gt;0),"SIM",IF(COUNTIF(Pessoas!$C:$C,F338)&gt;0,"nome igual em Pessoas: confira o CPF","")))</f>
        <v/>
      </c>
      <c r="M338" s="24"/>
      <c r="N338" s="11"/>
    </row>
    <row r="339" customFormat="false" ht="15" hidden="false" customHeight="false" outlineLevel="0" collapsed="false">
      <c r="A339" s="24"/>
      <c r="B339" s="31" t="str">
        <f aca="false">IF(A339="","",IF(LEN(UPPER(SUBSTITUTE(SUBSTITUTE(SUBSTITUTE(SUBSTITUTE(TRIM(A339),".",""),"/",""),"-","")," ","")))&lt;14,RIGHT(REPT("0",14)&amp;UPPER(SUBSTITUTE(SUBSTITUTE(SUBSTITUTE(SUBSTITUTE(TRIM(A339),".",""),"/",""),"-","")," ","")),14),UPPER(SUBSTITUTE(SUBSTITUTE(SUBSTITUTE(SUBSTITUTE(TRIM(A339),".",""),"/",""),"-","")," ",""))))</f>
        <v/>
      </c>
      <c r="C339" s="25" t="str">
        <f aca="false">IF(B339="","",IFERROR(INDEX(Empresas!$C:$C,MATCH(B339,Empresas!$B:$B,0)),"cadastre o CNPJ em Empresas"))</f>
        <v/>
      </c>
      <c r="D339" s="23"/>
      <c r="E339" s="24"/>
      <c r="F339" s="31" t="str">
        <f aca="false">IF(D339="","",SUBSTITUTE(SUBSTITUTE(SUBSTITUTE(SUBSTITUTE(SUBSTITUTE(SUBSTITUTE(SUBSTITUTE(SUBSTITUTE(SUBSTITUTE(SUBSTITUTE(SUBSTITUTE(SUBSTITUTE(SUBSTITUTE(UPPER(TRIM(D339)),"Á","A"),"À","A"),"Â","A"),"Ã","A"),"É","E"),"Ê","E"),"Í","I"),"Ó","O"),"Ô","O"),"Õ","O"),"Ú","U"),"Ü","U"),"Ç","C"))</f>
        <v/>
      </c>
      <c r="G339" s="31" t="str">
        <f aca="false">IF(E339="","",IF(LEN(SUBSTITUTE(SUBSTITUTE(SUBSTITUTE(SUBSTITUTE(TRIM(E339),"*",""),".",""),"-","")," ",""))=11,MID(SUBSTITUTE(SUBSTITUTE(SUBSTITUTE(SUBSTITUTE(TRIM(E339),"*",""),".",""),"-","")," ",""),4,6),SUBSTITUTE(SUBSTITUTE(SUBSTITUTE(SUBSTITUTE(TRIM(E339),"*",""),".",""),"-","")," ","")))</f>
        <v/>
      </c>
      <c r="H339" s="31" t="str">
        <f aca="false">IF(OR(F339="",G339=""),"",F339&amp;"|"&amp;G339)</f>
        <v/>
      </c>
      <c r="I339" s="23"/>
      <c r="J339" s="22"/>
      <c r="K339" s="22"/>
      <c r="L339" s="25" t="str">
        <f aca="false">IF(F339="","",IF(AND(H339&lt;&gt;"",COUNTIF(Pessoas!$E:$E,H339)&gt;0),"SIM",IF(COUNTIF(Pessoas!$C:$C,F339)&gt;0,"nome igual em Pessoas: confira o CPF","")))</f>
        <v/>
      </c>
      <c r="M339" s="24"/>
      <c r="N339" s="11"/>
    </row>
    <row r="340" customFormat="false" ht="15" hidden="false" customHeight="false" outlineLevel="0" collapsed="false">
      <c r="A340" s="24"/>
      <c r="B340" s="31" t="str">
        <f aca="false">IF(A340="","",IF(LEN(UPPER(SUBSTITUTE(SUBSTITUTE(SUBSTITUTE(SUBSTITUTE(TRIM(A340),".",""),"/",""),"-","")," ","")))&lt;14,RIGHT(REPT("0",14)&amp;UPPER(SUBSTITUTE(SUBSTITUTE(SUBSTITUTE(SUBSTITUTE(TRIM(A340),".",""),"/",""),"-","")," ","")),14),UPPER(SUBSTITUTE(SUBSTITUTE(SUBSTITUTE(SUBSTITUTE(TRIM(A340),".",""),"/",""),"-","")," ",""))))</f>
        <v/>
      </c>
      <c r="C340" s="25" t="str">
        <f aca="false">IF(B340="","",IFERROR(INDEX(Empresas!$C:$C,MATCH(B340,Empresas!$B:$B,0)),"cadastre o CNPJ em Empresas"))</f>
        <v/>
      </c>
      <c r="D340" s="23"/>
      <c r="E340" s="24"/>
      <c r="F340" s="31" t="str">
        <f aca="false">IF(D340="","",SUBSTITUTE(SUBSTITUTE(SUBSTITUTE(SUBSTITUTE(SUBSTITUTE(SUBSTITUTE(SUBSTITUTE(SUBSTITUTE(SUBSTITUTE(SUBSTITUTE(SUBSTITUTE(SUBSTITUTE(SUBSTITUTE(UPPER(TRIM(D340)),"Á","A"),"À","A"),"Â","A"),"Ã","A"),"É","E"),"Ê","E"),"Í","I"),"Ó","O"),"Ô","O"),"Õ","O"),"Ú","U"),"Ü","U"),"Ç","C"))</f>
        <v/>
      </c>
      <c r="G340" s="31" t="str">
        <f aca="false">IF(E340="","",IF(LEN(SUBSTITUTE(SUBSTITUTE(SUBSTITUTE(SUBSTITUTE(TRIM(E340),"*",""),".",""),"-","")," ",""))=11,MID(SUBSTITUTE(SUBSTITUTE(SUBSTITUTE(SUBSTITUTE(TRIM(E340),"*",""),".",""),"-","")," ",""),4,6),SUBSTITUTE(SUBSTITUTE(SUBSTITUTE(SUBSTITUTE(TRIM(E340),"*",""),".",""),"-","")," ","")))</f>
        <v/>
      </c>
      <c r="H340" s="31" t="str">
        <f aca="false">IF(OR(F340="",G340=""),"",F340&amp;"|"&amp;G340)</f>
        <v/>
      </c>
      <c r="I340" s="23"/>
      <c r="J340" s="22"/>
      <c r="K340" s="22"/>
      <c r="L340" s="25" t="str">
        <f aca="false">IF(F340="","",IF(AND(H340&lt;&gt;"",COUNTIF(Pessoas!$E:$E,H340)&gt;0),"SIM",IF(COUNTIF(Pessoas!$C:$C,F340)&gt;0,"nome igual em Pessoas: confira o CPF","")))</f>
        <v/>
      </c>
      <c r="M340" s="24"/>
      <c r="N340" s="11"/>
    </row>
    <row r="341" customFormat="false" ht="15" hidden="false" customHeight="false" outlineLevel="0" collapsed="false">
      <c r="A341" s="24"/>
      <c r="B341" s="31" t="str">
        <f aca="false">IF(A341="","",IF(LEN(UPPER(SUBSTITUTE(SUBSTITUTE(SUBSTITUTE(SUBSTITUTE(TRIM(A341),".",""),"/",""),"-","")," ","")))&lt;14,RIGHT(REPT("0",14)&amp;UPPER(SUBSTITUTE(SUBSTITUTE(SUBSTITUTE(SUBSTITUTE(TRIM(A341),".",""),"/",""),"-","")," ","")),14),UPPER(SUBSTITUTE(SUBSTITUTE(SUBSTITUTE(SUBSTITUTE(TRIM(A341),".",""),"/",""),"-","")," ",""))))</f>
        <v/>
      </c>
      <c r="C341" s="25" t="str">
        <f aca="false">IF(B341="","",IFERROR(INDEX(Empresas!$C:$C,MATCH(B341,Empresas!$B:$B,0)),"cadastre o CNPJ em Empresas"))</f>
        <v/>
      </c>
      <c r="D341" s="23"/>
      <c r="E341" s="24"/>
      <c r="F341" s="31" t="str">
        <f aca="false">IF(D341="","",SUBSTITUTE(SUBSTITUTE(SUBSTITUTE(SUBSTITUTE(SUBSTITUTE(SUBSTITUTE(SUBSTITUTE(SUBSTITUTE(SUBSTITUTE(SUBSTITUTE(SUBSTITUTE(SUBSTITUTE(SUBSTITUTE(UPPER(TRIM(D341)),"Á","A"),"À","A"),"Â","A"),"Ã","A"),"É","E"),"Ê","E"),"Í","I"),"Ó","O"),"Ô","O"),"Õ","O"),"Ú","U"),"Ü","U"),"Ç","C"))</f>
        <v/>
      </c>
      <c r="G341" s="31" t="str">
        <f aca="false">IF(E341="","",IF(LEN(SUBSTITUTE(SUBSTITUTE(SUBSTITUTE(SUBSTITUTE(TRIM(E341),"*",""),".",""),"-","")," ",""))=11,MID(SUBSTITUTE(SUBSTITUTE(SUBSTITUTE(SUBSTITUTE(TRIM(E341),"*",""),".",""),"-","")," ",""),4,6),SUBSTITUTE(SUBSTITUTE(SUBSTITUTE(SUBSTITUTE(TRIM(E341),"*",""),".",""),"-","")," ","")))</f>
        <v/>
      </c>
      <c r="H341" s="31" t="str">
        <f aca="false">IF(OR(F341="",G341=""),"",F341&amp;"|"&amp;G341)</f>
        <v/>
      </c>
      <c r="I341" s="23"/>
      <c r="J341" s="22"/>
      <c r="K341" s="22"/>
      <c r="L341" s="25" t="str">
        <f aca="false">IF(F341="","",IF(AND(H341&lt;&gt;"",COUNTIF(Pessoas!$E:$E,H341)&gt;0),"SIM",IF(COUNTIF(Pessoas!$C:$C,F341)&gt;0,"nome igual em Pessoas: confira o CPF","")))</f>
        <v/>
      </c>
      <c r="M341" s="24"/>
      <c r="N341" s="11"/>
    </row>
    <row r="342" customFormat="false" ht="15" hidden="false" customHeight="false" outlineLevel="0" collapsed="false">
      <c r="A342" s="24"/>
      <c r="B342" s="31" t="str">
        <f aca="false">IF(A342="","",IF(LEN(UPPER(SUBSTITUTE(SUBSTITUTE(SUBSTITUTE(SUBSTITUTE(TRIM(A342),".",""),"/",""),"-","")," ","")))&lt;14,RIGHT(REPT("0",14)&amp;UPPER(SUBSTITUTE(SUBSTITUTE(SUBSTITUTE(SUBSTITUTE(TRIM(A342),".",""),"/",""),"-","")," ","")),14),UPPER(SUBSTITUTE(SUBSTITUTE(SUBSTITUTE(SUBSTITUTE(TRIM(A342),".",""),"/",""),"-","")," ",""))))</f>
        <v/>
      </c>
      <c r="C342" s="25" t="str">
        <f aca="false">IF(B342="","",IFERROR(INDEX(Empresas!$C:$C,MATCH(B342,Empresas!$B:$B,0)),"cadastre o CNPJ em Empresas"))</f>
        <v/>
      </c>
      <c r="D342" s="23"/>
      <c r="E342" s="24"/>
      <c r="F342" s="31" t="str">
        <f aca="false">IF(D342="","",SUBSTITUTE(SUBSTITUTE(SUBSTITUTE(SUBSTITUTE(SUBSTITUTE(SUBSTITUTE(SUBSTITUTE(SUBSTITUTE(SUBSTITUTE(SUBSTITUTE(SUBSTITUTE(SUBSTITUTE(SUBSTITUTE(UPPER(TRIM(D342)),"Á","A"),"À","A"),"Â","A"),"Ã","A"),"É","E"),"Ê","E"),"Í","I"),"Ó","O"),"Ô","O"),"Õ","O"),"Ú","U"),"Ü","U"),"Ç","C"))</f>
        <v/>
      </c>
      <c r="G342" s="31" t="str">
        <f aca="false">IF(E342="","",IF(LEN(SUBSTITUTE(SUBSTITUTE(SUBSTITUTE(SUBSTITUTE(TRIM(E342),"*",""),".",""),"-","")," ",""))=11,MID(SUBSTITUTE(SUBSTITUTE(SUBSTITUTE(SUBSTITUTE(TRIM(E342),"*",""),".",""),"-","")," ",""),4,6),SUBSTITUTE(SUBSTITUTE(SUBSTITUTE(SUBSTITUTE(TRIM(E342),"*",""),".",""),"-","")," ","")))</f>
        <v/>
      </c>
      <c r="H342" s="31" t="str">
        <f aca="false">IF(OR(F342="",G342=""),"",F342&amp;"|"&amp;G342)</f>
        <v/>
      </c>
      <c r="I342" s="23"/>
      <c r="J342" s="22"/>
      <c r="K342" s="22"/>
      <c r="L342" s="25" t="str">
        <f aca="false">IF(F342="","",IF(AND(H342&lt;&gt;"",COUNTIF(Pessoas!$E:$E,H342)&gt;0),"SIM",IF(COUNTIF(Pessoas!$C:$C,F342)&gt;0,"nome igual em Pessoas: confira o CPF","")))</f>
        <v/>
      </c>
      <c r="M342" s="24"/>
      <c r="N342" s="11"/>
    </row>
    <row r="343" customFormat="false" ht="15" hidden="false" customHeight="false" outlineLevel="0" collapsed="false">
      <c r="A343" s="24"/>
      <c r="B343" s="31" t="str">
        <f aca="false">IF(A343="","",IF(LEN(UPPER(SUBSTITUTE(SUBSTITUTE(SUBSTITUTE(SUBSTITUTE(TRIM(A343),".",""),"/",""),"-","")," ","")))&lt;14,RIGHT(REPT("0",14)&amp;UPPER(SUBSTITUTE(SUBSTITUTE(SUBSTITUTE(SUBSTITUTE(TRIM(A343),".",""),"/",""),"-","")," ","")),14),UPPER(SUBSTITUTE(SUBSTITUTE(SUBSTITUTE(SUBSTITUTE(TRIM(A343),".",""),"/",""),"-","")," ",""))))</f>
        <v/>
      </c>
      <c r="C343" s="25" t="str">
        <f aca="false">IF(B343="","",IFERROR(INDEX(Empresas!$C:$C,MATCH(B343,Empresas!$B:$B,0)),"cadastre o CNPJ em Empresas"))</f>
        <v/>
      </c>
      <c r="D343" s="23"/>
      <c r="E343" s="24"/>
      <c r="F343" s="31" t="str">
        <f aca="false">IF(D343="","",SUBSTITUTE(SUBSTITUTE(SUBSTITUTE(SUBSTITUTE(SUBSTITUTE(SUBSTITUTE(SUBSTITUTE(SUBSTITUTE(SUBSTITUTE(SUBSTITUTE(SUBSTITUTE(SUBSTITUTE(SUBSTITUTE(UPPER(TRIM(D343)),"Á","A"),"À","A"),"Â","A"),"Ã","A"),"É","E"),"Ê","E"),"Í","I"),"Ó","O"),"Ô","O"),"Õ","O"),"Ú","U"),"Ü","U"),"Ç","C"))</f>
        <v/>
      </c>
      <c r="G343" s="31" t="str">
        <f aca="false">IF(E343="","",IF(LEN(SUBSTITUTE(SUBSTITUTE(SUBSTITUTE(SUBSTITUTE(TRIM(E343),"*",""),".",""),"-","")," ",""))=11,MID(SUBSTITUTE(SUBSTITUTE(SUBSTITUTE(SUBSTITUTE(TRIM(E343),"*",""),".",""),"-","")," ",""),4,6),SUBSTITUTE(SUBSTITUTE(SUBSTITUTE(SUBSTITUTE(TRIM(E343),"*",""),".",""),"-","")," ","")))</f>
        <v/>
      </c>
      <c r="H343" s="31" t="str">
        <f aca="false">IF(OR(F343="",G343=""),"",F343&amp;"|"&amp;G343)</f>
        <v/>
      </c>
      <c r="I343" s="23"/>
      <c r="J343" s="22"/>
      <c r="K343" s="22"/>
      <c r="L343" s="25" t="str">
        <f aca="false">IF(F343="","",IF(AND(H343&lt;&gt;"",COUNTIF(Pessoas!$E:$E,H343)&gt;0),"SIM",IF(COUNTIF(Pessoas!$C:$C,F343)&gt;0,"nome igual em Pessoas: confira o CPF","")))</f>
        <v/>
      </c>
      <c r="M343" s="24"/>
      <c r="N343" s="11"/>
    </row>
    <row r="344" customFormat="false" ht="15" hidden="false" customHeight="false" outlineLevel="0" collapsed="false">
      <c r="A344" s="24"/>
      <c r="B344" s="31" t="str">
        <f aca="false">IF(A344="","",IF(LEN(UPPER(SUBSTITUTE(SUBSTITUTE(SUBSTITUTE(SUBSTITUTE(TRIM(A344),".",""),"/",""),"-","")," ","")))&lt;14,RIGHT(REPT("0",14)&amp;UPPER(SUBSTITUTE(SUBSTITUTE(SUBSTITUTE(SUBSTITUTE(TRIM(A344),".",""),"/",""),"-","")," ","")),14),UPPER(SUBSTITUTE(SUBSTITUTE(SUBSTITUTE(SUBSTITUTE(TRIM(A344),".",""),"/",""),"-","")," ",""))))</f>
        <v/>
      </c>
      <c r="C344" s="25" t="str">
        <f aca="false">IF(B344="","",IFERROR(INDEX(Empresas!$C:$C,MATCH(B344,Empresas!$B:$B,0)),"cadastre o CNPJ em Empresas"))</f>
        <v/>
      </c>
      <c r="D344" s="23"/>
      <c r="E344" s="24"/>
      <c r="F344" s="31" t="str">
        <f aca="false">IF(D344="","",SUBSTITUTE(SUBSTITUTE(SUBSTITUTE(SUBSTITUTE(SUBSTITUTE(SUBSTITUTE(SUBSTITUTE(SUBSTITUTE(SUBSTITUTE(SUBSTITUTE(SUBSTITUTE(SUBSTITUTE(SUBSTITUTE(UPPER(TRIM(D344)),"Á","A"),"À","A"),"Â","A"),"Ã","A"),"É","E"),"Ê","E"),"Í","I"),"Ó","O"),"Ô","O"),"Õ","O"),"Ú","U"),"Ü","U"),"Ç","C"))</f>
        <v/>
      </c>
      <c r="G344" s="31" t="str">
        <f aca="false">IF(E344="","",IF(LEN(SUBSTITUTE(SUBSTITUTE(SUBSTITUTE(SUBSTITUTE(TRIM(E344),"*",""),".",""),"-","")," ",""))=11,MID(SUBSTITUTE(SUBSTITUTE(SUBSTITUTE(SUBSTITUTE(TRIM(E344),"*",""),".",""),"-","")," ",""),4,6),SUBSTITUTE(SUBSTITUTE(SUBSTITUTE(SUBSTITUTE(TRIM(E344),"*",""),".",""),"-","")," ","")))</f>
        <v/>
      </c>
      <c r="H344" s="31" t="str">
        <f aca="false">IF(OR(F344="",G344=""),"",F344&amp;"|"&amp;G344)</f>
        <v/>
      </c>
      <c r="I344" s="23"/>
      <c r="J344" s="22"/>
      <c r="K344" s="22"/>
      <c r="L344" s="25" t="str">
        <f aca="false">IF(F344="","",IF(AND(H344&lt;&gt;"",COUNTIF(Pessoas!$E:$E,H344)&gt;0),"SIM",IF(COUNTIF(Pessoas!$C:$C,F344)&gt;0,"nome igual em Pessoas: confira o CPF","")))</f>
        <v/>
      </c>
      <c r="M344" s="24"/>
      <c r="N344" s="11"/>
    </row>
    <row r="345" customFormat="false" ht="15" hidden="false" customHeight="false" outlineLevel="0" collapsed="false">
      <c r="A345" s="24"/>
      <c r="B345" s="31" t="str">
        <f aca="false">IF(A345="","",IF(LEN(UPPER(SUBSTITUTE(SUBSTITUTE(SUBSTITUTE(SUBSTITUTE(TRIM(A345),".",""),"/",""),"-","")," ","")))&lt;14,RIGHT(REPT("0",14)&amp;UPPER(SUBSTITUTE(SUBSTITUTE(SUBSTITUTE(SUBSTITUTE(TRIM(A345),".",""),"/",""),"-","")," ","")),14),UPPER(SUBSTITUTE(SUBSTITUTE(SUBSTITUTE(SUBSTITUTE(TRIM(A345),".",""),"/",""),"-","")," ",""))))</f>
        <v/>
      </c>
      <c r="C345" s="25" t="str">
        <f aca="false">IF(B345="","",IFERROR(INDEX(Empresas!$C:$C,MATCH(B345,Empresas!$B:$B,0)),"cadastre o CNPJ em Empresas"))</f>
        <v/>
      </c>
      <c r="D345" s="23"/>
      <c r="E345" s="24"/>
      <c r="F345" s="31" t="str">
        <f aca="false">IF(D345="","",SUBSTITUTE(SUBSTITUTE(SUBSTITUTE(SUBSTITUTE(SUBSTITUTE(SUBSTITUTE(SUBSTITUTE(SUBSTITUTE(SUBSTITUTE(SUBSTITUTE(SUBSTITUTE(SUBSTITUTE(SUBSTITUTE(UPPER(TRIM(D345)),"Á","A"),"À","A"),"Â","A"),"Ã","A"),"É","E"),"Ê","E"),"Í","I"),"Ó","O"),"Ô","O"),"Õ","O"),"Ú","U"),"Ü","U"),"Ç","C"))</f>
        <v/>
      </c>
      <c r="G345" s="31" t="str">
        <f aca="false">IF(E345="","",IF(LEN(SUBSTITUTE(SUBSTITUTE(SUBSTITUTE(SUBSTITUTE(TRIM(E345),"*",""),".",""),"-","")," ",""))=11,MID(SUBSTITUTE(SUBSTITUTE(SUBSTITUTE(SUBSTITUTE(TRIM(E345),"*",""),".",""),"-","")," ",""),4,6),SUBSTITUTE(SUBSTITUTE(SUBSTITUTE(SUBSTITUTE(TRIM(E345),"*",""),".",""),"-","")," ","")))</f>
        <v/>
      </c>
      <c r="H345" s="31" t="str">
        <f aca="false">IF(OR(F345="",G345=""),"",F345&amp;"|"&amp;G345)</f>
        <v/>
      </c>
      <c r="I345" s="23"/>
      <c r="J345" s="22"/>
      <c r="K345" s="22"/>
      <c r="L345" s="25" t="str">
        <f aca="false">IF(F345="","",IF(AND(H345&lt;&gt;"",COUNTIF(Pessoas!$E:$E,H345)&gt;0),"SIM",IF(COUNTIF(Pessoas!$C:$C,F345)&gt;0,"nome igual em Pessoas: confira o CPF","")))</f>
        <v/>
      </c>
      <c r="M345" s="24"/>
      <c r="N345" s="11"/>
    </row>
    <row r="346" customFormat="false" ht="15" hidden="false" customHeight="false" outlineLevel="0" collapsed="false">
      <c r="A346" s="24"/>
      <c r="B346" s="31" t="str">
        <f aca="false">IF(A346="","",IF(LEN(UPPER(SUBSTITUTE(SUBSTITUTE(SUBSTITUTE(SUBSTITUTE(TRIM(A346),".",""),"/",""),"-","")," ","")))&lt;14,RIGHT(REPT("0",14)&amp;UPPER(SUBSTITUTE(SUBSTITUTE(SUBSTITUTE(SUBSTITUTE(TRIM(A346),".",""),"/",""),"-","")," ","")),14),UPPER(SUBSTITUTE(SUBSTITUTE(SUBSTITUTE(SUBSTITUTE(TRIM(A346),".",""),"/",""),"-","")," ",""))))</f>
        <v/>
      </c>
      <c r="C346" s="25" t="str">
        <f aca="false">IF(B346="","",IFERROR(INDEX(Empresas!$C:$C,MATCH(B346,Empresas!$B:$B,0)),"cadastre o CNPJ em Empresas"))</f>
        <v/>
      </c>
      <c r="D346" s="23"/>
      <c r="E346" s="24"/>
      <c r="F346" s="31" t="str">
        <f aca="false">IF(D346="","",SUBSTITUTE(SUBSTITUTE(SUBSTITUTE(SUBSTITUTE(SUBSTITUTE(SUBSTITUTE(SUBSTITUTE(SUBSTITUTE(SUBSTITUTE(SUBSTITUTE(SUBSTITUTE(SUBSTITUTE(SUBSTITUTE(UPPER(TRIM(D346)),"Á","A"),"À","A"),"Â","A"),"Ã","A"),"É","E"),"Ê","E"),"Í","I"),"Ó","O"),"Ô","O"),"Õ","O"),"Ú","U"),"Ü","U"),"Ç","C"))</f>
        <v/>
      </c>
      <c r="G346" s="31" t="str">
        <f aca="false">IF(E346="","",IF(LEN(SUBSTITUTE(SUBSTITUTE(SUBSTITUTE(SUBSTITUTE(TRIM(E346),"*",""),".",""),"-","")," ",""))=11,MID(SUBSTITUTE(SUBSTITUTE(SUBSTITUTE(SUBSTITUTE(TRIM(E346),"*",""),".",""),"-","")," ",""),4,6),SUBSTITUTE(SUBSTITUTE(SUBSTITUTE(SUBSTITUTE(TRIM(E346),"*",""),".",""),"-","")," ","")))</f>
        <v/>
      </c>
      <c r="H346" s="31" t="str">
        <f aca="false">IF(OR(F346="",G346=""),"",F346&amp;"|"&amp;G346)</f>
        <v/>
      </c>
      <c r="I346" s="23"/>
      <c r="J346" s="22"/>
      <c r="K346" s="22"/>
      <c r="L346" s="25" t="str">
        <f aca="false">IF(F346="","",IF(AND(H346&lt;&gt;"",COUNTIF(Pessoas!$E:$E,H346)&gt;0),"SIM",IF(COUNTIF(Pessoas!$C:$C,F346)&gt;0,"nome igual em Pessoas: confira o CPF","")))</f>
        <v/>
      </c>
      <c r="M346" s="24"/>
      <c r="N346" s="11"/>
    </row>
    <row r="347" customFormat="false" ht="15" hidden="false" customHeight="false" outlineLevel="0" collapsed="false">
      <c r="A347" s="24"/>
      <c r="B347" s="31" t="str">
        <f aca="false">IF(A347="","",IF(LEN(UPPER(SUBSTITUTE(SUBSTITUTE(SUBSTITUTE(SUBSTITUTE(TRIM(A347),".",""),"/",""),"-","")," ","")))&lt;14,RIGHT(REPT("0",14)&amp;UPPER(SUBSTITUTE(SUBSTITUTE(SUBSTITUTE(SUBSTITUTE(TRIM(A347),".",""),"/",""),"-","")," ","")),14),UPPER(SUBSTITUTE(SUBSTITUTE(SUBSTITUTE(SUBSTITUTE(TRIM(A347),".",""),"/",""),"-","")," ",""))))</f>
        <v/>
      </c>
      <c r="C347" s="25" t="str">
        <f aca="false">IF(B347="","",IFERROR(INDEX(Empresas!$C:$C,MATCH(B347,Empresas!$B:$B,0)),"cadastre o CNPJ em Empresas"))</f>
        <v/>
      </c>
      <c r="D347" s="23"/>
      <c r="E347" s="24"/>
      <c r="F347" s="31" t="str">
        <f aca="false">IF(D347="","",SUBSTITUTE(SUBSTITUTE(SUBSTITUTE(SUBSTITUTE(SUBSTITUTE(SUBSTITUTE(SUBSTITUTE(SUBSTITUTE(SUBSTITUTE(SUBSTITUTE(SUBSTITUTE(SUBSTITUTE(SUBSTITUTE(UPPER(TRIM(D347)),"Á","A"),"À","A"),"Â","A"),"Ã","A"),"É","E"),"Ê","E"),"Í","I"),"Ó","O"),"Ô","O"),"Õ","O"),"Ú","U"),"Ü","U"),"Ç","C"))</f>
        <v/>
      </c>
      <c r="G347" s="31" t="str">
        <f aca="false">IF(E347="","",IF(LEN(SUBSTITUTE(SUBSTITUTE(SUBSTITUTE(SUBSTITUTE(TRIM(E347),"*",""),".",""),"-","")," ",""))=11,MID(SUBSTITUTE(SUBSTITUTE(SUBSTITUTE(SUBSTITUTE(TRIM(E347),"*",""),".",""),"-","")," ",""),4,6),SUBSTITUTE(SUBSTITUTE(SUBSTITUTE(SUBSTITUTE(TRIM(E347),"*",""),".",""),"-","")," ","")))</f>
        <v/>
      </c>
      <c r="H347" s="31" t="str">
        <f aca="false">IF(OR(F347="",G347=""),"",F347&amp;"|"&amp;G347)</f>
        <v/>
      </c>
      <c r="I347" s="23"/>
      <c r="J347" s="22"/>
      <c r="K347" s="22"/>
      <c r="L347" s="25" t="str">
        <f aca="false">IF(F347="","",IF(AND(H347&lt;&gt;"",COUNTIF(Pessoas!$E:$E,H347)&gt;0),"SIM",IF(COUNTIF(Pessoas!$C:$C,F347)&gt;0,"nome igual em Pessoas: confira o CPF","")))</f>
        <v/>
      </c>
      <c r="M347" s="24"/>
      <c r="N347" s="11"/>
    </row>
    <row r="348" customFormat="false" ht="15" hidden="false" customHeight="false" outlineLevel="0" collapsed="false">
      <c r="A348" s="24"/>
      <c r="B348" s="31" t="str">
        <f aca="false">IF(A348="","",IF(LEN(UPPER(SUBSTITUTE(SUBSTITUTE(SUBSTITUTE(SUBSTITUTE(TRIM(A348),".",""),"/",""),"-","")," ","")))&lt;14,RIGHT(REPT("0",14)&amp;UPPER(SUBSTITUTE(SUBSTITUTE(SUBSTITUTE(SUBSTITUTE(TRIM(A348),".",""),"/",""),"-","")," ","")),14),UPPER(SUBSTITUTE(SUBSTITUTE(SUBSTITUTE(SUBSTITUTE(TRIM(A348),".",""),"/",""),"-","")," ",""))))</f>
        <v/>
      </c>
      <c r="C348" s="25" t="str">
        <f aca="false">IF(B348="","",IFERROR(INDEX(Empresas!$C:$C,MATCH(B348,Empresas!$B:$B,0)),"cadastre o CNPJ em Empresas"))</f>
        <v/>
      </c>
      <c r="D348" s="23"/>
      <c r="E348" s="24"/>
      <c r="F348" s="31" t="str">
        <f aca="false">IF(D348="","",SUBSTITUTE(SUBSTITUTE(SUBSTITUTE(SUBSTITUTE(SUBSTITUTE(SUBSTITUTE(SUBSTITUTE(SUBSTITUTE(SUBSTITUTE(SUBSTITUTE(SUBSTITUTE(SUBSTITUTE(SUBSTITUTE(UPPER(TRIM(D348)),"Á","A"),"À","A"),"Â","A"),"Ã","A"),"É","E"),"Ê","E"),"Í","I"),"Ó","O"),"Ô","O"),"Õ","O"),"Ú","U"),"Ü","U"),"Ç","C"))</f>
        <v/>
      </c>
      <c r="G348" s="31" t="str">
        <f aca="false">IF(E348="","",IF(LEN(SUBSTITUTE(SUBSTITUTE(SUBSTITUTE(SUBSTITUTE(TRIM(E348),"*",""),".",""),"-","")," ",""))=11,MID(SUBSTITUTE(SUBSTITUTE(SUBSTITUTE(SUBSTITUTE(TRIM(E348),"*",""),".",""),"-","")," ",""),4,6),SUBSTITUTE(SUBSTITUTE(SUBSTITUTE(SUBSTITUTE(TRIM(E348),"*",""),".",""),"-","")," ","")))</f>
        <v/>
      </c>
      <c r="H348" s="31" t="str">
        <f aca="false">IF(OR(F348="",G348=""),"",F348&amp;"|"&amp;G348)</f>
        <v/>
      </c>
      <c r="I348" s="23"/>
      <c r="J348" s="22"/>
      <c r="K348" s="22"/>
      <c r="L348" s="25" t="str">
        <f aca="false">IF(F348="","",IF(AND(H348&lt;&gt;"",COUNTIF(Pessoas!$E:$E,H348)&gt;0),"SIM",IF(COUNTIF(Pessoas!$C:$C,F348)&gt;0,"nome igual em Pessoas: confira o CPF","")))</f>
        <v/>
      </c>
      <c r="M348" s="24"/>
      <c r="N348" s="11"/>
    </row>
    <row r="349" customFormat="false" ht="15" hidden="false" customHeight="false" outlineLevel="0" collapsed="false">
      <c r="A349" s="24"/>
      <c r="B349" s="31" t="str">
        <f aca="false">IF(A349="","",IF(LEN(UPPER(SUBSTITUTE(SUBSTITUTE(SUBSTITUTE(SUBSTITUTE(TRIM(A349),".",""),"/",""),"-","")," ","")))&lt;14,RIGHT(REPT("0",14)&amp;UPPER(SUBSTITUTE(SUBSTITUTE(SUBSTITUTE(SUBSTITUTE(TRIM(A349),".",""),"/",""),"-","")," ","")),14),UPPER(SUBSTITUTE(SUBSTITUTE(SUBSTITUTE(SUBSTITUTE(TRIM(A349),".",""),"/",""),"-","")," ",""))))</f>
        <v/>
      </c>
      <c r="C349" s="25" t="str">
        <f aca="false">IF(B349="","",IFERROR(INDEX(Empresas!$C:$C,MATCH(B349,Empresas!$B:$B,0)),"cadastre o CNPJ em Empresas"))</f>
        <v/>
      </c>
      <c r="D349" s="23"/>
      <c r="E349" s="24"/>
      <c r="F349" s="31" t="str">
        <f aca="false">IF(D349="","",SUBSTITUTE(SUBSTITUTE(SUBSTITUTE(SUBSTITUTE(SUBSTITUTE(SUBSTITUTE(SUBSTITUTE(SUBSTITUTE(SUBSTITUTE(SUBSTITUTE(SUBSTITUTE(SUBSTITUTE(SUBSTITUTE(UPPER(TRIM(D349)),"Á","A"),"À","A"),"Â","A"),"Ã","A"),"É","E"),"Ê","E"),"Í","I"),"Ó","O"),"Ô","O"),"Õ","O"),"Ú","U"),"Ü","U"),"Ç","C"))</f>
        <v/>
      </c>
      <c r="G349" s="31" t="str">
        <f aca="false">IF(E349="","",IF(LEN(SUBSTITUTE(SUBSTITUTE(SUBSTITUTE(SUBSTITUTE(TRIM(E349),"*",""),".",""),"-","")," ",""))=11,MID(SUBSTITUTE(SUBSTITUTE(SUBSTITUTE(SUBSTITUTE(TRIM(E349),"*",""),".",""),"-","")," ",""),4,6),SUBSTITUTE(SUBSTITUTE(SUBSTITUTE(SUBSTITUTE(TRIM(E349),"*",""),".",""),"-","")," ","")))</f>
        <v/>
      </c>
      <c r="H349" s="31" t="str">
        <f aca="false">IF(OR(F349="",G349=""),"",F349&amp;"|"&amp;G349)</f>
        <v/>
      </c>
      <c r="I349" s="23"/>
      <c r="J349" s="22"/>
      <c r="K349" s="22"/>
      <c r="L349" s="25" t="str">
        <f aca="false">IF(F349="","",IF(AND(H349&lt;&gt;"",COUNTIF(Pessoas!$E:$E,H349)&gt;0),"SIM",IF(COUNTIF(Pessoas!$C:$C,F349)&gt;0,"nome igual em Pessoas: confira o CPF","")))</f>
        <v/>
      </c>
      <c r="M349" s="24"/>
      <c r="N349" s="11"/>
    </row>
    <row r="350" customFormat="false" ht="15" hidden="false" customHeight="false" outlineLevel="0" collapsed="false">
      <c r="A350" s="24"/>
      <c r="B350" s="31" t="str">
        <f aca="false">IF(A350="","",IF(LEN(UPPER(SUBSTITUTE(SUBSTITUTE(SUBSTITUTE(SUBSTITUTE(TRIM(A350),".",""),"/",""),"-","")," ","")))&lt;14,RIGHT(REPT("0",14)&amp;UPPER(SUBSTITUTE(SUBSTITUTE(SUBSTITUTE(SUBSTITUTE(TRIM(A350),".",""),"/",""),"-","")," ","")),14),UPPER(SUBSTITUTE(SUBSTITUTE(SUBSTITUTE(SUBSTITUTE(TRIM(A350),".",""),"/",""),"-","")," ",""))))</f>
        <v/>
      </c>
      <c r="C350" s="25" t="str">
        <f aca="false">IF(B350="","",IFERROR(INDEX(Empresas!$C:$C,MATCH(B350,Empresas!$B:$B,0)),"cadastre o CNPJ em Empresas"))</f>
        <v/>
      </c>
      <c r="D350" s="23"/>
      <c r="E350" s="24"/>
      <c r="F350" s="31" t="str">
        <f aca="false">IF(D350="","",SUBSTITUTE(SUBSTITUTE(SUBSTITUTE(SUBSTITUTE(SUBSTITUTE(SUBSTITUTE(SUBSTITUTE(SUBSTITUTE(SUBSTITUTE(SUBSTITUTE(SUBSTITUTE(SUBSTITUTE(SUBSTITUTE(UPPER(TRIM(D350)),"Á","A"),"À","A"),"Â","A"),"Ã","A"),"É","E"),"Ê","E"),"Í","I"),"Ó","O"),"Ô","O"),"Õ","O"),"Ú","U"),"Ü","U"),"Ç","C"))</f>
        <v/>
      </c>
      <c r="G350" s="31" t="str">
        <f aca="false">IF(E350="","",IF(LEN(SUBSTITUTE(SUBSTITUTE(SUBSTITUTE(SUBSTITUTE(TRIM(E350),"*",""),".",""),"-","")," ",""))=11,MID(SUBSTITUTE(SUBSTITUTE(SUBSTITUTE(SUBSTITUTE(TRIM(E350),"*",""),".",""),"-","")," ",""),4,6),SUBSTITUTE(SUBSTITUTE(SUBSTITUTE(SUBSTITUTE(TRIM(E350),"*",""),".",""),"-","")," ","")))</f>
        <v/>
      </c>
      <c r="H350" s="31" t="str">
        <f aca="false">IF(OR(F350="",G350=""),"",F350&amp;"|"&amp;G350)</f>
        <v/>
      </c>
      <c r="I350" s="23"/>
      <c r="J350" s="22"/>
      <c r="K350" s="22"/>
      <c r="L350" s="25" t="str">
        <f aca="false">IF(F350="","",IF(AND(H350&lt;&gt;"",COUNTIF(Pessoas!$E:$E,H350)&gt;0),"SIM",IF(COUNTIF(Pessoas!$C:$C,F350)&gt;0,"nome igual em Pessoas: confira o CPF","")))</f>
        <v/>
      </c>
      <c r="M350" s="24"/>
      <c r="N350" s="11"/>
    </row>
    <row r="351" customFormat="false" ht="15" hidden="false" customHeight="false" outlineLevel="0" collapsed="false">
      <c r="A351" s="24"/>
      <c r="B351" s="31" t="str">
        <f aca="false">IF(A351="","",IF(LEN(UPPER(SUBSTITUTE(SUBSTITUTE(SUBSTITUTE(SUBSTITUTE(TRIM(A351),".",""),"/",""),"-","")," ","")))&lt;14,RIGHT(REPT("0",14)&amp;UPPER(SUBSTITUTE(SUBSTITUTE(SUBSTITUTE(SUBSTITUTE(TRIM(A351),".",""),"/",""),"-","")," ","")),14),UPPER(SUBSTITUTE(SUBSTITUTE(SUBSTITUTE(SUBSTITUTE(TRIM(A351),".",""),"/",""),"-","")," ",""))))</f>
        <v/>
      </c>
      <c r="C351" s="25" t="str">
        <f aca="false">IF(B351="","",IFERROR(INDEX(Empresas!$C:$C,MATCH(B351,Empresas!$B:$B,0)),"cadastre o CNPJ em Empresas"))</f>
        <v/>
      </c>
      <c r="D351" s="23"/>
      <c r="E351" s="24"/>
      <c r="F351" s="31" t="str">
        <f aca="false">IF(D351="","",SUBSTITUTE(SUBSTITUTE(SUBSTITUTE(SUBSTITUTE(SUBSTITUTE(SUBSTITUTE(SUBSTITUTE(SUBSTITUTE(SUBSTITUTE(SUBSTITUTE(SUBSTITUTE(SUBSTITUTE(SUBSTITUTE(UPPER(TRIM(D351)),"Á","A"),"À","A"),"Â","A"),"Ã","A"),"É","E"),"Ê","E"),"Í","I"),"Ó","O"),"Ô","O"),"Õ","O"),"Ú","U"),"Ü","U"),"Ç","C"))</f>
        <v/>
      </c>
      <c r="G351" s="31" t="str">
        <f aca="false">IF(E351="","",IF(LEN(SUBSTITUTE(SUBSTITUTE(SUBSTITUTE(SUBSTITUTE(TRIM(E351),"*",""),".",""),"-","")," ",""))=11,MID(SUBSTITUTE(SUBSTITUTE(SUBSTITUTE(SUBSTITUTE(TRIM(E351),"*",""),".",""),"-","")," ",""),4,6),SUBSTITUTE(SUBSTITUTE(SUBSTITUTE(SUBSTITUTE(TRIM(E351),"*",""),".",""),"-","")," ","")))</f>
        <v/>
      </c>
      <c r="H351" s="31" t="str">
        <f aca="false">IF(OR(F351="",G351=""),"",F351&amp;"|"&amp;G351)</f>
        <v/>
      </c>
      <c r="I351" s="23"/>
      <c r="J351" s="22"/>
      <c r="K351" s="22"/>
      <c r="L351" s="25" t="str">
        <f aca="false">IF(F351="","",IF(AND(H351&lt;&gt;"",COUNTIF(Pessoas!$E:$E,H351)&gt;0),"SIM",IF(COUNTIF(Pessoas!$C:$C,F351)&gt;0,"nome igual em Pessoas: confira o CPF","")))</f>
        <v/>
      </c>
      <c r="M351" s="24"/>
      <c r="N351" s="11"/>
    </row>
    <row r="352" customFormat="false" ht="15" hidden="false" customHeight="false" outlineLevel="0" collapsed="false">
      <c r="A352" s="24"/>
      <c r="B352" s="31" t="str">
        <f aca="false">IF(A352="","",IF(LEN(UPPER(SUBSTITUTE(SUBSTITUTE(SUBSTITUTE(SUBSTITUTE(TRIM(A352),".",""),"/",""),"-","")," ","")))&lt;14,RIGHT(REPT("0",14)&amp;UPPER(SUBSTITUTE(SUBSTITUTE(SUBSTITUTE(SUBSTITUTE(TRIM(A352),".",""),"/",""),"-","")," ","")),14),UPPER(SUBSTITUTE(SUBSTITUTE(SUBSTITUTE(SUBSTITUTE(TRIM(A352),".",""),"/",""),"-","")," ",""))))</f>
        <v/>
      </c>
      <c r="C352" s="25" t="str">
        <f aca="false">IF(B352="","",IFERROR(INDEX(Empresas!$C:$C,MATCH(B352,Empresas!$B:$B,0)),"cadastre o CNPJ em Empresas"))</f>
        <v/>
      </c>
      <c r="D352" s="23"/>
      <c r="E352" s="24"/>
      <c r="F352" s="31" t="str">
        <f aca="false">IF(D352="","",SUBSTITUTE(SUBSTITUTE(SUBSTITUTE(SUBSTITUTE(SUBSTITUTE(SUBSTITUTE(SUBSTITUTE(SUBSTITUTE(SUBSTITUTE(SUBSTITUTE(SUBSTITUTE(SUBSTITUTE(SUBSTITUTE(UPPER(TRIM(D352)),"Á","A"),"À","A"),"Â","A"),"Ã","A"),"É","E"),"Ê","E"),"Í","I"),"Ó","O"),"Ô","O"),"Õ","O"),"Ú","U"),"Ü","U"),"Ç","C"))</f>
        <v/>
      </c>
      <c r="G352" s="31" t="str">
        <f aca="false">IF(E352="","",IF(LEN(SUBSTITUTE(SUBSTITUTE(SUBSTITUTE(SUBSTITUTE(TRIM(E352),"*",""),".",""),"-","")," ",""))=11,MID(SUBSTITUTE(SUBSTITUTE(SUBSTITUTE(SUBSTITUTE(TRIM(E352),"*",""),".",""),"-","")," ",""),4,6),SUBSTITUTE(SUBSTITUTE(SUBSTITUTE(SUBSTITUTE(TRIM(E352),"*",""),".",""),"-","")," ","")))</f>
        <v/>
      </c>
      <c r="H352" s="31" t="str">
        <f aca="false">IF(OR(F352="",G352=""),"",F352&amp;"|"&amp;G352)</f>
        <v/>
      </c>
      <c r="I352" s="23"/>
      <c r="J352" s="22"/>
      <c r="K352" s="22"/>
      <c r="L352" s="25" t="str">
        <f aca="false">IF(F352="","",IF(AND(H352&lt;&gt;"",COUNTIF(Pessoas!$E:$E,H352)&gt;0),"SIM",IF(COUNTIF(Pessoas!$C:$C,F352)&gt;0,"nome igual em Pessoas: confira o CPF","")))</f>
        <v/>
      </c>
      <c r="M352" s="24"/>
      <c r="N352" s="11"/>
    </row>
    <row r="353" customFormat="false" ht="15" hidden="false" customHeight="false" outlineLevel="0" collapsed="false">
      <c r="A353" s="24"/>
      <c r="B353" s="31" t="str">
        <f aca="false">IF(A353="","",IF(LEN(UPPER(SUBSTITUTE(SUBSTITUTE(SUBSTITUTE(SUBSTITUTE(TRIM(A353),".",""),"/",""),"-","")," ","")))&lt;14,RIGHT(REPT("0",14)&amp;UPPER(SUBSTITUTE(SUBSTITUTE(SUBSTITUTE(SUBSTITUTE(TRIM(A353),".",""),"/",""),"-","")," ","")),14),UPPER(SUBSTITUTE(SUBSTITUTE(SUBSTITUTE(SUBSTITUTE(TRIM(A353),".",""),"/",""),"-","")," ",""))))</f>
        <v/>
      </c>
      <c r="C353" s="25" t="str">
        <f aca="false">IF(B353="","",IFERROR(INDEX(Empresas!$C:$C,MATCH(B353,Empresas!$B:$B,0)),"cadastre o CNPJ em Empresas"))</f>
        <v/>
      </c>
      <c r="D353" s="23"/>
      <c r="E353" s="24"/>
      <c r="F353" s="31" t="str">
        <f aca="false">IF(D353="","",SUBSTITUTE(SUBSTITUTE(SUBSTITUTE(SUBSTITUTE(SUBSTITUTE(SUBSTITUTE(SUBSTITUTE(SUBSTITUTE(SUBSTITUTE(SUBSTITUTE(SUBSTITUTE(SUBSTITUTE(SUBSTITUTE(UPPER(TRIM(D353)),"Á","A"),"À","A"),"Â","A"),"Ã","A"),"É","E"),"Ê","E"),"Í","I"),"Ó","O"),"Ô","O"),"Õ","O"),"Ú","U"),"Ü","U"),"Ç","C"))</f>
        <v/>
      </c>
      <c r="G353" s="31" t="str">
        <f aca="false">IF(E353="","",IF(LEN(SUBSTITUTE(SUBSTITUTE(SUBSTITUTE(SUBSTITUTE(TRIM(E353),"*",""),".",""),"-","")," ",""))=11,MID(SUBSTITUTE(SUBSTITUTE(SUBSTITUTE(SUBSTITUTE(TRIM(E353),"*",""),".",""),"-","")," ",""),4,6),SUBSTITUTE(SUBSTITUTE(SUBSTITUTE(SUBSTITUTE(TRIM(E353),"*",""),".",""),"-","")," ","")))</f>
        <v/>
      </c>
      <c r="H353" s="31" t="str">
        <f aca="false">IF(OR(F353="",G353=""),"",F353&amp;"|"&amp;G353)</f>
        <v/>
      </c>
      <c r="I353" s="23"/>
      <c r="J353" s="22"/>
      <c r="K353" s="22"/>
      <c r="L353" s="25" t="str">
        <f aca="false">IF(F353="","",IF(AND(H353&lt;&gt;"",COUNTIF(Pessoas!$E:$E,H353)&gt;0),"SIM",IF(COUNTIF(Pessoas!$C:$C,F353)&gt;0,"nome igual em Pessoas: confira o CPF","")))</f>
        <v/>
      </c>
      <c r="M353" s="24"/>
      <c r="N353" s="11"/>
    </row>
    <row r="354" customFormat="false" ht="15" hidden="false" customHeight="false" outlineLevel="0" collapsed="false">
      <c r="A354" s="24"/>
      <c r="B354" s="31" t="str">
        <f aca="false">IF(A354="","",IF(LEN(UPPER(SUBSTITUTE(SUBSTITUTE(SUBSTITUTE(SUBSTITUTE(TRIM(A354),".",""),"/",""),"-","")," ","")))&lt;14,RIGHT(REPT("0",14)&amp;UPPER(SUBSTITUTE(SUBSTITUTE(SUBSTITUTE(SUBSTITUTE(TRIM(A354),".",""),"/",""),"-","")," ","")),14),UPPER(SUBSTITUTE(SUBSTITUTE(SUBSTITUTE(SUBSTITUTE(TRIM(A354),".",""),"/",""),"-","")," ",""))))</f>
        <v/>
      </c>
      <c r="C354" s="25" t="str">
        <f aca="false">IF(B354="","",IFERROR(INDEX(Empresas!$C:$C,MATCH(B354,Empresas!$B:$B,0)),"cadastre o CNPJ em Empresas"))</f>
        <v/>
      </c>
      <c r="D354" s="23"/>
      <c r="E354" s="24"/>
      <c r="F354" s="31" t="str">
        <f aca="false">IF(D354="","",SUBSTITUTE(SUBSTITUTE(SUBSTITUTE(SUBSTITUTE(SUBSTITUTE(SUBSTITUTE(SUBSTITUTE(SUBSTITUTE(SUBSTITUTE(SUBSTITUTE(SUBSTITUTE(SUBSTITUTE(SUBSTITUTE(UPPER(TRIM(D354)),"Á","A"),"À","A"),"Â","A"),"Ã","A"),"É","E"),"Ê","E"),"Í","I"),"Ó","O"),"Ô","O"),"Õ","O"),"Ú","U"),"Ü","U"),"Ç","C"))</f>
        <v/>
      </c>
      <c r="G354" s="31" t="str">
        <f aca="false">IF(E354="","",IF(LEN(SUBSTITUTE(SUBSTITUTE(SUBSTITUTE(SUBSTITUTE(TRIM(E354),"*",""),".",""),"-","")," ",""))=11,MID(SUBSTITUTE(SUBSTITUTE(SUBSTITUTE(SUBSTITUTE(TRIM(E354),"*",""),".",""),"-","")," ",""),4,6),SUBSTITUTE(SUBSTITUTE(SUBSTITUTE(SUBSTITUTE(TRIM(E354),"*",""),".",""),"-","")," ","")))</f>
        <v/>
      </c>
      <c r="H354" s="31" t="str">
        <f aca="false">IF(OR(F354="",G354=""),"",F354&amp;"|"&amp;G354)</f>
        <v/>
      </c>
      <c r="I354" s="23"/>
      <c r="J354" s="22"/>
      <c r="K354" s="22"/>
      <c r="L354" s="25" t="str">
        <f aca="false">IF(F354="","",IF(AND(H354&lt;&gt;"",COUNTIF(Pessoas!$E:$E,H354)&gt;0),"SIM",IF(COUNTIF(Pessoas!$C:$C,F354)&gt;0,"nome igual em Pessoas: confira o CPF","")))</f>
        <v/>
      </c>
      <c r="M354" s="24"/>
      <c r="N354" s="11"/>
    </row>
    <row r="355" customFormat="false" ht="15" hidden="false" customHeight="false" outlineLevel="0" collapsed="false">
      <c r="A355" s="24"/>
      <c r="B355" s="31" t="str">
        <f aca="false">IF(A355="","",IF(LEN(UPPER(SUBSTITUTE(SUBSTITUTE(SUBSTITUTE(SUBSTITUTE(TRIM(A355),".",""),"/",""),"-","")," ","")))&lt;14,RIGHT(REPT("0",14)&amp;UPPER(SUBSTITUTE(SUBSTITUTE(SUBSTITUTE(SUBSTITUTE(TRIM(A355),".",""),"/",""),"-","")," ","")),14),UPPER(SUBSTITUTE(SUBSTITUTE(SUBSTITUTE(SUBSTITUTE(TRIM(A355),".",""),"/",""),"-","")," ",""))))</f>
        <v/>
      </c>
      <c r="C355" s="25" t="str">
        <f aca="false">IF(B355="","",IFERROR(INDEX(Empresas!$C:$C,MATCH(B355,Empresas!$B:$B,0)),"cadastre o CNPJ em Empresas"))</f>
        <v/>
      </c>
      <c r="D355" s="23"/>
      <c r="E355" s="24"/>
      <c r="F355" s="31" t="str">
        <f aca="false">IF(D355="","",SUBSTITUTE(SUBSTITUTE(SUBSTITUTE(SUBSTITUTE(SUBSTITUTE(SUBSTITUTE(SUBSTITUTE(SUBSTITUTE(SUBSTITUTE(SUBSTITUTE(SUBSTITUTE(SUBSTITUTE(SUBSTITUTE(UPPER(TRIM(D355)),"Á","A"),"À","A"),"Â","A"),"Ã","A"),"É","E"),"Ê","E"),"Í","I"),"Ó","O"),"Ô","O"),"Õ","O"),"Ú","U"),"Ü","U"),"Ç","C"))</f>
        <v/>
      </c>
      <c r="G355" s="31" t="str">
        <f aca="false">IF(E355="","",IF(LEN(SUBSTITUTE(SUBSTITUTE(SUBSTITUTE(SUBSTITUTE(TRIM(E355),"*",""),".",""),"-","")," ",""))=11,MID(SUBSTITUTE(SUBSTITUTE(SUBSTITUTE(SUBSTITUTE(TRIM(E355),"*",""),".",""),"-","")," ",""),4,6),SUBSTITUTE(SUBSTITUTE(SUBSTITUTE(SUBSTITUTE(TRIM(E355),"*",""),".",""),"-","")," ","")))</f>
        <v/>
      </c>
      <c r="H355" s="31" t="str">
        <f aca="false">IF(OR(F355="",G355=""),"",F355&amp;"|"&amp;G355)</f>
        <v/>
      </c>
      <c r="I355" s="23"/>
      <c r="J355" s="22"/>
      <c r="K355" s="22"/>
      <c r="L355" s="25" t="str">
        <f aca="false">IF(F355="","",IF(AND(H355&lt;&gt;"",COUNTIF(Pessoas!$E:$E,H355)&gt;0),"SIM",IF(COUNTIF(Pessoas!$C:$C,F355)&gt;0,"nome igual em Pessoas: confira o CPF","")))</f>
        <v/>
      </c>
      <c r="M355" s="24"/>
      <c r="N355" s="11"/>
    </row>
    <row r="356" customFormat="false" ht="15" hidden="false" customHeight="false" outlineLevel="0" collapsed="false">
      <c r="A356" s="24"/>
      <c r="B356" s="31" t="str">
        <f aca="false">IF(A356="","",IF(LEN(UPPER(SUBSTITUTE(SUBSTITUTE(SUBSTITUTE(SUBSTITUTE(TRIM(A356),".",""),"/",""),"-","")," ","")))&lt;14,RIGHT(REPT("0",14)&amp;UPPER(SUBSTITUTE(SUBSTITUTE(SUBSTITUTE(SUBSTITUTE(TRIM(A356),".",""),"/",""),"-","")," ","")),14),UPPER(SUBSTITUTE(SUBSTITUTE(SUBSTITUTE(SUBSTITUTE(TRIM(A356),".",""),"/",""),"-","")," ",""))))</f>
        <v/>
      </c>
      <c r="C356" s="25" t="str">
        <f aca="false">IF(B356="","",IFERROR(INDEX(Empresas!$C:$C,MATCH(B356,Empresas!$B:$B,0)),"cadastre o CNPJ em Empresas"))</f>
        <v/>
      </c>
      <c r="D356" s="23"/>
      <c r="E356" s="24"/>
      <c r="F356" s="31" t="str">
        <f aca="false">IF(D356="","",SUBSTITUTE(SUBSTITUTE(SUBSTITUTE(SUBSTITUTE(SUBSTITUTE(SUBSTITUTE(SUBSTITUTE(SUBSTITUTE(SUBSTITUTE(SUBSTITUTE(SUBSTITUTE(SUBSTITUTE(SUBSTITUTE(UPPER(TRIM(D356)),"Á","A"),"À","A"),"Â","A"),"Ã","A"),"É","E"),"Ê","E"),"Í","I"),"Ó","O"),"Ô","O"),"Õ","O"),"Ú","U"),"Ü","U"),"Ç","C"))</f>
        <v/>
      </c>
      <c r="G356" s="31" t="str">
        <f aca="false">IF(E356="","",IF(LEN(SUBSTITUTE(SUBSTITUTE(SUBSTITUTE(SUBSTITUTE(TRIM(E356),"*",""),".",""),"-","")," ",""))=11,MID(SUBSTITUTE(SUBSTITUTE(SUBSTITUTE(SUBSTITUTE(TRIM(E356),"*",""),".",""),"-","")," ",""),4,6),SUBSTITUTE(SUBSTITUTE(SUBSTITUTE(SUBSTITUTE(TRIM(E356),"*",""),".",""),"-","")," ","")))</f>
        <v/>
      </c>
      <c r="H356" s="31" t="str">
        <f aca="false">IF(OR(F356="",G356=""),"",F356&amp;"|"&amp;G356)</f>
        <v/>
      </c>
      <c r="I356" s="23"/>
      <c r="J356" s="22"/>
      <c r="K356" s="22"/>
      <c r="L356" s="25" t="str">
        <f aca="false">IF(F356="","",IF(AND(H356&lt;&gt;"",COUNTIF(Pessoas!$E:$E,H356)&gt;0),"SIM",IF(COUNTIF(Pessoas!$C:$C,F356)&gt;0,"nome igual em Pessoas: confira o CPF","")))</f>
        <v/>
      </c>
      <c r="M356" s="24"/>
      <c r="N356" s="11"/>
    </row>
    <row r="357" customFormat="false" ht="15" hidden="false" customHeight="false" outlineLevel="0" collapsed="false">
      <c r="A357" s="24"/>
      <c r="B357" s="31" t="str">
        <f aca="false">IF(A357="","",IF(LEN(UPPER(SUBSTITUTE(SUBSTITUTE(SUBSTITUTE(SUBSTITUTE(TRIM(A357),".",""),"/",""),"-","")," ","")))&lt;14,RIGHT(REPT("0",14)&amp;UPPER(SUBSTITUTE(SUBSTITUTE(SUBSTITUTE(SUBSTITUTE(TRIM(A357),".",""),"/",""),"-","")," ","")),14),UPPER(SUBSTITUTE(SUBSTITUTE(SUBSTITUTE(SUBSTITUTE(TRIM(A357),".",""),"/",""),"-","")," ",""))))</f>
        <v/>
      </c>
      <c r="C357" s="25" t="str">
        <f aca="false">IF(B357="","",IFERROR(INDEX(Empresas!$C:$C,MATCH(B357,Empresas!$B:$B,0)),"cadastre o CNPJ em Empresas"))</f>
        <v/>
      </c>
      <c r="D357" s="23"/>
      <c r="E357" s="24"/>
      <c r="F357" s="31" t="str">
        <f aca="false">IF(D357="","",SUBSTITUTE(SUBSTITUTE(SUBSTITUTE(SUBSTITUTE(SUBSTITUTE(SUBSTITUTE(SUBSTITUTE(SUBSTITUTE(SUBSTITUTE(SUBSTITUTE(SUBSTITUTE(SUBSTITUTE(SUBSTITUTE(UPPER(TRIM(D357)),"Á","A"),"À","A"),"Â","A"),"Ã","A"),"É","E"),"Ê","E"),"Í","I"),"Ó","O"),"Ô","O"),"Õ","O"),"Ú","U"),"Ü","U"),"Ç","C"))</f>
        <v/>
      </c>
      <c r="G357" s="31" t="str">
        <f aca="false">IF(E357="","",IF(LEN(SUBSTITUTE(SUBSTITUTE(SUBSTITUTE(SUBSTITUTE(TRIM(E357),"*",""),".",""),"-","")," ",""))=11,MID(SUBSTITUTE(SUBSTITUTE(SUBSTITUTE(SUBSTITUTE(TRIM(E357),"*",""),".",""),"-","")," ",""),4,6),SUBSTITUTE(SUBSTITUTE(SUBSTITUTE(SUBSTITUTE(TRIM(E357),"*",""),".",""),"-","")," ","")))</f>
        <v/>
      </c>
      <c r="H357" s="31" t="str">
        <f aca="false">IF(OR(F357="",G357=""),"",F357&amp;"|"&amp;G357)</f>
        <v/>
      </c>
      <c r="I357" s="23"/>
      <c r="J357" s="22"/>
      <c r="K357" s="22"/>
      <c r="L357" s="25" t="str">
        <f aca="false">IF(F357="","",IF(AND(H357&lt;&gt;"",COUNTIF(Pessoas!$E:$E,H357)&gt;0),"SIM",IF(COUNTIF(Pessoas!$C:$C,F357)&gt;0,"nome igual em Pessoas: confira o CPF","")))</f>
        <v/>
      </c>
      <c r="M357" s="24"/>
      <c r="N357" s="11"/>
    </row>
    <row r="358" customFormat="false" ht="15" hidden="false" customHeight="false" outlineLevel="0" collapsed="false">
      <c r="A358" s="24"/>
      <c r="B358" s="31" t="str">
        <f aca="false">IF(A358="","",IF(LEN(UPPER(SUBSTITUTE(SUBSTITUTE(SUBSTITUTE(SUBSTITUTE(TRIM(A358),".",""),"/",""),"-","")," ","")))&lt;14,RIGHT(REPT("0",14)&amp;UPPER(SUBSTITUTE(SUBSTITUTE(SUBSTITUTE(SUBSTITUTE(TRIM(A358),".",""),"/",""),"-","")," ","")),14),UPPER(SUBSTITUTE(SUBSTITUTE(SUBSTITUTE(SUBSTITUTE(TRIM(A358),".",""),"/",""),"-","")," ",""))))</f>
        <v/>
      </c>
      <c r="C358" s="25" t="str">
        <f aca="false">IF(B358="","",IFERROR(INDEX(Empresas!$C:$C,MATCH(B358,Empresas!$B:$B,0)),"cadastre o CNPJ em Empresas"))</f>
        <v/>
      </c>
      <c r="D358" s="23"/>
      <c r="E358" s="24"/>
      <c r="F358" s="31" t="str">
        <f aca="false">IF(D358="","",SUBSTITUTE(SUBSTITUTE(SUBSTITUTE(SUBSTITUTE(SUBSTITUTE(SUBSTITUTE(SUBSTITUTE(SUBSTITUTE(SUBSTITUTE(SUBSTITUTE(SUBSTITUTE(SUBSTITUTE(SUBSTITUTE(UPPER(TRIM(D358)),"Á","A"),"À","A"),"Â","A"),"Ã","A"),"É","E"),"Ê","E"),"Í","I"),"Ó","O"),"Ô","O"),"Õ","O"),"Ú","U"),"Ü","U"),"Ç","C"))</f>
        <v/>
      </c>
      <c r="G358" s="31" t="str">
        <f aca="false">IF(E358="","",IF(LEN(SUBSTITUTE(SUBSTITUTE(SUBSTITUTE(SUBSTITUTE(TRIM(E358),"*",""),".",""),"-","")," ",""))=11,MID(SUBSTITUTE(SUBSTITUTE(SUBSTITUTE(SUBSTITUTE(TRIM(E358),"*",""),".",""),"-","")," ",""),4,6),SUBSTITUTE(SUBSTITUTE(SUBSTITUTE(SUBSTITUTE(TRIM(E358),"*",""),".",""),"-","")," ","")))</f>
        <v/>
      </c>
      <c r="H358" s="31" t="str">
        <f aca="false">IF(OR(F358="",G358=""),"",F358&amp;"|"&amp;G358)</f>
        <v/>
      </c>
      <c r="I358" s="23"/>
      <c r="J358" s="22"/>
      <c r="K358" s="22"/>
      <c r="L358" s="25" t="str">
        <f aca="false">IF(F358="","",IF(AND(H358&lt;&gt;"",COUNTIF(Pessoas!$E:$E,H358)&gt;0),"SIM",IF(COUNTIF(Pessoas!$C:$C,F358)&gt;0,"nome igual em Pessoas: confira o CPF","")))</f>
        <v/>
      </c>
      <c r="M358" s="24"/>
      <c r="N358" s="11"/>
    </row>
    <row r="359" customFormat="false" ht="15" hidden="false" customHeight="false" outlineLevel="0" collapsed="false">
      <c r="A359" s="24"/>
      <c r="B359" s="31" t="str">
        <f aca="false">IF(A359="","",IF(LEN(UPPER(SUBSTITUTE(SUBSTITUTE(SUBSTITUTE(SUBSTITUTE(TRIM(A359),".",""),"/",""),"-","")," ","")))&lt;14,RIGHT(REPT("0",14)&amp;UPPER(SUBSTITUTE(SUBSTITUTE(SUBSTITUTE(SUBSTITUTE(TRIM(A359),".",""),"/",""),"-","")," ","")),14),UPPER(SUBSTITUTE(SUBSTITUTE(SUBSTITUTE(SUBSTITUTE(TRIM(A359),".",""),"/",""),"-","")," ",""))))</f>
        <v/>
      </c>
      <c r="C359" s="25" t="str">
        <f aca="false">IF(B359="","",IFERROR(INDEX(Empresas!$C:$C,MATCH(B359,Empresas!$B:$B,0)),"cadastre o CNPJ em Empresas"))</f>
        <v/>
      </c>
      <c r="D359" s="23"/>
      <c r="E359" s="24"/>
      <c r="F359" s="31" t="str">
        <f aca="false">IF(D359="","",SUBSTITUTE(SUBSTITUTE(SUBSTITUTE(SUBSTITUTE(SUBSTITUTE(SUBSTITUTE(SUBSTITUTE(SUBSTITUTE(SUBSTITUTE(SUBSTITUTE(SUBSTITUTE(SUBSTITUTE(SUBSTITUTE(UPPER(TRIM(D359)),"Á","A"),"À","A"),"Â","A"),"Ã","A"),"É","E"),"Ê","E"),"Í","I"),"Ó","O"),"Ô","O"),"Õ","O"),"Ú","U"),"Ü","U"),"Ç","C"))</f>
        <v/>
      </c>
      <c r="G359" s="31" t="str">
        <f aca="false">IF(E359="","",IF(LEN(SUBSTITUTE(SUBSTITUTE(SUBSTITUTE(SUBSTITUTE(TRIM(E359),"*",""),".",""),"-","")," ",""))=11,MID(SUBSTITUTE(SUBSTITUTE(SUBSTITUTE(SUBSTITUTE(TRIM(E359),"*",""),".",""),"-","")," ",""),4,6),SUBSTITUTE(SUBSTITUTE(SUBSTITUTE(SUBSTITUTE(TRIM(E359),"*",""),".",""),"-","")," ","")))</f>
        <v/>
      </c>
      <c r="H359" s="31" t="str">
        <f aca="false">IF(OR(F359="",G359=""),"",F359&amp;"|"&amp;G359)</f>
        <v/>
      </c>
      <c r="I359" s="23"/>
      <c r="J359" s="22"/>
      <c r="K359" s="22"/>
      <c r="L359" s="25" t="str">
        <f aca="false">IF(F359="","",IF(AND(H359&lt;&gt;"",COUNTIF(Pessoas!$E:$E,H359)&gt;0),"SIM",IF(COUNTIF(Pessoas!$C:$C,F359)&gt;0,"nome igual em Pessoas: confira o CPF","")))</f>
        <v/>
      </c>
      <c r="M359" s="24"/>
      <c r="N359" s="11"/>
    </row>
    <row r="360" customFormat="false" ht="15" hidden="false" customHeight="false" outlineLevel="0" collapsed="false">
      <c r="A360" s="24"/>
      <c r="B360" s="31" t="str">
        <f aca="false">IF(A360="","",IF(LEN(UPPER(SUBSTITUTE(SUBSTITUTE(SUBSTITUTE(SUBSTITUTE(TRIM(A360),".",""),"/",""),"-","")," ","")))&lt;14,RIGHT(REPT("0",14)&amp;UPPER(SUBSTITUTE(SUBSTITUTE(SUBSTITUTE(SUBSTITUTE(TRIM(A360),".",""),"/",""),"-","")," ","")),14),UPPER(SUBSTITUTE(SUBSTITUTE(SUBSTITUTE(SUBSTITUTE(TRIM(A360),".",""),"/",""),"-","")," ",""))))</f>
        <v/>
      </c>
      <c r="C360" s="25" t="str">
        <f aca="false">IF(B360="","",IFERROR(INDEX(Empresas!$C:$C,MATCH(B360,Empresas!$B:$B,0)),"cadastre o CNPJ em Empresas"))</f>
        <v/>
      </c>
      <c r="D360" s="23"/>
      <c r="E360" s="24"/>
      <c r="F360" s="31" t="str">
        <f aca="false">IF(D360="","",SUBSTITUTE(SUBSTITUTE(SUBSTITUTE(SUBSTITUTE(SUBSTITUTE(SUBSTITUTE(SUBSTITUTE(SUBSTITUTE(SUBSTITUTE(SUBSTITUTE(SUBSTITUTE(SUBSTITUTE(SUBSTITUTE(UPPER(TRIM(D360)),"Á","A"),"À","A"),"Â","A"),"Ã","A"),"É","E"),"Ê","E"),"Í","I"),"Ó","O"),"Ô","O"),"Õ","O"),"Ú","U"),"Ü","U"),"Ç","C"))</f>
        <v/>
      </c>
      <c r="G360" s="31" t="str">
        <f aca="false">IF(E360="","",IF(LEN(SUBSTITUTE(SUBSTITUTE(SUBSTITUTE(SUBSTITUTE(TRIM(E360),"*",""),".",""),"-","")," ",""))=11,MID(SUBSTITUTE(SUBSTITUTE(SUBSTITUTE(SUBSTITUTE(TRIM(E360),"*",""),".",""),"-","")," ",""),4,6),SUBSTITUTE(SUBSTITUTE(SUBSTITUTE(SUBSTITUTE(TRIM(E360),"*",""),".",""),"-","")," ","")))</f>
        <v/>
      </c>
      <c r="H360" s="31" t="str">
        <f aca="false">IF(OR(F360="",G360=""),"",F360&amp;"|"&amp;G360)</f>
        <v/>
      </c>
      <c r="I360" s="23"/>
      <c r="J360" s="22"/>
      <c r="K360" s="22"/>
      <c r="L360" s="25" t="str">
        <f aca="false">IF(F360="","",IF(AND(H360&lt;&gt;"",COUNTIF(Pessoas!$E:$E,H360)&gt;0),"SIM",IF(COUNTIF(Pessoas!$C:$C,F360)&gt;0,"nome igual em Pessoas: confira o CPF","")))</f>
        <v/>
      </c>
      <c r="M360" s="24"/>
      <c r="N360" s="11"/>
    </row>
    <row r="361" customFormat="false" ht="15" hidden="false" customHeight="false" outlineLevel="0" collapsed="false">
      <c r="A361" s="24"/>
      <c r="B361" s="31" t="str">
        <f aca="false">IF(A361="","",IF(LEN(UPPER(SUBSTITUTE(SUBSTITUTE(SUBSTITUTE(SUBSTITUTE(TRIM(A361),".",""),"/",""),"-","")," ","")))&lt;14,RIGHT(REPT("0",14)&amp;UPPER(SUBSTITUTE(SUBSTITUTE(SUBSTITUTE(SUBSTITUTE(TRIM(A361),".",""),"/",""),"-","")," ","")),14),UPPER(SUBSTITUTE(SUBSTITUTE(SUBSTITUTE(SUBSTITUTE(TRIM(A361),".",""),"/",""),"-","")," ",""))))</f>
        <v/>
      </c>
      <c r="C361" s="25" t="str">
        <f aca="false">IF(B361="","",IFERROR(INDEX(Empresas!$C:$C,MATCH(B361,Empresas!$B:$B,0)),"cadastre o CNPJ em Empresas"))</f>
        <v/>
      </c>
      <c r="D361" s="23"/>
      <c r="E361" s="24"/>
      <c r="F361" s="31" t="str">
        <f aca="false">IF(D361="","",SUBSTITUTE(SUBSTITUTE(SUBSTITUTE(SUBSTITUTE(SUBSTITUTE(SUBSTITUTE(SUBSTITUTE(SUBSTITUTE(SUBSTITUTE(SUBSTITUTE(SUBSTITUTE(SUBSTITUTE(SUBSTITUTE(UPPER(TRIM(D361)),"Á","A"),"À","A"),"Â","A"),"Ã","A"),"É","E"),"Ê","E"),"Í","I"),"Ó","O"),"Ô","O"),"Õ","O"),"Ú","U"),"Ü","U"),"Ç","C"))</f>
        <v/>
      </c>
      <c r="G361" s="31" t="str">
        <f aca="false">IF(E361="","",IF(LEN(SUBSTITUTE(SUBSTITUTE(SUBSTITUTE(SUBSTITUTE(TRIM(E361),"*",""),".",""),"-","")," ",""))=11,MID(SUBSTITUTE(SUBSTITUTE(SUBSTITUTE(SUBSTITUTE(TRIM(E361),"*",""),".",""),"-","")," ",""),4,6),SUBSTITUTE(SUBSTITUTE(SUBSTITUTE(SUBSTITUTE(TRIM(E361),"*",""),".",""),"-","")," ","")))</f>
        <v/>
      </c>
      <c r="H361" s="31" t="str">
        <f aca="false">IF(OR(F361="",G361=""),"",F361&amp;"|"&amp;G361)</f>
        <v/>
      </c>
      <c r="I361" s="23"/>
      <c r="J361" s="22"/>
      <c r="K361" s="22"/>
      <c r="L361" s="25" t="str">
        <f aca="false">IF(F361="","",IF(AND(H361&lt;&gt;"",COUNTIF(Pessoas!$E:$E,H361)&gt;0),"SIM",IF(COUNTIF(Pessoas!$C:$C,F361)&gt;0,"nome igual em Pessoas: confira o CPF","")))</f>
        <v/>
      </c>
      <c r="M361" s="24"/>
      <c r="N361" s="11"/>
    </row>
    <row r="362" customFormat="false" ht="15" hidden="false" customHeight="false" outlineLevel="0" collapsed="false">
      <c r="A362" s="24"/>
      <c r="B362" s="31" t="str">
        <f aca="false">IF(A362="","",IF(LEN(UPPER(SUBSTITUTE(SUBSTITUTE(SUBSTITUTE(SUBSTITUTE(TRIM(A362),".",""),"/",""),"-","")," ","")))&lt;14,RIGHT(REPT("0",14)&amp;UPPER(SUBSTITUTE(SUBSTITUTE(SUBSTITUTE(SUBSTITUTE(TRIM(A362),".",""),"/",""),"-","")," ","")),14),UPPER(SUBSTITUTE(SUBSTITUTE(SUBSTITUTE(SUBSTITUTE(TRIM(A362),".",""),"/",""),"-","")," ",""))))</f>
        <v/>
      </c>
      <c r="C362" s="25" t="str">
        <f aca="false">IF(B362="","",IFERROR(INDEX(Empresas!$C:$C,MATCH(B362,Empresas!$B:$B,0)),"cadastre o CNPJ em Empresas"))</f>
        <v/>
      </c>
      <c r="D362" s="23"/>
      <c r="E362" s="24"/>
      <c r="F362" s="31" t="str">
        <f aca="false">IF(D362="","",SUBSTITUTE(SUBSTITUTE(SUBSTITUTE(SUBSTITUTE(SUBSTITUTE(SUBSTITUTE(SUBSTITUTE(SUBSTITUTE(SUBSTITUTE(SUBSTITUTE(SUBSTITUTE(SUBSTITUTE(SUBSTITUTE(UPPER(TRIM(D362)),"Á","A"),"À","A"),"Â","A"),"Ã","A"),"É","E"),"Ê","E"),"Í","I"),"Ó","O"),"Ô","O"),"Õ","O"),"Ú","U"),"Ü","U"),"Ç","C"))</f>
        <v/>
      </c>
      <c r="G362" s="31" t="str">
        <f aca="false">IF(E362="","",IF(LEN(SUBSTITUTE(SUBSTITUTE(SUBSTITUTE(SUBSTITUTE(TRIM(E362),"*",""),".",""),"-","")," ",""))=11,MID(SUBSTITUTE(SUBSTITUTE(SUBSTITUTE(SUBSTITUTE(TRIM(E362),"*",""),".",""),"-","")," ",""),4,6),SUBSTITUTE(SUBSTITUTE(SUBSTITUTE(SUBSTITUTE(TRIM(E362),"*",""),".",""),"-","")," ","")))</f>
        <v/>
      </c>
      <c r="H362" s="31" t="str">
        <f aca="false">IF(OR(F362="",G362=""),"",F362&amp;"|"&amp;G362)</f>
        <v/>
      </c>
      <c r="I362" s="23"/>
      <c r="J362" s="22"/>
      <c r="K362" s="22"/>
      <c r="L362" s="25" t="str">
        <f aca="false">IF(F362="","",IF(AND(H362&lt;&gt;"",COUNTIF(Pessoas!$E:$E,H362)&gt;0),"SIM",IF(COUNTIF(Pessoas!$C:$C,F362)&gt;0,"nome igual em Pessoas: confira o CPF","")))</f>
        <v/>
      </c>
      <c r="M362" s="24"/>
      <c r="N362" s="11"/>
    </row>
    <row r="363" customFormat="false" ht="15" hidden="false" customHeight="false" outlineLevel="0" collapsed="false">
      <c r="A363" s="24"/>
      <c r="B363" s="31" t="str">
        <f aca="false">IF(A363="","",IF(LEN(UPPER(SUBSTITUTE(SUBSTITUTE(SUBSTITUTE(SUBSTITUTE(TRIM(A363),".",""),"/",""),"-","")," ","")))&lt;14,RIGHT(REPT("0",14)&amp;UPPER(SUBSTITUTE(SUBSTITUTE(SUBSTITUTE(SUBSTITUTE(TRIM(A363),".",""),"/",""),"-","")," ","")),14),UPPER(SUBSTITUTE(SUBSTITUTE(SUBSTITUTE(SUBSTITUTE(TRIM(A363),".",""),"/",""),"-","")," ",""))))</f>
        <v/>
      </c>
      <c r="C363" s="25" t="str">
        <f aca="false">IF(B363="","",IFERROR(INDEX(Empresas!$C:$C,MATCH(B363,Empresas!$B:$B,0)),"cadastre o CNPJ em Empresas"))</f>
        <v/>
      </c>
      <c r="D363" s="23"/>
      <c r="E363" s="24"/>
      <c r="F363" s="31" t="str">
        <f aca="false">IF(D363="","",SUBSTITUTE(SUBSTITUTE(SUBSTITUTE(SUBSTITUTE(SUBSTITUTE(SUBSTITUTE(SUBSTITUTE(SUBSTITUTE(SUBSTITUTE(SUBSTITUTE(SUBSTITUTE(SUBSTITUTE(SUBSTITUTE(UPPER(TRIM(D363)),"Á","A"),"À","A"),"Â","A"),"Ã","A"),"É","E"),"Ê","E"),"Í","I"),"Ó","O"),"Ô","O"),"Õ","O"),"Ú","U"),"Ü","U"),"Ç","C"))</f>
        <v/>
      </c>
      <c r="G363" s="31" t="str">
        <f aca="false">IF(E363="","",IF(LEN(SUBSTITUTE(SUBSTITUTE(SUBSTITUTE(SUBSTITUTE(TRIM(E363),"*",""),".",""),"-","")," ",""))=11,MID(SUBSTITUTE(SUBSTITUTE(SUBSTITUTE(SUBSTITUTE(TRIM(E363),"*",""),".",""),"-","")," ",""),4,6),SUBSTITUTE(SUBSTITUTE(SUBSTITUTE(SUBSTITUTE(TRIM(E363),"*",""),".",""),"-","")," ","")))</f>
        <v/>
      </c>
      <c r="H363" s="31" t="str">
        <f aca="false">IF(OR(F363="",G363=""),"",F363&amp;"|"&amp;G363)</f>
        <v/>
      </c>
      <c r="I363" s="23"/>
      <c r="J363" s="22"/>
      <c r="K363" s="22"/>
      <c r="L363" s="25" t="str">
        <f aca="false">IF(F363="","",IF(AND(H363&lt;&gt;"",COUNTIF(Pessoas!$E:$E,H363)&gt;0),"SIM",IF(COUNTIF(Pessoas!$C:$C,F363)&gt;0,"nome igual em Pessoas: confira o CPF","")))</f>
        <v/>
      </c>
      <c r="M363" s="24"/>
      <c r="N363" s="11"/>
    </row>
    <row r="364" customFormat="false" ht="15" hidden="false" customHeight="false" outlineLevel="0" collapsed="false">
      <c r="A364" s="24"/>
      <c r="B364" s="31" t="str">
        <f aca="false">IF(A364="","",IF(LEN(UPPER(SUBSTITUTE(SUBSTITUTE(SUBSTITUTE(SUBSTITUTE(TRIM(A364),".",""),"/",""),"-","")," ","")))&lt;14,RIGHT(REPT("0",14)&amp;UPPER(SUBSTITUTE(SUBSTITUTE(SUBSTITUTE(SUBSTITUTE(TRIM(A364),".",""),"/",""),"-","")," ","")),14),UPPER(SUBSTITUTE(SUBSTITUTE(SUBSTITUTE(SUBSTITUTE(TRIM(A364),".",""),"/",""),"-","")," ",""))))</f>
        <v/>
      </c>
      <c r="C364" s="25" t="str">
        <f aca="false">IF(B364="","",IFERROR(INDEX(Empresas!$C:$C,MATCH(B364,Empresas!$B:$B,0)),"cadastre o CNPJ em Empresas"))</f>
        <v/>
      </c>
      <c r="D364" s="23"/>
      <c r="E364" s="24"/>
      <c r="F364" s="31" t="str">
        <f aca="false">IF(D364="","",SUBSTITUTE(SUBSTITUTE(SUBSTITUTE(SUBSTITUTE(SUBSTITUTE(SUBSTITUTE(SUBSTITUTE(SUBSTITUTE(SUBSTITUTE(SUBSTITUTE(SUBSTITUTE(SUBSTITUTE(SUBSTITUTE(UPPER(TRIM(D364)),"Á","A"),"À","A"),"Â","A"),"Ã","A"),"É","E"),"Ê","E"),"Í","I"),"Ó","O"),"Ô","O"),"Õ","O"),"Ú","U"),"Ü","U"),"Ç","C"))</f>
        <v/>
      </c>
      <c r="G364" s="31" t="str">
        <f aca="false">IF(E364="","",IF(LEN(SUBSTITUTE(SUBSTITUTE(SUBSTITUTE(SUBSTITUTE(TRIM(E364),"*",""),".",""),"-","")," ",""))=11,MID(SUBSTITUTE(SUBSTITUTE(SUBSTITUTE(SUBSTITUTE(TRIM(E364),"*",""),".",""),"-","")," ",""),4,6),SUBSTITUTE(SUBSTITUTE(SUBSTITUTE(SUBSTITUTE(TRIM(E364),"*",""),".",""),"-","")," ","")))</f>
        <v/>
      </c>
      <c r="H364" s="31" t="str">
        <f aca="false">IF(OR(F364="",G364=""),"",F364&amp;"|"&amp;G364)</f>
        <v/>
      </c>
      <c r="I364" s="23"/>
      <c r="J364" s="22"/>
      <c r="K364" s="22"/>
      <c r="L364" s="25" t="str">
        <f aca="false">IF(F364="","",IF(AND(H364&lt;&gt;"",COUNTIF(Pessoas!$E:$E,H364)&gt;0),"SIM",IF(COUNTIF(Pessoas!$C:$C,F364)&gt;0,"nome igual em Pessoas: confira o CPF","")))</f>
        <v/>
      </c>
      <c r="M364" s="24"/>
      <c r="N364" s="11"/>
    </row>
    <row r="365" customFormat="false" ht="15" hidden="false" customHeight="false" outlineLevel="0" collapsed="false">
      <c r="A365" s="24"/>
      <c r="B365" s="31" t="str">
        <f aca="false">IF(A365="","",IF(LEN(UPPER(SUBSTITUTE(SUBSTITUTE(SUBSTITUTE(SUBSTITUTE(TRIM(A365),".",""),"/",""),"-","")," ","")))&lt;14,RIGHT(REPT("0",14)&amp;UPPER(SUBSTITUTE(SUBSTITUTE(SUBSTITUTE(SUBSTITUTE(TRIM(A365),".",""),"/",""),"-","")," ","")),14),UPPER(SUBSTITUTE(SUBSTITUTE(SUBSTITUTE(SUBSTITUTE(TRIM(A365),".",""),"/",""),"-","")," ",""))))</f>
        <v/>
      </c>
      <c r="C365" s="25" t="str">
        <f aca="false">IF(B365="","",IFERROR(INDEX(Empresas!$C:$C,MATCH(B365,Empresas!$B:$B,0)),"cadastre o CNPJ em Empresas"))</f>
        <v/>
      </c>
      <c r="D365" s="23"/>
      <c r="E365" s="24"/>
      <c r="F365" s="31" t="str">
        <f aca="false">IF(D365="","",SUBSTITUTE(SUBSTITUTE(SUBSTITUTE(SUBSTITUTE(SUBSTITUTE(SUBSTITUTE(SUBSTITUTE(SUBSTITUTE(SUBSTITUTE(SUBSTITUTE(SUBSTITUTE(SUBSTITUTE(SUBSTITUTE(UPPER(TRIM(D365)),"Á","A"),"À","A"),"Â","A"),"Ã","A"),"É","E"),"Ê","E"),"Í","I"),"Ó","O"),"Ô","O"),"Õ","O"),"Ú","U"),"Ü","U"),"Ç","C"))</f>
        <v/>
      </c>
      <c r="G365" s="31" t="str">
        <f aca="false">IF(E365="","",IF(LEN(SUBSTITUTE(SUBSTITUTE(SUBSTITUTE(SUBSTITUTE(TRIM(E365),"*",""),".",""),"-","")," ",""))=11,MID(SUBSTITUTE(SUBSTITUTE(SUBSTITUTE(SUBSTITUTE(TRIM(E365),"*",""),".",""),"-","")," ",""),4,6),SUBSTITUTE(SUBSTITUTE(SUBSTITUTE(SUBSTITUTE(TRIM(E365),"*",""),".",""),"-","")," ","")))</f>
        <v/>
      </c>
      <c r="H365" s="31" t="str">
        <f aca="false">IF(OR(F365="",G365=""),"",F365&amp;"|"&amp;G365)</f>
        <v/>
      </c>
      <c r="I365" s="23"/>
      <c r="J365" s="22"/>
      <c r="K365" s="22"/>
      <c r="L365" s="25" t="str">
        <f aca="false">IF(F365="","",IF(AND(H365&lt;&gt;"",COUNTIF(Pessoas!$E:$E,H365)&gt;0),"SIM",IF(COUNTIF(Pessoas!$C:$C,F365)&gt;0,"nome igual em Pessoas: confira o CPF","")))</f>
        <v/>
      </c>
      <c r="M365" s="24"/>
      <c r="N365" s="11"/>
    </row>
    <row r="366" customFormat="false" ht="15" hidden="false" customHeight="false" outlineLevel="0" collapsed="false">
      <c r="A366" s="24"/>
      <c r="B366" s="31" t="str">
        <f aca="false">IF(A366="","",IF(LEN(UPPER(SUBSTITUTE(SUBSTITUTE(SUBSTITUTE(SUBSTITUTE(TRIM(A366),".",""),"/",""),"-","")," ","")))&lt;14,RIGHT(REPT("0",14)&amp;UPPER(SUBSTITUTE(SUBSTITUTE(SUBSTITUTE(SUBSTITUTE(TRIM(A366),".",""),"/",""),"-","")," ","")),14),UPPER(SUBSTITUTE(SUBSTITUTE(SUBSTITUTE(SUBSTITUTE(TRIM(A366),".",""),"/",""),"-","")," ",""))))</f>
        <v/>
      </c>
      <c r="C366" s="25" t="str">
        <f aca="false">IF(B366="","",IFERROR(INDEX(Empresas!$C:$C,MATCH(B366,Empresas!$B:$B,0)),"cadastre o CNPJ em Empresas"))</f>
        <v/>
      </c>
      <c r="D366" s="23"/>
      <c r="E366" s="24"/>
      <c r="F366" s="31" t="str">
        <f aca="false">IF(D366="","",SUBSTITUTE(SUBSTITUTE(SUBSTITUTE(SUBSTITUTE(SUBSTITUTE(SUBSTITUTE(SUBSTITUTE(SUBSTITUTE(SUBSTITUTE(SUBSTITUTE(SUBSTITUTE(SUBSTITUTE(SUBSTITUTE(UPPER(TRIM(D366)),"Á","A"),"À","A"),"Â","A"),"Ã","A"),"É","E"),"Ê","E"),"Í","I"),"Ó","O"),"Ô","O"),"Õ","O"),"Ú","U"),"Ü","U"),"Ç","C"))</f>
        <v/>
      </c>
      <c r="G366" s="31" t="str">
        <f aca="false">IF(E366="","",IF(LEN(SUBSTITUTE(SUBSTITUTE(SUBSTITUTE(SUBSTITUTE(TRIM(E366),"*",""),".",""),"-","")," ",""))=11,MID(SUBSTITUTE(SUBSTITUTE(SUBSTITUTE(SUBSTITUTE(TRIM(E366),"*",""),".",""),"-","")," ",""),4,6),SUBSTITUTE(SUBSTITUTE(SUBSTITUTE(SUBSTITUTE(TRIM(E366),"*",""),".",""),"-","")," ","")))</f>
        <v/>
      </c>
      <c r="H366" s="31" t="str">
        <f aca="false">IF(OR(F366="",G366=""),"",F366&amp;"|"&amp;G366)</f>
        <v/>
      </c>
      <c r="I366" s="23"/>
      <c r="J366" s="22"/>
      <c r="K366" s="22"/>
      <c r="L366" s="25" t="str">
        <f aca="false">IF(F366="","",IF(AND(H366&lt;&gt;"",COUNTIF(Pessoas!$E:$E,H366)&gt;0),"SIM",IF(COUNTIF(Pessoas!$C:$C,F366)&gt;0,"nome igual em Pessoas: confira o CPF","")))</f>
        <v/>
      </c>
      <c r="M366" s="24"/>
      <c r="N366" s="11"/>
    </row>
    <row r="367" customFormat="false" ht="15" hidden="false" customHeight="false" outlineLevel="0" collapsed="false">
      <c r="A367" s="24"/>
      <c r="B367" s="31" t="str">
        <f aca="false">IF(A367="","",IF(LEN(UPPER(SUBSTITUTE(SUBSTITUTE(SUBSTITUTE(SUBSTITUTE(TRIM(A367),".",""),"/",""),"-","")," ","")))&lt;14,RIGHT(REPT("0",14)&amp;UPPER(SUBSTITUTE(SUBSTITUTE(SUBSTITUTE(SUBSTITUTE(TRIM(A367),".",""),"/",""),"-","")," ","")),14),UPPER(SUBSTITUTE(SUBSTITUTE(SUBSTITUTE(SUBSTITUTE(TRIM(A367),".",""),"/",""),"-","")," ",""))))</f>
        <v/>
      </c>
      <c r="C367" s="25" t="str">
        <f aca="false">IF(B367="","",IFERROR(INDEX(Empresas!$C:$C,MATCH(B367,Empresas!$B:$B,0)),"cadastre o CNPJ em Empresas"))</f>
        <v/>
      </c>
      <c r="D367" s="23"/>
      <c r="E367" s="24"/>
      <c r="F367" s="31" t="str">
        <f aca="false">IF(D367="","",SUBSTITUTE(SUBSTITUTE(SUBSTITUTE(SUBSTITUTE(SUBSTITUTE(SUBSTITUTE(SUBSTITUTE(SUBSTITUTE(SUBSTITUTE(SUBSTITUTE(SUBSTITUTE(SUBSTITUTE(SUBSTITUTE(UPPER(TRIM(D367)),"Á","A"),"À","A"),"Â","A"),"Ã","A"),"É","E"),"Ê","E"),"Í","I"),"Ó","O"),"Ô","O"),"Õ","O"),"Ú","U"),"Ü","U"),"Ç","C"))</f>
        <v/>
      </c>
      <c r="G367" s="31" t="str">
        <f aca="false">IF(E367="","",IF(LEN(SUBSTITUTE(SUBSTITUTE(SUBSTITUTE(SUBSTITUTE(TRIM(E367),"*",""),".",""),"-","")," ",""))=11,MID(SUBSTITUTE(SUBSTITUTE(SUBSTITUTE(SUBSTITUTE(TRIM(E367),"*",""),".",""),"-","")," ",""),4,6),SUBSTITUTE(SUBSTITUTE(SUBSTITUTE(SUBSTITUTE(TRIM(E367),"*",""),".",""),"-","")," ","")))</f>
        <v/>
      </c>
      <c r="H367" s="31" t="str">
        <f aca="false">IF(OR(F367="",G367=""),"",F367&amp;"|"&amp;G367)</f>
        <v/>
      </c>
      <c r="I367" s="23"/>
      <c r="J367" s="22"/>
      <c r="K367" s="22"/>
      <c r="L367" s="25" t="str">
        <f aca="false">IF(F367="","",IF(AND(H367&lt;&gt;"",COUNTIF(Pessoas!$E:$E,H367)&gt;0),"SIM",IF(COUNTIF(Pessoas!$C:$C,F367)&gt;0,"nome igual em Pessoas: confira o CPF","")))</f>
        <v/>
      </c>
      <c r="M367" s="24"/>
      <c r="N367" s="11"/>
    </row>
    <row r="368" customFormat="false" ht="15" hidden="false" customHeight="false" outlineLevel="0" collapsed="false">
      <c r="A368" s="24"/>
      <c r="B368" s="31" t="str">
        <f aca="false">IF(A368="","",IF(LEN(UPPER(SUBSTITUTE(SUBSTITUTE(SUBSTITUTE(SUBSTITUTE(TRIM(A368),".",""),"/",""),"-","")," ","")))&lt;14,RIGHT(REPT("0",14)&amp;UPPER(SUBSTITUTE(SUBSTITUTE(SUBSTITUTE(SUBSTITUTE(TRIM(A368),".",""),"/",""),"-","")," ","")),14),UPPER(SUBSTITUTE(SUBSTITUTE(SUBSTITUTE(SUBSTITUTE(TRIM(A368),".",""),"/",""),"-","")," ",""))))</f>
        <v/>
      </c>
      <c r="C368" s="25" t="str">
        <f aca="false">IF(B368="","",IFERROR(INDEX(Empresas!$C:$C,MATCH(B368,Empresas!$B:$B,0)),"cadastre o CNPJ em Empresas"))</f>
        <v/>
      </c>
      <c r="D368" s="23"/>
      <c r="E368" s="24"/>
      <c r="F368" s="31" t="str">
        <f aca="false">IF(D368="","",SUBSTITUTE(SUBSTITUTE(SUBSTITUTE(SUBSTITUTE(SUBSTITUTE(SUBSTITUTE(SUBSTITUTE(SUBSTITUTE(SUBSTITUTE(SUBSTITUTE(SUBSTITUTE(SUBSTITUTE(SUBSTITUTE(UPPER(TRIM(D368)),"Á","A"),"À","A"),"Â","A"),"Ã","A"),"É","E"),"Ê","E"),"Í","I"),"Ó","O"),"Ô","O"),"Õ","O"),"Ú","U"),"Ü","U"),"Ç","C"))</f>
        <v/>
      </c>
      <c r="G368" s="31" t="str">
        <f aca="false">IF(E368="","",IF(LEN(SUBSTITUTE(SUBSTITUTE(SUBSTITUTE(SUBSTITUTE(TRIM(E368),"*",""),".",""),"-","")," ",""))=11,MID(SUBSTITUTE(SUBSTITUTE(SUBSTITUTE(SUBSTITUTE(TRIM(E368),"*",""),".",""),"-","")," ",""),4,6),SUBSTITUTE(SUBSTITUTE(SUBSTITUTE(SUBSTITUTE(TRIM(E368),"*",""),".",""),"-","")," ","")))</f>
        <v/>
      </c>
      <c r="H368" s="31" t="str">
        <f aca="false">IF(OR(F368="",G368=""),"",F368&amp;"|"&amp;G368)</f>
        <v/>
      </c>
      <c r="I368" s="23"/>
      <c r="J368" s="22"/>
      <c r="K368" s="22"/>
      <c r="L368" s="25" t="str">
        <f aca="false">IF(F368="","",IF(AND(H368&lt;&gt;"",COUNTIF(Pessoas!$E:$E,H368)&gt;0),"SIM",IF(COUNTIF(Pessoas!$C:$C,F368)&gt;0,"nome igual em Pessoas: confira o CPF","")))</f>
        <v/>
      </c>
      <c r="M368" s="24"/>
      <c r="N368" s="11"/>
    </row>
    <row r="369" customFormat="false" ht="15" hidden="false" customHeight="false" outlineLevel="0" collapsed="false">
      <c r="A369" s="24"/>
      <c r="B369" s="31" t="str">
        <f aca="false">IF(A369="","",IF(LEN(UPPER(SUBSTITUTE(SUBSTITUTE(SUBSTITUTE(SUBSTITUTE(TRIM(A369),".",""),"/",""),"-","")," ","")))&lt;14,RIGHT(REPT("0",14)&amp;UPPER(SUBSTITUTE(SUBSTITUTE(SUBSTITUTE(SUBSTITUTE(TRIM(A369),".",""),"/",""),"-","")," ","")),14),UPPER(SUBSTITUTE(SUBSTITUTE(SUBSTITUTE(SUBSTITUTE(TRIM(A369),".",""),"/",""),"-","")," ",""))))</f>
        <v/>
      </c>
      <c r="C369" s="25" t="str">
        <f aca="false">IF(B369="","",IFERROR(INDEX(Empresas!$C:$C,MATCH(B369,Empresas!$B:$B,0)),"cadastre o CNPJ em Empresas"))</f>
        <v/>
      </c>
      <c r="D369" s="23"/>
      <c r="E369" s="24"/>
      <c r="F369" s="31" t="str">
        <f aca="false">IF(D369="","",SUBSTITUTE(SUBSTITUTE(SUBSTITUTE(SUBSTITUTE(SUBSTITUTE(SUBSTITUTE(SUBSTITUTE(SUBSTITUTE(SUBSTITUTE(SUBSTITUTE(SUBSTITUTE(SUBSTITUTE(SUBSTITUTE(UPPER(TRIM(D369)),"Á","A"),"À","A"),"Â","A"),"Ã","A"),"É","E"),"Ê","E"),"Í","I"),"Ó","O"),"Ô","O"),"Õ","O"),"Ú","U"),"Ü","U"),"Ç","C"))</f>
        <v/>
      </c>
      <c r="G369" s="31" t="str">
        <f aca="false">IF(E369="","",IF(LEN(SUBSTITUTE(SUBSTITUTE(SUBSTITUTE(SUBSTITUTE(TRIM(E369),"*",""),".",""),"-","")," ",""))=11,MID(SUBSTITUTE(SUBSTITUTE(SUBSTITUTE(SUBSTITUTE(TRIM(E369),"*",""),".",""),"-","")," ",""),4,6),SUBSTITUTE(SUBSTITUTE(SUBSTITUTE(SUBSTITUTE(TRIM(E369),"*",""),".",""),"-","")," ","")))</f>
        <v/>
      </c>
      <c r="H369" s="31" t="str">
        <f aca="false">IF(OR(F369="",G369=""),"",F369&amp;"|"&amp;G369)</f>
        <v/>
      </c>
      <c r="I369" s="23"/>
      <c r="J369" s="22"/>
      <c r="K369" s="22"/>
      <c r="L369" s="25" t="str">
        <f aca="false">IF(F369="","",IF(AND(H369&lt;&gt;"",COUNTIF(Pessoas!$E:$E,H369)&gt;0),"SIM",IF(COUNTIF(Pessoas!$C:$C,F369)&gt;0,"nome igual em Pessoas: confira o CPF","")))</f>
        <v/>
      </c>
      <c r="M369" s="24"/>
      <c r="N369" s="11"/>
    </row>
    <row r="370" customFormat="false" ht="15" hidden="false" customHeight="false" outlineLevel="0" collapsed="false">
      <c r="A370" s="24"/>
      <c r="B370" s="31" t="str">
        <f aca="false">IF(A370="","",IF(LEN(UPPER(SUBSTITUTE(SUBSTITUTE(SUBSTITUTE(SUBSTITUTE(TRIM(A370),".",""),"/",""),"-","")," ","")))&lt;14,RIGHT(REPT("0",14)&amp;UPPER(SUBSTITUTE(SUBSTITUTE(SUBSTITUTE(SUBSTITUTE(TRIM(A370),".",""),"/",""),"-","")," ","")),14),UPPER(SUBSTITUTE(SUBSTITUTE(SUBSTITUTE(SUBSTITUTE(TRIM(A370),".",""),"/",""),"-","")," ",""))))</f>
        <v/>
      </c>
      <c r="C370" s="25" t="str">
        <f aca="false">IF(B370="","",IFERROR(INDEX(Empresas!$C:$C,MATCH(B370,Empresas!$B:$B,0)),"cadastre o CNPJ em Empresas"))</f>
        <v/>
      </c>
      <c r="D370" s="23"/>
      <c r="E370" s="24"/>
      <c r="F370" s="31" t="str">
        <f aca="false">IF(D370="","",SUBSTITUTE(SUBSTITUTE(SUBSTITUTE(SUBSTITUTE(SUBSTITUTE(SUBSTITUTE(SUBSTITUTE(SUBSTITUTE(SUBSTITUTE(SUBSTITUTE(SUBSTITUTE(SUBSTITUTE(SUBSTITUTE(UPPER(TRIM(D370)),"Á","A"),"À","A"),"Â","A"),"Ã","A"),"É","E"),"Ê","E"),"Í","I"),"Ó","O"),"Ô","O"),"Õ","O"),"Ú","U"),"Ü","U"),"Ç","C"))</f>
        <v/>
      </c>
      <c r="G370" s="31" t="str">
        <f aca="false">IF(E370="","",IF(LEN(SUBSTITUTE(SUBSTITUTE(SUBSTITUTE(SUBSTITUTE(TRIM(E370),"*",""),".",""),"-","")," ",""))=11,MID(SUBSTITUTE(SUBSTITUTE(SUBSTITUTE(SUBSTITUTE(TRIM(E370),"*",""),".",""),"-","")," ",""),4,6),SUBSTITUTE(SUBSTITUTE(SUBSTITUTE(SUBSTITUTE(TRIM(E370),"*",""),".",""),"-","")," ","")))</f>
        <v/>
      </c>
      <c r="H370" s="31" t="str">
        <f aca="false">IF(OR(F370="",G370=""),"",F370&amp;"|"&amp;G370)</f>
        <v/>
      </c>
      <c r="I370" s="23"/>
      <c r="J370" s="22"/>
      <c r="K370" s="22"/>
      <c r="L370" s="25" t="str">
        <f aca="false">IF(F370="","",IF(AND(H370&lt;&gt;"",COUNTIF(Pessoas!$E:$E,H370)&gt;0),"SIM",IF(COUNTIF(Pessoas!$C:$C,F370)&gt;0,"nome igual em Pessoas: confira o CPF","")))</f>
        <v/>
      </c>
      <c r="M370" s="24"/>
      <c r="N370" s="11"/>
    </row>
    <row r="371" customFormat="false" ht="15" hidden="false" customHeight="false" outlineLevel="0" collapsed="false">
      <c r="A371" s="24"/>
      <c r="B371" s="31" t="str">
        <f aca="false">IF(A371="","",IF(LEN(UPPER(SUBSTITUTE(SUBSTITUTE(SUBSTITUTE(SUBSTITUTE(TRIM(A371),".",""),"/",""),"-","")," ","")))&lt;14,RIGHT(REPT("0",14)&amp;UPPER(SUBSTITUTE(SUBSTITUTE(SUBSTITUTE(SUBSTITUTE(TRIM(A371),".",""),"/",""),"-","")," ","")),14),UPPER(SUBSTITUTE(SUBSTITUTE(SUBSTITUTE(SUBSTITUTE(TRIM(A371),".",""),"/",""),"-","")," ",""))))</f>
        <v/>
      </c>
      <c r="C371" s="25" t="str">
        <f aca="false">IF(B371="","",IFERROR(INDEX(Empresas!$C:$C,MATCH(B371,Empresas!$B:$B,0)),"cadastre o CNPJ em Empresas"))</f>
        <v/>
      </c>
      <c r="D371" s="23"/>
      <c r="E371" s="24"/>
      <c r="F371" s="31" t="str">
        <f aca="false">IF(D371="","",SUBSTITUTE(SUBSTITUTE(SUBSTITUTE(SUBSTITUTE(SUBSTITUTE(SUBSTITUTE(SUBSTITUTE(SUBSTITUTE(SUBSTITUTE(SUBSTITUTE(SUBSTITUTE(SUBSTITUTE(SUBSTITUTE(UPPER(TRIM(D371)),"Á","A"),"À","A"),"Â","A"),"Ã","A"),"É","E"),"Ê","E"),"Í","I"),"Ó","O"),"Ô","O"),"Õ","O"),"Ú","U"),"Ü","U"),"Ç","C"))</f>
        <v/>
      </c>
      <c r="G371" s="31" t="str">
        <f aca="false">IF(E371="","",IF(LEN(SUBSTITUTE(SUBSTITUTE(SUBSTITUTE(SUBSTITUTE(TRIM(E371),"*",""),".",""),"-","")," ",""))=11,MID(SUBSTITUTE(SUBSTITUTE(SUBSTITUTE(SUBSTITUTE(TRIM(E371),"*",""),".",""),"-","")," ",""),4,6),SUBSTITUTE(SUBSTITUTE(SUBSTITUTE(SUBSTITUTE(TRIM(E371),"*",""),".",""),"-","")," ","")))</f>
        <v/>
      </c>
      <c r="H371" s="31" t="str">
        <f aca="false">IF(OR(F371="",G371=""),"",F371&amp;"|"&amp;G371)</f>
        <v/>
      </c>
      <c r="I371" s="23"/>
      <c r="J371" s="22"/>
      <c r="K371" s="22"/>
      <c r="L371" s="25" t="str">
        <f aca="false">IF(F371="","",IF(AND(H371&lt;&gt;"",COUNTIF(Pessoas!$E:$E,H371)&gt;0),"SIM",IF(COUNTIF(Pessoas!$C:$C,F371)&gt;0,"nome igual em Pessoas: confira o CPF","")))</f>
        <v/>
      </c>
      <c r="M371" s="24"/>
      <c r="N371" s="11"/>
    </row>
    <row r="372" customFormat="false" ht="15" hidden="false" customHeight="false" outlineLevel="0" collapsed="false">
      <c r="A372" s="24"/>
      <c r="B372" s="31" t="str">
        <f aca="false">IF(A372="","",IF(LEN(UPPER(SUBSTITUTE(SUBSTITUTE(SUBSTITUTE(SUBSTITUTE(TRIM(A372),".",""),"/",""),"-","")," ","")))&lt;14,RIGHT(REPT("0",14)&amp;UPPER(SUBSTITUTE(SUBSTITUTE(SUBSTITUTE(SUBSTITUTE(TRIM(A372),".",""),"/",""),"-","")," ","")),14),UPPER(SUBSTITUTE(SUBSTITUTE(SUBSTITUTE(SUBSTITUTE(TRIM(A372),".",""),"/",""),"-","")," ",""))))</f>
        <v/>
      </c>
      <c r="C372" s="25" t="str">
        <f aca="false">IF(B372="","",IFERROR(INDEX(Empresas!$C:$C,MATCH(B372,Empresas!$B:$B,0)),"cadastre o CNPJ em Empresas"))</f>
        <v/>
      </c>
      <c r="D372" s="23"/>
      <c r="E372" s="24"/>
      <c r="F372" s="31" t="str">
        <f aca="false">IF(D372="","",SUBSTITUTE(SUBSTITUTE(SUBSTITUTE(SUBSTITUTE(SUBSTITUTE(SUBSTITUTE(SUBSTITUTE(SUBSTITUTE(SUBSTITUTE(SUBSTITUTE(SUBSTITUTE(SUBSTITUTE(SUBSTITUTE(UPPER(TRIM(D372)),"Á","A"),"À","A"),"Â","A"),"Ã","A"),"É","E"),"Ê","E"),"Í","I"),"Ó","O"),"Ô","O"),"Õ","O"),"Ú","U"),"Ü","U"),"Ç","C"))</f>
        <v/>
      </c>
      <c r="G372" s="31" t="str">
        <f aca="false">IF(E372="","",IF(LEN(SUBSTITUTE(SUBSTITUTE(SUBSTITUTE(SUBSTITUTE(TRIM(E372),"*",""),".",""),"-","")," ",""))=11,MID(SUBSTITUTE(SUBSTITUTE(SUBSTITUTE(SUBSTITUTE(TRIM(E372),"*",""),".",""),"-","")," ",""),4,6),SUBSTITUTE(SUBSTITUTE(SUBSTITUTE(SUBSTITUTE(TRIM(E372),"*",""),".",""),"-","")," ","")))</f>
        <v/>
      </c>
      <c r="H372" s="31" t="str">
        <f aca="false">IF(OR(F372="",G372=""),"",F372&amp;"|"&amp;G372)</f>
        <v/>
      </c>
      <c r="I372" s="23"/>
      <c r="J372" s="22"/>
      <c r="K372" s="22"/>
      <c r="L372" s="25" t="str">
        <f aca="false">IF(F372="","",IF(AND(H372&lt;&gt;"",COUNTIF(Pessoas!$E:$E,H372)&gt;0),"SIM",IF(COUNTIF(Pessoas!$C:$C,F372)&gt;0,"nome igual em Pessoas: confira o CPF","")))</f>
        <v/>
      </c>
      <c r="M372" s="24"/>
      <c r="N372" s="11"/>
    </row>
    <row r="373" customFormat="false" ht="15" hidden="false" customHeight="false" outlineLevel="0" collapsed="false">
      <c r="A373" s="24"/>
      <c r="B373" s="31" t="str">
        <f aca="false">IF(A373="","",IF(LEN(UPPER(SUBSTITUTE(SUBSTITUTE(SUBSTITUTE(SUBSTITUTE(TRIM(A373),".",""),"/",""),"-","")," ","")))&lt;14,RIGHT(REPT("0",14)&amp;UPPER(SUBSTITUTE(SUBSTITUTE(SUBSTITUTE(SUBSTITUTE(TRIM(A373),".",""),"/",""),"-","")," ","")),14),UPPER(SUBSTITUTE(SUBSTITUTE(SUBSTITUTE(SUBSTITUTE(TRIM(A373),".",""),"/",""),"-","")," ",""))))</f>
        <v/>
      </c>
      <c r="C373" s="25" t="str">
        <f aca="false">IF(B373="","",IFERROR(INDEX(Empresas!$C:$C,MATCH(B373,Empresas!$B:$B,0)),"cadastre o CNPJ em Empresas"))</f>
        <v/>
      </c>
      <c r="D373" s="23"/>
      <c r="E373" s="24"/>
      <c r="F373" s="31" t="str">
        <f aca="false">IF(D373="","",SUBSTITUTE(SUBSTITUTE(SUBSTITUTE(SUBSTITUTE(SUBSTITUTE(SUBSTITUTE(SUBSTITUTE(SUBSTITUTE(SUBSTITUTE(SUBSTITUTE(SUBSTITUTE(SUBSTITUTE(SUBSTITUTE(UPPER(TRIM(D373)),"Á","A"),"À","A"),"Â","A"),"Ã","A"),"É","E"),"Ê","E"),"Í","I"),"Ó","O"),"Ô","O"),"Õ","O"),"Ú","U"),"Ü","U"),"Ç","C"))</f>
        <v/>
      </c>
      <c r="G373" s="31" t="str">
        <f aca="false">IF(E373="","",IF(LEN(SUBSTITUTE(SUBSTITUTE(SUBSTITUTE(SUBSTITUTE(TRIM(E373),"*",""),".",""),"-","")," ",""))=11,MID(SUBSTITUTE(SUBSTITUTE(SUBSTITUTE(SUBSTITUTE(TRIM(E373),"*",""),".",""),"-","")," ",""),4,6),SUBSTITUTE(SUBSTITUTE(SUBSTITUTE(SUBSTITUTE(TRIM(E373),"*",""),".",""),"-","")," ","")))</f>
        <v/>
      </c>
      <c r="H373" s="31" t="str">
        <f aca="false">IF(OR(F373="",G373=""),"",F373&amp;"|"&amp;G373)</f>
        <v/>
      </c>
      <c r="I373" s="23"/>
      <c r="J373" s="22"/>
      <c r="K373" s="22"/>
      <c r="L373" s="25" t="str">
        <f aca="false">IF(F373="","",IF(AND(H373&lt;&gt;"",COUNTIF(Pessoas!$E:$E,H373)&gt;0),"SIM",IF(COUNTIF(Pessoas!$C:$C,F373)&gt;0,"nome igual em Pessoas: confira o CPF","")))</f>
        <v/>
      </c>
      <c r="M373" s="24"/>
      <c r="N373" s="11"/>
    </row>
    <row r="374" customFormat="false" ht="15" hidden="false" customHeight="false" outlineLevel="0" collapsed="false">
      <c r="A374" s="24"/>
      <c r="B374" s="31" t="str">
        <f aca="false">IF(A374="","",IF(LEN(UPPER(SUBSTITUTE(SUBSTITUTE(SUBSTITUTE(SUBSTITUTE(TRIM(A374),".",""),"/",""),"-","")," ","")))&lt;14,RIGHT(REPT("0",14)&amp;UPPER(SUBSTITUTE(SUBSTITUTE(SUBSTITUTE(SUBSTITUTE(TRIM(A374),".",""),"/",""),"-","")," ","")),14),UPPER(SUBSTITUTE(SUBSTITUTE(SUBSTITUTE(SUBSTITUTE(TRIM(A374),".",""),"/",""),"-","")," ",""))))</f>
        <v/>
      </c>
      <c r="C374" s="25" t="str">
        <f aca="false">IF(B374="","",IFERROR(INDEX(Empresas!$C:$C,MATCH(B374,Empresas!$B:$B,0)),"cadastre o CNPJ em Empresas"))</f>
        <v/>
      </c>
      <c r="D374" s="23"/>
      <c r="E374" s="24"/>
      <c r="F374" s="31" t="str">
        <f aca="false">IF(D374="","",SUBSTITUTE(SUBSTITUTE(SUBSTITUTE(SUBSTITUTE(SUBSTITUTE(SUBSTITUTE(SUBSTITUTE(SUBSTITUTE(SUBSTITUTE(SUBSTITUTE(SUBSTITUTE(SUBSTITUTE(SUBSTITUTE(UPPER(TRIM(D374)),"Á","A"),"À","A"),"Â","A"),"Ã","A"),"É","E"),"Ê","E"),"Í","I"),"Ó","O"),"Ô","O"),"Õ","O"),"Ú","U"),"Ü","U"),"Ç","C"))</f>
        <v/>
      </c>
      <c r="G374" s="31" t="str">
        <f aca="false">IF(E374="","",IF(LEN(SUBSTITUTE(SUBSTITUTE(SUBSTITUTE(SUBSTITUTE(TRIM(E374),"*",""),".",""),"-","")," ",""))=11,MID(SUBSTITUTE(SUBSTITUTE(SUBSTITUTE(SUBSTITUTE(TRIM(E374),"*",""),".",""),"-","")," ",""),4,6),SUBSTITUTE(SUBSTITUTE(SUBSTITUTE(SUBSTITUTE(TRIM(E374),"*",""),".",""),"-","")," ","")))</f>
        <v/>
      </c>
      <c r="H374" s="31" t="str">
        <f aca="false">IF(OR(F374="",G374=""),"",F374&amp;"|"&amp;G374)</f>
        <v/>
      </c>
      <c r="I374" s="23"/>
      <c r="J374" s="22"/>
      <c r="K374" s="22"/>
      <c r="L374" s="25" t="str">
        <f aca="false">IF(F374="","",IF(AND(H374&lt;&gt;"",COUNTIF(Pessoas!$E:$E,H374)&gt;0),"SIM",IF(COUNTIF(Pessoas!$C:$C,F374)&gt;0,"nome igual em Pessoas: confira o CPF","")))</f>
        <v/>
      </c>
      <c r="M374" s="24"/>
      <c r="N374" s="11"/>
    </row>
    <row r="375" customFormat="false" ht="15" hidden="false" customHeight="false" outlineLevel="0" collapsed="false">
      <c r="A375" s="24"/>
      <c r="B375" s="31" t="str">
        <f aca="false">IF(A375="","",IF(LEN(UPPER(SUBSTITUTE(SUBSTITUTE(SUBSTITUTE(SUBSTITUTE(TRIM(A375),".",""),"/",""),"-","")," ","")))&lt;14,RIGHT(REPT("0",14)&amp;UPPER(SUBSTITUTE(SUBSTITUTE(SUBSTITUTE(SUBSTITUTE(TRIM(A375),".",""),"/",""),"-","")," ","")),14),UPPER(SUBSTITUTE(SUBSTITUTE(SUBSTITUTE(SUBSTITUTE(TRIM(A375),".",""),"/",""),"-","")," ",""))))</f>
        <v/>
      </c>
      <c r="C375" s="25" t="str">
        <f aca="false">IF(B375="","",IFERROR(INDEX(Empresas!$C:$C,MATCH(B375,Empresas!$B:$B,0)),"cadastre o CNPJ em Empresas"))</f>
        <v/>
      </c>
      <c r="D375" s="23"/>
      <c r="E375" s="24"/>
      <c r="F375" s="31" t="str">
        <f aca="false">IF(D375="","",SUBSTITUTE(SUBSTITUTE(SUBSTITUTE(SUBSTITUTE(SUBSTITUTE(SUBSTITUTE(SUBSTITUTE(SUBSTITUTE(SUBSTITUTE(SUBSTITUTE(SUBSTITUTE(SUBSTITUTE(SUBSTITUTE(UPPER(TRIM(D375)),"Á","A"),"À","A"),"Â","A"),"Ã","A"),"É","E"),"Ê","E"),"Í","I"),"Ó","O"),"Ô","O"),"Õ","O"),"Ú","U"),"Ü","U"),"Ç","C"))</f>
        <v/>
      </c>
      <c r="G375" s="31" t="str">
        <f aca="false">IF(E375="","",IF(LEN(SUBSTITUTE(SUBSTITUTE(SUBSTITUTE(SUBSTITUTE(TRIM(E375),"*",""),".",""),"-","")," ",""))=11,MID(SUBSTITUTE(SUBSTITUTE(SUBSTITUTE(SUBSTITUTE(TRIM(E375),"*",""),".",""),"-","")," ",""),4,6),SUBSTITUTE(SUBSTITUTE(SUBSTITUTE(SUBSTITUTE(TRIM(E375),"*",""),".",""),"-","")," ","")))</f>
        <v/>
      </c>
      <c r="H375" s="31" t="str">
        <f aca="false">IF(OR(F375="",G375=""),"",F375&amp;"|"&amp;G375)</f>
        <v/>
      </c>
      <c r="I375" s="23"/>
      <c r="J375" s="22"/>
      <c r="K375" s="22"/>
      <c r="L375" s="25" t="str">
        <f aca="false">IF(F375="","",IF(AND(H375&lt;&gt;"",COUNTIF(Pessoas!$E:$E,H375)&gt;0),"SIM",IF(COUNTIF(Pessoas!$C:$C,F375)&gt;0,"nome igual em Pessoas: confira o CPF","")))</f>
        <v/>
      </c>
      <c r="M375" s="24"/>
      <c r="N375" s="11"/>
    </row>
    <row r="376" customFormat="false" ht="15" hidden="false" customHeight="false" outlineLevel="0" collapsed="false">
      <c r="A376" s="24"/>
      <c r="B376" s="31" t="str">
        <f aca="false">IF(A376="","",IF(LEN(UPPER(SUBSTITUTE(SUBSTITUTE(SUBSTITUTE(SUBSTITUTE(TRIM(A376),".",""),"/",""),"-","")," ","")))&lt;14,RIGHT(REPT("0",14)&amp;UPPER(SUBSTITUTE(SUBSTITUTE(SUBSTITUTE(SUBSTITUTE(TRIM(A376),".",""),"/",""),"-","")," ","")),14),UPPER(SUBSTITUTE(SUBSTITUTE(SUBSTITUTE(SUBSTITUTE(TRIM(A376),".",""),"/",""),"-","")," ",""))))</f>
        <v/>
      </c>
      <c r="C376" s="25" t="str">
        <f aca="false">IF(B376="","",IFERROR(INDEX(Empresas!$C:$C,MATCH(B376,Empresas!$B:$B,0)),"cadastre o CNPJ em Empresas"))</f>
        <v/>
      </c>
      <c r="D376" s="23"/>
      <c r="E376" s="24"/>
      <c r="F376" s="31" t="str">
        <f aca="false">IF(D376="","",SUBSTITUTE(SUBSTITUTE(SUBSTITUTE(SUBSTITUTE(SUBSTITUTE(SUBSTITUTE(SUBSTITUTE(SUBSTITUTE(SUBSTITUTE(SUBSTITUTE(SUBSTITUTE(SUBSTITUTE(SUBSTITUTE(UPPER(TRIM(D376)),"Á","A"),"À","A"),"Â","A"),"Ã","A"),"É","E"),"Ê","E"),"Í","I"),"Ó","O"),"Ô","O"),"Õ","O"),"Ú","U"),"Ü","U"),"Ç","C"))</f>
        <v/>
      </c>
      <c r="G376" s="31" t="str">
        <f aca="false">IF(E376="","",IF(LEN(SUBSTITUTE(SUBSTITUTE(SUBSTITUTE(SUBSTITUTE(TRIM(E376),"*",""),".",""),"-","")," ",""))=11,MID(SUBSTITUTE(SUBSTITUTE(SUBSTITUTE(SUBSTITUTE(TRIM(E376),"*",""),".",""),"-","")," ",""),4,6),SUBSTITUTE(SUBSTITUTE(SUBSTITUTE(SUBSTITUTE(TRIM(E376),"*",""),".",""),"-","")," ","")))</f>
        <v/>
      </c>
      <c r="H376" s="31" t="str">
        <f aca="false">IF(OR(F376="",G376=""),"",F376&amp;"|"&amp;G376)</f>
        <v/>
      </c>
      <c r="I376" s="23"/>
      <c r="J376" s="22"/>
      <c r="K376" s="22"/>
      <c r="L376" s="25" t="str">
        <f aca="false">IF(F376="","",IF(AND(H376&lt;&gt;"",COUNTIF(Pessoas!$E:$E,H376)&gt;0),"SIM",IF(COUNTIF(Pessoas!$C:$C,F376)&gt;0,"nome igual em Pessoas: confira o CPF","")))</f>
        <v/>
      </c>
      <c r="M376" s="24"/>
      <c r="N376" s="11"/>
    </row>
    <row r="377" customFormat="false" ht="15" hidden="false" customHeight="false" outlineLevel="0" collapsed="false">
      <c r="A377" s="24"/>
      <c r="B377" s="31" t="str">
        <f aca="false">IF(A377="","",IF(LEN(UPPER(SUBSTITUTE(SUBSTITUTE(SUBSTITUTE(SUBSTITUTE(TRIM(A377),".",""),"/",""),"-","")," ","")))&lt;14,RIGHT(REPT("0",14)&amp;UPPER(SUBSTITUTE(SUBSTITUTE(SUBSTITUTE(SUBSTITUTE(TRIM(A377),".",""),"/",""),"-","")," ","")),14),UPPER(SUBSTITUTE(SUBSTITUTE(SUBSTITUTE(SUBSTITUTE(TRIM(A377),".",""),"/",""),"-","")," ",""))))</f>
        <v/>
      </c>
      <c r="C377" s="25" t="str">
        <f aca="false">IF(B377="","",IFERROR(INDEX(Empresas!$C:$C,MATCH(B377,Empresas!$B:$B,0)),"cadastre o CNPJ em Empresas"))</f>
        <v/>
      </c>
      <c r="D377" s="23"/>
      <c r="E377" s="24"/>
      <c r="F377" s="31" t="str">
        <f aca="false">IF(D377="","",SUBSTITUTE(SUBSTITUTE(SUBSTITUTE(SUBSTITUTE(SUBSTITUTE(SUBSTITUTE(SUBSTITUTE(SUBSTITUTE(SUBSTITUTE(SUBSTITUTE(SUBSTITUTE(SUBSTITUTE(SUBSTITUTE(UPPER(TRIM(D377)),"Á","A"),"À","A"),"Â","A"),"Ã","A"),"É","E"),"Ê","E"),"Í","I"),"Ó","O"),"Ô","O"),"Õ","O"),"Ú","U"),"Ü","U"),"Ç","C"))</f>
        <v/>
      </c>
      <c r="G377" s="31" t="str">
        <f aca="false">IF(E377="","",IF(LEN(SUBSTITUTE(SUBSTITUTE(SUBSTITUTE(SUBSTITUTE(TRIM(E377),"*",""),".",""),"-","")," ",""))=11,MID(SUBSTITUTE(SUBSTITUTE(SUBSTITUTE(SUBSTITUTE(TRIM(E377),"*",""),".",""),"-","")," ",""),4,6),SUBSTITUTE(SUBSTITUTE(SUBSTITUTE(SUBSTITUTE(TRIM(E377),"*",""),".",""),"-","")," ","")))</f>
        <v/>
      </c>
      <c r="H377" s="31" t="str">
        <f aca="false">IF(OR(F377="",G377=""),"",F377&amp;"|"&amp;G377)</f>
        <v/>
      </c>
      <c r="I377" s="23"/>
      <c r="J377" s="22"/>
      <c r="K377" s="22"/>
      <c r="L377" s="25" t="str">
        <f aca="false">IF(F377="","",IF(AND(H377&lt;&gt;"",COUNTIF(Pessoas!$E:$E,H377)&gt;0),"SIM",IF(COUNTIF(Pessoas!$C:$C,F377)&gt;0,"nome igual em Pessoas: confira o CPF","")))</f>
        <v/>
      </c>
      <c r="M377" s="24"/>
      <c r="N377" s="11"/>
    </row>
    <row r="378" customFormat="false" ht="15" hidden="false" customHeight="false" outlineLevel="0" collapsed="false">
      <c r="A378" s="24"/>
      <c r="B378" s="31" t="str">
        <f aca="false">IF(A378="","",IF(LEN(UPPER(SUBSTITUTE(SUBSTITUTE(SUBSTITUTE(SUBSTITUTE(TRIM(A378),".",""),"/",""),"-","")," ","")))&lt;14,RIGHT(REPT("0",14)&amp;UPPER(SUBSTITUTE(SUBSTITUTE(SUBSTITUTE(SUBSTITUTE(TRIM(A378),".",""),"/",""),"-","")," ","")),14),UPPER(SUBSTITUTE(SUBSTITUTE(SUBSTITUTE(SUBSTITUTE(TRIM(A378),".",""),"/",""),"-","")," ",""))))</f>
        <v/>
      </c>
      <c r="C378" s="25" t="str">
        <f aca="false">IF(B378="","",IFERROR(INDEX(Empresas!$C:$C,MATCH(B378,Empresas!$B:$B,0)),"cadastre o CNPJ em Empresas"))</f>
        <v/>
      </c>
      <c r="D378" s="23"/>
      <c r="E378" s="24"/>
      <c r="F378" s="31" t="str">
        <f aca="false">IF(D378="","",SUBSTITUTE(SUBSTITUTE(SUBSTITUTE(SUBSTITUTE(SUBSTITUTE(SUBSTITUTE(SUBSTITUTE(SUBSTITUTE(SUBSTITUTE(SUBSTITUTE(SUBSTITUTE(SUBSTITUTE(SUBSTITUTE(UPPER(TRIM(D378)),"Á","A"),"À","A"),"Â","A"),"Ã","A"),"É","E"),"Ê","E"),"Í","I"),"Ó","O"),"Ô","O"),"Õ","O"),"Ú","U"),"Ü","U"),"Ç","C"))</f>
        <v/>
      </c>
      <c r="G378" s="31" t="str">
        <f aca="false">IF(E378="","",IF(LEN(SUBSTITUTE(SUBSTITUTE(SUBSTITUTE(SUBSTITUTE(TRIM(E378),"*",""),".",""),"-","")," ",""))=11,MID(SUBSTITUTE(SUBSTITUTE(SUBSTITUTE(SUBSTITUTE(TRIM(E378),"*",""),".",""),"-","")," ",""),4,6),SUBSTITUTE(SUBSTITUTE(SUBSTITUTE(SUBSTITUTE(TRIM(E378),"*",""),".",""),"-","")," ","")))</f>
        <v/>
      </c>
      <c r="H378" s="31" t="str">
        <f aca="false">IF(OR(F378="",G378=""),"",F378&amp;"|"&amp;G378)</f>
        <v/>
      </c>
      <c r="I378" s="23"/>
      <c r="J378" s="22"/>
      <c r="K378" s="22"/>
      <c r="L378" s="25" t="str">
        <f aca="false">IF(F378="","",IF(AND(H378&lt;&gt;"",COUNTIF(Pessoas!$E:$E,H378)&gt;0),"SIM",IF(COUNTIF(Pessoas!$C:$C,F378)&gt;0,"nome igual em Pessoas: confira o CPF","")))</f>
        <v/>
      </c>
      <c r="M378" s="24"/>
      <c r="N378" s="11"/>
    </row>
    <row r="379" customFormat="false" ht="15" hidden="false" customHeight="false" outlineLevel="0" collapsed="false">
      <c r="A379" s="24"/>
      <c r="B379" s="31" t="str">
        <f aca="false">IF(A379="","",IF(LEN(UPPER(SUBSTITUTE(SUBSTITUTE(SUBSTITUTE(SUBSTITUTE(TRIM(A379),".",""),"/",""),"-","")," ","")))&lt;14,RIGHT(REPT("0",14)&amp;UPPER(SUBSTITUTE(SUBSTITUTE(SUBSTITUTE(SUBSTITUTE(TRIM(A379),".",""),"/",""),"-","")," ","")),14),UPPER(SUBSTITUTE(SUBSTITUTE(SUBSTITUTE(SUBSTITUTE(TRIM(A379),".",""),"/",""),"-","")," ",""))))</f>
        <v/>
      </c>
      <c r="C379" s="25" t="str">
        <f aca="false">IF(B379="","",IFERROR(INDEX(Empresas!$C:$C,MATCH(B379,Empresas!$B:$B,0)),"cadastre o CNPJ em Empresas"))</f>
        <v/>
      </c>
      <c r="D379" s="23"/>
      <c r="E379" s="24"/>
      <c r="F379" s="31" t="str">
        <f aca="false">IF(D379="","",SUBSTITUTE(SUBSTITUTE(SUBSTITUTE(SUBSTITUTE(SUBSTITUTE(SUBSTITUTE(SUBSTITUTE(SUBSTITUTE(SUBSTITUTE(SUBSTITUTE(SUBSTITUTE(SUBSTITUTE(SUBSTITUTE(UPPER(TRIM(D379)),"Á","A"),"À","A"),"Â","A"),"Ã","A"),"É","E"),"Ê","E"),"Í","I"),"Ó","O"),"Ô","O"),"Õ","O"),"Ú","U"),"Ü","U"),"Ç","C"))</f>
        <v/>
      </c>
      <c r="G379" s="31" t="str">
        <f aca="false">IF(E379="","",IF(LEN(SUBSTITUTE(SUBSTITUTE(SUBSTITUTE(SUBSTITUTE(TRIM(E379),"*",""),".",""),"-","")," ",""))=11,MID(SUBSTITUTE(SUBSTITUTE(SUBSTITUTE(SUBSTITUTE(TRIM(E379),"*",""),".",""),"-","")," ",""),4,6),SUBSTITUTE(SUBSTITUTE(SUBSTITUTE(SUBSTITUTE(TRIM(E379),"*",""),".",""),"-","")," ","")))</f>
        <v/>
      </c>
      <c r="H379" s="31" t="str">
        <f aca="false">IF(OR(F379="",G379=""),"",F379&amp;"|"&amp;G379)</f>
        <v/>
      </c>
      <c r="I379" s="23"/>
      <c r="J379" s="22"/>
      <c r="K379" s="22"/>
      <c r="L379" s="25" t="str">
        <f aca="false">IF(F379="","",IF(AND(H379&lt;&gt;"",COUNTIF(Pessoas!$E:$E,H379)&gt;0),"SIM",IF(COUNTIF(Pessoas!$C:$C,F379)&gt;0,"nome igual em Pessoas: confira o CPF","")))</f>
        <v/>
      </c>
      <c r="M379" s="24"/>
      <c r="N379" s="11"/>
    </row>
    <row r="380" customFormat="false" ht="15" hidden="false" customHeight="false" outlineLevel="0" collapsed="false">
      <c r="A380" s="24"/>
      <c r="B380" s="31" t="str">
        <f aca="false">IF(A380="","",IF(LEN(UPPER(SUBSTITUTE(SUBSTITUTE(SUBSTITUTE(SUBSTITUTE(TRIM(A380),".",""),"/",""),"-","")," ","")))&lt;14,RIGHT(REPT("0",14)&amp;UPPER(SUBSTITUTE(SUBSTITUTE(SUBSTITUTE(SUBSTITUTE(TRIM(A380),".",""),"/",""),"-","")," ","")),14),UPPER(SUBSTITUTE(SUBSTITUTE(SUBSTITUTE(SUBSTITUTE(TRIM(A380),".",""),"/",""),"-","")," ",""))))</f>
        <v/>
      </c>
      <c r="C380" s="25" t="str">
        <f aca="false">IF(B380="","",IFERROR(INDEX(Empresas!$C:$C,MATCH(B380,Empresas!$B:$B,0)),"cadastre o CNPJ em Empresas"))</f>
        <v/>
      </c>
      <c r="D380" s="23"/>
      <c r="E380" s="24"/>
      <c r="F380" s="31" t="str">
        <f aca="false">IF(D380="","",SUBSTITUTE(SUBSTITUTE(SUBSTITUTE(SUBSTITUTE(SUBSTITUTE(SUBSTITUTE(SUBSTITUTE(SUBSTITUTE(SUBSTITUTE(SUBSTITUTE(SUBSTITUTE(SUBSTITUTE(SUBSTITUTE(UPPER(TRIM(D380)),"Á","A"),"À","A"),"Â","A"),"Ã","A"),"É","E"),"Ê","E"),"Í","I"),"Ó","O"),"Ô","O"),"Õ","O"),"Ú","U"),"Ü","U"),"Ç","C"))</f>
        <v/>
      </c>
      <c r="G380" s="31" t="str">
        <f aca="false">IF(E380="","",IF(LEN(SUBSTITUTE(SUBSTITUTE(SUBSTITUTE(SUBSTITUTE(TRIM(E380),"*",""),".",""),"-","")," ",""))=11,MID(SUBSTITUTE(SUBSTITUTE(SUBSTITUTE(SUBSTITUTE(TRIM(E380),"*",""),".",""),"-","")," ",""),4,6),SUBSTITUTE(SUBSTITUTE(SUBSTITUTE(SUBSTITUTE(TRIM(E380),"*",""),".",""),"-","")," ","")))</f>
        <v/>
      </c>
      <c r="H380" s="31" t="str">
        <f aca="false">IF(OR(F380="",G380=""),"",F380&amp;"|"&amp;G380)</f>
        <v/>
      </c>
      <c r="I380" s="23"/>
      <c r="J380" s="22"/>
      <c r="K380" s="22"/>
      <c r="L380" s="25" t="str">
        <f aca="false">IF(F380="","",IF(AND(H380&lt;&gt;"",COUNTIF(Pessoas!$E:$E,H380)&gt;0),"SIM",IF(COUNTIF(Pessoas!$C:$C,F380)&gt;0,"nome igual em Pessoas: confira o CPF","")))</f>
        <v/>
      </c>
      <c r="M380" s="24"/>
      <c r="N380" s="11"/>
    </row>
    <row r="381" customFormat="false" ht="15" hidden="false" customHeight="false" outlineLevel="0" collapsed="false">
      <c r="A381" s="24"/>
      <c r="B381" s="31" t="str">
        <f aca="false">IF(A381="","",IF(LEN(UPPER(SUBSTITUTE(SUBSTITUTE(SUBSTITUTE(SUBSTITUTE(TRIM(A381),".",""),"/",""),"-","")," ","")))&lt;14,RIGHT(REPT("0",14)&amp;UPPER(SUBSTITUTE(SUBSTITUTE(SUBSTITUTE(SUBSTITUTE(TRIM(A381),".",""),"/",""),"-","")," ","")),14),UPPER(SUBSTITUTE(SUBSTITUTE(SUBSTITUTE(SUBSTITUTE(TRIM(A381),".",""),"/",""),"-","")," ",""))))</f>
        <v/>
      </c>
      <c r="C381" s="25" t="str">
        <f aca="false">IF(B381="","",IFERROR(INDEX(Empresas!$C:$C,MATCH(B381,Empresas!$B:$B,0)),"cadastre o CNPJ em Empresas"))</f>
        <v/>
      </c>
      <c r="D381" s="23"/>
      <c r="E381" s="24"/>
      <c r="F381" s="31" t="str">
        <f aca="false">IF(D381="","",SUBSTITUTE(SUBSTITUTE(SUBSTITUTE(SUBSTITUTE(SUBSTITUTE(SUBSTITUTE(SUBSTITUTE(SUBSTITUTE(SUBSTITUTE(SUBSTITUTE(SUBSTITUTE(SUBSTITUTE(SUBSTITUTE(UPPER(TRIM(D381)),"Á","A"),"À","A"),"Â","A"),"Ã","A"),"É","E"),"Ê","E"),"Í","I"),"Ó","O"),"Ô","O"),"Õ","O"),"Ú","U"),"Ü","U"),"Ç","C"))</f>
        <v/>
      </c>
      <c r="G381" s="31" t="str">
        <f aca="false">IF(E381="","",IF(LEN(SUBSTITUTE(SUBSTITUTE(SUBSTITUTE(SUBSTITUTE(TRIM(E381),"*",""),".",""),"-","")," ",""))=11,MID(SUBSTITUTE(SUBSTITUTE(SUBSTITUTE(SUBSTITUTE(TRIM(E381),"*",""),".",""),"-","")," ",""),4,6),SUBSTITUTE(SUBSTITUTE(SUBSTITUTE(SUBSTITUTE(TRIM(E381),"*",""),".",""),"-","")," ","")))</f>
        <v/>
      </c>
      <c r="H381" s="31" t="str">
        <f aca="false">IF(OR(F381="",G381=""),"",F381&amp;"|"&amp;G381)</f>
        <v/>
      </c>
      <c r="I381" s="23"/>
      <c r="J381" s="22"/>
      <c r="K381" s="22"/>
      <c r="L381" s="25" t="str">
        <f aca="false">IF(F381="","",IF(AND(H381&lt;&gt;"",COUNTIF(Pessoas!$E:$E,H381)&gt;0),"SIM",IF(COUNTIF(Pessoas!$C:$C,F381)&gt;0,"nome igual em Pessoas: confira o CPF","")))</f>
        <v/>
      </c>
      <c r="M381" s="24"/>
      <c r="N381" s="11"/>
    </row>
    <row r="382" customFormat="false" ht="15" hidden="false" customHeight="false" outlineLevel="0" collapsed="false">
      <c r="A382" s="24"/>
      <c r="B382" s="31" t="str">
        <f aca="false">IF(A382="","",IF(LEN(UPPER(SUBSTITUTE(SUBSTITUTE(SUBSTITUTE(SUBSTITUTE(TRIM(A382),".",""),"/",""),"-","")," ","")))&lt;14,RIGHT(REPT("0",14)&amp;UPPER(SUBSTITUTE(SUBSTITUTE(SUBSTITUTE(SUBSTITUTE(TRIM(A382),".",""),"/",""),"-","")," ","")),14),UPPER(SUBSTITUTE(SUBSTITUTE(SUBSTITUTE(SUBSTITUTE(TRIM(A382),".",""),"/",""),"-","")," ",""))))</f>
        <v/>
      </c>
      <c r="C382" s="25" t="str">
        <f aca="false">IF(B382="","",IFERROR(INDEX(Empresas!$C:$C,MATCH(B382,Empresas!$B:$B,0)),"cadastre o CNPJ em Empresas"))</f>
        <v/>
      </c>
      <c r="D382" s="23"/>
      <c r="E382" s="24"/>
      <c r="F382" s="31" t="str">
        <f aca="false">IF(D382="","",SUBSTITUTE(SUBSTITUTE(SUBSTITUTE(SUBSTITUTE(SUBSTITUTE(SUBSTITUTE(SUBSTITUTE(SUBSTITUTE(SUBSTITUTE(SUBSTITUTE(SUBSTITUTE(SUBSTITUTE(SUBSTITUTE(UPPER(TRIM(D382)),"Á","A"),"À","A"),"Â","A"),"Ã","A"),"É","E"),"Ê","E"),"Í","I"),"Ó","O"),"Ô","O"),"Õ","O"),"Ú","U"),"Ü","U"),"Ç","C"))</f>
        <v/>
      </c>
      <c r="G382" s="31" t="str">
        <f aca="false">IF(E382="","",IF(LEN(SUBSTITUTE(SUBSTITUTE(SUBSTITUTE(SUBSTITUTE(TRIM(E382),"*",""),".",""),"-","")," ",""))=11,MID(SUBSTITUTE(SUBSTITUTE(SUBSTITUTE(SUBSTITUTE(TRIM(E382),"*",""),".",""),"-","")," ",""),4,6),SUBSTITUTE(SUBSTITUTE(SUBSTITUTE(SUBSTITUTE(TRIM(E382),"*",""),".",""),"-","")," ","")))</f>
        <v/>
      </c>
      <c r="H382" s="31" t="str">
        <f aca="false">IF(OR(F382="",G382=""),"",F382&amp;"|"&amp;G382)</f>
        <v/>
      </c>
      <c r="I382" s="23"/>
      <c r="J382" s="22"/>
      <c r="K382" s="22"/>
      <c r="L382" s="25" t="str">
        <f aca="false">IF(F382="","",IF(AND(H382&lt;&gt;"",COUNTIF(Pessoas!$E:$E,H382)&gt;0),"SIM",IF(COUNTIF(Pessoas!$C:$C,F382)&gt;0,"nome igual em Pessoas: confira o CPF","")))</f>
        <v/>
      </c>
      <c r="M382" s="24"/>
      <c r="N382" s="11"/>
    </row>
    <row r="383" customFormat="false" ht="15" hidden="false" customHeight="false" outlineLevel="0" collapsed="false">
      <c r="A383" s="24"/>
      <c r="B383" s="31" t="str">
        <f aca="false">IF(A383="","",IF(LEN(UPPER(SUBSTITUTE(SUBSTITUTE(SUBSTITUTE(SUBSTITUTE(TRIM(A383),".",""),"/",""),"-","")," ","")))&lt;14,RIGHT(REPT("0",14)&amp;UPPER(SUBSTITUTE(SUBSTITUTE(SUBSTITUTE(SUBSTITUTE(TRIM(A383),".",""),"/",""),"-","")," ","")),14),UPPER(SUBSTITUTE(SUBSTITUTE(SUBSTITUTE(SUBSTITUTE(TRIM(A383),".",""),"/",""),"-","")," ",""))))</f>
        <v/>
      </c>
      <c r="C383" s="25" t="str">
        <f aca="false">IF(B383="","",IFERROR(INDEX(Empresas!$C:$C,MATCH(B383,Empresas!$B:$B,0)),"cadastre o CNPJ em Empresas"))</f>
        <v/>
      </c>
      <c r="D383" s="23"/>
      <c r="E383" s="24"/>
      <c r="F383" s="31" t="str">
        <f aca="false">IF(D383="","",SUBSTITUTE(SUBSTITUTE(SUBSTITUTE(SUBSTITUTE(SUBSTITUTE(SUBSTITUTE(SUBSTITUTE(SUBSTITUTE(SUBSTITUTE(SUBSTITUTE(SUBSTITUTE(SUBSTITUTE(SUBSTITUTE(UPPER(TRIM(D383)),"Á","A"),"À","A"),"Â","A"),"Ã","A"),"É","E"),"Ê","E"),"Í","I"),"Ó","O"),"Ô","O"),"Õ","O"),"Ú","U"),"Ü","U"),"Ç","C"))</f>
        <v/>
      </c>
      <c r="G383" s="31" t="str">
        <f aca="false">IF(E383="","",IF(LEN(SUBSTITUTE(SUBSTITUTE(SUBSTITUTE(SUBSTITUTE(TRIM(E383),"*",""),".",""),"-","")," ",""))=11,MID(SUBSTITUTE(SUBSTITUTE(SUBSTITUTE(SUBSTITUTE(TRIM(E383),"*",""),".",""),"-","")," ",""),4,6),SUBSTITUTE(SUBSTITUTE(SUBSTITUTE(SUBSTITUTE(TRIM(E383),"*",""),".",""),"-","")," ","")))</f>
        <v/>
      </c>
      <c r="H383" s="31" t="str">
        <f aca="false">IF(OR(F383="",G383=""),"",F383&amp;"|"&amp;G383)</f>
        <v/>
      </c>
      <c r="I383" s="23"/>
      <c r="J383" s="22"/>
      <c r="K383" s="22"/>
      <c r="L383" s="25" t="str">
        <f aca="false">IF(F383="","",IF(AND(H383&lt;&gt;"",COUNTIF(Pessoas!$E:$E,H383)&gt;0),"SIM",IF(COUNTIF(Pessoas!$C:$C,F383)&gt;0,"nome igual em Pessoas: confira o CPF","")))</f>
        <v/>
      </c>
      <c r="M383" s="24"/>
      <c r="N383" s="11"/>
    </row>
    <row r="384" customFormat="false" ht="15" hidden="false" customHeight="false" outlineLevel="0" collapsed="false">
      <c r="A384" s="24"/>
      <c r="B384" s="31" t="str">
        <f aca="false">IF(A384="","",IF(LEN(UPPER(SUBSTITUTE(SUBSTITUTE(SUBSTITUTE(SUBSTITUTE(TRIM(A384),".",""),"/",""),"-","")," ","")))&lt;14,RIGHT(REPT("0",14)&amp;UPPER(SUBSTITUTE(SUBSTITUTE(SUBSTITUTE(SUBSTITUTE(TRIM(A384),".",""),"/",""),"-","")," ","")),14),UPPER(SUBSTITUTE(SUBSTITUTE(SUBSTITUTE(SUBSTITUTE(TRIM(A384),".",""),"/",""),"-","")," ",""))))</f>
        <v/>
      </c>
      <c r="C384" s="25" t="str">
        <f aca="false">IF(B384="","",IFERROR(INDEX(Empresas!$C:$C,MATCH(B384,Empresas!$B:$B,0)),"cadastre o CNPJ em Empresas"))</f>
        <v/>
      </c>
      <c r="D384" s="23"/>
      <c r="E384" s="24"/>
      <c r="F384" s="31" t="str">
        <f aca="false">IF(D384="","",SUBSTITUTE(SUBSTITUTE(SUBSTITUTE(SUBSTITUTE(SUBSTITUTE(SUBSTITUTE(SUBSTITUTE(SUBSTITUTE(SUBSTITUTE(SUBSTITUTE(SUBSTITUTE(SUBSTITUTE(SUBSTITUTE(UPPER(TRIM(D384)),"Á","A"),"À","A"),"Â","A"),"Ã","A"),"É","E"),"Ê","E"),"Í","I"),"Ó","O"),"Ô","O"),"Õ","O"),"Ú","U"),"Ü","U"),"Ç","C"))</f>
        <v/>
      </c>
      <c r="G384" s="31" t="str">
        <f aca="false">IF(E384="","",IF(LEN(SUBSTITUTE(SUBSTITUTE(SUBSTITUTE(SUBSTITUTE(TRIM(E384),"*",""),".",""),"-","")," ",""))=11,MID(SUBSTITUTE(SUBSTITUTE(SUBSTITUTE(SUBSTITUTE(TRIM(E384),"*",""),".",""),"-","")," ",""),4,6),SUBSTITUTE(SUBSTITUTE(SUBSTITUTE(SUBSTITUTE(TRIM(E384),"*",""),".",""),"-","")," ","")))</f>
        <v/>
      </c>
      <c r="H384" s="31" t="str">
        <f aca="false">IF(OR(F384="",G384=""),"",F384&amp;"|"&amp;G384)</f>
        <v/>
      </c>
      <c r="I384" s="23"/>
      <c r="J384" s="22"/>
      <c r="K384" s="22"/>
      <c r="L384" s="25" t="str">
        <f aca="false">IF(F384="","",IF(AND(H384&lt;&gt;"",COUNTIF(Pessoas!$E:$E,H384)&gt;0),"SIM",IF(COUNTIF(Pessoas!$C:$C,F384)&gt;0,"nome igual em Pessoas: confira o CPF","")))</f>
        <v/>
      </c>
      <c r="M384" s="24"/>
      <c r="N384" s="11"/>
    </row>
    <row r="385" customFormat="false" ht="15" hidden="false" customHeight="false" outlineLevel="0" collapsed="false">
      <c r="A385" s="24"/>
      <c r="B385" s="31" t="str">
        <f aca="false">IF(A385="","",IF(LEN(UPPER(SUBSTITUTE(SUBSTITUTE(SUBSTITUTE(SUBSTITUTE(TRIM(A385),".",""),"/",""),"-","")," ","")))&lt;14,RIGHT(REPT("0",14)&amp;UPPER(SUBSTITUTE(SUBSTITUTE(SUBSTITUTE(SUBSTITUTE(TRIM(A385),".",""),"/",""),"-","")," ","")),14),UPPER(SUBSTITUTE(SUBSTITUTE(SUBSTITUTE(SUBSTITUTE(TRIM(A385),".",""),"/",""),"-","")," ",""))))</f>
        <v/>
      </c>
      <c r="C385" s="25" t="str">
        <f aca="false">IF(B385="","",IFERROR(INDEX(Empresas!$C:$C,MATCH(B385,Empresas!$B:$B,0)),"cadastre o CNPJ em Empresas"))</f>
        <v/>
      </c>
      <c r="D385" s="23"/>
      <c r="E385" s="24"/>
      <c r="F385" s="31" t="str">
        <f aca="false">IF(D385="","",SUBSTITUTE(SUBSTITUTE(SUBSTITUTE(SUBSTITUTE(SUBSTITUTE(SUBSTITUTE(SUBSTITUTE(SUBSTITUTE(SUBSTITUTE(SUBSTITUTE(SUBSTITUTE(SUBSTITUTE(SUBSTITUTE(UPPER(TRIM(D385)),"Á","A"),"À","A"),"Â","A"),"Ã","A"),"É","E"),"Ê","E"),"Í","I"),"Ó","O"),"Ô","O"),"Õ","O"),"Ú","U"),"Ü","U"),"Ç","C"))</f>
        <v/>
      </c>
      <c r="G385" s="31" t="str">
        <f aca="false">IF(E385="","",IF(LEN(SUBSTITUTE(SUBSTITUTE(SUBSTITUTE(SUBSTITUTE(TRIM(E385),"*",""),".",""),"-","")," ",""))=11,MID(SUBSTITUTE(SUBSTITUTE(SUBSTITUTE(SUBSTITUTE(TRIM(E385),"*",""),".",""),"-","")," ",""),4,6),SUBSTITUTE(SUBSTITUTE(SUBSTITUTE(SUBSTITUTE(TRIM(E385),"*",""),".",""),"-","")," ","")))</f>
        <v/>
      </c>
      <c r="H385" s="31" t="str">
        <f aca="false">IF(OR(F385="",G385=""),"",F385&amp;"|"&amp;G385)</f>
        <v/>
      </c>
      <c r="I385" s="23"/>
      <c r="J385" s="22"/>
      <c r="K385" s="22"/>
      <c r="L385" s="25" t="str">
        <f aca="false">IF(F385="","",IF(AND(H385&lt;&gt;"",COUNTIF(Pessoas!$E:$E,H385)&gt;0),"SIM",IF(COUNTIF(Pessoas!$C:$C,F385)&gt;0,"nome igual em Pessoas: confira o CPF","")))</f>
        <v/>
      </c>
      <c r="M385" s="24"/>
      <c r="N385" s="11"/>
    </row>
    <row r="386" customFormat="false" ht="15" hidden="false" customHeight="false" outlineLevel="0" collapsed="false">
      <c r="A386" s="24"/>
      <c r="B386" s="31" t="str">
        <f aca="false">IF(A386="","",IF(LEN(UPPER(SUBSTITUTE(SUBSTITUTE(SUBSTITUTE(SUBSTITUTE(TRIM(A386),".",""),"/",""),"-","")," ","")))&lt;14,RIGHT(REPT("0",14)&amp;UPPER(SUBSTITUTE(SUBSTITUTE(SUBSTITUTE(SUBSTITUTE(TRIM(A386),".",""),"/",""),"-","")," ","")),14),UPPER(SUBSTITUTE(SUBSTITUTE(SUBSTITUTE(SUBSTITUTE(TRIM(A386),".",""),"/",""),"-","")," ",""))))</f>
        <v/>
      </c>
      <c r="C386" s="25" t="str">
        <f aca="false">IF(B386="","",IFERROR(INDEX(Empresas!$C:$C,MATCH(B386,Empresas!$B:$B,0)),"cadastre o CNPJ em Empresas"))</f>
        <v/>
      </c>
      <c r="D386" s="23"/>
      <c r="E386" s="24"/>
      <c r="F386" s="31" t="str">
        <f aca="false">IF(D386="","",SUBSTITUTE(SUBSTITUTE(SUBSTITUTE(SUBSTITUTE(SUBSTITUTE(SUBSTITUTE(SUBSTITUTE(SUBSTITUTE(SUBSTITUTE(SUBSTITUTE(SUBSTITUTE(SUBSTITUTE(SUBSTITUTE(UPPER(TRIM(D386)),"Á","A"),"À","A"),"Â","A"),"Ã","A"),"É","E"),"Ê","E"),"Í","I"),"Ó","O"),"Ô","O"),"Õ","O"),"Ú","U"),"Ü","U"),"Ç","C"))</f>
        <v/>
      </c>
      <c r="G386" s="31" t="str">
        <f aca="false">IF(E386="","",IF(LEN(SUBSTITUTE(SUBSTITUTE(SUBSTITUTE(SUBSTITUTE(TRIM(E386),"*",""),".",""),"-","")," ",""))=11,MID(SUBSTITUTE(SUBSTITUTE(SUBSTITUTE(SUBSTITUTE(TRIM(E386),"*",""),".",""),"-","")," ",""),4,6),SUBSTITUTE(SUBSTITUTE(SUBSTITUTE(SUBSTITUTE(TRIM(E386),"*",""),".",""),"-","")," ","")))</f>
        <v/>
      </c>
      <c r="H386" s="31" t="str">
        <f aca="false">IF(OR(F386="",G386=""),"",F386&amp;"|"&amp;G386)</f>
        <v/>
      </c>
      <c r="I386" s="23"/>
      <c r="J386" s="22"/>
      <c r="K386" s="22"/>
      <c r="L386" s="25" t="str">
        <f aca="false">IF(F386="","",IF(AND(H386&lt;&gt;"",COUNTIF(Pessoas!$E:$E,H386)&gt;0),"SIM",IF(COUNTIF(Pessoas!$C:$C,F386)&gt;0,"nome igual em Pessoas: confira o CPF","")))</f>
        <v/>
      </c>
      <c r="M386" s="24"/>
      <c r="N386" s="11"/>
    </row>
    <row r="387" customFormat="false" ht="15" hidden="false" customHeight="false" outlineLevel="0" collapsed="false">
      <c r="A387" s="24"/>
      <c r="B387" s="31" t="str">
        <f aca="false">IF(A387="","",IF(LEN(UPPER(SUBSTITUTE(SUBSTITUTE(SUBSTITUTE(SUBSTITUTE(TRIM(A387),".",""),"/",""),"-","")," ","")))&lt;14,RIGHT(REPT("0",14)&amp;UPPER(SUBSTITUTE(SUBSTITUTE(SUBSTITUTE(SUBSTITUTE(TRIM(A387),".",""),"/",""),"-","")," ","")),14),UPPER(SUBSTITUTE(SUBSTITUTE(SUBSTITUTE(SUBSTITUTE(TRIM(A387),".",""),"/",""),"-","")," ",""))))</f>
        <v/>
      </c>
      <c r="C387" s="25" t="str">
        <f aca="false">IF(B387="","",IFERROR(INDEX(Empresas!$C:$C,MATCH(B387,Empresas!$B:$B,0)),"cadastre o CNPJ em Empresas"))</f>
        <v/>
      </c>
      <c r="D387" s="23"/>
      <c r="E387" s="24"/>
      <c r="F387" s="31" t="str">
        <f aca="false">IF(D387="","",SUBSTITUTE(SUBSTITUTE(SUBSTITUTE(SUBSTITUTE(SUBSTITUTE(SUBSTITUTE(SUBSTITUTE(SUBSTITUTE(SUBSTITUTE(SUBSTITUTE(SUBSTITUTE(SUBSTITUTE(SUBSTITUTE(UPPER(TRIM(D387)),"Á","A"),"À","A"),"Â","A"),"Ã","A"),"É","E"),"Ê","E"),"Í","I"),"Ó","O"),"Ô","O"),"Õ","O"),"Ú","U"),"Ü","U"),"Ç","C"))</f>
        <v/>
      </c>
      <c r="G387" s="31" t="str">
        <f aca="false">IF(E387="","",IF(LEN(SUBSTITUTE(SUBSTITUTE(SUBSTITUTE(SUBSTITUTE(TRIM(E387),"*",""),".",""),"-","")," ",""))=11,MID(SUBSTITUTE(SUBSTITUTE(SUBSTITUTE(SUBSTITUTE(TRIM(E387),"*",""),".",""),"-","")," ",""),4,6),SUBSTITUTE(SUBSTITUTE(SUBSTITUTE(SUBSTITUTE(TRIM(E387),"*",""),".",""),"-","")," ","")))</f>
        <v/>
      </c>
      <c r="H387" s="31" t="str">
        <f aca="false">IF(OR(F387="",G387=""),"",F387&amp;"|"&amp;G387)</f>
        <v/>
      </c>
      <c r="I387" s="23"/>
      <c r="J387" s="22"/>
      <c r="K387" s="22"/>
      <c r="L387" s="25" t="str">
        <f aca="false">IF(F387="","",IF(AND(H387&lt;&gt;"",COUNTIF(Pessoas!$E:$E,H387)&gt;0),"SIM",IF(COUNTIF(Pessoas!$C:$C,F387)&gt;0,"nome igual em Pessoas: confira o CPF","")))</f>
        <v/>
      </c>
      <c r="M387" s="24"/>
      <c r="N387" s="11"/>
    </row>
    <row r="388" customFormat="false" ht="15" hidden="false" customHeight="false" outlineLevel="0" collapsed="false">
      <c r="A388" s="24"/>
      <c r="B388" s="31" t="str">
        <f aca="false">IF(A388="","",IF(LEN(UPPER(SUBSTITUTE(SUBSTITUTE(SUBSTITUTE(SUBSTITUTE(TRIM(A388),".",""),"/",""),"-","")," ","")))&lt;14,RIGHT(REPT("0",14)&amp;UPPER(SUBSTITUTE(SUBSTITUTE(SUBSTITUTE(SUBSTITUTE(TRIM(A388),".",""),"/",""),"-","")," ","")),14),UPPER(SUBSTITUTE(SUBSTITUTE(SUBSTITUTE(SUBSTITUTE(TRIM(A388),".",""),"/",""),"-","")," ",""))))</f>
        <v/>
      </c>
      <c r="C388" s="25" t="str">
        <f aca="false">IF(B388="","",IFERROR(INDEX(Empresas!$C:$C,MATCH(B388,Empresas!$B:$B,0)),"cadastre o CNPJ em Empresas"))</f>
        <v/>
      </c>
      <c r="D388" s="23"/>
      <c r="E388" s="24"/>
      <c r="F388" s="31" t="str">
        <f aca="false">IF(D388="","",SUBSTITUTE(SUBSTITUTE(SUBSTITUTE(SUBSTITUTE(SUBSTITUTE(SUBSTITUTE(SUBSTITUTE(SUBSTITUTE(SUBSTITUTE(SUBSTITUTE(SUBSTITUTE(SUBSTITUTE(SUBSTITUTE(UPPER(TRIM(D388)),"Á","A"),"À","A"),"Â","A"),"Ã","A"),"É","E"),"Ê","E"),"Í","I"),"Ó","O"),"Ô","O"),"Õ","O"),"Ú","U"),"Ü","U"),"Ç","C"))</f>
        <v/>
      </c>
      <c r="G388" s="31" t="str">
        <f aca="false">IF(E388="","",IF(LEN(SUBSTITUTE(SUBSTITUTE(SUBSTITUTE(SUBSTITUTE(TRIM(E388),"*",""),".",""),"-","")," ",""))=11,MID(SUBSTITUTE(SUBSTITUTE(SUBSTITUTE(SUBSTITUTE(TRIM(E388),"*",""),".",""),"-","")," ",""),4,6),SUBSTITUTE(SUBSTITUTE(SUBSTITUTE(SUBSTITUTE(TRIM(E388),"*",""),".",""),"-","")," ","")))</f>
        <v/>
      </c>
      <c r="H388" s="31" t="str">
        <f aca="false">IF(OR(F388="",G388=""),"",F388&amp;"|"&amp;G388)</f>
        <v/>
      </c>
      <c r="I388" s="23"/>
      <c r="J388" s="22"/>
      <c r="K388" s="22"/>
      <c r="L388" s="25" t="str">
        <f aca="false">IF(F388="","",IF(AND(H388&lt;&gt;"",COUNTIF(Pessoas!$E:$E,H388)&gt;0),"SIM",IF(COUNTIF(Pessoas!$C:$C,F388)&gt;0,"nome igual em Pessoas: confira o CPF","")))</f>
        <v/>
      </c>
      <c r="M388" s="24"/>
      <c r="N388" s="11"/>
    </row>
    <row r="389" customFormat="false" ht="15" hidden="false" customHeight="false" outlineLevel="0" collapsed="false">
      <c r="A389" s="24"/>
      <c r="B389" s="31" t="str">
        <f aca="false">IF(A389="","",IF(LEN(UPPER(SUBSTITUTE(SUBSTITUTE(SUBSTITUTE(SUBSTITUTE(TRIM(A389),".",""),"/",""),"-","")," ","")))&lt;14,RIGHT(REPT("0",14)&amp;UPPER(SUBSTITUTE(SUBSTITUTE(SUBSTITUTE(SUBSTITUTE(TRIM(A389),".",""),"/",""),"-","")," ","")),14),UPPER(SUBSTITUTE(SUBSTITUTE(SUBSTITUTE(SUBSTITUTE(TRIM(A389),".",""),"/",""),"-","")," ",""))))</f>
        <v/>
      </c>
      <c r="C389" s="25" t="str">
        <f aca="false">IF(B389="","",IFERROR(INDEX(Empresas!$C:$C,MATCH(B389,Empresas!$B:$B,0)),"cadastre o CNPJ em Empresas"))</f>
        <v/>
      </c>
      <c r="D389" s="23"/>
      <c r="E389" s="24"/>
      <c r="F389" s="31" t="str">
        <f aca="false">IF(D389="","",SUBSTITUTE(SUBSTITUTE(SUBSTITUTE(SUBSTITUTE(SUBSTITUTE(SUBSTITUTE(SUBSTITUTE(SUBSTITUTE(SUBSTITUTE(SUBSTITUTE(SUBSTITUTE(SUBSTITUTE(SUBSTITUTE(UPPER(TRIM(D389)),"Á","A"),"À","A"),"Â","A"),"Ã","A"),"É","E"),"Ê","E"),"Í","I"),"Ó","O"),"Ô","O"),"Õ","O"),"Ú","U"),"Ü","U"),"Ç","C"))</f>
        <v/>
      </c>
      <c r="G389" s="31" t="str">
        <f aca="false">IF(E389="","",IF(LEN(SUBSTITUTE(SUBSTITUTE(SUBSTITUTE(SUBSTITUTE(TRIM(E389),"*",""),".",""),"-","")," ",""))=11,MID(SUBSTITUTE(SUBSTITUTE(SUBSTITUTE(SUBSTITUTE(TRIM(E389),"*",""),".",""),"-","")," ",""),4,6),SUBSTITUTE(SUBSTITUTE(SUBSTITUTE(SUBSTITUTE(TRIM(E389),"*",""),".",""),"-","")," ","")))</f>
        <v/>
      </c>
      <c r="H389" s="31" t="str">
        <f aca="false">IF(OR(F389="",G389=""),"",F389&amp;"|"&amp;G389)</f>
        <v/>
      </c>
      <c r="I389" s="23"/>
      <c r="J389" s="22"/>
      <c r="K389" s="22"/>
      <c r="L389" s="25" t="str">
        <f aca="false">IF(F389="","",IF(AND(H389&lt;&gt;"",COUNTIF(Pessoas!$E:$E,H389)&gt;0),"SIM",IF(COUNTIF(Pessoas!$C:$C,F389)&gt;0,"nome igual em Pessoas: confira o CPF","")))</f>
        <v/>
      </c>
      <c r="M389" s="24"/>
      <c r="N389" s="11"/>
    </row>
    <row r="390" customFormat="false" ht="15" hidden="false" customHeight="false" outlineLevel="0" collapsed="false">
      <c r="A390" s="24"/>
      <c r="B390" s="31" t="str">
        <f aca="false">IF(A390="","",IF(LEN(UPPER(SUBSTITUTE(SUBSTITUTE(SUBSTITUTE(SUBSTITUTE(TRIM(A390),".",""),"/",""),"-","")," ","")))&lt;14,RIGHT(REPT("0",14)&amp;UPPER(SUBSTITUTE(SUBSTITUTE(SUBSTITUTE(SUBSTITUTE(TRIM(A390),".",""),"/",""),"-","")," ","")),14),UPPER(SUBSTITUTE(SUBSTITUTE(SUBSTITUTE(SUBSTITUTE(TRIM(A390),".",""),"/",""),"-","")," ",""))))</f>
        <v/>
      </c>
      <c r="C390" s="25" t="str">
        <f aca="false">IF(B390="","",IFERROR(INDEX(Empresas!$C:$C,MATCH(B390,Empresas!$B:$B,0)),"cadastre o CNPJ em Empresas"))</f>
        <v/>
      </c>
      <c r="D390" s="23"/>
      <c r="E390" s="24"/>
      <c r="F390" s="31" t="str">
        <f aca="false">IF(D390="","",SUBSTITUTE(SUBSTITUTE(SUBSTITUTE(SUBSTITUTE(SUBSTITUTE(SUBSTITUTE(SUBSTITUTE(SUBSTITUTE(SUBSTITUTE(SUBSTITUTE(SUBSTITUTE(SUBSTITUTE(SUBSTITUTE(UPPER(TRIM(D390)),"Á","A"),"À","A"),"Â","A"),"Ã","A"),"É","E"),"Ê","E"),"Í","I"),"Ó","O"),"Ô","O"),"Õ","O"),"Ú","U"),"Ü","U"),"Ç","C"))</f>
        <v/>
      </c>
      <c r="G390" s="31" t="str">
        <f aca="false">IF(E390="","",IF(LEN(SUBSTITUTE(SUBSTITUTE(SUBSTITUTE(SUBSTITUTE(TRIM(E390),"*",""),".",""),"-","")," ",""))=11,MID(SUBSTITUTE(SUBSTITUTE(SUBSTITUTE(SUBSTITUTE(TRIM(E390),"*",""),".",""),"-","")," ",""),4,6),SUBSTITUTE(SUBSTITUTE(SUBSTITUTE(SUBSTITUTE(TRIM(E390),"*",""),".",""),"-","")," ","")))</f>
        <v/>
      </c>
      <c r="H390" s="31" t="str">
        <f aca="false">IF(OR(F390="",G390=""),"",F390&amp;"|"&amp;G390)</f>
        <v/>
      </c>
      <c r="I390" s="23"/>
      <c r="J390" s="22"/>
      <c r="K390" s="22"/>
      <c r="L390" s="25" t="str">
        <f aca="false">IF(F390="","",IF(AND(H390&lt;&gt;"",COUNTIF(Pessoas!$E:$E,H390)&gt;0),"SIM",IF(COUNTIF(Pessoas!$C:$C,F390)&gt;0,"nome igual em Pessoas: confira o CPF","")))</f>
        <v/>
      </c>
      <c r="M390" s="24"/>
      <c r="N390" s="11"/>
    </row>
    <row r="391" customFormat="false" ht="15" hidden="false" customHeight="false" outlineLevel="0" collapsed="false">
      <c r="A391" s="24"/>
      <c r="B391" s="31" t="str">
        <f aca="false">IF(A391="","",IF(LEN(UPPER(SUBSTITUTE(SUBSTITUTE(SUBSTITUTE(SUBSTITUTE(TRIM(A391),".",""),"/",""),"-","")," ","")))&lt;14,RIGHT(REPT("0",14)&amp;UPPER(SUBSTITUTE(SUBSTITUTE(SUBSTITUTE(SUBSTITUTE(TRIM(A391),".",""),"/",""),"-","")," ","")),14),UPPER(SUBSTITUTE(SUBSTITUTE(SUBSTITUTE(SUBSTITUTE(TRIM(A391),".",""),"/",""),"-","")," ",""))))</f>
        <v/>
      </c>
      <c r="C391" s="25" t="str">
        <f aca="false">IF(B391="","",IFERROR(INDEX(Empresas!$C:$C,MATCH(B391,Empresas!$B:$B,0)),"cadastre o CNPJ em Empresas"))</f>
        <v/>
      </c>
      <c r="D391" s="23"/>
      <c r="E391" s="24"/>
      <c r="F391" s="31" t="str">
        <f aca="false">IF(D391="","",SUBSTITUTE(SUBSTITUTE(SUBSTITUTE(SUBSTITUTE(SUBSTITUTE(SUBSTITUTE(SUBSTITUTE(SUBSTITUTE(SUBSTITUTE(SUBSTITUTE(SUBSTITUTE(SUBSTITUTE(SUBSTITUTE(UPPER(TRIM(D391)),"Á","A"),"À","A"),"Â","A"),"Ã","A"),"É","E"),"Ê","E"),"Í","I"),"Ó","O"),"Ô","O"),"Õ","O"),"Ú","U"),"Ü","U"),"Ç","C"))</f>
        <v/>
      </c>
      <c r="G391" s="31" t="str">
        <f aca="false">IF(E391="","",IF(LEN(SUBSTITUTE(SUBSTITUTE(SUBSTITUTE(SUBSTITUTE(TRIM(E391),"*",""),".",""),"-","")," ",""))=11,MID(SUBSTITUTE(SUBSTITUTE(SUBSTITUTE(SUBSTITUTE(TRIM(E391),"*",""),".",""),"-","")," ",""),4,6),SUBSTITUTE(SUBSTITUTE(SUBSTITUTE(SUBSTITUTE(TRIM(E391),"*",""),".",""),"-","")," ","")))</f>
        <v/>
      </c>
      <c r="H391" s="31" t="str">
        <f aca="false">IF(OR(F391="",G391=""),"",F391&amp;"|"&amp;G391)</f>
        <v/>
      </c>
      <c r="I391" s="23"/>
      <c r="J391" s="22"/>
      <c r="K391" s="22"/>
      <c r="L391" s="25" t="str">
        <f aca="false">IF(F391="","",IF(AND(H391&lt;&gt;"",COUNTIF(Pessoas!$E:$E,H391)&gt;0),"SIM",IF(COUNTIF(Pessoas!$C:$C,F391)&gt;0,"nome igual em Pessoas: confira o CPF","")))</f>
        <v/>
      </c>
      <c r="M391" s="24"/>
      <c r="N391" s="11"/>
    </row>
    <row r="392" customFormat="false" ht="15" hidden="false" customHeight="false" outlineLevel="0" collapsed="false">
      <c r="A392" s="24"/>
      <c r="B392" s="31" t="str">
        <f aca="false">IF(A392="","",IF(LEN(UPPER(SUBSTITUTE(SUBSTITUTE(SUBSTITUTE(SUBSTITUTE(TRIM(A392),".",""),"/",""),"-","")," ","")))&lt;14,RIGHT(REPT("0",14)&amp;UPPER(SUBSTITUTE(SUBSTITUTE(SUBSTITUTE(SUBSTITUTE(TRIM(A392),".",""),"/",""),"-","")," ","")),14),UPPER(SUBSTITUTE(SUBSTITUTE(SUBSTITUTE(SUBSTITUTE(TRIM(A392),".",""),"/",""),"-","")," ",""))))</f>
        <v/>
      </c>
      <c r="C392" s="25" t="str">
        <f aca="false">IF(B392="","",IFERROR(INDEX(Empresas!$C:$C,MATCH(B392,Empresas!$B:$B,0)),"cadastre o CNPJ em Empresas"))</f>
        <v/>
      </c>
      <c r="D392" s="23"/>
      <c r="E392" s="24"/>
      <c r="F392" s="31" t="str">
        <f aca="false">IF(D392="","",SUBSTITUTE(SUBSTITUTE(SUBSTITUTE(SUBSTITUTE(SUBSTITUTE(SUBSTITUTE(SUBSTITUTE(SUBSTITUTE(SUBSTITUTE(SUBSTITUTE(SUBSTITUTE(SUBSTITUTE(SUBSTITUTE(UPPER(TRIM(D392)),"Á","A"),"À","A"),"Â","A"),"Ã","A"),"É","E"),"Ê","E"),"Í","I"),"Ó","O"),"Ô","O"),"Õ","O"),"Ú","U"),"Ü","U"),"Ç","C"))</f>
        <v/>
      </c>
      <c r="G392" s="31" t="str">
        <f aca="false">IF(E392="","",IF(LEN(SUBSTITUTE(SUBSTITUTE(SUBSTITUTE(SUBSTITUTE(TRIM(E392),"*",""),".",""),"-","")," ",""))=11,MID(SUBSTITUTE(SUBSTITUTE(SUBSTITUTE(SUBSTITUTE(TRIM(E392),"*",""),".",""),"-","")," ",""),4,6),SUBSTITUTE(SUBSTITUTE(SUBSTITUTE(SUBSTITUTE(TRIM(E392),"*",""),".",""),"-","")," ","")))</f>
        <v/>
      </c>
      <c r="H392" s="31" t="str">
        <f aca="false">IF(OR(F392="",G392=""),"",F392&amp;"|"&amp;G392)</f>
        <v/>
      </c>
      <c r="I392" s="23"/>
      <c r="J392" s="22"/>
      <c r="K392" s="22"/>
      <c r="L392" s="25" t="str">
        <f aca="false">IF(F392="","",IF(AND(H392&lt;&gt;"",COUNTIF(Pessoas!$E:$E,H392)&gt;0),"SIM",IF(COUNTIF(Pessoas!$C:$C,F392)&gt;0,"nome igual em Pessoas: confira o CPF","")))</f>
        <v/>
      </c>
      <c r="M392" s="24"/>
      <c r="N392" s="11"/>
    </row>
    <row r="393" customFormat="false" ht="15" hidden="false" customHeight="false" outlineLevel="0" collapsed="false">
      <c r="A393" s="24"/>
      <c r="B393" s="31" t="str">
        <f aca="false">IF(A393="","",IF(LEN(UPPER(SUBSTITUTE(SUBSTITUTE(SUBSTITUTE(SUBSTITUTE(TRIM(A393),".",""),"/",""),"-","")," ","")))&lt;14,RIGHT(REPT("0",14)&amp;UPPER(SUBSTITUTE(SUBSTITUTE(SUBSTITUTE(SUBSTITUTE(TRIM(A393),".",""),"/",""),"-","")," ","")),14),UPPER(SUBSTITUTE(SUBSTITUTE(SUBSTITUTE(SUBSTITUTE(TRIM(A393),".",""),"/",""),"-","")," ",""))))</f>
        <v/>
      </c>
      <c r="C393" s="25" t="str">
        <f aca="false">IF(B393="","",IFERROR(INDEX(Empresas!$C:$C,MATCH(B393,Empresas!$B:$B,0)),"cadastre o CNPJ em Empresas"))</f>
        <v/>
      </c>
      <c r="D393" s="23"/>
      <c r="E393" s="24"/>
      <c r="F393" s="31" t="str">
        <f aca="false">IF(D393="","",SUBSTITUTE(SUBSTITUTE(SUBSTITUTE(SUBSTITUTE(SUBSTITUTE(SUBSTITUTE(SUBSTITUTE(SUBSTITUTE(SUBSTITUTE(SUBSTITUTE(SUBSTITUTE(SUBSTITUTE(SUBSTITUTE(UPPER(TRIM(D393)),"Á","A"),"À","A"),"Â","A"),"Ã","A"),"É","E"),"Ê","E"),"Í","I"),"Ó","O"),"Ô","O"),"Õ","O"),"Ú","U"),"Ü","U"),"Ç","C"))</f>
        <v/>
      </c>
      <c r="G393" s="31" t="str">
        <f aca="false">IF(E393="","",IF(LEN(SUBSTITUTE(SUBSTITUTE(SUBSTITUTE(SUBSTITUTE(TRIM(E393),"*",""),".",""),"-","")," ",""))=11,MID(SUBSTITUTE(SUBSTITUTE(SUBSTITUTE(SUBSTITUTE(TRIM(E393),"*",""),".",""),"-","")," ",""),4,6),SUBSTITUTE(SUBSTITUTE(SUBSTITUTE(SUBSTITUTE(TRIM(E393),"*",""),".",""),"-","")," ","")))</f>
        <v/>
      </c>
      <c r="H393" s="31" t="str">
        <f aca="false">IF(OR(F393="",G393=""),"",F393&amp;"|"&amp;G393)</f>
        <v/>
      </c>
      <c r="I393" s="23"/>
      <c r="J393" s="22"/>
      <c r="K393" s="22"/>
      <c r="L393" s="25" t="str">
        <f aca="false">IF(F393="","",IF(AND(H393&lt;&gt;"",COUNTIF(Pessoas!$E:$E,H393)&gt;0),"SIM",IF(COUNTIF(Pessoas!$C:$C,F393)&gt;0,"nome igual em Pessoas: confira o CPF","")))</f>
        <v/>
      </c>
      <c r="M393" s="24"/>
      <c r="N393" s="11"/>
    </row>
    <row r="394" customFormat="false" ht="15" hidden="false" customHeight="false" outlineLevel="0" collapsed="false">
      <c r="A394" s="24"/>
      <c r="B394" s="31" t="str">
        <f aca="false">IF(A394="","",IF(LEN(UPPER(SUBSTITUTE(SUBSTITUTE(SUBSTITUTE(SUBSTITUTE(TRIM(A394),".",""),"/",""),"-","")," ","")))&lt;14,RIGHT(REPT("0",14)&amp;UPPER(SUBSTITUTE(SUBSTITUTE(SUBSTITUTE(SUBSTITUTE(TRIM(A394),".",""),"/",""),"-","")," ","")),14),UPPER(SUBSTITUTE(SUBSTITUTE(SUBSTITUTE(SUBSTITUTE(TRIM(A394),".",""),"/",""),"-","")," ",""))))</f>
        <v/>
      </c>
      <c r="C394" s="25" t="str">
        <f aca="false">IF(B394="","",IFERROR(INDEX(Empresas!$C:$C,MATCH(B394,Empresas!$B:$B,0)),"cadastre o CNPJ em Empresas"))</f>
        <v/>
      </c>
      <c r="D394" s="23"/>
      <c r="E394" s="24"/>
      <c r="F394" s="31" t="str">
        <f aca="false">IF(D394="","",SUBSTITUTE(SUBSTITUTE(SUBSTITUTE(SUBSTITUTE(SUBSTITUTE(SUBSTITUTE(SUBSTITUTE(SUBSTITUTE(SUBSTITUTE(SUBSTITUTE(SUBSTITUTE(SUBSTITUTE(SUBSTITUTE(UPPER(TRIM(D394)),"Á","A"),"À","A"),"Â","A"),"Ã","A"),"É","E"),"Ê","E"),"Í","I"),"Ó","O"),"Ô","O"),"Õ","O"),"Ú","U"),"Ü","U"),"Ç","C"))</f>
        <v/>
      </c>
      <c r="G394" s="31" t="str">
        <f aca="false">IF(E394="","",IF(LEN(SUBSTITUTE(SUBSTITUTE(SUBSTITUTE(SUBSTITUTE(TRIM(E394),"*",""),".",""),"-","")," ",""))=11,MID(SUBSTITUTE(SUBSTITUTE(SUBSTITUTE(SUBSTITUTE(TRIM(E394),"*",""),".",""),"-","")," ",""),4,6),SUBSTITUTE(SUBSTITUTE(SUBSTITUTE(SUBSTITUTE(TRIM(E394),"*",""),".",""),"-","")," ","")))</f>
        <v/>
      </c>
      <c r="H394" s="31" t="str">
        <f aca="false">IF(OR(F394="",G394=""),"",F394&amp;"|"&amp;G394)</f>
        <v/>
      </c>
      <c r="I394" s="23"/>
      <c r="J394" s="22"/>
      <c r="K394" s="22"/>
      <c r="L394" s="25" t="str">
        <f aca="false">IF(F394="","",IF(AND(H394&lt;&gt;"",COUNTIF(Pessoas!$E:$E,H394)&gt;0),"SIM",IF(COUNTIF(Pessoas!$C:$C,F394)&gt;0,"nome igual em Pessoas: confira o CPF","")))</f>
        <v/>
      </c>
      <c r="M394" s="24"/>
      <c r="N394" s="11"/>
    </row>
    <row r="395" customFormat="false" ht="15" hidden="false" customHeight="false" outlineLevel="0" collapsed="false">
      <c r="A395" s="24"/>
      <c r="B395" s="31" t="str">
        <f aca="false">IF(A395="","",IF(LEN(UPPER(SUBSTITUTE(SUBSTITUTE(SUBSTITUTE(SUBSTITUTE(TRIM(A395),".",""),"/",""),"-","")," ","")))&lt;14,RIGHT(REPT("0",14)&amp;UPPER(SUBSTITUTE(SUBSTITUTE(SUBSTITUTE(SUBSTITUTE(TRIM(A395),".",""),"/",""),"-","")," ","")),14),UPPER(SUBSTITUTE(SUBSTITUTE(SUBSTITUTE(SUBSTITUTE(TRIM(A395),".",""),"/",""),"-","")," ",""))))</f>
        <v/>
      </c>
      <c r="C395" s="25" t="str">
        <f aca="false">IF(B395="","",IFERROR(INDEX(Empresas!$C:$C,MATCH(B395,Empresas!$B:$B,0)),"cadastre o CNPJ em Empresas"))</f>
        <v/>
      </c>
      <c r="D395" s="23"/>
      <c r="E395" s="24"/>
      <c r="F395" s="31" t="str">
        <f aca="false">IF(D395="","",SUBSTITUTE(SUBSTITUTE(SUBSTITUTE(SUBSTITUTE(SUBSTITUTE(SUBSTITUTE(SUBSTITUTE(SUBSTITUTE(SUBSTITUTE(SUBSTITUTE(SUBSTITUTE(SUBSTITUTE(SUBSTITUTE(UPPER(TRIM(D395)),"Á","A"),"À","A"),"Â","A"),"Ã","A"),"É","E"),"Ê","E"),"Í","I"),"Ó","O"),"Ô","O"),"Õ","O"),"Ú","U"),"Ü","U"),"Ç","C"))</f>
        <v/>
      </c>
      <c r="G395" s="31" t="str">
        <f aca="false">IF(E395="","",IF(LEN(SUBSTITUTE(SUBSTITUTE(SUBSTITUTE(SUBSTITUTE(TRIM(E395),"*",""),".",""),"-","")," ",""))=11,MID(SUBSTITUTE(SUBSTITUTE(SUBSTITUTE(SUBSTITUTE(TRIM(E395),"*",""),".",""),"-","")," ",""),4,6),SUBSTITUTE(SUBSTITUTE(SUBSTITUTE(SUBSTITUTE(TRIM(E395),"*",""),".",""),"-","")," ","")))</f>
        <v/>
      </c>
      <c r="H395" s="31" t="str">
        <f aca="false">IF(OR(F395="",G395=""),"",F395&amp;"|"&amp;G395)</f>
        <v/>
      </c>
      <c r="I395" s="23"/>
      <c r="J395" s="22"/>
      <c r="K395" s="22"/>
      <c r="L395" s="25" t="str">
        <f aca="false">IF(F395="","",IF(AND(H395&lt;&gt;"",COUNTIF(Pessoas!$E:$E,H395)&gt;0),"SIM",IF(COUNTIF(Pessoas!$C:$C,F395)&gt;0,"nome igual em Pessoas: confira o CPF","")))</f>
        <v/>
      </c>
      <c r="M395" s="24"/>
      <c r="N395" s="11"/>
    </row>
    <row r="396" customFormat="false" ht="15" hidden="false" customHeight="false" outlineLevel="0" collapsed="false">
      <c r="A396" s="24"/>
      <c r="B396" s="31" t="str">
        <f aca="false">IF(A396="","",IF(LEN(UPPER(SUBSTITUTE(SUBSTITUTE(SUBSTITUTE(SUBSTITUTE(TRIM(A396),".",""),"/",""),"-","")," ","")))&lt;14,RIGHT(REPT("0",14)&amp;UPPER(SUBSTITUTE(SUBSTITUTE(SUBSTITUTE(SUBSTITUTE(TRIM(A396),".",""),"/",""),"-","")," ","")),14),UPPER(SUBSTITUTE(SUBSTITUTE(SUBSTITUTE(SUBSTITUTE(TRIM(A396),".",""),"/",""),"-","")," ",""))))</f>
        <v/>
      </c>
      <c r="C396" s="25" t="str">
        <f aca="false">IF(B396="","",IFERROR(INDEX(Empresas!$C:$C,MATCH(B396,Empresas!$B:$B,0)),"cadastre o CNPJ em Empresas"))</f>
        <v/>
      </c>
      <c r="D396" s="23"/>
      <c r="E396" s="24"/>
      <c r="F396" s="31" t="str">
        <f aca="false">IF(D396="","",SUBSTITUTE(SUBSTITUTE(SUBSTITUTE(SUBSTITUTE(SUBSTITUTE(SUBSTITUTE(SUBSTITUTE(SUBSTITUTE(SUBSTITUTE(SUBSTITUTE(SUBSTITUTE(SUBSTITUTE(SUBSTITUTE(UPPER(TRIM(D396)),"Á","A"),"À","A"),"Â","A"),"Ã","A"),"É","E"),"Ê","E"),"Í","I"),"Ó","O"),"Ô","O"),"Õ","O"),"Ú","U"),"Ü","U"),"Ç","C"))</f>
        <v/>
      </c>
      <c r="G396" s="31" t="str">
        <f aca="false">IF(E396="","",IF(LEN(SUBSTITUTE(SUBSTITUTE(SUBSTITUTE(SUBSTITUTE(TRIM(E396),"*",""),".",""),"-","")," ",""))=11,MID(SUBSTITUTE(SUBSTITUTE(SUBSTITUTE(SUBSTITUTE(TRIM(E396),"*",""),".",""),"-","")," ",""),4,6),SUBSTITUTE(SUBSTITUTE(SUBSTITUTE(SUBSTITUTE(TRIM(E396),"*",""),".",""),"-","")," ","")))</f>
        <v/>
      </c>
      <c r="H396" s="31" t="str">
        <f aca="false">IF(OR(F396="",G396=""),"",F396&amp;"|"&amp;G396)</f>
        <v/>
      </c>
      <c r="I396" s="23"/>
      <c r="J396" s="22"/>
      <c r="K396" s="22"/>
      <c r="L396" s="25" t="str">
        <f aca="false">IF(F396="","",IF(AND(H396&lt;&gt;"",COUNTIF(Pessoas!$E:$E,H396)&gt;0),"SIM",IF(COUNTIF(Pessoas!$C:$C,F396)&gt;0,"nome igual em Pessoas: confira o CPF","")))</f>
        <v/>
      </c>
      <c r="M396" s="24"/>
      <c r="N396" s="11"/>
    </row>
    <row r="397" customFormat="false" ht="15" hidden="false" customHeight="false" outlineLevel="0" collapsed="false">
      <c r="A397" s="24"/>
      <c r="B397" s="31" t="str">
        <f aca="false">IF(A397="","",IF(LEN(UPPER(SUBSTITUTE(SUBSTITUTE(SUBSTITUTE(SUBSTITUTE(TRIM(A397),".",""),"/",""),"-","")," ","")))&lt;14,RIGHT(REPT("0",14)&amp;UPPER(SUBSTITUTE(SUBSTITUTE(SUBSTITUTE(SUBSTITUTE(TRIM(A397),".",""),"/",""),"-","")," ","")),14),UPPER(SUBSTITUTE(SUBSTITUTE(SUBSTITUTE(SUBSTITUTE(TRIM(A397),".",""),"/",""),"-","")," ",""))))</f>
        <v/>
      </c>
      <c r="C397" s="25" t="str">
        <f aca="false">IF(B397="","",IFERROR(INDEX(Empresas!$C:$C,MATCH(B397,Empresas!$B:$B,0)),"cadastre o CNPJ em Empresas"))</f>
        <v/>
      </c>
      <c r="D397" s="23"/>
      <c r="E397" s="24"/>
      <c r="F397" s="31" t="str">
        <f aca="false">IF(D397="","",SUBSTITUTE(SUBSTITUTE(SUBSTITUTE(SUBSTITUTE(SUBSTITUTE(SUBSTITUTE(SUBSTITUTE(SUBSTITUTE(SUBSTITUTE(SUBSTITUTE(SUBSTITUTE(SUBSTITUTE(SUBSTITUTE(UPPER(TRIM(D397)),"Á","A"),"À","A"),"Â","A"),"Ã","A"),"É","E"),"Ê","E"),"Í","I"),"Ó","O"),"Ô","O"),"Õ","O"),"Ú","U"),"Ü","U"),"Ç","C"))</f>
        <v/>
      </c>
      <c r="G397" s="31" t="str">
        <f aca="false">IF(E397="","",IF(LEN(SUBSTITUTE(SUBSTITUTE(SUBSTITUTE(SUBSTITUTE(TRIM(E397),"*",""),".",""),"-","")," ",""))=11,MID(SUBSTITUTE(SUBSTITUTE(SUBSTITUTE(SUBSTITUTE(TRIM(E397),"*",""),".",""),"-","")," ",""),4,6),SUBSTITUTE(SUBSTITUTE(SUBSTITUTE(SUBSTITUTE(TRIM(E397),"*",""),".",""),"-","")," ","")))</f>
        <v/>
      </c>
      <c r="H397" s="31" t="str">
        <f aca="false">IF(OR(F397="",G397=""),"",F397&amp;"|"&amp;G397)</f>
        <v/>
      </c>
      <c r="I397" s="23"/>
      <c r="J397" s="22"/>
      <c r="K397" s="22"/>
      <c r="L397" s="25" t="str">
        <f aca="false">IF(F397="","",IF(AND(H397&lt;&gt;"",COUNTIF(Pessoas!$E:$E,H397)&gt;0),"SIM",IF(COUNTIF(Pessoas!$C:$C,F397)&gt;0,"nome igual em Pessoas: confira o CPF","")))</f>
        <v/>
      </c>
      <c r="M397" s="24"/>
      <c r="N397" s="11"/>
    </row>
    <row r="398" customFormat="false" ht="15" hidden="false" customHeight="false" outlineLevel="0" collapsed="false">
      <c r="A398" s="24"/>
      <c r="B398" s="31" t="str">
        <f aca="false">IF(A398="","",IF(LEN(UPPER(SUBSTITUTE(SUBSTITUTE(SUBSTITUTE(SUBSTITUTE(TRIM(A398),".",""),"/",""),"-","")," ","")))&lt;14,RIGHT(REPT("0",14)&amp;UPPER(SUBSTITUTE(SUBSTITUTE(SUBSTITUTE(SUBSTITUTE(TRIM(A398),".",""),"/",""),"-","")," ","")),14),UPPER(SUBSTITUTE(SUBSTITUTE(SUBSTITUTE(SUBSTITUTE(TRIM(A398),".",""),"/",""),"-","")," ",""))))</f>
        <v/>
      </c>
      <c r="C398" s="25" t="str">
        <f aca="false">IF(B398="","",IFERROR(INDEX(Empresas!$C:$C,MATCH(B398,Empresas!$B:$B,0)),"cadastre o CNPJ em Empresas"))</f>
        <v/>
      </c>
      <c r="D398" s="23"/>
      <c r="E398" s="24"/>
      <c r="F398" s="31" t="str">
        <f aca="false">IF(D398="","",SUBSTITUTE(SUBSTITUTE(SUBSTITUTE(SUBSTITUTE(SUBSTITUTE(SUBSTITUTE(SUBSTITUTE(SUBSTITUTE(SUBSTITUTE(SUBSTITUTE(SUBSTITUTE(SUBSTITUTE(SUBSTITUTE(UPPER(TRIM(D398)),"Á","A"),"À","A"),"Â","A"),"Ã","A"),"É","E"),"Ê","E"),"Í","I"),"Ó","O"),"Ô","O"),"Õ","O"),"Ú","U"),"Ü","U"),"Ç","C"))</f>
        <v/>
      </c>
      <c r="G398" s="31" t="str">
        <f aca="false">IF(E398="","",IF(LEN(SUBSTITUTE(SUBSTITUTE(SUBSTITUTE(SUBSTITUTE(TRIM(E398),"*",""),".",""),"-","")," ",""))=11,MID(SUBSTITUTE(SUBSTITUTE(SUBSTITUTE(SUBSTITUTE(TRIM(E398),"*",""),".",""),"-","")," ",""),4,6),SUBSTITUTE(SUBSTITUTE(SUBSTITUTE(SUBSTITUTE(TRIM(E398),"*",""),".",""),"-","")," ","")))</f>
        <v/>
      </c>
      <c r="H398" s="31" t="str">
        <f aca="false">IF(OR(F398="",G398=""),"",F398&amp;"|"&amp;G398)</f>
        <v/>
      </c>
      <c r="I398" s="23"/>
      <c r="J398" s="22"/>
      <c r="K398" s="22"/>
      <c r="L398" s="25" t="str">
        <f aca="false">IF(F398="","",IF(AND(H398&lt;&gt;"",COUNTIF(Pessoas!$E:$E,H398)&gt;0),"SIM",IF(COUNTIF(Pessoas!$C:$C,F398)&gt;0,"nome igual em Pessoas: confira o CPF","")))</f>
        <v/>
      </c>
      <c r="M398" s="24"/>
      <c r="N398" s="11"/>
    </row>
    <row r="399" customFormat="false" ht="15" hidden="false" customHeight="false" outlineLevel="0" collapsed="false">
      <c r="A399" s="24"/>
      <c r="B399" s="31" t="str">
        <f aca="false">IF(A399="","",IF(LEN(UPPER(SUBSTITUTE(SUBSTITUTE(SUBSTITUTE(SUBSTITUTE(TRIM(A399),".",""),"/",""),"-","")," ","")))&lt;14,RIGHT(REPT("0",14)&amp;UPPER(SUBSTITUTE(SUBSTITUTE(SUBSTITUTE(SUBSTITUTE(TRIM(A399),".",""),"/",""),"-","")," ","")),14),UPPER(SUBSTITUTE(SUBSTITUTE(SUBSTITUTE(SUBSTITUTE(TRIM(A399),".",""),"/",""),"-","")," ",""))))</f>
        <v/>
      </c>
      <c r="C399" s="25" t="str">
        <f aca="false">IF(B399="","",IFERROR(INDEX(Empresas!$C:$C,MATCH(B399,Empresas!$B:$B,0)),"cadastre o CNPJ em Empresas"))</f>
        <v/>
      </c>
      <c r="D399" s="23"/>
      <c r="E399" s="24"/>
      <c r="F399" s="31" t="str">
        <f aca="false">IF(D399="","",SUBSTITUTE(SUBSTITUTE(SUBSTITUTE(SUBSTITUTE(SUBSTITUTE(SUBSTITUTE(SUBSTITUTE(SUBSTITUTE(SUBSTITUTE(SUBSTITUTE(SUBSTITUTE(SUBSTITUTE(SUBSTITUTE(UPPER(TRIM(D399)),"Á","A"),"À","A"),"Â","A"),"Ã","A"),"É","E"),"Ê","E"),"Í","I"),"Ó","O"),"Ô","O"),"Õ","O"),"Ú","U"),"Ü","U"),"Ç","C"))</f>
        <v/>
      </c>
      <c r="G399" s="31" t="str">
        <f aca="false">IF(E399="","",IF(LEN(SUBSTITUTE(SUBSTITUTE(SUBSTITUTE(SUBSTITUTE(TRIM(E399),"*",""),".",""),"-","")," ",""))=11,MID(SUBSTITUTE(SUBSTITUTE(SUBSTITUTE(SUBSTITUTE(TRIM(E399),"*",""),".",""),"-","")," ",""),4,6),SUBSTITUTE(SUBSTITUTE(SUBSTITUTE(SUBSTITUTE(TRIM(E399),"*",""),".",""),"-","")," ","")))</f>
        <v/>
      </c>
      <c r="H399" s="31" t="str">
        <f aca="false">IF(OR(F399="",G399=""),"",F399&amp;"|"&amp;G399)</f>
        <v/>
      </c>
      <c r="I399" s="23"/>
      <c r="J399" s="22"/>
      <c r="K399" s="22"/>
      <c r="L399" s="25" t="str">
        <f aca="false">IF(F399="","",IF(AND(H399&lt;&gt;"",COUNTIF(Pessoas!$E:$E,H399)&gt;0),"SIM",IF(COUNTIF(Pessoas!$C:$C,F399)&gt;0,"nome igual em Pessoas: confira o CPF","")))</f>
        <v/>
      </c>
      <c r="M399" s="24"/>
      <c r="N399" s="11"/>
    </row>
    <row r="400" customFormat="false" ht="15" hidden="false" customHeight="false" outlineLevel="0" collapsed="false">
      <c r="A400" s="24"/>
      <c r="B400" s="31" t="str">
        <f aca="false">IF(A400="","",IF(LEN(UPPER(SUBSTITUTE(SUBSTITUTE(SUBSTITUTE(SUBSTITUTE(TRIM(A400),".",""),"/",""),"-","")," ","")))&lt;14,RIGHT(REPT("0",14)&amp;UPPER(SUBSTITUTE(SUBSTITUTE(SUBSTITUTE(SUBSTITUTE(TRIM(A400),".",""),"/",""),"-","")," ","")),14),UPPER(SUBSTITUTE(SUBSTITUTE(SUBSTITUTE(SUBSTITUTE(TRIM(A400),".",""),"/",""),"-","")," ",""))))</f>
        <v/>
      </c>
      <c r="C400" s="25" t="str">
        <f aca="false">IF(B400="","",IFERROR(INDEX(Empresas!$C:$C,MATCH(B400,Empresas!$B:$B,0)),"cadastre o CNPJ em Empresas"))</f>
        <v/>
      </c>
      <c r="D400" s="23"/>
      <c r="E400" s="24"/>
      <c r="F400" s="31" t="str">
        <f aca="false">IF(D400="","",SUBSTITUTE(SUBSTITUTE(SUBSTITUTE(SUBSTITUTE(SUBSTITUTE(SUBSTITUTE(SUBSTITUTE(SUBSTITUTE(SUBSTITUTE(SUBSTITUTE(SUBSTITUTE(SUBSTITUTE(SUBSTITUTE(UPPER(TRIM(D400)),"Á","A"),"À","A"),"Â","A"),"Ã","A"),"É","E"),"Ê","E"),"Í","I"),"Ó","O"),"Ô","O"),"Õ","O"),"Ú","U"),"Ü","U"),"Ç","C"))</f>
        <v/>
      </c>
      <c r="G400" s="31" t="str">
        <f aca="false">IF(E400="","",IF(LEN(SUBSTITUTE(SUBSTITUTE(SUBSTITUTE(SUBSTITUTE(TRIM(E400),"*",""),".",""),"-","")," ",""))=11,MID(SUBSTITUTE(SUBSTITUTE(SUBSTITUTE(SUBSTITUTE(TRIM(E400),"*",""),".",""),"-","")," ",""),4,6),SUBSTITUTE(SUBSTITUTE(SUBSTITUTE(SUBSTITUTE(TRIM(E400),"*",""),".",""),"-","")," ","")))</f>
        <v/>
      </c>
      <c r="H400" s="31" t="str">
        <f aca="false">IF(OR(F400="",G400=""),"",F400&amp;"|"&amp;G400)</f>
        <v/>
      </c>
      <c r="I400" s="23"/>
      <c r="J400" s="22"/>
      <c r="K400" s="22"/>
      <c r="L400" s="25" t="str">
        <f aca="false">IF(F400="","",IF(AND(H400&lt;&gt;"",COUNTIF(Pessoas!$E:$E,H400)&gt;0),"SIM",IF(COUNTIF(Pessoas!$C:$C,F400)&gt;0,"nome igual em Pessoas: confira o CPF","")))</f>
        <v/>
      </c>
      <c r="M400" s="24"/>
      <c r="N400" s="11"/>
    </row>
    <row r="401" customFormat="false" ht="15" hidden="false" customHeight="false" outlineLevel="0" collapsed="false">
      <c r="A401" s="24"/>
      <c r="B401" s="31" t="str">
        <f aca="false">IF(A401="","",IF(LEN(UPPER(SUBSTITUTE(SUBSTITUTE(SUBSTITUTE(SUBSTITUTE(TRIM(A401),".",""),"/",""),"-","")," ","")))&lt;14,RIGHT(REPT("0",14)&amp;UPPER(SUBSTITUTE(SUBSTITUTE(SUBSTITUTE(SUBSTITUTE(TRIM(A401),".",""),"/",""),"-","")," ","")),14),UPPER(SUBSTITUTE(SUBSTITUTE(SUBSTITUTE(SUBSTITUTE(TRIM(A401),".",""),"/",""),"-","")," ",""))))</f>
        <v/>
      </c>
      <c r="C401" s="25" t="str">
        <f aca="false">IF(B401="","",IFERROR(INDEX(Empresas!$C:$C,MATCH(B401,Empresas!$B:$B,0)),"cadastre o CNPJ em Empresas"))</f>
        <v/>
      </c>
      <c r="D401" s="23"/>
      <c r="E401" s="24"/>
      <c r="F401" s="31" t="str">
        <f aca="false">IF(D401="","",SUBSTITUTE(SUBSTITUTE(SUBSTITUTE(SUBSTITUTE(SUBSTITUTE(SUBSTITUTE(SUBSTITUTE(SUBSTITUTE(SUBSTITUTE(SUBSTITUTE(SUBSTITUTE(SUBSTITUTE(SUBSTITUTE(UPPER(TRIM(D401)),"Á","A"),"À","A"),"Â","A"),"Ã","A"),"É","E"),"Ê","E"),"Í","I"),"Ó","O"),"Ô","O"),"Õ","O"),"Ú","U"),"Ü","U"),"Ç","C"))</f>
        <v/>
      </c>
      <c r="G401" s="31" t="str">
        <f aca="false">IF(E401="","",IF(LEN(SUBSTITUTE(SUBSTITUTE(SUBSTITUTE(SUBSTITUTE(TRIM(E401),"*",""),".",""),"-","")," ",""))=11,MID(SUBSTITUTE(SUBSTITUTE(SUBSTITUTE(SUBSTITUTE(TRIM(E401),"*",""),".",""),"-","")," ",""),4,6),SUBSTITUTE(SUBSTITUTE(SUBSTITUTE(SUBSTITUTE(TRIM(E401),"*",""),".",""),"-","")," ","")))</f>
        <v/>
      </c>
      <c r="H401" s="31" t="str">
        <f aca="false">IF(OR(F401="",G401=""),"",F401&amp;"|"&amp;G401)</f>
        <v/>
      </c>
      <c r="I401" s="23"/>
      <c r="J401" s="22"/>
      <c r="K401" s="22"/>
      <c r="L401" s="25" t="str">
        <f aca="false">IF(F401="","",IF(AND(H401&lt;&gt;"",COUNTIF(Pessoas!$E:$E,H401)&gt;0),"SIM",IF(COUNTIF(Pessoas!$C:$C,F401)&gt;0,"nome igual em Pessoas: confira o CPF","")))</f>
        <v/>
      </c>
      <c r="M401" s="24"/>
      <c r="N401" s="11"/>
    </row>
    <row r="402" customFormat="false" ht="15" hidden="false" customHeight="false" outlineLevel="0" collapsed="false">
      <c r="A402" s="24"/>
      <c r="B402" s="31" t="str">
        <f aca="false">IF(A402="","",IF(LEN(UPPER(SUBSTITUTE(SUBSTITUTE(SUBSTITUTE(SUBSTITUTE(TRIM(A402),".",""),"/",""),"-","")," ","")))&lt;14,RIGHT(REPT("0",14)&amp;UPPER(SUBSTITUTE(SUBSTITUTE(SUBSTITUTE(SUBSTITUTE(TRIM(A402),".",""),"/",""),"-","")," ","")),14),UPPER(SUBSTITUTE(SUBSTITUTE(SUBSTITUTE(SUBSTITUTE(TRIM(A402),".",""),"/",""),"-","")," ",""))))</f>
        <v/>
      </c>
      <c r="C402" s="25" t="str">
        <f aca="false">IF(B402="","",IFERROR(INDEX(Empresas!$C:$C,MATCH(B402,Empresas!$B:$B,0)),"cadastre o CNPJ em Empresas"))</f>
        <v/>
      </c>
      <c r="D402" s="23"/>
      <c r="E402" s="24"/>
      <c r="F402" s="31" t="str">
        <f aca="false">IF(D402="","",SUBSTITUTE(SUBSTITUTE(SUBSTITUTE(SUBSTITUTE(SUBSTITUTE(SUBSTITUTE(SUBSTITUTE(SUBSTITUTE(SUBSTITUTE(SUBSTITUTE(SUBSTITUTE(SUBSTITUTE(SUBSTITUTE(UPPER(TRIM(D402)),"Á","A"),"À","A"),"Â","A"),"Ã","A"),"É","E"),"Ê","E"),"Í","I"),"Ó","O"),"Ô","O"),"Õ","O"),"Ú","U"),"Ü","U"),"Ç","C"))</f>
        <v/>
      </c>
      <c r="G402" s="31" t="str">
        <f aca="false">IF(E402="","",IF(LEN(SUBSTITUTE(SUBSTITUTE(SUBSTITUTE(SUBSTITUTE(TRIM(E402),"*",""),".",""),"-","")," ",""))=11,MID(SUBSTITUTE(SUBSTITUTE(SUBSTITUTE(SUBSTITUTE(TRIM(E402),"*",""),".",""),"-","")," ",""),4,6),SUBSTITUTE(SUBSTITUTE(SUBSTITUTE(SUBSTITUTE(TRIM(E402),"*",""),".",""),"-","")," ","")))</f>
        <v/>
      </c>
      <c r="H402" s="31" t="str">
        <f aca="false">IF(OR(F402="",G402=""),"",F402&amp;"|"&amp;G402)</f>
        <v/>
      </c>
      <c r="I402" s="23"/>
      <c r="J402" s="22"/>
      <c r="K402" s="22"/>
      <c r="L402" s="25" t="str">
        <f aca="false">IF(F402="","",IF(AND(H402&lt;&gt;"",COUNTIF(Pessoas!$E:$E,H402)&gt;0),"SIM",IF(COUNTIF(Pessoas!$C:$C,F402)&gt;0,"nome igual em Pessoas: confira o CPF","")))</f>
        <v/>
      </c>
      <c r="M402" s="24"/>
      <c r="N402" s="11"/>
    </row>
    <row r="403" customFormat="false" ht="15" hidden="false" customHeight="false" outlineLevel="0" collapsed="false">
      <c r="A403" s="24"/>
      <c r="B403" s="31" t="str">
        <f aca="false">IF(A403="","",IF(LEN(UPPER(SUBSTITUTE(SUBSTITUTE(SUBSTITUTE(SUBSTITUTE(TRIM(A403),".",""),"/",""),"-","")," ","")))&lt;14,RIGHT(REPT("0",14)&amp;UPPER(SUBSTITUTE(SUBSTITUTE(SUBSTITUTE(SUBSTITUTE(TRIM(A403),".",""),"/",""),"-","")," ","")),14),UPPER(SUBSTITUTE(SUBSTITUTE(SUBSTITUTE(SUBSTITUTE(TRIM(A403),".",""),"/",""),"-","")," ",""))))</f>
        <v/>
      </c>
      <c r="C403" s="25" t="str">
        <f aca="false">IF(B403="","",IFERROR(INDEX(Empresas!$C:$C,MATCH(B403,Empresas!$B:$B,0)),"cadastre o CNPJ em Empresas"))</f>
        <v/>
      </c>
      <c r="D403" s="23"/>
      <c r="E403" s="24"/>
      <c r="F403" s="31" t="str">
        <f aca="false">IF(D403="","",SUBSTITUTE(SUBSTITUTE(SUBSTITUTE(SUBSTITUTE(SUBSTITUTE(SUBSTITUTE(SUBSTITUTE(SUBSTITUTE(SUBSTITUTE(SUBSTITUTE(SUBSTITUTE(SUBSTITUTE(SUBSTITUTE(UPPER(TRIM(D403)),"Á","A"),"À","A"),"Â","A"),"Ã","A"),"É","E"),"Ê","E"),"Í","I"),"Ó","O"),"Ô","O"),"Õ","O"),"Ú","U"),"Ü","U"),"Ç","C"))</f>
        <v/>
      </c>
      <c r="G403" s="31" t="str">
        <f aca="false">IF(E403="","",IF(LEN(SUBSTITUTE(SUBSTITUTE(SUBSTITUTE(SUBSTITUTE(TRIM(E403),"*",""),".",""),"-","")," ",""))=11,MID(SUBSTITUTE(SUBSTITUTE(SUBSTITUTE(SUBSTITUTE(TRIM(E403),"*",""),".",""),"-","")," ",""),4,6),SUBSTITUTE(SUBSTITUTE(SUBSTITUTE(SUBSTITUTE(TRIM(E403),"*",""),".",""),"-","")," ","")))</f>
        <v/>
      </c>
      <c r="H403" s="31" t="str">
        <f aca="false">IF(OR(F403="",G403=""),"",F403&amp;"|"&amp;G403)</f>
        <v/>
      </c>
      <c r="I403" s="23"/>
      <c r="J403" s="22"/>
      <c r="K403" s="22"/>
      <c r="L403" s="25" t="str">
        <f aca="false">IF(F403="","",IF(AND(H403&lt;&gt;"",COUNTIF(Pessoas!$E:$E,H403)&gt;0),"SIM",IF(COUNTIF(Pessoas!$C:$C,F403)&gt;0,"nome igual em Pessoas: confira o CPF","")))</f>
        <v/>
      </c>
      <c r="M403" s="24"/>
      <c r="N403" s="11"/>
    </row>
    <row r="404" customFormat="false" ht="15" hidden="false" customHeight="false" outlineLevel="0" collapsed="false">
      <c r="A404" s="24"/>
      <c r="B404" s="31" t="str">
        <f aca="false">IF(A404="","",IF(LEN(UPPER(SUBSTITUTE(SUBSTITUTE(SUBSTITUTE(SUBSTITUTE(TRIM(A404),".",""),"/",""),"-","")," ","")))&lt;14,RIGHT(REPT("0",14)&amp;UPPER(SUBSTITUTE(SUBSTITUTE(SUBSTITUTE(SUBSTITUTE(TRIM(A404),".",""),"/",""),"-","")," ","")),14),UPPER(SUBSTITUTE(SUBSTITUTE(SUBSTITUTE(SUBSTITUTE(TRIM(A404),".",""),"/",""),"-","")," ",""))))</f>
        <v/>
      </c>
      <c r="C404" s="25" t="str">
        <f aca="false">IF(B404="","",IFERROR(INDEX(Empresas!$C:$C,MATCH(B404,Empresas!$B:$B,0)),"cadastre o CNPJ em Empresas"))</f>
        <v/>
      </c>
      <c r="D404" s="23"/>
      <c r="E404" s="24"/>
      <c r="F404" s="31" t="str">
        <f aca="false">IF(D404="","",SUBSTITUTE(SUBSTITUTE(SUBSTITUTE(SUBSTITUTE(SUBSTITUTE(SUBSTITUTE(SUBSTITUTE(SUBSTITUTE(SUBSTITUTE(SUBSTITUTE(SUBSTITUTE(SUBSTITUTE(SUBSTITUTE(UPPER(TRIM(D404)),"Á","A"),"À","A"),"Â","A"),"Ã","A"),"É","E"),"Ê","E"),"Í","I"),"Ó","O"),"Ô","O"),"Õ","O"),"Ú","U"),"Ü","U"),"Ç","C"))</f>
        <v/>
      </c>
      <c r="G404" s="31" t="str">
        <f aca="false">IF(E404="","",IF(LEN(SUBSTITUTE(SUBSTITUTE(SUBSTITUTE(SUBSTITUTE(TRIM(E404),"*",""),".",""),"-","")," ",""))=11,MID(SUBSTITUTE(SUBSTITUTE(SUBSTITUTE(SUBSTITUTE(TRIM(E404),"*",""),".",""),"-","")," ",""),4,6),SUBSTITUTE(SUBSTITUTE(SUBSTITUTE(SUBSTITUTE(TRIM(E404),"*",""),".",""),"-","")," ","")))</f>
        <v/>
      </c>
      <c r="H404" s="31" t="str">
        <f aca="false">IF(OR(F404="",G404=""),"",F404&amp;"|"&amp;G404)</f>
        <v/>
      </c>
      <c r="I404" s="23"/>
      <c r="J404" s="22"/>
      <c r="K404" s="22"/>
      <c r="L404" s="25" t="str">
        <f aca="false">IF(F404="","",IF(AND(H404&lt;&gt;"",COUNTIF(Pessoas!$E:$E,H404)&gt;0),"SIM",IF(COUNTIF(Pessoas!$C:$C,F404)&gt;0,"nome igual em Pessoas: confira o CPF","")))</f>
        <v/>
      </c>
      <c r="M404" s="24"/>
      <c r="N404" s="11"/>
    </row>
    <row r="405" customFormat="false" ht="15" hidden="false" customHeight="false" outlineLevel="0" collapsed="false">
      <c r="A405" s="24"/>
      <c r="B405" s="31" t="str">
        <f aca="false">IF(A405="","",IF(LEN(UPPER(SUBSTITUTE(SUBSTITUTE(SUBSTITUTE(SUBSTITUTE(TRIM(A405),".",""),"/",""),"-","")," ","")))&lt;14,RIGHT(REPT("0",14)&amp;UPPER(SUBSTITUTE(SUBSTITUTE(SUBSTITUTE(SUBSTITUTE(TRIM(A405),".",""),"/",""),"-","")," ","")),14),UPPER(SUBSTITUTE(SUBSTITUTE(SUBSTITUTE(SUBSTITUTE(TRIM(A405),".",""),"/",""),"-","")," ",""))))</f>
        <v/>
      </c>
      <c r="C405" s="25" t="str">
        <f aca="false">IF(B405="","",IFERROR(INDEX(Empresas!$C:$C,MATCH(B405,Empresas!$B:$B,0)),"cadastre o CNPJ em Empresas"))</f>
        <v/>
      </c>
      <c r="D405" s="23"/>
      <c r="E405" s="24"/>
      <c r="F405" s="31" t="str">
        <f aca="false">IF(D405="","",SUBSTITUTE(SUBSTITUTE(SUBSTITUTE(SUBSTITUTE(SUBSTITUTE(SUBSTITUTE(SUBSTITUTE(SUBSTITUTE(SUBSTITUTE(SUBSTITUTE(SUBSTITUTE(SUBSTITUTE(SUBSTITUTE(UPPER(TRIM(D405)),"Á","A"),"À","A"),"Â","A"),"Ã","A"),"É","E"),"Ê","E"),"Í","I"),"Ó","O"),"Ô","O"),"Õ","O"),"Ú","U"),"Ü","U"),"Ç","C"))</f>
        <v/>
      </c>
      <c r="G405" s="31" t="str">
        <f aca="false">IF(E405="","",IF(LEN(SUBSTITUTE(SUBSTITUTE(SUBSTITUTE(SUBSTITUTE(TRIM(E405),"*",""),".",""),"-","")," ",""))=11,MID(SUBSTITUTE(SUBSTITUTE(SUBSTITUTE(SUBSTITUTE(TRIM(E405),"*",""),".",""),"-","")," ",""),4,6),SUBSTITUTE(SUBSTITUTE(SUBSTITUTE(SUBSTITUTE(TRIM(E405),"*",""),".",""),"-","")," ","")))</f>
        <v/>
      </c>
      <c r="H405" s="31" t="str">
        <f aca="false">IF(OR(F405="",G405=""),"",F405&amp;"|"&amp;G405)</f>
        <v/>
      </c>
      <c r="I405" s="23"/>
      <c r="J405" s="22"/>
      <c r="K405" s="22"/>
      <c r="L405" s="25" t="str">
        <f aca="false">IF(F405="","",IF(AND(H405&lt;&gt;"",COUNTIF(Pessoas!$E:$E,H405)&gt;0),"SIM",IF(COUNTIF(Pessoas!$C:$C,F405)&gt;0,"nome igual em Pessoas: confira o CPF","")))</f>
        <v/>
      </c>
      <c r="M405" s="24"/>
      <c r="N405" s="11"/>
    </row>
    <row r="406" customFormat="false" ht="15" hidden="false" customHeight="false" outlineLevel="0" collapsed="false">
      <c r="A406" s="24"/>
      <c r="B406" s="31" t="str">
        <f aca="false">IF(A406="","",IF(LEN(UPPER(SUBSTITUTE(SUBSTITUTE(SUBSTITUTE(SUBSTITUTE(TRIM(A406),".",""),"/",""),"-","")," ","")))&lt;14,RIGHT(REPT("0",14)&amp;UPPER(SUBSTITUTE(SUBSTITUTE(SUBSTITUTE(SUBSTITUTE(TRIM(A406),".",""),"/",""),"-","")," ","")),14),UPPER(SUBSTITUTE(SUBSTITUTE(SUBSTITUTE(SUBSTITUTE(TRIM(A406),".",""),"/",""),"-","")," ",""))))</f>
        <v/>
      </c>
      <c r="C406" s="25" t="str">
        <f aca="false">IF(B406="","",IFERROR(INDEX(Empresas!$C:$C,MATCH(B406,Empresas!$B:$B,0)),"cadastre o CNPJ em Empresas"))</f>
        <v/>
      </c>
      <c r="D406" s="23"/>
      <c r="E406" s="24"/>
      <c r="F406" s="31" t="str">
        <f aca="false">IF(D406="","",SUBSTITUTE(SUBSTITUTE(SUBSTITUTE(SUBSTITUTE(SUBSTITUTE(SUBSTITUTE(SUBSTITUTE(SUBSTITUTE(SUBSTITUTE(SUBSTITUTE(SUBSTITUTE(SUBSTITUTE(SUBSTITUTE(UPPER(TRIM(D406)),"Á","A"),"À","A"),"Â","A"),"Ã","A"),"É","E"),"Ê","E"),"Í","I"),"Ó","O"),"Ô","O"),"Õ","O"),"Ú","U"),"Ü","U"),"Ç","C"))</f>
        <v/>
      </c>
      <c r="G406" s="31" t="str">
        <f aca="false">IF(E406="","",IF(LEN(SUBSTITUTE(SUBSTITUTE(SUBSTITUTE(SUBSTITUTE(TRIM(E406),"*",""),".",""),"-","")," ",""))=11,MID(SUBSTITUTE(SUBSTITUTE(SUBSTITUTE(SUBSTITUTE(TRIM(E406),"*",""),".",""),"-","")," ",""),4,6),SUBSTITUTE(SUBSTITUTE(SUBSTITUTE(SUBSTITUTE(TRIM(E406),"*",""),".",""),"-","")," ","")))</f>
        <v/>
      </c>
      <c r="H406" s="31" t="str">
        <f aca="false">IF(OR(F406="",G406=""),"",F406&amp;"|"&amp;G406)</f>
        <v/>
      </c>
      <c r="I406" s="23"/>
      <c r="J406" s="22"/>
      <c r="K406" s="22"/>
      <c r="L406" s="25" t="str">
        <f aca="false">IF(F406="","",IF(AND(H406&lt;&gt;"",COUNTIF(Pessoas!$E:$E,H406)&gt;0),"SIM",IF(COUNTIF(Pessoas!$C:$C,F406)&gt;0,"nome igual em Pessoas: confira o CPF","")))</f>
        <v/>
      </c>
      <c r="M406" s="24"/>
      <c r="N406" s="11"/>
    </row>
    <row r="407" customFormat="false" ht="15" hidden="false" customHeight="false" outlineLevel="0" collapsed="false">
      <c r="A407" s="24"/>
      <c r="B407" s="31" t="str">
        <f aca="false">IF(A407="","",IF(LEN(UPPER(SUBSTITUTE(SUBSTITUTE(SUBSTITUTE(SUBSTITUTE(TRIM(A407),".",""),"/",""),"-","")," ","")))&lt;14,RIGHT(REPT("0",14)&amp;UPPER(SUBSTITUTE(SUBSTITUTE(SUBSTITUTE(SUBSTITUTE(TRIM(A407),".",""),"/",""),"-","")," ","")),14),UPPER(SUBSTITUTE(SUBSTITUTE(SUBSTITUTE(SUBSTITUTE(TRIM(A407),".",""),"/",""),"-","")," ",""))))</f>
        <v/>
      </c>
      <c r="C407" s="25" t="str">
        <f aca="false">IF(B407="","",IFERROR(INDEX(Empresas!$C:$C,MATCH(B407,Empresas!$B:$B,0)),"cadastre o CNPJ em Empresas"))</f>
        <v/>
      </c>
      <c r="D407" s="23"/>
      <c r="E407" s="24"/>
      <c r="F407" s="31" t="str">
        <f aca="false">IF(D407="","",SUBSTITUTE(SUBSTITUTE(SUBSTITUTE(SUBSTITUTE(SUBSTITUTE(SUBSTITUTE(SUBSTITUTE(SUBSTITUTE(SUBSTITUTE(SUBSTITUTE(SUBSTITUTE(SUBSTITUTE(SUBSTITUTE(UPPER(TRIM(D407)),"Á","A"),"À","A"),"Â","A"),"Ã","A"),"É","E"),"Ê","E"),"Í","I"),"Ó","O"),"Ô","O"),"Õ","O"),"Ú","U"),"Ü","U"),"Ç","C"))</f>
        <v/>
      </c>
      <c r="G407" s="31" t="str">
        <f aca="false">IF(E407="","",IF(LEN(SUBSTITUTE(SUBSTITUTE(SUBSTITUTE(SUBSTITUTE(TRIM(E407),"*",""),".",""),"-","")," ",""))=11,MID(SUBSTITUTE(SUBSTITUTE(SUBSTITUTE(SUBSTITUTE(TRIM(E407),"*",""),".",""),"-","")," ",""),4,6),SUBSTITUTE(SUBSTITUTE(SUBSTITUTE(SUBSTITUTE(TRIM(E407),"*",""),".",""),"-","")," ","")))</f>
        <v/>
      </c>
      <c r="H407" s="31" t="str">
        <f aca="false">IF(OR(F407="",G407=""),"",F407&amp;"|"&amp;G407)</f>
        <v/>
      </c>
      <c r="I407" s="23"/>
      <c r="J407" s="22"/>
      <c r="K407" s="22"/>
      <c r="L407" s="25" t="str">
        <f aca="false">IF(F407="","",IF(AND(H407&lt;&gt;"",COUNTIF(Pessoas!$E:$E,H407)&gt;0),"SIM",IF(COUNTIF(Pessoas!$C:$C,F407)&gt;0,"nome igual em Pessoas: confira o CPF","")))</f>
        <v/>
      </c>
      <c r="M407" s="24"/>
      <c r="N407" s="11"/>
    </row>
    <row r="408" customFormat="false" ht="15" hidden="false" customHeight="false" outlineLevel="0" collapsed="false">
      <c r="A408" s="24"/>
      <c r="B408" s="31" t="str">
        <f aca="false">IF(A408="","",IF(LEN(UPPER(SUBSTITUTE(SUBSTITUTE(SUBSTITUTE(SUBSTITUTE(TRIM(A408),".",""),"/",""),"-","")," ","")))&lt;14,RIGHT(REPT("0",14)&amp;UPPER(SUBSTITUTE(SUBSTITUTE(SUBSTITUTE(SUBSTITUTE(TRIM(A408),".",""),"/",""),"-","")," ","")),14),UPPER(SUBSTITUTE(SUBSTITUTE(SUBSTITUTE(SUBSTITUTE(TRIM(A408),".",""),"/",""),"-","")," ",""))))</f>
        <v/>
      </c>
      <c r="C408" s="25" t="str">
        <f aca="false">IF(B408="","",IFERROR(INDEX(Empresas!$C:$C,MATCH(B408,Empresas!$B:$B,0)),"cadastre o CNPJ em Empresas"))</f>
        <v/>
      </c>
      <c r="D408" s="23"/>
      <c r="E408" s="24"/>
      <c r="F408" s="31" t="str">
        <f aca="false">IF(D408="","",SUBSTITUTE(SUBSTITUTE(SUBSTITUTE(SUBSTITUTE(SUBSTITUTE(SUBSTITUTE(SUBSTITUTE(SUBSTITUTE(SUBSTITUTE(SUBSTITUTE(SUBSTITUTE(SUBSTITUTE(SUBSTITUTE(UPPER(TRIM(D408)),"Á","A"),"À","A"),"Â","A"),"Ã","A"),"É","E"),"Ê","E"),"Í","I"),"Ó","O"),"Ô","O"),"Õ","O"),"Ú","U"),"Ü","U"),"Ç","C"))</f>
        <v/>
      </c>
      <c r="G408" s="31" t="str">
        <f aca="false">IF(E408="","",IF(LEN(SUBSTITUTE(SUBSTITUTE(SUBSTITUTE(SUBSTITUTE(TRIM(E408),"*",""),".",""),"-","")," ",""))=11,MID(SUBSTITUTE(SUBSTITUTE(SUBSTITUTE(SUBSTITUTE(TRIM(E408),"*",""),".",""),"-","")," ",""),4,6),SUBSTITUTE(SUBSTITUTE(SUBSTITUTE(SUBSTITUTE(TRIM(E408),"*",""),".",""),"-","")," ","")))</f>
        <v/>
      </c>
      <c r="H408" s="31" t="str">
        <f aca="false">IF(OR(F408="",G408=""),"",F408&amp;"|"&amp;G408)</f>
        <v/>
      </c>
      <c r="I408" s="23"/>
      <c r="J408" s="22"/>
      <c r="K408" s="22"/>
      <c r="L408" s="25" t="str">
        <f aca="false">IF(F408="","",IF(AND(H408&lt;&gt;"",COUNTIF(Pessoas!$E:$E,H408)&gt;0),"SIM",IF(COUNTIF(Pessoas!$C:$C,F408)&gt;0,"nome igual em Pessoas: confira o CPF","")))</f>
        <v/>
      </c>
      <c r="M408" s="24"/>
      <c r="N408" s="11"/>
    </row>
    <row r="409" customFormat="false" ht="15" hidden="false" customHeight="false" outlineLevel="0" collapsed="false">
      <c r="A409" s="24"/>
      <c r="B409" s="31" t="str">
        <f aca="false">IF(A409="","",IF(LEN(UPPER(SUBSTITUTE(SUBSTITUTE(SUBSTITUTE(SUBSTITUTE(TRIM(A409),".",""),"/",""),"-","")," ","")))&lt;14,RIGHT(REPT("0",14)&amp;UPPER(SUBSTITUTE(SUBSTITUTE(SUBSTITUTE(SUBSTITUTE(TRIM(A409),".",""),"/",""),"-","")," ","")),14),UPPER(SUBSTITUTE(SUBSTITUTE(SUBSTITUTE(SUBSTITUTE(TRIM(A409),".",""),"/",""),"-","")," ",""))))</f>
        <v/>
      </c>
      <c r="C409" s="25" t="str">
        <f aca="false">IF(B409="","",IFERROR(INDEX(Empresas!$C:$C,MATCH(B409,Empresas!$B:$B,0)),"cadastre o CNPJ em Empresas"))</f>
        <v/>
      </c>
      <c r="D409" s="23"/>
      <c r="E409" s="24"/>
      <c r="F409" s="31" t="str">
        <f aca="false">IF(D409="","",SUBSTITUTE(SUBSTITUTE(SUBSTITUTE(SUBSTITUTE(SUBSTITUTE(SUBSTITUTE(SUBSTITUTE(SUBSTITUTE(SUBSTITUTE(SUBSTITUTE(SUBSTITUTE(SUBSTITUTE(SUBSTITUTE(UPPER(TRIM(D409)),"Á","A"),"À","A"),"Â","A"),"Ã","A"),"É","E"),"Ê","E"),"Í","I"),"Ó","O"),"Ô","O"),"Õ","O"),"Ú","U"),"Ü","U"),"Ç","C"))</f>
        <v/>
      </c>
      <c r="G409" s="31" t="str">
        <f aca="false">IF(E409="","",IF(LEN(SUBSTITUTE(SUBSTITUTE(SUBSTITUTE(SUBSTITUTE(TRIM(E409),"*",""),".",""),"-","")," ",""))=11,MID(SUBSTITUTE(SUBSTITUTE(SUBSTITUTE(SUBSTITUTE(TRIM(E409),"*",""),".",""),"-","")," ",""),4,6),SUBSTITUTE(SUBSTITUTE(SUBSTITUTE(SUBSTITUTE(TRIM(E409),"*",""),".",""),"-","")," ","")))</f>
        <v/>
      </c>
      <c r="H409" s="31" t="str">
        <f aca="false">IF(OR(F409="",G409=""),"",F409&amp;"|"&amp;G409)</f>
        <v/>
      </c>
      <c r="I409" s="23"/>
      <c r="J409" s="22"/>
      <c r="K409" s="22"/>
      <c r="L409" s="25" t="str">
        <f aca="false">IF(F409="","",IF(AND(H409&lt;&gt;"",COUNTIF(Pessoas!$E:$E,H409)&gt;0),"SIM",IF(COUNTIF(Pessoas!$C:$C,F409)&gt;0,"nome igual em Pessoas: confira o CPF","")))</f>
        <v/>
      </c>
      <c r="M409" s="24"/>
      <c r="N409" s="11"/>
    </row>
    <row r="410" customFormat="false" ht="15" hidden="false" customHeight="false" outlineLevel="0" collapsed="false">
      <c r="A410" s="24"/>
      <c r="B410" s="31" t="str">
        <f aca="false">IF(A410="","",IF(LEN(UPPER(SUBSTITUTE(SUBSTITUTE(SUBSTITUTE(SUBSTITUTE(TRIM(A410),".",""),"/",""),"-","")," ","")))&lt;14,RIGHT(REPT("0",14)&amp;UPPER(SUBSTITUTE(SUBSTITUTE(SUBSTITUTE(SUBSTITUTE(TRIM(A410),".",""),"/",""),"-","")," ","")),14),UPPER(SUBSTITUTE(SUBSTITUTE(SUBSTITUTE(SUBSTITUTE(TRIM(A410),".",""),"/",""),"-","")," ",""))))</f>
        <v/>
      </c>
      <c r="C410" s="25" t="str">
        <f aca="false">IF(B410="","",IFERROR(INDEX(Empresas!$C:$C,MATCH(B410,Empresas!$B:$B,0)),"cadastre o CNPJ em Empresas"))</f>
        <v/>
      </c>
      <c r="D410" s="23"/>
      <c r="E410" s="24"/>
      <c r="F410" s="31" t="str">
        <f aca="false">IF(D410="","",SUBSTITUTE(SUBSTITUTE(SUBSTITUTE(SUBSTITUTE(SUBSTITUTE(SUBSTITUTE(SUBSTITUTE(SUBSTITUTE(SUBSTITUTE(SUBSTITUTE(SUBSTITUTE(SUBSTITUTE(SUBSTITUTE(UPPER(TRIM(D410)),"Á","A"),"À","A"),"Â","A"),"Ã","A"),"É","E"),"Ê","E"),"Í","I"),"Ó","O"),"Ô","O"),"Õ","O"),"Ú","U"),"Ü","U"),"Ç","C"))</f>
        <v/>
      </c>
      <c r="G410" s="31" t="str">
        <f aca="false">IF(E410="","",IF(LEN(SUBSTITUTE(SUBSTITUTE(SUBSTITUTE(SUBSTITUTE(TRIM(E410),"*",""),".",""),"-","")," ",""))=11,MID(SUBSTITUTE(SUBSTITUTE(SUBSTITUTE(SUBSTITUTE(TRIM(E410),"*",""),".",""),"-","")," ",""),4,6),SUBSTITUTE(SUBSTITUTE(SUBSTITUTE(SUBSTITUTE(TRIM(E410),"*",""),".",""),"-","")," ","")))</f>
        <v/>
      </c>
      <c r="H410" s="31" t="str">
        <f aca="false">IF(OR(F410="",G410=""),"",F410&amp;"|"&amp;G410)</f>
        <v/>
      </c>
      <c r="I410" s="23"/>
      <c r="J410" s="22"/>
      <c r="K410" s="22"/>
      <c r="L410" s="25" t="str">
        <f aca="false">IF(F410="","",IF(AND(H410&lt;&gt;"",COUNTIF(Pessoas!$E:$E,H410)&gt;0),"SIM",IF(COUNTIF(Pessoas!$C:$C,F410)&gt;0,"nome igual em Pessoas: confira o CPF","")))</f>
        <v/>
      </c>
      <c r="M410" s="24"/>
      <c r="N410" s="11"/>
    </row>
    <row r="411" customFormat="false" ht="15" hidden="false" customHeight="false" outlineLevel="0" collapsed="false">
      <c r="A411" s="24"/>
      <c r="B411" s="31" t="str">
        <f aca="false">IF(A411="","",IF(LEN(UPPER(SUBSTITUTE(SUBSTITUTE(SUBSTITUTE(SUBSTITUTE(TRIM(A411),".",""),"/",""),"-","")," ","")))&lt;14,RIGHT(REPT("0",14)&amp;UPPER(SUBSTITUTE(SUBSTITUTE(SUBSTITUTE(SUBSTITUTE(TRIM(A411),".",""),"/",""),"-","")," ","")),14),UPPER(SUBSTITUTE(SUBSTITUTE(SUBSTITUTE(SUBSTITUTE(TRIM(A411),".",""),"/",""),"-","")," ",""))))</f>
        <v/>
      </c>
      <c r="C411" s="25" t="str">
        <f aca="false">IF(B411="","",IFERROR(INDEX(Empresas!$C:$C,MATCH(B411,Empresas!$B:$B,0)),"cadastre o CNPJ em Empresas"))</f>
        <v/>
      </c>
      <c r="D411" s="23"/>
      <c r="E411" s="24"/>
      <c r="F411" s="31" t="str">
        <f aca="false">IF(D411="","",SUBSTITUTE(SUBSTITUTE(SUBSTITUTE(SUBSTITUTE(SUBSTITUTE(SUBSTITUTE(SUBSTITUTE(SUBSTITUTE(SUBSTITUTE(SUBSTITUTE(SUBSTITUTE(SUBSTITUTE(SUBSTITUTE(UPPER(TRIM(D411)),"Á","A"),"À","A"),"Â","A"),"Ã","A"),"É","E"),"Ê","E"),"Í","I"),"Ó","O"),"Ô","O"),"Õ","O"),"Ú","U"),"Ü","U"),"Ç","C"))</f>
        <v/>
      </c>
      <c r="G411" s="31" t="str">
        <f aca="false">IF(E411="","",IF(LEN(SUBSTITUTE(SUBSTITUTE(SUBSTITUTE(SUBSTITUTE(TRIM(E411),"*",""),".",""),"-","")," ",""))=11,MID(SUBSTITUTE(SUBSTITUTE(SUBSTITUTE(SUBSTITUTE(TRIM(E411),"*",""),".",""),"-","")," ",""),4,6),SUBSTITUTE(SUBSTITUTE(SUBSTITUTE(SUBSTITUTE(TRIM(E411),"*",""),".",""),"-","")," ","")))</f>
        <v/>
      </c>
      <c r="H411" s="31" t="str">
        <f aca="false">IF(OR(F411="",G411=""),"",F411&amp;"|"&amp;G411)</f>
        <v/>
      </c>
      <c r="I411" s="23"/>
      <c r="J411" s="22"/>
      <c r="K411" s="22"/>
      <c r="L411" s="25" t="str">
        <f aca="false">IF(F411="","",IF(AND(H411&lt;&gt;"",COUNTIF(Pessoas!$E:$E,H411)&gt;0),"SIM",IF(COUNTIF(Pessoas!$C:$C,F411)&gt;0,"nome igual em Pessoas: confira o CPF","")))</f>
        <v/>
      </c>
      <c r="M411" s="24"/>
      <c r="N411" s="11"/>
    </row>
    <row r="412" customFormat="false" ht="15" hidden="false" customHeight="false" outlineLevel="0" collapsed="false">
      <c r="A412" s="24"/>
      <c r="B412" s="31" t="str">
        <f aca="false">IF(A412="","",IF(LEN(UPPER(SUBSTITUTE(SUBSTITUTE(SUBSTITUTE(SUBSTITUTE(TRIM(A412),".",""),"/",""),"-","")," ","")))&lt;14,RIGHT(REPT("0",14)&amp;UPPER(SUBSTITUTE(SUBSTITUTE(SUBSTITUTE(SUBSTITUTE(TRIM(A412),".",""),"/",""),"-","")," ","")),14),UPPER(SUBSTITUTE(SUBSTITUTE(SUBSTITUTE(SUBSTITUTE(TRIM(A412),".",""),"/",""),"-","")," ",""))))</f>
        <v/>
      </c>
      <c r="C412" s="25" t="str">
        <f aca="false">IF(B412="","",IFERROR(INDEX(Empresas!$C:$C,MATCH(B412,Empresas!$B:$B,0)),"cadastre o CNPJ em Empresas"))</f>
        <v/>
      </c>
      <c r="D412" s="23"/>
      <c r="E412" s="24"/>
      <c r="F412" s="31" t="str">
        <f aca="false">IF(D412="","",SUBSTITUTE(SUBSTITUTE(SUBSTITUTE(SUBSTITUTE(SUBSTITUTE(SUBSTITUTE(SUBSTITUTE(SUBSTITUTE(SUBSTITUTE(SUBSTITUTE(SUBSTITUTE(SUBSTITUTE(SUBSTITUTE(UPPER(TRIM(D412)),"Á","A"),"À","A"),"Â","A"),"Ã","A"),"É","E"),"Ê","E"),"Í","I"),"Ó","O"),"Ô","O"),"Õ","O"),"Ú","U"),"Ü","U"),"Ç","C"))</f>
        <v/>
      </c>
      <c r="G412" s="31" t="str">
        <f aca="false">IF(E412="","",IF(LEN(SUBSTITUTE(SUBSTITUTE(SUBSTITUTE(SUBSTITUTE(TRIM(E412),"*",""),".",""),"-","")," ",""))=11,MID(SUBSTITUTE(SUBSTITUTE(SUBSTITUTE(SUBSTITUTE(TRIM(E412),"*",""),".",""),"-","")," ",""),4,6),SUBSTITUTE(SUBSTITUTE(SUBSTITUTE(SUBSTITUTE(TRIM(E412),"*",""),".",""),"-","")," ","")))</f>
        <v/>
      </c>
      <c r="H412" s="31" t="str">
        <f aca="false">IF(OR(F412="",G412=""),"",F412&amp;"|"&amp;G412)</f>
        <v/>
      </c>
      <c r="I412" s="23"/>
      <c r="J412" s="22"/>
      <c r="K412" s="22"/>
      <c r="L412" s="25" t="str">
        <f aca="false">IF(F412="","",IF(AND(H412&lt;&gt;"",COUNTIF(Pessoas!$E:$E,H412)&gt;0),"SIM",IF(COUNTIF(Pessoas!$C:$C,F412)&gt;0,"nome igual em Pessoas: confira o CPF","")))</f>
        <v/>
      </c>
      <c r="M412" s="24"/>
      <c r="N412" s="11"/>
    </row>
    <row r="413" customFormat="false" ht="15" hidden="false" customHeight="false" outlineLevel="0" collapsed="false">
      <c r="A413" s="24"/>
      <c r="B413" s="31" t="str">
        <f aca="false">IF(A413="","",IF(LEN(UPPER(SUBSTITUTE(SUBSTITUTE(SUBSTITUTE(SUBSTITUTE(TRIM(A413),".",""),"/",""),"-","")," ","")))&lt;14,RIGHT(REPT("0",14)&amp;UPPER(SUBSTITUTE(SUBSTITUTE(SUBSTITUTE(SUBSTITUTE(TRIM(A413),".",""),"/",""),"-","")," ","")),14),UPPER(SUBSTITUTE(SUBSTITUTE(SUBSTITUTE(SUBSTITUTE(TRIM(A413),".",""),"/",""),"-","")," ",""))))</f>
        <v/>
      </c>
      <c r="C413" s="25" t="str">
        <f aca="false">IF(B413="","",IFERROR(INDEX(Empresas!$C:$C,MATCH(B413,Empresas!$B:$B,0)),"cadastre o CNPJ em Empresas"))</f>
        <v/>
      </c>
      <c r="D413" s="23"/>
      <c r="E413" s="24"/>
      <c r="F413" s="31" t="str">
        <f aca="false">IF(D413="","",SUBSTITUTE(SUBSTITUTE(SUBSTITUTE(SUBSTITUTE(SUBSTITUTE(SUBSTITUTE(SUBSTITUTE(SUBSTITUTE(SUBSTITUTE(SUBSTITUTE(SUBSTITUTE(SUBSTITUTE(SUBSTITUTE(UPPER(TRIM(D413)),"Á","A"),"À","A"),"Â","A"),"Ã","A"),"É","E"),"Ê","E"),"Í","I"),"Ó","O"),"Ô","O"),"Õ","O"),"Ú","U"),"Ü","U"),"Ç","C"))</f>
        <v/>
      </c>
      <c r="G413" s="31" t="str">
        <f aca="false">IF(E413="","",IF(LEN(SUBSTITUTE(SUBSTITUTE(SUBSTITUTE(SUBSTITUTE(TRIM(E413),"*",""),".",""),"-","")," ",""))=11,MID(SUBSTITUTE(SUBSTITUTE(SUBSTITUTE(SUBSTITUTE(TRIM(E413),"*",""),".",""),"-","")," ",""),4,6),SUBSTITUTE(SUBSTITUTE(SUBSTITUTE(SUBSTITUTE(TRIM(E413),"*",""),".",""),"-","")," ","")))</f>
        <v/>
      </c>
      <c r="H413" s="31" t="str">
        <f aca="false">IF(OR(F413="",G413=""),"",F413&amp;"|"&amp;G413)</f>
        <v/>
      </c>
      <c r="I413" s="23"/>
      <c r="J413" s="22"/>
      <c r="K413" s="22"/>
      <c r="L413" s="25" t="str">
        <f aca="false">IF(F413="","",IF(AND(H413&lt;&gt;"",COUNTIF(Pessoas!$E:$E,H413)&gt;0),"SIM",IF(COUNTIF(Pessoas!$C:$C,F413)&gt;0,"nome igual em Pessoas: confira o CPF","")))</f>
        <v/>
      </c>
      <c r="M413" s="24"/>
      <c r="N413" s="11"/>
    </row>
    <row r="414" customFormat="false" ht="15" hidden="false" customHeight="false" outlineLevel="0" collapsed="false">
      <c r="A414" s="24"/>
      <c r="B414" s="31" t="str">
        <f aca="false">IF(A414="","",IF(LEN(UPPER(SUBSTITUTE(SUBSTITUTE(SUBSTITUTE(SUBSTITUTE(TRIM(A414),".",""),"/",""),"-","")," ","")))&lt;14,RIGHT(REPT("0",14)&amp;UPPER(SUBSTITUTE(SUBSTITUTE(SUBSTITUTE(SUBSTITUTE(TRIM(A414),".",""),"/",""),"-","")," ","")),14),UPPER(SUBSTITUTE(SUBSTITUTE(SUBSTITUTE(SUBSTITUTE(TRIM(A414),".",""),"/",""),"-","")," ",""))))</f>
        <v/>
      </c>
      <c r="C414" s="25" t="str">
        <f aca="false">IF(B414="","",IFERROR(INDEX(Empresas!$C:$C,MATCH(B414,Empresas!$B:$B,0)),"cadastre o CNPJ em Empresas"))</f>
        <v/>
      </c>
      <c r="D414" s="23"/>
      <c r="E414" s="24"/>
      <c r="F414" s="31" t="str">
        <f aca="false">IF(D414="","",SUBSTITUTE(SUBSTITUTE(SUBSTITUTE(SUBSTITUTE(SUBSTITUTE(SUBSTITUTE(SUBSTITUTE(SUBSTITUTE(SUBSTITUTE(SUBSTITUTE(SUBSTITUTE(SUBSTITUTE(SUBSTITUTE(UPPER(TRIM(D414)),"Á","A"),"À","A"),"Â","A"),"Ã","A"),"É","E"),"Ê","E"),"Í","I"),"Ó","O"),"Ô","O"),"Õ","O"),"Ú","U"),"Ü","U"),"Ç","C"))</f>
        <v/>
      </c>
      <c r="G414" s="31" t="str">
        <f aca="false">IF(E414="","",IF(LEN(SUBSTITUTE(SUBSTITUTE(SUBSTITUTE(SUBSTITUTE(TRIM(E414),"*",""),".",""),"-","")," ",""))=11,MID(SUBSTITUTE(SUBSTITUTE(SUBSTITUTE(SUBSTITUTE(TRIM(E414),"*",""),".",""),"-","")," ",""),4,6),SUBSTITUTE(SUBSTITUTE(SUBSTITUTE(SUBSTITUTE(TRIM(E414),"*",""),".",""),"-","")," ","")))</f>
        <v/>
      </c>
      <c r="H414" s="31" t="str">
        <f aca="false">IF(OR(F414="",G414=""),"",F414&amp;"|"&amp;G414)</f>
        <v/>
      </c>
      <c r="I414" s="23"/>
      <c r="J414" s="22"/>
      <c r="K414" s="22"/>
      <c r="L414" s="25" t="str">
        <f aca="false">IF(F414="","",IF(AND(H414&lt;&gt;"",COUNTIF(Pessoas!$E:$E,H414)&gt;0),"SIM",IF(COUNTIF(Pessoas!$C:$C,F414)&gt;0,"nome igual em Pessoas: confira o CPF","")))</f>
        <v/>
      </c>
      <c r="M414" s="24"/>
      <c r="N414" s="11"/>
    </row>
    <row r="415" customFormat="false" ht="15" hidden="false" customHeight="false" outlineLevel="0" collapsed="false">
      <c r="A415" s="24"/>
      <c r="B415" s="31" t="str">
        <f aca="false">IF(A415="","",IF(LEN(UPPER(SUBSTITUTE(SUBSTITUTE(SUBSTITUTE(SUBSTITUTE(TRIM(A415),".",""),"/",""),"-","")," ","")))&lt;14,RIGHT(REPT("0",14)&amp;UPPER(SUBSTITUTE(SUBSTITUTE(SUBSTITUTE(SUBSTITUTE(TRIM(A415),".",""),"/",""),"-","")," ","")),14),UPPER(SUBSTITUTE(SUBSTITUTE(SUBSTITUTE(SUBSTITUTE(TRIM(A415),".",""),"/",""),"-","")," ",""))))</f>
        <v/>
      </c>
      <c r="C415" s="25" t="str">
        <f aca="false">IF(B415="","",IFERROR(INDEX(Empresas!$C:$C,MATCH(B415,Empresas!$B:$B,0)),"cadastre o CNPJ em Empresas"))</f>
        <v/>
      </c>
      <c r="D415" s="23"/>
      <c r="E415" s="24"/>
      <c r="F415" s="31" t="str">
        <f aca="false">IF(D415="","",SUBSTITUTE(SUBSTITUTE(SUBSTITUTE(SUBSTITUTE(SUBSTITUTE(SUBSTITUTE(SUBSTITUTE(SUBSTITUTE(SUBSTITUTE(SUBSTITUTE(SUBSTITUTE(SUBSTITUTE(SUBSTITUTE(UPPER(TRIM(D415)),"Á","A"),"À","A"),"Â","A"),"Ã","A"),"É","E"),"Ê","E"),"Í","I"),"Ó","O"),"Ô","O"),"Õ","O"),"Ú","U"),"Ü","U"),"Ç","C"))</f>
        <v/>
      </c>
      <c r="G415" s="31" t="str">
        <f aca="false">IF(E415="","",IF(LEN(SUBSTITUTE(SUBSTITUTE(SUBSTITUTE(SUBSTITUTE(TRIM(E415),"*",""),".",""),"-","")," ",""))=11,MID(SUBSTITUTE(SUBSTITUTE(SUBSTITUTE(SUBSTITUTE(TRIM(E415),"*",""),".",""),"-","")," ",""),4,6),SUBSTITUTE(SUBSTITUTE(SUBSTITUTE(SUBSTITUTE(TRIM(E415),"*",""),".",""),"-","")," ","")))</f>
        <v/>
      </c>
      <c r="H415" s="31" t="str">
        <f aca="false">IF(OR(F415="",G415=""),"",F415&amp;"|"&amp;G415)</f>
        <v/>
      </c>
      <c r="I415" s="23"/>
      <c r="J415" s="22"/>
      <c r="K415" s="22"/>
      <c r="L415" s="25" t="str">
        <f aca="false">IF(F415="","",IF(AND(H415&lt;&gt;"",COUNTIF(Pessoas!$E:$E,H415)&gt;0),"SIM",IF(COUNTIF(Pessoas!$C:$C,F415)&gt;0,"nome igual em Pessoas: confira o CPF","")))</f>
        <v/>
      </c>
      <c r="M415" s="24"/>
      <c r="N415" s="11"/>
    </row>
    <row r="416" customFormat="false" ht="15" hidden="false" customHeight="false" outlineLevel="0" collapsed="false">
      <c r="A416" s="24"/>
      <c r="B416" s="31" t="str">
        <f aca="false">IF(A416="","",IF(LEN(UPPER(SUBSTITUTE(SUBSTITUTE(SUBSTITUTE(SUBSTITUTE(TRIM(A416),".",""),"/",""),"-","")," ","")))&lt;14,RIGHT(REPT("0",14)&amp;UPPER(SUBSTITUTE(SUBSTITUTE(SUBSTITUTE(SUBSTITUTE(TRIM(A416),".",""),"/",""),"-","")," ","")),14),UPPER(SUBSTITUTE(SUBSTITUTE(SUBSTITUTE(SUBSTITUTE(TRIM(A416),".",""),"/",""),"-","")," ",""))))</f>
        <v/>
      </c>
      <c r="C416" s="25" t="str">
        <f aca="false">IF(B416="","",IFERROR(INDEX(Empresas!$C:$C,MATCH(B416,Empresas!$B:$B,0)),"cadastre o CNPJ em Empresas"))</f>
        <v/>
      </c>
      <c r="D416" s="23"/>
      <c r="E416" s="24"/>
      <c r="F416" s="31" t="str">
        <f aca="false">IF(D416="","",SUBSTITUTE(SUBSTITUTE(SUBSTITUTE(SUBSTITUTE(SUBSTITUTE(SUBSTITUTE(SUBSTITUTE(SUBSTITUTE(SUBSTITUTE(SUBSTITUTE(SUBSTITUTE(SUBSTITUTE(SUBSTITUTE(UPPER(TRIM(D416)),"Á","A"),"À","A"),"Â","A"),"Ã","A"),"É","E"),"Ê","E"),"Í","I"),"Ó","O"),"Ô","O"),"Õ","O"),"Ú","U"),"Ü","U"),"Ç","C"))</f>
        <v/>
      </c>
      <c r="G416" s="31" t="str">
        <f aca="false">IF(E416="","",IF(LEN(SUBSTITUTE(SUBSTITUTE(SUBSTITUTE(SUBSTITUTE(TRIM(E416),"*",""),".",""),"-","")," ",""))=11,MID(SUBSTITUTE(SUBSTITUTE(SUBSTITUTE(SUBSTITUTE(TRIM(E416),"*",""),".",""),"-","")," ",""),4,6),SUBSTITUTE(SUBSTITUTE(SUBSTITUTE(SUBSTITUTE(TRIM(E416),"*",""),".",""),"-","")," ","")))</f>
        <v/>
      </c>
      <c r="H416" s="31" t="str">
        <f aca="false">IF(OR(F416="",G416=""),"",F416&amp;"|"&amp;G416)</f>
        <v/>
      </c>
      <c r="I416" s="23"/>
      <c r="J416" s="22"/>
      <c r="K416" s="22"/>
      <c r="L416" s="25" t="str">
        <f aca="false">IF(F416="","",IF(AND(H416&lt;&gt;"",COUNTIF(Pessoas!$E:$E,H416)&gt;0),"SIM",IF(COUNTIF(Pessoas!$C:$C,F416)&gt;0,"nome igual em Pessoas: confira o CPF","")))</f>
        <v/>
      </c>
      <c r="M416" s="24"/>
      <c r="N416" s="11"/>
    </row>
    <row r="417" customFormat="false" ht="15" hidden="false" customHeight="false" outlineLevel="0" collapsed="false">
      <c r="A417" s="24"/>
      <c r="B417" s="31" t="str">
        <f aca="false">IF(A417="","",IF(LEN(UPPER(SUBSTITUTE(SUBSTITUTE(SUBSTITUTE(SUBSTITUTE(TRIM(A417),".",""),"/",""),"-","")," ","")))&lt;14,RIGHT(REPT("0",14)&amp;UPPER(SUBSTITUTE(SUBSTITUTE(SUBSTITUTE(SUBSTITUTE(TRIM(A417),".",""),"/",""),"-","")," ","")),14),UPPER(SUBSTITUTE(SUBSTITUTE(SUBSTITUTE(SUBSTITUTE(TRIM(A417),".",""),"/",""),"-","")," ",""))))</f>
        <v/>
      </c>
      <c r="C417" s="25" t="str">
        <f aca="false">IF(B417="","",IFERROR(INDEX(Empresas!$C:$C,MATCH(B417,Empresas!$B:$B,0)),"cadastre o CNPJ em Empresas"))</f>
        <v/>
      </c>
      <c r="D417" s="23"/>
      <c r="E417" s="24"/>
      <c r="F417" s="31" t="str">
        <f aca="false">IF(D417="","",SUBSTITUTE(SUBSTITUTE(SUBSTITUTE(SUBSTITUTE(SUBSTITUTE(SUBSTITUTE(SUBSTITUTE(SUBSTITUTE(SUBSTITUTE(SUBSTITUTE(SUBSTITUTE(SUBSTITUTE(SUBSTITUTE(UPPER(TRIM(D417)),"Á","A"),"À","A"),"Â","A"),"Ã","A"),"É","E"),"Ê","E"),"Í","I"),"Ó","O"),"Ô","O"),"Õ","O"),"Ú","U"),"Ü","U"),"Ç","C"))</f>
        <v/>
      </c>
      <c r="G417" s="31" t="str">
        <f aca="false">IF(E417="","",IF(LEN(SUBSTITUTE(SUBSTITUTE(SUBSTITUTE(SUBSTITUTE(TRIM(E417),"*",""),".",""),"-","")," ",""))=11,MID(SUBSTITUTE(SUBSTITUTE(SUBSTITUTE(SUBSTITUTE(TRIM(E417),"*",""),".",""),"-","")," ",""),4,6),SUBSTITUTE(SUBSTITUTE(SUBSTITUTE(SUBSTITUTE(TRIM(E417),"*",""),".",""),"-","")," ","")))</f>
        <v/>
      </c>
      <c r="H417" s="31" t="str">
        <f aca="false">IF(OR(F417="",G417=""),"",F417&amp;"|"&amp;G417)</f>
        <v/>
      </c>
      <c r="I417" s="23"/>
      <c r="J417" s="22"/>
      <c r="K417" s="22"/>
      <c r="L417" s="25" t="str">
        <f aca="false">IF(F417="","",IF(AND(H417&lt;&gt;"",COUNTIF(Pessoas!$E:$E,H417)&gt;0),"SIM",IF(COUNTIF(Pessoas!$C:$C,F417)&gt;0,"nome igual em Pessoas: confira o CPF","")))</f>
        <v/>
      </c>
      <c r="M417" s="24"/>
      <c r="N417" s="11"/>
    </row>
    <row r="418" customFormat="false" ht="15" hidden="false" customHeight="false" outlineLevel="0" collapsed="false">
      <c r="A418" s="24"/>
      <c r="B418" s="31" t="str">
        <f aca="false">IF(A418="","",IF(LEN(UPPER(SUBSTITUTE(SUBSTITUTE(SUBSTITUTE(SUBSTITUTE(TRIM(A418),".",""),"/",""),"-","")," ","")))&lt;14,RIGHT(REPT("0",14)&amp;UPPER(SUBSTITUTE(SUBSTITUTE(SUBSTITUTE(SUBSTITUTE(TRIM(A418),".",""),"/",""),"-","")," ","")),14),UPPER(SUBSTITUTE(SUBSTITUTE(SUBSTITUTE(SUBSTITUTE(TRIM(A418),".",""),"/",""),"-","")," ",""))))</f>
        <v/>
      </c>
      <c r="C418" s="25" t="str">
        <f aca="false">IF(B418="","",IFERROR(INDEX(Empresas!$C:$C,MATCH(B418,Empresas!$B:$B,0)),"cadastre o CNPJ em Empresas"))</f>
        <v/>
      </c>
      <c r="D418" s="23"/>
      <c r="E418" s="24"/>
      <c r="F418" s="31" t="str">
        <f aca="false">IF(D418="","",SUBSTITUTE(SUBSTITUTE(SUBSTITUTE(SUBSTITUTE(SUBSTITUTE(SUBSTITUTE(SUBSTITUTE(SUBSTITUTE(SUBSTITUTE(SUBSTITUTE(SUBSTITUTE(SUBSTITUTE(SUBSTITUTE(UPPER(TRIM(D418)),"Á","A"),"À","A"),"Â","A"),"Ã","A"),"É","E"),"Ê","E"),"Í","I"),"Ó","O"),"Ô","O"),"Õ","O"),"Ú","U"),"Ü","U"),"Ç","C"))</f>
        <v/>
      </c>
      <c r="G418" s="31" t="str">
        <f aca="false">IF(E418="","",IF(LEN(SUBSTITUTE(SUBSTITUTE(SUBSTITUTE(SUBSTITUTE(TRIM(E418),"*",""),".",""),"-","")," ",""))=11,MID(SUBSTITUTE(SUBSTITUTE(SUBSTITUTE(SUBSTITUTE(TRIM(E418),"*",""),".",""),"-","")," ",""),4,6),SUBSTITUTE(SUBSTITUTE(SUBSTITUTE(SUBSTITUTE(TRIM(E418),"*",""),".",""),"-","")," ","")))</f>
        <v/>
      </c>
      <c r="H418" s="31" t="str">
        <f aca="false">IF(OR(F418="",G418=""),"",F418&amp;"|"&amp;G418)</f>
        <v/>
      </c>
      <c r="I418" s="23"/>
      <c r="J418" s="22"/>
      <c r="K418" s="22"/>
      <c r="L418" s="25" t="str">
        <f aca="false">IF(F418="","",IF(AND(H418&lt;&gt;"",COUNTIF(Pessoas!$E:$E,H418)&gt;0),"SIM",IF(COUNTIF(Pessoas!$C:$C,F418)&gt;0,"nome igual em Pessoas: confira o CPF","")))</f>
        <v/>
      </c>
      <c r="M418" s="24"/>
      <c r="N418" s="11"/>
    </row>
    <row r="419" customFormat="false" ht="15" hidden="false" customHeight="false" outlineLevel="0" collapsed="false">
      <c r="A419" s="24"/>
      <c r="B419" s="31" t="str">
        <f aca="false">IF(A419="","",IF(LEN(UPPER(SUBSTITUTE(SUBSTITUTE(SUBSTITUTE(SUBSTITUTE(TRIM(A419),".",""),"/",""),"-","")," ","")))&lt;14,RIGHT(REPT("0",14)&amp;UPPER(SUBSTITUTE(SUBSTITUTE(SUBSTITUTE(SUBSTITUTE(TRIM(A419),".",""),"/",""),"-","")," ","")),14),UPPER(SUBSTITUTE(SUBSTITUTE(SUBSTITUTE(SUBSTITUTE(TRIM(A419),".",""),"/",""),"-","")," ",""))))</f>
        <v/>
      </c>
      <c r="C419" s="25" t="str">
        <f aca="false">IF(B419="","",IFERROR(INDEX(Empresas!$C:$C,MATCH(B419,Empresas!$B:$B,0)),"cadastre o CNPJ em Empresas"))</f>
        <v/>
      </c>
      <c r="D419" s="23"/>
      <c r="E419" s="24"/>
      <c r="F419" s="31" t="str">
        <f aca="false">IF(D419="","",SUBSTITUTE(SUBSTITUTE(SUBSTITUTE(SUBSTITUTE(SUBSTITUTE(SUBSTITUTE(SUBSTITUTE(SUBSTITUTE(SUBSTITUTE(SUBSTITUTE(SUBSTITUTE(SUBSTITUTE(SUBSTITUTE(UPPER(TRIM(D419)),"Á","A"),"À","A"),"Â","A"),"Ã","A"),"É","E"),"Ê","E"),"Í","I"),"Ó","O"),"Ô","O"),"Õ","O"),"Ú","U"),"Ü","U"),"Ç","C"))</f>
        <v/>
      </c>
      <c r="G419" s="31" t="str">
        <f aca="false">IF(E419="","",IF(LEN(SUBSTITUTE(SUBSTITUTE(SUBSTITUTE(SUBSTITUTE(TRIM(E419),"*",""),".",""),"-","")," ",""))=11,MID(SUBSTITUTE(SUBSTITUTE(SUBSTITUTE(SUBSTITUTE(TRIM(E419),"*",""),".",""),"-","")," ",""),4,6),SUBSTITUTE(SUBSTITUTE(SUBSTITUTE(SUBSTITUTE(TRIM(E419),"*",""),".",""),"-","")," ","")))</f>
        <v/>
      </c>
      <c r="H419" s="31" t="str">
        <f aca="false">IF(OR(F419="",G419=""),"",F419&amp;"|"&amp;G419)</f>
        <v/>
      </c>
      <c r="I419" s="23"/>
      <c r="J419" s="22"/>
      <c r="K419" s="22"/>
      <c r="L419" s="25" t="str">
        <f aca="false">IF(F419="","",IF(AND(H419&lt;&gt;"",COUNTIF(Pessoas!$E:$E,H419)&gt;0),"SIM",IF(COUNTIF(Pessoas!$C:$C,F419)&gt;0,"nome igual em Pessoas: confira o CPF","")))</f>
        <v/>
      </c>
      <c r="M419" s="24"/>
      <c r="N419" s="11"/>
    </row>
    <row r="420" customFormat="false" ht="15" hidden="false" customHeight="false" outlineLevel="0" collapsed="false">
      <c r="A420" s="24"/>
      <c r="B420" s="31" t="str">
        <f aca="false">IF(A420="","",IF(LEN(UPPER(SUBSTITUTE(SUBSTITUTE(SUBSTITUTE(SUBSTITUTE(TRIM(A420),".",""),"/",""),"-","")," ","")))&lt;14,RIGHT(REPT("0",14)&amp;UPPER(SUBSTITUTE(SUBSTITUTE(SUBSTITUTE(SUBSTITUTE(TRIM(A420),".",""),"/",""),"-","")," ","")),14),UPPER(SUBSTITUTE(SUBSTITUTE(SUBSTITUTE(SUBSTITUTE(TRIM(A420),".",""),"/",""),"-","")," ",""))))</f>
        <v/>
      </c>
      <c r="C420" s="25" t="str">
        <f aca="false">IF(B420="","",IFERROR(INDEX(Empresas!$C:$C,MATCH(B420,Empresas!$B:$B,0)),"cadastre o CNPJ em Empresas"))</f>
        <v/>
      </c>
      <c r="D420" s="23"/>
      <c r="E420" s="24"/>
      <c r="F420" s="31" t="str">
        <f aca="false">IF(D420="","",SUBSTITUTE(SUBSTITUTE(SUBSTITUTE(SUBSTITUTE(SUBSTITUTE(SUBSTITUTE(SUBSTITUTE(SUBSTITUTE(SUBSTITUTE(SUBSTITUTE(SUBSTITUTE(SUBSTITUTE(SUBSTITUTE(UPPER(TRIM(D420)),"Á","A"),"À","A"),"Â","A"),"Ã","A"),"É","E"),"Ê","E"),"Í","I"),"Ó","O"),"Ô","O"),"Õ","O"),"Ú","U"),"Ü","U"),"Ç","C"))</f>
        <v/>
      </c>
      <c r="G420" s="31" t="str">
        <f aca="false">IF(E420="","",IF(LEN(SUBSTITUTE(SUBSTITUTE(SUBSTITUTE(SUBSTITUTE(TRIM(E420),"*",""),".",""),"-","")," ",""))=11,MID(SUBSTITUTE(SUBSTITUTE(SUBSTITUTE(SUBSTITUTE(TRIM(E420),"*",""),".",""),"-","")," ",""),4,6),SUBSTITUTE(SUBSTITUTE(SUBSTITUTE(SUBSTITUTE(TRIM(E420),"*",""),".",""),"-","")," ","")))</f>
        <v/>
      </c>
      <c r="H420" s="31" t="str">
        <f aca="false">IF(OR(F420="",G420=""),"",F420&amp;"|"&amp;G420)</f>
        <v/>
      </c>
      <c r="I420" s="23"/>
      <c r="J420" s="22"/>
      <c r="K420" s="22"/>
      <c r="L420" s="25" t="str">
        <f aca="false">IF(F420="","",IF(AND(H420&lt;&gt;"",COUNTIF(Pessoas!$E:$E,H420)&gt;0),"SIM",IF(COUNTIF(Pessoas!$C:$C,F420)&gt;0,"nome igual em Pessoas: confira o CPF","")))</f>
        <v/>
      </c>
      <c r="M420" s="24"/>
      <c r="N420" s="11"/>
    </row>
    <row r="421" customFormat="false" ht="15" hidden="false" customHeight="false" outlineLevel="0" collapsed="false">
      <c r="A421" s="24"/>
      <c r="B421" s="31" t="str">
        <f aca="false">IF(A421="","",IF(LEN(UPPER(SUBSTITUTE(SUBSTITUTE(SUBSTITUTE(SUBSTITUTE(TRIM(A421),".",""),"/",""),"-","")," ","")))&lt;14,RIGHT(REPT("0",14)&amp;UPPER(SUBSTITUTE(SUBSTITUTE(SUBSTITUTE(SUBSTITUTE(TRIM(A421),".",""),"/",""),"-","")," ","")),14),UPPER(SUBSTITUTE(SUBSTITUTE(SUBSTITUTE(SUBSTITUTE(TRIM(A421),".",""),"/",""),"-","")," ",""))))</f>
        <v/>
      </c>
      <c r="C421" s="25" t="str">
        <f aca="false">IF(B421="","",IFERROR(INDEX(Empresas!$C:$C,MATCH(B421,Empresas!$B:$B,0)),"cadastre o CNPJ em Empresas"))</f>
        <v/>
      </c>
      <c r="D421" s="23"/>
      <c r="E421" s="24"/>
      <c r="F421" s="31" t="str">
        <f aca="false">IF(D421="","",SUBSTITUTE(SUBSTITUTE(SUBSTITUTE(SUBSTITUTE(SUBSTITUTE(SUBSTITUTE(SUBSTITUTE(SUBSTITUTE(SUBSTITUTE(SUBSTITUTE(SUBSTITUTE(SUBSTITUTE(SUBSTITUTE(UPPER(TRIM(D421)),"Á","A"),"À","A"),"Â","A"),"Ã","A"),"É","E"),"Ê","E"),"Í","I"),"Ó","O"),"Ô","O"),"Õ","O"),"Ú","U"),"Ü","U"),"Ç","C"))</f>
        <v/>
      </c>
      <c r="G421" s="31" t="str">
        <f aca="false">IF(E421="","",IF(LEN(SUBSTITUTE(SUBSTITUTE(SUBSTITUTE(SUBSTITUTE(TRIM(E421),"*",""),".",""),"-","")," ",""))=11,MID(SUBSTITUTE(SUBSTITUTE(SUBSTITUTE(SUBSTITUTE(TRIM(E421),"*",""),".",""),"-","")," ",""),4,6),SUBSTITUTE(SUBSTITUTE(SUBSTITUTE(SUBSTITUTE(TRIM(E421),"*",""),".",""),"-","")," ","")))</f>
        <v/>
      </c>
      <c r="H421" s="31" t="str">
        <f aca="false">IF(OR(F421="",G421=""),"",F421&amp;"|"&amp;G421)</f>
        <v/>
      </c>
      <c r="I421" s="23"/>
      <c r="J421" s="22"/>
      <c r="K421" s="22"/>
      <c r="L421" s="25" t="str">
        <f aca="false">IF(F421="","",IF(AND(H421&lt;&gt;"",COUNTIF(Pessoas!$E:$E,H421)&gt;0),"SIM",IF(COUNTIF(Pessoas!$C:$C,F421)&gt;0,"nome igual em Pessoas: confira o CPF","")))</f>
        <v/>
      </c>
      <c r="M421" s="24"/>
      <c r="N421" s="11"/>
    </row>
    <row r="422" customFormat="false" ht="15" hidden="false" customHeight="false" outlineLevel="0" collapsed="false">
      <c r="A422" s="24"/>
      <c r="B422" s="31" t="str">
        <f aca="false">IF(A422="","",IF(LEN(UPPER(SUBSTITUTE(SUBSTITUTE(SUBSTITUTE(SUBSTITUTE(TRIM(A422),".",""),"/",""),"-","")," ","")))&lt;14,RIGHT(REPT("0",14)&amp;UPPER(SUBSTITUTE(SUBSTITUTE(SUBSTITUTE(SUBSTITUTE(TRIM(A422),".",""),"/",""),"-","")," ","")),14),UPPER(SUBSTITUTE(SUBSTITUTE(SUBSTITUTE(SUBSTITUTE(TRIM(A422),".",""),"/",""),"-","")," ",""))))</f>
        <v/>
      </c>
      <c r="C422" s="25" t="str">
        <f aca="false">IF(B422="","",IFERROR(INDEX(Empresas!$C:$C,MATCH(B422,Empresas!$B:$B,0)),"cadastre o CNPJ em Empresas"))</f>
        <v/>
      </c>
      <c r="D422" s="23"/>
      <c r="E422" s="24"/>
      <c r="F422" s="31" t="str">
        <f aca="false">IF(D422="","",SUBSTITUTE(SUBSTITUTE(SUBSTITUTE(SUBSTITUTE(SUBSTITUTE(SUBSTITUTE(SUBSTITUTE(SUBSTITUTE(SUBSTITUTE(SUBSTITUTE(SUBSTITUTE(SUBSTITUTE(SUBSTITUTE(UPPER(TRIM(D422)),"Á","A"),"À","A"),"Â","A"),"Ã","A"),"É","E"),"Ê","E"),"Í","I"),"Ó","O"),"Ô","O"),"Õ","O"),"Ú","U"),"Ü","U"),"Ç","C"))</f>
        <v/>
      </c>
      <c r="G422" s="31" t="str">
        <f aca="false">IF(E422="","",IF(LEN(SUBSTITUTE(SUBSTITUTE(SUBSTITUTE(SUBSTITUTE(TRIM(E422),"*",""),".",""),"-","")," ",""))=11,MID(SUBSTITUTE(SUBSTITUTE(SUBSTITUTE(SUBSTITUTE(TRIM(E422),"*",""),".",""),"-","")," ",""),4,6),SUBSTITUTE(SUBSTITUTE(SUBSTITUTE(SUBSTITUTE(TRIM(E422),"*",""),".",""),"-","")," ","")))</f>
        <v/>
      </c>
      <c r="H422" s="31" t="str">
        <f aca="false">IF(OR(F422="",G422=""),"",F422&amp;"|"&amp;G422)</f>
        <v/>
      </c>
      <c r="I422" s="23"/>
      <c r="J422" s="22"/>
      <c r="K422" s="22"/>
      <c r="L422" s="25" t="str">
        <f aca="false">IF(F422="","",IF(AND(H422&lt;&gt;"",COUNTIF(Pessoas!$E:$E,H422)&gt;0),"SIM",IF(COUNTIF(Pessoas!$C:$C,F422)&gt;0,"nome igual em Pessoas: confira o CPF","")))</f>
        <v/>
      </c>
      <c r="M422" s="24"/>
      <c r="N422" s="11"/>
    </row>
    <row r="423" customFormat="false" ht="15" hidden="false" customHeight="false" outlineLevel="0" collapsed="false">
      <c r="A423" s="24"/>
      <c r="B423" s="31" t="str">
        <f aca="false">IF(A423="","",IF(LEN(UPPER(SUBSTITUTE(SUBSTITUTE(SUBSTITUTE(SUBSTITUTE(TRIM(A423),".",""),"/",""),"-","")," ","")))&lt;14,RIGHT(REPT("0",14)&amp;UPPER(SUBSTITUTE(SUBSTITUTE(SUBSTITUTE(SUBSTITUTE(TRIM(A423),".",""),"/",""),"-","")," ","")),14),UPPER(SUBSTITUTE(SUBSTITUTE(SUBSTITUTE(SUBSTITUTE(TRIM(A423),".",""),"/",""),"-","")," ",""))))</f>
        <v/>
      </c>
      <c r="C423" s="25" t="str">
        <f aca="false">IF(B423="","",IFERROR(INDEX(Empresas!$C:$C,MATCH(B423,Empresas!$B:$B,0)),"cadastre o CNPJ em Empresas"))</f>
        <v/>
      </c>
      <c r="D423" s="23"/>
      <c r="E423" s="24"/>
      <c r="F423" s="31" t="str">
        <f aca="false">IF(D423="","",SUBSTITUTE(SUBSTITUTE(SUBSTITUTE(SUBSTITUTE(SUBSTITUTE(SUBSTITUTE(SUBSTITUTE(SUBSTITUTE(SUBSTITUTE(SUBSTITUTE(SUBSTITUTE(SUBSTITUTE(SUBSTITUTE(UPPER(TRIM(D423)),"Á","A"),"À","A"),"Â","A"),"Ã","A"),"É","E"),"Ê","E"),"Í","I"),"Ó","O"),"Ô","O"),"Õ","O"),"Ú","U"),"Ü","U"),"Ç","C"))</f>
        <v/>
      </c>
      <c r="G423" s="31" t="str">
        <f aca="false">IF(E423="","",IF(LEN(SUBSTITUTE(SUBSTITUTE(SUBSTITUTE(SUBSTITUTE(TRIM(E423),"*",""),".",""),"-","")," ",""))=11,MID(SUBSTITUTE(SUBSTITUTE(SUBSTITUTE(SUBSTITUTE(TRIM(E423),"*",""),".",""),"-","")," ",""),4,6),SUBSTITUTE(SUBSTITUTE(SUBSTITUTE(SUBSTITUTE(TRIM(E423),"*",""),".",""),"-","")," ","")))</f>
        <v/>
      </c>
      <c r="H423" s="31" t="str">
        <f aca="false">IF(OR(F423="",G423=""),"",F423&amp;"|"&amp;G423)</f>
        <v/>
      </c>
      <c r="I423" s="23"/>
      <c r="J423" s="22"/>
      <c r="K423" s="22"/>
      <c r="L423" s="25" t="str">
        <f aca="false">IF(F423="","",IF(AND(H423&lt;&gt;"",COUNTIF(Pessoas!$E:$E,H423)&gt;0),"SIM",IF(COUNTIF(Pessoas!$C:$C,F423)&gt;0,"nome igual em Pessoas: confira o CPF","")))</f>
        <v/>
      </c>
      <c r="M423" s="24"/>
      <c r="N423" s="11"/>
    </row>
    <row r="424" customFormat="false" ht="15" hidden="false" customHeight="false" outlineLevel="0" collapsed="false">
      <c r="A424" s="24"/>
      <c r="B424" s="31" t="str">
        <f aca="false">IF(A424="","",IF(LEN(UPPER(SUBSTITUTE(SUBSTITUTE(SUBSTITUTE(SUBSTITUTE(TRIM(A424),".",""),"/",""),"-","")," ","")))&lt;14,RIGHT(REPT("0",14)&amp;UPPER(SUBSTITUTE(SUBSTITUTE(SUBSTITUTE(SUBSTITUTE(TRIM(A424),".",""),"/",""),"-","")," ","")),14),UPPER(SUBSTITUTE(SUBSTITUTE(SUBSTITUTE(SUBSTITUTE(TRIM(A424),".",""),"/",""),"-","")," ",""))))</f>
        <v/>
      </c>
      <c r="C424" s="25" t="str">
        <f aca="false">IF(B424="","",IFERROR(INDEX(Empresas!$C:$C,MATCH(B424,Empresas!$B:$B,0)),"cadastre o CNPJ em Empresas"))</f>
        <v/>
      </c>
      <c r="D424" s="23"/>
      <c r="E424" s="24"/>
      <c r="F424" s="31" t="str">
        <f aca="false">IF(D424="","",SUBSTITUTE(SUBSTITUTE(SUBSTITUTE(SUBSTITUTE(SUBSTITUTE(SUBSTITUTE(SUBSTITUTE(SUBSTITUTE(SUBSTITUTE(SUBSTITUTE(SUBSTITUTE(SUBSTITUTE(SUBSTITUTE(UPPER(TRIM(D424)),"Á","A"),"À","A"),"Â","A"),"Ã","A"),"É","E"),"Ê","E"),"Í","I"),"Ó","O"),"Ô","O"),"Õ","O"),"Ú","U"),"Ü","U"),"Ç","C"))</f>
        <v/>
      </c>
      <c r="G424" s="31" t="str">
        <f aca="false">IF(E424="","",IF(LEN(SUBSTITUTE(SUBSTITUTE(SUBSTITUTE(SUBSTITUTE(TRIM(E424),"*",""),".",""),"-","")," ",""))=11,MID(SUBSTITUTE(SUBSTITUTE(SUBSTITUTE(SUBSTITUTE(TRIM(E424),"*",""),".",""),"-","")," ",""),4,6),SUBSTITUTE(SUBSTITUTE(SUBSTITUTE(SUBSTITUTE(TRIM(E424),"*",""),".",""),"-","")," ","")))</f>
        <v/>
      </c>
      <c r="H424" s="31" t="str">
        <f aca="false">IF(OR(F424="",G424=""),"",F424&amp;"|"&amp;G424)</f>
        <v/>
      </c>
      <c r="I424" s="23"/>
      <c r="J424" s="22"/>
      <c r="K424" s="22"/>
      <c r="L424" s="25" t="str">
        <f aca="false">IF(F424="","",IF(AND(H424&lt;&gt;"",COUNTIF(Pessoas!$E:$E,H424)&gt;0),"SIM",IF(COUNTIF(Pessoas!$C:$C,F424)&gt;0,"nome igual em Pessoas: confira o CPF","")))</f>
        <v/>
      </c>
      <c r="M424" s="24"/>
      <c r="N424" s="11"/>
    </row>
    <row r="425" customFormat="false" ht="15" hidden="false" customHeight="false" outlineLevel="0" collapsed="false">
      <c r="A425" s="24"/>
      <c r="B425" s="31" t="str">
        <f aca="false">IF(A425="","",IF(LEN(UPPER(SUBSTITUTE(SUBSTITUTE(SUBSTITUTE(SUBSTITUTE(TRIM(A425),".",""),"/",""),"-","")," ","")))&lt;14,RIGHT(REPT("0",14)&amp;UPPER(SUBSTITUTE(SUBSTITUTE(SUBSTITUTE(SUBSTITUTE(TRIM(A425),".",""),"/",""),"-","")," ","")),14),UPPER(SUBSTITUTE(SUBSTITUTE(SUBSTITUTE(SUBSTITUTE(TRIM(A425),".",""),"/",""),"-","")," ",""))))</f>
        <v/>
      </c>
      <c r="C425" s="25" t="str">
        <f aca="false">IF(B425="","",IFERROR(INDEX(Empresas!$C:$C,MATCH(B425,Empresas!$B:$B,0)),"cadastre o CNPJ em Empresas"))</f>
        <v/>
      </c>
      <c r="D425" s="23"/>
      <c r="E425" s="24"/>
      <c r="F425" s="31" t="str">
        <f aca="false">IF(D425="","",SUBSTITUTE(SUBSTITUTE(SUBSTITUTE(SUBSTITUTE(SUBSTITUTE(SUBSTITUTE(SUBSTITUTE(SUBSTITUTE(SUBSTITUTE(SUBSTITUTE(SUBSTITUTE(SUBSTITUTE(SUBSTITUTE(UPPER(TRIM(D425)),"Á","A"),"À","A"),"Â","A"),"Ã","A"),"É","E"),"Ê","E"),"Í","I"),"Ó","O"),"Ô","O"),"Õ","O"),"Ú","U"),"Ü","U"),"Ç","C"))</f>
        <v/>
      </c>
      <c r="G425" s="31" t="str">
        <f aca="false">IF(E425="","",IF(LEN(SUBSTITUTE(SUBSTITUTE(SUBSTITUTE(SUBSTITUTE(TRIM(E425),"*",""),".",""),"-","")," ",""))=11,MID(SUBSTITUTE(SUBSTITUTE(SUBSTITUTE(SUBSTITUTE(TRIM(E425),"*",""),".",""),"-","")," ",""),4,6),SUBSTITUTE(SUBSTITUTE(SUBSTITUTE(SUBSTITUTE(TRIM(E425),"*",""),".",""),"-","")," ","")))</f>
        <v/>
      </c>
      <c r="H425" s="31" t="str">
        <f aca="false">IF(OR(F425="",G425=""),"",F425&amp;"|"&amp;G425)</f>
        <v/>
      </c>
      <c r="I425" s="23"/>
      <c r="J425" s="22"/>
      <c r="K425" s="22"/>
      <c r="L425" s="25" t="str">
        <f aca="false">IF(F425="","",IF(AND(H425&lt;&gt;"",COUNTIF(Pessoas!$E:$E,H425)&gt;0),"SIM",IF(COUNTIF(Pessoas!$C:$C,F425)&gt;0,"nome igual em Pessoas: confira o CPF","")))</f>
        <v/>
      </c>
      <c r="M425" s="24"/>
      <c r="N425" s="11"/>
    </row>
    <row r="426" customFormat="false" ht="15" hidden="false" customHeight="false" outlineLevel="0" collapsed="false">
      <c r="A426" s="24"/>
      <c r="B426" s="31" t="str">
        <f aca="false">IF(A426="","",IF(LEN(UPPER(SUBSTITUTE(SUBSTITUTE(SUBSTITUTE(SUBSTITUTE(TRIM(A426),".",""),"/",""),"-","")," ","")))&lt;14,RIGHT(REPT("0",14)&amp;UPPER(SUBSTITUTE(SUBSTITUTE(SUBSTITUTE(SUBSTITUTE(TRIM(A426),".",""),"/",""),"-","")," ","")),14),UPPER(SUBSTITUTE(SUBSTITUTE(SUBSTITUTE(SUBSTITUTE(TRIM(A426),".",""),"/",""),"-","")," ",""))))</f>
        <v/>
      </c>
      <c r="C426" s="25" t="str">
        <f aca="false">IF(B426="","",IFERROR(INDEX(Empresas!$C:$C,MATCH(B426,Empresas!$B:$B,0)),"cadastre o CNPJ em Empresas"))</f>
        <v/>
      </c>
      <c r="D426" s="23"/>
      <c r="E426" s="24"/>
      <c r="F426" s="31" t="str">
        <f aca="false">IF(D426="","",SUBSTITUTE(SUBSTITUTE(SUBSTITUTE(SUBSTITUTE(SUBSTITUTE(SUBSTITUTE(SUBSTITUTE(SUBSTITUTE(SUBSTITUTE(SUBSTITUTE(SUBSTITUTE(SUBSTITUTE(SUBSTITUTE(UPPER(TRIM(D426)),"Á","A"),"À","A"),"Â","A"),"Ã","A"),"É","E"),"Ê","E"),"Í","I"),"Ó","O"),"Ô","O"),"Õ","O"),"Ú","U"),"Ü","U"),"Ç","C"))</f>
        <v/>
      </c>
      <c r="G426" s="31" t="str">
        <f aca="false">IF(E426="","",IF(LEN(SUBSTITUTE(SUBSTITUTE(SUBSTITUTE(SUBSTITUTE(TRIM(E426),"*",""),".",""),"-","")," ",""))=11,MID(SUBSTITUTE(SUBSTITUTE(SUBSTITUTE(SUBSTITUTE(TRIM(E426),"*",""),".",""),"-","")," ",""),4,6),SUBSTITUTE(SUBSTITUTE(SUBSTITUTE(SUBSTITUTE(TRIM(E426),"*",""),".",""),"-","")," ","")))</f>
        <v/>
      </c>
      <c r="H426" s="31" t="str">
        <f aca="false">IF(OR(F426="",G426=""),"",F426&amp;"|"&amp;G426)</f>
        <v/>
      </c>
      <c r="I426" s="23"/>
      <c r="J426" s="22"/>
      <c r="K426" s="22"/>
      <c r="L426" s="25" t="str">
        <f aca="false">IF(F426="","",IF(AND(H426&lt;&gt;"",COUNTIF(Pessoas!$E:$E,H426)&gt;0),"SIM",IF(COUNTIF(Pessoas!$C:$C,F426)&gt;0,"nome igual em Pessoas: confira o CPF","")))</f>
        <v/>
      </c>
      <c r="M426" s="24"/>
      <c r="N426" s="11"/>
    </row>
    <row r="427" customFormat="false" ht="15" hidden="false" customHeight="false" outlineLevel="0" collapsed="false">
      <c r="A427" s="24"/>
      <c r="B427" s="31" t="str">
        <f aca="false">IF(A427="","",IF(LEN(UPPER(SUBSTITUTE(SUBSTITUTE(SUBSTITUTE(SUBSTITUTE(TRIM(A427),".",""),"/",""),"-","")," ","")))&lt;14,RIGHT(REPT("0",14)&amp;UPPER(SUBSTITUTE(SUBSTITUTE(SUBSTITUTE(SUBSTITUTE(TRIM(A427),".",""),"/",""),"-","")," ","")),14),UPPER(SUBSTITUTE(SUBSTITUTE(SUBSTITUTE(SUBSTITUTE(TRIM(A427),".",""),"/",""),"-","")," ",""))))</f>
        <v/>
      </c>
      <c r="C427" s="25" t="str">
        <f aca="false">IF(B427="","",IFERROR(INDEX(Empresas!$C:$C,MATCH(B427,Empresas!$B:$B,0)),"cadastre o CNPJ em Empresas"))</f>
        <v/>
      </c>
      <c r="D427" s="23"/>
      <c r="E427" s="24"/>
      <c r="F427" s="31" t="str">
        <f aca="false">IF(D427="","",SUBSTITUTE(SUBSTITUTE(SUBSTITUTE(SUBSTITUTE(SUBSTITUTE(SUBSTITUTE(SUBSTITUTE(SUBSTITUTE(SUBSTITUTE(SUBSTITUTE(SUBSTITUTE(SUBSTITUTE(SUBSTITUTE(UPPER(TRIM(D427)),"Á","A"),"À","A"),"Â","A"),"Ã","A"),"É","E"),"Ê","E"),"Í","I"),"Ó","O"),"Ô","O"),"Õ","O"),"Ú","U"),"Ü","U"),"Ç","C"))</f>
        <v/>
      </c>
      <c r="G427" s="31" t="str">
        <f aca="false">IF(E427="","",IF(LEN(SUBSTITUTE(SUBSTITUTE(SUBSTITUTE(SUBSTITUTE(TRIM(E427),"*",""),".",""),"-","")," ",""))=11,MID(SUBSTITUTE(SUBSTITUTE(SUBSTITUTE(SUBSTITUTE(TRIM(E427),"*",""),".",""),"-","")," ",""),4,6),SUBSTITUTE(SUBSTITUTE(SUBSTITUTE(SUBSTITUTE(TRIM(E427),"*",""),".",""),"-","")," ","")))</f>
        <v/>
      </c>
      <c r="H427" s="31" t="str">
        <f aca="false">IF(OR(F427="",G427=""),"",F427&amp;"|"&amp;G427)</f>
        <v/>
      </c>
      <c r="I427" s="23"/>
      <c r="J427" s="22"/>
      <c r="K427" s="22"/>
      <c r="L427" s="25" t="str">
        <f aca="false">IF(F427="","",IF(AND(H427&lt;&gt;"",COUNTIF(Pessoas!$E:$E,H427)&gt;0),"SIM",IF(COUNTIF(Pessoas!$C:$C,F427)&gt;0,"nome igual em Pessoas: confira o CPF","")))</f>
        <v/>
      </c>
      <c r="M427" s="24"/>
      <c r="N427" s="11"/>
    </row>
    <row r="428" customFormat="false" ht="15" hidden="false" customHeight="false" outlineLevel="0" collapsed="false">
      <c r="A428" s="24"/>
      <c r="B428" s="31" t="str">
        <f aca="false">IF(A428="","",IF(LEN(UPPER(SUBSTITUTE(SUBSTITUTE(SUBSTITUTE(SUBSTITUTE(TRIM(A428),".",""),"/",""),"-","")," ","")))&lt;14,RIGHT(REPT("0",14)&amp;UPPER(SUBSTITUTE(SUBSTITUTE(SUBSTITUTE(SUBSTITUTE(TRIM(A428),".",""),"/",""),"-","")," ","")),14),UPPER(SUBSTITUTE(SUBSTITUTE(SUBSTITUTE(SUBSTITUTE(TRIM(A428),".",""),"/",""),"-","")," ",""))))</f>
        <v/>
      </c>
      <c r="C428" s="25" t="str">
        <f aca="false">IF(B428="","",IFERROR(INDEX(Empresas!$C:$C,MATCH(B428,Empresas!$B:$B,0)),"cadastre o CNPJ em Empresas"))</f>
        <v/>
      </c>
      <c r="D428" s="23"/>
      <c r="E428" s="24"/>
      <c r="F428" s="31" t="str">
        <f aca="false">IF(D428="","",SUBSTITUTE(SUBSTITUTE(SUBSTITUTE(SUBSTITUTE(SUBSTITUTE(SUBSTITUTE(SUBSTITUTE(SUBSTITUTE(SUBSTITUTE(SUBSTITUTE(SUBSTITUTE(SUBSTITUTE(SUBSTITUTE(UPPER(TRIM(D428)),"Á","A"),"À","A"),"Â","A"),"Ã","A"),"É","E"),"Ê","E"),"Í","I"),"Ó","O"),"Ô","O"),"Õ","O"),"Ú","U"),"Ü","U"),"Ç","C"))</f>
        <v/>
      </c>
      <c r="G428" s="31" t="str">
        <f aca="false">IF(E428="","",IF(LEN(SUBSTITUTE(SUBSTITUTE(SUBSTITUTE(SUBSTITUTE(TRIM(E428),"*",""),".",""),"-","")," ",""))=11,MID(SUBSTITUTE(SUBSTITUTE(SUBSTITUTE(SUBSTITUTE(TRIM(E428),"*",""),".",""),"-","")," ",""),4,6),SUBSTITUTE(SUBSTITUTE(SUBSTITUTE(SUBSTITUTE(TRIM(E428),"*",""),".",""),"-","")," ","")))</f>
        <v/>
      </c>
      <c r="H428" s="31" t="str">
        <f aca="false">IF(OR(F428="",G428=""),"",F428&amp;"|"&amp;G428)</f>
        <v/>
      </c>
      <c r="I428" s="23"/>
      <c r="J428" s="22"/>
      <c r="K428" s="22"/>
      <c r="L428" s="25" t="str">
        <f aca="false">IF(F428="","",IF(AND(H428&lt;&gt;"",COUNTIF(Pessoas!$E:$E,H428)&gt;0),"SIM",IF(COUNTIF(Pessoas!$C:$C,F428)&gt;0,"nome igual em Pessoas: confira o CPF","")))</f>
        <v/>
      </c>
      <c r="M428" s="24"/>
      <c r="N428" s="11"/>
    </row>
    <row r="429" customFormat="false" ht="15" hidden="false" customHeight="false" outlineLevel="0" collapsed="false">
      <c r="A429" s="24"/>
      <c r="B429" s="31" t="str">
        <f aca="false">IF(A429="","",IF(LEN(UPPER(SUBSTITUTE(SUBSTITUTE(SUBSTITUTE(SUBSTITUTE(TRIM(A429),".",""),"/",""),"-","")," ","")))&lt;14,RIGHT(REPT("0",14)&amp;UPPER(SUBSTITUTE(SUBSTITUTE(SUBSTITUTE(SUBSTITUTE(TRIM(A429),".",""),"/",""),"-","")," ","")),14),UPPER(SUBSTITUTE(SUBSTITUTE(SUBSTITUTE(SUBSTITUTE(TRIM(A429),".",""),"/",""),"-","")," ",""))))</f>
        <v/>
      </c>
      <c r="C429" s="25" t="str">
        <f aca="false">IF(B429="","",IFERROR(INDEX(Empresas!$C:$C,MATCH(B429,Empresas!$B:$B,0)),"cadastre o CNPJ em Empresas"))</f>
        <v/>
      </c>
      <c r="D429" s="23"/>
      <c r="E429" s="24"/>
      <c r="F429" s="31" t="str">
        <f aca="false">IF(D429="","",SUBSTITUTE(SUBSTITUTE(SUBSTITUTE(SUBSTITUTE(SUBSTITUTE(SUBSTITUTE(SUBSTITUTE(SUBSTITUTE(SUBSTITUTE(SUBSTITUTE(SUBSTITUTE(SUBSTITUTE(SUBSTITUTE(UPPER(TRIM(D429)),"Á","A"),"À","A"),"Â","A"),"Ã","A"),"É","E"),"Ê","E"),"Í","I"),"Ó","O"),"Ô","O"),"Õ","O"),"Ú","U"),"Ü","U"),"Ç","C"))</f>
        <v/>
      </c>
      <c r="G429" s="31" t="str">
        <f aca="false">IF(E429="","",IF(LEN(SUBSTITUTE(SUBSTITUTE(SUBSTITUTE(SUBSTITUTE(TRIM(E429),"*",""),".",""),"-","")," ",""))=11,MID(SUBSTITUTE(SUBSTITUTE(SUBSTITUTE(SUBSTITUTE(TRIM(E429),"*",""),".",""),"-","")," ",""),4,6),SUBSTITUTE(SUBSTITUTE(SUBSTITUTE(SUBSTITUTE(TRIM(E429),"*",""),".",""),"-","")," ","")))</f>
        <v/>
      </c>
      <c r="H429" s="31" t="str">
        <f aca="false">IF(OR(F429="",G429=""),"",F429&amp;"|"&amp;G429)</f>
        <v/>
      </c>
      <c r="I429" s="23"/>
      <c r="J429" s="22"/>
      <c r="K429" s="22"/>
      <c r="L429" s="25" t="str">
        <f aca="false">IF(F429="","",IF(AND(H429&lt;&gt;"",COUNTIF(Pessoas!$E:$E,H429)&gt;0),"SIM",IF(COUNTIF(Pessoas!$C:$C,F429)&gt;0,"nome igual em Pessoas: confira o CPF","")))</f>
        <v/>
      </c>
      <c r="M429" s="24"/>
      <c r="N429" s="11"/>
    </row>
    <row r="430" customFormat="false" ht="15" hidden="false" customHeight="false" outlineLevel="0" collapsed="false">
      <c r="A430" s="24"/>
      <c r="B430" s="31" t="str">
        <f aca="false">IF(A430="","",IF(LEN(UPPER(SUBSTITUTE(SUBSTITUTE(SUBSTITUTE(SUBSTITUTE(TRIM(A430),".",""),"/",""),"-","")," ","")))&lt;14,RIGHT(REPT("0",14)&amp;UPPER(SUBSTITUTE(SUBSTITUTE(SUBSTITUTE(SUBSTITUTE(TRIM(A430),".",""),"/",""),"-","")," ","")),14),UPPER(SUBSTITUTE(SUBSTITUTE(SUBSTITUTE(SUBSTITUTE(TRIM(A430),".",""),"/",""),"-","")," ",""))))</f>
        <v/>
      </c>
      <c r="C430" s="25" t="str">
        <f aca="false">IF(B430="","",IFERROR(INDEX(Empresas!$C:$C,MATCH(B430,Empresas!$B:$B,0)),"cadastre o CNPJ em Empresas"))</f>
        <v/>
      </c>
      <c r="D430" s="23"/>
      <c r="E430" s="24"/>
      <c r="F430" s="31" t="str">
        <f aca="false">IF(D430="","",SUBSTITUTE(SUBSTITUTE(SUBSTITUTE(SUBSTITUTE(SUBSTITUTE(SUBSTITUTE(SUBSTITUTE(SUBSTITUTE(SUBSTITUTE(SUBSTITUTE(SUBSTITUTE(SUBSTITUTE(SUBSTITUTE(UPPER(TRIM(D430)),"Á","A"),"À","A"),"Â","A"),"Ã","A"),"É","E"),"Ê","E"),"Í","I"),"Ó","O"),"Ô","O"),"Õ","O"),"Ú","U"),"Ü","U"),"Ç","C"))</f>
        <v/>
      </c>
      <c r="G430" s="31" t="str">
        <f aca="false">IF(E430="","",IF(LEN(SUBSTITUTE(SUBSTITUTE(SUBSTITUTE(SUBSTITUTE(TRIM(E430),"*",""),".",""),"-","")," ",""))=11,MID(SUBSTITUTE(SUBSTITUTE(SUBSTITUTE(SUBSTITUTE(TRIM(E430),"*",""),".",""),"-","")," ",""),4,6),SUBSTITUTE(SUBSTITUTE(SUBSTITUTE(SUBSTITUTE(TRIM(E430),"*",""),".",""),"-","")," ","")))</f>
        <v/>
      </c>
      <c r="H430" s="31" t="str">
        <f aca="false">IF(OR(F430="",G430=""),"",F430&amp;"|"&amp;G430)</f>
        <v/>
      </c>
      <c r="I430" s="23"/>
      <c r="J430" s="22"/>
      <c r="K430" s="22"/>
      <c r="L430" s="25" t="str">
        <f aca="false">IF(F430="","",IF(AND(H430&lt;&gt;"",COUNTIF(Pessoas!$E:$E,H430)&gt;0),"SIM",IF(COUNTIF(Pessoas!$C:$C,F430)&gt;0,"nome igual em Pessoas: confira o CPF","")))</f>
        <v/>
      </c>
      <c r="M430" s="24"/>
      <c r="N430" s="11"/>
    </row>
    <row r="431" customFormat="false" ht="15" hidden="false" customHeight="false" outlineLevel="0" collapsed="false">
      <c r="A431" s="24"/>
      <c r="B431" s="31" t="str">
        <f aca="false">IF(A431="","",IF(LEN(UPPER(SUBSTITUTE(SUBSTITUTE(SUBSTITUTE(SUBSTITUTE(TRIM(A431),".",""),"/",""),"-","")," ","")))&lt;14,RIGHT(REPT("0",14)&amp;UPPER(SUBSTITUTE(SUBSTITUTE(SUBSTITUTE(SUBSTITUTE(TRIM(A431),".",""),"/",""),"-","")," ","")),14),UPPER(SUBSTITUTE(SUBSTITUTE(SUBSTITUTE(SUBSTITUTE(TRIM(A431),".",""),"/",""),"-","")," ",""))))</f>
        <v/>
      </c>
      <c r="C431" s="25" t="str">
        <f aca="false">IF(B431="","",IFERROR(INDEX(Empresas!$C:$C,MATCH(B431,Empresas!$B:$B,0)),"cadastre o CNPJ em Empresas"))</f>
        <v/>
      </c>
      <c r="D431" s="23"/>
      <c r="E431" s="24"/>
      <c r="F431" s="31" t="str">
        <f aca="false">IF(D431="","",SUBSTITUTE(SUBSTITUTE(SUBSTITUTE(SUBSTITUTE(SUBSTITUTE(SUBSTITUTE(SUBSTITUTE(SUBSTITUTE(SUBSTITUTE(SUBSTITUTE(SUBSTITUTE(SUBSTITUTE(SUBSTITUTE(UPPER(TRIM(D431)),"Á","A"),"À","A"),"Â","A"),"Ã","A"),"É","E"),"Ê","E"),"Í","I"),"Ó","O"),"Ô","O"),"Õ","O"),"Ú","U"),"Ü","U"),"Ç","C"))</f>
        <v/>
      </c>
      <c r="G431" s="31" t="str">
        <f aca="false">IF(E431="","",IF(LEN(SUBSTITUTE(SUBSTITUTE(SUBSTITUTE(SUBSTITUTE(TRIM(E431),"*",""),".",""),"-","")," ",""))=11,MID(SUBSTITUTE(SUBSTITUTE(SUBSTITUTE(SUBSTITUTE(TRIM(E431),"*",""),".",""),"-","")," ",""),4,6),SUBSTITUTE(SUBSTITUTE(SUBSTITUTE(SUBSTITUTE(TRIM(E431),"*",""),".",""),"-","")," ","")))</f>
        <v/>
      </c>
      <c r="H431" s="31" t="str">
        <f aca="false">IF(OR(F431="",G431=""),"",F431&amp;"|"&amp;G431)</f>
        <v/>
      </c>
      <c r="I431" s="23"/>
      <c r="J431" s="22"/>
      <c r="K431" s="22"/>
      <c r="L431" s="25" t="str">
        <f aca="false">IF(F431="","",IF(AND(H431&lt;&gt;"",COUNTIF(Pessoas!$E:$E,H431)&gt;0),"SIM",IF(COUNTIF(Pessoas!$C:$C,F431)&gt;0,"nome igual em Pessoas: confira o CPF","")))</f>
        <v/>
      </c>
      <c r="M431" s="24"/>
      <c r="N431" s="11"/>
    </row>
    <row r="432" customFormat="false" ht="15" hidden="false" customHeight="false" outlineLevel="0" collapsed="false">
      <c r="A432" s="24"/>
      <c r="B432" s="31" t="str">
        <f aca="false">IF(A432="","",IF(LEN(UPPER(SUBSTITUTE(SUBSTITUTE(SUBSTITUTE(SUBSTITUTE(TRIM(A432),".",""),"/",""),"-","")," ","")))&lt;14,RIGHT(REPT("0",14)&amp;UPPER(SUBSTITUTE(SUBSTITUTE(SUBSTITUTE(SUBSTITUTE(TRIM(A432),".",""),"/",""),"-","")," ","")),14),UPPER(SUBSTITUTE(SUBSTITUTE(SUBSTITUTE(SUBSTITUTE(TRIM(A432),".",""),"/",""),"-","")," ",""))))</f>
        <v/>
      </c>
      <c r="C432" s="25" t="str">
        <f aca="false">IF(B432="","",IFERROR(INDEX(Empresas!$C:$C,MATCH(B432,Empresas!$B:$B,0)),"cadastre o CNPJ em Empresas"))</f>
        <v/>
      </c>
      <c r="D432" s="23"/>
      <c r="E432" s="24"/>
      <c r="F432" s="31" t="str">
        <f aca="false">IF(D432="","",SUBSTITUTE(SUBSTITUTE(SUBSTITUTE(SUBSTITUTE(SUBSTITUTE(SUBSTITUTE(SUBSTITUTE(SUBSTITUTE(SUBSTITUTE(SUBSTITUTE(SUBSTITUTE(SUBSTITUTE(SUBSTITUTE(UPPER(TRIM(D432)),"Á","A"),"À","A"),"Â","A"),"Ã","A"),"É","E"),"Ê","E"),"Í","I"),"Ó","O"),"Ô","O"),"Õ","O"),"Ú","U"),"Ü","U"),"Ç","C"))</f>
        <v/>
      </c>
      <c r="G432" s="31" t="str">
        <f aca="false">IF(E432="","",IF(LEN(SUBSTITUTE(SUBSTITUTE(SUBSTITUTE(SUBSTITUTE(TRIM(E432),"*",""),".",""),"-","")," ",""))=11,MID(SUBSTITUTE(SUBSTITUTE(SUBSTITUTE(SUBSTITUTE(TRIM(E432),"*",""),".",""),"-","")," ",""),4,6),SUBSTITUTE(SUBSTITUTE(SUBSTITUTE(SUBSTITUTE(TRIM(E432),"*",""),".",""),"-","")," ","")))</f>
        <v/>
      </c>
      <c r="H432" s="31" t="str">
        <f aca="false">IF(OR(F432="",G432=""),"",F432&amp;"|"&amp;G432)</f>
        <v/>
      </c>
      <c r="I432" s="23"/>
      <c r="J432" s="22"/>
      <c r="K432" s="22"/>
      <c r="L432" s="25" t="str">
        <f aca="false">IF(F432="","",IF(AND(H432&lt;&gt;"",COUNTIF(Pessoas!$E:$E,H432)&gt;0),"SIM",IF(COUNTIF(Pessoas!$C:$C,F432)&gt;0,"nome igual em Pessoas: confira o CPF","")))</f>
        <v/>
      </c>
      <c r="M432" s="24"/>
      <c r="N432" s="11"/>
    </row>
    <row r="433" customFormat="false" ht="15" hidden="false" customHeight="false" outlineLevel="0" collapsed="false">
      <c r="A433" s="24"/>
      <c r="B433" s="31" t="str">
        <f aca="false">IF(A433="","",IF(LEN(UPPER(SUBSTITUTE(SUBSTITUTE(SUBSTITUTE(SUBSTITUTE(TRIM(A433),".",""),"/",""),"-","")," ","")))&lt;14,RIGHT(REPT("0",14)&amp;UPPER(SUBSTITUTE(SUBSTITUTE(SUBSTITUTE(SUBSTITUTE(TRIM(A433),".",""),"/",""),"-","")," ","")),14),UPPER(SUBSTITUTE(SUBSTITUTE(SUBSTITUTE(SUBSTITUTE(TRIM(A433),".",""),"/",""),"-","")," ",""))))</f>
        <v/>
      </c>
      <c r="C433" s="25" t="str">
        <f aca="false">IF(B433="","",IFERROR(INDEX(Empresas!$C:$C,MATCH(B433,Empresas!$B:$B,0)),"cadastre o CNPJ em Empresas"))</f>
        <v/>
      </c>
      <c r="D433" s="23"/>
      <c r="E433" s="24"/>
      <c r="F433" s="31" t="str">
        <f aca="false">IF(D433="","",SUBSTITUTE(SUBSTITUTE(SUBSTITUTE(SUBSTITUTE(SUBSTITUTE(SUBSTITUTE(SUBSTITUTE(SUBSTITUTE(SUBSTITUTE(SUBSTITUTE(SUBSTITUTE(SUBSTITUTE(SUBSTITUTE(UPPER(TRIM(D433)),"Á","A"),"À","A"),"Â","A"),"Ã","A"),"É","E"),"Ê","E"),"Í","I"),"Ó","O"),"Ô","O"),"Õ","O"),"Ú","U"),"Ü","U"),"Ç","C"))</f>
        <v/>
      </c>
      <c r="G433" s="31" t="str">
        <f aca="false">IF(E433="","",IF(LEN(SUBSTITUTE(SUBSTITUTE(SUBSTITUTE(SUBSTITUTE(TRIM(E433),"*",""),".",""),"-","")," ",""))=11,MID(SUBSTITUTE(SUBSTITUTE(SUBSTITUTE(SUBSTITUTE(TRIM(E433),"*",""),".",""),"-","")," ",""),4,6),SUBSTITUTE(SUBSTITUTE(SUBSTITUTE(SUBSTITUTE(TRIM(E433),"*",""),".",""),"-","")," ","")))</f>
        <v/>
      </c>
      <c r="H433" s="31" t="str">
        <f aca="false">IF(OR(F433="",G433=""),"",F433&amp;"|"&amp;G433)</f>
        <v/>
      </c>
      <c r="I433" s="23"/>
      <c r="J433" s="22"/>
      <c r="K433" s="22"/>
      <c r="L433" s="25" t="str">
        <f aca="false">IF(F433="","",IF(AND(H433&lt;&gt;"",COUNTIF(Pessoas!$E:$E,H433)&gt;0),"SIM",IF(COUNTIF(Pessoas!$C:$C,F433)&gt;0,"nome igual em Pessoas: confira o CPF","")))</f>
        <v/>
      </c>
      <c r="M433" s="24"/>
      <c r="N433" s="11"/>
    </row>
    <row r="434" customFormat="false" ht="15" hidden="false" customHeight="false" outlineLevel="0" collapsed="false">
      <c r="A434" s="24"/>
      <c r="B434" s="31" t="str">
        <f aca="false">IF(A434="","",IF(LEN(UPPER(SUBSTITUTE(SUBSTITUTE(SUBSTITUTE(SUBSTITUTE(TRIM(A434),".",""),"/",""),"-","")," ","")))&lt;14,RIGHT(REPT("0",14)&amp;UPPER(SUBSTITUTE(SUBSTITUTE(SUBSTITUTE(SUBSTITUTE(TRIM(A434),".",""),"/",""),"-","")," ","")),14),UPPER(SUBSTITUTE(SUBSTITUTE(SUBSTITUTE(SUBSTITUTE(TRIM(A434),".",""),"/",""),"-","")," ",""))))</f>
        <v/>
      </c>
      <c r="C434" s="25" t="str">
        <f aca="false">IF(B434="","",IFERROR(INDEX(Empresas!$C:$C,MATCH(B434,Empresas!$B:$B,0)),"cadastre o CNPJ em Empresas"))</f>
        <v/>
      </c>
      <c r="D434" s="23"/>
      <c r="E434" s="24"/>
      <c r="F434" s="31" t="str">
        <f aca="false">IF(D434="","",SUBSTITUTE(SUBSTITUTE(SUBSTITUTE(SUBSTITUTE(SUBSTITUTE(SUBSTITUTE(SUBSTITUTE(SUBSTITUTE(SUBSTITUTE(SUBSTITUTE(SUBSTITUTE(SUBSTITUTE(SUBSTITUTE(UPPER(TRIM(D434)),"Á","A"),"À","A"),"Â","A"),"Ã","A"),"É","E"),"Ê","E"),"Í","I"),"Ó","O"),"Ô","O"),"Õ","O"),"Ú","U"),"Ü","U"),"Ç","C"))</f>
        <v/>
      </c>
      <c r="G434" s="31" t="str">
        <f aca="false">IF(E434="","",IF(LEN(SUBSTITUTE(SUBSTITUTE(SUBSTITUTE(SUBSTITUTE(TRIM(E434),"*",""),".",""),"-","")," ",""))=11,MID(SUBSTITUTE(SUBSTITUTE(SUBSTITUTE(SUBSTITUTE(TRIM(E434),"*",""),".",""),"-","")," ",""),4,6),SUBSTITUTE(SUBSTITUTE(SUBSTITUTE(SUBSTITUTE(TRIM(E434),"*",""),".",""),"-","")," ","")))</f>
        <v/>
      </c>
      <c r="H434" s="31" t="str">
        <f aca="false">IF(OR(F434="",G434=""),"",F434&amp;"|"&amp;G434)</f>
        <v/>
      </c>
      <c r="I434" s="23"/>
      <c r="J434" s="22"/>
      <c r="K434" s="22"/>
      <c r="L434" s="25" t="str">
        <f aca="false">IF(F434="","",IF(AND(H434&lt;&gt;"",COUNTIF(Pessoas!$E:$E,H434)&gt;0),"SIM",IF(COUNTIF(Pessoas!$C:$C,F434)&gt;0,"nome igual em Pessoas: confira o CPF","")))</f>
        <v/>
      </c>
      <c r="M434" s="24"/>
      <c r="N434" s="11"/>
    </row>
    <row r="435" customFormat="false" ht="15" hidden="false" customHeight="false" outlineLevel="0" collapsed="false">
      <c r="A435" s="24"/>
      <c r="B435" s="31" t="str">
        <f aca="false">IF(A435="","",IF(LEN(UPPER(SUBSTITUTE(SUBSTITUTE(SUBSTITUTE(SUBSTITUTE(TRIM(A435),".",""),"/",""),"-","")," ","")))&lt;14,RIGHT(REPT("0",14)&amp;UPPER(SUBSTITUTE(SUBSTITUTE(SUBSTITUTE(SUBSTITUTE(TRIM(A435),".",""),"/",""),"-","")," ","")),14),UPPER(SUBSTITUTE(SUBSTITUTE(SUBSTITUTE(SUBSTITUTE(TRIM(A435),".",""),"/",""),"-","")," ",""))))</f>
        <v/>
      </c>
      <c r="C435" s="25" t="str">
        <f aca="false">IF(B435="","",IFERROR(INDEX(Empresas!$C:$C,MATCH(B435,Empresas!$B:$B,0)),"cadastre o CNPJ em Empresas"))</f>
        <v/>
      </c>
      <c r="D435" s="23"/>
      <c r="E435" s="24"/>
      <c r="F435" s="31" t="str">
        <f aca="false">IF(D435="","",SUBSTITUTE(SUBSTITUTE(SUBSTITUTE(SUBSTITUTE(SUBSTITUTE(SUBSTITUTE(SUBSTITUTE(SUBSTITUTE(SUBSTITUTE(SUBSTITUTE(SUBSTITUTE(SUBSTITUTE(SUBSTITUTE(UPPER(TRIM(D435)),"Á","A"),"À","A"),"Â","A"),"Ã","A"),"É","E"),"Ê","E"),"Í","I"),"Ó","O"),"Ô","O"),"Õ","O"),"Ú","U"),"Ü","U"),"Ç","C"))</f>
        <v/>
      </c>
      <c r="G435" s="31" t="str">
        <f aca="false">IF(E435="","",IF(LEN(SUBSTITUTE(SUBSTITUTE(SUBSTITUTE(SUBSTITUTE(TRIM(E435),"*",""),".",""),"-","")," ",""))=11,MID(SUBSTITUTE(SUBSTITUTE(SUBSTITUTE(SUBSTITUTE(TRIM(E435),"*",""),".",""),"-","")," ",""),4,6),SUBSTITUTE(SUBSTITUTE(SUBSTITUTE(SUBSTITUTE(TRIM(E435),"*",""),".",""),"-","")," ","")))</f>
        <v/>
      </c>
      <c r="H435" s="31" t="str">
        <f aca="false">IF(OR(F435="",G435=""),"",F435&amp;"|"&amp;G435)</f>
        <v/>
      </c>
      <c r="I435" s="23"/>
      <c r="J435" s="22"/>
      <c r="K435" s="22"/>
      <c r="L435" s="25" t="str">
        <f aca="false">IF(F435="","",IF(AND(H435&lt;&gt;"",COUNTIF(Pessoas!$E:$E,H435)&gt;0),"SIM",IF(COUNTIF(Pessoas!$C:$C,F435)&gt;0,"nome igual em Pessoas: confira o CPF","")))</f>
        <v/>
      </c>
      <c r="M435" s="24"/>
      <c r="N435" s="11"/>
    </row>
    <row r="436" customFormat="false" ht="15" hidden="false" customHeight="false" outlineLevel="0" collapsed="false">
      <c r="A436" s="24"/>
      <c r="B436" s="31" t="str">
        <f aca="false">IF(A436="","",IF(LEN(UPPER(SUBSTITUTE(SUBSTITUTE(SUBSTITUTE(SUBSTITUTE(TRIM(A436),".",""),"/",""),"-","")," ","")))&lt;14,RIGHT(REPT("0",14)&amp;UPPER(SUBSTITUTE(SUBSTITUTE(SUBSTITUTE(SUBSTITUTE(TRIM(A436),".",""),"/",""),"-","")," ","")),14),UPPER(SUBSTITUTE(SUBSTITUTE(SUBSTITUTE(SUBSTITUTE(TRIM(A436),".",""),"/",""),"-","")," ",""))))</f>
        <v/>
      </c>
      <c r="C436" s="25" t="str">
        <f aca="false">IF(B436="","",IFERROR(INDEX(Empresas!$C:$C,MATCH(B436,Empresas!$B:$B,0)),"cadastre o CNPJ em Empresas"))</f>
        <v/>
      </c>
      <c r="D436" s="23"/>
      <c r="E436" s="24"/>
      <c r="F436" s="31" t="str">
        <f aca="false">IF(D436="","",SUBSTITUTE(SUBSTITUTE(SUBSTITUTE(SUBSTITUTE(SUBSTITUTE(SUBSTITUTE(SUBSTITUTE(SUBSTITUTE(SUBSTITUTE(SUBSTITUTE(SUBSTITUTE(SUBSTITUTE(SUBSTITUTE(UPPER(TRIM(D436)),"Á","A"),"À","A"),"Â","A"),"Ã","A"),"É","E"),"Ê","E"),"Í","I"),"Ó","O"),"Ô","O"),"Õ","O"),"Ú","U"),"Ü","U"),"Ç","C"))</f>
        <v/>
      </c>
      <c r="G436" s="31" t="str">
        <f aca="false">IF(E436="","",IF(LEN(SUBSTITUTE(SUBSTITUTE(SUBSTITUTE(SUBSTITUTE(TRIM(E436),"*",""),".",""),"-","")," ",""))=11,MID(SUBSTITUTE(SUBSTITUTE(SUBSTITUTE(SUBSTITUTE(TRIM(E436),"*",""),".",""),"-","")," ",""),4,6),SUBSTITUTE(SUBSTITUTE(SUBSTITUTE(SUBSTITUTE(TRIM(E436),"*",""),".",""),"-","")," ","")))</f>
        <v/>
      </c>
      <c r="H436" s="31" t="str">
        <f aca="false">IF(OR(F436="",G436=""),"",F436&amp;"|"&amp;G436)</f>
        <v/>
      </c>
      <c r="I436" s="23"/>
      <c r="J436" s="22"/>
      <c r="K436" s="22"/>
      <c r="L436" s="25" t="str">
        <f aca="false">IF(F436="","",IF(AND(H436&lt;&gt;"",COUNTIF(Pessoas!$E:$E,H436)&gt;0),"SIM",IF(COUNTIF(Pessoas!$C:$C,F436)&gt;0,"nome igual em Pessoas: confira o CPF","")))</f>
        <v/>
      </c>
      <c r="M436" s="24"/>
      <c r="N436" s="11"/>
    </row>
    <row r="437" customFormat="false" ht="15" hidden="false" customHeight="false" outlineLevel="0" collapsed="false">
      <c r="A437" s="24"/>
      <c r="B437" s="31" t="str">
        <f aca="false">IF(A437="","",IF(LEN(UPPER(SUBSTITUTE(SUBSTITUTE(SUBSTITUTE(SUBSTITUTE(TRIM(A437),".",""),"/",""),"-","")," ","")))&lt;14,RIGHT(REPT("0",14)&amp;UPPER(SUBSTITUTE(SUBSTITUTE(SUBSTITUTE(SUBSTITUTE(TRIM(A437),".",""),"/",""),"-","")," ","")),14),UPPER(SUBSTITUTE(SUBSTITUTE(SUBSTITUTE(SUBSTITUTE(TRIM(A437),".",""),"/",""),"-","")," ",""))))</f>
        <v/>
      </c>
      <c r="C437" s="25" t="str">
        <f aca="false">IF(B437="","",IFERROR(INDEX(Empresas!$C:$C,MATCH(B437,Empresas!$B:$B,0)),"cadastre o CNPJ em Empresas"))</f>
        <v/>
      </c>
      <c r="D437" s="23"/>
      <c r="E437" s="24"/>
      <c r="F437" s="31" t="str">
        <f aca="false">IF(D437="","",SUBSTITUTE(SUBSTITUTE(SUBSTITUTE(SUBSTITUTE(SUBSTITUTE(SUBSTITUTE(SUBSTITUTE(SUBSTITUTE(SUBSTITUTE(SUBSTITUTE(SUBSTITUTE(SUBSTITUTE(SUBSTITUTE(UPPER(TRIM(D437)),"Á","A"),"À","A"),"Â","A"),"Ã","A"),"É","E"),"Ê","E"),"Í","I"),"Ó","O"),"Ô","O"),"Õ","O"),"Ú","U"),"Ü","U"),"Ç","C"))</f>
        <v/>
      </c>
      <c r="G437" s="31" t="str">
        <f aca="false">IF(E437="","",IF(LEN(SUBSTITUTE(SUBSTITUTE(SUBSTITUTE(SUBSTITUTE(TRIM(E437),"*",""),".",""),"-","")," ",""))=11,MID(SUBSTITUTE(SUBSTITUTE(SUBSTITUTE(SUBSTITUTE(TRIM(E437),"*",""),".",""),"-","")," ",""),4,6),SUBSTITUTE(SUBSTITUTE(SUBSTITUTE(SUBSTITUTE(TRIM(E437),"*",""),".",""),"-","")," ","")))</f>
        <v/>
      </c>
      <c r="H437" s="31" t="str">
        <f aca="false">IF(OR(F437="",G437=""),"",F437&amp;"|"&amp;G437)</f>
        <v/>
      </c>
      <c r="I437" s="23"/>
      <c r="J437" s="22"/>
      <c r="K437" s="22"/>
      <c r="L437" s="25" t="str">
        <f aca="false">IF(F437="","",IF(AND(H437&lt;&gt;"",COUNTIF(Pessoas!$E:$E,H437)&gt;0),"SIM",IF(COUNTIF(Pessoas!$C:$C,F437)&gt;0,"nome igual em Pessoas: confira o CPF","")))</f>
        <v/>
      </c>
      <c r="M437" s="24"/>
      <c r="N437" s="11"/>
    </row>
    <row r="438" customFormat="false" ht="15" hidden="false" customHeight="false" outlineLevel="0" collapsed="false">
      <c r="A438" s="24"/>
      <c r="B438" s="31" t="str">
        <f aca="false">IF(A438="","",IF(LEN(UPPER(SUBSTITUTE(SUBSTITUTE(SUBSTITUTE(SUBSTITUTE(TRIM(A438),".",""),"/",""),"-","")," ","")))&lt;14,RIGHT(REPT("0",14)&amp;UPPER(SUBSTITUTE(SUBSTITUTE(SUBSTITUTE(SUBSTITUTE(TRIM(A438),".",""),"/",""),"-","")," ","")),14),UPPER(SUBSTITUTE(SUBSTITUTE(SUBSTITUTE(SUBSTITUTE(TRIM(A438),".",""),"/",""),"-","")," ",""))))</f>
        <v/>
      </c>
      <c r="C438" s="25" t="str">
        <f aca="false">IF(B438="","",IFERROR(INDEX(Empresas!$C:$C,MATCH(B438,Empresas!$B:$B,0)),"cadastre o CNPJ em Empresas"))</f>
        <v/>
      </c>
      <c r="D438" s="23"/>
      <c r="E438" s="24"/>
      <c r="F438" s="31" t="str">
        <f aca="false">IF(D438="","",SUBSTITUTE(SUBSTITUTE(SUBSTITUTE(SUBSTITUTE(SUBSTITUTE(SUBSTITUTE(SUBSTITUTE(SUBSTITUTE(SUBSTITUTE(SUBSTITUTE(SUBSTITUTE(SUBSTITUTE(SUBSTITUTE(UPPER(TRIM(D438)),"Á","A"),"À","A"),"Â","A"),"Ã","A"),"É","E"),"Ê","E"),"Í","I"),"Ó","O"),"Ô","O"),"Õ","O"),"Ú","U"),"Ü","U"),"Ç","C"))</f>
        <v/>
      </c>
      <c r="G438" s="31" t="str">
        <f aca="false">IF(E438="","",IF(LEN(SUBSTITUTE(SUBSTITUTE(SUBSTITUTE(SUBSTITUTE(TRIM(E438),"*",""),".",""),"-","")," ",""))=11,MID(SUBSTITUTE(SUBSTITUTE(SUBSTITUTE(SUBSTITUTE(TRIM(E438),"*",""),".",""),"-","")," ",""),4,6),SUBSTITUTE(SUBSTITUTE(SUBSTITUTE(SUBSTITUTE(TRIM(E438),"*",""),".",""),"-","")," ","")))</f>
        <v/>
      </c>
      <c r="H438" s="31" t="str">
        <f aca="false">IF(OR(F438="",G438=""),"",F438&amp;"|"&amp;G438)</f>
        <v/>
      </c>
      <c r="I438" s="23"/>
      <c r="J438" s="22"/>
      <c r="K438" s="22"/>
      <c r="L438" s="25" t="str">
        <f aca="false">IF(F438="","",IF(AND(H438&lt;&gt;"",COUNTIF(Pessoas!$E:$E,H438)&gt;0),"SIM",IF(COUNTIF(Pessoas!$C:$C,F438)&gt;0,"nome igual em Pessoas: confira o CPF","")))</f>
        <v/>
      </c>
      <c r="M438" s="24"/>
      <c r="N438" s="11"/>
    </row>
    <row r="439" customFormat="false" ht="15" hidden="false" customHeight="false" outlineLevel="0" collapsed="false">
      <c r="A439" s="24"/>
      <c r="B439" s="31" t="str">
        <f aca="false">IF(A439="","",IF(LEN(UPPER(SUBSTITUTE(SUBSTITUTE(SUBSTITUTE(SUBSTITUTE(TRIM(A439),".",""),"/",""),"-","")," ","")))&lt;14,RIGHT(REPT("0",14)&amp;UPPER(SUBSTITUTE(SUBSTITUTE(SUBSTITUTE(SUBSTITUTE(TRIM(A439),".",""),"/",""),"-","")," ","")),14),UPPER(SUBSTITUTE(SUBSTITUTE(SUBSTITUTE(SUBSTITUTE(TRIM(A439),".",""),"/",""),"-","")," ",""))))</f>
        <v/>
      </c>
      <c r="C439" s="25" t="str">
        <f aca="false">IF(B439="","",IFERROR(INDEX(Empresas!$C:$C,MATCH(B439,Empresas!$B:$B,0)),"cadastre o CNPJ em Empresas"))</f>
        <v/>
      </c>
      <c r="D439" s="23"/>
      <c r="E439" s="24"/>
      <c r="F439" s="31" t="str">
        <f aca="false">IF(D439="","",SUBSTITUTE(SUBSTITUTE(SUBSTITUTE(SUBSTITUTE(SUBSTITUTE(SUBSTITUTE(SUBSTITUTE(SUBSTITUTE(SUBSTITUTE(SUBSTITUTE(SUBSTITUTE(SUBSTITUTE(SUBSTITUTE(UPPER(TRIM(D439)),"Á","A"),"À","A"),"Â","A"),"Ã","A"),"É","E"),"Ê","E"),"Í","I"),"Ó","O"),"Ô","O"),"Õ","O"),"Ú","U"),"Ü","U"),"Ç","C"))</f>
        <v/>
      </c>
      <c r="G439" s="31" t="str">
        <f aca="false">IF(E439="","",IF(LEN(SUBSTITUTE(SUBSTITUTE(SUBSTITUTE(SUBSTITUTE(TRIM(E439),"*",""),".",""),"-","")," ",""))=11,MID(SUBSTITUTE(SUBSTITUTE(SUBSTITUTE(SUBSTITUTE(TRIM(E439),"*",""),".",""),"-","")," ",""),4,6),SUBSTITUTE(SUBSTITUTE(SUBSTITUTE(SUBSTITUTE(TRIM(E439),"*",""),".",""),"-","")," ","")))</f>
        <v/>
      </c>
      <c r="H439" s="31" t="str">
        <f aca="false">IF(OR(F439="",G439=""),"",F439&amp;"|"&amp;G439)</f>
        <v/>
      </c>
      <c r="I439" s="23"/>
      <c r="J439" s="22"/>
      <c r="K439" s="22"/>
      <c r="L439" s="25" t="str">
        <f aca="false">IF(F439="","",IF(AND(H439&lt;&gt;"",COUNTIF(Pessoas!$E:$E,H439)&gt;0),"SIM",IF(COUNTIF(Pessoas!$C:$C,F439)&gt;0,"nome igual em Pessoas: confira o CPF","")))</f>
        <v/>
      </c>
      <c r="M439" s="24"/>
      <c r="N439" s="11"/>
    </row>
    <row r="440" customFormat="false" ht="15" hidden="false" customHeight="false" outlineLevel="0" collapsed="false">
      <c r="A440" s="24"/>
      <c r="B440" s="31" t="str">
        <f aca="false">IF(A440="","",IF(LEN(UPPER(SUBSTITUTE(SUBSTITUTE(SUBSTITUTE(SUBSTITUTE(TRIM(A440),".",""),"/",""),"-","")," ","")))&lt;14,RIGHT(REPT("0",14)&amp;UPPER(SUBSTITUTE(SUBSTITUTE(SUBSTITUTE(SUBSTITUTE(TRIM(A440),".",""),"/",""),"-","")," ","")),14),UPPER(SUBSTITUTE(SUBSTITUTE(SUBSTITUTE(SUBSTITUTE(TRIM(A440),".",""),"/",""),"-","")," ",""))))</f>
        <v/>
      </c>
      <c r="C440" s="25" t="str">
        <f aca="false">IF(B440="","",IFERROR(INDEX(Empresas!$C:$C,MATCH(B440,Empresas!$B:$B,0)),"cadastre o CNPJ em Empresas"))</f>
        <v/>
      </c>
      <c r="D440" s="23"/>
      <c r="E440" s="24"/>
      <c r="F440" s="31" t="str">
        <f aca="false">IF(D440="","",SUBSTITUTE(SUBSTITUTE(SUBSTITUTE(SUBSTITUTE(SUBSTITUTE(SUBSTITUTE(SUBSTITUTE(SUBSTITUTE(SUBSTITUTE(SUBSTITUTE(SUBSTITUTE(SUBSTITUTE(SUBSTITUTE(UPPER(TRIM(D440)),"Á","A"),"À","A"),"Â","A"),"Ã","A"),"É","E"),"Ê","E"),"Í","I"),"Ó","O"),"Ô","O"),"Õ","O"),"Ú","U"),"Ü","U"),"Ç","C"))</f>
        <v/>
      </c>
      <c r="G440" s="31" t="str">
        <f aca="false">IF(E440="","",IF(LEN(SUBSTITUTE(SUBSTITUTE(SUBSTITUTE(SUBSTITUTE(TRIM(E440),"*",""),".",""),"-","")," ",""))=11,MID(SUBSTITUTE(SUBSTITUTE(SUBSTITUTE(SUBSTITUTE(TRIM(E440),"*",""),".",""),"-","")," ",""),4,6),SUBSTITUTE(SUBSTITUTE(SUBSTITUTE(SUBSTITUTE(TRIM(E440),"*",""),".",""),"-","")," ","")))</f>
        <v/>
      </c>
      <c r="H440" s="31" t="str">
        <f aca="false">IF(OR(F440="",G440=""),"",F440&amp;"|"&amp;G440)</f>
        <v/>
      </c>
      <c r="I440" s="23"/>
      <c r="J440" s="22"/>
      <c r="K440" s="22"/>
      <c r="L440" s="25" t="str">
        <f aca="false">IF(F440="","",IF(AND(H440&lt;&gt;"",COUNTIF(Pessoas!$E:$E,H440)&gt;0),"SIM",IF(COUNTIF(Pessoas!$C:$C,F440)&gt;0,"nome igual em Pessoas: confira o CPF","")))</f>
        <v/>
      </c>
      <c r="M440" s="24"/>
      <c r="N440" s="11"/>
    </row>
    <row r="441" customFormat="false" ht="15" hidden="false" customHeight="false" outlineLevel="0" collapsed="false">
      <c r="A441" s="24"/>
      <c r="B441" s="31" t="str">
        <f aca="false">IF(A441="","",IF(LEN(UPPER(SUBSTITUTE(SUBSTITUTE(SUBSTITUTE(SUBSTITUTE(TRIM(A441),".",""),"/",""),"-","")," ","")))&lt;14,RIGHT(REPT("0",14)&amp;UPPER(SUBSTITUTE(SUBSTITUTE(SUBSTITUTE(SUBSTITUTE(TRIM(A441),".",""),"/",""),"-","")," ","")),14),UPPER(SUBSTITUTE(SUBSTITUTE(SUBSTITUTE(SUBSTITUTE(TRIM(A441),".",""),"/",""),"-","")," ",""))))</f>
        <v/>
      </c>
      <c r="C441" s="25" t="str">
        <f aca="false">IF(B441="","",IFERROR(INDEX(Empresas!$C:$C,MATCH(B441,Empresas!$B:$B,0)),"cadastre o CNPJ em Empresas"))</f>
        <v/>
      </c>
      <c r="D441" s="23"/>
      <c r="E441" s="24"/>
      <c r="F441" s="31" t="str">
        <f aca="false">IF(D441="","",SUBSTITUTE(SUBSTITUTE(SUBSTITUTE(SUBSTITUTE(SUBSTITUTE(SUBSTITUTE(SUBSTITUTE(SUBSTITUTE(SUBSTITUTE(SUBSTITUTE(SUBSTITUTE(SUBSTITUTE(SUBSTITUTE(UPPER(TRIM(D441)),"Á","A"),"À","A"),"Â","A"),"Ã","A"),"É","E"),"Ê","E"),"Í","I"),"Ó","O"),"Ô","O"),"Õ","O"),"Ú","U"),"Ü","U"),"Ç","C"))</f>
        <v/>
      </c>
      <c r="G441" s="31" t="str">
        <f aca="false">IF(E441="","",IF(LEN(SUBSTITUTE(SUBSTITUTE(SUBSTITUTE(SUBSTITUTE(TRIM(E441),"*",""),".",""),"-","")," ",""))=11,MID(SUBSTITUTE(SUBSTITUTE(SUBSTITUTE(SUBSTITUTE(TRIM(E441),"*",""),".",""),"-","")," ",""),4,6),SUBSTITUTE(SUBSTITUTE(SUBSTITUTE(SUBSTITUTE(TRIM(E441),"*",""),".",""),"-","")," ","")))</f>
        <v/>
      </c>
      <c r="H441" s="31" t="str">
        <f aca="false">IF(OR(F441="",G441=""),"",F441&amp;"|"&amp;G441)</f>
        <v/>
      </c>
      <c r="I441" s="23"/>
      <c r="J441" s="22"/>
      <c r="K441" s="22"/>
      <c r="L441" s="25" t="str">
        <f aca="false">IF(F441="","",IF(AND(H441&lt;&gt;"",COUNTIF(Pessoas!$E:$E,H441)&gt;0),"SIM",IF(COUNTIF(Pessoas!$C:$C,F441)&gt;0,"nome igual em Pessoas: confira o CPF","")))</f>
        <v/>
      </c>
      <c r="M441" s="24"/>
      <c r="N441" s="11"/>
    </row>
    <row r="442" customFormat="false" ht="15" hidden="false" customHeight="false" outlineLevel="0" collapsed="false">
      <c r="A442" s="24"/>
      <c r="B442" s="31" t="str">
        <f aca="false">IF(A442="","",IF(LEN(UPPER(SUBSTITUTE(SUBSTITUTE(SUBSTITUTE(SUBSTITUTE(TRIM(A442),".",""),"/",""),"-","")," ","")))&lt;14,RIGHT(REPT("0",14)&amp;UPPER(SUBSTITUTE(SUBSTITUTE(SUBSTITUTE(SUBSTITUTE(TRIM(A442),".",""),"/",""),"-","")," ","")),14),UPPER(SUBSTITUTE(SUBSTITUTE(SUBSTITUTE(SUBSTITUTE(TRIM(A442),".",""),"/",""),"-","")," ",""))))</f>
        <v/>
      </c>
      <c r="C442" s="25" t="str">
        <f aca="false">IF(B442="","",IFERROR(INDEX(Empresas!$C:$C,MATCH(B442,Empresas!$B:$B,0)),"cadastre o CNPJ em Empresas"))</f>
        <v/>
      </c>
      <c r="D442" s="23"/>
      <c r="E442" s="24"/>
      <c r="F442" s="31" t="str">
        <f aca="false">IF(D442="","",SUBSTITUTE(SUBSTITUTE(SUBSTITUTE(SUBSTITUTE(SUBSTITUTE(SUBSTITUTE(SUBSTITUTE(SUBSTITUTE(SUBSTITUTE(SUBSTITUTE(SUBSTITUTE(SUBSTITUTE(SUBSTITUTE(UPPER(TRIM(D442)),"Á","A"),"À","A"),"Â","A"),"Ã","A"),"É","E"),"Ê","E"),"Í","I"),"Ó","O"),"Ô","O"),"Õ","O"),"Ú","U"),"Ü","U"),"Ç","C"))</f>
        <v/>
      </c>
      <c r="G442" s="31" t="str">
        <f aca="false">IF(E442="","",IF(LEN(SUBSTITUTE(SUBSTITUTE(SUBSTITUTE(SUBSTITUTE(TRIM(E442),"*",""),".",""),"-","")," ",""))=11,MID(SUBSTITUTE(SUBSTITUTE(SUBSTITUTE(SUBSTITUTE(TRIM(E442),"*",""),".",""),"-","")," ",""),4,6),SUBSTITUTE(SUBSTITUTE(SUBSTITUTE(SUBSTITUTE(TRIM(E442),"*",""),".",""),"-","")," ","")))</f>
        <v/>
      </c>
      <c r="H442" s="31" t="str">
        <f aca="false">IF(OR(F442="",G442=""),"",F442&amp;"|"&amp;G442)</f>
        <v/>
      </c>
      <c r="I442" s="23"/>
      <c r="J442" s="22"/>
      <c r="K442" s="22"/>
      <c r="L442" s="25" t="str">
        <f aca="false">IF(F442="","",IF(AND(H442&lt;&gt;"",COUNTIF(Pessoas!$E:$E,H442)&gt;0),"SIM",IF(COUNTIF(Pessoas!$C:$C,F442)&gt;0,"nome igual em Pessoas: confira o CPF","")))</f>
        <v/>
      </c>
      <c r="M442" s="24"/>
      <c r="N442" s="11"/>
    </row>
    <row r="443" customFormat="false" ht="15" hidden="false" customHeight="false" outlineLevel="0" collapsed="false">
      <c r="A443" s="24"/>
      <c r="B443" s="31" t="str">
        <f aca="false">IF(A443="","",IF(LEN(UPPER(SUBSTITUTE(SUBSTITUTE(SUBSTITUTE(SUBSTITUTE(TRIM(A443),".",""),"/",""),"-","")," ","")))&lt;14,RIGHT(REPT("0",14)&amp;UPPER(SUBSTITUTE(SUBSTITUTE(SUBSTITUTE(SUBSTITUTE(TRIM(A443),".",""),"/",""),"-","")," ","")),14),UPPER(SUBSTITUTE(SUBSTITUTE(SUBSTITUTE(SUBSTITUTE(TRIM(A443),".",""),"/",""),"-","")," ",""))))</f>
        <v/>
      </c>
      <c r="C443" s="25" t="str">
        <f aca="false">IF(B443="","",IFERROR(INDEX(Empresas!$C:$C,MATCH(B443,Empresas!$B:$B,0)),"cadastre o CNPJ em Empresas"))</f>
        <v/>
      </c>
      <c r="D443" s="23"/>
      <c r="E443" s="24"/>
      <c r="F443" s="31" t="str">
        <f aca="false">IF(D443="","",SUBSTITUTE(SUBSTITUTE(SUBSTITUTE(SUBSTITUTE(SUBSTITUTE(SUBSTITUTE(SUBSTITUTE(SUBSTITUTE(SUBSTITUTE(SUBSTITUTE(SUBSTITUTE(SUBSTITUTE(SUBSTITUTE(UPPER(TRIM(D443)),"Á","A"),"À","A"),"Â","A"),"Ã","A"),"É","E"),"Ê","E"),"Í","I"),"Ó","O"),"Ô","O"),"Õ","O"),"Ú","U"),"Ü","U"),"Ç","C"))</f>
        <v/>
      </c>
      <c r="G443" s="31" t="str">
        <f aca="false">IF(E443="","",IF(LEN(SUBSTITUTE(SUBSTITUTE(SUBSTITUTE(SUBSTITUTE(TRIM(E443),"*",""),".",""),"-","")," ",""))=11,MID(SUBSTITUTE(SUBSTITUTE(SUBSTITUTE(SUBSTITUTE(TRIM(E443),"*",""),".",""),"-","")," ",""),4,6),SUBSTITUTE(SUBSTITUTE(SUBSTITUTE(SUBSTITUTE(TRIM(E443),"*",""),".",""),"-","")," ","")))</f>
        <v/>
      </c>
      <c r="H443" s="31" t="str">
        <f aca="false">IF(OR(F443="",G443=""),"",F443&amp;"|"&amp;G443)</f>
        <v/>
      </c>
      <c r="I443" s="23"/>
      <c r="J443" s="22"/>
      <c r="K443" s="22"/>
      <c r="L443" s="25" t="str">
        <f aca="false">IF(F443="","",IF(AND(H443&lt;&gt;"",COUNTIF(Pessoas!$E:$E,H443)&gt;0),"SIM",IF(COUNTIF(Pessoas!$C:$C,F443)&gt;0,"nome igual em Pessoas: confira o CPF","")))</f>
        <v/>
      </c>
      <c r="M443" s="24"/>
      <c r="N443" s="11"/>
    </row>
    <row r="444" customFormat="false" ht="15" hidden="false" customHeight="false" outlineLevel="0" collapsed="false">
      <c r="A444" s="24"/>
      <c r="B444" s="31" t="str">
        <f aca="false">IF(A444="","",IF(LEN(UPPER(SUBSTITUTE(SUBSTITUTE(SUBSTITUTE(SUBSTITUTE(TRIM(A444),".",""),"/",""),"-","")," ","")))&lt;14,RIGHT(REPT("0",14)&amp;UPPER(SUBSTITUTE(SUBSTITUTE(SUBSTITUTE(SUBSTITUTE(TRIM(A444),".",""),"/",""),"-","")," ","")),14),UPPER(SUBSTITUTE(SUBSTITUTE(SUBSTITUTE(SUBSTITUTE(TRIM(A444),".",""),"/",""),"-","")," ",""))))</f>
        <v/>
      </c>
      <c r="C444" s="25" t="str">
        <f aca="false">IF(B444="","",IFERROR(INDEX(Empresas!$C:$C,MATCH(B444,Empresas!$B:$B,0)),"cadastre o CNPJ em Empresas"))</f>
        <v/>
      </c>
      <c r="D444" s="23"/>
      <c r="E444" s="24"/>
      <c r="F444" s="31" t="str">
        <f aca="false">IF(D444="","",SUBSTITUTE(SUBSTITUTE(SUBSTITUTE(SUBSTITUTE(SUBSTITUTE(SUBSTITUTE(SUBSTITUTE(SUBSTITUTE(SUBSTITUTE(SUBSTITUTE(SUBSTITUTE(SUBSTITUTE(SUBSTITUTE(UPPER(TRIM(D444)),"Á","A"),"À","A"),"Â","A"),"Ã","A"),"É","E"),"Ê","E"),"Í","I"),"Ó","O"),"Ô","O"),"Õ","O"),"Ú","U"),"Ü","U"),"Ç","C"))</f>
        <v/>
      </c>
      <c r="G444" s="31" t="str">
        <f aca="false">IF(E444="","",IF(LEN(SUBSTITUTE(SUBSTITUTE(SUBSTITUTE(SUBSTITUTE(TRIM(E444),"*",""),".",""),"-","")," ",""))=11,MID(SUBSTITUTE(SUBSTITUTE(SUBSTITUTE(SUBSTITUTE(TRIM(E444),"*",""),".",""),"-","")," ",""),4,6),SUBSTITUTE(SUBSTITUTE(SUBSTITUTE(SUBSTITUTE(TRIM(E444),"*",""),".",""),"-","")," ","")))</f>
        <v/>
      </c>
      <c r="H444" s="31" t="str">
        <f aca="false">IF(OR(F444="",G444=""),"",F444&amp;"|"&amp;G444)</f>
        <v/>
      </c>
      <c r="I444" s="23"/>
      <c r="J444" s="22"/>
      <c r="K444" s="22"/>
      <c r="L444" s="25" t="str">
        <f aca="false">IF(F444="","",IF(AND(H444&lt;&gt;"",COUNTIF(Pessoas!$E:$E,H444)&gt;0),"SIM",IF(COUNTIF(Pessoas!$C:$C,F444)&gt;0,"nome igual em Pessoas: confira o CPF","")))</f>
        <v/>
      </c>
      <c r="M444" s="24"/>
      <c r="N444" s="11"/>
    </row>
    <row r="445" customFormat="false" ht="15" hidden="false" customHeight="false" outlineLevel="0" collapsed="false">
      <c r="A445" s="24"/>
      <c r="B445" s="31" t="str">
        <f aca="false">IF(A445="","",IF(LEN(UPPER(SUBSTITUTE(SUBSTITUTE(SUBSTITUTE(SUBSTITUTE(TRIM(A445),".",""),"/",""),"-","")," ","")))&lt;14,RIGHT(REPT("0",14)&amp;UPPER(SUBSTITUTE(SUBSTITUTE(SUBSTITUTE(SUBSTITUTE(TRIM(A445),".",""),"/",""),"-","")," ","")),14),UPPER(SUBSTITUTE(SUBSTITUTE(SUBSTITUTE(SUBSTITUTE(TRIM(A445),".",""),"/",""),"-","")," ",""))))</f>
        <v/>
      </c>
      <c r="C445" s="25" t="str">
        <f aca="false">IF(B445="","",IFERROR(INDEX(Empresas!$C:$C,MATCH(B445,Empresas!$B:$B,0)),"cadastre o CNPJ em Empresas"))</f>
        <v/>
      </c>
      <c r="D445" s="23"/>
      <c r="E445" s="24"/>
      <c r="F445" s="31" t="str">
        <f aca="false">IF(D445="","",SUBSTITUTE(SUBSTITUTE(SUBSTITUTE(SUBSTITUTE(SUBSTITUTE(SUBSTITUTE(SUBSTITUTE(SUBSTITUTE(SUBSTITUTE(SUBSTITUTE(SUBSTITUTE(SUBSTITUTE(SUBSTITUTE(UPPER(TRIM(D445)),"Á","A"),"À","A"),"Â","A"),"Ã","A"),"É","E"),"Ê","E"),"Í","I"),"Ó","O"),"Ô","O"),"Õ","O"),"Ú","U"),"Ü","U"),"Ç","C"))</f>
        <v/>
      </c>
      <c r="G445" s="31" t="str">
        <f aca="false">IF(E445="","",IF(LEN(SUBSTITUTE(SUBSTITUTE(SUBSTITUTE(SUBSTITUTE(TRIM(E445),"*",""),".",""),"-","")," ",""))=11,MID(SUBSTITUTE(SUBSTITUTE(SUBSTITUTE(SUBSTITUTE(TRIM(E445),"*",""),".",""),"-","")," ",""),4,6),SUBSTITUTE(SUBSTITUTE(SUBSTITUTE(SUBSTITUTE(TRIM(E445),"*",""),".",""),"-","")," ","")))</f>
        <v/>
      </c>
      <c r="H445" s="31" t="str">
        <f aca="false">IF(OR(F445="",G445=""),"",F445&amp;"|"&amp;G445)</f>
        <v/>
      </c>
      <c r="I445" s="23"/>
      <c r="J445" s="22"/>
      <c r="K445" s="22"/>
      <c r="L445" s="25" t="str">
        <f aca="false">IF(F445="","",IF(AND(H445&lt;&gt;"",COUNTIF(Pessoas!$E:$E,H445)&gt;0),"SIM",IF(COUNTIF(Pessoas!$C:$C,F445)&gt;0,"nome igual em Pessoas: confira o CPF","")))</f>
        <v/>
      </c>
      <c r="M445" s="24"/>
      <c r="N445" s="11"/>
    </row>
    <row r="446" customFormat="false" ht="15" hidden="false" customHeight="false" outlineLevel="0" collapsed="false">
      <c r="A446" s="24"/>
      <c r="B446" s="31" t="str">
        <f aca="false">IF(A446="","",IF(LEN(UPPER(SUBSTITUTE(SUBSTITUTE(SUBSTITUTE(SUBSTITUTE(TRIM(A446),".",""),"/",""),"-","")," ","")))&lt;14,RIGHT(REPT("0",14)&amp;UPPER(SUBSTITUTE(SUBSTITUTE(SUBSTITUTE(SUBSTITUTE(TRIM(A446),".",""),"/",""),"-","")," ","")),14),UPPER(SUBSTITUTE(SUBSTITUTE(SUBSTITUTE(SUBSTITUTE(TRIM(A446),".",""),"/",""),"-","")," ",""))))</f>
        <v/>
      </c>
      <c r="C446" s="25" t="str">
        <f aca="false">IF(B446="","",IFERROR(INDEX(Empresas!$C:$C,MATCH(B446,Empresas!$B:$B,0)),"cadastre o CNPJ em Empresas"))</f>
        <v/>
      </c>
      <c r="D446" s="23"/>
      <c r="E446" s="24"/>
      <c r="F446" s="31" t="str">
        <f aca="false">IF(D446="","",SUBSTITUTE(SUBSTITUTE(SUBSTITUTE(SUBSTITUTE(SUBSTITUTE(SUBSTITUTE(SUBSTITUTE(SUBSTITUTE(SUBSTITUTE(SUBSTITUTE(SUBSTITUTE(SUBSTITUTE(SUBSTITUTE(UPPER(TRIM(D446)),"Á","A"),"À","A"),"Â","A"),"Ã","A"),"É","E"),"Ê","E"),"Í","I"),"Ó","O"),"Ô","O"),"Õ","O"),"Ú","U"),"Ü","U"),"Ç","C"))</f>
        <v/>
      </c>
      <c r="G446" s="31" t="str">
        <f aca="false">IF(E446="","",IF(LEN(SUBSTITUTE(SUBSTITUTE(SUBSTITUTE(SUBSTITUTE(TRIM(E446),"*",""),".",""),"-","")," ",""))=11,MID(SUBSTITUTE(SUBSTITUTE(SUBSTITUTE(SUBSTITUTE(TRIM(E446),"*",""),".",""),"-","")," ",""),4,6),SUBSTITUTE(SUBSTITUTE(SUBSTITUTE(SUBSTITUTE(TRIM(E446),"*",""),".",""),"-","")," ","")))</f>
        <v/>
      </c>
      <c r="H446" s="31" t="str">
        <f aca="false">IF(OR(F446="",G446=""),"",F446&amp;"|"&amp;G446)</f>
        <v/>
      </c>
      <c r="I446" s="23"/>
      <c r="J446" s="22"/>
      <c r="K446" s="22"/>
      <c r="L446" s="25" t="str">
        <f aca="false">IF(F446="","",IF(AND(H446&lt;&gt;"",COUNTIF(Pessoas!$E:$E,H446)&gt;0),"SIM",IF(COUNTIF(Pessoas!$C:$C,F446)&gt;0,"nome igual em Pessoas: confira o CPF","")))</f>
        <v/>
      </c>
      <c r="M446" s="24"/>
      <c r="N446" s="11"/>
    </row>
    <row r="447" customFormat="false" ht="15" hidden="false" customHeight="false" outlineLevel="0" collapsed="false">
      <c r="A447" s="24"/>
      <c r="B447" s="31" t="str">
        <f aca="false">IF(A447="","",IF(LEN(UPPER(SUBSTITUTE(SUBSTITUTE(SUBSTITUTE(SUBSTITUTE(TRIM(A447),".",""),"/",""),"-","")," ","")))&lt;14,RIGHT(REPT("0",14)&amp;UPPER(SUBSTITUTE(SUBSTITUTE(SUBSTITUTE(SUBSTITUTE(TRIM(A447),".",""),"/",""),"-","")," ","")),14),UPPER(SUBSTITUTE(SUBSTITUTE(SUBSTITUTE(SUBSTITUTE(TRIM(A447),".",""),"/",""),"-","")," ",""))))</f>
        <v/>
      </c>
      <c r="C447" s="25" t="str">
        <f aca="false">IF(B447="","",IFERROR(INDEX(Empresas!$C:$C,MATCH(B447,Empresas!$B:$B,0)),"cadastre o CNPJ em Empresas"))</f>
        <v/>
      </c>
      <c r="D447" s="23"/>
      <c r="E447" s="24"/>
      <c r="F447" s="31" t="str">
        <f aca="false">IF(D447="","",SUBSTITUTE(SUBSTITUTE(SUBSTITUTE(SUBSTITUTE(SUBSTITUTE(SUBSTITUTE(SUBSTITUTE(SUBSTITUTE(SUBSTITUTE(SUBSTITUTE(SUBSTITUTE(SUBSTITUTE(SUBSTITUTE(UPPER(TRIM(D447)),"Á","A"),"À","A"),"Â","A"),"Ã","A"),"É","E"),"Ê","E"),"Í","I"),"Ó","O"),"Ô","O"),"Õ","O"),"Ú","U"),"Ü","U"),"Ç","C"))</f>
        <v/>
      </c>
      <c r="G447" s="31" t="str">
        <f aca="false">IF(E447="","",IF(LEN(SUBSTITUTE(SUBSTITUTE(SUBSTITUTE(SUBSTITUTE(TRIM(E447),"*",""),".",""),"-","")," ",""))=11,MID(SUBSTITUTE(SUBSTITUTE(SUBSTITUTE(SUBSTITUTE(TRIM(E447),"*",""),".",""),"-","")," ",""),4,6),SUBSTITUTE(SUBSTITUTE(SUBSTITUTE(SUBSTITUTE(TRIM(E447),"*",""),".",""),"-","")," ","")))</f>
        <v/>
      </c>
      <c r="H447" s="31" t="str">
        <f aca="false">IF(OR(F447="",G447=""),"",F447&amp;"|"&amp;G447)</f>
        <v/>
      </c>
      <c r="I447" s="23"/>
      <c r="J447" s="22"/>
      <c r="K447" s="22"/>
      <c r="L447" s="25" t="str">
        <f aca="false">IF(F447="","",IF(AND(H447&lt;&gt;"",COUNTIF(Pessoas!$E:$E,H447)&gt;0),"SIM",IF(COUNTIF(Pessoas!$C:$C,F447)&gt;0,"nome igual em Pessoas: confira o CPF","")))</f>
        <v/>
      </c>
      <c r="M447" s="24"/>
      <c r="N447" s="11"/>
    </row>
    <row r="448" customFormat="false" ht="15" hidden="false" customHeight="false" outlineLevel="0" collapsed="false">
      <c r="A448" s="24"/>
      <c r="B448" s="31" t="str">
        <f aca="false">IF(A448="","",IF(LEN(UPPER(SUBSTITUTE(SUBSTITUTE(SUBSTITUTE(SUBSTITUTE(TRIM(A448),".",""),"/",""),"-","")," ","")))&lt;14,RIGHT(REPT("0",14)&amp;UPPER(SUBSTITUTE(SUBSTITUTE(SUBSTITUTE(SUBSTITUTE(TRIM(A448),".",""),"/",""),"-","")," ","")),14),UPPER(SUBSTITUTE(SUBSTITUTE(SUBSTITUTE(SUBSTITUTE(TRIM(A448),".",""),"/",""),"-","")," ",""))))</f>
        <v/>
      </c>
      <c r="C448" s="25" t="str">
        <f aca="false">IF(B448="","",IFERROR(INDEX(Empresas!$C:$C,MATCH(B448,Empresas!$B:$B,0)),"cadastre o CNPJ em Empresas"))</f>
        <v/>
      </c>
      <c r="D448" s="23"/>
      <c r="E448" s="24"/>
      <c r="F448" s="31" t="str">
        <f aca="false">IF(D448="","",SUBSTITUTE(SUBSTITUTE(SUBSTITUTE(SUBSTITUTE(SUBSTITUTE(SUBSTITUTE(SUBSTITUTE(SUBSTITUTE(SUBSTITUTE(SUBSTITUTE(SUBSTITUTE(SUBSTITUTE(SUBSTITUTE(UPPER(TRIM(D448)),"Á","A"),"À","A"),"Â","A"),"Ã","A"),"É","E"),"Ê","E"),"Í","I"),"Ó","O"),"Ô","O"),"Õ","O"),"Ú","U"),"Ü","U"),"Ç","C"))</f>
        <v/>
      </c>
      <c r="G448" s="31" t="str">
        <f aca="false">IF(E448="","",IF(LEN(SUBSTITUTE(SUBSTITUTE(SUBSTITUTE(SUBSTITUTE(TRIM(E448),"*",""),".",""),"-","")," ",""))=11,MID(SUBSTITUTE(SUBSTITUTE(SUBSTITUTE(SUBSTITUTE(TRIM(E448),"*",""),".",""),"-","")," ",""),4,6),SUBSTITUTE(SUBSTITUTE(SUBSTITUTE(SUBSTITUTE(TRIM(E448),"*",""),".",""),"-","")," ","")))</f>
        <v/>
      </c>
      <c r="H448" s="31" t="str">
        <f aca="false">IF(OR(F448="",G448=""),"",F448&amp;"|"&amp;G448)</f>
        <v/>
      </c>
      <c r="I448" s="23"/>
      <c r="J448" s="22"/>
      <c r="K448" s="22"/>
      <c r="L448" s="25" t="str">
        <f aca="false">IF(F448="","",IF(AND(H448&lt;&gt;"",COUNTIF(Pessoas!$E:$E,H448)&gt;0),"SIM",IF(COUNTIF(Pessoas!$C:$C,F448)&gt;0,"nome igual em Pessoas: confira o CPF","")))</f>
        <v/>
      </c>
      <c r="M448" s="24"/>
      <c r="N448" s="11"/>
    </row>
    <row r="449" customFormat="false" ht="15" hidden="false" customHeight="false" outlineLevel="0" collapsed="false">
      <c r="A449" s="24"/>
      <c r="B449" s="31" t="str">
        <f aca="false">IF(A449="","",IF(LEN(UPPER(SUBSTITUTE(SUBSTITUTE(SUBSTITUTE(SUBSTITUTE(TRIM(A449),".",""),"/",""),"-","")," ","")))&lt;14,RIGHT(REPT("0",14)&amp;UPPER(SUBSTITUTE(SUBSTITUTE(SUBSTITUTE(SUBSTITUTE(TRIM(A449),".",""),"/",""),"-","")," ","")),14),UPPER(SUBSTITUTE(SUBSTITUTE(SUBSTITUTE(SUBSTITUTE(TRIM(A449),".",""),"/",""),"-","")," ",""))))</f>
        <v/>
      </c>
      <c r="C449" s="25" t="str">
        <f aca="false">IF(B449="","",IFERROR(INDEX(Empresas!$C:$C,MATCH(B449,Empresas!$B:$B,0)),"cadastre o CNPJ em Empresas"))</f>
        <v/>
      </c>
      <c r="D449" s="23"/>
      <c r="E449" s="24"/>
      <c r="F449" s="31" t="str">
        <f aca="false">IF(D449="","",SUBSTITUTE(SUBSTITUTE(SUBSTITUTE(SUBSTITUTE(SUBSTITUTE(SUBSTITUTE(SUBSTITUTE(SUBSTITUTE(SUBSTITUTE(SUBSTITUTE(SUBSTITUTE(SUBSTITUTE(SUBSTITUTE(UPPER(TRIM(D449)),"Á","A"),"À","A"),"Â","A"),"Ã","A"),"É","E"),"Ê","E"),"Í","I"),"Ó","O"),"Ô","O"),"Õ","O"),"Ú","U"),"Ü","U"),"Ç","C"))</f>
        <v/>
      </c>
      <c r="G449" s="31" t="str">
        <f aca="false">IF(E449="","",IF(LEN(SUBSTITUTE(SUBSTITUTE(SUBSTITUTE(SUBSTITUTE(TRIM(E449),"*",""),".",""),"-","")," ",""))=11,MID(SUBSTITUTE(SUBSTITUTE(SUBSTITUTE(SUBSTITUTE(TRIM(E449),"*",""),".",""),"-","")," ",""),4,6),SUBSTITUTE(SUBSTITUTE(SUBSTITUTE(SUBSTITUTE(TRIM(E449),"*",""),".",""),"-","")," ","")))</f>
        <v/>
      </c>
      <c r="H449" s="31" t="str">
        <f aca="false">IF(OR(F449="",G449=""),"",F449&amp;"|"&amp;G449)</f>
        <v/>
      </c>
      <c r="I449" s="23"/>
      <c r="J449" s="22"/>
      <c r="K449" s="22"/>
      <c r="L449" s="25" t="str">
        <f aca="false">IF(F449="","",IF(AND(H449&lt;&gt;"",COUNTIF(Pessoas!$E:$E,H449)&gt;0),"SIM",IF(COUNTIF(Pessoas!$C:$C,F449)&gt;0,"nome igual em Pessoas: confira o CPF","")))</f>
        <v/>
      </c>
      <c r="M449" s="24"/>
      <c r="N449" s="11"/>
    </row>
    <row r="450" customFormat="false" ht="15" hidden="false" customHeight="false" outlineLevel="0" collapsed="false">
      <c r="A450" s="24"/>
      <c r="B450" s="31" t="str">
        <f aca="false">IF(A450="","",IF(LEN(UPPER(SUBSTITUTE(SUBSTITUTE(SUBSTITUTE(SUBSTITUTE(TRIM(A450),".",""),"/",""),"-","")," ","")))&lt;14,RIGHT(REPT("0",14)&amp;UPPER(SUBSTITUTE(SUBSTITUTE(SUBSTITUTE(SUBSTITUTE(TRIM(A450),".",""),"/",""),"-","")," ","")),14),UPPER(SUBSTITUTE(SUBSTITUTE(SUBSTITUTE(SUBSTITUTE(TRIM(A450),".",""),"/",""),"-","")," ",""))))</f>
        <v/>
      </c>
      <c r="C450" s="25" t="str">
        <f aca="false">IF(B450="","",IFERROR(INDEX(Empresas!$C:$C,MATCH(B450,Empresas!$B:$B,0)),"cadastre o CNPJ em Empresas"))</f>
        <v/>
      </c>
      <c r="D450" s="23"/>
      <c r="E450" s="24"/>
      <c r="F450" s="31" t="str">
        <f aca="false">IF(D450="","",SUBSTITUTE(SUBSTITUTE(SUBSTITUTE(SUBSTITUTE(SUBSTITUTE(SUBSTITUTE(SUBSTITUTE(SUBSTITUTE(SUBSTITUTE(SUBSTITUTE(SUBSTITUTE(SUBSTITUTE(SUBSTITUTE(UPPER(TRIM(D450)),"Á","A"),"À","A"),"Â","A"),"Ã","A"),"É","E"),"Ê","E"),"Í","I"),"Ó","O"),"Ô","O"),"Õ","O"),"Ú","U"),"Ü","U"),"Ç","C"))</f>
        <v/>
      </c>
      <c r="G450" s="31" t="str">
        <f aca="false">IF(E450="","",IF(LEN(SUBSTITUTE(SUBSTITUTE(SUBSTITUTE(SUBSTITUTE(TRIM(E450),"*",""),".",""),"-","")," ",""))=11,MID(SUBSTITUTE(SUBSTITUTE(SUBSTITUTE(SUBSTITUTE(TRIM(E450),"*",""),".",""),"-","")," ",""),4,6),SUBSTITUTE(SUBSTITUTE(SUBSTITUTE(SUBSTITUTE(TRIM(E450),"*",""),".",""),"-","")," ","")))</f>
        <v/>
      </c>
      <c r="H450" s="31" t="str">
        <f aca="false">IF(OR(F450="",G450=""),"",F450&amp;"|"&amp;G450)</f>
        <v/>
      </c>
      <c r="I450" s="23"/>
      <c r="J450" s="22"/>
      <c r="K450" s="22"/>
      <c r="L450" s="25" t="str">
        <f aca="false">IF(F450="","",IF(AND(H450&lt;&gt;"",COUNTIF(Pessoas!$E:$E,H450)&gt;0),"SIM",IF(COUNTIF(Pessoas!$C:$C,F450)&gt;0,"nome igual em Pessoas: confira o CPF","")))</f>
        <v/>
      </c>
      <c r="M450" s="24"/>
      <c r="N450" s="11"/>
    </row>
    <row r="451" customFormat="false" ht="15" hidden="false" customHeight="false" outlineLevel="0" collapsed="false">
      <c r="A451" s="24"/>
      <c r="B451" s="31" t="str">
        <f aca="false">IF(A451="","",IF(LEN(UPPER(SUBSTITUTE(SUBSTITUTE(SUBSTITUTE(SUBSTITUTE(TRIM(A451),".",""),"/",""),"-","")," ","")))&lt;14,RIGHT(REPT("0",14)&amp;UPPER(SUBSTITUTE(SUBSTITUTE(SUBSTITUTE(SUBSTITUTE(TRIM(A451),".",""),"/",""),"-","")," ","")),14),UPPER(SUBSTITUTE(SUBSTITUTE(SUBSTITUTE(SUBSTITUTE(TRIM(A451),".",""),"/",""),"-","")," ",""))))</f>
        <v/>
      </c>
      <c r="C451" s="25" t="str">
        <f aca="false">IF(B451="","",IFERROR(INDEX(Empresas!$C:$C,MATCH(B451,Empresas!$B:$B,0)),"cadastre o CNPJ em Empresas"))</f>
        <v/>
      </c>
      <c r="D451" s="23"/>
      <c r="E451" s="24"/>
      <c r="F451" s="31" t="str">
        <f aca="false">IF(D451="","",SUBSTITUTE(SUBSTITUTE(SUBSTITUTE(SUBSTITUTE(SUBSTITUTE(SUBSTITUTE(SUBSTITUTE(SUBSTITUTE(SUBSTITUTE(SUBSTITUTE(SUBSTITUTE(SUBSTITUTE(SUBSTITUTE(UPPER(TRIM(D451)),"Á","A"),"À","A"),"Â","A"),"Ã","A"),"É","E"),"Ê","E"),"Í","I"),"Ó","O"),"Ô","O"),"Õ","O"),"Ú","U"),"Ü","U"),"Ç","C"))</f>
        <v/>
      </c>
      <c r="G451" s="31" t="str">
        <f aca="false">IF(E451="","",IF(LEN(SUBSTITUTE(SUBSTITUTE(SUBSTITUTE(SUBSTITUTE(TRIM(E451),"*",""),".",""),"-","")," ",""))=11,MID(SUBSTITUTE(SUBSTITUTE(SUBSTITUTE(SUBSTITUTE(TRIM(E451),"*",""),".",""),"-","")," ",""),4,6),SUBSTITUTE(SUBSTITUTE(SUBSTITUTE(SUBSTITUTE(TRIM(E451),"*",""),".",""),"-","")," ","")))</f>
        <v/>
      </c>
      <c r="H451" s="31" t="str">
        <f aca="false">IF(OR(F451="",G451=""),"",F451&amp;"|"&amp;G451)</f>
        <v/>
      </c>
      <c r="I451" s="23"/>
      <c r="J451" s="22"/>
      <c r="K451" s="22"/>
      <c r="L451" s="25" t="str">
        <f aca="false">IF(F451="","",IF(AND(H451&lt;&gt;"",COUNTIF(Pessoas!$E:$E,H451)&gt;0),"SIM",IF(COUNTIF(Pessoas!$C:$C,F451)&gt;0,"nome igual em Pessoas: confira o CPF","")))</f>
        <v/>
      </c>
      <c r="M451" s="24"/>
      <c r="N451" s="11"/>
    </row>
    <row r="452" customFormat="false" ht="15" hidden="false" customHeight="false" outlineLevel="0" collapsed="false">
      <c r="A452" s="24"/>
      <c r="B452" s="31" t="str">
        <f aca="false">IF(A452="","",IF(LEN(UPPER(SUBSTITUTE(SUBSTITUTE(SUBSTITUTE(SUBSTITUTE(TRIM(A452),".",""),"/",""),"-","")," ","")))&lt;14,RIGHT(REPT("0",14)&amp;UPPER(SUBSTITUTE(SUBSTITUTE(SUBSTITUTE(SUBSTITUTE(TRIM(A452),".",""),"/",""),"-","")," ","")),14),UPPER(SUBSTITUTE(SUBSTITUTE(SUBSTITUTE(SUBSTITUTE(TRIM(A452),".",""),"/",""),"-","")," ",""))))</f>
        <v/>
      </c>
      <c r="C452" s="25" t="str">
        <f aca="false">IF(B452="","",IFERROR(INDEX(Empresas!$C:$C,MATCH(B452,Empresas!$B:$B,0)),"cadastre o CNPJ em Empresas"))</f>
        <v/>
      </c>
      <c r="D452" s="23"/>
      <c r="E452" s="24"/>
      <c r="F452" s="31" t="str">
        <f aca="false">IF(D452="","",SUBSTITUTE(SUBSTITUTE(SUBSTITUTE(SUBSTITUTE(SUBSTITUTE(SUBSTITUTE(SUBSTITUTE(SUBSTITUTE(SUBSTITUTE(SUBSTITUTE(SUBSTITUTE(SUBSTITUTE(SUBSTITUTE(UPPER(TRIM(D452)),"Á","A"),"À","A"),"Â","A"),"Ã","A"),"É","E"),"Ê","E"),"Í","I"),"Ó","O"),"Ô","O"),"Õ","O"),"Ú","U"),"Ü","U"),"Ç","C"))</f>
        <v/>
      </c>
      <c r="G452" s="31" t="str">
        <f aca="false">IF(E452="","",IF(LEN(SUBSTITUTE(SUBSTITUTE(SUBSTITUTE(SUBSTITUTE(TRIM(E452),"*",""),".",""),"-","")," ",""))=11,MID(SUBSTITUTE(SUBSTITUTE(SUBSTITUTE(SUBSTITUTE(TRIM(E452),"*",""),".",""),"-","")," ",""),4,6),SUBSTITUTE(SUBSTITUTE(SUBSTITUTE(SUBSTITUTE(TRIM(E452),"*",""),".",""),"-","")," ","")))</f>
        <v/>
      </c>
      <c r="H452" s="31" t="str">
        <f aca="false">IF(OR(F452="",G452=""),"",F452&amp;"|"&amp;G452)</f>
        <v/>
      </c>
      <c r="I452" s="23"/>
      <c r="J452" s="22"/>
      <c r="K452" s="22"/>
      <c r="L452" s="25" t="str">
        <f aca="false">IF(F452="","",IF(AND(H452&lt;&gt;"",COUNTIF(Pessoas!$E:$E,H452)&gt;0),"SIM",IF(COUNTIF(Pessoas!$C:$C,F452)&gt;0,"nome igual em Pessoas: confira o CPF","")))</f>
        <v/>
      </c>
      <c r="M452" s="24"/>
      <c r="N452" s="11"/>
    </row>
    <row r="453" customFormat="false" ht="15" hidden="false" customHeight="false" outlineLevel="0" collapsed="false">
      <c r="A453" s="24"/>
      <c r="B453" s="31" t="str">
        <f aca="false">IF(A453="","",IF(LEN(UPPER(SUBSTITUTE(SUBSTITUTE(SUBSTITUTE(SUBSTITUTE(TRIM(A453),".",""),"/",""),"-","")," ","")))&lt;14,RIGHT(REPT("0",14)&amp;UPPER(SUBSTITUTE(SUBSTITUTE(SUBSTITUTE(SUBSTITUTE(TRIM(A453),".",""),"/",""),"-","")," ","")),14),UPPER(SUBSTITUTE(SUBSTITUTE(SUBSTITUTE(SUBSTITUTE(TRIM(A453),".",""),"/",""),"-","")," ",""))))</f>
        <v/>
      </c>
      <c r="C453" s="25" t="str">
        <f aca="false">IF(B453="","",IFERROR(INDEX(Empresas!$C:$C,MATCH(B453,Empresas!$B:$B,0)),"cadastre o CNPJ em Empresas"))</f>
        <v/>
      </c>
      <c r="D453" s="23"/>
      <c r="E453" s="24"/>
      <c r="F453" s="31" t="str">
        <f aca="false">IF(D453="","",SUBSTITUTE(SUBSTITUTE(SUBSTITUTE(SUBSTITUTE(SUBSTITUTE(SUBSTITUTE(SUBSTITUTE(SUBSTITUTE(SUBSTITUTE(SUBSTITUTE(SUBSTITUTE(SUBSTITUTE(SUBSTITUTE(UPPER(TRIM(D453)),"Á","A"),"À","A"),"Â","A"),"Ã","A"),"É","E"),"Ê","E"),"Í","I"),"Ó","O"),"Ô","O"),"Õ","O"),"Ú","U"),"Ü","U"),"Ç","C"))</f>
        <v/>
      </c>
      <c r="G453" s="31" t="str">
        <f aca="false">IF(E453="","",IF(LEN(SUBSTITUTE(SUBSTITUTE(SUBSTITUTE(SUBSTITUTE(TRIM(E453),"*",""),".",""),"-","")," ",""))=11,MID(SUBSTITUTE(SUBSTITUTE(SUBSTITUTE(SUBSTITUTE(TRIM(E453),"*",""),".",""),"-","")," ",""),4,6),SUBSTITUTE(SUBSTITUTE(SUBSTITUTE(SUBSTITUTE(TRIM(E453),"*",""),".",""),"-","")," ","")))</f>
        <v/>
      </c>
      <c r="H453" s="31" t="str">
        <f aca="false">IF(OR(F453="",G453=""),"",F453&amp;"|"&amp;G453)</f>
        <v/>
      </c>
      <c r="I453" s="23"/>
      <c r="J453" s="22"/>
      <c r="K453" s="22"/>
      <c r="L453" s="25" t="str">
        <f aca="false">IF(F453="","",IF(AND(H453&lt;&gt;"",COUNTIF(Pessoas!$E:$E,H453)&gt;0),"SIM",IF(COUNTIF(Pessoas!$C:$C,F453)&gt;0,"nome igual em Pessoas: confira o CPF","")))</f>
        <v/>
      </c>
      <c r="M453" s="24"/>
      <c r="N453" s="11"/>
    </row>
    <row r="454" customFormat="false" ht="15" hidden="false" customHeight="false" outlineLevel="0" collapsed="false">
      <c r="A454" s="24"/>
      <c r="B454" s="31" t="str">
        <f aca="false">IF(A454="","",IF(LEN(UPPER(SUBSTITUTE(SUBSTITUTE(SUBSTITUTE(SUBSTITUTE(TRIM(A454),".",""),"/",""),"-","")," ","")))&lt;14,RIGHT(REPT("0",14)&amp;UPPER(SUBSTITUTE(SUBSTITUTE(SUBSTITUTE(SUBSTITUTE(TRIM(A454),".",""),"/",""),"-","")," ","")),14),UPPER(SUBSTITUTE(SUBSTITUTE(SUBSTITUTE(SUBSTITUTE(TRIM(A454),".",""),"/",""),"-","")," ",""))))</f>
        <v/>
      </c>
      <c r="C454" s="25" t="str">
        <f aca="false">IF(B454="","",IFERROR(INDEX(Empresas!$C:$C,MATCH(B454,Empresas!$B:$B,0)),"cadastre o CNPJ em Empresas"))</f>
        <v/>
      </c>
      <c r="D454" s="23"/>
      <c r="E454" s="24"/>
      <c r="F454" s="31" t="str">
        <f aca="false">IF(D454="","",SUBSTITUTE(SUBSTITUTE(SUBSTITUTE(SUBSTITUTE(SUBSTITUTE(SUBSTITUTE(SUBSTITUTE(SUBSTITUTE(SUBSTITUTE(SUBSTITUTE(SUBSTITUTE(SUBSTITUTE(SUBSTITUTE(UPPER(TRIM(D454)),"Á","A"),"À","A"),"Â","A"),"Ã","A"),"É","E"),"Ê","E"),"Í","I"),"Ó","O"),"Ô","O"),"Õ","O"),"Ú","U"),"Ü","U"),"Ç","C"))</f>
        <v/>
      </c>
      <c r="G454" s="31" t="str">
        <f aca="false">IF(E454="","",IF(LEN(SUBSTITUTE(SUBSTITUTE(SUBSTITUTE(SUBSTITUTE(TRIM(E454),"*",""),".",""),"-","")," ",""))=11,MID(SUBSTITUTE(SUBSTITUTE(SUBSTITUTE(SUBSTITUTE(TRIM(E454),"*",""),".",""),"-","")," ",""),4,6),SUBSTITUTE(SUBSTITUTE(SUBSTITUTE(SUBSTITUTE(TRIM(E454),"*",""),".",""),"-","")," ","")))</f>
        <v/>
      </c>
      <c r="H454" s="31" t="str">
        <f aca="false">IF(OR(F454="",G454=""),"",F454&amp;"|"&amp;G454)</f>
        <v/>
      </c>
      <c r="I454" s="23"/>
      <c r="J454" s="22"/>
      <c r="K454" s="22"/>
      <c r="L454" s="25" t="str">
        <f aca="false">IF(F454="","",IF(AND(H454&lt;&gt;"",COUNTIF(Pessoas!$E:$E,H454)&gt;0),"SIM",IF(COUNTIF(Pessoas!$C:$C,F454)&gt;0,"nome igual em Pessoas: confira o CPF","")))</f>
        <v/>
      </c>
      <c r="M454" s="24"/>
      <c r="N454" s="11"/>
    </row>
    <row r="455" customFormat="false" ht="15" hidden="false" customHeight="false" outlineLevel="0" collapsed="false">
      <c r="A455" s="24"/>
      <c r="B455" s="31" t="str">
        <f aca="false">IF(A455="","",IF(LEN(UPPER(SUBSTITUTE(SUBSTITUTE(SUBSTITUTE(SUBSTITUTE(TRIM(A455),".",""),"/",""),"-","")," ","")))&lt;14,RIGHT(REPT("0",14)&amp;UPPER(SUBSTITUTE(SUBSTITUTE(SUBSTITUTE(SUBSTITUTE(TRIM(A455),".",""),"/",""),"-","")," ","")),14),UPPER(SUBSTITUTE(SUBSTITUTE(SUBSTITUTE(SUBSTITUTE(TRIM(A455),".",""),"/",""),"-","")," ",""))))</f>
        <v/>
      </c>
      <c r="C455" s="25" t="str">
        <f aca="false">IF(B455="","",IFERROR(INDEX(Empresas!$C:$C,MATCH(B455,Empresas!$B:$B,0)),"cadastre o CNPJ em Empresas"))</f>
        <v/>
      </c>
      <c r="D455" s="23"/>
      <c r="E455" s="24"/>
      <c r="F455" s="31" t="str">
        <f aca="false">IF(D455="","",SUBSTITUTE(SUBSTITUTE(SUBSTITUTE(SUBSTITUTE(SUBSTITUTE(SUBSTITUTE(SUBSTITUTE(SUBSTITUTE(SUBSTITUTE(SUBSTITUTE(SUBSTITUTE(SUBSTITUTE(SUBSTITUTE(UPPER(TRIM(D455)),"Á","A"),"À","A"),"Â","A"),"Ã","A"),"É","E"),"Ê","E"),"Í","I"),"Ó","O"),"Ô","O"),"Õ","O"),"Ú","U"),"Ü","U"),"Ç","C"))</f>
        <v/>
      </c>
      <c r="G455" s="31" t="str">
        <f aca="false">IF(E455="","",IF(LEN(SUBSTITUTE(SUBSTITUTE(SUBSTITUTE(SUBSTITUTE(TRIM(E455),"*",""),".",""),"-","")," ",""))=11,MID(SUBSTITUTE(SUBSTITUTE(SUBSTITUTE(SUBSTITUTE(TRIM(E455),"*",""),".",""),"-","")," ",""),4,6),SUBSTITUTE(SUBSTITUTE(SUBSTITUTE(SUBSTITUTE(TRIM(E455),"*",""),".",""),"-","")," ","")))</f>
        <v/>
      </c>
      <c r="H455" s="31" t="str">
        <f aca="false">IF(OR(F455="",G455=""),"",F455&amp;"|"&amp;G455)</f>
        <v/>
      </c>
      <c r="I455" s="23"/>
      <c r="J455" s="22"/>
      <c r="K455" s="22"/>
      <c r="L455" s="25" t="str">
        <f aca="false">IF(F455="","",IF(AND(H455&lt;&gt;"",COUNTIF(Pessoas!$E:$E,H455)&gt;0),"SIM",IF(COUNTIF(Pessoas!$C:$C,F455)&gt;0,"nome igual em Pessoas: confira o CPF","")))</f>
        <v/>
      </c>
      <c r="M455" s="24"/>
      <c r="N455" s="11"/>
    </row>
    <row r="456" customFormat="false" ht="15" hidden="false" customHeight="false" outlineLevel="0" collapsed="false">
      <c r="A456" s="24"/>
      <c r="B456" s="31" t="str">
        <f aca="false">IF(A456="","",IF(LEN(UPPER(SUBSTITUTE(SUBSTITUTE(SUBSTITUTE(SUBSTITUTE(TRIM(A456),".",""),"/",""),"-","")," ","")))&lt;14,RIGHT(REPT("0",14)&amp;UPPER(SUBSTITUTE(SUBSTITUTE(SUBSTITUTE(SUBSTITUTE(TRIM(A456),".",""),"/",""),"-","")," ","")),14),UPPER(SUBSTITUTE(SUBSTITUTE(SUBSTITUTE(SUBSTITUTE(TRIM(A456),".",""),"/",""),"-","")," ",""))))</f>
        <v/>
      </c>
      <c r="C456" s="25" t="str">
        <f aca="false">IF(B456="","",IFERROR(INDEX(Empresas!$C:$C,MATCH(B456,Empresas!$B:$B,0)),"cadastre o CNPJ em Empresas"))</f>
        <v/>
      </c>
      <c r="D456" s="23"/>
      <c r="E456" s="24"/>
      <c r="F456" s="31" t="str">
        <f aca="false">IF(D456="","",SUBSTITUTE(SUBSTITUTE(SUBSTITUTE(SUBSTITUTE(SUBSTITUTE(SUBSTITUTE(SUBSTITUTE(SUBSTITUTE(SUBSTITUTE(SUBSTITUTE(SUBSTITUTE(SUBSTITUTE(SUBSTITUTE(UPPER(TRIM(D456)),"Á","A"),"À","A"),"Â","A"),"Ã","A"),"É","E"),"Ê","E"),"Í","I"),"Ó","O"),"Ô","O"),"Õ","O"),"Ú","U"),"Ü","U"),"Ç","C"))</f>
        <v/>
      </c>
      <c r="G456" s="31" t="str">
        <f aca="false">IF(E456="","",IF(LEN(SUBSTITUTE(SUBSTITUTE(SUBSTITUTE(SUBSTITUTE(TRIM(E456),"*",""),".",""),"-","")," ",""))=11,MID(SUBSTITUTE(SUBSTITUTE(SUBSTITUTE(SUBSTITUTE(TRIM(E456),"*",""),".",""),"-","")," ",""),4,6),SUBSTITUTE(SUBSTITUTE(SUBSTITUTE(SUBSTITUTE(TRIM(E456),"*",""),".",""),"-","")," ","")))</f>
        <v/>
      </c>
      <c r="H456" s="31" t="str">
        <f aca="false">IF(OR(F456="",G456=""),"",F456&amp;"|"&amp;G456)</f>
        <v/>
      </c>
      <c r="I456" s="23"/>
      <c r="J456" s="22"/>
      <c r="K456" s="22"/>
      <c r="L456" s="25" t="str">
        <f aca="false">IF(F456="","",IF(AND(H456&lt;&gt;"",COUNTIF(Pessoas!$E:$E,H456)&gt;0),"SIM",IF(COUNTIF(Pessoas!$C:$C,F456)&gt;0,"nome igual em Pessoas: confira o CPF","")))</f>
        <v/>
      </c>
      <c r="M456" s="24"/>
      <c r="N456" s="11"/>
    </row>
    <row r="457" customFormat="false" ht="15" hidden="false" customHeight="false" outlineLevel="0" collapsed="false">
      <c r="A457" s="24"/>
      <c r="B457" s="31" t="str">
        <f aca="false">IF(A457="","",IF(LEN(UPPER(SUBSTITUTE(SUBSTITUTE(SUBSTITUTE(SUBSTITUTE(TRIM(A457),".",""),"/",""),"-","")," ","")))&lt;14,RIGHT(REPT("0",14)&amp;UPPER(SUBSTITUTE(SUBSTITUTE(SUBSTITUTE(SUBSTITUTE(TRIM(A457),".",""),"/",""),"-","")," ","")),14),UPPER(SUBSTITUTE(SUBSTITUTE(SUBSTITUTE(SUBSTITUTE(TRIM(A457),".",""),"/",""),"-","")," ",""))))</f>
        <v/>
      </c>
      <c r="C457" s="25" t="str">
        <f aca="false">IF(B457="","",IFERROR(INDEX(Empresas!$C:$C,MATCH(B457,Empresas!$B:$B,0)),"cadastre o CNPJ em Empresas"))</f>
        <v/>
      </c>
      <c r="D457" s="23"/>
      <c r="E457" s="24"/>
      <c r="F457" s="31" t="str">
        <f aca="false">IF(D457="","",SUBSTITUTE(SUBSTITUTE(SUBSTITUTE(SUBSTITUTE(SUBSTITUTE(SUBSTITUTE(SUBSTITUTE(SUBSTITUTE(SUBSTITUTE(SUBSTITUTE(SUBSTITUTE(SUBSTITUTE(SUBSTITUTE(UPPER(TRIM(D457)),"Á","A"),"À","A"),"Â","A"),"Ã","A"),"É","E"),"Ê","E"),"Í","I"),"Ó","O"),"Ô","O"),"Õ","O"),"Ú","U"),"Ü","U"),"Ç","C"))</f>
        <v/>
      </c>
      <c r="G457" s="31" t="str">
        <f aca="false">IF(E457="","",IF(LEN(SUBSTITUTE(SUBSTITUTE(SUBSTITUTE(SUBSTITUTE(TRIM(E457),"*",""),".",""),"-","")," ",""))=11,MID(SUBSTITUTE(SUBSTITUTE(SUBSTITUTE(SUBSTITUTE(TRIM(E457),"*",""),".",""),"-","")," ",""),4,6),SUBSTITUTE(SUBSTITUTE(SUBSTITUTE(SUBSTITUTE(TRIM(E457),"*",""),".",""),"-","")," ","")))</f>
        <v/>
      </c>
      <c r="H457" s="31" t="str">
        <f aca="false">IF(OR(F457="",G457=""),"",F457&amp;"|"&amp;G457)</f>
        <v/>
      </c>
      <c r="I457" s="23"/>
      <c r="J457" s="22"/>
      <c r="K457" s="22"/>
      <c r="L457" s="25" t="str">
        <f aca="false">IF(F457="","",IF(AND(H457&lt;&gt;"",COUNTIF(Pessoas!$E:$E,H457)&gt;0),"SIM",IF(COUNTIF(Pessoas!$C:$C,F457)&gt;0,"nome igual em Pessoas: confira o CPF","")))</f>
        <v/>
      </c>
      <c r="M457" s="24"/>
      <c r="N457" s="11"/>
    </row>
    <row r="458" customFormat="false" ht="15" hidden="false" customHeight="false" outlineLevel="0" collapsed="false">
      <c r="A458" s="24"/>
      <c r="B458" s="31" t="str">
        <f aca="false">IF(A458="","",IF(LEN(UPPER(SUBSTITUTE(SUBSTITUTE(SUBSTITUTE(SUBSTITUTE(TRIM(A458),".",""),"/",""),"-","")," ","")))&lt;14,RIGHT(REPT("0",14)&amp;UPPER(SUBSTITUTE(SUBSTITUTE(SUBSTITUTE(SUBSTITUTE(TRIM(A458),".",""),"/",""),"-","")," ","")),14),UPPER(SUBSTITUTE(SUBSTITUTE(SUBSTITUTE(SUBSTITUTE(TRIM(A458),".",""),"/",""),"-","")," ",""))))</f>
        <v/>
      </c>
      <c r="C458" s="25" t="str">
        <f aca="false">IF(B458="","",IFERROR(INDEX(Empresas!$C:$C,MATCH(B458,Empresas!$B:$B,0)),"cadastre o CNPJ em Empresas"))</f>
        <v/>
      </c>
      <c r="D458" s="23"/>
      <c r="E458" s="24"/>
      <c r="F458" s="31" t="str">
        <f aca="false">IF(D458="","",SUBSTITUTE(SUBSTITUTE(SUBSTITUTE(SUBSTITUTE(SUBSTITUTE(SUBSTITUTE(SUBSTITUTE(SUBSTITUTE(SUBSTITUTE(SUBSTITUTE(SUBSTITUTE(SUBSTITUTE(SUBSTITUTE(UPPER(TRIM(D458)),"Á","A"),"À","A"),"Â","A"),"Ã","A"),"É","E"),"Ê","E"),"Í","I"),"Ó","O"),"Ô","O"),"Õ","O"),"Ú","U"),"Ü","U"),"Ç","C"))</f>
        <v/>
      </c>
      <c r="G458" s="31" t="str">
        <f aca="false">IF(E458="","",IF(LEN(SUBSTITUTE(SUBSTITUTE(SUBSTITUTE(SUBSTITUTE(TRIM(E458),"*",""),".",""),"-","")," ",""))=11,MID(SUBSTITUTE(SUBSTITUTE(SUBSTITUTE(SUBSTITUTE(TRIM(E458),"*",""),".",""),"-","")," ",""),4,6),SUBSTITUTE(SUBSTITUTE(SUBSTITUTE(SUBSTITUTE(TRIM(E458),"*",""),".",""),"-","")," ","")))</f>
        <v/>
      </c>
      <c r="H458" s="31" t="str">
        <f aca="false">IF(OR(F458="",G458=""),"",F458&amp;"|"&amp;G458)</f>
        <v/>
      </c>
      <c r="I458" s="23"/>
      <c r="J458" s="22"/>
      <c r="K458" s="22"/>
      <c r="L458" s="25" t="str">
        <f aca="false">IF(F458="","",IF(AND(H458&lt;&gt;"",COUNTIF(Pessoas!$E:$E,H458)&gt;0),"SIM",IF(COUNTIF(Pessoas!$C:$C,F458)&gt;0,"nome igual em Pessoas: confira o CPF","")))</f>
        <v/>
      </c>
      <c r="M458" s="24"/>
      <c r="N458" s="11"/>
    </row>
    <row r="459" customFormat="false" ht="15" hidden="false" customHeight="false" outlineLevel="0" collapsed="false">
      <c r="A459" s="24"/>
      <c r="B459" s="31" t="str">
        <f aca="false">IF(A459="","",IF(LEN(UPPER(SUBSTITUTE(SUBSTITUTE(SUBSTITUTE(SUBSTITUTE(TRIM(A459),".",""),"/",""),"-","")," ","")))&lt;14,RIGHT(REPT("0",14)&amp;UPPER(SUBSTITUTE(SUBSTITUTE(SUBSTITUTE(SUBSTITUTE(TRIM(A459),".",""),"/",""),"-","")," ","")),14),UPPER(SUBSTITUTE(SUBSTITUTE(SUBSTITUTE(SUBSTITUTE(TRIM(A459),".",""),"/",""),"-","")," ",""))))</f>
        <v/>
      </c>
      <c r="C459" s="25" t="str">
        <f aca="false">IF(B459="","",IFERROR(INDEX(Empresas!$C:$C,MATCH(B459,Empresas!$B:$B,0)),"cadastre o CNPJ em Empresas"))</f>
        <v/>
      </c>
      <c r="D459" s="23"/>
      <c r="E459" s="24"/>
      <c r="F459" s="31" t="str">
        <f aca="false">IF(D459="","",SUBSTITUTE(SUBSTITUTE(SUBSTITUTE(SUBSTITUTE(SUBSTITUTE(SUBSTITUTE(SUBSTITUTE(SUBSTITUTE(SUBSTITUTE(SUBSTITUTE(SUBSTITUTE(SUBSTITUTE(SUBSTITUTE(UPPER(TRIM(D459)),"Á","A"),"À","A"),"Â","A"),"Ã","A"),"É","E"),"Ê","E"),"Í","I"),"Ó","O"),"Ô","O"),"Õ","O"),"Ú","U"),"Ü","U"),"Ç","C"))</f>
        <v/>
      </c>
      <c r="G459" s="31" t="str">
        <f aca="false">IF(E459="","",IF(LEN(SUBSTITUTE(SUBSTITUTE(SUBSTITUTE(SUBSTITUTE(TRIM(E459),"*",""),".",""),"-","")," ",""))=11,MID(SUBSTITUTE(SUBSTITUTE(SUBSTITUTE(SUBSTITUTE(TRIM(E459),"*",""),".",""),"-","")," ",""),4,6),SUBSTITUTE(SUBSTITUTE(SUBSTITUTE(SUBSTITUTE(TRIM(E459),"*",""),".",""),"-","")," ","")))</f>
        <v/>
      </c>
      <c r="H459" s="31" t="str">
        <f aca="false">IF(OR(F459="",G459=""),"",F459&amp;"|"&amp;G459)</f>
        <v/>
      </c>
      <c r="I459" s="23"/>
      <c r="J459" s="22"/>
      <c r="K459" s="22"/>
      <c r="L459" s="25" t="str">
        <f aca="false">IF(F459="","",IF(AND(H459&lt;&gt;"",COUNTIF(Pessoas!$E:$E,H459)&gt;0),"SIM",IF(COUNTIF(Pessoas!$C:$C,F459)&gt;0,"nome igual em Pessoas: confira o CPF","")))</f>
        <v/>
      </c>
      <c r="M459" s="24"/>
      <c r="N459" s="11"/>
    </row>
    <row r="460" customFormat="false" ht="15" hidden="false" customHeight="false" outlineLevel="0" collapsed="false">
      <c r="A460" s="24"/>
      <c r="B460" s="31" t="str">
        <f aca="false">IF(A460="","",IF(LEN(UPPER(SUBSTITUTE(SUBSTITUTE(SUBSTITUTE(SUBSTITUTE(TRIM(A460),".",""),"/",""),"-","")," ","")))&lt;14,RIGHT(REPT("0",14)&amp;UPPER(SUBSTITUTE(SUBSTITUTE(SUBSTITUTE(SUBSTITUTE(TRIM(A460),".",""),"/",""),"-","")," ","")),14),UPPER(SUBSTITUTE(SUBSTITUTE(SUBSTITUTE(SUBSTITUTE(TRIM(A460),".",""),"/",""),"-","")," ",""))))</f>
        <v/>
      </c>
      <c r="C460" s="25" t="str">
        <f aca="false">IF(B460="","",IFERROR(INDEX(Empresas!$C:$C,MATCH(B460,Empresas!$B:$B,0)),"cadastre o CNPJ em Empresas"))</f>
        <v/>
      </c>
      <c r="D460" s="23"/>
      <c r="E460" s="24"/>
      <c r="F460" s="31" t="str">
        <f aca="false">IF(D460="","",SUBSTITUTE(SUBSTITUTE(SUBSTITUTE(SUBSTITUTE(SUBSTITUTE(SUBSTITUTE(SUBSTITUTE(SUBSTITUTE(SUBSTITUTE(SUBSTITUTE(SUBSTITUTE(SUBSTITUTE(SUBSTITUTE(UPPER(TRIM(D460)),"Á","A"),"À","A"),"Â","A"),"Ã","A"),"É","E"),"Ê","E"),"Í","I"),"Ó","O"),"Ô","O"),"Õ","O"),"Ú","U"),"Ü","U"),"Ç","C"))</f>
        <v/>
      </c>
      <c r="G460" s="31" t="str">
        <f aca="false">IF(E460="","",IF(LEN(SUBSTITUTE(SUBSTITUTE(SUBSTITUTE(SUBSTITUTE(TRIM(E460),"*",""),".",""),"-","")," ",""))=11,MID(SUBSTITUTE(SUBSTITUTE(SUBSTITUTE(SUBSTITUTE(TRIM(E460),"*",""),".",""),"-","")," ",""),4,6),SUBSTITUTE(SUBSTITUTE(SUBSTITUTE(SUBSTITUTE(TRIM(E460),"*",""),".",""),"-","")," ","")))</f>
        <v/>
      </c>
      <c r="H460" s="31" t="str">
        <f aca="false">IF(OR(F460="",G460=""),"",F460&amp;"|"&amp;G460)</f>
        <v/>
      </c>
      <c r="I460" s="23"/>
      <c r="J460" s="22"/>
      <c r="K460" s="22"/>
      <c r="L460" s="25" t="str">
        <f aca="false">IF(F460="","",IF(AND(H460&lt;&gt;"",COUNTIF(Pessoas!$E:$E,H460)&gt;0),"SIM",IF(COUNTIF(Pessoas!$C:$C,F460)&gt;0,"nome igual em Pessoas: confira o CPF","")))</f>
        <v/>
      </c>
      <c r="M460" s="24"/>
      <c r="N460" s="11"/>
    </row>
    <row r="461" customFormat="false" ht="15" hidden="false" customHeight="false" outlineLevel="0" collapsed="false">
      <c r="A461" s="24"/>
      <c r="B461" s="31" t="str">
        <f aca="false">IF(A461="","",IF(LEN(UPPER(SUBSTITUTE(SUBSTITUTE(SUBSTITUTE(SUBSTITUTE(TRIM(A461),".",""),"/",""),"-","")," ","")))&lt;14,RIGHT(REPT("0",14)&amp;UPPER(SUBSTITUTE(SUBSTITUTE(SUBSTITUTE(SUBSTITUTE(TRIM(A461),".",""),"/",""),"-","")," ","")),14),UPPER(SUBSTITUTE(SUBSTITUTE(SUBSTITUTE(SUBSTITUTE(TRIM(A461),".",""),"/",""),"-","")," ",""))))</f>
        <v/>
      </c>
      <c r="C461" s="25" t="str">
        <f aca="false">IF(B461="","",IFERROR(INDEX(Empresas!$C:$C,MATCH(B461,Empresas!$B:$B,0)),"cadastre o CNPJ em Empresas"))</f>
        <v/>
      </c>
      <c r="D461" s="23"/>
      <c r="E461" s="24"/>
      <c r="F461" s="31" t="str">
        <f aca="false">IF(D461="","",SUBSTITUTE(SUBSTITUTE(SUBSTITUTE(SUBSTITUTE(SUBSTITUTE(SUBSTITUTE(SUBSTITUTE(SUBSTITUTE(SUBSTITUTE(SUBSTITUTE(SUBSTITUTE(SUBSTITUTE(SUBSTITUTE(UPPER(TRIM(D461)),"Á","A"),"À","A"),"Â","A"),"Ã","A"),"É","E"),"Ê","E"),"Í","I"),"Ó","O"),"Ô","O"),"Õ","O"),"Ú","U"),"Ü","U"),"Ç","C"))</f>
        <v/>
      </c>
      <c r="G461" s="31" t="str">
        <f aca="false">IF(E461="","",IF(LEN(SUBSTITUTE(SUBSTITUTE(SUBSTITUTE(SUBSTITUTE(TRIM(E461),"*",""),".",""),"-","")," ",""))=11,MID(SUBSTITUTE(SUBSTITUTE(SUBSTITUTE(SUBSTITUTE(TRIM(E461),"*",""),".",""),"-","")," ",""),4,6),SUBSTITUTE(SUBSTITUTE(SUBSTITUTE(SUBSTITUTE(TRIM(E461),"*",""),".",""),"-","")," ","")))</f>
        <v/>
      </c>
      <c r="H461" s="31" t="str">
        <f aca="false">IF(OR(F461="",G461=""),"",F461&amp;"|"&amp;G461)</f>
        <v/>
      </c>
      <c r="I461" s="23"/>
      <c r="J461" s="22"/>
      <c r="K461" s="22"/>
      <c r="L461" s="25" t="str">
        <f aca="false">IF(F461="","",IF(AND(H461&lt;&gt;"",COUNTIF(Pessoas!$E:$E,H461)&gt;0),"SIM",IF(COUNTIF(Pessoas!$C:$C,F461)&gt;0,"nome igual em Pessoas: confira o CPF","")))</f>
        <v/>
      </c>
      <c r="M461" s="24"/>
      <c r="N461" s="11"/>
    </row>
    <row r="462" customFormat="false" ht="15" hidden="false" customHeight="false" outlineLevel="0" collapsed="false">
      <c r="A462" s="24"/>
      <c r="B462" s="31" t="str">
        <f aca="false">IF(A462="","",IF(LEN(UPPER(SUBSTITUTE(SUBSTITUTE(SUBSTITUTE(SUBSTITUTE(TRIM(A462),".",""),"/",""),"-","")," ","")))&lt;14,RIGHT(REPT("0",14)&amp;UPPER(SUBSTITUTE(SUBSTITUTE(SUBSTITUTE(SUBSTITUTE(TRIM(A462),".",""),"/",""),"-","")," ","")),14),UPPER(SUBSTITUTE(SUBSTITUTE(SUBSTITUTE(SUBSTITUTE(TRIM(A462),".",""),"/",""),"-","")," ",""))))</f>
        <v/>
      </c>
      <c r="C462" s="25" t="str">
        <f aca="false">IF(B462="","",IFERROR(INDEX(Empresas!$C:$C,MATCH(B462,Empresas!$B:$B,0)),"cadastre o CNPJ em Empresas"))</f>
        <v/>
      </c>
      <c r="D462" s="23"/>
      <c r="E462" s="24"/>
      <c r="F462" s="31" t="str">
        <f aca="false">IF(D462="","",SUBSTITUTE(SUBSTITUTE(SUBSTITUTE(SUBSTITUTE(SUBSTITUTE(SUBSTITUTE(SUBSTITUTE(SUBSTITUTE(SUBSTITUTE(SUBSTITUTE(SUBSTITUTE(SUBSTITUTE(SUBSTITUTE(UPPER(TRIM(D462)),"Á","A"),"À","A"),"Â","A"),"Ã","A"),"É","E"),"Ê","E"),"Í","I"),"Ó","O"),"Ô","O"),"Õ","O"),"Ú","U"),"Ü","U"),"Ç","C"))</f>
        <v/>
      </c>
      <c r="G462" s="31" t="str">
        <f aca="false">IF(E462="","",IF(LEN(SUBSTITUTE(SUBSTITUTE(SUBSTITUTE(SUBSTITUTE(TRIM(E462),"*",""),".",""),"-","")," ",""))=11,MID(SUBSTITUTE(SUBSTITUTE(SUBSTITUTE(SUBSTITUTE(TRIM(E462),"*",""),".",""),"-","")," ",""),4,6),SUBSTITUTE(SUBSTITUTE(SUBSTITUTE(SUBSTITUTE(TRIM(E462),"*",""),".",""),"-","")," ","")))</f>
        <v/>
      </c>
      <c r="H462" s="31" t="str">
        <f aca="false">IF(OR(F462="",G462=""),"",F462&amp;"|"&amp;G462)</f>
        <v/>
      </c>
      <c r="I462" s="23"/>
      <c r="J462" s="22"/>
      <c r="K462" s="22"/>
      <c r="L462" s="25" t="str">
        <f aca="false">IF(F462="","",IF(AND(H462&lt;&gt;"",COUNTIF(Pessoas!$E:$E,H462)&gt;0),"SIM",IF(COUNTIF(Pessoas!$C:$C,F462)&gt;0,"nome igual em Pessoas: confira o CPF","")))</f>
        <v/>
      </c>
      <c r="M462" s="24"/>
      <c r="N462" s="11"/>
    </row>
    <row r="463" customFormat="false" ht="15" hidden="false" customHeight="false" outlineLevel="0" collapsed="false">
      <c r="A463" s="24"/>
      <c r="B463" s="31" t="str">
        <f aca="false">IF(A463="","",IF(LEN(UPPER(SUBSTITUTE(SUBSTITUTE(SUBSTITUTE(SUBSTITUTE(TRIM(A463),".",""),"/",""),"-","")," ","")))&lt;14,RIGHT(REPT("0",14)&amp;UPPER(SUBSTITUTE(SUBSTITUTE(SUBSTITUTE(SUBSTITUTE(TRIM(A463),".",""),"/",""),"-","")," ","")),14),UPPER(SUBSTITUTE(SUBSTITUTE(SUBSTITUTE(SUBSTITUTE(TRIM(A463),".",""),"/",""),"-","")," ",""))))</f>
        <v/>
      </c>
      <c r="C463" s="25" t="str">
        <f aca="false">IF(B463="","",IFERROR(INDEX(Empresas!$C:$C,MATCH(B463,Empresas!$B:$B,0)),"cadastre o CNPJ em Empresas"))</f>
        <v/>
      </c>
      <c r="D463" s="23"/>
      <c r="E463" s="24"/>
      <c r="F463" s="31" t="str">
        <f aca="false">IF(D463="","",SUBSTITUTE(SUBSTITUTE(SUBSTITUTE(SUBSTITUTE(SUBSTITUTE(SUBSTITUTE(SUBSTITUTE(SUBSTITUTE(SUBSTITUTE(SUBSTITUTE(SUBSTITUTE(SUBSTITUTE(SUBSTITUTE(UPPER(TRIM(D463)),"Á","A"),"À","A"),"Â","A"),"Ã","A"),"É","E"),"Ê","E"),"Í","I"),"Ó","O"),"Ô","O"),"Õ","O"),"Ú","U"),"Ü","U"),"Ç","C"))</f>
        <v/>
      </c>
      <c r="G463" s="31" t="str">
        <f aca="false">IF(E463="","",IF(LEN(SUBSTITUTE(SUBSTITUTE(SUBSTITUTE(SUBSTITUTE(TRIM(E463),"*",""),".",""),"-","")," ",""))=11,MID(SUBSTITUTE(SUBSTITUTE(SUBSTITUTE(SUBSTITUTE(TRIM(E463),"*",""),".",""),"-","")," ",""),4,6),SUBSTITUTE(SUBSTITUTE(SUBSTITUTE(SUBSTITUTE(TRIM(E463),"*",""),".",""),"-","")," ","")))</f>
        <v/>
      </c>
      <c r="H463" s="31" t="str">
        <f aca="false">IF(OR(F463="",G463=""),"",F463&amp;"|"&amp;G463)</f>
        <v/>
      </c>
      <c r="I463" s="23"/>
      <c r="J463" s="22"/>
      <c r="K463" s="22"/>
      <c r="L463" s="25" t="str">
        <f aca="false">IF(F463="","",IF(AND(H463&lt;&gt;"",COUNTIF(Pessoas!$E:$E,H463)&gt;0),"SIM",IF(COUNTIF(Pessoas!$C:$C,F463)&gt;0,"nome igual em Pessoas: confira o CPF","")))</f>
        <v/>
      </c>
      <c r="M463" s="24"/>
      <c r="N463" s="11"/>
    </row>
    <row r="464" customFormat="false" ht="15" hidden="false" customHeight="false" outlineLevel="0" collapsed="false">
      <c r="A464" s="24"/>
      <c r="B464" s="31" t="str">
        <f aca="false">IF(A464="","",IF(LEN(UPPER(SUBSTITUTE(SUBSTITUTE(SUBSTITUTE(SUBSTITUTE(TRIM(A464),".",""),"/",""),"-","")," ","")))&lt;14,RIGHT(REPT("0",14)&amp;UPPER(SUBSTITUTE(SUBSTITUTE(SUBSTITUTE(SUBSTITUTE(TRIM(A464),".",""),"/",""),"-","")," ","")),14),UPPER(SUBSTITUTE(SUBSTITUTE(SUBSTITUTE(SUBSTITUTE(TRIM(A464),".",""),"/",""),"-","")," ",""))))</f>
        <v/>
      </c>
      <c r="C464" s="25" t="str">
        <f aca="false">IF(B464="","",IFERROR(INDEX(Empresas!$C:$C,MATCH(B464,Empresas!$B:$B,0)),"cadastre o CNPJ em Empresas"))</f>
        <v/>
      </c>
      <c r="D464" s="23"/>
      <c r="E464" s="24"/>
      <c r="F464" s="31" t="str">
        <f aca="false">IF(D464="","",SUBSTITUTE(SUBSTITUTE(SUBSTITUTE(SUBSTITUTE(SUBSTITUTE(SUBSTITUTE(SUBSTITUTE(SUBSTITUTE(SUBSTITUTE(SUBSTITUTE(SUBSTITUTE(SUBSTITUTE(SUBSTITUTE(UPPER(TRIM(D464)),"Á","A"),"À","A"),"Â","A"),"Ã","A"),"É","E"),"Ê","E"),"Í","I"),"Ó","O"),"Ô","O"),"Õ","O"),"Ú","U"),"Ü","U"),"Ç","C"))</f>
        <v/>
      </c>
      <c r="G464" s="31" t="str">
        <f aca="false">IF(E464="","",IF(LEN(SUBSTITUTE(SUBSTITUTE(SUBSTITUTE(SUBSTITUTE(TRIM(E464),"*",""),".",""),"-","")," ",""))=11,MID(SUBSTITUTE(SUBSTITUTE(SUBSTITUTE(SUBSTITUTE(TRIM(E464),"*",""),".",""),"-","")," ",""),4,6),SUBSTITUTE(SUBSTITUTE(SUBSTITUTE(SUBSTITUTE(TRIM(E464),"*",""),".",""),"-","")," ","")))</f>
        <v/>
      </c>
      <c r="H464" s="31" t="str">
        <f aca="false">IF(OR(F464="",G464=""),"",F464&amp;"|"&amp;G464)</f>
        <v/>
      </c>
      <c r="I464" s="23"/>
      <c r="J464" s="22"/>
      <c r="K464" s="22"/>
      <c r="L464" s="25" t="str">
        <f aca="false">IF(F464="","",IF(AND(H464&lt;&gt;"",COUNTIF(Pessoas!$E:$E,H464)&gt;0),"SIM",IF(COUNTIF(Pessoas!$C:$C,F464)&gt;0,"nome igual em Pessoas: confira o CPF","")))</f>
        <v/>
      </c>
      <c r="M464" s="24"/>
      <c r="N464" s="11"/>
    </row>
    <row r="465" customFormat="false" ht="15" hidden="false" customHeight="false" outlineLevel="0" collapsed="false">
      <c r="A465" s="24"/>
      <c r="B465" s="31" t="str">
        <f aca="false">IF(A465="","",IF(LEN(UPPER(SUBSTITUTE(SUBSTITUTE(SUBSTITUTE(SUBSTITUTE(TRIM(A465),".",""),"/",""),"-","")," ","")))&lt;14,RIGHT(REPT("0",14)&amp;UPPER(SUBSTITUTE(SUBSTITUTE(SUBSTITUTE(SUBSTITUTE(TRIM(A465),".",""),"/",""),"-","")," ","")),14),UPPER(SUBSTITUTE(SUBSTITUTE(SUBSTITUTE(SUBSTITUTE(TRIM(A465),".",""),"/",""),"-","")," ",""))))</f>
        <v/>
      </c>
      <c r="C465" s="25" t="str">
        <f aca="false">IF(B465="","",IFERROR(INDEX(Empresas!$C:$C,MATCH(B465,Empresas!$B:$B,0)),"cadastre o CNPJ em Empresas"))</f>
        <v/>
      </c>
      <c r="D465" s="23"/>
      <c r="E465" s="24"/>
      <c r="F465" s="31" t="str">
        <f aca="false">IF(D465="","",SUBSTITUTE(SUBSTITUTE(SUBSTITUTE(SUBSTITUTE(SUBSTITUTE(SUBSTITUTE(SUBSTITUTE(SUBSTITUTE(SUBSTITUTE(SUBSTITUTE(SUBSTITUTE(SUBSTITUTE(SUBSTITUTE(UPPER(TRIM(D465)),"Á","A"),"À","A"),"Â","A"),"Ã","A"),"É","E"),"Ê","E"),"Í","I"),"Ó","O"),"Ô","O"),"Õ","O"),"Ú","U"),"Ü","U"),"Ç","C"))</f>
        <v/>
      </c>
      <c r="G465" s="31" t="str">
        <f aca="false">IF(E465="","",IF(LEN(SUBSTITUTE(SUBSTITUTE(SUBSTITUTE(SUBSTITUTE(TRIM(E465),"*",""),".",""),"-","")," ",""))=11,MID(SUBSTITUTE(SUBSTITUTE(SUBSTITUTE(SUBSTITUTE(TRIM(E465),"*",""),".",""),"-","")," ",""),4,6),SUBSTITUTE(SUBSTITUTE(SUBSTITUTE(SUBSTITUTE(TRIM(E465),"*",""),".",""),"-","")," ","")))</f>
        <v/>
      </c>
      <c r="H465" s="31" t="str">
        <f aca="false">IF(OR(F465="",G465=""),"",F465&amp;"|"&amp;G465)</f>
        <v/>
      </c>
      <c r="I465" s="23"/>
      <c r="J465" s="22"/>
      <c r="K465" s="22"/>
      <c r="L465" s="25" t="str">
        <f aca="false">IF(F465="","",IF(AND(H465&lt;&gt;"",COUNTIF(Pessoas!$E:$E,H465)&gt;0),"SIM",IF(COUNTIF(Pessoas!$C:$C,F465)&gt;0,"nome igual em Pessoas: confira o CPF","")))</f>
        <v/>
      </c>
      <c r="M465" s="24"/>
      <c r="N465" s="11"/>
    </row>
    <row r="466" customFormat="false" ht="15" hidden="false" customHeight="false" outlineLevel="0" collapsed="false">
      <c r="A466" s="24"/>
      <c r="B466" s="31" t="str">
        <f aca="false">IF(A466="","",IF(LEN(UPPER(SUBSTITUTE(SUBSTITUTE(SUBSTITUTE(SUBSTITUTE(TRIM(A466),".",""),"/",""),"-","")," ","")))&lt;14,RIGHT(REPT("0",14)&amp;UPPER(SUBSTITUTE(SUBSTITUTE(SUBSTITUTE(SUBSTITUTE(TRIM(A466),".",""),"/",""),"-","")," ","")),14),UPPER(SUBSTITUTE(SUBSTITUTE(SUBSTITUTE(SUBSTITUTE(TRIM(A466),".",""),"/",""),"-","")," ",""))))</f>
        <v/>
      </c>
      <c r="C466" s="25" t="str">
        <f aca="false">IF(B466="","",IFERROR(INDEX(Empresas!$C:$C,MATCH(B466,Empresas!$B:$B,0)),"cadastre o CNPJ em Empresas"))</f>
        <v/>
      </c>
      <c r="D466" s="23"/>
      <c r="E466" s="24"/>
      <c r="F466" s="31" t="str">
        <f aca="false">IF(D466="","",SUBSTITUTE(SUBSTITUTE(SUBSTITUTE(SUBSTITUTE(SUBSTITUTE(SUBSTITUTE(SUBSTITUTE(SUBSTITUTE(SUBSTITUTE(SUBSTITUTE(SUBSTITUTE(SUBSTITUTE(SUBSTITUTE(UPPER(TRIM(D466)),"Á","A"),"À","A"),"Â","A"),"Ã","A"),"É","E"),"Ê","E"),"Í","I"),"Ó","O"),"Ô","O"),"Õ","O"),"Ú","U"),"Ü","U"),"Ç","C"))</f>
        <v/>
      </c>
      <c r="G466" s="31" t="str">
        <f aca="false">IF(E466="","",IF(LEN(SUBSTITUTE(SUBSTITUTE(SUBSTITUTE(SUBSTITUTE(TRIM(E466),"*",""),".",""),"-","")," ",""))=11,MID(SUBSTITUTE(SUBSTITUTE(SUBSTITUTE(SUBSTITUTE(TRIM(E466),"*",""),".",""),"-","")," ",""),4,6),SUBSTITUTE(SUBSTITUTE(SUBSTITUTE(SUBSTITUTE(TRIM(E466),"*",""),".",""),"-","")," ","")))</f>
        <v/>
      </c>
      <c r="H466" s="31" t="str">
        <f aca="false">IF(OR(F466="",G466=""),"",F466&amp;"|"&amp;G466)</f>
        <v/>
      </c>
      <c r="I466" s="23"/>
      <c r="J466" s="22"/>
      <c r="K466" s="22"/>
      <c r="L466" s="25" t="str">
        <f aca="false">IF(F466="","",IF(AND(H466&lt;&gt;"",COUNTIF(Pessoas!$E:$E,H466)&gt;0),"SIM",IF(COUNTIF(Pessoas!$C:$C,F466)&gt;0,"nome igual em Pessoas: confira o CPF","")))</f>
        <v/>
      </c>
      <c r="M466" s="24"/>
      <c r="N466" s="11"/>
    </row>
    <row r="467" customFormat="false" ht="15" hidden="false" customHeight="false" outlineLevel="0" collapsed="false">
      <c r="A467" s="24"/>
      <c r="B467" s="31" t="str">
        <f aca="false">IF(A467="","",IF(LEN(UPPER(SUBSTITUTE(SUBSTITUTE(SUBSTITUTE(SUBSTITUTE(TRIM(A467),".",""),"/",""),"-","")," ","")))&lt;14,RIGHT(REPT("0",14)&amp;UPPER(SUBSTITUTE(SUBSTITUTE(SUBSTITUTE(SUBSTITUTE(TRIM(A467),".",""),"/",""),"-","")," ","")),14),UPPER(SUBSTITUTE(SUBSTITUTE(SUBSTITUTE(SUBSTITUTE(TRIM(A467),".",""),"/",""),"-","")," ",""))))</f>
        <v/>
      </c>
      <c r="C467" s="25" t="str">
        <f aca="false">IF(B467="","",IFERROR(INDEX(Empresas!$C:$C,MATCH(B467,Empresas!$B:$B,0)),"cadastre o CNPJ em Empresas"))</f>
        <v/>
      </c>
      <c r="D467" s="23"/>
      <c r="E467" s="24"/>
      <c r="F467" s="31" t="str">
        <f aca="false">IF(D467="","",SUBSTITUTE(SUBSTITUTE(SUBSTITUTE(SUBSTITUTE(SUBSTITUTE(SUBSTITUTE(SUBSTITUTE(SUBSTITUTE(SUBSTITUTE(SUBSTITUTE(SUBSTITUTE(SUBSTITUTE(SUBSTITUTE(UPPER(TRIM(D467)),"Á","A"),"À","A"),"Â","A"),"Ã","A"),"É","E"),"Ê","E"),"Í","I"),"Ó","O"),"Ô","O"),"Õ","O"),"Ú","U"),"Ü","U"),"Ç","C"))</f>
        <v/>
      </c>
      <c r="G467" s="31" t="str">
        <f aca="false">IF(E467="","",IF(LEN(SUBSTITUTE(SUBSTITUTE(SUBSTITUTE(SUBSTITUTE(TRIM(E467),"*",""),".",""),"-","")," ",""))=11,MID(SUBSTITUTE(SUBSTITUTE(SUBSTITUTE(SUBSTITUTE(TRIM(E467),"*",""),".",""),"-","")," ",""),4,6),SUBSTITUTE(SUBSTITUTE(SUBSTITUTE(SUBSTITUTE(TRIM(E467),"*",""),".",""),"-","")," ","")))</f>
        <v/>
      </c>
      <c r="H467" s="31" t="str">
        <f aca="false">IF(OR(F467="",G467=""),"",F467&amp;"|"&amp;G467)</f>
        <v/>
      </c>
      <c r="I467" s="23"/>
      <c r="J467" s="22"/>
      <c r="K467" s="22"/>
      <c r="L467" s="25" t="str">
        <f aca="false">IF(F467="","",IF(AND(H467&lt;&gt;"",COUNTIF(Pessoas!$E:$E,H467)&gt;0),"SIM",IF(COUNTIF(Pessoas!$C:$C,F467)&gt;0,"nome igual em Pessoas: confira o CPF","")))</f>
        <v/>
      </c>
      <c r="M467" s="24"/>
      <c r="N467" s="11"/>
    </row>
    <row r="468" customFormat="false" ht="15" hidden="false" customHeight="false" outlineLevel="0" collapsed="false">
      <c r="A468" s="24"/>
      <c r="B468" s="31" t="str">
        <f aca="false">IF(A468="","",IF(LEN(UPPER(SUBSTITUTE(SUBSTITUTE(SUBSTITUTE(SUBSTITUTE(TRIM(A468),".",""),"/",""),"-","")," ","")))&lt;14,RIGHT(REPT("0",14)&amp;UPPER(SUBSTITUTE(SUBSTITUTE(SUBSTITUTE(SUBSTITUTE(TRIM(A468),".",""),"/",""),"-","")," ","")),14),UPPER(SUBSTITUTE(SUBSTITUTE(SUBSTITUTE(SUBSTITUTE(TRIM(A468),".",""),"/",""),"-","")," ",""))))</f>
        <v/>
      </c>
      <c r="C468" s="25" t="str">
        <f aca="false">IF(B468="","",IFERROR(INDEX(Empresas!$C:$C,MATCH(B468,Empresas!$B:$B,0)),"cadastre o CNPJ em Empresas"))</f>
        <v/>
      </c>
      <c r="D468" s="23"/>
      <c r="E468" s="24"/>
      <c r="F468" s="31" t="str">
        <f aca="false">IF(D468="","",SUBSTITUTE(SUBSTITUTE(SUBSTITUTE(SUBSTITUTE(SUBSTITUTE(SUBSTITUTE(SUBSTITUTE(SUBSTITUTE(SUBSTITUTE(SUBSTITUTE(SUBSTITUTE(SUBSTITUTE(SUBSTITUTE(UPPER(TRIM(D468)),"Á","A"),"À","A"),"Â","A"),"Ã","A"),"É","E"),"Ê","E"),"Í","I"),"Ó","O"),"Ô","O"),"Õ","O"),"Ú","U"),"Ü","U"),"Ç","C"))</f>
        <v/>
      </c>
      <c r="G468" s="31" t="str">
        <f aca="false">IF(E468="","",IF(LEN(SUBSTITUTE(SUBSTITUTE(SUBSTITUTE(SUBSTITUTE(TRIM(E468),"*",""),".",""),"-","")," ",""))=11,MID(SUBSTITUTE(SUBSTITUTE(SUBSTITUTE(SUBSTITUTE(TRIM(E468),"*",""),".",""),"-","")," ",""),4,6),SUBSTITUTE(SUBSTITUTE(SUBSTITUTE(SUBSTITUTE(TRIM(E468),"*",""),".",""),"-","")," ","")))</f>
        <v/>
      </c>
      <c r="H468" s="31" t="str">
        <f aca="false">IF(OR(F468="",G468=""),"",F468&amp;"|"&amp;G468)</f>
        <v/>
      </c>
      <c r="I468" s="23"/>
      <c r="J468" s="22"/>
      <c r="K468" s="22"/>
      <c r="L468" s="25" t="str">
        <f aca="false">IF(F468="","",IF(AND(H468&lt;&gt;"",COUNTIF(Pessoas!$E:$E,H468)&gt;0),"SIM",IF(COUNTIF(Pessoas!$C:$C,F468)&gt;0,"nome igual em Pessoas: confira o CPF","")))</f>
        <v/>
      </c>
      <c r="M468" s="24"/>
      <c r="N468" s="11"/>
    </row>
    <row r="469" customFormat="false" ht="15" hidden="false" customHeight="false" outlineLevel="0" collapsed="false">
      <c r="A469" s="24"/>
      <c r="B469" s="31" t="str">
        <f aca="false">IF(A469="","",IF(LEN(UPPER(SUBSTITUTE(SUBSTITUTE(SUBSTITUTE(SUBSTITUTE(TRIM(A469),".",""),"/",""),"-","")," ","")))&lt;14,RIGHT(REPT("0",14)&amp;UPPER(SUBSTITUTE(SUBSTITUTE(SUBSTITUTE(SUBSTITUTE(TRIM(A469),".",""),"/",""),"-","")," ","")),14),UPPER(SUBSTITUTE(SUBSTITUTE(SUBSTITUTE(SUBSTITUTE(TRIM(A469),".",""),"/",""),"-","")," ",""))))</f>
        <v/>
      </c>
      <c r="C469" s="25" t="str">
        <f aca="false">IF(B469="","",IFERROR(INDEX(Empresas!$C:$C,MATCH(B469,Empresas!$B:$B,0)),"cadastre o CNPJ em Empresas"))</f>
        <v/>
      </c>
      <c r="D469" s="23"/>
      <c r="E469" s="24"/>
      <c r="F469" s="31" t="str">
        <f aca="false">IF(D469="","",SUBSTITUTE(SUBSTITUTE(SUBSTITUTE(SUBSTITUTE(SUBSTITUTE(SUBSTITUTE(SUBSTITUTE(SUBSTITUTE(SUBSTITUTE(SUBSTITUTE(SUBSTITUTE(SUBSTITUTE(SUBSTITUTE(UPPER(TRIM(D469)),"Á","A"),"À","A"),"Â","A"),"Ã","A"),"É","E"),"Ê","E"),"Í","I"),"Ó","O"),"Ô","O"),"Õ","O"),"Ú","U"),"Ü","U"),"Ç","C"))</f>
        <v/>
      </c>
      <c r="G469" s="31" t="str">
        <f aca="false">IF(E469="","",IF(LEN(SUBSTITUTE(SUBSTITUTE(SUBSTITUTE(SUBSTITUTE(TRIM(E469),"*",""),".",""),"-","")," ",""))=11,MID(SUBSTITUTE(SUBSTITUTE(SUBSTITUTE(SUBSTITUTE(TRIM(E469),"*",""),".",""),"-","")," ",""),4,6),SUBSTITUTE(SUBSTITUTE(SUBSTITUTE(SUBSTITUTE(TRIM(E469),"*",""),".",""),"-","")," ","")))</f>
        <v/>
      </c>
      <c r="H469" s="31" t="str">
        <f aca="false">IF(OR(F469="",G469=""),"",F469&amp;"|"&amp;G469)</f>
        <v/>
      </c>
      <c r="I469" s="23"/>
      <c r="J469" s="22"/>
      <c r="K469" s="22"/>
      <c r="L469" s="25" t="str">
        <f aca="false">IF(F469="","",IF(AND(H469&lt;&gt;"",COUNTIF(Pessoas!$E:$E,H469)&gt;0),"SIM",IF(COUNTIF(Pessoas!$C:$C,F469)&gt;0,"nome igual em Pessoas: confira o CPF","")))</f>
        <v/>
      </c>
      <c r="M469" s="24"/>
      <c r="N469" s="11"/>
    </row>
    <row r="470" customFormat="false" ht="15" hidden="false" customHeight="false" outlineLevel="0" collapsed="false">
      <c r="A470" s="24"/>
      <c r="B470" s="31" t="str">
        <f aca="false">IF(A470="","",IF(LEN(UPPER(SUBSTITUTE(SUBSTITUTE(SUBSTITUTE(SUBSTITUTE(TRIM(A470),".",""),"/",""),"-","")," ","")))&lt;14,RIGHT(REPT("0",14)&amp;UPPER(SUBSTITUTE(SUBSTITUTE(SUBSTITUTE(SUBSTITUTE(TRIM(A470),".",""),"/",""),"-","")," ","")),14),UPPER(SUBSTITUTE(SUBSTITUTE(SUBSTITUTE(SUBSTITUTE(TRIM(A470),".",""),"/",""),"-","")," ",""))))</f>
        <v/>
      </c>
      <c r="C470" s="25" t="str">
        <f aca="false">IF(B470="","",IFERROR(INDEX(Empresas!$C:$C,MATCH(B470,Empresas!$B:$B,0)),"cadastre o CNPJ em Empresas"))</f>
        <v/>
      </c>
      <c r="D470" s="23"/>
      <c r="E470" s="24"/>
      <c r="F470" s="31" t="str">
        <f aca="false">IF(D470="","",SUBSTITUTE(SUBSTITUTE(SUBSTITUTE(SUBSTITUTE(SUBSTITUTE(SUBSTITUTE(SUBSTITUTE(SUBSTITUTE(SUBSTITUTE(SUBSTITUTE(SUBSTITUTE(SUBSTITUTE(SUBSTITUTE(UPPER(TRIM(D470)),"Á","A"),"À","A"),"Â","A"),"Ã","A"),"É","E"),"Ê","E"),"Í","I"),"Ó","O"),"Ô","O"),"Õ","O"),"Ú","U"),"Ü","U"),"Ç","C"))</f>
        <v/>
      </c>
      <c r="G470" s="31" t="str">
        <f aca="false">IF(E470="","",IF(LEN(SUBSTITUTE(SUBSTITUTE(SUBSTITUTE(SUBSTITUTE(TRIM(E470),"*",""),".",""),"-","")," ",""))=11,MID(SUBSTITUTE(SUBSTITUTE(SUBSTITUTE(SUBSTITUTE(TRIM(E470),"*",""),".",""),"-","")," ",""),4,6),SUBSTITUTE(SUBSTITUTE(SUBSTITUTE(SUBSTITUTE(TRIM(E470),"*",""),".",""),"-","")," ","")))</f>
        <v/>
      </c>
      <c r="H470" s="31" t="str">
        <f aca="false">IF(OR(F470="",G470=""),"",F470&amp;"|"&amp;G470)</f>
        <v/>
      </c>
      <c r="I470" s="23"/>
      <c r="J470" s="22"/>
      <c r="K470" s="22"/>
      <c r="L470" s="25" t="str">
        <f aca="false">IF(F470="","",IF(AND(H470&lt;&gt;"",COUNTIF(Pessoas!$E:$E,H470)&gt;0),"SIM",IF(COUNTIF(Pessoas!$C:$C,F470)&gt;0,"nome igual em Pessoas: confira o CPF","")))</f>
        <v/>
      </c>
      <c r="M470" s="24"/>
      <c r="N470" s="11"/>
    </row>
    <row r="471" customFormat="false" ht="15" hidden="false" customHeight="false" outlineLevel="0" collapsed="false">
      <c r="A471" s="24"/>
      <c r="B471" s="31" t="str">
        <f aca="false">IF(A471="","",IF(LEN(UPPER(SUBSTITUTE(SUBSTITUTE(SUBSTITUTE(SUBSTITUTE(TRIM(A471),".",""),"/",""),"-","")," ","")))&lt;14,RIGHT(REPT("0",14)&amp;UPPER(SUBSTITUTE(SUBSTITUTE(SUBSTITUTE(SUBSTITUTE(TRIM(A471),".",""),"/",""),"-","")," ","")),14),UPPER(SUBSTITUTE(SUBSTITUTE(SUBSTITUTE(SUBSTITUTE(TRIM(A471),".",""),"/",""),"-","")," ",""))))</f>
        <v/>
      </c>
      <c r="C471" s="25" t="str">
        <f aca="false">IF(B471="","",IFERROR(INDEX(Empresas!$C:$C,MATCH(B471,Empresas!$B:$B,0)),"cadastre o CNPJ em Empresas"))</f>
        <v/>
      </c>
      <c r="D471" s="23"/>
      <c r="E471" s="24"/>
      <c r="F471" s="31" t="str">
        <f aca="false">IF(D471="","",SUBSTITUTE(SUBSTITUTE(SUBSTITUTE(SUBSTITUTE(SUBSTITUTE(SUBSTITUTE(SUBSTITUTE(SUBSTITUTE(SUBSTITUTE(SUBSTITUTE(SUBSTITUTE(SUBSTITUTE(SUBSTITUTE(UPPER(TRIM(D471)),"Á","A"),"À","A"),"Â","A"),"Ã","A"),"É","E"),"Ê","E"),"Í","I"),"Ó","O"),"Ô","O"),"Õ","O"),"Ú","U"),"Ü","U"),"Ç","C"))</f>
        <v/>
      </c>
      <c r="G471" s="31" t="str">
        <f aca="false">IF(E471="","",IF(LEN(SUBSTITUTE(SUBSTITUTE(SUBSTITUTE(SUBSTITUTE(TRIM(E471),"*",""),".",""),"-","")," ",""))=11,MID(SUBSTITUTE(SUBSTITUTE(SUBSTITUTE(SUBSTITUTE(TRIM(E471),"*",""),".",""),"-","")," ",""),4,6),SUBSTITUTE(SUBSTITUTE(SUBSTITUTE(SUBSTITUTE(TRIM(E471),"*",""),".",""),"-","")," ","")))</f>
        <v/>
      </c>
      <c r="H471" s="31" t="str">
        <f aca="false">IF(OR(F471="",G471=""),"",F471&amp;"|"&amp;G471)</f>
        <v/>
      </c>
      <c r="I471" s="23"/>
      <c r="J471" s="22"/>
      <c r="K471" s="22"/>
      <c r="L471" s="25" t="str">
        <f aca="false">IF(F471="","",IF(AND(H471&lt;&gt;"",COUNTIF(Pessoas!$E:$E,H471)&gt;0),"SIM",IF(COUNTIF(Pessoas!$C:$C,F471)&gt;0,"nome igual em Pessoas: confira o CPF","")))</f>
        <v/>
      </c>
      <c r="M471" s="24"/>
      <c r="N471" s="11"/>
    </row>
    <row r="472" customFormat="false" ht="15" hidden="false" customHeight="false" outlineLevel="0" collapsed="false">
      <c r="A472" s="24"/>
      <c r="B472" s="31" t="str">
        <f aca="false">IF(A472="","",IF(LEN(UPPER(SUBSTITUTE(SUBSTITUTE(SUBSTITUTE(SUBSTITUTE(TRIM(A472),".",""),"/",""),"-","")," ","")))&lt;14,RIGHT(REPT("0",14)&amp;UPPER(SUBSTITUTE(SUBSTITUTE(SUBSTITUTE(SUBSTITUTE(TRIM(A472),".",""),"/",""),"-","")," ","")),14),UPPER(SUBSTITUTE(SUBSTITUTE(SUBSTITUTE(SUBSTITUTE(TRIM(A472),".",""),"/",""),"-","")," ",""))))</f>
        <v/>
      </c>
      <c r="C472" s="25" t="str">
        <f aca="false">IF(B472="","",IFERROR(INDEX(Empresas!$C:$C,MATCH(B472,Empresas!$B:$B,0)),"cadastre o CNPJ em Empresas"))</f>
        <v/>
      </c>
      <c r="D472" s="23"/>
      <c r="E472" s="24"/>
      <c r="F472" s="31" t="str">
        <f aca="false">IF(D472="","",SUBSTITUTE(SUBSTITUTE(SUBSTITUTE(SUBSTITUTE(SUBSTITUTE(SUBSTITUTE(SUBSTITUTE(SUBSTITUTE(SUBSTITUTE(SUBSTITUTE(SUBSTITUTE(SUBSTITUTE(SUBSTITUTE(UPPER(TRIM(D472)),"Á","A"),"À","A"),"Â","A"),"Ã","A"),"É","E"),"Ê","E"),"Í","I"),"Ó","O"),"Ô","O"),"Õ","O"),"Ú","U"),"Ü","U"),"Ç","C"))</f>
        <v/>
      </c>
      <c r="G472" s="31" t="str">
        <f aca="false">IF(E472="","",IF(LEN(SUBSTITUTE(SUBSTITUTE(SUBSTITUTE(SUBSTITUTE(TRIM(E472),"*",""),".",""),"-","")," ",""))=11,MID(SUBSTITUTE(SUBSTITUTE(SUBSTITUTE(SUBSTITUTE(TRIM(E472),"*",""),".",""),"-","")," ",""),4,6),SUBSTITUTE(SUBSTITUTE(SUBSTITUTE(SUBSTITUTE(TRIM(E472),"*",""),".",""),"-","")," ","")))</f>
        <v/>
      </c>
      <c r="H472" s="31" t="str">
        <f aca="false">IF(OR(F472="",G472=""),"",F472&amp;"|"&amp;G472)</f>
        <v/>
      </c>
      <c r="I472" s="23"/>
      <c r="J472" s="22"/>
      <c r="K472" s="22"/>
      <c r="L472" s="25" t="str">
        <f aca="false">IF(F472="","",IF(AND(H472&lt;&gt;"",COUNTIF(Pessoas!$E:$E,H472)&gt;0),"SIM",IF(COUNTIF(Pessoas!$C:$C,F472)&gt;0,"nome igual em Pessoas: confira o CPF","")))</f>
        <v/>
      </c>
      <c r="M472" s="24"/>
      <c r="N472" s="11"/>
    </row>
    <row r="473" customFormat="false" ht="15" hidden="false" customHeight="false" outlineLevel="0" collapsed="false">
      <c r="A473" s="24"/>
      <c r="B473" s="31" t="str">
        <f aca="false">IF(A473="","",IF(LEN(UPPER(SUBSTITUTE(SUBSTITUTE(SUBSTITUTE(SUBSTITUTE(TRIM(A473),".",""),"/",""),"-","")," ","")))&lt;14,RIGHT(REPT("0",14)&amp;UPPER(SUBSTITUTE(SUBSTITUTE(SUBSTITUTE(SUBSTITUTE(TRIM(A473),".",""),"/",""),"-","")," ","")),14),UPPER(SUBSTITUTE(SUBSTITUTE(SUBSTITUTE(SUBSTITUTE(TRIM(A473),".",""),"/",""),"-","")," ",""))))</f>
        <v/>
      </c>
      <c r="C473" s="25" t="str">
        <f aca="false">IF(B473="","",IFERROR(INDEX(Empresas!$C:$C,MATCH(B473,Empresas!$B:$B,0)),"cadastre o CNPJ em Empresas"))</f>
        <v/>
      </c>
      <c r="D473" s="23"/>
      <c r="E473" s="24"/>
      <c r="F473" s="31" t="str">
        <f aca="false">IF(D473="","",SUBSTITUTE(SUBSTITUTE(SUBSTITUTE(SUBSTITUTE(SUBSTITUTE(SUBSTITUTE(SUBSTITUTE(SUBSTITUTE(SUBSTITUTE(SUBSTITUTE(SUBSTITUTE(SUBSTITUTE(SUBSTITUTE(UPPER(TRIM(D473)),"Á","A"),"À","A"),"Â","A"),"Ã","A"),"É","E"),"Ê","E"),"Í","I"),"Ó","O"),"Ô","O"),"Õ","O"),"Ú","U"),"Ü","U"),"Ç","C"))</f>
        <v/>
      </c>
      <c r="G473" s="31" t="str">
        <f aca="false">IF(E473="","",IF(LEN(SUBSTITUTE(SUBSTITUTE(SUBSTITUTE(SUBSTITUTE(TRIM(E473),"*",""),".",""),"-","")," ",""))=11,MID(SUBSTITUTE(SUBSTITUTE(SUBSTITUTE(SUBSTITUTE(TRIM(E473),"*",""),".",""),"-","")," ",""),4,6),SUBSTITUTE(SUBSTITUTE(SUBSTITUTE(SUBSTITUTE(TRIM(E473),"*",""),".",""),"-","")," ","")))</f>
        <v/>
      </c>
      <c r="H473" s="31" t="str">
        <f aca="false">IF(OR(F473="",G473=""),"",F473&amp;"|"&amp;G473)</f>
        <v/>
      </c>
      <c r="I473" s="23"/>
      <c r="J473" s="22"/>
      <c r="K473" s="22"/>
      <c r="L473" s="25" t="str">
        <f aca="false">IF(F473="","",IF(AND(H473&lt;&gt;"",COUNTIF(Pessoas!$E:$E,H473)&gt;0),"SIM",IF(COUNTIF(Pessoas!$C:$C,F473)&gt;0,"nome igual em Pessoas: confira o CPF","")))</f>
        <v/>
      </c>
      <c r="M473" s="24"/>
      <c r="N473" s="11"/>
    </row>
    <row r="474" customFormat="false" ht="15" hidden="false" customHeight="false" outlineLevel="0" collapsed="false">
      <c r="A474" s="24"/>
      <c r="B474" s="31" t="str">
        <f aca="false">IF(A474="","",IF(LEN(UPPER(SUBSTITUTE(SUBSTITUTE(SUBSTITUTE(SUBSTITUTE(TRIM(A474),".",""),"/",""),"-","")," ","")))&lt;14,RIGHT(REPT("0",14)&amp;UPPER(SUBSTITUTE(SUBSTITUTE(SUBSTITUTE(SUBSTITUTE(TRIM(A474),".",""),"/",""),"-","")," ","")),14),UPPER(SUBSTITUTE(SUBSTITUTE(SUBSTITUTE(SUBSTITUTE(TRIM(A474),".",""),"/",""),"-","")," ",""))))</f>
        <v/>
      </c>
      <c r="C474" s="25" t="str">
        <f aca="false">IF(B474="","",IFERROR(INDEX(Empresas!$C:$C,MATCH(B474,Empresas!$B:$B,0)),"cadastre o CNPJ em Empresas"))</f>
        <v/>
      </c>
      <c r="D474" s="23"/>
      <c r="E474" s="24"/>
      <c r="F474" s="31" t="str">
        <f aca="false">IF(D474="","",SUBSTITUTE(SUBSTITUTE(SUBSTITUTE(SUBSTITUTE(SUBSTITUTE(SUBSTITUTE(SUBSTITUTE(SUBSTITUTE(SUBSTITUTE(SUBSTITUTE(SUBSTITUTE(SUBSTITUTE(SUBSTITUTE(UPPER(TRIM(D474)),"Á","A"),"À","A"),"Â","A"),"Ã","A"),"É","E"),"Ê","E"),"Í","I"),"Ó","O"),"Ô","O"),"Õ","O"),"Ú","U"),"Ü","U"),"Ç","C"))</f>
        <v/>
      </c>
      <c r="G474" s="31" t="str">
        <f aca="false">IF(E474="","",IF(LEN(SUBSTITUTE(SUBSTITUTE(SUBSTITUTE(SUBSTITUTE(TRIM(E474),"*",""),".",""),"-","")," ",""))=11,MID(SUBSTITUTE(SUBSTITUTE(SUBSTITUTE(SUBSTITUTE(TRIM(E474),"*",""),".",""),"-","")," ",""),4,6),SUBSTITUTE(SUBSTITUTE(SUBSTITUTE(SUBSTITUTE(TRIM(E474),"*",""),".",""),"-","")," ","")))</f>
        <v/>
      </c>
      <c r="H474" s="31" t="str">
        <f aca="false">IF(OR(F474="",G474=""),"",F474&amp;"|"&amp;G474)</f>
        <v/>
      </c>
      <c r="I474" s="23"/>
      <c r="J474" s="22"/>
      <c r="K474" s="22"/>
      <c r="L474" s="25" t="str">
        <f aca="false">IF(F474="","",IF(AND(H474&lt;&gt;"",COUNTIF(Pessoas!$E:$E,H474)&gt;0),"SIM",IF(COUNTIF(Pessoas!$C:$C,F474)&gt;0,"nome igual em Pessoas: confira o CPF","")))</f>
        <v/>
      </c>
      <c r="M474" s="24"/>
      <c r="N474" s="11"/>
    </row>
    <row r="475" customFormat="false" ht="15" hidden="false" customHeight="false" outlineLevel="0" collapsed="false">
      <c r="A475" s="24"/>
      <c r="B475" s="31" t="str">
        <f aca="false">IF(A475="","",IF(LEN(UPPER(SUBSTITUTE(SUBSTITUTE(SUBSTITUTE(SUBSTITUTE(TRIM(A475),".",""),"/",""),"-","")," ","")))&lt;14,RIGHT(REPT("0",14)&amp;UPPER(SUBSTITUTE(SUBSTITUTE(SUBSTITUTE(SUBSTITUTE(TRIM(A475),".",""),"/",""),"-","")," ","")),14),UPPER(SUBSTITUTE(SUBSTITUTE(SUBSTITUTE(SUBSTITUTE(TRIM(A475),".",""),"/",""),"-","")," ",""))))</f>
        <v/>
      </c>
      <c r="C475" s="25" t="str">
        <f aca="false">IF(B475="","",IFERROR(INDEX(Empresas!$C:$C,MATCH(B475,Empresas!$B:$B,0)),"cadastre o CNPJ em Empresas"))</f>
        <v/>
      </c>
      <c r="D475" s="23"/>
      <c r="E475" s="24"/>
      <c r="F475" s="31" t="str">
        <f aca="false">IF(D475="","",SUBSTITUTE(SUBSTITUTE(SUBSTITUTE(SUBSTITUTE(SUBSTITUTE(SUBSTITUTE(SUBSTITUTE(SUBSTITUTE(SUBSTITUTE(SUBSTITUTE(SUBSTITUTE(SUBSTITUTE(SUBSTITUTE(UPPER(TRIM(D475)),"Á","A"),"À","A"),"Â","A"),"Ã","A"),"É","E"),"Ê","E"),"Í","I"),"Ó","O"),"Ô","O"),"Õ","O"),"Ú","U"),"Ü","U"),"Ç","C"))</f>
        <v/>
      </c>
      <c r="G475" s="31" t="str">
        <f aca="false">IF(E475="","",IF(LEN(SUBSTITUTE(SUBSTITUTE(SUBSTITUTE(SUBSTITUTE(TRIM(E475),"*",""),".",""),"-","")," ",""))=11,MID(SUBSTITUTE(SUBSTITUTE(SUBSTITUTE(SUBSTITUTE(TRIM(E475),"*",""),".",""),"-","")," ",""),4,6),SUBSTITUTE(SUBSTITUTE(SUBSTITUTE(SUBSTITUTE(TRIM(E475),"*",""),".",""),"-","")," ","")))</f>
        <v/>
      </c>
      <c r="H475" s="31" t="str">
        <f aca="false">IF(OR(F475="",G475=""),"",F475&amp;"|"&amp;G475)</f>
        <v/>
      </c>
      <c r="I475" s="23"/>
      <c r="J475" s="22"/>
      <c r="K475" s="22"/>
      <c r="L475" s="25" t="str">
        <f aca="false">IF(F475="","",IF(AND(H475&lt;&gt;"",COUNTIF(Pessoas!$E:$E,H475)&gt;0),"SIM",IF(COUNTIF(Pessoas!$C:$C,F475)&gt;0,"nome igual em Pessoas: confira o CPF","")))</f>
        <v/>
      </c>
      <c r="M475" s="24"/>
      <c r="N475" s="11"/>
    </row>
    <row r="476" customFormat="false" ht="15" hidden="false" customHeight="false" outlineLevel="0" collapsed="false">
      <c r="A476" s="24"/>
      <c r="B476" s="31" t="str">
        <f aca="false">IF(A476="","",IF(LEN(UPPER(SUBSTITUTE(SUBSTITUTE(SUBSTITUTE(SUBSTITUTE(TRIM(A476),".",""),"/",""),"-","")," ","")))&lt;14,RIGHT(REPT("0",14)&amp;UPPER(SUBSTITUTE(SUBSTITUTE(SUBSTITUTE(SUBSTITUTE(TRIM(A476),".",""),"/",""),"-","")," ","")),14),UPPER(SUBSTITUTE(SUBSTITUTE(SUBSTITUTE(SUBSTITUTE(TRIM(A476),".",""),"/",""),"-","")," ",""))))</f>
        <v/>
      </c>
      <c r="C476" s="25" t="str">
        <f aca="false">IF(B476="","",IFERROR(INDEX(Empresas!$C:$C,MATCH(B476,Empresas!$B:$B,0)),"cadastre o CNPJ em Empresas"))</f>
        <v/>
      </c>
      <c r="D476" s="23"/>
      <c r="E476" s="24"/>
      <c r="F476" s="31" t="str">
        <f aca="false">IF(D476="","",SUBSTITUTE(SUBSTITUTE(SUBSTITUTE(SUBSTITUTE(SUBSTITUTE(SUBSTITUTE(SUBSTITUTE(SUBSTITUTE(SUBSTITUTE(SUBSTITUTE(SUBSTITUTE(SUBSTITUTE(SUBSTITUTE(UPPER(TRIM(D476)),"Á","A"),"À","A"),"Â","A"),"Ã","A"),"É","E"),"Ê","E"),"Í","I"),"Ó","O"),"Ô","O"),"Õ","O"),"Ú","U"),"Ü","U"),"Ç","C"))</f>
        <v/>
      </c>
      <c r="G476" s="31" t="str">
        <f aca="false">IF(E476="","",IF(LEN(SUBSTITUTE(SUBSTITUTE(SUBSTITUTE(SUBSTITUTE(TRIM(E476),"*",""),".",""),"-","")," ",""))=11,MID(SUBSTITUTE(SUBSTITUTE(SUBSTITUTE(SUBSTITUTE(TRIM(E476),"*",""),".",""),"-","")," ",""),4,6),SUBSTITUTE(SUBSTITUTE(SUBSTITUTE(SUBSTITUTE(TRIM(E476),"*",""),".",""),"-","")," ","")))</f>
        <v/>
      </c>
      <c r="H476" s="31" t="str">
        <f aca="false">IF(OR(F476="",G476=""),"",F476&amp;"|"&amp;G476)</f>
        <v/>
      </c>
      <c r="I476" s="23"/>
      <c r="J476" s="22"/>
      <c r="K476" s="22"/>
      <c r="L476" s="25" t="str">
        <f aca="false">IF(F476="","",IF(AND(H476&lt;&gt;"",COUNTIF(Pessoas!$E:$E,H476)&gt;0),"SIM",IF(COUNTIF(Pessoas!$C:$C,F476)&gt;0,"nome igual em Pessoas: confira o CPF","")))</f>
        <v/>
      </c>
      <c r="M476" s="24"/>
      <c r="N476" s="11"/>
    </row>
    <row r="477" customFormat="false" ht="15" hidden="false" customHeight="false" outlineLevel="0" collapsed="false">
      <c r="A477" s="24"/>
      <c r="B477" s="31" t="str">
        <f aca="false">IF(A477="","",IF(LEN(UPPER(SUBSTITUTE(SUBSTITUTE(SUBSTITUTE(SUBSTITUTE(TRIM(A477),".",""),"/",""),"-","")," ","")))&lt;14,RIGHT(REPT("0",14)&amp;UPPER(SUBSTITUTE(SUBSTITUTE(SUBSTITUTE(SUBSTITUTE(TRIM(A477),".",""),"/",""),"-","")," ","")),14),UPPER(SUBSTITUTE(SUBSTITUTE(SUBSTITUTE(SUBSTITUTE(TRIM(A477),".",""),"/",""),"-","")," ",""))))</f>
        <v/>
      </c>
      <c r="C477" s="25" t="str">
        <f aca="false">IF(B477="","",IFERROR(INDEX(Empresas!$C:$C,MATCH(B477,Empresas!$B:$B,0)),"cadastre o CNPJ em Empresas"))</f>
        <v/>
      </c>
      <c r="D477" s="23"/>
      <c r="E477" s="24"/>
      <c r="F477" s="31" t="str">
        <f aca="false">IF(D477="","",SUBSTITUTE(SUBSTITUTE(SUBSTITUTE(SUBSTITUTE(SUBSTITUTE(SUBSTITUTE(SUBSTITUTE(SUBSTITUTE(SUBSTITUTE(SUBSTITUTE(SUBSTITUTE(SUBSTITUTE(SUBSTITUTE(UPPER(TRIM(D477)),"Á","A"),"À","A"),"Â","A"),"Ã","A"),"É","E"),"Ê","E"),"Í","I"),"Ó","O"),"Ô","O"),"Õ","O"),"Ú","U"),"Ü","U"),"Ç","C"))</f>
        <v/>
      </c>
      <c r="G477" s="31" t="str">
        <f aca="false">IF(E477="","",IF(LEN(SUBSTITUTE(SUBSTITUTE(SUBSTITUTE(SUBSTITUTE(TRIM(E477),"*",""),".",""),"-","")," ",""))=11,MID(SUBSTITUTE(SUBSTITUTE(SUBSTITUTE(SUBSTITUTE(TRIM(E477),"*",""),".",""),"-","")," ",""),4,6),SUBSTITUTE(SUBSTITUTE(SUBSTITUTE(SUBSTITUTE(TRIM(E477),"*",""),".",""),"-","")," ","")))</f>
        <v/>
      </c>
      <c r="H477" s="31" t="str">
        <f aca="false">IF(OR(F477="",G477=""),"",F477&amp;"|"&amp;G477)</f>
        <v/>
      </c>
      <c r="I477" s="23"/>
      <c r="J477" s="22"/>
      <c r="K477" s="22"/>
      <c r="L477" s="25" t="str">
        <f aca="false">IF(F477="","",IF(AND(H477&lt;&gt;"",COUNTIF(Pessoas!$E:$E,H477)&gt;0),"SIM",IF(COUNTIF(Pessoas!$C:$C,F477)&gt;0,"nome igual em Pessoas: confira o CPF","")))</f>
        <v/>
      </c>
      <c r="M477" s="24"/>
      <c r="N477" s="11"/>
    </row>
    <row r="478" customFormat="false" ht="15" hidden="false" customHeight="false" outlineLevel="0" collapsed="false">
      <c r="A478" s="24"/>
      <c r="B478" s="31" t="str">
        <f aca="false">IF(A478="","",IF(LEN(UPPER(SUBSTITUTE(SUBSTITUTE(SUBSTITUTE(SUBSTITUTE(TRIM(A478),".",""),"/",""),"-","")," ","")))&lt;14,RIGHT(REPT("0",14)&amp;UPPER(SUBSTITUTE(SUBSTITUTE(SUBSTITUTE(SUBSTITUTE(TRIM(A478),".",""),"/",""),"-","")," ","")),14),UPPER(SUBSTITUTE(SUBSTITUTE(SUBSTITUTE(SUBSTITUTE(TRIM(A478),".",""),"/",""),"-","")," ",""))))</f>
        <v/>
      </c>
      <c r="C478" s="25" t="str">
        <f aca="false">IF(B478="","",IFERROR(INDEX(Empresas!$C:$C,MATCH(B478,Empresas!$B:$B,0)),"cadastre o CNPJ em Empresas"))</f>
        <v/>
      </c>
      <c r="D478" s="23"/>
      <c r="E478" s="24"/>
      <c r="F478" s="31" t="str">
        <f aca="false">IF(D478="","",SUBSTITUTE(SUBSTITUTE(SUBSTITUTE(SUBSTITUTE(SUBSTITUTE(SUBSTITUTE(SUBSTITUTE(SUBSTITUTE(SUBSTITUTE(SUBSTITUTE(SUBSTITUTE(SUBSTITUTE(SUBSTITUTE(UPPER(TRIM(D478)),"Á","A"),"À","A"),"Â","A"),"Ã","A"),"É","E"),"Ê","E"),"Í","I"),"Ó","O"),"Ô","O"),"Õ","O"),"Ú","U"),"Ü","U"),"Ç","C"))</f>
        <v/>
      </c>
      <c r="G478" s="31" t="str">
        <f aca="false">IF(E478="","",IF(LEN(SUBSTITUTE(SUBSTITUTE(SUBSTITUTE(SUBSTITUTE(TRIM(E478),"*",""),".",""),"-","")," ",""))=11,MID(SUBSTITUTE(SUBSTITUTE(SUBSTITUTE(SUBSTITUTE(TRIM(E478),"*",""),".",""),"-","")," ",""),4,6),SUBSTITUTE(SUBSTITUTE(SUBSTITUTE(SUBSTITUTE(TRIM(E478),"*",""),".",""),"-","")," ","")))</f>
        <v/>
      </c>
      <c r="H478" s="31" t="str">
        <f aca="false">IF(OR(F478="",G478=""),"",F478&amp;"|"&amp;G478)</f>
        <v/>
      </c>
      <c r="I478" s="23"/>
      <c r="J478" s="22"/>
      <c r="K478" s="22"/>
      <c r="L478" s="25" t="str">
        <f aca="false">IF(F478="","",IF(AND(H478&lt;&gt;"",COUNTIF(Pessoas!$E:$E,H478)&gt;0),"SIM",IF(COUNTIF(Pessoas!$C:$C,F478)&gt;0,"nome igual em Pessoas: confira o CPF","")))</f>
        <v/>
      </c>
      <c r="M478" s="24"/>
      <c r="N478" s="11"/>
    </row>
    <row r="479" customFormat="false" ht="15" hidden="false" customHeight="false" outlineLevel="0" collapsed="false">
      <c r="A479" s="24"/>
      <c r="B479" s="31" t="str">
        <f aca="false">IF(A479="","",IF(LEN(UPPER(SUBSTITUTE(SUBSTITUTE(SUBSTITUTE(SUBSTITUTE(TRIM(A479),".",""),"/",""),"-","")," ","")))&lt;14,RIGHT(REPT("0",14)&amp;UPPER(SUBSTITUTE(SUBSTITUTE(SUBSTITUTE(SUBSTITUTE(TRIM(A479),".",""),"/",""),"-","")," ","")),14),UPPER(SUBSTITUTE(SUBSTITUTE(SUBSTITUTE(SUBSTITUTE(TRIM(A479),".",""),"/",""),"-","")," ",""))))</f>
        <v/>
      </c>
      <c r="C479" s="25" t="str">
        <f aca="false">IF(B479="","",IFERROR(INDEX(Empresas!$C:$C,MATCH(B479,Empresas!$B:$B,0)),"cadastre o CNPJ em Empresas"))</f>
        <v/>
      </c>
      <c r="D479" s="23"/>
      <c r="E479" s="24"/>
      <c r="F479" s="31" t="str">
        <f aca="false">IF(D479="","",SUBSTITUTE(SUBSTITUTE(SUBSTITUTE(SUBSTITUTE(SUBSTITUTE(SUBSTITUTE(SUBSTITUTE(SUBSTITUTE(SUBSTITUTE(SUBSTITUTE(SUBSTITUTE(SUBSTITUTE(SUBSTITUTE(UPPER(TRIM(D479)),"Á","A"),"À","A"),"Â","A"),"Ã","A"),"É","E"),"Ê","E"),"Í","I"),"Ó","O"),"Ô","O"),"Õ","O"),"Ú","U"),"Ü","U"),"Ç","C"))</f>
        <v/>
      </c>
      <c r="G479" s="31" t="str">
        <f aca="false">IF(E479="","",IF(LEN(SUBSTITUTE(SUBSTITUTE(SUBSTITUTE(SUBSTITUTE(TRIM(E479),"*",""),".",""),"-","")," ",""))=11,MID(SUBSTITUTE(SUBSTITUTE(SUBSTITUTE(SUBSTITUTE(TRIM(E479),"*",""),".",""),"-","")," ",""),4,6),SUBSTITUTE(SUBSTITUTE(SUBSTITUTE(SUBSTITUTE(TRIM(E479),"*",""),".",""),"-","")," ","")))</f>
        <v/>
      </c>
      <c r="H479" s="31" t="str">
        <f aca="false">IF(OR(F479="",G479=""),"",F479&amp;"|"&amp;G479)</f>
        <v/>
      </c>
      <c r="I479" s="23"/>
      <c r="J479" s="22"/>
      <c r="K479" s="22"/>
      <c r="L479" s="25" t="str">
        <f aca="false">IF(F479="","",IF(AND(H479&lt;&gt;"",COUNTIF(Pessoas!$E:$E,H479)&gt;0),"SIM",IF(COUNTIF(Pessoas!$C:$C,F479)&gt;0,"nome igual em Pessoas: confira o CPF","")))</f>
        <v/>
      </c>
      <c r="M479" s="24"/>
      <c r="N479" s="11"/>
    </row>
    <row r="480" customFormat="false" ht="15" hidden="false" customHeight="false" outlineLevel="0" collapsed="false">
      <c r="A480" s="24"/>
      <c r="B480" s="31" t="str">
        <f aca="false">IF(A480="","",IF(LEN(UPPER(SUBSTITUTE(SUBSTITUTE(SUBSTITUTE(SUBSTITUTE(TRIM(A480),".",""),"/",""),"-","")," ","")))&lt;14,RIGHT(REPT("0",14)&amp;UPPER(SUBSTITUTE(SUBSTITUTE(SUBSTITUTE(SUBSTITUTE(TRIM(A480),".",""),"/",""),"-","")," ","")),14),UPPER(SUBSTITUTE(SUBSTITUTE(SUBSTITUTE(SUBSTITUTE(TRIM(A480),".",""),"/",""),"-","")," ",""))))</f>
        <v/>
      </c>
      <c r="C480" s="25" t="str">
        <f aca="false">IF(B480="","",IFERROR(INDEX(Empresas!$C:$C,MATCH(B480,Empresas!$B:$B,0)),"cadastre o CNPJ em Empresas"))</f>
        <v/>
      </c>
      <c r="D480" s="23"/>
      <c r="E480" s="24"/>
      <c r="F480" s="31" t="str">
        <f aca="false">IF(D480="","",SUBSTITUTE(SUBSTITUTE(SUBSTITUTE(SUBSTITUTE(SUBSTITUTE(SUBSTITUTE(SUBSTITUTE(SUBSTITUTE(SUBSTITUTE(SUBSTITUTE(SUBSTITUTE(SUBSTITUTE(SUBSTITUTE(UPPER(TRIM(D480)),"Á","A"),"À","A"),"Â","A"),"Ã","A"),"É","E"),"Ê","E"),"Í","I"),"Ó","O"),"Ô","O"),"Õ","O"),"Ú","U"),"Ü","U"),"Ç","C"))</f>
        <v/>
      </c>
      <c r="G480" s="31" t="str">
        <f aca="false">IF(E480="","",IF(LEN(SUBSTITUTE(SUBSTITUTE(SUBSTITUTE(SUBSTITUTE(TRIM(E480),"*",""),".",""),"-","")," ",""))=11,MID(SUBSTITUTE(SUBSTITUTE(SUBSTITUTE(SUBSTITUTE(TRIM(E480),"*",""),".",""),"-","")," ",""),4,6),SUBSTITUTE(SUBSTITUTE(SUBSTITUTE(SUBSTITUTE(TRIM(E480),"*",""),".",""),"-","")," ","")))</f>
        <v/>
      </c>
      <c r="H480" s="31" t="str">
        <f aca="false">IF(OR(F480="",G480=""),"",F480&amp;"|"&amp;G480)</f>
        <v/>
      </c>
      <c r="I480" s="23"/>
      <c r="J480" s="22"/>
      <c r="K480" s="22"/>
      <c r="L480" s="25" t="str">
        <f aca="false">IF(F480="","",IF(AND(H480&lt;&gt;"",COUNTIF(Pessoas!$E:$E,H480)&gt;0),"SIM",IF(COUNTIF(Pessoas!$C:$C,F480)&gt;0,"nome igual em Pessoas: confira o CPF","")))</f>
        <v/>
      </c>
      <c r="M480" s="24"/>
      <c r="N480" s="11"/>
    </row>
    <row r="481" customFormat="false" ht="15" hidden="false" customHeight="false" outlineLevel="0" collapsed="false">
      <c r="A481" s="24"/>
      <c r="B481" s="31" t="str">
        <f aca="false">IF(A481="","",IF(LEN(UPPER(SUBSTITUTE(SUBSTITUTE(SUBSTITUTE(SUBSTITUTE(TRIM(A481),".",""),"/",""),"-","")," ","")))&lt;14,RIGHT(REPT("0",14)&amp;UPPER(SUBSTITUTE(SUBSTITUTE(SUBSTITUTE(SUBSTITUTE(TRIM(A481),".",""),"/",""),"-","")," ","")),14),UPPER(SUBSTITUTE(SUBSTITUTE(SUBSTITUTE(SUBSTITUTE(TRIM(A481),".",""),"/",""),"-","")," ",""))))</f>
        <v/>
      </c>
      <c r="C481" s="25" t="str">
        <f aca="false">IF(B481="","",IFERROR(INDEX(Empresas!$C:$C,MATCH(B481,Empresas!$B:$B,0)),"cadastre o CNPJ em Empresas"))</f>
        <v/>
      </c>
      <c r="D481" s="23"/>
      <c r="E481" s="24"/>
      <c r="F481" s="31" t="str">
        <f aca="false">IF(D481="","",SUBSTITUTE(SUBSTITUTE(SUBSTITUTE(SUBSTITUTE(SUBSTITUTE(SUBSTITUTE(SUBSTITUTE(SUBSTITUTE(SUBSTITUTE(SUBSTITUTE(SUBSTITUTE(SUBSTITUTE(SUBSTITUTE(UPPER(TRIM(D481)),"Á","A"),"À","A"),"Â","A"),"Ã","A"),"É","E"),"Ê","E"),"Í","I"),"Ó","O"),"Ô","O"),"Õ","O"),"Ú","U"),"Ü","U"),"Ç","C"))</f>
        <v/>
      </c>
      <c r="G481" s="31" t="str">
        <f aca="false">IF(E481="","",IF(LEN(SUBSTITUTE(SUBSTITUTE(SUBSTITUTE(SUBSTITUTE(TRIM(E481),"*",""),".",""),"-","")," ",""))=11,MID(SUBSTITUTE(SUBSTITUTE(SUBSTITUTE(SUBSTITUTE(TRIM(E481),"*",""),".",""),"-","")," ",""),4,6),SUBSTITUTE(SUBSTITUTE(SUBSTITUTE(SUBSTITUTE(TRIM(E481),"*",""),".",""),"-","")," ","")))</f>
        <v/>
      </c>
      <c r="H481" s="31" t="str">
        <f aca="false">IF(OR(F481="",G481=""),"",F481&amp;"|"&amp;G481)</f>
        <v/>
      </c>
      <c r="I481" s="23"/>
      <c r="J481" s="22"/>
      <c r="K481" s="22"/>
      <c r="L481" s="25" t="str">
        <f aca="false">IF(F481="","",IF(AND(H481&lt;&gt;"",COUNTIF(Pessoas!$E:$E,H481)&gt;0),"SIM",IF(COUNTIF(Pessoas!$C:$C,F481)&gt;0,"nome igual em Pessoas: confira o CPF","")))</f>
        <v/>
      </c>
      <c r="M481" s="24"/>
      <c r="N481" s="11"/>
    </row>
    <row r="482" customFormat="false" ht="15" hidden="false" customHeight="false" outlineLevel="0" collapsed="false">
      <c r="A482" s="24"/>
      <c r="B482" s="31" t="str">
        <f aca="false">IF(A482="","",IF(LEN(UPPER(SUBSTITUTE(SUBSTITUTE(SUBSTITUTE(SUBSTITUTE(TRIM(A482),".",""),"/",""),"-","")," ","")))&lt;14,RIGHT(REPT("0",14)&amp;UPPER(SUBSTITUTE(SUBSTITUTE(SUBSTITUTE(SUBSTITUTE(TRIM(A482),".",""),"/",""),"-","")," ","")),14),UPPER(SUBSTITUTE(SUBSTITUTE(SUBSTITUTE(SUBSTITUTE(TRIM(A482),".",""),"/",""),"-","")," ",""))))</f>
        <v/>
      </c>
      <c r="C482" s="25" t="str">
        <f aca="false">IF(B482="","",IFERROR(INDEX(Empresas!$C:$C,MATCH(B482,Empresas!$B:$B,0)),"cadastre o CNPJ em Empresas"))</f>
        <v/>
      </c>
      <c r="D482" s="23"/>
      <c r="E482" s="24"/>
      <c r="F482" s="31" t="str">
        <f aca="false">IF(D482="","",SUBSTITUTE(SUBSTITUTE(SUBSTITUTE(SUBSTITUTE(SUBSTITUTE(SUBSTITUTE(SUBSTITUTE(SUBSTITUTE(SUBSTITUTE(SUBSTITUTE(SUBSTITUTE(SUBSTITUTE(SUBSTITUTE(UPPER(TRIM(D482)),"Á","A"),"À","A"),"Â","A"),"Ã","A"),"É","E"),"Ê","E"),"Í","I"),"Ó","O"),"Ô","O"),"Õ","O"),"Ú","U"),"Ü","U"),"Ç","C"))</f>
        <v/>
      </c>
      <c r="G482" s="31" t="str">
        <f aca="false">IF(E482="","",IF(LEN(SUBSTITUTE(SUBSTITUTE(SUBSTITUTE(SUBSTITUTE(TRIM(E482),"*",""),".",""),"-","")," ",""))=11,MID(SUBSTITUTE(SUBSTITUTE(SUBSTITUTE(SUBSTITUTE(TRIM(E482),"*",""),".",""),"-","")," ",""),4,6),SUBSTITUTE(SUBSTITUTE(SUBSTITUTE(SUBSTITUTE(TRIM(E482),"*",""),".",""),"-","")," ","")))</f>
        <v/>
      </c>
      <c r="H482" s="31" t="str">
        <f aca="false">IF(OR(F482="",G482=""),"",F482&amp;"|"&amp;G482)</f>
        <v/>
      </c>
      <c r="I482" s="23"/>
      <c r="J482" s="22"/>
      <c r="K482" s="22"/>
      <c r="L482" s="25" t="str">
        <f aca="false">IF(F482="","",IF(AND(H482&lt;&gt;"",COUNTIF(Pessoas!$E:$E,H482)&gt;0),"SIM",IF(COUNTIF(Pessoas!$C:$C,F482)&gt;0,"nome igual em Pessoas: confira o CPF","")))</f>
        <v/>
      </c>
      <c r="M482" s="24"/>
      <c r="N482" s="11"/>
    </row>
    <row r="483" customFormat="false" ht="15" hidden="false" customHeight="false" outlineLevel="0" collapsed="false">
      <c r="A483" s="24"/>
      <c r="B483" s="31" t="str">
        <f aca="false">IF(A483="","",IF(LEN(UPPER(SUBSTITUTE(SUBSTITUTE(SUBSTITUTE(SUBSTITUTE(TRIM(A483),".",""),"/",""),"-","")," ","")))&lt;14,RIGHT(REPT("0",14)&amp;UPPER(SUBSTITUTE(SUBSTITUTE(SUBSTITUTE(SUBSTITUTE(TRIM(A483),".",""),"/",""),"-","")," ","")),14),UPPER(SUBSTITUTE(SUBSTITUTE(SUBSTITUTE(SUBSTITUTE(TRIM(A483),".",""),"/",""),"-","")," ",""))))</f>
        <v/>
      </c>
      <c r="C483" s="25" t="str">
        <f aca="false">IF(B483="","",IFERROR(INDEX(Empresas!$C:$C,MATCH(B483,Empresas!$B:$B,0)),"cadastre o CNPJ em Empresas"))</f>
        <v/>
      </c>
      <c r="D483" s="23"/>
      <c r="E483" s="24"/>
      <c r="F483" s="31" t="str">
        <f aca="false">IF(D483="","",SUBSTITUTE(SUBSTITUTE(SUBSTITUTE(SUBSTITUTE(SUBSTITUTE(SUBSTITUTE(SUBSTITUTE(SUBSTITUTE(SUBSTITUTE(SUBSTITUTE(SUBSTITUTE(SUBSTITUTE(SUBSTITUTE(UPPER(TRIM(D483)),"Á","A"),"À","A"),"Â","A"),"Ã","A"),"É","E"),"Ê","E"),"Í","I"),"Ó","O"),"Ô","O"),"Õ","O"),"Ú","U"),"Ü","U"),"Ç","C"))</f>
        <v/>
      </c>
      <c r="G483" s="31" t="str">
        <f aca="false">IF(E483="","",IF(LEN(SUBSTITUTE(SUBSTITUTE(SUBSTITUTE(SUBSTITUTE(TRIM(E483),"*",""),".",""),"-","")," ",""))=11,MID(SUBSTITUTE(SUBSTITUTE(SUBSTITUTE(SUBSTITUTE(TRIM(E483),"*",""),".",""),"-","")," ",""),4,6),SUBSTITUTE(SUBSTITUTE(SUBSTITUTE(SUBSTITUTE(TRIM(E483),"*",""),".",""),"-","")," ","")))</f>
        <v/>
      </c>
      <c r="H483" s="31" t="str">
        <f aca="false">IF(OR(F483="",G483=""),"",F483&amp;"|"&amp;G483)</f>
        <v/>
      </c>
      <c r="I483" s="23"/>
      <c r="J483" s="22"/>
      <c r="K483" s="22"/>
      <c r="L483" s="25" t="str">
        <f aca="false">IF(F483="","",IF(AND(H483&lt;&gt;"",COUNTIF(Pessoas!$E:$E,H483)&gt;0),"SIM",IF(COUNTIF(Pessoas!$C:$C,F483)&gt;0,"nome igual em Pessoas: confira o CPF","")))</f>
        <v/>
      </c>
      <c r="M483" s="24"/>
      <c r="N483" s="11"/>
    </row>
    <row r="484" customFormat="false" ht="15" hidden="false" customHeight="false" outlineLevel="0" collapsed="false">
      <c r="A484" s="24"/>
      <c r="B484" s="31" t="str">
        <f aca="false">IF(A484="","",IF(LEN(UPPER(SUBSTITUTE(SUBSTITUTE(SUBSTITUTE(SUBSTITUTE(TRIM(A484),".",""),"/",""),"-","")," ","")))&lt;14,RIGHT(REPT("0",14)&amp;UPPER(SUBSTITUTE(SUBSTITUTE(SUBSTITUTE(SUBSTITUTE(TRIM(A484),".",""),"/",""),"-","")," ","")),14),UPPER(SUBSTITUTE(SUBSTITUTE(SUBSTITUTE(SUBSTITUTE(TRIM(A484),".",""),"/",""),"-","")," ",""))))</f>
        <v/>
      </c>
      <c r="C484" s="25" t="str">
        <f aca="false">IF(B484="","",IFERROR(INDEX(Empresas!$C:$C,MATCH(B484,Empresas!$B:$B,0)),"cadastre o CNPJ em Empresas"))</f>
        <v/>
      </c>
      <c r="D484" s="23"/>
      <c r="E484" s="24"/>
      <c r="F484" s="31" t="str">
        <f aca="false">IF(D484="","",SUBSTITUTE(SUBSTITUTE(SUBSTITUTE(SUBSTITUTE(SUBSTITUTE(SUBSTITUTE(SUBSTITUTE(SUBSTITUTE(SUBSTITUTE(SUBSTITUTE(SUBSTITUTE(SUBSTITUTE(SUBSTITUTE(UPPER(TRIM(D484)),"Á","A"),"À","A"),"Â","A"),"Ã","A"),"É","E"),"Ê","E"),"Í","I"),"Ó","O"),"Ô","O"),"Õ","O"),"Ú","U"),"Ü","U"),"Ç","C"))</f>
        <v/>
      </c>
      <c r="G484" s="31" t="str">
        <f aca="false">IF(E484="","",IF(LEN(SUBSTITUTE(SUBSTITUTE(SUBSTITUTE(SUBSTITUTE(TRIM(E484),"*",""),".",""),"-","")," ",""))=11,MID(SUBSTITUTE(SUBSTITUTE(SUBSTITUTE(SUBSTITUTE(TRIM(E484),"*",""),".",""),"-","")," ",""),4,6),SUBSTITUTE(SUBSTITUTE(SUBSTITUTE(SUBSTITUTE(TRIM(E484),"*",""),".",""),"-","")," ","")))</f>
        <v/>
      </c>
      <c r="H484" s="31" t="str">
        <f aca="false">IF(OR(F484="",G484=""),"",F484&amp;"|"&amp;G484)</f>
        <v/>
      </c>
      <c r="I484" s="23"/>
      <c r="J484" s="22"/>
      <c r="K484" s="22"/>
      <c r="L484" s="25" t="str">
        <f aca="false">IF(F484="","",IF(AND(H484&lt;&gt;"",COUNTIF(Pessoas!$E:$E,H484)&gt;0),"SIM",IF(COUNTIF(Pessoas!$C:$C,F484)&gt;0,"nome igual em Pessoas: confira o CPF","")))</f>
        <v/>
      </c>
      <c r="M484" s="24"/>
      <c r="N484" s="11"/>
    </row>
    <row r="485" customFormat="false" ht="15" hidden="false" customHeight="false" outlineLevel="0" collapsed="false">
      <c r="A485" s="24"/>
      <c r="B485" s="31" t="str">
        <f aca="false">IF(A485="","",IF(LEN(UPPER(SUBSTITUTE(SUBSTITUTE(SUBSTITUTE(SUBSTITUTE(TRIM(A485),".",""),"/",""),"-","")," ","")))&lt;14,RIGHT(REPT("0",14)&amp;UPPER(SUBSTITUTE(SUBSTITUTE(SUBSTITUTE(SUBSTITUTE(TRIM(A485),".",""),"/",""),"-","")," ","")),14),UPPER(SUBSTITUTE(SUBSTITUTE(SUBSTITUTE(SUBSTITUTE(TRIM(A485),".",""),"/",""),"-","")," ",""))))</f>
        <v/>
      </c>
      <c r="C485" s="25" t="str">
        <f aca="false">IF(B485="","",IFERROR(INDEX(Empresas!$C:$C,MATCH(B485,Empresas!$B:$B,0)),"cadastre o CNPJ em Empresas"))</f>
        <v/>
      </c>
      <c r="D485" s="23"/>
      <c r="E485" s="24"/>
      <c r="F485" s="31" t="str">
        <f aca="false">IF(D485="","",SUBSTITUTE(SUBSTITUTE(SUBSTITUTE(SUBSTITUTE(SUBSTITUTE(SUBSTITUTE(SUBSTITUTE(SUBSTITUTE(SUBSTITUTE(SUBSTITUTE(SUBSTITUTE(SUBSTITUTE(SUBSTITUTE(UPPER(TRIM(D485)),"Á","A"),"À","A"),"Â","A"),"Ã","A"),"É","E"),"Ê","E"),"Í","I"),"Ó","O"),"Ô","O"),"Õ","O"),"Ú","U"),"Ü","U"),"Ç","C"))</f>
        <v/>
      </c>
      <c r="G485" s="31" t="str">
        <f aca="false">IF(E485="","",IF(LEN(SUBSTITUTE(SUBSTITUTE(SUBSTITUTE(SUBSTITUTE(TRIM(E485),"*",""),".",""),"-","")," ",""))=11,MID(SUBSTITUTE(SUBSTITUTE(SUBSTITUTE(SUBSTITUTE(TRIM(E485),"*",""),".",""),"-","")," ",""),4,6),SUBSTITUTE(SUBSTITUTE(SUBSTITUTE(SUBSTITUTE(TRIM(E485),"*",""),".",""),"-","")," ","")))</f>
        <v/>
      </c>
      <c r="H485" s="31" t="str">
        <f aca="false">IF(OR(F485="",G485=""),"",F485&amp;"|"&amp;G485)</f>
        <v/>
      </c>
      <c r="I485" s="23"/>
      <c r="J485" s="22"/>
      <c r="K485" s="22"/>
      <c r="L485" s="25" t="str">
        <f aca="false">IF(F485="","",IF(AND(H485&lt;&gt;"",COUNTIF(Pessoas!$E:$E,H485)&gt;0),"SIM",IF(COUNTIF(Pessoas!$C:$C,F485)&gt;0,"nome igual em Pessoas: confira o CPF","")))</f>
        <v/>
      </c>
      <c r="M485" s="24"/>
      <c r="N485" s="11"/>
    </row>
    <row r="486" customFormat="false" ht="15" hidden="false" customHeight="false" outlineLevel="0" collapsed="false">
      <c r="A486" s="24"/>
      <c r="B486" s="31" t="str">
        <f aca="false">IF(A486="","",IF(LEN(UPPER(SUBSTITUTE(SUBSTITUTE(SUBSTITUTE(SUBSTITUTE(TRIM(A486),".",""),"/",""),"-","")," ","")))&lt;14,RIGHT(REPT("0",14)&amp;UPPER(SUBSTITUTE(SUBSTITUTE(SUBSTITUTE(SUBSTITUTE(TRIM(A486),".",""),"/",""),"-","")," ","")),14),UPPER(SUBSTITUTE(SUBSTITUTE(SUBSTITUTE(SUBSTITUTE(TRIM(A486),".",""),"/",""),"-","")," ",""))))</f>
        <v/>
      </c>
      <c r="C486" s="25" t="str">
        <f aca="false">IF(B486="","",IFERROR(INDEX(Empresas!$C:$C,MATCH(B486,Empresas!$B:$B,0)),"cadastre o CNPJ em Empresas"))</f>
        <v/>
      </c>
      <c r="D486" s="23"/>
      <c r="E486" s="24"/>
      <c r="F486" s="31" t="str">
        <f aca="false">IF(D486="","",SUBSTITUTE(SUBSTITUTE(SUBSTITUTE(SUBSTITUTE(SUBSTITUTE(SUBSTITUTE(SUBSTITUTE(SUBSTITUTE(SUBSTITUTE(SUBSTITUTE(SUBSTITUTE(SUBSTITUTE(SUBSTITUTE(UPPER(TRIM(D486)),"Á","A"),"À","A"),"Â","A"),"Ã","A"),"É","E"),"Ê","E"),"Í","I"),"Ó","O"),"Ô","O"),"Õ","O"),"Ú","U"),"Ü","U"),"Ç","C"))</f>
        <v/>
      </c>
      <c r="G486" s="31" t="str">
        <f aca="false">IF(E486="","",IF(LEN(SUBSTITUTE(SUBSTITUTE(SUBSTITUTE(SUBSTITUTE(TRIM(E486),"*",""),".",""),"-","")," ",""))=11,MID(SUBSTITUTE(SUBSTITUTE(SUBSTITUTE(SUBSTITUTE(TRIM(E486),"*",""),".",""),"-","")," ",""),4,6),SUBSTITUTE(SUBSTITUTE(SUBSTITUTE(SUBSTITUTE(TRIM(E486),"*",""),".",""),"-","")," ","")))</f>
        <v/>
      </c>
      <c r="H486" s="31" t="str">
        <f aca="false">IF(OR(F486="",G486=""),"",F486&amp;"|"&amp;G486)</f>
        <v/>
      </c>
      <c r="I486" s="23"/>
      <c r="J486" s="22"/>
      <c r="K486" s="22"/>
      <c r="L486" s="25" t="str">
        <f aca="false">IF(F486="","",IF(AND(H486&lt;&gt;"",COUNTIF(Pessoas!$E:$E,H486)&gt;0),"SIM",IF(COUNTIF(Pessoas!$C:$C,F486)&gt;0,"nome igual em Pessoas: confira o CPF","")))</f>
        <v/>
      </c>
      <c r="M486" s="24"/>
      <c r="N486" s="11"/>
    </row>
    <row r="487" customFormat="false" ht="15" hidden="false" customHeight="false" outlineLevel="0" collapsed="false">
      <c r="A487" s="24"/>
      <c r="B487" s="31" t="str">
        <f aca="false">IF(A487="","",IF(LEN(UPPER(SUBSTITUTE(SUBSTITUTE(SUBSTITUTE(SUBSTITUTE(TRIM(A487),".",""),"/",""),"-","")," ","")))&lt;14,RIGHT(REPT("0",14)&amp;UPPER(SUBSTITUTE(SUBSTITUTE(SUBSTITUTE(SUBSTITUTE(TRIM(A487),".",""),"/",""),"-","")," ","")),14),UPPER(SUBSTITUTE(SUBSTITUTE(SUBSTITUTE(SUBSTITUTE(TRIM(A487),".",""),"/",""),"-","")," ",""))))</f>
        <v/>
      </c>
      <c r="C487" s="25" t="str">
        <f aca="false">IF(B487="","",IFERROR(INDEX(Empresas!$C:$C,MATCH(B487,Empresas!$B:$B,0)),"cadastre o CNPJ em Empresas"))</f>
        <v/>
      </c>
      <c r="D487" s="23"/>
      <c r="E487" s="24"/>
      <c r="F487" s="31" t="str">
        <f aca="false">IF(D487="","",SUBSTITUTE(SUBSTITUTE(SUBSTITUTE(SUBSTITUTE(SUBSTITUTE(SUBSTITUTE(SUBSTITUTE(SUBSTITUTE(SUBSTITUTE(SUBSTITUTE(SUBSTITUTE(SUBSTITUTE(SUBSTITUTE(UPPER(TRIM(D487)),"Á","A"),"À","A"),"Â","A"),"Ã","A"),"É","E"),"Ê","E"),"Í","I"),"Ó","O"),"Ô","O"),"Õ","O"),"Ú","U"),"Ü","U"),"Ç","C"))</f>
        <v/>
      </c>
      <c r="G487" s="31" t="str">
        <f aca="false">IF(E487="","",IF(LEN(SUBSTITUTE(SUBSTITUTE(SUBSTITUTE(SUBSTITUTE(TRIM(E487),"*",""),".",""),"-","")," ",""))=11,MID(SUBSTITUTE(SUBSTITUTE(SUBSTITUTE(SUBSTITUTE(TRIM(E487),"*",""),".",""),"-","")," ",""),4,6),SUBSTITUTE(SUBSTITUTE(SUBSTITUTE(SUBSTITUTE(TRIM(E487),"*",""),".",""),"-","")," ","")))</f>
        <v/>
      </c>
      <c r="H487" s="31" t="str">
        <f aca="false">IF(OR(F487="",G487=""),"",F487&amp;"|"&amp;G487)</f>
        <v/>
      </c>
      <c r="I487" s="23"/>
      <c r="J487" s="22"/>
      <c r="K487" s="22"/>
      <c r="L487" s="25" t="str">
        <f aca="false">IF(F487="","",IF(AND(H487&lt;&gt;"",COUNTIF(Pessoas!$E:$E,H487)&gt;0),"SIM",IF(COUNTIF(Pessoas!$C:$C,F487)&gt;0,"nome igual em Pessoas: confira o CPF","")))</f>
        <v/>
      </c>
      <c r="M487" s="24"/>
      <c r="N487" s="11"/>
    </row>
    <row r="488" customFormat="false" ht="15" hidden="false" customHeight="false" outlineLevel="0" collapsed="false">
      <c r="A488" s="24"/>
      <c r="B488" s="31" t="str">
        <f aca="false">IF(A488="","",IF(LEN(UPPER(SUBSTITUTE(SUBSTITUTE(SUBSTITUTE(SUBSTITUTE(TRIM(A488),".",""),"/",""),"-","")," ","")))&lt;14,RIGHT(REPT("0",14)&amp;UPPER(SUBSTITUTE(SUBSTITUTE(SUBSTITUTE(SUBSTITUTE(TRIM(A488),".",""),"/",""),"-","")," ","")),14),UPPER(SUBSTITUTE(SUBSTITUTE(SUBSTITUTE(SUBSTITUTE(TRIM(A488),".",""),"/",""),"-","")," ",""))))</f>
        <v/>
      </c>
      <c r="C488" s="25" t="str">
        <f aca="false">IF(B488="","",IFERROR(INDEX(Empresas!$C:$C,MATCH(B488,Empresas!$B:$B,0)),"cadastre o CNPJ em Empresas"))</f>
        <v/>
      </c>
      <c r="D488" s="23"/>
      <c r="E488" s="24"/>
      <c r="F488" s="31" t="str">
        <f aca="false">IF(D488="","",SUBSTITUTE(SUBSTITUTE(SUBSTITUTE(SUBSTITUTE(SUBSTITUTE(SUBSTITUTE(SUBSTITUTE(SUBSTITUTE(SUBSTITUTE(SUBSTITUTE(SUBSTITUTE(SUBSTITUTE(SUBSTITUTE(UPPER(TRIM(D488)),"Á","A"),"À","A"),"Â","A"),"Ã","A"),"É","E"),"Ê","E"),"Í","I"),"Ó","O"),"Ô","O"),"Õ","O"),"Ú","U"),"Ü","U"),"Ç","C"))</f>
        <v/>
      </c>
      <c r="G488" s="31" t="str">
        <f aca="false">IF(E488="","",IF(LEN(SUBSTITUTE(SUBSTITUTE(SUBSTITUTE(SUBSTITUTE(TRIM(E488),"*",""),".",""),"-","")," ",""))=11,MID(SUBSTITUTE(SUBSTITUTE(SUBSTITUTE(SUBSTITUTE(TRIM(E488),"*",""),".",""),"-","")," ",""),4,6),SUBSTITUTE(SUBSTITUTE(SUBSTITUTE(SUBSTITUTE(TRIM(E488),"*",""),".",""),"-","")," ","")))</f>
        <v/>
      </c>
      <c r="H488" s="31" t="str">
        <f aca="false">IF(OR(F488="",G488=""),"",F488&amp;"|"&amp;G488)</f>
        <v/>
      </c>
      <c r="I488" s="23"/>
      <c r="J488" s="22"/>
      <c r="K488" s="22"/>
      <c r="L488" s="25" t="str">
        <f aca="false">IF(F488="","",IF(AND(H488&lt;&gt;"",COUNTIF(Pessoas!$E:$E,H488)&gt;0),"SIM",IF(COUNTIF(Pessoas!$C:$C,F488)&gt;0,"nome igual em Pessoas: confira o CPF","")))</f>
        <v/>
      </c>
      <c r="M488" s="24"/>
      <c r="N488" s="11"/>
    </row>
    <row r="489" customFormat="false" ht="15" hidden="false" customHeight="false" outlineLevel="0" collapsed="false">
      <c r="A489" s="24"/>
      <c r="B489" s="31" t="str">
        <f aca="false">IF(A489="","",IF(LEN(UPPER(SUBSTITUTE(SUBSTITUTE(SUBSTITUTE(SUBSTITUTE(TRIM(A489),".",""),"/",""),"-","")," ","")))&lt;14,RIGHT(REPT("0",14)&amp;UPPER(SUBSTITUTE(SUBSTITUTE(SUBSTITUTE(SUBSTITUTE(TRIM(A489),".",""),"/",""),"-","")," ","")),14),UPPER(SUBSTITUTE(SUBSTITUTE(SUBSTITUTE(SUBSTITUTE(TRIM(A489),".",""),"/",""),"-","")," ",""))))</f>
        <v/>
      </c>
      <c r="C489" s="25" t="str">
        <f aca="false">IF(B489="","",IFERROR(INDEX(Empresas!$C:$C,MATCH(B489,Empresas!$B:$B,0)),"cadastre o CNPJ em Empresas"))</f>
        <v/>
      </c>
      <c r="D489" s="23"/>
      <c r="E489" s="24"/>
      <c r="F489" s="31" t="str">
        <f aca="false">IF(D489="","",SUBSTITUTE(SUBSTITUTE(SUBSTITUTE(SUBSTITUTE(SUBSTITUTE(SUBSTITUTE(SUBSTITUTE(SUBSTITUTE(SUBSTITUTE(SUBSTITUTE(SUBSTITUTE(SUBSTITUTE(SUBSTITUTE(UPPER(TRIM(D489)),"Á","A"),"À","A"),"Â","A"),"Ã","A"),"É","E"),"Ê","E"),"Í","I"),"Ó","O"),"Ô","O"),"Õ","O"),"Ú","U"),"Ü","U"),"Ç","C"))</f>
        <v/>
      </c>
      <c r="G489" s="31" t="str">
        <f aca="false">IF(E489="","",IF(LEN(SUBSTITUTE(SUBSTITUTE(SUBSTITUTE(SUBSTITUTE(TRIM(E489),"*",""),".",""),"-","")," ",""))=11,MID(SUBSTITUTE(SUBSTITUTE(SUBSTITUTE(SUBSTITUTE(TRIM(E489),"*",""),".",""),"-","")," ",""),4,6),SUBSTITUTE(SUBSTITUTE(SUBSTITUTE(SUBSTITUTE(TRIM(E489),"*",""),".",""),"-","")," ","")))</f>
        <v/>
      </c>
      <c r="H489" s="31" t="str">
        <f aca="false">IF(OR(F489="",G489=""),"",F489&amp;"|"&amp;G489)</f>
        <v/>
      </c>
      <c r="I489" s="23"/>
      <c r="J489" s="22"/>
      <c r="K489" s="22"/>
      <c r="L489" s="25" t="str">
        <f aca="false">IF(F489="","",IF(AND(H489&lt;&gt;"",COUNTIF(Pessoas!$E:$E,H489)&gt;0),"SIM",IF(COUNTIF(Pessoas!$C:$C,F489)&gt;0,"nome igual em Pessoas: confira o CPF","")))</f>
        <v/>
      </c>
      <c r="M489" s="24"/>
      <c r="N489" s="11"/>
    </row>
    <row r="490" customFormat="false" ht="15" hidden="false" customHeight="false" outlineLevel="0" collapsed="false">
      <c r="A490" s="24"/>
      <c r="B490" s="31" t="str">
        <f aca="false">IF(A490="","",IF(LEN(UPPER(SUBSTITUTE(SUBSTITUTE(SUBSTITUTE(SUBSTITUTE(TRIM(A490),".",""),"/",""),"-","")," ","")))&lt;14,RIGHT(REPT("0",14)&amp;UPPER(SUBSTITUTE(SUBSTITUTE(SUBSTITUTE(SUBSTITUTE(TRIM(A490),".",""),"/",""),"-","")," ","")),14),UPPER(SUBSTITUTE(SUBSTITUTE(SUBSTITUTE(SUBSTITUTE(TRIM(A490),".",""),"/",""),"-","")," ",""))))</f>
        <v/>
      </c>
      <c r="C490" s="25" t="str">
        <f aca="false">IF(B490="","",IFERROR(INDEX(Empresas!$C:$C,MATCH(B490,Empresas!$B:$B,0)),"cadastre o CNPJ em Empresas"))</f>
        <v/>
      </c>
      <c r="D490" s="23"/>
      <c r="E490" s="24"/>
      <c r="F490" s="31" t="str">
        <f aca="false">IF(D490="","",SUBSTITUTE(SUBSTITUTE(SUBSTITUTE(SUBSTITUTE(SUBSTITUTE(SUBSTITUTE(SUBSTITUTE(SUBSTITUTE(SUBSTITUTE(SUBSTITUTE(SUBSTITUTE(SUBSTITUTE(SUBSTITUTE(UPPER(TRIM(D490)),"Á","A"),"À","A"),"Â","A"),"Ã","A"),"É","E"),"Ê","E"),"Í","I"),"Ó","O"),"Ô","O"),"Õ","O"),"Ú","U"),"Ü","U"),"Ç","C"))</f>
        <v/>
      </c>
      <c r="G490" s="31" t="str">
        <f aca="false">IF(E490="","",IF(LEN(SUBSTITUTE(SUBSTITUTE(SUBSTITUTE(SUBSTITUTE(TRIM(E490),"*",""),".",""),"-","")," ",""))=11,MID(SUBSTITUTE(SUBSTITUTE(SUBSTITUTE(SUBSTITUTE(TRIM(E490),"*",""),".",""),"-","")," ",""),4,6),SUBSTITUTE(SUBSTITUTE(SUBSTITUTE(SUBSTITUTE(TRIM(E490),"*",""),".",""),"-","")," ","")))</f>
        <v/>
      </c>
      <c r="H490" s="31" t="str">
        <f aca="false">IF(OR(F490="",G490=""),"",F490&amp;"|"&amp;G490)</f>
        <v/>
      </c>
      <c r="I490" s="23"/>
      <c r="J490" s="22"/>
      <c r="K490" s="22"/>
      <c r="L490" s="25" t="str">
        <f aca="false">IF(F490="","",IF(AND(H490&lt;&gt;"",COUNTIF(Pessoas!$E:$E,H490)&gt;0),"SIM",IF(COUNTIF(Pessoas!$C:$C,F490)&gt;0,"nome igual em Pessoas: confira o CPF","")))</f>
        <v/>
      </c>
      <c r="M490" s="24"/>
      <c r="N490" s="11"/>
    </row>
    <row r="491" customFormat="false" ht="15" hidden="false" customHeight="false" outlineLevel="0" collapsed="false">
      <c r="A491" s="24"/>
      <c r="B491" s="31" t="str">
        <f aca="false">IF(A491="","",IF(LEN(UPPER(SUBSTITUTE(SUBSTITUTE(SUBSTITUTE(SUBSTITUTE(TRIM(A491),".",""),"/",""),"-","")," ","")))&lt;14,RIGHT(REPT("0",14)&amp;UPPER(SUBSTITUTE(SUBSTITUTE(SUBSTITUTE(SUBSTITUTE(TRIM(A491),".",""),"/",""),"-","")," ","")),14),UPPER(SUBSTITUTE(SUBSTITUTE(SUBSTITUTE(SUBSTITUTE(TRIM(A491),".",""),"/",""),"-","")," ",""))))</f>
        <v/>
      </c>
      <c r="C491" s="25" t="str">
        <f aca="false">IF(B491="","",IFERROR(INDEX(Empresas!$C:$C,MATCH(B491,Empresas!$B:$B,0)),"cadastre o CNPJ em Empresas"))</f>
        <v/>
      </c>
      <c r="D491" s="23"/>
      <c r="E491" s="24"/>
      <c r="F491" s="31" t="str">
        <f aca="false">IF(D491="","",SUBSTITUTE(SUBSTITUTE(SUBSTITUTE(SUBSTITUTE(SUBSTITUTE(SUBSTITUTE(SUBSTITUTE(SUBSTITUTE(SUBSTITUTE(SUBSTITUTE(SUBSTITUTE(SUBSTITUTE(SUBSTITUTE(UPPER(TRIM(D491)),"Á","A"),"À","A"),"Â","A"),"Ã","A"),"É","E"),"Ê","E"),"Í","I"),"Ó","O"),"Ô","O"),"Õ","O"),"Ú","U"),"Ü","U"),"Ç","C"))</f>
        <v/>
      </c>
      <c r="G491" s="31" t="str">
        <f aca="false">IF(E491="","",IF(LEN(SUBSTITUTE(SUBSTITUTE(SUBSTITUTE(SUBSTITUTE(TRIM(E491),"*",""),".",""),"-","")," ",""))=11,MID(SUBSTITUTE(SUBSTITUTE(SUBSTITUTE(SUBSTITUTE(TRIM(E491),"*",""),".",""),"-","")," ",""),4,6),SUBSTITUTE(SUBSTITUTE(SUBSTITUTE(SUBSTITUTE(TRIM(E491),"*",""),".",""),"-","")," ","")))</f>
        <v/>
      </c>
      <c r="H491" s="31" t="str">
        <f aca="false">IF(OR(F491="",G491=""),"",F491&amp;"|"&amp;G491)</f>
        <v/>
      </c>
      <c r="I491" s="23"/>
      <c r="J491" s="22"/>
      <c r="K491" s="22"/>
      <c r="L491" s="25" t="str">
        <f aca="false">IF(F491="","",IF(AND(H491&lt;&gt;"",COUNTIF(Pessoas!$E:$E,H491)&gt;0),"SIM",IF(COUNTIF(Pessoas!$C:$C,F491)&gt;0,"nome igual em Pessoas: confira o CPF","")))</f>
        <v/>
      </c>
      <c r="M491" s="24"/>
      <c r="N491" s="11"/>
    </row>
    <row r="492" customFormat="false" ht="15" hidden="false" customHeight="false" outlineLevel="0" collapsed="false">
      <c r="A492" s="24"/>
      <c r="B492" s="31" t="str">
        <f aca="false">IF(A492="","",IF(LEN(UPPER(SUBSTITUTE(SUBSTITUTE(SUBSTITUTE(SUBSTITUTE(TRIM(A492),".",""),"/",""),"-","")," ","")))&lt;14,RIGHT(REPT("0",14)&amp;UPPER(SUBSTITUTE(SUBSTITUTE(SUBSTITUTE(SUBSTITUTE(TRIM(A492),".",""),"/",""),"-","")," ","")),14),UPPER(SUBSTITUTE(SUBSTITUTE(SUBSTITUTE(SUBSTITUTE(TRIM(A492),".",""),"/",""),"-","")," ",""))))</f>
        <v/>
      </c>
      <c r="C492" s="25" t="str">
        <f aca="false">IF(B492="","",IFERROR(INDEX(Empresas!$C:$C,MATCH(B492,Empresas!$B:$B,0)),"cadastre o CNPJ em Empresas"))</f>
        <v/>
      </c>
      <c r="D492" s="23"/>
      <c r="E492" s="24"/>
      <c r="F492" s="31" t="str">
        <f aca="false">IF(D492="","",SUBSTITUTE(SUBSTITUTE(SUBSTITUTE(SUBSTITUTE(SUBSTITUTE(SUBSTITUTE(SUBSTITUTE(SUBSTITUTE(SUBSTITUTE(SUBSTITUTE(SUBSTITUTE(SUBSTITUTE(SUBSTITUTE(UPPER(TRIM(D492)),"Á","A"),"À","A"),"Â","A"),"Ã","A"),"É","E"),"Ê","E"),"Í","I"),"Ó","O"),"Ô","O"),"Õ","O"),"Ú","U"),"Ü","U"),"Ç","C"))</f>
        <v/>
      </c>
      <c r="G492" s="31" t="str">
        <f aca="false">IF(E492="","",IF(LEN(SUBSTITUTE(SUBSTITUTE(SUBSTITUTE(SUBSTITUTE(TRIM(E492),"*",""),".",""),"-","")," ",""))=11,MID(SUBSTITUTE(SUBSTITUTE(SUBSTITUTE(SUBSTITUTE(TRIM(E492),"*",""),".",""),"-","")," ",""),4,6),SUBSTITUTE(SUBSTITUTE(SUBSTITUTE(SUBSTITUTE(TRIM(E492),"*",""),".",""),"-","")," ","")))</f>
        <v/>
      </c>
      <c r="H492" s="31" t="str">
        <f aca="false">IF(OR(F492="",G492=""),"",F492&amp;"|"&amp;G492)</f>
        <v/>
      </c>
      <c r="I492" s="23"/>
      <c r="J492" s="22"/>
      <c r="K492" s="22"/>
      <c r="L492" s="25" t="str">
        <f aca="false">IF(F492="","",IF(AND(H492&lt;&gt;"",COUNTIF(Pessoas!$E:$E,H492)&gt;0),"SIM",IF(COUNTIF(Pessoas!$C:$C,F492)&gt;0,"nome igual em Pessoas: confira o CPF","")))</f>
        <v/>
      </c>
      <c r="M492" s="24"/>
      <c r="N492" s="11"/>
    </row>
    <row r="493" customFormat="false" ht="15" hidden="false" customHeight="false" outlineLevel="0" collapsed="false">
      <c r="A493" s="24"/>
      <c r="B493" s="31" t="str">
        <f aca="false">IF(A493="","",IF(LEN(UPPER(SUBSTITUTE(SUBSTITUTE(SUBSTITUTE(SUBSTITUTE(TRIM(A493),".",""),"/",""),"-","")," ","")))&lt;14,RIGHT(REPT("0",14)&amp;UPPER(SUBSTITUTE(SUBSTITUTE(SUBSTITUTE(SUBSTITUTE(TRIM(A493),".",""),"/",""),"-","")," ","")),14),UPPER(SUBSTITUTE(SUBSTITUTE(SUBSTITUTE(SUBSTITUTE(TRIM(A493),".",""),"/",""),"-","")," ",""))))</f>
        <v/>
      </c>
      <c r="C493" s="25" t="str">
        <f aca="false">IF(B493="","",IFERROR(INDEX(Empresas!$C:$C,MATCH(B493,Empresas!$B:$B,0)),"cadastre o CNPJ em Empresas"))</f>
        <v/>
      </c>
      <c r="D493" s="23"/>
      <c r="E493" s="24"/>
      <c r="F493" s="31" t="str">
        <f aca="false">IF(D493="","",SUBSTITUTE(SUBSTITUTE(SUBSTITUTE(SUBSTITUTE(SUBSTITUTE(SUBSTITUTE(SUBSTITUTE(SUBSTITUTE(SUBSTITUTE(SUBSTITUTE(SUBSTITUTE(SUBSTITUTE(SUBSTITUTE(UPPER(TRIM(D493)),"Á","A"),"À","A"),"Â","A"),"Ã","A"),"É","E"),"Ê","E"),"Í","I"),"Ó","O"),"Ô","O"),"Õ","O"),"Ú","U"),"Ü","U"),"Ç","C"))</f>
        <v/>
      </c>
      <c r="G493" s="31" t="str">
        <f aca="false">IF(E493="","",IF(LEN(SUBSTITUTE(SUBSTITUTE(SUBSTITUTE(SUBSTITUTE(TRIM(E493),"*",""),".",""),"-","")," ",""))=11,MID(SUBSTITUTE(SUBSTITUTE(SUBSTITUTE(SUBSTITUTE(TRIM(E493),"*",""),".",""),"-","")," ",""),4,6),SUBSTITUTE(SUBSTITUTE(SUBSTITUTE(SUBSTITUTE(TRIM(E493),"*",""),".",""),"-","")," ","")))</f>
        <v/>
      </c>
      <c r="H493" s="31" t="str">
        <f aca="false">IF(OR(F493="",G493=""),"",F493&amp;"|"&amp;G493)</f>
        <v/>
      </c>
      <c r="I493" s="23"/>
      <c r="J493" s="22"/>
      <c r="K493" s="22"/>
      <c r="L493" s="25" t="str">
        <f aca="false">IF(F493="","",IF(AND(H493&lt;&gt;"",COUNTIF(Pessoas!$E:$E,H493)&gt;0),"SIM",IF(COUNTIF(Pessoas!$C:$C,F493)&gt;0,"nome igual em Pessoas: confira o CPF","")))</f>
        <v/>
      </c>
      <c r="M493" s="24"/>
      <c r="N493" s="11"/>
    </row>
    <row r="494" customFormat="false" ht="15" hidden="false" customHeight="false" outlineLevel="0" collapsed="false">
      <c r="A494" s="24"/>
      <c r="B494" s="31" t="str">
        <f aca="false">IF(A494="","",IF(LEN(UPPER(SUBSTITUTE(SUBSTITUTE(SUBSTITUTE(SUBSTITUTE(TRIM(A494),".",""),"/",""),"-","")," ","")))&lt;14,RIGHT(REPT("0",14)&amp;UPPER(SUBSTITUTE(SUBSTITUTE(SUBSTITUTE(SUBSTITUTE(TRIM(A494),".",""),"/",""),"-","")," ","")),14),UPPER(SUBSTITUTE(SUBSTITUTE(SUBSTITUTE(SUBSTITUTE(TRIM(A494),".",""),"/",""),"-","")," ",""))))</f>
        <v/>
      </c>
      <c r="C494" s="25" t="str">
        <f aca="false">IF(B494="","",IFERROR(INDEX(Empresas!$C:$C,MATCH(B494,Empresas!$B:$B,0)),"cadastre o CNPJ em Empresas"))</f>
        <v/>
      </c>
      <c r="D494" s="23"/>
      <c r="E494" s="24"/>
      <c r="F494" s="31" t="str">
        <f aca="false">IF(D494="","",SUBSTITUTE(SUBSTITUTE(SUBSTITUTE(SUBSTITUTE(SUBSTITUTE(SUBSTITUTE(SUBSTITUTE(SUBSTITUTE(SUBSTITUTE(SUBSTITUTE(SUBSTITUTE(SUBSTITUTE(SUBSTITUTE(UPPER(TRIM(D494)),"Á","A"),"À","A"),"Â","A"),"Ã","A"),"É","E"),"Ê","E"),"Í","I"),"Ó","O"),"Ô","O"),"Õ","O"),"Ú","U"),"Ü","U"),"Ç","C"))</f>
        <v/>
      </c>
      <c r="G494" s="31" t="str">
        <f aca="false">IF(E494="","",IF(LEN(SUBSTITUTE(SUBSTITUTE(SUBSTITUTE(SUBSTITUTE(TRIM(E494),"*",""),".",""),"-","")," ",""))=11,MID(SUBSTITUTE(SUBSTITUTE(SUBSTITUTE(SUBSTITUTE(TRIM(E494),"*",""),".",""),"-","")," ",""),4,6),SUBSTITUTE(SUBSTITUTE(SUBSTITUTE(SUBSTITUTE(TRIM(E494),"*",""),".",""),"-","")," ","")))</f>
        <v/>
      </c>
      <c r="H494" s="31" t="str">
        <f aca="false">IF(OR(F494="",G494=""),"",F494&amp;"|"&amp;G494)</f>
        <v/>
      </c>
      <c r="I494" s="23"/>
      <c r="J494" s="22"/>
      <c r="K494" s="22"/>
      <c r="L494" s="25" t="str">
        <f aca="false">IF(F494="","",IF(AND(H494&lt;&gt;"",COUNTIF(Pessoas!$E:$E,H494)&gt;0),"SIM",IF(COUNTIF(Pessoas!$C:$C,F494)&gt;0,"nome igual em Pessoas: confira o CPF","")))</f>
        <v/>
      </c>
      <c r="M494" s="24"/>
      <c r="N494" s="11"/>
    </row>
    <row r="495" customFormat="false" ht="15" hidden="false" customHeight="false" outlineLevel="0" collapsed="false">
      <c r="A495" s="24"/>
      <c r="B495" s="31" t="str">
        <f aca="false">IF(A495="","",IF(LEN(UPPER(SUBSTITUTE(SUBSTITUTE(SUBSTITUTE(SUBSTITUTE(TRIM(A495),".",""),"/",""),"-","")," ","")))&lt;14,RIGHT(REPT("0",14)&amp;UPPER(SUBSTITUTE(SUBSTITUTE(SUBSTITUTE(SUBSTITUTE(TRIM(A495),".",""),"/",""),"-","")," ","")),14),UPPER(SUBSTITUTE(SUBSTITUTE(SUBSTITUTE(SUBSTITUTE(TRIM(A495),".",""),"/",""),"-","")," ",""))))</f>
        <v/>
      </c>
      <c r="C495" s="25" t="str">
        <f aca="false">IF(B495="","",IFERROR(INDEX(Empresas!$C:$C,MATCH(B495,Empresas!$B:$B,0)),"cadastre o CNPJ em Empresas"))</f>
        <v/>
      </c>
      <c r="D495" s="23"/>
      <c r="E495" s="24"/>
      <c r="F495" s="31" t="str">
        <f aca="false">IF(D495="","",SUBSTITUTE(SUBSTITUTE(SUBSTITUTE(SUBSTITUTE(SUBSTITUTE(SUBSTITUTE(SUBSTITUTE(SUBSTITUTE(SUBSTITUTE(SUBSTITUTE(SUBSTITUTE(SUBSTITUTE(SUBSTITUTE(UPPER(TRIM(D495)),"Á","A"),"À","A"),"Â","A"),"Ã","A"),"É","E"),"Ê","E"),"Í","I"),"Ó","O"),"Ô","O"),"Õ","O"),"Ú","U"),"Ü","U"),"Ç","C"))</f>
        <v/>
      </c>
      <c r="G495" s="31" t="str">
        <f aca="false">IF(E495="","",IF(LEN(SUBSTITUTE(SUBSTITUTE(SUBSTITUTE(SUBSTITUTE(TRIM(E495),"*",""),".",""),"-","")," ",""))=11,MID(SUBSTITUTE(SUBSTITUTE(SUBSTITUTE(SUBSTITUTE(TRIM(E495),"*",""),".",""),"-","")," ",""),4,6),SUBSTITUTE(SUBSTITUTE(SUBSTITUTE(SUBSTITUTE(TRIM(E495),"*",""),".",""),"-","")," ","")))</f>
        <v/>
      </c>
      <c r="H495" s="31" t="str">
        <f aca="false">IF(OR(F495="",G495=""),"",F495&amp;"|"&amp;G495)</f>
        <v/>
      </c>
      <c r="I495" s="23"/>
      <c r="J495" s="22"/>
      <c r="K495" s="22"/>
      <c r="L495" s="25" t="str">
        <f aca="false">IF(F495="","",IF(AND(H495&lt;&gt;"",COUNTIF(Pessoas!$E:$E,H495)&gt;0),"SIM",IF(COUNTIF(Pessoas!$C:$C,F495)&gt;0,"nome igual em Pessoas: confira o CPF","")))</f>
        <v/>
      </c>
      <c r="M495" s="24"/>
      <c r="N495" s="11"/>
    </row>
    <row r="496" customFormat="false" ht="15" hidden="false" customHeight="false" outlineLevel="0" collapsed="false">
      <c r="A496" s="24"/>
      <c r="B496" s="31" t="str">
        <f aca="false">IF(A496="","",IF(LEN(UPPER(SUBSTITUTE(SUBSTITUTE(SUBSTITUTE(SUBSTITUTE(TRIM(A496),".",""),"/",""),"-","")," ","")))&lt;14,RIGHT(REPT("0",14)&amp;UPPER(SUBSTITUTE(SUBSTITUTE(SUBSTITUTE(SUBSTITUTE(TRIM(A496),".",""),"/",""),"-","")," ","")),14),UPPER(SUBSTITUTE(SUBSTITUTE(SUBSTITUTE(SUBSTITUTE(TRIM(A496),".",""),"/",""),"-","")," ",""))))</f>
        <v/>
      </c>
      <c r="C496" s="25" t="str">
        <f aca="false">IF(B496="","",IFERROR(INDEX(Empresas!$C:$C,MATCH(B496,Empresas!$B:$B,0)),"cadastre o CNPJ em Empresas"))</f>
        <v/>
      </c>
      <c r="D496" s="23"/>
      <c r="E496" s="24"/>
      <c r="F496" s="31" t="str">
        <f aca="false">IF(D496="","",SUBSTITUTE(SUBSTITUTE(SUBSTITUTE(SUBSTITUTE(SUBSTITUTE(SUBSTITUTE(SUBSTITUTE(SUBSTITUTE(SUBSTITUTE(SUBSTITUTE(SUBSTITUTE(SUBSTITUTE(SUBSTITUTE(UPPER(TRIM(D496)),"Á","A"),"À","A"),"Â","A"),"Ã","A"),"É","E"),"Ê","E"),"Í","I"),"Ó","O"),"Ô","O"),"Õ","O"),"Ú","U"),"Ü","U"),"Ç","C"))</f>
        <v/>
      </c>
      <c r="G496" s="31" t="str">
        <f aca="false">IF(E496="","",IF(LEN(SUBSTITUTE(SUBSTITUTE(SUBSTITUTE(SUBSTITUTE(TRIM(E496),"*",""),".",""),"-","")," ",""))=11,MID(SUBSTITUTE(SUBSTITUTE(SUBSTITUTE(SUBSTITUTE(TRIM(E496),"*",""),".",""),"-","")," ",""),4,6),SUBSTITUTE(SUBSTITUTE(SUBSTITUTE(SUBSTITUTE(TRIM(E496),"*",""),".",""),"-","")," ","")))</f>
        <v/>
      </c>
      <c r="H496" s="31" t="str">
        <f aca="false">IF(OR(F496="",G496=""),"",F496&amp;"|"&amp;G496)</f>
        <v/>
      </c>
      <c r="I496" s="23"/>
      <c r="J496" s="22"/>
      <c r="K496" s="22"/>
      <c r="L496" s="25" t="str">
        <f aca="false">IF(F496="","",IF(AND(H496&lt;&gt;"",COUNTIF(Pessoas!$E:$E,H496)&gt;0),"SIM",IF(COUNTIF(Pessoas!$C:$C,F496)&gt;0,"nome igual em Pessoas: confira o CPF","")))</f>
        <v/>
      </c>
      <c r="M496" s="24"/>
      <c r="N496" s="11"/>
    </row>
    <row r="497" customFormat="false" ht="15" hidden="false" customHeight="false" outlineLevel="0" collapsed="false">
      <c r="A497" s="24"/>
      <c r="B497" s="31" t="str">
        <f aca="false">IF(A497="","",IF(LEN(UPPER(SUBSTITUTE(SUBSTITUTE(SUBSTITUTE(SUBSTITUTE(TRIM(A497),".",""),"/",""),"-","")," ","")))&lt;14,RIGHT(REPT("0",14)&amp;UPPER(SUBSTITUTE(SUBSTITUTE(SUBSTITUTE(SUBSTITUTE(TRIM(A497),".",""),"/",""),"-","")," ","")),14),UPPER(SUBSTITUTE(SUBSTITUTE(SUBSTITUTE(SUBSTITUTE(TRIM(A497),".",""),"/",""),"-","")," ",""))))</f>
        <v/>
      </c>
      <c r="C497" s="25" t="str">
        <f aca="false">IF(B497="","",IFERROR(INDEX(Empresas!$C:$C,MATCH(B497,Empresas!$B:$B,0)),"cadastre o CNPJ em Empresas"))</f>
        <v/>
      </c>
      <c r="D497" s="23"/>
      <c r="E497" s="24"/>
      <c r="F497" s="31" t="str">
        <f aca="false">IF(D497="","",SUBSTITUTE(SUBSTITUTE(SUBSTITUTE(SUBSTITUTE(SUBSTITUTE(SUBSTITUTE(SUBSTITUTE(SUBSTITUTE(SUBSTITUTE(SUBSTITUTE(SUBSTITUTE(SUBSTITUTE(SUBSTITUTE(UPPER(TRIM(D497)),"Á","A"),"À","A"),"Â","A"),"Ã","A"),"É","E"),"Ê","E"),"Í","I"),"Ó","O"),"Ô","O"),"Õ","O"),"Ú","U"),"Ü","U"),"Ç","C"))</f>
        <v/>
      </c>
      <c r="G497" s="31" t="str">
        <f aca="false">IF(E497="","",IF(LEN(SUBSTITUTE(SUBSTITUTE(SUBSTITUTE(SUBSTITUTE(TRIM(E497),"*",""),".",""),"-","")," ",""))=11,MID(SUBSTITUTE(SUBSTITUTE(SUBSTITUTE(SUBSTITUTE(TRIM(E497),"*",""),".",""),"-","")," ",""),4,6),SUBSTITUTE(SUBSTITUTE(SUBSTITUTE(SUBSTITUTE(TRIM(E497),"*",""),".",""),"-","")," ","")))</f>
        <v/>
      </c>
      <c r="H497" s="31" t="str">
        <f aca="false">IF(OR(F497="",G497=""),"",F497&amp;"|"&amp;G497)</f>
        <v/>
      </c>
      <c r="I497" s="23"/>
      <c r="J497" s="22"/>
      <c r="K497" s="22"/>
      <c r="L497" s="25" t="str">
        <f aca="false">IF(F497="","",IF(AND(H497&lt;&gt;"",COUNTIF(Pessoas!$E:$E,H497)&gt;0),"SIM",IF(COUNTIF(Pessoas!$C:$C,F497)&gt;0,"nome igual em Pessoas: confira o CPF","")))</f>
        <v/>
      </c>
      <c r="M497" s="24"/>
      <c r="N497" s="11"/>
    </row>
    <row r="498" customFormat="false" ht="15" hidden="false" customHeight="false" outlineLevel="0" collapsed="false">
      <c r="A498" s="24"/>
      <c r="B498" s="31" t="str">
        <f aca="false">IF(A498="","",IF(LEN(UPPER(SUBSTITUTE(SUBSTITUTE(SUBSTITUTE(SUBSTITUTE(TRIM(A498),".",""),"/",""),"-","")," ","")))&lt;14,RIGHT(REPT("0",14)&amp;UPPER(SUBSTITUTE(SUBSTITUTE(SUBSTITUTE(SUBSTITUTE(TRIM(A498),".",""),"/",""),"-","")," ","")),14),UPPER(SUBSTITUTE(SUBSTITUTE(SUBSTITUTE(SUBSTITUTE(TRIM(A498),".",""),"/",""),"-","")," ",""))))</f>
        <v/>
      </c>
      <c r="C498" s="25" t="str">
        <f aca="false">IF(B498="","",IFERROR(INDEX(Empresas!$C:$C,MATCH(B498,Empresas!$B:$B,0)),"cadastre o CNPJ em Empresas"))</f>
        <v/>
      </c>
      <c r="D498" s="23"/>
      <c r="E498" s="24"/>
      <c r="F498" s="31" t="str">
        <f aca="false">IF(D498="","",SUBSTITUTE(SUBSTITUTE(SUBSTITUTE(SUBSTITUTE(SUBSTITUTE(SUBSTITUTE(SUBSTITUTE(SUBSTITUTE(SUBSTITUTE(SUBSTITUTE(SUBSTITUTE(SUBSTITUTE(SUBSTITUTE(UPPER(TRIM(D498)),"Á","A"),"À","A"),"Â","A"),"Ã","A"),"É","E"),"Ê","E"),"Í","I"),"Ó","O"),"Ô","O"),"Õ","O"),"Ú","U"),"Ü","U"),"Ç","C"))</f>
        <v/>
      </c>
      <c r="G498" s="31" t="str">
        <f aca="false">IF(E498="","",IF(LEN(SUBSTITUTE(SUBSTITUTE(SUBSTITUTE(SUBSTITUTE(TRIM(E498),"*",""),".",""),"-","")," ",""))=11,MID(SUBSTITUTE(SUBSTITUTE(SUBSTITUTE(SUBSTITUTE(TRIM(E498),"*",""),".",""),"-","")," ",""),4,6),SUBSTITUTE(SUBSTITUTE(SUBSTITUTE(SUBSTITUTE(TRIM(E498),"*",""),".",""),"-","")," ","")))</f>
        <v/>
      </c>
      <c r="H498" s="31" t="str">
        <f aca="false">IF(OR(F498="",G498=""),"",F498&amp;"|"&amp;G498)</f>
        <v/>
      </c>
      <c r="I498" s="23"/>
      <c r="J498" s="22"/>
      <c r="K498" s="22"/>
      <c r="L498" s="25" t="str">
        <f aca="false">IF(F498="","",IF(AND(H498&lt;&gt;"",COUNTIF(Pessoas!$E:$E,H498)&gt;0),"SIM",IF(COUNTIF(Pessoas!$C:$C,F498)&gt;0,"nome igual em Pessoas: confira o CPF","")))</f>
        <v/>
      </c>
      <c r="M498" s="24"/>
      <c r="N498" s="11"/>
    </row>
    <row r="499" customFormat="false" ht="15" hidden="false" customHeight="false" outlineLevel="0" collapsed="false">
      <c r="A499" s="24"/>
      <c r="B499" s="31" t="str">
        <f aca="false">IF(A499="","",IF(LEN(UPPER(SUBSTITUTE(SUBSTITUTE(SUBSTITUTE(SUBSTITUTE(TRIM(A499),".",""),"/",""),"-","")," ","")))&lt;14,RIGHT(REPT("0",14)&amp;UPPER(SUBSTITUTE(SUBSTITUTE(SUBSTITUTE(SUBSTITUTE(TRIM(A499),".",""),"/",""),"-","")," ","")),14),UPPER(SUBSTITUTE(SUBSTITUTE(SUBSTITUTE(SUBSTITUTE(TRIM(A499),".",""),"/",""),"-","")," ",""))))</f>
        <v/>
      </c>
      <c r="C499" s="25" t="str">
        <f aca="false">IF(B499="","",IFERROR(INDEX(Empresas!$C:$C,MATCH(B499,Empresas!$B:$B,0)),"cadastre o CNPJ em Empresas"))</f>
        <v/>
      </c>
      <c r="D499" s="23"/>
      <c r="E499" s="24"/>
      <c r="F499" s="31" t="str">
        <f aca="false">IF(D499="","",SUBSTITUTE(SUBSTITUTE(SUBSTITUTE(SUBSTITUTE(SUBSTITUTE(SUBSTITUTE(SUBSTITUTE(SUBSTITUTE(SUBSTITUTE(SUBSTITUTE(SUBSTITUTE(SUBSTITUTE(SUBSTITUTE(UPPER(TRIM(D499)),"Á","A"),"À","A"),"Â","A"),"Ã","A"),"É","E"),"Ê","E"),"Í","I"),"Ó","O"),"Ô","O"),"Õ","O"),"Ú","U"),"Ü","U"),"Ç","C"))</f>
        <v/>
      </c>
      <c r="G499" s="31" t="str">
        <f aca="false">IF(E499="","",IF(LEN(SUBSTITUTE(SUBSTITUTE(SUBSTITUTE(SUBSTITUTE(TRIM(E499),"*",""),".",""),"-","")," ",""))=11,MID(SUBSTITUTE(SUBSTITUTE(SUBSTITUTE(SUBSTITUTE(TRIM(E499),"*",""),".",""),"-","")," ",""),4,6),SUBSTITUTE(SUBSTITUTE(SUBSTITUTE(SUBSTITUTE(TRIM(E499),"*",""),".",""),"-","")," ","")))</f>
        <v/>
      </c>
      <c r="H499" s="31" t="str">
        <f aca="false">IF(OR(F499="",G499=""),"",F499&amp;"|"&amp;G499)</f>
        <v/>
      </c>
      <c r="I499" s="23"/>
      <c r="J499" s="22"/>
      <c r="K499" s="22"/>
      <c r="L499" s="25" t="str">
        <f aca="false">IF(F499="","",IF(AND(H499&lt;&gt;"",COUNTIF(Pessoas!$E:$E,H499)&gt;0),"SIM",IF(COUNTIF(Pessoas!$C:$C,F499)&gt;0,"nome igual em Pessoas: confira o CPF","")))</f>
        <v/>
      </c>
      <c r="M499" s="24"/>
      <c r="N499" s="11"/>
    </row>
    <row r="500" customFormat="false" ht="15" hidden="false" customHeight="false" outlineLevel="0" collapsed="false">
      <c r="A500" s="24"/>
      <c r="B500" s="31" t="str">
        <f aca="false">IF(A500="","",IF(LEN(UPPER(SUBSTITUTE(SUBSTITUTE(SUBSTITUTE(SUBSTITUTE(TRIM(A500),".",""),"/",""),"-","")," ","")))&lt;14,RIGHT(REPT("0",14)&amp;UPPER(SUBSTITUTE(SUBSTITUTE(SUBSTITUTE(SUBSTITUTE(TRIM(A500),".",""),"/",""),"-","")," ","")),14),UPPER(SUBSTITUTE(SUBSTITUTE(SUBSTITUTE(SUBSTITUTE(TRIM(A500),".",""),"/",""),"-","")," ",""))))</f>
        <v/>
      </c>
      <c r="C500" s="25" t="str">
        <f aca="false">IF(B500="","",IFERROR(INDEX(Empresas!$C:$C,MATCH(B500,Empresas!$B:$B,0)),"cadastre o CNPJ em Empresas"))</f>
        <v/>
      </c>
      <c r="D500" s="23"/>
      <c r="E500" s="24"/>
      <c r="F500" s="31" t="str">
        <f aca="false">IF(D500="","",SUBSTITUTE(SUBSTITUTE(SUBSTITUTE(SUBSTITUTE(SUBSTITUTE(SUBSTITUTE(SUBSTITUTE(SUBSTITUTE(SUBSTITUTE(SUBSTITUTE(SUBSTITUTE(SUBSTITUTE(SUBSTITUTE(UPPER(TRIM(D500)),"Á","A"),"À","A"),"Â","A"),"Ã","A"),"É","E"),"Ê","E"),"Í","I"),"Ó","O"),"Ô","O"),"Õ","O"),"Ú","U"),"Ü","U"),"Ç","C"))</f>
        <v/>
      </c>
      <c r="G500" s="31" t="str">
        <f aca="false">IF(E500="","",IF(LEN(SUBSTITUTE(SUBSTITUTE(SUBSTITUTE(SUBSTITUTE(TRIM(E500),"*",""),".",""),"-","")," ",""))=11,MID(SUBSTITUTE(SUBSTITUTE(SUBSTITUTE(SUBSTITUTE(TRIM(E500),"*",""),".",""),"-","")," ",""),4,6),SUBSTITUTE(SUBSTITUTE(SUBSTITUTE(SUBSTITUTE(TRIM(E500),"*",""),".",""),"-","")," ","")))</f>
        <v/>
      </c>
      <c r="H500" s="31" t="str">
        <f aca="false">IF(OR(F500="",G500=""),"",F500&amp;"|"&amp;G500)</f>
        <v/>
      </c>
      <c r="I500" s="23"/>
      <c r="J500" s="22"/>
      <c r="K500" s="22"/>
      <c r="L500" s="25" t="str">
        <f aca="false">IF(F500="","",IF(AND(H500&lt;&gt;"",COUNTIF(Pessoas!$E:$E,H500)&gt;0),"SIM",IF(COUNTIF(Pessoas!$C:$C,F500)&gt;0,"nome igual em Pessoas: confira o CPF","")))</f>
        <v/>
      </c>
      <c r="M500" s="24"/>
      <c r="N500" s="11"/>
    </row>
    <row r="501" customFormat="false" ht="15" hidden="false" customHeight="false" outlineLevel="0" collapsed="false">
      <c r="A501" s="24"/>
      <c r="B501" s="31" t="str">
        <f aca="false">IF(A501="","",IF(LEN(UPPER(SUBSTITUTE(SUBSTITUTE(SUBSTITUTE(SUBSTITUTE(TRIM(A501),".",""),"/",""),"-","")," ","")))&lt;14,RIGHT(REPT("0",14)&amp;UPPER(SUBSTITUTE(SUBSTITUTE(SUBSTITUTE(SUBSTITUTE(TRIM(A501),".",""),"/",""),"-","")," ","")),14),UPPER(SUBSTITUTE(SUBSTITUTE(SUBSTITUTE(SUBSTITUTE(TRIM(A501),".",""),"/",""),"-","")," ",""))))</f>
        <v/>
      </c>
      <c r="C501" s="25" t="str">
        <f aca="false">IF(B501="","",IFERROR(INDEX(Empresas!$C:$C,MATCH(B501,Empresas!$B:$B,0)),"cadastre o CNPJ em Empresas"))</f>
        <v/>
      </c>
      <c r="D501" s="23"/>
      <c r="E501" s="24"/>
      <c r="F501" s="31" t="str">
        <f aca="false">IF(D501="","",SUBSTITUTE(SUBSTITUTE(SUBSTITUTE(SUBSTITUTE(SUBSTITUTE(SUBSTITUTE(SUBSTITUTE(SUBSTITUTE(SUBSTITUTE(SUBSTITUTE(SUBSTITUTE(SUBSTITUTE(SUBSTITUTE(UPPER(TRIM(D501)),"Á","A"),"À","A"),"Â","A"),"Ã","A"),"É","E"),"Ê","E"),"Í","I"),"Ó","O"),"Ô","O"),"Õ","O"),"Ú","U"),"Ü","U"),"Ç","C"))</f>
        <v/>
      </c>
      <c r="G501" s="31" t="str">
        <f aca="false">IF(E501="","",IF(LEN(SUBSTITUTE(SUBSTITUTE(SUBSTITUTE(SUBSTITUTE(TRIM(E501),"*",""),".",""),"-","")," ",""))=11,MID(SUBSTITUTE(SUBSTITUTE(SUBSTITUTE(SUBSTITUTE(TRIM(E501),"*",""),".",""),"-","")," ",""),4,6),SUBSTITUTE(SUBSTITUTE(SUBSTITUTE(SUBSTITUTE(TRIM(E501),"*",""),".",""),"-","")," ","")))</f>
        <v/>
      </c>
      <c r="H501" s="31" t="str">
        <f aca="false">IF(OR(F501="",G501=""),"",F501&amp;"|"&amp;G501)</f>
        <v/>
      </c>
      <c r="I501" s="23"/>
      <c r="J501" s="22"/>
      <c r="K501" s="22"/>
      <c r="L501" s="25" t="str">
        <f aca="false">IF(F501="","",IF(AND(H501&lt;&gt;"",COUNTIF(Pessoas!$E:$E,H501)&gt;0),"SIM",IF(COUNTIF(Pessoas!$C:$C,F501)&gt;0,"nome igual em Pessoas: confira o CPF","")))</f>
        <v/>
      </c>
      <c r="M501" s="24"/>
      <c r="N501" s="11"/>
    </row>
    <row r="502" customFormat="false" ht="15" hidden="false" customHeight="false" outlineLevel="0" collapsed="false">
      <c r="A502" s="24"/>
      <c r="B502" s="31" t="str">
        <f aca="false">IF(A502="","",IF(LEN(UPPER(SUBSTITUTE(SUBSTITUTE(SUBSTITUTE(SUBSTITUTE(TRIM(A502),".",""),"/",""),"-","")," ","")))&lt;14,RIGHT(REPT("0",14)&amp;UPPER(SUBSTITUTE(SUBSTITUTE(SUBSTITUTE(SUBSTITUTE(TRIM(A502),".",""),"/",""),"-","")," ","")),14),UPPER(SUBSTITUTE(SUBSTITUTE(SUBSTITUTE(SUBSTITUTE(TRIM(A502),".",""),"/",""),"-","")," ",""))))</f>
        <v/>
      </c>
      <c r="C502" s="25" t="str">
        <f aca="false">IF(B502="","",IFERROR(INDEX(Empresas!$C:$C,MATCH(B502,Empresas!$B:$B,0)),"cadastre o CNPJ em Empresas"))</f>
        <v/>
      </c>
      <c r="D502" s="23"/>
      <c r="E502" s="24"/>
      <c r="F502" s="31" t="str">
        <f aca="false">IF(D502="","",SUBSTITUTE(SUBSTITUTE(SUBSTITUTE(SUBSTITUTE(SUBSTITUTE(SUBSTITUTE(SUBSTITUTE(SUBSTITUTE(SUBSTITUTE(SUBSTITUTE(SUBSTITUTE(SUBSTITUTE(SUBSTITUTE(UPPER(TRIM(D502)),"Á","A"),"À","A"),"Â","A"),"Ã","A"),"É","E"),"Ê","E"),"Í","I"),"Ó","O"),"Ô","O"),"Õ","O"),"Ú","U"),"Ü","U"),"Ç","C"))</f>
        <v/>
      </c>
      <c r="G502" s="31" t="str">
        <f aca="false">IF(E502="","",IF(LEN(SUBSTITUTE(SUBSTITUTE(SUBSTITUTE(SUBSTITUTE(TRIM(E502),"*",""),".",""),"-","")," ",""))=11,MID(SUBSTITUTE(SUBSTITUTE(SUBSTITUTE(SUBSTITUTE(TRIM(E502),"*",""),".",""),"-","")," ",""),4,6),SUBSTITUTE(SUBSTITUTE(SUBSTITUTE(SUBSTITUTE(TRIM(E502),"*",""),".",""),"-","")," ","")))</f>
        <v/>
      </c>
      <c r="H502" s="31" t="str">
        <f aca="false">IF(OR(F502="",G502=""),"",F502&amp;"|"&amp;G502)</f>
        <v/>
      </c>
      <c r="I502" s="23"/>
      <c r="J502" s="22"/>
      <c r="K502" s="22"/>
      <c r="L502" s="25" t="str">
        <f aca="false">IF(F502="","",IF(AND(H502&lt;&gt;"",COUNTIF(Pessoas!$E:$E,H502)&gt;0),"SIM",IF(COUNTIF(Pessoas!$C:$C,F502)&gt;0,"nome igual em Pessoas: confira o CPF","")))</f>
        <v/>
      </c>
      <c r="M502" s="24"/>
      <c r="N502" s="11"/>
    </row>
    <row r="503" customFormat="false" ht="15" hidden="false" customHeight="false" outlineLevel="0" collapsed="false">
      <c r="A503" s="24"/>
      <c r="B503" s="31" t="str">
        <f aca="false">IF(A503="","",IF(LEN(UPPER(SUBSTITUTE(SUBSTITUTE(SUBSTITUTE(SUBSTITUTE(TRIM(A503),".",""),"/",""),"-","")," ","")))&lt;14,RIGHT(REPT("0",14)&amp;UPPER(SUBSTITUTE(SUBSTITUTE(SUBSTITUTE(SUBSTITUTE(TRIM(A503),".",""),"/",""),"-","")," ","")),14),UPPER(SUBSTITUTE(SUBSTITUTE(SUBSTITUTE(SUBSTITUTE(TRIM(A503),".",""),"/",""),"-","")," ",""))))</f>
        <v/>
      </c>
      <c r="C503" s="25" t="str">
        <f aca="false">IF(B503="","",IFERROR(INDEX(Empresas!$C:$C,MATCH(B503,Empresas!$B:$B,0)),"cadastre o CNPJ em Empresas"))</f>
        <v/>
      </c>
      <c r="D503" s="23"/>
      <c r="E503" s="24"/>
      <c r="F503" s="31" t="str">
        <f aca="false">IF(D503="","",SUBSTITUTE(SUBSTITUTE(SUBSTITUTE(SUBSTITUTE(SUBSTITUTE(SUBSTITUTE(SUBSTITUTE(SUBSTITUTE(SUBSTITUTE(SUBSTITUTE(SUBSTITUTE(SUBSTITUTE(SUBSTITUTE(UPPER(TRIM(D503)),"Á","A"),"À","A"),"Â","A"),"Ã","A"),"É","E"),"Ê","E"),"Í","I"),"Ó","O"),"Ô","O"),"Õ","O"),"Ú","U"),"Ü","U"),"Ç","C"))</f>
        <v/>
      </c>
      <c r="G503" s="31" t="str">
        <f aca="false">IF(E503="","",IF(LEN(SUBSTITUTE(SUBSTITUTE(SUBSTITUTE(SUBSTITUTE(TRIM(E503),"*",""),".",""),"-","")," ",""))=11,MID(SUBSTITUTE(SUBSTITUTE(SUBSTITUTE(SUBSTITUTE(TRIM(E503),"*",""),".",""),"-","")," ",""),4,6),SUBSTITUTE(SUBSTITUTE(SUBSTITUTE(SUBSTITUTE(TRIM(E503),"*",""),".",""),"-","")," ","")))</f>
        <v/>
      </c>
      <c r="H503" s="31" t="str">
        <f aca="false">IF(OR(F503="",G503=""),"",F503&amp;"|"&amp;G503)</f>
        <v/>
      </c>
      <c r="I503" s="23"/>
      <c r="J503" s="22"/>
      <c r="K503" s="22"/>
      <c r="L503" s="25" t="str">
        <f aca="false">IF(F503="","",IF(AND(H503&lt;&gt;"",COUNTIF(Pessoas!$E:$E,H503)&gt;0),"SIM",IF(COUNTIF(Pessoas!$C:$C,F503)&gt;0,"nome igual em Pessoas: confira o CPF","")))</f>
        <v/>
      </c>
      <c r="M503" s="24"/>
      <c r="N503" s="11"/>
    </row>
    <row r="504" customFormat="false" ht="15" hidden="false" customHeight="false" outlineLevel="0" collapsed="false">
      <c r="A504" s="24"/>
      <c r="B504" s="31" t="str">
        <f aca="false">IF(A504="","",IF(LEN(UPPER(SUBSTITUTE(SUBSTITUTE(SUBSTITUTE(SUBSTITUTE(TRIM(A504),".",""),"/",""),"-","")," ","")))&lt;14,RIGHT(REPT("0",14)&amp;UPPER(SUBSTITUTE(SUBSTITUTE(SUBSTITUTE(SUBSTITUTE(TRIM(A504),".",""),"/",""),"-","")," ","")),14),UPPER(SUBSTITUTE(SUBSTITUTE(SUBSTITUTE(SUBSTITUTE(TRIM(A504),".",""),"/",""),"-","")," ",""))))</f>
        <v/>
      </c>
      <c r="C504" s="25" t="str">
        <f aca="false">IF(B504="","",IFERROR(INDEX(Empresas!$C:$C,MATCH(B504,Empresas!$B:$B,0)),"cadastre o CNPJ em Empresas"))</f>
        <v/>
      </c>
      <c r="D504" s="23"/>
      <c r="E504" s="24"/>
      <c r="F504" s="31" t="str">
        <f aca="false">IF(D504="","",SUBSTITUTE(SUBSTITUTE(SUBSTITUTE(SUBSTITUTE(SUBSTITUTE(SUBSTITUTE(SUBSTITUTE(SUBSTITUTE(SUBSTITUTE(SUBSTITUTE(SUBSTITUTE(SUBSTITUTE(SUBSTITUTE(UPPER(TRIM(D504)),"Á","A"),"À","A"),"Â","A"),"Ã","A"),"É","E"),"Ê","E"),"Í","I"),"Ó","O"),"Ô","O"),"Õ","O"),"Ú","U"),"Ü","U"),"Ç","C"))</f>
        <v/>
      </c>
      <c r="G504" s="31" t="str">
        <f aca="false">IF(E504="","",IF(LEN(SUBSTITUTE(SUBSTITUTE(SUBSTITUTE(SUBSTITUTE(TRIM(E504),"*",""),".",""),"-","")," ",""))=11,MID(SUBSTITUTE(SUBSTITUTE(SUBSTITUTE(SUBSTITUTE(TRIM(E504),"*",""),".",""),"-","")," ",""),4,6),SUBSTITUTE(SUBSTITUTE(SUBSTITUTE(SUBSTITUTE(TRIM(E504),"*",""),".",""),"-","")," ","")))</f>
        <v/>
      </c>
      <c r="H504" s="31" t="str">
        <f aca="false">IF(OR(F504="",G504=""),"",F504&amp;"|"&amp;G504)</f>
        <v/>
      </c>
      <c r="I504" s="23"/>
      <c r="J504" s="22"/>
      <c r="K504" s="22"/>
      <c r="L504" s="25" t="str">
        <f aca="false">IF(F504="","",IF(AND(H504&lt;&gt;"",COUNTIF(Pessoas!$E:$E,H504)&gt;0),"SIM",IF(COUNTIF(Pessoas!$C:$C,F504)&gt;0,"nome igual em Pessoas: confira o CPF","")))</f>
        <v/>
      </c>
      <c r="M504" s="24"/>
      <c r="N504" s="11"/>
    </row>
    <row r="505" customFormat="false" ht="15" hidden="false" customHeight="false" outlineLevel="0" collapsed="false">
      <c r="A505" s="24"/>
      <c r="B505" s="31" t="str">
        <f aca="false">IF(A505="","",IF(LEN(UPPER(SUBSTITUTE(SUBSTITUTE(SUBSTITUTE(SUBSTITUTE(TRIM(A505),".",""),"/",""),"-","")," ","")))&lt;14,RIGHT(REPT("0",14)&amp;UPPER(SUBSTITUTE(SUBSTITUTE(SUBSTITUTE(SUBSTITUTE(TRIM(A505),".",""),"/",""),"-","")," ","")),14),UPPER(SUBSTITUTE(SUBSTITUTE(SUBSTITUTE(SUBSTITUTE(TRIM(A505),".",""),"/",""),"-","")," ",""))))</f>
        <v/>
      </c>
      <c r="C505" s="25" t="str">
        <f aca="false">IF(B505="","",IFERROR(INDEX(Empresas!$C:$C,MATCH(B505,Empresas!$B:$B,0)),"cadastre o CNPJ em Empresas"))</f>
        <v/>
      </c>
      <c r="D505" s="23"/>
      <c r="E505" s="24"/>
      <c r="F505" s="31" t="str">
        <f aca="false">IF(D505="","",SUBSTITUTE(SUBSTITUTE(SUBSTITUTE(SUBSTITUTE(SUBSTITUTE(SUBSTITUTE(SUBSTITUTE(SUBSTITUTE(SUBSTITUTE(SUBSTITUTE(SUBSTITUTE(SUBSTITUTE(SUBSTITUTE(UPPER(TRIM(D505)),"Á","A"),"À","A"),"Â","A"),"Ã","A"),"É","E"),"Ê","E"),"Í","I"),"Ó","O"),"Ô","O"),"Õ","O"),"Ú","U"),"Ü","U"),"Ç","C"))</f>
        <v/>
      </c>
      <c r="G505" s="31" t="str">
        <f aca="false">IF(E505="","",IF(LEN(SUBSTITUTE(SUBSTITUTE(SUBSTITUTE(SUBSTITUTE(TRIM(E505),"*",""),".",""),"-","")," ",""))=11,MID(SUBSTITUTE(SUBSTITUTE(SUBSTITUTE(SUBSTITUTE(TRIM(E505),"*",""),".",""),"-","")," ",""),4,6),SUBSTITUTE(SUBSTITUTE(SUBSTITUTE(SUBSTITUTE(TRIM(E505),"*",""),".",""),"-","")," ","")))</f>
        <v/>
      </c>
      <c r="H505" s="31" t="str">
        <f aca="false">IF(OR(F505="",G505=""),"",F505&amp;"|"&amp;G505)</f>
        <v/>
      </c>
      <c r="I505" s="23"/>
      <c r="J505" s="22"/>
      <c r="K505" s="22"/>
      <c r="L505" s="25" t="str">
        <f aca="false">IF(F505="","",IF(AND(H505&lt;&gt;"",COUNTIF(Pessoas!$E:$E,H505)&gt;0),"SIM",IF(COUNTIF(Pessoas!$C:$C,F505)&gt;0,"nome igual em Pessoas: confira o CPF","")))</f>
        <v/>
      </c>
      <c r="M505" s="24"/>
      <c r="N505" s="11"/>
    </row>
    <row r="506" customFormat="false" ht="15" hidden="false" customHeight="false" outlineLevel="0" collapsed="false">
      <c r="A506" s="24"/>
      <c r="B506" s="31" t="str">
        <f aca="false">IF(A506="","",IF(LEN(UPPER(SUBSTITUTE(SUBSTITUTE(SUBSTITUTE(SUBSTITUTE(TRIM(A506),".",""),"/",""),"-","")," ","")))&lt;14,RIGHT(REPT("0",14)&amp;UPPER(SUBSTITUTE(SUBSTITUTE(SUBSTITUTE(SUBSTITUTE(TRIM(A506),".",""),"/",""),"-","")," ","")),14),UPPER(SUBSTITUTE(SUBSTITUTE(SUBSTITUTE(SUBSTITUTE(TRIM(A506),".",""),"/",""),"-","")," ",""))))</f>
        <v/>
      </c>
      <c r="C506" s="25" t="str">
        <f aca="false">IF(B506="","",IFERROR(INDEX(Empresas!$C:$C,MATCH(B506,Empresas!$B:$B,0)),"cadastre o CNPJ em Empresas"))</f>
        <v/>
      </c>
      <c r="D506" s="23"/>
      <c r="E506" s="24"/>
      <c r="F506" s="31" t="str">
        <f aca="false">IF(D506="","",SUBSTITUTE(SUBSTITUTE(SUBSTITUTE(SUBSTITUTE(SUBSTITUTE(SUBSTITUTE(SUBSTITUTE(SUBSTITUTE(SUBSTITUTE(SUBSTITUTE(SUBSTITUTE(SUBSTITUTE(SUBSTITUTE(UPPER(TRIM(D506)),"Á","A"),"À","A"),"Â","A"),"Ã","A"),"É","E"),"Ê","E"),"Í","I"),"Ó","O"),"Ô","O"),"Õ","O"),"Ú","U"),"Ü","U"),"Ç","C"))</f>
        <v/>
      </c>
      <c r="G506" s="31" t="str">
        <f aca="false">IF(E506="","",IF(LEN(SUBSTITUTE(SUBSTITUTE(SUBSTITUTE(SUBSTITUTE(TRIM(E506),"*",""),".",""),"-","")," ",""))=11,MID(SUBSTITUTE(SUBSTITUTE(SUBSTITUTE(SUBSTITUTE(TRIM(E506),"*",""),".",""),"-","")," ",""),4,6),SUBSTITUTE(SUBSTITUTE(SUBSTITUTE(SUBSTITUTE(TRIM(E506),"*",""),".",""),"-","")," ","")))</f>
        <v/>
      </c>
      <c r="H506" s="31" t="str">
        <f aca="false">IF(OR(F506="",G506=""),"",F506&amp;"|"&amp;G506)</f>
        <v/>
      </c>
      <c r="I506" s="23"/>
      <c r="J506" s="22"/>
      <c r="K506" s="22"/>
      <c r="L506" s="25" t="str">
        <f aca="false">IF(F506="","",IF(AND(H506&lt;&gt;"",COUNTIF(Pessoas!$E:$E,H506)&gt;0),"SIM",IF(COUNTIF(Pessoas!$C:$C,F506)&gt;0,"nome igual em Pessoas: confira o CPF","")))</f>
        <v/>
      </c>
      <c r="M506" s="24"/>
      <c r="N506" s="11"/>
    </row>
    <row r="507" customFormat="false" ht="15" hidden="false" customHeight="false" outlineLevel="0" collapsed="false">
      <c r="A507" s="24"/>
      <c r="B507" s="31" t="str">
        <f aca="false">IF(A507="","",IF(LEN(UPPER(SUBSTITUTE(SUBSTITUTE(SUBSTITUTE(SUBSTITUTE(TRIM(A507),".",""),"/",""),"-","")," ","")))&lt;14,RIGHT(REPT("0",14)&amp;UPPER(SUBSTITUTE(SUBSTITUTE(SUBSTITUTE(SUBSTITUTE(TRIM(A507),".",""),"/",""),"-","")," ","")),14),UPPER(SUBSTITUTE(SUBSTITUTE(SUBSTITUTE(SUBSTITUTE(TRIM(A507),".",""),"/",""),"-","")," ",""))))</f>
        <v/>
      </c>
      <c r="C507" s="25" t="str">
        <f aca="false">IF(B507="","",IFERROR(INDEX(Empresas!$C:$C,MATCH(B507,Empresas!$B:$B,0)),"cadastre o CNPJ em Empresas"))</f>
        <v/>
      </c>
      <c r="D507" s="23"/>
      <c r="E507" s="24"/>
      <c r="F507" s="31" t="str">
        <f aca="false">IF(D507="","",SUBSTITUTE(SUBSTITUTE(SUBSTITUTE(SUBSTITUTE(SUBSTITUTE(SUBSTITUTE(SUBSTITUTE(SUBSTITUTE(SUBSTITUTE(SUBSTITUTE(SUBSTITUTE(SUBSTITUTE(SUBSTITUTE(UPPER(TRIM(D507)),"Á","A"),"À","A"),"Â","A"),"Ã","A"),"É","E"),"Ê","E"),"Í","I"),"Ó","O"),"Ô","O"),"Õ","O"),"Ú","U"),"Ü","U"),"Ç","C"))</f>
        <v/>
      </c>
      <c r="G507" s="31" t="str">
        <f aca="false">IF(E507="","",IF(LEN(SUBSTITUTE(SUBSTITUTE(SUBSTITUTE(SUBSTITUTE(TRIM(E507),"*",""),".",""),"-","")," ",""))=11,MID(SUBSTITUTE(SUBSTITUTE(SUBSTITUTE(SUBSTITUTE(TRIM(E507),"*",""),".",""),"-","")," ",""),4,6),SUBSTITUTE(SUBSTITUTE(SUBSTITUTE(SUBSTITUTE(TRIM(E507),"*",""),".",""),"-","")," ","")))</f>
        <v/>
      </c>
      <c r="H507" s="31" t="str">
        <f aca="false">IF(OR(F507="",G507=""),"",F507&amp;"|"&amp;G507)</f>
        <v/>
      </c>
      <c r="I507" s="23"/>
      <c r="J507" s="22"/>
      <c r="K507" s="22"/>
      <c r="L507" s="25" t="str">
        <f aca="false">IF(F507="","",IF(AND(H507&lt;&gt;"",COUNTIF(Pessoas!$E:$E,H507)&gt;0),"SIM",IF(COUNTIF(Pessoas!$C:$C,F507)&gt;0,"nome igual em Pessoas: confira o CPF","")))</f>
        <v/>
      </c>
      <c r="M507" s="24"/>
      <c r="N507" s="11"/>
    </row>
    <row r="508" customFormat="false" ht="15" hidden="false" customHeight="false" outlineLevel="0" collapsed="false">
      <c r="A508" s="24"/>
      <c r="B508" s="31" t="str">
        <f aca="false">IF(A508="","",IF(LEN(UPPER(SUBSTITUTE(SUBSTITUTE(SUBSTITUTE(SUBSTITUTE(TRIM(A508),".",""),"/",""),"-","")," ","")))&lt;14,RIGHT(REPT("0",14)&amp;UPPER(SUBSTITUTE(SUBSTITUTE(SUBSTITUTE(SUBSTITUTE(TRIM(A508),".",""),"/",""),"-","")," ","")),14),UPPER(SUBSTITUTE(SUBSTITUTE(SUBSTITUTE(SUBSTITUTE(TRIM(A508),".",""),"/",""),"-","")," ",""))))</f>
        <v/>
      </c>
      <c r="C508" s="25" t="str">
        <f aca="false">IF(B508="","",IFERROR(INDEX(Empresas!$C:$C,MATCH(B508,Empresas!$B:$B,0)),"cadastre o CNPJ em Empresas"))</f>
        <v/>
      </c>
      <c r="D508" s="23"/>
      <c r="E508" s="24"/>
      <c r="F508" s="31" t="str">
        <f aca="false">IF(D508="","",SUBSTITUTE(SUBSTITUTE(SUBSTITUTE(SUBSTITUTE(SUBSTITUTE(SUBSTITUTE(SUBSTITUTE(SUBSTITUTE(SUBSTITUTE(SUBSTITUTE(SUBSTITUTE(SUBSTITUTE(SUBSTITUTE(UPPER(TRIM(D508)),"Á","A"),"À","A"),"Â","A"),"Ã","A"),"É","E"),"Ê","E"),"Í","I"),"Ó","O"),"Ô","O"),"Õ","O"),"Ú","U"),"Ü","U"),"Ç","C"))</f>
        <v/>
      </c>
      <c r="G508" s="31" t="str">
        <f aca="false">IF(E508="","",IF(LEN(SUBSTITUTE(SUBSTITUTE(SUBSTITUTE(SUBSTITUTE(TRIM(E508),"*",""),".",""),"-","")," ",""))=11,MID(SUBSTITUTE(SUBSTITUTE(SUBSTITUTE(SUBSTITUTE(TRIM(E508),"*",""),".",""),"-","")," ",""),4,6),SUBSTITUTE(SUBSTITUTE(SUBSTITUTE(SUBSTITUTE(TRIM(E508),"*",""),".",""),"-","")," ","")))</f>
        <v/>
      </c>
      <c r="H508" s="31" t="str">
        <f aca="false">IF(OR(F508="",G508=""),"",F508&amp;"|"&amp;G508)</f>
        <v/>
      </c>
      <c r="I508" s="23"/>
      <c r="J508" s="22"/>
      <c r="K508" s="22"/>
      <c r="L508" s="25" t="str">
        <f aca="false">IF(F508="","",IF(AND(H508&lt;&gt;"",COUNTIF(Pessoas!$E:$E,H508)&gt;0),"SIM",IF(COUNTIF(Pessoas!$C:$C,F508)&gt;0,"nome igual em Pessoas: confira o CPF","")))</f>
        <v/>
      </c>
      <c r="M508" s="24"/>
      <c r="N508" s="11"/>
    </row>
    <row r="509" customFormat="false" ht="15" hidden="false" customHeight="false" outlineLevel="0" collapsed="false">
      <c r="A509" s="24"/>
      <c r="B509" s="31" t="str">
        <f aca="false">IF(A509="","",IF(LEN(UPPER(SUBSTITUTE(SUBSTITUTE(SUBSTITUTE(SUBSTITUTE(TRIM(A509),".",""),"/",""),"-","")," ","")))&lt;14,RIGHT(REPT("0",14)&amp;UPPER(SUBSTITUTE(SUBSTITUTE(SUBSTITUTE(SUBSTITUTE(TRIM(A509),".",""),"/",""),"-","")," ","")),14),UPPER(SUBSTITUTE(SUBSTITUTE(SUBSTITUTE(SUBSTITUTE(TRIM(A509),".",""),"/",""),"-","")," ",""))))</f>
        <v/>
      </c>
      <c r="C509" s="25" t="str">
        <f aca="false">IF(B509="","",IFERROR(INDEX(Empresas!$C:$C,MATCH(B509,Empresas!$B:$B,0)),"cadastre o CNPJ em Empresas"))</f>
        <v/>
      </c>
      <c r="D509" s="23"/>
      <c r="E509" s="24"/>
      <c r="F509" s="31" t="str">
        <f aca="false">IF(D509="","",SUBSTITUTE(SUBSTITUTE(SUBSTITUTE(SUBSTITUTE(SUBSTITUTE(SUBSTITUTE(SUBSTITUTE(SUBSTITUTE(SUBSTITUTE(SUBSTITUTE(SUBSTITUTE(SUBSTITUTE(SUBSTITUTE(UPPER(TRIM(D509)),"Á","A"),"À","A"),"Â","A"),"Ã","A"),"É","E"),"Ê","E"),"Í","I"),"Ó","O"),"Ô","O"),"Õ","O"),"Ú","U"),"Ü","U"),"Ç","C"))</f>
        <v/>
      </c>
      <c r="G509" s="31" t="str">
        <f aca="false">IF(E509="","",IF(LEN(SUBSTITUTE(SUBSTITUTE(SUBSTITUTE(SUBSTITUTE(TRIM(E509),"*",""),".",""),"-","")," ",""))=11,MID(SUBSTITUTE(SUBSTITUTE(SUBSTITUTE(SUBSTITUTE(TRIM(E509),"*",""),".",""),"-","")," ",""),4,6),SUBSTITUTE(SUBSTITUTE(SUBSTITUTE(SUBSTITUTE(TRIM(E509),"*",""),".",""),"-","")," ","")))</f>
        <v/>
      </c>
      <c r="H509" s="31" t="str">
        <f aca="false">IF(OR(F509="",G509=""),"",F509&amp;"|"&amp;G509)</f>
        <v/>
      </c>
      <c r="I509" s="23"/>
      <c r="J509" s="22"/>
      <c r="K509" s="22"/>
      <c r="L509" s="25" t="str">
        <f aca="false">IF(F509="","",IF(AND(H509&lt;&gt;"",COUNTIF(Pessoas!$E:$E,H509)&gt;0),"SIM",IF(COUNTIF(Pessoas!$C:$C,F509)&gt;0,"nome igual em Pessoas: confira o CPF","")))</f>
        <v/>
      </c>
      <c r="M509" s="24"/>
      <c r="N509" s="11"/>
    </row>
    <row r="510" customFormat="false" ht="15" hidden="false" customHeight="false" outlineLevel="0" collapsed="false">
      <c r="A510" s="24"/>
      <c r="B510" s="31" t="str">
        <f aca="false">IF(A510="","",IF(LEN(UPPER(SUBSTITUTE(SUBSTITUTE(SUBSTITUTE(SUBSTITUTE(TRIM(A510),".",""),"/",""),"-","")," ","")))&lt;14,RIGHT(REPT("0",14)&amp;UPPER(SUBSTITUTE(SUBSTITUTE(SUBSTITUTE(SUBSTITUTE(TRIM(A510),".",""),"/",""),"-","")," ","")),14),UPPER(SUBSTITUTE(SUBSTITUTE(SUBSTITUTE(SUBSTITUTE(TRIM(A510),".",""),"/",""),"-","")," ",""))))</f>
        <v/>
      </c>
      <c r="C510" s="25" t="str">
        <f aca="false">IF(B510="","",IFERROR(INDEX(Empresas!$C:$C,MATCH(B510,Empresas!$B:$B,0)),"cadastre o CNPJ em Empresas"))</f>
        <v/>
      </c>
      <c r="D510" s="23"/>
      <c r="E510" s="24"/>
      <c r="F510" s="31" t="str">
        <f aca="false">IF(D510="","",SUBSTITUTE(SUBSTITUTE(SUBSTITUTE(SUBSTITUTE(SUBSTITUTE(SUBSTITUTE(SUBSTITUTE(SUBSTITUTE(SUBSTITUTE(SUBSTITUTE(SUBSTITUTE(SUBSTITUTE(SUBSTITUTE(UPPER(TRIM(D510)),"Á","A"),"À","A"),"Â","A"),"Ã","A"),"É","E"),"Ê","E"),"Í","I"),"Ó","O"),"Ô","O"),"Õ","O"),"Ú","U"),"Ü","U"),"Ç","C"))</f>
        <v/>
      </c>
      <c r="G510" s="31" t="str">
        <f aca="false">IF(E510="","",IF(LEN(SUBSTITUTE(SUBSTITUTE(SUBSTITUTE(SUBSTITUTE(TRIM(E510),"*",""),".",""),"-","")," ",""))=11,MID(SUBSTITUTE(SUBSTITUTE(SUBSTITUTE(SUBSTITUTE(TRIM(E510),"*",""),".",""),"-","")," ",""),4,6),SUBSTITUTE(SUBSTITUTE(SUBSTITUTE(SUBSTITUTE(TRIM(E510),"*",""),".",""),"-","")," ","")))</f>
        <v/>
      </c>
      <c r="H510" s="31" t="str">
        <f aca="false">IF(OR(F510="",G510=""),"",F510&amp;"|"&amp;G510)</f>
        <v/>
      </c>
      <c r="I510" s="23"/>
      <c r="J510" s="22"/>
      <c r="K510" s="22"/>
      <c r="L510" s="25" t="str">
        <f aca="false">IF(F510="","",IF(AND(H510&lt;&gt;"",COUNTIF(Pessoas!$E:$E,H510)&gt;0),"SIM",IF(COUNTIF(Pessoas!$C:$C,F510)&gt;0,"nome igual em Pessoas: confira o CPF","")))</f>
        <v/>
      </c>
      <c r="M510" s="24"/>
      <c r="N510" s="11"/>
    </row>
    <row r="511" customFormat="false" ht="15" hidden="false" customHeight="false" outlineLevel="0" collapsed="false">
      <c r="A511" s="24"/>
      <c r="B511" s="31" t="str">
        <f aca="false">IF(A511="","",IF(LEN(UPPER(SUBSTITUTE(SUBSTITUTE(SUBSTITUTE(SUBSTITUTE(TRIM(A511),".",""),"/",""),"-","")," ","")))&lt;14,RIGHT(REPT("0",14)&amp;UPPER(SUBSTITUTE(SUBSTITUTE(SUBSTITUTE(SUBSTITUTE(TRIM(A511),".",""),"/",""),"-","")," ","")),14),UPPER(SUBSTITUTE(SUBSTITUTE(SUBSTITUTE(SUBSTITUTE(TRIM(A511),".",""),"/",""),"-","")," ",""))))</f>
        <v/>
      </c>
      <c r="C511" s="25" t="str">
        <f aca="false">IF(B511="","",IFERROR(INDEX(Empresas!$C:$C,MATCH(B511,Empresas!$B:$B,0)),"cadastre o CNPJ em Empresas"))</f>
        <v/>
      </c>
      <c r="D511" s="23"/>
      <c r="E511" s="24"/>
      <c r="F511" s="31" t="str">
        <f aca="false">IF(D511="","",SUBSTITUTE(SUBSTITUTE(SUBSTITUTE(SUBSTITUTE(SUBSTITUTE(SUBSTITUTE(SUBSTITUTE(SUBSTITUTE(SUBSTITUTE(SUBSTITUTE(SUBSTITUTE(SUBSTITUTE(SUBSTITUTE(UPPER(TRIM(D511)),"Á","A"),"À","A"),"Â","A"),"Ã","A"),"É","E"),"Ê","E"),"Í","I"),"Ó","O"),"Ô","O"),"Õ","O"),"Ú","U"),"Ü","U"),"Ç","C"))</f>
        <v/>
      </c>
      <c r="G511" s="31" t="str">
        <f aca="false">IF(E511="","",IF(LEN(SUBSTITUTE(SUBSTITUTE(SUBSTITUTE(SUBSTITUTE(TRIM(E511),"*",""),".",""),"-","")," ",""))=11,MID(SUBSTITUTE(SUBSTITUTE(SUBSTITUTE(SUBSTITUTE(TRIM(E511),"*",""),".",""),"-","")," ",""),4,6),SUBSTITUTE(SUBSTITUTE(SUBSTITUTE(SUBSTITUTE(TRIM(E511),"*",""),".",""),"-","")," ","")))</f>
        <v/>
      </c>
      <c r="H511" s="31" t="str">
        <f aca="false">IF(OR(F511="",G511=""),"",F511&amp;"|"&amp;G511)</f>
        <v/>
      </c>
      <c r="I511" s="23"/>
      <c r="J511" s="22"/>
      <c r="K511" s="22"/>
      <c r="L511" s="25" t="str">
        <f aca="false">IF(F511="","",IF(AND(H511&lt;&gt;"",COUNTIF(Pessoas!$E:$E,H511)&gt;0),"SIM",IF(COUNTIF(Pessoas!$C:$C,F511)&gt;0,"nome igual em Pessoas: confira o CPF","")))</f>
        <v/>
      </c>
      <c r="M511" s="24"/>
      <c r="N511" s="11"/>
    </row>
    <row r="512" customFormat="false" ht="15" hidden="false" customHeight="false" outlineLevel="0" collapsed="false">
      <c r="A512" s="24"/>
      <c r="B512" s="31" t="str">
        <f aca="false">IF(A512="","",IF(LEN(UPPER(SUBSTITUTE(SUBSTITUTE(SUBSTITUTE(SUBSTITUTE(TRIM(A512),".",""),"/",""),"-","")," ","")))&lt;14,RIGHT(REPT("0",14)&amp;UPPER(SUBSTITUTE(SUBSTITUTE(SUBSTITUTE(SUBSTITUTE(TRIM(A512),".",""),"/",""),"-","")," ","")),14),UPPER(SUBSTITUTE(SUBSTITUTE(SUBSTITUTE(SUBSTITUTE(TRIM(A512),".",""),"/",""),"-","")," ",""))))</f>
        <v/>
      </c>
      <c r="C512" s="25" t="str">
        <f aca="false">IF(B512="","",IFERROR(INDEX(Empresas!$C:$C,MATCH(B512,Empresas!$B:$B,0)),"cadastre o CNPJ em Empresas"))</f>
        <v/>
      </c>
      <c r="D512" s="23"/>
      <c r="E512" s="24"/>
      <c r="F512" s="31" t="str">
        <f aca="false">IF(D512="","",SUBSTITUTE(SUBSTITUTE(SUBSTITUTE(SUBSTITUTE(SUBSTITUTE(SUBSTITUTE(SUBSTITUTE(SUBSTITUTE(SUBSTITUTE(SUBSTITUTE(SUBSTITUTE(SUBSTITUTE(SUBSTITUTE(UPPER(TRIM(D512)),"Á","A"),"À","A"),"Â","A"),"Ã","A"),"É","E"),"Ê","E"),"Í","I"),"Ó","O"),"Ô","O"),"Õ","O"),"Ú","U"),"Ü","U"),"Ç","C"))</f>
        <v/>
      </c>
      <c r="G512" s="31" t="str">
        <f aca="false">IF(E512="","",IF(LEN(SUBSTITUTE(SUBSTITUTE(SUBSTITUTE(SUBSTITUTE(TRIM(E512),"*",""),".",""),"-","")," ",""))=11,MID(SUBSTITUTE(SUBSTITUTE(SUBSTITUTE(SUBSTITUTE(TRIM(E512),"*",""),".",""),"-","")," ",""),4,6),SUBSTITUTE(SUBSTITUTE(SUBSTITUTE(SUBSTITUTE(TRIM(E512),"*",""),".",""),"-","")," ","")))</f>
        <v/>
      </c>
      <c r="H512" s="31" t="str">
        <f aca="false">IF(OR(F512="",G512=""),"",F512&amp;"|"&amp;G512)</f>
        <v/>
      </c>
      <c r="I512" s="23"/>
      <c r="J512" s="22"/>
      <c r="K512" s="22"/>
      <c r="L512" s="25" t="str">
        <f aca="false">IF(F512="","",IF(AND(H512&lt;&gt;"",COUNTIF(Pessoas!$E:$E,H512)&gt;0),"SIM",IF(COUNTIF(Pessoas!$C:$C,F512)&gt;0,"nome igual em Pessoas: confira o CPF","")))</f>
        <v/>
      </c>
      <c r="M512" s="24"/>
      <c r="N512" s="11"/>
    </row>
    <row r="513" customFormat="false" ht="15" hidden="false" customHeight="false" outlineLevel="0" collapsed="false">
      <c r="A513" s="24"/>
      <c r="B513" s="31" t="str">
        <f aca="false">IF(A513="","",IF(LEN(UPPER(SUBSTITUTE(SUBSTITUTE(SUBSTITUTE(SUBSTITUTE(TRIM(A513),".",""),"/",""),"-","")," ","")))&lt;14,RIGHT(REPT("0",14)&amp;UPPER(SUBSTITUTE(SUBSTITUTE(SUBSTITUTE(SUBSTITUTE(TRIM(A513),".",""),"/",""),"-","")," ","")),14),UPPER(SUBSTITUTE(SUBSTITUTE(SUBSTITUTE(SUBSTITUTE(TRIM(A513),".",""),"/",""),"-","")," ",""))))</f>
        <v/>
      </c>
      <c r="C513" s="25" t="str">
        <f aca="false">IF(B513="","",IFERROR(INDEX(Empresas!$C:$C,MATCH(B513,Empresas!$B:$B,0)),"cadastre o CNPJ em Empresas"))</f>
        <v/>
      </c>
      <c r="D513" s="23"/>
      <c r="E513" s="24"/>
      <c r="F513" s="31" t="str">
        <f aca="false">IF(D513="","",SUBSTITUTE(SUBSTITUTE(SUBSTITUTE(SUBSTITUTE(SUBSTITUTE(SUBSTITUTE(SUBSTITUTE(SUBSTITUTE(SUBSTITUTE(SUBSTITUTE(SUBSTITUTE(SUBSTITUTE(SUBSTITUTE(UPPER(TRIM(D513)),"Á","A"),"À","A"),"Â","A"),"Ã","A"),"É","E"),"Ê","E"),"Í","I"),"Ó","O"),"Ô","O"),"Õ","O"),"Ú","U"),"Ü","U"),"Ç","C"))</f>
        <v/>
      </c>
      <c r="G513" s="31" t="str">
        <f aca="false">IF(E513="","",IF(LEN(SUBSTITUTE(SUBSTITUTE(SUBSTITUTE(SUBSTITUTE(TRIM(E513),"*",""),".",""),"-","")," ",""))=11,MID(SUBSTITUTE(SUBSTITUTE(SUBSTITUTE(SUBSTITUTE(TRIM(E513),"*",""),".",""),"-","")," ",""),4,6),SUBSTITUTE(SUBSTITUTE(SUBSTITUTE(SUBSTITUTE(TRIM(E513),"*",""),".",""),"-","")," ","")))</f>
        <v/>
      </c>
      <c r="H513" s="31" t="str">
        <f aca="false">IF(OR(F513="",G513=""),"",F513&amp;"|"&amp;G513)</f>
        <v/>
      </c>
      <c r="I513" s="23"/>
      <c r="J513" s="22"/>
      <c r="K513" s="22"/>
      <c r="L513" s="25" t="str">
        <f aca="false">IF(F513="","",IF(AND(H513&lt;&gt;"",COUNTIF(Pessoas!$E:$E,H513)&gt;0),"SIM",IF(COUNTIF(Pessoas!$C:$C,F513)&gt;0,"nome igual em Pessoas: confira o CPF","")))</f>
        <v/>
      </c>
      <c r="M513" s="24"/>
      <c r="N513" s="11"/>
    </row>
    <row r="514" customFormat="false" ht="15" hidden="false" customHeight="false" outlineLevel="0" collapsed="false">
      <c r="A514" s="24"/>
      <c r="B514" s="31" t="str">
        <f aca="false">IF(A514="","",IF(LEN(UPPER(SUBSTITUTE(SUBSTITUTE(SUBSTITUTE(SUBSTITUTE(TRIM(A514),".",""),"/",""),"-","")," ","")))&lt;14,RIGHT(REPT("0",14)&amp;UPPER(SUBSTITUTE(SUBSTITUTE(SUBSTITUTE(SUBSTITUTE(TRIM(A514),".",""),"/",""),"-","")," ","")),14),UPPER(SUBSTITUTE(SUBSTITUTE(SUBSTITUTE(SUBSTITUTE(TRIM(A514),".",""),"/",""),"-","")," ",""))))</f>
        <v/>
      </c>
      <c r="C514" s="25" t="str">
        <f aca="false">IF(B514="","",IFERROR(INDEX(Empresas!$C:$C,MATCH(B514,Empresas!$B:$B,0)),"cadastre o CNPJ em Empresas"))</f>
        <v/>
      </c>
      <c r="D514" s="23"/>
      <c r="E514" s="24"/>
      <c r="F514" s="31" t="str">
        <f aca="false">IF(D514="","",SUBSTITUTE(SUBSTITUTE(SUBSTITUTE(SUBSTITUTE(SUBSTITUTE(SUBSTITUTE(SUBSTITUTE(SUBSTITUTE(SUBSTITUTE(SUBSTITUTE(SUBSTITUTE(SUBSTITUTE(SUBSTITUTE(UPPER(TRIM(D514)),"Á","A"),"À","A"),"Â","A"),"Ã","A"),"É","E"),"Ê","E"),"Í","I"),"Ó","O"),"Ô","O"),"Õ","O"),"Ú","U"),"Ü","U"),"Ç","C"))</f>
        <v/>
      </c>
      <c r="G514" s="31" t="str">
        <f aca="false">IF(E514="","",IF(LEN(SUBSTITUTE(SUBSTITUTE(SUBSTITUTE(SUBSTITUTE(TRIM(E514),"*",""),".",""),"-","")," ",""))=11,MID(SUBSTITUTE(SUBSTITUTE(SUBSTITUTE(SUBSTITUTE(TRIM(E514),"*",""),".",""),"-","")," ",""),4,6),SUBSTITUTE(SUBSTITUTE(SUBSTITUTE(SUBSTITUTE(TRIM(E514),"*",""),".",""),"-","")," ","")))</f>
        <v/>
      </c>
      <c r="H514" s="31" t="str">
        <f aca="false">IF(OR(F514="",G514=""),"",F514&amp;"|"&amp;G514)</f>
        <v/>
      </c>
      <c r="I514" s="23"/>
      <c r="J514" s="22"/>
      <c r="K514" s="22"/>
      <c r="L514" s="25" t="str">
        <f aca="false">IF(F514="","",IF(AND(H514&lt;&gt;"",COUNTIF(Pessoas!$E:$E,H514)&gt;0),"SIM",IF(COUNTIF(Pessoas!$C:$C,F514)&gt;0,"nome igual em Pessoas: confira o CPF","")))</f>
        <v/>
      </c>
      <c r="M514" s="24"/>
      <c r="N514" s="11"/>
    </row>
    <row r="515" customFormat="false" ht="15" hidden="false" customHeight="false" outlineLevel="0" collapsed="false">
      <c r="A515" s="24"/>
      <c r="B515" s="31" t="str">
        <f aca="false">IF(A515="","",IF(LEN(UPPER(SUBSTITUTE(SUBSTITUTE(SUBSTITUTE(SUBSTITUTE(TRIM(A515),".",""),"/",""),"-","")," ","")))&lt;14,RIGHT(REPT("0",14)&amp;UPPER(SUBSTITUTE(SUBSTITUTE(SUBSTITUTE(SUBSTITUTE(TRIM(A515),".",""),"/",""),"-","")," ","")),14),UPPER(SUBSTITUTE(SUBSTITUTE(SUBSTITUTE(SUBSTITUTE(TRIM(A515),".",""),"/",""),"-","")," ",""))))</f>
        <v/>
      </c>
      <c r="C515" s="25" t="str">
        <f aca="false">IF(B515="","",IFERROR(INDEX(Empresas!$C:$C,MATCH(B515,Empresas!$B:$B,0)),"cadastre o CNPJ em Empresas"))</f>
        <v/>
      </c>
      <c r="D515" s="23"/>
      <c r="E515" s="24"/>
      <c r="F515" s="31" t="str">
        <f aca="false">IF(D515="","",SUBSTITUTE(SUBSTITUTE(SUBSTITUTE(SUBSTITUTE(SUBSTITUTE(SUBSTITUTE(SUBSTITUTE(SUBSTITUTE(SUBSTITUTE(SUBSTITUTE(SUBSTITUTE(SUBSTITUTE(SUBSTITUTE(UPPER(TRIM(D515)),"Á","A"),"À","A"),"Â","A"),"Ã","A"),"É","E"),"Ê","E"),"Í","I"),"Ó","O"),"Ô","O"),"Õ","O"),"Ú","U"),"Ü","U"),"Ç","C"))</f>
        <v/>
      </c>
      <c r="G515" s="31" t="str">
        <f aca="false">IF(E515="","",IF(LEN(SUBSTITUTE(SUBSTITUTE(SUBSTITUTE(SUBSTITUTE(TRIM(E515),"*",""),".",""),"-","")," ",""))=11,MID(SUBSTITUTE(SUBSTITUTE(SUBSTITUTE(SUBSTITUTE(TRIM(E515),"*",""),".",""),"-","")," ",""),4,6),SUBSTITUTE(SUBSTITUTE(SUBSTITUTE(SUBSTITUTE(TRIM(E515),"*",""),".",""),"-","")," ","")))</f>
        <v/>
      </c>
      <c r="H515" s="31" t="str">
        <f aca="false">IF(OR(F515="",G515=""),"",F515&amp;"|"&amp;G515)</f>
        <v/>
      </c>
      <c r="I515" s="23"/>
      <c r="J515" s="22"/>
      <c r="K515" s="22"/>
      <c r="L515" s="25" t="str">
        <f aca="false">IF(F515="","",IF(AND(H515&lt;&gt;"",COUNTIF(Pessoas!$E:$E,H515)&gt;0),"SIM",IF(COUNTIF(Pessoas!$C:$C,F515)&gt;0,"nome igual em Pessoas: confira o CPF","")))</f>
        <v/>
      </c>
      <c r="M515" s="24"/>
      <c r="N515" s="11"/>
    </row>
    <row r="516" customFormat="false" ht="15" hidden="false" customHeight="false" outlineLevel="0" collapsed="false">
      <c r="A516" s="24"/>
      <c r="B516" s="31" t="str">
        <f aca="false">IF(A516="","",IF(LEN(UPPER(SUBSTITUTE(SUBSTITUTE(SUBSTITUTE(SUBSTITUTE(TRIM(A516),".",""),"/",""),"-","")," ","")))&lt;14,RIGHT(REPT("0",14)&amp;UPPER(SUBSTITUTE(SUBSTITUTE(SUBSTITUTE(SUBSTITUTE(TRIM(A516),".",""),"/",""),"-","")," ","")),14),UPPER(SUBSTITUTE(SUBSTITUTE(SUBSTITUTE(SUBSTITUTE(TRIM(A516),".",""),"/",""),"-","")," ",""))))</f>
        <v/>
      </c>
      <c r="C516" s="25" t="str">
        <f aca="false">IF(B516="","",IFERROR(INDEX(Empresas!$C:$C,MATCH(B516,Empresas!$B:$B,0)),"cadastre o CNPJ em Empresas"))</f>
        <v/>
      </c>
      <c r="D516" s="23"/>
      <c r="E516" s="24"/>
      <c r="F516" s="31" t="str">
        <f aca="false">IF(D516="","",SUBSTITUTE(SUBSTITUTE(SUBSTITUTE(SUBSTITUTE(SUBSTITUTE(SUBSTITUTE(SUBSTITUTE(SUBSTITUTE(SUBSTITUTE(SUBSTITUTE(SUBSTITUTE(SUBSTITUTE(SUBSTITUTE(UPPER(TRIM(D516)),"Á","A"),"À","A"),"Â","A"),"Ã","A"),"É","E"),"Ê","E"),"Í","I"),"Ó","O"),"Ô","O"),"Õ","O"),"Ú","U"),"Ü","U"),"Ç","C"))</f>
        <v/>
      </c>
      <c r="G516" s="31" t="str">
        <f aca="false">IF(E516="","",IF(LEN(SUBSTITUTE(SUBSTITUTE(SUBSTITUTE(SUBSTITUTE(TRIM(E516),"*",""),".",""),"-","")," ",""))=11,MID(SUBSTITUTE(SUBSTITUTE(SUBSTITUTE(SUBSTITUTE(TRIM(E516),"*",""),".",""),"-","")," ",""),4,6),SUBSTITUTE(SUBSTITUTE(SUBSTITUTE(SUBSTITUTE(TRIM(E516),"*",""),".",""),"-","")," ","")))</f>
        <v/>
      </c>
      <c r="H516" s="31" t="str">
        <f aca="false">IF(OR(F516="",G516=""),"",F516&amp;"|"&amp;G516)</f>
        <v/>
      </c>
      <c r="I516" s="23"/>
      <c r="J516" s="22"/>
      <c r="K516" s="22"/>
      <c r="L516" s="25" t="str">
        <f aca="false">IF(F516="","",IF(AND(H516&lt;&gt;"",COUNTIF(Pessoas!$E:$E,H516)&gt;0),"SIM",IF(COUNTIF(Pessoas!$C:$C,F516)&gt;0,"nome igual em Pessoas: confira o CPF","")))</f>
        <v/>
      </c>
      <c r="M516" s="24"/>
      <c r="N516" s="11"/>
    </row>
    <row r="517" customFormat="false" ht="15" hidden="false" customHeight="false" outlineLevel="0" collapsed="false">
      <c r="A517" s="24"/>
      <c r="B517" s="31" t="str">
        <f aca="false">IF(A517="","",IF(LEN(UPPER(SUBSTITUTE(SUBSTITUTE(SUBSTITUTE(SUBSTITUTE(TRIM(A517),".",""),"/",""),"-","")," ","")))&lt;14,RIGHT(REPT("0",14)&amp;UPPER(SUBSTITUTE(SUBSTITUTE(SUBSTITUTE(SUBSTITUTE(TRIM(A517),".",""),"/",""),"-","")," ","")),14),UPPER(SUBSTITUTE(SUBSTITUTE(SUBSTITUTE(SUBSTITUTE(TRIM(A517),".",""),"/",""),"-","")," ",""))))</f>
        <v/>
      </c>
      <c r="C517" s="25" t="str">
        <f aca="false">IF(B517="","",IFERROR(INDEX(Empresas!$C:$C,MATCH(B517,Empresas!$B:$B,0)),"cadastre o CNPJ em Empresas"))</f>
        <v/>
      </c>
      <c r="D517" s="23"/>
      <c r="E517" s="24"/>
      <c r="F517" s="31" t="str">
        <f aca="false">IF(D517="","",SUBSTITUTE(SUBSTITUTE(SUBSTITUTE(SUBSTITUTE(SUBSTITUTE(SUBSTITUTE(SUBSTITUTE(SUBSTITUTE(SUBSTITUTE(SUBSTITUTE(SUBSTITUTE(SUBSTITUTE(SUBSTITUTE(UPPER(TRIM(D517)),"Á","A"),"À","A"),"Â","A"),"Ã","A"),"É","E"),"Ê","E"),"Í","I"),"Ó","O"),"Ô","O"),"Õ","O"),"Ú","U"),"Ü","U"),"Ç","C"))</f>
        <v/>
      </c>
      <c r="G517" s="31" t="str">
        <f aca="false">IF(E517="","",IF(LEN(SUBSTITUTE(SUBSTITUTE(SUBSTITUTE(SUBSTITUTE(TRIM(E517),"*",""),".",""),"-","")," ",""))=11,MID(SUBSTITUTE(SUBSTITUTE(SUBSTITUTE(SUBSTITUTE(TRIM(E517),"*",""),".",""),"-","")," ",""),4,6),SUBSTITUTE(SUBSTITUTE(SUBSTITUTE(SUBSTITUTE(TRIM(E517),"*",""),".",""),"-","")," ","")))</f>
        <v/>
      </c>
      <c r="H517" s="31" t="str">
        <f aca="false">IF(OR(F517="",G517=""),"",F517&amp;"|"&amp;G517)</f>
        <v/>
      </c>
      <c r="I517" s="23"/>
      <c r="J517" s="22"/>
      <c r="K517" s="22"/>
      <c r="L517" s="25" t="str">
        <f aca="false">IF(F517="","",IF(AND(H517&lt;&gt;"",COUNTIF(Pessoas!$E:$E,H517)&gt;0),"SIM",IF(COUNTIF(Pessoas!$C:$C,F517)&gt;0,"nome igual em Pessoas: confira o CPF","")))</f>
        <v/>
      </c>
      <c r="M517" s="24"/>
      <c r="N517" s="11"/>
    </row>
    <row r="518" customFormat="false" ht="15" hidden="false" customHeight="false" outlineLevel="0" collapsed="false">
      <c r="A518" s="24"/>
      <c r="B518" s="31" t="str">
        <f aca="false">IF(A518="","",IF(LEN(UPPER(SUBSTITUTE(SUBSTITUTE(SUBSTITUTE(SUBSTITUTE(TRIM(A518),".",""),"/",""),"-","")," ","")))&lt;14,RIGHT(REPT("0",14)&amp;UPPER(SUBSTITUTE(SUBSTITUTE(SUBSTITUTE(SUBSTITUTE(TRIM(A518),".",""),"/",""),"-","")," ","")),14),UPPER(SUBSTITUTE(SUBSTITUTE(SUBSTITUTE(SUBSTITUTE(TRIM(A518),".",""),"/",""),"-","")," ",""))))</f>
        <v/>
      </c>
      <c r="C518" s="25" t="str">
        <f aca="false">IF(B518="","",IFERROR(INDEX(Empresas!$C:$C,MATCH(B518,Empresas!$B:$B,0)),"cadastre o CNPJ em Empresas"))</f>
        <v/>
      </c>
      <c r="D518" s="23"/>
      <c r="E518" s="24"/>
      <c r="F518" s="31" t="str">
        <f aca="false">IF(D518="","",SUBSTITUTE(SUBSTITUTE(SUBSTITUTE(SUBSTITUTE(SUBSTITUTE(SUBSTITUTE(SUBSTITUTE(SUBSTITUTE(SUBSTITUTE(SUBSTITUTE(SUBSTITUTE(SUBSTITUTE(SUBSTITUTE(UPPER(TRIM(D518)),"Á","A"),"À","A"),"Â","A"),"Ã","A"),"É","E"),"Ê","E"),"Í","I"),"Ó","O"),"Ô","O"),"Õ","O"),"Ú","U"),"Ü","U"),"Ç","C"))</f>
        <v/>
      </c>
      <c r="G518" s="31" t="str">
        <f aca="false">IF(E518="","",IF(LEN(SUBSTITUTE(SUBSTITUTE(SUBSTITUTE(SUBSTITUTE(TRIM(E518),"*",""),".",""),"-","")," ",""))=11,MID(SUBSTITUTE(SUBSTITUTE(SUBSTITUTE(SUBSTITUTE(TRIM(E518),"*",""),".",""),"-","")," ",""),4,6),SUBSTITUTE(SUBSTITUTE(SUBSTITUTE(SUBSTITUTE(TRIM(E518),"*",""),".",""),"-","")," ","")))</f>
        <v/>
      </c>
      <c r="H518" s="31" t="str">
        <f aca="false">IF(OR(F518="",G518=""),"",F518&amp;"|"&amp;G518)</f>
        <v/>
      </c>
      <c r="I518" s="23"/>
      <c r="J518" s="22"/>
      <c r="K518" s="22"/>
      <c r="L518" s="25" t="str">
        <f aca="false">IF(F518="","",IF(AND(H518&lt;&gt;"",COUNTIF(Pessoas!$E:$E,H518)&gt;0),"SIM",IF(COUNTIF(Pessoas!$C:$C,F518)&gt;0,"nome igual em Pessoas: confira o CPF","")))</f>
        <v/>
      </c>
      <c r="M518" s="24"/>
      <c r="N518" s="11"/>
    </row>
    <row r="519" customFormat="false" ht="15" hidden="false" customHeight="false" outlineLevel="0" collapsed="false">
      <c r="A519" s="24"/>
      <c r="B519" s="31" t="str">
        <f aca="false">IF(A519="","",IF(LEN(UPPER(SUBSTITUTE(SUBSTITUTE(SUBSTITUTE(SUBSTITUTE(TRIM(A519),".",""),"/",""),"-","")," ","")))&lt;14,RIGHT(REPT("0",14)&amp;UPPER(SUBSTITUTE(SUBSTITUTE(SUBSTITUTE(SUBSTITUTE(TRIM(A519),".",""),"/",""),"-","")," ","")),14),UPPER(SUBSTITUTE(SUBSTITUTE(SUBSTITUTE(SUBSTITUTE(TRIM(A519),".",""),"/",""),"-","")," ",""))))</f>
        <v/>
      </c>
      <c r="C519" s="25" t="str">
        <f aca="false">IF(B519="","",IFERROR(INDEX(Empresas!$C:$C,MATCH(B519,Empresas!$B:$B,0)),"cadastre o CNPJ em Empresas"))</f>
        <v/>
      </c>
      <c r="D519" s="23"/>
      <c r="E519" s="24"/>
      <c r="F519" s="31" t="str">
        <f aca="false">IF(D519="","",SUBSTITUTE(SUBSTITUTE(SUBSTITUTE(SUBSTITUTE(SUBSTITUTE(SUBSTITUTE(SUBSTITUTE(SUBSTITUTE(SUBSTITUTE(SUBSTITUTE(SUBSTITUTE(SUBSTITUTE(SUBSTITUTE(UPPER(TRIM(D519)),"Á","A"),"À","A"),"Â","A"),"Ã","A"),"É","E"),"Ê","E"),"Í","I"),"Ó","O"),"Ô","O"),"Õ","O"),"Ú","U"),"Ü","U"),"Ç","C"))</f>
        <v/>
      </c>
      <c r="G519" s="31" t="str">
        <f aca="false">IF(E519="","",IF(LEN(SUBSTITUTE(SUBSTITUTE(SUBSTITUTE(SUBSTITUTE(TRIM(E519),"*",""),".",""),"-","")," ",""))=11,MID(SUBSTITUTE(SUBSTITUTE(SUBSTITUTE(SUBSTITUTE(TRIM(E519),"*",""),".",""),"-","")," ",""),4,6),SUBSTITUTE(SUBSTITUTE(SUBSTITUTE(SUBSTITUTE(TRIM(E519),"*",""),".",""),"-","")," ","")))</f>
        <v/>
      </c>
      <c r="H519" s="31" t="str">
        <f aca="false">IF(OR(F519="",G519=""),"",F519&amp;"|"&amp;G519)</f>
        <v/>
      </c>
      <c r="I519" s="23"/>
      <c r="J519" s="22"/>
      <c r="K519" s="22"/>
      <c r="L519" s="25" t="str">
        <f aca="false">IF(F519="","",IF(AND(H519&lt;&gt;"",COUNTIF(Pessoas!$E:$E,H519)&gt;0),"SIM",IF(COUNTIF(Pessoas!$C:$C,F519)&gt;0,"nome igual em Pessoas: confira o CPF","")))</f>
        <v/>
      </c>
      <c r="M519" s="24"/>
      <c r="N519" s="11"/>
    </row>
    <row r="520" customFormat="false" ht="15" hidden="false" customHeight="false" outlineLevel="0" collapsed="false">
      <c r="A520" s="24"/>
      <c r="B520" s="31" t="str">
        <f aca="false">IF(A520="","",IF(LEN(UPPER(SUBSTITUTE(SUBSTITUTE(SUBSTITUTE(SUBSTITUTE(TRIM(A520),".",""),"/",""),"-","")," ","")))&lt;14,RIGHT(REPT("0",14)&amp;UPPER(SUBSTITUTE(SUBSTITUTE(SUBSTITUTE(SUBSTITUTE(TRIM(A520),".",""),"/",""),"-","")," ","")),14),UPPER(SUBSTITUTE(SUBSTITUTE(SUBSTITUTE(SUBSTITUTE(TRIM(A520),".",""),"/",""),"-","")," ",""))))</f>
        <v/>
      </c>
      <c r="C520" s="25" t="str">
        <f aca="false">IF(B520="","",IFERROR(INDEX(Empresas!$C:$C,MATCH(B520,Empresas!$B:$B,0)),"cadastre o CNPJ em Empresas"))</f>
        <v/>
      </c>
      <c r="D520" s="23"/>
      <c r="E520" s="24"/>
      <c r="F520" s="31" t="str">
        <f aca="false">IF(D520="","",SUBSTITUTE(SUBSTITUTE(SUBSTITUTE(SUBSTITUTE(SUBSTITUTE(SUBSTITUTE(SUBSTITUTE(SUBSTITUTE(SUBSTITUTE(SUBSTITUTE(SUBSTITUTE(SUBSTITUTE(SUBSTITUTE(UPPER(TRIM(D520)),"Á","A"),"À","A"),"Â","A"),"Ã","A"),"É","E"),"Ê","E"),"Í","I"),"Ó","O"),"Ô","O"),"Õ","O"),"Ú","U"),"Ü","U"),"Ç","C"))</f>
        <v/>
      </c>
      <c r="G520" s="31" t="str">
        <f aca="false">IF(E520="","",IF(LEN(SUBSTITUTE(SUBSTITUTE(SUBSTITUTE(SUBSTITUTE(TRIM(E520),"*",""),".",""),"-","")," ",""))=11,MID(SUBSTITUTE(SUBSTITUTE(SUBSTITUTE(SUBSTITUTE(TRIM(E520),"*",""),".",""),"-","")," ",""),4,6),SUBSTITUTE(SUBSTITUTE(SUBSTITUTE(SUBSTITUTE(TRIM(E520),"*",""),".",""),"-","")," ","")))</f>
        <v/>
      </c>
      <c r="H520" s="31" t="str">
        <f aca="false">IF(OR(F520="",G520=""),"",F520&amp;"|"&amp;G520)</f>
        <v/>
      </c>
      <c r="I520" s="23"/>
      <c r="J520" s="22"/>
      <c r="K520" s="22"/>
      <c r="L520" s="25" t="str">
        <f aca="false">IF(F520="","",IF(AND(H520&lt;&gt;"",COUNTIF(Pessoas!$E:$E,H520)&gt;0),"SIM",IF(COUNTIF(Pessoas!$C:$C,F520)&gt;0,"nome igual em Pessoas: confira o CPF","")))</f>
        <v/>
      </c>
      <c r="M520" s="24"/>
      <c r="N520" s="11"/>
    </row>
    <row r="521" customFormat="false" ht="15" hidden="false" customHeight="false" outlineLevel="0" collapsed="false">
      <c r="A521" s="24"/>
      <c r="B521" s="31" t="str">
        <f aca="false">IF(A521="","",IF(LEN(UPPER(SUBSTITUTE(SUBSTITUTE(SUBSTITUTE(SUBSTITUTE(TRIM(A521),".",""),"/",""),"-","")," ","")))&lt;14,RIGHT(REPT("0",14)&amp;UPPER(SUBSTITUTE(SUBSTITUTE(SUBSTITUTE(SUBSTITUTE(TRIM(A521),".",""),"/",""),"-","")," ","")),14),UPPER(SUBSTITUTE(SUBSTITUTE(SUBSTITUTE(SUBSTITUTE(TRIM(A521),".",""),"/",""),"-","")," ",""))))</f>
        <v/>
      </c>
      <c r="C521" s="25" t="str">
        <f aca="false">IF(B521="","",IFERROR(INDEX(Empresas!$C:$C,MATCH(B521,Empresas!$B:$B,0)),"cadastre o CNPJ em Empresas"))</f>
        <v/>
      </c>
      <c r="D521" s="23"/>
      <c r="E521" s="24"/>
      <c r="F521" s="31" t="str">
        <f aca="false">IF(D521="","",SUBSTITUTE(SUBSTITUTE(SUBSTITUTE(SUBSTITUTE(SUBSTITUTE(SUBSTITUTE(SUBSTITUTE(SUBSTITUTE(SUBSTITUTE(SUBSTITUTE(SUBSTITUTE(SUBSTITUTE(SUBSTITUTE(UPPER(TRIM(D521)),"Á","A"),"À","A"),"Â","A"),"Ã","A"),"É","E"),"Ê","E"),"Í","I"),"Ó","O"),"Ô","O"),"Õ","O"),"Ú","U"),"Ü","U"),"Ç","C"))</f>
        <v/>
      </c>
      <c r="G521" s="31" t="str">
        <f aca="false">IF(E521="","",IF(LEN(SUBSTITUTE(SUBSTITUTE(SUBSTITUTE(SUBSTITUTE(TRIM(E521),"*",""),".",""),"-","")," ",""))=11,MID(SUBSTITUTE(SUBSTITUTE(SUBSTITUTE(SUBSTITUTE(TRIM(E521),"*",""),".",""),"-","")," ",""),4,6),SUBSTITUTE(SUBSTITUTE(SUBSTITUTE(SUBSTITUTE(TRIM(E521),"*",""),".",""),"-","")," ","")))</f>
        <v/>
      </c>
      <c r="H521" s="31" t="str">
        <f aca="false">IF(OR(F521="",G521=""),"",F521&amp;"|"&amp;G521)</f>
        <v/>
      </c>
      <c r="I521" s="23"/>
      <c r="J521" s="22"/>
      <c r="K521" s="22"/>
      <c r="L521" s="25" t="str">
        <f aca="false">IF(F521="","",IF(AND(H521&lt;&gt;"",COUNTIF(Pessoas!$E:$E,H521)&gt;0),"SIM",IF(COUNTIF(Pessoas!$C:$C,F521)&gt;0,"nome igual em Pessoas: confira o CPF","")))</f>
        <v/>
      </c>
      <c r="M521" s="24"/>
      <c r="N521" s="11"/>
    </row>
    <row r="522" customFormat="false" ht="15" hidden="false" customHeight="false" outlineLevel="0" collapsed="false">
      <c r="A522" s="24"/>
      <c r="B522" s="31" t="str">
        <f aca="false">IF(A522="","",IF(LEN(UPPER(SUBSTITUTE(SUBSTITUTE(SUBSTITUTE(SUBSTITUTE(TRIM(A522),".",""),"/",""),"-","")," ","")))&lt;14,RIGHT(REPT("0",14)&amp;UPPER(SUBSTITUTE(SUBSTITUTE(SUBSTITUTE(SUBSTITUTE(TRIM(A522),".",""),"/",""),"-","")," ","")),14),UPPER(SUBSTITUTE(SUBSTITUTE(SUBSTITUTE(SUBSTITUTE(TRIM(A522),".",""),"/",""),"-","")," ",""))))</f>
        <v/>
      </c>
      <c r="C522" s="25" t="str">
        <f aca="false">IF(B522="","",IFERROR(INDEX(Empresas!$C:$C,MATCH(B522,Empresas!$B:$B,0)),"cadastre o CNPJ em Empresas"))</f>
        <v/>
      </c>
      <c r="D522" s="23"/>
      <c r="E522" s="24"/>
      <c r="F522" s="31" t="str">
        <f aca="false">IF(D522="","",SUBSTITUTE(SUBSTITUTE(SUBSTITUTE(SUBSTITUTE(SUBSTITUTE(SUBSTITUTE(SUBSTITUTE(SUBSTITUTE(SUBSTITUTE(SUBSTITUTE(SUBSTITUTE(SUBSTITUTE(SUBSTITUTE(UPPER(TRIM(D522)),"Á","A"),"À","A"),"Â","A"),"Ã","A"),"É","E"),"Ê","E"),"Í","I"),"Ó","O"),"Ô","O"),"Õ","O"),"Ú","U"),"Ü","U"),"Ç","C"))</f>
        <v/>
      </c>
      <c r="G522" s="31" t="str">
        <f aca="false">IF(E522="","",IF(LEN(SUBSTITUTE(SUBSTITUTE(SUBSTITUTE(SUBSTITUTE(TRIM(E522),"*",""),".",""),"-","")," ",""))=11,MID(SUBSTITUTE(SUBSTITUTE(SUBSTITUTE(SUBSTITUTE(TRIM(E522),"*",""),".",""),"-","")," ",""),4,6),SUBSTITUTE(SUBSTITUTE(SUBSTITUTE(SUBSTITUTE(TRIM(E522),"*",""),".",""),"-","")," ","")))</f>
        <v/>
      </c>
      <c r="H522" s="31" t="str">
        <f aca="false">IF(OR(F522="",G522=""),"",F522&amp;"|"&amp;G522)</f>
        <v/>
      </c>
      <c r="I522" s="23"/>
      <c r="J522" s="22"/>
      <c r="K522" s="22"/>
      <c r="L522" s="25" t="str">
        <f aca="false">IF(F522="","",IF(AND(H522&lt;&gt;"",COUNTIF(Pessoas!$E:$E,H522)&gt;0),"SIM",IF(COUNTIF(Pessoas!$C:$C,F522)&gt;0,"nome igual em Pessoas: confira o CPF","")))</f>
        <v/>
      </c>
      <c r="M522" s="24"/>
      <c r="N522" s="11"/>
    </row>
    <row r="523" customFormat="false" ht="15" hidden="false" customHeight="false" outlineLevel="0" collapsed="false">
      <c r="A523" s="24"/>
      <c r="B523" s="31" t="str">
        <f aca="false">IF(A523="","",IF(LEN(UPPER(SUBSTITUTE(SUBSTITUTE(SUBSTITUTE(SUBSTITUTE(TRIM(A523),".",""),"/",""),"-","")," ","")))&lt;14,RIGHT(REPT("0",14)&amp;UPPER(SUBSTITUTE(SUBSTITUTE(SUBSTITUTE(SUBSTITUTE(TRIM(A523),".",""),"/",""),"-","")," ","")),14),UPPER(SUBSTITUTE(SUBSTITUTE(SUBSTITUTE(SUBSTITUTE(TRIM(A523),".",""),"/",""),"-","")," ",""))))</f>
        <v/>
      </c>
      <c r="C523" s="25" t="str">
        <f aca="false">IF(B523="","",IFERROR(INDEX(Empresas!$C:$C,MATCH(B523,Empresas!$B:$B,0)),"cadastre o CNPJ em Empresas"))</f>
        <v/>
      </c>
      <c r="D523" s="23"/>
      <c r="E523" s="24"/>
      <c r="F523" s="31" t="str">
        <f aca="false">IF(D523="","",SUBSTITUTE(SUBSTITUTE(SUBSTITUTE(SUBSTITUTE(SUBSTITUTE(SUBSTITUTE(SUBSTITUTE(SUBSTITUTE(SUBSTITUTE(SUBSTITUTE(SUBSTITUTE(SUBSTITUTE(SUBSTITUTE(UPPER(TRIM(D523)),"Á","A"),"À","A"),"Â","A"),"Ã","A"),"É","E"),"Ê","E"),"Í","I"),"Ó","O"),"Ô","O"),"Õ","O"),"Ú","U"),"Ü","U"),"Ç","C"))</f>
        <v/>
      </c>
      <c r="G523" s="31" t="str">
        <f aca="false">IF(E523="","",IF(LEN(SUBSTITUTE(SUBSTITUTE(SUBSTITUTE(SUBSTITUTE(TRIM(E523),"*",""),".",""),"-","")," ",""))=11,MID(SUBSTITUTE(SUBSTITUTE(SUBSTITUTE(SUBSTITUTE(TRIM(E523),"*",""),".",""),"-","")," ",""),4,6),SUBSTITUTE(SUBSTITUTE(SUBSTITUTE(SUBSTITUTE(TRIM(E523),"*",""),".",""),"-","")," ","")))</f>
        <v/>
      </c>
      <c r="H523" s="31" t="str">
        <f aca="false">IF(OR(F523="",G523=""),"",F523&amp;"|"&amp;G523)</f>
        <v/>
      </c>
      <c r="I523" s="23"/>
      <c r="J523" s="22"/>
      <c r="K523" s="22"/>
      <c r="L523" s="25" t="str">
        <f aca="false">IF(F523="","",IF(AND(H523&lt;&gt;"",COUNTIF(Pessoas!$E:$E,H523)&gt;0),"SIM",IF(COUNTIF(Pessoas!$C:$C,F523)&gt;0,"nome igual em Pessoas: confira o CPF","")))</f>
        <v/>
      </c>
      <c r="M523" s="24"/>
      <c r="N523" s="11"/>
    </row>
    <row r="524" customFormat="false" ht="15" hidden="false" customHeight="false" outlineLevel="0" collapsed="false">
      <c r="A524" s="24"/>
      <c r="B524" s="31" t="str">
        <f aca="false">IF(A524="","",IF(LEN(UPPER(SUBSTITUTE(SUBSTITUTE(SUBSTITUTE(SUBSTITUTE(TRIM(A524),".",""),"/",""),"-","")," ","")))&lt;14,RIGHT(REPT("0",14)&amp;UPPER(SUBSTITUTE(SUBSTITUTE(SUBSTITUTE(SUBSTITUTE(TRIM(A524),".",""),"/",""),"-","")," ","")),14),UPPER(SUBSTITUTE(SUBSTITUTE(SUBSTITUTE(SUBSTITUTE(TRIM(A524),".",""),"/",""),"-","")," ",""))))</f>
        <v/>
      </c>
      <c r="C524" s="25" t="str">
        <f aca="false">IF(B524="","",IFERROR(INDEX(Empresas!$C:$C,MATCH(B524,Empresas!$B:$B,0)),"cadastre o CNPJ em Empresas"))</f>
        <v/>
      </c>
      <c r="D524" s="23"/>
      <c r="E524" s="24"/>
      <c r="F524" s="31" t="str">
        <f aca="false">IF(D524="","",SUBSTITUTE(SUBSTITUTE(SUBSTITUTE(SUBSTITUTE(SUBSTITUTE(SUBSTITUTE(SUBSTITUTE(SUBSTITUTE(SUBSTITUTE(SUBSTITUTE(SUBSTITUTE(SUBSTITUTE(SUBSTITUTE(UPPER(TRIM(D524)),"Á","A"),"À","A"),"Â","A"),"Ã","A"),"É","E"),"Ê","E"),"Í","I"),"Ó","O"),"Ô","O"),"Õ","O"),"Ú","U"),"Ü","U"),"Ç","C"))</f>
        <v/>
      </c>
      <c r="G524" s="31" t="str">
        <f aca="false">IF(E524="","",IF(LEN(SUBSTITUTE(SUBSTITUTE(SUBSTITUTE(SUBSTITUTE(TRIM(E524),"*",""),".",""),"-","")," ",""))=11,MID(SUBSTITUTE(SUBSTITUTE(SUBSTITUTE(SUBSTITUTE(TRIM(E524),"*",""),".",""),"-","")," ",""),4,6),SUBSTITUTE(SUBSTITUTE(SUBSTITUTE(SUBSTITUTE(TRIM(E524),"*",""),".",""),"-","")," ","")))</f>
        <v/>
      </c>
      <c r="H524" s="31" t="str">
        <f aca="false">IF(OR(F524="",G524=""),"",F524&amp;"|"&amp;G524)</f>
        <v/>
      </c>
      <c r="I524" s="23"/>
      <c r="J524" s="22"/>
      <c r="K524" s="22"/>
      <c r="L524" s="25" t="str">
        <f aca="false">IF(F524="","",IF(AND(H524&lt;&gt;"",COUNTIF(Pessoas!$E:$E,H524)&gt;0),"SIM",IF(COUNTIF(Pessoas!$C:$C,F524)&gt;0,"nome igual em Pessoas: confira o CPF","")))</f>
        <v/>
      </c>
      <c r="M524" s="24"/>
      <c r="N524" s="11"/>
    </row>
    <row r="525" customFormat="false" ht="15" hidden="false" customHeight="false" outlineLevel="0" collapsed="false">
      <c r="A525" s="24"/>
      <c r="B525" s="31" t="str">
        <f aca="false">IF(A525="","",IF(LEN(UPPER(SUBSTITUTE(SUBSTITUTE(SUBSTITUTE(SUBSTITUTE(TRIM(A525),".",""),"/",""),"-","")," ","")))&lt;14,RIGHT(REPT("0",14)&amp;UPPER(SUBSTITUTE(SUBSTITUTE(SUBSTITUTE(SUBSTITUTE(TRIM(A525),".",""),"/",""),"-","")," ","")),14),UPPER(SUBSTITUTE(SUBSTITUTE(SUBSTITUTE(SUBSTITUTE(TRIM(A525),".",""),"/",""),"-","")," ",""))))</f>
        <v/>
      </c>
      <c r="C525" s="25" t="str">
        <f aca="false">IF(B525="","",IFERROR(INDEX(Empresas!$C:$C,MATCH(B525,Empresas!$B:$B,0)),"cadastre o CNPJ em Empresas"))</f>
        <v/>
      </c>
      <c r="D525" s="23"/>
      <c r="E525" s="24"/>
      <c r="F525" s="31" t="str">
        <f aca="false">IF(D525="","",SUBSTITUTE(SUBSTITUTE(SUBSTITUTE(SUBSTITUTE(SUBSTITUTE(SUBSTITUTE(SUBSTITUTE(SUBSTITUTE(SUBSTITUTE(SUBSTITUTE(SUBSTITUTE(SUBSTITUTE(SUBSTITUTE(UPPER(TRIM(D525)),"Á","A"),"À","A"),"Â","A"),"Ã","A"),"É","E"),"Ê","E"),"Í","I"),"Ó","O"),"Ô","O"),"Õ","O"),"Ú","U"),"Ü","U"),"Ç","C"))</f>
        <v/>
      </c>
      <c r="G525" s="31" t="str">
        <f aca="false">IF(E525="","",IF(LEN(SUBSTITUTE(SUBSTITUTE(SUBSTITUTE(SUBSTITUTE(TRIM(E525),"*",""),".",""),"-","")," ",""))=11,MID(SUBSTITUTE(SUBSTITUTE(SUBSTITUTE(SUBSTITUTE(TRIM(E525),"*",""),".",""),"-","")," ",""),4,6),SUBSTITUTE(SUBSTITUTE(SUBSTITUTE(SUBSTITUTE(TRIM(E525),"*",""),".",""),"-","")," ","")))</f>
        <v/>
      </c>
      <c r="H525" s="31" t="str">
        <f aca="false">IF(OR(F525="",G525=""),"",F525&amp;"|"&amp;G525)</f>
        <v/>
      </c>
      <c r="I525" s="23"/>
      <c r="J525" s="22"/>
      <c r="K525" s="22"/>
      <c r="L525" s="25" t="str">
        <f aca="false">IF(F525="","",IF(AND(H525&lt;&gt;"",COUNTIF(Pessoas!$E:$E,H525)&gt;0),"SIM",IF(COUNTIF(Pessoas!$C:$C,F525)&gt;0,"nome igual em Pessoas: confira o CPF","")))</f>
        <v/>
      </c>
      <c r="M525" s="24"/>
      <c r="N525" s="11"/>
    </row>
    <row r="526" customFormat="false" ht="15" hidden="false" customHeight="false" outlineLevel="0" collapsed="false">
      <c r="A526" s="24"/>
      <c r="B526" s="31" t="str">
        <f aca="false">IF(A526="","",IF(LEN(UPPER(SUBSTITUTE(SUBSTITUTE(SUBSTITUTE(SUBSTITUTE(TRIM(A526),".",""),"/",""),"-","")," ","")))&lt;14,RIGHT(REPT("0",14)&amp;UPPER(SUBSTITUTE(SUBSTITUTE(SUBSTITUTE(SUBSTITUTE(TRIM(A526),".",""),"/",""),"-","")," ","")),14),UPPER(SUBSTITUTE(SUBSTITUTE(SUBSTITUTE(SUBSTITUTE(TRIM(A526),".",""),"/",""),"-","")," ",""))))</f>
        <v/>
      </c>
      <c r="C526" s="25" t="str">
        <f aca="false">IF(B526="","",IFERROR(INDEX(Empresas!$C:$C,MATCH(B526,Empresas!$B:$B,0)),"cadastre o CNPJ em Empresas"))</f>
        <v/>
      </c>
      <c r="D526" s="23"/>
      <c r="E526" s="24"/>
      <c r="F526" s="31" t="str">
        <f aca="false">IF(D526="","",SUBSTITUTE(SUBSTITUTE(SUBSTITUTE(SUBSTITUTE(SUBSTITUTE(SUBSTITUTE(SUBSTITUTE(SUBSTITUTE(SUBSTITUTE(SUBSTITUTE(SUBSTITUTE(SUBSTITUTE(SUBSTITUTE(UPPER(TRIM(D526)),"Á","A"),"À","A"),"Â","A"),"Ã","A"),"É","E"),"Ê","E"),"Í","I"),"Ó","O"),"Ô","O"),"Õ","O"),"Ú","U"),"Ü","U"),"Ç","C"))</f>
        <v/>
      </c>
      <c r="G526" s="31" t="str">
        <f aca="false">IF(E526="","",IF(LEN(SUBSTITUTE(SUBSTITUTE(SUBSTITUTE(SUBSTITUTE(TRIM(E526),"*",""),".",""),"-","")," ",""))=11,MID(SUBSTITUTE(SUBSTITUTE(SUBSTITUTE(SUBSTITUTE(TRIM(E526),"*",""),".",""),"-","")," ",""),4,6),SUBSTITUTE(SUBSTITUTE(SUBSTITUTE(SUBSTITUTE(TRIM(E526),"*",""),".",""),"-","")," ","")))</f>
        <v/>
      </c>
      <c r="H526" s="31" t="str">
        <f aca="false">IF(OR(F526="",G526=""),"",F526&amp;"|"&amp;G526)</f>
        <v/>
      </c>
      <c r="I526" s="23"/>
      <c r="J526" s="22"/>
      <c r="K526" s="22"/>
      <c r="L526" s="25" t="str">
        <f aca="false">IF(F526="","",IF(AND(H526&lt;&gt;"",COUNTIF(Pessoas!$E:$E,H526)&gt;0),"SIM",IF(COUNTIF(Pessoas!$C:$C,F526)&gt;0,"nome igual em Pessoas: confira o CPF","")))</f>
        <v/>
      </c>
      <c r="M526" s="24"/>
      <c r="N526" s="11"/>
    </row>
    <row r="527" customFormat="false" ht="15" hidden="false" customHeight="false" outlineLevel="0" collapsed="false">
      <c r="A527" s="24"/>
      <c r="B527" s="31" t="str">
        <f aca="false">IF(A527="","",IF(LEN(UPPER(SUBSTITUTE(SUBSTITUTE(SUBSTITUTE(SUBSTITUTE(TRIM(A527),".",""),"/",""),"-","")," ","")))&lt;14,RIGHT(REPT("0",14)&amp;UPPER(SUBSTITUTE(SUBSTITUTE(SUBSTITUTE(SUBSTITUTE(TRIM(A527),".",""),"/",""),"-","")," ","")),14),UPPER(SUBSTITUTE(SUBSTITUTE(SUBSTITUTE(SUBSTITUTE(TRIM(A527),".",""),"/",""),"-","")," ",""))))</f>
        <v/>
      </c>
      <c r="C527" s="25" t="str">
        <f aca="false">IF(B527="","",IFERROR(INDEX(Empresas!$C:$C,MATCH(B527,Empresas!$B:$B,0)),"cadastre o CNPJ em Empresas"))</f>
        <v/>
      </c>
      <c r="D527" s="23"/>
      <c r="E527" s="24"/>
      <c r="F527" s="31" t="str">
        <f aca="false">IF(D527="","",SUBSTITUTE(SUBSTITUTE(SUBSTITUTE(SUBSTITUTE(SUBSTITUTE(SUBSTITUTE(SUBSTITUTE(SUBSTITUTE(SUBSTITUTE(SUBSTITUTE(SUBSTITUTE(SUBSTITUTE(SUBSTITUTE(UPPER(TRIM(D527)),"Á","A"),"À","A"),"Â","A"),"Ã","A"),"É","E"),"Ê","E"),"Í","I"),"Ó","O"),"Ô","O"),"Õ","O"),"Ú","U"),"Ü","U"),"Ç","C"))</f>
        <v/>
      </c>
      <c r="G527" s="31" t="str">
        <f aca="false">IF(E527="","",IF(LEN(SUBSTITUTE(SUBSTITUTE(SUBSTITUTE(SUBSTITUTE(TRIM(E527),"*",""),".",""),"-","")," ",""))=11,MID(SUBSTITUTE(SUBSTITUTE(SUBSTITUTE(SUBSTITUTE(TRIM(E527),"*",""),".",""),"-","")," ",""),4,6),SUBSTITUTE(SUBSTITUTE(SUBSTITUTE(SUBSTITUTE(TRIM(E527),"*",""),".",""),"-","")," ","")))</f>
        <v/>
      </c>
      <c r="H527" s="31" t="str">
        <f aca="false">IF(OR(F527="",G527=""),"",F527&amp;"|"&amp;G527)</f>
        <v/>
      </c>
      <c r="I527" s="23"/>
      <c r="J527" s="22"/>
      <c r="K527" s="22"/>
      <c r="L527" s="25" t="str">
        <f aca="false">IF(F527="","",IF(AND(H527&lt;&gt;"",COUNTIF(Pessoas!$E:$E,H527)&gt;0),"SIM",IF(COUNTIF(Pessoas!$C:$C,F527)&gt;0,"nome igual em Pessoas: confira o CPF","")))</f>
        <v/>
      </c>
      <c r="M527" s="24"/>
      <c r="N527" s="11"/>
    </row>
    <row r="528" customFormat="false" ht="15" hidden="false" customHeight="false" outlineLevel="0" collapsed="false">
      <c r="A528" s="24"/>
      <c r="B528" s="31" t="str">
        <f aca="false">IF(A528="","",IF(LEN(UPPER(SUBSTITUTE(SUBSTITUTE(SUBSTITUTE(SUBSTITUTE(TRIM(A528),".",""),"/",""),"-","")," ","")))&lt;14,RIGHT(REPT("0",14)&amp;UPPER(SUBSTITUTE(SUBSTITUTE(SUBSTITUTE(SUBSTITUTE(TRIM(A528),".",""),"/",""),"-","")," ","")),14),UPPER(SUBSTITUTE(SUBSTITUTE(SUBSTITUTE(SUBSTITUTE(TRIM(A528),".",""),"/",""),"-","")," ",""))))</f>
        <v/>
      </c>
      <c r="C528" s="25" t="str">
        <f aca="false">IF(B528="","",IFERROR(INDEX(Empresas!$C:$C,MATCH(B528,Empresas!$B:$B,0)),"cadastre o CNPJ em Empresas"))</f>
        <v/>
      </c>
      <c r="D528" s="23"/>
      <c r="E528" s="24"/>
      <c r="F528" s="31" t="str">
        <f aca="false">IF(D528="","",SUBSTITUTE(SUBSTITUTE(SUBSTITUTE(SUBSTITUTE(SUBSTITUTE(SUBSTITUTE(SUBSTITUTE(SUBSTITUTE(SUBSTITUTE(SUBSTITUTE(SUBSTITUTE(SUBSTITUTE(SUBSTITUTE(UPPER(TRIM(D528)),"Á","A"),"À","A"),"Â","A"),"Ã","A"),"É","E"),"Ê","E"),"Í","I"),"Ó","O"),"Ô","O"),"Õ","O"),"Ú","U"),"Ü","U"),"Ç","C"))</f>
        <v/>
      </c>
      <c r="G528" s="31" t="str">
        <f aca="false">IF(E528="","",IF(LEN(SUBSTITUTE(SUBSTITUTE(SUBSTITUTE(SUBSTITUTE(TRIM(E528),"*",""),".",""),"-","")," ",""))=11,MID(SUBSTITUTE(SUBSTITUTE(SUBSTITUTE(SUBSTITUTE(TRIM(E528),"*",""),".",""),"-","")," ",""),4,6),SUBSTITUTE(SUBSTITUTE(SUBSTITUTE(SUBSTITUTE(TRIM(E528),"*",""),".",""),"-","")," ","")))</f>
        <v/>
      </c>
      <c r="H528" s="31" t="str">
        <f aca="false">IF(OR(F528="",G528=""),"",F528&amp;"|"&amp;G528)</f>
        <v/>
      </c>
      <c r="I528" s="23"/>
      <c r="J528" s="22"/>
      <c r="K528" s="22"/>
      <c r="L528" s="25" t="str">
        <f aca="false">IF(F528="","",IF(AND(H528&lt;&gt;"",COUNTIF(Pessoas!$E:$E,H528)&gt;0),"SIM",IF(COUNTIF(Pessoas!$C:$C,F528)&gt;0,"nome igual em Pessoas: confira o CPF","")))</f>
        <v/>
      </c>
      <c r="M528" s="24"/>
      <c r="N528" s="11"/>
    </row>
    <row r="529" customFormat="false" ht="15" hidden="false" customHeight="false" outlineLevel="0" collapsed="false">
      <c r="A529" s="24"/>
      <c r="B529" s="31" t="str">
        <f aca="false">IF(A529="","",IF(LEN(UPPER(SUBSTITUTE(SUBSTITUTE(SUBSTITUTE(SUBSTITUTE(TRIM(A529),".",""),"/",""),"-","")," ","")))&lt;14,RIGHT(REPT("0",14)&amp;UPPER(SUBSTITUTE(SUBSTITUTE(SUBSTITUTE(SUBSTITUTE(TRIM(A529),".",""),"/",""),"-","")," ","")),14),UPPER(SUBSTITUTE(SUBSTITUTE(SUBSTITUTE(SUBSTITUTE(TRIM(A529),".",""),"/",""),"-","")," ",""))))</f>
        <v/>
      </c>
      <c r="C529" s="25" t="str">
        <f aca="false">IF(B529="","",IFERROR(INDEX(Empresas!$C:$C,MATCH(B529,Empresas!$B:$B,0)),"cadastre o CNPJ em Empresas"))</f>
        <v/>
      </c>
      <c r="D529" s="23"/>
      <c r="E529" s="24"/>
      <c r="F529" s="31" t="str">
        <f aca="false">IF(D529="","",SUBSTITUTE(SUBSTITUTE(SUBSTITUTE(SUBSTITUTE(SUBSTITUTE(SUBSTITUTE(SUBSTITUTE(SUBSTITUTE(SUBSTITUTE(SUBSTITUTE(SUBSTITUTE(SUBSTITUTE(SUBSTITUTE(UPPER(TRIM(D529)),"Á","A"),"À","A"),"Â","A"),"Ã","A"),"É","E"),"Ê","E"),"Í","I"),"Ó","O"),"Ô","O"),"Õ","O"),"Ú","U"),"Ü","U"),"Ç","C"))</f>
        <v/>
      </c>
      <c r="G529" s="31" t="str">
        <f aca="false">IF(E529="","",IF(LEN(SUBSTITUTE(SUBSTITUTE(SUBSTITUTE(SUBSTITUTE(TRIM(E529),"*",""),".",""),"-","")," ",""))=11,MID(SUBSTITUTE(SUBSTITUTE(SUBSTITUTE(SUBSTITUTE(TRIM(E529),"*",""),".",""),"-","")," ",""),4,6),SUBSTITUTE(SUBSTITUTE(SUBSTITUTE(SUBSTITUTE(TRIM(E529),"*",""),".",""),"-","")," ","")))</f>
        <v/>
      </c>
      <c r="H529" s="31" t="str">
        <f aca="false">IF(OR(F529="",G529=""),"",F529&amp;"|"&amp;G529)</f>
        <v/>
      </c>
      <c r="I529" s="23"/>
      <c r="J529" s="22"/>
      <c r="K529" s="22"/>
      <c r="L529" s="25" t="str">
        <f aca="false">IF(F529="","",IF(AND(H529&lt;&gt;"",COUNTIF(Pessoas!$E:$E,H529)&gt;0),"SIM",IF(COUNTIF(Pessoas!$C:$C,F529)&gt;0,"nome igual em Pessoas: confira o CPF","")))</f>
        <v/>
      </c>
      <c r="M529" s="24"/>
      <c r="N529" s="11"/>
    </row>
    <row r="530" customFormat="false" ht="15" hidden="false" customHeight="false" outlineLevel="0" collapsed="false">
      <c r="A530" s="24"/>
      <c r="B530" s="31" t="str">
        <f aca="false">IF(A530="","",IF(LEN(UPPER(SUBSTITUTE(SUBSTITUTE(SUBSTITUTE(SUBSTITUTE(TRIM(A530),".",""),"/",""),"-","")," ","")))&lt;14,RIGHT(REPT("0",14)&amp;UPPER(SUBSTITUTE(SUBSTITUTE(SUBSTITUTE(SUBSTITUTE(TRIM(A530),".",""),"/",""),"-","")," ","")),14),UPPER(SUBSTITUTE(SUBSTITUTE(SUBSTITUTE(SUBSTITUTE(TRIM(A530),".",""),"/",""),"-","")," ",""))))</f>
        <v/>
      </c>
      <c r="C530" s="25" t="str">
        <f aca="false">IF(B530="","",IFERROR(INDEX(Empresas!$C:$C,MATCH(B530,Empresas!$B:$B,0)),"cadastre o CNPJ em Empresas"))</f>
        <v/>
      </c>
      <c r="D530" s="23"/>
      <c r="E530" s="24"/>
      <c r="F530" s="31" t="str">
        <f aca="false">IF(D530="","",SUBSTITUTE(SUBSTITUTE(SUBSTITUTE(SUBSTITUTE(SUBSTITUTE(SUBSTITUTE(SUBSTITUTE(SUBSTITUTE(SUBSTITUTE(SUBSTITUTE(SUBSTITUTE(SUBSTITUTE(SUBSTITUTE(UPPER(TRIM(D530)),"Á","A"),"À","A"),"Â","A"),"Ã","A"),"É","E"),"Ê","E"),"Í","I"),"Ó","O"),"Ô","O"),"Õ","O"),"Ú","U"),"Ü","U"),"Ç","C"))</f>
        <v/>
      </c>
      <c r="G530" s="31" t="str">
        <f aca="false">IF(E530="","",IF(LEN(SUBSTITUTE(SUBSTITUTE(SUBSTITUTE(SUBSTITUTE(TRIM(E530),"*",""),".",""),"-","")," ",""))=11,MID(SUBSTITUTE(SUBSTITUTE(SUBSTITUTE(SUBSTITUTE(TRIM(E530),"*",""),".",""),"-","")," ",""),4,6),SUBSTITUTE(SUBSTITUTE(SUBSTITUTE(SUBSTITUTE(TRIM(E530),"*",""),".",""),"-","")," ","")))</f>
        <v/>
      </c>
      <c r="H530" s="31" t="str">
        <f aca="false">IF(OR(F530="",G530=""),"",F530&amp;"|"&amp;G530)</f>
        <v/>
      </c>
      <c r="I530" s="23"/>
      <c r="J530" s="22"/>
      <c r="K530" s="22"/>
      <c r="L530" s="25" t="str">
        <f aca="false">IF(F530="","",IF(AND(H530&lt;&gt;"",COUNTIF(Pessoas!$E:$E,H530)&gt;0),"SIM",IF(COUNTIF(Pessoas!$C:$C,F530)&gt;0,"nome igual em Pessoas: confira o CPF","")))</f>
        <v/>
      </c>
      <c r="M530" s="24"/>
      <c r="N530" s="11"/>
    </row>
    <row r="531" customFormat="false" ht="15" hidden="false" customHeight="false" outlineLevel="0" collapsed="false">
      <c r="A531" s="24"/>
      <c r="B531" s="31" t="str">
        <f aca="false">IF(A531="","",IF(LEN(UPPER(SUBSTITUTE(SUBSTITUTE(SUBSTITUTE(SUBSTITUTE(TRIM(A531),".",""),"/",""),"-","")," ","")))&lt;14,RIGHT(REPT("0",14)&amp;UPPER(SUBSTITUTE(SUBSTITUTE(SUBSTITUTE(SUBSTITUTE(TRIM(A531),".",""),"/",""),"-","")," ","")),14),UPPER(SUBSTITUTE(SUBSTITUTE(SUBSTITUTE(SUBSTITUTE(TRIM(A531),".",""),"/",""),"-","")," ",""))))</f>
        <v/>
      </c>
      <c r="C531" s="25" t="str">
        <f aca="false">IF(B531="","",IFERROR(INDEX(Empresas!$C:$C,MATCH(B531,Empresas!$B:$B,0)),"cadastre o CNPJ em Empresas"))</f>
        <v/>
      </c>
      <c r="D531" s="23"/>
      <c r="E531" s="24"/>
      <c r="F531" s="31" t="str">
        <f aca="false">IF(D531="","",SUBSTITUTE(SUBSTITUTE(SUBSTITUTE(SUBSTITUTE(SUBSTITUTE(SUBSTITUTE(SUBSTITUTE(SUBSTITUTE(SUBSTITUTE(SUBSTITUTE(SUBSTITUTE(SUBSTITUTE(SUBSTITUTE(UPPER(TRIM(D531)),"Á","A"),"À","A"),"Â","A"),"Ã","A"),"É","E"),"Ê","E"),"Í","I"),"Ó","O"),"Ô","O"),"Õ","O"),"Ú","U"),"Ü","U"),"Ç","C"))</f>
        <v/>
      </c>
      <c r="G531" s="31" t="str">
        <f aca="false">IF(E531="","",IF(LEN(SUBSTITUTE(SUBSTITUTE(SUBSTITUTE(SUBSTITUTE(TRIM(E531),"*",""),".",""),"-","")," ",""))=11,MID(SUBSTITUTE(SUBSTITUTE(SUBSTITUTE(SUBSTITUTE(TRIM(E531),"*",""),".",""),"-","")," ",""),4,6),SUBSTITUTE(SUBSTITUTE(SUBSTITUTE(SUBSTITUTE(TRIM(E531),"*",""),".",""),"-","")," ","")))</f>
        <v/>
      </c>
      <c r="H531" s="31" t="str">
        <f aca="false">IF(OR(F531="",G531=""),"",F531&amp;"|"&amp;G531)</f>
        <v/>
      </c>
      <c r="I531" s="23"/>
      <c r="J531" s="22"/>
      <c r="K531" s="22"/>
      <c r="L531" s="25" t="str">
        <f aca="false">IF(F531="","",IF(AND(H531&lt;&gt;"",COUNTIF(Pessoas!$E:$E,H531)&gt;0),"SIM",IF(COUNTIF(Pessoas!$C:$C,F531)&gt;0,"nome igual em Pessoas: confira o CPF","")))</f>
        <v/>
      </c>
      <c r="M531" s="24"/>
      <c r="N531" s="11"/>
    </row>
    <row r="532" customFormat="false" ht="15" hidden="false" customHeight="false" outlineLevel="0" collapsed="false">
      <c r="A532" s="24"/>
      <c r="B532" s="31" t="str">
        <f aca="false">IF(A532="","",IF(LEN(UPPER(SUBSTITUTE(SUBSTITUTE(SUBSTITUTE(SUBSTITUTE(TRIM(A532),".",""),"/",""),"-","")," ","")))&lt;14,RIGHT(REPT("0",14)&amp;UPPER(SUBSTITUTE(SUBSTITUTE(SUBSTITUTE(SUBSTITUTE(TRIM(A532),".",""),"/",""),"-","")," ","")),14),UPPER(SUBSTITUTE(SUBSTITUTE(SUBSTITUTE(SUBSTITUTE(TRIM(A532),".",""),"/",""),"-","")," ",""))))</f>
        <v/>
      </c>
      <c r="C532" s="25" t="str">
        <f aca="false">IF(B532="","",IFERROR(INDEX(Empresas!$C:$C,MATCH(B532,Empresas!$B:$B,0)),"cadastre o CNPJ em Empresas"))</f>
        <v/>
      </c>
      <c r="D532" s="23"/>
      <c r="E532" s="24"/>
      <c r="F532" s="31" t="str">
        <f aca="false">IF(D532="","",SUBSTITUTE(SUBSTITUTE(SUBSTITUTE(SUBSTITUTE(SUBSTITUTE(SUBSTITUTE(SUBSTITUTE(SUBSTITUTE(SUBSTITUTE(SUBSTITUTE(SUBSTITUTE(SUBSTITUTE(SUBSTITUTE(UPPER(TRIM(D532)),"Á","A"),"À","A"),"Â","A"),"Ã","A"),"É","E"),"Ê","E"),"Í","I"),"Ó","O"),"Ô","O"),"Õ","O"),"Ú","U"),"Ü","U"),"Ç","C"))</f>
        <v/>
      </c>
      <c r="G532" s="31" t="str">
        <f aca="false">IF(E532="","",IF(LEN(SUBSTITUTE(SUBSTITUTE(SUBSTITUTE(SUBSTITUTE(TRIM(E532),"*",""),".",""),"-","")," ",""))=11,MID(SUBSTITUTE(SUBSTITUTE(SUBSTITUTE(SUBSTITUTE(TRIM(E532),"*",""),".",""),"-","")," ",""),4,6),SUBSTITUTE(SUBSTITUTE(SUBSTITUTE(SUBSTITUTE(TRIM(E532),"*",""),".",""),"-","")," ","")))</f>
        <v/>
      </c>
      <c r="H532" s="31" t="str">
        <f aca="false">IF(OR(F532="",G532=""),"",F532&amp;"|"&amp;G532)</f>
        <v/>
      </c>
      <c r="I532" s="23"/>
      <c r="J532" s="22"/>
      <c r="K532" s="22"/>
      <c r="L532" s="25" t="str">
        <f aca="false">IF(F532="","",IF(AND(H532&lt;&gt;"",COUNTIF(Pessoas!$E:$E,H532)&gt;0),"SIM",IF(COUNTIF(Pessoas!$C:$C,F532)&gt;0,"nome igual em Pessoas: confira o CPF","")))</f>
        <v/>
      </c>
      <c r="M532" s="24"/>
      <c r="N532" s="11"/>
    </row>
    <row r="533" customFormat="false" ht="15" hidden="false" customHeight="false" outlineLevel="0" collapsed="false">
      <c r="A533" s="24"/>
      <c r="B533" s="31" t="str">
        <f aca="false">IF(A533="","",IF(LEN(UPPER(SUBSTITUTE(SUBSTITUTE(SUBSTITUTE(SUBSTITUTE(TRIM(A533),".",""),"/",""),"-","")," ","")))&lt;14,RIGHT(REPT("0",14)&amp;UPPER(SUBSTITUTE(SUBSTITUTE(SUBSTITUTE(SUBSTITUTE(TRIM(A533),".",""),"/",""),"-","")," ","")),14),UPPER(SUBSTITUTE(SUBSTITUTE(SUBSTITUTE(SUBSTITUTE(TRIM(A533),".",""),"/",""),"-","")," ",""))))</f>
        <v/>
      </c>
      <c r="C533" s="25" t="str">
        <f aca="false">IF(B533="","",IFERROR(INDEX(Empresas!$C:$C,MATCH(B533,Empresas!$B:$B,0)),"cadastre o CNPJ em Empresas"))</f>
        <v/>
      </c>
      <c r="D533" s="23"/>
      <c r="E533" s="24"/>
      <c r="F533" s="31" t="str">
        <f aca="false">IF(D533="","",SUBSTITUTE(SUBSTITUTE(SUBSTITUTE(SUBSTITUTE(SUBSTITUTE(SUBSTITUTE(SUBSTITUTE(SUBSTITUTE(SUBSTITUTE(SUBSTITUTE(SUBSTITUTE(SUBSTITUTE(SUBSTITUTE(UPPER(TRIM(D533)),"Á","A"),"À","A"),"Â","A"),"Ã","A"),"É","E"),"Ê","E"),"Í","I"),"Ó","O"),"Ô","O"),"Õ","O"),"Ú","U"),"Ü","U"),"Ç","C"))</f>
        <v/>
      </c>
      <c r="G533" s="31" t="str">
        <f aca="false">IF(E533="","",IF(LEN(SUBSTITUTE(SUBSTITUTE(SUBSTITUTE(SUBSTITUTE(TRIM(E533),"*",""),".",""),"-","")," ",""))=11,MID(SUBSTITUTE(SUBSTITUTE(SUBSTITUTE(SUBSTITUTE(TRIM(E533),"*",""),".",""),"-","")," ",""),4,6),SUBSTITUTE(SUBSTITUTE(SUBSTITUTE(SUBSTITUTE(TRIM(E533),"*",""),".",""),"-","")," ","")))</f>
        <v/>
      </c>
      <c r="H533" s="31" t="str">
        <f aca="false">IF(OR(F533="",G533=""),"",F533&amp;"|"&amp;G533)</f>
        <v/>
      </c>
      <c r="I533" s="23"/>
      <c r="J533" s="22"/>
      <c r="K533" s="22"/>
      <c r="L533" s="25" t="str">
        <f aca="false">IF(F533="","",IF(AND(H533&lt;&gt;"",COUNTIF(Pessoas!$E:$E,H533)&gt;0),"SIM",IF(COUNTIF(Pessoas!$C:$C,F533)&gt;0,"nome igual em Pessoas: confira o CPF","")))</f>
        <v/>
      </c>
      <c r="M533" s="24"/>
      <c r="N533" s="11"/>
    </row>
    <row r="534" customFormat="false" ht="15" hidden="false" customHeight="false" outlineLevel="0" collapsed="false">
      <c r="A534" s="24"/>
      <c r="B534" s="31" t="str">
        <f aca="false">IF(A534="","",IF(LEN(UPPER(SUBSTITUTE(SUBSTITUTE(SUBSTITUTE(SUBSTITUTE(TRIM(A534),".",""),"/",""),"-","")," ","")))&lt;14,RIGHT(REPT("0",14)&amp;UPPER(SUBSTITUTE(SUBSTITUTE(SUBSTITUTE(SUBSTITUTE(TRIM(A534),".",""),"/",""),"-","")," ","")),14),UPPER(SUBSTITUTE(SUBSTITUTE(SUBSTITUTE(SUBSTITUTE(TRIM(A534),".",""),"/",""),"-","")," ",""))))</f>
        <v/>
      </c>
      <c r="C534" s="25" t="str">
        <f aca="false">IF(B534="","",IFERROR(INDEX(Empresas!$C:$C,MATCH(B534,Empresas!$B:$B,0)),"cadastre o CNPJ em Empresas"))</f>
        <v/>
      </c>
      <c r="D534" s="23"/>
      <c r="E534" s="24"/>
      <c r="F534" s="31" t="str">
        <f aca="false">IF(D534="","",SUBSTITUTE(SUBSTITUTE(SUBSTITUTE(SUBSTITUTE(SUBSTITUTE(SUBSTITUTE(SUBSTITUTE(SUBSTITUTE(SUBSTITUTE(SUBSTITUTE(SUBSTITUTE(SUBSTITUTE(SUBSTITUTE(UPPER(TRIM(D534)),"Á","A"),"À","A"),"Â","A"),"Ã","A"),"É","E"),"Ê","E"),"Í","I"),"Ó","O"),"Ô","O"),"Õ","O"),"Ú","U"),"Ü","U"),"Ç","C"))</f>
        <v/>
      </c>
      <c r="G534" s="31" t="str">
        <f aca="false">IF(E534="","",IF(LEN(SUBSTITUTE(SUBSTITUTE(SUBSTITUTE(SUBSTITUTE(TRIM(E534),"*",""),".",""),"-","")," ",""))=11,MID(SUBSTITUTE(SUBSTITUTE(SUBSTITUTE(SUBSTITUTE(TRIM(E534),"*",""),".",""),"-","")," ",""),4,6),SUBSTITUTE(SUBSTITUTE(SUBSTITUTE(SUBSTITUTE(TRIM(E534),"*",""),".",""),"-","")," ","")))</f>
        <v/>
      </c>
      <c r="H534" s="31" t="str">
        <f aca="false">IF(OR(F534="",G534=""),"",F534&amp;"|"&amp;G534)</f>
        <v/>
      </c>
      <c r="I534" s="23"/>
      <c r="J534" s="22"/>
      <c r="K534" s="22"/>
      <c r="L534" s="25" t="str">
        <f aca="false">IF(F534="","",IF(AND(H534&lt;&gt;"",COUNTIF(Pessoas!$E:$E,H534)&gt;0),"SIM",IF(COUNTIF(Pessoas!$C:$C,F534)&gt;0,"nome igual em Pessoas: confira o CPF","")))</f>
        <v/>
      </c>
      <c r="M534" s="24"/>
      <c r="N534" s="11"/>
    </row>
    <row r="535" customFormat="false" ht="15" hidden="false" customHeight="false" outlineLevel="0" collapsed="false">
      <c r="A535" s="24"/>
      <c r="B535" s="31" t="str">
        <f aca="false">IF(A535="","",IF(LEN(UPPER(SUBSTITUTE(SUBSTITUTE(SUBSTITUTE(SUBSTITUTE(TRIM(A535),".",""),"/",""),"-","")," ","")))&lt;14,RIGHT(REPT("0",14)&amp;UPPER(SUBSTITUTE(SUBSTITUTE(SUBSTITUTE(SUBSTITUTE(TRIM(A535),".",""),"/",""),"-","")," ","")),14),UPPER(SUBSTITUTE(SUBSTITUTE(SUBSTITUTE(SUBSTITUTE(TRIM(A535),".",""),"/",""),"-","")," ",""))))</f>
        <v/>
      </c>
      <c r="C535" s="25" t="str">
        <f aca="false">IF(B535="","",IFERROR(INDEX(Empresas!$C:$C,MATCH(B535,Empresas!$B:$B,0)),"cadastre o CNPJ em Empresas"))</f>
        <v/>
      </c>
      <c r="D535" s="23"/>
      <c r="E535" s="24"/>
      <c r="F535" s="31" t="str">
        <f aca="false">IF(D535="","",SUBSTITUTE(SUBSTITUTE(SUBSTITUTE(SUBSTITUTE(SUBSTITUTE(SUBSTITUTE(SUBSTITUTE(SUBSTITUTE(SUBSTITUTE(SUBSTITUTE(SUBSTITUTE(SUBSTITUTE(SUBSTITUTE(UPPER(TRIM(D535)),"Á","A"),"À","A"),"Â","A"),"Ã","A"),"É","E"),"Ê","E"),"Í","I"),"Ó","O"),"Ô","O"),"Õ","O"),"Ú","U"),"Ü","U"),"Ç","C"))</f>
        <v/>
      </c>
      <c r="G535" s="31" t="str">
        <f aca="false">IF(E535="","",IF(LEN(SUBSTITUTE(SUBSTITUTE(SUBSTITUTE(SUBSTITUTE(TRIM(E535),"*",""),".",""),"-","")," ",""))=11,MID(SUBSTITUTE(SUBSTITUTE(SUBSTITUTE(SUBSTITUTE(TRIM(E535),"*",""),".",""),"-","")," ",""),4,6),SUBSTITUTE(SUBSTITUTE(SUBSTITUTE(SUBSTITUTE(TRIM(E535),"*",""),".",""),"-","")," ","")))</f>
        <v/>
      </c>
      <c r="H535" s="31" t="str">
        <f aca="false">IF(OR(F535="",G535=""),"",F535&amp;"|"&amp;G535)</f>
        <v/>
      </c>
      <c r="I535" s="23"/>
      <c r="J535" s="22"/>
      <c r="K535" s="22"/>
      <c r="L535" s="25" t="str">
        <f aca="false">IF(F535="","",IF(AND(H535&lt;&gt;"",COUNTIF(Pessoas!$E:$E,H535)&gt;0),"SIM",IF(COUNTIF(Pessoas!$C:$C,F535)&gt;0,"nome igual em Pessoas: confira o CPF","")))</f>
        <v/>
      </c>
      <c r="M535" s="24"/>
      <c r="N535" s="11"/>
    </row>
    <row r="536" customFormat="false" ht="15" hidden="false" customHeight="false" outlineLevel="0" collapsed="false">
      <c r="A536" s="24"/>
      <c r="B536" s="31" t="str">
        <f aca="false">IF(A536="","",IF(LEN(UPPER(SUBSTITUTE(SUBSTITUTE(SUBSTITUTE(SUBSTITUTE(TRIM(A536),".",""),"/",""),"-","")," ","")))&lt;14,RIGHT(REPT("0",14)&amp;UPPER(SUBSTITUTE(SUBSTITUTE(SUBSTITUTE(SUBSTITUTE(TRIM(A536),".",""),"/",""),"-","")," ","")),14),UPPER(SUBSTITUTE(SUBSTITUTE(SUBSTITUTE(SUBSTITUTE(TRIM(A536),".",""),"/",""),"-","")," ",""))))</f>
        <v/>
      </c>
      <c r="C536" s="25" t="str">
        <f aca="false">IF(B536="","",IFERROR(INDEX(Empresas!$C:$C,MATCH(B536,Empresas!$B:$B,0)),"cadastre o CNPJ em Empresas"))</f>
        <v/>
      </c>
      <c r="D536" s="23"/>
      <c r="E536" s="24"/>
      <c r="F536" s="31" t="str">
        <f aca="false">IF(D536="","",SUBSTITUTE(SUBSTITUTE(SUBSTITUTE(SUBSTITUTE(SUBSTITUTE(SUBSTITUTE(SUBSTITUTE(SUBSTITUTE(SUBSTITUTE(SUBSTITUTE(SUBSTITUTE(SUBSTITUTE(SUBSTITUTE(UPPER(TRIM(D536)),"Á","A"),"À","A"),"Â","A"),"Ã","A"),"É","E"),"Ê","E"),"Í","I"),"Ó","O"),"Ô","O"),"Õ","O"),"Ú","U"),"Ü","U"),"Ç","C"))</f>
        <v/>
      </c>
      <c r="G536" s="31" t="str">
        <f aca="false">IF(E536="","",IF(LEN(SUBSTITUTE(SUBSTITUTE(SUBSTITUTE(SUBSTITUTE(TRIM(E536),"*",""),".",""),"-","")," ",""))=11,MID(SUBSTITUTE(SUBSTITUTE(SUBSTITUTE(SUBSTITUTE(TRIM(E536),"*",""),".",""),"-","")," ",""),4,6),SUBSTITUTE(SUBSTITUTE(SUBSTITUTE(SUBSTITUTE(TRIM(E536),"*",""),".",""),"-","")," ","")))</f>
        <v/>
      </c>
      <c r="H536" s="31" t="str">
        <f aca="false">IF(OR(F536="",G536=""),"",F536&amp;"|"&amp;G536)</f>
        <v/>
      </c>
      <c r="I536" s="23"/>
      <c r="J536" s="22"/>
      <c r="K536" s="22"/>
      <c r="L536" s="25" t="str">
        <f aca="false">IF(F536="","",IF(AND(H536&lt;&gt;"",COUNTIF(Pessoas!$E:$E,H536)&gt;0),"SIM",IF(COUNTIF(Pessoas!$C:$C,F536)&gt;0,"nome igual em Pessoas: confira o CPF","")))</f>
        <v/>
      </c>
      <c r="M536" s="24"/>
      <c r="N536" s="11"/>
    </row>
    <row r="537" customFormat="false" ht="15" hidden="false" customHeight="false" outlineLevel="0" collapsed="false">
      <c r="A537" s="24"/>
      <c r="B537" s="31" t="str">
        <f aca="false">IF(A537="","",IF(LEN(UPPER(SUBSTITUTE(SUBSTITUTE(SUBSTITUTE(SUBSTITUTE(TRIM(A537),".",""),"/",""),"-","")," ","")))&lt;14,RIGHT(REPT("0",14)&amp;UPPER(SUBSTITUTE(SUBSTITUTE(SUBSTITUTE(SUBSTITUTE(TRIM(A537),".",""),"/",""),"-","")," ","")),14),UPPER(SUBSTITUTE(SUBSTITUTE(SUBSTITUTE(SUBSTITUTE(TRIM(A537),".",""),"/",""),"-","")," ",""))))</f>
        <v/>
      </c>
      <c r="C537" s="25" t="str">
        <f aca="false">IF(B537="","",IFERROR(INDEX(Empresas!$C:$C,MATCH(B537,Empresas!$B:$B,0)),"cadastre o CNPJ em Empresas"))</f>
        <v/>
      </c>
      <c r="D537" s="23"/>
      <c r="E537" s="24"/>
      <c r="F537" s="31" t="str">
        <f aca="false">IF(D537="","",SUBSTITUTE(SUBSTITUTE(SUBSTITUTE(SUBSTITUTE(SUBSTITUTE(SUBSTITUTE(SUBSTITUTE(SUBSTITUTE(SUBSTITUTE(SUBSTITUTE(SUBSTITUTE(SUBSTITUTE(SUBSTITUTE(UPPER(TRIM(D537)),"Á","A"),"À","A"),"Â","A"),"Ã","A"),"É","E"),"Ê","E"),"Í","I"),"Ó","O"),"Ô","O"),"Õ","O"),"Ú","U"),"Ü","U"),"Ç","C"))</f>
        <v/>
      </c>
      <c r="G537" s="31" t="str">
        <f aca="false">IF(E537="","",IF(LEN(SUBSTITUTE(SUBSTITUTE(SUBSTITUTE(SUBSTITUTE(TRIM(E537),"*",""),".",""),"-","")," ",""))=11,MID(SUBSTITUTE(SUBSTITUTE(SUBSTITUTE(SUBSTITUTE(TRIM(E537),"*",""),".",""),"-","")," ",""),4,6),SUBSTITUTE(SUBSTITUTE(SUBSTITUTE(SUBSTITUTE(TRIM(E537),"*",""),".",""),"-","")," ","")))</f>
        <v/>
      </c>
      <c r="H537" s="31" t="str">
        <f aca="false">IF(OR(F537="",G537=""),"",F537&amp;"|"&amp;G537)</f>
        <v/>
      </c>
      <c r="I537" s="23"/>
      <c r="J537" s="22"/>
      <c r="K537" s="22"/>
      <c r="L537" s="25" t="str">
        <f aca="false">IF(F537="","",IF(AND(H537&lt;&gt;"",COUNTIF(Pessoas!$E:$E,H537)&gt;0),"SIM",IF(COUNTIF(Pessoas!$C:$C,F537)&gt;0,"nome igual em Pessoas: confira o CPF","")))</f>
        <v/>
      </c>
      <c r="M537" s="24"/>
      <c r="N537" s="11"/>
    </row>
    <row r="538" customFormat="false" ht="15" hidden="false" customHeight="false" outlineLevel="0" collapsed="false">
      <c r="A538" s="24"/>
      <c r="B538" s="31" t="str">
        <f aca="false">IF(A538="","",IF(LEN(UPPER(SUBSTITUTE(SUBSTITUTE(SUBSTITUTE(SUBSTITUTE(TRIM(A538),".",""),"/",""),"-","")," ","")))&lt;14,RIGHT(REPT("0",14)&amp;UPPER(SUBSTITUTE(SUBSTITUTE(SUBSTITUTE(SUBSTITUTE(TRIM(A538),".",""),"/",""),"-","")," ","")),14),UPPER(SUBSTITUTE(SUBSTITUTE(SUBSTITUTE(SUBSTITUTE(TRIM(A538),".",""),"/",""),"-","")," ",""))))</f>
        <v/>
      </c>
      <c r="C538" s="25" t="str">
        <f aca="false">IF(B538="","",IFERROR(INDEX(Empresas!$C:$C,MATCH(B538,Empresas!$B:$B,0)),"cadastre o CNPJ em Empresas"))</f>
        <v/>
      </c>
      <c r="D538" s="23"/>
      <c r="E538" s="24"/>
      <c r="F538" s="31" t="str">
        <f aca="false">IF(D538="","",SUBSTITUTE(SUBSTITUTE(SUBSTITUTE(SUBSTITUTE(SUBSTITUTE(SUBSTITUTE(SUBSTITUTE(SUBSTITUTE(SUBSTITUTE(SUBSTITUTE(SUBSTITUTE(SUBSTITUTE(SUBSTITUTE(UPPER(TRIM(D538)),"Á","A"),"À","A"),"Â","A"),"Ã","A"),"É","E"),"Ê","E"),"Í","I"),"Ó","O"),"Ô","O"),"Õ","O"),"Ú","U"),"Ü","U"),"Ç","C"))</f>
        <v/>
      </c>
      <c r="G538" s="31" t="str">
        <f aca="false">IF(E538="","",IF(LEN(SUBSTITUTE(SUBSTITUTE(SUBSTITUTE(SUBSTITUTE(TRIM(E538),"*",""),".",""),"-","")," ",""))=11,MID(SUBSTITUTE(SUBSTITUTE(SUBSTITUTE(SUBSTITUTE(TRIM(E538),"*",""),".",""),"-","")," ",""),4,6),SUBSTITUTE(SUBSTITUTE(SUBSTITUTE(SUBSTITUTE(TRIM(E538),"*",""),".",""),"-","")," ","")))</f>
        <v/>
      </c>
      <c r="H538" s="31" t="str">
        <f aca="false">IF(OR(F538="",G538=""),"",F538&amp;"|"&amp;G538)</f>
        <v/>
      </c>
      <c r="I538" s="23"/>
      <c r="J538" s="22"/>
      <c r="K538" s="22"/>
      <c r="L538" s="25" t="str">
        <f aca="false">IF(F538="","",IF(AND(H538&lt;&gt;"",COUNTIF(Pessoas!$E:$E,H538)&gt;0),"SIM",IF(COUNTIF(Pessoas!$C:$C,F538)&gt;0,"nome igual em Pessoas: confira o CPF","")))</f>
        <v/>
      </c>
      <c r="M538" s="24"/>
      <c r="N538" s="11"/>
    </row>
    <row r="539" customFormat="false" ht="15" hidden="false" customHeight="false" outlineLevel="0" collapsed="false">
      <c r="A539" s="24"/>
      <c r="B539" s="31" t="str">
        <f aca="false">IF(A539="","",IF(LEN(UPPER(SUBSTITUTE(SUBSTITUTE(SUBSTITUTE(SUBSTITUTE(TRIM(A539),".",""),"/",""),"-","")," ","")))&lt;14,RIGHT(REPT("0",14)&amp;UPPER(SUBSTITUTE(SUBSTITUTE(SUBSTITUTE(SUBSTITUTE(TRIM(A539),".",""),"/",""),"-","")," ","")),14),UPPER(SUBSTITUTE(SUBSTITUTE(SUBSTITUTE(SUBSTITUTE(TRIM(A539),".",""),"/",""),"-","")," ",""))))</f>
        <v/>
      </c>
      <c r="C539" s="25" t="str">
        <f aca="false">IF(B539="","",IFERROR(INDEX(Empresas!$C:$C,MATCH(B539,Empresas!$B:$B,0)),"cadastre o CNPJ em Empresas"))</f>
        <v/>
      </c>
      <c r="D539" s="23"/>
      <c r="E539" s="24"/>
      <c r="F539" s="31" t="str">
        <f aca="false">IF(D539="","",SUBSTITUTE(SUBSTITUTE(SUBSTITUTE(SUBSTITUTE(SUBSTITUTE(SUBSTITUTE(SUBSTITUTE(SUBSTITUTE(SUBSTITUTE(SUBSTITUTE(SUBSTITUTE(SUBSTITUTE(SUBSTITUTE(UPPER(TRIM(D539)),"Á","A"),"À","A"),"Â","A"),"Ã","A"),"É","E"),"Ê","E"),"Í","I"),"Ó","O"),"Ô","O"),"Õ","O"),"Ú","U"),"Ü","U"),"Ç","C"))</f>
        <v/>
      </c>
      <c r="G539" s="31" t="str">
        <f aca="false">IF(E539="","",IF(LEN(SUBSTITUTE(SUBSTITUTE(SUBSTITUTE(SUBSTITUTE(TRIM(E539),"*",""),".",""),"-","")," ",""))=11,MID(SUBSTITUTE(SUBSTITUTE(SUBSTITUTE(SUBSTITUTE(TRIM(E539),"*",""),".",""),"-","")," ",""),4,6),SUBSTITUTE(SUBSTITUTE(SUBSTITUTE(SUBSTITUTE(TRIM(E539),"*",""),".",""),"-","")," ","")))</f>
        <v/>
      </c>
      <c r="H539" s="31" t="str">
        <f aca="false">IF(OR(F539="",G539=""),"",F539&amp;"|"&amp;G539)</f>
        <v/>
      </c>
      <c r="I539" s="23"/>
      <c r="J539" s="22"/>
      <c r="K539" s="22"/>
      <c r="L539" s="25" t="str">
        <f aca="false">IF(F539="","",IF(AND(H539&lt;&gt;"",COUNTIF(Pessoas!$E:$E,H539)&gt;0),"SIM",IF(COUNTIF(Pessoas!$C:$C,F539)&gt;0,"nome igual em Pessoas: confira o CPF","")))</f>
        <v/>
      </c>
      <c r="M539" s="24"/>
      <c r="N539" s="11"/>
    </row>
    <row r="540" customFormat="false" ht="15" hidden="false" customHeight="false" outlineLevel="0" collapsed="false">
      <c r="A540" s="24"/>
      <c r="B540" s="31" t="str">
        <f aca="false">IF(A540="","",IF(LEN(UPPER(SUBSTITUTE(SUBSTITUTE(SUBSTITUTE(SUBSTITUTE(TRIM(A540),".",""),"/",""),"-","")," ","")))&lt;14,RIGHT(REPT("0",14)&amp;UPPER(SUBSTITUTE(SUBSTITUTE(SUBSTITUTE(SUBSTITUTE(TRIM(A540),".",""),"/",""),"-","")," ","")),14),UPPER(SUBSTITUTE(SUBSTITUTE(SUBSTITUTE(SUBSTITUTE(TRIM(A540),".",""),"/",""),"-","")," ",""))))</f>
        <v/>
      </c>
      <c r="C540" s="25" t="str">
        <f aca="false">IF(B540="","",IFERROR(INDEX(Empresas!$C:$C,MATCH(B540,Empresas!$B:$B,0)),"cadastre o CNPJ em Empresas"))</f>
        <v/>
      </c>
      <c r="D540" s="23"/>
      <c r="E540" s="24"/>
      <c r="F540" s="31" t="str">
        <f aca="false">IF(D540="","",SUBSTITUTE(SUBSTITUTE(SUBSTITUTE(SUBSTITUTE(SUBSTITUTE(SUBSTITUTE(SUBSTITUTE(SUBSTITUTE(SUBSTITUTE(SUBSTITUTE(SUBSTITUTE(SUBSTITUTE(SUBSTITUTE(UPPER(TRIM(D540)),"Á","A"),"À","A"),"Â","A"),"Ã","A"),"É","E"),"Ê","E"),"Í","I"),"Ó","O"),"Ô","O"),"Õ","O"),"Ú","U"),"Ü","U"),"Ç","C"))</f>
        <v/>
      </c>
      <c r="G540" s="31" t="str">
        <f aca="false">IF(E540="","",IF(LEN(SUBSTITUTE(SUBSTITUTE(SUBSTITUTE(SUBSTITUTE(TRIM(E540),"*",""),".",""),"-","")," ",""))=11,MID(SUBSTITUTE(SUBSTITUTE(SUBSTITUTE(SUBSTITUTE(TRIM(E540),"*",""),".",""),"-","")," ",""),4,6),SUBSTITUTE(SUBSTITUTE(SUBSTITUTE(SUBSTITUTE(TRIM(E540),"*",""),".",""),"-","")," ","")))</f>
        <v/>
      </c>
      <c r="H540" s="31" t="str">
        <f aca="false">IF(OR(F540="",G540=""),"",F540&amp;"|"&amp;G540)</f>
        <v/>
      </c>
      <c r="I540" s="23"/>
      <c r="J540" s="22"/>
      <c r="K540" s="22"/>
      <c r="L540" s="25" t="str">
        <f aca="false">IF(F540="","",IF(AND(H540&lt;&gt;"",COUNTIF(Pessoas!$E:$E,H540)&gt;0),"SIM",IF(COUNTIF(Pessoas!$C:$C,F540)&gt;0,"nome igual em Pessoas: confira o CPF","")))</f>
        <v/>
      </c>
      <c r="M540" s="24"/>
      <c r="N540" s="11"/>
    </row>
    <row r="541" customFormat="false" ht="15" hidden="false" customHeight="false" outlineLevel="0" collapsed="false">
      <c r="A541" s="24"/>
      <c r="B541" s="31" t="str">
        <f aca="false">IF(A541="","",IF(LEN(UPPER(SUBSTITUTE(SUBSTITUTE(SUBSTITUTE(SUBSTITUTE(TRIM(A541),".",""),"/",""),"-","")," ","")))&lt;14,RIGHT(REPT("0",14)&amp;UPPER(SUBSTITUTE(SUBSTITUTE(SUBSTITUTE(SUBSTITUTE(TRIM(A541),".",""),"/",""),"-","")," ","")),14),UPPER(SUBSTITUTE(SUBSTITUTE(SUBSTITUTE(SUBSTITUTE(TRIM(A541),".",""),"/",""),"-","")," ",""))))</f>
        <v/>
      </c>
      <c r="C541" s="25" t="str">
        <f aca="false">IF(B541="","",IFERROR(INDEX(Empresas!$C:$C,MATCH(B541,Empresas!$B:$B,0)),"cadastre o CNPJ em Empresas"))</f>
        <v/>
      </c>
      <c r="D541" s="23"/>
      <c r="E541" s="24"/>
      <c r="F541" s="31" t="str">
        <f aca="false">IF(D541="","",SUBSTITUTE(SUBSTITUTE(SUBSTITUTE(SUBSTITUTE(SUBSTITUTE(SUBSTITUTE(SUBSTITUTE(SUBSTITUTE(SUBSTITUTE(SUBSTITUTE(SUBSTITUTE(SUBSTITUTE(SUBSTITUTE(UPPER(TRIM(D541)),"Á","A"),"À","A"),"Â","A"),"Ã","A"),"É","E"),"Ê","E"),"Í","I"),"Ó","O"),"Ô","O"),"Õ","O"),"Ú","U"),"Ü","U"),"Ç","C"))</f>
        <v/>
      </c>
      <c r="G541" s="31" t="str">
        <f aca="false">IF(E541="","",IF(LEN(SUBSTITUTE(SUBSTITUTE(SUBSTITUTE(SUBSTITUTE(TRIM(E541),"*",""),".",""),"-","")," ",""))=11,MID(SUBSTITUTE(SUBSTITUTE(SUBSTITUTE(SUBSTITUTE(TRIM(E541),"*",""),".",""),"-","")," ",""),4,6),SUBSTITUTE(SUBSTITUTE(SUBSTITUTE(SUBSTITUTE(TRIM(E541),"*",""),".",""),"-","")," ","")))</f>
        <v/>
      </c>
      <c r="H541" s="31" t="str">
        <f aca="false">IF(OR(F541="",G541=""),"",F541&amp;"|"&amp;G541)</f>
        <v/>
      </c>
      <c r="I541" s="23"/>
      <c r="J541" s="22"/>
      <c r="K541" s="22"/>
      <c r="L541" s="25" t="str">
        <f aca="false">IF(F541="","",IF(AND(H541&lt;&gt;"",COUNTIF(Pessoas!$E:$E,H541)&gt;0),"SIM",IF(COUNTIF(Pessoas!$C:$C,F541)&gt;0,"nome igual em Pessoas: confira o CPF","")))</f>
        <v/>
      </c>
      <c r="M541" s="24"/>
      <c r="N541" s="11"/>
    </row>
    <row r="542" customFormat="false" ht="15" hidden="false" customHeight="false" outlineLevel="0" collapsed="false">
      <c r="A542" s="24"/>
      <c r="B542" s="31" t="str">
        <f aca="false">IF(A542="","",IF(LEN(UPPER(SUBSTITUTE(SUBSTITUTE(SUBSTITUTE(SUBSTITUTE(TRIM(A542),".",""),"/",""),"-","")," ","")))&lt;14,RIGHT(REPT("0",14)&amp;UPPER(SUBSTITUTE(SUBSTITUTE(SUBSTITUTE(SUBSTITUTE(TRIM(A542),".",""),"/",""),"-","")," ","")),14),UPPER(SUBSTITUTE(SUBSTITUTE(SUBSTITUTE(SUBSTITUTE(TRIM(A542),".",""),"/",""),"-","")," ",""))))</f>
        <v/>
      </c>
      <c r="C542" s="25" t="str">
        <f aca="false">IF(B542="","",IFERROR(INDEX(Empresas!$C:$C,MATCH(B542,Empresas!$B:$B,0)),"cadastre o CNPJ em Empresas"))</f>
        <v/>
      </c>
      <c r="D542" s="23"/>
      <c r="E542" s="24"/>
      <c r="F542" s="31" t="str">
        <f aca="false">IF(D542="","",SUBSTITUTE(SUBSTITUTE(SUBSTITUTE(SUBSTITUTE(SUBSTITUTE(SUBSTITUTE(SUBSTITUTE(SUBSTITUTE(SUBSTITUTE(SUBSTITUTE(SUBSTITUTE(SUBSTITUTE(SUBSTITUTE(UPPER(TRIM(D542)),"Á","A"),"À","A"),"Â","A"),"Ã","A"),"É","E"),"Ê","E"),"Í","I"),"Ó","O"),"Ô","O"),"Õ","O"),"Ú","U"),"Ü","U"),"Ç","C"))</f>
        <v/>
      </c>
      <c r="G542" s="31" t="str">
        <f aca="false">IF(E542="","",IF(LEN(SUBSTITUTE(SUBSTITUTE(SUBSTITUTE(SUBSTITUTE(TRIM(E542),"*",""),".",""),"-","")," ",""))=11,MID(SUBSTITUTE(SUBSTITUTE(SUBSTITUTE(SUBSTITUTE(TRIM(E542),"*",""),".",""),"-","")," ",""),4,6),SUBSTITUTE(SUBSTITUTE(SUBSTITUTE(SUBSTITUTE(TRIM(E542),"*",""),".",""),"-","")," ","")))</f>
        <v/>
      </c>
      <c r="H542" s="31" t="str">
        <f aca="false">IF(OR(F542="",G542=""),"",F542&amp;"|"&amp;G542)</f>
        <v/>
      </c>
      <c r="I542" s="23"/>
      <c r="J542" s="22"/>
      <c r="K542" s="22"/>
      <c r="L542" s="25" t="str">
        <f aca="false">IF(F542="","",IF(AND(H542&lt;&gt;"",COUNTIF(Pessoas!$E:$E,H542)&gt;0),"SIM",IF(COUNTIF(Pessoas!$C:$C,F542)&gt;0,"nome igual em Pessoas: confira o CPF","")))</f>
        <v/>
      </c>
      <c r="M542" s="24"/>
      <c r="N542" s="11"/>
    </row>
    <row r="543" customFormat="false" ht="15" hidden="false" customHeight="false" outlineLevel="0" collapsed="false">
      <c r="A543" s="24"/>
      <c r="B543" s="31" t="str">
        <f aca="false">IF(A543="","",IF(LEN(UPPER(SUBSTITUTE(SUBSTITUTE(SUBSTITUTE(SUBSTITUTE(TRIM(A543),".",""),"/",""),"-","")," ","")))&lt;14,RIGHT(REPT("0",14)&amp;UPPER(SUBSTITUTE(SUBSTITUTE(SUBSTITUTE(SUBSTITUTE(TRIM(A543),".",""),"/",""),"-","")," ","")),14),UPPER(SUBSTITUTE(SUBSTITUTE(SUBSTITUTE(SUBSTITUTE(TRIM(A543),".",""),"/",""),"-","")," ",""))))</f>
        <v/>
      </c>
      <c r="C543" s="25" t="str">
        <f aca="false">IF(B543="","",IFERROR(INDEX(Empresas!$C:$C,MATCH(B543,Empresas!$B:$B,0)),"cadastre o CNPJ em Empresas"))</f>
        <v/>
      </c>
      <c r="D543" s="23"/>
      <c r="E543" s="24"/>
      <c r="F543" s="31" t="str">
        <f aca="false">IF(D543="","",SUBSTITUTE(SUBSTITUTE(SUBSTITUTE(SUBSTITUTE(SUBSTITUTE(SUBSTITUTE(SUBSTITUTE(SUBSTITUTE(SUBSTITUTE(SUBSTITUTE(SUBSTITUTE(SUBSTITUTE(SUBSTITUTE(UPPER(TRIM(D543)),"Á","A"),"À","A"),"Â","A"),"Ã","A"),"É","E"),"Ê","E"),"Í","I"),"Ó","O"),"Ô","O"),"Õ","O"),"Ú","U"),"Ü","U"),"Ç","C"))</f>
        <v/>
      </c>
      <c r="G543" s="31" t="str">
        <f aca="false">IF(E543="","",IF(LEN(SUBSTITUTE(SUBSTITUTE(SUBSTITUTE(SUBSTITUTE(TRIM(E543),"*",""),".",""),"-","")," ",""))=11,MID(SUBSTITUTE(SUBSTITUTE(SUBSTITUTE(SUBSTITUTE(TRIM(E543),"*",""),".",""),"-","")," ",""),4,6),SUBSTITUTE(SUBSTITUTE(SUBSTITUTE(SUBSTITUTE(TRIM(E543),"*",""),".",""),"-","")," ","")))</f>
        <v/>
      </c>
      <c r="H543" s="31" t="str">
        <f aca="false">IF(OR(F543="",G543=""),"",F543&amp;"|"&amp;G543)</f>
        <v/>
      </c>
      <c r="I543" s="23"/>
      <c r="J543" s="22"/>
      <c r="K543" s="22"/>
      <c r="L543" s="25" t="str">
        <f aca="false">IF(F543="","",IF(AND(H543&lt;&gt;"",COUNTIF(Pessoas!$E:$E,H543)&gt;0),"SIM",IF(COUNTIF(Pessoas!$C:$C,F543)&gt;0,"nome igual em Pessoas: confira o CPF","")))</f>
        <v/>
      </c>
      <c r="M543" s="24"/>
      <c r="N543" s="11"/>
    </row>
    <row r="544" customFormat="false" ht="15" hidden="false" customHeight="false" outlineLevel="0" collapsed="false">
      <c r="A544" s="24"/>
      <c r="B544" s="31" t="str">
        <f aca="false">IF(A544="","",IF(LEN(UPPER(SUBSTITUTE(SUBSTITUTE(SUBSTITUTE(SUBSTITUTE(TRIM(A544),".",""),"/",""),"-","")," ","")))&lt;14,RIGHT(REPT("0",14)&amp;UPPER(SUBSTITUTE(SUBSTITUTE(SUBSTITUTE(SUBSTITUTE(TRIM(A544),".",""),"/",""),"-","")," ","")),14),UPPER(SUBSTITUTE(SUBSTITUTE(SUBSTITUTE(SUBSTITUTE(TRIM(A544),".",""),"/",""),"-","")," ",""))))</f>
        <v/>
      </c>
      <c r="C544" s="25" t="str">
        <f aca="false">IF(B544="","",IFERROR(INDEX(Empresas!$C:$C,MATCH(B544,Empresas!$B:$B,0)),"cadastre o CNPJ em Empresas"))</f>
        <v/>
      </c>
      <c r="D544" s="23"/>
      <c r="E544" s="24"/>
      <c r="F544" s="31" t="str">
        <f aca="false">IF(D544="","",SUBSTITUTE(SUBSTITUTE(SUBSTITUTE(SUBSTITUTE(SUBSTITUTE(SUBSTITUTE(SUBSTITUTE(SUBSTITUTE(SUBSTITUTE(SUBSTITUTE(SUBSTITUTE(SUBSTITUTE(SUBSTITUTE(UPPER(TRIM(D544)),"Á","A"),"À","A"),"Â","A"),"Ã","A"),"É","E"),"Ê","E"),"Í","I"),"Ó","O"),"Ô","O"),"Õ","O"),"Ú","U"),"Ü","U"),"Ç","C"))</f>
        <v/>
      </c>
      <c r="G544" s="31" t="str">
        <f aca="false">IF(E544="","",IF(LEN(SUBSTITUTE(SUBSTITUTE(SUBSTITUTE(SUBSTITUTE(TRIM(E544),"*",""),".",""),"-","")," ",""))=11,MID(SUBSTITUTE(SUBSTITUTE(SUBSTITUTE(SUBSTITUTE(TRIM(E544),"*",""),".",""),"-","")," ",""),4,6),SUBSTITUTE(SUBSTITUTE(SUBSTITUTE(SUBSTITUTE(TRIM(E544),"*",""),".",""),"-","")," ","")))</f>
        <v/>
      </c>
      <c r="H544" s="31" t="str">
        <f aca="false">IF(OR(F544="",G544=""),"",F544&amp;"|"&amp;G544)</f>
        <v/>
      </c>
      <c r="I544" s="23"/>
      <c r="J544" s="22"/>
      <c r="K544" s="22"/>
      <c r="L544" s="25" t="str">
        <f aca="false">IF(F544="","",IF(AND(H544&lt;&gt;"",COUNTIF(Pessoas!$E:$E,H544)&gt;0),"SIM",IF(COUNTIF(Pessoas!$C:$C,F544)&gt;0,"nome igual em Pessoas: confira o CPF","")))</f>
        <v/>
      </c>
      <c r="M544" s="24"/>
      <c r="N544" s="11"/>
    </row>
    <row r="545" customFormat="false" ht="15" hidden="false" customHeight="false" outlineLevel="0" collapsed="false">
      <c r="A545" s="24"/>
      <c r="B545" s="31" t="str">
        <f aca="false">IF(A545="","",IF(LEN(UPPER(SUBSTITUTE(SUBSTITUTE(SUBSTITUTE(SUBSTITUTE(TRIM(A545),".",""),"/",""),"-","")," ","")))&lt;14,RIGHT(REPT("0",14)&amp;UPPER(SUBSTITUTE(SUBSTITUTE(SUBSTITUTE(SUBSTITUTE(TRIM(A545),".",""),"/",""),"-","")," ","")),14),UPPER(SUBSTITUTE(SUBSTITUTE(SUBSTITUTE(SUBSTITUTE(TRIM(A545),".",""),"/",""),"-","")," ",""))))</f>
        <v/>
      </c>
      <c r="C545" s="25" t="str">
        <f aca="false">IF(B545="","",IFERROR(INDEX(Empresas!$C:$C,MATCH(B545,Empresas!$B:$B,0)),"cadastre o CNPJ em Empresas"))</f>
        <v/>
      </c>
      <c r="D545" s="23"/>
      <c r="E545" s="24"/>
      <c r="F545" s="31" t="str">
        <f aca="false">IF(D545="","",SUBSTITUTE(SUBSTITUTE(SUBSTITUTE(SUBSTITUTE(SUBSTITUTE(SUBSTITUTE(SUBSTITUTE(SUBSTITUTE(SUBSTITUTE(SUBSTITUTE(SUBSTITUTE(SUBSTITUTE(SUBSTITUTE(UPPER(TRIM(D545)),"Á","A"),"À","A"),"Â","A"),"Ã","A"),"É","E"),"Ê","E"),"Í","I"),"Ó","O"),"Ô","O"),"Õ","O"),"Ú","U"),"Ü","U"),"Ç","C"))</f>
        <v/>
      </c>
      <c r="G545" s="31" t="str">
        <f aca="false">IF(E545="","",IF(LEN(SUBSTITUTE(SUBSTITUTE(SUBSTITUTE(SUBSTITUTE(TRIM(E545),"*",""),".",""),"-","")," ",""))=11,MID(SUBSTITUTE(SUBSTITUTE(SUBSTITUTE(SUBSTITUTE(TRIM(E545),"*",""),".",""),"-","")," ",""),4,6),SUBSTITUTE(SUBSTITUTE(SUBSTITUTE(SUBSTITUTE(TRIM(E545),"*",""),".",""),"-","")," ","")))</f>
        <v/>
      </c>
      <c r="H545" s="31" t="str">
        <f aca="false">IF(OR(F545="",G545=""),"",F545&amp;"|"&amp;G545)</f>
        <v/>
      </c>
      <c r="I545" s="23"/>
      <c r="J545" s="22"/>
      <c r="K545" s="22"/>
      <c r="L545" s="25" t="str">
        <f aca="false">IF(F545="","",IF(AND(H545&lt;&gt;"",COUNTIF(Pessoas!$E:$E,H545)&gt;0),"SIM",IF(COUNTIF(Pessoas!$C:$C,F545)&gt;0,"nome igual em Pessoas: confira o CPF","")))</f>
        <v/>
      </c>
      <c r="M545" s="24"/>
      <c r="N545" s="11"/>
    </row>
    <row r="546" customFormat="false" ht="15" hidden="false" customHeight="false" outlineLevel="0" collapsed="false">
      <c r="A546" s="24"/>
      <c r="B546" s="31" t="str">
        <f aca="false">IF(A546="","",IF(LEN(UPPER(SUBSTITUTE(SUBSTITUTE(SUBSTITUTE(SUBSTITUTE(TRIM(A546),".",""),"/",""),"-","")," ","")))&lt;14,RIGHT(REPT("0",14)&amp;UPPER(SUBSTITUTE(SUBSTITUTE(SUBSTITUTE(SUBSTITUTE(TRIM(A546),".",""),"/",""),"-","")," ","")),14),UPPER(SUBSTITUTE(SUBSTITUTE(SUBSTITUTE(SUBSTITUTE(TRIM(A546),".",""),"/",""),"-","")," ",""))))</f>
        <v/>
      </c>
      <c r="C546" s="25" t="str">
        <f aca="false">IF(B546="","",IFERROR(INDEX(Empresas!$C:$C,MATCH(B546,Empresas!$B:$B,0)),"cadastre o CNPJ em Empresas"))</f>
        <v/>
      </c>
      <c r="D546" s="23"/>
      <c r="E546" s="24"/>
      <c r="F546" s="31" t="str">
        <f aca="false">IF(D546="","",SUBSTITUTE(SUBSTITUTE(SUBSTITUTE(SUBSTITUTE(SUBSTITUTE(SUBSTITUTE(SUBSTITUTE(SUBSTITUTE(SUBSTITUTE(SUBSTITUTE(SUBSTITUTE(SUBSTITUTE(SUBSTITUTE(UPPER(TRIM(D546)),"Á","A"),"À","A"),"Â","A"),"Ã","A"),"É","E"),"Ê","E"),"Í","I"),"Ó","O"),"Ô","O"),"Õ","O"),"Ú","U"),"Ü","U"),"Ç","C"))</f>
        <v/>
      </c>
      <c r="G546" s="31" t="str">
        <f aca="false">IF(E546="","",IF(LEN(SUBSTITUTE(SUBSTITUTE(SUBSTITUTE(SUBSTITUTE(TRIM(E546),"*",""),".",""),"-","")," ",""))=11,MID(SUBSTITUTE(SUBSTITUTE(SUBSTITUTE(SUBSTITUTE(TRIM(E546),"*",""),".",""),"-","")," ",""),4,6),SUBSTITUTE(SUBSTITUTE(SUBSTITUTE(SUBSTITUTE(TRIM(E546),"*",""),".",""),"-","")," ","")))</f>
        <v/>
      </c>
      <c r="H546" s="31" t="str">
        <f aca="false">IF(OR(F546="",G546=""),"",F546&amp;"|"&amp;G546)</f>
        <v/>
      </c>
      <c r="I546" s="23"/>
      <c r="J546" s="22"/>
      <c r="K546" s="22"/>
      <c r="L546" s="25" t="str">
        <f aca="false">IF(F546="","",IF(AND(H546&lt;&gt;"",COUNTIF(Pessoas!$E:$E,H546)&gt;0),"SIM",IF(COUNTIF(Pessoas!$C:$C,F546)&gt;0,"nome igual em Pessoas: confira o CPF","")))</f>
        <v/>
      </c>
      <c r="M546" s="24"/>
      <c r="N546" s="11"/>
    </row>
    <row r="547" customFormat="false" ht="15" hidden="false" customHeight="false" outlineLevel="0" collapsed="false">
      <c r="A547" s="24"/>
      <c r="B547" s="31" t="str">
        <f aca="false">IF(A547="","",IF(LEN(UPPER(SUBSTITUTE(SUBSTITUTE(SUBSTITUTE(SUBSTITUTE(TRIM(A547),".",""),"/",""),"-","")," ","")))&lt;14,RIGHT(REPT("0",14)&amp;UPPER(SUBSTITUTE(SUBSTITUTE(SUBSTITUTE(SUBSTITUTE(TRIM(A547),".",""),"/",""),"-","")," ","")),14),UPPER(SUBSTITUTE(SUBSTITUTE(SUBSTITUTE(SUBSTITUTE(TRIM(A547),".",""),"/",""),"-","")," ",""))))</f>
        <v/>
      </c>
      <c r="C547" s="25" t="str">
        <f aca="false">IF(B547="","",IFERROR(INDEX(Empresas!$C:$C,MATCH(B547,Empresas!$B:$B,0)),"cadastre o CNPJ em Empresas"))</f>
        <v/>
      </c>
      <c r="D547" s="23"/>
      <c r="E547" s="24"/>
      <c r="F547" s="31" t="str">
        <f aca="false">IF(D547="","",SUBSTITUTE(SUBSTITUTE(SUBSTITUTE(SUBSTITUTE(SUBSTITUTE(SUBSTITUTE(SUBSTITUTE(SUBSTITUTE(SUBSTITUTE(SUBSTITUTE(SUBSTITUTE(SUBSTITUTE(SUBSTITUTE(UPPER(TRIM(D547)),"Á","A"),"À","A"),"Â","A"),"Ã","A"),"É","E"),"Ê","E"),"Í","I"),"Ó","O"),"Ô","O"),"Õ","O"),"Ú","U"),"Ü","U"),"Ç","C"))</f>
        <v/>
      </c>
      <c r="G547" s="31" t="str">
        <f aca="false">IF(E547="","",IF(LEN(SUBSTITUTE(SUBSTITUTE(SUBSTITUTE(SUBSTITUTE(TRIM(E547),"*",""),".",""),"-","")," ",""))=11,MID(SUBSTITUTE(SUBSTITUTE(SUBSTITUTE(SUBSTITUTE(TRIM(E547),"*",""),".",""),"-","")," ",""),4,6),SUBSTITUTE(SUBSTITUTE(SUBSTITUTE(SUBSTITUTE(TRIM(E547),"*",""),".",""),"-","")," ","")))</f>
        <v/>
      </c>
      <c r="H547" s="31" t="str">
        <f aca="false">IF(OR(F547="",G547=""),"",F547&amp;"|"&amp;G547)</f>
        <v/>
      </c>
      <c r="I547" s="23"/>
      <c r="J547" s="22"/>
      <c r="K547" s="22"/>
      <c r="L547" s="25" t="str">
        <f aca="false">IF(F547="","",IF(AND(H547&lt;&gt;"",COUNTIF(Pessoas!$E:$E,H547)&gt;0),"SIM",IF(COUNTIF(Pessoas!$C:$C,F547)&gt;0,"nome igual em Pessoas: confira o CPF","")))</f>
        <v/>
      </c>
      <c r="M547" s="24"/>
      <c r="N547" s="11"/>
    </row>
    <row r="548" customFormat="false" ht="15" hidden="false" customHeight="false" outlineLevel="0" collapsed="false">
      <c r="A548" s="24"/>
      <c r="B548" s="31" t="str">
        <f aca="false">IF(A548="","",IF(LEN(UPPER(SUBSTITUTE(SUBSTITUTE(SUBSTITUTE(SUBSTITUTE(TRIM(A548),".",""),"/",""),"-","")," ","")))&lt;14,RIGHT(REPT("0",14)&amp;UPPER(SUBSTITUTE(SUBSTITUTE(SUBSTITUTE(SUBSTITUTE(TRIM(A548),".",""),"/",""),"-","")," ","")),14),UPPER(SUBSTITUTE(SUBSTITUTE(SUBSTITUTE(SUBSTITUTE(TRIM(A548),".",""),"/",""),"-","")," ",""))))</f>
        <v/>
      </c>
      <c r="C548" s="25" t="str">
        <f aca="false">IF(B548="","",IFERROR(INDEX(Empresas!$C:$C,MATCH(B548,Empresas!$B:$B,0)),"cadastre o CNPJ em Empresas"))</f>
        <v/>
      </c>
      <c r="D548" s="23"/>
      <c r="E548" s="24"/>
      <c r="F548" s="31" t="str">
        <f aca="false">IF(D548="","",SUBSTITUTE(SUBSTITUTE(SUBSTITUTE(SUBSTITUTE(SUBSTITUTE(SUBSTITUTE(SUBSTITUTE(SUBSTITUTE(SUBSTITUTE(SUBSTITUTE(SUBSTITUTE(SUBSTITUTE(SUBSTITUTE(UPPER(TRIM(D548)),"Á","A"),"À","A"),"Â","A"),"Ã","A"),"É","E"),"Ê","E"),"Í","I"),"Ó","O"),"Ô","O"),"Õ","O"),"Ú","U"),"Ü","U"),"Ç","C"))</f>
        <v/>
      </c>
      <c r="G548" s="31" t="str">
        <f aca="false">IF(E548="","",IF(LEN(SUBSTITUTE(SUBSTITUTE(SUBSTITUTE(SUBSTITUTE(TRIM(E548),"*",""),".",""),"-","")," ",""))=11,MID(SUBSTITUTE(SUBSTITUTE(SUBSTITUTE(SUBSTITUTE(TRIM(E548),"*",""),".",""),"-","")," ",""),4,6),SUBSTITUTE(SUBSTITUTE(SUBSTITUTE(SUBSTITUTE(TRIM(E548),"*",""),".",""),"-","")," ","")))</f>
        <v/>
      </c>
      <c r="H548" s="31" t="str">
        <f aca="false">IF(OR(F548="",G548=""),"",F548&amp;"|"&amp;G548)</f>
        <v/>
      </c>
      <c r="I548" s="23"/>
      <c r="J548" s="22"/>
      <c r="K548" s="22"/>
      <c r="L548" s="25" t="str">
        <f aca="false">IF(F548="","",IF(AND(H548&lt;&gt;"",COUNTIF(Pessoas!$E:$E,H548)&gt;0),"SIM",IF(COUNTIF(Pessoas!$C:$C,F548)&gt;0,"nome igual em Pessoas: confira o CPF","")))</f>
        <v/>
      </c>
      <c r="M548" s="24"/>
      <c r="N548" s="11"/>
    </row>
    <row r="549" customFormat="false" ht="15" hidden="false" customHeight="false" outlineLevel="0" collapsed="false">
      <c r="A549" s="24"/>
      <c r="B549" s="31" t="str">
        <f aca="false">IF(A549="","",IF(LEN(UPPER(SUBSTITUTE(SUBSTITUTE(SUBSTITUTE(SUBSTITUTE(TRIM(A549),".",""),"/",""),"-","")," ","")))&lt;14,RIGHT(REPT("0",14)&amp;UPPER(SUBSTITUTE(SUBSTITUTE(SUBSTITUTE(SUBSTITUTE(TRIM(A549),".",""),"/",""),"-","")," ","")),14),UPPER(SUBSTITUTE(SUBSTITUTE(SUBSTITUTE(SUBSTITUTE(TRIM(A549),".",""),"/",""),"-","")," ",""))))</f>
        <v/>
      </c>
      <c r="C549" s="25" t="str">
        <f aca="false">IF(B549="","",IFERROR(INDEX(Empresas!$C:$C,MATCH(B549,Empresas!$B:$B,0)),"cadastre o CNPJ em Empresas"))</f>
        <v/>
      </c>
      <c r="D549" s="23"/>
      <c r="E549" s="24"/>
      <c r="F549" s="31" t="str">
        <f aca="false">IF(D549="","",SUBSTITUTE(SUBSTITUTE(SUBSTITUTE(SUBSTITUTE(SUBSTITUTE(SUBSTITUTE(SUBSTITUTE(SUBSTITUTE(SUBSTITUTE(SUBSTITUTE(SUBSTITUTE(SUBSTITUTE(SUBSTITUTE(UPPER(TRIM(D549)),"Á","A"),"À","A"),"Â","A"),"Ã","A"),"É","E"),"Ê","E"),"Í","I"),"Ó","O"),"Ô","O"),"Õ","O"),"Ú","U"),"Ü","U"),"Ç","C"))</f>
        <v/>
      </c>
      <c r="G549" s="31" t="str">
        <f aca="false">IF(E549="","",IF(LEN(SUBSTITUTE(SUBSTITUTE(SUBSTITUTE(SUBSTITUTE(TRIM(E549),"*",""),".",""),"-","")," ",""))=11,MID(SUBSTITUTE(SUBSTITUTE(SUBSTITUTE(SUBSTITUTE(TRIM(E549),"*",""),".",""),"-","")," ",""),4,6),SUBSTITUTE(SUBSTITUTE(SUBSTITUTE(SUBSTITUTE(TRIM(E549),"*",""),".",""),"-","")," ","")))</f>
        <v/>
      </c>
      <c r="H549" s="31" t="str">
        <f aca="false">IF(OR(F549="",G549=""),"",F549&amp;"|"&amp;G549)</f>
        <v/>
      </c>
      <c r="I549" s="23"/>
      <c r="J549" s="22"/>
      <c r="K549" s="22"/>
      <c r="L549" s="25" t="str">
        <f aca="false">IF(F549="","",IF(AND(H549&lt;&gt;"",COUNTIF(Pessoas!$E:$E,H549)&gt;0),"SIM",IF(COUNTIF(Pessoas!$C:$C,F549)&gt;0,"nome igual em Pessoas: confira o CPF","")))</f>
        <v/>
      </c>
      <c r="M549" s="24"/>
      <c r="N549" s="11"/>
    </row>
    <row r="550" customFormat="false" ht="15" hidden="false" customHeight="false" outlineLevel="0" collapsed="false">
      <c r="A550" s="24"/>
      <c r="B550" s="31" t="str">
        <f aca="false">IF(A550="","",IF(LEN(UPPER(SUBSTITUTE(SUBSTITUTE(SUBSTITUTE(SUBSTITUTE(TRIM(A550),".",""),"/",""),"-","")," ","")))&lt;14,RIGHT(REPT("0",14)&amp;UPPER(SUBSTITUTE(SUBSTITUTE(SUBSTITUTE(SUBSTITUTE(TRIM(A550),".",""),"/",""),"-","")," ","")),14),UPPER(SUBSTITUTE(SUBSTITUTE(SUBSTITUTE(SUBSTITUTE(TRIM(A550),".",""),"/",""),"-","")," ",""))))</f>
        <v/>
      </c>
      <c r="C550" s="25" t="str">
        <f aca="false">IF(B550="","",IFERROR(INDEX(Empresas!$C:$C,MATCH(B550,Empresas!$B:$B,0)),"cadastre o CNPJ em Empresas"))</f>
        <v/>
      </c>
      <c r="D550" s="23"/>
      <c r="E550" s="24"/>
      <c r="F550" s="31" t="str">
        <f aca="false">IF(D550="","",SUBSTITUTE(SUBSTITUTE(SUBSTITUTE(SUBSTITUTE(SUBSTITUTE(SUBSTITUTE(SUBSTITUTE(SUBSTITUTE(SUBSTITUTE(SUBSTITUTE(SUBSTITUTE(SUBSTITUTE(SUBSTITUTE(UPPER(TRIM(D550)),"Á","A"),"À","A"),"Â","A"),"Ã","A"),"É","E"),"Ê","E"),"Í","I"),"Ó","O"),"Ô","O"),"Õ","O"),"Ú","U"),"Ü","U"),"Ç","C"))</f>
        <v/>
      </c>
      <c r="G550" s="31" t="str">
        <f aca="false">IF(E550="","",IF(LEN(SUBSTITUTE(SUBSTITUTE(SUBSTITUTE(SUBSTITUTE(TRIM(E550),"*",""),".",""),"-","")," ",""))=11,MID(SUBSTITUTE(SUBSTITUTE(SUBSTITUTE(SUBSTITUTE(TRIM(E550),"*",""),".",""),"-","")," ",""),4,6),SUBSTITUTE(SUBSTITUTE(SUBSTITUTE(SUBSTITUTE(TRIM(E550),"*",""),".",""),"-","")," ","")))</f>
        <v/>
      </c>
      <c r="H550" s="31" t="str">
        <f aca="false">IF(OR(F550="",G550=""),"",F550&amp;"|"&amp;G550)</f>
        <v/>
      </c>
      <c r="I550" s="23"/>
      <c r="J550" s="22"/>
      <c r="K550" s="22"/>
      <c r="L550" s="25" t="str">
        <f aca="false">IF(F550="","",IF(AND(H550&lt;&gt;"",COUNTIF(Pessoas!$E:$E,H550)&gt;0),"SIM",IF(COUNTIF(Pessoas!$C:$C,F550)&gt;0,"nome igual em Pessoas: confira o CPF","")))</f>
        <v/>
      </c>
      <c r="M550" s="24"/>
      <c r="N550" s="11"/>
    </row>
    <row r="551" customFormat="false" ht="15" hidden="false" customHeight="false" outlineLevel="0" collapsed="false">
      <c r="A551" s="24"/>
      <c r="B551" s="31" t="str">
        <f aca="false">IF(A551="","",IF(LEN(UPPER(SUBSTITUTE(SUBSTITUTE(SUBSTITUTE(SUBSTITUTE(TRIM(A551),".",""),"/",""),"-","")," ","")))&lt;14,RIGHT(REPT("0",14)&amp;UPPER(SUBSTITUTE(SUBSTITUTE(SUBSTITUTE(SUBSTITUTE(TRIM(A551),".",""),"/",""),"-","")," ","")),14),UPPER(SUBSTITUTE(SUBSTITUTE(SUBSTITUTE(SUBSTITUTE(TRIM(A551),".",""),"/",""),"-","")," ",""))))</f>
        <v/>
      </c>
      <c r="C551" s="25" t="str">
        <f aca="false">IF(B551="","",IFERROR(INDEX(Empresas!$C:$C,MATCH(B551,Empresas!$B:$B,0)),"cadastre o CNPJ em Empresas"))</f>
        <v/>
      </c>
      <c r="D551" s="23"/>
      <c r="E551" s="24"/>
      <c r="F551" s="31" t="str">
        <f aca="false">IF(D551="","",SUBSTITUTE(SUBSTITUTE(SUBSTITUTE(SUBSTITUTE(SUBSTITUTE(SUBSTITUTE(SUBSTITUTE(SUBSTITUTE(SUBSTITUTE(SUBSTITUTE(SUBSTITUTE(SUBSTITUTE(SUBSTITUTE(UPPER(TRIM(D551)),"Á","A"),"À","A"),"Â","A"),"Ã","A"),"É","E"),"Ê","E"),"Í","I"),"Ó","O"),"Ô","O"),"Õ","O"),"Ú","U"),"Ü","U"),"Ç","C"))</f>
        <v/>
      </c>
      <c r="G551" s="31" t="str">
        <f aca="false">IF(E551="","",IF(LEN(SUBSTITUTE(SUBSTITUTE(SUBSTITUTE(SUBSTITUTE(TRIM(E551),"*",""),".",""),"-","")," ",""))=11,MID(SUBSTITUTE(SUBSTITUTE(SUBSTITUTE(SUBSTITUTE(TRIM(E551),"*",""),".",""),"-","")," ",""),4,6),SUBSTITUTE(SUBSTITUTE(SUBSTITUTE(SUBSTITUTE(TRIM(E551),"*",""),".",""),"-","")," ","")))</f>
        <v/>
      </c>
      <c r="H551" s="31" t="str">
        <f aca="false">IF(OR(F551="",G551=""),"",F551&amp;"|"&amp;G551)</f>
        <v/>
      </c>
      <c r="I551" s="23"/>
      <c r="J551" s="22"/>
      <c r="K551" s="22"/>
      <c r="L551" s="25" t="str">
        <f aca="false">IF(F551="","",IF(AND(H551&lt;&gt;"",COUNTIF(Pessoas!$E:$E,H551)&gt;0),"SIM",IF(COUNTIF(Pessoas!$C:$C,F551)&gt;0,"nome igual em Pessoas: confira o CPF","")))</f>
        <v/>
      </c>
      <c r="M551" s="24"/>
      <c r="N551" s="11"/>
    </row>
    <row r="552" customFormat="false" ht="15" hidden="false" customHeight="false" outlineLevel="0" collapsed="false">
      <c r="A552" s="24"/>
      <c r="B552" s="31" t="str">
        <f aca="false">IF(A552="","",IF(LEN(UPPER(SUBSTITUTE(SUBSTITUTE(SUBSTITUTE(SUBSTITUTE(TRIM(A552),".",""),"/",""),"-","")," ","")))&lt;14,RIGHT(REPT("0",14)&amp;UPPER(SUBSTITUTE(SUBSTITUTE(SUBSTITUTE(SUBSTITUTE(TRIM(A552),".",""),"/",""),"-","")," ","")),14),UPPER(SUBSTITUTE(SUBSTITUTE(SUBSTITUTE(SUBSTITUTE(TRIM(A552),".",""),"/",""),"-","")," ",""))))</f>
        <v/>
      </c>
      <c r="C552" s="25" t="str">
        <f aca="false">IF(B552="","",IFERROR(INDEX(Empresas!$C:$C,MATCH(B552,Empresas!$B:$B,0)),"cadastre o CNPJ em Empresas"))</f>
        <v/>
      </c>
      <c r="D552" s="23"/>
      <c r="E552" s="24"/>
      <c r="F552" s="31" t="str">
        <f aca="false">IF(D552="","",SUBSTITUTE(SUBSTITUTE(SUBSTITUTE(SUBSTITUTE(SUBSTITUTE(SUBSTITUTE(SUBSTITUTE(SUBSTITUTE(SUBSTITUTE(SUBSTITUTE(SUBSTITUTE(SUBSTITUTE(SUBSTITUTE(UPPER(TRIM(D552)),"Á","A"),"À","A"),"Â","A"),"Ã","A"),"É","E"),"Ê","E"),"Í","I"),"Ó","O"),"Ô","O"),"Õ","O"),"Ú","U"),"Ü","U"),"Ç","C"))</f>
        <v/>
      </c>
      <c r="G552" s="31" t="str">
        <f aca="false">IF(E552="","",IF(LEN(SUBSTITUTE(SUBSTITUTE(SUBSTITUTE(SUBSTITUTE(TRIM(E552),"*",""),".",""),"-","")," ",""))=11,MID(SUBSTITUTE(SUBSTITUTE(SUBSTITUTE(SUBSTITUTE(TRIM(E552),"*",""),".",""),"-","")," ",""),4,6),SUBSTITUTE(SUBSTITUTE(SUBSTITUTE(SUBSTITUTE(TRIM(E552),"*",""),".",""),"-","")," ","")))</f>
        <v/>
      </c>
      <c r="H552" s="31" t="str">
        <f aca="false">IF(OR(F552="",G552=""),"",F552&amp;"|"&amp;G552)</f>
        <v/>
      </c>
      <c r="I552" s="23"/>
      <c r="J552" s="22"/>
      <c r="K552" s="22"/>
      <c r="L552" s="25" t="str">
        <f aca="false">IF(F552="","",IF(AND(H552&lt;&gt;"",COUNTIF(Pessoas!$E:$E,H552)&gt;0),"SIM",IF(COUNTIF(Pessoas!$C:$C,F552)&gt;0,"nome igual em Pessoas: confira o CPF","")))</f>
        <v/>
      </c>
      <c r="M552" s="24"/>
      <c r="N552" s="11"/>
    </row>
    <row r="553" customFormat="false" ht="15" hidden="false" customHeight="false" outlineLevel="0" collapsed="false">
      <c r="A553" s="24"/>
      <c r="B553" s="31" t="str">
        <f aca="false">IF(A553="","",IF(LEN(UPPER(SUBSTITUTE(SUBSTITUTE(SUBSTITUTE(SUBSTITUTE(TRIM(A553),".",""),"/",""),"-","")," ","")))&lt;14,RIGHT(REPT("0",14)&amp;UPPER(SUBSTITUTE(SUBSTITUTE(SUBSTITUTE(SUBSTITUTE(TRIM(A553),".",""),"/",""),"-","")," ","")),14),UPPER(SUBSTITUTE(SUBSTITUTE(SUBSTITUTE(SUBSTITUTE(TRIM(A553),".",""),"/",""),"-","")," ",""))))</f>
        <v/>
      </c>
      <c r="C553" s="25" t="str">
        <f aca="false">IF(B553="","",IFERROR(INDEX(Empresas!$C:$C,MATCH(B553,Empresas!$B:$B,0)),"cadastre o CNPJ em Empresas"))</f>
        <v/>
      </c>
      <c r="D553" s="23"/>
      <c r="E553" s="24"/>
      <c r="F553" s="31" t="str">
        <f aca="false">IF(D553="","",SUBSTITUTE(SUBSTITUTE(SUBSTITUTE(SUBSTITUTE(SUBSTITUTE(SUBSTITUTE(SUBSTITUTE(SUBSTITUTE(SUBSTITUTE(SUBSTITUTE(SUBSTITUTE(SUBSTITUTE(SUBSTITUTE(UPPER(TRIM(D553)),"Á","A"),"À","A"),"Â","A"),"Ã","A"),"É","E"),"Ê","E"),"Í","I"),"Ó","O"),"Ô","O"),"Õ","O"),"Ú","U"),"Ü","U"),"Ç","C"))</f>
        <v/>
      </c>
      <c r="G553" s="31" t="str">
        <f aca="false">IF(E553="","",IF(LEN(SUBSTITUTE(SUBSTITUTE(SUBSTITUTE(SUBSTITUTE(TRIM(E553),"*",""),".",""),"-","")," ",""))=11,MID(SUBSTITUTE(SUBSTITUTE(SUBSTITUTE(SUBSTITUTE(TRIM(E553),"*",""),".",""),"-","")," ",""),4,6),SUBSTITUTE(SUBSTITUTE(SUBSTITUTE(SUBSTITUTE(TRIM(E553),"*",""),".",""),"-","")," ","")))</f>
        <v/>
      </c>
      <c r="H553" s="31" t="str">
        <f aca="false">IF(OR(F553="",G553=""),"",F553&amp;"|"&amp;G553)</f>
        <v/>
      </c>
      <c r="I553" s="23"/>
      <c r="J553" s="22"/>
      <c r="K553" s="22"/>
      <c r="L553" s="25" t="str">
        <f aca="false">IF(F553="","",IF(AND(H553&lt;&gt;"",COUNTIF(Pessoas!$E:$E,H553)&gt;0),"SIM",IF(COUNTIF(Pessoas!$C:$C,F553)&gt;0,"nome igual em Pessoas: confira o CPF","")))</f>
        <v/>
      </c>
      <c r="M553" s="24"/>
      <c r="N553" s="11"/>
    </row>
    <row r="554" customFormat="false" ht="15" hidden="false" customHeight="false" outlineLevel="0" collapsed="false">
      <c r="A554" s="24"/>
      <c r="B554" s="31" t="str">
        <f aca="false">IF(A554="","",IF(LEN(UPPER(SUBSTITUTE(SUBSTITUTE(SUBSTITUTE(SUBSTITUTE(TRIM(A554),".",""),"/",""),"-","")," ","")))&lt;14,RIGHT(REPT("0",14)&amp;UPPER(SUBSTITUTE(SUBSTITUTE(SUBSTITUTE(SUBSTITUTE(TRIM(A554),".",""),"/",""),"-","")," ","")),14),UPPER(SUBSTITUTE(SUBSTITUTE(SUBSTITUTE(SUBSTITUTE(TRIM(A554),".",""),"/",""),"-","")," ",""))))</f>
        <v/>
      </c>
      <c r="C554" s="25" t="str">
        <f aca="false">IF(B554="","",IFERROR(INDEX(Empresas!$C:$C,MATCH(B554,Empresas!$B:$B,0)),"cadastre o CNPJ em Empresas"))</f>
        <v/>
      </c>
      <c r="D554" s="23"/>
      <c r="E554" s="24"/>
      <c r="F554" s="31" t="str">
        <f aca="false">IF(D554="","",SUBSTITUTE(SUBSTITUTE(SUBSTITUTE(SUBSTITUTE(SUBSTITUTE(SUBSTITUTE(SUBSTITUTE(SUBSTITUTE(SUBSTITUTE(SUBSTITUTE(SUBSTITUTE(SUBSTITUTE(SUBSTITUTE(UPPER(TRIM(D554)),"Á","A"),"À","A"),"Â","A"),"Ã","A"),"É","E"),"Ê","E"),"Í","I"),"Ó","O"),"Ô","O"),"Õ","O"),"Ú","U"),"Ü","U"),"Ç","C"))</f>
        <v/>
      </c>
      <c r="G554" s="31" t="str">
        <f aca="false">IF(E554="","",IF(LEN(SUBSTITUTE(SUBSTITUTE(SUBSTITUTE(SUBSTITUTE(TRIM(E554),"*",""),".",""),"-","")," ",""))=11,MID(SUBSTITUTE(SUBSTITUTE(SUBSTITUTE(SUBSTITUTE(TRIM(E554),"*",""),".",""),"-","")," ",""),4,6),SUBSTITUTE(SUBSTITUTE(SUBSTITUTE(SUBSTITUTE(TRIM(E554),"*",""),".",""),"-","")," ","")))</f>
        <v/>
      </c>
      <c r="H554" s="31" t="str">
        <f aca="false">IF(OR(F554="",G554=""),"",F554&amp;"|"&amp;G554)</f>
        <v/>
      </c>
      <c r="I554" s="23"/>
      <c r="J554" s="22"/>
      <c r="K554" s="22"/>
      <c r="L554" s="25" t="str">
        <f aca="false">IF(F554="","",IF(AND(H554&lt;&gt;"",COUNTIF(Pessoas!$E:$E,H554)&gt;0),"SIM",IF(COUNTIF(Pessoas!$C:$C,F554)&gt;0,"nome igual em Pessoas: confira o CPF","")))</f>
        <v/>
      </c>
      <c r="M554" s="24"/>
      <c r="N554" s="11"/>
    </row>
    <row r="555" customFormat="false" ht="15" hidden="false" customHeight="false" outlineLevel="0" collapsed="false">
      <c r="A555" s="24"/>
      <c r="B555" s="31" t="str">
        <f aca="false">IF(A555="","",IF(LEN(UPPER(SUBSTITUTE(SUBSTITUTE(SUBSTITUTE(SUBSTITUTE(TRIM(A555),".",""),"/",""),"-","")," ","")))&lt;14,RIGHT(REPT("0",14)&amp;UPPER(SUBSTITUTE(SUBSTITUTE(SUBSTITUTE(SUBSTITUTE(TRIM(A555),".",""),"/",""),"-","")," ","")),14),UPPER(SUBSTITUTE(SUBSTITUTE(SUBSTITUTE(SUBSTITUTE(TRIM(A555),".",""),"/",""),"-","")," ",""))))</f>
        <v/>
      </c>
      <c r="C555" s="25" t="str">
        <f aca="false">IF(B555="","",IFERROR(INDEX(Empresas!$C:$C,MATCH(B555,Empresas!$B:$B,0)),"cadastre o CNPJ em Empresas"))</f>
        <v/>
      </c>
      <c r="D555" s="23"/>
      <c r="E555" s="24"/>
      <c r="F555" s="31" t="str">
        <f aca="false">IF(D555="","",SUBSTITUTE(SUBSTITUTE(SUBSTITUTE(SUBSTITUTE(SUBSTITUTE(SUBSTITUTE(SUBSTITUTE(SUBSTITUTE(SUBSTITUTE(SUBSTITUTE(SUBSTITUTE(SUBSTITUTE(SUBSTITUTE(UPPER(TRIM(D555)),"Á","A"),"À","A"),"Â","A"),"Ã","A"),"É","E"),"Ê","E"),"Í","I"),"Ó","O"),"Ô","O"),"Õ","O"),"Ú","U"),"Ü","U"),"Ç","C"))</f>
        <v/>
      </c>
      <c r="G555" s="31" t="str">
        <f aca="false">IF(E555="","",IF(LEN(SUBSTITUTE(SUBSTITUTE(SUBSTITUTE(SUBSTITUTE(TRIM(E555),"*",""),".",""),"-","")," ",""))=11,MID(SUBSTITUTE(SUBSTITUTE(SUBSTITUTE(SUBSTITUTE(TRIM(E555),"*",""),".",""),"-","")," ",""),4,6),SUBSTITUTE(SUBSTITUTE(SUBSTITUTE(SUBSTITUTE(TRIM(E555),"*",""),".",""),"-","")," ","")))</f>
        <v/>
      </c>
      <c r="H555" s="31" t="str">
        <f aca="false">IF(OR(F555="",G555=""),"",F555&amp;"|"&amp;G555)</f>
        <v/>
      </c>
      <c r="I555" s="23"/>
      <c r="J555" s="22"/>
      <c r="K555" s="22"/>
      <c r="L555" s="25" t="str">
        <f aca="false">IF(F555="","",IF(AND(H555&lt;&gt;"",COUNTIF(Pessoas!$E:$E,H555)&gt;0),"SIM",IF(COUNTIF(Pessoas!$C:$C,F555)&gt;0,"nome igual em Pessoas: confira o CPF","")))</f>
        <v/>
      </c>
      <c r="M555" s="24"/>
      <c r="N555" s="11"/>
    </row>
    <row r="556" customFormat="false" ht="15" hidden="false" customHeight="false" outlineLevel="0" collapsed="false">
      <c r="A556" s="24"/>
      <c r="B556" s="31" t="str">
        <f aca="false">IF(A556="","",IF(LEN(UPPER(SUBSTITUTE(SUBSTITUTE(SUBSTITUTE(SUBSTITUTE(TRIM(A556),".",""),"/",""),"-","")," ","")))&lt;14,RIGHT(REPT("0",14)&amp;UPPER(SUBSTITUTE(SUBSTITUTE(SUBSTITUTE(SUBSTITUTE(TRIM(A556),".",""),"/",""),"-","")," ","")),14),UPPER(SUBSTITUTE(SUBSTITUTE(SUBSTITUTE(SUBSTITUTE(TRIM(A556),".",""),"/",""),"-","")," ",""))))</f>
        <v/>
      </c>
      <c r="C556" s="25" t="str">
        <f aca="false">IF(B556="","",IFERROR(INDEX(Empresas!$C:$C,MATCH(B556,Empresas!$B:$B,0)),"cadastre o CNPJ em Empresas"))</f>
        <v/>
      </c>
      <c r="D556" s="23"/>
      <c r="E556" s="24"/>
      <c r="F556" s="31" t="str">
        <f aca="false">IF(D556="","",SUBSTITUTE(SUBSTITUTE(SUBSTITUTE(SUBSTITUTE(SUBSTITUTE(SUBSTITUTE(SUBSTITUTE(SUBSTITUTE(SUBSTITUTE(SUBSTITUTE(SUBSTITUTE(SUBSTITUTE(SUBSTITUTE(UPPER(TRIM(D556)),"Á","A"),"À","A"),"Â","A"),"Ã","A"),"É","E"),"Ê","E"),"Í","I"),"Ó","O"),"Ô","O"),"Õ","O"),"Ú","U"),"Ü","U"),"Ç","C"))</f>
        <v/>
      </c>
      <c r="G556" s="31" t="str">
        <f aca="false">IF(E556="","",IF(LEN(SUBSTITUTE(SUBSTITUTE(SUBSTITUTE(SUBSTITUTE(TRIM(E556),"*",""),".",""),"-","")," ",""))=11,MID(SUBSTITUTE(SUBSTITUTE(SUBSTITUTE(SUBSTITUTE(TRIM(E556),"*",""),".",""),"-","")," ",""),4,6),SUBSTITUTE(SUBSTITUTE(SUBSTITUTE(SUBSTITUTE(TRIM(E556),"*",""),".",""),"-","")," ","")))</f>
        <v/>
      </c>
      <c r="H556" s="31" t="str">
        <f aca="false">IF(OR(F556="",G556=""),"",F556&amp;"|"&amp;G556)</f>
        <v/>
      </c>
      <c r="I556" s="23"/>
      <c r="J556" s="22"/>
      <c r="K556" s="22"/>
      <c r="L556" s="25" t="str">
        <f aca="false">IF(F556="","",IF(AND(H556&lt;&gt;"",COUNTIF(Pessoas!$E:$E,H556)&gt;0),"SIM",IF(COUNTIF(Pessoas!$C:$C,F556)&gt;0,"nome igual em Pessoas: confira o CPF","")))</f>
        <v/>
      </c>
      <c r="M556" s="24"/>
      <c r="N556" s="11"/>
    </row>
    <row r="557" customFormat="false" ht="15" hidden="false" customHeight="false" outlineLevel="0" collapsed="false">
      <c r="A557" s="24"/>
      <c r="B557" s="31" t="str">
        <f aca="false">IF(A557="","",IF(LEN(UPPER(SUBSTITUTE(SUBSTITUTE(SUBSTITUTE(SUBSTITUTE(TRIM(A557),".",""),"/",""),"-","")," ","")))&lt;14,RIGHT(REPT("0",14)&amp;UPPER(SUBSTITUTE(SUBSTITUTE(SUBSTITUTE(SUBSTITUTE(TRIM(A557),".",""),"/",""),"-","")," ","")),14),UPPER(SUBSTITUTE(SUBSTITUTE(SUBSTITUTE(SUBSTITUTE(TRIM(A557),".",""),"/",""),"-","")," ",""))))</f>
        <v/>
      </c>
      <c r="C557" s="25" t="str">
        <f aca="false">IF(B557="","",IFERROR(INDEX(Empresas!$C:$C,MATCH(B557,Empresas!$B:$B,0)),"cadastre o CNPJ em Empresas"))</f>
        <v/>
      </c>
      <c r="D557" s="23"/>
      <c r="E557" s="24"/>
      <c r="F557" s="31" t="str">
        <f aca="false">IF(D557="","",SUBSTITUTE(SUBSTITUTE(SUBSTITUTE(SUBSTITUTE(SUBSTITUTE(SUBSTITUTE(SUBSTITUTE(SUBSTITUTE(SUBSTITUTE(SUBSTITUTE(SUBSTITUTE(SUBSTITUTE(SUBSTITUTE(UPPER(TRIM(D557)),"Á","A"),"À","A"),"Â","A"),"Ã","A"),"É","E"),"Ê","E"),"Í","I"),"Ó","O"),"Ô","O"),"Õ","O"),"Ú","U"),"Ü","U"),"Ç","C"))</f>
        <v/>
      </c>
      <c r="G557" s="31" t="str">
        <f aca="false">IF(E557="","",IF(LEN(SUBSTITUTE(SUBSTITUTE(SUBSTITUTE(SUBSTITUTE(TRIM(E557),"*",""),".",""),"-","")," ",""))=11,MID(SUBSTITUTE(SUBSTITUTE(SUBSTITUTE(SUBSTITUTE(TRIM(E557),"*",""),".",""),"-","")," ",""),4,6),SUBSTITUTE(SUBSTITUTE(SUBSTITUTE(SUBSTITUTE(TRIM(E557),"*",""),".",""),"-","")," ","")))</f>
        <v/>
      </c>
      <c r="H557" s="31" t="str">
        <f aca="false">IF(OR(F557="",G557=""),"",F557&amp;"|"&amp;G557)</f>
        <v/>
      </c>
      <c r="I557" s="23"/>
      <c r="J557" s="22"/>
      <c r="K557" s="22"/>
      <c r="L557" s="25" t="str">
        <f aca="false">IF(F557="","",IF(AND(H557&lt;&gt;"",COUNTIF(Pessoas!$E:$E,H557)&gt;0),"SIM",IF(COUNTIF(Pessoas!$C:$C,F557)&gt;0,"nome igual em Pessoas: confira o CPF","")))</f>
        <v/>
      </c>
      <c r="M557" s="24"/>
      <c r="N557" s="11"/>
    </row>
    <row r="558" customFormat="false" ht="15" hidden="false" customHeight="false" outlineLevel="0" collapsed="false">
      <c r="A558" s="24"/>
      <c r="B558" s="31" t="str">
        <f aca="false">IF(A558="","",IF(LEN(UPPER(SUBSTITUTE(SUBSTITUTE(SUBSTITUTE(SUBSTITUTE(TRIM(A558),".",""),"/",""),"-","")," ","")))&lt;14,RIGHT(REPT("0",14)&amp;UPPER(SUBSTITUTE(SUBSTITUTE(SUBSTITUTE(SUBSTITUTE(TRIM(A558),".",""),"/",""),"-","")," ","")),14),UPPER(SUBSTITUTE(SUBSTITUTE(SUBSTITUTE(SUBSTITUTE(TRIM(A558),".",""),"/",""),"-","")," ",""))))</f>
        <v/>
      </c>
      <c r="C558" s="25" t="str">
        <f aca="false">IF(B558="","",IFERROR(INDEX(Empresas!$C:$C,MATCH(B558,Empresas!$B:$B,0)),"cadastre o CNPJ em Empresas"))</f>
        <v/>
      </c>
      <c r="D558" s="23"/>
      <c r="E558" s="24"/>
      <c r="F558" s="31" t="str">
        <f aca="false">IF(D558="","",SUBSTITUTE(SUBSTITUTE(SUBSTITUTE(SUBSTITUTE(SUBSTITUTE(SUBSTITUTE(SUBSTITUTE(SUBSTITUTE(SUBSTITUTE(SUBSTITUTE(SUBSTITUTE(SUBSTITUTE(SUBSTITUTE(UPPER(TRIM(D558)),"Á","A"),"À","A"),"Â","A"),"Ã","A"),"É","E"),"Ê","E"),"Í","I"),"Ó","O"),"Ô","O"),"Õ","O"),"Ú","U"),"Ü","U"),"Ç","C"))</f>
        <v/>
      </c>
      <c r="G558" s="31" t="str">
        <f aca="false">IF(E558="","",IF(LEN(SUBSTITUTE(SUBSTITUTE(SUBSTITUTE(SUBSTITUTE(TRIM(E558),"*",""),".",""),"-","")," ",""))=11,MID(SUBSTITUTE(SUBSTITUTE(SUBSTITUTE(SUBSTITUTE(TRIM(E558),"*",""),".",""),"-","")," ",""),4,6),SUBSTITUTE(SUBSTITUTE(SUBSTITUTE(SUBSTITUTE(TRIM(E558),"*",""),".",""),"-","")," ","")))</f>
        <v/>
      </c>
      <c r="H558" s="31" t="str">
        <f aca="false">IF(OR(F558="",G558=""),"",F558&amp;"|"&amp;G558)</f>
        <v/>
      </c>
      <c r="I558" s="23"/>
      <c r="J558" s="22"/>
      <c r="K558" s="22"/>
      <c r="L558" s="25" t="str">
        <f aca="false">IF(F558="","",IF(AND(H558&lt;&gt;"",COUNTIF(Pessoas!$E:$E,H558)&gt;0),"SIM",IF(COUNTIF(Pessoas!$C:$C,F558)&gt;0,"nome igual em Pessoas: confira o CPF","")))</f>
        <v/>
      </c>
      <c r="M558" s="24"/>
      <c r="N558" s="11"/>
    </row>
    <row r="559" customFormat="false" ht="15" hidden="false" customHeight="false" outlineLevel="0" collapsed="false">
      <c r="A559" s="24"/>
      <c r="B559" s="31" t="str">
        <f aca="false">IF(A559="","",IF(LEN(UPPER(SUBSTITUTE(SUBSTITUTE(SUBSTITUTE(SUBSTITUTE(TRIM(A559),".",""),"/",""),"-","")," ","")))&lt;14,RIGHT(REPT("0",14)&amp;UPPER(SUBSTITUTE(SUBSTITUTE(SUBSTITUTE(SUBSTITUTE(TRIM(A559),".",""),"/",""),"-","")," ","")),14),UPPER(SUBSTITUTE(SUBSTITUTE(SUBSTITUTE(SUBSTITUTE(TRIM(A559),".",""),"/",""),"-","")," ",""))))</f>
        <v/>
      </c>
      <c r="C559" s="25" t="str">
        <f aca="false">IF(B559="","",IFERROR(INDEX(Empresas!$C:$C,MATCH(B559,Empresas!$B:$B,0)),"cadastre o CNPJ em Empresas"))</f>
        <v/>
      </c>
      <c r="D559" s="23"/>
      <c r="E559" s="24"/>
      <c r="F559" s="31" t="str">
        <f aca="false">IF(D559="","",SUBSTITUTE(SUBSTITUTE(SUBSTITUTE(SUBSTITUTE(SUBSTITUTE(SUBSTITUTE(SUBSTITUTE(SUBSTITUTE(SUBSTITUTE(SUBSTITUTE(SUBSTITUTE(SUBSTITUTE(SUBSTITUTE(UPPER(TRIM(D559)),"Á","A"),"À","A"),"Â","A"),"Ã","A"),"É","E"),"Ê","E"),"Í","I"),"Ó","O"),"Ô","O"),"Õ","O"),"Ú","U"),"Ü","U"),"Ç","C"))</f>
        <v/>
      </c>
      <c r="G559" s="31" t="str">
        <f aca="false">IF(E559="","",IF(LEN(SUBSTITUTE(SUBSTITUTE(SUBSTITUTE(SUBSTITUTE(TRIM(E559),"*",""),".",""),"-","")," ",""))=11,MID(SUBSTITUTE(SUBSTITUTE(SUBSTITUTE(SUBSTITUTE(TRIM(E559),"*",""),".",""),"-","")," ",""),4,6),SUBSTITUTE(SUBSTITUTE(SUBSTITUTE(SUBSTITUTE(TRIM(E559),"*",""),".",""),"-","")," ","")))</f>
        <v/>
      </c>
      <c r="H559" s="31" t="str">
        <f aca="false">IF(OR(F559="",G559=""),"",F559&amp;"|"&amp;G559)</f>
        <v/>
      </c>
      <c r="I559" s="23"/>
      <c r="J559" s="22"/>
      <c r="K559" s="22"/>
      <c r="L559" s="25" t="str">
        <f aca="false">IF(F559="","",IF(AND(H559&lt;&gt;"",COUNTIF(Pessoas!$E:$E,H559)&gt;0),"SIM",IF(COUNTIF(Pessoas!$C:$C,F559)&gt;0,"nome igual em Pessoas: confira o CPF","")))</f>
        <v/>
      </c>
      <c r="M559" s="24"/>
      <c r="N559" s="11"/>
    </row>
    <row r="560" customFormat="false" ht="15" hidden="false" customHeight="false" outlineLevel="0" collapsed="false">
      <c r="A560" s="24"/>
      <c r="B560" s="31" t="str">
        <f aca="false">IF(A560="","",IF(LEN(UPPER(SUBSTITUTE(SUBSTITUTE(SUBSTITUTE(SUBSTITUTE(TRIM(A560),".",""),"/",""),"-","")," ","")))&lt;14,RIGHT(REPT("0",14)&amp;UPPER(SUBSTITUTE(SUBSTITUTE(SUBSTITUTE(SUBSTITUTE(TRIM(A560),".",""),"/",""),"-","")," ","")),14),UPPER(SUBSTITUTE(SUBSTITUTE(SUBSTITUTE(SUBSTITUTE(TRIM(A560),".",""),"/",""),"-","")," ",""))))</f>
        <v/>
      </c>
      <c r="C560" s="25" t="str">
        <f aca="false">IF(B560="","",IFERROR(INDEX(Empresas!$C:$C,MATCH(B560,Empresas!$B:$B,0)),"cadastre o CNPJ em Empresas"))</f>
        <v/>
      </c>
      <c r="D560" s="23"/>
      <c r="E560" s="24"/>
      <c r="F560" s="31" t="str">
        <f aca="false">IF(D560="","",SUBSTITUTE(SUBSTITUTE(SUBSTITUTE(SUBSTITUTE(SUBSTITUTE(SUBSTITUTE(SUBSTITUTE(SUBSTITUTE(SUBSTITUTE(SUBSTITUTE(SUBSTITUTE(SUBSTITUTE(SUBSTITUTE(UPPER(TRIM(D560)),"Á","A"),"À","A"),"Â","A"),"Ã","A"),"É","E"),"Ê","E"),"Í","I"),"Ó","O"),"Ô","O"),"Õ","O"),"Ú","U"),"Ü","U"),"Ç","C"))</f>
        <v/>
      </c>
      <c r="G560" s="31" t="str">
        <f aca="false">IF(E560="","",IF(LEN(SUBSTITUTE(SUBSTITUTE(SUBSTITUTE(SUBSTITUTE(TRIM(E560),"*",""),".",""),"-","")," ",""))=11,MID(SUBSTITUTE(SUBSTITUTE(SUBSTITUTE(SUBSTITUTE(TRIM(E560),"*",""),".",""),"-","")," ",""),4,6),SUBSTITUTE(SUBSTITUTE(SUBSTITUTE(SUBSTITUTE(TRIM(E560),"*",""),".",""),"-","")," ","")))</f>
        <v/>
      </c>
      <c r="H560" s="31" t="str">
        <f aca="false">IF(OR(F560="",G560=""),"",F560&amp;"|"&amp;G560)</f>
        <v/>
      </c>
      <c r="I560" s="23"/>
      <c r="J560" s="22"/>
      <c r="K560" s="22"/>
      <c r="L560" s="25" t="str">
        <f aca="false">IF(F560="","",IF(AND(H560&lt;&gt;"",COUNTIF(Pessoas!$E:$E,H560)&gt;0),"SIM",IF(COUNTIF(Pessoas!$C:$C,F560)&gt;0,"nome igual em Pessoas: confira o CPF","")))</f>
        <v/>
      </c>
      <c r="M560" s="24"/>
      <c r="N560" s="11"/>
    </row>
    <row r="561" customFormat="false" ht="15" hidden="false" customHeight="false" outlineLevel="0" collapsed="false">
      <c r="A561" s="24"/>
      <c r="B561" s="31" t="str">
        <f aca="false">IF(A561="","",IF(LEN(UPPER(SUBSTITUTE(SUBSTITUTE(SUBSTITUTE(SUBSTITUTE(TRIM(A561),".",""),"/",""),"-","")," ","")))&lt;14,RIGHT(REPT("0",14)&amp;UPPER(SUBSTITUTE(SUBSTITUTE(SUBSTITUTE(SUBSTITUTE(TRIM(A561),".",""),"/",""),"-","")," ","")),14),UPPER(SUBSTITUTE(SUBSTITUTE(SUBSTITUTE(SUBSTITUTE(TRIM(A561),".",""),"/",""),"-","")," ",""))))</f>
        <v/>
      </c>
      <c r="C561" s="25" t="str">
        <f aca="false">IF(B561="","",IFERROR(INDEX(Empresas!$C:$C,MATCH(B561,Empresas!$B:$B,0)),"cadastre o CNPJ em Empresas"))</f>
        <v/>
      </c>
      <c r="D561" s="23"/>
      <c r="E561" s="24"/>
      <c r="F561" s="31" t="str">
        <f aca="false">IF(D561="","",SUBSTITUTE(SUBSTITUTE(SUBSTITUTE(SUBSTITUTE(SUBSTITUTE(SUBSTITUTE(SUBSTITUTE(SUBSTITUTE(SUBSTITUTE(SUBSTITUTE(SUBSTITUTE(SUBSTITUTE(SUBSTITUTE(UPPER(TRIM(D561)),"Á","A"),"À","A"),"Â","A"),"Ã","A"),"É","E"),"Ê","E"),"Í","I"),"Ó","O"),"Ô","O"),"Õ","O"),"Ú","U"),"Ü","U"),"Ç","C"))</f>
        <v/>
      </c>
      <c r="G561" s="31" t="str">
        <f aca="false">IF(E561="","",IF(LEN(SUBSTITUTE(SUBSTITUTE(SUBSTITUTE(SUBSTITUTE(TRIM(E561),"*",""),".",""),"-","")," ",""))=11,MID(SUBSTITUTE(SUBSTITUTE(SUBSTITUTE(SUBSTITUTE(TRIM(E561),"*",""),".",""),"-","")," ",""),4,6),SUBSTITUTE(SUBSTITUTE(SUBSTITUTE(SUBSTITUTE(TRIM(E561),"*",""),".",""),"-","")," ","")))</f>
        <v/>
      </c>
      <c r="H561" s="31" t="str">
        <f aca="false">IF(OR(F561="",G561=""),"",F561&amp;"|"&amp;G561)</f>
        <v/>
      </c>
      <c r="I561" s="23"/>
      <c r="J561" s="22"/>
      <c r="K561" s="22"/>
      <c r="L561" s="25" t="str">
        <f aca="false">IF(F561="","",IF(AND(H561&lt;&gt;"",COUNTIF(Pessoas!$E:$E,H561)&gt;0),"SIM",IF(COUNTIF(Pessoas!$C:$C,F561)&gt;0,"nome igual em Pessoas: confira o CPF","")))</f>
        <v/>
      </c>
      <c r="M561" s="24"/>
      <c r="N561" s="11"/>
    </row>
    <row r="562" customFormat="false" ht="15" hidden="false" customHeight="false" outlineLevel="0" collapsed="false">
      <c r="A562" s="24"/>
      <c r="B562" s="31" t="str">
        <f aca="false">IF(A562="","",IF(LEN(UPPER(SUBSTITUTE(SUBSTITUTE(SUBSTITUTE(SUBSTITUTE(TRIM(A562),".",""),"/",""),"-","")," ","")))&lt;14,RIGHT(REPT("0",14)&amp;UPPER(SUBSTITUTE(SUBSTITUTE(SUBSTITUTE(SUBSTITUTE(TRIM(A562),".",""),"/",""),"-","")," ","")),14),UPPER(SUBSTITUTE(SUBSTITUTE(SUBSTITUTE(SUBSTITUTE(TRIM(A562),".",""),"/",""),"-","")," ",""))))</f>
        <v/>
      </c>
      <c r="C562" s="25" t="str">
        <f aca="false">IF(B562="","",IFERROR(INDEX(Empresas!$C:$C,MATCH(B562,Empresas!$B:$B,0)),"cadastre o CNPJ em Empresas"))</f>
        <v/>
      </c>
      <c r="D562" s="23"/>
      <c r="E562" s="24"/>
      <c r="F562" s="31" t="str">
        <f aca="false">IF(D562="","",SUBSTITUTE(SUBSTITUTE(SUBSTITUTE(SUBSTITUTE(SUBSTITUTE(SUBSTITUTE(SUBSTITUTE(SUBSTITUTE(SUBSTITUTE(SUBSTITUTE(SUBSTITUTE(SUBSTITUTE(SUBSTITUTE(UPPER(TRIM(D562)),"Á","A"),"À","A"),"Â","A"),"Ã","A"),"É","E"),"Ê","E"),"Í","I"),"Ó","O"),"Ô","O"),"Õ","O"),"Ú","U"),"Ü","U"),"Ç","C"))</f>
        <v/>
      </c>
      <c r="G562" s="31" t="str">
        <f aca="false">IF(E562="","",IF(LEN(SUBSTITUTE(SUBSTITUTE(SUBSTITUTE(SUBSTITUTE(TRIM(E562),"*",""),".",""),"-","")," ",""))=11,MID(SUBSTITUTE(SUBSTITUTE(SUBSTITUTE(SUBSTITUTE(TRIM(E562),"*",""),".",""),"-","")," ",""),4,6),SUBSTITUTE(SUBSTITUTE(SUBSTITUTE(SUBSTITUTE(TRIM(E562),"*",""),".",""),"-","")," ","")))</f>
        <v/>
      </c>
      <c r="H562" s="31" t="str">
        <f aca="false">IF(OR(F562="",G562=""),"",F562&amp;"|"&amp;G562)</f>
        <v/>
      </c>
      <c r="I562" s="23"/>
      <c r="J562" s="22"/>
      <c r="K562" s="22"/>
      <c r="L562" s="25" t="str">
        <f aca="false">IF(F562="","",IF(AND(H562&lt;&gt;"",COUNTIF(Pessoas!$E:$E,H562)&gt;0),"SIM",IF(COUNTIF(Pessoas!$C:$C,F562)&gt;0,"nome igual em Pessoas: confira o CPF","")))</f>
        <v/>
      </c>
      <c r="M562" s="24"/>
      <c r="N562" s="11"/>
    </row>
    <row r="563" customFormat="false" ht="15" hidden="false" customHeight="false" outlineLevel="0" collapsed="false">
      <c r="A563" s="24"/>
      <c r="B563" s="31" t="str">
        <f aca="false">IF(A563="","",IF(LEN(UPPER(SUBSTITUTE(SUBSTITUTE(SUBSTITUTE(SUBSTITUTE(TRIM(A563),".",""),"/",""),"-","")," ","")))&lt;14,RIGHT(REPT("0",14)&amp;UPPER(SUBSTITUTE(SUBSTITUTE(SUBSTITUTE(SUBSTITUTE(TRIM(A563),".",""),"/",""),"-","")," ","")),14),UPPER(SUBSTITUTE(SUBSTITUTE(SUBSTITUTE(SUBSTITUTE(TRIM(A563),".",""),"/",""),"-","")," ",""))))</f>
        <v/>
      </c>
      <c r="C563" s="25" t="str">
        <f aca="false">IF(B563="","",IFERROR(INDEX(Empresas!$C:$C,MATCH(B563,Empresas!$B:$B,0)),"cadastre o CNPJ em Empresas"))</f>
        <v/>
      </c>
      <c r="D563" s="23"/>
      <c r="E563" s="24"/>
      <c r="F563" s="31" t="str">
        <f aca="false">IF(D563="","",SUBSTITUTE(SUBSTITUTE(SUBSTITUTE(SUBSTITUTE(SUBSTITUTE(SUBSTITUTE(SUBSTITUTE(SUBSTITUTE(SUBSTITUTE(SUBSTITUTE(SUBSTITUTE(SUBSTITUTE(SUBSTITUTE(UPPER(TRIM(D563)),"Á","A"),"À","A"),"Â","A"),"Ã","A"),"É","E"),"Ê","E"),"Í","I"),"Ó","O"),"Ô","O"),"Õ","O"),"Ú","U"),"Ü","U"),"Ç","C"))</f>
        <v/>
      </c>
      <c r="G563" s="31" t="str">
        <f aca="false">IF(E563="","",IF(LEN(SUBSTITUTE(SUBSTITUTE(SUBSTITUTE(SUBSTITUTE(TRIM(E563),"*",""),".",""),"-","")," ",""))=11,MID(SUBSTITUTE(SUBSTITUTE(SUBSTITUTE(SUBSTITUTE(TRIM(E563),"*",""),".",""),"-","")," ",""),4,6),SUBSTITUTE(SUBSTITUTE(SUBSTITUTE(SUBSTITUTE(TRIM(E563),"*",""),".",""),"-","")," ","")))</f>
        <v/>
      </c>
      <c r="H563" s="31" t="str">
        <f aca="false">IF(OR(F563="",G563=""),"",F563&amp;"|"&amp;G563)</f>
        <v/>
      </c>
      <c r="I563" s="23"/>
      <c r="J563" s="22"/>
      <c r="K563" s="22"/>
      <c r="L563" s="25" t="str">
        <f aca="false">IF(F563="","",IF(AND(H563&lt;&gt;"",COUNTIF(Pessoas!$E:$E,H563)&gt;0),"SIM",IF(COUNTIF(Pessoas!$C:$C,F563)&gt;0,"nome igual em Pessoas: confira o CPF","")))</f>
        <v/>
      </c>
      <c r="M563" s="24"/>
      <c r="N563" s="11"/>
    </row>
    <row r="564" customFormat="false" ht="15" hidden="false" customHeight="false" outlineLevel="0" collapsed="false">
      <c r="A564" s="24"/>
      <c r="B564" s="31" t="str">
        <f aca="false">IF(A564="","",IF(LEN(UPPER(SUBSTITUTE(SUBSTITUTE(SUBSTITUTE(SUBSTITUTE(TRIM(A564),".",""),"/",""),"-","")," ","")))&lt;14,RIGHT(REPT("0",14)&amp;UPPER(SUBSTITUTE(SUBSTITUTE(SUBSTITUTE(SUBSTITUTE(TRIM(A564),".",""),"/",""),"-","")," ","")),14),UPPER(SUBSTITUTE(SUBSTITUTE(SUBSTITUTE(SUBSTITUTE(TRIM(A564),".",""),"/",""),"-","")," ",""))))</f>
        <v/>
      </c>
      <c r="C564" s="25" t="str">
        <f aca="false">IF(B564="","",IFERROR(INDEX(Empresas!$C:$C,MATCH(B564,Empresas!$B:$B,0)),"cadastre o CNPJ em Empresas"))</f>
        <v/>
      </c>
      <c r="D564" s="23"/>
      <c r="E564" s="24"/>
      <c r="F564" s="31" t="str">
        <f aca="false">IF(D564="","",SUBSTITUTE(SUBSTITUTE(SUBSTITUTE(SUBSTITUTE(SUBSTITUTE(SUBSTITUTE(SUBSTITUTE(SUBSTITUTE(SUBSTITUTE(SUBSTITUTE(SUBSTITUTE(SUBSTITUTE(SUBSTITUTE(UPPER(TRIM(D564)),"Á","A"),"À","A"),"Â","A"),"Ã","A"),"É","E"),"Ê","E"),"Í","I"),"Ó","O"),"Ô","O"),"Õ","O"),"Ú","U"),"Ü","U"),"Ç","C"))</f>
        <v/>
      </c>
      <c r="G564" s="31" t="str">
        <f aca="false">IF(E564="","",IF(LEN(SUBSTITUTE(SUBSTITUTE(SUBSTITUTE(SUBSTITUTE(TRIM(E564),"*",""),".",""),"-","")," ",""))=11,MID(SUBSTITUTE(SUBSTITUTE(SUBSTITUTE(SUBSTITUTE(TRIM(E564),"*",""),".",""),"-","")," ",""),4,6),SUBSTITUTE(SUBSTITUTE(SUBSTITUTE(SUBSTITUTE(TRIM(E564),"*",""),".",""),"-","")," ","")))</f>
        <v/>
      </c>
      <c r="H564" s="31" t="str">
        <f aca="false">IF(OR(F564="",G564=""),"",F564&amp;"|"&amp;G564)</f>
        <v/>
      </c>
      <c r="I564" s="23"/>
      <c r="J564" s="22"/>
      <c r="K564" s="22"/>
      <c r="L564" s="25" t="str">
        <f aca="false">IF(F564="","",IF(AND(H564&lt;&gt;"",COUNTIF(Pessoas!$E:$E,H564)&gt;0),"SIM",IF(COUNTIF(Pessoas!$C:$C,F564)&gt;0,"nome igual em Pessoas: confira o CPF","")))</f>
        <v/>
      </c>
      <c r="M564" s="24"/>
      <c r="N564" s="11"/>
    </row>
    <row r="565" customFormat="false" ht="15" hidden="false" customHeight="false" outlineLevel="0" collapsed="false">
      <c r="A565" s="24"/>
      <c r="B565" s="31" t="str">
        <f aca="false">IF(A565="","",IF(LEN(UPPER(SUBSTITUTE(SUBSTITUTE(SUBSTITUTE(SUBSTITUTE(TRIM(A565),".",""),"/",""),"-","")," ","")))&lt;14,RIGHT(REPT("0",14)&amp;UPPER(SUBSTITUTE(SUBSTITUTE(SUBSTITUTE(SUBSTITUTE(TRIM(A565),".",""),"/",""),"-","")," ","")),14),UPPER(SUBSTITUTE(SUBSTITUTE(SUBSTITUTE(SUBSTITUTE(TRIM(A565),".",""),"/",""),"-","")," ",""))))</f>
        <v/>
      </c>
      <c r="C565" s="25" t="str">
        <f aca="false">IF(B565="","",IFERROR(INDEX(Empresas!$C:$C,MATCH(B565,Empresas!$B:$B,0)),"cadastre o CNPJ em Empresas"))</f>
        <v/>
      </c>
      <c r="D565" s="23"/>
      <c r="E565" s="24"/>
      <c r="F565" s="31" t="str">
        <f aca="false">IF(D565="","",SUBSTITUTE(SUBSTITUTE(SUBSTITUTE(SUBSTITUTE(SUBSTITUTE(SUBSTITUTE(SUBSTITUTE(SUBSTITUTE(SUBSTITUTE(SUBSTITUTE(SUBSTITUTE(SUBSTITUTE(SUBSTITUTE(UPPER(TRIM(D565)),"Á","A"),"À","A"),"Â","A"),"Ã","A"),"É","E"),"Ê","E"),"Í","I"),"Ó","O"),"Ô","O"),"Õ","O"),"Ú","U"),"Ü","U"),"Ç","C"))</f>
        <v/>
      </c>
      <c r="G565" s="31" t="str">
        <f aca="false">IF(E565="","",IF(LEN(SUBSTITUTE(SUBSTITUTE(SUBSTITUTE(SUBSTITUTE(TRIM(E565),"*",""),".",""),"-","")," ",""))=11,MID(SUBSTITUTE(SUBSTITUTE(SUBSTITUTE(SUBSTITUTE(TRIM(E565),"*",""),".",""),"-","")," ",""),4,6),SUBSTITUTE(SUBSTITUTE(SUBSTITUTE(SUBSTITUTE(TRIM(E565),"*",""),".",""),"-","")," ","")))</f>
        <v/>
      </c>
      <c r="H565" s="31" t="str">
        <f aca="false">IF(OR(F565="",G565=""),"",F565&amp;"|"&amp;G565)</f>
        <v/>
      </c>
      <c r="I565" s="23"/>
      <c r="J565" s="22"/>
      <c r="K565" s="22"/>
      <c r="L565" s="25" t="str">
        <f aca="false">IF(F565="","",IF(AND(H565&lt;&gt;"",COUNTIF(Pessoas!$E:$E,H565)&gt;0),"SIM",IF(COUNTIF(Pessoas!$C:$C,F565)&gt;0,"nome igual em Pessoas: confira o CPF","")))</f>
        <v/>
      </c>
      <c r="M565" s="24"/>
      <c r="N565" s="11"/>
    </row>
    <row r="566" customFormat="false" ht="15" hidden="false" customHeight="false" outlineLevel="0" collapsed="false">
      <c r="A566" s="24"/>
      <c r="B566" s="31" t="str">
        <f aca="false">IF(A566="","",IF(LEN(UPPER(SUBSTITUTE(SUBSTITUTE(SUBSTITUTE(SUBSTITUTE(TRIM(A566),".",""),"/",""),"-","")," ","")))&lt;14,RIGHT(REPT("0",14)&amp;UPPER(SUBSTITUTE(SUBSTITUTE(SUBSTITUTE(SUBSTITUTE(TRIM(A566),".",""),"/",""),"-","")," ","")),14),UPPER(SUBSTITUTE(SUBSTITUTE(SUBSTITUTE(SUBSTITUTE(TRIM(A566),".",""),"/",""),"-","")," ",""))))</f>
        <v/>
      </c>
      <c r="C566" s="25" t="str">
        <f aca="false">IF(B566="","",IFERROR(INDEX(Empresas!$C:$C,MATCH(B566,Empresas!$B:$B,0)),"cadastre o CNPJ em Empresas"))</f>
        <v/>
      </c>
      <c r="D566" s="23"/>
      <c r="E566" s="24"/>
      <c r="F566" s="31" t="str">
        <f aca="false">IF(D566="","",SUBSTITUTE(SUBSTITUTE(SUBSTITUTE(SUBSTITUTE(SUBSTITUTE(SUBSTITUTE(SUBSTITUTE(SUBSTITUTE(SUBSTITUTE(SUBSTITUTE(SUBSTITUTE(SUBSTITUTE(SUBSTITUTE(UPPER(TRIM(D566)),"Á","A"),"À","A"),"Â","A"),"Ã","A"),"É","E"),"Ê","E"),"Í","I"),"Ó","O"),"Ô","O"),"Õ","O"),"Ú","U"),"Ü","U"),"Ç","C"))</f>
        <v/>
      </c>
      <c r="G566" s="31" t="str">
        <f aca="false">IF(E566="","",IF(LEN(SUBSTITUTE(SUBSTITUTE(SUBSTITUTE(SUBSTITUTE(TRIM(E566),"*",""),".",""),"-","")," ",""))=11,MID(SUBSTITUTE(SUBSTITUTE(SUBSTITUTE(SUBSTITUTE(TRIM(E566),"*",""),".",""),"-","")," ",""),4,6),SUBSTITUTE(SUBSTITUTE(SUBSTITUTE(SUBSTITUTE(TRIM(E566),"*",""),".",""),"-","")," ","")))</f>
        <v/>
      </c>
      <c r="H566" s="31" t="str">
        <f aca="false">IF(OR(F566="",G566=""),"",F566&amp;"|"&amp;G566)</f>
        <v/>
      </c>
      <c r="I566" s="23"/>
      <c r="J566" s="22"/>
      <c r="K566" s="22"/>
      <c r="L566" s="25" t="str">
        <f aca="false">IF(F566="","",IF(AND(H566&lt;&gt;"",COUNTIF(Pessoas!$E:$E,H566)&gt;0),"SIM",IF(COUNTIF(Pessoas!$C:$C,F566)&gt;0,"nome igual em Pessoas: confira o CPF","")))</f>
        <v/>
      </c>
      <c r="M566" s="24"/>
      <c r="N566" s="11"/>
    </row>
    <row r="567" customFormat="false" ht="15" hidden="false" customHeight="false" outlineLevel="0" collapsed="false">
      <c r="A567" s="24"/>
      <c r="B567" s="31" t="str">
        <f aca="false">IF(A567="","",IF(LEN(UPPER(SUBSTITUTE(SUBSTITUTE(SUBSTITUTE(SUBSTITUTE(TRIM(A567),".",""),"/",""),"-","")," ","")))&lt;14,RIGHT(REPT("0",14)&amp;UPPER(SUBSTITUTE(SUBSTITUTE(SUBSTITUTE(SUBSTITUTE(TRIM(A567),".",""),"/",""),"-","")," ","")),14),UPPER(SUBSTITUTE(SUBSTITUTE(SUBSTITUTE(SUBSTITUTE(TRIM(A567),".",""),"/",""),"-","")," ",""))))</f>
        <v/>
      </c>
      <c r="C567" s="25" t="str">
        <f aca="false">IF(B567="","",IFERROR(INDEX(Empresas!$C:$C,MATCH(B567,Empresas!$B:$B,0)),"cadastre o CNPJ em Empresas"))</f>
        <v/>
      </c>
      <c r="D567" s="23"/>
      <c r="E567" s="24"/>
      <c r="F567" s="31" t="str">
        <f aca="false">IF(D567="","",SUBSTITUTE(SUBSTITUTE(SUBSTITUTE(SUBSTITUTE(SUBSTITUTE(SUBSTITUTE(SUBSTITUTE(SUBSTITUTE(SUBSTITUTE(SUBSTITUTE(SUBSTITUTE(SUBSTITUTE(SUBSTITUTE(UPPER(TRIM(D567)),"Á","A"),"À","A"),"Â","A"),"Ã","A"),"É","E"),"Ê","E"),"Í","I"),"Ó","O"),"Ô","O"),"Õ","O"),"Ú","U"),"Ü","U"),"Ç","C"))</f>
        <v/>
      </c>
      <c r="G567" s="31" t="str">
        <f aca="false">IF(E567="","",IF(LEN(SUBSTITUTE(SUBSTITUTE(SUBSTITUTE(SUBSTITUTE(TRIM(E567),"*",""),".",""),"-","")," ",""))=11,MID(SUBSTITUTE(SUBSTITUTE(SUBSTITUTE(SUBSTITUTE(TRIM(E567),"*",""),".",""),"-","")," ",""),4,6),SUBSTITUTE(SUBSTITUTE(SUBSTITUTE(SUBSTITUTE(TRIM(E567),"*",""),".",""),"-","")," ","")))</f>
        <v/>
      </c>
      <c r="H567" s="31" t="str">
        <f aca="false">IF(OR(F567="",G567=""),"",F567&amp;"|"&amp;G567)</f>
        <v/>
      </c>
      <c r="I567" s="23"/>
      <c r="J567" s="22"/>
      <c r="K567" s="22"/>
      <c r="L567" s="25" t="str">
        <f aca="false">IF(F567="","",IF(AND(H567&lt;&gt;"",COUNTIF(Pessoas!$E:$E,H567)&gt;0),"SIM",IF(COUNTIF(Pessoas!$C:$C,F567)&gt;0,"nome igual em Pessoas: confira o CPF","")))</f>
        <v/>
      </c>
      <c r="M567" s="24"/>
      <c r="N567" s="11"/>
    </row>
    <row r="568" customFormat="false" ht="15" hidden="false" customHeight="false" outlineLevel="0" collapsed="false">
      <c r="A568" s="24"/>
      <c r="B568" s="31" t="str">
        <f aca="false">IF(A568="","",IF(LEN(UPPER(SUBSTITUTE(SUBSTITUTE(SUBSTITUTE(SUBSTITUTE(TRIM(A568),".",""),"/",""),"-","")," ","")))&lt;14,RIGHT(REPT("0",14)&amp;UPPER(SUBSTITUTE(SUBSTITUTE(SUBSTITUTE(SUBSTITUTE(TRIM(A568),".",""),"/",""),"-","")," ","")),14),UPPER(SUBSTITUTE(SUBSTITUTE(SUBSTITUTE(SUBSTITUTE(TRIM(A568),".",""),"/",""),"-","")," ",""))))</f>
        <v/>
      </c>
      <c r="C568" s="25" t="str">
        <f aca="false">IF(B568="","",IFERROR(INDEX(Empresas!$C:$C,MATCH(B568,Empresas!$B:$B,0)),"cadastre o CNPJ em Empresas"))</f>
        <v/>
      </c>
      <c r="D568" s="23"/>
      <c r="E568" s="24"/>
      <c r="F568" s="31" t="str">
        <f aca="false">IF(D568="","",SUBSTITUTE(SUBSTITUTE(SUBSTITUTE(SUBSTITUTE(SUBSTITUTE(SUBSTITUTE(SUBSTITUTE(SUBSTITUTE(SUBSTITUTE(SUBSTITUTE(SUBSTITUTE(SUBSTITUTE(SUBSTITUTE(UPPER(TRIM(D568)),"Á","A"),"À","A"),"Â","A"),"Ã","A"),"É","E"),"Ê","E"),"Í","I"),"Ó","O"),"Ô","O"),"Õ","O"),"Ú","U"),"Ü","U"),"Ç","C"))</f>
        <v/>
      </c>
      <c r="G568" s="31" t="str">
        <f aca="false">IF(E568="","",IF(LEN(SUBSTITUTE(SUBSTITUTE(SUBSTITUTE(SUBSTITUTE(TRIM(E568),"*",""),".",""),"-","")," ",""))=11,MID(SUBSTITUTE(SUBSTITUTE(SUBSTITUTE(SUBSTITUTE(TRIM(E568),"*",""),".",""),"-","")," ",""),4,6),SUBSTITUTE(SUBSTITUTE(SUBSTITUTE(SUBSTITUTE(TRIM(E568),"*",""),".",""),"-","")," ","")))</f>
        <v/>
      </c>
      <c r="H568" s="31" t="str">
        <f aca="false">IF(OR(F568="",G568=""),"",F568&amp;"|"&amp;G568)</f>
        <v/>
      </c>
      <c r="I568" s="23"/>
      <c r="J568" s="22"/>
      <c r="K568" s="22"/>
      <c r="L568" s="25" t="str">
        <f aca="false">IF(F568="","",IF(AND(H568&lt;&gt;"",COUNTIF(Pessoas!$E:$E,H568)&gt;0),"SIM",IF(COUNTIF(Pessoas!$C:$C,F568)&gt;0,"nome igual em Pessoas: confira o CPF","")))</f>
        <v/>
      </c>
      <c r="M568" s="24"/>
      <c r="N568" s="11"/>
    </row>
    <row r="569" customFormat="false" ht="15" hidden="false" customHeight="false" outlineLevel="0" collapsed="false">
      <c r="A569" s="24"/>
      <c r="B569" s="31" t="str">
        <f aca="false">IF(A569="","",IF(LEN(UPPER(SUBSTITUTE(SUBSTITUTE(SUBSTITUTE(SUBSTITUTE(TRIM(A569),".",""),"/",""),"-","")," ","")))&lt;14,RIGHT(REPT("0",14)&amp;UPPER(SUBSTITUTE(SUBSTITUTE(SUBSTITUTE(SUBSTITUTE(TRIM(A569),".",""),"/",""),"-","")," ","")),14),UPPER(SUBSTITUTE(SUBSTITUTE(SUBSTITUTE(SUBSTITUTE(TRIM(A569),".",""),"/",""),"-","")," ",""))))</f>
        <v/>
      </c>
      <c r="C569" s="25" t="str">
        <f aca="false">IF(B569="","",IFERROR(INDEX(Empresas!$C:$C,MATCH(B569,Empresas!$B:$B,0)),"cadastre o CNPJ em Empresas"))</f>
        <v/>
      </c>
      <c r="D569" s="23"/>
      <c r="E569" s="24"/>
      <c r="F569" s="31" t="str">
        <f aca="false">IF(D569="","",SUBSTITUTE(SUBSTITUTE(SUBSTITUTE(SUBSTITUTE(SUBSTITUTE(SUBSTITUTE(SUBSTITUTE(SUBSTITUTE(SUBSTITUTE(SUBSTITUTE(SUBSTITUTE(SUBSTITUTE(SUBSTITUTE(UPPER(TRIM(D569)),"Á","A"),"À","A"),"Â","A"),"Ã","A"),"É","E"),"Ê","E"),"Í","I"),"Ó","O"),"Ô","O"),"Õ","O"),"Ú","U"),"Ü","U"),"Ç","C"))</f>
        <v/>
      </c>
      <c r="G569" s="31" t="str">
        <f aca="false">IF(E569="","",IF(LEN(SUBSTITUTE(SUBSTITUTE(SUBSTITUTE(SUBSTITUTE(TRIM(E569),"*",""),".",""),"-","")," ",""))=11,MID(SUBSTITUTE(SUBSTITUTE(SUBSTITUTE(SUBSTITUTE(TRIM(E569),"*",""),".",""),"-","")," ",""),4,6),SUBSTITUTE(SUBSTITUTE(SUBSTITUTE(SUBSTITUTE(TRIM(E569),"*",""),".",""),"-","")," ","")))</f>
        <v/>
      </c>
      <c r="H569" s="31" t="str">
        <f aca="false">IF(OR(F569="",G569=""),"",F569&amp;"|"&amp;G569)</f>
        <v/>
      </c>
      <c r="I569" s="23"/>
      <c r="J569" s="22"/>
      <c r="K569" s="22"/>
      <c r="L569" s="25" t="str">
        <f aca="false">IF(F569="","",IF(AND(H569&lt;&gt;"",COUNTIF(Pessoas!$E:$E,H569)&gt;0),"SIM",IF(COUNTIF(Pessoas!$C:$C,F569)&gt;0,"nome igual em Pessoas: confira o CPF","")))</f>
        <v/>
      </c>
      <c r="M569" s="24"/>
      <c r="N569" s="11"/>
    </row>
    <row r="570" customFormat="false" ht="15" hidden="false" customHeight="false" outlineLevel="0" collapsed="false">
      <c r="A570" s="24"/>
      <c r="B570" s="31" t="str">
        <f aca="false">IF(A570="","",IF(LEN(UPPER(SUBSTITUTE(SUBSTITUTE(SUBSTITUTE(SUBSTITUTE(TRIM(A570),".",""),"/",""),"-","")," ","")))&lt;14,RIGHT(REPT("0",14)&amp;UPPER(SUBSTITUTE(SUBSTITUTE(SUBSTITUTE(SUBSTITUTE(TRIM(A570),".",""),"/",""),"-","")," ","")),14),UPPER(SUBSTITUTE(SUBSTITUTE(SUBSTITUTE(SUBSTITUTE(TRIM(A570),".",""),"/",""),"-","")," ",""))))</f>
        <v/>
      </c>
      <c r="C570" s="25" t="str">
        <f aca="false">IF(B570="","",IFERROR(INDEX(Empresas!$C:$C,MATCH(B570,Empresas!$B:$B,0)),"cadastre o CNPJ em Empresas"))</f>
        <v/>
      </c>
      <c r="D570" s="23"/>
      <c r="E570" s="24"/>
      <c r="F570" s="31" t="str">
        <f aca="false">IF(D570="","",SUBSTITUTE(SUBSTITUTE(SUBSTITUTE(SUBSTITUTE(SUBSTITUTE(SUBSTITUTE(SUBSTITUTE(SUBSTITUTE(SUBSTITUTE(SUBSTITUTE(SUBSTITUTE(SUBSTITUTE(SUBSTITUTE(UPPER(TRIM(D570)),"Á","A"),"À","A"),"Â","A"),"Ã","A"),"É","E"),"Ê","E"),"Í","I"),"Ó","O"),"Ô","O"),"Õ","O"),"Ú","U"),"Ü","U"),"Ç","C"))</f>
        <v/>
      </c>
      <c r="G570" s="31" t="str">
        <f aca="false">IF(E570="","",IF(LEN(SUBSTITUTE(SUBSTITUTE(SUBSTITUTE(SUBSTITUTE(TRIM(E570),"*",""),".",""),"-","")," ",""))=11,MID(SUBSTITUTE(SUBSTITUTE(SUBSTITUTE(SUBSTITUTE(TRIM(E570),"*",""),".",""),"-","")," ",""),4,6),SUBSTITUTE(SUBSTITUTE(SUBSTITUTE(SUBSTITUTE(TRIM(E570),"*",""),".",""),"-","")," ","")))</f>
        <v/>
      </c>
      <c r="H570" s="31" t="str">
        <f aca="false">IF(OR(F570="",G570=""),"",F570&amp;"|"&amp;G570)</f>
        <v/>
      </c>
      <c r="I570" s="23"/>
      <c r="J570" s="22"/>
      <c r="K570" s="22"/>
      <c r="L570" s="25" t="str">
        <f aca="false">IF(F570="","",IF(AND(H570&lt;&gt;"",COUNTIF(Pessoas!$E:$E,H570)&gt;0),"SIM",IF(COUNTIF(Pessoas!$C:$C,F570)&gt;0,"nome igual em Pessoas: confira o CPF","")))</f>
        <v/>
      </c>
      <c r="M570" s="24"/>
      <c r="N570" s="11"/>
    </row>
    <row r="571" customFormat="false" ht="15" hidden="false" customHeight="false" outlineLevel="0" collapsed="false">
      <c r="A571" s="24"/>
      <c r="B571" s="31" t="str">
        <f aca="false">IF(A571="","",IF(LEN(UPPER(SUBSTITUTE(SUBSTITUTE(SUBSTITUTE(SUBSTITUTE(TRIM(A571),".",""),"/",""),"-","")," ","")))&lt;14,RIGHT(REPT("0",14)&amp;UPPER(SUBSTITUTE(SUBSTITUTE(SUBSTITUTE(SUBSTITUTE(TRIM(A571),".",""),"/",""),"-","")," ","")),14),UPPER(SUBSTITUTE(SUBSTITUTE(SUBSTITUTE(SUBSTITUTE(TRIM(A571),".",""),"/",""),"-","")," ",""))))</f>
        <v/>
      </c>
      <c r="C571" s="25" t="str">
        <f aca="false">IF(B571="","",IFERROR(INDEX(Empresas!$C:$C,MATCH(B571,Empresas!$B:$B,0)),"cadastre o CNPJ em Empresas"))</f>
        <v/>
      </c>
      <c r="D571" s="23"/>
      <c r="E571" s="24"/>
      <c r="F571" s="31" t="str">
        <f aca="false">IF(D571="","",SUBSTITUTE(SUBSTITUTE(SUBSTITUTE(SUBSTITUTE(SUBSTITUTE(SUBSTITUTE(SUBSTITUTE(SUBSTITUTE(SUBSTITUTE(SUBSTITUTE(SUBSTITUTE(SUBSTITUTE(SUBSTITUTE(UPPER(TRIM(D571)),"Á","A"),"À","A"),"Â","A"),"Ã","A"),"É","E"),"Ê","E"),"Í","I"),"Ó","O"),"Ô","O"),"Õ","O"),"Ú","U"),"Ü","U"),"Ç","C"))</f>
        <v/>
      </c>
      <c r="G571" s="31" t="str">
        <f aca="false">IF(E571="","",IF(LEN(SUBSTITUTE(SUBSTITUTE(SUBSTITUTE(SUBSTITUTE(TRIM(E571),"*",""),".",""),"-","")," ",""))=11,MID(SUBSTITUTE(SUBSTITUTE(SUBSTITUTE(SUBSTITUTE(TRIM(E571),"*",""),".",""),"-","")," ",""),4,6),SUBSTITUTE(SUBSTITUTE(SUBSTITUTE(SUBSTITUTE(TRIM(E571),"*",""),".",""),"-","")," ","")))</f>
        <v/>
      </c>
      <c r="H571" s="31" t="str">
        <f aca="false">IF(OR(F571="",G571=""),"",F571&amp;"|"&amp;G571)</f>
        <v/>
      </c>
      <c r="I571" s="23"/>
      <c r="J571" s="22"/>
      <c r="K571" s="22"/>
      <c r="L571" s="25" t="str">
        <f aca="false">IF(F571="","",IF(AND(H571&lt;&gt;"",COUNTIF(Pessoas!$E:$E,H571)&gt;0),"SIM",IF(COUNTIF(Pessoas!$C:$C,F571)&gt;0,"nome igual em Pessoas: confira o CPF","")))</f>
        <v/>
      </c>
      <c r="M571" s="24"/>
      <c r="N571" s="11"/>
    </row>
    <row r="572" customFormat="false" ht="15" hidden="false" customHeight="false" outlineLevel="0" collapsed="false">
      <c r="A572" s="24"/>
      <c r="B572" s="31" t="str">
        <f aca="false">IF(A572="","",IF(LEN(UPPER(SUBSTITUTE(SUBSTITUTE(SUBSTITUTE(SUBSTITUTE(TRIM(A572),".",""),"/",""),"-","")," ","")))&lt;14,RIGHT(REPT("0",14)&amp;UPPER(SUBSTITUTE(SUBSTITUTE(SUBSTITUTE(SUBSTITUTE(TRIM(A572),".",""),"/",""),"-","")," ","")),14),UPPER(SUBSTITUTE(SUBSTITUTE(SUBSTITUTE(SUBSTITUTE(TRIM(A572),".",""),"/",""),"-","")," ",""))))</f>
        <v/>
      </c>
      <c r="C572" s="25" t="str">
        <f aca="false">IF(B572="","",IFERROR(INDEX(Empresas!$C:$C,MATCH(B572,Empresas!$B:$B,0)),"cadastre o CNPJ em Empresas"))</f>
        <v/>
      </c>
      <c r="D572" s="23"/>
      <c r="E572" s="24"/>
      <c r="F572" s="31" t="str">
        <f aca="false">IF(D572="","",SUBSTITUTE(SUBSTITUTE(SUBSTITUTE(SUBSTITUTE(SUBSTITUTE(SUBSTITUTE(SUBSTITUTE(SUBSTITUTE(SUBSTITUTE(SUBSTITUTE(SUBSTITUTE(SUBSTITUTE(SUBSTITUTE(UPPER(TRIM(D572)),"Á","A"),"À","A"),"Â","A"),"Ã","A"),"É","E"),"Ê","E"),"Í","I"),"Ó","O"),"Ô","O"),"Õ","O"),"Ú","U"),"Ü","U"),"Ç","C"))</f>
        <v/>
      </c>
      <c r="G572" s="31" t="str">
        <f aca="false">IF(E572="","",IF(LEN(SUBSTITUTE(SUBSTITUTE(SUBSTITUTE(SUBSTITUTE(TRIM(E572),"*",""),".",""),"-","")," ",""))=11,MID(SUBSTITUTE(SUBSTITUTE(SUBSTITUTE(SUBSTITUTE(TRIM(E572),"*",""),".",""),"-","")," ",""),4,6),SUBSTITUTE(SUBSTITUTE(SUBSTITUTE(SUBSTITUTE(TRIM(E572),"*",""),".",""),"-","")," ","")))</f>
        <v/>
      </c>
      <c r="H572" s="31" t="str">
        <f aca="false">IF(OR(F572="",G572=""),"",F572&amp;"|"&amp;G572)</f>
        <v/>
      </c>
      <c r="I572" s="23"/>
      <c r="J572" s="22"/>
      <c r="K572" s="22"/>
      <c r="L572" s="25" t="str">
        <f aca="false">IF(F572="","",IF(AND(H572&lt;&gt;"",COUNTIF(Pessoas!$E:$E,H572)&gt;0),"SIM",IF(COUNTIF(Pessoas!$C:$C,F572)&gt;0,"nome igual em Pessoas: confira o CPF","")))</f>
        <v/>
      </c>
      <c r="M572" s="24"/>
      <c r="N572" s="11"/>
    </row>
    <row r="573" customFormat="false" ht="15" hidden="false" customHeight="false" outlineLevel="0" collapsed="false">
      <c r="A573" s="24"/>
      <c r="B573" s="31" t="str">
        <f aca="false">IF(A573="","",IF(LEN(UPPER(SUBSTITUTE(SUBSTITUTE(SUBSTITUTE(SUBSTITUTE(TRIM(A573),".",""),"/",""),"-","")," ","")))&lt;14,RIGHT(REPT("0",14)&amp;UPPER(SUBSTITUTE(SUBSTITUTE(SUBSTITUTE(SUBSTITUTE(TRIM(A573),".",""),"/",""),"-","")," ","")),14),UPPER(SUBSTITUTE(SUBSTITUTE(SUBSTITUTE(SUBSTITUTE(TRIM(A573),".",""),"/",""),"-","")," ",""))))</f>
        <v/>
      </c>
      <c r="C573" s="25" t="str">
        <f aca="false">IF(B573="","",IFERROR(INDEX(Empresas!$C:$C,MATCH(B573,Empresas!$B:$B,0)),"cadastre o CNPJ em Empresas"))</f>
        <v/>
      </c>
      <c r="D573" s="23"/>
      <c r="E573" s="24"/>
      <c r="F573" s="31" t="str">
        <f aca="false">IF(D573="","",SUBSTITUTE(SUBSTITUTE(SUBSTITUTE(SUBSTITUTE(SUBSTITUTE(SUBSTITUTE(SUBSTITUTE(SUBSTITUTE(SUBSTITUTE(SUBSTITUTE(SUBSTITUTE(SUBSTITUTE(SUBSTITUTE(UPPER(TRIM(D573)),"Á","A"),"À","A"),"Â","A"),"Ã","A"),"É","E"),"Ê","E"),"Í","I"),"Ó","O"),"Ô","O"),"Õ","O"),"Ú","U"),"Ü","U"),"Ç","C"))</f>
        <v/>
      </c>
      <c r="G573" s="31" t="str">
        <f aca="false">IF(E573="","",IF(LEN(SUBSTITUTE(SUBSTITUTE(SUBSTITUTE(SUBSTITUTE(TRIM(E573),"*",""),".",""),"-","")," ",""))=11,MID(SUBSTITUTE(SUBSTITUTE(SUBSTITUTE(SUBSTITUTE(TRIM(E573),"*",""),".",""),"-","")," ",""),4,6),SUBSTITUTE(SUBSTITUTE(SUBSTITUTE(SUBSTITUTE(TRIM(E573),"*",""),".",""),"-","")," ","")))</f>
        <v/>
      </c>
      <c r="H573" s="31" t="str">
        <f aca="false">IF(OR(F573="",G573=""),"",F573&amp;"|"&amp;G573)</f>
        <v/>
      </c>
      <c r="I573" s="23"/>
      <c r="J573" s="22"/>
      <c r="K573" s="22"/>
      <c r="L573" s="25" t="str">
        <f aca="false">IF(F573="","",IF(AND(H573&lt;&gt;"",COUNTIF(Pessoas!$E:$E,H573)&gt;0),"SIM",IF(COUNTIF(Pessoas!$C:$C,F573)&gt;0,"nome igual em Pessoas: confira o CPF","")))</f>
        <v/>
      </c>
      <c r="M573" s="24"/>
      <c r="N573" s="11"/>
    </row>
    <row r="574" customFormat="false" ht="15" hidden="false" customHeight="false" outlineLevel="0" collapsed="false">
      <c r="A574" s="24"/>
      <c r="B574" s="31" t="str">
        <f aca="false">IF(A574="","",IF(LEN(UPPER(SUBSTITUTE(SUBSTITUTE(SUBSTITUTE(SUBSTITUTE(TRIM(A574),".",""),"/",""),"-","")," ","")))&lt;14,RIGHT(REPT("0",14)&amp;UPPER(SUBSTITUTE(SUBSTITUTE(SUBSTITUTE(SUBSTITUTE(TRIM(A574),".",""),"/",""),"-","")," ","")),14),UPPER(SUBSTITUTE(SUBSTITUTE(SUBSTITUTE(SUBSTITUTE(TRIM(A574),".",""),"/",""),"-","")," ",""))))</f>
        <v/>
      </c>
      <c r="C574" s="25" t="str">
        <f aca="false">IF(B574="","",IFERROR(INDEX(Empresas!$C:$C,MATCH(B574,Empresas!$B:$B,0)),"cadastre o CNPJ em Empresas"))</f>
        <v/>
      </c>
      <c r="D574" s="23"/>
      <c r="E574" s="24"/>
      <c r="F574" s="31" t="str">
        <f aca="false">IF(D574="","",SUBSTITUTE(SUBSTITUTE(SUBSTITUTE(SUBSTITUTE(SUBSTITUTE(SUBSTITUTE(SUBSTITUTE(SUBSTITUTE(SUBSTITUTE(SUBSTITUTE(SUBSTITUTE(SUBSTITUTE(SUBSTITUTE(UPPER(TRIM(D574)),"Á","A"),"À","A"),"Â","A"),"Ã","A"),"É","E"),"Ê","E"),"Í","I"),"Ó","O"),"Ô","O"),"Õ","O"),"Ú","U"),"Ü","U"),"Ç","C"))</f>
        <v/>
      </c>
      <c r="G574" s="31" t="str">
        <f aca="false">IF(E574="","",IF(LEN(SUBSTITUTE(SUBSTITUTE(SUBSTITUTE(SUBSTITUTE(TRIM(E574),"*",""),".",""),"-","")," ",""))=11,MID(SUBSTITUTE(SUBSTITUTE(SUBSTITUTE(SUBSTITUTE(TRIM(E574),"*",""),".",""),"-","")," ",""),4,6),SUBSTITUTE(SUBSTITUTE(SUBSTITUTE(SUBSTITUTE(TRIM(E574),"*",""),".",""),"-","")," ","")))</f>
        <v/>
      </c>
      <c r="H574" s="31" t="str">
        <f aca="false">IF(OR(F574="",G574=""),"",F574&amp;"|"&amp;G574)</f>
        <v/>
      </c>
      <c r="I574" s="23"/>
      <c r="J574" s="22"/>
      <c r="K574" s="22"/>
      <c r="L574" s="25" t="str">
        <f aca="false">IF(F574="","",IF(AND(H574&lt;&gt;"",COUNTIF(Pessoas!$E:$E,H574)&gt;0),"SIM",IF(COUNTIF(Pessoas!$C:$C,F574)&gt;0,"nome igual em Pessoas: confira o CPF","")))</f>
        <v/>
      </c>
      <c r="M574" s="24"/>
      <c r="N574" s="11"/>
    </row>
    <row r="575" customFormat="false" ht="15" hidden="false" customHeight="false" outlineLevel="0" collapsed="false">
      <c r="A575" s="24"/>
      <c r="B575" s="31" t="str">
        <f aca="false">IF(A575="","",IF(LEN(UPPER(SUBSTITUTE(SUBSTITUTE(SUBSTITUTE(SUBSTITUTE(TRIM(A575),".",""),"/",""),"-","")," ","")))&lt;14,RIGHT(REPT("0",14)&amp;UPPER(SUBSTITUTE(SUBSTITUTE(SUBSTITUTE(SUBSTITUTE(TRIM(A575),".",""),"/",""),"-","")," ","")),14),UPPER(SUBSTITUTE(SUBSTITUTE(SUBSTITUTE(SUBSTITUTE(TRIM(A575),".",""),"/",""),"-","")," ",""))))</f>
        <v/>
      </c>
      <c r="C575" s="25" t="str">
        <f aca="false">IF(B575="","",IFERROR(INDEX(Empresas!$C:$C,MATCH(B575,Empresas!$B:$B,0)),"cadastre o CNPJ em Empresas"))</f>
        <v/>
      </c>
      <c r="D575" s="23"/>
      <c r="E575" s="24"/>
      <c r="F575" s="31" t="str">
        <f aca="false">IF(D575="","",SUBSTITUTE(SUBSTITUTE(SUBSTITUTE(SUBSTITUTE(SUBSTITUTE(SUBSTITUTE(SUBSTITUTE(SUBSTITUTE(SUBSTITUTE(SUBSTITUTE(SUBSTITUTE(SUBSTITUTE(SUBSTITUTE(UPPER(TRIM(D575)),"Á","A"),"À","A"),"Â","A"),"Ã","A"),"É","E"),"Ê","E"),"Í","I"),"Ó","O"),"Ô","O"),"Õ","O"),"Ú","U"),"Ü","U"),"Ç","C"))</f>
        <v/>
      </c>
      <c r="G575" s="31" t="str">
        <f aca="false">IF(E575="","",IF(LEN(SUBSTITUTE(SUBSTITUTE(SUBSTITUTE(SUBSTITUTE(TRIM(E575),"*",""),".",""),"-","")," ",""))=11,MID(SUBSTITUTE(SUBSTITUTE(SUBSTITUTE(SUBSTITUTE(TRIM(E575),"*",""),".",""),"-","")," ",""),4,6),SUBSTITUTE(SUBSTITUTE(SUBSTITUTE(SUBSTITUTE(TRIM(E575),"*",""),".",""),"-","")," ","")))</f>
        <v/>
      </c>
      <c r="H575" s="31" t="str">
        <f aca="false">IF(OR(F575="",G575=""),"",F575&amp;"|"&amp;G575)</f>
        <v/>
      </c>
      <c r="I575" s="23"/>
      <c r="J575" s="22"/>
      <c r="K575" s="22"/>
      <c r="L575" s="25" t="str">
        <f aca="false">IF(F575="","",IF(AND(H575&lt;&gt;"",COUNTIF(Pessoas!$E:$E,H575)&gt;0),"SIM",IF(COUNTIF(Pessoas!$C:$C,F575)&gt;0,"nome igual em Pessoas: confira o CPF","")))</f>
        <v/>
      </c>
      <c r="M575" s="24"/>
      <c r="N575" s="11"/>
    </row>
    <row r="576" customFormat="false" ht="15" hidden="false" customHeight="false" outlineLevel="0" collapsed="false">
      <c r="A576" s="24"/>
      <c r="B576" s="31" t="str">
        <f aca="false">IF(A576="","",IF(LEN(UPPER(SUBSTITUTE(SUBSTITUTE(SUBSTITUTE(SUBSTITUTE(TRIM(A576),".",""),"/",""),"-","")," ","")))&lt;14,RIGHT(REPT("0",14)&amp;UPPER(SUBSTITUTE(SUBSTITUTE(SUBSTITUTE(SUBSTITUTE(TRIM(A576),".",""),"/",""),"-","")," ","")),14),UPPER(SUBSTITUTE(SUBSTITUTE(SUBSTITUTE(SUBSTITUTE(TRIM(A576),".",""),"/",""),"-","")," ",""))))</f>
        <v/>
      </c>
      <c r="C576" s="25" t="str">
        <f aca="false">IF(B576="","",IFERROR(INDEX(Empresas!$C:$C,MATCH(B576,Empresas!$B:$B,0)),"cadastre o CNPJ em Empresas"))</f>
        <v/>
      </c>
      <c r="D576" s="23"/>
      <c r="E576" s="24"/>
      <c r="F576" s="31" t="str">
        <f aca="false">IF(D576="","",SUBSTITUTE(SUBSTITUTE(SUBSTITUTE(SUBSTITUTE(SUBSTITUTE(SUBSTITUTE(SUBSTITUTE(SUBSTITUTE(SUBSTITUTE(SUBSTITUTE(SUBSTITUTE(SUBSTITUTE(SUBSTITUTE(UPPER(TRIM(D576)),"Á","A"),"À","A"),"Â","A"),"Ã","A"),"É","E"),"Ê","E"),"Í","I"),"Ó","O"),"Ô","O"),"Õ","O"),"Ú","U"),"Ü","U"),"Ç","C"))</f>
        <v/>
      </c>
      <c r="G576" s="31" t="str">
        <f aca="false">IF(E576="","",IF(LEN(SUBSTITUTE(SUBSTITUTE(SUBSTITUTE(SUBSTITUTE(TRIM(E576),"*",""),".",""),"-","")," ",""))=11,MID(SUBSTITUTE(SUBSTITUTE(SUBSTITUTE(SUBSTITUTE(TRIM(E576),"*",""),".",""),"-","")," ",""),4,6),SUBSTITUTE(SUBSTITUTE(SUBSTITUTE(SUBSTITUTE(TRIM(E576),"*",""),".",""),"-","")," ","")))</f>
        <v/>
      </c>
      <c r="H576" s="31" t="str">
        <f aca="false">IF(OR(F576="",G576=""),"",F576&amp;"|"&amp;G576)</f>
        <v/>
      </c>
      <c r="I576" s="23"/>
      <c r="J576" s="22"/>
      <c r="K576" s="22"/>
      <c r="L576" s="25" t="str">
        <f aca="false">IF(F576="","",IF(AND(H576&lt;&gt;"",COUNTIF(Pessoas!$E:$E,H576)&gt;0),"SIM",IF(COUNTIF(Pessoas!$C:$C,F576)&gt;0,"nome igual em Pessoas: confira o CPF","")))</f>
        <v/>
      </c>
      <c r="M576" s="24"/>
      <c r="N576" s="11"/>
    </row>
    <row r="577" customFormat="false" ht="15" hidden="false" customHeight="false" outlineLevel="0" collapsed="false">
      <c r="A577" s="24"/>
      <c r="B577" s="31" t="str">
        <f aca="false">IF(A577="","",IF(LEN(UPPER(SUBSTITUTE(SUBSTITUTE(SUBSTITUTE(SUBSTITUTE(TRIM(A577),".",""),"/",""),"-","")," ","")))&lt;14,RIGHT(REPT("0",14)&amp;UPPER(SUBSTITUTE(SUBSTITUTE(SUBSTITUTE(SUBSTITUTE(TRIM(A577),".",""),"/",""),"-","")," ","")),14),UPPER(SUBSTITUTE(SUBSTITUTE(SUBSTITUTE(SUBSTITUTE(TRIM(A577),".",""),"/",""),"-","")," ",""))))</f>
        <v/>
      </c>
      <c r="C577" s="25" t="str">
        <f aca="false">IF(B577="","",IFERROR(INDEX(Empresas!$C:$C,MATCH(B577,Empresas!$B:$B,0)),"cadastre o CNPJ em Empresas"))</f>
        <v/>
      </c>
      <c r="D577" s="23"/>
      <c r="E577" s="24"/>
      <c r="F577" s="31" t="str">
        <f aca="false">IF(D577="","",SUBSTITUTE(SUBSTITUTE(SUBSTITUTE(SUBSTITUTE(SUBSTITUTE(SUBSTITUTE(SUBSTITUTE(SUBSTITUTE(SUBSTITUTE(SUBSTITUTE(SUBSTITUTE(SUBSTITUTE(SUBSTITUTE(UPPER(TRIM(D577)),"Á","A"),"À","A"),"Â","A"),"Ã","A"),"É","E"),"Ê","E"),"Í","I"),"Ó","O"),"Ô","O"),"Õ","O"),"Ú","U"),"Ü","U"),"Ç","C"))</f>
        <v/>
      </c>
      <c r="G577" s="31" t="str">
        <f aca="false">IF(E577="","",IF(LEN(SUBSTITUTE(SUBSTITUTE(SUBSTITUTE(SUBSTITUTE(TRIM(E577),"*",""),".",""),"-","")," ",""))=11,MID(SUBSTITUTE(SUBSTITUTE(SUBSTITUTE(SUBSTITUTE(TRIM(E577),"*",""),".",""),"-","")," ",""),4,6),SUBSTITUTE(SUBSTITUTE(SUBSTITUTE(SUBSTITUTE(TRIM(E577),"*",""),".",""),"-","")," ","")))</f>
        <v/>
      </c>
      <c r="H577" s="31" t="str">
        <f aca="false">IF(OR(F577="",G577=""),"",F577&amp;"|"&amp;G577)</f>
        <v/>
      </c>
      <c r="I577" s="23"/>
      <c r="J577" s="22"/>
      <c r="K577" s="22"/>
      <c r="L577" s="25" t="str">
        <f aca="false">IF(F577="","",IF(AND(H577&lt;&gt;"",COUNTIF(Pessoas!$E:$E,H577)&gt;0),"SIM",IF(COUNTIF(Pessoas!$C:$C,F577)&gt;0,"nome igual em Pessoas: confira o CPF","")))</f>
        <v/>
      </c>
      <c r="M577" s="24"/>
      <c r="N577" s="11"/>
    </row>
    <row r="578" customFormat="false" ht="15" hidden="false" customHeight="false" outlineLevel="0" collapsed="false">
      <c r="A578" s="24"/>
      <c r="B578" s="31" t="str">
        <f aca="false">IF(A578="","",IF(LEN(UPPER(SUBSTITUTE(SUBSTITUTE(SUBSTITUTE(SUBSTITUTE(TRIM(A578),".",""),"/",""),"-","")," ","")))&lt;14,RIGHT(REPT("0",14)&amp;UPPER(SUBSTITUTE(SUBSTITUTE(SUBSTITUTE(SUBSTITUTE(TRIM(A578),".",""),"/",""),"-","")," ","")),14),UPPER(SUBSTITUTE(SUBSTITUTE(SUBSTITUTE(SUBSTITUTE(TRIM(A578),".",""),"/",""),"-","")," ",""))))</f>
        <v/>
      </c>
      <c r="C578" s="25" t="str">
        <f aca="false">IF(B578="","",IFERROR(INDEX(Empresas!$C:$C,MATCH(B578,Empresas!$B:$B,0)),"cadastre o CNPJ em Empresas"))</f>
        <v/>
      </c>
      <c r="D578" s="23"/>
      <c r="E578" s="24"/>
      <c r="F578" s="31" t="str">
        <f aca="false">IF(D578="","",SUBSTITUTE(SUBSTITUTE(SUBSTITUTE(SUBSTITUTE(SUBSTITUTE(SUBSTITUTE(SUBSTITUTE(SUBSTITUTE(SUBSTITUTE(SUBSTITUTE(SUBSTITUTE(SUBSTITUTE(SUBSTITUTE(UPPER(TRIM(D578)),"Á","A"),"À","A"),"Â","A"),"Ã","A"),"É","E"),"Ê","E"),"Í","I"),"Ó","O"),"Ô","O"),"Õ","O"),"Ú","U"),"Ü","U"),"Ç","C"))</f>
        <v/>
      </c>
      <c r="G578" s="31" t="str">
        <f aca="false">IF(E578="","",IF(LEN(SUBSTITUTE(SUBSTITUTE(SUBSTITUTE(SUBSTITUTE(TRIM(E578),"*",""),".",""),"-","")," ",""))=11,MID(SUBSTITUTE(SUBSTITUTE(SUBSTITUTE(SUBSTITUTE(TRIM(E578),"*",""),".",""),"-","")," ",""),4,6),SUBSTITUTE(SUBSTITUTE(SUBSTITUTE(SUBSTITUTE(TRIM(E578),"*",""),".",""),"-","")," ","")))</f>
        <v/>
      </c>
      <c r="H578" s="31" t="str">
        <f aca="false">IF(OR(F578="",G578=""),"",F578&amp;"|"&amp;G578)</f>
        <v/>
      </c>
      <c r="I578" s="23"/>
      <c r="J578" s="22"/>
      <c r="K578" s="22"/>
      <c r="L578" s="25" t="str">
        <f aca="false">IF(F578="","",IF(AND(H578&lt;&gt;"",COUNTIF(Pessoas!$E:$E,H578)&gt;0),"SIM",IF(COUNTIF(Pessoas!$C:$C,F578)&gt;0,"nome igual em Pessoas: confira o CPF","")))</f>
        <v/>
      </c>
      <c r="M578" s="24"/>
      <c r="N578" s="11"/>
    </row>
    <row r="579" customFormat="false" ht="15" hidden="false" customHeight="false" outlineLevel="0" collapsed="false">
      <c r="A579" s="24"/>
      <c r="B579" s="31" t="str">
        <f aca="false">IF(A579="","",IF(LEN(UPPER(SUBSTITUTE(SUBSTITUTE(SUBSTITUTE(SUBSTITUTE(TRIM(A579),".",""),"/",""),"-","")," ","")))&lt;14,RIGHT(REPT("0",14)&amp;UPPER(SUBSTITUTE(SUBSTITUTE(SUBSTITUTE(SUBSTITUTE(TRIM(A579),".",""),"/",""),"-","")," ","")),14),UPPER(SUBSTITUTE(SUBSTITUTE(SUBSTITUTE(SUBSTITUTE(TRIM(A579),".",""),"/",""),"-","")," ",""))))</f>
        <v/>
      </c>
      <c r="C579" s="25" t="str">
        <f aca="false">IF(B579="","",IFERROR(INDEX(Empresas!$C:$C,MATCH(B579,Empresas!$B:$B,0)),"cadastre o CNPJ em Empresas"))</f>
        <v/>
      </c>
      <c r="D579" s="23"/>
      <c r="E579" s="24"/>
      <c r="F579" s="31" t="str">
        <f aca="false">IF(D579="","",SUBSTITUTE(SUBSTITUTE(SUBSTITUTE(SUBSTITUTE(SUBSTITUTE(SUBSTITUTE(SUBSTITUTE(SUBSTITUTE(SUBSTITUTE(SUBSTITUTE(SUBSTITUTE(SUBSTITUTE(SUBSTITUTE(UPPER(TRIM(D579)),"Á","A"),"À","A"),"Â","A"),"Ã","A"),"É","E"),"Ê","E"),"Í","I"),"Ó","O"),"Ô","O"),"Õ","O"),"Ú","U"),"Ü","U"),"Ç","C"))</f>
        <v/>
      </c>
      <c r="G579" s="31" t="str">
        <f aca="false">IF(E579="","",IF(LEN(SUBSTITUTE(SUBSTITUTE(SUBSTITUTE(SUBSTITUTE(TRIM(E579),"*",""),".",""),"-","")," ",""))=11,MID(SUBSTITUTE(SUBSTITUTE(SUBSTITUTE(SUBSTITUTE(TRIM(E579),"*",""),".",""),"-","")," ",""),4,6),SUBSTITUTE(SUBSTITUTE(SUBSTITUTE(SUBSTITUTE(TRIM(E579),"*",""),".",""),"-","")," ","")))</f>
        <v/>
      </c>
      <c r="H579" s="31" t="str">
        <f aca="false">IF(OR(F579="",G579=""),"",F579&amp;"|"&amp;G579)</f>
        <v/>
      </c>
      <c r="I579" s="23"/>
      <c r="J579" s="22"/>
      <c r="K579" s="22"/>
      <c r="L579" s="25" t="str">
        <f aca="false">IF(F579="","",IF(AND(H579&lt;&gt;"",COUNTIF(Pessoas!$E:$E,H579)&gt;0),"SIM",IF(COUNTIF(Pessoas!$C:$C,F579)&gt;0,"nome igual em Pessoas: confira o CPF","")))</f>
        <v/>
      </c>
      <c r="M579" s="24"/>
      <c r="N579" s="11"/>
    </row>
    <row r="580" customFormat="false" ht="15" hidden="false" customHeight="false" outlineLevel="0" collapsed="false">
      <c r="A580" s="24"/>
      <c r="B580" s="31" t="str">
        <f aca="false">IF(A580="","",IF(LEN(UPPER(SUBSTITUTE(SUBSTITUTE(SUBSTITUTE(SUBSTITUTE(TRIM(A580),".",""),"/",""),"-","")," ","")))&lt;14,RIGHT(REPT("0",14)&amp;UPPER(SUBSTITUTE(SUBSTITUTE(SUBSTITUTE(SUBSTITUTE(TRIM(A580),".",""),"/",""),"-","")," ","")),14),UPPER(SUBSTITUTE(SUBSTITUTE(SUBSTITUTE(SUBSTITUTE(TRIM(A580),".",""),"/",""),"-","")," ",""))))</f>
        <v/>
      </c>
      <c r="C580" s="25" t="str">
        <f aca="false">IF(B580="","",IFERROR(INDEX(Empresas!$C:$C,MATCH(B580,Empresas!$B:$B,0)),"cadastre o CNPJ em Empresas"))</f>
        <v/>
      </c>
      <c r="D580" s="23"/>
      <c r="E580" s="24"/>
      <c r="F580" s="31" t="str">
        <f aca="false">IF(D580="","",SUBSTITUTE(SUBSTITUTE(SUBSTITUTE(SUBSTITUTE(SUBSTITUTE(SUBSTITUTE(SUBSTITUTE(SUBSTITUTE(SUBSTITUTE(SUBSTITUTE(SUBSTITUTE(SUBSTITUTE(SUBSTITUTE(UPPER(TRIM(D580)),"Á","A"),"À","A"),"Â","A"),"Ã","A"),"É","E"),"Ê","E"),"Í","I"),"Ó","O"),"Ô","O"),"Õ","O"),"Ú","U"),"Ü","U"),"Ç","C"))</f>
        <v/>
      </c>
      <c r="G580" s="31" t="str">
        <f aca="false">IF(E580="","",IF(LEN(SUBSTITUTE(SUBSTITUTE(SUBSTITUTE(SUBSTITUTE(TRIM(E580),"*",""),".",""),"-","")," ",""))=11,MID(SUBSTITUTE(SUBSTITUTE(SUBSTITUTE(SUBSTITUTE(TRIM(E580),"*",""),".",""),"-","")," ",""),4,6),SUBSTITUTE(SUBSTITUTE(SUBSTITUTE(SUBSTITUTE(TRIM(E580),"*",""),".",""),"-","")," ","")))</f>
        <v/>
      </c>
      <c r="H580" s="31" t="str">
        <f aca="false">IF(OR(F580="",G580=""),"",F580&amp;"|"&amp;G580)</f>
        <v/>
      </c>
      <c r="I580" s="23"/>
      <c r="J580" s="22"/>
      <c r="K580" s="22"/>
      <c r="L580" s="25" t="str">
        <f aca="false">IF(F580="","",IF(AND(H580&lt;&gt;"",COUNTIF(Pessoas!$E:$E,H580)&gt;0),"SIM",IF(COUNTIF(Pessoas!$C:$C,F580)&gt;0,"nome igual em Pessoas: confira o CPF","")))</f>
        <v/>
      </c>
      <c r="M580" s="24"/>
      <c r="N580" s="11"/>
    </row>
    <row r="581" customFormat="false" ht="15" hidden="false" customHeight="false" outlineLevel="0" collapsed="false">
      <c r="A581" s="24"/>
      <c r="B581" s="31" t="str">
        <f aca="false">IF(A581="","",IF(LEN(UPPER(SUBSTITUTE(SUBSTITUTE(SUBSTITUTE(SUBSTITUTE(TRIM(A581),".",""),"/",""),"-","")," ","")))&lt;14,RIGHT(REPT("0",14)&amp;UPPER(SUBSTITUTE(SUBSTITUTE(SUBSTITUTE(SUBSTITUTE(TRIM(A581),".",""),"/",""),"-","")," ","")),14),UPPER(SUBSTITUTE(SUBSTITUTE(SUBSTITUTE(SUBSTITUTE(TRIM(A581),".",""),"/",""),"-","")," ",""))))</f>
        <v/>
      </c>
      <c r="C581" s="25" t="str">
        <f aca="false">IF(B581="","",IFERROR(INDEX(Empresas!$C:$C,MATCH(B581,Empresas!$B:$B,0)),"cadastre o CNPJ em Empresas"))</f>
        <v/>
      </c>
      <c r="D581" s="23"/>
      <c r="E581" s="24"/>
      <c r="F581" s="31" t="str">
        <f aca="false">IF(D581="","",SUBSTITUTE(SUBSTITUTE(SUBSTITUTE(SUBSTITUTE(SUBSTITUTE(SUBSTITUTE(SUBSTITUTE(SUBSTITUTE(SUBSTITUTE(SUBSTITUTE(SUBSTITUTE(SUBSTITUTE(SUBSTITUTE(UPPER(TRIM(D581)),"Á","A"),"À","A"),"Â","A"),"Ã","A"),"É","E"),"Ê","E"),"Í","I"),"Ó","O"),"Ô","O"),"Õ","O"),"Ú","U"),"Ü","U"),"Ç","C"))</f>
        <v/>
      </c>
      <c r="G581" s="31" t="str">
        <f aca="false">IF(E581="","",IF(LEN(SUBSTITUTE(SUBSTITUTE(SUBSTITUTE(SUBSTITUTE(TRIM(E581),"*",""),".",""),"-","")," ",""))=11,MID(SUBSTITUTE(SUBSTITUTE(SUBSTITUTE(SUBSTITUTE(TRIM(E581),"*",""),".",""),"-","")," ",""),4,6),SUBSTITUTE(SUBSTITUTE(SUBSTITUTE(SUBSTITUTE(TRIM(E581),"*",""),".",""),"-","")," ","")))</f>
        <v/>
      </c>
      <c r="H581" s="31" t="str">
        <f aca="false">IF(OR(F581="",G581=""),"",F581&amp;"|"&amp;G581)</f>
        <v/>
      </c>
      <c r="I581" s="23"/>
      <c r="J581" s="22"/>
      <c r="K581" s="22"/>
      <c r="L581" s="25" t="str">
        <f aca="false">IF(F581="","",IF(AND(H581&lt;&gt;"",COUNTIF(Pessoas!$E:$E,H581)&gt;0),"SIM",IF(COUNTIF(Pessoas!$C:$C,F581)&gt;0,"nome igual em Pessoas: confira o CPF","")))</f>
        <v/>
      </c>
      <c r="M581" s="24"/>
      <c r="N581" s="11"/>
    </row>
    <row r="582" customFormat="false" ht="15" hidden="false" customHeight="false" outlineLevel="0" collapsed="false">
      <c r="A582" s="24"/>
      <c r="B582" s="31" t="str">
        <f aca="false">IF(A582="","",IF(LEN(UPPER(SUBSTITUTE(SUBSTITUTE(SUBSTITUTE(SUBSTITUTE(TRIM(A582),".",""),"/",""),"-","")," ","")))&lt;14,RIGHT(REPT("0",14)&amp;UPPER(SUBSTITUTE(SUBSTITUTE(SUBSTITUTE(SUBSTITUTE(TRIM(A582),".",""),"/",""),"-","")," ","")),14),UPPER(SUBSTITUTE(SUBSTITUTE(SUBSTITUTE(SUBSTITUTE(TRIM(A582),".",""),"/",""),"-","")," ",""))))</f>
        <v/>
      </c>
      <c r="C582" s="25" t="str">
        <f aca="false">IF(B582="","",IFERROR(INDEX(Empresas!$C:$C,MATCH(B582,Empresas!$B:$B,0)),"cadastre o CNPJ em Empresas"))</f>
        <v/>
      </c>
      <c r="D582" s="23"/>
      <c r="E582" s="24"/>
      <c r="F582" s="31" t="str">
        <f aca="false">IF(D582="","",SUBSTITUTE(SUBSTITUTE(SUBSTITUTE(SUBSTITUTE(SUBSTITUTE(SUBSTITUTE(SUBSTITUTE(SUBSTITUTE(SUBSTITUTE(SUBSTITUTE(SUBSTITUTE(SUBSTITUTE(SUBSTITUTE(UPPER(TRIM(D582)),"Á","A"),"À","A"),"Â","A"),"Ã","A"),"É","E"),"Ê","E"),"Í","I"),"Ó","O"),"Ô","O"),"Õ","O"),"Ú","U"),"Ü","U"),"Ç","C"))</f>
        <v/>
      </c>
      <c r="G582" s="31" t="str">
        <f aca="false">IF(E582="","",IF(LEN(SUBSTITUTE(SUBSTITUTE(SUBSTITUTE(SUBSTITUTE(TRIM(E582),"*",""),".",""),"-","")," ",""))=11,MID(SUBSTITUTE(SUBSTITUTE(SUBSTITUTE(SUBSTITUTE(TRIM(E582),"*",""),".",""),"-","")," ",""),4,6),SUBSTITUTE(SUBSTITUTE(SUBSTITUTE(SUBSTITUTE(TRIM(E582),"*",""),".",""),"-","")," ","")))</f>
        <v/>
      </c>
      <c r="H582" s="31" t="str">
        <f aca="false">IF(OR(F582="",G582=""),"",F582&amp;"|"&amp;G582)</f>
        <v/>
      </c>
      <c r="I582" s="23"/>
      <c r="J582" s="22"/>
      <c r="K582" s="22"/>
      <c r="L582" s="25" t="str">
        <f aca="false">IF(F582="","",IF(AND(H582&lt;&gt;"",COUNTIF(Pessoas!$E:$E,H582)&gt;0),"SIM",IF(COUNTIF(Pessoas!$C:$C,F582)&gt;0,"nome igual em Pessoas: confira o CPF","")))</f>
        <v/>
      </c>
      <c r="M582" s="24"/>
      <c r="N582" s="11"/>
    </row>
    <row r="583" customFormat="false" ht="15" hidden="false" customHeight="false" outlineLevel="0" collapsed="false">
      <c r="A583" s="24"/>
      <c r="B583" s="31" t="str">
        <f aca="false">IF(A583="","",IF(LEN(UPPER(SUBSTITUTE(SUBSTITUTE(SUBSTITUTE(SUBSTITUTE(TRIM(A583),".",""),"/",""),"-","")," ","")))&lt;14,RIGHT(REPT("0",14)&amp;UPPER(SUBSTITUTE(SUBSTITUTE(SUBSTITUTE(SUBSTITUTE(TRIM(A583),".",""),"/",""),"-","")," ","")),14),UPPER(SUBSTITUTE(SUBSTITUTE(SUBSTITUTE(SUBSTITUTE(TRIM(A583),".",""),"/",""),"-","")," ",""))))</f>
        <v/>
      </c>
      <c r="C583" s="25" t="str">
        <f aca="false">IF(B583="","",IFERROR(INDEX(Empresas!$C:$C,MATCH(B583,Empresas!$B:$B,0)),"cadastre o CNPJ em Empresas"))</f>
        <v/>
      </c>
      <c r="D583" s="23"/>
      <c r="E583" s="24"/>
      <c r="F583" s="31" t="str">
        <f aca="false">IF(D583="","",SUBSTITUTE(SUBSTITUTE(SUBSTITUTE(SUBSTITUTE(SUBSTITUTE(SUBSTITUTE(SUBSTITUTE(SUBSTITUTE(SUBSTITUTE(SUBSTITUTE(SUBSTITUTE(SUBSTITUTE(SUBSTITUTE(UPPER(TRIM(D583)),"Á","A"),"À","A"),"Â","A"),"Ã","A"),"É","E"),"Ê","E"),"Í","I"),"Ó","O"),"Ô","O"),"Õ","O"),"Ú","U"),"Ü","U"),"Ç","C"))</f>
        <v/>
      </c>
      <c r="G583" s="31" t="str">
        <f aca="false">IF(E583="","",IF(LEN(SUBSTITUTE(SUBSTITUTE(SUBSTITUTE(SUBSTITUTE(TRIM(E583),"*",""),".",""),"-","")," ",""))=11,MID(SUBSTITUTE(SUBSTITUTE(SUBSTITUTE(SUBSTITUTE(TRIM(E583),"*",""),".",""),"-","")," ",""),4,6),SUBSTITUTE(SUBSTITUTE(SUBSTITUTE(SUBSTITUTE(TRIM(E583),"*",""),".",""),"-","")," ","")))</f>
        <v/>
      </c>
      <c r="H583" s="31" t="str">
        <f aca="false">IF(OR(F583="",G583=""),"",F583&amp;"|"&amp;G583)</f>
        <v/>
      </c>
      <c r="I583" s="23"/>
      <c r="J583" s="22"/>
      <c r="K583" s="22"/>
      <c r="L583" s="25" t="str">
        <f aca="false">IF(F583="","",IF(AND(H583&lt;&gt;"",COUNTIF(Pessoas!$E:$E,H583)&gt;0),"SIM",IF(COUNTIF(Pessoas!$C:$C,F583)&gt;0,"nome igual em Pessoas: confira o CPF","")))</f>
        <v/>
      </c>
      <c r="M583" s="24"/>
      <c r="N583" s="11"/>
    </row>
    <row r="584" customFormat="false" ht="15" hidden="false" customHeight="false" outlineLevel="0" collapsed="false">
      <c r="A584" s="24"/>
      <c r="B584" s="31" t="str">
        <f aca="false">IF(A584="","",IF(LEN(UPPER(SUBSTITUTE(SUBSTITUTE(SUBSTITUTE(SUBSTITUTE(TRIM(A584),".",""),"/",""),"-","")," ","")))&lt;14,RIGHT(REPT("0",14)&amp;UPPER(SUBSTITUTE(SUBSTITUTE(SUBSTITUTE(SUBSTITUTE(TRIM(A584),".",""),"/",""),"-","")," ","")),14),UPPER(SUBSTITUTE(SUBSTITUTE(SUBSTITUTE(SUBSTITUTE(TRIM(A584),".",""),"/",""),"-","")," ",""))))</f>
        <v/>
      </c>
      <c r="C584" s="25" t="str">
        <f aca="false">IF(B584="","",IFERROR(INDEX(Empresas!$C:$C,MATCH(B584,Empresas!$B:$B,0)),"cadastre o CNPJ em Empresas"))</f>
        <v/>
      </c>
      <c r="D584" s="23"/>
      <c r="E584" s="24"/>
      <c r="F584" s="31" t="str">
        <f aca="false">IF(D584="","",SUBSTITUTE(SUBSTITUTE(SUBSTITUTE(SUBSTITUTE(SUBSTITUTE(SUBSTITUTE(SUBSTITUTE(SUBSTITUTE(SUBSTITUTE(SUBSTITUTE(SUBSTITUTE(SUBSTITUTE(SUBSTITUTE(UPPER(TRIM(D584)),"Á","A"),"À","A"),"Â","A"),"Ã","A"),"É","E"),"Ê","E"),"Í","I"),"Ó","O"),"Ô","O"),"Õ","O"),"Ú","U"),"Ü","U"),"Ç","C"))</f>
        <v/>
      </c>
      <c r="G584" s="31" t="str">
        <f aca="false">IF(E584="","",IF(LEN(SUBSTITUTE(SUBSTITUTE(SUBSTITUTE(SUBSTITUTE(TRIM(E584),"*",""),".",""),"-","")," ",""))=11,MID(SUBSTITUTE(SUBSTITUTE(SUBSTITUTE(SUBSTITUTE(TRIM(E584),"*",""),".",""),"-","")," ",""),4,6),SUBSTITUTE(SUBSTITUTE(SUBSTITUTE(SUBSTITUTE(TRIM(E584),"*",""),".",""),"-","")," ","")))</f>
        <v/>
      </c>
      <c r="H584" s="31" t="str">
        <f aca="false">IF(OR(F584="",G584=""),"",F584&amp;"|"&amp;G584)</f>
        <v/>
      </c>
      <c r="I584" s="23"/>
      <c r="J584" s="22"/>
      <c r="K584" s="22"/>
      <c r="L584" s="25" t="str">
        <f aca="false">IF(F584="","",IF(AND(H584&lt;&gt;"",COUNTIF(Pessoas!$E:$E,H584)&gt;0),"SIM",IF(COUNTIF(Pessoas!$C:$C,F584)&gt;0,"nome igual em Pessoas: confira o CPF","")))</f>
        <v/>
      </c>
      <c r="M584" s="24"/>
      <c r="N584" s="11"/>
    </row>
    <row r="585" customFormat="false" ht="15" hidden="false" customHeight="false" outlineLevel="0" collapsed="false">
      <c r="A585" s="24"/>
      <c r="B585" s="31" t="str">
        <f aca="false">IF(A585="","",IF(LEN(UPPER(SUBSTITUTE(SUBSTITUTE(SUBSTITUTE(SUBSTITUTE(TRIM(A585),".",""),"/",""),"-","")," ","")))&lt;14,RIGHT(REPT("0",14)&amp;UPPER(SUBSTITUTE(SUBSTITUTE(SUBSTITUTE(SUBSTITUTE(TRIM(A585),".",""),"/",""),"-","")," ","")),14),UPPER(SUBSTITUTE(SUBSTITUTE(SUBSTITUTE(SUBSTITUTE(TRIM(A585),".",""),"/",""),"-","")," ",""))))</f>
        <v/>
      </c>
      <c r="C585" s="25" t="str">
        <f aca="false">IF(B585="","",IFERROR(INDEX(Empresas!$C:$C,MATCH(B585,Empresas!$B:$B,0)),"cadastre o CNPJ em Empresas"))</f>
        <v/>
      </c>
      <c r="D585" s="23"/>
      <c r="E585" s="24"/>
      <c r="F585" s="31" t="str">
        <f aca="false">IF(D585="","",SUBSTITUTE(SUBSTITUTE(SUBSTITUTE(SUBSTITUTE(SUBSTITUTE(SUBSTITUTE(SUBSTITUTE(SUBSTITUTE(SUBSTITUTE(SUBSTITUTE(SUBSTITUTE(SUBSTITUTE(SUBSTITUTE(UPPER(TRIM(D585)),"Á","A"),"À","A"),"Â","A"),"Ã","A"),"É","E"),"Ê","E"),"Í","I"),"Ó","O"),"Ô","O"),"Õ","O"),"Ú","U"),"Ü","U"),"Ç","C"))</f>
        <v/>
      </c>
      <c r="G585" s="31" t="str">
        <f aca="false">IF(E585="","",IF(LEN(SUBSTITUTE(SUBSTITUTE(SUBSTITUTE(SUBSTITUTE(TRIM(E585),"*",""),".",""),"-","")," ",""))=11,MID(SUBSTITUTE(SUBSTITUTE(SUBSTITUTE(SUBSTITUTE(TRIM(E585),"*",""),".",""),"-","")," ",""),4,6),SUBSTITUTE(SUBSTITUTE(SUBSTITUTE(SUBSTITUTE(TRIM(E585),"*",""),".",""),"-","")," ","")))</f>
        <v/>
      </c>
      <c r="H585" s="31" t="str">
        <f aca="false">IF(OR(F585="",G585=""),"",F585&amp;"|"&amp;G585)</f>
        <v/>
      </c>
      <c r="I585" s="23"/>
      <c r="J585" s="22"/>
      <c r="K585" s="22"/>
      <c r="L585" s="25" t="str">
        <f aca="false">IF(F585="","",IF(AND(H585&lt;&gt;"",COUNTIF(Pessoas!$E:$E,H585)&gt;0),"SIM",IF(COUNTIF(Pessoas!$C:$C,F585)&gt;0,"nome igual em Pessoas: confira o CPF","")))</f>
        <v/>
      </c>
      <c r="M585" s="24"/>
      <c r="N585" s="11"/>
    </row>
    <row r="586" customFormat="false" ht="15" hidden="false" customHeight="false" outlineLevel="0" collapsed="false">
      <c r="A586" s="24"/>
      <c r="B586" s="31" t="str">
        <f aca="false">IF(A586="","",IF(LEN(UPPER(SUBSTITUTE(SUBSTITUTE(SUBSTITUTE(SUBSTITUTE(TRIM(A586),".",""),"/",""),"-","")," ","")))&lt;14,RIGHT(REPT("0",14)&amp;UPPER(SUBSTITUTE(SUBSTITUTE(SUBSTITUTE(SUBSTITUTE(TRIM(A586),".",""),"/",""),"-","")," ","")),14),UPPER(SUBSTITUTE(SUBSTITUTE(SUBSTITUTE(SUBSTITUTE(TRIM(A586),".",""),"/",""),"-","")," ",""))))</f>
        <v/>
      </c>
      <c r="C586" s="25" t="str">
        <f aca="false">IF(B586="","",IFERROR(INDEX(Empresas!$C:$C,MATCH(B586,Empresas!$B:$B,0)),"cadastre o CNPJ em Empresas"))</f>
        <v/>
      </c>
      <c r="D586" s="23"/>
      <c r="E586" s="24"/>
      <c r="F586" s="31" t="str">
        <f aca="false">IF(D586="","",SUBSTITUTE(SUBSTITUTE(SUBSTITUTE(SUBSTITUTE(SUBSTITUTE(SUBSTITUTE(SUBSTITUTE(SUBSTITUTE(SUBSTITUTE(SUBSTITUTE(SUBSTITUTE(SUBSTITUTE(SUBSTITUTE(UPPER(TRIM(D586)),"Á","A"),"À","A"),"Â","A"),"Ã","A"),"É","E"),"Ê","E"),"Í","I"),"Ó","O"),"Ô","O"),"Õ","O"),"Ú","U"),"Ü","U"),"Ç","C"))</f>
        <v/>
      </c>
      <c r="G586" s="31" t="str">
        <f aca="false">IF(E586="","",IF(LEN(SUBSTITUTE(SUBSTITUTE(SUBSTITUTE(SUBSTITUTE(TRIM(E586),"*",""),".",""),"-","")," ",""))=11,MID(SUBSTITUTE(SUBSTITUTE(SUBSTITUTE(SUBSTITUTE(TRIM(E586),"*",""),".",""),"-","")," ",""),4,6),SUBSTITUTE(SUBSTITUTE(SUBSTITUTE(SUBSTITUTE(TRIM(E586),"*",""),".",""),"-","")," ","")))</f>
        <v/>
      </c>
      <c r="H586" s="31" t="str">
        <f aca="false">IF(OR(F586="",G586=""),"",F586&amp;"|"&amp;G586)</f>
        <v/>
      </c>
      <c r="I586" s="23"/>
      <c r="J586" s="22"/>
      <c r="K586" s="22"/>
      <c r="L586" s="25" t="str">
        <f aca="false">IF(F586="","",IF(AND(H586&lt;&gt;"",COUNTIF(Pessoas!$E:$E,H586)&gt;0),"SIM",IF(COUNTIF(Pessoas!$C:$C,F586)&gt;0,"nome igual em Pessoas: confira o CPF","")))</f>
        <v/>
      </c>
      <c r="M586" s="24"/>
      <c r="N586" s="11"/>
    </row>
    <row r="587" customFormat="false" ht="15" hidden="false" customHeight="false" outlineLevel="0" collapsed="false">
      <c r="A587" s="24"/>
      <c r="B587" s="31" t="str">
        <f aca="false">IF(A587="","",IF(LEN(UPPER(SUBSTITUTE(SUBSTITUTE(SUBSTITUTE(SUBSTITUTE(TRIM(A587),".",""),"/",""),"-","")," ","")))&lt;14,RIGHT(REPT("0",14)&amp;UPPER(SUBSTITUTE(SUBSTITUTE(SUBSTITUTE(SUBSTITUTE(TRIM(A587),".",""),"/",""),"-","")," ","")),14),UPPER(SUBSTITUTE(SUBSTITUTE(SUBSTITUTE(SUBSTITUTE(TRIM(A587),".",""),"/",""),"-","")," ",""))))</f>
        <v/>
      </c>
      <c r="C587" s="25" t="str">
        <f aca="false">IF(B587="","",IFERROR(INDEX(Empresas!$C:$C,MATCH(B587,Empresas!$B:$B,0)),"cadastre o CNPJ em Empresas"))</f>
        <v/>
      </c>
      <c r="D587" s="23"/>
      <c r="E587" s="24"/>
      <c r="F587" s="31" t="str">
        <f aca="false">IF(D587="","",SUBSTITUTE(SUBSTITUTE(SUBSTITUTE(SUBSTITUTE(SUBSTITUTE(SUBSTITUTE(SUBSTITUTE(SUBSTITUTE(SUBSTITUTE(SUBSTITUTE(SUBSTITUTE(SUBSTITUTE(SUBSTITUTE(UPPER(TRIM(D587)),"Á","A"),"À","A"),"Â","A"),"Ã","A"),"É","E"),"Ê","E"),"Í","I"),"Ó","O"),"Ô","O"),"Õ","O"),"Ú","U"),"Ü","U"),"Ç","C"))</f>
        <v/>
      </c>
      <c r="G587" s="31" t="str">
        <f aca="false">IF(E587="","",IF(LEN(SUBSTITUTE(SUBSTITUTE(SUBSTITUTE(SUBSTITUTE(TRIM(E587),"*",""),".",""),"-","")," ",""))=11,MID(SUBSTITUTE(SUBSTITUTE(SUBSTITUTE(SUBSTITUTE(TRIM(E587),"*",""),".",""),"-","")," ",""),4,6),SUBSTITUTE(SUBSTITUTE(SUBSTITUTE(SUBSTITUTE(TRIM(E587),"*",""),".",""),"-","")," ","")))</f>
        <v/>
      </c>
      <c r="H587" s="31" t="str">
        <f aca="false">IF(OR(F587="",G587=""),"",F587&amp;"|"&amp;G587)</f>
        <v/>
      </c>
      <c r="I587" s="23"/>
      <c r="J587" s="22"/>
      <c r="K587" s="22"/>
      <c r="L587" s="25" t="str">
        <f aca="false">IF(F587="","",IF(AND(H587&lt;&gt;"",COUNTIF(Pessoas!$E:$E,H587)&gt;0),"SIM",IF(COUNTIF(Pessoas!$C:$C,F587)&gt;0,"nome igual em Pessoas: confira o CPF","")))</f>
        <v/>
      </c>
      <c r="M587" s="24"/>
      <c r="N587" s="11"/>
    </row>
    <row r="588" customFormat="false" ht="15" hidden="false" customHeight="false" outlineLevel="0" collapsed="false">
      <c r="A588" s="24"/>
      <c r="B588" s="31" t="str">
        <f aca="false">IF(A588="","",IF(LEN(UPPER(SUBSTITUTE(SUBSTITUTE(SUBSTITUTE(SUBSTITUTE(TRIM(A588),".",""),"/",""),"-","")," ","")))&lt;14,RIGHT(REPT("0",14)&amp;UPPER(SUBSTITUTE(SUBSTITUTE(SUBSTITUTE(SUBSTITUTE(TRIM(A588),".",""),"/",""),"-","")," ","")),14),UPPER(SUBSTITUTE(SUBSTITUTE(SUBSTITUTE(SUBSTITUTE(TRIM(A588),".",""),"/",""),"-","")," ",""))))</f>
        <v/>
      </c>
      <c r="C588" s="25" t="str">
        <f aca="false">IF(B588="","",IFERROR(INDEX(Empresas!$C:$C,MATCH(B588,Empresas!$B:$B,0)),"cadastre o CNPJ em Empresas"))</f>
        <v/>
      </c>
      <c r="D588" s="23"/>
      <c r="E588" s="24"/>
      <c r="F588" s="31" t="str">
        <f aca="false">IF(D588="","",SUBSTITUTE(SUBSTITUTE(SUBSTITUTE(SUBSTITUTE(SUBSTITUTE(SUBSTITUTE(SUBSTITUTE(SUBSTITUTE(SUBSTITUTE(SUBSTITUTE(SUBSTITUTE(SUBSTITUTE(SUBSTITUTE(UPPER(TRIM(D588)),"Á","A"),"À","A"),"Â","A"),"Ã","A"),"É","E"),"Ê","E"),"Í","I"),"Ó","O"),"Ô","O"),"Õ","O"),"Ú","U"),"Ü","U"),"Ç","C"))</f>
        <v/>
      </c>
      <c r="G588" s="31" t="str">
        <f aca="false">IF(E588="","",IF(LEN(SUBSTITUTE(SUBSTITUTE(SUBSTITUTE(SUBSTITUTE(TRIM(E588),"*",""),".",""),"-","")," ",""))=11,MID(SUBSTITUTE(SUBSTITUTE(SUBSTITUTE(SUBSTITUTE(TRIM(E588),"*",""),".",""),"-","")," ",""),4,6),SUBSTITUTE(SUBSTITUTE(SUBSTITUTE(SUBSTITUTE(TRIM(E588),"*",""),".",""),"-","")," ","")))</f>
        <v/>
      </c>
      <c r="H588" s="31" t="str">
        <f aca="false">IF(OR(F588="",G588=""),"",F588&amp;"|"&amp;G588)</f>
        <v/>
      </c>
      <c r="I588" s="23"/>
      <c r="J588" s="22"/>
      <c r="K588" s="22"/>
      <c r="L588" s="25" t="str">
        <f aca="false">IF(F588="","",IF(AND(H588&lt;&gt;"",COUNTIF(Pessoas!$E:$E,H588)&gt;0),"SIM",IF(COUNTIF(Pessoas!$C:$C,F588)&gt;0,"nome igual em Pessoas: confira o CPF","")))</f>
        <v/>
      </c>
      <c r="M588" s="24"/>
      <c r="N588" s="11"/>
    </row>
    <row r="589" customFormat="false" ht="15" hidden="false" customHeight="false" outlineLevel="0" collapsed="false">
      <c r="A589" s="24"/>
      <c r="B589" s="31" t="str">
        <f aca="false">IF(A589="","",IF(LEN(UPPER(SUBSTITUTE(SUBSTITUTE(SUBSTITUTE(SUBSTITUTE(TRIM(A589),".",""),"/",""),"-","")," ","")))&lt;14,RIGHT(REPT("0",14)&amp;UPPER(SUBSTITUTE(SUBSTITUTE(SUBSTITUTE(SUBSTITUTE(TRIM(A589),".",""),"/",""),"-","")," ","")),14),UPPER(SUBSTITUTE(SUBSTITUTE(SUBSTITUTE(SUBSTITUTE(TRIM(A589),".",""),"/",""),"-","")," ",""))))</f>
        <v/>
      </c>
      <c r="C589" s="25" t="str">
        <f aca="false">IF(B589="","",IFERROR(INDEX(Empresas!$C:$C,MATCH(B589,Empresas!$B:$B,0)),"cadastre o CNPJ em Empresas"))</f>
        <v/>
      </c>
      <c r="D589" s="23"/>
      <c r="E589" s="24"/>
      <c r="F589" s="31" t="str">
        <f aca="false">IF(D589="","",SUBSTITUTE(SUBSTITUTE(SUBSTITUTE(SUBSTITUTE(SUBSTITUTE(SUBSTITUTE(SUBSTITUTE(SUBSTITUTE(SUBSTITUTE(SUBSTITUTE(SUBSTITUTE(SUBSTITUTE(SUBSTITUTE(UPPER(TRIM(D589)),"Á","A"),"À","A"),"Â","A"),"Ã","A"),"É","E"),"Ê","E"),"Í","I"),"Ó","O"),"Ô","O"),"Õ","O"),"Ú","U"),"Ü","U"),"Ç","C"))</f>
        <v/>
      </c>
      <c r="G589" s="31" t="str">
        <f aca="false">IF(E589="","",IF(LEN(SUBSTITUTE(SUBSTITUTE(SUBSTITUTE(SUBSTITUTE(TRIM(E589),"*",""),".",""),"-","")," ",""))=11,MID(SUBSTITUTE(SUBSTITUTE(SUBSTITUTE(SUBSTITUTE(TRIM(E589),"*",""),".",""),"-","")," ",""),4,6),SUBSTITUTE(SUBSTITUTE(SUBSTITUTE(SUBSTITUTE(TRIM(E589),"*",""),".",""),"-","")," ","")))</f>
        <v/>
      </c>
      <c r="H589" s="31" t="str">
        <f aca="false">IF(OR(F589="",G589=""),"",F589&amp;"|"&amp;G589)</f>
        <v/>
      </c>
      <c r="I589" s="23"/>
      <c r="J589" s="22"/>
      <c r="K589" s="22"/>
      <c r="L589" s="25" t="str">
        <f aca="false">IF(F589="","",IF(AND(H589&lt;&gt;"",COUNTIF(Pessoas!$E:$E,H589)&gt;0),"SIM",IF(COUNTIF(Pessoas!$C:$C,F589)&gt;0,"nome igual em Pessoas: confira o CPF","")))</f>
        <v/>
      </c>
      <c r="M589" s="24"/>
      <c r="N589" s="11"/>
    </row>
    <row r="590" customFormat="false" ht="15" hidden="false" customHeight="false" outlineLevel="0" collapsed="false">
      <c r="A590" s="24"/>
      <c r="B590" s="31" t="str">
        <f aca="false">IF(A590="","",IF(LEN(UPPER(SUBSTITUTE(SUBSTITUTE(SUBSTITUTE(SUBSTITUTE(TRIM(A590),".",""),"/",""),"-","")," ","")))&lt;14,RIGHT(REPT("0",14)&amp;UPPER(SUBSTITUTE(SUBSTITUTE(SUBSTITUTE(SUBSTITUTE(TRIM(A590),".",""),"/",""),"-","")," ","")),14),UPPER(SUBSTITUTE(SUBSTITUTE(SUBSTITUTE(SUBSTITUTE(TRIM(A590),".",""),"/",""),"-","")," ",""))))</f>
        <v/>
      </c>
      <c r="C590" s="25" t="str">
        <f aca="false">IF(B590="","",IFERROR(INDEX(Empresas!$C:$C,MATCH(B590,Empresas!$B:$B,0)),"cadastre o CNPJ em Empresas"))</f>
        <v/>
      </c>
      <c r="D590" s="23"/>
      <c r="E590" s="24"/>
      <c r="F590" s="31" t="str">
        <f aca="false">IF(D590="","",SUBSTITUTE(SUBSTITUTE(SUBSTITUTE(SUBSTITUTE(SUBSTITUTE(SUBSTITUTE(SUBSTITUTE(SUBSTITUTE(SUBSTITUTE(SUBSTITUTE(SUBSTITUTE(SUBSTITUTE(SUBSTITUTE(UPPER(TRIM(D590)),"Á","A"),"À","A"),"Â","A"),"Ã","A"),"É","E"),"Ê","E"),"Í","I"),"Ó","O"),"Ô","O"),"Õ","O"),"Ú","U"),"Ü","U"),"Ç","C"))</f>
        <v/>
      </c>
      <c r="G590" s="31" t="str">
        <f aca="false">IF(E590="","",IF(LEN(SUBSTITUTE(SUBSTITUTE(SUBSTITUTE(SUBSTITUTE(TRIM(E590),"*",""),".",""),"-","")," ",""))=11,MID(SUBSTITUTE(SUBSTITUTE(SUBSTITUTE(SUBSTITUTE(TRIM(E590),"*",""),".",""),"-","")," ",""),4,6),SUBSTITUTE(SUBSTITUTE(SUBSTITUTE(SUBSTITUTE(TRIM(E590),"*",""),".",""),"-","")," ","")))</f>
        <v/>
      </c>
      <c r="H590" s="31" t="str">
        <f aca="false">IF(OR(F590="",G590=""),"",F590&amp;"|"&amp;G590)</f>
        <v/>
      </c>
      <c r="I590" s="23"/>
      <c r="J590" s="22"/>
      <c r="K590" s="22"/>
      <c r="L590" s="25" t="str">
        <f aca="false">IF(F590="","",IF(AND(H590&lt;&gt;"",COUNTIF(Pessoas!$E:$E,H590)&gt;0),"SIM",IF(COUNTIF(Pessoas!$C:$C,F590)&gt;0,"nome igual em Pessoas: confira o CPF","")))</f>
        <v/>
      </c>
      <c r="M590" s="24"/>
      <c r="N590" s="11"/>
    </row>
    <row r="591" customFormat="false" ht="15" hidden="false" customHeight="false" outlineLevel="0" collapsed="false">
      <c r="A591" s="24"/>
      <c r="B591" s="31" t="str">
        <f aca="false">IF(A591="","",IF(LEN(UPPER(SUBSTITUTE(SUBSTITUTE(SUBSTITUTE(SUBSTITUTE(TRIM(A591),".",""),"/",""),"-","")," ","")))&lt;14,RIGHT(REPT("0",14)&amp;UPPER(SUBSTITUTE(SUBSTITUTE(SUBSTITUTE(SUBSTITUTE(TRIM(A591),".",""),"/",""),"-","")," ","")),14),UPPER(SUBSTITUTE(SUBSTITUTE(SUBSTITUTE(SUBSTITUTE(TRIM(A591),".",""),"/",""),"-","")," ",""))))</f>
        <v/>
      </c>
      <c r="C591" s="25" t="str">
        <f aca="false">IF(B591="","",IFERROR(INDEX(Empresas!$C:$C,MATCH(B591,Empresas!$B:$B,0)),"cadastre o CNPJ em Empresas"))</f>
        <v/>
      </c>
      <c r="D591" s="23"/>
      <c r="E591" s="24"/>
      <c r="F591" s="31" t="str">
        <f aca="false">IF(D591="","",SUBSTITUTE(SUBSTITUTE(SUBSTITUTE(SUBSTITUTE(SUBSTITUTE(SUBSTITUTE(SUBSTITUTE(SUBSTITUTE(SUBSTITUTE(SUBSTITUTE(SUBSTITUTE(SUBSTITUTE(SUBSTITUTE(UPPER(TRIM(D591)),"Á","A"),"À","A"),"Â","A"),"Ã","A"),"É","E"),"Ê","E"),"Í","I"),"Ó","O"),"Ô","O"),"Õ","O"),"Ú","U"),"Ü","U"),"Ç","C"))</f>
        <v/>
      </c>
      <c r="G591" s="31" t="str">
        <f aca="false">IF(E591="","",IF(LEN(SUBSTITUTE(SUBSTITUTE(SUBSTITUTE(SUBSTITUTE(TRIM(E591),"*",""),".",""),"-","")," ",""))=11,MID(SUBSTITUTE(SUBSTITUTE(SUBSTITUTE(SUBSTITUTE(TRIM(E591),"*",""),".",""),"-","")," ",""),4,6),SUBSTITUTE(SUBSTITUTE(SUBSTITUTE(SUBSTITUTE(TRIM(E591),"*",""),".",""),"-","")," ","")))</f>
        <v/>
      </c>
      <c r="H591" s="31" t="str">
        <f aca="false">IF(OR(F591="",G591=""),"",F591&amp;"|"&amp;G591)</f>
        <v/>
      </c>
      <c r="I591" s="23"/>
      <c r="J591" s="22"/>
      <c r="K591" s="22"/>
      <c r="L591" s="25" t="str">
        <f aca="false">IF(F591="","",IF(AND(H591&lt;&gt;"",COUNTIF(Pessoas!$E:$E,H591)&gt;0),"SIM",IF(COUNTIF(Pessoas!$C:$C,F591)&gt;0,"nome igual em Pessoas: confira o CPF","")))</f>
        <v/>
      </c>
      <c r="M591" s="24"/>
      <c r="N591" s="11"/>
    </row>
    <row r="592" customFormat="false" ht="15" hidden="false" customHeight="false" outlineLevel="0" collapsed="false">
      <c r="A592" s="24"/>
      <c r="B592" s="31" t="str">
        <f aca="false">IF(A592="","",IF(LEN(UPPER(SUBSTITUTE(SUBSTITUTE(SUBSTITUTE(SUBSTITUTE(TRIM(A592),".",""),"/",""),"-","")," ","")))&lt;14,RIGHT(REPT("0",14)&amp;UPPER(SUBSTITUTE(SUBSTITUTE(SUBSTITUTE(SUBSTITUTE(TRIM(A592),".",""),"/",""),"-","")," ","")),14),UPPER(SUBSTITUTE(SUBSTITUTE(SUBSTITUTE(SUBSTITUTE(TRIM(A592),".",""),"/",""),"-","")," ",""))))</f>
        <v/>
      </c>
      <c r="C592" s="25" t="str">
        <f aca="false">IF(B592="","",IFERROR(INDEX(Empresas!$C:$C,MATCH(B592,Empresas!$B:$B,0)),"cadastre o CNPJ em Empresas"))</f>
        <v/>
      </c>
      <c r="D592" s="23"/>
      <c r="E592" s="24"/>
      <c r="F592" s="31" t="str">
        <f aca="false">IF(D592="","",SUBSTITUTE(SUBSTITUTE(SUBSTITUTE(SUBSTITUTE(SUBSTITUTE(SUBSTITUTE(SUBSTITUTE(SUBSTITUTE(SUBSTITUTE(SUBSTITUTE(SUBSTITUTE(SUBSTITUTE(SUBSTITUTE(UPPER(TRIM(D592)),"Á","A"),"À","A"),"Â","A"),"Ã","A"),"É","E"),"Ê","E"),"Í","I"),"Ó","O"),"Ô","O"),"Õ","O"),"Ú","U"),"Ü","U"),"Ç","C"))</f>
        <v/>
      </c>
      <c r="G592" s="31" t="str">
        <f aca="false">IF(E592="","",IF(LEN(SUBSTITUTE(SUBSTITUTE(SUBSTITUTE(SUBSTITUTE(TRIM(E592),"*",""),".",""),"-","")," ",""))=11,MID(SUBSTITUTE(SUBSTITUTE(SUBSTITUTE(SUBSTITUTE(TRIM(E592),"*",""),".",""),"-","")," ",""),4,6),SUBSTITUTE(SUBSTITUTE(SUBSTITUTE(SUBSTITUTE(TRIM(E592),"*",""),".",""),"-","")," ","")))</f>
        <v/>
      </c>
      <c r="H592" s="31" t="str">
        <f aca="false">IF(OR(F592="",G592=""),"",F592&amp;"|"&amp;G592)</f>
        <v/>
      </c>
      <c r="I592" s="23"/>
      <c r="J592" s="22"/>
      <c r="K592" s="22"/>
      <c r="L592" s="25" t="str">
        <f aca="false">IF(F592="","",IF(AND(H592&lt;&gt;"",COUNTIF(Pessoas!$E:$E,H592)&gt;0),"SIM",IF(COUNTIF(Pessoas!$C:$C,F592)&gt;0,"nome igual em Pessoas: confira o CPF","")))</f>
        <v/>
      </c>
      <c r="M592" s="24"/>
      <c r="N592" s="11"/>
    </row>
    <row r="593" customFormat="false" ht="15" hidden="false" customHeight="false" outlineLevel="0" collapsed="false">
      <c r="A593" s="24"/>
      <c r="B593" s="31" t="str">
        <f aca="false">IF(A593="","",IF(LEN(UPPER(SUBSTITUTE(SUBSTITUTE(SUBSTITUTE(SUBSTITUTE(TRIM(A593),".",""),"/",""),"-","")," ","")))&lt;14,RIGHT(REPT("0",14)&amp;UPPER(SUBSTITUTE(SUBSTITUTE(SUBSTITUTE(SUBSTITUTE(TRIM(A593),".",""),"/",""),"-","")," ","")),14),UPPER(SUBSTITUTE(SUBSTITUTE(SUBSTITUTE(SUBSTITUTE(TRIM(A593),".",""),"/",""),"-","")," ",""))))</f>
        <v/>
      </c>
      <c r="C593" s="25" t="str">
        <f aca="false">IF(B593="","",IFERROR(INDEX(Empresas!$C:$C,MATCH(B593,Empresas!$B:$B,0)),"cadastre o CNPJ em Empresas"))</f>
        <v/>
      </c>
      <c r="D593" s="23"/>
      <c r="E593" s="24"/>
      <c r="F593" s="31" t="str">
        <f aca="false">IF(D593="","",SUBSTITUTE(SUBSTITUTE(SUBSTITUTE(SUBSTITUTE(SUBSTITUTE(SUBSTITUTE(SUBSTITUTE(SUBSTITUTE(SUBSTITUTE(SUBSTITUTE(SUBSTITUTE(SUBSTITUTE(SUBSTITUTE(UPPER(TRIM(D593)),"Á","A"),"À","A"),"Â","A"),"Ã","A"),"É","E"),"Ê","E"),"Í","I"),"Ó","O"),"Ô","O"),"Õ","O"),"Ú","U"),"Ü","U"),"Ç","C"))</f>
        <v/>
      </c>
      <c r="G593" s="31" t="str">
        <f aca="false">IF(E593="","",IF(LEN(SUBSTITUTE(SUBSTITUTE(SUBSTITUTE(SUBSTITUTE(TRIM(E593),"*",""),".",""),"-","")," ",""))=11,MID(SUBSTITUTE(SUBSTITUTE(SUBSTITUTE(SUBSTITUTE(TRIM(E593),"*",""),".",""),"-","")," ",""),4,6),SUBSTITUTE(SUBSTITUTE(SUBSTITUTE(SUBSTITUTE(TRIM(E593),"*",""),".",""),"-","")," ","")))</f>
        <v/>
      </c>
      <c r="H593" s="31" t="str">
        <f aca="false">IF(OR(F593="",G593=""),"",F593&amp;"|"&amp;G593)</f>
        <v/>
      </c>
      <c r="I593" s="23"/>
      <c r="J593" s="22"/>
      <c r="K593" s="22"/>
      <c r="L593" s="25" t="str">
        <f aca="false">IF(F593="","",IF(AND(H593&lt;&gt;"",COUNTIF(Pessoas!$E:$E,H593)&gt;0),"SIM",IF(COUNTIF(Pessoas!$C:$C,F593)&gt;0,"nome igual em Pessoas: confira o CPF","")))</f>
        <v/>
      </c>
      <c r="M593" s="24"/>
      <c r="N593" s="11"/>
    </row>
    <row r="594" customFormat="false" ht="15" hidden="false" customHeight="false" outlineLevel="0" collapsed="false">
      <c r="A594" s="24"/>
      <c r="B594" s="31" t="str">
        <f aca="false">IF(A594="","",IF(LEN(UPPER(SUBSTITUTE(SUBSTITUTE(SUBSTITUTE(SUBSTITUTE(TRIM(A594),".",""),"/",""),"-","")," ","")))&lt;14,RIGHT(REPT("0",14)&amp;UPPER(SUBSTITUTE(SUBSTITUTE(SUBSTITUTE(SUBSTITUTE(TRIM(A594),".",""),"/",""),"-","")," ","")),14),UPPER(SUBSTITUTE(SUBSTITUTE(SUBSTITUTE(SUBSTITUTE(TRIM(A594),".",""),"/",""),"-","")," ",""))))</f>
        <v/>
      </c>
      <c r="C594" s="25" t="str">
        <f aca="false">IF(B594="","",IFERROR(INDEX(Empresas!$C:$C,MATCH(B594,Empresas!$B:$B,0)),"cadastre o CNPJ em Empresas"))</f>
        <v/>
      </c>
      <c r="D594" s="23"/>
      <c r="E594" s="24"/>
      <c r="F594" s="31" t="str">
        <f aca="false">IF(D594="","",SUBSTITUTE(SUBSTITUTE(SUBSTITUTE(SUBSTITUTE(SUBSTITUTE(SUBSTITUTE(SUBSTITUTE(SUBSTITUTE(SUBSTITUTE(SUBSTITUTE(SUBSTITUTE(SUBSTITUTE(SUBSTITUTE(UPPER(TRIM(D594)),"Á","A"),"À","A"),"Â","A"),"Ã","A"),"É","E"),"Ê","E"),"Í","I"),"Ó","O"),"Ô","O"),"Õ","O"),"Ú","U"),"Ü","U"),"Ç","C"))</f>
        <v/>
      </c>
      <c r="G594" s="31" t="str">
        <f aca="false">IF(E594="","",IF(LEN(SUBSTITUTE(SUBSTITUTE(SUBSTITUTE(SUBSTITUTE(TRIM(E594),"*",""),".",""),"-","")," ",""))=11,MID(SUBSTITUTE(SUBSTITUTE(SUBSTITUTE(SUBSTITUTE(TRIM(E594),"*",""),".",""),"-","")," ",""),4,6),SUBSTITUTE(SUBSTITUTE(SUBSTITUTE(SUBSTITUTE(TRIM(E594),"*",""),".",""),"-","")," ","")))</f>
        <v/>
      </c>
      <c r="H594" s="31" t="str">
        <f aca="false">IF(OR(F594="",G594=""),"",F594&amp;"|"&amp;G594)</f>
        <v/>
      </c>
      <c r="I594" s="23"/>
      <c r="J594" s="22"/>
      <c r="K594" s="22"/>
      <c r="L594" s="25" t="str">
        <f aca="false">IF(F594="","",IF(AND(H594&lt;&gt;"",COUNTIF(Pessoas!$E:$E,H594)&gt;0),"SIM",IF(COUNTIF(Pessoas!$C:$C,F594)&gt;0,"nome igual em Pessoas: confira o CPF","")))</f>
        <v/>
      </c>
      <c r="M594" s="24"/>
      <c r="N594" s="11"/>
    </row>
    <row r="595" customFormat="false" ht="15" hidden="false" customHeight="false" outlineLevel="0" collapsed="false">
      <c r="A595" s="24"/>
      <c r="B595" s="31" t="str">
        <f aca="false">IF(A595="","",IF(LEN(UPPER(SUBSTITUTE(SUBSTITUTE(SUBSTITUTE(SUBSTITUTE(TRIM(A595),".",""),"/",""),"-","")," ","")))&lt;14,RIGHT(REPT("0",14)&amp;UPPER(SUBSTITUTE(SUBSTITUTE(SUBSTITUTE(SUBSTITUTE(TRIM(A595),".",""),"/",""),"-","")," ","")),14),UPPER(SUBSTITUTE(SUBSTITUTE(SUBSTITUTE(SUBSTITUTE(TRIM(A595),".",""),"/",""),"-","")," ",""))))</f>
        <v/>
      </c>
      <c r="C595" s="25" t="str">
        <f aca="false">IF(B595="","",IFERROR(INDEX(Empresas!$C:$C,MATCH(B595,Empresas!$B:$B,0)),"cadastre o CNPJ em Empresas"))</f>
        <v/>
      </c>
      <c r="D595" s="23"/>
      <c r="E595" s="24"/>
      <c r="F595" s="31" t="str">
        <f aca="false">IF(D595="","",SUBSTITUTE(SUBSTITUTE(SUBSTITUTE(SUBSTITUTE(SUBSTITUTE(SUBSTITUTE(SUBSTITUTE(SUBSTITUTE(SUBSTITUTE(SUBSTITUTE(SUBSTITUTE(SUBSTITUTE(SUBSTITUTE(UPPER(TRIM(D595)),"Á","A"),"À","A"),"Â","A"),"Ã","A"),"É","E"),"Ê","E"),"Í","I"),"Ó","O"),"Ô","O"),"Õ","O"),"Ú","U"),"Ü","U"),"Ç","C"))</f>
        <v/>
      </c>
      <c r="G595" s="31" t="str">
        <f aca="false">IF(E595="","",IF(LEN(SUBSTITUTE(SUBSTITUTE(SUBSTITUTE(SUBSTITUTE(TRIM(E595),"*",""),".",""),"-","")," ",""))=11,MID(SUBSTITUTE(SUBSTITUTE(SUBSTITUTE(SUBSTITUTE(TRIM(E595),"*",""),".",""),"-","")," ",""),4,6),SUBSTITUTE(SUBSTITUTE(SUBSTITUTE(SUBSTITUTE(TRIM(E595),"*",""),".",""),"-","")," ","")))</f>
        <v/>
      </c>
      <c r="H595" s="31" t="str">
        <f aca="false">IF(OR(F595="",G595=""),"",F595&amp;"|"&amp;G595)</f>
        <v/>
      </c>
      <c r="I595" s="23"/>
      <c r="J595" s="22"/>
      <c r="K595" s="22"/>
      <c r="L595" s="25" t="str">
        <f aca="false">IF(F595="","",IF(AND(H595&lt;&gt;"",COUNTIF(Pessoas!$E:$E,H595)&gt;0),"SIM",IF(COUNTIF(Pessoas!$C:$C,F595)&gt;0,"nome igual em Pessoas: confira o CPF","")))</f>
        <v/>
      </c>
      <c r="M595" s="24"/>
      <c r="N595" s="11"/>
    </row>
    <row r="596" customFormat="false" ht="15" hidden="false" customHeight="false" outlineLevel="0" collapsed="false">
      <c r="A596" s="24"/>
      <c r="B596" s="31" t="str">
        <f aca="false">IF(A596="","",IF(LEN(UPPER(SUBSTITUTE(SUBSTITUTE(SUBSTITUTE(SUBSTITUTE(TRIM(A596),".",""),"/",""),"-","")," ","")))&lt;14,RIGHT(REPT("0",14)&amp;UPPER(SUBSTITUTE(SUBSTITUTE(SUBSTITUTE(SUBSTITUTE(TRIM(A596),".",""),"/",""),"-","")," ","")),14),UPPER(SUBSTITUTE(SUBSTITUTE(SUBSTITUTE(SUBSTITUTE(TRIM(A596),".",""),"/",""),"-","")," ",""))))</f>
        <v/>
      </c>
      <c r="C596" s="25" t="str">
        <f aca="false">IF(B596="","",IFERROR(INDEX(Empresas!$C:$C,MATCH(B596,Empresas!$B:$B,0)),"cadastre o CNPJ em Empresas"))</f>
        <v/>
      </c>
      <c r="D596" s="23"/>
      <c r="E596" s="24"/>
      <c r="F596" s="31" t="str">
        <f aca="false">IF(D596="","",SUBSTITUTE(SUBSTITUTE(SUBSTITUTE(SUBSTITUTE(SUBSTITUTE(SUBSTITUTE(SUBSTITUTE(SUBSTITUTE(SUBSTITUTE(SUBSTITUTE(SUBSTITUTE(SUBSTITUTE(SUBSTITUTE(UPPER(TRIM(D596)),"Á","A"),"À","A"),"Â","A"),"Ã","A"),"É","E"),"Ê","E"),"Í","I"),"Ó","O"),"Ô","O"),"Õ","O"),"Ú","U"),"Ü","U"),"Ç","C"))</f>
        <v/>
      </c>
      <c r="G596" s="31" t="str">
        <f aca="false">IF(E596="","",IF(LEN(SUBSTITUTE(SUBSTITUTE(SUBSTITUTE(SUBSTITUTE(TRIM(E596),"*",""),".",""),"-","")," ",""))=11,MID(SUBSTITUTE(SUBSTITUTE(SUBSTITUTE(SUBSTITUTE(TRIM(E596),"*",""),".",""),"-","")," ",""),4,6),SUBSTITUTE(SUBSTITUTE(SUBSTITUTE(SUBSTITUTE(TRIM(E596),"*",""),".",""),"-","")," ","")))</f>
        <v/>
      </c>
      <c r="H596" s="31" t="str">
        <f aca="false">IF(OR(F596="",G596=""),"",F596&amp;"|"&amp;G596)</f>
        <v/>
      </c>
      <c r="I596" s="23"/>
      <c r="J596" s="22"/>
      <c r="K596" s="22"/>
      <c r="L596" s="25" t="str">
        <f aca="false">IF(F596="","",IF(AND(H596&lt;&gt;"",COUNTIF(Pessoas!$E:$E,H596)&gt;0),"SIM",IF(COUNTIF(Pessoas!$C:$C,F596)&gt;0,"nome igual em Pessoas: confira o CPF","")))</f>
        <v/>
      </c>
      <c r="M596" s="24"/>
      <c r="N596" s="11"/>
    </row>
    <row r="597" customFormat="false" ht="15" hidden="false" customHeight="false" outlineLevel="0" collapsed="false">
      <c r="A597" s="24"/>
      <c r="B597" s="31" t="str">
        <f aca="false">IF(A597="","",IF(LEN(UPPER(SUBSTITUTE(SUBSTITUTE(SUBSTITUTE(SUBSTITUTE(TRIM(A597),".",""),"/",""),"-","")," ","")))&lt;14,RIGHT(REPT("0",14)&amp;UPPER(SUBSTITUTE(SUBSTITUTE(SUBSTITUTE(SUBSTITUTE(TRIM(A597),".",""),"/",""),"-","")," ","")),14),UPPER(SUBSTITUTE(SUBSTITUTE(SUBSTITUTE(SUBSTITUTE(TRIM(A597),".",""),"/",""),"-","")," ",""))))</f>
        <v/>
      </c>
      <c r="C597" s="25" t="str">
        <f aca="false">IF(B597="","",IFERROR(INDEX(Empresas!$C:$C,MATCH(B597,Empresas!$B:$B,0)),"cadastre o CNPJ em Empresas"))</f>
        <v/>
      </c>
      <c r="D597" s="23"/>
      <c r="E597" s="24"/>
      <c r="F597" s="31" t="str">
        <f aca="false">IF(D597="","",SUBSTITUTE(SUBSTITUTE(SUBSTITUTE(SUBSTITUTE(SUBSTITUTE(SUBSTITUTE(SUBSTITUTE(SUBSTITUTE(SUBSTITUTE(SUBSTITUTE(SUBSTITUTE(SUBSTITUTE(SUBSTITUTE(UPPER(TRIM(D597)),"Á","A"),"À","A"),"Â","A"),"Ã","A"),"É","E"),"Ê","E"),"Í","I"),"Ó","O"),"Ô","O"),"Õ","O"),"Ú","U"),"Ü","U"),"Ç","C"))</f>
        <v/>
      </c>
      <c r="G597" s="31" t="str">
        <f aca="false">IF(E597="","",IF(LEN(SUBSTITUTE(SUBSTITUTE(SUBSTITUTE(SUBSTITUTE(TRIM(E597),"*",""),".",""),"-","")," ",""))=11,MID(SUBSTITUTE(SUBSTITUTE(SUBSTITUTE(SUBSTITUTE(TRIM(E597),"*",""),".",""),"-","")," ",""),4,6),SUBSTITUTE(SUBSTITUTE(SUBSTITUTE(SUBSTITUTE(TRIM(E597),"*",""),".",""),"-","")," ","")))</f>
        <v/>
      </c>
      <c r="H597" s="31" t="str">
        <f aca="false">IF(OR(F597="",G597=""),"",F597&amp;"|"&amp;G597)</f>
        <v/>
      </c>
      <c r="I597" s="23"/>
      <c r="J597" s="22"/>
      <c r="K597" s="22"/>
      <c r="L597" s="25" t="str">
        <f aca="false">IF(F597="","",IF(AND(H597&lt;&gt;"",COUNTIF(Pessoas!$E:$E,H597)&gt;0),"SIM",IF(COUNTIF(Pessoas!$C:$C,F597)&gt;0,"nome igual em Pessoas: confira o CPF","")))</f>
        <v/>
      </c>
      <c r="M597" s="24"/>
      <c r="N597" s="11"/>
    </row>
    <row r="598" customFormat="false" ht="15" hidden="false" customHeight="false" outlineLevel="0" collapsed="false">
      <c r="A598" s="24"/>
      <c r="B598" s="31" t="str">
        <f aca="false">IF(A598="","",IF(LEN(UPPER(SUBSTITUTE(SUBSTITUTE(SUBSTITUTE(SUBSTITUTE(TRIM(A598),".",""),"/",""),"-","")," ","")))&lt;14,RIGHT(REPT("0",14)&amp;UPPER(SUBSTITUTE(SUBSTITUTE(SUBSTITUTE(SUBSTITUTE(TRIM(A598),".",""),"/",""),"-","")," ","")),14),UPPER(SUBSTITUTE(SUBSTITUTE(SUBSTITUTE(SUBSTITUTE(TRIM(A598),".",""),"/",""),"-","")," ",""))))</f>
        <v/>
      </c>
      <c r="C598" s="25" t="str">
        <f aca="false">IF(B598="","",IFERROR(INDEX(Empresas!$C:$C,MATCH(B598,Empresas!$B:$B,0)),"cadastre o CNPJ em Empresas"))</f>
        <v/>
      </c>
      <c r="D598" s="23"/>
      <c r="E598" s="24"/>
      <c r="F598" s="31" t="str">
        <f aca="false">IF(D598="","",SUBSTITUTE(SUBSTITUTE(SUBSTITUTE(SUBSTITUTE(SUBSTITUTE(SUBSTITUTE(SUBSTITUTE(SUBSTITUTE(SUBSTITUTE(SUBSTITUTE(SUBSTITUTE(SUBSTITUTE(SUBSTITUTE(UPPER(TRIM(D598)),"Á","A"),"À","A"),"Â","A"),"Ã","A"),"É","E"),"Ê","E"),"Í","I"),"Ó","O"),"Ô","O"),"Õ","O"),"Ú","U"),"Ü","U"),"Ç","C"))</f>
        <v/>
      </c>
      <c r="G598" s="31" t="str">
        <f aca="false">IF(E598="","",IF(LEN(SUBSTITUTE(SUBSTITUTE(SUBSTITUTE(SUBSTITUTE(TRIM(E598),"*",""),".",""),"-","")," ",""))=11,MID(SUBSTITUTE(SUBSTITUTE(SUBSTITUTE(SUBSTITUTE(TRIM(E598),"*",""),".",""),"-","")," ",""),4,6),SUBSTITUTE(SUBSTITUTE(SUBSTITUTE(SUBSTITUTE(TRIM(E598),"*",""),".",""),"-","")," ","")))</f>
        <v/>
      </c>
      <c r="H598" s="31" t="str">
        <f aca="false">IF(OR(F598="",G598=""),"",F598&amp;"|"&amp;G598)</f>
        <v/>
      </c>
      <c r="I598" s="23"/>
      <c r="J598" s="22"/>
      <c r="K598" s="22"/>
      <c r="L598" s="25" t="str">
        <f aca="false">IF(F598="","",IF(AND(H598&lt;&gt;"",COUNTIF(Pessoas!$E:$E,H598)&gt;0),"SIM",IF(COUNTIF(Pessoas!$C:$C,F598)&gt;0,"nome igual em Pessoas: confira o CPF","")))</f>
        <v/>
      </c>
      <c r="M598" s="24"/>
      <c r="N598" s="11"/>
    </row>
    <row r="599" customFormat="false" ht="15" hidden="false" customHeight="false" outlineLevel="0" collapsed="false">
      <c r="A599" s="24"/>
      <c r="B599" s="31" t="str">
        <f aca="false">IF(A599="","",IF(LEN(UPPER(SUBSTITUTE(SUBSTITUTE(SUBSTITUTE(SUBSTITUTE(TRIM(A599),".",""),"/",""),"-","")," ","")))&lt;14,RIGHT(REPT("0",14)&amp;UPPER(SUBSTITUTE(SUBSTITUTE(SUBSTITUTE(SUBSTITUTE(TRIM(A599),".",""),"/",""),"-","")," ","")),14),UPPER(SUBSTITUTE(SUBSTITUTE(SUBSTITUTE(SUBSTITUTE(TRIM(A599),".",""),"/",""),"-","")," ",""))))</f>
        <v/>
      </c>
      <c r="C599" s="25" t="str">
        <f aca="false">IF(B599="","",IFERROR(INDEX(Empresas!$C:$C,MATCH(B599,Empresas!$B:$B,0)),"cadastre o CNPJ em Empresas"))</f>
        <v/>
      </c>
      <c r="D599" s="23"/>
      <c r="E599" s="24"/>
      <c r="F599" s="31" t="str">
        <f aca="false">IF(D599="","",SUBSTITUTE(SUBSTITUTE(SUBSTITUTE(SUBSTITUTE(SUBSTITUTE(SUBSTITUTE(SUBSTITUTE(SUBSTITUTE(SUBSTITUTE(SUBSTITUTE(SUBSTITUTE(SUBSTITUTE(SUBSTITUTE(UPPER(TRIM(D599)),"Á","A"),"À","A"),"Â","A"),"Ã","A"),"É","E"),"Ê","E"),"Í","I"),"Ó","O"),"Ô","O"),"Õ","O"),"Ú","U"),"Ü","U"),"Ç","C"))</f>
        <v/>
      </c>
      <c r="G599" s="31" t="str">
        <f aca="false">IF(E599="","",IF(LEN(SUBSTITUTE(SUBSTITUTE(SUBSTITUTE(SUBSTITUTE(TRIM(E599),"*",""),".",""),"-","")," ",""))=11,MID(SUBSTITUTE(SUBSTITUTE(SUBSTITUTE(SUBSTITUTE(TRIM(E599),"*",""),".",""),"-","")," ",""),4,6),SUBSTITUTE(SUBSTITUTE(SUBSTITUTE(SUBSTITUTE(TRIM(E599),"*",""),".",""),"-","")," ","")))</f>
        <v/>
      </c>
      <c r="H599" s="31" t="str">
        <f aca="false">IF(OR(F599="",G599=""),"",F599&amp;"|"&amp;G599)</f>
        <v/>
      </c>
      <c r="I599" s="23"/>
      <c r="J599" s="22"/>
      <c r="K599" s="22"/>
      <c r="L599" s="25" t="str">
        <f aca="false">IF(F599="","",IF(AND(H599&lt;&gt;"",COUNTIF(Pessoas!$E:$E,H599)&gt;0),"SIM",IF(COUNTIF(Pessoas!$C:$C,F599)&gt;0,"nome igual em Pessoas: confira o CPF","")))</f>
        <v/>
      </c>
      <c r="M599" s="24"/>
      <c r="N599" s="11"/>
    </row>
    <row r="600" customFormat="false" ht="15" hidden="false" customHeight="false" outlineLevel="0" collapsed="false">
      <c r="A600" s="24"/>
      <c r="B600" s="31" t="str">
        <f aca="false">IF(A600="","",IF(LEN(UPPER(SUBSTITUTE(SUBSTITUTE(SUBSTITUTE(SUBSTITUTE(TRIM(A600),".",""),"/",""),"-","")," ","")))&lt;14,RIGHT(REPT("0",14)&amp;UPPER(SUBSTITUTE(SUBSTITUTE(SUBSTITUTE(SUBSTITUTE(TRIM(A600),".",""),"/",""),"-","")," ","")),14),UPPER(SUBSTITUTE(SUBSTITUTE(SUBSTITUTE(SUBSTITUTE(TRIM(A600),".",""),"/",""),"-","")," ",""))))</f>
        <v/>
      </c>
      <c r="C600" s="25" t="str">
        <f aca="false">IF(B600="","",IFERROR(INDEX(Empresas!$C:$C,MATCH(B600,Empresas!$B:$B,0)),"cadastre o CNPJ em Empresas"))</f>
        <v/>
      </c>
      <c r="D600" s="23"/>
      <c r="E600" s="24"/>
      <c r="F600" s="31" t="str">
        <f aca="false">IF(D600="","",SUBSTITUTE(SUBSTITUTE(SUBSTITUTE(SUBSTITUTE(SUBSTITUTE(SUBSTITUTE(SUBSTITUTE(SUBSTITUTE(SUBSTITUTE(SUBSTITUTE(SUBSTITUTE(SUBSTITUTE(SUBSTITUTE(UPPER(TRIM(D600)),"Á","A"),"À","A"),"Â","A"),"Ã","A"),"É","E"),"Ê","E"),"Í","I"),"Ó","O"),"Ô","O"),"Õ","O"),"Ú","U"),"Ü","U"),"Ç","C"))</f>
        <v/>
      </c>
      <c r="G600" s="31" t="str">
        <f aca="false">IF(E600="","",IF(LEN(SUBSTITUTE(SUBSTITUTE(SUBSTITUTE(SUBSTITUTE(TRIM(E600),"*",""),".",""),"-","")," ",""))=11,MID(SUBSTITUTE(SUBSTITUTE(SUBSTITUTE(SUBSTITUTE(TRIM(E600),"*",""),".",""),"-","")," ",""),4,6),SUBSTITUTE(SUBSTITUTE(SUBSTITUTE(SUBSTITUTE(TRIM(E600),"*",""),".",""),"-","")," ","")))</f>
        <v/>
      </c>
      <c r="H600" s="31" t="str">
        <f aca="false">IF(OR(F600="",G600=""),"",F600&amp;"|"&amp;G600)</f>
        <v/>
      </c>
      <c r="I600" s="23"/>
      <c r="J600" s="22"/>
      <c r="K600" s="22"/>
      <c r="L600" s="25" t="str">
        <f aca="false">IF(F600="","",IF(AND(H600&lt;&gt;"",COUNTIF(Pessoas!$E:$E,H600)&gt;0),"SIM",IF(COUNTIF(Pessoas!$C:$C,F600)&gt;0,"nome igual em Pessoas: confira o CPF","")))</f>
        <v/>
      </c>
      <c r="M600" s="24"/>
      <c r="N600" s="11"/>
    </row>
    <row r="601" customFormat="false" ht="15" hidden="false" customHeight="false" outlineLevel="0" collapsed="false">
      <c r="A601" s="24"/>
      <c r="B601" s="31" t="str">
        <f aca="false">IF(A601="","",IF(LEN(UPPER(SUBSTITUTE(SUBSTITUTE(SUBSTITUTE(SUBSTITUTE(TRIM(A601),".",""),"/",""),"-","")," ","")))&lt;14,RIGHT(REPT("0",14)&amp;UPPER(SUBSTITUTE(SUBSTITUTE(SUBSTITUTE(SUBSTITUTE(TRIM(A601),".",""),"/",""),"-","")," ","")),14),UPPER(SUBSTITUTE(SUBSTITUTE(SUBSTITUTE(SUBSTITUTE(TRIM(A601),".",""),"/",""),"-","")," ",""))))</f>
        <v/>
      </c>
      <c r="C601" s="25" t="str">
        <f aca="false">IF(B601="","",IFERROR(INDEX(Empresas!$C:$C,MATCH(B601,Empresas!$B:$B,0)),"cadastre o CNPJ em Empresas"))</f>
        <v/>
      </c>
      <c r="D601" s="23"/>
      <c r="E601" s="24"/>
      <c r="F601" s="31" t="str">
        <f aca="false">IF(D601="","",SUBSTITUTE(SUBSTITUTE(SUBSTITUTE(SUBSTITUTE(SUBSTITUTE(SUBSTITUTE(SUBSTITUTE(SUBSTITUTE(SUBSTITUTE(SUBSTITUTE(SUBSTITUTE(SUBSTITUTE(SUBSTITUTE(UPPER(TRIM(D601)),"Á","A"),"À","A"),"Â","A"),"Ã","A"),"É","E"),"Ê","E"),"Í","I"),"Ó","O"),"Ô","O"),"Õ","O"),"Ú","U"),"Ü","U"),"Ç","C"))</f>
        <v/>
      </c>
      <c r="G601" s="31" t="str">
        <f aca="false">IF(E601="","",IF(LEN(SUBSTITUTE(SUBSTITUTE(SUBSTITUTE(SUBSTITUTE(TRIM(E601),"*",""),".",""),"-","")," ",""))=11,MID(SUBSTITUTE(SUBSTITUTE(SUBSTITUTE(SUBSTITUTE(TRIM(E601),"*",""),".",""),"-","")," ",""),4,6),SUBSTITUTE(SUBSTITUTE(SUBSTITUTE(SUBSTITUTE(TRIM(E601),"*",""),".",""),"-","")," ","")))</f>
        <v/>
      </c>
      <c r="H601" s="31" t="str">
        <f aca="false">IF(OR(F601="",G601=""),"",F601&amp;"|"&amp;G601)</f>
        <v/>
      </c>
      <c r="I601" s="23"/>
      <c r="J601" s="22"/>
      <c r="K601" s="22"/>
      <c r="L601" s="25" t="str">
        <f aca="false">IF(F601="","",IF(AND(H601&lt;&gt;"",COUNTIF(Pessoas!$E:$E,H601)&gt;0),"SIM",IF(COUNTIF(Pessoas!$C:$C,F601)&gt;0,"nome igual em Pessoas: confira o CPF","")))</f>
        <v/>
      </c>
      <c r="M601" s="24"/>
      <c r="N601" s="11"/>
    </row>
    <row r="602" customFormat="false" ht="15" hidden="false" customHeight="false" outlineLevel="0" collapsed="false">
      <c r="A602" s="24"/>
      <c r="B602" s="31" t="str">
        <f aca="false">IF(A602="","",IF(LEN(UPPER(SUBSTITUTE(SUBSTITUTE(SUBSTITUTE(SUBSTITUTE(TRIM(A602),".",""),"/",""),"-","")," ","")))&lt;14,RIGHT(REPT("0",14)&amp;UPPER(SUBSTITUTE(SUBSTITUTE(SUBSTITUTE(SUBSTITUTE(TRIM(A602),".",""),"/",""),"-","")," ","")),14),UPPER(SUBSTITUTE(SUBSTITUTE(SUBSTITUTE(SUBSTITUTE(TRIM(A602),".",""),"/",""),"-","")," ",""))))</f>
        <v/>
      </c>
      <c r="C602" s="25" t="str">
        <f aca="false">IF(B602="","",IFERROR(INDEX(Empresas!$C:$C,MATCH(B602,Empresas!$B:$B,0)),"cadastre o CNPJ em Empresas"))</f>
        <v/>
      </c>
      <c r="D602" s="23"/>
      <c r="E602" s="24"/>
      <c r="F602" s="31" t="str">
        <f aca="false">IF(D602="","",SUBSTITUTE(SUBSTITUTE(SUBSTITUTE(SUBSTITUTE(SUBSTITUTE(SUBSTITUTE(SUBSTITUTE(SUBSTITUTE(SUBSTITUTE(SUBSTITUTE(SUBSTITUTE(SUBSTITUTE(SUBSTITUTE(UPPER(TRIM(D602)),"Á","A"),"À","A"),"Â","A"),"Ã","A"),"É","E"),"Ê","E"),"Í","I"),"Ó","O"),"Ô","O"),"Õ","O"),"Ú","U"),"Ü","U"),"Ç","C"))</f>
        <v/>
      </c>
      <c r="G602" s="31" t="str">
        <f aca="false">IF(E602="","",IF(LEN(SUBSTITUTE(SUBSTITUTE(SUBSTITUTE(SUBSTITUTE(TRIM(E602),"*",""),".",""),"-","")," ",""))=11,MID(SUBSTITUTE(SUBSTITUTE(SUBSTITUTE(SUBSTITUTE(TRIM(E602),"*",""),".",""),"-","")," ",""),4,6),SUBSTITUTE(SUBSTITUTE(SUBSTITUTE(SUBSTITUTE(TRIM(E602),"*",""),".",""),"-","")," ","")))</f>
        <v/>
      </c>
      <c r="H602" s="31" t="str">
        <f aca="false">IF(OR(F602="",G602=""),"",F602&amp;"|"&amp;G602)</f>
        <v/>
      </c>
      <c r="I602" s="23"/>
      <c r="J602" s="22"/>
      <c r="K602" s="22"/>
      <c r="L602" s="25" t="str">
        <f aca="false">IF(F602="","",IF(AND(H602&lt;&gt;"",COUNTIF(Pessoas!$E:$E,H602)&gt;0),"SIM",IF(COUNTIF(Pessoas!$C:$C,F602)&gt;0,"nome igual em Pessoas: confira o CPF","")))</f>
        <v/>
      </c>
      <c r="M602" s="24"/>
      <c r="N602" s="11"/>
    </row>
    <row r="603" customFormat="false" ht="15" hidden="false" customHeight="false" outlineLevel="0" collapsed="false">
      <c r="A603" s="24"/>
      <c r="B603" s="31" t="str">
        <f aca="false">IF(A603="","",IF(LEN(UPPER(SUBSTITUTE(SUBSTITUTE(SUBSTITUTE(SUBSTITUTE(TRIM(A603),".",""),"/",""),"-","")," ","")))&lt;14,RIGHT(REPT("0",14)&amp;UPPER(SUBSTITUTE(SUBSTITUTE(SUBSTITUTE(SUBSTITUTE(TRIM(A603),".",""),"/",""),"-","")," ","")),14),UPPER(SUBSTITUTE(SUBSTITUTE(SUBSTITUTE(SUBSTITUTE(TRIM(A603),".",""),"/",""),"-","")," ",""))))</f>
        <v/>
      </c>
      <c r="C603" s="25" t="str">
        <f aca="false">IF(B603="","",IFERROR(INDEX(Empresas!$C:$C,MATCH(B603,Empresas!$B:$B,0)),"cadastre o CNPJ em Empresas"))</f>
        <v/>
      </c>
      <c r="D603" s="23"/>
      <c r="E603" s="24"/>
      <c r="F603" s="31" t="str">
        <f aca="false">IF(D603="","",SUBSTITUTE(SUBSTITUTE(SUBSTITUTE(SUBSTITUTE(SUBSTITUTE(SUBSTITUTE(SUBSTITUTE(SUBSTITUTE(SUBSTITUTE(SUBSTITUTE(SUBSTITUTE(SUBSTITUTE(SUBSTITUTE(UPPER(TRIM(D603)),"Á","A"),"À","A"),"Â","A"),"Ã","A"),"É","E"),"Ê","E"),"Í","I"),"Ó","O"),"Ô","O"),"Õ","O"),"Ú","U"),"Ü","U"),"Ç","C"))</f>
        <v/>
      </c>
      <c r="G603" s="31" t="str">
        <f aca="false">IF(E603="","",IF(LEN(SUBSTITUTE(SUBSTITUTE(SUBSTITUTE(SUBSTITUTE(TRIM(E603),"*",""),".",""),"-","")," ",""))=11,MID(SUBSTITUTE(SUBSTITUTE(SUBSTITUTE(SUBSTITUTE(TRIM(E603),"*",""),".",""),"-","")," ",""),4,6),SUBSTITUTE(SUBSTITUTE(SUBSTITUTE(SUBSTITUTE(TRIM(E603),"*",""),".",""),"-","")," ","")))</f>
        <v/>
      </c>
      <c r="H603" s="31" t="str">
        <f aca="false">IF(OR(F603="",G603=""),"",F603&amp;"|"&amp;G603)</f>
        <v/>
      </c>
      <c r="I603" s="23"/>
      <c r="J603" s="22"/>
      <c r="K603" s="22"/>
      <c r="L603" s="25" t="str">
        <f aca="false">IF(F603="","",IF(AND(H603&lt;&gt;"",COUNTIF(Pessoas!$E:$E,H603)&gt;0),"SIM",IF(COUNTIF(Pessoas!$C:$C,F603)&gt;0,"nome igual em Pessoas: confira o CPF","")))</f>
        <v/>
      </c>
      <c r="M603" s="24"/>
      <c r="N603" s="11"/>
    </row>
    <row r="604" customFormat="false" ht="15" hidden="false" customHeight="false" outlineLevel="0" collapsed="false">
      <c r="A604" s="24"/>
      <c r="B604" s="31" t="str">
        <f aca="false">IF(A604="","",IF(LEN(UPPER(SUBSTITUTE(SUBSTITUTE(SUBSTITUTE(SUBSTITUTE(TRIM(A604),".",""),"/",""),"-","")," ","")))&lt;14,RIGHT(REPT("0",14)&amp;UPPER(SUBSTITUTE(SUBSTITUTE(SUBSTITUTE(SUBSTITUTE(TRIM(A604),".",""),"/",""),"-","")," ","")),14),UPPER(SUBSTITUTE(SUBSTITUTE(SUBSTITUTE(SUBSTITUTE(TRIM(A604),".",""),"/",""),"-","")," ",""))))</f>
        <v/>
      </c>
      <c r="C604" s="25" t="str">
        <f aca="false">IF(B604="","",IFERROR(INDEX(Empresas!$C:$C,MATCH(B604,Empresas!$B:$B,0)),"cadastre o CNPJ em Empresas"))</f>
        <v/>
      </c>
      <c r="D604" s="23"/>
      <c r="E604" s="24"/>
      <c r="F604" s="31" t="str">
        <f aca="false">IF(D604="","",SUBSTITUTE(SUBSTITUTE(SUBSTITUTE(SUBSTITUTE(SUBSTITUTE(SUBSTITUTE(SUBSTITUTE(SUBSTITUTE(SUBSTITUTE(SUBSTITUTE(SUBSTITUTE(SUBSTITUTE(SUBSTITUTE(UPPER(TRIM(D604)),"Á","A"),"À","A"),"Â","A"),"Ã","A"),"É","E"),"Ê","E"),"Í","I"),"Ó","O"),"Ô","O"),"Õ","O"),"Ú","U"),"Ü","U"),"Ç","C"))</f>
        <v/>
      </c>
      <c r="G604" s="31" t="str">
        <f aca="false">IF(E604="","",IF(LEN(SUBSTITUTE(SUBSTITUTE(SUBSTITUTE(SUBSTITUTE(TRIM(E604),"*",""),".",""),"-","")," ",""))=11,MID(SUBSTITUTE(SUBSTITUTE(SUBSTITUTE(SUBSTITUTE(TRIM(E604),"*",""),".",""),"-","")," ",""),4,6),SUBSTITUTE(SUBSTITUTE(SUBSTITUTE(SUBSTITUTE(TRIM(E604),"*",""),".",""),"-","")," ","")))</f>
        <v/>
      </c>
      <c r="H604" s="31" t="str">
        <f aca="false">IF(OR(F604="",G604=""),"",F604&amp;"|"&amp;G604)</f>
        <v/>
      </c>
      <c r="I604" s="23"/>
      <c r="J604" s="22"/>
      <c r="K604" s="22"/>
      <c r="L604" s="25" t="str">
        <f aca="false">IF(F604="","",IF(AND(H604&lt;&gt;"",COUNTIF(Pessoas!$E:$E,H604)&gt;0),"SIM",IF(COUNTIF(Pessoas!$C:$C,F604)&gt;0,"nome igual em Pessoas: confira o CPF","")))</f>
        <v/>
      </c>
      <c r="M604" s="24"/>
      <c r="N604" s="11"/>
    </row>
    <row r="605" customFormat="false" ht="15" hidden="false" customHeight="false" outlineLevel="0" collapsed="false">
      <c r="A605" s="24"/>
      <c r="B605" s="31" t="str">
        <f aca="false">IF(A605="","",IF(LEN(UPPER(SUBSTITUTE(SUBSTITUTE(SUBSTITUTE(SUBSTITUTE(TRIM(A605),".",""),"/",""),"-","")," ","")))&lt;14,RIGHT(REPT("0",14)&amp;UPPER(SUBSTITUTE(SUBSTITUTE(SUBSTITUTE(SUBSTITUTE(TRIM(A605),".",""),"/",""),"-","")," ","")),14),UPPER(SUBSTITUTE(SUBSTITUTE(SUBSTITUTE(SUBSTITUTE(TRIM(A605),".",""),"/",""),"-","")," ",""))))</f>
        <v/>
      </c>
      <c r="C605" s="25" t="str">
        <f aca="false">IF(B605="","",IFERROR(INDEX(Empresas!$C:$C,MATCH(B605,Empresas!$B:$B,0)),"cadastre o CNPJ em Empresas"))</f>
        <v/>
      </c>
      <c r="D605" s="23"/>
      <c r="E605" s="24"/>
      <c r="F605" s="31" t="str">
        <f aca="false">IF(D605="","",SUBSTITUTE(SUBSTITUTE(SUBSTITUTE(SUBSTITUTE(SUBSTITUTE(SUBSTITUTE(SUBSTITUTE(SUBSTITUTE(SUBSTITUTE(SUBSTITUTE(SUBSTITUTE(SUBSTITUTE(SUBSTITUTE(UPPER(TRIM(D605)),"Á","A"),"À","A"),"Â","A"),"Ã","A"),"É","E"),"Ê","E"),"Í","I"),"Ó","O"),"Ô","O"),"Õ","O"),"Ú","U"),"Ü","U"),"Ç","C"))</f>
        <v/>
      </c>
      <c r="G605" s="31" t="str">
        <f aca="false">IF(E605="","",IF(LEN(SUBSTITUTE(SUBSTITUTE(SUBSTITUTE(SUBSTITUTE(TRIM(E605),"*",""),".",""),"-","")," ",""))=11,MID(SUBSTITUTE(SUBSTITUTE(SUBSTITUTE(SUBSTITUTE(TRIM(E605),"*",""),".",""),"-","")," ",""),4,6),SUBSTITUTE(SUBSTITUTE(SUBSTITUTE(SUBSTITUTE(TRIM(E605),"*",""),".",""),"-","")," ","")))</f>
        <v/>
      </c>
      <c r="H605" s="31" t="str">
        <f aca="false">IF(OR(F605="",G605=""),"",F605&amp;"|"&amp;G605)</f>
        <v/>
      </c>
      <c r="I605" s="23"/>
      <c r="J605" s="22"/>
      <c r="K605" s="22"/>
      <c r="L605" s="25" t="str">
        <f aca="false">IF(F605="","",IF(AND(H605&lt;&gt;"",COUNTIF(Pessoas!$E:$E,H605)&gt;0),"SIM",IF(COUNTIF(Pessoas!$C:$C,F605)&gt;0,"nome igual em Pessoas: confira o CPF","")))</f>
        <v/>
      </c>
      <c r="M605" s="24"/>
      <c r="N605" s="11"/>
    </row>
    <row r="606" customFormat="false" ht="15" hidden="false" customHeight="false" outlineLevel="0" collapsed="false">
      <c r="A606" s="24"/>
      <c r="B606" s="31" t="str">
        <f aca="false">IF(A606="","",IF(LEN(UPPER(SUBSTITUTE(SUBSTITUTE(SUBSTITUTE(SUBSTITUTE(TRIM(A606),".",""),"/",""),"-","")," ","")))&lt;14,RIGHT(REPT("0",14)&amp;UPPER(SUBSTITUTE(SUBSTITUTE(SUBSTITUTE(SUBSTITUTE(TRIM(A606),".",""),"/",""),"-","")," ","")),14),UPPER(SUBSTITUTE(SUBSTITUTE(SUBSTITUTE(SUBSTITUTE(TRIM(A606),".",""),"/",""),"-","")," ",""))))</f>
        <v/>
      </c>
      <c r="C606" s="25" t="str">
        <f aca="false">IF(B606="","",IFERROR(INDEX(Empresas!$C:$C,MATCH(B606,Empresas!$B:$B,0)),"cadastre o CNPJ em Empresas"))</f>
        <v/>
      </c>
      <c r="D606" s="23"/>
      <c r="E606" s="24"/>
      <c r="F606" s="31" t="str">
        <f aca="false">IF(D606="","",SUBSTITUTE(SUBSTITUTE(SUBSTITUTE(SUBSTITUTE(SUBSTITUTE(SUBSTITUTE(SUBSTITUTE(SUBSTITUTE(SUBSTITUTE(SUBSTITUTE(SUBSTITUTE(SUBSTITUTE(SUBSTITUTE(UPPER(TRIM(D606)),"Á","A"),"À","A"),"Â","A"),"Ã","A"),"É","E"),"Ê","E"),"Í","I"),"Ó","O"),"Ô","O"),"Õ","O"),"Ú","U"),"Ü","U"),"Ç","C"))</f>
        <v/>
      </c>
      <c r="G606" s="31" t="str">
        <f aca="false">IF(E606="","",IF(LEN(SUBSTITUTE(SUBSTITUTE(SUBSTITUTE(SUBSTITUTE(TRIM(E606),"*",""),".",""),"-","")," ",""))=11,MID(SUBSTITUTE(SUBSTITUTE(SUBSTITUTE(SUBSTITUTE(TRIM(E606),"*",""),".",""),"-","")," ",""),4,6),SUBSTITUTE(SUBSTITUTE(SUBSTITUTE(SUBSTITUTE(TRIM(E606),"*",""),".",""),"-","")," ","")))</f>
        <v/>
      </c>
      <c r="H606" s="31" t="str">
        <f aca="false">IF(OR(F606="",G606=""),"",F606&amp;"|"&amp;G606)</f>
        <v/>
      </c>
      <c r="I606" s="23"/>
      <c r="J606" s="22"/>
      <c r="K606" s="22"/>
      <c r="L606" s="25" t="str">
        <f aca="false">IF(F606="","",IF(AND(H606&lt;&gt;"",COUNTIF(Pessoas!$E:$E,H606)&gt;0),"SIM",IF(COUNTIF(Pessoas!$C:$C,F606)&gt;0,"nome igual em Pessoas: confira o CPF","")))</f>
        <v/>
      </c>
      <c r="M606" s="24"/>
      <c r="N606" s="11"/>
    </row>
    <row r="607" customFormat="false" ht="15" hidden="false" customHeight="false" outlineLevel="0" collapsed="false">
      <c r="A607" s="24"/>
      <c r="B607" s="31" t="str">
        <f aca="false">IF(A607="","",IF(LEN(UPPER(SUBSTITUTE(SUBSTITUTE(SUBSTITUTE(SUBSTITUTE(TRIM(A607),".",""),"/",""),"-","")," ","")))&lt;14,RIGHT(REPT("0",14)&amp;UPPER(SUBSTITUTE(SUBSTITUTE(SUBSTITUTE(SUBSTITUTE(TRIM(A607),".",""),"/",""),"-","")," ","")),14),UPPER(SUBSTITUTE(SUBSTITUTE(SUBSTITUTE(SUBSTITUTE(TRIM(A607),".",""),"/",""),"-","")," ",""))))</f>
        <v/>
      </c>
      <c r="C607" s="25" t="str">
        <f aca="false">IF(B607="","",IFERROR(INDEX(Empresas!$C:$C,MATCH(B607,Empresas!$B:$B,0)),"cadastre o CNPJ em Empresas"))</f>
        <v/>
      </c>
      <c r="D607" s="23"/>
      <c r="E607" s="24"/>
      <c r="F607" s="31" t="str">
        <f aca="false">IF(D607="","",SUBSTITUTE(SUBSTITUTE(SUBSTITUTE(SUBSTITUTE(SUBSTITUTE(SUBSTITUTE(SUBSTITUTE(SUBSTITUTE(SUBSTITUTE(SUBSTITUTE(SUBSTITUTE(SUBSTITUTE(SUBSTITUTE(UPPER(TRIM(D607)),"Á","A"),"À","A"),"Â","A"),"Ã","A"),"É","E"),"Ê","E"),"Í","I"),"Ó","O"),"Ô","O"),"Õ","O"),"Ú","U"),"Ü","U"),"Ç","C"))</f>
        <v/>
      </c>
      <c r="G607" s="31" t="str">
        <f aca="false">IF(E607="","",IF(LEN(SUBSTITUTE(SUBSTITUTE(SUBSTITUTE(SUBSTITUTE(TRIM(E607),"*",""),".",""),"-","")," ",""))=11,MID(SUBSTITUTE(SUBSTITUTE(SUBSTITUTE(SUBSTITUTE(TRIM(E607),"*",""),".",""),"-","")," ",""),4,6),SUBSTITUTE(SUBSTITUTE(SUBSTITUTE(SUBSTITUTE(TRIM(E607),"*",""),".",""),"-","")," ","")))</f>
        <v/>
      </c>
      <c r="H607" s="31" t="str">
        <f aca="false">IF(OR(F607="",G607=""),"",F607&amp;"|"&amp;G607)</f>
        <v/>
      </c>
      <c r="I607" s="23"/>
      <c r="J607" s="22"/>
      <c r="K607" s="22"/>
      <c r="L607" s="25" t="str">
        <f aca="false">IF(F607="","",IF(AND(H607&lt;&gt;"",COUNTIF(Pessoas!$E:$E,H607)&gt;0),"SIM",IF(COUNTIF(Pessoas!$C:$C,F607)&gt;0,"nome igual em Pessoas: confira o CPF","")))</f>
        <v/>
      </c>
      <c r="M607" s="24"/>
      <c r="N607" s="11"/>
    </row>
    <row r="608" customFormat="false" ht="15" hidden="false" customHeight="false" outlineLevel="0" collapsed="false">
      <c r="A608" s="24"/>
      <c r="B608" s="31" t="str">
        <f aca="false">IF(A608="","",IF(LEN(UPPER(SUBSTITUTE(SUBSTITUTE(SUBSTITUTE(SUBSTITUTE(TRIM(A608),".",""),"/",""),"-","")," ","")))&lt;14,RIGHT(REPT("0",14)&amp;UPPER(SUBSTITUTE(SUBSTITUTE(SUBSTITUTE(SUBSTITUTE(TRIM(A608),".",""),"/",""),"-","")," ","")),14),UPPER(SUBSTITUTE(SUBSTITUTE(SUBSTITUTE(SUBSTITUTE(TRIM(A608),".",""),"/",""),"-","")," ",""))))</f>
        <v/>
      </c>
      <c r="C608" s="25" t="str">
        <f aca="false">IF(B608="","",IFERROR(INDEX(Empresas!$C:$C,MATCH(B608,Empresas!$B:$B,0)),"cadastre o CNPJ em Empresas"))</f>
        <v/>
      </c>
      <c r="D608" s="23"/>
      <c r="E608" s="24"/>
      <c r="F608" s="31" t="str">
        <f aca="false">IF(D608="","",SUBSTITUTE(SUBSTITUTE(SUBSTITUTE(SUBSTITUTE(SUBSTITUTE(SUBSTITUTE(SUBSTITUTE(SUBSTITUTE(SUBSTITUTE(SUBSTITUTE(SUBSTITUTE(SUBSTITUTE(SUBSTITUTE(UPPER(TRIM(D608)),"Á","A"),"À","A"),"Â","A"),"Ã","A"),"É","E"),"Ê","E"),"Í","I"),"Ó","O"),"Ô","O"),"Õ","O"),"Ú","U"),"Ü","U"),"Ç","C"))</f>
        <v/>
      </c>
      <c r="G608" s="31" t="str">
        <f aca="false">IF(E608="","",IF(LEN(SUBSTITUTE(SUBSTITUTE(SUBSTITUTE(SUBSTITUTE(TRIM(E608),"*",""),".",""),"-","")," ",""))=11,MID(SUBSTITUTE(SUBSTITUTE(SUBSTITUTE(SUBSTITUTE(TRIM(E608),"*",""),".",""),"-","")," ",""),4,6),SUBSTITUTE(SUBSTITUTE(SUBSTITUTE(SUBSTITUTE(TRIM(E608),"*",""),".",""),"-","")," ","")))</f>
        <v/>
      </c>
      <c r="H608" s="31" t="str">
        <f aca="false">IF(OR(F608="",G608=""),"",F608&amp;"|"&amp;G608)</f>
        <v/>
      </c>
      <c r="I608" s="23"/>
      <c r="J608" s="22"/>
      <c r="K608" s="22"/>
      <c r="L608" s="25" t="str">
        <f aca="false">IF(F608="","",IF(AND(H608&lt;&gt;"",COUNTIF(Pessoas!$E:$E,H608)&gt;0),"SIM",IF(COUNTIF(Pessoas!$C:$C,F608)&gt;0,"nome igual em Pessoas: confira o CPF","")))</f>
        <v/>
      </c>
      <c r="M608" s="24"/>
      <c r="N608" s="11"/>
    </row>
    <row r="609" customFormat="false" ht="15" hidden="false" customHeight="false" outlineLevel="0" collapsed="false">
      <c r="A609" s="24"/>
      <c r="B609" s="31" t="str">
        <f aca="false">IF(A609="","",IF(LEN(UPPER(SUBSTITUTE(SUBSTITUTE(SUBSTITUTE(SUBSTITUTE(TRIM(A609),".",""),"/",""),"-","")," ","")))&lt;14,RIGHT(REPT("0",14)&amp;UPPER(SUBSTITUTE(SUBSTITUTE(SUBSTITUTE(SUBSTITUTE(TRIM(A609),".",""),"/",""),"-","")," ","")),14),UPPER(SUBSTITUTE(SUBSTITUTE(SUBSTITUTE(SUBSTITUTE(TRIM(A609),".",""),"/",""),"-","")," ",""))))</f>
        <v/>
      </c>
      <c r="C609" s="25" t="str">
        <f aca="false">IF(B609="","",IFERROR(INDEX(Empresas!$C:$C,MATCH(B609,Empresas!$B:$B,0)),"cadastre o CNPJ em Empresas"))</f>
        <v/>
      </c>
      <c r="D609" s="23"/>
      <c r="E609" s="24"/>
      <c r="F609" s="31" t="str">
        <f aca="false">IF(D609="","",SUBSTITUTE(SUBSTITUTE(SUBSTITUTE(SUBSTITUTE(SUBSTITUTE(SUBSTITUTE(SUBSTITUTE(SUBSTITUTE(SUBSTITUTE(SUBSTITUTE(SUBSTITUTE(SUBSTITUTE(SUBSTITUTE(UPPER(TRIM(D609)),"Á","A"),"À","A"),"Â","A"),"Ã","A"),"É","E"),"Ê","E"),"Í","I"),"Ó","O"),"Ô","O"),"Õ","O"),"Ú","U"),"Ü","U"),"Ç","C"))</f>
        <v/>
      </c>
      <c r="G609" s="31" t="str">
        <f aca="false">IF(E609="","",IF(LEN(SUBSTITUTE(SUBSTITUTE(SUBSTITUTE(SUBSTITUTE(TRIM(E609),"*",""),".",""),"-","")," ",""))=11,MID(SUBSTITUTE(SUBSTITUTE(SUBSTITUTE(SUBSTITUTE(TRIM(E609),"*",""),".",""),"-","")," ",""),4,6),SUBSTITUTE(SUBSTITUTE(SUBSTITUTE(SUBSTITUTE(TRIM(E609),"*",""),".",""),"-","")," ","")))</f>
        <v/>
      </c>
      <c r="H609" s="31" t="str">
        <f aca="false">IF(OR(F609="",G609=""),"",F609&amp;"|"&amp;G609)</f>
        <v/>
      </c>
      <c r="I609" s="23"/>
      <c r="J609" s="22"/>
      <c r="K609" s="22"/>
      <c r="L609" s="25" t="str">
        <f aca="false">IF(F609="","",IF(AND(H609&lt;&gt;"",COUNTIF(Pessoas!$E:$E,H609)&gt;0),"SIM",IF(COUNTIF(Pessoas!$C:$C,F609)&gt;0,"nome igual em Pessoas: confira o CPF","")))</f>
        <v/>
      </c>
      <c r="M609" s="24"/>
      <c r="N609" s="11"/>
    </row>
    <row r="610" customFormat="false" ht="15" hidden="false" customHeight="false" outlineLevel="0" collapsed="false">
      <c r="A610" s="24"/>
      <c r="B610" s="31" t="str">
        <f aca="false">IF(A610="","",IF(LEN(UPPER(SUBSTITUTE(SUBSTITUTE(SUBSTITUTE(SUBSTITUTE(TRIM(A610),".",""),"/",""),"-","")," ","")))&lt;14,RIGHT(REPT("0",14)&amp;UPPER(SUBSTITUTE(SUBSTITUTE(SUBSTITUTE(SUBSTITUTE(TRIM(A610),".",""),"/",""),"-","")," ","")),14),UPPER(SUBSTITUTE(SUBSTITUTE(SUBSTITUTE(SUBSTITUTE(TRIM(A610),".",""),"/",""),"-","")," ",""))))</f>
        <v/>
      </c>
      <c r="C610" s="25" t="str">
        <f aca="false">IF(B610="","",IFERROR(INDEX(Empresas!$C:$C,MATCH(B610,Empresas!$B:$B,0)),"cadastre o CNPJ em Empresas"))</f>
        <v/>
      </c>
      <c r="D610" s="23"/>
      <c r="E610" s="24"/>
      <c r="F610" s="31" t="str">
        <f aca="false">IF(D610="","",SUBSTITUTE(SUBSTITUTE(SUBSTITUTE(SUBSTITUTE(SUBSTITUTE(SUBSTITUTE(SUBSTITUTE(SUBSTITUTE(SUBSTITUTE(SUBSTITUTE(SUBSTITUTE(SUBSTITUTE(SUBSTITUTE(UPPER(TRIM(D610)),"Á","A"),"À","A"),"Â","A"),"Ã","A"),"É","E"),"Ê","E"),"Í","I"),"Ó","O"),"Ô","O"),"Õ","O"),"Ú","U"),"Ü","U"),"Ç","C"))</f>
        <v/>
      </c>
      <c r="G610" s="31" t="str">
        <f aca="false">IF(E610="","",IF(LEN(SUBSTITUTE(SUBSTITUTE(SUBSTITUTE(SUBSTITUTE(TRIM(E610),"*",""),".",""),"-","")," ",""))=11,MID(SUBSTITUTE(SUBSTITUTE(SUBSTITUTE(SUBSTITUTE(TRIM(E610),"*",""),".",""),"-","")," ",""),4,6),SUBSTITUTE(SUBSTITUTE(SUBSTITUTE(SUBSTITUTE(TRIM(E610),"*",""),".",""),"-","")," ","")))</f>
        <v/>
      </c>
      <c r="H610" s="31" t="str">
        <f aca="false">IF(OR(F610="",G610=""),"",F610&amp;"|"&amp;G610)</f>
        <v/>
      </c>
      <c r="I610" s="23"/>
      <c r="J610" s="22"/>
      <c r="K610" s="22"/>
      <c r="L610" s="25" t="str">
        <f aca="false">IF(F610="","",IF(AND(H610&lt;&gt;"",COUNTIF(Pessoas!$E:$E,H610)&gt;0),"SIM",IF(COUNTIF(Pessoas!$C:$C,F610)&gt;0,"nome igual em Pessoas: confira o CPF","")))</f>
        <v/>
      </c>
      <c r="M610" s="24"/>
      <c r="N610" s="11"/>
    </row>
    <row r="611" customFormat="false" ht="15" hidden="false" customHeight="false" outlineLevel="0" collapsed="false">
      <c r="A611" s="24"/>
      <c r="B611" s="31" t="str">
        <f aca="false">IF(A611="","",IF(LEN(UPPER(SUBSTITUTE(SUBSTITUTE(SUBSTITUTE(SUBSTITUTE(TRIM(A611),".",""),"/",""),"-","")," ","")))&lt;14,RIGHT(REPT("0",14)&amp;UPPER(SUBSTITUTE(SUBSTITUTE(SUBSTITUTE(SUBSTITUTE(TRIM(A611),".",""),"/",""),"-","")," ","")),14),UPPER(SUBSTITUTE(SUBSTITUTE(SUBSTITUTE(SUBSTITUTE(TRIM(A611),".",""),"/",""),"-","")," ",""))))</f>
        <v/>
      </c>
      <c r="C611" s="25" t="str">
        <f aca="false">IF(B611="","",IFERROR(INDEX(Empresas!$C:$C,MATCH(B611,Empresas!$B:$B,0)),"cadastre o CNPJ em Empresas"))</f>
        <v/>
      </c>
      <c r="D611" s="23"/>
      <c r="E611" s="24"/>
      <c r="F611" s="31" t="str">
        <f aca="false">IF(D611="","",SUBSTITUTE(SUBSTITUTE(SUBSTITUTE(SUBSTITUTE(SUBSTITUTE(SUBSTITUTE(SUBSTITUTE(SUBSTITUTE(SUBSTITUTE(SUBSTITUTE(SUBSTITUTE(SUBSTITUTE(SUBSTITUTE(UPPER(TRIM(D611)),"Á","A"),"À","A"),"Â","A"),"Ã","A"),"É","E"),"Ê","E"),"Í","I"),"Ó","O"),"Ô","O"),"Õ","O"),"Ú","U"),"Ü","U"),"Ç","C"))</f>
        <v/>
      </c>
      <c r="G611" s="31" t="str">
        <f aca="false">IF(E611="","",IF(LEN(SUBSTITUTE(SUBSTITUTE(SUBSTITUTE(SUBSTITUTE(TRIM(E611),"*",""),".",""),"-","")," ",""))=11,MID(SUBSTITUTE(SUBSTITUTE(SUBSTITUTE(SUBSTITUTE(TRIM(E611),"*",""),".",""),"-","")," ",""),4,6),SUBSTITUTE(SUBSTITUTE(SUBSTITUTE(SUBSTITUTE(TRIM(E611),"*",""),".",""),"-","")," ","")))</f>
        <v/>
      </c>
      <c r="H611" s="31" t="str">
        <f aca="false">IF(OR(F611="",G611=""),"",F611&amp;"|"&amp;G611)</f>
        <v/>
      </c>
      <c r="I611" s="23"/>
      <c r="J611" s="22"/>
      <c r="K611" s="22"/>
      <c r="L611" s="25" t="str">
        <f aca="false">IF(F611="","",IF(AND(H611&lt;&gt;"",COUNTIF(Pessoas!$E:$E,H611)&gt;0),"SIM",IF(COUNTIF(Pessoas!$C:$C,F611)&gt;0,"nome igual em Pessoas: confira o CPF","")))</f>
        <v/>
      </c>
      <c r="M611" s="24"/>
      <c r="N611" s="11"/>
    </row>
    <row r="612" customFormat="false" ht="15" hidden="false" customHeight="false" outlineLevel="0" collapsed="false">
      <c r="A612" s="24"/>
      <c r="B612" s="31" t="str">
        <f aca="false">IF(A612="","",IF(LEN(UPPER(SUBSTITUTE(SUBSTITUTE(SUBSTITUTE(SUBSTITUTE(TRIM(A612),".",""),"/",""),"-","")," ","")))&lt;14,RIGHT(REPT("0",14)&amp;UPPER(SUBSTITUTE(SUBSTITUTE(SUBSTITUTE(SUBSTITUTE(TRIM(A612),".",""),"/",""),"-","")," ","")),14),UPPER(SUBSTITUTE(SUBSTITUTE(SUBSTITUTE(SUBSTITUTE(TRIM(A612),".",""),"/",""),"-","")," ",""))))</f>
        <v/>
      </c>
      <c r="C612" s="25" t="str">
        <f aca="false">IF(B612="","",IFERROR(INDEX(Empresas!$C:$C,MATCH(B612,Empresas!$B:$B,0)),"cadastre o CNPJ em Empresas"))</f>
        <v/>
      </c>
      <c r="D612" s="23"/>
      <c r="E612" s="24"/>
      <c r="F612" s="31" t="str">
        <f aca="false">IF(D612="","",SUBSTITUTE(SUBSTITUTE(SUBSTITUTE(SUBSTITUTE(SUBSTITUTE(SUBSTITUTE(SUBSTITUTE(SUBSTITUTE(SUBSTITUTE(SUBSTITUTE(SUBSTITUTE(SUBSTITUTE(SUBSTITUTE(UPPER(TRIM(D612)),"Á","A"),"À","A"),"Â","A"),"Ã","A"),"É","E"),"Ê","E"),"Í","I"),"Ó","O"),"Ô","O"),"Õ","O"),"Ú","U"),"Ü","U"),"Ç","C"))</f>
        <v/>
      </c>
      <c r="G612" s="31" t="str">
        <f aca="false">IF(E612="","",IF(LEN(SUBSTITUTE(SUBSTITUTE(SUBSTITUTE(SUBSTITUTE(TRIM(E612),"*",""),".",""),"-","")," ",""))=11,MID(SUBSTITUTE(SUBSTITUTE(SUBSTITUTE(SUBSTITUTE(TRIM(E612),"*",""),".",""),"-","")," ",""),4,6),SUBSTITUTE(SUBSTITUTE(SUBSTITUTE(SUBSTITUTE(TRIM(E612),"*",""),".",""),"-","")," ","")))</f>
        <v/>
      </c>
      <c r="H612" s="31" t="str">
        <f aca="false">IF(OR(F612="",G612=""),"",F612&amp;"|"&amp;G612)</f>
        <v/>
      </c>
      <c r="I612" s="23"/>
      <c r="J612" s="22"/>
      <c r="K612" s="22"/>
      <c r="L612" s="25" t="str">
        <f aca="false">IF(F612="","",IF(AND(H612&lt;&gt;"",COUNTIF(Pessoas!$E:$E,H612)&gt;0),"SIM",IF(COUNTIF(Pessoas!$C:$C,F612)&gt;0,"nome igual em Pessoas: confira o CPF","")))</f>
        <v/>
      </c>
      <c r="M612" s="24"/>
      <c r="N612" s="11"/>
    </row>
    <row r="613" customFormat="false" ht="15" hidden="false" customHeight="false" outlineLevel="0" collapsed="false">
      <c r="A613" s="24"/>
      <c r="B613" s="31" t="str">
        <f aca="false">IF(A613="","",IF(LEN(UPPER(SUBSTITUTE(SUBSTITUTE(SUBSTITUTE(SUBSTITUTE(TRIM(A613),".",""),"/",""),"-","")," ","")))&lt;14,RIGHT(REPT("0",14)&amp;UPPER(SUBSTITUTE(SUBSTITUTE(SUBSTITUTE(SUBSTITUTE(TRIM(A613),".",""),"/",""),"-","")," ","")),14),UPPER(SUBSTITUTE(SUBSTITUTE(SUBSTITUTE(SUBSTITUTE(TRIM(A613),".",""),"/",""),"-","")," ",""))))</f>
        <v/>
      </c>
      <c r="C613" s="25" t="str">
        <f aca="false">IF(B613="","",IFERROR(INDEX(Empresas!$C:$C,MATCH(B613,Empresas!$B:$B,0)),"cadastre o CNPJ em Empresas"))</f>
        <v/>
      </c>
      <c r="D613" s="23"/>
      <c r="E613" s="24"/>
      <c r="F613" s="31" t="str">
        <f aca="false">IF(D613="","",SUBSTITUTE(SUBSTITUTE(SUBSTITUTE(SUBSTITUTE(SUBSTITUTE(SUBSTITUTE(SUBSTITUTE(SUBSTITUTE(SUBSTITUTE(SUBSTITUTE(SUBSTITUTE(SUBSTITUTE(SUBSTITUTE(UPPER(TRIM(D613)),"Á","A"),"À","A"),"Â","A"),"Ã","A"),"É","E"),"Ê","E"),"Í","I"),"Ó","O"),"Ô","O"),"Õ","O"),"Ú","U"),"Ü","U"),"Ç","C"))</f>
        <v/>
      </c>
      <c r="G613" s="31" t="str">
        <f aca="false">IF(E613="","",IF(LEN(SUBSTITUTE(SUBSTITUTE(SUBSTITUTE(SUBSTITUTE(TRIM(E613),"*",""),".",""),"-","")," ",""))=11,MID(SUBSTITUTE(SUBSTITUTE(SUBSTITUTE(SUBSTITUTE(TRIM(E613),"*",""),".",""),"-","")," ",""),4,6),SUBSTITUTE(SUBSTITUTE(SUBSTITUTE(SUBSTITUTE(TRIM(E613),"*",""),".",""),"-","")," ","")))</f>
        <v/>
      </c>
      <c r="H613" s="31" t="str">
        <f aca="false">IF(OR(F613="",G613=""),"",F613&amp;"|"&amp;G613)</f>
        <v/>
      </c>
      <c r="I613" s="23"/>
      <c r="J613" s="22"/>
      <c r="K613" s="22"/>
      <c r="L613" s="25" t="str">
        <f aca="false">IF(F613="","",IF(AND(H613&lt;&gt;"",COUNTIF(Pessoas!$E:$E,H613)&gt;0),"SIM",IF(COUNTIF(Pessoas!$C:$C,F613)&gt;0,"nome igual em Pessoas: confira o CPF","")))</f>
        <v/>
      </c>
      <c r="M613" s="24"/>
      <c r="N613" s="11"/>
    </row>
    <row r="614" customFormat="false" ht="15" hidden="false" customHeight="false" outlineLevel="0" collapsed="false">
      <c r="A614" s="24"/>
      <c r="B614" s="31" t="str">
        <f aca="false">IF(A614="","",IF(LEN(UPPER(SUBSTITUTE(SUBSTITUTE(SUBSTITUTE(SUBSTITUTE(TRIM(A614),".",""),"/",""),"-","")," ","")))&lt;14,RIGHT(REPT("0",14)&amp;UPPER(SUBSTITUTE(SUBSTITUTE(SUBSTITUTE(SUBSTITUTE(TRIM(A614),".",""),"/",""),"-","")," ","")),14),UPPER(SUBSTITUTE(SUBSTITUTE(SUBSTITUTE(SUBSTITUTE(TRIM(A614),".",""),"/",""),"-","")," ",""))))</f>
        <v/>
      </c>
      <c r="C614" s="25" t="str">
        <f aca="false">IF(B614="","",IFERROR(INDEX(Empresas!$C:$C,MATCH(B614,Empresas!$B:$B,0)),"cadastre o CNPJ em Empresas"))</f>
        <v/>
      </c>
      <c r="D614" s="23"/>
      <c r="E614" s="24"/>
      <c r="F614" s="31" t="str">
        <f aca="false">IF(D614="","",SUBSTITUTE(SUBSTITUTE(SUBSTITUTE(SUBSTITUTE(SUBSTITUTE(SUBSTITUTE(SUBSTITUTE(SUBSTITUTE(SUBSTITUTE(SUBSTITUTE(SUBSTITUTE(SUBSTITUTE(SUBSTITUTE(UPPER(TRIM(D614)),"Á","A"),"À","A"),"Â","A"),"Ã","A"),"É","E"),"Ê","E"),"Í","I"),"Ó","O"),"Ô","O"),"Õ","O"),"Ú","U"),"Ü","U"),"Ç","C"))</f>
        <v/>
      </c>
      <c r="G614" s="31" t="str">
        <f aca="false">IF(E614="","",IF(LEN(SUBSTITUTE(SUBSTITUTE(SUBSTITUTE(SUBSTITUTE(TRIM(E614),"*",""),".",""),"-","")," ",""))=11,MID(SUBSTITUTE(SUBSTITUTE(SUBSTITUTE(SUBSTITUTE(TRIM(E614),"*",""),".",""),"-","")," ",""),4,6),SUBSTITUTE(SUBSTITUTE(SUBSTITUTE(SUBSTITUTE(TRIM(E614),"*",""),".",""),"-","")," ","")))</f>
        <v/>
      </c>
      <c r="H614" s="31" t="str">
        <f aca="false">IF(OR(F614="",G614=""),"",F614&amp;"|"&amp;G614)</f>
        <v/>
      </c>
      <c r="I614" s="23"/>
      <c r="J614" s="22"/>
      <c r="K614" s="22"/>
      <c r="L614" s="25" t="str">
        <f aca="false">IF(F614="","",IF(AND(H614&lt;&gt;"",COUNTIF(Pessoas!$E:$E,H614)&gt;0),"SIM",IF(COUNTIF(Pessoas!$C:$C,F614)&gt;0,"nome igual em Pessoas: confira o CPF","")))</f>
        <v/>
      </c>
      <c r="M614" s="24"/>
      <c r="N614" s="11"/>
    </row>
    <row r="615" customFormat="false" ht="15" hidden="false" customHeight="false" outlineLevel="0" collapsed="false">
      <c r="A615" s="24"/>
      <c r="B615" s="31" t="str">
        <f aca="false">IF(A615="","",IF(LEN(UPPER(SUBSTITUTE(SUBSTITUTE(SUBSTITUTE(SUBSTITUTE(TRIM(A615),".",""),"/",""),"-","")," ","")))&lt;14,RIGHT(REPT("0",14)&amp;UPPER(SUBSTITUTE(SUBSTITUTE(SUBSTITUTE(SUBSTITUTE(TRIM(A615),".",""),"/",""),"-","")," ","")),14),UPPER(SUBSTITUTE(SUBSTITUTE(SUBSTITUTE(SUBSTITUTE(TRIM(A615),".",""),"/",""),"-","")," ",""))))</f>
        <v/>
      </c>
      <c r="C615" s="25" t="str">
        <f aca="false">IF(B615="","",IFERROR(INDEX(Empresas!$C:$C,MATCH(B615,Empresas!$B:$B,0)),"cadastre o CNPJ em Empresas"))</f>
        <v/>
      </c>
      <c r="D615" s="23"/>
      <c r="E615" s="24"/>
      <c r="F615" s="31" t="str">
        <f aca="false">IF(D615="","",SUBSTITUTE(SUBSTITUTE(SUBSTITUTE(SUBSTITUTE(SUBSTITUTE(SUBSTITUTE(SUBSTITUTE(SUBSTITUTE(SUBSTITUTE(SUBSTITUTE(SUBSTITUTE(SUBSTITUTE(SUBSTITUTE(UPPER(TRIM(D615)),"Á","A"),"À","A"),"Â","A"),"Ã","A"),"É","E"),"Ê","E"),"Í","I"),"Ó","O"),"Ô","O"),"Õ","O"),"Ú","U"),"Ü","U"),"Ç","C"))</f>
        <v/>
      </c>
      <c r="G615" s="31" t="str">
        <f aca="false">IF(E615="","",IF(LEN(SUBSTITUTE(SUBSTITUTE(SUBSTITUTE(SUBSTITUTE(TRIM(E615),"*",""),".",""),"-","")," ",""))=11,MID(SUBSTITUTE(SUBSTITUTE(SUBSTITUTE(SUBSTITUTE(TRIM(E615),"*",""),".",""),"-","")," ",""),4,6),SUBSTITUTE(SUBSTITUTE(SUBSTITUTE(SUBSTITUTE(TRIM(E615),"*",""),".",""),"-","")," ","")))</f>
        <v/>
      </c>
      <c r="H615" s="31" t="str">
        <f aca="false">IF(OR(F615="",G615=""),"",F615&amp;"|"&amp;G615)</f>
        <v/>
      </c>
      <c r="I615" s="23"/>
      <c r="J615" s="22"/>
      <c r="K615" s="22"/>
      <c r="L615" s="25" t="str">
        <f aca="false">IF(F615="","",IF(AND(H615&lt;&gt;"",COUNTIF(Pessoas!$E:$E,H615)&gt;0),"SIM",IF(COUNTIF(Pessoas!$C:$C,F615)&gt;0,"nome igual em Pessoas: confira o CPF","")))</f>
        <v/>
      </c>
      <c r="M615" s="24"/>
      <c r="N615" s="11"/>
    </row>
    <row r="616" customFormat="false" ht="15" hidden="false" customHeight="false" outlineLevel="0" collapsed="false">
      <c r="A616" s="24"/>
      <c r="B616" s="31" t="str">
        <f aca="false">IF(A616="","",IF(LEN(UPPER(SUBSTITUTE(SUBSTITUTE(SUBSTITUTE(SUBSTITUTE(TRIM(A616),".",""),"/",""),"-","")," ","")))&lt;14,RIGHT(REPT("0",14)&amp;UPPER(SUBSTITUTE(SUBSTITUTE(SUBSTITUTE(SUBSTITUTE(TRIM(A616),".",""),"/",""),"-","")," ","")),14),UPPER(SUBSTITUTE(SUBSTITUTE(SUBSTITUTE(SUBSTITUTE(TRIM(A616),".",""),"/",""),"-","")," ",""))))</f>
        <v/>
      </c>
      <c r="C616" s="25" t="str">
        <f aca="false">IF(B616="","",IFERROR(INDEX(Empresas!$C:$C,MATCH(B616,Empresas!$B:$B,0)),"cadastre o CNPJ em Empresas"))</f>
        <v/>
      </c>
      <c r="D616" s="23"/>
      <c r="E616" s="24"/>
      <c r="F616" s="31" t="str">
        <f aca="false">IF(D616="","",SUBSTITUTE(SUBSTITUTE(SUBSTITUTE(SUBSTITUTE(SUBSTITUTE(SUBSTITUTE(SUBSTITUTE(SUBSTITUTE(SUBSTITUTE(SUBSTITUTE(SUBSTITUTE(SUBSTITUTE(SUBSTITUTE(UPPER(TRIM(D616)),"Á","A"),"À","A"),"Â","A"),"Ã","A"),"É","E"),"Ê","E"),"Í","I"),"Ó","O"),"Ô","O"),"Õ","O"),"Ú","U"),"Ü","U"),"Ç","C"))</f>
        <v/>
      </c>
      <c r="G616" s="31" t="str">
        <f aca="false">IF(E616="","",IF(LEN(SUBSTITUTE(SUBSTITUTE(SUBSTITUTE(SUBSTITUTE(TRIM(E616),"*",""),".",""),"-","")," ",""))=11,MID(SUBSTITUTE(SUBSTITUTE(SUBSTITUTE(SUBSTITUTE(TRIM(E616),"*",""),".",""),"-","")," ",""),4,6),SUBSTITUTE(SUBSTITUTE(SUBSTITUTE(SUBSTITUTE(TRIM(E616),"*",""),".",""),"-","")," ","")))</f>
        <v/>
      </c>
      <c r="H616" s="31" t="str">
        <f aca="false">IF(OR(F616="",G616=""),"",F616&amp;"|"&amp;G616)</f>
        <v/>
      </c>
      <c r="I616" s="23"/>
      <c r="J616" s="22"/>
      <c r="K616" s="22"/>
      <c r="L616" s="25" t="str">
        <f aca="false">IF(F616="","",IF(AND(H616&lt;&gt;"",COUNTIF(Pessoas!$E:$E,H616)&gt;0),"SIM",IF(COUNTIF(Pessoas!$C:$C,F616)&gt;0,"nome igual em Pessoas: confira o CPF","")))</f>
        <v/>
      </c>
      <c r="M616" s="24"/>
      <c r="N616" s="11"/>
    </row>
    <row r="617" customFormat="false" ht="15" hidden="false" customHeight="false" outlineLevel="0" collapsed="false">
      <c r="A617" s="24"/>
      <c r="B617" s="31" t="str">
        <f aca="false">IF(A617="","",IF(LEN(UPPER(SUBSTITUTE(SUBSTITUTE(SUBSTITUTE(SUBSTITUTE(TRIM(A617),".",""),"/",""),"-","")," ","")))&lt;14,RIGHT(REPT("0",14)&amp;UPPER(SUBSTITUTE(SUBSTITUTE(SUBSTITUTE(SUBSTITUTE(TRIM(A617),".",""),"/",""),"-","")," ","")),14),UPPER(SUBSTITUTE(SUBSTITUTE(SUBSTITUTE(SUBSTITUTE(TRIM(A617),".",""),"/",""),"-","")," ",""))))</f>
        <v/>
      </c>
      <c r="C617" s="25" t="str">
        <f aca="false">IF(B617="","",IFERROR(INDEX(Empresas!$C:$C,MATCH(B617,Empresas!$B:$B,0)),"cadastre o CNPJ em Empresas"))</f>
        <v/>
      </c>
      <c r="D617" s="23"/>
      <c r="E617" s="24"/>
      <c r="F617" s="31" t="str">
        <f aca="false">IF(D617="","",SUBSTITUTE(SUBSTITUTE(SUBSTITUTE(SUBSTITUTE(SUBSTITUTE(SUBSTITUTE(SUBSTITUTE(SUBSTITUTE(SUBSTITUTE(SUBSTITUTE(SUBSTITUTE(SUBSTITUTE(SUBSTITUTE(UPPER(TRIM(D617)),"Á","A"),"À","A"),"Â","A"),"Ã","A"),"É","E"),"Ê","E"),"Í","I"),"Ó","O"),"Ô","O"),"Õ","O"),"Ú","U"),"Ü","U"),"Ç","C"))</f>
        <v/>
      </c>
      <c r="G617" s="31" t="str">
        <f aca="false">IF(E617="","",IF(LEN(SUBSTITUTE(SUBSTITUTE(SUBSTITUTE(SUBSTITUTE(TRIM(E617),"*",""),".",""),"-","")," ",""))=11,MID(SUBSTITUTE(SUBSTITUTE(SUBSTITUTE(SUBSTITUTE(TRIM(E617),"*",""),".",""),"-","")," ",""),4,6),SUBSTITUTE(SUBSTITUTE(SUBSTITUTE(SUBSTITUTE(TRIM(E617),"*",""),".",""),"-","")," ","")))</f>
        <v/>
      </c>
      <c r="H617" s="31" t="str">
        <f aca="false">IF(OR(F617="",G617=""),"",F617&amp;"|"&amp;G617)</f>
        <v/>
      </c>
      <c r="I617" s="23"/>
      <c r="J617" s="22"/>
      <c r="K617" s="22"/>
      <c r="L617" s="25" t="str">
        <f aca="false">IF(F617="","",IF(AND(H617&lt;&gt;"",COUNTIF(Pessoas!$E:$E,H617)&gt;0),"SIM",IF(COUNTIF(Pessoas!$C:$C,F617)&gt;0,"nome igual em Pessoas: confira o CPF","")))</f>
        <v/>
      </c>
      <c r="M617" s="24"/>
      <c r="N617" s="11"/>
    </row>
    <row r="618" customFormat="false" ht="15" hidden="false" customHeight="false" outlineLevel="0" collapsed="false">
      <c r="A618" s="24"/>
      <c r="B618" s="31" t="str">
        <f aca="false">IF(A618="","",IF(LEN(UPPER(SUBSTITUTE(SUBSTITUTE(SUBSTITUTE(SUBSTITUTE(TRIM(A618),".",""),"/",""),"-","")," ","")))&lt;14,RIGHT(REPT("0",14)&amp;UPPER(SUBSTITUTE(SUBSTITUTE(SUBSTITUTE(SUBSTITUTE(TRIM(A618),".",""),"/",""),"-","")," ","")),14),UPPER(SUBSTITUTE(SUBSTITUTE(SUBSTITUTE(SUBSTITUTE(TRIM(A618),".",""),"/",""),"-","")," ",""))))</f>
        <v/>
      </c>
      <c r="C618" s="25" t="str">
        <f aca="false">IF(B618="","",IFERROR(INDEX(Empresas!$C:$C,MATCH(B618,Empresas!$B:$B,0)),"cadastre o CNPJ em Empresas"))</f>
        <v/>
      </c>
      <c r="D618" s="23"/>
      <c r="E618" s="24"/>
      <c r="F618" s="31" t="str">
        <f aca="false">IF(D618="","",SUBSTITUTE(SUBSTITUTE(SUBSTITUTE(SUBSTITUTE(SUBSTITUTE(SUBSTITUTE(SUBSTITUTE(SUBSTITUTE(SUBSTITUTE(SUBSTITUTE(SUBSTITUTE(SUBSTITUTE(SUBSTITUTE(UPPER(TRIM(D618)),"Á","A"),"À","A"),"Â","A"),"Ã","A"),"É","E"),"Ê","E"),"Í","I"),"Ó","O"),"Ô","O"),"Õ","O"),"Ú","U"),"Ü","U"),"Ç","C"))</f>
        <v/>
      </c>
      <c r="G618" s="31" t="str">
        <f aca="false">IF(E618="","",IF(LEN(SUBSTITUTE(SUBSTITUTE(SUBSTITUTE(SUBSTITUTE(TRIM(E618),"*",""),".",""),"-","")," ",""))=11,MID(SUBSTITUTE(SUBSTITUTE(SUBSTITUTE(SUBSTITUTE(TRIM(E618),"*",""),".",""),"-","")," ",""),4,6),SUBSTITUTE(SUBSTITUTE(SUBSTITUTE(SUBSTITUTE(TRIM(E618),"*",""),".",""),"-","")," ","")))</f>
        <v/>
      </c>
      <c r="H618" s="31" t="str">
        <f aca="false">IF(OR(F618="",G618=""),"",F618&amp;"|"&amp;G618)</f>
        <v/>
      </c>
      <c r="I618" s="23"/>
      <c r="J618" s="22"/>
      <c r="K618" s="22"/>
      <c r="L618" s="25" t="str">
        <f aca="false">IF(F618="","",IF(AND(H618&lt;&gt;"",COUNTIF(Pessoas!$E:$E,H618)&gt;0),"SIM",IF(COUNTIF(Pessoas!$C:$C,F618)&gt;0,"nome igual em Pessoas: confira o CPF","")))</f>
        <v/>
      </c>
      <c r="M618" s="24"/>
      <c r="N618" s="11"/>
    </row>
    <row r="619" customFormat="false" ht="15" hidden="false" customHeight="false" outlineLevel="0" collapsed="false">
      <c r="A619" s="24"/>
      <c r="B619" s="31" t="str">
        <f aca="false">IF(A619="","",IF(LEN(UPPER(SUBSTITUTE(SUBSTITUTE(SUBSTITUTE(SUBSTITUTE(TRIM(A619),".",""),"/",""),"-","")," ","")))&lt;14,RIGHT(REPT("0",14)&amp;UPPER(SUBSTITUTE(SUBSTITUTE(SUBSTITUTE(SUBSTITUTE(TRIM(A619),".",""),"/",""),"-","")," ","")),14),UPPER(SUBSTITUTE(SUBSTITUTE(SUBSTITUTE(SUBSTITUTE(TRIM(A619),".",""),"/",""),"-","")," ",""))))</f>
        <v/>
      </c>
      <c r="C619" s="25" t="str">
        <f aca="false">IF(B619="","",IFERROR(INDEX(Empresas!$C:$C,MATCH(B619,Empresas!$B:$B,0)),"cadastre o CNPJ em Empresas"))</f>
        <v/>
      </c>
      <c r="D619" s="23"/>
      <c r="E619" s="24"/>
      <c r="F619" s="31" t="str">
        <f aca="false">IF(D619="","",SUBSTITUTE(SUBSTITUTE(SUBSTITUTE(SUBSTITUTE(SUBSTITUTE(SUBSTITUTE(SUBSTITUTE(SUBSTITUTE(SUBSTITUTE(SUBSTITUTE(SUBSTITUTE(SUBSTITUTE(SUBSTITUTE(UPPER(TRIM(D619)),"Á","A"),"À","A"),"Â","A"),"Ã","A"),"É","E"),"Ê","E"),"Í","I"),"Ó","O"),"Ô","O"),"Õ","O"),"Ú","U"),"Ü","U"),"Ç","C"))</f>
        <v/>
      </c>
      <c r="G619" s="31" t="str">
        <f aca="false">IF(E619="","",IF(LEN(SUBSTITUTE(SUBSTITUTE(SUBSTITUTE(SUBSTITUTE(TRIM(E619),"*",""),".",""),"-","")," ",""))=11,MID(SUBSTITUTE(SUBSTITUTE(SUBSTITUTE(SUBSTITUTE(TRIM(E619),"*",""),".",""),"-","")," ",""),4,6),SUBSTITUTE(SUBSTITUTE(SUBSTITUTE(SUBSTITUTE(TRIM(E619),"*",""),".",""),"-","")," ","")))</f>
        <v/>
      </c>
      <c r="H619" s="31" t="str">
        <f aca="false">IF(OR(F619="",G619=""),"",F619&amp;"|"&amp;G619)</f>
        <v/>
      </c>
      <c r="I619" s="23"/>
      <c r="J619" s="22"/>
      <c r="K619" s="22"/>
      <c r="L619" s="25" t="str">
        <f aca="false">IF(F619="","",IF(AND(H619&lt;&gt;"",COUNTIF(Pessoas!$E:$E,H619)&gt;0),"SIM",IF(COUNTIF(Pessoas!$C:$C,F619)&gt;0,"nome igual em Pessoas: confira o CPF","")))</f>
        <v/>
      </c>
      <c r="M619" s="24"/>
      <c r="N619" s="11"/>
    </row>
    <row r="620" customFormat="false" ht="15" hidden="false" customHeight="false" outlineLevel="0" collapsed="false">
      <c r="A620" s="24"/>
      <c r="B620" s="31" t="str">
        <f aca="false">IF(A620="","",IF(LEN(UPPER(SUBSTITUTE(SUBSTITUTE(SUBSTITUTE(SUBSTITUTE(TRIM(A620),".",""),"/",""),"-","")," ","")))&lt;14,RIGHT(REPT("0",14)&amp;UPPER(SUBSTITUTE(SUBSTITUTE(SUBSTITUTE(SUBSTITUTE(TRIM(A620),".",""),"/",""),"-","")," ","")),14),UPPER(SUBSTITUTE(SUBSTITUTE(SUBSTITUTE(SUBSTITUTE(TRIM(A620),".",""),"/",""),"-","")," ",""))))</f>
        <v/>
      </c>
      <c r="C620" s="25" t="str">
        <f aca="false">IF(B620="","",IFERROR(INDEX(Empresas!$C:$C,MATCH(B620,Empresas!$B:$B,0)),"cadastre o CNPJ em Empresas"))</f>
        <v/>
      </c>
      <c r="D620" s="23"/>
      <c r="E620" s="24"/>
      <c r="F620" s="31" t="str">
        <f aca="false">IF(D620="","",SUBSTITUTE(SUBSTITUTE(SUBSTITUTE(SUBSTITUTE(SUBSTITUTE(SUBSTITUTE(SUBSTITUTE(SUBSTITUTE(SUBSTITUTE(SUBSTITUTE(SUBSTITUTE(SUBSTITUTE(SUBSTITUTE(UPPER(TRIM(D620)),"Á","A"),"À","A"),"Â","A"),"Ã","A"),"É","E"),"Ê","E"),"Í","I"),"Ó","O"),"Ô","O"),"Õ","O"),"Ú","U"),"Ü","U"),"Ç","C"))</f>
        <v/>
      </c>
      <c r="G620" s="31" t="str">
        <f aca="false">IF(E620="","",IF(LEN(SUBSTITUTE(SUBSTITUTE(SUBSTITUTE(SUBSTITUTE(TRIM(E620),"*",""),".",""),"-","")," ",""))=11,MID(SUBSTITUTE(SUBSTITUTE(SUBSTITUTE(SUBSTITUTE(TRIM(E620),"*",""),".",""),"-","")," ",""),4,6),SUBSTITUTE(SUBSTITUTE(SUBSTITUTE(SUBSTITUTE(TRIM(E620),"*",""),".",""),"-","")," ","")))</f>
        <v/>
      </c>
      <c r="H620" s="31" t="str">
        <f aca="false">IF(OR(F620="",G620=""),"",F620&amp;"|"&amp;G620)</f>
        <v/>
      </c>
      <c r="I620" s="23"/>
      <c r="J620" s="22"/>
      <c r="K620" s="22"/>
      <c r="L620" s="25" t="str">
        <f aca="false">IF(F620="","",IF(AND(H620&lt;&gt;"",COUNTIF(Pessoas!$E:$E,H620)&gt;0),"SIM",IF(COUNTIF(Pessoas!$C:$C,F620)&gt;0,"nome igual em Pessoas: confira o CPF","")))</f>
        <v/>
      </c>
      <c r="M620" s="24"/>
      <c r="N620" s="11"/>
    </row>
    <row r="621" customFormat="false" ht="15" hidden="false" customHeight="false" outlineLevel="0" collapsed="false">
      <c r="A621" s="24"/>
      <c r="B621" s="31" t="str">
        <f aca="false">IF(A621="","",IF(LEN(UPPER(SUBSTITUTE(SUBSTITUTE(SUBSTITUTE(SUBSTITUTE(TRIM(A621),".",""),"/",""),"-","")," ","")))&lt;14,RIGHT(REPT("0",14)&amp;UPPER(SUBSTITUTE(SUBSTITUTE(SUBSTITUTE(SUBSTITUTE(TRIM(A621),".",""),"/",""),"-","")," ","")),14),UPPER(SUBSTITUTE(SUBSTITUTE(SUBSTITUTE(SUBSTITUTE(TRIM(A621),".",""),"/",""),"-","")," ",""))))</f>
        <v/>
      </c>
      <c r="C621" s="25" t="str">
        <f aca="false">IF(B621="","",IFERROR(INDEX(Empresas!$C:$C,MATCH(B621,Empresas!$B:$B,0)),"cadastre o CNPJ em Empresas"))</f>
        <v/>
      </c>
      <c r="D621" s="23"/>
      <c r="E621" s="24"/>
      <c r="F621" s="31" t="str">
        <f aca="false">IF(D621="","",SUBSTITUTE(SUBSTITUTE(SUBSTITUTE(SUBSTITUTE(SUBSTITUTE(SUBSTITUTE(SUBSTITUTE(SUBSTITUTE(SUBSTITUTE(SUBSTITUTE(SUBSTITUTE(SUBSTITUTE(SUBSTITUTE(UPPER(TRIM(D621)),"Á","A"),"À","A"),"Â","A"),"Ã","A"),"É","E"),"Ê","E"),"Í","I"),"Ó","O"),"Ô","O"),"Õ","O"),"Ú","U"),"Ü","U"),"Ç","C"))</f>
        <v/>
      </c>
      <c r="G621" s="31" t="str">
        <f aca="false">IF(E621="","",IF(LEN(SUBSTITUTE(SUBSTITUTE(SUBSTITUTE(SUBSTITUTE(TRIM(E621),"*",""),".",""),"-","")," ",""))=11,MID(SUBSTITUTE(SUBSTITUTE(SUBSTITUTE(SUBSTITUTE(TRIM(E621),"*",""),".",""),"-","")," ",""),4,6),SUBSTITUTE(SUBSTITUTE(SUBSTITUTE(SUBSTITUTE(TRIM(E621),"*",""),".",""),"-","")," ","")))</f>
        <v/>
      </c>
      <c r="H621" s="31" t="str">
        <f aca="false">IF(OR(F621="",G621=""),"",F621&amp;"|"&amp;G621)</f>
        <v/>
      </c>
      <c r="I621" s="23"/>
      <c r="J621" s="22"/>
      <c r="K621" s="22"/>
      <c r="L621" s="25" t="str">
        <f aca="false">IF(F621="","",IF(AND(H621&lt;&gt;"",COUNTIF(Pessoas!$E:$E,H621)&gt;0),"SIM",IF(COUNTIF(Pessoas!$C:$C,F621)&gt;0,"nome igual em Pessoas: confira o CPF","")))</f>
        <v/>
      </c>
      <c r="M621" s="24"/>
      <c r="N621" s="11"/>
    </row>
    <row r="622" customFormat="false" ht="15" hidden="false" customHeight="false" outlineLevel="0" collapsed="false">
      <c r="A622" s="24"/>
      <c r="B622" s="31" t="str">
        <f aca="false">IF(A622="","",IF(LEN(UPPER(SUBSTITUTE(SUBSTITUTE(SUBSTITUTE(SUBSTITUTE(TRIM(A622),".",""),"/",""),"-","")," ","")))&lt;14,RIGHT(REPT("0",14)&amp;UPPER(SUBSTITUTE(SUBSTITUTE(SUBSTITUTE(SUBSTITUTE(TRIM(A622),".",""),"/",""),"-","")," ","")),14),UPPER(SUBSTITUTE(SUBSTITUTE(SUBSTITUTE(SUBSTITUTE(TRIM(A622),".",""),"/",""),"-","")," ",""))))</f>
        <v/>
      </c>
      <c r="C622" s="25" t="str">
        <f aca="false">IF(B622="","",IFERROR(INDEX(Empresas!$C:$C,MATCH(B622,Empresas!$B:$B,0)),"cadastre o CNPJ em Empresas"))</f>
        <v/>
      </c>
      <c r="D622" s="23"/>
      <c r="E622" s="24"/>
      <c r="F622" s="31" t="str">
        <f aca="false">IF(D622="","",SUBSTITUTE(SUBSTITUTE(SUBSTITUTE(SUBSTITUTE(SUBSTITUTE(SUBSTITUTE(SUBSTITUTE(SUBSTITUTE(SUBSTITUTE(SUBSTITUTE(SUBSTITUTE(SUBSTITUTE(SUBSTITUTE(UPPER(TRIM(D622)),"Á","A"),"À","A"),"Â","A"),"Ã","A"),"É","E"),"Ê","E"),"Í","I"),"Ó","O"),"Ô","O"),"Õ","O"),"Ú","U"),"Ü","U"),"Ç","C"))</f>
        <v/>
      </c>
      <c r="G622" s="31" t="str">
        <f aca="false">IF(E622="","",IF(LEN(SUBSTITUTE(SUBSTITUTE(SUBSTITUTE(SUBSTITUTE(TRIM(E622),"*",""),".",""),"-","")," ",""))=11,MID(SUBSTITUTE(SUBSTITUTE(SUBSTITUTE(SUBSTITUTE(TRIM(E622),"*",""),".",""),"-","")," ",""),4,6),SUBSTITUTE(SUBSTITUTE(SUBSTITUTE(SUBSTITUTE(TRIM(E622),"*",""),".",""),"-","")," ","")))</f>
        <v/>
      </c>
      <c r="H622" s="31" t="str">
        <f aca="false">IF(OR(F622="",G622=""),"",F622&amp;"|"&amp;G622)</f>
        <v/>
      </c>
      <c r="I622" s="23"/>
      <c r="J622" s="22"/>
      <c r="K622" s="22"/>
      <c r="L622" s="25" t="str">
        <f aca="false">IF(F622="","",IF(AND(H622&lt;&gt;"",COUNTIF(Pessoas!$E:$E,H622)&gt;0),"SIM",IF(COUNTIF(Pessoas!$C:$C,F622)&gt;0,"nome igual em Pessoas: confira o CPF","")))</f>
        <v/>
      </c>
      <c r="M622" s="24"/>
      <c r="N622" s="11"/>
    </row>
    <row r="623" customFormat="false" ht="15" hidden="false" customHeight="false" outlineLevel="0" collapsed="false">
      <c r="A623" s="24"/>
      <c r="B623" s="31" t="str">
        <f aca="false">IF(A623="","",IF(LEN(UPPER(SUBSTITUTE(SUBSTITUTE(SUBSTITUTE(SUBSTITUTE(TRIM(A623),".",""),"/",""),"-","")," ","")))&lt;14,RIGHT(REPT("0",14)&amp;UPPER(SUBSTITUTE(SUBSTITUTE(SUBSTITUTE(SUBSTITUTE(TRIM(A623),".",""),"/",""),"-","")," ","")),14),UPPER(SUBSTITUTE(SUBSTITUTE(SUBSTITUTE(SUBSTITUTE(TRIM(A623),".",""),"/",""),"-","")," ",""))))</f>
        <v/>
      </c>
      <c r="C623" s="25" t="str">
        <f aca="false">IF(B623="","",IFERROR(INDEX(Empresas!$C:$C,MATCH(B623,Empresas!$B:$B,0)),"cadastre o CNPJ em Empresas"))</f>
        <v/>
      </c>
      <c r="D623" s="23"/>
      <c r="E623" s="24"/>
      <c r="F623" s="31" t="str">
        <f aca="false">IF(D623="","",SUBSTITUTE(SUBSTITUTE(SUBSTITUTE(SUBSTITUTE(SUBSTITUTE(SUBSTITUTE(SUBSTITUTE(SUBSTITUTE(SUBSTITUTE(SUBSTITUTE(SUBSTITUTE(SUBSTITUTE(SUBSTITUTE(UPPER(TRIM(D623)),"Á","A"),"À","A"),"Â","A"),"Ã","A"),"É","E"),"Ê","E"),"Í","I"),"Ó","O"),"Ô","O"),"Õ","O"),"Ú","U"),"Ü","U"),"Ç","C"))</f>
        <v/>
      </c>
      <c r="G623" s="31" t="str">
        <f aca="false">IF(E623="","",IF(LEN(SUBSTITUTE(SUBSTITUTE(SUBSTITUTE(SUBSTITUTE(TRIM(E623),"*",""),".",""),"-","")," ",""))=11,MID(SUBSTITUTE(SUBSTITUTE(SUBSTITUTE(SUBSTITUTE(TRIM(E623),"*",""),".",""),"-","")," ",""),4,6),SUBSTITUTE(SUBSTITUTE(SUBSTITUTE(SUBSTITUTE(TRIM(E623),"*",""),".",""),"-","")," ","")))</f>
        <v/>
      </c>
      <c r="H623" s="31" t="str">
        <f aca="false">IF(OR(F623="",G623=""),"",F623&amp;"|"&amp;G623)</f>
        <v/>
      </c>
      <c r="I623" s="23"/>
      <c r="J623" s="22"/>
      <c r="K623" s="22"/>
      <c r="L623" s="25" t="str">
        <f aca="false">IF(F623="","",IF(AND(H623&lt;&gt;"",COUNTIF(Pessoas!$E:$E,H623)&gt;0),"SIM",IF(COUNTIF(Pessoas!$C:$C,F623)&gt;0,"nome igual em Pessoas: confira o CPF","")))</f>
        <v/>
      </c>
      <c r="M623" s="24"/>
      <c r="N623" s="11"/>
    </row>
    <row r="624" customFormat="false" ht="15" hidden="false" customHeight="false" outlineLevel="0" collapsed="false">
      <c r="A624" s="24"/>
      <c r="B624" s="31" t="str">
        <f aca="false">IF(A624="","",IF(LEN(UPPER(SUBSTITUTE(SUBSTITUTE(SUBSTITUTE(SUBSTITUTE(TRIM(A624),".",""),"/",""),"-","")," ","")))&lt;14,RIGHT(REPT("0",14)&amp;UPPER(SUBSTITUTE(SUBSTITUTE(SUBSTITUTE(SUBSTITUTE(TRIM(A624),".",""),"/",""),"-","")," ","")),14),UPPER(SUBSTITUTE(SUBSTITUTE(SUBSTITUTE(SUBSTITUTE(TRIM(A624),".",""),"/",""),"-","")," ",""))))</f>
        <v/>
      </c>
      <c r="C624" s="25" t="str">
        <f aca="false">IF(B624="","",IFERROR(INDEX(Empresas!$C:$C,MATCH(B624,Empresas!$B:$B,0)),"cadastre o CNPJ em Empresas"))</f>
        <v/>
      </c>
      <c r="D624" s="23"/>
      <c r="E624" s="24"/>
      <c r="F624" s="31" t="str">
        <f aca="false">IF(D624="","",SUBSTITUTE(SUBSTITUTE(SUBSTITUTE(SUBSTITUTE(SUBSTITUTE(SUBSTITUTE(SUBSTITUTE(SUBSTITUTE(SUBSTITUTE(SUBSTITUTE(SUBSTITUTE(SUBSTITUTE(SUBSTITUTE(UPPER(TRIM(D624)),"Á","A"),"À","A"),"Â","A"),"Ã","A"),"É","E"),"Ê","E"),"Í","I"),"Ó","O"),"Ô","O"),"Õ","O"),"Ú","U"),"Ü","U"),"Ç","C"))</f>
        <v/>
      </c>
      <c r="G624" s="31" t="str">
        <f aca="false">IF(E624="","",IF(LEN(SUBSTITUTE(SUBSTITUTE(SUBSTITUTE(SUBSTITUTE(TRIM(E624),"*",""),".",""),"-","")," ",""))=11,MID(SUBSTITUTE(SUBSTITUTE(SUBSTITUTE(SUBSTITUTE(TRIM(E624),"*",""),".",""),"-","")," ",""),4,6),SUBSTITUTE(SUBSTITUTE(SUBSTITUTE(SUBSTITUTE(TRIM(E624),"*",""),".",""),"-","")," ","")))</f>
        <v/>
      </c>
      <c r="H624" s="31" t="str">
        <f aca="false">IF(OR(F624="",G624=""),"",F624&amp;"|"&amp;G624)</f>
        <v/>
      </c>
      <c r="I624" s="23"/>
      <c r="J624" s="22"/>
      <c r="K624" s="22"/>
      <c r="L624" s="25" t="str">
        <f aca="false">IF(F624="","",IF(AND(H624&lt;&gt;"",COUNTIF(Pessoas!$E:$E,H624)&gt;0),"SIM",IF(COUNTIF(Pessoas!$C:$C,F624)&gt;0,"nome igual em Pessoas: confira o CPF","")))</f>
        <v/>
      </c>
      <c r="M624" s="24"/>
      <c r="N624" s="11"/>
    </row>
    <row r="625" customFormat="false" ht="15" hidden="false" customHeight="false" outlineLevel="0" collapsed="false">
      <c r="A625" s="24"/>
      <c r="B625" s="31" t="str">
        <f aca="false">IF(A625="","",IF(LEN(UPPER(SUBSTITUTE(SUBSTITUTE(SUBSTITUTE(SUBSTITUTE(TRIM(A625),".",""),"/",""),"-","")," ","")))&lt;14,RIGHT(REPT("0",14)&amp;UPPER(SUBSTITUTE(SUBSTITUTE(SUBSTITUTE(SUBSTITUTE(TRIM(A625),".",""),"/",""),"-","")," ","")),14),UPPER(SUBSTITUTE(SUBSTITUTE(SUBSTITUTE(SUBSTITUTE(TRIM(A625),".",""),"/",""),"-","")," ",""))))</f>
        <v/>
      </c>
      <c r="C625" s="25" t="str">
        <f aca="false">IF(B625="","",IFERROR(INDEX(Empresas!$C:$C,MATCH(B625,Empresas!$B:$B,0)),"cadastre o CNPJ em Empresas"))</f>
        <v/>
      </c>
      <c r="D625" s="23"/>
      <c r="E625" s="24"/>
      <c r="F625" s="31" t="str">
        <f aca="false">IF(D625="","",SUBSTITUTE(SUBSTITUTE(SUBSTITUTE(SUBSTITUTE(SUBSTITUTE(SUBSTITUTE(SUBSTITUTE(SUBSTITUTE(SUBSTITUTE(SUBSTITUTE(SUBSTITUTE(SUBSTITUTE(SUBSTITUTE(UPPER(TRIM(D625)),"Á","A"),"À","A"),"Â","A"),"Ã","A"),"É","E"),"Ê","E"),"Í","I"),"Ó","O"),"Ô","O"),"Õ","O"),"Ú","U"),"Ü","U"),"Ç","C"))</f>
        <v/>
      </c>
      <c r="G625" s="31" t="str">
        <f aca="false">IF(E625="","",IF(LEN(SUBSTITUTE(SUBSTITUTE(SUBSTITUTE(SUBSTITUTE(TRIM(E625),"*",""),".",""),"-","")," ",""))=11,MID(SUBSTITUTE(SUBSTITUTE(SUBSTITUTE(SUBSTITUTE(TRIM(E625),"*",""),".",""),"-","")," ",""),4,6),SUBSTITUTE(SUBSTITUTE(SUBSTITUTE(SUBSTITUTE(TRIM(E625),"*",""),".",""),"-","")," ","")))</f>
        <v/>
      </c>
      <c r="H625" s="31" t="str">
        <f aca="false">IF(OR(F625="",G625=""),"",F625&amp;"|"&amp;G625)</f>
        <v/>
      </c>
      <c r="I625" s="23"/>
      <c r="J625" s="22"/>
      <c r="K625" s="22"/>
      <c r="L625" s="25" t="str">
        <f aca="false">IF(F625="","",IF(AND(H625&lt;&gt;"",COUNTIF(Pessoas!$E:$E,H625)&gt;0),"SIM",IF(COUNTIF(Pessoas!$C:$C,F625)&gt;0,"nome igual em Pessoas: confira o CPF","")))</f>
        <v/>
      </c>
      <c r="M625" s="24"/>
      <c r="N625" s="11"/>
    </row>
    <row r="626" customFormat="false" ht="15" hidden="false" customHeight="false" outlineLevel="0" collapsed="false">
      <c r="A626" s="24"/>
      <c r="B626" s="31" t="str">
        <f aca="false">IF(A626="","",IF(LEN(UPPER(SUBSTITUTE(SUBSTITUTE(SUBSTITUTE(SUBSTITUTE(TRIM(A626),".",""),"/",""),"-","")," ","")))&lt;14,RIGHT(REPT("0",14)&amp;UPPER(SUBSTITUTE(SUBSTITUTE(SUBSTITUTE(SUBSTITUTE(TRIM(A626),".",""),"/",""),"-","")," ","")),14),UPPER(SUBSTITUTE(SUBSTITUTE(SUBSTITUTE(SUBSTITUTE(TRIM(A626),".",""),"/",""),"-","")," ",""))))</f>
        <v/>
      </c>
      <c r="C626" s="25" t="str">
        <f aca="false">IF(B626="","",IFERROR(INDEX(Empresas!$C:$C,MATCH(B626,Empresas!$B:$B,0)),"cadastre o CNPJ em Empresas"))</f>
        <v/>
      </c>
      <c r="D626" s="23"/>
      <c r="E626" s="24"/>
      <c r="F626" s="31" t="str">
        <f aca="false">IF(D626="","",SUBSTITUTE(SUBSTITUTE(SUBSTITUTE(SUBSTITUTE(SUBSTITUTE(SUBSTITUTE(SUBSTITUTE(SUBSTITUTE(SUBSTITUTE(SUBSTITUTE(SUBSTITUTE(SUBSTITUTE(SUBSTITUTE(UPPER(TRIM(D626)),"Á","A"),"À","A"),"Â","A"),"Ã","A"),"É","E"),"Ê","E"),"Í","I"),"Ó","O"),"Ô","O"),"Õ","O"),"Ú","U"),"Ü","U"),"Ç","C"))</f>
        <v/>
      </c>
      <c r="G626" s="31" t="str">
        <f aca="false">IF(E626="","",IF(LEN(SUBSTITUTE(SUBSTITUTE(SUBSTITUTE(SUBSTITUTE(TRIM(E626),"*",""),".",""),"-","")," ",""))=11,MID(SUBSTITUTE(SUBSTITUTE(SUBSTITUTE(SUBSTITUTE(TRIM(E626),"*",""),".",""),"-","")," ",""),4,6),SUBSTITUTE(SUBSTITUTE(SUBSTITUTE(SUBSTITUTE(TRIM(E626),"*",""),".",""),"-","")," ","")))</f>
        <v/>
      </c>
      <c r="H626" s="31" t="str">
        <f aca="false">IF(OR(F626="",G626=""),"",F626&amp;"|"&amp;G626)</f>
        <v/>
      </c>
      <c r="I626" s="23"/>
      <c r="J626" s="22"/>
      <c r="K626" s="22"/>
      <c r="L626" s="25" t="str">
        <f aca="false">IF(F626="","",IF(AND(H626&lt;&gt;"",COUNTIF(Pessoas!$E:$E,H626)&gt;0),"SIM",IF(COUNTIF(Pessoas!$C:$C,F626)&gt;0,"nome igual em Pessoas: confira o CPF","")))</f>
        <v/>
      </c>
      <c r="M626" s="24"/>
      <c r="N626" s="11"/>
    </row>
    <row r="627" customFormat="false" ht="15" hidden="false" customHeight="false" outlineLevel="0" collapsed="false">
      <c r="A627" s="24"/>
      <c r="B627" s="31" t="str">
        <f aca="false">IF(A627="","",IF(LEN(UPPER(SUBSTITUTE(SUBSTITUTE(SUBSTITUTE(SUBSTITUTE(TRIM(A627),".",""),"/",""),"-","")," ","")))&lt;14,RIGHT(REPT("0",14)&amp;UPPER(SUBSTITUTE(SUBSTITUTE(SUBSTITUTE(SUBSTITUTE(TRIM(A627),".",""),"/",""),"-","")," ","")),14),UPPER(SUBSTITUTE(SUBSTITUTE(SUBSTITUTE(SUBSTITUTE(TRIM(A627),".",""),"/",""),"-","")," ",""))))</f>
        <v/>
      </c>
      <c r="C627" s="25" t="str">
        <f aca="false">IF(B627="","",IFERROR(INDEX(Empresas!$C:$C,MATCH(B627,Empresas!$B:$B,0)),"cadastre o CNPJ em Empresas"))</f>
        <v/>
      </c>
      <c r="D627" s="23"/>
      <c r="E627" s="24"/>
      <c r="F627" s="31" t="str">
        <f aca="false">IF(D627="","",SUBSTITUTE(SUBSTITUTE(SUBSTITUTE(SUBSTITUTE(SUBSTITUTE(SUBSTITUTE(SUBSTITUTE(SUBSTITUTE(SUBSTITUTE(SUBSTITUTE(SUBSTITUTE(SUBSTITUTE(SUBSTITUTE(UPPER(TRIM(D627)),"Á","A"),"À","A"),"Â","A"),"Ã","A"),"É","E"),"Ê","E"),"Í","I"),"Ó","O"),"Ô","O"),"Õ","O"),"Ú","U"),"Ü","U"),"Ç","C"))</f>
        <v/>
      </c>
      <c r="G627" s="31" t="str">
        <f aca="false">IF(E627="","",IF(LEN(SUBSTITUTE(SUBSTITUTE(SUBSTITUTE(SUBSTITUTE(TRIM(E627),"*",""),".",""),"-","")," ",""))=11,MID(SUBSTITUTE(SUBSTITUTE(SUBSTITUTE(SUBSTITUTE(TRIM(E627),"*",""),".",""),"-","")," ",""),4,6),SUBSTITUTE(SUBSTITUTE(SUBSTITUTE(SUBSTITUTE(TRIM(E627),"*",""),".",""),"-","")," ","")))</f>
        <v/>
      </c>
      <c r="H627" s="31" t="str">
        <f aca="false">IF(OR(F627="",G627=""),"",F627&amp;"|"&amp;G627)</f>
        <v/>
      </c>
      <c r="I627" s="23"/>
      <c r="J627" s="22"/>
      <c r="K627" s="22"/>
      <c r="L627" s="25" t="str">
        <f aca="false">IF(F627="","",IF(AND(H627&lt;&gt;"",COUNTIF(Pessoas!$E:$E,H627)&gt;0),"SIM",IF(COUNTIF(Pessoas!$C:$C,F627)&gt;0,"nome igual em Pessoas: confira o CPF","")))</f>
        <v/>
      </c>
      <c r="M627" s="24"/>
      <c r="N627" s="11"/>
    </row>
    <row r="628" customFormat="false" ht="15" hidden="false" customHeight="false" outlineLevel="0" collapsed="false">
      <c r="A628" s="24"/>
      <c r="B628" s="31" t="str">
        <f aca="false">IF(A628="","",IF(LEN(UPPER(SUBSTITUTE(SUBSTITUTE(SUBSTITUTE(SUBSTITUTE(TRIM(A628),".",""),"/",""),"-","")," ","")))&lt;14,RIGHT(REPT("0",14)&amp;UPPER(SUBSTITUTE(SUBSTITUTE(SUBSTITUTE(SUBSTITUTE(TRIM(A628),".",""),"/",""),"-","")," ","")),14),UPPER(SUBSTITUTE(SUBSTITUTE(SUBSTITUTE(SUBSTITUTE(TRIM(A628),".",""),"/",""),"-","")," ",""))))</f>
        <v/>
      </c>
      <c r="C628" s="25" t="str">
        <f aca="false">IF(B628="","",IFERROR(INDEX(Empresas!$C:$C,MATCH(B628,Empresas!$B:$B,0)),"cadastre o CNPJ em Empresas"))</f>
        <v/>
      </c>
      <c r="D628" s="23"/>
      <c r="E628" s="24"/>
      <c r="F628" s="31" t="str">
        <f aca="false">IF(D628="","",SUBSTITUTE(SUBSTITUTE(SUBSTITUTE(SUBSTITUTE(SUBSTITUTE(SUBSTITUTE(SUBSTITUTE(SUBSTITUTE(SUBSTITUTE(SUBSTITUTE(SUBSTITUTE(SUBSTITUTE(SUBSTITUTE(UPPER(TRIM(D628)),"Á","A"),"À","A"),"Â","A"),"Ã","A"),"É","E"),"Ê","E"),"Í","I"),"Ó","O"),"Ô","O"),"Õ","O"),"Ú","U"),"Ü","U"),"Ç","C"))</f>
        <v/>
      </c>
      <c r="G628" s="31" t="str">
        <f aca="false">IF(E628="","",IF(LEN(SUBSTITUTE(SUBSTITUTE(SUBSTITUTE(SUBSTITUTE(TRIM(E628),"*",""),".",""),"-","")," ",""))=11,MID(SUBSTITUTE(SUBSTITUTE(SUBSTITUTE(SUBSTITUTE(TRIM(E628),"*",""),".",""),"-","")," ",""),4,6),SUBSTITUTE(SUBSTITUTE(SUBSTITUTE(SUBSTITUTE(TRIM(E628),"*",""),".",""),"-","")," ","")))</f>
        <v/>
      </c>
      <c r="H628" s="31" t="str">
        <f aca="false">IF(OR(F628="",G628=""),"",F628&amp;"|"&amp;G628)</f>
        <v/>
      </c>
      <c r="I628" s="23"/>
      <c r="J628" s="22"/>
      <c r="K628" s="22"/>
      <c r="L628" s="25" t="str">
        <f aca="false">IF(F628="","",IF(AND(H628&lt;&gt;"",COUNTIF(Pessoas!$E:$E,H628)&gt;0),"SIM",IF(COUNTIF(Pessoas!$C:$C,F628)&gt;0,"nome igual em Pessoas: confira o CPF","")))</f>
        <v/>
      </c>
      <c r="M628" s="24"/>
      <c r="N628" s="11"/>
    </row>
    <row r="629" customFormat="false" ht="15" hidden="false" customHeight="false" outlineLevel="0" collapsed="false">
      <c r="A629" s="24"/>
      <c r="B629" s="31" t="str">
        <f aca="false">IF(A629="","",IF(LEN(UPPER(SUBSTITUTE(SUBSTITUTE(SUBSTITUTE(SUBSTITUTE(TRIM(A629),".",""),"/",""),"-","")," ","")))&lt;14,RIGHT(REPT("0",14)&amp;UPPER(SUBSTITUTE(SUBSTITUTE(SUBSTITUTE(SUBSTITUTE(TRIM(A629),".",""),"/",""),"-","")," ","")),14),UPPER(SUBSTITUTE(SUBSTITUTE(SUBSTITUTE(SUBSTITUTE(TRIM(A629),".",""),"/",""),"-","")," ",""))))</f>
        <v/>
      </c>
      <c r="C629" s="25" t="str">
        <f aca="false">IF(B629="","",IFERROR(INDEX(Empresas!$C:$C,MATCH(B629,Empresas!$B:$B,0)),"cadastre o CNPJ em Empresas"))</f>
        <v/>
      </c>
      <c r="D629" s="23"/>
      <c r="E629" s="24"/>
      <c r="F629" s="31" t="str">
        <f aca="false">IF(D629="","",SUBSTITUTE(SUBSTITUTE(SUBSTITUTE(SUBSTITUTE(SUBSTITUTE(SUBSTITUTE(SUBSTITUTE(SUBSTITUTE(SUBSTITUTE(SUBSTITUTE(SUBSTITUTE(SUBSTITUTE(SUBSTITUTE(UPPER(TRIM(D629)),"Á","A"),"À","A"),"Â","A"),"Ã","A"),"É","E"),"Ê","E"),"Í","I"),"Ó","O"),"Ô","O"),"Õ","O"),"Ú","U"),"Ü","U"),"Ç","C"))</f>
        <v/>
      </c>
      <c r="G629" s="31" t="str">
        <f aca="false">IF(E629="","",IF(LEN(SUBSTITUTE(SUBSTITUTE(SUBSTITUTE(SUBSTITUTE(TRIM(E629),"*",""),".",""),"-","")," ",""))=11,MID(SUBSTITUTE(SUBSTITUTE(SUBSTITUTE(SUBSTITUTE(TRIM(E629),"*",""),".",""),"-","")," ",""),4,6),SUBSTITUTE(SUBSTITUTE(SUBSTITUTE(SUBSTITUTE(TRIM(E629),"*",""),".",""),"-","")," ","")))</f>
        <v/>
      </c>
      <c r="H629" s="31" t="str">
        <f aca="false">IF(OR(F629="",G629=""),"",F629&amp;"|"&amp;G629)</f>
        <v/>
      </c>
      <c r="I629" s="23"/>
      <c r="J629" s="22"/>
      <c r="K629" s="22"/>
      <c r="L629" s="25" t="str">
        <f aca="false">IF(F629="","",IF(AND(H629&lt;&gt;"",COUNTIF(Pessoas!$E:$E,H629)&gt;0),"SIM",IF(COUNTIF(Pessoas!$C:$C,F629)&gt;0,"nome igual em Pessoas: confira o CPF","")))</f>
        <v/>
      </c>
      <c r="M629" s="24"/>
      <c r="N629" s="11"/>
    </row>
    <row r="630" customFormat="false" ht="15" hidden="false" customHeight="false" outlineLevel="0" collapsed="false">
      <c r="A630" s="24"/>
      <c r="B630" s="31" t="str">
        <f aca="false">IF(A630="","",IF(LEN(UPPER(SUBSTITUTE(SUBSTITUTE(SUBSTITUTE(SUBSTITUTE(TRIM(A630),".",""),"/",""),"-","")," ","")))&lt;14,RIGHT(REPT("0",14)&amp;UPPER(SUBSTITUTE(SUBSTITUTE(SUBSTITUTE(SUBSTITUTE(TRIM(A630),".",""),"/",""),"-","")," ","")),14),UPPER(SUBSTITUTE(SUBSTITUTE(SUBSTITUTE(SUBSTITUTE(TRIM(A630),".",""),"/",""),"-","")," ",""))))</f>
        <v/>
      </c>
      <c r="C630" s="25" t="str">
        <f aca="false">IF(B630="","",IFERROR(INDEX(Empresas!$C:$C,MATCH(B630,Empresas!$B:$B,0)),"cadastre o CNPJ em Empresas"))</f>
        <v/>
      </c>
      <c r="D630" s="23"/>
      <c r="E630" s="24"/>
      <c r="F630" s="31" t="str">
        <f aca="false">IF(D630="","",SUBSTITUTE(SUBSTITUTE(SUBSTITUTE(SUBSTITUTE(SUBSTITUTE(SUBSTITUTE(SUBSTITUTE(SUBSTITUTE(SUBSTITUTE(SUBSTITUTE(SUBSTITUTE(SUBSTITUTE(SUBSTITUTE(UPPER(TRIM(D630)),"Á","A"),"À","A"),"Â","A"),"Ã","A"),"É","E"),"Ê","E"),"Í","I"),"Ó","O"),"Ô","O"),"Õ","O"),"Ú","U"),"Ü","U"),"Ç","C"))</f>
        <v/>
      </c>
      <c r="G630" s="31" t="str">
        <f aca="false">IF(E630="","",IF(LEN(SUBSTITUTE(SUBSTITUTE(SUBSTITUTE(SUBSTITUTE(TRIM(E630),"*",""),".",""),"-","")," ",""))=11,MID(SUBSTITUTE(SUBSTITUTE(SUBSTITUTE(SUBSTITUTE(TRIM(E630),"*",""),".",""),"-","")," ",""),4,6),SUBSTITUTE(SUBSTITUTE(SUBSTITUTE(SUBSTITUTE(TRIM(E630),"*",""),".",""),"-","")," ","")))</f>
        <v/>
      </c>
      <c r="H630" s="31" t="str">
        <f aca="false">IF(OR(F630="",G630=""),"",F630&amp;"|"&amp;G630)</f>
        <v/>
      </c>
      <c r="I630" s="23"/>
      <c r="J630" s="22"/>
      <c r="K630" s="22"/>
      <c r="L630" s="25" t="str">
        <f aca="false">IF(F630="","",IF(AND(H630&lt;&gt;"",COUNTIF(Pessoas!$E:$E,H630)&gt;0),"SIM",IF(COUNTIF(Pessoas!$C:$C,F630)&gt;0,"nome igual em Pessoas: confira o CPF","")))</f>
        <v/>
      </c>
      <c r="M630" s="24"/>
      <c r="N630" s="11"/>
    </row>
    <row r="631" customFormat="false" ht="15" hidden="false" customHeight="false" outlineLevel="0" collapsed="false">
      <c r="A631" s="24"/>
      <c r="B631" s="31" t="str">
        <f aca="false">IF(A631="","",IF(LEN(UPPER(SUBSTITUTE(SUBSTITUTE(SUBSTITUTE(SUBSTITUTE(TRIM(A631),".",""),"/",""),"-","")," ","")))&lt;14,RIGHT(REPT("0",14)&amp;UPPER(SUBSTITUTE(SUBSTITUTE(SUBSTITUTE(SUBSTITUTE(TRIM(A631),".",""),"/",""),"-","")," ","")),14),UPPER(SUBSTITUTE(SUBSTITUTE(SUBSTITUTE(SUBSTITUTE(TRIM(A631),".",""),"/",""),"-","")," ",""))))</f>
        <v/>
      </c>
      <c r="C631" s="25" t="str">
        <f aca="false">IF(B631="","",IFERROR(INDEX(Empresas!$C:$C,MATCH(B631,Empresas!$B:$B,0)),"cadastre o CNPJ em Empresas"))</f>
        <v/>
      </c>
      <c r="D631" s="23"/>
      <c r="E631" s="24"/>
      <c r="F631" s="31" t="str">
        <f aca="false">IF(D631="","",SUBSTITUTE(SUBSTITUTE(SUBSTITUTE(SUBSTITUTE(SUBSTITUTE(SUBSTITUTE(SUBSTITUTE(SUBSTITUTE(SUBSTITUTE(SUBSTITUTE(SUBSTITUTE(SUBSTITUTE(SUBSTITUTE(UPPER(TRIM(D631)),"Á","A"),"À","A"),"Â","A"),"Ã","A"),"É","E"),"Ê","E"),"Í","I"),"Ó","O"),"Ô","O"),"Õ","O"),"Ú","U"),"Ü","U"),"Ç","C"))</f>
        <v/>
      </c>
      <c r="G631" s="31" t="str">
        <f aca="false">IF(E631="","",IF(LEN(SUBSTITUTE(SUBSTITUTE(SUBSTITUTE(SUBSTITUTE(TRIM(E631),"*",""),".",""),"-","")," ",""))=11,MID(SUBSTITUTE(SUBSTITUTE(SUBSTITUTE(SUBSTITUTE(TRIM(E631),"*",""),".",""),"-","")," ",""),4,6),SUBSTITUTE(SUBSTITUTE(SUBSTITUTE(SUBSTITUTE(TRIM(E631),"*",""),".",""),"-","")," ","")))</f>
        <v/>
      </c>
      <c r="H631" s="31" t="str">
        <f aca="false">IF(OR(F631="",G631=""),"",F631&amp;"|"&amp;G631)</f>
        <v/>
      </c>
      <c r="I631" s="23"/>
      <c r="J631" s="22"/>
      <c r="K631" s="22"/>
      <c r="L631" s="25" t="str">
        <f aca="false">IF(F631="","",IF(AND(H631&lt;&gt;"",COUNTIF(Pessoas!$E:$E,H631)&gt;0),"SIM",IF(COUNTIF(Pessoas!$C:$C,F631)&gt;0,"nome igual em Pessoas: confira o CPF","")))</f>
        <v/>
      </c>
      <c r="M631" s="24"/>
      <c r="N631" s="11"/>
    </row>
    <row r="632" customFormat="false" ht="15" hidden="false" customHeight="false" outlineLevel="0" collapsed="false">
      <c r="A632" s="24"/>
      <c r="B632" s="31" t="str">
        <f aca="false">IF(A632="","",IF(LEN(UPPER(SUBSTITUTE(SUBSTITUTE(SUBSTITUTE(SUBSTITUTE(TRIM(A632),".",""),"/",""),"-","")," ","")))&lt;14,RIGHT(REPT("0",14)&amp;UPPER(SUBSTITUTE(SUBSTITUTE(SUBSTITUTE(SUBSTITUTE(TRIM(A632),".",""),"/",""),"-","")," ","")),14),UPPER(SUBSTITUTE(SUBSTITUTE(SUBSTITUTE(SUBSTITUTE(TRIM(A632),".",""),"/",""),"-","")," ",""))))</f>
        <v/>
      </c>
      <c r="C632" s="25" t="str">
        <f aca="false">IF(B632="","",IFERROR(INDEX(Empresas!$C:$C,MATCH(B632,Empresas!$B:$B,0)),"cadastre o CNPJ em Empresas"))</f>
        <v/>
      </c>
      <c r="D632" s="23"/>
      <c r="E632" s="24"/>
      <c r="F632" s="31" t="str">
        <f aca="false">IF(D632="","",SUBSTITUTE(SUBSTITUTE(SUBSTITUTE(SUBSTITUTE(SUBSTITUTE(SUBSTITUTE(SUBSTITUTE(SUBSTITUTE(SUBSTITUTE(SUBSTITUTE(SUBSTITUTE(SUBSTITUTE(SUBSTITUTE(UPPER(TRIM(D632)),"Á","A"),"À","A"),"Â","A"),"Ã","A"),"É","E"),"Ê","E"),"Í","I"),"Ó","O"),"Ô","O"),"Õ","O"),"Ú","U"),"Ü","U"),"Ç","C"))</f>
        <v/>
      </c>
      <c r="G632" s="31" t="str">
        <f aca="false">IF(E632="","",IF(LEN(SUBSTITUTE(SUBSTITUTE(SUBSTITUTE(SUBSTITUTE(TRIM(E632),"*",""),".",""),"-","")," ",""))=11,MID(SUBSTITUTE(SUBSTITUTE(SUBSTITUTE(SUBSTITUTE(TRIM(E632),"*",""),".",""),"-","")," ",""),4,6),SUBSTITUTE(SUBSTITUTE(SUBSTITUTE(SUBSTITUTE(TRIM(E632),"*",""),".",""),"-","")," ","")))</f>
        <v/>
      </c>
      <c r="H632" s="31" t="str">
        <f aca="false">IF(OR(F632="",G632=""),"",F632&amp;"|"&amp;G632)</f>
        <v/>
      </c>
      <c r="I632" s="23"/>
      <c r="J632" s="22"/>
      <c r="K632" s="22"/>
      <c r="L632" s="25" t="str">
        <f aca="false">IF(F632="","",IF(AND(H632&lt;&gt;"",COUNTIF(Pessoas!$E:$E,H632)&gt;0),"SIM",IF(COUNTIF(Pessoas!$C:$C,F632)&gt;0,"nome igual em Pessoas: confira o CPF","")))</f>
        <v/>
      </c>
      <c r="M632" s="24"/>
      <c r="N632" s="11"/>
    </row>
    <row r="633" customFormat="false" ht="15" hidden="false" customHeight="false" outlineLevel="0" collapsed="false">
      <c r="A633" s="24"/>
      <c r="B633" s="31" t="str">
        <f aca="false">IF(A633="","",IF(LEN(UPPER(SUBSTITUTE(SUBSTITUTE(SUBSTITUTE(SUBSTITUTE(TRIM(A633),".",""),"/",""),"-","")," ","")))&lt;14,RIGHT(REPT("0",14)&amp;UPPER(SUBSTITUTE(SUBSTITUTE(SUBSTITUTE(SUBSTITUTE(TRIM(A633),".",""),"/",""),"-","")," ","")),14),UPPER(SUBSTITUTE(SUBSTITUTE(SUBSTITUTE(SUBSTITUTE(TRIM(A633),".",""),"/",""),"-","")," ",""))))</f>
        <v/>
      </c>
      <c r="C633" s="25" t="str">
        <f aca="false">IF(B633="","",IFERROR(INDEX(Empresas!$C:$C,MATCH(B633,Empresas!$B:$B,0)),"cadastre o CNPJ em Empresas"))</f>
        <v/>
      </c>
      <c r="D633" s="23"/>
      <c r="E633" s="24"/>
      <c r="F633" s="31" t="str">
        <f aca="false">IF(D633="","",SUBSTITUTE(SUBSTITUTE(SUBSTITUTE(SUBSTITUTE(SUBSTITUTE(SUBSTITUTE(SUBSTITUTE(SUBSTITUTE(SUBSTITUTE(SUBSTITUTE(SUBSTITUTE(SUBSTITUTE(SUBSTITUTE(UPPER(TRIM(D633)),"Á","A"),"À","A"),"Â","A"),"Ã","A"),"É","E"),"Ê","E"),"Í","I"),"Ó","O"),"Ô","O"),"Õ","O"),"Ú","U"),"Ü","U"),"Ç","C"))</f>
        <v/>
      </c>
      <c r="G633" s="31" t="str">
        <f aca="false">IF(E633="","",IF(LEN(SUBSTITUTE(SUBSTITUTE(SUBSTITUTE(SUBSTITUTE(TRIM(E633),"*",""),".",""),"-","")," ",""))=11,MID(SUBSTITUTE(SUBSTITUTE(SUBSTITUTE(SUBSTITUTE(TRIM(E633),"*",""),".",""),"-","")," ",""),4,6),SUBSTITUTE(SUBSTITUTE(SUBSTITUTE(SUBSTITUTE(TRIM(E633),"*",""),".",""),"-","")," ","")))</f>
        <v/>
      </c>
      <c r="H633" s="31" t="str">
        <f aca="false">IF(OR(F633="",G633=""),"",F633&amp;"|"&amp;G633)</f>
        <v/>
      </c>
      <c r="I633" s="23"/>
      <c r="J633" s="22"/>
      <c r="K633" s="22"/>
      <c r="L633" s="25" t="str">
        <f aca="false">IF(F633="","",IF(AND(H633&lt;&gt;"",COUNTIF(Pessoas!$E:$E,H633)&gt;0),"SIM",IF(COUNTIF(Pessoas!$C:$C,F633)&gt;0,"nome igual em Pessoas: confira o CPF","")))</f>
        <v/>
      </c>
      <c r="M633" s="24"/>
      <c r="N633" s="11"/>
    </row>
    <row r="634" customFormat="false" ht="15" hidden="false" customHeight="false" outlineLevel="0" collapsed="false">
      <c r="A634" s="24"/>
      <c r="B634" s="31" t="str">
        <f aca="false">IF(A634="","",IF(LEN(UPPER(SUBSTITUTE(SUBSTITUTE(SUBSTITUTE(SUBSTITUTE(TRIM(A634),".",""),"/",""),"-","")," ","")))&lt;14,RIGHT(REPT("0",14)&amp;UPPER(SUBSTITUTE(SUBSTITUTE(SUBSTITUTE(SUBSTITUTE(TRIM(A634),".",""),"/",""),"-","")," ","")),14),UPPER(SUBSTITUTE(SUBSTITUTE(SUBSTITUTE(SUBSTITUTE(TRIM(A634),".",""),"/",""),"-","")," ",""))))</f>
        <v/>
      </c>
      <c r="C634" s="25" t="str">
        <f aca="false">IF(B634="","",IFERROR(INDEX(Empresas!$C:$C,MATCH(B634,Empresas!$B:$B,0)),"cadastre o CNPJ em Empresas"))</f>
        <v/>
      </c>
      <c r="D634" s="23"/>
      <c r="E634" s="24"/>
      <c r="F634" s="31" t="str">
        <f aca="false">IF(D634="","",SUBSTITUTE(SUBSTITUTE(SUBSTITUTE(SUBSTITUTE(SUBSTITUTE(SUBSTITUTE(SUBSTITUTE(SUBSTITUTE(SUBSTITUTE(SUBSTITUTE(SUBSTITUTE(SUBSTITUTE(SUBSTITUTE(UPPER(TRIM(D634)),"Á","A"),"À","A"),"Â","A"),"Ã","A"),"É","E"),"Ê","E"),"Í","I"),"Ó","O"),"Ô","O"),"Õ","O"),"Ú","U"),"Ü","U"),"Ç","C"))</f>
        <v/>
      </c>
      <c r="G634" s="31" t="str">
        <f aca="false">IF(E634="","",IF(LEN(SUBSTITUTE(SUBSTITUTE(SUBSTITUTE(SUBSTITUTE(TRIM(E634),"*",""),".",""),"-","")," ",""))=11,MID(SUBSTITUTE(SUBSTITUTE(SUBSTITUTE(SUBSTITUTE(TRIM(E634),"*",""),".",""),"-","")," ",""),4,6),SUBSTITUTE(SUBSTITUTE(SUBSTITUTE(SUBSTITUTE(TRIM(E634),"*",""),".",""),"-","")," ","")))</f>
        <v/>
      </c>
      <c r="H634" s="31" t="str">
        <f aca="false">IF(OR(F634="",G634=""),"",F634&amp;"|"&amp;G634)</f>
        <v/>
      </c>
      <c r="I634" s="23"/>
      <c r="J634" s="22"/>
      <c r="K634" s="22"/>
      <c r="L634" s="25" t="str">
        <f aca="false">IF(F634="","",IF(AND(H634&lt;&gt;"",COUNTIF(Pessoas!$E:$E,H634)&gt;0),"SIM",IF(COUNTIF(Pessoas!$C:$C,F634)&gt;0,"nome igual em Pessoas: confira o CPF","")))</f>
        <v/>
      </c>
      <c r="M634" s="24"/>
      <c r="N634" s="11"/>
    </row>
    <row r="635" customFormat="false" ht="15" hidden="false" customHeight="false" outlineLevel="0" collapsed="false">
      <c r="A635" s="24"/>
      <c r="B635" s="31" t="str">
        <f aca="false">IF(A635="","",IF(LEN(UPPER(SUBSTITUTE(SUBSTITUTE(SUBSTITUTE(SUBSTITUTE(TRIM(A635),".",""),"/",""),"-","")," ","")))&lt;14,RIGHT(REPT("0",14)&amp;UPPER(SUBSTITUTE(SUBSTITUTE(SUBSTITUTE(SUBSTITUTE(TRIM(A635),".",""),"/",""),"-","")," ","")),14),UPPER(SUBSTITUTE(SUBSTITUTE(SUBSTITUTE(SUBSTITUTE(TRIM(A635),".",""),"/",""),"-","")," ",""))))</f>
        <v/>
      </c>
      <c r="C635" s="25" t="str">
        <f aca="false">IF(B635="","",IFERROR(INDEX(Empresas!$C:$C,MATCH(B635,Empresas!$B:$B,0)),"cadastre o CNPJ em Empresas"))</f>
        <v/>
      </c>
      <c r="D635" s="23"/>
      <c r="E635" s="24"/>
      <c r="F635" s="31" t="str">
        <f aca="false">IF(D635="","",SUBSTITUTE(SUBSTITUTE(SUBSTITUTE(SUBSTITUTE(SUBSTITUTE(SUBSTITUTE(SUBSTITUTE(SUBSTITUTE(SUBSTITUTE(SUBSTITUTE(SUBSTITUTE(SUBSTITUTE(SUBSTITUTE(UPPER(TRIM(D635)),"Á","A"),"À","A"),"Â","A"),"Ã","A"),"É","E"),"Ê","E"),"Í","I"),"Ó","O"),"Ô","O"),"Õ","O"),"Ú","U"),"Ü","U"),"Ç","C"))</f>
        <v/>
      </c>
      <c r="G635" s="31" t="str">
        <f aca="false">IF(E635="","",IF(LEN(SUBSTITUTE(SUBSTITUTE(SUBSTITUTE(SUBSTITUTE(TRIM(E635),"*",""),".",""),"-","")," ",""))=11,MID(SUBSTITUTE(SUBSTITUTE(SUBSTITUTE(SUBSTITUTE(TRIM(E635),"*",""),".",""),"-","")," ",""),4,6),SUBSTITUTE(SUBSTITUTE(SUBSTITUTE(SUBSTITUTE(TRIM(E635),"*",""),".",""),"-","")," ","")))</f>
        <v/>
      </c>
      <c r="H635" s="31" t="str">
        <f aca="false">IF(OR(F635="",G635=""),"",F635&amp;"|"&amp;G635)</f>
        <v/>
      </c>
      <c r="I635" s="23"/>
      <c r="J635" s="22"/>
      <c r="K635" s="22"/>
      <c r="L635" s="25" t="str">
        <f aca="false">IF(F635="","",IF(AND(H635&lt;&gt;"",COUNTIF(Pessoas!$E:$E,H635)&gt;0),"SIM",IF(COUNTIF(Pessoas!$C:$C,F635)&gt;0,"nome igual em Pessoas: confira o CPF","")))</f>
        <v/>
      </c>
      <c r="M635" s="24"/>
      <c r="N635" s="11"/>
    </row>
    <row r="636" customFormat="false" ht="15" hidden="false" customHeight="false" outlineLevel="0" collapsed="false">
      <c r="A636" s="24"/>
      <c r="B636" s="31" t="str">
        <f aca="false">IF(A636="","",IF(LEN(UPPER(SUBSTITUTE(SUBSTITUTE(SUBSTITUTE(SUBSTITUTE(TRIM(A636),".",""),"/",""),"-","")," ","")))&lt;14,RIGHT(REPT("0",14)&amp;UPPER(SUBSTITUTE(SUBSTITUTE(SUBSTITUTE(SUBSTITUTE(TRIM(A636),".",""),"/",""),"-","")," ","")),14),UPPER(SUBSTITUTE(SUBSTITUTE(SUBSTITUTE(SUBSTITUTE(TRIM(A636),".",""),"/",""),"-","")," ",""))))</f>
        <v/>
      </c>
      <c r="C636" s="25" t="str">
        <f aca="false">IF(B636="","",IFERROR(INDEX(Empresas!$C:$C,MATCH(B636,Empresas!$B:$B,0)),"cadastre o CNPJ em Empresas"))</f>
        <v/>
      </c>
      <c r="D636" s="23"/>
      <c r="E636" s="24"/>
      <c r="F636" s="31" t="str">
        <f aca="false">IF(D636="","",SUBSTITUTE(SUBSTITUTE(SUBSTITUTE(SUBSTITUTE(SUBSTITUTE(SUBSTITUTE(SUBSTITUTE(SUBSTITUTE(SUBSTITUTE(SUBSTITUTE(SUBSTITUTE(SUBSTITUTE(SUBSTITUTE(UPPER(TRIM(D636)),"Á","A"),"À","A"),"Â","A"),"Ã","A"),"É","E"),"Ê","E"),"Í","I"),"Ó","O"),"Ô","O"),"Õ","O"),"Ú","U"),"Ü","U"),"Ç","C"))</f>
        <v/>
      </c>
      <c r="G636" s="31" t="str">
        <f aca="false">IF(E636="","",IF(LEN(SUBSTITUTE(SUBSTITUTE(SUBSTITUTE(SUBSTITUTE(TRIM(E636),"*",""),".",""),"-","")," ",""))=11,MID(SUBSTITUTE(SUBSTITUTE(SUBSTITUTE(SUBSTITUTE(TRIM(E636),"*",""),".",""),"-","")," ",""),4,6),SUBSTITUTE(SUBSTITUTE(SUBSTITUTE(SUBSTITUTE(TRIM(E636),"*",""),".",""),"-","")," ","")))</f>
        <v/>
      </c>
      <c r="H636" s="31" t="str">
        <f aca="false">IF(OR(F636="",G636=""),"",F636&amp;"|"&amp;G636)</f>
        <v/>
      </c>
      <c r="I636" s="23"/>
      <c r="J636" s="22"/>
      <c r="K636" s="22"/>
      <c r="L636" s="25" t="str">
        <f aca="false">IF(F636="","",IF(AND(H636&lt;&gt;"",COUNTIF(Pessoas!$E:$E,H636)&gt;0),"SIM",IF(COUNTIF(Pessoas!$C:$C,F636)&gt;0,"nome igual em Pessoas: confira o CPF","")))</f>
        <v/>
      </c>
      <c r="M636" s="24"/>
      <c r="N636" s="11"/>
    </row>
    <row r="637" customFormat="false" ht="15" hidden="false" customHeight="false" outlineLevel="0" collapsed="false">
      <c r="A637" s="24"/>
      <c r="B637" s="31" t="str">
        <f aca="false">IF(A637="","",IF(LEN(UPPER(SUBSTITUTE(SUBSTITUTE(SUBSTITUTE(SUBSTITUTE(TRIM(A637),".",""),"/",""),"-","")," ","")))&lt;14,RIGHT(REPT("0",14)&amp;UPPER(SUBSTITUTE(SUBSTITUTE(SUBSTITUTE(SUBSTITUTE(TRIM(A637),".",""),"/",""),"-","")," ","")),14),UPPER(SUBSTITUTE(SUBSTITUTE(SUBSTITUTE(SUBSTITUTE(TRIM(A637),".",""),"/",""),"-","")," ",""))))</f>
        <v/>
      </c>
      <c r="C637" s="25" t="str">
        <f aca="false">IF(B637="","",IFERROR(INDEX(Empresas!$C:$C,MATCH(B637,Empresas!$B:$B,0)),"cadastre o CNPJ em Empresas"))</f>
        <v/>
      </c>
      <c r="D637" s="23"/>
      <c r="E637" s="24"/>
      <c r="F637" s="31" t="str">
        <f aca="false">IF(D637="","",SUBSTITUTE(SUBSTITUTE(SUBSTITUTE(SUBSTITUTE(SUBSTITUTE(SUBSTITUTE(SUBSTITUTE(SUBSTITUTE(SUBSTITUTE(SUBSTITUTE(SUBSTITUTE(SUBSTITUTE(SUBSTITUTE(UPPER(TRIM(D637)),"Á","A"),"À","A"),"Â","A"),"Ã","A"),"É","E"),"Ê","E"),"Í","I"),"Ó","O"),"Ô","O"),"Õ","O"),"Ú","U"),"Ü","U"),"Ç","C"))</f>
        <v/>
      </c>
      <c r="G637" s="31" t="str">
        <f aca="false">IF(E637="","",IF(LEN(SUBSTITUTE(SUBSTITUTE(SUBSTITUTE(SUBSTITUTE(TRIM(E637),"*",""),".",""),"-","")," ",""))=11,MID(SUBSTITUTE(SUBSTITUTE(SUBSTITUTE(SUBSTITUTE(TRIM(E637),"*",""),".",""),"-","")," ",""),4,6),SUBSTITUTE(SUBSTITUTE(SUBSTITUTE(SUBSTITUTE(TRIM(E637),"*",""),".",""),"-","")," ","")))</f>
        <v/>
      </c>
      <c r="H637" s="31" t="str">
        <f aca="false">IF(OR(F637="",G637=""),"",F637&amp;"|"&amp;G637)</f>
        <v/>
      </c>
      <c r="I637" s="23"/>
      <c r="J637" s="22"/>
      <c r="K637" s="22"/>
      <c r="L637" s="25" t="str">
        <f aca="false">IF(F637="","",IF(AND(H637&lt;&gt;"",COUNTIF(Pessoas!$E:$E,H637)&gt;0),"SIM",IF(COUNTIF(Pessoas!$C:$C,F637)&gt;0,"nome igual em Pessoas: confira o CPF","")))</f>
        <v/>
      </c>
      <c r="M637" s="24"/>
      <c r="N637" s="11"/>
    </row>
    <row r="638" customFormat="false" ht="15" hidden="false" customHeight="false" outlineLevel="0" collapsed="false">
      <c r="A638" s="24"/>
      <c r="B638" s="31" t="str">
        <f aca="false">IF(A638="","",IF(LEN(UPPER(SUBSTITUTE(SUBSTITUTE(SUBSTITUTE(SUBSTITUTE(TRIM(A638),".",""),"/",""),"-","")," ","")))&lt;14,RIGHT(REPT("0",14)&amp;UPPER(SUBSTITUTE(SUBSTITUTE(SUBSTITUTE(SUBSTITUTE(TRIM(A638),".",""),"/",""),"-","")," ","")),14),UPPER(SUBSTITUTE(SUBSTITUTE(SUBSTITUTE(SUBSTITUTE(TRIM(A638),".",""),"/",""),"-","")," ",""))))</f>
        <v/>
      </c>
      <c r="C638" s="25" t="str">
        <f aca="false">IF(B638="","",IFERROR(INDEX(Empresas!$C:$C,MATCH(B638,Empresas!$B:$B,0)),"cadastre o CNPJ em Empresas"))</f>
        <v/>
      </c>
      <c r="D638" s="23"/>
      <c r="E638" s="24"/>
      <c r="F638" s="31" t="str">
        <f aca="false">IF(D638="","",SUBSTITUTE(SUBSTITUTE(SUBSTITUTE(SUBSTITUTE(SUBSTITUTE(SUBSTITUTE(SUBSTITUTE(SUBSTITUTE(SUBSTITUTE(SUBSTITUTE(SUBSTITUTE(SUBSTITUTE(SUBSTITUTE(UPPER(TRIM(D638)),"Á","A"),"À","A"),"Â","A"),"Ã","A"),"É","E"),"Ê","E"),"Í","I"),"Ó","O"),"Ô","O"),"Õ","O"),"Ú","U"),"Ü","U"),"Ç","C"))</f>
        <v/>
      </c>
      <c r="G638" s="31" t="str">
        <f aca="false">IF(E638="","",IF(LEN(SUBSTITUTE(SUBSTITUTE(SUBSTITUTE(SUBSTITUTE(TRIM(E638),"*",""),".",""),"-","")," ",""))=11,MID(SUBSTITUTE(SUBSTITUTE(SUBSTITUTE(SUBSTITUTE(TRIM(E638),"*",""),".",""),"-","")," ",""),4,6),SUBSTITUTE(SUBSTITUTE(SUBSTITUTE(SUBSTITUTE(TRIM(E638),"*",""),".",""),"-","")," ","")))</f>
        <v/>
      </c>
      <c r="H638" s="31" t="str">
        <f aca="false">IF(OR(F638="",G638=""),"",F638&amp;"|"&amp;G638)</f>
        <v/>
      </c>
      <c r="I638" s="23"/>
      <c r="J638" s="22"/>
      <c r="K638" s="22"/>
      <c r="L638" s="25" t="str">
        <f aca="false">IF(F638="","",IF(AND(H638&lt;&gt;"",COUNTIF(Pessoas!$E:$E,H638)&gt;0),"SIM",IF(COUNTIF(Pessoas!$C:$C,F638)&gt;0,"nome igual em Pessoas: confira o CPF","")))</f>
        <v/>
      </c>
      <c r="M638" s="24"/>
      <c r="N638" s="11"/>
    </row>
    <row r="639" customFormat="false" ht="15" hidden="false" customHeight="false" outlineLevel="0" collapsed="false">
      <c r="A639" s="24"/>
      <c r="B639" s="31" t="str">
        <f aca="false">IF(A639="","",IF(LEN(UPPER(SUBSTITUTE(SUBSTITUTE(SUBSTITUTE(SUBSTITUTE(TRIM(A639),".",""),"/",""),"-","")," ","")))&lt;14,RIGHT(REPT("0",14)&amp;UPPER(SUBSTITUTE(SUBSTITUTE(SUBSTITUTE(SUBSTITUTE(TRIM(A639),".",""),"/",""),"-","")," ","")),14),UPPER(SUBSTITUTE(SUBSTITUTE(SUBSTITUTE(SUBSTITUTE(TRIM(A639),".",""),"/",""),"-","")," ",""))))</f>
        <v/>
      </c>
      <c r="C639" s="25" t="str">
        <f aca="false">IF(B639="","",IFERROR(INDEX(Empresas!$C:$C,MATCH(B639,Empresas!$B:$B,0)),"cadastre o CNPJ em Empresas"))</f>
        <v/>
      </c>
      <c r="D639" s="23"/>
      <c r="E639" s="24"/>
      <c r="F639" s="31" t="str">
        <f aca="false">IF(D639="","",SUBSTITUTE(SUBSTITUTE(SUBSTITUTE(SUBSTITUTE(SUBSTITUTE(SUBSTITUTE(SUBSTITUTE(SUBSTITUTE(SUBSTITUTE(SUBSTITUTE(SUBSTITUTE(SUBSTITUTE(SUBSTITUTE(UPPER(TRIM(D639)),"Á","A"),"À","A"),"Â","A"),"Ã","A"),"É","E"),"Ê","E"),"Í","I"),"Ó","O"),"Ô","O"),"Õ","O"),"Ú","U"),"Ü","U"),"Ç","C"))</f>
        <v/>
      </c>
      <c r="G639" s="31" t="str">
        <f aca="false">IF(E639="","",IF(LEN(SUBSTITUTE(SUBSTITUTE(SUBSTITUTE(SUBSTITUTE(TRIM(E639),"*",""),".",""),"-","")," ",""))=11,MID(SUBSTITUTE(SUBSTITUTE(SUBSTITUTE(SUBSTITUTE(TRIM(E639),"*",""),".",""),"-","")," ",""),4,6),SUBSTITUTE(SUBSTITUTE(SUBSTITUTE(SUBSTITUTE(TRIM(E639),"*",""),".",""),"-","")," ","")))</f>
        <v/>
      </c>
      <c r="H639" s="31" t="str">
        <f aca="false">IF(OR(F639="",G639=""),"",F639&amp;"|"&amp;G639)</f>
        <v/>
      </c>
      <c r="I639" s="23"/>
      <c r="J639" s="22"/>
      <c r="K639" s="22"/>
      <c r="L639" s="25" t="str">
        <f aca="false">IF(F639="","",IF(AND(H639&lt;&gt;"",COUNTIF(Pessoas!$E:$E,H639)&gt;0),"SIM",IF(COUNTIF(Pessoas!$C:$C,F639)&gt;0,"nome igual em Pessoas: confira o CPF","")))</f>
        <v/>
      </c>
      <c r="M639" s="24"/>
      <c r="N639" s="11"/>
    </row>
    <row r="640" customFormat="false" ht="15" hidden="false" customHeight="false" outlineLevel="0" collapsed="false">
      <c r="A640" s="24"/>
      <c r="B640" s="31" t="str">
        <f aca="false">IF(A640="","",IF(LEN(UPPER(SUBSTITUTE(SUBSTITUTE(SUBSTITUTE(SUBSTITUTE(TRIM(A640),".",""),"/",""),"-","")," ","")))&lt;14,RIGHT(REPT("0",14)&amp;UPPER(SUBSTITUTE(SUBSTITUTE(SUBSTITUTE(SUBSTITUTE(TRIM(A640),".",""),"/",""),"-","")," ","")),14),UPPER(SUBSTITUTE(SUBSTITUTE(SUBSTITUTE(SUBSTITUTE(TRIM(A640),".",""),"/",""),"-","")," ",""))))</f>
        <v/>
      </c>
      <c r="C640" s="25" t="str">
        <f aca="false">IF(B640="","",IFERROR(INDEX(Empresas!$C:$C,MATCH(B640,Empresas!$B:$B,0)),"cadastre o CNPJ em Empresas"))</f>
        <v/>
      </c>
      <c r="D640" s="23"/>
      <c r="E640" s="24"/>
      <c r="F640" s="31" t="str">
        <f aca="false">IF(D640="","",SUBSTITUTE(SUBSTITUTE(SUBSTITUTE(SUBSTITUTE(SUBSTITUTE(SUBSTITUTE(SUBSTITUTE(SUBSTITUTE(SUBSTITUTE(SUBSTITUTE(SUBSTITUTE(SUBSTITUTE(SUBSTITUTE(UPPER(TRIM(D640)),"Á","A"),"À","A"),"Â","A"),"Ã","A"),"É","E"),"Ê","E"),"Í","I"),"Ó","O"),"Ô","O"),"Õ","O"),"Ú","U"),"Ü","U"),"Ç","C"))</f>
        <v/>
      </c>
      <c r="G640" s="31" t="str">
        <f aca="false">IF(E640="","",IF(LEN(SUBSTITUTE(SUBSTITUTE(SUBSTITUTE(SUBSTITUTE(TRIM(E640),"*",""),".",""),"-","")," ",""))=11,MID(SUBSTITUTE(SUBSTITUTE(SUBSTITUTE(SUBSTITUTE(TRIM(E640),"*",""),".",""),"-","")," ",""),4,6),SUBSTITUTE(SUBSTITUTE(SUBSTITUTE(SUBSTITUTE(TRIM(E640),"*",""),".",""),"-","")," ","")))</f>
        <v/>
      </c>
      <c r="H640" s="31" t="str">
        <f aca="false">IF(OR(F640="",G640=""),"",F640&amp;"|"&amp;G640)</f>
        <v/>
      </c>
      <c r="I640" s="23"/>
      <c r="J640" s="22"/>
      <c r="K640" s="22"/>
      <c r="L640" s="25" t="str">
        <f aca="false">IF(F640="","",IF(AND(H640&lt;&gt;"",COUNTIF(Pessoas!$E:$E,H640)&gt;0),"SIM",IF(COUNTIF(Pessoas!$C:$C,F640)&gt;0,"nome igual em Pessoas: confira o CPF","")))</f>
        <v/>
      </c>
      <c r="M640" s="24"/>
      <c r="N640" s="11"/>
    </row>
    <row r="641" customFormat="false" ht="15" hidden="false" customHeight="false" outlineLevel="0" collapsed="false">
      <c r="A641" s="24"/>
      <c r="B641" s="31" t="str">
        <f aca="false">IF(A641="","",IF(LEN(UPPER(SUBSTITUTE(SUBSTITUTE(SUBSTITUTE(SUBSTITUTE(TRIM(A641),".",""),"/",""),"-","")," ","")))&lt;14,RIGHT(REPT("0",14)&amp;UPPER(SUBSTITUTE(SUBSTITUTE(SUBSTITUTE(SUBSTITUTE(TRIM(A641),".",""),"/",""),"-","")," ","")),14),UPPER(SUBSTITUTE(SUBSTITUTE(SUBSTITUTE(SUBSTITUTE(TRIM(A641),".",""),"/",""),"-","")," ",""))))</f>
        <v/>
      </c>
      <c r="C641" s="25" t="str">
        <f aca="false">IF(B641="","",IFERROR(INDEX(Empresas!$C:$C,MATCH(B641,Empresas!$B:$B,0)),"cadastre o CNPJ em Empresas"))</f>
        <v/>
      </c>
      <c r="D641" s="23"/>
      <c r="E641" s="24"/>
      <c r="F641" s="31" t="str">
        <f aca="false">IF(D641="","",SUBSTITUTE(SUBSTITUTE(SUBSTITUTE(SUBSTITUTE(SUBSTITUTE(SUBSTITUTE(SUBSTITUTE(SUBSTITUTE(SUBSTITUTE(SUBSTITUTE(SUBSTITUTE(SUBSTITUTE(SUBSTITUTE(UPPER(TRIM(D641)),"Á","A"),"À","A"),"Â","A"),"Ã","A"),"É","E"),"Ê","E"),"Í","I"),"Ó","O"),"Ô","O"),"Õ","O"),"Ú","U"),"Ü","U"),"Ç","C"))</f>
        <v/>
      </c>
      <c r="G641" s="31" t="str">
        <f aca="false">IF(E641="","",IF(LEN(SUBSTITUTE(SUBSTITUTE(SUBSTITUTE(SUBSTITUTE(TRIM(E641),"*",""),".",""),"-","")," ",""))=11,MID(SUBSTITUTE(SUBSTITUTE(SUBSTITUTE(SUBSTITUTE(TRIM(E641),"*",""),".",""),"-","")," ",""),4,6),SUBSTITUTE(SUBSTITUTE(SUBSTITUTE(SUBSTITUTE(TRIM(E641),"*",""),".",""),"-","")," ","")))</f>
        <v/>
      </c>
      <c r="H641" s="31" t="str">
        <f aca="false">IF(OR(F641="",G641=""),"",F641&amp;"|"&amp;G641)</f>
        <v/>
      </c>
      <c r="I641" s="23"/>
      <c r="J641" s="22"/>
      <c r="K641" s="22"/>
      <c r="L641" s="25" t="str">
        <f aca="false">IF(F641="","",IF(AND(H641&lt;&gt;"",COUNTIF(Pessoas!$E:$E,H641)&gt;0),"SIM",IF(COUNTIF(Pessoas!$C:$C,F641)&gt;0,"nome igual em Pessoas: confira o CPF","")))</f>
        <v/>
      </c>
      <c r="M641" s="24"/>
      <c r="N641" s="11"/>
    </row>
    <row r="642" customFormat="false" ht="15" hidden="false" customHeight="false" outlineLevel="0" collapsed="false">
      <c r="A642" s="24"/>
      <c r="B642" s="31" t="str">
        <f aca="false">IF(A642="","",IF(LEN(UPPER(SUBSTITUTE(SUBSTITUTE(SUBSTITUTE(SUBSTITUTE(TRIM(A642),".",""),"/",""),"-","")," ","")))&lt;14,RIGHT(REPT("0",14)&amp;UPPER(SUBSTITUTE(SUBSTITUTE(SUBSTITUTE(SUBSTITUTE(TRIM(A642),".",""),"/",""),"-","")," ","")),14),UPPER(SUBSTITUTE(SUBSTITUTE(SUBSTITUTE(SUBSTITUTE(TRIM(A642),".",""),"/",""),"-","")," ",""))))</f>
        <v/>
      </c>
      <c r="C642" s="25" t="str">
        <f aca="false">IF(B642="","",IFERROR(INDEX(Empresas!$C:$C,MATCH(B642,Empresas!$B:$B,0)),"cadastre o CNPJ em Empresas"))</f>
        <v/>
      </c>
      <c r="D642" s="23"/>
      <c r="E642" s="24"/>
      <c r="F642" s="31" t="str">
        <f aca="false">IF(D642="","",SUBSTITUTE(SUBSTITUTE(SUBSTITUTE(SUBSTITUTE(SUBSTITUTE(SUBSTITUTE(SUBSTITUTE(SUBSTITUTE(SUBSTITUTE(SUBSTITUTE(SUBSTITUTE(SUBSTITUTE(SUBSTITUTE(UPPER(TRIM(D642)),"Á","A"),"À","A"),"Â","A"),"Ã","A"),"É","E"),"Ê","E"),"Í","I"),"Ó","O"),"Ô","O"),"Õ","O"),"Ú","U"),"Ü","U"),"Ç","C"))</f>
        <v/>
      </c>
      <c r="G642" s="31" t="str">
        <f aca="false">IF(E642="","",IF(LEN(SUBSTITUTE(SUBSTITUTE(SUBSTITUTE(SUBSTITUTE(TRIM(E642),"*",""),".",""),"-","")," ",""))=11,MID(SUBSTITUTE(SUBSTITUTE(SUBSTITUTE(SUBSTITUTE(TRIM(E642),"*",""),".",""),"-","")," ",""),4,6),SUBSTITUTE(SUBSTITUTE(SUBSTITUTE(SUBSTITUTE(TRIM(E642),"*",""),".",""),"-","")," ","")))</f>
        <v/>
      </c>
      <c r="H642" s="31" t="str">
        <f aca="false">IF(OR(F642="",G642=""),"",F642&amp;"|"&amp;G642)</f>
        <v/>
      </c>
      <c r="I642" s="23"/>
      <c r="J642" s="22"/>
      <c r="K642" s="22"/>
      <c r="L642" s="25" t="str">
        <f aca="false">IF(F642="","",IF(AND(H642&lt;&gt;"",COUNTIF(Pessoas!$E:$E,H642)&gt;0),"SIM",IF(COUNTIF(Pessoas!$C:$C,F642)&gt;0,"nome igual em Pessoas: confira o CPF","")))</f>
        <v/>
      </c>
      <c r="M642" s="24"/>
      <c r="N642" s="11"/>
    </row>
    <row r="643" customFormat="false" ht="15" hidden="false" customHeight="false" outlineLevel="0" collapsed="false">
      <c r="A643" s="24"/>
      <c r="B643" s="31" t="str">
        <f aca="false">IF(A643="","",IF(LEN(UPPER(SUBSTITUTE(SUBSTITUTE(SUBSTITUTE(SUBSTITUTE(TRIM(A643),".",""),"/",""),"-","")," ","")))&lt;14,RIGHT(REPT("0",14)&amp;UPPER(SUBSTITUTE(SUBSTITUTE(SUBSTITUTE(SUBSTITUTE(TRIM(A643),".",""),"/",""),"-","")," ","")),14),UPPER(SUBSTITUTE(SUBSTITUTE(SUBSTITUTE(SUBSTITUTE(TRIM(A643),".",""),"/",""),"-","")," ",""))))</f>
        <v/>
      </c>
      <c r="C643" s="25" t="str">
        <f aca="false">IF(B643="","",IFERROR(INDEX(Empresas!$C:$C,MATCH(B643,Empresas!$B:$B,0)),"cadastre o CNPJ em Empresas"))</f>
        <v/>
      </c>
      <c r="D643" s="23"/>
      <c r="E643" s="24"/>
      <c r="F643" s="31" t="str">
        <f aca="false">IF(D643="","",SUBSTITUTE(SUBSTITUTE(SUBSTITUTE(SUBSTITUTE(SUBSTITUTE(SUBSTITUTE(SUBSTITUTE(SUBSTITUTE(SUBSTITUTE(SUBSTITUTE(SUBSTITUTE(SUBSTITUTE(SUBSTITUTE(UPPER(TRIM(D643)),"Á","A"),"À","A"),"Â","A"),"Ã","A"),"É","E"),"Ê","E"),"Í","I"),"Ó","O"),"Ô","O"),"Õ","O"),"Ú","U"),"Ü","U"),"Ç","C"))</f>
        <v/>
      </c>
      <c r="G643" s="31" t="str">
        <f aca="false">IF(E643="","",IF(LEN(SUBSTITUTE(SUBSTITUTE(SUBSTITUTE(SUBSTITUTE(TRIM(E643),"*",""),".",""),"-","")," ",""))=11,MID(SUBSTITUTE(SUBSTITUTE(SUBSTITUTE(SUBSTITUTE(TRIM(E643),"*",""),".",""),"-","")," ",""),4,6),SUBSTITUTE(SUBSTITUTE(SUBSTITUTE(SUBSTITUTE(TRIM(E643),"*",""),".",""),"-","")," ","")))</f>
        <v/>
      </c>
      <c r="H643" s="31" t="str">
        <f aca="false">IF(OR(F643="",G643=""),"",F643&amp;"|"&amp;G643)</f>
        <v/>
      </c>
      <c r="I643" s="23"/>
      <c r="J643" s="22"/>
      <c r="K643" s="22"/>
      <c r="L643" s="25" t="str">
        <f aca="false">IF(F643="","",IF(AND(H643&lt;&gt;"",COUNTIF(Pessoas!$E:$E,H643)&gt;0),"SIM",IF(COUNTIF(Pessoas!$C:$C,F643)&gt;0,"nome igual em Pessoas: confira o CPF","")))</f>
        <v/>
      </c>
      <c r="M643" s="24"/>
      <c r="N643" s="11"/>
    </row>
    <row r="644" customFormat="false" ht="15" hidden="false" customHeight="false" outlineLevel="0" collapsed="false">
      <c r="A644" s="24"/>
      <c r="B644" s="31" t="str">
        <f aca="false">IF(A644="","",IF(LEN(UPPER(SUBSTITUTE(SUBSTITUTE(SUBSTITUTE(SUBSTITUTE(TRIM(A644),".",""),"/",""),"-","")," ","")))&lt;14,RIGHT(REPT("0",14)&amp;UPPER(SUBSTITUTE(SUBSTITUTE(SUBSTITUTE(SUBSTITUTE(TRIM(A644),".",""),"/",""),"-","")," ","")),14),UPPER(SUBSTITUTE(SUBSTITUTE(SUBSTITUTE(SUBSTITUTE(TRIM(A644),".",""),"/",""),"-","")," ",""))))</f>
        <v/>
      </c>
      <c r="C644" s="25" t="str">
        <f aca="false">IF(B644="","",IFERROR(INDEX(Empresas!$C:$C,MATCH(B644,Empresas!$B:$B,0)),"cadastre o CNPJ em Empresas"))</f>
        <v/>
      </c>
      <c r="D644" s="23"/>
      <c r="E644" s="24"/>
      <c r="F644" s="31" t="str">
        <f aca="false">IF(D644="","",SUBSTITUTE(SUBSTITUTE(SUBSTITUTE(SUBSTITUTE(SUBSTITUTE(SUBSTITUTE(SUBSTITUTE(SUBSTITUTE(SUBSTITUTE(SUBSTITUTE(SUBSTITUTE(SUBSTITUTE(SUBSTITUTE(UPPER(TRIM(D644)),"Á","A"),"À","A"),"Â","A"),"Ã","A"),"É","E"),"Ê","E"),"Í","I"),"Ó","O"),"Ô","O"),"Õ","O"),"Ú","U"),"Ü","U"),"Ç","C"))</f>
        <v/>
      </c>
      <c r="G644" s="31" t="str">
        <f aca="false">IF(E644="","",IF(LEN(SUBSTITUTE(SUBSTITUTE(SUBSTITUTE(SUBSTITUTE(TRIM(E644),"*",""),".",""),"-","")," ",""))=11,MID(SUBSTITUTE(SUBSTITUTE(SUBSTITUTE(SUBSTITUTE(TRIM(E644),"*",""),".",""),"-","")," ",""),4,6),SUBSTITUTE(SUBSTITUTE(SUBSTITUTE(SUBSTITUTE(TRIM(E644),"*",""),".",""),"-","")," ","")))</f>
        <v/>
      </c>
      <c r="H644" s="31" t="str">
        <f aca="false">IF(OR(F644="",G644=""),"",F644&amp;"|"&amp;G644)</f>
        <v/>
      </c>
      <c r="I644" s="23"/>
      <c r="J644" s="22"/>
      <c r="K644" s="22"/>
      <c r="L644" s="25" t="str">
        <f aca="false">IF(F644="","",IF(AND(H644&lt;&gt;"",COUNTIF(Pessoas!$E:$E,H644)&gt;0),"SIM",IF(COUNTIF(Pessoas!$C:$C,F644)&gt;0,"nome igual em Pessoas: confira o CPF","")))</f>
        <v/>
      </c>
      <c r="M644" s="24"/>
      <c r="N644" s="11"/>
    </row>
    <row r="645" customFormat="false" ht="15" hidden="false" customHeight="false" outlineLevel="0" collapsed="false">
      <c r="A645" s="24"/>
      <c r="B645" s="31" t="str">
        <f aca="false">IF(A645="","",IF(LEN(UPPER(SUBSTITUTE(SUBSTITUTE(SUBSTITUTE(SUBSTITUTE(TRIM(A645),".",""),"/",""),"-","")," ","")))&lt;14,RIGHT(REPT("0",14)&amp;UPPER(SUBSTITUTE(SUBSTITUTE(SUBSTITUTE(SUBSTITUTE(TRIM(A645),".",""),"/",""),"-","")," ","")),14),UPPER(SUBSTITUTE(SUBSTITUTE(SUBSTITUTE(SUBSTITUTE(TRIM(A645),".",""),"/",""),"-","")," ",""))))</f>
        <v/>
      </c>
      <c r="C645" s="25" t="str">
        <f aca="false">IF(B645="","",IFERROR(INDEX(Empresas!$C:$C,MATCH(B645,Empresas!$B:$B,0)),"cadastre o CNPJ em Empresas"))</f>
        <v/>
      </c>
      <c r="D645" s="23"/>
      <c r="E645" s="24"/>
      <c r="F645" s="31" t="str">
        <f aca="false">IF(D645="","",SUBSTITUTE(SUBSTITUTE(SUBSTITUTE(SUBSTITUTE(SUBSTITUTE(SUBSTITUTE(SUBSTITUTE(SUBSTITUTE(SUBSTITUTE(SUBSTITUTE(SUBSTITUTE(SUBSTITUTE(SUBSTITUTE(UPPER(TRIM(D645)),"Á","A"),"À","A"),"Â","A"),"Ã","A"),"É","E"),"Ê","E"),"Í","I"),"Ó","O"),"Ô","O"),"Õ","O"),"Ú","U"),"Ü","U"),"Ç","C"))</f>
        <v/>
      </c>
      <c r="G645" s="31" t="str">
        <f aca="false">IF(E645="","",IF(LEN(SUBSTITUTE(SUBSTITUTE(SUBSTITUTE(SUBSTITUTE(TRIM(E645),"*",""),".",""),"-","")," ",""))=11,MID(SUBSTITUTE(SUBSTITUTE(SUBSTITUTE(SUBSTITUTE(TRIM(E645),"*",""),".",""),"-","")," ",""),4,6),SUBSTITUTE(SUBSTITUTE(SUBSTITUTE(SUBSTITUTE(TRIM(E645),"*",""),".",""),"-","")," ","")))</f>
        <v/>
      </c>
      <c r="H645" s="31" t="str">
        <f aca="false">IF(OR(F645="",G645=""),"",F645&amp;"|"&amp;G645)</f>
        <v/>
      </c>
      <c r="I645" s="23"/>
      <c r="J645" s="22"/>
      <c r="K645" s="22"/>
      <c r="L645" s="25" t="str">
        <f aca="false">IF(F645="","",IF(AND(H645&lt;&gt;"",COUNTIF(Pessoas!$E:$E,H645)&gt;0),"SIM",IF(COUNTIF(Pessoas!$C:$C,F645)&gt;0,"nome igual em Pessoas: confira o CPF","")))</f>
        <v/>
      </c>
      <c r="M645" s="24"/>
      <c r="N645" s="11"/>
    </row>
    <row r="646" customFormat="false" ht="15" hidden="false" customHeight="false" outlineLevel="0" collapsed="false">
      <c r="A646" s="24"/>
      <c r="B646" s="31" t="str">
        <f aca="false">IF(A646="","",IF(LEN(UPPER(SUBSTITUTE(SUBSTITUTE(SUBSTITUTE(SUBSTITUTE(TRIM(A646),".",""),"/",""),"-","")," ","")))&lt;14,RIGHT(REPT("0",14)&amp;UPPER(SUBSTITUTE(SUBSTITUTE(SUBSTITUTE(SUBSTITUTE(TRIM(A646),".",""),"/",""),"-","")," ","")),14),UPPER(SUBSTITUTE(SUBSTITUTE(SUBSTITUTE(SUBSTITUTE(TRIM(A646),".",""),"/",""),"-","")," ",""))))</f>
        <v/>
      </c>
      <c r="C646" s="25" t="str">
        <f aca="false">IF(B646="","",IFERROR(INDEX(Empresas!$C:$C,MATCH(B646,Empresas!$B:$B,0)),"cadastre o CNPJ em Empresas"))</f>
        <v/>
      </c>
      <c r="D646" s="23"/>
      <c r="E646" s="24"/>
      <c r="F646" s="31" t="str">
        <f aca="false">IF(D646="","",SUBSTITUTE(SUBSTITUTE(SUBSTITUTE(SUBSTITUTE(SUBSTITUTE(SUBSTITUTE(SUBSTITUTE(SUBSTITUTE(SUBSTITUTE(SUBSTITUTE(SUBSTITUTE(SUBSTITUTE(SUBSTITUTE(UPPER(TRIM(D646)),"Á","A"),"À","A"),"Â","A"),"Ã","A"),"É","E"),"Ê","E"),"Í","I"),"Ó","O"),"Ô","O"),"Õ","O"),"Ú","U"),"Ü","U"),"Ç","C"))</f>
        <v/>
      </c>
      <c r="G646" s="31" t="str">
        <f aca="false">IF(E646="","",IF(LEN(SUBSTITUTE(SUBSTITUTE(SUBSTITUTE(SUBSTITUTE(TRIM(E646),"*",""),".",""),"-","")," ",""))=11,MID(SUBSTITUTE(SUBSTITUTE(SUBSTITUTE(SUBSTITUTE(TRIM(E646),"*",""),".",""),"-","")," ",""),4,6),SUBSTITUTE(SUBSTITUTE(SUBSTITUTE(SUBSTITUTE(TRIM(E646),"*",""),".",""),"-","")," ","")))</f>
        <v/>
      </c>
      <c r="H646" s="31" t="str">
        <f aca="false">IF(OR(F646="",G646=""),"",F646&amp;"|"&amp;G646)</f>
        <v/>
      </c>
      <c r="I646" s="23"/>
      <c r="J646" s="22"/>
      <c r="K646" s="22"/>
      <c r="L646" s="25" t="str">
        <f aca="false">IF(F646="","",IF(AND(H646&lt;&gt;"",COUNTIF(Pessoas!$E:$E,H646)&gt;0),"SIM",IF(COUNTIF(Pessoas!$C:$C,F646)&gt;0,"nome igual em Pessoas: confira o CPF","")))</f>
        <v/>
      </c>
      <c r="M646" s="24"/>
      <c r="N646" s="11"/>
    </row>
    <row r="647" customFormat="false" ht="15" hidden="false" customHeight="false" outlineLevel="0" collapsed="false">
      <c r="A647" s="24"/>
      <c r="B647" s="31" t="str">
        <f aca="false">IF(A647="","",IF(LEN(UPPER(SUBSTITUTE(SUBSTITUTE(SUBSTITUTE(SUBSTITUTE(TRIM(A647),".",""),"/",""),"-","")," ","")))&lt;14,RIGHT(REPT("0",14)&amp;UPPER(SUBSTITUTE(SUBSTITUTE(SUBSTITUTE(SUBSTITUTE(TRIM(A647),".",""),"/",""),"-","")," ","")),14),UPPER(SUBSTITUTE(SUBSTITUTE(SUBSTITUTE(SUBSTITUTE(TRIM(A647),".",""),"/",""),"-","")," ",""))))</f>
        <v/>
      </c>
      <c r="C647" s="25" t="str">
        <f aca="false">IF(B647="","",IFERROR(INDEX(Empresas!$C:$C,MATCH(B647,Empresas!$B:$B,0)),"cadastre o CNPJ em Empresas"))</f>
        <v/>
      </c>
      <c r="D647" s="23"/>
      <c r="E647" s="24"/>
      <c r="F647" s="31" t="str">
        <f aca="false">IF(D647="","",SUBSTITUTE(SUBSTITUTE(SUBSTITUTE(SUBSTITUTE(SUBSTITUTE(SUBSTITUTE(SUBSTITUTE(SUBSTITUTE(SUBSTITUTE(SUBSTITUTE(SUBSTITUTE(SUBSTITUTE(SUBSTITUTE(UPPER(TRIM(D647)),"Á","A"),"À","A"),"Â","A"),"Ã","A"),"É","E"),"Ê","E"),"Í","I"),"Ó","O"),"Ô","O"),"Õ","O"),"Ú","U"),"Ü","U"),"Ç","C"))</f>
        <v/>
      </c>
      <c r="G647" s="31" t="str">
        <f aca="false">IF(E647="","",IF(LEN(SUBSTITUTE(SUBSTITUTE(SUBSTITUTE(SUBSTITUTE(TRIM(E647),"*",""),".",""),"-","")," ",""))=11,MID(SUBSTITUTE(SUBSTITUTE(SUBSTITUTE(SUBSTITUTE(TRIM(E647),"*",""),".",""),"-","")," ",""),4,6),SUBSTITUTE(SUBSTITUTE(SUBSTITUTE(SUBSTITUTE(TRIM(E647),"*",""),".",""),"-","")," ","")))</f>
        <v/>
      </c>
      <c r="H647" s="31" t="str">
        <f aca="false">IF(OR(F647="",G647=""),"",F647&amp;"|"&amp;G647)</f>
        <v/>
      </c>
      <c r="I647" s="23"/>
      <c r="J647" s="22"/>
      <c r="K647" s="22"/>
      <c r="L647" s="25" t="str">
        <f aca="false">IF(F647="","",IF(AND(H647&lt;&gt;"",COUNTIF(Pessoas!$E:$E,H647)&gt;0),"SIM",IF(COUNTIF(Pessoas!$C:$C,F647)&gt;0,"nome igual em Pessoas: confira o CPF","")))</f>
        <v/>
      </c>
      <c r="M647" s="24"/>
      <c r="N647" s="11"/>
    </row>
    <row r="648" customFormat="false" ht="15" hidden="false" customHeight="false" outlineLevel="0" collapsed="false">
      <c r="A648" s="24"/>
      <c r="B648" s="31" t="str">
        <f aca="false">IF(A648="","",IF(LEN(UPPER(SUBSTITUTE(SUBSTITUTE(SUBSTITUTE(SUBSTITUTE(TRIM(A648),".",""),"/",""),"-","")," ","")))&lt;14,RIGHT(REPT("0",14)&amp;UPPER(SUBSTITUTE(SUBSTITUTE(SUBSTITUTE(SUBSTITUTE(TRIM(A648),".",""),"/",""),"-","")," ","")),14),UPPER(SUBSTITUTE(SUBSTITUTE(SUBSTITUTE(SUBSTITUTE(TRIM(A648),".",""),"/",""),"-","")," ",""))))</f>
        <v/>
      </c>
      <c r="C648" s="25" t="str">
        <f aca="false">IF(B648="","",IFERROR(INDEX(Empresas!$C:$C,MATCH(B648,Empresas!$B:$B,0)),"cadastre o CNPJ em Empresas"))</f>
        <v/>
      </c>
      <c r="D648" s="23"/>
      <c r="E648" s="24"/>
      <c r="F648" s="31" t="str">
        <f aca="false">IF(D648="","",SUBSTITUTE(SUBSTITUTE(SUBSTITUTE(SUBSTITUTE(SUBSTITUTE(SUBSTITUTE(SUBSTITUTE(SUBSTITUTE(SUBSTITUTE(SUBSTITUTE(SUBSTITUTE(SUBSTITUTE(SUBSTITUTE(UPPER(TRIM(D648)),"Á","A"),"À","A"),"Â","A"),"Ã","A"),"É","E"),"Ê","E"),"Í","I"),"Ó","O"),"Ô","O"),"Õ","O"),"Ú","U"),"Ü","U"),"Ç","C"))</f>
        <v/>
      </c>
      <c r="G648" s="31" t="str">
        <f aca="false">IF(E648="","",IF(LEN(SUBSTITUTE(SUBSTITUTE(SUBSTITUTE(SUBSTITUTE(TRIM(E648),"*",""),".",""),"-","")," ",""))=11,MID(SUBSTITUTE(SUBSTITUTE(SUBSTITUTE(SUBSTITUTE(TRIM(E648),"*",""),".",""),"-","")," ",""),4,6),SUBSTITUTE(SUBSTITUTE(SUBSTITUTE(SUBSTITUTE(TRIM(E648),"*",""),".",""),"-","")," ","")))</f>
        <v/>
      </c>
      <c r="H648" s="31" t="str">
        <f aca="false">IF(OR(F648="",G648=""),"",F648&amp;"|"&amp;G648)</f>
        <v/>
      </c>
      <c r="I648" s="23"/>
      <c r="J648" s="22"/>
      <c r="K648" s="22"/>
      <c r="L648" s="25" t="str">
        <f aca="false">IF(F648="","",IF(AND(H648&lt;&gt;"",COUNTIF(Pessoas!$E:$E,H648)&gt;0),"SIM",IF(COUNTIF(Pessoas!$C:$C,F648)&gt;0,"nome igual em Pessoas: confira o CPF","")))</f>
        <v/>
      </c>
      <c r="M648" s="24"/>
      <c r="N648" s="11"/>
    </row>
    <row r="649" customFormat="false" ht="15" hidden="false" customHeight="false" outlineLevel="0" collapsed="false">
      <c r="A649" s="24"/>
      <c r="B649" s="31" t="str">
        <f aca="false">IF(A649="","",IF(LEN(UPPER(SUBSTITUTE(SUBSTITUTE(SUBSTITUTE(SUBSTITUTE(TRIM(A649),".",""),"/",""),"-","")," ","")))&lt;14,RIGHT(REPT("0",14)&amp;UPPER(SUBSTITUTE(SUBSTITUTE(SUBSTITUTE(SUBSTITUTE(TRIM(A649),".",""),"/",""),"-","")," ","")),14),UPPER(SUBSTITUTE(SUBSTITUTE(SUBSTITUTE(SUBSTITUTE(TRIM(A649),".",""),"/",""),"-","")," ",""))))</f>
        <v/>
      </c>
      <c r="C649" s="25" t="str">
        <f aca="false">IF(B649="","",IFERROR(INDEX(Empresas!$C:$C,MATCH(B649,Empresas!$B:$B,0)),"cadastre o CNPJ em Empresas"))</f>
        <v/>
      </c>
      <c r="D649" s="23"/>
      <c r="E649" s="24"/>
      <c r="F649" s="31" t="str">
        <f aca="false">IF(D649="","",SUBSTITUTE(SUBSTITUTE(SUBSTITUTE(SUBSTITUTE(SUBSTITUTE(SUBSTITUTE(SUBSTITUTE(SUBSTITUTE(SUBSTITUTE(SUBSTITUTE(SUBSTITUTE(SUBSTITUTE(SUBSTITUTE(UPPER(TRIM(D649)),"Á","A"),"À","A"),"Â","A"),"Ã","A"),"É","E"),"Ê","E"),"Í","I"),"Ó","O"),"Ô","O"),"Õ","O"),"Ú","U"),"Ü","U"),"Ç","C"))</f>
        <v/>
      </c>
      <c r="G649" s="31" t="str">
        <f aca="false">IF(E649="","",IF(LEN(SUBSTITUTE(SUBSTITUTE(SUBSTITUTE(SUBSTITUTE(TRIM(E649),"*",""),".",""),"-","")," ",""))=11,MID(SUBSTITUTE(SUBSTITUTE(SUBSTITUTE(SUBSTITUTE(TRIM(E649),"*",""),".",""),"-","")," ",""),4,6),SUBSTITUTE(SUBSTITUTE(SUBSTITUTE(SUBSTITUTE(TRIM(E649),"*",""),".",""),"-","")," ","")))</f>
        <v/>
      </c>
      <c r="H649" s="31" t="str">
        <f aca="false">IF(OR(F649="",G649=""),"",F649&amp;"|"&amp;G649)</f>
        <v/>
      </c>
      <c r="I649" s="23"/>
      <c r="J649" s="22"/>
      <c r="K649" s="22"/>
      <c r="L649" s="25" t="str">
        <f aca="false">IF(F649="","",IF(AND(H649&lt;&gt;"",COUNTIF(Pessoas!$E:$E,H649)&gt;0),"SIM",IF(COUNTIF(Pessoas!$C:$C,F649)&gt;0,"nome igual em Pessoas: confira o CPF","")))</f>
        <v/>
      </c>
      <c r="M649" s="24"/>
      <c r="N649" s="11"/>
    </row>
    <row r="650" customFormat="false" ht="15" hidden="false" customHeight="false" outlineLevel="0" collapsed="false">
      <c r="A650" s="24"/>
      <c r="B650" s="31" t="str">
        <f aca="false">IF(A650="","",IF(LEN(UPPER(SUBSTITUTE(SUBSTITUTE(SUBSTITUTE(SUBSTITUTE(TRIM(A650),".",""),"/",""),"-","")," ","")))&lt;14,RIGHT(REPT("0",14)&amp;UPPER(SUBSTITUTE(SUBSTITUTE(SUBSTITUTE(SUBSTITUTE(TRIM(A650),".",""),"/",""),"-","")," ","")),14),UPPER(SUBSTITUTE(SUBSTITUTE(SUBSTITUTE(SUBSTITUTE(TRIM(A650),".",""),"/",""),"-","")," ",""))))</f>
        <v/>
      </c>
      <c r="C650" s="25" t="str">
        <f aca="false">IF(B650="","",IFERROR(INDEX(Empresas!$C:$C,MATCH(B650,Empresas!$B:$B,0)),"cadastre o CNPJ em Empresas"))</f>
        <v/>
      </c>
      <c r="D650" s="23"/>
      <c r="E650" s="24"/>
      <c r="F650" s="31" t="str">
        <f aca="false">IF(D650="","",SUBSTITUTE(SUBSTITUTE(SUBSTITUTE(SUBSTITUTE(SUBSTITUTE(SUBSTITUTE(SUBSTITUTE(SUBSTITUTE(SUBSTITUTE(SUBSTITUTE(SUBSTITUTE(SUBSTITUTE(SUBSTITUTE(UPPER(TRIM(D650)),"Á","A"),"À","A"),"Â","A"),"Ã","A"),"É","E"),"Ê","E"),"Í","I"),"Ó","O"),"Ô","O"),"Õ","O"),"Ú","U"),"Ü","U"),"Ç","C"))</f>
        <v/>
      </c>
      <c r="G650" s="31" t="str">
        <f aca="false">IF(E650="","",IF(LEN(SUBSTITUTE(SUBSTITUTE(SUBSTITUTE(SUBSTITUTE(TRIM(E650),"*",""),".",""),"-","")," ",""))=11,MID(SUBSTITUTE(SUBSTITUTE(SUBSTITUTE(SUBSTITUTE(TRIM(E650),"*",""),".",""),"-","")," ",""),4,6),SUBSTITUTE(SUBSTITUTE(SUBSTITUTE(SUBSTITUTE(TRIM(E650),"*",""),".",""),"-","")," ","")))</f>
        <v/>
      </c>
      <c r="H650" s="31" t="str">
        <f aca="false">IF(OR(F650="",G650=""),"",F650&amp;"|"&amp;G650)</f>
        <v/>
      </c>
      <c r="I650" s="23"/>
      <c r="J650" s="22"/>
      <c r="K650" s="22"/>
      <c r="L650" s="25" t="str">
        <f aca="false">IF(F650="","",IF(AND(H650&lt;&gt;"",COUNTIF(Pessoas!$E:$E,H650)&gt;0),"SIM",IF(COUNTIF(Pessoas!$C:$C,F650)&gt;0,"nome igual em Pessoas: confira o CPF","")))</f>
        <v/>
      </c>
      <c r="M650" s="24"/>
      <c r="N650" s="11"/>
    </row>
    <row r="651" customFormat="false" ht="15" hidden="false" customHeight="false" outlineLevel="0" collapsed="false">
      <c r="A651" s="24"/>
      <c r="B651" s="31" t="str">
        <f aca="false">IF(A651="","",IF(LEN(UPPER(SUBSTITUTE(SUBSTITUTE(SUBSTITUTE(SUBSTITUTE(TRIM(A651),".",""),"/",""),"-","")," ","")))&lt;14,RIGHT(REPT("0",14)&amp;UPPER(SUBSTITUTE(SUBSTITUTE(SUBSTITUTE(SUBSTITUTE(TRIM(A651),".",""),"/",""),"-","")," ","")),14),UPPER(SUBSTITUTE(SUBSTITUTE(SUBSTITUTE(SUBSTITUTE(TRIM(A651),".",""),"/",""),"-","")," ",""))))</f>
        <v/>
      </c>
      <c r="C651" s="25" t="str">
        <f aca="false">IF(B651="","",IFERROR(INDEX(Empresas!$C:$C,MATCH(B651,Empresas!$B:$B,0)),"cadastre o CNPJ em Empresas"))</f>
        <v/>
      </c>
      <c r="D651" s="23"/>
      <c r="E651" s="24"/>
      <c r="F651" s="31" t="str">
        <f aca="false">IF(D651="","",SUBSTITUTE(SUBSTITUTE(SUBSTITUTE(SUBSTITUTE(SUBSTITUTE(SUBSTITUTE(SUBSTITUTE(SUBSTITUTE(SUBSTITUTE(SUBSTITUTE(SUBSTITUTE(SUBSTITUTE(SUBSTITUTE(UPPER(TRIM(D651)),"Á","A"),"À","A"),"Â","A"),"Ã","A"),"É","E"),"Ê","E"),"Í","I"),"Ó","O"),"Ô","O"),"Õ","O"),"Ú","U"),"Ü","U"),"Ç","C"))</f>
        <v/>
      </c>
      <c r="G651" s="31" t="str">
        <f aca="false">IF(E651="","",IF(LEN(SUBSTITUTE(SUBSTITUTE(SUBSTITUTE(SUBSTITUTE(TRIM(E651),"*",""),".",""),"-","")," ",""))=11,MID(SUBSTITUTE(SUBSTITUTE(SUBSTITUTE(SUBSTITUTE(TRIM(E651),"*",""),".",""),"-","")," ",""),4,6),SUBSTITUTE(SUBSTITUTE(SUBSTITUTE(SUBSTITUTE(TRIM(E651),"*",""),".",""),"-","")," ","")))</f>
        <v/>
      </c>
      <c r="H651" s="31" t="str">
        <f aca="false">IF(OR(F651="",G651=""),"",F651&amp;"|"&amp;G651)</f>
        <v/>
      </c>
      <c r="I651" s="23"/>
      <c r="J651" s="22"/>
      <c r="K651" s="22"/>
      <c r="L651" s="25" t="str">
        <f aca="false">IF(F651="","",IF(AND(H651&lt;&gt;"",COUNTIF(Pessoas!$E:$E,H651)&gt;0),"SIM",IF(COUNTIF(Pessoas!$C:$C,F651)&gt;0,"nome igual em Pessoas: confira o CPF","")))</f>
        <v/>
      </c>
      <c r="M651" s="24"/>
      <c r="N651" s="11"/>
    </row>
    <row r="652" customFormat="false" ht="15" hidden="false" customHeight="false" outlineLevel="0" collapsed="false">
      <c r="A652" s="24"/>
      <c r="B652" s="31" t="str">
        <f aca="false">IF(A652="","",IF(LEN(UPPER(SUBSTITUTE(SUBSTITUTE(SUBSTITUTE(SUBSTITUTE(TRIM(A652),".",""),"/",""),"-","")," ","")))&lt;14,RIGHT(REPT("0",14)&amp;UPPER(SUBSTITUTE(SUBSTITUTE(SUBSTITUTE(SUBSTITUTE(TRIM(A652),".",""),"/",""),"-","")," ","")),14),UPPER(SUBSTITUTE(SUBSTITUTE(SUBSTITUTE(SUBSTITUTE(TRIM(A652),".",""),"/",""),"-","")," ",""))))</f>
        <v/>
      </c>
      <c r="C652" s="25" t="str">
        <f aca="false">IF(B652="","",IFERROR(INDEX(Empresas!$C:$C,MATCH(B652,Empresas!$B:$B,0)),"cadastre o CNPJ em Empresas"))</f>
        <v/>
      </c>
      <c r="D652" s="23"/>
      <c r="E652" s="24"/>
      <c r="F652" s="31" t="str">
        <f aca="false">IF(D652="","",SUBSTITUTE(SUBSTITUTE(SUBSTITUTE(SUBSTITUTE(SUBSTITUTE(SUBSTITUTE(SUBSTITUTE(SUBSTITUTE(SUBSTITUTE(SUBSTITUTE(SUBSTITUTE(SUBSTITUTE(SUBSTITUTE(UPPER(TRIM(D652)),"Á","A"),"À","A"),"Â","A"),"Ã","A"),"É","E"),"Ê","E"),"Í","I"),"Ó","O"),"Ô","O"),"Õ","O"),"Ú","U"),"Ü","U"),"Ç","C"))</f>
        <v/>
      </c>
      <c r="G652" s="31" t="str">
        <f aca="false">IF(E652="","",IF(LEN(SUBSTITUTE(SUBSTITUTE(SUBSTITUTE(SUBSTITUTE(TRIM(E652),"*",""),".",""),"-","")," ",""))=11,MID(SUBSTITUTE(SUBSTITUTE(SUBSTITUTE(SUBSTITUTE(TRIM(E652),"*",""),".",""),"-","")," ",""),4,6),SUBSTITUTE(SUBSTITUTE(SUBSTITUTE(SUBSTITUTE(TRIM(E652),"*",""),".",""),"-","")," ","")))</f>
        <v/>
      </c>
      <c r="H652" s="31" t="str">
        <f aca="false">IF(OR(F652="",G652=""),"",F652&amp;"|"&amp;G652)</f>
        <v/>
      </c>
      <c r="I652" s="23"/>
      <c r="J652" s="22"/>
      <c r="K652" s="22"/>
      <c r="L652" s="25" t="str">
        <f aca="false">IF(F652="","",IF(AND(H652&lt;&gt;"",COUNTIF(Pessoas!$E:$E,H652)&gt;0),"SIM",IF(COUNTIF(Pessoas!$C:$C,F652)&gt;0,"nome igual em Pessoas: confira o CPF","")))</f>
        <v/>
      </c>
      <c r="M652" s="24"/>
      <c r="N652" s="11"/>
    </row>
    <row r="653" customFormat="false" ht="15" hidden="false" customHeight="false" outlineLevel="0" collapsed="false">
      <c r="A653" s="24"/>
      <c r="B653" s="31" t="str">
        <f aca="false">IF(A653="","",IF(LEN(UPPER(SUBSTITUTE(SUBSTITUTE(SUBSTITUTE(SUBSTITUTE(TRIM(A653),".",""),"/",""),"-","")," ","")))&lt;14,RIGHT(REPT("0",14)&amp;UPPER(SUBSTITUTE(SUBSTITUTE(SUBSTITUTE(SUBSTITUTE(TRIM(A653),".",""),"/",""),"-","")," ","")),14),UPPER(SUBSTITUTE(SUBSTITUTE(SUBSTITUTE(SUBSTITUTE(TRIM(A653),".",""),"/",""),"-","")," ",""))))</f>
        <v/>
      </c>
      <c r="C653" s="25" t="str">
        <f aca="false">IF(B653="","",IFERROR(INDEX(Empresas!$C:$C,MATCH(B653,Empresas!$B:$B,0)),"cadastre o CNPJ em Empresas"))</f>
        <v/>
      </c>
      <c r="D653" s="23"/>
      <c r="E653" s="24"/>
      <c r="F653" s="31" t="str">
        <f aca="false">IF(D653="","",SUBSTITUTE(SUBSTITUTE(SUBSTITUTE(SUBSTITUTE(SUBSTITUTE(SUBSTITUTE(SUBSTITUTE(SUBSTITUTE(SUBSTITUTE(SUBSTITUTE(SUBSTITUTE(SUBSTITUTE(SUBSTITUTE(UPPER(TRIM(D653)),"Á","A"),"À","A"),"Â","A"),"Ã","A"),"É","E"),"Ê","E"),"Í","I"),"Ó","O"),"Ô","O"),"Õ","O"),"Ú","U"),"Ü","U"),"Ç","C"))</f>
        <v/>
      </c>
      <c r="G653" s="31" t="str">
        <f aca="false">IF(E653="","",IF(LEN(SUBSTITUTE(SUBSTITUTE(SUBSTITUTE(SUBSTITUTE(TRIM(E653),"*",""),".",""),"-","")," ",""))=11,MID(SUBSTITUTE(SUBSTITUTE(SUBSTITUTE(SUBSTITUTE(TRIM(E653),"*",""),".",""),"-","")," ",""),4,6),SUBSTITUTE(SUBSTITUTE(SUBSTITUTE(SUBSTITUTE(TRIM(E653),"*",""),".",""),"-","")," ","")))</f>
        <v/>
      </c>
      <c r="H653" s="31" t="str">
        <f aca="false">IF(OR(F653="",G653=""),"",F653&amp;"|"&amp;G653)</f>
        <v/>
      </c>
      <c r="I653" s="23"/>
      <c r="J653" s="22"/>
      <c r="K653" s="22"/>
      <c r="L653" s="25" t="str">
        <f aca="false">IF(F653="","",IF(AND(H653&lt;&gt;"",COUNTIF(Pessoas!$E:$E,H653)&gt;0),"SIM",IF(COUNTIF(Pessoas!$C:$C,F653)&gt;0,"nome igual em Pessoas: confira o CPF","")))</f>
        <v/>
      </c>
      <c r="M653" s="24"/>
      <c r="N653" s="11"/>
    </row>
    <row r="654" customFormat="false" ht="15" hidden="false" customHeight="false" outlineLevel="0" collapsed="false">
      <c r="A654" s="24"/>
      <c r="B654" s="31" t="str">
        <f aca="false">IF(A654="","",IF(LEN(UPPER(SUBSTITUTE(SUBSTITUTE(SUBSTITUTE(SUBSTITUTE(TRIM(A654),".",""),"/",""),"-","")," ","")))&lt;14,RIGHT(REPT("0",14)&amp;UPPER(SUBSTITUTE(SUBSTITUTE(SUBSTITUTE(SUBSTITUTE(TRIM(A654),".",""),"/",""),"-","")," ","")),14),UPPER(SUBSTITUTE(SUBSTITUTE(SUBSTITUTE(SUBSTITUTE(TRIM(A654),".",""),"/",""),"-","")," ",""))))</f>
        <v/>
      </c>
      <c r="C654" s="25" t="str">
        <f aca="false">IF(B654="","",IFERROR(INDEX(Empresas!$C:$C,MATCH(B654,Empresas!$B:$B,0)),"cadastre o CNPJ em Empresas"))</f>
        <v/>
      </c>
      <c r="D654" s="23"/>
      <c r="E654" s="24"/>
      <c r="F654" s="31" t="str">
        <f aca="false">IF(D654="","",SUBSTITUTE(SUBSTITUTE(SUBSTITUTE(SUBSTITUTE(SUBSTITUTE(SUBSTITUTE(SUBSTITUTE(SUBSTITUTE(SUBSTITUTE(SUBSTITUTE(SUBSTITUTE(SUBSTITUTE(SUBSTITUTE(UPPER(TRIM(D654)),"Á","A"),"À","A"),"Â","A"),"Ã","A"),"É","E"),"Ê","E"),"Í","I"),"Ó","O"),"Ô","O"),"Õ","O"),"Ú","U"),"Ü","U"),"Ç","C"))</f>
        <v/>
      </c>
      <c r="G654" s="31" t="str">
        <f aca="false">IF(E654="","",IF(LEN(SUBSTITUTE(SUBSTITUTE(SUBSTITUTE(SUBSTITUTE(TRIM(E654),"*",""),".",""),"-","")," ",""))=11,MID(SUBSTITUTE(SUBSTITUTE(SUBSTITUTE(SUBSTITUTE(TRIM(E654),"*",""),".",""),"-","")," ",""),4,6),SUBSTITUTE(SUBSTITUTE(SUBSTITUTE(SUBSTITUTE(TRIM(E654),"*",""),".",""),"-","")," ","")))</f>
        <v/>
      </c>
      <c r="H654" s="31" t="str">
        <f aca="false">IF(OR(F654="",G654=""),"",F654&amp;"|"&amp;G654)</f>
        <v/>
      </c>
      <c r="I654" s="23"/>
      <c r="J654" s="22"/>
      <c r="K654" s="22"/>
      <c r="L654" s="25" t="str">
        <f aca="false">IF(F654="","",IF(AND(H654&lt;&gt;"",COUNTIF(Pessoas!$E:$E,H654)&gt;0),"SIM",IF(COUNTIF(Pessoas!$C:$C,F654)&gt;0,"nome igual em Pessoas: confira o CPF","")))</f>
        <v/>
      </c>
      <c r="M654" s="24"/>
      <c r="N654" s="11"/>
    </row>
    <row r="655" customFormat="false" ht="15" hidden="false" customHeight="false" outlineLevel="0" collapsed="false">
      <c r="A655" s="24"/>
      <c r="B655" s="31" t="str">
        <f aca="false">IF(A655="","",IF(LEN(UPPER(SUBSTITUTE(SUBSTITUTE(SUBSTITUTE(SUBSTITUTE(TRIM(A655),".",""),"/",""),"-","")," ","")))&lt;14,RIGHT(REPT("0",14)&amp;UPPER(SUBSTITUTE(SUBSTITUTE(SUBSTITUTE(SUBSTITUTE(TRIM(A655),".",""),"/",""),"-","")," ","")),14),UPPER(SUBSTITUTE(SUBSTITUTE(SUBSTITUTE(SUBSTITUTE(TRIM(A655),".",""),"/",""),"-","")," ",""))))</f>
        <v/>
      </c>
      <c r="C655" s="25" t="str">
        <f aca="false">IF(B655="","",IFERROR(INDEX(Empresas!$C:$C,MATCH(B655,Empresas!$B:$B,0)),"cadastre o CNPJ em Empresas"))</f>
        <v/>
      </c>
      <c r="D655" s="23"/>
      <c r="E655" s="24"/>
      <c r="F655" s="31" t="str">
        <f aca="false">IF(D655="","",SUBSTITUTE(SUBSTITUTE(SUBSTITUTE(SUBSTITUTE(SUBSTITUTE(SUBSTITUTE(SUBSTITUTE(SUBSTITUTE(SUBSTITUTE(SUBSTITUTE(SUBSTITUTE(SUBSTITUTE(SUBSTITUTE(UPPER(TRIM(D655)),"Á","A"),"À","A"),"Â","A"),"Ã","A"),"É","E"),"Ê","E"),"Í","I"),"Ó","O"),"Ô","O"),"Õ","O"),"Ú","U"),"Ü","U"),"Ç","C"))</f>
        <v/>
      </c>
      <c r="G655" s="31" t="str">
        <f aca="false">IF(E655="","",IF(LEN(SUBSTITUTE(SUBSTITUTE(SUBSTITUTE(SUBSTITUTE(TRIM(E655),"*",""),".",""),"-","")," ",""))=11,MID(SUBSTITUTE(SUBSTITUTE(SUBSTITUTE(SUBSTITUTE(TRIM(E655),"*",""),".",""),"-","")," ",""),4,6),SUBSTITUTE(SUBSTITUTE(SUBSTITUTE(SUBSTITUTE(TRIM(E655),"*",""),".",""),"-","")," ","")))</f>
        <v/>
      </c>
      <c r="H655" s="31" t="str">
        <f aca="false">IF(OR(F655="",G655=""),"",F655&amp;"|"&amp;G655)</f>
        <v/>
      </c>
      <c r="I655" s="23"/>
      <c r="J655" s="22"/>
      <c r="K655" s="22"/>
      <c r="L655" s="25" t="str">
        <f aca="false">IF(F655="","",IF(AND(H655&lt;&gt;"",COUNTIF(Pessoas!$E:$E,H655)&gt;0),"SIM",IF(COUNTIF(Pessoas!$C:$C,F655)&gt;0,"nome igual em Pessoas: confira o CPF","")))</f>
        <v/>
      </c>
      <c r="M655" s="24"/>
      <c r="N655" s="11"/>
    </row>
    <row r="656" customFormat="false" ht="15" hidden="false" customHeight="false" outlineLevel="0" collapsed="false">
      <c r="A656" s="24"/>
      <c r="B656" s="31" t="str">
        <f aca="false">IF(A656="","",IF(LEN(UPPER(SUBSTITUTE(SUBSTITUTE(SUBSTITUTE(SUBSTITUTE(TRIM(A656),".",""),"/",""),"-","")," ","")))&lt;14,RIGHT(REPT("0",14)&amp;UPPER(SUBSTITUTE(SUBSTITUTE(SUBSTITUTE(SUBSTITUTE(TRIM(A656),".",""),"/",""),"-","")," ","")),14),UPPER(SUBSTITUTE(SUBSTITUTE(SUBSTITUTE(SUBSTITUTE(TRIM(A656),".",""),"/",""),"-","")," ",""))))</f>
        <v/>
      </c>
      <c r="C656" s="25" t="str">
        <f aca="false">IF(B656="","",IFERROR(INDEX(Empresas!$C:$C,MATCH(B656,Empresas!$B:$B,0)),"cadastre o CNPJ em Empresas"))</f>
        <v/>
      </c>
      <c r="D656" s="23"/>
      <c r="E656" s="24"/>
      <c r="F656" s="31" t="str">
        <f aca="false">IF(D656="","",SUBSTITUTE(SUBSTITUTE(SUBSTITUTE(SUBSTITUTE(SUBSTITUTE(SUBSTITUTE(SUBSTITUTE(SUBSTITUTE(SUBSTITUTE(SUBSTITUTE(SUBSTITUTE(SUBSTITUTE(SUBSTITUTE(UPPER(TRIM(D656)),"Á","A"),"À","A"),"Â","A"),"Ã","A"),"É","E"),"Ê","E"),"Í","I"),"Ó","O"),"Ô","O"),"Õ","O"),"Ú","U"),"Ü","U"),"Ç","C"))</f>
        <v/>
      </c>
      <c r="G656" s="31" t="str">
        <f aca="false">IF(E656="","",IF(LEN(SUBSTITUTE(SUBSTITUTE(SUBSTITUTE(SUBSTITUTE(TRIM(E656),"*",""),".",""),"-","")," ",""))=11,MID(SUBSTITUTE(SUBSTITUTE(SUBSTITUTE(SUBSTITUTE(TRIM(E656),"*",""),".",""),"-","")," ",""),4,6),SUBSTITUTE(SUBSTITUTE(SUBSTITUTE(SUBSTITUTE(TRIM(E656),"*",""),".",""),"-","")," ","")))</f>
        <v/>
      </c>
      <c r="H656" s="31" t="str">
        <f aca="false">IF(OR(F656="",G656=""),"",F656&amp;"|"&amp;G656)</f>
        <v/>
      </c>
      <c r="I656" s="23"/>
      <c r="J656" s="22"/>
      <c r="K656" s="22"/>
      <c r="L656" s="25" t="str">
        <f aca="false">IF(F656="","",IF(AND(H656&lt;&gt;"",COUNTIF(Pessoas!$E:$E,H656)&gt;0),"SIM",IF(COUNTIF(Pessoas!$C:$C,F656)&gt;0,"nome igual em Pessoas: confira o CPF","")))</f>
        <v/>
      </c>
      <c r="M656" s="24"/>
      <c r="N656" s="11"/>
    </row>
    <row r="657" customFormat="false" ht="15" hidden="false" customHeight="false" outlineLevel="0" collapsed="false">
      <c r="A657" s="24"/>
      <c r="B657" s="31" t="str">
        <f aca="false">IF(A657="","",IF(LEN(UPPER(SUBSTITUTE(SUBSTITUTE(SUBSTITUTE(SUBSTITUTE(TRIM(A657),".",""),"/",""),"-","")," ","")))&lt;14,RIGHT(REPT("0",14)&amp;UPPER(SUBSTITUTE(SUBSTITUTE(SUBSTITUTE(SUBSTITUTE(TRIM(A657),".",""),"/",""),"-","")," ","")),14),UPPER(SUBSTITUTE(SUBSTITUTE(SUBSTITUTE(SUBSTITUTE(TRIM(A657),".",""),"/",""),"-","")," ",""))))</f>
        <v/>
      </c>
      <c r="C657" s="25" t="str">
        <f aca="false">IF(B657="","",IFERROR(INDEX(Empresas!$C:$C,MATCH(B657,Empresas!$B:$B,0)),"cadastre o CNPJ em Empresas"))</f>
        <v/>
      </c>
      <c r="D657" s="23"/>
      <c r="E657" s="24"/>
      <c r="F657" s="31" t="str">
        <f aca="false">IF(D657="","",SUBSTITUTE(SUBSTITUTE(SUBSTITUTE(SUBSTITUTE(SUBSTITUTE(SUBSTITUTE(SUBSTITUTE(SUBSTITUTE(SUBSTITUTE(SUBSTITUTE(SUBSTITUTE(SUBSTITUTE(SUBSTITUTE(UPPER(TRIM(D657)),"Á","A"),"À","A"),"Â","A"),"Ã","A"),"É","E"),"Ê","E"),"Í","I"),"Ó","O"),"Ô","O"),"Õ","O"),"Ú","U"),"Ü","U"),"Ç","C"))</f>
        <v/>
      </c>
      <c r="G657" s="31" t="str">
        <f aca="false">IF(E657="","",IF(LEN(SUBSTITUTE(SUBSTITUTE(SUBSTITUTE(SUBSTITUTE(TRIM(E657),"*",""),".",""),"-","")," ",""))=11,MID(SUBSTITUTE(SUBSTITUTE(SUBSTITUTE(SUBSTITUTE(TRIM(E657),"*",""),".",""),"-","")," ",""),4,6),SUBSTITUTE(SUBSTITUTE(SUBSTITUTE(SUBSTITUTE(TRIM(E657),"*",""),".",""),"-","")," ","")))</f>
        <v/>
      </c>
      <c r="H657" s="31" t="str">
        <f aca="false">IF(OR(F657="",G657=""),"",F657&amp;"|"&amp;G657)</f>
        <v/>
      </c>
      <c r="I657" s="23"/>
      <c r="J657" s="22"/>
      <c r="K657" s="22"/>
      <c r="L657" s="25" t="str">
        <f aca="false">IF(F657="","",IF(AND(H657&lt;&gt;"",COUNTIF(Pessoas!$E:$E,H657)&gt;0),"SIM",IF(COUNTIF(Pessoas!$C:$C,F657)&gt;0,"nome igual em Pessoas: confira o CPF","")))</f>
        <v/>
      </c>
      <c r="M657" s="24"/>
      <c r="N657" s="11"/>
    </row>
    <row r="658" customFormat="false" ht="15" hidden="false" customHeight="false" outlineLevel="0" collapsed="false">
      <c r="A658" s="24"/>
      <c r="B658" s="31" t="str">
        <f aca="false">IF(A658="","",IF(LEN(UPPER(SUBSTITUTE(SUBSTITUTE(SUBSTITUTE(SUBSTITUTE(TRIM(A658),".",""),"/",""),"-","")," ","")))&lt;14,RIGHT(REPT("0",14)&amp;UPPER(SUBSTITUTE(SUBSTITUTE(SUBSTITUTE(SUBSTITUTE(TRIM(A658),".",""),"/",""),"-","")," ","")),14),UPPER(SUBSTITUTE(SUBSTITUTE(SUBSTITUTE(SUBSTITUTE(TRIM(A658),".",""),"/",""),"-","")," ",""))))</f>
        <v/>
      </c>
      <c r="C658" s="25" t="str">
        <f aca="false">IF(B658="","",IFERROR(INDEX(Empresas!$C:$C,MATCH(B658,Empresas!$B:$B,0)),"cadastre o CNPJ em Empresas"))</f>
        <v/>
      </c>
      <c r="D658" s="23"/>
      <c r="E658" s="24"/>
      <c r="F658" s="31" t="str">
        <f aca="false">IF(D658="","",SUBSTITUTE(SUBSTITUTE(SUBSTITUTE(SUBSTITUTE(SUBSTITUTE(SUBSTITUTE(SUBSTITUTE(SUBSTITUTE(SUBSTITUTE(SUBSTITUTE(SUBSTITUTE(SUBSTITUTE(SUBSTITUTE(UPPER(TRIM(D658)),"Á","A"),"À","A"),"Â","A"),"Ã","A"),"É","E"),"Ê","E"),"Í","I"),"Ó","O"),"Ô","O"),"Õ","O"),"Ú","U"),"Ü","U"),"Ç","C"))</f>
        <v/>
      </c>
      <c r="G658" s="31" t="str">
        <f aca="false">IF(E658="","",IF(LEN(SUBSTITUTE(SUBSTITUTE(SUBSTITUTE(SUBSTITUTE(TRIM(E658),"*",""),".",""),"-","")," ",""))=11,MID(SUBSTITUTE(SUBSTITUTE(SUBSTITUTE(SUBSTITUTE(TRIM(E658),"*",""),".",""),"-","")," ",""),4,6),SUBSTITUTE(SUBSTITUTE(SUBSTITUTE(SUBSTITUTE(TRIM(E658),"*",""),".",""),"-","")," ","")))</f>
        <v/>
      </c>
      <c r="H658" s="31" t="str">
        <f aca="false">IF(OR(F658="",G658=""),"",F658&amp;"|"&amp;G658)</f>
        <v/>
      </c>
      <c r="I658" s="23"/>
      <c r="J658" s="22"/>
      <c r="K658" s="22"/>
      <c r="L658" s="25" t="str">
        <f aca="false">IF(F658="","",IF(AND(H658&lt;&gt;"",COUNTIF(Pessoas!$E:$E,H658)&gt;0),"SIM",IF(COUNTIF(Pessoas!$C:$C,F658)&gt;0,"nome igual em Pessoas: confira o CPF","")))</f>
        <v/>
      </c>
      <c r="M658" s="24"/>
      <c r="N658" s="11"/>
    </row>
    <row r="659" customFormat="false" ht="15" hidden="false" customHeight="false" outlineLevel="0" collapsed="false">
      <c r="A659" s="24"/>
      <c r="B659" s="31" t="str">
        <f aca="false">IF(A659="","",IF(LEN(UPPER(SUBSTITUTE(SUBSTITUTE(SUBSTITUTE(SUBSTITUTE(TRIM(A659),".",""),"/",""),"-","")," ","")))&lt;14,RIGHT(REPT("0",14)&amp;UPPER(SUBSTITUTE(SUBSTITUTE(SUBSTITUTE(SUBSTITUTE(TRIM(A659),".",""),"/",""),"-","")," ","")),14),UPPER(SUBSTITUTE(SUBSTITUTE(SUBSTITUTE(SUBSTITUTE(TRIM(A659),".",""),"/",""),"-","")," ",""))))</f>
        <v/>
      </c>
      <c r="C659" s="25" t="str">
        <f aca="false">IF(B659="","",IFERROR(INDEX(Empresas!$C:$C,MATCH(B659,Empresas!$B:$B,0)),"cadastre o CNPJ em Empresas"))</f>
        <v/>
      </c>
      <c r="D659" s="23"/>
      <c r="E659" s="24"/>
      <c r="F659" s="31" t="str">
        <f aca="false">IF(D659="","",SUBSTITUTE(SUBSTITUTE(SUBSTITUTE(SUBSTITUTE(SUBSTITUTE(SUBSTITUTE(SUBSTITUTE(SUBSTITUTE(SUBSTITUTE(SUBSTITUTE(SUBSTITUTE(SUBSTITUTE(SUBSTITUTE(UPPER(TRIM(D659)),"Á","A"),"À","A"),"Â","A"),"Ã","A"),"É","E"),"Ê","E"),"Í","I"),"Ó","O"),"Ô","O"),"Õ","O"),"Ú","U"),"Ü","U"),"Ç","C"))</f>
        <v/>
      </c>
      <c r="G659" s="31" t="str">
        <f aca="false">IF(E659="","",IF(LEN(SUBSTITUTE(SUBSTITUTE(SUBSTITUTE(SUBSTITUTE(TRIM(E659),"*",""),".",""),"-","")," ",""))=11,MID(SUBSTITUTE(SUBSTITUTE(SUBSTITUTE(SUBSTITUTE(TRIM(E659),"*",""),".",""),"-","")," ",""),4,6),SUBSTITUTE(SUBSTITUTE(SUBSTITUTE(SUBSTITUTE(TRIM(E659),"*",""),".",""),"-","")," ","")))</f>
        <v/>
      </c>
      <c r="H659" s="31" t="str">
        <f aca="false">IF(OR(F659="",G659=""),"",F659&amp;"|"&amp;G659)</f>
        <v/>
      </c>
      <c r="I659" s="23"/>
      <c r="J659" s="22"/>
      <c r="K659" s="22"/>
      <c r="L659" s="25" t="str">
        <f aca="false">IF(F659="","",IF(AND(H659&lt;&gt;"",COUNTIF(Pessoas!$E:$E,H659)&gt;0),"SIM",IF(COUNTIF(Pessoas!$C:$C,F659)&gt;0,"nome igual em Pessoas: confira o CPF","")))</f>
        <v/>
      </c>
      <c r="M659" s="24"/>
      <c r="N659" s="11"/>
    </row>
    <row r="660" customFormat="false" ht="15" hidden="false" customHeight="false" outlineLevel="0" collapsed="false">
      <c r="A660" s="24"/>
      <c r="B660" s="31" t="str">
        <f aca="false">IF(A660="","",IF(LEN(UPPER(SUBSTITUTE(SUBSTITUTE(SUBSTITUTE(SUBSTITUTE(TRIM(A660),".",""),"/",""),"-","")," ","")))&lt;14,RIGHT(REPT("0",14)&amp;UPPER(SUBSTITUTE(SUBSTITUTE(SUBSTITUTE(SUBSTITUTE(TRIM(A660),".",""),"/",""),"-","")," ","")),14),UPPER(SUBSTITUTE(SUBSTITUTE(SUBSTITUTE(SUBSTITUTE(TRIM(A660),".",""),"/",""),"-","")," ",""))))</f>
        <v/>
      </c>
      <c r="C660" s="25" t="str">
        <f aca="false">IF(B660="","",IFERROR(INDEX(Empresas!$C:$C,MATCH(B660,Empresas!$B:$B,0)),"cadastre o CNPJ em Empresas"))</f>
        <v/>
      </c>
      <c r="D660" s="23"/>
      <c r="E660" s="24"/>
      <c r="F660" s="31" t="str">
        <f aca="false">IF(D660="","",SUBSTITUTE(SUBSTITUTE(SUBSTITUTE(SUBSTITUTE(SUBSTITUTE(SUBSTITUTE(SUBSTITUTE(SUBSTITUTE(SUBSTITUTE(SUBSTITUTE(SUBSTITUTE(SUBSTITUTE(SUBSTITUTE(UPPER(TRIM(D660)),"Á","A"),"À","A"),"Â","A"),"Ã","A"),"É","E"),"Ê","E"),"Í","I"),"Ó","O"),"Ô","O"),"Õ","O"),"Ú","U"),"Ü","U"),"Ç","C"))</f>
        <v/>
      </c>
      <c r="G660" s="31" t="str">
        <f aca="false">IF(E660="","",IF(LEN(SUBSTITUTE(SUBSTITUTE(SUBSTITUTE(SUBSTITUTE(TRIM(E660),"*",""),".",""),"-","")," ",""))=11,MID(SUBSTITUTE(SUBSTITUTE(SUBSTITUTE(SUBSTITUTE(TRIM(E660),"*",""),".",""),"-","")," ",""),4,6),SUBSTITUTE(SUBSTITUTE(SUBSTITUTE(SUBSTITUTE(TRIM(E660),"*",""),".",""),"-","")," ","")))</f>
        <v/>
      </c>
      <c r="H660" s="31" t="str">
        <f aca="false">IF(OR(F660="",G660=""),"",F660&amp;"|"&amp;G660)</f>
        <v/>
      </c>
      <c r="I660" s="23"/>
      <c r="J660" s="22"/>
      <c r="K660" s="22"/>
      <c r="L660" s="25" t="str">
        <f aca="false">IF(F660="","",IF(AND(H660&lt;&gt;"",COUNTIF(Pessoas!$E:$E,H660)&gt;0),"SIM",IF(COUNTIF(Pessoas!$C:$C,F660)&gt;0,"nome igual em Pessoas: confira o CPF","")))</f>
        <v/>
      </c>
      <c r="M660" s="24"/>
      <c r="N660" s="11"/>
    </row>
    <row r="661" customFormat="false" ht="15" hidden="false" customHeight="false" outlineLevel="0" collapsed="false">
      <c r="A661" s="24"/>
      <c r="B661" s="31" t="str">
        <f aca="false">IF(A661="","",IF(LEN(UPPER(SUBSTITUTE(SUBSTITUTE(SUBSTITUTE(SUBSTITUTE(TRIM(A661),".",""),"/",""),"-","")," ","")))&lt;14,RIGHT(REPT("0",14)&amp;UPPER(SUBSTITUTE(SUBSTITUTE(SUBSTITUTE(SUBSTITUTE(TRIM(A661),".",""),"/",""),"-","")," ","")),14),UPPER(SUBSTITUTE(SUBSTITUTE(SUBSTITUTE(SUBSTITUTE(TRIM(A661),".",""),"/",""),"-","")," ",""))))</f>
        <v/>
      </c>
      <c r="C661" s="25" t="str">
        <f aca="false">IF(B661="","",IFERROR(INDEX(Empresas!$C:$C,MATCH(B661,Empresas!$B:$B,0)),"cadastre o CNPJ em Empresas"))</f>
        <v/>
      </c>
      <c r="D661" s="23"/>
      <c r="E661" s="24"/>
      <c r="F661" s="31" t="str">
        <f aca="false">IF(D661="","",SUBSTITUTE(SUBSTITUTE(SUBSTITUTE(SUBSTITUTE(SUBSTITUTE(SUBSTITUTE(SUBSTITUTE(SUBSTITUTE(SUBSTITUTE(SUBSTITUTE(SUBSTITUTE(SUBSTITUTE(SUBSTITUTE(UPPER(TRIM(D661)),"Á","A"),"À","A"),"Â","A"),"Ã","A"),"É","E"),"Ê","E"),"Í","I"),"Ó","O"),"Ô","O"),"Õ","O"),"Ú","U"),"Ü","U"),"Ç","C"))</f>
        <v/>
      </c>
      <c r="G661" s="31" t="str">
        <f aca="false">IF(E661="","",IF(LEN(SUBSTITUTE(SUBSTITUTE(SUBSTITUTE(SUBSTITUTE(TRIM(E661),"*",""),".",""),"-","")," ",""))=11,MID(SUBSTITUTE(SUBSTITUTE(SUBSTITUTE(SUBSTITUTE(TRIM(E661),"*",""),".",""),"-","")," ",""),4,6),SUBSTITUTE(SUBSTITUTE(SUBSTITUTE(SUBSTITUTE(TRIM(E661),"*",""),".",""),"-","")," ","")))</f>
        <v/>
      </c>
      <c r="H661" s="31" t="str">
        <f aca="false">IF(OR(F661="",G661=""),"",F661&amp;"|"&amp;G661)</f>
        <v/>
      </c>
      <c r="I661" s="23"/>
      <c r="J661" s="22"/>
      <c r="K661" s="22"/>
      <c r="L661" s="25" t="str">
        <f aca="false">IF(F661="","",IF(AND(H661&lt;&gt;"",COUNTIF(Pessoas!$E:$E,H661)&gt;0),"SIM",IF(COUNTIF(Pessoas!$C:$C,F661)&gt;0,"nome igual em Pessoas: confira o CPF","")))</f>
        <v/>
      </c>
      <c r="M661" s="24"/>
      <c r="N661" s="11"/>
    </row>
    <row r="662" customFormat="false" ht="15" hidden="false" customHeight="false" outlineLevel="0" collapsed="false">
      <c r="A662" s="24"/>
      <c r="B662" s="31" t="str">
        <f aca="false">IF(A662="","",IF(LEN(UPPER(SUBSTITUTE(SUBSTITUTE(SUBSTITUTE(SUBSTITUTE(TRIM(A662),".",""),"/",""),"-","")," ","")))&lt;14,RIGHT(REPT("0",14)&amp;UPPER(SUBSTITUTE(SUBSTITUTE(SUBSTITUTE(SUBSTITUTE(TRIM(A662),".",""),"/",""),"-","")," ","")),14),UPPER(SUBSTITUTE(SUBSTITUTE(SUBSTITUTE(SUBSTITUTE(TRIM(A662),".",""),"/",""),"-","")," ",""))))</f>
        <v/>
      </c>
      <c r="C662" s="25" t="str">
        <f aca="false">IF(B662="","",IFERROR(INDEX(Empresas!$C:$C,MATCH(B662,Empresas!$B:$B,0)),"cadastre o CNPJ em Empresas"))</f>
        <v/>
      </c>
      <c r="D662" s="23"/>
      <c r="E662" s="24"/>
      <c r="F662" s="31" t="str">
        <f aca="false">IF(D662="","",SUBSTITUTE(SUBSTITUTE(SUBSTITUTE(SUBSTITUTE(SUBSTITUTE(SUBSTITUTE(SUBSTITUTE(SUBSTITUTE(SUBSTITUTE(SUBSTITUTE(SUBSTITUTE(SUBSTITUTE(SUBSTITUTE(UPPER(TRIM(D662)),"Á","A"),"À","A"),"Â","A"),"Ã","A"),"É","E"),"Ê","E"),"Í","I"),"Ó","O"),"Ô","O"),"Õ","O"),"Ú","U"),"Ü","U"),"Ç","C"))</f>
        <v/>
      </c>
      <c r="G662" s="31" t="str">
        <f aca="false">IF(E662="","",IF(LEN(SUBSTITUTE(SUBSTITUTE(SUBSTITUTE(SUBSTITUTE(TRIM(E662),"*",""),".",""),"-","")," ",""))=11,MID(SUBSTITUTE(SUBSTITUTE(SUBSTITUTE(SUBSTITUTE(TRIM(E662),"*",""),".",""),"-","")," ",""),4,6),SUBSTITUTE(SUBSTITUTE(SUBSTITUTE(SUBSTITUTE(TRIM(E662),"*",""),".",""),"-","")," ","")))</f>
        <v/>
      </c>
      <c r="H662" s="31" t="str">
        <f aca="false">IF(OR(F662="",G662=""),"",F662&amp;"|"&amp;G662)</f>
        <v/>
      </c>
      <c r="I662" s="23"/>
      <c r="J662" s="22"/>
      <c r="K662" s="22"/>
      <c r="L662" s="25" t="str">
        <f aca="false">IF(F662="","",IF(AND(H662&lt;&gt;"",COUNTIF(Pessoas!$E:$E,H662)&gt;0),"SIM",IF(COUNTIF(Pessoas!$C:$C,F662)&gt;0,"nome igual em Pessoas: confira o CPF","")))</f>
        <v/>
      </c>
      <c r="M662" s="24"/>
      <c r="N662" s="11"/>
    </row>
    <row r="663" customFormat="false" ht="15" hidden="false" customHeight="false" outlineLevel="0" collapsed="false">
      <c r="A663" s="24"/>
      <c r="B663" s="31" t="str">
        <f aca="false">IF(A663="","",IF(LEN(UPPER(SUBSTITUTE(SUBSTITUTE(SUBSTITUTE(SUBSTITUTE(TRIM(A663),".",""),"/",""),"-","")," ","")))&lt;14,RIGHT(REPT("0",14)&amp;UPPER(SUBSTITUTE(SUBSTITUTE(SUBSTITUTE(SUBSTITUTE(TRIM(A663),".",""),"/",""),"-","")," ","")),14),UPPER(SUBSTITUTE(SUBSTITUTE(SUBSTITUTE(SUBSTITUTE(TRIM(A663),".",""),"/",""),"-","")," ",""))))</f>
        <v/>
      </c>
      <c r="C663" s="25" t="str">
        <f aca="false">IF(B663="","",IFERROR(INDEX(Empresas!$C:$C,MATCH(B663,Empresas!$B:$B,0)),"cadastre o CNPJ em Empresas"))</f>
        <v/>
      </c>
      <c r="D663" s="23"/>
      <c r="E663" s="24"/>
      <c r="F663" s="31" t="str">
        <f aca="false">IF(D663="","",SUBSTITUTE(SUBSTITUTE(SUBSTITUTE(SUBSTITUTE(SUBSTITUTE(SUBSTITUTE(SUBSTITUTE(SUBSTITUTE(SUBSTITUTE(SUBSTITUTE(SUBSTITUTE(SUBSTITUTE(SUBSTITUTE(UPPER(TRIM(D663)),"Á","A"),"À","A"),"Â","A"),"Ã","A"),"É","E"),"Ê","E"),"Í","I"),"Ó","O"),"Ô","O"),"Õ","O"),"Ú","U"),"Ü","U"),"Ç","C"))</f>
        <v/>
      </c>
      <c r="G663" s="31" t="str">
        <f aca="false">IF(E663="","",IF(LEN(SUBSTITUTE(SUBSTITUTE(SUBSTITUTE(SUBSTITUTE(TRIM(E663),"*",""),".",""),"-","")," ",""))=11,MID(SUBSTITUTE(SUBSTITUTE(SUBSTITUTE(SUBSTITUTE(TRIM(E663),"*",""),".",""),"-","")," ",""),4,6),SUBSTITUTE(SUBSTITUTE(SUBSTITUTE(SUBSTITUTE(TRIM(E663),"*",""),".",""),"-","")," ","")))</f>
        <v/>
      </c>
      <c r="H663" s="31" t="str">
        <f aca="false">IF(OR(F663="",G663=""),"",F663&amp;"|"&amp;G663)</f>
        <v/>
      </c>
      <c r="I663" s="23"/>
      <c r="J663" s="22"/>
      <c r="K663" s="22"/>
      <c r="L663" s="25" t="str">
        <f aca="false">IF(F663="","",IF(AND(H663&lt;&gt;"",COUNTIF(Pessoas!$E:$E,H663)&gt;0),"SIM",IF(COUNTIF(Pessoas!$C:$C,F663)&gt;0,"nome igual em Pessoas: confira o CPF","")))</f>
        <v/>
      </c>
      <c r="M663" s="24"/>
      <c r="N663" s="11"/>
    </row>
    <row r="664" customFormat="false" ht="15" hidden="false" customHeight="false" outlineLevel="0" collapsed="false">
      <c r="A664" s="24"/>
      <c r="B664" s="31" t="str">
        <f aca="false">IF(A664="","",IF(LEN(UPPER(SUBSTITUTE(SUBSTITUTE(SUBSTITUTE(SUBSTITUTE(TRIM(A664),".",""),"/",""),"-","")," ","")))&lt;14,RIGHT(REPT("0",14)&amp;UPPER(SUBSTITUTE(SUBSTITUTE(SUBSTITUTE(SUBSTITUTE(TRIM(A664),".",""),"/",""),"-","")," ","")),14),UPPER(SUBSTITUTE(SUBSTITUTE(SUBSTITUTE(SUBSTITUTE(TRIM(A664),".",""),"/",""),"-","")," ",""))))</f>
        <v/>
      </c>
      <c r="C664" s="25" t="str">
        <f aca="false">IF(B664="","",IFERROR(INDEX(Empresas!$C:$C,MATCH(B664,Empresas!$B:$B,0)),"cadastre o CNPJ em Empresas"))</f>
        <v/>
      </c>
      <c r="D664" s="23"/>
      <c r="E664" s="24"/>
      <c r="F664" s="31" t="str">
        <f aca="false">IF(D664="","",SUBSTITUTE(SUBSTITUTE(SUBSTITUTE(SUBSTITUTE(SUBSTITUTE(SUBSTITUTE(SUBSTITUTE(SUBSTITUTE(SUBSTITUTE(SUBSTITUTE(SUBSTITUTE(SUBSTITUTE(SUBSTITUTE(UPPER(TRIM(D664)),"Á","A"),"À","A"),"Â","A"),"Ã","A"),"É","E"),"Ê","E"),"Í","I"),"Ó","O"),"Ô","O"),"Õ","O"),"Ú","U"),"Ü","U"),"Ç","C"))</f>
        <v/>
      </c>
      <c r="G664" s="31" t="str">
        <f aca="false">IF(E664="","",IF(LEN(SUBSTITUTE(SUBSTITUTE(SUBSTITUTE(SUBSTITUTE(TRIM(E664),"*",""),".",""),"-","")," ",""))=11,MID(SUBSTITUTE(SUBSTITUTE(SUBSTITUTE(SUBSTITUTE(TRIM(E664),"*",""),".",""),"-","")," ",""),4,6),SUBSTITUTE(SUBSTITUTE(SUBSTITUTE(SUBSTITUTE(TRIM(E664),"*",""),".",""),"-","")," ","")))</f>
        <v/>
      </c>
      <c r="H664" s="31" t="str">
        <f aca="false">IF(OR(F664="",G664=""),"",F664&amp;"|"&amp;G664)</f>
        <v/>
      </c>
      <c r="I664" s="23"/>
      <c r="J664" s="22"/>
      <c r="K664" s="22"/>
      <c r="L664" s="25" t="str">
        <f aca="false">IF(F664="","",IF(AND(H664&lt;&gt;"",COUNTIF(Pessoas!$E:$E,H664)&gt;0),"SIM",IF(COUNTIF(Pessoas!$C:$C,F664)&gt;0,"nome igual em Pessoas: confira o CPF","")))</f>
        <v/>
      </c>
      <c r="M664" s="24"/>
      <c r="N664" s="11"/>
    </row>
    <row r="665" customFormat="false" ht="15" hidden="false" customHeight="false" outlineLevel="0" collapsed="false">
      <c r="A665" s="24"/>
      <c r="B665" s="31" t="str">
        <f aca="false">IF(A665="","",IF(LEN(UPPER(SUBSTITUTE(SUBSTITUTE(SUBSTITUTE(SUBSTITUTE(TRIM(A665),".",""),"/",""),"-","")," ","")))&lt;14,RIGHT(REPT("0",14)&amp;UPPER(SUBSTITUTE(SUBSTITUTE(SUBSTITUTE(SUBSTITUTE(TRIM(A665),".",""),"/",""),"-","")," ","")),14),UPPER(SUBSTITUTE(SUBSTITUTE(SUBSTITUTE(SUBSTITUTE(TRIM(A665),".",""),"/",""),"-","")," ",""))))</f>
        <v/>
      </c>
      <c r="C665" s="25" t="str">
        <f aca="false">IF(B665="","",IFERROR(INDEX(Empresas!$C:$C,MATCH(B665,Empresas!$B:$B,0)),"cadastre o CNPJ em Empresas"))</f>
        <v/>
      </c>
      <c r="D665" s="23"/>
      <c r="E665" s="24"/>
      <c r="F665" s="31" t="str">
        <f aca="false">IF(D665="","",SUBSTITUTE(SUBSTITUTE(SUBSTITUTE(SUBSTITUTE(SUBSTITUTE(SUBSTITUTE(SUBSTITUTE(SUBSTITUTE(SUBSTITUTE(SUBSTITUTE(SUBSTITUTE(SUBSTITUTE(SUBSTITUTE(UPPER(TRIM(D665)),"Á","A"),"À","A"),"Â","A"),"Ã","A"),"É","E"),"Ê","E"),"Í","I"),"Ó","O"),"Ô","O"),"Õ","O"),"Ú","U"),"Ü","U"),"Ç","C"))</f>
        <v/>
      </c>
      <c r="G665" s="31" t="str">
        <f aca="false">IF(E665="","",IF(LEN(SUBSTITUTE(SUBSTITUTE(SUBSTITUTE(SUBSTITUTE(TRIM(E665),"*",""),".",""),"-","")," ",""))=11,MID(SUBSTITUTE(SUBSTITUTE(SUBSTITUTE(SUBSTITUTE(TRIM(E665),"*",""),".",""),"-","")," ",""),4,6),SUBSTITUTE(SUBSTITUTE(SUBSTITUTE(SUBSTITUTE(TRIM(E665),"*",""),".",""),"-","")," ","")))</f>
        <v/>
      </c>
      <c r="H665" s="31" t="str">
        <f aca="false">IF(OR(F665="",G665=""),"",F665&amp;"|"&amp;G665)</f>
        <v/>
      </c>
      <c r="I665" s="23"/>
      <c r="J665" s="22"/>
      <c r="K665" s="22"/>
      <c r="L665" s="25" t="str">
        <f aca="false">IF(F665="","",IF(AND(H665&lt;&gt;"",COUNTIF(Pessoas!$E:$E,H665)&gt;0),"SIM",IF(COUNTIF(Pessoas!$C:$C,F665)&gt;0,"nome igual em Pessoas: confira o CPF","")))</f>
        <v/>
      </c>
      <c r="M665" s="24"/>
      <c r="N665" s="11"/>
    </row>
    <row r="666" customFormat="false" ht="15" hidden="false" customHeight="false" outlineLevel="0" collapsed="false">
      <c r="A666" s="24"/>
      <c r="B666" s="31" t="str">
        <f aca="false">IF(A666="","",IF(LEN(UPPER(SUBSTITUTE(SUBSTITUTE(SUBSTITUTE(SUBSTITUTE(TRIM(A666),".",""),"/",""),"-","")," ","")))&lt;14,RIGHT(REPT("0",14)&amp;UPPER(SUBSTITUTE(SUBSTITUTE(SUBSTITUTE(SUBSTITUTE(TRIM(A666),".",""),"/",""),"-","")," ","")),14),UPPER(SUBSTITUTE(SUBSTITUTE(SUBSTITUTE(SUBSTITUTE(TRIM(A666),".",""),"/",""),"-","")," ",""))))</f>
        <v/>
      </c>
      <c r="C666" s="25" t="str">
        <f aca="false">IF(B666="","",IFERROR(INDEX(Empresas!$C:$C,MATCH(B666,Empresas!$B:$B,0)),"cadastre o CNPJ em Empresas"))</f>
        <v/>
      </c>
      <c r="D666" s="23"/>
      <c r="E666" s="24"/>
      <c r="F666" s="31" t="str">
        <f aca="false">IF(D666="","",SUBSTITUTE(SUBSTITUTE(SUBSTITUTE(SUBSTITUTE(SUBSTITUTE(SUBSTITUTE(SUBSTITUTE(SUBSTITUTE(SUBSTITUTE(SUBSTITUTE(SUBSTITUTE(SUBSTITUTE(SUBSTITUTE(UPPER(TRIM(D666)),"Á","A"),"À","A"),"Â","A"),"Ã","A"),"É","E"),"Ê","E"),"Í","I"),"Ó","O"),"Ô","O"),"Õ","O"),"Ú","U"),"Ü","U"),"Ç","C"))</f>
        <v/>
      </c>
      <c r="G666" s="31" t="str">
        <f aca="false">IF(E666="","",IF(LEN(SUBSTITUTE(SUBSTITUTE(SUBSTITUTE(SUBSTITUTE(TRIM(E666),"*",""),".",""),"-","")," ",""))=11,MID(SUBSTITUTE(SUBSTITUTE(SUBSTITUTE(SUBSTITUTE(TRIM(E666),"*",""),".",""),"-","")," ",""),4,6),SUBSTITUTE(SUBSTITUTE(SUBSTITUTE(SUBSTITUTE(TRIM(E666),"*",""),".",""),"-","")," ","")))</f>
        <v/>
      </c>
      <c r="H666" s="31" t="str">
        <f aca="false">IF(OR(F666="",G666=""),"",F666&amp;"|"&amp;G666)</f>
        <v/>
      </c>
      <c r="I666" s="23"/>
      <c r="J666" s="22"/>
      <c r="K666" s="22"/>
      <c r="L666" s="25" t="str">
        <f aca="false">IF(F666="","",IF(AND(H666&lt;&gt;"",COUNTIF(Pessoas!$E:$E,H666)&gt;0),"SIM",IF(COUNTIF(Pessoas!$C:$C,F666)&gt;0,"nome igual em Pessoas: confira o CPF","")))</f>
        <v/>
      </c>
      <c r="M666" s="24"/>
      <c r="N666" s="11"/>
    </row>
    <row r="667" customFormat="false" ht="15" hidden="false" customHeight="false" outlineLevel="0" collapsed="false">
      <c r="A667" s="24"/>
      <c r="B667" s="31" t="str">
        <f aca="false">IF(A667="","",IF(LEN(UPPER(SUBSTITUTE(SUBSTITUTE(SUBSTITUTE(SUBSTITUTE(TRIM(A667),".",""),"/",""),"-","")," ","")))&lt;14,RIGHT(REPT("0",14)&amp;UPPER(SUBSTITUTE(SUBSTITUTE(SUBSTITUTE(SUBSTITUTE(TRIM(A667),".",""),"/",""),"-","")," ","")),14),UPPER(SUBSTITUTE(SUBSTITUTE(SUBSTITUTE(SUBSTITUTE(TRIM(A667),".",""),"/",""),"-","")," ",""))))</f>
        <v/>
      </c>
      <c r="C667" s="25" t="str">
        <f aca="false">IF(B667="","",IFERROR(INDEX(Empresas!$C:$C,MATCH(B667,Empresas!$B:$B,0)),"cadastre o CNPJ em Empresas"))</f>
        <v/>
      </c>
      <c r="D667" s="23"/>
      <c r="E667" s="24"/>
      <c r="F667" s="31" t="str">
        <f aca="false">IF(D667="","",SUBSTITUTE(SUBSTITUTE(SUBSTITUTE(SUBSTITUTE(SUBSTITUTE(SUBSTITUTE(SUBSTITUTE(SUBSTITUTE(SUBSTITUTE(SUBSTITUTE(SUBSTITUTE(SUBSTITUTE(SUBSTITUTE(UPPER(TRIM(D667)),"Á","A"),"À","A"),"Â","A"),"Ã","A"),"É","E"),"Ê","E"),"Í","I"),"Ó","O"),"Ô","O"),"Õ","O"),"Ú","U"),"Ü","U"),"Ç","C"))</f>
        <v/>
      </c>
      <c r="G667" s="31" t="str">
        <f aca="false">IF(E667="","",IF(LEN(SUBSTITUTE(SUBSTITUTE(SUBSTITUTE(SUBSTITUTE(TRIM(E667),"*",""),".",""),"-","")," ",""))=11,MID(SUBSTITUTE(SUBSTITUTE(SUBSTITUTE(SUBSTITUTE(TRIM(E667),"*",""),".",""),"-","")," ",""),4,6),SUBSTITUTE(SUBSTITUTE(SUBSTITUTE(SUBSTITUTE(TRIM(E667),"*",""),".",""),"-","")," ","")))</f>
        <v/>
      </c>
      <c r="H667" s="31" t="str">
        <f aca="false">IF(OR(F667="",G667=""),"",F667&amp;"|"&amp;G667)</f>
        <v/>
      </c>
      <c r="I667" s="23"/>
      <c r="J667" s="22"/>
      <c r="K667" s="22"/>
      <c r="L667" s="25" t="str">
        <f aca="false">IF(F667="","",IF(AND(H667&lt;&gt;"",COUNTIF(Pessoas!$E:$E,H667)&gt;0),"SIM",IF(COUNTIF(Pessoas!$C:$C,F667)&gt;0,"nome igual em Pessoas: confira o CPF","")))</f>
        <v/>
      </c>
      <c r="M667" s="24"/>
      <c r="N667" s="11"/>
    </row>
    <row r="668" customFormat="false" ht="15" hidden="false" customHeight="false" outlineLevel="0" collapsed="false">
      <c r="A668" s="24"/>
      <c r="B668" s="31" t="str">
        <f aca="false">IF(A668="","",IF(LEN(UPPER(SUBSTITUTE(SUBSTITUTE(SUBSTITUTE(SUBSTITUTE(TRIM(A668),".",""),"/",""),"-","")," ","")))&lt;14,RIGHT(REPT("0",14)&amp;UPPER(SUBSTITUTE(SUBSTITUTE(SUBSTITUTE(SUBSTITUTE(TRIM(A668),".",""),"/",""),"-","")," ","")),14),UPPER(SUBSTITUTE(SUBSTITUTE(SUBSTITUTE(SUBSTITUTE(TRIM(A668),".",""),"/",""),"-","")," ",""))))</f>
        <v/>
      </c>
      <c r="C668" s="25" t="str">
        <f aca="false">IF(B668="","",IFERROR(INDEX(Empresas!$C:$C,MATCH(B668,Empresas!$B:$B,0)),"cadastre o CNPJ em Empresas"))</f>
        <v/>
      </c>
      <c r="D668" s="23"/>
      <c r="E668" s="24"/>
      <c r="F668" s="31" t="str">
        <f aca="false">IF(D668="","",SUBSTITUTE(SUBSTITUTE(SUBSTITUTE(SUBSTITUTE(SUBSTITUTE(SUBSTITUTE(SUBSTITUTE(SUBSTITUTE(SUBSTITUTE(SUBSTITUTE(SUBSTITUTE(SUBSTITUTE(SUBSTITUTE(UPPER(TRIM(D668)),"Á","A"),"À","A"),"Â","A"),"Ã","A"),"É","E"),"Ê","E"),"Í","I"),"Ó","O"),"Ô","O"),"Õ","O"),"Ú","U"),"Ü","U"),"Ç","C"))</f>
        <v/>
      </c>
      <c r="G668" s="31" t="str">
        <f aca="false">IF(E668="","",IF(LEN(SUBSTITUTE(SUBSTITUTE(SUBSTITUTE(SUBSTITUTE(TRIM(E668),"*",""),".",""),"-","")," ",""))=11,MID(SUBSTITUTE(SUBSTITUTE(SUBSTITUTE(SUBSTITUTE(TRIM(E668),"*",""),".",""),"-","")," ",""),4,6),SUBSTITUTE(SUBSTITUTE(SUBSTITUTE(SUBSTITUTE(TRIM(E668),"*",""),".",""),"-","")," ","")))</f>
        <v/>
      </c>
      <c r="H668" s="31" t="str">
        <f aca="false">IF(OR(F668="",G668=""),"",F668&amp;"|"&amp;G668)</f>
        <v/>
      </c>
      <c r="I668" s="23"/>
      <c r="J668" s="22"/>
      <c r="K668" s="22"/>
      <c r="L668" s="25" t="str">
        <f aca="false">IF(F668="","",IF(AND(H668&lt;&gt;"",COUNTIF(Pessoas!$E:$E,H668)&gt;0),"SIM",IF(COUNTIF(Pessoas!$C:$C,F668)&gt;0,"nome igual em Pessoas: confira o CPF","")))</f>
        <v/>
      </c>
      <c r="M668" s="24"/>
      <c r="N668" s="11"/>
    </row>
    <row r="669" customFormat="false" ht="15" hidden="false" customHeight="false" outlineLevel="0" collapsed="false">
      <c r="A669" s="24"/>
      <c r="B669" s="31" t="str">
        <f aca="false">IF(A669="","",IF(LEN(UPPER(SUBSTITUTE(SUBSTITUTE(SUBSTITUTE(SUBSTITUTE(TRIM(A669),".",""),"/",""),"-","")," ","")))&lt;14,RIGHT(REPT("0",14)&amp;UPPER(SUBSTITUTE(SUBSTITUTE(SUBSTITUTE(SUBSTITUTE(TRIM(A669),".",""),"/",""),"-","")," ","")),14),UPPER(SUBSTITUTE(SUBSTITUTE(SUBSTITUTE(SUBSTITUTE(TRIM(A669),".",""),"/",""),"-","")," ",""))))</f>
        <v/>
      </c>
      <c r="C669" s="25" t="str">
        <f aca="false">IF(B669="","",IFERROR(INDEX(Empresas!$C:$C,MATCH(B669,Empresas!$B:$B,0)),"cadastre o CNPJ em Empresas"))</f>
        <v/>
      </c>
      <c r="D669" s="23"/>
      <c r="E669" s="24"/>
      <c r="F669" s="31" t="str">
        <f aca="false">IF(D669="","",SUBSTITUTE(SUBSTITUTE(SUBSTITUTE(SUBSTITUTE(SUBSTITUTE(SUBSTITUTE(SUBSTITUTE(SUBSTITUTE(SUBSTITUTE(SUBSTITUTE(SUBSTITUTE(SUBSTITUTE(SUBSTITUTE(UPPER(TRIM(D669)),"Á","A"),"À","A"),"Â","A"),"Ã","A"),"É","E"),"Ê","E"),"Í","I"),"Ó","O"),"Ô","O"),"Õ","O"),"Ú","U"),"Ü","U"),"Ç","C"))</f>
        <v/>
      </c>
      <c r="G669" s="31" t="str">
        <f aca="false">IF(E669="","",IF(LEN(SUBSTITUTE(SUBSTITUTE(SUBSTITUTE(SUBSTITUTE(TRIM(E669),"*",""),".",""),"-","")," ",""))=11,MID(SUBSTITUTE(SUBSTITUTE(SUBSTITUTE(SUBSTITUTE(TRIM(E669),"*",""),".",""),"-","")," ",""),4,6),SUBSTITUTE(SUBSTITUTE(SUBSTITUTE(SUBSTITUTE(TRIM(E669),"*",""),".",""),"-","")," ","")))</f>
        <v/>
      </c>
      <c r="H669" s="31" t="str">
        <f aca="false">IF(OR(F669="",G669=""),"",F669&amp;"|"&amp;G669)</f>
        <v/>
      </c>
      <c r="I669" s="23"/>
      <c r="J669" s="22"/>
      <c r="K669" s="22"/>
      <c r="L669" s="25" t="str">
        <f aca="false">IF(F669="","",IF(AND(H669&lt;&gt;"",COUNTIF(Pessoas!$E:$E,H669)&gt;0),"SIM",IF(COUNTIF(Pessoas!$C:$C,F669)&gt;0,"nome igual em Pessoas: confira o CPF","")))</f>
        <v/>
      </c>
      <c r="M669" s="24"/>
      <c r="N669" s="11"/>
    </row>
    <row r="670" customFormat="false" ht="15" hidden="false" customHeight="false" outlineLevel="0" collapsed="false">
      <c r="A670" s="24"/>
      <c r="B670" s="31" t="str">
        <f aca="false">IF(A670="","",IF(LEN(UPPER(SUBSTITUTE(SUBSTITUTE(SUBSTITUTE(SUBSTITUTE(TRIM(A670),".",""),"/",""),"-","")," ","")))&lt;14,RIGHT(REPT("0",14)&amp;UPPER(SUBSTITUTE(SUBSTITUTE(SUBSTITUTE(SUBSTITUTE(TRIM(A670),".",""),"/",""),"-","")," ","")),14),UPPER(SUBSTITUTE(SUBSTITUTE(SUBSTITUTE(SUBSTITUTE(TRIM(A670),".",""),"/",""),"-","")," ",""))))</f>
        <v/>
      </c>
      <c r="C670" s="25" t="str">
        <f aca="false">IF(B670="","",IFERROR(INDEX(Empresas!$C:$C,MATCH(B670,Empresas!$B:$B,0)),"cadastre o CNPJ em Empresas"))</f>
        <v/>
      </c>
      <c r="D670" s="23"/>
      <c r="E670" s="24"/>
      <c r="F670" s="31" t="str">
        <f aca="false">IF(D670="","",SUBSTITUTE(SUBSTITUTE(SUBSTITUTE(SUBSTITUTE(SUBSTITUTE(SUBSTITUTE(SUBSTITUTE(SUBSTITUTE(SUBSTITUTE(SUBSTITUTE(SUBSTITUTE(SUBSTITUTE(SUBSTITUTE(UPPER(TRIM(D670)),"Á","A"),"À","A"),"Â","A"),"Ã","A"),"É","E"),"Ê","E"),"Í","I"),"Ó","O"),"Ô","O"),"Õ","O"),"Ú","U"),"Ü","U"),"Ç","C"))</f>
        <v/>
      </c>
      <c r="G670" s="31" t="str">
        <f aca="false">IF(E670="","",IF(LEN(SUBSTITUTE(SUBSTITUTE(SUBSTITUTE(SUBSTITUTE(TRIM(E670),"*",""),".",""),"-","")," ",""))=11,MID(SUBSTITUTE(SUBSTITUTE(SUBSTITUTE(SUBSTITUTE(TRIM(E670),"*",""),".",""),"-","")," ",""),4,6),SUBSTITUTE(SUBSTITUTE(SUBSTITUTE(SUBSTITUTE(TRIM(E670),"*",""),".",""),"-","")," ","")))</f>
        <v/>
      </c>
      <c r="H670" s="31" t="str">
        <f aca="false">IF(OR(F670="",G670=""),"",F670&amp;"|"&amp;G670)</f>
        <v/>
      </c>
      <c r="I670" s="23"/>
      <c r="J670" s="22"/>
      <c r="K670" s="22"/>
      <c r="L670" s="25" t="str">
        <f aca="false">IF(F670="","",IF(AND(H670&lt;&gt;"",COUNTIF(Pessoas!$E:$E,H670)&gt;0),"SIM",IF(COUNTIF(Pessoas!$C:$C,F670)&gt;0,"nome igual em Pessoas: confira o CPF","")))</f>
        <v/>
      </c>
      <c r="M670" s="24"/>
      <c r="N670" s="11"/>
    </row>
    <row r="671" customFormat="false" ht="15" hidden="false" customHeight="false" outlineLevel="0" collapsed="false">
      <c r="A671" s="24"/>
      <c r="B671" s="31" t="str">
        <f aca="false">IF(A671="","",IF(LEN(UPPER(SUBSTITUTE(SUBSTITUTE(SUBSTITUTE(SUBSTITUTE(TRIM(A671),".",""),"/",""),"-","")," ","")))&lt;14,RIGHT(REPT("0",14)&amp;UPPER(SUBSTITUTE(SUBSTITUTE(SUBSTITUTE(SUBSTITUTE(TRIM(A671),".",""),"/",""),"-","")," ","")),14),UPPER(SUBSTITUTE(SUBSTITUTE(SUBSTITUTE(SUBSTITUTE(TRIM(A671),".",""),"/",""),"-","")," ",""))))</f>
        <v/>
      </c>
      <c r="C671" s="25" t="str">
        <f aca="false">IF(B671="","",IFERROR(INDEX(Empresas!$C:$C,MATCH(B671,Empresas!$B:$B,0)),"cadastre o CNPJ em Empresas"))</f>
        <v/>
      </c>
      <c r="D671" s="23"/>
      <c r="E671" s="24"/>
      <c r="F671" s="31" t="str">
        <f aca="false">IF(D671="","",SUBSTITUTE(SUBSTITUTE(SUBSTITUTE(SUBSTITUTE(SUBSTITUTE(SUBSTITUTE(SUBSTITUTE(SUBSTITUTE(SUBSTITUTE(SUBSTITUTE(SUBSTITUTE(SUBSTITUTE(SUBSTITUTE(UPPER(TRIM(D671)),"Á","A"),"À","A"),"Â","A"),"Ã","A"),"É","E"),"Ê","E"),"Í","I"),"Ó","O"),"Ô","O"),"Õ","O"),"Ú","U"),"Ü","U"),"Ç","C"))</f>
        <v/>
      </c>
      <c r="G671" s="31" t="str">
        <f aca="false">IF(E671="","",IF(LEN(SUBSTITUTE(SUBSTITUTE(SUBSTITUTE(SUBSTITUTE(TRIM(E671),"*",""),".",""),"-","")," ",""))=11,MID(SUBSTITUTE(SUBSTITUTE(SUBSTITUTE(SUBSTITUTE(TRIM(E671),"*",""),".",""),"-","")," ",""),4,6),SUBSTITUTE(SUBSTITUTE(SUBSTITUTE(SUBSTITUTE(TRIM(E671),"*",""),".",""),"-","")," ","")))</f>
        <v/>
      </c>
      <c r="H671" s="31" t="str">
        <f aca="false">IF(OR(F671="",G671=""),"",F671&amp;"|"&amp;G671)</f>
        <v/>
      </c>
      <c r="I671" s="23"/>
      <c r="J671" s="22"/>
      <c r="K671" s="22"/>
      <c r="L671" s="25" t="str">
        <f aca="false">IF(F671="","",IF(AND(H671&lt;&gt;"",COUNTIF(Pessoas!$E:$E,H671)&gt;0),"SIM",IF(COUNTIF(Pessoas!$C:$C,F671)&gt;0,"nome igual em Pessoas: confira o CPF","")))</f>
        <v/>
      </c>
      <c r="M671" s="24"/>
      <c r="N671" s="11"/>
    </row>
    <row r="672" customFormat="false" ht="15" hidden="false" customHeight="false" outlineLevel="0" collapsed="false">
      <c r="A672" s="24"/>
      <c r="B672" s="31" t="str">
        <f aca="false">IF(A672="","",IF(LEN(UPPER(SUBSTITUTE(SUBSTITUTE(SUBSTITUTE(SUBSTITUTE(TRIM(A672),".",""),"/",""),"-","")," ","")))&lt;14,RIGHT(REPT("0",14)&amp;UPPER(SUBSTITUTE(SUBSTITUTE(SUBSTITUTE(SUBSTITUTE(TRIM(A672),".",""),"/",""),"-","")," ","")),14),UPPER(SUBSTITUTE(SUBSTITUTE(SUBSTITUTE(SUBSTITUTE(TRIM(A672),".",""),"/",""),"-","")," ",""))))</f>
        <v/>
      </c>
      <c r="C672" s="25" t="str">
        <f aca="false">IF(B672="","",IFERROR(INDEX(Empresas!$C:$C,MATCH(B672,Empresas!$B:$B,0)),"cadastre o CNPJ em Empresas"))</f>
        <v/>
      </c>
      <c r="D672" s="23"/>
      <c r="E672" s="24"/>
      <c r="F672" s="31" t="str">
        <f aca="false">IF(D672="","",SUBSTITUTE(SUBSTITUTE(SUBSTITUTE(SUBSTITUTE(SUBSTITUTE(SUBSTITUTE(SUBSTITUTE(SUBSTITUTE(SUBSTITUTE(SUBSTITUTE(SUBSTITUTE(SUBSTITUTE(SUBSTITUTE(UPPER(TRIM(D672)),"Á","A"),"À","A"),"Â","A"),"Ã","A"),"É","E"),"Ê","E"),"Í","I"),"Ó","O"),"Ô","O"),"Õ","O"),"Ú","U"),"Ü","U"),"Ç","C"))</f>
        <v/>
      </c>
      <c r="G672" s="31" t="str">
        <f aca="false">IF(E672="","",IF(LEN(SUBSTITUTE(SUBSTITUTE(SUBSTITUTE(SUBSTITUTE(TRIM(E672),"*",""),".",""),"-","")," ",""))=11,MID(SUBSTITUTE(SUBSTITUTE(SUBSTITUTE(SUBSTITUTE(TRIM(E672),"*",""),".",""),"-","")," ",""),4,6),SUBSTITUTE(SUBSTITUTE(SUBSTITUTE(SUBSTITUTE(TRIM(E672),"*",""),".",""),"-","")," ","")))</f>
        <v/>
      </c>
      <c r="H672" s="31" t="str">
        <f aca="false">IF(OR(F672="",G672=""),"",F672&amp;"|"&amp;G672)</f>
        <v/>
      </c>
      <c r="I672" s="23"/>
      <c r="J672" s="22"/>
      <c r="K672" s="22"/>
      <c r="L672" s="25" t="str">
        <f aca="false">IF(F672="","",IF(AND(H672&lt;&gt;"",COUNTIF(Pessoas!$E:$E,H672)&gt;0),"SIM",IF(COUNTIF(Pessoas!$C:$C,F672)&gt;0,"nome igual em Pessoas: confira o CPF","")))</f>
        <v/>
      </c>
      <c r="M672" s="24"/>
      <c r="N672" s="11"/>
    </row>
    <row r="673" customFormat="false" ht="15" hidden="false" customHeight="false" outlineLevel="0" collapsed="false">
      <c r="A673" s="24"/>
      <c r="B673" s="31" t="str">
        <f aca="false">IF(A673="","",IF(LEN(UPPER(SUBSTITUTE(SUBSTITUTE(SUBSTITUTE(SUBSTITUTE(TRIM(A673),".",""),"/",""),"-","")," ","")))&lt;14,RIGHT(REPT("0",14)&amp;UPPER(SUBSTITUTE(SUBSTITUTE(SUBSTITUTE(SUBSTITUTE(TRIM(A673),".",""),"/",""),"-","")," ","")),14),UPPER(SUBSTITUTE(SUBSTITUTE(SUBSTITUTE(SUBSTITUTE(TRIM(A673),".",""),"/",""),"-","")," ",""))))</f>
        <v/>
      </c>
      <c r="C673" s="25" t="str">
        <f aca="false">IF(B673="","",IFERROR(INDEX(Empresas!$C:$C,MATCH(B673,Empresas!$B:$B,0)),"cadastre o CNPJ em Empresas"))</f>
        <v/>
      </c>
      <c r="D673" s="23"/>
      <c r="E673" s="24"/>
      <c r="F673" s="31" t="str">
        <f aca="false">IF(D673="","",SUBSTITUTE(SUBSTITUTE(SUBSTITUTE(SUBSTITUTE(SUBSTITUTE(SUBSTITUTE(SUBSTITUTE(SUBSTITUTE(SUBSTITUTE(SUBSTITUTE(SUBSTITUTE(SUBSTITUTE(SUBSTITUTE(UPPER(TRIM(D673)),"Á","A"),"À","A"),"Â","A"),"Ã","A"),"É","E"),"Ê","E"),"Í","I"),"Ó","O"),"Ô","O"),"Õ","O"),"Ú","U"),"Ü","U"),"Ç","C"))</f>
        <v/>
      </c>
      <c r="G673" s="31" t="str">
        <f aca="false">IF(E673="","",IF(LEN(SUBSTITUTE(SUBSTITUTE(SUBSTITUTE(SUBSTITUTE(TRIM(E673),"*",""),".",""),"-","")," ",""))=11,MID(SUBSTITUTE(SUBSTITUTE(SUBSTITUTE(SUBSTITUTE(TRIM(E673),"*",""),".",""),"-","")," ",""),4,6),SUBSTITUTE(SUBSTITUTE(SUBSTITUTE(SUBSTITUTE(TRIM(E673),"*",""),".",""),"-","")," ","")))</f>
        <v/>
      </c>
      <c r="H673" s="31" t="str">
        <f aca="false">IF(OR(F673="",G673=""),"",F673&amp;"|"&amp;G673)</f>
        <v/>
      </c>
      <c r="I673" s="23"/>
      <c r="J673" s="22"/>
      <c r="K673" s="22"/>
      <c r="L673" s="25" t="str">
        <f aca="false">IF(F673="","",IF(AND(H673&lt;&gt;"",COUNTIF(Pessoas!$E:$E,H673)&gt;0),"SIM",IF(COUNTIF(Pessoas!$C:$C,F673)&gt;0,"nome igual em Pessoas: confira o CPF","")))</f>
        <v/>
      </c>
      <c r="M673" s="24"/>
      <c r="N673" s="11"/>
    </row>
    <row r="674" customFormat="false" ht="15" hidden="false" customHeight="false" outlineLevel="0" collapsed="false">
      <c r="A674" s="24"/>
      <c r="B674" s="31" t="str">
        <f aca="false">IF(A674="","",IF(LEN(UPPER(SUBSTITUTE(SUBSTITUTE(SUBSTITUTE(SUBSTITUTE(TRIM(A674),".",""),"/",""),"-","")," ","")))&lt;14,RIGHT(REPT("0",14)&amp;UPPER(SUBSTITUTE(SUBSTITUTE(SUBSTITUTE(SUBSTITUTE(TRIM(A674),".",""),"/",""),"-","")," ","")),14),UPPER(SUBSTITUTE(SUBSTITUTE(SUBSTITUTE(SUBSTITUTE(TRIM(A674),".",""),"/",""),"-","")," ",""))))</f>
        <v/>
      </c>
      <c r="C674" s="25" t="str">
        <f aca="false">IF(B674="","",IFERROR(INDEX(Empresas!$C:$C,MATCH(B674,Empresas!$B:$B,0)),"cadastre o CNPJ em Empresas"))</f>
        <v/>
      </c>
      <c r="D674" s="23"/>
      <c r="E674" s="24"/>
      <c r="F674" s="31" t="str">
        <f aca="false">IF(D674="","",SUBSTITUTE(SUBSTITUTE(SUBSTITUTE(SUBSTITUTE(SUBSTITUTE(SUBSTITUTE(SUBSTITUTE(SUBSTITUTE(SUBSTITUTE(SUBSTITUTE(SUBSTITUTE(SUBSTITUTE(SUBSTITUTE(UPPER(TRIM(D674)),"Á","A"),"À","A"),"Â","A"),"Ã","A"),"É","E"),"Ê","E"),"Í","I"),"Ó","O"),"Ô","O"),"Õ","O"),"Ú","U"),"Ü","U"),"Ç","C"))</f>
        <v/>
      </c>
      <c r="G674" s="31" t="str">
        <f aca="false">IF(E674="","",IF(LEN(SUBSTITUTE(SUBSTITUTE(SUBSTITUTE(SUBSTITUTE(TRIM(E674),"*",""),".",""),"-","")," ",""))=11,MID(SUBSTITUTE(SUBSTITUTE(SUBSTITUTE(SUBSTITUTE(TRIM(E674),"*",""),".",""),"-","")," ",""),4,6),SUBSTITUTE(SUBSTITUTE(SUBSTITUTE(SUBSTITUTE(TRIM(E674),"*",""),".",""),"-","")," ","")))</f>
        <v/>
      </c>
      <c r="H674" s="31" t="str">
        <f aca="false">IF(OR(F674="",G674=""),"",F674&amp;"|"&amp;G674)</f>
        <v/>
      </c>
      <c r="I674" s="23"/>
      <c r="J674" s="22"/>
      <c r="K674" s="22"/>
      <c r="L674" s="25" t="str">
        <f aca="false">IF(F674="","",IF(AND(H674&lt;&gt;"",COUNTIF(Pessoas!$E:$E,H674)&gt;0),"SIM",IF(COUNTIF(Pessoas!$C:$C,F674)&gt;0,"nome igual em Pessoas: confira o CPF","")))</f>
        <v/>
      </c>
      <c r="M674" s="24"/>
      <c r="N674" s="11"/>
    </row>
    <row r="675" customFormat="false" ht="15" hidden="false" customHeight="false" outlineLevel="0" collapsed="false">
      <c r="A675" s="24"/>
      <c r="B675" s="31" t="str">
        <f aca="false">IF(A675="","",IF(LEN(UPPER(SUBSTITUTE(SUBSTITUTE(SUBSTITUTE(SUBSTITUTE(TRIM(A675),".",""),"/",""),"-","")," ","")))&lt;14,RIGHT(REPT("0",14)&amp;UPPER(SUBSTITUTE(SUBSTITUTE(SUBSTITUTE(SUBSTITUTE(TRIM(A675),".",""),"/",""),"-","")," ","")),14),UPPER(SUBSTITUTE(SUBSTITUTE(SUBSTITUTE(SUBSTITUTE(TRIM(A675),".",""),"/",""),"-","")," ",""))))</f>
        <v/>
      </c>
      <c r="C675" s="25" t="str">
        <f aca="false">IF(B675="","",IFERROR(INDEX(Empresas!$C:$C,MATCH(B675,Empresas!$B:$B,0)),"cadastre o CNPJ em Empresas"))</f>
        <v/>
      </c>
      <c r="D675" s="23"/>
      <c r="E675" s="24"/>
      <c r="F675" s="31" t="str">
        <f aca="false">IF(D675="","",SUBSTITUTE(SUBSTITUTE(SUBSTITUTE(SUBSTITUTE(SUBSTITUTE(SUBSTITUTE(SUBSTITUTE(SUBSTITUTE(SUBSTITUTE(SUBSTITUTE(SUBSTITUTE(SUBSTITUTE(SUBSTITUTE(UPPER(TRIM(D675)),"Á","A"),"À","A"),"Â","A"),"Ã","A"),"É","E"),"Ê","E"),"Í","I"),"Ó","O"),"Ô","O"),"Õ","O"),"Ú","U"),"Ü","U"),"Ç","C"))</f>
        <v/>
      </c>
      <c r="G675" s="31" t="str">
        <f aca="false">IF(E675="","",IF(LEN(SUBSTITUTE(SUBSTITUTE(SUBSTITUTE(SUBSTITUTE(TRIM(E675),"*",""),".",""),"-","")," ",""))=11,MID(SUBSTITUTE(SUBSTITUTE(SUBSTITUTE(SUBSTITUTE(TRIM(E675),"*",""),".",""),"-","")," ",""),4,6),SUBSTITUTE(SUBSTITUTE(SUBSTITUTE(SUBSTITUTE(TRIM(E675),"*",""),".",""),"-","")," ","")))</f>
        <v/>
      </c>
      <c r="H675" s="31" t="str">
        <f aca="false">IF(OR(F675="",G675=""),"",F675&amp;"|"&amp;G675)</f>
        <v/>
      </c>
      <c r="I675" s="23"/>
      <c r="J675" s="22"/>
      <c r="K675" s="22"/>
      <c r="L675" s="25" t="str">
        <f aca="false">IF(F675="","",IF(AND(H675&lt;&gt;"",COUNTIF(Pessoas!$E:$E,H675)&gt;0),"SIM",IF(COUNTIF(Pessoas!$C:$C,F675)&gt;0,"nome igual em Pessoas: confira o CPF","")))</f>
        <v/>
      </c>
      <c r="M675" s="24"/>
      <c r="N675" s="11"/>
    </row>
    <row r="676" customFormat="false" ht="15" hidden="false" customHeight="false" outlineLevel="0" collapsed="false">
      <c r="A676" s="24"/>
      <c r="B676" s="31" t="str">
        <f aca="false">IF(A676="","",IF(LEN(UPPER(SUBSTITUTE(SUBSTITUTE(SUBSTITUTE(SUBSTITUTE(TRIM(A676),".",""),"/",""),"-","")," ","")))&lt;14,RIGHT(REPT("0",14)&amp;UPPER(SUBSTITUTE(SUBSTITUTE(SUBSTITUTE(SUBSTITUTE(TRIM(A676),".",""),"/",""),"-","")," ","")),14),UPPER(SUBSTITUTE(SUBSTITUTE(SUBSTITUTE(SUBSTITUTE(TRIM(A676),".",""),"/",""),"-","")," ",""))))</f>
        <v/>
      </c>
      <c r="C676" s="25" t="str">
        <f aca="false">IF(B676="","",IFERROR(INDEX(Empresas!$C:$C,MATCH(B676,Empresas!$B:$B,0)),"cadastre o CNPJ em Empresas"))</f>
        <v/>
      </c>
      <c r="D676" s="23"/>
      <c r="E676" s="24"/>
      <c r="F676" s="31" t="str">
        <f aca="false">IF(D676="","",SUBSTITUTE(SUBSTITUTE(SUBSTITUTE(SUBSTITUTE(SUBSTITUTE(SUBSTITUTE(SUBSTITUTE(SUBSTITUTE(SUBSTITUTE(SUBSTITUTE(SUBSTITUTE(SUBSTITUTE(SUBSTITUTE(UPPER(TRIM(D676)),"Á","A"),"À","A"),"Â","A"),"Ã","A"),"É","E"),"Ê","E"),"Í","I"),"Ó","O"),"Ô","O"),"Õ","O"),"Ú","U"),"Ü","U"),"Ç","C"))</f>
        <v/>
      </c>
      <c r="G676" s="31" t="str">
        <f aca="false">IF(E676="","",IF(LEN(SUBSTITUTE(SUBSTITUTE(SUBSTITUTE(SUBSTITUTE(TRIM(E676),"*",""),".",""),"-","")," ",""))=11,MID(SUBSTITUTE(SUBSTITUTE(SUBSTITUTE(SUBSTITUTE(TRIM(E676),"*",""),".",""),"-","")," ",""),4,6),SUBSTITUTE(SUBSTITUTE(SUBSTITUTE(SUBSTITUTE(TRIM(E676),"*",""),".",""),"-","")," ","")))</f>
        <v/>
      </c>
      <c r="H676" s="31" t="str">
        <f aca="false">IF(OR(F676="",G676=""),"",F676&amp;"|"&amp;G676)</f>
        <v/>
      </c>
      <c r="I676" s="23"/>
      <c r="J676" s="22"/>
      <c r="K676" s="22"/>
      <c r="L676" s="25" t="str">
        <f aca="false">IF(F676="","",IF(AND(H676&lt;&gt;"",COUNTIF(Pessoas!$E:$E,H676)&gt;0),"SIM",IF(COUNTIF(Pessoas!$C:$C,F676)&gt;0,"nome igual em Pessoas: confira o CPF","")))</f>
        <v/>
      </c>
      <c r="M676" s="24"/>
      <c r="N676" s="11"/>
    </row>
    <row r="677" customFormat="false" ht="15" hidden="false" customHeight="false" outlineLevel="0" collapsed="false">
      <c r="A677" s="24"/>
      <c r="B677" s="31" t="str">
        <f aca="false">IF(A677="","",IF(LEN(UPPER(SUBSTITUTE(SUBSTITUTE(SUBSTITUTE(SUBSTITUTE(TRIM(A677),".",""),"/",""),"-","")," ","")))&lt;14,RIGHT(REPT("0",14)&amp;UPPER(SUBSTITUTE(SUBSTITUTE(SUBSTITUTE(SUBSTITUTE(TRIM(A677),".",""),"/",""),"-","")," ","")),14),UPPER(SUBSTITUTE(SUBSTITUTE(SUBSTITUTE(SUBSTITUTE(TRIM(A677),".",""),"/",""),"-","")," ",""))))</f>
        <v/>
      </c>
      <c r="C677" s="25" t="str">
        <f aca="false">IF(B677="","",IFERROR(INDEX(Empresas!$C:$C,MATCH(B677,Empresas!$B:$B,0)),"cadastre o CNPJ em Empresas"))</f>
        <v/>
      </c>
      <c r="D677" s="23"/>
      <c r="E677" s="24"/>
      <c r="F677" s="31" t="str">
        <f aca="false">IF(D677="","",SUBSTITUTE(SUBSTITUTE(SUBSTITUTE(SUBSTITUTE(SUBSTITUTE(SUBSTITUTE(SUBSTITUTE(SUBSTITUTE(SUBSTITUTE(SUBSTITUTE(SUBSTITUTE(SUBSTITUTE(SUBSTITUTE(UPPER(TRIM(D677)),"Á","A"),"À","A"),"Â","A"),"Ã","A"),"É","E"),"Ê","E"),"Í","I"),"Ó","O"),"Ô","O"),"Õ","O"),"Ú","U"),"Ü","U"),"Ç","C"))</f>
        <v/>
      </c>
      <c r="G677" s="31" t="str">
        <f aca="false">IF(E677="","",IF(LEN(SUBSTITUTE(SUBSTITUTE(SUBSTITUTE(SUBSTITUTE(TRIM(E677),"*",""),".",""),"-","")," ",""))=11,MID(SUBSTITUTE(SUBSTITUTE(SUBSTITUTE(SUBSTITUTE(TRIM(E677),"*",""),".",""),"-","")," ",""),4,6),SUBSTITUTE(SUBSTITUTE(SUBSTITUTE(SUBSTITUTE(TRIM(E677),"*",""),".",""),"-","")," ","")))</f>
        <v/>
      </c>
      <c r="H677" s="31" t="str">
        <f aca="false">IF(OR(F677="",G677=""),"",F677&amp;"|"&amp;G677)</f>
        <v/>
      </c>
      <c r="I677" s="23"/>
      <c r="J677" s="22"/>
      <c r="K677" s="22"/>
      <c r="L677" s="25" t="str">
        <f aca="false">IF(F677="","",IF(AND(H677&lt;&gt;"",COUNTIF(Pessoas!$E:$E,H677)&gt;0),"SIM",IF(COUNTIF(Pessoas!$C:$C,F677)&gt;0,"nome igual em Pessoas: confira o CPF","")))</f>
        <v/>
      </c>
      <c r="M677" s="24"/>
      <c r="N677" s="11"/>
    </row>
    <row r="678" customFormat="false" ht="15" hidden="false" customHeight="false" outlineLevel="0" collapsed="false">
      <c r="A678" s="24"/>
      <c r="B678" s="31" t="str">
        <f aca="false">IF(A678="","",IF(LEN(UPPER(SUBSTITUTE(SUBSTITUTE(SUBSTITUTE(SUBSTITUTE(TRIM(A678),".",""),"/",""),"-","")," ","")))&lt;14,RIGHT(REPT("0",14)&amp;UPPER(SUBSTITUTE(SUBSTITUTE(SUBSTITUTE(SUBSTITUTE(TRIM(A678),".",""),"/",""),"-","")," ","")),14),UPPER(SUBSTITUTE(SUBSTITUTE(SUBSTITUTE(SUBSTITUTE(TRIM(A678),".",""),"/",""),"-","")," ",""))))</f>
        <v/>
      </c>
      <c r="C678" s="25" t="str">
        <f aca="false">IF(B678="","",IFERROR(INDEX(Empresas!$C:$C,MATCH(B678,Empresas!$B:$B,0)),"cadastre o CNPJ em Empresas"))</f>
        <v/>
      </c>
      <c r="D678" s="23"/>
      <c r="E678" s="24"/>
      <c r="F678" s="31" t="str">
        <f aca="false">IF(D678="","",SUBSTITUTE(SUBSTITUTE(SUBSTITUTE(SUBSTITUTE(SUBSTITUTE(SUBSTITUTE(SUBSTITUTE(SUBSTITUTE(SUBSTITUTE(SUBSTITUTE(SUBSTITUTE(SUBSTITUTE(SUBSTITUTE(UPPER(TRIM(D678)),"Á","A"),"À","A"),"Â","A"),"Ã","A"),"É","E"),"Ê","E"),"Í","I"),"Ó","O"),"Ô","O"),"Õ","O"),"Ú","U"),"Ü","U"),"Ç","C"))</f>
        <v/>
      </c>
      <c r="G678" s="31" t="str">
        <f aca="false">IF(E678="","",IF(LEN(SUBSTITUTE(SUBSTITUTE(SUBSTITUTE(SUBSTITUTE(TRIM(E678),"*",""),".",""),"-","")," ",""))=11,MID(SUBSTITUTE(SUBSTITUTE(SUBSTITUTE(SUBSTITUTE(TRIM(E678),"*",""),".",""),"-","")," ",""),4,6),SUBSTITUTE(SUBSTITUTE(SUBSTITUTE(SUBSTITUTE(TRIM(E678),"*",""),".",""),"-","")," ","")))</f>
        <v/>
      </c>
      <c r="H678" s="31" t="str">
        <f aca="false">IF(OR(F678="",G678=""),"",F678&amp;"|"&amp;G678)</f>
        <v/>
      </c>
      <c r="I678" s="23"/>
      <c r="J678" s="22"/>
      <c r="K678" s="22"/>
      <c r="L678" s="25" t="str">
        <f aca="false">IF(F678="","",IF(AND(H678&lt;&gt;"",COUNTIF(Pessoas!$E:$E,H678)&gt;0),"SIM",IF(COUNTIF(Pessoas!$C:$C,F678)&gt;0,"nome igual em Pessoas: confira o CPF","")))</f>
        <v/>
      </c>
      <c r="M678" s="24"/>
      <c r="N678" s="11"/>
    </row>
    <row r="679" customFormat="false" ht="15" hidden="false" customHeight="false" outlineLevel="0" collapsed="false">
      <c r="A679" s="24"/>
      <c r="B679" s="31" t="str">
        <f aca="false">IF(A679="","",IF(LEN(UPPER(SUBSTITUTE(SUBSTITUTE(SUBSTITUTE(SUBSTITUTE(TRIM(A679),".",""),"/",""),"-","")," ","")))&lt;14,RIGHT(REPT("0",14)&amp;UPPER(SUBSTITUTE(SUBSTITUTE(SUBSTITUTE(SUBSTITUTE(TRIM(A679),".",""),"/",""),"-","")," ","")),14),UPPER(SUBSTITUTE(SUBSTITUTE(SUBSTITUTE(SUBSTITUTE(TRIM(A679),".",""),"/",""),"-","")," ",""))))</f>
        <v/>
      </c>
      <c r="C679" s="25" t="str">
        <f aca="false">IF(B679="","",IFERROR(INDEX(Empresas!$C:$C,MATCH(B679,Empresas!$B:$B,0)),"cadastre o CNPJ em Empresas"))</f>
        <v/>
      </c>
      <c r="D679" s="23"/>
      <c r="E679" s="24"/>
      <c r="F679" s="31" t="str">
        <f aca="false">IF(D679="","",SUBSTITUTE(SUBSTITUTE(SUBSTITUTE(SUBSTITUTE(SUBSTITUTE(SUBSTITUTE(SUBSTITUTE(SUBSTITUTE(SUBSTITUTE(SUBSTITUTE(SUBSTITUTE(SUBSTITUTE(SUBSTITUTE(UPPER(TRIM(D679)),"Á","A"),"À","A"),"Â","A"),"Ã","A"),"É","E"),"Ê","E"),"Í","I"),"Ó","O"),"Ô","O"),"Õ","O"),"Ú","U"),"Ü","U"),"Ç","C"))</f>
        <v/>
      </c>
      <c r="G679" s="31" t="str">
        <f aca="false">IF(E679="","",IF(LEN(SUBSTITUTE(SUBSTITUTE(SUBSTITUTE(SUBSTITUTE(TRIM(E679),"*",""),".",""),"-","")," ",""))=11,MID(SUBSTITUTE(SUBSTITUTE(SUBSTITUTE(SUBSTITUTE(TRIM(E679),"*",""),".",""),"-","")," ",""),4,6),SUBSTITUTE(SUBSTITUTE(SUBSTITUTE(SUBSTITUTE(TRIM(E679),"*",""),".",""),"-","")," ","")))</f>
        <v/>
      </c>
      <c r="H679" s="31" t="str">
        <f aca="false">IF(OR(F679="",G679=""),"",F679&amp;"|"&amp;G679)</f>
        <v/>
      </c>
      <c r="I679" s="23"/>
      <c r="J679" s="22"/>
      <c r="K679" s="22"/>
      <c r="L679" s="25" t="str">
        <f aca="false">IF(F679="","",IF(AND(H679&lt;&gt;"",COUNTIF(Pessoas!$E:$E,H679)&gt;0),"SIM",IF(COUNTIF(Pessoas!$C:$C,F679)&gt;0,"nome igual em Pessoas: confira o CPF","")))</f>
        <v/>
      </c>
      <c r="M679" s="24"/>
      <c r="N679" s="11"/>
    </row>
    <row r="680" customFormat="false" ht="15" hidden="false" customHeight="false" outlineLevel="0" collapsed="false">
      <c r="A680" s="24"/>
      <c r="B680" s="31" t="str">
        <f aca="false">IF(A680="","",IF(LEN(UPPER(SUBSTITUTE(SUBSTITUTE(SUBSTITUTE(SUBSTITUTE(TRIM(A680),".",""),"/",""),"-","")," ","")))&lt;14,RIGHT(REPT("0",14)&amp;UPPER(SUBSTITUTE(SUBSTITUTE(SUBSTITUTE(SUBSTITUTE(TRIM(A680),".",""),"/",""),"-","")," ","")),14),UPPER(SUBSTITUTE(SUBSTITUTE(SUBSTITUTE(SUBSTITUTE(TRIM(A680),".",""),"/",""),"-","")," ",""))))</f>
        <v/>
      </c>
      <c r="C680" s="25" t="str">
        <f aca="false">IF(B680="","",IFERROR(INDEX(Empresas!$C:$C,MATCH(B680,Empresas!$B:$B,0)),"cadastre o CNPJ em Empresas"))</f>
        <v/>
      </c>
      <c r="D680" s="23"/>
      <c r="E680" s="24"/>
      <c r="F680" s="31" t="str">
        <f aca="false">IF(D680="","",SUBSTITUTE(SUBSTITUTE(SUBSTITUTE(SUBSTITUTE(SUBSTITUTE(SUBSTITUTE(SUBSTITUTE(SUBSTITUTE(SUBSTITUTE(SUBSTITUTE(SUBSTITUTE(SUBSTITUTE(SUBSTITUTE(UPPER(TRIM(D680)),"Á","A"),"À","A"),"Â","A"),"Ã","A"),"É","E"),"Ê","E"),"Í","I"),"Ó","O"),"Ô","O"),"Õ","O"),"Ú","U"),"Ü","U"),"Ç","C"))</f>
        <v/>
      </c>
      <c r="G680" s="31" t="str">
        <f aca="false">IF(E680="","",IF(LEN(SUBSTITUTE(SUBSTITUTE(SUBSTITUTE(SUBSTITUTE(TRIM(E680),"*",""),".",""),"-","")," ",""))=11,MID(SUBSTITUTE(SUBSTITUTE(SUBSTITUTE(SUBSTITUTE(TRIM(E680),"*",""),".",""),"-","")," ",""),4,6),SUBSTITUTE(SUBSTITUTE(SUBSTITUTE(SUBSTITUTE(TRIM(E680),"*",""),".",""),"-","")," ","")))</f>
        <v/>
      </c>
      <c r="H680" s="31" t="str">
        <f aca="false">IF(OR(F680="",G680=""),"",F680&amp;"|"&amp;G680)</f>
        <v/>
      </c>
      <c r="I680" s="23"/>
      <c r="J680" s="22"/>
      <c r="K680" s="22"/>
      <c r="L680" s="25" t="str">
        <f aca="false">IF(F680="","",IF(AND(H680&lt;&gt;"",COUNTIF(Pessoas!$E:$E,H680)&gt;0),"SIM",IF(COUNTIF(Pessoas!$C:$C,F680)&gt;0,"nome igual em Pessoas: confira o CPF","")))</f>
        <v/>
      </c>
      <c r="M680" s="24"/>
      <c r="N680" s="11"/>
    </row>
    <row r="681" customFormat="false" ht="15" hidden="false" customHeight="false" outlineLevel="0" collapsed="false">
      <c r="A681" s="24"/>
      <c r="B681" s="31" t="str">
        <f aca="false">IF(A681="","",IF(LEN(UPPER(SUBSTITUTE(SUBSTITUTE(SUBSTITUTE(SUBSTITUTE(TRIM(A681),".",""),"/",""),"-","")," ","")))&lt;14,RIGHT(REPT("0",14)&amp;UPPER(SUBSTITUTE(SUBSTITUTE(SUBSTITUTE(SUBSTITUTE(TRIM(A681),".",""),"/",""),"-","")," ","")),14),UPPER(SUBSTITUTE(SUBSTITUTE(SUBSTITUTE(SUBSTITUTE(TRIM(A681),".",""),"/",""),"-","")," ",""))))</f>
        <v/>
      </c>
      <c r="C681" s="25" t="str">
        <f aca="false">IF(B681="","",IFERROR(INDEX(Empresas!$C:$C,MATCH(B681,Empresas!$B:$B,0)),"cadastre o CNPJ em Empresas"))</f>
        <v/>
      </c>
      <c r="D681" s="23"/>
      <c r="E681" s="24"/>
      <c r="F681" s="31" t="str">
        <f aca="false">IF(D681="","",SUBSTITUTE(SUBSTITUTE(SUBSTITUTE(SUBSTITUTE(SUBSTITUTE(SUBSTITUTE(SUBSTITUTE(SUBSTITUTE(SUBSTITUTE(SUBSTITUTE(SUBSTITUTE(SUBSTITUTE(SUBSTITUTE(UPPER(TRIM(D681)),"Á","A"),"À","A"),"Â","A"),"Ã","A"),"É","E"),"Ê","E"),"Í","I"),"Ó","O"),"Ô","O"),"Õ","O"),"Ú","U"),"Ü","U"),"Ç","C"))</f>
        <v/>
      </c>
      <c r="G681" s="31" t="str">
        <f aca="false">IF(E681="","",IF(LEN(SUBSTITUTE(SUBSTITUTE(SUBSTITUTE(SUBSTITUTE(TRIM(E681),"*",""),".",""),"-","")," ",""))=11,MID(SUBSTITUTE(SUBSTITUTE(SUBSTITUTE(SUBSTITUTE(TRIM(E681),"*",""),".",""),"-","")," ",""),4,6),SUBSTITUTE(SUBSTITUTE(SUBSTITUTE(SUBSTITUTE(TRIM(E681),"*",""),".",""),"-","")," ","")))</f>
        <v/>
      </c>
      <c r="H681" s="31" t="str">
        <f aca="false">IF(OR(F681="",G681=""),"",F681&amp;"|"&amp;G681)</f>
        <v/>
      </c>
      <c r="I681" s="23"/>
      <c r="J681" s="22"/>
      <c r="K681" s="22"/>
      <c r="L681" s="25" t="str">
        <f aca="false">IF(F681="","",IF(AND(H681&lt;&gt;"",COUNTIF(Pessoas!$E:$E,H681)&gt;0),"SIM",IF(COUNTIF(Pessoas!$C:$C,F681)&gt;0,"nome igual em Pessoas: confira o CPF","")))</f>
        <v/>
      </c>
      <c r="M681" s="24"/>
      <c r="N681" s="11"/>
    </row>
    <row r="682" customFormat="false" ht="15" hidden="false" customHeight="false" outlineLevel="0" collapsed="false">
      <c r="A682" s="24"/>
      <c r="B682" s="31" t="str">
        <f aca="false">IF(A682="","",IF(LEN(UPPER(SUBSTITUTE(SUBSTITUTE(SUBSTITUTE(SUBSTITUTE(TRIM(A682),".",""),"/",""),"-","")," ","")))&lt;14,RIGHT(REPT("0",14)&amp;UPPER(SUBSTITUTE(SUBSTITUTE(SUBSTITUTE(SUBSTITUTE(TRIM(A682),".",""),"/",""),"-","")," ","")),14),UPPER(SUBSTITUTE(SUBSTITUTE(SUBSTITUTE(SUBSTITUTE(TRIM(A682),".",""),"/",""),"-","")," ",""))))</f>
        <v/>
      </c>
      <c r="C682" s="25" t="str">
        <f aca="false">IF(B682="","",IFERROR(INDEX(Empresas!$C:$C,MATCH(B682,Empresas!$B:$B,0)),"cadastre o CNPJ em Empresas"))</f>
        <v/>
      </c>
      <c r="D682" s="23"/>
      <c r="E682" s="24"/>
      <c r="F682" s="31" t="str">
        <f aca="false">IF(D682="","",SUBSTITUTE(SUBSTITUTE(SUBSTITUTE(SUBSTITUTE(SUBSTITUTE(SUBSTITUTE(SUBSTITUTE(SUBSTITUTE(SUBSTITUTE(SUBSTITUTE(SUBSTITUTE(SUBSTITUTE(SUBSTITUTE(UPPER(TRIM(D682)),"Á","A"),"À","A"),"Â","A"),"Ã","A"),"É","E"),"Ê","E"),"Í","I"),"Ó","O"),"Ô","O"),"Õ","O"),"Ú","U"),"Ü","U"),"Ç","C"))</f>
        <v/>
      </c>
      <c r="G682" s="31" t="str">
        <f aca="false">IF(E682="","",IF(LEN(SUBSTITUTE(SUBSTITUTE(SUBSTITUTE(SUBSTITUTE(TRIM(E682),"*",""),".",""),"-","")," ",""))=11,MID(SUBSTITUTE(SUBSTITUTE(SUBSTITUTE(SUBSTITUTE(TRIM(E682),"*",""),".",""),"-","")," ",""),4,6),SUBSTITUTE(SUBSTITUTE(SUBSTITUTE(SUBSTITUTE(TRIM(E682),"*",""),".",""),"-","")," ","")))</f>
        <v/>
      </c>
      <c r="H682" s="31" t="str">
        <f aca="false">IF(OR(F682="",G682=""),"",F682&amp;"|"&amp;G682)</f>
        <v/>
      </c>
      <c r="I682" s="23"/>
      <c r="J682" s="22"/>
      <c r="K682" s="22"/>
      <c r="L682" s="25" t="str">
        <f aca="false">IF(F682="","",IF(AND(H682&lt;&gt;"",COUNTIF(Pessoas!$E:$E,H682)&gt;0),"SIM",IF(COUNTIF(Pessoas!$C:$C,F682)&gt;0,"nome igual em Pessoas: confira o CPF","")))</f>
        <v/>
      </c>
      <c r="M682" s="24"/>
      <c r="N682" s="11"/>
    </row>
    <row r="683" customFormat="false" ht="15" hidden="false" customHeight="false" outlineLevel="0" collapsed="false">
      <c r="A683" s="24"/>
      <c r="B683" s="31" t="str">
        <f aca="false">IF(A683="","",IF(LEN(UPPER(SUBSTITUTE(SUBSTITUTE(SUBSTITUTE(SUBSTITUTE(TRIM(A683),".",""),"/",""),"-","")," ","")))&lt;14,RIGHT(REPT("0",14)&amp;UPPER(SUBSTITUTE(SUBSTITUTE(SUBSTITUTE(SUBSTITUTE(TRIM(A683),".",""),"/",""),"-","")," ","")),14),UPPER(SUBSTITUTE(SUBSTITUTE(SUBSTITUTE(SUBSTITUTE(TRIM(A683),".",""),"/",""),"-","")," ",""))))</f>
        <v/>
      </c>
      <c r="C683" s="25" t="str">
        <f aca="false">IF(B683="","",IFERROR(INDEX(Empresas!$C:$C,MATCH(B683,Empresas!$B:$B,0)),"cadastre o CNPJ em Empresas"))</f>
        <v/>
      </c>
      <c r="D683" s="23"/>
      <c r="E683" s="24"/>
      <c r="F683" s="31" t="str">
        <f aca="false">IF(D683="","",SUBSTITUTE(SUBSTITUTE(SUBSTITUTE(SUBSTITUTE(SUBSTITUTE(SUBSTITUTE(SUBSTITUTE(SUBSTITUTE(SUBSTITUTE(SUBSTITUTE(SUBSTITUTE(SUBSTITUTE(SUBSTITUTE(UPPER(TRIM(D683)),"Á","A"),"À","A"),"Â","A"),"Ã","A"),"É","E"),"Ê","E"),"Í","I"),"Ó","O"),"Ô","O"),"Õ","O"),"Ú","U"),"Ü","U"),"Ç","C"))</f>
        <v/>
      </c>
      <c r="G683" s="31" t="str">
        <f aca="false">IF(E683="","",IF(LEN(SUBSTITUTE(SUBSTITUTE(SUBSTITUTE(SUBSTITUTE(TRIM(E683),"*",""),".",""),"-","")," ",""))=11,MID(SUBSTITUTE(SUBSTITUTE(SUBSTITUTE(SUBSTITUTE(TRIM(E683),"*",""),".",""),"-","")," ",""),4,6),SUBSTITUTE(SUBSTITUTE(SUBSTITUTE(SUBSTITUTE(TRIM(E683),"*",""),".",""),"-","")," ","")))</f>
        <v/>
      </c>
      <c r="H683" s="31" t="str">
        <f aca="false">IF(OR(F683="",G683=""),"",F683&amp;"|"&amp;G683)</f>
        <v/>
      </c>
      <c r="I683" s="23"/>
      <c r="J683" s="22"/>
      <c r="K683" s="22"/>
      <c r="L683" s="25" t="str">
        <f aca="false">IF(F683="","",IF(AND(H683&lt;&gt;"",COUNTIF(Pessoas!$E:$E,H683)&gt;0),"SIM",IF(COUNTIF(Pessoas!$C:$C,F683)&gt;0,"nome igual em Pessoas: confira o CPF","")))</f>
        <v/>
      </c>
      <c r="M683" s="24"/>
      <c r="N683" s="11"/>
    </row>
    <row r="684" customFormat="false" ht="15" hidden="false" customHeight="false" outlineLevel="0" collapsed="false">
      <c r="A684" s="24"/>
      <c r="B684" s="31" t="str">
        <f aca="false">IF(A684="","",IF(LEN(UPPER(SUBSTITUTE(SUBSTITUTE(SUBSTITUTE(SUBSTITUTE(TRIM(A684),".",""),"/",""),"-","")," ","")))&lt;14,RIGHT(REPT("0",14)&amp;UPPER(SUBSTITUTE(SUBSTITUTE(SUBSTITUTE(SUBSTITUTE(TRIM(A684),".",""),"/",""),"-","")," ","")),14),UPPER(SUBSTITUTE(SUBSTITUTE(SUBSTITUTE(SUBSTITUTE(TRIM(A684),".",""),"/",""),"-","")," ",""))))</f>
        <v/>
      </c>
      <c r="C684" s="25" t="str">
        <f aca="false">IF(B684="","",IFERROR(INDEX(Empresas!$C:$C,MATCH(B684,Empresas!$B:$B,0)),"cadastre o CNPJ em Empresas"))</f>
        <v/>
      </c>
      <c r="D684" s="23"/>
      <c r="E684" s="24"/>
      <c r="F684" s="31" t="str">
        <f aca="false">IF(D684="","",SUBSTITUTE(SUBSTITUTE(SUBSTITUTE(SUBSTITUTE(SUBSTITUTE(SUBSTITUTE(SUBSTITUTE(SUBSTITUTE(SUBSTITUTE(SUBSTITUTE(SUBSTITUTE(SUBSTITUTE(SUBSTITUTE(UPPER(TRIM(D684)),"Á","A"),"À","A"),"Â","A"),"Ã","A"),"É","E"),"Ê","E"),"Í","I"),"Ó","O"),"Ô","O"),"Õ","O"),"Ú","U"),"Ü","U"),"Ç","C"))</f>
        <v/>
      </c>
      <c r="G684" s="31" t="str">
        <f aca="false">IF(E684="","",IF(LEN(SUBSTITUTE(SUBSTITUTE(SUBSTITUTE(SUBSTITUTE(TRIM(E684),"*",""),".",""),"-","")," ",""))=11,MID(SUBSTITUTE(SUBSTITUTE(SUBSTITUTE(SUBSTITUTE(TRIM(E684),"*",""),".",""),"-","")," ",""),4,6),SUBSTITUTE(SUBSTITUTE(SUBSTITUTE(SUBSTITUTE(TRIM(E684),"*",""),".",""),"-","")," ","")))</f>
        <v/>
      </c>
      <c r="H684" s="31" t="str">
        <f aca="false">IF(OR(F684="",G684=""),"",F684&amp;"|"&amp;G684)</f>
        <v/>
      </c>
      <c r="I684" s="23"/>
      <c r="J684" s="22"/>
      <c r="K684" s="22"/>
      <c r="L684" s="25" t="str">
        <f aca="false">IF(F684="","",IF(AND(H684&lt;&gt;"",COUNTIF(Pessoas!$E:$E,H684)&gt;0),"SIM",IF(COUNTIF(Pessoas!$C:$C,F684)&gt;0,"nome igual em Pessoas: confira o CPF","")))</f>
        <v/>
      </c>
      <c r="M684" s="24"/>
      <c r="N684" s="11"/>
    </row>
    <row r="685" customFormat="false" ht="15" hidden="false" customHeight="false" outlineLevel="0" collapsed="false">
      <c r="A685" s="24"/>
      <c r="B685" s="31" t="str">
        <f aca="false">IF(A685="","",IF(LEN(UPPER(SUBSTITUTE(SUBSTITUTE(SUBSTITUTE(SUBSTITUTE(TRIM(A685),".",""),"/",""),"-","")," ","")))&lt;14,RIGHT(REPT("0",14)&amp;UPPER(SUBSTITUTE(SUBSTITUTE(SUBSTITUTE(SUBSTITUTE(TRIM(A685),".",""),"/",""),"-","")," ","")),14),UPPER(SUBSTITUTE(SUBSTITUTE(SUBSTITUTE(SUBSTITUTE(TRIM(A685),".",""),"/",""),"-","")," ",""))))</f>
        <v/>
      </c>
      <c r="C685" s="25" t="str">
        <f aca="false">IF(B685="","",IFERROR(INDEX(Empresas!$C:$C,MATCH(B685,Empresas!$B:$B,0)),"cadastre o CNPJ em Empresas"))</f>
        <v/>
      </c>
      <c r="D685" s="23"/>
      <c r="E685" s="24"/>
      <c r="F685" s="31" t="str">
        <f aca="false">IF(D685="","",SUBSTITUTE(SUBSTITUTE(SUBSTITUTE(SUBSTITUTE(SUBSTITUTE(SUBSTITUTE(SUBSTITUTE(SUBSTITUTE(SUBSTITUTE(SUBSTITUTE(SUBSTITUTE(SUBSTITUTE(SUBSTITUTE(UPPER(TRIM(D685)),"Á","A"),"À","A"),"Â","A"),"Ã","A"),"É","E"),"Ê","E"),"Í","I"),"Ó","O"),"Ô","O"),"Õ","O"),"Ú","U"),"Ü","U"),"Ç","C"))</f>
        <v/>
      </c>
      <c r="G685" s="31" t="str">
        <f aca="false">IF(E685="","",IF(LEN(SUBSTITUTE(SUBSTITUTE(SUBSTITUTE(SUBSTITUTE(TRIM(E685),"*",""),".",""),"-","")," ",""))=11,MID(SUBSTITUTE(SUBSTITUTE(SUBSTITUTE(SUBSTITUTE(TRIM(E685),"*",""),".",""),"-","")," ",""),4,6),SUBSTITUTE(SUBSTITUTE(SUBSTITUTE(SUBSTITUTE(TRIM(E685),"*",""),".",""),"-","")," ","")))</f>
        <v/>
      </c>
      <c r="H685" s="31" t="str">
        <f aca="false">IF(OR(F685="",G685=""),"",F685&amp;"|"&amp;G685)</f>
        <v/>
      </c>
      <c r="I685" s="23"/>
      <c r="J685" s="22"/>
      <c r="K685" s="22"/>
      <c r="L685" s="25" t="str">
        <f aca="false">IF(F685="","",IF(AND(H685&lt;&gt;"",COUNTIF(Pessoas!$E:$E,H685)&gt;0),"SIM",IF(COUNTIF(Pessoas!$C:$C,F685)&gt;0,"nome igual em Pessoas: confira o CPF","")))</f>
        <v/>
      </c>
      <c r="M685" s="24"/>
      <c r="N685" s="11"/>
    </row>
    <row r="686" customFormat="false" ht="15" hidden="false" customHeight="false" outlineLevel="0" collapsed="false">
      <c r="A686" s="24"/>
      <c r="B686" s="31" t="str">
        <f aca="false">IF(A686="","",IF(LEN(UPPER(SUBSTITUTE(SUBSTITUTE(SUBSTITUTE(SUBSTITUTE(TRIM(A686),".",""),"/",""),"-","")," ","")))&lt;14,RIGHT(REPT("0",14)&amp;UPPER(SUBSTITUTE(SUBSTITUTE(SUBSTITUTE(SUBSTITUTE(TRIM(A686),".",""),"/",""),"-","")," ","")),14),UPPER(SUBSTITUTE(SUBSTITUTE(SUBSTITUTE(SUBSTITUTE(TRIM(A686),".",""),"/",""),"-","")," ",""))))</f>
        <v/>
      </c>
      <c r="C686" s="25" t="str">
        <f aca="false">IF(B686="","",IFERROR(INDEX(Empresas!$C:$C,MATCH(B686,Empresas!$B:$B,0)),"cadastre o CNPJ em Empresas"))</f>
        <v/>
      </c>
      <c r="D686" s="23"/>
      <c r="E686" s="24"/>
      <c r="F686" s="31" t="str">
        <f aca="false">IF(D686="","",SUBSTITUTE(SUBSTITUTE(SUBSTITUTE(SUBSTITUTE(SUBSTITUTE(SUBSTITUTE(SUBSTITUTE(SUBSTITUTE(SUBSTITUTE(SUBSTITUTE(SUBSTITUTE(SUBSTITUTE(SUBSTITUTE(UPPER(TRIM(D686)),"Á","A"),"À","A"),"Â","A"),"Ã","A"),"É","E"),"Ê","E"),"Í","I"),"Ó","O"),"Ô","O"),"Õ","O"),"Ú","U"),"Ü","U"),"Ç","C"))</f>
        <v/>
      </c>
      <c r="G686" s="31" t="str">
        <f aca="false">IF(E686="","",IF(LEN(SUBSTITUTE(SUBSTITUTE(SUBSTITUTE(SUBSTITUTE(TRIM(E686),"*",""),".",""),"-","")," ",""))=11,MID(SUBSTITUTE(SUBSTITUTE(SUBSTITUTE(SUBSTITUTE(TRIM(E686),"*",""),".",""),"-","")," ",""),4,6),SUBSTITUTE(SUBSTITUTE(SUBSTITUTE(SUBSTITUTE(TRIM(E686),"*",""),".",""),"-","")," ","")))</f>
        <v/>
      </c>
      <c r="H686" s="31" t="str">
        <f aca="false">IF(OR(F686="",G686=""),"",F686&amp;"|"&amp;G686)</f>
        <v/>
      </c>
      <c r="I686" s="23"/>
      <c r="J686" s="22"/>
      <c r="K686" s="22"/>
      <c r="L686" s="25" t="str">
        <f aca="false">IF(F686="","",IF(AND(H686&lt;&gt;"",COUNTIF(Pessoas!$E:$E,H686)&gt;0),"SIM",IF(COUNTIF(Pessoas!$C:$C,F686)&gt;0,"nome igual em Pessoas: confira o CPF","")))</f>
        <v/>
      </c>
      <c r="M686" s="24"/>
      <c r="N686" s="11"/>
    </row>
    <row r="687" customFormat="false" ht="15" hidden="false" customHeight="false" outlineLevel="0" collapsed="false">
      <c r="A687" s="24"/>
      <c r="B687" s="31" t="str">
        <f aca="false">IF(A687="","",IF(LEN(UPPER(SUBSTITUTE(SUBSTITUTE(SUBSTITUTE(SUBSTITUTE(TRIM(A687),".",""),"/",""),"-","")," ","")))&lt;14,RIGHT(REPT("0",14)&amp;UPPER(SUBSTITUTE(SUBSTITUTE(SUBSTITUTE(SUBSTITUTE(TRIM(A687),".",""),"/",""),"-","")," ","")),14),UPPER(SUBSTITUTE(SUBSTITUTE(SUBSTITUTE(SUBSTITUTE(TRIM(A687),".",""),"/",""),"-","")," ",""))))</f>
        <v/>
      </c>
      <c r="C687" s="25" t="str">
        <f aca="false">IF(B687="","",IFERROR(INDEX(Empresas!$C:$C,MATCH(B687,Empresas!$B:$B,0)),"cadastre o CNPJ em Empresas"))</f>
        <v/>
      </c>
      <c r="D687" s="23"/>
      <c r="E687" s="24"/>
      <c r="F687" s="31" t="str">
        <f aca="false">IF(D687="","",SUBSTITUTE(SUBSTITUTE(SUBSTITUTE(SUBSTITUTE(SUBSTITUTE(SUBSTITUTE(SUBSTITUTE(SUBSTITUTE(SUBSTITUTE(SUBSTITUTE(SUBSTITUTE(SUBSTITUTE(SUBSTITUTE(UPPER(TRIM(D687)),"Á","A"),"À","A"),"Â","A"),"Ã","A"),"É","E"),"Ê","E"),"Í","I"),"Ó","O"),"Ô","O"),"Õ","O"),"Ú","U"),"Ü","U"),"Ç","C"))</f>
        <v/>
      </c>
      <c r="G687" s="31" t="str">
        <f aca="false">IF(E687="","",IF(LEN(SUBSTITUTE(SUBSTITUTE(SUBSTITUTE(SUBSTITUTE(TRIM(E687),"*",""),".",""),"-","")," ",""))=11,MID(SUBSTITUTE(SUBSTITUTE(SUBSTITUTE(SUBSTITUTE(TRIM(E687),"*",""),".",""),"-","")," ",""),4,6),SUBSTITUTE(SUBSTITUTE(SUBSTITUTE(SUBSTITUTE(TRIM(E687),"*",""),".",""),"-","")," ","")))</f>
        <v/>
      </c>
      <c r="H687" s="31" t="str">
        <f aca="false">IF(OR(F687="",G687=""),"",F687&amp;"|"&amp;G687)</f>
        <v/>
      </c>
      <c r="I687" s="23"/>
      <c r="J687" s="22"/>
      <c r="K687" s="22"/>
      <c r="L687" s="25" t="str">
        <f aca="false">IF(F687="","",IF(AND(H687&lt;&gt;"",COUNTIF(Pessoas!$E:$E,H687)&gt;0),"SIM",IF(COUNTIF(Pessoas!$C:$C,F687)&gt;0,"nome igual em Pessoas: confira o CPF","")))</f>
        <v/>
      </c>
      <c r="M687" s="24"/>
      <c r="N687" s="11"/>
    </row>
    <row r="688" customFormat="false" ht="15" hidden="false" customHeight="false" outlineLevel="0" collapsed="false">
      <c r="A688" s="24"/>
      <c r="B688" s="31" t="str">
        <f aca="false">IF(A688="","",IF(LEN(UPPER(SUBSTITUTE(SUBSTITUTE(SUBSTITUTE(SUBSTITUTE(TRIM(A688),".",""),"/",""),"-","")," ","")))&lt;14,RIGHT(REPT("0",14)&amp;UPPER(SUBSTITUTE(SUBSTITUTE(SUBSTITUTE(SUBSTITUTE(TRIM(A688),".",""),"/",""),"-","")," ","")),14),UPPER(SUBSTITUTE(SUBSTITUTE(SUBSTITUTE(SUBSTITUTE(TRIM(A688),".",""),"/",""),"-","")," ",""))))</f>
        <v/>
      </c>
      <c r="C688" s="25" t="str">
        <f aca="false">IF(B688="","",IFERROR(INDEX(Empresas!$C:$C,MATCH(B688,Empresas!$B:$B,0)),"cadastre o CNPJ em Empresas"))</f>
        <v/>
      </c>
      <c r="D688" s="23"/>
      <c r="E688" s="24"/>
      <c r="F688" s="31" t="str">
        <f aca="false">IF(D688="","",SUBSTITUTE(SUBSTITUTE(SUBSTITUTE(SUBSTITUTE(SUBSTITUTE(SUBSTITUTE(SUBSTITUTE(SUBSTITUTE(SUBSTITUTE(SUBSTITUTE(SUBSTITUTE(SUBSTITUTE(SUBSTITUTE(UPPER(TRIM(D688)),"Á","A"),"À","A"),"Â","A"),"Ã","A"),"É","E"),"Ê","E"),"Í","I"),"Ó","O"),"Ô","O"),"Õ","O"),"Ú","U"),"Ü","U"),"Ç","C"))</f>
        <v/>
      </c>
      <c r="G688" s="31" t="str">
        <f aca="false">IF(E688="","",IF(LEN(SUBSTITUTE(SUBSTITUTE(SUBSTITUTE(SUBSTITUTE(TRIM(E688),"*",""),".",""),"-","")," ",""))=11,MID(SUBSTITUTE(SUBSTITUTE(SUBSTITUTE(SUBSTITUTE(TRIM(E688),"*",""),".",""),"-","")," ",""),4,6),SUBSTITUTE(SUBSTITUTE(SUBSTITUTE(SUBSTITUTE(TRIM(E688),"*",""),".",""),"-","")," ","")))</f>
        <v/>
      </c>
      <c r="H688" s="31" t="str">
        <f aca="false">IF(OR(F688="",G688=""),"",F688&amp;"|"&amp;G688)</f>
        <v/>
      </c>
      <c r="I688" s="23"/>
      <c r="J688" s="22"/>
      <c r="K688" s="22"/>
      <c r="L688" s="25" t="str">
        <f aca="false">IF(F688="","",IF(AND(H688&lt;&gt;"",COUNTIF(Pessoas!$E:$E,H688)&gt;0),"SIM",IF(COUNTIF(Pessoas!$C:$C,F688)&gt;0,"nome igual em Pessoas: confira o CPF","")))</f>
        <v/>
      </c>
      <c r="M688" s="24"/>
      <c r="N688" s="11"/>
    </row>
    <row r="689" customFormat="false" ht="15" hidden="false" customHeight="false" outlineLevel="0" collapsed="false">
      <c r="A689" s="24"/>
      <c r="B689" s="31" t="str">
        <f aca="false">IF(A689="","",IF(LEN(UPPER(SUBSTITUTE(SUBSTITUTE(SUBSTITUTE(SUBSTITUTE(TRIM(A689),".",""),"/",""),"-","")," ","")))&lt;14,RIGHT(REPT("0",14)&amp;UPPER(SUBSTITUTE(SUBSTITUTE(SUBSTITUTE(SUBSTITUTE(TRIM(A689),".",""),"/",""),"-","")," ","")),14),UPPER(SUBSTITUTE(SUBSTITUTE(SUBSTITUTE(SUBSTITUTE(TRIM(A689),".",""),"/",""),"-","")," ",""))))</f>
        <v/>
      </c>
      <c r="C689" s="25" t="str">
        <f aca="false">IF(B689="","",IFERROR(INDEX(Empresas!$C:$C,MATCH(B689,Empresas!$B:$B,0)),"cadastre o CNPJ em Empresas"))</f>
        <v/>
      </c>
      <c r="D689" s="23"/>
      <c r="E689" s="24"/>
      <c r="F689" s="31" t="str">
        <f aca="false">IF(D689="","",SUBSTITUTE(SUBSTITUTE(SUBSTITUTE(SUBSTITUTE(SUBSTITUTE(SUBSTITUTE(SUBSTITUTE(SUBSTITUTE(SUBSTITUTE(SUBSTITUTE(SUBSTITUTE(SUBSTITUTE(SUBSTITUTE(UPPER(TRIM(D689)),"Á","A"),"À","A"),"Â","A"),"Ã","A"),"É","E"),"Ê","E"),"Í","I"),"Ó","O"),"Ô","O"),"Õ","O"),"Ú","U"),"Ü","U"),"Ç","C"))</f>
        <v/>
      </c>
      <c r="G689" s="31" t="str">
        <f aca="false">IF(E689="","",IF(LEN(SUBSTITUTE(SUBSTITUTE(SUBSTITUTE(SUBSTITUTE(TRIM(E689),"*",""),".",""),"-","")," ",""))=11,MID(SUBSTITUTE(SUBSTITUTE(SUBSTITUTE(SUBSTITUTE(TRIM(E689),"*",""),".",""),"-","")," ",""),4,6),SUBSTITUTE(SUBSTITUTE(SUBSTITUTE(SUBSTITUTE(TRIM(E689),"*",""),".",""),"-","")," ","")))</f>
        <v/>
      </c>
      <c r="H689" s="31" t="str">
        <f aca="false">IF(OR(F689="",G689=""),"",F689&amp;"|"&amp;G689)</f>
        <v/>
      </c>
      <c r="I689" s="23"/>
      <c r="J689" s="22"/>
      <c r="K689" s="22"/>
      <c r="L689" s="25" t="str">
        <f aca="false">IF(F689="","",IF(AND(H689&lt;&gt;"",COUNTIF(Pessoas!$E:$E,H689)&gt;0),"SIM",IF(COUNTIF(Pessoas!$C:$C,F689)&gt;0,"nome igual em Pessoas: confira o CPF","")))</f>
        <v/>
      </c>
      <c r="M689" s="24"/>
      <c r="N689" s="11"/>
    </row>
    <row r="690" customFormat="false" ht="15" hidden="false" customHeight="false" outlineLevel="0" collapsed="false">
      <c r="A690" s="24"/>
      <c r="B690" s="31" t="str">
        <f aca="false">IF(A690="","",IF(LEN(UPPER(SUBSTITUTE(SUBSTITUTE(SUBSTITUTE(SUBSTITUTE(TRIM(A690),".",""),"/",""),"-","")," ","")))&lt;14,RIGHT(REPT("0",14)&amp;UPPER(SUBSTITUTE(SUBSTITUTE(SUBSTITUTE(SUBSTITUTE(TRIM(A690),".",""),"/",""),"-","")," ","")),14),UPPER(SUBSTITUTE(SUBSTITUTE(SUBSTITUTE(SUBSTITUTE(TRIM(A690),".",""),"/",""),"-","")," ",""))))</f>
        <v/>
      </c>
      <c r="C690" s="25" t="str">
        <f aca="false">IF(B690="","",IFERROR(INDEX(Empresas!$C:$C,MATCH(B690,Empresas!$B:$B,0)),"cadastre o CNPJ em Empresas"))</f>
        <v/>
      </c>
      <c r="D690" s="23"/>
      <c r="E690" s="24"/>
      <c r="F690" s="31" t="str">
        <f aca="false">IF(D690="","",SUBSTITUTE(SUBSTITUTE(SUBSTITUTE(SUBSTITUTE(SUBSTITUTE(SUBSTITUTE(SUBSTITUTE(SUBSTITUTE(SUBSTITUTE(SUBSTITUTE(SUBSTITUTE(SUBSTITUTE(SUBSTITUTE(UPPER(TRIM(D690)),"Á","A"),"À","A"),"Â","A"),"Ã","A"),"É","E"),"Ê","E"),"Í","I"),"Ó","O"),"Ô","O"),"Õ","O"),"Ú","U"),"Ü","U"),"Ç","C"))</f>
        <v/>
      </c>
      <c r="G690" s="31" t="str">
        <f aca="false">IF(E690="","",IF(LEN(SUBSTITUTE(SUBSTITUTE(SUBSTITUTE(SUBSTITUTE(TRIM(E690),"*",""),".",""),"-","")," ",""))=11,MID(SUBSTITUTE(SUBSTITUTE(SUBSTITUTE(SUBSTITUTE(TRIM(E690),"*",""),".",""),"-","")," ",""),4,6),SUBSTITUTE(SUBSTITUTE(SUBSTITUTE(SUBSTITUTE(TRIM(E690),"*",""),".",""),"-","")," ","")))</f>
        <v/>
      </c>
      <c r="H690" s="31" t="str">
        <f aca="false">IF(OR(F690="",G690=""),"",F690&amp;"|"&amp;G690)</f>
        <v/>
      </c>
      <c r="I690" s="23"/>
      <c r="J690" s="22"/>
      <c r="K690" s="22"/>
      <c r="L690" s="25" t="str">
        <f aca="false">IF(F690="","",IF(AND(H690&lt;&gt;"",COUNTIF(Pessoas!$E:$E,H690)&gt;0),"SIM",IF(COUNTIF(Pessoas!$C:$C,F690)&gt;0,"nome igual em Pessoas: confira o CPF","")))</f>
        <v/>
      </c>
      <c r="M690" s="24"/>
      <c r="N690" s="11"/>
    </row>
    <row r="691" customFormat="false" ht="15" hidden="false" customHeight="false" outlineLevel="0" collapsed="false">
      <c r="A691" s="24"/>
      <c r="B691" s="31" t="str">
        <f aca="false">IF(A691="","",IF(LEN(UPPER(SUBSTITUTE(SUBSTITUTE(SUBSTITUTE(SUBSTITUTE(TRIM(A691),".",""),"/",""),"-","")," ","")))&lt;14,RIGHT(REPT("0",14)&amp;UPPER(SUBSTITUTE(SUBSTITUTE(SUBSTITUTE(SUBSTITUTE(TRIM(A691),".",""),"/",""),"-","")," ","")),14),UPPER(SUBSTITUTE(SUBSTITUTE(SUBSTITUTE(SUBSTITUTE(TRIM(A691),".",""),"/",""),"-","")," ",""))))</f>
        <v/>
      </c>
      <c r="C691" s="25" t="str">
        <f aca="false">IF(B691="","",IFERROR(INDEX(Empresas!$C:$C,MATCH(B691,Empresas!$B:$B,0)),"cadastre o CNPJ em Empresas"))</f>
        <v/>
      </c>
      <c r="D691" s="23"/>
      <c r="E691" s="24"/>
      <c r="F691" s="31" t="str">
        <f aca="false">IF(D691="","",SUBSTITUTE(SUBSTITUTE(SUBSTITUTE(SUBSTITUTE(SUBSTITUTE(SUBSTITUTE(SUBSTITUTE(SUBSTITUTE(SUBSTITUTE(SUBSTITUTE(SUBSTITUTE(SUBSTITUTE(SUBSTITUTE(UPPER(TRIM(D691)),"Á","A"),"À","A"),"Â","A"),"Ã","A"),"É","E"),"Ê","E"),"Í","I"),"Ó","O"),"Ô","O"),"Õ","O"),"Ú","U"),"Ü","U"),"Ç","C"))</f>
        <v/>
      </c>
      <c r="G691" s="31" t="str">
        <f aca="false">IF(E691="","",IF(LEN(SUBSTITUTE(SUBSTITUTE(SUBSTITUTE(SUBSTITUTE(TRIM(E691),"*",""),".",""),"-","")," ",""))=11,MID(SUBSTITUTE(SUBSTITUTE(SUBSTITUTE(SUBSTITUTE(TRIM(E691),"*",""),".",""),"-","")," ",""),4,6),SUBSTITUTE(SUBSTITUTE(SUBSTITUTE(SUBSTITUTE(TRIM(E691),"*",""),".",""),"-","")," ","")))</f>
        <v/>
      </c>
      <c r="H691" s="31" t="str">
        <f aca="false">IF(OR(F691="",G691=""),"",F691&amp;"|"&amp;G691)</f>
        <v/>
      </c>
      <c r="I691" s="23"/>
      <c r="J691" s="22"/>
      <c r="K691" s="22"/>
      <c r="L691" s="25" t="str">
        <f aca="false">IF(F691="","",IF(AND(H691&lt;&gt;"",COUNTIF(Pessoas!$E:$E,H691)&gt;0),"SIM",IF(COUNTIF(Pessoas!$C:$C,F691)&gt;0,"nome igual em Pessoas: confira o CPF","")))</f>
        <v/>
      </c>
      <c r="M691" s="24"/>
      <c r="N691" s="11"/>
    </row>
    <row r="692" customFormat="false" ht="15" hidden="false" customHeight="false" outlineLevel="0" collapsed="false">
      <c r="A692" s="24"/>
      <c r="B692" s="31" t="str">
        <f aca="false">IF(A692="","",IF(LEN(UPPER(SUBSTITUTE(SUBSTITUTE(SUBSTITUTE(SUBSTITUTE(TRIM(A692),".",""),"/",""),"-","")," ","")))&lt;14,RIGHT(REPT("0",14)&amp;UPPER(SUBSTITUTE(SUBSTITUTE(SUBSTITUTE(SUBSTITUTE(TRIM(A692),".",""),"/",""),"-","")," ","")),14),UPPER(SUBSTITUTE(SUBSTITUTE(SUBSTITUTE(SUBSTITUTE(TRIM(A692),".",""),"/",""),"-","")," ",""))))</f>
        <v/>
      </c>
      <c r="C692" s="25" t="str">
        <f aca="false">IF(B692="","",IFERROR(INDEX(Empresas!$C:$C,MATCH(B692,Empresas!$B:$B,0)),"cadastre o CNPJ em Empresas"))</f>
        <v/>
      </c>
      <c r="D692" s="23"/>
      <c r="E692" s="24"/>
      <c r="F692" s="31" t="str">
        <f aca="false">IF(D692="","",SUBSTITUTE(SUBSTITUTE(SUBSTITUTE(SUBSTITUTE(SUBSTITUTE(SUBSTITUTE(SUBSTITUTE(SUBSTITUTE(SUBSTITUTE(SUBSTITUTE(SUBSTITUTE(SUBSTITUTE(SUBSTITUTE(UPPER(TRIM(D692)),"Á","A"),"À","A"),"Â","A"),"Ã","A"),"É","E"),"Ê","E"),"Í","I"),"Ó","O"),"Ô","O"),"Õ","O"),"Ú","U"),"Ü","U"),"Ç","C"))</f>
        <v/>
      </c>
      <c r="G692" s="31" t="str">
        <f aca="false">IF(E692="","",IF(LEN(SUBSTITUTE(SUBSTITUTE(SUBSTITUTE(SUBSTITUTE(TRIM(E692),"*",""),".",""),"-","")," ",""))=11,MID(SUBSTITUTE(SUBSTITUTE(SUBSTITUTE(SUBSTITUTE(TRIM(E692),"*",""),".",""),"-","")," ",""),4,6),SUBSTITUTE(SUBSTITUTE(SUBSTITUTE(SUBSTITUTE(TRIM(E692),"*",""),".",""),"-","")," ","")))</f>
        <v/>
      </c>
      <c r="H692" s="31" t="str">
        <f aca="false">IF(OR(F692="",G692=""),"",F692&amp;"|"&amp;G692)</f>
        <v/>
      </c>
      <c r="I692" s="23"/>
      <c r="J692" s="22"/>
      <c r="K692" s="22"/>
      <c r="L692" s="25" t="str">
        <f aca="false">IF(F692="","",IF(AND(H692&lt;&gt;"",COUNTIF(Pessoas!$E:$E,H692)&gt;0),"SIM",IF(COUNTIF(Pessoas!$C:$C,F692)&gt;0,"nome igual em Pessoas: confira o CPF","")))</f>
        <v/>
      </c>
      <c r="M692" s="24"/>
      <c r="N692" s="11"/>
    </row>
    <row r="693" customFormat="false" ht="15" hidden="false" customHeight="false" outlineLevel="0" collapsed="false">
      <c r="A693" s="24"/>
      <c r="B693" s="31" t="str">
        <f aca="false">IF(A693="","",IF(LEN(UPPER(SUBSTITUTE(SUBSTITUTE(SUBSTITUTE(SUBSTITUTE(TRIM(A693),".",""),"/",""),"-","")," ","")))&lt;14,RIGHT(REPT("0",14)&amp;UPPER(SUBSTITUTE(SUBSTITUTE(SUBSTITUTE(SUBSTITUTE(TRIM(A693),".",""),"/",""),"-","")," ","")),14),UPPER(SUBSTITUTE(SUBSTITUTE(SUBSTITUTE(SUBSTITUTE(TRIM(A693),".",""),"/",""),"-","")," ",""))))</f>
        <v/>
      </c>
      <c r="C693" s="25" t="str">
        <f aca="false">IF(B693="","",IFERROR(INDEX(Empresas!$C:$C,MATCH(B693,Empresas!$B:$B,0)),"cadastre o CNPJ em Empresas"))</f>
        <v/>
      </c>
      <c r="D693" s="23"/>
      <c r="E693" s="24"/>
      <c r="F693" s="31" t="str">
        <f aca="false">IF(D693="","",SUBSTITUTE(SUBSTITUTE(SUBSTITUTE(SUBSTITUTE(SUBSTITUTE(SUBSTITUTE(SUBSTITUTE(SUBSTITUTE(SUBSTITUTE(SUBSTITUTE(SUBSTITUTE(SUBSTITUTE(SUBSTITUTE(UPPER(TRIM(D693)),"Á","A"),"À","A"),"Â","A"),"Ã","A"),"É","E"),"Ê","E"),"Í","I"),"Ó","O"),"Ô","O"),"Õ","O"),"Ú","U"),"Ü","U"),"Ç","C"))</f>
        <v/>
      </c>
      <c r="G693" s="31" t="str">
        <f aca="false">IF(E693="","",IF(LEN(SUBSTITUTE(SUBSTITUTE(SUBSTITUTE(SUBSTITUTE(TRIM(E693),"*",""),".",""),"-","")," ",""))=11,MID(SUBSTITUTE(SUBSTITUTE(SUBSTITUTE(SUBSTITUTE(TRIM(E693),"*",""),".",""),"-","")," ",""),4,6),SUBSTITUTE(SUBSTITUTE(SUBSTITUTE(SUBSTITUTE(TRIM(E693),"*",""),".",""),"-","")," ","")))</f>
        <v/>
      </c>
      <c r="H693" s="31" t="str">
        <f aca="false">IF(OR(F693="",G693=""),"",F693&amp;"|"&amp;G693)</f>
        <v/>
      </c>
      <c r="I693" s="23"/>
      <c r="J693" s="22"/>
      <c r="K693" s="22"/>
      <c r="L693" s="25" t="str">
        <f aca="false">IF(F693="","",IF(AND(H693&lt;&gt;"",COUNTIF(Pessoas!$E:$E,H693)&gt;0),"SIM",IF(COUNTIF(Pessoas!$C:$C,F693)&gt;0,"nome igual em Pessoas: confira o CPF","")))</f>
        <v/>
      </c>
      <c r="M693" s="24"/>
      <c r="N693" s="11"/>
    </row>
    <row r="694" customFormat="false" ht="15" hidden="false" customHeight="false" outlineLevel="0" collapsed="false">
      <c r="A694" s="24"/>
      <c r="B694" s="31" t="str">
        <f aca="false">IF(A694="","",IF(LEN(UPPER(SUBSTITUTE(SUBSTITUTE(SUBSTITUTE(SUBSTITUTE(TRIM(A694),".",""),"/",""),"-","")," ","")))&lt;14,RIGHT(REPT("0",14)&amp;UPPER(SUBSTITUTE(SUBSTITUTE(SUBSTITUTE(SUBSTITUTE(TRIM(A694),".",""),"/",""),"-","")," ","")),14),UPPER(SUBSTITUTE(SUBSTITUTE(SUBSTITUTE(SUBSTITUTE(TRIM(A694),".",""),"/",""),"-","")," ",""))))</f>
        <v/>
      </c>
      <c r="C694" s="25" t="str">
        <f aca="false">IF(B694="","",IFERROR(INDEX(Empresas!$C:$C,MATCH(B694,Empresas!$B:$B,0)),"cadastre o CNPJ em Empresas"))</f>
        <v/>
      </c>
      <c r="D694" s="23"/>
      <c r="E694" s="24"/>
      <c r="F694" s="31" t="str">
        <f aca="false">IF(D694="","",SUBSTITUTE(SUBSTITUTE(SUBSTITUTE(SUBSTITUTE(SUBSTITUTE(SUBSTITUTE(SUBSTITUTE(SUBSTITUTE(SUBSTITUTE(SUBSTITUTE(SUBSTITUTE(SUBSTITUTE(SUBSTITUTE(UPPER(TRIM(D694)),"Á","A"),"À","A"),"Â","A"),"Ã","A"),"É","E"),"Ê","E"),"Í","I"),"Ó","O"),"Ô","O"),"Õ","O"),"Ú","U"),"Ü","U"),"Ç","C"))</f>
        <v/>
      </c>
      <c r="G694" s="31" t="str">
        <f aca="false">IF(E694="","",IF(LEN(SUBSTITUTE(SUBSTITUTE(SUBSTITUTE(SUBSTITUTE(TRIM(E694),"*",""),".",""),"-","")," ",""))=11,MID(SUBSTITUTE(SUBSTITUTE(SUBSTITUTE(SUBSTITUTE(TRIM(E694),"*",""),".",""),"-","")," ",""),4,6),SUBSTITUTE(SUBSTITUTE(SUBSTITUTE(SUBSTITUTE(TRIM(E694),"*",""),".",""),"-","")," ","")))</f>
        <v/>
      </c>
      <c r="H694" s="31" t="str">
        <f aca="false">IF(OR(F694="",G694=""),"",F694&amp;"|"&amp;G694)</f>
        <v/>
      </c>
      <c r="I694" s="23"/>
      <c r="J694" s="22"/>
      <c r="K694" s="22"/>
      <c r="L694" s="25" t="str">
        <f aca="false">IF(F694="","",IF(AND(H694&lt;&gt;"",COUNTIF(Pessoas!$E:$E,H694)&gt;0),"SIM",IF(COUNTIF(Pessoas!$C:$C,F694)&gt;0,"nome igual em Pessoas: confira o CPF","")))</f>
        <v/>
      </c>
      <c r="M694" s="24"/>
      <c r="N694" s="11"/>
    </row>
    <row r="695" customFormat="false" ht="15" hidden="false" customHeight="false" outlineLevel="0" collapsed="false">
      <c r="A695" s="24"/>
      <c r="B695" s="31" t="str">
        <f aca="false">IF(A695="","",IF(LEN(UPPER(SUBSTITUTE(SUBSTITUTE(SUBSTITUTE(SUBSTITUTE(TRIM(A695),".",""),"/",""),"-","")," ","")))&lt;14,RIGHT(REPT("0",14)&amp;UPPER(SUBSTITUTE(SUBSTITUTE(SUBSTITUTE(SUBSTITUTE(TRIM(A695),".",""),"/",""),"-","")," ","")),14),UPPER(SUBSTITUTE(SUBSTITUTE(SUBSTITUTE(SUBSTITUTE(TRIM(A695),".",""),"/",""),"-","")," ",""))))</f>
        <v/>
      </c>
      <c r="C695" s="25" t="str">
        <f aca="false">IF(B695="","",IFERROR(INDEX(Empresas!$C:$C,MATCH(B695,Empresas!$B:$B,0)),"cadastre o CNPJ em Empresas"))</f>
        <v/>
      </c>
      <c r="D695" s="23"/>
      <c r="E695" s="24"/>
      <c r="F695" s="31" t="str">
        <f aca="false">IF(D695="","",SUBSTITUTE(SUBSTITUTE(SUBSTITUTE(SUBSTITUTE(SUBSTITUTE(SUBSTITUTE(SUBSTITUTE(SUBSTITUTE(SUBSTITUTE(SUBSTITUTE(SUBSTITUTE(SUBSTITUTE(SUBSTITUTE(UPPER(TRIM(D695)),"Á","A"),"À","A"),"Â","A"),"Ã","A"),"É","E"),"Ê","E"),"Í","I"),"Ó","O"),"Ô","O"),"Õ","O"),"Ú","U"),"Ü","U"),"Ç","C"))</f>
        <v/>
      </c>
      <c r="G695" s="31" t="str">
        <f aca="false">IF(E695="","",IF(LEN(SUBSTITUTE(SUBSTITUTE(SUBSTITUTE(SUBSTITUTE(TRIM(E695),"*",""),".",""),"-","")," ",""))=11,MID(SUBSTITUTE(SUBSTITUTE(SUBSTITUTE(SUBSTITUTE(TRIM(E695),"*",""),".",""),"-","")," ",""),4,6),SUBSTITUTE(SUBSTITUTE(SUBSTITUTE(SUBSTITUTE(TRIM(E695),"*",""),".",""),"-","")," ","")))</f>
        <v/>
      </c>
      <c r="H695" s="31" t="str">
        <f aca="false">IF(OR(F695="",G695=""),"",F695&amp;"|"&amp;G695)</f>
        <v/>
      </c>
      <c r="I695" s="23"/>
      <c r="J695" s="22"/>
      <c r="K695" s="22"/>
      <c r="L695" s="25" t="str">
        <f aca="false">IF(F695="","",IF(AND(H695&lt;&gt;"",COUNTIF(Pessoas!$E:$E,H695)&gt;0),"SIM",IF(COUNTIF(Pessoas!$C:$C,F695)&gt;0,"nome igual em Pessoas: confira o CPF","")))</f>
        <v/>
      </c>
      <c r="M695" s="24"/>
      <c r="N695" s="11"/>
    </row>
    <row r="696" customFormat="false" ht="15" hidden="false" customHeight="false" outlineLevel="0" collapsed="false">
      <c r="A696" s="24"/>
      <c r="B696" s="31" t="str">
        <f aca="false">IF(A696="","",IF(LEN(UPPER(SUBSTITUTE(SUBSTITUTE(SUBSTITUTE(SUBSTITUTE(TRIM(A696),".",""),"/",""),"-","")," ","")))&lt;14,RIGHT(REPT("0",14)&amp;UPPER(SUBSTITUTE(SUBSTITUTE(SUBSTITUTE(SUBSTITUTE(TRIM(A696),".",""),"/",""),"-","")," ","")),14),UPPER(SUBSTITUTE(SUBSTITUTE(SUBSTITUTE(SUBSTITUTE(TRIM(A696),".",""),"/",""),"-","")," ",""))))</f>
        <v/>
      </c>
      <c r="C696" s="25" t="str">
        <f aca="false">IF(B696="","",IFERROR(INDEX(Empresas!$C:$C,MATCH(B696,Empresas!$B:$B,0)),"cadastre o CNPJ em Empresas"))</f>
        <v/>
      </c>
      <c r="D696" s="23"/>
      <c r="E696" s="24"/>
      <c r="F696" s="31" t="str">
        <f aca="false">IF(D696="","",SUBSTITUTE(SUBSTITUTE(SUBSTITUTE(SUBSTITUTE(SUBSTITUTE(SUBSTITUTE(SUBSTITUTE(SUBSTITUTE(SUBSTITUTE(SUBSTITUTE(SUBSTITUTE(SUBSTITUTE(SUBSTITUTE(UPPER(TRIM(D696)),"Á","A"),"À","A"),"Â","A"),"Ã","A"),"É","E"),"Ê","E"),"Í","I"),"Ó","O"),"Ô","O"),"Õ","O"),"Ú","U"),"Ü","U"),"Ç","C"))</f>
        <v/>
      </c>
      <c r="G696" s="31" t="str">
        <f aca="false">IF(E696="","",IF(LEN(SUBSTITUTE(SUBSTITUTE(SUBSTITUTE(SUBSTITUTE(TRIM(E696),"*",""),".",""),"-","")," ",""))=11,MID(SUBSTITUTE(SUBSTITUTE(SUBSTITUTE(SUBSTITUTE(TRIM(E696),"*",""),".",""),"-","")," ",""),4,6),SUBSTITUTE(SUBSTITUTE(SUBSTITUTE(SUBSTITUTE(TRIM(E696),"*",""),".",""),"-","")," ","")))</f>
        <v/>
      </c>
      <c r="H696" s="31" t="str">
        <f aca="false">IF(OR(F696="",G696=""),"",F696&amp;"|"&amp;G696)</f>
        <v/>
      </c>
      <c r="I696" s="23"/>
      <c r="J696" s="22"/>
      <c r="K696" s="22"/>
      <c r="L696" s="25" t="str">
        <f aca="false">IF(F696="","",IF(AND(H696&lt;&gt;"",COUNTIF(Pessoas!$E:$E,H696)&gt;0),"SIM",IF(COUNTIF(Pessoas!$C:$C,F696)&gt;0,"nome igual em Pessoas: confira o CPF","")))</f>
        <v/>
      </c>
      <c r="M696" s="24"/>
      <c r="N696" s="11"/>
    </row>
    <row r="697" customFormat="false" ht="15" hidden="false" customHeight="false" outlineLevel="0" collapsed="false">
      <c r="A697" s="24"/>
      <c r="B697" s="31" t="str">
        <f aca="false">IF(A697="","",IF(LEN(UPPER(SUBSTITUTE(SUBSTITUTE(SUBSTITUTE(SUBSTITUTE(TRIM(A697),".",""),"/",""),"-","")," ","")))&lt;14,RIGHT(REPT("0",14)&amp;UPPER(SUBSTITUTE(SUBSTITUTE(SUBSTITUTE(SUBSTITUTE(TRIM(A697),".",""),"/",""),"-","")," ","")),14),UPPER(SUBSTITUTE(SUBSTITUTE(SUBSTITUTE(SUBSTITUTE(TRIM(A697),".",""),"/",""),"-","")," ",""))))</f>
        <v/>
      </c>
      <c r="C697" s="25" t="str">
        <f aca="false">IF(B697="","",IFERROR(INDEX(Empresas!$C:$C,MATCH(B697,Empresas!$B:$B,0)),"cadastre o CNPJ em Empresas"))</f>
        <v/>
      </c>
      <c r="D697" s="23"/>
      <c r="E697" s="24"/>
      <c r="F697" s="31" t="str">
        <f aca="false">IF(D697="","",SUBSTITUTE(SUBSTITUTE(SUBSTITUTE(SUBSTITUTE(SUBSTITUTE(SUBSTITUTE(SUBSTITUTE(SUBSTITUTE(SUBSTITUTE(SUBSTITUTE(SUBSTITUTE(SUBSTITUTE(SUBSTITUTE(UPPER(TRIM(D697)),"Á","A"),"À","A"),"Â","A"),"Ã","A"),"É","E"),"Ê","E"),"Í","I"),"Ó","O"),"Ô","O"),"Õ","O"),"Ú","U"),"Ü","U"),"Ç","C"))</f>
        <v/>
      </c>
      <c r="G697" s="31" t="str">
        <f aca="false">IF(E697="","",IF(LEN(SUBSTITUTE(SUBSTITUTE(SUBSTITUTE(SUBSTITUTE(TRIM(E697),"*",""),".",""),"-","")," ",""))=11,MID(SUBSTITUTE(SUBSTITUTE(SUBSTITUTE(SUBSTITUTE(TRIM(E697),"*",""),".",""),"-","")," ",""),4,6),SUBSTITUTE(SUBSTITUTE(SUBSTITUTE(SUBSTITUTE(TRIM(E697),"*",""),".",""),"-","")," ","")))</f>
        <v/>
      </c>
      <c r="H697" s="31" t="str">
        <f aca="false">IF(OR(F697="",G697=""),"",F697&amp;"|"&amp;G697)</f>
        <v/>
      </c>
      <c r="I697" s="23"/>
      <c r="J697" s="22"/>
      <c r="K697" s="22"/>
      <c r="L697" s="25" t="str">
        <f aca="false">IF(F697="","",IF(AND(H697&lt;&gt;"",COUNTIF(Pessoas!$E:$E,H697)&gt;0),"SIM",IF(COUNTIF(Pessoas!$C:$C,F697)&gt;0,"nome igual em Pessoas: confira o CPF","")))</f>
        <v/>
      </c>
      <c r="M697" s="24"/>
      <c r="N697" s="11"/>
    </row>
    <row r="698" customFormat="false" ht="15" hidden="false" customHeight="false" outlineLevel="0" collapsed="false">
      <c r="A698" s="24"/>
      <c r="B698" s="31" t="str">
        <f aca="false">IF(A698="","",IF(LEN(UPPER(SUBSTITUTE(SUBSTITUTE(SUBSTITUTE(SUBSTITUTE(TRIM(A698),".",""),"/",""),"-","")," ","")))&lt;14,RIGHT(REPT("0",14)&amp;UPPER(SUBSTITUTE(SUBSTITUTE(SUBSTITUTE(SUBSTITUTE(TRIM(A698),".",""),"/",""),"-","")," ","")),14),UPPER(SUBSTITUTE(SUBSTITUTE(SUBSTITUTE(SUBSTITUTE(TRIM(A698),".",""),"/",""),"-","")," ",""))))</f>
        <v/>
      </c>
      <c r="C698" s="25" t="str">
        <f aca="false">IF(B698="","",IFERROR(INDEX(Empresas!$C:$C,MATCH(B698,Empresas!$B:$B,0)),"cadastre o CNPJ em Empresas"))</f>
        <v/>
      </c>
      <c r="D698" s="23"/>
      <c r="E698" s="24"/>
      <c r="F698" s="31" t="str">
        <f aca="false">IF(D698="","",SUBSTITUTE(SUBSTITUTE(SUBSTITUTE(SUBSTITUTE(SUBSTITUTE(SUBSTITUTE(SUBSTITUTE(SUBSTITUTE(SUBSTITUTE(SUBSTITUTE(SUBSTITUTE(SUBSTITUTE(SUBSTITUTE(UPPER(TRIM(D698)),"Á","A"),"À","A"),"Â","A"),"Ã","A"),"É","E"),"Ê","E"),"Í","I"),"Ó","O"),"Ô","O"),"Õ","O"),"Ú","U"),"Ü","U"),"Ç","C"))</f>
        <v/>
      </c>
      <c r="G698" s="31" t="str">
        <f aca="false">IF(E698="","",IF(LEN(SUBSTITUTE(SUBSTITUTE(SUBSTITUTE(SUBSTITUTE(TRIM(E698),"*",""),".",""),"-","")," ",""))=11,MID(SUBSTITUTE(SUBSTITUTE(SUBSTITUTE(SUBSTITUTE(TRIM(E698),"*",""),".",""),"-","")," ",""),4,6),SUBSTITUTE(SUBSTITUTE(SUBSTITUTE(SUBSTITUTE(TRIM(E698),"*",""),".",""),"-","")," ","")))</f>
        <v/>
      </c>
      <c r="H698" s="31" t="str">
        <f aca="false">IF(OR(F698="",G698=""),"",F698&amp;"|"&amp;G698)</f>
        <v/>
      </c>
      <c r="I698" s="23"/>
      <c r="J698" s="22"/>
      <c r="K698" s="22"/>
      <c r="L698" s="25" t="str">
        <f aca="false">IF(F698="","",IF(AND(H698&lt;&gt;"",COUNTIF(Pessoas!$E:$E,H698)&gt;0),"SIM",IF(COUNTIF(Pessoas!$C:$C,F698)&gt;0,"nome igual em Pessoas: confira o CPF","")))</f>
        <v/>
      </c>
      <c r="M698" s="24"/>
      <c r="N698" s="11"/>
    </row>
    <row r="699" customFormat="false" ht="15" hidden="false" customHeight="false" outlineLevel="0" collapsed="false">
      <c r="A699" s="24"/>
      <c r="B699" s="31" t="str">
        <f aca="false">IF(A699="","",IF(LEN(UPPER(SUBSTITUTE(SUBSTITUTE(SUBSTITUTE(SUBSTITUTE(TRIM(A699),".",""),"/",""),"-","")," ","")))&lt;14,RIGHT(REPT("0",14)&amp;UPPER(SUBSTITUTE(SUBSTITUTE(SUBSTITUTE(SUBSTITUTE(TRIM(A699),".",""),"/",""),"-","")," ","")),14),UPPER(SUBSTITUTE(SUBSTITUTE(SUBSTITUTE(SUBSTITUTE(TRIM(A699),".",""),"/",""),"-","")," ",""))))</f>
        <v/>
      </c>
      <c r="C699" s="25" t="str">
        <f aca="false">IF(B699="","",IFERROR(INDEX(Empresas!$C:$C,MATCH(B699,Empresas!$B:$B,0)),"cadastre o CNPJ em Empresas"))</f>
        <v/>
      </c>
      <c r="D699" s="23"/>
      <c r="E699" s="24"/>
      <c r="F699" s="31" t="str">
        <f aca="false">IF(D699="","",SUBSTITUTE(SUBSTITUTE(SUBSTITUTE(SUBSTITUTE(SUBSTITUTE(SUBSTITUTE(SUBSTITUTE(SUBSTITUTE(SUBSTITUTE(SUBSTITUTE(SUBSTITUTE(SUBSTITUTE(SUBSTITUTE(UPPER(TRIM(D699)),"Á","A"),"À","A"),"Â","A"),"Ã","A"),"É","E"),"Ê","E"),"Í","I"),"Ó","O"),"Ô","O"),"Õ","O"),"Ú","U"),"Ü","U"),"Ç","C"))</f>
        <v/>
      </c>
      <c r="G699" s="31" t="str">
        <f aca="false">IF(E699="","",IF(LEN(SUBSTITUTE(SUBSTITUTE(SUBSTITUTE(SUBSTITUTE(TRIM(E699),"*",""),".",""),"-","")," ",""))=11,MID(SUBSTITUTE(SUBSTITUTE(SUBSTITUTE(SUBSTITUTE(TRIM(E699),"*",""),".",""),"-","")," ",""),4,6),SUBSTITUTE(SUBSTITUTE(SUBSTITUTE(SUBSTITUTE(TRIM(E699),"*",""),".",""),"-","")," ","")))</f>
        <v/>
      </c>
      <c r="H699" s="31" t="str">
        <f aca="false">IF(OR(F699="",G699=""),"",F699&amp;"|"&amp;G699)</f>
        <v/>
      </c>
      <c r="I699" s="23"/>
      <c r="J699" s="22"/>
      <c r="K699" s="22"/>
      <c r="L699" s="25" t="str">
        <f aca="false">IF(F699="","",IF(AND(H699&lt;&gt;"",COUNTIF(Pessoas!$E:$E,H699)&gt;0),"SIM",IF(COUNTIF(Pessoas!$C:$C,F699)&gt;0,"nome igual em Pessoas: confira o CPF","")))</f>
        <v/>
      </c>
      <c r="M699" s="24"/>
      <c r="N699" s="11"/>
    </row>
    <row r="700" customFormat="false" ht="15" hidden="false" customHeight="false" outlineLevel="0" collapsed="false">
      <c r="A700" s="24"/>
      <c r="B700" s="31" t="str">
        <f aca="false">IF(A700="","",IF(LEN(UPPER(SUBSTITUTE(SUBSTITUTE(SUBSTITUTE(SUBSTITUTE(TRIM(A700),".",""),"/",""),"-","")," ","")))&lt;14,RIGHT(REPT("0",14)&amp;UPPER(SUBSTITUTE(SUBSTITUTE(SUBSTITUTE(SUBSTITUTE(TRIM(A700),".",""),"/",""),"-","")," ","")),14),UPPER(SUBSTITUTE(SUBSTITUTE(SUBSTITUTE(SUBSTITUTE(TRIM(A700),".",""),"/",""),"-","")," ",""))))</f>
        <v/>
      </c>
      <c r="C700" s="25" t="str">
        <f aca="false">IF(B700="","",IFERROR(INDEX(Empresas!$C:$C,MATCH(B700,Empresas!$B:$B,0)),"cadastre o CNPJ em Empresas"))</f>
        <v/>
      </c>
      <c r="D700" s="23"/>
      <c r="E700" s="24"/>
      <c r="F700" s="31" t="str">
        <f aca="false">IF(D700="","",SUBSTITUTE(SUBSTITUTE(SUBSTITUTE(SUBSTITUTE(SUBSTITUTE(SUBSTITUTE(SUBSTITUTE(SUBSTITUTE(SUBSTITUTE(SUBSTITUTE(SUBSTITUTE(SUBSTITUTE(SUBSTITUTE(UPPER(TRIM(D700)),"Á","A"),"À","A"),"Â","A"),"Ã","A"),"É","E"),"Ê","E"),"Í","I"),"Ó","O"),"Ô","O"),"Õ","O"),"Ú","U"),"Ü","U"),"Ç","C"))</f>
        <v/>
      </c>
      <c r="G700" s="31" t="str">
        <f aca="false">IF(E700="","",IF(LEN(SUBSTITUTE(SUBSTITUTE(SUBSTITUTE(SUBSTITUTE(TRIM(E700),"*",""),".",""),"-","")," ",""))=11,MID(SUBSTITUTE(SUBSTITUTE(SUBSTITUTE(SUBSTITUTE(TRIM(E700),"*",""),".",""),"-","")," ",""),4,6),SUBSTITUTE(SUBSTITUTE(SUBSTITUTE(SUBSTITUTE(TRIM(E700),"*",""),".",""),"-","")," ","")))</f>
        <v/>
      </c>
      <c r="H700" s="31" t="str">
        <f aca="false">IF(OR(F700="",G700=""),"",F700&amp;"|"&amp;G700)</f>
        <v/>
      </c>
      <c r="I700" s="23"/>
      <c r="J700" s="22"/>
      <c r="K700" s="22"/>
      <c r="L700" s="25" t="str">
        <f aca="false">IF(F700="","",IF(AND(H700&lt;&gt;"",COUNTIF(Pessoas!$E:$E,H700)&gt;0),"SIM",IF(COUNTIF(Pessoas!$C:$C,F700)&gt;0,"nome igual em Pessoas: confira o CPF","")))</f>
        <v/>
      </c>
      <c r="M700" s="24"/>
      <c r="N700" s="11"/>
    </row>
    <row r="701" customFormat="false" ht="15" hidden="false" customHeight="false" outlineLevel="0" collapsed="false">
      <c r="A701" s="24"/>
      <c r="B701" s="31" t="str">
        <f aca="false">IF(A701="","",IF(LEN(UPPER(SUBSTITUTE(SUBSTITUTE(SUBSTITUTE(SUBSTITUTE(TRIM(A701),".",""),"/",""),"-","")," ","")))&lt;14,RIGHT(REPT("0",14)&amp;UPPER(SUBSTITUTE(SUBSTITUTE(SUBSTITUTE(SUBSTITUTE(TRIM(A701),".",""),"/",""),"-","")," ","")),14),UPPER(SUBSTITUTE(SUBSTITUTE(SUBSTITUTE(SUBSTITUTE(TRIM(A701),".",""),"/",""),"-","")," ",""))))</f>
        <v/>
      </c>
      <c r="C701" s="25" t="str">
        <f aca="false">IF(B701="","",IFERROR(INDEX(Empresas!$C:$C,MATCH(B701,Empresas!$B:$B,0)),"cadastre o CNPJ em Empresas"))</f>
        <v/>
      </c>
      <c r="D701" s="23"/>
      <c r="E701" s="24"/>
      <c r="F701" s="31" t="str">
        <f aca="false">IF(D701="","",SUBSTITUTE(SUBSTITUTE(SUBSTITUTE(SUBSTITUTE(SUBSTITUTE(SUBSTITUTE(SUBSTITUTE(SUBSTITUTE(SUBSTITUTE(SUBSTITUTE(SUBSTITUTE(SUBSTITUTE(SUBSTITUTE(UPPER(TRIM(D701)),"Á","A"),"À","A"),"Â","A"),"Ã","A"),"É","E"),"Ê","E"),"Í","I"),"Ó","O"),"Ô","O"),"Õ","O"),"Ú","U"),"Ü","U"),"Ç","C"))</f>
        <v/>
      </c>
      <c r="G701" s="31" t="str">
        <f aca="false">IF(E701="","",IF(LEN(SUBSTITUTE(SUBSTITUTE(SUBSTITUTE(SUBSTITUTE(TRIM(E701),"*",""),".",""),"-","")," ",""))=11,MID(SUBSTITUTE(SUBSTITUTE(SUBSTITUTE(SUBSTITUTE(TRIM(E701),"*",""),".",""),"-","")," ",""),4,6),SUBSTITUTE(SUBSTITUTE(SUBSTITUTE(SUBSTITUTE(TRIM(E701),"*",""),".",""),"-","")," ","")))</f>
        <v/>
      </c>
      <c r="H701" s="31" t="str">
        <f aca="false">IF(OR(F701="",G701=""),"",F701&amp;"|"&amp;G701)</f>
        <v/>
      </c>
      <c r="I701" s="23"/>
      <c r="J701" s="22"/>
      <c r="K701" s="22"/>
      <c r="L701" s="25" t="str">
        <f aca="false">IF(F701="","",IF(AND(H701&lt;&gt;"",COUNTIF(Pessoas!$E:$E,H701)&gt;0),"SIM",IF(COUNTIF(Pessoas!$C:$C,F701)&gt;0,"nome igual em Pessoas: confira o CPF","")))</f>
        <v/>
      </c>
      <c r="M701" s="24"/>
      <c r="N701" s="11"/>
    </row>
    <row r="702" customFormat="false" ht="15" hidden="false" customHeight="false" outlineLevel="0" collapsed="false">
      <c r="A702" s="24"/>
      <c r="B702" s="31" t="str">
        <f aca="false">IF(A702="","",IF(LEN(UPPER(SUBSTITUTE(SUBSTITUTE(SUBSTITUTE(SUBSTITUTE(TRIM(A702),".",""),"/",""),"-","")," ","")))&lt;14,RIGHT(REPT("0",14)&amp;UPPER(SUBSTITUTE(SUBSTITUTE(SUBSTITUTE(SUBSTITUTE(TRIM(A702),".",""),"/",""),"-","")," ","")),14),UPPER(SUBSTITUTE(SUBSTITUTE(SUBSTITUTE(SUBSTITUTE(TRIM(A702),".",""),"/",""),"-","")," ",""))))</f>
        <v/>
      </c>
      <c r="C702" s="25" t="str">
        <f aca="false">IF(B702="","",IFERROR(INDEX(Empresas!$C:$C,MATCH(B702,Empresas!$B:$B,0)),"cadastre o CNPJ em Empresas"))</f>
        <v/>
      </c>
      <c r="D702" s="23"/>
      <c r="E702" s="24"/>
      <c r="F702" s="31" t="str">
        <f aca="false">IF(D702="","",SUBSTITUTE(SUBSTITUTE(SUBSTITUTE(SUBSTITUTE(SUBSTITUTE(SUBSTITUTE(SUBSTITUTE(SUBSTITUTE(SUBSTITUTE(SUBSTITUTE(SUBSTITUTE(SUBSTITUTE(SUBSTITUTE(UPPER(TRIM(D702)),"Á","A"),"À","A"),"Â","A"),"Ã","A"),"É","E"),"Ê","E"),"Í","I"),"Ó","O"),"Ô","O"),"Õ","O"),"Ú","U"),"Ü","U"),"Ç","C"))</f>
        <v/>
      </c>
      <c r="G702" s="31" t="str">
        <f aca="false">IF(E702="","",IF(LEN(SUBSTITUTE(SUBSTITUTE(SUBSTITUTE(SUBSTITUTE(TRIM(E702),"*",""),".",""),"-","")," ",""))=11,MID(SUBSTITUTE(SUBSTITUTE(SUBSTITUTE(SUBSTITUTE(TRIM(E702),"*",""),".",""),"-","")," ",""),4,6),SUBSTITUTE(SUBSTITUTE(SUBSTITUTE(SUBSTITUTE(TRIM(E702),"*",""),".",""),"-","")," ","")))</f>
        <v/>
      </c>
      <c r="H702" s="31" t="str">
        <f aca="false">IF(OR(F702="",G702=""),"",F702&amp;"|"&amp;G702)</f>
        <v/>
      </c>
      <c r="I702" s="23"/>
      <c r="J702" s="22"/>
      <c r="K702" s="22"/>
      <c r="L702" s="25" t="str">
        <f aca="false">IF(F702="","",IF(AND(H702&lt;&gt;"",COUNTIF(Pessoas!$E:$E,H702)&gt;0),"SIM",IF(COUNTIF(Pessoas!$C:$C,F702)&gt;0,"nome igual em Pessoas: confira o CPF","")))</f>
        <v/>
      </c>
      <c r="M702" s="24"/>
      <c r="N702" s="11"/>
    </row>
    <row r="703" customFormat="false" ht="15" hidden="false" customHeight="false" outlineLevel="0" collapsed="false">
      <c r="A703" s="24"/>
      <c r="B703" s="31" t="str">
        <f aca="false">IF(A703="","",IF(LEN(UPPER(SUBSTITUTE(SUBSTITUTE(SUBSTITUTE(SUBSTITUTE(TRIM(A703),".",""),"/",""),"-","")," ","")))&lt;14,RIGHT(REPT("0",14)&amp;UPPER(SUBSTITUTE(SUBSTITUTE(SUBSTITUTE(SUBSTITUTE(TRIM(A703),".",""),"/",""),"-","")," ","")),14),UPPER(SUBSTITUTE(SUBSTITUTE(SUBSTITUTE(SUBSTITUTE(TRIM(A703),".",""),"/",""),"-","")," ",""))))</f>
        <v/>
      </c>
      <c r="C703" s="25" t="str">
        <f aca="false">IF(B703="","",IFERROR(INDEX(Empresas!$C:$C,MATCH(B703,Empresas!$B:$B,0)),"cadastre o CNPJ em Empresas"))</f>
        <v/>
      </c>
      <c r="D703" s="23"/>
      <c r="E703" s="24"/>
      <c r="F703" s="31" t="str">
        <f aca="false">IF(D703="","",SUBSTITUTE(SUBSTITUTE(SUBSTITUTE(SUBSTITUTE(SUBSTITUTE(SUBSTITUTE(SUBSTITUTE(SUBSTITUTE(SUBSTITUTE(SUBSTITUTE(SUBSTITUTE(SUBSTITUTE(SUBSTITUTE(UPPER(TRIM(D703)),"Á","A"),"À","A"),"Â","A"),"Ã","A"),"É","E"),"Ê","E"),"Í","I"),"Ó","O"),"Ô","O"),"Õ","O"),"Ú","U"),"Ü","U"),"Ç","C"))</f>
        <v/>
      </c>
      <c r="G703" s="31" t="str">
        <f aca="false">IF(E703="","",IF(LEN(SUBSTITUTE(SUBSTITUTE(SUBSTITUTE(SUBSTITUTE(TRIM(E703),"*",""),".",""),"-","")," ",""))=11,MID(SUBSTITUTE(SUBSTITUTE(SUBSTITUTE(SUBSTITUTE(TRIM(E703),"*",""),".",""),"-","")," ",""),4,6),SUBSTITUTE(SUBSTITUTE(SUBSTITUTE(SUBSTITUTE(TRIM(E703),"*",""),".",""),"-","")," ","")))</f>
        <v/>
      </c>
      <c r="H703" s="31" t="str">
        <f aca="false">IF(OR(F703="",G703=""),"",F703&amp;"|"&amp;G703)</f>
        <v/>
      </c>
      <c r="I703" s="23"/>
      <c r="J703" s="22"/>
      <c r="K703" s="22"/>
      <c r="L703" s="25" t="str">
        <f aca="false">IF(F703="","",IF(AND(H703&lt;&gt;"",COUNTIF(Pessoas!$E:$E,H703)&gt;0),"SIM",IF(COUNTIF(Pessoas!$C:$C,F703)&gt;0,"nome igual em Pessoas: confira o CPF","")))</f>
        <v/>
      </c>
      <c r="M703" s="24"/>
      <c r="N703" s="11"/>
    </row>
    <row r="704" customFormat="false" ht="15" hidden="false" customHeight="false" outlineLevel="0" collapsed="false">
      <c r="A704" s="24"/>
      <c r="B704" s="31" t="str">
        <f aca="false">IF(A704="","",IF(LEN(UPPER(SUBSTITUTE(SUBSTITUTE(SUBSTITUTE(SUBSTITUTE(TRIM(A704),".",""),"/",""),"-","")," ","")))&lt;14,RIGHT(REPT("0",14)&amp;UPPER(SUBSTITUTE(SUBSTITUTE(SUBSTITUTE(SUBSTITUTE(TRIM(A704),".",""),"/",""),"-","")," ","")),14),UPPER(SUBSTITUTE(SUBSTITUTE(SUBSTITUTE(SUBSTITUTE(TRIM(A704),".",""),"/",""),"-","")," ",""))))</f>
        <v/>
      </c>
      <c r="C704" s="25" t="str">
        <f aca="false">IF(B704="","",IFERROR(INDEX(Empresas!$C:$C,MATCH(B704,Empresas!$B:$B,0)),"cadastre o CNPJ em Empresas"))</f>
        <v/>
      </c>
      <c r="D704" s="23"/>
      <c r="E704" s="24"/>
      <c r="F704" s="31" t="str">
        <f aca="false">IF(D704="","",SUBSTITUTE(SUBSTITUTE(SUBSTITUTE(SUBSTITUTE(SUBSTITUTE(SUBSTITUTE(SUBSTITUTE(SUBSTITUTE(SUBSTITUTE(SUBSTITUTE(SUBSTITUTE(SUBSTITUTE(SUBSTITUTE(UPPER(TRIM(D704)),"Á","A"),"À","A"),"Â","A"),"Ã","A"),"É","E"),"Ê","E"),"Í","I"),"Ó","O"),"Ô","O"),"Õ","O"),"Ú","U"),"Ü","U"),"Ç","C"))</f>
        <v/>
      </c>
      <c r="G704" s="31" t="str">
        <f aca="false">IF(E704="","",IF(LEN(SUBSTITUTE(SUBSTITUTE(SUBSTITUTE(SUBSTITUTE(TRIM(E704),"*",""),".",""),"-","")," ",""))=11,MID(SUBSTITUTE(SUBSTITUTE(SUBSTITUTE(SUBSTITUTE(TRIM(E704),"*",""),".",""),"-","")," ",""),4,6),SUBSTITUTE(SUBSTITUTE(SUBSTITUTE(SUBSTITUTE(TRIM(E704),"*",""),".",""),"-","")," ","")))</f>
        <v/>
      </c>
      <c r="H704" s="31" t="str">
        <f aca="false">IF(OR(F704="",G704=""),"",F704&amp;"|"&amp;G704)</f>
        <v/>
      </c>
      <c r="I704" s="23"/>
      <c r="J704" s="22"/>
      <c r="K704" s="22"/>
      <c r="L704" s="25" t="str">
        <f aca="false">IF(F704="","",IF(AND(H704&lt;&gt;"",COUNTIF(Pessoas!$E:$E,H704)&gt;0),"SIM",IF(COUNTIF(Pessoas!$C:$C,F704)&gt;0,"nome igual em Pessoas: confira o CPF","")))</f>
        <v/>
      </c>
      <c r="M704" s="24"/>
      <c r="N704" s="11"/>
    </row>
    <row r="705" customFormat="false" ht="15" hidden="false" customHeight="false" outlineLevel="0" collapsed="false">
      <c r="A705" s="24"/>
      <c r="B705" s="31" t="str">
        <f aca="false">IF(A705="","",IF(LEN(UPPER(SUBSTITUTE(SUBSTITUTE(SUBSTITUTE(SUBSTITUTE(TRIM(A705),".",""),"/",""),"-","")," ","")))&lt;14,RIGHT(REPT("0",14)&amp;UPPER(SUBSTITUTE(SUBSTITUTE(SUBSTITUTE(SUBSTITUTE(TRIM(A705),".",""),"/",""),"-","")," ","")),14),UPPER(SUBSTITUTE(SUBSTITUTE(SUBSTITUTE(SUBSTITUTE(TRIM(A705),".",""),"/",""),"-","")," ",""))))</f>
        <v/>
      </c>
      <c r="C705" s="25" t="str">
        <f aca="false">IF(B705="","",IFERROR(INDEX(Empresas!$C:$C,MATCH(B705,Empresas!$B:$B,0)),"cadastre o CNPJ em Empresas"))</f>
        <v/>
      </c>
      <c r="D705" s="23"/>
      <c r="E705" s="24"/>
      <c r="F705" s="31" t="str">
        <f aca="false">IF(D705="","",SUBSTITUTE(SUBSTITUTE(SUBSTITUTE(SUBSTITUTE(SUBSTITUTE(SUBSTITUTE(SUBSTITUTE(SUBSTITUTE(SUBSTITUTE(SUBSTITUTE(SUBSTITUTE(SUBSTITUTE(SUBSTITUTE(UPPER(TRIM(D705)),"Á","A"),"À","A"),"Â","A"),"Ã","A"),"É","E"),"Ê","E"),"Í","I"),"Ó","O"),"Ô","O"),"Õ","O"),"Ú","U"),"Ü","U"),"Ç","C"))</f>
        <v/>
      </c>
      <c r="G705" s="31" t="str">
        <f aca="false">IF(E705="","",IF(LEN(SUBSTITUTE(SUBSTITUTE(SUBSTITUTE(SUBSTITUTE(TRIM(E705),"*",""),".",""),"-","")," ",""))=11,MID(SUBSTITUTE(SUBSTITUTE(SUBSTITUTE(SUBSTITUTE(TRIM(E705),"*",""),".",""),"-","")," ",""),4,6),SUBSTITUTE(SUBSTITUTE(SUBSTITUTE(SUBSTITUTE(TRIM(E705),"*",""),".",""),"-","")," ","")))</f>
        <v/>
      </c>
      <c r="H705" s="31" t="str">
        <f aca="false">IF(OR(F705="",G705=""),"",F705&amp;"|"&amp;G705)</f>
        <v/>
      </c>
      <c r="I705" s="23"/>
      <c r="J705" s="22"/>
      <c r="K705" s="22"/>
      <c r="L705" s="25" t="str">
        <f aca="false">IF(F705="","",IF(AND(H705&lt;&gt;"",COUNTIF(Pessoas!$E:$E,H705)&gt;0),"SIM",IF(COUNTIF(Pessoas!$C:$C,F705)&gt;0,"nome igual em Pessoas: confira o CPF","")))</f>
        <v/>
      </c>
      <c r="M705" s="24"/>
      <c r="N705" s="11"/>
    </row>
    <row r="706" customFormat="false" ht="15" hidden="false" customHeight="false" outlineLevel="0" collapsed="false">
      <c r="A706" s="24"/>
      <c r="B706" s="31" t="str">
        <f aca="false">IF(A706="","",IF(LEN(UPPER(SUBSTITUTE(SUBSTITUTE(SUBSTITUTE(SUBSTITUTE(TRIM(A706),".",""),"/",""),"-","")," ","")))&lt;14,RIGHT(REPT("0",14)&amp;UPPER(SUBSTITUTE(SUBSTITUTE(SUBSTITUTE(SUBSTITUTE(TRIM(A706),".",""),"/",""),"-","")," ","")),14),UPPER(SUBSTITUTE(SUBSTITUTE(SUBSTITUTE(SUBSTITUTE(TRIM(A706),".",""),"/",""),"-","")," ",""))))</f>
        <v/>
      </c>
      <c r="C706" s="25" t="str">
        <f aca="false">IF(B706="","",IFERROR(INDEX(Empresas!$C:$C,MATCH(B706,Empresas!$B:$B,0)),"cadastre o CNPJ em Empresas"))</f>
        <v/>
      </c>
      <c r="D706" s="23"/>
      <c r="E706" s="24"/>
      <c r="F706" s="31" t="str">
        <f aca="false">IF(D706="","",SUBSTITUTE(SUBSTITUTE(SUBSTITUTE(SUBSTITUTE(SUBSTITUTE(SUBSTITUTE(SUBSTITUTE(SUBSTITUTE(SUBSTITUTE(SUBSTITUTE(SUBSTITUTE(SUBSTITUTE(SUBSTITUTE(UPPER(TRIM(D706)),"Á","A"),"À","A"),"Â","A"),"Ã","A"),"É","E"),"Ê","E"),"Í","I"),"Ó","O"),"Ô","O"),"Õ","O"),"Ú","U"),"Ü","U"),"Ç","C"))</f>
        <v/>
      </c>
      <c r="G706" s="31" t="str">
        <f aca="false">IF(E706="","",IF(LEN(SUBSTITUTE(SUBSTITUTE(SUBSTITUTE(SUBSTITUTE(TRIM(E706),"*",""),".",""),"-","")," ",""))=11,MID(SUBSTITUTE(SUBSTITUTE(SUBSTITUTE(SUBSTITUTE(TRIM(E706),"*",""),".",""),"-","")," ",""),4,6),SUBSTITUTE(SUBSTITUTE(SUBSTITUTE(SUBSTITUTE(TRIM(E706),"*",""),".",""),"-","")," ","")))</f>
        <v/>
      </c>
      <c r="H706" s="31" t="str">
        <f aca="false">IF(OR(F706="",G706=""),"",F706&amp;"|"&amp;G706)</f>
        <v/>
      </c>
      <c r="I706" s="23"/>
      <c r="J706" s="22"/>
      <c r="K706" s="22"/>
      <c r="L706" s="25" t="str">
        <f aca="false">IF(F706="","",IF(AND(H706&lt;&gt;"",COUNTIF(Pessoas!$E:$E,H706)&gt;0),"SIM",IF(COUNTIF(Pessoas!$C:$C,F706)&gt;0,"nome igual em Pessoas: confira o CPF","")))</f>
        <v/>
      </c>
      <c r="M706" s="24"/>
      <c r="N706" s="11"/>
    </row>
    <row r="707" customFormat="false" ht="15" hidden="false" customHeight="false" outlineLevel="0" collapsed="false">
      <c r="A707" s="24"/>
      <c r="B707" s="31" t="str">
        <f aca="false">IF(A707="","",IF(LEN(UPPER(SUBSTITUTE(SUBSTITUTE(SUBSTITUTE(SUBSTITUTE(TRIM(A707),".",""),"/",""),"-","")," ","")))&lt;14,RIGHT(REPT("0",14)&amp;UPPER(SUBSTITUTE(SUBSTITUTE(SUBSTITUTE(SUBSTITUTE(TRIM(A707),".",""),"/",""),"-","")," ","")),14),UPPER(SUBSTITUTE(SUBSTITUTE(SUBSTITUTE(SUBSTITUTE(TRIM(A707),".",""),"/",""),"-","")," ",""))))</f>
        <v/>
      </c>
      <c r="C707" s="25" t="str">
        <f aca="false">IF(B707="","",IFERROR(INDEX(Empresas!$C:$C,MATCH(B707,Empresas!$B:$B,0)),"cadastre o CNPJ em Empresas"))</f>
        <v/>
      </c>
      <c r="D707" s="23"/>
      <c r="E707" s="24"/>
      <c r="F707" s="31" t="str">
        <f aca="false">IF(D707="","",SUBSTITUTE(SUBSTITUTE(SUBSTITUTE(SUBSTITUTE(SUBSTITUTE(SUBSTITUTE(SUBSTITUTE(SUBSTITUTE(SUBSTITUTE(SUBSTITUTE(SUBSTITUTE(SUBSTITUTE(SUBSTITUTE(UPPER(TRIM(D707)),"Á","A"),"À","A"),"Â","A"),"Ã","A"),"É","E"),"Ê","E"),"Í","I"),"Ó","O"),"Ô","O"),"Õ","O"),"Ú","U"),"Ü","U"),"Ç","C"))</f>
        <v/>
      </c>
      <c r="G707" s="31" t="str">
        <f aca="false">IF(E707="","",IF(LEN(SUBSTITUTE(SUBSTITUTE(SUBSTITUTE(SUBSTITUTE(TRIM(E707),"*",""),".",""),"-","")," ",""))=11,MID(SUBSTITUTE(SUBSTITUTE(SUBSTITUTE(SUBSTITUTE(TRIM(E707),"*",""),".",""),"-","")," ",""),4,6),SUBSTITUTE(SUBSTITUTE(SUBSTITUTE(SUBSTITUTE(TRIM(E707),"*",""),".",""),"-","")," ","")))</f>
        <v/>
      </c>
      <c r="H707" s="31" t="str">
        <f aca="false">IF(OR(F707="",G707=""),"",F707&amp;"|"&amp;G707)</f>
        <v/>
      </c>
      <c r="I707" s="23"/>
      <c r="J707" s="22"/>
      <c r="K707" s="22"/>
      <c r="L707" s="25" t="str">
        <f aca="false">IF(F707="","",IF(AND(H707&lt;&gt;"",COUNTIF(Pessoas!$E:$E,H707)&gt;0),"SIM",IF(COUNTIF(Pessoas!$C:$C,F707)&gt;0,"nome igual em Pessoas: confira o CPF","")))</f>
        <v/>
      </c>
      <c r="M707" s="24"/>
      <c r="N707" s="11"/>
    </row>
    <row r="708" customFormat="false" ht="15" hidden="false" customHeight="false" outlineLevel="0" collapsed="false">
      <c r="A708" s="24"/>
      <c r="B708" s="31" t="str">
        <f aca="false">IF(A708="","",IF(LEN(UPPER(SUBSTITUTE(SUBSTITUTE(SUBSTITUTE(SUBSTITUTE(TRIM(A708),".",""),"/",""),"-","")," ","")))&lt;14,RIGHT(REPT("0",14)&amp;UPPER(SUBSTITUTE(SUBSTITUTE(SUBSTITUTE(SUBSTITUTE(TRIM(A708),".",""),"/",""),"-","")," ","")),14),UPPER(SUBSTITUTE(SUBSTITUTE(SUBSTITUTE(SUBSTITUTE(TRIM(A708),".",""),"/",""),"-","")," ",""))))</f>
        <v/>
      </c>
      <c r="C708" s="25" t="str">
        <f aca="false">IF(B708="","",IFERROR(INDEX(Empresas!$C:$C,MATCH(B708,Empresas!$B:$B,0)),"cadastre o CNPJ em Empresas"))</f>
        <v/>
      </c>
      <c r="D708" s="23"/>
      <c r="E708" s="24"/>
      <c r="F708" s="31" t="str">
        <f aca="false">IF(D708="","",SUBSTITUTE(SUBSTITUTE(SUBSTITUTE(SUBSTITUTE(SUBSTITUTE(SUBSTITUTE(SUBSTITUTE(SUBSTITUTE(SUBSTITUTE(SUBSTITUTE(SUBSTITUTE(SUBSTITUTE(SUBSTITUTE(UPPER(TRIM(D708)),"Á","A"),"À","A"),"Â","A"),"Ã","A"),"É","E"),"Ê","E"),"Í","I"),"Ó","O"),"Ô","O"),"Õ","O"),"Ú","U"),"Ü","U"),"Ç","C"))</f>
        <v/>
      </c>
      <c r="G708" s="31" t="str">
        <f aca="false">IF(E708="","",IF(LEN(SUBSTITUTE(SUBSTITUTE(SUBSTITUTE(SUBSTITUTE(TRIM(E708),"*",""),".",""),"-","")," ",""))=11,MID(SUBSTITUTE(SUBSTITUTE(SUBSTITUTE(SUBSTITUTE(TRIM(E708),"*",""),".",""),"-","")," ",""),4,6),SUBSTITUTE(SUBSTITUTE(SUBSTITUTE(SUBSTITUTE(TRIM(E708),"*",""),".",""),"-","")," ","")))</f>
        <v/>
      </c>
      <c r="H708" s="31" t="str">
        <f aca="false">IF(OR(F708="",G708=""),"",F708&amp;"|"&amp;G708)</f>
        <v/>
      </c>
      <c r="I708" s="23"/>
      <c r="J708" s="22"/>
      <c r="K708" s="22"/>
      <c r="L708" s="25" t="str">
        <f aca="false">IF(F708="","",IF(AND(H708&lt;&gt;"",COUNTIF(Pessoas!$E:$E,H708)&gt;0),"SIM",IF(COUNTIF(Pessoas!$C:$C,F708)&gt;0,"nome igual em Pessoas: confira o CPF","")))</f>
        <v/>
      </c>
      <c r="M708" s="24"/>
      <c r="N708" s="11"/>
    </row>
    <row r="709" customFormat="false" ht="15" hidden="false" customHeight="false" outlineLevel="0" collapsed="false">
      <c r="A709" s="24"/>
      <c r="B709" s="31" t="str">
        <f aca="false">IF(A709="","",IF(LEN(UPPER(SUBSTITUTE(SUBSTITUTE(SUBSTITUTE(SUBSTITUTE(TRIM(A709),".",""),"/",""),"-","")," ","")))&lt;14,RIGHT(REPT("0",14)&amp;UPPER(SUBSTITUTE(SUBSTITUTE(SUBSTITUTE(SUBSTITUTE(TRIM(A709),".",""),"/",""),"-","")," ","")),14),UPPER(SUBSTITUTE(SUBSTITUTE(SUBSTITUTE(SUBSTITUTE(TRIM(A709),".",""),"/",""),"-","")," ",""))))</f>
        <v/>
      </c>
      <c r="C709" s="25" t="str">
        <f aca="false">IF(B709="","",IFERROR(INDEX(Empresas!$C:$C,MATCH(B709,Empresas!$B:$B,0)),"cadastre o CNPJ em Empresas"))</f>
        <v/>
      </c>
      <c r="D709" s="23"/>
      <c r="E709" s="24"/>
      <c r="F709" s="31" t="str">
        <f aca="false">IF(D709="","",SUBSTITUTE(SUBSTITUTE(SUBSTITUTE(SUBSTITUTE(SUBSTITUTE(SUBSTITUTE(SUBSTITUTE(SUBSTITUTE(SUBSTITUTE(SUBSTITUTE(SUBSTITUTE(SUBSTITUTE(SUBSTITUTE(UPPER(TRIM(D709)),"Á","A"),"À","A"),"Â","A"),"Ã","A"),"É","E"),"Ê","E"),"Í","I"),"Ó","O"),"Ô","O"),"Õ","O"),"Ú","U"),"Ü","U"),"Ç","C"))</f>
        <v/>
      </c>
      <c r="G709" s="31" t="str">
        <f aca="false">IF(E709="","",IF(LEN(SUBSTITUTE(SUBSTITUTE(SUBSTITUTE(SUBSTITUTE(TRIM(E709),"*",""),".",""),"-","")," ",""))=11,MID(SUBSTITUTE(SUBSTITUTE(SUBSTITUTE(SUBSTITUTE(TRIM(E709),"*",""),".",""),"-","")," ",""),4,6),SUBSTITUTE(SUBSTITUTE(SUBSTITUTE(SUBSTITUTE(TRIM(E709),"*",""),".",""),"-","")," ","")))</f>
        <v/>
      </c>
      <c r="H709" s="31" t="str">
        <f aca="false">IF(OR(F709="",G709=""),"",F709&amp;"|"&amp;G709)</f>
        <v/>
      </c>
      <c r="I709" s="23"/>
      <c r="J709" s="22"/>
      <c r="K709" s="22"/>
      <c r="L709" s="25" t="str">
        <f aca="false">IF(F709="","",IF(AND(H709&lt;&gt;"",COUNTIF(Pessoas!$E:$E,H709)&gt;0),"SIM",IF(COUNTIF(Pessoas!$C:$C,F709)&gt;0,"nome igual em Pessoas: confira o CPF","")))</f>
        <v/>
      </c>
      <c r="M709" s="24"/>
      <c r="N709" s="11"/>
    </row>
    <row r="710" customFormat="false" ht="15" hidden="false" customHeight="false" outlineLevel="0" collapsed="false">
      <c r="A710" s="24"/>
      <c r="B710" s="31" t="str">
        <f aca="false">IF(A710="","",IF(LEN(UPPER(SUBSTITUTE(SUBSTITUTE(SUBSTITUTE(SUBSTITUTE(TRIM(A710),".",""),"/",""),"-","")," ","")))&lt;14,RIGHT(REPT("0",14)&amp;UPPER(SUBSTITUTE(SUBSTITUTE(SUBSTITUTE(SUBSTITUTE(TRIM(A710),".",""),"/",""),"-","")," ","")),14),UPPER(SUBSTITUTE(SUBSTITUTE(SUBSTITUTE(SUBSTITUTE(TRIM(A710),".",""),"/",""),"-","")," ",""))))</f>
        <v/>
      </c>
      <c r="C710" s="25" t="str">
        <f aca="false">IF(B710="","",IFERROR(INDEX(Empresas!$C:$C,MATCH(B710,Empresas!$B:$B,0)),"cadastre o CNPJ em Empresas"))</f>
        <v/>
      </c>
      <c r="D710" s="23"/>
      <c r="E710" s="24"/>
      <c r="F710" s="31" t="str">
        <f aca="false">IF(D710="","",SUBSTITUTE(SUBSTITUTE(SUBSTITUTE(SUBSTITUTE(SUBSTITUTE(SUBSTITUTE(SUBSTITUTE(SUBSTITUTE(SUBSTITUTE(SUBSTITUTE(SUBSTITUTE(SUBSTITUTE(SUBSTITUTE(UPPER(TRIM(D710)),"Á","A"),"À","A"),"Â","A"),"Ã","A"),"É","E"),"Ê","E"),"Í","I"),"Ó","O"),"Ô","O"),"Õ","O"),"Ú","U"),"Ü","U"),"Ç","C"))</f>
        <v/>
      </c>
      <c r="G710" s="31" t="str">
        <f aca="false">IF(E710="","",IF(LEN(SUBSTITUTE(SUBSTITUTE(SUBSTITUTE(SUBSTITUTE(TRIM(E710),"*",""),".",""),"-","")," ",""))=11,MID(SUBSTITUTE(SUBSTITUTE(SUBSTITUTE(SUBSTITUTE(TRIM(E710),"*",""),".",""),"-","")," ",""),4,6),SUBSTITUTE(SUBSTITUTE(SUBSTITUTE(SUBSTITUTE(TRIM(E710),"*",""),".",""),"-","")," ","")))</f>
        <v/>
      </c>
      <c r="H710" s="31" t="str">
        <f aca="false">IF(OR(F710="",G710=""),"",F710&amp;"|"&amp;G710)</f>
        <v/>
      </c>
      <c r="I710" s="23"/>
      <c r="J710" s="22"/>
      <c r="K710" s="22"/>
      <c r="L710" s="25" t="str">
        <f aca="false">IF(F710="","",IF(AND(H710&lt;&gt;"",COUNTIF(Pessoas!$E:$E,H710)&gt;0),"SIM",IF(COUNTIF(Pessoas!$C:$C,F710)&gt;0,"nome igual em Pessoas: confira o CPF","")))</f>
        <v/>
      </c>
      <c r="M710" s="24"/>
      <c r="N710" s="11"/>
    </row>
    <row r="711" customFormat="false" ht="15" hidden="false" customHeight="false" outlineLevel="0" collapsed="false">
      <c r="A711" s="24"/>
      <c r="B711" s="31" t="str">
        <f aca="false">IF(A711="","",IF(LEN(UPPER(SUBSTITUTE(SUBSTITUTE(SUBSTITUTE(SUBSTITUTE(TRIM(A711),".",""),"/",""),"-","")," ","")))&lt;14,RIGHT(REPT("0",14)&amp;UPPER(SUBSTITUTE(SUBSTITUTE(SUBSTITUTE(SUBSTITUTE(TRIM(A711),".",""),"/",""),"-","")," ","")),14),UPPER(SUBSTITUTE(SUBSTITUTE(SUBSTITUTE(SUBSTITUTE(TRIM(A711),".",""),"/",""),"-","")," ",""))))</f>
        <v/>
      </c>
      <c r="C711" s="25" t="str">
        <f aca="false">IF(B711="","",IFERROR(INDEX(Empresas!$C:$C,MATCH(B711,Empresas!$B:$B,0)),"cadastre o CNPJ em Empresas"))</f>
        <v/>
      </c>
      <c r="D711" s="23"/>
      <c r="E711" s="24"/>
      <c r="F711" s="31" t="str">
        <f aca="false">IF(D711="","",SUBSTITUTE(SUBSTITUTE(SUBSTITUTE(SUBSTITUTE(SUBSTITUTE(SUBSTITUTE(SUBSTITUTE(SUBSTITUTE(SUBSTITUTE(SUBSTITUTE(SUBSTITUTE(SUBSTITUTE(SUBSTITUTE(UPPER(TRIM(D711)),"Á","A"),"À","A"),"Â","A"),"Ã","A"),"É","E"),"Ê","E"),"Í","I"),"Ó","O"),"Ô","O"),"Õ","O"),"Ú","U"),"Ü","U"),"Ç","C"))</f>
        <v/>
      </c>
      <c r="G711" s="31" t="str">
        <f aca="false">IF(E711="","",IF(LEN(SUBSTITUTE(SUBSTITUTE(SUBSTITUTE(SUBSTITUTE(TRIM(E711),"*",""),".",""),"-","")," ",""))=11,MID(SUBSTITUTE(SUBSTITUTE(SUBSTITUTE(SUBSTITUTE(TRIM(E711),"*",""),".",""),"-","")," ",""),4,6),SUBSTITUTE(SUBSTITUTE(SUBSTITUTE(SUBSTITUTE(TRIM(E711),"*",""),".",""),"-","")," ","")))</f>
        <v/>
      </c>
      <c r="H711" s="31" t="str">
        <f aca="false">IF(OR(F711="",G711=""),"",F711&amp;"|"&amp;G711)</f>
        <v/>
      </c>
      <c r="I711" s="23"/>
      <c r="J711" s="22"/>
      <c r="K711" s="22"/>
      <c r="L711" s="25" t="str">
        <f aca="false">IF(F711="","",IF(AND(H711&lt;&gt;"",COUNTIF(Pessoas!$E:$E,H711)&gt;0),"SIM",IF(COUNTIF(Pessoas!$C:$C,F711)&gt;0,"nome igual em Pessoas: confira o CPF","")))</f>
        <v/>
      </c>
      <c r="M711" s="24"/>
      <c r="N711" s="11"/>
    </row>
    <row r="712" customFormat="false" ht="15" hidden="false" customHeight="false" outlineLevel="0" collapsed="false">
      <c r="A712" s="24"/>
      <c r="B712" s="31" t="str">
        <f aca="false">IF(A712="","",IF(LEN(UPPER(SUBSTITUTE(SUBSTITUTE(SUBSTITUTE(SUBSTITUTE(TRIM(A712),".",""),"/",""),"-","")," ","")))&lt;14,RIGHT(REPT("0",14)&amp;UPPER(SUBSTITUTE(SUBSTITUTE(SUBSTITUTE(SUBSTITUTE(TRIM(A712),".",""),"/",""),"-","")," ","")),14),UPPER(SUBSTITUTE(SUBSTITUTE(SUBSTITUTE(SUBSTITUTE(TRIM(A712),".",""),"/",""),"-","")," ",""))))</f>
        <v/>
      </c>
      <c r="C712" s="25" t="str">
        <f aca="false">IF(B712="","",IFERROR(INDEX(Empresas!$C:$C,MATCH(B712,Empresas!$B:$B,0)),"cadastre o CNPJ em Empresas"))</f>
        <v/>
      </c>
      <c r="D712" s="23"/>
      <c r="E712" s="24"/>
      <c r="F712" s="31" t="str">
        <f aca="false">IF(D712="","",SUBSTITUTE(SUBSTITUTE(SUBSTITUTE(SUBSTITUTE(SUBSTITUTE(SUBSTITUTE(SUBSTITUTE(SUBSTITUTE(SUBSTITUTE(SUBSTITUTE(SUBSTITUTE(SUBSTITUTE(SUBSTITUTE(UPPER(TRIM(D712)),"Á","A"),"À","A"),"Â","A"),"Ã","A"),"É","E"),"Ê","E"),"Í","I"),"Ó","O"),"Ô","O"),"Õ","O"),"Ú","U"),"Ü","U"),"Ç","C"))</f>
        <v/>
      </c>
      <c r="G712" s="31" t="str">
        <f aca="false">IF(E712="","",IF(LEN(SUBSTITUTE(SUBSTITUTE(SUBSTITUTE(SUBSTITUTE(TRIM(E712),"*",""),".",""),"-","")," ",""))=11,MID(SUBSTITUTE(SUBSTITUTE(SUBSTITUTE(SUBSTITUTE(TRIM(E712),"*",""),".",""),"-","")," ",""),4,6),SUBSTITUTE(SUBSTITUTE(SUBSTITUTE(SUBSTITUTE(TRIM(E712),"*",""),".",""),"-","")," ","")))</f>
        <v/>
      </c>
      <c r="H712" s="31" t="str">
        <f aca="false">IF(OR(F712="",G712=""),"",F712&amp;"|"&amp;G712)</f>
        <v/>
      </c>
      <c r="I712" s="23"/>
      <c r="J712" s="22"/>
      <c r="K712" s="22"/>
      <c r="L712" s="25" t="str">
        <f aca="false">IF(F712="","",IF(AND(H712&lt;&gt;"",COUNTIF(Pessoas!$E:$E,H712)&gt;0),"SIM",IF(COUNTIF(Pessoas!$C:$C,F712)&gt;0,"nome igual em Pessoas: confira o CPF","")))</f>
        <v/>
      </c>
      <c r="M712" s="24"/>
      <c r="N712" s="11"/>
    </row>
    <row r="713" customFormat="false" ht="15" hidden="false" customHeight="false" outlineLevel="0" collapsed="false">
      <c r="A713" s="24"/>
      <c r="B713" s="31" t="str">
        <f aca="false">IF(A713="","",IF(LEN(UPPER(SUBSTITUTE(SUBSTITUTE(SUBSTITUTE(SUBSTITUTE(TRIM(A713),".",""),"/",""),"-","")," ","")))&lt;14,RIGHT(REPT("0",14)&amp;UPPER(SUBSTITUTE(SUBSTITUTE(SUBSTITUTE(SUBSTITUTE(TRIM(A713),".",""),"/",""),"-","")," ","")),14),UPPER(SUBSTITUTE(SUBSTITUTE(SUBSTITUTE(SUBSTITUTE(TRIM(A713),".",""),"/",""),"-","")," ",""))))</f>
        <v/>
      </c>
      <c r="C713" s="25" t="str">
        <f aca="false">IF(B713="","",IFERROR(INDEX(Empresas!$C:$C,MATCH(B713,Empresas!$B:$B,0)),"cadastre o CNPJ em Empresas"))</f>
        <v/>
      </c>
      <c r="D713" s="23"/>
      <c r="E713" s="24"/>
      <c r="F713" s="31" t="str">
        <f aca="false">IF(D713="","",SUBSTITUTE(SUBSTITUTE(SUBSTITUTE(SUBSTITUTE(SUBSTITUTE(SUBSTITUTE(SUBSTITUTE(SUBSTITUTE(SUBSTITUTE(SUBSTITUTE(SUBSTITUTE(SUBSTITUTE(SUBSTITUTE(UPPER(TRIM(D713)),"Á","A"),"À","A"),"Â","A"),"Ã","A"),"É","E"),"Ê","E"),"Í","I"),"Ó","O"),"Ô","O"),"Õ","O"),"Ú","U"),"Ü","U"),"Ç","C"))</f>
        <v/>
      </c>
      <c r="G713" s="31" t="str">
        <f aca="false">IF(E713="","",IF(LEN(SUBSTITUTE(SUBSTITUTE(SUBSTITUTE(SUBSTITUTE(TRIM(E713),"*",""),".",""),"-","")," ",""))=11,MID(SUBSTITUTE(SUBSTITUTE(SUBSTITUTE(SUBSTITUTE(TRIM(E713),"*",""),".",""),"-","")," ",""),4,6),SUBSTITUTE(SUBSTITUTE(SUBSTITUTE(SUBSTITUTE(TRIM(E713),"*",""),".",""),"-","")," ","")))</f>
        <v/>
      </c>
      <c r="H713" s="31" t="str">
        <f aca="false">IF(OR(F713="",G713=""),"",F713&amp;"|"&amp;G713)</f>
        <v/>
      </c>
      <c r="I713" s="23"/>
      <c r="J713" s="22"/>
      <c r="K713" s="22"/>
      <c r="L713" s="25" t="str">
        <f aca="false">IF(F713="","",IF(AND(H713&lt;&gt;"",COUNTIF(Pessoas!$E:$E,H713)&gt;0),"SIM",IF(COUNTIF(Pessoas!$C:$C,F713)&gt;0,"nome igual em Pessoas: confira o CPF","")))</f>
        <v/>
      </c>
      <c r="M713" s="24"/>
      <c r="N713" s="11"/>
    </row>
    <row r="714" customFormat="false" ht="15" hidden="false" customHeight="false" outlineLevel="0" collapsed="false">
      <c r="A714" s="24"/>
      <c r="B714" s="31" t="str">
        <f aca="false">IF(A714="","",IF(LEN(UPPER(SUBSTITUTE(SUBSTITUTE(SUBSTITUTE(SUBSTITUTE(TRIM(A714),".",""),"/",""),"-","")," ","")))&lt;14,RIGHT(REPT("0",14)&amp;UPPER(SUBSTITUTE(SUBSTITUTE(SUBSTITUTE(SUBSTITUTE(TRIM(A714),".",""),"/",""),"-","")," ","")),14),UPPER(SUBSTITUTE(SUBSTITUTE(SUBSTITUTE(SUBSTITUTE(TRIM(A714),".",""),"/",""),"-","")," ",""))))</f>
        <v/>
      </c>
      <c r="C714" s="25" t="str">
        <f aca="false">IF(B714="","",IFERROR(INDEX(Empresas!$C:$C,MATCH(B714,Empresas!$B:$B,0)),"cadastre o CNPJ em Empresas"))</f>
        <v/>
      </c>
      <c r="D714" s="23"/>
      <c r="E714" s="24"/>
      <c r="F714" s="31" t="str">
        <f aca="false">IF(D714="","",SUBSTITUTE(SUBSTITUTE(SUBSTITUTE(SUBSTITUTE(SUBSTITUTE(SUBSTITUTE(SUBSTITUTE(SUBSTITUTE(SUBSTITUTE(SUBSTITUTE(SUBSTITUTE(SUBSTITUTE(SUBSTITUTE(UPPER(TRIM(D714)),"Á","A"),"À","A"),"Â","A"),"Ã","A"),"É","E"),"Ê","E"),"Í","I"),"Ó","O"),"Ô","O"),"Õ","O"),"Ú","U"),"Ü","U"),"Ç","C"))</f>
        <v/>
      </c>
      <c r="G714" s="31" t="str">
        <f aca="false">IF(E714="","",IF(LEN(SUBSTITUTE(SUBSTITUTE(SUBSTITUTE(SUBSTITUTE(TRIM(E714),"*",""),".",""),"-","")," ",""))=11,MID(SUBSTITUTE(SUBSTITUTE(SUBSTITUTE(SUBSTITUTE(TRIM(E714),"*",""),".",""),"-","")," ",""),4,6),SUBSTITUTE(SUBSTITUTE(SUBSTITUTE(SUBSTITUTE(TRIM(E714),"*",""),".",""),"-","")," ","")))</f>
        <v/>
      </c>
      <c r="H714" s="31" t="str">
        <f aca="false">IF(OR(F714="",G714=""),"",F714&amp;"|"&amp;G714)</f>
        <v/>
      </c>
      <c r="I714" s="23"/>
      <c r="J714" s="22"/>
      <c r="K714" s="22"/>
      <c r="L714" s="25" t="str">
        <f aca="false">IF(F714="","",IF(AND(H714&lt;&gt;"",COUNTIF(Pessoas!$E:$E,H714)&gt;0),"SIM",IF(COUNTIF(Pessoas!$C:$C,F714)&gt;0,"nome igual em Pessoas: confira o CPF","")))</f>
        <v/>
      </c>
      <c r="M714" s="24"/>
      <c r="N714" s="11"/>
    </row>
    <row r="715" customFormat="false" ht="15" hidden="false" customHeight="false" outlineLevel="0" collapsed="false">
      <c r="A715" s="24"/>
      <c r="B715" s="31" t="str">
        <f aca="false">IF(A715="","",IF(LEN(UPPER(SUBSTITUTE(SUBSTITUTE(SUBSTITUTE(SUBSTITUTE(TRIM(A715),".",""),"/",""),"-","")," ","")))&lt;14,RIGHT(REPT("0",14)&amp;UPPER(SUBSTITUTE(SUBSTITUTE(SUBSTITUTE(SUBSTITUTE(TRIM(A715),".",""),"/",""),"-","")," ","")),14),UPPER(SUBSTITUTE(SUBSTITUTE(SUBSTITUTE(SUBSTITUTE(TRIM(A715),".",""),"/",""),"-","")," ",""))))</f>
        <v/>
      </c>
      <c r="C715" s="25" t="str">
        <f aca="false">IF(B715="","",IFERROR(INDEX(Empresas!$C:$C,MATCH(B715,Empresas!$B:$B,0)),"cadastre o CNPJ em Empresas"))</f>
        <v/>
      </c>
      <c r="D715" s="23"/>
      <c r="E715" s="24"/>
      <c r="F715" s="31" t="str">
        <f aca="false">IF(D715="","",SUBSTITUTE(SUBSTITUTE(SUBSTITUTE(SUBSTITUTE(SUBSTITUTE(SUBSTITUTE(SUBSTITUTE(SUBSTITUTE(SUBSTITUTE(SUBSTITUTE(SUBSTITUTE(SUBSTITUTE(SUBSTITUTE(UPPER(TRIM(D715)),"Á","A"),"À","A"),"Â","A"),"Ã","A"),"É","E"),"Ê","E"),"Í","I"),"Ó","O"),"Ô","O"),"Õ","O"),"Ú","U"),"Ü","U"),"Ç","C"))</f>
        <v/>
      </c>
      <c r="G715" s="31" t="str">
        <f aca="false">IF(E715="","",IF(LEN(SUBSTITUTE(SUBSTITUTE(SUBSTITUTE(SUBSTITUTE(TRIM(E715),"*",""),".",""),"-","")," ",""))=11,MID(SUBSTITUTE(SUBSTITUTE(SUBSTITUTE(SUBSTITUTE(TRIM(E715),"*",""),".",""),"-","")," ",""),4,6),SUBSTITUTE(SUBSTITUTE(SUBSTITUTE(SUBSTITUTE(TRIM(E715),"*",""),".",""),"-","")," ","")))</f>
        <v/>
      </c>
      <c r="H715" s="31" t="str">
        <f aca="false">IF(OR(F715="",G715=""),"",F715&amp;"|"&amp;G715)</f>
        <v/>
      </c>
      <c r="I715" s="23"/>
      <c r="J715" s="22"/>
      <c r="K715" s="22"/>
      <c r="L715" s="25" t="str">
        <f aca="false">IF(F715="","",IF(AND(H715&lt;&gt;"",COUNTIF(Pessoas!$E:$E,H715)&gt;0),"SIM",IF(COUNTIF(Pessoas!$C:$C,F715)&gt;0,"nome igual em Pessoas: confira o CPF","")))</f>
        <v/>
      </c>
      <c r="M715" s="24"/>
      <c r="N715" s="11"/>
    </row>
    <row r="716" customFormat="false" ht="15" hidden="false" customHeight="false" outlineLevel="0" collapsed="false">
      <c r="A716" s="24"/>
      <c r="B716" s="31" t="str">
        <f aca="false">IF(A716="","",IF(LEN(UPPER(SUBSTITUTE(SUBSTITUTE(SUBSTITUTE(SUBSTITUTE(TRIM(A716),".",""),"/",""),"-","")," ","")))&lt;14,RIGHT(REPT("0",14)&amp;UPPER(SUBSTITUTE(SUBSTITUTE(SUBSTITUTE(SUBSTITUTE(TRIM(A716),".",""),"/",""),"-","")," ","")),14),UPPER(SUBSTITUTE(SUBSTITUTE(SUBSTITUTE(SUBSTITUTE(TRIM(A716),".",""),"/",""),"-","")," ",""))))</f>
        <v/>
      </c>
      <c r="C716" s="25" t="str">
        <f aca="false">IF(B716="","",IFERROR(INDEX(Empresas!$C:$C,MATCH(B716,Empresas!$B:$B,0)),"cadastre o CNPJ em Empresas"))</f>
        <v/>
      </c>
      <c r="D716" s="23"/>
      <c r="E716" s="24"/>
      <c r="F716" s="31" t="str">
        <f aca="false">IF(D716="","",SUBSTITUTE(SUBSTITUTE(SUBSTITUTE(SUBSTITUTE(SUBSTITUTE(SUBSTITUTE(SUBSTITUTE(SUBSTITUTE(SUBSTITUTE(SUBSTITUTE(SUBSTITUTE(SUBSTITUTE(SUBSTITUTE(UPPER(TRIM(D716)),"Á","A"),"À","A"),"Â","A"),"Ã","A"),"É","E"),"Ê","E"),"Í","I"),"Ó","O"),"Ô","O"),"Õ","O"),"Ú","U"),"Ü","U"),"Ç","C"))</f>
        <v/>
      </c>
      <c r="G716" s="31" t="str">
        <f aca="false">IF(E716="","",IF(LEN(SUBSTITUTE(SUBSTITUTE(SUBSTITUTE(SUBSTITUTE(TRIM(E716),"*",""),".",""),"-","")," ",""))=11,MID(SUBSTITUTE(SUBSTITUTE(SUBSTITUTE(SUBSTITUTE(TRIM(E716),"*",""),".",""),"-","")," ",""),4,6),SUBSTITUTE(SUBSTITUTE(SUBSTITUTE(SUBSTITUTE(TRIM(E716),"*",""),".",""),"-","")," ","")))</f>
        <v/>
      </c>
      <c r="H716" s="31" t="str">
        <f aca="false">IF(OR(F716="",G716=""),"",F716&amp;"|"&amp;G716)</f>
        <v/>
      </c>
      <c r="I716" s="23"/>
      <c r="J716" s="22"/>
      <c r="K716" s="22"/>
      <c r="L716" s="25" t="str">
        <f aca="false">IF(F716="","",IF(AND(H716&lt;&gt;"",COUNTIF(Pessoas!$E:$E,H716)&gt;0),"SIM",IF(COUNTIF(Pessoas!$C:$C,F716)&gt;0,"nome igual em Pessoas: confira o CPF","")))</f>
        <v/>
      </c>
      <c r="M716" s="24"/>
      <c r="N716" s="11"/>
    </row>
    <row r="717" customFormat="false" ht="15" hidden="false" customHeight="false" outlineLevel="0" collapsed="false">
      <c r="A717" s="24"/>
      <c r="B717" s="31" t="str">
        <f aca="false">IF(A717="","",IF(LEN(UPPER(SUBSTITUTE(SUBSTITUTE(SUBSTITUTE(SUBSTITUTE(TRIM(A717),".",""),"/",""),"-","")," ","")))&lt;14,RIGHT(REPT("0",14)&amp;UPPER(SUBSTITUTE(SUBSTITUTE(SUBSTITUTE(SUBSTITUTE(TRIM(A717),".",""),"/",""),"-","")," ","")),14),UPPER(SUBSTITUTE(SUBSTITUTE(SUBSTITUTE(SUBSTITUTE(TRIM(A717),".",""),"/",""),"-","")," ",""))))</f>
        <v/>
      </c>
      <c r="C717" s="25" t="str">
        <f aca="false">IF(B717="","",IFERROR(INDEX(Empresas!$C:$C,MATCH(B717,Empresas!$B:$B,0)),"cadastre o CNPJ em Empresas"))</f>
        <v/>
      </c>
      <c r="D717" s="23"/>
      <c r="E717" s="24"/>
      <c r="F717" s="31" t="str">
        <f aca="false">IF(D717="","",SUBSTITUTE(SUBSTITUTE(SUBSTITUTE(SUBSTITUTE(SUBSTITUTE(SUBSTITUTE(SUBSTITUTE(SUBSTITUTE(SUBSTITUTE(SUBSTITUTE(SUBSTITUTE(SUBSTITUTE(SUBSTITUTE(UPPER(TRIM(D717)),"Á","A"),"À","A"),"Â","A"),"Ã","A"),"É","E"),"Ê","E"),"Í","I"),"Ó","O"),"Ô","O"),"Õ","O"),"Ú","U"),"Ü","U"),"Ç","C"))</f>
        <v/>
      </c>
      <c r="G717" s="31" t="str">
        <f aca="false">IF(E717="","",IF(LEN(SUBSTITUTE(SUBSTITUTE(SUBSTITUTE(SUBSTITUTE(TRIM(E717),"*",""),".",""),"-","")," ",""))=11,MID(SUBSTITUTE(SUBSTITUTE(SUBSTITUTE(SUBSTITUTE(TRIM(E717),"*",""),".",""),"-","")," ",""),4,6),SUBSTITUTE(SUBSTITUTE(SUBSTITUTE(SUBSTITUTE(TRIM(E717),"*",""),".",""),"-","")," ","")))</f>
        <v/>
      </c>
      <c r="H717" s="31" t="str">
        <f aca="false">IF(OR(F717="",G717=""),"",F717&amp;"|"&amp;G717)</f>
        <v/>
      </c>
      <c r="I717" s="23"/>
      <c r="J717" s="22"/>
      <c r="K717" s="22"/>
      <c r="L717" s="25" t="str">
        <f aca="false">IF(F717="","",IF(AND(H717&lt;&gt;"",COUNTIF(Pessoas!$E:$E,H717)&gt;0),"SIM",IF(COUNTIF(Pessoas!$C:$C,F717)&gt;0,"nome igual em Pessoas: confira o CPF","")))</f>
        <v/>
      </c>
      <c r="M717" s="24"/>
      <c r="N717" s="11"/>
    </row>
    <row r="718" customFormat="false" ht="15" hidden="false" customHeight="false" outlineLevel="0" collapsed="false">
      <c r="A718" s="24"/>
      <c r="B718" s="31" t="str">
        <f aca="false">IF(A718="","",IF(LEN(UPPER(SUBSTITUTE(SUBSTITUTE(SUBSTITUTE(SUBSTITUTE(TRIM(A718),".",""),"/",""),"-","")," ","")))&lt;14,RIGHT(REPT("0",14)&amp;UPPER(SUBSTITUTE(SUBSTITUTE(SUBSTITUTE(SUBSTITUTE(TRIM(A718),".",""),"/",""),"-","")," ","")),14),UPPER(SUBSTITUTE(SUBSTITUTE(SUBSTITUTE(SUBSTITUTE(TRIM(A718),".",""),"/",""),"-","")," ",""))))</f>
        <v/>
      </c>
      <c r="C718" s="25" t="str">
        <f aca="false">IF(B718="","",IFERROR(INDEX(Empresas!$C:$C,MATCH(B718,Empresas!$B:$B,0)),"cadastre o CNPJ em Empresas"))</f>
        <v/>
      </c>
      <c r="D718" s="23"/>
      <c r="E718" s="24"/>
      <c r="F718" s="31" t="str">
        <f aca="false">IF(D718="","",SUBSTITUTE(SUBSTITUTE(SUBSTITUTE(SUBSTITUTE(SUBSTITUTE(SUBSTITUTE(SUBSTITUTE(SUBSTITUTE(SUBSTITUTE(SUBSTITUTE(SUBSTITUTE(SUBSTITUTE(SUBSTITUTE(UPPER(TRIM(D718)),"Á","A"),"À","A"),"Â","A"),"Ã","A"),"É","E"),"Ê","E"),"Í","I"),"Ó","O"),"Ô","O"),"Õ","O"),"Ú","U"),"Ü","U"),"Ç","C"))</f>
        <v/>
      </c>
      <c r="G718" s="31" t="str">
        <f aca="false">IF(E718="","",IF(LEN(SUBSTITUTE(SUBSTITUTE(SUBSTITUTE(SUBSTITUTE(TRIM(E718),"*",""),".",""),"-","")," ",""))=11,MID(SUBSTITUTE(SUBSTITUTE(SUBSTITUTE(SUBSTITUTE(TRIM(E718),"*",""),".",""),"-","")," ",""),4,6),SUBSTITUTE(SUBSTITUTE(SUBSTITUTE(SUBSTITUTE(TRIM(E718),"*",""),".",""),"-","")," ","")))</f>
        <v/>
      </c>
      <c r="H718" s="31" t="str">
        <f aca="false">IF(OR(F718="",G718=""),"",F718&amp;"|"&amp;G718)</f>
        <v/>
      </c>
      <c r="I718" s="23"/>
      <c r="J718" s="22"/>
      <c r="K718" s="22"/>
      <c r="L718" s="25" t="str">
        <f aca="false">IF(F718="","",IF(AND(H718&lt;&gt;"",COUNTIF(Pessoas!$E:$E,H718)&gt;0),"SIM",IF(COUNTIF(Pessoas!$C:$C,F718)&gt;0,"nome igual em Pessoas: confira o CPF","")))</f>
        <v/>
      </c>
      <c r="M718" s="24"/>
      <c r="N718" s="11"/>
    </row>
    <row r="719" customFormat="false" ht="15" hidden="false" customHeight="false" outlineLevel="0" collapsed="false">
      <c r="A719" s="24"/>
      <c r="B719" s="31" t="str">
        <f aca="false">IF(A719="","",IF(LEN(UPPER(SUBSTITUTE(SUBSTITUTE(SUBSTITUTE(SUBSTITUTE(TRIM(A719),".",""),"/",""),"-","")," ","")))&lt;14,RIGHT(REPT("0",14)&amp;UPPER(SUBSTITUTE(SUBSTITUTE(SUBSTITUTE(SUBSTITUTE(TRIM(A719),".",""),"/",""),"-","")," ","")),14),UPPER(SUBSTITUTE(SUBSTITUTE(SUBSTITUTE(SUBSTITUTE(TRIM(A719),".",""),"/",""),"-","")," ",""))))</f>
        <v/>
      </c>
      <c r="C719" s="25" t="str">
        <f aca="false">IF(B719="","",IFERROR(INDEX(Empresas!$C:$C,MATCH(B719,Empresas!$B:$B,0)),"cadastre o CNPJ em Empresas"))</f>
        <v/>
      </c>
      <c r="D719" s="23"/>
      <c r="E719" s="24"/>
      <c r="F719" s="31" t="str">
        <f aca="false">IF(D719="","",SUBSTITUTE(SUBSTITUTE(SUBSTITUTE(SUBSTITUTE(SUBSTITUTE(SUBSTITUTE(SUBSTITUTE(SUBSTITUTE(SUBSTITUTE(SUBSTITUTE(SUBSTITUTE(SUBSTITUTE(SUBSTITUTE(UPPER(TRIM(D719)),"Á","A"),"À","A"),"Â","A"),"Ã","A"),"É","E"),"Ê","E"),"Í","I"),"Ó","O"),"Ô","O"),"Õ","O"),"Ú","U"),"Ü","U"),"Ç","C"))</f>
        <v/>
      </c>
      <c r="G719" s="31" t="str">
        <f aca="false">IF(E719="","",IF(LEN(SUBSTITUTE(SUBSTITUTE(SUBSTITUTE(SUBSTITUTE(TRIM(E719),"*",""),".",""),"-","")," ",""))=11,MID(SUBSTITUTE(SUBSTITUTE(SUBSTITUTE(SUBSTITUTE(TRIM(E719),"*",""),".",""),"-","")," ",""),4,6),SUBSTITUTE(SUBSTITUTE(SUBSTITUTE(SUBSTITUTE(TRIM(E719),"*",""),".",""),"-","")," ","")))</f>
        <v/>
      </c>
      <c r="H719" s="31" t="str">
        <f aca="false">IF(OR(F719="",G719=""),"",F719&amp;"|"&amp;G719)</f>
        <v/>
      </c>
      <c r="I719" s="23"/>
      <c r="J719" s="22"/>
      <c r="K719" s="22"/>
      <c r="L719" s="25" t="str">
        <f aca="false">IF(F719="","",IF(AND(H719&lt;&gt;"",COUNTIF(Pessoas!$E:$E,H719)&gt;0),"SIM",IF(COUNTIF(Pessoas!$C:$C,F719)&gt;0,"nome igual em Pessoas: confira o CPF","")))</f>
        <v/>
      </c>
      <c r="M719" s="24"/>
      <c r="N719" s="11"/>
    </row>
    <row r="720" customFormat="false" ht="15" hidden="false" customHeight="false" outlineLevel="0" collapsed="false">
      <c r="A720" s="24"/>
      <c r="B720" s="31" t="str">
        <f aca="false">IF(A720="","",IF(LEN(UPPER(SUBSTITUTE(SUBSTITUTE(SUBSTITUTE(SUBSTITUTE(TRIM(A720),".",""),"/",""),"-","")," ","")))&lt;14,RIGHT(REPT("0",14)&amp;UPPER(SUBSTITUTE(SUBSTITUTE(SUBSTITUTE(SUBSTITUTE(TRIM(A720),".",""),"/",""),"-","")," ","")),14),UPPER(SUBSTITUTE(SUBSTITUTE(SUBSTITUTE(SUBSTITUTE(TRIM(A720),".",""),"/",""),"-","")," ",""))))</f>
        <v/>
      </c>
      <c r="C720" s="25" t="str">
        <f aca="false">IF(B720="","",IFERROR(INDEX(Empresas!$C:$C,MATCH(B720,Empresas!$B:$B,0)),"cadastre o CNPJ em Empresas"))</f>
        <v/>
      </c>
      <c r="D720" s="23"/>
      <c r="E720" s="24"/>
      <c r="F720" s="31" t="str">
        <f aca="false">IF(D720="","",SUBSTITUTE(SUBSTITUTE(SUBSTITUTE(SUBSTITUTE(SUBSTITUTE(SUBSTITUTE(SUBSTITUTE(SUBSTITUTE(SUBSTITUTE(SUBSTITUTE(SUBSTITUTE(SUBSTITUTE(SUBSTITUTE(UPPER(TRIM(D720)),"Á","A"),"À","A"),"Â","A"),"Ã","A"),"É","E"),"Ê","E"),"Í","I"),"Ó","O"),"Ô","O"),"Õ","O"),"Ú","U"),"Ü","U"),"Ç","C"))</f>
        <v/>
      </c>
      <c r="G720" s="31" t="str">
        <f aca="false">IF(E720="","",IF(LEN(SUBSTITUTE(SUBSTITUTE(SUBSTITUTE(SUBSTITUTE(TRIM(E720),"*",""),".",""),"-","")," ",""))=11,MID(SUBSTITUTE(SUBSTITUTE(SUBSTITUTE(SUBSTITUTE(TRIM(E720),"*",""),".",""),"-","")," ",""),4,6),SUBSTITUTE(SUBSTITUTE(SUBSTITUTE(SUBSTITUTE(TRIM(E720),"*",""),".",""),"-","")," ","")))</f>
        <v/>
      </c>
      <c r="H720" s="31" t="str">
        <f aca="false">IF(OR(F720="",G720=""),"",F720&amp;"|"&amp;G720)</f>
        <v/>
      </c>
      <c r="I720" s="23"/>
      <c r="J720" s="22"/>
      <c r="K720" s="22"/>
      <c r="L720" s="25" t="str">
        <f aca="false">IF(F720="","",IF(AND(H720&lt;&gt;"",COUNTIF(Pessoas!$E:$E,H720)&gt;0),"SIM",IF(COUNTIF(Pessoas!$C:$C,F720)&gt;0,"nome igual em Pessoas: confira o CPF","")))</f>
        <v/>
      </c>
      <c r="M720" s="24"/>
      <c r="N720" s="11"/>
    </row>
    <row r="721" customFormat="false" ht="15" hidden="false" customHeight="false" outlineLevel="0" collapsed="false">
      <c r="A721" s="24"/>
      <c r="B721" s="31" t="str">
        <f aca="false">IF(A721="","",IF(LEN(UPPER(SUBSTITUTE(SUBSTITUTE(SUBSTITUTE(SUBSTITUTE(TRIM(A721),".",""),"/",""),"-","")," ","")))&lt;14,RIGHT(REPT("0",14)&amp;UPPER(SUBSTITUTE(SUBSTITUTE(SUBSTITUTE(SUBSTITUTE(TRIM(A721),".",""),"/",""),"-","")," ","")),14),UPPER(SUBSTITUTE(SUBSTITUTE(SUBSTITUTE(SUBSTITUTE(TRIM(A721),".",""),"/",""),"-","")," ",""))))</f>
        <v/>
      </c>
      <c r="C721" s="25" t="str">
        <f aca="false">IF(B721="","",IFERROR(INDEX(Empresas!$C:$C,MATCH(B721,Empresas!$B:$B,0)),"cadastre o CNPJ em Empresas"))</f>
        <v/>
      </c>
      <c r="D721" s="23"/>
      <c r="E721" s="24"/>
      <c r="F721" s="31" t="str">
        <f aca="false">IF(D721="","",SUBSTITUTE(SUBSTITUTE(SUBSTITUTE(SUBSTITUTE(SUBSTITUTE(SUBSTITUTE(SUBSTITUTE(SUBSTITUTE(SUBSTITUTE(SUBSTITUTE(SUBSTITUTE(SUBSTITUTE(SUBSTITUTE(UPPER(TRIM(D721)),"Á","A"),"À","A"),"Â","A"),"Ã","A"),"É","E"),"Ê","E"),"Í","I"),"Ó","O"),"Ô","O"),"Õ","O"),"Ú","U"),"Ü","U"),"Ç","C"))</f>
        <v/>
      </c>
      <c r="G721" s="31" t="str">
        <f aca="false">IF(E721="","",IF(LEN(SUBSTITUTE(SUBSTITUTE(SUBSTITUTE(SUBSTITUTE(TRIM(E721),"*",""),".",""),"-","")," ",""))=11,MID(SUBSTITUTE(SUBSTITUTE(SUBSTITUTE(SUBSTITUTE(TRIM(E721),"*",""),".",""),"-","")," ",""),4,6),SUBSTITUTE(SUBSTITUTE(SUBSTITUTE(SUBSTITUTE(TRIM(E721),"*",""),".",""),"-","")," ","")))</f>
        <v/>
      </c>
      <c r="H721" s="31" t="str">
        <f aca="false">IF(OR(F721="",G721=""),"",F721&amp;"|"&amp;G721)</f>
        <v/>
      </c>
      <c r="I721" s="23"/>
      <c r="J721" s="22"/>
      <c r="K721" s="22"/>
      <c r="L721" s="25" t="str">
        <f aca="false">IF(F721="","",IF(AND(H721&lt;&gt;"",COUNTIF(Pessoas!$E:$E,H721)&gt;0),"SIM",IF(COUNTIF(Pessoas!$C:$C,F721)&gt;0,"nome igual em Pessoas: confira o CPF","")))</f>
        <v/>
      </c>
      <c r="M721" s="24"/>
      <c r="N721" s="11"/>
    </row>
    <row r="722" customFormat="false" ht="15" hidden="false" customHeight="false" outlineLevel="0" collapsed="false">
      <c r="A722" s="24"/>
      <c r="B722" s="31" t="str">
        <f aca="false">IF(A722="","",IF(LEN(UPPER(SUBSTITUTE(SUBSTITUTE(SUBSTITUTE(SUBSTITUTE(TRIM(A722),".",""),"/",""),"-","")," ","")))&lt;14,RIGHT(REPT("0",14)&amp;UPPER(SUBSTITUTE(SUBSTITUTE(SUBSTITUTE(SUBSTITUTE(TRIM(A722),".",""),"/",""),"-","")," ","")),14),UPPER(SUBSTITUTE(SUBSTITUTE(SUBSTITUTE(SUBSTITUTE(TRIM(A722),".",""),"/",""),"-","")," ",""))))</f>
        <v/>
      </c>
      <c r="C722" s="25" t="str">
        <f aca="false">IF(B722="","",IFERROR(INDEX(Empresas!$C:$C,MATCH(B722,Empresas!$B:$B,0)),"cadastre o CNPJ em Empresas"))</f>
        <v/>
      </c>
      <c r="D722" s="23"/>
      <c r="E722" s="24"/>
      <c r="F722" s="31" t="str">
        <f aca="false">IF(D722="","",SUBSTITUTE(SUBSTITUTE(SUBSTITUTE(SUBSTITUTE(SUBSTITUTE(SUBSTITUTE(SUBSTITUTE(SUBSTITUTE(SUBSTITUTE(SUBSTITUTE(SUBSTITUTE(SUBSTITUTE(SUBSTITUTE(UPPER(TRIM(D722)),"Á","A"),"À","A"),"Â","A"),"Ã","A"),"É","E"),"Ê","E"),"Í","I"),"Ó","O"),"Ô","O"),"Õ","O"),"Ú","U"),"Ü","U"),"Ç","C"))</f>
        <v/>
      </c>
      <c r="G722" s="31" t="str">
        <f aca="false">IF(E722="","",IF(LEN(SUBSTITUTE(SUBSTITUTE(SUBSTITUTE(SUBSTITUTE(TRIM(E722),"*",""),".",""),"-","")," ",""))=11,MID(SUBSTITUTE(SUBSTITUTE(SUBSTITUTE(SUBSTITUTE(TRIM(E722),"*",""),".",""),"-","")," ",""),4,6),SUBSTITUTE(SUBSTITUTE(SUBSTITUTE(SUBSTITUTE(TRIM(E722),"*",""),".",""),"-","")," ","")))</f>
        <v/>
      </c>
      <c r="H722" s="31" t="str">
        <f aca="false">IF(OR(F722="",G722=""),"",F722&amp;"|"&amp;G722)</f>
        <v/>
      </c>
      <c r="I722" s="23"/>
      <c r="J722" s="22"/>
      <c r="K722" s="22"/>
      <c r="L722" s="25" t="str">
        <f aca="false">IF(F722="","",IF(AND(H722&lt;&gt;"",COUNTIF(Pessoas!$E:$E,H722)&gt;0),"SIM",IF(COUNTIF(Pessoas!$C:$C,F722)&gt;0,"nome igual em Pessoas: confira o CPF","")))</f>
        <v/>
      </c>
      <c r="M722" s="24"/>
      <c r="N722" s="11"/>
    </row>
    <row r="723" customFormat="false" ht="15" hidden="false" customHeight="false" outlineLevel="0" collapsed="false">
      <c r="A723" s="24"/>
      <c r="B723" s="31" t="str">
        <f aca="false">IF(A723="","",IF(LEN(UPPER(SUBSTITUTE(SUBSTITUTE(SUBSTITUTE(SUBSTITUTE(TRIM(A723),".",""),"/",""),"-","")," ","")))&lt;14,RIGHT(REPT("0",14)&amp;UPPER(SUBSTITUTE(SUBSTITUTE(SUBSTITUTE(SUBSTITUTE(TRIM(A723),".",""),"/",""),"-","")," ","")),14),UPPER(SUBSTITUTE(SUBSTITUTE(SUBSTITUTE(SUBSTITUTE(TRIM(A723),".",""),"/",""),"-","")," ",""))))</f>
        <v/>
      </c>
      <c r="C723" s="25" t="str">
        <f aca="false">IF(B723="","",IFERROR(INDEX(Empresas!$C:$C,MATCH(B723,Empresas!$B:$B,0)),"cadastre o CNPJ em Empresas"))</f>
        <v/>
      </c>
      <c r="D723" s="23"/>
      <c r="E723" s="24"/>
      <c r="F723" s="31" t="str">
        <f aca="false">IF(D723="","",SUBSTITUTE(SUBSTITUTE(SUBSTITUTE(SUBSTITUTE(SUBSTITUTE(SUBSTITUTE(SUBSTITUTE(SUBSTITUTE(SUBSTITUTE(SUBSTITUTE(SUBSTITUTE(SUBSTITUTE(SUBSTITUTE(UPPER(TRIM(D723)),"Á","A"),"À","A"),"Â","A"),"Ã","A"),"É","E"),"Ê","E"),"Í","I"),"Ó","O"),"Ô","O"),"Õ","O"),"Ú","U"),"Ü","U"),"Ç","C"))</f>
        <v/>
      </c>
      <c r="G723" s="31" t="str">
        <f aca="false">IF(E723="","",IF(LEN(SUBSTITUTE(SUBSTITUTE(SUBSTITUTE(SUBSTITUTE(TRIM(E723),"*",""),".",""),"-","")," ",""))=11,MID(SUBSTITUTE(SUBSTITUTE(SUBSTITUTE(SUBSTITUTE(TRIM(E723),"*",""),".",""),"-","")," ",""),4,6),SUBSTITUTE(SUBSTITUTE(SUBSTITUTE(SUBSTITUTE(TRIM(E723),"*",""),".",""),"-","")," ","")))</f>
        <v/>
      </c>
      <c r="H723" s="31" t="str">
        <f aca="false">IF(OR(F723="",G723=""),"",F723&amp;"|"&amp;G723)</f>
        <v/>
      </c>
      <c r="I723" s="23"/>
      <c r="J723" s="22"/>
      <c r="K723" s="22"/>
      <c r="L723" s="25" t="str">
        <f aca="false">IF(F723="","",IF(AND(H723&lt;&gt;"",COUNTIF(Pessoas!$E:$E,H723)&gt;0),"SIM",IF(COUNTIF(Pessoas!$C:$C,F723)&gt;0,"nome igual em Pessoas: confira o CPF","")))</f>
        <v/>
      </c>
      <c r="M723" s="24"/>
      <c r="N723" s="11"/>
    </row>
    <row r="724" customFormat="false" ht="15" hidden="false" customHeight="false" outlineLevel="0" collapsed="false">
      <c r="A724" s="24"/>
      <c r="B724" s="31" t="str">
        <f aca="false">IF(A724="","",IF(LEN(UPPER(SUBSTITUTE(SUBSTITUTE(SUBSTITUTE(SUBSTITUTE(TRIM(A724),".",""),"/",""),"-","")," ","")))&lt;14,RIGHT(REPT("0",14)&amp;UPPER(SUBSTITUTE(SUBSTITUTE(SUBSTITUTE(SUBSTITUTE(TRIM(A724),".",""),"/",""),"-","")," ","")),14),UPPER(SUBSTITUTE(SUBSTITUTE(SUBSTITUTE(SUBSTITUTE(TRIM(A724),".",""),"/",""),"-","")," ",""))))</f>
        <v/>
      </c>
      <c r="C724" s="25" t="str">
        <f aca="false">IF(B724="","",IFERROR(INDEX(Empresas!$C:$C,MATCH(B724,Empresas!$B:$B,0)),"cadastre o CNPJ em Empresas"))</f>
        <v/>
      </c>
      <c r="D724" s="23"/>
      <c r="E724" s="24"/>
      <c r="F724" s="31" t="str">
        <f aca="false">IF(D724="","",SUBSTITUTE(SUBSTITUTE(SUBSTITUTE(SUBSTITUTE(SUBSTITUTE(SUBSTITUTE(SUBSTITUTE(SUBSTITUTE(SUBSTITUTE(SUBSTITUTE(SUBSTITUTE(SUBSTITUTE(SUBSTITUTE(UPPER(TRIM(D724)),"Á","A"),"À","A"),"Â","A"),"Ã","A"),"É","E"),"Ê","E"),"Í","I"),"Ó","O"),"Ô","O"),"Õ","O"),"Ú","U"),"Ü","U"),"Ç","C"))</f>
        <v/>
      </c>
      <c r="G724" s="31" t="str">
        <f aca="false">IF(E724="","",IF(LEN(SUBSTITUTE(SUBSTITUTE(SUBSTITUTE(SUBSTITUTE(TRIM(E724),"*",""),".",""),"-","")," ",""))=11,MID(SUBSTITUTE(SUBSTITUTE(SUBSTITUTE(SUBSTITUTE(TRIM(E724),"*",""),".",""),"-","")," ",""),4,6),SUBSTITUTE(SUBSTITUTE(SUBSTITUTE(SUBSTITUTE(TRIM(E724),"*",""),".",""),"-","")," ","")))</f>
        <v/>
      </c>
      <c r="H724" s="31" t="str">
        <f aca="false">IF(OR(F724="",G724=""),"",F724&amp;"|"&amp;G724)</f>
        <v/>
      </c>
      <c r="I724" s="23"/>
      <c r="J724" s="22"/>
      <c r="K724" s="22"/>
      <c r="L724" s="25" t="str">
        <f aca="false">IF(F724="","",IF(AND(H724&lt;&gt;"",COUNTIF(Pessoas!$E:$E,H724)&gt;0),"SIM",IF(COUNTIF(Pessoas!$C:$C,F724)&gt;0,"nome igual em Pessoas: confira o CPF","")))</f>
        <v/>
      </c>
      <c r="M724" s="24"/>
      <c r="N724" s="11"/>
    </row>
    <row r="725" customFormat="false" ht="15" hidden="false" customHeight="false" outlineLevel="0" collapsed="false">
      <c r="A725" s="24"/>
      <c r="B725" s="31" t="str">
        <f aca="false">IF(A725="","",IF(LEN(UPPER(SUBSTITUTE(SUBSTITUTE(SUBSTITUTE(SUBSTITUTE(TRIM(A725),".",""),"/",""),"-","")," ","")))&lt;14,RIGHT(REPT("0",14)&amp;UPPER(SUBSTITUTE(SUBSTITUTE(SUBSTITUTE(SUBSTITUTE(TRIM(A725),".",""),"/",""),"-","")," ","")),14),UPPER(SUBSTITUTE(SUBSTITUTE(SUBSTITUTE(SUBSTITUTE(TRIM(A725),".",""),"/",""),"-","")," ",""))))</f>
        <v/>
      </c>
      <c r="C725" s="25" t="str">
        <f aca="false">IF(B725="","",IFERROR(INDEX(Empresas!$C:$C,MATCH(B725,Empresas!$B:$B,0)),"cadastre o CNPJ em Empresas"))</f>
        <v/>
      </c>
      <c r="D725" s="23"/>
      <c r="E725" s="24"/>
      <c r="F725" s="31" t="str">
        <f aca="false">IF(D725="","",SUBSTITUTE(SUBSTITUTE(SUBSTITUTE(SUBSTITUTE(SUBSTITUTE(SUBSTITUTE(SUBSTITUTE(SUBSTITUTE(SUBSTITUTE(SUBSTITUTE(SUBSTITUTE(SUBSTITUTE(SUBSTITUTE(UPPER(TRIM(D725)),"Á","A"),"À","A"),"Â","A"),"Ã","A"),"É","E"),"Ê","E"),"Í","I"),"Ó","O"),"Ô","O"),"Õ","O"),"Ú","U"),"Ü","U"),"Ç","C"))</f>
        <v/>
      </c>
      <c r="G725" s="31" t="str">
        <f aca="false">IF(E725="","",IF(LEN(SUBSTITUTE(SUBSTITUTE(SUBSTITUTE(SUBSTITUTE(TRIM(E725),"*",""),".",""),"-","")," ",""))=11,MID(SUBSTITUTE(SUBSTITUTE(SUBSTITUTE(SUBSTITUTE(TRIM(E725),"*",""),".",""),"-","")," ",""),4,6),SUBSTITUTE(SUBSTITUTE(SUBSTITUTE(SUBSTITUTE(TRIM(E725),"*",""),".",""),"-","")," ","")))</f>
        <v/>
      </c>
      <c r="H725" s="31" t="str">
        <f aca="false">IF(OR(F725="",G725=""),"",F725&amp;"|"&amp;G725)</f>
        <v/>
      </c>
      <c r="I725" s="23"/>
      <c r="J725" s="22"/>
      <c r="K725" s="22"/>
      <c r="L725" s="25" t="str">
        <f aca="false">IF(F725="","",IF(AND(H725&lt;&gt;"",COUNTIF(Pessoas!$E:$E,H725)&gt;0),"SIM",IF(COUNTIF(Pessoas!$C:$C,F725)&gt;0,"nome igual em Pessoas: confira o CPF","")))</f>
        <v/>
      </c>
      <c r="M725" s="24"/>
      <c r="N725" s="11"/>
    </row>
    <row r="726" customFormat="false" ht="15" hidden="false" customHeight="false" outlineLevel="0" collapsed="false">
      <c r="A726" s="24"/>
      <c r="B726" s="31" t="str">
        <f aca="false">IF(A726="","",IF(LEN(UPPER(SUBSTITUTE(SUBSTITUTE(SUBSTITUTE(SUBSTITUTE(TRIM(A726),".",""),"/",""),"-","")," ","")))&lt;14,RIGHT(REPT("0",14)&amp;UPPER(SUBSTITUTE(SUBSTITUTE(SUBSTITUTE(SUBSTITUTE(TRIM(A726),".",""),"/",""),"-","")," ","")),14),UPPER(SUBSTITUTE(SUBSTITUTE(SUBSTITUTE(SUBSTITUTE(TRIM(A726),".",""),"/",""),"-","")," ",""))))</f>
        <v/>
      </c>
      <c r="C726" s="25" t="str">
        <f aca="false">IF(B726="","",IFERROR(INDEX(Empresas!$C:$C,MATCH(B726,Empresas!$B:$B,0)),"cadastre o CNPJ em Empresas"))</f>
        <v/>
      </c>
      <c r="D726" s="23"/>
      <c r="E726" s="24"/>
      <c r="F726" s="31" t="str">
        <f aca="false">IF(D726="","",SUBSTITUTE(SUBSTITUTE(SUBSTITUTE(SUBSTITUTE(SUBSTITUTE(SUBSTITUTE(SUBSTITUTE(SUBSTITUTE(SUBSTITUTE(SUBSTITUTE(SUBSTITUTE(SUBSTITUTE(SUBSTITUTE(UPPER(TRIM(D726)),"Á","A"),"À","A"),"Â","A"),"Ã","A"),"É","E"),"Ê","E"),"Í","I"),"Ó","O"),"Ô","O"),"Õ","O"),"Ú","U"),"Ü","U"),"Ç","C"))</f>
        <v/>
      </c>
      <c r="G726" s="31" t="str">
        <f aca="false">IF(E726="","",IF(LEN(SUBSTITUTE(SUBSTITUTE(SUBSTITUTE(SUBSTITUTE(TRIM(E726),"*",""),".",""),"-","")," ",""))=11,MID(SUBSTITUTE(SUBSTITUTE(SUBSTITUTE(SUBSTITUTE(TRIM(E726),"*",""),".",""),"-","")," ",""),4,6),SUBSTITUTE(SUBSTITUTE(SUBSTITUTE(SUBSTITUTE(TRIM(E726),"*",""),".",""),"-","")," ","")))</f>
        <v/>
      </c>
      <c r="H726" s="31" t="str">
        <f aca="false">IF(OR(F726="",G726=""),"",F726&amp;"|"&amp;G726)</f>
        <v/>
      </c>
      <c r="I726" s="23"/>
      <c r="J726" s="22"/>
      <c r="K726" s="22"/>
      <c r="L726" s="25" t="str">
        <f aca="false">IF(F726="","",IF(AND(H726&lt;&gt;"",COUNTIF(Pessoas!$E:$E,H726)&gt;0),"SIM",IF(COUNTIF(Pessoas!$C:$C,F726)&gt;0,"nome igual em Pessoas: confira o CPF","")))</f>
        <v/>
      </c>
      <c r="M726" s="24"/>
      <c r="N726" s="11"/>
    </row>
    <row r="727" customFormat="false" ht="15" hidden="false" customHeight="false" outlineLevel="0" collapsed="false">
      <c r="A727" s="24"/>
      <c r="B727" s="31" t="str">
        <f aca="false">IF(A727="","",IF(LEN(UPPER(SUBSTITUTE(SUBSTITUTE(SUBSTITUTE(SUBSTITUTE(TRIM(A727),".",""),"/",""),"-","")," ","")))&lt;14,RIGHT(REPT("0",14)&amp;UPPER(SUBSTITUTE(SUBSTITUTE(SUBSTITUTE(SUBSTITUTE(TRIM(A727),".",""),"/",""),"-","")," ","")),14),UPPER(SUBSTITUTE(SUBSTITUTE(SUBSTITUTE(SUBSTITUTE(TRIM(A727),".",""),"/",""),"-","")," ",""))))</f>
        <v/>
      </c>
      <c r="C727" s="25" t="str">
        <f aca="false">IF(B727="","",IFERROR(INDEX(Empresas!$C:$C,MATCH(B727,Empresas!$B:$B,0)),"cadastre o CNPJ em Empresas"))</f>
        <v/>
      </c>
      <c r="D727" s="23"/>
      <c r="E727" s="24"/>
      <c r="F727" s="31" t="str">
        <f aca="false">IF(D727="","",SUBSTITUTE(SUBSTITUTE(SUBSTITUTE(SUBSTITUTE(SUBSTITUTE(SUBSTITUTE(SUBSTITUTE(SUBSTITUTE(SUBSTITUTE(SUBSTITUTE(SUBSTITUTE(SUBSTITUTE(SUBSTITUTE(UPPER(TRIM(D727)),"Á","A"),"À","A"),"Â","A"),"Ã","A"),"É","E"),"Ê","E"),"Í","I"),"Ó","O"),"Ô","O"),"Õ","O"),"Ú","U"),"Ü","U"),"Ç","C"))</f>
        <v/>
      </c>
      <c r="G727" s="31" t="str">
        <f aca="false">IF(E727="","",IF(LEN(SUBSTITUTE(SUBSTITUTE(SUBSTITUTE(SUBSTITUTE(TRIM(E727),"*",""),".",""),"-","")," ",""))=11,MID(SUBSTITUTE(SUBSTITUTE(SUBSTITUTE(SUBSTITUTE(TRIM(E727),"*",""),".",""),"-","")," ",""),4,6),SUBSTITUTE(SUBSTITUTE(SUBSTITUTE(SUBSTITUTE(TRIM(E727),"*",""),".",""),"-","")," ","")))</f>
        <v/>
      </c>
      <c r="H727" s="31" t="str">
        <f aca="false">IF(OR(F727="",G727=""),"",F727&amp;"|"&amp;G727)</f>
        <v/>
      </c>
      <c r="I727" s="23"/>
      <c r="J727" s="22"/>
      <c r="K727" s="22"/>
      <c r="L727" s="25" t="str">
        <f aca="false">IF(F727="","",IF(AND(H727&lt;&gt;"",COUNTIF(Pessoas!$E:$E,H727)&gt;0),"SIM",IF(COUNTIF(Pessoas!$C:$C,F727)&gt;0,"nome igual em Pessoas: confira o CPF","")))</f>
        <v/>
      </c>
      <c r="M727" s="24"/>
      <c r="N727" s="11"/>
    </row>
    <row r="728" customFormat="false" ht="15" hidden="false" customHeight="false" outlineLevel="0" collapsed="false">
      <c r="A728" s="24"/>
      <c r="B728" s="31" t="str">
        <f aca="false">IF(A728="","",IF(LEN(UPPER(SUBSTITUTE(SUBSTITUTE(SUBSTITUTE(SUBSTITUTE(TRIM(A728),".",""),"/",""),"-","")," ","")))&lt;14,RIGHT(REPT("0",14)&amp;UPPER(SUBSTITUTE(SUBSTITUTE(SUBSTITUTE(SUBSTITUTE(TRIM(A728),".",""),"/",""),"-","")," ","")),14),UPPER(SUBSTITUTE(SUBSTITUTE(SUBSTITUTE(SUBSTITUTE(TRIM(A728),".",""),"/",""),"-","")," ",""))))</f>
        <v/>
      </c>
      <c r="C728" s="25" t="str">
        <f aca="false">IF(B728="","",IFERROR(INDEX(Empresas!$C:$C,MATCH(B728,Empresas!$B:$B,0)),"cadastre o CNPJ em Empresas"))</f>
        <v/>
      </c>
      <c r="D728" s="23"/>
      <c r="E728" s="24"/>
      <c r="F728" s="31" t="str">
        <f aca="false">IF(D728="","",SUBSTITUTE(SUBSTITUTE(SUBSTITUTE(SUBSTITUTE(SUBSTITUTE(SUBSTITUTE(SUBSTITUTE(SUBSTITUTE(SUBSTITUTE(SUBSTITUTE(SUBSTITUTE(SUBSTITUTE(SUBSTITUTE(UPPER(TRIM(D728)),"Á","A"),"À","A"),"Â","A"),"Ã","A"),"É","E"),"Ê","E"),"Í","I"),"Ó","O"),"Ô","O"),"Õ","O"),"Ú","U"),"Ü","U"),"Ç","C"))</f>
        <v/>
      </c>
      <c r="G728" s="31" t="str">
        <f aca="false">IF(E728="","",IF(LEN(SUBSTITUTE(SUBSTITUTE(SUBSTITUTE(SUBSTITUTE(TRIM(E728),"*",""),".",""),"-","")," ",""))=11,MID(SUBSTITUTE(SUBSTITUTE(SUBSTITUTE(SUBSTITUTE(TRIM(E728),"*",""),".",""),"-","")," ",""),4,6),SUBSTITUTE(SUBSTITUTE(SUBSTITUTE(SUBSTITUTE(TRIM(E728),"*",""),".",""),"-","")," ","")))</f>
        <v/>
      </c>
      <c r="H728" s="31" t="str">
        <f aca="false">IF(OR(F728="",G728=""),"",F728&amp;"|"&amp;G728)</f>
        <v/>
      </c>
      <c r="I728" s="23"/>
      <c r="J728" s="22"/>
      <c r="K728" s="22"/>
      <c r="L728" s="25" t="str">
        <f aca="false">IF(F728="","",IF(AND(H728&lt;&gt;"",COUNTIF(Pessoas!$E:$E,H728)&gt;0),"SIM",IF(COUNTIF(Pessoas!$C:$C,F728)&gt;0,"nome igual em Pessoas: confira o CPF","")))</f>
        <v/>
      </c>
      <c r="M728" s="24"/>
      <c r="N728" s="11"/>
    </row>
    <row r="729" customFormat="false" ht="15" hidden="false" customHeight="false" outlineLevel="0" collapsed="false">
      <c r="A729" s="24"/>
      <c r="B729" s="31" t="str">
        <f aca="false">IF(A729="","",IF(LEN(UPPER(SUBSTITUTE(SUBSTITUTE(SUBSTITUTE(SUBSTITUTE(TRIM(A729),".",""),"/",""),"-","")," ","")))&lt;14,RIGHT(REPT("0",14)&amp;UPPER(SUBSTITUTE(SUBSTITUTE(SUBSTITUTE(SUBSTITUTE(TRIM(A729),".",""),"/",""),"-","")," ","")),14),UPPER(SUBSTITUTE(SUBSTITUTE(SUBSTITUTE(SUBSTITUTE(TRIM(A729),".",""),"/",""),"-","")," ",""))))</f>
        <v/>
      </c>
      <c r="C729" s="25" t="str">
        <f aca="false">IF(B729="","",IFERROR(INDEX(Empresas!$C:$C,MATCH(B729,Empresas!$B:$B,0)),"cadastre o CNPJ em Empresas"))</f>
        <v/>
      </c>
      <c r="D729" s="23"/>
      <c r="E729" s="24"/>
      <c r="F729" s="31" t="str">
        <f aca="false">IF(D729="","",SUBSTITUTE(SUBSTITUTE(SUBSTITUTE(SUBSTITUTE(SUBSTITUTE(SUBSTITUTE(SUBSTITUTE(SUBSTITUTE(SUBSTITUTE(SUBSTITUTE(SUBSTITUTE(SUBSTITUTE(SUBSTITUTE(UPPER(TRIM(D729)),"Á","A"),"À","A"),"Â","A"),"Ã","A"),"É","E"),"Ê","E"),"Í","I"),"Ó","O"),"Ô","O"),"Õ","O"),"Ú","U"),"Ü","U"),"Ç","C"))</f>
        <v/>
      </c>
      <c r="G729" s="31" t="str">
        <f aca="false">IF(E729="","",IF(LEN(SUBSTITUTE(SUBSTITUTE(SUBSTITUTE(SUBSTITUTE(TRIM(E729),"*",""),".",""),"-","")," ",""))=11,MID(SUBSTITUTE(SUBSTITUTE(SUBSTITUTE(SUBSTITUTE(TRIM(E729),"*",""),".",""),"-","")," ",""),4,6),SUBSTITUTE(SUBSTITUTE(SUBSTITUTE(SUBSTITUTE(TRIM(E729),"*",""),".",""),"-","")," ","")))</f>
        <v/>
      </c>
      <c r="H729" s="31" t="str">
        <f aca="false">IF(OR(F729="",G729=""),"",F729&amp;"|"&amp;G729)</f>
        <v/>
      </c>
      <c r="I729" s="23"/>
      <c r="J729" s="22"/>
      <c r="K729" s="22"/>
      <c r="L729" s="25" t="str">
        <f aca="false">IF(F729="","",IF(AND(H729&lt;&gt;"",COUNTIF(Pessoas!$E:$E,H729)&gt;0),"SIM",IF(COUNTIF(Pessoas!$C:$C,F729)&gt;0,"nome igual em Pessoas: confira o CPF","")))</f>
        <v/>
      </c>
      <c r="M729" s="24"/>
      <c r="N729" s="11"/>
    </row>
    <row r="730" customFormat="false" ht="15" hidden="false" customHeight="false" outlineLevel="0" collapsed="false">
      <c r="A730" s="24"/>
      <c r="B730" s="31" t="str">
        <f aca="false">IF(A730="","",IF(LEN(UPPER(SUBSTITUTE(SUBSTITUTE(SUBSTITUTE(SUBSTITUTE(TRIM(A730),".",""),"/",""),"-","")," ","")))&lt;14,RIGHT(REPT("0",14)&amp;UPPER(SUBSTITUTE(SUBSTITUTE(SUBSTITUTE(SUBSTITUTE(TRIM(A730),".",""),"/",""),"-","")," ","")),14),UPPER(SUBSTITUTE(SUBSTITUTE(SUBSTITUTE(SUBSTITUTE(TRIM(A730),".",""),"/",""),"-","")," ",""))))</f>
        <v/>
      </c>
      <c r="C730" s="25" t="str">
        <f aca="false">IF(B730="","",IFERROR(INDEX(Empresas!$C:$C,MATCH(B730,Empresas!$B:$B,0)),"cadastre o CNPJ em Empresas"))</f>
        <v/>
      </c>
      <c r="D730" s="23"/>
      <c r="E730" s="24"/>
      <c r="F730" s="31" t="str">
        <f aca="false">IF(D730="","",SUBSTITUTE(SUBSTITUTE(SUBSTITUTE(SUBSTITUTE(SUBSTITUTE(SUBSTITUTE(SUBSTITUTE(SUBSTITUTE(SUBSTITUTE(SUBSTITUTE(SUBSTITUTE(SUBSTITUTE(SUBSTITUTE(UPPER(TRIM(D730)),"Á","A"),"À","A"),"Â","A"),"Ã","A"),"É","E"),"Ê","E"),"Í","I"),"Ó","O"),"Ô","O"),"Õ","O"),"Ú","U"),"Ü","U"),"Ç","C"))</f>
        <v/>
      </c>
      <c r="G730" s="31" t="str">
        <f aca="false">IF(E730="","",IF(LEN(SUBSTITUTE(SUBSTITUTE(SUBSTITUTE(SUBSTITUTE(TRIM(E730),"*",""),".",""),"-","")," ",""))=11,MID(SUBSTITUTE(SUBSTITUTE(SUBSTITUTE(SUBSTITUTE(TRIM(E730),"*",""),".",""),"-","")," ",""),4,6),SUBSTITUTE(SUBSTITUTE(SUBSTITUTE(SUBSTITUTE(TRIM(E730),"*",""),".",""),"-","")," ","")))</f>
        <v/>
      </c>
      <c r="H730" s="31" t="str">
        <f aca="false">IF(OR(F730="",G730=""),"",F730&amp;"|"&amp;G730)</f>
        <v/>
      </c>
      <c r="I730" s="23"/>
      <c r="J730" s="22"/>
      <c r="K730" s="22"/>
      <c r="L730" s="25" t="str">
        <f aca="false">IF(F730="","",IF(AND(H730&lt;&gt;"",COUNTIF(Pessoas!$E:$E,H730)&gt;0),"SIM",IF(COUNTIF(Pessoas!$C:$C,F730)&gt;0,"nome igual em Pessoas: confira o CPF","")))</f>
        <v/>
      </c>
      <c r="M730" s="24"/>
      <c r="N730" s="11"/>
    </row>
    <row r="731" customFormat="false" ht="15" hidden="false" customHeight="false" outlineLevel="0" collapsed="false">
      <c r="A731" s="24"/>
      <c r="B731" s="31" t="str">
        <f aca="false">IF(A731="","",IF(LEN(UPPER(SUBSTITUTE(SUBSTITUTE(SUBSTITUTE(SUBSTITUTE(TRIM(A731),".",""),"/",""),"-","")," ","")))&lt;14,RIGHT(REPT("0",14)&amp;UPPER(SUBSTITUTE(SUBSTITUTE(SUBSTITUTE(SUBSTITUTE(TRIM(A731),".",""),"/",""),"-","")," ","")),14),UPPER(SUBSTITUTE(SUBSTITUTE(SUBSTITUTE(SUBSTITUTE(TRIM(A731),".",""),"/",""),"-","")," ",""))))</f>
        <v/>
      </c>
      <c r="C731" s="25" t="str">
        <f aca="false">IF(B731="","",IFERROR(INDEX(Empresas!$C:$C,MATCH(B731,Empresas!$B:$B,0)),"cadastre o CNPJ em Empresas"))</f>
        <v/>
      </c>
      <c r="D731" s="23"/>
      <c r="E731" s="24"/>
      <c r="F731" s="31" t="str">
        <f aca="false">IF(D731="","",SUBSTITUTE(SUBSTITUTE(SUBSTITUTE(SUBSTITUTE(SUBSTITUTE(SUBSTITUTE(SUBSTITUTE(SUBSTITUTE(SUBSTITUTE(SUBSTITUTE(SUBSTITUTE(SUBSTITUTE(SUBSTITUTE(UPPER(TRIM(D731)),"Á","A"),"À","A"),"Â","A"),"Ã","A"),"É","E"),"Ê","E"),"Í","I"),"Ó","O"),"Ô","O"),"Õ","O"),"Ú","U"),"Ü","U"),"Ç","C"))</f>
        <v/>
      </c>
      <c r="G731" s="31" t="str">
        <f aca="false">IF(E731="","",IF(LEN(SUBSTITUTE(SUBSTITUTE(SUBSTITUTE(SUBSTITUTE(TRIM(E731),"*",""),".",""),"-","")," ",""))=11,MID(SUBSTITUTE(SUBSTITUTE(SUBSTITUTE(SUBSTITUTE(TRIM(E731),"*",""),".",""),"-","")," ",""),4,6),SUBSTITUTE(SUBSTITUTE(SUBSTITUTE(SUBSTITUTE(TRIM(E731),"*",""),".",""),"-","")," ","")))</f>
        <v/>
      </c>
      <c r="H731" s="31" t="str">
        <f aca="false">IF(OR(F731="",G731=""),"",F731&amp;"|"&amp;G731)</f>
        <v/>
      </c>
      <c r="I731" s="23"/>
      <c r="J731" s="22"/>
      <c r="K731" s="22"/>
      <c r="L731" s="25" t="str">
        <f aca="false">IF(F731="","",IF(AND(H731&lt;&gt;"",COUNTIF(Pessoas!$E:$E,H731)&gt;0),"SIM",IF(COUNTIF(Pessoas!$C:$C,F731)&gt;0,"nome igual em Pessoas: confira o CPF","")))</f>
        <v/>
      </c>
      <c r="M731" s="24"/>
      <c r="N731" s="11"/>
    </row>
    <row r="732" customFormat="false" ht="15" hidden="false" customHeight="false" outlineLevel="0" collapsed="false">
      <c r="A732" s="24"/>
      <c r="B732" s="31" t="str">
        <f aca="false">IF(A732="","",IF(LEN(UPPER(SUBSTITUTE(SUBSTITUTE(SUBSTITUTE(SUBSTITUTE(TRIM(A732),".",""),"/",""),"-","")," ","")))&lt;14,RIGHT(REPT("0",14)&amp;UPPER(SUBSTITUTE(SUBSTITUTE(SUBSTITUTE(SUBSTITUTE(TRIM(A732),".",""),"/",""),"-","")," ","")),14),UPPER(SUBSTITUTE(SUBSTITUTE(SUBSTITUTE(SUBSTITUTE(TRIM(A732),".",""),"/",""),"-","")," ",""))))</f>
        <v/>
      </c>
      <c r="C732" s="25" t="str">
        <f aca="false">IF(B732="","",IFERROR(INDEX(Empresas!$C:$C,MATCH(B732,Empresas!$B:$B,0)),"cadastre o CNPJ em Empresas"))</f>
        <v/>
      </c>
      <c r="D732" s="23"/>
      <c r="E732" s="24"/>
      <c r="F732" s="31" t="str">
        <f aca="false">IF(D732="","",SUBSTITUTE(SUBSTITUTE(SUBSTITUTE(SUBSTITUTE(SUBSTITUTE(SUBSTITUTE(SUBSTITUTE(SUBSTITUTE(SUBSTITUTE(SUBSTITUTE(SUBSTITUTE(SUBSTITUTE(SUBSTITUTE(UPPER(TRIM(D732)),"Á","A"),"À","A"),"Â","A"),"Ã","A"),"É","E"),"Ê","E"),"Í","I"),"Ó","O"),"Ô","O"),"Õ","O"),"Ú","U"),"Ü","U"),"Ç","C"))</f>
        <v/>
      </c>
      <c r="G732" s="31" t="str">
        <f aca="false">IF(E732="","",IF(LEN(SUBSTITUTE(SUBSTITUTE(SUBSTITUTE(SUBSTITUTE(TRIM(E732),"*",""),".",""),"-","")," ",""))=11,MID(SUBSTITUTE(SUBSTITUTE(SUBSTITUTE(SUBSTITUTE(TRIM(E732),"*",""),".",""),"-","")," ",""),4,6),SUBSTITUTE(SUBSTITUTE(SUBSTITUTE(SUBSTITUTE(TRIM(E732),"*",""),".",""),"-","")," ","")))</f>
        <v/>
      </c>
      <c r="H732" s="31" t="str">
        <f aca="false">IF(OR(F732="",G732=""),"",F732&amp;"|"&amp;G732)</f>
        <v/>
      </c>
      <c r="I732" s="23"/>
      <c r="J732" s="22"/>
      <c r="K732" s="22"/>
      <c r="L732" s="25" t="str">
        <f aca="false">IF(F732="","",IF(AND(H732&lt;&gt;"",COUNTIF(Pessoas!$E:$E,H732)&gt;0),"SIM",IF(COUNTIF(Pessoas!$C:$C,F732)&gt;0,"nome igual em Pessoas: confira o CPF","")))</f>
        <v/>
      </c>
      <c r="M732" s="24"/>
      <c r="N732" s="11"/>
    </row>
    <row r="733" customFormat="false" ht="15" hidden="false" customHeight="false" outlineLevel="0" collapsed="false">
      <c r="A733" s="24"/>
      <c r="B733" s="31" t="str">
        <f aca="false">IF(A733="","",IF(LEN(UPPER(SUBSTITUTE(SUBSTITUTE(SUBSTITUTE(SUBSTITUTE(TRIM(A733),".",""),"/",""),"-","")," ","")))&lt;14,RIGHT(REPT("0",14)&amp;UPPER(SUBSTITUTE(SUBSTITUTE(SUBSTITUTE(SUBSTITUTE(TRIM(A733),".",""),"/",""),"-","")," ","")),14),UPPER(SUBSTITUTE(SUBSTITUTE(SUBSTITUTE(SUBSTITUTE(TRIM(A733),".",""),"/",""),"-","")," ",""))))</f>
        <v/>
      </c>
      <c r="C733" s="25" t="str">
        <f aca="false">IF(B733="","",IFERROR(INDEX(Empresas!$C:$C,MATCH(B733,Empresas!$B:$B,0)),"cadastre o CNPJ em Empresas"))</f>
        <v/>
      </c>
      <c r="D733" s="23"/>
      <c r="E733" s="24"/>
      <c r="F733" s="31" t="str">
        <f aca="false">IF(D733="","",SUBSTITUTE(SUBSTITUTE(SUBSTITUTE(SUBSTITUTE(SUBSTITUTE(SUBSTITUTE(SUBSTITUTE(SUBSTITUTE(SUBSTITUTE(SUBSTITUTE(SUBSTITUTE(SUBSTITUTE(SUBSTITUTE(UPPER(TRIM(D733)),"Á","A"),"À","A"),"Â","A"),"Ã","A"),"É","E"),"Ê","E"),"Í","I"),"Ó","O"),"Ô","O"),"Õ","O"),"Ú","U"),"Ü","U"),"Ç","C"))</f>
        <v/>
      </c>
      <c r="G733" s="31" t="str">
        <f aca="false">IF(E733="","",IF(LEN(SUBSTITUTE(SUBSTITUTE(SUBSTITUTE(SUBSTITUTE(TRIM(E733),"*",""),".",""),"-","")," ",""))=11,MID(SUBSTITUTE(SUBSTITUTE(SUBSTITUTE(SUBSTITUTE(TRIM(E733),"*",""),".",""),"-","")," ",""),4,6),SUBSTITUTE(SUBSTITUTE(SUBSTITUTE(SUBSTITUTE(TRIM(E733),"*",""),".",""),"-","")," ","")))</f>
        <v/>
      </c>
      <c r="H733" s="31" t="str">
        <f aca="false">IF(OR(F733="",G733=""),"",F733&amp;"|"&amp;G733)</f>
        <v/>
      </c>
      <c r="I733" s="23"/>
      <c r="J733" s="22"/>
      <c r="K733" s="22"/>
      <c r="L733" s="25" t="str">
        <f aca="false">IF(F733="","",IF(AND(H733&lt;&gt;"",COUNTIF(Pessoas!$E:$E,H733)&gt;0),"SIM",IF(COUNTIF(Pessoas!$C:$C,F733)&gt;0,"nome igual em Pessoas: confira o CPF","")))</f>
        <v/>
      </c>
      <c r="M733" s="24"/>
      <c r="N733" s="11"/>
    </row>
    <row r="734" customFormat="false" ht="15" hidden="false" customHeight="false" outlineLevel="0" collapsed="false">
      <c r="A734" s="24"/>
      <c r="B734" s="31" t="str">
        <f aca="false">IF(A734="","",IF(LEN(UPPER(SUBSTITUTE(SUBSTITUTE(SUBSTITUTE(SUBSTITUTE(TRIM(A734),".",""),"/",""),"-","")," ","")))&lt;14,RIGHT(REPT("0",14)&amp;UPPER(SUBSTITUTE(SUBSTITUTE(SUBSTITUTE(SUBSTITUTE(TRIM(A734),".",""),"/",""),"-","")," ","")),14),UPPER(SUBSTITUTE(SUBSTITUTE(SUBSTITUTE(SUBSTITUTE(TRIM(A734),".",""),"/",""),"-","")," ",""))))</f>
        <v/>
      </c>
      <c r="C734" s="25" t="str">
        <f aca="false">IF(B734="","",IFERROR(INDEX(Empresas!$C:$C,MATCH(B734,Empresas!$B:$B,0)),"cadastre o CNPJ em Empresas"))</f>
        <v/>
      </c>
      <c r="D734" s="23"/>
      <c r="E734" s="24"/>
      <c r="F734" s="31" t="str">
        <f aca="false">IF(D734="","",SUBSTITUTE(SUBSTITUTE(SUBSTITUTE(SUBSTITUTE(SUBSTITUTE(SUBSTITUTE(SUBSTITUTE(SUBSTITUTE(SUBSTITUTE(SUBSTITUTE(SUBSTITUTE(SUBSTITUTE(SUBSTITUTE(UPPER(TRIM(D734)),"Á","A"),"À","A"),"Â","A"),"Ã","A"),"É","E"),"Ê","E"),"Í","I"),"Ó","O"),"Ô","O"),"Õ","O"),"Ú","U"),"Ü","U"),"Ç","C"))</f>
        <v/>
      </c>
      <c r="G734" s="31" t="str">
        <f aca="false">IF(E734="","",IF(LEN(SUBSTITUTE(SUBSTITUTE(SUBSTITUTE(SUBSTITUTE(TRIM(E734),"*",""),".",""),"-","")," ",""))=11,MID(SUBSTITUTE(SUBSTITUTE(SUBSTITUTE(SUBSTITUTE(TRIM(E734),"*",""),".",""),"-","")," ",""),4,6),SUBSTITUTE(SUBSTITUTE(SUBSTITUTE(SUBSTITUTE(TRIM(E734),"*",""),".",""),"-","")," ","")))</f>
        <v/>
      </c>
      <c r="H734" s="31" t="str">
        <f aca="false">IF(OR(F734="",G734=""),"",F734&amp;"|"&amp;G734)</f>
        <v/>
      </c>
      <c r="I734" s="23"/>
      <c r="J734" s="22"/>
      <c r="K734" s="22"/>
      <c r="L734" s="25" t="str">
        <f aca="false">IF(F734="","",IF(AND(H734&lt;&gt;"",COUNTIF(Pessoas!$E:$E,H734)&gt;0),"SIM",IF(COUNTIF(Pessoas!$C:$C,F734)&gt;0,"nome igual em Pessoas: confira o CPF","")))</f>
        <v/>
      </c>
      <c r="M734" s="24"/>
      <c r="N734" s="11"/>
    </row>
    <row r="735" customFormat="false" ht="15" hidden="false" customHeight="false" outlineLevel="0" collapsed="false">
      <c r="A735" s="24"/>
      <c r="B735" s="31" t="str">
        <f aca="false">IF(A735="","",IF(LEN(UPPER(SUBSTITUTE(SUBSTITUTE(SUBSTITUTE(SUBSTITUTE(TRIM(A735),".",""),"/",""),"-","")," ","")))&lt;14,RIGHT(REPT("0",14)&amp;UPPER(SUBSTITUTE(SUBSTITUTE(SUBSTITUTE(SUBSTITUTE(TRIM(A735),".",""),"/",""),"-","")," ","")),14),UPPER(SUBSTITUTE(SUBSTITUTE(SUBSTITUTE(SUBSTITUTE(TRIM(A735),".",""),"/",""),"-","")," ",""))))</f>
        <v/>
      </c>
      <c r="C735" s="25" t="str">
        <f aca="false">IF(B735="","",IFERROR(INDEX(Empresas!$C:$C,MATCH(B735,Empresas!$B:$B,0)),"cadastre o CNPJ em Empresas"))</f>
        <v/>
      </c>
      <c r="D735" s="23"/>
      <c r="E735" s="24"/>
      <c r="F735" s="31" t="str">
        <f aca="false">IF(D735="","",SUBSTITUTE(SUBSTITUTE(SUBSTITUTE(SUBSTITUTE(SUBSTITUTE(SUBSTITUTE(SUBSTITUTE(SUBSTITUTE(SUBSTITUTE(SUBSTITUTE(SUBSTITUTE(SUBSTITUTE(SUBSTITUTE(UPPER(TRIM(D735)),"Á","A"),"À","A"),"Â","A"),"Ã","A"),"É","E"),"Ê","E"),"Í","I"),"Ó","O"),"Ô","O"),"Õ","O"),"Ú","U"),"Ü","U"),"Ç","C"))</f>
        <v/>
      </c>
      <c r="G735" s="31" t="str">
        <f aca="false">IF(E735="","",IF(LEN(SUBSTITUTE(SUBSTITUTE(SUBSTITUTE(SUBSTITUTE(TRIM(E735),"*",""),".",""),"-","")," ",""))=11,MID(SUBSTITUTE(SUBSTITUTE(SUBSTITUTE(SUBSTITUTE(TRIM(E735),"*",""),".",""),"-","")," ",""),4,6),SUBSTITUTE(SUBSTITUTE(SUBSTITUTE(SUBSTITUTE(TRIM(E735),"*",""),".",""),"-","")," ","")))</f>
        <v/>
      </c>
      <c r="H735" s="31" t="str">
        <f aca="false">IF(OR(F735="",G735=""),"",F735&amp;"|"&amp;G735)</f>
        <v/>
      </c>
      <c r="I735" s="23"/>
      <c r="J735" s="22"/>
      <c r="K735" s="22"/>
      <c r="L735" s="25" t="str">
        <f aca="false">IF(F735="","",IF(AND(H735&lt;&gt;"",COUNTIF(Pessoas!$E:$E,H735)&gt;0),"SIM",IF(COUNTIF(Pessoas!$C:$C,F735)&gt;0,"nome igual em Pessoas: confira o CPF","")))</f>
        <v/>
      </c>
      <c r="M735" s="24"/>
      <c r="N735" s="11"/>
    </row>
    <row r="736" customFormat="false" ht="15" hidden="false" customHeight="false" outlineLevel="0" collapsed="false">
      <c r="A736" s="24"/>
      <c r="B736" s="31" t="str">
        <f aca="false">IF(A736="","",IF(LEN(UPPER(SUBSTITUTE(SUBSTITUTE(SUBSTITUTE(SUBSTITUTE(TRIM(A736),".",""),"/",""),"-","")," ","")))&lt;14,RIGHT(REPT("0",14)&amp;UPPER(SUBSTITUTE(SUBSTITUTE(SUBSTITUTE(SUBSTITUTE(TRIM(A736),".",""),"/",""),"-","")," ","")),14),UPPER(SUBSTITUTE(SUBSTITUTE(SUBSTITUTE(SUBSTITUTE(TRIM(A736),".",""),"/",""),"-","")," ",""))))</f>
        <v/>
      </c>
      <c r="C736" s="25" t="str">
        <f aca="false">IF(B736="","",IFERROR(INDEX(Empresas!$C:$C,MATCH(B736,Empresas!$B:$B,0)),"cadastre o CNPJ em Empresas"))</f>
        <v/>
      </c>
      <c r="D736" s="23"/>
      <c r="E736" s="24"/>
      <c r="F736" s="31" t="str">
        <f aca="false">IF(D736="","",SUBSTITUTE(SUBSTITUTE(SUBSTITUTE(SUBSTITUTE(SUBSTITUTE(SUBSTITUTE(SUBSTITUTE(SUBSTITUTE(SUBSTITUTE(SUBSTITUTE(SUBSTITUTE(SUBSTITUTE(SUBSTITUTE(UPPER(TRIM(D736)),"Á","A"),"À","A"),"Â","A"),"Ã","A"),"É","E"),"Ê","E"),"Í","I"),"Ó","O"),"Ô","O"),"Õ","O"),"Ú","U"),"Ü","U"),"Ç","C"))</f>
        <v/>
      </c>
      <c r="G736" s="31" t="str">
        <f aca="false">IF(E736="","",IF(LEN(SUBSTITUTE(SUBSTITUTE(SUBSTITUTE(SUBSTITUTE(TRIM(E736),"*",""),".",""),"-","")," ",""))=11,MID(SUBSTITUTE(SUBSTITUTE(SUBSTITUTE(SUBSTITUTE(TRIM(E736),"*",""),".",""),"-","")," ",""),4,6),SUBSTITUTE(SUBSTITUTE(SUBSTITUTE(SUBSTITUTE(TRIM(E736),"*",""),".",""),"-","")," ","")))</f>
        <v/>
      </c>
      <c r="H736" s="31" t="str">
        <f aca="false">IF(OR(F736="",G736=""),"",F736&amp;"|"&amp;G736)</f>
        <v/>
      </c>
      <c r="I736" s="23"/>
      <c r="J736" s="22"/>
      <c r="K736" s="22"/>
      <c r="L736" s="25" t="str">
        <f aca="false">IF(F736="","",IF(AND(H736&lt;&gt;"",COUNTIF(Pessoas!$E:$E,H736)&gt;0),"SIM",IF(COUNTIF(Pessoas!$C:$C,F736)&gt;0,"nome igual em Pessoas: confira o CPF","")))</f>
        <v/>
      </c>
      <c r="M736" s="24"/>
      <c r="N736" s="11"/>
    </row>
    <row r="737" customFormat="false" ht="15" hidden="false" customHeight="false" outlineLevel="0" collapsed="false">
      <c r="A737" s="24"/>
      <c r="B737" s="31" t="str">
        <f aca="false">IF(A737="","",IF(LEN(UPPER(SUBSTITUTE(SUBSTITUTE(SUBSTITUTE(SUBSTITUTE(TRIM(A737),".",""),"/",""),"-","")," ","")))&lt;14,RIGHT(REPT("0",14)&amp;UPPER(SUBSTITUTE(SUBSTITUTE(SUBSTITUTE(SUBSTITUTE(TRIM(A737),".",""),"/",""),"-","")," ","")),14),UPPER(SUBSTITUTE(SUBSTITUTE(SUBSTITUTE(SUBSTITUTE(TRIM(A737),".",""),"/",""),"-","")," ",""))))</f>
        <v/>
      </c>
      <c r="C737" s="25" t="str">
        <f aca="false">IF(B737="","",IFERROR(INDEX(Empresas!$C:$C,MATCH(B737,Empresas!$B:$B,0)),"cadastre o CNPJ em Empresas"))</f>
        <v/>
      </c>
      <c r="D737" s="23"/>
      <c r="E737" s="24"/>
      <c r="F737" s="31" t="str">
        <f aca="false">IF(D737="","",SUBSTITUTE(SUBSTITUTE(SUBSTITUTE(SUBSTITUTE(SUBSTITUTE(SUBSTITUTE(SUBSTITUTE(SUBSTITUTE(SUBSTITUTE(SUBSTITUTE(SUBSTITUTE(SUBSTITUTE(SUBSTITUTE(UPPER(TRIM(D737)),"Á","A"),"À","A"),"Â","A"),"Ã","A"),"É","E"),"Ê","E"),"Í","I"),"Ó","O"),"Ô","O"),"Õ","O"),"Ú","U"),"Ü","U"),"Ç","C"))</f>
        <v/>
      </c>
      <c r="G737" s="31" t="str">
        <f aca="false">IF(E737="","",IF(LEN(SUBSTITUTE(SUBSTITUTE(SUBSTITUTE(SUBSTITUTE(TRIM(E737),"*",""),".",""),"-","")," ",""))=11,MID(SUBSTITUTE(SUBSTITUTE(SUBSTITUTE(SUBSTITUTE(TRIM(E737),"*",""),".",""),"-","")," ",""),4,6),SUBSTITUTE(SUBSTITUTE(SUBSTITUTE(SUBSTITUTE(TRIM(E737),"*",""),".",""),"-","")," ","")))</f>
        <v/>
      </c>
      <c r="H737" s="31" t="str">
        <f aca="false">IF(OR(F737="",G737=""),"",F737&amp;"|"&amp;G737)</f>
        <v/>
      </c>
      <c r="I737" s="23"/>
      <c r="J737" s="22"/>
      <c r="K737" s="22"/>
      <c r="L737" s="25" t="str">
        <f aca="false">IF(F737="","",IF(AND(H737&lt;&gt;"",COUNTIF(Pessoas!$E:$E,H737)&gt;0),"SIM",IF(COUNTIF(Pessoas!$C:$C,F737)&gt;0,"nome igual em Pessoas: confira o CPF","")))</f>
        <v/>
      </c>
      <c r="M737" s="24"/>
      <c r="N737" s="11"/>
    </row>
    <row r="738" customFormat="false" ht="15" hidden="false" customHeight="false" outlineLevel="0" collapsed="false">
      <c r="A738" s="24"/>
      <c r="B738" s="31" t="str">
        <f aca="false">IF(A738="","",IF(LEN(UPPER(SUBSTITUTE(SUBSTITUTE(SUBSTITUTE(SUBSTITUTE(TRIM(A738),".",""),"/",""),"-","")," ","")))&lt;14,RIGHT(REPT("0",14)&amp;UPPER(SUBSTITUTE(SUBSTITUTE(SUBSTITUTE(SUBSTITUTE(TRIM(A738),".",""),"/",""),"-","")," ","")),14),UPPER(SUBSTITUTE(SUBSTITUTE(SUBSTITUTE(SUBSTITUTE(TRIM(A738),".",""),"/",""),"-","")," ",""))))</f>
        <v/>
      </c>
      <c r="C738" s="25" t="str">
        <f aca="false">IF(B738="","",IFERROR(INDEX(Empresas!$C:$C,MATCH(B738,Empresas!$B:$B,0)),"cadastre o CNPJ em Empresas"))</f>
        <v/>
      </c>
      <c r="D738" s="23"/>
      <c r="E738" s="24"/>
      <c r="F738" s="31" t="str">
        <f aca="false">IF(D738="","",SUBSTITUTE(SUBSTITUTE(SUBSTITUTE(SUBSTITUTE(SUBSTITUTE(SUBSTITUTE(SUBSTITUTE(SUBSTITUTE(SUBSTITUTE(SUBSTITUTE(SUBSTITUTE(SUBSTITUTE(SUBSTITUTE(UPPER(TRIM(D738)),"Á","A"),"À","A"),"Â","A"),"Ã","A"),"É","E"),"Ê","E"),"Í","I"),"Ó","O"),"Ô","O"),"Õ","O"),"Ú","U"),"Ü","U"),"Ç","C"))</f>
        <v/>
      </c>
      <c r="G738" s="31" t="str">
        <f aca="false">IF(E738="","",IF(LEN(SUBSTITUTE(SUBSTITUTE(SUBSTITUTE(SUBSTITUTE(TRIM(E738),"*",""),".",""),"-","")," ",""))=11,MID(SUBSTITUTE(SUBSTITUTE(SUBSTITUTE(SUBSTITUTE(TRIM(E738),"*",""),".",""),"-","")," ",""),4,6),SUBSTITUTE(SUBSTITUTE(SUBSTITUTE(SUBSTITUTE(TRIM(E738),"*",""),".",""),"-","")," ","")))</f>
        <v/>
      </c>
      <c r="H738" s="31" t="str">
        <f aca="false">IF(OR(F738="",G738=""),"",F738&amp;"|"&amp;G738)</f>
        <v/>
      </c>
      <c r="I738" s="23"/>
      <c r="J738" s="22"/>
      <c r="K738" s="22"/>
      <c r="L738" s="25" t="str">
        <f aca="false">IF(F738="","",IF(AND(H738&lt;&gt;"",COUNTIF(Pessoas!$E:$E,H738)&gt;0),"SIM",IF(COUNTIF(Pessoas!$C:$C,F738)&gt;0,"nome igual em Pessoas: confira o CPF","")))</f>
        <v/>
      </c>
      <c r="M738" s="24"/>
      <c r="N738" s="11"/>
    </row>
    <row r="739" customFormat="false" ht="15" hidden="false" customHeight="false" outlineLevel="0" collapsed="false">
      <c r="A739" s="24"/>
      <c r="B739" s="31" t="str">
        <f aca="false">IF(A739="","",IF(LEN(UPPER(SUBSTITUTE(SUBSTITUTE(SUBSTITUTE(SUBSTITUTE(TRIM(A739),".",""),"/",""),"-","")," ","")))&lt;14,RIGHT(REPT("0",14)&amp;UPPER(SUBSTITUTE(SUBSTITUTE(SUBSTITUTE(SUBSTITUTE(TRIM(A739),".",""),"/",""),"-","")," ","")),14),UPPER(SUBSTITUTE(SUBSTITUTE(SUBSTITUTE(SUBSTITUTE(TRIM(A739),".",""),"/",""),"-","")," ",""))))</f>
        <v/>
      </c>
      <c r="C739" s="25" t="str">
        <f aca="false">IF(B739="","",IFERROR(INDEX(Empresas!$C:$C,MATCH(B739,Empresas!$B:$B,0)),"cadastre o CNPJ em Empresas"))</f>
        <v/>
      </c>
      <c r="D739" s="23"/>
      <c r="E739" s="24"/>
      <c r="F739" s="31" t="str">
        <f aca="false">IF(D739="","",SUBSTITUTE(SUBSTITUTE(SUBSTITUTE(SUBSTITUTE(SUBSTITUTE(SUBSTITUTE(SUBSTITUTE(SUBSTITUTE(SUBSTITUTE(SUBSTITUTE(SUBSTITUTE(SUBSTITUTE(SUBSTITUTE(UPPER(TRIM(D739)),"Á","A"),"À","A"),"Â","A"),"Ã","A"),"É","E"),"Ê","E"),"Í","I"),"Ó","O"),"Ô","O"),"Õ","O"),"Ú","U"),"Ü","U"),"Ç","C"))</f>
        <v/>
      </c>
      <c r="G739" s="31" t="str">
        <f aca="false">IF(E739="","",IF(LEN(SUBSTITUTE(SUBSTITUTE(SUBSTITUTE(SUBSTITUTE(TRIM(E739),"*",""),".",""),"-","")," ",""))=11,MID(SUBSTITUTE(SUBSTITUTE(SUBSTITUTE(SUBSTITUTE(TRIM(E739),"*",""),".",""),"-","")," ",""),4,6),SUBSTITUTE(SUBSTITUTE(SUBSTITUTE(SUBSTITUTE(TRIM(E739),"*",""),".",""),"-","")," ","")))</f>
        <v/>
      </c>
      <c r="H739" s="31" t="str">
        <f aca="false">IF(OR(F739="",G739=""),"",F739&amp;"|"&amp;G739)</f>
        <v/>
      </c>
      <c r="I739" s="23"/>
      <c r="J739" s="22"/>
      <c r="K739" s="22"/>
      <c r="L739" s="25" t="str">
        <f aca="false">IF(F739="","",IF(AND(H739&lt;&gt;"",COUNTIF(Pessoas!$E:$E,H739)&gt;0),"SIM",IF(COUNTIF(Pessoas!$C:$C,F739)&gt;0,"nome igual em Pessoas: confira o CPF","")))</f>
        <v/>
      </c>
      <c r="M739" s="24"/>
      <c r="N739" s="11"/>
    </row>
    <row r="740" customFormat="false" ht="15" hidden="false" customHeight="false" outlineLevel="0" collapsed="false">
      <c r="A740" s="24"/>
      <c r="B740" s="31" t="str">
        <f aca="false">IF(A740="","",IF(LEN(UPPER(SUBSTITUTE(SUBSTITUTE(SUBSTITUTE(SUBSTITUTE(TRIM(A740),".",""),"/",""),"-","")," ","")))&lt;14,RIGHT(REPT("0",14)&amp;UPPER(SUBSTITUTE(SUBSTITUTE(SUBSTITUTE(SUBSTITUTE(TRIM(A740),".",""),"/",""),"-","")," ","")),14),UPPER(SUBSTITUTE(SUBSTITUTE(SUBSTITUTE(SUBSTITUTE(TRIM(A740),".",""),"/",""),"-","")," ",""))))</f>
        <v/>
      </c>
      <c r="C740" s="25" t="str">
        <f aca="false">IF(B740="","",IFERROR(INDEX(Empresas!$C:$C,MATCH(B740,Empresas!$B:$B,0)),"cadastre o CNPJ em Empresas"))</f>
        <v/>
      </c>
      <c r="D740" s="23"/>
      <c r="E740" s="24"/>
      <c r="F740" s="31" t="str">
        <f aca="false">IF(D740="","",SUBSTITUTE(SUBSTITUTE(SUBSTITUTE(SUBSTITUTE(SUBSTITUTE(SUBSTITUTE(SUBSTITUTE(SUBSTITUTE(SUBSTITUTE(SUBSTITUTE(SUBSTITUTE(SUBSTITUTE(SUBSTITUTE(UPPER(TRIM(D740)),"Á","A"),"À","A"),"Â","A"),"Ã","A"),"É","E"),"Ê","E"),"Í","I"),"Ó","O"),"Ô","O"),"Õ","O"),"Ú","U"),"Ü","U"),"Ç","C"))</f>
        <v/>
      </c>
      <c r="G740" s="31" t="str">
        <f aca="false">IF(E740="","",IF(LEN(SUBSTITUTE(SUBSTITUTE(SUBSTITUTE(SUBSTITUTE(TRIM(E740),"*",""),".",""),"-","")," ",""))=11,MID(SUBSTITUTE(SUBSTITUTE(SUBSTITUTE(SUBSTITUTE(TRIM(E740),"*",""),".",""),"-","")," ",""),4,6),SUBSTITUTE(SUBSTITUTE(SUBSTITUTE(SUBSTITUTE(TRIM(E740),"*",""),".",""),"-","")," ","")))</f>
        <v/>
      </c>
      <c r="H740" s="31" t="str">
        <f aca="false">IF(OR(F740="",G740=""),"",F740&amp;"|"&amp;G740)</f>
        <v/>
      </c>
      <c r="I740" s="23"/>
      <c r="J740" s="22"/>
      <c r="K740" s="22"/>
      <c r="L740" s="25" t="str">
        <f aca="false">IF(F740="","",IF(AND(H740&lt;&gt;"",COUNTIF(Pessoas!$E:$E,H740)&gt;0),"SIM",IF(COUNTIF(Pessoas!$C:$C,F740)&gt;0,"nome igual em Pessoas: confira o CPF","")))</f>
        <v/>
      </c>
      <c r="M740" s="24"/>
      <c r="N740" s="11"/>
    </row>
    <row r="741" customFormat="false" ht="15" hidden="false" customHeight="false" outlineLevel="0" collapsed="false">
      <c r="A741" s="24"/>
      <c r="B741" s="31" t="str">
        <f aca="false">IF(A741="","",IF(LEN(UPPER(SUBSTITUTE(SUBSTITUTE(SUBSTITUTE(SUBSTITUTE(TRIM(A741),".",""),"/",""),"-","")," ","")))&lt;14,RIGHT(REPT("0",14)&amp;UPPER(SUBSTITUTE(SUBSTITUTE(SUBSTITUTE(SUBSTITUTE(TRIM(A741),".",""),"/",""),"-","")," ","")),14),UPPER(SUBSTITUTE(SUBSTITUTE(SUBSTITUTE(SUBSTITUTE(TRIM(A741),".",""),"/",""),"-","")," ",""))))</f>
        <v/>
      </c>
      <c r="C741" s="25" t="str">
        <f aca="false">IF(B741="","",IFERROR(INDEX(Empresas!$C:$C,MATCH(B741,Empresas!$B:$B,0)),"cadastre o CNPJ em Empresas"))</f>
        <v/>
      </c>
      <c r="D741" s="23"/>
      <c r="E741" s="24"/>
      <c r="F741" s="31" t="str">
        <f aca="false">IF(D741="","",SUBSTITUTE(SUBSTITUTE(SUBSTITUTE(SUBSTITUTE(SUBSTITUTE(SUBSTITUTE(SUBSTITUTE(SUBSTITUTE(SUBSTITUTE(SUBSTITUTE(SUBSTITUTE(SUBSTITUTE(SUBSTITUTE(UPPER(TRIM(D741)),"Á","A"),"À","A"),"Â","A"),"Ã","A"),"É","E"),"Ê","E"),"Í","I"),"Ó","O"),"Ô","O"),"Õ","O"),"Ú","U"),"Ü","U"),"Ç","C"))</f>
        <v/>
      </c>
      <c r="G741" s="31" t="str">
        <f aca="false">IF(E741="","",IF(LEN(SUBSTITUTE(SUBSTITUTE(SUBSTITUTE(SUBSTITUTE(TRIM(E741),"*",""),".",""),"-","")," ",""))=11,MID(SUBSTITUTE(SUBSTITUTE(SUBSTITUTE(SUBSTITUTE(TRIM(E741),"*",""),".",""),"-","")," ",""),4,6),SUBSTITUTE(SUBSTITUTE(SUBSTITUTE(SUBSTITUTE(TRIM(E741),"*",""),".",""),"-","")," ","")))</f>
        <v/>
      </c>
      <c r="H741" s="31" t="str">
        <f aca="false">IF(OR(F741="",G741=""),"",F741&amp;"|"&amp;G741)</f>
        <v/>
      </c>
      <c r="I741" s="23"/>
      <c r="J741" s="22"/>
      <c r="K741" s="22"/>
      <c r="L741" s="25" t="str">
        <f aca="false">IF(F741="","",IF(AND(H741&lt;&gt;"",COUNTIF(Pessoas!$E:$E,H741)&gt;0),"SIM",IF(COUNTIF(Pessoas!$C:$C,F741)&gt;0,"nome igual em Pessoas: confira o CPF","")))</f>
        <v/>
      </c>
      <c r="M741" s="24"/>
      <c r="N741" s="11"/>
    </row>
    <row r="742" customFormat="false" ht="15" hidden="false" customHeight="false" outlineLevel="0" collapsed="false">
      <c r="A742" s="24"/>
      <c r="B742" s="31" t="str">
        <f aca="false">IF(A742="","",IF(LEN(UPPER(SUBSTITUTE(SUBSTITUTE(SUBSTITUTE(SUBSTITUTE(TRIM(A742),".",""),"/",""),"-","")," ","")))&lt;14,RIGHT(REPT("0",14)&amp;UPPER(SUBSTITUTE(SUBSTITUTE(SUBSTITUTE(SUBSTITUTE(TRIM(A742),".",""),"/",""),"-","")," ","")),14),UPPER(SUBSTITUTE(SUBSTITUTE(SUBSTITUTE(SUBSTITUTE(TRIM(A742),".",""),"/",""),"-","")," ",""))))</f>
        <v/>
      </c>
      <c r="C742" s="25" t="str">
        <f aca="false">IF(B742="","",IFERROR(INDEX(Empresas!$C:$C,MATCH(B742,Empresas!$B:$B,0)),"cadastre o CNPJ em Empresas"))</f>
        <v/>
      </c>
      <c r="D742" s="23"/>
      <c r="E742" s="24"/>
      <c r="F742" s="31" t="str">
        <f aca="false">IF(D742="","",SUBSTITUTE(SUBSTITUTE(SUBSTITUTE(SUBSTITUTE(SUBSTITUTE(SUBSTITUTE(SUBSTITUTE(SUBSTITUTE(SUBSTITUTE(SUBSTITUTE(SUBSTITUTE(SUBSTITUTE(SUBSTITUTE(UPPER(TRIM(D742)),"Á","A"),"À","A"),"Â","A"),"Ã","A"),"É","E"),"Ê","E"),"Í","I"),"Ó","O"),"Ô","O"),"Õ","O"),"Ú","U"),"Ü","U"),"Ç","C"))</f>
        <v/>
      </c>
      <c r="G742" s="31" t="str">
        <f aca="false">IF(E742="","",IF(LEN(SUBSTITUTE(SUBSTITUTE(SUBSTITUTE(SUBSTITUTE(TRIM(E742),"*",""),".",""),"-","")," ",""))=11,MID(SUBSTITUTE(SUBSTITUTE(SUBSTITUTE(SUBSTITUTE(TRIM(E742),"*",""),".",""),"-","")," ",""),4,6),SUBSTITUTE(SUBSTITUTE(SUBSTITUTE(SUBSTITUTE(TRIM(E742),"*",""),".",""),"-","")," ","")))</f>
        <v/>
      </c>
      <c r="H742" s="31" t="str">
        <f aca="false">IF(OR(F742="",G742=""),"",F742&amp;"|"&amp;G742)</f>
        <v/>
      </c>
      <c r="I742" s="23"/>
      <c r="J742" s="22"/>
      <c r="K742" s="22"/>
      <c r="L742" s="25" t="str">
        <f aca="false">IF(F742="","",IF(AND(H742&lt;&gt;"",COUNTIF(Pessoas!$E:$E,H742)&gt;0),"SIM",IF(COUNTIF(Pessoas!$C:$C,F742)&gt;0,"nome igual em Pessoas: confira o CPF","")))</f>
        <v/>
      </c>
      <c r="M742" s="24"/>
      <c r="N742" s="11"/>
    </row>
    <row r="743" customFormat="false" ht="15" hidden="false" customHeight="false" outlineLevel="0" collapsed="false">
      <c r="A743" s="24"/>
      <c r="B743" s="31" t="str">
        <f aca="false">IF(A743="","",IF(LEN(UPPER(SUBSTITUTE(SUBSTITUTE(SUBSTITUTE(SUBSTITUTE(TRIM(A743),".",""),"/",""),"-","")," ","")))&lt;14,RIGHT(REPT("0",14)&amp;UPPER(SUBSTITUTE(SUBSTITUTE(SUBSTITUTE(SUBSTITUTE(TRIM(A743),".",""),"/",""),"-","")," ","")),14),UPPER(SUBSTITUTE(SUBSTITUTE(SUBSTITUTE(SUBSTITUTE(TRIM(A743),".",""),"/",""),"-","")," ",""))))</f>
        <v/>
      </c>
      <c r="C743" s="25" t="str">
        <f aca="false">IF(B743="","",IFERROR(INDEX(Empresas!$C:$C,MATCH(B743,Empresas!$B:$B,0)),"cadastre o CNPJ em Empresas"))</f>
        <v/>
      </c>
      <c r="D743" s="23"/>
      <c r="E743" s="24"/>
      <c r="F743" s="31" t="str">
        <f aca="false">IF(D743="","",SUBSTITUTE(SUBSTITUTE(SUBSTITUTE(SUBSTITUTE(SUBSTITUTE(SUBSTITUTE(SUBSTITUTE(SUBSTITUTE(SUBSTITUTE(SUBSTITUTE(SUBSTITUTE(SUBSTITUTE(SUBSTITUTE(UPPER(TRIM(D743)),"Á","A"),"À","A"),"Â","A"),"Ã","A"),"É","E"),"Ê","E"),"Í","I"),"Ó","O"),"Ô","O"),"Õ","O"),"Ú","U"),"Ü","U"),"Ç","C"))</f>
        <v/>
      </c>
      <c r="G743" s="31" t="str">
        <f aca="false">IF(E743="","",IF(LEN(SUBSTITUTE(SUBSTITUTE(SUBSTITUTE(SUBSTITUTE(TRIM(E743),"*",""),".",""),"-","")," ",""))=11,MID(SUBSTITUTE(SUBSTITUTE(SUBSTITUTE(SUBSTITUTE(TRIM(E743),"*",""),".",""),"-","")," ",""),4,6),SUBSTITUTE(SUBSTITUTE(SUBSTITUTE(SUBSTITUTE(TRIM(E743),"*",""),".",""),"-","")," ","")))</f>
        <v/>
      </c>
      <c r="H743" s="31" t="str">
        <f aca="false">IF(OR(F743="",G743=""),"",F743&amp;"|"&amp;G743)</f>
        <v/>
      </c>
      <c r="I743" s="23"/>
      <c r="J743" s="22"/>
      <c r="K743" s="22"/>
      <c r="L743" s="25" t="str">
        <f aca="false">IF(F743="","",IF(AND(H743&lt;&gt;"",COUNTIF(Pessoas!$E:$E,H743)&gt;0),"SIM",IF(COUNTIF(Pessoas!$C:$C,F743)&gt;0,"nome igual em Pessoas: confira o CPF","")))</f>
        <v/>
      </c>
      <c r="M743" s="24"/>
      <c r="N743" s="11"/>
    </row>
    <row r="744" customFormat="false" ht="15" hidden="false" customHeight="false" outlineLevel="0" collapsed="false">
      <c r="A744" s="24"/>
      <c r="B744" s="31" t="str">
        <f aca="false">IF(A744="","",IF(LEN(UPPER(SUBSTITUTE(SUBSTITUTE(SUBSTITUTE(SUBSTITUTE(TRIM(A744),".",""),"/",""),"-","")," ","")))&lt;14,RIGHT(REPT("0",14)&amp;UPPER(SUBSTITUTE(SUBSTITUTE(SUBSTITUTE(SUBSTITUTE(TRIM(A744),".",""),"/",""),"-","")," ","")),14),UPPER(SUBSTITUTE(SUBSTITUTE(SUBSTITUTE(SUBSTITUTE(TRIM(A744),".",""),"/",""),"-","")," ",""))))</f>
        <v/>
      </c>
      <c r="C744" s="25" t="str">
        <f aca="false">IF(B744="","",IFERROR(INDEX(Empresas!$C:$C,MATCH(B744,Empresas!$B:$B,0)),"cadastre o CNPJ em Empresas"))</f>
        <v/>
      </c>
      <c r="D744" s="23"/>
      <c r="E744" s="24"/>
      <c r="F744" s="31" t="str">
        <f aca="false">IF(D744="","",SUBSTITUTE(SUBSTITUTE(SUBSTITUTE(SUBSTITUTE(SUBSTITUTE(SUBSTITUTE(SUBSTITUTE(SUBSTITUTE(SUBSTITUTE(SUBSTITUTE(SUBSTITUTE(SUBSTITUTE(SUBSTITUTE(UPPER(TRIM(D744)),"Á","A"),"À","A"),"Â","A"),"Ã","A"),"É","E"),"Ê","E"),"Í","I"),"Ó","O"),"Ô","O"),"Õ","O"),"Ú","U"),"Ü","U"),"Ç","C"))</f>
        <v/>
      </c>
      <c r="G744" s="31" t="str">
        <f aca="false">IF(E744="","",IF(LEN(SUBSTITUTE(SUBSTITUTE(SUBSTITUTE(SUBSTITUTE(TRIM(E744),"*",""),".",""),"-","")," ",""))=11,MID(SUBSTITUTE(SUBSTITUTE(SUBSTITUTE(SUBSTITUTE(TRIM(E744),"*",""),".",""),"-","")," ",""),4,6),SUBSTITUTE(SUBSTITUTE(SUBSTITUTE(SUBSTITUTE(TRIM(E744),"*",""),".",""),"-","")," ","")))</f>
        <v/>
      </c>
      <c r="H744" s="31" t="str">
        <f aca="false">IF(OR(F744="",G744=""),"",F744&amp;"|"&amp;G744)</f>
        <v/>
      </c>
      <c r="I744" s="23"/>
      <c r="J744" s="22"/>
      <c r="K744" s="22"/>
      <c r="L744" s="25" t="str">
        <f aca="false">IF(F744="","",IF(AND(H744&lt;&gt;"",COUNTIF(Pessoas!$E:$E,H744)&gt;0),"SIM",IF(COUNTIF(Pessoas!$C:$C,F744)&gt;0,"nome igual em Pessoas: confira o CPF","")))</f>
        <v/>
      </c>
      <c r="M744" s="24"/>
      <c r="N744" s="11"/>
    </row>
    <row r="745" customFormat="false" ht="15" hidden="false" customHeight="false" outlineLevel="0" collapsed="false">
      <c r="A745" s="24"/>
      <c r="B745" s="31" t="str">
        <f aca="false">IF(A745="","",IF(LEN(UPPER(SUBSTITUTE(SUBSTITUTE(SUBSTITUTE(SUBSTITUTE(TRIM(A745),".",""),"/",""),"-","")," ","")))&lt;14,RIGHT(REPT("0",14)&amp;UPPER(SUBSTITUTE(SUBSTITUTE(SUBSTITUTE(SUBSTITUTE(TRIM(A745),".",""),"/",""),"-","")," ","")),14),UPPER(SUBSTITUTE(SUBSTITUTE(SUBSTITUTE(SUBSTITUTE(TRIM(A745),".",""),"/",""),"-","")," ",""))))</f>
        <v/>
      </c>
      <c r="C745" s="25" t="str">
        <f aca="false">IF(B745="","",IFERROR(INDEX(Empresas!$C:$C,MATCH(B745,Empresas!$B:$B,0)),"cadastre o CNPJ em Empresas"))</f>
        <v/>
      </c>
      <c r="D745" s="23"/>
      <c r="E745" s="24"/>
      <c r="F745" s="31" t="str">
        <f aca="false">IF(D745="","",SUBSTITUTE(SUBSTITUTE(SUBSTITUTE(SUBSTITUTE(SUBSTITUTE(SUBSTITUTE(SUBSTITUTE(SUBSTITUTE(SUBSTITUTE(SUBSTITUTE(SUBSTITUTE(SUBSTITUTE(SUBSTITUTE(UPPER(TRIM(D745)),"Á","A"),"À","A"),"Â","A"),"Ã","A"),"É","E"),"Ê","E"),"Í","I"),"Ó","O"),"Ô","O"),"Õ","O"),"Ú","U"),"Ü","U"),"Ç","C"))</f>
        <v/>
      </c>
      <c r="G745" s="31" t="str">
        <f aca="false">IF(E745="","",IF(LEN(SUBSTITUTE(SUBSTITUTE(SUBSTITUTE(SUBSTITUTE(TRIM(E745),"*",""),".",""),"-","")," ",""))=11,MID(SUBSTITUTE(SUBSTITUTE(SUBSTITUTE(SUBSTITUTE(TRIM(E745),"*",""),".",""),"-","")," ",""),4,6),SUBSTITUTE(SUBSTITUTE(SUBSTITUTE(SUBSTITUTE(TRIM(E745),"*",""),".",""),"-","")," ","")))</f>
        <v/>
      </c>
      <c r="H745" s="31" t="str">
        <f aca="false">IF(OR(F745="",G745=""),"",F745&amp;"|"&amp;G745)</f>
        <v/>
      </c>
      <c r="I745" s="23"/>
      <c r="J745" s="22"/>
      <c r="K745" s="22"/>
      <c r="L745" s="25" t="str">
        <f aca="false">IF(F745="","",IF(AND(H745&lt;&gt;"",COUNTIF(Pessoas!$E:$E,H745)&gt;0),"SIM",IF(COUNTIF(Pessoas!$C:$C,F745)&gt;0,"nome igual em Pessoas: confira o CPF","")))</f>
        <v/>
      </c>
      <c r="M745" s="24"/>
      <c r="N745" s="11"/>
    </row>
    <row r="746" customFormat="false" ht="15" hidden="false" customHeight="false" outlineLevel="0" collapsed="false">
      <c r="A746" s="24"/>
      <c r="B746" s="31" t="str">
        <f aca="false">IF(A746="","",IF(LEN(UPPER(SUBSTITUTE(SUBSTITUTE(SUBSTITUTE(SUBSTITUTE(TRIM(A746),".",""),"/",""),"-","")," ","")))&lt;14,RIGHT(REPT("0",14)&amp;UPPER(SUBSTITUTE(SUBSTITUTE(SUBSTITUTE(SUBSTITUTE(TRIM(A746),".",""),"/",""),"-","")," ","")),14),UPPER(SUBSTITUTE(SUBSTITUTE(SUBSTITUTE(SUBSTITUTE(TRIM(A746),".",""),"/",""),"-","")," ",""))))</f>
        <v/>
      </c>
      <c r="C746" s="25" t="str">
        <f aca="false">IF(B746="","",IFERROR(INDEX(Empresas!$C:$C,MATCH(B746,Empresas!$B:$B,0)),"cadastre o CNPJ em Empresas"))</f>
        <v/>
      </c>
      <c r="D746" s="23"/>
      <c r="E746" s="24"/>
      <c r="F746" s="31" t="str">
        <f aca="false">IF(D746="","",SUBSTITUTE(SUBSTITUTE(SUBSTITUTE(SUBSTITUTE(SUBSTITUTE(SUBSTITUTE(SUBSTITUTE(SUBSTITUTE(SUBSTITUTE(SUBSTITUTE(SUBSTITUTE(SUBSTITUTE(SUBSTITUTE(UPPER(TRIM(D746)),"Á","A"),"À","A"),"Â","A"),"Ã","A"),"É","E"),"Ê","E"),"Í","I"),"Ó","O"),"Ô","O"),"Õ","O"),"Ú","U"),"Ü","U"),"Ç","C"))</f>
        <v/>
      </c>
      <c r="G746" s="31" t="str">
        <f aca="false">IF(E746="","",IF(LEN(SUBSTITUTE(SUBSTITUTE(SUBSTITUTE(SUBSTITUTE(TRIM(E746),"*",""),".",""),"-","")," ",""))=11,MID(SUBSTITUTE(SUBSTITUTE(SUBSTITUTE(SUBSTITUTE(TRIM(E746),"*",""),".",""),"-","")," ",""),4,6),SUBSTITUTE(SUBSTITUTE(SUBSTITUTE(SUBSTITUTE(TRIM(E746),"*",""),".",""),"-","")," ","")))</f>
        <v/>
      </c>
      <c r="H746" s="31" t="str">
        <f aca="false">IF(OR(F746="",G746=""),"",F746&amp;"|"&amp;G746)</f>
        <v/>
      </c>
      <c r="I746" s="23"/>
      <c r="J746" s="22"/>
      <c r="K746" s="22"/>
      <c r="L746" s="25" t="str">
        <f aca="false">IF(F746="","",IF(AND(H746&lt;&gt;"",COUNTIF(Pessoas!$E:$E,H746)&gt;0),"SIM",IF(COUNTIF(Pessoas!$C:$C,F746)&gt;0,"nome igual em Pessoas: confira o CPF","")))</f>
        <v/>
      </c>
      <c r="M746" s="24"/>
      <c r="N746" s="11"/>
    </row>
    <row r="747" customFormat="false" ht="15" hidden="false" customHeight="false" outlineLevel="0" collapsed="false">
      <c r="A747" s="24"/>
      <c r="B747" s="31" t="str">
        <f aca="false">IF(A747="","",IF(LEN(UPPER(SUBSTITUTE(SUBSTITUTE(SUBSTITUTE(SUBSTITUTE(TRIM(A747),".",""),"/",""),"-","")," ","")))&lt;14,RIGHT(REPT("0",14)&amp;UPPER(SUBSTITUTE(SUBSTITUTE(SUBSTITUTE(SUBSTITUTE(TRIM(A747),".",""),"/",""),"-","")," ","")),14),UPPER(SUBSTITUTE(SUBSTITUTE(SUBSTITUTE(SUBSTITUTE(TRIM(A747),".",""),"/",""),"-","")," ",""))))</f>
        <v/>
      </c>
      <c r="C747" s="25" t="str">
        <f aca="false">IF(B747="","",IFERROR(INDEX(Empresas!$C:$C,MATCH(B747,Empresas!$B:$B,0)),"cadastre o CNPJ em Empresas"))</f>
        <v/>
      </c>
      <c r="D747" s="23"/>
      <c r="E747" s="24"/>
      <c r="F747" s="31" t="str">
        <f aca="false">IF(D747="","",SUBSTITUTE(SUBSTITUTE(SUBSTITUTE(SUBSTITUTE(SUBSTITUTE(SUBSTITUTE(SUBSTITUTE(SUBSTITUTE(SUBSTITUTE(SUBSTITUTE(SUBSTITUTE(SUBSTITUTE(SUBSTITUTE(UPPER(TRIM(D747)),"Á","A"),"À","A"),"Â","A"),"Ã","A"),"É","E"),"Ê","E"),"Í","I"),"Ó","O"),"Ô","O"),"Õ","O"),"Ú","U"),"Ü","U"),"Ç","C"))</f>
        <v/>
      </c>
      <c r="G747" s="31" t="str">
        <f aca="false">IF(E747="","",IF(LEN(SUBSTITUTE(SUBSTITUTE(SUBSTITUTE(SUBSTITUTE(TRIM(E747),"*",""),".",""),"-","")," ",""))=11,MID(SUBSTITUTE(SUBSTITUTE(SUBSTITUTE(SUBSTITUTE(TRIM(E747),"*",""),".",""),"-","")," ",""),4,6),SUBSTITUTE(SUBSTITUTE(SUBSTITUTE(SUBSTITUTE(TRIM(E747),"*",""),".",""),"-","")," ","")))</f>
        <v/>
      </c>
      <c r="H747" s="31" t="str">
        <f aca="false">IF(OR(F747="",G747=""),"",F747&amp;"|"&amp;G747)</f>
        <v/>
      </c>
      <c r="I747" s="23"/>
      <c r="J747" s="22"/>
      <c r="K747" s="22"/>
      <c r="L747" s="25" t="str">
        <f aca="false">IF(F747="","",IF(AND(H747&lt;&gt;"",COUNTIF(Pessoas!$E:$E,H747)&gt;0),"SIM",IF(COUNTIF(Pessoas!$C:$C,F747)&gt;0,"nome igual em Pessoas: confira o CPF","")))</f>
        <v/>
      </c>
      <c r="M747" s="24"/>
      <c r="N747" s="11"/>
    </row>
    <row r="748" customFormat="false" ht="15" hidden="false" customHeight="false" outlineLevel="0" collapsed="false">
      <c r="A748" s="24"/>
      <c r="B748" s="31" t="str">
        <f aca="false">IF(A748="","",IF(LEN(UPPER(SUBSTITUTE(SUBSTITUTE(SUBSTITUTE(SUBSTITUTE(TRIM(A748),".",""),"/",""),"-","")," ","")))&lt;14,RIGHT(REPT("0",14)&amp;UPPER(SUBSTITUTE(SUBSTITUTE(SUBSTITUTE(SUBSTITUTE(TRIM(A748),".",""),"/",""),"-","")," ","")),14),UPPER(SUBSTITUTE(SUBSTITUTE(SUBSTITUTE(SUBSTITUTE(TRIM(A748),".",""),"/",""),"-","")," ",""))))</f>
        <v/>
      </c>
      <c r="C748" s="25" t="str">
        <f aca="false">IF(B748="","",IFERROR(INDEX(Empresas!$C:$C,MATCH(B748,Empresas!$B:$B,0)),"cadastre o CNPJ em Empresas"))</f>
        <v/>
      </c>
      <c r="D748" s="23"/>
      <c r="E748" s="24"/>
      <c r="F748" s="31" t="str">
        <f aca="false">IF(D748="","",SUBSTITUTE(SUBSTITUTE(SUBSTITUTE(SUBSTITUTE(SUBSTITUTE(SUBSTITUTE(SUBSTITUTE(SUBSTITUTE(SUBSTITUTE(SUBSTITUTE(SUBSTITUTE(SUBSTITUTE(SUBSTITUTE(UPPER(TRIM(D748)),"Á","A"),"À","A"),"Â","A"),"Ã","A"),"É","E"),"Ê","E"),"Í","I"),"Ó","O"),"Ô","O"),"Õ","O"),"Ú","U"),"Ü","U"),"Ç","C"))</f>
        <v/>
      </c>
      <c r="G748" s="31" t="str">
        <f aca="false">IF(E748="","",IF(LEN(SUBSTITUTE(SUBSTITUTE(SUBSTITUTE(SUBSTITUTE(TRIM(E748),"*",""),".",""),"-","")," ",""))=11,MID(SUBSTITUTE(SUBSTITUTE(SUBSTITUTE(SUBSTITUTE(TRIM(E748),"*",""),".",""),"-","")," ",""),4,6),SUBSTITUTE(SUBSTITUTE(SUBSTITUTE(SUBSTITUTE(TRIM(E748),"*",""),".",""),"-","")," ","")))</f>
        <v/>
      </c>
      <c r="H748" s="31" t="str">
        <f aca="false">IF(OR(F748="",G748=""),"",F748&amp;"|"&amp;G748)</f>
        <v/>
      </c>
      <c r="I748" s="23"/>
      <c r="J748" s="22"/>
      <c r="K748" s="22"/>
      <c r="L748" s="25" t="str">
        <f aca="false">IF(F748="","",IF(AND(H748&lt;&gt;"",COUNTIF(Pessoas!$E:$E,H748)&gt;0),"SIM",IF(COUNTIF(Pessoas!$C:$C,F748)&gt;0,"nome igual em Pessoas: confira o CPF","")))</f>
        <v/>
      </c>
      <c r="M748" s="24"/>
      <c r="N748" s="11"/>
    </row>
    <row r="749" customFormat="false" ht="15" hidden="false" customHeight="false" outlineLevel="0" collapsed="false">
      <c r="A749" s="24"/>
      <c r="B749" s="31" t="str">
        <f aca="false">IF(A749="","",IF(LEN(UPPER(SUBSTITUTE(SUBSTITUTE(SUBSTITUTE(SUBSTITUTE(TRIM(A749),".",""),"/",""),"-","")," ","")))&lt;14,RIGHT(REPT("0",14)&amp;UPPER(SUBSTITUTE(SUBSTITUTE(SUBSTITUTE(SUBSTITUTE(TRIM(A749),".",""),"/",""),"-","")," ","")),14),UPPER(SUBSTITUTE(SUBSTITUTE(SUBSTITUTE(SUBSTITUTE(TRIM(A749),".",""),"/",""),"-","")," ",""))))</f>
        <v/>
      </c>
      <c r="C749" s="25" t="str">
        <f aca="false">IF(B749="","",IFERROR(INDEX(Empresas!$C:$C,MATCH(B749,Empresas!$B:$B,0)),"cadastre o CNPJ em Empresas"))</f>
        <v/>
      </c>
      <c r="D749" s="23"/>
      <c r="E749" s="24"/>
      <c r="F749" s="31" t="str">
        <f aca="false">IF(D749="","",SUBSTITUTE(SUBSTITUTE(SUBSTITUTE(SUBSTITUTE(SUBSTITUTE(SUBSTITUTE(SUBSTITUTE(SUBSTITUTE(SUBSTITUTE(SUBSTITUTE(SUBSTITUTE(SUBSTITUTE(SUBSTITUTE(UPPER(TRIM(D749)),"Á","A"),"À","A"),"Â","A"),"Ã","A"),"É","E"),"Ê","E"),"Í","I"),"Ó","O"),"Ô","O"),"Õ","O"),"Ú","U"),"Ü","U"),"Ç","C"))</f>
        <v/>
      </c>
      <c r="G749" s="31" t="str">
        <f aca="false">IF(E749="","",IF(LEN(SUBSTITUTE(SUBSTITUTE(SUBSTITUTE(SUBSTITUTE(TRIM(E749),"*",""),".",""),"-","")," ",""))=11,MID(SUBSTITUTE(SUBSTITUTE(SUBSTITUTE(SUBSTITUTE(TRIM(E749),"*",""),".",""),"-","")," ",""),4,6),SUBSTITUTE(SUBSTITUTE(SUBSTITUTE(SUBSTITUTE(TRIM(E749),"*",""),".",""),"-","")," ","")))</f>
        <v/>
      </c>
      <c r="H749" s="31" t="str">
        <f aca="false">IF(OR(F749="",G749=""),"",F749&amp;"|"&amp;G749)</f>
        <v/>
      </c>
      <c r="I749" s="23"/>
      <c r="J749" s="22"/>
      <c r="K749" s="22"/>
      <c r="L749" s="25" t="str">
        <f aca="false">IF(F749="","",IF(AND(H749&lt;&gt;"",COUNTIF(Pessoas!$E:$E,H749)&gt;0),"SIM",IF(COUNTIF(Pessoas!$C:$C,F749)&gt;0,"nome igual em Pessoas: confira o CPF","")))</f>
        <v/>
      </c>
      <c r="M749" s="24"/>
      <c r="N749" s="11"/>
    </row>
    <row r="750" customFormat="false" ht="15" hidden="false" customHeight="false" outlineLevel="0" collapsed="false">
      <c r="A750" s="24"/>
      <c r="B750" s="31" t="str">
        <f aca="false">IF(A750="","",IF(LEN(UPPER(SUBSTITUTE(SUBSTITUTE(SUBSTITUTE(SUBSTITUTE(TRIM(A750),".",""),"/",""),"-","")," ","")))&lt;14,RIGHT(REPT("0",14)&amp;UPPER(SUBSTITUTE(SUBSTITUTE(SUBSTITUTE(SUBSTITUTE(TRIM(A750),".",""),"/",""),"-","")," ","")),14),UPPER(SUBSTITUTE(SUBSTITUTE(SUBSTITUTE(SUBSTITUTE(TRIM(A750),".",""),"/",""),"-","")," ",""))))</f>
        <v/>
      </c>
      <c r="C750" s="25" t="str">
        <f aca="false">IF(B750="","",IFERROR(INDEX(Empresas!$C:$C,MATCH(B750,Empresas!$B:$B,0)),"cadastre o CNPJ em Empresas"))</f>
        <v/>
      </c>
      <c r="D750" s="23"/>
      <c r="E750" s="24"/>
      <c r="F750" s="31" t="str">
        <f aca="false">IF(D750="","",SUBSTITUTE(SUBSTITUTE(SUBSTITUTE(SUBSTITUTE(SUBSTITUTE(SUBSTITUTE(SUBSTITUTE(SUBSTITUTE(SUBSTITUTE(SUBSTITUTE(SUBSTITUTE(SUBSTITUTE(SUBSTITUTE(UPPER(TRIM(D750)),"Á","A"),"À","A"),"Â","A"),"Ã","A"),"É","E"),"Ê","E"),"Í","I"),"Ó","O"),"Ô","O"),"Õ","O"),"Ú","U"),"Ü","U"),"Ç","C"))</f>
        <v/>
      </c>
      <c r="G750" s="31" t="str">
        <f aca="false">IF(E750="","",IF(LEN(SUBSTITUTE(SUBSTITUTE(SUBSTITUTE(SUBSTITUTE(TRIM(E750),"*",""),".",""),"-","")," ",""))=11,MID(SUBSTITUTE(SUBSTITUTE(SUBSTITUTE(SUBSTITUTE(TRIM(E750),"*",""),".",""),"-","")," ",""),4,6),SUBSTITUTE(SUBSTITUTE(SUBSTITUTE(SUBSTITUTE(TRIM(E750),"*",""),".",""),"-","")," ","")))</f>
        <v/>
      </c>
      <c r="H750" s="31" t="str">
        <f aca="false">IF(OR(F750="",G750=""),"",F750&amp;"|"&amp;G750)</f>
        <v/>
      </c>
      <c r="I750" s="23"/>
      <c r="J750" s="22"/>
      <c r="K750" s="22"/>
      <c r="L750" s="25" t="str">
        <f aca="false">IF(F750="","",IF(AND(H750&lt;&gt;"",COUNTIF(Pessoas!$E:$E,H750)&gt;0),"SIM",IF(COUNTIF(Pessoas!$C:$C,F750)&gt;0,"nome igual em Pessoas: confira o CPF","")))</f>
        <v/>
      </c>
      <c r="M750" s="24"/>
      <c r="N750" s="11"/>
    </row>
    <row r="751" customFormat="false" ht="15" hidden="false" customHeight="false" outlineLevel="0" collapsed="false">
      <c r="A751" s="24"/>
      <c r="B751" s="31" t="str">
        <f aca="false">IF(A751="","",IF(LEN(UPPER(SUBSTITUTE(SUBSTITUTE(SUBSTITUTE(SUBSTITUTE(TRIM(A751),".",""),"/",""),"-","")," ","")))&lt;14,RIGHT(REPT("0",14)&amp;UPPER(SUBSTITUTE(SUBSTITUTE(SUBSTITUTE(SUBSTITUTE(TRIM(A751),".",""),"/",""),"-","")," ","")),14),UPPER(SUBSTITUTE(SUBSTITUTE(SUBSTITUTE(SUBSTITUTE(TRIM(A751),".",""),"/",""),"-","")," ",""))))</f>
        <v/>
      </c>
      <c r="C751" s="25" t="str">
        <f aca="false">IF(B751="","",IFERROR(INDEX(Empresas!$C:$C,MATCH(B751,Empresas!$B:$B,0)),"cadastre o CNPJ em Empresas"))</f>
        <v/>
      </c>
      <c r="D751" s="23"/>
      <c r="E751" s="24"/>
      <c r="F751" s="31" t="str">
        <f aca="false">IF(D751="","",SUBSTITUTE(SUBSTITUTE(SUBSTITUTE(SUBSTITUTE(SUBSTITUTE(SUBSTITUTE(SUBSTITUTE(SUBSTITUTE(SUBSTITUTE(SUBSTITUTE(SUBSTITUTE(SUBSTITUTE(SUBSTITUTE(UPPER(TRIM(D751)),"Á","A"),"À","A"),"Â","A"),"Ã","A"),"É","E"),"Ê","E"),"Í","I"),"Ó","O"),"Ô","O"),"Õ","O"),"Ú","U"),"Ü","U"),"Ç","C"))</f>
        <v/>
      </c>
      <c r="G751" s="31" t="str">
        <f aca="false">IF(E751="","",IF(LEN(SUBSTITUTE(SUBSTITUTE(SUBSTITUTE(SUBSTITUTE(TRIM(E751),"*",""),".",""),"-","")," ",""))=11,MID(SUBSTITUTE(SUBSTITUTE(SUBSTITUTE(SUBSTITUTE(TRIM(E751),"*",""),".",""),"-","")," ",""),4,6),SUBSTITUTE(SUBSTITUTE(SUBSTITUTE(SUBSTITUTE(TRIM(E751),"*",""),".",""),"-","")," ","")))</f>
        <v/>
      </c>
      <c r="H751" s="31" t="str">
        <f aca="false">IF(OR(F751="",G751=""),"",F751&amp;"|"&amp;G751)</f>
        <v/>
      </c>
      <c r="I751" s="23"/>
      <c r="J751" s="22"/>
      <c r="K751" s="22"/>
      <c r="L751" s="25" t="str">
        <f aca="false">IF(F751="","",IF(AND(H751&lt;&gt;"",COUNTIF(Pessoas!$E:$E,H751)&gt;0),"SIM",IF(COUNTIF(Pessoas!$C:$C,F751)&gt;0,"nome igual em Pessoas: confira o CPF","")))</f>
        <v/>
      </c>
      <c r="M751" s="24"/>
      <c r="N751" s="11"/>
    </row>
    <row r="752" customFormat="false" ht="15" hidden="false" customHeight="false" outlineLevel="0" collapsed="false">
      <c r="A752" s="24"/>
      <c r="B752" s="31" t="str">
        <f aca="false">IF(A752="","",IF(LEN(UPPER(SUBSTITUTE(SUBSTITUTE(SUBSTITUTE(SUBSTITUTE(TRIM(A752),".",""),"/",""),"-","")," ","")))&lt;14,RIGHT(REPT("0",14)&amp;UPPER(SUBSTITUTE(SUBSTITUTE(SUBSTITUTE(SUBSTITUTE(TRIM(A752),".",""),"/",""),"-","")," ","")),14),UPPER(SUBSTITUTE(SUBSTITUTE(SUBSTITUTE(SUBSTITUTE(TRIM(A752),".",""),"/",""),"-","")," ",""))))</f>
        <v/>
      </c>
      <c r="C752" s="25" t="str">
        <f aca="false">IF(B752="","",IFERROR(INDEX(Empresas!$C:$C,MATCH(B752,Empresas!$B:$B,0)),"cadastre o CNPJ em Empresas"))</f>
        <v/>
      </c>
      <c r="D752" s="23"/>
      <c r="E752" s="24"/>
      <c r="F752" s="31" t="str">
        <f aca="false">IF(D752="","",SUBSTITUTE(SUBSTITUTE(SUBSTITUTE(SUBSTITUTE(SUBSTITUTE(SUBSTITUTE(SUBSTITUTE(SUBSTITUTE(SUBSTITUTE(SUBSTITUTE(SUBSTITUTE(SUBSTITUTE(SUBSTITUTE(UPPER(TRIM(D752)),"Á","A"),"À","A"),"Â","A"),"Ã","A"),"É","E"),"Ê","E"),"Í","I"),"Ó","O"),"Ô","O"),"Õ","O"),"Ú","U"),"Ü","U"),"Ç","C"))</f>
        <v/>
      </c>
      <c r="G752" s="31" t="str">
        <f aca="false">IF(E752="","",IF(LEN(SUBSTITUTE(SUBSTITUTE(SUBSTITUTE(SUBSTITUTE(TRIM(E752),"*",""),".",""),"-","")," ",""))=11,MID(SUBSTITUTE(SUBSTITUTE(SUBSTITUTE(SUBSTITUTE(TRIM(E752),"*",""),".",""),"-","")," ",""),4,6),SUBSTITUTE(SUBSTITUTE(SUBSTITUTE(SUBSTITUTE(TRIM(E752),"*",""),".",""),"-","")," ","")))</f>
        <v/>
      </c>
      <c r="H752" s="31" t="str">
        <f aca="false">IF(OR(F752="",G752=""),"",F752&amp;"|"&amp;G752)</f>
        <v/>
      </c>
      <c r="I752" s="23"/>
      <c r="J752" s="22"/>
      <c r="K752" s="22"/>
      <c r="L752" s="25" t="str">
        <f aca="false">IF(F752="","",IF(AND(H752&lt;&gt;"",COUNTIF(Pessoas!$E:$E,H752)&gt;0),"SIM",IF(COUNTIF(Pessoas!$C:$C,F752)&gt;0,"nome igual em Pessoas: confira o CPF","")))</f>
        <v/>
      </c>
      <c r="M752" s="24"/>
      <c r="N752" s="11"/>
    </row>
    <row r="753" customFormat="false" ht="15" hidden="false" customHeight="false" outlineLevel="0" collapsed="false">
      <c r="A753" s="24"/>
      <c r="B753" s="31" t="str">
        <f aca="false">IF(A753="","",IF(LEN(UPPER(SUBSTITUTE(SUBSTITUTE(SUBSTITUTE(SUBSTITUTE(TRIM(A753),".",""),"/",""),"-","")," ","")))&lt;14,RIGHT(REPT("0",14)&amp;UPPER(SUBSTITUTE(SUBSTITUTE(SUBSTITUTE(SUBSTITUTE(TRIM(A753),".",""),"/",""),"-","")," ","")),14),UPPER(SUBSTITUTE(SUBSTITUTE(SUBSTITUTE(SUBSTITUTE(TRIM(A753),".",""),"/",""),"-","")," ",""))))</f>
        <v/>
      </c>
      <c r="C753" s="25" t="str">
        <f aca="false">IF(B753="","",IFERROR(INDEX(Empresas!$C:$C,MATCH(B753,Empresas!$B:$B,0)),"cadastre o CNPJ em Empresas"))</f>
        <v/>
      </c>
      <c r="D753" s="23"/>
      <c r="E753" s="24"/>
      <c r="F753" s="31" t="str">
        <f aca="false">IF(D753="","",SUBSTITUTE(SUBSTITUTE(SUBSTITUTE(SUBSTITUTE(SUBSTITUTE(SUBSTITUTE(SUBSTITUTE(SUBSTITUTE(SUBSTITUTE(SUBSTITUTE(SUBSTITUTE(SUBSTITUTE(SUBSTITUTE(UPPER(TRIM(D753)),"Á","A"),"À","A"),"Â","A"),"Ã","A"),"É","E"),"Ê","E"),"Í","I"),"Ó","O"),"Ô","O"),"Õ","O"),"Ú","U"),"Ü","U"),"Ç","C"))</f>
        <v/>
      </c>
      <c r="G753" s="31" t="str">
        <f aca="false">IF(E753="","",IF(LEN(SUBSTITUTE(SUBSTITUTE(SUBSTITUTE(SUBSTITUTE(TRIM(E753),"*",""),".",""),"-","")," ",""))=11,MID(SUBSTITUTE(SUBSTITUTE(SUBSTITUTE(SUBSTITUTE(TRIM(E753),"*",""),".",""),"-","")," ",""),4,6),SUBSTITUTE(SUBSTITUTE(SUBSTITUTE(SUBSTITUTE(TRIM(E753),"*",""),".",""),"-","")," ","")))</f>
        <v/>
      </c>
      <c r="H753" s="31" t="str">
        <f aca="false">IF(OR(F753="",G753=""),"",F753&amp;"|"&amp;G753)</f>
        <v/>
      </c>
      <c r="I753" s="23"/>
      <c r="J753" s="22"/>
      <c r="K753" s="22"/>
      <c r="L753" s="25" t="str">
        <f aca="false">IF(F753="","",IF(AND(H753&lt;&gt;"",COUNTIF(Pessoas!$E:$E,H753)&gt;0),"SIM",IF(COUNTIF(Pessoas!$C:$C,F753)&gt;0,"nome igual em Pessoas: confira o CPF","")))</f>
        <v/>
      </c>
      <c r="M753" s="24"/>
      <c r="N753" s="11"/>
    </row>
    <row r="754" customFormat="false" ht="15" hidden="false" customHeight="false" outlineLevel="0" collapsed="false">
      <c r="A754" s="24"/>
      <c r="B754" s="31" t="str">
        <f aca="false">IF(A754="","",IF(LEN(UPPER(SUBSTITUTE(SUBSTITUTE(SUBSTITUTE(SUBSTITUTE(TRIM(A754),".",""),"/",""),"-","")," ","")))&lt;14,RIGHT(REPT("0",14)&amp;UPPER(SUBSTITUTE(SUBSTITUTE(SUBSTITUTE(SUBSTITUTE(TRIM(A754),".",""),"/",""),"-","")," ","")),14),UPPER(SUBSTITUTE(SUBSTITUTE(SUBSTITUTE(SUBSTITUTE(TRIM(A754),".",""),"/",""),"-","")," ",""))))</f>
        <v/>
      </c>
      <c r="C754" s="25" t="str">
        <f aca="false">IF(B754="","",IFERROR(INDEX(Empresas!$C:$C,MATCH(B754,Empresas!$B:$B,0)),"cadastre o CNPJ em Empresas"))</f>
        <v/>
      </c>
      <c r="D754" s="23"/>
      <c r="E754" s="24"/>
      <c r="F754" s="31" t="str">
        <f aca="false">IF(D754="","",SUBSTITUTE(SUBSTITUTE(SUBSTITUTE(SUBSTITUTE(SUBSTITUTE(SUBSTITUTE(SUBSTITUTE(SUBSTITUTE(SUBSTITUTE(SUBSTITUTE(SUBSTITUTE(SUBSTITUTE(SUBSTITUTE(UPPER(TRIM(D754)),"Á","A"),"À","A"),"Â","A"),"Ã","A"),"É","E"),"Ê","E"),"Í","I"),"Ó","O"),"Ô","O"),"Õ","O"),"Ú","U"),"Ü","U"),"Ç","C"))</f>
        <v/>
      </c>
      <c r="G754" s="31" t="str">
        <f aca="false">IF(E754="","",IF(LEN(SUBSTITUTE(SUBSTITUTE(SUBSTITUTE(SUBSTITUTE(TRIM(E754),"*",""),".",""),"-","")," ",""))=11,MID(SUBSTITUTE(SUBSTITUTE(SUBSTITUTE(SUBSTITUTE(TRIM(E754),"*",""),".",""),"-","")," ",""),4,6),SUBSTITUTE(SUBSTITUTE(SUBSTITUTE(SUBSTITUTE(TRIM(E754),"*",""),".",""),"-","")," ","")))</f>
        <v/>
      </c>
      <c r="H754" s="31" t="str">
        <f aca="false">IF(OR(F754="",G754=""),"",F754&amp;"|"&amp;G754)</f>
        <v/>
      </c>
      <c r="I754" s="23"/>
      <c r="J754" s="22"/>
      <c r="K754" s="22"/>
      <c r="L754" s="25" t="str">
        <f aca="false">IF(F754="","",IF(AND(H754&lt;&gt;"",COUNTIF(Pessoas!$E:$E,H754)&gt;0),"SIM",IF(COUNTIF(Pessoas!$C:$C,F754)&gt;0,"nome igual em Pessoas: confira o CPF","")))</f>
        <v/>
      </c>
      <c r="M754" s="24"/>
      <c r="N754" s="11"/>
    </row>
    <row r="755" customFormat="false" ht="15" hidden="false" customHeight="false" outlineLevel="0" collapsed="false">
      <c r="A755" s="24"/>
      <c r="B755" s="31" t="str">
        <f aca="false">IF(A755="","",IF(LEN(UPPER(SUBSTITUTE(SUBSTITUTE(SUBSTITUTE(SUBSTITUTE(TRIM(A755),".",""),"/",""),"-","")," ","")))&lt;14,RIGHT(REPT("0",14)&amp;UPPER(SUBSTITUTE(SUBSTITUTE(SUBSTITUTE(SUBSTITUTE(TRIM(A755),".",""),"/",""),"-","")," ","")),14),UPPER(SUBSTITUTE(SUBSTITUTE(SUBSTITUTE(SUBSTITUTE(TRIM(A755),".",""),"/",""),"-","")," ",""))))</f>
        <v/>
      </c>
      <c r="C755" s="25" t="str">
        <f aca="false">IF(B755="","",IFERROR(INDEX(Empresas!$C:$C,MATCH(B755,Empresas!$B:$B,0)),"cadastre o CNPJ em Empresas"))</f>
        <v/>
      </c>
      <c r="D755" s="23"/>
      <c r="E755" s="24"/>
      <c r="F755" s="31" t="str">
        <f aca="false">IF(D755="","",SUBSTITUTE(SUBSTITUTE(SUBSTITUTE(SUBSTITUTE(SUBSTITUTE(SUBSTITUTE(SUBSTITUTE(SUBSTITUTE(SUBSTITUTE(SUBSTITUTE(SUBSTITUTE(SUBSTITUTE(SUBSTITUTE(UPPER(TRIM(D755)),"Á","A"),"À","A"),"Â","A"),"Ã","A"),"É","E"),"Ê","E"),"Í","I"),"Ó","O"),"Ô","O"),"Õ","O"),"Ú","U"),"Ü","U"),"Ç","C"))</f>
        <v/>
      </c>
      <c r="G755" s="31" t="str">
        <f aca="false">IF(E755="","",IF(LEN(SUBSTITUTE(SUBSTITUTE(SUBSTITUTE(SUBSTITUTE(TRIM(E755),"*",""),".",""),"-","")," ",""))=11,MID(SUBSTITUTE(SUBSTITUTE(SUBSTITUTE(SUBSTITUTE(TRIM(E755),"*",""),".",""),"-","")," ",""),4,6),SUBSTITUTE(SUBSTITUTE(SUBSTITUTE(SUBSTITUTE(TRIM(E755),"*",""),".",""),"-","")," ","")))</f>
        <v/>
      </c>
      <c r="H755" s="31" t="str">
        <f aca="false">IF(OR(F755="",G755=""),"",F755&amp;"|"&amp;G755)</f>
        <v/>
      </c>
      <c r="I755" s="23"/>
      <c r="J755" s="22"/>
      <c r="K755" s="22"/>
      <c r="L755" s="25" t="str">
        <f aca="false">IF(F755="","",IF(AND(H755&lt;&gt;"",COUNTIF(Pessoas!$E:$E,H755)&gt;0),"SIM",IF(COUNTIF(Pessoas!$C:$C,F755)&gt;0,"nome igual em Pessoas: confira o CPF","")))</f>
        <v/>
      </c>
      <c r="M755" s="24"/>
      <c r="N755" s="11"/>
    </row>
    <row r="756" customFormat="false" ht="15" hidden="false" customHeight="false" outlineLevel="0" collapsed="false">
      <c r="A756" s="24"/>
      <c r="B756" s="31" t="str">
        <f aca="false">IF(A756="","",IF(LEN(UPPER(SUBSTITUTE(SUBSTITUTE(SUBSTITUTE(SUBSTITUTE(TRIM(A756),".",""),"/",""),"-","")," ","")))&lt;14,RIGHT(REPT("0",14)&amp;UPPER(SUBSTITUTE(SUBSTITUTE(SUBSTITUTE(SUBSTITUTE(TRIM(A756),".",""),"/",""),"-","")," ","")),14),UPPER(SUBSTITUTE(SUBSTITUTE(SUBSTITUTE(SUBSTITUTE(TRIM(A756),".",""),"/",""),"-","")," ",""))))</f>
        <v/>
      </c>
      <c r="C756" s="25" t="str">
        <f aca="false">IF(B756="","",IFERROR(INDEX(Empresas!$C:$C,MATCH(B756,Empresas!$B:$B,0)),"cadastre o CNPJ em Empresas"))</f>
        <v/>
      </c>
      <c r="D756" s="23"/>
      <c r="E756" s="24"/>
      <c r="F756" s="31" t="str">
        <f aca="false">IF(D756="","",SUBSTITUTE(SUBSTITUTE(SUBSTITUTE(SUBSTITUTE(SUBSTITUTE(SUBSTITUTE(SUBSTITUTE(SUBSTITUTE(SUBSTITUTE(SUBSTITUTE(SUBSTITUTE(SUBSTITUTE(SUBSTITUTE(UPPER(TRIM(D756)),"Á","A"),"À","A"),"Â","A"),"Ã","A"),"É","E"),"Ê","E"),"Í","I"),"Ó","O"),"Ô","O"),"Õ","O"),"Ú","U"),"Ü","U"),"Ç","C"))</f>
        <v/>
      </c>
      <c r="G756" s="31" t="str">
        <f aca="false">IF(E756="","",IF(LEN(SUBSTITUTE(SUBSTITUTE(SUBSTITUTE(SUBSTITUTE(TRIM(E756),"*",""),".",""),"-","")," ",""))=11,MID(SUBSTITUTE(SUBSTITUTE(SUBSTITUTE(SUBSTITUTE(TRIM(E756),"*",""),".",""),"-","")," ",""),4,6),SUBSTITUTE(SUBSTITUTE(SUBSTITUTE(SUBSTITUTE(TRIM(E756),"*",""),".",""),"-","")," ","")))</f>
        <v/>
      </c>
      <c r="H756" s="31" t="str">
        <f aca="false">IF(OR(F756="",G756=""),"",F756&amp;"|"&amp;G756)</f>
        <v/>
      </c>
      <c r="I756" s="23"/>
      <c r="J756" s="22"/>
      <c r="K756" s="22"/>
      <c r="L756" s="25" t="str">
        <f aca="false">IF(F756="","",IF(AND(H756&lt;&gt;"",COUNTIF(Pessoas!$E:$E,H756)&gt;0),"SIM",IF(COUNTIF(Pessoas!$C:$C,F756)&gt;0,"nome igual em Pessoas: confira o CPF","")))</f>
        <v/>
      </c>
      <c r="M756" s="24"/>
      <c r="N756" s="11"/>
    </row>
    <row r="757" customFormat="false" ht="15" hidden="false" customHeight="false" outlineLevel="0" collapsed="false">
      <c r="A757" s="24"/>
      <c r="B757" s="31" t="str">
        <f aca="false">IF(A757="","",IF(LEN(UPPER(SUBSTITUTE(SUBSTITUTE(SUBSTITUTE(SUBSTITUTE(TRIM(A757),".",""),"/",""),"-","")," ","")))&lt;14,RIGHT(REPT("0",14)&amp;UPPER(SUBSTITUTE(SUBSTITUTE(SUBSTITUTE(SUBSTITUTE(TRIM(A757),".",""),"/",""),"-","")," ","")),14),UPPER(SUBSTITUTE(SUBSTITUTE(SUBSTITUTE(SUBSTITUTE(TRIM(A757),".",""),"/",""),"-","")," ",""))))</f>
        <v/>
      </c>
      <c r="C757" s="25" t="str">
        <f aca="false">IF(B757="","",IFERROR(INDEX(Empresas!$C:$C,MATCH(B757,Empresas!$B:$B,0)),"cadastre o CNPJ em Empresas"))</f>
        <v/>
      </c>
      <c r="D757" s="23"/>
      <c r="E757" s="24"/>
      <c r="F757" s="31" t="str">
        <f aca="false">IF(D757="","",SUBSTITUTE(SUBSTITUTE(SUBSTITUTE(SUBSTITUTE(SUBSTITUTE(SUBSTITUTE(SUBSTITUTE(SUBSTITUTE(SUBSTITUTE(SUBSTITUTE(SUBSTITUTE(SUBSTITUTE(SUBSTITUTE(UPPER(TRIM(D757)),"Á","A"),"À","A"),"Â","A"),"Ã","A"),"É","E"),"Ê","E"),"Í","I"),"Ó","O"),"Ô","O"),"Õ","O"),"Ú","U"),"Ü","U"),"Ç","C"))</f>
        <v/>
      </c>
      <c r="G757" s="31" t="str">
        <f aca="false">IF(E757="","",IF(LEN(SUBSTITUTE(SUBSTITUTE(SUBSTITUTE(SUBSTITUTE(TRIM(E757),"*",""),".",""),"-","")," ",""))=11,MID(SUBSTITUTE(SUBSTITUTE(SUBSTITUTE(SUBSTITUTE(TRIM(E757),"*",""),".",""),"-","")," ",""),4,6),SUBSTITUTE(SUBSTITUTE(SUBSTITUTE(SUBSTITUTE(TRIM(E757),"*",""),".",""),"-","")," ","")))</f>
        <v/>
      </c>
      <c r="H757" s="31" t="str">
        <f aca="false">IF(OR(F757="",G757=""),"",F757&amp;"|"&amp;G757)</f>
        <v/>
      </c>
      <c r="I757" s="23"/>
      <c r="J757" s="22"/>
      <c r="K757" s="22"/>
      <c r="L757" s="25" t="str">
        <f aca="false">IF(F757="","",IF(AND(H757&lt;&gt;"",COUNTIF(Pessoas!$E:$E,H757)&gt;0),"SIM",IF(COUNTIF(Pessoas!$C:$C,F757)&gt;0,"nome igual em Pessoas: confira o CPF","")))</f>
        <v/>
      </c>
      <c r="M757" s="24"/>
      <c r="N757" s="11"/>
    </row>
    <row r="758" customFormat="false" ht="15" hidden="false" customHeight="false" outlineLevel="0" collapsed="false">
      <c r="A758" s="24"/>
      <c r="B758" s="31" t="str">
        <f aca="false">IF(A758="","",IF(LEN(UPPER(SUBSTITUTE(SUBSTITUTE(SUBSTITUTE(SUBSTITUTE(TRIM(A758),".",""),"/",""),"-","")," ","")))&lt;14,RIGHT(REPT("0",14)&amp;UPPER(SUBSTITUTE(SUBSTITUTE(SUBSTITUTE(SUBSTITUTE(TRIM(A758),".",""),"/",""),"-","")," ","")),14),UPPER(SUBSTITUTE(SUBSTITUTE(SUBSTITUTE(SUBSTITUTE(TRIM(A758),".",""),"/",""),"-","")," ",""))))</f>
        <v/>
      </c>
      <c r="C758" s="25" t="str">
        <f aca="false">IF(B758="","",IFERROR(INDEX(Empresas!$C:$C,MATCH(B758,Empresas!$B:$B,0)),"cadastre o CNPJ em Empresas"))</f>
        <v/>
      </c>
      <c r="D758" s="23"/>
      <c r="E758" s="24"/>
      <c r="F758" s="31" t="str">
        <f aca="false">IF(D758="","",SUBSTITUTE(SUBSTITUTE(SUBSTITUTE(SUBSTITUTE(SUBSTITUTE(SUBSTITUTE(SUBSTITUTE(SUBSTITUTE(SUBSTITUTE(SUBSTITUTE(SUBSTITUTE(SUBSTITUTE(SUBSTITUTE(UPPER(TRIM(D758)),"Á","A"),"À","A"),"Â","A"),"Ã","A"),"É","E"),"Ê","E"),"Í","I"),"Ó","O"),"Ô","O"),"Õ","O"),"Ú","U"),"Ü","U"),"Ç","C"))</f>
        <v/>
      </c>
      <c r="G758" s="31" t="str">
        <f aca="false">IF(E758="","",IF(LEN(SUBSTITUTE(SUBSTITUTE(SUBSTITUTE(SUBSTITUTE(TRIM(E758),"*",""),".",""),"-","")," ",""))=11,MID(SUBSTITUTE(SUBSTITUTE(SUBSTITUTE(SUBSTITUTE(TRIM(E758),"*",""),".",""),"-","")," ",""),4,6),SUBSTITUTE(SUBSTITUTE(SUBSTITUTE(SUBSTITUTE(TRIM(E758),"*",""),".",""),"-","")," ","")))</f>
        <v/>
      </c>
      <c r="H758" s="31" t="str">
        <f aca="false">IF(OR(F758="",G758=""),"",F758&amp;"|"&amp;G758)</f>
        <v/>
      </c>
      <c r="I758" s="23"/>
      <c r="J758" s="22"/>
      <c r="K758" s="22"/>
      <c r="L758" s="25" t="str">
        <f aca="false">IF(F758="","",IF(AND(H758&lt;&gt;"",COUNTIF(Pessoas!$E:$E,H758)&gt;0),"SIM",IF(COUNTIF(Pessoas!$C:$C,F758)&gt;0,"nome igual em Pessoas: confira o CPF","")))</f>
        <v/>
      </c>
      <c r="M758" s="24"/>
      <c r="N758" s="11"/>
    </row>
    <row r="759" customFormat="false" ht="15" hidden="false" customHeight="false" outlineLevel="0" collapsed="false">
      <c r="A759" s="24"/>
      <c r="B759" s="31" t="str">
        <f aca="false">IF(A759="","",IF(LEN(UPPER(SUBSTITUTE(SUBSTITUTE(SUBSTITUTE(SUBSTITUTE(TRIM(A759),".",""),"/",""),"-","")," ","")))&lt;14,RIGHT(REPT("0",14)&amp;UPPER(SUBSTITUTE(SUBSTITUTE(SUBSTITUTE(SUBSTITUTE(TRIM(A759),".",""),"/",""),"-","")," ","")),14),UPPER(SUBSTITUTE(SUBSTITUTE(SUBSTITUTE(SUBSTITUTE(TRIM(A759),".",""),"/",""),"-","")," ",""))))</f>
        <v/>
      </c>
      <c r="C759" s="25" t="str">
        <f aca="false">IF(B759="","",IFERROR(INDEX(Empresas!$C:$C,MATCH(B759,Empresas!$B:$B,0)),"cadastre o CNPJ em Empresas"))</f>
        <v/>
      </c>
      <c r="D759" s="23"/>
      <c r="E759" s="24"/>
      <c r="F759" s="31" t="str">
        <f aca="false">IF(D759="","",SUBSTITUTE(SUBSTITUTE(SUBSTITUTE(SUBSTITUTE(SUBSTITUTE(SUBSTITUTE(SUBSTITUTE(SUBSTITUTE(SUBSTITUTE(SUBSTITUTE(SUBSTITUTE(SUBSTITUTE(SUBSTITUTE(UPPER(TRIM(D759)),"Á","A"),"À","A"),"Â","A"),"Ã","A"),"É","E"),"Ê","E"),"Í","I"),"Ó","O"),"Ô","O"),"Õ","O"),"Ú","U"),"Ü","U"),"Ç","C"))</f>
        <v/>
      </c>
      <c r="G759" s="31" t="str">
        <f aca="false">IF(E759="","",IF(LEN(SUBSTITUTE(SUBSTITUTE(SUBSTITUTE(SUBSTITUTE(TRIM(E759),"*",""),".",""),"-","")," ",""))=11,MID(SUBSTITUTE(SUBSTITUTE(SUBSTITUTE(SUBSTITUTE(TRIM(E759),"*",""),".",""),"-","")," ",""),4,6),SUBSTITUTE(SUBSTITUTE(SUBSTITUTE(SUBSTITUTE(TRIM(E759),"*",""),".",""),"-","")," ","")))</f>
        <v/>
      </c>
      <c r="H759" s="31" t="str">
        <f aca="false">IF(OR(F759="",G759=""),"",F759&amp;"|"&amp;G759)</f>
        <v/>
      </c>
      <c r="I759" s="23"/>
      <c r="J759" s="22"/>
      <c r="K759" s="22"/>
      <c r="L759" s="25" t="str">
        <f aca="false">IF(F759="","",IF(AND(H759&lt;&gt;"",COUNTIF(Pessoas!$E:$E,H759)&gt;0),"SIM",IF(COUNTIF(Pessoas!$C:$C,F759)&gt;0,"nome igual em Pessoas: confira o CPF","")))</f>
        <v/>
      </c>
      <c r="M759" s="24"/>
      <c r="N759" s="11"/>
    </row>
    <row r="760" customFormat="false" ht="15" hidden="false" customHeight="false" outlineLevel="0" collapsed="false">
      <c r="A760" s="24"/>
      <c r="B760" s="31" t="str">
        <f aca="false">IF(A760="","",IF(LEN(UPPER(SUBSTITUTE(SUBSTITUTE(SUBSTITUTE(SUBSTITUTE(TRIM(A760),".",""),"/",""),"-","")," ","")))&lt;14,RIGHT(REPT("0",14)&amp;UPPER(SUBSTITUTE(SUBSTITUTE(SUBSTITUTE(SUBSTITUTE(TRIM(A760),".",""),"/",""),"-","")," ","")),14),UPPER(SUBSTITUTE(SUBSTITUTE(SUBSTITUTE(SUBSTITUTE(TRIM(A760),".",""),"/",""),"-","")," ",""))))</f>
        <v/>
      </c>
      <c r="C760" s="25" t="str">
        <f aca="false">IF(B760="","",IFERROR(INDEX(Empresas!$C:$C,MATCH(B760,Empresas!$B:$B,0)),"cadastre o CNPJ em Empresas"))</f>
        <v/>
      </c>
      <c r="D760" s="23"/>
      <c r="E760" s="24"/>
      <c r="F760" s="31" t="str">
        <f aca="false">IF(D760="","",SUBSTITUTE(SUBSTITUTE(SUBSTITUTE(SUBSTITUTE(SUBSTITUTE(SUBSTITUTE(SUBSTITUTE(SUBSTITUTE(SUBSTITUTE(SUBSTITUTE(SUBSTITUTE(SUBSTITUTE(SUBSTITUTE(UPPER(TRIM(D760)),"Á","A"),"À","A"),"Â","A"),"Ã","A"),"É","E"),"Ê","E"),"Í","I"),"Ó","O"),"Ô","O"),"Õ","O"),"Ú","U"),"Ü","U"),"Ç","C"))</f>
        <v/>
      </c>
      <c r="G760" s="31" t="str">
        <f aca="false">IF(E760="","",IF(LEN(SUBSTITUTE(SUBSTITUTE(SUBSTITUTE(SUBSTITUTE(TRIM(E760),"*",""),".",""),"-","")," ",""))=11,MID(SUBSTITUTE(SUBSTITUTE(SUBSTITUTE(SUBSTITUTE(TRIM(E760),"*",""),".",""),"-","")," ",""),4,6),SUBSTITUTE(SUBSTITUTE(SUBSTITUTE(SUBSTITUTE(TRIM(E760),"*",""),".",""),"-","")," ","")))</f>
        <v/>
      </c>
      <c r="H760" s="31" t="str">
        <f aca="false">IF(OR(F760="",G760=""),"",F760&amp;"|"&amp;G760)</f>
        <v/>
      </c>
      <c r="I760" s="23"/>
      <c r="J760" s="22"/>
      <c r="K760" s="22"/>
      <c r="L760" s="25" t="str">
        <f aca="false">IF(F760="","",IF(AND(H760&lt;&gt;"",COUNTIF(Pessoas!$E:$E,H760)&gt;0),"SIM",IF(COUNTIF(Pessoas!$C:$C,F760)&gt;0,"nome igual em Pessoas: confira o CPF","")))</f>
        <v/>
      </c>
      <c r="M760" s="24"/>
      <c r="N760" s="11"/>
    </row>
    <row r="761" customFormat="false" ht="15" hidden="false" customHeight="false" outlineLevel="0" collapsed="false">
      <c r="A761" s="24"/>
      <c r="B761" s="31" t="str">
        <f aca="false">IF(A761="","",IF(LEN(UPPER(SUBSTITUTE(SUBSTITUTE(SUBSTITUTE(SUBSTITUTE(TRIM(A761),".",""),"/",""),"-","")," ","")))&lt;14,RIGHT(REPT("0",14)&amp;UPPER(SUBSTITUTE(SUBSTITUTE(SUBSTITUTE(SUBSTITUTE(TRIM(A761),".",""),"/",""),"-","")," ","")),14),UPPER(SUBSTITUTE(SUBSTITUTE(SUBSTITUTE(SUBSTITUTE(TRIM(A761),".",""),"/",""),"-","")," ",""))))</f>
        <v/>
      </c>
      <c r="C761" s="25" t="str">
        <f aca="false">IF(B761="","",IFERROR(INDEX(Empresas!$C:$C,MATCH(B761,Empresas!$B:$B,0)),"cadastre o CNPJ em Empresas"))</f>
        <v/>
      </c>
      <c r="D761" s="23"/>
      <c r="E761" s="24"/>
      <c r="F761" s="31" t="str">
        <f aca="false">IF(D761="","",SUBSTITUTE(SUBSTITUTE(SUBSTITUTE(SUBSTITUTE(SUBSTITUTE(SUBSTITUTE(SUBSTITUTE(SUBSTITUTE(SUBSTITUTE(SUBSTITUTE(SUBSTITUTE(SUBSTITUTE(SUBSTITUTE(UPPER(TRIM(D761)),"Á","A"),"À","A"),"Â","A"),"Ã","A"),"É","E"),"Ê","E"),"Í","I"),"Ó","O"),"Ô","O"),"Õ","O"),"Ú","U"),"Ü","U"),"Ç","C"))</f>
        <v/>
      </c>
      <c r="G761" s="31" t="str">
        <f aca="false">IF(E761="","",IF(LEN(SUBSTITUTE(SUBSTITUTE(SUBSTITUTE(SUBSTITUTE(TRIM(E761),"*",""),".",""),"-","")," ",""))=11,MID(SUBSTITUTE(SUBSTITUTE(SUBSTITUTE(SUBSTITUTE(TRIM(E761),"*",""),".",""),"-","")," ",""),4,6),SUBSTITUTE(SUBSTITUTE(SUBSTITUTE(SUBSTITUTE(TRIM(E761),"*",""),".",""),"-","")," ","")))</f>
        <v/>
      </c>
      <c r="H761" s="31" t="str">
        <f aca="false">IF(OR(F761="",G761=""),"",F761&amp;"|"&amp;G761)</f>
        <v/>
      </c>
      <c r="I761" s="23"/>
      <c r="J761" s="22"/>
      <c r="K761" s="22"/>
      <c r="L761" s="25" t="str">
        <f aca="false">IF(F761="","",IF(AND(H761&lt;&gt;"",COUNTIF(Pessoas!$E:$E,H761)&gt;0),"SIM",IF(COUNTIF(Pessoas!$C:$C,F761)&gt;0,"nome igual em Pessoas: confira o CPF","")))</f>
        <v/>
      </c>
      <c r="M761" s="24"/>
      <c r="N761" s="11"/>
    </row>
    <row r="762" customFormat="false" ht="15" hidden="false" customHeight="false" outlineLevel="0" collapsed="false">
      <c r="A762" s="24"/>
      <c r="B762" s="31" t="str">
        <f aca="false">IF(A762="","",IF(LEN(UPPER(SUBSTITUTE(SUBSTITUTE(SUBSTITUTE(SUBSTITUTE(TRIM(A762),".",""),"/",""),"-","")," ","")))&lt;14,RIGHT(REPT("0",14)&amp;UPPER(SUBSTITUTE(SUBSTITUTE(SUBSTITUTE(SUBSTITUTE(TRIM(A762),".",""),"/",""),"-","")," ","")),14),UPPER(SUBSTITUTE(SUBSTITUTE(SUBSTITUTE(SUBSTITUTE(TRIM(A762),".",""),"/",""),"-","")," ",""))))</f>
        <v/>
      </c>
      <c r="C762" s="25" t="str">
        <f aca="false">IF(B762="","",IFERROR(INDEX(Empresas!$C:$C,MATCH(B762,Empresas!$B:$B,0)),"cadastre o CNPJ em Empresas"))</f>
        <v/>
      </c>
      <c r="D762" s="23"/>
      <c r="E762" s="24"/>
      <c r="F762" s="31" t="str">
        <f aca="false">IF(D762="","",SUBSTITUTE(SUBSTITUTE(SUBSTITUTE(SUBSTITUTE(SUBSTITUTE(SUBSTITUTE(SUBSTITUTE(SUBSTITUTE(SUBSTITUTE(SUBSTITUTE(SUBSTITUTE(SUBSTITUTE(SUBSTITUTE(UPPER(TRIM(D762)),"Á","A"),"À","A"),"Â","A"),"Ã","A"),"É","E"),"Ê","E"),"Í","I"),"Ó","O"),"Ô","O"),"Õ","O"),"Ú","U"),"Ü","U"),"Ç","C"))</f>
        <v/>
      </c>
      <c r="G762" s="31" t="str">
        <f aca="false">IF(E762="","",IF(LEN(SUBSTITUTE(SUBSTITUTE(SUBSTITUTE(SUBSTITUTE(TRIM(E762),"*",""),".",""),"-","")," ",""))=11,MID(SUBSTITUTE(SUBSTITUTE(SUBSTITUTE(SUBSTITUTE(TRIM(E762),"*",""),".",""),"-","")," ",""),4,6),SUBSTITUTE(SUBSTITUTE(SUBSTITUTE(SUBSTITUTE(TRIM(E762),"*",""),".",""),"-","")," ","")))</f>
        <v/>
      </c>
      <c r="H762" s="31" t="str">
        <f aca="false">IF(OR(F762="",G762=""),"",F762&amp;"|"&amp;G762)</f>
        <v/>
      </c>
      <c r="I762" s="23"/>
      <c r="J762" s="22"/>
      <c r="K762" s="22"/>
      <c r="L762" s="25" t="str">
        <f aca="false">IF(F762="","",IF(AND(H762&lt;&gt;"",COUNTIF(Pessoas!$E:$E,H762)&gt;0),"SIM",IF(COUNTIF(Pessoas!$C:$C,F762)&gt;0,"nome igual em Pessoas: confira o CPF","")))</f>
        <v/>
      </c>
      <c r="M762" s="24"/>
      <c r="N762" s="11"/>
    </row>
    <row r="763" customFormat="false" ht="15" hidden="false" customHeight="false" outlineLevel="0" collapsed="false">
      <c r="A763" s="24"/>
      <c r="B763" s="31" t="str">
        <f aca="false">IF(A763="","",IF(LEN(UPPER(SUBSTITUTE(SUBSTITUTE(SUBSTITUTE(SUBSTITUTE(TRIM(A763),".",""),"/",""),"-","")," ","")))&lt;14,RIGHT(REPT("0",14)&amp;UPPER(SUBSTITUTE(SUBSTITUTE(SUBSTITUTE(SUBSTITUTE(TRIM(A763),".",""),"/",""),"-","")," ","")),14),UPPER(SUBSTITUTE(SUBSTITUTE(SUBSTITUTE(SUBSTITUTE(TRIM(A763),".",""),"/",""),"-","")," ",""))))</f>
        <v/>
      </c>
      <c r="C763" s="25" t="str">
        <f aca="false">IF(B763="","",IFERROR(INDEX(Empresas!$C:$C,MATCH(B763,Empresas!$B:$B,0)),"cadastre o CNPJ em Empresas"))</f>
        <v/>
      </c>
      <c r="D763" s="23"/>
      <c r="E763" s="24"/>
      <c r="F763" s="31" t="str">
        <f aca="false">IF(D763="","",SUBSTITUTE(SUBSTITUTE(SUBSTITUTE(SUBSTITUTE(SUBSTITUTE(SUBSTITUTE(SUBSTITUTE(SUBSTITUTE(SUBSTITUTE(SUBSTITUTE(SUBSTITUTE(SUBSTITUTE(SUBSTITUTE(UPPER(TRIM(D763)),"Á","A"),"À","A"),"Â","A"),"Ã","A"),"É","E"),"Ê","E"),"Í","I"),"Ó","O"),"Ô","O"),"Õ","O"),"Ú","U"),"Ü","U"),"Ç","C"))</f>
        <v/>
      </c>
      <c r="G763" s="31" t="str">
        <f aca="false">IF(E763="","",IF(LEN(SUBSTITUTE(SUBSTITUTE(SUBSTITUTE(SUBSTITUTE(TRIM(E763),"*",""),".",""),"-","")," ",""))=11,MID(SUBSTITUTE(SUBSTITUTE(SUBSTITUTE(SUBSTITUTE(TRIM(E763),"*",""),".",""),"-","")," ",""),4,6),SUBSTITUTE(SUBSTITUTE(SUBSTITUTE(SUBSTITUTE(TRIM(E763),"*",""),".",""),"-","")," ","")))</f>
        <v/>
      </c>
      <c r="H763" s="31" t="str">
        <f aca="false">IF(OR(F763="",G763=""),"",F763&amp;"|"&amp;G763)</f>
        <v/>
      </c>
      <c r="I763" s="23"/>
      <c r="J763" s="22"/>
      <c r="K763" s="22"/>
      <c r="L763" s="25" t="str">
        <f aca="false">IF(F763="","",IF(AND(H763&lt;&gt;"",COUNTIF(Pessoas!$E:$E,H763)&gt;0),"SIM",IF(COUNTIF(Pessoas!$C:$C,F763)&gt;0,"nome igual em Pessoas: confira o CPF","")))</f>
        <v/>
      </c>
      <c r="M763" s="24"/>
      <c r="N763" s="11"/>
    </row>
    <row r="764" customFormat="false" ht="15" hidden="false" customHeight="false" outlineLevel="0" collapsed="false">
      <c r="A764" s="24"/>
      <c r="B764" s="31" t="str">
        <f aca="false">IF(A764="","",IF(LEN(UPPER(SUBSTITUTE(SUBSTITUTE(SUBSTITUTE(SUBSTITUTE(TRIM(A764),".",""),"/",""),"-","")," ","")))&lt;14,RIGHT(REPT("0",14)&amp;UPPER(SUBSTITUTE(SUBSTITUTE(SUBSTITUTE(SUBSTITUTE(TRIM(A764),".",""),"/",""),"-","")," ","")),14),UPPER(SUBSTITUTE(SUBSTITUTE(SUBSTITUTE(SUBSTITUTE(TRIM(A764),".",""),"/",""),"-","")," ",""))))</f>
        <v/>
      </c>
      <c r="C764" s="25" t="str">
        <f aca="false">IF(B764="","",IFERROR(INDEX(Empresas!$C:$C,MATCH(B764,Empresas!$B:$B,0)),"cadastre o CNPJ em Empresas"))</f>
        <v/>
      </c>
      <c r="D764" s="23"/>
      <c r="E764" s="24"/>
      <c r="F764" s="31" t="str">
        <f aca="false">IF(D764="","",SUBSTITUTE(SUBSTITUTE(SUBSTITUTE(SUBSTITUTE(SUBSTITUTE(SUBSTITUTE(SUBSTITUTE(SUBSTITUTE(SUBSTITUTE(SUBSTITUTE(SUBSTITUTE(SUBSTITUTE(SUBSTITUTE(UPPER(TRIM(D764)),"Á","A"),"À","A"),"Â","A"),"Ã","A"),"É","E"),"Ê","E"),"Í","I"),"Ó","O"),"Ô","O"),"Õ","O"),"Ú","U"),"Ü","U"),"Ç","C"))</f>
        <v/>
      </c>
      <c r="G764" s="31" t="str">
        <f aca="false">IF(E764="","",IF(LEN(SUBSTITUTE(SUBSTITUTE(SUBSTITUTE(SUBSTITUTE(TRIM(E764),"*",""),".",""),"-","")," ",""))=11,MID(SUBSTITUTE(SUBSTITUTE(SUBSTITUTE(SUBSTITUTE(TRIM(E764),"*",""),".",""),"-","")," ",""),4,6),SUBSTITUTE(SUBSTITUTE(SUBSTITUTE(SUBSTITUTE(TRIM(E764),"*",""),".",""),"-","")," ","")))</f>
        <v/>
      </c>
      <c r="H764" s="31" t="str">
        <f aca="false">IF(OR(F764="",G764=""),"",F764&amp;"|"&amp;G764)</f>
        <v/>
      </c>
      <c r="I764" s="23"/>
      <c r="J764" s="22"/>
      <c r="K764" s="22"/>
      <c r="L764" s="25" t="str">
        <f aca="false">IF(F764="","",IF(AND(H764&lt;&gt;"",COUNTIF(Pessoas!$E:$E,H764)&gt;0),"SIM",IF(COUNTIF(Pessoas!$C:$C,F764)&gt;0,"nome igual em Pessoas: confira o CPF","")))</f>
        <v/>
      </c>
      <c r="M764" s="24"/>
      <c r="N764" s="11"/>
    </row>
    <row r="765" customFormat="false" ht="15" hidden="false" customHeight="false" outlineLevel="0" collapsed="false">
      <c r="A765" s="24"/>
      <c r="B765" s="31" t="str">
        <f aca="false">IF(A765="","",IF(LEN(UPPER(SUBSTITUTE(SUBSTITUTE(SUBSTITUTE(SUBSTITUTE(TRIM(A765),".",""),"/",""),"-","")," ","")))&lt;14,RIGHT(REPT("0",14)&amp;UPPER(SUBSTITUTE(SUBSTITUTE(SUBSTITUTE(SUBSTITUTE(TRIM(A765),".",""),"/",""),"-","")," ","")),14),UPPER(SUBSTITUTE(SUBSTITUTE(SUBSTITUTE(SUBSTITUTE(TRIM(A765),".",""),"/",""),"-","")," ",""))))</f>
        <v/>
      </c>
      <c r="C765" s="25" t="str">
        <f aca="false">IF(B765="","",IFERROR(INDEX(Empresas!$C:$C,MATCH(B765,Empresas!$B:$B,0)),"cadastre o CNPJ em Empresas"))</f>
        <v/>
      </c>
      <c r="D765" s="23"/>
      <c r="E765" s="24"/>
      <c r="F765" s="31" t="str">
        <f aca="false">IF(D765="","",SUBSTITUTE(SUBSTITUTE(SUBSTITUTE(SUBSTITUTE(SUBSTITUTE(SUBSTITUTE(SUBSTITUTE(SUBSTITUTE(SUBSTITUTE(SUBSTITUTE(SUBSTITUTE(SUBSTITUTE(SUBSTITUTE(UPPER(TRIM(D765)),"Á","A"),"À","A"),"Â","A"),"Ã","A"),"É","E"),"Ê","E"),"Í","I"),"Ó","O"),"Ô","O"),"Õ","O"),"Ú","U"),"Ü","U"),"Ç","C"))</f>
        <v/>
      </c>
      <c r="G765" s="31" t="str">
        <f aca="false">IF(E765="","",IF(LEN(SUBSTITUTE(SUBSTITUTE(SUBSTITUTE(SUBSTITUTE(TRIM(E765),"*",""),".",""),"-","")," ",""))=11,MID(SUBSTITUTE(SUBSTITUTE(SUBSTITUTE(SUBSTITUTE(TRIM(E765),"*",""),".",""),"-","")," ",""),4,6),SUBSTITUTE(SUBSTITUTE(SUBSTITUTE(SUBSTITUTE(TRIM(E765),"*",""),".",""),"-","")," ","")))</f>
        <v/>
      </c>
      <c r="H765" s="31" t="str">
        <f aca="false">IF(OR(F765="",G765=""),"",F765&amp;"|"&amp;G765)</f>
        <v/>
      </c>
      <c r="I765" s="23"/>
      <c r="J765" s="22"/>
      <c r="K765" s="22"/>
      <c r="L765" s="25" t="str">
        <f aca="false">IF(F765="","",IF(AND(H765&lt;&gt;"",COUNTIF(Pessoas!$E:$E,H765)&gt;0),"SIM",IF(COUNTIF(Pessoas!$C:$C,F765)&gt;0,"nome igual em Pessoas: confira o CPF","")))</f>
        <v/>
      </c>
      <c r="M765" s="24"/>
      <c r="N765" s="11"/>
    </row>
    <row r="766" customFormat="false" ht="15" hidden="false" customHeight="false" outlineLevel="0" collapsed="false">
      <c r="A766" s="24"/>
      <c r="B766" s="31" t="str">
        <f aca="false">IF(A766="","",IF(LEN(UPPER(SUBSTITUTE(SUBSTITUTE(SUBSTITUTE(SUBSTITUTE(TRIM(A766),".",""),"/",""),"-","")," ","")))&lt;14,RIGHT(REPT("0",14)&amp;UPPER(SUBSTITUTE(SUBSTITUTE(SUBSTITUTE(SUBSTITUTE(TRIM(A766),".",""),"/",""),"-","")," ","")),14),UPPER(SUBSTITUTE(SUBSTITUTE(SUBSTITUTE(SUBSTITUTE(TRIM(A766),".",""),"/",""),"-","")," ",""))))</f>
        <v/>
      </c>
      <c r="C766" s="25" t="str">
        <f aca="false">IF(B766="","",IFERROR(INDEX(Empresas!$C:$C,MATCH(B766,Empresas!$B:$B,0)),"cadastre o CNPJ em Empresas"))</f>
        <v/>
      </c>
      <c r="D766" s="23"/>
      <c r="E766" s="24"/>
      <c r="F766" s="31" t="str">
        <f aca="false">IF(D766="","",SUBSTITUTE(SUBSTITUTE(SUBSTITUTE(SUBSTITUTE(SUBSTITUTE(SUBSTITUTE(SUBSTITUTE(SUBSTITUTE(SUBSTITUTE(SUBSTITUTE(SUBSTITUTE(SUBSTITUTE(SUBSTITUTE(UPPER(TRIM(D766)),"Á","A"),"À","A"),"Â","A"),"Ã","A"),"É","E"),"Ê","E"),"Í","I"),"Ó","O"),"Ô","O"),"Õ","O"),"Ú","U"),"Ü","U"),"Ç","C"))</f>
        <v/>
      </c>
      <c r="G766" s="31" t="str">
        <f aca="false">IF(E766="","",IF(LEN(SUBSTITUTE(SUBSTITUTE(SUBSTITUTE(SUBSTITUTE(TRIM(E766),"*",""),".",""),"-","")," ",""))=11,MID(SUBSTITUTE(SUBSTITUTE(SUBSTITUTE(SUBSTITUTE(TRIM(E766),"*",""),".",""),"-","")," ",""),4,6),SUBSTITUTE(SUBSTITUTE(SUBSTITUTE(SUBSTITUTE(TRIM(E766),"*",""),".",""),"-","")," ","")))</f>
        <v/>
      </c>
      <c r="H766" s="31" t="str">
        <f aca="false">IF(OR(F766="",G766=""),"",F766&amp;"|"&amp;G766)</f>
        <v/>
      </c>
      <c r="I766" s="23"/>
      <c r="J766" s="22"/>
      <c r="K766" s="22"/>
      <c r="L766" s="25" t="str">
        <f aca="false">IF(F766="","",IF(AND(H766&lt;&gt;"",COUNTIF(Pessoas!$E:$E,H766)&gt;0),"SIM",IF(COUNTIF(Pessoas!$C:$C,F766)&gt;0,"nome igual em Pessoas: confira o CPF","")))</f>
        <v/>
      </c>
      <c r="M766" s="24"/>
      <c r="N766" s="11"/>
    </row>
    <row r="767" customFormat="false" ht="15" hidden="false" customHeight="false" outlineLevel="0" collapsed="false">
      <c r="A767" s="24"/>
      <c r="B767" s="31" t="str">
        <f aca="false">IF(A767="","",IF(LEN(UPPER(SUBSTITUTE(SUBSTITUTE(SUBSTITUTE(SUBSTITUTE(TRIM(A767),".",""),"/",""),"-","")," ","")))&lt;14,RIGHT(REPT("0",14)&amp;UPPER(SUBSTITUTE(SUBSTITUTE(SUBSTITUTE(SUBSTITUTE(TRIM(A767),".",""),"/",""),"-","")," ","")),14),UPPER(SUBSTITUTE(SUBSTITUTE(SUBSTITUTE(SUBSTITUTE(TRIM(A767),".",""),"/",""),"-","")," ",""))))</f>
        <v/>
      </c>
      <c r="C767" s="25" t="str">
        <f aca="false">IF(B767="","",IFERROR(INDEX(Empresas!$C:$C,MATCH(B767,Empresas!$B:$B,0)),"cadastre o CNPJ em Empresas"))</f>
        <v/>
      </c>
      <c r="D767" s="23"/>
      <c r="E767" s="24"/>
      <c r="F767" s="31" t="str">
        <f aca="false">IF(D767="","",SUBSTITUTE(SUBSTITUTE(SUBSTITUTE(SUBSTITUTE(SUBSTITUTE(SUBSTITUTE(SUBSTITUTE(SUBSTITUTE(SUBSTITUTE(SUBSTITUTE(SUBSTITUTE(SUBSTITUTE(SUBSTITUTE(UPPER(TRIM(D767)),"Á","A"),"À","A"),"Â","A"),"Ã","A"),"É","E"),"Ê","E"),"Í","I"),"Ó","O"),"Ô","O"),"Õ","O"),"Ú","U"),"Ü","U"),"Ç","C"))</f>
        <v/>
      </c>
      <c r="G767" s="31" t="str">
        <f aca="false">IF(E767="","",IF(LEN(SUBSTITUTE(SUBSTITUTE(SUBSTITUTE(SUBSTITUTE(TRIM(E767),"*",""),".",""),"-","")," ",""))=11,MID(SUBSTITUTE(SUBSTITUTE(SUBSTITUTE(SUBSTITUTE(TRIM(E767),"*",""),".",""),"-","")," ",""),4,6),SUBSTITUTE(SUBSTITUTE(SUBSTITUTE(SUBSTITUTE(TRIM(E767),"*",""),".",""),"-","")," ","")))</f>
        <v/>
      </c>
      <c r="H767" s="31" t="str">
        <f aca="false">IF(OR(F767="",G767=""),"",F767&amp;"|"&amp;G767)</f>
        <v/>
      </c>
      <c r="I767" s="23"/>
      <c r="J767" s="22"/>
      <c r="K767" s="22"/>
      <c r="L767" s="25" t="str">
        <f aca="false">IF(F767="","",IF(AND(H767&lt;&gt;"",COUNTIF(Pessoas!$E:$E,H767)&gt;0),"SIM",IF(COUNTIF(Pessoas!$C:$C,F767)&gt;0,"nome igual em Pessoas: confira o CPF","")))</f>
        <v/>
      </c>
      <c r="M767" s="24"/>
      <c r="N767" s="11"/>
    </row>
    <row r="768" customFormat="false" ht="15" hidden="false" customHeight="false" outlineLevel="0" collapsed="false">
      <c r="A768" s="24"/>
      <c r="B768" s="31" t="str">
        <f aca="false">IF(A768="","",IF(LEN(UPPER(SUBSTITUTE(SUBSTITUTE(SUBSTITUTE(SUBSTITUTE(TRIM(A768),".",""),"/",""),"-","")," ","")))&lt;14,RIGHT(REPT("0",14)&amp;UPPER(SUBSTITUTE(SUBSTITUTE(SUBSTITUTE(SUBSTITUTE(TRIM(A768),".",""),"/",""),"-","")," ","")),14),UPPER(SUBSTITUTE(SUBSTITUTE(SUBSTITUTE(SUBSTITUTE(TRIM(A768),".",""),"/",""),"-","")," ",""))))</f>
        <v/>
      </c>
      <c r="C768" s="25" t="str">
        <f aca="false">IF(B768="","",IFERROR(INDEX(Empresas!$C:$C,MATCH(B768,Empresas!$B:$B,0)),"cadastre o CNPJ em Empresas"))</f>
        <v/>
      </c>
      <c r="D768" s="23"/>
      <c r="E768" s="24"/>
      <c r="F768" s="31" t="str">
        <f aca="false">IF(D768="","",SUBSTITUTE(SUBSTITUTE(SUBSTITUTE(SUBSTITUTE(SUBSTITUTE(SUBSTITUTE(SUBSTITUTE(SUBSTITUTE(SUBSTITUTE(SUBSTITUTE(SUBSTITUTE(SUBSTITUTE(SUBSTITUTE(UPPER(TRIM(D768)),"Á","A"),"À","A"),"Â","A"),"Ã","A"),"É","E"),"Ê","E"),"Í","I"),"Ó","O"),"Ô","O"),"Õ","O"),"Ú","U"),"Ü","U"),"Ç","C"))</f>
        <v/>
      </c>
      <c r="G768" s="31" t="str">
        <f aca="false">IF(E768="","",IF(LEN(SUBSTITUTE(SUBSTITUTE(SUBSTITUTE(SUBSTITUTE(TRIM(E768),"*",""),".",""),"-","")," ",""))=11,MID(SUBSTITUTE(SUBSTITUTE(SUBSTITUTE(SUBSTITUTE(TRIM(E768),"*",""),".",""),"-","")," ",""),4,6),SUBSTITUTE(SUBSTITUTE(SUBSTITUTE(SUBSTITUTE(TRIM(E768),"*",""),".",""),"-","")," ","")))</f>
        <v/>
      </c>
      <c r="H768" s="31" t="str">
        <f aca="false">IF(OR(F768="",G768=""),"",F768&amp;"|"&amp;G768)</f>
        <v/>
      </c>
      <c r="I768" s="23"/>
      <c r="J768" s="22"/>
      <c r="K768" s="22"/>
      <c r="L768" s="25" t="str">
        <f aca="false">IF(F768="","",IF(AND(H768&lt;&gt;"",COUNTIF(Pessoas!$E:$E,H768)&gt;0),"SIM",IF(COUNTIF(Pessoas!$C:$C,F768)&gt;0,"nome igual em Pessoas: confira o CPF","")))</f>
        <v/>
      </c>
      <c r="M768" s="24"/>
      <c r="N768" s="11"/>
    </row>
    <row r="769" customFormat="false" ht="15" hidden="false" customHeight="false" outlineLevel="0" collapsed="false">
      <c r="A769" s="24"/>
      <c r="B769" s="31" t="str">
        <f aca="false">IF(A769="","",IF(LEN(UPPER(SUBSTITUTE(SUBSTITUTE(SUBSTITUTE(SUBSTITUTE(TRIM(A769),".",""),"/",""),"-","")," ","")))&lt;14,RIGHT(REPT("0",14)&amp;UPPER(SUBSTITUTE(SUBSTITUTE(SUBSTITUTE(SUBSTITUTE(TRIM(A769),".",""),"/",""),"-","")," ","")),14),UPPER(SUBSTITUTE(SUBSTITUTE(SUBSTITUTE(SUBSTITUTE(TRIM(A769),".",""),"/",""),"-","")," ",""))))</f>
        <v/>
      </c>
      <c r="C769" s="25" t="str">
        <f aca="false">IF(B769="","",IFERROR(INDEX(Empresas!$C:$C,MATCH(B769,Empresas!$B:$B,0)),"cadastre o CNPJ em Empresas"))</f>
        <v/>
      </c>
      <c r="D769" s="23"/>
      <c r="E769" s="24"/>
      <c r="F769" s="31" t="str">
        <f aca="false">IF(D769="","",SUBSTITUTE(SUBSTITUTE(SUBSTITUTE(SUBSTITUTE(SUBSTITUTE(SUBSTITUTE(SUBSTITUTE(SUBSTITUTE(SUBSTITUTE(SUBSTITUTE(SUBSTITUTE(SUBSTITUTE(SUBSTITUTE(UPPER(TRIM(D769)),"Á","A"),"À","A"),"Â","A"),"Ã","A"),"É","E"),"Ê","E"),"Í","I"),"Ó","O"),"Ô","O"),"Õ","O"),"Ú","U"),"Ü","U"),"Ç","C"))</f>
        <v/>
      </c>
      <c r="G769" s="31" t="str">
        <f aca="false">IF(E769="","",IF(LEN(SUBSTITUTE(SUBSTITUTE(SUBSTITUTE(SUBSTITUTE(TRIM(E769),"*",""),".",""),"-","")," ",""))=11,MID(SUBSTITUTE(SUBSTITUTE(SUBSTITUTE(SUBSTITUTE(TRIM(E769),"*",""),".",""),"-","")," ",""),4,6),SUBSTITUTE(SUBSTITUTE(SUBSTITUTE(SUBSTITUTE(TRIM(E769),"*",""),".",""),"-","")," ","")))</f>
        <v/>
      </c>
      <c r="H769" s="31" t="str">
        <f aca="false">IF(OR(F769="",G769=""),"",F769&amp;"|"&amp;G769)</f>
        <v/>
      </c>
      <c r="I769" s="23"/>
      <c r="J769" s="22"/>
      <c r="K769" s="22"/>
      <c r="L769" s="25" t="str">
        <f aca="false">IF(F769="","",IF(AND(H769&lt;&gt;"",COUNTIF(Pessoas!$E:$E,H769)&gt;0),"SIM",IF(COUNTIF(Pessoas!$C:$C,F769)&gt;0,"nome igual em Pessoas: confira o CPF","")))</f>
        <v/>
      </c>
      <c r="M769" s="24"/>
      <c r="N769" s="11"/>
    </row>
    <row r="770" customFormat="false" ht="15" hidden="false" customHeight="false" outlineLevel="0" collapsed="false">
      <c r="A770" s="24"/>
      <c r="B770" s="31" t="str">
        <f aca="false">IF(A770="","",IF(LEN(UPPER(SUBSTITUTE(SUBSTITUTE(SUBSTITUTE(SUBSTITUTE(TRIM(A770),".",""),"/",""),"-","")," ","")))&lt;14,RIGHT(REPT("0",14)&amp;UPPER(SUBSTITUTE(SUBSTITUTE(SUBSTITUTE(SUBSTITUTE(TRIM(A770),".",""),"/",""),"-","")," ","")),14),UPPER(SUBSTITUTE(SUBSTITUTE(SUBSTITUTE(SUBSTITUTE(TRIM(A770),".",""),"/",""),"-","")," ",""))))</f>
        <v/>
      </c>
      <c r="C770" s="25" t="str">
        <f aca="false">IF(B770="","",IFERROR(INDEX(Empresas!$C:$C,MATCH(B770,Empresas!$B:$B,0)),"cadastre o CNPJ em Empresas"))</f>
        <v/>
      </c>
      <c r="D770" s="23"/>
      <c r="E770" s="24"/>
      <c r="F770" s="31" t="str">
        <f aca="false">IF(D770="","",SUBSTITUTE(SUBSTITUTE(SUBSTITUTE(SUBSTITUTE(SUBSTITUTE(SUBSTITUTE(SUBSTITUTE(SUBSTITUTE(SUBSTITUTE(SUBSTITUTE(SUBSTITUTE(SUBSTITUTE(SUBSTITUTE(UPPER(TRIM(D770)),"Á","A"),"À","A"),"Â","A"),"Ã","A"),"É","E"),"Ê","E"),"Í","I"),"Ó","O"),"Ô","O"),"Õ","O"),"Ú","U"),"Ü","U"),"Ç","C"))</f>
        <v/>
      </c>
      <c r="G770" s="31" t="str">
        <f aca="false">IF(E770="","",IF(LEN(SUBSTITUTE(SUBSTITUTE(SUBSTITUTE(SUBSTITUTE(TRIM(E770),"*",""),".",""),"-","")," ",""))=11,MID(SUBSTITUTE(SUBSTITUTE(SUBSTITUTE(SUBSTITUTE(TRIM(E770),"*",""),".",""),"-","")," ",""),4,6),SUBSTITUTE(SUBSTITUTE(SUBSTITUTE(SUBSTITUTE(TRIM(E770),"*",""),".",""),"-","")," ","")))</f>
        <v/>
      </c>
      <c r="H770" s="31" t="str">
        <f aca="false">IF(OR(F770="",G770=""),"",F770&amp;"|"&amp;G770)</f>
        <v/>
      </c>
      <c r="I770" s="23"/>
      <c r="J770" s="22"/>
      <c r="K770" s="22"/>
      <c r="L770" s="25" t="str">
        <f aca="false">IF(F770="","",IF(AND(H770&lt;&gt;"",COUNTIF(Pessoas!$E:$E,H770)&gt;0),"SIM",IF(COUNTIF(Pessoas!$C:$C,F770)&gt;0,"nome igual em Pessoas: confira o CPF","")))</f>
        <v/>
      </c>
      <c r="M770" s="24"/>
      <c r="N770" s="11"/>
    </row>
    <row r="771" customFormat="false" ht="15" hidden="false" customHeight="false" outlineLevel="0" collapsed="false">
      <c r="A771" s="24"/>
      <c r="B771" s="31" t="str">
        <f aca="false">IF(A771="","",IF(LEN(UPPER(SUBSTITUTE(SUBSTITUTE(SUBSTITUTE(SUBSTITUTE(TRIM(A771),".",""),"/",""),"-","")," ","")))&lt;14,RIGHT(REPT("0",14)&amp;UPPER(SUBSTITUTE(SUBSTITUTE(SUBSTITUTE(SUBSTITUTE(TRIM(A771),".",""),"/",""),"-","")," ","")),14),UPPER(SUBSTITUTE(SUBSTITUTE(SUBSTITUTE(SUBSTITUTE(TRIM(A771),".",""),"/",""),"-","")," ",""))))</f>
        <v/>
      </c>
      <c r="C771" s="25" t="str">
        <f aca="false">IF(B771="","",IFERROR(INDEX(Empresas!$C:$C,MATCH(B771,Empresas!$B:$B,0)),"cadastre o CNPJ em Empresas"))</f>
        <v/>
      </c>
      <c r="D771" s="23"/>
      <c r="E771" s="24"/>
      <c r="F771" s="31" t="str">
        <f aca="false">IF(D771="","",SUBSTITUTE(SUBSTITUTE(SUBSTITUTE(SUBSTITUTE(SUBSTITUTE(SUBSTITUTE(SUBSTITUTE(SUBSTITUTE(SUBSTITUTE(SUBSTITUTE(SUBSTITUTE(SUBSTITUTE(SUBSTITUTE(UPPER(TRIM(D771)),"Á","A"),"À","A"),"Â","A"),"Ã","A"),"É","E"),"Ê","E"),"Í","I"),"Ó","O"),"Ô","O"),"Õ","O"),"Ú","U"),"Ü","U"),"Ç","C"))</f>
        <v/>
      </c>
      <c r="G771" s="31" t="str">
        <f aca="false">IF(E771="","",IF(LEN(SUBSTITUTE(SUBSTITUTE(SUBSTITUTE(SUBSTITUTE(TRIM(E771),"*",""),".",""),"-","")," ",""))=11,MID(SUBSTITUTE(SUBSTITUTE(SUBSTITUTE(SUBSTITUTE(TRIM(E771),"*",""),".",""),"-","")," ",""),4,6),SUBSTITUTE(SUBSTITUTE(SUBSTITUTE(SUBSTITUTE(TRIM(E771),"*",""),".",""),"-","")," ","")))</f>
        <v/>
      </c>
      <c r="H771" s="31" t="str">
        <f aca="false">IF(OR(F771="",G771=""),"",F771&amp;"|"&amp;G771)</f>
        <v/>
      </c>
      <c r="I771" s="23"/>
      <c r="J771" s="22"/>
      <c r="K771" s="22"/>
      <c r="L771" s="25" t="str">
        <f aca="false">IF(F771="","",IF(AND(H771&lt;&gt;"",COUNTIF(Pessoas!$E:$E,H771)&gt;0),"SIM",IF(COUNTIF(Pessoas!$C:$C,F771)&gt;0,"nome igual em Pessoas: confira o CPF","")))</f>
        <v/>
      </c>
      <c r="M771" s="24"/>
      <c r="N771" s="11"/>
    </row>
    <row r="772" customFormat="false" ht="15" hidden="false" customHeight="false" outlineLevel="0" collapsed="false">
      <c r="A772" s="24"/>
      <c r="B772" s="31" t="str">
        <f aca="false">IF(A772="","",IF(LEN(UPPER(SUBSTITUTE(SUBSTITUTE(SUBSTITUTE(SUBSTITUTE(TRIM(A772),".",""),"/",""),"-","")," ","")))&lt;14,RIGHT(REPT("0",14)&amp;UPPER(SUBSTITUTE(SUBSTITUTE(SUBSTITUTE(SUBSTITUTE(TRIM(A772),".",""),"/",""),"-","")," ","")),14),UPPER(SUBSTITUTE(SUBSTITUTE(SUBSTITUTE(SUBSTITUTE(TRIM(A772),".",""),"/",""),"-","")," ",""))))</f>
        <v/>
      </c>
      <c r="C772" s="25" t="str">
        <f aca="false">IF(B772="","",IFERROR(INDEX(Empresas!$C:$C,MATCH(B772,Empresas!$B:$B,0)),"cadastre o CNPJ em Empresas"))</f>
        <v/>
      </c>
      <c r="D772" s="23"/>
      <c r="E772" s="24"/>
      <c r="F772" s="31" t="str">
        <f aca="false">IF(D772="","",SUBSTITUTE(SUBSTITUTE(SUBSTITUTE(SUBSTITUTE(SUBSTITUTE(SUBSTITUTE(SUBSTITUTE(SUBSTITUTE(SUBSTITUTE(SUBSTITUTE(SUBSTITUTE(SUBSTITUTE(SUBSTITUTE(UPPER(TRIM(D772)),"Á","A"),"À","A"),"Â","A"),"Ã","A"),"É","E"),"Ê","E"),"Í","I"),"Ó","O"),"Ô","O"),"Õ","O"),"Ú","U"),"Ü","U"),"Ç","C"))</f>
        <v/>
      </c>
      <c r="G772" s="31" t="str">
        <f aca="false">IF(E772="","",IF(LEN(SUBSTITUTE(SUBSTITUTE(SUBSTITUTE(SUBSTITUTE(TRIM(E772),"*",""),".",""),"-","")," ",""))=11,MID(SUBSTITUTE(SUBSTITUTE(SUBSTITUTE(SUBSTITUTE(TRIM(E772),"*",""),".",""),"-","")," ",""),4,6),SUBSTITUTE(SUBSTITUTE(SUBSTITUTE(SUBSTITUTE(TRIM(E772),"*",""),".",""),"-","")," ","")))</f>
        <v/>
      </c>
      <c r="H772" s="31" t="str">
        <f aca="false">IF(OR(F772="",G772=""),"",F772&amp;"|"&amp;G772)</f>
        <v/>
      </c>
      <c r="I772" s="23"/>
      <c r="J772" s="22"/>
      <c r="K772" s="22"/>
      <c r="L772" s="25" t="str">
        <f aca="false">IF(F772="","",IF(AND(H772&lt;&gt;"",COUNTIF(Pessoas!$E:$E,H772)&gt;0),"SIM",IF(COUNTIF(Pessoas!$C:$C,F772)&gt;0,"nome igual em Pessoas: confira o CPF","")))</f>
        <v/>
      </c>
      <c r="M772" s="24"/>
      <c r="N772" s="11"/>
    </row>
    <row r="773" customFormat="false" ht="15" hidden="false" customHeight="false" outlineLevel="0" collapsed="false">
      <c r="A773" s="24"/>
      <c r="B773" s="31" t="str">
        <f aca="false">IF(A773="","",IF(LEN(UPPER(SUBSTITUTE(SUBSTITUTE(SUBSTITUTE(SUBSTITUTE(TRIM(A773),".",""),"/",""),"-","")," ","")))&lt;14,RIGHT(REPT("0",14)&amp;UPPER(SUBSTITUTE(SUBSTITUTE(SUBSTITUTE(SUBSTITUTE(TRIM(A773),".",""),"/",""),"-","")," ","")),14),UPPER(SUBSTITUTE(SUBSTITUTE(SUBSTITUTE(SUBSTITUTE(TRIM(A773),".",""),"/",""),"-","")," ",""))))</f>
        <v/>
      </c>
      <c r="C773" s="25" t="str">
        <f aca="false">IF(B773="","",IFERROR(INDEX(Empresas!$C:$C,MATCH(B773,Empresas!$B:$B,0)),"cadastre o CNPJ em Empresas"))</f>
        <v/>
      </c>
      <c r="D773" s="23"/>
      <c r="E773" s="24"/>
      <c r="F773" s="31" t="str">
        <f aca="false">IF(D773="","",SUBSTITUTE(SUBSTITUTE(SUBSTITUTE(SUBSTITUTE(SUBSTITUTE(SUBSTITUTE(SUBSTITUTE(SUBSTITUTE(SUBSTITUTE(SUBSTITUTE(SUBSTITUTE(SUBSTITUTE(SUBSTITUTE(UPPER(TRIM(D773)),"Á","A"),"À","A"),"Â","A"),"Ã","A"),"É","E"),"Ê","E"),"Í","I"),"Ó","O"),"Ô","O"),"Õ","O"),"Ú","U"),"Ü","U"),"Ç","C"))</f>
        <v/>
      </c>
      <c r="G773" s="31" t="str">
        <f aca="false">IF(E773="","",IF(LEN(SUBSTITUTE(SUBSTITUTE(SUBSTITUTE(SUBSTITUTE(TRIM(E773),"*",""),".",""),"-","")," ",""))=11,MID(SUBSTITUTE(SUBSTITUTE(SUBSTITUTE(SUBSTITUTE(TRIM(E773),"*",""),".",""),"-","")," ",""),4,6),SUBSTITUTE(SUBSTITUTE(SUBSTITUTE(SUBSTITUTE(TRIM(E773),"*",""),".",""),"-","")," ","")))</f>
        <v/>
      </c>
      <c r="H773" s="31" t="str">
        <f aca="false">IF(OR(F773="",G773=""),"",F773&amp;"|"&amp;G773)</f>
        <v/>
      </c>
      <c r="I773" s="23"/>
      <c r="J773" s="22"/>
      <c r="K773" s="22"/>
      <c r="L773" s="25" t="str">
        <f aca="false">IF(F773="","",IF(AND(H773&lt;&gt;"",COUNTIF(Pessoas!$E:$E,H773)&gt;0),"SIM",IF(COUNTIF(Pessoas!$C:$C,F773)&gt;0,"nome igual em Pessoas: confira o CPF","")))</f>
        <v/>
      </c>
      <c r="M773" s="24"/>
      <c r="N773" s="11"/>
    </row>
    <row r="774" customFormat="false" ht="15" hidden="false" customHeight="false" outlineLevel="0" collapsed="false">
      <c r="A774" s="24"/>
      <c r="B774" s="31" t="str">
        <f aca="false">IF(A774="","",IF(LEN(UPPER(SUBSTITUTE(SUBSTITUTE(SUBSTITUTE(SUBSTITUTE(TRIM(A774),".",""),"/",""),"-","")," ","")))&lt;14,RIGHT(REPT("0",14)&amp;UPPER(SUBSTITUTE(SUBSTITUTE(SUBSTITUTE(SUBSTITUTE(TRIM(A774),".",""),"/",""),"-","")," ","")),14),UPPER(SUBSTITUTE(SUBSTITUTE(SUBSTITUTE(SUBSTITUTE(TRIM(A774),".",""),"/",""),"-","")," ",""))))</f>
        <v/>
      </c>
      <c r="C774" s="25" t="str">
        <f aca="false">IF(B774="","",IFERROR(INDEX(Empresas!$C:$C,MATCH(B774,Empresas!$B:$B,0)),"cadastre o CNPJ em Empresas"))</f>
        <v/>
      </c>
      <c r="D774" s="23"/>
      <c r="E774" s="24"/>
      <c r="F774" s="31" t="str">
        <f aca="false">IF(D774="","",SUBSTITUTE(SUBSTITUTE(SUBSTITUTE(SUBSTITUTE(SUBSTITUTE(SUBSTITUTE(SUBSTITUTE(SUBSTITUTE(SUBSTITUTE(SUBSTITUTE(SUBSTITUTE(SUBSTITUTE(SUBSTITUTE(UPPER(TRIM(D774)),"Á","A"),"À","A"),"Â","A"),"Ã","A"),"É","E"),"Ê","E"),"Í","I"),"Ó","O"),"Ô","O"),"Õ","O"),"Ú","U"),"Ü","U"),"Ç","C"))</f>
        <v/>
      </c>
      <c r="G774" s="31" t="str">
        <f aca="false">IF(E774="","",IF(LEN(SUBSTITUTE(SUBSTITUTE(SUBSTITUTE(SUBSTITUTE(TRIM(E774),"*",""),".",""),"-","")," ",""))=11,MID(SUBSTITUTE(SUBSTITUTE(SUBSTITUTE(SUBSTITUTE(TRIM(E774),"*",""),".",""),"-","")," ",""),4,6),SUBSTITUTE(SUBSTITUTE(SUBSTITUTE(SUBSTITUTE(TRIM(E774),"*",""),".",""),"-","")," ","")))</f>
        <v/>
      </c>
      <c r="H774" s="31" t="str">
        <f aca="false">IF(OR(F774="",G774=""),"",F774&amp;"|"&amp;G774)</f>
        <v/>
      </c>
      <c r="I774" s="23"/>
      <c r="J774" s="22"/>
      <c r="K774" s="22"/>
      <c r="L774" s="25" t="str">
        <f aca="false">IF(F774="","",IF(AND(H774&lt;&gt;"",COUNTIF(Pessoas!$E:$E,H774)&gt;0),"SIM",IF(COUNTIF(Pessoas!$C:$C,F774)&gt;0,"nome igual em Pessoas: confira o CPF","")))</f>
        <v/>
      </c>
      <c r="M774" s="24"/>
      <c r="N774" s="11"/>
    </row>
    <row r="775" customFormat="false" ht="15" hidden="false" customHeight="false" outlineLevel="0" collapsed="false">
      <c r="A775" s="24"/>
      <c r="B775" s="31" t="str">
        <f aca="false">IF(A775="","",IF(LEN(UPPER(SUBSTITUTE(SUBSTITUTE(SUBSTITUTE(SUBSTITUTE(TRIM(A775),".",""),"/",""),"-","")," ","")))&lt;14,RIGHT(REPT("0",14)&amp;UPPER(SUBSTITUTE(SUBSTITUTE(SUBSTITUTE(SUBSTITUTE(TRIM(A775),".",""),"/",""),"-","")," ","")),14),UPPER(SUBSTITUTE(SUBSTITUTE(SUBSTITUTE(SUBSTITUTE(TRIM(A775),".",""),"/",""),"-","")," ",""))))</f>
        <v/>
      </c>
      <c r="C775" s="25" t="str">
        <f aca="false">IF(B775="","",IFERROR(INDEX(Empresas!$C:$C,MATCH(B775,Empresas!$B:$B,0)),"cadastre o CNPJ em Empresas"))</f>
        <v/>
      </c>
      <c r="D775" s="23"/>
      <c r="E775" s="24"/>
      <c r="F775" s="31" t="str">
        <f aca="false">IF(D775="","",SUBSTITUTE(SUBSTITUTE(SUBSTITUTE(SUBSTITUTE(SUBSTITUTE(SUBSTITUTE(SUBSTITUTE(SUBSTITUTE(SUBSTITUTE(SUBSTITUTE(SUBSTITUTE(SUBSTITUTE(SUBSTITUTE(UPPER(TRIM(D775)),"Á","A"),"À","A"),"Â","A"),"Ã","A"),"É","E"),"Ê","E"),"Í","I"),"Ó","O"),"Ô","O"),"Õ","O"),"Ú","U"),"Ü","U"),"Ç","C"))</f>
        <v/>
      </c>
      <c r="G775" s="31" t="str">
        <f aca="false">IF(E775="","",IF(LEN(SUBSTITUTE(SUBSTITUTE(SUBSTITUTE(SUBSTITUTE(TRIM(E775),"*",""),".",""),"-","")," ",""))=11,MID(SUBSTITUTE(SUBSTITUTE(SUBSTITUTE(SUBSTITUTE(TRIM(E775),"*",""),".",""),"-","")," ",""),4,6),SUBSTITUTE(SUBSTITUTE(SUBSTITUTE(SUBSTITUTE(TRIM(E775),"*",""),".",""),"-","")," ","")))</f>
        <v/>
      </c>
      <c r="H775" s="31" t="str">
        <f aca="false">IF(OR(F775="",G775=""),"",F775&amp;"|"&amp;G775)</f>
        <v/>
      </c>
      <c r="I775" s="23"/>
      <c r="J775" s="22"/>
      <c r="K775" s="22"/>
      <c r="L775" s="25" t="str">
        <f aca="false">IF(F775="","",IF(AND(H775&lt;&gt;"",COUNTIF(Pessoas!$E:$E,H775)&gt;0),"SIM",IF(COUNTIF(Pessoas!$C:$C,F775)&gt;0,"nome igual em Pessoas: confira o CPF","")))</f>
        <v/>
      </c>
      <c r="M775" s="24"/>
      <c r="N775" s="11"/>
    </row>
    <row r="776" customFormat="false" ht="15" hidden="false" customHeight="false" outlineLevel="0" collapsed="false">
      <c r="A776" s="24"/>
      <c r="B776" s="31" t="str">
        <f aca="false">IF(A776="","",IF(LEN(UPPER(SUBSTITUTE(SUBSTITUTE(SUBSTITUTE(SUBSTITUTE(TRIM(A776),".",""),"/",""),"-","")," ","")))&lt;14,RIGHT(REPT("0",14)&amp;UPPER(SUBSTITUTE(SUBSTITUTE(SUBSTITUTE(SUBSTITUTE(TRIM(A776),".",""),"/",""),"-","")," ","")),14),UPPER(SUBSTITUTE(SUBSTITUTE(SUBSTITUTE(SUBSTITUTE(TRIM(A776),".",""),"/",""),"-","")," ",""))))</f>
        <v/>
      </c>
      <c r="C776" s="25" t="str">
        <f aca="false">IF(B776="","",IFERROR(INDEX(Empresas!$C:$C,MATCH(B776,Empresas!$B:$B,0)),"cadastre o CNPJ em Empresas"))</f>
        <v/>
      </c>
      <c r="D776" s="23"/>
      <c r="E776" s="24"/>
      <c r="F776" s="31" t="str">
        <f aca="false">IF(D776="","",SUBSTITUTE(SUBSTITUTE(SUBSTITUTE(SUBSTITUTE(SUBSTITUTE(SUBSTITUTE(SUBSTITUTE(SUBSTITUTE(SUBSTITUTE(SUBSTITUTE(SUBSTITUTE(SUBSTITUTE(SUBSTITUTE(UPPER(TRIM(D776)),"Á","A"),"À","A"),"Â","A"),"Ã","A"),"É","E"),"Ê","E"),"Í","I"),"Ó","O"),"Ô","O"),"Õ","O"),"Ú","U"),"Ü","U"),"Ç","C"))</f>
        <v/>
      </c>
      <c r="G776" s="31" t="str">
        <f aca="false">IF(E776="","",IF(LEN(SUBSTITUTE(SUBSTITUTE(SUBSTITUTE(SUBSTITUTE(TRIM(E776),"*",""),".",""),"-","")," ",""))=11,MID(SUBSTITUTE(SUBSTITUTE(SUBSTITUTE(SUBSTITUTE(TRIM(E776),"*",""),".",""),"-","")," ",""),4,6),SUBSTITUTE(SUBSTITUTE(SUBSTITUTE(SUBSTITUTE(TRIM(E776),"*",""),".",""),"-","")," ","")))</f>
        <v/>
      </c>
      <c r="H776" s="31" t="str">
        <f aca="false">IF(OR(F776="",G776=""),"",F776&amp;"|"&amp;G776)</f>
        <v/>
      </c>
      <c r="I776" s="23"/>
      <c r="J776" s="22"/>
      <c r="K776" s="22"/>
      <c r="L776" s="25" t="str">
        <f aca="false">IF(F776="","",IF(AND(H776&lt;&gt;"",COUNTIF(Pessoas!$E:$E,H776)&gt;0),"SIM",IF(COUNTIF(Pessoas!$C:$C,F776)&gt;0,"nome igual em Pessoas: confira o CPF","")))</f>
        <v/>
      </c>
      <c r="M776" s="24"/>
      <c r="N776" s="11"/>
    </row>
    <row r="777" customFormat="false" ht="15" hidden="false" customHeight="false" outlineLevel="0" collapsed="false">
      <c r="A777" s="24"/>
      <c r="B777" s="31" t="str">
        <f aca="false">IF(A777="","",IF(LEN(UPPER(SUBSTITUTE(SUBSTITUTE(SUBSTITUTE(SUBSTITUTE(TRIM(A777),".",""),"/",""),"-","")," ","")))&lt;14,RIGHT(REPT("0",14)&amp;UPPER(SUBSTITUTE(SUBSTITUTE(SUBSTITUTE(SUBSTITUTE(TRIM(A777),".",""),"/",""),"-","")," ","")),14),UPPER(SUBSTITUTE(SUBSTITUTE(SUBSTITUTE(SUBSTITUTE(TRIM(A777),".",""),"/",""),"-","")," ",""))))</f>
        <v/>
      </c>
      <c r="C777" s="25" t="str">
        <f aca="false">IF(B777="","",IFERROR(INDEX(Empresas!$C:$C,MATCH(B777,Empresas!$B:$B,0)),"cadastre o CNPJ em Empresas"))</f>
        <v/>
      </c>
      <c r="D777" s="23"/>
      <c r="E777" s="24"/>
      <c r="F777" s="31" t="str">
        <f aca="false">IF(D777="","",SUBSTITUTE(SUBSTITUTE(SUBSTITUTE(SUBSTITUTE(SUBSTITUTE(SUBSTITUTE(SUBSTITUTE(SUBSTITUTE(SUBSTITUTE(SUBSTITUTE(SUBSTITUTE(SUBSTITUTE(SUBSTITUTE(UPPER(TRIM(D777)),"Á","A"),"À","A"),"Â","A"),"Ã","A"),"É","E"),"Ê","E"),"Í","I"),"Ó","O"),"Ô","O"),"Õ","O"),"Ú","U"),"Ü","U"),"Ç","C"))</f>
        <v/>
      </c>
      <c r="G777" s="31" t="str">
        <f aca="false">IF(E777="","",IF(LEN(SUBSTITUTE(SUBSTITUTE(SUBSTITUTE(SUBSTITUTE(TRIM(E777),"*",""),".",""),"-","")," ",""))=11,MID(SUBSTITUTE(SUBSTITUTE(SUBSTITUTE(SUBSTITUTE(TRIM(E777),"*",""),".",""),"-","")," ",""),4,6),SUBSTITUTE(SUBSTITUTE(SUBSTITUTE(SUBSTITUTE(TRIM(E777),"*",""),".",""),"-","")," ","")))</f>
        <v/>
      </c>
      <c r="H777" s="31" t="str">
        <f aca="false">IF(OR(F777="",G777=""),"",F777&amp;"|"&amp;G777)</f>
        <v/>
      </c>
      <c r="I777" s="23"/>
      <c r="J777" s="22"/>
      <c r="K777" s="22"/>
      <c r="L777" s="25" t="str">
        <f aca="false">IF(F777="","",IF(AND(H777&lt;&gt;"",COUNTIF(Pessoas!$E:$E,H777)&gt;0),"SIM",IF(COUNTIF(Pessoas!$C:$C,F777)&gt;0,"nome igual em Pessoas: confira o CPF","")))</f>
        <v/>
      </c>
      <c r="M777" s="24"/>
      <c r="N777" s="11"/>
    </row>
    <row r="778" customFormat="false" ht="15" hidden="false" customHeight="false" outlineLevel="0" collapsed="false">
      <c r="A778" s="24"/>
      <c r="B778" s="31" t="str">
        <f aca="false">IF(A778="","",IF(LEN(UPPER(SUBSTITUTE(SUBSTITUTE(SUBSTITUTE(SUBSTITUTE(TRIM(A778),".",""),"/",""),"-","")," ","")))&lt;14,RIGHT(REPT("0",14)&amp;UPPER(SUBSTITUTE(SUBSTITUTE(SUBSTITUTE(SUBSTITUTE(TRIM(A778),".",""),"/",""),"-","")," ","")),14),UPPER(SUBSTITUTE(SUBSTITUTE(SUBSTITUTE(SUBSTITUTE(TRIM(A778),".",""),"/",""),"-","")," ",""))))</f>
        <v/>
      </c>
      <c r="C778" s="25" t="str">
        <f aca="false">IF(B778="","",IFERROR(INDEX(Empresas!$C:$C,MATCH(B778,Empresas!$B:$B,0)),"cadastre o CNPJ em Empresas"))</f>
        <v/>
      </c>
      <c r="D778" s="23"/>
      <c r="E778" s="24"/>
      <c r="F778" s="31" t="str">
        <f aca="false">IF(D778="","",SUBSTITUTE(SUBSTITUTE(SUBSTITUTE(SUBSTITUTE(SUBSTITUTE(SUBSTITUTE(SUBSTITUTE(SUBSTITUTE(SUBSTITUTE(SUBSTITUTE(SUBSTITUTE(SUBSTITUTE(SUBSTITUTE(UPPER(TRIM(D778)),"Á","A"),"À","A"),"Â","A"),"Ã","A"),"É","E"),"Ê","E"),"Í","I"),"Ó","O"),"Ô","O"),"Õ","O"),"Ú","U"),"Ü","U"),"Ç","C"))</f>
        <v/>
      </c>
      <c r="G778" s="31" t="str">
        <f aca="false">IF(E778="","",IF(LEN(SUBSTITUTE(SUBSTITUTE(SUBSTITUTE(SUBSTITUTE(TRIM(E778),"*",""),".",""),"-","")," ",""))=11,MID(SUBSTITUTE(SUBSTITUTE(SUBSTITUTE(SUBSTITUTE(TRIM(E778),"*",""),".",""),"-","")," ",""),4,6),SUBSTITUTE(SUBSTITUTE(SUBSTITUTE(SUBSTITUTE(TRIM(E778),"*",""),".",""),"-","")," ","")))</f>
        <v/>
      </c>
      <c r="H778" s="31" t="str">
        <f aca="false">IF(OR(F778="",G778=""),"",F778&amp;"|"&amp;G778)</f>
        <v/>
      </c>
      <c r="I778" s="23"/>
      <c r="J778" s="22"/>
      <c r="K778" s="22"/>
      <c r="L778" s="25" t="str">
        <f aca="false">IF(F778="","",IF(AND(H778&lt;&gt;"",COUNTIF(Pessoas!$E:$E,H778)&gt;0),"SIM",IF(COUNTIF(Pessoas!$C:$C,F778)&gt;0,"nome igual em Pessoas: confira o CPF","")))</f>
        <v/>
      </c>
      <c r="M778" s="24"/>
      <c r="N778" s="11"/>
    </row>
    <row r="779" customFormat="false" ht="15" hidden="false" customHeight="false" outlineLevel="0" collapsed="false">
      <c r="A779" s="24"/>
      <c r="B779" s="31" t="str">
        <f aca="false">IF(A779="","",IF(LEN(UPPER(SUBSTITUTE(SUBSTITUTE(SUBSTITUTE(SUBSTITUTE(TRIM(A779),".",""),"/",""),"-","")," ","")))&lt;14,RIGHT(REPT("0",14)&amp;UPPER(SUBSTITUTE(SUBSTITUTE(SUBSTITUTE(SUBSTITUTE(TRIM(A779),".",""),"/",""),"-","")," ","")),14),UPPER(SUBSTITUTE(SUBSTITUTE(SUBSTITUTE(SUBSTITUTE(TRIM(A779),".",""),"/",""),"-","")," ",""))))</f>
        <v/>
      </c>
      <c r="C779" s="25" t="str">
        <f aca="false">IF(B779="","",IFERROR(INDEX(Empresas!$C:$C,MATCH(B779,Empresas!$B:$B,0)),"cadastre o CNPJ em Empresas"))</f>
        <v/>
      </c>
      <c r="D779" s="23"/>
      <c r="E779" s="24"/>
      <c r="F779" s="31" t="str">
        <f aca="false">IF(D779="","",SUBSTITUTE(SUBSTITUTE(SUBSTITUTE(SUBSTITUTE(SUBSTITUTE(SUBSTITUTE(SUBSTITUTE(SUBSTITUTE(SUBSTITUTE(SUBSTITUTE(SUBSTITUTE(SUBSTITUTE(SUBSTITUTE(UPPER(TRIM(D779)),"Á","A"),"À","A"),"Â","A"),"Ã","A"),"É","E"),"Ê","E"),"Í","I"),"Ó","O"),"Ô","O"),"Õ","O"),"Ú","U"),"Ü","U"),"Ç","C"))</f>
        <v/>
      </c>
      <c r="G779" s="31" t="str">
        <f aca="false">IF(E779="","",IF(LEN(SUBSTITUTE(SUBSTITUTE(SUBSTITUTE(SUBSTITUTE(TRIM(E779),"*",""),".",""),"-","")," ",""))=11,MID(SUBSTITUTE(SUBSTITUTE(SUBSTITUTE(SUBSTITUTE(TRIM(E779),"*",""),".",""),"-","")," ",""),4,6),SUBSTITUTE(SUBSTITUTE(SUBSTITUTE(SUBSTITUTE(TRIM(E779),"*",""),".",""),"-","")," ","")))</f>
        <v/>
      </c>
      <c r="H779" s="31" t="str">
        <f aca="false">IF(OR(F779="",G779=""),"",F779&amp;"|"&amp;G779)</f>
        <v/>
      </c>
      <c r="I779" s="23"/>
      <c r="J779" s="22"/>
      <c r="K779" s="22"/>
      <c r="L779" s="25" t="str">
        <f aca="false">IF(F779="","",IF(AND(H779&lt;&gt;"",COUNTIF(Pessoas!$E:$E,H779)&gt;0),"SIM",IF(COUNTIF(Pessoas!$C:$C,F779)&gt;0,"nome igual em Pessoas: confira o CPF","")))</f>
        <v/>
      </c>
      <c r="M779" s="24"/>
      <c r="N779" s="11"/>
    </row>
    <row r="780" customFormat="false" ht="15" hidden="false" customHeight="false" outlineLevel="0" collapsed="false">
      <c r="A780" s="24"/>
      <c r="B780" s="31" t="str">
        <f aca="false">IF(A780="","",IF(LEN(UPPER(SUBSTITUTE(SUBSTITUTE(SUBSTITUTE(SUBSTITUTE(TRIM(A780),".",""),"/",""),"-","")," ","")))&lt;14,RIGHT(REPT("0",14)&amp;UPPER(SUBSTITUTE(SUBSTITUTE(SUBSTITUTE(SUBSTITUTE(TRIM(A780),".",""),"/",""),"-","")," ","")),14),UPPER(SUBSTITUTE(SUBSTITUTE(SUBSTITUTE(SUBSTITUTE(TRIM(A780),".",""),"/",""),"-","")," ",""))))</f>
        <v/>
      </c>
      <c r="C780" s="25" t="str">
        <f aca="false">IF(B780="","",IFERROR(INDEX(Empresas!$C:$C,MATCH(B780,Empresas!$B:$B,0)),"cadastre o CNPJ em Empresas"))</f>
        <v/>
      </c>
      <c r="D780" s="23"/>
      <c r="E780" s="24"/>
      <c r="F780" s="31" t="str">
        <f aca="false">IF(D780="","",SUBSTITUTE(SUBSTITUTE(SUBSTITUTE(SUBSTITUTE(SUBSTITUTE(SUBSTITUTE(SUBSTITUTE(SUBSTITUTE(SUBSTITUTE(SUBSTITUTE(SUBSTITUTE(SUBSTITUTE(SUBSTITUTE(UPPER(TRIM(D780)),"Á","A"),"À","A"),"Â","A"),"Ã","A"),"É","E"),"Ê","E"),"Í","I"),"Ó","O"),"Ô","O"),"Õ","O"),"Ú","U"),"Ü","U"),"Ç","C"))</f>
        <v/>
      </c>
      <c r="G780" s="31" t="str">
        <f aca="false">IF(E780="","",IF(LEN(SUBSTITUTE(SUBSTITUTE(SUBSTITUTE(SUBSTITUTE(TRIM(E780),"*",""),".",""),"-","")," ",""))=11,MID(SUBSTITUTE(SUBSTITUTE(SUBSTITUTE(SUBSTITUTE(TRIM(E780),"*",""),".",""),"-","")," ",""),4,6),SUBSTITUTE(SUBSTITUTE(SUBSTITUTE(SUBSTITUTE(TRIM(E780),"*",""),".",""),"-","")," ","")))</f>
        <v/>
      </c>
      <c r="H780" s="31" t="str">
        <f aca="false">IF(OR(F780="",G780=""),"",F780&amp;"|"&amp;G780)</f>
        <v/>
      </c>
      <c r="I780" s="23"/>
      <c r="J780" s="22"/>
      <c r="K780" s="22"/>
      <c r="L780" s="25" t="str">
        <f aca="false">IF(F780="","",IF(AND(H780&lt;&gt;"",COUNTIF(Pessoas!$E:$E,H780)&gt;0),"SIM",IF(COUNTIF(Pessoas!$C:$C,F780)&gt;0,"nome igual em Pessoas: confira o CPF","")))</f>
        <v/>
      </c>
      <c r="M780" s="24"/>
      <c r="N780" s="11"/>
    </row>
    <row r="781" customFormat="false" ht="15" hidden="false" customHeight="false" outlineLevel="0" collapsed="false">
      <c r="A781" s="24"/>
      <c r="B781" s="31" t="str">
        <f aca="false">IF(A781="","",IF(LEN(UPPER(SUBSTITUTE(SUBSTITUTE(SUBSTITUTE(SUBSTITUTE(TRIM(A781),".",""),"/",""),"-","")," ","")))&lt;14,RIGHT(REPT("0",14)&amp;UPPER(SUBSTITUTE(SUBSTITUTE(SUBSTITUTE(SUBSTITUTE(TRIM(A781),".",""),"/",""),"-","")," ","")),14),UPPER(SUBSTITUTE(SUBSTITUTE(SUBSTITUTE(SUBSTITUTE(TRIM(A781),".",""),"/",""),"-","")," ",""))))</f>
        <v/>
      </c>
      <c r="C781" s="25" t="str">
        <f aca="false">IF(B781="","",IFERROR(INDEX(Empresas!$C:$C,MATCH(B781,Empresas!$B:$B,0)),"cadastre o CNPJ em Empresas"))</f>
        <v/>
      </c>
      <c r="D781" s="23"/>
      <c r="E781" s="24"/>
      <c r="F781" s="31" t="str">
        <f aca="false">IF(D781="","",SUBSTITUTE(SUBSTITUTE(SUBSTITUTE(SUBSTITUTE(SUBSTITUTE(SUBSTITUTE(SUBSTITUTE(SUBSTITUTE(SUBSTITUTE(SUBSTITUTE(SUBSTITUTE(SUBSTITUTE(SUBSTITUTE(UPPER(TRIM(D781)),"Á","A"),"À","A"),"Â","A"),"Ã","A"),"É","E"),"Ê","E"),"Í","I"),"Ó","O"),"Ô","O"),"Õ","O"),"Ú","U"),"Ü","U"),"Ç","C"))</f>
        <v/>
      </c>
      <c r="G781" s="31" t="str">
        <f aca="false">IF(E781="","",IF(LEN(SUBSTITUTE(SUBSTITUTE(SUBSTITUTE(SUBSTITUTE(TRIM(E781),"*",""),".",""),"-","")," ",""))=11,MID(SUBSTITUTE(SUBSTITUTE(SUBSTITUTE(SUBSTITUTE(TRIM(E781),"*",""),".",""),"-","")," ",""),4,6),SUBSTITUTE(SUBSTITUTE(SUBSTITUTE(SUBSTITUTE(TRIM(E781),"*",""),".",""),"-","")," ","")))</f>
        <v/>
      </c>
      <c r="H781" s="31" t="str">
        <f aca="false">IF(OR(F781="",G781=""),"",F781&amp;"|"&amp;G781)</f>
        <v/>
      </c>
      <c r="I781" s="23"/>
      <c r="J781" s="22"/>
      <c r="K781" s="22"/>
      <c r="L781" s="25" t="str">
        <f aca="false">IF(F781="","",IF(AND(H781&lt;&gt;"",COUNTIF(Pessoas!$E:$E,H781)&gt;0),"SIM",IF(COUNTIF(Pessoas!$C:$C,F781)&gt;0,"nome igual em Pessoas: confira o CPF","")))</f>
        <v/>
      </c>
      <c r="M781" s="24"/>
      <c r="N781" s="11"/>
    </row>
    <row r="782" customFormat="false" ht="15" hidden="false" customHeight="false" outlineLevel="0" collapsed="false">
      <c r="A782" s="24"/>
      <c r="B782" s="31" t="str">
        <f aca="false">IF(A782="","",IF(LEN(UPPER(SUBSTITUTE(SUBSTITUTE(SUBSTITUTE(SUBSTITUTE(TRIM(A782),".",""),"/",""),"-","")," ","")))&lt;14,RIGHT(REPT("0",14)&amp;UPPER(SUBSTITUTE(SUBSTITUTE(SUBSTITUTE(SUBSTITUTE(TRIM(A782),".",""),"/",""),"-","")," ","")),14),UPPER(SUBSTITUTE(SUBSTITUTE(SUBSTITUTE(SUBSTITUTE(TRIM(A782),".",""),"/",""),"-","")," ",""))))</f>
        <v/>
      </c>
      <c r="C782" s="25" t="str">
        <f aca="false">IF(B782="","",IFERROR(INDEX(Empresas!$C:$C,MATCH(B782,Empresas!$B:$B,0)),"cadastre o CNPJ em Empresas"))</f>
        <v/>
      </c>
      <c r="D782" s="23"/>
      <c r="E782" s="24"/>
      <c r="F782" s="31" t="str">
        <f aca="false">IF(D782="","",SUBSTITUTE(SUBSTITUTE(SUBSTITUTE(SUBSTITUTE(SUBSTITUTE(SUBSTITUTE(SUBSTITUTE(SUBSTITUTE(SUBSTITUTE(SUBSTITUTE(SUBSTITUTE(SUBSTITUTE(SUBSTITUTE(UPPER(TRIM(D782)),"Á","A"),"À","A"),"Â","A"),"Ã","A"),"É","E"),"Ê","E"),"Í","I"),"Ó","O"),"Ô","O"),"Õ","O"),"Ú","U"),"Ü","U"),"Ç","C"))</f>
        <v/>
      </c>
      <c r="G782" s="31" t="str">
        <f aca="false">IF(E782="","",IF(LEN(SUBSTITUTE(SUBSTITUTE(SUBSTITUTE(SUBSTITUTE(TRIM(E782),"*",""),".",""),"-","")," ",""))=11,MID(SUBSTITUTE(SUBSTITUTE(SUBSTITUTE(SUBSTITUTE(TRIM(E782),"*",""),".",""),"-","")," ",""),4,6),SUBSTITUTE(SUBSTITUTE(SUBSTITUTE(SUBSTITUTE(TRIM(E782),"*",""),".",""),"-","")," ","")))</f>
        <v/>
      </c>
      <c r="H782" s="31" t="str">
        <f aca="false">IF(OR(F782="",G782=""),"",F782&amp;"|"&amp;G782)</f>
        <v/>
      </c>
      <c r="I782" s="23"/>
      <c r="J782" s="22"/>
      <c r="K782" s="22"/>
      <c r="L782" s="25" t="str">
        <f aca="false">IF(F782="","",IF(AND(H782&lt;&gt;"",COUNTIF(Pessoas!$E:$E,H782)&gt;0),"SIM",IF(COUNTIF(Pessoas!$C:$C,F782)&gt;0,"nome igual em Pessoas: confira o CPF","")))</f>
        <v/>
      </c>
      <c r="M782" s="24"/>
      <c r="N782" s="11"/>
    </row>
    <row r="783" customFormat="false" ht="15" hidden="false" customHeight="false" outlineLevel="0" collapsed="false">
      <c r="A783" s="24"/>
      <c r="B783" s="31" t="str">
        <f aca="false">IF(A783="","",IF(LEN(UPPER(SUBSTITUTE(SUBSTITUTE(SUBSTITUTE(SUBSTITUTE(TRIM(A783),".",""),"/",""),"-","")," ","")))&lt;14,RIGHT(REPT("0",14)&amp;UPPER(SUBSTITUTE(SUBSTITUTE(SUBSTITUTE(SUBSTITUTE(TRIM(A783),".",""),"/",""),"-","")," ","")),14),UPPER(SUBSTITUTE(SUBSTITUTE(SUBSTITUTE(SUBSTITUTE(TRIM(A783),".",""),"/",""),"-","")," ",""))))</f>
        <v/>
      </c>
      <c r="C783" s="25" t="str">
        <f aca="false">IF(B783="","",IFERROR(INDEX(Empresas!$C:$C,MATCH(B783,Empresas!$B:$B,0)),"cadastre o CNPJ em Empresas"))</f>
        <v/>
      </c>
      <c r="D783" s="23"/>
      <c r="E783" s="24"/>
      <c r="F783" s="31" t="str">
        <f aca="false">IF(D783="","",SUBSTITUTE(SUBSTITUTE(SUBSTITUTE(SUBSTITUTE(SUBSTITUTE(SUBSTITUTE(SUBSTITUTE(SUBSTITUTE(SUBSTITUTE(SUBSTITUTE(SUBSTITUTE(SUBSTITUTE(SUBSTITUTE(UPPER(TRIM(D783)),"Á","A"),"À","A"),"Â","A"),"Ã","A"),"É","E"),"Ê","E"),"Í","I"),"Ó","O"),"Ô","O"),"Õ","O"),"Ú","U"),"Ü","U"),"Ç","C"))</f>
        <v/>
      </c>
      <c r="G783" s="31" t="str">
        <f aca="false">IF(E783="","",IF(LEN(SUBSTITUTE(SUBSTITUTE(SUBSTITUTE(SUBSTITUTE(TRIM(E783),"*",""),".",""),"-","")," ",""))=11,MID(SUBSTITUTE(SUBSTITUTE(SUBSTITUTE(SUBSTITUTE(TRIM(E783),"*",""),".",""),"-","")," ",""),4,6),SUBSTITUTE(SUBSTITUTE(SUBSTITUTE(SUBSTITUTE(TRIM(E783),"*",""),".",""),"-","")," ","")))</f>
        <v/>
      </c>
      <c r="H783" s="31" t="str">
        <f aca="false">IF(OR(F783="",G783=""),"",F783&amp;"|"&amp;G783)</f>
        <v/>
      </c>
      <c r="I783" s="23"/>
      <c r="J783" s="22"/>
      <c r="K783" s="22"/>
      <c r="L783" s="25" t="str">
        <f aca="false">IF(F783="","",IF(AND(H783&lt;&gt;"",COUNTIF(Pessoas!$E:$E,H783)&gt;0),"SIM",IF(COUNTIF(Pessoas!$C:$C,F783)&gt;0,"nome igual em Pessoas: confira o CPF","")))</f>
        <v/>
      </c>
      <c r="M783" s="24"/>
      <c r="N783" s="11"/>
    </row>
    <row r="784" customFormat="false" ht="15" hidden="false" customHeight="false" outlineLevel="0" collapsed="false">
      <c r="A784" s="24"/>
      <c r="B784" s="31" t="str">
        <f aca="false">IF(A784="","",IF(LEN(UPPER(SUBSTITUTE(SUBSTITUTE(SUBSTITUTE(SUBSTITUTE(TRIM(A784),".",""),"/",""),"-","")," ","")))&lt;14,RIGHT(REPT("0",14)&amp;UPPER(SUBSTITUTE(SUBSTITUTE(SUBSTITUTE(SUBSTITUTE(TRIM(A784),".",""),"/",""),"-","")," ","")),14),UPPER(SUBSTITUTE(SUBSTITUTE(SUBSTITUTE(SUBSTITUTE(TRIM(A784),".",""),"/",""),"-","")," ",""))))</f>
        <v/>
      </c>
      <c r="C784" s="25" t="str">
        <f aca="false">IF(B784="","",IFERROR(INDEX(Empresas!$C:$C,MATCH(B784,Empresas!$B:$B,0)),"cadastre o CNPJ em Empresas"))</f>
        <v/>
      </c>
      <c r="D784" s="23"/>
      <c r="E784" s="24"/>
      <c r="F784" s="31" t="str">
        <f aca="false">IF(D784="","",SUBSTITUTE(SUBSTITUTE(SUBSTITUTE(SUBSTITUTE(SUBSTITUTE(SUBSTITUTE(SUBSTITUTE(SUBSTITUTE(SUBSTITUTE(SUBSTITUTE(SUBSTITUTE(SUBSTITUTE(SUBSTITUTE(UPPER(TRIM(D784)),"Á","A"),"À","A"),"Â","A"),"Ã","A"),"É","E"),"Ê","E"),"Í","I"),"Ó","O"),"Ô","O"),"Õ","O"),"Ú","U"),"Ü","U"),"Ç","C"))</f>
        <v/>
      </c>
      <c r="G784" s="31" t="str">
        <f aca="false">IF(E784="","",IF(LEN(SUBSTITUTE(SUBSTITUTE(SUBSTITUTE(SUBSTITUTE(TRIM(E784),"*",""),".",""),"-","")," ",""))=11,MID(SUBSTITUTE(SUBSTITUTE(SUBSTITUTE(SUBSTITUTE(TRIM(E784),"*",""),".",""),"-","")," ",""),4,6),SUBSTITUTE(SUBSTITUTE(SUBSTITUTE(SUBSTITUTE(TRIM(E784),"*",""),".",""),"-","")," ","")))</f>
        <v/>
      </c>
      <c r="H784" s="31" t="str">
        <f aca="false">IF(OR(F784="",G784=""),"",F784&amp;"|"&amp;G784)</f>
        <v/>
      </c>
      <c r="I784" s="23"/>
      <c r="J784" s="22"/>
      <c r="K784" s="22"/>
      <c r="L784" s="25" t="str">
        <f aca="false">IF(F784="","",IF(AND(H784&lt;&gt;"",COUNTIF(Pessoas!$E:$E,H784)&gt;0),"SIM",IF(COUNTIF(Pessoas!$C:$C,F784)&gt;0,"nome igual em Pessoas: confira o CPF","")))</f>
        <v/>
      </c>
      <c r="M784" s="24"/>
      <c r="N784" s="11"/>
    </row>
    <row r="785" customFormat="false" ht="15" hidden="false" customHeight="false" outlineLevel="0" collapsed="false">
      <c r="A785" s="24"/>
      <c r="B785" s="31" t="str">
        <f aca="false">IF(A785="","",IF(LEN(UPPER(SUBSTITUTE(SUBSTITUTE(SUBSTITUTE(SUBSTITUTE(TRIM(A785),".",""),"/",""),"-","")," ","")))&lt;14,RIGHT(REPT("0",14)&amp;UPPER(SUBSTITUTE(SUBSTITUTE(SUBSTITUTE(SUBSTITUTE(TRIM(A785),".",""),"/",""),"-","")," ","")),14),UPPER(SUBSTITUTE(SUBSTITUTE(SUBSTITUTE(SUBSTITUTE(TRIM(A785),".",""),"/",""),"-","")," ",""))))</f>
        <v/>
      </c>
      <c r="C785" s="25" t="str">
        <f aca="false">IF(B785="","",IFERROR(INDEX(Empresas!$C:$C,MATCH(B785,Empresas!$B:$B,0)),"cadastre o CNPJ em Empresas"))</f>
        <v/>
      </c>
      <c r="D785" s="23"/>
      <c r="E785" s="24"/>
      <c r="F785" s="31" t="str">
        <f aca="false">IF(D785="","",SUBSTITUTE(SUBSTITUTE(SUBSTITUTE(SUBSTITUTE(SUBSTITUTE(SUBSTITUTE(SUBSTITUTE(SUBSTITUTE(SUBSTITUTE(SUBSTITUTE(SUBSTITUTE(SUBSTITUTE(SUBSTITUTE(UPPER(TRIM(D785)),"Á","A"),"À","A"),"Â","A"),"Ã","A"),"É","E"),"Ê","E"),"Í","I"),"Ó","O"),"Ô","O"),"Õ","O"),"Ú","U"),"Ü","U"),"Ç","C"))</f>
        <v/>
      </c>
      <c r="G785" s="31" t="str">
        <f aca="false">IF(E785="","",IF(LEN(SUBSTITUTE(SUBSTITUTE(SUBSTITUTE(SUBSTITUTE(TRIM(E785),"*",""),".",""),"-","")," ",""))=11,MID(SUBSTITUTE(SUBSTITUTE(SUBSTITUTE(SUBSTITUTE(TRIM(E785),"*",""),".",""),"-","")," ",""),4,6),SUBSTITUTE(SUBSTITUTE(SUBSTITUTE(SUBSTITUTE(TRIM(E785),"*",""),".",""),"-","")," ","")))</f>
        <v/>
      </c>
      <c r="H785" s="31" t="str">
        <f aca="false">IF(OR(F785="",G785=""),"",F785&amp;"|"&amp;G785)</f>
        <v/>
      </c>
      <c r="I785" s="23"/>
      <c r="J785" s="22"/>
      <c r="K785" s="22"/>
      <c r="L785" s="25" t="str">
        <f aca="false">IF(F785="","",IF(AND(H785&lt;&gt;"",COUNTIF(Pessoas!$E:$E,H785)&gt;0),"SIM",IF(COUNTIF(Pessoas!$C:$C,F785)&gt;0,"nome igual em Pessoas: confira o CPF","")))</f>
        <v/>
      </c>
      <c r="M785" s="24"/>
      <c r="N785" s="11"/>
    </row>
    <row r="786" customFormat="false" ht="15" hidden="false" customHeight="false" outlineLevel="0" collapsed="false">
      <c r="A786" s="24"/>
      <c r="B786" s="31" t="str">
        <f aca="false">IF(A786="","",IF(LEN(UPPER(SUBSTITUTE(SUBSTITUTE(SUBSTITUTE(SUBSTITUTE(TRIM(A786),".",""),"/",""),"-","")," ","")))&lt;14,RIGHT(REPT("0",14)&amp;UPPER(SUBSTITUTE(SUBSTITUTE(SUBSTITUTE(SUBSTITUTE(TRIM(A786),".",""),"/",""),"-","")," ","")),14),UPPER(SUBSTITUTE(SUBSTITUTE(SUBSTITUTE(SUBSTITUTE(TRIM(A786),".",""),"/",""),"-","")," ",""))))</f>
        <v/>
      </c>
      <c r="C786" s="25" t="str">
        <f aca="false">IF(B786="","",IFERROR(INDEX(Empresas!$C:$C,MATCH(B786,Empresas!$B:$B,0)),"cadastre o CNPJ em Empresas"))</f>
        <v/>
      </c>
      <c r="D786" s="23"/>
      <c r="E786" s="24"/>
      <c r="F786" s="31" t="str">
        <f aca="false">IF(D786="","",SUBSTITUTE(SUBSTITUTE(SUBSTITUTE(SUBSTITUTE(SUBSTITUTE(SUBSTITUTE(SUBSTITUTE(SUBSTITUTE(SUBSTITUTE(SUBSTITUTE(SUBSTITUTE(SUBSTITUTE(SUBSTITUTE(UPPER(TRIM(D786)),"Á","A"),"À","A"),"Â","A"),"Ã","A"),"É","E"),"Ê","E"),"Í","I"),"Ó","O"),"Ô","O"),"Õ","O"),"Ú","U"),"Ü","U"),"Ç","C"))</f>
        <v/>
      </c>
      <c r="G786" s="31" t="str">
        <f aca="false">IF(E786="","",IF(LEN(SUBSTITUTE(SUBSTITUTE(SUBSTITUTE(SUBSTITUTE(TRIM(E786),"*",""),".",""),"-","")," ",""))=11,MID(SUBSTITUTE(SUBSTITUTE(SUBSTITUTE(SUBSTITUTE(TRIM(E786),"*",""),".",""),"-","")," ",""),4,6),SUBSTITUTE(SUBSTITUTE(SUBSTITUTE(SUBSTITUTE(TRIM(E786),"*",""),".",""),"-","")," ","")))</f>
        <v/>
      </c>
      <c r="H786" s="31" t="str">
        <f aca="false">IF(OR(F786="",G786=""),"",F786&amp;"|"&amp;G786)</f>
        <v/>
      </c>
      <c r="I786" s="23"/>
      <c r="J786" s="22"/>
      <c r="K786" s="22"/>
      <c r="L786" s="25" t="str">
        <f aca="false">IF(F786="","",IF(AND(H786&lt;&gt;"",COUNTIF(Pessoas!$E:$E,H786)&gt;0),"SIM",IF(COUNTIF(Pessoas!$C:$C,F786)&gt;0,"nome igual em Pessoas: confira o CPF","")))</f>
        <v/>
      </c>
      <c r="M786" s="24"/>
      <c r="N786" s="11"/>
    </row>
    <row r="787" customFormat="false" ht="15" hidden="false" customHeight="false" outlineLevel="0" collapsed="false">
      <c r="A787" s="24"/>
      <c r="B787" s="31" t="str">
        <f aca="false">IF(A787="","",IF(LEN(UPPER(SUBSTITUTE(SUBSTITUTE(SUBSTITUTE(SUBSTITUTE(TRIM(A787),".",""),"/",""),"-","")," ","")))&lt;14,RIGHT(REPT("0",14)&amp;UPPER(SUBSTITUTE(SUBSTITUTE(SUBSTITUTE(SUBSTITUTE(TRIM(A787),".",""),"/",""),"-","")," ","")),14),UPPER(SUBSTITUTE(SUBSTITUTE(SUBSTITUTE(SUBSTITUTE(TRIM(A787),".",""),"/",""),"-","")," ",""))))</f>
        <v/>
      </c>
      <c r="C787" s="25" t="str">
        <f aca="false">IF(B787="","",IFERROR(INDEX(Empresas!$C:$C,MATCH(B787,Empresas!$B:$B,0)),"cadastre o CNPJ em Empresas"))</f>
        <v/>
      </c>
      <c r="D787" s="23"/>
      <c r="E787" s="24"/>
      <c r="F787" s="31" t="str">
        <f aca="false">IF(D787="","",SUBSTITUTE(SUBSTITUTE(SUBSTITUTE(SUBSTITUTE(SUBSTITUTE(SUBSTITUTE(SUBSTITUTE(SUBSTITUTE(SUBSTITUTE(SUBSTITUTE(SUBSTITUTE(SUBSTITUTE(SUBSTITUTE(UPPER(TRIM(D787)),"Á","A"),"À","A"),"Â","A"),"Ã","A"),"É","E"),"Ê","E"),"Í","I"),"Ó","O"),"Ô","O"),"Õ","O"),"Ú","U"),"Ü","U"),"Ç","C"))</f>
        <v/>
      </c>
      <c r="G787" s="31" t="str">
        <f aca="false">IF(E787="","",IF(LEN(SUBSTITUTE(SUBSTITUTE(SUBSTITUTE(SUBSTITUTE(TRIM(E787),"*",""),".",""),"-","")," ",""))=11,MID(SUBSTITUTE(SUBSTITUTE(SUBSTITUTE(SUBSTITUTE(TRIM(E787),"*",""),".",""),"-","")," ",""),4,6),SUBSTITUTE(SUBSTITUTE(SUBSTITUTE(SUBSTITUTE(TRIM(E787),"*",""),".",""),"-","")," ","")))</f>
        <v/>
      </c>
      <c r="H787" s="31" t="str">
        <f aca="false">IF(OR(F787="",G787=""),"",F787&amp;"|"&amp;G787)</f>
        <v/>
      </c>
      <c r="I787" s="23"/>
      <c r="J787" s="22"/>
      <c r="K787" s="22"/>
      <c r="L787" s="25" t="str">
        <f aca="false">IF(F787="","",IF(AND(H787&lt;&gt;"",COUNTIF(Pessoas!$E:$E,H787)&gt;0),"SIM",IF(COUNTIF(Pessoas!$C:$C,F787)&gt;0,"nome igual em Pessoas: confira o CPF","")))</f>
        <v/>
      </c>
      <c r="M787" s="24"/>
      <c r="N787" s="11"/>
    </row>
    <row r="788" customFormat="false" ht="15" hidden="false" customHeight="false" outlineLevel="0" collapsed="false">
      <c r="A788" s="24"/>
      <c r="B788" s="31" t="str">
        <f aca="false">IF(A788="","",IF(LEN(UPPER(SUBSTITUTE(SUBSTITUTE(SUBSTITUTE(SUBSTITUTE(TRIM(A788),".",""),"/",""),"-","")," ","")))&lt;14,RIGHT(REPT("0",14)&amp;UPPER(SUBSTITUTE(SUBSTITUTE(SUBSTITUTE(SUBSTITUTE(TRIM(A788),".",""),"/",""),"-","")," ","")),14),UPPER(SUBSTITUTE(SUBSTITUTE(SUBSTITUTE(SUBSTITUTE(TRIM(A788),".",""),"/",""),"-","")," ",""))))</f>
        <v/>
      </c>
      <c r="C788" s="25" t="str">
        <f aca="false">IF(B788="","",IFERROR(INDEX(Empresas!$C:$C,MATCH(B788,Empresas!$B:$B,0)),"cadastre o CNPJ em Empresas"))</f>
        <v/>
      </c>
      <c r="D788" s="23"/>
      <c r="E788" s="24"/>
      <c r="F788" s="31" t="str">
        <f aca="false">IF(D788="","",SUBSTITUTE(SUBSTITUTE(SUBSTITUTE(SUBSTITUTE(SUBSTITUTE(SUBSTITUTE(SUBSTITUTE(SUBSTITUTE(SUBSTITUTE(SUBSTITUTE(SUBSTITUTE(SUBSTITUTE(SUBSTITUTE(UPPER(TRIM(D788)),"Á","A"),"À","A"),"Â","A"),"Ã","A"),"É","E"),"Ê","E"),"Í","I"),"Ó","O"),"Ô","O"),"Õ","O"),"Ú","U"),"Ü","U"),"Ç","C"))</f>
        <v/>
      </c>
      <c r="G788" s="31" t="str">
        <f aca="false">IF(E788="","",IF(LEN(SUBSTITUTE(SUBSTITUTE(SUBSTITUTE(SUBSTITUTE(TRIM(E788),"*",""),".",""),"-","")," ",""))=11,MID(SUBSTITUTE(SUBSTITUTE(SUBSTITUTE(SUBSTITUTE(TRIM(E788),"*",""),".",""),"-","")," ",""),4,6),SUBSTITUTE(SUBSTITUTE(SUBSTITUTE(SUBSTITUTE(TRIM(E788),"*",""),".",""),"-","")," ","")))</f>
        <v/>
      </c>
      <c r="H788" s="31" t="str">
        <f aca="false">IF(OR(F788="",G788=""),"",F788&amp;"|"&amp;G788)</f>
        <v/>
      </c>
      <c r="I788" s="23"/>
      <c r="J788" s="22"/>
      <c r="K788" s="22"/>
      <c r="L788" s="25" t="str">
        <f aca="false">IF(F788="","",IF(AND(H788&lt;&gt;"",COUNTIF(Pessoas!$E:$E,H788)&gt;0),"SIM",IF(COUNTIF(Pessoas!$C:$C,F788)&gt;0,"nome igual em Pessoas: confira o CPF","")))</f>
        <v/>
      </c>
      <c r="M788" s="24"/>
      <c r="N788" s="11"/>
    </row>
    <row r="789" customFormat="false" ht="15" hidden="false" customHeight="false" outlineLevel="0" collapsed="false">
      <c r="A789" s="24"/>
      <c r="B789" s="31" t="str">
        <f aca="false">IF(A789="","",IF(LEN(UPPER(SUBSTITUTE(SUBSTITUTE(SUBSTITUTE(SUBSTITUTE(TRIM(A789),".",""),"/",""),"-","")," ","")))&lt;14,RIGHT(REPT("0",14)&amp;UPPER(SUBSTITUTE(SUBSTITUTE(SUBSTITUTE(SUBSTITUTE(TRIM(A789),".",""),"/",""),"-","")," ","")),14),UPPER(SUBSTITUTE(SUBSTITUTE(SUBSTITUTE(SUBSTITUTE(TRIM(A789),".",""),"/",""),"-","")," ",""))))</f>
        <v/>
      </c>
      <c r="C789" s="25" t="str">
        <f aca="false">IF(B789="","",IFERROR(INDEX(Empresas!$C:$C,MATCH(B789,Empresas!$B:$B,0)),"cadastre o CNPJ em Empresas"))</f>
        <v/>
      </c>
      <c r="D789" s="23"/>
      <c r="E789" s="24"/>
      <c r="F789" s="31" t="str">
        <f aca="false">IF(D789="","",SUBSTITUTE(SUBSTITUTE(SUBSTITUTE(SUBSTITUTE(SUBSTITUTE(SUBSTITUTE(SUBSTITUTE(SUBSTITUTE(SUBSTITUTE(SUBSTITUTE(SUBSTITUTE(SUBSTITUTE(SUBSTITUTE(UPPER(TRIM(D789)),"Á","A"),"À","A"),"Â","A"),"Ã","A"),"É","E"),"Ê","E"),"Í","I"),"Ó","O"),"Ô","O"),"Õ","O"),"Ú","U"),"Ü","U"),"Ç","C"))</f>
        <v/>
      </c>
      <c r="G789" s="31" t="str">
        <f aca="false">IF(E789="","",IF(LEN(SUBSTITUTE(SUBSTITUTE(SUBSTITUTE(SUBSTITUTE(TRIM(E789),"*",""),".",""),"-","")," ",""))=11,MID(SUBSTITUTE(SUBSTITUTE(SUBSTITUTE(SUBSTITUTE(TRIM(E789),"*",""),".",""),"-","")," ",""),4,6),SUBSTITUTE(SUBSTITUTE(SUBSTITUTE(SUBSTITUTE(TRIM(E789),"*",""),".",""),"-","")," ","")))</f>
        <v/>
      </c>
      <c r="H789" s="31" t="str">
        <f aca="false">IF(OR(F789="",G789=""),"",F789&amp;"|"&amp;G789)</f>
        <v/>
      </c>
      <c r="I789" s="23"/>
      <c r="J789" s="22"/>
      <c r="K789" s="22"/>
      <c r="L789" s="25" t="str">
        <f aca="false">IF(F789="","",IF(AND(H789&lt;&gt;"",COUNTIF(Pessoas!$E:$E,H789)&gt;0),"SIM",IF(COUNTIF(Pessoas!$C:$C,F789)&gt;0,"nome igual em Pessoas: confira o CPF","")))</f>
        <v/>
      </c>
      <c r="M789" s="24"/>
      <c r="N789" s="11"/>
    </row>
    <row r="790" customFormat="false" ht="15" hidden="false" customHeight="false" outlineLevel="0" collapsed="false">
      <c r="A790" s="24"/>
      <c r="B790" s="31" t="str">
        <f aca="false">IF(A790="","",IF(LEN(UPPER(SUBSTITUTE(SUBSTITUTE(SUBSTITUTE(SUBSTITUTE(TRIM(A790),".",""),"/",""),"-","")," ","")))&lt;14,RIGHT(REPT("0",14)&amp;UPPER(SUBSTITUTE(SUBSTITUTE(SUBSTITUTE(SUBSTITUTE(TRIM(A790),".",""),"/",""),"-","")," ","")),14),UPPER(SUBSTITUTE(SUBSTITUTE(SUBSTITUTE(SUBSTITUTE(TRIM(A790),".",""),"/",""),"-","")," ",""))))</f>
        <v/>
      </c>
      <c r="C790" s="25" t="str">
        <f aca="false">IF(B790="","",IFERROR(INDEX(Empresas!$C:$C,MATCH(B790,Empresas!$B:$B,0)),"cadastre o CNPJ em Empresas"))</f>
        <v/>
      </c>
      <c r="D790" s="23"/>
      <c r="E790" s="24"/>
      <c r="F790" s="31" t="str">
        <f aca="false">IF(D790="","",SUBSTITUTE(SUBSTITUTE(SUBSTITUTE(SUBSTITUTE(SUBSTITUTE(SUBSTITUTE(SUBSTITUTE(SUBSTITUTE(SUBSTITUTE(SUBSTITUTE(SUBSTITUTE(SUBSTITUTE(SUBSTITUTE(UPPER(TRIM(D790)),"Á","A"),"À","A"),"Â","A"),"Ã","A"),"É","E"),"Ê","E"),"Í","I"),"Ó","O"),"Ô","O"),"Õ","O"),"Ú","U"),"Ü","U"),"Ç","C"))</f>
        <v/>
      </c>
      <c r="G790" s="31" t="str">
        <f aca="false">IF(E790="","",IF(LEN(SUBSTITUTE(SUBSTITUTE(SUBSTITUTE(SUBSTITUTE(TRIM(E790),"*",""),".",""),"-","")," ",""))=11,MID(SUBSTITUTE(SUBSTITUTE(SUBSTITUTE(SUBSTITUTE(TRIM(E790),"*",""),".",""),"-","")," ",""),4,6),SUBSTITUTE(SUBSTITUTE(SUBSTITUTE(SUBSTITUTE(TRIM(E790),"*",""),".",""),"-","")," ","")))</f>
        <v/>
      </c>
      <c r="H790" s="31" t="str">
        <f aca="false">IF(OR(F790="",G790=""),"",F790&amp;"|"&amp;G790)</f>
        <v/>
      </c>
      <c r="I790" s="23"/>
      <c r="J790" s="22"/>
      <c r="K790" s="22"/>
      <c r="L790" s="25" t="str">
        <f aca="false">IF(F790="","",IF(AND(H790&lt;&gt;"",COUNTIF(Pessoas!$E:$E,H790)&gt;0),"SIM",IF(COUNTIF(Pessoas!$C:$C,F790)&gt;0,"nome igual em Pessoas: confira o CPF","")))</f>
        <v/>
      </c>
      <c r="M790" s="24"/>
      <c r="N790" s="11"/>
    </row>
    <row r="791" customFormat="false" ht="15" hidden="false" customHeight="false" outlineLevel="0" collapsed="false">
      <c r="A791" s="24"/>
      <c r="B791" s="31" t="str">
        <f aca="false">IF(A791="","",IF(LEN(UPPER(SUBSTITUTE(SUBSTITUTE(SUBSTITUTE(SUBSTITUTE(TRIM(A791),".",""),"/",""),"-","")," ","")))&lt;14,RIGHT(REPT("0",14)&amp;UPPER(SUBSTITUTE(SUBSTITUTE(SUBSTITUTE(SUBSTITUTE(TRIM(A791),".",""),"/",""),"-","")," ","")),14),UPPER(SUBSTITUTE(SUBSTITUTE(SUBSTITUTE(SUBSTITUTE(TRIM(A791),".",""),"/",""),"-","")," ",""))))</f>
        <v/>
      </c>
      <c r="C791" s="25" t="str">
        <f aca="false">IF(B791="","",IFERROR(INDEX(Empresas!$C:$C,MATCH(B791,Empresas!$B:$B,0)),"cadastre o CNPJ em Empresas"))</f>
        <v/>
      </c>
      <c r="D791" s="23"/>
      <c r="E791" s="24"/>
      <c r="F791" s="31" t="str">
        <f aca="false">IF(D791="","",SUBSTITUTE(SUBSTITUTE(SUBSTITUTE(SUBSTITUTE(SUBSTITUTE(SUBSTITUTE(SUBSTITUTE(SUBSTITUTE(SUBSTITUTE(SUBSTITUTE(SUBSTITUTE(SUBSTITUTE(SUBSTITUTE(UPPER(TRIM(D791)),"Á","A"),"À","A"),"Â","A"),"Ã","A"),"É","E"),"Ê","E"),"Í","I"),"Ó","O"),"Ô","O"),"Õ","O"),"Ú","U"),"Ü","U"),"Ç","C"))</f>
        <v/>
      </c>
      <c r="G791" s="31" t="str">
        <f aca="false">IF(E791="","",IF(LEN(SUBSTITUTE(SUBSTITUTE(SUBSTITUTE(SUBSTITUTE(TRIM(E791),"*",""),".",""),"-","")," ",""))=11,MID(SUBSTITUTE(SUBSTITUTE(SUBSTITUTE(SUBSTITUTE(TRIM(E791),"*",""),".",""),"-","")," ",""),4,6),SUBSTITUTE(SUBSTITUTE(SUBSTITUTE(SUBSTITUTE(TRIM(E791),"*",""),".",""),"-","")," ","")))</f>
        <v/>
      </c>
      <c r="H791" s="31" t="str">
        <f aca="false">IF(OR(F791="",G791=""),"",F791&amp;"|"&amp;G791)</f>
        <v/>
      </c>
      <c r="I791" s="23"/>
      <c r="J791" s="22"/>
      <c r="K791" s="22"/>
      <c r="L791" s="25" t="str">
        <f aca="false">IF(F791="","",IF(AND(H791&lt;&gt;"",COUNTIF(Pessoas!$E:$E,H791)&gt;0),"SIM",IF(COUNTIF(Pessoas!$C:$C,F791)&gt;0,"nome igual em Pessoas: confira o CPF","")))</f>
        <v/>
      </c>
      <c r="M791" s="24"/>
      <c r="N791" s="11"/>
    </row>
    <row r="792" customFormat="false" ht="15" hidden="false" customHeight="false" outlineLevel="0" collapsed="false">
      <c r="A792" s="24"/>
      <c r="B792" s="31" t="str">
        <f aca="false">IF(A792="","",IF(LEN(UPPER(SUBSTITUTE(SUBSTITUTE(SUBSTITUTE(SUBSTITUTE(TRIM(A792),".",""),"/",""),"-","")," ","")))&lt;14,RIGHT(REPT("0",14)&amp;UPPER(SUBSTITUTE(SUBSTITUTE(SUBSTITUTE(SUBSTITUTE(TRIM(A792),".",""),"/",""),"-","")," ","")),14),UPPER(SUBSTITUTE(SUBSTITUTE(SUBSTITUTE(SUBSTITUTE(TRIM(A792),".",""),"/",""),"-","")," ",""))))</f>
        <v/>
      </c>
      <c r="C792" s="25" t="str">
        <f aca="false">IF(B792="","",IFERROR(INDEX(Empresas!$C:$C,MATCH(B792,Empresas!$B:$B,0)),"cadastre o CNPJ em Empresas"))</f>
        <v/>
      </c>
      <c r="D792" s="23"/>
      <c r="E792" s="24"/>
      <c r="F792" s="31" t="str">
        <f aca="false">IF(D792="","",SUBSTITUTE(SUBSTITUTE(SUBSTITUTE(SUBSTITUTE(SUBSTITUTE(SUBSTITUTE(SUBSTITUTE(SUBSTITUTE(SUBSTITUTE(SUBSTITUTE(SUBSTITUTE(SUBSTITUTE(SUBSTITUTE(UPPER(TRIM(D792)),"Á","A"),"À","A"),"Â","A"),"Ã","A"),"É","E"),"Ê","E"),"Í","I"),"Ó","O"),"Ô","O"),"Õ","O"),"Ú","U"),"Ü","U"),"Ç","C"))</f>
        <v/>
      </c>
      <c r="G792" s="31" t="str">
        <f aca="false">IF(E792="","",IF(LEN(SUBSTITUTE(SUBSTITUTE(SUBSTITUTE(SUBSTITUTE(TRIM(E792),"*",""),".",""),"-","")," ",""))=11,MID(SUBSTITUTE(SUBSTITUTE(SUBSTITUTE(SUBSTITUTE(TRIM(E792),"*",""),".",""),"-","")," ",""),4,6),SUBSTITUTE(SUBSTITUTE(SUBSTITUTE(SUBSTITUTE(TRIM(E792),"*",""),".",""),"-","")," ","")))</f>
        <v/>
      </c>
      <c r="H792" s="31" t="str">
        <f aca="false">IF(OR(F792="",G792=""),"",F792&amp;"|"&amp;G792)</f>
        <v/>
      </c>
      <c r="I792" s="23"/>
      <c r="J792" s="22"/>
      <c r="K792" s="22"/>
      <c r="L792" s="25" t="str">
        <f aca="false">IF(F792="","",IF(AND(H792&lt;&gt;"",COUNTIF(Pessoas!$E:$E,H792)&gt;0),"SIM",IF(COUNTIF(Pessoas!$C:$C,F792)&gt;0,"nome igual em Pessoas: confira o CPF","")))</f>
        <v/>
      </c>
      <c r="M792" s="24"/>
      <c r="N792" s="11"/>
    </row>
    <row r="793" customFormat="false" ht="15" hidden="false" customHeight="false" outlineLevel="0" collapsed="false">
      <c r="A793" s="24"/>
      <c r="B793" s="31" t="str">
        <f aca="false">IF(A793="","",IF(LEN(UPPER(SUBSTITUTE(SUBSTITUTE(SUBSTITUTE(SUBSTITUTE(TRIM(A793),".",""),"/",""),"-","")," ","")))&lt;14,RIGHT(REPT("0",14)&amp;UPPER(SUBSTITUTE(SUBSTITUTE(SUBSTITUTE(SUBSTITUTE(TRIM(A793),".",""),"/",""),"-","")," ","")),14),UPPER(SUBSTITUTE(SUBSTITUTE(SUBSTITUTE(SUBSTITUTE(TRIM(A793),".",""),"/",""),"-","")," ",""))))</f>
        <v/>
      </c>
      <c r="C793" s="25" t="str">
        <f aca="false">IF(B793="","",IFERROR(INDEX(Empresas!$C:$C,MATCH(B793,Empresas!$B:$B,0)),"cadastre o CNPJ em Empresas"))</f>
        <v/>
      </c>
      <c r="D793" s="23"/>
      <c r="E793" s="24"/>
      <c r="F793" s="31" t="str">
        <f aca="false">IF(D793="","",SUBSTITUTE(SUBSTITUTE(SUBSTITUTE(SUBSTITUTE(SUBSTITUTE(SUBSTITUTE(SUBSTITUTE(SUBSTITUTE(SUBSTITUTE(SUBSTITUTE(SUBSTITUTE(SUBSTITUTE(SUBSTITUTE(UPPER(TRIM(D793)),"Á","A"),"À","A"),"Â","A"),"Ã","A"),"É","E"),"Ê","E"),"Í","I"),"Ó","O"),"Ô","O"),"Õ","O"),"Ú","U"),"Ü","U"),"Ç","C"))</f>
        <v/>
      </c>
      <c r="G793" s="31" t="str">
        <f aca="false">IF(E793="","",IF(LEN(SUBSTITUTE(SUBSTITUTE(SUBSTITUTE(SUBSTITUTE(TRIM(E793),"*",""),".",""),"-","")," ",""))=11,MID(SUBSTITUTE(SUBSTITUTE(SUBSTITUTE(SUBSTITUTE(TRIM(E793),"*",""),".",""),"-","")," ",""),4,6),SUBSTITUTE(SUBSTITUTE(SUBSTITUTE(SUBSTITUTE(TRIM(E793),"*",""),".",""),"-","")," ","")))</f>
        <v/>
      </c>
      <c r="H793" s="31" t="str">
        <f aca="false">IF(OR(F793="",G793=""),"",F793&amp;"|"&amp;G793)</f>
        <v/>
      </c>
      <c r="I793" s="23"/>
      <c r="J793" s="22"/>
      <c r="K793" s="22"/>
      <c r="L793" s="25" t="str">
        <f aca="false">IF(F793="","",IF(AND(H793&lt;&gt;"",COUNTIF(Pessoas!$E:$E,H793)&gt;0),"SIM",IF(COUNTIF(Pessoas!$C:$C,F793)&gt;0,"nome igual em Pessoas: confira o CPF","")))</f>
        <v/>
      </c>
      <c r="M793" s="24"/>
      <c r="N793" s="11"/>
    </row>
    <row r="794" customFormat="false" ht="15" hidden="false" customHeight="false" outlineLevel="0" collapsed="false">
      <c r="A794" s="24"/>
      <c r="B794" s="31" t="str">
        <f aca="false">IF(A794="","",IF(LEN(UPPER(SUBSTITUTE(SUBSTITUTE(SUBSTITUTE(SUBSTITUTE(TRIM(A794),".",""),"/",""),"-","")," ","")))&lt;14,RIGHT(REPT("0",14)&amp;UPPER(SUBSTITUTE(SUBSTITUTE(SUBSTITUTE(SUBSTITUTE(TRIM(A794),".",""),"/",""),"-","")," ","")),14),UPPER(SUBSTITUTE(SUBSTITUTE(SUBSTITUTE(SUBSTITUTE(TRIM(A794),".",""),"/",""),"-","")," ",""))))</f>
        <v/>
      </c>
      <c r="C794" s="25" t="str">
        <f aca="false">IF(B794="","",IFERROR(INDEX(Empresas!$C:$C,MATCH(B794,Empresas!$B:$B,0)),"cadastre o CNPJ em Empresas"))</f>
        <v/>
      </c>
      <c r="D794" s="23"/>
      <c r="E794" s="24"/>
      <c r="F794" s="31" t="str">
        <f aca="false">IF(D794="","",SUBSTITUTE(SUBSTITUTE(SUBSTITUTE(SUBSTITUTE(SUBSTITUTE(SUBSTITUTE(SUBSTITUTE(SUBSTITUTE(SUBSTITUTE(SUBSTITUTE(SUBSTITUTE(SUBSTITUTE(SUBSTITUTE(UPPER(TRIM(D794)),"Á","A"),"À","A"),"Â","A"),"Ã","A"),"É","E"),"Ê","E"),"Í","I"),"Ó","O"),"Ô","O"),"Õ","O"),"Ú","U"),"Ü","U"),"Ç","C"))</f>
        <v/>
      </c>
      <c r="G794" s="31" t="str">
        <f aca="false">IF(E794="","",IF(LEN(SUBSTITUTE(SUBSTITUTE(SUBSTITUTE(SUBSTITUTE(TRIM(E794),"*",""),".",""),"-","")," ",""))=11,MID(SUBSTITUTE(SUBSTITUTE(SUBSTITUTE(SUBSTITUTE(TRIM(E794),"*",""),".",""),"-","")," ",""),4,6),SUBSTITUTE(SUBSTITUTE(SUBSTITUTE(SUBSTITUTE(TRIM(E794),"*",""),".",""),"-","")," ","")))</f>
        <v/>
      </c>
      <c r="H794" s="31" t="str">
        <f aca="false">IF(OR(F794="",G794=""),"",F794&amp;"|"&amp;G794)</f>
        <v/>
      </c>
      <c r="I794" s="23"/>
      <c r="J794" s="22"/>
      <c r="K794" s="22"/>
      <c r="L794" s="25" t="str">
        <f aca="false">IF(F794="","",IF(AND(H794&lt;&gt;"",COUNTIF(Pessoas!$E:$E,H794)&gt;0),"SIM",IF(COUNTIF(Pessoas!$C:$C,F794)&gt;0,"nome igual em Pessoas: confira o CPF","")))</f>
        <v/>
      </c>
      <c r="M794" s="24"/>
      <c r="N794" s="11"/>
    </row>
    <row r="795" customFormat="false" ht="15" hidden="false" customHeight="false" outlineLevel="0" collapsed="false">
      <c r="A795" s="24"/>
      <c r="B795" s="31" t="str">
        <f aca="false">IF(A795="","",IF(LEN(UPPER(SUBSTITUTE(SUBSTITUTE(SUBSTITUTE(SUBSTITUTE(TRIM(A795),".",""),"/",""),"-","")," ","")))&lt;14,RIGHT(REPT("0",14)&amp;UPPER(SUBSTITUTE(SUBSTITUTE(SUBSTITUTE(SUBSTITUTE(TRIM(A795),".",""),"/",""),"-","")," ","")),14),UPPER(SUBSTITUTE(SUBSTITUTE(SUBSTITUTE(SUBSTITUTE(TRIM(A795),".",""),"/",""),"-","")," ",""))))</f>
        <v/>
      </c>
      <c r="C795" s="25" t="str">
        <f aca="false">IF(B795="","",IFERROR(INDEX(Empresas!$C:$C,MATCH(B795,Empresas!$B:$B,0)),"cadastre o CNPJ em Empresas"))</f>
        <v/>
      </c>
      <c r="D795" s="23"/>
      <c r="E795" s="24"/>
      <c r="F795" s="31" t="str">
        <f aca="false">IF(D795="","",SUBSTITUTE(SUBSTITUTE(SUBSTITUTE(SUBSTITUTE(SUBSTITUTE(SUBSTITUTE(SUBSTITUTE(SUBSTITUTE(SUBSTITUTE(SUBSTITUTE(SUBSTITUTE(SUBSTITUTE(SUBSTITUTE(UPPER(TRIM(D795)),"Á","A"),"À","A"),"Â","A"),"Ã","A"),"É","E"),"Ê","E"),"Í","I"),"Ó","O"),"Ô","O"),"Õ","O"),"Ú","U"),"Ü","U"),"Ç","C"))</f>
        <v/>
      </c>
      <c r="G795" s="31" t="str">
        <f aca="false">IF(E795="","",IF(LEN(SUBSTITUTE(SUBSTITUTE(SUBSTITUTE(SUBSTITUTE(TRIM(E795),"*",""),".",""),"-","")," ",""))=11,MID(SUBSTITUTE(SUBSTITUTE(SUBSTITUTE(SUBSTITUTE(TRIM(E795),"*",""),".",""),"-","")," ",""),4,6),SUBSTITUTE(SUBSTITUTE(SUBSTITUTE(SUBSTITUTE(TRIM(E795),"*",""),".",""),"-","")," ","")))</f>
        <v/>
      </c>
      <c r="H795" s="31" t="str">
        <f aca="false">IF(OR(F795="",G795=""),"",F795&amp;"|"&amp;G795)</f>
        <v/>
      </c>
      <c r="I795" s="23"/>
      <c r="J795" s="22"/>
      <c r="K795" s="22"/>
      <c r="L795" s="25" t="str">
        <f aca="false">IF(F795="","",IF(AND(H795&lt;&gt;"",COUNTIF(Pessoas!$E:$E,H795)&gt;0),"SIM",IF(COUNTIF(Pessoas!$C:$C,F795)&gt;0,"nome igual em Pessoas: confira o CPF","")))</f>
        <v/>
      </c>
      <c r="M795" s="24"/>
      <c r="N795" s="11"/>
    </row>
    <row r="796" customFormat="false" ht="15" hidden="false" customHeight="false" outlineLevel="0" collapsed="false">
      <c r="A796" s="24"/>
      <c r="B796" s="31" t="str">
        <f aca="false">IF(A796="","",IF(LEN(UPPER(SUBSTITUTE(SUBSTITUTE(SUBSTITUTE(SUBSTITUTE(TRIM(A796),".",""),"/",""),"-","")," ","")))&lt;14,RIGHT(REPT("0",14)&amp;UPPER(SUBSTITUTE(SUBSTITUTE(SUBSTITUTE(SUBSTITUTE(TRIM(A796),".",""),"/",""),"-","")," ","")),14),UPPER(SUBSTITUTE(SUBSTITUTE(SUBSTITUTE(SUBSTITUTE(TRIM(A796),".",""),"/",""),"-","")," ",""))))</f>
        <v/>
      </c>
      <c r="C796" s="25" t="str">
        <f aca="false">IF(B796="","",IFERROR(INDEX(Empresas!$C:$C,MATCH(B796,Empresas!$B:$B,0)),"cadastre o CNPJ em Empresas"))</f>
        <v/>
      </c>
      <c r="D796" s="23"/>
      <c r="E796" s="24"/>
      <c r="F796" s="31" t="str">
        <f aca="false">IF(D796="","",SUBSTITUTE(SUBSTITUTE(SUBSTITUTE(SUBSTITUTE(SUBSTITUTE(SUBSTITUTE(SUBSTITUTE(SUBSTITUTE(SUBSTITUTE(SUBSTITUTE(SUBSTITUTE(SUBSTITUTE(SUBSTITUTE(UPPER(TRIM(D796)),"Á","A"),"À","A"),"Â","A"),"Ã","A"),"É","E"),"Ê","E"),"Í","I"),"Ó","O"),"Ô","O"),"Õ","O"),"Ú","U"),"Ü","U"),"Ç","C"))</f>
        <v/>
      </c>
      <c r="G796" s="31" t="str">
        <f aca="false">IF(E796="","",IF(LEN(SUBSTITUTE(SUBSTITUTE(SUBSTITUTE(SUBSTITUTE(TRIM(E796),"*",""),".",""),"-","")," ",""))=11,MID(SUBSTITUTE(SUBSTITUTE(SUBSTITUTE(SUBSTITUTE(TRIM(E796),"*",""),".",""),"-","")," ",""),4,6),SUBSTITUTE(SUBSTITUTE(SUBSTITUTE(SUBSTITUTE(TRIM(E796),"*",""),".",""),"-","")," ","")))</f>
        <v/>
      </c>
      <c r="H796" s="31" t="str">
        <f aca="false">IF(OR(F796="",G796=""),"",F796&amp;"|"&amp;G796)</f>
        <v/>
      </c>
      <c r="I796" s="23"/>
      <c r="J796" s="22"/>
      <c r="K796" s="22"/>
      <c r="L796" s="25" t="str">
        <f aca="false">IF(F796="","",IF(AND(H796&lt;&gt;"",COUNTIF(Pessoas!$E:$E,H796)&gt;0),"SIM",IF(COUNTIF(Pessoas!$C:$C,F796)&gt;0,"nome igual em Pessoas: confira o CPF","")))</f>
        <v/>
      </c>
      <c r="M796" s="24"/>
      <c r="N796" s="11"/>
    </row>
    <row r="797" customFormat="false" ht="15" hidden="false" customHeight="false" outlineLevel="0" collapsed="false">
      <c r="A797" s="24"/>
      <c r="B797" s="31" t="str">
        <f aca="false">IF(A797="","",IF(LEN(UPPER(SUBSTITUTE(SUBSTITUTE(SUBSTITUTE(SUBSTITUTE(TRIM(A797),".",""),"/",""),"-","")," ","")))&lt;14,RIGHT(REPT("0",14)&amp;UPPER(SUBSTITUTE(SUBSTITUTE(SUBSTITUTE(SUBSTITUTE(TRIM(A797),".",""),"/",""),"-","")," ","")),14),UPPER(SUBSTITUTE(SUBSTITUTE(SUBSTITUTE(SUBSTITUTE(TRIM(A797),".",""),"/",""),"-","")," ",""))))</f>
        <v/>
      </c>
      <c r="C797" s="25" t="str">
        <f aca="false">IF(B797="","",IFERROR(INDEX(Empresas!$C:$C,MATCH(B797,Empresas!$B:$B,0)),"cadastre o CNPJ em Empresas"))</f>
        <v/>
      </c>
      <c r="D797" s="23"/>
      <c r="E797" s="24"/>
      <c r="F797" s="31" t="str">
        <f aca="false">IF(D797="","",SUBSTITUTE(SUBSTITUTE(SUBSTITUTE(SUBSTITUTE(SUBSTITUTE(SUBSTITUTE(SUBSTITUTE(SUBSTITUTE(SUBSTITUTE(SUBSTITUTE(SUBSTITUTE(SUBSTITUTE(SUBSTITUTE(UPPER(TRIM(D797)),"Á","A"),"À","A"),"Â","A"),"Ã","A"),"É","E"),"Ê","E"),"Í","I"),"Ó","O"),"Ô","O"),"Õ","O"),"Ú","U"),"Ü","U"),"Ç","C"))</f>
        <v/>
      </c>
      <c r="G797" s="31" t="str">
        <f aca="false">IF(E797="","",IF(LEN(SUBSTITUTE(SUBSTITUTE(SUBSTITUTE(SUBSTITUTE(TRIM(E797),"*",""),".",""),"-","")," ",""))=11,MID(SUBSTITUTE(SUBSTITUTE(SUBSTITUTE(SUBSTITUTE(TRIM(E797),"*",""),".",""),"-","")," ",""),4,6),SUBSTITUTE(SUBSTITUTE(SUBSTITUTE(SUBSTITUTE(TRIM(E797),"*",""),".",""),"-","")," ","")))</f>
        <v/>
      </c>
      <c r="H797" s="31" t="str">
        <f aca="false">IF(OR(F797="",G797=""),"",F797&amp;"|"&amp;G797)</f>
        <v/>
      </c>
      <c r="I797" s="23"/>
      <c r="J797" s="22"/>
      <c r="K797" s="22"/>
      <c r="L797" s="25" t="str">
        <f aca="false">IF(F797="","",IF(AND(H797&lt;&gt;"",COUNTIF(Pessoas!$E:$E,H797)&gt;0),"SIM",IF(COUNTIF(Pessoas!$C:$C,F797)&gt;0,"nome igual em Pessoas: confira o CPF","")))</f>
        <v/>
      </c>
      <c r="M797" s="24"/>
      <c r="N797" s="11"/>
    </row>
    <row r="798" customFormat="false" ht="15" hidden="false" customHeight="false" outlineLevel="0" collapsed="false">
      <c r="A798" s="24"/>
      <c r="B798" s="31" t="str">
        <f aca="false">IF(A798="","",IF(LEN(UPPER(SUBSTITUTE(SUBSTITUTE(SUBSTITUTE(SUBSTITUTE(TRIM(A798),".",""),"/",""),"-","")," ","")))&lt;14,RIGHT(REPT("0",14)&amp;UPPER(SUBSTITUTE(SUBSTITUTE(SUBSTITUTE(SUBSTITUTE(TRIM(A798),".",""),"/",""),"-","")," ","")),14),UPPER(SUBSTITUTE(SUBSTITUTE(SUBSTITUTE(SUBSTITUTE(TRIM(A798),".",""),"/",""),"-","")," ",""))))</f>
        <v/>
      </c>
      <c r="C798" s="25" t="str">
        <f aca="false">IF(B798="","",IFERROR(INDEX(Empresas!$C:$C,MATCH(B798,Empresas!$B:$B,0)),"cadastre o CNPJ em Empresas"))</f>
        <v/>
      </c>
      <c r="D798" s="23"/>
      <c r="E798" s="24"/>
      <c r="F798" s="31" t="str">
        <f aca="false">IF(D798="","",SUBSTITUTE(SUBSTITUTE(SUBSTITUTE(SUBSTITUTE(SUBSTITUTE(SUBSTITUTE(SUBSTITUTE(SUBSTITUTE(SUBSTITUTE(SUBSTITUTE(SUBSTITUTE(SUBSTITUTE(SUBSTITUTE(UPPER(TRIM(D798)),"Á","A"),"À","A"),"Â","A"),"Ã","A"),"É","E"),"Ê","E"),"Í","I"),"Ó","O"),"Ô","O"),"Õ","O"),"Ú","U"),"Ü","U"),"Ç","C"))</f>
        <v/>
      </c>
      <c r="G798" s="31" t="str">
        <f aca="false">IF(E798="","",IF(LEN(SUBSTITUTE(SUBSTITUTE(SUBSTITUTE(SUBSTITUTE(TRIM(E798),"*",""),".",""),"-","")," ",""))=11,MID(SUBSTITUTE(SUBSTITUTE(SUBSTITUTE(SUBSTITUTE(TRIM(E798),"*",""),".",""),"-","")," ",""),4,6),SUBSTITUTE(SUBSTITUTE(SUBSTITUTE(SUBSTITUTE(TRIM(E798),"*",""),".",""),"-","")," ","")))</f>
        <v/>
      </c>
      <c r="H798" s="31" t="str">
        <f aca="false">IF(OR(F798="",G798=""),"",F798&amp;"|"&amp;G798)</f>
        <v/>
      </c>
      <c r="I798" s="23"/>
      <c r="J798" s="22"/>
      <c r="K798" s="22"/>
      <c r="L798" s="25" t="str">
        <f aca="false">IF(F798="","",IF(AND(H798&lt;&gt;"",COUNTIF(Pessoas!$E:$E,H798)&gt;0),"SIM",IF(COUNTIF(Pessoas!$C:$C,F798)&gt;0,"nome igual em Pessoas: confira o CPF","")))</f>
        <v/>
      </c>
      <c r="M798" s="24"/>
      <c r="N798" s="11"/>
    </row>
    <row r="799" customFormat="false" ht="15" hidden="false" customHeight="false" outlineLevel="0" collapsed="false">
      <c r="A799" s="24"/>
      <c r="B799" s="31" t="str">
        <f aca="false">IF(A799="","",IF(LEN(UPPER(SUBSTITUTE(SUBSTITUTE(SUBSTITUTE(SUBSTITUTE(TRIM(A799),".",""),"/",""),"-","")," ","")))&lt;14,RIGHT(REPT("0",14)&amp;UPPER(SUBSTITUTE(SUBSTITUTE(SUBSTITUTE(SUBSTITUTE(TRIM(A799),".",""),"/",""),"-","")," ","")),14),UPPER(SUBSTITUTE(SUBSTITUTE(SUBSTITUTE(SUBSTITUTE(TRIM(A799),".",""),"/",""),"-","")," ",""))))</f>
        <v/>
      </c>
      <c r="C799" s="25" t="str">
        <f aca="false">IF(B799="","",IFERROR(INDEX(Empresas!$C:$C,MATCH(B799,Empresas!$B:$B,0)),"cadastre o CNPJ em Empresas"))</f>
        <v/>
      </c>
      <c r="D799" s="23"/>
      <c r="E799" s="24"/>
      <c r="F799" s="31" t="str">
        <f aca="false">IF(D799="","",SUBSTITUTE(SUBSTITUTE(SUBSTITUTE(SUBSTITUTE(SUBSTITUTE(SUBSTITUTE(SUBSTITUTE(SUBSTITUTE(SUBSTITUTE(SUBSTITUTE(SUBSTITUTE(SUBSTITUTE(SUBSTITUTE(UPPER(TRIM(D799)),"Á","A"),"À","A"),"Â","A"),"Ã","A"),"É","E"),"Ê","E"),"Í","I"),"Ó","O"),"Ô","O"),"Õ","O"),"Ú","U"),"Ü","U"),"Ç","C"))</f>
        <v/>
      </c>
      <c r="G799" s="31" t="str">
        <f aca="false">IF(E799="","",IF(LEN(SUBSTITUTE(SUBSTITUTE(SUBSTITUTE(SUBSTITUTE(TRIM(E799),"*",""),".",""),"-","")," ",""))=11,MID(SUBSTITUTE(SUBSTITUTE(SUBSTITUTE(SUBSTITUTE(TRIM(E799),"*",""),".",""),"-","")," ",""),4,6),SUBSTITUTE(SUBSTITUTE(SUBSTITUTE(SUBSTITUTE(TRIM(E799),"*",""),".",""),"-","")," ","")))</f>
        <v/>
      </c>
      <c r="H799" s="31" t="str">
        <f aca="false">IF(OR(F799="",G799=""),"",F799&amp;"|"&amp;G799)</f>
        <v/>
      </c>
      <c r="I799" s="23"/>
      <c r="J799" s="22"/>
      <c r="K799" s="22"/>
      <c r="L799" s="25" t="str">
        <f aca="false">IF(F799="","",IF(AND(H799&lt;&gt;"",COUNTIF(Pessoas!$E:$E,H799)&gt;0),"SIM",IF(COUNTIF(Pessoas!$C:$C,F799)&gt;0,"nome igual em Pessoas: confira o CPF","")))</f>
        <v/>
      </c>
      <c r="M799" s="24"/>
      <c r="N799" s="11"/>
    </row>
    <row r="800" customFormat="false" ht="15" hidden="false" customHeight="false" outlineLevel="0" collapsed="false">
      <c r="A800" s="24"/>
      <c r="B800" s="31" t="str">
        <f aca="false">IF(A800="","",IF(LEN(UPPER(SUBSTITUTE(SUBSTITUTE(SUBSTITUTE(SUBSTITUTE(TRIM(A800),".",""),"/",""),"-","")," ","")))&lt;14,RIGHT(REPT("0",14)&amp;UPPER(SUBSTITUTE(SUBSTITUTE(SUBSTITUTE(SUBSTITUTE(TRIM(A800),".",""),"/",""),"-","")," ","")),14),UPPER(SUBSTITUTE(SUBSTITUTE(SUBSTITUTE(SUBSTITUTE(TRIM(A800),".",""),"/",""),"-","")," ",""))))</f>
        <v/>
      </c>
      <c r="C800" s="25" t="str">
        <f aca="false">IF(B800="","",IFERROR(INDEX(Empresas!$C:$C,MATCH(B800,Empresas!$B:$B,0)),"cadastre o CNPJ em Empresas"))</f>
        <v/>
      </c>
      <c r="D800" s="23"/>
      <c r="E800" s="24"/>
      <c r="F800" s="31" t="str">
        <f aca="false">IF(D800="","",SUBSTITUTE(SUBSTITUTE(SUBSTITUTE(SUBSTITUTE(SUBSTITUTE(SUBSTITUTE(SUBSTITUTE(SUBSTITUTE(SUBSTITUTE(SUBSTITUTE(SUBSTITUTE(SUBSTITUTE(SUBSTITUTE(UPPER(TRIM(D800)),"Á","A"),"À","A"),"Â","A"),"Ã","A"),"É","E"),"Ê","E"),"Í","I"),"Ó","O"),"Ô","O"),"Õ","O"),"Ú","U"),"Ü","U"),"Ç","C"))</f>
        <v/>
      </c>
      <c r="G800" s="31" t="str">
        <f aca="false">IF(E800="","",IF(LEN(SUBSTITUTE(SUBSTITUTE(SUBSTITUTE(SUBSTITUTE(TRIM(E800),"*",""),".",""),"-","")," ",""))=11,MID(SUBSTITUTE(SUBSTITUTE(SUBSTITUTE(SUBSTITUTE(TRIM(E800),"*",""),".",""),"-","")," ",""),4,6),SUBSTITUTE(SUBSTITUTE(SUBSTITUTE(SUBSTITUTE(TRIM(E800),"*",""),".",""),"-","")," ","")))</f>
        <v/>
      </c>
      <c r="H800" s="31" t="str">
        <f aca="false">IF(OR(F800="",G800=""),"",F800&amp;"|"&amp;G800)</f>
        <v/>
      </c>
      <c r="I800" s="23"/>
      <c r="J800" s="22"/>
      <c r="K800" s="22"/>
      <c r="L800" s="25" t="str">
        <f aca="false">IF(F800="","",IF(AND(H800&lt;&gt;"",COUNTIF(Pessoas!$E:$E,H800)&gt;0),"SIM",IF(COUNTIF(Pessoas!$C:$C,F800)&gt;0,"nome igual em Pessoas: confira o CPF","")))</f>
        <v/>
      </c>
      <c r="M800" s="24"/>
      <c r="N800" s="11"/>
    </row>
    <row r="801" customFormat="false" ht="15" hidden="false" customHeight="false" outlineLevel="0" collapsed="false">
      <c r="A801" s="24"/>
      <c r="B801" s="31" t="str">
        <f aca="false">IF(A801="","",IF(LEN(UPPER(SUBSTITUTE(SUBSTITUTE(SUBSTITUTE(SUBSTITUTE(TRIM(A801),".",""),"/",""),"-","")," ","")))&lt;14,RIGHT(REPT("0",14)&amp;UPPER(SUBSTITUTE(SUBSTITUTE(SUBSTITUTE(SUBSTITUTE(TRIM(A801),".",""),"/",""),"-","")," ","")),14),UPPER(SUBSTITUTE(SUBSTITUTE(SUBSTITUTE(SUBSTITUTE(TRIM(A801),".",""),"/",""),"-","")," ",""))))</f>
        <v/>
      </c>
      <c r="C801" s="25" t="str">
        <f aca="false">IF(B801="","",IFERROR(INDEX(Empresas!$C:$C,MATCH(B801,Empresas!$B:$B,0)),"cadastre o CNPJ em Empresas"))</f>
        <v/>
      </c>
      <c r="D801" s="23"/>
      <c r="E801" s="24"/>
      <c r="F801" s="31" t="str">
        <f aca="false">IF(D801="","",SUBSTITUTE(SUBSTITUTE(SUBSTITUTE(SUBSTITUTE(SUBSTITUTE(SUBSTITUTE(SUBSTITUTE(SUBSTITUTE(SUBSTITUTE(SUBSTITUTE(SUBSTITUTE(SUBSTITUTE(SUBSTITUTE(UPPER(TRIM(D801)),"Á","A"),"À","A"),"Â","A"),"Ã","A"),"É","E"),"Ê","E"),"Í","I"),"Ó","O"),"Ô","O"),"Õ","O"),"Ú","U"),"Ü","U"),"Ç","C"))</f>
        <v/>
      </c>
      <c r="G801" s="31" t="str">
        <f aca="false">IF(E801="","",IF(LEN(SUBSTITUTE(SUBSTITUTE(SUBSTITUTE(SUBSTITUTE(TRIM(E801),"*",""),".",""),"-","")," ",""))=11,MID(SUBSTITUTE(SUBSTITUTE(SUBSTITUTE(SUBSTITUTE(TRIM(E801),"*",""),".",""),"-","")," ",""),4,6),SUBSTITUTE(SUBSTITUTE(SUBSTITUTE(SUBSTITUTE(TRIM(E801),"*",""),".",""),"-","")," ","")))</f>
        <v/>
      </c>
      <c r="H801" s="31" t="str">
        <f aca="false">IF(OR(F801="",G801=""),"",F801&amp;"|"&amp;G801)</f>
        <v/>
      </c>
      <c r="I801" s="23"/>
      <c r="J801" s="22"/>
      <c r="K801" s="22"/>
      <c r="L801" s="25" t="str">
        <f aca="false">IF(F801="","",IF(AND(H801&lt;&gt;"",COUNTIF(Pessoas!$E:$E,H801)&gt;0),"SIM",IF(COUNTIF(Pessoas!$C:$C,F801)&gt;0,"nome igual em Pessoas: confira o CPF","")))</f>
        <v/>
      </c>
      <c r="M801" s="24"/>
      <c r="N801" s="11"/>
    </row>
    <row r="802" customFormat="false" ht="15" hidden="false" customHeight="false" outlineLevel="0" collapsed="false">
      <c r="A802" s="24"/>
      <c r="B802" s="31" t="str">
        <f aca="false">IF(A802="","",IF(LEN(UPPER(SUBSTITUTE(SUBSTITUTE(SUBSTITUTE(SUBSTITUTE(TRIM(A802),".",""),"/",""),"-","")," ","")))&lt;14,RIGHT(REPT("0",14)&amp;UPPER(SUBSTITUTE(SUBSTITUTE(SUBSTITUTE(SUBSTITUTE(TRIM(A802),".",""),"/",""),"-","")," ","")),14),UPPER(SUBSTITUTE(SUBSTITUTE(SUBSTITUTE(SUBSTITUTE(TRIM(A802),".",""),"/",""),"-","")," ",""))))</f>
        <v/>
      </c>
      <c r="C802" s="25" t="str">
        <f aca="false">IF(B802="","",IFERROR(INDEX(Empresas!$C:$C,MATCH(B802,Empresas!$B:$B,0)),"cadastre o CNPJ em Empresas"))</f>
        <v/>
      </c>
      <c r="D802" s="23"/>
      <c r="E802" s="24"/>
      <c r="F802" s="31" t="str">
        <f aca="false">IF(D802="","",SUBSTITUTE(SUBSTITUTE(SUBSTITUTE(SUBSTITUTE(SUBSTITUTE(SUBSTITUTE(SUBSTITUTE(SUBSTITUTE(SUBSTITUTE(SUBSTITUTE(SUBSTITUTE(SUBSTITUTE(SUBSTITUTE(UPPER(TRIM(D802)),"Á","A"),"À","A"),"Â","A"),"Ã","A"),"É","E"),"Ê","E"),"Í","I"),"Ó","O"),"Ô","O"),"Õ","O"),"Ú","U"),"Ü","U"),"Ç","C"))</f>
        <v/>
      </c>
      <c r="G802" s="31" t="str">
        <f aca="false">IF(E802="","",IF(LEN(SUBSTITUTE(SUBSTITUTE(SUBSTITUTE(SUBSTITUTE(TRIM(E802),"*",""),".",""),"-","")," ",""))=11,MID(SUBSTITUTE(SUBSTITUTE(SUBSTITUTE(SUBSTITUTE(TRIM(E802),"*",""),".",""),"-","")," ",""),4,6),SUBSTITUTE(SUBSTITUTE(SUBSTITUTE(SUBSTITUTE(TRIM(E802),"*",""),".",""),"-","")," ","")))</f>
        <v/>
      </c>
      <c r="H802" s="31" t="str">
        <f aca="false">IF(OR(F802="",G802=""),"",F802&amp;"|"&amp;G802)</f>
        <v/>
      </c>
      <c r="I802" s="23"/>
      <c r="J802" s="22"/>
      <c r="K802" s="22"/>
      <c r="L802" s="25" t="str">
        <f aca="false">IF(F802="","",IF(AND(H802&lt;&gt;"",COUNTIF(Pessoas!$E:$E,H802)&gt;0),"SIM",IF(COUNTIF(Pessoas!$C:$C,F802)&gt;0,"nome igual em Pessoas: confira o CPF","")))</f>
        <v/>
      </c>
      <c r="M802" s="24"/>
      <c r="N802" s="11"/>
    </row>
    <row r="803" customFormat="false" ht="15" hidden="false" customHeight="false" outlineLevel="0" collapsed="false">
      <c r="A803" s="24"/>
      <c r="B803" s="31" t="str">
        <f aca="false">IF(A803="","",IF(LEN(UPPER(SUBSTITUTE(SUBSTITUTE(SUBSTITUTE(SUBSTITUTE(TRIM(A803),".",""),"/",""),"-","")," ","")))&lt;14,RIGHT(REPT("0",14)&amp;UPPER(SUBSTITUTE(SUBSTITUTE(SUBSTITUTE(SUBSTITUTE(TRIM(A803),".",""),"/",""),"-","")," ","")),14),UPPER(SUBSTITUTE(SUBSTITUTE(SUBSTITUTE(SUBSTITUTE(TRIM(A803),".",""),"/",""),"-","")," ",""))))</f>
        <v/>
      </c>
      <c r="C803" s="25" t="str">
        <f aca="false">IF(B803="","",IFERROR(INDEX(Empresas!$C:$C,MATCH(B803,Empresas!$B:$B,0)),"cadastre o CNPJ em Empresas"))</f>
        <v/>
      </c>
      <c r="D803" s="23"/>
      <c r="E803" s="24"/>
      <c r="F803" s="31" t="str">
        <f aca="false">IF(D803="","",SUBSTITUTE(SUBSTITUTE(SUBSTITUTE(SUBSTITUTE(SUBSTITUTE(SUBSTITUTE(SUBSTITUTE(SUBSTITUTE(SUBSTITUTE(SUBSTITUTE(SUBSTITUTE(SUBSTITUTE(SUBSTITUTE(UPPER(TRIM(D803)),"Á","A"),"À","A"),"Â","A"),"Ã","A"),"É","E"),"Ê","E"),"Í","I"),"Ó","O"),"Ô","O"),"Õ","O"),"Ú","U"),"Ü","U"),"Ç","C"))</f>
        <v/>
      </c>
      <c r="G803" s="31" t="str">
        <f aca="false">IF(E803="","",IF(LEN(SUBSTITUTE(SUBSTITUTE(SUBSTITUTE(SUBSTITUTE(TRIM(E803),"*",""),".",""),"-","")," ",""))=11,MID(SUBSTITUTE(SUBSTITUTE(SUBSTITUTE(SUBSTITUTE(TRIM(E803),"*",""),".",""),"-","")," ",""),4,6),SUBSTITUTE(SUBSTITUTE(SUBSTITUTE(SUBSTITUTE(TRIM(E803),"*",""),".",""),"-","")," ","")))</f>
        <v/>
      </c>
      <c r="H803" s="31" t="str">
        <f aca="false">IF(OR(F803="",G803=""),"",F803&amp;"|"&amp;G803)</f>
        <v/>
      </c>
      <c r="I803" s="23"/>
      <c r="J803" s="22"/>
      <c r="K803" s="22"/>
      <c r="L803" s="25" t="str">
        <f aca="false">IF(F803="","",IF(AND(H803&lt;&gt;"",COUNTIF(Pessoas!$E:$E,H803)&gt;0),"SIM",IF(COUNTIF(Pessoas!$C:$C,F803)&gt;0,"nome igual em Pessoas: confira o CPF","")))</f>
        <v/>
      </c>
      <c r="M803" s="24"/>
      <c r="N803" s="11"/>
    </row>
    <row r="804" customFormat="false" ht="15" hidden="false" customHeight="false" outlineLevel="0" collapsed="false">
      <c r="A804" s="24"/>
      <c r="B804" s="31" t="str">
        <f aca="false">IF(A804="","",IF(LEN(UPPER(SUBSTITUTE(SUBSTITUTE(SUBSTITUTE(SUBSTITUTE(TRIM(A804),".",""),"/",""),"-","")," ","")))&lt;14,RIGHT(REPT("0",14)&amp;UPPER(SUBSTITUTE(SUBSTITUTE(SUBSTITUTE(SUBSTITUTE(TRIM(A804),".",""),"/",""),"-","")," ","")),14),UPPER(SUBSTITUTE(SUBSTITUTE(SUBSTITUTE(SUBSTITUTE(TRIM(A804),".",""),"/",""),"-","")," ",""))))</f>
        <v/>
      </c>
      <c r="C804" s="25" t="str">
        <f aca="false">IF(B804="","",IFERROR(INDEX(Empresas!$C:$C,MATCH(B804,Empresas!$B:$B,0)),"cadastre o CNPJ em Empresas"))</f>
        <v/>
      </c>
      <c r="D804" s="23"/>
      <c r="E804" s="24"/>
      <c r="F804" s="31" t="str">
        <f aca="false">IF(D804="","",SUBSTITUTE(SUBSTITUTE(SUBSTITUTE(SUBSTITUTE(SUBSTITUTE(SUBSTITUTE(SUBSTITUTE(SUBSTITUTE(SUBSTITUTE(SUBSTITUTE(SUBSTITUTE(SUBSTITUTE(SUBSTITUTE(UPPER(TRIM(D804)),"Á","A"),"À","A"),"Â","A"),"Ã","A"),"É","E"),"Ê","E"),"Í","I"),"Ó","O"),"Ô","O"),"Õ","O"),"Ú","U"),"Ü","U"),"Ç","C"))</f>
        <v/>
      </c>
      <c r="G804" s="31" t="str">
        <f aca="false">IF(E804="","",IF(LEN(SUBSTITUTE(SUBSTITUTE(SUBSTITUTE(SUBSTITUTE(TRIM(E804),"*",""),".",""),"-","")," ",""))=11,MID(SUBSTITUTE(SUBSTITUTE(SUBSTITUTE(SUBSTITUTE(TRIM(E804),"*",""),".",""),"-","")," ",""),4,6),SUBSTITUTE(SUBSTITUTE(SUBSTITUTE(SUBSTITUTE(TRIM(E804),"*",""),".",""),"-","")," ","")))</f>
        <v/>
      </c>
      <c r="H804" s="31" t="str">
        <f aca="false">IF(OR(F804="",G804=""),"",F804&amp;"|"&amp;G804)</f>
        <v/>
      </c>
      <c r="I804" s="23"/>
      <c r="J804" s="22"/>
      <c r="K804" s="22"/>
      <c r="L804" s="25" t="str">
        <f aca="false">IF(F804="","",IF(AND(H804&lt;&gt;"",COUNTIF(Pessoas!$E:$E,H804)&gt;0),"SIM",IF(COUNTIF(Pessoas!$C:$C,F804)&gt;0,"nome igual em Pessoas: confira o CPF","")))</f>
        <v/>
      </c>
      <c r="M804" s="24"/>
      <c r="N804" s="11"/>
    </row>
    <row r="805" customFormat="false" ht="15" hidden="false" customHeight="false" outlineLevel="0" collapsed="false">
      <c r="A805" s="24"/>
      <c r="B805" s="31" t="str">
        <f aca="false">IF(A805="","",IF(LEN(UPPER(SUBSTITUTE(SUBSTITUTE(SUBSTITUTE(SUBSTITUTE(TRIM(A805),".",""),"/",""),"-","")," ","")))&lt;14,RIGHT(REPT("0",14)&amp;UPPER(SUBSTITUTE(SUBSTITUTE(SUBSTITUTE(SUBSTITUTE(TRIM(A805),".",""),"/",""),"-","")," ","")),14),UPPER(SUBSTITUTE(SUBSTITUTE(SUBSTITUTE(SUBSTITUTE(TRIM(A805),".",""),"/",""),"-","")," ",""))))</f>
        <v/>
      </c>
      <c r="C805" s="25" t="str">
        <f aca="false">IF(B805="","",IFERROR(INDEX(Empresas!$C:$C,MATCH(B805,Empresas!$B:$B,0)),"cadastre o CNPJ em Empresas"))</f>
        <v/>
      </c>
      <c r="D805" s="23"/>
      <c r="E805" s="24"/>
      <c r="F805" s="31" t="str">
        <f aca="false">IF(D805="","",SUBSTITUTE(SUBSTITUTE(SUBSTITUTE(SUBSTITUTE(SUBSTITUTE(SUBSTITUTE(SUBSTITUTE(SUBSTITUTE(SUBSTITUTE(SUBSTITUTE(SUBSTITUTE(SUBSTITUTE(SUBSTITUTE(UPPER(TRIM(D805)),"Á","A"),"À","A"),"Â","A"),"Ã","A"),"É","E"),"Ê","E"),"Í","I"),"Ó","O"),"Ô","O"),"Õ","O"),"Ú","U"),"Ü","U"),"Ç","C"))</f>
        <v/>
      </c>
      <c r="G805" s="31" t="str">
        <f aca="false">IF(E805="","",IF(LEN(SUBSTITUTE(SUBSTITUTE(SUBSTITUTE(SUBSTITUTE(TRIM(E805),"*",""),".",""),"-","")," ",""))=11,MID(SUBSTITUTE(SUBSTITUTE(SUBSTITUTE(SUBSTITUTE(TRIM(E805),"*",""),".",""),"-","")," ",""),4,6),SUBSTITUTE(SUBSTITUTE(SUBSTITUTE(SUBSTITUTE(TRIM(E805),"*",""),".",""),"-","")," ","")))</f>
        <v/>
      </c>
      <c r="H805" s="31" t="str">
        <f aca="false">IF(OR(F805="",G805=""),"",F805&amp;"|"&amp;G805)</f>
        <v/>
      </c>
      <c r="I805" s="23"/>
      <c r="J805" s="22"/>
      <c r="K805" s="22"/>
      <c r="L805" s="25" t="str">
        <f aca="false">IF(F805="","",IF(AND(H805&lt;&gt;"",COUNTIF(Pessoas!$E:$E,H805)&gt;0),"SIM",IF(COUNTIF(Pessoas!$C:$C,F805)&gt;0,"nome igual em Pessoas: confira o CPF","")))</f>
        <v/>
      </c>
      <c r="M805" s="24"/>
      <c r="N805" s="11"/>
    </row>
    <row r="806" customFormat="false" ht="15" hidden="false" customHeight="false" outlineLevel="0" collapsed="false">
      <c r="A806" s="24"/>
      <c r="B806" s="31" t="str">
        <f aca="false">IF(A806="","",IF(LEN(UPPER(SUBSTITUTE(SUBSTITUTE(SUBSTITUTE(SUBSTITUTE(TRIM(A806),".",""),"/",""),"-","")," ","")))&lt;14,RIGHT(REPT("0",14)&amp;UPPER(SUBSTITUTE(SUBSTITUTE(SUBSTITUTE(SUBSTITUTE(TRIM(A806),".",""),"/",""),"-","")," ","")),14),UPPER(SUBSTITUTE(SUBSTITUTE(SUBSTITUTE(SUBSTITUTE(TRIM(A806),".",""),"/",""),"-","")," ",""))))</f>
        <v/>
      </c>
      <c r="C806" s="25" t="str">
        <f aca="false">IF(B806="","",IFERROR(INDEX(Empresas!$C:$C,MATCH(B806,Empresas!$B:$B,0)),"cadastre o CNPJ em Empresas"))</f>
        <v/>
      </c>
      <c r="D806" s="23"/>
      <c r="E806" s="24"/>
      <c r="F806" s="31" t="str">
        <f aca="false">IF(D806="","",SUBSTITUTE(SUBSTITUTE(SUBSTITUTE(SUBSTITUTE(SUBSTITUTE(SUBSTITUTE(SUBSTITUTE(SUBSTITUTE(SUBSTITUTE(SUBSTITUTE(SUBSTITUTE(SUBSTITUTE(SUBSTITUTE(UPPER(TRIM(D806)),"Á","A"),"À","A"),"Â","A"),"Ã","A"),"É","E"),"Ê","E"),"Í","I"),"Ó","O"),"Ô","O"),"Õ","O"),"Ú","U"),"Ü","U"),"Ç","C"))</f>
        <v/>
      </c>
      <c r="G806" s="31" t="str">
        <f aca="false">IF(E806="","",IF(LEN(SUBSTITUTE(SUBSTITUTE(SUBSTITUTE(SUBSTITUTE(TRIM(E806),"*",""),".",""),"-","")," ",""))=11,MID(SUBSTITUTE(SUBSTITUTE(SUBSTITUTE(SUBSTITUTE(TRIM(E806),"*",""),".",""),"-","")," ",""),4,6),SUBSTITUTE(SUBSTITUTE(SUBSTITUTE(SUBSTITUTE(TRIM(E806),"*",""),".",""),"-","")," ","")))</f>
        <v/>
      </c>
      <c r="H806" s="31" t="str">
        <f aca="false">IF(OR(F806="",G806=""),"",F806&amp;"|"&amp;G806)</f>
        <v/>
      </c>
      <c r="I806" s="23"/>
      <c r="J806" s="22"/>
      <c r="K806" s="22"/>
      <c r="L806" s="25" t="str">
        <f aca="false">IF(F806="","",IF(AND(H806&lt;&gt;"",COUNTIF(Pessoas!$E:$E,H806)&gt;0),"SIM",IF(COUNTIF(Pessoas!$C:$C,F806)&gt;0,"nome igual em Pessoas: confira o CPF","")))</f>
        <v/>
      </c>
      <c r="M806" s="24"/>
      <c r="N806" s="11"/>
    </row>
    <row r="807" customFormat="false" ht="15" hidden="false" customHeight="false" outlineLevel="0" collapsed="false">
      <c r="A807" s="24"/>
      <c r="B807" s="31" t="str">
        <f aca="false">IF(A807="","",IF(LEN(UPPER(SUBSTITUTE(SUBSTITUTE(SUBSTITUTE(SUBSTITUTE(TRIM(A807),".",""),"/",""),"-","")," ","")))&lt;14,RIGHT(REPT("0",14)&amp;UPPER(SUBSTITUTE(SUBSTITUTE(SUBSTITUTE(SUBSTITUTE(TRIM(A807),".",""),"/",""),"-","")," ","")),14),UPPER(SUBSTITUTE(SUBSTITUTE(SUBSTITUTE(SUBSTITUTE(TRIM(A807),".",""),"/",""),"-","")," ",""))))</f>
        <v/>
      </c>
      <c r="C807" s="25" t="str">
        <f aca="false">IF(B807="","",IFERROR(INDEX(Empresas!$C:$C,MATCH(B807,Empresas!$B:$B,0)),"cadastre o CNPJ em Empresas"))</f>
        <v/>
      </c>
      <c r="D807" s="23"/>
      <c r="E807" s="24"/>
      <c r="F807" s="31" t="str">
        <f aca="false">IF(D807="","",SUBSTITUTE(SUBSTITUTE(SUBSTITUTE(SUBSTITUTE(SUBSTITUTE(SUBSTITUTE(SUBSTITUTE(SUBSTITUTE(SUBSTITUTE(SUBSTITUTE(SUBSTITUTE(SUBSTITUTE(SUBSTITUTE(UPPER(TRIM(D807)),"Á","A"),"À","A"),"Â","A"),"Ã","A"),"É","E"),"Ê","E"),"Í","I"),"Ó","O"),"Ô","O"),"Õ","O"),"Ú","U"),"Ü","U"),"Ç","C"))</f>
        <v/>
      </c>
      <c r="G807" s="31" t="str">
        <f aca="false">IF(E807="","",IF(LEN(SUBSTITUTE(SUBSTITUTE(SUBSTITUTE(SUBSTITUTE(TRIM(E807),"*",""),".",""),"-","")," ",""))=11,MID(SUBSTITUTE(SUBSTITUTE(SUBSTITUTE(SUBSTITUTE(TRIM(E807),"*",""),".",""),"-","")," ",""),4,6),SUBSTITUTE(SUBSTITUTE(SUBSTITUTE(SUBSTITUTE(TRIM(E807),"*",""),".",""),"-","")," ","")))</f>
        <v/>
      </c>
      <c r="H807" s="31" t="str">
        <f aca="false">IF(OR(F807="",G807=""),"",F807&amp;"|"&amp;G807)</f>
        <v/>
      </c>
      <c r="I807" s="23"/>
      <c r="J807" s="22"/>
      <c r="K807" s="22"/>
      <c r="L807" s="25" t="str">
        <f aca="false">IF(F807="","",IF(AND(H807&lt;&gt;"",COUNTIF(Pessoas!$E:$E,H807)&gt;0),"SIM",IF(COUNTIF(Pessoas!$C:$C,F807)&gt;0,"nome igual em Pessoas: confira o CPF","")))</f>
        <v/>
      </c>
      <c r="M807" s="24"/>
      <c r="N807" s="11"/>
    </row>
    <row r="808" customFormat="false" ht="15" hidden="false" customHeight="false" outlineLevel="0" collapsed="false">
      <c r="A808" s="24"/>
      <c r="B808" s="31" t="str">
        <f aca="false">IF(A808="","",IF(LEN(UPPER(SUBSTITUTE(SUBSTITUTE(SUBSTITUTE(SUBSTITUTE(TRIM(A808),".",""),"/",""),"-","")," ","")))&lt;14,RIGHT(REPT("0",14)&amp;UPPER(SUBSTITUTE(SUBSTITUTE(SUBSTITUTE(SUBSTITUTE(TRIM(A808),".",""),"/",""),"-","")," ","")),14),UPPER(SUBSTITUTE(SUBSTITUTE(SUBSTITUTE(SUBSTITUTE(TRIM(A808),".",""),"/",""),"-","")," ",""))))</f>
        <v/>
      </c>
      <c r="C808" s="25" t="str">
        <f aca="false">IF(B808="","",IFERROR(INDEX(Empresas!$C:$C,MATCH(B808,Empresas!$B:$B,0)),"cadastre o CNPJ em Empresas"))</f>
        <v/>
      </c>
      <c r="D808" s="23"/>
      <c r="E808" s="24"/>
      <c r="F808" s="31" t="str">
        <f aca="false">IF(D808="","",SUBSTITUTE(SUBSTITUTE(SUBSTITUTE(SUBSTITUTE(SUBSTITUTE(SUBSTITUTE(SUBSTITUTE(SUBSTITUTE(SUBSTITUTE(SUBSTITUTE(SUBSTITUTE(SUBSTITUTE(SUBSTITUTE(UPPER(TRIM(D808)),"Á","A"),"À","A"),"Â","A"),"Ã","A"),"É","E"),"Ê","E"),"Í","I"),"Ó","O"),"Ô","O"),"Õ","O"),"Ú","U"),"Ü","U"),"Ç","C"))</f>
        <v/>
      </c>
      <c r="G808" s="31" t="str">
        <f aca="false">IF(E808="","",IF(LEN(SUBSTITUTE(SUBSTITUTE(SUBSTITUTE(SUBSTITUTE(TRIM(E808),"*",""),".",""),"-","")," ",""))=11,MID(SUBSTITUTE(SUBSTITUTE(SUBSTITUTE(SUBSTITUTE(TRIM(E808),"*",""),".",""),"-","")," ",""),4,6),SUBSTITUTE(SUBSTITUTE(SUBSTITUTE(SUBSTITUTE(TRIM(E808),"*",""),".",""),"-","")," ","")))</f>
        <v/>
      </c>
      <c r="H808" s="31" t="str">
        <f aca="false">IF(OR(F808="",G808=""),"",F808&amp;"|"&amp;G808)</f>
        <v/>
      </c>
      <c r="I808" s="23"/>
      <c r="J808" s="22"/>
      <c r="K808" s="22"/>
      <c r="L808" s="25" t="str">
        <f aca="false">IF(F808="","",IF(AND(H808&lt;&gt;"",COUNTIF(Pessoas!$E:$E,H808)&gt;0),"SIM",IF(COUNTIF(Pessoas!$C:$C,F808)&gt;0,"nome igual em Pessoas: confira o CPF","")))</f>
        <v/>
      </c>
      <c r="M808" s="24"/>
      <c r="N808" s="11"/>
    </row>
    <row r="809" customFormat="false" ht="15" hidden="false" customHeight="false" outlineLevel="0" collapsed="false">
      <c r="A809" s="24"/>
      <c r="B809" s="31" t="str">
        <f aca="false">IF(A809="","",IF(LEN(UPPER(SUBSTITUTE(SUBSTITUTE(SUBSTITUTE(SUBSTITUTE(TRIM(A809),".",""),"/",""),"-","")," ","")))&lt;14,RIGHT(REPT("0",14)&amp;UPPER(SUBSTITUTE(SUBSTITUTE(SUBSTITUTE(SUBSTITUTE(TRIM(A809),".",""),"/",""),"-","")," ","")),14),UPPER(SUBSTITUTE(SUBSTITUTE(SUBSTITUTE(SUBSTITUTE(TRIM(A809),".",""),"/",""),"-","")," ",""))))</f>
        <v/>
      </c>
      <c r="C809" s="25" t="str">
        <f aca="false">IF(B809="","",IFERROR(INDEX(Empresas!$C:$C,MATCH(B809,Empresas!$B:$B,0)),"cadastre o CNPJ em Empresas"))</f>
        <v/>
      </c>
      <c r="D809" s="23"/>
      <c r="E809" s="24"/>
      <c r="F809" s="31" t="str">
        <f aca="false">IF(D809="","",SUBSTITUTE(SUBSTITUTE(SUBSTITUTE(SUBSTITUTE(SUBSTITUTE(SUBSTITUTE(SUBSTITUTE(SUBSTITUTE(SUBSTITUTE(SUBSTITUTE(SUBSTITUTE(SUBSTITUTE(SUBSTITUTE(UPPER(TRIM(D809)),"Á","A"),"À","A"),"Â","A"),"Ã","A"),"É","E"),"Ê","E"),"Í","I"),"Ó","O"),"Ô","O"),"Õ","O"),"Ú","U"),"Ü","U"),"Ç","C"))</f>
        <v/>
      </c>
      <c r="G809" s="31" t="str">
        <f aca="false">IF(E809="","",IF(LEN(SUBSTITUTE(SUBSTITUTE(SUBSTITUTE(SUBSTITUTE(TRIM(E809),"*",""),".",""),"-","")," ",""))=11,MID(SUBSTITUTE(SUBSTITUTE(SUBSTITUTE(SUBSTITUTE(TRIM(E809),"*",""),".",""),"-","")," ",""),4,6),SUBSTITUTE(SUBSTITUTE(SUBSTITUTE(SUBSTITUTE(TRIM(E809),"*",""),".",""),"-","")," ","")))</f>
        <v/>
      </c>
      <c r="H809" s="31" t="str">
        <f aca="false">IF(OR(F809="",G809=""),"",F809&amp;"|"&amp;G809)</f>
        <v/>
      </c>
      <c r="I809" s="23"/>
      <c r="J809" s="22"/>
      <c r="K809" s="22"/>
      <c r="L809" s="25" t="str">
        <f aca="false">IF(F809="","",IF(AND(H809&lt;&gt;"",COUNTIF(Pessoas!$E:$E,H809)&gt;0),"SIM",IF(COUNTIF(Pessoas!$C:$C,F809)&gt;0,"nome igual em Pessoas: confira o CPF","")))</f>
        <v/>
      </c>
      <c r="M809" s="24"/>
      <c r="N809" s="11"/>
    </row>
    <row r="810" customFormat="false" ht="15" hidden="false" customHeight="false" outlineLevel="0" collapsed="false">
      <c r="A810" s="24"/>
      <c r="B810" s="31" t="str">
        <f aca="false">IF(A810="","",IF(LEN(UPPER(SUBSTITUTE(SUBSTITUTE(SUBSTITUTE(SUBSTITUTE(TRIM(A810),".",""),"/",""),"-","")," ","")))&lt;14,RIGHT(REPT("0",14)&amp;UPPER(SUBSTITUTE(SUBSTITUTE(SUBSTITUTE(SUBSTITUTE(TRIM(A810),".",""),"/",""),"-","")," ","")),14),UPPER(SUBSTITUTE(SUBSTITUTE(SUBSTITUTE(SUBSTITUTE(TRIM(A810),".",""),"/",""),"-","")," ",""))))</f>
        <v/>
      </c>
      <c r="C810" s="25" t="str">
        <f aca="false">IF(B810="","",IFERROR(INDEX(Empresas!$C:$C,MATCH(B810,Empresas!$B:$B,0)),"cadastre o CNPJ em Empresas"))</f>
        <v/>
      </c>
      <c r="D810" s="23"/>
      <c r="E810" s="24"/>
      <c r="F810" s="31" t="str">
        <f aca="false">IF(D810="","",SUBSTITUTE(SUBSTITUTE(SUBSTITUTE(SUBSTITUTE(SUBSTITUTE(SUBSTITUTE(SUBSTITUTE(SUBSTITUTE(SUBSTITUTE(SUBSTITUTE(SUBSTITUTE(SUBSTITUTE(SUBSTITUTE(UPPER(TRIM(D810)),"Á","A"),"À","A"),"Â","A"),"Ã","A"),"É","E"),"Ê","E"),"Í","I"),"Ó","O"),"Ô","O"),"Õ","O"),"Ú","U"),"Ü","U"),"Ç","C"))</f>
        <v/>
      </c>
      <c r="G810" s="31" t="str">
        <f aca="false">IF(E810="","",IF(LEN(SUBSTITUTE(SUBSTITUTE(SUBSTITUTE(SUBSTITUTE(TRIM(E810),"*",""),".",""),"-","")," ",""))=11,MID(SUBSTITUTE(SUBSTITUTE(SUBSTITUTE(SUBSTITUTE(TRIM(E810),"*",""),".",""),"-","")," ",""),4,6),SUBSTITUTE(SUBSTITUTE(SUBSTITUTE(SUBSTITUTE(TRIM(E810),"*",""),".",""),"-","")," ","")))</f>
        <v/>
      </c>
      <c r="H810" s="31" t="str">
        <f aca="false">IF(OR(F810="",G810=""),"",F810&amp;"|"&amp;G810)</f>
        <v/>
      </c>
      <c r="I810" s="23"/>
      <c r="J810" s="22"/>
      <c r="K810" s="22"/>
      <c r="L810" s="25" t="str">
        <f aca="false">IF(F810="","",IF(AND(H810&lt;&gt;"",COUNTIF(Pessoas!$E:$E,H810)&gt;0),"SIM",IF(COUNTIF(Pessoas!$C:$C,F810)&gt;0,"nome igual em Pessoas: confira o CPF","")))</f>
        <v/>
      </c>
      <c r="M810" s="24"/>
      <c r="N810" s="11"/>
    </row>
    <row r="811" customFormat="false" ht="15" hidden="false" customHeight="false" outlineLevel="0" collapsed="false">
      <c r="A811" s="24"/>
      <c r="B811" s="31" t="str">
        <f aca="false">IF(A811="","",IF(LEN(UPPER(SUBSTITUTE(SUBSTITUTE(SUBSTITUTE(SUBSTITUTE(TRIM(A811),".",""),"/",""),"-","")," ","")))&lt;14,RIGHT(REPT("0",14)&amp;UPPER(SUBSTITUTE(SUBSTITUTE(SUBSTITUTE(SUBSTITUTE(TRIM(A811),".",""),"/",""),"-","")," ","")),14),UPPER(SUBSTITUTE(SUBSTITUTE(SUBSTITUTE(SUBSTITUTE(TRIM(A811),".",""),"/",""),"-","")," ",""))))</f>
        <v/>
      </c>
      <c r="C811" s="25" t="str">
        <f aca="false">IF(B811="","",IFERROR(INDEX(Empresas!$C:$C,MATCH(B811,Empresas!$B:$B,0)),"cadastre o CNPJ em Empresas"))</f>
        <v/>
      </c>
      <c r="D811" s="23"/>
      <c r="E811" s="24"/>
      <c r="F811" s="31" t="str">
        <f aca="false">IF(D811="","",SUBSTITUTE(SUBSTITUTE(SUBSTITUTE(SUBSTITUTE(SUBSTITUTE(SUBSTITUTE(SUBSTITUTE(SUBSTITUTE(SUBSTITUTE(SUBSTITUTE(SUBSTITUTE(SUBSTITUTE(SUBSTITUTE(UPPER(TRIM(D811)),"Á","A"),"À","A"),"Â","A"),"Ã","A"),"É","E"),"Ê","E"),"Í","I"),"Ó","O"),"Ô","O"),"Õ","O"),"Ú","U"),"Ü","U"),"Ç","C"))</f>
        <v/>
      </c>
      <c r="G811" s="31" t="str">
        <f aca="false">IF(E811="","",IF(LEN(SUBSTITUTE(SUBSTITUTE(SUBSTITUTE(SUBSTITUTE(TRIM(E811),"*",""),".",""),"-","")," ",""))=11,MID(SUBSTITUTE(SUBSTITUTE(SUBSTITUTE(SUBSTITUTE(TRIM(E811),"*",""),".",""),"-","")," ",""),4,6),SUBSTITUTE(SUBSTITUTE(SUBSTITUTE(SUBSTITUTE(TRIM(E811),"*",""),".",""),"-","")," ","")))</f>
        <v/>
      </c>
      <c r="H811" s="31" t="str">
        <f aca="false">IF(OR(F811="",G811=""),"",F811&amp;"|"&amp;G811)</f>
        <v/>
      </c>
      <c r="I811" s="23"/>
      <c r="J811" s="22"/>
      <c r="K811" s="22"/>
      <c r="L811" s="25" t="str">
        <f aca="false">IF(F811="","",IF(AND(H811&lt;&gt;"",COUNTIF(Pessoas!$E:$E,H811)&gt;0),"SIM",IF(COUNTIF(Pessoas!$C:$C,F811)&gt;0,"nome igual em Pessoas: confira o CPF","")))</f>
        <v/>
      </c>
      <c r="M811" s="24"/>
      <c r="N811" s="11"/>
    </row>
    <row r="812" customFormat="false" ht="15" hidden="false" customHeight="false" outlineLevel="0" collapsed="false">
      <c r="A812" s="24"/>
      <c r="B812" s="31" t="str">
        <f aca="false">IF(A812="","",IF(LEN(UPPER(SUBSTITUTE(SUBSTITUTE(SUBSTITUTE(SUBSTITUTE(TRIM(A812),".",""),"/",""),"-","")," ","")))&lt;14,RIGHT(REPT("0",14)&amp;UPPER(SUBSTITUTE(SUBSTITUTE(SUBSTITUTE(SUBSTITUTE(TRIM(A812),".",""),"/",""),"-","")," ","")),14),UPPER(SUBSTITUTE(SUBSTITUTE(SUBSTITUTE(SUBSTITUTE(TRIM(A812),".",""),"/",""),"-","")," ",""))))</f>
        <v/>
      </c>
      <c r="C812" s="25" t="str">
        <f aca="false">IF(B812="","",IFERROR(INDEX(Empresas!$C:$C,MATCH(B812,Empresas!$B:$B,0)),"cadastre o CNPJ em Empresas"))</f>
        <v/>
      </c>
      <c r="D812" s="23"/>
      <c r="E812" s="24"/>
      <c r="F812" s="31" t="str">
        <f aca="false">IF(D812="","",SUBSTITUTE(SUBSTITUTE(SUBSTITUTE(SUBSTITUTE(SUBSTITUTE(SUBSTITUTE(SUBSTITUTE(SUBSTITUTE(SUBSTITUTE(SUBSTITUTE(SUBSTITUTE(SUBSTITUTE(SUBSTITUTE(UPPER(TRIM(D812)),"Á","A"),"À","A"),"Â","A"),"Ã","A"),"É","E"),"Ê","E"),"Í","I"),"Ó","O"),"Ô","O"),"Õ","O"),"Ú","U"),"Ü","U"),"Ç","C"))</f>
        <v/>
      </c>
      <c r="G812" s="31" t="str">
        <f aca="false">IF(E812="","",IF(LEN(SUBSTITUTE(SUBSTITUTE(SUBSTITUTE(SUBSTITUTE(TRIM(E812),"*",""),".",""),"-","")," ",""))=11,MID(SUBSTITUTE(SUBSTITUTE(SUBSTITUTE(SUBSTITUTE(TRIM(E812),"*",""),".",""),"-","")," ",""),4,6),SUBSTITUTE(SUBSTITUTE(SUBSTITUTE(SUBSTITUTE(TRIM(E812),"*",""),".",""),"-","")," ","")))</f>
        <v/>
      </c>
      <c r="H812" s="31" t="str">
        <f aca="false">IF(OR(F812="",G812=""),"",F812&amp;"|"&amp;G812)</f>
        <v/>
      </c>
      <c r="I812" s="23"/>
      <c r="J812" s="22"/>
      <c r="K812" s="22"/>
      <c r="L812" s="25" t="str">
        <f aca="false">IF(F812="","",IF(AND(H812&lt;&gt;"",COUNTIF(Pessoas!$E:$E,H812)&gt;0),"SIM",IF(COUNTIF(Pessoas!$C:$C,F812)&gt;0,"nome igual em Pessoas: confira o CPF","")))</f>
        <v/>
      </c>
      <c r="M812" s="24"/>
      <c r="N812" s="11"/>
    </row>
    <row r="813" customFormat="false" ht="15" hidden="false" customHeight="false" outlineLevel="0" collapsed="false">
      <c r="A813" s="24"/>
      <c r="B813" s="31" t="str">
        <f aca="false">IF(A813="","",IF(LEN(UPPER(SUBSTITUTE(SUBSTITUTE(SUBSTITUTE(SUBSTITUTE(TRIM(A813),".",""),"/",""),"-","")," ","")))&lt;14,RIGHT(REPT("0",14)&amp;UPPER(SUBSTITUTE(SUBSTITUTE(SUBSTITUTE(SUBSTITUTE(TRIM(A813),".",""),"/",""),"-","")," ","")),14),UPPER(SUBSTITUTE(SUBSTITUTE(SUBSTITUTE(SUBSTITUTE(TRIM(A813),".",""),"/",""),"-","")," ",""))))</f>
        <v/>
      </c>
      <c r="C813" s="25" t="str">
        <f aca="false">IF(B813="","",IFERROR(INDEX(Empresas!$C:$C,MATCH(B813,Empresas!$B:$B,0)),"cadastre o CNPJ em Empresas"))</f>
        <v/>
      </c>
      <c r="D813" s="23"/>
      <c r="E813" s="24"/>
      <c r="F813" s="31" t="str">
        <f aca="false">IF(D813="","",SUBSTITUTE(SUBSTITUTE(SUBSTITUTE(SUBSTITUTE(SUBSTITUTE(SUBSTITUTE(SUBSTITUTE(SUBSTITUTE(SUBSTITUTE(SUBSTITUTE(SUBSTITUTE(SUBSTITUTE(SUBSTITUTE(UPPER(TRIM(D813)),"Á","A"),"À","A"),"Â","A"),"Ã","A"),"É","E"),"Ê","E"),"Í","I"),"Ó","O"),"Ô","O"),"Õ","O"),"Ú","U"),"Ü","U"),"Ç","C"))</f>
        <v/>
      </c>
      <c r="G813" s="31" t="str">
        <f aca="false">IF(E813="","",IF(LEN(SUBSTITUTE(SUBSTITUTE(SUBSTITUTE(SUBSTITUTE(TRIM(E813),"*",""),".",""),"-","")," ",""))=11,MID(SUBSTITUTE(SUBSTITUTE(SUBSTITUTE(SUBSTITUTE(TRIM(E813),"*",""),".",""),"-","")," ",""),4,6),SUBSTITUTE(SUBSTITUTE(SUBSTITUTE(SUBSTITUTE(TRIM(E813),"*",""),".",""),"-","")," ","")))</f>
        <v/>
      </c>
      <c r="H813" s="31" t="str">
        <f aca="false">IF(OR(F813="",G813=""),"",F813&amp;"|"&amp;G813)</f>
        <v/>
      </c>
      <c r="I813" s="23"/>
      <c r="J813" s="22"/>
      <c r="K813" s="22"/>
      <c r="L813" s="25" t="str">
        <f aca="false">IF(F813="","",IF(AND(H813&lt;&gt;"",COUNTIF(Pessoas!$E:$E,H813)&gt;0),"SIM",IF(COUNTIF(Pessoas!$C:$C,F813)&gt;0,"nome igual em Pessoas: confira o CPF","")))</f>
        <v/>
      </c>
      <c r="M813" s="24"/>
      <c r="N813" s="11"/>
    </row>
    <row r="814" customFormat="false" ht="15" hidden="false" customHeight="false" outlineLevel="0" collapsed="false">
      <c r="A814" s="24"/>
      <c r="B814" s="31" t="str">
        <f aca="false">IF(A814="","",IF(LEN(UPPER(SUBSTITUTE(SUBSTITUTE(SUBSTITUTE(SUBSTITUTE(TRIM(A814),".",""),"/",""),"-","")," ","")))&lt;14,RIGHT(REPT("0",14)&amp;UPPER(SUBSTITUTE(SUBSTITUTE(SUBSTITUTE(SUBSTITUTE(TRIM(A814),".",""),"/",""),"-","")," ","")),14),UPPER(SUBSTITUTE(SUBSTITUTE(SUBSTITUTE(SUBSTITUTE(TRIM(A814),".",""),"/",""),"-","")," ",""))))</f>
        <v/>
      </c>
      <c r="C814" s="25" t="str">
        <f aca="false">IF(B814="","",IFERROR(INDEX(Empresas!$C:$C,MATCH(B814,Empresas!$B:$B,0)),"cadastre o CNPJ em Empresas"))</f>
        <v/>
      </c>
      <c r="D814" s="23"/>
      <c r="E814" s="24"/>
      <c r="F814" s="31" t="str">
        <f aca="false">IF(D814="","",SUBSTITUTE(SUBSTITUTE(SUBSTITUTE(SUBSTITUTE(SUBSTITUTE(SUBSTITUTE(SUBSTITUTE(SUBSTITUTE(SUBSTITUTE(SUBSTITUTE(SUBSTITUTE(SUBSTITUTE(SUBSTITUTE(UPPER(TRIM(D814)),"Á","A"),"À","A"),"Â","A"),"Ã","A"),"É","E"),"Ê","E"),"Í","I"),"Ó","O"),"Ô","O"),"Õ","O"),"Ú","U"),"Ü","U"),"Ç","C"))</f>
        <v/>
      </c>
      <c r="G814" s="31" t="str">
        <f aca="false">IF(E814="","",IF(LEN(SUBSTITUTE(SUBSTITUTE(SUBSTITUTE(SUBSTITUTE(TRIM(E814),"*",""),".",""),"-","")," ",""))=11,MID(SUBSTITUTE(SUBSTITUTE(SUBSTITUTE(SUBSTITUTE(TRIM(E814),"*",""),".",""),"-","")," ",""),4,6),SUBSTITUTE(SUBSTITUTE(SUBSTITUTE(SUBSTITUTE(TRIM(E814),"*",""),".",""),"-","")," ","")))</f>
        <v/>
      </c>
      <c r="H814" s="31" t="str">
        <f aca="false">IF(OR(F814="",G814=""),"",F814&amp;"|"&amp;G814)</f>
        <v/>
      </c>
      <c r="I814" s="23"/>
      <c r="J814" s="22"/>
      <c r="K814" s="22"/>
      <c r="L814" s="25" t="str">
        <f aca="false">IF(F814="","",IF(AND(H814&lt;&gt;"",COUNTIF(Pessoas!$E:$E,H814)&gt;0),"SIM",IF(COUNTIF(Pessoas!$C:$C,F814)&gt;0,"nome igual em Pessoas: confira o CPF","")))</f>
        <v/>
      </c>
      <c r="M814" s="24"/>
      <c r="N814" s="11"/>
    </row>
    <row r="815" customFormat="false" ht="15" hidden="false" customHeight="false" outlineLevel="0" collapsed="false">
      <c r="A815" s="24"/>
      <c r="B815" s="31" t="str">
        <f aca="false">IF(A815="","",IF(LEN(UPPER(SUBSTITUTE(SUBSTITUTE(SUBSTITUTE(SUBSTITUTE(TRIM(A815),".",""),"/",""),"-","")," ","")))&lt;14,RIGHT(REPT("0",14)&amp;UPPER(SUBSTITUTE(SUBSTITUTE(SUBSTITUTE(SUBSTITUTE(TRIM(A815),".",""),"/",""),"-","")," ","")),14),UPPER(SUBSTITUTE(SUBSTITUTE(SUBSTITUTE(SUBSTITUTE(TRIM(A815),".",""),"/",""),"-","")," ",""))))</f>
        <v/>
      </c>
      <c r="C815" s="25" t="str">
        <f aca="false">IF(B815="","",IFERROR(INDEX(Empresas!$C:$C,MATCH(B815,Empresas!$B:$B,0)),"cadastre o CNPJ em Empresas"))</f>
        <v/>
      </c>
      <c r="D815" s="23"/>
      <c r="E815" s="24"/>
      <c r="F815" s="31" t="str">
        <f aca="false">IF(D815="","",SUBSTITUTE(SUBSTITUTE(SUBSTITUTE(SUBSTITUTE(SUBSTITUTE(SUBSTITUTE(SUBSTITUTE(SUBSTITUTE(SUBSTITUTE(SUBSTITUTE(SUBSTITUTE(SUBSTITUTE(SUBSTITUTE(UPPER(TRIM(D815)),"Á","A"),"À","A"),"Â","A"),"Ã","A"),"É","E"),"Ê","E"),"Í","I"),"Ó","O"),"Ô","O"),"Õ","O"),"Ú","U"),"Ü","U"),"Ç","C"))</f>
        <v/>
      </c>
      <c r="G815" s="31" t="str">
        <f aca="false">IF(E815="","",IF(LEN(SUBSTITUTE(SUBSTITUTE(SUBSTITUTE(SUBSTITUTE(TRIM(E815),"*",""),".",""),"-","")," ",""))=11,MID(SUBSTITUTE(SUBSTITUTE(SUBSTITUTE(SUBSTITUTE(TRIM(E815),"*",""),".",""),"-","")," ",""),4,6),SUBSTITUTE(SUBSTITUTE(SUBSTITUTE(SUBSTITUTE(TRIM(E815),"*",""),".",""),"-","")," ","")))</f>
        <v/>
      </c>
      <c r="H815" s="31" t="str">
        <f aca="false">IF(OR(F815="",G815=""),"",F815&amp;"|"&amp;G815)</f>
        <v/>
      </c>
      <c r="I815" s="23"/>
      <c r="J815" s="22"/>
      <c r="K815" s="22"/>
      <c r="L815" s="25" t="str">
        <f aca="false">IF(F815="","",IF(AND(H815&lt;&gt;"",COUNTIF(Pessoas!$E:$E,H815)&gt;0),"SIM",IF(COUNTIF(Pessoas!$C:$C,F815)&gt;0,"nome igual em Pessoas: confira o CPF","")))</f>
        <v/>
      </c>
      <c r="M815" s="24"/>
      <c r="N815" s="11"/>
    </row>
    <row r="816" customFormat="false" ht="15" hidden="false" customHeight="false" outlineLevel="0" collapsed="false">
      <c r="A816" s="24"/>
      <c r="B816" s="31" t="str">
        <f aca="false">IF(A816="","",IF(LEN(UPPER(SUBSTITUTE(SUBSTITUTE(SUBSTITUTE(SUBSTITUTE(TRIM(A816),".",""),"/",""),"-","")," ","")))&lt;14,RIGHT(REPT("0",14)&amp;UPPER(SUBSTITUTE(SUBSTITUTE(SUBSTITUTE(SUBSTITUTE(TRIM(A816),".",""),"/",""),"-","")," ","")),14),UPPER(SUBSTITUTE(SUBSTITUTE(SUBSTITUTE(SUBSTITUTE(TRIM(A816),".",""),"/",""),"-","")," ",""))))</f>
        <v/>
      </c>
      <c r="C816" s="25" t="str">
        <f aca="false">IF(B816="","",IFERROR(INDEX(Empresas!$C:$C,MATCH(B816,Empresas!$B:$B,0)),"cadastre o CNPJ em Empresas"))</f>
        <v/>
      </c>
      <c r="D816" s="23"/>
      <c r="E816" s="24"/>
      <c r="F816" s="31" t="str">
        <f aca="false">IF(D816="","",SUBSTITUTE(SUBSTITUTE(SUBSTITUTE(SUBSTITUTE(SUBSTITUTE(SUBSTITUTE(SUBSTITUTE(SUBSTITUTE(SUBSTITUTE(SUBSTITUTE(SUBSTITUTE(SUBSTITUTE(SUBSTITUTE(UPPER(TRIM(D816)),"Á","A"),"À","A"),"Â","A"),"Ã","A"),"É","E"),"Ê","E"),"Í","I"),"Ó","O"),"Ô","O"),"Õ","O"),"Ú","U"),"Ü","U"),"Ç","C"))</f>
        <v/>
      </c>
      <c r="G816" s="31" t="str">
        <f aca="false">IF(E816="","",IF(LEN(SUBSTITUTE(SUBSTITUTE(SUBSTITUTE(SUBSTITUTE(TRIM(E816),"*",""),".",""),"-","")," ",""))=11,MID(SUBSTITUTE(SUBSTITUTE(SUBSTITUTE(SUBSTITUTE(TRIM(E816),"*",""),".",""),"-","")," ",""),4,6),SUBSTITUTE(SUBSTITUTE(SUBSTITUTE(SUBSTITUTE(TRIM(E816),"*",""),".",""),"-","")," ","")))</f>
        <v/>
      </c>
      <c r="H816" s="31" t="str">
        <f aca="false">IF(OR(F816="",G816=""),"",F816&amp;"|"&amp;G816)</f>
        <v/>
      </c>
      <c r="I816" s="23"/>
      <c r="J816" s="22"/>
      <c r="K816" s="22"/>
      <c r="L816" s="25" t="str">
        <f aca="false">IF(F816="","",IF(AND(H816&lt;&gt;"",COUNTIF(Pessoas!$E:$E,H816)&gt;0),"SIM",IF(COUNTIF(Pessoas!$C:$C,F816)&gt;0,"nome igual em Pessoas: confira o CPF","")))</f>
        <v/>
      </c>
      <c r="M816" s="24"/>
      <c r="N816" s="11"/>
    </row>
    <row r="817" customFormat="false" ht="15" hidden="false" customHeight="false" outlineLevel="0" collapsed="false">
      <c r="A817" s="24"/>
      <c r="B817" s="31" t="str">
        <f aca="false">IF(A817="","",IF(LEN(UPPER(SUBSTITUTE(SUBSTITUTE(SUBSTITUTE(SUBSTITUTE(TRIM(A817),".",""),"/",""),"-","")," ","")))&lt;14,RIGHT(REPT("0",14)&amp;UPPER(SUBSTITUTE(SUBSTITUTE(SUBSTITUTE(SUBSTITUTE(TRIM(A817),".",""),"/",""),"-","")," ","")),14),UPPER(SUBSTITUTE(SUBSTITUTE(SUBSTITUTE(SUBSTITUTE(TRIM(A817),".",""),"/",""),"-","")," ",""))))</f>
        <v/>
      </c>
      <c r="C817" s="25" t="str">
        <f aca="false">IF(B817="","",IFERROR(INDEX(Empresas!$C:$C,MATCH(B817,Empresas!$B:$B,0)),"cadastre o CNPJ em Empresas"))</f>
        <v/>
      </c>
      <c r="D817" s="23"/>
      <c r="E817" s="24"/>
      <c r="F817" s="31" t="str">
        <f aca="false">IF(D817="","",SUBSTITUTE(SUBSTITUTE(SUBSTITUTE(SUBSTITUTE(SUBSTITUTE(SUBSTITUTE(SUBSTITUTE(SUBSTITUTE(SUBSTITUTE(SUBSTITUTE(SUBSTITUTE(SUBSTITUTE(SUBSTITUTE(UPPER(TRIM(D817)),"Á","A"),"À","A"),"Â","A"),"Ã","A"),"É","E"),"Ê","E"),"Í","I"),"Ó","O"),"Ô","O"),"Õ","O"),"Ú","U"),"Ü","U"),"Ç","C"))</f>
        <v/>
      </c>
      <c r="G817" s="31" t="str">
        <f aca="false">IF(E817="","",IF(LEN(SUBSTITUTE(SUBSTITUTE(SUBSTITUTE(SUBSTITUTE(TRIM(E817),"*",""),".",""),"-","")," ",""))=11,MID(SUBSTITUTE(SUBSTITUTE(SUBSTITUTE(SUBSTITUTE(TRIM(E817),"*",""),".",""),"-","")," ",""),4,6),SUBSTITUTE(SUBSTITUTE(SUBSTITUTE(SUBSTITUTE(TRIM(E817),"*",""),".",""),"-","")," ","")))</f>
        <v/>
      </c>
      <c r="H817" s="31" t="str">
        <f aca="false">IF(OR(F817="",G817=""),"",F817&amp;"|"&amp;G817)</f>
        <v/>
      </c>
      <c r="I817" s="23"/>
      <c r="J817" s="22"/>
      <c r="K817" s="22"/>
      <c r="L817" s="25" t="str">
        <f aca="false">IF(F817="","",IF(AND(H817&lt;&gt;"",COUNTIF(Pessoas!$E:$E,H817)&gt;0),"SIM",IF(COUNTIF(Pessoas!$C:$C,F817)&gt;0,"nome igual em Pessoas: confira o CPF","")))</f>
        <v/>
      </c>
      <c r="M817" s="24"/>
      <c r="N817" s="11"/>
    </row>
    <row r="818" customFormat="false" ht="15" hidden="false" customHeight="false" outlineLevel="0" collapsed="false">
      <c r="A818" s="24"/>
      <c r="B818" s="31" t="str">
        <f aca="false">IF(A818="","",IF(LEN(UPPER(SUBSTITUTE(SUBSTITUTE(SUBSTITUTE(SUBSTITUTE(TRIM(A818),".",""),"/",""),"-","")," ","")))&lt;14,RIGHT(REPT("0",14)&amp;UPPER(SUBSTITUTE(SUBSTITUTE(SUBSTITUTE(SUBSTITUTE(TRIM(A818),".",""),"/",""),"-","")," ","")),14),UPPER(SUBSTITUTE(SUBSTITUTE(SUBSTITUTE(SUBSTITUTE(TRIM(A818),".",""),"/",""),"-","")," ",""))))</f>
        <v/>
      </c>
      <c r="C818" s="25" t="str">
        <f aca="false">IF(B818="","",IFERROR(INDEX(Empresas!$C:$C,MATCH(B818,Empresas!$B:$B,0)),"cadastre o CNPJ em Empresas"))</f>
        <v/>
      </c>
      <c r="D818" s="23"/>
      <c r="E818" s="24"/>
      <c r="F818" s="31" t="str">
        <f aca="false">IF(D818="","",SUBSTITUTE(SUBSTITUTE(SUBSTITUTE(SUBSTITUTE(SUBSTITUTE(SUBSTITUTE(SUBSTITUTE(SUBSTITUTE(SUBSTITUTE(SUBSTITUTE(SUBSTITUTE(SUBSTITUTE(SUBSTITUTE(UPPER(TRIM(D818)),"Á","A"),"À","A"),"Â","A"),"Ã","A"),"É","E"),"Ê","E"),"Í","I"),"Ó","O"),"Ô","O"),"Õ","O"),"Ú","U"),"Ü","U"),"Ç","C"))</f>
        <v/>
      </c>
      <c r="G818" s="31" t="str">
        <f aca="false">IF(E818="","",IF(LEN(SUBSTITUTE(SUBSTITUTE(SUBSTITUTE(SUBSTITUTE(TRIM(E818),"*",""),".",""),"-","")," ",""))=11,MID(SUBSTITUTE(SUBSTITUTE(SUBSTITUTE(SUBSTITUTE(TRIM(E818),"*",""),".",""),"-","")," ",""),4,6),SUBSTITUTE(SUBSTITUTE(SUBSTITUTE(SUBSTITUTE(TRIM(E818),"*",""),".",""),"-","")," ","")))</f>
        <v/>
      </c>
      <c r="H818" s="31" t="str">
        <f aca="false">IF(OR(F818="",G818=""),"",F818&amp;"|"&amp;G818)</f>
        <v/>
      </c>
      <c r="I818" s="23"/>
      <c r="J818" s="22"/>
      <c r="K818" s="22"/>
      <c r="L818" s="25" t="str">
        <f aca="false">IF(F818="","",IF(AND(H818&lt;&gt;"",COUNTIF(Pessoas!$E:$E,H818)&gt;0),"SIM",IF(COUNTIF(Pessoas!$C:$C,F818)&gt;0,"nome igual em Pessoas: confira o CPF","")))</f>
        <v/>
      </c>
      <c r="M818" s="24"/>
      <c r="N818" s="11"/>
    </row>
    <row r="819" customFormat="false" ht="15" hidden="false" customHeight="false" outlineLevel="0" collapsed="false">
      <c r="A819" s="24"/>
      <c r="B819" s="31" t="str">
        <f aca="false">IF(A819="","",IF(LEN(UPPER(SUBSTITUTE(SUBSTITUTE(SUBSTITUTE(SUBSTITUTE(TRIM(A819),".",""),"/",""),"-","")," ","")))&lt;14,RIGHT(REPT("0",14)&amp;UPPER(SUBSTITUTE(SUBSTITUTE(SUBSTITUTE(SUBSTITUTE(TRIM(A819),".",""),"/",""),"-","")," ","")),14),UPPER(SUBSTITUTE(SUBSTITUTE(SUBSTITUTE(SUBSTITUTE(TRIM(A819),".",""),"/",""),"-","")," ",""))))</f>
        <v/>
      </c>
      <c r="C819" s="25" t="str">
        <f aca="false">IF(B819="","",IFERROR(INDEX(Empresas!$C:$C,MATCH(B819,Empresas!$B:$B,0)),"cadastre o CNPJ em Empresas"))</f>
        <v/>
      </c>
      <c r="D819" s="23"/>
      <c r="E819" s="24"/>
      <c r="F819" s="31" t="str">
        <f aca="false">IF(D819="","",SUBSTITUTE(SUBSTITUTE(SUBSTITUTE(SUBSTITUTE(SUBSTITUTE(SUBSTITUTE(SUBSTITUTE(SUBSTITUTE(SUBSTITUTE(SUBSTITUTE(SUBSTITUTE(SUBSTITUTE(SUBSTITUTE(UPPER(TRIM(D819)),"Á","A"),"À","A"),"Â","A"),"Ã","A"),"É","E"),"Ê","E"),"Í","I"),"Ó","O"),"Ô","O"),"Õ","O"),"Ú","U"),"Ü","U"),"Ç","C"))</f>
        <v/>
      </c>
      <c r="G819" s="31" t="str">
        <f aca="false">IF(E819="","",IF(LEN(SUBSTITUTE(SUBSTITUTE(SUBSTITUTE(SUBSTITUTE(TRIM(E819),"*",""),".",""),"-","")," ",""))=11,MID(SUBSTITUTE(SUBSTITUTE(SUBSTITUTE(SUBSTITUTE(TRIM(E819),"*",""),".",""),"-","")," ",""),4,6),SUBSTITUTE(SUBSTITUTE(SUBSTITUTE(SUBSTITUTE(TRIM(E819),"*",""),".",""),"-","")," ","")))</f>
        <v/>
      </c>
      <c r="H819" s="31" t="str">
        <f aca="false">IF(OR(F819="",G819=""),"",F819&amp;"|"&amp;G819)</f>
        <v/>
      </c>
      <c r="I819" s="23"/>
      <c r="J819" s="22"/>
      <c r="K819" s="22"/>
      <c r="L819" s="25" t="str">
        <f aca="false">IF(F819="","",IF(AND(H819&lt;&gt;"",COUNTIF(Pessoas!$E:$E,H819)&gt;0),"SIM",IF(COUNTIF(Pessoas!$C:$C,F819)&gt;0,"nome igual em Pessoas: confira o CPF","")))</f>
        <v/>
      </c>
      <c r="M819" s="24"/>
      <c r="N819" s="11"/>
    </row>
    <row r="820" customFormat="false" ht="15" hidden="false" customHeight="false" outlineLevel="0" collapsed="false">
      <c r="A820" s="24"/>
      <c r="B820" s="31" t="str">
        <f aca="false">IF(A820="","",IF(LEN(UPPER(SUBSTITUTE(SUBSTITUTE(SUBSTITUTE(SUBSTITUTE(TRIM(A820),".",""),"/",""),"-","")," ","")))&lt;14,RIGHT(REPT("0",14)&amp;UPPER(SUBSTITUTE(SUBSTITUTE(SUBSTITUTE(SUBSTITUTE(TRIM(A820),".",""),"/",""),"-","")," ","")),14),UPPER(SUBSTITUTE(SUBSTITUTE(SUBSTITUTE(SUBSTITUTE(TRIM(A820),".",""),"/",""),"-","")," ",""))))</f>
        <v/>
      </c>
      <c r="C820" s="25" t="str">
        <f aca="false">IF(B820="","",IFERROR(INDEX(Empresas!$C:$C,MATCH(B820,Empresas!$B:$B,0)),"cadastre o CNPJ em Empresas"))</f>
        <v/>
      </c>
      <c r="D820" s="23"/>
      <c r="E820" s="24"/>
      <c r="F820" s="31" t="str">
        <f aca="false">IF(D820="","",SUBSTITUTE(SUBSTITUTE(SUBSTITUTE(SUBSTITUTE(SUBSTITUTE(SUBSTITUTE(SUBSTITUTE(SUBSTITUTE(SUBSTITUTE(SUBSTITUTE(SUBSTITUTE(SUBSTITUTE(SUBSTITUTE(UPPER(TRIM(D820)),"Á","A"),"À","A"),"Â","A"),"Ã","A"),"É","E"),"Ê","E"),"Í","I"),"Ó","O"),"Ô","O"),"Õ","O"),"Ú","U"),"Ü","U"),"Ç","C"))</f>
        <v/>
      </c>
      <c r="G820" s="31" t="str">
        <f aca="false">IF(E820="","",IF(LEN(SUBSTITUTE(SUBSTITUTE(SUBSTITUTE(SUBSTITUTE(TRIM(E820),"*",""),".",""),"-","")," ",""))=11,MID(SUBSTITUTE(SUBSTITUTE(SUBSTITUTE(SUBSTITUTE(TRIM(E820),"*",""),".",""),"-","")," ",""),4,6),SUBSTITUTE(SUBSTITUTE(SUBSTITUTE(SUBSTITUTE(TRIM(E820),"*",""),".",""),"-","")," ","")))</f>
        <v/>
      </c>
      <c r="H820" s="31" t="str">
        <f aca="false">IF(OR(F820="",G820=""),"",F820&amp;"|"&amp;G820)</f>
        <v/>
      </c>
      <c r="I820" s="23"/>
      <c r="J820" s="22"/>
      <c r="K820" s="22"/>
      <c r="L820" s="25" t="str">
        <f aca="false">IF(F820="","",IF(AND(H820&lt;&gt;"",COUNTIF(Pessoas!$E:$E,H820)&gt;0),"SIM",IF(COUNTIF(Pessoas!$C:$C,F820)&gt;0,"nome igual em Pessoas: confira o CPF","")))</f>
        <v/>
      </c>
      <c r="M820" s="24"/>
      <c r="N820" s="11"/>
    </row>
    <row r="821" customFormat="false" ht="15" hidden="false" customHeight="false" outlineLevel="0" collapsed="false">
      <c r="A821" s="24"/>
      <c r="B821" s="31" t="str">
        <f aca="false">IF(A821="","",IF(LEN(UPPER(SUBSTITUTE(SUBSTITUTE(SUBSTITUTE(SUBSTITUTE(TRIM(A821),".",""),"/",""),"-","")," ","")))&lt;14,RIGHT(REPT("0",14)&amp;UPPER(SUBSTITUTE(SUBSTITUTE(SUBSTITUTE(SUBSTITUTE(TRIM(A821),".",""),"/",""),"-","")," ","")),14),UPPER(SUBSTITUTE(SUBSTITUTE(SUBSTITUTE(SUBSTITUTE(TRIM(A821),".",""),"/",""),"-","")," ",""))))</f>
        <v/>
      </c>
      <c r="C821" s="25" t="str">
        <f aca="false">IF(B821="","",IFERROR(INDEX(Empresas!$C:$C,MATCH(B821,Empresas!$B:$B,0)),"cadastre o CNPJ em Empresas"))</f>
        <v/>
      </c>
      <c r="D821" s="23"/>
      <c r="E821" s="24"/>
      <c r="F821" s="31" t="str">
        <f aca="false">IF(D821="","",SUBSTITUTE(SUBSTITUTE(SUBSTITUTE(SUBSTITUTE(SUBSTITUTE(SUBSTITUTE(SUBSTITUTE(SUBSTITUTE(SUBSTITUTE(SUBSTITUTE(SUBSTITUTE(SUBSTITUTE(SUBSTITUTE(UPPER(TRIM(D821)),"Á","A"),"À","A"),"Â","A"),"Ã","A"),"É","E"),"Ê","E"),"Í","I"),"Ó","O"),"Ô","O"),"Õ","O"),"Ú","U"),"Ü","U"),"Ç","C"))</f>
        <v/>
      </c>
      <c r="G821" s="31" t="str">
        <f aca="false">IF(E821="","",IF(LEN(SUBSTITUTE(SUBSTITUTE(SUBSTITUTE(SUBSTITUTE(TRIM(E821),"*",""),".",""),"-","")," ",""))=11,MID(SUBSTITUTE(SUBSTITUTE(SUBSTITUTE(SUBSTITUTE(TRIM(E821),"*",""),".",""),"-","")," ",""),4,6),SUBSTITUTE(SUBSTITUTE(SUBSTITUTE(SUBSTITUTE(TRIM(E821),"*",""),".",""),"-","")," ","")))</f>
        <v/>
      </c>
      <c r="H821" s="31" t="str">
        <f aca="false">IF(OR(F821="",G821=""),"",F821&amp;"|"&amp;G821)</f>
        <v/>
      </c>
      <c r="I821" s="23"/>
      <c r="J821" s="22"/>
      <c r="K821" s="22"/>
      <c r="L821" s="25" t="str">
        <f aca="false">IF(F821="","",IF(AND(H821&lt;&gt;"",COUNTIF(Pessoas!$E:$E,H821)&gt;0),"SIM",IF(COUNTIF(Pessoas!$C:$C,F821)&gt;0,"nome igual em Pessoas: confira o CPF","")))</f>
        <v/>
      </c>
      <c r="M821" s="24"/>
      <c r="N821" s="11"/>
    </row>
    <row r="822" customFormat="false" ht="15" hidden="false" customHeight="false" outlineLevel="0" collapsed="false">
      <c r="A822" s="24"/>
      <c r="B822" s="31" t="str">
        <f aca="false">IF(A822="","",IF(LEN(UPPER(SUBSTITUTE(SUBSTITUTE(SUBSTITUTE(SUBSTITUTE(TRIM(A822),".",""),"/",""),"-","")," ","")))&lt;14,RIGHT(REPT("0",14)&amp;UPPER(SUBSTITUTE(SUBSTITUTE(SUBSTITUTE(SUBSTITUTE(TRIM(A822),".",""),"/",""),"-","")," ","")),14),UPPER(SUBSTITUTE(SUBSTITUTE(SUBSTITUTE(SUBSTITUTE(TRIM(A822),".",""),"/",""),"-","")," ",""))))</f>
        <v/>
      </c>
      <c r="C822" s="25" t="str">
        <f aca="false">IF(B822="","",IFERROR(INDEX(Empresas!$C:$C,MATCH(B822,Empresas!$B:$B,0)),"cadastre o CNPJ em Empresas"))</f>
        <v/>
      </c>
      <c r="D822" s="23"/>
      <c r="E822" s="24"/>
      <c r="F822" s="31" t="str">
        <f aca="false">IF(D822="","",SUBSTITUTE(SUBSTITUTE(SUBSTITUTE(SUBSTITUTE(SUBSTITUTE(SUBSTITUTE(SUBSTITUTE(SUBSTITUTE(SUBSTITUTE(SUBSTITUTE(SUBSTITUTE(SUBSTITUTE(SUBSTITUTE(UPPER(TRIM(D822)),"Á","A"),"À","A"),"Â","A"),"Ã","A"),"É","E"),"Ê","E"),"Í","I"),"Ó","O"),"Ô","O"),"Õ","O"),"Ú","U"),"Ü","U"),"Ç","C"))</f>
        <v/>
      </c>
      <c r="G822" s="31" t="str">
        <f aca="false">IF(E822="","",IF(LEN(SUBSTITUTE(SUBSTITUTE(SUBSTITUTE(SUBSTITUTE(TRIM(E822),"*",""),".",""),"-","")," ",""))=11,MID(SUBSTITUTE(SUBSTITUTE(SUBSTITUTE(SUBSTITUTE(TRIM(E822),"*",""),".",""),"-","")," ",""),4,6),SUBSTITUTE(SUBSTITUTE(SUBSTITUTE(SUBSTITUTE(TRIM(E822),"*",""),".",""),"-","")," ","")))</f>
        <v/>
      </c>
      <c r="H822" s="31" t="str">
        <f aca="false">IF(OR(F822="",G822=""),"",F822&amp;"|"&amp;G822)</f>
        <v/>
      </c>
      <c r="I822" s="23"/>
      <c r="J822" s="22"/>
      <c r="K822" s="22"/>
      <c r="L822" s="25" t="str">
        <f aca="false">IF(F822="","",IF(AND(H822&lt;&gt;"",COUNTIF(Pessoas!$E:$E,H822)&gt;0),"SIM",IF(COUNTIF(Pessoas!$C:$C,F822)&gt;0,"nome igual em Pessoas: confira o CPF","")))</f>
        <v/>
      </c>
      <c r="M822" s="24"/>
      <c r="N822" s="11"/>
    </row>
    <row r="823" customFormat="false" ht="15" hidden="false" customHeight="false" outlineLevel="0" collapsed="false">
      <c r="A823" s="24"/>
      <c r="B823" s="31" t="str">
        <f aca="false">IF(A823="","",IF(LEN(UPPER(SUBSTITUTE(SUBSTITUTE(SUBSTITUTE(SUBSTITUTE(TRIM(A823),".",""),"/",""),"-","")," ","")))&lt;14,RIGHT(REPT("0",14)&amp;UPPER(SUBSTITUTE(SUBSTITUTE(SUBSTITUTE(SUBSTITUTE(TRIM(A823),".",""),"/",""),"-","")," ","")),14),UPPER(SUBSTITUTE(SUBSTITUTE(SUBSTITUTE(SUBSTITUTE(TRIM(A823),".",""),"/",""),"-","")," ",""))))</f>
        <v/>
      </c>
      <c r="C823" s="25" t="str">
        <f aca="false">IF(B823="","",IFERROR(INDEX(Empresas!$C:$C,MATCH(B823,Empresas!$B:$B,0)),"cadastre o CNPJ em Empresas"))</f>
        <v/>
      </c>
      <c r="D823" s="23"/>
      <c r="E823" s="24"/>
      <c r="F823" s="31" t="str">
        <f aca="false">IF(D823="","",SUBSTITUTE(SUBSTITUTE(SUBSTITUTE(SUBSTITUTE(SUBSTITUTE(SUBSTITUTE(SUBSTITUTE(SUBSTITUTE(SUBSTITUTE(SUBSTITUTE(SUBSTITUTE(SUBSTITUTE(SUBSTITUTE(UPPER(TRIM(D823)),"Á","A"),"À","A"),"Â","A"),"Ã","A"),"É","E"),"Ê","E"),"Í","I"),"Ó","O"),"Ô","O"),"Õ","O"),"Ú","U"),"Ü","U"),"Ç","C"))</f>
        <v/>
      </c>
      <c r="G823" s="31" t="str">
        <f aca="false">IF(E823="","",IF(LEN(SUBSTITUTE(SUBSTITUTE(SUBSTITUTE(SUBSTITUTE(TRIM(E823),"*",""),".",""),"-","")," ",""))=11,MID(SUBSTITUTE(SUBSTITUTE(SUBSTITUTE(SUBSTITUTE(TRIM(E823),"*",""),".",""),"-","")," ",""),4,6),SUBSTITUTE(SUBSTITUTE(SUBSTITUTE(SUBSTITUTE(TRIM(E823),"*",""),".",""),"-","")," ","")))</f>
        <v/>
      </c>
      <c r="H823" s="31" t="str">
        <f aca="false">IF(OR(F823="",G823=""),"",F823&amp;"|"&amp;G823)</f>
        <v/>
      </c>
      <c r="I823" s="23"/>
      <c r="J823" s="22"/>
      <c r="K823" s="22"/>
      <c r="L823" s="25" t="str">
        <f aca="false">IF(F823="","",IF(AND(H823&lt;&gt;"",COUNTIF(Pessoas!$E:$E,H823)&gt;0),"SIM",IF(COUNTIF(Pessoas!$C:$C,F823)&gt;0,"nome igual em Pessoas: confira o CPF","")))</f>
        <v/>
      </c>
      <c r="M823" s="24"/>
      <c r="N823" s="11"/>
    </row>
    <row r="824" customFormat="false" ht="15" hidden="false" customHeight="false" outlineLevel="0" collapsed="false">
      <c r="A824" s="24"/>
      <c r="B824" s="31" t="str">
        <f aca="false">IF(A824="","",IF(LEN(UPPER(SUBSTITUTE(SUBSTITUTE(SUBSTITUTE(SUBSTITUTE(TRIM(A824),".",""),"/",""),"-","")," ","")))&lt;14,RIGHT(REPT("0",14)&amp;UPPER(SUBSTITUTE(SUBSTITUTE(SUBSTITUTE(SUBSTITUTE(TRIM(A824),".",""),"/",""),"-","")," ","")),14),UPPER(SUBSTITUTE(SUBSTITUTE(SUBSTITUTE(SUBSTITUTE(TRIM(A824),".",""),"/",""),"-","")," ",""))))</f>
        <v/>
      </c>
      <c r="C824" s="25" t="str">
        <f aca="false">IF(B824="","",IFERROR(INDEX(Empresas!$C:$C,MATCH(B824,Empresas!$B:$B,0)),"cadastre o CNPJ em Empresas"))</f>
        <v/>
      </c>
      <c r="D824" s="23"/>
      <c r="E824" s="24"/>
      <c r="F824" s="31" t="str">
        <f aca="false">IF(D824="","",SUBSTITUTE(SUBSTITUTE(SUBSTITUTE(SUBSTITUTE(SUBSTITUTE(SUBSTITUTE(SUBSTITUTE(SUBSTITUTE(SUBSTITUTE(SUBSTITUTE(SUBSTITUTE(SUBSTITUTE(SUBSTITUTE(UPPER(TRIM(D824)),"Á","A"),"À","A"),"Â","A"),"Ã","A"),"É","E"),"Ê","E"),"Í","I"),"Ó","O"),"Ô","O"),"Õ","O"),"Ú","U"),"Ü","U"),"Ç","C"))</f>
        <v/>
      </c>
      <c r="G824" s="31" t="str">
        <f aca="false">IF(E824="","",IF(LEN(SUBSTITUTE(SUBSTITUTE(SUBSTITUTE(SUBSTITUTE(TRIM(E824),"*",""),".",""),"-","")," ",""))=11,MID(SUBSTITUTE(SUBSTITUTE(SUBSTITUTE(SUBSTITUTE(TRIM(E824),"*",""),".",""),"-","")," ",""),4,6),SUBSTITUTE(SUBSTITUTE(SUBSTITUTE(SUBSTITUTE(TRIM(E824),"*",""),".",""),"-","")," ","")))</f>
        <v/>
      </c>
      <c r="H824" s="31" t="str">
        <f aca="false">IF(OR(F824="",G824=""),"",F824&amp;"|"&amp;G824)</f>
        <v/>
      </c>
      <c r="I824" s="23"/>
      <c r="J824" s="22"/>
      <c r="K824" s="22"/>
      <c r="L824" s="25" t="str">
        <f aca="false">IF(F824="","",IF(AND(H824&lt;&gt;"",COUNTIF(Pessoas!$E:$E,H824)&gt;0),"SIM",IF(COUNTIF(Pessoas!$C:$C,F824)&gt;0,"nome igual em Pessoas: confira o CPF","")))</f>
        <v/>
      </c>
      <c r="M824" s="24"/>
      <c r="N824" s="11"/>
    </row>
    <row r="825" customFormat="false" ht="15" hidden="false" customHeight="false" outlineLevel="0" collapsed="false">
      <c r="A825" s="24"/>
      <c r="B825" s="31" t="str">
        <f aca="false">IF(A825="","",IF(LEN(UPPER(SUBSTITUTE(SUBSTITUTE(SUBSTITUTE(SUBSTITUTE(TRIM(A825),".",""),"/",""),"-","")," ","")))&lt;14,RIGHT(REPT("0",14)&amp;UPPER(SUBSTITUTE(SUBSTITUTE(SUBSTITUTE(SUBSTITUTE(TRIM(A825),".",""),"/",""),"-","")," ","")),14),UPPER(SUBSTITUTE(SUBSTITUTE(SUBSTITUTE(SUBSTITUTE(TRIM(A825),".",""),"/",""),"-","")," ",""))))</f>
        <v/>
      </c>
      <c r="C825" s="25" t="str">
        <f aca="false">IF(B825="","",IFERROR(INDEX(Empresas!$C:$C,MATCH(B825,Empresas!$B:$B,0)),"cadastre o CNPJ em Empresas"))</f>
        <v/>
      </c>
      <c r="D825" s="23"/>
      <c r="E825" s="24"/>
      <c r="F825" s="31" t="str">
        <f aca="false">IF(D825="","",SUBSTITUTE(SUBSTITUTE(SUBSTITUTE(SUBSTITUTE(SUBSTITUTE(SUBSTITUTE(SUBSTITUTE(SUBSTITUTE(SUBSTITUTE(SUBSTITUTE(SUBSTITUTE(SUBSTITUTE(SUBSTITUTE(UPPER(TRIM(D825)),"Á","A"),"À","A"),"Â","A"),"Ã","A"),"É","E"),"Ê","E"),"Í","I"),"Ó","O"),"Ô","O"),"Õ","O"),"Ú","U"),"Ü","U"),"Ç","C"))</f>
        <v/>
      </c>
      <c r="G825" s="31" t="str">
        <f aca="false">IF(E825="","",IF(LEN(SUBSTITUTE(SUBSTITUTE(SUBSTITUTE(SUBSTITUTE(TRIM(E825),"*",""),".",""),"-","")," ",""))=11,MID(SUBSTITUTE(SUBSTITUTE(SUBSTITUTE(SUBSTITUTE(TRIM(E825),"*",""),".",""),"-","")," ",""),4,6),SUBSTITUTE(SUBSTITUTE(SUBSTITUTE(SUBSTITUTE(TRIM(E825),"*",""),".",""),"-","")," ","")))</f>
        <v/>
      </c>
      <c r="H825" s="31" t="str">
        <f aca="false">IF(OR(F825="",G825=""),"",F825&amp;"|"&amp;G825)</f>
        <v/>
      </c>
      <c r="I825" s="23"/>
      <c r="J825" s="22"/>
      <c r="K825" s="22"/>
      <c r="L825" s="25" t="str">
        <f aca="false">IF(F825="","",IF(AND(H825&lt;&gt;"",COUNTIF(Pessoas!$E:$E,H825)&gt;0),"SIM",IF(COUNTIF(Pessoas!$C:$C,F825)&gt;0,"nome igual em Pessoas: confira o CPF","")))</f>
        <v/>
      </c>
      <c r="M825" s="24"/>
      <c r="N825" s="11"/>
    </row>
    <row r="826" customFormat="false" ht="15" hidden="false" customHeight="false" outlineLevel="0" collapsed="false">
      <c r="A826" s="24"/>
      <c r="B826" s="31" t="str">
        <f aca="false">IF(A826="","",IF(LEN(UPPER(SUBSTITUTE(SUBSTITUTE(SUBSTITUTE(SUBSTITUTE(TRIM(A826),".",""),"/",""),"-","")," ","")))&lt;14,RIGHT(REPT("0",14)&amp;UPPER(SUBSTITUTE(SUBSTITUTE(SUBSTITUTE(SUBSTITUTE(TRIM(A826),".",""),"/",""),"-","")," ","")),14),UPPER(SUBSTITUTE(SUBSTITUTE(SUBSTITUTE(SUBSTITUTE(TRIM(A826),".",""),"/",""),"-","")," ",""))))</f>
        <v/>
      </c>
      <c r="C826" s="25" t="str">
        <f aca="false">IF(B826="","",IFERROR(INDEX(Empresas!$C:$C,MATCH(B826,Empresas!$B:$B,0)),"cadastre o CNPJ em Empresas"))</f>
        <v/>
      </c>
      <c r="D826" s="23"/>
      <c r="E826" s="24"/>
      <c r="F826" s="31" t="str">
        <f aca="false">IF(D826="","",SUBSTITUTE(SUBSTITUTE(SUBSTITUTE(SUBSTITUTE(SUBSTITUTE(SUBSTITUTE(SUBSTITUTE(SUBSTITUTE(SUBSTITUTE(SUBSTITUTE(SUBSTITUTE(SUBSTITUTE(SUBSTITUTE(UPPER(TRIM(D826)),"Á","A"),"À","A"),"Â","A"),"Ã","A"),"É","E"),"Ê","E"),"Í","I"),"Ó","O"),"Ô","O"),"Õ","O"),"Ú","U"),"Ü","U"),"Ç","C"))</f>
        <v/>
      </c>
      <c r="G826" s="31" t="str">
        <f aca="false">IF(E826="","",IF(LEN(SUBSTITUTE(SUBSTITUTE(SUBSTITUTE(SUBSTITUTE(TRIM(E826),"*",""),".",""),"-","")," ",""))=11,MID(SUBSTITUTE(SUBSTITUTE(SUBSTITUTE(SUBSTITUTE(TRIM(E826),"*",""),".",""),"-","")," ",""),4,6),SUBSTITUTE(SUBSTITUTE(SUBSTITUTE(SUBSTITUTE(TRIM(E826),"*",""),".",""),"-","")," ","")))</f>
        <v/>
      </c>
      <c r="H826" s="31" t="str">
        <f aca="false">IF(OR(F826="",G826=""),"",F826&amp;"|"&amp;G826)</f>
        <v/>
      </c>
      <c r="I826" s="23"/>
      <c r="J826" s="22"/>
      <c r="K826" s="22"/>
      <c r="L826" s="25" t="str">
        <f aca="false">IF(F826="","",IF(AND(H826&lt;&gt;"",COUNTIF(Pessoas!$E:$E,H826)&gt;0),"SIM",IF(COUNTIF(Pessoas!$C:$C,F826)&gt;0,"nome igual em Pessoas: confira o CPF","")))</f>
        <v/>
      </c>
      <c r="M826" s="24"/>
      <c r="N826" s="11"/>
    </row>
    <row r="827" customFormat="false" ht="15" hidden="false" customHeight="false" outlineLevel="0" collapsed="false">
      <c r="A827" s="24"/>
      <c r="B827" s="31" t="str">
        <f aca="false">IF(A827="","",IF(LEN(UPPER(SUBSTITUTE(SUBSTITUTE(SUBSTITUTE(SUBSTITUTE(TRIM(A827),".",""),"/",""),"-","")," ","")))&lt;14,RIGHT(REPT("0",14)&amp;UPPER(SUBSTITUTE(SUBSTITUTE(SUBSTITUTE(SUBSTITUTE(TRIM(A827),".",""),"/",""),"-","")," ","")),14),UPPER(SUBSTITUTE(SUBSTITUTE(SUBSTITUTE(SUBSTITUTE(TRIM(A827),".",""),"/",""),"-","")," ",""))))</f>
        <v/>
      </c>
      <c r="C827" s="25" t="str">
        <f aca="false">IF(B827="","",IFERROR(INDEX(Empresas!$C:$C,MATCH(B827,Empresas!$B:$B,0)),"cadastre o CNPJ em Empresas"))</f>
        <v/>
      </c>
      <c r="D827" s="23"/>
      <c r="E827" s="24"/>
      <c r="F827" s="31" t="str">
        <f aca="false">IF(D827="","",SUBSTITUTE(SUBSTITUTE(SUBSTITUTE(SUBSTITUTE(SUBSTITUTE(SUBSTITUTE(SUBSTITUTE(SUBSTITUTE(SUBSTITUTE(SUBSTITUTE(SUBSTITUTE(SUBSTITUTE(SUBSTITUTE(UPPER(TRIM(D827)),"Á","A"),"À","A"),"Â","A"),"Ã","A"),"É","E"),"Ê","E"),"Í","I"),"Ó","O"),"Ô","O"),"Õ","O"),"Ú","U"),"Ü","U"),"Ç","C"))</f>
        <v/>
      </c>
      <c r="G827" s="31" t="str">
        <f aca="false">IF(E827="","",IF(LEN(SUBSTITUTE(SUBSTITUTE(SUBSTITUTE(SUBSTITUTE(TRIM(E827),"*",""),".",""),"-","")," ",""))=11,MID(SUBSTITUTE(SUBSTITUTE(SUBSTITUTE(SUBSTITUTE(TRIM(E827),"*",""),".",""),"-","")," ",""),4,6),SUBSTITUTE(SUBSTITUTE(SUBSTITUTE(SUBSTITUTE(TRIM(E827),"*",""),".",""),"-","")," ","")))</f>
        <v/>
      </c>
      <c r="H827" s="31" t="str">
        <f aca="false">IF(OR(F827="",G827=""),"",F827&amp;"|"&amp;G827)</f>
        <v/>
      </c>
      <c r="I827" s="23"/>
      <c r="J827" s="22"/>
      <c r="K827" s="22"/>
      <c r="L827" s="25" t="str">
        <f aca="false">IF(F827="","",IF(AND(H827&lt;&gt;"",COUNTIF(Pessoas!$E:$E,H827)&gt;0),"SIM",IF(COUNTIF(Pessoas!$C:$C,F827)&gt;0,"nome igual em Pessoas: confira o CPF","")))</f>
        <v/>
      </c>
      <c r="M827" s="24"/>
      <c r="N827" s="11"/>
    </row>
    <row r="828" customFormat="false" ht="15" hidden="false" customHeight="false" outlineLevel="0" collapsed="false">
      <c r="A828" s="24"/>
      <c r="B828" s="31" t="str">
        <f aca="false">IF(A828="","",IF(LEN(UPPER(SUBSTITUTE(SUBSTITUTE(SUBSTITUTE(SUBSTITUTE(TRIM(A828),".",""),"/",""),"-","")," ","")))&lt;14,RIGHT(REPT("0",14)&amp;UPPER(SUBSTITUTE(SUBSTITUTE(SUBSTITUTE(SUBSTITUTE(TRIM(A828),".",""),"/",""),"-","")," ","")),14),UPPER(SUBSTITUTE(SUBSTITUTE(SUBSTITUTE(SUBSTITUTE(TRIM(A828),".",""),"/",""),"-","")," ",""))))</f>
        <v/>
      </c>
      <c r="C828" s="25" t="str">
        <f aca="false">IF(B828="","",IFERROR(INDEX(Empresas!$C:$C,MATCH(B828,Empresas!$B:$B,0)),"cadastre o CNPJ em Empresas"))</f>
        <v/>
      </c>
      <c r="D828" s="23"/>
      <c r="E828" s="24"/>
      <c r="F828" s="31" t="str">
        <f aca="false">IF(D828="","",SUBSTITUTE(SUBSTITUTE(SUBSTITUTE(SUBSTITUTE(SUBSTITUTE(SUBSTITUTE(SUBSTITUTE(SUBSTITUTE(SUBSTITUTE(SUBSTITUTE(SUBSTITUTE(SUBSTITUTE(SUBSTITUTE(UPPER(TRIM(D828)),"Á","A"),"À","A"),"Â","A"),"Ã","A"),"É","E"),"Ê","E"),"Í","I"),"Ó","O"),"Ô","O"),"Õ","O"),"Ú","U"),"Ü","U"),"Ç","C"))</f>
        <v/>
      </c>
      <c r="G828" s="31" t="str">
        <f aca="false">IF(E828="","",IF(LEN(SUBSTITUTE(SUBSTITUTE(SUBSTITUTE(SUBSTITUTE(TRIM(E828),"*",""),".",""),"-","")," ",""))=11,MID(SUBSTITUTE(SUBSTITUTE(SUBSTITUTE(SUBSTITUTE(TRIM(E828),"*",""),".",""),"-","")," ",""),4,6),SUBSTITUTE(SUBSTITUTE(SUBSTITUTE(SUBSTITUTE(TRIM(E828),"*",""),".",""),"-","")," ","")))</f>
        <v/>
      </c>
      <c r="H828" s="31" t="str">
        <f aca="false">IF(OR(F828="",G828=""),"",F828&amp;"|"&amp;G828)</f>
        <v/>
      </c>
      <c r="I828" s="23"/>
      <c r="J828" s="22"/>
      <c r="K828" s="22"/>
      <c r="L828" s="25" t="str">
        <f aca="false">IF(F828="","",IF(AND(H828&lt;&gt;"",COUNTIF(Pessoas!$E:$E,H828)&gt;0),"SIM",IF(COUNTIF(Pessoas!$C:$C,F828)&gt;0,"nome igual em Pessoas: confira o CPF","")))</f>
        <v/>
      </c>
      <c r="M828" s="24"/>
      <c r="N828" s="11"/>
    </row>
    <row r="829" customFormat="false" ht="15" hidden="false" customHeight="false" outlineLevel="0" collapsed="false">
      <c r="A829" s="24"/>
      <c r="B829" s="31" t="str">
        <f aca="false">IF(A829="","",IF(LEN(UPPER(SUBSTITUTE(SUBSTITUTE(SUBSTITUTE(SUBSTITUTE(TRIM(A829),".",""),"/",""),"-","")," ","")))&lt;14,RIGHT(REPT("0",14)&amp;UPPER(SUBSTITUTE(SUBSTITUTE(SUBSTITUTE(SUBSTITUTE(TRIM(A829),".",""),"/",""),"-","")," ","")),14),UPPER(SUBSTITUTE(SUBSTITUTE(SUBSTITUTE(SUBSTITUTE(TRIM(A829),".",""),"/",""),"-","")," ",""))))</f>
        <v/>
      </c>
      <c r="C829" s="25" t="str">
        <f aca="false">IF(B829="","",IFERROR(INDEX(Empresas!$C:$C,MATCH(B829,Empresas!$B:$B,0)),"cadastre o CNPJ em Empresas"))</f>
        <v/>
      </c>
      <c r="D829" s="23"/>
      <c r="E829" s="24"/>
      <c r="F829" s="31" t="str">
        <f aca="false">IF(D829="","",SUBSTITUTE(SUBSTITUTE(SUBSTITUTE(SUBSTITUTE(SUBSTITUTE(SUBSTITUTE(SUBSTITUTE(SUBSTITUTE(SUBSTITUTE(SUBSTITUTE(SUBSTITUTE(SUBSTITUTE(SUBSTITUTE(UPPER(TRIM(D829)),"Á","A"),"À","A"),"Â","A"),"Ã","A"),"É","E"),"Ê","E"),"Í","I"),"Ó","O"),"Ô","O"),"Õ","O"),"Ú","U"),"Ü","U"),"Ç","C"))</f>
        <v/>
      </c>
      <c r="G829" s="31" t="str">
        <f aca="false">IF(E829="","",IF(LEN(SUBSTITUTE(SUBSTITUTE(SUBSTITUTE(SUBSTITUTE(TRIM(E829),"*",""),".",""),"-","")," ",""))=11,MID(SUBSTITUTE(SUBSTITUTE(SUBSTITUTE(SUBSTITUTE(TRIM(E829),"*",""),".",""),"-","")," ",""),4,6),SUBSTITUTE(SUBSTITUTE(SUBSTITUTE(SUBSTITUTE(TRIM(E829),"*",""),".",""),"-","")," ","")))</f>
        <v/>
      </c>
      <c r="H829" s="31" t="str">
        <f aca="false">IF(OR(F829="",G829=""),"",F829&amp;"|"&amp;G829)</f>
        <v/>
      </c>
      <c r="I829" s="23"/>
      <c r="J829" s="22"/>
      <c r="K829" s="22"/>
      <c r="L829" s="25" t="str">
        <f aca="false">IF(F829="","",IF(AND(H829&lt;&gt;"",COUNTIF(Pessoas!$E:$E,H829)&gt;0),"SIM",IF(COUNTIF(Pessoas!$C:$C,F829)&gt;0,"nome igual em Pessoas: confira o CPF","")))</f>
        <v/>
      </c>
      <c r="M829" s="24"/>
      <c r="N829" s="11"/>
    </row>
    <row r="830" customFormat="false" ht="15" hidden="false" customHeight="false" outlineLevel="0" collapsed="false">
      <c r="A830" s="24"/>
      <c r="B830" s="31" t="str">
        <f aca="false">IF(A830="","",IF(LEN(UPPER(SUBSTITUTE(SUBSTITUTE(SUBSTITUTE(SUBSTITUTE(TRIM(A830),".",""),"/",""),"-","")," ","")))&lt;14,RIGHT(REPT("0",14)&amp;UPPER(SUBSTITUTE(SUBSTITUTE(SUBSTITUTE(SUBSTITUTE(TRIM(A830),".",""),"/",""),"-","")," ","")),14),UPPER(SUBSTITUTE(SUBSTITUTE(SUBSTITUTE(SUBSTITUTE(TRIM(A830),".",""),"/",""),"-","")," ",""))))</f>
        <v/>
      </c>
      <c r="C830" s="25" t="str">
        <f aca="false">IF(B830="","",IFERROR(INDEX(Empresas!$C:$C,MATCH(B830,Empresas!$B:$B,0)),"cadastre o CNPJ em Empresas"))</f>
        <v/>
      </c>
      <c r="D830" s="23"/>
      <c r="E830" s="24"/>
      <c r="F830" s="31" t="str">
        <f aca="false">IF(D830="","",SUBSTITUTE(SUBSTITUTE(SUBSTITUTE(SUBSTITUTE(SUBSTITUTE(SUBSTITUTE(SUBSTITUTE(SUBSTITUTE(SUBSTITUTE(SUBSTITUTE(SUBSTITUTE(SUBSTITUTE(SUBSTITUTE(UPPER(TRIM(D830)),"Á","A"),"À","A"),"Â","A"),"Ã","A"),"É","E"),"Ê","E"),"Í","I"),"Ó","O"),"Ô","O"),"Õ","O"),"Ú","U"),"Ü","U"),"Ç","C"))</f>
        <v/>
      </c>
      <c r="G830" s="31" t="str">
        <f aca="false">IF(E830="","",IF(LEN(SUBSTITUTE(SUBSTITUTE(SUBSTITUTE(SUBSTITUTE(TRIM(E830),"*",""),".",""),"-","")," ",""))=11,MID(SUBSTITUTE(SUBSTITUTE(SUBSTITUTE(SUBSTITUTE(TRIM(E830),"*",""),".",""),"-","")," ",""),4,6),SUBSTITUTE(SUBSTITUTE(SUBSTITUTE(SUBSTITUTE(TRIM(E830),"*",""),".",""),"-","")," ","")))</f>
        <v/>
      </c>
      <c r="H830" s="31" t="str">
        <f aca="false">IF(OR(F830="",G830=""),"",F830&amp;"|"&amp;G830)</f>
        <v/>
      </c>
      <c r="I830" s="23"/>
      <c r="J830" s="22"/>
      <c r="K830" s="22"/>
      <c r="L830" s="25" t="str">
        <f aca="false">IF(F830="","",IF(AND(H830&lt;&gt;"",COUNTIF(Pessoas!$E:$E,H830)&gt;0),"SIM",IF(COUNTIF(Pessoas!$C:$C,F830)&gt;0,"nome igual em Pessoas: confira o CPF","")))</f>
        <v/>
      </c>
      <c r="M830" s="24"/>
      <c r="N830" s="11"/>
    </row>
    <row r="831" customFormat="false" ht="15" hidden="false" customHeight="false" outlineLevel="0" collapsed="false">
      <c r="A831" s="24"/>
      <c r="B831" s="31" t="str">
        <f aca="false">IF(A831="","",IF(LEN(UPPER(SUBSTITUTE(SUBSTITUTE(SUBSTITUTE(SUBSTITUTE(TRIM(A831),".",""),"/",""),"-","")," ","")))&lt;14,RIGHT(REPT("0",14)&amp;UPPER(SUBSTITUTE(SUBSTITUTE(SUBSTITUTE(SUBSTITUTE(TRIM(A831),".",""),"/",""),"-","")," ","")),14),UPPER(SUBSTITUTE(SUBSTITUTE(SUBSTITUTE(SUBSTITUTE(TRIM(A831),".",""),"/",""),"-","")," ",""))))</f>
        <v/>
      </c>
      <c r="C831" s="25" t="str">
        <f aca="false">IF(B831="","",IFERROR(INDEX(Empresas!$C:$C,MATCH(B831,Empresas!$B:$B,0)),"cadastre o CNPJ em Empresas"))</f>
        <v/>
      </c>
      <c r="D831" s="23"/>
      <c r="E831" s="24"/>
      <c r="F831" s="31" t="str">
        <f aca="false">IF(D831="","",SUBSTITUTE(SUBSTITUTE(SUBSTITUTE(SUBSTITUTE(SUBSTITUTE(SUBSTITUTE(SUBSTITUTE(SUBSTITUTE(SUBSTITUTE(SUBSTITUTE(SUBSTITUTE(SUBSTITUTE(SUBSTITUTE(UPPER(TRIM(D831)),"Á","A"),"À","A"),"Â","A"),"Ã","A"),"É","E"),"Ê","E"),"Í","I"),"Ó","O"),"Ô","O"),"Õ","O"),"Ú","U"),"Ü","U"),"Ç","C"))</f>
        <v/>
      </c>
      <c r="G831" s="31" t="str">
        <f aca="false">IF(E831="","",IF(LEN(SUBSTITUTE(SUBSTITUTE(SUBSTITUTE(SUBSTITUTE(TRIM(E831),"*",""),".",""),"-","")," ",""))=11,MID(SUBSTITUTE(SUBSTITUTE(SUBSTITUTE(SUBSTITUTE(TRIM(E831),"*",""),".",""),"-","")," ",""),4,6),SUBSTITUTE(SUBSTITUTE(SUBSTITUTE(SUBSTITUTE(TRIM(E831),"*",""),".",""),"-","")," ","")))</f>
        <v/>
      </c>
      <c r="H831" s="31" t="str">
        <f aca="false">IF(OR(F831="",G831=""),"",F831&amp;"|"&amp;G831)</f>
        <v/>
      </c>
      <c r="I831" s="23"/>
      <c r="J831" s="22"/>
      <c r="K831" s="22"/>
      <c r="L831" s="25" t="str">
        <f aca="false">IF(F831="","",IF(AND(H831&lt;&gt;"",COUNTIF(Pessoas!$E:$E,H831)&gt;0),"SIM",IF(COUNTIF(Pessoas!$C:$C,F831)&gt;0,"nome igual em Pessoas: confira o CPF","")))</f>
        <v/>
      </c>
      <c r="M831" s="24"/>
      <c r="N831" s="11"/>
    </row>
    <row r="832" customFormat="false" ht="15" hidden="false" customHeight="false" outlineLevel="0" collapsed="false">
      <c r="A832" s="24"/>
      <c r="B832" s="31" t="str">
        <f aca="false">IF(A832="","",IF(LEN(UPPER(SUBSTITUTE(SUBSTITUTE(SUBSTITUTE(SUBSTITUTE(TRIM(A832),".",""),"/",""),"-","")," ","")))&lt;14,RIGHT(REPT("0",14)&amp;UPPER(SUBSTITUTE(SUBSTITUTE(SUBSTITUTE(SUBSTITUTE(TRIM(A832),".",""),"/",""),"-","")," ","")),14),UPPER(SUBSTITUTE(SUBSTITUTE(SUBSTITUTE(SUBSTITUTE(TRIM(A832),".",""),"/",""),"-","")," ",""))))</f>
        <v/>
      </c>
      <c r="C832" s="25" t="str">
        <f aca="false">IF(B832="","",IFERROR(INDEX(Empresas!$C:$C,MATCH(B832,Empresas!$B:$B,0)),"cadastre o CNPJ em Empresas"))</f>
        <v/>
      </c>
      <c r="D832" s="23"/>
      <c r="E832" s="24"/>
      <c r="F832" s="31" t="str">
        <f aca="false">IF(D832="","",SUBSTITUTE(SUBSTITUTE(SUBSTITUTE(SUBSTITUTE(SUBSTITUTE(SUBSTITUTE(SUBSTITUTE(SUBSTITUTE(SUBSTITUTE(SUBSTITUTE(SUBSTITUTE(SUBSTITUTE(SUBSTITUTE(UPPER(TRIM(D832)),"Á","A"),"À","A"),"Â","A"),"Ã","A"),"É","E"),"Ê","E"),"Í","I"),"Ó","O"),"Ô","O"),"Õ","O"),"Ú","U"),"Ü","U"),"Ç","C"))</f>
        <v/>
      </c>
      <c r="G832" s="31" t="str">
        <f aca="false">IF(E832="","",IF(LEN(SUBSTITUTE(SUBSTITUTE(SUBSTITUTE(SUBSTITUTE(TRIM(E832),"*",""),".",""),"-","")," ",""))=11,MID(SUBSTITUTE(SUBSTITUTE(SUBSTITUTE(SUBSTITUTE(TRIM(E832),"*",""),".",""),"-","")," ",""),4,6),SUBSTITUTE(SUBSTITUTE(SUBSTITUTE(SUBSTITUTE(TRIM(E832),"*",""),".",""),"-","")," ","")))</f>
        <v/>
      </c>
      <c r="H832" s="31" t="str">
        <f aca="false">IF(OR(F832="",G832=""),"",F832&amp;"|"&amp;G832)</f>
        <v/>
      </c>
      <c r="I832" s="23"/>
      <c r="J832" s="22"/>
      <c r="K832" s="22"/>
      <c r="L832" s="25" t="str">
        <f aca="false">IF(F832="","",IF(AND(H832&lt;&gt;"",COUNTIF(Pessoas!$E:$E,H832)&gt;0),"SIM",IF(COUNTIF(Pessoas!$C:$C,F832)&gt;0,"nome igual em Pessoas: confira o CPF","")))</f>
        <v/>
      </c>
      <c r="M832" s="24"/>
      <c r="N832" s="11"/>
    </row>
    <row r="833" customFormat="false" ht="15" hidden="false" customHeight="false" outlineLevel="0" collapsed="false">
      <c r="A833" s="24"/>
      <c r="B833" s="31" t="str">
        <f aca="false">IF(A833="","",IF(LEN(UPPER(SUBSTITUTE(SUBSTITUTE(SUBSTITUTE(SUBSTITUTE(TRIM(A833),".",""),"/",""),"-","")," ","")))&lt;14,RIGHT(REPT("0",14)&amp;UPPER(SUBSTITUTE(SUBSTITUTE(SUBSTITUTE(SUBSTITUTE(TRIM(A833),".",""),"/",""),"-","")," ","")),14),UPPER(SUBSTITUTE(SUBSTITUTE(SUBSTITUTE(SUBSTITUTE(TRIM(A833),".",""),"/",""),"-","")," ",""))))</f>
        <v/>
      </c>
      <c r="C833" s="25" t="str">
        <f aca="false">IF(B833="","",IFERROR(INDEX(Empresas!$C:$C,MATCH(B833,Empresas!$B:$B,0)),"cadastre o CNPJ em Empresas"))</f>
        <v/>
      </c>
      <c r="D833" s="23"/>
      <c r="E833" s="24"/>
      <c r="F833" s="31" t="str">
        <f aca="false">IF(D833="","",SUBSTITUTE(SUBSTITUTE(SUBSTITUTE(SUBSTITUTE(SUBSTITUTE(SUBSTITUTE(SUBSTITUTE(SUBSTITUTE(SUBSTITUTE(SUBSTITUTE(SUBSTITUTE(SUBSTITUTE(SUBSTITUTE(UPPER(TRIM(D833)),"Á","A"),"À","A"),"Â","A"),"Ã","A"),"É","E"),"Ê","E"),"Í","I"),"Ó","O"),"Ô","O"),"Õ","O"),"Ú","U"),"Ü","U"),"Ç","C"))</f>
        <v/>
      </c>
      <c r="G833" s="31" t="str">
        <f aca="false">IF(E833="","",IF(LEN(SUBSTITUTE(SUBSTITUTE(SUBSTITUTE(SUBSTITUTE(TRIM(E833),"*",""),".",""),"-","")," ",""))=11,MID(SUBSTITUTE(SUBSTITUTE(SUBSTITUTE(SUBSTITUTE(TRIM(E833),"*",""),".",""),"-","")," ",""),4,6),SUBSTITUTE(SUBSTITUTE(SUBSTITUTE(SUBSTITUTE(TRIM(E833),"*",""),".",""),"-","")," ","")))</f>
        <v/>
      </c>
      <c r="H833" s="31" t="str">
        <f aca="false">IF(OR(F833="",G833=""),"",F833&amp;"|"&amp;G833)</f>
        <v/>
      </c>
      <c r="I833" s="23"/>
      <c r="J833" s="22"/>
      <c r="K833" s="22"/>
      <c r="L833" s="25" t="str">
        <f aca="false">IF(F833="","",IF(AND(H833&lt;&gt;"",COUNTIF(Pessoas!$E:$E,H833)&gt;0),"SIM",IF(COUNTIF(Pessoas!$C:$C,F833)&gt;0,"nome igual em Pessoas: confira o CPF","")))</f>
        <v/>
      </c>
      <c r="M833" s="24"/>
      <c r="N833" s="11"/>
    </row>
    <row r="834" customFormat="false" ht="15" hidden="false" customHeight="false" outlineLevel="0" collapsed="false">
      <c r="A834" s="24"/>
      <c r="B834" s="31" t="str">
        <f aca="false">IF(A834="","",IF(LEN(UPPER(SUBSTITUTE(SUBSTITUTE(SUBSTITUTE(SUBSTITUTE(TRIM(A834),".",""),"/",""),"-","")," ","")))&lt;14,RIGHT(REPT("0",14)&amp;UPPER(SUBSTITUTE(SUBSTITUTE(SUBSTITUTE(SUBSTITUTE(TRIM(A834),".",""),"/",""),"-","")," ","")),14),UPPER(SUBSTITUTE(SUBSTITUTE(SUBSTITUTE(SUBSTITUTE(TRIM(A834),".",""),"/",""),"-","")," ",""))))</f>
        <v/>
      </c>
      <c r="C834" s="25" t="str">
        <f aca="false">IF(B834="","",IFERROR(INDEX(Empresas!$C:$C,MATCH(B834,Empresas!$B:$B,0)),"cadastre o CNPJ em Empresas"))</f>
        <v/>
      </c>
      <c r="D834" s="23"/>
      <c r="E834" s="24"/>
      <c r="F834" s="31" t="str">
        <f aca="false">IF(D834="","",SUBSTITUTE(SUBSTITUTE(SUBSTITUTE(SUBSTITUTE(SUBSTITUTE(SUBSTITUTE(SUBSTITUTE(SUBSTITUTE(SUBSTITUTE(SUBSTITUTE(SUBSTITUTE(SUBSTITUTE(SUBSTITUTE(UPPER(TRIM(D834)),"Á","A"),"À","A"),"Â","A"),"Ã","A"),"É","E"),"Ê","E"),"Í","I"),"Ó","O"),"Ô","O"),"Õ","O"),"Ú","U"),"Ü","U"),"Ç","C"))</f>
        <v/>
      </c>
      <c r="G834" s="31" t="str">
        <f aca="false">IF(E834="","",IF(LEN(SUBSTITUTE(SUBSTITUTE(SUBSTITUTE(SUBSTITUTE(TRIM(E834),"*",""),".",""),"-","")," ",""))=11,MID(SUBSTITUTE(SUBSTITUTE(SUBSTITUTE(SUBSTITUTE(TRIM(E834),"*",""),".",""),"-","")," ",""),4,6),SUBSTITUTE(SUBSTITUTE(SUBSTITUTE(SUBSTITUTE(TRIM(E834),"*",""),".",""),"-","")," ","")))</f>
        <v/>
      </c>
      <c r="H834" s="31" t="str">
        <f aca="false">IF(OR(F834="",G834=""),"",F834&amp;"|"&amp;G834)</f>
        <v/>
      </c>
      <c r="I834" s="23"/>
      <c r="J834" s="22"/>
      <c r="K834" s="22"/>
      <c r="L834" s="25" t="str">
        <f aca="false">IF(F834="","",IF(AND(H834&lt;&gt;"",COUNTIF(Pessoas!$E:$E,H834)&gt;0),"SIM",IF(COUNTIF(Pessoas!$C:$C,F834)&gt;0,"nome igual em Pessoas: confira o CPF","")))</f>
        <v/>
      </c>
      <c r="M834" s="24"/>
      <c r="N834" s="11"/>
    </row>
    <row r="835" customFormat="false" ht="15" hidden="false" customHeight="false" outlineLevel="0" collapsed="false">
      <c r="A835" s="24"/>
      <c r="B835" s="31" t="str">
        <f aca="false">IF(A835="","",IF(LEN(UPPER(SUBSTITUTE(SUBSTITUTE(SUBSTITUTE(SUBSTITUTE(TRIM(A835),".",""),"/",""),"-","")," ","")))&lt;14,RIGHT(REPT("0",14)&amp;UPPER(SUBSTITUTE(SUBSTITUTE(SUBSTITUTE(SUBSTITUTE(TRIM(A835),".",""),"/",""),"-","")," ","")),14),UPPER(SUBSTITUTE(SUBSTITUTE(SUBSTITUTE(SUBSTITUTE(TRIM(A835),".",""),"/",""),"-","")," ",""))))</f>
        <v/>
      </c>
      <c r="C835" s="25" t="str">
        <f aca="false">IF(B835="","",IFERROR(INDEX(Empresas!$C:$C,MATCH(B835,Empresas!$B:$B,0)),"cadastre o CNPJ em Empresas"))</f>
        <v/>
      </c>
      <c r="D835" s="23"/>
      <c r="E835" s="24"/>
      <c r="F835" s="31" t="str">
        <f aca="false">IF(D835="","",SUBSTITUTE(SUBSTITUTE(SUBSTITUTE(SUBSTITUTE(SUBSTITUTE(SUBSTITUTE(SUBSTITUTE(SUBSTITUTE(SUBSTITUTE(SUBSTITUTE(SUBSTITUTE(SUBSTITUTE(SUBSTITUTE(UPPER(TRIM(D835)),"Á","A"),"À","A"),"Â","A"),"Ã","A"),"É","E"),"Ê","E"),"Í","I"),"Ó","O"),"Ô","O"),"Õ","O"),"Ú","U"),"Ü","U"),"Ç","C"))</f>
        <v/>
      </c>
      <c r="G835" s="31" t="str">
        <f aca="false">IF(E835="","",IF(LEN(SUBSTITUTE(SUBSTITUTE(SUBSTITUTE(SUBSTITUTE(TRIM(E835),"*",""),".",""),"-","")," ",""))=11,MID(SUBSTITUTE(SUBSTITUTE(SUBSTITUTE(SUBSTITUTE(TRIM(E835),"*",""),".",""),"-","")," ",""),4,6),SUBSTITUTE(SUBSTITUTE(SUBSTITUTE(SUBSTITUTE(TRIM(E835),"*",""),".",""),"-","")," ","")))</f>
        <v/>
      </c>
      <c r="H835" s="31" t="str">
        <f aca="false">IF(OR(F835="",G835=""),"",F835&amp;"|"&amp;G835)</f>
        <v/>
      </c>
      <c r="I835" s="23"/>
      <c r="J835" s="22"/>
      <c r="K835" s="22"/>
      <c r="L835" s="25" t="str">
        <f aca="false">IF(F835="","",IF(AND(H835&lt;&gt;"",COUNTIF(Pessoas!$E:$E,H835)&gt;0),"SIM",IF(COUNTIF(Pessoas!$C:$C,F835)&gt;0,"nome igual em Pessoas: confira o CPF","")))</f>
        <v/>
      </c>
      <c r="M835" s="24"/>
      <c r="N835" s="11"/>
    </row>
    <row r="836" customFormat="false" ht="15" hidden="false" customHeight="false" outlineLevel="0" collapsed="false">
      <c r="A836" s="24"/>
      <c r="B836" s="31" t="str">
        <f aca="false">IF(A836="","",IF(LEN(UPPER(SUBSTITUTE(SUBSTITUTE(SUBSTITUTE(SUBSTITUTE(TRIM(A836),".",""),"/",""),"-","")," ","")))&lt;14,RIGHT(REPT("0",14)&amp;UPPER(SUBSTITUTE(SUBSTITUTE(SUBSTITUTE(SUBSTITUTE(TRIM(A836),".",""),"/",""),"-","")," ","")),14),UPPER(SUBSTITUTE(SUBSTITUTE(SUBSTITUTE(SUBSTITUTE(TRIM(A836),".",""),"/",""),"-","")," ",""))))</f>
        <v/>
      </c>
      <c r="C836" s="25" t="str">
        <f aca="false">IF(B836="","",IFERROR(INDEX(Empresas!$C:$C,MATCH(B836,Empresas!$B:$B,0)),"cadastre o CNPJ em Empresas"))</f>
        <v/>
      </c>
      <c r="D836" s="23"/>
      <c r="E836" s="24"/>
      <c r="F836" s="31" t="str">
        <f aca="false">IF(D836="","",SUBSTITUTE(SUBSTITUTE(SUBSTITUTE(SUBSTITUTE(SUBSTITUTE(SUBSTITUTE(SUBSTITUTE(SUBSTITUTE(SUBSTITUTE(SUBSTITUTE(SUBSTITUTE(SUBSTITUTE(SUBSTITUTE(UPPER(TRIM(D836)),"Á","A"),"À","A"),"Â","A"),"Ã","A"),"É","E"),"Ê","E"),"Í","I"),"Ó","O"),"Ô","O"),"Õ","O"),"Ú","U"),"Ü","U"),"Ç","C"))</f>
        <v/>
      </c>
      <c r="G836" s="31" t="str">
        <f aca="false">IF(E836="","",IF(LEN(SUBSTITUTE(SUBSTITUTE(SUBSTITUTE(SUBSTITUTE(TRIM(E836),"*",""),".",""),"-","")," ",""))=11,MID(SUBSTITUTE(SUBSTITUTE(SUBSTITUTE(SUBSTITUTE(TRIM(E836),"*",""),".",""),"-","")," ",""),4,6),SUBSTITUTE(SUBSTITUTE(SUBSTITUTE(SUBSTITUTE(TRIM(E836),"*",""),".",""),"-","")," ","")))</f>
        <v/>
      </c>
      <c r="H836" s="31" t="str">
        <f aca="false">IF(OR(F836="",G836=""),"",F836&amp;"|"&amp;G836)</f>
        <v/>
      </c>
      <c r="I836" s="23"/>
      <c r="J836" s="22"/>
      <c r="K836" s="22"/>
      <c r="L836" s="25" t="str">
        <f aca="false">IF(F836="","",IF(AND(H836&lt;&gt;"",COUNTIF(Pessoas!$E:$E,H836)&gt;0),"SIM",IF(COUNTIF(Pessoas!$C:$C,F836)&gt;0,"nome igual em Pessoas: confira o CPF","")))</f>
        <v/>
      </c>
      <c r="M836" s="24"/>
      <c r="N836" s="11"/>
    </row>
    <row r="837" customFormat="false" ht="15" hidden="false" customHeight="false" outlineLevel="0" collapsed="false">
      <c r="A837" s="24"/>
      <c r="B837" s="31" t="str">
        <f aca="false">IF(A837="","",IF(LEN(UPPER(SUBSTITUTE(SUBSTITUTE(SUBSTITUTE(SUBSTITUTE(TRIM(A837),".",""),"/",""),"-","")," ","")))&lt;14,RIGHT(REPT("0",14)&amp;UPPER(SUBSTITUTE(SUBSTITUTE(SUBSTITUTE(SUBSTITUTE(TRIM(A837),".",""),"/",""),"-","")," ","")),14),UPPER(SUBSTITUTE(SUBSTITUTE(SUBSTITUTE(SUBSTITUTE(TRIM(A837),".",""),"/",""),"-","")," ",""))))</f>
        <v/>
      </c>
      <c r="C837" s="25" t="str">
        <f aca="false">IF(B837="","",IFERROR(INDEX(Empresas!$C:$C,MATCH(B837,Empresas!$B:$B,0)),"cadastre o CNPJ em Empresas"))</f>
        <v/>
      </c>
      <c r="D837" s="23"/>
      <c r="E837" s="24"/>
      <c r="F837" s="31" t="str">
        <f aca="false">IF(D837="","",SUBSTITUTE(SUBSTITUTE(SUBSTITUTE(SUBSTITUTE(SUBSTITUTE(SUBSTITUTE(SUBSTITUTE(SUBSTITUTE(SUBSTITUTE(SUBSTITUTE(SUBSTITUTE(SUBSTITUTE(SUBSTITUTE(UPPER(TRIM(D837)),"Á","A"),"À","A"),"Â","A"),"Ã","A"),"É","E"),"Ê","E"),"Í","I"),"Ó","O"),"Ô","O"),"Õ","O"),"Ú","U"),"Ü","U"),"Ç","C"))</f>
        <v/>
      </c>
      <c r="G837" s="31" t="str">
        <f aca="false">IF(E837="","",IF(LEN(SUBSTITUTE(SUBSTITUTE(SUBSTITUTE(SUBSTITUTE(TRIM(E837),"*",""),".",""),"-","")," ",""))=11,MID(SUBSTITUTE(SUBSTITUTE(SUBSTITUTE(SUBSTITUTE(TRIM(E837),"*",""),".",""),"-","")," ",""),4,6),SUBSTITUTE(SUBSTITUTE(SUBSTITUTE(SUBSTITUTE(TRIM(E837),"*",""),".",""),"-","")," ","")))</f>
        <v/>
      </c>
      <c r="H837" s="31" t="str">
        <f aca="false">IF(OR(F837="",G837=""),"",F837&amp;"|"&amp;G837)</f>
        <v/>
      </c>
      <c r="I837" s="23"/>
      <c r="J837" s="22"/>
      <c r="K837" s="22"/>
      <c r="L837" s="25" t="str">
        <f aca="false">IF(F837="","",IF(AND(H837&lt;&gt;"",COUNTIF(Pessoas!$E:$E,H837)&gt;0),"SIM",IF(COUNTIF(Pessoas!$C:$C,F837)&gt;0,"nome igual em Pessoas: confira o CPF","")))</f>
        <v/>
      </c>
      <c r="M837" s="24"/>
      <c r="N837" s="11"/>
    </row>
    <row r="838" customFormat="false" ht="15" hidden="false" customHeight="false" outlineLevel="0" collapsed="false">
      <c r="A838" s="24"/>
      <c r="B838" s="31" t="str">
        <f aca="false">IF(A838="","",IF(LEN(UPPER(SUBSTITUTE(SUBSTITUTE(SUBSTITUTE(SUBSTITUTE(TRIM(A838),".",""),"/",""),"-","")," ","")))&lt;14,RIGHT(REPT("0",14)&amp;UPPER(SUBSTITUTE(SUBSTITUTE(SUBSTITUTE(SUBSTITUTE(TRIM(A838),".",""),"/",""),"-","")," ","")),14),UPPER(SUBSTITUTE(SUBSTITUTE(SUBSTITUTE(SUBSTITUTE(TRIM(A838),".",""),"/",""),"-","")," ",""))))</f>
        <v/>
      </c>
      <c r="C838" s="25" t="str">
        <f aca="false">IF(B838="","",IFERROR(INDEX(Empresas!$C:$C,MATCH(B838,Empresas!$B:$B,0)),"cadastre o CNPJ em Empresas"))</f>
        <v/>
      </c>
      <c r="D838" s="23"/>
      <c r="E838" s="24"/>
      <c r="F838" s="31" t="str">
        <f aca="false">IF(D838="","",SUBSTITUTE(SUBSTITUTE(SUBSTITUTE(SUBSTITUTE(SUBSTITUTE(SUBSTITUTE(SUBSTITUTE(SUBSTITUTE(SUBSTITUTE(SUBSTITUTE(SUBSTITUTE(SUBSTITUTE(SUBSTITUTE(UPPER(TRIM(D838)),"Á","A"),"À","A"),"Â","A"),"Ã","A"),"É","E"),"Ê","E"),"Í","I"),"Ó","O"),"Ô","O"),"Õ","O"),"Ú","U"),"Ü","U"),"Ç","C"))</f>
        <v/>
      </c>
      <c r="G838" s="31" t="str">
        <f aca="false">IF(E838="","",IF(LEN(SUBSTITUTE(SUBSTITUTE(SUBSTITUTE(SUBSTITUTE(TRIM(E838),"*",""),".",""),"-","")," ",""))=11,MID(SUBSTITUTE(SUBSTITUTE(SUBSTITUTE(SUBSTITUTE(TRIM(E838),"*",""),".",""),"-","")," ",""),4,6),SUBSTITUTE(SUBSTITUTE(SUBSTITUTE(SUBSTITUTE(TRIM(E838),"*",""),".",""),"-","")," ","")))</f>
        <v/>
      </c>
      <c r="H838" s="31" t="str">
        <f aca="false">IF(OR(F838="",G838=""),"",F838&amp;"|"&amp;G838)</f>
        <v/>
      </c>
      <c r="I838" s="23"/>
      <c r="J838" s="22"/>
      <c r="K838" s="22"/>
      <c r="L838" s="25" t="str">
        <f aca="false">IF(F838="","",IF(AND(H838&lt;&gt;"",COUNTIF(Pessoas!$E:$E,H838)&gt;0),"SIM",IF(COUNTIF(Pessoas!$C:$C,F838)&gt;0,"nome igual em Pessoas: confira o CPF","")))</f>
        <v/>
      </c>
      <c r="M838" s="24"/>
      <c r="N838" s="11"/>
    </row>
    <row r="839" customFormat="false" ht="15" hidden="false" customHeight="false" outlineLevel="0" collapsed="false">
      <c r="A839" s="24"/>
      <c r="B839" s="31" t="str">
        <f aca="false">IF(A839="","",IF(LEN(UPPER(SUBSTITUTE(SUBSTITUTE(SUBSTITUTE(SUBSTITUTE(TRIM(A839),".",""),"/",""),"-","")," ","")))&lt;14,RIGHT(REPT("0",14)&amp;UPPER(SUBSTITUTE(SUBSTITUTE(SUBSTITUTE(SUBSTITUTE(TRIM(A839),".",""),"/",""),"-","")," ","")),14),UPPER(SUBSTITUTE(SUBSTITUTE(SUBSTITUTE(SUBSTITUTE(TRIM(A839),".",""),"/",""),"-","")," ",""))))</f>
        <v/>
      </c>
      <c r="C839" s="25" t="str">
        <f aca="false">IF(B839="","",IFERROR(INDEX(Empresas!$C:$C,MATCH(B839,Empresas!$B:$B,0)),"cadastre o CNPJ em Empresas"))</f>
        <v/>
      </c>
      <c r="D839" s="23"/>
      <c r="E839" s="24"/>
      <c r="F839" s="31" t="str">
        <f aca="false">IF(D839="","",SUBSTITUTE(SUBSTITUTE(SUBSTITUTE(SUBSTITUTE(SUBSTITUTE(SUBSTITUTE(SUBSTITUTE(SUBSTITUTE(SUBSTITUTE(SUBSTITUTE(SUBSTITUTE(SUBSTITUTE(SUBSTITUTE(UPPER(TRIM(D839)),"Á","A"),"À","A"),"Â","A"),"Ã","A"),"É","E"),"Ê","E"),"Í","I"),"Ó","O"),"Ô","O"),"Õ","O"),"Ú","U"),"Ü","U"),"Ç","C"))</f>
        <v/>
      </c>
      <c r="G839" s="31" t="str">
        <f aca="false">IF(E839="","",IF(LEN(SUBSTITUTE(SUBSTITUTE(SUBSTITUTE(SUBSTITUTE(TRIM(E839),"*",""),".",""),"-","")," ",""))=11,MID(SUBSTITUTE(SUBSTITUTE(SUBSTITUTE(SUBSTITUTE(TRIM(E839),"*",""),".",""),"-","")," ",""),4,6),SUBSTITUTE(SUBSTITUTE(SUBSTITUTE(SUBSTITUTE(TRIM(E839),"*",""),".",""),"-","")," ","")))</f>
        <v/>
      </c>
      <c r="H839" s="31" t="str">
        <f aca="false">IF(OR(F839="",G839=""),"",F839&amp;"|"&amp;G839)</f>
        <v/>
      </c>
      <c r="I839" s="23"/>
      <c r="J839" s="22"/>
      <c r="K839" s="22"/>
      <c r="L839" s="25" t="str">
        <f aca="false">IF(F839="","",IF(AND(H839&lt;&gt;"",COUNTIF(Pessoas!$E:$E,H839)&gt;0),"SIM",IF(COUNTIF(Pessoas!$C:$C,F839)&gt;0,"nome igual em Pessoas: confira o CPF","")))</f>
        <v/>
      </c>
      <c r="M839" s="24"/>
      <c r="N839" s="11"/>
    </row>
    <row r="840" customFormat="false" ht="15" hidden="false" customHeight="false" outlineLevel="0" collapsed="false">
      <c r="A840" s="24"/>
      <c r="B840" s="31" t="str">
        <f aca="false">IF(A840="","",IF(LEN(UPPER(SUBSTITUTE(SUBSTITUTE(SUBSTITUTE(SUBSTITUTE(TRIM(A840),".",""),"/",""),"-","")," ","")))&lt;14,RIGHT(REPT("0",14)&amp;UPPER(SUBSTITUTE(SUBSTITUTE(SUBSTITUTE(SUBSTITUTE(TRIM(A840),".",""),"/",""),"-","")," ","")),14),UPPER(SUBSTITUTE(SUBSTITUTE(SUBSTITUTE(SUBSTITUTE(TRIM(A840),".",""),"/",""),"-","")," ",""))))</f>
        <v/>
      </c>
      <c r="C840" s="25" t="str">
        <f aca="false">IF(B840="","",IFERROR(INDEX(Empresas!$C:$C,MATCH(B840,Empresas!$B:$B,0)),"cadastre o CNPJ em Empresas"))</f>
        <v/>
      </c>
      <c r="D840" s="23"/>
      <c r="E840" s="24"/>
      <c r="F840" s="31" t="str">
        <f aca="false">IF(D840="","",SUBSTITUTE(SUBSTITUTE(SUBSTITUTE(SUBSTITUTE(SUBSTITUTE(SUBSTITUTE(SUBSTITUTE(SUBSTITUTE(SUBSTITUTE(SUBSTITUTE(SUBSTITUTE(SUBSTITUTE(SUBSTITUTE(UPPER(TRIM(D840)),"Á","A"),"À","A"),"Â","A"),"Ã","A"),"É","E"),"Ê","E"),"Í","I"),"Ó","O"),"Ô","O"),"Õ","O"),"Ú","U"),"Ü","U"),"Ç","C"))</f>
        <v/>
      </c>
      <c r="G840" s="31" t="str">
        <f aca="false">IF(E840="","",IF(LEN(SUBSTITUTE(SUBSTITUTE(SUBSTITUTE(SUBSTITUTE(TRIM(E840),"*",""),".",""),"-","")," ",""))=11,MID(SUBSTITUTE(SUBSTITUTE(SUBSTITUTE(SUBSTITUTE(TRIM(E840),"*",""),".",""),"-","")," ",""),4,6),SUBSTITUTE(SUBSTITUTE(SUBSTITUTE(SUBSTITUTE(TRIM(E840),"*",""),".",""),"-","")," ","")))</f>
        <v/>
      </c>
      <c r="H840" s="31" t="str">
        <f aca="false">IF(OR(F840="",G840=""),"",F840&amp;"|"&amp;G840)</f>
        <v/>
      </c>
      <c r="I840" s="23"/>
      <c r="J840" s="22"/>
      <c r="K840" s="22"/>
      <c r="L840" s="25" t="str">
        <f aca="false">IF(F840="","",IF(AND(H840&lt;&gt;"",COUNTIF(Pessoas!$E:$E,H840)&gt;0),"SIM",IF(COUNTIF(Pessoas!$C:$C,F840)&gt;0,"nome igual em Pessoas: confira o CPF","")))</f>
        <v/>
      </c>
      <c r="M840" s="24"/>
      <c r="N840" s="11"/>
    </row>
    <row r="841" customFormat="false" ht="15" hidden="false" customHeight="false" outlineLevel="0" collapsed="false">
      <c r="A841" s="24"/>
      <c r="B841" s="31" t="str">
        <f aca="false">IF(A841="","",IF(LEN(UPPER(SUBSTITUTE(SUBSTITUTE(SUBSTITUTE(SUBSTITUTE(TRIM(A841),".",""),"/",""),"-","")," ","")))&lt;14,RIGHT(REPT("0",14)&amp;UPPER(SUBSTITUTE(SUBSTITUTE(SUBSTITUTE(SUBSTITUTE(TRIM(A841),".",""),"/",""),"-","")," ","")),14),UPPER(SUBSTITUTE(SUBSTITUTE(SUBSTITUTE(SUBSTITUTE(TRIM(A841),".",""),"/",""),"-","")," ",""))))</f>
        <v/>
      </c>
      <c r="C841" s="25" t="str">
        <f aca="false">IF(B841="","",IFERROR(INDEX(Empresas!$C:$C,MATCH(B841,Empresas!$B:$B,0)),"cadastre o CNPJ em Empresas"))</f>
        <v/>
      </c>
      <c r="D841" s="23"/>
      <c r="E841" s="24"/>
      <c r="F841" s="31" t="str">
        <f aca="false">IF(D841="","",SUBSTITUTE(SUBSTITUTE(SUBSTITUTE(SUBSTITUTE(SUBSTITUTE(SUBSTITUTE(SUBSTITUTE(SUBSTITUTE(SUBSTITUTE(SUBSTITUTE(SUBSTITUTE(SUBSTITUTE(SUBSTITUTE(UPPER(TRIM(D841)),"Á","A"),"À","A"),"Â","A"),"Ã","A"),"É","E"),"Ê","E"),"Í","I"),"Ó","O"),"Ô","O"),"Õ","O"),"Ú","U"),"Ü","U"),"Ç","C"))</f>
        <v/>
      </c>
      <c r="G841" s="31" t="str">
        <f aca="false">IF(E841="","",IF(LEN(SUBSTITUTE(SUBSTITUTE(SUBSTITUTE(SUBSTITUTE(TRIM(E841),"*",""),".",""),"-","")," ",""))=11,MID(SUBSTITUTE(SUBSTITUTE(SUBSTITUTE(SUBSTITUTE(TRIM(E841),"*",""),".",""),"-","")," ",""),4,6),SUBSTITUTE(SUBSTITUTE(SUBSTITUTE(SUBSTITUTE(TRIM(E841),"*",""),".",""),"-","")," ","")))</f>
        <v/>
      </c>
      <c r="H841" s="31" t="str">
        <f aca="false">IF(OR(F841="",G841=""),"",F841&amp;"|"&amp;G841)</f>
        <v/>
      </c>
      <c r="I841" s="23"/>
      <c r="J841" s="22"/>
      <c r="K841" s="22"/>
      <c r="L841" s="25" t="str">
        <f aca="false">IF(F841="","",IF(AND(H841&lt;&gt;"",COUNTIF(Pessoas!$E:$E,H841)&gt;0),"SIM",IF(COUNTIF(Pessoas!$C:$C,F841)&gt;0,"nome igual em Pessoas: confira o CPF","")))</f>
        <v/>
      </c>
      <c r="M841" s="24"/>
      <c r="N841" s="11"/>
    </row>
    <row r="842" customFormat="false" ht="15" hidden="false" customHeight="false" outlineLevel="0" collapsed="false">
      <c r="A842" s="24"/>
      <c r="B842" s="31" t="str">
        <f aca="false">IF(A842="","",IF(LEN(UPPER(SUBSTITUTE(SUBSTITUTE(SUBSTITUTE(SUBSTITUTE(TRIM(A842),".",""),"/",""),"-","")," ","")))&lt;14,RIGHT(REPT("0",14)&amp;UPPER(SUBSTITUTE(SUBSTITUTE(SUBSTITUTE(SUBSTITUTE(TRIM(A842),".",""),"/",""),"-","")," ","")),14),UPPER(SUBSTITUTE(SUBSTITUTE(SUBSTITUTE(SUBSTITUTE(TRIM(A842),".",""),"/",""),"-","")," ",""))))</f>
        <v/>
      </c>
      <c r="C842" s="25" t="str">
        <f aca="false">IF(B842="","",IFERROR(INDEX(Empresas!$C:$C,MATCH(B842,Empresas!$B:$B,0)),"cadastre o CNPJ em Empresas"))</f>
        <v/>
      </c>
      <c r="D842" s="23"/>
      <c r="E842" s="24"/>
      <c r="F842" s="31" t="str">
        <f aca="false">IF(D842="","",SUBSTITUTE(SUBSTITUTE(SUBSTITUTE(SUBSTITUTE(SUBSTITUTE(SUBSTITUTE(SUBSTITUTE(SUBSTITUTE(SUBSTITUTE(SUBSTITUTE(SUBSTITUTE(SUBSTITUTE(SUBSTITUTE(UPPER(TRIM(D842)),"Á","A"),"À","A"),"Â","A"),"Ã","A"),"É","E"),"Ê","E"),"Í","I"),"Ó","O"),"Ô","O"),"Õ","O"),"Ú","U"),"Ü","U"),"Ç","C"))</f>
        <v/>
      </c>
      <c r="G842" s="31" t="str">
        <f aca="false">IF(E842="","",IF(LEN(SUBSTITUTE(SUBSTITUTE(SUBSTITUTE(SUBSTITUTE(TRIM(E842),"*",""),".",""),"-","")," ",""))=11,MID(SUBSTITUTE(SUBSTITUTE(SUBSTITUTE(SUBSTITUTE(TRIM(E842),"*",""),".",""),"-","")," ",""),4,6),SUBSTITUTE(SUBSTITUTE(SUBSTITUTE(SUBSTITUTE(TRIM(E842),"*",""),".",""),"-","")," ","")))</f>
        <v/>
      </c>
      <c r="H842" s="31" t="str">
        <f aca="false">IF(OR(F842="",G842=""),"",F842&amp;"|"&amp;G842)</f>
        <v/>
      </c>
      <c r="I842" s="23"/>
      <c r="J842" s="22"/>
      <c r="K842" s="22"/>
      <c r="L842" s="25" t="str">
        <f aca="false">IF(F842="","",IF(AND(H842&lt;&gt;"",COUNTIF(Pessoas!$E:$E,H842)&gt;0),"SIM",IF(COUNTIF(Pessoas!$C:$C,F842)&gt;0,"nome igual em Pessoas: confira o CPF","")))</f>
        <v/>
      </c>
      <c r="M842" s="24"/>
      <c r="N842" s="11"/>
    </row>
    <row r="843" customFormat="false" ht="15" hidden="false" customHeight="false" outlineLevel="0" collapsed="false">
      <c r="A843" s="24"/>
      <c r="B843" s="31" t="str">
        <f aca="false">IF(A843="","",IF(LEN(UPPER(SUBSTITUTE(SUBSTITUTE(SUBSTITUTE(SUBSTITUTE(TRIM(A843),".",""),"/",""),"-","")," ","")))&lt;14,RIGHT(REPT("0",14)&amp;UPPER(SUBSTITUTE(SUBSTITUTE(SUBSTITUTE(SUBSTITUTE(TRIM(A843),".",""),"/",""),"-","")," ","")),14),UPPER(SUBSTITUTE(SUBSTITUTE(SUBSTITUTE(SUBSTITUTE(TRIM(A843),".",""),"/",""),"-","")," ",""))))</f>
        <v/>
      </c>
      <c r="C843" s="25" t="str">
        <f aca="false">IF(B843="","",IFERROR(INDEX(Empresas!$C:$C,MATCH(B843,Empresas!$B:$B,0)),"cadastre o CNPJ em Empresas"))</f>
        <v/>
      </c>
      <c r="D843" s="23"/>
      <c r="E843" s="24"/>
      <c r="F843" s="31" t="str">
        <f aca="false">IF(D843="","",SUBSTITUTE(SUBSTITUTE(SUBSTITUTE(SUBSTITUTE(SUBSTITUTE(SUBSTITUTE(SUBSTITUTE(SUBSTITUTE(SUBSTITUTE(SUBSTITUTE(SUBSTITUTE(SUBSTITUTE(SUBSTITUTE(UPPER(TRIM(D843)),"Á","A"),"À","A"),"Â","A"),"Ã","A"),"É","E"),"Ê","E"),"Í","I"),"Ó","O"),"Ô","O"),"Õ","O"),"Ú","U"),"Ü","U"),"Ç","C"))</f>
        <v/>
      </c>
      <c r="G843" s="31" t="str">
        <f aca="false">IF(E843="","",IF(LEN(SUBSTITUTE(SUBSTITUTE(SUBSTITUTE(SUBSTITUTE(TRIM(E843),"*",""),".",""),"-","")," ",""))=11,MID(SUBSTITUTE(SUBSTITUTE(SUBSTITUTE(SUBSTITUTE(TRIM(E843),"*",""),".",""),"-","")," ",""),4,6),SUBSTITUTE(SUBSTITUTE(SUBSTITUTE(SUBSTITUTE(TRIM(E843),"*",""),".",""),"-","")," ","")))</f>
        <v/>
      </c>
      <c r="H843" s="31" t="str">
        <f aca="false">IF(OR(F843="",G843=""),"",F843&amp;"|"&amp;G843)</f>
        <v/>
      </c>
      <c r="I843" s="23"/>
      <c r="J843" s="22"/>
      <c r="K843" s="22"/>
      <c r="L843" s="25" t="str">
        <f aca="false">IF(F843="","",IF(AND(H843&lt;&gt;"",COUNTIF(Pessoas!$E:$E,H843)&gt;0),"SIM",IF(COUNTIF(Pessoas!$C:$C,F843)&gt;0,"nome igual em Pessoas: confira o CPF","")))</f>
        <v/>
      </c>
      <c r="M843" s="24"/>
      <c r="N843" s="11"/>
    </row>
    <row r="844" customFormat="false" ht="15" hidden="false" customHeight="false" outlineLevel="0" collapsed="false">
      <c r="A844" s="24"/>
      <c r="B844" s="31" t="str">
        <f aca="false">IF(A844="","",IF(LEN(UPPER(SUBSTITUTE(SUBSTITUTE(SUBSTITUTE(SUBSTITUTE(TRIM(A844),".",""),"/",""),"-","")," ","")))&lt;14,RIGHT(REPT("0",14)&amp;UPPER(SUBSTITUTE(SUBSTITUTE(SUBSTITUTE(SUBSTITUTE(TRIM(A844),".",""),"/",""),"-","")," ","")),14),UPPER(SUBSTITUTE(SUBSTITUTE(SUBSTITUTE(SUBSTITUTE(TRIM(A844),".",""),"/",""),"-","")," ",""))))</f>
        <v/>
      </c>
      <c r="C844" s="25" t="str">
        <f aca="false">IF(B844="","",IFERROR(INDEX(Empresas!$C:$C,MATCH(B844,Empresas!$B:$B,0)),"cadastre o CNPJ em Empresas"))</f>
        <v/>
      </c>
      <c r="D844" s="23"/>
      <c r="E844" s="24"/>
      <c r="F844" s="31" t="str">
        <f aca="false">IF(D844="","",SUBSTITUTE(SUBSTITUTE(SUBSTITUTE(SUBSTITUTE(SUBSTITUTE(SUBSTITUTE(SUBSTITUTE(SUBSTITUTE(SUBSTITUTE(SUBSTITUTE(SUBSTITUTE(SUBSTITUTE(SUBSTITUTE(UPPER(TRIM(D844)),"Á","A"),"À","A"),"Â","A"),"Ã","A"),"É","E"),"Ê","E"),"Í","I"),"Ó","O"),"Ô","O"),"Õ","O"),"Ú","U"),"Ü","U"),"Ç","C"))</f>
        <v/>
      </c>
      <c r="G844" s="31" t="str">
        <f aca="false">IF(E844="","",IF(LEN(SUBSTITUTE(SUBSTITUTE(SUBSTITUTE(SUBSTITUTE(TRIM(E844),"*",""),".",""),"-","")," ",""))=11,MID(SUBSTITUTE(SUBSTITUTE(SUBSTITUTE(SUBSTITUTE(TRIM(E844),"*",""),".",""),"-","")," ",""),4,6),SUBSTITUTE(SUBSTITUTE(SUBSTITUTE(SUBSTITUTE(TRIM(E844),"*",""),".",""),"-","")," ","")))</f>
        <v/>
      </c>
      <c r="H844" s="31" t="str">
        <f aca="false">IF(OR(F844="",G844=""),"",F844&amp;"|"&amp;G844)</f>
        <v/>
      </c>
      <c r="I844" s="23"/>
      <c r="J844" s="22"/>
      <c r="K844" s="22"/>
      <c r="L844" s="25" t="str">
        <f aca="false">IF(F844="","",IF(AND(H844&lt;&gt;"",COUNTIF(Pessoas!$E:$E,H844)&gt;0),"SIM",IF(COUNTIF(Pessoas!$C:$C,F844)&gt;0,"nome igual em Pessoas: confira o CPF","")))</f>
        <v/>
      </c>
      <c r="M844" s="24"/>
      <c r="N844" s="11"/>
    </row>
    <row r="845" customFormat="false" ht="15" hidden="false" customHeight="false" outlineLevel="0" collapsed="false">
      <c r="A845" s="24"/>
      <c r="B845" s="31" t="str">
        <f aca="false">IF(A845="","",IF(LEN(UPPER(SUBSTITUTE(SUBSTITUTE(SUBSTITUTE(SUBSTITUTE(TRIM(A845),".",""),"/",""),"-","")," ","")))&lt;14,RIGHT(REPT("0",14)&amp;UPPER(SUBSTITUTE(SUBSTITUTE(SUBSTITUTE(SUBSTITUTE(TRIM(A845),".",""),"/",""),"-","")," ","")),14),UPPER(SUBSTITUTE(SUBSTITUTE(SUBSTITUTE(SUBSTITUTE(TRIM(A845),".",""),"/",""),"-","")," ",""))))</f>
        <v/>
      </c>
      <c r="C845" s="25" t="str">
        <f aca="false">IF(B845="","",IFERROR(INDEX(Empresas!$C:$C,MATCH(B845,Empresas!$B:$B,0)),"cadastre o CNPJ em Empresas"))</f>
        <v/>
      </c>
      <c r="D845" s="23"/>
      <c r="E845" s="24"/>
      <c r="F845" s="31" t="str">
        <f aca="false">IF(D845="","",SUBSTITUTE(SUBSTITUTE(SUBSTITUTE(SUBSTITUTE(SUBSTITUTE(SUBSTITUTE(SUBSTITUTE(SUBSTITUTE(SUBSTITUTE(SUBSTITUTE(SUBSTITUTE(SUBSTITUTE(SUBSTITUTE(UPPER(TRIM(D845)),"Á","A"),"À","A"),"Â","A"),"Ã","A"),"É","E"),"Ê","E"),"Í","I"),"Ó","O"),"Ô","O"),"Õ","O"),"Ú","U"),"Ü","U"),"Ç","C"))</f>
        <v/>
      </c>
      <c r="G845" s="31" t="str">
        <f aca="false">IF(E845="","",IF(LEN(SUBSTITUTE(SUBSTITUTE(SUBSTITUTE(SUBSTITUTE(TRIM(E845),"*",""),".",""),"-","")," ",""))=11,MID(SUBSTITUTE(SUBSTITUTE(SUBSTITUTE(SUBSTITUTE(TRIM(E845),"*",""),".",""),"-","")," ",""),4,6),SUBSTITUTE(SUBSTITUTE(SUBSTITUTE(SUBSTITUTE(TRIM(E845),"*",""),".",""),"-","")," ","")))</f>
        <v/>
      </c>
      <c r="H845" s="31" t="str">
        <f aca="false">IF(OR(F845="",G845=""),"",F845&amp;"|"&amp;G845)</f>
        <v/>
      </c>
      <c r="I845" s="23"/>
      <c r="J845" s="22"/>
      <c r="K845" s="22"/>
      <c r="L845" s="25" t="str">
        <f aca="false">IF(F845="","",IF(AND(H845&lt;&gt;"",COUNTIF(Pessoas!$E:$E,H845)&gt;0),"SIM",IF(COUNTIF(Pessoas!$C:$C,F845)&gt;0,"nome igual em Pessoas: confira o CPF","")))</f>
        <v/>
      </c>
      <c r="M845" s="24"/>
      <c r="N845" s="11"/>
    </row>
    <row r="846" customFormat="false" ht="15" hidden="false" customHeight="false" outlineLevel="0" collapsed="false">
      <c r="A846" s="24"/>
      <c r="B846" s="31" t="str">
        <f aca="false">IF(A846="","",IF(LEN(UPPER(SUBSTITUTE(SUBSTITUTE(SUBSTITUTE(SUBSTITUTE(TRIM(A846),".",""),"/",""),"-","")," ","")))&lt;14,RIGHT(REPT("0",14)&amp;UPPER(SUBSTITUTE(SUBSTITUTE(SUBSTITUTE(SUBSTITUTE(TRIM(A846),".",""),"/",""),"-","")," ","")),14),UPPER(SUBSTITUTE(SUBSTITUTE(SUBSTITUTE(SUBSTITUTE(TRIM(A846),".",""),"/",""),"-","")," ",""))))</f>
        <v/>
      </c>
      <c r="C846" s="25" t="str">
        <f aca="false">IF(B846="","",IFERROR(INDEX(Empresas!$C:$C,MATCH(B846,Empresas!$B:$B,0)),"cadastre o CNPJ em Empresas"))</f>
        <v/>
      </c>
      <c r="D846" s="23"/>
      <c r="E846" s="24"/>
      <c r="F846" s="31" t="str">
        <f aca="false">IF(D846="","",SUBSTITUTE(SUBSTITUTE(SUBSTITUTE(SUBSTITUTE(SUBSTITUTE(SUBSTITUTE(SUBSTITUTE(SUBSTITUTE(SUBSTITUTE(SUBSTITUTE(SUBSTITUTE(SUBSTITUTE(SUBSTITUTE(UPPER(TRIM(D846)),"Á","A"),"À","A"),"Â","A"),"Ã","A"),"É","E"),"Ê","E"),"Í","I"),"Ó","O"),"Ô","O"),"Õ","O"),"Ú","U"),"Ü","U"),"Ç","C"))</f>
        <v/>
      </c>
      <c r="G846" s="31" t="str">
        <f aca="false">IF(E846="","",IF(LEN(SUBSTITUTE(SUBSTITUTE(SUBSTITUTE(SUBSTITUTE(TRIM(E846),"*",""),".",""),"-","")," ",""))=11,MID(SUBSTITUTE(SUBSTITUTE(SUBSTITUTE(SUBSTITUTE(TRIM(E846),"*",""),".",""),"-","")," ",""),4,6),SUBSTITUTE(SUBSTITUTE(SUBSTITUTE(SUBSTITUTE(TRIM(E846),"*",""),".",""),"-","")," ","")))</f>
        <v/>
      </c>
      <c r="H846" s="31" t="str">
        <f aca="false">IF(OR(F846="",G846=""),"",F846&amp;"|"&amp;G846)</f>
        <v/>
      </c>
      <c r="I846" s="23"/>
      <c r="J846" s="22"/>
      <c r="K846" s="22"/>
      <c r="L846" s="25" t="str">
        <f aca="false">IF(F846="","",IF(AND(H846&lt;&gt;"",COUNTIF(Pessoas!$E:$E,H846)&gt;0),"SIM",IF(COUNTIF(Pessoas!$C:$C,F846)&gt;0,"nome igual em Pessoas: confira o CPF","")))</f>
        <v/>
      </c>
      <c r="M846" s="24"/>
      <c r="N846" s="11"/>
    </row>
    <row r="847" customFormat="false" ht="15" hidden="false" customHeight="false" outlineLevel="0" collapsed="false">
      <c r="A847" s="24"/>
      <c r="B847" s="31" t="str">
        <f aca="false">IF(A847="","",IF(LEN(UPPER(SUBSTITUTE(SUBSTITUTE(SUBSTITUTE(SUBSTITUTE(TRIM(A847),".",""),"/",""),"-","")," ","")))&lt;14,RIGHT(REPT("0",14)&amp;UPPER(SUBSTITUTE(SUBSTITUTE(SUBSTITUTE(SUBSTITUTE(TRIM(A847),".",""),"/",""),"-","")," ","")),14),UPPER(SUBSTITUTE(SUBSTITUTE(SUBSTITUTE(SUBSTITUTE(TRIM(A847),".",""),"/",""),"-","")," ",""))))</f>
        <v/>
      </c>
      <c r="C847" s="25" t="str">
        <f aca="false">IF(B847="","",IFERROR(INDEX(Empresas!$C:$C,MATCH(B847,Empresas!$B:$B,0)),"cadastre o CNPJ em Empresas"))</f>
        <v/>
      </c>
      <c r="D847" s="23"/>
      <c r="E847" s="24"/>
      <c r="F847" s="31" t="str">
        <f aca="false">IF(D847="","",SUBSTITUTE(SUBSTITUTE(SUBSTITUTE(SUBSTITUTE(SUBSTITUTE(SUBSTITUTE(SUBSTITUTE(SUBSTITUTE(SUBSTITUTE(SUBSTITUTE(SUBSTITUTE(SUBSTITUTE(SUBSTITUTE(UPPER(TRIM(D847)),"Á","A"),"À","A"),"Â","A"),"Ã","A"),"É","E"),"Ê","E"),"Í","I"),"Ó","O"),"Ô","O"),"Õ","O"),"Ú","U"),"Ü","U"),"Ç","C"))</f>
        <v/>
      </c>
      <c r="G847" s="31" t="str">
        <f aca="false">IF(E847="","",IF(LEN(SUBSTITUTE(SUBSTITUTE(SUBSTITUTE(SUBSTITUTE(TRIM(E847),"*",""),".",""),"-","")," ",""))=11,MID(SUBSTITUTE(SUBSTITUTE(SUBSTITUTE(SUBSTITUTE(TRIM(E847),"*",""),".",""),"-","")," ",""),4,6),SUBSTITUTE(SUBSTITUTE(SUBSTITUTE(SUBSTITUTE(TRIM(E847),"*",""),".",""),"-","")," ","")))</f>
        <v/>
      </c>
      <c r="H847" s="31" t="str">
        <f aca="false">IF(OR(F847="",G847=""),"",F847&amp;"|"&amp;G847)</f>
        <v/>
      </c>
      <c r="I847" s="23"/>
      <c r="J847" s="22"/>
      <c r="K847" s="22"/>
      <c r="L847" s="25" t="str">
        <f aca="false">IF(F847="","",IF(AND(H847&lt;&gt;"",COUNTIF(Pessoas!$E:$E,H847)&gt;0),"SIM",IF(COUNTIF(Pessoas!$C:$C,F847)&gt;0,"nome igual em Pessoas: confira o CPF","")))</f>
        <v/>
      </c>
      <c r="M847" s="24"/>
      <c r="N847" s="11"/>
    </row>
    <row r="848" customFormat="false" ht="15" hidden="false" customHeight="false" outlineLevel="0" collapsed="false">
      <c r="A848" s="24"/>
      <c r="B848" s="31" t="str">
        <f aca="false">IF(A848="","",IF(LEN(UPPER(SUBSTITUTE(SUBSTITUTE(SUBSTITUTE(SUBSTITUTE(TRIM(A848),".",""),"/",""),"-","")," ","")))&lt;14,RIGHT(REPT("0",14)&amp;UPPER(SUBSTITUTE(SUBSTITUTE(SUBSTITUTE(SUBSTITUTE(TRIM(A848),".",""),"/",""),"-","")," ","")),14),UPPER(SUBSTITUTE(SUBSTITUTE(SUBSTITUTE(SUBSTITUTE(TRIM(A848),".",""),"/",""),"-","")," ",""))))</f>
        <v/>
      </c>
      <c r="C848" s="25" t="str">
        <f aca="false">IF(B848="","",IFERROR(INDEX(Empresas!$C:$C,MATCH(B848,Empresas!$B:$B,0)),"cadastre o CNPJ em Empresas"))</f>
        <v/>
      </c>
      <c r="D848" s="23"/>
      <c r="E848" s="24"/>
      <c r="F848" s="31" t="str">
        <f aca="false">IF(D848="","",SUBSTITUTE(SUBSTITUTE(SUBSTITUTE(SUBSTITUTE(SUBSTITUTE(SUBSTITUTE(SUBSTITUTE(SUBSTITUTE(SUBSTITUTE(SUBSTITUTE(SUBSTITUTE(SUBSTITUTE(SUBSTITUTE(UPPER(TRIM(D848)),"Á","A"),"À","A"),"Â","A"),"Ã","A"),"É","E"),"Ê","E"),"Í","I"),"Ó","O"),"Ô","O"),"Õ","O"),"Ú","U"),"Ü","U"),"Ç","C"))</f>
        <v/>
      </c>
      <c r="G848" s="31" t="str">
        <f aca="false">IF(E848="","",IF(LEN(SUBSTITUTE(SUBSTITUTE(SUBSTITUTE(SUBSTITUTE(TRIM(E848),"*",""),".",""),"-","")," ",""))=11,MID(SUBSTITUTE(SUBSTITUTE(SUBSTITUTE(SUBSTITUTE(TRIM(E848),"*",""),".",""),"-","")," ",""),4,6),SUBSTITUTE(SUBSTITUTE(SUBSTITUTE(SUBSTITUTE(TRIM(E848),"*",""),".",""),"-","")," ","")))</f>
        <v/>
      </c>
      <c r="H848" s="31" t="str">
        <f aca="false">IF(OR(F848="",G848=""),"",F848&amp;"|"&amp;G848)</f>
        <v/>
      </c>
      <c r="I848" s="23"/>
      <c r="J848" s="22"/>
      <c r="K848" s="22"/>
      <c r="L848" s="25" t="str">
        <f aca="false">IF(F848="","",IF(AND(H848&lt;&gt;"",COUNTIF(Pessoas!$E:$E,H848)&gt;0),"SIM",IF(COUNTIF(Pessoas!$C:$C,F848)&gt;0,"nome igual em Pessoas: confira o CPF","")))</f>
        <v/>
      </c>
      <c r="M848" s="24"/>
      <c r="N848" s="11"/>
    </row>
    <row r="849" customFormat="false" ht="15" hidden="false" customHeight="false" outlineLevel="0" collapsed="false">
      <c r="A849" s="24"/>
      <c r="B849" s="31" t="str">
        <f aca="false">IF(A849="","",IF(LEN(UPPER(SUBSTITUTE(SUBSTITUTE(SUBSTITUTE(SUBSTITUTE(TRIM(A849),".",""),"/",""),"-","")," ","")))&lt;14,RIGHT(REPT("0",14)&amp;UPPER(SUBSTITUTE(SUBSTITUTE(SUBSTITUTE(SUBSTITUTE(TRIM(A849),".",""),"/",""),"-","")," ","")),14),UPPER(SUBSTITUTE(SUBSTITUTE(SUBSTITUTE(SUBSTITUTE(TRIM(A849),".",""),"/",""),"-","")," ",""))))</f>
        <v/>
      </c>
      <c r="C849" s="25" t="str">
        <f aca="false">IF(B849="","",IFERROR(INDEX(Empresas!$C:$C,MATCH(B849,Empresas!$B:$B,0)),"cadastre o CNPJ em Empresas"))</f>
        <v/>
      </c>
      <c r="D849" s="23"/>
      <c r="E849" s="24"/>
      <c r="F849" s="31" t="str">
        <f aca="false">IF(D849="","",SUBSTITUTE(SUBSTITUTE(SUBSTITUTE(SUBSTITUTE(SUBSTITUTE(SUBSTITUTE(SUBSTITUTE(SUBSTITUTE(SUBSTITUTE(SUBSTITUTE(SUBSTITUTE(SUBSTITUTE(SUBSTITUTE(UPPER(TRIM(D849)),"Á","A"),"À","A"),"Â","A"),"Ã","A"),"É","E"),"Ê","E"),"Í","I"),"Ó","O"),"Ô","O"),"Õ","O"),"Ú","U"),"Ü","U"),"Ç","C"))</f>
        <v/>
      </c>
      <c r="G849" s="31" t="str">
        <f aca="false">IF(E849="","",IF(LEN(SUBSTITUTE(SUBSTITUTE(SUBSTITUTE(SUBSTITUTE(TRIM(E849),"*",""),".",""),"-","")," ",""))=11,MID(SUBSTITUTE(SUBSTITUTE(SUBSTITUTE(SUBSTITUTE(TRIM(E849),"*",""),".",""),"-","")," ",""),4,6),SUBSTITUTE(SUBSTITUTE(SUBSTITUTE(SUBSTITUTE(TRIM(E849),"*",""),".",""),"-","")," ","")))</f>
        <v/>
      </c>
      <c r="H849" s="31" t="str">
        <f aca="false">IF(OR(F849="",G849=""),"",F849&amp;"|"&amp;G849)</f>
        <v/>
      </c>
      <c r="I849" s="23"/>
      <c r="J849" s="22"/>
      <c r="K849" s="22"/>
      <c r="L849" s="25" t="str">
        <f aca="false">IF(F849="","",IF(AND(H849&lt;&gt;"",COUNTIF(Pessoas!$E:$E,H849)&gt;0),"SIM",IF(COUNTIF(Pessoas!$C:$C,F849)&gt;0,"nome igual em Pessoas: confira o CPF","")))</f>
        <v/>
      </c>
      <c r="M849" s="24"/>
      <c r="N849" s="11"/>
    </row>
    <row r="850" customFormat="false" ht="15" hidden="false" customHeight="false" outlineLevel="0" collapsed="false">
      <c r="A850" s="24"/>
      <c r="B850" s="31" t="str">
        <f aca="false">IF(A850="","",IF(LEN(UPPER(SUBSTITUTE(SUBSTITUTE(SUBSTITUTE(SUBSTITUTE(TRIM(A850),".",""),"/",""),"-","")," ","")))&lt;14,RIGHT(REPT("0",14)&amp;UPPER(SUBSTITUTE(SUBSTITUTE(SUBSTITUTE(SUBSTITUTE(TRIM(A850),".",""),"/",""),"-","")," ","")),14),UPPER(SUBSTITUTE(SUBSTITUTE(SUBSTITUTE(SUBSTITUTE(TRIM(A850),".",""),"/",""),"-","")," ",""))))</f>
        <v/>
      </c>
      <c r="C850" s="25" t="str">
        <f aca="false">IF(B850="","",IFERROR(INDEX(Empresas!$C:$C,MATCH(B850,Empresas!$B:$B,0)),"cadastre o CNPJ em Empresas"))</f>
        <v/>
      </c>
      <c r="D850" s="23"/>
      <c r="E850" s="24"/>
      <c r="F850" s="31" t="str">
        <f aca="false">IF(D850="","",SUBSTITUTE(SUBSTITUTE(SUBSTITUTE(SUBSTITUTE(SUBSTITUTE(SUBSTITUTE(SUBSTITUTE(SUBSTITUTE(SUBSTITUTE(SUBSTITUTE(SUBSTITUTE(SUBSTITUTE(SUBSTITUTE(UPPER(TRIM(D850)),"Á","A"),"À","A"),"Â","A"),"Ã","A"),"É","E"),"Ê","E"),"Í","I"),"Ó","O"),"Ô","O"),"Õ","O"),"Ú","U"),"Ü","U"),"Ç","C"))</f>
        <v/>
      </c>
      <c r="G850" s="31" t="str">
        <f aca="false">IF(E850="","",IF(LEN(SUBSTITUTE(SUBSTITUTE(SUBSTITUTE(SUBSTITUTE(TRIM(E850),"*",""),".",""),"-","")," ",""))=11,MID(SUBSTITUTE(SUBSTITUTE(SUBSTITUTE(SUBSTITUTE(TRIM(E850),"*",""),".",""),"-","")," ",""),4,6),SUBSTITUTE(SUBSTITUTE(SUBSTITUTE(SUBSTITUTE(TRIM(E850),"*",""),".",""),"-","")," ","")))</f>
        <v/>
      </c>
      <c r="H850" s="31" t="str">
        <f aca="false">IF(OR(F850="",G850=""),"",F850&amp;"|"&amp;G850)</f>
        <v/>
      </c>
      <c r="I850" s="23"/>
      <c r="J850" s="22"/>
      <c r="K850" s="22"/>
      <c r="L850" s="25" t="str">
        <f aca="false">IF(F850="","",IF(AND(H850&lt;&gt;"",COUNTIF(Pessoas!$E:$E,H850)&gt;0),"SIM",IF(COUNTIF(Pessoas!$C:$C,F850)&gt;0,"nome igual em Pessoas: confira o CPF","")))</f>
        <v/>
      </c>
      <c r="M850" s="24"/>
      <c r="N850" s="11"/>
    </row>
    <row r="851" customFormat="false" ht="15" hidden="false" customHeight="false" outlineLevel="0" collapsed="false">
      <c r="A851" s="24"/>
      <c r="B851" s="31" t="str">
        <f aca="false">IF(A851="","",IF(LEN(UPPER(SUBSTITUTE(SUBSTITUTE(SUBSTITUTE(SUBSTITUTE(TRIM(A851),".",""),"/",""),"-","")," ","")))&lt;14,RIGHT(REPT("0",14)&amp;UPPER(SUBSTITUTE(SUBSTITUTE(SUBSTITUTE(SUBSTITUTE(TRIM(A851),".",""),"/",""),"-","")," ","")),14),UPPER(SUBSTITUTE(SUBSTITUTE(SUBSTITUTE(SUBSTITUTE(TRIM(A851),".",""),"/",""),"-","")," ",""))))</f>
        <v/>
      </c>
      <c r="C851" s="25" t="str">
        <f aca="false">IF(B851="","",IFERROR(INDEX(Empresas!$C:$C,MATCH(B851,Empresas!$B:$B,0)),"cadastre o CNPJ em Empresas"))</f>
        <v/>
      </c>
      <c r="D851" s="23"/>
      <c r="E851" s="24"/>
      <c r="F851" s="31" t="str">
        <f aca="false">IF(D851="","",SUBSTITUTE(SUBSTITUTE(SUBSTITUTE(SUBSTITUTE(SUBSTITUTE(SUBSTITUTE(SUBSTITUTE(SUBSTITUTE(SUBSTITUTE(SUBSTITUTE(SUBSTITUTE(SUBSTITUTE(SUBSTITUTE(UPPER(TRIM(D851)),"Á","A"),"À","A"),"Â","A"),"Ã","A"),"É","E"),"Ê","E"),"Í","I"),"Ó","O"),"Ô","O"),"Õ","O"),"Ú","U"),"Ü","U"),"Ç","C"))</f>
        <v/>
      </c>
      <c r="G851" s="31" t="str">
        <f aca="false">IF(E851="","",IF(LEN(SUBSTITUTE(SUBSTITUTE(SUBSTITUTE(SUBSTITUTE(TRIM(E851),"*",""),".",""),"-","")," ",""))=11,MID(SUBSTITUTE(SUBSTITUTE(SUBSTITUTE(SUBSTITUTE(TRIM(E851),"*",""),".",""),"-","")," ",""),4,6),SUBSTITUTE(SUBSTITUTE(SUBSTITUTE(SUBSTITUTE(TRIM(E851),"*",""),".",""),"-","")," ","")))</f>
        <v/>
      </c>
      <c r="H851" s="31" t="str">
        <f aca="false">IF(OR(F851="",G851=""),"",F851&amp;"|"&amp;G851)</f>
        <v/>
      </c>
      <c r="I851" s="23"/>
      <c r="J851" s="22"/>
      <c r="K851" s="22"/>
      <c r="L851" s="25" t="str">
        <f aca="false">IF(F851="","",IF(AND(H851&lt;&gt;"",COUNTIF(Pessoas!$E:$E,H851)&gt;0),"SIM",IF(COUNTIF(Pessoas!$C:$C,F851)&gt;0,"nome igual em Pessoas: confira o CPF","")))</f>
        <v/>
      </c>
      <c r="M851" s="24"/>
      <c r="N851" s="11"/>
    </row>
    <row r="852" customFormat="false" ht="15" hidden="false" customHeight="false" outlineLevel="0" collapsed="false">
      <c r="A852" s="24"/>
      <c r="B852" s="31" t="str">
        <f aca="false">IF(A852="","",IF(LEN(UPPER(SUBSTITUTE(SUBSTITUTE(SUBSTITUTE(SUBSTITUTE(TRIM(A852),".",""),"/",""),"-","")," ","")))&lt;14,RIGHT(REPT("0",14)&amp;UPPER(SUBSTITUTE(SUBSTITUTE(SUBSTITUTE(SUBSTITUTE(TRIM(A852),".",""),"/",""),"-","")," ","")),14),UPPER(SUBSTITUTE(SUBSTITUTE(SUBSTITUTE(SUBSTITUTE(TRIM(A852),".",""),"/",""),"-","")," ",""))))</f>
        <v/>
      </c>
      <c r="C852" s="25" t="str">
        <f aca="false">IF(B852="","",IFERROR(INDEX(Empresas!$C:$C,MATCH(B852,Empresas!$B:$B,0)),"cadastre o CNPJ em Empresas"))</f>
        <v/>
      </c>
      <c r="D852" s="23"/>
      <c r="E852" s="24"/>
      <c r="F852" s="31" t="str">
        <f aca="false">IF(D852="","",SUBSTITUTE(SUBSTITUTE(SUBSTITUTE(SUBSTITUTE(SUBSTITUTE(SUBSTITUTE(SUBSTITUTE(SUBSTITUTE(SUBSTITUTE(SUBSTITUTE(SUBSTITUTE(SUBSTITUTE(SUBSTITUTE(UPPER(TRIM(D852)),"Á","A"),"À","A"),"Â","A"),"Ã","A"),"É","E"),"Ê","E"),"Í","I"),"Ó","O"),"Ô","O"),"Õ","O"),"Ú","U"),"Ü","U"),"Ç","C"))</f>
        <v/>
      </c>
      <c r="G852" s="31" t="str">
        <f aca="false">IF(E852="","",IF(LEN(SUBSTITUTE(SUBSTITUTE(SUBSTITUTE(SUBSTITUTE(TRIM(E852),"*",""),".",""),"-","")," ",""))=11,MID(SUBSTITUTE(SUBSTITUTE(SUBSTITUTE(SUBSTITUTE(TRIM(E852),"*",""),".",""),"-","")," ",""),4,6),SUBSTITUTE(SUBSTITUTE(SUBSTITUTE(SUBSTITUTE(TRIM(E852),"*",""),".",""),"-","")," ","")))</f>
        <v/>
      </c>
      <c r="H852" s="31" t="str">
        <f aca="false">IF(OR(F852="",G852=""),"",F852&amp;"|"&amp;G852)</f>
        <v/>
      </c>
      <c r="I852" s="23"/>
      <c r="J852" s="22"/>
      <c r="K852" s="22"/>
      <c r="L852" s="25" t="str">
        <f aca="false">IF(F852="","",IF(AND(H852&lt;&gt;"",COUNTIF(Pessoas!$E:$E,H852)&gt;0),"SIM",IF(COUNTIF(Pessoas!$C:$C,F852)&gt;0,"nome igual em Pessoas: confira o CPF","")))</f>
        <v/>
      </c>
      <c r="M852" s="24"/>
      <c r="N852" s="11"/>
    </row>
    <row r="853" customFormat="false" ht="15" hidden="false" customHeight="false" outlineLevel="0" collapsed="false">
      <c r="A853" s="24"/>
      <c r="B853" s="31" t="str">
        <f aca="false">IF(A853="","",IF(LEN(UPPER(SUBSTITUTE(SUBSTITUTE(SUBSTITUTE(SUBSTITUTE(TRIM(A853),".",""),"/",""),"-","")," ","")))&lt;14,RIGHT(REPT("0",14)&amp;UPPER(SUBSTITUTE(SUBSTITUTE(SUBSTITUTE(SUBSTITUTE(TRIM(A853),".",""),"/",""),"-","")," ","")),14),UPPER(SUBSTITUTE(SUBSTITUTE(SUBSTITUTE(SUBSTITUTE(TRIM(A853),".",""),"/",""),"-","")," ",""))))</f>
        <v/>
      </c>
      <c r="C853" s="25" t="str">
        <f aca="false">IF(B853="","",IFERROR(INDEX(Empresas!$C:$C,MATCH(B853,Empresas!$B:$B,0)),"cadastre o CNPJ em Empresas"))</f>
        <v/>
      </c>
      <c r="D853" s="23"/>
      <c r="E853" s="24"/>
      <c r="F853" s="31" t="str">
        <f aca="false">IF(D853="","",SUBSTITUTE(SUBSTITUTE(SUBSTITUTE(SUBSTITUTE(SUBSTITUTE(SUBSTITUTE(SUBSTITUTE(SUBSTITUTE(SUBSTITUTE(SUBSTITUTE(SUBSTITUTE(SUBSTITUTE(SUBSTITUTE(UPPER(TRIM(D853)),"Á","A"),"À","A"),"Â","A"),"Ã","A"),"É","E"),"Ê","E"),"Í","I"),"Ó","O"),"Ô","O"),"Õ","O"),"Ú","U"),"Ü","U"),"Ç","C"))</f>
        <v/>
      </c>
      <c r="G853" s="31" t="str">
        <f aca="false">IF(E853="","",IF(LEN(SUBSTITUTE(SUBSTITUTE(SUBSTITUTE(SUBSTITUTE(TRIM(E853),"*",""),".",""),"-","")," ",""))=11,MID(SUBSTITUTE(SUBSTITUTE(SUBSTITUTE(SUBSTITUTE(TRIM(E853),"*",""),".",""),"-","")," ",""),4,6),SUBSTITUTE(SUBSTITUTE(SUBSTITUTE(SUBSTITUTE(TRIM(E853),"*",""),".",""),"-","")," ","")))</f>
        <v/>
      </c>
      <c r="H853" s="31" t="str">
        <f aca="false">IF(OR(F853="",G853=""),"",F853&amp;"|"&amp;G853)</f>
        <v/>
      </c>
      <c r="I853" s="23"/>
      <c r="J853" s="22"/>
      <c r="K853" s="22"/>
      <c r="L853" s="25" t="str">
        <f aca="false">IF(F853="","",IF(AND(H853&lt;&gt;"",COUNTIF(Pessoas!$E:$E,H853)&gt;0),"SIM",IF(COUNTIF(Pessoas!$C:$C,F853)&gt;0,"nome igual em Pessoas: confira o CPF","")))</f>
        <v/>
      </c>
      <c r="M853" s="24"/>
      <c r="N853" s="11"/>
    </row>
    <row r="854" customFormat="false" ht="15" hidden="false" customHeight="false" outlineLevel="0" collapsed="false">
      <c r="A854" s="24"/>
      <c r="B854" s="31" t="str">
        <f aca="false">IF(A854="","",IF(LEN(UPPER(SUBSTITUTE(SUBSTITUTE(SUBSTITUTE(SUBSTITUTE(TRIM(A854),".",""),"/",""),"-","")," ","")))&lt;14,RIGHT(REPT("0",14)&amp;UPPER(SUBSTITUTE(SUBSTITUTE(SUBSTITUTE(SUBSTITUTE(TRIM(A854),".",""),"/",""),"-","")," ","")),14),UPPER(SUBSTITUTE(SUBSTITUTE(SUBSTITUTE(SUBSTITUTE(TRIM(A854),".",""),"/",""),"-","")," ",""))))</f>
        <v/>
      </c>
      <c r="C854" s="25" t="str">
        <f aca="false">IF(B854="","",IFERROR(INDEX(Empresas!$C:$C,MATCH(B854,Empresas!$B:$B,0)),"cadastre o CNPJ em Empresas"))</f>
        <v/>
      </c>
      <c r="D854" s="23"/>
      <c r="E854" s="24"/>
      <c r="F854" s="31" t="str">
        <f aca="false">IF(D854="","",SUBSTITUTE(SUBSTITUTE(SUBSTITUTE(SUBSTITUTE(SUBSTITUTE(SUBSTITUTE(SUBSTITUTE(SUBSTITUTE(SUBSTITUTE(SUBSTITUTE(SUBSTITUTE(SUBSTITUTE(SUBSTITUTE(UPPER(TRIM(D854)),"Á","A"),"À","A"),"Â","A"),"Ã","A"),"É","E"),"Ê","E"),"Í","I"),"Ó","O"),"Ô","O"),"Õ","O"),"Ú","U"),"Ü","U"),"Ç","C"))</f>
        <v/>
      </c>
      <c r="G854" s="31" t="str">
        <f aca="false">IF(E854="","",IF(LEN(SUBSTITUTE(SUBSTITUTE(SUBSTITUTE(SUBSTITUTE(TRIM(E854),"*",""),".",""),"-","")," ",""))=11,MID(SUBSTITUTE(SUBSTITUTE(SUBSTITUTE(SUBSTITUTE(TRIM(E854),"*",""),".",""),"-","")," ",""),4,6),SUBSTITUTE(SUBSTITUTE(SUBSTITUTE(SUBSTITUTE(TRIM(E854),"*",""),".",""),"-","")," ","")))</f>
        <v/>
      </c>
      <c r="H854" s="31" t="str">
        <f aca="false">IF(OR(F854="",G854=""),"",F854&amp;"|"&amp;G854)</f>
        <v/>
      </c>
      <c r="I854" s="23"/>
      <c r="J854" s="22"/>
      <c r="K854" s="22"/>
      <c r="L854" s="25" t="str">
        <f aca="false">IF(F854="","",IF(AND(H854&lt;&gt;"",COUNTIF(Pessoas!$E:$E,H854)&gt;0),"SIM",IF(COUNTIF(Pessoas!$C:$C,F854)&gt;0,"nome igual em Pessoas: confira o CPF","")))</f>
        <v/>
      </c>
      <c r="M854" s="24"/>
      <c r="N854" s="11"/>
    </row>
    <row r="855" customFormat="false" ht="15" hidden="false" customHeight="false" outlineLevel="0" collapsed="false">
      <c r="A855" s="24"/>
      <c r="B855" s="31" t="str">
        <f aca="false">IF(A855="","",IF(LEN(UPPER(SUBSTITUTE(SUBSTITUTE(SUBSTITUTE(SUBSTITUTE(TRIM(A855),".",""),"/",""),"-","")," ","")))&lt;14,RIGHT(REPT("0",14)&amp;UPPER(SUBSTITUTE(SUBSTITUTE(SUBSTITUTE(SUBSTITUTE(TRIM(A855),".",""),"/",""),"-","")," ","")),14),UPPER(SUBSTITUTE(SUBSTITUTE(SUBSTITUTE(SUBSTITUTE(TRIM(A855),".",""),"/",""),"-","")," ",""))))</f>
        <v/>
      </c>
      <c r="C855" s="25" t="str">
        <f aca="false">IF(B855="","",IFERROR(INDEX(Empresas!$C:$C,MATCH(B855,Empresas!$B:$B,0)),"cadastre o CNPJ em Empresas"))</f>
        <v/>
      </c>
      <c r="D855" s="23"/>
      <c r="E855" s="24"/>
      <c r="F855" s="31" t="str">
        <f aca="false">IF(D855="","",SUBSTITUTE(SUBSTITUTE(SUBSTITUTE(SUBSTITUTE(SUBSTITUTE(SUBSTITUTE(SUBSTITUTE(SUBSTITUTE(SUBSTITUTE(SUBSTITUTE(SUBSTITUTE(SUBSTITUTE(SUBSTITUTE(UPPER(TRIM(D855)),"Á","A"),"À","A"),"Â","A"),"Ã","A"),"É","E"),"Ê","E"),"Í","I"),"Ó","O"),"Ô","O"),"Õ","O"),"Ú","U"),"Ü","U"),"Ç","C"))</f>
        <v/>
      </c>
      <c r="G855" s="31" t="str">
        <f aca="false">IF(E855="","",IF(LEN(SUBSTITUTE(SUBSTITUTE(SUBSTITUTE(SUBSTITUTE(TRIM(E855),"*",""),".",""),"-","")," ",""))=11,MID(SUBSTITUTE(SUBSTITUTE(SUBSTITUTE(SUBSTITUTE(TRIM(E855),"*",""),".",""),"-","")," ",""),4,6),SUBSTITUTE(SUBSTITUTE(SUBSTITUTE(SUBSTITUTE(TRIM(E855),"*",""),".",""),"-","")," ","")))</f>
        <v/>
      </c>
      <c r="H855" s="31" t="str">
        <f aca="false">IF(OR(F855="",G855=""),"",F855&amp;"|"&amp;G855)</f>
        <v/>
      </c>
      <c r="I855" s="23"/>
      <c r="J855" s="22"/>
      <c r="K855" s="22"/>
      <c r="L855" s="25" t="str">
        <f aca="false">IF(F855="","",IF(AND(H855&lt;&gt;"",COUNTIF(Pessoas!$E:$E,H855)&gt;0),"SIM",IF(COUNTIF(Pessoas!$C:$C,F855)&gt;0,"nome igual em Pessoas: confira o CPF","")))</f>
        <v/>
      </c>
      <c r="M855" s="24"/>
      <c r="N855" s="11"/>
    </row>
    <row r="856" customFormat="false" ht="15" hidden="false" customHeight="false" outlineLevel="0" collapsed="false">
      <c r="A856" s="24"/>
      <c r="B856" s="31" t="str">
        <f aca="false">IF(A856="","",IF(LEN(UPPER(SUBSTITUTE(SUBSTITUTE(SUBSTITUTE(SUBSTITUTE(TRIM(A856),".",""),"/",""),"-","")," ","")))&lt;14,RIGHT(REPT("0",14)&amp;UPPER(SUBSTITUTE(SUBSTITUTE(SUBSTITUTE(SUBSTITUTE(TRIM(A856),".",""),"/",""),"-","")," ","")),14),UPPER(SUBSTITUTE(SUBSTITUTE(SUBSTITUTE(SUBSTITUTE(TRIM(A856),".",""),"/",""),"-","")," ",""))))</f>
        <v/>
      </c>
      <c r="C856" s="25" t="str">
        <f aca="false">IF(B856="","",IFERROR(INDEX(Empresas!$C:$C,MATCH(B856,Empresas!$B:$B,0)),"cadastre o CNPJ em Empresas"))</f>
        <v/>
      </c>
      <c r="D856" s="23"/>
      <c r="E856" s="24"/>
      <c r="F856" s="31" t="str">
        <f aca="false">IF(D856="","",SUBSTITUTE(SUBSTITUTE(SUBSTITUTE(SUBSTITUTE(SUBSTITUTE(SUBSTITUTE(SUBSTITUTE(SUBSTITUTE(SUBSTITUTE(SUBSTITUTE(SUBSTITUTE(SUBSTITUTE(SUBSTITUTE(UPPER(TRIM(D856)),"Á","A"),"À","A"),"Â","A"),"Ã","A"),"É","E"),"Ê","E"),"Í","I"),"Ó","O"),"Ô","O"),"Õ","O"),"Ú","U"),"Ü","U"),"Ç","C"))</f>
        <v/>
      </c>
      <c r="G856" s="31" t="str">
        <f aca="false">IF(E856="","",IF(LEN(SUBSTITUTE(SUBSTITUTE(SUBSTITUTE(SUBSTITUTE(TRIM(E856),"*",""),".",""),"-","")," ",""))=11,MID(SUBSTITUTE(SUBSTITUTE(SUBSTITUTE(SUBSTITUTE(TRIM(E856),"*",""),".",""),"-","")," ",""),4,6),SUBSTITUTE(SUBSTITUTE(SUBSTITUTE(SUBSTITUTE(TRIM(E856),"*",""),".",""),"-","")," ","")))</f>
        <v/>
      </c>
      <c r="H856" s="31" t="str">
        <f aca="false">IF(OR(F856="",G856=""),"",F856&amp;"|"&amp;G856)</f>
        <v/>
      </c>
      <c r="I856" s="23"/>
      <c r="J856" s="22"/>
      <c r="K856" s="22"/>
      <c r="L856" s="25" t="str">
        <f aca="false">IF(F856="","",IF(AND(H856&lt;&gt;"",COUNTIF(Pessoas!$E:$E,H856)&gt;0),"SIM",IF(COUNTIF(Pessoas!$C:$C,F856)&gt;0,"nome igual em Pessoas: confira o CPF","")))</f>
        <v/>
      </c>
      <c r="M856" s="24"/>
      <c r="N856" s="11"/>
    </row>
    <row r="857" customFormat="false" ht="15" hidden="false" customHeight="false" outlineLevel="0" collapsed="false">
      <c r="A857" s="24"/>
      <c r="B857" s="31" t="str">
        <f aca="false">IF(A857="","",IF(LEN(UPPER(SUBSTITUTE(SUBSTITUTE(SUBSTITUTE(SUBSTITUTE(TRIM(A857),".",""),"/",""),"-","")," ","")))&lt;14,RIGHT(REPT("0",14)&amp;UPPER(SUBSTITUTE(SUBSTITUTE(SUBSTITUTE(SUBSTITUTE(TRIM(A857),".",""),"/",""),"-","")," ","")),14),UPPER(SUBSTITUTE(SUBSTITUTE(SUBSTITUTE(SUBSTITUTE(TRIM(A857),".",""),"/",""),"-","")," ",""))))</f>
        <v/>
      </c>
      <c r="C857" s="25" t="str">
        <f aca="false">IF(B857="","",IFERROR(INDEX(Empresas!$C:$C,MATCH(B857,Empresas!$B:$B,0)),"cadastre o CNPJ em Empresas"))</f>
        <v/>
      </c>
      <c r="D857" s="23"/>
      <c r="E857" s="24"/>
      <c r="F857" s="31" t="str">
        <f aca="false">IF(D857="","",SUBSTITUTE(SUBSTITUTE(SUBSTITUTE(SUBSTITUTE(SUBSTITUTE(SUBSTITUTE(SUBSTITUTE(SUBSTITUTE(SUBSTITUTE(SUBSTITUTE(SUBSTITUTE(SUBSTITUTE(SUBSTITUTE(UPPER(TRIM(D857)),"Á","A"),"À","A"),"Â","A"),"Ã","A"),"É","E"),"Ê","E"),"Í","I"),"Ó","O"),"Ô","O"),"Õ","O"),"Ú","U"),"Ü","U"),"Ç","C"))</f>
        <v/>
      </c>
      <c r="G857" s="31" t="str">
        <f aca="false">IF(E857="","",IF(LEN(SUBSTITUTE(SUBSTITUTE(SUBSTITUTE(SUBSTITUTE(TRIM(E857),"*",""),".",""),"-","")," ",""))=11,MID(SUBSTITUTE(SUBSTITUTE(SUBSTITUTE(SUBSTITUTE(TRIM(E857),"*",""),".",""),"-","")," ",""),4,6),SUBSTITUTE(SUBSTITUTE(SUBSTITUTE(SUBSTITUTE(TRIM(E857),"*",""),".",""),"-","")," ","")))</f>
        <v/>
      </c>
      <c r="H857" s="31" t="str">
        <f aca="false">IF(OR(F857="",G857=""),"",F857&amp;"|"&amp;G857)</f>
        <v/>
      </c>
      <c r="I857" s="23"/>
      <c r="J857" s="22"/>
      <c r="K857" s="22"/>
      <c r="L857" s="25" t="str">
        <f aca="false">IF(F857="","",IF(AND(H857&lt;&gt;"",COUNTIF(Pessoas!$E:$E,H857)&gt;0),"SIM",IF(COUNTIF(Pessoas!$C:$C,F857)&gt;0,"nome igual em Pessoas: confira o CPF","")))</f>
        <v/>
      </c>
      <c r="M857" s="24"/>
      <c r="N857" s="11"/>
    </row>
    <row r="858" customFormat="false" ht="15" hidden="false" customHeight="false" outlineLevel="0" collapsed="false">
      <c r="A858" s="24"/>
      <c r="B858" s="31" t="str">
        <f aca="false">IF(A858="","",IF(LEN(UPPER(SUBSTITUTE(SUBSTITUTE(SUBSTITUTE(SUBSTITUTE(TRIM(A858),".",""),"/",""),"-","")," ","")))&lt;14,RIGHT(REPT("0",14)&amp;UPPER(SUBSTITUTE(SUBSTITUTE(SUBSTITUTE(SUBSTITUTE(TRIM(A858),".",""),"/",""),"-","")," ","")),14),UPPER(SUBSTITUTE(SUBSTITUTE(SUBSTITUTE(SUBSTITUTE(TRIM(A858),".",""),"/",""),"-","")," ",""))))</f>
        <v/>
      </c>
      <c r="C858" s="25" t="str">
        <f aca="false">IF(B858="","",IFERROR(INDEX(Empresas!$C:$C,MATCH(B858,Empresas!$B:$B,0)),"cadastre o CNPJ em Empresas"))</f>
        <v/>
      </c>
      <c r="D858" s="23"/>
      <c r="E858" s="24"/>
      <c r="F858" s="31" t="str">
        <f aca="false">IF(D858="","",SUBSTITUTE(SUBSTITUTE(SUBSTITUTE(SUBSTITUTE(SUBSTITUTE(SUBSTITUTE(SUBSTITUTE(SUBSTITUTE(SUBSTITUTE(SUBSTITUTE(SUBSTITUTE(SUBSTITUTE(SUBSTITUTE(UPPER(TRIM(D858)),"Á","A"),"À","A"),"Â","A"),"Ã","A"),"É","E"),"Ê","E"),"Í","I"),"Ó","O"),"Ô","O"),"Õ","O"),"Ú","U"),"Ü","U"),"Ç","C"))</f>
        <v/>
      </c>
      <c r="G858" s="31" t="str">
        <f aca="false">IF(E858="","",IF(LEN(SUBSTITUTE(SUBSTITUTE(SUBSTITUTE(SUBSTITUTE(TRIM(E858),"*",""),".",""),"-","")," ",""))=11,MID(SUBSTITUTE(SUBSTITUTE(SUBSTITUTE(SUBSTITUTE(TRIM(E858),"*",""),".",""),"-","")," ",""),4,6),SUBSTITUTE(SUBSTITUTE(SUBSTITUTE(SUBSTITUTE(TRIM(E858),"*",""),".",""),"-","")," ","")))</f>
        <v/>
      </c>
      <c r="H858" s="31" t="str">
        <f aca="false">IF(OR(F858="",G858=""),"",F858&amp;"|"&amp;G858)</f>
        <v/>
      </c>
      <c r="I858" s="23"/>
      <c r="J858" s="22"/>
      <c r="K858" s="22"/>
      <c r="L858" s="25" t="str">
        <f aca="false">IF(F858="","",IF(AND(H858&lt;&gt;"",COUNTIF(Pessoas!$E:$E,H858)&gt;0),"SIM",IF(COUNTIF(Pessoas!$C:$C,F858)&gt;0,"nome igual em Pessoas: confira o CPF","")))</f>
        <v/>
      </c>
      <c r="M858" s="24"/>
      <c r="N858" s="11"/>
    </row>
    <row r="859" customFormat="false" ht="15" hidden="false" customHeight="false" outlineLevel="0" collapsed="false">
      <c r="A859" s="24"/>
      <c r="B859" s="31" t="str">
        <f aca="false">IF(A859="","",IF(LEN(UPPER(SUBSTITUTE(SUBSTITUTE(SUBSTITUTE(SUBSTITUTE(TRIM(A859),".",""),"/",""),"-","")," ","")))&lt;14,RIGHT(REPT("0",14)&amp;UPPER(SUBSTITUTE(SUBSTITUTE(SUBSTITUTE(SUBSTITUTE(TRIM(A859),".",""),"/",""),"-","")," ","")),14),UPPER(SUBSTITUTE(SUBSTITUTE(SUBSTITUTE(SUBSTITUTE(TRIM(A859),".",""),"/",""),"-","")," ",""))))</f>
        <v/>
      </c>
      <c r="C859" s="25" t="str">
        <f aca="false">IF(B859="","",IFERROR(INDEX(Empresas!$C:$C,MATCH(B859,Empresas!$B:$B,0)),"cadastre o CNPJ em Empresas"))</f>
        <v/>
      </c>
      <c r="D859" s="23"/>
      <c r="E859" s="24"/>
      <c r="F859" s="31" t="str">
        <f aca="false">IF(D859="","",SUBSTITUTE(SUBSTITUTE(SUBSTITUTE(SUBSTITUTE(SUBSTITUTE(SUBSTITUTE(SUBSTITUTE(SUBSTITUTE(SUBSTITUTE(SUBSTITUTE(SUBSTITUTE(SUBSTITUTE(SUBSTITUTE(UPPER(TRIM(D859)),"Á","A"),"À","A"),"Â","A"),"Ã","A"),"É","E"),"Ê","E"),"Í","I"),"Ó","O"),"Ô","O"),"Õ","O"),"Ú","U"),"Ü","U"),"Ç","C"))</f>
        <v/>
      </c>
      <c r="G859" s="31" t="str">
        <f aca="false">IF(E859="","",IF(LEN(SUBSTITUTE(SUBSTITUTE(SUBSTITUTE(SUBSTITUTE(TRIM(E859),"*",""),".",""),"-","")," ",""))=11,MID(SUBSTITUTE(SUBSTITUTE(SUBSTITUTE(SUBSTITUTE(TRIM(E859),"*",""),".",""),"-","")," ",""),4,6),SUBSTITUTE(SUBSTITUTE(SUBSTITUTE(SUBSTITUTE(TRIM(E859),"*",""),".",""),"-","")," ","")))</f>
        <v/>
      </c>
      <c r="H859" s="31" t="str">
        <f aca="false">IF(OR(F859="",G859=""),"",F859&amp;"|"&amp;G859)</f>
        <v/>
      </c>
      <c r="I859" s="23"/>
      <c r="J859" s="22"/>
      <c r="K859" s="22"/>
      <c r="L859" s="25" t="str">
        <f aca="false">IF(F859="","",IF(AND(H859&lt;&gt;"",COUNTIF(Pessoas!$E:$E,H859)&gt;0),"SIM",IF(COUNTIF(Pessoas!$C:$C,F859)&gt;0,"nome igual em Pessoas: confira o CPF","")))</f>
        <v/>
      </c>
      <c r="M859" s="24"/>
      <c r="N859" s="11"/>
    </row>
    <row r="860" customFormat="false" ht="15" hidden="false" customHeight="false" outlineLevel="0" collapsed="false">
      <c r="A860" s="24"/>
      <c r="B860" s="31" t="str">
        <f aca="false">IF(A860="","",IF(LEN(UPPER(SUBSTITUTE(SUBSTITUTE(SUBSTITUTE(SUBSTITUTE(TRIM(A860),".",""),"/",""),"-","")," ","")))&lt;14,RIGHT(REPT("0",14)&amp;UPPER(SUBSTITUTE(SUBSTITUTE(SUBSTITUTE(SUBSTITUTE(TRIM(A860),".",""),"/",""),"-","")," ","")),14),UPPER(SUBSTITUTE(SUBSTITUTE(SUBSTITUTE(SUBSTITUTE(TRIM(A860),".",""),"/",""),"-","")," ",""))))</f>
        <v/>
      </c>
      <c r="C860" s="25" t="str">
        <f aca="false">IF(B860="","",IFERROR(INDEX(Empresas!$C:$C,MATCH(B860,Empresas!$B:$B,0)),"cadastre o CNPJ em Empresas"))</f>
        <v/>
      </c>
      <c r="D860" s="23"/>
      <c r="E860" s="24"/>
      <c r="F860" s="31" t="str">
        <f aca="false">IF(D860="","",SUBSTITUTE(SUBSTITUTE(SUBSTITUTE(SUBSTITUTE(SUBSTITUTE(SUBSTITUTE(SUBSTITUTE(SUBSTITUTE(SUBSTITUTE(SUBSTITUTE(SUBSTITUTE(SUBSTITUTE(SUBSTITUTE(UPPER(TRIM(D860)),"Á","A"),"À","A"),"Â","A"),"Ã","A"),"É","E"),"Ê","E"),"Í","I"),"Ó","O"),"Ô","O"),"Õ","O"),"Ú","U"),"Ü","U"),"Ç","C"))</f>
        <v/>
      </c>
      <c r="G860" s="31" t="str">
        <f aca="false">IF(E860="","",IF(LEN(SUBSTITUTE(SUBSTITUTE(SUBSTITUTE(SUBSTITUTE(TRIM(E860),"*",""),".",""),"-","")," ",""))=11,MID(SUBSTITUTE(SUBSTITUTE(SUBSTITUTE(SUBSTITUTE(TRIM(E860),"*",""),".",""),"-","")," ",""),4,6),SUBSTITUTE(SUBSTITUTE(SUBSTITUTE(SUBSTITUTE(TRIM(E860),"*",""),".",""),"-","")," ","")))</f>
        <v/>
      </c>
      <c r="H860" s="31" t="str">
        <f aca="false">IF(OR(F860="",G860=""),"",F860&amp;"|"&amp;G860)</f>
        <v/>
      </c>
      <c r="I860" s="23"/>
      <c r="J860" s="22"/>
      <c r="K860" s="22"/>
      <c r="L860" s="25" t="str">
        <f aca="false">IF(F860="","",IF(AND(H860&lt;&gt;"",COUNTIF(Pessoas!$E:$E,H860)&gt;0),"SIM",IF(COUNTIF(Pessoas!$C:$C,F860)&gt;0,"nome igual em Pessoas: confira o CPF","")))</f>
        <v/>
      </c>
      <c r="M860" s="24"/>
      <c r="N860" s="11"/>
    </row>
    <row r="861" customFormat="false" ht="15" hidden="false" customHeight="false" outlineLevel="0" collapsed="false">
      <c r="A861" s="24"/>
      <c r="B861" s="31" t="str">
        <f aca="false">IF(A861="","",IF(LEN(UPPER(SUBSTITUTE(SUBSTITUTE(SUBSTITUTE(SUBSTITUTE(TRIM(A861),".",""),"/",""),"-","")," ","")))&lt;14,RIGHT(REPT("0",14)&amp;UPPER(SUBSTITUTE(SUBSTITUTE(SUBSTITUTE(SUBSTITUTE(TRIM(A861),".",""),"/",""),"-","")," ","")),14),UPPER(SUBSTITUTE(SUBSTITUTE(SUBSTITUTE(SUBSTITUTE(TRIM(A861),".",""),"/",""),"-","")," ",""))))</f>
        <v/>
      </c>
      <c r="C861" s="25" t="str">
        <f aca="false">IF(B861="","",IFERROR(INDEX(Empresas!$C:$C,MATCH(B861,Empresas!$B:$B,0)),"cadastre o CNPJ em Empresas"))</f>
        <v/>
      </c>
      <c r="D861" s="23"/>
      <c r="E861" s="24"/>
      <c r="F861" s="31" t="str">
        <f aca="false">IF(D861="","",SUBSTITUTE(SUBSTITUTE(SUBSTITUTE(SUBSTITUTE(SUBSTITUTE(SUBSTITUTE(SUBSTITUTE(SUBSTITUTE(SUBSTITUTE(SUBSTITUTE(SUBSTITUTE(SUBSTITUTE(SUBSTITUTE(UPPER(TRIM(D861)),"Á","A"),"À","A"),"Â","A"),"Ã","A"),"É","E"),"Ê","E"),"Í","I"),"Ó","O"),"Ô","O"),"Õ","O"),"Ú","U"),"Ü","U"),"Ç","C"))</f>
        <v/>
      </c>
      <c r="G861" s="31" t="str">
        <f aca="false">IF(E861="","",IF(LEN(SUBSTITUTE(SUBSTITUTE(SUBSTITUTE(SUBSTITUTE(TRIM(E861),"*",""),".",""),"-","")," ",""))=11,MID(SUBSTITUTE(SUBSTITUTE(SUBSTITUTE(SUBSTITUTE(TRIM(E861),"*",""),".",""),"-","")," ",""),4,6),SUBSTITUTE(SUBSTITUTE(SUBSTITUTE(SUBSTITUTE(TRIM(E861),"*",""),".",""),"-","")," ","")))</f>
        <v/>
      </c>
      <c r="H861" s="31" t="str">
        <f aca="false">IF(OR(F861="",G861=""),"",F861&amp;"|"&amp;G861)</f>
        <v/>
      </c>
      <c r="I861" s="23"/>
      <c r="J861" s="22"/>
      <c r="K861" s="22"/>
      <c r="L861" s="25" t="str">
        <f aca="false">IF(F861="","",IF(AND(H861&lt;&gt;"",COUNTIF(Pessoas!$E:$E,H861)&gt;0),"SIM",IF(COUNTIF(Pessoas!$C:$C,F861)&gt;0,"nome igual em Pessoas: confira o CPF","")))</f>
        <v/>
      </c>
      <c r="M861" s="24"/>
      <c r="N861" s="11"/>
    </row>
    <row r="862" customFormat="false" ht="15" hidden="false" customHeight="false" outlineLevel="0" collapsed="false">
      <c r="A862" s="24"/>
      <c r="B862" s="31" t="str">
        <f aca="false">IF(A862="","",IF(LEN(UPPER(SUBSTITUTE(SUBSTITUTE(SUBSTITUTE(SUBSTITUTE(TRIM(A862),".",""),"/",""),"-","")," ","")))&lt;14,RIGHT(REPT("0",14)&amp;UPPER(SUBSTITUTE(SUBSTITUTE(SUBSTITUTE(SUBSTITUTE(TRIM(A862),".",""),"/",""),"-","")," ","")),14),UPPER(SUBSTITUTE(SUBSTITUTE(SUBSTITUTE(SUBSTITUTE(TRIM(A862),".",""),"/",""),"-","")," ",""))))</f>
        <v/>
      </c>
      <c r="C862" s="25" t="str">
        <f aca="false">IF(B862="","",IFERROR(INDEX(Empresas!$C:$C,MATCH(B862,Empresas!$B:$B,0)),"cadastre o CNPJ em Empresas"))</f>
        <v/>
      </c>
      <c r="D862" s="23"/>
      <c r="E862" s="24"/>
      <c r="F862" s="31" t="str">
        <f aca="false">IF(D862="","",SUBSTITUTE(SUBSTITUTE(SUBSTITUTE(SUBSTITUTE(SUBSTITUTE(SUBSTITUTE(SUBSTITUTE(SUBSTITUTE(SUBSTITUTE(SUBSTITUTE(SUBSTITUTE(SUBSTITUTE(SUBSTITUTE(UPPER(TRIM(D862)),"Á","A"),"À","A"),"Â","A"),"Ã","A"),"É","E"),"Ê","E"),"Í","I"),"Ó","O"),"Ô","O"),"Õ","O"),"Ú","U"),"Ü","U"),"Ç","C"))</f>
        <v/>
      </c>
      <c r="G862" s="31" t="str">
        <f aca="false">IF(E862="","",IF(LEN(SUBSTITUTE(SUBSTITUTE(SUBSTITUTE(SUBSTITUTE(TRIM(E862),"*",""),".",""),"-","")," ",""))=11,MID(SUBSTITUTE(SUBSTITUTE(SUBSTITUTE(SUBSTITUTE(TRIM(E862),"*",""),".",""),"-","")," ",""),4,6),SUBSTITUTE(SUBSTITUTE(SUBSTITUTE(SUBSTITUTE(TRIM(E862),"*",""),".",""),"-","")," ","")))</f>
        <v/>
      </c>
      <c r="H862" s="31" t="str">
        <f aca="false">IF(OR(F862="",G862=""),"",F862&amp;"|"&amp;G862)</f>
        <v/>
      </c>
      <c r="I862" s="23"/>
      <c r="J862" s="22"/>
      <c r="K862" s="22"/>
      <c r="L862" s="25" t="str">
        <f aca="false">IF(F862="","",IF(AND(H862&lt;&gt;"",COUNTIF(Pessoas!$E:$E,H862)&gt;0),"SIM",IF(COUNTIF(Pessoas!$C:$C,F862)&gt;0,"nome igual em Pessoas: confira o CPF","")))</f>
        <v/>
      </c>
      <c r="M862" s="24"/>
      <c r="N862" s="11"/>
    </row>
    <row r="863" customFormat="false" ht="15" hidden="false" customHeight="false" outlineLevel="0" collapsed="false">
      <c r="A863" s="24"/>
      <c r="B863" s="31" t="str">
        <f aca="false">IF(A863="","",IF(LEN(UPPER(SUBSTITUTE(SUBSTITUTE(SUBSTITUTE(SUBSTITUTE(TRIM(A863),".",""),"/",""),"-","")," ","")))&lt;14,RIGHT(REPT("0",14)&amp;UPPER(SUBSTITUTE(SUBSTITUTE(SUBSTITUTE(SUBSTITUTE(TRIM(A863),".",""),"/",""),"-","")," ","")),14),UPPER(SUBSTITUTE(SUBSTITUTE(SUBSTITUTE(SUBSTITUTE(TRIM(A863),".",""),"/",""),"-","")," ",""))))</f>
        <v/>
      </c>
      <c r="C863" s="25" t="str">
        <f aca="false">IF(B863="","",IFERROR(INDEX(Empresas!$C:$C,MATCH(B863,Empresas!$B:$B,0)),"cadastre o CNPJ em Empresas"))</f>
        <v/>
      </c>
      <c r="D863" s="23"/>
      <c r="E863" s="24"/>
      <c r="F863" s="31" t="str">
        <f aca="false">IF(D863="","",SUBSTITUTE(SUBSTITUTE(SUBSTITUTE(SUBSTITUTE(SUBSTITUTE(SUBSTITUTE(SUBSTITUTE(SUBSTITUTE(SUBSTITUTE(SUBSTITUTE(SUBSTITUTE(SUBSTITUTE(SUBSTITUTE(UPPER(TRIM(D863)),"Á","A"),"À","A"),"Â","A"),"Ã","A"),"É","E"),"Ê","E"),"Í","I"),"Ó","O"),"Ô","O"),"Õ","O"),"Ú","U"),"Ü","U"),"Ç","C"))</f>
        <v/>
      </c>
      <c r="G863" s="31" t="str">
        <f aca="false">IF(E863="","",IF(LEN(SUBSTITUTE(SUBSTITUTE(SUBSTITUTE(SUBSTITUTE(TRIM(E863),"*",""),".",""),"-","")," ",""))=11,MID(SUBSTITUTE(SUBSTITUTE(SUBSTITUTE(SUBSTITUTE(TRIM(E863),"*",""),".",""),"-","")," ",""),4,6),SUBSTITUTE(SUBSTITUTE(SUBSTITUTE(SUBSTITUTE(TRIM(E863),"*",""),".",""),"-","")," ","")))</f>
        <v/>
      </c>
      <c r="H863" s="31" t="str">
        <f aca="false">IF(OR(F863="",G863=""),"",F863&amp;"|"&amp;G863)</f>
        <v/>
      </c>
      <c r="I863" s="23"/>
      <c r="J863" s="22"/>
      <c r="K863" s="22"/>
      <c r="L863" s="25" t="str">
        <f aca="false">IF(F863="","",IF(AND(H863&lt;&gt;"",COUNTIF(Pessoas!$E:$E,H863)&gt;0),"SIM",IF(COUNTIF(Pessoas!$C:$C,F863)&gt;0,"nome igual em Pessoas: confira o CPF","")))</f>
        <v/>
      </c>
      <c r="M863" s="24"/>
      <c r="N863" s="11"/>
    </row>
    <row r="864" customFormat="false" ht="15" hidden="false" customHeight="false" outlineLevel="0" collapsed="false">
      <c r="A864" s="24"/>
      <c r="B864" s="31" t="str">
        <f aca="false">IF(A864="","",IF(LEN(UPPER(SUBSTITUTE(SUBSTITUTE(SUBSTITUTE(SUBSTITUTE(TRIM(A864),".",""),"/",""),"-","")," ","")))&lt;14,RIGHT(REPT("0",14)&amp;UPPER(SUBSTITUTE(SUBSTITUTE(SUBSTITUTE(SUBSTITUTE(TRIM(A864),".",""),"/",""),"-","")," ","")),14),UPPER(SUBSTITUTE(SUBSTITUTE(SUBSTITUTE(SUBSTITUTE(TRIM(A864),".",""),"/",""),"-","")," ",""))))</f>
        <v/>
      </c>
      <c r="C864" s="25" t="str">
        <f aca="false">IF(B864="","",IFERROR(INDEX(Empresas!$C:$C,MATCH(B864,Empresas!$B:$B,0)),"cadastre o CNPJ em Empresas"))</f>
        <v/>
      </c>
      <c r="D864" s="23"/>
      <c r="E864" s="24"/>
      <c r="F864" s="31" t="str">
        <f aca="false">IF(D864="","",SUBSTITUTE(SUBSTITUTE(SUBSTITUTE(SUBSTITUTE(SUBSTITUTE(SUBSTITUTE(SUBSTITUTE(SUBSTITUTE(SUBSTITUTE(SUBSTITUTE(SUBSTITUTE(SUBSTITUTE(SUBSTITUTE(UPPER(TRIM(D864)),"Á","A"),"À","A"),"Â","A"),"Ã","A"),"É","E"),"Ê","E"),"Í","I"),"Ó","O"),"Ô","O"),"Õ","O"),"Ú","U"),"Ü","U"),"Ç","C"))</f>
        <v/>
      </c>
      <c r="G864" s="31" t="str">
        <f aca="false">IF(E864="","",IF(LEN(SUBSTITUTE(SUBSTITUTE(SUBSTITUTE(SUBSTITUTE(TRIM(E864),"*",""),".",""),"-","")," ",""))=11,MID(SUBSTITUTE(SUBSTITUTE(SUBSTITUTE(SUBSTITUTE(TRIM(E864),"*",""),".",""),"-","")," ",""),4,6),SUBSTITUTE(SUBSTITUTE(SUBSTITUTE(SUBSTITUTE(TRIM(E864),"*",""),".",""),"-","")," ","")))</f>
        <v/>
      </c>
      <c r="H864" s="31" t="str">
        <f aca="false">IF(OR(F864="",G864=""),"",F864&amp;"|"&amp;G864)</f>
        <v/>
      </c>
      <c r="I864" s="23"/>
      <c r="J864" s="22"/>
      <c r="K864" s="22"/>
      <c r="L864" s="25" t="str">
        <f aca="false">IF(F864="","",IF(AND(H864&lt;&gt;"",COUNTIF(Pessoas!$E:$E,H864)&gt;0),"SIM",IF(COUNTIF(Pessoas!$C:$C,F864)&gt;0,"nome igual em Pessoas: confira o CPF","")))</f>
        <v/>
      </c>
      <c r="M864" s="24"/>
      <c r="N864" s="11"/>
    </row>
    <row r="865" customFormat="false" ht="15" hidden="false" customHeight="false" outlineLevel="0" collapsed="false">
      <c r="A865" s="24"/>
      <c r="B865" s="31" t="str">
        <f aca="false">IF(A865="","",IF(LEN(UPPER(SUBSTITUTE(SUBSTITUTE(SUBSTITUTE(SUBSTITUTE(TRIM(A865),".",""),"/",""),"-","")," ","")))&lt;14,RIGHT(REPT("0",14)&amp;UPPER(SUBSTITUTE(SUBSTITUTE(SUBSTITUTE(SUBSTITUTE(TRIM(A865),".",""),"/",""),"-","")," ","")),14),UPPER(SUBSTITUTE(SUBSTITUTE(SUBSTITUTE(SUBSTITUTE(TRIM(A865),".",""),"/",""),"-","")," ",""))))</f>
        <v/>
      </c>
      <c r="C865" s="25" t="str">
        <f aca="false">IF(B865="","",IFERROR(INDEX(Empresas!$C:$C,MATCH(B865,Empresas!$B:$B,0)),"cadastre o CNPJ em Empresas"))</f>
        <v/>
      </c>
      <c r="D865" s="23"/>
      <c r="E865" s="24"/>
      <c r="F865" s="31" t="str">
        <f aca="false">IF(D865="","",SUBSTITUTE(SUBSTITUTE(SUBSTITUTE(SUBSTITUTE(SUBSTITUTE(SUBSTITUTE(SUBSTITUTE(SUBSTITUTE(SUBSTITUTE(SUBSTITUTE(SUBSTITUTE(SUBSTITUTE(SUBSTITUTE(UPPER(TRIM(D865)),"Á","A"),"À","A"),"Â","A"),"Ã","A"),"É","E"),"Ê","E"),"Í","I"),"Ó","O"),"Ô","O"),"Õ","O"),"Ú","U"),"Ü","U"),"Ç","C"))</f>
        <v/>
      </c>
      <c r="G865" s="31" t="str">
        <f aca="false">IF(E865="","",IF(LEN(SUBSTITUTE(SUBSTITUTE(SUBSTITUTE(SUBSTITUTE(TRIM(E865),"*",""),".",""),"-","")," ",""))=11,MID(SUBSTITUTE(SUBSTITUTE(SUBSTITUTE(SUBSTITUTE(TRIM(E865),"*",""),".",""),"-","")," ",""),4,6),SUBSTITUTE(SUBSTITUTE(SUBSTITUTE(SUBSTITUTE(TRIM(E865),"*",""),".",""),"-","")," ","")))</f>
        <v/>
      </c>
      <c r="H865" s="31" t="str">
        <f aca="false">IF(OR(F865="",G865=""),"",F865&amp;"|"&amp;G865)</f>
        <v/>
      </c>
      <c r="I865" s="23"/>
      <c r="J865" s="22"/>
      <c r="K865" s="22"/>
      <c r="L865" s="25" t="str">
        <f aca="false">IF(F865="","",IF(AND(H865&lt;&gt;"",COUNTIF(Pessoas!$E:$E,H865)&gt;0),"SIM",IF(COUNTIF(Pessoas!$C:$C,F865)&gt;0,"nome igual em Pessoas: confira o CPF","")))</f>
        <v/>
      </c>
      <c r="M865" s="24"/>
      <c r="N865" s="11"/>
    </row>
    <row r="866" customFormat="false" ht="15" hidden="false" customHeight="false" outlineLevel="0" collapsed="false">
      <c r="A866" s="24"/>
      <c r="B866" s="31" t="str">
        <f aca="false">IF(A866="","",IF(LEN(UPPER(SUBSTITUTE(SUBSTITUTE(SUBSTITUTE(SUBSTITUTE(TRIM(A866),".",""),"/",""),"-","")," ","")))&lt;14,RIGHT(REPT("0",14)&amp;UPPER(SUBSTITUTE(SUBSTITUTE(SUBSTITUTE(SUBSTITUTE(TRIM(A866),".",""),"/",""),"-","")," ","")),14),UPPER(SUBSTITUTE(SUBSTITUTE(SUBSTITUTE(SUBSTITUTE(TRIM(A866),".",""),"/",""),"-","")," ",""))))</f>
        <v/>
      </c>
      <c r="C866" s="25" t="str">
        <f aca="false">IF(B866="","",IFERROR(INDEX(Empresas!$C:$C,MATCH(B866,Empresas!$B:$B,0)),"cadastre o CNPJ em Empresas"))</f>
        <v/>
      </c>
      <c r="D866" s="23"/>
      <c r="E866" s="24"/>
      <c r="F866" s="31" t="str">
        <f aca="false">IF(D866="","",SUBSTITUTE(SUBSTITUTE(SUBSTITUTE(SUBSTITUTE(SUBSTITUTE(SUBSTITUTE(SUBSTITUTE(SUBSTITUTE(SUBSTITUTE(SUBSTITUTE(SUBSTITUTE(SUBSTITUTE(SUBSTITUTE(UPPER(TRIM(D866)),"Á","A"),"À","A"),"Â","A"),"Ã","A"),"É","E"),"Ê","E"),"Í","I"),"Ó","O"),"Ô","O"),"Õ","O"),"Ú","U"),"Ü","U"),"Ç","C"))</f>
        <v/>
      </c>
      <c r="G866" s="31" t="str">
        <f aca="false">IF(E866="","",IF(LEN(SUBSTITUTE(SUBSTITUTE(SUBSTITUTE(SUBSTITUTE(TRIM(E866),"*",""),".",""),"-","")," ",""))=11,MID(SUBSTITUTE(SUBSTITUTE(SUBSTITUTE(SUBSTITUTE(TRIM(E866),"*",""),".",""),"-","")," ",""),4,6),SUBSTITUTE(SUBSTITUTE(SUBSTITUTE(SUBSTITUTE(TRIM(E866),"*",""),".",""),"-","")," ","")))</f>
        <v/>
      </c>
      <c r="H866" s="31" t="str">
        <f aca="false">IF(OR(F866="",G866=""),"",F866&amp;"|"&amp;G866)</f>
        <v/>
      </c>
      <c r="I866" s="23"/>
      <c r="J866" s="22"/>
      <c r="K866" s="22"/>
      <c r="L866" s="25" t="str">
        <f aca="false">IF(F866="","",IF(AND(H866&lt;&gt;"",COUNTIF(Pessoas!$E:$E,H866)&gt;0),"SIM",IF(COUNTIF(Pessoas!$C:$C,F866)&gt;0,"nome igual em Pessoas: confira o CPF","")))</f>
        <v/>
      </c>
      <c r="M866" s="24"/>
      <c r="N866" s="11"/>
    </row>
    <row r="867" customFormat="false" ht="15" hidden="false" customHeight="false" outlineLevel="0" collapsed="false">
      <c r="A867" s="24"/>
      <c r="B867" s="31" t="str">
        <f aca="false">IF(A867="","",IF(LEN(UPPER(SUBSTITUTE(SUBSTITUTE(SUBSTITUTE(SUBSTITUTE(TRIM(A867),".",""),"/",""),"-","")," ","")))&lt;14,RIGHT(REPT("0",14)&amp;UPPER(SUBSTITUTE(SUBSTITUTE(SUBSTITUTE(SUBSTITUTE(TRIM(A867),".",""),"/",""),"-","")," ","")),14),UPPER(SUBSTITUTE(SUBSTITUTE(SUBSTITUTE(SUBSTITUTE(TRIM(A867),".",""),"/",""),"-","")," ",""))))</f>
        <v/>
      </c>
      <c r="C867" s="25" t="str">
        <f aca="false">IF(B867="","",IFERROR(INDEX(Empresas!$C:$C,MATCH(B867,Empresas!$B:$B,0)),"cadastre o CNPJ em Empresas"))</f>
        <v/>
      </c>
      <c r="D867" s="23"/>
      <c r="E867" s="24"/>
      <c r="F867" s="31" t="str">
        <f aca="false">IF(D867="","",SUBSTITUTE(SUBSTITUTE(SUBSTITUTE(SUBSTITUTE(SUBSTITUTE(SUBSTITUTE(SUBSTITUTE(SUBSTITUTE(SUBSTITUTE(SUBSTITUTE(SUBSTITUTE(SUBSTITUTE(SUBSTITUTE(UPPER(TRIM(D867)),"Á","A"),"À","A"),"Â","A"),"Ã","A"),"É","E"),"Ê","E"),"Í","I"),"Ó","O"),"Ô","O"),"Õ","O"),"Ú","U"),"Ü","U"),"Ç","C"))</f>
        <v/>
      </c>
      <c r="G867" s="31" t="str">
        <f aca="false">IF(E867="","",IF(LEN(SUBSTITUTE(SUBSTITUTE(SUBSTITUTE(SUBSTITUTE(TRIM(E867),"*",""),".",""),"-","")," ",""))=11,MID(SUBSTITUTE(SUBSTITUTE(SUBSTITUTE(SUBSTITUTE(TRIM(E867),"*",""),".",""),"-","")," ",""),4,6),SUBSTITUTE(SUBSTITUTE(SUBSTITUTE(SUBSTITUTE(TRIM(E867),"*",""),".",""),"-","")," ","")))</f>
        <v/>
      </c>
      <c r="H867" s="31" t="str">
        <f aca="false">IF(OR(F867="",G867=""),"",F867&amp;"|"&amp;G867)</f>
        <v/>
      </c>
      <c r="I867" s="23"/>
      <c r="J867" s="22"/>
      <c r="K867" s="22"/>
      <c r="L867" s="25" t="str">
        <f aca="false">IF(F867="","",IF(AND(H867&lt;&gt;"",COUNTIF(Pessoas!$E:$E,H867)&gt;0),"SIM",IF(COUNTIF(Pessoas!$C:$C,F867)&gt;0,"nome igual em Pessoas: confira o CPF","")))</f>
        <v/>
      </c>
      <c r="M867" s="24"/>
      <c r="N867" s="11"/>
    </row>
    <row r="868" customFormat="false" ht="15" hidden="false" customHeight="false" outlineLevel="0" collapsed="false">
      <c r="A868" s="24"/>
      <c r="B868" s="31" t="str">
        <f aca="false">IF(A868="","",IF(LEN(UPPER(SUBSTITUTE(SUBSTITUTE(SUBSTITUTE(SUBSTITUTE(TRIM(A868),".",""),"/",""),"-","")," ","")))&lt;14,RIGHT(REPT("0",14)&amp;UPPER(SUBSTITUTE(SUBSTITUTE(SUBSTITUTE(SUBSTITUTE(TRIM(A868),".",""),"/",""),"-","")," ","")),14),UPPER(SUBSTITUTE(SUBSTITUTE(SUBSTITUTE(SUBSTITUTE(TRIM(A868),".",""),"/",""),"-","")," ",""))))</f>
        <v/>
      </c>
      <c r="C868" s="25" t="str">
        <f aca="false">IF(B868="","",IFERROR(INDEX(Empresas!$C:$C,MATCH(B868,Empresas!$B:$B,0)),"cadastre o CNPJ em Empresas"))</f>
        <v/>
      </c>
      <c r="D868" s="23"/>
      <c r="E868" s="24"/>
      <c r="F868" s="31" t="str">
        <f aca="false">IF(D868="","",SUBSTITUTE(SUBSTITUTE(SUBSTITUTE(SUBSTITUTE(SUBSTITUTE(SUBSTITUTE(SUBSTITUTE(SUBSTITUTE(SUBSTITUTE(SUBSTITUTE(SUBSTITUTE(SUBSTITUTE(SUBSTITUTE(UPPER(TRIM(D868)),"Á","A"),"À","A"),"Â","A"),"Ã","A"),"É","E"),"Ê","E"),"Í","I"),"Ó","O"),"Ô","O"),"Õ","O"),"Ú","U"),"Ü","U"),"Ç","C"))</f>
        <v/>
      </c>
      <c r="G868" s="31" t="str">
        <f aca="false">IF(E868="","",IF(LEN(SUBSTITUTE(SUBSTITUTE(SUBSTITUTE(SUBSTITUTE(TRIM(E868),"*",""),".",""),"-","")," ",""))=11,MID(SUBSTITUTE(SUBSTITUTE(SUBSTITUTE(SUBSTITUTE(TRIM(E868),"*",""),".",""),"-","")," ",""),4,6),SUBSTITUTE(SUBSTITUTE(SUBSTITUTE(SUBSTITUTE(TRIM(E868),"*",""),".",""),"-","")," ","")))</f>
        <v/>
      </c>
      <c r="H868" s="31" t="str">
        <f aca="false">IF(OR(F868="",G868=""),"",F868&amp;"|"&amp;G868)</f>
        <v/>
      </c>
      <c r="I868" s="23"/>
      <c r="J868" s="22"/>
      <c r="K868" s="22"/>
      <c r="L868" s="25" t="str">
        <f aca="false">IF(F868="","",IF(AND(H868&lt;&gt;"",COUNTIF(Pessoas!$E:$E,H868)&gt;0),"SIM",IF(COUNTIF(Pessoas!$C:$C,F868)&gt;0,"nome igual em Pessoas: confira o CPF","")))</f>
        <v/>
      </c>
      <c r="M868" s="24"/>
      <c r="N868" s="11"/>
    </row>
    <row r="869" customFormat="false" ht="15" hidden="false" customHeight="false" outlineLevel="0" collapsed="false">
      <c r="A869" s="24"/>
      <c r="B869" s="31" t="str">
        <f aca="false">IF(A869="","",IF(LEN(UPPER(SUBSTITUTE(SUBSTITUTE(SUBSTITUTE(SUBSTITUTE(TRIM(A869),".",""),"/",""),"-","")," ","")))&lt;14,RIGHT(REPT("0",14)&amp;UPPER(SUBSTITUTE(SUBSTITUTE(SUBSTITUTE(SUBSTITUTE(TRIM(A869),".",""),"/",""),"-","")," ","")),14),UPPER(SUBSTITUTE(SUBSTITUTE(SUBSTITUTE(SUBSTITUTE(TRIM(A869),".",""),"/",""),"-","")," ",""))))</f>
        <v/>
      </c>
      <c r="C869" s="25" t="str">
        <f aca="false">IF(B869="","",IFERROR(INDEX(Empresas!$C:$C,MATCH(B869,Empresas!$B:$B,0)),"cadastre o CNPJ em Empresas"))</f>
        <v/>
      </c>
      <c r="D869" s="23"/>
      <c r="E869" s="24"/>
      <c r="F869" s="31" t="str">
        <f aca="false">IF(D869="","",SUBSTITUTE(SUBSTITUTE(SUBSTITUTE(SUBSTITUTE(SUBSTITUTE(SUBSTITUTE(SUBSTITUTE(SUBSTITUTE(SUBSTITUTE(SUBSTITUTE(SUBSTITUTE(SUBSTITUTE(SUBSTITUTE(UPPER(TRIM(D869)),"Á","A"),"À","A"),"Â","A"),"Ã","A"),"É","E"),"Ê","E"),"Í","I"),"Ó","O"),"Ô","O"),"Õ","O"),"Ú","U"),"Ü","U"),"Ç","C"))</f>
        <v/>
      </c>
      <c r="G869" s="31" t="str">
        <f aca="false">IF(E869="","",IF(LEN(SUBSTITUTE(SUBSTITUTE(SUBSTITUTE(SUBSTITUTE(TRIM(E869),"*",""),".",""),"-","")," ",""))=11,MID(SUBSTITUTE(SUBSTITUTE(SUBSTITUTE(SUBSTITUTE(TRIM(E869),"*",""),".",""),"-","")," ",""),4,6),SUBSTITUTE(SUBSTITUTE(SUBSTITUTE(SUBSTITUTE(TRIM(E869),"*",""),".",""),"-","")," ","")))</f>
        <v/>
      </c>
      <c r="H869" s="31" t="str">
        <f aca="false">IF(OR(F869="",G869=""),"",F869&amp;"|"&amp;G869)</f>
        <v/>
      </c>
      <c r="I869" s="23"/>
      <c r="J869" s="22"/>
      <c r="K869" s="22"/>
      <c r="L869" s="25" t="str">
        <f aca="false">IF(F869="","",IF(AND(H869&lt;&gt;"",COUNTIF(Pessoas!$E:$E,H869)&gt;0),"SIM",IF(COUNTIF(Pessoas!$C:$C,F869)&gt;0,"nome igual em Pessoas: confira o CPF","")))</f>
        <v/>
      </c>
      <c r="M869" s="24"/>
      <c r="N869" s="11"/>
    </row>
    <row r="870" customFormat="false" ht="15" hidden="false" customHeight="false" outlineLevel="0" collapsed="false">
      <c r="A870" s="24"/>
      <c r="B870" s="31" t="str">
        <f aca="false">IF(A870="","",IF(LEN(UPPER(SUBSTITUTE(SUBSTITUTE(SUBSTITUTE(SUBSTITUTE(TRIM(A870),".",""),"/",""),"-","")," ","")))&lt;14,RIGHT(REPT("0",14)&amp;UPPER(SUBSTITUTE(SUBSTITUTE(SUBSTITUTE(SUBSTITUTE(TRIM(A870),".",""),"/",""),"-","")," ","")),14),UPPER(SUBSTITUTE(SUBSTITUTE(SUBSTITUTE(SUBSTITUTE(TRIM(A870),".",""),"/",""),"-","")," ",""))))</f>
        <v/>
      </c>
      <c r="C870" s="25" t="str">
        <f aca="false">IF(B870="","",IFERROR(INDEX(Empresas!$C:$C,MATCH(B870,Empresas!$B:$B,0)),"cadastre o CNPJ em Empresas"))</f>
        <v/>
      </c>
      <c r="D870" s="23"/>
      <c r="E870" s="24"/>
      <c r="F870" s="31" t="str">
        <f aca="false">IF(D870="","",SUBSTITUTE(SUBSTITUTE(SUBSTITUTE(SUBSTITUTE(SUBSTITUTE(SUBSTITUTE(SUBSTITUTE(SUBSTITUTE(SUBSTITUTE(SUBSTITUTE(SUBSTITUTE(SUBSTITUTE(SUBSTITUTE(UPPER(TRIM(D870)),"Á","A"),"À","A"),"Â","A"),"Ã","A"),"É","E"),"Ê","E"),"Í","I"),"Ó","O"),"Ô","O"),"Õ","O"),"Ú","U"),"Ü","U"),"Ç","C"))</f>
        <v/>
      </c>
      <c r="G870" s="31" t="str">
        <f aca="false">IF(E870="","",IF(LEN(SUBSTITUTE(SUBSTITUTE(SUBSTITUTE(SUBSTITUTE(TRIM(E870),"*",""),".",""),"-","")," ",""))=11,MID(SUBSTITUTE(SUBSTITUTE(SUBSTITUTE(SUBSTITUTE(TRIM(E870),"*",""),".",""),"-","")," ",""),4,6),SUBSTITUTE(SUBSTITUTE(SUBSTITUTE(SUBSTITUTE(TRIM(E870),"*",""),".",""),"-","")," ","")))</f>
        <v/>
      </c>
      <c r="H870" s="31" t="str">
        <f aca="false">IF(OR(F870="",G870=""),"",F870&amp;"|"&amp;G870)</f>
        <v/>
      </c>
      <c r="I870" s="23"/>
      <c r="J870" s="22"/>
      <c r="K870" s="22"/>
      <c r="L870" s="25" t="str">
        <f aca="false">IF(F870="","",IF(AND(H870&lt;&gt;"",COUNTIF(Pessoas!$E:$E,H870)&gt;0),"SIM",IF(COUNTIF(Pessoas!$C:$C,F870)&gt;0,"nome igual em Pessoas: confira o CPF","")))</f>
        <v/>
      </c>
      <c r="M870" s="24"/>
      <c r="N870" s="11"/>
    </row>
    <row r="871" customFormat="false" ht="15" hidden="false" customHeight="false" outlineLevel="0" collapsed="false">
      <c r="A871" s="24"/>
      <c r="B871" s="31" t="str">
        <f aca="false">IF(A871="","",IF(LEN(UPPER(SUBSTITUTE(SUBSTITUTE(SUBSTITUTE(SUBSTITUTE(TRIM(A871),".",""),"/",""),"-","")," ","")))&lt;14,RIGHT(REPT("0",14)&amp;UPPER(SUBSTITUTE(SUBSTITUTE(SUBSTITUTE(SUBSTITUTE(TRIM(A871),".",""),"/",""),"-","")," ","")),14),UPPER(SUBSTITUTE(SUBSTITUTE(SUBSTITUTE(SUBSTITUTE(TRIM(A871),".",""),"/",""),"-","")," ",""))))</f>
        <v/>
      </c>
      <c r="C871" s="25" t="str">
        <f aca="false">IF(B871="","",IFERROR(INDEX(Empresas!$C:$C,MATCH(B871,Empresas!$B:$B,0)),"cadastre o CNPJ em Empresas"))</f>
        <v/>
      </c>
      <c r="D871" s="23"/>
      <c r="E871" s="24"/>
      <c r="F871" s="31" t="str">
        <f aca="false">IF(D871="","",SUBSTITUTE(SUBSTITUTE(SUBSTITUTE(SUBSTITUTE(SUBSTITUTE(SUBSTITUTE(SUBSTITUTE(SUBSTITUTE(SUBSTITUTE(SUBSTITUTE(SUBSTITUTE(SUBSTITUTE(SUBSTITUTE(UPPER(TRIM(D871)),"Á","A"),"À","A"),"Â","A"),"Ã","A"),"É","E"),"Ê","E"),"Í","I"),"Ó","O"),"Ô","O"),"Õ","O"),"Ú","U"),"Ü","U"),"Ç","C"))</f>
        <v/>
      </c>
      <c r="G871" s="31" t="str">
        <f aca="false">IF(E871="","",IF(LEN(SUBSTITUTE(SUBSTITUTE(SUBSTITUTE(SUBSTITUTE(TRIM(E871),"*",""),".",""),"-","")," ",""))=11,MID(SUBSTITUTE(SUBSTITUTE(SUBSTITUTE(SUBSTITUTE(TRIM(E871),"*",""),".",""),"-","")," ",""),4,6),SUBSTITUTE(SUBSTITUTE(SUBSTITUTE(SUBSTITUTE(TRIM(E871),"*",""),".",""),"-","")," ","")))</f>
        <v/>
      </c>
      <c r="H871" s="31" t="str">
        <f aca="false">IF(OR(F871="",G871=""),"",F871&amp;"|"&amp;G871)</f>
        <v/>
      </c>
      <c r="I871" s="23"/>
      <c r="J871" s="22"/>
      <c r="K871" s="22"/>
      <c r="L871" s="25" t="str">
        <f aca="false">IF(F871="","",IF(AND(H871&lt;&gt;"",COUNTIF(Pessoas!$E:$E,H871)&gt;0),"SIM",IF(COUNTIF(Pessoas!$C:$C,F871)&gt;0,"nome igual em Pessoas: confira o CPF","")))</f>
        <v/>
      </c>
      <c r="M871" s="24"/>
      <c r="N871" s="11"/>
    </row>
    <row r="872" customFormat="false" ht="15" hidden="false" customHeight="false" outlineLevel="0" collapsed="false">
      <c r="A872" s="24"/>
      <c r="B872" s="31" t="str">
        <f aca="false">IF(A872="","",IF(LEN(UPPER(SUBSTITUTE(SUBSTITUTE(SUBSTITUTE(SUBSTITUTE(TRIM(A872),".",""),"/",""),"-","")," ","")))&lt;14,RIGHT(REPT("0",14)&amp;UPPER(SUBSTITUTE(SUBSTITUTE(SUBSTITUTE(SUBSTITUTE(TRIM(A872),".",""),"/",""),"-","")," ","")),14),UPPER(SUBSTITUTE(SUBSTITUTE(SUBSTITUTE(SUBSTITUTE(TRIM(A872),".",""),"/",""),"-","")," ",""))))</f>
        <v/>
      </c>
      <c r="C872" s="25" t="str">
        <f aca="false">IF(B872="","",IFERROR(INDEX(Empresas!$C:$C,MATCH(B872,Empresas!$B:$B,0)),"cadastre o CNPJ em Empresas"))</f>
        <v/>
      </c>
      <c r="D872" s="23"/>
      <c r="E872" s="24"/>
      <c r="F872" s="31" t="str">
        <f aca="false">IF(D872="","",SUBSTITUTE(SUBSTITUTE(SUBSTITUTE(SUBSTITUTE(SUBSTITUTE(SUBSTITUTE(SUBSTITUTE(SUBSTITUTE(SUBSTITUTE(SUBSTITUTE(SUBSTITUTE(SUBSTITUTE(SUBSTITUTE(UPPER(TRIM(D872)),"Á","A"),"À","A"),"Â","A"),"Ã","A"),"É","E"),"Ê","E"),"Í","I"),"Ó","O"),"Ô","O"),"Õ","O"),"Ú","U"),"Ü","U"),"Ç","C"))</f>
        <v/>
      </c>
      <c r="G872" s="31" t="str">
        <f aca="false">IF(E872="","",IF(LEN(SUBSTITUTE(SUBSTITUTE(SUBSTITUTE(SUBSTITUTE(TRIM(E872),"*",""),".",""),"-","")," ",""))=11,MID(SUBSTITUTE(SUBSTITUTE(SUBSTITUTE(SUBSTITUTE(TRIM(E872),"*",""),".",""),"-","")," ",""),4,6),SUBSTITUTE(SUBSTITUTE(SUBSTITUTE(SUBSTITUTE(TRIM(E872),"*",""),".",""),"-","")," ","")))</f>
        <v/>
      </c>
      <c r="H872" s="31" t="str">
        <f aca="false">IF(OR(F872="",G872=""),"",F872&amp;"|"&amp;G872)</f>
        <v/>
      </c>
      <c r="I872" s="23"/>
      <c r="J872" s="22"/>
      <c r="K872" s="22"/>
      <c r="L872" s="25" t="str">
        <f aca="false">IF(F872="","",IF(AND(H872&lt;&gt;"",COUNTIF(Pessoas!$E:$E,H872)&gt;0),"SIM",IF(COUNTIF(Pessoas!$C:$C,F872)&gt;0,"nome igual em Pessoas: confira o CPF","")))</f>
        <v/>
      </c>
      <c r="M872" s="24"/>
      <c r="N872" s="11"/>
    </row>
    <row r="873" customFormat="false" ht="15" hidden="false" customHeight="false" outlineLevel="0" collapsed="false">
      <c r="A873" s="24"/>
      <c r="B873" s="31" t="str">
        <f aca="false">IF(A873="","",IF(LEN(UPPER(SUBSTITUTE(SUBSTITUTE(SUBSTITUTE(SUBSTITUTE(TRIM(A873),".",""),"/",""),"-","")," ","")))&lt;14,RIGHT(REPT("0",14)&amp;UPPER(SUBSTITUTE(SUBSTITUTE(SUBSTITUTE(SUBSTITUTE(TRIM(A873),".",""),"/",""),"-","")," ","")),14),UPPER(SUBSTITUTE(SUBSTITUTE(SUBSTITUTE(SUBSTITUTE(TRIM(A873),".",""),"/",""),"-","")," ",""))))</f>
        <v/>
      </c>
      <c r="C873" s="25" t="str">
        <f aca="false">IF(B873="","",IFERROR(INDEX(Empresas!$C:$C,MATCH(B873,Empresas!$B:$B,0)),"cadastre o CNPJ em Empresas"))</f>
        <v/>
      </c>
      <c r="D873" s="23"/>
      <c r="E873" s="24"/>
      <c r="F873" s="31" t="str">
        <f aca="false">IF(D873="","",SUBSTITUTE(SUBSTITUTE(SUBSTITUTE(SUBSTITUTE(SUBSTITUTE(SUBSTITUTE(SUBSTITUTE(SUBSTITUTE(SUBSTITUTE(SUBSTITUTE(SUBSTITUTE(SUBSTITUTE(SUBSTITUTE(UPPER(TRIM(D873)),"Á","A"),"À","A"),"Â","A"),"Ã","A"),"É","E"),"Ê","E"),"Í","I"),"Ó","O"),"Ô","O"),"Õ","O"),"Ú","U"),"Ü","U"),"Ç","C"))</f>
        <v/>
      </c>
      <c r="G873" s="31" t="str">
        <f aca="false">IF(E873="","",IF(LEN(SUBSTITUTE(SUBSTITUTE(SUBSTITUTE(SUBSTITUTE(TRIM(E873),"*",""),".",""),"-","")," ",""))=11,MID(SUBSTITUTE(SUBSTITUTE(SUBSTITUTE(SUBSTITUTE(TRIM(E873),"*",""),".",""),"-","")," ",""),4,6),SUBSTITUTE(SUBSTITUTE(SUBSTITUTE(SUBSTITUTE(TRIM(E873),"*",""),".",""),"-","")," ","")))</f>
        <v/>
      </c>
      <c r="H873" s="31" t="str">
        <f aca="false">IF(OR(F873="",G873=""),"",F873&amp;"|"&amp;G873)</f>
        <v/>
      </c>
      <c r="I873" s="23"/>
      <c r="J873" s="22"/>
      <c r="K873" s="22"/>
      <c r="L873" s="25" t="str">
        <f aca="false">IF(F873="","",IF(AND(H873&lt;&gt;"",COUNTIF(Pessoas!$E:$E,H873)&gt;0),"SIM",IF(COUNTIF(Pessoas!$C:$C,F873)&gt;0,"nome igual em Pessoas: confira o CPF","")))</f>
        <v/>
      </c>
      <c r="M873" s="24"/>
      <c r="N873" s="11"/>
    </row>
    <row r="874" customFormat="false" ht="15" hidden="false" customHeight="false" outlineLevel="0" collapsed="false">
      <c r="A874" s="24"/>
      <c r="B874" s="31" t="str">
        <f aca="false">IF(A874="","",IF(LEN(UPPER(SUBSTITUTE(SUBSTITUTE(SUBSTITUTE(SUBSTITUTE(TRIM(A874),".",""),"/",""),"-","")," ","")))&lt;14,RIGHT(REPT("0",14)&amp;UPPER(SUBSTITUTE(SUBSTITUTE(SUBSTITUTE(SUBSTITUTE(TRIM(A874),".",""),"/",""),"-","")," ","")),14),UPPER(SUBSTITUTE(SUBSTITUTE(SUBSTITUTE(SUBSTITUTE(TRIM(A874),".",""),"/",""),"-","")," ",""))))</f>
        <v/>
      </c>
      <c r="C874" s="25" t="str">
        <f aca="false">IF(B874="","",IFERROR(INDEX(Empresas!$C:$C,MATCH(B874,Empresas!$B:$B,0)),"cadastre o CNPJ em Empresas"))</f>
        <v/>
      </c>
      <c r="D874" s="23"/>
      <c r="E874" s="24"/>
      <c r="F874" s="31" t="str">
        <f aca="false">IF(D874="","",SUBSTITUTE(SUBSTITUTE(SUBSTITUTE(SUBSTITUTE(SUBSTITUTE(SUBSTITUTE(SUBSTITUTE(SUBSTITUTE(SUBSTITUTE(SUBSTITUTE(SUBSTITUTE(SUBSTITUTE(SUBSTITUTE(UPPER(TRIM(D874)),"Á","A"),"À","A"),"Â","A"),"Ã","A"),"É","E"),"Ê","E"),"Í","I"),"Ó","O"),"Ô","O"),"Õ","O"),"Ú","U"),"Ü","U"),"Ç","C"))</f>
        <v/>
      </c>
      <c r="G874" s="31" t="str">
        <f aca="false">IF(E874="","",IF(LEN(SUBSTITUTE(SUBSTITUTE(SUBSTITUTE(SUBSTITUTE(TRIM(E874),"*",""),".",""),"-","")," ",""))=11,MID(SUBSTITUTE(SUBSTITUTE(SUBSTITUTE(SUBSTITUTE(TRIM(E874),"*",""),".",""),"-","")," ",""),4,6),SUBSTITUTE(SUBSTITUTE(SUBSTITUTE(SUBSTITUTE(TRIM(E874),"*",""),".",""),"-","")," ","")))</f>
        <v/>
      </c>
      <c r="H874" s="31" t="str">
        <f aca="false">IF(OR(F874="",G874=""),"",F874&amp;"|"&amp;G874)</f>
        <v/>
      </c>
      <c r="I874" s="23"/>
      <c r="J874" s="22"/>
      <c r="K874" s="22"/>
      <c r="L874" s="25" t="str">
        <f aca="false">IF(F874="","",IF(AND(H874&lt;&gt;"",COUNTIF(Pessoas!$E:$E,H874)&gt;0),"SIM",IF(COUNTIF(Pessoas!$C:$C,F874)&gt;0,"nome igual em Pessoas: confira o CPF","")))</f>
        <v/>
      </c>
      <c r="M874" s="24"/>
      <c r="N874" s="11"/>
    </row>
    <row r="875" customFormat="false" ht="15" hidden="false" customHeight="false" outlineLevel="0" collapsed="false">
      <c r="A875" s="24"/>
      <c r="B875" s="31" t="str">
        <f aca="false">IF(A875="","",IF(LEN(UPPER(SUBSTITUTE(SUBSTITUTE(SUBSTITUTE(SUBSTITUTE(TRIM(A875),".",""),"/",""),"-","")," ","")))&lt;14,RIGHT(REPT("0",14)&amp;UPPER(SUBSTITUTE(SUBSTITUTE(SUBSTITUTE(SUBSTITUTE(TRIM(A875),".",""),"/",""),"-","")," ","")),14),UPPER(SUBSTITUTE(SUBSTITUTE(SUBSTITUTE(SUBSTITUTE(TRIM(A875),".",""),"/",""),"-","")," ",""))))</f>
        <v/>
      </c>
      <c r="C875" s="25" t="str">
        <f aca="false">IF(B875="","",IFERROR(INDEX(Empresas!$C:$C,MATCH(B875,Empresas!$B:$B,0)),"cadastre o CNPJ em Empresas"))</f>
        <v/>
      </c>
      <c r="D875" s="23"/>
      <c r="E875" s="24"/>
      <c r="F875" s="31" t="str">
        <f aca="false">IF(D875="","",SUBSTITUTE(SUBSTITUTE(SUBSTITUTE(SUBSTITUTE(SUBSTITUTE(SUBSTITUTE(SUBSTITUTE(SUBSTITUTE(SUBSTITUTE(SUBSTITUTE(SUBSTITUTE(SUBSTITUTE(SUBSTITUTE(UPPER(TRIM(D875)),"Á","A"),"À","A"),"Â","A"),"Ã","A"),"É","E"),"Ê","E"),"Í","I"),"Ó","O"),"Ô","O"),"Õ","O"),"Ú","U"),"Ü","U"),"Ç","C"))</f>
        <v/>
      </c>
      <c r="G875" s="31" t="str">
        <f aca="false">IF(E875="","",IF(LEN(SUBSTITUTE(SUBSTITUTE(SUBSTITUTE(SUBSTITUTE(TRIM(E875),"*",""),".",""),"-","")," ",""))=11,MID(SUBSTITUTE(SUBSTITUTE(SUBSTITUTE(SUBSTITUTE(TRIM(E875),"*",""),".",""),"-","")," ",""),4,6),SUBSTITUTE(SUBSTITUTE(SUBSTITUTE(SUBSTITUTE(TRIM(E875),"*",""),".",""),"-","")," ","")))</f>
        <v/>
      </c>
      <c r="H875" s="31" t="str">
        <f aca="false">IF(OR(F875="",G875=""),"",F875&amp;"|"&amp;G875)</f>
        <v/>
      </c>
      <c r="I875" s="23"/>
      <c r="J875" s="22"/>
      <c r="K875" s="22"/>
      <c r="L875" s="25" t="str">
        <f aca="false">IF(F875="","",IF(AND(H875&lt;&gt;"",COUNTIF(Pessoas!$E:$E,H875)&gt;0),"SIM",IF(COUNTIF(Pessoas!$C:$C,F875)&gt;0,"nome igual em Pessoas: confira o CPF","")))</f>
        <v/>
      </c>
      <c r="M875" s="24"/>
      <c r="N875" s="11"/>
    </row>
    <row r="876" customFormat="false" ht="15" hidden="false" customHeight="false" outlineLevel="0" collapsed="false">
      <c r="A876" s="24"/>
      <c r="B876" s="31" t="str">
        <f aca="false">IF(A876="","",IF(LEN(UPPER(SUBSTITUTE(SUBSTITUTE(SUBSTITUTE(SUBSTITUTE(TRIM(A876),".",""),"/",""),"-","")," ","")))&lt;14,RIGHT(REPT("0",14)&amp;UPPER(SUBSTITUTE(SUBSTITUTE(SUBSTITUTE(SUBSTITUTE(TRIM(A876),".",""),"/",""),"-","")," ","")),14),UPPER(SUBSTITUTE(SUBSTITUTE(SUBSTITUTE(SUBSTITUTE(TRIM(A876),".",""),"/",""),"-","")," ",""))))</f>
        <v/>
      </c>
      <c r="C876" s="25" t="str">
        <f aca="false">IF(B876="","",IFERROR(INDEX(Empresas!$C:$C,MATCH(B876,Empresas!$B:$B,0)),"cadastre o CNPJ em Empresas"))</f>
        <v/>
      </c>
      <c r="D876" s="23"/>
      <c r="E876" s="24"/>
      <c r="F876" s="31" t="str">
        <f aca="false">IF(D876="","",SUBSTITUTE(SUBSTITUTE(SUBSTITUTE(SUBSTITUTE(SUBSTITUTE(SUBSTITUTE(SUBSTITUTE(SUBSTITUTE(SUBSTITUTE(SUBSTITUTE(SUBSTITUTE(SUBSTITUTE(SUBSTITUTE(UPPER(TRIM(D876)),"Á","A"),"À","A"),"Â","A"),"Ã","A"),"É","E"),"Ê","E"),"Í","I"),"Ó","O"),"Ô","O"),"Õ","O"),"Ú","U"),"Ü","U"),"Ç","C"))</f>
        <v/>
      </c>
      <c r="G876" s="31" t="str">
        <f aca="false">IF(E876="","",IF(LEN(SUBSTITUTE(SUBSTITUTE(SUBSTITUTE(SUBSTITUTE(TRIM(E876),"*",""),".",""),"-","")," ",""))=11,MID(SUBSTITUTE(SUBSTITUTE(SUBSTITUTE(SUBSTITUTE(TRIM(E876),"*",""),".",""),"-","")," ",""),4,6),SUBSTITUTE(SUBSTITUTE(SUBSTITUTE(SUBSTITUTE(TRIM(E876),"*",""),".",""),"-","")," ","")))</f>
        <v/>
      </c>
      <c r="H876" s="31" t="str">
        <f aca="false">IF(OR(F876="",G876=""),"",F876&amp;"|"&amp;G876)</f>
        <v/>
      </c>
      <c r="I876" s="23"/>
      <c r="J876" s="22"/>
      <c r="K876" s="22"/>
      <c r="L876" s="25" t="str">
        <f aca="false">IF(F876="","",IF(AND(H876&lt;&gt;"",COUNTIF(Pessoas!$E:$E,H876)&gt;0),"SIM",IF(COUNTIF(Pessoas!$C:$C,F876)&gt;0,"nome igual em Pessoas: confira o CPF","")))</f>
        <v/>
      </c>
      <c r="M876" s="24"/>
      <c r="N876" s="11"/>
    </row>
    <row r="877" customFormat="false" ht="15" hidden="false" customHeight="false" outlineLevel="0" collapsed="false">
      <c r="A877" s="24"/>
      <c r="B877" s="31" t="str">
        <f aca="false">IF(A877="","",IF(LEN(UPPER(SUBSTITUTE(SUBSTITUTE(SUBSTITUTE(SUBSTITUTE(TRIM(A877),".",""),"/",""),"-","")," ","")))&lt;14,RIGHT(REPT("0",14)&amp;UPPER(SUBSTITUTE(SUBSTITUTE(SUBSTITUTE(SUBSTITUTE(TRIM(A877),".",""),"/",""),"-","")," ","")),14),UPPER(SUBSTITUTE(SUBSTITUTE(SUBSTITUTE(SUBSTITUTE(TRIM(A877),".",""),"/",""),"-","")," ",""))))</f>
        <v/>
      </c>
      <c r="C877" s="25" t="str">
        <f aca="false">IF(B877="","",IFERROR(INDEX(Empresas!$C:$C,MATCH(B877,Empresas!$B:$B,0)),"cadastre o CNPJ em Empresas"))</f>
        <v/>
      </c>
      <c r="D877" s="23"/>
      <c r="E877" s="24"/>
      <c r="F877" s="31" t="str">
        <f aca="false">IF(D877="","",SUBSTITUTE(SUBSTITUTE(SUBSTITUTE(SUBSTITUTE(SUBSTITUTE(SUBSTITUTE(SUBSTITUTE(SUBSTITUTE(SUBSTITUTE(SUBSTITUTE(SUBSTITUTE(SUBSTITUTE(SUBSTITUTE(UPPER(TRIM(D877)),"Á","A"),"À","A"),"Â","A"),"Ã","A"),"É","E"),"Ê","E"),"Í","I"),"Ó","O"),"Ô","O"),"Õ","O"),"Ú","U"),"Ü","U"),"Ç","C"))</f>
        <v/>
      </c>
      <c r="G877" s="31" t="str">
        <f aca="false">IF(E877="","",IF(LEN(SUBSTITUTE(SUBSTITUTE(SUBSTITUTE(SUBSTITUTE(TRIM(E877),"*",""),".",""),"-","")," ",""))=11,MID(SUBSTITUTE(SUBSTITUTE(SUBSTITUTE(SUBSTITUTE(TRIM(E877),"*",""),".",""),"-","")," ",""),4,6),SUBSTITUTE(SUBSTITUTE(SUBSTITUTE(SUBSTITUTE(TRIM(E877),"*",""),".",""),"-","")," ","")))</f>
        <v/>
      </c>
      <c r="H877" s="31" t="str">
        <f aca="false">IF(OR(F877="",G877=""),"",F877&amp;"|"&amp;G877)</f>
        <v/>
      </c>
      <c r="I877" s="23"/>
      <c r="J877" s="22"/>
      <c r="K877" s="22"/>
      <c r="L877" s="25" t="str">
        <f aca="false">IF(F877="","",IF(AND(H877&lt;&gt;"",COUNTIF(Pessoas!$E:$E,H877)&gt;0),"SIM",IF(COUNTIF(Pessoas!$C:$C,F877)&gt;0,"nome igual em Pessoas: confira o CPF","")))</f>
        <v/>
      </c>
      <c r="M877" s="24"/>
      <c r="N877" s="11"/>
    </row>
    <row r="878" customFormat="false" ht="15" hidden="false" customHeight="false" outlineLevel="0" collapsed="false">
      <c r="A878" s="24"/>
      <c r="B878" s="31" t="str">
        <f aca="false">IF(A878="","",IF(LEN(UPPER(SUBSTITUTE(SUBSTITUTE(SUBSTITUTE(SUBSTITUTE(TRIM(A878),".",""),"/",""),"-","")," ","")))&lt;14,RIGHT(REPT("0",14)&amp;UPPER(SUBSTITUTE(SUBSTITUTE(SUBSTITUTE(SUBSTITUTE(TRIM(A878),".",""),"/",""),"-","")," ","")),14),UPPER(SUBSTITUTE(SUBSTITUTE(SUBSTITUTE(SUBSTITUTE(TRIM(A878),".",""),"/",""),"-","")," ",""))))</f>
        <v/>
      </c>
      <c r="C878" s="25" t="str">
        <f aca="false">IF(B878="","",IFERROR(INDEX(Empresas!$C:$C,MATCH(B878,Empresas!$B:$B,0)),"cadastre o CNPJ em Empresas"))</f>
        <v/>
      </c>
      <c r="D878" s="23"/>
      <c r="E878" s="24"/>
      <c r="F878" s="31" t="str">
        <f aca="false">IF(D878="","",SUBSTITUTE(SUBSTITUTE(SUBSTITUTE(SUBSTITUTE(SUBSTITUTE(SUBSTITUTE(SUBSTITUTE(SUBSTITUTE(SUBSTITUTE(SUBSTITUTE(SUBSTITUTE(SUBSTITUTE(SUBSTITUTE(UPPER(TRIM(D878)),"Á","A"),"À","A"),"Â","A"),"Ã","A"),"É","E"),"Ê","E"),"Í","I"),"Ó","O"),"Ô","O"),"Õ","O"),"Ú","U"),"Ü","U"),"Ç","C"))</f>
        <v/>
      </c>
      <c r="G878" s="31" t="str">
        <f aca="false">IF(E878="","",IF(LEN(SUBSTITUTE(SUBSTITUTE(SUBSTITUTE(SUBSTITUTE(TRIM(E878),"*",""),".",""),"-","")," ",""))=11,MID(SUBSTITUTE(SUBSTITUTE(SUBSTITUTE(SUBSTITUTE(TRIM(E878),"*",""),".",""),"-","")," ",""),4,6),SUBSTITUTE(SUBSTITUTE(SUBSTITUTE(SUBSTITUTE(TRIM(E878),"*",""),".",""),"-","")," ","")))</f>
        <v/>
      </c>
      <c r="H878" s="31" t="str">
        <f aca="false">IF(OR(F878="",G878=""),"",F878&amp;"|"&amp;G878)</f>
        <v/>
      </c>
      <c r="I878" s="23"/>
      <c r="J878" s="22"/>
      <c r="K878" s="22"/>
      <c r="L878" s="25" t="str">
        <f aca="false">IF(F878="","",IF(AND(H878&lt;&gt;"",COUNTIF(Pessoas!$E:$E,H878)&gt;0),"SIM",IF(COUNTIF(Pessoas!$C:$C,F878)&gt;0,"nome igual em Pessoas: confira o CPF","")))</f>
        <v/>
      </c>
      <c r="M878" s="24"/>
      <c r="N878" s="11"/>
    </row>
    <row r="879" customFormat="false" ht="15" hidden="false" customHeight="false" outlineLevel="0" collapsed="false">
      <c r="A879" s="24"/>
      <c r="B879" s="31" t="str">
        <f aca="false">IF(A879="","",IF(LEN(UPPER(SUBSTITUTE(SUBSTITUTE(SUBSTITUTE(SUBSTITUTE(TRIM(A879),".",""),"/",""),"-","")," ","")))&lt;14,RIGHT(REPT("0",14)&amp;UPPER(SUBSTITUTE(SUBSTITUTE(SUBSTITUTE(SUBSTITUTE(TRIM(A879),".",""),"/",""),"-","")," ","")),14),UPPER(SUBSTITUTE(SUBSTITUTE(SUBSTITUTE(SUBSTITUTE(TRIM(A879),".",""),"/",""),"-","")," ",""))))</f>
        <v/>
      </c>
      <c r="C879" s="25" t="str">
        <f aca="false">IF(B879="","",IFERROR(INDEX(Empresas!$C:$C,MATCH(B879,Empresas!$B:$B,0)),"cadastre o CNPJ em Empresas"))</f>
        <v/>
      </c>
      <c r="D879" s="23"/>
      <c r="E879" s="24"/>
      <c r="F879" s="31" t="str">
        <f aca="false">IF(D879="","",SUBSTITUTE(SUBSTITUTE(SUBSTITUTE(SUBSTITUTE(SUBSTITUTE(SUBSTITUTE(SUBSTITUTE(SUBSTITUTE(SUBSTITUTE(SUBSTITUTE(SUBSTITUTE(SUBSTITUTE(SUBSTITUTE(UPPER(TRIM(D879)),"Á","A"),"À","A"),"Â","A"),"Ã","A"),"É","E"),"Ê","E"),"Í","I"),"Ó","O"),"Ô","O"),"Õ","O"),"Ú","U"),"Ü","U"),"Ç","C"))</f>
        <v/>
      </c>
      <c r="G879" s="31" t="str">
        <f aca="false">IF(E879="","",IF(LEN(SUBSTITUTE(SUBSTITUTE(SUBSTITUTE(SUBSTITUTE(TRIM(E879),"*",""),".",""),"-","")," ",""))=11,MID(SUBSTITUTE(SUBSTITUTE(SUBSTITUTE(SUBSTITUTE(TRIM(E879),"*",""),".",""),"-","")," ",""),4,6),SUBSTITUTE(SUBSTITUTE(SUBSTITUTE(SUBSTITUTE(TRIM(E879),"*",""),".",""),"-","")," ","")))</f>
        <v/>
      </c>
      <c r="H879" s="31" t="str">
        <f aca="false">IF(OR(F879="",G879=""),"",F879&amp;"|"&amp;G879)</f>
        <v/>
      </c>
      <c r="I879" s="23"/>
      <c r="J879" s="22"/>
      <c r="K879" s="22"/>
      <c r="L879" s="25" t="str">
        <f aca="false">IF(F879="","",IF(AND(H879&lt;&gt;"",COUNTIF(Pessoas!$E:$E,H879)&gt;0),"SIM",IF(COUNTIF(Pessoas!$C:$C,F879)&gt;0,"nome igual em Pessoas: confira o CPF","")))</f>
        <v/>
      </c>
      <c r="M879" s="24"/>
      <c r="N879" s="11"/>
    </row>
    <row r="880" customFormat="false" ht="15" hidden="false" customHeight="false" outlineLevel="0" collapsed="false">
      <c r="A880" s="24"/>
      <c r="B880" s="31" t="str">
        <f aca="false">IF(A880="","",IF(LEN(UPPER(SUBSTITUTE(SUBSTITUTE(SUBSTITUTE(SUBSTITUTE(TRIM(A880),".",""),"/",""),"-","")," ","")))&lt;14,RIGHT(REPT("0",14)&amp;UPPER(SUBSTITUTE(SUBSTITUTE(SUBSTITUTE(SUBSTITUTE(TRIM(A880),".",""),"/",""),"-","")," ","")),14),UPPER(SUBSTITUTE(SUBSTITUTE(SUBSTITUTE(SUBSTITUTE(TRIM(A880),".",""),"/",""),"-","")," ",""))))</f>
        <v/>
      </c>
      <c r="C880" s="25" t="str">
        <f aca="false">IF(B880="","",IFERROR(INDEX(Empresas!$C:$C,MATCH(B880,Empresas!$B:$B,0)),"cadastre o CNPJ em Empresas"))</f>
        <v/>
      </c>
      <c r="D880" s="23"/>
      <c r="E880" s="24"/>
      <c r="F880" s="31" t="str">
        <f aca="false">IF(D880="","",SUBSTITUTE(SUBSTITUTE(SUBSTITUTE(SUBSTITUTE(SUBSTITUTE(SUBSTITUTE(SUBSTITUTE(SUBSTITUTE(SUBSTITUTE(SUBSTITUTE(SUBSTITUTE(SUBSTITUTE(SUBSTITUTE(UPPER(TRIM(D880)),"Á","A"),"À","A"),"Â","A"),"Ã","A"),"É","E"),"Ê","E"),"Í","I"),"Ó","O"),"Ô","O"),"Õ","O"),"Ú","U"),"Ü","U"),"Ç","C"))</f>
        <v/>
      </c>
      <c r="G880" s="31" t="str">
        <f aca="false">IF(E880="","",IF(LEN(SUBSTITUTE(SUBSTITUTE(SUBSTITUTE(SUBSTITUTE(TRIM(E880),"*",""),".",""),"-","")," ",""))=11,MID(SUBSTITUTE(SUBSTITUTE(SUBSTITUTE(SUBSTITUTE(TRIM(E880),"*",""),".",""),"-","")," ",""),4,6),SUBSTITUTE(SUBSTITUTE(SUBSTITUTE(SUBSTITUTE(TRIM(E880),"*",""),".",""),"-","")," ","")))</f>
        <v/>
      </c>
      <c r="H880" s="31" t="str">
        <f aca="false">IF(OR(F880="",G880=""),"",F880&amp;"|"&amp;G880)</f>
        <v/>
      </c>
      <c r="I880" s="23"/>
      <c r="J880" s="22"/>
      <c r="K880" s="22"/>
      <c r="L880" s="25" t="str">
        <f aca="false">IF(F880="","",IF(AND(H880&lt;&gt;"",COUNTIF(Pessoas!$E:$E,H880)&gt;0),"SIM",IF(COUNTIF(Pessoas!$C:$C,F880)&gt;0,"nome igual em Pessoas: confira o CPF","")))</f>
        <v/>
      </c>
      <c r="M880" s="24"/>
      <c r="N880" s="11"/>
    </row>
    <row r="881" customFormat="false" ht="15" hidden="false" customHeight="false" outlineLevel="0" collapsed="false">
      <c r="A881" s="24"/>
      <c r="B881" s="31" t="str">
        <f aca="false">IF(A881="","",IF(LEN(UPPER(SUBSTITUTE(SUBSTITUTE(SUBSTITUTE(SUBSTITUTE(TRIM(A881),".",""),"/",""),"-","")," ","")))&lt;14,RIGHT(REPT("0",14)&amp;UPPER(SUBSTITUTE(SUBSTITUTE(SUBSTITUTE(SUBSTITUTE(TRIM(A881),".",""),"/",""),"-","")," ","")),14),UPPER(SUBSTITUTE(SUBSTITUTE(SUBSTITUTE(SUBSTITUTE(TRIM(A881),".",""),"/",""),"-","")," ",""))))</f>
        <v/>
      </c>
      <c r="C881" s="25" t="str">
        <f aca="false">IF(B881="","",IFERROR(INDEX(Empresas!$C:$C,MATCH(B881,Empresas!$B:$B,0)),"cadastre o CNPJ em Empresas"))</f>
        <v/>
      </c>
      <c r="D881" s="23"/>
      <c r="E881" s="24"/>
      <c r="F881" s="31" t="str">
        <f aca="false">IF(D881="","",SUBSTITUTE(SUBSTITUTE(SUBSTITUTE(SUBSTITUTE(SUBSTITUTE(SUBSTITUTE(SUBSTITUTE(SUBSTITUTE(SUBSTITUTE(SUBSTITUTE(SUBSTITUTE(SUBSTITUTE(SUBSTITUTE(UPPER(TRIM(D881)),"Á","A"),"À","A"),"Â","A"),"Ã","A"),"É","E"),"Ê","E"),"Í","I"),"Ó","O"),"Ô","O"),"Õ","O"),"Ú","U"),"Ü","U"),"Ç","C"))</f>
        <v/>
      </c>
      <c r="G881" s="31" t="str">
        <f aca="false">IF(E881="","",IF(LEN(SUBSTITUTE(SUBSTITUTE(SUBSTITUTE(SUBSTITUTE(TRIM(E881),"*",""),".",""),"-","")," ",""))=11,MID(SUBSTITUTE(SUBSTITUTE(SUBSTITUTE(SUBSTITUTE(TRIM(E881),"*",""),".",""),"-","")," ",""),4,6),SUBSTITUTE(SUBSTITUTE(SUBSTITUTE(SUBSTITUTE(TRIM(E881),"*",""),".",""),"-","")," ","")))</f>
        <v/>
      </c>
      <c r="H881" s="31" t="str">
        <f aca="false">IF(OR(F881="",G881=""),"",F881&amp;"|"&amp;G881)</f>
        <v/>
      </c>
      <c r="I881" s="23"/>
      <c r="J881" s="22"/>
      <c r="K881" s="22"/>
      <c r="L881" s="25" t="str">
        <f aca="false">IF(F881="","",IF(AND(H881&lt;&gt;"",COUNTIF(Pessoas!$E:$E,H881)&gt;0),"SIM",IF(COUNTIF(Pessoas!$C:$C,F881)&gt;0,"nome igual em Pessoas: confira o CPF","")))</f>
        <v/>
      </c>
      <c r="M881" s="24"/>
      <c r="N881" s="11"/>
    </row>
    <row r="882" customFormat="false" ht="15" hidden="false" customHeight="false" outlineLevel="0" collapsed="false">
      <c r="A882" s="24"/>
      <c r="B882" s="31" t="str">
        <f aca="false">IF(A882="","",IF(LEN(UPPER(SUBSTITUTE(SUBSTITUTE(SUBSTITUTE(SUBSTITUTE(TRIM(A882),".",""),"/",""),"-","")," ","")))&lt;14,RIGHT(REPT("0",14)&amp;UPPER(SUBSTITUTE(SUBSTITUTE(SUBSTITUTE(SUBSTITUTE(TRIM(A882),".",""),"/",""),"-","")," ","")),14),UPPER(SUBSTITUTE(SUBSTITUTE(SUBSTITUTE(SUBSTITUTE(TRIM(A882),".",""),"/",""),"-","")," ",""))))</f>
        <v/>
      </c>
      <c r="C882" s="25" t="str">
        <f aca="false">IF(B882="","",IFERROR(INDEX(Empresas!$C:$C,MATCH(B882,Empresas!$B:$B,0)),"cadastre o CNPJ em Empresas"))</f>
        <v/>
      </c>
      <c r="D882" s="23"/>
      <c r="E882" s="24"/>
      <c r="F882" s="31" t="str">
        <f aca="false">IF(D882="","",SUBSTITUTE(SUBSTITUTE(SUBSTITUTE(SUBSTITUTE(SUBSTITUTE(SUBSTITUTE(SUBSTITUTE(SUBSTITUTE(SUBSTITUTE(SUBSTITUTE(SUBSTITUTE(SUBSTITUTE(SUBSTITUTE(UPPER(TRIM(D882)),"Á","A"),"À","A"),"Â","A"),"Ã","A"),"É","E"),"Ê","E"),"Í","I"),"Ó","O"),"Ô","O"),"Õ","O"),"Ú","U"),"Ü","U"),"Ç","C"))</f>
        <v/>
      </c>
      <c r="G882" s="31" t="str">
        <f aca="false">IF(E882="","",IF(LEN(SUBSTITUTE(SUBSTITUTE(SUBSTITUTE(SUBSTITUTE(TRIM(E882),"*",""),".",""),"-","")," ",""))=11,MID(SUBSTITUTE(SUBSTITUTE(SUBSTITUTE(SUBSTITUTE(TRIM(E882),"*",""),".",""),"-","")," ",""),4,6),SUBSTITUTE(SUBSTITUTE(SUBSTITUTE(SUBSTITUTE(TRIM(E882),"*",""),".",""),"-","")," ","")))</f>
        <v/>
      </c>
      <c r="H882" s="31" t="str">
        <f aca="false">IF(OR(F882="",G882=""),"",F882&amp;"|"&amp;G882)</f>
        <v/>
      </c>
      <c r="I882" s="23"/>
      <c r="J882" s="22"/>
      <c r="K882" s="22"/>
      <c r="L882" s="25" t="str">
        <f aca="false">IF(F882="","",IF(AND(H882&lt;&gt;"",COUNTIF(Pessoas!$E:$E,H882)&gt;0),"SIM",IF(COUNTIF(Pessoas!$C:$C,F882)&gt;0,"nome igual em Pessoas: confira o CPF","")))</f>
        <v/>
      </c>
      <c r="M882" s="24"/>
      <c r="N882" s="11"/>
    </row>
    <row r="883" customFormat="false" ht="15" hidden="false" customHeight="false" outlineLevel="0" collapsed="false">
      <c r="A883" s="24"/>
      <c r="B883" s="31" t="str">
        <f aca="false">IF(A883="","",IF(LEN(UPPER(SUBSTITUTE(SUBSTITUTE(SUBSTITUTE(SUBSTITUTE(TRIM(A883),".",""),"/",""),"-","")," ","")))&lt;14,RIGHT(REPT("0",14)&amp;UPPER(SUBSTITUTE(SUBSTITUTE(SUBSTITUTE(SUBSTITUTE(TRIM(A883),".",""),"/",""),"-","")," ","")),14),UPPER(SUBSTITUTE(SUBSTITUTE(SUBSTITUTE(SUBSTITUTE(TRIM(A883),".",""),"/",""),"-","")," ",""))))</f>
        <v/>
      </c>
      <c r="C883" s="25" t="str">
        <f aca="false">IF(B883="","",IFERROR(INDEX(Empresas!$C:$C,MATCH(B883,Empresas!$B:$B,0)),"cadastre o CNPJ em Empresas"))</f>
        <v/>
      </c>
      <c r="D883" s="23"/>
      <c r="E883" s="24"/>
      <c r="F883" s="31" t="str">
        <f aca="false">IF(D883="","",SUBSTITUTE(SUBSTITUTE(SUBSTITUTE(SUBSTITUTE(SUBSTITUTE(SUBSTITUTE(SUBSTITUTE(SUBSTITUTE(SUBSTITUTE(SUBSTITUTE(SUBSTITUTE(SUBSTITUTE(SUBSTITUTE(UPPER(TRIM(D883)),"Á","A"),"À","A"),"Â","A"),"Ã","A"),"É","E"),"Ê","E"),"Í","I"),"Ó","O"),"Ô","O"),"Õ","O"),"Ú","U"),"Ü","U"),"Ç","C"))</f>
        <v/>
      </c>
      <c r="G883" s="31" t="str">
        <f aca="false">IF(E883="","",IF(LEN(SUBSTITUTE(SUBSTITUTE(SUBSTITUTE(SUBSTITUTE(TRIM(E883),"*",""),".",""),"-","")," ",""))=11,MID(SUBSTITUTE(SUBSTITUTE(SUBSTITUTE(SUBSTITUTE(TRIM(E883),"*",""),".",""),"-","")," ",""),4,6),SUBSTITUTE(SUBSTITUTE(SUBSTITUTE(SUBSTITUTE(TRIM(E883),"*",""),".",""),"-","")," ","")))</f>
        <v/>
      </c>
      <c r="H883" s="31" t="str">
        <f aca="false">IF(OR(F883="",G883=""),"",F883&amp;"|"&amp;G883)</f>
        <v/>
      </c>
      <c r="I883" s="23"/>
      <c r="J883" s="22"/>
      <c r="K883" s="22"/>
      <c r="L883" s="25" t="str">
        <f aca="false">IF(F883="","",IF(AND(H883&lt;&gt;"",COUNTIF(Pessoas!$E:$E,H883)&gt;0),"SIM",IF(COUNTIF(Pessoas!$C:$C,F883)&gt;0,"nome igual em Pessoas: confira o CPF","")))</f>
        <v/>
      </c>
      <c r="M883" s="24"/>
      <c r="N883" s="11"/>
    </row>
    <row r="884" customFormat="false" ht="15" hidden="false" customHeight="false" outlineLevel="0" collapsed="false">
      <c r="A884" s="24"/>
      <c r="B884" s="31" t="str">
        <f aca="false">IF(A884="","",IF(LEN(UPPER(SUBSTITUTE(SUBSTITUTE(SUBSTITUTE(SUBSTITUTE(TRIM(A884),".",""),"/",""),"-","")," ","")))&lt;14,RIGHT(REPT("0",14)&amp;UPPER(SUBSTITUTE(SUBSTITUTE(SUBSTITUTE(SUBSTITUTE(TRIM(A884),".",""),"/",""),"-","")," ","")),14),UPPER(SUBSTITUTE(SUBSTITUTE(SUBSTITUTE(SUBSTITUTE(TRIM(A884),".",""),"/",""),"-","")," ",""))))</f>
        <v/>
      </c>
      <c r="C884" s="25" t="str">
        <f aca="false">IF(B884="","",IFERROR(INDEX(Empresas!$C:$C,MATCH(B884,Empresas!$B:$B,0)),"cadastre o CNPJ em Empresas"))</f>
        <v/>
      </c>
      <c r="D884" s="23"/>
      <c r="E884" s="24"/>
      <c r="F884" s="31" t="str">
        <f aca="false">IF(D884="","",SUBSTITUTE(SUBSTITUTE(SUBSTITUTE(SUBSTITUTE(SUBSTITUTE(SUBSTITUTE(SUBSTITUTE(SUBSTITUTE(SUBSTITUTE(SUBSTITUTE(SUBSTITUTE(SUBSTITUTE(SUBSTITUTE(UPPER(TRIM(D884)),"Á","A"),"À","A"),"Â","A"),"Ã","A"),"É","E"),"Ê","E"),"Í","I"),"Ó","O"),"Ô","O"),"Õ","O"),"Ú","U"),"Ü","U"),"Ç","C"))</f>
        <v/>
      </c>
      <c r="G884" s="31" t="str">
        <f aca="false">IF(E884="","",IF(LEN(SUBSTITUTE(SUBSTITUTE(SUBSTITUTE(SUBSTITUTE(TRIM(E884),"*",""),".",""),"-","")," ",""))=11,MID(SUBSTITUTE(SUBSTITUTE(SUBSTITUTE(SUBSTITUTE(TRIM(E884),"*",""),".",""),"-","")," ",""),4,6),SUBSTITUTE(SUBSTITUTE(SUBSTITUTE(SUBSTITUTE(TRIM(E884),"*",""),".",""),"-","")," ","")))</f>
        <v/>
      </c>
      <c r="H884" s="31" t="str">
        <f aca="false">IF(OR(F884="",G884=""),"",F884&amp;"|"&amp;G884)</f>
        <v/>
      </c>
      <c r="I884" s="23"/>
      <c r="J884" s="22"/>
      <c r="K884" s="22"/>
      <c r="L884" s="25" t="str">
        <f aca="false">IF(F884="","",IF(AND(H884&lt;&gt;"",COUNTIF(Pessoas!$E:$E,H884)&gt;0),"SIM",IF(COUNTIF(Pessoas!$C:$C,F884)&gt;0,"nome igual em Pessoas: confira o CPF","")))</f>
        <v/>
      </c>
      <c r="M884" s="24"/>
      <c r="N884" s="11"/>
    </row>
    <row r="885" customFormat="false" ht="15" hidden="false" customHeight="false" outlineLevel="0" collapsed="false">
      <c r="A885" s="24"/>
      <c r="B885" s="31" t="str">
        <f aca="false">IF(A885="","",IF(LEN(UPPER(SUBSTITUTE(SUBSTITUTE(SUBSTITUTE(SUBSTITUTE(TRIM(A885),".",""),"/",""),"-","")," ","")))&lt;14,RIGHT(REPT("0",14)&amp;UPPER(SUBSTITUTE(SUBSTITUTE(SUBSTITUTE(SUBSTITUTE(TRIM(A885),".",""),"/",""),"-","")," ","")),14),UPPER(SUBSTITUTE(SUBSTITUTE(SUBSTITUTE(SUBSTITUTE(TRIM(A885),".",""),"/",""),"-","")," ",""))))</f>
        <v/>
      </c>
      <c r="C885" s="25" t="str">
        <f aca="false">IF(B885="","",IFERROR(INDEX(Empresas!$C:$C,MATCH(B885,Empresas!$B:$B,0)),"cadastre o CNPJ em Empresas"))</f>
        <v/>
      </c>
      <c r="D885" s="23"/>
      <c r="E885" s="24"/>
      <c r="F885" s="31" t="str">
        <f aca="false">IF(D885="","",SUBSTITUTE(SUBSTITUTE(SUBSTITUTE(SUBSTITUTE(SUBSTITUTE(SUBSTITUTE(SUBSTITUTE(SUBSTITUTE(SUBSTITUTE(SUBSTITUTE(SUBSTITUTE(SUBSTITUTE(SUBSTITUTE(UPPER(TRIM(D885)),"Á","A"),"À","A"),"Â","A"),"Ã","A"),"É","E"),"Ê","E"),"Í","I"),"Ó","O"),"Ô","O"),"Õ","O"),"Ú","U"),"Ü","U"),"Ç","C"))</f>
        <v/>
      </c>
      <c r="G885" s="31" t="str">
        <f aca="false">IF(E885="","",IF(LEN(SUBSTITUTE(SUBSTITUTE(SUBSTITUTE(SUBSTITUTE(TRIM(E885),"*",""),".",""),"-","")," ",""))=11,MID(SUBSTITUTE(SUBSTITUTE(SUBSTITUTE(SUBSTITUTE(TRIM(E885),"*",""),".",""),"-","")," ",""),4,6),SUBSTITUTE(SUBSTITUTE(SUBSTITUTE(SUBSTITUTE(TRIM(E885),"*",""),".",""),"-","")," ","")))</f>
        <v/>
      </c>
      <c r="H885" s="31" t="str">
        <f aca="false">IF(OR(F885="",G885=""),"",F885&amp;"|"&amp;G885)</f>
        <v/>
      </c>
      <c r="I885" s="23"/>
      <c r="J885" s="22"/>
      <c r="K885" s="22"/>
      <c r="L885" s="25" t="str">
        <f aca="false">IF(F885="","",IF(AND(H885&lt;&gt;"",COUNTIF(Pessoas!$E:$E,H885)&gt;0),"SIM",IF(COUNTIF(Pessoas!$C:$C,F885)&gt;0,"nome igual em Pessoas: confira o CPF","")))</f>
        <v/>
      </c>
      <c r="M885" s="24"/>
      <c r="N885" s="11"/>
    </row>
    <row r="886" customFormat="false" ht="15" hidden="false" customHeight="false" outlineLevel="0" collapsed="false">
      <c r="A886" s="24"/>
      <c r="B886" s="31" t="str">
        <f aca="false">IF(A886="","",IF(LEN(UPPER(SUBSTITUTE(SUBSTITUTE(SUBSTITUTE(SUBSTITUTE(TRIM(A886),".",""),"/",""),"-","")," ","")))&lt;14,RIGHT(REPT("0",14)&amp;UPPER(SUBSTITUTE(SUBSTITUTE(SUBSTITUTE(SUBSTITUTE(TRIM(A886),".",""),"/",""),"-","")," ","")),14),UPPER(SUBSTITUTE(SUBSTITUTE(SUBSTITUTE(SUBSTITUTE(TRIM(A886),".",""),"/",""),"-","")," ",""))))</f>
        <v/>
      </c>
      <c r="C886" s="25" t="str">
        <f aca="false">IF(B886="","",IFERROR(INDEX(Empresas!$C:$C,MATCH(B886,Empresas!$B:$B,0)),"cadastre o CNPJ em Empresas"))</f>
        <v/>
      </c>
      <c r="D886" s="23"/>
      <c r="E886" s="24"/>
      <c r="F886" s="31" t="str">
        <f aca="false">IF(D886="","",SUBSTITUTE(SUBSTITUTE(SUBSTITUTE(SUBSTITUTE(SUBSTITUTE(SUBSTITUTE(SUBSTITUTE(SUBSTITUTE(SUBSTITUTE(SUBSTITUTE(SUBSTITUTE(SUBSTITUTE(SUBSTITUTE(UPPER(TRIM(D886)),"Á","A"),"À","A"),"Â","A"),"Ã","A"),"É","E"),"Ê","E"),"Í","I"),"Ó","O"),"Ô","O"),"Õ","O"),"Ú","U"),"Ü","U"),"Ç","C"))</f>
        <v/>
      </c>
      <c r="G886" s="31" t="str">
        <f aca="false">IF(E886="","",IF(LEN(SUBSTITUTE(SUBSTITUTE(SUBSTITUTE(SUBSTITUTE(TRIM(E886),"*",""),".",""),"-","")," ",""))=11,MID(SUBSTITUTE(SUBSTITUTE(SUBSTITUTE(SUBSTITUTE(TRIM(E886),"*",""),".",""),"-","")," ",""),4,6),SUBSTITUTE(SUBSTITUTE(SUBSTITUTE(SUBSTITUTE(TRIM(E886),"*",""),".",""),"-","")," ","")))</f>
        <v/>
      </c>
      <c r="H886" s="31" t="str">
        <f aca="false">IF(OR(F886="",G886=""),"",F886&amp;"|"&amp;G886)</f>
        <v/>
      </c>
      <c r="I886" s="23"/>
      <c r="J886" s="22"/>
      <c r="K886" s="22"/>
      <c r="L886" s="25" t="str">
        <f aca="false">IF(F886="","",IF(AND(H886&lt;&gt;"",COUNTIF(Pessoas!$E:$E,H886)&gt;0),"SIM",IF(COUNTIF(Pessoas!$C:$C,F886)&gt;0,"nome igual em Pessoas: confira o CPF","")))</f>
        <v/>
      </c>
      <c r="M886" s="24"/>
      <c r="N886" s="11"/>
    </row>
    <row r="887" customFormat="false" ht="15" hidden="false" customHeight="false" outlineLevel="0" collapsed="false">
      <c r="A887" s="24"/>
      <c r="B887" s="31" t="str">
        <f aca="false">IF(A887="","",IF(LEN(UPPER(SUBSTITUTE(SUBSTITUTE(SUBSTITUTE(SUBSTITUTE(TRIM(A887),".",""),"/",""),"-","")," ","")))&lt;14,RIGHT(REPT("0",14)&amp;UPPER(SUBSTITUTE(SUBSTITUTE(SUBSTITUTE(SUBSTITUTE(TRIM(A887),".",""),"/",""),"-","")," ","")),14),UPPER(SUBSTITUTE(SUBSTITUTE(SUBSTITUTE(SUBSTITUTE(TRIM(A887),".",""),"/",""),"-","")," ",""))))</f>
        <v/>
      </c>
      <c r="C887" s="25" t="str">
        <f aca="false">IF(B887="","",IFERROR(INDEX(Empresas!$C:$C,MATCH(B887,Empresas!$B:$B,0)),"cadastre o CNPJ em Empresas"))</f>
        <v/>
      </c>
      <c r="D887" s="23"/>
      <c r="E887" s="24"/>
      <c r="F887" s="31" t="str">
        <f aca="false">IF(D887="","",SUBSTITUTE(SUBSTITUTE(SUBSTITUTE(SUBSTITUTE(SUBSTITUTE(SUBSTITUTE(SUBSTITUTE(SUBSTITUTE(SUBSTITUTE(SUBSTITUTE(SUBSTITUTE(SUBSTITUTE(SUBSTITUTE(UPPER(TRIM(D887)),"Á","A"),"À","A"),"Â","A"),"Ã","A"),"É","E"),"Ê","E"),"Í","I"),"Ó","O"),"Ô","O"),"Õ","O"),"Ú","U"),"Ü","U"),"Ç","C"))</f>
        <v/>
      </c>
      <c r="G887" s="31" t="str">
        <f aca="false">IF(E887="","",IF(LEN(SUBSTITUTE(SUBSTITUTE(SUBSTITUTE(SUBSTITUTE(TRIM(E887),"*",""),".",""),"-","")," ",""))=11,MID(SUBSTITUTE(SUBSTITUTE(SUBSTITUTE(SUBSTITUTE(TRIM(E887),"*",""),".",""),"-","")," ",""),4,6),SUBSTITUTE(SUBSTITUTE(SUBSTITUTE(SUBSTITUTE(TRIM(E887),"*",""),".",""),"-","")," ","")))</f>
        <v/>
      </c>
      <c r="H887" s="31" t="str">
        <f aca="false">IF(OR(F887="",G887=""),"",F887&amp;"|"&amp;G887)</f>
        <v/>
      </c>
      <c r="I887" s="23"/>
      <c r="J887" s="22"/>
      <c r="K887" s="22"/>
      <c r="L887" s="25" t="str">
        <f aca="false">IF(F887="","",IF(AND(H887&lt;&gt;"",COUNTIF(Pessoas!$E:$E,H887)&gt;0),"SIM",IF(COUNTIF(Pessoas!$C:$C,F887)&gt;0,"nome igual em Pessoas: confira o CPF","")))</f>
        <v/>
      </c>
      <c r="M887" s="24"/>
      <c r="N887" s="11"/>
    </row>
    <row r="888" customFormat="false" ht="15" hidden="false" customHeight="false" outlineLevel="0" collapsed="false">
      <c r="A888" s="24"/>
      <c r="B888" s="31" t="str">
        <f aca="false">IF(A888="","",IF(LEN(UPPER(SUBSTITUTE(SUBSTITUTE(SUBSTITUTE(SUBSTITUTE(TRIM(A888),".",""),"/",""),"-","")," ","")))&lt;14,RIGHT(REPT("0",14)&amp;UPPER(SUBSTITUTE(SUBSTITUTE(SUBSTITUTE(SUBSTITUTE(TRIM(A888),".",""),"/",""),"-","")," ","")),14),UPPER(SUBSTITUTE(SUBSTITUTE(SUBSTITUTE(SUBSTITUTE(TRIM(A888),".",""),"/",""),"-","")," ",""))))</f>
        <v/>
      </c>
      <c r="C888" s="25" t="str">
        <f aca="false">IF(B888="","",IFERROR(INDEX(Empresas!$C:$C,MATCH(B888,Empresas!$B:$B,0)),"cadastre o CNPJ em Empresas"))</f>
        <v/>
      </c>
      <c r="D888" s="23"/>
      <c r="E888" s="24"/>
      <c r="F888" s="31" t="str">
        <f aca="false">IF(D888="","",SUBSTITUTE(SUBSTITUTE(SUBSTITUTE(SUBSTITUTE(SUBSTITUTE(SUBSTITUTE(SUBSTITUTE(SUBSTITUTE(SUBSTITUTE(SUBSTITUTE(SUBSTITUTE(SUBSTITUTE(SUBSTITUTE(UPPER(TRIM(D888)),"Á","A"),"À","A"),"Â","A"),"Ã","A"),"É","E"),"Ê","E"),"Í","I"),"Ó","O"),"Ô","O"),"Õ","O"),"Ú","U"),"Ü","U"),"Ç","C"))</f>
        <v/>
      </c>
      <c r="G888" s="31" t="str">
        <f aca="false">IF(E888="","",IF(LEN(SUBSTITUTE(SUBSTITUTE(SUBSTITUTE(SUBSTITUTE(TRIM(E888),"*",""),".",""),"-","")," ",""))=11,MID(SUBSTITUTE(SUBSTITUTE(SUBSTITUTE(SUBSTITUTE(TRIM(E888),"*",""),".",""),"-","")," ",""),4,6),SUBSTITUTE(SUBSTITUTE(SUBSTITUTE(SUBSTITUTE(TRIM(E888),"*",""),".",""),"-","")," ","")))</f>
        <v/>
      </c>
      <c r="H888" s="31" t="str">
        <f aca="false">IF(OR(F888="",G888=""),"",F888&amp;"|"&amp;G888)</f>
        <v/>
      </c>
      <c r="I888" s="23"/>
      <c r="J888" s="22"/>
      <c r="K888" s="22"/>
      <c r="L888" s="25" t="str">
        <f aca="false">IF(F888="","",IF(AND(H888&lt;&gt;"",COUNTIF(Pessoas!$E:$E,H888)&gt;0),"SIM",IF(COUNTIF(Pessoas!$C:$C,F888)&gt;0,"nome igual em Pessoas: confira o CPF","")))</f>
        <v/>
      </c>
      <c r="M888" s="24"/>
      <c r="N888" s="11"/>
    </row>
    <row r="889" customFormat="false" ht="15" hidden="false" customHeight="false" outlineLevel="0" collapsed="false">
      <c r="A889" s="24"/>
      <c r="B889" s="31" t="str">
        <f aca="false">IF(A889="","",IF(LEN(UPPER(SUBSTITUTE(SUBSTITUTE(SUBSTITUTE(SUBSTITUTE(TRIM(A889),".",""),"/",""),"-","")," ","")))&lt;14,RIGHT(REPT("0",14)&amp;UPPER(SUBSTITUTE(SUBSTITUTE(SUBSTITUTE(SUBSTITUTE(TRIM(A889),".",""),"/",""),"-","")," ","")),14),UPPER(SUBSTITUTE(SUBSTITUTE(SUBSTITUTE(SUBSTITUTE(TRIM(A889),".",""),"/",""),"-","")," ",""))))</f>
        <v/>
      </c>
      <c r="C889" s="25" t="str">
        <f aca="false">IF(B889="","",IFERROR(INDEX(Empresas!$C:$C,MATCH(B889,Empresas!$B:$B,0)),"cadastre o CNPJ em Empresas"))</f>
        <v/>
      </c>
      <c r="D889" s="23"/>
      <c r="E889" s="24"/>
      <c r="F889" s="31" t="str">
        <f aca="false">IF(D889="","",SUBSTITUTE(SUBSTITUTE(SUBSTITUTE(SUBSTITUTE(SUBSTITUTE(SUBSTITUTE(SUBSTITUTE(SUBSTITUTE(SUBSTITUTE(SUBSTITUTE(SUBSTITUTE(SUBSTITUTE(SUBSTITUTE(UPPER(TRIM(D889)),"Á","A"),"À","A"),"Â","A"),"Ã","A"),"É","E"),"Ê","E"),"Í","I"),"Ó","O"),"Ô","O"),"Õ","O"),"Ú","U"),"Ü","U"),"Ç","C"))</f>
        <v/>
      </c>
      <c r="G889" s="31" t="str">
        <f aca="false">IF(E889="","",IF(LEN(SUBSTITUTE(SUBSTITUTE(SUBSTITUTE(SUBSTITUTE(TRIM(E889),"*",""),".",""),"-","")," ",""))=11,MID(SUBSTITUTE(SUBSTITUTE(SUBSTITUTE(SUBSTITUTE(TRIM(E889),"*",""),".",""),"-","")," ",""),4,6),SUBSTITUTE(SUBSTITUTE(SUBSTITUTE(SUBSTITUTE(TRIM(E889),"*",""),".",""),"-","")," ","")))</f>
        <v/>
      </c>
      <c r="H889" s="31" t="str">
        <f aca="false">IF(OR(F889="",G889=""),"",F889&amp;"|"&amp;G889)</f>
        <v/>
      </c>
      <c r="I889" s="23"/>
      <c r="J889" s="22"/>
      <c r="K889" s="22"/>
      <c r="L889" s="25" t="str">
        <f aca="false">IF(F889="","",IF(AND(H889&lt;&gt;"",COUNTIF(Pessoas!$E:$E,H889)&gt;0),"SIM",IF(COUNTIF(Pessoas!$C:$C,F889)&gt;0,"nome igual em Pessoas: confira o CPF","")))</f>
        <v/>
      </c>
      <c r="M889" s="24"/>
      <c r="N889" s="11"/>
    </row>
    <row r="890" customFormat="false" ht="15" hidden="false" customHeight="false" outlineLevel="0" collapsed="false">
      <c r="A890" s="24"/>
      <c r="B890" s="31" t="str">
        <f aca="false">IF(A890="","",IF(LEN(UPPER(SUBSTITUTE(SUBSTITUTE(SUBSTITUTE(SUBSTITUTE(TRIM(A890),".",""),"/",""),"-","")," ","")))&lt;14,RIGHT(REPT("0",14)&amp;UPPER(SUBSTITUTE(SUBSTITUTE(SUBSTITUTE(SUBSTITUTE(TRIM(A890),".",""),"/",""),"-","")," ","")),14),UPPER(SUBSTITUTE(SUBSTITUTE(SUBSTITUTE(SUBSTITUTE(TRIM(A890),".",""),"/",""),"-","")," ",""))))</f>
        <v/>
      </c>
      <c r="C890" s="25" t="str">
        <f aca="false">IF(B890="","",IFERROR(INDEX(Empresas!$C:$C,MATCH(B890,Empresas!$B:$B,0)),"cadastre o CNPJ em Empresas"))</f>
        <v/>
      </c>
      <c r="D890" s="23"/>
      <c r="E890" s="24"/>
      <c r="F890" s="31" t="str">
        <f aca="false">IF(D890="","",SUBSTITUTE(SUBSTITUTE(SUBSTITUTE(SUBSTITUTE(SUBSTITUTE(SUBSTITUTE(SUBSTITUTE(SUBSTITUTE(SUBSTITUTE(SUBSTITUTE(SUBSTITUTE(SUBSTITUTE(SUBSTITUTE(UPPER(TRIM(D890)),"Á","A"),"À","A"),"Â","A"),"Ã","A"),"É","E"),"Ê","E"),"Í","I"),"Ó","O"),"Ô","O"),"Õ","O"),"Ú","U"),"Ü","U"),"Ç","C"))</f>
        <v/>
      </c>
      <c r="G890" s="31" t="str">
        <f aca="false">IF(E890="","",IF(LEN(SUBSTITUTE(SUBSTITUTE(SUBSTITUTE(SUBSTITUTE(TRIM(E890),"*",""),".",""),"-","")," ",""))=11,MID(SUBSTITUTE(SUBSTITUTE(SUBSTITUTE(SUBSTITUTE(TRIM(E890),"*",""),".",""),"-","")," ",""),4,6),SUBSTITUTE(SUBSTITUTE(SUBSTITUTE(SUBSTITUTE(TRIM(E890),"*",""),".",""),"-","")," ","")))</f>
        <v/>
      </c>
      <c r="H890" s="31" t="str">
        <f aca="false">IF(OR(F890="",G890=""),"",F890&amp;"|"&amp;G890)</f>
        <v/>
      </c>
      <c r="I890" s="23"/>
      <c r="J890" s="22"/>
      <c r="K890" s="22"/>
      <c r="L890" s="25" t="str">
        <f aca="false">IF(F890="","",IF(AND(H890&lt;&gt;"",COUNTIF(Pessoas!$E:$E,H890)&gt;0),"SIM",IF(COUNTIF(Pessoas!$C:$C,F890)&gt;0,"nome igual em Pessoas: confira o CPF","")))</f>
        <v/>
      </c>
      <c r="M890" s="24"/>
      <c r="N890" s="11"/>
    </row>
    <row r="891" customFormat="false" ht="15" hidden="false" customHeight="false" outlineLevel="0" collapsed="false">
      <c r="A891" s="24"/>
      <c r="B891" s="31" t="str">
        <f aca="false">IF(A891="","",IF(LEN(UPPER(SUBSTITUTE(SUBSTITUTE(SUBSTITUTE(SUBSTITUTE(TRIM(A891),".",""),"/",""),"-","")," ","")))&lt;14,RIGHT(REPT("0",14)&amp;UPPER(SUBSTITUTE(SUBSTITUTE(SUBSTITUTE(SUBSTITUTE(TRIM(A891),".",""),"/",""),"-","")," ","")),14),UPPER(SUBSTITUTE(SUBSTITUTE(SUBSTITUTE(SUBSTITUTE(TRIM(A891),".",""),"/",""),"-","")," ",""))))</f>
        <v/>
      </c>
      <c r="C891" s="25" t="str">
        <f aca="false">IF(B891="","",IFERROR(INDEX(Empresas!$C:$C,MATCH(B891,Empresas!$B:$B,0)),"cadastre o CNPJ em Empresas"))</f>
        <v/>
      </c>
      <c r="D891" s="23"/>
      <c r="E891" s="24"/>
      <c r="F891" s="31" t="str">
        <f aca="false">IF(D891="","",SUBSTITUTE(SUBSTITUTE(SUBSTITUTE(SUBSTITUTE(SUBSTITUTE(SUBSTITUTE(SUBSTITUTE(SUBSTITUTE(SUBSTITUTE(SUBSTITUTE(SUBSTITUTE(SUBSTITUTE(SUBSTITUTE(UPPER(TRIM(D891)),"Á","A"),"À","A"),"Â","A"),"Ã","A"),"É","E"),"Ê","E"),"Í","I"),"Ó","O"),"Ô","O"),"Õ","O"),"Ú","U"),"Ü","U"),"Ç","C"))</f>
        <v/>
      </c>
      <c r="G891" s="31" t="str">
        <f aca="false">IF(E891="","",IF(LEN(SUBSTITUTE(SUBSTITUTE(SUBSTITUTE(SUBSTITUTE(TRIM(E891),"*",""),".",""),"-","")," ",""))=11,MID(SUBSTITUTE(SUBSTITUTE(SUBSTITUTE(SUBSTITUTE(TRIM(E891),"*",""),".",""),"-","")," ",""),4,6),SUBSTITUTE(SUBSTITUTE(SUBSTITUTE(SUBSTITUTE(TRIM(E891),"*",""),".",""),"-","")," ","")))</f>
        <v/>
      </c>
      <c r="H891" s="31" t="str">
        <f aca="false">IF(OR(F891="",G891=""),"",F891&amp;"|"&amp;G891)</f>
        <v/>
      </c>
      <c r="I891" s="23"/>
      <c r="J891" s="22"/>
      <c r="K891" s="22"/>
      <c r="L891" s="25" t="str">
        <f aca="false">IF(F891="","",IF(AND(H891&lt;&gt;"",COUNTIF(Pessoas!$E:$E,H891)&gt;0),"SIM",IF(COUNTIF(Pessoas!$C:$C,F891)&gt;0,"nome igual em Pessoas: confira o CPF","")))</f>
        <v/>
      </c>
      <c r="M891" s="24"/>
      <c r="N891" s="11"/>
    </row>
    <row r="892" customFormat="false" ht="15" hidden="false" customHeight="false" outlineLevel="0" collapsed="false">
      <c r="A892" s="24"/>
      <c r="B892" s="31" t="str">
        <f aca="false">IF(A892="","",IF(LEN(UPPER(SUBSTITUTE(SUBSTITUTE(SUBSTITUTE(SUBSTITUTE(TRIM(A892),".",""),"/",""),"-","")," ","")))&lt;14,RIGHT(REPT("0",14)&amp;UPPER(SUBSTITUTE(SUBSTITUTE(SUBSTITUTE(SUBSTITUTE(TRIM(A892),".",""),"/",""),"-","")," ","")),14),UPPER(SUBSTITUTE(SUBSTITUTE(SUBSTITUTE(SUBSTITUTE(TRIM(A892),".",""),"/",""),"-","")," ",""))))</f>
        <v/>
      </c>
      <c r="C892" s="25" t="str">
        <f aca="false">IF(B892="","",IFERROR(INDEX(Empresas!$C:$C,MATCH(B892,Empresas!$B:$B,0)),"cadastre o CNPJ em Empresas"))</f>
        <v/>
      </c>
      <c r="D892" s="23"/>
      <c r="E892" s="24"/>
      <c r="F892" s="31" t="str">
        <f aca="false">IF(D892="","",SUBSTITUTE(SUBSTITUTE(SUBSTITUTE(SUBSTITUTE(SUBSTITUTE(SUBSTITUTE(SUBSTITUTE(SUBSTITUTE(SUBSTITUTE(SUBSTITUTE(SUBSTITUTE(SUBSTITUTE(SUBSTITUTE(UPPER(TRIM(D892)),"Á","A"),"À","A"),"Â","A"),"Ã","A"),"É","E"),"Ê","E"),"Í","I"),"Ó","O"),"Ô","O"),"Õ","O"),"Ú","U"),"Ü","U"),"Ç","C"))</f>
        <v/>
      </c>
      <c r="G892" s="31" t="str">
        <f aca="false">IF(E892="","",IF(LEN(SUBSTITUTE(SUBSTITUTE(SUBSTITUTE(SUBSTITUTE(TRIM(E892),"*",""),".",""),"-","")," ",""))=11,MID(SUBSTITUTE(SUBSTITUTE(SUBSTITUTE(SUBSTITUTE(TRIM(E892),"*",""),".",""),"-","")," ",""),4,6),SUBSTITUTE(SUBSTITUTE(SUBSTITUTE(SUBSTITUTE(TRIM(E892),"*",""),".",""),"-","")," ","")))</f>
        <v/>
      </c>
      <c r="H892" s="31" t="str">
        <f aca="false">IF(OR(F892="",G892=""),"",F892&amp;"|"&amp;G892)</f>
        <v/>
      </c>
      <c r="I892" s="23"/>
      <c r="J892" s="22"/>
      <c r="K892" s="22"/>
      <c r="L892" s="25" t="str">
        <f aca="false">IF(F892="","",IF(AND(H892&lt;&gt;"",COUNTIF(Pessoas!$E:$E,H892)&gt;0),"SIM",IF(COUNTIF(Pessoas!$C:$C,F892)&gt;0,"nome igual em Pessoas: confira o CPF","")))</f>
        <v/>
      </c>
      <c r="M892" s="24"/>
      <c r="N892" s="11"/>
    </row>
    <row r="893" customFormat="false" ht="15" hidden="false" customHeight="false" outlineLevel="0" collapsed="false">
      <c r="A893" s="24"/>
      <c r="B893" s="31" t="str">
        <f aca="false">IF(A893="","",IF(LEN(UPPER(SUBSTITUTE(SUBSTITUTE(SUBSTITUTE(SUBSTITUTE(TRIM(A893),".",""),"/",""),"-","")," ","")))&lt;14,RIGHT(REPT("0",14)&amp;UPPER(SUBSTITUTE(SUBSTITUTE(SUBSTITUTE(SUBSTITUTE(TRIM(A893),".",""),"/",""),"-","")," ","")),14),UPPER(SUBSTITUTE(SUBSTITUTE(SUBSTITUTE(SUBSTITUTE(TRIM(A893),".",""),"/",""),"-","")," ",""))))</f>
        <v/>
      </c>
      <c r="C893" s="25" t="str">
        <f aca="false">IF(B893="","",IFERROR(INDEX(Empresas!$C:$C,MATCH(B893,Empresas!$B:$B,0)),"cadastre o CNPJ em Empresas"))</f>
        <v/>
      </c>
      <c r="D893" s="23"/>
      <c r="E893" s="24"/>
      <c r="F893" s="31" t="str">
        <f aca="false">IF(D893="","",SUBSTITUTE(SUBSTITUTE(SUBSTITUTE(SUBSTITUTE(SUBSTITUTE(SUBSTITUTE(SUBSTITUTE(SUBSTITUTE(SUBSTITUTE(SUBSTITUTE(SUBSTITUTE(SUBSTITUTE(SUBSTITUTE(UPPER(TRIM(D893)),"Á","A"),"À","A"),"Â","A"),"Ã","A"),"É","E"),"Ê","E"),"Í","I"),"Ó","O"),"Ô","O"),"Õ","O"),"Ú","U"),"Ü","U"),"Ç","C"))</f>
        <v/>
      </c>
      <c r="G893" s="31" t="str">
        <f aca="false">IF(E893="","",IF(LEN(SUBSTITUTE(SUBSTITUTE(SUBSTITUTE(SUBSTITUTE(TRIM(E893),"*",""),".",""),"-","")," ",""))=11,MID(SUBSTITUTE(SUBSTITUTE(SUBSTITUTE(SUBSTITUTE(TRIM(E893),"*",""),".",""),"-","")," ",""),4,6),SUBSTITUTE(SUBSTITUTE(SUBSTITUTE(SUBSTITUTE(TRIM(E893),"*",""),".",""),"-","")," ","")))</f>
        <v/>
      </c>
      <c r="H893" s="31" t="str">
        <f aca="false">IF(OR(F893="",G893=""),"",F893&amp;"|"&amp;G893)</f>
        <v/>
      </c>
      <c r="I893" s="23"/>
      <c r="J893" s="22"/>
      <c r="K893" s="22"/>
      <c r="L893" s="25" t="str">
        <f aca="false">IF(F893="","",IF(AND(H893&lt;&gt;"",COUNTIF(Pessoas!$E:$E,H893)&gt;0),"SIM",IF(COUNTIF(Pessoas!$C:$C,F893)&gt;0,"nome igual em Pessoas: confira o CPF","")))</f>
        <v/>
      </c>
      <c r="M893" s="24"/>
      <c r="N893" s="11"/>
    </row>
    <row r="894" customFormat="false" ht="15" hidden="false" customHeight="false" outlineLevel="0" collapsed="false">
      <c r="A894" s="24"/>
      <c r="B894" s="31" t="str">
        <f aca="false">IF(A894="","",IF(LEN(UPPER(SUBSTITUTE(SUBSTITUTE(SUBSTITUTE(SUBSTITUTE(TRIM(A894),".",""),"/",""),"-","")," ","")))&lt;14,RIGHT(REPT("0",14)&amp;UPPER(SUBSTITUTE(SUBSTITUTE(SUBSTITUTE(SUBSTITUTE(TRIM(A894),".",""),"/",""),"-","")," ","")),14),UPPER(SUBSTITUTE(SUBSTITUTE(SUBSTITUTE(SUBSTITUTE(TRIM(A894),".",""),"/",""),"-","")," ",""))))</f>
        <v/>
      </c>
      <c r="C894" s="25" t="str">
        <f aca="false">IF(B894="","",IFERROR(INDEX(Empresas!$C:$C,MATCH(B894,Empresas!$B:$B,0)),"cadastre o CNPJ em Empresas"))</f>
        <v/>
      </c>
      <c r="D894" s="23"/>
      <c r="E894" s="24"/>
      <c r="F894" s="31" t="str">
        <f aca="false">IF(D894="","",SUBSTITUTE(SUBSTITUTE(SUBSTITUTE(SUBSTITUTE(SUBSTITUTE(SUBSTITUTE(SUBSTITUTE(SUBSTITUTE(SUBSTITUTE(SUBSTITUTE(SUBSTITUTE(SUBSTITUTE(SUBSTITUTE(UPPER(TRIM(D894)),"Á","A"),"À","A"),"Â","A"),"Ã","A"),"É","E"),"Ê","E"),"Í","I"),"Ó","O"),"Ô","O"),"Õ","O"),"Ú","U"),"Ü","U"),"Ç","C"))</f>
        <v/>
      </c>
      <c r="G894" s="31" t="str">
        <f aca="false">IF(E894="","",IF(LEN(SUBSTITUTE(SUBSTITUTE(SUBSTITUTE(SUBSTITUTE(TRIM(E894),"*",""),".",""),"-","")," ",""))=11,MID(SUBSTITUTE(SUBSTITUTE(SUBSTITUTE(SUBSTITUTE(TRIM(E894),"*",""),".",""),"-","")," ",""),4,6),SUBSTITUTE(SUBSTITUTE(SUBSTITUTE(SUBSTITUTE(TRIM(E894),"*",""),".",""),"-","")," ","")))</f>
        <v/>
      </c>
      <c r="H894" s="31" t="str">
        <f aca="false">IF(OR(F894="",G894=""),"",F894&amp;"|"&amp;G894)</f>
        <v/>
      </c>
      <c r="I894" s="23"/>
      <c r="J894" s="22"/>
      <c r="K894" s="22"/>
      <c r="L894" s="25" t="str">
        <f aca="false">IF(F894="","",IF(AND(H894&lt;&gt;"",COUNTIF(Pessoas!$E:$E,H894)&gt;0),"SIM",IF(COUNTIF(Pessoas!$C:$C,F894)&gt;0,"nome igual em Pessoas: confira o CPF","")))</f>
        <v/>
      </c>
      <c r="M894" s="24"/>
      <c r="N894" s="11"/>
    </row>
    <row r="895" customFormat="false" ht="15" hidden="false" customHeight="false" outlineLevel="0" collapsed="false">
      <c r="A895" s="24"/>
      <c r="B895" s="31" t="str">
        <f aca="false">IF(A895="","",IF(LEN(UPPER(SUBSTITUTE(SUBSTITUTE(SUBSTITUTE(SUBSTITUTE(TRIM(A895),".",""),"/",""),"-","")," ","")))&lt;14,RIGHT(REPT("0",14)&amp;UPPER(SUBSTITUTE(SUBSTITUTE(SUBSTITUTE(SUBSTITUTE(TRIM(A895),".",""),"/",""),"-","")," ","")),14),UPPER(SUBSTITUTE(SUBSTITUTE(SUBSTITUTE(SUBSTITUTE(TRIM(A895),".",""),"/",""),"-","")," ",""))))</f>
        <v/>
      </c>
      <c r="C895" s="25" t="str">
        <f aca="false">IF(B895="","",IFERROR(INDEX(Empresas!$C:$C,MATCH(B895,Empresas!$B:$B,0)),"cadastre o CNPJ em Empresas"))</f>
        <v/>
      </c>
      <c r="D895" s="23"/>
      <c r="E895" s="24"/>
      <c r="F895" s="31" t="str">
        <f aca="false">IF(D895="","",SUBSTITUTE(SUBSTITUTE(SUBSTITUTE(SUBSTITUTE(SUBSTITUTE(SUBSTITUTE(SUBSTITUTE(SUBSTITUTE(SUBSTITUTE(SUBSTITUTE(SUBSTITUTE(SUBSTITUTE(SUBSTITUTE(UPPER(TRIM(D895)),"Á","A"),"À","A"),"Â","A"),"Ã","A"),"É","E"),"Ê","E"),"Í","I"),"Ó","O"),"Ô","O"),"Õ","O"),"Ú","U"),"Ü","U"),"Ç","C"))</f>
        <v/>
      </c>
      <c r="G895" s="31" t="str">
        <f aca="false">IF(E895="","",IF(LEN(SUBSTITUTE(SUBSTITUTE(SUBSTITUTE(SUBSTITUTE(TRIM(E895),"*",""),".",""),"-","")," ",""))=11,MID(SUBSTITUTE(SUBSTITUTE(SUBSTITUTE(SUBSTITUTE(TRIM(E895),"*",""),".",""),"-","")," ",""),4,6),SUBSTITUTE(SUBSTITUTE(SUBSTITUTE(SUBSTITUTE(TRIM(E895),"*",""),".",""),"-","")," ","")))</f>
        <v/>
      </c>
      <c r="H895" s="31" t="str">
        <f aca="false">IF(OR(F895="",G895=""),"",F895&amp;"|"&amp;G895)</f>
        <v/>
      </c>
      <c r="I895" s="23"/>
      <c r="J895" s="22"/>
      <c r="K895" s="22"/>
      <c r="L895" s="25" t="str">
        <f aca="false">IF(F895="","",IF(AND(H895&lt;&gt;"",COUNTIF(Pessoas!$E:$E,H895)&gt;0),"SIM",IF(COUNTIF(Pessoas!$C:$C,F895)&gt;0,"nome igual em Pessoas: confira o CPF","")))</f>
        <v/>
      </c>
      <c r="M895" s="24"/>
      <c r="N895" s="11"/>
    </row>
    <row r="896" customFormat="false" ht="15" hidden="false" customHeight="false" outlineLevel="0" collapsed="false">
      <c r="A896" s="24"/>
      <c r="B896" s="31" t="str">
        <f aca="false">IF(A896="","",IF(LEN(UPPER(SUBSTITUTE(SUBSTITUTE(SUBSTITUTE(SUBSTITUTE(TRIM(A896),".",""),"/",""),"-","")," ","")))&lt;14,RIGHT(REPT("0",14)&amp;UPPER(SUBSTITUTE(SUBSTITUTE(SUBSTITUTE(SUBSTITUTE(TRIM(A896),".",""),"/",""),"-","")," ","")),14),UPPER(SUBSTITUTE(SUBSTITUTE(SUBSTITUTE(SUBSTITUTE(TRIM(A896),".",""),"/",""),"-","")," ",""))))</f>
        <v/>
      </c>
      <c r="C896" s="25" t="str">
        <f aca="false">IF(B896="","",IFERROR(INDEX(Empresas!$C:$C,MATCH(B896,Empresas!$B:$B,0)),"cadastre o CNPJ em Empresas"))</f>
        <v/>
      </c>
      <c r="D896" s="23"/>
      <c r="E896" s="24"/>
      <c r="F896" s="31" t="str">
        <f aca="false">IF(D896="","",SUBSTITUTE(SUBSTITUTE(SUBSTITUTE(SUBSTITUTE(SUBSTITUTE(SUBSTITUTE(SUBSTITUTE(SUBSTITUTE(SUBSTITUTE(SUBSTITUTE(SUBSTITUTE(SUBSTITUTE(SUBSTITUTE(UPPER(TRIM(D896)),"Á","A"),"À","A"),"Â","A"),"Ã","A"),"É","E"),"Ê","E"),"Í","I"),"Ó","O"),"Ô","O"),"Õ","O"),"Ú","U"),"Ü","U"),"Ç","C"))</f>
        <v/>
      </c>
      <c r="G896" s="31" t="str">
        <f aca="false">IF(E896="","",IF(LEN(SUBSTITUTE(SUBSTITUTE(SUBSTITUTE(SUBSTITUTE(TRIM(E896),"*",""),".",""),"-","")," ",""))=11,MID(SUBSTITUTE(SUBSTITUTE(SUBSTITUTE(SUBSTITUTE(TRIM(E896),"*",""),".",""),"-","")," ",""),4,6),SUBSTITUTE(SUBSTITUTE(SUBSTITUTE(SUBSTITUTE(TRIM(E896),"*",""),".",""),"-","")," ","")))</f>
        <v/>
      </c>
      <c r="H896" s="31" t="str">
        <f aca="false">IF(OR(F896="",G896=""),"",F896&amp;"|"&amp;G896)</f>
        <v/>
      </c>
      <c r="I896" s="23"/>
      <c r="J896" s="22"/>
      <c r="K896" s="22"/>
      <c r="L896" s="25" t="str">
        <f aca="false">IF(F896="","",IF(AND(H896&lt;&gt;"",COUNTIF(Pessoas!$E:$E,H896)&gt;0),"SIM",IF(COUNTIF(Pessoas!$C:$C,F896)&gt;0,"nome igual em Pessoas: confira o CPF","")))</f>
        <v/>
      </c>
      <c r="M896" s="24"/>
      <c r="N896" s="11"/>
    </row>
    <row r="897" customFormat="false" ht="15" hidden="false" customHeight="false" outlineLevel="0" collapsed="false">
      <c r="A897" s="24"/>
      <c r="B897" s="31" t="str">
        <f aca="false">IF(A897="","",IF(LEN(UPPER(SUBSTITUTE(SUBSTITUTE(SUBSTITUTE(SUBSTITUTE(TRIM(A897),".",""),"/",""),"-","")," ","")))&lt;14,RIGHT(REPT("0",14)&amp;UPPER(SUBSTITUTE(SUBSTITUTE(SUBSTITUTE(SUBSTITUTE(TRIM(A897),".",""),"/",""),"-","")," ","")),14),UPPER(SUBSTITUTE(SUBSTITUTE(SUBSTITUTE(SUBSTITUTE(TRIM(A897),".",""),"/",""),"-","")," ",""))))</f>
        <v/>
      </c>
      <c r="C897" s="25" t="str">
        <f aca="false">IF(B897="","",IFERROR(INDEX(Empresas!$C:$C,MATCH(B897,Empresas!$B:$B,0)),"cadastre o CNPJ em Empresas"))</f>
        <v/>
      </c>
      <c r="D897" s="23"/>
      <c r="E897" s="24"/>
      <c r="F897" s="31" t="str">
        <f aca="false">IF(D897="","",SUBSTITUTE(SUBSTITUTE(SUBSTITUTE(SUBSTITUTE(SUBSTITUTE(SUBSTITUTE(SUBSTITUTE(SUBSTITUTE(SUBSTITUTE(SUBSTITUTE(SUBSTITUTE(SUBSTITUTE(SUBSTITUTE(UPPER(TRIM(D897)),"Á","A"),"À","A"),"Â","A"),"Ã","A"),"É","E"),"Ê","E"),"Í","I"),"Ó","O"),"Ô","O"),"Õ","O"),"Ú","U"),"Ü","U"),"Ç","C"))</f>
        <v/>
      </c>
      <c r="G897" s="31" t="str">
        <f aca="false">IF(E897="","",IF(LEN(SUBSTITUTE(SUBSTITUTE(SUBSTITUTE(SUBSTITUTE(TRIM(E897),"*",""),".",""),"-","")," ",""))=11,MID(SUBSTITUTE(SUBSTITUTE(SUBSTITUTE(SUBSTITUTE(TRIM(E897),"*",""),".",""),"-","")," ",""),4,6),SUBSTITUTE(SUBSTITUTE(SUBSTITUTE(SUBSTITUTE(TRIM(E897),"*",""),".",""),"-","")," ","")))</f>
        <v/>
      </c>
      <c r="H897" s="31" t="str">
        <f aca="false">IF(OR(F897="",G897=""),"",F897&amp;"|"&amp;G897)</f>
        <v/>
      </c>
      <c r="I897" s="23"/>
      <c r="J897" s="22"/>
      <c r="K897" s="22"/>
      <c r="L897" s="25" t="str">
        <f aca="false">IF(F897="","",IF(AND(H897&lt;&gt;"",COUNTIF(Pessoas!$E:$E,H897)&gt;0),"SIM",IF(COUNTIF(Pessoas!$C:$C,F897)&gt;0,"nome igual em Pessoas: confira o CPF","")))</f>
        <v/>
      </c>
      <c r="M897" s="24"/>
      <c r="N897" s="11"/>
    </row>
    <row r="898" customFormat="false" ht="15" hidden="false" customHeight="false" outlineLevel="0" collapsed="false">
      <c r="A898" s="24"/>
      <c r="B898" s="31" t="str">
        <f aca="false">IF(A898="","",IF(LEN(UPPER(SUBSTITUTE(SUBSTITUTE(SUBSTITUTE(SUBSTITUTE(TRIM(A898),".",""),"/",""),"-","")," ","")))&lt;14,RIGHT(REPT("0",14)&amp;UPPER(SUBSTITUTE(SUBSTITUTE(SUBSTITUTE(SUBSTITUTE(TRIM(A898),".",""),"/",""),"-","")," ","")),14),UPPER(SUBSTITUTE(SUBSTITUTE(SUBSTITUTE(SUBSTITUTE(TRIM(A898),".",""),"/",""),"-","")," ",""))))</f>
        <v/>
      </c>
      <c r="C898" s="25" t="str">
        <f aca="false">IF(B898="","",IFERROR(INDEX(Empresas!$C:$C,MATCH(B898,Empresas!$B:$B,0)),"cadastre o CNPJ em Empresas"))</f>
        <v/>
      </c>
      <c r="D898" s="23"/>
      <c r="E898" s="24"/>
      <c r="F898" s="31" t="str">
        <f aca="false">IF(D898="","",SUBSTITUTE(SUBSTITUTE(SUBSTITUTE(SUBSTITUTE(SUBSTITUTE(SUBSTITUTE(SUBSTITUTE(SUBSTITUTE(SUBSTITUTE(SUBSTITUTE(SUBSTITUTE(SUBSTITUTE(SUBSTITUTE(UPPER(TRIM(D898)),"Á","A"),"À","A"),"Â","A"),"Ã","A"),"É","E"),"Ê","E"),"Í","I"),"Ó","O"),"Ô","O"),"Õ","O"),"Ú","U"),"Ü","U"),"Ç","C"))</f>
        <v/>
      </c>
      <c r="G898" s="31" t="str">
        <f aca="false">IF(E898="","",IF(LEN(SUBSTITUTE(SUBSTITUTE(SUBSTITUTE(SUBSTITUTE(TRIM(E898),"*",""),".",""),"-","")," ",""))=11,MID(SUBSTITUTE(SUBSTITUTE(SUBSTITUTE(SUBSTITUTE(TRIM(E898),"*",""),".",""),"-","")," ",""),4,6),SUBSTITUTE(SUBSTITUTE(SUBSTITUTE(SUBSTITUTE(TRIM(E898),"*",""),".",""),"-","")," ","")))</f>
        <v/>
      </c>
      <c r="H898" s="31" t="str">
        <f aca="false">IF(OR(F898="",G898=""),"",F898&amp;"|"&amp;G898)</f>
        <v/>
      </c>
      <c r="I898" s="23"/>
      <c r="J898" s="22"/>
      <c r="K898" s="22"/>
      <c r="L898" s="25" t="str">
        <f aca="false">IF(F898="","",IF(AND(H898&lt;&gt;"",COUNTIF(Pessoas!$E:$E,H898)&gt;0),"SIM",IF(COUNTIF(Pessoas!$C:$C,F898)&gt;0,"nome igual em Pessoas: confira o CPF","")))</f>
        <v/>
      </c>
      <c r="M898" s="24"/>
      <c r="N898" s="11"/>
    </row>
    <row r="899" customFormat="false" ht="15" hidden="false" customHeight="false" outlineLevel="0" collapsed="false">
      <c r="A899" s="24"/>
      <c r="B899" s="31" t="str">
        <f aca="false">IF(A899="","",IF(LEN(UPPER(SUBSTITUTE(SUBSTITUTE(SUBSTITUTE(SUBSTITUTE(TRIM(A899),".",""),"/",""),"-","")," ","")))&lt;14,RIGHT(REPT("0",14)&amp;UPPER(SUBSTITUTE(SUBSTITUTE(SUBSTITUTE(SUBSTITUTE(TRIM(A899),".",""),"/",""),"-","")," ","")),14),UPPER(SUBSTITUTE(SUBSTITUTE(SUBSTITUTE(SUBSTITUTE(TRIM(A899),".",""),"/",""),"-","")," ",""))))</f>
        <v/>
      </c>
      <c r="C899" s="25" t="str">
        <f aca="false">IF(B899="","",IFERROR(INDEX(Empresas!$C:$C,MATCH(B899,Empresas!$B:$B,0)),"cadastre o CNPJ em Empresas"))</f>
        <v/>
      </c>
      <c r="D899" s="23"/>
      <c r="E899" s="24"/>
      <c r="F899" s="31" t="str">
        <f aca="false">IF(D899="","",SUBSTITUTE(SUBSTITUTE(SUBSTITUTE(SUBSTITUTE(SUBSTITUTE(SUBSTITUTE(SUBSTITUTE(SUBSTITUTE(SUBSTITUTE(SUBSTITUTE(SUBSTITUTE(SUBSTITUTE(SUBSTITUTE(UPPER(TRIM(D899)),"Á","A"),"À","A"),"Â","A"),"Ã","A"),"É","E"),"Ê","E"),"Í","I"),"Ó","O"),"Ô","O"),"Õ","O"),"Ú","U"),"Ü","U"),"Ç","C"))</f>
        <v/>
      </c>
      <c r="G899" s="31" t="str">
        <f aca="false">IF(E899="","",IF(LEN(SUBSTITUTE(SUBSTITUTE(SUBSTITUTE(SUBSTITUTE(TRIM(E899),"*",""),".",""),"-","")," ",""))=11,MID(SUBSTITUTE(SUBSTITUTE(SUBSTITUTE(SUBSTITUTE(TRIM(E899),"*",""),".",""),"-","")," ",""),4,6),SUBSTITUTE(SUBSTITUTE(SUBSTITUTE(SUBSTITUTE(TRIM(E899),"*",""),".",""),"-","")," ","")))</f>
        <v/>
      </c>
      <c r="H899" s="31" t="str">
        <f aca="false">IF(OR(F899="",G899=""),"",F899&amp;"|"&amp;G899)</f>
        <v/>
      </c>
      <c r="I899" s="23"/>
      <c r="J899" s="22"/>
      <c r="K899" s="22"/>
      <c r="L899" s="25" t="str">
        <f aca="false">IF(F899="","",IF(AND(H899&lt;&gt;"",COUNTIF(Pessoas!$E:$E,H899)&gt;0),"SIM",IF(COUNTIF(Pessoas!$C:$C,F899)&gt;0,"nome igual em Pessoas: confira o CPF","")))</f>
        <v/>
      </c>
      <c r="M899" s="24"/>
      <c r="N899" s="11"/>
    </row>
    <row r="900" customFormat="false" ht="15" hidden="false" customHeight="false" outlineLevel="0" collapsed="false">
      <c r="A900" s="24"/>
      <c r="B900" s="31" t="str">
        <f aca="false">IF(A900="","",IF(LEN(UPPER(SUBSTITUTE(SUBSTITUTE(SUBSTITUTE(SUBSTITUTE(TRIM(A900),".",""),"/",""),"-","")," ","")))&lt;14,RIGHT(REPT("0",14)&amp;UPPER(SUBSTITUTE(SUBSTITUTE(SUBSTITUTE(SUBSTITUTE(TRIM(A900),".",""),"/",""),"-","")," ","")),14),UPPER(SUBSTITUTE(SUBSTITUTE(SUBSTITUTE(SUBSTITUTE(TRIM(A900),".",""),"/",""),"-","")," ",""))))</f>
        <v/>
      </c>
      <c r="C900" s="25" t="str">
        <f aca="false">IF(B900="","",IFERROR(INDEX(Empresas!$C:$C,MATCH(B900,Empresas!$B:$B,0)),"cadastre o CNPJ em Empresas"))</f>
        <v/>
      </c>
      <c r="D900" s="23"/>
      <c r="E900" s="24"/>
      <c r="F900" s="31" t="str">
        <f aca="false">IF(D900="","",SUBSTITUTE(SUBSTITUTE(SUBSTITUTE(SUBSTITUTE(SUBSTITUTE(SUBSTITUTE(SUBSTITUTE(SUBSTITUTE(SUBSTITUTE(SUBSTITUTE(SUBSTITUTE(SUBSTITUTE(SUBSTITUTE(UPPER(TRIM(D900)),"Á","A"),"À","A"),"Â","A"),"Ã","A"),"É","E"),"Ê","E"),"Í","I"),"Ó","O"),"Ô","O"),"Õ","O"),"Ú","U"),"Ü","U"),"Ç","C"))</f>
        <v/>
      </c>
      <c r="G900" s="31" t="str">
        <f aca="false">IF(E900="","",IF(LEN(SUBSTITUTE(SUBSTITUTE(SUBSTITUTE(SUBSTITUTE(TRIM(E900),"*",""),".",""),"-","")," ",""))=11,MID(SUBSTITUTE(SUBSTITUTE(SUBSTITUTE(SUBSTITUTE(TRIM(E900),"*",""),".",""),"-","")," ",""),4,6),SUBSTITUTE(SUBSTITUTE(SUBSTITUTE(SUBSTITUTE(TRIM(E900),"*",""),".",""),"-","")," ","")))</f>
        <v/>
      </c>
      <c r="H900" s="31" t="str">
        <f aca="false">IF(OR(F900="",G900=""),"",F900&amp;"|"&amp;G900)</f>
        <v/>
      </c>
      <c r="I900" s="23"/>
      <c r="J900" s="22"/>
      <c r="K900" s="22"/>
      <c r="L900" s="25" t="str">
        <f aca="false">IF(F900="","",IF(AND(H900&lt;&gt;"",COUNTIF(Pessoas!$E:$E,H900)&gt;0),"SIM",IF(COUNTIF(Pessoas!$C:$C,F900)&gt;0,"nome igual em Pessoas: confira o CPF","")))</f>
        <v/>
      </c>
      <c r="M900" s="24"/>
      <c r="N900" s="11"/>
    </row>
    <row r="901" customFormat="false" ht="15" hidden="false" customHeight="false" outlineLevel="0" collapsed="false">
      <c r="A901" s="24"/>
      <c r="B901" s="31" t="str">
        <f aca="false">IF(A901="","",IF(LEN(UPPER(SUBSTITUTE(SUBSTITUTE(SUBSTITUTE(SUBSTITUTE(TRIM(A901),".",""),"/",""),"-","")," ","")))&lt;14,RIGHT(REPT("0",14)&amp;UPPER(SUBSTITUTE(SUBSTITUTE(SUBSTITUTE(SUBSTITUTE(TRIM(A901),".",""),"/",""),"-","")," ","")),14),UPPER(SUBSTITUTE(SUBSTITUTE(SUBSTITUTE(SUBSTITUTE(TRIM(A901),".",""),"/",""),"-","")," ",""))))</f>
        <v/>
      </c>
      <c r="C901" s="25" t="str">
        <f aca="false">IF(B901="","",IFERROR(INDEX(Empresas!$C:$C,MATCH(B901,Empresas!$B:$B,0)),"cadastre o CNPJ em Empresas"))</f>
        <v/>
      </c>
      <c r="D901" s="23"/>
      <c r="E901" s="24"/>
      <c r="F901" s="31" t="str">
        <f aca="false">IF(D901="","",SUBSTITUTE(SUBSTITUTE(SUBSTITUTE(SUBSTITUTE(SUBSTITUTE(SUBSTITUTE(SUBSTITUTE(SUBSTITUTE(SUBSTITUTE(SUBSTITUTE(SUBSTITUTE(SUBSTITUTE(SUBSTITUTE(UPPER(TRIM(D901)),"Á","A"),"À","A"),"Â","A"),"Ã","A"),"É","E"),"Ê","E"),"Í","I"),"Ó","O"),"Ô","O"),"Õ","O"),"Ú","U"),"Ü","U"),"Ç","C"))</f>
        <v/>
      </c>
      <c r="G901" s="31" t="str">
        <f aca="false">IF(E901="","",IF(LEN(SUBSTITUTE(SUBSTITUTE(SUBSTITUTE(SUBSTITUTE(TRIM(E901),"*",""),".",""),"-","")," ",""))=11,MID(SUBSTITUTE(SUBSTITUTE(SUBSTITUTE(SUBSTITUTE(TRIM(E901),"*",""),".",""),"-","")," ",""),4,6),SUBSTITUTE(SUBSTITUTE(SUBSTITUTE(SUBSTITUTE(TRIM(E901),"*",""),".",""),"-","")," ","")))</f>
        <v/>
      </c>
      <c r="H901" s="31" t="str">
        <f aca="false">IF(OR(F901="",G901=""),"",F901&amp;"|"&amp;G901)</f>
        <v/>
      </c>
      <c r="I901" s="23"/>
      <c r="J901" s="22"/>
      <c r="K901" s="22"/>
      <c r="L901" s="25" t="str">
        <f aca="false">IF(F901="","",IF(AND(H901&lt;&gt;"",COUNTIF(Pessoas!$E:$E,H901)&gt;0),"SIM",IF(COUNTIF(Pessoas!$C:$C,F901)&gt;0,"nome igual em Pessoas: confira o CPF","")))</f>
        <v/>
      </c>
      <c r="M901" s="24"/>
      <c r="N901" s="11"/>
    </row>
    <row r="902" customFormat="false" ht="15" hidden="false" customHeight="false" outlineLevel="0" collapsed="false">
      <c r="A902" s="24"/>
      <c r="B902" s="31" t="str">
        <f aca="false">IF(A902="","",IF(LEN(UPPER(SUBSTITUTE(SUBSTITUTE(SUBSTITUTE(SUBSTITUTE(TRIM(A902),".",""),"/",""),"-","")," ","")))&lt;14,RIGHT(REPT("0",14)&amp;UPPER(SUBSTITUTE(SUBSTITUTE(SUBSTITUTE(SUBSTITUTE(TRIM(A902),".",""),"/",""),"-","")," ","")),14),UPPER(SUBSTITUTE(SUBSTITUTE(SUBSTITUTE(SUBSTITUTE(TRIM(A902),".",""),"/",""),"-","")," ",""))))</f>
        <v/>
      </c>
      <c r="C902" s="25" t="str">
        <f aca="false">IF(B902="","",IFERROR(INDEX(Empresas!$C:$C,MATCH(B902,Empresas!$B:$B,0)),"cadastre o CNPJ em Empresas"))</f>
        <v/>
      </c>
      <c r="D902" s="23"/>
      <c r="E902" s="24"/>
      <c r="F902" s="31" t="str">
        <f aca="false">IF(D902="","",SUBSTITUTE(SUBSTITUTE(SUBSTITUTE(SUBSTITUTE(SUBSTITUTE(SUBSTITUTE(SUBSTITUTE(SUBSTITUTE(SUBSTITUTE(SUBSTITUTE(SUBSTITUTE(SUBSTITUTE(SUBSTITUTE(UPPER(TRIM(D902)),"Á","A"),"À","A"),"Â","A"),"Ã","A"),"É","E"),"Ê","E"),"Í","I"),"Ó","O"),"Ô","O"),"Õ","O"),"Ú","U"),"Ü","U"),"Ç","C"))</f>
        <v/>
      </c>
      <c r="G902" s="31" t="str">
        <f aca="false">IF(E902="","",IF(LEN(SUBSTITUTE(SUBSTITUTE(SUBSTITUTE(SUBSTITUTE(TRIM(E902),"*",""),".",""),"-","")," ",""))=11,MID(SUBSTITUTE(SUBSTITUTE(SUBSTITUTE(SUBSTITUTE(TRIM(E902),"*",""),".",""),"-","")," ",""),4,6),SUBSTITUTE(SUBSTITUTE(SUBSTITUTE(SUBSTITUTE(TRIM(E902),"*",""),".",""),"-","")," ","")))</f>
        <v/>
      </c>
      <c r="H902" s="31" t="str">
        <f aca="false">IF(OR(F902="",G902=""),"",F902&amp;"|"&amp;G902)</f>
        <v/>
      </c>
      <c r="I902" s="23"/>
      <c r="J902" s="22"/>
      <c r="K902" s="22"/>
      <c r="L902" s="25" t="str">
        <f aca="false">IF(F902="","",IF(AND(H902&lt;&gt;"",COUNTIF(Pessoas!$E:$E,H902)&gt;0),"SIM",IF(COUNTIF(Pessoas!$C:$C,F902)&gt;0,"nome igual em Pessoas: confira o CPF","")))</f>
        <v/>
      </c>
      <c r="M902" s="24"/>
      <c r="N902" s="11"/>
    </row>
    <row r="903" customFormat="false" ht="15" hidden="false" customHeight="false" outlineLevel="0" collapsed="false">
      <c r="A903" s="24"/>
      <c r="B903" s="31" t="str">
        <f aca="false">IF(A903="","",IF(LEN(UPPER(SUBSTITUTE(SUBSTITUTE(SUBSTITUTE(SUBSTITUTE(TRIM(A903),".",""),"/",""),"-","")," ","")))&lt;14,RIGHT(REPT("0",14)&amp;UPPER(SUBSTITUTE(SUBSTITUTE(SUBSTITUTE(SUBSTITUTE(TRIM(A903),".",""),"/",""),"-","")," ","")),14),UPPER(SUBSTITUTE(SUBSTITUTE(SUBSTITUTE(SUBSTITUTE(TRIM(A903),".",""),"/",""),"-","")," ",""))))</f>
        <v/>
      </c>
      <c r="C903" s="25" t="str">
        <f aca="false">IF(B903="","",IFERROR(INDEX(Empresas!$C:$C,MATCH(B903,Empresas!$B:$B,0)),"cadastre o CNPJ em Empresas"))</f>
        <v/>
      </c>
      <c r="D903" s="23"/>
      <c r="E903" s="24"/>
      <c r="F903" s="31" t="str">
        <f aca="false">IF(D903="","",SUBSTITUTE(SUBSTITUTE(SUBSTITUTE(SUBSTITUTE(SUBSTITUTE(SUBSTITUTE(SUBSTITUTE(SUBSTITUTE(SUBSTITUTE(SUBSTITUTE(SUBSTITUTE(SUBSTITUTE(SUBSTITUTE(UPPER(TRIM(D903)),"Á","A"),"À","A"),"Â","A"),"Ã","A"),"É","E"),"Ê","E"),"Í","I"),"Ó","O"),"Ô","O"),"Õ","O"),"Ú","U"),"Ü","U"),"Ç","C"))</f>
        <v/>
      </c>
      <c r="G903" s="31" t="str">
        <f aca="false">IF(E903="","",IF(LEN(SUBSTITUTE(SUBSTITUTE(SUBSTITUTE(SUBSTITUTE(TRIM(E903),"*",""),".",""),"-","")," ",""))=11,MID(SUBSTITUTE(SUBSTITUTE(SUBSTITUTE(SUBSTITUTE(TRIM(E903),"*",""),".",""),"-","")," ",""),4,6),SUBSTITUTE(SUBSTITUTE(SUBSTITUTE(SUBSTITUTE(TRIM(E903),"*",""),".",""),"-","")," ","")))</f>
        <v/>
      </c>
      <c r="H903" s="31" t="str">
        <f aca="false">IF(OR(F903="",G903=""),"",F903&amp;"|"&amp;G903)</f>
        <v/>
      </c>
      <c r="I903" s="23"/>
      <c r="J903" s="22"/>
      <c r="K903" s="22"/>
      <c r="L903" s="25" t="str">
        <f aca="false">IF(F903="","",IF(AND(H903&lt;&gt;"",COUNTIF(Pessoas!$E:$E,H903)&gt;0),"SIM",IF(COUNTIF(Pessoas!$C:$C,F903)&gt;0,"nome igual em Pessoas: confira o CPF","")))</f>
        <v/>
      </c>
      <c r="M903" s="24"/>
      <c r="N903" s="11"/>
    </row>
    <row r="904" customFormat="false" ht="15" hidden="false" customHeight="false" outlineLevel="0" collapsed="false">
      <c r="A904" s="24"/>
      <c r="B904" s="31" t="str">
        <f aca="false">IF(A904="","",IF(LEN(UPPER(SUBSTITUTE(SUBSTITUTE(SUBSTITUTE(SUBSTITUTE(TRIM(A904),".",""),"/",""),"-","")," ","")))&lt;14,RIGHT(REPT("0",14)&amp;UPPER(SUBSTITUTE(SUBSTITUTE(SUBSTITUTE(SUBSTITUTE(TRIM(A904),".",""),"/",""),"-","")," ","")),14),UPPER(SUBSTITUTE(SUBSTITUTE(SUBSTITUTE(SUBSTITUTE(TRIM(A904),".",""),"/",""),"-","")," ",""))))</f>
        <v/>
      </c>
      <c r="C904" s="25" t="str">
        <f aca="false">IF(B904="","",IFERROR(INDEX(Empresas!$C:$C,MATCH(B904,Empresas!$B:$B,0)),"cadastre o CNPJ em Empresas"))</f>
        <v/>
      </c>
      <c r="D904" s="23"/>
      <c r="E904" s="24"/>
      <c r="F904" s="31" t="str">
        <f aca="false">IF(D904="","",SUBSTITUTE(SUBSTITUTE(SUBSTITUTE(SUBSTITUTE(SUBSTITUTE(SUBSTITUTE(SUBSTITUTE(SUBSTITUTE(SUBSTITUTE(SUBSTITUTE(SUBSTITUTE(SUBSTITUTE(SUBSTITUTE(UPPER(TRIM(D904)),"Á","A"),"À","A"),"Â","A"),"Ã","A"),"É","E"),"Ê","E"),"Í","I"),"Ó","O"),"Ô","O"),"Õ","O"),"Ú","U"),"Ü","U"),"Ç","C"))</f>
        <v/>
      </c>
      <c r="G904" s="31" t="str">
        <f aca="false">IF(E904="","",IF(LEN(SUBSTITUTE(SUBSTITUTE(SUBSTITUTE(SUBSTITUTE(TRIM(E904),"*",""),".",""),"-","")," ",""))=11,MID(SUBSTITUTE(SUBSTITUTE(SUBSTITUTE(SUBSTITUTE(TRIM(E904),"*",""),".",""),"-","")," ",""),4,6),SUBSTITUTE(SUBSTITUTE(SUBSTITUTE(SUBSTITUTE(TRIM(E904),"*",""),".",""),"-","")," ","")))</f>
        <v/>
      </c>
      <c r="H904" s="31" t="str">
        <f aca="false">IF(OR(F904="",G904=""),"",F904&amp;"|"&amp;G904)</f>
        <v/>
      </c>
      <c r="I904" s="23"/>
      <c r="J904" s="22"/>
      <c r="K904" s="22"/>
      <c r="L904" s="25" t="str">
        <f aca="false">IF(F904="","",IF(AND(H904&lt;&gt;"",COUNTIF(Pessoas!$E:$E,H904)&gt;0),"SIM",IF(COUNTIF(Pessoas!$C:$C,F904)&gt;0,"nome igual em Pessoas: confira o CPF","")))</f>
        <v/>
      </c>
      <c r="M904" s="24"/>
      <c r="N904" s="11"/>
    </row>
    <row r="905" customFormat="false" ht="15" hidden="false" customHeight="false" outlineLevel="0" collapsed="false">
      <c r="A905" s="24"/>
      <c r="B905" s="31" t="str">
        <f aca="false">IF(A905="","",IF(LEN(UPPER(SUBSTITUTE(SUBSTITUTE(SUBSTITUTE(SUBSTITUTE(TRIM(A905),".",""),"/",""),"-","")," ","")))&lt;14,RIGHT(REPT("0",14)&amp;UPPER(SUBSTITUTE(SUBSTITUTE(SUBSTITUTE(SUBSTITUTE(TRIM(A905),".",""),"/",""),"-","")," ","")),14),UPPER(SUBSTITUTE(SUBSTITUTE(SUBSTITUTE(SUBSTITUTE(TRIM(A905),".",""),"/",""),"-","")," ",""))))</f>
        <v/>
      </c>
      <c r="C905" s="25" t="str">
        <f aca="false">IF(B905="","",IFERROR(INDEX(Empresas!$C:$C,MATCH(B905,Empresas!$B:$B,0)),"cadastre o CNPJ em Empresas"))</f>
        <v/>
      </c>
      <c r="D905" s="23"/>
      <c r="E905" s="24"/>
      <c r="F905" s="31" t="str">
        <f aca="false">IF(D905="","",SUBSTITUTE(SUBSTITUTE(SUBSTITUTE(SUBSTITUTE(SUBSTITUTE(SUBSTITUTE(SUBSTITUTE(SUBSTITUTE(SUBSTITUTE(SUBSTITUTE(SUBSTITUTE(SUBSTITUTE(SUBSTITUTE(UPPER(TRIM(D905)),"Á","A"),"À","A"),"Â","A"),"Ã","A"),"É","E"),"Ê","E"),"Í","I"),"Ó","O"),"Ô","O"),"Õ","O"),"Ú","U"),"Ü","U"),"Ç","C"))</f>
        <v/>
      </c>
      <c r="G905" s="31" t="str">
        <f aca="false">IF(E905="","",IF(LEN(SUBSTITUTE(SUBSTITUTE(SUBSTITUTE(SUBSTITUTE(TRIM(E905),"*",""),".",""),"-","")," ",""))=11,MID(SUBSTITUTE(SUBSTITUTE(SUBSTITUTE(SUBSTITUTE(TRIM(E905),"*",""),".",""),"-","")," ",""),4,6),SUBSTITUTE(SUBSTITUTE(SUBSTITUTE(SUBSTITUTE(TRIM(E905),"*",""),".",""),"-","")," ","")))</f>
        <v/>
      </c>
      <c r="H905" s="31" t="str">
        <f aca="false">IF(OR(F905="",G905=""),"",F905&amp;"|"&amp;G905)</f>
        <v/>
      </c>
      <c r="I905" s="23"/>
      <c r="J905" s="22"/>
      <c r="K905" s="22"/>
      <c r="L905" s="25" t="str">
        <f aca="false">IF(F905="","",IF(AND(H905&lt;&gt;"",COUNTIF(Pessoas!$E:$E,H905)&gt;0),"SIM",IF(COUNTIF(Pessoas!$C:$C,F905)&gt;0,"nome igual em Pessoas: confira o CPF","")))</f>
        <v/>
      </c>
      <c r="M905" s="24"/>
      <c r="N905" s="11"/>
    </row>
    <row r="906" customFormat="false" ht="15" hidden="false" customHeight="false" outlineLevel="0" collapsed="false">
      <c r="A906" s="24"/>
      <c r="B906" s="31" t="str">
        <f aca="false">IF(A906="","",IF(LEN(UPPER(SUBSTITUTE(SUBSTITUTE(SUBSTITUTE(SUBSTITUTE(TRIM(A906),".",""),"/",""),"-","")," ","")))&lt;14,RIGHT(REPT("0",14)&amp;UPPER(SUBSTITUTE(SUBSTITUTE(SUBSTITUTE(SUBSTITUTE(TRIM(A906),".",""),"/",""),"-","")," ","")),14),UPPER(SUBSTITUTE(SUBSTITUTE(SUBSTITUTE(SUBSTITUTE(TRIM(A906),".",""),"/",""),"-","")," ",""))))</f>
        <v/>
      </c>
      <c r="C906" s="25" t="str">
        <f aca="false">IF(B906="","",IFERROR(INDEX(Empresas!$C:$C,MATCH(B906,Empresas!$B:$B,0)),"cadastre o CNPJ em Empresas"))</f>
        <v/>
      </c>
      <c r="D906" s="23"/>
      <c r="E906" s="24"/>
      <c r="F906" s="31" t="str">
        <f aca="false">IF(D906="","",SUBSTITUTE(SUBSTITUTE(SUBSTITUTE(SUBSTITUTE(SUBSTITUTE(SUBSTITUTE(SUBSTITUTE(SUBSTITUTE(SUBSTITUTE(SUBSTITUTE(SUBSTITUTE(SUBSTITUTE(SUBSTITUTE(UPPER(TRIM(D906)),"Á","A"),"À","A"),"Â","A"),"Ã","A"),"É","E"),"Ê","E"),"Í","I"),"Ó","O"),"Ô","O"),"Õ","O"),"Ú","U"),"Ü","U"),"Ç","C"))</f>
        <v/>
      </c>
      <c r="G906" s="31" t="str">
        <f aca="false">IF(E906="","",IF(LEN(SUBSTITUTE(SUBSTITUTE(SUBSTITUTE(SUBSTITUTE(TRIM(E906),"*",""),".",""),"-","")," ",""))=11,MID(SUBSTITUTE(SUBSTITUTE(SUBSTITUTE(SUBSTITUTE(TRIM(E906),"*",""),".",""),"-","")," ",""),4,6),SUBSTITUTE(SUBSTITUTE(SUBSTITUTE(SUBSTITUTE(TRIM(E906),"*",""),".",""),"-","")," ","")))</f>
        <v/>
      </c>
      <c r="H906" s="31" t="str">
        <f aca="false">IF(OR(F906="",G906=""),"",F906&amp;"|"&amp;G906)</f>
        <v/>
      </c>
      <c r="I906" s="23"/>
      <c r="J906" s="22"/>
      <c r="K906" s="22"/>
      <c r="L906" s="25" t="str">
        <f aca="false">IF(F906="","",IF(AND(H906&lt;&gt;"",COUNTIF(Pessoas!$E:$E,H906)&gt;0),"SIM",IF(COUNTIF(Pessoas!$C:$C,F906)&gt;0,"nome igual em Pessoas: confira o CPF","")))</f>
        <v/>
      </c>
      <c r="M906" s="24"/>
      <c r="N906" s="11"/>
    </row>
    <row r="907" customFormat="false" ht="15" hidden="false" customHeight="false" outlineLevel="0" collapsed="false">
      <c r="A907" s="24"/>
      <c r="B907" s="31" t="str">
        <f aca="false">IF(A907="","",IF(LEN(UPPER(SUBSTITUTE(SUBSTITUTE(SUBSTITUTE(SUBSTITUTE(TRIM(A907),".",""),"/",""),"-","")," ","")))&lt;14,RIGHT(REPT("0",14)&amp;UPPER(SUBSTITUTE(SUBSTITUTE(SUBSTITUTE(SUBSTITUTE(TRIM(A907),".",""),"/",""),"-","")," ","")),14),UPPER(SUBSTITUTE(SUBSTITUTE(SUBSTITUTE(SUBSTITUTE(TRIM(A907),".",""),"/",""),"-","")," ",""))))</f>
        <v/>
      </c>
      <c r="C907" s="25" t="str">
        <f aca="false">IF(B907="","",IFERROR(INDEX(Empresas!$C:$C,MATCH(B907,Empresas!$B:$B,0)),"cadastre o CNPJ em Empresas"))</f>
        <v/>
      </c>
      <c r="D907" s="23"/>
      <c r="E907" s="24"/>
      <c r="F907" s="31" t="str">
        <f aca="false">IF(D907="","",SUBSTITUTE(SUBSTITUTE(SUBSTITUTE(SUBSTITUTE(SUBSTITUTE(SUBSTITUTE(SUBSTITUTE(SUBSTITUTE(SUBSTITUTE(SUBSTITUTE(SUBSTITUTE(SUBSTITUTE(SUBSTITUTE(UPPER(TRIM(D907)),"Á","A"),"À","A"),"Â","A"),"Ã","A"),"É","E"),"Ê","E"),"Í","I"),"Ó","O"),"Ô","O"),"Õ","O"),"Ú","U"),"Ü","U"),"Ç","C"))</f>
        <v/>
      </c>
      <c r="G907" s="31" t="str">
        <f aca="false">IF(E907="","",IF(LEN(SUBSTITUTE(SUBSTITUTE(SUBSTITUTE(SUBSTITUTE(TRIM(E907),"*",""),".",""),"-","")," ",""))=11,MID(SUBSTITUTE(SUBSTITUTE(SUBSTITUTE(SUBSTITUTE(TRIM(E907),"*",""),".",""),"-","")," ",""),4,6),SUBSTITUTE(SUBSTITUTE(SUBSTITUTE(SUBSTITUTE(TRIM(E907),"*",""),".",""),"-","")," ","")))</f>
        <v/>
      </c>
      <c r="H907" s="31" t="str">
        <f aca="false">IF(OR(F907="",G907=""),"",F907&amp;"|"&amp;G907)</f>
        <v/>
      </c>
      <c r="I907" s="23"/>
      <c r="J907" s="22"/>
      <c r="K907" s="22"/>
      <c r="L907" s="25" t="str">
        <f aca="false">IF(F907="","",IF(AND(H907&lt;&gt;"",COUNTIF(Pessoas!$E:$E,H907)&gt;0),"SIM",IF(COUNTIF(Pessoas!$C:$C,F907)&gt;0,"nome igual em Pessoas: confira o CPF","")))</f>
        <v/>
      </c>
      <c r="M907" s="24"/>
      <c r="N907" s="11"/>
    </row>
    <row r="908" customFormat="false" ht="15" hidden="false" customHeight="false" outlineLevel="0" collapsed="false">
      <c r="A908" s="24"/>
      <c r="B908" s="31" t="str">
        <f aca="false">IF(A908="","",IF(LEN(UPPER(SUBSTITUTE(SUBSTITUTE(SUBSTITUTE(SUBSTITUTE(TRIM(A908),".",""),"/",""),"-","")," ","")))&lt;14,RIGHT(REPT("0",14)&amp;UPPER(SUBSTITUTE(SUBSTITUTE(SUBSTITUTE(SUBSTITUTE(TRIM(A908),".",""),"/",""),"-","")," ","")),14),UPPER(SUBSTITUTE(SUBSTITUTE(SUBSTITUTE(SUBSTITUTE(TRIM(A908),".",""),"/",""),"-","")," ",""))))</f>
        <v/>
      </c>
      <c r="C908" s="25" t="str">
        <f aca="false">IF(B908="","",IFERROR(INDEX(Empresas!$C:$C,MATCH(B908,Empresas!$B:$B,0)),"cadastre o CNPJ em Empresas"))</f>
        <v/>
      </c>
      <c r="D908" s="23"/>
      <c r="E908" s="24"/>
      <c r="F908" s="31" t="str">
        <f aca="false">IF(D908="","",SUBSTITUTE(SUBSTITUTE(SUBSTITUTE(SUBSTITUTE(SUBSTITUTE(SUBSTITUTE(SUBSTITUTE(SUBSTITUTE(SUBSTITUTE(SUBSTITUTE(SUBSTITUTE(SUBSTITUTE(SUBSTITUTE(UPPER(TRIM(D908)),"Á","A"),"À","A"),"Â","A"),"Ã","A"),"É","E"),"Ê","E"),"Í","I"),"Ó","O"),"Ô","O"),"Õ","O"),"Ú","U"),"Ü","U"),"Ç","C"))</f>
        <v/>
      </c>
      <c r="G908" s="31" t="str">
        <f aca="false">IF(E908="","",IF(LEN(SUBSTITUTE(SUBSTITUTE(SUBSTITUTE(SUBSTITUTE(TRIM(E908),"*",""),".",""),"-","")," ",""))=11,MID(SUBSTITUTE(SUBSTITUTE(SUBSTITUTE(SUBSTITUTE(TRIM(E908),"*",""),".",""),"-","")," ",""),4,6),SUBSTITUTE(SUBSTITUTE(SUBSTITUTE(SUBSTITUTE(TRIM(E908),"*",""),".",""),"-","")," ","")))</f>
        <v/>
      </c>
      <c r="H908" s="31" t="str">
        <f aca="false">IF(OR(F908="",G908=""),"",F908&amp;"|"&amp;G908)</f>
        <v/>
      </c>
      <c r="I908" s="23"/>
      <c r="J908" s="22"/>
      <c r="K908" s="22"/>
      <c r="L908" s="25" t="str">
        <f aca="false">IF(F908="","",IF(AND(H908&lt;&gt;"",COUNTIF(Pessoas!$E:$E,H908)&gt;0),"SIM",IF(COUNTIF(Pessoas!$C:$C,F908)&gt;0,"nome igual em Pessoas: confira o CPF","")))</f>
        <v/>
      </c>
      <c r="M908" s="24"/>
      <c r="N908" s="11"/>
    </row>
    <row r="909" customFormat="false" ht="15" hidden="false" customHeight="false" outlineLevel="0" collapsed="false">
      <c r="A909" s="24"/>
      <c r="B909" s="31" t="str">
        <f aca="false">IF(A909="","",IF(LEN(UPPER(SUBSTITUTE(SUBSTITUTE(SUBSTITUTE(SUBSTITUTE(TRIM(A909),".",""),"/",""),"-","")," ","")))&lt;14,RIGHT(REPT("0",14)&amp;UPPER(SUBSTITUTE(SUBSTITUTE(SUBSTITUTE(SUBSTITUTE(TRIM(A909),".",""),"/",""),"-","")," ","")),14),UPPER(SUBSTITUTE(SUBSTITUTE(SUBSTITUTE(SUBSTITUTE(TRIM(A909),".",""),"/",""),"-","")," ",""))))</f>
        <v/>
      </c>
      <c r="C909" s="25" t="str">
        <f aca="false">IF(B909="","",IFERROR(INDEX(Empresas!$C:$C,MATCH(B909,Empresas!$B:$B,0)),"cadastre o CNPJ em Empresas"))</f>
        <v/>
      </c>
      <c r="D909" s="23"/>
      <c r="E909" s="24"/>
      <c r="F909" s="31" t="str">
        <f aca="false">IF(D909="","",SUBSTITUTE(SUBSTITUTE(SUBSTITUTE(SUBSTITUTE(SUBSTITUTE(SUBSTITUTE(SUBSTITUTE(SUBSTITUTE(SUBSTITUTE(SUBSTITUTE(SUBSTITUTE(SUBSTITUTE(SUBSTITUTE(UPPER(TRIM(D909)),"Á","A"),"À","A"),"Â","A"),"Ã","A"),"É","E"),"Ê","E"),"Í","I"),"Ó","O"),"Ô","O"),"Õ","O"),"Ú","U"),"Ü","U"),"Ç","C"))</f>
        <v/>
      </c>
      <c r="G909" s="31" t="str">
        <f aca="false">IF(E909="","",IF(LEN(SUBSTITUTE(SUBSTITUTE(SUBSTITUTE(SUBSTITUTE(TRIM(E909),"*",""),".",""),"-","")," ",""))=11,MID(SUBSTITUTE(SUBSTITUTE(SUBSTITUTE(SUBSTITUTE(TRIM(E909),"*",""),".",""),"-","")," ",""),4,6),SUBSTITUTE(SUBSTITUTE(SUBSTITUTE(SUBSTITUTE(TRIM(E909),"*",""),".",""),"-","")," ","")))</f>
        <v/>
      </c>
      <c r="H909" s="31" t="str">
        <f aca="false">IF(OR(F909="",G909=""),"",F909&amp;"|"&amp;G909)</f>
        <v/>
      </c>
      <c r="I909" s="23"/>
      <c r="J909" s="22"/>
      <c r="K909" s="22"/>
      <c r="L909" s="25" t="str">
        <f aca="false">IF(F909="","",IF(AND(H909&lt;&gt;"",COUNTIF(Pessoas!$E:$E,H909)&gt;0),"SIM",IF(COUNTIF(Pessoas!$C:$C,F909)&gt;0,"nome igual em Pessoas: confira o CPF","")))</f>
        <v/>
      </c>
      <c r="M909" s="24"/>
      <c r="N909" s="11"/>
    </row>
    <row r="910" customFormat="false" ht="15" hidden="false" customHeight="false" outlineLevel="0" collapsed="false">
      <c r="A910" s="24"/>
      <c r="B910" s="31" t="str">
        <f aca="false">IF(A910="","",IF(LEN(UPPER(SUBSTITUTE(SUBSTITUTE(SUBSTITUTE(SUBSTITUTE(TRIM(A910),".",""),"/",""),"-","")," ","")))&lt;14,RIGHT(REPT("0",14)&amp;UPPER(SUBSTITUTE(SUBSTITUTE(SUBSTITUTE(SUBSTITUTE(TRIM(A910),".",""),"/",""),"-","")," ","")),14),UPPER(SUBSTITUTE(SUBSTITUTE(SUBSTITUTE(SUBSTITUTE(TRIM(A910),".",""),"/",""),"-","")," ",""))))</f>
        <v/>
      </c>
      <c r="C910" s="25" t="str">
        <f aca="false">IF(B910="","",IFERROR(INDEX(Empresas!$C:$C,MATCH(B910,Empresas!$B:$B,0)),"cadastre o CNPJ em Empresas"))</f>
        <v/>
      </c>
      <c r="D910" s="23"/>
      <c r="E910" s="24"/>
      <c r="F910" s="31" t="str">
        <f aca="false">IF(D910="","",SUBSTITUTE(SUBSTITUTE(SUBSTITUTE(SUBSTITUTE(SUBSTITUTE(SUBSTITUTE(SUBSTITUTE(SUBSTITUTE(SUBSTITUTE(SUBSTITUTE(SUBSTITUTE(SUBSTITUTE(SUBSTITUTE(UPPER(TRIM(D910)),"Á","A"),"À","A"),"Â","A"),"Ã","A"),"É","E"),"Ê","E"),"Í","I"),"Ó","O"),"Ô","O"),"Õ","O"),"Ú","U"),"Ü","U"),"Ç","C"))</f>
        <v/>
      </c>
      <c r="G910" s="31" t="str">
        <f aca="false">IF(E910="","",IF(LEN(SUBSTITUTE(SUBSTITUTE(SUBSTITUTE(SUBSTITUTE(TRIM(E910),"*",""),".",""),"-","")," ",""))=11,MID(SUBSTITUTE(SUBSTITUTE(SUBSTITUTE(SUBSTITUTE(TRIM(E910),"*",""),".",""),"-","")," ",""),4,6),SUBSTITUTE(SUBSTITUTE(SUBSTITUTE(SUBSTITUTE(TRIM(E910),"*",""),".",""),"-","")," ","")))</f>
        <v/>
      </c>
      <c r="H910" s="31" t="str">
        <f aca="false">IF(OR(F910="",G910=""),"",F910&amp;"|"&amp;G910)</f>
        <v/>
      </c>
      <c r="I910" s="23"/>
      <c r="J910" s="22"/>
      <c r="K910" s="22"/>
      <c r="L910" s="25" t="str">
        <f aca="false">IF(F910="","",IF(AND(H910&lt;&gt;"",COUNTIF(Pessoas!$E:$E,H910)&gt;0),"SIM",IF(COUNTIF(Pessoas!$C:$C,F910)&gt;0,"nome igual em Pessoas: confira o CPF","")))</f>
        <v/>
      </c>
      <c r="M910" s="24"/>
      <c r="N910" s="11"/>
    </row>
    <row r="911" customFormat="false" ht="15" hidden="false" customHeight="false" outlineLevel="0" collapsed="false">
      <c r="A911" s="24"/>
      <c r="B911" s="31" t="str">
        <f aca="false">IF(A911="","",IF(LEN(UPPER(SUBSTITUTE(SUBSTITUTE(SUBSTITUTE(SUBSTITUTE(TRIM(A911),".",""),"/",""),"-","")," ","")))&lt;14,RIGHT(REPT("0",14)&amp;UPPER(SUBSTITUTE(SUBSTITUTE(SUBSTITUTE(SUBSTITUTE(TRIM(A911),".",""),"/",""),"-","")," ","")),14),UPPER(SUBSTITUTE(SUBSTITUTE(SUBSTITUTE(SUBSTITUTE(TRIM(A911),".",""),"/",""),"-","")," ",""))))</f>
        <v/>
      </c>
      <c r="C911" s="25" t="str">
        <f aca="false">IF(B911="","",IFERROR(INDEX(Empresas!$C:$C,MATCH(B911,Empresas!$B:$B,0)),"cadastre o CNPJ em Empresas"))</f>
        <v/>
      </c>
      <c r="D911" s="23"/>
      <c r="E911" s="24"/>
      <c r="F911" s="31" t="str">
        <f aca="false">IF(D911="","",SUBSTITUTE(SUBSTITUTE(SUBSTITUTE(SUBSTITUTE(SUBSTITUTE(SUBSTITUTE(SUBSTITUTE(SUBSTITUTE(SUBSTITUTE(SUBSTITUTE(SUBSTITUTE(SUBSTITUTE(SUBSTITUTE(UPPER(TRIM(D911)),"Á","A"),"À","A"),"Â","A"),"Ã","A"),"É","E"),"Ê","E"),"Í","I"),"Ó","O"),"Ô","O"),"Õ","O"),"Ú","U"),"Ü","U"),"Ç","C"))</f>
        <v/>
      </c>
      <c r="G911" s="31" t="str">
        <f aca="false">IF(E911="","",IF(LEN(SUBSTITUTE(SUBSTITUTE(SUBSTITUTE(SUBSTITUTE(TRIM(E911),"*",""),".",""),"-","")," ",""))=11,MID(SUBSTITUTE(SUBSTITUTE(SUBSTITUTE(SUBSTITUTE(TRIM(E911),"*",""),".",""),"-","")," ",""),4,6),SUBSTITUTE(SUBSTITUTE(SUBSTITUTE(SUBSTITUTE(TRIM(E911),"*",""),".",""),"-","")," ","")))</f>
        <v/>
      </c>
      <c r="H911" s="31" t="str">
        <f aca="false">IF(OR(F911="",G911=""),"",F911&amp;"|"&amp;G911)</f>
        <v/>
      </c>
      <c r="I911" s="23"/>
      <c r="J911" s="22"/>
      <c r="K911" s="22"/>
      <c r="L911" s="25" t="str">
        <f aca="false">IF(F911="","",IF(AND(H911&lt;&gt;"",COUNTIF(Pessoas!$E:$E,H911)&gt;0),"SIM",IF(COUNTIF(Pessoas!$C:$C,F911)&gt;0,"nome igual em Pessoas: confira o CPF","")))</f>
        <v/>
      </c>
      <c r="M911" s="24"/>
      <c r="N911" s="11"/>
    </row>
    <row r="912" customFormat="false" ht="15" hidden="false" customHeight="false" outlineLevel="0" collapsed="false">
      <c r="A912" s="24"/>
      <c r="B912" s="31" t="str">
        <f aca="false">IF(A912="","",IF(LEN(UPPER(SUBSTITUTE(SUBSTITUTE(SUBSTITUTE(SUBSTITUTE(TRIM(A912),".",""),"/",""),"-","")," ","")))&lt;14,RIGHT(REPT("0",14)&amp;UPPER(SUBSTITUTE(SUBSTITUTE(SUBSTITUTE(SUBSTITUTE(TRIM(A912),".",""),"/",""),"-","")," ","")),14),UPPER(SUBSTITUTE(SUBSTITUTE(SUBSTITUTE(SUBSTITUTE(TRIM(A912),".",""),"/",""),"-","")," ",""))))</f>
        <v/>
      </c>
      <c r="C912" s="25" t="str">
        <f aca="false">IF(B912="","",IFERROR(INDEX(Empresas!$C:$C,MATCH(B912,Empresas!$B:$B,0)),"cadastre o CNPJ em Empresas"))</f>
        <v/>
      </c>
      <c r="D912" s="23"/>
      <c r="E912" s="24"/>
      <c r="F912" s="31" t="str">
        <f aca="false">IF(D912="","",SUBSTITUTE(SUBSTITUTE(SUBSTITUTE(SUBSTITUTE(SUBSTITUTE(SUBSTITUTE(SUBSTITUTE(SUBSTITUTE(SUBSTITUTE(SUBSTITUTE(SUBSTITUTE(SUBSTITUTE(SUBSTITUTE(UPPER(TRIM(D912)),"Á","A"),"À","A"),"Â","A"),"Ã","A"),"É","E"),"Ê","E"),"Í","I"),"Ó","O"),"Ô","O"),"Õ","O"),"Ú","U"),"Ü","U"),"Ç","C"))</f>
        <v/>
      </c>
      <c r="G912" s="31" t="str">
        <f aca="false">IF(E912="","",IF(LEN(SUBSTITUTE(SUBSTITUTE(SUBSTITUTE(SUBSTITUTE(TRIM(E912),"*",""),".",""),"-","")," ",""))=11,MID(SUBSTITUTE(SUBSTITUTE(SUBSTITUTE(SUBSTITUTE(TRIM(E912),"*",""),".",""),"-","")," ",""),4,6),SUBSTITUTE(SUBSTITUTE(SUBSTITUTE(SUBSTITUTE(TRIM(E912),"*",""),".",""),"-","")," ","")))</f>
        <v/>
      </c>
      <c r="H912" s="31" t="str">
        <f aca="false">IF(OR(F912="",G912=""),"",F912&amp;"|"&amp;G912)</f>
        <v/>
      </c>
      <c r="I912" s="23"/>
      <c r="J912" s="22"/>
      <c r="K912" s="22"/>
      <c r="L912" s="25" t="str">
        <f aca="false">IF(F912="","",IF(AND(H912&lt;&gt;"",COUNTIF(Pessoas!$E:$E,H912)&gt;0),"SIM",IF(COUNTIF(Pessoas!$C:$C,F912)&gt;0,"nome igual em Pessoas: confira o CPF","")))</f>
        <v/>
      </c>
      <c r="M912" s="24"/>
      <c r="N912" s="11"/>
    </row>
    <row r="913" customFormat="false" ht="15" hidden="false" customHeight="false" outlineLevel="0" collapsed="false">
      <c r="A913" s="24"/>
      <c r="B913" s="31" t="str">
        <f aca="false">IF(A913="","",IF(LEN(UPPER(SUBSTITUTE(SUBSTITUTE(SUBSTITUTE(SUBSTITUTE(TRIM(A913),".",""),"/",""),"-","")," ","")))&lt;14,RIGHT(REPT("0",14)&amp;UPPER(SUBSTITUTE(SUBSTITUTE(SUBSTITUTE(SUBSTITUTE(TRIM(A913),".",""),"/",""),"-","")," ","")),14),UPPER(SUBSTITUTE(SUBSTITUTE(SUBSTITUTE(SUBSTITUTE(TRIM(A913),".",""),"/",""),"-","")," ",""))))</f>
        <v/>
      </c>
      <c r="C913" s="25" t="str">
        <f aca="false">IF(B913="","",IFERROR(INDEX(Empresas!$C:$C,MATCH(B913,Empresas!$B:$B,0)),"cadastre o CNPJ em Empresas"))</f>
        <v/>
      </c>
      <c r="D913" s="23"/>
      <c r="E913" s="24"/>
      <c r="F913" s="31" t="str">
        <f aca="false">IF(D913="","",SUBSTITUTE(SUBSTITUTE(SUBSTITUTE(SUBSTITUTE(SUBSTITUTE(SUBSTITUTE(SUBSTITUTE(SUBSTITUTE(SUBSTITUTE(SUBSTITUTE(SUBSTITUTE(SUBSTITUTE(SUBSTITUTE(UPPER(TRIM(D913)),"Á","A"),"À","A"),"Â","A"),"Ã","A"),"É","E"),"Ê","E"),"Í","I"),"Ó","O"),"Ô","O"),"Õ","O"),"Ú","U"),"Ü","U"),"Ç","C"))</f>
        <v/>
      </c>
      <c r="G913" s="31" t="str">
        <f aca="false">IF(E913="","",IF(LEN(SUBSTITUTE(SUBSTITUTE(SUBSTITUTE(SUBSTITUTE(TRIM(E913),"*",""),".",""),"-","")," ",""))=11,MID(SUBSTITUTE(SUBSTITUTE(SUBSTITUTE(SUBSTITUTE(TRIM(E913),"*",""),".",""),"-","")," ",""),4,6),SUBSTITUTE(SUBSTITUTE(SUBSTITUTE(SUBSTITUTE(TRIM(E913),"*",""),".",""),"-","")," ","")))</f>
        <v/>
      </c>
      <c r="H913" s="31" t="str">
        <f aca="false">IF(OR(F913="",G913=""),"",F913&amp;"|"&amp;G913)</f>
        <v/>
      </c>
      <c r="I913" s="23"/>
      <c r="J913" s="22"/>
      <c r="K913" s="22"/>
      <c r="L913" s="25" t="str">
        <f aca="false">IF(F913="","",IF(AND(H913&lt;&gt;"",COUNTIF(Pessoas!$E:$E,H913)&gt;0),"SIM",IF(COUNTIF(Pessoas!$C:$C,F913)&gt;0,"nome igual em Pessoas: confira o CPF","")))</f>
        <v/>
      </c>
      <c r="M913" s="24"/>
      <c r="N913" s="11"/>
    </row>
    <row r="914" customFormat="false" ht="15" hidden="false" customHeight="false" outlineLevel="0" collapsed="false">
      <c r="A914" s="24"/>
      <c r="B914" s="31" t="str">
        <f aca="false">IF(A914="","",IF(LEN(UPPER(SUBSTITUTE(SUBSTITUTE(SUBSTITUTE(SUBSTITUTE(TRIM(A914),".",""),"/",""),"-","")," ","")))&lt;14,RIGHT(REPT("0",14)&amp;UPPER(SUBSTITUTE(SUBSTITUTE(SUBSTITUTE(SUBSTITUTE(TRIM(A914),".",""),"/",""),"-","")," ","")),14),UPPER(SUBSTITUTE(SUBSTITUTE(SUBSTITUTE(SUBSTITUTE(TRIM(A914),".",""),"/",""),"-","")," ",""))))</f>
        <v/>
      </c>
      <c r="C914" s="25" t="str">
        <f aca="false">IF(B914="","",IFERROR(INDEX(Empresas!$C:$C,MATCH(B914,Empresas!$B:$B,0)),"cadastre o CNPJ em Empresas"))</f>
        <v/>
      </c>
      <c r="D914" s="23"/>
      <c r="E914" s="24"/>
      <c r="F914" s="31" t="str">
        <f aca="false">IF(D914="","",SUBSTITUTE(SUBSTITUTE(SUBSTITUTE(SUBSTITUTE(SUBSTITUTE(SUBSTITUTE(SUBSTITUTE(SUBSTITUTE(SUBSTITUTE(SUBSTITUTE(SUBSTITUTE(SUBSTITUTE(SUBSTITUTE(UPPER(TRIM(D914)),"Á","A"),"À","A"),"Â","A"),"Ã","A"),"É","E"),"Ê","E"),"Í","I"),"Ó","O"),"Ô","O"),"Õ","O"),"Ú","U"),"Ü","U"),"Ç","C"))</f>
        <v/>
      </c>
      <c r="G914" s="31" t="str">
        <f aca="false">IF(E914="","",IF(LEN(SUBSTITUTE(SUBSTITUTE(SUBSTITUTE(SUBSTITUTE(TRIM(E914),"*",""),".",""),"-","")," ",""))=11,MID(SUBSTITUTE(SUBSTITUTE(SUBSTITUTE(SUBSTITUTE(TRIM(E914),"*",""),".",""),"-","")," ",""),4,6),SUBSTITUTE(SUBSTITUTE(SUBSTITUTE(SUBSTITUTE(TRIM(E914),"*",""),".",""),"-","")," ","")))</f>
        <v/>
      </c>
      <c r="H914" s="31" t="str">
        <f aca="false">IF(OR(F914="",G914=""),"",F914&amp;"|"&amp;G914)</f>
        <v/>
      </c>
      <c r="I914" s="23"/>
      <c r="J914" s="22"/>
      <c r="K914" s="22"/>
      <c r="L914" s="25" t="str">
        <f aca="false">IF(F914="","",IF(AND(H914&lt;&gt;"",COUNTIF(Pessoas!$E:$E,H914)&gt;0),"SIM",IF(COUNTIF(Pessoas!$C:$C,F914)&gt;0,"nome igual em Pessoas: confira o CPF","")))</f>
        <v/>
      </c>
      <c r="M914" s="24"/>
      <c r="N914" s="11"/>
    </row>
    <row r="915" customFormat="false" ht="15" hidden="false" customHeight="false" outlineLevel="0" collapsed="false">
      <c r="A915" s="24"/>
      <c r="B915" s="31" t="str">
        <f aca="false">IF(A915="","",IF(LEN(UPPER(SUBSTITUTE(SUBSTITUTE(SUBSTITUTE(SUBSTITUTE(TRIM(A915),".",""),"/",""),"-","")," ","")))&lt;14,RIGHT(REPT("0",14)&amp;UPPER(SUBSTITUTE(SUBSTITUTE(SUBSTITUTE(SUBSTITUTE(TRIM(A915),".",""),"/",""),"-","")," ","")),14),UPPER(SUBSTITUTE(SUBSTITUTE(SUBSTITUTE(SUBSTITUTE(TRIM(A915),".",""),"/",""),"-","")," ",""))))</f>
        <v/>
      </c>
      <c r="C915" s="25" t="str">
        <f aca="false">IF(B915="","",IFERROR(INDEX(Empresas!$C:$C,MATCH(B915,Empresas!$B:$B,0)),"cadastre o CNPJ em Empresas"))</f>
        <v/>
      </c>
      <c r="D915" s="23"/>
      <c r="E915" s="24"/>
      <c r="F915" s="31" t="str">
        <f aca="false">IF(D915="","",SUBSTITUTE(SUBSTITUTE(SUBSTITUTE(SUBSTITUTE(SUBSTITUTE(SUBSTITUTE(SUBSTITUTE(SUBSTITUTE(SUBSTITUTE(SUBSTITUTE(SUBSTITUTE(SUBSTITUTE(SUBSTITUTE(UPPER(TRIM(D915)),"Á","A"),"À","A"),"Â","A"),"Ã","A"),"É","E"),"Ê","E"),"Í","I"),"Ó","O"),"Ô","O"),"Õ","O"),"Ú","U"),"Ü","U"),"Ç","C"))</f>
        <v/>
      </c>
      <c r="G915" s="31" t="str">
        <f aca="false">IF(E915="","",IF(LEN(SUBSTITUTE(SUBSTITUTE(SUBSTITUTE(SUBSTITUTE(TRIM(E915),"*",""),".",""),"-","")," ",""))=11,MID(SUBSTITUTE(SUBSTITUTE(SUBSTITUTE(SUBSTITUTE(TRIM(E915),"*",""),".",""),"-","")," ",""),4,6),SUBSTITUTE(SUBSTITUTE(SUBSTITUTE(SUBSTITUTE(TRIM(E915),"*",""),".",""),"-","")," ","")))</f>
        <v/>
      </c>
      <c r="H915" s="31" t="str">
        <f aca="false">IF(OR(F915="",G915=""),"",F915&amp;"|"&amp;G915)</f>
        <v/>
      </c>
      <c r="I915" s="23"/>
      <c r="J915" s="22"/>
      <c r="K915" s="22"/>
      <c r="L915" s="25" t="str">
        <f aca="false">IF(F915="","",IF(AND(H915&lt;&gt;"",COUNTIF(Pessoas!$E:$E,H915)&gt;0),"SIM",IF(COUNTIF(Pessoas!$C:$C,F915)&gt;0,"nome igual em Pessoas: confira o CPF","")))</f>
        <v/>
      </c>
      <c r="M915" s="24"/>
      <c r="N915" s="11"/>
    </row>
    <row r="916" customFormat="false" ht="15" hidden="false" customHeight="false" outlineLevel="0" collapsed="false">
      <c r="A916" s="24"/>
      <c r="B916" s="31" t="str">
        <f aca="false">IF(A916="","",IF(LEN(UPPER(SUBSTITUTE(SUBSTITUTE(SUBSTITUTE(SUBSTITUTE(TRIM(A916),".",""),"/",""),"-","")," ","")))&lt;14,RIGHT(REPT("0",14)&amp;UPPER(SUBSTITUTE(SUBSTITUTE(SUBSTITUTE(SUBSTITUTE(TRIM(A916),".",""),"/",""),"-","")," ","")),14),UPPER(SUBSTITUTE(SUBSTITUTE(SUBSTITUTE(SUBSTITUTE(TRIM(A916),".",""),"/",""),"-","")," ",""))))</f>
        <v/>
      </c>
      <c r="C916" s="25" t="str">
        <f aca="false">IF(B916="","",IFERROR(INDEX(Empresas!$C:$C,MATCH(B916,Empresas!$B:$B,0)),"cadastre o CNPJ em Empresas"))</f>
        <v/>
      </c>
      <c r="D916" s="23"/>
      <c r="E916" s="24"/>
      <c r="F916" s="31" t="str">
        <f aca="false">IF(D916="","",SUBSTITUTE(SUBSTITUTE(SUBSTITUTE(SUBSTITUTE(SUBSTITUTE(SUBSTITUTE(SUBSTITUTE(SUBSTITUTE(SUBSTITUTE(SUBSTITUTE(SUBSTITUTE(SUBSTITUTE(SUBSTITUTE(UPPER(TRIM(D916)),"Á","A"),"À","A"),"Â","A"),"Ã","A"),"É","E"),"Ê","E"),"Í","I"),"Ó","O"),"Ô","O"),"Õ","O"),"Ú","U"),"Ü","U"),"Ç","C"))</f>
        <v/>
      </c>
      <c r="G916" s="31" t="str">
        <f aca="false">IF(E916="","",IF(LEN(SUBSTITUTE(SUBSTITUTE(SUBSTITUTE(SUBSTITUTE(TRIM(E916),"*",""),".",""),"-","")," ",""))=11,MID(SUBSTITUTE(SUBSTITUTE(SUBSTITUTE(SUBSTITUTE(TRIM(E916),"*",""),".",""),"-","")," ",""),4,6),SUBSTITUTE(SUBSTITUTE(SUBSTITUTE(SUBSTITUTE(TRIM(E916),"*",""),".",""),"-","")," ","")))</f>
        <v/>
      </c>
      <c r="H916" s="31" t="str">
        <f aca="false">IF(OR(F916="",G916=""),"",F916&amp;"|"&amp;G916)</f>
        <v/>
      </c>
      <c r="I916" s="23"/>
      <c r="J916" s="22"/>
      <c r="K916" s="22"/>
      <c r="L916" s="25" t="str">
        <f aca="false">IF(F916="","",IF(AND(H916&lt;&gt;"",COUNTIF(Pessoas!$E:$E,H916)&gt;0),"SIM",IF(COUNTIF(Pessoas!$C:$C,F916)&gt;0,"nome igual em Pessoas: confira o CPF","")))</f>
        <v/>
      </c>
      <c r="M916" s="24"/>
      <c r="N916" s="11"/>
    </row>
    <row r="917" customFormat="false" ht="15" hidden="false" customHeight="false" outlineLevel="0" collapsed="false">
      <c r="A917" s="24"/>
      <c r="B917" s="31" t="str">
        <f aca="false">IF(A917="","",IF(LEN(UPPER(SUBSTITUTE(SUBSTITUTE(SUBSTITUTE(SUBSTITUTE(TRIM(A917),".",""),"/",""),"-","")," ","")))&lt;14,RIGHT(REPT("0",14)&amp;UPPER(SUBSTITUTE(SUBSTITUTE(SUBSTITUTE(SUBSTITUTE(TRIM(A917),".",""),"/",""),"-","")," ","")),14),UPPER(SUBSTITUTE(SUBSTITUTE(SUBSTITUTE(SUBSTITUTE(TRIM(A917),".",""),"/",""),"-","")," ",""))))</f>
        <v/>
      </c>
      <c r="C917" s="25" t="str">
        <f aca="false">IF(B917="","",IFERROR(INDEX(Empresas!$C:$C,MATCH(B917,Empresas!$B:$B,0)),"cadastre o CNPJ em Empresas"))</f>
        <v/>
      </c>
      <c r="D917" s="23"/>
      <c r="E917" s="24"/>
      <c r="F917" s="31" t="str">
        <f aca="false">IF(D917="","",SUBSTITUTE(SUBSTITUTE(SUBSTITUTE(SUBSTITUTE(SUBSTITUTE(SUBSTITUTE(SUBSTITUTE(SUBSTITUTE(SUBSTITUTE(SUBSTITUTE(SUBSTITUTE(SUBSTITUTE(SUBSTITUTE(UPPER(TRIM(D917)),"Á","A"),"À","A"),"Â","A"),"Ã","A"),"É","E"),"Ê","E"),"Í","I"),"Ó","O"),"Ô","O"),"Õ","O"),"Ú","U"),"Ü","U"),"Ç","C"))</f>
        <v/>
      </c>
      <c r="G917" s="31" t="str">
        <f aca="false">IF(E917="","",IF(LEN(SUBSTITUTE(SUBSTITUTE(SUBSTITUTE(SUBSTITUTE(TRIM(E917),"*",""),".",""),"-","")," ",""))=11,MID(SUBSTITUTE(SUBSTITUTE(SUBSTITUTE(SUBSTITUTE(TRIM(E917),"*",""),".",""),"-","")," ",""),4,6),SUBSTITUTE(SUBSTITUTE(SUBSTITUTE(SUBSTITUTE(TRIM(E917),"*",""),".",""),"-","")," ","")))</f>
        <v/>
      </c>
      <c r="H917" s="31" t="str">
        <f aca="false">IF(OR(F917="",G917=""),"",F917&amp;"|"&amp;G917)</f>
        <v/>
      </c>
      <c r="I917" s="23"/>
      <c r="J917" s="22"/>
      <c r="K917" s="22"/>
      <c r="L917" s="25" t="str">
        <f aca="false">IF(F917="","",IF(AND(H917&lt;&gt;"",COUNTIF(Pessoas!$E:$E,H917)&gt;0),"SIM",IF(COUNTIF(Pessoas!$C:$C,F917)&gt;0,"nome igual em Pessoas: confira o CPF","")))</f>
        <v/>
      </c>
      <c r="M917" s="24"/>
      <c r="N917" s="11"/>
    </row>
    <row r="918" customFormat="false" ht="15" hidden="false" customHeight="false" outlineLevel="0" collapsed="false">
      <c r="A918" s="24"/>
      <c r="B918" s="31" t="str">
        <f aca="false">IF(A918="","",IF(LEN(UPPER(SUBSTITUTE(SUBSTITUTE(SUBSTITUTE(SUBSTITUTE(TRIM(A918),".",""),"/",""),"-","")," ","")))&lt;14,RIGHT(REPT("0",14)&amp;UPPER(SUBSTITUTE(SUBSTITUTE(SUBSTITUTE(SUBSTITUTE(TRIM(A918),".",""),"/",""),"-","")," ","")),14),UPPER(SUBSTITUTE(SUBSTITUTE(SUBSTITUTE(SUBSTITUTE(TRIM(A918),".",""),"/",""),"-","")," ",""))))</f>
        <v/>
      </c>
      <c r="C918" s="25" t="str">
        <f aca="false">IF(B918="","",IFERROR(INDEX(Empresas!$C:$C,MATCH(B918,Empresas!$B:$B,0)),"cadastre o CNPJ em Empresas"))</f>
        <v/>
      </c>
      <c r="D918" s="23"/>
      <c r="E918" s="24"/>
      <c r="F918" s="31" t="str">
        <f aca="false">IF(D918="","",SUBSTITUTE(SUBSTITUTE(SUBSTITUTE(SUBSTITUTE(SUBSTITUTE(SUBSTITUTE(SUBSTITUTE(SUBSTITUTE(SUBSTITUTE(SUBSTITUTE(SUBSTITUTE(SUBSTITUTE(SUBSTITUTE(UPPER(TRIM(D918)),"Á","A"),"À","A"),"Â","A"),"Ã","A"),"É","E"),"Ê","E"),"Í","I"),"Ó","O"),"Ô","O"),"Õ","O"),"Ú","U"),"Ü","U"),"Ç","C"))</f>
        <v/>
      </c>
      <c r="G918" s="31" t="str">
        <f aca="false">IF(E918="","",IF(LEN(SUBSTITUTE(SUBSTITUTE(SUBSTITUTE(SUBSTITUTE(TRIM(E918),"*",""),".",""),"-","")," ",""))=11,MID(SUBSTITUTE(SUBSTITUTE(SUBSTITUTE(SUBSTITUTE(TRIM(E918),"*",""),".",""),"-","")," ",""),4,6),SUBSTITUTE(SUBSTITUTE(SUBSTITUTE(SUBSTITUTE(TRIM(E918),"*",""),".",""),"-","")," ","")))</f>
        <v/>
      </c>
      <c r="H918" s="31" t="str">
        <f aca="false">IF(OR(F918="",G918=""),"",F918&amp;"|"&amp;G918)</f>
        <v/>
      </c>
      <c r="I918" s="23"/>
      <c r="J918" s="22"/>
      <c r="K918" s="22"/>
      <c r="L918" s="25" t="str">
        <f aca="false">IF(F918="","",IF(AND(H918&lt;&gt;"",COUNTIF(Pessoas!$E:$E,H918)&gt;0),"SIM",IF(COUNTIF(Pessoas!$C:$C,F918)&gt;0,"nome igual em Pessoas: confira o CPF","")))</f>
        <v/>
      </c>
      <c r="M918" s="24"/>
      <c r="N918" s="11"/>
    </row>
    <row r="919" customFormat="false" ht="15" hidden="false" customHeight="false" outlineLevel="0" collapsed="false">
      <c r="A919" s="24"/>
      <c r="B919" s="31" t="str">
        <f aca="false">IF(A919="","",IF(LEN(UPPER(SUBSTITUTE(SUBSTITUTE(SUBSTITUTE(SUBSTITUTE(TRIM(A919),".",""),"/",""),"-","")," ","")))&lt;14,RIGHT(REPT("0",14)&amp;UPPER(SUBSTITUTE(SUBSTITUTE(SUBSTITUTE(SUBSTITUTE(TRIM(A919),".",""),"/",""),"-","")," ","")),14),UPPER(SUBSTITUTE(SUBSTITUTE(SUBSTITUTE(SUBSTITUTE(TRIM(A919),".",""),"/",""),"-","")," ",""))))</f>
        <v/>
      </c>
      <c r="C919" s="25" t="str">
        <f aca="false">IF(B919="","",IFERROR(INDEX(Empresas!$C:$C,MATCH(B919,Empresas!$B:$B,0)),"cadastre o CNPJ em Empresas"))</f>
        <v/>
      </c>
      <c r="D919" s="23"/>
      <c r="E919" s="24"/>
      <c r="F919" s="31" t="str">
        <f aca="false">IF(D919="","",SUBSTITUTE(SUBSTITUTE(SUBSTITUTE(SUBSTITUTE(SUBSTITUTE(SUBSTITUTE(SUBSTITUTE(SUBSTITUTE(SUBSTITUTE(SUBSTITUTE(SUBSTITUTE(SUBSTITUTE(SUBSTITUTE(UPPER(TRIM(D919)),"Á","A"),"À","A"),"Â","A"),"Ã","A"),"É","E"),"Ê","E"),"Í","I"),"Ó","O"),"Ô","O"),"Õ","O"),"Ú","U"),"Ü","U"),"Ç","C"))</f>
        <v/>
      </c>
      <c r="G919" s="31" t="str">
        <f aca="false">IF(E919="","",IF(LEN(SUBSTITUTE(SUBSTITUTE(SUBSTITUTE(SUBSTITUTE(TRIM(E919),"*",""),".",""),"-","")," ",""))=11,MID(SUBSTITUTE(SUBSTITUTE(SUBSTITUTE(SUBSTITUTE(TRIM(E919),"*",""),".",""),"-","")," ",""),4,6),SUBSTITUTE(SUBSTITUTE(SUBSTITUTE(SUBSTITUTE(TRIM(E919),"*",""),".",""),"-","")," ","")))</f>
        <v/>
      </c>
      <c r="H919" s="31" t="str">
        <f aca="false">IF(OR(F919="",G919=""),"",F919&amp;"|"&amp;G919)</f>
        <v/>
      </c>
      <c r="I919" s="23"/>
      <c r="J919" s="22"/>
      <c r="K919" s="22"/>
      <c r="L919" s="25" t="str">
        <f aca="false">IF(F919="","",IF(AND(H919&lt;&gt;"",COUNTIF(Pessoas!$E:$E,H919)&gt;0),"SIM",IF(COUNTIF(Pessoas!$C:$C,F919)&gt;0,"nome igual em Pessoas: confira o CPF","")))</f>
        <v/>
      </c>
      <c r="M919" s="24"/>
      <c r="N919" s="11"/>
    </row>
    <row r="920" customFormat="false" ht="15" hidden="false" customHeight="false" outlineLevel="0" collapsed="false">
      <c r="A920" s="24"/>
      <c r="B920" s="31" t="str">
        <f aca="false">IF(A920="","",IF(LEN(UPPER(SUBSTITUTE(SUBSTITUTE(SUBSTITUTE(SUBSTITUTE(TRIM(A920),".",""),"/",""),"-","")," ","")))&lt;14,RIGHT(REPT("0",14)&amp;UPPER(SUBSTITUTE(SUBSTITUTE(SUBSTITUTE(SUBSTITUTE(TRIM(A920),".",""),"/",""),"-","")," ","")),14),UPPER(SUBSTITUTE(SUBSTITUTE(SUBSTITUTE(SUBSTITUTE(TRIM(A920),".",""),"/",""),"-","")," ",""))))</f>
        <v/>
      </c>
      <c r="C920" s="25" t="str">
        <f aca="false">IF(B920="","",IFERROR(INDEX(Empresas!$C:$C,MATCH(B920,Empresas!$B:$B,0)),"cadastre o CNPJ em Empresas"))</f>
        <v/>
      </c>
      <c r="D920" s="23"/>
      <c r="E920" s="24"/>
      <c r="F920" s="31" t="str">
        <f aca="false">IF(D920="","",SUBSTITUTE(SUBSTITUTE(SUBSTITUTE(SUBSTITUTE(SUBSTITUTE(SUBSTITUTE(SUBSTITUTE(SUBSTITUTE(SUBSTITUTE(SUBSTITUTE(SUBSTITUTE(SUBSTITUTE(SUBSTITUTE(UPPER(TRIM(D920)),"Á","A"),"À","A"),"Â","A"),"Ã","A"),"É","E"),"Ê","E"),"Í","I"),"Ó","O"),"Ô","O"),"Õ","O"),"Ú","U"),"Ü","U"),"Ç","C"))</f>
        <v/>
      </c>
      <c r="G920" s="31" t="str">
        <f aca="false">IF(E920="","",IF(LEN(SUBSTITUTE(SUBSTITUTE(SUBSTITUTE(SUBSTITUTE(TRIM(E920),"*",""),".",""),"-","")," ",""))=11,MID(SUBSTITUTE(SUBSTITUTE(SUBSTITUTE(SUBSTITUTE(TRIM(E920),"*",""),".",""),"-","")," ",""),4,6),SUBSTITUTE(SUBSTITUTE(SUBSTITUTE(SUBSTITUTE(TRIM(E920),"*",""),".",""),"-","")," ","")))</f>
        <v/>
      </c>
      <c r="H920" s="31" t="str">
        <f aca="false">IF(OR(F920="",G920=""),"",F920&amp;"|"&amp;G920)</f>
        <v/>
      </c>
      <c r="I920" s="23"/>
      <c r="J920" s="22"/>
      <c r="K920" s="22"/>
      <c r="L920" s="25" t="str">
        <f aca="false">IF(F920="","",IF(AND(H920&lt;&gt;"",COUNTIF(Pessoas!$E:$E,H920)&gt;0),"SIM",IF(COUNTIF(Pessoas!$C:$C,F920)&gt;0,"nome igual em Pessoas: confira o CPF","")))</f>
        <v/>
      </c>
      <c r="M920" s="24"/>
      <c r="N920" s="11"/>
    </row>
    <row r="921" customFormat="false" ht="15" hidden="false" customHeight="false" outlineLevel="0" collapsed="false">
      <c r="A921" s="24"/>
      <c r="B921" s="31" t="str">
        <f aca="false">IF(A921="","",IF(LEN(UPPER(SUBSTITUTE(SUBSTITUTE(SUBSTITUTE(SUBSTITUTE(TRIM(A921),".",""),"/",""),"-","")," ","")))&lt;14,RIGHT(REPT("0",14)&amp;UPPER(SUBSTITUTE(SUBSTITUTE(SUBSTITUTE(SUBSTITUTE(TRIM(A921),".",""),"/",""),"-","")," ","")),14),UPPER(SUBSTITUTE(SUBSTITUTE(SUBSTITUTE(SUBSTITUTE(TRIM(A921),".",""),"/",""),"-","")," ",""))))</f>
        <v/>
      </c>
      <c r="C921" s="25" t="str">
        <f aca="false">IF(B921="","",IFERROR(INDEX(Empresas!$C:$C,MATCH(B921,Empresas!$B:$B,0)),"cadastre o CNPJ em Empresas"))</f>
        <v/>
      </c>
      <c r="D921" s="23"/>
      <c r="E921" s="24"/>
      <c r="F921" s="31" t="str">
        <f aca="false">IF(D921="","",SUBSTITUTE(SUBSTITUTE(SUBSTITUTE(SUBSTITUTE(SUBSTITUTE(SUBSTITUTE(SUBSTITUTE(SUBSTITUTE(SUBSTITUTE(SUBSTITUTE(SUBSTITUTE(SUBSTITUTE(SUBSTITUTE(UPPER(TRIM(D921)),"Á","A"),"À","A"),"Â","A"),"Ã","A"),"É","E"),"Ê","E"),"Í","I"),"Ó","O"),"Ô","O"),"Õ","O"),"Ú","U"),"Ü","U"),"Ç","C"))</f>
        <v/>
      </c>
      <c r="G921" s="31" t="str">
        <f aca="false">IF(E921="","",IF(LEN(SUBSTITUTE(SUBSTITUTE(SUBSTITUTE(SUBSTITUTE(TRIM(E921),"*",""),".",""),"-","")," ",""))=11,MID(SUBSTITUTE(SUBSTITUTE(SUBSTITUTE(SUBSTITUTE(TRIM(E921),"*",""),".",""),"-","")," ",""),4,6),SUBSTITUTE(SUBSTITUTE(SUBSTITUTE(SUBSTITUTE(TRIM(E921),"*",""),".",""),"-","")," ","")))</f>
        <v/>
      </c>
      <c r="H921" s="31" t="str">
        <f aca="false">IF(OR(F921="",G921=""),"",F921&amp;"|"&amp;G921)</f>
        <v/>
      </c>
      <c r="I921" s="23"/>
      <c r="J921" s="22"/>
      <c r="K921" s="22"/>
      <c r="L921" s="25" t="str">
        <f aca="false">IF(F921="","",IF(AND(H921&lt;&gt;"",COUNTIF(Pessoas!$E:$E,H921)&gt;0),"SIM",IF(COUNTIF(Pessoas!$C:$C,F921)&gt;0,"nome igual em Pessoas: confira o CPF","")))</f>
        <v/>
      </c>
      <c r="M921" s="24"/>
      <c r="N921" s="11"/>
    </row>
    <row r="922" customFormat="false" ht="15" hidden="false" customHeight="false" outlineLevel="0" collapsed="false">
      <c r="A922" s="24"/>
      <c r="B922" s="31" t="str">
        <f aca="false">IF(A922="","",IF(LEN(UPPER(SUBSTITUTE(SUBSTITUTE(SUBSTITUTE(SUBSTITUTE(TRIM(A922),".",""),"/",""),"-","")," ","")))&lt;14,RIGHT(REPT("0",14)&amp;UPPER(SUBSTITUTE(SUBSTITUTE(SUBSTITUTE(SUBSTITUTE(TRIM(A922),".",""),"/",""),"-","")," ","")),14),UPPER(SUBSTITUTE(SUBSTITUTE(SUBSTITUTE(SUBSTITUTE(TRIM(A922),".",""),"/",""),"-","")," ",""))))</f>
        <v/>
      </c>
      <c r="C922" s="25" t="str">
        <f aca="false">IF(B922="","",IFERROR(INDEX(Empresas!$C:$C,MATCH(B922,Empresas!$B:$B,0)),"cadastre o CNPJ em Empresas"))</f>
        <v/>
      </c>
      <c r="D922" s="23"/>
      <c r="E922" s="24"/>
      <c r="F922" s="31" t="str">
        <f aca="false">IF(D922="","",SUBSTITUTE(SUBSTITUTE(SUBSTITUTE(SUBSTITUTE(SUBSTITUTE(SUBSTITUTE(SUBSTITUTE(SUBSTITUTE(SUBSTITUTE(SUBSTITUTE(SUBSTITUTE(SUBSTITUTE(SUBSTITUTE(UPPER(TRIM(D922)),"Á","A"),"À","A"),"Â","A"),"Ã","A"),"É","E"),"Ê","E"),"Í","I"),"Ó","O"),"Ô","O"),"Õ","O"),"Ú","U"),"Ü","U"),"Ç","C"))</f>
        <v/>
      </c>
      <c r="G922" s="31" t="str">
        <f aca="false">IF(E922="","",IF(LEN(SUBSTITUTE(SUBSTITUTE(SUBSTITUTE(SUBSTITUTE(TRIM(E922),"*",""),".",""),"-","")," ",""))=11,MID(SUBSTITUTE(SUBSTITUTE(SUBSTITUTE(SUBSTITUTE(TRIM(E922),"*",""),".",""),"-","")," ",""),4,6),SUBSTITUTE(SUBSTITUTE(SUBSTITUTE(SUBSTITUTE(TRIM(E922),"*",""),".",""),"-","")," ","")))</f>
        <v/>
      </c>
      <c r="H922" s="31" t="str">
        <f aca="false">IF(OR(F922="",G922=""),"",F922&amp;"|"&amp;G922)</f>
        <v/>
      </c>
      <c r="I922" s="23"/>
      <c r="J922" s="22"/>
      <c r="K922" s="22"/>
      <c r="L922" s="25" t="str">
        <f aca="false">IF(F922="","",IF(AND(H922&lt;&gt;"",COUNTIF(Pessoas!$E:$E,H922)&gt;0),"SIM",IF(COUNTIF(Pessoas!$C:$C,F922)&gt;0,"nome igual em Pessoas: confira o CPF","")))</f>
        <v/>
      </c>
      <c r="M922" s="24"/>
      <c r="N922" s="11"/>
    </row>
    <row r="923" customFormat="false" ht="15" hidden="false" customHeight="false" outlineLevel="0" collapsed="false">
      <c r="A923" s="24"/>
      <c r="B923" s="31" t="str">
        <f aca="false">IF(A923="","",IF(LEN(UPPER(SUBSTITUTE(SUBSTITUTE(SUBSTITUTE(SUBSTITUTE(TRIM(A923),".",""),"/",""),"-","")," ","")))&lt;14,RIGHT(REPT("0",14)&amp;UPPER(SUBSTITUTE(SUBSTITUTE(SUBSTITUTE(SUBSTITUTE(TRIM(A923),".",""),"/",""),"-","")," ","")),14),UPPER(SUBSTITUTE(SUBSTITUTE(SUBSTITUTE(SUBSTITUTE(TRIM(A923),".",""),"/",""),"-","")," ",""))))</f>
        <v/>
      </c>
      <c r="C923" s="25" t="str">
        <f aca="false">IF(B923="","",IFERROR(INDEX(Empresas!$C:$C,MATCH(B923,Empresas!$B:$B,0)),"cadastre o CNPJ em Empresas"))</f>
        <v/>
      </c>
      <c r="D923" s="23"/>
      <c r="E923" s="24"/>
      <c r="F923" s="31" t="str">
        <f aca="false">IF(D923="","",SUBSTITUTE(SUBSTITUTE(SUBSTITUTE(SUBSTITUTE(SUBSTITUTE(SUBSTITUTE(SUBSTITUTE(SUBSTITUTE(SUBSTITUTE(SUBSTITUTE(SUBSTITUTE(SUBSTITUTE(SUBSTITUTE(UPPER(TRIM(D923)),"Á","A"),"À","A"),"Â","A"),"Ã","A"),"É","E"),"Ê","E"),"Í","I"),"Ó","O"),"Ô","O"),"Õ","O"),"Ú","U"),"Ü","U"),"Ç","C"))</f>
        <v/>
      </c>
      <c r="G923" s="31" t="str">
        <f aca="false">IF(E923="","",IF(LEN(SUBSTITUTE(SUBSTITUTE(SUBSTITUTE(SUBSTITUTE(TRIM(E923),"*",""),".",""),"-","")," ",""))=11,MID(SUBSTITUTE(SUBSTITUTE(SUBSTITUTE(SUBSTITUTE(TRIM(E923),"*",""),".",""),"-","")," ",""),4,6),SUBSTITUTE(SUBSTITUTE(SUBSTITUTE(SUBSTITUTE(TRIM(E923),"*",""),".",""),"-","")," ","")))</f>
        <v/>
      </c>
      <c r="H923" s="31" t="str">
        <f aca="false">IF(OR(F923="",G923=""),"",F923&amp;"|"&amp;G923)</f>
        <v/>
      </c>
      <c r="I923" s="23"/>
      <c r="J923" s="22"/>
      <c r="K923" s="22"/>
      <c r="L923" s="25" t="str">
        <f aca="false">IF(F923="","",IF(AND(H923&lt;&gt;"",COUNTIF(Pessoas!$E:$E,H923)&gt;0),"SIM",IF(COUNTIF(Pessoas!$C:$C,F923)&gt;0,"nome igual em Pessoas: confira o CPF","")))</f>
        <v/>
      </c>
      <c r="M923" s="24"/>
      <c r="N923" s="11"/>
    </row>
    <row r="924" customFormat="false" ht="15" hidden="false" customHeight="false" outlineLevel="0" collapsed="false">
      <c r="A924" s="24"/>
      <c r="B924" s="31" t="str">
        <f aca="false">IF(A924="","",IF(LEN(UPPER(SUBSTITUTE(SUBSTITUTE(SUBSTITUTE(SUBSTITUTE(TRIM(A924),".",""),"/",""),"-","")," ","")))&lt;14,RIGHT(REPT("0",14)&amp;UPPER(SUBSTITUTE(SUBSTITUTE(SUBSTITUTE(SUBSTITUTE(TRIM(A924),".",""),"/",""),"-","")," ","")),14),UPPER(SUBSTITUTE(SUBSTITUTE(SUBSTITUTE(SUBSTITUTE(TRIM(A924),".",""),"/",""),"-","")," ",""))))</f>
        <v/>
      </c>
      <c r="C924" s="25" t="str">
        <f aca="false">IF(B924="","",IFERROR(INDEX(Empresas!$C:$C,MATCH(B924,Empresas!$B:$B,0)),"cadastre o CNPJ em Empresas"))</f>
        <v/>
      </c>
      <c r="D924" s="23"/>
      <c r="E924" s="24"/>
      <c r="F924" s="31" t="str">
        <f aca="false">IF(D924="","",SUBSTITUTE(SUBSTITUTE(SUBSTITUTE(SUBSTITUTE(SUBSTITUTE(SUBSTITUTE(SUBSTITUTE(SUBSTITUTE(SUBSTITUTE(SUBSTITUTE(SUBSTITUTE(SUBSTITUTE(SUBSTITUTE(UPPER(TRIM(D924)),"Á","A"),"À","A"),"Â","A"),"Ã","A"),"É","E"),"Ê","E"),"Í","I"),"Ó","O"),"Ô","O"),"Õ","O"),"Ú","U"),"Ü","U"),"Ç","C"))</f>
        <v/>
      </c>
      <c r="G924" s="31" t="str">
        <f aca="false">IF(E924="","",IF(LEN(SUBSTITUTE(SUBSTITUTE(SUBSTITUTE(SUBSTITUTE(TRIM(E924),"*",""),".",""),"-","")," ",""))=11,MID(SUBSTITUTE(SUBSTITUTE(SUBSTITUTE(SUBSTITUTE(TRIM(E924),"*",""),".",""),"-","")," ",""),4,6),SUBSTITUTE(SUBSTITUTE(SUBSTITUTE(SUBSTITUTE(TRIM(E924),"*",""),".",""),"-","")," ","")))</f>
        <v/>
      </c>
      <c r="H924" s="31" t="str">
        <f aca="false">IF(OR(F924="",G924=""),"",F924&amp;"|"&amp;G924)</f>
        <v/>
      </c>
      <c r="I924" s="23"/>
      <c r="J924" s="22"/>
      <c r="K924" s="22"/>
      <c r="L924" s="25" t="str">
        <f aca="false">IF(F924="","",IF(AND(H924&lt;&gt;"",COUNTIF(Pessoas!$E:$E,H924)&gt;0),"SIM",IF(COUNTIF(Pessoas!$C:$C,F924)&gt;0,"nome igual em Pessoas: confira o CPF","")))</f>
        <v/>
      </c>
      <c r="M924" s="24"/>
      <c r="N924" s="11"/>
    </row>
    <row r="925" customFormat="false" ht="15" hidden="false" customHeight="false" outlineLevel="0" collapsed="false">
      <c r="A925" s="24"/>
      <c r="B925" s="31" t="str">
        <f aca="false">IF(A925="","",IF(LEN(UPPER(SUBSTITUTE(SUBSTITUTE(SUBSTITUTE(SUBSTITUTE(TRIM(A925),".",""),"/",""),"-","")," ","")))&lt;14,RIGHT(REPT("0",14)&amp;UPPER(SUBSTITUTE(SUBSTITUTE(SUBSTITUTE(SUBSTITUTE(TRIM(A925),".",""),"/",""),"-","")," ","")),14),UPPER(SUBSTITUTE(SUBSTITUTE(SUBSTITUTE(SUBSTITUTE(TRIM(A925),".",""),"/",""),"-","")," ",""))))</f>
        <v/>
      </c>
      <c r="C925" s="25" t="str">
        <f aca="false">IF(B925="","",IFERROR(INDEX(Empresas!$C:$C,MATCH(B925,Empresas!$B:$B,0)),"cadastre o CNPJ em Empresas"))</f>
        <v/>
      </c>
      <c r="D925" s="23"/>
      <c r="E925" s="24"/>
      <c r="F925" s="31" t="str">
        <f aca="false">IF(D925="","",SUBSTITUTE(SUBSTITUTE(SUBSTITUTE(SUBSTITUTE(SUBSTITUTE(SUBSTITUTE(SUBSTITUTE(SUBSTITUTE(SUBSTITUTE(SUBSTITUTE(SUBSTITUTE(SUBSTITUTE(SUBSTITUTE(UPPER(TRIM(D925)),"Á","A"),"À","A"),"Â","A"),"Ã","A"),"É","E"),"Ê","E"),"Í","I"),"Ó","O"),"Ô","O"),"Õ","O"),"Ú","U"),"Ü","U"),"Ç","C"))</f>
        <v/>
      </c>
      <c r="G925" s="31" t="str">
        <f aca="false">IF(E925="","",IF(LEN(SUBSTITUTE(SUBSTITUTE(SUBSTITUTE(SUBSTITUTE(TRIM(E925),"*",""),".",""),"-","")," ",""))=11,MID(SUBSTITUTE(SUBSTITUTE(SUBSTITUTE(SUBSTITUTE(TRIM(E925),"*",""),".",""),"-","")," ",""),4,6),SUBSTITUTE(SUBSTITUTE(SUBSTITUTE(SUBSTITUTE(TRIM(E925),"*",""),".",""),"-","")," ","")))</f>
        <v/>
      </c>
      <c r="H925" s="31" t="str">
        <f aca="false">IF(OR(F925="",G925=""),"",F925&amp;"|"&amp;G925)</f>
        <v/>
      </c>
      <c r="I925" s="23"/>
      <c r="J925" s="22"/>
      <c r="K925" s="22"/>
      <c r="L925" s="25" t="str">
        <f aca="false">IF(F925="","",IF(AND(H925&lt;&gt;"",COUNTIF(Pessoas!$E:$E,H925)&gt;0),"SIM",IF(COUNTIF(Pessoas!$C:$C,F925)&gt;0,"nome igual em Pessoas: confira o CPF","")))</f>
        <v/>
      </c>
      <c r="M925" s="24"/>
      <c r="N925" s="11"/>
    </row>
    <row r="926" customFormat="false" ht="15" hidden="false" customHeight="false" outlineLevel="0" collapsed="false">
      <c r="A926" s="24"/>
      <c r="B926" s="31" t="str">
        <f aca="false">IF(A926="","",IF(LEN(UPPER(SUBSTITUTE(SUBSTITUTE(SUBSTITUTE(SUBSTITUTE(TRIM(A926),".",""),"/",""),"-","")," ","")))&lt;14,RIGHT(REPT("0",14)&amp;UPPER(SUBSTITUTE(SUBSTITUTE(SUBSTITUTE(SUBSTITUTE(TRIM(A926),".",""),"/",""),"-","")," ","")),14),UPPER(SUBSTITUTE(SUBSTITUTE(SUBSTITUTE(SUBSTITUTE(TRIM(A926),".",""),"/",""),"-","")," ",""))))</f>
        <v/>
      </c>
      <c r="C926" s="25" t="str">
        <f aca="false">IF(B926="","",IFERROR(INDEX(Empresas!$C:$C,MATCH(B926,Empresas!$B:$B,0)),"cadastre o CNPJ em Empresas"))</f>
        <v/>
      </c>
      <c r="D926" s="23"/>
      <c r="E926" s="24"/>
      <c r="F926" s="31" t="str">
        <f aca="false">IF(D926="","",SUBSTITUTE(SUBSTITUTE(SUBSTITUTE(SUBSTITUTE(SUBSTITUTE(SUBSTITUTE(SUBSTITUTE(SUBSTITUTE(SUBSTITUTE(SUBSTITUTE(SUBSTITUTE(SUBSTITUTE(SUBSTITUTE(UPPER(TRIM(D926)),"Á","A"),"À","A"),"Â","A"),"Ã","A"),"É","E"),"Ê","E"),"Í","I"),"Ó","O"),"Ô","O"),"Õ","O"),"Ú","U"),"Ü","U"),"Ç","C"))</f>
        <v/>
      </c>
      <c r="G926" s="31" t="str">
        <f aca="false">IF(E926="","",IF(LEN(SUBSTITUTE(SUBSTITUTE(SUBSTITUTE(SUBSTITUTE(TRIM(E926),"*",""),".",""),"-","")," ",""))=11,MID(SUBSTITUTE(SUBSTITUTE(SUBSTITUTE(SUBSTITUTE(TRIM(E926),"*",""),".",""),"-","")," ",""),4,6),SUBSTITUTE(SUBSTITUTE(SUBSTITUTE(SUBSTITUTE(TRIM(E926),"*",""),".",""),"-","")," ","")))</f>
        <v/>
      </c>
      <c r="H926" s="31" t="str">
        <f aca="false">IF(OR(F926="",G926=""),"",F926&amp;"|"&amp;G926)</f>
        <v/>
      </c>
      <c r="I926" s="23"/>
      <c r="J926" s="22"/>
      <c r="K926" s="22"/>
      <c r="L926" s="25" t="str">
        <f aca="false">IF(F926="","",IF(AND(H926&lt;&gt;"",COUNTIF(Pessoas!$E:$E,H926)&gt;0),"SIM",IF(COUNTIF(Pessoas!$C:$C,F926)&gt;0,"nome igual em Pessoas: confira o CPF","")))</f>
        <v/>
      </c>
      <c r="M926" s="24"/>
      <c r="N926" s="11"/>
    </row>
    <row r="927" customFormat="false" ht="15" hidden="false" customHeight="false" outlineLevel="0" collapsed="false">
      <c r="A927" s="24"/>
      <c r="B927" s="31" t="str">
        <f aca="false">IF(A927="","",IF(LEN(UPPER(SUBSTITUTE(SUBSTITUTE(SUBSTITUTE(SUBSTITUTE(TRIM(A927),".",""),"/",""),"-","")," ","")))&lt;14,RIGHT(REPT("0",14)&amp;UPPER(SUBSTITUTE(SUBSTITUTE(SUBSTITUTE(SUBSTITUTE(TRIM(A927),".",""),"/",""),"-","")," ","")),14),UPPER(SUBSTITUTE(SUBSTITUTE(SUBSTITUTE(SUBSTITUTE(TRIM(A927),".",""),"/",""),"-","")," ",""))))</f>
        <v/>
      </c>
      <c r="C927" s="25" t="str">
        <f aca="false">IF(B927="","",IFERROR(INDEX(Empresas!$C:$C,MATCH(B927,Empresas!$B:$B,0)),"cadastre o CNPJ em Empresas"))</f>
        <v/>
      </c>
      <c r="D927" s="23"/>
      <c r="E927" s="24"/>
      <c r="F927" s="31" t="str">
        <f aca="false">IF(D927="","",SUBSTITUTE(SUBSTITUTE(SUBSTITUTE(SUBSTITUTE(SUBSTITUTE(SUBSTITUTE(SUBSTITUTE(SUBSTITUTE(SUBSTITUTE(SUBSTITUTE(SUBSTITUTE(SUBSTITUTE(SUBSTITUTE(UPPER(TRIM(D927)),"Á","A"),"À","A"),"Â","A"),"Ã","A"),"É","E"),"Ê","E"),"Í","I"),"Ó","O"),"Ô","O"),"Õ","O"),"Ú","U"),"Ü","U"),"Ç","C"))</f>
        <v/>
      </c>
      <c r="G927" s="31" t="str">
        <f aca="false">IF(E927="","",IF(LEN(SUBSTITUTE(SUBSTITUTE(SUBSTITUTE(SUBSTITUTE(TRIM(E927),"*",""),".",""),"-","")," ",""))=11,MID(SUBSTITUTE(SUBSTITUTE(SUBSTITUTE(SUBSTITUTE(TRIM(E927),"*",""),".",""),"-","")," ",""),4,6),SUBSTITUTE(SUBSTITUTE(SUBSTITUTE(SUBSTITUTE(TRIM(E927),"*",""),".",""),"-","")," ","")))</f>
        <v/>
      </c>
      <c r="H927" s="31" t="str">
        <f aca="false">IF(OR(F927="",G927=""),"",F927&amp;"|"&amp;G927)</f>
        <v/>
      </c>
      <c r="I927" s="23"/>
      <c r="J927" s="22"/>
      <c r="K927" s="22"/>
      <c r="L927" s="25" t="str">
        <f aca="false">IF(F927="","",IF(AND(H927&lt;&gt;"",COUNTIF(Pessoas!$E:$E,H927)&gt;0),"SIM",IF(COUNTIF(Pessoas!$C:$C,F927)&gt;0,"nome igual em Pessoas: confira o CPF","")))</f>
        <v/>
      </c>
      <c r="M927" s="24"/>
      <c r="N927" s="11"/>
    </row>
    <row r="928" customFormat="false" ht="15" hidden="false" customHeight="false" outlineLevel="0" collapsed="false">
      <c r="A928" s="24"/>
      <c r="B928" s="31" t="str">
        <f aca="false">IF(A928="","",IF(LEN(UPPER(SUBSTITUTE(SUBSTITUTE(SUBSTITUTE(SUBSTITUTE(TRIM(A928),".",""),"/",""),"-","")," ","")))&lt;14,RIGHT(REPT("0",14)&amp;UPPER(SUBSTITUTE(SUBSTITUTE(SUBSTITUTE(SUBSTITUTE(TRIM(A928),".",""),"/",""),"-","")," ","")),14),UPPER(SUBSTITUTE(SUBSTITUTE(SUBSTITUTE(SUBSTITUTE(TRIM(A928),".",""),"/",""),"-","")," ",""))))</f>
        <v/>
      </c>
      <c r="C928" s="25" t="str">
        <f aca="false">IF(B928="","",IFERROR(INDEX(Empresas!$C:$C,MATCH(B928,Empresas!$B:$B,0)),"cadastre o CNPJ em Empresas"))</f>
        <v/>
      </c>
      <c r="D928" s="23"/>
      <c r="E928" s="24"/>
      <c r="F928" s="31" t="str">
        <f aca="false">IF(D928="","",SUBSTITUTE(SUBSTITUTE(SUBSTITUTE(SUBSTITUTE(SUBSTITUTE(SUBSTITUTE(SUBSTITUTE(SUBSTITUTE(SUBSTITUTE(SUBSTITUTE(SUBSTITUTE(SUBSTITUTE(SUBSTITUTE(UPPER(TRIM(D928)),"Á","A"),"À","A"),"Â","A"),"Ã","A"),"É","E"),"Ê","E"),"Í","I"),"Ó","O"),"Ô","O"),"Õ","O"),"Ú","U"),"Ü","U"),"Ç","C"))</f>
        <v/>
      </c>
      <c r="G928" s="31" t="str">
        <f aca="false">IF(E928="","",IF(LEN(SUBSTITUTE(SUBSTITUTE(SUBSTITUTE(SUBSTITUTE(TRIM(E928),"*",""),".",""),"-","")," ",""))=11,MID(SUBSTITUTE(SUBSTITUTE(SUBSTITUTE(SUBSTITUTE(TRIM(E928),"*",""),".",""),"-","")," ",""),4,6),SUBSTITUTE(SUBSTITUTE(SUBSTITUTE(SUBSTITUTE(TRIM(E928),"*",""),".",""),"-","")," ","")))</f>
        <v/>
      </c>
      <c r="H928" s="31" t="str">
        <f aca="false">IF(OR(F928="",G928=""),"",F928&amp;"|"&amp;G928)</f>
        <v/>
      </c>
      <c r="I928" s="23"/>
      <c r="J928" s="22"/>
      <c r="K928" s="22"/>
      <c r="L928" s="25" t="str">
        <f aca="false">IF(F928="","",IF(AND(H928&lt;&gt;"",COUNTIF(Pessoas!$E:$E,H928)&gt;0),"SIM",IF(COUNTIF(Pessoas!$C:$C,F928)&gt;0,"nome igual em Pessoas: confira o CPF","")))</f>
        <v/>
      </c>
      <c r="M928" s="24"/>
      <c r="N928" s="11"/>
    </row>
    <row r="929" customFormat="false" ht="15" hidden="false" customHeight="false" outlineLevel="0" collapsed="false">
      <c r="A929" s="24"/>
      <c r="B929" s="31" t="str">
        <f aca="false">IF(A929="","",IF(LEN(UPPER(SUBSTITUTE(SUBSTITUTE(SUBSTITUTE(SUBSTITUTE(TRIM(A929),".",""),"/",""),"-","")," ","")))&lt;14,RIGHT(REPT("0",14)&amp;UPPER(SUBSTITUTE(SUBSTITUTE(SUBSTITUTE(SUBSTITUTE(TRIM(A929),".",""),"/",""),"-","")," ","")),14),UPPER(SUBSTITUTE(SUBSTITUTE(SUBSTITUTE(SUBSTITUTE(TRIM(A929),".",""),"/",""),"-","")," ",""))))</f>
        <v/>
      </c>
      <c r="C929" s="25" t="str">
        <f aca="false">IF(B929="","",IFERROR(INDEX(Empresas!$C:$C,MATCH(B929,Empresas!$B:$B,0)),"cadastre o CNPJ em Empresas"))</f>
        <v/>
      </c>
      <c r="D929" s="23"/>
      <c r="E929" s="24"/>
      <c r="F929" s="31" t="str">
        <f aca="false">IF(D929="","",SUBSTITUTE(SUBSTITUTE(SUBSTITUTE(SUBSTITUTE(SUBSTITUTE(SUBSTITUTE(SUBSTITUTE(SUBSTITUTE(SUBSTITUTE(SUBSTITUTE(SUBSTITUTE(SUBSTITUTE(SUBSTITUTE(UPPER(TRIM(D929)),"Á","A"),"À","A"),"Â","A"),"Ã","A"),"É","E"),"Ê","E"),"Í","I"),"Ó","O"),"Ô","O"),"Õ","O"),"Ú","U"),"Ü","U"),"Ç","C"))</f>
        <v/>
      </c>
      <c r="G929" s="31" t="str">
        <f aca="false">IF(E929="","",IF(LEN(SUBSTITUTE(SUBSTITUTE(SUBSTITUTE(SUBSTITUTE(TRIM(E929),"*",""),".",""),"-","")," ",""))=11,MID(SUBSTITUTE(SUBSTITUTE(SUBSTITUTE(SUBSTITUTE(TRIM(E929),"*",""),".",""),"-","")," ",""),4,6),SUBSTITUTE(SUBSTITUTE(SUBSTITUTE(SUBSTITUTE(TRIM(E929),"*",""),".",""),"-","")," ","")))</f>
        <v/>
      </c>
      <c r="H929" s="31" t="str">
        <f aca="false">IF(OR(F929="",G929=""),"",F929&amp;"|"&amp;G929)</f>
        <v/>
      </c>
      <c r="I929" s="23"/>
      <c r="J929" s="22"/>
      <c r="K929" s="22"/>
      <c r="L929" s="25" t="str">
        <f aca="false">IF(F929="","",IF(AND(H929&lt;&gt;"",COUNTIF(Pessoas!$E:$E,H929)&gt;0),"SIM",IF(COUNTIF(Pessoas!$C:$C,F929)&gt;0,"nome igual em Pessoas: confira o CPF","")))</f>
        <v/>
      </c>
      <c r="M929" s="24"/>
      <c r="N929" s="11"/>
    </row>
    <row r="930" customFormat="false" ht="15" hidden="false" customHeight="false" outlineLevel="0" collapsed="false">
      <c r="A930" s="24"/>
      <c r="B930" s="31" t="str">
        <f aca="false">IF(A930="","",IF(LEN(UPPER(SUBSTITUTE(SUBSTITUTE(SUBSTITUTE(SUBSTITUTE(TRIM(A930),".",""),"/",""),"-","")," ","")))&lt;14,RIGHT(REPT("0",14)&amp;UPPER(SUBSTITUTE(SUBSTITUTE(SUBSTITUTE(SUBSTITUTE(TRIM(A930),".",""),"/",""),"-","")," ","")),14),UPPER(SUBSTITUTE(SUBSTITUTE(SUBSTITUTE(SUBSTITUTE(TRIM(A930),".",""),"/",""),"-","")," ",""))))</f>
        <v/>
      </c>
      <c r="C930" s="25" t="str">
        <f aca="false">IF(B930="","",IFERROR(INDEX(Empresas!$C:$C,MATCH(B930,Empresas!$B:$B,0)),"cadastre o CNPJ em Empresas"))</f>
        <v/>
      </c>
      <c r="D930" s="23"/>
      <c r="E930" s="24"/>
      <c r="F930" s="31" t="str">
        <f aca="false">IF(D930="","",SUBSTITUTE(SUBSTITUTE(SUBSTITUTE(SUBSTITUTE(SUBSTITUTE(SUBSTITUTE(SUBSTITUTE(SUBSTITUTE(SUBSTITUTE(SUBSTITUTE(SUBSTITUTE(SUBSTITUTE(SUBSTITUTE(UPPER(TRIM(D930)),"Á","A"),"À","A"),"Â","A"),"Ã","A"),"É","E"),"Ê","E"),"Í","I"),"Ó","O"),"Ô","O"),"Õ","O"),"Ú","U"),"Ü","U"),"Ç","C"))</f>
        <v/>
      </c>
      <c r="G930" s="31" t="str">
        <f aca="false">IF(E930="","",IF(LEN(SUBSTITUTE(SUBSTITUTE(SUBSTITUTE(SUBSTITUTE(TRIM(E930),"*",""),".",""),"-","")," ",""))=11,MID(SUBSTITUTE(SUBSTITUTE(SUBSTITUTE(SUBSTITUTE(TRIM(E930),"*",""),".",""),"-","")," ",""),4,6),SUBSTITUTE(SUBSTITUTE(SUBSTITUTE(SUBSTITUTE(TRIM(E930),"*",""),".",""),"-","")," ","")))</f>
        <v/>
      </c>
      <c r="H930" s="31" t="str">
        <f aca="false">IF(OR(F930="",G930=""),"",F930&amp;"|"&amp;G930)</f>
        <v/>
      </c>
      <c r="I930" s="23"/>
      <c r="J930" s="22"/>
      <c r="K930" s="22"/>
      <c r="L930" s="25" t="str">
        <f aca="false">IF(F930="","",IF(AND(H930&lt;&gt;"",COUNTIF(Pessoas!$E:$E,H930)&gt;0),"SIM",IF(COUNTIF(Pessoas!$C:$C,F930)&gt;0,"nome igual em Pessoas: confira o CPF","")))</f>
        <v/>
      </c>
      <c r="M930" s="24"/>
      <c r="N930" s="11"/>
    </row>
    <row r="931" customFormat="false" ht="15" hidden="false" customHeight="false" outlineLevel="0" collapsed="false">
      <c r="A931" s="24"/>
      <c r="B931" s="31" t="str">
        <f aca="false">IF(A931="","",IF(LEN(UPPER(SUBSTITUTE(SUBSTITUTE(SUBSTITUTE(SUBSTITUTE(TRIM(A931),".",""),"/",""),"-","")," ","")))&lt;14,RIGHT(REPT("0",14)&amp;UPPER(SUBSTITUTE(SUBSTITUTE(SUBSTITUTE(SUBSTITUTE(TRIM(A931),".",""),"/",""),"-","")," ","")),14),UPPER(SUBSTITUTE(SUBSTITUTE(SUBSTITUTE(SUBSTITUTE(TRIM(A931),".",""),"/",""),"-","")," ",""))))</f>
        <v/>
      </c>
      <c r="C931" s="25" t="str">
        <f aca="false">IF(B931="","",IFERROR(INDEX(Empresas!$C:$C,MATCH(B931,Empresas!$B:$B,0)),"cadastre o CNPJ em Empresas"))</f>
        <v/>
      </c>
      <c r="D931" s="23"/>
      <c r="E931" s="24"/>
      <c r="F931" s="31" t="str">
        <f aca="false">IF(D931="","",SUBSTITUTE(SUBSTITUTE(SUBSTITUTE(SUBSTITUTE(SUBSTITUTE(SUBSTITUTE(SUBSTITUTE(SUBSTITUTE(SUBSTITUTE(SUBSTITUTE(SUBSTITUTE(SUBSTITUTE(SUBSTITUTE(UPPER(TRIM(D931)),"Á","A"),"À","A"),"Â","A"),"Ã","A"),"É","E"),"Ê","E"),"Í","I"),"Ó","O"),"Ô","O"),"Õ","O"),"Ú","U"),"Ü","U"),"Ç","C"))</f>
        <v/>
      </c>
      <c r="G931" s="31" t="str">
        <f aca="false">IF(E931="","",IF(LEN(SUBSTITUTE(SUBSTITUTE(SUBSTITUTE(SUBSTITUTE(TRIM(E931),"*",""),".",""),"-","")," ",""))=11,MID(SUBSTITUTE(SUBSTITUTE(SUBSTITUTE(SUBSTITUTE(TRIM(E931),"*",""),".",""),"-","")," ",""),4,6),SUBSTITUTE(SUBSTITUTE(SUBSTITUTE(SUBSTITUTE(TRIM(E931),"*",""),".",""),"-","")," ","")))</f>
        <v/>
      </c>
      <c r="H931" s="31" t="str">
        <f aca="false">IF(OR(F931="",G931=""),"",F931&amp;"|"&amp;G931)</f>
        <v/>
      </c>
      <c r="I931" s="23"/>
      <c r="J931" s="22"/>
      <c r="K931" s="22"/>
      <c r="L931" s="25" t="str">
        <f aca="false">IF(F931="","",IF(AND(H931&lt;&gt;"",COUNTIF(Pessoas!$E:$E,H931)&gt;0),"SIM",IF(COUNTIF(Pessoas!$C:$C,F931)&gt;0,"nome igual em Pessoas: confira o CPF","")))</f>
        <v/>
      </c>
      <c r="M931" s="24"/>
      <c r="N931" s="11"/>
    </row>
    <row r="932" customFormat="false" ht="15" hidden="false" customHeight="false" outlineLevel="0" collapsed="false">
      <c r="A932" s="24"/>
      <c r="B932" s="31" t="str">
        <f aca="false">IF(A932="","",IF(LEN(UPPER(SUBSTITUTE(SUBSTITUTE(SUBSTITUTE(SUBSTITUTE(TRIM(A932),".",""),"/",""),"-","")," ","")))&lt;14,RIGHT(REPT("0",14)&amp;UPPER(SUBSTITUTE(SUBSTITUTE(SUBSTITUTE(SUBSTITUTE(TRIM(A932),".",""),"/",""),"-","")," ","")),14),UPPER(SUBSTITUTE(SUBSTITUTE(SUBSTITUTE(SUBSTITUTE(TRIM(A932),".",""),"/",""),"-","")," ",""))))</f>
        <v/>
      </c>
      <c r="C932" s="25" t="str">
        <f aca="false">IF(B932="","",IFERROR(INDEX(Empresas!$C:$C,MATCH(B932,Empresas!$B:$B,0)),"cadastre o CNPJ em Empresas"))</f>
        <v/>
      </c>
      <c r="D932" s="23"/>
      <c r="E932" s="24"/>
      <c r="F932" s="31" t="str">
        <f aca="false">IF(D932="","",SUBSTITUTE(SUBSTITUTE(SUBSTITUTE(SUBSTITUTE(SUBSTITUTE(SUBSTITUTE(SUBSTITUTE(SUBSTITUTE(SUBSTITUTE(SUBSTITUTE(SUBSTITUTE(SUBSTITUTE(SUBSTITUTE(UPPER(TRIM(D932)),"Á","A"),"À","A"),"Â","A"),"Ã","A"),"É","E"),"Ê","E"),"Í","I"),"Ó","O"),"Ô","O"),"Õ","O"),"Ú","U"),"Ü","U"),"Ç","C"))</f>
        <v/>
      </c>
      <c r="G932" s="31" t="str">
        <f aca="false">IF(E932="","",IF(LEN(SUBSTITUTE(SUBSTITUTE(SUBSTITUTE(SUBSTITUTE(TRIM(E932),"*",""),".",""),"-","")," ",""))=11,MID(SUBSTITUTE(SUBSTITUTE(SUBSTITUTE(SUBSTITUTE(TRIM(E932),"*",""),".",""),"-","")," ",""),4,6),SUBSTITUTE(SUBSTITUTE(SUBSTITUTE(SUBSTITUTE(TRIM(E932),"*",""),".",""),"-","")," ","")))</f>
        <v/>
      </c>
      <c r="H932" s="31" t="str">
        <f aca="false">IF(OR(F932="",G932=""),"",F932&amp;"|"&amp;G932)</f>
        <v/>
      </c>
      <c r="I932" s="23"/>
      <c r="J932" s="22"/>
      <c r="K932" s="22"/>
      <c r="L932" s="25" t="str">
        <f aca="false">IF(F932="","",IF(AND(H932&lt;&gt;"",COUNTIF(Pessoas!$E:$E,H932)&gt;0),"SIM",IF(COUNTIF(Pessoas!$C:$C,F932)&gt;0,"nome igual em Pessoas: confira o CPF","")))</f>
        <v/>
      </c>
      <c r="M932" s="24"/>
      <c r="N932" s="11"/>
    </row>
    <row r="933" customFormat="false" ht="15" hidden="false" customHeight="false" outlineLevel="0" collapsed="false">
      <c r="A933" s="24"/>
      <c r="B933" s="31" t="str">
        <f aca="false">IF(A933="","",IF(LEN(UPPER(SUBSTITUTE(SUBSTITUTE(SUBSTITUTE(SUBSTITUTE(TRIM(A933),".",""),"/",""),"-","")," ","")))&lt;14,RIGHT(REPT("0",14)&amp;UPPER(SUBSTITUTE(SUBSTITUTE(SUBSTITUTE(SUBSTITUTE(TRIM(A933),".",""),"/",""),"-","")," ","")),14),UPPER(SUBSTITUTE(SUBSTITUTE(SUBSTITUTE(SUBSTITUTE(TRIM(A933),".",""),"/",""),"-","")," ",""))))</f>
        <v/>
      </c>
      <c r="C933" s="25" t="str">
        <f aca="false">IF(B933="","",IFERROR(INDEX(Empresas!$C:$C,MATCH(B933,Empresas!$B:$B,0)),"cadastre o CNPJ em Empresas"))</f>
        <v/>
      </c>
      <c r="D933" s="23"/>
      <c r="E933" s="24"/>
      <c r="F933" s="31" t="str">
        <f aca="false">IF(D933="","",SUBSTITUTE(SUBSTITUTE(SUBSTITUTE(SUBSTITUTE(SUBSTITUTE(SUBSTITUTE(SUBSTITUTE(SUBSTITUTE(SUBSTITUTE(SUBSTITUTE(SUBSTITUTE(SUBSTITUTE(SUBSTITUTE(UPPER(TRIM(D933)),"Á","A"),"À","A"),"Â","A"),"Ã","A"),"É","E"),"Ê","E"),"Í","I"),"Ó","O"),"Ô","O"),"Õ","O"),"Ú","U"),"Ü","U"),"Ç","C"))</f>
        <v/>
      </c>
      <c r="G933" s="31" t="str">
        <f aca="false">IF(E933="","",IF(LEN(SUBSTITUTE(SUBSTITUTE(SUBSTITUTE(SUBSTITUTE(TRIM(E933),"*",""),".",""),"-","")," ",""))=11,MID(SUBSTITUTE(SUBSTITUTE(SUBSTITUTE(SUBSTITUTE(TRIM(E933),"*",""),".",""),"-","")," ",""),4,6),SUBSTITUTE(SUBSTITUTE(SUBSTITUTE(SUBSTITUTE(TRIM(E933),"*",""),".",""),"-","")," ","")))</f>
        <v/>
      </c>
      <c r="H933" s="31" t="str">
        <f aca="false">IF(OR(F933="",G933=""),"",F933&amp;"|"&amp;G933)</f>
        <v/>
      </c>
      <c r="I933" s="23"/>
      <c r="J933" s="22"/>
      <c r="K933" s="22"/>
      <c r="L933" s="25" t="str">
        <f aca="false">IF(F933="","",IF(AND(H933&lt;&gt;"",COUNTIF(Pessoas!$E:$E,H933)&gt;0),"SIM",IF(COUNTIF(Pessoas!$C:$C,F933)&gt;0,"nome igual em Pessoas: confira o CPF","")))</f>
        <v/>
      </c>
      <c r="M933" s="24"/>
      <c r="N933" s="11"/>
    </row>
    <row r="934" customFormat="false" ht="15" hidden="false" customHeight="false" outlineLevel="0" collapsed="false">
      <c r="A934" s="24"/>
      <c r="B934" s="31" t="str">
        <f aca="false">IF(A934="","",IF(LEN(UPPER(SUBSTITUTE(SUBSTITUTE(SUBSTITUTE(SUBSTITUTE(TRIM(A934),".",""),"/",""),"-","")," ","")))&lt;14,RIGHT(REPT("0",14)&amp;UPPER(SUBSTITUTE(SUBSTITUTE(SUBSTITUTE(SUBSTITUTE(TRIM(A934),".",""),"/",""),"-","")," ","")),14),UPPER(SUBSTITUTE(SUBSTITUTE(SUBSTITUTE(SUBSTITUTE(TRIM(A934),".",""),"/",""),"-","")," ",""))))</f>
        <v/>
      </c>
      <c r="C934" s="25" t="str">
        <f aca="false">IF(B934="","",IFERROR(INDEX(Empresas!$C:$C,MATCH(B934,Empresas!$B:$B,0)),"cadastre o CNPJ em Empresas"))</f>
        <v/>
      </c>
      <c r="D934" s="23"/>
      <c r="E934" s="24"/>
      <c r="F934" s="31" t="str">
        <f aca="false">IF(D934="","",SUBSTITUTE(SUBSTITUTE(SUBSTITUTE(SUBSTITUTE(SUBSTITUTE(SUBSTITUTE(SUBSTITUTE(SUBSTITUTE(SUBSTITUTE(SUBSTITUTE(SUBSTITUTE(SUBSTITUTE(SUBSTITUTE(UPPER(TRIM(D934)),"Á","A"),"À","A"),"Â","A"),"Ã","A"),"É","E"),"Ê","E"),"Í","I"),"Ó","O"),"Ô","O"),"Õ","O"),"Ú","U"),"Ü","U"),"Ç","C"))</f>
        <v/>
      </c>
      <c r="G934" s="31" t="str">
        <f aca="false">IF(E934="","",IF(LEN(SUBSTITUTE(SUBSTITUTE(SUBSTITUTE(SUBSTITUTE(TRIM(E934),"*",""),".",""),"-","")," ",""))=11,MID(SUBSTITUTE(SUBSTITUTE(SUBSTITUTE(SUBSTITUTE(TRIM(E934),"*",""),".",""),"-","")," ",""),4,6),SUBSTITUTE(SUBSTITUTE(SUBSTITUTE(SUBSTITUTE(TRIM(E934),"*",""),".",""),"-","")," ","")))</f>
        <v/>
      </c>
      <c r="H934" s="31" t="str">
        <f aca="false">IF(OR(F934="",G934=""),"",F934&amp;"|"&amp;G934)</f>
        <v/>
      </c>
      <c r="I934" s="23"/>
      <c r="J934" s="22"/>
      <c r="K934" s="22"/>
      <c r="L934" s="25" t="str">
        <f aca="false">IF(F934="","",IF(AND(H934&lt;&gt;"",COUNTIF(Pessoas!$E:$E,H934)&gt;0),"SIM",IF(COUNTIF(Pessoas!$C:$C,F934)&gt;0,"nome igual em Pessoas: confira o CPF","")))</f>
        <v/>
      </c>
      <c r="M934" s="24"/>
      <c r="N934" s="11"/>
    </row>
    <row r="935" customFormat="false" ht="15" hidden="false" customHeight="false" outlineLevel="0" collapsed="false">
      <c r="A935" s="24"/>
      <c r="B935" s="31" t="str">
        <f aca="false">IF(A935="","",IF(LEN(UPPER(SUBSTITUTE(SUBSTITUTE(SUBSTITUTE(SUBSTITUTE(TRIM(A935),".",""),"/",""),"-","")," ","")))&lt;14,RIGHT(REPT("0",14)&amp;UPPER(SUBSTITUTE(SUBSTITUTE(SUBSTITUTE(SUBSTITUTE(TRIM(A935),".",""),"/",""),"-","")," ","")),14),UPPER(SUBSTITUTE(SUBSTITUTE(SUBSTITUTE(SUBSTITUTE(TRIM(A935),".",""),"/",""),"-","")," ",""))))</f>
        <v/>
      </c>
      <c r="C935" s="25" t="str">
        <f aca="false">IF(B935="","",IFERROR(INDEX(Empresas!$C:$C,MATCH(B935,Empresas!$B:$B,0)),"cadastre o CNPJ em Empresas"))</f>
        <v/>
      </c>
      <c r="D935" s="23"/>
      <c r="E935" s="24"/>
      <c r="F935" s="31" t="str">
        <f aca="false">IF(D935="","",SUBSTITUTE(SUBSTITUTE(SUBSTITUTE(SUBSTITUTE(SUBSTITUTE(SUBSTITUTE(SUBSTITUTE(SUBSTITUTE(SUBSTITUTE(SUBSTITUTE(SUBSTITUTE(SUBSTITUTE(SUBSTITUTE(UPPER(TRIM(D935)),"Á","A"),"À","A"),"Â","A"),"Ã","A"),"É","E"),"Ê","E"),"Í","I"),"Ó","O"),"Ô","O"),"Õ","O"),"Ú","U"),"Ü","U"),"Ç","C"))</f>
        <v/>
      </c>
      <c r="G935" s="31" t="str">
        <f aca="false">IF(E935="","",IF(LEN(SUBSTITUTE(SUBSTITUTE(SUBSTITUTE(SUBSTITUTE(TRIM(E935),"*",""),".",""),"-","")," ",""))=11,MID(SUBSTITUTE(SUBSTITUTE(SUBSTITUTE(SUBSTITUTE(TRIM(E935),"*",""),".",""),"-","")," ",""),4,6),SUBSTITUTE(SUBSTITUTE(SUBSTITUTE(SUBSTITUTE(TRIM(E935),"*",""),".",""),"-","")," ","")))</f>
        <v/>
      </c>
      <c r="H935" s="31" t="str">
        <f aca="false">IF(OR(F935="",G935=""),"",F935&amp;"|"&amp;G935)</f>
        <v/>
      </c>
      <c r="I935" s="23"/>
      <c r="J935" s="22"/>
      <c r="K935" s="22"/>
      <c r="L935" s="25" t="str">
        <f aca="false">IF(F935="","",IF(AND(H935&lt;&gt;"",COUNTIF(Pessoas!$E:$E,H935)&gt;0),"SIM",IF(COUNTIF(Pessoas!$C:$C,F935)&gt;0,"nome igual em Pessoas: confira o CPF","")))</f>
        <v/>
      </c>
      <c r="M935" s="24"/>
      <c r="N935" s="11"/>
    </row>
    <row r="936" customFormat="false" ht="15" hidden="false" customHeight="false" outlineLevel="0" collapsed="false">
      <c r="A936" s="24"/>
      <c r="B936" s="31" t="str">
        <f aca="false">IF(A936="","",IF(LEN(UPPER(SUBSTITUTE(SUBSTITUTE(SUBSTITUTE(SUBSTITUTE(TRIM(A936),".",""),"/",""),"-","")," ","")))&lt;14,RIGHT(REPT("0",14)&amp;UPPER(SUBSTITUTE(SUBSTITUTE(SUBSTITUTE(SUBSTITUTE(TRIM(A936),".",""),"/",""),"-","")," ","")),14),UPPER(SUBSTITUTE(SUBSTITUTE(SUBSTITUTE(SUBSTITUTE(TRIM(A936),".",""),"/",""),"-","")," ",""))))</f>
        <v/>
      </c>
      <c r="C936" s="25" t="str">
        <f aca="false">IF(B936="","",IFERROR(INDEX(Empresas!$C:$C,MATCH(B936,Empresas!$B:$B,0)),"cadastre o CNPJ em Empresas"))</f>
        <v/>
      </c>
      <c r="D936" s="23"/>
      <c r="E936" s="24"/>
      <c r="F936" s="31" t="str">
        <f aca="false">IF(D936="","",SUBSTITUTE(SUBSTITUTE(SUBSTITUTE(SUBSTITUTE(SUBSTITUTE(SUBSTITUTE(SUBSTITUTE(SUBSTITUTE(SUBSTITUTE(SUBSTITUTE(SUBSTITUTE(SUBSTITUTE(SUBSTITUTE(UPPER(TRIM(D936)),"Á","A"),"À","A"),"Â","A"),"Ã","A"),"É","E"),"Ê","E"),"Í","I"),"Ó","O"),"Ô","O"),"Õ","O"),"Ú","U"),"Ü","U"),"Ç","C"))</f>
        <v/>
      </c>
      <c r="G936" s="31" t="str">
        <f aca="false">IF(E936="","",IF(LEN(SUBSTITUTE(SUBSTITUTE(SUBSTITUTE(SUBSTITUTE(TRIM(E936),"*",""),".",""),"-","")," ",""))=11,MID(SUBSTITUTE(SUBSTITUTE(SUBSTITUTE(SUBSTITUTE(TRIM(E936),"*",""),".",""),"-","")," ",""),4,6),SUBSTITUTE(SUBSTITUTE(SUBSTITUTE(SUBSTITUTE(TRIM(E936),"*",""),".",""),"-","")," ","")))</f>
        <v/>
      </c>
      <c r="H936" s="31" t="str">
        <f aca="false">IF(OR(F936="",G936=""),"",F936&amp;"|"&amp;G936)</f>
        <v/>
      </c>
      <c r="I936" s="23"/>
      <c r="J936" s="22"/>
      <c r="K936" s="22"/>
      <c r="L936" s="25" t="str">
        <f aca="false">IF(F936="","",IF(AND(H936&lt;&gt;"",COUNTIF(Pessoas!$E:$E,H936)&gt;0),"SIM",IF(COUNTIF(Pessoas!$C:$C,F936)&gt;0,"nome igual em Pessoas: confira o CPF","")))</f>
        <v/>
      </c>
      <c r="M936" s="24"/>
      <c r="N936" s="11"/>
    </row>
    <row r="937" customFormat="false" ht="15" hidden="false" customHeight="false" outlineLevel="0" collapsed="false">
      <c r="A937" s="24"/>
      <c r="B937" s="31" t="str">
        <f aca="false">IF(A937="","",IF(LEN(UPPER(SUBSTITUTE(SUBSTITUTE(SUBSTITUTE(SUBSTITUTE(TRIM(A937),".",""),"/",""),"-","")," ","")))&lt;14,RIGHT(REPT("0",14)&amp;UPPER(SUBSTITUTE(SUBSTITUTE(SUBSTITUTE(SUBSTITUTE(TRIM(A937),".",""),"/",""),"-","")," ","")),14),UPPER(SUBSTITUTE(SUBSTITUTE(SUBSTITUTE(SUBSTITUTE(TRIM(A937),".",""),"/",""),"-","")," ",""))))</f>
        <v/>
      </c>
      <c r="C937" s="25" t="str">
        <f aca="false">IF(B937="","",IFERROR(INDEX(Empresas!$C:$C,MATCH(B937,Empresas!$B:$B,0)),"cadastre o CNPJ em Empresas"))</f>
        <v/>
      </c>
      <c r="D937" s="23"/>
      <c r="E937" s="24"/>
      <c r="F937" s="31" t="str">
        <f aca="false">IF(D937="","",SUBSTITUTE(SUBSTITUTE(SUBSTITUTE(SUBSTITUTE(SUBSTITUTE(SUBSTITUTE(SUBSTITUTE(SUBSTITUTE(SUBSTITUTE(SUBSTITUTE(SUBSTITUTE(SUBSTITUTE(SUBSTITUTE(UPPER(TRIM(D937)),"Á","A"),"À","A"),"Â","A"),"Ã","A"),"É","E"),"Ê","E"),"Í","I"),"Ó","O"),"Ô","O"),"Õ","O"),"Ú","U"),"Ü","U"),"Ç","C"))</f>
        <v/>
      </c>
      <c r="G937" s="31" t="str">
        <f aca="false">IF(E937="","",IF(LEN(SUBSTITUTE(SUBSTITUTE(SUBSTITUTE(SUBSTITUTE(TRIM(E937),"*",""),".",""),"-","")," ",""))=11,MID(SUBSTITUTE(SUBSTITUTE(SUBSTITUTE(SUBSTITUTE(TRIM(E937),"*",""),".",""),"-","")," ",""),4,6),SUBSTITUTE(SUBSTITUTE(SUBSTITUTE(SUBSTITUTE(TRIM(E937),"*",""),".",""),"-","")," ","")))</f>
        <v/>
      </c>
      <c r="H937" s="31" t="str">
        <f aca="false">IF(OR(F937="",G937=""),"",F937&amp;"|"&amp;G937)</f>
        <v/>
      </c>
      <c r="I937" s="23"/>
      <c r="J937" s="22"/>
      <c r="K937" s="22"/>
      <c r="L937" s="25" t="str">
        <f aca="false">IF(F937="","",IF(AND(H937&lt;&gt;"",COUNTIF(Pessoas!$E:$E,H937)&gt;0),"SIM",IF(COUNTIF(Pessoas!$C:$C,F937)&gt;0,"nome igual em Pessoas: confira o CPF","")))</f>
        <v/>
      </c>
      <c r="M937" s="24"/>
      <c r="N937" s="11"/>
    </row>
    <row r="938" customFormat="false" ht="15" hidden="false" customHeight="false" outlineLevel="0" collapsed="false">
      <c r="A938" s="24"/>
      <c r="B938" s="31" t="str">
        <f aca="false">IF(A938="","",IF(LEN(UPPER(SUBSTITUTE(SUBSTITUTE(SUBSTITUTE(SUBSTITUTE(TRIM(A938),".",""),"/",""),"-","")," ","")))&lt;14,RIGHT(REPT("0",14)&amp;UPPER(SUBSTITUTE(SUBSTITUTE(SUBSTITUTE(SUBSTITUTE(TRIM(A938),".",""),"/",""),"-","")," ","")),14),UPPER(SUBSTITUTE(SUBSTITUTE(SUBSTITUTE(SUBSTITUTE(TRIM(A938),".",""),"/",""),"-","")," ",""))))</f>
        <v/>
      </c>
      <c r="C938" s="25" t="str">
        <f aca="false">IF(B938="","",IFERROR(INDEX(Empresas!$C:$C,MATCH(B938,Empresas!$B:$B,0)),"cadastre o CNPJ em Empresas"))</f>
        <v/>
      </c>
      <c r="D938" s="23"/>
      <c r="E938" s="24"/>
      <c r="F938" s="31" t="str">
        <f aca="false">IF(D938="","",SUBSTITUTE(SUBSTITUTE(SUBSTITUTE(SUBSTITUTE(SUBSTITUTE(SUBSTITUTE(SUBSTITUTE(SUBSTITUTE(SUBSTITUTE(SUBSTITUTE(SUBSTITUTE(SUBSTITUTE(SUBSTITUTE(UPPER(TRIM(D938)),"Á","A"),"À","A"),"Â","A"),"Ã","A"),"É","E"),"Ê","E"),"Í","I"),"Ó","O"),"Ô","O"),"Õ","O"),"Ú","U"),"Ü","U"),"Ç","C"))</f>
        <v/>
      </c>
      <c r="G938" s="31" t="str">
        <f aca="false">IF(E938="","",IF(LEN(SUBSTITUTE(SUBSTITUTE(SUBSTITUTE(SUBSTITUTE(TRIM(E938),"*",""),".",""),"-","")," ",""))=11,MID(SUBSTITUTE(SUBSTITUTE(SUBSTITUTE(SUBSTITUTE(TRIM(E938),"*",""),".",""),"-","")," ",""),4,6),SUBSTITUTE(SUBSTITUTE(SUBSTITUTE(SUBSTITUTE(TRIM(E938),"*",""),".",""),"-","")," ","")))</f>
        <v/>
      </c>
      <c r="H938" s="31" t="str">
        <f aca="false">IF(OR(F938="",G938=""),"",F938&amp;"|"&amp;G938)</f>
        <v/>
      </c>
      <c r="I938" s="23"/>
      <c r="J938" s="22"/>
      <c r="K938" s="22"/>
      <c r="L938" s="25" t="str">
        <f aca="false">IF(F938="","",IF(AND(H938&lt;&gt;"",COUNTIF(Pessoas!$E:$E,H938)&gt;0),"SIM",IF(COUNTIF(Pessoas!$C:$C,F938)&gt;0,"nome igual em Pessoas: confira o CPF","")))</f>
        <v/>
      </c>
      <c r="M938" s="24"/>
      <c r="N938" s="11"/>
    </row>
    <row r="939" customFormat="false" ht="15" hidden="false" customHeight="false" outlineLevel="0" collapsed="false">
      <c r="A939" s="24"/>
      <c r="B939" s="31" t="str">
        <f aca="false">IF(A939="","",IF(LEN(UPPER(SUBSTITUTE(SUBSTITUTE(SUBSTITUTE(SUBSTITUTE(TRIM(A939),".",""),"/",""),"-","")," ","")))&lt;14,RIGHT(REPT("0",14)&amp;UPPER(SUBSTITUTE(SUBSTITUTE(SUBSTITUTE(SUBSTITUTE(TRIM(A939),".",""),"/",""),"-","")," ","")),14),UPPER(SUBSTITUTE(SUBSTITUTE(SUBSTITUTE(SUBSTITUTE(TRIM(A939),".",""),"/",""),"-","")," ",""))))</f>
        <v/>
      </c>
      <c r="C939" s="25" t="str">
        <f aca="false">IF(B939="","",IFERROR(INDEX(Empresas!$C:$C,MATCH(B939,Empresas!$B:$B,0)),"cadastre o CNPJ em Empresas"))</f>
        <v/>
      </c>
      <c r="D939" s="23"/>
      <c r="E939" s="24"/>
      <c r="F939" s="31" t="str">
        <f aca="false">IF(D939="","",SUBSTITUTE(SUBSTITUTE(SUBSTITUTE(SUBSTITUTE(SUBSTITUTE(SUBSTITUTE(SUBSTITUTE(SUBSTITUTE(SUBSTITUTE(SUBSTITUTE(SUBSTITUTE(SUBSTITUTE(SUBSTITUTE(UPPER(TRIM(D939)),"Á","A"),"À","A"),"Â","A"),"Ã","A"),"É","E"),"Ê","E"),"Í","I"),"Ó","O"),"Ô","O"),"Õ","O"),"Ú","U"),"Ü","U"),"Ç","C"))</f>
        <v/>
      </c>
      <c r="G939" s="31" t="str">
        <f aca="false">IF(E939="","",IF(LEN(SUBSTITUTE(SUBSTITUTE(SUBSTITUTE(SUBSTITUTE(TRIM(E939),"*",""),".",""),"-","")," ",""))=11,MID(SUBSTITUTE(SUBSTITUTE(SUBSTITUTE(SUBSTITUTE(TRIM(E939),"*",""),".",""),"-","")," ",""),4,6),SUBSTITUTE(SUBSTITUTE(SUBSTITUTE(SUBSTITUTE(TRIM(E939),"*",""),".",""),"-","")," ","")))</f>
        <v/>
      </c>
      <c r="H939" s="31" t="str">
        <f aca="false">IF(OR(F939="",G939=""),"",F939&amp;"|"&amp;G939)</f>
        <v/>
      </c>
      <c r="I939" s="23"/>
      <c r="J939" s="22"/>
      <c r="K939" s="22"/>
      <c r="L939" s="25" t="str">
        <f aca="false">IF(F939="","",IF(AND(H939&lt;&gt;"",COUNTIF(Pessoas!$E:$E,H939)&gt;0),"SIM",IF(COUNTIF(Pessoas!$C:$C,F939)&gt;0,"nome igual em Pessoas: confira o CPF","")))</f>
        <v/>
      </c>
      <c r="M939" s="24"/>
      <c r="N939" s="11"/>
    </row>
    <row r="940" customFormat="false" ht="15" hidden="false" customHeight="false" outlineLevel="0" collapsed="false">
      <c r="A940" s="24"/>
      <c r="B940" s="31" t="str">
        <f aca="false">IF(A940="","",IF(LEN(UPPER(SUBSTITUTE(SUBSTITUTE(SUBSTITUTE(SUBSTITUTE(TRIM(A940),".",""),"/",""),"-","")," ","")))&lt;14,RIGHT(REPT("0",14)&amp;UPPER(SUBSTITUTE(SUBSTITUTE(SUBSTITUTE(SUBSTITUTE(TRIM(A940),".",""),"/",""),"-","")," ","")),14),UPPER(SUBSTITUTE(SUBSTITUTE(SUBSTITUTE(SUBSTITUTE(TRIM(A940),".",""),"/",""),"-","")," ",""))))</f>
        <v/>
      </c>
      <c r="C940" s="25" t="str">
        <f aca="false">IF(B940="","",IFERROR(INDEX(Empresas!$C:$C,MATCH(B940,Empresas!$B:$B,0)),"cadastre o CNPJ em Empresas"))</f>
        <v/>
      </c>
      <c r="D940" s="23"/>
      <c r="E940" s="24"/>
      <c r="F940" s="31" t="str">
        <f aca="false">IF(D940="","",SUBSTITUTE(SUBSTITUTE(SUBSTITUTE(SUBSTITUTE(SUBSTITUTE(SUBSTITUTE(SUBSTITUTE(SUBSTITUTE(SUBSTITUTE(SUBSTITUTE(SUBSTITUTE(SUBSTITUTE(SUBSTITUTE(UPPER(TRIM(D940)),"Á","A"),"À","A"),"Â","A"),"Ã","A"),"É","E"),"Ê","E"),"Í","I"),"Ó","O"),"Ô","O"),"Õ","O"),"Ú","U"),"Ü","U"),"Ç","C"))</f>
        <v/>
      </c>
      <c r="G940" s="31" t="str">
        <f aca="false">IF(E940="","",IF(LEN(SUBSTITUTE(SUBSTITUTE(SUBSTITUTE(SUBSTITUTE(TRIM(E940),"*",""),".",""),"-","")," ",""))=11,MID(SUBSTITUTE(SUBSTITUTE(SUBSTITUTE(SUBSTITUTE(TRIM(E940),"*",""),".",""),"-","")," ",""),4,6),SUBSTITUTE(SUBSTITUTE(SUBSTITUTE(SUBSTITUTE(TRIM(E940),"*",""),".",""),"-","")," ","")))</f>
        <v/>
      </c>
      <c r="H940" s="31" t="str">
        <f aca="false">IF(OR(F940="",G940=""),"",F940&amp;"|"&amp;G940)</f>
        <v/>
      </c>
      <c r="I940" s="23"/>
      <c r="J940" s="22"/>
      <c r="K940" s="22"/>
      <c r="L940" s="25" t="str">
        <f aca="false">IF(F940="","",IF(AND(H940&lt;&gt;"",COUNTIF(Pessoas!$E:$E,H940)&gt;0),"SIM",IF(COUNTIF(Pessoas!$C:$C,F940)&gt;0,"nome igual em Pessoas: confira o CPF","")))</f>
        <v/>
      </c>
      <c r="M940" s="24"/>
      <c r="N940" s="11"/>
    </row>
    <row r="941" customFormat="false" ht="15" hidden="false" customHeight="false" outlineLevel="0" collapsed="false">
      <c r="A941" s="24"/>
      <c r="B941" s="31" t="str">
        <f aca="false">IF(A941="","",IF(LEN(UPPER(SUBSTITUTE(SUBSTITUTE(SUBSTITUTE(SUBSTITUTE(TRIM(A941),".",""),"/",""),"-","")," ","")))&lt;14,RIGHT(REPT("0",14)&amp;UPPER(SUBSTITUTE(SUBSTITUTE(SUBSTITUTE(SUBSTITUTE(TRIM(A941),".",""),"/",""),"-","")," ","")),14),UPPER(SUBSTITUTE(SUBSTITUTE(SUBSTITUTE(SUBSTITUTE(TRIM(A941),".",""),"/",""),"-","")," ",""))))</f>
        <v/>
      </c>
      <c r="C941" s="25" t="str">
        <f aca="false">IF(B941="","",IFERROR(INDEX(Empresas!$C:$C,MATCH(B941,Empresas!$B:$B,0)),"cadastre o CNPJ em Empresas"))</f>
        <v/>
      </c>
      <c r="D941" s="23"/>
      <c r="E941" s="24"/>
      <c r="F941" s="31" t="str">
        <f aca="false">IF(D941="","",SUBSTITUTE(SUBSTITUTE(SUBSTITUTE(SUBSTITUTE(SUBSTITUTE(SUBSTITUTE(SUBSTITUTE(SUBSTITUTE(SUBSTITUTE(SUBSTITUTE(SUBSTITUTE(SUBSTITUTE(SUBSTITUTE(UPPER(TRIM(D941)),"Á","A"),"À","A"),"Â","A"),"Ã","A"),"É","E"),"Ê","E"),"Í","I"),"Ó","O"),"Ô","O"),"Õ","O"),"Ú","U"),"Ü","U"),"Ç","C"))</f>
        <v/>
      </c>
      <c r="G941" s="31" t="str">
        <f aca="false">IF(E941="","",IF(LEN(SUBSTITUTE(SUBSTITUTE(SUBSTITUTE(SUBSTITUTE(TRIM(E941),"*",""),".",""),"-","")," ",""))=11,MID(SUBSTITUTE(SUBSTITUTE(SUBSTITUTE(SUBSTITUTE(TRIM(E941),"*",""),".",""),"-","")," ",""),4,6),SUBSTITUTE(SUBSTITUTE(SUBSTITUTE(SUBSTITUTE(TRIM(E941),"*",""),".",""),"-","")," ","")))</f>
        <v/>
      </c>
      <c r="H941" s="31" t="str">
        <f aca="false">IF(OR(F941="",G941=""),"",F941&amp;"|"&amp;G941)</f>
        <v/>
      </c>
      <c r="I941" s="23"/>
      <c r="J941" s="22"/>
      <c r="K941" s="22"/>
      <c r="L941" s="25" t="str">
        <f aca="false">IF(F941="","",IF(AND(H941&lt;&gt;"",COUNTIF(Pessoas!$E:$E,H941)&gt;0),"SIM",IF(COUNTIF(Pessoas!$C:$C,F941)&gt;0,"nome igual em Pessoas: confira o CPF","")))</f>
        <v/>
      </c>
      <c r="M941" s="24"/>
      <c r="N941" s="11"/>
    </row>
    <row r="942" customFormat="false" ht="15" hidden="false" customHeight="false" outlineLevel="0" collapsed="false">
      <c r="A942" s="24"/>
      <c r="B942" s="31" t="str">
        <f aca="false">IF(A942="","",IF(LEN(UPPER(SUBSTITUTE(SUBSTITUTE(SUBSTITUTE(SUBSTITUTE(TRIM(A942),".",""),"/",""),"-","")," ","")))&lt;14,RIGHT(REPT("0",14)&amp;UPPER(SUBSTITUTE(SUBSTITUTE(SUBSTITUTE(SUBSTITUTE(TRIM(A942),".",""),"/",""),"-","")," ","")),14),UPPER(SUBSTITUTE(SUBSTITUTE(SUBSTITUTE(SUBSTITUTE(TRIM(A942),".",""),"/",""),"-","")," ",""))))</f>
        <v/>
      </c>
      <c r="C942" s="25" t="str">
        <f aca="false">IF(B942="","",IFERROR(INDEX(Empresas!$C:$C,MATCH(B942,Empresas!$B:$B,0)),"cadastre o CNPJ em Empresas"))</f>
        <v/>
      </c>
      <c r="D942" s="23"/>
      <c r="E942" s="24"/>
      <c r="F942" s="31" t="str">
        <f aca="false">IF(D942="","",SUBSTITUTE(SUBSTITUTE(SUBSTITUTE(SUBSTITUTE(SUBSTITUTE(SUBSTITUTE(SUBSTITUTE(SUBSTITUTE(SUBSTITUTE(SUBSTITUTE(SUBSTITUTE(SUBSTITUTE(SUBSTITUTE(UPPER(TRIM(D942)),"Á","A"),"À","A"),"Â","A"),"Ã","A"),"É","E"),"Ê","E"),"Í","I"),"Ó","O"),"Ô","O"),"Õ","O"),"Ú","U"),"Ü","U"),"Ç","C"))</f>
        <v/>
      </c>
      <c r="G942" s="31" t="str">
        <f aca="false">IF(E942="","",IF(LEN(SUBSTITUTE(SUBSTITUTE(SUBSTITUTE(SUBSTITUTE(TRIM(E942),"*",""),".",""),"-","")," ",""))=11,MID(SUBSTITUTE(SUBSTITUTE(SUBSTITUTE(SUBSTITUTE(TRIM(E942),"*",""),".",""),"-","")," ",""),4,6),SUBSTITUTE(SUBSTITUTE(SUBSTITUTE(SUBSTITUTE(TRIM(E942),"*",""),".",""),"-","")," ","")))</f>
        <v/>
      </c>
      <c r="H942" s="31" t="str">
        <f aca="false">IF(OR(F942="",G942=""),"",F942&amp;"|"&amp;G942)</f>
        <v/>
      </c>
      <c r="I942" s="23"/>
      <c r="J942" s="22"/>
      <c r="K942" s="22"/>
      <c r="L942" s="25" t="str">
        <f aca="false">IF(F942="","",IF(AND(H942&lt;&gt;"",COUNTIF(Pessoas!$E:$E,H942)&gt;0),"SIM",IF(COUNTIF(Pessoas!$C:$C,F942)&gt;0,"nome igual em Pessoas: confira o CPF","")))</f>
        <v/>
      </c>
      <c r="M942" s="24"/>
      <c r="N942" s="11"/>
    </row>
    <row r="943" customFormat="false" ht="15" hidden="false" customHeight="false" outlineLevel="0" collapsed="false">
      <c r="A943" s="24"/>
      <c r="B943" s="31" t="str">
        <f aca="false">IF(A943="","",IF(LEN(UPPER(SUBSTITUTE(SUBSTITUTE(SUBSTITUTE(SUBSTITUTE(TRIM(A943),".",""),"/",""),"-","")," ","")))&lt;14,RIGHT(REPT("0",14)&amp;UPPER(SUBSTITUTE(SUBSTITUTE(SUBSTITUTE(SUBSTITUTE(TRIM(A943),".",""),"/",""),"-","")," ","")),14),UPPER(SUBSTITUTE(SUBSTITUTE(SUBSTITUTE(SUBSTITUTE(TRIM(A943),".",""),"/",""),"-","")," ",""))))</f>
        <v/>
      </c>
      <c r="C943" s="25" t="str">
        <f aca="false">IF(B943="","",IFERROR(INDEX(Empresas!$C:$C,MATCH(B943,Empresas!$B:$B,0)),"cadastre o CNPJ em Empresas"))</f>
        <v/>
      </c>
      <c r="D943" s="23"/>
      <c r="E943" s="24"/>
      <c r="F943" s="31" t="str">
        <f aca="false">IF(D943="","",SUBSTITUTE(SUBSTITUTE(SUBSTITUTE(SUBSTITUTE(SUBSTITUTE(SUBSTITUTE(SUBSTITUTE(SUBSTITUTE(SUBSTITUTE(SUBSTITUTE(SUBSTITUTE(SUBSTITUTE(SUBSTITUTE(UPPER(TRIM(D943)),"Á","A"),"À","A"),"Â","A"),"Ã","A"),"É","E"),"Ê","E"),"Í","I"),"Ó","O"),"Ô","O"),"Õ","O"),"Ú","U"),"Ü","U"),"Ç","C"))</f>
        <v/>
      </c>
      <c r="G943" s="31" t="str">
        <f aca="false">IF(E943="","",IF(LEN(SUBSTITUTE(SUBSTITUTE(SUBSTITUTE(SUBSTITUTE(TRIM(E943),"*",""),".",""),"-","")," ",""))=11,MID(SUBSTITUTE(SUBSTITUTE(SUBSTITUTE(SUBSTITUTE(TRIM(E943),"*",""),".",""),"-","")," ",""),4,6),SUBSTITUTE(SUBSTITUTE(SUBSTITUTE(SUBSTITUTE(TRIM(E943),"*",""),".",""),"-","")," ","")))</f>
        <v/>
      </c>
      <c r="H943" s="31" t="str">
        <f aca="false">IF(OR(F943="",G943=""),"",F943&amp;"|"&amp;G943)</f>
        <v/>
      </c>
      <c r="I943" s="23"/>
      <c r="J943" s="22"/>
      <c r="K943" s="22"/>
      <c r="L943" s="25" t="str">
        <f aca="false">IF(F943="","",IF(AND(H943&lt;&gt;"",COUNTIF(Pessoas!$E:$E,H943)&gt;0),"SIM",IF(COUNTIF(Pessoas!$C:$C,F943)&gt;0,"nome igual em Pessoas: confira o CPF","")))</f>
        <v/>
      </c>
      <c r="M943" s="24"/>
      <c r="N943" s="11"/>
    </row>
    <row r="944" customFormat="false" ht="15" hidden="false" customHeight="false" outlineLevel="0" collapsed="false">
      <c r="A944" s="24"/>
      <c r="B944" s="31" t="str">
        <f aca="false">IF(A944="","",IF(LEN(UPPER(SUBSTITUTE(SUBSTITUTE(SUBSTITUTE(SUBSTITUTE(TRIM(A944),".",""),"/",""),"-","")," ","")))&lt;14,RIGHT(REPT("0",14)&amp;UPPER(SUBSTITUTE(SUBSTITUTE(SUBSTITUTE(SUBSTITUTE(TRIM(A944),".",""),"/",""),"-","")," ","")),14),UPPER(SUBSTITUTE(SUBSTITUTE(SUBSTITUTE(SUBSTITUTE(TRIM(A944),".",""),"/",""),"-","")," ",""))))</f>
        <v/>
      </c>
      <c r="C944" s="25" t="str">
        <f aca="false">IF(B944="","",IFERROR(INDEX(Empresas!$C:$C,MATCH(B944,Empresas!$B:$B,0)),"cadastre o CNPJ em Empresas"))</f>
        <v/>
      </c>
      <c r="D944" s="23"/>
      <c r="E944" s="24"/>
      <c r="F944" s="31" t="str">
        <f aca="false">IF(D944="","",SUBSTITUTE(SUBSTITUTE(SUBSTITUTE(SUBSTITUTE(SUBSTITUTE(SUBSTITUTE(SUBSTITUTE(SUBSTITUTE(SUBSTITUTE(SUBSTITUTE(SUBSTITUTE(SUBSTITUTE(SUBSTITUTE(UPPER(TRIM(D944)),"Á","A"),"À","A"),"Â","A"),"Ã","A"),"É","E"),"Ê","E"),"Í","I"),"Ó","O"),"Ô","O"),"Õ","O"),"Ú","U"),"Ü","U"),"Ç","C"))</f>
        <v/>
      </c>
      <c r="G944" s="31" t="str">
        <f aca="false">IF(E944="","",IF(LEN(SUBSTITUTE(SUBSTITUTE(SUBSTITUTE(SUBSTITUTE(TRIM(E944),"*",""),".",""),"-","")," ",""))=11,MID(SUBSTITUTE(SUBSTITUTE(SUBSTITUTE(SUBSTITUTE(TRIM(E944),"*",""),".",""),"-","")," ",""),4,6),SUBSTITUTE(SUBSTITUTE(SUBSTITUTE(SUBSTITUTE(TRIM(E944),"*",""),".",""),"-","")," ","")))</f>
        <v/>
      </c>
      <c r="H944" s="31" t="str">
        <f aca="false">IF(OR(F944="",G944=""),"",F944&amp;"|"&amp;G944)</f>
        <v/>
      </c>
      <c r="I944" s="23"/>
      <c r="J944" s="22"/>
      <c r="K944" s="22"/>
      <c r="L944" s="25" t="str">
        <f aca="false">IF(F944="","",IF(AND(H944&lt;&gt;"",COUNTIF(Pessoas!$E:$E,H944)&gt;0),"SIM",IF(COUNTIF(Pessoas!$C:$C,F944)&gt;0,"nome igual em Pessoas: confira o CPF","")))</f>
        <v/>
      </c>
      <c r="M944" s="24"/>
      <c r="N944" s="11"/>
    </row>
    <row r="945" customFormat="false" ht="15" hidden="false" customHeight="false" outlineLevel="0" collapsed="false">
      <c r="A945" s="24"/>
      <c r="B945" s="31" t="str">
        <f aca="false">IF(A945="","",IF(LEN(UPPER(SUBSTITUTE(SUBSTITUTE(SUBSTITUTE(SUBSTITUTE(TRIM(A945),".",""),"/",""),"-","")," ","")))&lt;14,RIGHT(REPT("0",14)&amp;UPPER(SUBSTITUTE(SUBSTITUTE(SUBSTITUTE(SUBSTITUTE(TRIM(A945),".",""),"/",""),"-","")," ","")),14),UPPER(SUBSTITUTE(SUBSTITUTE(SUBSTITUTE(SUBSTITUTE(TRIM(A945),".",""),"/",""),"-","")," ",""))))</f>
        <v/>
      </c>
      <c r="C945" s="25" t="str">
        <f aca="false">IF(B945="","",IFERROR(INDEX(Empresas!$C:$C,MATCH(B945,Empresas!$B:$B,0)),"cadastre o CNPJ em Empresas"))</f>
        <v/>
      </c>
      <c r="D945" s="23"/>
      <c r="E945" s="24"/>
      <c r="F945" s="31" t="str">
        <f aca="false">IF(D945="","",SUBSTITUTE(SUBSTITUTE(SUBSTITUTE(SUBSTITUTE(SUBSTITUTE(SUBSTITUTE(SUBSTITUTE(SUBSTITUTE(SUBSTITUTE(SUBSTITUTE(SUBSTITUTE(SUBSTITUTE(SUBSTITUTE(UPPER(TRIM(D945)),"Á","A"),"À","A"),"Â","A"),"Ã","A"),"É","E"),"Ê","E"),"Í","I"),"Ó","O"),"Ô","O"),"Õ","O"),"Ú","U"),"Ü","U"),"Ç","C"))</f>
        <v/>
      </c>
      <c r="G945" s="31" t="str">
        <f aca="false">IF(E945="","",IF(LEN(SUBSTITUTE(SUBSTITUTE(SUBSTITUTE(SUBSTITUTE(TRIM(E945),"*",""),".",""),"-","")," ",""))=11,MID(SUBSTITUTE(SUBSTITUTE(SUBSTITUTE(SUBSTITUTE(TRIM(E945),"*",""),".",""),"-","")," ",""),4,6),SUBSTITUTE(SUBSTITUTE(SUBSTITUTE(SUBSTITUTE(TRIM(E945),"*",""),".",""),"-","")," ","")))</f>
        <v/>
      </c>
      <c r="H945" s="31" t="str">
        <f aca="false">IF(OR(F945="",G945=""),"",F945&amp;"|"&amp;G945)</f>
        <v/>
      </c>
      <c r="I945" s="23"/>
      <c r="J945" s="22"/>
      <c r="K945" s="22"/>
      <c r="L945" s="25" t="str">
        <f aca="false">IF(F945="","",IF(AND(H945&lt;&gt;"",COUNTIF(Pessoas!$E:$E,H945)&gt;0),"SIM",IF(COUNTIF(Pessoas!$C:$C,F945)&gt;0,"nome igual em Pessoas: confira o CPF","")))</f>
        <v/>
      </c>
      <c r="M945" s="24"/>
      <c r="N945" s="11"/>
    </row>
    <row r="946" customFormat="false" ht="15" hidden="false" customHeight="false" outlineLevel="0" collapsed="false">
      <c r="A946" s="24"/>
      <c r="B946" s="31" t="str">
        <f aca="false">IF(A946="","",IF(LEN(UPPER(SUBSTITUTE(SUBSTITUTE(SUBSTITUTE(SUBSTITUTE(TRIM(A946),".",""),"/",""),"-","")," ","")))&lt;14,RIGHT(REPT("0",14)&amp;UPPER(SUBSTITUTE(SUBSTITUTE(SUBSTITUTE(SUBSTITUTE(TRIM(A946),".",""),"/",""),"-","")," ","")),14),UPPER(SUBSTITUTE(SUBSTITUTE(SUBSTITUTE(SUBSTITUTE(TRIM(A946),".",""),"/",""),"-","")," ",""))))</f>
        <v/>
      </c>
      <c r="C946" s="25" t="str">
        <f aca="false">IF(B946="","",IFERROR(INDEX(Empresas!$C:$C,MATCH(B946,Empresas!$B:$B,0)),"cadastre o CNPJ em Empresas"))</f>
        <v/>
      </c>
      <c r="D946" s="23"/>
      <c r="E946" s="24"/>
      <c r="F946" s="31" t="str">
        <f aca="false">IF(D946="","",SUBSTITUTE(SUBSTITUTE(SUBSTITUTE(SUBSTITUTE(SUBSTITUTE(SUBSTITUTE(SUBSTITUTE(SUBSTITUTE(SUBSTITUTE(SUBSTITUTE(SUBSTITUTE(SUBSTITUTE(SUBSTITUTE(UPPER(TRIM(D946)),"Á","A"),"À","A"),"Â","A"),"Ã","A"),"É","E"),"Ê","E"),"Í","I"),"Ó","O"),"Ô","O"),"Õ","O"),"Ú","U"),"Ü","U"),"Ç","C"))</f>
        <v/>
      </c>
      <c r="G946" s="31" t="str">
        <f aca="false">IF(E946="","",IF(LEN(SUBSTITUTE(SUBSTITUTE(SUBSTITUTE(SUBSTITUTE(TRIM(E946),"*",""),".",""),"-","")," ",""))=11,MID(SUBSTITUTE(SUBSTITUTE(SUBSTITUTE(SUBSTITUTE(TRIM(E946),"*",""),".",""),"-","")," ",""),4,6),SUBSTITUTE(SUBSTITUTE(SUBSTITUTE(SUBSTITUTE(TRIM(E946),"*",""),".",""),"-","")," ","")))</f>
        <v/>
      </c>
      <c r="H946" s="31" t="str">
        <f aca="false">IF(OR(F946="",G946=""),"",F946&amp;"|"&amp;G946)</f>
        <v/>
      </c>
      <c r="I946" s="23"/>
      <c r="J946" s="22"/>
      <c r="K946" s="22"/>
      <c r="L946" s="25" t="str">
        <f aca="false">IF(F946="","",IF(AND(H946&lt;&gt;"",COUNTIF(Pessoas!$E:$E,H946)&gt;0),"SIM",IF(COUNTIF(Pessoas!$C:$C,F946)&gt;0,"nome igual em Pessoas: confira o CPF","")))</f>
        <v/>
      </c>
      <c r="M946" s="24"/>
      <c r="N946" s="11"/>
    </row>
    <row r="947" customFormat="false" ht="15" hidden="false" customHeight="false" outlineLevel="0" collapsed="false">
      <c r="A947" s="24"/>
      <c r="B947" s="31" t="str">
        <f aca="false">IF(A947="","",IF(LEN(UPPER(SUBSTITUTE(SUBSTITUTE(SUBSTITUTE(SUBSTITUTE(TRIM(A947),".",""),"/",""),"-","")," ","")))&lt;14,RIGHT(REPT("0",14)&amp;UPPER(SUBSTITUTE(SUBSTITUTE(SUBSTITUTE(SUBSTITUTE(TRIM(A947),".",""),"/",""),"-","")," ","")),14),UPPER(SUBSTITUTE(SUBSTITUTE(SUBSTITUTE(SUBSTITUTE(TRIM(A947),".",""),"/",""),"-","")," ",""))))</f>
        <v/>
      </c>
      <c r="C947" s="25" t="str">
        <f aca="false">IF(B947="","",IFERROR(INDEX(Empresas!$C:$C,MATCH(B947,Empresas!$B:$B,0)),"cadastre o CNPJ em Empresas"))</f>
        <v/>
      </c>
      <c r="D947" s="23"/>
      <c r="E947" s="24"/>
      <c r="F947" s="31" t="str">
        <f aca="false">IF(D947="","",SUBSTITUTE(SUBSTITUTE(SUBSTITUTE(SUBSTITUTE(SUBSTITUTE(SUBSTITUTE(SUBSTITUTE(SUBSTITUTE(SUBSTITUTE(SUBSTITUTE(SUBSTITUTE(SUBSTITUTE(SUBSTITUTE(UPPER(TRIM(D947)),"Á","A"),"À","A"),"Â","A"),"Ã","A"),"É","E"),"Ê","E"),"Í","I"),"Ó","O"),"Ô","O"),"Õ","O"),"Ú","U"),"Ü","U"),"Ç","C"))</f>
        <v/>
      </c>
      <c r="G947" s="31" t="str">
        <f aca="false">IF(E947="","",IF(LEN(SUBSTITUTE(SUBSTITUTE(SUBSTITUTE(SUBSTITUTE(TRIM(E947),"*",""),".",""),"-","")," ",""))=11,MID(SUBSTITUTE(SUBSTITUTE(SUBSTITUTE(SUBSTITUTE(TRIM(E947),"*",""),".",""),"-","")," ",""),4,6),SUBSTITUTE(SUBSTITUTE(SUBSTITUTE(SUBSTITUTE(TRIM(E947),"*",""),".",""),"-","")," ","")))</f>
        <v/>
      </c>
      <c r="H947" s="31" t="str">
        <f aca="false">IF(OR(F947="",G947=""),"",F947&amp;"|"&amp;G947)</f>
        <v/>
      </c>
      <c r="I947" s="23"/>
      <c r="J947" s="22"/>
      <c r="K947" s="22"/>
      <c r="L947" s="25" t="str">
        <f aca="false">IF(F947="","",IF(AND(H947&lt;&gt;"",COUNTIF(Pessoas!$E:$E,H947)&gt;0),"SIM",IF(COUNTIF(Pessoas!$C:$C,F947)&gt;0,"nome igual em Pessoas: confira o CPF","")))</f>
        <v/>
      </c>
      <c r="M947" s="24"/>
      <c r="N947" s="11"/>
    </row>
    <row r="948" customFormat="false" ht="15" hidden="false" customHeight="false" outlineLevel="0" collapsed="false">
      <c r="A948" s="24"/>
      <c r="B948" s="31" t="str">
        <f aca="false">IF(A948="","",IF(LEN(UPPER(SUBSTITUTE(SUBSTITUTE(SUBSTITUTE(SUBSTITUTE(TRIM(A948),".",""),"/",""),"-","")," ","")))&lt;14,RIGHT(REPT("0",14)&amp;UPPER(SUBSTITUTE(SUBSTITUTE(SUBSTITUTE(SUBSTITUTE(TRIM(A948),".",""),"/",""),"-","")," ","")),14),UPPER(SUBSTITUTE(SUBSTITUTE(SUBSTITUTE(SUBSTITUTE(TRIM(A948),".",""),"/",""),"-","")," ",""))))</f>
        <v/>
      </c>
      <c r="C948" s="25" t="str">
        <f aca="false">IF(B948="","",IFERROR(INDEX(Empresas!$C:$C,MATCH(B948,Empresas!$B:$B,0)),"cadastre o CNPJ em Empresas"))</f>
        <v/>
      </c>
      <c r="D948" s="23"/>
      <c r="E948" s="24"/>
      <c r="F948" s="31" t="str">
        <f aca="false">IF(D948="","",SUBSTITUTE(SUBSTITUTE(SUBSTITUTE(SUBSTITUTE(SUBSTITUTE(SUBSTITUTE(SUBSTITUTE(SUBSTITUTE(SUBSTITUTE(SUBSTITUTE(SUBSTITUTE(SUBSTITUTE(SUBSTITUTE(UPPER(TRIM(D948)),"Á","A"),"À","A"),"Â","A"),"Ã","A"),"É","E"),"Ê","E"),"Í","I"),"Ó","O"),"Ô","O"),"Õ","O"),"Ú","U"),"Ü","U"),"Ç","C"))</f>
        <v/>
      </c>
      <c r="G948" s="31" t="str">
        <f aca="false">IF(E948="","",IF(LEN(SUBSTITUTE(SUBSTITUTE(SUBSTITUTE(SUBSTITUTE(TRIM(E948),"*",""),".",""),"-","")," ",""))=11,MID(SUBSTITUTE(SUBSTITUTE(SUBSTITUTE(SUBSTITUTE(TRIM(E948),"*",""),".",""),"-","")," ",""),4,6),SUBSTITUTE(SUBSTITUTE(SUBSTITUTE(SUBSTITUTE(TRIM(E948),"*",""),".",""),"-","")," ","")))</f>
        <v/>
      </c>
      <c r="H948" s="31" t="str">
        <f aca="false">IF(OR(F948="",G948=""),"",F948&amp;"|"&amp;G948)</f>
        <v/>
      </c>
      <c r="I948" s="23"/>
      <c r="J948" s="22"/>
      <c r="K948" s="22"/>
      <c r="L948" s="25" t="str">
        <f aca="false">IF(F948="","",IF(AND(H948&lt;&gt;"",COUNTIF(Pessoas!$E:$E,H948)&gt;0),"SIM",IF(COUNTIF(Pessoas!$C:$C,F948)&gt;0,"nome igual em Pessoas: confira o CPF","")))</f>
        <v/>
      </c>
      <c r="M948" s="24"/>
      <c r="N948" s="11"/>
    </row>
    <row r="949" customFormat="false" ht="15" hidden="false" customHeight="false" outlineLevel="0" collapsed="false">
      <c r="A949" s="24"/>
      <c r="B949" s="31" t="str">
        <f aca="false">IF(A949="","",IF(LEN(UPPER(SUBSTITUTE(SUBSTITUTE(SUBSTITUTE(SUBSTITUTE(TRIM(A949),".",""),"/",""),"-","")," ","")))&lt;14,RIGHT(REPT("0",14)&amp;UPPER(SUBSTITUTE(SUBSTITUTE(SUBSTITUTE(SUBSTITUTE(TRIM(A949),".",""),"/",""),"-","")," ","")),14),UPPER(SUBSTITUTE(SUBSTITUTE(SUBSTITUTE(SUBSTITUTE(TRIM(A949),".",""),"/",""),"-","")," ",""))))</f>
        <v/>
      </c>
      <c r="C949" s="25" t="str">
        <f aca="false">IF(B949="","",IFERROR(INDEX(Empresas!$C:$C,MATCH(B949,Empresas!$B:$B,0)),"cadastre o CNPJ em Empresas"))</f>
        <v/>
      </c>
      <c r="D949" s="23"/>
      <c r="E949" s="24"/>
      <c r="F949" s="31" t="str">
        <f aca="false">IF(D949="","",SUBSTITUTE(SUBSTITUTE(SUBSTITUTE(SUBSTITUTE(SUBSTITUTE(SUBSTITUTE(SUBSTITUTE(SUBSTITUTE(SUBSTITUTE(SUBSTITUTE(SUBSTITUTE(SUBSTITUTE(SUBSTITUTE(UPPER(TRIM(D949)),"Á","A"),"À","A"),"Â","A"),"Ã","A"),"É","E"),"Ê","E"),"Í","I"),"Ó","O"),"Ô","O"),"Õ","O"),"Ú","U"),"Ü","U"),"Ç","C"))</f>
        <v/>
      </c>
      <c r="G949" s="31" t="str">
        <f aca="false">IF(E949="","",IF(LEN(SUBSTITUTE(SUBSTITUTE(SUBSTITUTE(SUBSTITUTE(TRIM(E949),"*",""),".",""),"-","")," ",""))=11,MID(SUBSTITUTE(SUBSTITUTE(SUBSTITUTE(SUBSTITUTE(TRIM(E949),"*",""),".",""),"-","")," ",""),4,6),SUBSTITUTE(SUBSTITUTE(SUBSTITUTE(SUBSTITUTE(TRIM(E949),"*",""),".",""),"-","")," ","")))</f>
        <v/>
      </c>
      <c r="H949" s="31" t="str">
        <f aca="false">IF(OR(F949="",G949=""),"",F949&amp;"|"&amp;G949)</f>
        <v/>
      </c>
      <c r="I949" s="23"/>
      <c r="J949" s="22"/>
      <c r="K949" s="22"/>
      <c r="L949" s="25" t="str">
        <f aca="false">IF(F949="","",IF(AND(H949&lt;&gt;"",COUNTIF(Pessoas!$E:$E,H949)&gt;0),"SIM",IF(COUNTIF(Pessoas!$C:$C,F949)&gt;0,"nome igual em Pessoas: confira o CPF","")))</f>
        <v/>
      </c>
      <c r="M949" s="24"/>
      <c r="N949" s="11"/>
    </row>
    <row r="950" customFormat="false" ht="15" hidden="false" customHeight="false" outlineLevel="0" collapsed="false">
      <c r="A950" s="24"/>
      <c r="B950" s="31" t="str">
        <f aca="false">IF(A950="","",IF(LEN(UPPER(SUBSTITUTE(SUBSTITUTE(SUBSTITUTE(SUBSTITUTE(TRIM(A950),".",""),"/",""),"-","")," ","")))&lt;14,RIGHT(REPT("0",14)&amp;UPPER(SUBSTITUTE(SUBSTITUTE(SUBSTITUTE(SUBSTITUTE(TRIM(A950),".",""),"/",""),"-","")," ","")),14),UPPER(SUBSTITUTE(SUBSTITUTE(SUBSTITUTE(SUBSTITUTE(TRIM(A950),".",""),"/",""),"-","")," ",""))))</f>
        <v/>
      </c>
      <c r="C950" s="25" t="str">
        <f aca="false">IF(B950="","",IFERROR(INDEX(Empresas!$C:$C,MATCH(B950,Empresas!$B:$B,0)),"cadastre o CNPJ em Empresas"))</f>
        <v/>
      </c>
      <c r="D950" s="23"/>
      <c r="E950" s="24"/>
      <c r="F950" s="31" t="str">
        <f aca="false">IF(D950="","",SUBSTITUTE(SUBSTITUTE(SUBSTITUTE(SUBSTITUTE(SUBSTITUTE(SUBSTITUTE(SUBSTITUTE(SUBSTITUTE(SUBSTITUTE(SUBSTITUTE(SUBSTITUTE(SUBSTITUTE(SUBSTITUTE(UPPER(TRIM(D950)),"Á","A"),"À","A"),"Â","A"),"Ã","A"),"É","E"),"Ê","E"),"Í","I"),"Ó","O"),"Ô","O"),"Õ","O"),"Ú","U"),"Ü","U"),"Ç","C"))</f>
        <v/>
      </c>
      <c r="G950" s="31" t="str">
        <f aca="false">IF(E950="","",IF(LEN(SUBSTITUTE(SUBSTITUTE(SUBSTITUTE(SUBSTITUTE(TRIM(E950),"*",""),".",""),"-","")," ",""))=11,MID(SUBSTITUTE(SUBSTITUTE(SUBSTITUTE(SUBSTITUTE(TRIM(E950),"*",""),".",""),"-","")," ",""),4,6),SUBSTITUTE(SUBSTITUTE(SUBSTITUTE(SUBSTITUTE(TRIM(E950),"*",""),".",""),"-","")," ","")))</f>
        <v/>
      </c>
      <c r="H950" s="31" t="str">
        <f aca="false">IF(OR(F950="",G950=""),"",F950&amp;"|"&amp;G950)</f>
        <v/>
      </c>
      <c r="I950" s="23"/>
      <c r="J950" s="22"/>
      <c r="K950" s="22"/>
      <c r="L950" s="25" t="str">
        <f aca="false">IF(F950="","",IF(AND(H950&lt;&gt;"",COUNTIF(Pessoas!$E:$E,H950)&gt;0),"SIM",IF(COUNTIF(Pessoas!$C:$C,F950)&gt;0,"nome igual em Pessoas: confira o CPF","")))</f>
        <v/>
      </c>
      <c r="M950" s="24"/>
      <c r="N950" s="11"/>
    </row>
    <row r="951" customFormat="false" ht="15" hidden="false" customHeight="false" outlineLevel="0" collapsed="false">
      <c r="A951" s="24"/>
      <c r="B951" s="31" t="str">
        <f aca="false">IF(A951="","",IF(LEN(UPPER(SUBSTITUTE(SUBSTITUTE(SUBSTITUTE(SUBSTITUTE(TRIM(A951),".",""),"/",""),"-","")," ","")))&lt;14,RIGHT(REPT("0",14)&amp;UPPER(SUBSTITUTE(SUBSTITUTE(SUBSTITUTE(SUBSTITUTE(TRIM(A951),".",""),"/",""),"-","")," ","")),14),UPPER(SUBSTITUTE(SUBSTITUTE(SUBSTITUTE(SUBSTITUTE(TRIM(A951),".",""),"/",""),"-","")," ",""))))</f>
        <v/>
      </c>
      <c r="C951" s="25" t="str">
        <f aca="false">IF(B951="","",IFERROR(INDEX(Empresas!$C:$C,MATCH(B951,Empresas!$B:$B,0)),"cadastre o CNPJ em Empresas"))</f>
        <v/>
      </c>
      <c r="D951" s="23"/>
      <c r="E951" s="24"/>
      <c r="F951" s="31" t="str">
        <f aca="false">IF(D951="","",SUBSTITUTE(SUBSTITUTE(SUBSTITUTE(SUBSTITUTE(SUBSTITUTE(SUBSTITUTE(SUBSTITUTE(SUBSTITUTE(SUBSTITUTE(SUBSTITUTE(SUBSTITUTE(SUBSTITUTE(SUBSTITUTE(UPPER(TRIM(D951)),"Á","A"),"À","A"),"Â","A"),"Ã","A"),"É","E"),"Ê","E"),"Í","I"),"Ó","O"),"Ô","O"),"Õ","O"),"Ú","U"),"Ü","U"),"Ç","C"))</f>
        <v/>
      </c>
      <c r="G951" s="31" t="str">
        <f aca="false">IF(E951="","",IF(LEN(SUBSTITUTE(SUBSTITUTE(SUBSTITUTE(SUBSTITUTE(TRIM(E951),"*",""),".",""),"-","")," ",""))=11,MID(SUBSTITUTE(SUBSTITUTE(SUBSTITUTE(SUBSTITUTE(TRIM(E951),"*",""),".",""),"-","")," ",""),4,6),SUBSTITUTE(SUBSTITUTE(SUBSTITUTE(SUBSTITUTE(TRIM(E951),"*",""),".",""),"-","")," ","")))</f>
        <v/>
      </c>
      <c r="H951" s="31" t="str">
        <f aca="false">IF(OR(F951="",G951=""),"",F951&amp;"|"&amp;G951)</f>
        <v/>
      </c>
      <c r="I951" s="23"/>
      <c r="J951" s="22"/>
      <c r="K951" s="22"/>
      <c r="L951" s="25" t="str">
        <f aca="false">IF(F951="","",IF(AND(H951&lt;&gt;"",COUNTIF(Pessoas!$E:$E,H951)&gt;0),"SIM",IF(COUNTIF(Pessoas!$C:$C,F951)&gt;0,"nome igual em Pessoas: confira o CPF","")))</f>
        <v/>
      </c>
      <c r="M951" s="24"/>
      <c r="N951" s="11"/>
    </row>
    <row r="952" customFormat="false" ht="15" hidden="false" customHeight="false" outlineLevel="0" collapsed="false">
      <c r="A952" s="24"/>
      <c r="B952" s="31" t="str">
        <f aca="false">IF(A952="","",IF(LEN(UPPER(SUBSTITUTE(SUBSTITUTE(SUBSTITUTE(SUBSTITUTE(TRIM(A952),".",""),"/",""),"-","")," ","")))&lt;14,RIGHT(REPT("0",14)&amp;UPPER(SUBSTITUTE(SUBSTITUTE(SUBSTITUTE(SUBSTITUTE(TRIM(A952),".",""),"/",""),"-","")," ","")),14),UPPER(SUBSTITUTE(SUBSTITUTE(SUBSTITUTE(SUBSTITUTE(TRIM(A952),".",""),"/",""),"-","")," ",""))))</f>
        <v/>
      </c>
      <c r="C952" s="25" t="str">
        <f aca="false">IF(B952="","",IFERROR(INDEX(Empresas!$C:$C,MATCH(B952,Empresas!$B:$B,0)),"cadastre o CNPJ em Empresas"))</f>
        <v/>
      </c>
      <c r="D952" s="23"/>
      <c r="E952" s="24"/>
      <c r="F952" s="31" t="str">
        <f aca="false">IF(D952="","",SUBSTITUTE(SUBSTITUTE(SUBSTITUTE(SUBSTITUTE(SUBSTITUTE(SUBSTITUTE(SUBSTITUTE(SUBSTITUTE(SUBSTITUTE(SUBSTITUTE(SUBSTITUTE(SUBSTITUTE(SUBSTITUTE(UPPER(TRIM(D952)),"Á","A"),"À","A"),"Â","A"),"Ã","A"),"É","E"),"Ê","E"),"Í","I"),"Ó","O"),"Ô","O"),"Õ","O"),"Ú","U"),"Ü","U"),"Ç","C"))</f>
        <v/>
      </c>
      <c r="G952" s="31" t="str">
        <f aca="false">IF(E952="","",IF(LEN(SUBSTITUTE(SUBSTITUTE(SUBSTITUTE(SUBSTITUTE(TRIM(E952),"*",""),".",""),"-","")," ",""))=11,MID(SUBSTITUTE(SUBSTITUTE(SUBSTITUTE(SUBSTITUTE(TRIM(E952),"*",""),".",""),"-","")," ",""),4,6),SUBSTITUTE(SUBSTITUTE(SUBSTITUTE(SUBSTITUTE(TRIM(E952),"*",""),".",""),"-","")," ","")))</f>
        <v/>
      </c>
      <c r="H952" s="31" t="str">
        <f aca="false">IF(OR(F952="",G952=""),"",F952&amp;"|"&amp;G952)</f>
        <v/>
      </c>
      <c r="I952" s="23"/>
      <c r="J952" s="22"/>
      <c r="K952" s="22"/>
      <c r="L952" s="25" t="str">
        <f aca="false">IF(F952="","",IF(AND(H952&lt;&gt;"",COUNTIF(Pessoas!$E:$E,H952)&gt;0),"SIM",IF(COUNTIF(Pessoas!$C:$C,F952)&gt;0,"nome igual em Pessoas: confira o CPF","")))</f>
        <v/>
      </c>
      <c r="M952" s="24"/>
      <c r="N952" s="11"/>
    </row>
    <row r="953" customFormat="false" ht="15" hidden="false" customHeight="false" outlineLevel="0" collapsed="false">
      <c r="A953" s="24"/>
      <c r="B953" s="31" t="str">
        <f aca="false">IF(A953="","",IF(LEN(UPPER(SUBSTITUTE(SUBSTITUTE(SUBSTITUTE(SUBSTITUTE(TRIM(A953),".",""),"/",""),"-","")," ","")))&lt;14,RIGHT(REPT("0",14)&amp;UPPER(SUBSTITUTE(SUBSTITUTE(SUBSTITUTE(SUBSTITUTE(TRIM(A953),".",""),"/",""),"-","")," ","")),14),UPPER(SUBSTITUTE(SUBSTITUTE(SUBSTITUTE(SUBSTITUTE(TRIM(A953),".",""),"/",""),"-","")," ",""))))</f>
        <v/>
      </c>
      <c r="C953" s="25" t="str">
        <f aca="false">IF(B953="","",IFERROR(INDEX(Empresas!$C:$C,MATCH(B953,Empresas!$B:$B,0)),"cadastre o CNPJ em Empresas"))</f>
        <v/>
      </c>
      <c r="D953" s="23"/>
      <c r="E953" s="24"/>
      <c r="F953" s="31" t="str">
        <f aca="false">IF(D953="","",SUBSTITUTE(SUBSTITUTE(SUBSTITUTE(SUBSTITUTE(SUBSTITUTE(SUBSTITUTE(SUBSTITUTE(SUBSTITUTE(SUBSTITUTE(SUBSTITUTE(SUBSTITUTE(SUBSTITUTE(SUBSTITUTE(UPPER(TRIM(D953)),"Á","A"),"À","A"),"Â","A"),"Ã","A"),"É","E"),"Ê","E"),"Í","I"),"Ó","O"),"Ô","O"),"Õ","O"),"Ú","U"),"Ü","U"),"Ç","C"))</f>
        <v/>
      </c>
      <c r="G953" s="31" t="str">
        <f aca="false">IF(E953="","",IF(LEN(SUBSTITUTE(SUBSTITUTE(SUBSTITUTE(SUBSTITUTE(TRIM(E953),"*",""),".",""),"-","")," ",""))=11,MID(SUBSTITUTE(SUBSTITUTE(SUBSTITUTE(SUBSTITUTE(TRIM(E953),"*",""),".",""),"-","")," ",""),4,6),SUBSTITUTE(SUBSTITUTE(SUBSTITUTE(SUBSTITUTE(TRIM(E953),"*",""),".",""),"-","")," ","")))</f>
        <v/>
      </c>
      <c r="H953" s="31" t="str">
        <f aca="false">IF(OR(F953="",G953=""),"",F953&amp;"|"&amp;G953)</f>
        <v/>
      </c>
      <c r="I953" s="23"/>
      <c r="J953" s="22"/>
      <c r="K953" s="22"/>
      <c r="L953" s="25" t="str">
        <f aca="false">IF(F953="","",IF(AND(H953&lt;&gt;"",COUNTIF(Pessoas!$E:$E,H953)&gt;0),"SIM",IF(COUNTIF(Pessoas!$C:$C,F953)&gt;0,"nome igual em Pessoas: confira o CPF","")))</f>
        <v/>
      </c>
      <c r="M953" s="24"/>
      <c r="N953" s="11"/>
    </row>
    <row r="954" customFormat="false" ht="15" hidden="false" customHeight="false" outlineLevel="0" collapsed="false">
      <c r="A954" s="24"/>
      <c r="B954" s="31" t="str">
        <f aca="false">IF(A954="","",IF(LEN(UPPER(SUBSTITUTE(SUBSTITUTE(SUBSTITUTE(SUBSTITUTE(TRIM(A954),".",""),"/",""),"-","")," ","")))&lt;14,RIGHT(REPT("0",14)&amp;UPPER(SUBSTITUTE(SUBSTITUTE(SUBSTITUTE(SUBSTITUTE(TRIM(A954),".",""),"/",""),"-","")," ","")),14),UPPER(SUBSTITUTE(SUBSTITUTE(SUBSTITUTE(SUBSTITUTE(TRIM(A954),".",""),"/",""),"-","")," ",""))))</f>
        <v/>
      </c>
      <c r="C954" s="25" t="str">
        <f aca="false">IF(B954="","",IFERROR(INDEX(Empresas!$C:$C,MATCH(B954,Empresas!$B:$B,0)),"cadastre o CNPJ em Empresas"))</f>
        <v/>
      </c>
      <c r="D954" s="23"/>
      <c r="E954" s="24"/>
      <c r="F954" s="31" t="str">
        <f aca="false">IF(D954="","",SUBSTITUTE(SUBSTITUTE(SUBSTITUTE(SUBSTITUTE(SUBSTITUTE(SUBSTITUTE(SUBSTITUTE(SUBSTITUTE(SUBSTITUTE(SUBSTITUTE(SUBSTITUTE(SUBSTITUTE(SUBSTITUTE(UPPER(TRIM(D954)),"Á","A"),"À","A"),"Â","A"),"Ã","A"),"É","E"),"Ê","E"),"Í","I"),"Ó","O"),"Ô","O"),"Õ","O"),"Ú","U"),"Ü","U"),"Ç","C"))</f>
        <v/>
      </c>
      <c r="G954" s="31" t="str">
        <f aca="false">IF(E954="","",IF(LEN(SUBSTITUTE(SUBSTITUTE(SUBSTITUTE(SUBSTITUTE(TRIM(E954),"*",""),".",""),"-","")," ",""))=11,MID(SUBSTITUTE(SUBSTITUTE(SUBSTITUTE(SUBSTITUTE(TRIM(E954),"*",""),".",""),"-","")," ",""),4,6),SUBSTITUTE(SUBSTITUTE(SUBSTITUTE(SUBSTITUTE(TRIM(E954),"*",""),".",""),"-","")," ","")))</f>
        <v/>
      </c>
      <c r="H954" s="31" t="str">
        <f aca="false">IF(OR(F954="",G954=""),"",F954&amp;"|"&amp;G954)</f>
        <v/>
      </c>
      <c r="I954" s="23"/>
      <c r="J954" s="22"/>
      <c r="K954" s="22"/>
      <c r="L954" s="25" t="str">
        <f aca="false">IF(F954="","",IF(AND(H954&lt;&gt;"",COUNTIF(Pessoas!$E:$E,H954)&gt;0),"SIM",IF(COUNTIF(Pessoas!$C:$C,F954)&gt;0,"nome igual em Pessoas: confira o CPF","")))</f>
        <v/>
      </c>
      <c r="M954" s="24"/>
      <c r="N954" s="11"/>
    </row>
    <row r="955" customFormat="false" ht="15" hidden="false" customHeight="false" outlineLevel="0" collapsed="false">
      <c r="A955" s="24"/>
      <c r="B955" s="31" t="str">
        <f aca="false">IF(A955="","",IF(LEN(UPPER(SUBSTITUTE(SUBSTITUTE(SUBSTITUTE(SUBSTITUTE(TRIM(A955),".",""),"/",""),"-","")," ","")))&lt;14,RIGHT(REPT("0",14)&amp;UPPER(SUBSTITUTE(SUBSTITUTE(SUBSTITUTE(SUBSTITUTE(TRIM(A955),".",""),"/",""),"-","")," ","")),14),UPPER(SUBSTITUTE(SUBSTITUTE(SUBSTITUTE(SUBSTITUTE(TRIM(A955),".",""),"/",""),"-","")," ",""))))</f>
        <v/>
      </c>
      <c r="C955" s="25" t="str">
        <f aca="false">IF(B955="","",IFERROR(INDEX(Empresas!$C:$C,MATCH(B955,Empresas!$B:$B,0)),"cadastre o CNPJ em Empresas"))</f>
        <v/>
      </c>
      <c r="D955" s="23"/>
      <c r="E955" s="24"/>
      <c r="F955" s="31" t="str">
        <f aca="false">IF(D955="","",SUBSTITUTE(SUBSTITUTE(SUBSTITUTE(SUBSTITUTE(SUBSTITUTE(SUBSTITUTE(SUBSTITUTE(SUBSTITUTE(SUBSTITUTE(SUBSTITUTE(SUBSTITUTE(SUBSTITUTE(SUBSTITUTE(UPPER(TRIM(D955)),"Á","A"),"À","A"),"Â","A"),"Ã","A"),"É","E"),"Ê","E"),"Í","I"),"Ó","O"),"Ô","O"),"Õ","O"),"Ú","U"),"Ü","U"),"Ç","C"))</f>
        <v/>
      </c>
      <c r="G955" s="31" t="str">
        <f aca="false">IF(E955="","",IF(LEN(SUBSTITUTE(SUBSTITUTE(SUBSTITUTE(SUBSTITUTE(TRIM(E955),"*",""),".",""),"-","")," ",""))=11,MID(SUBSTITUTE(SUBSTITUTE(SUBSTITUTE(SUBSTITUTE(TRIM(E955),"*",""),".",""),"-","")," ",""),4,6),SUBSTITUTE(SUBSTITUTE(SUBSTITUTE(SUBSTITUTE(TRIM(E955),"*",""),".",""),"-","")," ","")))</f>
        <v/>
      </c>
      <c r="H955" s="31" t="str">
        <f aca="false">IF(OR(F955="",G955=""),"",F955&amp;"|"&amp;G955)</f>
        <v/>
      </c>
      <c r="I955" s="23"/>
      <c r="J955" s="22"/>
      <c r="K955" s="22"/>
      <c r="L955" s="25" t="str">
        <f aca="false">IF(F955="","",IF(AND(H955&lt;&gt;"",COUNTIF(Pessoas!$E:$E,H955)&gt;0),"SIM",IF(COUNTIF(Pessoas!$C:$C,F955)&gt;0,"nome igual em Pessoas: confira o CPF","")))</f>
        <v/>
      </c>
      <c r="M955" s="24"/>
      <c r="N955" s="11"/>
    </row>
    <row r="956" customFormat="false" ht="15" hidden="false" customHeight="false" outlineLevel="0" collapsed="false">
      <c r="A956" s="24"/>
      <c r="B956" s="31" t="str">
        <f aca="false">IF(A956="","",IF(LEN(UPPER(SUBSTITUTE(SUBSTITUTE(SUBSTITUTE(SUBSTITUTE(TRIM(A956),".",""),"/",""),"-","")," ","")))&lt;14,RIGHT(REPT("0",14)&amp;UPPER(SUBSTITUTE(SUBSTITUTE(SUBSTITUTE(SUBSTITUTE(TRIM(A956),".",""),"/",""),"-","")," ","")),14),UPPER(SUBSTITUTE(SUBSTITUTE(SUBSTITUTE(SUBSTITUTE(TRIM(A956),".",""),"/",""),"-","")," ",""))))</f>
        <v/>
      </c>
      <c r="C956" s="25" t="str">
        <f aca="false">IF(B956="","",IFERROR(INDEX(Empresas!$C:$C,MATCH(B956,Empresas!$B:$B,0)),"cadastre o CNPJ em Empresas"))</f>
        <v/>
      </c>
      <c r="D956" s="23"/>
      <c r="E956" s="24"/>
      <c r="F956" s="31" t="str">
        <f aca="false">IF(D956="","",SUBSTITUTE(SUBSTITUTE(SUBSTITUTE(SUBSTITUTE(SUBSTITUTE(SUBSTITUTE(SUBSTITUTE(SUBSTITUTE(SUBSTITUTE(SUBSTITUTE(SUBSTITUTE(SUBSTITUTE(SUBSTITUTE(UPPER(TRIM(D956)),"Á","A"),"À","A"),"Â","A"),"Ã","A"),"É","E"),"Ê","E"),"Í","I"),"Ó","O"),"Ô","O"),"Õ","O"),"Ú","U"),"Ü","U"),"Ç","C"))</f>
        <v/>
      </c>
      <c r="G956" s="31" t="str">
        <f aca="false">IF(E956="","",IF(LEN(SUBSTITUTE(SUBSTITUTE(SUBSTITUTE(SUBSTITUTE(TRIM(E956),"*",""),".",""),"-","")," ",""))=11,MID(SUBSTITUTE(SUBSTITUTE(SUBSTITUTE(SUBSTITUTE(TRIM(E956),"*",""),".",""),"-","")," ",""),4,6),SUBSTITUTE(SUBSTITUTE(SUBSTITUTE(SUBSTITUTE(TRIM(E956),"*",""),".",""),"-","")," ","")))</f>
        <v/>
      </c>
      <c r="H956" s="31" t="str">
        <f aca="false">IF(OR(F956="",G956=""),"",F956&amp;"|"&amp;G956)</f>
        <v/>
      </c>
      <c r="I956" s="23"/>
      <c r="J956" s="22"/>
      <c r="K956" s="22"/>
      <c r="L956" s="25" t="str">
        <f aca="false">IF(F956="","",IF(AND(H956&lt;&gt;"",COUNTIF(Pessoas!$E:$E,H956)&gt;0),"SIM",IF(COUNTIF(Pessoas!$C:$C,F956)&gt;0,"nome igual em Pessoas: confira o CPF","")))</f>
        <v/>
      </c>
      <c r="M956" s="24"/>
      <c r="N956" s="11"/>
    </row>
    <row r="957" customFormat="false" ht="15" hidden="false" customHeight="false" outlineLevel="0" collapsed="false">
      <c r="A957" s="24"/>
      <c r="B957" s="31" t="str">
        <f aca="false">IF(A957="","",IF(LEN(UPPER(SUBSTITUTE(SUBSTITUTE(SUBSTITUTE(SUBSTITUTE(TRIM(A957),".",""),"/",""),"-","")," ","")))&lt;14,RIGHT(REPT("0",14)&amp;UPPER(SUBSTITUTE(SUBSTITUTE(SUBSTITUTE(SUBSTITUTE(TRIM(A957),".",""),"/",""),"-","")," ","")),14),UPPER(SUBSTITUTE(SUBSTITUTE(SUBSTITUTE(SUBSTITUTE(TRIM(A957),".",""),"/",""),"-","")," ",""))))</f>
        <v/>
      </c>
      <c r="C957" s="25" t="str">
        <f aca="false">IF(B957="","",IFERROR(INDEX(Empresas!$C:$C,MATCH(B957,Empresas!$B:$B,0)),"cadastre o CNPJ em Empresas"))</f>
        <v/>
      </c>
      <c r="D957" s="23"/>
      <c r="E957" s="24"/>
      <c r="F957" s="31" t="str">
        <f aca="false">IF(D957="","",SUBSTITUTE(SUBSTITUTE(SUBSTITUTE(SUBSTITUTE(SUBSTITUTE(SUBSTITUTE(SUBSTITUTE(SUBSTITUTE(SUBSTITUTE(SUBSTITUTE(SUBSTITUTE(SUBSTITUTE(SUBSTITUTE(UPPER(TRIM(D957)),"Á","A"),"À","A"),"Â","A"),"Ã","A"),"É","E"),"Ê","E"),"Í","I"),"Ó","O"),"Ô","O"),"Õ","O"),"Ú","U"),"Ü","U"),"Ç","C"))</f>
        <v/>
      </c>
      <c r="G957" s="31" t="str">
        <f aca="false">IF(E957="","",IF(LEN(SUBSTITUTE(SUBSTITUTE(SUBSTITUTE(SUBSTITUTE(TRIM(E957),"*",""),".",""),"-","")," ",""))=11,MID(SUBSTITUTE(SUBSTITUTE(SUBSTITUTE(SUBSTITUTE(TRIM(E957),"*",""),".",""),"-","")," ",""),4,6),SUBSTITUTE(SUBSTITUTE(SUBSTITUTE(SUBSTITUTE(TRIM(E957),"*",""),".",""),"-","")," ","")))</f>
        <v/>
      </c>
      <c r="H957" s="31" t="str">
        <f aca="false">IF(OR(F957="",G957=""),"",F957&amp;"|"&amp;G957)</f>
        <v/>
      </c>
      <c r="I957" s="23"/>
      <c r="J957" s="22"/>
      <c r="K957" s="22"/>
      <c r="L957" s="25" t="str">
        <f aca="false">IF(F957="","",IF(AND(H957&lt;&gt;"",COUNTIF(Pessoas!$E:$E,H957)&gt;0),"SIM",IF(COUNTIF(Pessoas!$C:$C,F957)&gt;0,"nome igual em Pessoas: confira o CPF","")))</f>
        <v/>
      </c>
      <c r="M957" s="24"/>
      <c r="N957" s="11"/>
    </row>
    <row r="958" customFormat="false" ht="15" hidden="false" customHeight="false" outlineLevel="0" collapsed="false">
      <c r="A958" s="24"/>
      <c r="B958" s="31" t="str">
        <f aca="false">IF(A958="","",IF(LEN(UPPER(SUBSTITUTE(SUBSTITUTE(SUBSTITUTE(SUBSTITUTE(TRIM(A958),".",""),"/",""),"-","")," ","")))&lt;14,RIGHT(REPT("0",14)&amp;UPPER(SUBSTITUTE(SUBSTITUTE(SUBSTITUTE(SUBSTITUTE(TRIM(A958),".",""),"/",""),"-","")," ","")),14),UPPER(SUBSTITUTE(SUBSTITUTE(SUBSTITUTE(SUBSTITUTE(TRIM(A958),".",""),"/",""),"-","")," ",""))))</f>
        <v/>
      </c>
      <c r="C958" s="25" t="str">
        <f aca="false">IF(B958="","",IFERROR(INDEX(Empresas!$C:$C,MATCH(B958,Empresas!$B:$B,0)),"cadastre o CNPJ em Empresas"))</f>
        <v/>
      </c>
      <c r="D958" s="23"/>
      <c r="E958" s="24"/>
      <c r="F958" s="31" t="str">
        <f aca="false">IF(D958="","",SUBSTITUTE(SUBSTITUTE(SUBSTITUTE(SUBSTITUTE(SUBSTITUTE(SUBSTITUTE(SUBSTITUTE(SUBSTITUTE(SUBSTITUTE(SUBSTITUTE(SUBSTITUTE(SUBSTITUTE(SUBSTITUTE(UPPER(TRIM(D958)),"Á","A"),"À","A"),"Â","A"),"Ã","A"),"É","E"),"Ê","E"),"Í","I"),"Ó","O"),"Ô","O"),"Õ","O"),"Ú","U"),"Ü","U"),"Ç","C"))</f>
        <v/>
      </c>
      <c r="G958" s="31" t="str">
        <f aca="false">IF(E958="","",IF(LEN(SUBSTITUTE(SUBSTITUTE(SUBSTITUTE(SUBSTITUTE(TRIM(E958),"*",""),".",""),"-","")," ",""))=11,MID(SUBSTITUTE(SUBSTITUTE(SUBSTITUTE(SUBSTITUTE(TRIM(E958),"*",""),".",""),"-","")," ",""),4,6),SUBSTITUTE(SUBSTITUTE(SUBSTITUTE(SUBSTITUTE(TRIM(E958),"*",""),".",""),"-","")," ","")))</f>
        <v/>
      </c>
      <c r="H958" s="31" t="str">
        <f aca="false">IF(OR(F958="",G958=""),"",F958&amp;"|"&amp;G958)</f>
        <v/>
      </c>
      <c r="I958" s="23"/>
      <c r="J958" s="22"/>
      <c r="K958" s="22"/>
      <c r="L958" s="25" t="str">
        <f aca="false">IF(F958="","",IF(AND(H958&lt;&gt;"",COUNTIF(Pessoas!$E:$E,H958)&gt;0),"SIM",IF(COUNTIF(Pessoas!$C:$C,F958)&gt;0,"nome igual em Pessoas: confira o CPF","")))</f>
        <v/>
      </c>
      <c r="M958" s="24"/>
      <c r="N958" s="11"/>
    </row>
    <row r="959" customFormat="false" ht="15" hidden="false" customHeight="false" outlineLevel="0" collapsed="false">
      <c r="A959" s="24"/>
      <c r="B959" s="31" t="str">
        <f aca="false">IF(A959="","",IF(LEN(UPPER(SUBSTITUTE(SUBSTITUTE(SUBSTITUTE(SUBSTITUTE(TRIM(A959),".",""),"/",""),"-","")," ","")))&lt;14,RIGHT(REPT("0",14)&amp;UPPER(SUBSTITUTE(SUBSTITUTE(SUBSTITUTE(SUBSTITUTE(TRIM(A959),".",""),"/",""),"-","")," ","")),14),UPPER(SUBSTITUTE(SUBSTITUTE(SUBSTITUTE(SUBSTITUTE(TRIM(A959),".",""),"/",""),"-","")," ",""))))</f>
        <v/>
      </c>
      <c r="C959" s="25" t="str">
        <f aca="false">IF(B959="","",IFERROR(INDEX(Empresas!$C:$C,MATCH(B959,Empresas!$B:$B,0)),"cadastre o CNPJ em Empresas"))</f>
        <v/>
      </c>
      <c r="D959" s="23"/>
      <c r="E959" s="24"/>
      <c r="F959" s="31" t="str">
        <f aca="false">IF(D959="","",SUBSTITUTE(SUBSTITUTE(SUBSTITUTE(SUBSTITUTE(SUBSTITUTE(SUBSTITUTE(SUBSTITUTE(SUBSTITUTE(SUBSTITUTE(SUBSTITUTE(SUBSTITUTE(SUBSTITUTE(SUBSTITUTE(UPPER(TRIM(D959)),"Á","A"),"À","A"),"Â","A"),"Ã","A"),"É","E"),"Ê","E"),"Í","I"),"Ó","O"),"Ô","O"),"Õ","O"),"Ú","U"),"Ü","U"),"Ç","C"))</f>
        <v/>
      </c>
      <c r="G959" s="31" t="str">
        <f aca="false">IF(E959="","",IF(LEN(SUBSTITUTE(SUBSTITUTE(SUBSTITUTE(SUBSTITUTE(TRIM(E959),"*",""),".",""),"-","")," ",""))=11,MID(SUBSTITUTE(SUBSTITUTE(SUBSTITUTE(SUBSTITUTE(TRIM(E959),"*",""),".",""),"-","")," ",""),4,6),SUBSTITUTE(SUBSTITUTE(SUBSTITUTE(SUBSTITUTE(TRIM(E959),"*",""),".",""),"-","")," ","")))</f>
        <v/>
      </c>
      <c r="H959" s="31" t="str">
        <f aca="false">IF(OR(F959="",G959=""),"",F959&amp;"|"&amp;G959)</f>
        <v/>
      </c>
      <c r="I959" s="23"/>
      <c r="J959" s="22"/>
      <c r="K959" s="22"/>
      <c r="L959" s="25" t="str">
        <f aca="false">IF(F959="","",IF(AND(H959&lt;&gt;"",COUNTIF(Pessoas!$E:$E,H959)&gt;0),"SIM",IF(COUNTIF(Pessoas!$C:$C,F959)&gt;0,"nome igual em Pessoas: confira o CPF","")))</f>
        <v/>
      </c>
      <c r="M959" s="24"/>
      <c r="N959" s="11"/>
    </row>
    <row r="960" customFormat="false" ht="15" hidden="false" customHeight="false" outlineLevel="0" collapsed="false">
      <c r="A960" s="24"/>
      <c r="B960" s="31" t="str">
        <f aca="false">IF(A960="","",IF(LEN(UPPER(SUBSTITUTE(SUBSTITUTE(SUBSTITUTE(SUBSTITUTE(TRIM(A960),".",""),"/",""),"-","")," ","")))&lt;14,RIGHT(REPT("0",14)&amp;UPPER(SUBSTITUTE(SUBSTITUTE(SUBSTITUTE(SUBSTITUTE(TRIM(A960),".",""),"/",""),"-","")," ","")),14),UPPER(SUBSTITUTE(SUBSTITUTE(SUBSTITUTE(SUBSTITUTE(TRIM(A960),".",""),"/",""),"-","")," ",""))))</f>
        <v/>
      </c>
      <c r="C960" s="25" t="str">
        <f aca="false">IF(B960="","",IFERROR(INDEX(Empresas!$C:$C,MATCH(B960,Empresas!$B:$B,0)),"cadastre o CNPJ em Empresas"))</f>
        <v/>
      </c>
      <c r="D960" s="23"/>
      <c r="E960" s="24"/>
      <c r="F960" s="31" t="str">
        <f aca="false">IF(D960="","",SUBSTITUTE(SUBSTITUTE(SUBSTITUTE(SUBSTITUTE(SUBSTITUTE(SUBSTITUTE(SUBSTITUTE(SUBSTITUTE(SUBSTITUTE(SUBSTITUTE(SUBSTITUTE(SUBSTITUTE(SUBSTITUTE(UPPER(TRIM(D960)),"Á","A"),"À","A"),"Â","A"),"Ã","A"),"É","E"),"Ê","E"),"Í","I"),"Ó","O"),"Ô","O"),"Õ","O"),"Ú","U"),"Ü","U"),"Ç","C"))</f>
        <v/>
      </c>
      <c r="G960" s="31" t="str">
        <f aca="false">IF(E960="","",IF(LEN(SUBSTITUTE(SUBSTITUTE(SUBSTITUTE(SUBSTITUTE(TRIM(E960),"*",""),".",""),"-","")," ",""))=11,MID(SUBSTITUTE(SUBSTITUTE(SUBSTITUTE(SUBSTITUTE(TRIM(E960),"*",""),".",""),"-","")," ",""),4,6),SUBSTITUTE(SUBSTITUTE(SUBSTITUTE(SUBSTITUTE(TRIM(E960),"*",""),".",""),"-","")," ","")))</f>
        <v/>
      </c>
      <c r="H960" s="31" t="str">
        <f aca="false">IF(OR(F960="",G960=""),"",F960&amp;"|"&amp;G960)</f>
        <v/>
      </c>
      <c r="I960" s="23"/>
      <c r="J960" s="22"/>
      <c r="K960" s="22"/>
      <c r="L960" s="25" t="str">
        <f aca="false">IF(F960="","",IF(AND(H960&lt;&gt;"",COUNTIF(Pessoas!$E:$E,H960)&gt;0),"SIM",IF(COUNTIF(Pessoas!$C:$C,F960)&gt;0,"nome igual em Pessoas: confira o CPF","")))</f>
        <v/>
      </c>
      <c r="M960" s="24"/>
      <c r="N960" s="11"/>
    </row>
    <row r="961" customFormat="false" ht="15" hidden="false" customHeight="false" outlineLevel="0" collapsed="false">
      <c r="A961" s="24"/>
      <c r="B961" s="31" t="str">
        <f aca="false">IF(A961="","",IF(LEN(UPPER(SUBSTITUTE(SUBSTITUTE(SUBSTITUTE(SUBSTITUTE(TRIM(A961),".",""),"/",""),"-","")," ","")))&lt;14,RIGHT(REPT("0",14)&amp;UPPER(SUBSTITUTE(SUBSTITUTE(SUBSTITUTE(SUBSTITUTE(TRIM(A961),".",""),"/",""),"-","")," ","")),14),UPPER(SUBSTITUTE(SUBSTITUTE(SUBSTITUTE(SUBSTITUTE(TRIM(A961),".",""),"/",""),"-","")," ",""))))</f>
        <v/>
      </c>
      <c r="C961" s="25" t="str">
        <f aca="false">IF(B961="","",IFERROR(INDEX(Empresas!$C:$C,MATCH(B961,Empresas!$B:$B,0)),"cadastre o CNPJ em Empresas"))</f>
        <v/>
      </c>
      <c r="D961" s="23"/>
      <c r="E961" s="24"/>
      <c r="F961" s="31" t="str">
        <f aca="false">IF(D961="","",SUBSTITUTE(SUBSTITUTE(SUBSTITUTE(SUBSTITUTE(SUBSTITUTE(SUBSTITUTE(SUBSTITUTE(SUBSTITUTE(SUBSTITUTE(SUBSTITUTE(SUBSTITUTE(SUBSTITUTE(SUBSTITUTE(UPPER(TRIM(D961)),"Á","A"),"À","A"),"Â","A"),"Ã","A"),"É","E"),"Ê","E"),"Í","I"),"Ó","O"),"Ô","O"),"Õ","O"),"Ú","U"),"Ü","U"),"Ç","C"))</f>
        <v/>
      </c>
      <c r="G961" s="31" t="str">
        <f aca="false">IF(E961="","",IF(LEN(SUBSTITUTE(SUBSTITUTE(SUBSTITUTE(SUBSTITUTE(TRIM(E961),"*",""),".",""),"-","")," ",""))=11,MID(SUBSTITUTE(SUBSTITUTE(SUBSTITUTE(SUBSTITUTE(TRIM(E961),"*",""),".",""),"-","")," ",""),4,6),SUBSTITUTE(SUBSTITUTE(SUBSTITUTE(SUBSTITUTE(TRIM(E961),"*",""),".",""),"-","")," ","")))</f>
        <v/>
      </c>
      <c r="H961" s="31" t="str">
        <f aca="false">IF(OR(F961="",G961=""),"",F961&amp;"|"&amp;G961)</f>
        <v/>
      </c>
      <c r="I961" s="23"/>
      <c r="J961" s="22"/>
      <c r="K961" s="22"/>
      <c r="L961" s="25" t="str">
        <f aca="false">IF(F961="","",IF(AND(H961&lt;&gt;"",COUNTIF(Pessoas!$E:$E,H961)&gt;0),"SIM",IF(COUNTIF(Pessoas!$C:$C,F961)&gt;0,"nome igual em Pessoas: confira o CPF","")))</f>
        <v/>
      </c>
      <c r="M961" s="24"/>
      <c r="N961" s="11"/>
    </row>
    <row r="962" customFormat="false" ht="15" hidden="false" customHeight="false" outlineLevel="0" collapsed="false">
      <c r="A962" s="24"/>
      <c r="B962" s="31" t="str">
        <f aca="false">IF(A962="","",IF(LEN(UPPER(SUBSTITUTE(SUBSTITUTE(SUBSTITUTE(SUBSTITUTE(TRIM(A962),".",""),"/",""),"-","")," ","")))&lt;14,RIGHT(REPT("0",14)&amp;UPPER(SUBSTITUTE(SUBSTITUTE(SUBSTITUTE(SUBSTITUTE(TRIM(A962),".",""),"/",""),"-","")," ","")),14),UPPER(SUBSTITUTE(SUBSTITUTE(SUBSTITUTE(SUBSTITUTE(TRIM(A962),".",""),"/",""),"-","")," ",""))))</f>
        <v/>
      </c>
      <c r="C962" s="25" t="str">
        <f aca="false">IF(B962="","",IFERROR(INDEX(Empresas!$C:$C,MATCH(B962,Empresas!$B:$B,0)),"cadastre o CNPJ em Empresas"))</f>
        <v/>
      </c>
      <c r="D962" s="23"/>
      <c r="E962" s="24"/>
      <c r="F962" s="31" t="str">
        <f aca="false">IF(D962="","",SUBSTITUTE(SUBSTITUTE(SUBSTITUTE(SUBSTITUTE(SUBSTITUTE(SUBSTITUTE(SUBSTITUTE(SUBSTITUTE(SUBSTITUTE(SUBSTITUTE(SUBSTITUTE(SUBSTITUTE(SUBSTITUTE(UPPER(TRIM(D962)),"Á","A"),"À","A"),"Â","A"),"Ã","A"),"É","E"),"Ê","E"),"Í","I"),"Ó","O"),"Ô","O"),"Õ","O"),"Ú","U"),"Ü","U"),"Ç","C"))</f>
        <v/>
      </c>
      <c r="G962" s="31" t="str">
        <f aca="false">IF(E962="","",IF(LEN(SUBSTITUTE(SUBSTITUTE(SUBSTITUTE(SUBSTITUTE(TRIM(E962),"*",""),".",""),"-","")," ",""))=11,MID(SUBSTITUTE(SUBSTITUTE(SUBSTITUTE(SUBSTITUTE(TRIM(E962),"*",""),".",""),"-","")," ",""),4,6),SUBSTITUTE(SUBSTITUTE(SUBSTITUTE(SUBSTITUTE(TRIM(E962),"*",""),".",""),"-","")," ","")))</f>
        <v/>
      </c>
      <c r="H962" s="31" t="str">
        <f aca="false">IF(OR(F962="",G962=""),"",F962&amp;"|"&amp;G962)</f>
        <v/>
      </c>
      <c r="I962" s="23"/>
      <c r="J962" s="22"/>
      <c r="K962" s="22"/>
      <c r="L962" s="25" t="str">
        <f aca="false">IF(F962="","",IF(AND(H962&lt;&gt;"",COUNTIF(Pessoas!$E:$E,H962)&gt;0),"SIM",IF(COUNTIF(Pessoas!$C:$C,F962)&gt;0,"nome igual em Pessoas: confira o CPF","")))</f>
        <v/>
      </c>
      <c r="M962" s="24"/>
      <c r="N962" s="11"/>
    </row>
    <row r="963" customFormat="false" ht="15" hidden="false" customHeight="false" outlineLevel="0" collapsed="false">
      <c r="A963" s="24"/>
      <c r="B963" s="31" t="str">
        <f aca="false">IF(A963="","",IF(LEN(UPPER(SUBSTITUTE(SUBSTITUTE(SUBSTITUTE(SUBSTITUTE(TRIM(A963),".",""),"/",""),"-","")," ","")))&lt;14,RIGHT(REPT("0",14)&amp;UPPER(SUBSTITUTE(SUBSTITUTE(SUBSTITUTE(SUBSTITUTE(TRIM(A963),".",""),"/",""),"-","")," ","")),14),UPPER(SUBSTITUTE(SUBSTITUTE(SUBSTITUTE(SUBSTITUTE(TRIM(A963),".",""),"/",""),"-","")," ",""))))</f>
        <v/>
      </c>
      <c r="C963" s="25" t="str">
        <f aca="false">IF(B963="","",IFERROR(INDEX(Empresas!$C:$C,MATCH(B963,Empresas!$B:$B,0)),"cadastre o CNPJ em Empresas"))</f>
        <v/>
      </c>
      <c r="D963" s="23"/>
      <c r="E963" s="24"/>
      <c r="F963" s="31" t="str">
        <f aca="false">IF(D963="","",SUBSTITUTE(SUBSTITUTE(SUBSTITUTE(SUBSTITUTE(SUBSTITUTE(SUBSTITUTE(SUBSTITUTE(SUBSTITUTE(SUBSTITUTE(SUBSTITUTE(SUBSTITUTE(SUBSTITUTE(SUBSTITUTE(UPPER(TRIM(D963)),"Á","A"),"À","A"),"Â","A"),"Ã","A"),"É","E"),"Ê","E"),"Í","I"),"Ó","O"),"Ô","O"),"Õ","O"),"Ú","U"),"Ü","U"),"Ç","C"))</f>
        <v/>
      </c>
      <c r="G963" s="31" t="str">
        <f aca="false">IF(E963="","",IF(LEN(SUBSTITUTE(SUBSTITUTE(SUBSTITUTE(SUBSTITUTE(TRIM(E963),"*",""),".",""),"-","")," ",""))=11,MID(SUBSTITUTE(SUBSTITUTE(SUBSTITUTE(SUBSTITUTE(TRIM(E963),"*",""),".",""),"-","")," ",""),4,6),SUBSTITUTE(SUBSTITUTE(SUBSTITUTE(SUBSTITUTE(TRIM(E963),"*",""),".",""),"-","")," ","")))</f>
        <v/>
      </c>
      <c r="H963" s="31" t="str">
        <f aca="false">IF(OR(F963="",G963=""),"",F963&amp;"|"&amp;G963)</f>
        <v/>
      </c>
      <c r="I963" s="23"/>
      <c r="J963" s="22"/>
      <c r="K963" s="22"/>
      <c r="L963" s="25" t="str">
        <f aca="false">IF(F963="","",IF(AND(H963&lt;&gt;"",COUNTIF(Pessoas!$E:$E,H963)&gt;0),"SIM",IF(COUNTIF(Pessoas!$C:$C,F963)&gt;0,"nome igual em Pessoas: confira o CPF","")))</f>
        <v/>
      </c>
      <c r="M963" s="24"/>
      <c r="N963" s="11"/>
    </row>
    <row r="964" customFormat="false" ht="15" hidden="false" customHeight="false" outlineLevel="0" collapsed="false">
      <c r="A964" s="24"/>
      <c r="B964" s="31" t="str">
        <f aca="false">IF(A964="","",IF(LEN(UPPER(SUBSTITUTE(SUBSTITUTE(SUBSTITUTE(SUBSTITUTE(TRIM(A964),".",""),"/",""),"-","")," ","")))&lt;14,RIGHT(REPT("0",14)&amp;UPPER(SUBSTITUTE(SUBSTITUTE(SUBSTITUTE(SUBSTITUTE(TRIM(A964),".",""),"/",""),"-","")," ","")),14),UPPER(SUBSTITUTE(SUBSTITUTE(SUBSTITUTE(SUBSTITUTE(TRIM(A964),".",""),"/",""),"-","")," ",""))))</f>
        <v/>
      </c>
      <c r="C964" s="25" t="str">
        <f aca="false">IF(B964="","",IFERROR(INDEX(Empresas!$C:$C,MATCH(B964,Empresas!$B:$B,0)),"cadastre o CNPJ em Empresas"))</f>
        <v/>
      </c>
      <c r="D964" s="23"/>
      <c r="E964" s="24"/>
      <c r="F964" s="31" t="str">
        <f aca="false">IF(D964="","",SUBSTITUTE(SUBSTITUTE(SUBSTITUTE(SUBSTITUTE(SUBSTITUTE(SUBSTITUTE(SUBSTITUTE(SUBSTITUTE(SUBSTITUTE(SUBSTITUTE(SUBSTITUTE(SUBSTITUTE(SUBSTITUTE(UPPER(TRIM(D964)),"Á","A"),"À","A"),"Â","A"),"Ã","A"),"É","E"),"Ê","E"),"Í","I"),"Ó","O"),"Ô","O"),"Õ","O"),"Ú","U"),"Ü","U"),"Ç","C"))</f>
        <v/>
      </c>
      <c r="G964" s="31" t="str">
        <f aca="false">IF(E964="","",IF(LEN(SUBSTITUTE(SUBSTITUTE(SUBSTITUTE(SUBSTITUTE(TRIM(E964),"*",""),".",""),"-","")," ",""))=11,MID(SUBSTITUTE(SUBSTITUTE(SUBSTITUTE(SUBSTITUTE(TRIM(E964),"*",""),".",""),"-","")," ",""),4,6),SUBSTITUTE(SUBSTITUTE(SUBSTITUTE(SUBSTITUTE(TRIM(E964),"*",""),".",""),"-","")," ","")))</f>
        <v/>
      </c>
      <c r="H964" s="31" t="str">
        <f aca="false">IF(OR(F964="",G964=""),"",F964&amp;"|"&amp;G964)</f>
        <v/>
      </c>
      <c r="I964" s="23"/>
      <c r="J964" s="22"/>
      <c r="K964" s="22"/>
      <c r="L964" s="25" t="str">
        <f aca="false">IF(F964="","",IF(AND(H964&lt;&gt;"",COUNTIF(Pessoas!$E:$E,H964)&gt;0),"SIM",IF(COUNTIF(Pessoas!$C:$C,F964)&gt;0,"nome igual em Pessoas: confira o CPF","")))</f>
        <v/>
      </c>
      <c r="M964" s="24"/>
      <c r="N964" s="11"/>
    </row>
    <row r="965" customFormat="false" ht="15" hidden="false" customHeight="false" outlineLevel="0" collapsed="false">
      <c r="A965" s="24"/>
      <c r="B965" s="31" t="str">
        <f aca="false">IF(A965="","",IF(LEN(UPPER(SUBSTITUTE(SUBSTITUTE(SUBSTITUTE(SUBSTITUTE(TRIM(A965),".",""),"/",""),"-","")," ","")))&lt;14,RIGHT(REPT("0",14)&amp;UPPER(SUBSTITUTE(SUBSTITUTE(SUBSTITUTE(SUBSTITUTE(TRIM(A965),".",""),"/",""),"-","")," ","")),14),UPPER(SUBSTITUTE(SUBSTITUTE(SUBSTITUTE(SUBSTITUTE(TRIM(A965),".",""),"/",""),"-","")," ",""))))</f>
        <v/>
      </c>
      <c r="C965" s="25" t="str">
        <f aca="false">IF(B965="","",IFERROR(INDEX(Empresas!$C:$C,MATCH(B965,Empresas!$B:$B,0)),"cadastre o CNPJ em Empresas"))</f>
        <v/>
      </c>
      <c r="D965" s="23"/>
      <c r="E965" s="24"/>
      <c r="F965" s="31" t="str">
        <f aca="false">IF(D965="","",SUBSTITUTE(SUBSTITUTE(SUBSTITUTE(SUBSTITUTE(SUBSTITUTE(SUBSTITUTE(SUBSTITUTE(SUBSTITUTE(SUBSTITUTE(SUBSTITUTE(SUBSTITUTE(SUBSTITUTE(SUBSTITUTE(UPPER(TRIM(D965)),"Á","A"),"À","A"),"Â","A"),"Ã","A"),"É","E"),"Ê","E"),"Í","I"),"Ó","O"),"Ô","O"),"Õ","O"),"Ú","U"),"Ü","U"),"Ç","C"))</f>
        <v/>
      </c>
      <c r="G965" s="31" t="str">
        <f aca="false">IF(E965="","",IF(LEN(SUBSTITUTE(SUBSTITUTE(SUBSTITUTE(SUBSTITUTE(TRIM(E965),"*",""),".",""),"-","")," ",""))=11,MID(SUBSTITUTE(SUBSTITUTE(SUBSTITUTE(SUBSTITUTE(TRIM(E965),"*",""),".",""),"-","")," ",""),4,6),SUBSTITUTE(SUBSTITUTE(SUBSTITUTE(SUBSTITUTE(TRIM(E965),"*",""),".",""),"-","")," ","")))</f>
        <v/>
      </c>
      <c r="H965" s="31" t="str">
        <f aca="false">IF(OR(F965="",G965=""),"",F965&amp;"|"&amp;G965)</f>
        <v/>
      </c>
      <c r="I965" s="23"/>
      <c r="J965" s="22"/>
      <c r="K965" s="22"/>
      <c r="L965" s="25" t="str">
        <f aca="false">IF(F965="","",IF(AND(H965&lt;&gt;"",COUNTIF(Pessoas!$E:$E,H965)&gt;0),"SIM",IF(COUNTIF(Pessoas!$C:$C,F965)&gt;0,"nome igual em Pessoas: confira o CPF","")))</f>
        <v/>
      </c>
      <c r="M965" s="24"/>
      <c r="N965" s="11"/>
    </row>
    <row r="966" customFormat="false" ht="15" hidden="false" customHeight="false" outlineLevel="0" collapsed="false">
      <c r="A966" s="24"/>
      <c r="B966" s="31" t="str">
        <f aca="false">IF(A966="","",IF(LEN(UPPER(SUBSTITUTE(SUBSTITUTE(SUBSTITUTE(SUBSTITUTE(TRIM(A966),".",""),"/",""),"-","")," ","")))&lt;14,RIGHT(REPT("0",14)&amp;UPPER(SUBSTITUTE(SUBSTITUTE(SUBSTITUTE(SUBSTITUTE(TRIM(A966),".",""),"/",""),"-","")," ","")),14),UPPER(SUBSTITUTE(SUBSTITUTE(SUBSTITUTE(SUBSTITUTE(TRIM(A966),".",""),"/",""),"-","")," ",""))))</f>
        <v/>
      </c>
      <c r="C966" s="25" t="str">
        <f aca="false">IF(B966="","",IFERROR(INDEX(Empresas!$C:$C,MATCH(B966,Empresas!$B:$B,0)),"cadastre o CNPJ em Empresas"))</f>
        <v/>
      </c>
      <c r="D966" s="23"/>
      <c r="E966" s="24"/>
      <c r="F966" s="31" t="str">
        <f aca="false">IF(D966="","",SUBSTITUTE(SUBSTITUTE(SUBSTITUTE(SUBSTITUTE(SUBSTITUTE(SUBSTITUTE(SUBSTITUTE(SUBSTITUTE(SUBSTITUTE(SUBSTITUTE(SUBSTITUTE(SUBSTITUTE(SUBSTITUTE(UPPER(TRIM(D966)),"Á","A"),"À","A"),"Â","A"),"Ã","A"),"É","E"),"Ê","E"),"Í","I"),"Ó","O"),"Ô","O"),"Õ","O"),"Ú","U"),"Ü","U"),"Ç","C"))</f>
        <v/>
      </c>
      <c r="G966" s="31" t="str">
        <f aca="false">IF(E966="","",IF(LEN(SUBSTITUTE(SUBSTITUTE(SUBSTITUTE(SUBSTITUTE(TRIM(E966),"*",""),".",""),"-","")," ",""))=11,MID(SUBSTITUTE(SUBSTITUTE(SUBSTITUTE(SUBSTITUTE(TRIM(E966),"*",""),".",""),"-","")," ",""),4,6),SUBSTITUTE(SUBSTITUTE(SUBSTITUTE(SUBSTITUTE(TRIM(E966),"*",""),".",""),"-","")," ","")))</f>
        <v/>
      </c>
      <c r="H966" s="31" t="str">
        <f aca="false">IF(OR(F966="",G966=""),"",F966&amp;"|"&amp;G966)</f>
        <v/>
      </c>
      <c r="I966" s="23"/>
      <c r="J966" s="22"/>
      <c r="K966" s="22"/>
      <c r="L966" s="25" t="str">
        <f aca="false">IF(F966="","",IF(AND(H966&lt;&gt;"",COUNTIF(Pessoas!$E:$E,H966)&gt;0),"SIM",IF(COUNTIF(Pessoas!$C:$C,F966)&gt;0,"nome igual em Pessoas: confira o CPF","")))</f>
        <v/>
      </c>
      <c r="M966" s="24"/>
      <c r="N966" s="11"/>
    </row>
    <row r="967" customFormat="false" ht="15" hidden="false" customHeight="false" outlineLevel="0" collapsed="false">
      <c r="A967" s="24"/>
      <c r="B967" s="31" t="str">
        <f aca="false">IF(A967="","",IF(LEN(UPPER(SUBSTITUTE(SUBSTITUTE(SUBSTITUTE(SUBSTITUTE(TRIM(A967),".",""),"/",""),"-","")," ","")))&lt;14,RIGHT(REPT("0",14)&amp;UPPER(SUBSTITUTE(SUBSTITUTE(SUBSTITUTE(SUBSTITUTE(TRIM(A967),".",""),"/",""),"-","")," ","")),14),UPPER(SUBSTITUTE(SUBSTITUTE(SUBSTITUTE(SUBSTITUTE(TRIM(A967),".",""),"/",""),"-","")," ",""))))</f>
        <v/>
      </c>
      <c r="C967" s="25" t="str">
        <f aca="false">IF(B967="","",IFERROR(INDEX(Empresas!$C:$C,MATCH(B967,Empresas!$B:$B,0)),"cadastre o CNPJ em Empresas"))</f>
        <v/>
      </c>
      <c r="D967" s="23"/>
      <c r="E967" s="24"/>
      <c r="F967" s="31" t="str">
        <f aca="false">IF(D967="","",SUBSTITUTE(SUBSTITUTE(SUBSTITUTE(SUBSTITUTE(SUBSTITUTE(SUBSTITUTE(SUBSTITUTE(SUBSTITUTE(SUBSTITUTE(SUBSTITUTE(SUBSTITUTE(SUBSTITUTE(SUBSTITUTE(UPPER(TRIM(D967)),"Á","A"),"À","A"),"Â","A"),"Ã","A"),"É","E"),"Ê","E"),"Í","I"),"Ó","O"),"Ô","O"),"Õ","O"),"Ú","U"),"Ü","U"),"Ç","C"))</f>
        <v/>
      </c>
      <c r="G967" s="31" t="str">
        <f aca="false">IF(E967="","",IF(LEN(SUBSTITUTE(SUBSTITUTE(SUBSTITUTE(SUBSTITUTE(TRIM(E967),"*",""),".",""),"-","")," ",""))=11,MID(SUBSTITUTE(SUBSTITUTE(SUBSTITUTE(SUBSTITUTE(TRIM(E967),"*",""),".",""),"-","")," ",""),4,6),SUBSTITUTE(SUBSTITUTE(SUBSTITUTE(SUBSTITUTE(TRIM(E967),"*",""),".",""),"-","")," ","")))</f>
        <v/>
      </c>
      <c r="H967" s="31" t="str">
        <f aca="false">IF(OR(F967="",G967=""),"",F967&amp;"|"&amp;G967)</f>
        <v/>
      </c>
      <c r="I967" s="23"/>
      <c r="J967" s="22"/>
      <c r="K967" s="22"/>
      <c r="L967" s="25" t="str">
        <f aca="false">IF(F967="","",IF(AND(H967&lt;&gt;"",COUNTIF(Pessoas!$E:$E,H967)&gt;0),"SIM",IF(COUNTIF(Pessoas!$C:$C,F967)&gt;0,"nome igual em Pessoas: confira o CPF","")))</f>
        <v/>
      </c>
      <c r="M967" s="24"/>
      <c r="N967" s="11"/>
    </row>
    <row r="968" customFormat="false" ht="15" hidden="false" customHeight="false" outlineLevel="0" collapsed="false">
      <c r="A968" s="24"/>
      <c r="B968" s="31" t="str">
        <f aca="false">IF(A968="","",IF(LEN(UPPER(SUBSTITUTE(SUBSTITUTE(SUBSTITUTE(SUBSTITUTE(TRIM(A968),".",""),"/",""),"-","")," ","")))&lt;14,RIGHT(REPT("0",14)&amp;UPPER(SUBSTITUTE(SUBSTITUTE(SUBSTITUTE(SUBSTITUTE(TRIM(A968),".",""),"/",""),"-","")," ","")),14),UPPER(SUBSTITUTE(SUBSTITUTE(SUBSTITUTE(SUBSTITUTE(TRIM(A968),".",""),"/",""),"-","")," ",""))))</f>
        <v/>
      </c>
      <c r="C968" s="25" t="str">
        <f aca="false">IF(B968="","",IFERROR(INDEX(Empresas!$C:$C,MATCH(B968,Empresas!$B:$B,0)),"cadastre o CNPJ em Empresas"))</f>
        <v/>
      </c>
      <c r="D968" s="23"/>
      <c r="E968" s="24"/>
      <c r="F968" s="31" t="str">
        <f aca="false">IF(D968="","",SUBSTITUTE(SUBSTITUTE(SUBSTITUTE(SUBSTITUTE(SUBSTITUTE(SUBSTITUTE(SUBSTITUTE(SUBSTITUTE(SUBSTITUTE(SUBSTITUTE(SUBSTITUTE(SUBSTITUTE(SUBSTITUTE(UPPER(TRIM(D968)),"Á","A"),"À","A"),"Â","A"),"Ã","A"),"É","E"),"Ê","E"),"Í","I"),"Ó","O"),"Ô","O"),"Õ","O"),"Ú","U"),"Ü","U"),"Ç","C"))</f>
        <v/>
      </c>
      <c r="G968" s="31" t="str">
        <f aca="false">IF(E968="","",IF(LEN(SUBSTITUTE(SUBSTITUTE(SUBSTITUTE(SUBSTITUTE(TRIM(E968),"*",""),".",""),"-","")," ",""))=11,MID(SUBSTITUTE(SUBSTITUTE(SUBSTITUTE(SUBSTITUTE(TRIM(E968),"*",""),".",""),"-","")," ",""),4,6),SUBSTITUTE(SUBSTITUTE(SUBSTITUTE(SUBSTITUTE(TRIM(E968),"*",""),".",""),"-","")," ","")))</f>
        <v/>
      </c>
      <c r="H968" s="31" t="str">
        <f aca="false">IF(OR(F968="",G968=""),"",F968&amp;"|"&amp;G968)</f>
        <v/>
      </c>
      <c r="I968" s="23"/>
      <c r="J968" s="22"/>
      <c r="K968" s="22"/>
      <c r="L968" s="25" t="str">
        <f aca="false">IF(F968="","",IF(AND(H968&lt;&gt;"",COUNTIF(Pessoas!$E:$E,H968)&gt;0),"SIM",IF(COUNTIF(Pessoas!$C:$C,F968)&gt;0,"nome igual em Pessoas: confira o CPF","")))</f>
        <v/>
      </c>
      <c r="M968" s="24"/>
      <c r="N968" s="11"/>
    </row>
    <row r="969" customFormat="false" ht="15" hidden="false" customHeight="false" outlineLevel="0" collapsed="false">
      <c r="A969" s="24"/>
      <c r="B969" s="31" t="str">
        <f aca="false">IF(A969="","",IF(LEN(UPPER(SUBSTITUTE(SUBSTITUTE(SUBSTITUTE(SUBSTITUTE(TRIM(A969),".",""),"/",""),"-","")," ","")))&lt;14,RIGHT(REPT("0",14)&amp;UPPER(SUBSTITUTE(SUBSTITUTE(SUBSTITUTE(SUBSTITUTE(TRIM(A969),".",""),"/",""),"-","")," ","")),14),UPPER(SUBSTITUTE(SUBSTITUTE(SUBSTITUTE(SUBSTITUTE(TRIM(A969),".",""),"/",""),"-","")," ",""))))</f>
        <v/>
      </c>
      <c r="C969" s="25" t="str">
        <f aca="false">IF(B969="","",IFERROR(INDEX(Empresas!$C:$C,MATCH(B969,Empresas!$B:$B,0)),"cadastre o CNPJ em Empresas"))</f>
        <v/>
      </c>
      <c r="D969" s="23"/>
      <c r="E969" s="24"/>
      <c r="F969" s="31" t="str">
        <f aca="false">IF(D969="","",SUBSTITUTE(SUBSTITUTE(SUBSTITUTE(SUBSTITUTE(SUBSTITUTE(SUBSTITUTE(SUBSTITUTE(SUBSTITUTE(SUBSTITUTE(SUBSTITUTE(SUBSTITUTE(SUBSTITUTE(SUBSTITUTE(UPPER(TRIM(D969)),"Á","A"),"À","A"),"Â","A"),"Ã","A"),"É","E"),"Ê","E"),"Í","I"),"Ó","O"),"Ô","O"),"Õ","O"),"Ú","U"),"Ü","U"),"Ç","C"))</f>
        <v/>
      </c>
      <c r="G969" s="31" t="str">
        <f aca="false">IF(E969="","",IF(LEN(SUBSTITUTE(SUBSTITUTE(SUBSTITUTE(SUBSTITUTE(TRIM(E969),"*",""),".",""),"-","")," ",""))=11,MID(SUBSTITUTE(SUBSTITUTE(SUBSTITUTE(SUBSTITUTE(TRIM(E969),"*",""),".",""),"-","")," ",""),4,6),SUBSTITUTE(SUBSTITUTE(SUBSTITUTE(SUBSTITUTE(TRIM(E969),"*",""),".",""),"-","")," ","")))</f>
        <v/>
      </c>
      <c r="H969" s="31" t="str">
        <f aca="false">IF(OR(F969="",G969=""),"",F969&amp;"|"&amp;G969)</f>
        <v/>
      </c>
      <c r="I969" s="23"/>
      <c r="J969" s="22"/>
      <c r="K969" s="22"/>
      <c r="L969" s="25" t="str">
        <f aca="false">IF(F969="","",IF(AND(H969&lt;&gt;"",COUNTIF(Pessoas!$E:$E,H969)&gt;0),"SIM",IF(COUNTIF(Pessoas!$C:$C,F969)&gt;0,"nome igual em Pessoas: confira o CPF","")))</f>
        <v/>
      </c>
      <c r="M969" s="24"/>
      <c r="N969" s="11"/>
    </row>
    <row r="970" customFormat="false" ht="15" hidden="false" customHeight="false" outlineLevel="0" collapsed="false">
      <c r="A970" s="24"/>
      <c r="B970" s="31" t="str">
        <f aca="false">IF(A970="","",IF(LEN(UPPER(SUBSTITUTE(SUBSTITUTE(SUBSTITUTE(SUBSTITUTE(TRIM(A970),".",""),"/",""),"-","")," ","")))&lt;14,RIGHT(REPT("0",14)&amp;UPPER(SUBSTITUTE(SUBSTITUTE(SUBSTITUTE(SUBSTITUTE(TRIM(A970),".",""),"/",""),"-","")," ","")),14),UPPER(SUBSTITUTE(SUBSTITUTE(SUBSTITUTE(SUBSTITUTE(TRIM(A970),".",""),"/",""),"-","")," ",""))))</f>
        <v/>
      </c>
      <c r="C970" s="25" t="str">
        <f aca="false">IF(B970="","",IFERROR(INDEX(Empresas!$C:$C,MATCH(B970,Empresas!$B:$B,0)),"cadastre o CNPJ em Empresas"))</f>
        <v/>
      </c>
      <c r="D970" s="23"/>
      <c r="E970" s="24"/>
      <c r="F970" s="31" t="str">
        <f aca="false">IF(D970="","",SUBSTITUTE(SUBSTITUTE(SUBSTITUTE(SUBSTITUTE(SUBSTITUTE(SUBSTITUTE(SUBSTITUTE(SUBSTITUTE(SUBSTITUTE(SUBSTITUTE(SUBSTITUTE(SUBSTITUTE(SUBSTITUTE(UPPER(TRIM(D970)),"Á","A"),"À","A"),"Â","A"),"Ã","A"),"É","E"),"Ê","E"),"Í","I"),"Ó","O"),"Ô","O"),"Õ","O"),"Ú","U"),"Ü","U"),"Ç","C"))</f>
        <v/>
      </c>
      <c r="G970" s="31" t="str">
        <f aca="false">IF(E970="","",IF(LEN(SUBSTITUTE(SUBSTITUTE(SUBSTITUTE(SUBSTITUTE(TRIM(E970),"*",""),".",""),"-","")," ",""))=11,MID(SUBSTITUTE(SUBSTITUTE(SUBSTITUTE(SUBSTITUTE(TRIM(E970),"*",""),".",""),"-","")," ",""),4,6),SUBSTITUTE(SUBSTITUTE(SUBSTITUTE(SUBSTITUTE(TRIM(E970),"*",""),".",""),"-","")," ","")))</f>
        <v/>
      </c>
      <c r="H970" s="31" t="str">
        <f aca="false">IF(OR(F970="",G970=""),"",F970&amp;"|"&amp;G970)</f>
        <v/>
      </c>
      <c r="I970" s="23"/>
      <c r="J970" s="22"/>
      <c r="K970" s="22"/>
      <c r="L970" s="25" t="str">
        <f aca="false">IF(F970="","",IF(AND(H970&lt;&gt;"",COUNTIF(Pessoas!$E:$E,H970)&gt;0),"SIM",IF(COUNTIF(Pessoas!$C:$C,F970)&gt;0,"nome igual em Pessoas: confira o CPF","")))</f>
        <v/>
      </c>
      <c r="M970" s="24"/>
      <c r="N970" s="11"/>
    </row>
    <row r="971" customFormat="false" ht="15" hidden="false" customHeight="false" outlineLevel="0" collapsed="false">
      <c r="A971" s="24"/>
      <c r="B971" s="31" t="str">
        <f aca="false">IF(A971="","",IF(LEN(UPPER(SUBSTITUTE(SUBSTITUTE(SUBSTITUTE(SUBSTITUTE(TRIM(A971),".",""),"/",""),"-","")," ","")))&lt;14,RIGHT(REPT("0",14)&amp;UPPER(SUBSTITUTE(SUBSTITUTE(SUBSTITUTE(SUBSTITUTE(TRIM(A971),".",""),"/",""),"-","")," ","")),14),UPPER(SUBSTITUTE(SUBSTITUTE(SUBSTITUTE(SUBSTITUTE(TRIM(A971),".",""),"/",""),"-","")," ",""))))</f>
        <v/>
      </c>
      <c r="C971" s="25" t="str">
        <f aca="false">IF(B971="","",IFERROR(INDEX(Empresas!$C:$C,MATCH(B971,Empresas!$B:$B,0)),"cadastre o CNPJ em Empresas"))</f>
        <v/>
      </c>
      <c r="D971" s="23"/>
      <c r="E971" s="24"/>
      <c r="F971" s="31" t="str">
        <f aca="false">IF(D971="","",SUBSTITUTE(SUBSTITUTE(SUBSTITUTE(SUBSTITUTE(SUBSTITUTE(SUBSTITUTE(SUBSTITUTE(SUBSTITUTE(SUBSTITUTE(SUBSTITUTE(SUBSTITUTE(SUBSTITUTE(SUBSTITUTE(UPPER(TRIM(D971)),"Á","A"),"À","A"),"Â","A"),"Ã","A"),"É","E"),"Ê","E"),"Í","I"),"Ó","O"),"Ô","O"),"Õ","O"),"Ú","U"),"Ü","U"),"Ç","C"))</f>
        <v/>
      </c>
      <c r="G971" s="31" t="str">
        <f aca="false">IF(E971="","",IF(LEN(SUBSTITUTE(SUBSTITUTE(SUBSTITUTE(SUBSTITUTE(TRIM(E971),"*",""),".",""),"-","")," ",""))=11,MID(SUBSTITUTE(SUBSTITUTE(SUBSTITUTE(SUBSTITUTE(TRIM(E971),"*",""),".",""),"-","")," ",""),4,6),SUBSTITUTE(SUBSTITUTE(SUBSTITUTE(SUBSTITUTE(TRIM(E971),"*",""),".",""),"-","")," ","")))</f>
        <v/>
      </c>
      <c r="H971" s="31" t="str">
        <f aca="false">IF(OR(F971="",G971=""),"",F971&amp;"|"&amp;G971)</f>
        <v/>
      </c>
      <c r="I971" s="23"/>
      <c r="J971" s="22"/>
      <c r="K971" s="22"/>
      <c r="L971" s="25" t="str">
        <f aca="false">IF(F971="","",IF(AND(H971&lt;&gt;"",COUNTIF(Pessoas!$E:$E,H971)&gt;0),"SIM",IF(COUNTIF(Pessoas!$C:$C,F971)&gt;0,"nome igual em Pessoas: confira o CPF","")))</f>
        <v/>
      </c>
      <c r="M971" s="24"/>
      <c r="N971" s="11"/>
    </row>
    <row r="972" customFormat="false" ht="15" hidden="false" customHeight="false" outlineLevel="0" collapsed="false">
      <c r="A972" s="24"/>
      <c r="B972" s="31" t="str">
        <f aca="false">IF(A972="","",IF(LEN(UPPER(SUBSTITUTE(SUBSTITUTE(SUBSTITUTE(SUBSTITUTE(TRIM(A972),".",""),"/",""),"-","")," ","")))&lt;14,RIGHT(REPT("0",14)&amp;UPPER(SUBSTITUTE(SUBSTITUTE(SUBSTITUTE(SUBSTITUTE(TRIM(A972),".",""),"/",""),"-","")," ","")),14),UPPER(SUBSTITUTE(SUBSTITUTE(SUBSTITUTE(SUBSTITUTE(TRIM(A972),".",""),"/",""),"-","")," ",""))))</f>
        <v/>
      </c>
      <c r="C972" s="25" t="str">
        <f aca="false">IF(B972="","",IFERROR(INDEX(Empresas!$C:$C,MATCH(B972,Empresas!$B:$B,0)),"cadastre o CNPJ em Empresas"))</f>
        <v/>
      </c>
      <c r="D972" s="23"/>
      <c r="E972" s="24"/>
      <c r="F972" s="31" t="str">
        <f aca="false">IF(D972="","",SUBSTITUTE(SUBSTITUTE(SUBSTITUTE(SUBSTITUTE(SUBSTITUTE(SUBSTITUTE(SUBSTITUTE(SUBSTITUTE(SUBSTITUTE(SUBSTITUTE(SUBSTITUTE(SUBSTITUTE(SUBSTITUTE(UPPER(TRIM(D972)),"Á","A"),"À","A"),"Â","A"),"Ã","A"),"É","E"),"Ê","E"),"Í","I"),"Ó","O"),"Ô","O"),"Õ","O"),"Ú","U"),"Ü","U"),"Ç","C"))</f>
        <v/>
      </c>
      <c r="G972" s="31" t="str">
        <f aca="false">IF(E972="","",IF(LEN(SUBSTITUTE(SUBSTITUTE(SUBSTITUTE(SUBSTITUTE(TRIM(E972),"*",""),".",""),"-","")," ",""))=11,MID(SUBSTITUTE(SUBSTITUTE(SUBSTITUTE(SUBSTITUTE(TRIM(E972),"*",""),".",""),"-","")," ",""),4,6),SUBSTITUTE(SUBSTITUTE(SUBSTITUTE(SUBSTITUTE(TRIM(E972),"*",""),".",""),"-","")," ","")))</f>
        <v/>
      </c>
      <c r="H972" s="31" t="str">
        <f aca="false">IF(OR(F972="",G972=""),"",F972&amp;"|"&amp;G972)</f>
        <v/>
      </c>
      <c r="I972" s="23"/>
      <c r="J972" s="22"/>
      <c r="K972" s="22"/>
      <c r="L972" s="25" t="str">
        <f aca="false">IF(F972="","",IF(AND(H972&lt;&gt;"",COUNTIF(Pessoas!$E:$E,H972)&gt;0),"SIM",IF(COUNTIF(Pessoas!$C:$C,F972)&gt;0,"nome igual em Pessoas: confira o CPF","")))</f>
        <v/>
      </c>
      <c r="M972" s="24"/>
      <c r="N972" s="11"/>
    </row>
    <row r="973" customFormat="false" ht="15" hidden="false" customHeight="false" outlineLevel="0" collapsed="false">
      <c r="A973" s="24"/>
      <c r="B973" s="31" t="str">
        <f aca="false">IF(A973="","",IF(LEN(UPPER(SUBSTITUTE(SUBSTITUTE(SUBSTITUTE(SUBSTITUTE(TRIM(A973),".",""),"/",""),"-","")," ","")))&lt;14,RIGHT(REPT("0",14)&amp;UPPER(SUBSTITUTE(SUBSTITUTE(SUBSTITUTE(SUBSTITUTE(TRIM(A973),".",""),"/",""),"-","")," ","")),14),UPPER(SUBSTITUTE(SUBSTITUTE(SUBSTITUTE(SUBSTITUTE(TRIM(A973),".",""),"/",""),"-","")," ",""))))</f>
        <v/>
      </c>
      <c r="C973" s="25" t="str">
        <f aca="false">IF(B973="","",IFERROR(INDEX(Empresas!$C:$C,MATCH(B973,Empresas!$B:$B,0)),"cadastre o CNPJ em Empresas"))</f>
        <v/>
      </c>
      <c r="D973" s="23"/>
      <c r="E973" s="24"/>
      <c r="F973" s="31" t="str">
        <f aca="false">IF(D973="","",SUBSTITUTE(SUBSTITUTE(SUBSTITUTE(SUBSTITUTE(SUBSTITUTE(SUBSTITUTE(SUBSTITUTE(SUBSTITUTE(SUBSTITUTE(SUBSTITUTE(SUBSTITUTE(SUBSTITUTE(SUBSTITUTE(UPPER(TRIM(D973)),"Á","A"),"À","A"),"Â","A"),"Ã","A"),"É","E"),"Ê","E"),"Í","I"),"Ó","O"),"Ô","O"),"Õ","O"),"Ú","U"),"Ü","U"),"Ç","C"))</f>
        <v/>
      </c>
      <c r="G973" s="31" t="str">
        <f aca="false">IF(E973="","",IF(LEN(SUBSTITUTE(SUBSTITUTE(SUBSTITUTE(SUBSTITUTE(TRIM(E973),"*",""),".",""),"-","")," ",""))=11,MID(SUBSTITUTE(SUBSTITUTE(SUBSTITUTE(SUBSTITUTE(TRIM(E973),"*",""),".",""),"-","")," ",""),4,6),SUBSTITUTE(SUBSTITUTE(SUBSTITUTE(SUBSTITUTE(TRIM(E973),"*",""),".",""),"-","")," ","")))</f>
        <v/>
      </c>
      <c r="H973" s="31" t="str">
        <f aca="false">IF(OR(F973="",G973=""),"",F973&amp;"|"&amp;G973)</f>
        <v/>
      </c>
      <c r="I973" s="23"/>
      <c r="J973" s="22"/>
      <c r="K973" s="22"/>
      <c r="L973" s="25" t="str">
        <f aca="false">IF(F973="","",IF(AND(H973&lt;&gt;"",COUNTIF(Pessoas!$E:$E,H973)&gt;0),"SIM",IF(COUNTIF(Pessoas!$C:$C,F973)&gt;0,"nome igual em Pessoas: confira o CPF","")))</f>
        <v/>
      </c>
      <c r="M973" s="24"/>
      <c r="N973" s="11"/>
    </row>
    <row r="974" customFormat="false" ht="15" hidden="false" customHeight="false" outlineLevel="0" collapsed="false">
      <c r="A974" s="24"/>
      <c r="B974" s="31" t="str">
        <f aca="false">IF(A974="","",IF(LEN(UPPER(SUBSTITUTE(SUBSTITUTE(SUBSTITUTE(SUBSTITUTE(TRIM(A974),".",""),"/",""),"-","")," ","")))&lt;14,RIGHT(REPT("0",14)&amp;UPPER(SUBSTITUTE(SUBSTITUTE(SUBSTITUTE(SUBSTITUTE(TRIM(A974),".",""),"/",""),"-","")," ","")),14),UPPER(SUBSTITUTE(SUBSTITUTE(SUBSTITUTE(SUBSTITUTE(TRIM(A974),".",""),"/",""),"-","")," ",""))))</f>
        <v/>
      </c>
      <c r="C974" s="25" t="str">
        <f aca="false">IF(B974="","",IFERROR(INDEX(Empresas!$C:$C,MATCH(B974,Empresas!$B:$B,0)),"cadastre o CNPJ em Empresas"))</f>
        <v/>
      </c>
      <c r="D974" s="23"/>
      <c r="E974" s="24"/>
      <c r="F974" s="31" t="str">
        <f aca="false">IF(D974="","",SUBSTITUTE(SUBSTITUTE(SUBSTITUTE(SUBSTITUTE(SUBSTITUTE(SUBSTITUTE(SUBSTITUTE(SUBSTITUTE(SUBSTITUTE(SUBSTITUTE(SUBSTITUTE(SUBSTITUTE(SUBSTITUTE(UPPER(TRIM(D974)),"Á","A"),"À","A"),"Â","A"),"Ã","A"),"É","E"),"Ê","E"),"Í","I"),"Ó","O"),"Ô","O"),"Õ","O"),"Ú","U"),"Ü","U"),"Ç","C"))</f>
        <v/>
      </c>
      <c r="G974" s="31" t="str">
        <f aca="false">IF(E974="","",IF(LEN(SUBSTITUTE(SUBSTITUTE(SUBSTITUTE(SUBSTITUTE(TRIM(E974),"*",""),".",""),"-","")," ",""))=11,MID(SUBSTITUTE(SUBSTITUTE(SUBSTITUTE(SUBSTITUTE(TRIM(E974),"*",""),".",""),"-","")," ",""),4,6),SUBSTITUTE(SUBSTITUTE(SUBSTITUTE(SUBSTITUTE(TRIM(E974),"*",""),".",""),"-","")," ","")))</f>
        <v/>
      </c>
      <c r="H974" s="31" t="str">
        <f aca="false">IF(OR(F974="",G974=""),"",F974&amp;"|"&amp;G974)</f>
        <v/>
      </c>
      <c r="I974" s="23"/>
      <c r="J974" s="22"/>
      <c r="K974" s="22"/>
      <c r="L974" s="25" t="str">
        <f aca="false">IF(F974="","",IF(AND(H974&lt;&gt;"",COUNTIF(Pessoas!$E:$E,H974)&gt;0),"SIM",IF(COUNTIF(Pessoas!$C:$C,F974)&gt;0,"nome igual em Pessoas: confira o CPF","")))</f>
        <v/>
      </c>
      <c r="M974" s="24"/>
      <c r="N974" s="11"/>
    </row>
    <row r="975" customFormat="false" ht="15" hidden="false" customHeight="false" outlineLevel="0" collapsed="false">
      <c r="A975" s="24"/>
      <c r="B975" s="31" t="str">
        <f aca="false">IF(A975="","",IF(LEN(UPPER(SUBSTITUTE(SUBSTITUTE(SUBSTITUTE(SUBSTITUTE(TRIM(A975),".",""),"/",""),"-","")," ","")))&lt;14,RIGHT(REPT("0",14)&amp;UPPER(SUBSTITUTE(SUBSTITUTE(SUBSTITUTE(SUBSTITUTE(TRIM(A975),".",""),"/",""),"-","")," ","")),14),UPPER(SUBSTITUTE(SUBSTITUTE(SUBSTITUTE(SUBSTITUTE(TRIM(A975),".",""),"/",""),"-","")," ",""))))</f>
        <v/>
      </c>
      <c r="C975" s="25" t="str">
        <f aca="false">IF(B975="","",IFERROR(INDEX(Empresas!$C:$C,MATCH(B975,Empresas!$B:$B,0)),"cadastre o CNPJ em Empresas"))</f>
        <v/>
      </c>
      <c r="D975" s="23"/>
      <c r="E975" s="24"/>
      <c r="F975" s="31" t="str">
        <f aca="false">IF(D975="","",SUBSTITUTE(SUBSTITUTE(SUBSTITUTE(SUBSTITUTE(SUBSTITUTE(SUBSTITUTE(SUBSTITUTE(SUBSTITUTE(SUBSTITUTE(SUBSTITUTE(SUBSTITUTE(SUBSTITUTE(SUBSTITUTE(UPPER(TRIM(D975)),"Á","A"),"À","A"),"Â","A"),"Ã","A"),"É","E"),"Ê","E"),"Í","I"),"Ó","O"),"Ô","O"),"Õ","O"),"Ú","U"),"Ü","U"),"Ç","C"))</f>
        <v/>
      </c>
      <c r="G975" s="31" t="str">
        <f aca="false">IF(E975="","",IF(LEN(SUBSTITUTE(SUBSTITUTE(SUBSTITUTE(SUBSTITUTE(TRIM(E975),"*",""),".",""),"-","")," ",""))=11,MID(SUBSTITUTE(SUBSTITUTE(SUBSTITUTE(SUBSTITUTE(TRIM(E975),"*",""),".",""),"-","")," ",""),4,6),SUBSTITUTE(SUBSTITUTE(SUBSTITUTE(SUBSTITUTE(TRIM(E975),"*",""),".",""),"-","")," ","")))</f>
        <v/>
      </c>
      <c r="H975" s="31" t="str">
        <f aca="false">IF(OR(F975="",G975=""),"",F975&amp;"|"&amp;G975)</f>
        <v/>
      </c>
      <c r="I975" s="23"/>
      <c r="J975" s="22"/>
      <c r="K975" s="22"/>
      <c r="L975" s="25" t="str">
        <f aca="false">IF(F975="","",IF(AND(H975&lt;&gt;"",COUNTIF(Pessoas!$E:$E,H975)&gt;0),"SIM",IF(COUNTIF(Pessoas!$C:$C,F975)&gt;0,"nome igual em Pessoas: confira o CPF","")))</f>
        <v/>
      </c>
      <c r="M975" s="24"/>
      <c r="N975" s="11"/>
    </row>
    <row r="976" customFormat="false" ht="15" hidden="false" customHeight="false" outlineLevel="0" collapsed="false">
      <c r="A976" s="24"/>
      <c r="B976" s="31" t="str">
        <f aca="false">IF(A976="","",IF(LEN(UPPER(SUBSTITUTE(SUBSTITUTE(SUBSTITUTE(SUBSTITUTE(TRIM(A976),".",""),"/",""),"-","")," ","")))&lt;14,RIGHT(REPT("0",14)&amp;UPPER(SUBSTITUTE(SUBSTITUTE(SUBSTITUTE(SUBSTITUTE(TRIM(A976),".",""),"/",""),"-","")," ","")),14),UPPER(SUBSTITUTE(SUBSTITUTE(SUBSTITUTE(SUBSTITUTE(TRIM(A976),".",""),"/",""),"-","")," ",""))))</f>
        <v/>
      </c>
      <c r="C976" s="25" t="str">
        <f aca="false">IF(B976="","",IFERROR(INDEX(Empresas!$C:$C,MATCH(B976,Empresas!$B:$B,0)),"cadastre o CNPJ em Empresas"))</f>
        <v/>
      </c>
      <c r="D976" s="23"/>
      <c r="E976" s="24"/>
      <c r="F976" s="31" t="str">
        <f aca="false">IF(D976="","",SUBSTITUTE(SUBSTITUTE(SUBSTITUTE(SUBSTITUTE(SUBSTITUTE(SUBSTITUTE(SUBSTITUTE(SUBSTITUTE(SUBSTITUTE(SUBSTITUTE(SUBSTITUTE(SUBSTITUTE(SUBSTITUTE(UPPER(TRIM(D976)),"Á","A"),"À","A"),"Â","A"),"Ã","A"),"É","E"),"Ê","E"),"Í","I"),"Ó","O"),"Ô","O"),"Õ","O"),"Ú","U"),"Ü","U"),"Ç","C"))</f>
        <v/>
      </c>
      <c r="G976" s="31" t="str">
        <f aca="false">IF(E976="","",IF(LEN(SUBSTITUTE(SUBSTITUTE(SUBSTITUTE(SUBSTITUTE(TRIM(E976),"*",""),".",""),"-","")," ",""))=11,MID(SUBSTITUTE(SUBSTITUTE(SUBSTITUTE(SUBSTITUTE(TRIM(E976),"*",""),".",""),"-","")," ",""),4,6),SUBSTITUTE(SUBSTITUTE(SUBSTITUTE(SUBSTITUTE(TRIM(E976),"*",""),".",""),"-","")," ","")))</f>
        <v/>
      </c>
      <c r="H976" s="31" t="str">
        <f aca="false">IF(OR(F976="",G976=""),"",F976&amp;"|"&amp;G976)</f>
        <v/>
      </c>
      <c r="I976" s="23"/>
      <c r="J976" s="22"/>
      <c r="K976" s="22"/>
      <c r="L976" s="25" t="str">
        <f aca="false">IF(F976="","",IF(AND(H976&lt;&gt;"",COUNTIF(Pessoas!$E:$E,H976)&gt;0),"SIM",IF(COUNTIF(Pessoas!$C:$C,F976)&gt;0,"nome igual em Pessoas: confira o CPF","")))</f>
        <v/>
      </c>
      <c r="M976" s="24"/>
      <c r="N976" s="11"/>
    </row>
    <row r="977" customFormat="false" ht="15" hidden="false" customHeight="false" outlineLevel="0" collapsed="false">
      <c r="A977" s="24"/>
      <c r="B977" s="31" t="str">
        <f aca="false">IF(A977="","",IF(LEN(UPPER(SUBSTITUTE(SUBSTITUTE(SUBSTITUTE(SUBSTITUTE(TRIM(A977),".",""),"/",""),"-","")," ","")))&lt;14,RIGHT(REPT("0",14)&amp;UPPER(SUBSTITUTE(SUBSTITUTE(SUBSTITUTE(SUBSTITUTE(TRIM(A977),".",""),"/",""),"-","")," ","")),14),UPPER(SUBSTITUTE(SUBSTITUTE(SUBSTITUTE(SUBSTITUTE(TRIM(A977),".",""),"/",""),"-","")," ",""))))</f>
        <v/>
      </c>
      <c r="C977" s="25" t="str">
        <f aca="false">IF(B977="","",IFERROR(INDEX(Empresas!$C:$C,MATCH(B977,Empresas!$B:$B,0)),"cadastre o CNPJ em Empresas"))</f>
        <v/>
      </c>
      <c r="D977" s="23"/>
      <c r="E977" s="24"/>
      <c r="F977" s="31" t="str">
        <f aca="false">IF(D977="","",SUBSTITUTE(SUBSTITUTE(SUBSTITUTE(SUBSTITUTE(SUBSTITUTE(SUBSTITUTE(SUBSTITUTE(SUBSTITUTE(SUBSTITUTE(SUBSTITUTE(SUBSTITUTE(SUBSTITUTE(SUBSTITUTE(UPPER(TRIM(D977)),"Á","A"),"À","A"),"Â","A"),"Ã","A"),"É","E"),"Ê","E"),"Í","I"),"Ó","O"),"Ô","O"),"Õ","O"),"Ú","U"),"Ü","U"),"Ç","C"))</f>
        <v/>
      </c>
      <c r="G977" s="31" t="str">
        <f aca="false">IF(E977="","",IF(LEN(SUBSTITUTE(SUBSTITUTE(SUBSTITUTE(SUBSTITUTE(TRIM(E977),"*",""),".",""),"-","")," ",""))=11,MID(SUBSTITUTE(SUBSTITUTE(SUBSTITUTE(SUBSTITUTE(TRIM(E977),"*",""),".",""),"-","")," ",""),4,6),SUBSTITUTE(SUBSTITUTE(SUBSTITUTE(SUBSTITUTE(TRIM(E977),"*",""),".",""),"-","")," ","")))</f>
        <v/>
      </c>
      <c r="H977" s="31" t="str">
        <f aca="false">IF(OR(F977="",G977=""),"",F977&amp;"|"&amp;G977)</f>
        <v/>
      </c>
      <c r="I977" s="23"/>
      <c r="J977" s="22"/>
      <c r="K977" s="22"/>
      <c r="L977" s="25" t="str">
        <f aca="false">IF(F977="","",IF(AND(H977&lt;&gt;"",COUNTIF(Pessoas!$E:$E,H977)&gt;0),"SIM",IF(COUNTIF(Pessoas!$C:$C,F977)&gt;0,"nome igual em Pessoas: confira o CPF","")))</f>
        <v/>
      </c>
      <c r="M977" s="24"/>
      <c r="N977" s="11"/>
    </row>
    <row r="978" customFormat="false" ht="15" hidden="false" customHeight="false" outlineLevel="0" collapsed="false">
      <c r="A978" s="24"/>
      <c r="B978" s="31" t="str">
        <f aca="false">IF(A978="","",IF(LEN(UPPER(SUBSTITUTE(SUBSTITUTE(SUBSTITUTE(SUBSTITUTE(TRIM(A978),".",""),"/",""),"-","")," ","")))&lt;14,RIGHT(REPT("0",14)&amp;UPPER(SUBSTITUTE(SUBSTITUTE(SUBSTITUTE(SUBSTITUTE(TRIM(A978),".",""),"/",""),"-","")," ","")),14),UPPER(SUBSTITUTE(SUBSTITUTE(SUBSTITUTE(SUBSTITUTE(TRIM(A978),".",""),"/",""),"-","")," ",""))))</f>
        <v/>
      </c>
      <c r="C978" s="25" t="str">
        <f aca="false">IF(B978="","",IFERROR(INDEX(Empresas!$C:$C,MATCH(B978,Empresas!$B:$B,0)),"cadastre o CNPJ em Empresas"))</f>
        <v/>
      </c>
      <c r="D978" s="23"/>
      <c r="E978" s="24"/>
      <c r="F978" s="31" t="str">
        <f aca="false">IF(D978="","",SUBSTITUTE(SUBSTITUTE(SUBSTITUTE(SUBSTITUTE(SUBSTITUTE(SUBSTITUTE(SUBSTITUTE(SUBSTITUTE(SUBSTITUTE(SUBSTITUTE(SUBSTITUTE(SUBSTITUTE(SUBSTITUTE(UPPER(TRIM(D978)),"Á","A"),"À","A"),"Â","A"),"Ã","A"),"É","E"),"Ê","E"),"Í","I"),"Ó","O"),"Ô","O"),"Õ","O"),"Ú","U"),"Ü","U"),"Ç","C"))</f>
        <v/>
      </c>
      <c r="G978" s="31" t="str">
        <f aca="false">IF(E978="","",IF(LEN(SUBSTITUTE(SUBSTITUTE(SUBSTITUTE(SUBSTITUTE(TRIM(E978),"*",""),".",""),"-","")," ",""))=11,MID(SUBSTITUTE(SUBSTITUTE(SUBSTITUTE(SUBSTITUTE(TRIM(E978),"*",""),".",""),"-","")," ",""),4,6),SUBSTITUTE(SUBSTITUTE(SUBSTITUTE(SUBSTITUTE(TRIM(E978),"*",""),".",""),"-","")," ","")))</f>
        <v/>
      </c>
      <c r="H978" s="31" t="str">
        <f aca="false">IF(OR(F978="",G978=""),"",F978&amp;"|"&amp;G978)</f>
        <v/>
      </c>
      <c r="I978" s="23"/>
      <c r="J978" s="22"/>
      <c r="K978" s="22"/>
      <c r="L978" s="25" t="str">
        <f aca="false">IF(F978="","",IF(AND(H978&lt;&gt;"",COUNTIF(Pessoas!$E:$E,H978)&gt;0),"SIM",IF(COUNTIF(Pessoas!$C:$C,F978)&gt;0,"nome igual em Pessoas: confira o CPF","")))</f>
        <v/>
      </c>
      <c r="M978" s="24"/>
      <c r="N978" s="11"/>
    </row>
    <row r="979" customFormat="false" ht="15" hidden="false" customHeight="false" outlineLevel="0" collapsed="false">
      <c r="A979" s="24"/>
      <c r="B979" s="31" t="str">
        <f aca="false">IF(A979="","",IF(LEN(UPPER(SUBSTITUTE(SUBSTITUTE(SUBSTITUTE(SUBSTITUTE(TRIM(A979),".",""),"/",""),"-","")," ","")))&lt;14,RIGHT(REPT("0",14)&amp;UPPER(SUBSTITUTE(SUBSTITUTE(SUBSTITUTE(SUBSTITUTE(TRIM(A979),".",""),"/",""),"-","")," ","")),14),UPPER(SUBSTITUTE(SUBSTITUTE(SUBSTITUTE(SUBSTITUTE(TRIM(A979),".",""),"/",""),"-","")," ",""))))</f>
        <v/>
      </c>
      <c r="C979" s="25" t="str">
        <f aca="false">IF(B979="","",IFERROR(INDEX(Empresas!$C:$C,MATCH(B979,Empresas!$B:$B,0)),"cadastre o CNPJ em Empresas"))</f>
        <v/>
      </c>
      <c r="D979" s="23"/>
      <c r="E979" s="24"/>
      <c r="F979" s="31" t="str">
        <f aca="false">IF(D979="","",SUBSTITUTE(SUBSTITUTE(SUBSTITUTE(SUBSTITUTE(SUBSTITUTE(SUBSTITUTE(SUBSTITUTE(SUBSTITUTE(SUBSTITUTE(SUBSTITUTE(SUBSTITUTE(SUBSTITUTE(SUBSTITUTE(UPPER(TRIM(D979)),"Á","A"),"À","A"),"Â","A"),"Ã","A"),"É","E"),"Ê","E"),"Í","I"),"Ó","O"),"Ô","O"),"Õ","O"),"Ú","U"),"Ü","U"),"Ç","C"))</f>
        <v/>
      </c>
      <c r="G979" s="31" t="str">
        <f aca="false">IF(E979="","",IF(LEN(SUBSTITUTE(SUBSTITUTE(SUBSTITUTE(SUBSTITUTE(TRIM(E979),"*",""),".",""),"-","")," ",""))=11,MID(SUBSTITUTE(SUBSTITUTE(SUBSTITUTE(SUBSTITUTE(TRIM(E979),"*",""),".",""),"-","")," ",""),4,6),SUBSTITUTE(SUBSTITUTE(SUBSTITUTE(SUBSTITUTE(TRIM(E979),"*",""),".",""),"-","")," ","")))</f>
        <v/>
      </c>
      <c r="H979" s="31" t="str">
        <f aca="false">IF(OR(F979="",G979=""),"",F979&amp;"|"&amp;G979)</f>
        <v/>
      </c>
      <c r="I979" s="23"/>
      <c r="J979" s="22"/>
      <c r="K979" s="22"/>
      <c r="L979" s="25" t="str">
        <f aca="false">IF(F979="","",IF(AND(H979&lt;&gt;"",COUNTIF(Pessoas!$E:$E,H979)&gt;0),"SIM",IF(COUNTIF(Pessoas!$C:$C,F979)&gt;0,"nome igual em Pessoas: confira o CPF","")))</f>
        <v/>
      </c>
      <c r="M979" s="24"/>
      <c r="N979" s="11"/>
    </row>
    <row r="980" customFormat="false" ht="15" hidden="false" customHeight="false" outlineLevel="0" collapsed="false">
      <c r="A980" s="24"/>
      <c r="B980" s="31" t="str">
        <f aca="false">IF(A980="","",IF(LEN(UPPER(SUBSTITUTE(SUBSTITUTE(SUBSTITUTE(SUBSTITUTE(TRIM(A980),".",""),"/",""),"-","")," ","")))&lt;14,RIGHT(REPT("0",14)&amp;UPPER(SUBSTITUTE(SUBSTITUTE(SUBSTITUTE(SUBSTITUTE(TRIM(A980),".",""),"/",""),"-","")," ","")),14),UPPER(SUBSTITUTE(SUBSTITUTE(SUBSTITUTE(SUBSTITUTE(TRIM(A980),".",""),"/",""),"-","")," ",""))))</f>
        <v/>
      </c>
      <c r="C980" s="25" t="str">
        <f aca="false">IF(B980="","",IFERROR(INDEX(Empresas!$C:$C,MATCH(B980,Empresas!$B:$B,0)),"cadastre o CNPJ em Empresas"))</f>
        <v/>
      </c>
      <c r="D980" s="23"/>
      <c r="E980" s="24"/>
      <c r="F980" s="31" t="str">
        <f aca="false">IF(D980="","",SUBSTITUTE(SUBSTITUTE(SUBSTITUTE(SUBSTITUTE(SUBSTITUTE(SUBSTITUTE(SUBSTITUTE(SUBSTITUTE(SUBSTITUTE(SUBSTITUTE(SUBSTITUTE(SUBSTITUTE(SUBSTITUTE(UPPER(TRIM(D980)),"Á","A"),"À","A"),"Â","A"),"Ã","A"),"É","E"),"Ê","E"),"Í","I"),"Ó","O"),"Ô","O"),"Õ","O"),"Ú","U"),"Ü","U"),"Ç","C"))</f>
        <v/>
      </c>
      <c r="G980" s="31" t="str">
        <f aca="false">IF(E980="","",IF(LEN(SUBSTITUTE(SUBSTITUTE(SUBSTITUTE(SUBSTITUTE(TRIM(E980),"*",""),".",""),"-","")," ",""))=11,MID(SUBSTITUTE(SUBSTITUTE(SUBSTITUTE(SUBSTITUTE(TRIM(E980),"*",""),".",""),"-","")," ",""),4,6),SUBSTITUTE(SUBSTITUTE(SUBSTITUTE(SUBSTITUTE(TRIM(E980),"*",""),".",""),"-","")," ","")))</f>
        <v/>
      </c>
      <c r="H980" s="31" t="str">
        <f aca="false">IF(OR(F980="",G980=""),"",F980&amp;"|"&amp;G980)</f>
        <v/>
      </c>
      <c r="I980" s="23"/>
      <c r="J980" s="22"/>
      <c r="K980" s="22"/>
      <c r="L980" s="25" t="str">
        <f aca="false">IF(F980="","",IF(AND(H980&lt;&gt;"",COUNTIF(Pessoas!$E:$E,H980)&gt;0),"SIM",IF(COUNTIF(Pessoas!$C:$C,F980)&gt;0,"nome igual em Pessoas: confira o CPF","")))</f>
        <v/>
      </c>
      <c r="M980" s="24"/>
      <c r="N980" s="11"/>
    </row>
    <row r="981" customFormat="false" ht="15" hidden="false" customHeight="false" outlineLevel="0" collapsed="false">
      <c r="A981" s="24"/>
      <c r="B981" s="31" t="str">
        <f aca="false">IF(A981="","",IF(LEN(UPPER(SUBSTITUTE(SUBSTITUTE(SUBSTITUTE(SUBSTITUTE(TRIM(A981),".",""),"/",""),"-","")," ","")))&lt;14,RIGHT(REPT("0",14)&amp;UPPER(SUBSTITUTE(SUBSTITUTE(SUBSTITUTE(SUBSTITUTE(TRIM(A981),".",""),"/",""),"-","")," ","")),14),UPPER(SUBSTITUTE(SUBSTITUTE(SUBSTITUTE(SUBSTITUTE(TRIM(A981),".",""),"/",""),"-","")," ",""))))</f>
        <v/>
      </c>
      <c r="C981" s="25" t="str">
        <f aca="false">IF(B981="","",IFERROR(INDEX(Empresas!$C:$C,MATCH(B981,Empresas!$B:$B,0)),"cadastre o CNPJ em Empresas"))</f>
        <v/>
      </c>
      <c r="D981" s="23"/>
      <c r="E981" s="24"/>
      <c r="F981" s="31" t="str">
        <f aca="false">IF(D981="","",SUBSTITUTE(SUBSTITUTE(SUBSTITUTE(SUBSTITUTE(SUBSTITUTE(SUBSTITUTE(SUBSTITUTE(SUBSTITUTE(SUBSTITUTE(SUBSTITUTE(SUBSTITUTE(SUBSTITUTE(SUBSTITUTE(UPPER(TRIM(D981)),"Á","A"),"À","A"),"Â","A"),"Ã","A"),"É","E"),"Ê","E"),"Í","I"),"Ó","O"),"Ô","O"),"Õ","O"),"Ú","U"),"Ü","U"),"Ç","C"))</f>
        <v/>
      </c>
      <c r="G981" s="31" t="str">
        <f aca="false">IF(E981="","",IF(LEN(SUBSTITUTE(SUBSTITUTE(SUBSTITUTE(SUBSTITUTE(TRIM(E981),"*",""),".",""),"-","")," ",""))=11,MID(SUBSTITUTE(SUBSTITUTE(SUBSTITUTE(SUBSTITUTE(TRIM(E981),"*",""),".",""),"-","")," ",""),4,6),SUBSTITUTE(SUBSTITUTE(SUBSTITUTE(SUBSTITUTE(TRIM(E981),"*",""),".",""),"-","")," ","")))</f>
        <v/>
      </c>
      <c r="H981" s="31" t="str">
        <f aca="false">IF(OR(F981="",G981=""),"",F981&amp;"|"&amp;G981)</f>
        <v/>
      </c>
      <c r="I981" s="23"/>
      <c r="J981" s="22"/>
      <c r="K981" s="22"/>
      <c r="L981" s="25" t="str">
        <f aca="false">IF(F981="","",IF(AND(H981&lt;&gt;"",COUNTIF(Pessoas!$E:$E,H981)&gt;0),"SIM",IF(COUNTIF(Pessoas!$C:$C,F981)&gt;0,"nome igual em Pessoas: confira o CPF","")))</f>
        <v/>
      </c>
      <c r="M981" s="24"/>
      <c r="N981" s="11"/>
    </row>
    <row r="982" customFormat="false" ht="15" hidden="false" customHeight="false" outlineLevel="0" collapsed="false">
      <c r="A982" s="24"/>
      <c r="B982" s="31" t="str">
        <f aca="false">IF(A982="","",IF(LEN(UPPER(SUBSTITUTE(SUBSTITUTE(SUBSTITUTE(SUBSTITUTE(TRIM(A982),".",""),"/",""),"-","")," ","")))&lt;14,RIGHT(REPT("0",14)&amp;UPPER(SUBSTITUTE(SUBSTITUTE(SUBSTITUTE(SUBSTITUTE(TRIM(A982),".",""),"/",""),"-","")," ","")),14),UPPER(SUBSTITUTE(SUBSTITUTE(SUBSTITUTE(SUBSTITUTE(TRIM(A982),".",""),"/",""),"-","")," ",""))))</f>
        <v/>
      </c>
      <c r="C982" s="25" t="str">
        <f aca="false">IF(B982="","",IFERROR(INDEX(Empresas!$C:$C,MATCH(B982,Empresas!$B:$B,0)),"cadastre o CNPJ em Empresas"))</f>
        <v/>
      </c>
      <c r="D982" s="23"/>
      <c r="E982" s="24"/>
      <c r="F982" s="31" t="str">
        <f aca="false">IF(D982="","",SUBSTITUTE(SUBSTITUTE(SUBSTITUTE(SUBSTITUTE(SUBSTITUTE(SUBSTITUTE(SUBSTITUTE(SUBSTITUTE(SUBSTITUTE(SUBSTITUTE(SUBSTITUTE(SUBSTITUTE(SUBSTITUTE(UPPER(TRIM(D982)),"Á","A"),"À","A"),"Â","A"),"Ã","A"),"É","E"),"Ê","E"),"Í","I"),"Ó","O"),"Ô","O"),"Õ","O"),"Ú","U"),"Ü","U"),"Ç","C"))</f>
        <v/>
      </c>
      <c r="G982" s="31" t="str">
        <f aca="false">IF(E982="","",IF(LEN(SUBSTITUTE(SUBSTITUTE(SUBSTITUTE(SUBSTITUTE(TRIM(E982),"*",""),".",""),"-","")," ",""))=11,MID(SUBSTITUTE(SUBSTITUTE(SUBSTITUTE(SUBSTITUTE(TRIM(E982),"*",""),".",""),"-","")," ",""),4,6),SUBSTITUTE(SUBSTITUTE(SUBSTITUTE(SUBSTITUTE(TRIM(E982),"*",""),".",""),"-","")," ","")))</f>
        <v/>
      </c>
      <c r="H982" s="31" t="str">
        <f aca="false">IF(OR(F982="",G982=""),"",F982&amp;"|"&amp;G982)</f>
        <v/>
      </c>
      <c r="I982" s="23"/>
      <c r="J982" s="22"/>
      <c r="K982" s="22"/>
      <c r="L982" s="25" t="str">
        <f aca="false">IF(F982="","",IF(AND(H982&lt;&gt;"",COUNTIF(Pessoas!$E:$E,H982)&gt;0),"SIM",IF(COUNTIF(Pessoas!$C:$C,F982)&gt;0,"nome igual em Pessoas: confira o CPF","")))</f>
        <v/>
      </c>
      <c r="M982" s="24"/>
      <c r="N982" s="11"/>
    </row>
    <row r="983" customFormat="false" ht="15" hidden="false" customHeight="false" outlineLevel="0" collapsed="false">
      <c r="A983" s="24"/>
      <c r="B983" s="31" t="str">
        <f aca="false">IF(A983="","",IF(LEN(UPPER(SUBSTITUTE(SUBSTITUTE(SUBSTITUTE(SUBSTITUTE(TRIM(A983),".",""),"/",""),"-","")," ","")))&lt;14,RIGHT(REPT("0",14)&amp;UPPER(SUBSTITUTE(SUBSTITUTE(SUBSTITUTE(SUBSTITUTE(TRIM(A983),".",""),"/",""),"-","")," ","")),14),UPPER(SUBSTITUTE(SUBSTITUTE(SUBSTITUTE(SUBSTITUTE(TRIM(A983),".",""),"/",""),"-","")," ",""))))</f>
        <v/>
      </c>
      <c r="C983" s="25" t="str">
        <f aca="false">IF(B983="","",IFERROR(INDEX(Empresas!$C:$C,MATCH(B983,Empresas!$B:$B,0)),"cadastre o CNPJ em Empresas"))</f>
        <v/>
      </c>
      <c r="D983" s="23"/>
      <c r="E983" s="24"/>
      <c r="F983" s="31" t="str">
        <f aca="false">IF(D983="","",SUBSTITUTE(SUBSTITUTE(SUBSTITUTE(SUBSTITUTE(SUBSTITUTE(SUBSTITUTE(SUBSTITUTE(SUBSTITUTE(SUBSTITUTE(SUBSTITUTE(SUBSTITUTE(SUBSTITUTE(SUBSTITUTE(UPPER(TRIM(D983)),"Á","A"),"À","A"),"Â","A"),"Ã","A"),"É","E"),"Ê","E"),"Í","I"),"Ó","O"),"Ô","O"),"Õ","O"),"Ú","U"),"Ü","U"),"Ç","C"))</f>
        <v/>
      </c>
      <c r="G983" s="31" t="str">
        <f aca="false">IF(E983="","",IF(LEN(SUBSTITUTE(SUBSTITUTE(SUBSTITUTE(SUBSTITUTE(TRIM(E983),"*",""),".",""),"-","")," ",""))=11,MID(SUBSTITUTE(SUBSTITUTE(SUBSTITUTE(SUBSTITUTE(TRIM(E983),"*",""),".",""),"-","")," ",""),4,6),SUBSTITUTE(SUBSTITUTE(SUBSTITUTE(SUBSTITUTE(TRIM(E983),"*",""),".",""),"-","")," ","")))</f>
        <v/>
      </c>
      <c r="H983" s="31" t="str">
        <f aca="false">IF(OR(F983="",G983=""),"",F983&amp;"|"&amp;G983)</f>
        <v/>
      </c>
      <c r="I983" s="23"/>
      <c r="J983" s="22"/>
      <c r="K983" s="22"/>
      <c r="L983" s="25" t="str">
        <f aca="false">IF(F983="","",IF(AND(H983&lt;&gt;"",COUNTIF(Pessoas!$E:$E,H983)&gt;0),"SIM",IF(COUNTIF(Pessoas!$C:$C,F983)&gt;0,"nome igual em Pessoas: confira o CPF","")))</f>
        <v/>
      </c>
      <c r="M983" s="24"/>
      <c r="N983" s="11"/>
    </row>
    <row r="984" customFormat="false" ht="15" hidden="false" customHeight="false" outlineLevel="0" collapsed="false">
      <c r="A984" s="24"/>
      <c r="B984" s="31" t="str">
        <f aca="false">IF(A984="","",IF(LEN(UPPER(SUBSTITUTE(SUBSTITUTE(SUBSTITUTE(SUBSTITUTE(TRIM(A984),".",""),"/",""),"-","")," ","")))&lt;14,RIGHT(REPT("0",14)&amp;UPPER(SUBSTITUTE(SUBSTITUTE(SUBSTITUTE(SUBSTITUTE(TRIM(A984),".",""),"/",""),"-","")," ","")),14),UPPER(SUBSTITUTE(SUBSTITUTE(SUBSTITUTE(SUBSTITUTE(TRIM(A984),".",""),"/",""),"-","")," ",""))))</f>
        <v/>
      </c>
      <c r="C984" s="25" t="str">
        <f aca="false">IF(B984="","",IFERROR(INDEX(Empresas!$C:$C,MATCH(B984,Empresas!$B:$B,0)),"cadastre o CNPJ em Empresas"))</f>
        <v/>
      </c>
      <c r="D984" s="23"/>
      <c r="E984" s="24"/>
      <c r="F984" s="31" t="str">
        <f aca="false">IF(D984="","",SUBSTITUTE(SUBSTITUTE(SUBSTITUTE(SUBSTITUTE(SUBSTITUTE(SUBSTITUTE(SUBSTITUTE(SUBSTITUTE(SUBSTITUTE(SUBSTITUTE(SUBSTITUTE(SUBSTITUTE(SUBSTITUTE(UPPER(TRIM(D984)),"Á","A"),"À","A"),"Â","A"),"Ã","A"),"É","E"),"Ê","E"),"Í","I"),"Ó","O"),"Ô","O"),"Õ","O"),"Ú","U"),"Ü","U"),"Ç","C"))</f>
        <v/>
      </c>
      <c r="G984" s="31" t="str">
        <f aca="false">IF(E984="","",IF(LEN(SUBSTITUTE(SUBSTITUTE(SUBSTITUTE(SUBSTITUTE(TRIM(E984),"*",""),".",""),"-","")," ",""))=11,MID(SUBSTITUTE(SUBSTITUTE(SUBSTITUTE(SUBSTITUTE(TRIM(E984),"*",""),".",""),"-","")," ",""),4,6),SUBSTITUTE(SUBSTITUTE(SUBSTITUTE(SUBSTITUTE(TRIM(E984),"*",""),".",""),"-","")," ","")))</f>
        <v/>
      </c>
      <c r="H984" s="31" t="str">
        <f aca="false">IF(OR(F984="",G984=""),"",F984&amp;"|"&amp;G984)</f>
        <v/>
      </c>
      <c r="I984" s="23"/>
      <c r="J984" s="22"/>
      <c r="K984" s="22"/>
      <c r="L984" s="25" t="str">
        <f aca="false">IF(F984="","",IF(AND(H984&lt;&gt;"",COUNTIF(Pessoas!$E:$E,H984)&gt;0),"SIM",IF(COUNTIF(Pessoas!$C:$C,F984)&gt;0,"nome igual em Pessoas: confira o CPF","")))</f>
        <v/>
      </c>
      <c r="M984" s="24"/>
      <c r="N984" s="11"/>
    </row>
    <row r="985" customFormat="false" ht="15" hidden="false" customHeight="false" outlineLevel="0" collapsed="false">
      <c r="A985" s="24"/>
      <c r="B985" s="31" t="str">
        <f aca="false">IF(A985="","",IF(LEN(UPPER(SUBSTITUTE(SUBSTITUTE(SUBSTITUTE(SUBSTITUTE(TRIM(A985),".",""),"/",""),"-","")," ","")))&lt;14,RIGHT(REPT("0",14)&amp;UPPER(SUBSTITUTE(SUBSTITUTE(SUBSTITUTE(SUBSTITUTE(TRIM(A985),".",""),"/",""),"-","")," ","")),14),UPPER(SUBSTITUTE(SUBSTITUTE(SUBSTITUTE(SUBSTITUTE(TRIM(A985),".",""),"/",""),"-","")," ",""))))</f>
        <v/>
      </c>
      <c r="C985" s="25" t="str">
        <f aca="false">IF(B985="","",IFERROR(INDEX(Empresas!$C:$C,MATCH(B985,Empresas!$B:$B,0)),"cadastre o CNPJ em Empresas"))</f>
        <v/>
      </c>
      <c r="D985" s="23"/>
      <c r="E985" s="24"/>
      <c r="F985" s="31" t="str">
        <f aca="false">IF(D985="","",SUBSTITUTE(SUBSTITUTE(SUBSTITUTE(SUBSTITUTE(SUBSTITUTE(SUBSTITUTE(SUBSTITUTE(SUBSTITUTE(SUBSTITUTE(SUBSTITUTE(SUBSTITUTE(SUBSTITUTE(SUBSTITUTE(UPPER(TRIM(D985)),"Á","A"),"À","A"),"Â","A"),"Ã","A"),"É","E"),"Ê","E"),"Í","I"),"Ó","O"),"Ô","O"),"Õ","O"),"Ú","U"),"Ü","U"),"Ç","C"))</f>
        <v/>
      </c>
      <c r="G985" s="31" t="str">
        <f aca="false">IF(E985="","",IF(LEN(SUBSTITUTE(SUBSTITUTE(SUBSTITUTE(SUBSTITUTE(TRIM(E985),"*",""),".",""),"-","")," ",""))=11,MID(SUBSTITUTE(SUBSTITUTE(SUBSTITUTE(SUBSTITUTE(TRIM(E985),"*",""),".",""),"-","")," ",""),4,6),SUBSTITUTE(SUBSTITUTE(SUBSTITUTE(SUBSTITUTE(TRIM(E985),"*",""),".",""),"-","")," ","")))</f>
        <v/>
      </c>
      <c r="H985" s="31" t="str">
        <f aca="false">IF(OR(F985="",G985=""),"",F985&amp;"|"&amp;G985)</f>
        <v/>
      </c>
      <c r="I985" s="23"/>
      <c r="J985" s="22"/>
      <c r="K985" s="22"/>
      <c r="L985" s="25" t="str">
        <f aca="false">IF(F985="","",IF(AND(H985&lt;&gt;"",COUNTIF(Pessoas!$E:$E,H985)&gt;0),"SIM",IF(COUNTIF(Pessoas!$C:$C,F985)&gt;0,"nome igual em Pessoas: confira o CPF","")))</f>
        <v/>
      </c>
      <c r="M985" s="24"/>
      <c r="N985" s="11"/>
    </row>
    <row r="986" customFormat="false" ht="15" hidden="false" customHeight="false" outlineLevel="0" collapsed="false">
      <c r="A986" s="24"/>
      <c r="B986" s="31" t="str">
        <f aca="false">IF(A986="","",IF(LEN(UPPER(SUBSTITUTE(SUBSTITUTE(SUBSTITUTE(SUBSTITUTE(TRIM(A986),".",""),"/",""),"-","")," ","")))&lt;14,RIGHT(REPT("0",14)&amp;UPPER(SUBSTITUTE(SUBSTITUTE(SUBSTITUTE(SUBSTITUTE(TRIM(A986),".",""),"/",""),"-","")," ","")),14),UPPER(SUBSTITUTE(SUBSTITUTE(SUBSTITUTE(SUBSTITUTE(TRIM(A986),".",""),"/",""),"-","")," ",""))))</f>
        <v/>
      </c>
      <c r="C986" s="25" t="str">
        <f aca="false">IF(B986="","",IFERROR(INDEX(Empresas!$C:$C,MATCH(B986,Empresas!$B:$B,0)),"cadastre o CNPJ em Empresas"))</f>
        <v/>
      </c>
      <c r="D986" s="23"/>
      <c r="E986" s="24"/>
      <c r="F986" s="31" t="str">
        <f aca="false">IF(D986="","",SUBSTITUTE(SUBSTITUTE(SUBSTITUTE(SUBSTITUTE(SUBSTITUTE(SUBSTITUTE(SUBSTITUTE(SUBSTITUTE(SUBSTITUTE(SUBSTITUTE(SUBSTITUTE(SUBSTITUTE(SUBSTITUTE(UPPER(TRIM(D986)),"Á","A"),"À","A"),"Â","A"),"Ã","A"),"É","E"),"Ê","E"),"Í","I"),"Ó","O"),"Ô","O"),"Õ","O"),"Ú","U"),"Ü","U"),"Ç","C"))</f>
        <v/>
      </c>
      <c r="G986" s="31" t="str">
        <f aca="false">IF(E986="","",IF(LEN(SUBSTITUTE(SUBSTITUTE(SUBSTITUTE(SUBSTITUTE(TRIM(E986),"*",""),".",""),"-","")," ",""))=11,MID(SUBSTITUTE(SUBSTITUTE(SUBSTITUTE(SUBSTITUTE(TRIM(E986),"*",""),".",""),"-","")," ",""),4,6),SUBSTITUTE(SUBSTITUTE(SUBSTITUTE(SUBSTITUTE(TRIM(E986),"*",""),".",""),"-","")," ","")))</f>
        <v/>
      </c>
      <c r="H986" s="31" t="str">
        <f aca="false">IF(OR(F986="",G986=""),"",F986&amp;"|"&amp;G986)</f>
        <v/>
      </c>
      <c r="I986" s="23"/>
      <c r="J986" s="22"/>
      <c r="K986" s="22"/>
      <c r="L986" s="25" t="str">
        <f aca="false">IF(F986="","",IF(AND(H986&lt;&gt;"",COUNTIF(Pessoas!$E:$E,H986)&gt;0),"SIM",IF(COUNTIF(Pessoas!$C:$C,F986)&gt;0,"nome igual em Pessoas: confira o CPF","")))</f>
        <v/>
      </c>
      <c r="M986" s="24"/>
      <c r="N986" s="11"/>
    </row>
    <row r="987" customFormat="false" ht="15" hidden="false" customHeight="false" outlineLevel="0" collapsed="false">
      <c r="A987" s="24"/>
      <c r="B987" s="31" t="str">
        <f aca="false">IF(A987="","",IF(LEN(UPPER(SUBSTITUTE(SUBSTITUTE(SUBSTITUTE(SUBSTITUTE(TRIM(A987),".",""),"/",""),"-","")," ","")))&lt;14,RIGHT(REPT("0",14)&amp;UPPER(SUBSTITUTE(SUBSTITUTE(SUBSTITUTE(SUBSTITUTE(TRIM(A987),".",""),"/",""),"-","")," ","")),14),UPPER(SUBSTITUTE(SUBSTITUTE(SUBSTITUTE(SUBSTITUTE(TRIM(A987),".",""),"/",""),"-","")," ",""))))</f>
        <v/>
      </c>
      <c r="C987" s="25" t="str">
        <f aca="false">IF(B987="","",IFERROR(INDEX(Empresas!$C:$C,MATCH(B987,Empresas!$B:$B,0)),"cadastre o CNPJ em Empresas"))</f>
        <v/>
      </c>
      <c r="D987" s="23"/>
      <c r="E987" s="24"/>
      <c r="F987" s="31" t="str">
        <f aca="false">IF(D987="","",SUBSTITUTE(SUBSTITUTE(SUBSTITUTE(SUBSTITUTE(SUBSTITUTE(SUBSTITUTE(SUBSTITUTE(SUBSTITUTE(SUBSTITUTE(SUBSTITUTE(SUBSTITUTE(SUBSTITUTE(SUBSTITUTE(UPPER(TRIM(D987)),"Á","A"),"À","A"),"Â","A"),"Ã","A"),"É","E"),"Ê","E"),"Í","I"),"Ó","O"),"Ô","O"),"Õ","O"),"Ú","U"),"Ü","U"),"Ç","C"))</f>
        <v/>
      </c>
      <c r="G987" s="31" t="str">
        <f aca="false">IF(E987="","",IF(LEN(SUBSTITUTE(SUBSTITUTE(SUBSTITUTE(SUBSTITUTE(TRIM(E987),"*",""),".",""),"-","")," ",""))=11,MID(SUBSTITUTE(SUBSTITUTE(SUBSTITUTE(SUBSTITUTE(TRIM(E987),"*",""),".",""),"-","")," ",""),4,6),SUBSTITUTE(SUBSTITUTE(SUBSTITUTE(SUBSTITUTE(TRIM(E987),"*",""),".",""),"-","")," ","")))</f>
        <v/>
      </c>
      <c r="H987" s="31" t="str">
        <f aca="false">IF(OR(F987="",G987=""),"",F987&amp;"|"&amp;G987)</f>
        <v/>
      </c>
      <c r="I987" s="23"/>
      <c r="J987" s="22"/>
      <c r="K987" s="22"/>
      <c r="L987" s="25" t="str">
        <f aca="false">IF(F987="","",IF(AND(H987&lt;&gt;"",COUNTIF(Pessoas!$E:$E,H987)&gt;0),"SIM",IF(COUNTIF(Pessoas!$C:$C,F987)&gt;0,"nome igual em Pessoas: confira o CPF","")))</f>
        <v/>
      </c>
      <c r="M987" s="24"/>
      <c r="N987" s="11"/>
    </row>
    <row r="988" customFormat="false" ht="15" hidden="false" customHeight="false" outlineLevel="0" collapsed="false">
      <c r="A988" s="24"/>
      <c r="B988" s="31" t="str">
        <f aca="false">IF(A988="","",IF(LEN(UPPER(SUBSTITUTE(SUBSTITUTE(SUBSTITUTE(SUBSTITUTE(TRIM(A988),".",""),"/",""),"-","")," ","")))&lt;14,RIGHT(REPT("0",14)&amp;UPPER(SUBSTITUTE(SUBSTITUTE(SUBSTITUTE(SUBSTITUTE(TRIM(A988),".",""),"/",""),"-","")," ","")),14),UPPER(SUBSTITUTE(SUBSTITUTE(SUBSTITUTE(SUBSTITUTE(TRIM(A988),".",""),"/",""),"-","")," ",""))))</f>
        <v/>
      </c>
      <c r="C988" s="25" t="str">
        <f aca="false">IF(B988="","",IFERROR(INDEX(Empresas!$C:$C,MATCH(B988,Empresas!$B:$B,0)),"cadastre o CNPJ em Empresas"))</f>
        <v/>
      </c>
      <c r="D988" s="23"/>
      <c r="E988" s="24"/>
      <c r="F988" s="31" t="str">
        <f aca="false">IF(D988="","",SUBSTITUTE(SUBSTITUTE(SUBSTITUTE(SUBSTITUTE(SUBSTITUTE(SUBSTITUTE(SUBSTITUTE(SUBSTITUTE(SUBSTITUTE(SUBSTITUTE(SUBSTITUTE(SUBSTITUTE(SUBSTITUTE(UPPER(TRIM(D988)),"Á","A"),"À","A"),"Â","A"),"Ã","A"),"É","E"),"Ê","E"),"Í","I"),"Ó","O"),"Ô","O"),"Õ","O"),"Ú","U"),"Ü","U"),"Ç","C"))</f>
        <v/>
      </c>
      <c r="G988" s="31" t="str">
        <f aca="false">IF(E988="","",IF(LEN(SUBSTITUTE(SUBSTITUTE(SUBSTITUTE(SUBSTITUTE(TRIM(E988),"*",""),".",""),"-","")," ",""))=11,MID(SUBSTITUTE(SUBSTITUTE(SUBSTITUTE(SUBSTITUTE(TRIM(E988),"*",""),".",""),"-","")," ",""),4,6),SUBSTITUTE(SUBSTITUTE(SUBSTITUTE(SUBSTITUTE(TRIM(E988),"*",""),".",""),"-","")," ","")))</f>
        <v/>
      </c>
      <c r="H988" s="31" t="str">
        <f aca="false">IF(OR(F988="",G988=""),"",F988&amp;"|"&amp;G988)</f>
        <v/>
      </c>
      <c r="I988" s="23"/>
      <c r="J988" s="22"/>
      <c r="K988" s="22"/>
      <c r="L988" s="25" t="str">
        <f aca="false">IF(F988="","",IF(AND(H988&lt;&gt;"",COUNTIF(Pessoas!$E:$E,H988)&gt;0),"SIM",IF(COUNTIF(Pessoas!$C:$C,F988)&gt;0,"nome igual em Pessoas: confira o CPF","")))</f>
        <v/>
      </c>
      <c r="M988" s="24"/>
      <c r="N988" s="11"/>
    </row>
    <row r="989" customFormat="false" ht="15" hidden="false" customHeight="false" outlineLevel="0" collapsed="false">
      <c r="A989" s="24"/>
      <c r="B989" s="31" t="str">
        <f aca="false">IF(A989="","",IF(LEN(UPPER(SUBSTITUTE(SUBSTITUTE(SUBSTITUTE(SUBSTITUTE(TRIM(A989),".",""),"/",""),"-","")," ","")))&lt;14,RIGHT(REPT("0",14)&amp;UPPER(SUBSTITUTE(SUBSTITUTE(SUBSTITUTE(SUBSTITUTE(TRIM(A989),".",""),"/",""),"-","")," ","")),14),UPPER(SUBSTITUTE(SUBSTITUTE(SUBSTITUTE(SUBSTITUTE(TRIM(A989),".",""),"/",""),"-","")," ",""))))</f>
        <v/>
      </c>
      <c r="C989" s="25" t="str">
        <f aca="false">IF(B989="","",IFERROR(INDEX(Empresas!$C:$C,MATCH(B989,Empresas!$B:$B,0)),"cadastre o CNPJ em Empresas"))</f>
        <v/>
      </c>
      <c r="D989" s="23"/>
      <c r="E989" s="24"/>
      <c r="F989" s="31" t="str">
        <f aca="false">IF(D989="","",SUBSTITUTE(SUBSTITUTE(SUBSTITUTE(SUBSTITUTE(SUBSTITUTE(SUBSTITUTE(SUBSTITUTE(SUBSTITUTE(SUBSTITUTE(SUBSTITUTE(SUBSTITUTE(SUBSTITUTE(SUBSTITUTE(UPPER(TRIM(D989)),"Á","A"),"À","A"),"Â","A"),"Ã","A"),"É","E"),"Ê","E"),"Í","I"),"Ó","O"),"Ô","O"),"Õ","O"),"Ú","U"),"Ü","U"),"Ç","C"))</f>
        <v/>
      </c>
      <c r="G989" s="31" t="str">
        <f aca="false">IF(E989="","",IF(LEN(SUBSTITUTE(SUBSTITUTE(SUBSTITUTE(SUBSTITUTE(TRIM(E989),"*",""),".",""),"-","")," ",""))=11,MID(SUBSTITUTE(SUBSTITUTE(SUBSTITUTE(SUBSTITUTE(TRIM(E989),"*",""),".",""),"-","")," ",""),4,6),SUBSTITUTE(SUBSTITUTE(SUBSTITUTE(SUBSTITUTE(TRIM(E989),"*",""),".",""),"-","")," ","")))</f>
        <v/>
      </c>
      <c r="H989" s="31" t="str">
        <f aca="false">IF(OR(F989="",G989=""),"",F989&amp;"|"&amp;G989)</f>
        <v/>
      </c>
      <c r="I989" s="23"/>
      <c r="J989" s="22"/>
      <c r="K989" s="22"/>
      <c r="L989" s="25" t="str">
        <f aca="false">IF(F989="","",IF(AND(H989&lt;&gt;"",COUNTIF(Pessoas!$E:$E,H989)&gt;0),"SIM",IF(COUNTIF(Pessoas!$C:$C,F989)&gt;0,"nome igual em Pessoas: confira o CPF","")))</f>
        <v/>
      </c>
      <c r="M989" s="24"/>
      <c r="N989" s="11"/>
    </row>
    <row r="990" customFormat="false" ht="15" hidden="false" customHeight="false" outlineLevel="0" collapsed="false">
      <c r="A990" s="24"/>
      <c r="B990" s="31" t="str">
        <f aca="false">IF(A990="","",IF(LEN(UPPER(SUBSTITUTE(SUBSTITUTE(SUBSTITUTE(SUBSTITUTE(TRIM(A990),".",""),"/",""),"-","")," ","")))&lt;14,RIGHT(REPT("0",14)&amp;UPPER(SUBSTITUTE(SUBSTITUTE(SUBSTITUTE(SUBSTITUTE(TRIM(A990),".",""),"/",""),"-","")," ","")),14),UPPER(SUBSTITUTE(SUBSTITUTE(SUBSTITUTE(SUBSTITUTE(TRIM(A990),".",""),"/",""),"-","")," ",""))))</f>
        <v/>
      </c>
      <c r="C990" s="25" t="str">
        <f aca="false">IF(B990="","",IFERROR(INDEX(Empresas!$C:$C,MATCH(B990,Empresas!$B:$B,0)),"cadastre o CNPJ em Empresas"))</f>
        <v/>
      </c>
      <c r="D990" s="23"/>
      <c r="E990" s="24"/>
      <c r="F990" s="31" t="str">
        <f aca="false">IF(D990="","",SUBSTITUTE(SUBSTITUTE(SUBSTITUTE(SUBSTITUTE(SUBSTITUTE(SUBSTITUTE(SUBSTITUTE(SUBSTITUTE(SUBSTITUTE(SUBSTITUTE(SUBSTITUTE(SUBSTITUTE(SUBSTITUTE(UPPER(TRIM(D990)),"Á","A"),"À","A"),"Â","A"),"Ã","A"),"É","E"),"Ê","E"),"Í","I"),"Ó","O"),"Ô","O"),"Õ","O"),"Ú","U"),"Ü","U"),"Ç","C"))</f>
        <v/>
      </c>
      <c r="G990" s="31" t="str">
        <f aca="false">IF(E990="","",IF(LEN(SUBSTITUTE(SUBSTITUTE(SUBSTITUTE(SUBSTITUTE(TRIM(E990),"*",""),".",""),"-","")," ",""))=11,MID(SUBSTITUTE(SUBSTITUTE(SUBSTITUTE(SUBSTITUTE(TRIM(E990),"*",""),".",""),"-","")," ",""),4,6),SUBSTITUTE(SUBSTITUTE(SUBSTITUTE(SUBSTITUTE(TRIM(E990),"*",""),".",""),"-","")," ","")))</f>
        <v/>
      </c>
      <c r="H990" s="31" t="str">
        <f aca="false">IF(OR(F990="",G990=""),"",F990&amp;"|"&amp;G990)</f>
        <v/>
      </c>
      <c r="I990" s="23"/>
      <c r="J990" s="22"/>
      <c r="K990" s="22"/>
      <c r="L990" s="25" t="str">
        <f aca="false">IF(F990="","",IF(AND(H990&lt;&gt;"",COUNTIF(Pessoas!$E:$E,H990)&gt;0),"SIM",IF(COUNTIF(Pessoas!$C:$C,F990)&gt;0,"nome igual em Pessoas: confira o CPF","")))</f>
        <v/>
      </c>
      <c r="M990" s="24"/>
      <c r="N990" s="11"/>
    </row>
    <row r="991" customFormat="false" ht="15" hidden="false" customHeight="false" outlineLevel="0" collapsed="false">
      <c r="A991" s="24"/>
      <c r="B991" s="31" t="str">
        <f aca="false">IF(A991="","",IF(LEN(UPPER(SUBSTITUTE(SUBSTITUTE(SUBSTITUTE(SUBSTITUTE(TRIM(A991),".",""),"/",""),"-","")," ","")))&lt;14,RIGHT(REPT("0",14)&amp;UPPER(SUBSTITUTE(SUBSTITUTE(SUBSTITUTE(SUBSTITUTE(TRIM(A991),".",""),"/",""),"-","")," ","")),14),UPPER(SUBSTITUTE(SUBSTITUTE(SUBSTITUTE(SUBSTITUTE(TRIM(A991),".",""),"/",""),"-","")," ",""))))</f>
        <v/>
      </c>
      <c r="C991" s="25" t="str">
        <f aca="false">IF(B991="","",IFERROR(INDEX(Empresas!$C:$C,MATCH(B991,Empresas!$B:$B,0)),"cadastre o CNPJ em Empresas"))</f>
        <v/>
      </c>
      <c r="D991" s="23"/>
      <c r="E991" s="24"/>
      <c r="F991" s="31" t="str">
        <f aca="false">IF(D991="","",SUBSTITUTE(SUBSTITUTE(SUBSTITUTE(SUBSTITUTE(SUBSTITUTE(SUBSTITUTE(SUBSTITUTE(SUBSTITUTE(SUBSTITUTE(SUBSTITUTE(SUBSTITUTE(SUBSTITUTE(SUBSTITUTE(UPPER(TRIM(D991)),"Á","A"),"À","A"),"Â","A"),"Ã","A"),"É","E"),"Ê","E"),"Í","I"),"Ó","O"),"Ô","O"),"Õ","O"),"Ú","U"),"Ü","U"),"Ç","C"))</f>
        <v/>
      </c>
      <c r="G991" s="31" t="str">
        <f aca="false">IF(E991="","",IF(LEN(SUBSTITUTE(SUBSTITUTE(SUBSTITUTE(SUBSTITUTE(TRIM(E991),"*",""),".",""),"-","")," ",""))=11,MID(SUBSTITUTE(SUBSTITUTE(SUBSTITUTE(SUBSTITUTE(TRIM(E991),"*",""),".",""),"-","")," ",""),4,6),SUBSTITUTE(SUBSTITUTE(SUBSTITUTE(SUBSTITUTE(TRIM(E991),"*",""),".",""),"-","")," ","")))</f>
        <v/>
      </c>
      <c r="H991" s="31" t="str">
        <f aca="false">IF(OR(F991="",G991=""),"",F991&amp;"|"&amp;G991)</f>
        <v/>
      </c>
      <c r="I991" s="23"/>
      <c r="J991" s="22"/>
      <c r="K991" s="22"/>
      <c r="L991" s="25" t="str">
        <f aca="false">IF(F991="","",IF(AND(H991&lt;&gt;"",COUNTIF(Pessoas!$E:$E,H991)&gt;0),"SIM",IF(COUNTIF(Pessoas!$C:$C,F991)&gt;0,"nome igual em Pessoas: confira o CPF","")))</f>
        <v/>
      </c>
      <c r="M991" s="24"/>
      <c r="N991" s="11"/>
    </row>
    <row r="992" customFormat="false" ht="15" hidden="false" customHeight="false" outlineLevel="0" collapsed="false">
      <c r="A992" s="24"/>
      <c r="B992" s="31" t="str">
        <f aca="false">IF(A992="","",IF(LEN(UPPER(SUBSTITUTE(SUBSTITUTE(SUBSTITUTE(SUBSTITUTE(TRIM(A992),".",""),"/",""),"-","")," ","")))&lt;14,RIGHT(REPT("0",14)&amp;UPPER(SUBSTITUTE(SUBSTITUTE(SUBSTITUTE(SUBSTITUTE(TRIM(A992),".",""),"/",""),"-","")," ","")),14),UPPER(SUBSTITUTE(SUBSTITUTE(SUBSTITUTE(SUBSTITUTE(TRIM(A992),".",""),"/",""),"-","")," ",""))))</f>
        <v/>
      </c>
      <c r="C992" s="25" t="str">
        <f aca="false">IF(B992="","",IFERROR(INDEX(Empresas!$C:$C,MATCH(B992,Empresas!$B:$B,0)),"cadastre o CNPJ em Empresas"))</f>
        <v/>
      </c>
      <c r="D992" s="23"/>
      <c r="E992" s="24"/>
      <c r="F992" s="31" t="str">
        <f aca="false">IF(D992="","",SUBSTITUTE(SUBSTITUTE(SUBSTITUTE(SUBSTITUTE(SUBSTITUTE(SUBSTITUTE(SUBSTITUTE(SUBSTITUTE(SUBSTITUTE(SUBSTITUTE(SUBSTITUTE(SUBSTITUTE(SUBSTITUTE(UPPER(TRIM(D992)),"Á","A"),"À","A"),"Â","A"),"Ã","A"),"É","E"),"Ê","E"),"Í","I"),"Ó","O"),"Ô","O"),"Õ","O"),"Ú","U"),"Ü","U"),"Ç","C"))</f>
        <v/>
      </c>
      <c r="G992" s="31" t="str">
        <f aca="false">IF(E992="","",IF(LEN(SUBSTITUTE(SUBSTITUTE(SUBSTITUTE(SUBSTITUTE(TRIM(E992),"*",""),".",""),"-","")," ",""))=11,MID(SUBSTITUTE(SUBSTITUTE(SUBSTITUTE(SUBSTITUTE(TRIM(E992),"*",""),".",""),"-","")," ",""),4,6),SUBSTITUTE(SUBSTITUTE(SUBSTITUTE(SUBSTITUTE(TRIM(E992),"*",""),".",""),"-","")," ","")))</f>
        <v/>
      </c>
      <c r="H992" s="31" t="str">
        <f aca="false">IF(OR(F992="",G992=""),"",F992&amp;"|"&amp;G992)</f>
        <v/>
      </c>
      <c r="I992" s="23"/>
      <c r="J992" s="22"/>
      <c r="K992" s="22"/>
      <c r="L992" s="25" t="str">
        <f aca="false">IF(F992="","",IF(AND(H992&lt;&gt;"",COUNTIF(Pessoas!$E:$E,H992)&gt;0),"SIM",IF(COUNTIF(Pessoas!$C:$C,F992)&gt;0,"nome igual em Pessoas: confira o CPF","")))</f>
        <v/>
      </c>
      <c r="M992" s="24"/>
      <c r="N992" s="11"/>
    </row>
    <row r="993" customFormat="false" ht="15" hidden="false" customHeight="false" outlineLevel="0" collapsed="false">
      <c r="A993" s="24"/>
      <c r="B993" s="31" t="str">
        <f aca="false">IF(A993="","",IF(LEN(UPPER(SUBSTITUTE(SUBSTITUTE(SUBSTITUTE(SUBSTITUTE(TRIM(A993),".",""),"/",""),"-","")," ","")))&lt;14,RIGHT(REPT("0",14)&amp;UPPER(SUBSTITUTE(SUBSTITUTE(SUBSTITUTE(SUBSTITUTE(TRIM(A993),".",""),"/",""),"-","")," ","")),14),UPPER(SUBSTITUTE(SUBSTITUTE(SUBSTITUTE(SUBSTITUTE(TRIM(A993),".",""),"/",""),"-","")," ",""))))</f>
        <v/>
      </c>
      <c r="C993" s="25" t="str">
        <f aca="false">IF(B993="","",IFERROR(INDEX(Empresas!$C:$C,MATCH(B993,Empresas!$B:$B,0)),"cadastre o CNPJ em Empresas"))</f>
        <v/>
      </c>
      <c r="D993" s="23"/>
      <c r="E993" s="24"/>
      <c r="F993" s="31" t="str">
        <f aca="false">IF(D993="","",SUBSTITUTE(SUBSTITUTE(SUBSTITUTE(SUBSTITUTE(SUBSTITUTE(SUBSTITUTE(SUBSTITUTE(SUBSTITUTE(SUBSTITUTE(SUBSTITUTE(SUBSTITUTE(SUBSTITUTE(SUBSTITUTE(UPPER(TRIM(D993)),"Á","A"),"À","A"),"Â","A"),"Ã","A"),"É","E"),"Ê","E"),"Í","I"),"Ó","O"),"Ô","O"),"Õ","O"),"Ú","U"),"Ü","U"),"Ç","C"))</f>
        <v/>
      </c>
      <c r="G993" s="31" t="str">
        <f aca="false">IF(E993="","",IF(LEN(SUBSTITUTE(SUBSTITUTE(SUBSTITUTE(SUBSTITUTE(TRIM(E993),"*",""),".",""),"-","")," ",""))=11,MID(SUBSTITUTE(SUBSTITUTE(SUBSTITUTE(SUBSTITUTE(TRIM(E993),"*",""),".",""),"-","")," ",""),4,6),SUBSTITUTE(SUBSTITUTE(SUBSTITUTE(SUBSTITUTE(TRIM(E993),"*",""),".",""),"-","")," ","")))</f>
        <v/>
      </c>
      <c r="H993" s="31" t="str">
        <f aca="false">IF(OR(F993="",G993=""),"",F993&amp;"|"&amp;G993)</f>
        <v/>
      </c>
      <c r="I993" s="23"/>
      <c r="J993" s="22"/>
      <c r="K993" s="22"/>
      <c r="L993" s="25" t="str">
        <f aca="false">IF(F993="","",IF(AND(H993&lt;&gt;"",COUNTIF(Pessoas!$E:$E,H993)&gt;0),"SIM",IF(COUNTIF(Pessoas!$C:$C,F993)&gt;0,"nome igual em Pessoas: confira o CPF","")))</f>
        <v/>
      </c>
      <c r="M993" s="24"/>
      <c r="N993" s="11"/>
    </row>
    <row r="994" customFormat="false" ht="15" hidden="false" customHeight="false" outlineLevel="0" collapsed="false">
      <c r="A994" s="24"/>
      <c r="B994" s="31" t="str">
        <f aca="false">IF(A994="","",IF(LEN(UPPER(SUBSTITUTE(SUBSTITUTE(SUBSTITUTE(SUBSTITUTE(TRIM(A994),".",""),"/",""),"-","")," ","")))&lt;14,RIGHT(REPT("0",14)&amp;UPPER(SUBSTITUTE(SUBSTITUTE(SUBSTITUTE(SUBSTITUTE(TRIM(A994),".",""),"/",""),"-","")," ","")),14),UPPER(SUBSTITUTE(SUBSTITUTE(SUBSTITUTE(SUBSTITUTE(TRIM(A994),".",""),"/",""),"-","")," ",""))))</f>
        <v/>
      </c>
      <c r="C994" s="25" t="str">
        <f aca="false">IF(B994="","",IFERROR(INDEX(Empresas!$C:$C,MATCH(B994,Empresas!$B:$B,0)),"cadastre o CNPJ em Empresas"))</f>
        <v/>
      </c>
      <c r="D994" s="23"/>
      <c r="E994" s="24"/>
      <c r="F994" s="31" t="str">
        <f aca="false">IF(D994="","",SUBSTITUTE(SUBSTITUTE(SUBSTITUTE(SUBSTITUTE(SUBSTITUTE(SUBSTITUTE(SUBSTITUTE(SUBSTITUTE(SUBSTITUTE(SUBSTITUTE(SUBSTITUTE(SUBSTITUTE(SUBSTITUTE(UPPER(TRIM(D994)),"Á","A"),"À","A"),"Â","A"),"Ã","A"),"É","E"),"Ê","E"),"Í","I"),"Ó","O"),"Ô","O"),"Õ","O"),"Ú","U"),"Ü","U"),"Ç","C"))</f>
        <v/>
      </c>
      <c r="G994" s="31" t="str">
        <f aca="false">IF(E994="","",IF(LEN(SUBSTITUTE(SUBSTITUTE(SUBSTITUTE(SUBSTITUTE(TRIM(E994),"*",""),".",""),"-","")," ",""))=11,MID(SUBSTITUTE(SUBSTITUTE(SUBSTITUTE(SUBSTITUTE(TRIM(E994),"*",""),".",""),"-","")," ",""),4,6),SUBSTITUTE(SUBSTITUTE(SUBSTITUTE(SUBSTITUTE(TRIM(E994),"*",""),".",""),"-","")," ","")))</f>
        <v/>
      </c>
      <c r="H994" s="31" t="str">
        <f aca="false">IF(OR(F994="",G994=""),"",F994&amp;"|"&amp;G994)</f>
        <v/>
      </c>
      <c r="I994" s="23"/>
      <c r="J994" s="22"/>
      <c r="K994" s="22"/>
      <c r="L994" s="25" t="str">
        <f aca="false">IF(F994="","",IF(AND(H994&lt;&gt;"",COUNTIF(Pessoas!$E:$E,H994)&gt;0),"SIM",IF(COUNTIF(Pessoas!$C:$C,F994)&gt;0,"nome igual em Pessoas: confira o CPF","")))</f>
        <v/>
      </c>
      <c r="M994" s="24"/>
      <c r="N994" s="11"/>
    </row>
    <row r="995" customFormat="false" ht="15" hidden="false" customHeight="false" outlineLevel="0" collapsed="false">
      <c r="A995" s="24"/>
      <c r="B995" s="31" t="str">
        <f aca="false">IF(A995="","",IF(LEN(UPPER(SUBSTITUTE(SUBSTITUTE(SUBSTITUTE(SUBSTITUTE(TRIM(A995),".",""),"/",""),"-","")," ","")))&lt;14,RIGHT(REPT("0",14)&amp;UPPER(SUBSTITUTE(SUBSTITUTE(SUBSTITUTE(SUBSTITUTE(TRIM(A995),".",""),"/",""),"-","")," ","")),14),UPPER(SUBSTITUTE(SUBSTITUTE(SUBSTITUTE(SUBSTITUTE(TRIM(A995),".",""),"/",""),"-","")," ",""))))</f>
        <v/>
      </c>
      <c r="C995" s="25" t="str">
        <f aca="false">IF(B995="","",IFERROR(INDEX(Empresas!$C:$C,MATCH(B995,Empresas!$B:$B,0)),"cadastre o CNPJ em Empresas"))</f>
        <v/>
      </c>
      <c r="D995" s="23"/>
      <c r="E995" s="24"/>
      <c r="F995" s="31" t="str">
        <f aca="false">IF(D995="","",SUBSTITUTE(SUBSTITUTE(SUBSTITUTE(SUBSTITUTE(SUBSTITUTE(SUBSTITUTE(SUBSTITUTE(SUBSTITUTE(SUBSTITUTE(SUBSTITUTE(SUBSTITUTE(SUBSTITUTE(SUBSTITUTE(UPPER(TRIM(D995)),"Á","A"),"À","A"),"Â","A"),"Ã","A"),"É","E"),"Ê","E"),"Í","I"),"Ó","O"),"Ô","O"),"Õ","O"),"Ú","U"),"Ü","U"),"Ç","C"))</f>
        <v/>
      </c>
      <c r="G995" s="31" t="str">
        <f aca="false">IF(E995="","",IF(LEN(SUBSTITUTE(SUBSTITUTE(SUBSTITUTE(SUBSTITUTE(TRIM(E995),"*",""),".",""),"-","")," ",""))=11,MID(SUBSTITUTE(SUBSTITUTE(SUBSTITUTE(SUBSTITUTE(TRIM(E995),"*",""),".",""),"-","")," ",""),4,6),SUBSTITUTE(SUBSTITUTE(SUBSTITUTE(SUBSTITUTE(TRIM(E995),"*",""),".",""),"-","")," ","")))</f>
        <v/>
      </c>
      <c r="H995" s="31" t="str">
        <f aca="false">IF(OR(F995="",G995=""),"",F995&amp;"|"&amp;G995)</f>
        <v/>
      </c>
      <c r="I995" s="23"/>
      <c r="J995" s="22"/>
      <c r="K995" s="22"/>
      <c r="L995" s="25" t="str">
        <f aca="false">IF(F995="","",IF(AND(H995&lt;&gt;"",COUNTIF(Pessoas!$E:$E,H995)&gt;0),"SIM",IF(COUNTIF(Pessoas!$C:$C,F995)&gt;0,"nome igual em Pessoas: confira o CPF","")))</f>
        <v/>
      </c>
      <c r="M995" s="24"/>
      <c r="N995" s="11"/>
    </row>
    <row r="996" customFormat="false" ht="15" hidden="false" customHeight="false" outlineLevel="0" collapsed="false">
      <c r="A996" s="24"/>
      <c r="B996" s="31" t="str">
        <f aca="false">IF(A996="","",IF(LEN(UPPER(SUBSTITUTE(SUBSTITUTE(SUBSTITUTE(SUBSTITUTE(TRIM(A996),".",""),"/",""),"-","")," ","")))&lt;14,RIGHT(REPT("0",14)&amp;UPPER(SUBSTITUTE(SUBSTITUTE(SUBSTITUTE(SUBSTITUTE(TRIM(A996),".",""),"/",""),"-","")," ","")),14),UPPER(SUBSTITUTE(SUBSTITUTE(SUBSTITUTE(SUBSTITUTE(TRIM(A996),".",""),"/",""),"-","")," ",""))))</f>
        <v/>
      </c>
      <c r="C996" s="25" t="str">
        <f aca="false">IF(B996="","",IFERROR(INDEX(Empresas!$C:$C,MATCH(B996,Empresas!$B:$B,0)),"cadastre o CNPJ em Empresas"))</f>
        <v/>
      </c>
      <c r="D996" s="23"/>
      <c r="E996" s="24"/>
      <c r="F996" s="31" t="str">
        <f aca="false">IF(D996="","",SUBSTITUTE(SUBSTITUTE(SUBSTITUTE(SUBSTITUTE(SUBSTITUTE(SUBSTITUTE(SUBSTITUTE(SUBSTITUTE(SUBSTITUTE(SUBSTITUTE(SUBSTITUTE(SUBSTITUTE(SUBSTITUTE(UPPER(TRIM(D996)),"Á","A"),"À","A"),"Â","A"),"Ã","A"),"É","E"),"Ê","E"),"Í","I"),"Ó","O"),"Ô","O"),"Õ","O"),"Ú","U"),"Ü","U"),"Ç","C"))</f>
        <v/>
      </c>
      <c r="G996" s="31" t="str">
        <f aca="false">IF(E996="","",IF(LEN(SUBSTITUTE(SUBSTITUTE(SUBSTITUTE(SUBSTITUTE(TRIM(E996),"*",""),".",""),"-","")," ",""))=11,MID(SUBSTITUTE(SUBSTITUTE(SUBSTITUTE(SUBSTITUTE(TRIM(E996),"*",""),".",""),"-","")," ",""),4,6),SUBSTITUTE(SUBSTITUTE(SUBSTITUTE(SUBSTITUTE(TRIM(E996),"*",""),".",""),"-","")," ","")))</f>
        <v/>
      </c>
      <c r="H996" s="31" t="str">
        <f aca="false">IF(OR(F996="",G996=""),"",F996&amp;"|"&amp;G996)</f>
        <v/>
      </c>
      <c r="I996" s="23"/>
      <c r="J996" s="22"/>
      <c r="K996" s="22"/>
      <c r="L996" s="25" t="str">
        <f aca="false">IF(F996="","",IF(AND(H996&lt;&gt;"",COUNTIF(Pessoas!$E:$E,H996)&gt;0),"SIM",IF(COUNTIF(Pessoas!$C:$C,F996)&gt;0,"nome igual em Pessoas: confira o CPF","")))</f>
        <v/>
      </c>
      <c r="M996" s="24"/>
      <c r="N996" s="11"/>
    </row>
    <row r="997" customFormat="false" ht="15" hidden="false" customHeight="false" outlineLevel="0" collapsed="false">
      <c r="A997" s="24"/>
      <c r="B997" s="31" t="str">
        <f aca="false">IF(A997="","",IF(LEN(UPPER(SUBSTITUTE(SUBSTITUTE(SUBSTITUTE(SUBSTITUTE(TRIM(A997),".",""),"/",""),"-","")," ","")))&lt;14,RIGHT(REPT("0",14)&amp;UPPER(SUBSTITUTE(SUBSTITUTE(SUBSTITUTE(SUBSTITUTE(TRIM(A997),".",""),"/",""),"-","")," ","")),14),UPPER(SUBSTITUTE(SUBSTITUTE(SUBSTITUTE(SUBSTITUTE(TRIM(A997),".",""),"/",""),"-","")," ",""))))</f>
        <v/>
      </c>
      <c r="C997" s="25" t="str">
        <f aca="false">IF(B997="","",IFERROR(INDEX(Empresas!$C:$C,MATCH(B997,Empresas!$B:$B,0)),"cadastre o CNPJ em Empresas"))</f>
        <v/>
      </c>
      <c r="D997" s="23"/>
      <c r="E997" s="24"/>
      <c r="F997" s="31" t="str">
        <f aca="false">IF(D997="","",SUBSTITUTE(SUBSTITUTE(SUBSTITUTE(SUBSTITUTE(SUBSTITUTE(SUBSTITUTE(SUBSTITUTE(SUBSTITUTE(SUBSTITUTE(SUBSTITUTE(SUBSTITUTE(SUBSTITUTE(SUBSTITUTE(UPPER(TRIM(D997)),"Á","A"),"À","A"),"Â","A"),"Ã","A"),"É","E"),"Ê","E"),"Í","I"),"Ó","O"),"Ô","O"),"Õ","O"),"Ú","U"),"Ü","U"),"Ç","C"))</f>
        <v/>
      </c>
      <c r="G997" s="31" t="str">
        <f aca="false">IF(E997="","",IF(LEN(SUBSTITUTE(SUBSTITUTE(SUBSTITUTE(SUBSTITUTE(TRIM(E997),"*",""),".",""),"-","")," ",""))=11,MID(SUBSTITUTE(SUBSTITUTE(SUBSTITUTE(SUBSTITUTE(TRIM(E997),"*",""),".",""),"-","")," ",""),4,6),SUBSTITUTE(SUBSTITUTE(SUBSTITUTE(SUBSTITUTE(TRIM(E997),"*",""),".",""),"-","")," ","")))</f>
        <v/>
      </c>
      <c r="H997" s="31" t="str">
        <f aca="false">IF(OR(F997="",G997=""),"",F997&amp;"|"&amp;G997)</f>
        <v/>
      </c>
      <c r="I997" s="23"/>
      <c r="J997" s="22"/>
      <c r="K997" s="22"/>
      <c r="L997" s="25" t="str">
        <f aca="false">IF(F997="","",IF(AND(H997&lt;&gt;"",COUNTIF(Pessoas!$E:$E,H997)&gt;0),"SIM",IF(COUNTIF(Pessoas!$C:$C,F997)&gt;0,"nome igual em Pessoas: confira o CPF","")))</f>
        <v/>
      </c>
      <c r="M997" s="24"/>
      <c r="N997" s="11"/>
    </row>
    <row r="998" customFormat="false" ht="15" hidden="false" customHeight="false" outlineLevel="0" collapsed="false">
      <c r="A998" s="24"/>
      <c r="B998" s="31" t="str">
        <f aca="false">IF(A998="","",IF(LEN(UPPER(SUBSTITUTE(SUBSTITUTE(SUBSTITUTE(SUBSTITUTE(TRIM(A998),".",""),"/",""),"-","")," ","")))&lt;14,RIGHT(REPT("0",14)&amp;UPPER(SUBSTITUTE(SUBSTITUTE(SUBSTITUTE(SUBSTITUTE(TRIM(A998),".",""),"/",""),"-","")," ","")),14),UPPER(SUBSTITUTE(SUBSTITUTE(SUBSTITUTE(SUBSTITUTE(TRIM(A998),".",""),"/",""),"-","")," ",""))))</f>
        <v/>
      </c>
      <c r="C998" s="25" t="str">
        <f aca="false">IF(B998="","",IFERROR(INDEX(Empresas!$C:$C,MATCH(B998,Empresas!$B:$B,0)),"cadastre o CNPJ em Empresas"))</f>
        <v/>
      </c>
      <c r="D998" s="23"/>
      <c r="E998" s="24"/>
      <c r="F998" s="31" t="str">
        <f aca="false">IF(D998="","",SUBSTITUTE(SUBSTITUTE(SUBSTITUTE(SUBSTITUTE(SUBSTITUTE(SUBSTITUTE(SUBSTITUTE(SUBSTITUTE(SUBSTITUTE(SUBSTITUTE(SUBSTITUTE(SUBSTITUTE(SUBSTITUTE(UPPER(TRIM(D998)),"Á","A"),"À","A"),"Â","A"),"Ã","A"),"É","E"),"Ê","E"),"Í","I"),"Ó","O"),"Ô","O"),"Õ","O"),"Ú","U"),"Ü","U"),"Ç","C"))</f>
        <v/>
      </c>
      <c r="G998" s="31" t="str">
        <f aca="false">IF(E998="","",IF(LEN(SUBSTITUTE(SUBSTITUTE(SUBSTITUTE(SUBSTITUTE(TRIM(E998),"*",""),".",""),"-","")," ",""))=11,MID(SUBSTITUTE(SUBSTITUTE(SUBSTITUTE(SUBSTITUTE(TRIM(E998),"*",""),".",""),"-","")," ",""),4,6),SUBSTITUTE(SUBSTITUTE(SUBSTITUTE(SUBSTITUTE(TRIM(E998),"*",""),".",""),"-","")," ","")))</f>
        <v/>
      </c>
      <c r="H998" s="31" t="str">
        <f aca="false">IF(OR(F998="",G998=""),"",F998&amp;"|"&amp;G998)</f>
        <v/>
      </c>
      <c r="I998" s="23"/>
      <c r="J998" s="22"/>
      <c r="K998" s="22"/>
      <c r="L998" s="25" t="str">
        <f aca="false">IF(F998="","",IF(AND(H998&lt;&gt;"",COUNTIF(Pessoas!$E:$E,H998)&gt;0),"SIM",IF(COUNTIF(Pessoas!$C:$C,F998)&gt;0,"nome igual em Pessoas: confira o CPF","")))</f>
        <v/>
      </c>
      <c r="M998" s="24"/>
      <c r="N998" s="11"/>
    </row>
    <row r="999" customFormat="false" ht="15" hidden="false" customHeight="false" outlineLevel="0" collapsed="false">
      <c r="A999" s="24"/>
      <c r="B999" s="31" t="str">
        <f aca="false">IF(A999="","",IF(LEN(UPPER(SUBSTITUTE(SUBSTITUTE(SUBSTITUTE(SUBSTITUTE(TRIM(A999),".",""),"/",""),"-","")," ","")))&lt;14,RIGHT(REPT("0",14)&amp;UPPER(SUBSTITUTE(SUBSTITUTE(SUBSTITUTE(SUBSTITUTE(TRIM(A999),".",""),"/",""),"-","")," ","")),14),UPPER(SUBSTITUTE(SUBSTITUTE(SUBSTITUTE(SUBSTITUTE(TRIM(A999),".",""),"/",""),"-","")," ",""))))</f>
        <v/>
      </c>
      <c r="C999" s="25" t="str">
        <f aca="false">IF(B999="","",IFERROR(INDEX(Empresas!$C:$C,MATCH(B999,Empresas!$B:$B,0)),"cadastre o CNPJ em Empresas"))</f>
        <v/>
      </c>
      <c r="D999" s="23"/>
      <c r="E999" s="24"/>
      <c r="F999" s="31" t="str">
        <f aca="false">IF(D999="","",SUBSTITUTE(SUBSTITUTE(SUBSTITUTE(SUBSTITUTE(SUBSTITUTE(SUBSTITUTE(SUBSTITUTE(SUBSTITUTE(SUBSTITUTE(SUBSTITUTE(SUBSTITUTE(SUBSTITUTE(SUBSTITUTE(UPPER(TRIM(D999)),"Á","A"),"À","A"),"Â","A"),"Ã","A"),"É","E"),"Ê","E"),"Í","I"),"Ó","O"),"Ô","O"),"Õ","O"),"Ú","U"),"Ü","U"),"Ç","C"))</f>
        <v/>
      </c>
      <c r="G999" s="31" t="str">
        <f aca="false">IF(E999="","",IF(LEN(SUBSTITUTE(SUBSTITUTE(SUBSTITUTE(SUBSTITUTE(TRIM(E999),"*",""),".",""),"-","")," ",""))=11,MID(SUBSTITUTE(SUBSTITUTE(SUBSTITUTE(SUBSTITUTE(TRIM(E999),"*",""),".",""),"-","")," ",""),4,6),SUBSTITUTE(SUBSTITUTE(SUBSTITUTE(SUBSTITUTE(TRIM(E999),"*",""),".",""),"-","")," ","")))</f>
        <v/>
      </c>
      <c r="H999" s="31" t="str">
        <f aca="false">IF(OR(F999="",G999=""),"",F999&amp;"|"&amp;G999)</f>
        <v/>
      </c>
      <c r="I999" s="23"/>
      <c r="J999" s="22"/>
      <c r="K999" s="22"/>
      <c r="L999" s="25" t="str">
        <f aca="false">IF(F999="","",IF(AND(H999&lt;&gt;"",COUNTIF(Pessoas!$E:$E,H999)&gt;0),"SIM",IF(COUNTIF(Pessoas!$C:$C,F999)&gt;0,"nome igual em Pessoas: confira o CPF","")))</f>
        <v/>
      </c>
      <c r="M999" s="24"/>
      <c r="N999" s="11"/>
    </row>
    <row r="1000" customFormat="false" ht="15" hidden="false" customHeight="false" outlineLevel="0" collapsed="false">
      <c r="A1000" s="24"/>
      <c r="B1000" s="31" t="str">
        <f aca="false">IF(A1000="","",IF(LEN(UPPER(SUBSTITUTE(SUBSTITUTE(SUBSTITUTE(SUBSTITUTE(TRIM(A1000),".",""),"/",""),"-","")," ","")))&lt;14,RIGHT(REPT("0",14)&amp;UPPER(SUBSTITUTE(SUBSTITUTE(SUBSTITUTE(SUBSTITUTE(TRIM(A1000),".",""),"/",""),"-","")," ","")),14),UPPER(SUBSTITUTE(SUBSTITUTE(SUBSTITUTE(SUBSTITUTE(TRIM(A1000),".",""),"/",""),"-","")," ",""))))</f>
        <v/>
      </c>
      <c r="C1000" s="25" t="str">
        <f aca="false">IF(B1000="","",IFERROR(INDEX(Empresas!$C:$C,MATCH(B1000,Empresas!$B:$B,0)),"cadastre o CNPJ em Empresas"))</f>
        <v/>
      </c>
      <c r="D1000" s="23"/>
      <c r="E1000" s="24"/>
      <c r="F1000" s="31" t="str">
        <f aca="false">IF(D1000="","",SUBSTITUTE(SUBSTITUTE(SUBSTITUTE(SUBSTITUTE(SUBSTITUTE(SUBSTITUTE(SUBSTITUTE(SUBSTITUTE(SUBSTITUTE(SUBSTITUTE(SUBSTITUTE(SUBSTITUTE(SUBSTITUTE(UPPER(TRIM(D1000)),"Á","A"),"À","A"),"Â","A"),"Ã","A"),"É","E"),"Ê","E"),"Í","I"),"Ó","O"),"Ô","O"),"Õ","O"),"Ú","U"),"Ü","U"),"Ç","C"))</f>
        <v/>
      </c>
      <c r="G1000" s="31" t="str">
        <f aca="false">IF(E1000="","",IF(LEN(SUBSTITUTE(SUBSTITUTE(SUBSTITUTE(SUBSTITUTE(TRIM(E1000),"*",""),".",""),"-","")," ",""))=11,MID(SUBSTITUTE(SUBSTITUTE(SUBSTITUTE(SUBSTITUTE(TRIM(E1000),"*",""),".",""),"-","")," ",""),4,6),SUBSTITUTE(SUBSTITUTE(SUBSTITUTE(SUBSTITUTE(TRIM(E1000),"*",""),".",""),"-","")," ","")))</f>
        <v/>
      </c>
      <c r="H1000" s="31" t="str">
        <f aca="false">IF(OR(F1000="",G1000=""),"",F1000&amp;"|"&amp;G1000)</f>
        <v/>
      </c>
      <c r="I1000" s="23"/>
      <c r="J1000" s="22"/>
      <c r="K1000" s="22"/>
      <c r="L1000" s="25" t="str">
        <f aca="false">IF(F1000="","",IF(AND(H1000&lt;&gt;"",COUNTIF(Pessoas!$E:$E,H1000)&gt;0),"SIM",IF(COUNTIF(Pessoas!$C:$C,F1000)&gt;0,"nome igual em Pessoas: confira o CPF","")))</f>
        <v/>
      </c>
      <c r="M1000" s="24"/>
      <c r="N1000" s="11"/>
    </row>
    <row r="1001" customFormat="false" ht="15" hidden="false" customHeight="false" outlineLevel="0" collapsed="false">
      <c r="A1001" s="24"/>
      <c r="B1001" s="31" t="str">
        <f aca="false">IF(A1001="","",IF(LEN(UPPER(SUBSTITUTE(SUBSTITUTE(SUBSTITUTE(SUBSTITUTE(TRIM(A1001),".",""),"/",""),"-","")," ","")))&lt;14,RIGHT(REPT("0",14)&amp;UPPER(SUBSTITUTE(SUBSTITUTE(SUBSTITUTE(SUBSTITUTE(TRIM(A1001),".",""),"/",""),"-","")," ","")),14),UPPER(SUBSTITUTE(SUBSTITUTE(SUBSTITUTE(SUBSTITUTE(TRIM(A1001),".",""),"/",""),"-","")," ",""))))</f>
        <v/>
      </c>
      <c r="C1001" s="25" t="str">
        <f aca="false">IF(B1001="","",IFERROR(INDEX(Empresas!$C:$C,MATCH(B1001,Empresas!$B:$B,0)),"cadastre o CNPJ em Empresas"))</f>
        <v/>
      </c>
      <c r="D1001" s="23"/>
      <c r="E1001" s="24"/>
      <c r="F1001" s="31" t="str">
        <f aca="false">IF(D1001="","",SUBSTITUTE(SUBSTITUTE(SUBSTITUTE(SUBSTITUTE(SUBSTITUTE(SUBSTITUTE(SUBSTITUTE(SUBSTITUTE(SUBSTITUTE(SUBSTITUTE(SUBSTITUTE(SUBSTITUTE(SUBSTITUTE(UPPER(TRIM(D1001)),"Á","A"),"À","A"),"Â","A"),"Ã","A"),"É","E"),"Ê","E"),"Í","I"),"Ó","O"),"Ô","O"),"Õ","O"),"Ú","U"),"Ü","U"),"Ç","C"))</f>
        <v/>
      </c>
      <c r="G1001" s="31" t="str">
        <f aca="false">IF(E1001="","",IF(LEN(SUBSTITUTE(SUBSTITUTE(SUBSTITUTE(SUBSTITUTE(TRIM(E1001),"*",""),".",""),"-","")," ",""))=11,MID(SUBSTITUTE(SUBSTITUTE(SUBSTITUTE(SUBSTITUTE(TRIM(E1001),"*",""),".",""),"-","")," ",""),4,6),SUBSTITUTE(SUBSTITUTE(SUBSTITUTE(SUBSTITUTE(TRIM(E1001),"*",""),".",""),"-","")," ","")))</f>
        <v/>
      </c>
      <c r="H1001" s="31" t="str">
        <f aca="false">IF(OR(F1001="",G1001=""),"",F1001&amp;"|"&amp;G1001)</f>
        <v/>
      </c>
      <c r="I1001" s="23"/>
      <c r="J1001" s="22"/>
      <c r="K1001" s="22"/>
      <c r="L1001" s="25" t="str">
        <f aca="false">IF(F1001="","",IF(AND(H1001&lt;&gt;"",COUNTIF(Pessoas!$E:$E,H1001)&gt;0),"SIM",IF(COUNTIF(Pessoas!$C:$C,F1001)&gt;0,"nome igual em Pessoas: confira o CPF","")))</f>
        <v/>
      </c>
      <c r="M1001" s="24"/>
      <c r="N1001" s="11"/>
    </row>
    <row r="1002" customFormat="false" ht="15" hidden="false" customHeight="false" outlineLevel="0" collapsed="false">
      <c r="A1002" s="24"/>
      <c r="B1002" s="31" t="str">
        <f aca="false">IF(A1002="","",IF(LEN(UPPER(SUBSTITUTE(SUBSTITUTE(SUBSTITUTE(SUBSTITUTE(TRIM(A1002),".",""),"/",""),"-","")," ","")))&lt;14,RIGHT(REPT("0",14)&amp;UPPER(SUBSTITUTE(SUBSTITUTE(SUBSTITUTE(SUBSTITUTE(TRIM(A1002),".",""),"/",""),"-","")," ","")),14),UPPER(SUBSTITUTE(SUBSTITUTE(SUBSTITUTE(SUBSTITUTE(TRIM(A1002),".",""),"/",""),"-","")," ",""))))</f>
        <v/>
      </c>
      <c r="C1002" s="25" t="str">
        <f aca="false">IF(B1002="","",IFERROR(INDEX(Empresas!$C:$C,MATCH(B1002,Empresas!$B:$B,0)),"cadastre o CNPJ em Empresas"))</f>
        <v/>
      </c>
      <c r="D1002" s="23"/>
      <c r="E1002" s="24"/>
      <c r="F1002" s="31" t="str">
        <f aca="false">IF(D1002="","",SUBSTITUTE(SUBSTITUTE(SUBSTITUTE(SUBSTITUTE(SUBSTITUTE(SUBSTITUTE(SUBSTITUTE(SUBSTITUTE(SUBSTITUTE(SUBSTITUTE(SUBSTITUTE(SUBSTITUTE(SUBSTITUTE(UPPER(TRIM(D1002)),"Á","A"),"À","A"),"Â","A"),"Ã","A"),"É","E"),"Ê","E"),"Í","I"),"Ó","O"),"Ô","O"),"Õ","O"),"Ú","U"),"Ü","U"),"Ç","C"))</f>
        <v/>
      </c>
      <c r="G1002" s="31" t="str">
        <f aca="false">IF(E1002="","",IF(LEN(SUBSTITUTE(SUBSTITUTE(SUBSTITUTE(SUBSTITUTE(TRIM(E1002),"*",""),".",""),"-","")," ",""))=11,MID(SUBSTITUTE(SUBSTITUTE(SUBSTITUTE(SUBSTITUTE(TRIM(E1002),"*",""),".",""),"-","")," ",""),4,6),SUBSTITUTE(SUBSTITUTE(SUBSTITUTE(SUBSTITUTE(TRIM(E1002),"*",""),".",""),"-","")," ","")))</f>
        <v/>
      </c>
      <c r="H1002" s="31" t="str">
        <f aca="false">IF(OR(F1002="",G1002=""),"",F1002&amp;"|"&amp;G1002)</f>
        <v/>
      </c>
      <c r="I1002" s="23"/>
      <c r="J1002" s="22"/>
      <c r="K1002" s="22"/>
      <c r="L1002" s="25" t="str">
        <f aca="false">IF(F1002="","",IF(AND(H1002&lt;&gt;"",COUNTIF(Pessoas!$E:$E,H1002)&gt;0),"SIM",IF(COUNTIF(Pessoas!$C:$C,F1002)&gt;0,"nome igual em Pessoas: confira o CPF","")))</f>
        <v/>
      </c>
      <c r="M1002" s="24"/>
      <c r="N1002" s="11"/>
    </row>
    <row r="1003" customFormat="false" ht="15" hidden="false" customHeight="false" outlineLevel="0" collapsed="false">
      <c r="A1003" s="24"/>
      <c r="B1003" s="31" t="str">
        <f aca="false">IF(A1003="","",IF(LEN(UPPER(SUBSTITUTE(SUBSTITUTE(SUBSTITUTE(SUBSTITUTE(TRIM(A1003),".",""),"/",""),"-","")," ","")))&lt;14,RIGHT(REPT("0",14)&amp;UPPER(SUBSTITUTE(SUBSTITUTE(SUBSTITUTE(SUBSTITUTE(TRIM(A1003),".",""),"/",""),"-","")," ","")),14),UPPER(SUBSTITUTE(SUBSTITUTE(SUBSTITUTE(SUBSTITUTE(TRIM(A1003),".",""),"/",""),"-","")," ",""))))</f>
        <v/>
      </c>
      <c r="C1003" s="25" t="str">
        <f aca="false">IF(B1003="","",IFERROR(INDEX(Empresas!$C:$C,MATCH(B1003,Empresas!$B:$B,0)),"cadastre o CNPJ em Empresas"))</f>
        <v/>
      </c>
      <c r="D1003" s="23"/>
      <c r="E1003" s="24"/>
      <c r="F1003" s="31" t="str">
        <f aca="false">IF(D1003="","",SUBSTITUTE(SUBSTITUTE(SUBSTITUTE(SUBSTITUTE(SUBSTITUTE(SUBSTITUTE(SUBSTITUTE(SUBSTITUTE(SUBSTITUTE(SUBSTITUTE(SUBSTITUTE(SUBSTITUTE(SUBSTITUTE(UPPER(TRIM(D1003)),"Á","A"),"À","A"),"Â","A"),"Ã","A"),"É","E"),"Ê","E"),"Í","I"),"Ó","O"),"Ô","O"),"Õ","O"),"Ú","U"),"Ü","U"),"Ç","C"))</f>
        <v/>
      </c>
      <c r="G1003" s="31" t="str">
        <f aca="false">IF(E1003="","",IF(LEN(SUBSTITUTE(SUBSTITUTE(SUBSTITUTE(SUBSTITUTE(TRIM(E1003),"*",""),".",""),"-","")," ",""))=11,MID(SUBSTITUTE(SUBSTITUTE(SUBSTITUTE(SUBSTITUTE(TRIM(E1003),"*",""),".",""),"-","")," ",""),4,6),SUBSTITUTE(SUBSTITUTE(SUBSTITUTE(SUBSTITUTE(TRIM(E1003),"*",""),".",""),"-","")," ","")))</f>
        <v/>
      </c>
      <c r="H1003" s="31" t="str">
        <f aca="false">IF(OR(F1003="",G1003=""),"",F1003&amp;"|"&amp;G1003)</f>
        <v/>
      </c>
      <c r="I1003" s="23"/>
      <c r="J1003" s="22"/>
      <c r="K1003" s="22"/>
      <c r="L1003" s="25" t="str">
        <f aca="false">IF(F1003="","",IF(AND(H1003&lt;&gt;"",COUNTIF(Pessoas!$E:$E,H1003)&gt;0),"SIM",IF(COUNTIF(Pessoas!$C:$C,F1003)&gt;0,"nome igual em Pessoas: confira o CPF","")))</f>
        <v/>
      </c>
      <c r="M1003" s="24"/>
      <c r="N1003" s="11"/>
    </row>
    <row r="1004" customFormat="false" ht="15" hidden="false" customHeight="false" outlineLevel="0" collapsed="false">
      <c r="A1004" s="24"/>
      <c r="B1004" s="31" t="str">
        <f aca="false">IF(A1004="","",IF(LEN(UPPER(SUBSTITUTE(SUBSTITUTE(SUBSTITUTE(SUBSTITUTE(TRIM(A1004),".",""),"/",""),"-","")," ","")))&lt;14,RIGHT(REPT("0",14)&amp;UPPER(SUBSTITUTE(SUBSTITUTE(SUBSTITUTE(SUBSTITUTE(TRIM(A1004),".",""),"/",""),"-","")," ","")),14),UPPER(SUBSTITUTE(SUBSTITUTE(SUBSTITUTE(SUBSTITUTE(TRIM(A1004),".",""),"/",""),"-","")," ",""))))</f>
        <v/>
      </c>
      <c r="C1004" s="25" t="str">
        <f aca="false">IF(B1004="","",IFERROR(INDEX(Empresas!$C:$C,MATCH(B1004,Empresas!$B:$B,0)),"cadastre o CNPJ em Empresas"))</f>
        <v/>
      </c>
      <c r="D1004" s="23"/>
      <c r="E1004" s="24"/>
      <c r="F1004" s="31" t="str">
        <f aca="false">IF(D1004="","",SUBSTITUTE(SUBSTITUTE(SUBSTITUTE(SUBSTITUTE(SUBSTITUTE(SUBSTITUTE(SUBSTITUTE(SUBSTITUTE(SUBSTITUTE(SUBSTITUTE(SUBSTITUTE(SUBSTITUTE(SUBSTITUTE(UPPER(TRIM(D1004)),"Á","A"),"À","A"),"Â","A"),"Ã","A"),"É","E"),"Ê","E"),"Í","I"),"Ó","O"),"Ô","O"),"Õ","O"),"Ú","U"),"Ü","U"),"Ç","C"))</f>
        <v/>
      </c>
      <c r="G1004" s="31" t="str">
        <f aca="false">IF(E1004="","",IF(LEN(SUBSTITUTE(SUBSTITUTE(SUBSTITUTE(SUBSTITUTE(TRIM(E1004),"*",""),".",""),"-","")," ",""))=11,MID(SUBSTITUTE(SUBSTITUTE(SUBSTITUTE(SUBSTITUTE(TRIM(E1004),"*",""),".",""),"-","")," ",""),4,6),SUBSTITUTE(SUBSTITUTE(SUBSTITUTE(SUBSTITUTE(TRIM(E1004),"*",""),".",""),"-","")," ","")))</f>
        <v/>
      </c>
      <c r="H1004" s="31" t="str">
        <f aca="false">IF(OR(F1004="",G1004=""),"",F1004&amp;"|"&amp;G1004)</f>
        <v/>
      </c>
      <c r="I1004" s="23"/>
      <c r="J1004" s="22"/>
      <c r="K1004" s="22"/>
      <c r="L1004" s="25" t="str">
        <f aca="false">IF(F1004="","",IF(AND(H1004&lt;&gt;"",COUNTIF(Pessoas!$E:$E,H1004)&gt;0),"SIM",IF(COUNTIF(Pessoas!$C:$C,F1004)&gt;0,"nome igual em Pessoas: confira o CPF","")))</f>
        <v/>
      </c>
      <c r="M1004" s="24"/>
      <c r="N1004" s="11"/>
    </row>
  </sheetData>
  <autoFilter ref="A4:N1004"/>
  <conditionalFormatting sqref="L5:L1004">
    <cfRule type="expression" priority="2" aboveAverage="0" equalAverage="0" bottom="0" percent="0" rank="0" text="" dxfId="6">
      <formula>L5="SIM"</formula>
    </cfRule>
    <cfRule type="expression" priority="3" aboveAverage="0" equalAverage="0" bottom="0" percent="0" rank="0" text="" dxfId="12">
      <formula>ISNUMBER(SEARCH("confira",L5))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7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0"/>
    <col collapsed="false" customWidth="true" hidden="false" outlineLevel="0" max="13" min="13" style="0" width="20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22"/>
    <col collapsed="false" customWidth="true" hidden="false" outlineLevel="0" max="17" min="17" style="0" width="12"/>
    <col collapsed="false" customWidth="true" hidden="false" outlineLevel="0" max="18" min="18" style="0" width="24"/>
    <col collapsed="false" customWidth="true" hidden="false" outlineLevel="0" max="19" min="19" style="0" width="12"/>
    <col collapsed="false" customWidth="true" hidden="false" outlineLevel="0" max="20" min="20" style="0" width="28"/>
  </cols>
  <sheetData>
    <row r="1" customFormat="false" ht="17.35" hidden="false" customHeight="false" outlineLevel="0" collapsed="false">
      <c r="A1" s="14" t="s">
        <v>269</v>
      </c>
    </row>
    <row r="2" customFormat="false" ht="15" hidden="false" customHeight="false" outlineLevel="0" collapsed="false">
      <c r="A2" s="15" t="s">
        <v>270</v>
      </c>
    </row>
    <row r="3" customFormat="false" ht="15" hidden="false" customHeight="false" outlineLevel="0" collapsed="false">
      <c r="A3" s="15" t="s">
        <v>257</v>
      </c>
    </row>
    <row r="4" customFormat="false" ht="48" hidden="false" customHeight="true" outlineLevel="0" collapsed="false">
      <c r="A4" s="9" t="s">
        <v>271</v>
      </c>
      <c r="B4" s="9" t="s">
        <v>272</v>
      </c>
      <c r="C4" s="9" t="s">
        <v>273</v>
      </c>
      <c r="D4" s="16" t="s">
        <v>225</v>
      </c>
      <c r="E4" s="16" t="s">
        <v>274</v>
      </c>
      <c r="F4" s="9" t="s">
        <v>275</v>
      </c>
      <c r="G4" s="9" t="s">
        <v>276</v>
      </c>
      <c r="H4" s="9" t="s">
        <v>277</v>
      </c>
      <c r="I4" s="9" t="s">
        <v>278</v>
      </c>
      <c r="J4" s="9" t="s">
        <v>279</v>
      </c>
      <c r="K4" s="16" t="s">
        <v>280</v>
      </c>
      <c r="L4" s="16" t="s">
        <v>281</v>
      </c>
      <c r="M4" s="16" t="s">
        <v>282</v>
      </c>
      <c r="N4" s="16" t="s">
        <v>283</v>
      </c>
      <c r="O4" s="16" t="s">
        <v>284</v>
      </c>
      <c r="P4" s="16" t="s">
        <v>285</v>
      </c>
      <c r="Q4" s="16" t="s">
        <v>286</v>
      </c>
      <c r="R4" s="16" t="s">
        <v>287</v>
      </c>
      <c r="S4" s="9" t="s">
        <v>71</v>
      </c>
      <c r="T4" s="9" t="s">
        <v>74</v>
      </c>
    </row>
    <row r="5" customFormat="false" ht="35.05" hidden="false" customHeight="false" outlineLevel="0" collapsed="false">
      <c r="A5" s="18" t="s">
        <v>288</v>
      </c>
      <c r="B5" s="20" t="s">
        <v>289</v>
      </c>
      <c r="C5" s="20" t="s">
        <v>242</v>
      </c>
      <c r="D5" s="30" t="str">
        <f aca="false">IF(C5="","",IF(LEN(UPPER(SUBSTITUTE(SUBSTITUTE(SUBSTITUTE(SUBSTITUTE(TRIM(C5),".",""),"/",""),"-","")," ","")))&lt;14,RIGHT(REPT("0",14)&amp;UPPER(SUBSTITUTE(SUBSTITUTE(SUBSTITUTE(SUBSTITUTE(TRIM(C5),".",""),"/",""),"-","")," ","")),14),UPPER(SUBSTITUTE(SUBSTITUTE(SUBSTITUTE(SUBSTITUTE(TRIM(C5),".",""),"/",""),"-","")," ",""))))</f>
        <v>11222333000186</v>
      </c>
      <c r="E5" s="21" t="str">
        <f aca="false">IF(D5="","",IFERROR(INDEX(Empresas!$C:$C,MATCH(D5,Empresas!$B:$B,0)),"cadastre o CNPJ em Empresas"))</f>
        <v>ALIMENTOS MODELO LTDA</v>
      </c>
      <c r="F5" s="18" t="s">
        <v>290</v>
      </c>
      <c r="G5" s="19" t="s">
        <v>291</v>
      </c>
      <c r="H5" s="17" t="n">
        <v>45889</v>
      </c>
      <c r="I5" s="32" t="n">
        <v>480000</v>
      </c>
      <c r="J5" s="32" t="n">
        <v>150000</v>
      </c>
      <c r="K5" s="33" t="n">
        <f aca="false">IF(I5="","",I5+J5)</f>
        <v>630000</v>
      </c>
      <c r="L5" s="34" t="n">
        <f aca="false">IF(OR(I5="",I5=0,J5=""),"",J5/I5)</f>
        <v>0.3125</v>
      </c>
      <c r="M5" s="21" t="str">
        <f aca="false">IF(L5="","",IF(L5&gt;0.25,"ACRÉSCIMO ACIMA DE 25% — conferir",""))</f>
        <v>ACRÉSCIMO ACIMA DE 25% — conferir</v>
      </c>
      <c r="N5" s="28" t="n">
        <f aca="false">IF(D5="","",IF(COUNTIFS(Empresas!$B:$B,D5,Empresas!$E:$E,"&lt;&gt;")=0,"",INDEX(Empresas!$E:$E,MATCH(D5,Empresas!$B:$B,0))))</f>
        <v>45726</v>
      </c>
      <c r="O5" s="26" t="n">
        <f aca="false">IF(OR(N5="",H5=""),"",H5-N5)</f>
        <v>163</v>
      </c>
      <c r="P5" s="21" t="str">
        <f aca="false">IF(O5="","",IF(O5&lt;0,"CONTRATO ANTERIOR À ABERTURA — conferir datas",IF(O5&lt;180,"EMPRESA ABERTA MENOS DE 6 MESES ANTES","")))</f>
        <v>EMPRESA ABERTA MENOS DE 6 MESES ANTES</v>
      </c>
      <c r="Q5" s="30" t="str">
        <f aca="false">IF(D5="","",IFERROR(INDEX(Sancoes!$D:$D,MATCH(D5,Sancoes!$C:$C,0)),"não consta"))</f>
        <v>não consta</v>
      </c>
      <c r="R5" s="21" t="str">
        <f aca="false">IF(OR(D5="",H5=""),"",IF(SUMPRODUCT((Sancoes!$C$5:$C$304=D5)*(Sancoes!$G$5:$G$304&lt;=H5)*(((Sancoes!$H$5:$H$304="")+(Sancoes!$H$5:$H$304&gt;=H5))&gt;0))&gt;0,"SANÇÃO VIGENTE NA DATA — ler tipo e abrangência",""))</f>
        <v/>
      </c>
      <c r="S5" s="20" t="s">
        <v>100</v>
      </c>
      <c r="T5" s="18" t="s">
        <v>81</v>
      </c>
    </row>
    <row r="6" customFormat="false" ht="35.05" hidden="false" customHeight="false" outlineLevel="0" collapsed="false">
      <c r="A6" s="18" t="s">
        <v>292</v>
      </c>
      <c r="B6" s="20" t="s">
        <v>293</v>
      </c>
      <c r="C6" s="20" t="s">
        <v>250</v>
      </c>
      <c r="D6" s="30" t="str">
        <f aca="false">IF(C6="","",IF(LEN(UPPER(SUBSTITUTE(SUBSTITUTE(SUBSTITUTE(SUBSTITUTE(TRIM(C6),".",""),"/",""),"-","")," ","")))&lt;14,RIGHT(REPT("0",14)&amp;UPPER(SUBSTITUTE(SUBSTITUTE(SUBSTITUTE(SUBSTITUTE(TRIM(C6),".",""),"/",""),"-","")," ","")),14),UPPER(SUBSTITUTE(SUBSTITUTE(SUBSTITUTE(SUBSTITUTE(TRIM(C6),".",""),"/",""),"-","")," ",""))))</f>
        <v>44555666000186</v>
      </c>
      <c r="E6" s="21" t="str">
        <f aca="false">IF(D6="","",IFERROR(INDEX(Empresas!$C:$C,MATCH(D6,Empresas!$B:$B,0)),"cadastre o CNPJ em Empresas"))</f>
        <v>CONSTRUTORA EXEMPLO LTDA</v>
      </c>
      <c r="F6" s="18" t="s">
        <v>294</v>
      </c>
      <c r="G6" s="19" t="s">
        <v>295</v>
      </c>
      <c r="H6" s="17" t="n">
        <v>45048</v>
      </c>
      <c r="I6" s="32" t="n">
        <v>2300000</v>
      </c>
      <c r="J6" s="32" t="n">
        <v>0</v>
      </c>
      <c r="K6" s="33" t="n">
        <f aca="false">IF(I6="","",I6+J6)</f>
        <v>2300000</v>
      </c>
      <c r="L6" s="34" t="n">
        <f aca="false">IF(OR(I6="",I6=0,J6=""),"",J6/I6)</f>
        <v>0</v>
      </c>
      <c r="M6" s="21" t="str">
        <f aca="false">IF(L6="","",IF(L6&gt;0.25,"ACRÉSCIMO ACIMA DE 25% — conferir",""))</f>
        <v/>
      </c>
      <c r="N6" s="28" t="n">
        <f aca="false">IF(D6="","",IF(COUNTIFS(Empresas!$B:$B,D6,Empresas!$E:$E,"&lt;&gt;")=0,"",INDEX(Empresas!$E:$E,MATCH(D6,Empresas!$B:$B,0))))</f>
        <v>42156</v>
      </c>
      <c r="O6" s="26" t="n">
        <f aca="false">IF(OR(N6="",H6=""),"",H6-N6)</f>
        <v>2892</v>
      </c>
      <c r="P6" s="21" t="str">
        <f aca="false">IF(O6="","",IF(O6&lt;0,"CONTRATO ANTERIOR À ABERTURA — conferir datas",IF(O6&lt;180,"EMPRESA ABERTA MENOS DE 6 MESES ANTES","")))</f>
        <v/>
      </c>
      <c r="Q6" s="30" t="str">
        <f aca="false">IF(D6="","",IFERROR(INDEX(Sancoes!$D:$D,MATCH(D6,Sancoes!$C:$C,0)),"não consta"))</f>
        <v>CEIS</v>
      </c>
      <c r="R6" s="21" t="str">
        <f aca="false">IF(OR(D6="",H6=""),"",IF(SUMPRODUCT((Sancoes!$C$5:$C$304=D6)*(Sancoes!$G$5:$G$304&lt;=H6)*(((Sancoes!$H$5:$H$304="")+(Sancoes!$H$5:$H$304&gt;=H6))&gt;0))&gt;0,"SANÇÃO VIGENTE NA DATA — ler tipo e abrangência",""))</f>
        <v>SANÇÃO VIGENTE NA DATA — ler tipo e abrangência</v>
      </c>
      <c r="S6" s="20" t="s">
        <v>170</v>
      </c>
      <c r="T6" s="18" t="s">
        <v>296</v>
      </c>
    </row>
    <row r="7" customFormat="false" ht="15" hidden="false" customHeight="false" outlineLevel="0" collapsed="false">
      <c r="A7" s="11"/>
      <c r="B7" s="24"/>
      <c r="C7" s="24"/>
      <c r="D7" s="31" t="str">
        <f aca="false">IF(C7="","",IF(LEN(UPPER(SUBSTITUTE(SUBSTITUTE(SUBSTITUTE(SUBSTITUTE(TRIM(C7),".",""),"/",""),"-","")," ","")))&lt;14,RIGHT(REPT("0",14)&amp;UPPER(SUBSTITUTE(SUBSTITUTE(SUBSTITUTE(SUBSTITUTE(TRIM(C7),".",""),"/",""),"-","")," ","")),14),UPPER(SUBSTITUTE(SUBSTITUTE(SUBSTITUTE(SUBSTITUTE(TRIM(C7),".",""),"/",""),"-","")," ",""))))</f>
        <v/>
      </c>
      <c r="E7" s="25" t="str">
        <f aca="false">IF(D7="","",IFERROR(INDEX(Empresas!$C:$C,MATCH(D7,Empresas!$B:$B,0)),"cadastre o CNPJ em Empresas"))</f>
        <v/>
      </c>
      <c r="F7" s="11"/>
      <c r="G7" s="23"/>
      <c r="H7" s="22"/>
      <c r="I7" s="35"/>
      <c r="J7" s="35"/>
      <c r="K7" s="36" t="str">
        <f aca="false">IF(I7="","",I7+J7)</f>
        <v/>
      </c>
      <c r="L7" s="37" t="str">
        <f aca="false">IF(OR(I7="",I7=0,J7=""),"",J7/I7)</f>
        <v/>
      </c>
      <c r="M7" s="25" t="str">
        <f aca="false">IF(L7="","",IF(L7&gt;0.25,"ACRÉSCIMO ACIMA DE 25% — conferir",""))</f>
        <v/>
      </c>
      <c r="N7" s="29" t="str">
        <f aca="false">IF(D7="","",IF(COUNTIFS(Empresas!$B:$B,D7,Empresas!$E:$E,"&lt;&gt;")=0,"",INDEX(Empresas!$E:$E,MATCH(D7,Empresas!$B:$B,0))))</f>
        <v/>
      </c>
      <c r="O7" s="27" t="str">
        <f aca="false">IF(OR(N7="",H7=""),"",H7-N7)</f>
        <v/>
      </c>
      <c r="P7" s="25" t="str">
        <f aca="false">IF(O7="","",IF(O7&lt;0,"CONTRATO ANTERIOR À ABERTURA — conferir datas",IF(O7&lt;180,"EMPRESA ABERTA MENOS DE 6 MESES ANTES","")))</f>
        <v/>
      </c>
      <c r="Q7" s="31" t="str">
        <f aca="false">IF(D7="","",IFERROR(INDEX(Sancoes!$D:$D,MATCH(D7,Sancoes!$C:$C,0)),"não consta"))</f>
        <v/>
      </c>
      <c r="R7" s="25" t="str">
        <f aca="false">IF(OR(D7="",H7=""),"",IF(SUMPRODUCT((Sancoes!$C$5:$C$304=D7)*(Sancoes!$G$5:$G$304&lt;=H7)*(((Sancoes!$H$5:$H$304="")+(Sancoes!$H$5:$H$304&gt;=H7))&gt;0))&gt;0,"SANÇÃO VIGENTE NA DATA — ler tipo e abrangência",""))</f>
        <v/>
      </c>
      <c r="S7" s="24"/>
      <c r="T7" s="11"/>
    </row>
    <row r="8" customFormat="false" ht="15" hidden="false" customHeight="false" outlineLevel="0" collapsed="false">
      <c r="A8" s="11"/>
      <c r="B8" s="24"/>
      <c r="C8" s="24"/>
      <c r="D8" s="31" t="str">
        <f aca="false">IF(C8="","",IF(LEN(UPPER(SUBSTITUTE(SUBSTITUTE(SUBSTITUTE(SUBSTITUTE(TRIM(C8),".",""),"/",""),"-","")," ","")))&lt;14,RIGHT(REPT("0",14)&amp;UPPER(SUBSTITUTE(SUBSTITUTE(SUBSTITUTE(SUBSTITUTE(TRIM(C8),".",""),"/",""),"-","")," ","")),14),UPPER(SUBSTITUTE(SUBSTITUTE(SUBSTITUTE(SUBSTITUTE(TRIM(C8),".",""),"/",""),"-","")," ",""))))</f>
        <v/>
      </c>
      <c r="E8" s="25" t="str">
        <f aca="false">IF(D8="","",IFERROR(INDEX(Empresas!$C:$C,MATCH(D8,Empresas!$B:$B,0)),"cadastre o CNPJ em Empresas"))</f>
        <v/>
      </c>
      <c r="F8" s="11"/>
      <c r="G8" s="23"/>
      <c r="H8" s="22"/>
      <c r="I8" s="35"/>
      <c r="J8" s="35"/>
      <c r="K8" s="36" t="str">
        <f aca="false">IF(I8="","",I8+J8)</f>
        <v/>
      </c>
      <c r="L8" s="37" t="str">
        <f aca="false">IF(OR(I8="",I8=0,J8=""),"",J8/I8)</f>
        <v/>
      </c>
      <c r="M8" s="25" t="str">
        <f aca="false">IF(L8="","",IF(L8&gt;0.25,"ACRÉSCIMO ACIMA DE 25% — conferir",""))</f>
        <v/>
      </c>
      <c r="N8" s="29" t="str">
        <f aca="false">IF(D8="","",IF(COUNTIFS(Empresas!$B:$B,D8,Empresas!$E:$E,"&lt;&gt;")=0,"",INDEX(Empresas!$E:$E,MATCH(D8,Empresas!$B:$B,0))))</f>
        <v/>
      </c>
      <c r="O8" s="27" t="str">
        <f aca="false">IF(OR(N8="",H8=""),"",H8-N8)</f>
        <v/>
      </c>
      <c r="P8" s="25" t="str">
        <f aca="false">IF(O8="","",IF(O8&lt;0,"CONTRATO ANTERIOR À ABERTURA — conferir datas",IF(O8&lt;180,"EMPRESA ABERTA MENOS DE 6 MESES ANTES","")))</f>
        <v/>
      </c>
      <c r="Q8" s="31" t="str">
        <f aca="false">IF(D8="","",IFERROR(INDEX(Sancoes!$D:$D,MATCH(D8,Sancoes!$C:$C,0)),"não consta"))</f>
        <v/>
      </c>
      <c r="R8" s="25" t="str">
        <f aca="false">IF(OR(D8="",H8=""),"",IF(SUMPRODUCT((Sancoes!$C$5:$C$304=D8)*(Sancoes!$G$5:$G$304&lt;=H8)*(((Sancoes!$H$5:$H$304="")+(Sancoes!$H$5:$H$304&gt;=H8))&gt;0))&gt;0,"SANÇÃO VIGENTE NA DATA — ler tipo e abrangência",""))</f>
        <v/>
      </c>
      <c r="S8" s="24"/>
      <c r="T8" s="11"/>
    </row>
    <row r="9" customFormat="false" ht="15" hidden="false" customHeight="false" outlineLevel="0" collapsed="false">
      <c r="A9" s="11"/>
      <c r="B9" s="24"/>
      <c r="C9" s="24"/>
      <c r="D9" s="31" t="str">
        <f aca="false">IF(C9="","",IF(LEN(UPPER(SUBSTITUTE(SUBSTITUTE(SUBSTITUTE(SUBSTITUTE(TRIM(C9),".",""),"/",""),"-","")," ","")))&lt;14,RIGHT(REPT("0",14)&amp;UPPER(SUBSTITUTE(SUBSTITUTE(SUBSTITUTE(SUBSTITUTE(TRIM(C9),".",""),"/",""),"-","")," ","")),14),UPPER(SUBSTITUTE(SUBSTITUTE(SUBSTITUTE(SUBSTITUTE(TRIM(C9),".",""),"/",""),"-","")," ",""))))</f>
        <v/>
      </c>
      <c r="E9" s="25" t="str">
        <f aca="false">IF(D9="","",IFERROR(INDEX(Empresas!$C:$C,MATCH(D9,Empresas!$B:$B,0)),"cadastre o CNPJ em Empresas"))</f>
        <v/>
      </c>
      <c r="F9" s="11"/>
      <c r="G9" s="23"/>
      <c r="H9" s="22"/>
      <c r="I9" s="35"/>
      <c r="J9" s="35"/>
      <c r="K9" s="36" t="str">
        <f aca="false">IF(I9="","",I9+J9)</f>
        <v/>
      </c>
      <c r="L9" s="37" t="str">
        <f aca="false">IF(OR(I9="",I9=0,J9=""),"",J9/I9)</f>
        <v/>
      </c>
      <c r="M9" s="25" t="str">
        <f aca="false">IF(L9="","",IF(L9&gt;0.25,"ACRÉSCIMO ACIMA DE 25% — conferir",""))</f>
        <v/>
      </c>
      <c r="N9" s="29" t="str">
        <f aca="false">IF(D9="","",IF(COUNTIFS(Empresas!$B:$B,D9,Empresas!$E:$E,"&lt;&gt;")=0,"",INDEX(Empresas!$E:$E,MATCH(D9,Empresas!$B:$B,0))))</f>
        <v/>
      </c>
      <c r="O9" s="27" t="str">
        <f aca="false">IF(OR(N9="",H9=""),"",H9-N9)</f>
        <v/>
      </c>
      <c r="P9" s="25" t="str">
        <f aca="false">IF(O9="","",IF(O9&lt;0,"CONTRATO ANTERIOR À ABERTURA — conferir datas",IF(O9&lt;180,"EMPRESA ABERTA MENOS DE 6 MESES ANTES","")))</f>
        <v/>
      </c>
      <c r="Q9" s="31" t="str">
        <f aca="false">IF(D9="","",IFERROR(INDEX(Sancoes!$D:$D,MATCH(D9,Sancoes!$C:$C,0)),"não consta"))</f>
        <v/>
      </c>
      <c r="R9" s="25" t="str">
        <f aca="false">IF(OR(D9="",H9=""),"",IF(SUMPRODUCT((Sancoes!$C$5:$C$304=D9)*(Sancoes!$G$5:$G$304&lt;=H9)*(((Sancoes!$H$5:$H$304="")+(Sancoes!$H$5:$H$304&gt;=H9))&gt;0))&gt;0,"SANÇÃO VIGENTE NA DATA — ler tipo e abrangência",""))</f>
        <v/>
      </c>
      <c r="S9" s="24"/>
      <c r="T9" s="11"/>
    </row>
    <row r="10" customFormat="false" ht="15" hidden="false" customHeight="false" outlineLevel="0" collapsed="false">
      <c r="A10" s="11"/>
      <c r="B10" s="24"/>
      <c r="C10" s="24"/>
      <c r="D10" s="31" t="str">
        <f aca="false">IF(C10="","",IF(LEN(UPPER(SUBSTITUTE(SUBSTITUTE(SUBSTITUTE(SUBSTITUTE(TRIM(C10),".",""),"/",""),"-","")," ","")))&lt;14,RIGHT(REPT("0",14)&amp;UPPER(SUBSTITUTE(SUBSTITUTE(SUBSTITUTE(SUBSTITUTE(TRIM(C10),".",""),"/",""),"-","")," ","")),14),UPPER(SUBSTITUTE(SUBSTITUTE(SUBSTITUTE(SUBSTITUTE(TRIM(C10),".",""),"/",""),"-","")," ",""))))</f>
        <v/>
      </c>
      <c r="E10" s="25" t="str">
        <f aca="false">IF(D10="","",IFERROR(INDEX(Empresas!$C:$C,MATCH(D10,Empresas!$B:$B,0)),"cadastre o CNPJ em Empresas"))</f>
        <v/>
      </c>
      <c r="F10" s="11"/>
      <c r="G10" s="23"/>
      <c r="H10" s="22"/>
      <c r="I10" s="35"/>
      <c r="J10" s="35"/>
      <c r="K10" s="36" t="str">
        <f aca="false">IF(I10="","",I10+J10)</f>
        <v/>
      </c>
      <c r="L10" s="37" t="str">
        <f aca="false">IF(OR(I10="",I10=0,J10=""),"",J10/I10)</f>
        <v/>
      </c>
      <c r="M10" s="25" t="str">
        <f aca="false">IF(L10="","",IF(L10&gt;0.25,"ACRÉSCIMO ACIMA DE 25% — conferir",""))</f>
        <v/>
      </c>
      <c r="N10" s="29" t="str">
        <f aca="false">IF(D10="","",IF(COUNTIFS(Empresas!$B:$B,D10,Empresas!$E:$E,"&lt;&gt;")=0,"",INDEX(Empresas!$E:$E,MATCH(D10,Empresas!$B:$B,0))))</f>
        <v/>
      </c>
      <c r="O10" s="27" t="str">
        <f aca="false">IF(OR(N10="",H10=""),"",H10-N10)</f>
        <v/>
      </c>
      <c r="P10" s="25" t="str">
        <f aca="false">IF(O10="","",IF(O10&lt;0,"CONTRATO ANTERIOR À ABERTURA — conferir datas",IF(O10&lt;180,"EMPRESA ABERTA MENOS DE 6 MESES ANTES","")))</f>
        <v/>
      </c>
      <c r="Q10" s="31" t="str">
        <f aca="false">IF(D10="","",IFERROR(INDEX(Sancoes!$D:$D,MATCH(D10,Sancoes!$C:$C,0)),"não consta"))</f>
        <v/>
      </c>
      <c r="R10" s="25" t="str">
        <f aca="false">IF(OR(D10="",H10=""),"",IF(SUMPRODUCT((Sancoes!$C$5:$C$304=D10)*(Sancoes!$G$5:$G$304&lt;=H10)*(((Sancoes!$H$5:$H$304="")+(Sancoes!$H$5:$H$304&gt;=H10))&gt;0))&gt;0,"SANÇÃO VIGENTE NA DATA — ler tipo e abrangência",""))</f>
        <v/>
      </c>
      <c r="S10" s="24"/>
      <c r="T10" s="11"/>
    </row>
    <row r="11" customFormat="false" ht="15" hidden="false" customHeight="false" outlineLevel="0" collapsed="false">
      <c r="A11" s="11"/>
      <c r="B11" s="24"/>
      <c r="C11" s="24"/>
      <c r="D11" s="31" t="str">
        <f aca="false">IF(C11="","",IF(LEN(UPPER(SUBSTITUTE(SUBSTITUTE(SUBSTITUTE(SUBSTITUTE(TRIM(C11),".",""),"/",""),"-","")," ","")))&lt;14,RIGHT(REPT("0",14)&amp;UPPER(SUBSTITUTE(SUBSTITUTE(SUBSTITUTE(SUBSTITUTE(TRIM(C11),".",""),"/",""),"-","")," ","")),14),UPPER(SUBSTITUTE(SUBSTITUTE(SUBSTITUTE(SUBSTITUTE(TRIM(C11),".",""),"/",""),"-","")," ",""))))</f>
        <v/>
      </c>
      <c r="E11" s="25" t="str">
        <f aca="false">IF(D11="","",IFERROR(INDEX(Empresas!$C:$C,MATCH(D11,Empresas!$B:$B,0)),"cadastre o CNPJ em Empresas"))</f>
        <v/>
      </c>
      <c r="F11" s="11"/>
      <c r="G11" s="23"/>
      <c r="H11" s="22"/>
      <c r="I11" s="35"/>
      <c r="J11" s="35"/>
      <c r="K11" s="36" t="str">
        <f aca="false">IF(I11="","",I11+J11)</f>
        <v/>
      </c>
      <c r="L11" s="37" t="str">
        <f aca="false">IF(OR(I11="",I11=0,J11=""),"",J11/I11)</f>
        <v/>
      </c>
      <c r="M11" s="25" t="str">
        <f aca="false">IF(L11="","",IF(L11&gt;0.25,"ACRÉSCIMO ACIMA DE 25% — conferir",""))</f>
        <v/>
      </c>
      <c r="N11" s="29" t="str">
        <f aca="false">IF(D11="","",IF(COUNTIFS(Empresas!$B:$B,D11,Empresas!$E:$E,"&lt;&gt;")=0,"",INDEX(Empresas!$E:$E,MATCH(D11,Empresas!$B:$B,0))))</f>
        <v/>
      </c>
      <c r="O11" s="27" t="str">
        <f aca="false">IF(OR(N11="",H11=""),"",H11-N11)</f>
        <v/>
      </c>
      <c r="P11" s="25" t="str">
        <f aca="false">IF(O11="","",IF(O11&lt;0,"CONTRATO ANTERIOR À ABERTURA — conferir datas",IF(O11&lt;180,"EMPRESA ABERTA MENOS DE 6 MESES ANTES","")))</f>
        <v/>
      </c>
      <c r="Q11" s="31" t="str">
        <f aca="false">IF(D11="","",IFERROR(INDEX(Sancoes!$D:$D,MATCH(D11,Sancoes!$C:$C,0)),"não consta"))</f>
        <v/>
      </c>
      <c r="R11" s="25" t="str">
        <f aca="false">IF(OR(D11="",H11=""),"",IF(SUMPRODUCT((Sancoes!$C$5:$C$304=D11)*(Sancoes!$G$5:$G$304&lt;=H11)*(((Sancoes!$H$5:$H$304="")+(Sancoes!$H$5:$H$304&gt;=H11))&gt;0))&gt;0,"SANÇÃO VIGENTE NA DATA — ler tipo e abrangência",""))</f>
        <v/>
      </c>
      <c r="S11" s="24"/>
      <c r="T11" s="11"/>
    </row>
    <row r="12" customFormat="false" ht="15" hidden="false" customHeight="false" outlineLevel="0" collapsed="false">
      <c r="A12" s="11"/>
      <c r="B12" s="24"/>
      <c r="C12" s="24"/>
      <c r="D12" s="31" t="str">
        <f aca="false">IF(C12="","",IF(LEN(UPPER(SUBSTITUTE(SUBSTITUTE(SUBSTITUTE(SUBSTITUTE(TRIM(C12),".",""),"/",""),"-","")," ","")))&lt;14,RIGHT(REPT("0",14)&amp;UPPER(SUBSTITUTE(SUBSTITUTE(SUBSTITUTE(SUBSTITUTE(TRIM(C12),".",""),"/",""),"-","")," ","")),14),UPPER(SUBSTITUTE(SUBSTITUTE(SUBSTITUTE(SUBSTITUTE(TRIM(C12),".",""),"/",""),"-","")," ",""))))</f>
        <v/>
      </c>
      <c r="E12" s="25" t="str">
        <f aca="false">IF(D12="","",IFERROR(INDEX(Empresas!$C:$C,MATCH(D12,Empresas!$B:$B,0)),"cadastre o CNPJ em Empresas"))</f>
        <v/>
      </c>
      <c r="F12" s="11"/>
      <c r="G12" s="23"/>
      <c r="H12" s="22"/>
      <c r="I12" s="35"/>
      <c r="J12" s="35"/>
      <c r="K12" s="36" t="str">
        <f aca="false">IF(I12="","",I12+J12)</f>
        <v/>
      </c>
      <c r="L12" s="37" t="str">
        <f aca="false">IF(OR(I12="",I12=0,J12=""),"",J12/I12)</f>
        <v/>
      </c>
      <c r="M12" s="25" t="str">
        <f aca="false">IF(L12="","",IF(L12&gt;0.25,"ACRÉSCIMO ACIMA DE 25% — conferir",""))</f>
        <v/>
      </c>
      <c r="N12" s="29" t="str">
        <f aca="false">IF(D12="","",IF(COUNTIFS(Empresas!$B:$B,D12,Empresas!$E:$E,"&lt;&gt;")=0,"",INDEX(Empresas!$E:$E,MATCH(D12,Empresas!$B:$B,0))))</f>
        <v/>
      </c>
      <c r="O12" s="27" t="str">
        <f aca="false">IF(OR(N12="",H12=""),"",H12-N12)</f>
        <v/>
      </c>
      <c r="P12" s="25" t="str">
        <f aca="false">IF(O12="","",IF(O12&lt;0,"CONTRATO ANTERIOR À ABERTURA — conferir datas",IF(O12&lt;180,"EMPRESA ABERTA MENOS DE 6 MESES ANTES","")))</f>
        <v/>
      </c>
      <c r="Q12" s="31" t="str">
        <f aca="false">IF(D12="","",IFERROR(INDEX(Sancoes!$D:$D,MATCH(D12,Sancoes!$C:$C,0)),"não consta"))</f>
        <v/>
      </c>
      <c r="R12" s="25" t="str">
        <f aca="false">IF(OR(D12="",H12=""),"",IF(SUMPRODUCT((Sancoes!$C$5:$C$304=D12)*(Sancoes!$G$5:$G$304&lt;=H12)*(((Sancoes!$H$5:$H$304="")+(Sancoes!$H$5:$H$304&gt;=H12))&gt;0))&gt;0,"SANÇÃO VIGENTE NA DATA — ler tipo e abrangência",""))</f>
        <v/>
      </c>
      <c r="S12" s="24"/>
      <c r="T12" s="11"/>
    </row>
    <row r="13" customFormat="false" ht="15" hidden="false" customHeight="false" outlineLevel="0" collapsed="false">
      <c r="A13" s="11"/>
      <c r="B13" s="24"/>
      <c r="C13" s="24"/>
      <c r="D13" s="31" t="str">
        <f aca="false">IF(C13="","",IF(LEN(UPPER(SUBSTITUTE(SUBSTITUTE(SUBSTITUTE(SUBSTITUTE(TRIM(C13),".",""),"/",""),"-","")," ","")))&lt;14,RIGHT(REPT("0",14)&amp;UPPER(SUBSTITUTE(SUBSTITUTE(SUBSTITUTE(SUBSTITUTE(TRIM(C13),".",""),"/",""),"-","")," ","")),14),UPPER(SUBSTITUTE(SUBSTITUTE(SUBSTITUTE(SUBSTITUTE(TRIM(C13),".",""),"/",""),"-","")," ",""))))</f>
        <v/>
      </c>
      <c r="E13" s="25" t="str">
        <f aca="false">IF(D13="","",IFERROR(INDEX(Empresas!$C:$C,MATCH(D13,Empresas!$B:$B,0)),"cadastre o CNPJ em Empresas"))</f>
        <v/>
      </c>
      <c r="F13" s="11"/>
      <c r="G13" s="23"/>
      <c r="H13" s="22"/>
      <c r="I13" s="35"/>
      <c r="J13" s="35"/>
      <c r="K13" s="36" t="str">
        <f aca="false">IF(I13="","",I13+J13)</f>
        <v/>
      </c>
      <c r="L13" s="37" t="str">
        <f aca="false">IF(OR(I13="",I13=0,J13=""),"",J13/I13)</f>
        <v/>
      </c>
      <c r="M13" s="25" t="str">
        <f aca="false">IF(L13="","",IF(L13&gt;0.25,"ACRÉSCIMO ACIMA DE 25% — conferir",""))</f>
        <v/>
      </c>
      <c r="N13" s="29" t="str">
        <f aca="false">IF(D13="","",IF(COUNTIFS(Empresas!$B:$B,D13,Empresas!$E:$E,"&lt;&gt;")=0,"",INDEX(Empresas!$E:$E,MATCH(D13,Empresas!$B:$B,0))))</f>
        <v/>
      </c>
      <c r="O13" s="27" t="str">
        <f aca="false">IF(OR(N13="",H13=""),"",H13-N13)</f>
        <v/>
      </c>
      <c r="P13" s="25" t="str">
        <f aca="false">IF(O13="","",IF(O13&lt;0,"CONTRATO ANTERIOR À ABERTURA — conferir datas",IF(O13&lt;180,"EMPRESA ABERTA MENOS DE 6 MESES ANTES","")))</f>
        <v/>
      </c>
      <c r="Q13" s="31" t="str">
        <f aca="false">IF(D13="","",IFERROR(INDEX(Sancoes!$D:$D,MATCH(D13,Sancoes!$C:$C,0)),"não consta"))</f>
        <v/>
      </c>
      <c r="R13" s="25" t="str">
        <f aca="false">IF(OR(D13="",H13=""),"",IF(SUMPRODUCT((Sancoes!$C$5:$C$304=D13)*(Sancoes!$G$5:$G$304&lt;=H13)*(((Sancoes!$H$5:$H$304="")+(Sancoes!$H$5:$H$304&gt;=H13))&gt;0))&gt;0,"SANÇÃO VIGENTE NA DATA — ler tipo e abrangência",""))</f>
        <v/>
      </c>
      <c r="S13" s="24"/>
      <c r="T13" s="11"/>
    </row>
    <row r="14" customFormat="false" ht="15" hidden="false" customHeight="false" outlineLevel="0" collapsed="false">
      <c r="A14" s="11"/>
      <c r="B14" s="24"/>
      <c r="C14" s="24"/>
      <c r="D14" s="31" t="str">
        <f aca="false">IF(C14="","",IF(LEN(UPPER(SUBSTITUTE(SUBSTITUTE(SUBSTITUTE(SUBSTITUTE(TRIM(C14),".",""),"/",""),"-","")," ","")))&lt;14,RIGHT(REPT("0",14)&amp;UPPER(SUBSTITUTE(SUBSTITUTE(SUBSTITUTE(SUBSTITUTE(TRIM(C14),".",""),"/",""),"-","")," ","")),14),UPPER(SUBSTITUTE(SUBSTITUTE(SUBSTITUTE(SUBSTITUTE(TRIM(C14),".",""),"/",""),"-","")," ",""))))</f>
        <v/>
      </c>
      <c r="E14" s="25" t="str">
        <f aca="false">IF(D14="","",IFERROR(INDEX(Empresas!$C:$C,MATCH(D14,Empresas!$B:$B,0)),"cadastre o CNPJ em Empresas"))</f>
        <v/>
      </c>
      <c r="F14" s="11"/>
      <c r="G14" s="23"/>
      <c r="H14" s="22"/>
      <c r="I14" s="35"/>
      <c r="J14" s="35"/>
      <c r="K14" s="36" t="str">
        <f aca="false">IF(I14="","",I14+J14)</f>
        <v/>
      </c>
      <c r="L14" s="37" t="str">
        <f aca="false">IF(OR(I14="",I14=0,J14=""),"",J14/I14)</f>
        <v/>
      </c>
      <c r="M14" s="25" t="str">
        <f aca="false">IF(L14="","",IF(L14&gt;0.25,"ACRÉSCIMO ACIMA DE 25% — conferir",""))</f>
        <v/>
      </c>
      <c r="N14" s="29" t="str">
        <f aca="false">IF(D14="","",IF(COUNTIFS(Empresas!$B:$B,D14,Empresas!$E:$E,"&lt;&gt;")=0,"",INDEX(Empresas!$E:$E,MATCH(D14,Empresas!$B:$B,0))))</f>
        <v/>
      </c>
      <c r="O14" s="27" t="str">
        <f aca="false">IF(OR(N14="",H14=""),"",H14-N14)</f>
        <v/>
      </c>
      <c r="P14" s="25" t="str">
        <f aca="false">IF(O14="","",IF(O14&lt;0,"CONTRATO ANTERIOR À ABERTURA — conferir datas",IF(O14&lt;180,"EMPRESA ABERTA MENOS DE 6 MESES ANTES","")))</f>
        <v/>
      </c>
      <c r="Q14" s="31" t="str">
        <f aca="false">IF(D14="","",IFERROR(INDEX(Sancoes!$D:$D,MATCH(D14,Sancoes!$C:$C,0)),"não consta"))</f>
        <v/>
      </c>
      <c r="R14" s="25" t="str">
        <f aca="false">IF(OR(D14="",H14=""),"",IF(SUMPRODUCT((Sancoes!$C$5:$C$304=D14)*(Sancoes!$G$5:$G$304&lt;=H14)*(((Sancoes!$H$5:$H$304="")+(Sancoes!$H$5:$H$304&gt;=H14))&gt;0))&gt;0,"SANÇÃO VIGENTE NA DATA — ler tipo e abrangência",""))</f>
        <v/>
      </c>
      <c r="S14" s="24"/>
      <c r="T14" s="11"/>
    </row>
    <row r="15" customFormat="false" ht="15" hidden="false" customHeight="false" outlineLevel="0" collapsed="false">
      <c r="A15" s="11"/>
      <c r="B15" s="24"/>
      <c r="C15" s="24"/>
      <c r="D15" s="31" t="str">
        <f aca="false">IF(C15="","",IF(LEN(UPPER(SUBSTITUTE(SUBSTITUTE(SUBSTITUTE(SUBSTITUTE(TRIM(C15),".",""),"/",""),"-","")," ","")))&lt;14,RIGHT(REPT("0",14)&amp;UPPER(SUBSTITUTE(SUBSTITUTE(SUBSTITUTE(SUBSTITUTE(TRIM(C15),".",""),"/",""),"-","")," ","")),14),UPPER(SUBSTITUTE(SUBSTITUTE(SUBSTITUTE(SUBSTITUTE(TRIM(C15),".",""),"/",""),"-","")," ",""))))</f>
        <v/>
      </c>
      <c r="E15" s="25" t="str">
        <f aca="false">IF(D15="","",IFERROR(INDEX(Empresas!$C:$C,MATCH(D15,Empresas!$B:$B,0)),"cadastre o CNPJ em Empresas"))</f>
        <v/>
      </c>
      <c r="F15" s="11"/>
      <c r="G15" s="23"/>
      <c r="H15" s="22"/>
      <c r="I15" s="35"/>
      <c r="J15" s="35"/>
      <c r="K15" s="36" t="str">
        <f aca="false">IF(I15="","",I15+J15)</f>
        <v/>
      </c>
      <c r="L15" s="37" t="str">
        <f aca="false">IF(OR(I15="",I15=0,J15=""),"",J15/I15)</f>
        <v/>
      </c>
      <c r="M15" s="25" t="str">
        <f aca="false">IF(L15="","",IF(L15&gt;0.25,"ACRÉSCIMO ACIMA DE 25% — conferir",""))</f>
        <v/>
      </c>
      <c r="N15" s="29" t="str">
        <f aca="false">IF(D15="","",IF(COUNTIFS(Empresas!$B:$B,D15,Empresas!$E:$E,"&lt;&gt;")=0,"",INDEX(Empresas!$E:$E,MATCH(D15,Empresas!$B:$B,0))))</f>
        <v/>
      </c>
      <c r="O15" s="27" t="str">
        <f aca="false">IF(OR(N15="",H15=""),"",H15-N15)</f>
        <v/>
      </c>
      <c r="P15" s="25" t="str">
        <f aca="false">IF(O15="","",IF(O15&lt;0,"CONTRATO ANTERIOR À ABERTURA — conferir datas",IF(O15&lt;180,"EMPRESA ABERTA MENOS DE 6 MESES ANTES","")))</f>
        <v/>
      </c>
      <c r="Q15" s="31" t="str">
        <f aca="false">IF(D15="","",IFERROR(INDEX(Sancoes!$D:$D,MATCH(D15,Sancoes!$C:$C,0)),"não consta"))</f>
        <v/>
      </c>
      <c r="R15" s="25" t="str">
        <f aca="false">IF(OR(D15="",H15=""),"",IF(SUMPRODUCT((Sancoes!$C$5:$C$304=D15)*(Sancoes!$G$5:$G$304&lt;=H15)*(((Sancoes!$H$5:$H$304="")+(Sancoes!$H$5:$H$304&gt;=H15))&gt;0))&gt;0,"SANÇÃO VIGENTE NA DATA — ler tipo e abrangência",""))</f>
        <v/>
      </c>
      <c r="S15" s="24"/>
      <c r="T15" s="11"/>
    </row>
    <row r="16" customFormat="false" ht="15" hidden="false" customHeight="false" outlineLevel="0" collapsed="false">
      <c r="A16" s="11"/>
      <c r="B16" s="24"/>
      <c r="C16" s="24"/>
      <c r="D16" s="31" t="str">
        <f aca="false">IF(C16="","",IF(LEN(UPPER(SUBSTITUTE(SUBSTITUTE(SUBSTITUTE(SUBSTITUTE(TRIM(C16),".",""),"/",""),"-","")," ","")))&lt;14,RIGHT(REPT("0",14)&amp;UPPER(SUBSTITUTE(SUBSTITUTE(SUBSTITUTE(SUBSTITUTE(TRIM(C16),".",""),"/",""),"-","")," ","")),14),UPPER(SUBSTITUTE(SUBSTITUTE(SUBSTITUTE(SUBSTITUTE(TRIM(C16),".",""),"/",""),"-","")," ",""))))</f>
        <v/>
      </c>
      <c r="E16" s="25" t="str">
        <f aca="false">IF(D16="","",IFERROR(INDEX(Empresas!$C:$C,MATCH(D16,Empresas!$B:$B,0)),"cadastre o CNPJ em Empresas"))</f>
        <v/>
      </c>
      <c r="F16" s="11"/>
      <c r="G16" s="23"/>
      <c r="H16" s="22"/>
      <c r="I16" s="35"/>
      <c r="J16" s="35"/>
      <c r="K16" s="36" t="str">
        <f aca="false">IF(I16="","",I16+J16)</f>
        <v/>
      </c>
      <c r="L16" s="37" t="str">
        <f aca="false">IF(OR(I16="",I16=0,J16=""),"",J16/I16)</f>
        <v/>
      </c>
      <c r="M16" s="25" t="str">
        <f aca="false">IF(L16="","",IF(L16&gt;0.25,"ACRÉSCIMO ACIMA DE 25% — conferir",""))</f>
        <v/>
      </c>
      <c r="N16" s="29" t="str">
        <f aca="false">IF(D16="","",IF(COUNTIFS(Empresas!$B:$B,D16,Empresas!$E:$E,"&lt;&gt;")=0,"",INDEX(Empresas!$E:$E,MATCH(D16,Empresas!$B:$B,0))))</f>
        <v/>
      </c>
      <c r="O16" s="27" t="str">
        <f aca="false">IF(OR(N16="",H16=""),"",H16-N16)</f>
        <v/>
      </c>
      <c r="P16" s="25" t="str">
        <f aca="false">IF(O16="","",IF(O16&lt;0,"CONTRATO ANTERIOR À ABERTURA — conferir datas",IF(O16&lt;180,"EMPRESA ABERTA MENOS DE 6 MESES ANTES","")))</f>
        <v/>
      </c>
      <c r="Q16" s="31" t="str">
        <f aca="false">IF(D16="","",IFERROR(INDEX(Sancoes!$D:$D,MATCH(D16,Sancoes!$C:$C,0)),"não consta"))</f>
        <v/>
      </c>
      <c r="R16" s="25" t="str">
        <f aca="false">IF(OR(D16="",H16=""),"",IF(SUMPRODUCT((Sancoes!$C$5:$C$304=D16)*(Sancoes!$G$5:$G$304&lt;=H16)*(((Sancoes!$H$5:$H$304="")+(Sancoes!$H$5:$H$304&gt;=H16))&gt;0))&gt;0,"SANÇÃO VIGENTE NA DATA — ler tipo e abrangência",""))</f>
        <v/>
      </c>
      <c r="S16" s="24"/>
      <c r="T16" s="11"/>
    </row>
    <row r="17" customFormat="false" ht="15" hidden="false" customHeight="false" outlineLevel="0" collapsed="false">
      <c r="A17" s="11"/>
      <c r="B17" s="24"/>
      <c r="C17" s="24"/>
      <c r="D17" s="31" t="str">
        <f aca="false">IF(C17="","",IF(LEN(UPPER(SUBSTITUTE(SUBSTITUTE(SUBSTITUTE(SUBSTITUTE(TRIM(C17),".",""),"/",""),"-","")," ","")))&lt;14,RIGHT(REPT("0",14)&amp;UPPER(SUBSTITUTE(SUBSTITUTE(SUBSTITUTE(SUBSTITUTE(TRIM(C17),".",""),"/",""),"-","")," ","")),14),UPPER(SUBSTITUTE(SUBSTITUTE(SUBSTITUTE(SUBSTITUTE(TRIM(C17),".",""),"/",""),"-","")," ",""))))</f>
        <v/>
      </c>
      <c r="E17" s="25" t="str">
        <f aca="false">IF(D17="","",IFERROR(INDEX(Empresas!$C:$C,MATCH(D17,Empresas!$B:$B,0)),"cadastre o CNPJ em Empresas"))</f>
        <v/>
      </c>
      <c r="F17" s="11"/>
      <c r="G17" s="23"/>
      <c r="H17" s="22"/>
      <c r="I17" s="35"/>
      <c r="J17" s="35"/>
      <c r="K17" s="36" t="str">
        <f aca="false">IF(I17="","",I17+J17)</f>
        <v/>
      </c>
      <c r="L17" s="37" t="str">
        <f aca="false">IF(OR(I17="",I17=0,J17=""),"",J17/I17)</f>
        <v/>
      </c>
      <c r="M17" s="25" t="str">
        <f aca="false">IF(L17="","",IF(L17&gt;0.25,"ACRÉSCIMO ACIMA DE 25% — conferir",""))</f>
        <v/>
      </c>
      <c r="N17" s="29" t="str">
        <f aca="false">IF(D17="","",IF(COUNTIFS(Empresas!$B:$B,D17,Empresas!$E:$E,"&lt;&gt;")=0,"",INDEX(Empresas!$E:$E,MATCH(D17,Empresas!$B:$B,0))))</f>
        <v/>
      </c>
      <c r="O17" s="27" t="str">
        <f aca="false">IF(OR(N17="",H17=""),"",H17-N17)</f>
        <v/>
      </c>
      <c r="P17" s="25" t="str">
        <f aca="false">IF(O17="","",IF(O17&lt;0,"CONTRATO ANTERIOR À ABERTURA — conferir datas",IF(O17&lt;180,"EMPRESA ABERTA MENOS DE 6 MESES ANTES","")))</f>
        <v/>
      </c>
      <c r="Q17" s="31" t="str">
        <f aca="false">IF(D17="","",IFERROR(INDEX(Sancoes!$D:$D,MATCH(D17,Sancoes!$C:$C,0)),"não consta"))</f>
        <v/>
      </c>
      <c r="R17" s="25" t="str">
        <f aca="false">IF(OR(D17="",H17=""),"",IF(SUMPRODUCT((Sancoes!$C$5:$C$304=D17)*(Sancoes!$G$5:$G$304&lt;=H17)*(((Sancoes!$H$5:$H$304="")+(Sancoes!$H$5:$H$304&gt;=H17))&gt;0))&gt;0,"SANÇÃO VIGENTE NA DATA — ler tipo e abrangência",""))</f>
        <v/>
      </c>
      <c r="S17" s="24"/>
      <c r="T17" s="11"/>
    </row>
    <row r="18" customFormat="false" ht="15" hidden="false" customHeight="false" outlineLevel="0" collapsed="false">
      <c r="A18" s="11"/>
      <c r="B18" s="24"/>
      <c r="C18" s="24"/>
      <c r="D18" s="31" t="str">
        <f aca="false">IF(C18="","",IF(LEN(UPPER(SUBSTITUTE(SUBSTITUTE(SUBSTITUTE(SUBSTITUTE(TRIM(C18),".",""),"/",""),"-","")," ","")))&lt;14,RIGHT(REPT("0",14)&amp;UPPER(SUBSTITUTE(SUBSTITUTE(SUBSTITUTE(SUBSTITUTE(TRIM(C18),".",""),"/",""),"-","")," ","")),14),UPPER(SUBSTITUTE(SUBSTITUTE(SUBSTITUTE(SUBSTITUTE(TRIM(C18),".",""),"/",""),"-","")," ",""))))</f>
        <v/>
      </c>
      <c r="E18" s="25" t="str">
        <f aca="false">IF(D18="","",IFERROR(INDEX(Empresas!$C:$C,MATCH(D18,Empresas!$B:$B,0)),"cadastre o CNPJ em Empresas"))</f>
        <v/>
      </c>
      <c r="F18" s="11"/>
      <c r="G18" s="23"/>
      <c r="H18" s="22"/>
      <c r="I18" s="35"/>
      <c r="J18" s="35"/>
      <c r="K18" s="36" t="str">
        <f aca="false">IF(I18="","",I18+J18)</f>
        <v/>
      </c>
      <c r="L18" s="37" t="str">
        <f aca="false">IF(OR(I18="",I18=0,J18=""),"",J18/I18)</f>
        <v/>
      </c>
      <c r="M18" s="25" t="str">
        <f aca="false">IF(L18="","",IF(L18&gt;0.25,"ACRÉSCIMO ACIMA DE 25% — conferir",""))</f>
        <v/>
      </c>
      <c r="N18" s="29" t="str">
        <f aca="false">IF(D18="","",IF(COUNTIFS(Empresas!$B:$B,D18,Empresas!$E:$E,"&lt;&gt;")=0,"",INDEX(Empresas!$E:$E,MATCH(D18,Empresas!$B:$B,0))))</f>
        <v/>
      </c>
      <c r="O18" s="27" t="str">
        <f aca="false">IF(OR(N18="",H18=""),"",H18-N18)</f>
        <v/>
      </c>
      <c r="P18" s="25" t="str">
        <f aca="false">IF(O18="","",IF(O18&lt;0,"CONTRATO ANTERIOR À ABERTURA — conferir datas",IF(O18&lt;180,"EMPRESA ABERTA MENOS DE 6 MESES ANTES","")))</f>
        <v/>
      </c>
      <c r="Q18" s="31" t="str">
        <f aca="false">IF(D18="","",IFERROR(INDEX(Sancoes!$D:$D,MATCH(D18,Sancoes!$C:$C,0)),"não consta"))</f>
        <v/>
      </c>
      <c r="R18" s="25" t="str">
        <f aca="false">IF(OR(D18="",H18=""),"",IF(SUMPRODUCT((Sancoes!$C$5:$C$304=D18)*(Sancoes!$G$5:$G$304&lt;=H18)*(((Sancoes!$H$5:$H$304="")+(Sancoes!$H$5:$H$304&gt;=H18))&gt;0))&gt;0,"SANÇÃO VIGENTE NA DATA — ler tipo e abrangência",""))</f>
        <v/>
      </c>
      <c r="S18" s="24"/>
      <c r="T18" s="11"/>
    </row>
    <row r="19" customFormat="false" ht="15" hidden="false" customHeight="false" outlineLevel="0" collapsed="false">
      <c r="A19" s="11"/>
      <c r="B19" s="24"/>
      <c r="C19" s="24"/>
      <c r="D19" s="31" t="str">
        <f aca="false">IF(C19="","",IF(LEN(UPPER(SUBSTITUTE(SUBSTITUTE(SUBSTITUTE(SUBSTITUTE(TRIM(C19),".",""),"/",""),"-","")," ","")))&lt;14,RIGHT(REPT("0",14)&amp;UPPER(SUBSTITUTE(SUBSTITUTE(SUBSTITUTE(SUBSTITUTE(TRIM(C19),".",""),"/",""),"-","")," ","")),14),UPPER(SUBSTITUTE(SUBSTITUTE(SUBSTITUTE(SUBSTITUTE(TRIM(C19),".",""),"/",""),"-","")," ",""))))</f>
        <v/>
      </c>
      <c r="E19" s="25" t="str">
        <f aca="false">IF(D19="","",IFERROR(INDEX(Empresas!$C:$C,MATCH(D19,Empresas!$B:$B,0)),"cadastre o CNPJ em Empresas"))</f>
        <v/>
      </c>
      <c r="F19" s="11"/>
      <c r="G19" s="23"/>
      <c r="H19" s="22"/>
      <c r="I19" s="35"/>
      <c r="J19" s="35"/>
      <c r="K19" s="36" t="str">
        <f aca="false">IF(I19="","",I19+J19)</f>
        <v/>
      </c>
      <c r="L19" s="37" t="str">
        <f aca="false">IF(OR(I19="",I19=0,J19=""),"",J19/I19)</f>
        <v/>
      </c>
      <c r="M19" s="25" t="str">
        <f aca="false">IF(L19="","",IF(L19&gt;0.25,"ACRÉSCIMO ACIMA DE 25% — conferir",""))</f>
        <v/>
      </c>
      <c r="N19" s="29" t="str">
        <f aca="false">IF(D19="","",IF(COUNTIFS(Empresas!$B:$B,D19,Empresas!$E:$E,"&lt;&gt;")=0,"",INDEX(Empresas!$E:$E,MATCH(D19,Empresas!$B:$B,0))))</f>
        <v/>
      </c>
      <c r="O19" s="27" t="str">
        <f aca="false">IF(OR(N19="",H19=""),"",H19-N19)</f>
        <v/>
      </c>
      <c r="P19" s="25" t="str">
        <f aca="false">IF(O19="","",IF(O19&lt;0,"CONTRATO ANTERIOR À ABERTURA — conferir datas",IF(O19&lt;180,"EMPRESA ABERTA MENOS DE 6 MESES ANTES","")))</f>
        <v/>
      </c>
      <c r="Q19" s="31" t="str">
        <f aca="false">IF(D19="","",IFERROR(INDEX(Sancoes!$D:$D,MATCH(D19,Sancoes!$C:$C,0)),"não consta"))</f>
        <v/>
      </c>
      <c r="R19" s="25" t="str">
        <f aca="false">IF(OR(D19="",H19=""),"",IF(SUMPRODUCT((Sancoes!$C$5:$C$304=D19)*(Sancoes!$G$5:$G$304&lt;=H19)*(((Sancoes!$H$5:$H$304="")+(Sancoes!$H$5:$H$304&gt;=H19))&gt;0))&gt;0,"SANÇÃO VIGENTE NA DATA — ler tipo e abrangência",""))</f>
        <v/>
      </c>
      <c r="S19" s="24"/>
      <c r="T19" s="11"/>
    </row>
    <row r="20" customFormat="false" ht="15" hidden="false" customHeight="false" outlineLevel="0" collapsed="false">
      <c r="A20" s="11"/>
      <c r="B20" s="24"/>
      <c r="C20" s="24"/>
      <c r="D20" s="31" t="str">
        <f aca="false">IF(C20="","",IF(LEN(UPPER(SUBSTITUTE(SUBSTITUTE(SUBSTITUTE(SUBSTITUTE(TRIM(C20),".",""),"/",""),"-","")," ","")))&lt;14,RIGHT(REPT("0",14)&amp;UPPER(SUBSTITUTE(SUBSTITUTE(SUBSTITUTE(SUBSTITUTE(TRIM(C20),".",""),"/",""),"-","")," ","")),14),UPPER(SUBSTITUTE(SUBSTITUTE(SUBSTITUTE(SUBSTITUTE(TRIM(C20),".",""),"/",""),"-","")," ",""))))</f>
        <v/>
      </c>
      <c r="E20" s="25" t="str">
        <f aca="false">IF(D20="","",IFERROR(INDEX(Empresas!$C:$C,MATCH(D20,Empresas!$B:$B,0)),"cadastre o CNPJ em Empresas"))</f>
        <v/>
      </c>
      <c r="F20" s="11"/>
      <c r="G20" s="23"/>
      <c r="H20" s="22"/>
      <c r="I20" s="35"/>
      <c r="J20" s="35"/>
      <c r="K20" s="36" t="str">
        <f aca="false">IF(I20="","",I20+J20)</f>
        <v/>
      </c>
      <c r="L20" s="37" t="str">
        <f aca="false">IF(OR(I20="",I20=0,J20=""),"",J20/I20)</f>
        <v/>
      </c>
      <c r="M20" s="25" t="str">
        <f aca="false">IF(L20="","",IF(L20&gt;0.25,"ACRÉSCIMO ACIMA DE 25% — conferir",""))</f>
        <v/>
      </c>
      <c r="N20" s="29" t="str">
        <f aca="false">IF(D20="","",IF(COUNTIFS(Empresas!$B:$B,D20,Empresas!$E:$E,"&lt;&gt;")=0,"",INDEX(Empresas!$E:$E,MATCH(D20,Empresas!$B:$B,0))))</f>
        <v/>
      </c>
      <c r="O20" s="27" t="str">
        <f aca="false">IF(OR(N20="",H20=""),"",H20-N20)</f>
        <v/>
      </c>
      <c r="P20" s="25" t="str">
        <f aca="false">IF(O20="","",IF(O20&lt;0,"CONTRATO ANTERIOR À ABERTURA — conferir datas",IF(O20&lt;180,"EMPRESA ABERTA MENOS DE 6 MESES ANTES","")))</f>
        <v/>
      </c>
      <c r="Q20" s="31" t="str">
        <f aca="false">IF(D20="","",IFERROR(INDEX(Sancoes!$D:$D,MATCH(D20,Sancoes!$C:$C,0)),"não consta"))</f>
        <v/>
      </c>
      <c r="R20" s="25" t="str">
        <f aca="false">IF(OR(D20="",H20=""),"",IF(SUMPRODUCT((Sancoes!$C$5:$C$304=D20)*(Sancoes!$G$5:$G$304&lt;=H20)*(((Sancoes!$H$5:$H$304="")+(Sancoes!$H$5:$H$304&gt;=H20))&gt;0))&gt;0,"SANÇÃO VIGENTE NA DATA — ler tipo e abrangência",""))</f>
        <v/>
      </c>
      <c r="S20" s="24"/>
      <c r="T20" s="11"/>
    </row>
    <row r="21" customFormat="false" ht="15" hidden="false" customHeight="false" outlineLevel="0" collapsed="false">
      <c r="A21" s="11"/>
      <c r="B21" s="24"/>
      <c r="C21" s="24"/>
      <c r="D21" s="31" t="str">
        <f aca="false">IF(C21="","",IF(LEN(UPPER(SUBSTITUTE(SUBSTITUTE(SUBSTITUTE(SUBSTITUTE(TRIM(C21),".",""),"/",""),"-","")," ","")))&lt;14,RIGHT(REPT("0",14)&amp;UPPER(SUBSTITUTE(SUBSTITUTE(SUBSTITUTE(SUBSTITUTE(TRIM(C21),".",""),"/",""),"-","")," ","")),14),UPPER(SUBSTITUTE(SUBSTITUTE(SUBSTITUTE(SUBSTITUTE(TRIM(C21),".",""),"/",""),"-","")," ",""))))</f>
        <v/>
      </c>
      <c r="E21" s="25" t="str">
        <f aca="false">IF(D21="","",IFERROR(INDEX(Empresas!$C:$C,MATCH(D21,Empresas!$B:$B,0)),"cadastre o CNPJ em Empresas"))</f>
        <v/>
      </c>
      <c r="F21" s="11"/>
      <c r="G21" s="23"/>
      <c r="H21" s="22"/>
      <c r="I21" s="35"/>
      <c r="J21" s="35"/>
      <c r="K21" s="36" t="str">
        <f aca="false">IF(I21="","",I21+J21)</f>
        <v/>
      </c>
      <c r="L21" s="37" t="str">
        <f aca="false">IF(OR(I21="",I21=0,J21=""),"",J21/I21)</f>
        <v/>
      </c>
      <c r="M21" s="25" t="str">
        <f aca="false">IF(L21="","",IF(L21&gt;0.25,"ACRÉSCIMO ACIMA DE 25% — conferir",""))</f>
        <v/>
      </c>
      <c r="N21" s="29" t="str">
        <f aca="false">IF(D21="","",IF(COUNTIFS(Empresas!$B:$B,D21,Empresas!$E:$E,"&lt;&gt;")=0,"",INDEX(Empresas!$E:$E,MATCH(D21,Empresas!$B:$B,0))))</f>
        <v/>
      </c>
      <c r="O21" s="27" t="str">
        <f aca="false">IF(OR(N21="",H21=""),"",H21-N21)</f>
        <v/>
      </c>
      <c r="P21" s="25" t="str">
        <f aca="false">IF(O21="","",IF(O21&lt;0,"CONTRATO ANTERIOR À ABERTURA — conferir datas",IF(O21&lt;180,"EMPRESA ABERTA MENOS DE 6 MESES ANTES","")))</f>
        <v/>
      </c>
      <c r="Q21" s="31" t="str">
        <f aca="false">IF(D21="","",IFERROR(INDEX(Sancoes!$D:$D,MATCH(D21,Sancoes!$C:$C,0)),"não consta"))</f>
        <v/>
      </c>
      <c r="R21" s="25" t="str">
        <f aca="false">IF(OR(D21="",H21=""),"",IF(SUMPRODUCT((Sancoes!$C$5:$C$304=D21)*(Sancoes!$G$5:$G$304&lt;=H21)*(((Sancoes!$H$5:$H$304="")+(Sancoes!$H$5:$H$304&gt;=H21))&gt;0))&gt;0,"SANÇÃO VIGENTE NA DATA — ler tipo e abrangência",""))</f>
        <v/>
      </c>
      <c r="S21" s="24"/>
      <c r="T21" s="11"/>
    </row>
    <row r="22" customFormat="false" ht="15" hidden="false" customHeight="false" outlineLevel="0" collapsed="false">
      <c r="A22" s="11"/>
      <c r="B22" s="24"/>
      <c r="C22" s="24"/>
      <c r="D22" s="31" t="str">
        <f aca="false">IF(C22="","",IF(LEN(UPPER(SUBSTITUTE(SUBSTITUTE(SUBSTITUTE(SUBSTITUTE(TRIM(C22),".",""),"/",""),"-","")," ","")))&lt;14,RIGHT(REPT("0",14)&amp;UPPER(SUBSTITUTE(SUBSTITUTE(SUBSTITUTE(SUBSTITUTE(TRIM(C22),".",""),"/",""),"-","")," ","")),14),UPPER(SUBSTITUTE(SUBSTITUTE(SUBSTITUTE(SUBSTITUTE(TRIM(C22),".",""),"/",""),"-","")," ",""))))</f>
        <v/>
      </c>
      <c r="E22" s="25" t="str">
        <f aca="false">IF(D22="","",IFERROR(INDEX(Empresas!$C:$C,MATCH(D22,Empresas!$B:$B,0)),"cadastre o CNPJ em Empresas"))</f>
        <v/>
      </c>
      <c r="F22" s="11"/>
      <c r="G22" s="23"/>
      <c r="H22" s="22"/>
      <c r="I22" s="35"/>
      <c r="J22" s="35"/>
      <c r="K22" s="36" t="str">
        <f aca="false">IF(I22="","",I22+J22)</f>
        <v/>
      </c>
      <c r="L22" s="37" t="str">
        <f aca="false">IF(OR(I22="",I22=0,J22=""),"",J22/I22)</f>
        <v/>
      </c>
      <c r="M22" s="25" t="str">
        <f aca="false">IF(L22="","",IF(L22&gt;0.25,"ACRÉSCIMO ACIMA DE 25% — conferir",""))</f>
        <v/>
      </c>
      <c r="N22" s="29" t="str">
        <f aca="false">IF(D22="","",IF(COUNTIFS(Empresas!$B:$B,D22,Empresas!$E:$E,"&lt;&gt;")=0,"",INDEX(Empresas!$E:$E,MATCH(D22,Empresas!$B:$B,0))))</f>
        <v/>
      </c>
      <c r="O22" s="27" t="str">
        <f aca="false">IF(OR(N22="",H22=""),"",H22-N22)</f>
        <v/>
      </c>
      <c r="P22" s="25" t="str">
        <f aca="false">IF(O22="","",IF(O22&lt;0,"CONTRATO ANTERIOR À ABERTURA — conferir datas",IF(O22&lt;180,"EMPRESA ABERTA MENOS DE 6 MESES ANTES","")))</f>
        <v/>
      </c>
      <c r="Q22" s="31" t="str">
        <f aca="false">IF(D22="","",IFERROR(INDEX(Sancoes!$D:$D,MATCH(D22,Sancoes!$C:$C,0)),"não consta"))</f>
        <v/>
      </c>
      <c r="R22" s="25" t="str">
        <f aca="false">IF(OR(D22="",H22=""),"",IF(SUMPRODUCT((Sancoes!$C$5:$C$304=D22)*(Sancoes!$G$5:$G$304&lt;=H22)*(((Sancoes!$H$5:$H$304="")+(Sancoes!$H$5:$H$304&gt;=H22))&gt;0))&gt;0,"SANÇÃO VIGENTE NA DATA — ler tipo e abrangência",""))</f>
        <v/>
      </c>
      <c r="S22" s="24"/>
      <c r="T22" s="11"/>
    </row>
    <row r="23" customFormat="false" ht="15" hidden="false" customHeight="false" outlineLevel="0" collapsed="false">
      <c r="A23" s="11"/>
      <c r="B23" s="24"/>
      <c r="C23" s="24"/>
      <c r="D23" s="31" t="str">
        <f aca="false">IF(C23="","",IF(LEN(UPPER(SUBSTITUTE(SUBSTITUTE(SUBSTITUTE(SUBSTITUTE(TRIM(C23),".",""),"/",""),"-","")," ","")))&lt;14,RIGHT(REPT("0",14)&amp;UPPER(SUBSTITUTE(SUBSTITUTE(SUBSTITUTE(SUBSTITUTE(TRIM(C23),".",""),"/",""),"-","")," ","")),14),UPPER(SUBSTITUTE(SUBSTITUTE(SUBSTITUTE(SUBSTITUTE(TRIM(C23),".",""),"/",""),"-","")," ",""))))</f>
        <v/>
      </c>
      <c r="E23" s="25" t="str">
        <f aca="false">IF(D23="","",IFERROR(INDEX(Empresas!$C:$C,MATCH(D23,Empresas!$B:$B,0)),"cadastre o CNPJ em Empresas"))</f>
        <v/>
      </c>
      <c r="F23" s="11"/>
      <c r="G23" s="23"/>
      <c r="H23" s="22"/>
      <c r="I23" s="35"/>
      <c r="J23" s="35"/>
      <c r="K23" s="36" t="str">
        <f aca="false">IF(I23="","",I23+J23)</f>
        <v/>
      </c>
      <c r="L23" s="37" t="str">
        <f aca="false">IF(OR(I23="",I23=0,J23=""),"",J23/I23)</f>
        <v/>
      </c>
      <c r="M23" s="25" t="str">
        <f aca="false">IF(L23="","",IF(L23&gt;0.25,"ACRÉSCIMO ACIMA DE 25% — conferir",""))</f>
        <v/>
      </c>
      <c r="N23" s="29" t="str">
        <f aca="false">IF(D23="","",IF(COUNTIFS(Empresas!$B:$B,D23,Empresas!$E:$E,"&lt;&gt;")=0,"",INDEX(Empresas!$E:$E,MATCH(D23,Empresas!$B:$B,0))))</f>
        <v/>
      </c>
      <c r="O23" s="27" t="str">
        <f aca="false">IF(OR(N23="",H23=""),"",H23-N23)</f>
        <v/>
      </c>
      <c r="P23" s="25" t="str">
        <f aca="false">IF(O23="","",IF(O23&lt;0,"CONTRATO ANTERIOR À ABERTURA — conferir datas",IF(O23&lt;180,"EMPRESA ABERTA MENOS DE 6 MESES ANTES","")))</f>
        <v/>
      </c>
      <c r="Q23" s="31" t="str">
        <f aca="false">IF(D23="","",IFERROR(INDEX(Sancoes!$D:$D,MATCH(D23,Sancoes!$C:$C,0)),"não consta"))</f>
        <v/>
      </c>
      <c r="R23" s="25" t="str">
        <f aca="false">IF(OR(D23="",H23=""),"",IF(SUMPRODUCT((Sancoes!$C$5:$C$304=D23)*(Sancoes!$G$5:$G$304&lt;=H23)*(((Sancoes!$H$5:$H$304="")+(Sancoes!$H$5:$H$304&gt;=H23))&gt;0))&gt;0,"SANÇÃO VIGENTE NA DATA — ler tipo e abrangência",""))</f>
        <v/>
      </c>
      <c r="S23" s="24"/>
      <c r="T23" s="11"/>
    </row>
    <row r="24" customFormat="false" ht="15" hidden="false" customHeight="false" outlineLevel="0" collapsed="false">
      <c r="A24" s="11"/>
      <c r="B24" s="24"/>
      <c r="C24" s="24"/>
      <c r="D24" s="31" t="str">
        <f aca="false">IF(C24="","",IF(LEN(UPPER(SUBSTITUTE(SUBSTITUTE(SUBSTITUTE(SUBSTITUTE(TRIM(C24),".",""),"/",""),"-","")," ","")))&lt;14,RIGHT(REPT("0",14)&amp;UPPER(SUBSTITUTE(SUBSTITUTE(SUBSTITUTE(SUBSTITUTE(TRIM(C24),".",""),"/",""),"-","")," ","")),14),UPPER(SUBSTITUTE(SUBSTITUTE(SUBSTITUTE(SUBSTITUTE(TRIM(C24),".",""),"/",""),"-","")," ",""))))</f>
        <v/>
      </c>
      <c r="E24" s="25" t="str">
        <f aca="false">IF(D24="","",IFERROR(INDEX(Empresas!$C:$C,MATCH(D24,Empresas!$B:$B,0)),"cadastre o CNPJ em Empresas"))</f>
        <v/>
      </c>
      <c r="F24" s="11"/>
      <c r="G24" s="23"/>
      <c r="H24" s="22"/>
      <c r="I24" s="35"/>
      <c r="J24" s="35"/>
      <c r="K24" s="36" t="str">
        <f aca="false">IF(I24="","",I24+J24)</f>
        <v/>
      </c>
      <c r="L24" s="37" t="str">
        <f aca="false">IF(OR(I24="",I24=0,J24=""),"",J24/I24)</f>
        <v/>
      </c>
      <c r="M24" s="25" t="str">
        <f aca="false">IF(L24="","",IF(L24&gt;0.25,"ACRÉSCIMO ACIMA DE 25% — conferir",""))</f>
        <v/>
      </c>
      <c r="N24" s="29" t="str">
        <f aca="false">IF(D24="","",IF(COUNTIFS(Empresas!$B:$B,D24,Empresas!$E:$E,"&lt;&gt;")=0,"",INDEX(Empresas!$E:$E,MATCH(D24,Empresas!$B:$B,0))))</f>
        <v/>
      </c>
      <c r="O24" s="27" t="str">
        <f aca="false">IF(OR(N24="",H24=""),"",H24-N24)</f>
        <v/>
      </c>
      <c r="P24" s="25" t="str">
        <f aca="false">IF(O24="","",IF(O24&lt;0,"CONTRATO ANTERIOR À ABERTURA — conferir datas",IF(O24&lt;180,"EMPRESA ABERTA MENOS DE 6 MESES ANTES","")))</f>
        <v/>
      </c>
      <c r="Q24" s="31" t="str">
        <f aca="false">IF(D24="","",IFERROR(INDEX(Sancoes!$D:$D,MATCH(D24,Sancoes!$C:$C,0)),"não consta"))</f>
        <v/>
      </c>
      <c r="R24" s="25" t="str">
        <f aca="false">IF(OR(D24="",H24=""),"",IF(SUMPRODUCT((Sancoes!$C$5:$C$304=D24)*(Sancoes!$G$5:$G$304&lt;=H24)*(((Sancoes!$H$5:$H$304="")+(Sancoes!$H$5:$H$304&gt;=H24))&gt;0))&gt;0,"SANÇÃO VIGENTE NA DATA — ler tipo e abrangência",""))</f>
        <v/>
      </c>
      <c r="S24" s="24"/>
      <c r="T24" s="11"/>
    </row>
    <row r="25" customFormat="false" ht="15" hidden="false" customHeight="false" outlineLevel="0" collapsed="false">
      <c r="A25" s="11"/>
      <c r="B25" s="24"/>
      <c r="C25" s="24"/>
      <c r="D25" s="31" t="str">
        <f aca="false">IF(C25="","",IF(LEN(UPPER(SUBSTITUTE(SUBSTITUTE(SUBSTITUTE(SUBSTITUTE(TRIM(C25),".",""),"/",""),"-","")," ","")))&lt;14,RIGHT(REPT("0",14)&amp;UPPER(SUBSTITUTE(SUBSTITUTE(SUBSTITUTE(SUBSTITUTE(TRIM(C25),".",""),"/",""),"-","")," ","")),14),UPPER(SUBSTITUTE(SUBSTITUTE(SUBSTITUTE(SUBSTITUTE(TRIM(C25),".",""),"/",""),"-","")," ",""))))</f>
        <v/>
      </c>
      <c r="E25" s="25" t="str">
        <f aca="false">IF(D25="","",IFERROR(INDEX(Empresas!$C:$C,MATCH(D25,Empresas!$B:$B,0)),"cadastre o CNPJ em Empresas"))</f>
        <v/>
      </c>
      <c r="F25" s="11"/>
      <c r="G25" s="23"/>
      <c r="H25" s="22"/>
      <c r="I25" s="35"/>
      <c r="J25" s="35"/>
      <c r="K25" s="36" t="str">
        <f aca="false">IF(I25="","",I25+J25)</f>
        <v/>
      </c>
      <c r="L25" s="37" t="str">
        <f aca="false">IF(OR(I25="",I25=0,J25=""),"",J25/I25)</f>
        <v/>
      </c>
      <c r="M25" s="25" t="str">
        <f aca="false">IF(L25="","",IF(L25&gt;0.25,"ACRÉSCIMO ACIMA DE 25% — conferir",""))</f>
        <v/>
      </c>
      <c r="N25" s="29" t="str">
        <f aca="false">IF(D25="","",IF(COUNTIFS(Empresas!$B:$B,D25,Empresas!$E:$E,"&lt;&gt;")=0,"",INDEX(Empresas!$E:$E,MATCH(D25,Empresas!$B:$B,0))))</f>
        <v/>
      </c>
      <c r="O25" s="27" t="str">
        <f aca="false">IF(OR(N25="",H25=""),"",H25-N25)</f>
        <v/>
      </c>
      <c r="P25" s="25" t="str">
        <f aca="false">IF(O25="","",IF(O25&lt;0,"CONTRATO ANTERIOR À ABERTURA — conferir datas",IF(O25&lt;180,"EMPRESA ABERTA MENOS DE 6 MESES ANTES","")))</f>
        <v/>
      </c>
      <c r="Q25" s="31" t="str">
        <f aca="false">IF(D25="","",IFERROR(INDEX(Sancoes!$D:$D,MATCH(D25,Sancoes!$C:$C,0)),"não consta"))</f>
        <v/>
      </c>
      <c r="R25" s="25" t="str">
        <f aca="false">IF(OR(D25="",H25=""),"",IF(SUMPRODUCT((Sancoes!$C$5:$C$304=D25)*(Sancoes!$G$5:$G$304&lt;=H25)*(((Sancoes!$H$5:$H$304="")+(Sancoes!$H$5:$H$304&gt;=H25))&gt;0))&gt;0,"SANÇÃO VIGENTE NA DATA — ler tipo e abrangência",""))</f>
        <v/>
      </c>
      <c r="S25" s="24"/>
      <c r="T25" s="11"/>
    </row>
    <row r="26" customFormat="false" ht="15" hidden="false" customHeight="false" outlineLevel="0" collapsed="false">
      <c r="A26" s="11"/>
      <c r="B26" s="24"/>
      <c r="C26" s="24"/>
      <c r="D26" s="31" t="str">
        <f aca="false">IF(C26="","",IF(LEN(UPPER(SUBSTITUTE(SUBSTITUTE(SUBSTITUTE(SUBSTITUTE(TRIM(C26),".",""),"/",""),"-","")," ","")))&lt;14,RIGHT(REPT("0",14)&amp;UPPER(SUBSTITUTE(SUBSTITUTE(SUBSTITUTE(SUBSTITUTE(TRIM(C26),".",""),"/",""),"-","")," ","")),14),UPPER(SUBSTITUTE(SUBSTITUTE(SUBSTITUTE(SUBSTITUTE(TRIM(C26),".",""),"/",""),"-","")," ",""))))</f>
        <v/>
      </c>
      <c r="E26" s="25" t="str">
        <f aca="false">IF(D26="","",IFERROR(INDEX(Empresas!$C:$C,MATCH(D26,Empresas!$B:$B,0)),"cadastre o CNPJ em Empresas"))</f>
        <v/>
      </c>
      <c r="F26" s="11"/>
      <c r="G26" s="23"/>
      <c r="H26" s="22"/>
      <c r="I26" s="35"/>
      <c r="J26" s="35"/>
      <c r="K26" s="36" t="str">
        <f aca="false">IF(I26="","",I26+J26)</f>
        <v/>
      </c>
      <c r="L26" s="37" t="str">
        <f aca="false">IF(OR(I26="",I26=0,J26=""),"",J26/I26)</f>
        <v/>
      </c>
      <c r="M26" s="25" t="str">
        <f aca="false">IF(L26="","",IF(L26&gt;0.25,"ACRÉSCIMO ACIMA DE 25% — conferir",""))</f>
        <v/>
      </c>
      <c r="N26" s="29" t="str">
        <f aca="false">IF(D26="","",IF(COUNTIFS(Empresas!$B:$B,D26,Empresas!$E:$E,"&lt;&gt;")=0,"",INDEX(Empresas!$E:$E,MATCH(D26,Empresas!$B:$B,0))))</f>
        <v/>
      </c>
      <c r="O26" s="27" t="str">
        <f aca="false">IF(OR(N26="",H26=""),"",H26-N26)</f>
        <v/>
      </c>
      <c r="P26" s="25" t="str">
        <f aca="false">IF(O26="","",IF(O26&lt;0,"CONTRATO ANTERIOR À ABERTURA — conferir datas",IF(O26&lt;180,"EMPRESA ABERTA MENOS DE 6 MESES ANTES","")))</f>
        <v/>
      </c>
      <c r="Q26" s="31" t="str">
        <f aca="false">IF(D26="","",IFERROR(INDEX(Sancoes!$D:$D,MATCH(D26,Sancoes!$C:$C,0)),"não consta"))</f>
        <v/>
      </c>
      <c r="R26" s="25" t="str">
        <f aca="false">IF(OR(D26="",H26=""),"",IF(SUMPRODUCT((Sancoes!$C$5:$C$304=D26)*(Sancoes!$G$5:$G$304&lt;=H26)*(((Sancoes!$H$5:$H$304="")+(Sancoes!$H$5:$H$304&gt;=H26))&gt;0))&gt;0,"SANÇÃO VIGENTE NA DATA — ler tipo e abrangência",""))</f>
        <v/>
      </c>
      <c r="S26" s="24"/>
      <c r="T26" s="11"/>
    </row>
    <row r="27" customFormat="false" ht="15" hidden="false" customHeight="false" outlineLevel="0" collapsed="false">
      <c r="A27" s="11"/>
      <c r="B27" s="24"/>
      <c r="C27" s="24"/>
      <c r="D27" s="31" t="str">
        <f aca="false">IF(C27="","",IF(LEN(UPPER(SUBSTITUTE(SUBSTITUTE(SUBSTITUTE(SUBSTITUTE(TRIM(C27),".",""),"/",""),"-","")," ","")))&lt;14,RIGHT(REPT("0",14)&amp;UPPER(SUBSTITUTE(SUBSTITUTE(SUBSTITUTE(SUBSTITUTE(TRIM(C27),".",""),"/",""),"-","")," ","")),14),UPPER(SUBSTITUTE(SUBSTITUTE(SUBSTITUTE(SUBSTITUTE(TRIM(C27),".",""),"/",""),"-","")," ",""))))</f>
        <v/>
      </c>
      <c r="E27" s="25" t="str">
        <f aca="false">IF(D27="","",IFERROR(INDEX(Empresas!$C:$C,MATCH(D27,Empresas!$B:$B,0)),"cadastre o CNPJ em Empresas"))</f>
        <v/>
      </c>
      <c r="F27" s="11"/>
      <c r="G27" s="23"/>
      <c r="H27" s="22"/>
      <c r="I27" s="35"/>
      <c r="J27" s="35"/>
      <c r="K27" s="36" t="str">
        <f aca="false">IF(I27="","",I27+J27)</f>
        <v/>
      </c>
      <c r="L27" s="37" t="str">
        <f aca="false">IF(OR(I27="",I27=0,J27=""),"",J27/I27)</f>
        <v/>
      </c>
      <c r="M27" s="25" t="str">
        <f aca="false">IF(L27="","",IF(L27&gt;0.25,"ACRÉSCIMO ACIMA DE 25% — conferir",""))</f>
        <v/>
      </c>
      <c r="N27" s="29" t="str">
        <f aca="false">IF(D27="","",IF(COUNTIFS(Empresas!$B:$B,D27,Empresas!$E:$E,"&lt;&gt;")=0,"",INDEX(Empresas!$E:$E,MATCH(D27,Empresas!$B:$B,0))))</f>
        <v/>
      </c>
      <c r="O27" s="27" t="str">
        <f aca="false">IF(OR(N27="",H27=""),"",H27-N27)</f>
        <v/>
      </c>
      <c r="P27" s="25" t="str">
        <f aca="false">IF(O27="","",IF(O27&lt;0,"CONTRATO ANTERIOR À ABERTURA — conferir datas",IF(O27&lt;180,"EMPRESA ABERTA MENOS DE 6 MESES ANTES","")))</f>
        <v/>
      </c>
      <c r="Q27" s="31" t="str">
        <f aca="false">IF(D27="","",IFERROR(INDEX(Sancoes!$D:$D,MATCH(D27,Sancoes!$C:$C,0)),"não consta"))</f>
        <v/>
      </c>
      <c r="R27" s="25" t="str">
        <f aca="false">IF(OR(D27="",H27=""),"",IF(SUMPRODUCT((Sancoes!$C$5:$C$304=D27)*(Sancoes!$G$5:$G$304&lt;=H27)*(((Sancoes!$H$5:$H$304="")+(Sancoes!$H$5:$H$304&gt;=H27))&gt;0))&gt;0,"SANÇÃO VIGENTE NA DATA — ler tipo e abrangência",""))</f>
        <v/>
      </c>
      <c r="S27" s="24"/>
      <c r="T27" s="11"/>
    </row>
    <row r="28" customFormat="false" ht="15" hidden="false" customHeight="false" outlineLevel="0" collapsed="false">
      <c r="A28" s="11"/>
      <c r="B28" s="24"/>
      <c r="C28" s="24"/>
      <c r="D28" s="31" t="str">
        <f aca="false">IF(C28="","",IF(LEN(UPPER(SUBSTITUTE(SUBSTITUTE(SUBSTITUTE(SUBSTITUTE(TRIM(C28),".",""),"/",""),"-","")," ","")))&lt;14,RIGHT(REPT("0",14)&amp;UPPER(SUBSTITUTE(SUBSTITUTE(SUBSTITUTE(SUBSTITUTE(TRIM(C28),".",""),"/",""),"-","")," ","")),14),UPPER(SUBSTITUTE(SUBSTITUTE(SUBSTITUTE(SUBSTITUTE(TRIM(C28),".",""),"/",""),"-","")," ",""))))</f>
        <v/>
      </c>
      <c r="E28" s="25" t="str">
        <f aca="false">IF(D28="","",IFERROR(INDEX(Empresas!$C:$C,MATCH(D28,Empresas!$B:$B,0)),"cadastre o CNPJ em Empresas"))</f>
        <v/>
      </c>
      <c r="F28" s="11"/>
      <c r="G28" s="23"/>
      <c r="H28" s="22"/>
      <c r="I28" s="35"/>
      <c r="J28" s="35"/>
      <c r="K28" s="36" t="str">
        <f aca="false">IF(I28="","",I28+J28)</f>
        <v/>
      </c>
      <c r="L28" s="37" t="str">
        <f aca="false">IF(OR(I28="",I28=0,J28=""),"",J28/I28)</f>
        <v/>
      </c>
      <c r="M28" s="25" t="str">
        <f aca="false">IF(L28="","",IF(L28&gt;0.25,"ACRÉSCIMO ACIMA DE 25% — conferir",""))</f>
        <v/>
      </c>
      <c r="N28" s="29" t="str">
        <f aca="false">IF(D28="","",IF(COUNTIFS(Empresas!$B:$B,D28,Empresas!$E:$E,"&lt;&gt;")=0,"",INDEX(Empresas!$E:$E,MATCH(D28,Empresas!$B:$B,0))))</f>
        <v/>
      </c>
      <c r="O28" s="27" t="str">
        <f aca="false">IF(OR(N28="",H28=""),"",H28-N28)</f>
        <v/>
      </c>
      <c r="P28" s="25" t="str">
        <f aca="false">IF(O28="","",IF(O28&lt;0,"CONTRATO ANTERIOR À ABERTURA — conferir datas",IF(O28&lt;180,"EMPRESA ABERTA MENOS DE 6 MESES ANTES","")))</f>
        <v/>
      </c>
      <c r="Q28" s="31" t="str">
        <f aca="false">IF(D28="","",IFERROR(INDEX(Sancoes!$D:$D,MATCH(D28,Sancoes!$C:$C,0)),"não consta"))</f>
        <v/>
      </c>
      <c r="R28" s="25" t="str">
        <f aca="false">IF(OR(D28="",H28=""),"",IF(SUMPRODUCT((Sancoes!$C$5:$C$304=D28)*(Sancoes!$G$5:$G$304&lt;=H28)*(((Sancoes!$H$5:$H$304="")+(Sancoes!$H$5:$H$304&gt;=H28))&gt;0))&gt;0,"SANÇÃO VIGENTE NA DATA — ler tipo e abrangência",""))</f>
        <v/>
      </c>
      <c r="S28" s="24"/>
      <c r="T28" s="11"/>
    </row>
    <row r="29" customFormat="false" ht="15" hidden="false" customHeight="false" outlineLevel="0" collapsed="false">
      <c r="A29" s="11"/>
      <c r="B29" s="24"/>
      <c r="C29" s="24"/>
      <c r="D29" s="31" t="str">
        <f aca="false">IF(C29="","",IF(LEN(UPPER(SUBSTITUTE(SUBSTITUTE(SUBSTITUTE(SUBSTITUTE(TRIM(C29),".",""),"/",""),"-","")," ","")))&lt;14,RIGHT(REPT("0",14)&amp;UPPER(SUBSTITUTE(SUBSTITUTE(SUBSTITUTE(SUBSTITUTE(TRIM(C29),".",""),"/",""),"-","")," ","")),14),UPPER(SUBSTITUTE(SUBSTITUTE(SUBSTITUTE(SUBSTITUTE(TRIM(C29),".",""),"/",""),"-","")," ",""))))</f>
        <v/>
      </c>
      <c r="E29" s="25" t="str">
        <f aca="false">IF(D29="","",IFERROR(INDEX(Empresas!$C:$C,MATCH(D29,Empresas!$B:$B,0)),"cadastre o CNPJ em Empresas"))</f>
        <v/>
      </c>
      <c r="F29" s="11"/>
      <c r="G29" s="23"/>
      <c r="H29" s="22"/>
      <c r="I29" s="35"/>
      <c r="J29" s="35"/>
      <c r="K29" s="36" t="str">
        <f aca="false">IF(I29="","",I29+J29)</f>
        <v/>
      </c>
      <c r="L29" s="37" t="str">
        <f aca="false">IF(OR(I29="",I29=0,J29=""),"",J29/I29)</f>
        <v/>
      </c>
      <c r="M29" s="25" t="str">
        <f aca="false">IF(L29="","",IF(L29&gt;0.25,"ACRÉSCIMO ACIMA DE 25% — conferir",""))</f>
        <v/>
      </c>
      <c r="N29" s="29" t="str">
        <f aca="false">IF(D29="","",IF(COUNTIFS(Empresas!$B:$B,D29,Empresas!$E:$E,"&lt;&gt;")=0,"",INDEX(Empresas!$E:$E,MATCH(D29,Empresas!$B:$B,0))))</f>
        <v/>
      </c>
      <c r="O29" s="27" t="str">
        <f aca="false">IF(OR(N29="",H29=""),"",H29-N29)</f>
        <v/>
      </c>
      <c r="P29" s="25" t="str">
        <f aca="false">IF(O29="","",IF(O29&lt;0,"CONTRATO ANTERIOR À ABERTURA — conferir datas",IF(O29&lt;180,"EMPRESA ABERTA MENOS DE 6 MESES ANTES","")))</f>
        <v/>
      </c>
      <c r="Q29" s="31" t="str">
        <f aca="false">IF(D29="","",IFERROR(INDEX(Sancoes!$D:$D,MATCH(D29,Sancoes!$C:$C,0)),"não consta"))</f>
        <v/>
      </c>
      <c r="R29" s="25" t="str">
        <f aca="false">IF(OR(D29="",H29=""),"",IF(SUMPRODUCT((Sancoes!$C$5:$C$304=D29)*(Sancoes!$G$5:$G$304&lt;=H29)*(((Sancoes!$H$5:$H$304="")+(Sancoes!$H$5:$H$304&gt;=H29))&gt;0))&gt;0,"SANÇÃO VIGENTE NA DATA — ler tipo e abrangência",""))</f>
        <v/>
      </c>
      <c r="S29" s="24"/>
      <c r="T29" s="11"/>
    </row>
    <row r="30" customFormat="false" ht="15" hidden="false" customHeight="false" outlineLevel="0" collapsed="false">
      <c r="A30" s="11"/>
      <c r="B30" s="24"/>
      <c r="C30" s="24"/>
      <c r="D30" s="31" t="str">
        <f aca="false">IF(C30="","",IF(LEN(UPPER(SUBSTITUTE(SUBSTITUTE(SUBSTITUTE(SUBSTITUTE(TRIM(C30),".",""),"/",""),"-","")," ","")))&lt;14,RIGHT(REPT("0",14)&amp;UPPER(SUBSTITUTE(SUBSTITUTE(SUBSTITUTE(SUBSTITUTE(TRIM(C30),".",""),"/",""),"-","")," ","")),14),UPPER(SUBSTITUTE(SUBSTITUTE(SUBSTITUTE(SUBSTITUTE(TRIM(C30),".",""),"/",""),"-","")," ",""))))</f>
        <v/>
      </c>
      <c r="E30" s="25" t="str">
        <f aca="false">IF(D30="","",IFERROR(INDEX(Empresas!$C:$C,MATCH(D30,Empresas!$B:$B,0)),"cadastre o CNPJ em Empresas"))</f>
        <v/>
      </c>
      <c r="F30" s="11"/>
      <c r="G30" s="23"/>
      <c r="H30" s="22"/>
      <c r="I30" s="35"/>
      <c r="J30" s="35"/>
      <c r="K30" s="36" t="str">
        <f aca="false">IF(I30="","",I30+J30)</f>
        <v/>
      </c>
      <c r="L30" s="37" t="str">
        <f aca="false">IF(OR(I30="",I30=0,J30=""),"",J30/I30)</f>
        <v/>
      </c>
      <c r="M30" s="25" t="str">
        <f aca="false">IF(L30="","",IF(L30&gt;0.25,"ACRÉSCIMO ACIMA DE 25% — conferir",""))</f>
        <v/>
      </c>
      <c r="N30" s="29" t="str">
        <f aca="false">IF(D30="","",IF(COUNTIFS(Empresas!$B:$B,D30,Empresas!$E:$E,"&lt;&gt;")=0,"",INDEX(Empresas!$E:$E,MATCH(D30,Empresas!$B:$B,0))))</f>
        <v/>
      </c>
      <c r="O30" s="27" t="str">
        <f aca="false">IF(OR(N30="",H30=""),"",H30-N30)</f>
        <v/>
      </c>
      <c r="P30" s="25" t="str">
        <f aca="false">IF(O30="","",IF(O30&lt;0,"CONTRATO ANTERIOR À ABERTURA — conferir datas",IF(O30&lt;180,"EMPRESA ABERTA MENOS DE 6 MESES ANTES","")))</f>
        <v/>
      </c>
      <c r="Q30" s="31" t="str">
        <f aca="false">IF(D30="","",IFERROR(INDEX(Sancoes!$D:$D,MATCH(D30,Sancoes!$C:$C,0)),"não consta"))</f>
        <v/>
      </c>
      <c r="R30" s="25" t="str">
        <f aca="false">IF(OR(D30="",H30=""),"",IF(SUMPRODUCT((Sancoes!$C$5:$C$304=D30)*(Sancoes!$G$5:$G$304&lt;=H30)*(((Sancoes!$H$5:$H$304="")+(Sancoes!$H$5:$H$304&gt;=H30))&gt;0))&gt;0,"SANÇÃO VIGENTE NA DATA — ler tipo e abrangência",""))</f>
        <v/>
      </c>
      <c r="S30" s="24"/>
      <c r="T30" s="11"/>
    </row>
    <row r="31" customFormat="false" ht="15" hidden="false" customHeight="false" outlineLevel="0" collapsed="false">
      <c r="A31" s="11"/>
      <c r="B31" s="24"/>
      <c r="C31" s="24"/>
      <c r="D31" s="31" t="str">
        <f aca="false">IF(C31="","",IF(LEN(UPPER(SUBSTITUTE(SUBSTITUTE(SUBSTITUTE(SUBSTITUTE(TRIM(C31),".",""),"/",""),"-","")," ","")))&lt;14,RIGHT(REPT("0",14)&amp;UPPER(SUBSTITUTE(SUBSTITUTE(SUBSTITUTE(SUBSTITUTE(TRIM(C31),".",""),"/",""),"-","")," ","")),14),UPPER(SUBSTITUTE(SUBSTITUTE(SUBSTITUTE(SUBSTITUTE(TRIM(C31),".",""),"/",""),"-","")," ",""))))</f>
        <v/>
      </c>
      <c r="E31" s="25" t="str">
        <f aca="false">IF(D31="","",IFERROR(INDEX(Empresas!$C:$C,MATCH(D31,Empresas!$B:$B,0)),"cadastre o CNPJ em Empresas"))</f>
        <v/>
      </c>
      <c r="F31" s="11"/>
      <c r="G31" s="23"/>
      <c r="H31" s="22"/>
      <c r="I31" s="35"/>
      <c r="J31" s="35"/>
      <c r="K31" s="36" t="str">
        <f aca="false">IF(I31="","",I31+J31)</f>
        <v/>
      </c>
      <c r="L31" s="37" t="str">
        <f aca="false">IF(OR(I31="",I31=0,J31=""),"",J31/I31)</f>
        <v/>
      </c>
      <c r="M31" s="25" t="str">
        <f aca="false">IF(L31="","",IF(L31&gt;0.25,"ACRÉSCIMO ACIMA DE 25% — conferir",""))</f>
        <v/>
      </c>
      <c r="N31" s="29" t="str">
        <f aca="false">IF(D31="","",IF(COUNTIFS(Empresas!$B:$B,D31,Empresas!$E:$E,"&lt;&gt;")=0,"",INDEX(Empresas!$E:$E,MATCH(D31,Empresas!$B:$B,0))))</f>
        <v/>
      </c>
      <c r="O31" s="27" t="str">
        <f aca="false">IF(OR(N31="",H31=""),"",H31-N31)</f>
        <v/>
      </c>
      <c r="P31" s="25" t="str">
        <f aca="false">IF(O31="","",IF(O31&lt;0,"CONTRATO ANTERIOR À ABERTURA — conferir datas",IF(O31&lt;180,"EMPRESA ABERTA MENOS DE 6 MESES ANTES","")))</f>
        <v/>
      </c>
      <c r="Q31" s="31" t="str">
        <f aca="false">IF(D31="","",IFERROR(INDEX(Sancoes!$D:$D,MATCH(D31,Sancoes!$C:$C,0)),"não consta"))</f>
        <v/>
      </c>
      <c r="R31" s="25" t="str">
        <f aca="false">IF(OR(D31="",H31=""),"",IF(SUMPRODUCT((Sancoes!$C$5:$C$304=D31)*(Sancoes!$G$5:$G$304&lt;=H31)*(((Sancoes!$H$5:$H$304="")+(Sancoes!$H$5:$H$304&gt;=H31))&gt;0))&gt;0,"SANÇÃO VIGENTE NA DATA — ler tipo e abrangência",""))</f>
        <v/>
      </c>
      <c r="S31" s="24"/>
      <c r="T31" s="11"/>
    </row>
    <row r="32" customFormat="false" ht="15" hidden="false" customHeight="false" outlineLevel="0" collapsed="false">
      <c r="A32" s="11"/>
      <c r="B32" s="24"/>
      <c r="C32" s="24"/>
      <c r="D32" s="31" t="str">
        <f aca="false">IF(C32="","",IF(LEN(UPPER(SUBSTITUTE(SUBSTITUTE(SUBSTITUTE(SUBSTITUTE(TRIM(C32),".",""),"/",""),"-","")," ","")))&lt;14,RIGHT(REPT("0",14)&amp;UPPER(SUBSTITUTE(SUBSTITUTE(SUBSTITUTE(SUBSTITUTE(TRIM(C32),".",""),"/",""),"-","")," ","")),14),UPPER(SUBSTITUTE(SUBSTITUTE(SUBSTITUTE(SUBSTITUTE(TRIM(C32),".",""),"/",""),"-","")," ",""))))</f>
        <v/>
      </c>
      <c r="E32" s="25" t="str">
        <f aca="false">IF(D32="","",IFERROR(INDEX(Empresas!$C:$C,MATCH(D32,Empresas!$B:$B,0)),"cadastre o CNPJ em Empresas"))</f>
        <v/>
      </c>
      <c r="F32" s="11"/>
      <c r="G32" s="23"/>
      <c r="H32" s="22"/>
      <c r="I32" s="35"/>
      <c r="J32" s="35"/>
      <c r="K32" s="36" t="str">
        <f aca="false">IF(I32="","",I32+J32)</f>
        <v/>
      </c>
      <c r="L32" s="37" t="str">
        <f aca="false">IF(OR(I32="",I32=0,J32=""),"",J32/I32)</f>
        <v/>
      </c>
      <c r="M32" s="25" t="str">
        <f aca="false">IF(L32="","",IF(L32&gt;0.25,"ACRÉSCIMO ACIMA DE 25% — conferir",""))</f>
        <v/>
      </c>
      <c r="N32" s="29" t="str">
        <f aca="false">IF(D32="","",IF(COUNTIFS(Empresas!$B:$B,D32,Empresas!$E:$E,"&lt;&gt;")=0,"",INDEX(Empresas!$E:$E,MATCH(D32,Empresas!$B:$B,0))))</f>
        <v/>
      </c>
      <c r="O32" s="27" t="str">
        <f aca="false">IF(OR(N32="",H32=""),"",H32-N32)</f>
        <v/>
      </c>
      <c r="P32" s="25" t="str">
        <f aca="false">IF(O32="","",IF(O32&lt;0,"CONTRATO ANTERIOR À ABERTURA — conferir datas",IF(O32&lt;180,"EMPRESA ABERTA MENOS DE 6 MESES ANTES","")))</f>
        <v/>
      </c>
      <c r="Q32" s="31" t="str">
        <f aca="false">IF(D32="","",IFERROR(INDEX(Sancoes!$D:$D,MATCH(D32,Sancoes!$C:$C,0)),"não consta"))</f>
        <v/>
      </c>
      <c r="R32" s="25" t="str">
        <f aca="false">IF(OR(D32="",H32=""),"",IF(SUMPRODUCT((Sancoes!$C$5:$C$304=D32)*(Sancoes!$G$5:$G$304&lt;=H32)*(((Sancoes!$H$5:$H$304="")+(Sancoes!$H$5:$H$304&gt;=H32))&gt;0))&gt;0,"SANÇÃO VIGENTE NA DATA — ler tipo e abrangência",""))</f>
        <v/>
      </c>
      <c r="S32" s="24"/>
      <c r="T32" s="11"/>
    </row>
    <row r="33" customFormat="false" ht="15" hidden="false" customHeight="false" outlineLevel="0" collapsed="false">
      <c r="A33" s="11"/>
      <c r="B33" s="24"/>
      <c r="C33" s="24"/>
      <c r="D33" s="31" t="str">
        <f aca="false">IF(C33="","",IF(LEN(UPPER(SUBSTITUTE(SUBSTITUTE(SUBSTITUTE(SUBSTITUTE(TRIM(C33),".",""),"/",""),"-","")," ","")))&lt;14,RIGHT(REPT("0",14)&amp;UPPER(SUBSTITUTE(SUBSTITUTE(SUBSTITUTE(SUBSTITUTE(TRIM(C33),".",""),"/",""),"-","")," ","")),14),UPPER(SUBSTITUTE(SUBSTITUTE(SUBSTITUTE(SUBSTITUTE(TRIM(C33),".",""),"/",""),"-","")," ",""))))</f>
        <v/>
      </c>
      <c r="E33" s="25" t="str">
        <f aca="false">IF(D33="","",IFERROR(INDEX(Empresas!$C:$C,MATCH(D33,Empresas!$B:$B,0)),"cadastre o CNPJ em Empresas"))</f>
        <v/>
      </c>
      <c r="F33" s="11"/>
      <c r="G33" s="23"/>
      <c r="H33" s="22"/>
      <c r="I33" s="35"/>
      <c r="J33" s="35"/>
      <c r="K33" s="36" t="str">
        <f aca="false">IF(I33="","",I33+J33)</f>
        <v/>
      </c>
      <c r="L33" s="37" t="str">
        <f aca="false">IF(OR(I33="",I33=0,J33=""),"",J33/I33)</f>
        <v/>
      </c>
      <c r="M33" s="25" t="str">
        <f aca="false">IF(L33="","",IF(L33&gt;0.25,"ACRÉSCIMO ACIMA DE 25% — conferir",""))</f>
        <v/>
      </c>
      <c r="N33" s="29" t="str">
        <f aca="false">IF(D33="","",IF(COUNTIFS(Empresas!$B:$B,D33,Empresas!$E:$E,"&lt;&gt;")=0,"",INDEX(Empresas!$E:$E,MATCH(D33,Empresas!$B:$B,0))))</f>
        <v/>
      </c>
      <c r="O33" s="27" t="str">
        <f aca="false">IF(OR(N33="",H33=""),"",H33-N33)</f>
        <v/>
      </c>
      <c r="P33" s="25" t="str">
        <f aca="false">IF(O33="","",IF(O33&lt;0,"CONTRATO ANTERIOR À ABERTURA — conferir datas",IF(O33&lt;180,"EMPRESA ABERTA MENOS DE 6 MESES ANTES","")))</f>
        <v/>
      </c>
      <c r="Q33" s="31" t="str">
        <f aca="false">IF(D33="","",IFERROR(INDEX(Sancoes!$D:$D,MATCH(D33,Sancoes!$C:$C,0)),"não consta"))</f>
        <v/>
      </c>
      <c r="R33" s="25" t="str">
        <f aca="false">IF(OR(D33="",H33=""),"",IF(SUMPRODUCT((Sancoes!$C$5:$C$304=D33)*(Sancoes!$G$5:$G$304&lt;=H33)*(((Sancoes!$H$5:$H$304="")+(Sancoes!$H$5:$H$304&gt;=H33))&gt;0))&gt;0,"SANÇÃO VIGENTE NA DATA — ler tipo e abrangência",""))</f>
        <v/>
      </c>
      <c r="S33" s="24"/>
      <c r="T33" s="11"/>
    </row>
    <row r="34" customFormat="false" ht="15" hidden="false" customHeight="false" outlineLevel="0" collapsed="false">
      <c r="A34" s="11"/>
      <c r="B34" s="24"/>
      <c r="C34" s="24"/>
      <c r="D34" s="31" t="str">
        <f aca="false">IF(C34="","",IF(LEN(UPPER(SUBSTITUTE(SUBSTITUTE(SUBSTITUTE(SUBSTITUTE(TRIM(C34),".",""),"/",""),"-","")," ","")))&lt;14,RIGHT(REPT("0",14)&amp;UPPER(SUBSTITUTE(SUBSTITUTE(SUBSTITUTE(SUBSTITUTE(TRIM(C34),".",""),"/",""),"-","")," ","")),14),UPPER(SUBSTITUTE(SUBSTITUTE(SUBSTITUTE(SUBSTITUTE(TRIM(C34),".",""),"/",""),"-","")," ",""))))</f>
        <v/>
      </c>
      <c r="E34" s="25" t="str">
        <f aca="false">IF(D34="","",IFERROR(INDEX(Empresas!$C:$C,MATCH(D34,Empresas!$B:$B,0)),"cadastre o CNPJ em Empresas"))</f>
        <v/>
      </c>
      <c r="F34" s="11"/>
      <c r="G34" s="23"/>
      <c r="H34" s="22"/>
      <c r="I34" s="35"/>
      <c r="J34" s="35"/>
      <c r="K34" s="36" t="str">
        <f aca="false">IF(I34="","",I34+J34)</f>
        <v/>
      </c>
      <c r="L34" s="37" t="str">
        <f aca="false">IF(OR(I34="",I34=0,J34=""),"",J34/I34)</f>
        <v/>
      </c>
      <c r="M34" s="25" t="str">
        <f aca="false">IF(L34="","",IF(L34&gt;0.25,"ACRÉSCIMO ACIMA DE 25% — conferir",""))</f>
        <v/>
      </c>
      <c r="N34" s="29" t="str">
        <f aca="false">IF(D34="","",IF(COUNTIFS(Empresas!$B:$B,D34,Empresas!$E:$E,"&lt;&gt;")=0,"",INDEX(Empresas!$E:$E,MATCH(D34,Empresas!$B:$B,0))))</f>
        <v/>
      </c>
      <c r="O34" s="27" t="str">
        <f aca="false">IF(OR(N34="",H34=""),"",H34-N34)</f>
        <v/>
      </c>
      <c r="P34" s="25" t="str">
        <f aca="false">IF(O34="","",IF(O34&lt;0,"CONTRATO ANTERIOR À ABERTURA — conferir datas",IF(O34&lt;180,"EMPRESA ABERTA MENOS DE 6 MESES ANTES","")))</f>
        <v/>
      </c>
      <c r="Q34" s="31" t="str">
        <f aca="false">IF(D34="","",IFERROR(INDEX(Sancoes!$D:$D,MATCH(D34,Sancoes!$C:$C,0)),"não consta"))</f>
        <v/>
      </c>
      <c r="R34" s="25" t="str">
        <f aca="false">IF(OR(D34="",H34=""),"",IF(SUMPRODUCT((Sancoes!$C$5:$C$304=D34)*(Sancoes!$G$5:$G$304&lt;=H34)*(((Sancoes!$H$5:$H$304="")+(Sancoes!$H$5:$H$304&gt;=H34))&gt;0))&gt;0,"SANÇÃO VIGENTE NA DATA — ler tipo e abrangência",""))</f>
        <v/>
      </c>
      <c r="S34" s="24"/>
      <c r="T34" s="11"/>
    </row>
    <row r="35" customFormat="false" ht="15" hidden="false" customHeight="false" outlineLevel="0" collapsed="false">
      <c r="A35" s="11"/>
      <c r="B35" s="24"/>
      <c r="C35" s="24"/>
      <c r="D35" s="31" t="str">
        <f aca="false">IF(C35="","",IF(LEN(UPPER(SUBSTITUTE(SUBSTITUTE(SUBSTITUTE(SUBSTITUTE(TRIM(C35),".",""),"/",""),"-","")," ","")))&lt;14,RIGHT(REPT("0",14)&amp;UPPER(SUBSTITUTE(SUBSTITUTE(SUBSTITUTE(SUBSTITUTE(TRIM(C35),".",""),"/",""),"-","")," ","")),14),UPPER(SUBSTITUTE(SUBSTITUTE(SUBSTITUTE(SUBSTITUTE(TRIM(C35),".",""),"/",""),"-","")," ",""))))</f>
        <v/>
      </c>
      <c r="E35" s="25" t="str">
        <f aca="false">IF(D35="","",IFERROR(INDEX(Empresas!$C:$C,MATCH(D35,Empresas!$B:$B,0)),"cadastre o CNPJ em Empresas"))</f>
        <v/>
      </c>
      <c r="F35" s="11"/>
      <c r="G35" s="23"/>
      <c r="H35" s="22"/>
      <c r="I35" s="35"/>
      <c r="J35" s="35"/>
      <c r="K35" s="36" t="str">
        <f aca="false">IF(I35="","",I35+J35)</f>
        <v/>
      </c>
      <c r="L35" s="37" t="str">
        <f aca="false">IF(OR(I35="",I35=0,J35=""),"",J35/I35)</f>
        <v/>
      </c>
      <c r="M35" s="25" t="str">
        <f aca="false">IF(L35="","",IF(L35&gt;0.25,"ACRÉSCIMO ACIMA DE 25% — conferir",""))</f>
        <v/>
      </c>
      <c r="N35" s="29" t="str">
        <f aca="false">IF(D35="","",IF(COUNTIFS(Empresas!$B:$B,D35,Empresas!$E:$E,"&lt;&gt;")=0,"",INDEX(Empresas!$E:$E,MATCH(D35,Empresas!$B:$B,0))))</f>
        <v/>
      </c>
      <c r="O35" s="27" t="str">
        <f aca="false">IF(OR(N35="",H35=""),"",H35-N35)</f>
        <v/>
      </c>
      <c r="P35" s="25" t="str">
        <f aca="false">IF(O35="","",IF(O35&lt;0,"CONTRATO ANTERIOR À ABERTURA — conferir datas",IF(O35&lt;180,"EMPRESA ABERTA MENOS DE 6 MESES ANTES","")))</f>
        <v/>
      </c>
      <c r="Q35" s="31" t="str">
        <f aca="false">IF(D35="","",IFERROR(INDEX(Sancoes!$D:$D,MATCH(D35,Sancoes!$C:$C,0)),"não consta"))</f>
        <v/>
      </c>
      <c r="R35" s="25" t="str">
        <f aca="false">IF(OR(D35="",H35=""),"",IF(SUMPRODUCT((Sancoes!$C$5:$C$304=D35)*(Sancoes!$G$5:$G$304&lt;=H35)*(((Sancoes!$H$5:$H$304="")+(Sancoes!$H$5:$H$304&gt;=H35))&gt;0))&gt;0,"SANÇÃO VIGENTE NA DATA — ler tipo e abrangência",""))</f>
        <v/>
      </c>
      <c r="S35" s="24"/>
      <c r="T35" s="11"/>
    </row>
    <row r="36" customFormat="false" ht="15" hidden="false" customHeight="false" outlineLevel="0" collapsed="false">
      <c r="A36" s="11"/>
      <c r="B36" s="24"/>
      <c r="C36" s="24"/>
      <c r="D36" s="31" t="str">
        <f aca="false">IF(C36="","",IF(LEN(UPPER(SUBSTITUTE(SUBSTITUTE(SUBSTITUTE(SUBSTITUTE(TRIM(C36),".",""),"/",""),"-","")," ","")))&lt;14,RIGHT(REPT("0",14)&amp;UPPER(SUBSTITUTE(SUBSTITUTE(SUBSTITUTE(SUBSTITUTE(TRIM(C36),".",""),"/",""),"-","")," ","")),14),UPPER(SUBSTITUTE(SUBSTITUTE(SUBSTITUTE(SUBSTITUTE(TRIM(C36),".",""),"/",""),"-","")," ",""))))</f>
        <v/>
      </c>
      <c r="E36" s="25" t="str">
        <f aca="false">IF(D36="","",IFERROR(INDEX(Empresas!$C:$C,MATCH(D36,Empresas!$B:$B,0)),"cadastre o CNPJ em Empresas"))</f>
        <v/>
      </c>
      <c r="F36" s="11"/>
      <c r="G36" s="23"/>
      <c r="H36" s="22"/>
      <c r="I36" s="35"/>
      <c r="J36" s="35"/>
      <c r="K36" s="36" t="str">
        <f aca="false">IF(I36="","",I36+J36)</f>
        <v/>
      </c>
      <c r="L36" s="37" t="str">
        <f aca="false">IF(OR(I36="",I36=0,J36=""),"",J36/I36)</f>
        <v/>
      </c>
      <c r="M36" s="25" t="str">
        <f aca="false">IF(L36="","",IF(L36&gt;0.25,"ACRÉSCIMO ACIMA DE 25% — conferir",""))</f>
        <v/>
      </c>
      <c r="N36" s="29" t="str">
        <f aca="false">IF(D36="","",IF(COUNTIFS(Empresas!$B:$B,D36,Empresas!$E:$E,"&lt;&gt;")=0,"",INDEX(Empresas!$E:$E,MATCH(D36,Empresas!$B:$B,0))))</f>
        <v/>
      </c>
      <c r="O36" s="27" t="str">
        <f aca="false">IF(OR(N36="",H36=""),"",H36-N36)</f>
        <v/>
      </c>
      <c r="P36" s="25" t="str">
        <f aca="false">IF(O36="","",IF(O36&lt;0,"CONTRATO ANTERIOR À ABERTURA — conferir datas",IF(O36&lt;180,"EMPRESA ABERTA MENOS DE 6 MESES ANTES","")))</f>
        <v/>
      </c>
      <c r="Q36" s="31" t="str">
        <f aca="false">IF(D36="","",IFERROR(INDEX(Sancoes!$D:$D,MATCH(D36,Sancoes!$C:$C,0)),"não consta"))</f>
        <v/>
      </c>
      <c r="R36" s="25" t="str">
        <f aca="false">IF(OR(D36="",H36=""),"",IF(SUMPRODUCT((Sancoes!$C$5:$C$304=D36)*(Sancoes!$G$5:$G$304&lt;=H36)*(((Sancoes!$H$5:$H$304="")+(Sancoes!$H$5:$H$304&gt;=H36))&gt;0))&gt;0,"SANÇÃO VIGENTE NA DATA — ler tipo e abrangência",""))</f>
        <v/>
      </c>
      <c r="S36" s="24"/>
      <c r="T36" s="11"/>
    </row>
    <row r="37" customFormat="false" ht="15" hidden="false" customHeight="false" outlineLevel="0" collapsed="false">
      <c r="A37" s="11"/>
      <c r="B37" s="24"/>
      <c r="C37" s="24"/>
      <c r="D37" s="31" t="str">
        <f aca="false">IF(C37="","",IF(LEN(UPPER(SUBSTITUTE(SUBSTITUTE(SUBSTITUTE(SUBSTITUTE(TRIM(C37),".",""),"/",""),"-","")," ","")))&lt;14,RIGHT(REPT("0",14)&amp;UPPER(SUBSTITUTE(SUBSTITUTE(SUBSTITUTE(SUBSTITUTE(TRIM(C37),".",""),"/",""),"-","")," ","")),14),UPPER(SUBSTITUTE(SUBSTITUTE(SUBSTITUTE(SUBSTITUTE(TRIM(C37),".",""),"/",""),"-","")," ",""))))</f>
        <v/>
      </c>
      <c r="E37" s="25" t="str">
        <f aca="false">IF(D37="","",IFERROR(INDEX(Empresas!$C:$C,MATCH(D37,Empresas!$B:$B,0)),"cadastre o CNPJ em Empresas"))</f>
        <v/>
      </c>
      <c r="F37" s="11"/>
      <c r="G37" s="23"/>
      <c r="H37" s="22"/>
      <c r="I37" s="35"/>
      <c r="J37" s="35"/>
      <c r="K37" s="36" t="str">
        <f aca="false">IF(I37="","",I37+J37)</f>
        <v/>
      </c>
      <c r="L37" s="37" t="str">
        <f aca="false">IF(OR(I37="",I37=0,J37=""),"",J37/I37)</f>
        <v/>
      </c>
      <c r="M37" s="25" t="str">
        <f aca="false">IF(L37="","",IF(L37&gt;0.25,"ACRÉSCIMO ACIMA DE 25% — conferir",""))</f>
        <v/>
      </c>
      <c r="N37" s="29" t="str">
        <f aca="false">IF(D37="","",IF(COUNTIFS(Empresas!$B:$B,D37,Empresas!$E:$E,"&lt;&gt;")=0,"",INDEX(Empresas!$E:$E,MATCH(D37,Empresas!$B:$B,0))))</f>
        <v/>
      </c>
      <c r="O37" s="27" t="str">
        <f aca="false">IF(OR(N37="",H37=""),"",H37-N37)</f>
        <v/>
      </c>
      <c r="P37" s="25" t="str">
        <f aca="false">IF(O37="","",IF(O37&lt;0,"CONTRATO ANTERIOR À ABERTURA — conferir datas",IF(O37&lt;180,"EMPRESA ABERTA MENOS DE 6 MESES ANTES","")))</f>
        <v/>
      </c>
      <c r="Q37" s="31" t="str">
        <f aca="false">IF(D37="","",IFERROR(INDEX(Sancoes!$D:$D,MATCH(D37,Sancoes!$C:$C,0)),"não consta"))</f>
        <v/>
      </c>
      <c r="R37" s="25" t="str">
        <f aca="false">IF(OR(D37="",H37=""),"",IF(SUMPRODUCT((Sancoes!$C$5:$C$304=D37)*(Sancoes!$G$5:$G$304&lt;=H37)*(((Sancoes!$H$5:$H$304="")+(Sancoes!$H$5:$H$304&gt;=H37))&gt;0))&gt;0,"SANÇÃO VIGENTE NA DATA — ler tipo e abrangência",""))</f>
        <v/>
      </c>
      <c r="S37" s="24"/>
      <c r="T37" s="11"/>
    </row>
    <row r="38" customFormat="false" ht="15" hidden="false" customHeight="false" outlineLevel="0" collapsed="false">
      <c r="A38" s="11"/>
      <c r="B38" s="24"/>
      <c r="C38" s="24"/>
      <c r="D38" s="31" t="str">
        <f aca="false">IF(C38="","",IF(LEN(UPPER(SUBSTITUTE(SUBSTITUTE(SUBSTITUTE(SUBSTITUTE(TRIM(C38),".",""),"/",""),"-","")," ","")))&lt;14,RIGHT(REPT("0",14)&amp;UPPER(SUBSTITUTE(SUBSTITUTE(SUBSTITUTE(SUBSTITUTE(TRIM(C38),".",""),"/",""),"-","")," ","")),14),UPPER(SUBSTITUTE(SUBSTITUTE(SUBSTITUTE(SUBSTITUTE(TRIM(C38),".",""),"/",""),"-","")," ",""))))</f>
        <v/>
      </c>
      <c r="E38" s="25" t="str">
        <f aca="false">IF(D38="","",IFERROR(INDEX(Empresas!$C:$C,MATCH(D38,Empresas!$B:$B,0)),"cadastre o CNPJ em Empresas"))</f>
        <v/>
      </c>
      <c r="F38" s="11"/>
      <c r="G38" s="23"/>
      <c r="H38" s="22"/>
      <c r="I38" s="35"/>
      <c r="J38" s="35"/>
      <c r="K38" s="36" t="str">
        <f aca="false">IF(I38="","",I38+J38)</f>
        <v/>
      </c>
      <c r="L38" s="37" t="str">
        <f aca="false">IF(OR(I38="",I38=0,J38=""),"",J38/I38)</f>
        <v/>
      </c>
      <c r="M38" s="25" t="str">
        <f aca="false">IF(L38="","",IF(L38&gt;0.25,"ACRÉSCIMO ACIMA DE 25% — conferir",""))</f>
        <v/>
      </c>
      <c r="N38" s="29" t="str">
        <f aca="false">IF(D38="","",IF(COUNTIFS(Empresas!$B:$B,D38,Empresas!$E:$E,"&lt;&gt;")=0,"",INDEX(Empresas!$E:$E,MATCH(D38,Empresas!$B:$B,0))))</f>
        <v/>
      </c>
      <c r="O38" s="27" t="str">
        <f aca="false">IF(OR(N38="",H38=""),"",H38-N38)</f>
        <v/>
      </c>
      <c r="P38" s="25" t="str">
        <f aca="false">IF(O38="","",IF(O38&lt;0,"CONTRATO ANTERIOR À ABERTURA — conferir datas",IF(O38&lt;180,"EMPRESA ABERTA MENOS DE 6 MESES ANTES","")))</f>
        <v/>
      </c>
      <c r="Q38" s="31" t="str">
        <f aca="false">IF(D38="","",IFERROR(INDEX(Sancoes!$D:$D,MATCH(D38,Sancoes!$C:$C,0)),"não consta"))</f>
        <v/>
      </c>
      <c r="R38" s="25" t="str">
        <f aca="false">IF(OR(D38="",H38=""),"",IF(SUMPRODUCT((Sancoes!$C$5:$C$304=D38)*(Sancoes!$G$5:$G$304&lt;=H38)*(((Sancoes!$H$5:$H$304="")+(Sancoes!$H$5:$H$304&gt;=H38))&gt;0))&gt;0,"SANÇÃO VIGENTE NA DATA — ler tipo e abrangência",""))</f>
        <v/>
      </c>
      <c r="S38" s="24"/>
      <c r="T38" s="11"/>
    </row>
    <row r="39" customFormat="false" ht="15" hidden="false" customHeight="false" outlineLevel="0" collapsed="false">
      <c r="A39" s="11"/>
      <c r="B39" s="24"/>
      <c r="C39" s="24"/>
      <c r="D39" s="31" t="str">
        <f aca="false">IF(C39="","",IF(LEN(UPPER(SUBSTITUTE(SUBSTITUTE(SUBSTITUTE(SUBSTITUTE(TRIM(C39),".",""),"/",""),"-","")," ","")))&lt;14,RIGHT(REPT("0",14)&amp;UPPER(SUBSTITUTE(SUBSTITUTE(SUBSTITUTE(SUBSTITUTE(TRIM(C39),".",""),"/",""),"-","")," ","")),14),UPPER(SUBSTITUTE(SUBSTITUTE(SUBSTITUTE(SUBSTITUTE(TRIM(C39),".",""),"/",""),"-","")," ",""))))</f>
        <v/>
      </c>
      <c r="E39" s="25" t="str">
        <f aca="false">IF(D39="","",IFERROR(INDEX(Empresas!$C:$C,MATCH(D39,Empresas!$B:$B,0)),"cadastre o CNPJ em Empresas"))</f>
        <v/>
      </c>
      <c r="F39" s="11"/>
      <c r="G39" s="23"/>
      <c r="H39" s="22"/>
      <c r="I39" s="35"/>
      <c r="J39" s="35"/>
      <c r="K39" s="36" t="str">
        <f aca="false">IF(I39="","",I39+J39)</f>
        <v/>
      </c>
      <c r="L39" s="37" t="str">
        <f aca="false">IF(OR(I39="",I39=0,J39=""),"",J39/I39)</f>
        <v/>
      </c>
      <c r="M39" s="25" t="str">
        <f aca="false">IF(L39="","",IF(L39&gt;0.25,"ACRÉSCIMO ACIMA DE 25% — conferir",""))</f>
        <v/>
      </c>
      <c r="N39" s="29" t="str">
        <f aca="false">IF(D39="","",IF(COUNTIFS(Empresas!$B:$B,D39,Empresas!$E:$E,"&lt;&gt;")=0,"",INDEX(Empresas!$E:$E,MATCH(D39,Empresas!$B:$B,0))))</f>
        <v/>
      </c>
      <c r="O39" s="27" t="str">
        <f aca="false">IF(OR(N39="",H39=""),"",H39-N39)</f>
        <v/>
      </c>
      <c r="P39" s="25" t="str">
        <f aca="false">IF(O39="","",IF(O39&lt;0,"CONTRATO ANTERIOR À ABERTURA — conferir datas",IF(O39&lt;180,"EMPRESA ABERTA MENOS DE 6 MESES ANTES","")))</f>
        <v/>
      </c>
      <c r="Q39" s="31" t="str">
        <f aca="false">IF(D39="","",IFERROR(INDEX(Sancoes!$D:$D,MATCH(D39,Sancoes!$C:$C,0)),"não consta"))</f>
        <v/>
      </c>
      <c r="R39" s="25" t="str">
        <f aca="false">IF(OR(D39="",H39=""),"",IF(SUMPRODUCT((Sancoes!$C$5:$C$304=D39)*(Sancoes!$G$5:$G$304&lt;=H39)*(((Sancoes!$H$5:$H$304="")+(Sancoes!$H$5:$H$304&gt;=H39))&gt;0))&gt;0,"SANÇÃO VIGENTE NA DATA — ler tipo e abrangência",""))</f>
        <v/>
      </c>
      <c r="S39" s="24"/>
      <c r="T39" s="11"/>
    </row>
    <row r="40" customFormat="false" ht="15" hidden="false" customHeight="false" outlineLevel="0" collapsed="false">
      <c r="A40" s="11"/>
      <c r="B40" s="24"/>
      <c r="C40" s="24"/>
      <c r="D40" s="31" t="str">
        <f aca="false">IF(C40="","",IF(LEN(UPPER(SUBSTITUTE(SUBSTITUTE(SUBSTITUTE(SUBSTITUTE(TRIM(C40),".",""),"/",""),"-","")," ","")))&lt;14,RIGHT(REPT("0",14)&amp;UPPER(SUBSTITUTE(SUBSTITUTE(SUBSTITUTE(SUBSTITUTE(TRIM(C40),".",""),"/",""),"-","")," ","")),14),UPPER(SUBSTITUTE(SUBSTITUTE(SUBSTITUTE(SUBSTITUTE(TRIM(C40),".",""),"/",""),"-","")," ",""))))</f>
        <v/>
      </c>
      <c r="E40" s="25" t="str">
        <f aca="false">IF(D40="","",IFERROR(INDEX(Empresas!$C:$C,MATCH(D40,Empresas!$B:$B,0)),"cadastre o CNPJ em Empresas"))</f>
        <v/>
      </c>
      <c r="F40" s="11"/>
      <c r="G40" s="23"/>
      <c r="H40" s="22"/>
      <c r="I40" s="35"/>
      <c r="J40" s="35"/>
      <c r="K40" s="36" t="str">
        <f aca="false">IF(I40="","",I40+J40)</f>
        <v/>
      </c>
      <c r="L40" s="37" t="str">
        <f aca="false">IF(OR(I40="",I40=0,J40=""),"",J40/I40)</f>
        <v/>
      </c>
      <c r="M40" s="25" t="str">
        <f aca="false">IF(L40="","",IF(L40&gt;0.25,"ACRÉSCIMO ACIMA DE 25% — conferir",""))</f>
        <v/>
      </c>
      <c r="N40" s="29" t="str">
        <f aca="false">IF(D40="","",IF(COUNTIFS(Empresas!$B:$B,D40,Empresas!$E:$E,"&lt;&gt;")=0,"",INDEX(Empresas!$E:$E,MATCH(D40,Empresas!$B:$B,0))))</f>
        <v/>
      </c>
      <c r="O40" s="27" t="str">
        <f aca="false">IF(OR(N40="",H40=""),"",H40-N40)</f>
        <v/>
      </c>
      <c r="P40" s="25" t="str">
        <f aca="false">IF(O40="","",IF(O40&lt;0,"CONTRATO ANTERIOR À ABERTURA — conferir datas",IF(O40&lt;180,"EMPRESA ABERTA MENOS DE 6 MESES ANTES","")))</f>
        <v/>
      </c>
      <c r="Q40" s="31" t="str">
        <f aca="false">IF(D40="","",IFERROR(INDEX(Sancoes!$D:$D,MATCH(D40,Sancoes!$C:$C,0)),"não consta"))</f>
        <v/>
      </c>
      <c r="R40" s="25" t="str">
        <f aca="false">IF(OR(D40="",H40=""),"",IF(SUMPRODUCT((Sancoes!$C$5:$C$304=D40)*(Sancoes!$G$5:$G$304&lt;=H40)*(((Sancoes!$H$5:$H$304="")+(Sancoes!$H$5:$H$304&gt;=H40))&gt;0))&gt;0,"SANÇÃO VIGENTE NA DATA — ler tipo e abrangência",""))</f>
        <v/>
      </c>
      <c r="S40" s="24"/>
      <c r="T40" s="11"/>
    </row>
    <row r="41" customFormat="false" ht="15" hidden="false" customHeight="false" outlineLevel="0" collapsed="false">
      <c r="A41" s="11"/>
      <c r="B41" s="24"/>
      <c r="C41" s="24"/>
      <c r="D41" s="31" t="str">
        <f aca="false">IF(C41="","",IF(LEN(UPPER(SUBSTITUTE(SUBSTITUTE(SUBSTITUTE(SUBSTITUTE(TRIM(C41),".",""),"/",""),"-","")," ","")))&lt;14,RIGHT(REPT("0",14)&amp;UPPER(SUBSTITUTE(SUBSTITUTE(SUBSTITUTE(SUBSTITUTE(TRIM(C41),".",""),"/",""),"-","")," ","")),14),UPPER(SUBSTITUTE(SUBSTITUTE(SUBSTITUTE(SUBSTITUTE(TRIM(C41),".",""),"/",""),"-","")," ",""))))</f>
        <v/>
      </c>
      <c r="E41" s="25" t="str">
        <f aca="false">IF(D41="","",IFERROR(INDEX(Empresas!$C:$C,MATCH(D41,Empresas!$B:$B,0)),"cadastre o CNPJ em Empresas"))</f>
        <v/>
      </c>
      <c r="F41" s="11"/>
      <c r="G41" s="23"/>
      <c r="H41" s="22"/>
      <c r="I41" s="35"/>
      <c r="J41" s="35"/>
      <c r="K41" s="36" t="str">
        <f aca="false">IF(I41="","",I41+J41)</f>
        <v/>
      </c>
      <c r="L41" s="37" t="str">
        <f aca="false">IF(OR(I41="",I41=0,J41=""),"",J41/I41)</f>
        <v/>
      </c>
      <c r="M41" s="25" t="str">
        <f aca="false">IF(L41="","",IF(L41&gt;0.25,"ACRÉSCIMO ACIMA DE 25% — conferir",""))</f>
        <v/>
      </c>
      <c r="N41" s="29" t="str">
        <f aca="false">IF(D41="","",IF(COUNTIFS(Empresas!$B:$B,D41,Empresas!$E:$E,"&lt;&gt;")=0,"",INDEX(Empresas!$E:$E,MATCH(D41,Empresas!$B:$B,0))))</f>
        <v/>
      </c>
      <c r="O41" s="27" t="str">
        <f aca="false">IF(OR(N41="",H41=""),"",H41-N41)</f>
        <v/>
      </c>
      <c r="P41" s="25" t="str">
        <f aca="false">IF(O41="","",IF(O41&lt;0,"CONTRATO ANTERIOR À ABERTURA — conferir datas",IF(O41&lt;180,"EMPRESA ABERTA MENOS DE 6 MESES ANTES","")))</f>
        <v/>
      </c>
      <c r="Q41" s="31" t="str">
        <f aca="false">IF(D41="","",IFERROR(INDEX(Sancoes!$D:$D,MATCH(D41,Sancoes!$C:$C,0)),"não consta"))</f>
        <v/>
      </c>
      <c r="R41" s="25" t="str">
        <f aca="false">IF(OR(D41="",H41=""),"",IF(SUMPRODUCT((Sancoes!$C$5:$C$304=D41)*(Sancoes!$G$5:$G$304&lt;=H41)*(((Sancoes!$H$5:$H$304="")+(Sancoes!$H$5:$H$304&gt;=H41))&gt;0))&gt;0,"SANÇÃO VIGENTE NA DATA — ler tipo e abrangência",""))</f>
        <v/>
      </c>
      <c r="S41" s="24"/>
      <c r="T41" s="11"/>
    </row>
    <row r="42" customFormat="false" ht="15" hidden="false" customHeight="false" outlineLevel="0" collapsed="false">
      <c r="A42" s="11"/>
      <c r="B42" s="24"/>
      <c r="C42" s="24"/>
      <c r="D42" s="31" t="str">
        <f aca="false">IF(C42="","",IF(LEN(UPPER(SUBSTITUTE(SUBSTITUTE(SUBSTITUTE(SUBSTITUTE(TRIM(C42),".",""),"/",""),"-","")," ","")))&lt;14,RIGHT(REPT("0",14)&amp;UPPER(SUBSTITUTE(SUBSTITUTE(SUBSTITUTE(SUBSTITUTE(TRIM(C42),".",""),"/",""),"-","")," ","")),14),UPPER(SUBSTITUTE(SUBSTITUTE(SUBSTITUTE(SUBSTITUTE(TRIM(C42),".",""),"/",""),"-","")," ",""))))</f>
        <v/>
      </c>
      <c r="E42" s="25" t="str">
        <f aca="false">IF(D42="","",IFERROR(INDEX(Empresas!$C:$C,MATCH(D42,Empresas!$B:$B,0)),"cadastre o CNPJ em Empresas"))</f>
        <v/>
      </c>
      <c r="F42" s="11"/>
      <c r="G42" s="23"/>
      <c r="H42" s="22"/>
      <c r="I42" s="35"/>
      <c r="J42" s="35"/>
      <c r="K42" s="36" t="str">
        <f aca="false">IF(I42="","",I42+J42)</f>
        <v/>
      </c>
      <c r="L42" s="37" t="str">
        <f aca="false">IF(OR(I42="",I42=0,J42=""),"",J42/I42)</f>
        <v/>
      </c>
      <c r="M42" s="25" t="str">
        <f aca="false">IF(L42="","",IF(L42&gt;0.25,"ACRÉSCIMO ACIMA DE 25% — conferir",""))</f>
        <v/>
      </c>
      <c r="N42" s="29" t="str">
        <f aca="false">IF(D42="","",IF(COUNTIFS(Empresas!$B:$B,D42,Empresas!$E:$E,"&lt;&gt;")=0,"",INDEX(Empresas!$E:$E,MATCH(D42,Empresas!$B:$B,0))))</f>
        <v/>
      </c>
      <c r="O42" s="27" t="str">
        <f aca="false">IF(OR(N42="",H42=""),"",H42-N42)</f>
        <v/>
      </c>
      <c r="P42" s="25" t="str">
        <f aca="false">IF(O42="","",IF(O42&lt;0,"CONTRATO ANTERIOR À ABERTURA — conferir datas",IF(O42&lt;180,"EMPRESA ABERTA MENOS DE 6 MESES ANTES","")))</f>
        <v/>
      </c>
      <c r="Q42" s="31" t="str">
        <f aca="false">IF(D42="","",IFERROR(INDEX(Sancoes!$D:$D,MATCH(D42,Sancoes!$C:$C,0)),"não consta"))</f>
        <v/>
      </c>
      <c r="R42" s="25" t="str">
        <f aca="false">IF(OR(D42="",H42=""),"",IF(SUMPRODUCT((Sancoes!$C$5:$C$304=D42)*(Sancoes!$G$5:$G$304&lt;=H42)*(((Sancoes!$H$5:$H$304="")+(Sancoes!$H$5:$H$304&gt;=H42))&gt;0))&gt;0,"SANÇÃO VIGENTE NA DATA — ler tipo e abrangência",""))</f>
        <v/>
      </c>
      <c r="S42" s="24"/>
      <c r="T42" s="11"/>
    </row>
    <row r="43" customFormat="false" ht="15" hidden="false" customHeight="false" outlineLevel="0" collapsed="false">
      <c r="A43" s="11"/>
      <c r="B43" s="24"/>
      <c r="C43" s="24"/>
      <c r="D43" s="31" t="str">
        <f aca="false">IF(C43="","",IF(LEN(UPPER(SUBSTITUTE(SUBSTITUTE(SUBSTITUTE(SUBSTITUTE(TRIM(C43),".",""),"/",""),"-","")," ","")))&lt;14,RIGHT(REPT("0",14)&amp;UPPER(SUBSTITUTE(SUBSTITUTE(SUBSTITUTE(SUBSTITUTE(TRIM(C43),".",""),"/",""),"-","")," ","")),14),UPPER(SUBSTITUTE(SUBSTITUTE(SUBSTITUTE(SUBSTITUTE(TRIM(C43),".",""),"/",""),"-","")," ",""))))</f>
        <v/>
      </c>
      <c r="E43" s="25" t="str">
        <f aca="false">IF(D43="","",IFERROR(INDEX(Empresas!$C:$C,MATCH(D43,Empresas!$B:$B,0)),"cadastre o CNPJ em Empresas"))</f>
        <v/>
      </c>
      <c r="F43" s="11"/>
      <c r="G43" s="23"/>
      <c r="H43" s="22"/>
      <c r="I43" s="35"/>
      <c r="J43" s="35"/>
      <c r="K43" s="36" t="str">
        <f aca="false">IF(I43="","",I43+J43)</f>
        <v/>
      </c>
      <c r="L43" s="37" t="str">
        <f aca="false">IF(OR(I43="",I43=0,J43=""),"",J43/I43)</f>
        <v/>
      </c>
      <c r="M43" s="25" t="str">
        <f aca="false">IF(L43="","",IF(L43&gt;0.25,"ACRÉSCIMO ACIMA DE 25% — conferir",""))</f>
        <v/>
      </c>
      <c r="N43" s="29" t="str">
        <f aca="false">IF(D43="","",IF(COUNTIFS(Empresas!$B:$B,D43,Empresas!$E:$E,"&lt;&gt;")=0,"",INDEX(Empresas!$E:$E,MATCH(D43,Empresas!$B:$B,0))))</f>
        <v/>
      </c>
      <c r="O43" s="27" t="str">
        <f aca="false">IF(OR(N43="",H43=""),"",H43-N43)</f>
        <v/>
      </c>
      <c r="P43" s="25" t="str">
        <f aca="false">IF(O43="","",IF(O43&lt;0,"CONTRATO ANTERIOR À ABERTURA — conferir datas",IF(O43&lt;180,"EMPRESA ABERTA MENOS DE 6 MESES ANTES","")))</f>
        <v/>
      </c>
      <c r="Q43" s="31" t="str">
        <f aca="false">IF(D43="","",IFERROR(INDEX(Sancoes!$D:$D,MATCH(D43,Sancoes!$C:$C,0)),"não consta"))</f>
        <v/>
      </c>
      <c r="R43" s="25" t="str">
        <f aca="false">IF(OR(D43="",H43=""),"",IF(SUMPRODUCT((Sancoes!$C$5:$C$304=D43)*(Sancoes!$G$5:$G$304&lt;=H43)*(((Sancoes!$H$5:$H$304="")+(Sancoes!$H$5:$H$304&gt;=H43))&gt;0))&gt;0,"SANÇÃO VIGENTE NA DATA — ler tipo e abrangência",""))</f>
        <v/>
      </c>
      <c r="S43" s="24"/>
      <c r="T43" s="11"/>
    </row>
    <row r="44" customFormat="false" ht="15" hidden="false" customHeight="false" outlineLevel="0" collapsed="false">
      <c r="A44" s="11"/>
      <c r="B44" s="24"/>
      <c r="C44" s="24"/>
      <c r="D44" s="31" t="str">
        <f aca="false">IF(C44="","",IF(LEN(UPPER(SUBSTITUTE(SUBSTITUTE(SUBSTITUTE(SUBSTITUTE(TRIM(C44),".",""),"/",""),"-","")," ","")))&lt;14,RIGHT(REPT("0",14)&amp;UPPER(SUBSTITUTE(SUBSTITUTE(SUBSTITUTE(SUBSTITUTE(TRIM(C44),".",""),"/",""),"-","")," ","")),14),UPPER(SUBSTITUTE(SUBSTITUTE(SUBSTITUTE(SUBSTITUTE(TRIM(C44),".",""),"/",""),"-","")," ",""))))</f>
        <v/>
      </c>
      <c r="E44" s="25" t="str">
        <f aca="false">IF(D44="","",IFERROR(INDEX(Empresas!$C:$C,MATCH(D44,Empresas!$B:$B,0)),"cadastre o CNPJ em Empresas"))</f>
        <v/>
      </c>
      <c r="F44" s="11"/>
      <c r="G44" s="23"/>
      <c r="H44" s="22"/>
      <c r="I44" s="35"/>
      <c r="J44" s="35"/>
      <c r="K44" s="36" t="str">
        <f aca="false">IF(I44="","",I44+J44)</f>
        <v/>
      </c>
      <c r="L44" s="37" t="str">
        <f aca="false">IF(OR(I44="",I44=0,J44=""),"",J44/I44)</f>
        <v/>
      </c>
      <c r="M44" s="25" t="str">
        <f aca="false">IF(L44="","",IF(L44&gt;0.25,"ACRÉSCIMO ACIMA DE 25% — conferir",""))</f>
        <v/>
      </c>
      <c r="N44" s="29" t="str">
        <f aca="false">IF(D44="","",IF(COUNTIFS(Empresas!$B:$B,D44,Empresas!$E:$E,"&lt;&gt;")=0,"",INDEX(Empresas!$E:$E,MATCH(D44,Empresas!$B:$B,0))))</f>
        <v/>
      </c>
      <c r="O44" s="27" t="str">
        <f aca="false">IF(OR(N44="",H44=""),"",H44-N44)</f>
        <v/>
      </c>
      <c r="P44" s="25" t="str">
        <f aca="false">IF(O44="","",IF(O44&lt;0,"CONTRATO ANTERIOR À ABERTURA — conferir datas",IF(O44&lt;180,"EMPRESA ABERTA MENOS DE 6 MESES ANTES","")))</f>
        <v/>
      </c>
      <c r="Q44" s="31" t="str">
        <f aca="false">IF(D44="","",IFERROR(INDEX(Sancoes!$D:$D,MATCH(D44,Sancoes!$C:$C,0)),"não consta"))</f>
        <v/>
      </c>
      <c r="R44" s="25" t="str">
        <f aca="false">IF(OR(D44="",H44=""),"",IF(SUMPRODUCT((Sancoes!$C$5:$C$304=D44)*(Sancoes!$G$5:$G$304&lt;=H44)*(((Sancoes!$H$5:$H$304="")+(Sancoes!$H$5:$H$304&gt;=H44))&gt;0))&gt;0,"SANÇÃO VIGENTE NA DATA — ler tipo e abrangência",""))</f>
        <v/>
      </c>
      <c r="S44" s="24"/>
      <c r="T44" s="11"/>
    </row>
    <row r="45" customFormat="false" ht="15" hidden="false" customHeight="false" outlineLevel="0" collapsed="false">
      <c r="A45" s="11"/>
      <c r="B45" s="24"/>
      <c r="C45" s="24"/>
      <c r="D45" s="31" t="str">
        <f aca="false">IF(C45="","",IF(LEN(UPPER(SUBSTITUTE(SUBSTITUTE(SUBSTITUTE(SUBSTITUTE(TRIM(C45),".",""),"/",""),"-","")," ","")))&lt;14,RIGHT(REPT("0",14)&amp;UPPER(SUBSTITUTE(SUBSTITUTE(SUBSTITUTE(SUBSTITUTE(TRIM(C45),".",""),"/",""),"-","")," ","")),14),UPPER(SUBSTITUTE(SUBSTITUTE(SUBSTITUTE(SUBSTITUTE(TRIM(C45),".",""),"/",""),"-","")," ",""))))</f>
        <v/>
      </c>
      <c r="E45" s="25" t="str">
        <f aca="false">IF(D45="","",IFERROR(INDEX(Empresas!$C:$C,MATCH(D45,Empresas!$B:$B,0)),"cadastre o CNPJ em Empresas"))</f>
        <v/>
      </c>
      <c r="F45" s="11"/>
      <c r="G45" s="23"/>
      <c r="H45" s="22"/>
      <c r="I45" s="35"/>
      <c r="J45" s="35"/>
      <c r="K45" s="36" t="str">
        <f aca="false">IF(I45="","",I45+J45)</f>
        <v/>
      </c>
      <c r="L45" s="37" t="str">
        <f aca="false">IF(OR(I45="",I45=0,J45=""),"",J45/I45)</f>
        <v/>
      </c>
      <c r="M45" s="25" t="str">
        <f aca="false">IF(L45="","",IF(L45&gt;0.25,"ACRÉSCIMO ACIMA DE 25% — conferir",""))</f>
        <v/>
      </c>
      <c r="N45" s="29" t="str">
        <f aca="false">IF(D45="","",IF(COUNTIFS(Empresas!$B:$B,D45,Empresas!$E:$E,"&lt;&gt;")=0,"",INDEX(Empresas!$E:$E,MATCH(D45,Empresas!$B:$B,0))))</f>
        <v/>
      </c>
      <c r="O45" s="27" t="str">
        <f aca="false">IF(OR(N45="",H45=""),"",H45-N45)</f>
        <v/>
      </c>
      <c r="P45" s="25" t="str">
        <f aca="false">IF(O45="","",IF(O45&lt;0,"CONTRATO ANTERIOR À ABERTURA — conferir datas",IF(O45&lt;180,"EMPRESA ABERTA MENOS DE 6 MESES ANTES","")))</f>
        <v/>
      </c>
      <c r="Q45" s="31" t="str">
        <f aca="false">IF(D45="","",IFERROR(INDEX(Sancoes!$D:$D,MATCH(D45,Sancoes!$C:$C,0)),"não consta"))</f>
        <v/>
      </c>
      <c r="R45" s="25" t="str">
        <f aca="false">IF(OR(D45="",H45=""),"",IF(SUMPRODUCT((Sancoes!$C$5:$C$304=D45)*(Sancoes!$G$5:$G$304&lt;=H45)*(((Sancoes!$H$5:$H$304="")+(Sancoes!$H$5:$H$304&gt;=H45))&gt;0))&gt;0,"SANÇÃO VIGENTE NA DATA — ler tipo e abrangência",""))</f>
        <v/>
      </c>
      <c r="S45" s="24"/>
      <c r="T45" s="11"/>
    </row>
    <row r="46" customFormat="false" ht="15" hidden="false" customHeight="false" outlineLevel="0" collapsed="false">
      <c r="A46" s="11"/>
      <c r="B46" s="24"/>
      <c r="C46" s="24"/>
      <c r="D46" s="31" t="str">
        <f aca="false">IF(C46="","",IF(LEN(UPPER(SUBSTITUTE(SUBSTITUTE(SUBSTITUTE(SUBSTITUTE(TRIM(C46),".",""),"/",""),"-","")," ","")))&lt;14,RIGHT(REPT("0",14)&amp;UPPER(SUBSTITUTE(SUBSTITUTE(SUBSTITUTE(SUBSTITUTE(TRIM(C46),".",""),"/",""),"-","")," ","")),14),UPPER(SUBSTITUTE(SUBSTITUTE(SUBSTITUTE(SUBSTITUTE(TRIM(C46),".",""),"/",""),"-","")," ",""))))</f>
        <v/>
      </c>
      <c r="E46" s="25" t="str">
        <f aca="false">IF(D46="","",IFERROR(INDEX(Empresas!$C:$C,MATCH(D46,Empresas!$B:$B,0)),"cadastre o CNPJ em Empresas"))</f>
        <v/>
      </c>
      <c r="F46" s="11"/>
      <c r="G46" s="23"/>
      <c r="H46" s="22"/>
      <c r="I46" s="35"/>
      <c r="J46" s="35"/>
      <c r="K46" s="36" t="str">
        <f aca="false">IF(I46="","",I46+J46)</f>
        <v/>
      </c>
      <c r="L46" s="37" t="str">
        <f aca="false">IF(OR(I46="",I46=0,J46=""),"",J46/I46)</f>
        <v/>
      </c>
      <c r="M46" s="25" t="str">
        <f aca="false">IF(L46="","",IF(L46&gt;0.25,"ACRÉSCIMO ACIMA DE 25% — conferir",""))</f>
        <v/>
      </c>
      <c r="N46" s="29" t="str">
        <f aca="false">IF(D46="","",IF(COUNTIFS(Empresas!$B:$B,D46,Empresas!$E:$E,"&lt;&gt;")=0,"",INDEX(Empresas!$E:$E,MATCH(D46,Empresas!$B:$B,0))))</f>
        <v/>
      </c>
      <c r="O46" s="27" t="str">
        <f aca="false">IF(OR(N46="",H46=""),"",H46-N46)</f>
        <v/>
      </c>
      <c r="P46" s="25" t="str">
        <f aca="false">IF(O46="","",IF(O46&lt;0,"CONTRATO ANTERIOR À ABERTURA — conferir datas",IF(O46&lt;180,"EMPRESA ABERTA MENOS DE 6 MESES ANTES","")))</f>
        <v/>
      </c>
      <c r="Q46" s="31" t="str">
        <f aca="false">IF(D46="","",IFERROR(INDEX(Sancoes!$D:$D,MATCH(D46,Sancoes!$C:$C,0)),"não consta"))</f>
        <v/>
      </c>
      <c r="R46" s="25" t="str">
        <f aca="false">IF(OR(D46="",H46=""),"",IF(SUMPRODUCT((Sancoes!$C$5:$C$304=D46)*(Sancoes!$G$5:$G$304&lt;=H46)*(((Sancoes!$H$5:$H$304="")+(Sancoes!$H$5:$H$304&gt;=H46))&gt;0))&gt;0,"SANÇÃO VIGENTE NA DATA — ler tipo e abrangência",""))</f>
        <v/>
      </c>
      <c r="S46" s="24"/>
      <c r="T46" s="11"/>
    </row>
    <row r="47" customFormat="false" ht="15" hidden="false" customHeight="false" outlineLevel="0" collapsed="false">
      <c r="A47" s="11"/>
      <c r="B47" s="24"/>
      <c r="C47" s="24"/>
      <c r="D47" s="31" t="str">
        <f aca="false">IF(C47="","",IF(LEN(UPPER(SUBSTITUTE(SUBSTITUTE(SUBSTITUTE(SUBSTITUTE(TRIM(C47),".",""),"/",""),"-","")," ","")))&lt;14,RIGHT(REPT("0",14)&amp;UPPER(SUBSTITUTE(SUBSTITUTE(SUBSTITUTE(SUBSTITUTE(TRIM(C47),".",""),"/",""),"-","")," ","")),14),UPPER(SUBSTITUTE(SUBSTITUTE(SUBSTITUTE(SUBSTITUTE(TRIM(C47),".",""),"/",""),"-","")," ",""))))</f>
        <v/>
      </c>
      <c r="E47" s="25" t="str">
        <f aca="false">IF(D47="","",IFERROR(INDEX(Empresas!$C:$C,MATCH(D47,Empresas!$B:$B,0)),"cadastre o CNPJ em Empresas"))</f>
        <v/>
      </c>
      <c r="F47" s="11"/>
      <c r="G47" s="23"/>
      <c r="H47" s="22"/>
      <c r="I47" s="35"/>
      <c r="J47" s="35"/>
      <c r="K47" s="36" t="str">
        <f aca="false">IF(I47="","",I47+J47)</f>
        <v/>
      </c>
      <c r="L47" s="37" t="str">
        <f aca="false">IF(OR(I47="",I47=0,J47=""),"",J47/I47)</f>
        <v/>
      </c>
      <c r="M47" s="25" t="str">
        <f aca="false">IF(L47="","",IF(L47&gt;0.25,"ACRÉSCIMO ACIMA DE 25% — conferir",""))</f>
        <v/>
      </c>
      <c r="N47" s="29" t="str">
        <f aca="false">IF(D47="","",IF(COUNTIFS(Empresas!$B:$B,D47,Empresas!$E:$E,"&lt;&gt;")=0,"",INDEX(Empresas!$E:$E,MATCH(D47,Empresas!$B:$B,0))))</f>
        <v/>
      </c>
      <c r="O47" s="27" t="str">
        <f aca="false">IF(OR(N47="",H47=""),"",H47-N47)</f>
        <v/>
      </c>
      <c r="P47" s="25" t="str">
        <f aca="false">IF(O47="","",IF(O47&lt;0,"CONTRATO ANTERIOR À ABERTURA — conferir datas",IF(O47&lt;180,"EMPRESA ABERTA MENOS DE 6 MESES ANTES","")))</f>
        <v/>
      </c>
      <c r="Q47" s="31" t="str">
        <f aca="false">IF(D47="","",IFERROR(INDEX(Sancoes!$D:$D,MATCH(D47,Sancoes!$C:$C,0)),"não consta"))</f>
        <v/>
      </c>
      <c r="R47" s="25" t="str">
        <f aca="false">IF(OR(D47="",H47=""),"",IF(SUMPRODUCT((Sancoes!$C$5:$C$304=D47)*(Sancoes!$G$5:$G$304&lt;=H47)*(((Sancoes!$H$5:$H$304="")+(Sancoes!$H$5:$H$304&gt;=H47))&gt;0))&gt;0,"SANÇÃO VIGENTE NA DATA — ler tipo e abrangência",""))</f>
        <v/>
      </c>
      <c r="S47" s="24"/>
      <c r="T47" s="11"/>
    </row>
    <row r="48" customFormat="false" ht="15" hidden="false" customHeight="false" outlineLevel="0" collapsed="false">
      <c r="A48" s="11"/>
      <c r="B48" s="24"/>
      <c r="C48" s="24"/>
      <c r="D48" s="31" t="str">
        <f aca="false">IF(C48="","",IF(LEN(UPPER(SUBSTITUTE(SUBSTITUTE(SUBSTITUTE(SUBSTITUTE(TRIM(C48),".",""),"/",""),"-","")," ","")))&lt;14,RIGHT(REPT("0",14)&amp;UPPER(SUBSTITUTE(SUBSTITUTE(SUBSTITUTE(SUBSTITUTE(TRIM(C48),".",""),"/",""),"-","")," ","")),14),UPPER(SUBSTITUTE(SUBSTITUTE(SUBSTITUTE(SUBSTITUTE(TRIM(C48),".",""),"/",""),"-","")," ",""))))</f>
        <v/>
      </c>
      <c r="E48" s="25" t="str">
        <f aca="false">IF(D48="","",IFERROR(INDEX(Empresas!$C:$C,MATCH(D48,Empresas!$B:$B,0)),"cadastre o CNPJ em Empresas"))</f>
        <v/>
      </c>
      <c r="F48" s="11"/>
      <c r="G48" s="23"/>
      <c r="H48" s="22"/>
      <c r="I48" s="35"/>
      <c r="J48" s="35"/>
      <c r="K48" s="36" t="str">
        <f aca="false">IF(I48="","",I48+J48)</f>
        <v/>
      </c>
      <c r="L48" s="37" t="str">
        <f aca="false">IF(OR(I48="",I48=0,J48=""),"",J48/I48)</f>
        <v/>
      </c>
      <c r="M48" s="25" t="str">
        <f aca="false">IF(L48="","",IF(L48&gt;0.25,"ACRÉSCIMO ACIMA DE 25% — conferir",""))</f>
        <v/>
      </c>
      <c r="N48" s="29" t="str">
        <f aca="false">IF(D48="","",IF(COUNTIFS(Empresas!$B:$B,D48,Empresas!$E:$E,"&lt;&gt;")=0,"",INDEX(Empresas!$E:$E,MATCH(D48,Empresas!$B:$B,0))))</f>
        <v/>
      </c>
      <c r="O48" s="27" t="str">
        <f aca="false">IF(OR(N48="",H48=""),"",H48-N48)</f>
        <v/>
      </c>
      <c r="P48" s="25" t="str">
        <f aca="false">IF(O48="","",IF(O48&lt;0,"CONTRATO ANTERIOR À ABERTURA — conferir datas",IF(O48&lt;180,"EMPRESA ABERTA MENOS DE 6 MESES ANTES","")))</f>
        <v/>
      </c>
      <c r="Q48" s="31" t="str">
        <f aca="false">IF(D48="","",IFERROR(INDEX(Sancoes!$D:$D,MATCH(D48,Sancoes!$C:$C,0)),"não consta"))</f>
        <v/>
      </c>
      <c r="R48" s="25" t="str">
        <f aca="false">IF(OR(D48="",H48=""),"",IF(SUMPRODUCT((Sancoes!$C$5:$C$304=D48)*(Sancoes!$G$5:$G$304&lt;=H48)*(((Sancoes!$H$5:$H$304="")+(Sancoes!$H$5:$H$304&gt;=H48))&gt;0))&gt;0,"SANÇÃO VIGENTE NA DATA — ler tipo e abrangência",""))</f>
        <v/>
      </c>
      <c r="S48" s="24"/>
      <c r="T48" s="11"/>
    </row>
    <row r="49" customFormat="false" ht="15" hidden="false" customHeight="false" outlineLevel="0" collapsed="false">
      <c r="A49" s="11"/>
      <c r="B49" s="24"/>
      <c r="C49" s="24"/>
      <c r="D49" s="31" t="str">
        <f aca="false">IF(C49="","",IF(LEN(UPPER(SUBSTITUTE(SUBSTITUTE(SUBSTITUTE(SUBSTITUTE(TRIM(C49),".",""),"/",""),"-","")," ","")))&lt;14,RIGHT(REPT("0",14)&amp;UPPER(SUBSTITUTE(SUBSTITUTE(SUBSTITUTE(SUBSTITUTE(TRIM(C49),".",""),"/",""),"-","")," ","")),14),UPPER(SUBSTITUTE(SUBSTITUTE(SUBSTITUTE(SUBSTITUTE(TRIM(C49),".",""),"/",""),"-","")," ",""))))</f>
        <v/>
      </c>
      <c r="E49" s="25" t="str">
        <f aca="false">IF(D49="","",IFERROR(INDEX(Empresas!$C:$C,MATCH(D49,Empresas!$B:$B,0)),"cadastre o CNPJ em Empresas"))</f>
        <v/>
      </c>
      <c r="F49" s="11"/>
      <c r="G49" s="23"/>
      <c r="H49" s="22"/>
      <c r="I49" s="35"/>
      <c r="J49" s="35"/>
      <c r="K49" s="36" t="str">
        <f aca="false">IF(I49="","",I49+J49)</f>
        <v/>
      </c>
      <c r="L49" s="37" t="str">
        <f aca="false">IF(OR(I49="",I49=0,J49=""),"",J49/I49)</f>
        <v/>
      </c>
      <c r="M49" s="25" t="str">
        <f aca="false">IF(L49="","",IF(L49&gt;0.25,"ACRÉSCIMO ACIMA DE 25% — conferir",""))</f>
        <v/>
      </c>
      <c r="N49" s="29" t="str">
        <f aca="false">IF(D49="","",IF(COUNTIFS(Empresas!$B:$B,D49,Empresas!$E:$E,"&lt;&gt;")=0,"",INDEX(Empresas!$E:$E,MATCH(D49,Empresas!$B:$B,0))))</f>
        <v/>
      </c>
      <c r="O49" s="27" t="str">
        <f aca="false">IF(OR(N49="",H49=""),"",H49-N49)</f>
        <v/>
      </c>
      <c r="P49" s="25" t="str">
        <f aca="false">IF(O49="","",IF(O49&lt;0,"CONTRATO ANTERIOR À ABERTURA — conferir datas",IF(O49&lt;180,"EMPRESA ABERTA MENOS DE 6 MESES ANTES","")))</f>
        <v/>
      </c>
      <c r="Q49" s="31" t="str">
        <f aca="false">IF(D49="","",IFERROR(INDEX(Sancoes!$D:$D,MATCH(D49,Sancoes!$C:$C,0)),"não consta"))</f>
        <v/>
      </c>
      <c r="R49" s="25" t="str">
        <f aca="false">IF(OR(D49="",H49=""),"",IF(SUMPRODUCT((Sancoes!$C$5:$C$304=D49)*(Sancoes!$G$5:$G$304&lt;=H49)*(((Sancoes!$H$5:$H$304="")+(Sancoes!$H$5:$H$304&gt;=H49))&gt;0))&gt;0,"SANÇÃO VIGENTE NA DATA — ler tipo e abrangência",""))</f>
        <v/>
      </c>
      <c r="S49" s="24"/>
      <c r="T49" s="11"/>
    </row>
    <row r="50" customFormat="false" ht="15" hidden="false" customHeight="false" outlineLevel="0" collapsed="false">
      <c r="A50" s="11"/>
      <c r="B50" s="24"/>
      <c r="C50" s="24"/>
      <c r="D50" s="31" t="str">
        <f aca="false">IF(C50="","",IF(LEN(UPPER(SUBSTITUTE(SUBSTITUTE(SUBSTITUTE(SUBSTITUTE(TRIM(C50),".",""),"/",""),"-","")," ","")))&lt;14,RIGHT(REPT("0",14)&amp;UPPER(SUBSTITUTE(SUBSTITUTE(SUBSTITUTE(SUBSTITUTE(TRIM(C50),".",""),"/",""),"-","")," ","")),14),UPPER(SUBSTITUTE(SUBSTITUTE(SUBSTITUTE(SUBSTITUTE(TRIM(C50),".",""),"/",""),"-","")," ",""))))</f>
        <v/>
      </c>
      <c r="E50" s="25" t="str">
        <f aca="false">IF(D50="","",IFERROR(INDEX(Empresas!$C:$C,MATCH(D50,Empresas!$B:$B,0)),"cadastre o CNPJ em Empresas"))</f>
        <v/>
      </c>
      <c r="F50" s="11"/>
      <c r="G50" s="23"/>
      <c r="H50" s="22"/>
      <c r="I50" s="35"/>
      <c r="J50" s="35"/>
      <c r="K50" s="36" t="str">
        <f aca="false">IF(I50="","",I50+J50)</f>
        <v/>
      </c>
      <c r="L50" s="37" t="str">
        <f aca="false">IF(OR(I50="",I50=0,J50=""),"",J50/I50)</f>
        <v/>
      </c>
      <c r="M50" s="25" t="str">
        <f aca="false">IF(L50="","",IF(L50&gt;0.25,"ACRÉSCIMO ACIMA DE 25% — conferir",""))</f>
        <v/>
      </c>
      <c r="N50" s="29" t="str">
        <f aca="false">IF(D50="","",IF(COUNTIFS(Empresas!$B:$B,D50,Empresas!$E:$E,"&lt;&gt;")=0,"",INDEX(Empresas!$E:$E,MATCH(D50,Empresas!$B:$B,0))))</f>
        <v/>
      </c>
      <c r="O50" s="27" t="str">
        <f aca="false">IF(OR(N50="",H50=""),"",H50-N50)</f>
        <v/>
      </c>
      <c r="P50" s="25" t="str">
        <f aca="false">IF(O50="","",IF(O50&lt;0,"CONTRATO ANTERIOR À ABERTURA — conferir datas",IF(O50&lt;180,"EMPRESA ABERTA MENOS DE 6 MESES ANTES","")))</f>
        <v/>
      </c>
      <c r="Q50" s="31" t="str">
        <f aca="false">IF(D50="","",IFERROR(INDEX(Sancoes!$D:$D,MATCH(D50,Sancoes!$C:$C,0)),"não consta"))</f>
        <v/>
      </c>
      <c r="R50" s="25" t="str">
        <f aca="false">IF(OR(D50="",H50=""),"",IF(SUMPRODUCT((Sancoes!$C$5:$C$304=D50)*(Sancoes!$G$5:$G$304&lt;=H50)*(((Sancoes!$H$5:$H$304="")+(Sancoes!$H$5:$H$304&gt;=H50))&gt;0))&gt;0,"SANÇÃO VIGENTE NA DATA — ler tipo e abrangência",""))</f>
        <v/>
      </c>
      <c r="S50" s="24"/>
      <c r="T50" s="11"/>
    </row>
    <row r="51" customFormat="false" ht="15" hidden="false" customHeight="false" outlineLevel="0" collapsed="false">
      <c r="A51" s="11"/>
      <c r="B51" s="24"/>
      <c r="C51" s="24"/>
      <c r="D51" s="31" t="str">
        <f aca="false">IF(C51="","",IF(LEN(UPPER(SUBSTITUTE(SUBSTITUTE(SUBSTITUTE(SUBSTITUTE(TRIM(C51),".",""),"/",""),"-","")," ","")))&lt;14,RIGHT(REPT("0",14)&amp;UPPER(SUBSTITUTE(SUBSTITUTE(SUBSTITUTE(SUBSTITUTE(TRIM(C51),".",""),"/",""),"-","")," ","")),14),UPPER(SUBSTITUTE(SUBSTITUTE(SUBSTITUTE(SUBSTITUTE(TRIM(C51),".",""),"/",""),"-","")," ",""))))</f>
        <v/>
      </c>
      <c r="E51" s="25" t="str">
        <f aca="false">IF(D51="","",IFERROR(INDEX(Empresas!$C:$C,MATCH(D51,Empresas!$B:$B,0)),"cadastre o CNPJ em Empresas"))</f>
        <v/>
      </c>
      <c r="F51" s="11"/>
      <c r="G51" s="23"/>
      <c r="H51" s="22"/>
      <c r="I51" s="35"/>
      <c r="J51" s="35"/>
      <c r="K51" s="36" t="str">
        <f aca="false">IF(I51="","",I51+J51)</f>
        <v/>
      </c>
      <c r="L51" s="37" t="str">
        <f aca="false">IF(OR(I51="",I51=0,J51=""),"",J51/I51)</f>
        <v/>
      </c>
      <c r="M51" s="25" t="str">
        <f aca="false">IF(L51="","",IF(L51&gt;0.25,"ACRÉSCIMO ACIMA DE 25% — conferir",""))</f>
        <v/>
      </c>
      <c r="N51" s="29" t="str">
        <f aca="false">IF(D51="","",IF(COUNTIFS(Empresas!$B:$B,D51,Empresas!$E:$E,"&lt;&gt;")=0,"",INDEX(Empresas!$E:$E,MATCH(D51,Empresas!$B:$B,0))))</f>
        <v/>
      </c>
      <c r="O51" s="27" t="str">
        <f aca="false">IF(OR(N51="",H51=""),"",H51-N51)</f>
        <v/>
      </c>
      <c r="P51" s="25" t="str">
        <f aca="false">IF(O51="","",IF(O51&lt;0,"CONTRATO ANTERIOR À ABERTURA — conferir datas",IF(O51&lt;180,"EMPRESA ABERTA MENOS DE 6 MESES ANTES","")))</f>
        <v/>
      </c>
      <c r="Q51" s="31" t="str">
        <f aca="false">IF(D51="","",IFERROR(INDEX(Sancoes!$D:$D,MATCH(D51,Sancoes!$C:$C,0)),"não consta"))</f>
        <v/>
      </c>
      <c r="R51" s="25" t="str">
        <f aca="false">IF(OR(D51="",H51=""),"",IF(SUMPRODUCT((Sancoes!$C$5:$C$304=D51)*(Sancoes!$G$5:$G$304&lt;=H51)*(((Sancoes!$H$5:$H$304="")+(Sancoes!$H$5:$H$304&gt;=H51))&gt;0))&gt;0,"SANÇÃO VIGENTE NA DATA — ler tipo e abrangência",""))</f>
        <v/>
      </c>
      <c r="S51" s="24"/>
      <c r="T51" s="11"/>
    </row>
    <row r="52" customFormat="false" ht="15" hidden="false" customHeight="false" outlineLevel="0" collapsed="false">
      <c r="A52" s="11"/>
      <c r="B52" s="24"/>
      <c r="C52" s="24"/>
      <c r="D52" s="31" t="str">
        <f aca="false">IF(C52="","",IF(LEN(UPPER(SUBSTITUTE(SUBSTITUTE(SUBSTITUTE(SUBSTITUTE(TRIM(C52),".",""),"/",""),"-","")," ","")))&lt;14,RIGHT(REPT("0",14)&amp;UPPER(SUBSTITUTE(SUBSTITUTE(SUBSTITUTE(SUBSTITUTE(TRIM(C52),".",""),"/",""),"-","")," ","")),14),UPPER(SUBSTITUTE(SUBSTITUTE(SUBSTITUTE(SUBSTITUTE(TRIM(C52),".",""),"/",""),"-","")," ",""))))</f>
        <v/>
      </c>
      <c r="E52" s="25" t="str">
        <f aca="false">IF(D52="","",IFERROR(INDEX(Empresas!$C:$C,MATCH(D52,Empresas!$B:$B,0)),"cadastre o CNPJ em Empresas"))</f>
        <v/>
      </c>
      <c r="F52" s="11"/>
      <c r="G52" s="23"/>
      <c r="H52" s="22"/>
      <c r="I52" s="35"/>
      <c r="J52" s="35"/>
      <c r="K52" s="36" t="str">
        <f aca="false">IF(I52="","",I52+J52)</f>
        <v/>
      </c>
      <c r="L52" s="37" t="str">
        <f aca="false">IF(OR(I52="",I52=0,J52=""),"",J52/I52)</f>
        <v/>
      </c>
      <c r="M52" s="25" t="str">
        <f aca="false">IF(L52="","",IF(L52&gt;0.25,"ACRÉSCIMO ACIMA DE 25% — conferir",""))</f>
        <v/>
      </c>
      <c r="N52" s="29" t="str">
        <f aca="false">IF(D52="","",IF(COUNTIFS(Empresas!$B:$B,D52,Empresas!$E:$E,"&lt;&gt;")=0,"",INDEX(Empresas!$E:$E,MATCH(D52,Empresas!$B:$B,0))))</f>
        <v/>
      </c>
      <c r="O52" s="27" t="str">
        <f aca="false">IF(OR(N52="",H52=""),"",H52-N52)</f>
        <v/>
      </c>
      <c r="P52" s="25" t="str">
        <f aca="false">IF(O52="","",IF(O52&lt;0,"CONTRATO ANTERIOR À ABERTURA — conferir datas",IF(O52&lt;180,"EMPRESA ABERTA MENOS DE 6 MESES ANTES","")))</f>
        <v/>
      </c>
      <c r="Q52" s="31" t="str">
        <f aca="false">IF(D52="","",IFERROR(INDEX(Sancoes!$D:$D,MATCH(D52,Sancoes!$C:$C,0)),"não consta"))</f>
        <v/>
      </c>
      <c r="R52" s="25" t="str">
        <f aca="false">IF(OR(D52="",H52=""),"",IF(SUMPRODUCT((Sancoes!$C$5:$C$304=D52)*(Sancoes!$G$5:$G$304&lt;=H52)*(((Sancoes!$H$5:$H$304="")+(Sancoes!$H$5:$H$304&gt;=H52))&gt;0))&gt;0,"SANÇÃO VIGENTE NA DATA — ler tipo e abrangência",""))</f>
        <v/>
      </c>
      <c r="S52" s="24"/>
      <c r="T52" s="11"/>
    </row>
    <row r="53" customFormat="false" ht="15" hidden="false" customHeight="false" outlineLevel="0" collapsed="false">
      <c r="A53" s="11"/>
      <c r="B53" s="24"/>
      <c r="C53" s="24"/>
      <c r="D53" s="31" t="str">
        <f aca="false">IF(C53="","",IF(LEN(UPPER(SUBSTITUTE(SUBSTITUTE(SUBSTITUTE(SUBSTITUTE(TRIM(C53),".",""),"/",""),"-","")," ","")))&lt;14,RIGHT(REPT("0",14)&amp;UPPER(SUBSTITUTE(SUBSTITUTE(SUBSTITUTE(SUBSTITUTE(TRIM(C53),".",""),"/",""),"-","")," ","")),14),UPPER(SUBSTITUTE(SUBSTITUTE(SUBSTITUTE(SUBSTITUTE(TRIM(C53),".",""),"/",""),"-","")," ",""))))</f>
        <v/>
      </c>
      <c r="E53" s="25" t="str">
        <f aca="false">IF(D53="","",IFERROR(INDEX(Empresas!$C:$C,MATCH(D53,Empresas!$B:$B,0)),"cadastre o CNPJ em Empresas"))</f>
        <v/>
      </c>
      <c r="F53" s="11"/>
      <c r="G53" s="23"/>
      <c r="H53" s="22"/>
      <c r="I53" s="35"/>
      <c r="J53" s="35"/>
      <c r="K53" s="36" t="str">
        <f aca="false">IF(I53="","",I53+J53)</f>
        <v/>
      </c>
      <c r="L53" s="37" t="str">
        <f aca="false">IF(OR(I53="",I53=0,J53=""),"",J53/I53)</f>
        <v/>
      </c>
      <c r="M53" s="25" t="str">
        <f aca="false">IF(L53="","",IF(L53&gt;0.25,"ACRÉSCIMO ACIMA DE 25% — conferir",""))</f>
        <v/>
      </c>
      <c r="N53" s="29" t="str">
        <f aca="false">IF(D53="","",IF(COUNTIFS(Empresas!$B:$B,D53,Empresas!$E:$E,"&lt;&gt;")=0,"",INDEX(Empresas!$E:$E,MATCH(D53,Empresas!$B:$B,0))))</f>
        <v/>
      </c>
      <c r="O53" s="27" t="str">
        <f aca="false">IF(OR(N53="",H53=""),"",H53-N53)</f>
        <v/>
      </c>
      <c r="P53" s="25" t="str">
        <f aca="false">IF(O53="","",IF(O53&lt;0,"CONTRATO ANTERIOR À ABERTURA — conferir datas",IF(O53&lt;180,"EMPRESA ABERTA MENOS DE 6 MESES ANTES","")))</f>
        <v/>
      </c>
      <c r="Q53" s="31" t="str">
        <f aca="false">IF(D53="","",IFERROR(INDEX(Sancoes!$D:$D,MATCH(D53,Sancoes!$C:$C,0)),"não consta"))</f>
        <v/>
      </c>
      <c r="R53" s="25" t="str">
        <f aca="false">IF(OR(D53="",H53=""),"",IF(SUMPRODUCT((Sancoes!$C$5:$C$304=D53)*(Sancoes!$G$5:$G$304&lt;=H53)*(((Sancoes!$H$5:$H$304="")+(Sancoes!$H$5:$H$304&gt;=H53))&gt;0))&gt;0,"SANÇÃO VIGENTE NA DATA — ler tipo e abrangência",""))</f>
        <v/>
      </c>
      <c r="S53" s="24"/>
      <c r="T53" s="11"/>
    </row>
    <row r="54" customFormat="false" ht="15" hidden="false" customHeight="false" outlineLevel="0" collapsed="false">
      <c r="A54" s="11"/>
      <c r="B54" s="24"/>
      <c r="C54" s="24"/>
      <c r="D54" s="31" t="str">
        <f aca="false">IF(C54="","",IF(LEN(UPPER(SUBSTITUTE(SUBSTITUTE(SUBSTITUTE(SUBSTITUTE(TRIM(C54),".",""),"/",""),"-","")," ","")))&lt;14,RIGHT(REPT("0",14)&amp;UPPER(SUBSTITUTE(SUBSTITUTE(SUBSTITUTE(SUBSTITUTE(TRIM(C54),".",""),"/",""),"-","")," ","")),14),UPPER(SUBSTITUTE(SUBSTITUTE(SUBSTITUTE(SUBSTITUTE(TRIM(C54),".",""),"/",""),"-","")," ",""))))</f>
        <v/>
      </c>
      <c r="E54" s="25" t="str">
        <f aca="false">IF(D54="","",IFERROR(INDEX(Empresas!$C:$C,MATCH(D54,Empresas!$B:$B,0)),"cadastre o CNPJ em Empresas"))</f>
        <v/>
      </c>
      <c r="F54" s="11"/>
      <c r="G54" s="23"/>
      <c r="H54" s="22"/>
      <c r="I54" s="35"/>
      <c r="J54" s="35"/>
      <c r="K54" s="36" t="str">
        <f aca="false">IF(I54="","",I54+J54)</f>
        <v/>
      </c>
      <c r="L54" s="37" t="str">
        <f aca="false">IF(OR(I54="",I54=0,J54=""),"",J54/I54)</f>
        <v/>
      </c>
      <c r="M54" s="25" t="str">
        <f aca="false">IF(L54="","",IF(L54&gt;0.25,"ACRÉSCIMO ACIMA DE 25% — conferir",""))</f>
        <v/>
      </c>
      <c r="N54" s="29" t="str">
        <f aca="false">IF(D54="","",IF(COUNTIFS(Empresas!$B:$B,D54,Empresas!$E:$E,"&lt;&gt;")=0,"",INDEX(Empresas!$E:$E,MATCH(D54,Empresas!$B:$B,0))))</f>
        <v/>
      </c>
      <c r="O54" s="27" t="str">
        <f aca="false">IF(OR(N54="",H54=""),"",H54-N54)</f>
        <v/>
      </c>
      <c r="P54" s="25" t="str">
        <f aca="false">IF(O54="","",IF(O54&lt;0,"CONTRATO ANTERIOR À ABERTURA — conferir datas",IF(O54&lt;180,"EMPRESA ABERTA MENOS DE 6 MESES ANTES","")))</f>
        <v/>
      </c>
      <c r="Q54" s="31" t="str">
        <f aca="false">IF(D54="","",IFERROR(INDEX(Sancoes!$D:$D,MATCH(D54,Sancoes!$C:$C,0)),"não consta"))</f>
        <v/>
      </c>
      <c r="R54" s="25" t="str">
        <f aca="false">IF(OR(D54="",H54=""),"",IF(SUMPRODUCT((Sancoes!$C$5:$C$304=D54)*(Sancoes!$G$5:$G$304&lt;=H54)*(((Sancoes!$H$5:$H$304="")+(Sancoes!$H$5:$H$304&gt;=H54))&gt;0))&gt;0,"SANÇÃO VIGENTE NA DATA — ler tipo e abrangência",""))</f>
        <v/>
      </c>
      <c r="S54" s="24"/>
      <c r="T54" s="11"/>
    </row>
    <row r="55" customFormat="false" ht="15" hidden="false" customHeight="false" outlineLevel="0" collapsed="false">
      <c r="A55" s="11"/>
      <c r="B55" s="24"/>
      <c r="C55" s="24"/>
      <c r="D55" s="31" t="str">
        <f aca="false">IF(C55="","",IF(LEN(UPPER(SUBSTITUTE(SUBSTITUTE(SUBSTITUTE(SUBSTITUTE(TRIM(C55),".",""),"/",""),"-","")," ","")))&lt;14,RIGHT(REPT("0",14)&amp;UPPER(SUBSTITUTE(SUBSTITUTE(SUBSTITUTE(SUBSTITUTE(TRIM(C55),".",""),"/",""),"-","")," ","")),14),UPPER(SUBSTITUTE(SUBSTITUTE(SUBSTITUTE(SUBSTITUTE(TRIM(C55),".",""),"/",""),"-","")," ",""))))</f>
        <v/>
      </c>
      <c r="E55" s="25" t="str">
        <f aca="false">IF(D55="","",IFERROR(INDEX(Empresas!$C:$C,MATCH(D55,Empresas!$B:$B,0)),"cadastre o CNPJ em Empresas"))</f>
        <v/>
      </c>
      <c r="F55" s="11"/>
      <c r="G55" s="23"/>
      <c r="H55" s="22"/>
      <c r="I55" s="35"/>
      <c r="J55" s="35"/>
      <c r="K55" s="36" t="str">
        <f aca="false">IF(I55="","",I55+J55)</f>
        <v/>
      </c>
      <c r="L55" s="37" t="str">
        <f aca="false">IF(OR(I55="",I55=0,J55=""),"",J55/I55)</f>
        <v/>
      </c>
      <c r="M55" s="25" t="str">
        <f aca="false">IF(L55="","",IF(L55&gt;0.25,"ACRÉSCIMO ACIMA DE 25% — conferir",""))</f>
        <v/>
      </c>
      <c r="N55" s="29" t="str">
        <f aca="false">IF(D55="","",IF(COUNTIFS(Empresas!$B:$B,D55,Empresas!$E:$E,"&lt;&gt;")=0,"",INDEX(Empresas!$E:$E,MATCH(D55,Empresas!$B:$B,0))))</f>
        <v/>
      </c>
      <c r="O55" s="27" t="str">
        <f aca="false">IF(OR(N55="",H55=""),"",H55-N55)</f>
        <v/>
      </c>
      <c r="P55" s="25" t="str">
        <f aca="false">IF(O55="","",IF(O55&lt;0,"CONTRATO ANTERIOR À ABERTURA — conferir datas",IF(O55&lt;180,"EMPRESA ABERTA MENOS DE 6 MESES ANTES","")))</f>
        <v/>
      </c>
      <c r="Q55" s="31" t="str">
        <f aca="false">IF(D55="","",IFERROR(INDEX(Sancoes!$D:$D,MATCH(D55,Sancoes!$C:$C,0)),"não consta"))</f>
        <v/>
      </c>
      <c r="R55" s="25" t="str">
        <f aca="false">IF(OR(D55="",H55=""),"",IF(SUMPRODUCT((Sancoes!$C$5:$C$304=D55)*(Sancoes!$G$5:$G$304&lt;=H55)*(((Sancoes!$H$5:$H$304="")+(Sancoes!$H$5:$H$304&gt;=H55))&gt;0))&gt;0,"SANÇÃO VIGENTE NA DATA — ler tipo e abrangência",""))</f>
        <v/>
      </c>
      <c r="S55" s="24"/>
      <c r="T55" s="11"/>
    </row>
    <row r="56" customFormat="false" ht="15" hidden="false" customHeight="false" outlineLevel="0" collapsed="false">
      <c r="A56" s="11"/>
      <c r="B56" s="24"/>
      <c r="C56" s="24"/>
      <c r="D56" s="31" t="str">
        <f aca="false">IF(C56="","",IF(LEN(UPPER(SUBSTITUTE(SUBSTITUTE(SUBSTITUTE(SUBSTITUTE(TRIM(C56),".",""),"/",""),"-","")," ","")))&lt;14,RIGHT(REPT("0",14)&amp;UPPER(SUBSTITUTE(SUBSTITUTE(SUBSTITUTE(SUBSTITUTE(TRIM(C56),".",""),"/",""),"-","")," ","")),14),UPPER(SUBSTITUTE(SUBSTITUTE(SUBSTITUTE(SUBSTITUTE(TRIM(C56),".",""),"/",""),"-","")," ",""))))</f>
        <v/>
      </c>
      <c r="E56" s="25" t="str">
        <f aca="false">IF(D56="","",IFERROR(INDEX(Empresas!$C:$C,MATCH(D56,Empresas!$B:$B,0)),"cadastre o CNPJ em Empresas"))</f>
        <v/>
      </c>
      <c r="F56" s="11"/>
      <c r="G56" s="23"/>
      <c r="H56" s="22"/>
      <c r="I56" s="35"/>
      <c r="J56" s="35"/>
      <c r="K56" s="36" t="str">
        <f aca="false">IF(I56="","",I56+J56)</f>
        <v/>
      </c>
      <c r="L56" s="37" t="str">
        <f aca="false">IF(OR(I56="",I56=0,J56=""),"",J56/I56)</f>
        <v/>
      </c>
      <c r="M56" s="25" t="str">
        <f aca="false">IF(L56="","",IF(L56&gt;0.25,"ACRÉSCIMO ACIMA DE 25% — conferir",""))</f>
        <v/>
      </c>
      <c r="N56" s="29" t="str">
        <f aca="false">IF(D56="","",IF(COUNTIFS(Empresas!$B:$B,D56,Empresas!$E:$E,"&lt;&gt;")=0,"",INDEX(Empresas!$E:$E,MATCH(D56,Empresas!$B:$B,0))))</f>
        <v/>
      </c>
      <c r="O56" s="27" t="str">
        <f aca="false">IF(OR(N56="",H56=""),"",H56-N56)</f>
        <v/>
      </c>
      <c r="P56" s="25" t="str">
        <f aca="false">IF(O56="","",IF(O56&lt;0,"CONTRATO ANTERIOR À ABERTURA — conferir datas",IF(O56&lt;180,"EMPRESA ABERTA MENOS DE 6 MESES ANTES","")))</f>
        <v/>
      </c>
      <c r="Q56" s="31" t="str">
        <f aca="false">IF(D56="","",IFERROR(INDEX(Sancoes!$D:$D,MATCH(D56,Sancoes!$C:$C,0)),"não consta"))</f>
        <v/>
      </c>
      <c r="R56" s="25" t="str">
        <f aca="false">IF(OR(D56="",H56=""),"",IF(SUMPRODUCT((Sancoes!$C$5:$C$304=D56)*(Sancoes!$G$5:$G$304&lt;=H56)*(((Sancoes!$H$5:$H$304="")+(Sancoes!$H$5:$H$304&gt;=H56))&gt;0))&gt;0,"SANÇÃO VIGENTE NA DATA — ler tipo e abrangência",""))</f>
        <v/>
      </c>
      <c r="S56" s="24"/>
      <c r="T56" s="11"/>
    </row>
    <row r="57" customFormat="false" ht="15" hidden="false" customHeight="false" outlineLevel="0" collapsed="false">
      <c r="A57" s="11"/>
      <c r="B57" s="24"/>
      <c r="C57" s="24"/>
      <c r="D57" s="31" t="str">
        <f aca="false">IF(C57="","",IF(LEN(UPPER(SUBSTITUTE(SUBSTITUTE(SUBSTITUTE(SUBSTITUTE(TRIM(C57),".",""),"/",""),"-","")," ","")))&lt;14,RIGHT(REPT("0",14)&amp;UPPER(SUBSTITUTE(SUBSTITUTE(SUBSTITUTE(SUBSTITUTE(TRIM(C57),".",""),"/",""),"-","")," ","")),14),UPPER(SUBSTITUTE(SUBSTITUTE(SUBSTITUTE(SUBSTITUTE(TRIM(C57),".",""),"/",""),"-","")," ",""))))</f>
        <v/>
      </c>
      <c r="E57" s="25" t="str">
        <f aca="false">IF(D57="","",IFERROR(INDEX(Empresas!$C:$C,MATCH(D57,Empresas!$B:$B,0)),"cadastre o CNPJ em Empresas"))</f>
        <v/>
      </c>
      <c r="F57" s="11"/>
      <c r="G57" s="23"/>
      <c r="H57" s="22"/>
      <c r="I57" s="35"/>
      <c r="J57" s="35"/>
      <c r="K57" s="36" t="str">
        <f aca="false">IF(I57="","",I57+J57)</f>
        <v/>
      </c>
      <c r="L57" s="37" t="str">
        <f aca="false">IF(OR(I57="",I57=0,J57=""),"",J57/I57)</f>
        <v/>
      </c>
      <c r="M57" s="25" t="str">
        <f aca="false">IF(L57="","",IF(L57&gt;0.25,"ACRÉSCIMO ACIMA DE 25% — conferir",""))</f>
        <v/>
      </c>
      <c r="N57" s="29" t="str">
        <f aca="false">IF(D57="","",IF(COUNTIFS(Empresas!$B:$B,D57,Empresas!$E:$E,"&lt;&gt;")=0,"",INDEX(Empresas!$E:$E,MATCH(D57,Empresas!$B:$B,0))))</f>
        <v/>
      </c>
      <c r="O57" s="27" t="str">
        <f aca="false">IF(OR(N57="",H57=""),"",H57-N57)</f>
        <v/>
      </c>
      <c r="P57" s="25" t="str">
        <f aca="false">IF(O57="","",IF(O57&lt;0,"CONTRATO ANTERIOR À ABERTURA — conferir datas",IF(O57&lt;180,"EMPRESA ABERTA MENOS DE 6 MESES ANTES","")))</f>
        <v/>
      </c>
      <c r="Q57" s="31" t="str">
        <f aca="false">IF(D57="","",IFERROR(INDEX(Sancoes!$D:$D,MATCH(D57,Sancoes!$C:$C,0)),"não consta"))</f>
        <v/>
      </c>
      <c r="R57" s="25" t="str">
        <f aca="false">IF(OR(D57="",H57=""),"",IF(SUMPRODUCT((Sancoes!$C$5:$C$304=D57)*(Sancoes!$G$5:$G$304&lt;=H57)*(((Sancoes!$H$5:$H$304="")+(Sancoes!$H$5:$H$304&gt;=H57))&gt;0))&gt;0,"SANÇÃO VIGENTE NA DATA — ler tipo e abrangência",""))</f>
        <v/>
      </c>
      <c r="S57" s="24"/>
      <c r="T57" s="11"/>
    </row>
    <row r="58" customFormat="false" ht="15" hidden="false" customHeight="false" outlineLevel="0" collapsed="false">
      <c r="A58" s="11"/>
      <c r="B58" s="24"/>
      <c r="C58" s="24"/>
      <c r="D58" s="31" t="str">
        <f aca="false">IF(C58="","",IF(LEN(UPPER(SUBSTITUTE(SUBSTITUTE(SUBSTITUTE(SUBSTITUTE(TRIM(C58),".",""),"/",""),"-","")," ","")))&lt;14,RIGHT(REPT("0",14)&amp;UPPER(SUBSTITUTE(SUBSTITUTE(SUBSTITUTE(SUBSTITUTE(TRIM(C58),".",""),"/",""),"-","")," ","")),14),UPPER(SUBSTITUTE(SUBSTITUTE(SUBSTITUTE(SUBSTITUTE(TRIM(C58),".",""),"/",""),"-","")," ",""))))</f>
        <v/>
      </c>
      <c r="E58" s="25" t="str">
        <f aca="false">IF(D58="","",IFERROR(INDEX(Empresas!$C:$C,MATCH(D58,Empresas!$B:$B,0)),"cadastre o CNPJ em Empresas"))</f>
        <v/>
      </c>
      <c r="F58" s="11"/>
      <c r="G58" s="23"/>
      <c r="H58" s="22"/>
      <c r="I58" s="35"/>
      <c r="J58" s="35"/>
      <c r="K58" s="36" t="str">
        <f aca="false">IF(I58="","",I58+J58)</f>
        <v/>
      </c>
      <c r="L58" s="37" t="str">
        <f aca="false">IF(OR(I58="",I58=0,J58=""),"",J58/I58)</f>
        <v/>
      </c>
      <c r="M58" s="25" t="str">
        <f aca="false">IF(L58="","",IF(L58&gt;0.25,"ACRÉSCIMO ACIMA DE 25% — conferir",""))</f>
        <v/>
      </c>
      <c r="N58" s="29" t="str">
        <f aca="false">IF(D58="","",IF(COUNTIFS(Empresas!$B:$B,D58,Empresas!$E:$E,"&lt;&gt;")=0,"",INDEX(Empresas!$E:$E,MATCH(D58,Empresas!$B:$B,0))))</f>
        <v/>
      </c>
      <c r="O58" s="27" t="str">
        <f aca="false">IF(OR(N58="",H58=""),"",H58-N58)</f>
        <v/>
      </c>
      <c r="P58" s="25" t="str">
        <f aca="false">IF(O58="","",IF(O58&lt;0,"CONTRATO ANTERIOR À ABERTURA — conferir datas",IF(O58&lt;180,"EMPRESA ABERTA MENOS DE 6 MESES ANTES","")))</f>
        <v/>
      </c>
      <c r="Q58" s="31" t="str">
        <f aca="false">IF(D58="","",IFERROR(INDEX(Sancoes!$D:$D,MATCH(D58,Sancoes!$C:$C,0)),"não consta"))</f>
        <v/>
      </c>
      <c r="R58" s="25" t="str">
        <f aca="false">IF(OR(D58="",H58=""),"",IF(SUMPRODUCT((Sancoes!$C$5:$C$304=D58)*(Sancoes!$G$5:$G$304&lt;=H58)*(((Sancoes!$H$5:$H$304="")+(Sancoes!$H$5:$H$304&gt;=H58))&gt;0))&gt;0,"SANÇÃO VIGENTE NA DATA — ler tipo e abrangência",""))</f>
        <v/>
      </c>
      <c r="S58" s="24"/>
      <c r="T58" s="11"/>
    </row>
    <row r="59" customFormat="false" ht="15" hidden="false" customHeight="false" outlineLevel="0" collapsed="false">
      <c r="A59" s="11"/>
      <c r="B59" s="24"/>
      <c r="C59" s="24"/>
      <c r="D59" s="31" t="str">
        <f aca="false">IF(C59="","",IF(LEN(UPPER(SUBSTITUTE(SUBSTITUTE(SUBSTITUTE(SUBSTITUTE(TRIM(C59),".",""),"/",""),"-","")," ","")))&lt;14,RIGHT(REPT("0",14)&amp;UPPER(SUBSTITUTE(SUBSTITUTE(SUBSTITUTE(SUBSTITUTE(TRIM(C59),".",""),"/",""),"-","")," ","")),14),UPPER(SUBSTITUTE(SUBSTITUTE(SUBSTITUTE(SUBSTITUTE(TRIM(C59),".",""),"/",""),"-","")," ",""))))</f>
        <v/>
      </c>
      <c r="E59" s="25" t="str">
        <f aca="false">IF(D59="","",IFERROR(INDEX(Empresas!$C:$C,MATCH(D59,Empresas!$B:$B,0)),"cadastre o CNPJ em Empresas"))</f>
        <v/>
      </c>
      <c r="F59" s="11"/>
      <c r="G59" s="23"/>
      <c r="H59" s="22"/>
      <c r="I59" s="35"/>
      <c r="J59" s="35"/>
      <c r="K59" s="36" t="str">
        <f aca="false">IF(I59="","",I59+J59)</f>
        <v/>
      </c>
      <c r="L59" s="37" t="str">
        <f aca="false">IF(OR(I59="",I59=0,J59=""),"",J59/I59)</f>
        <v/>
      </c>
      <c r="M59" s="25" t="str">
        <f aca="false">IF(L59="","",IF(L59&gt;0.25,"ACRÉSCIMO ACIMA DE 25% — conferir",""))</f>
        <v/>
      </c>
      <c r="N59" s="29" t="str">
        <f aca="false">IF(D59="","",IF(COUNTIFS(Empresas!$B:$B,D59,Empresas!$E:$E,"&lt;&gt;")=0,"",INDEX(Empresas!$E:$E,MATCH(D59,Empresas!$B:$B,0))))</f>
        <v/>
      </c>
      <c r="O59" s="27" t="str">
        <f aca="false">IF(OR(N59="",H59=""),"",H59-N59)</f>
        <v/>
      </c>
      <c r="P59" s="25" t="str">
        <f aca="false">IF(O59="","",IF(O59&lt;0,"CONTRATO ANTERIOR À ABERTURA — conferir datas",IF(O59&lt;180,"EMPRESA ABERTA MENOS DE 6 MESES ANTES","")))</f>
        <v/>
      </c>
      <c r="Q59" s="31" t="str">
        <f aca="false">IF(D59="","",IFERROR(INDEX(Sancoes!$D:$D,MATCH(D59,Sancoes!$C:$C,0)),"não consta"))</f>
        <v/>
      </c>
      <c r="R59" s="25" t="str">
        <f aca="false">IF(OR(D59="",H59=""),"",IF(SUMPRODUCT((Sancoes!$C$5:$C$304=D59)*(Sancoes!$G$5:$G$304&lt;=H59)*(((Sancoes!$H$5:$H$304="")+(Sancoes!$H$5:$H$304&gt;=H59))&gt;0))&gt;0,"SANÇÃO VIGENTE NA DATA — ler tipo e abrangência",""))</f>
        <v/>
      </c>
      <c r="S59" s="24"/>
      <c r="T59" s="11"/>
    </row>
    <row r="60" customFormat="false" ht="15" hidden="false" customHeight="false" outlineLevel="0" collapsed="false">
      <c r="A60" s="11"/>
      <c r="B60" s="24"/>
      <c r="C60" s="24"/>
      <c r="D60" s="31" t="str">
        <f aca="false">IF(C60="","",IF(LEN(UPPER(SUBSTITUTE(SUBSTITUTE(SUBSTITUTE(SUBSTITUTE(TRIM(C60),".",""),"/",""),"-","")," ","")))&lt;14,RIGHT(REPT("0",14)&amp;UPPER(SUBSTITUTE(SUBSTITUTE(SUBSTITUTE(SUBSTITUTE(TRIM(C60),".",""),"/",""),"-","")," ","")),14),UPPER(SUBSTITUTE(SUBSTITUTE(SUBSTITUTE(SUBSTITUTE(TRIM(C60),".",""),"/",""),"-","")," ",""))))</f>
        <v/>
      </c>
      <c r="E60" s="25" t="str">
        <f aca="false">IF(D60="","",IFERROR(INDEX(Empresas!$C:$C,MATCH(D60,Empresas!$B:$B,0)),"cadastre o CNPJ em Empresas"))</f>
        <v/>
      </c>
      <c r="F60" s="11"/>
      <c r="G60" s="23"/>
      <c r="H60" s="22"/>
      <c r="I60" s="35"/>
      <c r="J60" s="35"/>
      <c r="K60" s="36" t="str">
        <f aca="false">IF(I60="","",I60+J60)</f>
        <v/>
      </c>
      <c r="L60" s="37" t="str">
        <f aca="false">IF(OR(I60="",I60=0,J60=""),"",J60/I60)</f>
        <v/>
      </c>
      <c r="M60" s="25" t="str">
        <f aca="false">IF(L60="","",IF(L60&gt;0.25,"ACRÉSCIMO ACIMA DE 25% — conferir",""))</f>
        <v/>
      </c>
      <c r="N60" s="29" t="str">
        <f aca="false">IF(D60="","",IF(COUNTIFS(Empresas!$B:$B,D60,Empresas!$E:$E,"&lt;&gt;")=0,"",INDEX(Empresas!$E:$E,MATCH(D60,Empresas!$B:$B,0))))</f>
        <v/>
      </c>
      <c r="O60" s="27" t="str">
        <f aca="false">IF(OR(N60="",H60=""),"",H60-N60)</f>
        <v/>
      </c>
      <c r="P60" s="25" t="str">
        <f aca="false">IF(O60="","",IF(O60&lt;0,"CONTRATO ANTERIOR À ABERTURA — conferir datas",IF(O60&lt;180,"EMPRESA ABERTA MENOS DE 6 MESES ANTES","")))</f>
        <v/>
      </c>
      <c r="Q60" s="31" t="str">
        <f aca="false">IF(D60="","",IFERROR(INDEX(Sancoes!$D:$D,MATCH(D60,Sancoes!$C:$C,0)),"não consta"))</f>
        <v/>
      </c>
      <c r="R60" s="25" t="str">
        <f aca="false">IF(OR(D60="",H60=""),"",IF(SUMPRODUCT((Sancoes!$C$5:$C$304=D60)*(Sancoes!$G$5:$G$304&lt;=H60)*(((Sancoes!$H$5:$H$304="")+(Sancoes!$H$5:$H$304&gt;=H60))&gt;0))&gt;0,"SANÇÃO VIGENTE NA DATA — ler tipo e abrangência",""))</f>
        <v/>
      </c>
      <c r="S60" s="24"/>
      <c r="T60" s="11"/>
    </row>
    <row r="61" customFormat="false" ht="15" hidden="false" customHeight="false" outlineLevel="0" collapsed="false">
      <c r="A61" s="11"/>
      <c r="B61" s="24"/>
      <c r="C61" s="24"/>
      <c r="D61" s="31" t="str">
        <f aca="false">IF(C61="","",IF(LEN(UPPER(SUBSTITUTE(SUBSTITUTE(SUBSTITUTE(SUBSTITUTE(TRIM(C61),".",""),"/",""),"-","")," ","")))&lt;14,RIGHT(REPT("0",14)&amp;UPPER(SUBSTITUTE(SUBSTITUTE(SUBSTITUTE(SUBSTITUTE(TRIM(C61),".",""),"/",""),"-","")," ","")),14),UPPER(SUBSTITUTE(SUBSTITUTE(SUBSTITUTE(SUBSTITUTE(TRIM(C61),".",""),"/",""),"-","")," ",""))))</f>
        <v/>
      </c>
      <c r="E61" s="25" t="str">
        <f aca="false">IF(D61="","",IFERROR(INDEX(Empresas!$C:$C,MATCH(D61,Empresas!$B:$B,0)),"cadastre o CNPJ em Empresas"))</f>
        <v/>
      </c>
      <c r="F61" s="11"/>
      <c r="G61" s="23"/>
      <c r="H61" s="22"/>
      <c r="I61" s="35"/>
      <c r="J61" s="35"/>
      <c r="K61" s="36" t="str">
        <f aca="false">IF(I61="","",I61+J61)</f>
        <v/>
      </c>
      <c r="L61" s="37" t="str">
        <f aca="false">IF(OR(I61="",I61=0,J61=""),"",J61/I61)</f>
        <v/>
      </c>
      <c r="M61" s="25" t="str">
        <f aca="false">IF(L61="","",IF(L61&gt;0.25,"ACRÉSCIMO ACIMA DE 25% — conferir",""))</f>
        <v/>
      </c>
      <c r="N61" s="29" t="str">
        <f aca="false">IF(D61="","",IF(COUNTIFS(Empresas!$B:$B,D61,Empresas!$E:$E,"&lt;&gt;")=0,"",INDEX(Empresas!$E:$E,MATCH(D61,Empresas!$B:$B,0))))</f>
        <v/>
      </c>
      <c r="O61" s="27" t="str">
        <f aca="false">IF(OR(N61="",H61=""),"",H61-N61)</f>
        <v/>
      </c>
      <c r="P61" s="25" t="str">
        <f aca="false">IF(O61="","",IF(O61&lt;0,"CONTRATO ANTERIOR À ABERTURA — conferir datas",IF(O61&lt;180,"EMPRESA ABERTA MENOS DE 6 MESES ANTES","")))</f>
        <v/>
      </c>
      <c r="Q61" s="31" t="str">
        <f aca="false">IF(D61="","",IFERROR(INDEX(Sancoes!$D:$D,MATCH(D61,Sancoes!$C:$C,0)),"não consta"))</f>
        <v/>
      </c>
      <c r="R61" s="25" t="str">
        <f aca="false">IF(OR(D61="",H61=""),"",IF(SUMPRODUCT((Sancoes!$C$5:$C$304=D61)*(Sancoes!$G$5:$G$304&lt;=H61)*(((Sancoes!$H$5:$H$304="")+(Sancoes!$H$5:$H$304&gt;=H61))&gt;0))&gt;0,"SANÇÃO VIGENTE NA DATA — ler tipo e abrangência",""))</f>
        <v/>
      </c>
      <c r="S61" s="24"/>
      <c r="T61" s="11"/>
    </row>
    <row r="62" customFormat="false" ht="15" hidden="false" customHeight="false" outlineLevel="0" collapsed="false">
      <c r="A62" s="11"/>
      <c r="B62" s="24"/>
      <c r="C62" s="24"/>
      <c r="D62" s="31" t="str">
        <f aca="false">IF(C62="","",IF(LEN(UPPER(SUBSTITUTE(SUBSTITUTE(SUBSTITUTE(SUBSTITUTE(TRIM(C62),".",""),"/",""),"-","")," ","")))&lt;14,RIGHT(REPT("0",14)&amp;UPPER(SUBSTITUTE(SUBSTITUTE(SUBSTITUTE(SUBSTITUTE(TRIM(C62),".",""),"/",""),"-","")," ","")),14),UPPER(SUBSTITUTE(SUBSTITUTE(SUBSTITUTE(SUBSTITUTE(TRIM(C62),".",""),"/",""),"-","")," ",""))))</f>
        <v/>
      </c>
      <c r="E62" s="25" t="str">
        <f aca="false">IF(D62="","",IFERROR(INDEX(Empresas!$C:$C,MATCH(D62,Empresas!$B:$B,0)),"cadastre o CNPJ em Empresas"))</f>
        <v/>
      </c>
      <c r="F62" s="11"/>
      <c r="G62" s="23"/>
      <c r="H62" s="22"/>
      <c r="I62" s="35"/>
      <c r="J62" s="35"/>
      <c r="K62" s="36" t="str">
        <f aca="false">IF(I62="","",I62+J62)</f>
        <v/>
      </c>
      <c r="L62" s="37" t="str">
        <f aca="false">IF(OR(I62="",I62=0,J62=""),"",J62/I62)</f>
        <v/>
      </c>
      <c r="M62" s="25" t="str">
        <f aca="false">IF(L62="","",IF(L62&gt;0.25,"ACRÉSCIMO ACIMA DE 25% — conferir",""))</f>
        <v/>
      </c>
      <c r="N62" s="29" t="str">
        <f aca="false">IF(D62="","",IF(COUNTIFS(Empresas!$B:$B,D62,Empresas!$E:$E,"&lt;&gt;")=0,"",INDEX(Empresas!$E:$E,MATCH(D62,Empresas!$B:$B,0))))</f>
        <v/>
      </c>
      <c r="O62" s="27" t="str">
        <f aca="false">IF(OR(N62="",H62=""),"",H62-N62)</f>
        <v/>
      </c>
      <c r="P62" s="25" t="str">
        <f aca="false">IF(O62="","",IF(O62&lt;0,"CONTRATO ANTERIOR À ABERTURA — conferir datas",IF(O62&lt;180,"EMPRESA ABERTA MENOS DE 6 MESES ANTES","")))</f>
        <v/>
      </c>
      <c r="Q62" s="31" t="str">
        <f aca="false">IF(D62="","",IFERROR(INDEX(Sancoes!$D:$D,MATCH(D62,Sancoes!$C:$C,0)),"não consta"))</f>
        <v/>
      </c>
      <c r="R62" s="25" t="str">
        <f aca="false">IF(OR(D62="",H62=""),"",IF(SUMPRODUCT((Sancoes!$C$5:$C$304=D62)*(Sancoes!$G$5:$G$304&lt;=H62)*(((Sancoes!$H$5:$H$304="")+(Sancoes!$H$5:$H$304&gt;=H62))&gt;0))&gt;0,"SANÇÃO VIGENTE NA DATA — ler tipo e abrangência",""))</f>
        <v/>
      </c>
      <c r="S62" s="24"/>
      <c r="T62" s="11"/>
    </row>
    <row r="63" customFormat="false" ht="15" hidden="false" customHeight="false" outlineLevel="0" collapsed="false">
      <c r="A63" s="11"/>
      <c r="B63" s="24"/>
      <c r="C63" s="24"/>
      <c r="D63" s="31" t="str">
        <f aca="false">IF(C63="","",IF(LEN(UPPER(SUBSTITUTE(SUBSTITUTE(SUBSTITUTE(SUBSTITUTE(TRIM(C63),".",""),"/",""),"-","")," ","")))&lt;14,RIGHT(REPT("0",14)&amp;UPPER(SUBSTITUTE(SUBSTITUTE(SUBSTITUTE(SUBSTITUTE(TRIM(C63),".",""),"/",""),"-","")," ","")),14),UPPER(SUBSTITUTE(SUBSTITUTE(SUBSTITUTE(SUBSTITUTE(TRIM(C63),".",""),"/",""),"-","")," ",""))))</f>
        <v/>
      </c>
      <c r="E63" s="25" t="str">
        <f aca="false">IF(D63="","",IFERROR(INDEX(Empresas!$C:$C,MATCH(D63,Empresas!$B:$B,0)),"cadastre o CNPJ em Empresas"))</f>
        <v/>
      </c>
      <c r="F63" s="11"/>
      <c r="G63" s="23"/>
      <c r="H63" s="22"/>
      <c r="I63" s="35"/>
      <c r="J63" s="35"/>
      <c r="K63" s="36" t="str">
        <f aca="false">IF(I63="","",I63+J63)</f>
        <v/>
      </c>
      <c r="L63" s="37" t="str">
        <f aca="false">IF(OR(I63="",I63=0,J63=""),"",J63/I63)</f>
        <v/>
      </c>
      <c r="M63" s="25" t="str">
        <f aca="false">IF(L63="","",IF(L63&gt;0.25,"ACRÉSCIMO ACIMA DE 25% — conferir",""))</f>
        <v/>
      </c>
      <c r="N63" s="29" t="str">
        <f aca="false">IF(D63="","",IF(COUNTIFS(Empresas!$B:$B,D63,Empresas!$E:$E,"&lt;&gt;")=0,"",INDEX(Empresas!$E:$E,MATCH(D63,Empresas!$B:$B,0))))</f>
        <v/>
      </c>
      <c r="O63" s="27" t="str">
        <f aca="false">IF(OR(N63="",H63=""),"",H63-N63)</f>
        <v/>
      </c>
      <c r="P63" s="25" t="str">
        <f aca="false">IF(O63="","",IF(O63&lt;0,"CONTRATO ANTERIOR À ABERTURA — conferir datas",IF(O63&lt;180,"EMPRESA ABERTA MENOS DE 6 MESES ANTES","")))</f>
        <v/>
      </c>
      <c r="Q63" s="31" t="str">
        <f aca="false">IF(D63="","",IFERROR(INDEX(Sancoes!$D:$D,MATCH(D63,Sancoes!$C:$C,0)),"não consta"))</f>
        <v/>
      </c>
      <c r="R63" s="25" t="str">
        <f aca="false">IF(OR(D63="",H63=""),"",IF(SUMPRODUCT((Sancoes!$C$5:$C$304=D63)*(Sancoes!$G$5:$G$304&lt;=H63)*(((Sancoes!$H$5:$H$304="")+(Sancoes!$H$5:$H$304&gt;=H63))&gt;0))&gt;0,"SANÇÃO VIGENTE NA DATA — ler tipo e abrangência",""))</f>
        <v/>
      </c>
      <c r="S63" s="24"/>
      <c r="T63" s="11"/>
    </row>
    <row r="64" customFormat="false" ht="15" hidden="false" customHeight="false" outlineLevel="0" collapsed="false">
      <c r="A64" s="11"/>
      <c r="B64" s="24"/>
      <c r="C64" s="24"/>
      <c r="D64" s="31" t="str">
        <f aca="false">IF(C64="","",IF(LEN(UPPER(SUBSTITUTE(SUBSTITUTE(SUBSTITUTE(SUBSTITUTE(TRIM(C64),".",""),"/",""),"-","")," ","")))&lt;14,RIGHT(REPT("0",14)&amp;UPPER(SUBSTITUTE(SUBSTITUTE(SUBSTITUTE(SUBSTITUTE(TRIM(C64),".",""),"/",""),"-","")," ","")),14),UPPER(SUBSTITUTE(SUBSTITUTE(SUBSTITUTE(SUBSTITUTE(TRIM(C64),".",""),"/",""),"-","")," ",""))))</f>
        <v/>
      </c>
      <c r="E64" s="25" t="str">
        <f aca="false">IF(D64="","",IFERROR(INDEX(Empresas!$C:$C,MATCH(D64,Empresas!$B:$B,0)),"cadastre o CNPJ em Empresas"))</f>
        <v/>
      </c>
      <c r="F64" s="11"/>
      <c r="G64" s="23"/>
      <c r="H64" s="22"/>
      <c r="I64" s="35"/>
      <c r="J64" s="35"/>
      <c r="K64" s="36" t="str">
        <f aca="false">IF(I64="","",I64+J64)</f>
        <v/>
      </c>
      <c r="L64" s="37" t="str">
        <f aca="false">IF(OR(I64="",I64=0,J64=""),"",J64/I64)</f>
        <v/>
      </c>
      <c r="M64" s="25" t="str">
        <f aca="false">IF(L64="","",IF(L64&gt;0.25,"ACRÉSCIMO ACIMA DE 25% — conferir",""))</f>
        <v/>
      </c>
      <c r="N64" s="29" t="str">
        <f aca="false">IF(D64="","",IF(COUNTIFS(Empresas!$B:$B,D64,Empresas!$E:$E,"&lt;&gt;")=0,"",INDEX(Empresas!$E:$E,MATCH(D64,Empresas!$B:$B,0))))</f>
        <v/>
      </c>
      <c r="O64" s="27" t="str">
        <f aca="false">IF(OR(N64="",H64=""),"",H64-N64)</f>
        <v/>
      </c>
      <c r="P64" s="25" t="str">
        <f aca="false">IF(O64="","",IF(O64&lt;0,"CONTRATO ANTERIOR À ABERTURA — conferir datas",IF(O64&lt;180,"EMPRESA ABERTA MENOS DE 6 MESES ANTES","")))</f>
        <v/>
      </c>
      <c r="Q64" s="31" t="str">
        <f aca="false">IF(D64="","",IFERROR(INDEX(Sancoes!$D:$D,MATCH(D64,Sancoes!$C:$C,0)),"não consta"))</f>
        <v/>
      </c>
      <c r="R64" s="25" t="str">
        <f aca="false">IF(OR(D64="",H64=""),"",IF(SUMPRODUCT((Sancoes!$C$5:$C$304=D64)*(Sancoes!$G$5:$G$304&lt;=H64)*(((Sancoes!$H$5:$H$304="")+(Sancoes!$H$5:$H$304&gt;=H64))&gt;0))&gt;0,"SANÇÃO VIGENTE NA DATA — ler tipo e abrangência",""))</f>
        <v/>
      </c>
      <c r="S64" s="24"/>
      <c r="T64" s="11"/>
    </row>
    <row r="65" customFormat="false" ht="15" hidden="false" customHeight="false" outlineLevel="0" collapsed="false">
      <c r="A65" s="11"/>
      <c r="B65" s="24"/>
      <c r="C65" s="24"/>
      <c r="D65" s="31" t="str">
        <f aca="false">IF(C65="","",IF(LEN(UPPER(SUBSTITUTE(SUBSTITUTE(SUBSTITUTE(SUBSTITUTE(TRIM(C65),".",""),"/",""),"-","")," ","")))&lt;14,RIGHT(REPT("0",14)&amp;UPPER(SUBSTITUTE(SUBSTITUTE(SUBSTITUTE(SUBSTITUTE(TRIM(C65),".",""),"/",""),"-","")," ","")),14),UPPER(SUBSTITUTE(SUBSTITUTE(SUBSTITUTE(SUBSTITUTE(TRIM(C65),".",""),"/",""),"-","")," ",""))))</f>
        <v/>
      </c>
      <c r="E65" s="25" t="str">
        <f aca="false">IF(D65="","",IFERROR(INDEX(Empresas!$C:$C,MATCH(D65,Empresas!$B:$B,0)),"cadastre o CNPJ em Empresas"))</f>
        <v/>
      </c>
      <c r="F65" s="11"/>
      <c r="G65" s="23"/>
      <c r="H65" s="22"/>
      <c r="I65" s="35"/>
      <c r="J65" s="35"/>
      <c r="K65" s="36" t="str">
        <f aca="false">IF(I65="","",I65+J65)</f>
        <v/>
      </c>
      <c r="L65" s="37" t="str">
        <f aca="false">IF(OR(I65="",I65=0,J65=""),"",J65/I65)</f>
        <v/>
      </c>
      <c r="M65" s="25" t="str">
        <f aca="false">IF(L65="","",IF(L65&gt;0.25,"ACRÉSCIMO ACIMA DE 25% — conferir",""))</f>
        <v/>
      </c>
      <c r="N65" s="29" t="str">
        <f aca="false">IF(D65="","",IF(COUNTIFS(Empresas!$B:$B,D65,Empresas!$E:$E,"&lt;&gt;")=0,"",INDEX(Empresas!$E:$E,MATCH(D65,Empresas!$B:$B,0))))</f>
        <v/>
      </c>
      <c r="O65" s="27" t="str">
        <f aca="false">IF(OR(N65="",H65=""),"",H65-N65)</f>
        <v/>
      </c>
      <c r="P65" s="25" t="str">
        <f aca="false">IF(O65="","",IF(O65&lt;0,"CONTRATO ANTERIOR À ABERTURA — conferir datas",IF(O65&lt;180,"EMPRESA ABERTA MENOS DE 6 MESES ANTES","")))</f>
        <v/>
      </c>
      <c r="Q65" s="31" t="str">
        <f aca="false">IF(D65="","",IFERROR(INDEX(Sancoes!$D:$D,MATCH(D65,Sancoes!$C:$C,0)),"não consta"))</f>
        <v/>
      </c>
      <c r="R65" s="25" t="str">
        <f aca="false">IF(OR(D65="",H65=""),"",IF(SUMPRODUCT((Sancoes!$C$5:$C$304=D65)*(Sancoes!$G$5:$G$304&lt;=H65)*(((Sancoes!$H$5:$H$304="")+(Sancoes!$H$5:$H$304&gt;=H65))&gt;0))&gt;0,"SANÇÃO VIGENTE NA DATA — ler tipo e abrangência",""))</f>
        <v/>
      </c>
      <c r="S65" s="24"/>
      <c r="T65" s="11"/>
    </row>
    <row r="66" customFormat="false" ht="15" hidden="false" customHeight="false" outlineLevel="0" collapsed="false">
      <c r="A66" s="11"/>
      <c r="B66" s="24"/>
      <c r="C66" s="24"/>
      <c r="D66" s="31" t="str">
        <f aca="false">IF(C66="","",IF(LEN(UPPER(SUBSTITUTE(SUBSTITUTE(SUBSTITUTE(SUBSTITUTE(TRIM(C66),".",""),"/",""),"-","")," ","")))&lt;14,RIGHT(REPT("0",14)&amp;UPPER(SUBSTITUTE(SUBSTITUTE(SUBSTITUTE(SUBSTITUTE(TRIM(C66),".",""),"/",""),"-","")," ","")),14),UPPER(SUBSTITUTE(SUBSTITUTE(SUBSTITUTE(SUBSTITUTE(TRIM(C66),".",""),"/",""),"-","")," ",""))))</f>
        <v/>
      </c>
      <c r="E66" s="25" t="str">
        <f aca="false">IF(D66="","",IFERROR(INDEX(Empresas!$C:$C,MATCH(D66,Empresas!$B:$B,0)),"cadastre o CNPJ em Empresas"))</f>
        <v/>
      </c>
      <c r="F66" s="11"/>
      <c r="G66" s="23"/>
      <c r="H66" s="22"/>
      <c r="I66" s="35"/>
      <c r="J66" s="35"/>
      <c r="K66" s="36" t="str">
        <f aca="false">IF(I66="","",I66+J66)</f>
        <v/>
      </c>
      <c r="L66" s="37" t="str">
        <f aca="false">IF(OR(I66="",I66=0,J66=""),"",J66/I66)</f>
        <v/>
      </c>
      <c r="M66" s="25" t="str">
        <f aca="false">IF(L66="","",IF(L66&gt;0.25,"ACRÉSCIMO ACIMA DE 25% — conferir",""))</f>
        <v/>
      </c>
      <c r="N66" s="29" t="str">
        <f aca="false">IF(D66="","",IF(COUNTIFS(Empresas!$B:$B,D66,Empresas!$E:$E,"&lt;&gt;")=0,"",INDEX(Empresas!$E:$E,MATCH(D66,Empresas!$B:$B,0))))</f>
        <v/>
      </c>
      <c r="O66" s="27" t="str">
        <f aca="false">IF(OR(N66="",H66=""),"",H66-N66)</f>
        <v/>
      </c>
      <c r="P66" s="25" t="str">
        <f aca="false">IF(O66="","",IF(O66&lt;0,"CONTRATO ANTERIOR À ABERTURA — conferir datas",IF(O66&lt;180,"EMPRESA ABERTA MENOS DE 6 MESES ANTES","")))</f>
        <v/>
      </c>
      <c r="Q66" s="31" t="str">
        <f aca="false">IF(D66="","",IFERROR(INDEX(Sancoes!$D:$D,MATCH(D66,Sancoes!$C:$C,0)),"não consta"))</f>
        <v/>
      </c>
      <c r="R66" s="25" t="str">
        <f aca="false">IF(OR(D66="",H66=""),"",IF(SUMPRODUCT((Sancoes!$C$5:$C$304=D66)*(Sancoes!$G$5:$G$304&lt;=H66)*(((Sancoes!$H$5:$H$304="")+(Sancoes!$H$5:$H$304&gt;=H66))&gt;0))&gt;0,"SANÇÃO VIGENTE NA DATA — ler tipo e abrangência",""))</f>
        <v/>
      </c>
      <c r="S66" s="24"/>
      <c r="T66" s="11"/>
    </row>
    <row r="67" customFormat="false" ht="15" hidden="false" customHeight="false" outlineLevel="0" collapsed="false">
      <c r="A67" s="11"/>
      <c r="B67" s="24"/>
      <c r="C67" s="24"/>
      <c r="D67" s="31" t="str">
        <f aca="false">IF(C67="","",IF(LEN(UPPER(SUBSTITUTE(SUBSTITUTE(SUBSTITUTE(SUBSTITUTE(TRIM(C67),".",""),"/",""),"-","")," ","")))&lt;14,RIGHT(REPT("0",14)&amp;UPPER(SUBSTITUTE(SUBSTITUTE(SUBSTITUTE(SUBSTITUTE(TRIM(C67),".",""),"/",""),"-","")," ","")),14),UPPER(SUBSTITUTE(SUBSTITUTE(SUBSTITUTE(SUBSTITUTE(TRIM(C67),".",""),"/",""),"-","")," ",""))))</f>
        <v/>
      </c>
      <c r="E67" s="25" t="str">
        <f aca="false">IF(D67="","",IFERROR(INDEX(Empresas!$C:$C,MATCH(D67,Empresas!$B:$B,0)),"cadastre o CNPJ em Empresas"))</f>
        <v/>
      </c>
      <c r="F67" s="11"/>
      <c r="G67" s="23"/>
      <c r="H67" s="22"/>
      <c r="I67" s="35"/>
      <c r="J67" s="35"/>
      <c r="K67" s="36" t="str">
        <f aca="false">IF(I67="","",I67+J67)</f>
        <v/>
      </c>
      <c r="L67" s="37" t="str">
        <f aca="false">IF(OR(I67="",I67=0,J67=""),"",J67/I67)</f>
        <v/>
      </c>
      <c r="M67" s="25" t="str">
        <f aca="false">IF(L67="","",IF(L67&gt;0.25,"ACRÉSCIMO ACIMA DE 25% — conferir",""))</f>
        <v/>
      </c>
      <c r="N67" s="29" t="str">
        <f aca="false">IF(D67="","",IF(COUNTIFS(Empresas!$B:$B,D67,Empresas!$E:$E,"&lt;&gt;")=0,"",INDEX(Empresas!$E:$E,MATCH(D67,Empresas!$B:$B,0))))</f>
        <v/>
      </c>
      <c r="O67" s="27" t="str">
        <f aca="false">IF(OR(N67="",H67=""),"",H67-N67)</f>
        <v/>
      </c>
      <c r="P67" s="25" t="str">
        <f aca="false">IF(O67="","",IF(O67&lt;0,"CONTRATO ANTERIOR À ABERTURA — conferir datas",IF(O67&lt;180,"EMPRESA ABERTA MENOS DE 6 MESES ANTES","")))</f>
        <v/>
      </c>
      <c r="Q67" s="31" t="str">
        <f aca="false">IF(D67="","",IFERROR(INDEX(Sancoes!$D:$D,MATCH(D67,Sancoes!$C:$C,0)),"não consta"))</f>
        <v/>
      </c>
      <c r="R67" s="25" t="str">
        <f aca="false">IF(OR(D67="",H67=""),"",IF(SUMPRODUCT((Sancoes!$C$5:$C$304=D67)*(Sancoes!$G$5:$G$304&lt;=H67)*(((Sancoes!$H$5:$H$304="")+(Sancoes!$H$5:$H$304&gt;=H67))&gt;0))&gt;0,"SANÇÃO VIGENTE NA DATA — ler tipo e abrangência",""))</f>
        <v/>
      </c>
      <c r="S67" s="24"/>
      <c r="T67" s="11"/>
    </row>
    <row r="68" customFormat="false" ht="15" hidden="false" customHeight="false" outlineLevel="0" collapsed="false">
      <c r="A68" s="11"/>
      <c r="B68" s="24"/>
      <c r="C68" s="24"/>
      <c r="D68" s="31" t="str">
        <f aca="false">IF(C68="","",IF(LEN(UPPER(SUBSTITUTE(SUBSTITUTE(SUBSTITUTE(SUBSTITUTE(TRIM(C68),".",""),"/",""),"-","")," ","")))&lt;14,RIGHT(REPT("0",14)&amp;UPPER(SUBSTITUTE(SUBSTITUTE(SUBSTITUTE(SUBSTITUTE(TRIM(C68),".",""),"/",""),"-","")," ","")),14),UPPER(SUBSTITUTE(SUBSTITUTE(SUBSTITUTE(SUBSTITUTE(TRIM(C68),".",""),"/",""),"-","")," ",""))))</f>
        <v/>
      </c>
      <c r="E68" s="25" t="str">
        <f aca="false">IF(D68="","",IFERROR(INDEX(Empresas!$C:$C,MATCH(D68,Empresas!$B:$B,0)),"cadastre o CNPJ em Empresas"))</f>
        <v/>
      </c>
      <c r="F68" s="11"/>
      <c r="G68" s="23"/>
      <c r="H68" s="22"/>
      <c r="I68" s="35"/>
      <c r="J68" s="35"/>
      <c r="K68" s="36" t="str">
        <f aca="false">IF(I68="","",I68+J68)</f>
        <v/>
      </c>
      <c r="L68" s="37" t="str">
        <f aca="false">IF(OR(I68="",I68=0,J68=""),"",J68/I68)</f>
        <v/>
      </c>
      <c r="M68" s="25" t="str">
        <f aca="false">IF(L68="","",IF(L68&gt;0.25,"ACRÉSCIMO ACIMA DE 25% — conferir",""))</f>
        <v/>
      </c>
      <c r="N68" s="29" t="str">
        <f aca="false">IF(D68="","",IF(COUNTIFS(Empresas!$B:$B,D68,Empresas!$E:$E,"&lt;&gt;")=0,"",INDEX(Empresas!$E:$E,MATCH(D68,Empresas!$B:$B,0))))</f>
        <v/>
      </c>
      <c r="O68" s="27" t="str">
        <f aca="false">IF(OR(N68="",H68=""),"",H68-N68)</f>
        <v/>
      </c>
      <c r="P68" s="25" t="str">
        <f aca="false">IF(O68="","",IF(O68&lt;0,"CONTRATO ANTERIOR À ABERTURA — conferir datas",IF(O68&lt;180,"EMPRESA ABERTA MENOS DE 6 MESES ANTES","")))</f>
        <v/>
      </c>
      <c r="Q68" s="31" t="str">
        <f aca="false">IF(D68="","",IFERROR(INDEX(Sancoes!$D:$D,MATCH(D68,Sancoes!$C:$C,0)),"não consta"))</f>
        <v/>
      </c>
      <c r="R68" s="25" t="str">
        <f aca="false">IF(OR(D68="",H68=""),"",IF(SUMPRODUCT((Sancoes!$C$5:$C$304=D68)*(Sancoes!$G$5:$G$304&lt;=H68)*(((Sancoes!$H$5:$H$304="")+(Sancoes!$H$5:$H$304&gt;=H68))&gt;0))&gt;0,"SANÇÃO VIGENTE NA DATA — ler tipo e abrangência",""))</f>
        <v/>
      </c>
      <c r="S68" s="24"/>
      <c r="T68" s="11"/>
    </row>
    <row r="69" customFormat="false" ht="15" hidden="false" customHeight="false" outlineLevel="0" collapsed="false">
      <c r="A69" s="11"/>
      <c r="B69" s="24"/>
      <c r="C69" s="24"/>
      <c r="D69" s="31" t="str">
        <f aca="false">IF(C69="","",IF(LEN(UPPER(SUBSTITUTE(SUBSTITUTE(SUBSTITUTE(SUBSTITUTE(TRIM(C69),".",""),"/",""),"-","")," ","")))&lt;14,RIGHT(REPT("0",14)&amp;UPPER(SUBSTITUTE(SUBSTITUTE(SUBSTITUTE(SUBSTITUTE(TRIM(C69),".",""),"/",""),"-","")," ","")),14),UPPER(SUBSTITUTE(SUBSTITUTE(SUBSTITUTE(SUBSTITUTE(TRIM(C69),".",""),"/",""),"-","")," ",""))))</f>
        <v/>
      </c>
      <c r="E69" s="25" t="str">
        <f aca="false">IF(D69="","",IFERROR(INDEX(Empresas!$C:$C,MATCH(D69,Empresas!$B:$B,0)),"cadastre o CNPJ em Empresas"))</f>
        <v/>
      </c>
      <c r="F69" s="11"/>
      <c r="G69" s="23"/>
      <c r="H69" s="22"/>
      <c r="I69" s="35"/>
      <c r="J69" s="35"/>
      <c r="K69" s="36" t="str">
        <f aca="false">IF(I69="","",I69+J69)</f>
        <v/>
      </c>
      <c r="L69" s="37" t="str">
        <f aca="false">IF(OR(I69="",I69=0,J69=""),"",J69/I69)</f>
        <v/>
      </c>
      <c r="M69" s="25" t="str">
        <f aca="false">IF(L69="","",IF(L69&gt;0.25,"ACRÉSCIMO ACIMA DE 25% — conferir",""))</f>
        <v/>
      </c>
      <c r="N69" s="29" t="str">
        <f aca="false">IF(D69="","",IF(COUNTIFS(Empresas!$B:$B,D69,Empresas!$E:$E,"&lt;&gt;")=0,"",INDEX(Empresas!$E:$E,MATCH(D69,Empresas!$B:$B,0))))</f>
        <v/>
      </c>
      <c r="O69" s="27" t="str">
        <f aca="false">IF(OR(N69="",H69=""),"",H69-N69)</f>
        <v/>
      </c>
      <c r="P69" s="25" t="str">
        <f aca="false">IF(O69="","",IF(O69&lt;0,"CONTRATO ANTERIOR À ABERTURA — conferir datas",IF(O69&lt;180,"EMPRESA ABERTA MENOS DE 6 MESES ANTES","")))</f>
        <v/>
      </c>
      <c r="Q69" s="31" t="str">
        <f aca="false">IF(D69="","",IFERROR(INDEX(Sancoes!$D:$D,MATCH(D69,Sancoes!$C:$C,0)),"não consta"))</f>
        <v/>
      </c>
      <c r="R69" s="25" t="str">
        <f aca="false">IF(OR(D69="",H69=""),"",IF(SUMPRODUCT((Sancoes!$C$5:$C$304=D69)*(Sancoes!$G$5:$G$304&lt;=H69)*(((Sancoes!$H$5:$H$304="")+(Sancoes!$H$5:$H$304&gt;=H69))&gt;0))&gt;0,"SANÇÃO VIGENTE NA DATA — ler tipo e abrangência",""))</f>
        <v/>
      </c>
      <c r="S69" s="24"/>
      <c r="T69" s="11"/>
    </row>
    <row r="70" customFormat="false" ht="15" hidden="false" customHeight="false" outlineLevel="0" collapsed="false">
      <c r="A70" s="11"/>
      <c r="B70" s="24"/>
      <c r="C70" s="24"/>
      <c r="D70" s="31" t="str">
        <f aca="false">IF(C70="","",IF(LEN(UPPER(SUBSTITUTE(SUBSTITUTE(SUBSTITUTE(SUBSTITUTE(TRIM(C70),".",""),"/",""),"-","")," ","")))&lt;14,RIGHT(REPT("0",14)&amp;UPPER(SUBSTITUTE(SUBSTITUTE(SUBSTITUTE(SUBSTITUTE(TRIM(C70),".",""),"/",""),"-","")," ","")),14),UPPER(SUBSTITUTE(SUBSTITUTE(SUBSTITUTE(SUBSTITUTE(TRIM(C70),".",""),"/",""),"-","")," ",""))))</f>
        <v/>
      </c>
      <c r="E70" s="25" t="str">
        <f aca="false">IF(D70="","",IFERROR(INDEX(Empresas!$C:$C,MATCH(D70,Empresas!$B:$B,0)),"cadastre o CNPJ em Empresas"))</f>
        <v/>
      </c>
      <c r="F70" s="11"/>
      <c r="G70" s="23"/>
      <c r="H70" s="22"/>
      <c r="I70" s="35"/>
      <c r="J70" s="35"/>
      <c r="K70" s="36" t="str">
        <f aca="false">IF(I70="","",I70+J70)</f>
        <v/>
      </c>
      <c r="L70" s="37" t="str">
        <f aca="false">IF(OR(I70="",I70=0,J70=""),"",J70/I70)</f>
        <v/>
      </c>
      <c r="M70" s="25" t="str">
        <f aca="false">IF(L70="","",IF(L70&gt;0.25,"ACRÉSCIMO ACIMA DE 25% — conferir",""))</f>
        <v/>
      </c>
      <c r="N70" s="29" t="str">
        <f aca="false">IF(D70="","",IF(COUNTIFS(Empresas!$B:$B,D70,Empresas!$E:$E,"&lt;&gt;")=0,"",INDEX(Empresas!$E:$E,MATCH(D70,Empresas!$B:$B,0))))</f>
        <v/>
      </c>
      <c r="O70" s="27" t="str">
        <f aca="false">IF(OR(N70="",H70=""),"",H70-N70)</f>
        <v/>
      </c>
      <c r="P70" s="25" t="str">
        <f aca="false">IF(O70="","",IF(O70&lt;0,"CONTRATO ANTERIOR À ABERTURA — conferir datas",IF(O70&lt;180,"EMPRESA ABERTA MENOS DE 6 MESES ANTES","")))</f>
        <v/>
      </c>
      <c r="Q70" s="31" t="str">
        <f aca="false">IF(D70="","",IFERROR(INDEX(Sancoes!$D:$D,MATCH(D70,Sancoes!$C:$C,0)),"não consta"))</f>
        <v/>
      </c>
      <c r="R70" s="25" t="str">
        <f aca="false">IF(OR(D70="",H70=""),"",IF(SUMPRODUCT((Sancoes!$C$5:$C$304=D70)*(Sancoes!$G$5:$G$304&lt;=H70)*(((Sancoes!$H$5:$H$304="")+(Sancoes!$H$5:$H$304&gt;=H70))&gt;0))&gt;0,"SANÇÃO VIGENTE NA DATA — ler tipo e abrangência",""))</f>
        <v/>
      </c>
      <c r="S70" s="24"/>
      <c r="T70" s="11"/>
    </row>
    <row r="71" customFormat="false" ht="15" hidden="false" customHeight="false" outlineLevel="0" collapsed="false">
      <c r="A71" s="11"/>
      <c r="B71" s="24"/>
      <c r="C71" s="24"/>
      <c r="D71" s="31" t="str">
        <f aca="false">IF(C71="","",IF(LEN(UPPER(SUBSTITUTE(SUBSTITUTE(SUBSTITUTE(SUBSTITUTE(TRIM(C71),".",""),"/",""),"-","")," ","")))&lt;14,RIGHT(REPT("0",14)&amp;UPPER(SUBSTITUTE(SUBSTITUTE(SUBSTITUTE(SUBSTITUTE(TRIM(C71),".",""),"/",""),"-","")," ","")),14),UPPER(SUBSTITUTE(SUBSTITUTE(SUBSTITUTE(SUBSTITUTE(TRIM(C71),".",""),"/",""),"-","")," ",""))))</f>
        <v/>
      </c>
      <c r="E71" s="25" t="str">
        <f aca="false">IF(D71="","",IFERROR(INDEX(Empresas!$C:$C,MATCH(D71,Empresas!$B:$B,0)),"cadastre o CNPJ em Empresas"))</f>
        <v/>
      </c>
      <c r="F71" s="11"/>
      <c r="G71" s="23"/>
      <c r="H71" s="22"/>
      <c r="I71" s="35"/>
      <c r="J71" s="35"/>
      <c r="K71" s="36" t="str">
        <f aca="false">IF(I71="","",I71+J71)</f>
        <v/>
      </c>
      <c r="L71" s="37" t="str">
        <f aca="false">IF(OR(I71="",I71=0,J71=""),"",J71/I71)</f>
        <v/>
      </c>
      <c r="M71" s="25" t="str">
        <f aca="false">IF(L71="","",IF(L71&gt;0.25,"ACRÉSCIMO ACIMA DE 25% — conferir",""))</f>
        <v/>
      </c>
      <c r="N71" s="29" t="str">
        <f aca="false">IF(D71="","",IF(COUNTIFS(Empresas!$B:$B,D71,Empresas!$E:$E,"&lt;&gt;")=0,"",INDEX(Empresas!$E:$E,MATCH(D71,Empresas!$B:$B,0))))</f>
        <v/>
      </c>
      <c r="O71" s="27" t="str">
        <f aca="false">IF(OR(N71="",H71=""),"",H71-N71)</f>
        <v/>
      </c>
      <c r="P71" s="25" t="str">
        <f aca="false">IF(O71="","",IF(O71&lt;0,"CONTRATO ANTERIOR À ABERTURA — conferir datas",IF(O71&lt;180,"EMPRESA ABERTA MENOS DE 6 MESES ANTES","")))</f>
        <v/>
      </c>
      <c r="Q71" s="31" t="str">
        <f aca="false">IF(D71="","",IFERROR(INDEX(Sancoes!$D:$D,MATCH(D71,Sancoes!$C:$C,0)),"não consta"))</f>
        <v/>
      </c>
      <c r="R71" s="25" t="str">
        <f aca="false">IF(OR(D71="",H71=""),"",IF(SUMPRODUCT((Sancoes!$C$5:$C$304=D71)*(Sancoes!$G$5:$G$304&lt;=H71)*(((Sancoes!$H$5:$H$304="")+(Sancoes!$H$5:$H$304&gt;=H71))&gt;0))&gt;0,"SANÇÃO VIGENTE NA DATA — ler tipo e abrangência",""))</f>
        <v/>
      </c>
      <c r="S71" s="24"/>
      <c r="T71" s="11"/>
    </row>
    <row r="72" customFormat="false" ht="15" hidden="false" customHeight="false" outlineLevel="0" collapsed="false">
      <c r="A72" s="11"/>
      <c r="B72" s="24"/>
      <c r="C72" s="24"/>
      <c r="D72" s="31" t="str">
        <f aca="false">IF(C72="","",IF(LEN(UPPER(SUBSTITUTE(SUBSTITUTE(SUBSTITUTE(SUBSTITUTE(TRIM(C72),".",""),"/",""),"-","")," ","")))&lt;14,RIGHT(REPT("0",14)&amp;UPPER(SUBSTITUTE(SUBSTITUTE(SUBSTITUTE(SUBSTITUTE(TRIM(C72),".",""),"/",""),"-","")," ","")),14),UPPER(SUBSTITUTE(SUBSTITUTE(SUBSTITUTE(SUBSTITUTE(TRIM(C72),".",""),"/",""),"-","")," ",""))))</f>
        <v/>
      </c>
      <c r="E72" s="25" t="str">
        <f aca="false">IF(D72="","",IFERROR(INDEX(Empresas!$C:$C,MATCH(D72,Empresas!$B:$B,0)),"cadastre o CNPJ em Empresas"))</f>
        <v/>
      </c>
      <c r="F72" s="11"/>
      <c r="G72" s="23"/>
      <c r="H72" s="22"/>
      <c r="I72" s="35"/>
      <c r="J72" s="35"/>
      <c r="K72" s="36" t="str">
        <f aca="false">IF(I72="","",I72+J72)</f>
        <v/>
      </c>
      <c r="L72" s="37" t="str">
        <f aca="false">IF(OR(I72="",I72=0,J72=""),"",J72/I72)</f>
        <v/>
      </c>
      <c r="M72" s="25" t="str">
        <f aca="false">IF(L72="","",IF(L72&gt;0.25,"ACRÉSCIMO ACIMA DE 25% — conferir",""))</f>
        <v/>
      </c>
      <c r="N72" s="29" t="str">
        <f aca="false">IF(D72="","",IF(COUNTIFS(Empresas!$B:$B,D72,Empresas!$E:$E,"&lt;&gt;")=0,"",INDEX(Empresas!$E:$E,MATCH(D72,Empresas!$B:$B,0))))</f>
        <v/>
      </c>
      <c r="O72" s="27" t="str">
        <f aca="false">IF(OR(N72="",H72=""),"",H72-N72)</f>
        <v/>
      </c>
      <c r="P72" s="25" t="str">
        <f aca="false">IF(O72="","",IF(O72&lt;0,"CONTRATO ANTERIOR À ABERTURA — conferir datas",IF(O72&lt;180,"EMPRESA ABERTA MENOS DE 6 MESES ANTES","")))</f>
        <v/>
      </c>
      <c r="Q72" s="31" t="str">
        <f aca="false">IF(D72="","",IFERROR(INDEX(Sancoes!$D:$D,MATCH(D72,Sancoes!$C:$C,0)),"não consta"))</f>
        <v/>
      </c>
      <c r="R72" s="25" t="str">
        <f aca="false">IF(OR(D72="",H72=""),"",IF(SUMPRODUCT((Sancoes!$C$5:$C$304=D72)*(Sancoes!$G$5:$G$304&lt;=H72)*(((Sancoes!$H$5:$H$304="")+(Sancoes!$H$5:$H$304&gt;=H72))&gt;0))&gt;0,"SANÇÃO VIGENTE NA DATA — ler tipo e abrangência",""))</f>
        <v/>
      </c>
      <c r="S72" s="24"/>
      <c r="T72" s="11"/>
    </row>
    <row r="73" customFormat="false" ht="15" hidden="false" customHeight="false" outlineLevel="0" collapsed="false">
      <c r="A73" s="11"/>
      <c r="B73" s="24"/>
      <c r="C73" s="24"/>
      <c r="D73" s="31" t="str">
        <f aca="false">IF(C73="","",IF(LEN(UPPER(SUBSTITUTE(SUBSTITUTE(SUBSTITUTE(SUBSTITUTE(TRIM(C73),".",""),"/",""),"-","")," ","")))&lt;14,RIGHT(REPT("0",14)&amp;UPPER(SUBSTITUTE(SUBSTITUTE(SUBSTITUTE(SUBSTITUTE(TRIM(C73),".",""),"/",""),"-","")," ","")),14),UPPER(SUBSTITUTE(SUBSTITUTE(SUBSTITUTE(SUBSTITUTE(TRIM(C73),".",""),"/",""),"-","")," ",""))))</f>
        <v/>
      </c>
      <c r="E73" s="25" t="str">
        <f aca="false">IF(D73="","",IFERROR(INDEX(Empresas!$C:$C,MATCH(D73,Empresas!$B:$B,0)),"cadastre o CNPJ em Empresas"))</f>
        <v/>
      </c>
      <c r="F73" s="11"/>
      <c r="G73" s="23"/>
      <c r="H73" s="22"/>
      <c r="I73" s="35"/>
      <c r="J73" s="35"/>
      <c r="K73" s="36" t="str">
        <f aca="false">IF(I73="","",I73+J73)</f>
        <v/>
      </c>
      <c r="L73" s="37" t="str">
        <f aca="false">IF(OR(I73="",I73=0,J73=""),"",J73/I73)</f>
        <v/>
      </c>
      <c r="M73" s="25" t="str">
        <f aca="false">IF(L73="","",IF(L73&gt;0.25,"ACRÉSCIMO ACIMA DE 25% — conferir",""))</f>
        <v/>
      </c>
      <c r="N73" s="29" t="str">
        <f aca="false">IF(D73="","",IF(COUNTIFS(Empresas!$B:$B,D73,Empresas!$E:$E,"&lt;&gt;")=0,"",INDEX(Empresas!$E:$E,MATCH(D73,Empresas!$B:$B,0))))</f>
        <v/>
      </c>
      <c r="O73" s="27" t="str">
        <f aca="false">IF(OR(N73="",H73=""),"",H73-N73)</f>
        <v/>
      </c>
      <c r="P73" s="25" t="str">
        <f aca="false">IF(O73="","",IF(O73&lt;0,"CONTRATO ANTERIOR À ABERTURA — conferir datas",IF(O73&lt;180,"EMPRESA ABERTA MENOS DE 6 MESES ANTES","")))</f>
        <v/>
      </c>
      <c r="Q73" s="31" t="str">
        <f aca="false">IF(D73="","",IFERROR(INDEX(Sancoes!$D:$D,MATCH(D73,Sancoes!$C:$C,0)),"não consta"))</f>
        <v/>
      </c>
      <c r="R73" s="25" t="str">
        <f aca="false">IF(OR(D73="",H73=""),"",IF(SUMPRODUCT((Sancoes!$C$5:$C$304=D73)*(Sancoes!$G$5:$G$304&lt;=H73)*(((Sancoes!$H$5:$H$304="")+(Sancoes!$H$5:$H$304&gt;=H73))&gt;0))&gt;0,"SANÇÃO VIGENTE NA DATA — ler tipo e abrangência",""))</f>
        <v/>
      </c>
      <c r="S73" s="24"/>
      <c r="T73" s="11"/>
    </row>
    <row r="74" customFormat="false" ht="15" hidden="false" customHeight="false" outlineLevel="0" collapsed="false">
      <c r="A74" s="11"/>
      <c r="B74" s="24"/>
      <c r="C74" s="24"/>
      <c r="D74" s="31" t="str">
        <f aca="false">IF(C74="","",IF(LEN(UPPER(SUBSTITUTE(SUBSTITUTE(SUBSTITUTE(SUBSTITUTE(TRIM(C74),".",""),"/",""),"-","")," ","")))&lt;14,RIGHT(REPT("0",14)&amp;UPPER(SUBSTITUTE(SUBSTITUTE(SUBSTITUTE(SUBSTITUTE(TRIM(C74),".",""),"/",""),"-","")," ","")),14),UPPER(SUBSTITUTE(SUBSTITUTE(SUBSTITUTE(SUBSTITUTE(TRIM(C74),".",""),"/",""),"-","")," ",""))))</f>
        <v/>
      </c>
      <c r="E74" s="25" t="str">
        <f aca="false">IF(D74="","",IFERROR(INDEX(Empresas!$C:$C,MATCH(D74,Empresas!$B:$B,0)),"cadastre o CNPJ em Empresas"))</f>
        <v/>
      </c>
      <c r="F74" s="11"/>
      <c r="G74" s="23"/>
      <c r="H74" s="22"/>
      <c r="I74" s="35"/>
      <c r="J74" s="35"/>
      <c r="K74" s="36" t="str">
        <f aca="false">IF(I74="","",I74+J74)</f>
        <v/>
      </c>
      <c r="L74" s="37" t="str">
        <f aca="false">IF(OR(I74="",I74=0,J74=""),"",J74/I74)</f>
        <v/>
      </c>
      <c r="M74" s="25" t="str">
        <f aca="false">IF(L74="","",IF(L74&gt;0.25,"ACRÉSCIMO ACIMA DE 25% — conferir",""))</f>
        <v/>
      </c>
      <c r="N74" s="29" t="str">
        <f aca="false">IF(D74="","",IF(COUNTIFS(Empresas!$B:$B,D74,Empresas!$E:$E,"&lt;&gt;")=0,"",INDEX(Empresas!$E:$E,MATCH(D74,Empresas!$B:$B,0))))</f>
        <v/>
      </c>
      <c r="O74" s="27" t="str">
        <f aca="false">IF(OR(N74="",H74=""),"",H74-N74)</f>
        <v/>
      </c>
      <c r="P74" s="25" t="str">
        <f aca="false">IF(O74="","",IF(O74&lt;0,"CONTRATO ANTERIOR À ABERTURA — conferir datas",IF(O74&lt;180,"EMPRESA ABERTA MENOS DE 6 MESES ANTES","")))</f>
        <v/>
      </c>
      <c r="Q74" s="31" t="str">
        <f aca="false">IF(D74="","",IFERROR(INDEX(Sancoes!$D:$D,MATCH(D74,Sancoes!$C:$C,0)),"não consta"))</f>
        <v/>
      </c>
      <c r="R74" s="25" t="str">
        <f aca="false">IF(OR(D74="",H74=""),"",IF(SUMPRODUCT((Sancoes!$C$5:$C$304=D74)*(Sancoes!$G$5:$G$304&lt;=H74)*(((Sancoes!$H$5:$H$304="")+(Sancoes!$H$5:$H$304&gt;=H74))&gt;0))&gt;0,"SANÇÃO VIGENTE NA DATA — ler tipo e abrangência",""))</f>
        <v/>
      </c>
      <c r="S74" s="24"/>
      <c r="T74" s="11"/>
    </row>
    <row r="75" customFormat="false" ht="15" hidden="false" customHeight="false" outlineLevel="0" collapsed="false">
      <c r="A75" s="11"/>
      <c r="B75" s="24"/>
      <c r="C75" s="24"/>
      <c r="D75" s="31" t="str">
        <f aca="false">IF(C75="","",IF(LEN(UPPER(SUBSTITUTE(SUBSTITUTE(SUBSTITUTE(SUBSTITUTE(TRIM(C75),".",""),"/",""),"-","")," ","")))&lt;14,RIGHT(REPT("0",14)&amp;UPPER(SUBSTITUTE(SUBSTITUTE(SUBSTITUTE(SUBSTITUTE(TRIM(C75),".",""),"/",""),"-","")," ","")),14),UPPER(SUBSTITUTE(SUBSTITUTE(SUBSTITUTE(SUBSTITUTE(TRIM(C75),".",""),"/",""),"-","")," ",""))))</f>
        <v/>
      </c>
      <c r="E75" s="25" t="str">
        <f aca="false">IF(D75="","",IFERROR(INDEX(Empresas!$C:$C,MATCH(D75,Empresas!$B:$B,0)),"cadastre o CNPJ em Empresas"))</f>
        <v/>
      </c>
      <c r="F75" s="11"/>
      <c r="G75" s="23"/>
      <c r="H75" s="22"/>
      <c r="I75" s="35"/>
      <c r="J75" s="35"/>
      <c r="K75" s="36" t="str">
        <f aca="false">IF(I75="","",I75+J75)</f>
        <v/>
      </c>
      <c r="L75" s="37" t="str">
        <f aca="false">IF(OR(I75="",I75=0,J75=""),"",J75/I75)</f>
        <v/>
      </c>
      <c r="M75" s="25" t="str">
        <f aca="false">IF(L75="","",IF(L75&gt;0.25,"ACRÉSCIMO ACIMA DE 25% — conferir",""))</f>
        <v/>
      </c>
      <c r="N75" s="29" t="str">
        <f aca="false">IF(D75="","",IF(COUNTIFS(Empresas!$B:$B,D75,Empresas!$E:$E,"&lt;&gt;")=0,"",INDEX(Empresas!$E:$E,MATCH(D75,Empresas!$B:$B,0))))</f>
        <v/>
      </c>
      <c r="O75" s="27" t="str">
        <f aca="false">IF(OR(N75="",H75=""),"",H75-N75)</f>
        <v/>
      </c>
      <c r="P75" s="25" t="str">
        <f aca="false">IF(O75="","",IF(O75&lt;0,"CONTRATO ANTERIOR À ABERTURA — conferir datas",IF(O75&lt;180,"EMPRESA ABERTA MENOS DE 6 MESES ANTES","")))</f>
        <v/>
      </c>
      <c r="Q75" s="31" t="str">
        <f aca="false">IF(D75="","",IFERROR(INDEX(Sancoes!$D:$D,MATCH(D75,Sancoes!$C:$C,0)),"não consta"))</f>
        <v/>
      </c>
      <c r="R75" s="25" t="str">
        <f aca="false">IF(OR(D75="",H75=""),"",IF(SUMPRODUCT((Sancoes!$C$5:$C$304=D75)*(Sancoes!$G$5:$G$304&lt;=H75)*(((Sancoes!$H$5:$H$304="")+(Sancoes!$H$5:$H$304&gt;=H75))&gt;0))&gt;0,"SANÇÃO VIGENTE NA DATA — ler tipo e abrangência",""))</f>
        <v/>
      </c>
      <c r="S75" s="24"/>
      <c r="T75" s="11"/>
    </row>
    <row r="76" customFormat="false" ht="15" hidden="false" customHeight="false" outlineLevel="0" collapsed="false">
      <c r="A76" s="11"/>
      <c r="B76" s="24"/>
      <c r="C76" s="24"/>
      <c r="D76" s="31" t="str">
        <f aca="false">IF(C76="","",IF(LEN(UPPER(SUBSTITUTE(SUBSTITUTE(SUBSTITUTE(SUBSTITUTE(TRIM(C76),".",""),"/",""),"-","")," ","")))&lt;14,RIGHT(REPT("0",14)&amp;UPPER(SUBSTITUTE(SUBSTITUTE(SUBSTITUTE(SUBSTITUTE(TRIM(C76),".",""),"/",""),"-","")," ","")),14),UPPER(SUBSTITUTE(SUBSTITUTE(SUBSTITUTE(SUBSTITUTE(TRIM(C76),".",""),"/",""),"-","")," ",""))))</f>
        <v/>
      </c>
      <c r="E76" s="25" t="str">
        <f aca="false">IF(D76="","",IFERROR(INDEX(Empresas!$C:$C,MATCH(D76,Empresas!$B:$B,0)),"cadastre o CNPJ em Empresas"))</f>
        <v/>
      </c>
      <c r="F76" s="11"/>
      <c r="G76" s="23"/>
      <c r="H76" s="22"/>
      <c r="I76" s="35"/>
      <c r="J76" s="35"/>
      <c r="K76" s="36" t="str">
        <f aca="false">IF(I76="","",I76+J76)</f>
        <v/>
      </c>
      <c r="L76" s="37" t="str">
        <f aca="false">IF(OR(I76="",I76=0,J76=""),"",J76/I76)</f>
        <v/>
      </c>
      <c r="M76" s="25" t="str">
        <f aca="false">IF(L76="","",IF(L76&gt;0.25,"ACRÉSCIMO ACIMA DE 25% — conferir",""))</f>
        <v/>
      </c>
      <c r="N76" s="29" t="str">
        <f aca="false">IF(D76="","",IF(COUNTIFS(Empresas!$B:$B,D76,Empresas!$E:$E,"&lt;&gt;")=0,"",INDEX(Empresas!$E:$E,MATCH(D76,Empresas!$B:$B,0))))</f>
        <v/>
      </c>
      <c r="O76" s="27" t="str">
        <f aca="false">IF(OR(N76="",H76=""),"",H76-N76)</f>
        <v/>
      </c>
      <c r="P76" s="25" t="str">
        <f aca="false">IF(O76="","",IF(O76&lt;0,"CONTRATO ANTERIOR À ABERTURA — conferir datas",IF(O76&lt;180,"EMPRESA ABERTA MENOS DE 6 MESES ANTES","")))</f>
        <v/>
      </c>
      <c r="Q76" s="31" t="str">
        <f aca="false">IF(D76="","",IFERROR(INDEX(Sancoes!$D:$D,MATCH(D76,Sancoes!$C:$C,0)),"não consta"))</f>
        <v/>
      </c>
      <c r="R76" s="25" t="str">
        <f aca="false">IF(OR(D76="",H76=""),"",IF(SUMPRODUCT((Sancoes!$C$5:$C$304=D76)*(Sancoes!$G$5:$G$304&lt;=H76)*(((Sancoes!$H$5:$H$304="")+(Sancoes!$H$5:$H$304&gt;=H76))&gt;0))&gt;0,"SANÇÃO VIGENTE NA DATA — ler tipo e abrangência",""))</f>
        <v/>
      </c>
      <c r="S76" s="24"/>
      <c r="T76" s="11"/>
    </row>
    <row r="77" customFormat="false" ht="15" hidden="false" customHeight="false" outlineLevel="0" collapsed="false">
      <c r="A77" s="11"/>
      <c r="B77" s="24"/>
      <c r="C77" s="24"/>
      <c r="D77" s="31" t="str">
        <f aca="false">IF(C77="","",IF(LEN(UPPER(SUBSTITUTE(SUBSTITUTE(SUBSTITUTE(SUBSTITUTE(TRIM(C77),".",""),"/",""),"-","")," ","")))&lt;14,RIGHT(REPT("0",14)&amp;UPPER(SUBSTITUTE(SUBSTITUTE(SUBSTITUTE(SUBSTITUTE(TRIM(C77),".",""),"/",""),"-","")," ","")),14),UPPER(SUBSTITUTE(SUBSTITUTE(SUBSTITUTE(SUBSTITUTE(TRIM(C77),".",""),"/",""),"-","")," ",""))))</f>
        <v/>
      </c>
      <c r="E77" s="25" t="str">
        <f aca="false">IF(D77="","",IFERROR(INDEX(Empresas!$C:$C,MATCH(D77,Empresas!$B:$B,0)),"cadastre o CNPJ em Empresas"))</f>
        <v/>
      </c>
      <c r="F77" s="11"/>
      <c r="G77" s="23"/>
      <c r="H77" s="22"/>
      <c r="I77" s="35"/>
      <c r="J77" s="35"/>
      <c r="K77" s="36" t="str">
        <f aca="false">IF(I77="","",I77+J77)</f>
        <v/>
      </c>
      <c r="L77" s="37" t="str">
        <f aca="false">IF(OR(I77="",I77=0,J77=""),"",J77/I77)</f>
        <v/>
      </c>
      <c r="M77" s="25" t="str">
        <f aca="false">IF(L77="","",IF(L77&gt;0.25,"ACRÉSCIMO ACIMA DE 25% — conferir",""))</f>
        <v/>
      </c>
      <c r="N77" s="29" t="str">
        <f aca="false">IF(D77="","",IF(COUNTIFS(Empresas!$B:$B,D77,Empresas!$E:$E,"&lt;&gt;")=0,"",INDEX(Empresas!$E:$E,MATCH(D77,Empresas!$B:$B,0))))</f>
        <v/>
      </c>
      <c r="O77" s="27" t="str">
        <f aca="false">IF(OR(N77="",H77=""),"",H77-N77)</f>
        <v/>
      </c>
      <c r="P77" s="25" t="str">
        <f aca="false">IF(O77="","",IF(O77&lt;0,"CONTRATO ANTERIOR À ABERTURA — conferir datas",IF(O77&lt;180,"EMPRESA ABERTA MENOS DE 6 MESES ANTES","")))</f>
        <v/>
      </c>
      <c r="Q77" s="31" t="str">
        <f aca="false">IF(D77="","",IFERROR(INDEX(Sancoes!$D:$D,MATCH(D77,Sancoes!$C:$C,0)),"não consta"))</f>
        <v/>
      </c>
      <c r="R77" s="25" t="str">
        <f aca="false">IF(OR(D77="",H77=""),"",IF(SUMPRODUCT((Sancoes!$C$5:$C$304=D77)*(Sancoes!$G$5:$G$304&lt;=H77)*(((Sancoes!$H$5:$H$304="")+(Sancoes!$H$5:$H$304&gt;=H77))&gt;0))&gt;0,"SANÇÃO VIGENTE NA DATA — ler tipo e abrangência",""))</f>
        <v/>
      </c>
      <c r="S77" s="24"/>
      <c r="T77" s="11"/>
    </row>
    <row r="78" customFormat="false" ht="15" hidden="false" customHeight="false" outlineLevel="0" collapsed="false">
      <c r="A78" s="11"/>
      <c r="B78" s="24"/>
      <c r="C78" s="24"/>
      <c r="D78" s="31" t="str">
        <f aca="false">IF(C78="","",IF(LEN(UPPER(SUBSTITUTE(SUBSTITUTE(SUBSTITUTE(SUBSTITUTE(TRIM(C78),".",""),"/",""),"-","")," ","")))&lt;14,RIGHT(REPT("0",14)&amp;UPPER(SUBSTITUTE(SUBSTITUTE(SUBSTITUTE(SUBSTITUTE(TRIM(C78),".",""),"/",""),"-","")," ","")),14),UPPER(SUBSTITUTE(SUBSTITUTE(SUBSTITUTE(SUBSTITUTE(TRIM(C78),".",""),"/",""),"-","")," ",""))))</f>
        <v/>
      </c>
      <c r="E78" s="25" t="str">
        <f aca="false">IF(D78="","",IFERROR(INDEX(Empresas!$C:$C,MATCH(D78,Empresas!$B:$B,0)),"cadastre o CNPJ em Empresas"))</f>
        <v/>
      </c>
      <c r="F78" s="11"/>
      <c r="G78" s="23"/>
      <c r="H78" s="22"/>
      <c r="I78" s="35"/>
      <c r="J78" s="35"/>
      <c r="K78" s="36" t="str">
        <f aca="false">IF(I78="","",I78+J78)</f>
        <v/>
      </c>
      <c r="L78" s="37" t="str">
        <f aca="false">IF(OR(I78="",I78=0,J78=""),"",J78/I78)</f>
        <v/>
      </c>
      <c r="M78" s="25" t="str">
        <f aca="false">IF(L78="","",IF(L78&gt;0.25,"ACRÉSCIMO ACIMA DE 25% — conferir",""))</f>
        <v/>
      </c>
      <c r="N78" s="29" t="str">
        <f aca="false">IF(D78="","",IF(COUNTIFS(Empresas!$B:$B,D78,Empresas!$E:$E,"&lt;&gt;")=0,"",INDEX(Empresas!$E:$E,MATCH(D78,Empresas!$B:$B,0))))</f>
        <v/>
      </c>
      <c r="O78" s="27" t="str">
        <f aca="false">IF(OR(N78="",H78=""),"",H78-N78)</f>
        <v/>
      </c>
      <c r="P78" s="25" t="str">
        <f aca="false">IF(O78="","",IF(O78&lt;0,"CONTRATO ANTERIOR À ABERTURA — conferir datas",IF(O78&lt;180,"EMPRESA ABERTA MENOS DE 6 MESES ANTES","")))</f>
        <v/>
      </c>
      <c r="Q78" s="31" t="str">
        <f aca="false">IF(D78="","",IFERROR(INDEX(Sancoes!$D:$D,MATCH(D78,Sancoes!$C:$C,0)),"não consta"))</f>
        <v/>
      </c>
      <c r="R78" s="25" t="str">
        <f aca="false">IF(OR(D78="",H78=""),"",IF(SUMPRODUCT((Sancoes!$C$5:$C$304=D78)*(Sancoes!$G$5:$G$304&lt;=H78)*(((Sancoes!$H$5:$H$304="")+(Sancoes!$H$5:$H$304&gt;=H78))&gt;0))&gt;0,"SANÇÃO VIGENTE NA DATA — ler tipo e abrangência",""))</f>
        <v/>
      </c>
      <c r="S78" s="24"/>
      <c r="T78" s="11"/>
    </row>
    <row r="79" customFormat="false" ht="15" hidden="false" customHeight="false" outlineLevel="0" collapsed="false">
      <c r="A79" s="11"/>
      <c r="B79" s="24"/>
      <c r="C79" s="24"/>
      <c r="D79" s="31" t="str">
        <f aca="false">IF(C79="","",IF(LEN(UPPER(SUBSTITUTE(SUBSTITUTE(SUBSTITUTE(SUBSTITUTE(TRIM(C79),".",""),"/",""),"-","")," ","")))&lt;14,RIGHT(REPT("0",14)&amp;UPPER(SUBSTITUTE(SUBSTITUTE(SUBSTITUTE(SUBSTITUTE(TRIM(C79),".",""),"/",""),"-","")," ","")),14),UPPER(SUBSTITUTE(SUBSTITUTE(SUBSTITUTE(SUBSTITUTE(TRIM(C79),".",""),"/",""),"-","")," ",""))))</f>
        <v/>
      </c>
      <c r="E79" s="25" t="str">
        <f aca="false">IF(D79="","",IFERROR(INDEX(Empresas!$C:$C,MATCH(D79,Empresas!$B:$B,0)),"cadastre o CNPJ em Empresas"))</f>
        <v/>
      </c>
      <c r="F79" s="11"/>
      <c r="G79" s="23"/>
      <c r="H79" s="22"/>
      <c r="I79" s="35"/>
      <c r="J79" s="35"/>
      <c r="K79" s="36" t="str">
        <f aca="false">IF(I79="","",I79+J79)</f>
        <v/>
      </c>
      <c r="L79" s="37" t="str">
        <f aca="false">IF(OR(I79="",I79=0,J79=""),"",J79/I79)</f>
        <v/>
      </c>
      <c r="M79" s="25" t="str">
        <f aca="false">IF(L79="","",IF(L79&gt;0.25,"ACRÉSCIMO ACIMA DE 25% — conferir",""))</f>
        <v/>
      </c>
      <c r="N79" s="29" t="str">
        <f aca="false">IF(D79="","",IF(COUNTIFS(Empresas!$B:$B,D79,Empresas!$E:$E,"&lt;&gt;")=0,"",INDEX(Empresas!$E:$E,MATCH(D79,Empresas!$B:$B,0))))</f>
        <v/>
      </c>
      <c r="O79" s="27" t="str">
        <f aca="false">IF(OR(N79="",H79=""),"",H79-N79)</f>
        <v/>
      </c>
      <c r="P79" s="25" t="str">
        <f aca="false">IF(O79="","",IF(O79&lt;0,"CONTRATO ANTERIOR À ABERTURA — conferir datas",IF(O79&lt;180,"EMPRESA ABERTA MENOS DE 6 MESES ANTES","")))</f>
        <v/>
      </c>
      <c r="Q79" s="31" t="str">
        <f aca="false">IF(D79="","",IFERROR(INDEX(Sancoes!$D:$D,MATCH(D79,Sancoes!$C:$C,0)),"não consta"))</f>
        <v/>
      </c>
      <c r="R79" s="25" t="str">
        <f aca="false">IF(OR(D79="",H79=""),"",IF(SUMPRODUCT((Sancoes!$C$5:$C$304=D79)*(Sancoes!$G$5:$G$304&lt;=H79)*(((Sancoes!$H$5:$H$304="")+(Sancoes!$H$5:$H$304&gt;=H79))&gt;0))&gt;0,"SANÇÃO VIGENTE NA DATA — ler tipo e abrangência",""))</f>
        <v/>
      </c>
      <c r="S79" s="24"/>
      <c r="T79" s="11"/>
    </row>
    <row r="80" customFormat="false" ht="15" hidden="false" customHeight="false" outlineLevel="0" collapsed="false">
      <c r="A80" s="11"/>
      <c r="B80" s="24"/>
      <c r="C80" s="24"/>
      <c r="D80" s="31" t="str">
        <f aca="false">IF(C80="","",IF(LEN(UPPER(SUBSTITUTE(SUBSTITUTE(SUBSTITUTE(SUBSTITUTE(TRIM(C80),".",""),"/",""),"-","")," ","")))&lt;14,RIGHT(REPT("0",14)&amp;UPPER(SUBSTITUTE(SUBSTITUTE(SUBSTITUTE(SUBSTITUTE(TRIM(C80),".",""),"/",""),"-","")," ","")),14),UPPER(SUBSTITUTE(SUBSTITUTE(SUBSTITUTE(SUBSTITUTE(TRIM(C80),".",""),"/",""),"-","")," ",""))))</f>
        <v/>
      </c>
      <c r="E80" s="25" t="str">
        <f aca="false">IF(D80="","",IFERROR(INDEX(Empresas!$C:$C,MATCH(D80,Empresas!$B:$B,0)),"cadastre o CNPJ em Empresas"))</f>
        <v/>
      </c>
      <c r="F80" s="11"/>
      <c r="G80" s="23"/>
      <c r="H80" s="22"/>
      <c r="I80" s="35"/>
      <c r="J80" s="35"/>
      <c r="K80" s="36" t="str">
        <f aca="false">IF(I80="","",I80+J80)</f>
        <v/>
      </c>
      <c r="L80" s="37" t="str">
        <f aca="false">IF(OR(I80="",I80=0,J80=""),"",J80/I80)</f>
        <v/>
      </c>
      <c r="M80" s="25" t="str">
        <f aca="false">IF(L80="","",IF(L80&gt;0.25,"ACRÉSCIMO ACIMA DE 25% — conferir",""))</f>
        <v/>
      </c>
      <c r="N80" s="29" t="str">
        <f aca="false">IF(D80="","",IF(COUNTIFS(Empresas!$B:$B,D80,Empresas!$E:$E,"&lt;&gt;")=0,"",INDEX(Empresas!$E:$E,MATCH(D80,Empresas!$B:$B,0))))</f>
        <v/>
      </c>
      <c r="O80" s="27" t="str">
        <f aca="false">IF(OR(N80="",H80=""),"",H80-N80)</f>
        <v/>
      </c>
      <c r="P80" s="25" t="str">
        <f aca="false">IF(O80="","",IF(O80&lt;0,"CONTRATO ANTERIOR À ABERTURA — conferir datas",IF(O80&lt;180,"EMPRESA ABERTA MENOS DE 6 MESES ANTES","")))</f>
        <v/>
      </c>
      <c r="Q80" s="31" t="str">
        <f aca="false">IF(D80="","",IFERROR(INDEX(Sancoes!$D:$D,MATCH(D80,Sancoes!$C:$C,0)),"não consta"))</f>
        <v/>
      </c>
      <c r="R80" s="25" t="str">
        <f aca="false">IF(OR(D80="",H80=""),"",IF(SUMPRODUCT((Sancoes!$C$5:$C$304=D80)*(Sancoes!$G$5:$G$304&lt;=H80)*(((Sancoes!$H$5:$H$304="")+(Sancoes!$H$5:$H$304&gt;=H80))&gt;0))&gt;0,"SANÇÃO VIGENTE NA DATA — ler tipo e abrangência",""))</f>
        <v/>
      </c>
      <c r="S80" s="24"/>
      <c r="T80" s="11"/>
    </row>
    <row r="81" customFormat="false" ht="15" hidden="false" customHeight="false" outlineLevel="0" collapsed="false">
      <c r="A81" s="11"/>
      <c r="B81" s="24"/>
      <c r="C81" s="24"/>
      <c r="D81" s="31" t="str">
        <f aca="false">IF(C81="","",IF(LEN(UPPER(SUBSTITUTE(SUBSTITUTE(SUBSTITUTE(SUBSTITUTE(TRIM(C81),".",""),"/",""),"-","")," ","")))&lt;14,RIGHT(REPT("0",14)&amp;UPPER(SUBSTITUTE(SUBSTITUTE(SUBSTITUTE(SUBSTITUTE(TRIM(C81),".",""),"/",""),"-","")," ","")),14),UPPER(SUBSTITUTE(SUBSTITUTE(SUBSTITUTE(SUBSTITUTE(TRIM(C81),".",""),"/",""),"-","")," ",""))))</f>
        <v/>
      </c>
      <c r="E81" s="25" t="str">
        <f aca="false">IF(D81="","",IFERROR(INDEX(Empresas!$C:$C,MATCH(D81,Empresas!$B:$B,0)),"cadastre o CNPJ em Empresas"))</f>
        <v/>
      </c>
      <c r="F81" s="11"/>
      <c r="G81" s="23"/>
      <c r="H81" s="22"/>
      <c r="I81" s="35"/>
      <c r="J81" s="35"/>
      <c r="K81" s="36" t="str">
        <f aca="false">IF(I81="","",I81+J81)</f>
        <v/>
      </c>
      <c r="L81" s="37" t="str">
        <f aca="false">IF(OR(I81="",I81=0,J81=""),"",J81/I81)</f>
        <v/>
      </c>
      <c r="M81" s="25" t="str">
        <f aca="false">IF(L81="","",IF(L81&gt;0.25,"ACRÉSCIMO ACIMA DE 25% — conferir",""))</f>
        <v/>
      </c>
      <c r="N81" s="29" t="str">
        <f aca="false">IF(D81="","",IF(COUNTIFS(Empresas!$B:$B,D81,Empresas!$E:$E,"&lt;&gt;")=0,"",INDEX(Empresas!$E:$E,MATCH(D81,Empresas!$B:$B,0))))</f>
        <v/>
      </c>
      <c r="O81" s="27" t="str">
        <f aca="false">IF(OR(N81="",H81=""),"",H81-N81)</f>
        <v/>
      </c>
      <c r="P81" s="25" t="str">
        <f aca="false">IF(O81="","",IF(O81&lt;0,"CONTRATO ANTERIOR À ABERTURA — conferir datas",IF(O81&lt;180,"EMPRESA ABERTA MENOS DE 6 MESES ANTES","")))</f>
        <v/>
      </c>
      <c r="Q81" s="31" t="str">
        <f aca="false">IF(D81="","",IFERROR(INDEX(Sancoes!$D:$D,MATCH(D81,Sancoes!$C:$C,0)),"não consta"))</f>
        <v/>
      </c>
      <c r="R81" s="25" t="str">
        <f aca="false">IF(OR(D81="",H81=""),"",IF(SUMPRODUCT((Sancoes!$C$5:$C$304=D81)*(Sancoes!$G$5:$G$304&lt;=H81)*(((Sancoes!$H$5:$H$304="")+(Sancoes!$H$5:$H$304&gt;=H81))&gt;0))&gt;0,"SANÇÃO VIGENTE NA DATA — ler tipo e abrangência",""))</f>
        <v/>
      </c>
      <c r="S81" s="24"/>
      <c r="T81" s="11"/>
    </row>
    <row r="82" customFormat="false" ht="15" hidden="false" customHeight="false" outlineLevel="0" collapsed="false">
      <c r="A82" s="11"/>
      <c r="B82" s="24"/>
      <c r="C82" s="24"/>
      <c r="D82" s="31" t="str">
        <f aca="false">IF(C82="","",IF(LEN(UPPER(SUBSTITUTE(SUBSTITUTE(SUBSTITUTE(SUBSTITUTE(TRIM(C82),".",""),"/",""),"-","")," ","")))&lt;14,RIGHT(REPT("0",14)&amp;UPPER(SUBSTITUTE(SUBSTITUTE(SUBSTITUTE(SUBSTITUTE(TRIM(C82),".",""),"/",""),"-","")," ","")),14),UPPER(SUBSTITUTE(SUBSTITUTE(SUBSTITUTE(SUBSTITUTE(TRIM(C82),".",""),"/",""),"-","")," ",""))))</f>
        <v/>
      </c>
      <c r="E82" s="25" t="str">
        <f aca="false">IF(D82="","",IFERROR(INDEX(Empresas!$C:$C,MATCH(D82,Empresas!$B:$B,0)),"cadastre o CNPJ em Empresas"))</f>
        <v/>
      </c>
      <c r="F82" s="11"/>
      <c r="G82" s="23"/>
      <c r="H82" s="22"/>
      <c r="I82" s="35"/>
      <c r="J82" s="35"/>
      <c r="K82" s="36" t="str">
        <f aca="false">IF(I82="","",I82+J82)</f>
        <v/>
      </c>
      <c r="L82" s="37" t="str">
        <f aca="false">IF(OR(I82="",I82=0,J82=""),"",J82/I82)</f>
        <v/>
      </c>
      <c r="M82" s="25" t="str">
        <f aca="false">IF(L82="","",IF(L82&gt;0.25,"ACRÉSCIMO ACIMA DE 25% — conferir",""))</f>
        <v/>
      </c>
      <c r="N82" s="29" t="str">
        <f aca="false">IF(D82="","",IF(COUNTIFS(Empresas!$B:$B,D82,Empresas!$E:$E,"&lt;&gt;")=0,"",INDEX(Empresas!$E:$E,MATCH(D82,Empresas!$B:$B,0))))</f>
        <v/>
      </c>
      <c r="O82" s="27" t="str">
        <f aca="false">IF(OR(N82="",H82=""),"",H82-N82)</f>
        <v/>
      </c>
      <c r="P82" s="25" t="str">
        <f aca="false">IF(O82="","",IF(O82&lt;0,"CONTRATO ANTERIOR À ABERTURA — conferir datas",IF(O82&lt;180,"EMPRESA ABERTA MENOS DE 6 MESES ANTES","")))</f>
        <v/>
      </c>
      <c r="Q82" s="31" t="str">
        <f aca="false">IF(D82="","",IFERROR(INDEX(Sancoes!$D:$D,MATCH(D82,Sancoes!$C:$C,0)),"não consta"))</f>
        <v/>
      </c>
      <c r="R82" s="25" t="str">
        <f aca="false">IF(OR(D82="",H82=""),"",IF(SUMPRODUCT((Sancoes!$C$5:$C$304=D82)*(Sancoes!$G$5:$G$304&lt;=H82)*(((Sancoes!$H$5:$H$304="")+(Sancoes!$H$5:$H$304&gt;=H82))&gt;0))&gt;0,"SANÇÃO VIGENTE NA DATA — ler tipo e abrangência",""))</f>
        <v/>
      </c>
      <c r="S82" s="24"/>
      <c r="T82" s="11"/>
    </row>
    <row r="83" customFormat="false" ht="15" hidden="false" customHeight="false" outlineLevel="0" collapsed="false">
      <c r="A83" s="11"/>
      <c r="B83" s="24"/>
      <c r="C83" s="24"/>
      <c r="D83" s="31" t="str">
        <f aca="false">IF(C83="","",IF(LEN(UPPER(SUBSTITUTE(SUBSTITUTE(SUBSTITUTE(SUBSTITUTE(TRIM(C83),".",""),"/",""),"-","")," ","")))&lt;14,RIGHT(REPT("0",14)&amp;UPPER(SUBSTITUTE(SUBSTITUTE(SUBSTITUTE(SUBSTITUTE(TRIM(C83),".",""),"/",""),"-","")," ","")),14),UPPER(SUBSTITUTE(SUBSTITUTE(SUBSTITUTE(SUBSTITUTE(TRIM(C83),".",""),"/",""),"-","")," ",""))))</f>
        <v/>
      </c>
      <c r="E83" s="25" t="str">
        <f aca="false">IF(D83="","",IFERROR(INDEX(Empresas!$C:$C,MATCH(D83,Empresas!$B:$B,0)),"cadastre o CNPJ em Empresas"))</f>
        <v/>
      </c>
      <c r="F83" s="11"/>
      <c r="G83" s="23"/>
      <c r="H83" s="22"/>
      <c r="I83" s="35"/>
      <c r="J83" s="35"/>
      <c r="K83" s="36" t="str">
        <f aca="false">IF(I83="","",I83+J83)</f>
        <v/>
      </c>
      <c r="L83" s="37" t="str">
        <f aca="false">IF(OR(I83="",I83=0,J83=""),"",J83/I83)</f>
        <v/>
      </c>
      <c r="M83" s="25" t="str">
        <f aca="false">IF(L83="","",IF(L83&gt;0.25,"ACRÉSCIMO ACIMA DE 25% — conferir",""))</f>
        <v/>
      </c>
      <c r="N83" s="29" t="str">
        <f aca="false">IF(D83="","",IF(COUNTIFS(Empresas!$B:$B,D83,Empresas!$E:$E,"&lt;&gt;")=0,"",INDEX(Empresas!$E:$E,MATCH(D83,Empresas!$B:$B,0))))</f>
        <v/>
      </c>
      <c r="O83" s="27" t="str">
        <f aca="false">IF(OR(N83="",H83=""),"",H83-N83)</f>
        <v/>
      </c>
      <c r="P83" s="25" t="str">
        <f aca="false">IF(O83="","",IF(O83&lt;0,"CONTRATO ANTERIOR À ABERTURA — conferir datas",IF(O83&lt;180,"EMPRESA ABERTA MENOS DE 6 MESES ANTES","")))</f>
        <v/>
      </c>
      <c r="Q83" s="31" t="str">
        <f aca="false">IF(D83="","",IFERROR(INDEX(Sancoes!$D:$D,MATCH(D83,Sancoes!$C:$C,0)),"não consta"))</f>
        <v/>
      </c>
      <c r="R83" s="25" t="str">
        <f aca="false">IF(OR(D83="",H83=""),"",IF(SUMPRODUCT((Sancoes!$C$5:$C$304=D83)*(Sancoes!$G$5:$G$304&lt;=H83)*(((Sancoes!$H$5:$H$304="")+(Sancoes!$H$5:$H$304&gt;=H83))&gt;0))&gt;0,"SANÇÃO VIGENTE NA DATA — ler tipo e abrangência",""))</f>
        <v/>
      </c>
      <c r="S83" s="24"/>
      <c r="T83" s="11"/>
    </row>
    <row r="84" customFormat="false" ht="15" hidden="false" customHeight="false" outlineLevel="0" collapsed="false">
      <c r="A84" s="11"/>
      <c r="B84" s="24"/>
      <c r="C84" s="24"/>
      <c r="D84" s="31" t="str">
        <f aca="false">IF(C84="","",IF(LEN(UPPER(SUBSTITUTE(SUBSTITUTE(SUBSTITUTE(SUBSTITUTE(TRIM(C84),".",""),"/",""),"-","")," ","")))&lt;14,RIGHT(REPT("0",14)&amp;UPPER(SUBSTITUTE(SUBSTITUTE(SUBSTITUTE(SUBSTITUTE(TRIM(C84),".",""),"/",""),"-","")," ","")),14),UPPER(SUBSTITUTE(SUBSTITUTE(SUBSTITUTE(SUBSTITUTE(TRIM(C84),".",""),"/",""),"-","")," ",""))))</f>
        <v/>
      </c>
      <c r="E84" s="25" t="str">
        <f aca="false">IF(D84="","",IFERROR(INDEX(Empresas!$C:$C,MATCH(D84,Empresas!$B:$B,0)),"cadastre o CNPJ em Empresas"))</f>
        <v/>
      </c>
      <c r="F84" s="11"/>
      <c r="G84" s="23"/>
      <c r="H84" s="22"/>
      <c r="I84" s="35"/>
      <c r="J84" s="35"/>
      <c r="K84" s="36" t="str">
        <f aca="false">IF(I84="","",I84+J84)</f>
        <v/>
      </c>
      <c r="L84" s="37" t="str">
        <f aca="false">IF(OR(I84="",I84=0,J84=""),"",J84/I84)</f>
        <v/>
      </c>
      <c r="M84" s="25" t="str">
        <f aca="false">IF(L84="","",IF(L84&gt;0.25,"ACRÉSCIMO ACIMA DE 25% — conferir",""))</f>
        <v/>
      </c>
      <c r="N84" s="29" t="str">
        <f aca="false">IF(D84="","",IF(COUNTIFS(Empresas!$B:$B,D84,Empresas!$E:$E,"&lt;&gt;")=0,"",INDEX(Empresas!$E:$E,MATCH(D84,Empresas!$B:$B,0))))</f>
        <v/>
      </c>
      <c r="O84" s="27" t="str">
        <f aca="false">IF(OR(N84="",H84=""),"",H84-N84)</f>
        <v/>
      </c>
      <c r="P84" s="25" t="str">
        <f aca="false">IF(O84="","",IF(O84&lt;0,"CONTRATO ANTERIOR À ABERTURA — conferir datas",IF(O84&lt;180,"EMPRESA ABERTA MENOS DE 6 MESES ANTES","")))</f>
        <v/>
      </c>
      <c r="Q84" s="31" t="str">
        <f aca="false">IF(D84="","",IFERROR(INDEX(Sancoes!$D:$D,MATCH(D84,Sancoes!$C:$C,0)),"não consta"))</f>
        <v/>
      </c>
      <c r="R84" s="25" t="str">
        <f aca="false">IF(OR(D84="",H84=""),"",IF(SUMPRODUCT((Sancoes!$C$5:$C$304=D84)*(Sancoes!$G$5:$G$304&lt;=H84)*(((Sancoes!$H$5:$H$304="")+(Sancoes!$H$5:$H$304&gt;=H84))&gt;0))&gt;0,"SANÇÃO VIGENTE NA DATA — ler tipo e abrangência",""))</f>
        <v/>
      </c>
      <c r="S84" s="24"/>
      <c r="T84" s="11"/>
    </row>
    <row r="85" customFormat="false" ht="15" hidden="false" customHeight="false" outlineLevel="0" collapsed="false">
      <c r="A85" s="11"/>
      <c r="B85" s="24"/>
      <c r="C85" s="24"/>
      <c r="D85" s="31" t="str">
        <f aca="false">IF(C85="","",IF(LEN(UPPER(SUBSTITUTE(SUBSTITUTE(SUBSTITUTE(SUBSTITUTE(TRIM(C85),".",""),"/",""),"-","")," ","")))&lt;14,RIGHT(REPT("0",14)&amp;UPPER(SUBSTITUTE(SUBSTITUTE(SUBSTITUTE(SUBSTITUTE(TRIM(C85),".",""),"/",""),"-","")," ","")),14),UPPER(SUBSTITUTE(SUBSTITUTE(SUBSTITUTE(SUBSTITUTE(TRIM(C85),".",""),"/",""),"-","")," ",""))))</f>
        <v/>
      </c>
      <c r="E85" s="25" t="str">
        <f aca="false">IF(D85="","",IFERROR(INDEX(Empresas!$C:$C,MATCH(D85,Empresas!$B:$B,0)),"cadastre o CNPJ em Empresas"))</f>
        <v/>
      </c>
      <c r="F85" s="11"/>
      <c r="G85" s="23"/>
      <c r="H85" s="22"/>
      <c r="I85" s="35"/>
      <c r="J85" s="35"/>
      <c r="K85" s="36" t="str">
        <f aca="false">IF(I85="","",I85+J85)</f>
        <v/>
      </c>
      <c r="L85" s="37" t="str">
        <f aca="false">IF(OR(I85="",I85=0,J85=""),"",J85/I85)</f>
        <v/>
      </c>
      <c r="M85" s="25" t="str">
        <f aca="false">IF(L85="","",IF(L85&gt;0.25,"ACRÉSCIMO ACIMA DE 25% — conferir",""))</f>
        <v/>
      </c>
      <c r="N85" s="29" t="str">
        <f aca="false">IF(D85="","",IF(COUNTIFS(Empresas!$B:$B,D85,Empresas!$E:$E,"&lt;&gt;")=0,"",INDEX(Empresas!$E:$E,MATCH(D85,Empresas!$B:$B,0))))</f>
        <v/>
      </c>
      <c r="O85" s="27" t="str">
        <f aca="false">IF(OR(N85="",H85=""),"",H85-N85)</f>
        <v/>
      </c>
      <c r="P85" s="25" t="str">
        <f aca="false">IF(O85="","",IF(O85&lt;0,"CONTRATO ANTERIOR À ABERTURA — conferir datas",IF(O85&lt;180,"EMPRESA ABERTA MENOS DE 6 MESES ANTES","")))</f>
        <v/>
      </c>
      <c r="Q85" s="31" t="str">
        <f aca="false">IF(D85="","",IFERROR(INDEX(Sancoes!$D:$D,MATCH(D85,Sancoes!$C:$C,0)),"não consta"))</f>
        <v/>
      </c>
      <c r="R85" s="25" t="str">
        <f aca="false">IF(OR(D85="",H85=""),"",IF(SUMPRODUCT((Sancoes!$C$5:$C$304=D85)*(Sancoes!$G$5:$G$304&lt;=H85)*(((Sancoes!$H$5:$H$304="")+(Sancoes!$H$5:$H$304&gt;=H85))&gt;0))&gt;0,"SANÇÃO VIGENTE NA DATA — ler tipo e abrangência",""))</f>
        <v/>
      </c>
      <c r="S85" s="24"/>
      <c r="T85" s="11"/>
    </row>
    <row r="86" customFormat="false" ht="15" hidden="false" customHeight="false" outlineLevel="0" collapsed="false">
      <c r="A86" s="11"/>
      <c r="B86" s="24"/>
      <c r="C86" s="24"/>
      <c r="D86" s="31" t="str">
        <f aca="false">IF(C86="","",IF(LEN(UPPER(SUBSTITUTE(SUBSTITUTE(SUBSTITUTE(SUBSTITUTE(TRIM(C86),".",""),"/",""),"-","")," ","")))&lt;14,RIGHT(REPT("0",14)&amp;UPPER(SUBSTITUTE(SUBSTITUTE(SUBSTITUTE(SUBSTITUTE(TRIM(C86),".",""),"/",""),"-","")," ","")),14),UPPER(SUBSTITUTE(SUBSTITUTE(SUBSTITUTE(SUBSTITUTE(TRIM(C86),".",""),"/",""),"-","")," ",""))))</f>
        <v/>
      </c>
      <c r="E86" s="25" t="str">
        <f aca="false">IF(D86="","",IFERROR(INDEX(Empresas!$C:$C,MATCH(D86,Empresas!$B:$B,0)),"cadastre o CNPJ em Empresas"))</f>
        <v/>
      </c>
      <c r="F86" s="11"/>
      <c r="G86" s="23"/>
      <c r="H86" s="22"/>
      <c r="I86" s="35"/>
      <c r="J86" s="35"/>
      <c r="K86" s="36" t="str">
        <f aca="false">IF(I86="","",I86+J86)</f>
        <v/>
      </c>
      <c r="L86" s="37" t="str">
        <f aca="false">IF(OR(I86="",I86=0,J86=""),"",J86/I86)</f>
        <v/>
      </c>
      <c r="M86" s="25" t="str">
        <f aca="false">IF(L86="","",IF(L86&gt;0.25,"ACRÉSCIMO ACIMA DE 25% — conferir",""))</f>
        <v/>
      </c>
      <c r="N86" s="29" t="str">
        <f aca="false">IF(D86="","",IF(COUNTIFS(Empresas!$B:$B,D86,Empresas!$E:$E,"&lt;&gt;")=0,"",INDEX(Empresas!$E:$E,MATCH(D86,Empresas!$B:$B,0))))</f>
        <v/>
      </c>
      <c r="O86" s="27" t="str">
        <f aca="false">IF(OR(N86="",H86=""),"",H86-N86)</f>
        <v/>
      </c>
      <c r="P86" s="25" t="str">
        <f aca="false">IF(O86="","",IF(O86&lt;0,"CONTRATO ANTERIOR À ABERTURA — conferir datas",IF(O86&lt;180,"EMPRESA ABERTA MENOS DE 6 MESES ANTES","")))</f>
        <v/>
      </c>
      <c r="Q86" s="31" t="str">
        <f aca="false">IF(D86="","",IFERROR(INDEX(Sancoes!$D:$D,MATCH(D86,Sancoes!$C:$C,0)),"não consta"))</f>
        <v/>
      </c>
      <c r="R86" s="25" t="str">
        <f aca="false">IF(OR(D86="",H86=""),"",IF(SUMPRODUCT((Sancoes!$C$5:$C$304=D86)*(Sancoes!$G$5:$G$304&lt;=H86)*(((Sancoes!$H$5:$H$304="")+(Sancoes!$H$5:$H$304&gt;=H86))&gt;0))&gt;0,"SANÇÃO VIGENTE NA DATA — ler tipo e abrangência",""))</f>
        <v/>
      </c>
      <c r="S86" s="24"/>
      <c r="T86" s="11"/>
    </row>
    <row r="87" customFormat="false" ht="15" hidden="false" customHeight="false" outlineLevel="0" collapsed="false">
      <c r="A87" s="11"/>
      <c r="B87" s="24"/>
      <c r="C87" s="24"/>
      <c r="D87" s="31" t="str">
        <f aca="false">IF(C87="","",IF(LEN(UPPER(SUBSTITUTE(SUBSTITUTE(SUBSTITUTE(SUBSTITUTE(TRIM(C87),".",""),"/",""),"-","")," ","")))&lt;14,RIGHT(REPT("0",14)&amp;UPPER(SUBSTITUTE(SUBSTITUTE(SUBSTITUTE(SUBSTITUTE(TRIM(C87),".",""),"/",""),"-","")," ","")),14),UPPER(SUBSTITUTE(SUBSTITUTE(SUBSTITUTE(SUBSTITUTE(TRIM(C87),".",""),"/",""),"-","")," ",""))))</f>
        <v/>
      </c>
      <c r="E87" s="25" t="str">
        <f aca="false">IF(D87="","",IFERROR(INDEX(Empresas!$C:$C,MATCH(D87,Empresas!$B:$B,0)),"cadastre o CNPJ em Empresas"))</f>
        <v/>
      </c>
      <c r="F87" s="11"/>
      <c r="G87" s="23"/>
      <c r="H87" s="22"/>
      <c r="I87" s="35"/>
      <c r="J87" s="35"/>
      <c r="K87" s="36" t="str">
        <f aca="false">IF(I87="","",I87+J87)</f>
        <v/>
      </c>
      <c r="L87" s="37" t="str">
        <f aca="false">IF(OR(I87="",I87=0,J87=""),"",J87/I87)</f>
        <v/>
      </c>
      <c r="M87" s="25" t="str">
        <f aca="false">IF(L87="","",IF(L87&gt;0.25,"ACRÉSCIMO ACIMA DE 25% — conferir",""))</f>
        <v/>
      </c>
      <c r="N87" s="29" t="str">
        <f aca="false">IF(D87="","",IF(COUNTIFS(Empresas!$B:$B,D87,Empresas!$E:$E,"&lt;&gt;")=0,"",INDEX(Empresas!$E:$E,MATCH(D87,Empresas!$B:$B,0))))</f>
        <v/>
      </c>
      <c r="O87" s="27" t="str">
        <f aca="false">IF(OR(N87="",H87=""),"",H87-N87)</f>
        <v/>
      </c>
      <c r="P87" s="25" t="str">
        <f aca="false">IF(O87="","",IF(O87&lt;0,"CONTRATO ANTERIOR À ABERTURA — conferir datas",IF(O87&lt;180,"EMPRESA ABERTA MENOS DE 6 MESES ANTES","")))</f>
        <v/>
      </c>
      <c r="Q87" s="31" t="str">
        <f aca="false">IF(D87="","",IFERROR(INDEX(Sancoes!$D:$D,MATCH(D87,Sancoes!$C:$C,0)),"não consta"))</f>
        <v/>
      </c>
      <c r="R87" s="25" t="str">
        <f aca="false">IF(OR(D87="",H87=""),"",IF(SUMPRODUCT((Sancoes!$C$5:$C$304=D87)*(Sancoes!$G$5:$G$304&lt;=H87)*(((Sancoes!$H$5:$H$304="")+(Sancoes!$H$5:$H$304&gt;=H87))&gt;0))&gt;0,"SANÇÃO VIGENTE NA DATA — ler tipo e abrangência",""))</f>
        <v/>
      </c>
      <c r="S87" s="24"/>
      <c r="T87" s="11"/>
    </row>
    <row r="88" customFormat="false" ht="15" hidden="false" customHeight="false" outlineLevel="0" collapsed="false">
      <c r="A88" s="11"/>
      <c r="B88" s="24"/>
      <c r="C88" s="24"/>
      <c r="D88" s="31" t="str">
        <f aca="false">IF(C88="","",IF(LEN(UPPER(SUBSTITUTE(SUBSTITUTE(SUBSTITUTE(SUBSTITUTE(TRIM(C88),".",""),"/",""),"-","")," ","")))&lt;14,RIGHT(REPT("0",14)&amp;UPPER(SUBSTITUTE(SUBSTITUTE(SUBSTITUTE(SUBSTITUTE(TRIM(C88),".",""),"/",""),"-","")," ","")),14),UPPER(SUBSTITUTE(SUBSTITUTE(SUBSTITUTE(SUBSTITUTE(TRIM(C88),".",""),"/",""),"-","")," ",""))))</f>
        <v/>
      </c>
      <c r="E88" s="25" t="str">
        <f aca="false">IF(D88="","",IFERROR(INDEX(Empresas!$C:$C,MATCH(D88,Empresas!$B:$B,0)),"cadastre o CNPJ em Empresas"))</f>
        <v/>
      </c>
      <c r="F88" s="11"/>
      <c r="G88" s="23"/>
      <c r="H88" s="22"/>
      <c r="I88" s="35"/>
      <c r="J88" s="35"/>
      <c r="K88" s="36" t="str">
        <f aca="false">IF(I88="","",I88+J88)</f>
        <v/>
      </c>
      <c r="L88" s="37" t="str">
        <f aca="false">IF(OR(I88="",I88=0,J88=""),"",J88/I88)</f>
        <v/>
      </c>
      <c r="M88" s="25" t="str">
        <f aca="false">IF(L88="","",IF(L88&gt;0.25,"ACRÉSCIMO ACIMA DE 25% — conferir",""))</f>
        <v/>
      </c>
      <c r="N88" s="29" t="str">
        <f aca="false">IF(D88="","",IF(COUNTIFS(Empresas!$B:$B,D88,Empresas!$E:$E,"&lt;&gt;")=0,"",INDEX(Empresas!$E:$E,MATCH(D88,Empresas!$B:$B,0))))</f>
        <v/>
      </c>
      <c r="O88" s="27" t="str">
        <f aca="false">IF(OR(N88="",H88=""),"",H88-N88)</f>
        <v/>
      </c>
      <c r="P88" s="25" t="str">
        <f aca="false">IF(O88="","",IF(O88&lt;0,"CONTRATO ANTERIOR À ABERTURA — conferir datas",IF(O88&lt;180,"EMPRESA ABERTA MENOS DE 6 MESES ANTES","")))</f>
        <v/>
      </c>
      <c r="Q88" s="31" t="str">
        <f aca="false">IF(D88="","",IFERROR(INDEX(Sancoes!$D:$D,MATCH(D88,Sancoes!$C:$C,0)),"não consta"))</f>
        <v/>
      </c>
      <c r="R88" s="25" t="str">
        <f aca="false">IF(OR(D88="",H88=""),"",IF(SUMPRODUCT((Sancoes!$C$5:$C$304=D88)*(Sancoes!$G$5:$G$304&lt;=H88)*(((Sancoes!$H$5:$H$304="")+(Sancoes!$H$5:$H$304&gt;=H88))&gt;0))&gt;0,"SANÇÃO VIGENTE NA DATA — ler tipo e abrangência",""))</f>
        <v/>
      </c>
      <c r="S88" s="24"/>
      <c r="T88" s="11"/>
    </row>
    <row r="89" customFormat="false" ht="15" hidden="false" customHeight="false" outlineLevel="0" collapsed="false">
      <c r="A89" s="11"/>
      <c r="B89" s="24"/>
      <c r="C89" s="24"/>
      <c r="D89" s="31" t="str">
        <f aca="false">IF(C89="","",IF(LEN(UPPER(SUBSTITUTE(SUBSTITUTE(SUBSTITUTE(SUBSTITUTE(TRIM(C89),".",""),"/",""),"-","")," ","")))&lt;14,RIGHT(REPT("0",14)&amp;UPPER(SUBSTITUTE(SUBSTITUTE(SUBSTITUTE(SUBSTITUTE(TRIM(C89),".",""),"/",""),"-","")," ","")),14),UPPER(SUBSTITUTE(SUBSTITUTE(SUBSTITUTE(SUBSTITUTE(TRIM(C89),".",""),"/",""),"-","")," ",""))))</f>
        <v/>
      </c>
      <c r="E89" s="25" t="str">
        <f aca="false">IF(D89="","",IFERROR(INDEX(Empresas!$C:$C,MATCH(D89,Empresas!$B:$B,0)),"cadastre o CNPJ em Empresas"))</f>
        <v/>
      </c>
      <c r="F89" s="11"/>
      <c r="G89" s="23"/>
      <c r="H89" s="22"/>
      <c r="I89" s="35"/>
      <c r="J89" s="35"/>
      <c r="K89" s="36" t="str">
        <f aca="false">IF(I89="","",I89+J89)</f>
        <v/>
      </c>
      <c r="L89" s="37" t="str">
        <f aca="false">IF(OR(I89="",I89=0,J89=""),"",J89/I89)</f>
        <v/>
      </c>
      <c r="M89" s="25" t="str">
        <f aca="false">IF(L89="","",IF(L89&gt;0.25,"ACRÉSCIMO ACIMA DE 25% — conferir",""))</f>
        <v/>
      </c>
      <c r="N89" s="29" t="str">
        <f aca="false">IF(D89="","",IF(COUNTIFS(Empresas!$B:$B,D89,Empresas!$E:$E,"&lt;&gt;")=0,"",INDEX(Empresas!$E:$E,MATCH(D89,Empresas!$B:$B,0))))</f>
        <v/>
      </c>
      <c r="O89" s="27" t="str">
        <f aca="false">IF(OR(N89="",H89=""),"",H89-N89)</f>
        <v/>
      </c>
      <c r="P89" s="25" t="str">
        <f aca="false">IF(O89="","",IF(O89&lt;0,"CONTRATO ANTERIOR À ABERTURA — conferir datas",IF(O89&lt;180,"EMPRESA ABERTA MENOS DE 6 MESES ANTES","")))</f>
        <v/>
      </c>
      <c r="Q89" s="31" t="str">
        <f aca="false">IF(D89="","",IFERROR(INDEX(Sancoes!$D:$D,MATCH(D89,Sancoes!$C:$C,0)),"não consta"))</f>
        <v/>
      </c>
      <c r="R89" s="25" t="str">
        <f aca="false">IF(OR(D89="",H89=""),"",IF(SUMPRODUCT((Sancoes!$C$5:$C$304=D89)*(Sancoes!$G$5:$G$304&lt;=H89)*(((Sancoes!$H$5:$H$304="")+(Sancoes!$H$5:$H$304&gt;=H89))&gt;0))&gt;0,"SANÇÃO VIGENTE NA DATA — ler tipo e abrangência",""))</f>
        <v/>
      </c>
      <c r="S89" s="24"/>
      <c r="T89" s="11"/>
    </row>
    <row r="90" customFormat="false" ht="15" hidden="false" customHeight="false" outlineLevel="0" collapsed="false">
      <c r="A90" s="11"/>
      <c r="B90" s="24"/>
      <c r="C90" s="24"/>
      <c r="D90" s="31" t="str">
        <f aca="false">IF(C90="","",IF(LEN(UPPER(SUBSTITUTE(SUBSTITUTE(SUBSTITUTE(SUBSTITUTE(TRIM(C90),".",""),"/",""),"-","")," ","")))&lt;14,RIGHT(REPT("0",14)&amp;UPPER(SUBSTITUTE(SUBSTITUTE(SUBSTITUTE(SUBSTITUTE(TRIM(C90),".",""),"/",""),"-","")," ","")),14),UPPER(SUBSTITUTE(SUBSTITUTE(SUBSTITUTE(SUBSTITUTE(TRIM(C90),".",""),"/",""),"-","")," ",""))))</f>
        <v/>
      </c>
      <c r="E90" s="25" t="str">
        <f aca="false">IF(D90="","",IFERROR(INDEX(Empresas!$C:$C,MATCH(D90,Empresas!$B:$B,0)),"cadastre o CNPJ em Empresas"))</f>
        <v/>
      </c>
      <c r="F90" s="11"/>
      <c r="G90" s="23"/>
      <c r="H90" s="22"/>
      <c r="I90" s="35"/>
      <c r="J90" s="35"/>
      <c r="K90" s="36" t="str">
        <f aca="false">IF(I90="","",I90+J90)</f>
        <v/>
      </c>
      <c r="L90" s="37" t="str">
        <f aca="false">IF(OR(I90="",I90=0,J90=""),"",J90/I90)</f>
        <v/>
      </c>
      <c r="M90" s="25" t="str">
        <f aca="false">IF(L90="","",IF(L90&gt;0.25,"ACRÉSCIMO ACIMA DE 25% — conferir",""))</f>
        <v/>
      </c>
      <c r="N90" s="29" t="str">
        <f aca="false">IF(D90="","",IF(COUNTIFS(Empresas!$B:$B,D90,Empresas!$E:$E,"&lt;&gt;")=0,"",INDEX(Empresas!$E:$E,MATCH(D90,Empresas!$B:$B,0))))</f>
        <v/>
      </c>
      <c r="O90" s="27" t="str">
        <f aca="false">IF(OR(N90="",H90=""),"",H90-N90)</f>
        <v/>
      </c>
      <c r="P90" s="25" t="str">
        <f aca="false">IF(O90="","",IF(O90&lt;0,"CONTRATO ANTERIOR À ABERTURA — conferir datas",IF(O90&lt;180,"EMPRESA ABERTA MENOS DE 6 MESES ANTES","")))</f>
        <v/>
      </c>
      <c r="Q90" s="31" t="str">
        <f aca="false">IF(D90="","",IFERROR(INDEX(Sancoes!$D:$D,MATCH(D90,Sancoes!$C:$C,0)),"não consta"))</f>
        <v/>
      </c>
      <c r="R90" s="25" t="str">
        <f aca="false">IF(OR(D90="",H90=""),"",IF(SUMPRODUCT((Sancoes!$C$5:$C$304=D90)*(Sancoes!$G$5:$G$304&lt;=H90)*(((Sancoes!$H$5:$H$304="")+(Sancoes!$H$5:$H$304&gt;=H90))&gt;0))&gt;0,"SANÇÃO VIGENTE NA DATA — ler tipo e abrangência",""))</f>
        <v/>
      </c>
      <c r="S90" s="24"/>
      <c r="T90" s="11"/>
    </row>
    <row r="91" customFormat="false" ht="15" hidden="false" customHeight="false" outlineLevel="0" collapsed="false">
      <c r="A91" s="11"/>
      <c r="B91" s="24"/>
      <c r="C91" s="24"/>
      <c r="D91" s="31" t="str">
        <f aca="false">IF(C91="","",IF(LEN(UPPER(SUBSTITUTE(SUBSTITUTE(SUBSTITUTE(SUBSTITUTE(TRIM(C91),".",""),"/",""),"-","")," ","")))&lt;14,RIGHT(REPT("0",14)&amp;UPPER(SUBSTITUTE(SUBSTITUTE(SUBSTITUTE(SUBSTITUTE(TRIM(C91),".",""),"/",""),"-","")," ","")),14),UPPER(SUBSTITUTE(SUBSTITUTE(SUBSTITUTE(SUBSTITUTE(TRIM(C91),".",""),"/",""),"-","")," ",""))))</f>
        <v/>
      </c>
      <c r="E91" s="25" t="str">
        <f aca="false">IF(D91="","",IFERROR(INDEX(Empresas!$C:$C,MATCH(D91,Empresas!$B:$B,0)),"cadastre o CNPJ em Empresas"))</f>
        <v/>
      </c>
      <c r="F91" s="11"/>
      <c r="G91" s="23"/>
      <c r="H91" s="22"/>
      <c r="I91" s="35"/>
      <c r="J91" s="35"/>
      <c r="K91" s="36" t="str">
        <f aca="false">IF(I91="","",I91+J91)</f>
        <v/>
      </c>
      <c r="L91" s="37" t="str">
        <f aca="false">IF(OR(I91="",I91=0,J91=""),"",J91/I91)</f>
        <v/>
      </c>
      <c r="M91" s="25" t="str">
        <f aca="false">IF(L91="","",IF(L91&gt;0.25,"ACRÉSCIMO ACIMA DE 25% — conferir",""))</f>
        <v/>
      </c>
      <c r="N91" s="29" t="str">
        <f aca="false">IF(D91="","",IF(COUNTIFS(Empresas!$B:$B,D91,Empresas!$E:$E,"&lt;&gt;")=0,"",INDEX(Empresas!$E:$E,MATCH(D91,Empresas!$B:$B,0))))</f>
        <v/>
      </c>
      <c r="O91" s="27" t="str">
        <f aca="false">IF(OR(N91="",H91=""),"",H91-N91)</f>
        <v/>
      </c>
      <c r="P91" s="25" t="str">
        <f aca="false">IF(O91="","",IF(O91&lt;0,"CONTRATO ANTERIOR À ABERTURA — conferir datas",IF(O91&lt;180,"EMPRESA ABERTA MENOS DE 6 MESES ANTES","")))</f>
        <v/>
      </c>
      <c r="Q91" s="31" t="str">
        <f aca="false">IF(D91="","",IFERROR(INDEX(Sancoes!$D:$D,MATCH(D91,Sancoes!$C:$C,0)),"não consta"))</f>
        <v/>
      </c>
      <c r="R91" s="25" t="str">
        <f aca="false">IF(OR(D91="",H91=""),"",IF(SUMPRODUCT((Sancoes!$C$5:$C$304=D91)*(Sancoes!$G$5:$G$304&lt;=H91)*(((Sancoes!$H$5:$H$304="")+(Sancoes!$H$5:$H$304&gt;=H91))&gt;0))&gt;0,"SANÇÃO VIGENTE NA DATA — ler tipo e abrangência",""))</f>
        <v/>
      </c>
      <c r="S91" s="24"/>
      <c r="T91" s="11"/>
    </row>
    <row r="92" customFormat="false" ht="15" hidden="false" customHeight="false" outlineLevel="0" collapsed="false">
      <c r="A92" s="11"/>
      <c r="B92" s="24"/>
      <c r="C92" s="24"/>
      <c r="D92" s="31" t="str">
        <f aca="false">IF(C92="","",IF(LEN(UPPER(SUBSTITUTE(SUBSTITUTE(SUBSTITUTE(SUBSTITUTE(TRIM(C92),".",""),"/",""),"-","")," ","")))&lt;14,RIGHT(REPT("0",14)&amp;UPPER(SUBSTITUTE(SUBSTITUTE(SUBSTITUTE(SUBSTITUTE(TRIM(C92),".",""),"/",""),"-","")," ","")),14),UPPER(SUBSTITUTE(SUBSTITUTE(SUBSTITUTE(SUBSTITUTE(TRIM(C92),".",""),"/",""),"-","")," ",""))))</f>
        <v/>
      </c>
      <c r="E92" s="25" t="str">
        <f aca="false">IF(D92="","",IFERROR(INDEX(Empresas!$C:$C,MATCH(D92,Empresas!$B:$B,0)),"cadastre o CNPJ em Empresas"))</f>
        <v/>
      </c>
      <c r="F92" s="11"/>
      <c r="G92" s="23"/>
      <c r="H92" s="22"/>
      <c r="I92" s="35"/>
      <c r="J92" s="35"/>
      <c r="K92" s="36" t="str">
        <f aca="false">IF(I92="","",I92+J92)</f>
        <v/>
      </c>
      <c r="L92" s="37" t="str">
        <f aca="false">IF(OR(I92="",I92=0,J92=""),"",J92/I92)</f>
        <v/>
      </c>
      <c r="M92" s="25" t="str">
        <f aca="false">IF(L92="","",IF(L92&gt;0.25,"ACRÉSCIMO ACIMA DE 25% — conferir",""))</f>
        <v/>
      </c>
      <c r="N92" s="29" t="str">
        <f aca="false">IF(D92="","",IF(COUNTIFS(Empresas!$B:$B,D92,Empresas!$E:$E,"&lt;&gt;")=0,"",INDEX(Empresas!$E:$E,MATCH(D92,Empresas!$B:$B,0))))</f>
        <v/>
      </c>
      <c r="O92" s="27" t="str">
        <f aca="false">IF(OR(N92="",H92=""),"",H92-N92)</f>
        <v/>
      </c>
      <c r="P92" s="25" t="str">
        <f aca="false">IF(O92="","",IF(O92&lt;0,"CONTRATO ANTERIOR À ABERTURA — conferir datas",IF(O92&lt;180,"EMPRESA ABERTA MENOS DE 6 MESES ANTES","")))</f>
        <v/>
      </c>
      <c r="Q92" s="31" t="str">
        <f aca="false">IF(D92="","",IFERROR(INDEX(Sancoes!$D:$D,MATCH(D92,Sancoes!$C:$C,0)),"não consta"))</f>
        <v/>
      </c>
      <c r="R92" s="25" t="str">
        <f aca="false">IF(OR(D92="",H92=""),"",IF(SUMPRODUCT((Sancoes!$C$5:$C$304=D92)*(Sancoes!$G$5:$G$304&lt;=H92)*(((Sancoes!$H$5:$H$304="")+(Sancoes!$H$5:$H$304&gt;=H92))&gt;0))&gt;0,"SANÇÃO VIGENTE NA DATA — ler tipo e abrangência",""))</f>
        <v/>
      </c>
      <c r="S92" s="24"/>
      <c r="T92" s="11"/>
    </row>
    <row r="93" customFormat="false" ht="15" hidden="false" customHeight="false" outlineLevel="0" collapsed="false">
      <c r="A93" s="11"/>
      <c r="B93" s="24"/>
      <c r="C93" s="24"/>
      <c r="D93" s="31" t="str">
        <f aca="false">IF(C93="","",IF(LEN(UPPER(SUBSTITUTE(SUBSTITUTE(SUBSTITUTE(SUBSTITUTE(TRIM(C93),".",""),"/",""),"-","")," ","")))&lt;14,RIGHT(REPT("0",14)&amp;UPPER(SUBSTITUTE(SUBSTITUTE(SUBSTITUTE(SUBSTITUTE(TRIM(C93),".",""),"/",""),"-","")," ","")),14),UPPER(SUBSTITUTE(SUBSTITUTE(SUBSTITUTE(SUBSTITUTE(TRIM(C93),".",""),"/",""),"-","")," ",""))))</f>
        <v/>
      </c>
      <c r="E93" s="25" t="str">
        <f aca="false">IF(D93="","",IFERROR(INDEX(Empresas!$C:$C,MATCH(D93,Empresas!$B:$B,0)),"cadastre o CNPJ em Empresas"))</f>
        <v/>
      </c>
      <c r="F93" s="11"/>
      <c r="G93" s="23"/>
      <c r="H93" s="22"/>
      <c r="I93" s="35"/>
      <c r="J93" s="35"/>
      <c r="K93" s="36" t="str">
        <f aca="false">IF(I93="","",I93+J93)</f>
        <v/>
      </c>
      <c r="L93" s="37" t="str">
        <f aca="false">IF(OR(I93="",I93=0,J93=""),"",J93/I93)</f>
        <v/>
      </c>
      <c r="M93" s="25" t="str">
        <f aca="false">IF(L93="","",IF(L93&gt;0.25,"ACRÉSCIMO ACIMA DE 25% — conferir",""))</f>
        <v/>
      </c>
      <c r="N93" s="29" t="str">
        <f aca="false">IF(D93="","",IF(COUNTIFS(Empresas!$B:$B,D93,Empresas!$E:$E,"&lt;&gt;")=0,"",INDEX(Empresas!$E:$E,MATCH(D93,Empresas!$B:$B,0))))</f>
        <v/>
      </c>
      <c r="O93" s="27" t="str">
        <f aca="false">IF(OR(N93="",H93=""),"",H93-N93)</f>
        <v/>
      </c>
      <c r="P93" s="25" t="str">
        <f aca="false">IF(O93="","",IF(O93&lt;0,"CONTRATO ANTERIOR À ABERTURA — conferir datas",IF(O93&lt;180,"EMPRESA ABERTA MENOS DE 6 MESES ANTES","")))</f>
        <v/>
      </c>
      <c r="Q93" s="31" t="str">
        <f aca="false">IF(D93="","",IFERROR(INDEX(Sancoes!$D:$D,MATCH(D93,Sancoes!$C:$C,0)),"não consta"))</f>
        <v/>
      </c>
      <c r="R93" s="25" t="str">
        <f aca="false">IF(OR(D93="",H93=""),"",IF(SUMPRODUCT((Sancoes!$C$5:$C$304=D93)*(Sancoes!$G$5:$G$304&lt;=H93)*(((Sancoes!$H$5:$H$304="")+(Sancoes!$H$5:$H$304&gt;=H93))&gt;0))&gt;0,"SANÇÃO VIGENTE NA DATA — ler tipo e abrangência",""))</f>
        <v/>
      </c>
      <c r="S93" s="24"/>
      <c r="T93" s="11"/>
    </row>
    <row r="94" customFormat="false" ht="15" hidden="false" customHeight="false" outlineLevel="0" collapsed="false">
      <c r="A94" s="11"/>
      <c r="B94" s="24"/>
      <c r="C94" s="24"/>
      <c r="D94" s="31" t="str">
        <f aca="false">IF(C94="","",IF(LEN(UPPER(SUBSTITUTE(SUBSTITUTE(SUBSTITUTE(SUBSTITUTE(TRIM(C94),".",""),"/",""),"-","")," ","")))&lt;14,RIGHT(REPT("0",14)&amp;UPPER(SUBSTITUTE(SUBSTITUTE(SUBSTITUTE(SUBSTITUTE(TRIM(C94),".",""),"/",""),"-","")," ","")),14),UPPER(SUBSTITUTE(SUBSTITUTE(SUBSTITUTE(SUBSTITUTE(TRIM(C94),".",""),"/",""),"-","")," ",""))))</f>
        <v/>
      </c>
      <c r="E94" s="25" t="str">
        <f aca="false">IF(D94="","",IFERROR(INDEX(Empresas!$C:$C,MATCH(D94,Empresas!$B:$B,0)),"cadastre o CNPJ em Empresas"))</f>
        <v/>
      </c>
      <c r="F94" s="11"/>
      <c r="G94" s="23"/>
      <c r="H94" s="22"/>
      <c r="I94" s="35"/>
      <c r="J94" s="35"/>
      <c r="K94" s="36" t="str">
        <f aca="false">IF(I94="","",I94+J94)</f>
        <v/>
      </c>
      <c r="L94" s="37" t="str">
        <f aca="false">IF(OR(I94="",I94=0,J94=""),"",J94/I94)</f>
        <v/>
      </c>
      <c r="M94" s="25" t="str">
        <f aca="false">IF(L94="","",IF(L94&gt;0.25,"ACRÉSCIMO ACIMA DE 25% — conferir",""))</f>
        <v/>
      </c>
      <c r="N94" s="29" t="str">
        <f aca="false">IF(D94="","",IF(COUNTIFS(Empresas!$B:$B,D94,Empresas!$E:$E,"&lt;&gt;")=0,"",INDEX(Empresas!$E:$E,MATCH(D94,Empresas!$B:$B,0))))</f>
        <v/>
      </c>
      <c r="O94" s="27" t="str">
        <f aca="false">IF(OR(N94="",H94=""),"",H94-N94)</f>
        <v/>
      </c>
      <c r="P94" s="25" t="str">
        <f aca="false">IF(O94="","",IF(O94&lt;0,"CONTRATO ANTERIOR À ABERTURA — conferir datas",IF(O94&lt;180,"EMPRESA ABERTA MENOS DE 6 MESES ANTES","")))</f>
        <v/>
      </c>
      <c r="Q94" s="31" t="str">
        <f aca="false">IF(D94="","",IFERROR(INDEX(Sancoes!$D:$D,MATCH(D94,Sancoes!$C:$C,0)),"não consta"))</f>
        <v/>
      </c>
      <c r="R94" s="25" t="str">
        <f aca="false">IF(OR(D94="",H94=""),"",IF(SUMPRODUCT((Sancoes!$C$5:$C$304=D94)*(Sancoes!$G$5:$G$304&lt;=H94)*(((Sancoes!$H$5:$H$304="")+(Sancoes!$H$5:$H$304&gt;=H94))&gt;0))&gt;0,"SANÇÃO VIGENTE NA DATA — ler tipo e abrangência",""))</f>
        <v/>
      </c>
      <c r="S94" s="24"/>
      <c r="T94" s="11"/>
    </row>
    <row r="95" customFormat="false" ht="15" hidden="false" customHeight="false" outlineLevel="0" collapsed="false">
      <c r="A95" s="11"/>
      <c r="B95" s="24"/>
      <c r="C95" s="24"/>
      <c r="D95" s="31" t="str">
        <f aca="false">IF(C95="","",IF(LEN(UPPER(SUBSTITUTE(SUBSTITUTE(SUBSTITUTE(SUBSTITUTE(TRIM(C95),".",""),"/",""),"-","")," ","")))&lt;14,RIGHT(REPT("0",14)&amp;UPPER(SUBSTITUTE(SUBSTITUTE(SUBSTITUTE(SUBSTITUTE(TRIM(C95),".",""),"/",""),"-","")," ","")),14),UPPER(SUBSTITUTE(SUBSTITUTE(SUBSTITUTE(SUBSTITUTE(TRIM(C95),".",""),"/",""),"-","")," ",""))))</f>
        <v/>
      </c>
      <c r="E95" s="25" t="str">
        <f aca="false">IF(D95="","",IFERROR(INDEX(Empresas!$C:$C,MATCH(D95,Empresas!$B:$B,0)),"cadastre o CNPJ em Empresas"))</f>
        <v/>
      </c>
      <c r="F95" s="11"/>
      <c r="G95" s="23"/>
      <c r="H95" s="22"/>
      <c r="I95" s="35"/>
      <c r="J95" s="35"/>
      <c r="K95" s="36" t="str">
        <f aca="false">IF(I95="","",I95+J95)</f>
        <v/>
      </c>
      <c r="L95" s="37" t="str">
        <f aca="false">IF(OR(I95="",I95=0,J95=""),"",J95/I95)</f>
        <v/>
      </c>
      <c r="M95" s="25" t="str">
        <f aca="false">IF(L95="","",IF(L95&gt;0.25,"ACRÉSCIMO ACIMA DE 25% — conferir",""))</f>
        <v/>
      </c>
      <c r="N95" s="29" t="str">
        <f aca="false">IF(D95="","",IF(COUNTIFS(Empresas!$B:$B,D95,Empresas!$E:$E,"&lt;&gt;")=0,"",INDEX(Empresas!$E:$E,MATCH(D95,Empresas!$B:$B,0))))</f>
        <v/>
      </c>
      <c r="O95" s="27" t="str">
        <f aca="false">IF(OR(N95="",H95=""),"",H95-N95)</f>
        <v/>
      </c>
      <c r="P95" s="25" t="str">
        <f aca="false">IF(O95="","",IF(O95&lt;0,"CONTRATO ANTERIOR À ABERTURA — conferir datas",IF(O95&lt;180,"EMPRESA ABERTA MENOS DE 6 MESES ANTES","")))</f>
        <v/>
      </c>
      <c r="Q95" s="31" t="str">
        <f aca="false">IF(D95="","",IFERROR(INDEX(Sancoes!$D:$D,MATCH(D95,Sancoes!$C:$C,0)),"não consta"))</f>
        <v/>
      </c>
      <c r="R95" s="25" t="str">
        <f aca="false">IF(OR(D95="",H95=""),"",IF(SUMPRODUCT((Sancoes!$C$5:$C$304=D95)*(Sancoes!$G$5:$G$304&lt;=H95)*(((Sancoes!$H$5:$H$304="")+(Sancoes!$H$5:$H$304&gt;=H95))&gt;0))&gt;0,"SANÇÃO VIGENTE NA DATA — ler tipo e abrangência",""))</f>
        <v/>
      </c>
      <c r="S95" s="24"/>
      <c r="T95" s="11"/>
    </row>
    <row r="96" customFormat="false" ht="15" hidden="false" customHeight="false" outlineLevel="0" collapsed="false">
      <c r="A96" s="11"/>
      <c r="B96" s="24"/>
      <c r="C96" s="24"/>
      <c r="D96" s="31" t="str">
        <f aca="false">IF(C96="","",IF(LEN(UPPER(SUBSTITUTE(SUBSTITUTE(SUBSTITUTE(SUBSTITUTE(TRIM(C96),".",""),"/",""),"-","")," ","")))&lt;14,RIGHT(REPT("0",14)&amp;UPPER(SUBSTITUTE(SUBSTITUTE(SUBSTITUTE(SUBSTITUTE(TRIM(C96),".",""),"/",""),"-","")," ","")),14),UPPER(SUBSTITUTE(SUBSTITUTE(SUBSTITUTE(SUBSTITUTE(TRIM(C96),".",""),"/",""),"-","")," ",""))))</f>
        <v/>
      </c>
      <c r="E96" s="25" t="str">
        <f aca="false">IF(D96="","",IFERROR(INDEX(Empresas!$C:$C,MATCH(D96,Empresas!$B:$B,0)),"cadastre o CNPJ em Empresas"))</f>
        <v/>
      </c>
      <c r="F96" s="11"/>
      <c r="G96" s="23"/>
      <c r="H96" s="22"/>
      <c r="I96" s="35"/>
      <c r="J96" s="35"/>
      <c r="K96" s="36" t="str">
        <f aca="false">IF(I96="","",I96+J96)</f>
        <v/>
      </c>
      <c r="L96" s="37" t="str">
        <f aca="false">IF(OR(I96="",I96=0,J96=""),"",J96/I96)</f>
        <v/>
      </c>
      <c r="M96" s="25" t="str">
        <f aca="false">IF(L96="","",IF(L96&gt;0.25,"ACRÉSCIMO ACIMA DE 25% — conferir",""))</f>
        <v/>
      </c>
      <c r="N96" s="29" t="str">
        <f aca="false">IF(D96="","",IF(COUNTIFS(Empresas!$B:$B,D96,Empresas!$E:$E,"&lt;&gt;")=0,"",INDEX(Empresas!$E:$E,MATCH(D96,Empresas!$B:$B,0))))</f>
        <v/>
      </c>
      <c r="O96" s="27" t="str">
        <f aca="false">IF(OR(N96="",H96=""),"",H96-N96)</f>
        <v/>
      </c>
      <c r="P96" s="25" t="str">
        <f aca="false">IF(O96="","",IF(O96&lt;0,"CONTRATO ANTERIOR À ABERTURA — conferir datas",IF(O96&lt;180,"EMPRESA ABERTA MENOS DE 6 MESES ANTES","")))</f>
        <v/>
      </c>
      <c r="Q96" s="31" t="str">
        <f aca="false">IF(D96="","",IFERROR(INDEX(Sancoes!$D:$D,MATCH(D96,Sancoes!$C:$C,0)),"não consta"))</f>
        <v/>
      </c>
      <c r="R96" s="25" t="str">
        <f aca="false">IF(OR(D96="",H96=""),"",IF(SUMPRODUCT((Sancoes!$C$5:$C$304=D96)*(Sancoes!$G$5:$G$304&lt;=H96)*(((Sancoes!$H$5:$H$304="")+(Sancoes!$H$5:$H$304&gt;=H96))&gt;0))&gt;0,"SANÇÃO VIGENTE NA DATA — ler tipo e abrangência",""))</f>
        <v/>
      </c>
      <c r="S96" s="24"/>
      <c r="T96" s="11"/>
    </row>
    <row r="97" customFormat="false" ht="15" hidden="false" customHeight="false" outlineLevel="0" collapsed="false">
      <c r="A97" s="11"/>
      <c r="B97" s="24"/>
      <c r="C97" s="24"/>
      <c r="D97" s="31" t="str">
        <f aca="false">IF(C97="","",IF(LEN(UPPER(SUBSTITUTE(SUBSTITUTE(SUBSTITUTE(SUBSTITUTE(TRIM(C97),".",""),"/",""),"-","")," ","")))&lt;14,RIGHT(REPT("0",14)&amp;UPPER(SUBSTITUTE(SUBSTITUTE(SUBSTITUTE(SUBSTITUTE(TRIM(C97),".",""),"/",""),"-","")," ","")),14),UPPER(SUBSTITUTE(SUBSTITUTE(SUBSTITUTE(SUBSTITUTE(TRIM(C97),".",""),"/",""),"-","")," ",""))))</f>
        <v/>
      </c>
      <c r="E97" s="25" t="str">
        <f aca="false">IF(D97="","",IFERROR(INDEX(Empresas!$C:$C,MATCH(D97,Empresas!$B:$B,0)),"cadastre o CNPJ em Empresas"))</f>
        <v/>
      </c>
      <c r="F97" s="11"/>
      <c r="G97" s="23"/>
      <c r="H97" s="22"/>
      <c r="I97" s="35"/>
      <c r="J97" s="35"/>
      <c r="K97" s="36" t="str">
        <f aca="false">IF(I97="","",I97+J97)</f>
        <v/>
      </c>
      <c r="L97" s="37" t="str">
        <f aca="false">IF(OR(I97="",I97=0,J97=""),"",J97/I97)</f>
        <v/>
      </c>
      <c r="M97" s="25" t="str">
        <f aca="false">IF(L97="","",IF(L97&gt;0.25,"ACRÉSCIMO ACIMA DE 25% — conferir",""))</f>
        <v/>
      </c>
      <c r="N97" s="29" t="str">
        <f aca="false">IF(D97="","",IF(COUNTIFS(Empresas!$B:$B,D97,Empresas!$E:$E,"&lt;&gt;")=0,"",INDEX(Empresas!$E:$E,MATCH(D97,Empresas!$B:$B,0))))</f>
        <v/>
      </c>
      <c r="O97" s="27" t="str">
        <f aca="false">IF(OR(N97="",H97=""),"",H97-N97)</f>
        <v/>
      </c>
      <c r="P97" s="25" t="str">
        <f aca="false">IF(O97="","",IF(O97&lt;0,"CONTRATO ANTERIOR À ABERTURA — conferir datas",IF(O97&lt;180,"EMPRESA ABERTA MENOS DE 6 MESES ANTES","")))</f>
        <v/>
      </c>
      <c r="Q97" s="31" t="str">
        <f aca="false">IF(D97="","",IFERROR(INDEX(Sancoes!$D:$D,MATCH(D97,Sancoes!$C:$C,0)),"não consta"))</f>
        <v/>
      </c>
      <c r="R97" s="25" t="str">
        <f aca="false">IF(OR(D97="",H97=""),"",IF(SUMPRODUCT((Sancoes!$C$5:$C$304=D97)*(Sancoes!$G$5:$G$304&lt;=H97)*(((Sancoes!$H$5:$H$304="")+(Sancoes!$H$5:$H$304&gt;=H97))&gt;0))&gt;0,"SANÇÃO VIGENTE NA DATA — ler tipo e abrangência",""))</f>
        <v/>
      </c>
      <c r="S97" s="24"/>
      <c r="T97" s="11"/>
    </row>
    <row r="98" customFormat="false" ht="15" hidden="false" customHeight="false" outlineLevel="0" collapsed="false">
      <c r="A98" s="11"/>
      <c r="B98" s="24"/>
      <c r="C98" s="24"/>
      <c r="D98" s="31" t="str">
        <f aca="false">IF(C98="","",IF(LEN(UPPER(SUBSTITUTE(SUBSTITUTE(SUBSTITUTE(SUBSTITUTE(TRIM(C98),".",""),"/",""),"-","")," ","")))&lt;14,RIGHT(REPT("0",14)&amp;UPPER(SUBSTITUTE(SUBSTITUTE(SUBSTITUTE(SUBSTITUTE(TRIM(C98),".",""),"/",""),"-","")," ","")),14),UPPER(SUBSTITUTE(SUBSTITUTE(SUBSTITUTE(SUBSTITUTE(TRIM(C98),".",""),"/",""),"-","")," ",""))))</f>
        <v/>
      </c>
      <c r="E98" s="25" t="str">
        <f aca="false">IF(D98="","",IFERROR(INDEX(Empresas!$C:$C,MATCH(D98,Empresas!$B:$B,0)),"cadastre o CNPJ em Empresas"))</f>
        <v/>
      </c>
      <c r="F98" s="11"/>
      <c r="G98" s="23"/>
      <c r="H98" s="22"/>
      <c r="I98" s="35"/>
      <c r="J98" s="35"/>
      <c r="K98" s="36" t="str">
        <f aca="false">IF(I98="","",I98+J98)</f>
        <v/>
      </c>
      <c r="L98" s="37" t="str">
        <f aca="false">IF(OR(I98="",I98=0,J98=""),"",J98/I98)</f>
        <v/>
      </c>
      <c r="M98" s="25" t="str">
        <f aca="false">IF(L98="","",IF(L98&gt;0.25,"ACRÉSCIMO ACIMA DE 25% — conferir",""))</f>
        <v/>
      </c>
      <c r="N98" s="29" t="str">
        <f aca="false">IF(D98="","",IF(COUNTIFS(Empresas!$B:$B,D98,Empresas!$E:$E,"&lt;&gt;")=0,"",INDEX(Empresas!$E:$E,MATCH(D98,Empresas!$B:$B,0))))</f>
        <v/>
      </c>
      <c r="O98" s="27" t="str">
        <f aca="false">IF(OR(N98="",H98=""),"",H98-N98)</f>
        <v/>
      </c>
      <c r="P98" s="25" t="str">
        <f aca="false">IF(O98="","",IF(O98&lt;0,"CONTRATO ANTERIOR À ABERTURA — conferir datas",IF(O98&lt;180,"EMPRESA ABERTA MENOS DE 6 MESES ANTES","")))</f>
        <v/>
      </c>
      <c r="Q98" s="31" t="str">
        <f aca="false">IF(D98="","",IFERROR(INDEX(Sancoes!$D:$D,MATCH(D98,Sancoes!$C:$C,0)),"não consta"))</f>
        <v/>
      </c>
      <c r="R98" s="25" t="str">
        <f aca="false">IF(OR(D98="",H98=""),"",IF(SUMPRODUCT((Sancoes!$C$5:$C$304=D98)*(Sancoes!$G$5:$G$304&lt;=H98)*(((Sancoes!$H$5:$H$304="")+(Sancoes!$H$5:$H$304&gt;=H98))&gt;0))&gt;0,"SANÇÃO VIGENTE NA DATA — ler tipo e abrangência",""))</f>
        <v/>
      </c>
      <c r="S98" s="24"/>
      <c r="T98" s="11"/>
    </row>
    <row r="99" customFormat="false" ht="15" hidden="false" customHeight="false" outlineLevel="0" collapsed="false">
      <c r="A99" s="11"/>
      <c r="B99" s="24"/>
      <c r="C99" s="24"/>
      <c r="D99" s="31" t="str">
        <f aca="false">IF(C99="","",IF(LEN(UPPER(SUBSTITUTE(SUBSTITUTE(SUBSTITUTE(SUBSTITUTE(TRIM(C99),".",""),"/",""),"-","")," ","")))&lt;14,RIGHT(REPT("0",14)&amp;UPPER(SUBSTITUTE(SUBSTITUTE(SUBSTITUTE(SUBSTITUTE(TRIM(C99),".",""),"/",""),"-","")," ","")),14),UPPER(SUBSTITUTE(SUBSTITUTE(SUBSTITUTE(SUBSTITUTE(TRIM(C99),".",""),"/",""),"-","")," ",""))))</f>
        <v/>
      </c>
      <c r="E99" s="25" t="str">
        <f aca="false">IF(D99="","",IFERROR(INDEX(Empresas!$C:$C,MATCH(D99,Empresas!$B:$B,0)),"cadastre o CNPJ em Empresas"))</f>
        <v/>
      </c>
      <c r="F99" s="11"/>
      <c r="G99" s="23"/>
      <c r="H99" s="22"/>
      <c r="I99" s="35"/>
      <c r="J99" s="35"/>
      <c r="K99" s="36" t="str">
        <f aca="false">IF(I99="","",I99+J99)</f>
        <v/>
      </c>
      <c r="L99" s="37" t="str">
        <f aca="false">IF(OR(I99="",I99=0,J99=""),"",J99/I99)</f>
        <v/>
      </c>
      <c r="M99" s="25" t="str">
        <f aca="false">IF(L99="","",IF(L99&gt;0.25,"ACRÉSCIMO ACIMA DE 25% — conferir",""))</f>
        <v/>
      </c>
      <c r="N99" s="29" t="str">
        <f aca="false">IF(D99="","",IF(COUNTIFS(Empresas!$B:$B,D99,Empresas!$E:$E,"&lt;&gt;")=0,"",INDEX(Empresas!$E:$E,MATCH(D99,Empresas!$B:$B,0))))</f>
        <v/>
      </c>
      <c r="O99" s="27" t="str">
        <f aca="false">IF(OR(N99="",H99=""),"",H99-N99)</f>
        <v/>
      </c>
      <c r="P99" s="25" t="str">
        <f aca="false">IF(O99="","",IF(O99&lt;0,"CONTRATO ANTERIOR À ABERTURA — conferir datas",IF(O99&lt;180,"EMPRESA ABERTA MENOS DE 6 MESES ANTES","")))</f>
        <v/>
      </c>
      <c r="Q99" s="31" t="str">
        <f aca="false">IF(D99="","",IFERROR(INDEX(Sancoes!$D:$D,MATCH(D99,Sancoes!$C:$C,0)),"não consta"))</f>
        <v/>
      </c>
      <c r="R99" s="25" t="str">
        <f aca="false">IF(OR(D99="",H99=""),"",IF(SUMPRODUCT((Sancoes!$C$5:$C$304=D99)*(Sancoes!$G$5:$G$304&lt;=H99)*(((Sancoes!$H$5:$H$304="")+(Sancoes!$H$5:$H$304&gt;=H99))&gt;0))&gt;0,"SANÇÃO VIGENTE NA DATA — ler tipo e abrangência",""))</f>
        <v/>
      </c>
      <c r="S99" s="24"/>
      <c r="T99" s="11"/>
    </row>
    <row r="100" customFormat="false" ht="15" hidden="false" customHeight="false" outlineLevel="0" collapsed="false">
      <c r="A100" s="11"/>
      <c r="B100" s="24"/>
      <c r="C100" s="24"/>
      <c r="D100" s="31" t="str">
        <f aca="false">IF(C100="","",IF(LEN(UPPER(SUBSTITUTE(SUBSTITUTE(SUBSTITUTE(SUBSTITUTE(TRIM(C100),".",""),"/",""),"-","")," ","")))&lt;14,RIGHT(REPT("0",14)&amp;UPPER(SUBSTITUTE(SUBSTITUTE(SUBSTITUTE(SUBSTITUTE(TRIM(C100),".",""),"/",""),"-","")," ","")),14),UPPER(SUBSTITUTE(SUBSTITUTE(SUBSTITUTE(SUBSTITUTE(TRIM(C100),".",""),"/",""),"-","")," ",""))))</f>
        <v/>
      </c>
      <c r="E100" s="25" t="str">
        <f aca="false">IF(D100="","",IFERROR(INDEX(Empresas!$C:$C,MATCH(D100,Empresas!$B:$B,0)),"cadastre o CNPJ em Empresas"))</f>
        <v/>
      </c>
      <c r="F100" s="11"/>
      <c r="G100" s="23"/>
      <c r="H100" s="22"/>
      <c r="I100" s="35"/>
      <c r="J100" s="35"/>
      <c r="K100" s="36" t="str">
        <f aca="false">IF(I100="","",I100+J100)</f>
        <v/>
      </c>
      <c r="L100" s="37" t="str">
        <f aca="false">IF(OR(I100="",I100=0,J100=""),"",J100/I100)</f>
        <v/>
      </c>
      <c r="M100" s="25" t="str">
        <f aca="false">IF(L100="","",IF(L100&gt;0.25,"ACRÉSCIMO ACIMA DE 25% — conferir",""))</f>
        <v/>
      </c>
      <c r="N100" s="29" t="str">
        <f aca="false">IF(D100="","",IF(COUNTIFS(Empresas!$B:$B,D100,Empresas!$E:$E,"&lt;&gt;")=0,"",INDEX(Empresas!$E:$E,MATCH(D100,Empresas!$B:$B,0))))</f>
        <v/>
      </c>
      <c r="O100" s="27" t="str">
        <f aca="false">IF(OR(N100="",H100=""),"",H100-N100)</f>
        <v/>
      </c>
      <c r="P100" s="25" t="str">
        <f aca="false">IF(O100="","",IF(O100&lt;0,"CONTRATO ANTERIOR À ABERTURA — conferir datas",IF(O100&lt;180,"EMPRESA ABERTA MENOS DE 6 MESES ANTES","")))</f>
        <v/>
      </c>
      <c r="Q100" s="31" t="str">
        <f aca="false">IF(D100="","",IFERROR(INDEX(Sancoes!$D:$D,MATCH(D100,Sancoes!$C:$C,0)),"não consta"))</f>
        <v/>
      </c>
      <c r="R100" s="25" t="str">
        <f aca="false">IF(OR(D100="",H100=""),"",IF(SUMPRODUCT((Sancoes!$C$5:$C$304=D100)*(Sancoes!$G$5:$G$304&lt;=H100)*(((Sancoes!$H$5:$H$304="")+(Sancoes!$H$5:$H$304&gt;=H100))&gt;0))&gt;0,"SANÇÃO VIGENTE NA DATA — ler tipo e abrangência",""))</f>
        <v/>
      </c>
      <c r="S100" s="24"/>
      <c r="T100" s="11"/>
    </row>
    <row r="101" customFormat="false" ht="15" hidden="false" customHeight="false" outlineLevel="0" collapsed="false">
      <c r="A101" s="11"/>
      <c r="B101" s="24"/>
      <c r="C101" s="24"/>
      <c r="D101" s="31" t="str">
        <f aca="false">IF(C101="","",IF(LEN(UPPER(SUBSTITUTE(SUBSTITUTE(SUBSTITUTE(SUBSTITUTE(TRIM(C101),".",""),"/",""),"-","")," ","")))&lt;14,RIGHT(REPT("0",14)&amp;UPPER(SUBSTITUTE(SUBSTITUTE(SUBSTITUTE(SUBSTITUTE(TRIM(C101),".",""),"/",""),"-","")," ","")),14),UPPER(SUBSTITUTE(SUBSTITUTE(SUBSTITUTE(SUBSTITUTE(TRIM(C101),".",""),"/",""),"-","")," ",""))))</f>
        <v/>
      </c>
      <c r="E101" s="25" t="str">
        <f aca="false">IF(D101="","",IFERROR(INDEX(Empresas!$C:$C,MATCH(D101,Empresas!$B:$B,0)),"cadastre o CNPJ em Empresas"))</f>
        <v/>
      </c>
      <c r="F101" s="11"/>
      <c r="G101" s="23"/>
      <c r="H101" s="22"/>
      <c r="I101" s="35"/>
      <c r="J101" s="35"/>
      <c r="K101" s="36" t="str">
        <f aca="false">IF(I101="","",I101+J101)</f>
        <v/>
      </c>
      <c r="L101" s="37" t="str">
        <f aca="false">IF(OR(I101="",I101=0,J101=""),"",J101/I101)</f>
        <v/>
      </c>
      <c r="M101" s="25" t="str">
        <f aca="false">IF(L101="","",IF(L101&gt;0.25,"ACRÉSCIMO ACIMA DE 25% — conferir",""))</f>
        <v/>
      </c>
      <c r="N101" s="29" t="str">
        <f aca="false">IF(D101="","",IF(COUNTIFS(Empresas!$B:$B,D101,Empresas!$E:$E,"&lt;&gt;")=0,"",INDEX(Empresas!$E:$E,MATCH(D101,Empresas!$B:$B,0))))</f>
        <v/>
      </c>
      <c r="O101" s="27" t="str">
        <f aca="false">IF(OR(N101="",H101=""),"",H101-N101)</f>
        <v/>
      </c>
      <c r="P101" s="25" t="str">
        <f aca="false">IF(O101="","",IF(O101&lt;0,"CONTRATO ANTERIOR À ABERTURA — conferir datas",IF(O101&lt;180,"EMPRESA ABERTA MENOS DE 6 MESES ANTES","")))</f>
        <v/>
      </c>
      <c r="Q101" s="31" t="str">
        <f aca="false">IF(D101="","",IFERROR(INDEX(Sancoes!$D:$D,MATCH(D101,Sancoes!$C:$C,0)),"não consta"))</f>
        <v/>
      </c>
      <c r="R101" s="25" t="str">
        <f aca="false">IF(OR(D101="",H101=""),"",IF(SUMPRODUCT((Sancoes!$C$5:$C$304=D101)*(Sancoes!$G$5:$G$304&lt;=H101)*(((Sancoes!$H$5:$H$304="")+(Sancoes!$H$5:$H$304&gt;=H101))&gt;0))&gt;0,"SANÇÃO VIGENTE NA DATA — ler tipo e abrangência",""))</f>
        <v/>
      </c>
      <c r="S101" s="24"/>
      <c r="T101" s="11"/>
    </row>
    <row r="102" customFormat="false" ht="15" hidden="false" customHeight="false" outlineLevel="0" collapsed="false">
      <c r="A102" s="11"/>
      <c r="B102" s="24"/>
      <c r="C102" s="24"/>
      <c r="D102" s="31" t="str">
        <f aca="false">IF(C102="","",IF(LEN(UPPER(SUBSTITUTE(SUBSTITUTE(SUBSTITUTE(SUBSTITUTE(TRIM(C102),".",""),"/",""),"-","")," ","")))&lt;14,RIGHT(REPT("0",14)&amp;UPPER(SUBSTITUTE(SUBSTITUTE(SUBSTITUTE(SUBSTITUTE(TRIM(C102),".",""),"/",""),"-","")," ","")),14),UPPER(SUBSTITUTE(SUBSTITUTE(SUBSTITUTE(SUBSTITUTE(TRIM(C102),".",""),"/",""),"-","")," ",""))))</f>
        <v/>
      </c>
      <c r="E102" s="25" t="str">
        <f aca="false">IF(D102="","",IFERROR(INDEX(Empresas!$C:$C,MATCH(D102,Empresas!$B:$B,0)),"cadastre o CNPJ em Empresas"))</f>
        <v/>
      </c>
      <c r="F102" s="11"/>
      <c r="G102" s="23"/>
      <c r="H102" s="22"/>
      <c r="I102" s="35"/>
      <c r="J102" s="35"/>
      <c r="K102" s="36" t="str">
        <f aca="false">IF(I102="","",I102+J102)</f>
        <v/>
      </c>
      <c r="L102" s="37" t="str">
        <f aca="false">IF(OR(I102="",I102=0,J102=""),"",J102/I102)</f>
        <v/>
      </c>
      <c r="M102" s="25" t="str">
        <f aca="false">IF(L102="","",IF(L102&gt;0.25,"ACRÉSCIMO ACIMA DE 25% — conferir",""))</f>
        <v/>
      </c>
      <c r="N102" s="29" t="str">
        <f aca="false">IF(D102="","",IF(COUNTIFS(Empresas!$B:$B,D102,Empresas!$E:$E,"&lt;&gt;")=0,"",INDEX(Empresas!$E:$E,MATCH(D102,Empresas!$B:$B,0))))</f>
        <v/>
      </c>
      <c r="O102" s="27" t="str">
        <f aca="false">IF(OR(N102="",H102=""),"",H102-N102)</f>
        <v/>
      </c>
      <c r="P102" s="25" t="str">
        <f aca="false">IF(O102="","",IF(O102&lt;0,"CONTRATO ANTERIOR À ABERTURA — conferir datas",IF(O102&lt;180,"EMPRESA ABERTA MENOS DE 6 MESES ANTES","")))</f>
        <v/>
      </c>
      <c r="Q102" s="31" t="str">
        <f aca="false">IF(D102="","",IFERROR(INDEX(Sancoes!$D:$D,MATCH(D102,Sancoes!$C:$C,0)),"não consta"))</f>
        <v/>
      </c>
      <c r="R102" s="25" t="str">
        <f aca="false">IF(OR(D102="",H102=""),"",IF(SUMPRODUCT((Sancoes!$C$5:$C$304=D102)*(Sancoes!$G$5:$G$304&lt;=H102)*(((Sancoes!$H$5:$H$304="")+(Sancoes!$H$5:$H$304&gt;=H102))&gt;0))&gt;0,"SANÇÃO VIGENTE NA DATA — ler tipo e abrangência",""))</f>
        <v/>
      </c>
      <c r="S102" s="24"/>
      <c r="T102" s="11"/>
    </row>
    <row r="103" customFormat="false" ht="15" hidden="false" customHeight="false" outlineLevel="0" collapsed="false">
      <c r="A103" s="11"/>
      <c r="B103" s="24"/>
      <c r="C103" s="24"/>
      <c r="D103" s="31" t="str">
        <f aca="false">IF(C103="","",IF(LEN(UPPER(SUBSTITUTE(SUBSTITUTE(SUBSTITUTE(SUBSTITUTE(TRIM(C103),".",""),"/",""),"-","")," ","")))&lt;14,RIGHT(REPT("0",14)&amp;UPPER(SUBSTITUTE(SUBSTITUTE(SUBSTITUTE(SUBSTITUTE(TRIM(C103),".",""),"/",""),"-","")," ","")),14),UPPER(SUBSTITUTE(SUBSTITUTE(SUBSTITUTE(SUBSTITUTE(TRIM(C103),".",""),"/",""),"-","")," ",""))))</f>
        <v/>
      </c>
      <c r="E103" s="25" t="str">
        <f aca="false">IF(D103="","",IFERROR(INDEX(Empresas!$C:$C,MATCH(D103,Empresas!$B:$B,0)),"cadastre o CNPJ em Empresas"))</f>
        <v/>
      </c>
      <c r="F103" s="11"/>
      <c r="G103" s="23"/>
      <c r="H103" s="22"/>
      <c r="I103" s="35"/>
      <c r="J103" s="35"/>
      <c r="K103" s="36" t="str">
        <f aca="false">IF(I103="","",I103+J103)</f>
        <v/>
      </c>
      <c r="L103" s="37" t="str">
        <f aca="false">IF(OR(I103="",I103=0,J103=""),"",J103/I103)</f>
        <v/>
      </c>
      <c r="M103" s="25" t="str">
        <f aca="false">IF(L103="","",IF(L103&gt;0.25,"ACRÉSCIMO ACIMA DE 25% — conferir",""))</f>
        <v/>
      </c>
      <c r="N103" s="29" t="str">
        <f aca="false">IF(D103="","",IF(COUNTIFS(Empresas!$B:$B,D103,Empresas!$E:$E,"&lt;&gt;")=0,"",INDEX(Empresas!$E:$E,MATCH(D103,Empresas!$B:$B,0))))</f>
        <v/>
      </c>
      <c r="O103" s="27" t="str">
        <f aca="false">IF(OR(N103="",H103=""),"",H103-N103)</f>
        <v/>
      </c>
      <c r="P103" s="25" t="str">
        <f aca="false">IF(O103="","",IF(O103&lt;0,"CONTRATO ANTERIOR À ABERTURA — conferir datas",IF(O103&lt;180,"EMPRESA ABERTA MENOS DE 6 MESES ANTES","")))</f>
        <v/>
      </c>
      <c r="Q103" s="31" t="str">
        <f aca="false">IF(D103="","",IFERROR(INDEX(Sancoes!$D:$D,MATCH(D103,Sancoes!$C:$C,0)),"não consta"))</f>
        <v/>
      </c>
      <c r="R103" s="25" t="str">
        <f aca="false">IF(OR(D103="",H103=""),"",IF(SUMPRODUCT((Sancoes!$C$5:$C$304=D103)*(Sancoes!$G$5:$G$304&lt;=H103)*(((Sancoes!$H$5:$H$304="")+(Sancoes!$H$5:$H$304&gt;=H103))&gt;0))&gt;0,"SANÇÃO VIGENTE NA DATA — ler tipo e abrangência",""))</f>
        <v/>
      </c>
      <c r="S103" s="24"/>
      <c r="T103" s="11"/>
    </row>
    <row r="104" customFormat="false" ht="15" hidden="false" customHeight="false" outlineLevel="0" collapsed="false">
      <c r="A104" s="11"/>
      <c r="B104" s="24"/>
      <c r="C104" s="24"/>
      <c r="D104" s="31" t="str">
        <f aca="false">IF(C104="","",IF(LEN(UPPER(SUBSTITUTE(SUBSTITUTE(SUBSTITUTE(SUBSTITUTE(TRIM(C104),".",""),"/",""),"-","")," ","")))&lt;14,RIGHT(REPT("0",14)&amp;UPPER(SUBSTITUTE(SUBSTITUTE(SUBSTITUTE(SUBSTITUTE(TRIM(C104),".",""),"/",""),"-","")," ","")),14),UPPER(SUBSTITUTE(SUBSTITUTE(SUBSTITUTE(SUBSTITUTE(TRIM(C104),".",""),"/",""),"-","")," ",""))))</f>
        <v/>
      </c>
      <c r="E104" s="25" t="str">
        <f aca="false">IF(D104="","",IFERROR(INDEX(Empresas!$C:$C,MATCH(D104,Empresas!$B:$B,0)),"cadastre o CNPJ em Empresas"))</f>
        <v/>
      </c>
      <c r="F104" s="11"/>
      <c r="G104" s="23"/>
      <c r="H104" s="22"/>
      <c r="I104" s="35"/>
      <c r="J104" s="35"/>
      <c r="K104" s="36" t="str">
        <f aca="false">IF(I104="","",I104+J104)</f>
        <v/>
      </c>
      <c r="L104" s="37" t="str">
        <f aca="false">IF(OR(I104="",I104=0,J104=""),"",J104/I104)</f>
        <v/>
      </c>
      <c r="M104" s="25" t="str">
        <f aca="false">IF(L104="","",IF(L104&gt;0.25,"ACRÉSCIMO ACIMA DE 25% — conferir",""))</f>
        <v/>
      </c>
      <c r="N104" s="29" t="str">
        <f aca="false">IF(D104="","",IF(COUNTIFS(Empresas!$B:$B,D104,Empresas!$E:$E,"&lt;&gt;")=0,"",INDEX(Empresas!$E:$E,MATCH(D104,Empresas!$B:$B,0))))</f>
        <v/>
      </c>
      <c r="O104" s="27" t="str">
        <f aca="false">IF(OR(N104="",H104=""),"",H104-N104)</f>
        <v/>
      </c>
      <c r="P104" s="25" t="str">
        <f aca="false">IF(O104="","",IF(O104&lt;0,"CONTRATO ANTERIOR À ABERTURA — conferir datas",IF(O104&lt;180,"EMPRESA ABERTA MENOS DE 6 MESES ANTES","")))</f>
        <v/>
      </c>
      <c r="Q104" s="31" t="str">
        <f aca="false">IF(D104="","",IFERROR(INDEX(Sancoes!$D:$D,MATCH(D104,Sancoes!$C:$C,0)),"não consta"))</f>
        <v/>
      </c>
      <c r="R104" s="25" t="str">
        <f aca="false">IF(OR(D104="",H104=""),"",IF(SUMPRODUCT((Sancoes!$C$5:$C$304=D104)*(Sancoes!$G$5:$G$304&lt;=H104)*(((Sancoes!$H$5:$H$304="")+(Sancoes!$H$5:$H$304&gt;=H104))&gt;0))&gt;0,"SANÇÃO VIGENTE NA DATA — ler tipo e abrangência",""))</f>
        <v/>
      </c>
      <c r="S104" s="24"/>
      <c r="T104" s="11"/>
    </row>
    <row r="105" customFormat="false" ht="15" hidden="false" customHeight="false" outlineLevel="0" collapsed="false">
      <c r="A105" s="11"/>
      <c r="B105" s="24"/>
      <c r="C105" s="24"/>
      <c r="D105" s="31" t="str">
        <f aca="false">IF(C105="","",IF(LEN(UPPER(SUBSTITUTE(SUBSTITUTE(SUBSTITUTE(SUBSTITUTE(TRIM(C105),".",""),"/",""),"-","")," ","")))&lt;14,RIGHT(REPT("0",14)&amp;UPPER(SUBSTITUTE(SUBSTITUTE(SUBSTITUTE(SUBSTITUTE(TRIM(C105),".",""),"/",""),"-","")," ","")),14),UPPER(SUBSTITUTE(SUBSTITUTE(SUBSTITUTE(SUBSTITUTE(TRIM(C105),".",""),"/",""),"-","")," ",""))))</f>
        <v/>
      </c>
      <c r="E105" s="25" t="str">
        <f aca="false">IF(D105="","",IFERROR(INDEX(Empresas!$C:$C,MATCH(D105,Empresas!$B:$B,0)),"cadastre o CNPJ em Empresas"))</f>
        <v/>
      </c>
      <c r="F105" s="11"/>
      <c r="G105" s="23"/>
      <c r="H105" s="22"/>
      <c r="I105" s="35"/>
      <c r="J105" s="35"/>
      <c r="K105" s="36" t="str">
        <f aca="false">IF(I105="","",I105+J105)</f>
        <v/>
      </c>
      <c r="L105" s="37" t="str">
        <f aca="false">IF(OR(I105="",I105=0,J105=""),"",J105/I105)</f>
        <v/>
      </c>
      <c r="M105" s="25" t="str">
        <f aca="false">IF(L105="","",IF(L105&gt;0.25,"ACRÉSCIMO ACIMA DE 25% — conferir",""))</f>
        <v/>
      </c>
      <c r="N105" s="29" t="str">
        <f aca="false">IF(D105="","",IF(COUNTIFS(Empresas!$B:$B,D105,Empresas!$E:$E,"&lt;&gt;")=0,"",INDEX(Empresas!$E:$E,MATCH(D105,Empresas!$B:$B,0))))</f>
        <v/>
      </c>
      <c r="O105" s="27" t="str">
        <f aca="false">IF(OR(N105="",H105=""),"",H105-N105)</f>
        <v/>
      </c>
      <c r="P105" s="25" t="str">
        <f aca="false">IF(O105="","",IF(O105&lt;0,"CONTRATO ANTERIOR À ABERTURA — conferir datas",IF(O105&lt;180,"EMPRESA ABERTA MENOS DE 6 MESES ANTES","")))</f>
        <v/>
      </c>
      <c r="Q105" s="31" t="str">
        <f aca="false">IF(D105="","",IFERROR(INDEX(Sancoes!$D:$D,MATCH(D105,Sancoes!$C:$C,0)),"não consta"))</f>
        <v/>
      </c>
      <c r="R105" s="25" t="str">
        <f aca="false">IF(OR(D105="",H105=""),"",IF(SUMPRODUCT((Sancoes!$C$5:$C$304=D105)*(Sancoes!$G$5:$G$304&lt;=H105)*(((Sancoes!$H$5:$H$304="")+(Sancoes!$H$5:$H$304&gt;=H105))&gt;0))&gt;0,"SANÇÃO VIGENTE NA DATA — ler tipo e abrangência",""))</f>
        <v/>
      </c>
      <c r="S105" s="24"/>
      <c r="T105" s="11"/>
    </row>
    <row r="106" customFormat="false" ht="15" hidden="false" customHeight="false" outlineLevel="0" collapsed="false">
      <c r="A106" s="11"/>
      <c r="B106" s="24"/>
      <c r="C106" s="24"/>
      <c r="D106" s="31" t="str">
        <f aca="false">IF(C106="","",IF(LEN(UPPER(SUBSTITUTE(SUBSTITUTE(SUBSTITUTE(SUBSTITUTE(TRIM(C106),".",""),"/",""),"-","")," ","")))&lt;14,RIGHT(REPT("0",14)&amp;UPPER(SUBSTITUTE(SUBSTITUTE(SUBSTITUTE(SUBSTITUTE(TRIM(C106),".",""),"/",""),"-","")," ","")),14),UPPER(SUBSTITUTE(SUBSTITUTE(SUBSTITUTE(SUBSTITUTE(TRIM(C106),".",""),"/",""),"-","")," ",""))))</f>
        <v/>
      </c>
      <c r="E106" s="25" t="str">
        <f aca="false">IF(D106="","",IFERROR(INDEX(Empresas!$C:$C,MATCH(D106,Empresas!$B:$B,0)),"cadastre o CNPJ em Empresas"))</f>
        <v/>
      </c>
      <c r="F106" s="11"/>
      <c r="G106" s="23"/>
      <c r="H106" s="22"/>
      <c r="I106" s="35"/>
      <c r="J106" s="35"/>
      <c r="K106" s="36" t="str">
        <f aca="false">IF(I106="","",I106+J106)</f>
        <v/>
      </c>
      <c r="L106" s="37" t="str">
        <f aca="false">IF(OR(I106="",I106=0,J106=""),"",J106/I106)</f>
        <v/>
      </c>
      <c r="M106" s="25" t="str">
        <f aca="false">IF(L106="","",IF(L106&gt;0.25,"ACRÉSCIMO ACIMA DE 25% — conferir",""))</f>
        <v/>
      </c>
      <c r="N106" s="29" t="str">
        <f aca="false">IF(D106="","",IF(COUNTIFS(Empresas!$B:$B,D106,Empresas!$E:$E,"&lt;&gt;")=0,"",INDEX(Empresas!$E:$E,MATCH(D106,Empresas!$B:$B,0))))</f>
        <v/>
      </c>
      <c r="O106" s="27" t="str">
        <f aca="false">IF(OR(N106="",H106=""),"",H106-N106)</f>
        <v/>
      </c>
      <c r="P106" s="25" t="str">
        <f aca="false">IF(O106="","",IF(O106&lt;0,"CONTRATO ANTERIOR À ABERTURA — conferir datas",IF(O106&lt;180,"EMPRESA ABERTA MENOS DE 6 MESES ANTES","")))</f>
        <v/>
      </c>
      <c r="Q106" s="31" t="str">
        <f aca="false">IF(D106="","",IFERROR(INDEX(Sancoes!$D:$D,MATCH(D106,Sancoes!$C:$C,0)),"não consta"))</f>
        <v/>
      </c>
      <c r="R106" s="25" t="str">
        <f aca="false">IF(OR(D106="",H106=""),"",IF(SUMPRODUCT((Sancoes!$C$5:$C$304=D106)*(Sancoes!$G$5:$G$304&lt;=H106)*(((Sancoes!$H$5:$H$304="")+(Sancoes!$H$5:$H$304&gt;=H106))&gt;0))&gt;0,"SANÇÃO VIGENTE NA DATA — ler tipo e abrangência",""))</f>
        <v/>
      </c>
      <c r="S106" s="24"/>
      <c r="T106" s="11"/>
    </row>
    <row r="107" customFormat="false" ht="15" hidden="false" customHeight="false" outlineLevel="0" collapsed="false">
      <c r="A107" s="11"/>
      <c r="B107" s="24"/>
      <c r="C107" s="24"/>
      <c r="D107" s="31" t="str">
        <f aca="false">IF(C107="","",IF(LEN(UPPER(SUBSTITUTE(SUBSTITUTE(SUBSTITUTE(SUBSTITUTE(TRIM(C107),".",""),"/",""),"-","")," ","")))&lt;14,RIGHT(REPT("0",14)&amp;UPPER(SUBSTITUTE(SUBSTITUTE(SUBSTITUTE(SUBSTITUTE(TRIM(C107),".",""),"/",""),"-","")," ","")),14),UPPER(SUBSTITUTE(SUBSTITUTE(SUBSTITUTE(SUBSTITUTE(TRIM(C107),".",""),"/",""),"-","")," ",""))))</f>
        <v/>
      </c>
      <c r="E107" s="25" t="str">
        <f aca="false">IF(D107="","",IFERROR(INDEX(Empresas!$C:$C,MATCH(D107,Empresas!$B:$B,0)),"cadastre o CNPJ em Empresas"))</f>
        <v/>
      </c>
      <c r="F107" s="11"/>
      <c r="G107" s="23"/>
      <c r="H107" s="22"/>
      <c r="I107" s="35"/>
      <c r="J107" s="35"/>
      <c r="K107" s="36" t="str">
        <f aca="false">IF(I107="","",I107+J107)</f>
        <v/>
      </c>
      <c r="L107" s="37" t="str">
        <f aca="false">IF(OR(I107="",I107=0,J107=""),"",J107/I107)</f>
        <v/>
      </c>
      <c r="M107" s="25" t="str">
        <f aca="false">IF(L107="","",IF(L107&gt;0.25,"ACRÉSCIMO ACIMA DE 25% — conferir",""))</f>
        <v/>
      </c>
      <c r="N107" s="29" t="str">
        <f aca="false">IF(D107="","",IF(COUNTIFS(Empresas!$B:$B,D107,Empresas!$E:$E,"&lt;&gt;")=0,"",INDEX(Empresas!$E:$E,MATCH(D107,Empresas!$B:$B,0))))</f>
        <v/>
      </c>
      <c r="O107" s="27" t="str">
        <f aca="false">IF(OR(N107="",H107=""),"",H107-N107)</f>
        <v/>
      </c>
      <c r="P107" s="25" t="str">
        <f aca="false">IF(O107="","",IF(O107&lt;0,"CONTRATO ANTERIOR À ABERTURA — conferir datas",IF(O107&lt;180,"EMPRESA ABERTA MENOS DE 6 MESES ANTES","")))</f>
        <v/>
      </c>
      <c r="Q107" s="31" t="str">
        <f aca="false">IF(D107="","",IFERROR(INDEX(Sancoes!$D:$D,MATCH(D107,Sancoes!$C:$C,0)),"não consta"))</f>
        <v/>
      </c>
      <c r="R107" s="25" t="str">
        <f aca="false">IF(OR(D107="",H107=""),"",IF(SUMPRODUCT((Sancoes!$C$5:$C$304=D107)*(Sancoes!$G$5:$G$304&lt;=H107)*(((Sancoes!$H$5:$H$304="")+(Sancoes!$H$5:$H$304&gt;=H107))&gt;0))&gt;0,"SANÇÃO VIGENTE NA DATA — ler tipo e abrangência",""))</f>
        <v/>
      </c>
      <c r="S107" s="24"/>
      <c r="T107" s="11"/>
    </row>
    <row r="108" customFormat="false" ht="15" hidden="false" customHeight="false" outlineLevel="0" collapsed="false">
      <c r="A108" s="11"/>
      <c r="B108" s="24"/>
      <c r="C108" s="24"/>
      <c r="D108" s="31" t="str">
        <f aca="false">IF(C108="","",IF(LEN(UPPER(SUBSTITUTE(SUBSTITUTE(SUBSTITUTE(SUBSTITUTE(TRIM(C108),".",""),"/",""),"-","")," ","")))&lt;14,RIGHT(REPT("0",14)&amp;UPPER(SUBSTITUTE(SUBSTITUTE(SUBSTITUTE(SUBSTITUTE(TRIM(C108),".",""),"/",""),"-","")," ","")),14),UPPER(SUBSTITUTE(SUBSTITUTE(SUBSTITUTE(SUBSTITUTE(TRIM(C108),".",""),"/",""),"-","")," ",""))))</f>
        <v/>
      </c>
      <c r="E108" s="25" t="str">
        <f aca="false">IF(D108="","",IFERROR(INDEX(Empresas!$C:$C,MATCH(D108,Empresas!$B:$B,0)),"cadastre o CNPJ em Empresas"))</f>
        <v/>
      </c>
      <c r="F108" s="11"/>
      <c r="G108" s="23"/>
      <c r="H108" s="22"/>
      <c r="I108" s="35"/>
      <c r="J108" s="35"/>
      <c r="K108" s="36" t="str">
        <f aca="false">IF(I108="","",I108+J108)</f>
        <v/>
      </c>
      <c r="L108" s="37" t="str">
        <f aca="false">IF(OR(I108="",I108=0,J108=""),"",J108/I108)</f>
        <v/>
      </c>
      <c r="M108" s="25" t="str">
        <f aca="false">IF(L108="","",IF(L108&gt;0.25,"ACRÉSCIMO ACIMA DE 25% — conferir",""))</f>
        <v/>
      </c>
      <c r="N108" s="29" t="str">
        <f aca="false">IF(D108="","",IF(COUNTIFS(Empresas!$B:$B,D108,Empresas!$E:$E,"&lt;&gt;")=0,"",INDEX(Empresas!$E:$E,MATCH(D108,Empresas!$B:$B,0))))</f>
        <v/>
      </c>
      <c r="O108" s="27" t="str">
        <f aca="false">IF(OR(N108="",H108=""),"",H108-N108)</f>
        <v/>
      </c>
      <c r="P108" s="25" t="str">
        <f aca="false">IF(O108="","",IF(O108&lt;0,"CONTRATO ANTERIOR À ABERTURA — conferir datas",IF(O108&lt;180,"EMPRESA ABERTA MENOS DE 6 MESES ANTES","")))</f>
        <v/>
      </c>
      <c r="Q108" s="31" t="str">
        <f aca="false">IF(D108="","",IFERROR(INDEX(Sancoes!$D:$D,MATCH(D108,Sancoes!$C:$C,0)),"não consta"))</f>
        <v/>
      </c>
      <c r="R108" s="25" t="str">
        <f aca="false">IF(OR(D108="",H108=""),"",IF(SUMPRODUCT((Sancoes!$C$5:$C$304=D108)*(Sancoes!$G$5:$G$304&lt;=H108)*(((Sancoes!$H$5:$H$304="")+(Sancoes!$H$5:$H$304&gt;=H108))&gt;0))&gt;0,"SANÇÃO VIGENTE NA DATA — ler tipo e abrangência",""))</f>
        <v/>
      </c>
      <c r="S108" s="24"/>
      <c r="T108" s="11"/>
    </row>
    <row r="109" customFormat="false" ht="15" hidden="false" customHeight="false" outlineLevel="0" collapsed="false">
      <c r="A109" s="11"/>
      <c r="B109" s="24"/>
      <c r="C109" s="24"/>
      <c r="D109" s="31" t="str">
        <f aca="false">IF(C109="","",IF(LEN(UPPER(SUBSTITUTE(SUBSTITUTE(SUBSTITUTE(SUBSTITUTE(TRIM(C109),".",""),"/",""),"-","")," ","")))&lt;14,RIGHT(REPT("0",14)&amp;UPPER(SUBSTITUTE(SUBSTITUTE(SUBSTITUTE(SUBSTITUTE(TRIM(C109),".",""),"/",""),"-","")," ","")),14),UPPER(SUBSTITUTE(SUBSTITUTE(SUBSTITUTE(SUBSTITUTE(TRIM(C109),".",""),"/",""),"-","")," ",""))))</f>
        <v/>
      </c>
      <c r="E109" s="25" t="str">
        <f aca="false">IF(D109="","",IFERROR(INDEX(Empresas!$C:$C,MATCH(D109,Empresas!$B:$B,0)),"cadastre o CNPJ em Empresas"))</f>
        <v/>
      </c>
      <c r="F109" s="11"/>
      <c r="G109" s="23"/>
      <c r="H109" s="22"/>
      <c r="I109" s="35"/>
      <c r="J109" s="35"/>
      <c r="K109" s="36" t="str">
        <f aca="false">IF(I109="","",I109+J109)</f>
        <v/>
      </c>
      <c r="L109" s="37" t="str">
        <f aca="false">IF(OR(I109="",I109=0,J109=""),"",J109/I109)</f>
        <v/>
      </c>
      <c r="M109" s="25" t="str">
        <f aca="false">IF(L109="","",IF(L109&gt;0.25,"ACRÉSCIMO ACIMA DE 25% — conferir",""))</f>
        <v/>
      </c>
      <c r="N109" s="29" t="str">
        <f aca="false">IF(D109="","",IF(COUNTIFS(Empresas!$B:$B,D109,Empresas!$E:$E,"&lt;&gt;")=0,"",INDEX(Empresas!$E:$E,MATCH(D109,Empresas!$B:$B,0))))</f>
        <v/>
      </c>
      <c r="O109" s="27" t="str">
        <f aca="false">IF(OR(N109="",H109=""),"",H109-N109)</f>
        <v/>
      </c>
      <c r="P109" s="25" t="str">
        <f aca="false">IF(O109="","",IF(O109&lt;0,"CONTRATO ANTERIOR À ABERTURA — conferir datas",IF(O109&lt;180,"EMPRESA ABERTA MENOS DE 6 MESES ANTES","")))</f>
        <v/>
      </c>
      <c r="Q109" s="31" t="str">
        <f aca="false">IF(D109="","",IFERROR(INDEX(Sancoes!$D:$D,MATCH(D109,Sancoes!$C:$C,0)),"não consta"))</f>
        <v/>
      </c>
      <c r="R109" s="25" t="str">
        <f aca="false">IF(OR(D109="",H109=""),"",IF(SUMPRODUCT((Sancoes!$C$5:$C$304=D109)*(Sancoes!$G$5:$G$304&lt;=H109)*(((Sancoes!$H$5:$H$304="")+(Sancoes!$H$5:$H$304&gt;=H109))&gt;0))&gt;0,"SANÇÃO VIGENTE NA DATA — ler tipo e abrangência",""))</f>
        <v/>
      </c>
      <c r="S109" s="24"/>
      <c r="T109" s="11"/>
    </row>
    <row r="110" customFormat="false" ht="15" hidden="false" customHeight="false" outlineLevel="0" collapsed="false">
      <c r="A110" s="11"/>
      <c r="B110" s="24"/>
      <c r="C110" s="24"/>
      <c r="D110" s="31" t="str">
        <f aca="false">IF(C110="","",IF(LEN(UPPER(SUBSTITUTE(SUBSTITUTE(SUBSTITUTE(SUBSTITUTE(TRIM(C110),".",""),"/",""),"-","")," ","")))&lt;14,RIGHT(REPT("0",14)&amp;UPPER(SUBSTITUTE(SUBSTITUTE(SUBSTITUTE(SUBSTITUTE(TRIM(C110),".",""),"/",""),"-","")," ","")),14),UPPER(SUBSTITUTE(SUBSTITUTE(SUBSTITUTE(SUBSTITUTE(TRIM(C110),".",""),"/",""),"-","")," ",""))))</f>
        <v/>
      </c>
      <c r="E110" s="25" t="str">
        <f aca="false">IF(D110="","",IFERROR(INDEX(Empresas!$C:$C,MATCH(D110,Empresas!$B:$B,0)),"cadastre o CNPJ em Empresas"))</f>
        <v/>
      </c>
      <c r="F110" s="11"/>
      <c r="G110" s="23"/>
      <c r="H110" s="22"/>
      <c r="I110" s="35"/>
      <c r="J110" s="35"/>
      <c r="K110" s="36" t="str">
        <f aca="false">IF(I110="","",I110+J110)</f>
        <v/>
      </c>
      <c r="L110" s="37" t="str">
        <f aca="false">IF(OR(I110="",I110=0,J110=""),"",J110/I110)</f>
        <v/>
      </c>
      <c r="M110" s="25" t="str">
        <f aca="false">IF(L110="","",IF(L110&gt;0.25,"ACRÉSCIMO ACIMA DE 25% — conferir",""))</f>
        <v/>
      </c>
      <c r="N110" s="29" t="str">
        <f aca="false">IF(D110="","",IF(COUNTIFS(Empresas!$B:$B,D110,Empresas!$E:$E,"&lt;&gt;")=0,"",INDEX(Empresas!$E:$E,MATCH(D110,Empresas!$B:$B,0))))</f>
        <v/>
      </c>
      <c r="O110" s="27" t="str">
        <f aca="false">IF(OR(N110="",H110=""),"",H110-N110)</f>
        <v/>
      </c>
      <c r="P110" s="25" t="str">
        <f aca="false">IF(O110="","",IF(O110&lt;0,"CONTRATO ANTERIOR À ABERTURA — conferir datas",IF(O110&lt;180,"EMPRESA ABERTA MENOS DE 6 MESES ANTES","")))</f>
        <v/>
      </c>
      <c r="Q110" s="31" t="str">
        <f aca="false">IF(D110="","",IFERROR(INDEX(Sancoes!$D:$D,MATCH(D110,Sancoes!$C:$C,0)),"não consta"))</f>
        <v/>
      </c>
      <c r="R110" s="25" t="str">
        <f aca="false">IF(OR(D110="",H110=""),"",IF(SUMPRODUCT((Sancoes!$C$5:$C$304=D110)*(Sancoes!$G$5:$G$304&lt;=H110)*(((Sancoes!$H$5:$H$304="")+(Sancoes!$H$5:$H$304&gt;=H110))&gt;0))&gt;0,"SANÇÃO VIGENTE NA DATA — ler tipo e abrangência",""))</f>
        <v/>
      </c>
      <c r="S110" s="24"/>
      <c r="T110" s="11"/>
    </row>
    <row r="111" customFormat="false" ht="15" hidden="false" customHeight="false" outlineLevel="0" collapsed="false">
      <c r="A111" s="11"/>
      <c r="B111" s="24"/>
      <c r="C111" s="24"/>
      <c r="D111" s="31" t="str">
        <f aca="false">IF(C111="","",IF(LEN(UPPER(SUBSTITUTE(SUBSTITUTE(SUBSTITUTE(SUBSTITUTE(TRIM(C111),".",""),"/",""),"-","")," ","")))&lt;14,RIGHT(REPT("0",14)&amp;UPPER(SUBSTITUTE(SUBSTITUTE(SUBSTITUTE(SUBSTITUTE(TRIM(C111),".",""),"/",""),"-","")," ","")),14),UPPER(SUBSTITUTE(SUBSTITUTE(SUBSTITUTE(SUBSTITUTE(TRIM(C111),".",""),"/",""),"-","")," ",""))))</f>
        <v/>
      </c>
      <c r="E111" s="25" t="str">
        <f aca="false">IF(D111="","",IFERROR(INDEX(Empresas!$C:$C,MATCH(D111,Empresas!$B:$B,0)),"cadastre o CNPJ em Empresas"))</f>
        <v/>
      </c>
      <c r="F111" s="11"/>
      <c r="G111" s="23"/>
      <c r="H111" s="22"/>
      <c r="I111" s="35"/>
      <c r="J111" s="35"/>
      <c r="K111" s="36" t="str">
        <f aca="false">IF(I111="","",I111+J111)</f>
        <v/>
      </c>
      <c r="L111" s="37" t="str">
        <f aca="false">IF(OR(I111="",I111=0,J111=""),"",J111/I111)</f>
        <v/>
      </c>
      <c r="M111" s="25" t="str">
        <f aca="false">IF(L111="","",IF(L111&gt;0.25,"ACRÉSCIMO ACIMA DE 25% — conferir",""))</f>
        <v/>
      </c>
      <c r="N111" s="29" t="str">
        <f aca="false">IF(D111="","",IF(COUNTIFS(Empresas!$B:$B,D111,Empresas!$E:$E,"&lt;&gt;")=0,"",INDEX(Empresas!$E:$E,MATCH(D111,Empresas!$B:$B,0))))</f>
        <v/>
      </c>
      <c r="O111" s="27" t="str">
        <f aca="false">IF(OR(N111="",H111=""),"",H111-N111)</f>
        <v/>
      </c>
      <c r="P111" s="25" t="str">
        <f aca="false">IF(O111="","",IF(O111&lt;0,"CONTRATO ANTERIOR À ABERTURA — conferir datas",IF(O111&lt;180,"EMPRESA ABERTA MENOS DE 6 MESES ANTES","")))</f>
        <v/>
      </c>
      <c r="Q111" s="31" t="str">
        <f aca="false">IF(D111="","",IFERROR(INDEX(Sancoes!$D:$D,MATCH(D111,Sancoes!$C:$C,0)),"não consta"))</f>
        <v/>
      </c>
      <c r="R111" s="25" t="str">
        <f aca="false">IF(OR(D111="",H111=""),"",IF(SUMPRODUCT((Sancoes!$C$5:$C$304=D111)*(Sancoes!$G$5:$G$304&lt;=H111)*(((Sancoes!$H$5:$H$304="")+(Sancoes!$H$5:$H$304&gt;=H111))&gt;0))&gt;0,"SANÇÃO VIGENTE NA DATA — ler tipo e abrangência",""))</f>
        <v/>
      </c>
      <c r="S111" s="24"/>
      <c r="T111" s="11"/>
    </row>
    <row r="112" customFormat="false" ht="15" hidden="false" customHeight="false" outlineLevel="0" collapsed="false">
      <c r="A112" s="11"/>
      <c r="B112" s="24"/>
      <c r="C112" s="24"/>
      <c r="D112" s="31" t="str">
        <f aca="false">IF(C112="","",IF(LEN(UPPER(SUBSTITUTE(SUBSTITUTE(SUBSTITUTE(SUBSTITUTE(TRIM(C112),".",""),"/",""),"-","")," ","")))&lt;14,RIGHT(REPT("0",14)&amp;UPPER(SUBSTITUTE(SUBSTITUTE(SUBSTITUTE(SUBSTITUTE(TRIM(C112),".",""),"/",""),"-","")," ","")),14),UPPER(SUBSTITUTE(SUBSTITUTE(SUBSTITUTE(SUBSTITUTE(TRIM(C112),".",""),"/",""),"-","")," ",""))))</f>
        <v/>
      </c>
      <c r="E112" s="25" t="str">
        <f aca="false">IF(D112="","",IFERROR(INDEX(Empresas!$C:$C,MATCH(D112,Empresas!$B:$B,0)),"cadastre o CNPJ em Empresas"))</f>
        <v/>
      </c>
      <c r="F112" s="11"/>
      <c r="G112" s="23"/>
      <c r="H112" s="22"/>
      <c r="I112" s="35"/>
      <c r="J112" s="35"/>
      <c r="K112" s="36" t="str">
        <f aca="false">IF(I112="","",I112+J112)</f>
        <v/>
      </c>
      <c r="L112" s="37" t="str">
        <f aca="false">IF(OR(I112="",I112=0,J112=""),"",J112/I112)</f>
        <v/>
      </c>
      <c r="M112" s="25" t="str">
        <f aca="false">IF(L112="","",IF(L112&gt;0.25,"ACRÉSCIMO ACIMA DE 25% — conferir",""))</f>
        <v/>
      </c>
      <c r="N112" s="29" t="str">
        <f aca="false">IF(D112="","",IF(COUNTIFS(Empresas!$B:$B,D112,Empresas!$E:$E,"&lt;&gt;")=0,"",INDEX(Empresas!$E:$E,MATCH(D112,Empresas!$B:$B,0))))</f>
        <v/>
      </c>
      <c r="O112" s="27" t="str">
        <f aca="false">IF(OR(N112="",H112=""),"",H112-N112)</f>
        <v/>
      </c>
      <c r="P112" s="25" t="str">
        <f aca="false">IF(O112="","",IF(O112&lt;0,"CONTRATO ANTERIOR À ABERTURA — conferir datas",IF(O112&lt;180,"EMPRESA ABERTA MENOS DE 6 MESES ANTES","")))</f>
        <v/>
      </c>
      <c r="Q112" s="31" t="str">
        <f aca="false">IF(D112="","",IFERROR(INDEX(Sancoes!$D:$D,MATCH(D112,Sancoes!$C:$C,0)),"não consta"))</f>
        <v/>
      </c>
      <c r="R112" s="25" t="str">
        <f aca="false">IF(OR(D112="",H112=""),"",IF(SUMPRODUCT((Sancoes!$C$5:$C$304=D112)*(Sancoes!$G$5:$G$304&lt;=H112)*(((Sancoes!$H$5:$H$304="")+(Sancoes!$H$5:$H$304&gt;=H112))&gt;0))&gt;0,"SANÇÃO VIGENTE NA DATA — ler tipo e abrangência",""))</f>
        <v/>
      </c>
      <c r="S112" s="24"/>
      <c r="T112" s="11"/>
    </row>
    <row r="113" customFormat="false" ht="15" hidden="false" customHeight="false" outlineLevel="0" collapsed="false">
      <c r="A113" s="11"/>
      <c r="B113" s="24"/>
      <c r="C113" s="24"/>
      <c r="D113" s="31" t="str">
        <f aca="false">IF(C113="","",IF(LEN(UPPER(SUBSTITUTE(SUBSTITUTE(SUBSTITUTE(SUBSTITUTE(TRIM(C113),".",""),"/",""),"-","")," ","")))&lt;14,RIGHT(REPT("0",14)&amp;UPPER(SUBSTITUTE(SUBSTITUTE(SUBSTITUTE(SUBSTITUTE(TRIM(C113),".",""),"/",""),"-","")," ","")),14),UPPER(SUBSTITUTE(SUBSTITUTE(SUBSTITUTE(SUBSTITUTE(TRIM(C113),".",""),"/",""),"-","")," ",""))))</f>
        <v/>
      </c>
      <c r="E113" s="25" t="str">
        <f aca="false">IF(D113="","",IFERROR(INDEX(Empresas!$C:$C,MATCH(D113,Empresas!$B:$B,0)),"cadastre o CNPJ em Empresas"))</f>
        <v/>
      </c>
      <c r="F113" s="11"/>
      <c r="G113" s="23"/>
      <c r="H113" s="22"/>
      <c r="I113" s="35"/>
      <c r="J113" s="35"/>
      <c r="K113" s="36" t="str">
        <f aca="false">IF(I113="","",I113+J113)</f>
        <v/>
      </c>
      <c r="L113" s="37" t="str">
        <f aca="false">IF(OR(I113="",I113=0,J113=""),"",J113/I113)</f>
        <v/>
      </c>
      <c r="M113" s="25" t="str">
        <f aca="false">IF(L113="","",IF(L113&gt;0.25,"ACRÉSCIMO ACIMA DE 25% — conferir",""))</f>
        <v/>
      </c>
      <c r="N113" s="29" t="str">
        <f aca="false">IF(D113="","",IF(COUNTIFS(Empresas!$B:$B,D113,Empresas!$E:$E,"&lt;&gt;")=0,"",INDEX(Empresas!$E:$E,MATCH(D113,Empresas!$B:$B,0))))</f>
        <v/>
      </c>
      <c r="O113" s="27" t="str">
        <f aca="false">IF(OR(N113="",H113=""),"",H113-N113)</f>
        <v/>
      </c>
      <c r="P113" s="25" t="str">
        <f aca="false">IF(O113="","",IF(O113&lt;0,"CONTRATO ANTERIOR À ABERTURA — conferir datas",IF(O113&lt;180,"EMPRESA ABERTA MENOS DE 6 MESES ANTES","")))</f>
        <v/>
      </c>
      <c r="Q113" s="31" t="str">
        <f aca="false">IF(D113="","",IFERROR(INDEX(Sancoes!$D:$D,MATCH(D113,Sancoes!$C:$C,0)),"não consta"))</f>
        <v/>
      </c>
      <c r="R113" s="25" t="str">
        <f aca="false">IF(OR(D113="",H113=""),"",IF(SUMPRODUCT((Sancoes!$C$5:$C$304=D113)*(Sancoes!$G$5:$G$304&lt;=H113)*(((Sancoes!$H$5:$H$304="")+(Sancoes!$H$5:$H$304&gt;=H113))&gt;0))&gt;0,"SANÇÃO VIGENTE NA DATA — ler tipo e abrangência",""))</f>
        <v/>
      </c>
      <c r="S113" s="24"/>
      <c r="T113" s="11"/>
    </row>
    <row r="114" customFormat="false" ht="15" hidden="false" customHeight="false" outlineLevel="0" collapsed="false">
      <c r="A114" s="11"/>
      <c r="B114" s="24"/>
      <c r="C114" s="24"/>
      <c r="D114" s="31" t="str">
        <f aca="false">IF(C114="","",IF(LEN(UPPER(SUBSTITUTE(SUBSTITUTE(SUBSTITUTE(SUBSTITUTE(TRIM(C114),".",""),"/",""),"-","")," ","")))&lt;14,RIGHT(REPT("0",14)&amp;UPPER(SUBSTITUTE(SUBSTITUTE(SUBSTITUTE(SUBSTITUTE(TRIM(C114),".",""),"/",""),"-","")," ","")),14),UPPER(SUBSTITUTE(SUBSTITUTE(SUBSTITUTE(SUBSTITUTE(TRIM(C114),".",""),"/",""),"-","")," ",""))))</f>
        <v/>
      </c>
      <c r="E114" s="25" t="str">
        <f aca="false">IF(D114="","",IFERROR(INDEX(Empresas!$C:$C,MATCH(D114,Empresas!$B:$B,0)),"cadastre o CNPJ em Empresas"))</f>
        <v/>
      </c>
      <c r="F114" s="11"/>
      <c r="G114" s="23"/>
      <c r="H114" s="22"/>
      <c r="I114" s="35"/>
      <c r="J114" s="35"/>
      <c r="K114" s="36" t="str">
        <f aca="false">IF(I114="","",I114+J114)</f>
        <v/>
      </c>
      <c r="L114" s="37" t="str">
        <f aca="false">IF(OR(I114="",I114=0,J114=""),"",J114/I114)</f>
        <v/>
      </c>
      <c r="M114" s="25" t="str">
        <f aca="false">IF(L114="","",IF(L114&gt;0.25,"ACRÉSCIMO ACIMA DE 25% — conferir",""))</f>
        <v/>
      </c>
      <c r="N114" s="29" t="str">
        <f aca="false">IF(D114="","",IF(COUNTIFS(Empresas!$B:$B,D114,Empresas!$E:$E,"&lt;&gt;")=0,"",INDEX(Empresas!$E:$E,MATCH(D114,Empresas!$B:$B,0))))</f>
        <v/>
      </c>
      <c r="O114" s="27" t="str">
        <f aca="false">IF(OR(N114="",H114=""),"",H114-N114)</f>
        <v/>
      </c>
      <c r="P114" s="25" t="str">
        <f aca="false">IF(O114="","",IF(O114&lt;0,"CONTRATO ANTERIOR À ABERTURA — conferir datas",IF(O114&lt;180,"EMPRESA ABERTA MENOS DE 6 MESES ANTES","")))</f>
        <v/>
      </c>
      <c r="Q114" s="31" t="str">
        <f aca="false">IF(D114="","",IFERROR(INDEX(Sancoes!$D:$D,MATCH(D114,Sancoes!$C:$C,0)),"não consta"))</f>
        <v/>
      </c>
      <c r="R114" s="25" t="str">
        <f aca="false">IF(OR(D114="",H114=""),"",IF(SUMPRODUCT((Sancoes!$C$5:$C$304=D114)*(Sancoes!$G$5:$G$304&lt;=H114)*(((Sancoes!$H$5:$H$304="")+(Sancoes!$H$5:$H$304&gt;=H114))&gt;0))&gt;0,"SANÇÃO VIGENTE NA DATA — ler tipo e abrangência",""))</f>
        <v/>
      </c>
      <c r="S114" s="24"/>
      <c r="T114" s="11"/>
    </row>
    <row r="115" customFormat="false" ht="15" hidden="false" customHeight="false" outlineLevel="0" collapsed="false">
      <c r="A115" s="11"/>
      <c r="B115" s="24"/>
      <c r="C115" s="24"/>
      <c r="D115" s="31" t="str">
        <f aca="false">IF(C115="","",IF(LEN(UPPER(SUBSTITUTE(SUBSTITUTE(SUBSTITUTE(SUBSTITUTE(TRIM(C115),".",""),"/",""),"-","")," ","")))&lt;14,RIGHT(REPT("0",14)&amp;UPPER(SUBSTITUTE(SUBSTITUTE(SUBSTITUTE(SUBSTITUTE(TRIM(C115),".",""),"/",""),"-","")," ","")),14),UPPER(SUBSTITUTE(SUBSTITUTE(SUBSTITUTE(SUBSTITUTE(TRIM(C115),".",""),"/",""),"-","")," ",""))))</f>
        <v/>
      </c>
      <c r="E115" s="25" t="str">
        <f aca="false">IF(D115="","",IFERROR(INDEX(Empresas!$C:$C,MATCH(D115,Empresas!$B:$B,0)),"cadastre o CNPJ em Empresas"))</f>
        <v/>
      </c>
      <c r="F115" s="11"/>
      <c r="G115" s="23"/>
      <c r="H115" s="22"/>
      <c r="I115" s="35"/>
      <c r="J115" s="35"/>
      <c r="K115" s="36" t="str">
        <f aca="false">IF(I115="","",I115+J115)</f>
        <v/>
      </c>
      <c r="L115" s="37" t="str">
        <f aca="false">IF(OR(I115="",I115=0,J115=""),"",J115/I115)</f>
        <v/>
      </c>
      <c r="M115" s="25" t="str">
        <f aca="false">IF(L115="","",IF(L115&gt;0.25,"ACRÉSCIMO ACIMA DE 25% — conferir",""))</f>
        <v/>
      </c>
      <c r="N115" s="29" t="str">
        <f aca="false">IF(D115="","",IF(COUNTIFS(Empresas!$B:$B,D115,Empresas!$E:$E,"&lt;&gt;")=0,"",INDEX(Empresas!$E:$E,MATCH(D115,Empresas!$B:$B,0))))</f>
        <v/>
      </c>
      <c r="O115" s="27" t="str">
        <f aca="false">IF(OR(N115="",H115=""),"",H115-N115)</f>
        <v/>
      </c>
      <c r="P115" s="25" t="str">
        <f aca="false">IF(O115="","",IF(O115&lt;0,"CONTRATO ANTERIOR À ABERTURA — conferir datas",IF(O115&lt;180,"EMPRESA ABERTA MENOS DE 6 MESES ANTES","")))</f>
        <v/>
      </c>
      <c r="Q115" s="31" t="str">
        <f aca="false">IF(D115="","",IFERROR(INDEX(Sancoes!$D:$D,MATCH(D115,Sancoes!$C:$C,0)),"não consta"))</f>
        <v/>
      </c>
      <c r="R115" s="25" t="str">
        <f aca="false">IF(OR(D115="",H115=""),"",IF(SUMPRODUCT((Sancoes!$C$5:$C$304=D115)*(Sancoes!$G$5:$G$304&lt;=H115)*(((Sancoes!$H$5:$H$304="")+(Sancoes!$H$5:$H$304&gt;=H115))&gt;0))&gt;0,"SANÇÃO VIGENTE NA DATA — ler tipo e abrangência",""))</f>
        <v/>
      </c>
      <c r="S115" s="24"/>
      <c r="T115" s="11"/>
    </row>
    <row r="116" customFormat="false" ht="15" hidden="false" customHeight="false" outlineLevel="0" collapsed="false">
      <c r="A116" s="11"/>
      <c r="B116" s="24"/>
      <c r="C116" s="24"/>
      <c r="D116" s="31" t="str">
        <f aca="false">IF(C116="","",IF(LEN(UPPER(SUBSTITUTE(SUBSTITUTE(SUBSTITUTE(SUBSTITUTE(TRIM(C116),".",""),"/",""),"-","")," ","")))&lt;14,RIGHT(REPT("0",14)&amp;UPPER(SUBSTITUTE(SUBSTITUTE(SUBSTITUTE(SUBSTITUTE(TRIM(C116),".",""),"/",""),"-","")," ","")),14),UPPER(SUBSTITUTE(SUBSTITUTE(SUBSTITUTE(SUBSTITUTE(TRIM(C116),".",""),"/",""),"-","")," ",""))))</f>
        <v/>
      </c>
      <c r="E116" s="25" t="str">
        <f aca="false">IF(D116="","",IFERROR(INDEX(Empresas!$C:$C,MATCH(D116,Empresas!$B:$B,0)),"cadastre o CNPJ em Empresas"))</f>
        <v/>
      </c>
      <c r="F116" s="11"/>
      <c r="G116" s="23"/>
      <c r="H116" s="22"/>
      <c r="I116" s="35"/>
      <c r="J116" s="35"/>
      <c r="K116" s="36" t="str">
        <f aca="false">IF(I116="","",I116+J116)</f>
        <v/>
      </c>
      <c r="L116" s="37" t="str">
        <f aca="false">IF(OR(I116="",I116=0,J116=""),"",J116/I116)</f>
        <v/>
      </c>
      <c r="M116" s="25" t="str">
        <f aca="false">IF(L116="","",IF(L116&gt;0.25,"ACRÉSCIMO ACIMA DE 25% — conferir",""))</f>
        <v/>
      </c>
      <c r="N116" s="29" t="str">
        <f aca="false">IF(D116="","",IF(COUNTIFS(Empresas!$B:$B,D116,Empresas!$E:$E,"&lt;&gt;")=0,"",INDEX(Empresas!$E:$E,MATCH(D116,Empresas!$B:$B,0))))</f>
        <v/>
      </c>
      <c r="O116" s="27" t="str">
        <f aca="false">IF(OR(N116="",H116=""),"",H116-N116)</f>
        <v/>
      </c>
      <c r="P116" s="25" t="str">
        <f aca="false">IF(O116="","",IF(O116&lt;0,"CONTRATO ANTERIOR À ABERTURA — conferir datas",IF(O116&lt;180,"EMPRESA ABERTA MENOS DE 6 MESES ANTES","")))</f>
        <v/>
      </c>
      <c r="Q116" s="31" t="str">
        <f aca="false">IF(D116="","",IFERROR(INDEX(Sancoes!$D:$D,MATCH(D116,Sancoes!$C:$C,0)),"não consta"))</f>
        <v/>
      </c>
      <c r="R116" s="25" t="str">
        <f aca="false">IF(OR(D116="",H116=""),"",IF(SUMPRODUCT((Sancoes!$C$5:$C$304=D116)*(Sancoes!$G$5:$G$304&lt;=H116)*(((Sancoes!$H$5:$H$304="")+(Sancoes!$H$5:$H$304&gt;=H116))&gt;0))&gt;0,"SANÇÃO VIGENTE NA DATA — ler tipo e abrangência",""))</f>
        <v/>
      </c>
      <c r="S116" s="24"/>
      <c r="T116" s="11"/>
    </row>
    <row r="117" customFormat="false" ht="15" hidden="false" customHeight="false" outlineLevel="0" collapsed="false">
      <c r="A117" s="11"/>
      <c r="B117" s="24"/>
      <c r="C117" s="24"/>
      <c r="D117" s="31" t="str">
        <f aca="false">IF(C117="","",IF(LEN(UPPER(SUBSTITUTE(SUBSTITUTE(SUBSTITUTE(SUBSTITUTE(TRIM(C117),".",""),"/",""),"-","")," ","")))&lt;14,RIGHT(REPT("0",14)&amp;UPPER(SUBSTITUTE(SUBSTITUTE(SUBSTITUTE(SUBSTITUTE(TRIM(C117),".",""),"/",""),"-","")," ","")),14),UPPER(SUBSTITUTE(SUBSTITUTE(SUBSTITUTE(SUBSTITUTE(TRIM(C117),".",""),"/",""),"-","")," ",""))))</f>
        <v/>
      </c>
      <c r="E117" s="25" t="str">
        <f aca="false">IF(D117="","",IFERROR(INDEX(Empresas!$C:$C,MATCH(D117,Empresas!$B:$B,0)),"cadastre o CNPJ em Empresas"))</f>
        <v/>
      </c>
      <c r="F117" s="11"/>
      <c r="G117" s="23"/>
      <c r="H117" s="22"/>
      <c r="I117" s="35"/>
      <c r="J117" s="35"/>
      <c r="K117" s="36" t="str">
        <f aca="false">IF(I117="","",I117+J117)</f>
        <v/>
      </c>
      <c r="L117" s="37" t="str">
        <f aca="false">IF(OR(I117="",I117=0,J117=""),"",J117/I117)</f>
        <v/>
      </c>
      <c r="M117" s="25" t="str">
        <f aca="false">IF(L117="","",IF(L117&gt;0.25,"ACRÉSCIMO ACIMA DE 25% — conferir",""))</f>
        <v/>
      </c>
      <c r="N117" s="29" t="str">
        <f aca="false">IF(D117="","",IF(COUNTIFS(Empresas!$B:$B,D117,Empresas!$E:$E,"&lt;&gt;")=0,"",INDEX(Empresas!$E:$E,MATCH(D117,Empresas!$B:$B,0))))</f>
        <v/>
      </c>
      <c r="O117" s="27" t="str">
        <f aca="false">IF(OR(N117="",H117=""),"",H117-N117)</f>
        <v/>
      </c>
      <c r="P117" s="25" t="str">
        <f aca="false">IF(O117="","",IF(O117&lt;0,"CONTRATO ANTERIOR À ABERTURA — conferir datas",IF(O117&lt;180,"EMPRESA ABERTA MENOS DE 6 MESES ANTES","")))</f>
        <v/>
      </c>
      <c r="Q117" s="31" t="str">
        <f aca="false">IF(D117="","",IFERROR(INDEX(Sancoes!$D:$D,MATCH(D117,Sancoes!$C:$C,0)),"não consta"))</f>
        <v/>
      </c>
      <c r="R117" s="25" t="str">
        <f aca="false">IF(OR(D117="",H117=""),"",IF(SUMPRODUCT((Sancoes!$C$5:$C$304=D117)*(Sancoes!$G$5:$G$304&lt;=H117)*(((Sancoes!$H$5:$H$304="")+(Sancoes!$H$5:$H$304&gt;=H117))&gt;0))&gt;0,"SANÇÃO VIGENTE NA DATA — ler tipo e abrangência",""))</f>
        <v/>
      </c>
      <c r="S117" s="24"/>
      <c r="T117" s="11"/>
    </row>
    <row r="118" customFormat="false" ht="15" hidden="false" customHeight="false" outlineLevel="0" collapsed="false">
      <c r="A118" s="11"/>
      <c r="B118" s="24"/>
      <c r="C118" s="24"/>
      <c r="D118" s="31" t="str">
        <f aca="false">IF(C118="","",IF(LEN(UPPER(SUBSTITUTE(SUBSTITUTE(SUBSTITUTE(SUBSTITUTE(TRIM(C118),".",""),"/",""),"-","")," ","")))&lt;14,RIGHT(REPT("0",14)&amp;UPPER(SUBSTITUTE(SUBSTITUTE(SUBSTITUTE(SUBSTITUTE(TRIM(C118),".",""),"/",""),"-","")," ","")),14),UPPER(SUBSTITUTE(SUBSTITUTE(SUBSTITUTE(SUBSTITUTE(TRIM(C118),".",""),"/",""),"-","")," ",""))))</f>
        <v/>
      </c>
      <c r="E118" s="25" t="str">
        <f aca="false">IF(D118="","",IFERROR(INDEX(Empresas!$C:$C,MATCH(D118,Empresas!$B:$B,0)),"cadastre o CNPJ em Empresas"))</f>
        <v/>
      </c>
      <c r="F118" s="11"/>
      <c r="G118" s="23"/>
      <c r="H118" s="22"/>
      <c r="I118" s="35"/>
      <c r="J118" s="35"/>
      <c r="K118" s="36" t="str">
        <f aca="false">IF(I118="","",I118+J118)</f>
        <v/>
      </c>
      <c r="L118" s="37" t="str">
        <f aca="false">IF(OR(I118="",I118=0,J118=""),"",J118/I118)</f>
        <v/>
      </c>
      <c r="M118" s="25" t="str">
        <f aca="false">IF(L118="","",IF(L118&gt;0.25,"ACRÉSCIMO ACIMA DE 25% — conferir",""))</f>
        <v/>
      </c>
      <c r="N118" s="29" t="str">
        <f aca="false">IF(D118="","",IF(COUNTIFS(Empresas!$B:$B,D118,Empresas!$E:$E,"&lt;&gt;")=0,"",INDEX(Empresas!$E:$E,MATCH(D118,Empresas!$B:$B,0))))</f>
        <v/>
      </c>
      <c r="O118" s="27" t="str">
        <f aca="false">IF(OR(N118="",H118=""),"",H118-N118)</f>
        <v/>
      </c>
      <c r="P118" s="25" t="str">
        <f aca="false">IF(O118="","",IF(O118&lt;0,"CONTRATO ANTERIOR À ABERTURA — conferir datas",IF(O118&lt;180,"EMPRESA ABERTA MENOS DE 6 MESES ANTES","")))</f>
        <v/>
      </c>
      <c r="Q118" s="31" t="str">
        <f aca="false">IF(D118="","",IFERROR(INDEX(Sancoes!$D:$D,MATCH(D118,Sancoes!$C:$C,0)),"não consta"))</f>
        <v/>
      </c>
      <c r="R118" s="25" t="str">
        <f aca="false">IF(OR(D118="",H118=""),"",IF(SUMPRODUCT((Sancoes!$C$5:$C$304=D118)*(Sancoes!$G$5:$G$304&lt;=H118)*(((Sancoes!$H$5:$H$304="")+(Sancoes!$H$5:$H$304&gt;=H118))&gt;0))&gt;0,"SANÇÃO VIGENTE NA DATA — ler tipo e abrangência",""))</f>
        <v/>
      </c>
      <c r="S118" s="24"/>
      <c r="T118" s="11"/>
    </row>
    <row r="119" customFormat="false" ht="15" hidden="false" customHeight="false" outlineLevel="0" collapsed="false">
      <c r="A119" s="11"/>
      <c r="B119" s="24"/>
      <c r="C119" s="24"/>
      <c r="D119" s="31" t="str">
        <f aca="false">IF(C119="","",IF(LEN(UPPER(SUBSTITUTE(SUBSTITUTE(SUBSTITUTE(SUBSTITUTE(TRIM(C119),".",""),"/",""),"-","")," ","")))&lt;14,RIGHT(REPT("0",14)&amp;UPPER(SUBSTITUTE(SUBSTITUTE(SUBSTITUTE(SUBSTITUTE(TRIM(C119),".",""),"/",""),"-","")," ","")),14),UPPER(SUBSTITUTE(SUBSTITUTE(SUBSTITUTE(SUBSTITUTE(TRIM(C119),".",""),"/",""),"-","")," ",""))))</f>
        <v/>
      </c>
      <c r="E119" s="25" t="str">
        <f aca="false">IF(D119="","",IFERROR(INDEX(Empresas!$C:$C,MATCH(D119,Empresas!$B:$B,0)),"cadastre o CNPJ em Empresas"))</f>
        <v/>
      </c>
      <c r="F119" s="11"/>
      <c r="G119" s="23"/>
      <c r="H119" s="22"/>
      <c r="I119" s="35"/>
      <c r="J119" s="35"/>
      <c r="K119" s="36" t="str">
        <f aca="false">IF(I119="","",I119+J119)</f>
        <v/>
      </c>
      <c r="L119" s="37" t="str">
        <f aca="false">IF(OR(I119="",I119=0,J119=""),"",J119/I119)</f>
        <v/>
      </c>
      <c r="M119" s="25" t="str">
        <f aca="false">IF(L119="","",IF(L119&gt;0.25,"ACRÉSCIMO ACIMA DE 25% — conferir",""))</f>
        <v/>
      </c>
      <c r="N119" s="29" t="str">
        <f aca="false">IF(D119="","",IF(COUNTIFS(Empresas!$B:$B,D119,Empresas!$E:$E,"&lt;&gt;")=0,"",INDEX(Empresas!$E:$E,MATCH(D119,Empresas!$B:$B,0))))</f>
        <v/>
      </c>
      <c r="O119" s="27" t="str">
        <f aca="false">IF(OR(N119="",H119=""),"",H119-N119)</f>
        <v/>
      </c>
      <c r="P119" s="25" t="str">
        <f aca="false">IF(O119="","",IF(O119&lt;0,"CONTRATO ANTERIOR À ABERTURA — conferir datas",IF(O119&lt;180,"EMPRESA ABERTA MENOS DE 6 MESES ANTES","")))</f>
        <v/>
      </c>
      <c r="Q119" s="31" t="str">
        <f aca="false">IF(D119="","",IFERROR(INDEX(Sancoes!$D:$D,MATCH(D119,Sancoes!$C:$C,0)),"não consta"))</f>
        <v/>
      </c>
      <c r="R119" s="25" t="str">
        <f aca="false">IF(OR(D119="",H119=""),"",IF(SUMPRODUCT((Sancoes!$C$5:$C$304=D119)*(Sancoes!$G$5:$G$304&lt;=H119)*(((Sancoes!$H$5:$H$304="")+(Sancoes!$H$5:$H$304&gt;=H119))&gt;0))&gt;0,"SANÇÃO VIGENTE NA DATA — ler tipo e abrangência",""))</f>
        <v/>
      </c>
      <c r="S119" s="24"/>
      <c r="T119" s="11"/>
    </row>
    <row r="120" customFormat="false" ht="15" hidden="false" customHeight="false" outlineLevel="0" collapsed="false">
      <c r="A120" s="11"/>
      <c r="B120" s="24"/>
      <c r="C120" s="24"/>
      <c r="D120" s="31" t="str">
        <f aca="false">IF(C120="","",IF(LEN(UPPER(SUBSTITUTE(SUBSTITUTE(SUBSTITUTE(SUBSTITUTE(TRIM(C120),".",""),"/",""),"-","")," ","")))&lt;14,RIGHT(REPT("0",14)&amp;UPPER(SUBSTITUTE(SUBSTITUTE(SUBSTITUTE(SUBSTITUTE(TRIM(C120),".",""),"/",""),"-","")," ","")),14),UPPER(SUBSTITUTE(SUBSTITUTE(SUBSTITUTE(SUBSTITUTE(TRIM(C120),".",""),"/",""),"-","")," ",""))))</f>
        <v/>
      </c>
      <c r="E120" s="25" t="str">
        <f aca="false">IF(D120="","",IFERROR(INDEX(Empresas!$C:$C,MATCH(D120,Empresas!$B:$B,0)),"cadastre o CNPJ em Empresas"))</f>
        <v/>
      </c>
      <c r="F120" s="11"/>
      <c r="G120" s="23"/>
      <c r="H120" s="22"/>
      <c r="I120" s="35"/>
      <c r="J120" s="35"/>
      <c r="K120" s="36" t="str">
        <f aca="false">IF(I120="","",I120+J120)</f>
        <v/>
      </c>
      <c r="L120" s="37" t="str">
        <f aca="false">IF(OR(I120="",I120=0,J120=""),"",J120/I120)</f>
        <v/>
      </c>
      <c r="M120" s="25" t="str">
        <f aca="false">IF(L120="","",IF(L120&gt;0.25,"ACRÉSCIMO ACIMA DE 25% — conferir",""))</f>
        <v/>
      </c>
      <c r="N120" s="29" t="str">
        <f aca="false">IF(D120="","",IF(COUNTIFS(Empresas!$B:$B,D120,Empresas!$E:$E,"&lt;&gt;")=0,"",INDEX(Empresas!$E:$E,MATCH(D120,Empresas!$B:$B,0))))</f>
        <v/>
      </c>
      <c r="O120" s="27" t="str">
        <f aca="false">IF(OR(N120="",H120=""),"",H120-N120)</f>
        <v/>
      </c>
      <c r="P120" s="25" t="str">
        <f aca="false">IF(O120="","",IF(O120&lt;0,"CONTRATO ANTERIOR À ABERTURA — conferir datas",IF(O120&lt;180,"EMPRESA ABERTA MENOS DE 6 MESES ANTES","")))</f>
        <v/>
      </c>
      <c r="Q120" s="31" t="str">
        <f aca="false">IF(D120="","",IFERROR(INDEX(Sancoes!$D:$D,MATCH(D120,Sancoes!$C:$C,0)),"não consta"))</f>
        <v/>
      </c>
      <c r="R120" s="25" t="str">
        <f aca="false">IF(OR(D120="",H120=""),"",IF(SUMPRODUCT((Sancoes!$C$5:$C$304=D120)*(Sancoes!$G$5:$G$304&lt;=H120)*(((Sancoes!$H$5:$H$304="")+(Sancoes!$H$5:$H$304&gt;=H120))&gt;0))&gt;0,"SANÇÃO VIGENTE NA DATA — ler tipo e abrangência",""))</f>
        <v/>
      </c>
      <c r="S120" s="24"/>
      <c r="T120" s="11"/>
    </row>
    <row r="121" customFormat="false" ht="15" hidden="false" customHeight="false" outlineLevel="0" collapsed="false">
      <c r="A121" s="11"/>
      <c r="B121" s="24"/>
      <c r="C121" s="24"/>
      <c r="D121" s="31" t="str">
        <f aca="false">IF(C121="","",IF(LEN(UPPER(SUBSTITUTE(SUBSTITUTE(SUBSTITUTE(SUBSTITUTE(TRIM(C121),".",""),"/",""),"-","")," ","")))&lt;14,RIGHT(REPT("0",14)&amp;UPPER(SUBSTITUTE(SUBSTITUTE(SUBSTITUTE(SUBSTITUTE(TRIM(C121),".",""),"/",""),"-","")," ","")),14),UPPER(SUBSTITUTE(SUBSTITUTE(SUBSTITUTE(SUBSTITUTE(TRIM(C121),".",""),"/",""),"-","")," ",""))))</f>
        <v/>
      </c>
      <c r="E121" s="25" t="str">
        <f aca="false">IF(D121="","",IFERROR(INDEX(Empresas!$C:$C,MATCH(D121,Empresas!$B:$B,0)),"cadastre o CNPJ em Empresas"))</f>
        <v/>
      </c>
      <c r="F121" s="11"/>
      <c r="G121" s="23"/>
      <c r="H121" s="22"/>
      <c r="I121" s="35"/>
      <c r="J121" s="35"/>
      <c r="K121" s="36" t="str">
        <f aca="false">IF(I121="","",I121+J121)</f>
        <v/>
      </c>
      <c r="L121" s="37" t="str">
        <f aca="false">IF(OR(I121="",I121=0,J121=""),"",J121/I121)</f>
        <v/>
      </c>
      <c r="M121" s="25" t="str">
        <f aca="false">IF(L121="","",IF(L121&gt;0.25,"ACRÉSCIMO ACIMA DE 25% — conferir",""))</f>
        <v/>
      </c>
      <c r="N121" s="29" t="str">
        <f aca="false">IF(D121="","",IF(COUNTIFS(Empresas!$B:$B,D121,Empresas!$E:$E,"&lt;&gt;")=0,"",INDEX(Empresas!$E:$E,MATCH(D121,Empresas!$B:$B,0))))</f>
        <v/>
      </c>
      <c r="O121" s="27" t="str">
        <f aca="false">IF(OR(N121="",H121=""),"",H121-N121)</f>
        <v/>
      </c>
      <c r="P121" s="25" t="str">
        <f aca="false">IF(O121="","",IF(O121&lt;0,"CONTRATO ANTERIOR À ABERTURA — conferir datas",IF(O121&lt;180,"EMPRESA ABERTA MENOS DE 6 MESES ANTES","")))</f>
        <v/>
      </c>
      <c r="Q121" s="31" t="str">
        <f aca="false">IF(D121="","",IFERROR(INDEX(Sancoes!$D:$D,MATCH(D121,Sancoes!$C:$C,0)),"não consta"))</f>
        <v/>
      </c>
      <c r="R121" s="25" t="str">
        <f aca="false">IF(OR(D121="",H121=""),"",IF(SUMPRODUCT((Sancoes!$C$5:$C$304=D121)*(Sancoes!$G$5:$G$304&lt;=H121)*(((Sancoes!$H$5:$H$304="")+(Sancoes!$H$5:$H$304&gt;=H121))&gt;0))&gt;0,"SANÇÃO VIGENTE NA DATA — ler tipo e abrangência",""))</f>
        <v/>
      </c>
      <c r="S121" s="24"/>
      <c r="T121" s="11"/>
    </row>
    <row r="122" customFormat="false" ht="15" hidden="false" customHeight="false" outlineLevel="0" collapsed="false">
      <c r="A122" s="11"/>
      <c r="B122" s="24"/>
      <c r="C122" s="24"/>
      <c r="D122" s="31" t="str">
        <f aca="false">IF(C122="","",IF(LEN(UPPER(SUBSTITUTE(SUBSTITUTE(SUBSTITUTE(SUBSTITUTE(TRIM(C122),".",""),"/",""),"-","")," ","")))&lt;14,RIGHT(REPT("0",14)&amp;UPPER(SUBSTITUTE(SUBSTITUTE(SUBSTITUTE(SUBSTITUTE(TRIM(C122),".",""),"/",""),"-","")," ","")),14),UPPER(SUBSTITUTE(SUBSTITUTE(SUBSTITUTE(SUBSTITUTE(TRIM(C122),".",""),"/",""),"-","")," ",""))))</f>
        <v/>
      </c>
      <c r="E122" s="25" t="str">
        <f aca="false">IF(D122="","",IFERROR(INDEX(Empresas!$C:$C,MATCH(D122,Empresas!$B:$B,0)),"cadastre o CNPJ em Empresas"))</f>
        <v/>
      </c>
      <c r="F122" s="11"/>
      <c r="G122" s="23"/>
      <c r="H122" s="22"/>
      <c r="I122" s="35"/>
      <c r="J122" s="35"/>
      <c r="K122" s="36" t="str">
        <f aca="false">IF(I122="","",I122+J122)</f>
        <v/>
      </c>
      <c r="L122" s="37" t="str">
        <f aca="false">IF(OR(I122="",I122=0,J122=""),"",J122/I122)</f>
        <v/>
      </c>
      <c r="M122" s="25" t="str">
        <f aca="false">IF(L122="","",IF(L122&gt;0.25,"ACRÉSCIMO ACIMA DE 25% — conferir",""))</f>
        <v/>
      </c>
      <c r="N122" s="29" t="str">
        <f aca="false">IF(D122="","",IF(COUNTIFS(Empresas!$B:$B,D122,Empresas!$E:$E,"&lt;&gt;")=0,"",INDEX(Empresas!$E:$E,MATCH(D122,Empresas!$B:$B,0))))</f>
        <v/>
      </c>
      <c r="O122" s="27" t="str">
        <f aca="false">IF(OR(N122="",H122=""),"",H122-N122)</f>
        <v/>
      </c>
      <c r="P122" s="25" t="str">
        <f aca="false">IF(O122="","",IF(O122&lt;0,"CONTRATO ANTERIOR À ABERTURA — conferir datas",IF(O122&lt;180,"EMPRESA ABERTA MENOS DE 6 MESES ANTES","")))</f>
        <v/>
      </c>
      <c r="Q122" s="31" t="str">
        <f aca="false">IF(D122="","",IFERROR(INDEX(Sancoes!$D:$D,MATCH(D122,Sancoes!$C:$C,0)),"não consta"))</f>
        <v/>
      </c>
      <c r="R122" s="25" t="str">
        <f aca="false">IF(OR(D122="",H122=""),"",IF(SUMPRODUCT((Sancoes!$C$5:$C$304=D122)*(Sancoes!$G$5:$G$304&lt;=H122)*(((Sancoes!$H$5:$H$304="")+(Sancoes!$H$5:$H$304&gt;=H122))&gt;0))&gt;0,"SANÇÃO VIGENTE NA DATA — ler tipo e abrangência",""))</f>
        <v/>
      </c>
      <c r="S122" s="24"/>
      <c r="T122" s="11"/>
    </row>
    <row r="123" customFormat="false" ht="15" hidden="false" customHeight="false" outlineLevel="0" collapsed="false">
      <c r="A123" s="11"/>
      <c r="B123" s="24"/>
      <c r="C123" s="24"/>
      <c r="D123" s="31" t="str">
        <f aca="false">IF(C123="","",IF(LEN(UPPER(SUBSTITUTE(SUBSTITUTE(SUBSTITUTE(SUBSTITUTE(TRIM(C123),".",""),"/",""),"-","")," ","")))&lt;14,RIGHT(REPT("0",14)&amp;UPPER(SUBSTITUTE(SUBSTITUTE(SUBSTITUTE(SUBSTITUTE(TRIM(C123),".",""),"/",""),"-","")," ","")),14),UPPER(SUBSTITUTE(SUBSTITUTE(SUBSTITUTE(SUBSTITUTE(TRIM(C123),".",""),"/",""),"-","")," ",""))))</f>
        <v/>
      </c>
      <c r="E123" s="25" t="str">
        <f aca="false">IF(D123="","",IFERROR(INDEX(Empresas!$C:$C,MATCH(D123,Empresas!$B:$B,0)),"cadastre o CNPJ em Empresas"))</f>
        <v/>
      </c>
      <c r="F123" s="11"/>
      <c r="G123" s="23"/>
      <c r="H123" s="22"/>
      <c r="I123" s="35"/>
      <c r="J123" s="35"/>
      <c r="K123" s="36" t="str">
        <f aca="false">IF(I123="","",I123+J123)</f>
        <v/>
      </c>
      <c r="L123" s="37" t="str">
        <f aca="false">IF(OR(I123="",I123=0,J123=""),"",J123/I123)</f>
        <v/>
      </c>
      <c r="M123" s="25" t="str">
        <f aca="false">IF(L123="","",IF(L123&gt;0.25,"ACRÉSCIMO ACIMA DE 25% — conferir",""))</f>
        <v/>
      </c>
      <c r="N123" s="29" t="str">
        <f aca="false">IF(D123="","",IF(COUNTIFS(Empresas!$B:$B,D123,Empresas!$E:$E,"&lt;&gt;")=0,"",INDEX(Empresas!$E:$E,MATCH(D123,Empresas!$B:$B,0))))</f>
        <v/>
      </c>
      <c r="O123" s="27" t="str">
        <f aca="false">IF(OR(N123="",H123=""),"",H123-N123)</f>
        <v/>
      </c>
      <c r="P123" s="25" t="str">
        <f aca="false">IF(O123="","",IF(O123&lt;0,"CONTRATO ANTERIOR À ABERTURA — conferir datas",IF(O123&lt;180,"EMPRESA ABERTA MENOS DE 6 MESES ANTES","")))</f>
        <v/>
      </c>
      <c r="Q123" s="31" t="str">
        <f aca="false">IF(D123="","",IFERROR(INDEX(Sancoes!$D:$D,MATCH(D123,Sancoes!$C:$C,0)),"não consta"))</f>
        <v/>
      </c>
      <c r="R123" s="25" t="str">
        <f aca="false">IF(OR(D123="",H123=""),"",IF(SUMPRODUCT((Sancoes!$C$5:$C$304=D123)*(Sancoes!$G$5:$G$304&lt;=H123)*(((Sancoes!$H$5:$H$304="")+(Sancoes!$H$5:$H$304&gt;=H123))&gt;0))&gt;0,"SANÇÃO VIGENTE NA DATA — ler tipo e abrangência",""))</f>
        <v/>
      </c>
      <c r="S123" s="24"/>
      <c r="T123" s="11"/>
    </row>
    <row r="124" customFormat="false" ht="15" hidden="false" customHeight="false" outlineLevel="0" collapsed="false">
      <c r="A124" s="11"/>
      <c r="B124" s="24"/>
      <c r="C124" s="24"/>
      <c r="D124" s="31" t="str">
        <f aca="false">IF(C124="","",IF(LEN(UPPER(SUBSTITUTE(SUBSTITUTE(SUBSTITUTE(SUBSTITUTE(TRIM(C124),".",""),"/",""),"-","")," ","")))&lt;14,RIGHT(REPT("0",14)&amp;UPPER(SUBSTITUTE(SUBSTITUTE(SUBSTITUTE(SUBSTITUTE(TRIM(C124),".",""),"/",""),"-","")," ","")),14),UPPER(SUBSTITUTE(SUBSTITUTE(SUBSTITUTE(SUBSTITUTE(TRIM(C124),".",""),"/",""),"-","")," ",""))))</f>
        <v/>
      </c>
      <c r="E124" s="25" t="str">
        <f aca="false">IF(D124="","",IFERROR(INDEX(Empresas!$C:$C,MATCH(D124,Empresas!$B:$B,0)),"cadastre o CNPJ em Empresas"))</f>
        <v/>
      </c>
      <c r="F124" s="11"/>
      <c r="G124" s="23"/>
      <c r="H124" s="22"/>
      <c r="I124" s="35"/>
      <c r="J124" s="35"/>
      <c r="K124" s="36" t="str">
        <f aca="false">IF(I124="","",I124+J124)</f>
        <v/>
      </c>
      <c r="L124" s="37" t="str">
        <f aca="false">IF(OR(I124="",I124=0,J124=""),"",J124/I124)</f>
        <v/>
      </c>
      <c r="M124" s="25" t="str">
        <f aca="false">IF(L124="","",IF(L124&gt;0.25,"ACRÉSCIMO ACIMA DE 25% — conferir",""))</f>
        <v/>
      </c>
      <c r="N124" s="29" t="str">
        <f aca="false">IF(D124="","",IF(COUNTIFS(Empresas!$B:$B,D124,Empresas!$E:$E,"&lt;&gt;")=0,"",INDEX(Empresas!$E:$E,MATCH(D124,Empresas!$B:$B,0))))</f>
        <v/>
      </c>
      <c r="O124" s="27" t="str">
        <f aca="false">IF(OR(N124="",H124=""),"",H124-N124)</f>
        <v/>
      </c>
      <c r="P124" s="25" t="str">
        <f aca="false">IF(O124="","",IF(O124&lt;0,"CONTRATO ANTERIOR À ABERTURA — conferir datas",IF(O124&lt;180,"EMPRESA ABERTA MENOS DE 6 MESES ANTES","")))</f>
        <v/>
      </c>
      <c r="Q124" s="31" t="str">
        <f aca="false">IF(D124="","",IFERROR(INDEX(Sancoes!$D:$D,MATCH(D124,Sancoes!$C:$C,0)),"não consta"))</f>
        <v/>
      </c>
      <c r="R124" s="25" t="str">
        <f aca="false">IF(OR(D124="",H124=""),"",IF(SUMPRODUCT((Sancoes!$C$5:$C$304=D124)*(Sancoes!$G$5:$G$304&lt;=H124)*(((Sancoes!$H$5:$H$304="")+(Sancoes!$H$5:$H$304&gt;=H124))&gt;0))&gt;0,"SANÇÃO VIGENTE NA DATA — ler tipo e abrangência",""))</f>
        <v/>
      </c>
      <c r="S124" s="24"/>
      <c r="T124" s="11"/>
    </row>
    <row r="125" customFormat="false" ht="15" hidden="false" customHeight="false" outlineLevel="0" collapsed="false">
      <c r="A125" s="11"/>
      <c r="B125" s="24"/>
      <c r="C125" s="24"/>
      <c r="D125" s="31" t="str">
        <f aca="false">IF(C125="","",IF(LEN(UPPER(SUBSTITUTE(SUBSTITUTE(SUBSTITUTE(SUBSTITUTE(TRIM(C125),".",""),"/",""),"-","")," ","")))&lt;14,RIGHT(REPT("0",14)&amp;UPPER(SUBSTITUTE(SUBSTITUTE(SUBSTITUTE(SUBSTITUTE(TRIM(C125),".",""),"/",""),"-","")," ","")),14),UPPER(SUBSTITUTE(SUBSTITUTE(SUBSTITUTE(SUBSTITUTE(TRIM(C125),".",""),"/",""),"-","")," ",""))))</f>
        <v/>
      </c>
      <c r="E125" s="25" t="str">
        <f aca="false">IF(D125="","",IFERROR(INDEX(Empresas!$C:$C,MATCH(D125,Empresas!$B:$B,0)),"cadastre o CNPJ em Empresas"))</f>
        <v/>
      </c>
      <c r="F125" s="11"/>
      <c r="G125" s="23"/>
      <c r="H125" s="22"/>
      <c r="I125" s="35"/>
      <c r="J125" s="35"/>
      <c r="K125" s="36" t="str">
        <f aca="false">IF(I125="","",I125+J125)</f>
        <v/>
      </c>
      <c r="L125" s="37" t="str">
        <f aca="false">IF(OR(I125="",I125=0,J125=""),"",J125/I125)</f>
        <v/>
      </c>
      <c r="M125" s="25" t="str">
        <f aca="false">IF(L125="","",IF(L125&gt;0.25,"ACRÉSCIMO ACIMA DE 25% — conferir",""))</f>
        <v/>
      </c>
      <c r="N125" s="29" t="str">
        <f aca="false">IF(D125="","",IF(COUNTIFS(Empresas!$B:$B,D125,Empresas!$E:$E,"&lt;&gt;")=0,"",INDEX(Empresas!$E:$E,MATCH(D125,Empresas!$B:$B,0))))</f>
        <v/>
      </c>
      <c r="O125" s="27" t="str">
        <f aca="false">IF(OR(N125="",H125=""),"",H125-N125)</f>
        <v/>
      </c>
      <c r="P125" s="25" t="str">
        <f aca="false">IF(O125="","",IF(O125&lt;0,"CONTRATO ANTERIOR À ABERTURA — conferir datas",IF(O125&lt;180,"EMPRESA ABERTA MENOS DE 6 MESES ANTES","")))</f>
        <v/>
      </c>
      <c r="Q125" s="31" t="str">
        <f aca="false">IF(D125="","",IFERROR(INDEX(Sancoes!$D:$D,MATCH(D125,Sancoes!$C:$C,0)),"não consta"))</f>
        <v/>
      </c>
      <c r="R125" s="25" t="str">
        <f aca="false">IF(OR(D125="",H125=""),"",IF(SUMPRODUCT((Sancoes!$C$5:$C$304=D125)*(Sancoes!$G$5:$G$304&lt;=H125)*(((Sancoes!$H$5:$H$304="")+(Sancoes!$H$5:$H$304&gt;=H125))&gt;0))&gt;0,"SANÇÃO VIGENTE NA DATA — ler tipo e abrangência",""))</f>
        <v/>
      </c>
      <c r="S125" s="24"/>
      <c r="T125" s="11"/>
    </row>
    <row r="126" customFormat="false" ht="15" hidden="false" customHeight="false" outlineLevel="0" collapsed="false">
      <c r="A126" s="11"/>
      <c r="B126" s="24"/>
      <c r="C126" s="24"/>
      <c r="D126" s="31" t="str">
        <f aca="false">IF(C126="","",IF(LEN(UPPER(SUBSTITUTE(SUBSTITUTE(SUBSTITUTE(SUBSTITUTE(TRIM(C126),".",""),"/",""),"-","")," ","")))&lt;14,RIGHT(REPT("0",14)&amp;UPPER(SUBSTITUTE(SUBSTITUTE(SUBSTITUTE(SUBSTITUTE(TRIM(C126),".",""),"/",""),"-","")," ","")),14),UPPER(SUBSTITUTE(SUBSTITUTE(SUBSTITUTE(SUBSTITUTE(TRIM(C126),".",""),"/",""),"-","")," ",""))))</f>
        <v/>
      </c>
      <c r="E126" s="25" t="str">
        <f aca="false">IF(D126="","",IFERROR(INDEX(Empresas!$C:$C,MATCH(D126,Empresas!$B:$B,0)),"cadastre o CNPJ em Empresas"))</f>
        <v/>
      </c>
      <c r="F126" s="11"/>
      <c r="G126" s="23"/>
      <c r="H126" s="22"/>
      <c r="I126" s="35"/>
      <c r="J126" s="35"/>
      <c r="K126" s="36" t="str">
        <f aca="false">IF(I126="","",I126+J126)</f>
        <v/>
      </c>
      <c r="L126" s="37" t="str">
        <f aca="false">IF(OR(I126="",I126=0,J126=""),"",J126/I126)</f>
        <v/>
      </c>
      <c r="M126" s="25" t="str">
        <f aca="false">IF(L126="","",IF(L126&gt;0.25,"ACRÉSCIMO ACIMA DE 25% — conferir",""))</f>
        <v/>
      </c>
      <c r="N126" s="29" t="str">
        <f aca="false">IF(D126="","",IF(COUNTIFS(Empresas!$B:$B,D126,Empresas!$E:$E,"&lt;&gt;")=0,"",INDEX(Empresas!$E:$E,MATCH(D126,Empresas!$B:$B,0))))</f>
        <v/>
      </c>
      <c r="O126" s="27" t="str">
        <f aca="false">IF(OR(N126="",H126=""),"",H126-N126)</f>
        <v/>
      </c>
      <c r="P126" s="25" t="str">
        <f aca="false">IF(O126="","",IF(O126&lt;0,"CONTRATO ANTERIOR À ABERTURA — conferir datas",IF(O126&lt;180,"EMPRESA ABERTA MENOS DE 6 MESES ANTES","")))</f>
        <v/>
      </c>
      <c r="Q126" s="31" t="str">
        <f aca="false">IF(D126="","",IFERROR(INDEX(Sancoes!$D:$D,MATCH(D126,Sancoes!$C:$C,0)),"não consta"))</f>
        <v/>
      </c>
      <c r="R126" s="25" t="str">
        <f aca="false">IF(OR(D126="",H126=""),"",IF(SUMPRODUCT((Sancoes!$C$5:$C$304=D126)*(Sancoes!$G$5:$G$304&lt;=H126)*(((Sancoes!$H$5:$H$304="")+(Sancoes!$H$5:$H$304&gt;=H126))&gt;0))&gt;0,"SANÇÃO VIGENTE NA DATA — ler tipo e abrangência",""))</f>
        <v/>
      </c>
      <c r="S126" s="24"/>
      <c r="T126" s="11"/>
    </row>
    <row r="127" customFormat="false" ht="15" hidden="false" customHeight="false" outlineLevel="0" collapsed="false">
      <c r="A127" s="11"/>
      <c r="B127" s="24"/>
      <c r="C127" s="24"/>
      <c r="D127" s="31" t="str">
        <f aca="false">IF(C127="","",IF(LEN(UPPER(SUBSTITUTE(SUBSTITUTE(SUBSTITUTE(SUBSTITUTE(TRIM(C127),".",""),"/",""),"-","")," ","")))&lt;14,RIGHT(REPT("0",14)&amp;UPPER(SUBSTITUTE(SUBSTITUTE(SUBSTITUTE(SUBSTITUTE(TRIM(C127),".",""),"/",""),"-","")," ","")),14),UPPER(SUBSTITUTE(SUBSTITUTE(SUBSTITUTE(SUBSTITUTE(TRIM(C127),".",""),"/",""),"-","")," ",""))))</f>
        <v/>
      </c>
      <c r="E127" s="25" t="str">
        <f aca="false">IF(D127="","",IFERROR(INDEX(Empresas!$C:$C,MATCH(D127,Empresas!$B:$B,0)),"cadastre o CNPJ em Empresas"))</f>
        <v/>
      </c>
      <c r="F127" s="11"/>
      <c r="G127" s="23"/>
      <c r="H127" s="22"/>
      <c r="I127" s="35"/>
      <c r="J127" s="35"/>
      <c r="K127" s="36" t="str">
        <f aca="false">IF(I127="","",I127+J127)</f>
        <v/>
      </c>
      <c r="L127" s="37" t="str">
        <f aca="false">IF(OR(I127="",I127=0,J127=""),"",J127/I127)</f>
        <v/>
      </c>
      <c r="M127" s="25" t="str">
        <f aca="false">IF(L127="","",IF(L127&gt;0.25,"ACRÉSCIMO ACIMA DE 25% — conferir",""))</f>
        <v/>
      </c>
      <c r="N127" s="29" t="str">
        <f aca="false">IF(D127="","",IF(COUNTIFS(Empresas!$B:$B,D127,Empresas!$E:$E,"&lt;&gt;")=0,"",INDEX(Empresas!$E:$E,MATCH(D127,Empresas!$B:$B,0))))</f>
        <v/>
      </c>
      <c r="O127" s="27" t="str">
        <f aca="false">IF(OR(N127="",H127=""),"",H127-N127)</f>
        <v/>
      </c>
      <c r="P127" s="25" t="str">
        <f aca="false">IF(O127="","",IF(O127&lt;0,"CONTRATO ANTERIOR À ABERTURA — conferir datas",IF(O127&lt;180,"EMPRESA ABERTA MENOS DE 6 MESES ANTES","")))</f>
        <v/>
      </c>
      <c r="Q127" s="31" t="str">
        <f aca="false">IF(D127="","",IFERROR(INDEX(Sancoes!$D:$D,MATCH(D127,Sancoes!$C:$C,0)),"não consta"))</f>
        <v/>
      </c>
      <c r="R127" s="25" t="str">
        <f aca="false">IF(OR(D127="",H127=""),"",IF(SUMPRODUCT((Sancoes!$C$5:$C$304=D127)*(Sancoes!$G$5:$G$304&lt;=H127)*(((Sancoes!$H$5:$H$304="")+(Sancoes!$H$5:$H$304&gt;=H127))&gt;0))&gt;0,"SANÇÃO VIGENTE NA DATA — ler tipo e abrangência",""))</f>
        <v/>
      </c>
      <c r="S127" s="24"/>
      <c r="T127" s="11"/>
    </row>
    <row r="128" customFormat="false" ht="15" hidden="false" customHeight="false" outlineLevel="0" collapsed="false">
      <c r="A128" s="11"/>
      <c r="B128" s="24"/>
      <c r="C128" s="24"/>
      <c r="D128" s="31" t="str">
        <f aca="false">IF(C128="","",IF(LEN(UPPER(SUBSTITUTE(SUBSTITUTE(SUBSTITUTE(SUBSTITUTE(TRIM(C128),".",""),"/",""),"-","")," ","")))&lt;14,RIGHT(REPT("0",14)&amp;UPPER(SUBSTITUTE(SUBSTITUTE(SUBSTITUTE(SUBSTITUTE(TRIM(C128),".",""),"/",""),"-","")," ","")),14),UPPER(SUBSTITUTE(SUBSTITUTE(SUBSTITUTE(SUBSTITUTE(TRIM(C128),".",""),"/",""),"-","")," ",""))))</f>
        <v/>
      </c>
      <c r="E128" s="25" t="str">
        <f aca="false">IF(D128="","",IFERROR(INDEX(Empresas!$C:$C,MATCH(D128,Empresas!$B:$B,0)),"cadastre o CNPJ em Empresas"))</f>
        <v/>
      </c>
      <c r="F128" s="11"/>
      <c r="G128" s="23"/>
      <c r="H128" s="22"/>
      <c r="I128" s="35"/>
      <c r="J128" s="35"/>
      <c r="K128" s="36" t="str">
        <f aca="false">IF(I128="","",I128+J128)</f>
        <v/>
      </c>
      <c r="L128" s="37" t="str">
        <f aca="false">IF(OR(I128="",I128=0,J128=""),"",J128/I128)</f>
        <v/>
      </c>
      <c r="M128" s="25" t="str">
        <f aca="false">IF(L128="","",IF(L128&gt;0.25,"ACRÉSCIMO ACIMA DE 25% — conferir",""))</f>
        <v/>
      </c>
      <c r="N128" s="29" t="str">
        <f aca="false">IF(D128="","",IF(COUNTIFS(Empresas!$B:$B,D128,Empresas!$E:$E,"&lt;&gt;")=0,"",INDEX(Empresas!$E:$E,MATCH(D128,Empresas!$B:$B,0))))</f>
        <v/>
      </c>
      <c r="O128" s="27" t="str">
        <f aca="false">IF(OR(N128="",H128=""),"",H128-N128)</f>
        <v/>
      </c>
      <c r="P128" s="25" t="str">
        <f aca="false">IF(O128="","",IF(O128&lt;0,"CONTRATO ANTERIOR À ABERTURA — conferir datas",IF(O128&lt;180,"EMPRESA ABERTA MENOS DE 6 MESES ANTES","")))</f>
        <v/>
      </c>
      <c r="Q128" s="31" t="str">
        <f aca="false">IF(D128="","",IFERROR(INDEX(Sancoes!$D:$D,MATCH(D128,Sancoes!$C:$C,0)),"não consta"))</f>
        <v/>
      </c>
      <c r="R128" s="25" t="str">
        <f aca="false">IF(OR(D128="",H128=""),"",IF(SUMPRODUCT((Sancoes!$C$5:$C$304=D128)*(Sancoes!$G$5:$G$304&lt;=H128)*(((Sancoes!$H$5:$H$304="")+(Sancoes!$H$5:$H$304&gt;=H128))&gt;0))&gt;0,"SANÇÃO VIGENTE NA DATA — ler tipo e abrangência",""))</f>
        <v/>
      </c>
      <c r="S128" s="24"/>
      <c r="T128" s="11"/>
    </row>
    <row r="129" customFormat="false" ht="15" hidden="false" customHeight="false" outlineLevel="0" collapsed="false">
      <c r="A129" s="11"/>
      <c r="B129" s="24"/>
      <c r="C129" s="24"/>
      <c r="D129" s="31" t="str">
        <f aca="false">IF(C129="","",IF(LEN(UPPER(SUBSTITUTE(SUBSTITUTE(SUBSTITUTE(SUBSTITUTE(TRIM(C129),".",""),"/",""),"-","")," ","")))&lt;14,RIGHT(REPT("0",14)&amp;UPPER(SUBSTITUTE(SUBSTITUTE(SUBSTITUTE(SUBSTITUTE(TRIM(C129),".",""),"/",""),"-","")," ","")),14),UPPER(SUBSTITUTE(SUBSTITUTE(SUBSTITUTE(SUBSTITUTE(TRIM(C129),".",""),"/",""),"-","")," ",""))))</f>
        <v/>
      </c>
      <c r="E129" s="25" t="str">
        <f aca="false">IF(D129="","",IFERROR(INDEX(Empresas!$C:$C,MATCH(D129,Empresas!$B:$B,0)),"cadastre o CNPJ em Empresas"))</f>
        <v/>
      </c>
      <c r="F129" s="11"/>
      <c r="G129" s="23"/>
      <c r="H129" s="22"/>
      <c r="I129" s="35"/>
      <c r="J129" s="35"/>
      <c r="K129" s="36" t="str">
        <f aca="false">IF(I129="","",I129+J129)</f>
        <v/>
      </c>
      <c r="L129" s="37" t="str">
        <f aca="false">IF(OR(I129="",I129=0,J129=""),"",J129/I129)</f>
        <v/>
      </c>
      <c r="M129" s="25" t="str">
        <f aca="false">IF(L129="","",IF(L129&gt;0.25,"ACRÉSCIMO ACIMA DE 25% — conferir",""))</f>
        <v/>
      </c>
      <c r="N129" s="29" t="str">
        <f aca="false">IF(D129="","",IF(COUNTIFS(Empresas!$B:$B,D129,Empresas!$E:$E,"&lt;&gt;")=0,"",INDEX(Empresas!$E:$E,MATCH(D129,Empresas!$B:$B,0))))</f>
        <v/>
      </c>
      <c r="O129" s="27" t="str">
        <f aca="false">IF(OR(N129="",H129=""),"",H129-N129)</f>
        <v/>
      </c>
      <c r="P129" s="25" t="str">
        <f aca="false">IF(O129="","",IF(O129&lt;0,"CONTRATO ANTERIOR À ABERTURA — conferir datas",IF(O129&lt;180,"EMPRESA ABERTA MENOS DE 6 MESES ANTES","")))</f>
        <v/>
      </c>
      <c r="Q129" s="31" t="str">
        <f aca="false">IF(D129="","",IFERROR(INDEX(Sancoes!$D:$D,MATCH(D129,Sancoes!$C:$C,0)),"não consta"))</f>
        <v/>
      </c>
      <c r="R129" s="25" t="str">
        <f aca="false">IF(OR(D129="",H129=""),"",IF(SUMPRODUCT((Sancoes!$C$5:$C$304=D129)*(Sancoes!$G$5:$G$304&lt;=H129)*(((Sancoes!$H$5:$H$304="")+(Sancoes!$H$5:$H$304&gt;=H129))&gt;0))&gt;0,"SANÇÃO VIGENTE NA DATA — ler tipo e abrangência",""))</f>
        <v/>
      </c>
      <c r="S129" s="24"/>
      <c r="T129" s="11"/>
    </row>
    <row r="130" customFormat="false" ht="15" hidden="false" customHeight="false" outlineLevel="0" collapsed="false">
      <c r="A130" s="11"/>
      <c r="B130" s="24"/>
      <c r="C130" s="24"/>
      <c r="D130" s="31" t="str">
        <f aca="false">IF(C130="","",IF(LEN(UPPER(SUBSTITUTE(SUBSTITUTE(SUBSTITUTE(SUBSTITUTE(TRIM(C130),".",""),"/",""),"-","")," ","")))&lt;14,RIGHT(REPT("0",14)&amp;UPPER(SUBSTITUTE(SUBSTITUTE(SUBSTITUTE(SUBSTITUTE(TRIM(C130),".",""),"/",""),"-","")," ","")),14),UPPER(SUBSTITUTE(SUBSTITUTE(SUBSTITUTE(SUBSTITUTE(TRIM(C130),".",""),"/",""),"-","")," ",""))))</f>
        <v/>
      </c>
      <c r="E130" s="25" t="str">
        <f aca="false">IF(D130="","",IFERROR(INDEX(Empresas!$C:$C,MATCH(D130,Empresas!$B:$B,0)),"cadastre o CNPJ em Empresas"))</f>
        <v/>
      </c>
      <c r="F130" s="11"/>
      <c r="G130" s="23"/>
      <c r="H130" s="22"/>
      <c r="I130" s="35"/>
      <c r="J130" s="35"/>
      <c r="K130" s="36" t="str">
        <f aca="false">IF(I130="","",I130+J130)</f>
        <v/>
      </c>
      <c r="L130" s="37" t="str">
        <f aca="false">IF(OR(I130="",I130=0,J130=""),"",J130/I130)</f>
        <v/>
      </c>
      <c r="M130" s="25" t="str">
        <f aca="false">IF(L130="","",IF(L130&gt;0.25,"ACRÉSCIMO ACIMA DE 25% — conferir",""))</f>
        <v/>
      </c>
      <c r="N130" s="29" t="str">
        <f aca="false">IF(D130="","",IF(COUNTIFS(Empresas!$B:$B,D130,Empresas!$E:$E,"&lt;&gt;")=0,"",INDEX(Empresas!$E:$E,MATCH(D130,Empresas!$B:$B,0))))</f>
        <v/>
      </c>
      <c r="O130" s="27" t="str">
        <f aca="false">IF(OR(N130="",H130=""),"",H130-N130)</f>
        <v/>
      </c>
      <c r="P130" s="25" t="str">
        <f aca="false">IF(O130="","",IF(O130&lt;0,"CONTRATO ANTERIOR À ABERTURA — conferir datas",IF(O130&lt;180,"EMPRESA ABERTA MENOS DE 6 MESES ANTES","")))</f>
        <v/>
      </c>
      <c r="Q130" s="31" t="str">
        <f aca="false">IF(D130="","",IFERROR(INDEX(Sancoes!$D:$D,MATCH(D130,Sancoes!$C:$C,0)),"não consta"))</f>
        <v/>
      </c>
      <c r="R130" s="25" t="str">
        <f aca="false">IF(OR(D130="",H130=""),"",IF(SUMPRODUCT((Sancoes!$C$5:$C$304=D130)*(Sancoes!$G$5:$G$304&lt;=H130)*(((Sancoes!$H$5:$H$304="")+(Sancoes!$H$5:$H$304&gt;=H130))&gt;0))&gt;0,"SANÇÃO VIGENTE NA DATA — ler tipo e abrangência",""))</f>
        <v/>
      </c>
      <c r="S130" s="24"/>
      <c r="T130" s="11"/>
    </row>
    <row r="131" customFormat="false" ht="15" hidden="false" customHeight="false" outlineLevel="0" collapsed="false">
      <c r="A131" s="11"/>
      <c r="B131" s="24"/>
      <c r="C131" s="24"/>
      <c r="D131" s="31" t="str">
        <f aca="false">IF(C131="","",IF(LEN(UPPER(SUBSTITUTE(SUBSTITUTE(SUBSTITUTE(SUBSTITUTE(TRIM(C131),".",""),"/",""),"-","")," ","")))&lt;14,RIGHT(REPT("0",14)&amp;UPPER(SUBSTITUTE(SUBSTITUTE(SUBSTITUTE(SUBSTITUTE(TRIM(C131),".",""),"/",""),"-","")," ","")),14),UPPER(SUBSTITUTE(SUBSTITUTE(SUBSTITUTE(SUBSTITUTE(TRIM(C131),".",""),"/",""),"-","")," ",""))))</f>
        <v/>
      </c>
      <c r="E131" s="25" t="str">
        <f aca="false">IF(D131="","",IFERROR(INDEX(Empresas!$C:$C,MATCH(D131,Empresas!$B:$B,0)),"cadastre o CNPJ em Empresas"))</f>
        <v/>
      </c>
      <c r="F131" s="11"/>
      <c r="G131" s="23"/>
      <c r="H131" s="22"/>
      <c r="I131" s="35"/>
      <c r="J131" s="35"/>
      <c r="K131" s="36" t="str">
        <f aca="false">IF(I131="","",I131+J131)</f>
        <v/>
      </c>
      <c r="L131" s="37" t="str">
        <f aca="false">IF(OR(I131="",I131=0,J131=""),"",J131/I131)</f>
        <v/>
      </c>
      <c r="M131" s="25" t="str">
        <f aca="false">IF(L131="","",IF(L131&gt;0.25,"ACRÉSCIMO ACIMA DE 25% — conferir",""))</f>
        <v/>
      </c>
      <c r="N131" s="29" t="str">
        <f aca="false">IF(D131="","",IF(COUNTIFS(Empresas!$B:$B,D131,Empresas!$E:$E,"&lt;&gt;")=0,"",INDEX(Empresas!$E:$E,MATCH(D131,Empresas!$B:$B,0))))</f>
        <v/>
      </c>
      <c r="O131" s="27" t="str">
        <f aca="false">IF(OR(N131="",H131=""),"",H131-N131)</f>
        <v/>
      </c>
      <c r="P131" s="25" t="str">
        <f aca="false">IF(O131="","",IF(O131&lt;0,"CONTRATO ANTERIOR À ABERTURA — conferir datas",IF(O131&lt;180,"EMPRESA ABERTA MENOS DE 6 MESES ANTES","")))</f>
        <v/>
      </c>
      <c r="Q131" s="31" t="str">
        <f aca="false">IF(D131="","",IFERROR(INDEX(Sancoes!$D:$D,MATCH(D131,Sancoes!$C:$C,0)),"não consta"))</f>
        <v/>
      </c>
      <c r="R131" s="25" t="str">
        <f aca="false">IF(OR(D131="",H131=""),"",IF(SUMPRODUCT((Sancoes!$C$5:$C$304=D131)*(Sancoes!$G$5:$G$304&lt;=H131)*(((Sancoes!$H$5:$H$304="")+(Sancoes!$H$5:$H$304&gt;=H131))&gt;0))&gt;0,"SANÇÃO VIGENTE NA DATA — ler tipo e abrangência",""))</f>
        <v/>
      </c>
      <c r="S131" s="24"/>
      <c r="T131" s="11"/>
    </row>
    <row r="132" customFormat="false" ht="15" hidden="false" customHeight="false" outlineLevel="0" collapsed="false">
      <c r="A132" s="11"/>
      <c r="B132" s="24"/>
      <c r="C132" s="24"/>
      <c r="D132" s="31" t="str">
        <f aca="false">IF(C132="","",IF(LEN(UPPER(SUBSTITUTE(SUBSTITUTE(SUBSTITUTE(SUBSTITUTE(TRIM(C132),".",""),"/",""),"-","")," ","")))&lt;14,RIGHT(REPT("0",14)&amp;UPPER(SUBSTITUTE(SUBSTITUTE(SUBSTITUTE(SUBSTITUTE(TRIM(C132),".",""),"/",""),"-","")," ","")),14),UPPER(SUBSTITUTE(SUBSTITUTE(SUBSTITUTE(SUBSTITUTE(TRIM(C132),".",""),"/",""),"-","")," ",""))))</f>
        <v/>
      </c>
      <c r="E132" s="25" t="str">
        <f aca="false">IF(D132="","",IFERROR(INDEX(Empresas!$C:$C,MATCH(D132,Empresas!$B:$B,0)),"cadastre o CNPJ em Empresas"))</f>
        <v/>
      </c>
      <c r="F132" s="11"/>
      <c r="G132" s="23"/>
      <c r="H132" s="22"/>
      <c r="I132" s="35"/>
      <c r="J132" s="35"/>
      <c r="K132" s="36" t="str">
        <f aca="false">IF(I132="","",I132+J132)</f>
        <v/>
      </c>
      <c r="L132" s="37" t="str">
        <f aca="false">IF(OR(I132="",I132=0,J132=""),"",J132/I132)</f>
        <v/>
      </c>
      <c r="M132" s="25" t="str">
        <f aca="false">IF(L132="","",IF(L132&gt;0.25,"ACRÉSCIMO ACIMA DE 25% — conferir",""))</f>
        <v/>
      </c>
      <c r="N132" s="29" t="str">
        <f aca="false">IF(D132="","",IF(COUNTIFS(Empresas!$B:$B,D132,Empresas!$E:$E,"&lt;&gt;")=0,"",INDEX(Empresas!$E:$E,MATCH(D132,Empresas!$B:$B,0))))</f>
        <v/>
      </c>
      <c r="O132" s="27" t="str">
        <f aca="false">IF(OR(N132="",H132=""),"",H132-N132)</f>
        <v/>
      </c>
      <c r="P132" s="25" t="str">
        <f aca="false">IF(O132="","",IF(O132&lt;0,"CONTRATO ANTERIOR À ABERTURA — conferir datas",IF(O132&lt;180,"EMPRESA ABERTA MENOS DE 6 MESES ANTES","")))</f>
        <v/>
      </c>
      <c r="Q132" s="31" t="str">
        <f aca="false">IF(D132="","",IFERROR(INDEX(Sancoes!$D:$D,MATCH(D132,Sancoes!$C:$C,0)),"não consta"))</f>
        <v/>
      </c>
      <c r="R132" s="25" t="str">
        <f aca="false">IF(OR(D132="",H132=""),"",IF(SUMPRODUCT((Sancoes!$C$5:$C$304=D132)*(Sancoes!$G$5:$G$304&lt;=H132)*(((Sancoes!$H$5:$H$304="")+(Sancoes!$H$5:$H$304&gt;=H132))&gt;0))&gt;0,"SANÇÃO VIGENTE NA DATA — ler tipo e abrangência",""))</f>
        <v/>
      </c>
      <c r="S132" s="24"/>
      <c r="T132" s="11"/>
    </row>
    <row r="133" customFormat="false" ht="15" hidden="false" customHeight="false" outlineLevel="0" collapsed="false">
      <c r="A133" s="11"/>
      <c r="B133" s="24"/>
      <c r="C133" s="24"/>
      <c r="D133" s="31" t="str">
        <f aca="false">IF(C133="","",IF(LEN(UPPER(SUBSTITUTE(SUBSTITUTE(SUBSTITUTE(SUBSTITUTE(TRIM(C133),".",""),"/",""),"-","")," ","")))&lt;14,RIGHT(REPT("0",14)&amp;UPPER(SUBSTITUTE(SUBSTITUTE(SUBSTITUTE(SUBSTITUTE(TRIM(C133),".",""),"/",""),"-","")," ","")),14),UPPER(SUBSTITUTE(SUBSTITUTE(SUBSTITUTE(SUBSTITUTE(TRIM(C133),".",""),"/",""),"-","")," ",""))))</f>
        <v/>
      </c>
      <c r="E133" s="25" t="str">
        <f aca="false">IF(D133="","",IFERROR(INDEX(Empresas!$C:$C,MATCH(D133,Empresas!$B:$B,0)),"cadastre o CNPJ em Empresas"))</f>
        <v/>
      </c>
      <c r="F133" s="11"/>
      <c r="G133" s="23"/>
      <c r="H133" s="22"/>
      <c r="I133" s="35"/>
      <c r="J133" s="35"/>
      <c r="K133" s="36" t="str">
        <f aca="false">IF(I133="","",I133+J133)</f>
        <v/>
      </c>
      <c r="L133" s="37" t="str">
        <f aca="false">IF(OR(I133="",I133=0,J133=""),"",J133/I133)</f>
        <v/>
      </c>
      <c r="M133" s="25" t="str">
        <f aca="false">IF(L133="","",IF(L133&gt;0.25,"ACRÉSCIMO ACIMA DE 25% — conferir",""))</f>
        <v/>
      </c>
      <c r="N133" s="29" t="str">
        <f aca="false">IF(D133="","",IF(COUNTIFS(Empresas!$B:$B,D133,Empresas!$E:$E,"&lt;&gt;")=0,"",INDEX(Empresas!$E:$E,MATCH(D133,Empresas!$B:$B,0))))</f>
        <v/>
      </c>
      <c r="O133" s="27" t="str">
        <f aca="false">IF(OR(N133="",H133=""),"",H133-N133)</f>
        <v/>
      </c>
      <c r="P133" s="25" t="str">
        <f aca="false">IF(O133="","",IF(O133&lt;0,"CONTRATO ANTERIOR À ABERTURA — conferir datas",IF(O133&lt;180,"EMPRESA ABERTA MENOS DE 6 MESES ANTES","")))</f>
        <v/>
      </c>
      <c r="Q133" s="31" t="str">
        <f aca="false">IF(D133="","",IFERROR(INDEX(Sancoes!$D:$D,MATCH(D133,Sancoes!$C:$C,0)),"não consta"))</f>
        <v/>
      </c>
      <c r="R133" s="25" t="str">
        <f aca="false">IF(OR(D133="",H133=""),"",IF(SUMPRODUCT((Sancoes!$C$5:$C$304=D133)*(Sancoes!$G$5:$G$304&lt;=H133)*(((Sancoes!$H$5:$H$304="")+(Sancoes!$H$5:$H$304&gt;=H133))&gt;0))&gt;0,"SANÇÃO VIGENTE NA DATA — ler tipo e abrangência",""))</f>
        <v/>
      </c>
      <c r="S133" s="24"/>
      <c r="T133" s="11"/>
    </row>
    <row r="134" customFormat="false" ht="15" hidden="false" customHeight="false" outlineLevel="0" collapsed="false">
      <c r="A134" s="11"/>
      <c r="B134" s="24"/>
      <c r="C134" s="24"/>
      <c r="D134" s="31" t="str">
        <f aca="false">IF(C134="","",IF(LEN(UPPER(SUBSTITUTE(SUBSTITUTE(SUBSTITUTE(SUBSTITUTE(TRIM(C134),".",""),"/",""),"-","")," ","")))&lt;14,RIGHT(REPT("0",14)&amp;UPPER(SUBSTITUTE(SUBSTITUTE(SUBSTITUTE(SUBSTITUTE(TRIM(C134),".",""),"/",""),"-","")," ","")),14),UPPER(SUBSTITUTE(SUBSTITUTE(SUBSTITUTE(SUBSTITUTE(TRIM(C134),".",""),"/",""),"-","")," ",""))))</f>
        <v/>
      </c>
      <c r="E134" s="25" t="str">
        <f aca="false">IF(D134="","",IFERROR(INDEX(Empresas!$C:$C,MATCH(D134,Empresas!$B:$B,0)),"cadastre o CNPJ em Empresas"))</f>
        <v/>
      </c>
      <c r="F134" s="11"/>
      <c r="G134" s="23"/>
      <c r="H134" s="22"/>
      <c r="I134" s="35"/>
      <c r="J134" s="35"/>
      <c r="K134" s="36" t="str">
        <f aca="false">IF(I134="","",I134+J134)</f>
        <v/>
      </c>
      <c r="L134" s="37" t="str">
        <f aca="false">IF(OR(I134="",I134=0,J134=""),"",J134/I134)</f>
        <v/>
      </c>
      <c r="M134" s="25" t="str">
        <f aca="false">IF(L134="","",IF(L134&gt;0.25,"ACRÉSCIMO ACIMA DE 25% — conferir",""))</f>
        <v/>
      </c>
      <c r="N134" s="29" t="str">
        <f aca="false">IF(D134="","",IF(COUNTIFS(Empresas!$B:$B,D134,Empresas!$E:$E,"&lt;&gt;")=0,"",INDEX(Empresas!$E:$E,MATCH(D134,Empresas!$B:$B,0))))</f>
        <v/>
      </c>
      <c r="O134" s="27" t="str">
        <f aca="false">IF(OR(N134="",H134=""),"",H134-N134)</f>
        <v/>
      </c>
      <c r="P134" s="25" t="str">
        <f aca="false">IF(O134="","",IF(O134&lt;0,"CONTRATO ANTERIOR À ABERTURA — conferir datas",IF(O134&lt;180,"EMPRESA ABERTA MENOS DE 6 MESES ANTES","")))</f>
        <v/>
      </c>
      <c r="Q134" s="31" t="str">
        <f aca="false">IF(D134="","",IFERROR(INDEX(Sancoes!$D:$D,MATCH(D134,Sancoes!$C:$C,0)),"não consta"))</f>
        <v/>
      </c>
      <c r="R134" s="25" t="str">
        <f aca="false">IF(OR(D134="",H134=""),"",IF(SUMPRODUCT((Sancoes!$C$5:$C$304=D134)*(Sancoes!$G$5:$G$304&lt;=H134)*(((Sancoes!$H$5:$H$304="")+(Sancoes!$H$5:$H$304&gt;=H134))&gt;0))&gt;0,"SANÇÃO VIGENTE NA DATA — ler tipo e abrangência",""))</f>
        <v/>
      </c>
      <c r="S134" s="24"/>
      <c r="T134" s="11"/>
    </row>
    <row r="135" customFormat="false" ht="15" hidden="false" customHeight="false" outlineLevel="0" collapsed="false">
      <c r="A135" s="11"/>
      <c r="B135" s="24"/>
      <c r="C135" s="24"/>
      <c r="D135" s="31" t="str">
        <f aca="false">IF(C135="","",IF(LEN(UPPER(SUBSTITUTE(SUBSTITUTE(SUBSTITUTE(SUBSTITUTE(TRIM(C135),".",""),"/",""),"-","")," ","")))&lt;14,RIGHT(REPT("0",14)&amp;UPPER(SUBSTITUTE(SUBSTITUTE(SUBSTITUTE(SUBSTITUTE(TRIM(C135),".",""),"/",""),"-","")," ","")),14),UPPER(SUBSTITUTE(SUBSTITUTE(SUBSTITUTE(SUBSTITUTE(TRIM(C135),".",""),"/",""),"-","")," ",""))))</f>
        <v/>
      </c>
      <c r="E135" s="25" t="str">
        <f aca="false">IF(D135="","",IFERROR(INDEX(Empresas!$C:$C,MATCH(D135,Empresas!$B:$B,0)),"cadastre o CNPJ em Empresas"))</f>
        <v/>
      </c>
      <c r="F135" s="11"/>
      <c r="G135" s="23"/>
      <c r="H135" s="22"/>
      <c r="I135" s="35"/>
      <c r="J135" s="35"/>
      <c r="K135" s="36" t="str">
        <f aca="false">IF(I135="","",I135+J135)</f>
        <v/>
      </c>
      <c r="L135" s="37" t="str">
        <f aca="false">IF(OR(I135="",I135=0,J135=""),"",J135/I135)</f>
        <v/>
      </c>
      <c r="M135" s="25" t="str">
        <f aca="false">IF(L135="","",IF(L135&gt;0.25,"ACRÉSCIMO ACIMA DE 25% — conferir",""))</f>
        <v/>
      </c>
      <c r="N135" s="29" t="str">
        <f aca="false">IF(D135="","",IF(COUNTIFS(Empresas!$B:$B,D135,Empresas!$E:$E,"&lt;&gt;")=0,"",INDEX(Empresas!$E:$E,MATCH(D135,Empresas!$B:$B,0))))</f>
        <v/>
      </c>
      <c r="O135" s="27" t="str">
        <f aca="false">IF(OR(N135="",H135=""),"",H135-N135)</f>
        <v/>
      </c>
      <c r="P135" s="25" t="str">
        <f aca="false">IF(O135="","",IF(O135&lt;0,"CONTRATO ANTERIOR À ABERTURA — conferir datas",IF(O135&lt;180,"EMPRESA ABERTA MENOS DE 6 MESES ANTES","")))</f>
        <v/>
      </c>
      <c r="Q135" s="31" t="str">
        <f aca="false">IF(D135="","",IFERROR(INDEX(Sancoes!$D:$D,MATCH(D135,Sancoes!$C:$C,0)),"não consta"))</f>
        <v/>
      </c>
      <c r="R135" s="25" t="str">
        <f aca="false">IF(OR(D135="",H135=""),"",IF(SUMPRODUCT((Sancoes!$C$5:$C$304=D135)*(Sancoes!$G$5:$G$304&lt;=H135)*(((Sancoes!$H$5:$H$304="")+(Sancoes!$H$5:$H$304&gt;=H135))&gt;0))&gt;0,"SANÇÃO VIGENTE NA DATA — ler tipo e abrangência",""))</f>
        <v/>
      </c>
      <c r="S135" s="24"/>
      <c r="T135" s="11"/>
    </row>
    <row r="136" customFormat="false" ht="15" hidden="false" customHeight="false" outlineLevel="0" collapsed="false">
      <c r="A136" s="11"/>
      <c r="B136" s="24"/>
      <c r="C136" s="24"/>
      <c r="D136" s="31" t="str">
        <f aca="false">IF(C136="","",IF(LEN(UPPER(SUBSTITUTE(SUBSTITUTE(SUBSTITUTE(SUBSTITUTE(TRIM(C136),".",""),"/",""),"-","")," ","")))&lt;14,RIGHT(REPT("0",14)&amp;UPPER(SUBSTITUTE(SUBSTITUTE(SUBSTITUTE(SUBSTITUTE(TRIM(C136),".",""),"/",""),"-","")," ","")),14),UPPER(SUBSTITUTE(SUBSTITUTE(SUBSTITUTE(SUBSTITUTE(TRIM(C136),".",""),"/",""),"-","")," ",""))))</f>
        <v/>
      </c>
      <c r="E136" s="25" t="str">
        <f aca="false">IF(D136="","",IFERROR(INDEX(Empresas!$C:$C,MATCH(D136,Empresas!$B:$B,0)),"cadastre o CNPJ em Empresas"))</f>
        <v/>
      </c>
      <c r="F136" s="11"/>
      <c r="G136" s="23"/>
      <c r="H136" s="22"/>
      <c r="I136" s="35"/>
      <c r="J136" s="35"/>
      <c r="K136" s="36" t="str">
        <f aca="false">IF(I136="","",I136+J136)</f>
        <v/>
      </c>
      <c r="L136" s="37" t="str">
        <f aca="false">IF(OR(I136="",I136=0,J136=""),"",J136/I136)</f>
        <v/>
      </c>
      <c r="M136" s="25" t="str">
        <f aca="false">IF(L136="","",IF(L136&gt;0.25,"ACRÉSCIMO ACIMA DE 25% — conferir",""))</f>
        <v/>
      </c>
      <c r="N136" s="29" t="str">
        <f aca="false">IF(D136="","",IF(COUNTIFS(Empresas!$B:$B,D136,Empresas!$E:$E,"&lt;&gt;")=0,"",INDEX(Empresas!$E:$E,MATCH(D136,Empresas!$B:$B,0))))</f>
        <v/>
      </c>
      <c r="O136" s="27" t="str">
        <f aca="false">IF(OR(N136="",H136=""),"",H136-N136)</f>
        <v/>
      </c>
      <c r="P136" s="25" t="str">
        <f aca="false">IF(O136="","",IF(O136&lt;0,"CONTRATO ANTERIOR À ABERTURA — conferir datas",IF(O136&lt;180,"EMPRESA ABERTA MENOS DE 6 MESES ANTES","")))</f>
        <v/>
      </c>
      <c r="Q136" s="31" t="str">
        <f aca="false">IF(D136="","",IFERROR(INDEX(Sancoes!$D:$D,MATCH(D136,Sancoes!$C:$C,0)),"não consta"))</f>
        <v/>
      </c>
      <c r="R136" s="25" t="str">
        <f aca="false">IF(OR(D136="",H136=""),"",IF(SUMPRODUCT((Sancoes!$C$5:$C$304=D136)*(Sancoes!$G$5:$G$304&lt;=H136)*(((Sancoes!$H$5:$H$304="")+(Sancoes!$H$5:$H$304&gt;=H136))&gt;0))&gt;0,"SANÇÃO VIGENTE NA DATA — ler tipo e abrangência",""))</f>
        <v/>
      </c>
      <c r="S136" s="24"/>
      <c r="T136" s="11"/>
    </row>
    <row r="137" customFormat="false" ht="15" hidden="false" customHeight="false" outlineLevel="0" collapsed="false">
      <c r="A137" s="11"/>
      <c r="B137" s="24"/>
      <c r="C137" s="24"/>
      <c r="D137" s="31" t="str">
        <f aca="false">IF(C137="","",IF(LEN(UPPER(SUBSTITUTE(SUBSTITUTE(SUBSTITUTE(SUBSTITUTE(TRIM(C137),".",""),"/",""),"-","")," ","")))&lt;14,RIGHT(REPT("0",14)&amp;UPPER(SUBSTITUTE(SUBSTITUTE(SUBSTITUTE(SUBSTITUTE(TRIM(C137),".",""),"/",""),"-","")," ","")),14),UPPER(SUBSTITUTE(SUBSTITUTE(SUBSTITUTE(SUBSTITUTE(TRIM(C137),".",""),"/",""),"-","")," ",""))))</f>
        <v/>
      </c>
      <c r="E137" s="25" t="str">
        <f aca="false">IF(D137="","",IFERROR(INDEX(Empresas!$C:$C,MATCH(D137,Empresas!$B:$B,0)),"cadastre o CNPJ em Empresas"))</f>
        <v/>
      </c>
      <c r="F137" s="11"/>
      <c r="G137" s="23"/>
      <c r="H137" s="22"/>
      <c r="I137" s="35"/>
      <c r="J137" s="35"/>
      <c r="K137" s="36" t="str">
        <f aca="false">IF(I137="","",I137+J137)</f>
        <v/>
      </c>
      <c r="L137" s="37" t="str">
        <f aca="false">IF(OR(I137="",I137=0,J137=""),"",J137/I137)</f>
        <v/>
      </c>
      <c r="M137" s="25" t="str">
        <f aca="false">IF(L137="","",IF(L137&gt;0.25,"ACRÉSCIMO ACIMA DE 25% — conferir",""))</f>
        <v/>
      </c>
      <c r="N137" s="29" t="str">
        <f aca="false">IF(D137="","",IF(COUNTIFS(Empresas!$B:$B,D137,Empresas!$E:$E,"&lt;&gt;")=0,"",INDEX(Empresas!$E:$E,MATCH(D137,Empresas!$B:$B,0))))</f>
        <v/>
      </c>
      <c r="O137" s="27" t="str">
        <f aca="false">IF(OR(N137="",H137=""),"",H137-N137)</f>
        <v/>
      </c>
      <c r="P137" s="25" t="str">
        <f aca="false">IF(O137="","",IF(O137&lt;0,"CONTRATO ANTERIOR À ABERTURA — conferir datas",IF(O137&lt;180,"EMPRESA ABERTA MENOS DE 6 MESES ANTES","")))</f>
        <v/>
      </c>
      <c r="Q137" s="31" t="str">
        <f aca="false">IF(D137="","",IFERROR(INDEX(Sancoes!$D:$D,MATCH(D137,Sancoes!$C:$C,0)),"não consta"))</f>
        <v/>
      </c>
      <c r="R137" s="25" t="str">
        <f aca="false">IF(OR(D137="",H137=""),"",IF(SUMPRODUCT((Sancoes!$C$5:$C$304=D137)*(Sancoes!$G$5:$G$304&lt;=H137)*(((Sancoes!$H$5:$H$304="")+(Sancoes!$H$5:$H$304&gt;=H137))&gt;0))&gt;0,"SANÇÃO VIGENTE NA DATA — ler tipo e abrangência",""))</f>
        <v/>
      </c>
      <c r="S137" s="24"/>
      <c r="T137" s="11"/>
    </row>
    <row r="138" customFormat="false" ht="15" hidden="false" customHeight="false" outlineLevel="0" collapsed="false">
      <c r="A138" s="11"/>
      <c r="B138" s="24"/>
      <c r="C138" s="24"/>
      <c r="D138" s="31" t="str">
        <f aca="false">IF(C138="","",IF(LEN(UPPER(SUBSTITUTE(SUBSTITUTE(SUBSTITUTE(SUBSTITUTE(TRIM(C138),".",""),"/",""),"-","")," ","")))&lt;14,RIGHT(REPT("0",14)&amp;UPPER(SUBSTITUTE(SUBSTITUTE(SUBSTITUTE(SUBSTITUTE(TRIM(C138),".",""),"/",""),"-","")," ","")),14),UPPER(SUBSTITUTE(SUBSTITUTE(SUBSTITUTE(SUBSTITUTE(TRIM(C138),".",""),"/",""),"-","")," ",""))))</f>
        <v/>
      </c>
      <c r="E138" s="25" t="str">
        <f aca="false">IF(D138="","",IFERROR(INDEX(Empresas!$C:$C,MATCH(D138,Empresas!$B:$B,0)),"cadastre o CNPJ em Empresas"))</f>
        <v/>
      </c>
      <c r="F138" s="11"/>
      <c r="G138" s="23"/>
      <c r="H138" s="22"/>
      <c r="I138" s="35"/>
      <c r="J138" s="35"/>
      <c r="K138" s="36" t="str">
        <f aca="false">IF(I138="","",I138+J138)</f>
        <v/>
      </c>
      <c r="L138" s="37" t="str">
        <f aca="false">IF(OR(I138="",I138=0,J138=""),"",J138/I138)</f>
        <v/>
      </c>
      <c r="M138" s="25" t="str">
        <f aca="false">IF(L138="","",IF(L138&gt;0.25,"ACRÉSCIMO ACIMA DE 25% — conferir",""))</f>
        <v/>
      </c>
      <c r="N138" s="29" t="str">
        <f aca="false">IF(D138="","",IF(COUNTIFS(Empresas!$B:$B,D138,Empresas!$E:$E,"&lt;&gt;")=0,"",INDEX(Empresas!$E:$E,MATCH(D138,Empresas!$B:$B,0))))</f>
        <v/>
      </c>
      <c r="O138" s="27" t="str">
        <f aca="false">IF(OR(N138="",H138=""),"",H138-N138)</f>
        <v/>
      </c>
      <c r="P138" s="25" t="str">
        <f aca="false">IF(O138="","",IF(O138&lt;0,"CONTRATO ANTERIOR À ABERTURA — conferir datas",IF(O138&lt;180,"EMPRESA ABERTA MENOS DE 6 MESES ANTES","")))</f>
        <v/>
      </c>
      <c r="Q138" s="31" t="str">
        <f aca="false">IF(D138="","",IFERROR(INDEX(Sancoes!$D:$D,MATCH(D138,Sancoes!$C:$C,0)),"não consta"))</f>
        <v/>
      </c>
      <c r="R138" s="25" t="str">
        <f aca="false">IF(OR(D138="",H138=""),"",IF(SUMPRODUCT((Sancoes!$C$5:$C$304=D138)*(Sancoes!$G$5:$G$304&lt;=H138)*(((Sancoes!$H$5:$H$304="")+(Sancoes!$H$5:$H$304&gt;=H138))&gt;0))&gt;0,"SANÇÃO VIGENTE NA DATA — ler tipo e abrangência",""))</f>
        <v/>
      </c>
      <c r="S138" s="24"/>
      <c r="T138" s="11"/>
    </row>
    <row r="139" customFormat="false" ht="15" hidden="false" customHeight="false" outlineLevel="0" collapsed="false">
      <c r="A139" s="11"/>
      <c r="B139" s="24"/>
      <c r="C139" s="24"/>
      <c r="D139" s="31" t="str">
        <f aca="false">IF(C139="","",IF(LEN(UPPER(SUBSTITUTE(SUBSTITUTE(SUBSTITUTE(SUBSTITUTE(TRIM(C139),".",""),"/",""),"-","")," ","")))&lt;14,RIGHT(REPT("0",14)&amp;UPPER(SUBSTITUTE(SUBSTITUTE(SUBSTITUTE(SUBSTITUTE(TRIM(C139),".",""),"/",""),"-","")," ","")),14),UPPER(SUBSTITUTE(SUBSTITUTE(SUBSTITUTE(SUBSTITUTE(TRIM(C139),".",""),"/",""),"-","")," ",""))))</f>
        <v/>
      </c>
      <c r="E139" s="25" t="str">
        <f aca="false">IF(D139="","",IFERROR(INDEX(Empresas!$C:$C,MATCH(D139,Empresas!$B:$B,0)),"cadastre o CNPJ em Empresas"))</f>
        <v/>
      </c>
      <c r="F139" s="11"/>
      <c r="G139" s="23"/>
      <c r="H139" s="22"/>
      <c r="I139" s="35"/>
      <c r="J139" s="35"/>
      <c r="K139" s="36" t="str">
        <f aca="false">IF(I139="","",I139+J139)</f>
        <v/>
      </c>
      <c r="L139" s="37" t="str">
        <f aca="false">IF(OR(I139="",I139=0,J139=""),"",J139/I139)</f>
        <v/>
      </c>
      <c r="M139" s="25" t="str">
        <f aca="false">IF(L139="","",IF(L139&gt;0.25,"ACRÉSCIMO ACIMA DE 25% — conferir",""))</f>
        <v/>
      </c>
      <c r="N139" s="29" t="str">
        <f aca="false">IF(D139="","",IF(COUNTIFS(Empresas!$B:$B,D139,Empresas!$E:$E,"&lt;&gt;")=0,"",INDEX(Empresas!$E:$E,MATCH(D139,Empresas!$B:$B,0))))</f>
        <v/>
      </c>
      <c r="O139" s="27" t="str">
        <f aca="false">IF(OR(N139="",H139=""),"",H139-N139)</f>
        <v/>
      </c>
      <c r="P139" s="25" t="str">
        <f aca="false">IF(O139="","",IF(O139&lt;0,"CONTRATO ANTERIOR À ABERTURA — conferir datas",IF(O139&lt;180,"EMPRESA ABERTA MENOS DE 6 MESES ANTES","")))</f>
        <v/>
      </c>
      <c r="Q139" s="31" t="str">
        <f aca="false">IF(D139="","",IFERROR(INDEX(Sancoes!$D:$D,MATCH(D139,Sancoes!$C:$C,0)),"não consta"))</f>
        <v/>
      </c>
      <c r="R139" s="25" t="str">
        <f aca="false">IF(OR(D139="",H139=""),"",IF(SUMPRODUCT((Sancoes!$C$5:$C$304=D139)*(Sancoes!$G$5:$G$304&lt;=H139)*(((Sancoes!$H$5:$H$304="")+(Sancoes!$H$5:$H$304&gt;=H139))&gt;0))&gt;0,"SANÇÃO VIGENTE NA DATA — ler tipo e abrangência",""))</f>
        <v/>
      </c>
      <c r="S139" s="24"/>
      <c r="T139" s="11"/>
    </row>
    <row r="140" customFormat="false" ht="15" hidden="false" customHeight="false" outlineLevel="0" collapsed="false">
      <c r="A140" s="11"/>
      <c r="B140" s="24"/>
      <c r="C140" s="24"/>
      <c r="D140" s="31" t="str">
        <f aca="false">IF(C140="","",IF(LEN(UPPER(SUBSTITUTE(SUBSTITUTE(SUBSTITUTE(SUBSTITUTE(TRIM(C140),".",""),"/",""),"-","")," ","")))&lt;14,RIGHT(REPT("0",14)&amp;UPPER(SUBSTITUTE(SUBSTITUTE(SUBSTITUTE(SUBSTITUTE(TRIM(C140),".",""),"/",""),"-","")," ","")),14),UPPER(SUBSTITUTE(SUBSTITUTE(SUBSTITUTE(SUBSTITUTE(TRIM(C140),".",""),"/",""),"-","")," ",""))))</f>
        <v/>
      </c>
      <c r="E140" s="25" t="str">
        <f aca="false">IF(D140="","",IFERROR(INDEX(Empresas!$C:$C,MATCH(D140,Empresas!$B:$B,0)),"cadastre o CNPJ em Empresas"))</f>
        <v/>
      </c>
      <c r="F140" s="11"/>
      <c r="G140" s="23"/>
      <c r="H140" s="22"/>
      <c r="I140" s="35"/>
      <c r="J140" s="35"/>
      <c r="K140" s="36" t="str">
        <f aca="false">IF(I140="","",I140+J140)</f>
        <v/>
      </c>
      <c r="L140" s="37" t="str">
        <f aca="false">IF(OR(I140="",I140=0,J140=""),"",J140/I140)</f>
        <v/>
      </c>
      <c r="M140" s="25" t="str">
        <f aca="false">IF(L140="","",IF(L140&gt;0.25,"ACRÉSCIMO ACIMA DE 25% — conferir",""))</f>
        <v/>
      </c>
      <c r="N140" s="29" t="str">
        <f aca="false">IF(D140="","",IF(COUNTIFS(Empresas!$B:$B,D140,Empresas!$E:$E,"&lt;&gt;")=0,"",INDEX(Empresas!$E:$E,MATCH(D140,Empresas!$B:$B,0))))</f>
        <v/>
      </c>
      <c r="O140" s="27" t="str">
        <f aca="false">IF(OR(N140="",H140=""),"",H140-N140)</f>
        <v/>
      </c>
      <c r="P140" s="25" t="str">
        <f aca="false">IF(O140="","",IF(O140&lt;0,"CONTRATO ANTERIOR À ABERTURA — conferir datas",IF(O140&lt;180,"EMPRESA ABERTA MENOS DE 6 MESES ANTES","")))</f>
        <v/>
      </c>
      <c r="Q140" s="31" t="str">
        <f aca="false">IF(D140="","",IFERROR(INDEX(Sancoes!$D:$D,MATCH(D140,Sancoes!$C:$C,0)),"não consta"))</f>
        <v/>
      </c>
      <c r="R140" s="25" t="str">
        <f aca="false">IF(OR(D140="",H140=""),"",IF(SUMPRODUCT((Sancoes!$C$5:$C$304=D140)*(Sancoes!$G$5:$G$304&lt;=H140)*(((Sancoes!$H$5:$H$304="")+(Sancoes!$H$5:$H$304&gt;=H140))&gt;0))&gt;0,"SANÇÃO VIGENTE NA DATA — ler tipo e abrangência",""))</f>
        <v/>
      </c>
      <c r="S140" s="24"/>
      <c r="T140" s="11"/>
    </row>
    <row r="141" customFormat="false" ht="15" hidden="false" customHeight="false" outlineLevel="0" collapsed="false">
      <c r="A141" s="11"/>
      <c r="B141" s="24"/>
      <c r="C141" s="24"/>
      <c r="D141" s="31" t="str">
        <f aca="false">IF(C141="","",IF(LEN(UPPER(SUBSTITUTE(SUBSTITUTE(SUBSTITUTE(SUBSTITUTE(TRIM(C141),".",""),"/",""),"-","")," ","")))&lt;14,RIGHT(REPT("0",14)&amp;UPPER(SUBSTITUTE(SUBSTITUTE(SUBSTITUTE(SUBSTITUTE(TRIM(C141),".",""),"/",""),"-","")," ","")),14),UPPER(SUBSTITUTE(SUBSTITUTE(SUBSTITUTE(SUBSTITUTE(TRIM(C141),".",""),"/",""),"-","")," ",""))))</f>
        <v/>
      </c>
      <c r="E141" s="25" t="str">
        <f aca="false">IF(D141="","",IFERROR(INDEX(Empresas!$C:$C,MATCH(D141,Empresas!$B:$B,0)),"cadastre o CNPJ em Empresas"))</f>
        <v/>
      </c>
      <c r="F141" s="11"/>
      <c r="G141" s="23"/>
      <c r="H141" s="22"/>
      <c r="I141" s="35"/>
      <c r="J141" s="35"/>
      <c r="K141" s="36" t="str">
        <f aca="false">IF(I141="","",I141+J141)</f>
        <v/>
      </c>
      <c r="L141" s="37" t="str">
        <f aca="false">IF(OR(I141="",I141=0,J141=""),"",J141/I141)</f>
        <v/>
      </c>
      <c r="M141" s="25" t="str">
        <f aca="false">IF(L141="","",IF(L141&gt;0.25,"ACRÉSCIMO ACIMA DE 25% — conferir",""))</f>
        <v/>
      </c>
      <c r="N141" s="29" t="str">
        <f aca="false">IF(D141="","",IF(COUNTIFS(Empresas!$B:$B,D141,Empresas!$E:$E,"&lt;&gt;")=0,"",INDEX(Empresas!$E:$E,MATCH(D141,Empresas!$B:$B,0))))</f>
        <v/>
      </c>
      <c r="O141" s="27" t="str">
        <f aca="false">IF(OR(N141="",H141=""),"",H141-N141)</f>
        <v/>
      </c>
      <c r="P141" s="25" t="str">
        <f aca="false">IF(O141="","",IF(O141&lt;0,"CONTRATO ANTERIOR À ABERTURA — conferir datas",IF(O141&lt;180,"EMPRESA ABERTA MENOS DE 6 MESES ANTES","")))</f>
        <v/>
      </c>
      <c r="Q141" s="31" t="str">
        <f aca="false">IF(D141="","",IFERROR(INDEX(Sancoes!$D:$D,MATCH(D141,Sancoes!$C:$C,0)),"não consta"))</f>
        <v/>
      </c>
      <c r="R141" s="25" t="str">
        <f aca="false">IF(OR(D141="",H141=""),"",IF(SUMPRODUCT((Sancoes!$C$5:$C$304=D141)*(Sancoes!$G$5:$G$304&lt;=H141)*(((Sancoes!$H$5:$H$304="")+(Sancoes!$H$5:$H$304&gt;=H141))&gt;0))&gt;0,"SANÇÃO VIGENTE NA DATA — ler tipo e abrangência",""))</f>
        <v/>
      </c>
      <c r="S141" s="24"/>
      <c r="T141" s="11"/>
    </row>
    <row r="142" customFormat="false" ht="15" hidden="false" customHeight="false" outlineLevel="0" collapsed="false">
      <c r="A142" s="11"/>
      <c r="B142" s="24"/>
      <c r="C142" s="24"/>
      <c r="D142" s="31" t="str">
        <f aca="false">IF(C142="","",IF(LEN(UPPER(SUBSTITUTE(SUBSTITUTE(SUBSTITUTE(SUBSTITUTE(TRIM(C142),".",""),"/",""),"-","")," ","")))&lt;14,RIGHT(REPT("0",14)&amp;UPPER(SUBSTITUTE(SUBSTITUTE(SUBSTITUTE(SUBSTITUTE(TRIM(C142),".",""),"/",""),"-","")," ","")),14),UPPER(SUBSTITUTE(SUBSTITUTE(SUBSTITUTE(SUBSTITUTE(TRIM(C142),".",""),"/",""),"-","")," ",""))))</f>
        <v/>
      </c>
      <c r="E142" s="25" t="str">
        <f aca="false">IF(D142="","",IFERROR(INDEX(Empresas!$C:$C,MATCH(D142,Empresas!$B:$B,0)),"cadastre o CNPJ em Empresas"))</f>
        <v/>
      </c>
      <c r="F142" s="11"/>
      <c r="G142" s="23"/>
      <c r="H142" s="22"/>
      <c r="I142" s="35"/>
      <c r="J142" s="35"/>
      <c r="K142" s="36" t="str">
        <f aca="false">IF(I142="","",I142+J142)</f>
        <v/>
      </c>
      <c r="L142" s="37" t="str">
        <f aca="false">IF(OR(I142="",I142=0,J142=""),"",J142/I142)</f>
        <v/>
      </c>
      <c r="M142" s="25" t="str">
        <f aca="false">IF(L142="","",IF(L142&gt;0.25,"ACRÉSCIMO ACIMA DE 25% — conferir",""))</f>
        <v/>
      </c>
      <c r="N142" s="29" t="str">
        <f aca="false">IF(D142="","",IF(COUNTIFS(Empresas!$B:$B,D142,Empresas!$E:$E,"&lt;&gt;")=0,"",INDEX(Empresas!$E:$E,MATCH(D142,Empresas!$B:$B,0))))</f>
        <v/>
      </c>
      <c r="O142" s="27" t="str">
        <f aca="false">IF(OR(N142="",H142=""),"",H142-N142)</f>
        <v/>
      </c>
      <c r="P142" s="25" t="str">
        <f aca="false">IF(O142="","",IF(O142&lt;0,"CONTRATO ANTERIOR À ABERTURA — conferir datas",IF(O142&lt;180,"EMPRESA ABERTA MENOS DE 6 MESES ANTES","")))</f>
        <v/>
      </c>
      <c r="Q142" s="31" t="str">
        <f aca="false">IF(D142="","",IFERROR(INDEX(Sancoes!$D:$D,MATCH(D142,Sancoes!$C:$C,0)),"não consta"))</f>
        <v/>
      </c>
      <c r="R142" s="25" t="str">
        <f aca="false">IF(OR(D142="",H142=""),"",IF(SUMPRODUCT((Sancoes!$C$5:$C$304=D142)*(Sancoes!$G$5:$G$304&lt;=H142)*(((Sancoes!$H$5:$H$304="")+(Sancoes!$H$5:$H$304&gt;=H142))&gt;0))&gt;0,"SANÇÃO VIGENTE NA DATA — ler tipo e abrangência",""))</f>
        <v/>
      </c>
      <c r="S142" s="24"/>
      <c r="T142" s="11"/>
    </row>
    <row r="143" customFormat="false" ht="15" hidden="false" customHeight="false" outlineLevel="0" collapsed="false">
      <c r="A143" s="11"/>
      <c r="B143" s="24"/>
      <c r="C143" s="24"/>
      <c r="D143" s="31" t="str">
        <f aca="false">IF(C143="","",IF(LEN(UPPER(SUBSTITUTE(SUBSTITUTE(SUBSTITUTE(SUBSTITUTE(TRIM(C143),".",""),"/",""),"-","")," ","")))&lt;14,RIGHT(REPT("0",14)&amp;UPPER(SUBSTITUTE(SUBSTITUTE(SUBSTITUTE(SUBSTITUTE(TRIM(C143),".",""),"/",""),"-","")," ","")),14),UPPER(SUBSTITUTE(SUBSTITUTE(SUBSTITUTE(SUBSTITUTE(TRIM(C143),".",""),"/",""),"-","")," ",""))))</f>
        <v/>
      </c>
      <c r="E143" s="25" t="str">
        <f aca="false">IF(D143="","",IFERROR(INDEX(Empresas!$C:$C,MATCH(D143,Empresas!$B:$B,0)),"cadastre o CNPJ em Empresas"))</f>
        <v/>
      </c>
      <c r="F143" s="11"/>
      <c r="G143" s="23"/>
      <c r="H143" s="22"/>
      <c r="I143" s="35"/>
      <c r="J143" s="35"/>
      <c r="K143" s="36" t="str">
        <f aca="false">IF(I143="","",I143+J143)</f>
        <v/>
      </c>
      <c r="L143" s="37" t="str">
        <f aca="false">IF(OR(I143="",I143=0,J143=""),"",J143/I143)</f>
        <v/>
      </c>
      <c r="M143" s="25" t="str">
        <f aca="false">IF(L143="","",IF(L143&gt;0.25,"ACRÉSCIMO ACIMA DE 25% — conferir",""))</f>
        <v/>
      </c>
      <c r="N143" s="29" t="str">
        <f aca="false">IF(D143="","",IF(COUNTIFS(Empresas!$B:$B,D143,Empresas!$E:$E,"&lt;&gt;")=0,"",INDEX(Empresas!$E:$E,MATCH(D143,Empresas!$B:$B,0))))</f>
        <v/>
      </c>
      <c r="O143" s="27" t="str">
        <f aca="false">IF(OR(N143="",H143=""),"",H143-N143)</f>
        <v/>
      </c>
      <c r="P143" s="25" t="str">
        <f aca="false">IF(O143="","",IF(O143&lt;0,"CONTRATO ANTERIOR À ABERTURA — conferir datas",IF(O143&lt;180,"EMPRESA ABERTA MENOS DE 6 MESES ANTES","")))</f>
        <v/>
      </c>
      <c r="Q143" s="31" t="str">
        <f aca="false">IF(D143="","",IFERROR(INDEX(Sancoes!$D:$D,MATCH(D143,Sancoes!$C:$C,0)),"não consta"))</f>
        <v/>
      </c>
      <c r="R143" s="25" t="str">
        <f aca="false">IF(OR(D143="",H143=""),"",IF(SUMPRODUCT((Sancoes!$C$5:$C$304=D143)*(Sancoes!$G$5:$G$304&lt;=H143)*(((Sancoes!$H$5:$H$304="")+(Sancoes!$H$5:$H$304&gt;=H143))&gt;0))&gt;0,"SANÇÃO VIGENTE NA DATA — ler tipo e abrangência",""))</f>
        <v/>
      </c>
      <c r="S143" s="24"/>
      <c r="T143" s="11"/>
    </row>
    <row r="144" customFormat="false" ht="15" hidden="false" customHeight="false" outlineLevel="0" collapsed="false">
      <c r="A144" s="11"/>
      <c r="B144" s="24"/>
      <c r="C144" s="24"/>
      <c r="D144" s="31" t="str">
        <f aca="false">IF(C144="","",IF(LEN(UPPER(SUBSTITUTE(SUBSTITUTE(SUBSTITUTE(SUBSTITUTE(TRIM(C144),".",""),"/",""),"-","")," ","")))&lt;14,RIGHT(REPT("0",14)&amp;UPPER(SUBSTITUTE(SUBSTITUTE(SUBSTITUTE(SUBSTITUTE(TRIM(C144),".",""),"/",""),"-","")," ","")),14),UPPER(SUBSTITUTE(SUBSTITUTE(SUBSTITUTE(SUBSTITUTE(TRIM(C144),".",""),"/",""),"-","")," ",""))))</f>
        <v/>
      </c>
      <c r="E144" s="25" t="str">
        <f aca="false">IF(D144="","",IFERROR(INDEX(Empresas!$C:$C,MATCH(D144,Empresas!$B:$B,0)),"cadastre o CNPJ em Empresas"))</f>
        <v/>
      </c>
      <c r="F144" s="11"/>
      <c r="G144" s="23"/>
      <c r="H144" s="22"/>
      <c r="I144" s="35"/>
      <c r="J144" s="35"/>
      <c r="K144" s="36" t="str">
        <f aca="false">IF(I144="","",I144+J144)</f>
        <v/>
      </c>
      <c r="L144" s="37" t="str">
        <f aca="false">IF(OR(I144="",I144=0,J144=""),"",J144/I144)</f>
        <v/>
      </c>
      <c r="M144" s="25" t="str">
        <f aca="false">IF(L144="","",IF(L144&gt;0.25,"ACRÉSCIMO ACIMA DE 25% — conferir",""))</f>
        <v/>
      </c>
      <c r="N144" s="29" t="str">
        <f aca="false">IF(D144="","",IF(COUNTIFS(Empresas!$B:$B,D144,Empresas!$E:$E,"&lt;&gt;")=0,"",INDEX(Empresas!$E:$E,MATCH(D144,Empresas!$B:$B,0))))</f>
        <v/>
      </c>
      <c r="O144" s="27" t="str">
        <f aca="false">IF(OR(N144="",H144=""),"",H144-N144)</f>
        <v/>
      </c>
      <c r="P144" s="25" t="str">
        <f aca="false">IF(O144="","",IF(O144&lt;0,"CONTRATO ANTERIOR À ABERTURA — conferir datas",IF(O144&lt;180,"EMPRESA ABERTA MENOS DE 6 MESES ANTES","")))</f>
        <v/>
      </c>
      <c r="Q144" s="31" t="str">
        <f aca="false">IF(D144="","",IFERROR(INDEX(Sancoes!$D:$D,MATCH(D144,Sancoes!$C:$C,0)),"não consta"))</f>
        <v/>
      </c>
      <c r="R144" s="25" t="str">
        <f aca="false">IF(OR(D144="",H144=""),"",IF(SUMPRODUCT((Sancoes!$C$5:$C$304=D144)*(Sancoes!$G$5:$G$304&lt;=H144)*(((Sancoes!$H$5:$H$304="")+(Sancoes!$H$5:$H$304&gt;=H144))&gt;0))&gt;0,"SANÇÃO VIGENTE NA DATA — ler tipo e abrangência",""))</f>
        <v/>
      </c>
      <c r="S144" s="24"/>
      <c r="T144" s="11"/>
    </row>
    <row r="145" customFormat="false" ht="15" hidden="false" customHeight="false" outlineLevel="0" collapsed="false">
      <c r="A145" s="11"/>
      <c r="B145" s="24"/>
      <c r="C145" s="24"/>
      <c r="D145" s="31" t="str">
        <f aca="false">IF(C145="","",IF(LEN(UPPER(SUBSTITUTE(SUBSTITUTE(SUBSTITUTE(SUBSTITUTE(TRIM(C145),".",""),"/",""),"-","")," ","")))&lt;14,RIGHT(REPT("0",14)&amp;UPPER(SUBSTITUTE(SUBSTITUTE(SUBSTITUTE(SUBSTITUTE(TRIM(C145),".",""),"/",""),"-","")," ","")),14),UPPER(SUBSTITUTE(SUBSTITUTE(SUBSTITUTE(SUBSTITUTE(TRIM(C145),".",""),"/",""),"-","")," ",""))))</f>
        <v/>
      </c>
      <c r="E145" s="25" t="str">
        <f aca="false">IF(D145="","",IFERROR(INDEX(Empresas!$C:$C,MATCH(D145,Empresas!$B:$B,0)),"cadastre o CNPJ em Empresas"))</f>
        <v/>
      </c>
      <c r="F145" s="11"/>
      <c r="G145" s="23"/>
      <c r="H145" s="22"/>
      <c r="I145" s="35"/>
      <c r="J145" s="35"/>
      <c r="K145" s="36" t="str">
        <f aca="false">IF(I145="","",I145+J145)</f>
        <v/>
      </c>
      <c r="L145" s="37" t="str">
        <f aca="false">IF(OR(I145="",I145=0,J145=""),"",J145/I145)</f>
        <v/>
      </c>
      <c r="M145" s="25" t="str">
        <f aca="false">IF(L145="","",IF(L145&gt;0.25,"ACRÉSCIMO ACIMA DE 25% — conferir",""))</f>
        <v/>
      </c>
      <c r="N145" s="29" t="str">
        <f aca="false">IF(D145="","",IF(COUNTIFS(Empresas!$B:$B,D145,Empresas!$E:$E,"&lt;&gt;")=0,"",INDEX(Empresas!$E:$E,MATCH(D145,Empresas!$B:$B,0))))</f>
        <v/>
      </c>
      <c r="O145" s="27" t="str">
        <f aca="false">IF(OR(N145="",H145=""),"",H145-N145)</f>
        <v/>
      </c>
      <c r="P145" s="25" t="str">
        <f aca="false">IF(O145="","",IF(O145&lt;0,"CONTRATO ANTERIOR À ABERTURA — conferir datas",IF(O145&lt;180,"EMPRESA ABERTA MENOS DE 6 MESES ANTES","")))</f>
        <v/>
      </c>
      <c r="Q145" s="31" t="str">
        <f aca="false">IF(D145="","",IFERROR(INDEX(Sancoes!$D:$D,MATCH(D145,Sancoes!$C:$C,0)),"não consta"))</f>
        <v/>
      </c>
      <c r="R145" s="25" t="str">
        <f aca="false">IF(OR(D145="",H145=""),"",IF(SUMPRODUCT((Sancoes!$C$5:$C$304=D145)*(Sancoes!$G$5:$G$304&lt;=H145)*(((Sancoes!$H$5:$H$304="")+(Sancoes!$H$5:$H$304&gt;=H145))&gt;0))&gt;0,"SANÇÃO VIGENTE NA DATA — ler tipo e abrangência",""))</f>
        <v/>
      </c>
      <c r="S145" s="24"/>
      <c r="T145" s="11"/>
    </row>
    <row r="146" customFormat="false" ht="15" hidden="false" customHeight="false" outlineLevel="0" collapsed="false">
      <c r="A146" s="11"/>
      <c r="B146" s="24"/>
      <c r="C146" s="24"/>
      <c r="D146" s="31" t="str">
        <f aca="false">IF(C146="","",IF(LEN(UPPER(SUBSTITUTE(SUBSTITUTE(SUBSTITUTE(SUBSTITUTE(TRIM(C146),".",""),"/",""),"-","")," ","")))&lt;14,RIGHT(REPT("0",14)&amp;UPPER(SUBSTITUTE(SUBSTITUTE(SUBSTITUTE(SUBSTITUTE(TRIM(C146),".",""),"/",""),"-","")," ","")),14),UPPER(SUBSTITUTE(SUBSTITUTE(SUBSTITUTE(SUBSTITUTE(TRIM(C146),".",""),"/",""),"-","")," ",""))))</f>
        <v/>
      </c>
      <c r="E146" s="25" t="str">
        <f aca="false">IF(D146="","",IFERROR(INDEX(Empresas!$C:$C,MATCH(D146,Empresas!$B:$B,0)),"cadastre o CNPJ em Empresas"))</f>
        <v/>
      </c>
      <c r="F146" s="11"/>
      <c r="G146" s="23"/>
      <c r="H146" s="22"/>
      <c r="I146" s="35"/>
      <c r="J146" s="35"/>
      <c r="K146" s="36" t="str">
        <f aca="false">IF(I146="","",I146+J146)</f>
        <v/>
      </c>
      <c r="L146" s="37" t="str">
        <f aca="false">IF(OR(I146="",I146=0,J146=""),"",J146/I146)</f>
        <v/>
      </c>
      <c r="M146" s="25" t="str">
        <f aca="false">IF(L146="","",IF(L146&gt;0.25,"ACRÉSCIMO ACIMA DE 25% — conferir",""))</f>
        <v/>
      </c>
      <c r="N146" s="29" t="str">
        <f aca="false">IF(D146="","",IF(COUNTIFS(Empresas!$B:$B,D146,Empresas!$E:$E,"&lt;&gt;")=0,"",INDEX(Empresas!$E:$E,MATCH(D146,Empresas!$B:$B,0))))</f>
        <v/>
      </c>
      <c r="O146" s="27" t="str">
        <f aca="false">IF(OR(N146="",H146=""),"",H146-N146)</f>
        <v/>
      </c>
      <c r="P146" s="25" t="str">
        <f aca="false">IF(O146="","",IF(O146&lt;0,"CONTRATO ANTERIOR À ABERTURA — conferir datas",IF(O146&lt;180,"EMPRESA ABERTA MENOS DE 6 MESES ANTES","")))</f>
        <v/>
      </c>
      <c r="Q146" s="31" t="str">
        <f aca="false">IF(D146="","",IFERROR(INDEX(Sancoes!$D:$D,MATCH(D146,Sancoes!$C:$C,0)),"não consta"))</f>
        <v/>
      </c>
      <c r="R146" s="25" t="str">
        <f aca="false">IF(OR(D146="",H146=""),"",IF(SUMPRODUCT((Sancoes!$C$5:$C$304=D146)*(Sancoes!$G$5:$G$304&lt;=H146)*(((Sancoes!$H$5:$H$304="")+(Sancoes!$H$5:$H$304&gt;=H146))&gt;0))&gt;0,"SANÇÃO VIGENTE NA DATA — ler tipo e abrangência",""))</f>
        <v/>
      </c>
      <c r="S146" s="24"/>
      <c r="T146" s="11"/>
    </row>
    <row r="147" customFormat="false" ht="15" hidden="false" customHeight="false" outlineLevel="0" collapsed="false">
      <c r="A147" s="11"/>
      <c r="B147" s="24"/>
      <c r="C147" s="24"/>
      <c r="D147" s="31" t="str">
        <f aca="false">IF(C147="","",IF(LEN(UPPER(SUBSTITUTE(SUBSTITUTE(SUBSTITUTE(SUBSTITUTE(TRIM(C147),".",""),"/",""),"-","")," ","")))&lt;14,RIGHT(REPT("0",14)&amp;UPPER(SUBSTITUTE(SUBSTITUTE(SUBSTITUTE(SUBSTITUTE(TRIM(C147),".",""),"/",""),"-","")," ","")),14),UPPER(SUBSTITUTE(SUBSTITUTE(SUBSTITUTE(SUBSTITUTE(TRIM(C147),".",""),"/",""),"-","")," ",""))))</f>
        <v/>
      </c>
      <c r="E147" s="25" t="str">
        <f aca="false">IF(D147="","",IFERROR(INDEX(Empresas!$C:$C,MATCH(D147,Empresas!$B:$B,0)),"cadastre o CNPJ em Empresas"))</f>
        <v/>
      </c>
      <c r="F147" s="11"/>
      <c r="G147" s="23"/>
      <c r="H147" s="22"/>
      <c r="I147" s="35"/>
      <c r="J147" s="35"/>
      <c r="K147" s="36" t="str">
        <f aca="false">IF(I147="","",I147+J147)</f>
        <v/>
      </c>
      <c r="L147" s="37" t="str">
        <f aca="false">IF(OR(I147="",I147=0,J147=""),"",J147/I147)</f>
        <v/>
      </c>
      <c r="M147" s="25" t="str">
        <f aca="false">IF(L147="","",IF(L147&gt;0.25,"ACRÉSCIMO ACIMA DE 25% — conferir",""))</f>
        <v/>
      </c>
      <c r="N147" s="29" t="str">
        <f aca="false">IF(D147="","",IF(COUNTIFS(Empresas!$B:$B,D147,Empresas!$E:$E,"&lt;&gt;")=0,"",INDEX(Empresas!$E:$E,MATCH(D147,Empresas!$B:$B,0))))</f>
        <v/>
      </c>
      <c r="O147" s="27" t="str">
        <f aca="false">IF(OR(N147="",H147=""),"",H147-N147)</f>
        <v/>
      </c>
      <c r="P147" s="25" t="str">
        <f aca="false">IF(O147="","",IF(O147&lt;0,"CONTRATO ANTERIOR À ABERTURA — conferir datas",IF(O147&lt;180,"EMPRESA ABERTA MENOS DE 6 MESES ANTES","")))</f>
        <v/>
      </c>
      <c r="Q147" s="31" t="str">
        <f aca="false">IF(D147="","",IFERROR(INDEX(Sancoes!$D:$D,MATCH(D147,Sancoes!$C:$C,0)),"não consta"))</f>
        <v/>
      </c>
      <c r="R147" s="25" t="str">
        <f aca="false">IF(OR(D147="",H147=""),"",IF(SUMPRODUCT((Sancoes!$C$5:$C$304=D147)*(Sancoes!$G$5:$G$304&lt;=H147)*(((Sancoes!$H$5:$H$304="")+(Sancoes!$H$5:$H$304&gt;=H147))&gt;0))&gt;0,"SANÇÃO VIGENTE NA DATA — ler tipo e abrangência",""))</f>
        <v/>
      </c>
      <c r="S147" s="24"/>
      <c r="T147" s="11"/>
    </row>
    <row r="148" customFormat="false" ht="15" hidden="false" customHeight="false" outlineLevel="0" collapsed="false">
      <c r="A148" s="11"/>
      <c r="B148" s="24"/>
      <c r="C148" s="24"/>
      <c r="D148" s="31" t="str">
        <f aca="false">IF(C148="","",IF(LEN(UPPER(SUBSTITUTE(SUBSTITUTE(SUBSTITUTE(SUBSTITUTE(TRIM(C148),".",""),"/",""),"-","")," ","")))&lt;14,RIGHT(REPT("0",14)&amp;UPPER(SUBSTITUTE(SUBSTITUTE(SUBSTITUTE(SUBSTITUTE(TRIM(C148),".",""),"/",""),"-","")," ","")),14),UPPER(SUBSTITUTE(SUBSTITUTE(SUBSTITUTE(SUBSTITUTE(TRIM(C148),".",""),"/",""),"-","")," ",""))))</f>
        <v/>
      </c>
      <c r="E148" s="25" t="str">
        <f aca="false">IF(D148="","",IFERROR(INDEX(Empresas!$C:$C,MATCH(D148,Empresas!$B:$B,0)),"cadastre o CNPJ em Empresas"))</f>
        <v/>
      </c>
      <c r="F148" s="11"/>
      <c r="G148" s="23"/>
      <c r="H148" s="22"/>
      <c r="I148" s="35"/>
      <c r="J148" s="35"/>
      <c r="K148" s="36" t="str">
        <f aca="false">IF(I148="","",I148+J148)</f>
        <v/>
      </c>
      <c r="L148" s="37" t="str">
        <f aca="false">IF(OR(I148="",I148=0,J148=""),"",J148/I148)</f>
        <v/>
      </c>
      <c r="M148" s="25" t="str">
        <f aca="false">IF(L148="","",IF(L148&gt;0.25,"ACRÉSCIMO ACIMA DE 25% — conferir",""))</f>
        <v/>
      </c>
      <c r="N148" s="29" t="str">
        <f aca="false">IF(D148="","",IF(COUNTIFS(Empresas!$B:$B,D148,Empresas!$E:$E,"&lt;&gt;")=0,"",INDEX(Empresas!$E:$E,MATCH(D148,Empresas!$B:$B,0))))</f>
        <v/>
      </c>
      <c r="O148" s="27" t="str">
        <f aca="false">IF(OR(N148="",H148=""),"",H148-N148)</f>
        <v/>
      </c>
      <c r="P148" s="25" t="str">
        <f aca="false">IF(O148="","",IF(O148&lt;0,"CONTRATO ANTERIOR À ABERTURA — conferir datas",IF(O148&lt;180,"EMPRESA ABERTA MENOS DE 6 MESES ANTES","")))</f>
        <v/>
      </c>
      <c r="Q148" s="31" t="str">
        <f aca="false">IF(D148="","",IFERROR(INDEX(Sancoes!$D:$D,MATCH(D148,Sancoes!$C:$C,0)),"não consta"))</f>
        <v/>
      </c>
      <c r="R148" s="25" t="str">
        <f aca="false">IF(OR(D148="",H148=""),"",IF(SUMPRODUCT((Sancoes!$C$5:$C$304=D148)*(Sancoes!$G$5:$G$304&lt;=H148)*(((Sancoes!$H$5:$H$304="")+(Sancoes!$H$5:$H$304&gt;=H148))&gt;0))&gt;0,"SANÇÃO VIGENTE NA DATA — ler tipo e abrangência",""))</f>
        <v/>
      </c>
      <c r="S148" s="24"/>
      <c r="T148" s="11"/>
    </row>
    <row r="149" customFormat="false" ht="15" hidden="false" customHeight="false" outlineLevel="0" collapsed="false">
      <c r="A149" s="11"/>
      <c r="B149" s="24"/>
      <c r="C149" s="24"/>
      <c r="D149" s="31" t="str">
        <f aca="false">IF(C149="","",IF(LEN(UPPER(SUBSTITUTE(SUBSTITUTE(SUBSTITUTE(SUBSTITUTE(TRIM(C149),".",""),"/",""),"-","")," ","")))&lt;14,RIGHT(REPT("0",14)&amp;UPPER(SUBSTITUTE(SUBSTITUTE(SUBSTITUTE(SUBSTITUTE(TRIM(C149),".",""),"/",""),"-","")," ","")),14),UPPER(SUBSTITUTE(SUBSTITUTE(SUBSTITUTE(SUBSTITUTE(TRIM(C149),".",""),"/",""),"-","")," ",""))))</f>
        <v/>
      </c>
      <c r="E149" s="25" t="str">
        <f aca="false">IF(D149="","",IFERROR(INDEX(Empresas!$C:$C,MATCH(D149,Empresas!$B:$B,0)),"cadastre o CNPJ em Empresas"))</f>
        <v/>
      </c>
      <c r="F149" s="11"/>
      <c r="G149" s="23"/>
      <c r="H149" s="22"/>
      <c r="I149" s="35"/>
      <c r="J149" s="35"/>
      <c r="K149" s="36" t="str">
        <f aca="false">IF(I149="","",I149+J149)</f>
        <v/>
      </c>
      <c r="L149" s="37" t="str">
        <f aca="false">IF(OR(I149="",I149=0,J149=""),"",J149/I149)</f>
        <v/>
      </c>
      <c r="M149" s="25" t="str">
        <f aca="false">IF(L149="","",IF(L149&gt;0.25,"ACRÉSCIMO ACIMA DE 25% — conferir",""))</f>
        <v/>
      </c>
      <c r="N149" s="29" t="str">
        <f aca="false">IF(D149="","",IF(COUNTIFS(Empresas!$B:$B,D149,Empresas!$E:$E,"&lt;&gt;")=0,"",INDEX(Empresas!$E:$E,MATCH(D149,Empresas!$B:$B,0))))</f>
        <v/>
      </c>
      <c r="O149" s="27" t="str">
        <f aca="false">IF(OR(N149="",H149=""),"",H149-N149)</f>
        <v/>
      </c>
      <c r="P149" s="25" t="str">
        <f aca="false">IF(O149="","",IF(O149&lt;0,"CONTRATO ANTERIOR À ABERTURA — conferir datas",IF(O149&lt;180,"EMPRESA ABERTA MENOS DE 6 MESES ANTES","")))</f>
        <v/>
      </c>
      <c r="Q149" s="31" t="str">
        <f aca="false">IF(D149="","",IFERROR(INDEX(Sancoes!$D:$D,MATCH(D149,Sancoes!$C:$C,0)),"não consta"))</f>
        <v/>
      </c>
      <c r="R149" s="25" t="str">
        <f aca="false">IF(OR(D149="",H149=""),"",IF(SUMPRODUCT((Sancoes!$C$5:$C$304=D149)*(Sancoes!$G$5:$G$304&lt;=H149)*(((Sancoes!$H$5:$H$304="")+(Sancoes!$H$5:$H$304&gt;=H149))&gt;0))&gt;0,"SANÇÃO VIGENTE NA DATA — ler tipo e abrangência",""))</f>
        <v/>
      </c>
      <c r="S149" s="24"/>
      <c r="T149" s="11"/>
    </row>
    <row r="150" customFormat="false" ht="15" hidden="false" customHeight="false" outlineLevel="0" collapsed="false">
      <c r="A150" s="11"/>
      <c r="B150" s="24"/>
      <c r="C150" s="24"/>
      <c r="D150" s="31" t="str">
        <f aca="false">IF(C150="","",IF(LEN(UPPER(SUBSTITUTE(SUBSTITUTE(SUBSTITUTE(SUBSTITUTE(TRIM(C150),".",""),"/",""),"-","")," ","")))&lt;14,RIGHT(REPT("0",14)&amp;UPPER(SUBSTITUTE(SUBSTITUTE(SUBSTITUTE(SUBSTITUTE(TRIM(C150),".",""),"/",""),"-","")," ","")),14),UPPER(SUBSTITUTE(SUBSTITUTE(SUBSTITUTE(SUBSTITUTE(TRIM(C150),".",""),"/",""),"-","")," ",""))))</f>
        <v/>
      </c>
      <c r="E150" s="25" t="str">
        <f aca="false">IF(D150="","",IFERROR(INDEX(Empresas!$C:$C,MATCH(D150,Empresas!$B:$B,0)),"cadastre o CNPJ em Empresas"))</f>
        <v/>
      </c>
      <c r="F150" s="11"/>
      <c r="G150" s="23"/>
      <c r="H150" s="22"/>
      <c r="I150" s="35"/>
      <c r="J150" s="35"/>
      <c r="K150" s="36" t="str">
        <f aca="false">IF(I150="","",I150+J150)</f>
        <v/>
      </c>
      <c r="L150" s="37" t="str">
        <f aca="false">IF(OR(I150="",I150=0,J150=""),"",J150/I150)</f>
        <v/>
      </c>
      <c r="M150" s="25" t="str">
        <f aca="false">IF(L150="","",IF(L150&gt;0.25,"ACRÉSCIMO ACIMA DE 25% — conferir",""))</f>
        <v/>
      </c>
      <c r="N150" s="29" t="str">
        <f aca="false">IF(D150="","",IF(COUNTIFS(Empresas!$B:$B,D150,Empresas!$E:$E,"&lt;&gt;")=0,"",INDEX(Empresas!$E:$E,MATCH(D150,Empresas!$B:$B,0))))</f>
        <v/>
      </c>
      <c r="O150" s="27" t="str">
        <f aca="false">IF(OR(N150="",H150=""),"",H150-N150)</f>
        <v/>
      </c>
      <c r="P150" s="25" t="str">
        <f aca="false">IF(O150="","",IF(O150&lt;0,"CONTRATO ANTERIOR À ABERTURA — conferir datas",IF(O150&lt;180,"EMPRESA ABERTA MENOS DE 6 MESES ANTES","")))</f>
        <v/>
      </c>
      <c r="Q150" s="31" t="str">
        <f aca="false">IF(D150="","",IFERROR(INDEX(Sancoes!$D:$D,MATCH(D150,Sancoes!$C:$C,0)),"não consta"))</f>
        <v/>
      </c>
      <c r="R150" s="25" t="str">
        <f aca="false">IF(OR(D150="",H150=""),"",IF(SUMPRODUCT((Sancoes!$C$5:$C$304=D150)*(Sancoes!$G$5:$G$304&lt;=H150)*(((Sancoes!$H$5:$H$304="")+(Sancoes!$H$5:$H$304&gt;=H150))&gt;0))&gt;0,"SANÇÃO VIGENTE NA DATA — ler tipo e abrangência",""))</f>
        <v/>
      </c>
      <c r="S150" s="24"/>
      <c r="T150" s="11"/>
    </row>
    <row r="151" customFormat="false" ht="15" hidden="false" customHeight="false" outlineLevel="0" collapsed="false">
      <c r="A151" s="11"/>
      <c r="B151" s="24"/>
      <c r="C151" s="24"/>
      <c r="D151" s="31" t="str">
        <f aca="false">IF(C151="","",IF(LEN(UPPER(SUBSTITUTE(SUBSTITUTE(SUBSTITUTE(SUBSTITUTE(TRIM(C151),".",""),"/",""),"-","")," ","")))&lt;14,RIGHT(REPT("0",14)&amp;UPPER(SUBSTITUTE(SUBSTITUTE(SUBSTITUTE(SUBSTITUTE(TRIM(C151),".",""),"/",""),"-","")," ","")),14),UPPER(SUBSTITUTE(SUBSTITUTE(SUBSTITUTE(SUBSTITUTE(TRIM(C151),".",""),"/",""),"-","")," ",""))))</f>
        <v/>
      </c>
      <c r="E151" s="25" t="str">
        <f aca="false">IF(D151="","",IFERROR(INDEX(Empresas!$C:$C,MATCH(D151,Empresas!$B:$B,0)),"cadastre o CNPJ em Empresas"))</f>
        <v/>
      </c>
      <c r="F151" s="11"/>
      <c r="G151" s="23"/>
      <c r="H151" s="22"/>
      <c r="I151" s="35"/>
      <c r="J151" s="35"/>
      <c r="K151" s="36" t="str">
        <f aca="false">IF(I151="","",I151+J151)</f>
        <v/>
      </c>
      <c r="L151" s="37" t="str">
        <f aca="false">IF(OR(I151="",I151=0,J151=""),"",J151/I151)</f>
        <v/>
      </c>
      <c r="M151" s="25" t="str">
        <f aca="false">IF(L151="","",IF(L151&gt;0.25,"ACRÉSCIMO ACIMA DE 25% — conferir",""))</f>
        <v/>
      </c>
      <c r="N151" s="29" t="str">
        <f aca="false">IF(D151="","",IF(COUNTIFS(Empresas!$B:$B,D151,Empresas!$E:$E,"&lt;&gt;")=0,"",INDEX(Empresas!$E:$E,MATCH(D151,Empresas!$B:$B,0))))</f>
        <v/>
      </c>
      <c r="O151" s="27" t="str">
        <f aca="false">IF(OR(N151="",H151=""),"",H151-N151)</f>
        <v/>
      </c>
      <c r="P151" s="25" t="str">
        <f aca="false">IF(O151="","",IF(O151&lt;0,"CONTRATO ANTERIOR À ABERTURA — conferir datas",IF(O151&lt;180,"EMPRESA ABERTA MENOS DE 6 MESES ANTES","")))</f>
        <v/>
      </c>
      <c r="Q151" s="31" t="str">
        <f aca="false">IF(D151="","",IFERROR(INDEX(Sancoes!$D:$D,MATCH(D151,Sancoes!$C:$C,0)),"não consta"))</f>
        <v/>
      </c>
      <c r="R151" s="25" t="str">
        <f aca="false">IF(OR(D151="",H151=""),"",IF(SUMPRODUCT((Sancoes!$C$5:$C$304=D151)*(Sancoes!$G$5:$G$304&lt;=H151)*(((Sancoes!$H$5:$H$304="")+(Sancoes!$H$5:$H$304&gt;=H151))&gt;0))&gt;0,"SANÇÃO VIGENTE NA DATA — ler tipo e abrangência",""))</f>
        <v/>
      </c>
      <c r="S151" s="24"/>
      <c r="T151" s="11"/>
    </row>
    <row r="152" customFormat="false" ht="15" hidden="false" customHeight="false" outlineLevel="0" collapsed="false">
      <c r="A152" s="11"/>
      <c r="B152" s="24"/>
      <c r="C152" s="24"/>
      <c r="D152" s="31" t="str">
        <f aca="false">IF(C152="","",IF(LEN(UPPER(SUBSTITUTE(SUBSTITUTE(SUBSTITUTE(SUBSTITUTE(TRIM(C152),".",""),"/",""),"-","")," ","")))&lt;14,RIGHT(REPT("0",14)&amp;UPPER(SUBSTITUTE(SUBSTITUTE(SUBSTITUTE(SUBSTITUTE(TRIM(C152),".",""),"/",""),"-","")," ","")),14),UPPER(SUBSTITUTE(SUBSTITUTE(SUBSTITUTE(SUBSTITUTE(TRIM(C152),".",""),"/",""),"-","")," ",""))))</f>
        <v/>
      </c>
      <c r="E152" s="25" t="str">
        <f aca="false">IF(D152="","",IFERROR(INDEX(Empresas!$C:$C,MATCH(D152,Empresas!$B:$B,0)),"cadastre o CNPJ em Empresas"))</f>
        <v/>
      </c>
      <c r="F152" s="11"/>
      <c r="G152" s="23"/>
      <c r="H152" s="22"/>
      <c r="I152" s="35"/>
      <c r="J152" s="35"/>
      <c r="K152" s="36" t="str">
        <f aca="false">IF(I152="","",I152+J152)</f>
        <v/>
      </c>
      <c r="L152" s="37" t="str">
        <f aca="false">IF(OR(I152="",I152=0,J152=""),"",J152/I152)</f>
        <v/>
      </c>
      <c r="M152" s="25" t="str">
        <f aca="false">IF(L152="","",IF(L152&gt;0.25,"ACRÉSCIMO ACIMA DE 25% — conferir",""))</f>
        <v/>
      </c>
      <c r="N152" s="29" t="str">
        <f aca="false">IF(D152="","",IF(COUNTIFS(Empresas!$B:$B,D152,Empresas!$E:$E,"&lt;&gt;")=0,"",INDEX(Empresas!$E:$E,MATCH(D152,Empresas!$B:$B,0))))</f>
        <v/>
      </c>
      <c r="O152" s="27" t="str">
        <f aca="false">IF(OR(N152="",H152=""),"",H152-N152)</f>
        <v/>
      </c>
      <c r="P152" s="25" t="str">
        <f aca="false">IF(O152="","",IF(O152&lt;0,"CONTRATO ANTERIOR À ABERTURA — conferir datas",IF(O152&lt;180,"EMPRESA ABERTA MENOS DE 6 MESES ANTES","")))</f>
        <v/>
      </c>
      <c r="Q152" s="31" t="str">
        <f aca="false">IF(D152="","",IFERROR(INDEX(Sancoes!$D:$D,MATCH(D152,Sancoes!$C:$C,0)),"não consta"))</f>
        <v/>
      </c>
      <c r="R152" s="25" t="str">
        <f aca="false">IF(OR(D152="",H152=""),"",IF(SUMPRODUCT((Sancoes!$C$5:$C$304=D152)*(Sancoes!$G$5:$G$304&lt;=H152)*(((Sancoes!$H$5:$H$304="")+(Sancoes!$H$5:$H$304&gt;=H152))&gt;0))&gt;0,"SANÇÃO VIGENTE NA DATA — ler tipo e abrangência",""))</f>
        <v/>
      </c>
      <c r="S152" s="24"/>
      <c r="T152" s="11"/>
    </row>
    <row r="153" customFormat="false" ht="15" hidden="false" customHeight="false" outlineLevel="0" collapsed="false">
      <c r="A153" s="11"/>
      <c r="B153" s="24"/>
      <c r="C153" s="24"/>
      <c r="D153" s="31" t="str">
        <f aca="false">IF(C153="","",IF(LEN(UPPER(SUBSTITUTE(SUBSTITUTE(SUBSTITUTE(SUBSTITUTE(TRIM(C153),".",""),"/",""),"-","")," ","")))&lt;14,RIGHT(REPT("0",14)&amp;UPPER(SUBSTITUTE(SUBSTITUTE(SUBSTITUTE(SUBSTITUTE(TRIM(C153),".",""),"/",""),"-","")," ","")),14),UPPER(SUBSTITUTE(SUBSTITUTE(SUBSTITUTE(SUBSTITUTE(TRIM(C153),".",""),"/",""),"-","")," ",""))))</f>
        <v/>
      </c>
      <c r="E153" s="25" t="str">
        <f aca="false">IF(D153="","",IFERROR(INDEX(Empresas!$C:$C,MATCH(D153,Empresas!$B:$B,0)),"cadastre o CNPJ em Empresas"))</f>
        <v/>
      </c>
      <c r="F153" s="11"/>
      <c r="G153" s="23"/>
      <c r="H153" s="22"/>
      <c r="I153" s="35"/>
      <c r="J153" s="35"/>
      <c r="K153" s="36" t="str">
        <f aca="false">IF(I153="","",I153+J153)</f>
        <v/>
      </c>
      <c r="L153" s="37" t="str">
        <f aca="false">IF(OR(I153="",I153=0,J153=""),"",J153/I153)</f>
        <v/>
      </c>
      <c r="M153" s="25" t="str">
        <f aca="false">IF(L153="","",IF(L153&gt;0.25,"ACRÉSCIMO ACIMA DE 25% — conferir",""))</f>
        <v/>
      </c>
      <c r="N153" s="29" t="str">
        <f aca="false">IF(D153="","",IF(COUNTIFS(Empresas!$B:$B,D153,Empresas!$E:$E,"&lt;&gt;")=0,"",INDEX(Empresas!$E:$E,MATCH(D153,Empresas!$B:$B,0))))</f>
        <v/>
      </c>
      <c r="O153" s="27" t="str">
        <f aca="false">IF(OR(N153="",H153=""),"",H153-N153)</f>
        <v/>
      </c>
      <c r="P153" s="25" t="str">
        <f aca="false">IF(O153="","",IF(O153&lt;0,"CONTRATO ANTERIOR À ABERTURA — conferir datas",IF(O153&lt;180,"EMPRESA ABERTA MENOS DE 6 MESES ANTES","")))</f>
        <v/>
      </c>
      <c r="Q153" s="31" t="str">
        <f aca="false">IF(D153="","",IFERROR(INDEX(Sancoes!$D:$D,MATCH(D153,Sancoes!$C:$C,0)),"não consta"))</f>
        <v/>
      </c>
      <c r="R153" s="25" t="str">
        <f aca="false">IF(OR(D153="",H153=""),"",IF(SUMPRODUCT((Sancoes!$C$5:$C$304=D153)*(Sancoes!$G$5:$G$304&lt;=H153)*(((Sancoes!$H$5:$H$304="")+(Sancoes!$H$5:$H$304&gt;=H153))&gt;0))&gt;0,"SANÇÃO VIGENTE NA DATA — ler tipo e abrangência",""))</f>
        <v/>
      </c>
      <c r="S153" s="24"/>
      <c r="T153" s="11"/>
    </row>
    <row r="154" customFormat="false" ht="15" hidden="false" customHeight="false" outlineLevel="0" collapsed="false">
      <c r="A154" s="11"/>
      <c r="B154" s="24"/>
      <c r="C154" s="24"/>
      <c r="D154" s="31" t="str">
        <f aca="false">IF(C154="","",IF(LEN(UPPER(SUBSTITUTE(SUBSTITUTE(SUBSTITUTE(SUBSTITUTE(TRIM(C154),".",""),"/",""),"-","")," ","")))&lt;14,RIGHT(REPT("0",14)&amp;UPPER(SUBSTITUTE(SUBSTITUTE(SUBSTITUTE(SUBSTITUTE(TRIM(C154),".",""),"/",""),"-","")," ","")),14),UPPER(SUBSTITUTE(SUBSTITUTE(SUBSTITUTE(SUBSTITUTE(TRIM(C154),".",""),"/",""),"-","")," ",""))))</f>
        <v/>
      </c>
      <c r="E154" s="25" t="str">
        <f aca="false">IF(D154="","",IFERROR(INDEX(Empresas!$C:$C,MATCH(D154,Empresas!$B:$B,0)),"cadastre o CNPJ em Empresas"))</f>
        <v/>
      </c>
      <c r="F154" s="11"/>
      <c r="G154" s="23"/>
      <c r="H154" s="22"/>
      <c r="I154" s="35"/>
      <c r="J154" s="35"/>
      <c r="K154" s="36" t="str">
        <f aca="false">IF(I154="","",I154+J154)</f>
        <v/>
      </c>
      <c r="L154" s="37" t="str">
        <f aca="false">IF(OR(I154="",I154=0,J154=""),"",J154/I154)</f>
        <v/>
      </c>
      <c r="M154" s="25" t="str">
        <f aca="false">IF(L154="","",IF(L154&gt;0.25,"ACRÉSCIMO ACIMA DE 25% — conferir",""))</f>
        <v/>
      </c>
      <c r="N154" s="29" t="str">
        <f aca="false">IF(D154="","",IF(COUNTIFS(Empresas!$B:$B,D154,Empresas!$E:$E,"&lt;&gt;")=0,"",INDEX(Empresas!$E:$E,MATCH(D154,Empresas!$B:$B,0))))</f>
        <v/>
      </c>
      <c r="O154" s="27" t="str">
        <f aca="false">IF(OR(N154="",H154=""),"",H154-N154)</f>
        <v/>
      </c>
      <c r="P154" s="25" t="str">
        <f aca="false">IF(O154="","",IF(O154&lt;0,"CONTRATO ANTERIOR À ABERTURA — conferir datas",IF(O154&lt;180,"EMPRESA ABERTA MENOS DE 6 MESES ANTES","")))</f>
        <v/>
      </c>
      <c r="Q154" s="31" t="str">
        <f aca="false">IF(D154="","",IFERROR(INDEX(Sancoes!$D:$D,MATCH(D154,Sancoes!$C:$C,0)),"não consta"))</f>
        <v/>
      </c>
      <c r="R154" s="25" t="str">
        <f aca="false">IF(OR(D154="",H154=""),"",IF(SUMPRODUCT((Sancoes!$C$5:$C$304=D154)*(Sancoes!$G$5:$G$304&lt;=H154)*(((Sancoes!$H$5:$H$304="")+(Sancoes!$H$5:$H$304&gt;=H154))&gt;0))&gt;0,"SANÇÃO VIGENTE NA DATA — ler tipo e abrangência",""))</f>
        <v/>
      </c>
      <c r="S154" s="24"/>
      <c r="T154" s="11"/>
    </row>
    <row r="155" customFormat="false" ht="15" hidden="false" customHeight="false" outlineLevel="0" collapsed="false">
      <c r="A155" s="11"/>
      <c r="B155" s="24"/>
      <c r="C155" s="24"/>
      <c r="D155" s="31" t="str">
        <f aca="false">IF(C155="","",IF(LEN(UPPER(SUBSTITUTE(SUBSTITUTE(SUBSTITUTE(SUBSTITUTE(TRIM(C155),".",""),"/",""),"-","")," ","")))&lt;14,RIGHT(REPT("0",14)&amp;UPPER(SUBSTITUTE(SUBSTITUTE(SUBSTITUTE(SUBSTITUTE(TRIM(C155),".",""),"/",""),"-","")," ","")),14),UPPER(SUBSTITUTE(SUBSTITUTE(SUBSTITUTE(SUBSTITUTE(TRIM(C155),".",""),"/",""),"-","")," ",""))))</f>
        <v/>
      </c>
      <c r="E155" s="25" t="str">
        <f aca="false">IF(D155="","",IFERROR(INDEX(Empresas!$C:$C,MATCH(D155,Empresas!$B:$B,0)),"cadastre o CNPJ em Empresas"))</f>
        <v/>
      </c>
      <c r="F155" s="11"/>
      <c r="G155" s="23"/>
      <c r="H155" s="22"/>
      <c r="I155" s="35"/>
      <c r="J155" s="35"/>
      <c r="K155" s="36" t="str">
        <f aca="false">IF(I155="","",I155+J155)</f>
        <v/>
      </c>
      <c r="L155" s="37" t="str">
        <f aca="false">IF(OR(I155="",I155=0,J155=""),"",J155/I155)</f>
        <v/>
      </c>
      <c r="M155" s="25" t="str">
        <f aca="false">IF(L155="","",IF(L155&gt;0.25,"ACRÉSCIMO ACIMA DE 25% — conferir",""))</f>
        <v/>
      </c>
      <c r="N155" s="29" t="str">
        <f aca="false">IF(D155="","",IF(COUNTIFS(Empresas!$B:$B,D155,Empresas!$E:$E,"&lt;&gt;")=0,"",INDEX(Empresas!$E:$E,MATCH(D155,Empresas!$B:$B,0))))</f>
        <v/>
      </c>
      <c r="O155" s="27" t="str">
        <f aca="false">IF(OR(N155="",H155=""),"",H155-N155)</f>
        <v/>
      </c>
      <c r="P155" s="25" t="str">
        <f aca="false">IF(O155="","",IF(O155&lt;0,"CONTRATO ANTERIOR À ABERTURA — conferir datas",IF(O155&lt;180,"EMPRESA ABERTA MENOS DE 6 MESES ANTES","")))</f>
        <v/>
      </c>
      <c r="Q155" s="31" t="str">
        <f aca="false">IF(D155="","",IFERROR(INDEX(Sancoes!$D:$D,MATCH(D155,Sancoes!$C:$C,0)),"não consta"))</f>
        <v/>
      </c>
      <c r="R155" s="25" t="str">
        <f aca="false">IF(OR(D155="",H155=""),"",IF(SUMPRODUCT((Sancoes!$C$5:$C$304=D155)*(Sancoes!$G$5:$G$304&lt;=H155)*(((Sancoes!$H$5:$H$304="")+(Sancoes!$H$5:$H$304&gt;=H155))&gt;0))&gt;0,"SANÇÃO VIGENTE NA DATA — ler tipo e abrangência",""))</f>
        <v/>
      </c>
      <c r="S155" s="24"/>
      <c r="T155" s="11"/>
    </row>
    <row r="156" customFormat="false" ht="15" hidden="false" customHeight="false" outlineLevel="0" collapsed="false">
      <c r="A156" s="11"/>
      <c r="B156" s="24"/>
      <c r="C156" s="24"/>
      <c r="D156" s="31" t="str">
        <f aca="false">IF(C156="","",IF(LEN(UPPER(SUBSTITUTE(SUBSTITUTE(SUBSTITUTE(SUBSTITUTE(TRIM(C156),".",""),"/",""),"-","")," ","")))&lt;14,RIGHT(REPT("0",14)&amp;UPPER(SUBSTITUTE(SUBSTITUTE(SUBSTITUTE(SUBSTITUTE(TRIM(C156),".",""),"/",""),"-","")," ","")),14),UPPER(SUBSTITUTE(SUBSTITUTE(SUBSTITUTE(SUBSTITUTE(TRIM(C156),".",""),"/",""),"-","")," ",""))))</f>
        <v/>
      </c>
      <c r="E156" s="25" t="str">
        <f aca="false">IF(D156="","",IFERROR(INDEX(Empresas!$C:$C,MATCH(D156,Empresas!$B:$B,0)),"cadastre o CNPJ em Empresas"))</f>
        <v/>
      </c>
      <c r="F156" s="11"/>
      <c r="G156" s="23"/>
      <c r="H156" s="22"/>
      <c r="I156" s="35"/>
      <c r="J156" s="35"/>
      <c r="K156" s="36" t="str">
        <f aca="false">IF(I156="","",I156+J156)</f>
        <v/>
      </c>
      <c r="L156" s="37" t="str">
        <f aca="false">IF(OR(I156="",I156=0,J156=""),"",J156/I156)</f>
        <v/>
      </c>
      <c r="M156" s="25" t="str">
        <f aca="false">IF(L156="","",IF(L156&gt;0.25,"ACRÉSCIMO ACIMA DE 25% — conferir",""))</f>
        <v/>
      </c>
      <c r="N156" s="29" t="str">
        <f aca="false">IF(D156="","",IF(COUNTIFS(Empresas!$B:$B,D156,Empresas!$E:$E,"&lt;&gt;")=0,"",INDEX(Empresas!$E:$E,MATCH(D156,Empresas!$B:$B,0))))</f>
        <v/>
      </c>
      <c r="O156" s="27" t="str">
        <f aca="false">IF(OR(N156="",H156=""),"",H156-N156)</f>
        <v/>
      </c>
      <c r="P156" s="25" t="str">
        <f aca="false">IF(O156="","",IF(O156&lt;0,"CONTRATO ANTERIOR À ABERTURA — conferir datas",IF(O156&lt;180,"EMPRESA ABERTA MENOS DE 6 MESES ANTES","")))</f>
        <v/>
      </c>
      <c r="Q156" s="31" t="str">
        <f aca="false">IF(D156="","",IFERROR(INDEX(Sancoes!$D:$D,MATCH(D156,Sancoes!$C:$C,0)),"não consta"))</f>
        <v/>
      </c>
      <c r="R156" s="25" t="str">
        <f aca="false">IF(OR(D156="",H156=""),"",IF(SUMPRODUCT((Sancoes!$C$5:$C$304=D156)*(Sancoes!$G$5:$G$304&lt;=H156)*(((Sancoes!$H$5:$H$304="")+(Sancoes!$H$5:$H$304&gt;=H156))&gt;0))&gt;0,"SANÇÃO VIGENTE NA DATA — ler tipo e abrangência",""))</f>
        <v/>
      </c>
      <c r="S156" s="24"/>
      <c r="T156" s="11"/>
    </row>
    <row r="157" customFormat="false" ht="15" hidden="false" customHeight="false" outlineLevel="0" collapsed="false">
      <c r="A157" s="11"/>
      <c r="B157" s="24"/>
      <c r="C157" s="24"/>
      <c r="D157" s="31" t="str">
        <f aca="false">IF(C157="","",IF(LEN(UPPER(SUBSTITUTE(SUBSTITUTE(SUBSTITUTE(SUBSTITUTE(TRIM(C157),".",""),"/",""),"-","")," ","")))&lt;14,RIGHT(REPT("0",14)&amp;UPPER(SUBSTITUTE(SUBSTITUTE(SUBSTITUTE(SUBSTITUTE(TRIM(C157),".",""),"/",""),"-","")," ","")),14),UPPER(SUBSTITUTE(SUBSTITUTE(SUBSTITUTE(SUBSTITUTE(TRIM(C157),".",""),"/",""),"-","")," ",""))))</f>
        <v/>
      </c>
      <c r="E157" s="25" t="str">
        <f aca="false">IF(D157="","",IFERROR(INDEX(Empresas!$C:$C,MATCH(D157,Empresas!$B:$B,0)),"cadastre o CNPJ em Empresas"))</f>
        <v/>
      </c>
      <c r="F157" s="11"/>
      <c r="G157" s="23"/>
      <c r="H157" s="22"/>
      <c r="I157" s="35"/>
      <c r="J157" s="35"/>
      <c r="K157" s="36" t="str">
        <f aca="false">IF(I157="","",I157+J157)</f>
        <v/>
      </c>
      <c r="L157" s="37" t="str">
        <f aca="false">IF(OR(I157="",I157=0,J157=""),"",J157/I157)</f>
        <v/>
      </c>
      <c r="M157" s="25" t="str">
        <f aca="false">IF(L157="","",IF(L157&gt;0.25,"ACRÉSCIMO ACIMA DE 25% — conferir",""))</f>
        <v/>
      </c>
      <c r="N157" s="29" t="str">
        <f aca="false">IF(D157="","",IF(COUNTIFS(Empresas!$B:$B,D157,Empresas!$E:$E,"&lt;&gt;")=0,"",INDEX(Empresas!$E:$E,MATCH(D157,Empresas!$B:$B,0))))</f>
        <v/>
      </c>
      <c r="O157" s="27" t="str">
        <f aca="false">IF(OR(N157="",H157=""),"",H157-N157)</f>
        <v/>
      </c>
      <c r="P157" s="25" t="str">
        <f aca="false">IF(O157="","",IF(O157&lt;0,"CONTRATO ANTERIOR À ABERTURA — conferir datas",IF(O157&lt;180,"EMPRESA ABERTA MENOS DE 6 MESES ANTES","")))</f>
        <v/>
      </c>
      <c r="Q157" s="31" t="str">
        <f aca="false">IF(D157="","",IFERROR(INDEX(Sancoes!$D:$D,MATCH(D157,Sancoes!$C:$C,0)),"não consta"))</f>
        <v/>
      </c>
      <c r="R157" s="25" t="str">
        <f aca="false">IF(OR(D157="",H157=""),"",IF(SUMPRODUCT((Sancoes!$C$5:$C$304=D157)*(Sancoes!$G$5:$G$304&lt;=H157)*(((Sancoes!$H$5:$H$304="")+(Sancoes!$H$5:$H$304&gt;=H157))&gt;0))&gt;0,"SANÇÃO VIGENTE NA DATA — ler tipo e abrangência",""))</f>
        <v/>
      </c>
      <c r="S157" s="24"/>
      <c r="T157" s="11"/>
    </row>
    <row r="158" customFormat="false" ht="15" hidden="false" customHeight="false" outlineLevel="0" collapsed="false">
      <c r="A158" s="11"/>
      <c r="B158" s="24"/>
      <c r="C158" s="24"/>
      <c r="D158" s="31" t="str">
        <f aca="false">IF(C158="","",IF(LEN(UPPER(SUBSTITUTE(SUBSTITUTE(SUBSTITUTE(SUBSTITUTE(TRIM(C158),".",""),"/",""),"-","")," ","")))&lt;14,RIGHT(REPT("0",14)&amp;UPPER(SUBSTITUTE(SUBSTITUTE(SUBSTITUTE(SUBSTITUTE(TRIM(C158),".",""),"/",""),"-","")," ","")),14),UPPER(SUBSTITUTE(SUBSTITUTE(SUBSTITUTE(SUBSTITUTE(TRIM(C158),".",""),"/",""),"-","")," ",""))))</f>
        <v/>
      </c>
      <c r="E158" s="25" t="str">
        <f aca="false">IF(D158="","",IFERROR(INDEX(Empresas!$C:$C,MATCH(D158,Empresas!$B:$B,0)),"cadastre o CNPJ em Empresas"))</f>
        <v/>
      </c>
      <c r="F158" s="11"/>
      <c r="G158" s="23"/>
      <c r="H158" s="22"/>
      <c r="I158" s="35"/>
      <c r="J158" s="35"/>
      <c r="K158" s="36" t="str">
        <f aca="false">IF(I158="","",I158+J158)</f>
        <v/>
      </c>
      <c r="L158" s="37" t="str">
        <f aca="false">IF(OR(I158="",I158=0,J158=""),"",J158/I158)</f>
        <v/>
      </c>
      <c r="M158" s="25" t="str">
        <f aca="false">IF(L158="","",IF(L158&gt;0.25,"ACRÉSCIMO ACIMA DE 25% — conferir",""))</f>
        <v/>
      </c>
      <c r="N158" s="29" t="str">
        <f aca="false">IF(D158="","",IF(COUNTIFS(Empresas!$B:$B,D158,Empresas!$E:$E,"&lt;&gt;")=0,"",INDEX(Empresas!$E:$E,MATCH(D158,Empresas!$B:$B,0))))</f>
        <v/>
      </c>
      <c r="O158" s="27" t="str">
        <f aca="false">IF(OR(N158="",H158=""),"",H158-N158)</f>
        <v/>
      </c>
      <c r="P158" s="25" t="str">
        <f aca="false">IF(O158="","",IF(O158&lt;0,"CONTRATO ANTERIOR À ABERTURA — conferir datas",IF(O158&lt;180,"EMPRESA ABERTA MENOS DE 6 MESES ANTES","")))</f>
        <v/>
      </c>
      <c r="Q158" s="31" t="str">
        <f aca="false">IF(D158="","",IFERROR(INDEX(Sancoes!$D:$D,MATCH(D158,Sancoes!$C:$C,0)),"não consta"))</f>
        <v/>
      </c>
      <c r="R158" s="25" t="str">
        <f aca="false">IF(OR(D158="",H158=""),"",IF(SUMPRODUCT((Sancoes!$C$5:$C$304=D158)*(Sancoes!$G$5:$G$304&lt;=H158)*(((Sancoes!$H$5:$H$304="")+(Sancoes!$H$5:$H$304&gt;=H158))&gt;0))&gt;0,"SANÇÃO VIGENTE NA DATA — ler tipo e abrangência",""))</f>
        <v/>
      </c>
      <c r="S158" s="24"/>
      <c r="T158" s="11"/>
    </row>
    <row r="159" customFormat="false" ht="15" hidden="false" customHeight="false" outlineLevel="0" collapsed="false">
      <c r="A159" s="11"/>
      <c r="B159" s="24"/>
      <c r="C159" s="24"/>
      <c r="D159" s="31" t="str">
        <f aca="false">IF(C159="","",IF(LEN(UPPER(SUBSTITUTE(SUBSTITUTE(SUBSTITUTE(SUBSTITUTE(TRIM(C159),".",""),"/",""),"-","")," ","")))&lt;14,RIGHT(REPT("0",14)&amp;UPPER(SUBSTITUTE(SUBSTITUTE(SUBSTITUTE(SUBSTITUTE(TRIM(C159),".",""),"/",""),"-","")," ","")),14),UPPER(SUBSTITUTE(SUBSTITUTE(SUBSTITUTE(SUBSTITUTE(TRIM(C159),".",""),"/",""),"-","")," ",""))))</f>
        <v/>
      </c>
      <c r="E159" s="25" t="str">
        <f aca="false">IF(D159="","",IFERROR(INDEX(Empresas!$C:$C,MATCH(D159,Empresas!$B:$B,0)),"cadastre o CNPJ em Empresas"))</f>
        <v/>
      </c>
      <c r="F159" s="11"/>
      <c r="G159" s="23"/>
      <c r="H159" s="22"/>
      <c r="I159" s="35"/>
      <c r="J159" s="35"/>
      <c r="K159" s="36" t="str">
        <f aca="false">IF(I159="","",I159+J159)</f>
        <v/>
      </c>
      <c r="L159" s="37" t="str">
        <f aca="false">IF(OR(I159="",I159=0,J159=""),"",J159/I159)</f>
        <v/>
      </c>
      <c r="M159" s="25" t="str">
        <f aca="false">IF(L159="","",IF(L159&gt;0.25,"ACRÉSCIMO ACIMA DE 25% — conferir",""))</f>
        <v/>
      </c>
      <c r="N159" s="29" t="str">
        <f aca="false">IF(D159="","",IF(COUNTIFS(Empresas!$B:$B,D159,Empresas!$E:$E,"&lt;&gt;")=0,"",INDEX(Empresas!$E:$E,MATCH(D159,Empresas!$B:$B,0))))</f>
        <v/>
      </c>
      <c r="O159" s="27" t="str">
        <f aca="false">IF(OR(N159="",H159=""),"",H159-N159)</f>
        <v/>
      </c>
      <c r="P159" s="25" t="str">
        <f aca="false">IF(O159="","",IF(O159&lt;0,"CONTRATO ANTERIOR À ABERTURA — conferir datas",IF(O159&lt;180,"EMPRESA ABERTA MENOS DE 6 MESES ANTES","")))</f>
        <v/>
      </c>
      <c r="Q159" s="31" t="str">
        <f aca="false">IF(D159="","",IFERROR(INDEX(Sancoes!$D:$D,MATCH(D159,Sancoes!$C:$C,0)),"não consta"))</f>
        <v/>
      </c>
      <c r="R159" s="25" t="str">
        <f aca="false">IF(OR(D159="",H159=""),"",IF(SUMPRODUCT((Sancoes!$C$5:$C$304=D159)*(Sancoes!$G$5:$G$304&lt;=H159)*(((Sancoes!$H$5:$H$304="")+(Sancoes!$H$5:$H$304&gt;=H159))&gt;0))&gt;0,"SANÇÃO VIGENTE NA DATA — ler tipo e abrangência",""))</f>
        <v/>
      </c>
      <c r="S159" s="24"/>
      <c r="T159" s="11"/>
    </row>
    <row r="160" customFormat="false" ht="15" hidden="false" customHeight="false" outlineLevel="0" collapsed="false">
      <c r="A160" s="11"/>
      <c r="B160" s="24"/>
      <c r="C160" s="24"/>
      <c r="D160" s="31" t="str">
        <f aca="false">IF(C160="","",IF(LEN(UPPER(SUBSTITUTE(SUBSTITUTE(SUBSTITUTE(SUBSTITUTE(TRIM(C160),".",""),"/",""),"-","")," ","")))&lt;14,RIGHT(REPT("0",14)&amp;UPPER(SUBSTITUTE(SUBSTITUTE(SUBSTITUTE(SUBSTITUTE(TRIM(C160),".",""),"/",""),"-","")," ","")),14),UPPER(SUBSTITUTE(SUBSTITUTE(SUBSTITUTE(SUBSTITUTE(TRIM(C160),".",""),"/",""),"-","")," ",""))))</f>
        <v/>
      </c>
      <c r="E160" s="25" t="str">
        <f aca="false">IF(D160="","",IFERROR(INDEX(Empresas!$C:$C,MATCH(D160,Empresas!$B:$B,0)),"cadastre o CNPJ em Empresas"))</f>
        <v/>
      </c>
      <c r="F160" s="11"/>
      <c r="G160" s="23"/>
      <c r="H160" s="22"/>
      <c r="I160" s="35"/>
      <c r="J160" s="35"/>
      <c r="K160" s="36" t="str">
        <f aca="false">IF(I160="","",I160+J160)</f>
        <v/>
      </c>
      <c r="L160" s="37" t="str">
        <f aca="false">IF(OR(I160="",I160=0,J160=""),"",J160/I160)</f>
        <v/>
      </c>
      <c r="M160" s="25" t="str">
        <f aca="false">IF(L160="","",IF(L160&gt;0.25,"ACRÉSCIMO ACIMA DE 25% — conferir",""))</f>
        <v/>
      </c>
      <c r="N160" s="29" t="str">
        <f aca="false">IF(D160="","",IF(COUNTIFS(Empresas!$B:$B,D160,Empresas!$E:$E,"&lt;&gt;")=0,"",INDEX(Empresas!$E:$E,MATCH(D160,Empresas!$B:$B,0))))</f>
        <v/>
      </c>
      <c r="O160" s="27" t="str">
        <f aca="false">IF(OR(N160="",H160=""),"",H160-N160)</f>
        <v/>
      </c>
      <c r="P160" s="25" t="str">
        <f aca="false">IF(O160="","",IF(O160&lt;0,"CONTRATO ANTERIOR À ABERTURA — conferir datas",IF(O160&lt;180,"EMPRESA ABERTA MENOS DE 6 MESES ANTES","")))</f>
        <v/>
      </c>
      <c r="Q160" s="31" t="str">
        <f aca="false">IF(D160="","",IFERROR(INDEX(Sancoes!$D:$D,MATCH(D160,Sancoes!$C:$C,0)),"não consta"))</f>
        <v/>
      </c>
      <c r="R160" s="25" t="str">
        <f aca="false">IF(OR(D160="",H160=""),"",IF(SUMPRODUCT((Sancoes!$C$5:$C$304=D160)*(Sancoes!$G$5:$G$304&lt;=H160)*(((Sancoes!$H$5:$H$304="")+(Sancoes!$H$5:$H$304&gt;=H160))&gt;0))&gt;0,"SANÇÃO VIGENTE NA DATA — ler tipo e abrangência",""))</f>
        <v/>
      </c>
      <c r="S160" s="24"/>
      <c r="T160" s="11"/>
    </row>
    <row r="161" customFormat="false" ht="15" hidden="false" customHeight="false" outlineLevel="0" collapsed="false">
      <c r="A161" s="11"/>
      <c r="B161" s="24"/>
      <c r="C161" s="24"/>
      <c r="D161" s="31" t="str">
        <f aca="false">IF(C161="","",IF(LEN(UPPER(SUBSTITUTE(SUBSTITUTE(SUBSTITUTE(SUBSTITUTE(TRIM(C161),".",""),"/",""),"-","")," ","")))&lt;14,RIGHT(REPT("0",14)&amp;UPPER(SUBSTITUTE(SUBSTITUTE(SUBSTITUTE(SUBSTITUTE(TRIM(C161),".",""),"/",""),"-","")," ","")),14),UPPER(SUBSTITUTE(SUBSTITUTE(SUBSTITUTE(SUBSTITUTE(TRIM(C161),".",""),"/",""),"-","")," ",""))))</f>
        <v/>
      </c>
      <c r="E161" s="25" t="str">
        <f aca="false">IF(D161="","",IFERROR(INDEX(Empresas!$C:$C,MATCH(D161,Empresas!$B:$B,0)),"cadastre o CNPJ em Empresas"))</f>
        <v/>
      </c>
      <c r="F161" s="11"/>
      <c r="G161" s="23"/>
      <c r="H161" s="22"/>
      <c r="I161" s="35"/>
      <c r="J161" s="35"/>
      <c r="K161" s="36" t="str">
        <f aca="false">IF(I161="","",I161+J161)</f>
        <v/>
      </c>
      <c r="L161" s="37" t="str">
        <f aca="false">IF(OR(I161="",I161=0,J161=""),"",J161/I161)</f>
        <v/>
      </c>
      <c r="M161" s="25" t="str">
        <f aca="false">IF(L161="","",IF(L161&gt;0.25,"ACRÉSCIMO ACIMA DE 25% — conferir",""))</f>
        <v/>
      </c>
      <c r="N161" s="29" t="str">
        <f aca="false">IF(D161="","",IF(COUNTIFS(Empresas!$B:$B,D161,Empresas!$E:$E,"&lt;&gt;")=0,"",INDEX(Empresas!$E:$E,MATCH(D161,Empresas!$B:$B,0))))</f>
        <v/>
      </c>
      <c r="O161" s="27" t="str">
        <f aca="false">IF(OR(N161="",H161=""),"",H161-N161)</f>
        <v/>
      </c>
      <c r="P161" s="25" t="str">
        <f aca="false">IF(O161="","",IF(O161&lt;0,"CONTRATO ANTERIOR À ABERTURA — conferir datas",IF(O161&lt;180,"EMPRESA ABERTA MENOS DE 6 MESES ANTES","")))</f>
        <v/>
      </c>
      <c r="Q161" s="31" t="str">
        <f aca="false">IF(D161="","",IFERROR(INDEX(Sancoes!$D:$D,MATCH(D161,Sancoes!$C:$C,0)),"não consta"))</f>
        <v/>
      </c>
      <c r="R161" s="25" t="str">
        <f aca="false">IF(OR(D161="",H161=""),"",IF(SUMPRODUCT((Sancoes!$C$5:$C$304=D161)*(Sancoes!$G$5:$G$304&lt;=H161)*(((Sancoes!$H$5:$H$304="")+(Sancoes!$H$5:$H$304&gt;=H161))&gt;0))&gt;0,"SANÇÃO VIGENTE NA DATA — ler tipo e abrangência",""))</f>
        <v/>
      </c>
      <c r="S161" s="24"/>
      <c r="T161" s="11"/>
    </row>
    <row r="162" customFormat="false" ht="15" hidden="false" customHeight="false" outlineLevel="0" collapsed="false">
      <c r="A162" s="11"/>
      <c r="B162" s="24"/>
      <c r="C162" s="24"/>
      <c r="D162" s="31" t="str">
        <f aca="false">IF(C162="","",IF(LEN(UPPER(SUBSTITUTE(SUBSTITUTE(SUBSTITUTE(SUBSTITUTE(TRIM(C162),".",""),"/",""),"-","")," ","")))&lt;14,RIGHT(REPT("0",14)&amp;UPPER(SUBSTITUTE(SUBSTITUTE(SUBSTITUTE(SUBSTITUTE(TRIM(C162),".",""),"/",""),"-","")," ","")),14),UPPER(SUBSTITUTE(SUBSTITUTE(SUBSTITUTE(SUBSTITUTE(TRIM(C162),".",""),"/",""),"-","")," ",""))))</f>
        <v/>
      </c>
      <c r="E162" s="25" t="str">
        <f aca="false">IF(D162="","",IFERROR(INDEX(Empresas!$C:$C,MATCH(D162,Empresas!$B:$B,0)),"cadastre o CNPJ em Empresas"))</f>
        <v/>
      </c>
      <c r="F162" s="11"/>
      <c r="G162" s="23"/>
      <c r="H162" s="22"/>
      <c r="I162" s="35"/>
      <c r="J162" s="35"/>
      <c r="K162" s="36" t="str">
        <f aca="false">IF(I162="","",I162+J162)</f>
        <v/>
      </c>
      <c r="L162" s="37" t="str">
        <f aca="false">IF(OR(I162="",I162=0,J162=""),"",J162/I162)</f>
        <v/>
      </c>
      <c r="M162" s="25" t="str">
        <f aca="false">IF(L162="","",IF(L162&gt;0.25,"ACRÉSCIMO ACIMA DE 25% — conferir",""))</f>
        <v/>
      </c>
      <c r="N162" s="29" t="str">
        <f aca="false">IF(D162="","",IF(COUNTIFS(Empresas!$B:$B,D162,Empresas!$E:$E,"&lt;&gt;")=0,"",INDEX(Empresas!$E:$E,MATCH(D162,Empresas!$B:$B,0))))</f>
        <v/>
      </c>
      <c r="O162" s="27" t="str">
        <f aca="false">IF(OR(N162="",H162=""),"",H162-N162)</f>
        <v/>
      </c>
      <c r="P162" s="25" t="str">
        <f aca="false">IF(O162="","",IF(O162&lt;0,"CONTRATO ANTERIOR À ABERTURA — conferir datas",IF(O162&lt;180,"EMPRESA ABERTA MENOS DE 6 MESES ANTES","")))</f>
        <v/>
      </c>
      <c r="Q162" s="31" t="str">
        <f aca="false">IF(D162="","",IFERROR(INDEX(Sancoes!$D:$D,MATCH(D162,Sancoes!$C:$C,0)),"não consta"))</f>
        <v/>
      </c>
      <c r="R162" s="25" t="str">
        <f aca="false">IF(OR(D162="",H162=""),"",IF(SUMPRODUCT((Sancoes!$C$5:$C$304=D162)*(Sancoes!$G$5:$G$304&lt;=H162)*(((Sancoes!$H$5:$H$304="")+(Sancoes!$H$5:$H$304&gt;=H162))&gt;0))&gt;0,"SANÇÃO VIGENTE NA DATA — ler tipo e abrangência",""))</f>
        <v/>
      </c>
      <c r="S162" s="24"/>
      <c r="T162" s="11"/>
    </row>
    <row r="163" customFormat="false" ht="15" hidden="false" customHeight="false" outlineLevel="0" collapsed="false">
      <c r="A163" s="11"/>
      <c r="B163" s="24"/>
      <c r="C163" s="24"/>
      <c r="D163" s="31" t="str">
        <f aca="false">IF(C163="","",IF(LEN(UPPER(SUBSTITUTE(SUBSTITUTE(SUBSTITUTE(SUBSTITUTE(TRIM(C163),".",""),"/",""),"-","")," ","")))&lt;14,RIGHT(REPT("0",14)&amp;UPPER(SUBSTITUTE(SUBSTITUTE(SUBSTITUTE(SUBSTITUTE(TRIM(C163),".",""),"/",""),"-","")," ","")),14),UPPER(SUBSTITUTE(SUBSTITUTE(SUBSTITUTE(SUBSTITUTE(TRIM(C163),".",""),"/",""),"-","")," ",""))))</f>
        <v/>
      </c>
      <c r="E163" s="25" t="str">
        <f aca="false">IF(D163="","",IFERROR(INDEX(Empresas!$C:$C,MATCH(D163,Empresas!$B:$B,0)),"cadastre o CNPJ em Empresas"))</f>
        <v/>
      </c>
      <c r="F163" s="11"/>
      <c r="G163" s="23"/>
      <c r="H163" s="22"/>
      <c r="I163" s="35"/>
      <c r="J163" s="35"/>
      <c r="K163" s="36" t="str">
        <f aca="false">IF(I163="","",I163+J163)</f>
        <v/>
      </c>
      <c r="L163" s="37" t="str">
        <f aca="false">IF(OR(I163="",I163=0,J163=""),"",J163/I163)</f>
        <v/>
      </c>
      <c r="M163" s="25" t="str">
        <f aca="false">IF(L163="","",IF(L163&gt;0.25,"ACRÉSCIMO ACIMA DE 25% — conferir",""))</f>
        <v/>
      </c>
      <c r="N163" s="29" t="str">
        <f aca="false">IF(D163="","",IF(COUNTIFS(Empresas!$B:$B,D163,Empresas!$E:$E,"&lt;&gt;")=0,"",INDEX(Empresas!$E:$E,MATCH(D163,Empresas!$B:$B,0))))</f>
        <v/>
      </c>
      <c r="O163" s="27" t="str">
        <f aca="false">IF(OR(N163="",H163=""),"",H163-N163)</f>
        <v/>
      </c>
      <c r="P163" s="25" t="str">
        <f aca="false">IF(O163="","",IF(O163&lt;0,"CONTRATO ANTERIOR À ABERTURA — conferir datas",IF(O163&lt;180,"EMPRESA ABERTA MENOS DE 6 MESES ANTES","")))</f>
        <v/>
      </c>
      <c r="Q163" s="31" t="str">
        <f aca="false">IF(D163="","",IFERROR(INDEX(Sancoes!$D:$D,MATCH(D163,Sancoes!$C:$C,0)),"não consta"))</f>
        <v/>
      </c>
      <c r="R163" s="25" t="str">
        <f aca="false">IF(OR(D163="",H163=""),"",IF(SUMPRODUCT((Sancoes!$C$5:$C$304=D163)*(Sancoes!$G$5:$G$304&lt;=H163)*(((Sancoes!$H$5:$H$304="")+(Sancoes!$H$5:$H$304&gt;=H163))&gt;0))&gt;0,"SANÇÃO VIGENTE NA DATA — ler tipo e abrangência",""))</f>
        <v/>
      </c>
      <c r="S163" s="24"/>
      <c r="T163" s="11"/>
    </row>
    <row r="164" customFormat="false" ht="15" hidden="false" customHeight="false" outlineLevel="0" collapsed="false">
      <c r="A164" s="11"/>
      <c r="B164" s="24"/>
      <c r="C164" s="24"/>
      <c r="D164" s="31" t="str">
        <f aca="false">IF(C164="","",IF(LEN(UPPER(SUBSTITUTE(SUBSTITUTE(SUBSTITUTE(SUBSTITUTE(TRIM(C164),".",""),"/",""),"-","")," ","")))&lt;14,RIGHT(REPT("0",14)&amp;UPPER(SUBSTITUTE(SUBSTITUTE(SUBSTITUTE(SUBSTITUTE(TRIM(C164),".",""),"/",""),"-","")," ","")),14),UPPER(SUBSTITUTE(SUBSTITUTE(SUBSTITUTE(SUBSTITUTE(TRIM(C164),".",""),"/",""),"-","")," ",""))))</f>
        <v/>
      </c>
      <c r="E164" s="25" t="str">
        <f aca="false">IF(D164="","",IFERROR(INDEX(Empresas!$C:$C,MATCH(D164,Empresas!$B:$B,0)),"cadastre o CNPJ em Empresas"))</f>
        <v/>
      </c>
      <c r="F164" s="11"/>
      <c r="G164" s="23"/>
      <c r="H164" s="22"/>
      <c r="I164" s="35"/>
      <c r="J164" s="35"/>
      <c r="K164" s="36" t="str">
        <f aca="false">IF(I164="","",I164+J164)</f>
        <v/>
      </c>
      <c r="L164" s="37" t="str">
        <f aca="false">IF(OR(I164="",I164=0,J164=""),"",J164/I164)</f>
        <v/>
      </c>
      <c r="M164" s="25" t="str">
        <f aca="false">IF(L164="","",IF(L164&gt;0.25,"ACRÉSCIMO ACIMA DE 25% — conferir",""))</f>
        <v/>
      </c>
      <c r="N164" s="29" t="str">
        <f aca="false">IF(D164="","",IF(COUNTIFS(Empresas!$B:$B,D164,Empresas!$E:$E,"&lt;&gt;")=0,"",INDEX(Empresas!$E:$E,MATCH(D164,Empresas!$B:$B,0))))</f>
        <v/>
      </c>
      <c r="O164" s="27" t="str">
        <f aca="false">IF(OR(N164="",H164=""),"",H164-N164)</f>
        <v/>
      </c>
      <c r="P164" s="25" t="str">
        <f aca="false">IF(O164="","",IF(O164&lt;0,"CONTRATO ANTERIOR À ABERTURA — conferir datas",IF(O164&lt;180,"EMPRESA ABERTA MENOS DE 6 MESES ANTES","")))</f>
        <v/>
      </c>
      <c r="Q164" s="31" t="str">
        <f aca="false">IF(D164="","",IFERROR(INDEX(Sancoes!$D:$D,MATCH(D164,Sancoes!$C:$C,0)),"não consta"))</f>
        <v/>
      </c>
      <c r="R164" s="25" t="str">
        <f aca="false">IF(OR(D164="",H164=""),"",IF(SUMPRODUCT((Sancoes!$C$5:$C$304=D164)*(Sancoes!$G$5:$G$304&lt;=H164)*(((Sancoes!$H$5:$H$304="")+(Sancoes!$H$5:$H$304&gt;=H164))&gt;0))&gt;0,"SANÇÃO VIGENTE NA DATA — ler tipo e abrangência",""))</f>
        <v/>
      </c>
      <c r="S164" s="24"/>
      <c r="T164" s="11"/>
    </row>
    <row r="165" customFormat="false" ht="15" hidden="false" customHeight="false" outlineLevel="0" collapsed="false">
      <c r="A165" s="11"/>
      <c r="B165" s="24"/>
      <c r="C165" s="24"/>
      <c r="D165" s="31" t="str">
        <f aca="false">IF(C165="","",IF(LEN(UPPER(SUBSTITUTE(SUBSTITUTE(SUBSTITUTE(SUBSTITUTE(TRIM(C165),".",""),"/",""),"-","")," ","")))&lt;14,RIGHT(REPT("0",14)&amp;UPPER(SUBSTITUTE(SUBSTITUTE(SUBSTITUTE(SUBSTITUTE(TRIM(C165),".",""),"/",""),"-","")," ","")),14),UPPER(SUBSTITUTE(SUBSTITUTE(SUBSTITUTE(SUBSTITUTE(TRIM(C165),".",""),"/",""),"-","")," ",""))))</f>
        <v/>
      </c>
      <c r="E165" s="25" t="str">
        <f aca="false">IF(D165="","",IFERROR(INDEX(Empresas!$C:$C,MATCH(D165,Empresas!$B:$B,0)),"cadastre o CNPJ em Empresas"))</f>
        <v/>
      </c>
      <c r="F165" s="11"/>
      <c r="G165" s="23"/>
      <c r="H165" s="22"/>
      <c r="I165" s="35"/>
      <c r="J165" s="35"/>
      <c r="K165" s="36" t="str">
        <f aca="false">IF(I165="","",I165+J165)</f>
        <v/>
      </c>
      <c r="L165" s="37" t="str">
        <f aca="false">IF(OR(I165="",I165=0,J165=""),"",J165/I165)</f>
        <v/>
      </c>
      <c r="M165" s="25" t="str">
        <f aca="false">IF(L165="","",IF(L165&gt;0.25,"ACRÉSCIMO ACIMA DE 25% — conferir",""))</f>
        <v/>
      </c>
      <c r="N165" s="29" t="str">
        <f aca="false">IF(D165="","",IF(COUNTIFS(Empresas!$B:$B,D165,Empresas!$E:$E,"&lt;&gt;")=0,"",INDEX(Empresas!$E:$E,MATCH(D165,Empresas!$B:$B,0))))</f>
        <v/>
      </c>
      <c r="O165" s="27" t="str">
        <f aca="false">IF(OR(N165="",H165=""),"",H165-N165)</f>
        <v/>
      </c>
      <c r="P165" s="25" t="str">
        <f aca="false">IF(O165="","",IF(O165&lt;0,"CONTRATO ANTERIOR À ABERTURA — conferir datas",IF(O165&lt;180,"EMPRESA ABERTA MENOS DE 6 MESES ANTES","")))</f>
        <v/>
      </c>
      <c r="Q165" s="31" t="str">
        <f aca="false">IF(D165="","",IFERROR(INDEX(Sancoes!$D:$D,MATCH(D165,Sancoes!$C:$C,0)),"não consta"))</f>
        <v/>
      </c>
      <c r="R165" s="25" t="str">
        <f aca="false">IF(OR(D165="",H165=""),"",IF(SUMPRODUCT((Sancoes!$C$5:$C$304=D165)*(Sancoes!$G$5:$G$304&lt;=H165)*(((Sancoes!$H$5:$H$304="")+(Sancoes!$H$5:$H$304&gt;=H165))&gt;0))&gt;0,"SANÇÃO VIGENTE NA DATA — ler tipo e abrangência",""))</f>
        <v/>
      </c>
      <c r="S165" s="24"/>
      <c r="T165" s="11"/>
    </row>
    <row r="166" customFormat="false" ht="15" hidden="false" customHeight="false" outlineLevel="0" collapsed="false">
      <c r="A166" s="11"/>
      <c r="B166" s="24"/>
      <c r="C166" s="24"/>
      <c r="D166" s="31" t="str">
        <f aca="false">IF(C166="","",IF(LEN(UPPER(SUBSTITUTE(SUBSTITUTE(SUBSTITUTE(SUBSTITUTE(TRIM(C166),".",""),"/",""),"-","")," ","")))&lt;14,RIGHT(REPT("0",14)&amp;UPPER(SUBSTITUTE(SUBSTITUTE(SUBSTITUTE(SUBSTITUTE(TRIM(C166),".",""),"/",""),"-","")," ","")),14),UPPER(SUBSTITUTE(SUBSTITUTE(SUBSTITUTE(SUBSTITUTE(TRIM(C166),".",""),"/",""),"-","")," ",""))))</f>
        <v/>
      </c>
      <c r="E166" s="25" t="str">
        <f aca="false">IF(D166="","",IFERROR(INDEX(Empresas!$C:$C,MATCH(D166,Empresas!$B:$B,0)),"cadastre o CNPJ em Empresas"))</f>
        <v/>
      </c>
      <c r="F166" s="11"/>
      <c r="G166" s="23"/>
      <c r="H166" s="22"/>
      <c r="I166" s="35"/>
      <c r="J166" s="35"/>
      <c r="K166" s="36" t="str">
        <f aca="false">IF(I166="","",I166+J166)</f>
        <v/>
      </c>
      <c r="L166" s="37" t="str">
        <f aca="false">IF(OR(I166="",I166=0,J166=""),"",J166/I166)</f>
        <v/>
      </c>
      <c r="M166" s="25" t="str">
        <f aca="false">IF(L166="","",IF(L166&gt;0.25,"ACRÉSCIMO ACIMA DE 25% — conferir",""))</f>
        <v/>
      </c>
      <c r="N166" s="29" t="str">
        <f aca="false">IF(D166="","",IF(COUNTIFS(Empresas!$B:$B,D166,Empresas!$E:$E,"&lt;&gt;")=0,"",INDEX(Empresas!$E:$E,MATCH(D166,Empresas!$B:$B,0))))</f>
        <v/>
      </c>
      <c r="O166" s="27" t="str">
        <f aca="false">IF(OR(N166="",H166=""),"",H166-N166)</f>
        <v/>
      </c>
      <c r="P166" s="25" t="str">
        <f aca="false">IF(O166="","",IF(O166&lt;0,"CONTRATO ANTERIOR À ABERTURA — conferir datas",IF(O166&lt;180,"EMPRESA ABERTA MENOS DE 6 MESES ANTES","")))</f>
        <v/>
      </c>
      <c r="Q166" s="31" t="str">
        <f aca="false">IF(D166="","",IFERROR(INDEX(Sancoes!$D:$D,MATCH(D166,Sancoes!$C:$C,0)),"não consta"))</f>
        <v/>
      </c>
      <c r="R166" s="25" t="str">
        <f aca="false">IF(OR(D166="",H166=""),"",IF(SUMPRODUCT((Sancoes!$C$5:$C$304=D166)*(Sancoes!$G$5:$G$304&lt;=H166)*(((Sancoes!$H$5:$H$304="")+(Sancoes!$H$5:$H$304&gt;=H166))&gt;0))&gt;0,"SANÇÃO VIGENTE NA DATA — ler tipo e abrangência",""))</f>
        <v/>
      </c>
      <c r="S166" s="24"/>
      <c r="T166" s="11"/>
    </row>
    <row r="167" customFormat="false" ht="15" hidden="false" customHeight="false" outlineLevel="0" collapsed="false">
      <c r="A167" s="11"/>
      <c r="B167" s="24"/>
      <c r="C167" s="24"/>
      <c r="D167" s="31" t="str">
        <f aca="false">IF(C167="","",IF(LEN(UPPER(SUBSTITUTE(SUBSTITUTE(SUBSTITUTE(SUBSTITUTE(TRIM(C167),".",""),"/",""),"-","")," ","")))&lt;14,RIGHT(REPT("0",14)&amp;UPPER(SUBSTITUTE(SUBSTITUTE(SUBSTITUTE(SUBSTITUTE(TRIM(C167),".",""),"/",""),"-","")," ","")),14),UPPER(SUBSTITUTE(SUBSTITUTE(SUBSTITUTE(SUBSTITUTE(TRIM(C167),".",""),"/",""),"-","")," ",""))))</f>
        <v/>
      </c>
      <c r="E167" s="25" t="str">
        <f aca="false">IF(D167="","",IFERROR(INDEX(Empresas!$C:$C,MATCH(D167,Empresas!$B:$B,0)),"cadastre o CNPJ em Empresas"))</f>
        <v/>
      </c>
      <c r="F167" s="11"/>
      <c r="G167" s="23"/>
      <c r="H167" s="22"/>
      <c r="I167" s="35"/>
      <c r="J167" s="35"/>
      <c r="K167" s="36" t="str">
        <f aca="false">IF(I167="","",I167+J167)</f>
        <v/>
      </c>
      <c r="L167" s="37" t="str">
        <f aca="false">IF(OR(I167="",I167=0,J167=""),"",J167/I167)</f>
        <v/>
      </c>
      <c r="M167" s="25" t="str">
        <f aca="false">IF(L167="","",IF(L167&gt;0.25,"ACRÉSCIMO ACIMA DE 25% — conferir",""))</f>
        <v/>
      </c>
      <c r="N167" s="29" t="str">
        <f aca="false">IF(D167="","",IF(COUNTIFS(Empresas!$B:$B,D167,Empresas!$E:$E,"&lt;&gt;")=0,"",INDEX(Empresas!$E:$E,MATCH(D167,Empresas!$B:$B,0))))</f>
        <v/>
      </c>
      <c r="O167" s="27" t="str">
        <f aca="false">IF(OR(N167="",H167=""),"",H167-N167)</f>
        <v/>
      </c>
      <c r="P167" s="25" t="str">
        <f aca="false">IF(O167="","",IF(O167&lt;0,"CONTRATO ANTERIOR À ABERTURA — conferir datas",IF(O167&lt;180,"EMPRESA ABERTA MENOS DE 6 MESES ANTES","")))</f>
        <v/>
      </c>
      <c r="Q167" s="31" t="str">
        <f aca="false">IF(D167="","",IFERROR(INDEX(Sancoes!$D:$D,MATCH(D167,Sancoes!$C:$C,0)),"não consta"))</f>
        <v/>
      </c>
      <c r="R167" s="25" t="str">
        <f aca="false">IF(OR(D167="",H167=""),"",IF(SUMPRODUCT((Sancoes!$C$5:$C$304=D167)*(Sancoes!$G$5:$G$304&lt;=H167)*(((Sancoes!$H$5:$H$304="")+(Sancoes!$H$5:$H$304&gt;=H167))&gt;0))&gt;0,"SANÇÃO VIGENTE NA DATA — ler tipo e abrangência",""))</f>
        <v/>
      </c>
      <c r="S167" s="24"/>
      <c r="T167" s="11"/>
    </row>
    <row r="168" customFormat="false" ht="15" hidden="false" customHeight="false" outlineLevel="0" collapsed="false">
      <c r="A168" s="11"/>
      <c r="B168" s="24"/>
      <c r="C168" s="24"/>
      <c r="D168" s="31" t="str">
        <f aca="false">IF(C168="","",IF(LEN(UPPER(SUBSTITUTE(SUBSTITUTE(SUBSTITUTE(SUBSTITUTE(TRIM(C168),".",""),"/",""),"-","")," ","")))&lt;14,RIGHT(REPT("0",14)&amp;UPPER(SUBSTITUTE(SUBSTITUTE(SUBSTITUTE(SUBSTITUTE(TRIM(C168),".",""),"/",""),"-","")," ","")),14),UPPER(SUBSTITUTE(SUBSTITUTE(SUBSTITUTE(SUBSTITUTE(TRIM(C168),".",""),"/",""),"-","")," ",""))))</f>
        <v/>
      </c>
      <c r="E168" s="25" t="str">
        <f aca="false">IF(D168="","",IFERROR(INDEX(Empresas!$C:$C,MATCH(D168,Empresas!$B:$B,0)),"cadastre o CNPJ em Empresas"))</f>
        <v/>
      </c>
      <c r="F168" s="11"/>
      <c r="G168" s="23"/>
      <c r="H168" s="22"/>
      <c r="I168" s="35"/>
      <c r="J168" s="35"/>
      <c r="K168" s="36" t="str">
        <f aca="false">IF(I168="","",I168+J168)</f>
        <v/>
      </c>
      <c r="L168" s="37" t="str">
        <f aca="false">IF(OR(I168="",I168=0,J168=""),"",J168/I168)</f>
        <v/>
      </c>
      <c r="M168" s="25" t="str">
        <f aca="false">IF(L168="","",IF(L168&gt;0.25,"ACRÉSCIMO ACIMA DE 25% — conferir",""))</f>
        <v/>
      </c>
      <c r="N168" s="29" t="str">
        <f aca="false">IF(D168="","",IF(COUNTIFS(Empresas!$B:$B,D168,Empresas!$E:$E,"&lt;&gt;")=0,"",INDEX(Empresas!$E:$E,MATCH(D168,Empresas!$B:$B,0))))</f>
        <v/>
      </c>
      <c r="O168" s="27" t="str">
        <f aca="false">IF(OR(N168="",H168=""),"",H168-N168)</f>
        <v/>
      </c>
      <c r="P168" s="25" t="str">
        <f aca="false">IF(O168="","",IF(O168&lt;0,"CONTRATO ANTERIOR À ABERTURA — conferir datas",IF(O168&lt;180,"EMPRESA ABERTA MENOS DE 6 MESES ANTES","")))</f>
        <v/>
      </c>
      <c r="Q168" s="31" t="str">
        <f aca="false">IF(D168="","",IFERROR(INDEX(Sancoes!$D:$D,MATCH(D168,Sancoes!$C:$C,0)),"não consta"))</f>
        <v/>
      </c>
      <c r="R168" s="25" t="str">
        <f aca="false">IF(OR(D168="",H168=""),"",IF(SUMPRODUCT((Sancoes!$C$5:$C$304=D168)*(Sancoes!$G$5:$G$304&lt;=H168)*(((Sancoes!$H$5:$H$304="")+(Sancoes!$H$5:$H$304&gt;=H168))&gt;0))&gt;0,"SANÇÃO VIGENTE NA DATA — ler tipo e abrangência",""))</f>
        <v/>
      </c>
      <c r="S168" s="24"/>
      <c r="T168" s="11"/>
    </row>
    <row r="169" customFormat="false" ht="15" hidden="false" customHeight="false" outlineLevel="0" collapsed="false">
      <c r="A169" s="11"/>
      <c r="B169" s="24"/>
      <c r="C169" s="24"/>
      <c r="D169" s="31" t="str">
        <f aca="false">IF(C169="","",IF(LEN(UPPER(SUBSTITUTE(SUBSTITUTE(SUBSTITUTE(SUBSTITUTE(TRIM(C169),".",""),"/",""),"-","")," ","")))&lt;14,RIGHT(REPT("0",14)&amp;UPPER(SUBSTITUTE(SUBSTITUTE(SUBSTITUTE(SUBSTITUTE(TRIM(C169),".",""),"/",""),"-","")," ","")),14),UPPER(SUBSTITUTE(SUBSTITUTE(SUBSTITUTE(SUBSTITUTE(TRIM(C169),".",""),"/",""),"-","")," ",""))))</f>
        <v/>
      </c>
      <c r="E169" s="25" t="str">
        <f aca="false">IF(D169="","",IFERROR(INDEX(Empresas!$C:$C,MATCH(D169,Empresas!$B:$B,0)),"cadastre o CNPJ em Empresas"))</f>
        <v/>
      </c>
      <c r="F169" s="11"/>
      <c r="G169" s="23"/>
      <c r="H169" s="22"/>
      <c r="I169" s="35"/>
      <c r="J169" s="35"/>
      <c r="K169" s="36" t="str">
        <f aca="false">IF(I169="","",I169+J169)</f>
        <v/>
      </c>
      <c r="L169" s="37" t="str">
        <f aca="false">IF(OR(I169="",I169=0,J169=""),"",J169/I169)</f>
        <v/>
      </c>
      <c r="M169" s="25" t="str">
        <f aca="false">IF(L169="","",IF(L169&gt;0.25,"ACRÉSCIMO ACIMA DE 25% — conferir",""))</f>
        <v/>
      </c>
      <c r="N169" s="29" t="str">
        <f aca="false">IF(D169="","",IF(COUNTIFS(Empresas!$B:$B,D169,Empresas!$E:$E,"&lt;&gt;")=0,"",INDEX(Empresas!$E:$E,MATCH(D169,Empresas!$B:$B,0))))</f>
        <v/>
      </c>
      <c r="O169" s="27" t="str">
        <f aca="false">IF(OR(N169="",H169=""),"",H169-N169)</f>
        <v/>
      </c>
      <c r="P169" s="25" t="str">
        <f aca="false">IF(O169="","",IF(O169&lt;0,"CONTRATO ANTERIOR À ABERTURA — conferir datas",IF(O169&lt;180,"EMPRESA ABERTA MENOS DE 6 MESES ANTES","")))</f>
        <v/>
      </c>
      <c r="Q169" s="31" t="str">
        <f aca="false">IF(D169="","",IFERROR(INDEX(Sancoes!$D:$D,MATCH(D169,Sancoes!$C:$C,0)),"não consta"))</f>
        <v/>
      </c>
      <c r="R169" s="25" t="str">
        <f aca="false">IF(OR(D169="",H169=""),"",IF(SUMPRODUCT((Sancoes!$C$5:$C$304=D169)*(Sancoes!$G$5:$G$304&lt;=H169)*(((Sancoes!$H$5:$H$304="")+(Sancoes!$H$5:$H$304&gt;=H169))&gt;0))&gt;0,"SANÇÃO VIGENTE NA DATA — ler tipo e abrangência",""))</f>
        <v/>
      </c>
      <c r="S169" s="24"/>
      <c r="T169" s="11"/>
    </row>
    <row r="170" customFormat="false" ht="15" hidden="false" customHeight="false" outlineLevel="0" collapsed="false">
      <c r="A170" s="11"/>
      <c r="B170" s="24"/>
      <c r="C170" s="24"/>
      <c r="D170" s="31" t="str">
        <f aca="false">IF(C170="","",IF(LEN(UPPER(SUBSTITUTE(SUBSTITUTE(SUBSTITUTE(SUBSTITUTE(TRIM(C170),".",""),"/",""),"-","")," ","")))&lt;14,RIGHT(REPT("0",14)&amp;UPPER(SUBSTITUTE(SUBSTITUTE(SUBSTITUTE(SUBSTITUTE(TRIM(C170),".",""),"/",""),"-","")," ","")),14),UPPER(SUBSTITUTE(SUBSTITUTE(SUBSTITUTE(SUBSTITUTE(TRIM(C170),".",""),"/",""),"-","")," ",""))))</f>
        <v/>
      </c>
      <c r="E170" s="25" t="str">
        <f aca="false">IF(D170="","",IFERROR(INDEX(Empresas!$C:$C,MATCH(D170,Empresas!$B:$B,0)),"cadastre o CNPJ em Empresas"))</f>
        <v/>
      </c>
      <c r="F170" s="11"/>
      <c r="G170" s="23"/>
      <c r="H170" s="22"/>
      <c r="I170" s="35"/>
      <c r="J170" s="35"/>
      <c r="K170" s="36" t="str">
        <f aca="false">IF(I170="","",I170+J170)</f>
        <v/>
      </c>
      <c r="L170" s="37" t="str">
        <f aca="false">IF(OR(I170="",I170=0,J170=""),"",J170/I170)</f>
        <v/>
      </c>
      <c r="M170" s="25" t="str">
        <f aca="false">IF(L170="","",IF(L170&gt;0.25,"ACRÉSCIMO ACIMA DE 25% — conferir",""))</f>
        <v/>
      </c>
      <c r="N170" s="29" t="str">
        <f aca="false">IF(D170="","",IF(COUNTIFS(Empresas!$B:$B,D170,Empresas!$E:$E,"&lt;&gt;")=0,"",INDEX(Empresas!$E:$E,MATCH(D170,Empresas!$B:$B,0))))</f>
        <v/>
      </c>
      <c r="O170" s="27" t="str">
        <f aca="false">IF(OR(N170="",H170=""),"",H170-N170)</f>
        <v/>
      </c>
      <c r="P170" s="25" t="str">
        <f aca="false">IF(O170="","",IF(O170&lt;0,"CONTRATO ANTERIOR À ABERTURA — conferir datas",IF(O170&lt;180,"EMPRESA ABERTA MENOS DE 6 MESES ANTES","")))</f>
        <v/>
      </c>
      <c r="Q170" s="31" t="str">
        <f aca="false">IF(D170="","",IFERROR(INDEX(Sancoes!$D:$D,MATCH(D170,Sancoes!$C:$C,0)),"não consta"))</f>
        <v/>
      </c>
      <c r="R170" s="25" t="str">
        <f aca="false">IF(OR(D170="",H170=""),"",IF(SUMPRODUCT((Sancoes!$C$5:$C$304=D170)*(Sancoes!$G$5:$G$304&lt;=H170)*(((Sancoes!$H$5:$H$304="")+(Sancoes!$H$5:$H$304&gt;=H170))&gt;0))&gt;0,"SANÇÃO VIGENTE NA DATA — ler tipo e abrangência",""))</f>
        <v/>
      </c>
      <c r="S170" s="24"/>
      <c r="T170" s="11"/>
    </row>
    <row r="171" customFormat="false" ht="15" hidden="false" customHeight="false" outlineLevel="0" collapsed="false">
      <c r="A171" s="11"/>
      <c r="B171" s="24"/>
      <c r="C171" s="24"/>
      <c r="D171" s="31" t="str">
        <f aca="false">IF(C171="","",IF(LEN(UPPER(SUBSTITUTE(SUBSTITUTE(SUBSTITUTE(SUBSTITUTE(TRIM(C171),".",""),"/",""),"-","")," ","")))&lt;14,RIGHT(REPT("0",14)&amp;UPPER(SUBSTITUTE(SUBSTITUTE(SUBSTITUTE(SUBSTITUTE(TRIM(C171),".",""),"/",""),"-","")," ","")),14),UPPER(SUBSTITUTE(SUBSTITUTE(SUBSTITUTE(SUBSTITUTE(TRIM(C171),".",""),"/",""),"-","")," ",""))))</f>
        <v/>
      </c>
      <c r="E171" s="25" t="str">
        <f aca="false">IF(D171="","",IFERROR(INDEX(Empresas!$C:$C,MATCH(D171,Empresas!$B:$B,0)),"cadastre o CNPJ em Empresas"))</f>
        <v/>
      </c>
      <c r="F171" s="11"/>
      <c r="G171" s="23"/>
      <c r="H171" s="22"/>
      <c r="I171" s="35"/>
      <c r="J171" s="35"/>
      <c r="K171" s="36" t="str">
        <f aca="false">IF(I171="","",I171+J171)</f>
        <v/>
      </c>
      <c r="L171" s="37" t="str">
        <f aca="false">IF(OR(I171="",I171=0,J171=""),"",J171/I171)</f>
        <v/>
      </c>
      <c r="M171" s="25" t="str">
        <f aca="false">IF(L171="","",IF(L171&gt;0.25,"ACRÉSCIMO ACIMA DE 25% — conferir",""))</f>
        <v/>
      </c>
      <c r="N171" s="29" t="str">
        <f aca="false">IF(D171="","",IF(COUNTIFS(Empresas!$B:$B,D171,Empresas!$E:$E,"&lt;&gt;")=0,"",INDEX(Empresas!$E:$E,MATCH(D171,Empresas!$B:$B,0))))</f>
        <v/>
      </c>
      <c r="O171" s="27" t="str">
        <f aca="false">IF(OR(N171="",H171=""),"",H171-N171)</f>
        <v/>
      </c>
      <c r="P171" s="25" t="str">
        <f aca="false">IF(O171="","",IF(O171&lt;0,"CONTRATO ANTERIOR À ABERTURA — conferir datas",IF(O171&lt;180,"EMPRESA ABERTA MENOS DE 6 MESES ANTES","")))</f>
        <v/>
      </c>
      <c r="Q171" s="31" t="str">
        <f aca="false">IF(D171="","",IFERROR(INDEX(Sancoes!$D:$D,MATCH(D171,Sancoes!$C:$C,0)),"não consta"))</f>
        <v/>
      </c>
      <c r="R171" s="25" t="str">
        <f aca="false">IF(OR(D171="",H171=""),"",IF(SUMPRODUCT((Sancoes!$C$5:$C$304=D171)*(Sancoes!$G$5:$G$304&lt;=H171)*(((Sancoes!$H$5:$H$304="")+(Sancoes!$H$5:$H$304&gt;=H171))&gt;0))&gt;0,"SANÇÃO VIGENTE NA DATA — ler tipo e abrangência",""))</f>
        <v/>
      </c>
      <c r="S171" s="24"/>
      <c r="T171" s="11"/>
    </row>
    <row r="172" customFormat="false" ht="15" hidden="false" customHeight="false" outlineLevel="0" collapsed="false">
      <c r="A172" s="11"/>
      <c r="B172" s="24"/>
      <c r="C172" s="24"/>
      <c r="D172" s="31" t="str">
        <f aca="false">IF(C172="","",IF(LEN(UPPER(SUBSTITUTE(SUBSTITUTE(SUBSTITUTE(SUBSTITUTE(TRIM(C172),".",""),"/",""),"-","")," ","")))&lt;14,RIGHT(REPT("0",14)&amp;UPPER(SUBSTITUTE(SUBSTITUTE(SUBSTITUTE(SUBSTITUTE(TRIM(C172),".",""),"/",""),"-","")," ","")),14),UPPER(SUBSTITUTE(SUBSTITUTE(SUBSTITUTE(SUBSTITUTE(TRIM(C172),".",""),"/",""),"-","")," ",""))))</f>
        <v/>
      </c>
      <c r="E172" s="25" t="str">
        <f aca="false">IF(D172="","",IFERROR(INDEX(Empresas!$C:$C,MATCH(D172,Empresas!$B:$B,0)),"cadastre o CNPJ em Empresas"))</f>
        <v/>
      </c>
      <c r="F172" s="11"/>
      <c r="G172" s="23"/>
      <c r="H172" s="22"/>
      <c r="I172" s="35"/>
      <c r="J172" s="35"/>
      <c r="K172" s="36" t="str">
        <f aca="false">IF(I172="","",I172+J172)</f>
        <v/>
      </c>
      <c r="L172" s="37" t="str">
        <f aca="false">IF(OR(I172="",I172=0,J172=""),"",J172/I172)</f>
        <v/>
      </c>
      <c r="M172" s="25" t="str">
        <f aca="false">IF(L172="","",IF(L172&gt;0.25,"ACRÉSCIMO ACIMA DE 25% — conferir",""))</f>
        <v/>
      </c>
      <c r="N172" s="29" t="str">
        <f aca="false">IF(D172="","",IF(COUNTIFS(Empresas!$B:$B,D172,Empresas!$E:$E,"&lt;&gt;")=0,"",INDEX(Empresas!$E:$E,MATCH(D172,Empresas!$B:$B,0))))</f>
        <v/>
      </c>
      <c r="O172" s="27" t="str">
        <f aca="false">IF(OR(N172="",H172=""),"",H172-N172)</f>
        <v/>
      </c>
      <c r="P172" s="25" t="str">
        <f aca="false">IF(O172="","",IF(O172&lt;0,"CONTRATO ANTERIOR À ABERTURA — conferir datas",IF(O172&lt;180,"EMPRESA ABERTA MENOS DE 6 MESES ANTES","")))</f>
        <v/>
      </c>
      <c r="Q172" s="31" t="str">
        <f aca="false">IF(D172="","",IFERROR(INDEX(Sancoes!$D:$D,MATCH(D172,Sancoes!$C:$C,0)),"não consta"))</f>
        <v/>
      </c>
      <c r="R172" s="25" t="str">
        <f aca="false">IF(OR(D172="",H172=""),"",IF(SUMPRODUCT((Sancoes!$C$5:$C$304=D172)*(Sancoes!$G$5:$G$304&lt;=H172)*(((Sancoes!$H$5:$H$304="")+(Sancoes!$H$5:$H$304&gt;=H172))&gt;0))&gt;0,"SANÇÃO VIGENTE NA DATA — ler tipo e abrangência",""))</f>
        <v/>
      </c>
      <c r="S172" s="24"/>
      <c r="T172" s="11"/>
    </row>
    <row r="173" customFormat="false" ht="15" hidden="false" customHeight="false" outlineLevel="0" collapsed="false">
      <c r="A173" s="11"/>
      <c r="B173" s="24"/>
      <c r="C173" s="24"/>
      <c r="D173" s="31" t="str">
        <f aca="false">IF(C173="","",IF(LEN(UPPER(SUBSTITUTE(SUBSTITUTE(SUBSTITUTE(SUBSTITUTE(TRIM(C173),".",""),"/",""),"-","")," ","")))&lt;14,RIGHT(REPT("0",14)&amp;UPPER(SUBSTITUTE(SUBSTITUTE(SUBSTITUTE(SUBSTITUTE(TRIM(C173),".",""),"/",""),"-","")," ","")),14),UPPER(SUBSTITUTE(SUBSTITUTE(SUBSTITUTE(SUBSTITUTE(TRIM(C173),".",""),"/",""),"-","")," ",""))))</f>
        <v/>
      </c>
      <c r="E173" s="25" t="str">
        <f aca="false">IF(D173="","",IFERROR(INDEX(Empresas!$C:$C,MATCH(D173,Empresas!$B:$B,0)),"cadastre o CNPJ em Empresas"))</f>
        <v/>
      </c>
      <c r="F173" s="11"/>
      <c r="G173" s="23"/>
      <c r="H173" s="22"/>
      <c r="I173" s="35"/>
      <c r="J173" s="35"/>
      <c r="K173" s="36" t="str">
        <f aca="false">IF(I173="","",I173+J173)</f>
        <v/>
      </c>
      <c r="L173" s="37" t="str">
        <f aca="false">IF(OR(I173="",I173=0,J173=""),"",J173/I173)</f>
        <v/>
      </c>
      <c r="M173" s="25" t="str">
        <f aca="false">IF(L173="","",IF(L173&gt;0.25,"ACRÉSCIMO ACIMA DE 25% — conferir",""))</f>
        <v/>
      </c>
      <c r="N173" s="29" t="str">
        <f aca="false">IF(D173="","",IF(COUNTIFS(Empresas!$B:$B,D173,Empresas!$E:$E,"&lt;&gt;")=0,"",INDEX(Empresas!$E:$E,MATCH(D173,Empresas!$B:$B,0))))</f>
        <v/>
      </c>
      <c r="O173" s="27" t="str">
        <f aca="false">IF(OR(N173="",H173=""),"",H173-N173)</f>
        <v/>
      </c>
      <c r="P173" s="25" t="str">
        <f aca="false">IF(O173="","",IF(O173&lt;0,"CONTRATO ANTERIOR À ABERTURA — conferir datas",IF(O173&lt;180,"EMPRESA ABERTA MENOS DE 6 MESES ANTES","")))</f>
        <v/>
      </c>
      <c r="Q173" s="31" t="str">
        <f aca="false">IF(D173="","",IFERROR(INDEX(Sancoes!$D:$D,MATCH(D173,Sancoes!$C:$C,0)),"não consta"))</f>
        <v/>
      </c>
      <c r="R173" s="25" t="str">
        <f aca="false">IF(OR(D173="",H173=""),"",IF(SUMPRODUCT((Sancoes!$C$5:$C$304=D173)*(Sancoes!$G$5:$G$304&lt;=H173)*(((Sancoes!$H$5:$H$304="")+(Sancoes!$H$5:$H$304&gt;=H173))&gt;0))&gt;0,"SANÇÃO VIGENTE NA DATA — ler tipo e abrangência",""))</f>
        <v/>
      </c>
      <c r="S173" s="24"/>
      <c r="T173" s="11"/>
    </row>
    <row r="174" customFormat="false" ht="15" hidden="false" customHeight="false" outlineLevel="0" collapsed="false">
      <c r="A174" s="11"/>
      <c r="B174" s="24"/>
      <c r="C174" s="24"/>
      <c r="D174" s="31" t="str">
        <f aca="false">IF(C174="","",IF(LEN(UPPER(SUBSTITUTE(SUBSTITUTE(SUBSTITUTE(SUBSTITUTE(TRIM(C174),".",""),"/",""),"-","")," ","")))&lt;14,RIGHT(REPT("0",14)&amp;UPPER(SUBSTITUTE(SUBSTITUTE(SUBSTITUTE(SUBSTITUTE(TRIM(C174),".",""),"/",""),"-","")," ","")),14),UPPER(SUBSTITUTE(SUBSTITUTE(SUBSTITUTE(SUBSTITUTE(TRIM(C174),".",""),"/",""),"-","")," ",""))))</f>
        <v/>
      </c>
      <c r="E174" s="25" t="str">
        <f aca="false">IF(D174="","",IFERROR(INDEX(Empresas!$C:$C,MATCH(D174,Empresas!$B:$B,0)),"cadastre o CNPJ em Empresas"))</f>
        <v/>
      </c>
      <c r="F174" s="11"/>
      <c r="G174" s="23"/>
      <c r="H174" s="22"/>
      <c r="I174" s="35"/>
      <c r="J174" s="35"/>
      <c r="K174" s="36" t="str">
        <f aca="false">IF(I174="","",I174+J174)</f>
        <v/>
      </c>
      <c r="L174" s="37" t="str">
        <f aca="false">IF(OR(I174="",I174=0,J174=""),"",J174/I174)</f>
        <v/>
      </c>
      <c r="M174" s="25" t="str">
        <f aca="false">IF(L174="","",IF(L174&gt;0.25,"ACRÉSCIMO ACIMA DE 25% — conferir",""))</f>
        <v/>
      </c>
      <c r="N174" s="29" t="str">
        <f aca="false">IF(D174="","",IF(COUNTIFS(Empresas!$B:$B,D174,Empresas!$E:$E,"&lt;&gt;")=0,"",INDEX(Empresas!$E:$E,MATCH(D174,Empresas!$B:$B,0))))</f>
        <v/>
      </c>
      <c r="O174" s="27" t="str">
        <f aca="false">IF(OR(N174="",H174=""),"",H174-N174)</f>
        <v/>
      </c>
      <c r="P174" s="25" t="str">
        <f aca="false">IF(O174="","",IF(O174&lt;0,"CONTRATO ANTERIOR À ABERTURA — conferir datas",IF(O174&lt;180,"EMPRESA ABERTA MENOS DE 6 MESES ANTES","")))</f>
        <v/>
      </c>
      <c r="Q174" s="31" t="str">
        <f aca="false">IF(D174="","",IFERROR(INDEX(Sancoes!$D:$D,MATCH(D174,Sancoes!$C:$C,0)),"não consta"))</f>
        <v/>
      </c>
      <c r="R174" s="25" t="str">
        <f aca="false">IF(OR(D174="",H174=""),"",IF(SUMPRODUCT((Sancoes!$C$5:$C$304=D174)*(Sancoes!$G$5:$G$304&lt;=H174)*(((Sancoes!$H$5:$H$304="")+(Sancoes!$H$5:$H$304&gt;=H174))&gt;0))&gt;0,"SANÇÃO VIGENTE NA DATA — ler tipo e abrangência",""))</f>
        <v/>
      </c>
      <c r="S174" s="24"/>
      <c r="T174" s="11"/>
    </row>
    <row r="175" customFormat="false" ht="15" hidden="false" customHeight="false" outlineLevel="0" collapsed="false">
      <c r="A175" s="11"/>
      <c r="B175" s="24"/>
      <c r="C175" s="24"/>
      <c r="D175" s="31" t="str">
        <f aca="false">IF(C175="","",IF(LEN(UPPER(SUBSTITUTE(SUBSTITUTE(SUBSTITUTE(SUBSTITUTE(TRIM(C175),".",""),"/",""),"-","")," ","")))&lt;14,RIGHT(REPT("0",14)&amp;UPPER(SUBSTITUTE(SUBSTITUTE(SUBSTITUTE(SUBSTITUTE(TRIM(C175),".",""),"/",""),"-","")," ","")),14),UPPER(SUBSTITUTE(SUBSTITUTE(SUBSTITUTE(SUBSTITUTE(TRIM(C175),".",""),"/",""),"-","")," ",""))))</f>
        <v/>
      </c>
      <c r="E175" s="25" t="str">
        <f aca="false">IF(D175="","",IFERROR(INDEX(Empresas!$C:$C,MATCH(D175,Empresas!$B:$B,0)),"cadastre o CNPJ em Empresas"))</f>
        <v/>
      </c>
      <c r="F175" s="11"/>
      <c r="G175" s="23"/>
      <c r="H175" s="22"/>
      <c r="I175" s="35"/>
      <c r="J175" s="35"/>
      <c r="K175" s="36" t="str">
        <f aca="false">IF(I175="","",I175+J175)</f>
        <v/>
      </c>
      <c r="L175" s="37" t="str">
        <f aca="false">IF(OR(I175="",I175=0,J175=""),"",J175/I175)</f>
        <v/>
      </c>
      <c r="M175" s="25" t="str">
        <f aca="false">IF(L175="","",IF(L175&gt;0.25,"ACRÉSCIMO ACIMA DE 25% — conferir",""))</f>
        <v/>
      </c>
      <c r="N175" s="29" t="str">
        <f aca="false">IF(D175="","",IF(COUNTIFS(Empresas!$B:$B,D175,Empresas!$E:$E,"&lt;&gt;")=0,"",INDEX(Empresas!$E:$E,MATCH(D175,Empresas!$B:$B,0))))</f>
        <v/>
      </c>
      <c r="O175" s="27" t="str">
        <f aca="false">IF(OR(N175="",H175=""),"",H175-N175)</f>
        <v/>
      </c>
      <c r="P175" s="25" t="str">
        <f aca="false">IF(O175="","",IF(O175&lt;0,"CONTRATO ANTERIOR À ABERTURA — conferir datas",IF(O175&lt;180,"EMPRESA ABERTA MENOS DE 6 MESES ANTES","")))</f>
        <v/>
      </c>
      <c r="Q175" s="31" t="str">
        <f aca="false">IF(D175="","",IFERROR(INDEX(Sancoes!$D:$D,MATCH(D175,Sancoes!$C:$C,0)),"não consta"))</f>
        <v/>
      </c>
      <c r="R175" s="25" t="str">
        <f aca="false">IF(OR(D175="",H175=""),"",IF(SUMPRODUCT((Sancoes!$C$5:$C$304=D175)*(Sancoes!$G$5:$G$304&lt;=H175)*(((Sancoes!$H$5:$H$304="")+(Sancoes!$H$5:$H$304&gt;=H175))&gt;0))&gt;0,"SANÇÃO VIGENTE NA DATA — ler tipo e abrangência",""))</f>
        <v/>
      </c>
      <c r="S175" s="24"/>
      <c r="T175" s="11"/>
    </row>
    <row r="176" customFormat="false" ht="15" hidden="false" customHeight="false" outlineLevel="0" collapsed="false">
      <c r="A176" s="11"/>
      <c r="B176" s="24"/>
      <c r="C176" s="24"/>
      <c r="D176" s="31" t="str">
        <f aca="false">IF(C176="","",IF(LEN(UPPER(SUBSTITUTE(SUBSTITUTE(SUBSTITUTE(SUBSTITUTE(TRIM(C176),".",""),"/",""),"-","")," ","")))&lt;14,RIGHT(REPT("0",14)&amp;UPPER(SUBSTITUTE(SUBSTITUTE(SUBSTITUTE(SUBSTITUTE(TRIM(C176),".",""),"/",""),"-","")," ","")),14),UPPER(SUBSTITUTE(SUBSTITUTE(SUBSTITUTE(SUBSTITUTE(TRIM(C176),".",""),"/",""),"-","")," ",""))))</f>
        <v/>
      </c>
      <c r="E176" s="25" t="str">
        <f aca="false">IF(D176="","",IFERROR(INDEX(Empresas!$C:$C,MATCH(D176,Empresas!$B:$B,0)),"cadastre o CNPJ em Empresas"))</f>
        <v/>
      </c>
      <c r="F176" s="11"/>
      <c r="G176" s="23"/>
      <c r="H176" s="22"/>
      <c r="I176" s="35"/>
      <c r="J176" s="35"/>
      <c r="K176" s="36" t="str">
        <f aca="false">IF(I176="","",I176+J176)</f>
        <v/>
      </c>
      <c r="L176" s="37" t="str">
        <f aca="false">IF(OR(I176="",I176=0,J176=""),"",J176/I176)</f>
        <v/>
      </c>
      <c r="M176" s="25" t="str">
        <f aca="false">IF(L176="","",IF(L176&gt;0.25,"ACRÉSCIMO ACIMA DE 25% — conferir",""))</f>
        <v/>
      </c>
      <c r="N176" s="29" t="str">
        <f aca="false">IF(D176="","",IF(COUNTIFS(Empresas!$B:$B,D176,Empresas!$E:$E,"&lt;&gt;")=0,"",INDEX(Empresas!$E:$E,MATCH(D176,Empresas!$B:$B,0))))</f>
        <v/>
      </c>
      <c r="O176" s="27" t="str">
        <f aca="false">IF(OR(N176="",H176=""),"",H176-N176)</f>
        <v/>
      </c>
      <c r="P176" s="25" t="str">
        <f aca="false">IF(O176="","",IF(O176&lt;0,"CONTRATO ANTERIOR À ABERTURA — conferir datas",IF(O176&lt;180,"EMPRESA ABERTA MENOS DE 6 MESES ANTES","")))</f>
        <v/>
      </c>
      <c r="Q176" s="31" t="str">
        <f aca="false">IF(D176="","",IFERROR(INDEX(Sancoes!$D:$D,MATCH(D176,Sancoes!$C:$C,0)),"não consta"))</f>
        <v/>
      </c>
      <c r="R176" s="25" t="str">
        <f aca="false">IF(OR(D176="",H176=""),"",IF(SUMPRODUCT((Sancoes!$C$5:$C$304=D176)*(Sancoes!$G$5:$G$304&lt;=H176)*(((Sancoes!$H$5:$H$304="")+(Sancoes!$H$5:$H$304&gt;=H176))&gt;0))&gt;0,"SANÇÃO VIGENTE NA DATA — ler tipo e abrangência",""))</f>
        <v/>
      </c>
      <c r="S176" s="24"/>
      <c r="T176" s="11"/>
    </row>
    <row r="177" customFormat="false" ht="15" hidden="false" customHeight="false" outlineLevel="0" collapsed="false">
      <c r="A177" s="11"/>
      <c r="B177" s="24"/>
      <c r="C177" s="24"/>
      <c r="D177" s="31" t="str">
        <f aca="false">IF(C177="","",IF(LEN(UPPER(SUBSTITUTE(SUBSTITUTE(SUBSTITUTE(SUBSTITUTE(TRIM(C177),".",""),"/",""),"-","")," ","")))&lt;14,RIGHT(REPT("0",14)&amp;UPPER(SUBSTITUTE(SUBSTITUTE(SUBSTITUTE(SUBSTITUTE(TRIM(C177),".",""),"/",""),"-","")," ","")),14),UPPER(SUBSTITUTE(SUBSTITUTE(SUBSTITUTE(SUBSTITUTE(TRIM(C177),".",""),"/",""),"-","")," ",""))))</f>
        <v/>
      </c>
      <c r="E177" s="25" t="str">
        <f aca="false">IF(D177="","",IFERROR(INDEX(Empresas!$C:$C,MATCH(D177,Empresas!$B:$B,0)),"cadastre o CNPJ em Empresas"))</f>
        <v/>
      </c>
      <c r="F177" s="11"/>
      <c r="G177" s="23"/>
      <c r="H177" s="22"/>
      <c r="I177" s="35"/>
      <c r="J177" s="35"/>
      <c r="K177" s="36" t="str">
        <f aca="false">IF(I177="","",I177+J177)</f>
        <v/>
      </c>
      <c r="L177" s="37" t="str">
        <f aca="false">IF(OR(I177="",I177=0,J177=""),"",J177/I177)</f>
        <v/>
      </c>
      <c r="M177" s="25" t="str">
        <f aca="false">IF(L177="","",IF(L177&gt;0.25,"ACRÉSCIMO ACIMA DE 25% — conferir",""))</f>
        <v/>
      </c>
      <c r="N177" s="29" t="str">
        <f aca="false">IF(D177="","",IF(COUNTIFS(Empresas!$B:$B,D177,Empresas!$E:$E,"&lt;&gt;")=0,"",INDEX(Empresas!$E:$E,MATCH(D177,Empresas!$B:$B,0))))</f>
        <v/>
      </c>
      <c r="O177" s="27" t="str">
        <f aca="false">IF(OR(N177="",H177=""),"",H177-N177)</f>
        <v/>
      </c>
      <c r="P177" s="25" t="str">
        <f aca="false">IF(O177="","",IF(O177&lt;0,"CONTRATO ANTERIOR À ABERTURA — conferir datas",IF(O177&lt;180,"EMPRESA ABERTA MENOS DE 6 MESES ANTES","")))</f>
        <v/>
      </c>
      <c r="Q177" s="31" t="str">
        <f aca="false">IF(D177="","",IFERROR(INDEX(Sancoes!$D:$D,MATCH(D177,Sancoes!$C:$C,0)),"não consta"))</f>
        <v/>
      </c>
      <c r="R177" s="25" t="str">
        <f aca="false">IF(OR(D177="",H177=""),"",IF(SUMPRODUCT((Sancoes!$C$5:$C$304=D177)*(Sancoes!$G$5:$G$304&lt;=H177)*(((Sancoes!$H$5:$H$304="")+(Sancoes!$H$5:$H$304&gt;=H177))&gt;0))&gt;0,"SANÇÃO VIGENTE NA DATA — ler tipo e abrangência",""))</f>
        <v/>
      </c>
      <c r="S177" s="24"/>
      <c r="T177" s="11"/>
    </row>
    <row r="178" customFormat="false" ht="15" hidden="false" customHeight="false" outlineLevel="0" collapsed="false">
      <c r="A178" s="11"/>
      <c r="B178" s="24"/>
      <c r="C178" s="24"/>
      <c r="D178" s="31" t="str">
        <f aca="false">IF(C178="","",IF(LEN(UPPER(SUBSTITUTE(SUBSTITUTE(SUBSTITUTE(SUBSTITUTE(TRIM(C178),".",""),"/",""),"-","")," ","")))&lt;14,RIGHT(REPT("0",14)&amp;UPPER(SUBSTITUTE(SUBSTITUTE(SUBSTITUTE(SUBSTITUTE(TRIM(C178),".",""),"/",""),"-","")," ","")),14),UPPER(SUBSTITUTE(SUBSTITUTE(SUBSTITUTE(SUBSTITUTE(TRIM(C178),".",""),"/",""),"-","")," ",""))))</f>
        <v/>
      </c>
      <c r="E178" s="25" t="str">
        <f aca="false">IF(D178="","",IFERROR(INDEX(Empresas!$C:$C,MATCH(D178,Empresas!$B:$B,0)),"cadastre o CNPJ em Empresas"))</f>
        <v/>
      </c>
      <c r="F178" s="11"/>
      <c r="G178" s="23"/>
      <c r="H178" s="22"/>
      <c r="I178" s="35"/>
      <c r="J178" s="35"/>
      <c r="K178" s="36" t="str">
        <f aca="false">IF(I178="","",I178+J178)</f>
        <v/>
      </c>
      <c r="L178" s="37" t="str">
        <f aca="false">IF(OR(I178="",I178=0,J178=""),"",J178/I178)</f>
        <v/>
      </c>
      <c r="M178" s="25" t="str">
        <f aca="false">IF(L178="","",IF(L178&gt;0.25,"ACRÉSCIMO ACIMA DE 25% — conferir",""))</f>
        <v/>
      </c>
      <c r="N178" s="29" t="str">
        <f aca="false">IF(D178="","",IF(COUNTIFS(Empresas!$B:$B,D178,Empresas!$E:$E,"&lt;&gt;")=0,"",INDEX(Empresas!$E:$E,MATCH(D178,Empresas!$B:$B,0))))</f>
        <v/>
      </c>
      <c r="O178" s="27" t="str">
        <f aca="false">IF(OR(N178="",H178=""),"",H178-N178)</f>
        <v/>
      </c>
      <c r="P178" s="25" t="str">
        <f aca="false">IF(O178="","",IF(O178&lt;0,"CONTRATO ANTERIOR À ABERTURA — conferir datas",IF(O178&lt;180,"EMPRESA ABERTA MENOS DE 6 MESES ANTES","")))</f>
        <v/>
      </c>
      <c r="Q178" s="31" t="str">
        <f aca="false">IF(D178="","",IFERROR(INDEX(Sancoes!$D:$D,MATCH(D178,Sancoes!$C:$C,0)),"não consta"))</f>
        <v/>
      </c>
      <c r="R178" s="25" t="str">
        <f aca="false">IF(OR(D178="",H178=""),"",IF(SUMPRODUCT((Sancoes!$C$5:$C$304=D178)*(Sancoes!$G$5:$G$304&lt;=H178)*(((Sancoes!$H$5:$H$304="")+(Sancoes!$H$5:$H$304&gt;=H178))&gt;0))&gt;0,"SANÇÃO VIGENTE NA DATA — ler tipo e abrangência",""))</f>
        <v/>
      </c>
      <c r="S178" s="24"/>
      <c r="T178" s="11"/>
    </row>
    <row r="179" customFormat="false" ht="15" hidden="false" customHeight="false" outlineLevel="0" collapsed="false">
      <c r="A179" s="11"/>
      <c r="B179" s="24"/>
      <c r="C179" s="24"/>
      <c r="D179" s="31" t="str">
        <f aca="false">IF(C179="","",IF(LEN(UPPER(SUBSTITUTE(SUBSTITUTE(SUBSTITUTE(SUBSTITUTE(TRIM(C179),".",""),"/",""),"-","")," ","")))&lt;14,RIGHT(REPT("0",14)&amp;UPPER(SUBSTITUTE(SUBSTITUTE(SUBSTITUTE(SUBSTITUTE(TRIM(C179),".",""),"/",""),"-","")," ","")),14),UPPER(SUBSTITUTE(SUBSTITUTE(SUBSTITUTE(SUBSTITUTE(TRIM(C179),".",""),"/",""),"-","")," ",""))))</f>
        <v/>
      </c>
      <c r="E179" s="25" t="str">
        <f aca="false">IF(D179="","",IFERROR(INDEX(Empresas!$C:$C,MATCH(D179,Empresas!$B:$B,0)),"cadastre o CNPJ em Empresas"))</f>
        <v/>
      </c>
      <c r="F179" s="11"/>
      <c r="G179" s="23"/>
      <c r="H179" s="22"/>
      <c r="I179" s="35"/>
      <c r="J179" s="35"/>
      <c r="K179" s="36" t="str">
        <f aca="false">IF(I179="","",I179+J179)</f>
        <v/>
      </c>
      <c r="L179" s="37" t="str">
        <f aca="false">IF(OR(I179="",I179=0,J179=""),"",J179/I179)</f>
        <v/>
      </c>
      <c r="M179" s="25" t="str">
        <f aca="false">IF(L179="","",IF(L179&gt;0.25,"ACRÉSCIMO ACIMA DE 25% — conferir",""))</f>
        <v/>
      </c>
      <c r="N179" s="29" t="str">
        <f aca="false">IF(D179="","",IF(COUNTIFS(Empresas!$B:$B,D179,Empresas!$E:$E,"&lt;&gt;")=0,"",INDEX(Empresas!$E:$E,MATCH(D179,Empresas!$B:$B,0))))</f>
        <v/>
      </c>
      <c r="O179" s="27" t="str">
        <f aca="false">IF(OR(N179="",H179=""),"",H179-N179)</f>
        <v/>
      </c>
      <c r="P179" s="25" t="str">
        <f aca="false">IF(O179="","",IF(O179&lt;0,"CONTRATO ANTERIOR À ABERTURA — conferir datas",IF(O179&lt;180,"EMPRESA ABERTA MENOS DE 6 MESES ANTES","")))</f>
        <v/>
      </c>
      <c r="Q179" s="31" t="str">
        <f aca="false">IF(D179="","",IFERROR(INDEX(Sancoes!$D:$D,MATCH(D179,Sancoes!$C:$C,0)),"não consta"))</f>
        <v/>
      </c>
      <c r="R179" s="25" t="str">
        <f aca="false">IF(OR(D179="",H179=""),"",IF(SUMPRODUCT((Sancoes!$C$5:$C$304=D179)*(Sancoes!$G$5:$G$304&lt;=H179)*(((Sancoes!$H$5:$H$304="")+(Sancoes!$H$5:$H$304&gt;=H179))&gt;0))&gt;0,"SANÇÃO VIGENTE NA DATA — ler tipo e abrangência",""))</f>
        <v/>
      </c>
      <c r="S179" s="24"/>
      <c r="T179" s="11"/>
    </row>
    <row r="180" customFormat="false" ht="15" hidden="false" customHeight="false" outlineLevel="0" collapsed="false">
      <c r="A180" s="11"/>
      <c r="B180" s="24"/>
      <c r="C180" s="24"/>
      <c r="D180" s="31" t="str">
        <f aca="false">IF(C180="","",IF(LEN(UPPER(SUBSTITUTE(SUBSTITUTE(SUBSTITUTE(SUBSTITUTE(TRIM(C180),".",""),"/",""),"-","")," ","")))&lt;14,RIGHT(REPT("0",14)&amp;UPPER(SUBSTITUTE(SUBSTITUTE(SUBSTITUTE(SUBSTITUTE(TRIM(C180),".",""),"/",""),"-","")," ","")),14),UPPER(SUBSTITUTE(SUBSTITUTE(SUBSTITUTE(SUBSTITUTE(TRIM(C180),".",""),"/",""),"-","")," ",""))))</f>
        <v/>
      </c>
      <c r="E180" s="25" t="str">
        <f aca="false">IF(D180="","",IFERROR(INDEX(Empresas!$C:$C,MATCH(D180,Empresas!$B:$B,0)),"cadastre o CNPJ em Empresas"))</f>
        <v/>
      </c>
      <c r="F180" s="11"/>
      <c r="G180" s="23"/>
      <c r="H180" s="22"/>
      <c r="I180" s="35"/>
      <c r="J180" s="35"/>
      <c r="K180" s="36" t="str">
        <f aca="false">IF(I180="","",I180+J180)</f>
        <v/>
      </c>
      <c r="L180" s="37" t="str">
        <f aca="false">IF(OR(I180="",I180=0,J180=""),"",J180/I180)</f>
        <v/>
      </c>
      <c r="M180" s="25" t="str">
        <f aca="false">IF(L180="","",IF(L180&gt;0.25,"ACRÉSCIMO ACIMA DE 25% — conferir",""))</f>
        <v/>
      </c>
      <c r="N180" s="29" t="str">
        <f aca="false">IF(D180="","",IF(COUNTIFS(Empresas!$B:$B,D180,Empresas!$E:$E,"&lt;&gt;")=0,"",INDEX(Empresas!$E:$E,MATCH(D180,Empresas!$B:$B,0))))</f>
        <v/>
      </c>
      <c r="O180" s="27" t="str">
        <f aca="false">IF(OR(N180="",H180=""),"",H180-N180)</f>
        <v/>
      </c>
      <c r="P180" s="25" t="str">
        <f aca="false">IF(O180="","",IF(O180&lt;0,"CONTRATO ANTERIOR À ABERTURA — conferir datas",IF(O180&lt;180,"EMPRESA ABERTA MENOS DE 6 MESES ANTES","")))</f>
        <v/>
      </c>
      <c r="Q180" s="31" t="str">
        <f aca="false">IF(D180="","",IFERROR(INDEX(Sancoes!$D:$D,MATCH(D180,Sancoes!$C:$C,0)),"não consta"))</f>
        <v/>
      </c>
      <c r="R180" s="25" t="str">
        <f aca="false">IF(OR(D180="",H180=""),"",IF(SUMPRODUCT((Sancoes!$C$5:$C$304=D180)*(Sancoes!$G$5:$G$304&lt;=H180)*(((Sancoes!$H$5:$H$304="")+(Sancoes!$H$5:$H$304&gt;=H180))&gt;0))&gt;0,"SANÇÃO VIGENTE NA DATA — ler tipo e abrangência",""))</f>
        <v/>
      </c>
      <c r="S180" s="24"/>
      <c r="T180" s="11"/>
    </row>
    <row r="181" customFormat="false" ht="15" hidden="false" customHeight="false" outlineLevel="0" collapsed="false">
      <c r="A181" s="11"/>
      <c r="B181" s="24"/>
      <c r="C181" s="24"/>
      <c r="D181" s="31" t="str">
        <f aca="false">IF(C181="","",IF(LEN(UPPER(SUBSTITUTE(SUBSTITUTE(SUBSTITUTE(SUBSTITUTE(TRIM(C181),".",""),"/",""),"-","")," ","")))&lt;14,RIGHT(REPT("0",14)&amp;UPPER(SUBSTITUTE(SUBSTITUTE(SUBSTITUTE(SUBSTITUTE(TRIM(C181),".",""),"/",""),"-","")," ","")),14),UPPER(SUBSTITUTE(SUBSTITUTE(SUBSTITUTE(SUBSTITUTE(TRIM(C181),".",""),"/",""),"-","")," ",""))))</f>
        <v/>
      </c>
      <c r="E181" s="25" t="str">
        <f aca="false">IF(D181="","",IFERROR(INDEX(Empresas!$C:$C,MATCH(D181,Empresas!$B:$B,0)),"cadastre o CNPJ em Empresas"))</f>
        <v/>
      </c>
      <c r="F181" s="11"/>
      <c r="G181" s="23"/>
      <c r="H181" s="22"/>
      <c r="I181" s="35"/>
      <c r="J181" s="35"/>
      <c r="K181" s="36" t="str">
        <f aca="false">IF(I181="","",I181+J181)</f>
        <v/>
      </c>
      <c r="L181" s="37" t="str">
        <f aca="false">IF(OR(I181="",I181=0,J181=""),"",J181/I181)</f>
        <v/>
      </c>
      <c r="M181" s="25" t="str">
        <f aca="false">IF(L181="","",IF(L181&gt;0.25,"ACRÉSCIMO ACIMA DE 25% — conferir",""))</f>
        <v/>
      </c>
      <c r="N181" s="29" t="str">
        <f aca="false">IF(D181="","",IF(COUNTIFS(Empresas!$B:$B,D181,Empresas!$E:$E,"&lt;&gt;")=0,"",INDEX(Empresas!$E:$E,MATCH(D181,Empresas!$B:$B,0))))</f>
        <v/>
      </c>
      <c r="O181" s="27" t="str">
        <f aca="false">IF(OR(N181="",H181=""),"",H181-N181)</f>
        <v/>
      </c>
      <c r="P181" s="25" t="str">
        <f aca="false">IF(O181="","",IF(O181&lt;0,"CONTRATO ANTERIOR À ABERTURA — conferir datas",IF(O181&lt;180,"EMPRESA ABERTA MENOS DE 6 MESES ANTES","")))</f>
        <v/>
      </c>
      <c r="Q181" s="31" t="str">
        <f aca="false">IF(D181="","",IFERROR(INDEX(Sancoes!$D:$D,MATCH(D181,Sancoes!$C:$C,0)),"não consta"))</f>
        <v/>
      </c>
      <c r="R181" s="25" t="str">
        <f aca="false">IF(OR(D181="",H181=""),"",IF(SUMPRODUCT((Sancoes!$C$5:$C$304=D181)*(Sancoes!$G$5:$G$304&lt;=H181)*(((Sancoes!$H$5:$H$304="")+(Sancoes!$H$5:$H$304&gt;=H181))&gt;0))&gt;0,"SANÇÃO VIGENTE NA DATA — ler tipo e abrangência",""))</f>
        <v/>
      </c>
      <c r="S181" s="24"/>
      <c r="T181" s="11"/>
    </row>
    <row r="182" customFormat="false" ht="15" hidden="false" customHeight="false" outlineLevel="0" collapsed="false">
      <c r="A182" s="11"/>
      <c r="B182" s="24"/>
      <c r="C182" s="24"/>
      <c r="D182" s="31" t="str">
        <f aca="false">IF(C182="","",IF(LEN(UPPER(SUBSTITUTE(SUBSTITUTE(SUBSTITUTE(SUBSTITUTE(TRIM(C182),".",""),"/",""),"-","")," ","")))&lt;14,RIGHT(REPT("0",14)&amp;UPPER(SUBSTITUTE(SUBSTITUTE(SUBSTITUTE(SUBSTITUTE(TRIM(C182),".",""),"/",""),"-","")," ","")),14),UPPER(SUBSTITUTE(SUBSTITUTE(SUBSTITUTE(SUBSTITUTE(TRIM(C182),".",""),"/",""),"-","")," ",""))))</f>
        <v/>
      </c>
      <c r="E182" s="25" t="str">
        <f aca="false">IF(D182="","",IFERROR(INDEX(Empresas!$C:$C,MATCH(D182,Empresas!$B:$B,0)),"cadastre o CNPJ em Empresas"))</f>
        <v/>
      </c>
      <c r="F182" s="11"/>
      <c r="G182" s="23"/>
      <c r="H182" s="22"/>
      <c r="I182" s="35"/>
      <c r="J182" s="35"/>
      <c r="K182" s="36" t="str">
        <f aca="false">IF(I182="","",I182+J182)</f>
        <v/>
      </c>
      <c r="L182" s="37" t="str">
        <f aca="false">IF(OR(I182="",I182=0,J182=""),"",J182/I182)</f>
        <v/>
      </c>
      <c r="M182" s="25" t="str">
        <f aca="false">IF(L182="","",IF(L182&gt;0.25,"ACRÉSCIMO ACIMA DE 25% — conferir",""))</f>
        <v/>
      </c>
      <c r="N182" s="29" t="str">
        <f aca="false">IF(D182="","",IF(COUNTIFS(Empresas!$B:$B,D182,Empresas!$E:$E,"&lt;&gt;")=0,"",INDEX(Empresas!$E:$E,MATCH(D182,Empresas!$B:$B,0))))</f>
        <v/>
      </c>
      <c r="O182" s="27" t="str">
        <f aca="false">IF(OR(N182="",H182=""),"",H182-N182)</f>
        <v/>
      </c>
      <c r="P182" s="25" t="str">
        <f aca="false">IF(O182="","",IF(O182&lt;0,"CONTRATO ANTERIOR À ABERTURA — conferir datas",IF(O182&lt;180,"EMPRESA ABERTA MENOS DE 6 MESES ANTES","")))</f>
        <v/>
      </c>
      <c r="Q182" s="31" t="str">
        <f aca="false">IF(D182="","",IFERROR(INDEX(Sancoes!$D:$D,MATCH(D182,Sancoes!$C:$C,0)),"não consta"))</f>
        <v/>
      </c>
      <c r="R182" s="25" t="str">
        <f aca="false">IF(OR(D182="",H182=""),"",IF(SUMPRODUCT((Sancoes!$C$5:$C$304=D182)*(Sancoes!$G$5:$G$304&lt;=H182)*(((Sancoes!$H$5:$H$304="")+(Sancoes!$H$5:$H$304&gt;=H182))&gt;0))&gt;0,"SANÇÃO VIGENTE NA DATA — ler tipo e abrangência",""))</f>
        <v/>
      </c>
      <c r="S182" s="24"/>
      <c r="T182" s="11"/>
    </row>
    <row r="183" customFormat="false" ht="15" hidden="false" customHeight="false" outlineLevel="0" collapsed="false">
      <c r="A183" s="11"/>
      <c r="B183" s="24"/>
      <c r="C183" s="24"/>
      <c r="D183" s="31" t="str">
        <f aca="false">IF(C183="","",IF(LEN(UPPER(SUBSTITUTE(SUBSTITUTE(SUBSTITUTE(SUBSTITUTE(TRIM(C183),".",""),"/",""),"-","")," ","")))&lt;14,RIGHT(REPT("0",14)&amp;UPPER(SUBSTITUTE(SUBSTITUTE(SUBSTITUTE(SUBSTITUTE(TRIM(C183),".",""),"/",""),"-","")," ","")),14),UPPER(SUBSTITUTE(SUBSTITUTE(SUBSTITUTE(SUBSTITUTE(TRIM(C183),".",""),"/",""),"-","")," ",""))))</f>
        <v/>
      </c>
      <c r="E183" s="25" t="str">
        <f aca="false">IF(D183="","",IFERROR(INDEX(Empresas!$C:$C,MATCH(D183,Empresas!$B:$B,0)),"cadastre o CNPJ em Empresas"))</f>
        <v/>
      </c>
      <c r="F183" s="11"/>
      <c r="G183" s="23"/>
      <c r="H183" s="22"/>
      <c r="I183" s="35"/>
      <c r="J183" s="35"/>
      <c r="K183" s="36" t="str">
        <f aca="false">IF(I183="","",I183+J183)</f>
        <v/>
      </c>
      <c r="L183" s="37" t="str">
        <f aca="false">IF(OR(I183="",I183=0,J183=""),"",J183/I183)</f>
        <v/>
      </c>
      <c r="M183" s="25" t="str">
        <f aca="false">IF(L183="","",IF(L183&gt;0.25,"ACRÉSCIMO ACIMA DE 25% — conferir",""))</f>
        <v/>
      </c>
      <c r="N183" s="29" t="str">
        <f aca="false">IF(D183="","",IF(COUNTIFS(Empresas!$B:$B,D183,Empresas!$E:$E,"&lt;&gt;")=0,"",INDEX(Empresas!$E:$E,MATCH(D183,Empresas!$B:$B,0))))</f>
        <v/>
      </c>
      <c r="O183" s="27" t="str">
        <f aca="false">IF(OR(N183="",H183=""),"",H183-N183)</f>
        <v/>
      </c>
      <c r="P183" s="25" t="str">
        <f aca="false">IF(O183="","",IF(O183&lt;0,"CONTRATO ANTERIOR À ABERTURA — conferir datas",IF(O183&lt;180,"EMPRESA ABERTA MENOS DE 6 MESES ANTES","")))</f>
        <v/>
      </c>
      <c r="Q183" s="31" t="str">
        <f aca="false">IF(D183="","",IFERROR(INDEX(Sancoes!$D:$D,MATCH(D183,Sancoes!$C:$C,0)),"não consta"))</f>
        <v/>
      </c>
      <c r="R183" s="25" t="str">
        <f aca="false">IF(OR(D183="",H183=""),"",IF(SUMPRODUCT((Sancoes!$C$5:$C$304=D183)*(Sancoes!$G$5:$G$304&lt;=H183)*(((Sancoes!$H$5:$H$304="")+(Sancoes!$H$5:$H$304&gt;=H183))&gt;0))&gt;0,"SANÇÃO VIGENTE NA DATA — ler tipo e abrangência",""))</f>
        <v/>
      </c>
      <c r="S183" s="24"/>
      <c r="T183" s="11"/>
    </row>
    <row r="184" customFormat="false" ht="15" hidden="false" customHeight="false" outlineLevel="0" collapsed="false">
      <c r="A184" s="11"/>
      <c r="B184" s="24"/>
      <c r="C184" s="24"/>
      <c r="D184" s="31" t="str">
        <f aca="false">IF(C184="","",IF(LEN(UPPER(SUBSTITUTE(SUBSTITUTE(SUBSTITUTE(SUBSTITUTE(TRIM(C184),".",""),"/",""),"-","")," ","")))&lt;14,RIGHT(REPT("0",14)&amp;UPPER(SUBSTITUTE(SUBSTITUTE(SUBSTITUTE(SUBSTITUTE(TRIM(C184),".",""),"/",""),"-","")," ","")),14),UPPER(SUBSTITUTE(SUBSTITUTE(SUBSTITUTE(SUBSTITUTE(TRIM(C184),".",""),"/",""),"-","")," ",""))))</f>
        <v/>
      </c>
      <c r="E184" s="25" t="str">
        <f aca="false">IF(D184="","",IFERROR(INDEX(Empresas!$C:$C,MATCH(D184,Empresas!$B:$B,0)),"cadastre o CNPJ em Empresas"))</f>
        <v/>
      </c>
      <c r="F184" s="11"/>
      <c r="G184" s="23"/>
      <c r="H184" s="22"/>
      <c r="I184" s="35"/>
      <c r="J184" s="35"/>
      <c r="K184" s="36" t="str">
        <f aca="false">IF(I184="","",I184+J184)</f>
        <v/>
      </c>
      <c r="L184" s="37" t="str">
        <f aca="false">IF(OR(I184="",I184=0,J184=""),"",J184/I184)</f>
        <v/>
      </c>
      <c r="M184" s="25" t="str">
        <f aca="false">IF(L184="","",IF(L184&gt;0.25,"ACRÉSCIMO ACIMA DE 25% — conferir",""))</f>
        <v/>
      </c>
      <c r="N184" s="29" t="str">
        <f aca="false">IF(D184="","",IF(COUNTIFS(Empresas!$B:$B,D184,Empresas!$E:$E,"&lt;&gt;")=0,"",INDEX(Empresas!$E:$E,MATCH(D184,Empresas!$B:$B,0))))</f>
        <v/>
      </c>
      <c r="O184" s="27" t="str">
        <f aca="false">IF(OR(N184="",H184=""),"",H184-N184)</f>
        <v/>
      </c>
      <c r="P184" s="25" t="str">
        <f aca="false">IF(O184="","",IF(O184&lt;0,"CONTRATO ANTERIOR À ABERTURA — conferir datas",IF(O184&lt;180,"EMPRESA ABERTA MENOS DE 6 MESES ANTES","")))</f>
        <v/>
      </c>
      <c r="Q184" s="31" t="str">
        <f aca="false">IF(D184="","",IFERROR(INDEX(Sancoes!$D:$D,MATCH(D184,Sancoes!$C:$C,0)),"não consta"))</f>
        <v/>
      </c>
      <c r="R184" s="25" t="str">
        <f aca="false">IF(OR(D184="",H184=""),"",IF(SUMPRODUCT((Sancoes!$C$5:$C$304=D184)*(Sancoes!$G$5:$G$304&lt;=H184)*(((Sancoes!$H$5:$H$304="")+(Sancoes!$H$5:$H$304&gt;=H184))&gt;0))&gt;0,"SANÇÃO VIGENTE NA DATA — ler tipo e abrangência",""))</f>
        <v/>
      </c>
      <c r="S184" s="24"/>
      <c r="T184" s="11"/>
    </row>
    <row r="185" customFormat="false" ht="15" hidden="false" customHeight="false" outlineLevel="0" collapsed="false">
      <c r="A185" s="11"/>
      <c r="B185" s="24"/>
      <c r="C185" s="24"/>
      <c r="D185" s="31" t="str">
        <f aca="false">IF(C185="","",IF(LEN(UPPER(SUBSTITUTE(SUBSTITUTE(SUBSTITUTE(SUBSTITUTE(TRIM(C185),".",""),"/",""),"-","")," ","")))&lt;14,RIGHT(REPT("0",14)&amp;UPPER(SUBSTITUTE(SUBSTITUTE(SUBSTITUTE(SUBSTITUTE(TRIM(C185),".",""),"/",""),"-","")," ","")),14),UPPER(SUBSTITUTE(SUBSTITUTE(SUBSTITUTE(SUBSTITUTE(TRIM(C185),".",""),"/",""),"-","")," ",""))))</f>
        <v/>
      </c>
      <c r="E185" s="25" t="str">
        <f aca="false">IF(D185="","",IFERROR(INDEX(Empresas!$C:$C,MATCH(D185,Empresas!$B:$B,0)),"cadastre o CNPJ em Empresas"))</f>
        <v/>
      </c>
      <c r="F185" s="11"/>
      <c r="G185" s="23"/>
      <c r="H185" s="22"/>
      <c r="I185" s="35"/>
      <c r="J185" s="35"/>
      <c r="K185" s="36" t="str">
        <f aca="false">IF(I185="","",I185+J185)</f>
        <v/>
      </c>
      <c r="L185" s="37" t="str">
        <f aca="false">IF(OR(I185="",I185=0,J185=""),"",J185/I185)</f>
        <v/>
      </c>
      <c r="M185" s="25" t="str">
        <f aca="false">IF(L185="","",IF(L185&gt;0.25,"ACRÉSCIMO ACIMA DE 25% — conferir",""))</f>
        <v/>
      </c>
      <c r="N185" s="29" t="str">
        <f aca="false">IF(D185="","",IF(COUNTIFS(Empresas!$B:$B,D185,Empresas!$E:$E,"&lt;&gt;")=0,"",INDEX(Empresas!$E:$E,MATCH(D185,Empresas!$B:$B,0))))</f>
        <v/>
      </c>
      <c r="O185" s="27" t="str">
        <f aca="false">IF(OR(N185="",H185=""),"",H185-N185)</f>
        <v/>
      </c>
      <c r="P185" s="25" t="str">
        <f aca="false">IF(O185="","",IF(O185&lt;0,"CONTRATO ANTERIOR À ABERTURA — conferir datas",IF(O185&lt;180,"EMPRESA ABERTA MENOS DE 6 MESES ANTES","")))</f>
        <v/>
      </c>
      <c r="Q185" s="31" t="str">
        <f aca="false">IF(D185="","",IFERROR(INDEX(Sancoes!$D:$D,MATCH(D185,Sancoes!$C:$C,0)),"não consta"))</f>
        <v/>
      </c>
      <c r="R185" s="25" t="str">
        <f aca="false">IF(OR(D185="",H185=""),"",IF(SUMPRODUCT((Sancoes!$C$5:$C$304=D185)*(Sancoes!$G$5:$G$304&lt;=H185)*(((Sancoes!$H$5:$H$304="")+(Sancoes!$H$5:$H$304&gt;=H185))&gt;0))&gt;0,"SANÇÃO VIGENTE NA DATA — ler tipo e abrangência",""))</f>
        <v/>
      </c>
      <c r="S185" s="24"/>
      <c r="T185" s="11"/>
    </row>
    <row r="186" customFormat="false" ht="15" hidden="false" customHeight="false" outlineLevel="0" collapsed="false">
      <c r="A186" s="11"/>
      <c r="B186" s="24"/>
      <c r="C186" s="24"/>
      <c r="D186" s="31" t="str">
        <f aca="false">IF(C186="","",IF(LEN(UPPER(SUBSTITUTE(SUBSTITUTE(SUBSTITUTE(SUBSTITUTE(TRIM(C186),".",""),"/",""),"-","")," ","")))&lt;14,RIGHT(REPT("0",14)&amp;UPPER(SUBSTITUTE(SUBSTITUTE(SUBSTITUTE(SUBSTITUTE(TRIM(C186),".",""),"/",""),"-","")," ","")),14),UPPER(SUBSTITUTE(SUBSTITUTE(SUBSTITUTE(SUBSTITUTE(TRIM(C186),".",""),"/",""),"-","")," ",""))))</f>
        <v/>
      </c>
      <c r="E186" s="25" t="str">
        <f aca="false">IF(D186="","",IFERROR(INDEX(Empresas!$C:$C,MATCH(D186,Empresas!$B:$B,0)),"cadastre o CNPJ em Empresas"))</f>
        <v/>
      </c>
      <c r="F186" s="11"/>
      <c r="G186" s="23"/>
      <c r="H186" s="22"/>
      <c r="I186" s="35"/>
      <c r="J186" s="35"/>
      <c r="K186" s="36" t="str">
        <f aca="false">IF(I186="","",I186+J186)</f>
        <v/>
      </c>
      <c r="L186" s="37" t="str">
        <f aca="false">IF(OR(I186="",I186=0,J186=""),"",J186/I186)</f>
        <v/>
      </c>
      <c r="M186" s="25" t="str">
        <f aca="false">IF(L186="","",IF(L186&gt;0.25,"ACRÉSCIMO ACIMA DE 25% — conferir",""))</f>
        <v/>
      </c>
      <c r="N186" s="29" t="str">
        <f aca="false">IF(D186="","",IF(COUNTIFS(Empresas!$B:$B,D186,Empresas!$E:$E,"&lt;&gt;")=0,"",INDEX(Empresas!$E:$E,MATCH(D186,Empresas!$B:$B,0))))</f>
        <v/>
      </c>
      <c r="O186" s="27" t="str">
        <f aca="false">IF(OR(N186="",H186=""),"",H186-N186)</f>
        <v/>
      </c>
      <c r="P186" s="25" t="str">
        <f aca="false">IF(O186="","",IF(O186&lt;0,"CONTRATO ANTERIOR À ABERTURA — conferir datas",IF(O186&lt;180,"EMPRESA ABERTA MENOS DE 6 MESES ANTES","")))</f>
        <v/>
      </c>
      <c r="Q186" s="31" t="str">
        <f aca="false">IF(D186="","",IFERROR(INDEX(Sancoes!$D:$D,MATCH(D186,Sancoes!$C:$C,0)),"não consta"))</f>
        <v/>
      </c>
      <c r="R186" s="25" t="str">
        <f aca="false">IF(OR(D186="",H186=""),"",IF(SUMPRODUCT((Sancoes!$C$5:$C$304=D186)*(Sancoes!$G$5:$G$304&lt;=H186)*(((Sancoes!$H$5:$H$304="")+(Sancoes!$H$5:$H$304&gt;=H186))&gt;0))&gt;0,"SANÇÃO VIGENTE NA DATA — ler tipo e abrangência",""))</f>
        <v/>
      </c>
      <c r="S186" s="24"/>
      <c r="T186" s="11"/>
    </row>
    <row r="187" customFormat="false" ht="15" hidden="false" customHeight="false" outlineLevel="0" collapsed="false">
      <c r="A187" s="11"/>
      <c r="B187" s="24"/>
      <c r="C187" s="24"/>
      <c r="D187" s="31" t="str">
        <f aca="false">IF(C187="","",IF(LEN(UPPER(SUBSTITUTE(SUBSTITUTE(SUBSTITUTE(SUBSTITUTE(TRIM(C187),".",""),"/",""),"-","")," ","")))&lt;14,RIGHT(REPT("0",14)&amp;UPPER(SUBSTITUTE(SUBSTITUTE(SUBSTITUTE(SUBSTITUTE(TRIM(C187),".",""),"/",""),"-","")," ","")),14),UPPER(SUBSTITUTE(SUBSTITUTE(SUBSTITUTE(SUBSTITUTE(TRIM(C187),".",""),"/",""),"-","")," ",""))))</f>
        <v/>
      </c>
      <c r="E187" s="25" t="str">
        <f aca="false">IF(D187="","",IFERROR(INDEX(Empresas!$C:$C,MATCH(D187,Empresas!$B:$B,0)),"cadastre o CNPJ em Empresas"))</f>
        <v/>
      </c>
      <c r="F187" s="11"/>
      <c r="G187" s="23"/>
      <c r="H187" s="22"/>
      <c r="I187" s="35"/>
      <c r="J187" s="35"/>
      <c r="K187" s="36" t="str">
        <f aca="false">IF(I187="","",I187+J187)</f>
        <v/>
      </c>
      <c r="L187" s="37" t="str">
        <f aca="false">IF(OR(I187="",I187=0,J187=""),"",J187/I187)</f>
        <v/>
      </c>
      <c r="M187" s="25" t="str">
        <f aca="false">IF(L187="","",IF(L187&gt;0.25,"ACRÉSCIMO ACIMA DE 25% — conferir",""))</f>
        <v/>
      </c>
      <c r="N187" s="29" t="str">
        <f aca="false">IF(D187="","",IF(COUNTIFS(Empresas!$B:$B,D187,Empresas!$E:$E,"&lt;&gt;")=0,"",INDEX(Empresas!$E:$E,MATCH(D187,Empresas!$B:$B,0))))</f>
        <v/>
      </c>
      <c r="O187" s="27" t="str">
        <f aca="false">IF(OR(N187="",H187=""),"",H187-N187)</f>
        <v/>
      </c>
      <c r="P187" s="25" t="str">
        <f aca="false">IF(O187="","",IF(O187&lt;0,"CONTRATO ANTERIOR À ABERTURA — conferir datas",IF(O187&lt;180,"EMPRESA ABERTA MENOS DE 6 MESES ANTES","")))</f>
        <v/>
      </c>
      <c r="Q187" s="31" t="str">
        <f aca="false">IF(D187="","",IFERROR(INDEX(Sancoes!$D:$D,MATCH(D187,Sancoes!$C:$C,0)),"não consta"))</f>
        <v/>
      </c>
      <c r="R187" s="25" t="str">
        <f aca="false">IF(OR(D187="",H187=""),"",IF(SUMPRODUCT((Sancoes!$C$5:$C$304=D187)*(Sancoes!$G$5:$G$304&lt;=H187)*(((Sancoes!$H$5:$H$304="")+(Sancoes!$H$5:$H$304&gt;=H187))&gt;0))&gt;0,"SANÇÃO VIGENTE NA DATA — ler tipo e abrangência",""))</f>
        <v/>
      </c>
      <c r="S187" s="24"/>
      <c r="T187" s="11"/>
    </row>
    <row r="188" customFormat="false" ht="15" hidden="false" customHeight="false" outlineLevel="0" collapsed="false">
      <c r="A188" s="11"/>
      <c r="B188" s="24"/>
      <c r="C188" s="24"/>
      <c r="D188" s="31" t="str">
        <f aca="false">IF(C188="","",IF(LEN(UPPER(SUBSTITUTE(SUBSTITUTE(SUBSTITUTE(SUBSTITUTE(TRIM(C188),".",""),"/",""),"-","")," ","")))&lt;14,RIGHT(REPT("0",14)&amp;UPPER(SUBSTITUTE(SUBSTITUTE(SUBSTITUTE(SUBSTITUTE(TRIM(C188),".",""),"/",""),"-","")," ","")),14),UPPER(SUBSTITUTE(SUBSTITUTE(SUBSTITUTE(SUBSTITUTE(TRIM(C188),".",""),"/",""),"-","")," ",""))))</f>
        <v/>
      </c>
      <c r="E188" s="25" t="str">
        <f aca="false">IF(D188="","",IFERROR(INDEX(Empresas!$C:$C,MATCH(D188,Empresas!$B:$B,0)),"cadastre o CNPJ em Empresas"))</f>
        <v/>
      </c>
      <c r="F188" s="11"/>
      <c r="G188" s="23"/>
      <c r="H188" s="22"/>
      <c r="I188" s="35"/>
      <c r="J188" s="35"/>
      <c r="K188" s="36" t="str">
        <f aca="false">IF(I188="","",I188+J188)</f>
        <v/>
      </c>
      <c r="L188" s="37" t="str">
        <f aca="false">IF(OR(I188="",I188=0,J188=""),"",J188/I188)</f>
        <v/>
      </c>
      <c r="M188" s="25" t="str">
        <f aca="false">IF(L188="","",IF(L188&gt;0.25,"ACRÉSCIMO ACIMA DE 25% — conferir",""))</f>
        <v/>
      </c>
      <c r="N188" s="29" t="str">
        <f aca="false">IF(D188="","",IF(COUNTIFS(Empresas!$B:$B,D188,Empresas!$E:$E,"&lt;&gt;")=0,"",INDEX(Empresas!$E:$E,MATCH(D188,Empresas!$B:$B,0))))</f>
        <v/>
      </c>
      <c r="O188" s="27" t="str">
        <f aca="false">IF(OR(N188="",H188=""),"",H188-N188)</f>
        <v/>
      </c>
      <c r="P188" s="25" t="str">
        <f aca="false">IF(O188="","",IF(O188&lt;0,"CONTRATO ANTERIOR À ABERTURA — conferir datas",IF(O188&lt;180,"EMPRESA ABERTA MENOS DE 6 MESES ANTES","")))</f>
        <v/>
      </c>
      <c r="Q188" s="31" t="str">
        <f aca="false">IF(D188="","",IFERROR(INDEX(Sancoes!$D:$D,MATCH(D188,Sancoes!$C:$C,0)),"não consta"))</f>
        <v/>
      </c>
      <c r="R188" s="25" t="str">
        <f aca="false">IF(OR(D188="",H188=""),"",IF(SUMPRODUCT((Sancoes!$C$5:$C$304=D188)*(Sancoes!$G$5:$G$304&lt;=H188)*(((Sancoes!$H$5:$H$304="")+(Sancoes!$H$5:$H$304&gt;=H188))&gt;0))&gt;0,"SANÇÃO VIGENTE NA DATA — ler tipo e abrangência",""))</f>
        <v/>
      </c>
      <c r="S188" s="24"/>
      <c r="T188" s="11"/>
    </row>
    <row r="189" customFormat="false" ht="15" hidden="false" customHeight="false" outlineLevel="0" collapsed="false">
      <c r="A189" s="11"/>
      <c r="B189" s="24"/>
      <c r="C189" s="24"/>
      <c r="D189" s="31" t="str">
        <f aca="false">IF(C189="","",IF(LEN(UPPER(SUBSTITUTE(SUBSTITUTE(SUBSTITUTE(SUBSTITUTE(TRIM(C189),".",""),"/",""),"-","")," ","")))&lt;14,RIGHT(REPT("0",14)&amp;UPPER(SUBSTITUTE(SUBSTITUTE(SUBSTITUTE(SUBSTITUTE(TRIM(C189),".",""),"/",""),"-","")," ","")),14),UPPER(SUBSTITUTE(SUBSTITUTE(SUBSTITUTE(SUBSTITUTE(TRIM(C189),".",""),"/",""),"-","")," ",""))))</f>
        <v/>
      </c>
      <c r="E189" s="25" t="str">
        <f aca="false">IF(D189="","",IFERROR(INDEX(Empresas!$C:$C,MATCH(D189,Empresas!$B:$B,0)),"cadastre o CNPJ em Empresas"))</f>
        <v/>
      </c>
      <c r="F189" s="11"/>
      <c r="G189" s="23"/>
      <c r="H189" s="22"/>
      <c r="I189" s="35"/>
      <c r="J189" s="35"/>
      <c r="K189" s="36" t="str">
        <f aca="false">IF(I189="","",I189+J189)</f>
        <v/>
      </c>
      <c r="L189" s="37" t="str">
        <f aca="false">IF(OR(I189="",I189=0,J189=""),"",J189/I189)</f>
        <v/>
      </c>
      <c r="M189" s="25" t="str">
        <f aca="false">IF(L189="","",IF(L189&gt;0.25,"ACRÉSCIMO ACIMA DE 25% — conferir",""))</f>
        <v/>
      </c>
      <c r="N189" s="29" t="str">
        <f aca="false">IF(D189="","",IF(COUNTIFS(Empresas!$B:$B,D189,Empresas!$E:$E,"&lt;&gt;")=0,"",INDEX(Empresas!$E:$E,MATCH(D189,Empresas!$B:$B,0))))</f>
        <v/>
      </c>
      <c r="O189" s="27" t="str">
        <f aca="false">IF(OR(N189="",H189=""),"",H189-N189)</f>
        <v/>
      </c>
      <c r="P189" s="25" t="str">
        <f aca="false">IF(O189="","",IF(O189&lt;0,"CONTRATO ANTERIOR À ABERTURA — conferir datas",IF(O189&lt;180,"EMPRESA ABERTA MENOS DE 6 MESES ANTES","")))</f>
        <v/>
      </c>
      <c r="Q189" s="31" t="str">
        <f aca="false">IF(D189="","",IFERROR(INDEX(Sancoes!$D:$D,MATCH(D189,Sancoes!$C:$C,0)),"não consta"))</f>
        <v/>
      </c>
      <c r="R189" s="25" t="str">
        <f aca="false">IF(OR(D189="",H189=""),"",IF(SUMPRODUCT((Sancoes!$C$5:$C$304=D189)*(Sancoes!$G$5:$G$304&lt;=H189)*(((Sancoes!$H$5:$H$304="")+(Sancoes!$H$5:$H$304&gt;=H189))&gt;0))&gt;0,"SANÇÃO VIGENTE NA DATA — ler tipo e abrangência",""))</f>
        <v/>
      </c>
      <c r="S189" s="24"/>
      <c r="T189" s="11"/>
    </row>
    <row r="190" customFormat="false" ht="15" hidden="false" customHeight="false" outlineLevel="0" collapsed="false">
      <c r="A190" s="11"/>
      <c r="B190" s="24"/>
      <c r="C190" s="24"/>
      <c r="D190" s="31" t="str">
        <f aca="false">IF(C190="","",IF(LEN(UPPER(SUBSTITUTE(SUBSTITUTE(SUBSTITUTE(SUBSTITUTE(TRIM(C190),".",""),"/",""),"-","")," ","")))&lt;14,RIGHT(REPT("0",14)&amp;UPPER(SUBSTITUTE(SUBSTITUTE(SUBSTITUTE(SUBSTITUTE(TRIM(C190),".",""),"/",""),"-","")," ","")),14),UPPER(SUBSTITUTE(SUBSTITUTE(SUBSTITUTE(SUBSTITUTE(TRIM(C190),".",""),"/",""),"-","")," ",""))))</f>
        <v/>
      </c>
      <c r="E190" s="25" t="str">
        <f aca="false">IF(D190="","",IFERROR(INDEX(Empresas!$C:$C,MATCH(D190,Empresas!$B:$B,0)),"cadastre o CNPJ em Empresas"))</f>
        <v/>
      </c>
      <c r="F190" s="11"/>
      <c r="G190" s="23"/>
      <c r="H190" s="22"/>
      <c r="I190" s="35"/>
      <c r="J190" s="35"/>
      <c r="K190" s="36" t="str">
        <f aca="false">IF(I190="","",I190+J190)</f>
        <v/>
      </c>
      <c r="L190" s="37" t="str">
        <f aca="false">IF(OR(I190="",I190=0,J190=""),"",J190/I190)</f>
        <v/>
      </c>
      <c r="M190" s="25" t="str">
        <f aca="false">IF(L190="","",IF(L190&gt;0.25,"ACRÉSCIMO ACIMA DE 25% — conferir",""))</f>
        <v/>
      </c>
      <c r="N190" s="29" t="str">
        <f aca="false">IF(D190="","",IF(COUNTIFS(Empresas!$B:$B,D190,Empresas!$E:$E,"&lt;&gt;")=0,"",INDEX(Empresas!$E:$E,MATCH(D190,Empresas!$B:$B,0))))</f>
        <v/>
      </c>
      <c r="O190" s="27" t="str">
        <f aca="false">IF(OR(N190="",H190=""),"",H190-N190)</f>
        <v/>
      </c>
      <c r="P190" s="25" t="str">
        <f aca="false">IF(O190="","",IF(O190&lt;0,"CONTRATO ANTERIOR À ABERTURA — conferir datas",IF(O190&lt;180,"EMPRESA ABERTA MENOS DE 6 MESES ANTES","")))</f>
        <v/>
      </c>
      <c r="Q190" s="31" t="str">
        <f aca="false">IF(D190="","",IFERROR(INDEX(Sancoes!$D:$D,MATCH(D190,Sancoes!$C:$C,0)),"não consta"))</f>
        <v/>
      </c>
      <c r="R190" s="25" t="str">
        <f aca="false">IF(OR(D190="",H190=""),"",IF(SUMPRODUCT((Sancoes!$C$5:$C$304=D190)*(Sancoes!$G$5:$G$304&lt;=H190)*(((Sancoes!$H$5:$H$304="")+(Sancoes!$H$5:$H$304&gt;=H190))&gt;0))&gt;0,"SANÇÃO VIGENTE NA DATA — ler tipo e abrangência",""))</f>
        <v/>
      </c>
      <c r="S190" s="24"/>
      <c r="T190" s="11"/>
    </row>
    <row r="191" customFormat="false" ht="15" hidden="false" customHeight="false" outlineLevel="0" collapsed="false">
      <c r="A191" s="11"/>
      <c r="B191" s="24"/>
      <c r="C191" s="24"/>
      <c r="D191" s="31" t="str">
        <f aca="false">IF(C191="","",IF(LEN(UPPER(SUBSTITUTE(SUBSTITUTE(SUBSTITUTE(SUBSTITUTE(TRIM(C191),".",""),"/",""),"-","")," ","")))&lt;14,RIGHT(REPT("0",14)&amp;UPPER(SUBSTITUTE(SUBSTITUTE(SUBSTITUTE(SUBSTITUTE(TRIM(C191),".",""),"/",""),"-","")," ","")),14),UPPER(SUBSTITUTE(SUBSTITUTE(SUBSTITUTE(SUBSTITUTE(TRIM(C191),".",""),"/",""),"-","")," ",""))))</f>
        <v/>
      </c>
      <c r="E191" s="25" t="str">
        <f aca="false">IF(D191="","",IFERROR(INDEX(Empresas!$C:$C,MATCH(D191,Empresas!$B:$B,0)),"cadastre o CNPJ em Empresas"))</f>
        <v/>
      </c>
      <c r="F191" s="11"/>
      <c r="G191" s="23"/>
      <c r="H191" s="22"/>
      <c r="I191" s="35"/>
      <c r="J191" s="35"/>
      <c r="K191" s="36" t="str">
        <f aca="false">IF(I191="","",I191+J191)</f>
        <v/>
      </c>
      <c r="L191" s="37" t="str">
        <f aca="false">IF(OR(I191="",I191=0,J191=""),"",J191/I191)</f>
        <v/>
      </c>
      <c r="M191" s="25" t="str">
        <f aca="false">IF(L191="","",IF(L191&gt;0.25,"ACRÉSCIMO ACIMA DE 25% — conferir",""))</f>
        <v/>
      </c>
      <c r="N191" s="29" t="str">
        <f aca="false">IF(D191="","",IF(COUNTIFS(Empresas!$B:$B,D191,Empresas!$E:$E,"&lt;&gt;")=0,"",INDEX(Empresas!$E:$E,MATCH(D191,Empresas!$B:$B,0))))</f>
        <v/>
      </c>
      <c r="O191" s="27" t="str">
        <f aca="false">IF(OR(N191="",H191=""),"",H191-N191)</f>
        <v/>
      </c>
      <c r="P191" s="25" t="str">
        <f aca="false">IF(O191="","",IF(O191&lt;0,"CONTRATO ANTERIOR À ABERTURA — conferir datas",IF(O191&lt;180,"EMPRESA ABERTA MENOS DE 6 MESES ANTES","")))</f>
        <v/>
      </c>
      <c r="Q191" s="31" t="str">
        <f aca="false">IF(D191="","",IFERROR(INDEX(Sancoes!$D:$D,MATCH(D191,Sancoes!$C:$C,0)),"não consta"))</f>
        <v/>
      </c>
      <c r="R191" s="25" t="str">
        <f aca="false">IF(OR(D191="",H191=""),"",IF(SUMPRODUCT((Sancoes!$C$5:$C$304=D191)*(Sancoes!$G$5:$G$304&lt;=H191)*(((Sancoes!$H$5:$H$304="")+(Sancoes!$H$5:$H$304&gt;=H191))&gt;0))&gt;0,"SANÇÃO VIGENTE NA DATA — ler tipo e abrangência",""))</f>
        <v/>
      </c>
      <c r="S191" s="24"/>
      <c r="T191" s="11"/>
    </row>
    <row r="192" customFormat="false" ht="15" hidden="false" customHeight="false" outlineLevel="0" collapsed="false">
      <c r="A192" s="11"/>
      <c r="B192" s="24"/>
      <c r="C192" s="24"/>
      <c r="D192" s="31" t="str">
        <f aca="false">IF(C192="","",IF(LEN(UPPER(SUBSTITUTE(SUBSTITUTE(SUBSTITUTE(SUBSTITUTE(TRIM(C192),".",""),"/",""),"-","")," ","")))&lt;14,RIGHT(REPT("0",14)&amp;UPPER(SUBSTITUTE(SUBSTITUTE(SUBSTITUTE(SUBSTITUTE(TRIM(C192),".",""),"/",""),"-","")," ","")),14),UPPER(SUBSTITUTE(SUBSTITUTE(SUBSTITUTE(SUBSTITUTE(TRIM(C192),".",""),"/",""),"-","")," ",""))))</f>
        <v/>
      </c>
      <c r="E192" s="25" t="str">
        <f aca="false">IF(D192="","",IFERROR(INDEX(Empresas!$C:$C,MATCH(D192,Empresas!$B:$B,0)),"cadastre o CNPJ em Empresas"))</f>
        <v/>
      </c>
      <c r="F192" s="11"/>
      <c r="G192" s="23"/>
      <c r="H192" s="22"/>
      <c r="I192" s="35"/>
      <c r="J192" s="35"/>
      <c r="K192" s="36" t="str">
        <f aca="false">IF(I192="","",I192+J192)</f>
        <v/>
      </c>
      <c r="L192" s="37" t="str">
        <f aca="false">IF(OR(I192="",I192=0,J192=""),"",J192/I192)</f>
        <v/>
      </c>
      <c r="M192" s="25" t="str">
        <f aca="false">IF(L192="","",IF(L192&gt;0.25,"ACRÉSCIMO ACIMA DE 25% — conferir",""))</f>
        <v/>
      </c>
      <c r="N192" s="29" t="str">
        <f aca="false">IF(D192="","",IF(COUNTIFS(Empresas!$B:$B,D192,Empresas!$E:$E,"&lt;&gt;")=0,"",INDEX(Empresas!$E:$E,MATCH(D192,Empresas!$B:$B,0))))</f>
        <v/>
      </c>
      <c r="O192" s="27" t="str">
        <f aca="false">IF(OR(N192="",H192=""),"",H192-N192)</f>
        <v/>
      </c>
      <c r="P192" s="25" t="str">
        <f aca="false">IF(O192="","",IF(O192&lt;0,"CONTRATO ANTERIOR À ABERTURA — conferir datas",IF(O192&lt;180,"EMPRESA ABERTA MENOS DE 6 MESES ANTES","")))</f>
        <v/>
      </c>
      <c r="Q192" s="31" t="str">
        <f aca="false">IF(D192="","",IFERROR(INDEX(Sancoes!$D:$D,MATCH(D192,Sancoes!$C:$C,0)),"não consta"))</f>
        <v/>
      </c>
      <c r="R192" s="25" t="str">
        <f aca="false">IF(OR(D192="",H192=""),"",IF(SUMPRODUCT((Sancoes!$C$5:$C$304=D192)*(Sancoes!$G$5:$G$304&lt;=H192)*(((Sancoes!$H$5:$H$304="")+(Sancoes!$H$5:$H$304&gt;=H192))&gt;0))&gt;0,"SANÇÃO VIGENTE NA DATA — ler tipo e abrangência",""))</f>
        <v/>
      </c>
      <c r="S192" s="24"/>
      <c r="T192" s="11"/>
    </row>
    <row r="193" customFormat="false" ht="15" hidden="false" customHeight="false" outlineLevel="0" collapsed="false">
      <c r="A193" s="11"/>
      <c r="B193" s="24"/>
      <c r="C193" s="24"/>
      <c r="D193" s="31" t="str">
        <f aca="false">IF(C193="","",IF(LEN(UPPER(SUBSTITUTE(SUBSTITUTE(SUBSTITUTE(SUBSTITUTE(TRIM(C193),".",""),"/",""),"-","")," ","")))&lt;14,RIGHT(REPT("0",14)&amp;UPPER(SUBSTITUTE(SUBSTITUTE(SUBSTITUTE(SUBSTITUTE(TRIM(C193),".",""),"/",""),"-","")," ","")),14),UPPER(SUBSTITUTE(SUBSTITUTE(SUBSTITUTE(SUBSTITUTE(TRIM(C193),".",""),"/",""),"-","")," ",""))))</f>
        <v/>
      </c>
      <c r="E193" s="25" t="str">
        <f aca="false">IF(D193="","",IFERROR(INDEX(Empresas!$C:$C,MATCH(D193,Empresas!$B:$B,0)),"cadastre o CNPJ em Empresas"))</f>
        <v/>
      </c>
      <c r="F193" s="11"/>
      <c r="G193" s="23"/>
      <c r="H193" s="22"/>
      <c r="I193" s="35"/>
      <c r="J193" s="35"/>
      <c r="K193" s="36" t="str">
        <f aca="false">IF(I193="","",I193+J193)</f>
        <v/>
      </c>
      <c r="L193" s="37" t="str">
        <f aca="false">IF(OR(I193="",I193=0,J193=""),"",J193/I193)</f>
        <v/>
      </c>
      <c r="M193" s="25" t="str">
        <f aca="false">IF(L193="","",IF(L193&gt;0.25,"ACRÉSCIMO ACIMA DE 25% — conferir",""))</f>
        <v/>
      </c>
      <c r="N193" s="29" t="str">
        <f aca="false">IF(D193="","",IF(COUNTIFS(Empresas!$B:$B,D193,Empresas!$E:$E,"&lt;&gt;")=0,"",INDEX(Empresas!$E:$E,MATCH(D193,Empresas!$B:$B,0))))</f>
        <v/>
      </c>
      <c r="O193" s="27" t="str">
        <f aca="false">IF(OR(N193="",H193=""),"",H193-N193)</f>
        <v/>
      </c>
      <c r="P193" s="25" t="str">
        <f aca="false">IF(O193="","",IF(O193&lt;0,"CONTRATO ANTERIOR À ABERTURA — conferir datas",IF(O193&lt;180,"EMPRESA ABERTA MENOS DE 6 MESES ANTES","")))</f>
        <v/>
      </c>
      <c r="Q193" s="31" t="str">
        <f aca="false">IF(D193="","",IFERROR(INDEX(Sancoes!$D:$D,MATCH(D193,Sancoes!$C:$C,0)),"não consta"))</f>
        <v/>
      </c>
      <c r="R193" s="25" t="str">
        <f aca="false">IF(OR(D193="",H193=""),"",IF(SUMPRODUCT((Sancoes!$C$5:$C$304=D193)*(Sancoes!$G$5:$G$304&lt;=H193)*(((Sancoes!$H$5:$H$304="")+(Sancoes!$H$5:$H$304&gt;=H193))&gt;0))&gt;0,"SANÇÃO VIGENTE NA DATA — ler tipo e abrangência",""))</f>
        <v/>
      </c>
      <c r="S193" s="24"/>
      <c r="T193" s="11"/>
    </row>
    <row r="194" customFormat="false" ht="15" hidden="false" customHeight="false" outlineLevel="0" collapsed="false">
      <c r="A194" s="11"/>
      <c r="B194" s="24"/>
      <c r="C194" s="24"/>
      <c r="D194" s="31" t="str">
        <f aca="false">IF(C194="","",IF(LEN(UPPER(SUBSTITUTE(SUBSTITUTE(SUBSTITUTE(SUBSTITUTE(TRIM(C194),".",""),"/",""),"-","")," ","")))&lt;14,RIGHT(REPT("0",14)&amp;UPPER(SUBSTITUTE(SUBSTITUTE(SUBSTITUTE(SUBSTITUTE(TRIM(C194),".",""),"/",""),"-","")," ","")),14),UPPER(SUBSTITUTE(SUBSTITUTE(SUBSTITUTE(SUBSTITUTE(TRIM(C194),".",""),"/",""),"-","")," ",""))))</f>
        <v/>
      </c>
      <c r="E194" s="25" t="str">
        <f aca="false">IF(D194="","",IFERROR(INDEX(Empresas!$C:$C,MATCH(D194,Empresas!$B:$B,0)),"cadastre o CNPJ em Empresas"))</f>
        <v/>
      </c>
      <c r="F194" s="11"/>
      <c r="G194" s="23"/>
      <c r="H194" s="22"/>
      <c r="I194" s="35"/>
      <c r="J194" s="35"/>
      <c r="K194" s="36" t="str">
        <f aca="false">IF(I194="","",I194+J194)</f>
        <v/>
      </c>
      <c r="L194" s="37" t="str">
        <f aca="false">IF(OR(I194="",I194=0,J194=""),"",J194/I194)</f>
        <v/>
      </c>
      <c r="M194" s="25" t="str">
        <f aca="false">IF(L194="","",IF(L194&gt;0.25,"ACRÉSCIMO ACIMA DE 25% — conferir",""))</f>
        <v/>
      </c>
      <c r="N194" s="29" t="str">
        <f aca="false">IF(D194="","",IF(COUNTIFS(Empresas!$B:$B,D194,Empresas!$E:$E,"&lt;&gt;")=0,"",INDEX(Empresas!$E:$E,MATCH(D194,Empresas!$B:$B,0))))</f>
        <v/>
      </c>
      <c r="O194" s="27" t="str">
        <f aca="false">IF(OR(N194="",H194=""),"",H194-N194)</f>
        <v/>
      </c>
      <c r="P194" s="25" t="str">
        <f aca="false">IF(O194="","",IF(O194&lt;0,"CONTRATO ANTERIOR À ABERTURA — conferir datas",IF(O194&lt;180,"EMPRESA ABERTA MENOS DE 6 MESES ANTES","")))</f>
        <v/>
      </c>
      <c r="Q194" s="31" t="str">
        <f aca="false">IF(D194="","",IFERROR(INDEX(Sancoes!$D:$D,MATCH(D194,Sancoes!$C:$C,0)),"não consta"))</f>
        <v/>
      </c>
      <c r="R194" s="25" t="str">
        <f aca="false">IF(OR(D194="",H194=""),"",IF(SUMPRODUCT((Sancoes!$C$5:$C$304=D194)*(Sancoes!$G$5:$G$304&lt;=H194)*(((Sancoes!$H$5:$H$304="")+(Sancoes!$H$5:$H$304&gt;=H194))&gt;0))&gt;0,"SANÇÃO VIGENTE NA DATA — ler tipo e abrangência",""))</f>
        <v/>
      </c>
      <c r="S194" s="24"/>
      <c r="T194" s="11"/>
    </row>
    <row r="195" customFormat="false" ht="15" hidden="false" customHeight="false" outlineLevel="0" collapsed="false">
      <c r="A195" s="11"/>
      <c r="B195" s="24"/>
      <c r="C195" s="24"/>
      <c r="D195" s="31" t="str">
        <f aca="false">IF(C195="","",IF(LEN(UPPER(SUBSTITUTE(SUBSTITUTE(SUBSTITUTE(SUBSTITUTE(TRIM(C195),".",""),"/",""),"-","")," ","")))&lt;14,RIGHT(REPT("0",14)&amp;UPPER(SUBSTITUTE(SUBSTITUTE(SUBSTITUTE(SUBSTITUTE(TRIM(C195),".",""),"/",""),"-","")," ","")),14),UPPER(SUBSTITUTE(SUBSTITUTE(SUBSTITUTE(SUBSTITUTE(TRIM(C195),".",""),"/",""),"-","")," ",""))))</f>
        <v/>
      </c>
      <c r="E195" s="25" t="str">
        <f aca="false">IF(D195="","",IFERROR(INDEX(Empresas!$C:$C,MATCH(D195,Empresas!$B:$B,0)),"cadastre o CNPJ em Empresas"))</f>
        <v/>
      </c>
      <c r="F195" s="11"/>
      <c r="G195" s="23"/>
      <c r="H195" s="22"/>
      <c r="I195" s="35"/>
      <c r="J195" s="35"/>
      <c r="K195" s="36" t="str">
        <f aca="false">IF(I195="","",I195+J195)</f>
        <v/>
      </c>
      <c r="L195" s="37" t="str">
        <f aca="false">IF(OR(I195="",I195=0,J195=""),"",J195/I195)</f>
        <v/>
      </c>
      <c r="M195" s="25" t="str">
        <f aca="false">IF(L195="","",IF(L195&gt;0.25,"ACRÉSCIMO ACIMA DE 25% — conferir",""))</f>
        <v/>
      </c>
      <c r="N195" s="29" t="str">
        <f aca="false">IF(D195="","",IF(COUNTIFS(Empresas!$B:$B,D195,Empresas!$E:$E,"&lt;&gt;")=0,"",INDEX(Empresas!$E:$E,MATCH(D195,Empresas!$B:$B,0))))</f>
        <v/>
      </c>
      <c r="O195" s="27" t="str">
        <f aca="false">IF(OR(N195="",H195=""),"",H195-N195)</f>
        <v/>
      </c>
      <c r="P195" s="25" t="str">
        <f aca="false">IF(O195="","",IF(O195&lt;0,"CONTRATO ANTERIOR À ABERTURA — conferir datas",IF(O195&lt;180,"EMPRESA ABERTA MENOS DE 6 MESES ANTES","")))</f>
        <v/>
      </c>
      <c r="Q195" s="31" t="str">
        <f aca="false">IF(D195="","",IFERROR(INDEX(Sancoes!$D:$D,MATCH(D195,Sancoes!$C:$C,0)),"não consta"))</f>
        <v/>
      </c>
      <c r="R195" s="25" t="str">
        <f aca="false">IF(OR(D195="",H195=""),"",IF(SUMPRODUCT((Sancoes!$C$5:$C$304=D195)*(Sancoes!$G$5:$G$304&lt;=H195)*(((Sancoes!$H$5:$H$304="")+(Sancoes!$H$5:$H$304&gt;=H195))&gt;0))&gt;0,"SANÇÃO VIGENTE NA DATA — ler tipo e abrangência",""))</f>
        <v/>
      </c>
      <c r="S195" s="24"/>
      <c r="T195" s="11"/>
    </row>
    <row r="196" customFormat="false" ht="15" hidden="false" customHeight="false" outlineLevel="0" collapsed="false">
      <c r="A196" s="11"/>
      <c r="B196" s="24"/>
      <c r="C196" s="24"/>
      <c r="D196" s="31" t="str">
        <f aca="false">IF(C196="","",IF(LEN(UPPER(SUBSTITUTE(SUBSTITUTE(SUBSTITUTE(SUBSTITUTE(TRIM(C196),".",""),"/",""),"-","")," ","")))&lt;14,RIGHT(REPT("0",14)&amp;UPPER(SUBSTITUTE(SUBSTITUTE(SUBSTITUTE(SUBSTITUTE(TRIM(C196),".",""),"/",""),"-","")," ","")),14),UPPER(SUBSTITUTE(SUBSTITUTE(SUBSTITUTE(SUBSTITUTE(TRIM(C196),".",""),"/",""),"-","")," ",""))))</f>
        <v/>
      </c>
      <c r="E196" s="25" t="str">
        <f aca="false">IF(D196="","",IFERROR(INDEX(Empresas!$C:$C,MATCH(D196,Empresas!$B:$B,0)),"cadastre o CNPJ em Empresas"))</f>
        <v/>
      </c>
      <c r="F196" s="11"/>
      <c r="G196" s="23"/>
      <c r="H196" s="22"/>
      <c r="I196" s="35"/>
      <c r="J196" s="35"/>
      <c r="K196" s="36" t="str">
        <f aca="false">IF(I196="","",I196+J196)</f>
        <v/>
      </c>
      <c r="L196" s="37" t="str">
        <f aca="false">IF(OR(I196="",I196=0,J196=""),"",J196/I196)</f>
        <v/>
      </c>
      <c r="M196" s="25" t="str">
        <f aca="false">IF(L196="","",IF(L196&gt;0.25,"ACRÉSCIMO ACIMA DE 25% — conferir",""))</f>
        <v/>
      </c>
      <c r="N196" s="29" t="str">
        <f aca="false">IF(D196="","",IF(COUNTIFS(Empresas!$B:$B,D196,Empresas!$E:$E,"&lt;&gt;")=0,"",INDEX(Empresas!$E:$E,MATCH(D196,Empresas!$B:$B,0))))</f>
        <v/>
      </c>
      <c r="O196" s="27" t="str">
        <f aca="false">IF(OR(N196="",H196=""),"",H196-N196)</f>
        <v/>
      </c>
      <c r="P196" s="25" t="str">
        <f aca="false">IF(O196="","",IF(O196&lt;0,"CONTRATO ANTERIOR À ABERTURA — conferir datas",IF(O196&lt;180,"EMPRESA ABERTA MENOS DE 6 MESES ANTES","")))</f>
        <v/>
      </c>
      <c r="Q196" s="31" t="str">
        <f aca="false">IF(D196="","",IFERROR(INDEX(Sancoes!$D:$D,MATCH(D196,Sancoes!$C:$C,0)),"não consta"))</f>
        <v/>
      </c>
      <c r="R196" s="25" t="str">
        <f aca="false">IF(OR(D196="",H196=""),"",IF(SUMPRODUCT((Sancoes!$C$5:$C$304=D196)*(Sancoes!$G$5:$G$304&lt;=H196)*(((Sancoes!$H$5:$H$304="")+(Sancoes!$H$5:$H$304&gt;=H196))&gt;0))&gt;0,"SANÇÃO VIGENTE NA DATA — ler tipo e abrangência",""))</f>
        <v/>
      </c>
      <c r="S196" s="24"/>
      <c r="T196" s="11"/>
    </row>
    <row r="197" customFormat="false" ht="15" hidden="false" customHeight="false" outlineLevel="0" collapsed="false">
      <c r="A197" s="11"/>
      <c r="B197" s="24"/>
      <c r="C197" s="24"/>
      <c r="D197" s="31" t="str">
        <f aca="false">IF(C197="","",IF(LEN(UPPER(SUBSTITUTE(SUBSTITUTE(SUBSTITUTE(SUBSTITUTE(TRIM(C197),".",""),"/",""),"-","")," ","")))&lt;14,RIGHT(REPT("0",14)&amp;UPPER(SUBSTITUTE(SUBSTITUTE(SUBSTITUTE(SUBSTITUTE(TRIM(C197),".",""),"/",""),"-","")," ","")),14),UPPER(SUBSTITUTE(SUBSTITUTE(SUBSTITUTE(SUBSTITUTE(TRIM(C197),".",""),"/",""),"-","")," ",""))))</f>
        <v/>
      </c>
      <c r="E197" s="25" t="str">
        <f aca="false">IF(D197="","",IFERROR(INDEX(Empresas!$C:$C,MATCH(D197,Empresas!$B:$B,0)),"cadastre o CNPJ em Empresas"))</f>
        <v/>
      </c>
      <c r="F197" s="11"/>
      <c r="G197" s="23"/>
      <c r="H197" s="22"/>
      <c r="I197" s="35"/>
      <c r="J197" s="35"/>
      <c r="K197" s="36" t="str">
        <f aca="false">IF(I197="","",I197+J197)</f>
        <v/>
      </c>
      <c r="L197" s="37" t="str">
        <f aca="false">IF(OR(I197="",I197=0,J197=""),"",J197/I197)</f>
        <v/>
      </c>
      <c r="M197" s="25" t="str">
        <f aca="false">IF(L197="","",IF(L197&gt;0.25,"ACRÉSCIMO ACIMA DE 25% — conferir",""))</f>
        <v/>
      </c>
      <c r="N197" s="29" t="str">
        <f aca="false">IF(D197="","",IF(COUNTIFS(Empresas!$B:$B,D197,Empresas!$E:$E,"&lt;&gt;")=0,"",INDEX(Empresas!$E:$E,MATCH(D197,Empresas!$B:$B,0))))</f>
        <v/>
      </c>
      <c r="O197" s="27" t="str">
        <f aca="false">IF(OR(N197="",H197=""),"",H197-N197)</f>
        <v/>
      </c>
      <c r="P197" s="25" t="str">
        <f aca="false">IF(O197="","",IF(O197&lt;0,"CONTRATO ANTERIOR À ABERTURA — conferir datas",IF(O197&lt;180,"EMPRESA ABERTA MENOS DE 6 MESES ANTES","")))</f>
        <v/>
      </c>
      <c r="Q197" s="31" t="str">
        <f aca="false">IF(D197="","",IFERROR(INDEX(Sancoes!$D:$D,MATCH(D197,Sancoes!$C:$C,0)),"não consta"))</f>
        <v/>
      </c>
      <c r="R197" s="25" t="str">
        <f aca="false">IF(OR(D197="",H197=""),"",IF(SUMPRODUCT((Sancoes!$C$5:$C$304=D197)*(Sancoes!$G$5:$G$304&lt;=H197)*(((Sancoes!$H$5:$H$304="")+(Sancoes!$H$5:$H$304&gt;=H197))&gt;0))&gt;0,"SANÇÃO VIGENTE NA DATA — ler tipo e abrangência",""))</f>
        <v/>
      </c>
      <c r="S197" s="24"/>
      <c r="T197" s="11"/>
    </row>
    <row r="198" customFormat="false" ht="15" hidden="false" customHeight="false" outlineLevel="0" collapsed="false">
      <c r="A198" s="11"/>
      <c r="B198" s="24"/>
      <c r="C198" s="24"/>
      <c r="D198" s="31" t="str">
        <f aca="false">IF(C198="","",IF(LEN(UPPER(SUBSTITUTE(SUBSTITUTE(SUBSTITUTE(SUBSTITUTE(TRIM(C198),".",""),"/",""),"-","")," ","")))&lt;14,RIGHT(REPT("0",14)&amp;UPPER(SUBSTITUTE(SUBSTITUTE(SUBSTITUTE(SUBSTITUTE(TRIM(C198),".",""),"/",""),"-","")," ","")),14),UPPER(SUBSTITUTE(SUBSTITUTE(SUBSTITUTE(SUBSTITUTE(TRIM(C198),".",""),"/",""),"-","")," ",""))))</f>
        <v/>
      </c>
      <c r="E198" s="25" t="str">
        <f aca="false">IF(D198="","",IFERROR(INDEX(Empresas!$C:$C,MATCH(D198,Empresas!$B:$B,0)),"cadastre o CNPJ em Empresas"))</f>
        <v/>
      </c>
      <c r="F198" s="11"/>
      <c r="G198" s="23"/>
      <c r="H198" s="22"/>
      <c r="I198" s="35"/>
      <c r="J198" s="35"/>
      <c r="K198" s="36" t="str">
        <f aca="false">IF(I198="","",I198+J198)</f>
        <v/>
      </c>
      <c r="L198" s="37" t="str">
        <f aca="false">IF(OR(I198="",I198=0,J198=""),"",J198/I198)</f>
        <v/>
      </c>
      <c r="M198" s="25" t="str">
        <f aca="false">IF(L198="","",IF(L198&gt;0.25,"ACRÉSCIMO ACIMA DE 25% — conferir",""))</f>
        <v/>
      </c>
      <c r="N198" s="29" t="str">
        <f aca="false">IF(D198="","",IF(COUNTIFS(Empresas!$B:$B,D198,Empresas!$E:$E,"&lt;&gt;")=0,"",INDEX(Empresas!$E:$E,MATCH(D198,Empresas!$B:$B,0))))</f>
        <v/>
      </c>
      <c r="O198" s="27" t="str">
        <f aca="false">IF(OR(N198="",H198=""),"",H198-N198)</f>
        <v/>
      </c>
      <c r="P198" s="25" t="str">
        <f aca="false">IF(O198="","",IF(O198&lt;0,"CONTRATO ANTERIOR À ABERTURA — conferir datas",IF(O198&lt;180,"EMPRESA ABERTA MENOS DE 6 MESES ANTES","")))</f>
        <v/>
      </c>
      <c r="Q198" s="31" t="str">
        <f aca="false">IF(D198="","",IFERROR(INDEX(Sancoes!$D:$D,MATCH(D198,Sancoes!$C:$C,0)),"não consta"))</f>
        <v/>
      </c>
      <c r="R198" s="25" t="str">
        <f aca="false">IF(OR(D198="",H198=""),"",IF(SUMPRODUCT((Sancoes!$C$5:$C$304=D198)*(Sancoes!$G$5:$G$304&lt;=H198)*(((Sancoes!$H$5:$H$304="")+(Sancoes!$H$5:$H$304&gt;=H198))&gt;0))&gt;0,"SANÇÃO VIGENTE NA DATA — ler tipo e abrangência",""))</f>
        <v/>
      </c>
      <c r="S198" s="24"/>
      <c r="T198" s="11"/>
    </row>
    <row r="199" customFormat="false" ht="15" hidden="false" customHeight="false" outlineLevel="0" collapsed="false">
      <c r="A199" s="11"/>
      <c r="B199" s="24"/>
      <c r="C199" s="24"/>
      <c r="D199" s="31" t="str">
        <f aca="false">IF(C199="","",IF(LEN(UPPER(SUBSTITUTE(SUBSTITUTE(SUBSTITUTE(SUBSTITUTE(TRIM(C199),".",""),"/",""),"-","")," ","")))&lt;14,RIGHT(REPT("0",14)&amp;UPPER(SUBSTITUTE(SUBSTITUTE(SUBSTITUTE(SUBSTITUTE(TRIM(C199),".",""),"/",""),"-","")," ","")),14),UPPER(SUBSTITUTE(SUBSTITUTE(SUBSTITUTE(SUBSTITUTE(TRIM(C199),".",""),"/",""),"-","")," ",""))))</f>
        <v/>
      </c>
      <c r="E199" s="25" t="str">
        <f aca="false">IF(D199="","",IFERROR(INDEX(Empresas!$C:$C,MATCH(D199,Empresas!$B:$B,0)),"cadastre o CNPJ em Empresas"))</f>
        <v/>
      </c>
      <c r="F199" s="11"/>
      <c r="G199" s="23"/>
      <c r="H199" s="22"/>
      <c r="I199" s="35"/>
      <c r="J199" s="35"/>
      <c r="K199" s="36" t="str">
        <f aca="false">IF(I199="","",I199+J199)</f>
        <v/>
      </c>
      <c r="L199" s="37" t="str">
        <f aca="false">IF(OR(I199="",I199=0,J199=""),"",J199/I199)</f>
        <v/>
      </c>
      <c r="M199" s="25" t="str">
        <f aca="false">IF(L199="","",IF(L199&gt;0.25,"ACRÉSCIMO ACIMA DE 25% — conferir",""))</f>
        <v/>
      </c>
      <c r="N199" s="29" t="str">
        <f aca="false">IF(D199="","",IF(COUNTIFS(Empresas!$B:$B,D199,Empresas!$E:$E,"&lt;&gt;")=0,"",INDEX(Empresas!$E:$E,MATCH(D199,Empresas!$B:$B,0))))</f>
        <v/>
      </c>
      <c r="O199" s="27" t="str">
        <f aca="false">IF(OR(N199="",H199=""),"",H199-N199)</f>
        <v/>
      </c>
      <c r="P199" s="25" t="str">
        <f aca="false">IF(O199="","",IF(O199&lt;0,"CONTRATO ANTERIOR À ABERTURA — conferir datas",IF(O199&lt;180,"EMPRESA ABERTA MENOS DE 6 MESES ANTES","")))</f>
        <v/>
      </c>
      <c r="Q199" s="31" t="str">
        <f aca="false">IF(D199="","",IFERROR(INDEX(Sancoes!$D:$D,MATCH(D199,Sancoes!$C:$C,0)),"não consta"))</f>
        <v/>
      </c>
      <c r="R199" s="25" t="str">
        <f aca="false">IF(OR(D199="",H199=""),"",IF(SUMPRODUCT((Sancoes!$C$5:$C$304=D199)*(Sancoes!$G$5:$G$304&lt;=H199)*(((Sancoes!$H$5:$H$304="")+(Sancoes!$H$5:$H$304&gt;=H199))&gt;0))&gt;0,"SANÇÃO VIGENTE NA DATA — ler tipo e abrangência",""))</f>
        <v/>
      </c>
      <c r="S199" s="24"/>
      <c r="T199" s="11"/>
    </row>
    <row r="200" customFormat="false" ht="15" hidden="false" customHeight="false" outlineLevel="0" collapsed="false">
      <c r="A200" s="11"/>
      <c r="B200" s="24"/>
      <c r="C200" s="24"/>
      <c r="D200" s="31" t="str">
        <f aca="false">IF(C200="","",IF(LEN(UPPER(SUBSTITUTE(SUBSTITUTE(SUBSTITUTE(SUBSTITUTE(TRIM(C200),".",""),"/",""),"-","")," ","")))&lt;14,RIGHT(REPT("0",14)&amp;UPPER(SUBSTITUTE(SUBSTITUTE(SUBSTITUTE(SUBSTITUTE(TRIM(C200),".",""),"/",""),"-","")," ","")),14),UPPER(SUBSTITUTE(SUBSTITUTE(SUBSTITUTE(SUBSTITUTE(TRIM(C200),".",""),"/",""),"-","")," ",""))))</f>
        <v/>
      </c>
      <c r="E200" s="25" t="str">
        <f aca="false">IF(D200="","",IFERROR(INDEX(Empresas!$C:$C,MATCH(D200,Empresas!$B:$B,0)),"cadastre o CNPJ em Empresas"))</f>
        <v/>
      </c>
      <c r="F200" s="11"/>
      <c r="G200" s="23"/>
      <c r="H200" s="22"/>
      <c r="I200" s="35"/>
      <c r="J200" s="35"/>
      <c r="K200" s="36" t="str">
        <f aca="false">IF(I200="","",I200+J200)</f>
        <v/>
      </c>
      <c r="L200" s="37" t="str">
        <f aca="false">IF(OR(I200="",I200=0,J200=""),"",J200/I200)</f>
        <v/>
      </c>
      <c r="M200" s="25" t="str">
        <f aca="false">IF(L200="","",IF(L200&gt;0.25,"ACRÉSCIMO ACIMA DE 25% — conferir",""))</f>
        <v/>
      </c>
      <c r="N200" s="29" t="str">
        <f aca="false">IF(D200="","",IF(COUNTIFS(Empresas!$B:$B,D200,Empresas!$E:$E,"&lt;&gt;")=0,"",INDEX(Empresas!$E:$E,MATCH(D200,Empresas!$B:$B,0))))</f>
        <v/>
      </c>
      <c r="O200" s="27" t="str">
        <f aca="false">IF(OR(N200="",H200=""),"",H200-N200)</f>
        <v/>
      </c>
      <c r="P200" s="25" t="str">
        <f aca="false">IF(O200="","",IF(O200&lt;0,"CONTRATO ANTERIOR À ABERTURA — conferir datas",IF(O200&lt;180,"EMPRESA ABERTA MENOS DE 6 MESES ANTES","")))</f>
        <v/>
      </c>
      <c r="Q200" s="31" t="str">
        <f aca="false">IF(D200="","",IFERROR(INDEX(Sancoes!$D:$D,MATCH(D200,Sancoes!$C:$C,0)),"não consta"))</f>
        <v/>
      </c>
      <c r="R200" s="25" t="str">
        <f aca="false">IF(OR(D200="",H200=""),"",IF(SUMPRODUCT((Sancoes!$C$5:$C$304=D200)*(Sancoes!$G$5:$G$304&lt;=H200)*(((Sancoes!$H$5:$H$304="")+(Sancoes!$H$5:$H$304&gt;=H200))&gt;0))&gt;0,"SANÇÃO VIGENTE NA DATA — ler tipo e abrangência",""))</f>
        <v/>
      </c>
      <c r="S200" s="24"/>
      <c r="T200" s="11"/>
    </row>
    <row r="201" customFormat="false" ht="15" hidden="false" customHeight="false" outlineLevel="0" collapsed="false">
      <c r="A201" s="11"/>
      <c r="B201" s="24"/>
      <c r="C201" s="24"/>
      <c r="D201" s="31" t="str">
        <f aca="false">IF(C201="","",IF(LEN(UPPER(SUBSTITUTE(SUBSTITUTE(SUBSTITUTE(SUBSTITUTE(TRIM(C201),".",""),"/",""),"-","")," ","")))&lt;14,RIGHT(REPT("0",14)&amp;UPPER(SUBSTITUTE(SUBSTITUTE(SUBSTITUTE(SUBSTITUTE(TRIM(C201),".",""),"/",""),"-","")," ","")),14),UPPER(SUBSTITUTE(SUBSTITUTE(SUBSTITUTE(SUBSTITUTE(TRIM(C201),".",""),"/",""),"-","")," ",""))))</f>
        <v/>
      </c>
      <c r="E201" s="25" t="str">
        <f aca="false">IF(D201="","",IFERROR(INDEX(Empresas!$C:$C,MATCH(D201,Empresas!$B:$B,0)),"cadastre o CNPJ em Empresas"))</f>
        <v/>
      </c>
      <c r="F201" s="11"/>
      <c r="G201" s="23"/>
      <c r="H201" s="22"/>
      <c r="I201" s="35"/>
      <c r="J201" s="35"/>
      <c r="K201" s="36" t="str">
        <f aca="false">IF(I201="","",I201+J201)</f>
        <v/>
      </c>
      <c r="L201" s="37" t="str">
        <f aca="false">IF(OR(I201="",I201=0,J201=""),"",J201/I201)</f>
        <v/>
      </c>
      <c r="M201" s="25" t="str">
        <f aca="false">IF(L201="","",IF(L201&gt;0.25,"ACRÉSCIMO ACIMA DE 25% — conferir",""))</f>
        <v/>
      </c>
      <c r="N201" s="29" t="str">
        <f aca="false">IF(D201="","",IF(COUNTIFS(Empresas!$B:$B,D201,Empresas!$E:$E,"&lt;&gt;")=0,"",INDEX(Empresas!$E:$E,MATCH(D201,Empresas!$B:$B,0))))</f>
        <v/>
      </c>
      <c r="O201" s="27" t="str">
        <f aca="false">IF(OR(N201="",H201=""),"",H201-N201)</f>
        <v/>
      </c>
      <c r="P201" s="25" t="str">
        <f aca="false">IF(O201="","",IF(O201&lt;0,"CONTRATO ANTERIOR À ABERTURA — conferir datas",IF(O201&lt;180,"EMPRESA ABERTA MENOS DE 6 MESES ANTES","")))</f>
        <v/>
      </c>
      <c r="Q201" s="31" t="str">
        <f aca="false">IF(D201="","",IFERROR(INDEX(Sancoes!$D:$D,MATCH(D201,Sancoes!$C:$C,0)),"não consta"))</f>
        <v/>
      </c>
      <c r="R201" s="25" t="str">
        <f aca="false">IF(OR(D201="",H201=""),"",IF(SUMPRODUCT((Sancoes!$C$5:$C$304=D201)*(Sancoes!$G$5:$G$304&lt;=H201)*(((Sancoes!$H$5:$H$304="")+(Sancoes!$H$5:$H$304&gt;=H201))&gt;0))&gt;0,"SANÇÃO VIGENTE NA DATA — ler tipo e abrangência",""))</f>
        <v/>
      </c>
      <c r="S201" s="24"/>
      <c r="T201" s="11"/>
    </row>
    <row r="202" customFormat="false" ht="15" hidden="false" customHeight="false" outlineLevel="0" collapsed="false">
      <c r="A202" s="11"/>
      <c r="B202" s="24"/>
      <c r="C202" s="24"/>
      <c r="D202" s="31" t="str">
        <f aca="false">IF(C202="","",IF(LEN(UPPER(SUBSTITUTE(SUBSTITUTE(SUBSTITUTE(SUBSTITUTE(TRIM(C202),".",""),"/",""),"-","")," ","")))&lt;14,RIGHT(REPT("0",14)&amp;UPPER(SUBSTITUTE(SUBSTITUTE(SUBSTITUTE(SUBSTITUTE(TRIM(C202),".",""),"/",""),"-","")," ","")),14),UPPER(SUBSTITUTE(SUBSTITUTE(SUBSTITUTE(SUBSTITUTE(TRIM(C202),".",""),"/",""),"-","")," ",""))))</f>
        <v/>
      </c>
      <c r="E202" s="25" t="str">
        <f aca="false">IF(D202="","",IFERROR(INDEX(Empresas!$C:$C,MATCH(D202,Empresas!$B:$B,0)),"cadastre o CNPJ em Empresas"))</f>
        <v/>
      </c>
      <c r="F202" s="11"/>
      <c r="G202" s="23"/>
      <c r="H202" s="22"/>
      <c r="I202" s="35"/>
      <c r="J202" s="35"/>
      <c r="K202" s="36" t="str">
        <f aca="false">IF(I202="","",I202+J202)</f>
        <v/>
      </c>
      <c r="L202" s="37" t="str">
        <f aca="false">IF(OR(I202="",I202=0,J202=""),"",J202/I202)</f>
        <v/>
      </c>
      <c r="M202" s="25" t="str">
        <f aca="false">IF(L202="","",IF(L202&gt;0.25,"ACRÉSCIMO ACIMA DE 25% — conferir",""))</f>
        <v/>
      </c>
      <c r="N202" s="29" t="str">
        <f aca="false">IF(D202="","",IF(COUNTIFS(Empresas!$B:$B,D202,Empresas!$E:$E,"&lt;&gt;")=0,"",INDEX(Empresas!$E:$E,MATCH(D202,Empresas!$B:$B,0))))</f>
        <v/>
      </c>
      <c r="O202" s="27" t="str">
        <f aca="false">IF(OR(N202="",H202=""),"",H202-N202)</f>
        <v/>
      </c>
      <c r="P202" s="25" t="str">
        <f aca="false">IF(O202="","",IF(O202&lt;0,"CONTRATO ANTERIOR À ABERTURA — conferir datas",IF(O202&lt;180,"EMPRESA ABERTA MENOS DE 6 MESES ANTES","")))</f>
        <v/>
      </c>
      <c r="Q202" s="31" t="str">
        <f aca="false">IF(D202="","",IFERROR(INDEX(Sancoes!$D:$D,MATCH(D202,Sancoes!$C:$C,0)),"não consta"))</f>
        <v/>
      </c>
      <c r="R202" s="25" t="str">
        <f aca="false">IF(OR(D202="",H202=""),"",IF(SUMPRODUCT((Sancoes!$C$5:$C$304=D202)*(Sancoes!$G$5:$G$304&lt;=H202)*(((Sancoes!$H$5:$H$304="")+(Sancoes!$H$5:$H$304&gt;=H202))&gt;0))&gt;0,"SANÇÃO VIGENTE NA DATA — ler tipo e abrangência",""))</f>
        <v/>
      </c>
      <c r="S202" s="24"/>
      <c r="T202" s="11"/>
    </row>
    <row r="203" customFormat="false" ht="15" hidden="false" customHeight="false" outlineLevel="0" collapsed="false">
      <c r="A203" s="11"/>
      <c r="B203" s="24"/>
      <c r="C203" s="24"/>
      <c r="D203" s="31" t="str">
        <f aca="false">IF(C203="","",IF(LEN(UPPER(SUBSTITUTE(SUBSTITUTE(SUBSTITUTE(SUBSTITUTE(TRIM(C203),".",""),"/",""),"-","")," ","")))&lt;14,RIGHT(REPT("0",14)&amp;UPPER(SUBSTITUTE(SUBSTITUTE(SUBSTITUTE(SUBSTITUTE(TRIM(C203),".",""),"/",""),"-","")," ","")),14),UPPER(SUBSTITUTE(SUBSTITUTE(SUBSTITUTE(SUBSTITUTE(TRIM(C203),".",""),"/",""),"-","")," ",""))))</f>
        <v/>
      </c>
      <c r="E203" s="25" t="str">
        <f aca="false">IF(D203="","",IFERROR(INDEX(Empresas!$C:$C,MATCH(D203,Empresas!$B:$B,0)),"cadastre o CNPJ em Empresas"))</f>
        <v/>
      </c>
      <c r="F203" s="11"/>
      <c r="G203" s="23"/>
      <c r="H203" s="22"/>
      <c r="I203" s="35"/>
      <c r="J203" s="35"/>
      <c r="K203" s="36" t="str">
        <f aca="false">IF(I203="","",I203+J203)</f>
        <v/>
      </c>
      <c r="L203" s="37" t="str">
        <f aca="false">IF(OR(I203="",I203=0,J203=""),"",J203/I203)</f>
        <v/>
      </c>
      <c r="M203" s="25" t="str">
        <f aca="false">IF(L203="","",IF(L203&gt;0.25,"ACRÉSCIMO ACIMA DE 25% — conferir",""))</f>
        <v/>
      </c>
      <c r="N203" s="29" t="str">
        <f aca="false">IF(D203="","",IF(COUNTIFS(Empresas!$B:$B,D203,Empresas!$E:$E,"&lt;&gt;")=0,"",INDEX(Empresas!$E:$E,MATCH(D203,Empresas!$B:$B,0))))</f>
        <v/>
      </c>
      <c r="O203" s="27" t="str">
        <f aca="false">IF(OR(N203="",H203=""),"",H203-N203)</f>
        <v/>
      </c>
      <c r="P203" s="25" t="str">
        <f aca="false">IF(O203="","",IF(O203&lt;0,"CONTRATO ANTERIOR À ABERTURA — conferir datas",IF(O203&lt;180,"EMPRESA ABERTA MENOS DE 6 MESES ANTES","")))</f>
        <v/>
      </c>
      <c r="Q203" s="31" t="str">
        <f aca="false">IF(D203="","",IFERROR(INDEX(Sancoes!$D:$D,MATCH(D203,Sancoes!$C:$C,0)),"não consta"))</f>
        <v/>
      </c>
      <c r="R203" s="25" t="str">
        <f aca="false">IF(OR(D203="",H203=""),"",IF(SUMPRODUCT((Sancoes!$C$5:$C$304=D203)*(Sancoes!$G$5:$G$304&lt;=H203)*(((Sancoes!$H$5:$H$304="")+(Sancoes!$H$5:$H$304&gt;=H203))&gt;0))&gt;0,"SANÇÃO VIGENTE NA DATA — ler tipo e abrangência",""))</f>
        <v/>
      </c>
      <c r="S203" s="24"/>
      <c r="T203" s="11"/>
    </row>
    <row r="204" customFormat="false" ht="15" hidden="false" customHeight="false" outlineLevel="0" collapsed="false">
      <c r="A204" s="11"/>
      <c r="B204" s="24"/>
      <c r="C204" s="24"/>
      <c r="D204" s="31" t="str">
        <f aca="false">IF(C204="","",IF(LEN(UPPER(SUBSTITUTE(SUBSTITUTE(SUBSTITUTE(SUBSTITUTE(TRIM(C204),".",""),"/",""),"-","")," ","")))&lt;14,RIGHT(REPT("0",14)&amp;UPPER(SUBSTITUTE(SUBSTITUTE(SUBSTITUTE(SUBSTITUTE(TRIM(C204),".",""),"/",""),"-","")," ","")),14),UPPER(SUBSTITUTE(SUBSTITUTE(SUBSTITUTE(SUBSTITUTE(TRIM(C204),".",""),"/",""),"-","")," ",""))))</f>
        <v/>
      </c>
      <c r="E204" s="25" t="str">
        <f aca="false">IF(D204="","",IFERROR(INDEX(Empresas!$C:$C,MATCH(D204,Empresas!$B:$B,0)),"cadastre o CNPJ em Empresas"))</f>
        <v/>
      </c>
      <c r="F204" s="11"/>
      <c r="G204" s="23"/>
      <c r="H204" s="22"/>
      <c r="I204" s="35"/>
      <c r="J204" s="35"/>
      <c r="K204" s="36" t="str">
        <f aca="false">IF(I204="","",I204+J204)</f>
        <v/>
      </c>
      <c r="L204" s="37" t="str">
        <f aca="false">IF(OR(I204="",I204=0,J204=""),"",J204/I204)</f>
        <v/>
      </c>
      <c r="M204" s="25" t="str">
        <f aca="false">IF(L204="","",IF(L204&gt;0.25,"ACRÉSCIMO ACIMA DE 25% — conferir",""))</f>
        <v/>
      </c>
      <c r="N204" s="29" t="str">
        <f aca="false">IF(D204="","",IF(COUNTIFS(Empresas!$B:$B,D204,Empresas!$E:$E,"&lt;&gt;")=0,"",INDEX(Empresas!$E:$E,MATCH(D204,Empresas!$B:$B,0))))</f>
        <v/>
      </c>
      <c r="O204" s="27" t="str">
        <f aca="false">IF(OR(N204="",H204=""),"",H204-N204)</f>
        <v/>
      </c>
      <c r="P204" s="25" t="str">
        <f aca="false">IF(O204="","",IF(O204&lt;0,"CONTRATO ANTERIOR À ABERTURA — conferir datas",IF(O204&lt;180,"EMPRESA ABERTA MENOS DE 6 MESES ANTES","")))</f>
        <v/>
      </c>
      <c r="Q204" s="31" t="str">
        <f aca="false">IF(D204="","",IFERROR(INDEX(Sancoes!$D:$D,MATCH(D204,Sancoes!$C:$C,0)),"não consta"))</f>
        <v/>
      </c>
      <c r="R204" s="25" t="str">
        <f aca="false">IF(OR(D204="",H204=""),"",IF(SUMPRODUCT((Sancoes!$C$5:$C$304=D204)*(Sancoes!$G$5:$G$304&lt;=H204)*(((Sancoes!$H$5:$H$304="")+(Sancoes!$H$5:$H$304&gt;=H204))&gt;0))&gt;0,"SANÇÃO VIGENTE NA DATA — ler tipo e abrangência",""))</f>
        <v/>
      </c>
      <c r="S204" s="24"/>
      <c r="T204" s="11"/>
    </row>
    <row r="205" customFormat="false" ht="15" hidden="false" customHeight="false" outlineLevel="0" collapsed="false">
      <c r="A205" s="11"/>
      <c r="B205" s="24"/>
      <c r="C205" s="24"/>
      <c r="D205" s="31" t="str">
        <f aca="false">IF(C205="","",IF(LEN(UPPER(SUBSTITUTE(SUBSTITUTE(SUBSTITUTE(SUBSTITUTE(TRIM(C205),".",""),"/",""),"-","")," ","")))&lt;14,RIGHT(REPT("0",14)&amp;UPPER(SUBSTITUTE(SUBSTITUTE(SUBSTITUTE(SUBSTITUTE(TRIM(C205),".",""),"/",""),"-","")," ","")),14),UPPER(SUBSTITUTE(SUBSTITUTE(SUBSTITUTE(SUBSTITUTE(TRIM(C205),".",""),"/",""),"-","")," ",""))))</f>
        <v/>
      </c>
      <c r="E205" s="25" t="str">
        <f aca="false">IF(D205="","",IFERROR(INDEX(Empresas!$C:$C,MATCH(D205,Empresas!$B:$B,0)),"cadastre o CNPJ em Empresas"))</f>
        <v/>
      </c>
      <c r="F205" s="11"/>
      <c r="G205" s="23"/>
      <c r="H205" s="22"/>
      <c r="I205" s="35"/>
      <c r="J205" s="35"/>
      <c r="K205" s="36" t="str">
        <f aca="false">IF(I205="","",I205+J205)</f>
        <v/>
      </c>
      <c r="L205" s="37" t="str">
        <f aca="false">IF(OR(I205="",I205=0,J205=""),"",J205/I205)</f>
        <v/>
      </c>
      <c r="M205" s="25" t="str">
        <f aca="false">IF(L205="","",IF(L205&gt;0.25,"ACRÉSCIMO ACIMA DE 25% — conferir",""))</f>
        <v/>
      </c>
      <c r="N205" s="29" t="str">
        <f aca="false">IF(D205="","",IF(COUNTIFS(Empresas!$B:$B,D205,Empresas!$E:$E,"&lt;&gt;")=0,"",INDEX(Empresas!$E:$E,MATCH(D205,Empresas!$B:$B,0))))</f>
        <v/>
      </c>
      <c r="O205" s="27" t="str">
        <f aca="false">IF(OR(N205="",H205=""),"",H205-N205)</f>
        <v/>
      </c>
      <c r="P205" s="25" t="str">
        <f aca="false">IF(O205="","",IF(O205&lt;0,"CONTRATO ANTERIOR À ABERTURA — conferir datas",IF(O205&lt;180,"EMPRESA ABERTA MENOS DE 6 MESES ANTES","")))</f>
        <v/>
      </c>
      <c r="Q205" s="31" t="str">
        <f aca="false">IF(D205="","",IFERROR(INDEX(Sancoes!$D:$D,MATCH(D205,Sancoes!$C:$C,0)),"não consta"))</f>
        <v/>
      </c>
      <c r="R205" s="25" t="str">
        <f aca="false">IF(OR(D205="",H205=""),"",IF(SUMPRODUCT((Sancoes!$C$5:$C$304=D205)*(Sancoes!$G$5:$G$304&lt;=H205)*(((Sancoes!$H$5:$H$304="")+(Sancoes!$H$5:$H$304&gt;=H205))&gt;0))&gt;0,"SANÇÃO VIGENTE NA DATA — ler tipo e abrangência",""))</f>
        <v/>
      </c>
      <c r="S205" s="24"/>
      <c r="T205" s="11"/>
    </row>
    <row r="206" customFormat="false" ht="15" hidden="false" customHeight="false" outlineLevel="0" collapsed="false">
      <c r="A206" s="11"/>
      <c r="B206" s="24"/>
      <c r="C206" s="24"/>
      <c r="D206" s="31" t="str">
        <f aca="false">IF(C206="","",IF(LEN(UPPER(SUBSTITUTE(SUBSTITUTE(SUBSTITUTE(SUBSTITUTE(TRIM(C206),".",""),"/",""),"-","")," ","")))&lt;14,RIGHT(REPT("0",14)&amp;UPPER(SUBSTITUTE(SUBSTITUTE(SUBSTITUTE(SUBSTITUTE(TRIM(C206),".",""),"/",""),"-","")," ","")),14),UPPER(SUBSTITUTE(SUBSTITUTE(SUBSTITUTE(SUBSTITUTE(TRIM(C206),".",""),"/",""),"-","")," ",""))))</f>
        <v/>
      </c>
      <c r="E206" s="25" t="str">
        <f aca="false">IF(D206="","",IFERROR(INDEX(Empresas!$C:$C,MATCH(D206,Empresas!$B:$B,0)),"cadastre o CNPJ em Empresas"))</f>
        <v/>
      </c>
      <c r="F206" s="11"/>
      <c r="G206" s="23"/>
      <c r="H206" s="22"/>
      <c r="I206" s="35"/>
      <c r="J206" s="35"/>
      <c r="K206" s="36" t="str">
        <f aca="false">IF(I206="","",I206+J206)</f>
        <v/>
      </c>
      <c r="L206" s="37" t="str">
        <f aca="false">IF(OR(I206="",I206=0,J206=""),"",J206/I206)</f>
        <v/>
      </c>
      <c r="M206" s="25" t="str">
        <f aca="false">IF(L206="","",IF(L206&gt;0.25,"ACRÉSCIMO ACIMA DE 25% — conferir",""))</f>
        <v/>
      </c>
      <c r="N206" s="29" t="str">
        <f aca="false">IF(D206="","",IF(COUNTIFS(Empresas!$B:$B,D206,Empresas!$E:$E,"&lt;&gt;")=0,"",INDEX(Empresas!$E:$E,MATCH(D206,Empresas!$B:$B,0))))</f>
        <v/>
      </c>
      <c r="O206" s="27" t="str">
        <f aca="false">IF(OR(N206="",H206=""),"",H206-N206)</f>
        <v/>
      </c>
      <c r="P206" s="25" t="str">
        <f aca="false">IF(O206="","",IF(O206&lt;0,"CONTRATO ANTERIOR À ABERTURA — conferir datas",IF(O206&lt;180,"EMPRESA ABERTA MENOS DE 6 MESES ANTES","")))</f>
        <v/>
      </c>
      <c r="Q206" s="31" t="str">
        <f aca="false">IF(D206="","",IFERROR(INDEX(Sancoes!$D:$D,MATCH(D206,Sancoes!$C:$C,0)),"não consta"))</f>
        <v/>
      </c>
      <c r="R206" s="25" t="str">
        <f aca="false">IF(OR(D206="",H206=""),"",IF(SUMPRODUCT((Sancoes!$C$5:$C$304=D206)*(Sancoes!$G$5:$G$304&lt;=H206)*(((Sancoes!$H$5:$H$304="")+(Sancoes!$H$5:$H$304&gt;=H206))&gt;0))&gt;0,"SANÇÃO VIGENTE NA DATA — ler tipo e abrangência",""))</f>
        <v/>
      </c>
      <c r="S206" s="24"/>
      <c r="T206" s="11"/>
    </row>
    <row r="207" customFormat="false" ht="15" hidden="false" customHeight="false" outlineLevel="0" collapsed="false">
      <c r="A207" s="11"/>
      <c r="B207" s="24"/>
      <c r="C207" s="24"/>
      <c r="D207" s="31" t="str">
        <f aca="false">IF(C207="","",IF(LEN(UPPER(SUBSTITUTE(SUBSTITUTE(SUBSTITUTE(SUBSTITUTE(TRIM(C207),".",""),"/",""),"-","")," ","")))&lt;14,RIGHT(REPT("0",14)&amp;UPPER(SUBSTITUTE(SUBSTITUTE(SUBSTITUTE(SUBSTITUTE(TRIM(C207),".",""),"/",""),"-","")," ","")),14),UPPER(SUBSTITUTE(SUBSTITUTE(SUBSTITUTE(SUBSTITUTE(TRIM(C207),".",""),"/",""),"-","")," ",""))))</f>
        <v/>
      </c>
      <c r="E207" s="25" t="str">
        <f aca="false">IF(D207="","",IFERROR(INDEX(Empresas!$C:$C,MATCH(D207,Empresas!$B:$B,0)),"cadastre o CNPJ em Empresas"))</f>
        <v/>
      </c>
      <c r="F207" s="11"/>
      <c r="G207" s="23"/>
      <c r="H207" s="22"/>
      <c r="I207" s="35"/>
      <c r="J207" s="35"/>
      <c r="K207" s="36" t="str">
        <f aca="false">IF(I207="","",I207+J207)</f>
        <v/>
      </c>
      <c r="L207" s="37" t="str">
        <f aca="false">IF(OR(I207="",I207=0,J207=""),"",J207/I207)</f>
        <v/>
      </c>
      <c r="M207" s="25" t="str">
        <f aca="false">IF(L207="","",IF(L207&gt;0.25,"ACRÉSCIMO ACIMA DE 25% — conferir",""))</f>
        <v/>
      </c>
      <c r="N207" s="29" t="str">
        <f aca="false">IF(D207="","",IF(COUNTIFS(Empresas!$B:$B,D207,Empresas!$E:$E,"&lt;&gt;")=0,"",INDEX(Empresas!$E:$E,MATCH(D207,Empresas!$B:$B,0))))</f>
        <v/>
      </c>
      <c r="O207" s="27" t="str">
        <f aca="false">IF(OR(N207="",H207=""),"",H207-N207)</f>
        <v/>
      </c>
      <c r="P207" s="25" t="str">
        <f aca="false">IF(O207="","",IF(O207&lt;0,"CONTRATO ANTERIOR À ABERTURA — conferir datas",IF(O207&lt;180,"EMPRESA ABERTA MENOS DE 6 MESES ANTES","")))</f>
        <v/>
      </c>
      <c r="Q207" s="31" t="str">
        <f aca="false">IF(D207="","",IFERROR(INDEX(Sancoes!$D:$D,MATCH(D207,Sancoes!$C:$C,0)),"não consta"))</f>
        <v/>
      </c>
      <c r="R207" s="25" t="str">
        <f aca="false">IF(OR(D207="",H207=""),"",IF(SUMPRODUCT((Sancoes!$C$5:$C$304=D207)*(Sancoes!$G$5:$G$304&lt;=H207)*(((Sancoes!$H$5:$H$304="")+(Sancoes!$H$5:$H$304&gt;=H207))&gt;0))&gt;0,"SANÇÃO VIGENTE NA DATA — ler tipo e abrangência",""))</f>
        <v/>
      </c>
      <c r="S207" s="24"/>
      <c r="T207" s="11"/>
    </row>
    <row r="208" customFormat="false" ht="15" hidden="false" customHeight="false" outlineLevel="0" collapsed="false">
      <c r="A208" s="11"/>
      <c r="B208" s="24"/>
      <c r="C208" s="24"/>
      <c r="D208" s="31" t="str">
        <f aca="false">IF(C208="","",IF(LEN(UPPER(SUBSTITUTE(SUBSTITUTE(SUBSTITUTE(SUBSTITUTE(TRIM(C208),".",""),"/",""),"-","")," ","")))&lt;14,RIGHT(REPT("0",14)&amp;UPPER(SUBSTITUTE(SUBSTITUTE(SUBSTITUTE(SUBSTITUTE(TRIM(C208),".",""),"/",""),"-","")," ","")),14),UPPER(SUBSTITUTE(SUBSTITUTE(SUBSTITUTE(SUBSTITUTE(TRIM(C208),".",""),"/",""),"-","")," ",""))))</f>
        <v/>
      </c>
      <c r="E208" s="25" t="str">
        <f aca="false">IF(D208="","",IFERROR(INDEX(Empresas!$C:$C,MATCH(D208,Empresas!$B:$B,0)),"cadastre o CNPJ em Empresas"))</f>
        <v/>
      </c>
      <c r="F208" s="11"/>
      <c r="G208" s="23"/>
      <c r="H208" s="22"/>
      <c r="I208" s="35"/>
      <c r="J208" s="35"/>
      <c r="K208" s="36" t="str">
        <f aca="false">IF(I208="","",I208+J208)</f>
        <v/>
      </c>
      <c r="L208" s="37" t="str">
        <f aca="false">IF(OR(I208="",I208=0,J208=""),"",J208/I208)</f>
        <v/>
      </c>
      <c r="M208" s="25" t="str">
        <f aca="false">IF(L208="","",IF(L208&gt;0.25,"ACRÉSCIMO ACIMA DE 25% — conferir",""))</f>
        <v/>
      </c>
      <c r="N208" s="29" t="str">
        <f aca="false">IF(D208="","",IF(COUNTIFS(Empresas!$B:$B,D208,Empresas!$E:$E,"&lt;&gt;")=0,"",INDEX(Empresas!$E:$E,MATCH(D208,Empresas!$B:$B,0))))</f>
        <v/>
      </c>
      <c r="O208" s="27" t="str">
        <f aca="false">IF(OR(N208="",H208=""),"",H208-N208)</f>
        <v/>
      </c>
      <c r="P208" s="25" t="str">
        <f aca="false">IF(O208="","",IF(O208&lt;0,"CONTRATO ANTERIOR À ABERTURA — conferir datas",IF(O208&lt;180,"EMPRESA ABERTA MENOS DE 6 MESES ANTES","")))</f>
        <v/>
      </c>
      <c r="Q208" s="31" t="str">
        <f aca="false">IF(D208="","",IFERROR(INDEX(Sancoes!$D:$D,MATCH(D208,Sancoes!$C:$C,0)),"não consta"))</f>
        <v/>
      </c>
      <c r="R208" s="25" t="str">
        <f aca="false">IF(OR(D208="",H208=""),"",IF(SUMPRODUCT((Sancoes!$C$5:$C$304=D208)*(Sancoes!$G$5:$G$304&lt;=H208)*(((Sancoes!$H$5:$H$304="")+(Sancoes!$H$5:$H$304&gt;=H208))&gt;0))&gt;0,"SANÇÃO VIGENTE NA DATA — ler tipo e abrangência",""))</f>
        <v/>
      </c>
      <c r="S208" s="24"/>
      <c r="T208" s="11"/>
    </row>
    <row r="209" customFormat="false" ht="15" hidden="false" customHeight="false" outlineLevel="0" collapsed="false">
      <c r="A209" s="11"/>
      <c r="B209" s="24"/>
      <c r="C209" s="24"/>
      <c r="D209" s="31" t="str">
        <f aca="false">IF(C209="","",IF(LEN(UPPER(SUBSTITUTE(SUBSTITUTE(SUBSTITUTE(SUBSTITUTE(TRIM(C209),".",""),"/",""),"-","")," ","")))&lt;14,RIGHT(REPT("0",14)&amp;UPPER(SUBSTITUTE(SUBSTITUTE(SUBSTITUTE(SUBSTITUTE(TRIM(C209),".",""),"/",""),"-","")," ","")),14),UPPER(SUBSTITUTE(SUBSTITUTE(SUBSTITUTE(SUBSTITUTE(TRIM(C209),".",""),"/",""),"-","")," ",""))))</f>
        <v/>
      </c>
      <c r="E209" s="25" t="str">
        <f aca="false">IF(D209="","",IFERROR(INDEX(Empresas!$C:$C,MATCH(D209,Empresas!$B:$B,0)),"cadastre o CNPJ em Empresas"))</f>
        <v/>
      </c>
      <c r="F209" s="11"/>
      <c r="G209" s="23"/>
      <c r="H209" s="22"/>
      <c r="I209" s="35"/>
      <c r="J209" s="35"/>
      <c r="K209" s="36" t="str">
        <f aca="false">IF(I209="","",I209+J209)</f>
        <v/>
      </c>
      <c r="L209" s="37" t="str">
        <f aca="false">IF(OR(I209="",I209=0,J209=""),"",J209/I209)</f>
        <v/>
      </c>
      <c r="M209" s="25" t="str">
        <f aca="false">IF(L209="","",IF(L209&gt;0.25,"ACRÉSCIMO ACIMA DE 25% — conferir",""))</f>
        <v/>
      </c>
      <c r="N209" s="29" t="str">
        <f aca="false">IF(D209="","",IF(COUNTIFS(Empresas!$B:$B,D209,Empresas!$E:$E,"&lt;&gt;")=0,"",INDEX(Empresas!$E:$E,MATCH(D209,Empresas!$B:$B,0))))</f>
        <v/>
      </c>
      <c r="O209" s="27" t="str">
        <f aca="false">IF(OR(N209="",H209=""),"",H209-N209)</f>
        <v/>
      </c>
      <c r="P209" s="25" t="str">
        <f aca="false">IF(O209="","",IF(O209&lt;0,"CONTRATO ANTERIOR À ABERTURA — conferir datas",IF(O209&lt;180,"EMPRESA ABERTA MENOS DE 6 MESES ANTES","")))</f>
        <v/>
      </c>
      <c r="Q209" s="31" t="str">
        <f aca="false">IF(D209="","",IFERROR(INDEX(Sancoes!$D:$D,MATCH(D209,Sancoes!$C:$C,0)),"não consta"))</f>
        <v/>
      </c>
      <c r="R209" s="25" t="str">
        <f aca="false">IF(OR(D209="",H209=""),"",IF(SUMPRODUCT((Sancoes!$C$5:$C$304=D209)*(Sancoes!$G$5:$G$304&lt;=H209)*(((Sancoes!$H$5:$H$304="")+(Sancoes!$H$5:$H$304&gt;=H209))&gt;0))&gt;0,"SANÇÃO VIGENTE NA DATA — ler tipo e abrangência",""))</f>
        <v/>
      </c>
      <c r="S209" s="24"/>
      <c r="T209" s="11"/>
    </row>
    <row r="210" customFormat="false" ht="15" hidden="false" customHeight="false" outlineLevel="0" collapsed="false">
      <c r="A210" s="11"/>
      <c r="B210" s="24"/>
      <c r="C210" s="24"/>
      <c r="D210" s="31" t="str">
        <f aca="false">IF(C210="","",IF(LEN(UPPER(SUBSTITUTE(SUBSTITUTE(SUBSTITUTE(SUBSTITUTE(TRIM(C210),".",""),"/",""),"-","")," ","")))&lt;14,RIGHT(REPT("0",14)&amp;UPPER(SUBSTITUTE(SUBSTITUTE(SUBSTITUTE(SUBSTITUTE(TRIM(C210),".",""),"/",""),"-","")," ","")),14),UPPER(SUBSTITUTE(SUBSTITUTE(SUBSTITUTE(SUBSTITUTE(TRIM(C210),".",""),"/",""),"-","")," ",""))))</f>
        <v/>
      </c>
      <c r="E210" s="25" t="str">
        <f aca="false">IF(D210="","",IFERROR(INDEX(Empresas!$C:$C,MATCH(D210,Empresas!$B:$B,0)),"cadastre o CNPJ em Empresas"))</f>
        <v/>
      </c>
      <c r="F210" s="11"/>
      <c r="G210" s="23"/>
      <c r="H210" s="22"/>
      <c r="I210" s="35"/>
      <c r="J210" s="35"/>
      <c r="K210" s="36" t="str">
        <f aca="false">IF(I210="","",I210+J210)</f>
        <v/>
      </c>
      <c r="L210" s="37" t="str">
        <f aca="false">IF(OR(I210="",I210=0,J210=""),"",J210/I210)</f>
        <v/>
      </c>
      <c r="M210" s="25" t="str">
        <f aca="false">IF(L210="","",IF(L210&gt;0.25,"ACRÉSCIMO ACIMA DE 25% — conferir",""))</f>
        <v/>
      </c>
      <c r="N210" s="29" t="str">
        <f aca="false">IF(D210="","",IF(COUNTIFS(Empresas!$B:$B,D210,Empresas!$E:$E,"&lt;&gt;")=0,"",INDEX(Empresas!$E:$E,MATCH(D210,Empresas!$B:$B,0))))</f>
        <v/>
      </c>
      <c r="O210" s="27" t="str">
        <f aca="false">IF(OR(N210="",H210=""),"",H210-N210)</f>
        <v/>
      </c>
      <c r="P210" s="25" t="str">
        <f aca="false">IF(O210="","",IF(O210&lt;0,"CONTRATO ANTERIOR À ABERTURA — conferir datas",IF(O210&lt;180,"EMPRESA ABERTA MENOS DE 6 MESES ANTES","")))</f>
        <v/>
      </c>
      <c r="Q210" s="31" t="str">
        <f aca="false">IF(D210="","",IFERROR(INDEX(Sancoes!$D:$D,MATCH(D210,Sancoes!$C:$C,0)),"não consta"))</f>
        <v/>
      </c>
      <c r="R210" s="25" t="str">
        <f aca="false">IF(OR(D210="",H210=""),"",IF(SUMPRODUCT((Sancoes!$C$5:$C$304=D210)*(Sancoes!$G$5:$G$304&lt;=H210)*(((Sancoes!$H$5:$H$304="")+(Sancoes!$H$5:$H$304&gt;=H210))&gt;0))&gt;0,"SANÇÃO VIGENTE NA DATA — ler tipo e abrangência",""))</f>
        <v/>
      </c>
      <c r="S210" s="24"/>
      <c r="T210" s="11"/>
    </row>
    <row r="211" customFormat="false" ht="15" hidden="false" customHeight="false" outlineLevel="0" collapsed="false">
      <c r="A211" s="11"/>
      <c r="B211" s="24"/>
      <c r="C211" s="24"/>
      <c r="D211" s="31" t="str">
        <f aca="false">IF(C211="","",IF(LEN(UPPER(SUBSTITUTE(SUBSTITUTE(SUBSTITUTE(SUBSTITUTE(TRIM(C211),".",""),"/",""),"-","")," ","")))&lt;14,RIGHT(REPT("0",14)&amp;UPPER(SUBSTITUTE(SUBSTITUTE(SUBSTITUTE(SUBSTITUTE(TRIM(C211),".",""),"/",""),"-","")," ","")),14),UPPER(SUBSTITUTE(SUBSTITUTE(SUBSTITUTE(SUBSTITUTE(TRIM(C211),".",""),"/",""),"-","")," ",""))))</f>
        <v/>
      </c>
      <c r="E211" s="25" t="str">
        <f aca="false">IF(D211="","",IFERROR(INDEX(Empresas!$C:$C,MATCH(D211,Empresas!$B:$B,0)),"cadastre o CNPJ em Empresas"))</f>
        <v/>
      </c>
      <c r="F211" s="11"/>
      <c r="G211" s="23"/>
      <c r="H211" s="22"/>
      <c r="I211" s="35"/>
      <c r="J211" s="35"/>
      <c r="K211" s="36" t="str">
        <f aca="false">IF(I211="","",I211+J211)</f>
        <v/>
      </c>
      <c r="L211" s="37" t="str">
        <f aca="false">IF(OR(I211="",I211=0,J211=""),"",J211/I211)</f>
        <v/>
      </c>
      <c r="M211" s="25" t="str">
        <f aca="false">IF(L211="","",IF(L211&gt;0.25,"ACRÉSCIMO ACIMA DE 25% — conferir",""))</f>
        <v/>
      </c>
      <c r="N211" s="29" t="str">
        <f aca="false">IF(D211="","",IF(COUNTIFS(Empresas!$B:$B,D211,Empresas!$E:$E,"&lt;&gt;")=0,"",INDEX(Empresas!$E:$E,MATCH(D211,Empresas!$B:$B,0))))</f>
        <v/>
      </c>
      <c r="O211" s="27" t="str">
        <f aca="false">IF(OR(N211="",H211=""),"",H211-N211)</f>
        <v/>
      </c>
      <c r="P211" s="25" t="str">
        <f aca="false">IF(O211="","",IF(O211&lt;0,"CONTRATO ANTERIOR À ABERTURA — conferir datas",IF(O211&lt;180,"EMPRESA ABERTA MENOS DE 6 MESES ANTES","")))</f>
        <v/>
      </c>
      <c r="Q211" s="31" t="str">
        <f aca="false">IF(D211="","",IFERROR(INDEX(Sancoes!$D:$D,MATCH(D211,Sancoes!$C:$C,0)),"não consta"))</f>
        <v/>
      </c>
      <c r="R211" s="25" t="str">
        <f aca="false">IF(OR(D211="",H211=""),"",IF(SUMPRODUCT((Sancoes!$C$5:$C$304=D211)*(Sancoes!$G$5:$G$304&lt;=H211)*(((Sancoes!$H$5:$H$304="")+(Sancoes!$H$5:$H$304&gt;=H211))&gt;0))&gt;0,"SANÇÃO VIGENTE NA DATA — ler tipo e abrangência",""))</f>
        <v/>
      </c>
      <c r="S211" s="24"/>
      <c r="T211" s="11"/>
    </row>
    <row r="212" customFormat="false" ht="15" hidden="false" customHeight="false" outlineLevel="0" collapsed="false">
      <c r="A212" s="11"/>
      <c r="B212" s="24"/>
      <c r="C212" s="24"/>
      <c r="D212" s="31" t="str">
        <f aca="false">IF(C212="","",IF(LEN(UPPER(SUBSTITUTE(SUBSTITUTE(SUBSTITUTE(SUBSTITUTE(TRIM(C212),".",""),"/",""),"-","")," ","")))&lt;14,RIGHT(REPT("0",14)&amp;UPPER(SUBSTITUTE(SUBSTITUTE(SUBSTITUTE(SUBSTITUTE(TRIM(C212),".",""),"/",""),"-","")," ","")),14),UPPER(SUBSTITUTE(SUBSTITUTE(SUBSTITUTE(SUBSTITUTE(TRIM(C212),".",""),"/",""),"-","")," ",""))))</f>
        <v/>
      </c>
      <c r="E212" s="25" t="str">
        <f aca="false">IF(D212="","",IFERROR(INDEX(Empresas!$C:$C,MATCH(D212,Empresas!$B:$B,0)),"cadastre o CNPJ em Empresas"))</f>
        <v/>
      </c>
      <c r="F212" s="11"/>
      <c r="G212" s="23"/>
      <c r="H212" s="22"/>
      <c r="I212" s="35"/>
      <c r="J212" s="35"/>
      <c r="K212" s="36" t="str">
        <f aca="false">IF(I212="","",I212+J212)</f>
        <v/>
      </c>
      <c r="L212" s="37" t="str">
        <f aca="false">IF(OR(I212="",I212=0,J212=""),"",J212/I212)</f>
        <v/>
      </c>
      <c r="M212" s="25" t="str">
        <f aca="false">IF(L212="","",IF(L212&gt;0.25,"ACRÉSCIMO ACIMA DE 25% — conferir",""))</f>
        <v/>
      </c>
      <c r="N212" s="29" t="str">
        <f aca="false">IF(D212="","",IF(COUNTIFS(Empresas!$B:$B,D212,Empresas!$E:$E,"&lt;&gt;")=0,"",INDEX(Empresas!$E:$E,MATCH(D212,Empresas!$B:$B,0))))</f>
        <v/>
      </c>
      <c r="O212" s="27" t="str">
        <f aca="false">IF(OR(N212="",H212=""),"",H212-N212)</f>
        <v/>
      </c>
      <c r="P212" s="25" t="str">
        <f aca="false">IF(O212="","",IF(O212&lt;0,"CONTRATO ANTERIOR À ABERTURA — conferir datas",IF(O212&lt;180,"EMPRESA ABERTA MENOS DE 6 MESES ANTES","")))</f>
        <v/>
      </c>
      <c r="Q212" s="31" t="str">
        <f aca="false">IF(D212="","",IFERROR(INDEX(Sancoes!$D:$D,MATCH(D212,Sancoes!$C:$C,0)),"não consta"))</f>
        <v/>
      </c>
      <c r="R212" s="25" t="str">
        <f aca="false">IF(OR(D212="",H212=""),"",IF(SUMPRODUCT((Sancoes!$C$5:$C$304=D212)*(Sancoes!$G$5:$G$304&lt;=H212)*(((Sancoes!$H$5:$H$304="")+(Sancoes!$H$5:$H$304&gt;=H212))&gt;0))&gt;0,"SANÇÃO VIGENTE NA DATA — ler tipo e abrangência",""))</f>
        <v/>
      </c>
      <c r="S212" s="24"/>
      <c r="T212" s="11"/>
    </row>
    <row r="213" customFormat="false" ht="15" hidden="false" customHeight="false" outlineLevel="0" collapsed="false">
      <c r="A213" s="11"/>
      <c r="B213" s="24"/>
      <c r="C213" s="24"/>
      <c r="D213" s="31" t="str">
        <f aca="false">IF(C213="","",IF(LEN(UPPER(SUBSTITUTE(SUBSTITUTE(SUBSTITUTE(SUBSTITUTE(TRIM(C213),".",""),"/",""),"-","")," ","")))&lt;14,RIGHT(REPT("0",14)&amp;UPPER(SUBSTITUTE(SUBSTITUTE(SUBSTITUTE(SUBSTITUTE(TRIM(C213),".",""),"/",""),"-","")," ","")),14),UPPER(SUBSTITUTE(SUBSTITUTE(SUBSTITUTE(SUBSTITUTE(TRIM(C213),".",""),"/",""),"-","")," ",""))))</f>
        <v/>
      </c>
      <c r="E213" s="25" t="str">
        <f aca="false">IF(D213="","",IFERROR(INDEX(Empresas!$C:$C,MATCH(D213,Empresas!$B:$B,0)),"cadastre o CNPJ em Empresas"))</f>
        <v/>
      </c>
      <c r="F213" s="11"/>
      <c r="G213" s="23"/>
      <c r="H213" s="22"/>
      <c r="I213" s="35"/>
      <c r="J213" s="35"/>
      <c r="K213" s="36" t="str">
        <f aca="false">IF(I213="","",I213+J213)</f>
        <v/>
      </c>
      <c r="L213" s="37" t="str">
        <f aca="false">IF(OR(I213="",I213=0,J213=""),"",J213/I213)</f>
        <v/>
      </c>
      <c r="M213" s="25" t="str">
        <f aca="false">IF(L213="","",IF(L213&gt;0.25,"ACRÉSCIMO ACIMA DE 25% — conferir",""))</f>
        <v/>
      </c>
      <c r="N213" s="29" t="str">
        <f aca="false">IF(D213="","",IF(COUNTIFS(Empresas!$B:$B,D213,Empresas!$E:$E,"&lt;&gt;")=0,"",INDEX(Empresas!$E:$E,MATCH(D213,Empresas!$B:$B,0))))</f>
        <v/>
      </c>
      <c r="O213" s="27" t="str">
        <f aca="false">IF(OR(N213="",H213=""),"",H213-N213)</f>
        <v/>
      </c>
      <c r="P213" s="25" t="str">
        <f aca="false">IF(O213="","",IF(O213&lt;0,"CONTRATO ANTERIOR À ABERTURA — conferir datas",IF(O213&lt;180,"EMPRESA ABERTA MENOS DE 6 MESES ANTES","")))</f>
        <v/>
      </c>
      <c r="Q213" s="31" t="str">
        <f aca="false">IF(D213="","",IFERROR(INDEX(Sancoes!$D:$D,MATCH(D213,Sancoes!$C:$C,0)),"não consta"))</f>
        <v/>
      </c>
      <c r="R213" s="25" t="str">
        <f aca="false">IF(OR(D213="",H213=""),"",IF(SUMPRODUCT((Sancoes!$C$5:$C$304=D213)*(Sancoes!$G$5:$G$304&lt;=H213)*(((Sancoes!$H$5:$H$304="")+(Sancoes!$H$5:$H$304&gt;=H213))&gt;0))&gt;0,"SANÇÃO VIGENTE NA DATA — ler tipo e abrangência",""))</f>
        <v/>
      </c>
      <c r="S213" s="24"/>
      <c r="T213" s="11"/>
    </row>
    <row r="214" customFormat="false" ht="15" hidden="false" customHeight="false" outlineLevel="0" collapsed="false">
      <c r="A214" s="11"/>
      <c r="B214" s="24"/>
      <c r="C214" s="24"/>
      <c r="D214" s="31" t="str">
        <f aca="false">IF(C214="","",IF(LEN(UPPER(SUBSTITUTE(SUBSTITUTE(SUBSTITUTE(SUBSTITUTE(TRIM(C214),".",""),"/",""),"-","")," ","")))&lt;14,RIGHT(REPT("0",14)&amp;UPPER(SUBSTITUTE(SUBSTITUTE(SUBSTITUTE(SUBSTITUTE(TRIM(C214),".",""),"/",""),"-","")," ","")),14),UPPER(SUBSTITUTE(SUBSTITUTE(SUBSTITUTE(SUBSTITUTE(TRIM(C214),".",""),"/",""),"-","")," ",""))))</f>
        <v/>
      </c>
      <c r="E214" s="25" t="str">
        <f aca="false">IF(D214="","",IFERROR(INDEX(Empresas!$C:$C,MATCH(D214,Empresas!$B:$B,0)),"cadastre o CNPJ em Empresas"))</f>
        <v/>
      </c>
      <c r="F214" s="11"/>
      <c r="G214" s="23"/>
      <c r="H214" s="22"/>
      <c r="I214" s="35"/>
      <c r="J214" s="35"/>
      <c r="K214" s="36" t="str">
        <f aca="false">IF(I214="","",I214+J214)</f>
        <v/>
      </c>
      <c r="L214" s="37" t="str">
        <f aca="false">IF(OR(I214="",I214=0,J214=""),"",J214/I214)</f>
        <v/>
      </c>
      <c r="M214" s="25" t="str">
        <f aca="false">IF(L214="","",IF(L214&gt;0.25,"ACRÉSCIMO ACIMA DE 25% — conferir",""))</f>
        <v/>
      </c>
      <c r="N214" s="29" t="str">
        <f aca="false">IF(D214="","",IF(COUNTIFS(Empresas!$B:$B,D214,Empresas!$E:$E,"&lt;&gt;")=0,"",INDEX(Empresas!$E:$E,MATCH(D214,Empresas!$B:$B,0))))</f>
        <v/>
      </c>
      <c r="O214" s="27" t="str">
        <f aca="false">IF(OR(N214="",H214=""),"",H214-N214)</f>
        <v/>
      </c>
      <c r="P214" s="25" t="str">
        <f aca="false">IF(O214="","",IF(O214&lt;0,"CONTRATO ANTERIOR À ABERTURA — conferir datas",IF(O214&lt;180,"EMPRESA ABERTA MENOS DE 6 MESES ANTES","")))</f>
        <v/>
      </c>
      <c r="Q214" s="31" t="str">
        <f aca="false">IF(D214="","",IFERROR(INDEX(Sancoes!$D:$D,MATCH(D214,Sancoes!$C:$C,0)),"não consta"))</f>
        <v/>
      </c>
      <c r="R214" s="25" t="str">
        <f aca="false">IF(OR(D214="",H214=""),"",IF(SUMPRODUCT((Sancoes!$C$5:$C$304=D214)*(Sancoes!$G$5:$G$304&lt;=H214)*(((Sancoes!$H$5:$H$304="")+(Sancoes!$H$5:$H$304&gt;=H214))&gt;0))&gt;0,"SANÇÃO VIGENTE NA DATA — ler tipo e abrangência",""))</f>
        <v/>
      </c>
      <c r="S214" s="24"/>
      <c r="T214" s="11"/>
    </row>
    <row r="215" customFormat="false" ht="15" hidden="false" customHeight="false" outlineLevel="0" collapsed="false">
      <c r="A215" s="11"/>
      <c r="B215" s="24"/>
      <c r="C215" s="24"/>
      <c r="D215" s="31" t="str">
        <f aca="false">IF(C215="","",IF(LEN(UPPER(SUBSTITUTE(SUBSTITUTE(SUBSTITUTE(SUBSTITUTE(TRIM(C215),".",""),"/",""),"-","")," ","")))&lt;14,RIGHT(REPT("0",14)&amp;UPPER(SUBSTITUTE(SUBSTITUTE(SUBSTITUTE(SUBSTITUTE(TRIM(C215),".",""),"/",""),"-","")," ","")),14),UPPER(SUBSTITUTE(SUBSTITUTE(SUBSTITUTE(SUBSTITUTE(TRIM(C215),".",""),"/",""),"-","")," ",""))))</f>
        <v/>
      </c>
      <c r="E215" s="25" t="str">
        <f aca="false">IF(D215="","",IFERROR(INDEX(Empresas!$C:$C,MATCH(D215,Empresas!$B:$B,0)),"cadastre o CNPJ em Empresas"))</f>
        <v/>
      </c>
      <c r="F215" s="11"/>
      <c r="G215" s="23"/>
      <c r="H215" s="22"/>
      <c r="I215" s="35"/>
      <c r="J215" s="35"/>
      <c r="K215" s="36" t="str">
        <f aca="false">IF(I215="","",I215+J215)</f>
        <v/>
      </c>
      <c r="L215" s="37" t="str">
        <f aca="false">IF(OR(I215="",I215=0,J215=""),"",J215/I215)</f>
        <v/>
      </c>
      <c r="M215" s="25" t="str">
        <f aca="false">IF(L215="","",IF(L215&gt;0.25,"ACRÉSCIMO ACIMA DE 25% — conferir",""))</f>
        <v/>
      </c>
      <c r="N215" s="29" t="str">
        <f aca="false">IF(D215="","",IF(COUNTIFS(Empresas!$B:$B,D215,Empresas!$E:$E,"&lt;&gt;")=0,"",INDEX(Empresas!$E:$E,MATCH(D215,Empresas!$B:$B,0))))</f>
        <v/>
      </c>
      <c r="O215" s="27" t="str">
        <f aca="false">IF(OR(N215="",H215=""),"",H215-N215)</f>
        <v/>
      </c>
      <c r="P215" s="25" t="str">
        <f aca="false">IF(O215="","",IF(O215&lt;0,"CONTRATO ANTERIOR À ABERTURA — conferir datas",IF(O215&lt;180,"EMPRESA ABERTA MENOS DE 6 MESES ANTES","")))</f>
        <v/>
      </c>
      <c r="Q215" s="31" t="str">
        <f aca="false">IF(D215="","",IFERROR(INDEX(Sancoes!$D:$D,MATCH(D215,Sancoes!$C:$C,0)),"não consta"))</f>
        <v/>
      </c>
      <c r="R215" s="25" t="str">
        <f aca="false">IF(OR(D215="",H215=""),"",IF(SUMPRODUCT((Sancoes!$C$5:$C$304=D215)*(Sancoes!$G$5:$G$304&lt;=H215)*(((Sancoes!$H$5:$H$304="")+(Sancoes!$H$5:$H$304&gt;=H215))&gt;0))&gt;0,"SANÇÃO VIGENTE NA DATA — ler tipo e abrangência",""))</f>
        <v/>
      </c>
      <c r="S215" s="24"/>
      <c r="T215" s="11"/>
    </row>
    <row r="216" customFormat="false" ht="15" hidden="false" customHeight="false" outlineLevel="0" collapsed="false">
      <c r="A216" s="11"/>
      <c r="B216" s="24"/>
      <c r="C216" s="24"/>
      <c r="D216" s="31" t="str">
        <f aca="false">IF(C216="","",IF(LEN(UPPER(SUBSTITUTE(SUBSTITUTE(SUBSTITUTE(SUBSTITUTE(TRIM(C216),".",""),"/",""),"-","")," ","")))&lt;14,RIGHT(REPT("0",14)&amp;UPPER(SUBSTITUTE(SUBSTITUTE(SUBSTITUTE(SUBSTITUTE(TRIM(C216),".",""),"/",""),"-","")," ","")),14),UPPER(SUBSTITUTE(SUBSTITUTE(SUBSTITUTE(SUBSTITUTE(TRIM(C216),".",""),"/",""),"-","")," ",""))))</f>
        <v/>
      </c>
      <c r="E216" s="25" t="str">
        <f aca="false">IF(D216="","",IFERROR(INDEX(Empresas!$C:$C,MATCH(D216,Empresas!$B:$B,0)),"cadastre o CNPJ em Empresas"))</f>
        <v/>
      </c>
      <c r="F216" s="11"/>
      <c r="G216" s="23"/>
      <c r="H216" s="22"/>
      <c r="I216" s="35"/>
      <c r="J216" s="35"/>
      <c r="K216" s="36" t="str">
        <f aca="false">IF(I216="","",I216+J216)</f>
        <v/>
      </c>
      <c r="L216" s="37" t="str">
        <f aca="false">IF(OR(I216="",I216=0,J216=""),"",J216/I216)</f>
        <v/>
      </c>
      <c r="M216" s="25" t="str">
        <f aca="false">IF(L216="","",IF(L216&gt;0.25,"ACRÉSCIMO ACIMA DE 25% — conferir",""))</f>
        <v/>
      </c>
      <c r="N216" s="29" t="str">
        <f aca="false">IF(D216="","",IF(COUNTIFS(Empresas!$B:$B,D216,Empresas!$E:$E,"&lt;&gt;")=0,"",INDEX(Empresas!$E:$E,MATCH(D216,Empresas!$B:$B,0))))</f>
        <v/>
      </c>
      <c r="O216" s="27" t="str">
        <f aca="false">IF(OR(N216="",H216=""),"",H216-N216)</f>
        <v/>
      </c>
      <c r="P216" s="25" t="str">
        <f aca="false">IF(O216="","",IF(O216&lt;0,"CONTRATO ANTERIOR À ABERTURA — conferir datas",IF(O216&lt;180,"EMPRESA ABERTA MENOS DE 6 MESES ANTES","")))</f>
        <v/>
      </c>
      <c r="Q216" s="31" t="str">
        <f aca="false">IF(D216="","",IFERROR(INDEX(Sancoes!$D:$D,MATCH(D216,Sancoes!$C:$C,0)),"não consta"))</f>
        <v/>
      </c>
      <c r="R216" s="25" t="str">
        <f aca="false">IF(OR(D216="",H216=""),"",IF(SUMPRODUCT((Sancoes!$C$5:$C$304=D216)*(Sancoes!$G$5:$G$304&lt;=H216)*(((Sancoes!$H$5:$H$304="")+(Sancoes!$H$5:$H$304&gt;=H216))&gt;0))&gt;0,"SANÇÃO VIGENTE NA DATA — ler tipo e abrangência",""))</f>
        <v/>
      </c>
      <c r="S216" s="24"/>
      <c r="T216" s="11"/>
    </row>
    <row r="217" customFormat="false" ht="15" hidden="false" customHeight="false" outlineLevel="0" collapsed="false">
      <c r="A217" s="11"/>
      <c r="B217" s="24"/>
      <c r="C217" s="24"/>
      <c r="D217" s="31" t="str">
        <f aca="false">IF(C217="","",IF(LEN(UPPER(SUBSTITUTE(SUBSTITUTE(SUBSTITUTE(SUBSTITUTE(TRIM(C217),".",""),"/",""),"-","")," ","")))&lt;14,RIGHT(REPT("0",14)&amp;UPPER(SUBSTITUTE(SUBSTITUTE(SUBSTITUTE(SUBSTITUTE(TRIM(C217),".",""),"/",""),"-","")," ","")),14),UPPER(SUBSTITUTE(SUBSTITUTE(SUBSTITUTE(SUBSTITUTE(TRIM(C217),".",""),"/",""),"-","")," ",""))))</f>
        <v/>
      </c>
      <c r="E217" s="25" t="str">
        <f aca="false">IF(D217="","",IFERROR(INDEX(Empresas!$C:$C,MATCH(D217,Empresas!$B:$B,0)),"cadastre o CNPJ em Empresas"))</f>
        <v/>
      </c>
      <c r="F217" s="11"/>
      <c r="G217" s="23"/>
      <c r="H217" s="22"/>
      <c r="I217" s="35"/>
      <c r="J217" s="35"/>
      <c r="K217" s="36" t="str">
        <f aca="false">IF(I217="","",I217+J217)</f>
        <v/>
      </c>
      <c r="L217" s="37" t="str">
        <f aca="false">IF(OR(I217="",I217=0,J217=""),"",J217/I217)</f>
        <v/>
      </c>
      <c r="M217" s="25" t="str">
        <f aca="false">IF(L217="","",IF(L217&gt;0.25,"ACRÉSCIMO ACIMA DE 25% — conferir",""))</f>
        <v/>
      </c>
      <c r="N217" s="29" t="str">
        <f aca="false">IF(D217="","",IF(COUNTIFS(Empresas!$B:$B,D217,Empresas!$E:$E,"&lt;&gt;")=0,"",INDEX(Empresas!$E:$E,MATCH(D217,Empresas!$B:$B,0))))</f>
        <v/>
      </c>
      <c r="O217" s="27" t="str">
        <f aca="false">IF(OR(N217="",H217=""),"",H217-N217)</f>
        <v/>
      </c>
      <c r="P217" s="25" t="str">
        <f aca="false">IF(O217="","",IF(O217&lt;0,"CONTRATO ANTERIOR À ABERTURA — conferir datas",IF(O217&lt;180,"EMPRESA ABERTA MENOS DE 6 MESES ANTES","")))</f>
        <v/>
      </c>
      <c r="Q217" s="31" t="str">
        <f aca="false">IF(D217="","",IFERROR(INDEX(Sancoes!$D:$D,MATCH(D217,Sancoes!$C:$C,0)),"não consta"))</f>
        <v/>
      </c>
      <c r="R217" s="25" t="str">
        <f aca="false">IF(OR(D217="",H217=""),"",IF(SUMPRODUCT((Sancoes!$C$5:$C$304=D217)*(Sancoes!$G$5:$G$304&lt;=H217)*(((Sancoes!$H$5:$H$304="")+(Sancoes!$H$5:$H$304&gt;=H217))&gt;0))&gt;0,"SANÇÃO VIGENTE NA DATA — ler tipo e abrangência",""))</f>
        <v/>
      </c>
      <c r="S217" s="24"/>
      <c r="T217" s="11"/>
    </row>
    <row r="218" customFormat="false" ht="15" hidden="false" customHeight="false" outlineLevel="0" collapsed="false">
      <c r="A218" s="11"/>
      <c r="B218" s="24"/>
      <c r="C218" s="24"/>
      <c r="D218" s="31" t="str">
        <f aca="false">IF(C218="","",IF(LEN(UPPER(SUBSTITUTE(SUBSTITUTE(SUBSTITUTE(SUBSTITUTE(TRIM(C218),".",""),"/",""),"-","")," ","")))&lt;14,RIGHT(REPT("0",14)&amp;UPPER(SUBSTITUTE(SUBSTITUTE(SUBSTITUTE(SUBSTITUTE(TRIM(C218),".",""),"/",""),"-","")," ","")),14),UPPER(SUBSTITUTE(SUBSTITUTE(SUBSTITUTE(SUBSTITUTE(TRIM(C218),".",""),"/",""),"-","")," ",""))))</f>
        <v/>
      </c>
      <c r="E218" s="25" t="str">
        <f aca="false">IF(D218="","",IFERROR(INDEX(Empresas!$C:$C,MATCH(D218,Empresas!$B:$B,0)),"cadastre o CNPJ em Empresas"))</f>
        <v/>
      </c>
      <c r="F218" s="11"/>
      <c r="G218" s="23"/>
      <c r="H218" s="22"/>
      <c r="I218" s="35"/>
      <c r="J218" s="35"/>
      <c r="K218" s="36" t="str">
        <f aca="false">IF(I218="","",I218+J218)</f>
        <v/>
      </c>
      <c r="L218" s="37" t="str">
        <f aca="false">IF(OR(I218="",I218=0,J218=""),"",J218/I218)</f>
        <v/>
      </c>
      <c r="M218" s="25" t="str">
        <f aca="false">IF(L218="","",IF(L218&gt;0.25,"ACRÉSCIMO ACIMA DE 25% — conferir",""))</f>
        <v/>
      </c>
      <c r="N218" s="29" t="str">
        <f aca="false">IF(D218="","",IF(COUNTIFS(Empresas!$B:$B,D218,Empresas!$E:$E,"&lt;&gt;")=0,"",INDEX(Empresas!$E:$E,MATCH(D218,Empresas!$B:$B,0))))</f>
        <v/>
      </c>
      <c r="O218" s="27" t="str">
        <f aca="false">IF(OR(N218="",H218=""),"",H218-N218)</f>
        <v/>
      </c>
      <c r="P218" s="25" t="str">
        <f aca="false">IF(O218="","",IF(O218&lt;0,"CONTRATO ANTERIOR À ABERTURA — conferir datas",IF(O218&lt;180,"EMPRESA ABERTA MENOS DE 6 MESES ANTES","")))</f>
        <v/>
      </c>
      <c r="Q218" s="31" t="str">
        <f aca="false">IF(D218="","",IFERROR(INDEX(Sancoes!$D:$D,MATCH(D218,Sancoes!$C:$C,0)),"não consta"))</f>
        <v/>
      </c>
      <c r="R218" s="25" t="str">
        <f aca="false">IF(OR(D218="",H218=""),"",IF(SUMPRODUCT((Sancoes!$C$5:$C$304=D218)*(Sancoes!$G$5:$G$304&lt;=H218)*(((Sancoes!$H$5:$H$304="")+(Sancoes!$H$5:$H$304&gt;=H218))&gt;0))&gt;0,"SANÇÃO VIGENTE NA DATA — ler tipo e abrangência",""))</f>
        <v/>
      </c>
      <c r="S218" s="24"/>
      <c r="T218" s="11"/>
    </row>
    <row r="219" customFormat="false" ht="15" hidden="false" customHeight="false" outlineLevel="0" collapsed="false">
      <c r="A219" s="11"/>
      <c r="B219" s="24"/>
      <c r="C219" s="24"/>
      <c r="D219" s="31" t="str">
        <f aca="false">IF(C219="","",IF(LEN(UPPER(SUBSTITUTE(SUBSTITUTE(SUBSTITUTE(SUBSTITUTE(TRIM(C219),".",""),"/",""),"-","")," ","")))&lt;14,RIGHT(REPT("0",14)&amp;UPPER(SUBSTITUTE(SUBSTITUTE(SUBSTITUTE(SUBSTITUTE(TRIM(C219),".",""),"/",""),"-","")," ","")),14),UPPER(SUBSTITUTE(SUBSTITUTE(SUBSTITUTE(SUBSTITUTE(TRIM(C219),".",""),"/",""),"-","")," ",""))))</f>
        <v/>
      </c>
      <c r="E219" s="25" t="str">
        <f aca="false">IF(D219="","",IFERROR(INDEX(Empresas!$C:$C,MATCH(D219,Empresas!$B:$B,0)),"cadastre o CNPJ em Empresas"))</f>
        <v/>
      </c>
      <c r="F219" s="11"/>
      <c r="G219" s="23"/>
      <c r="H219" s="22"/>
      <c r="I219" s="35"/>
      <c r="J219" s="35"/>
      <c r="K219" s="36" t="str">
        <f aca="false">IF(I219="","",I219+J219)</f>
        <v/>
      </c>
      <c r="L219" s="37" t="str">
        <f aca="false">IF(OR(I219="",I219=0,J219=""),"",J219/I219)</f>
        <v/>
      </c>
      <c r="M219" s="25" t="str">
        <f aca="false">IF(L219="","",IF(L219&gt;0.25,"ACRÉSCIMO ACIMA DE 25% — conferir",""))</f>
        <v/>
      </c>
      <c r="N219" s="29" t="str">
        <f aca="false">IF(D219="","",IF(COUNTIFS(Empresas!$B:$B,D219,Empresas!$E:$E,"&lt;&gt;")=0,"",INDEX(Empresas!$E:$E,MATCH(D219,Empresas!$B:$B,0))))</f>
        <v/>
      </c>
      <c r="O219" s="27" t="str">
        <f aca="false">IF(OR(N219="",H219=""),"",H219-N219)</f>
        <v/>
      </c>
      <c r="P219" s="25" t="str">
        <f aca="false">IF(O219="","",IF(O219&lt;0,"CONTRATO ANTERIOR À ABERTURA — conferir datas",IF(O219&lt;180,"EMPRESA ABERTA MENOS DE 6 MESES ANTES","")))</f>
        <v/>
      </c>
      <c r="Q219" s="31" t="str">
        <f aca="false">IF(D219="","",IFERROR(INDEX(Sancoes!$D:$D,MATCH(D219,Sancoes!$C:$C,0)),"não consta"))</f>
        <v/>
      </c>
      <c r="R219" s="25" t="str">
        <f aca="false">IF(OR(D219="",H219=""),"",IF(SUMPRODUCT((Sancoes!$C$5:$C$304=D219)*(Sancoes!$G$5:$G$304&lt;=H219)*(((Sancoes!$H$5:$H$304="")+(Sancoes!$H$5:$H$304&gt;=H219))&gt;0))&gt;0,"SANÇÃO VIGENTE NA DATA — ler tipo e abrangência",""))</f>
        <v/>
      </c>
      <c r="S219" s="24"/>
      <c r="T219" s="11"/>
    </row>
    <row r="220" customFormat="false" ht="15" hidden="false" customHeight="false" outlineLevel="0" collapsed="false">
      <c r="A220" s="11"/>
      <c r="B220" s="24"/>
      <c r="C220" s="24"/>
      <c r="D220" s="31" t="str">
        <f aca="false">IF(C220="","",IF(LEN(UPPER(SUBSTITUTE(SUBSTITUTE(SUBSTITUTE(SUBSTITUTE(TRIM(C220),".",""),"/",""),"-","")," ","")))&lt;14,RIGHT(REPT("0",14)&amp;UPPER(SUBSTITUTE(SUBSTITUTE(SUBSTITUTE(SUBSTITUTE(TRIM(C220),".",""),"/",""),"-","")," ","")),14),UPPER(SUBSTITUTE(SUBSTITUTE(SUBSTITUTE(SUBSTITUTE(TRIM(C220),".",""),"/",""),"-","")," ",""))))</f>
        <v/>
      </c>
      <c r="E220" s="25" t="str">
        <f aca="false">IF(D220="","",IFERROR(INDEX(Empresas!$C:$C,MATCH(D220,Empresas!$B:$B,0)),"cadastre o CNPJ em Empresas"))</f>
        <v/>
      </c>
      <c r="F220" s="11"/>
      <c r="G220" s="23"/>
      <c r="H220" s="22"/>
      <c r="I220" s="35"/>
      <c r="J220" s="35"/>
      <c r="K220" s="36" t="str">
        <f aca="false">IF(I220="","",I220+J220)</f>
        <v/>
      </c>
      <c r="L220" s="37" t="str">
        <f aca="false">IF(OR(I220="",I220=0,J220=""),"",J220/I220)</f>
        <v/>
      </c>
      <c r="M220" s="25" t="str">
        <f aca="false">IF(L220="","",IF(L220&gt;0.25,"ACRÉSCIMO ACIMA DE 25% — conferir",""))</f>
        <v/>
      </c>
      <c r="N220" s="29" t="str">
        <f aca="false">IF(D220="","",IF(COUNTIFS(Empresas!$B:$B,D220,Empresas!$E:$E,"&lt;&gt;")=0,"",INDEX(Empresas!$E:$E,MATCH(D220,Empresas!$B:$B,0))))</f>
        <v/>
      </c>
      <c r="O220" s="27" t="str">
        <f aca="false">IF(OR(N220="",H220=""),"",H220-N220)</f>
        <v/>
      </c>
      <c r="P220" s="25" t="str">
        <f aca="false">IF(O220="","",IF(O220&lt;0,"CONTRATO ANTERIOR À ABERTURA — conferir datas",IF(O220&lt;180,"EMPRESA ABERTA MENOS DE 6 MESES ANTES","")))</f>
        <v/>
      </c>
      <c r="Q220" s="31" t="str">
        <f aca="false">IF(D220="","",IFERROR(INDEX(Sancoes!$D:$D,MATCH(D220,Sancoes!$C:$C,0)),"não consta"))</f>
        <v/>
      </c>
      <c r="R220" s="25" t="str">
        <f aca="false">IF(OR(D220="",H220=""),"",IF(SUMPRODUCT((Sancoes!$C$5:$C$304=D220)*(Sancoes!$G$5:$G$304&lt;=H220)*(((Sancoes!$H$5:$H$304="")+(Sancoes!$H$5:$H$304&gt;=H220))&gt;0))&gt;0,"SANÇÃO VIGENTE NA DATA — ler tipo e abrangência",""))</f>
        <v/>
      </c>
      <c r="S220" s="24"/>
      <c r="T220" s="11"/>
    </row>
    <row r="221" customFormat="false" ht="15" hidden="false" customHeight="false" outlineLevel="0" collapsed="false">
      <c r="A221" s="11"/>
      <c r="B221" s="24"/>
      <c r="C221" s="24"/>
      <c r="D221" s="31" t="str">
        <f aca="false">IF(C221="","",IF(LEN(UPPER(SUBSTITUTE(SUBSTITUTE(SUBSTITUTE(SUBSTITUTE(TRIM(C221),".",""),"/",""),"-","")," ","")))&lt;14,RIGHT(REPT("0",14)&amp;UPPER(SUBSTITUTE(SUBSTITUTE(SUBSTITUTE(SUBSTITUTE(TRIM(C221),".",""),"/",""),"-","")," ","")),14),UPPER(SUBSTITUTE(SUBSTITUTE(SUBSTITUTE(SUBSTITUTE(TRIM(C221),".",""),"/",""),"-","")," ",""))))</f>
        <v/>
      </c>
      <c r="E221" s="25" t="str">
        <f aca="false">IF(D221="","",IFERROR(INDEX(Empresas!$C:$C,MATCH(D221,Empresas!$B:$B,0)),"cadastre o CNPJ em Empresas"))</f>
        <v/>
      </c>
      <c r="F221" s="11"/>
      <c r="G221" s="23"/>
      <c r="H221" s="22"/>
      <c r="I221" s="35"/>
      <c r="J221" s="35"/>
      <c r="K221" s="36" t="str">
        <f aca="false">IF(I221="","",I221+J221)</f>
        <v/>
      </c>
      <c r="L221" s="37" t="str">
        <f aca="false">IF(OR(I221="",I221=0,J221=""),"",J221/I221)</f>
        <v/>
      </c>
      <c r="M221" s="25" t="str">
        <f aca="false">IF(L221="","",IF(L221&gt;0.25,"ACRÉSCIMO ACIMA DE 25% — conferir",""))</f>
        <v/>
      </c>
      <c r="N221" s="29" t="str">
        <f aca="false">IF(D221="","",IF(COUNTIFS(Empresas!$B:$B,D221,Empresas!$E:$E,"&lt;&gt;")=0,"",INDEX(Empresas!$E:$E,MATCH(D221,Empresas!$B:$B,0))))</f>
        <v/>
      </c>
      <c r="O221" s="27" t="str">
        <f aca="false">IF(OR(N221="",H221=""),"",H221-N221)</f>
        <v/>
      </c>
      <c r="P221" s="25" t="str">
        <f aca="false">IF(O221="","",IF(O221&lt;0,"CONTRATO ANTERIOR À ABERTURA — conferir datas",IF(O221&lt;180,"EMPRESA ABERTA MENOS DE 6 MESES ANTES","")))</f>
        <v/>
      </c>
      <c r="Q221" s="31" t="str">
        <f aca="false">IF(D221="","",IFERROR(INDEX(Sancoes!$D:$D,MATCH(D221,Sancoes!$C:$C,0)),"não consta"))</f>
        <v/>
      </c>
      <c r="R221" s="25" t="str">
        <f aca="false">IF(OR(D221="",H221=""),"",IF(SUMPRODUCT((Sancoes!$C$5:$C$304=D221)*(Sancoes!$G$5:$G$304&lt;=H221)*(((Sancoes!$H$5:$H$304="")+(Sancoes!$H$5:$H$304&gt;=H221))&gt;0))&gt;0,"SANÇÃO VIGENTE NA DATA — ler tipo e abrangência",""))</f>
        <v/>
      </c>
      <c r="S221" s="24"/>
      <c r="T221" s="11"/>
    </row>
    <row r="222" customFormat="false" ht="15" hidden="false" customHeight="false" outlineLevel="0" collapsed="false">
      <c r="A222" s="11"/>
      <c r="B222" s="24"/>
      <c r="C222" s="24"/>
      <c r="D222" s="31" t="str">
        <f aca="false">IF(C222="","",IF(LEN(UPPER(SUBSTITUTE(SUBSTITUTE(SUBSTITUTE(SUBSTITUTE(TRIM(C222),".",""),"/",""),"-","")," ","")))&lt;14,RIGHT(REPT("0",14)&amp;UPPER(SUBSTITUTE(SUBSTITUTE(SUBSTITUTE(SUBSTITUTE(TRIM(C222),".",""),"/",""),"-","")," ","")),14),UPPER(SUBSTITUTE(SUBSTITUTE(SUBSTITUTE(SUBSTITUTE(TRIM(C222),".",""),"/",""),"-","")," ",""))))</f>
        <v/>
      </c>
      <c r="E222" s="25" t="str">
        <f aca="false">IF(D222="","",IFERROR(INDEX(Empresas!$C:$C,MATCH(D222,Empresas!$B:$B,0)),"cadastre o CNPJ em Empresas"))</f>
        <v/>
      </c>
      <c r="F222" s="11"/>
      <c r="G222" s="23"/>
      <c r="H222" s="22"/>
      <c r="I222" s="35"/>
      <c r="J222" s="35"/>
      <c r="K222" s="36" t="str">
        <f aca="false">IF(I222="","",I222+J222)</f>
        <v/>
      </c>
      <c r="L222" s="37" t="str">
        <f aca="false">IF(OR(I222="",I222=0,J222=""),"",J222/I222)</f>
        <v/>
      </c>
      <c r="M222" s="25" t="str">
        <f aca="false">IF(L222="","",IF(L222&gt;0.25,"ACRÉSCIMO ACIMA DE 25% — conferir",""))</f>
        <v/>
      </c>
      <c r="N222" s="29" t="str">
        <f aca="false">IF(D222="","",IF(COUNTIFS(Empresas!$B:$B,D222,Empresas!$E:$E,"&lt;&gt;")=0,"",INDEX(Empresas!$E:$E,MATCH(D222,Empresas!$B:$B,0))))</f>
        <v/>
      </c>
      <c r="O222" s="27" t="str">
        <f aca="false">IF(OR(N222="",H222=""),"",H222-N222)</f>
        <v/>
      </c>
      <c r="P222" s="25" t="str">
        <f aca="false">IF(O222="","",IF(O222&lt;0,"CONTRATO ANTERIOR À ABERTURA — conferir datas",IF(O222&lt;180,"EMPRESA ABERTA MENOS DE 6 MESES ANTES","")))</f>
        <v/>
      </c>
      <c r="Q222" s="31" t="str">
        <f aca="false">IF(D222="","",IFERROR(INDEX(Sancoes!$D:$D,MATCH(D222,Sancoes!$C:$C,0)),"não consta"))</f>
        <v/>
      </c>
      <c r="R222" s="25" t="str">
        <f aca="false">IF(OR(D222="",H222=""),"",IF(SUMPRODUCT((Sancoes!$C$5:$C$304=D222)*(Sancoes!$G$5:$G$304&lt;=H222)*(((Sancoes!$H$5:$H$304="")+(Sancoes!$H$5:$H$304&gt;=H222))&gt;0))&gt;0,"SANÇÃO VIGENTE NA DATA — ler tipo e abrangência",""))</f>
        <v/>
      </c>
      <c r="S222" s="24"/>
      <c r="T222" s="11"/>
    </row>
    <row r="223" customFormat="false" ht="15" hidden="false" customHeight="false" outlineLevel="0" collapsed="false">
      <c r="A223" s="11"/>
      <c r="B223" s="24"/>
      <c r="C223" s="24"/>
      <c r="D223" s="31" t="str">
        <f aca="false">IF(C223="","",IF(LEN(UPPER(SUBSTITUTE(SUBSTITUTE(SUBSTITUTE(SUBSTITUTE(TRIM(C223),".",""),"/",""),"-","")," ","")))&lt;14,RIGHT(REPT("0",14)&amp;UPPER(SUBSTITUTE(SUBSTITUTE(SUBSTITUTE(SUBSTITUTE(TRIM(C223),".",""),"/",""),"-","")," ","")),14),UPPER(SUBSTITUTE(SUBSTITUTE(SUBSTITUTE(SUBSTITUTE(TRIM(C223),".",""),"/",""),"-","")," ",""))))</f>
        <v/>
      </c>
      <c r="E223" s="25" t="str">
        <f aca="false">IF(D223="","",IFERROR(INDEX(Empresas!$C:$C,MATCH(D223,Empresas!$B:$B,0)),"cadastre o CNPJ em Empresas"))</f>
        <v/>
      </c>
      <c r="F223" s="11"/>
      <c r="G223" s="23"/>
      <c r="H223" s="22"/>
      <c r="I223" s="35"/>
      <c r="J223" s="35"/>
      <c r="K223" s="36" t="str">
        <f aca="false">IF(I223="","",I223+J223)</f>
        <v/>
      </c>
      <c r="L223" s="37" t="str">
        <f aca="false">IF(OR(I223="",I223=0,J223=""),"",J223/I223)</f>
        <v/>
      </c>
      <c r="M223" s="25" t="str">
        <f aca="false">IF(L223="","",IF(L223&gt;0.25,"ACRÉSCIMO ACIMA DE 25% — conferir",""))</f>
        <v/>
      </c>
      <c r="N223" s="29" t="str">
        <f aca="false">IF(D223="","",IF(COUNTIFS(Empresas!$B:$B,D223,Empresas!$E:$E,"&lt;&gt;")=0,"",INDEX(Empresas!$E:$E,MATCH(D223,Empresas!$B:$B,0))))</f>
        <v/>
      </c>
      <c r="O223" s="27" t="str">
        <f aca="false">IF(OR(N223="",H223=""),"",H223-N223)</f>
        <v/>
      </c>
      <c r="P223" s="25" t="str">
        <f aca="false">IF(O223="","",IF(O223&lt;0,"CONTRATO ANTERIOR À ABERTURA — conferir datas",IF(O223&lt;180,"EMPRESA ABERTA MENOS DE 6 MESES ANTES","")))</f>
        <v/>
      </c>
      <c r="Q223" s="31" t="str">
        <f aca="false">IF(D223="","",IFERROR(INDEX(Sancoes!$D:$D,MATCH(D223,Sancoes!$C:$C,0)),"não consta"))</f>
        <v/>
      </c>
      <c r="R223" s="25" t="str">
        <f aca="false">IF(OR(D223="",H223=""),"",IF(SUMPRODUCT((Sancoes!$C$5:$C$304=D223)*(Sancoes!$G$5:$G$304&lt;=H223)*(((Sancoes!$H$5:$H$304="")+(Sancoes!$H$5:$H$304&gt;=H223))&gt;0))&gt;0,"SANÇÃO VIGENTE NA DATA — ler tipo e abrangência",""))</f>
        <v/>
      </c>
      <c r="S223" s="24"/>
      <c r="T223" s="11"/>
    </row>
    <row r="224" customFormat="false" ht="15" hidden="false" customHeight="false" outlineLevel="0" collapsed="false">
      <c r="A224" s="11"/>
      <c r="B224" s="24"/>
      <c r="C224" s="24"/>
      <c r="D224" s="31" t="str">
        <f aca="false">IF(C224="","",IF(LEN(UPPER(SUBSTITUTE(SUBSTITUTE(SUBSTITUTE(SUBSTITUTE(TRIM(C224),".",""),"/",""),"-","")," ","")))&lt;14,RIGHT(REPT("0",14)&amp;UPPER(SUBSTITUTE(SUBSTITUTE(SUBSTITUTE(SUBSTITUTE(TRIM(C224),".",""),"/",""),"-","")," ","")),14),UPPER(SUBSTITUTE(SUBSTITUTE(SUBSTITUTE(SUBSTITUTE(TRIM(C224),".",""),"/",""),"-","")," ",""))))</f>
        <v/>
      </c>
      <c r="E224" s="25" t="str">
        <f aca="false">IF(D224="","",IFERROR(INDEX(Empresas!$C:$C,MATCH(D224,Empresas!$B:$B,0)),"cadastre o CNPJ em Empresas"))</f>
        <v/>
      </c>
      <c r="F224" s="11"/>
      <c r="G224" s="23"/>
      <c r="H224" s="22"/>
      <c r="I224" s="35"/>
      <c r="J224" s="35"/>
      <c r="K224" s="36" t="str">
        <f aca="false">IF(I224="","",I224+J224)</f>
        <v/>
      </c>
      <c r="L224" s="37" t="str">
        <f aca="false">IF(OR(I224="",I224=0,J224=""),"",J224/I224)</f>
        <v/>
      </c>
      <c r="M224" s="25" t="str">
        <f aca="false">IF(L224="","",IF(L224&gt;0.25,"ACRÉSCIMO ACIMA DE 25% — conferir",""))</f>
        <v/>
      </c>
      <c r="N224" s="29" t="str">
        <f aca="false">IF(D224="","",IF(COUNTIFS(Empresas!$B:$B,D224,Empresas!$E:$E,"&lt;&gt;")=0,"",INDEX(Empresas!$E:$E,MATCH(D224,Empresas!$B:$B,0))))</f>
        <v/>
      </c>
      <c r="O224" s="27" t="str">
        <f aca="false">IF(OR(N224="",H224=""),"",H224-N224)</f>
        <v/>
      </c>
      <c r="P224" s="25" t="str">
        <f aca="false">IF(O224="","",IF(O224&lt;0,"CONTRATO ANTERIOR À ABERTURA — conferir datas",IF(O224&lt;180,"EMPRESA ABERTA MENOS DE 6 MESES ANTES","")))</f>
        <v/>
      </c>
      <c r="Q224" s="31" t="str">
        <f aca="false">IF(D224="","",IFERROR(INDEX(Sancoes!$D:$D,MATCH(D224,Sancoes!$C:$C,0)),"não consta"))</f>
        <v/>
      </c>
      <c r="R224" s="25" t="str">
        <f aca="false">IF(OR(D224="",H224=""),"",IF(SUMPRODUCT((Sancoes!$C$5:$C$304=D224)*(Sancoes!$G$5:$G$304&lt;=H224)*(((Sancoes!$H$5:$H$304="")+(Sancoes!$H$5:$H$304&gt;=H224))&gt;0))&gt;0,"SANÇÃO VIGENTE NA DATA — ler tipo e abrangência",""))</f>
        <v/>
      </c>
      <c r="S224" s="24"/>
      <c r="T224" s="11"/>
    </row>
    <row r="225" customFormat="false" ht="15" hidden="false" customHeight="false" outlineLevel="0" collapsed="false">
      <c r="A225" s="11"/>
      <c r="B225" s="24"/>
      <c r="C225" s="24"/>
      <c r="D225" s="31" t="str">
        <f aca="false">IF(C225="","",IF(LEN(UPPER(SUBSTITUTE(SUBSTITUTE(SUBSTITUTE(SUBSTITUTE(TRIM(C225),".",""),"/",""),"-","")," ","")))&lt;14,RIGHT(REPT("0",14)&amp;UPPER(SUBSTITUTE(SUBSTITUTE(SUBSTITUTE(SUBSTITUTE(TRIM(C225),".",""),"/",""),"-","")," ","")),14),UPPER(SUBSTITUTE(SUBSTITUTE(SUBSTITUTE(SUBSTITUTE(TRIM(C225),".",""),"/",""),"-","")," ",""))))</f>
        <v/>
      </c>
      <c r="E225" s="25" t="str">
        <f aca="false">IF(D225="","",IFERROR(INDEX(Empresas!$C:$C,MATCH(D225,Empresas!$B:$B,0)),"cadastre o CNPJ em Empresas"))</f>
        <v/>
      </c>
      <c r="F225" s="11"/>
      <c r="G225" s="23"/>
      <c r="H225" s="22"/>
      <c r="I225" s="35"/>
      <c r="J225" s="35"/>
      <c r="K225" s="36" t="str">
        <f aca="false">IF(I225="","",I225+J225)</f>
        <v/>
      </c>
      <c r="L225" s="37" t="str">
        <f aca="false">IF(OR(I225="",I225=0,J225=""),"",J225/I225)</f>
        <v/>
      </c>
      <c r="M225" s="25" t="str">
        <f aca="false">IF(L225="","",IF(L225&gt;0.25,"ACRÉSCIMO ACIMA DE 25% — conferir",""))</f>
        <v/>
      </c>
      <c r="N225" s="29" t="str">
        <f aca="false">IF(D225="","",IF(COUNTIFS(Empresas!$B:$B,D225,Empresas!$E:$E,"&lt;&gt;")=0,"",INDEX(Empresas!$E:$E,MATCH(D225,Empresas!$B:$B,0))))</f>
        <v/>
      </c>
      <c r="O225" s="27" t="str">
        <f aca="false">IF(OR(N225="",H225=""),"",H225-N225)</f>
        <v/>
      </c>
      <c r="P225" s="25" t="str">
        <f aca="false">IF(O225="","",IF(O225&lt;0,"CONTRATO ANTERIOR À ABERTURA — conferir datas",IF(O225&lt;180,"EMPRESA ABERTA MENOS DE 6 MESES ANTES","")))</f>
        <v/>
      </c>
      <c r="Q225" s="31" t="str">
        <f aca="false">IF(D225="","",IFERROR(INDEX(Sancoes!$D:$D,MATCH(D225,Sancoes!$C:$C,0)),"não consta"))</f>
        <v/>
      </c>
      <c r="R225" s="25" t="str">
        <f aca="false">IF(OR(D225="",H225=""),"",IF(SUMPRODUCT((Sancoes!$C$5:$C$304=D225)*(Sancoes!$G$5:$G$304&lt;=H225)*(((Sancoes!$H$5:$H$304="")+(Sancoes!$H$5:$H$304&gt;=H225))&gt;0))&gt;0,"SANÇÃO VIGENTE NA DATA — ler tipo e abrangência",""))</f>
        <v/>
      </c>
      <c r="S225" s="24"/>
      <c r="T225" s="11"/>
    </row>
    <row r="226" customFormat="false" ht="15" hidden="false" customHeight="false" outlineLevel="0" collapsed="false">
      <c r="A226" s="11"/>
      <c r="B226" s="24"/>
      <c r="C226" s="24"/>
      <c r="D226" s="31" t="str">
        <f aca="false">IF(C226="","",IF(LEN(UPPER(SUBSTITUTE(SUBSTITUTE(SUBSTITUTE(SUBSTITUTE(TRIM(C226),".",""),"/",""),"-","")," ","")))&lt;14,RIGHT(REPT("0",14)&amp;UPPER(SUBSTITUTE(SUBSTITUTE(SUBSTITUTE(SUBSTITUTE(TRIM(C226),".",""),"/",""),"-","")," ","")),14),UPPER(SUBSTITUTE(SUBSTITUTE(SUBSTITUTE(SUBSTITUTE(TRIM(C226),".",""),"/",""),"-","")," ",""))))</f>
        <v/>
      </c>
      <c r="E226" s="25" t="str">
        <f aca="false">IF(D226="","",IFERROR(INDEX(Empresas!$C:$C,MATCH(D226,Empresas!$B:$B,0)),"cadastre o CNPJ em Empresas"))</f>
        <v/>
      </c>
      <c r="F226" s="11"/>
      <c r="G226" s="23"/>
      <c r="H226" s="22"/>
      <c r="I226" s="35"/>
      <c r="J226" s="35"/>
      <c r="K226" s="36" t="str">
        <f aca="false">IF(I226="","",I226+J226)</f>
        <v/>
      </c>
      <c r="L226" s="37" t="str">
        <f aca="false">IF(OR(I226="",I226=0,J226=""),"",J226/I226)</f>
        <v/>
      </c>
      <c r="M226" s="25" t="str">
        <f aca="false">IF(L226="","",IF(L226&gt;0.25,"ACRÉSCIMO ACIMA DE 25% — conferir",""))</f>
        <v/>
      </c>
      <c r="N226" s="29" t="str">
        <f aca="false">IF(D226="","",IF(COUNTIFS(Empresas!$B:$B,D226,Empresas!$E:$E,"&lt;&gt;")=0,"",INDEX(Empresas!$E:$E,MATCH(D226,Empresas!$B:$B,0))))</f>
        <v/>
      </c>
      <c r="O226" s="27" t="str">
        <f aca="false">IF(OR(N226="",H226=""),"",H226-N226)</f>
        <v/>
      </c>
      <c r="P226" s="25" t="str">
        <f aca="false">IF(O226="","",IF(O226&lt;0,"CONTRATO ANTERIOR À ABERTURA — conferir datas",IF(O226&lt;180,"EMPRESA ABERTA MENOS DE 6 MESES ANTES","")))</f>
        <v/>
      </c>
      <c r="Q226" s="31" t="str">
        <f aca="false">IF(D226="","",IFERROR(INDEX(Sancoes!$D:$D,MATCH(D226,Sancoes!$C:$C,0)),"não consta"))</f>
        <v/>
      </c>
      <c r="R226" s="25" t="str">
        <f aca="false">IF(OR(D226="",H226=""),"",IF(SUMPRODUCT((Sancoes!$C$5:$C$304=D226)*(Sancoes!$G$5:$G$304&lt;=H226)*(((Sancoes!$H$5:$H$304="")+(Sancoes!$H$5:$H$304&gt;=H226))&gt;0))&gt;0,"SANÇÃO VIGENTE NA DATA — ler tipo e abrangência",""))</f>
        <v/>
      </c>
      <c r="S226" s="24"/>
      <c r="T226" s="11"/>
    </row>
    <row r="227" customFormat="false" ht="15" hidden="false" customHeight="false" outlineLevel="0" collapsed="false">
      <c r="A227" s="11"/>
      <c r="B227" s="24"/>
      <c r="C227" s="24"/>
      <c r="D227" s="31" t="str">
        <f aca="false">IF(C227="","",IF(LEN(UPPER(SUBSTITUTE(SUBSTITUTE(SUBSTITUTE(SUBSTITUTE(TRIM(C227),".",""),"/",""),"-","")," ","")))&lt;14,RIGHT(REPT("0",14)&amp;UPPER(SUBSTITUTE(SUBSTITUTE(SUBSTITUTE(SUBSTITUTE(TRIM(C227),".",""),"/",""),"-","")," ","")),14),UPPER(SUBSTITUTE(SUBSTITUTE(SUBSTITUTE(SUBSTITUTE(TRIM(C227),".",""),"/",""),"-","")," ",""))))</f>
        <v/>
      </c>
      <c r="E227" s="25" t="str">
        <f aca="false">IF(D227="","",IFERROR(INDEX(Empresas!$C:$C,MATCH(D227,Empresas!$B:$B,0)),"cadastre o CNPJ em Empresas"))</f>
        <v/>
      </c>
      <c r="F227" s="11"/>
      <c r="G227" s="23"/>
      <c r="H227" s="22"/>
      <c r="I227" s="35"/>
      <c r="J227" s="35"/>
      <c r="K227" s="36" t="str">
        <f aca="false">IF(I227="","",I227+J227)</f>
        <v/>
      </c>
      <c r="L227" s="37" t="str">
        <f aca="false">IF(OR(I227="",I227=0,J227=""),"",J227/I227)</f>
        <v/>
      </c>
      <c r="M227" s="25" t="str">
        <f aca="false">IF(L227="","",IF(L227&gt;0.25,"ACRÉSCIMO ACIMA DE 25% — conferir",""))</f>
        <v/>
      </c>
      <c r="N227" s="29" t="str">
        <f aca="false">IF(D227="","",IF(COUNTIFS(Empresas!$B:$B,D227,Empresas!$E:$E,"&lt;&gt;")=0,"",INDEX(Empresas!$E:$E,MATCH(D227,Empresas!$B:$B,0))))</f>
        <v/>
      </c>
      <c r="O227" s="27" t="str">
        <f aca="false">IF(OR(N227="",H227=""),"",H227-N227)</f>
        <v/>
      </c>
      <c r="P227" s="25" t="str">
        <f aca="false">IF(O227="","",IF(O227&lt;0,"CONTRATO ANTERIOR À ABERTURA — conferir datas",IF(O227&lt;180,"EMPRESA ABERTA MENOS DE 6 MESES ANTES","")))</f>
        <v/>
      </c>
      <c r="Q227" s="31" t="str">
        <f aca="false">IF(D227="","",IFERROR(INDEX(Sancoes!$D:$D,MATCH(D227,Sancoes!$C:$C,0)),"não consta"))</f>
        <v/>
      </c>
      <c r="R227" s="25" t="str">
        <f aca="false">IF(OR(D227="",H227=""),"",IF(SUMPRODUCT((Sancoes!$C$5:$C$304=D227)*(Sancoes!$G$5:$G$304&lt;=H227)*(((Sancoes!$H$5:$H$304="")+(Sancoes!$H$5:$H$304&gt;=H227))&gt;0))&gt;0,"SANÇÃO VIGENTE NA DATA — ler tipo e abrangência",""))</f>
        <v/>
      </c>
      <c r="S227" s="24"/>
      <c r="T227" s="11"/>
    </row>
    <row r="228" customFormat="false" ht="15" hidden="false" customHeight="false" outlineLevel="0" collapsed="false">
      <c r="A228" s="11"/>
      <c r="B228" s="24"/>
      <c r="C228" s="24"/>
      <c r="D228" s="31" t="str">
        <f aca="false">IF(C228="","",IF(LEN(UPPER(SUBSTITUTE(SUBSTITUTE(SUBSTITUTE(SUBSTITUTE(TRIM(C228),".",""),"/",""),"-","")," ","")))&lt;14,RIGHT(REPT("0",14)&amp;UPPER(SUBSTITUTE(SUBSTITUTE(SUBSTITUTE(SUBSTITUTE(TRIM(C228),".",""),"/",""),"-","")," ","")),14),UPPER(SUBSTITUTE(SUBSTITUTE(SUBSTITUTE(SUBSTITUTE(TRIM(C228),".",""),"/",""),"-","")," ",""))))</f>
        <v/>
      </c>
      <c r="E228" s="25" t="str">
        <f aca="false">IF(D228="","",IFERROR(INDEX(Empresas!$C:$C,MATCH(D228,Empresas!$B:$B,0)),"cadastre o CNPJ em Empresas"))</f>
        <v/>
      </c>
      <c r="F228" s="11"/>
      <c r="G228" s="23"/>
      <c r="H228" s="22"/>
      <c r="I228" s="35"/>
      <c r="J228" s="35"/>
      <c r="K228" s="36" t="str">
        <f aca="false">IF(I228="","",I228+J228)</f>
        <v/>
      </c>
      <c r="L228" s="37" t="str">
        <f aca="false">IF(OR(I228="",I228=0,J228=""),"",J228/I228)</f>
        <v/>
      </c>
      <c r="M228" s="25" t="str">
        <f aca="false">IF(L228="","",IF(L228&gt;0.25,"ACRÉSCIMO ACIMA DE 25% — conferir",""))</f>
        <v/>
      </c>
      <c r="N228" s="29" t="str">
        <f aca="false">IF(D228="","",IF(COUNTIFS(Empresas!$B:$B,D228,Empresas!$E:$E,"&lt;&gt;")=0,"",INDEX(Empresas!$E:$E,MATCH(D228,Empresas!$B:$B,0))))</f>
        <v/>
      </c>
      <c r="O228" s="27" t="str">
        <f aca="false">IF(OR(N228="",H228=""),"",H228-N228)</f>
        <v/>
      </c>
      <c r="P228" s="25" t="str">
        <f aca="false">IF(O228="","",IF(O228&lt;0,"CONTRATO ANTERIOR À ABERTURA — conferir datas",IF(O228&lt;180,"EMPRESA ABERTA MENOS DE 6 MESES ANTES","")))</f>
        <v/>
      </c>
      <c r="Q228" s="31" t="str">
        <f aca="false">IF(D228="","",IFERROR(INDEX(Sancoes!$D:$D,MATCH(D228,Sancoes!$C:$C,0)),"não consta"))</f>
        <v/>
      </c>
      <c r="R228" s="25" t="str">
        <f aca="false">IF(OR(D228="",H228=""),"",IF(SUMPRODUCT((Sancoes!$C$5:$C$304=D228)*(Sancoes!$G$5:$G$304&lt;=H228)*(((Sancoes!$H$5:$H$304="")+(Sancoes!$H$5:$H$304&gt;=H228))&gt;0))&gt;0,"SANÇÃO VIGENTE NA DATA — ler tipo e abrangência",""))</f>
        <v/>
      </c>
      <c r="S228" s="24"/>
      <c r="T228" s="11"/>
    </row>
    <row r="229" customFormat="false" ht="15" hidden="false" customHeight="false" outlineLevel="0" collapsed="false">
      <c r="A229" s="11"/>
      <c r="B229" s="24"/>
      <c r="C229" s="24"/>
      <c r="D229" s="31" t="str">
        <f aca="false">IF(C229="","",IF(LEN(UPPER(SUBSTITUTE(SUBSTITUTE(SUBSTITUTE(SUBSTITUTE(TRIM(C229),".",""),"/",""),"-","")," ","")))&lt;14,RIGHT(REPT("0",14)&amp;UPPER(SUBSTITUTE(SUBSTITUTE(SUBSTITUTE(SUBSTITUTE(TRIM(C229),".",""),"/",""),"-","")," ","")),14),UPPER(SUBSTITUTE(SUBSTITUTE(SUBSTITUTE(SUBSTITUTE(TRIM(C229),".",""),"/",""),"-","")," ",""))))</f>
        <v/>
      </c>
      <c r="E229" s="25" t="str">
        <f aca="false">IF(D229="","",IFERROR(INDEX(Empresas!$C:$C,MATCH(D229,Empresas!$B:$B,0)),"cadastre o CNPJ em Empresas"))</f>
        <v/>
      </c>
      <c r="F229" s="11"/>
      <c r="G229" s="23"/>
      <c r="H229" s="22"/>
      <c r="I229" s="35"/>
      <c r="J229" s="35"/>
      <c r="K229" s="36" t="str">
        <f aca="false">IF(I229="","",I229+J229)</f>
        <v/>
      </c>
      <c r="L229" s="37" t="str">
        <f aca="false">IF(OR(I229="",I229=0,J229=""),"",J229/I229)</f>
        <v/>
      </c>
      <c r="M229" s="25" t="str">
        <f aca="false">IF(L229="","",IF(L229&gt;0.25,"ACRÉSCIMO ACIMA DE 25% — conferir",""))</f>
        <v/>
      </c>
      <c r="N229" s="29" t="str">
        <f aca="false">IF(D229="","",IF(COUNTIFS(Empresas!$B:$B,D229,Empresas!$E:$E,"&lt;&gt;")=0,"",INDEX(Empresas!$E:$E,MATCH(D229,Empresas!$B:$B,0))))</f>
        <v/>
      </c>
      <c r="O229" s="27" t="str">
        <f aca="false">IF(OR(N229="",H229=""),"",H229-N229)</f>
        <v/>
      </c>
      <c r="P229" s="25" t="str">
        <f aca="false">IF(O229="","",IF(O229&lt;0,"CONTRATO ANTERIOR À ABERTURA — conferir datas",IF(O229&lt;180,"EMPRESA ABERTA MENOS DE 6 MESES ANTES","")))</f>
        <v/>
      </c>
      <c r="Q229" s="31" t="str">
        <f aca="false">IF(D229="","",IFERROR(INDEX(Sancoes!$D:$D,MATCH(D229,Sancoes!$C:$C,0)),"não consta"))</f>
        <v/>
      </c>
      <c r="R229" s="25" t="str">
        <f aca="false">IF(OR(D229="",H229=""),"",IF(SUMPRODUCT((Sancoes!$C$5:$C$304=D229)*(Sancoes!$G$5:$G$304&lt;=H229)*(((Sancoes!$H$5:$H$304="")+(Sancoes!$H$5:$H$304&gt;=H229))&gt;0))&gt;0,"SANÇÃO VIGENTE NA DATA — ler tipo e abrangência",""))</f>
        <v/>
      </c>
      <c r="S229" s="24"/>
      <c r="T229" s="11"/>
    </row>
    <row r="230" customFormat="false" ht="15" hidden="false" customHeight="false" outlineLevel="0" collapsed="false">
      <c r="A230" s="11"/>
      <c r="B230" s="24"/>
      <c r="C230" s="24"/>
      <c r="D230" s="31" t="str">
        <f aca="false">IF(C230="","",IF(LEN(UPPER(SUBSTITUTE(SUBSTITUTE(SUBSTITUTE(SUBSTITUTE(TRIM(C230),".",""),"/",""),"-","")," ","")))&lt;14,RIGHT(REPT("0",14)&amp;UPPER(SUBSTITUTE(SUBSTITUTE(SUBSTITUTE(SUBSTITUTE(TRIM(C230),".",""),"/",""),"-","")," ","")),14),UPPER(SUBSTITUTE(SUBSTITUTE(SUBSTITUTE(SUBSTITUTE(TRIM(C230),".",""),"/",""),"-","")," ",""))))</f>
        <v/>
      </c>
      <c r="E230" s="25" t="str">
        <f aca="false">IF(D230="","",IFERROR(INDEX(Empresas!$C:$C,MATCH(D230,Empresas!$B:$B,0)),"cadastre o CNPJ em Empresas"))</f>
        <v/>
      </c>
      <c r="F230" s="11"/>
      <c r="G230" s="23"/>
      <c r="H230" s="22"/>
      <c r="I230" s="35"/>
      <c r="J230" s="35"/>
      <c r="K230" s="36" t="str">
        <f aca="false">IF(I230="","",I230+J230)</f>
        <v/>
      </c>
      <c r="L230" s="37" t="str">
        <f aca="false">IF(OR(I230="",I230=0,J230=""),"",J230/I230)</f>
        <v/>
      </c>
      <c r="M230" s="25" t="str">
        <f aca="false">IF(L230="","",IF(L230&gt;0.25,"ACRÉSCIMO ACIMA DE 25% — conferir",""))</f>
        <v/>
      </c>
      <c r="N230" s="29" t="str">
        <f aca="false">IF(D230="","",IF(COUNTIFS(Empresas!$B:$B,D230,Empresas!$E:$E,"&lt;&gt;")=0,"",INDEX(Empresas!$E:$E,MATCH(D230,Empresas!$B:$B,0))))</f>
        <v/>
      </c>
      <c r="O230" s="27" t="str">
        <f aca="false">IF(OR(N230="",H230=""),"",H230-N230)</f>
        <v/>
      </c>
      <c r="P230" s="25" t="str">
        <f aca="false">IF(O230="","",IF(O230&lt;0,"CONTRATO ANTERIOR À ABERTURA — conferir datas",IF(O230&lt;180,"EMPRESA ABERTA MENOS DE 6 MESES ANTES","")))</f>
        <v/>
      </c>
      <c r="Q230" s="31" t="str">
        <f aca="false">IF(D230="","",IFERROR(INDEX(Sancoes!$D:$D,MATCH(D230,Sancoes!$C:$C,0)),"não consta"))</f>
        <v/>
      </c>
      <c r="R230" s="25" t="str">
        <f aca="false">IF(OR(D230="",H230=""),"",IF(SUMPRODUCT((Sancoes!$C$5:$C$304=D230)*(Sancoes!$G$5:$G$304&lt;=H230)*(((Sancoes!$H$5:$H$304="")+(Sancoes!$H$5:$H$304&gt;=H230))&gt;0))&gt;0,"SANÇÃO VIGENTE NA DATA — ler tipo e abrangência",""))</f>
        <v/>
      </c>
      <c r="S230" s="24"/>
      <c r="T230" s="11"/>
    </row>
    <row r="231" customFormat="false" ht="15" hidden="false" customHeight="false" outlineLevel="0" collapsed="false">
      <c r="A231" s="11"/>
      <c r="B231" s="24"/>
      <c r="C231" s="24"/>
      <c r="D231" s="31" t="str">
        <f aca="false">IF(C231="","",IF(LEN(UPPER(SUBSTITUTE(SUBSTITUTE(SUBSTITUTE(SUBSTITUTE(TRIM(C231),".",""),"/",""),"-","")," ","")))&lt;14,RIGHT(REPT("0",14)&amp;UPPER(SUBSTITUTE(SUBSTITUTE(SUBSTITUTE(SUBSTITUTE(TRIM(C231),".",""),"/",""),"-","")," ","")),14),UPPER(SUBSTITUTE(SUBSTITUTE(SUBSTITUTE(SUBSTITUTE(TRIM(C231),".",""),"/",""),"-","")," ",""))))</f>
        <v/>
      </c>
      <c r="E231" s="25" t="str">
        <f aca="false">IF(D231="","",IFERROR(INDEX(Empresas!$C:$C,MATCH(D231,Empresas!$B:$B,0)),"cadastre o CNPJ em Empresas"))</f>
        <v/>
      </c>
      <c r="F231" s="11"/>
      <c r="G231" s="23"/>
      <c r="H231" s="22"/>
      <c r="I231" s="35"/>
      <c r="J231" s="35"/>
      <c r="K231" s="36" t="str">
        <f aca="false">IF(I231="","",I231+J231)</f>
        <v/>
      </c>
      <c r="L231" s="37" t="str">
        <f aca="false">IF(OR(I231="",I231=0,J231=""),"",J231/I231)</f>
        <v/>
      </c>
      <c r="M231" s="25" t="str">
        <f aca="false">IF(L231="","",IF(L231&gt;0.25,"ACRÉSCIMO ACIMA DE 25% — conferir",""))</f>
        <v/>
      </c>
      <c r="N231" s="29" t="str">
        <f aca="false">IF(D231="","",IF(COUNTIFS(Empresas!$B:$B,D231,Empresas!$E:$E,"&lt;&gt;")=0,"",INDEX(Empresas!$E:$E,MATCH(D231,Empresas!$B:$B,0))))</f>
        <v/>
      </c>
      <c r="O231" s="27" t="str">
        <f aca="false">IF(OR(N231="",H231=""),"",H231-N231)</f>
        <v/>
      </c>
      <c r="P231" s="25" t="str">
        <f aca="false">IF(O231="","",IF(O231&lt;0,"CONTRATO ANTERIOR À ABERTURA — conferir datas",IF(O231&lt;180,"EMPRESA ABERTA MENOS DE 6 MESES ANTES","")))</f>
        <v/>
      </c>
      <c r="Q231" s="31" t="str">
        <f aca="false">IF(D231="","",IFERROR(INDEX(Sancoes!$D:$D,MATCH(D231,Sancoes!$C:$C,0)),"não consta"))</f>
        <v/>
      </c>
      <c r="R231" s="25" t="str">
        <f aca="false">IF(OR(D231="",H231=""),"",IF(SUMPRODUCT((Sancoes!$C$5:$C$304=D231)*(Sancoes!$G$5:$G$304&lt;=H231)*(((Sancoes!$H$5:$H$304="")+(Sancoes!$H$5:$H$304&gt;=H231))&gt;0))&gt;0,"SANÇÃO VIGENTE NA DATA — ler tipo e abrangência",""))</f>
        <v/>
      </c>
      <c r="S231" s="24"/>
      <c r="T231" s="11"/>
    </row>
    <row r="232" customFormat="false" ht="15" hidden="false" customHeight="false" outlineLevel="0" collapsed="false">
      <c r="A232" s="11"/>
      <c r="B232" s="24"/>
      <c r="C232" s="24"/>
      <c r="D232" s="31" t="str">
        <f aca="false">IF(C232="","",IF(LEN(UPPER(SUBSTITUTE(SUBSTITUTE(SUBSTITUTE(SUBSTITUTE(TRIM(C232),".",""),"/",""),"-","")," ","")))&lt;14,RIGHT(REPT("0",14)&amp;UPPER(SUBSTITUTE(SUBSTITUTE(SUBSTITUTE(SUBSTITUTE(TRIM(C232),".",""),"/",""),"-","")," ","")),14),UPPER(SUBSTITUTE(SUBSTITUTE(SUBSTITUTE(SUBSTITUTE(TRIM(C232),".",""),"/",""),"-","")," ",""))))</f>
        <v/>
      </c>
      <c r="E232" s="25" t="str">
        <f aca="false">IF(D232="","",IFERROR(INDEX(Empresas!$C:$C,MATCH(D232,Empresas!$B:$B,0)),"cadastre o CNPJ em Empresas"))</f>
        <v/>
      </c>
      <c r="F232" s="11"/>
      <c r="G232" s="23"/>
      <c r="H232" s="22"/>
      <c r="I232" s="35"/>
      <c r="J232" s="35"/>
      <c r="K232" s="36" t="str">
        <f aca="false">IF(I232="","",I232+J232)</f>
        <v/>
      </c>
      <c r="L232" s="37" t="str">
        <f aca="false">IF(OR(I232="",I232=0,J232=""),"",J232/I232)</f>
        <v/>
      </c>
      <c r="M232" s="25" t="str">
        <f aca="false">IF(L232="","",IF(L232&gt;0.25,"ACRÉSCIMO ACIMA DE 25% — conferir",""))</f>
        <v/>
      </c>
      <c r="N232" s="29" t="str">
        <f aca="false">IF(D232="","",IF(COUNTIFS(Empresas!$B:$B,D232,Empresas!$E:$E,"&lt;&gt;")=0,"",INDEX(Empresas!$E:$E,MATCH(D232,Empresas!$B:$B,0))))</f>
        <v/>
      </c>
      <c r="O232" s="27" t="str">
        <f aca="false">IF(OR(N232="",H232=""),"",H232-N232)</f>
        <v/>
      </c>
      <c r="P232" s="25" t="str">
        <f aca="false">IF(O232="","",IF(O232&lt;0,"CONTRATO ANTERIOR À ABERTURA — conferir datas",IF(O232&lt;180,"EMPRESA ABERTA MENOS DE 6 MESES ANTES","")))</f>
        <v/>
      </c>
      <c r="Q232" s="31" t="str">
        <f aca="false">IF(D232="","",IFERROR(INDEX(Sancoes!$D:$D,MATCH(D232,Sancoes!$C:$C,0)),"não consta"))</f>
        <v/>
      </c>
      <c r="R232" s="25" t="str">
        <f aca="false">IF(OR(D232="",H232=""),"",IF(SUMPRODUCT((Sancoes!$C$5:$C$304=D232)*(Sancoes!$G$5:$G$304&lt;=H232)*(((Sancoes!$H$5:$H$304="")+(Sancoes!$H$5:$H$304&gt;=H232))&gt;0))&gt;0,"SANÇÃO VIGENTE NA DATA — ler tipo e abrangência",""))</f>
        <v/>
      </c>
      <c r="S232" s="24"/>
      <c r="T232" s="11"/>
    </row>
    <row r="233" customFormat="false" ht="15" hidden="false" customHeight="false" outlineLevel="0" collapsed="false">
      <c r="A233" s="11"/>
      <c r="B233" s="24"/>
      <c r="C233" s="24"/>
      <c r="D233" s="31" t="str">
        <f aca="false">IF(C233="","",IF(LEN(UPPER(SUBSTITUTE(SUBSTITUTE(SUBSTITUTE(SUBSTITUTE(TRIM(C233),".",""),"/",""),"-","")," ","")))&lt;14,RIGHT(REPT("0",14)&amp;UPPER(SUBSTITUTE(SUBSTITUTE(SUBSTITUTE(SUBSTITUTE(TRIM(C233),".",""),"/",""),"-","")," ","")),14),UPPER(SUBSTITUTE(SUBSTITUTE(SUBSTITUTE(SUBSTITUTE(TRIM(C233),".",""),"/",""),"-","")," ",""))))</f>
        <v/>
      </c>
      <c r="E233" s="25" t="str">
        <f aca="false">IF(D233="","",IFERROR(INDEX(Empresas!$C:$C,MATCH(D233,Empresas!$B:$B,0)),"cadastre o CNPJ em Empresas"))</f>
        <v/>
      </c>
      <c r="F233" s="11"/>
      <c r="G233" s="23"/>
      <c r="H233" s="22"/>
      <c r="I233" s="35"/>
      <c r="J233" s="35"/>
      <c r="K233" s="36" t="str">
        <f aca="false">IF(I233="","",I233+J233)</f>
        <v/>
      </c>
      <c r="L233" s="37" t="str">
        <f aca="false">IF(OR(I233="",I233=0,J233=""),"",J233/I233)</f>
        <v/>
      </c>
      <c r="M233" s="25" t="str">
        <f aca="false">IF(L233="","",IF(L233&gt;0.25,"ACRÉSCIMO ACIMA DE 25% — conferir",""))</f>
        <v/>
      </c>
      <c r="N233" s="29" t="str">
        <f aca="false">IF(D233="","",IF(COUNTIFS(Empresas!$B:$B,D233,Empresas!$E:$E,"&lt;&gt;")=0,"",INDEX(Empresas!$E:$E,MATCH(D233,Empresas!$B:$B,0))))</f>
        <v/>
      </c>
      <c r="O233" s="27" t="str">
        <f aca="false">IF(OR(N233="",H233=""),"",H233-N233)</f>
        <v/>
      </c>
      <c r="P233" s="25" t="str">
        <f aca="false">IF(O233="","",IF(O233&lt;0,"CONTRATO ANTERIOR À ABERTURA — conferir datas",IF(O233&lt;180,"EMPRESA ABERTA MENOS DE 6 MESES ANTES","")))</f>
        <v/>
      </c>
      <c r="Q233" s="31" t="str">
        <f aca="false">IF(D233="","",IFERROR(INDEX(Sancoes!$D:$D,MATCH(D233,Sancoes!$C:$C,0)),"não consta"))</f>
        <v/>
      </c>
      <c r="R233" s="25" t="str">
        <f aca="false">IF(OR(D233="",H233=""),"",IF(SUMPRODUCT((Sancoes!$C$5:$C$304=D233)*(Sancoes!$G$5:$G$304&lt;=H233)*(((Sancoes!$H$5:$H$304="")+(Sancoes!$H$5:$H$304&gt;=H233))&gt;0))&gt;0,"SANÇÃO VIGENTE NA DATA — ler tipo e abrangência",""))</f>
        <v/>
      </c>
      <c r="S233" s="24"/>
      <c r="T233" s="11"/>
    </row>
    <row r="234" customFormat="false" ht="15" hidden="false" customHeight="false" outlineLevel="0" collapsed="false">
      <c r="A234" s="11"/>
      <c r="B234" s="24"/>
      <c r="C234" s="24"/>
      <c r="D234" s="31" t="str">
        <f aca="false">IF(C234="","",IF(LEN(UPPER(SUBSTITUTE(SUBSTITUTE(SUBSTITUTE(SUBSTITUTE(TRIM(C234),".",""),"/",""),"-","")," ","")))&lt;14,RIGHT(REPT("0",14)&amp;UPPER(SUBSTITUTE(SUBSTITUTE(SUBSTITUTE(SUBSTITUTE(TRIM(C234),".",""),"/",""),"-","")," ","")),14),UPPER(SUBSTITUTE(SUBSTITUTE(SUBSTITUTE(SUBSTITUTE(TRIM(C234),".",""),"/",""),"-","")," ",""))))</f>
        <v/>
      </c>
      <c r="E234" s="25" t="str">
        <f aca="false">IF(D234="","",IFERROR(INDEX(Empresas!$C:$C,MATCH(D234,Empresas!$B:$B,0)),"cadastre o CNPJ em Empresas"))</f>
        <v/>
      </c>
      <c r="F234" s="11"/>
      <c r="G234" s="23"/>
      <c r="H234" s="22"/>
      <c r="I234" s="35"/>
      <c r="J234" s="35"/>
      <c r="K234" s="36" t="str">
        <f aca="false">IF(I234="","",I234+J234)</f>
        <v/>
      </c>
      <c r="L234" s="37" t="str">
        <f aca="false">IF(OR(I234="",I234=0,J234=""),"",J234/I234)</f>
        <v/>
      </c>
      <c r="M234" s="25" t="str">
        <f aca="false">IF(L234="","",IF(L234&gt;0.25,"ACRÉSCIMO ACIMA DE 25% — conferir",""))</f>
        <v/>
      </c>
      <c r="N234" s="29" t="str">
        <f aca="false">IF(D234="","",IF(COUNTIFS(Empresas!$B:$B,D234,Empresas!$E:$E,"&lt;&gt;")=0,"",INDEX(Empresas!$E:$E,MATCH(D234,Empresas!$B:$B,0))))</f>
        <v/>
      </c>
      <c r="O234" s="27" t="str">
        <f aca="false">IF(OR(N234="",H234=""),"",H234-N234)</f>
        <v/>
      </c>
      <c r="P234" s="25" t="str">
        <f aca="false">IF(O234="","",IF(O234&lt;0,"CONTRATO ANTERIOR À ABERTURA — conferir datas",IF(O234&lt;180,"EMPRESA ABERTA MENOS DE 6 MESES ANTES","")))</f>
        <v/>
      </c>
      <c r="Q234" s="31" t="str">
        <f aca="false">IF(D234="","",IFERROR(INDEX(Sancoes!$D:$D,MATCH(D234,Sancoes!$C:$C,0)),"não consta"))</f>
        <v/>
      </c>
      <c r="R234" s="25" t="str">
        <f aca="false">IF(OR(D234="",H234=""),"",IF(SUMPRODUCT((Sancoes!$C$5:$C$304=D234)*(Sancoes!$G$5:$G$304&lt;=H234)*(((Sancoes!$H$5:$H$304="")+(Sancoes!$H$5:$H$304&gt;=H234))&gt;0))&gt;0,"SANÇÃO VIGENTE NA DATA — ler tipo e abrangência",""))</f>
        <v/>
      </c>
      <c r="S234" s="24"/>
      <c r="T234" s="11"/>
    </row>
    <row r="235" customFormat="false" ht="15" hidden="false" customHeight="false" outlineLevel="0" collapsed="false">
      <c r="A235" s="11"/>
      <c r="B235" s="24"/>
      <c r="C235" s="24"/>
      <c r="D235" s="31" t="str">
        <f aca="false">IF(C235="","",IF(LEN(UPPER(SUBSTITUTE(SUBSTITUTE(SUBSTITUTE(SUBSTITUTE(TRIM(C235),".",""),"/",""),"-","")," ","")))&lt;14,RIGHT(REPT("0",14)&amp;UPPER(SUBSTITUTE(SUBSTITUTE(SUBSTITUTE(SUBSTITUTE(TRIM(C235),".",""),"/",""),"-","")," ","")),14),UPPER(SUBSTITUTE(SUBSTITUTE(SUBSTITUTE(SUBSTITUTE(TRIM(C235),".",""),"/",""),"-","")," ",""))))</f>
        <v/>
      </c>
      <c r="E235" s="25" t="str">
        <f aca="false">IF(D235="","",IFERROR(INDEX(Empresas!$C:$C,MATCH(D235,Empresas!$B:$B,0)),"cadastre o CNPJ em Empresas"))</f>
        <v/>
      </c>
      <c r="F235" s="11"/>
      <c r="G235" s="23"/>
      <c r="H235" s="22"/>
      <c r="I235" s="35"/>
      <c r="J235" s="35"/>
      <c r="K235" s="36" t="str">
        <f aca="false">IF(I235="","",I235+J235)</f>
        <v/>
      </c>
      <c r="L235" s="37" t="str">
        <f aca="false">IF(OR(I235="",I235=0,J235=""),"",J235/I235)</f>
        <v/>
      </c>
      <c r="M235" s="25" t="str">
        <f aca="false">IF(L235="","",IF(L235&gt;0.25,"ACRÉSCIMO ACIMA DE 25% — conferir",""))</f>
        <v/>
      </c>
      <c r="N235" s="29" t="str">
        <f aca="false">IF(D235="","",IF(COUNTIFS(Empresas!$B:$B,D235,Empresas!$E:$E,"&lt;&gt;")=0,"",INDEX(Empresas!$E:$E,MATCH(D235,Empresas!$B:$B,0))))</f>
        <v/>
      </c>
      <c r="O235" s="27" t="str">
        <f aca="false">IF(OR(N235="",H235=""),"",H235-N235)</f>
        <v/>
      </c>
      <c r="P235" s="25" t="str">
        <f aca="false">IF(O235="","",IF(O235&lt;0,"CONTRATO ANTERIOR À ABERTURA — conferir datas",IF(O235&lt;180,"EMPRESA ABERTA MENOS DE 6 MESES ANTES","")))</f>
        <v/>
      </c>
      <c r="Q235" s="31" t="str">
        <f aca="false">IF(D235="","",IFERROR(INDEX(Sancoes!$D:$D,MATCH(D235,Sancoes!$C:$C,0)),"não consta"))</f>
        <v/>
      </c>
      <c r="R235" s="25" t="str">
        <f aca="false">IF(OR(D235="",H235=""),"",IF(SUMPRODUCT((Sancoes!$C$5:$C$304=D235)*(Sancoes!$G$5:$G$304&lt;=H235)*(((Sancoes!$H$5:$H$304="")+(Sancoes!$H$5:$H$304&gt;=H235))&gt;0))&gt;0,"SANÇÃO VIGENTE NA DATA — ler tipo e abrangência",""))</f>
        <v/>
      </c>
      <c r="S235" s="24"/>
      <c r="T235" s="11"/>
    </row>
    <row r="236" customFormat="false" ht="15" hidden="false" customHeight="false" outlineLevel="0" collapsed="false">
      <c r="A236" s="11"/>
      <c r="B236" s="24"/>
      <c r="C236" s="24"/>
      <c r="D236" s="31" t="str">
        <f aca="false">IF(C236="","",IF(LEN(UPPER(SUBSTITUTE(SUBSTITUTE(SUBSTITUTE(SUBSTITUTE(TRIM(C236),".",""),"/",""),"-","")," ","")))&lt;14,RIGHT(REPT("0",14)&amp;UPPER(SUBSTITUTE(SUBSTITUTE(SUBSTITUTE(SUBSTITUTE(TRIM(C236),".",""),"/",""),"-","")," ","")),14),UPPER(SUBSTITUTE(SUBSTITUTE(SUBSTITUTE(SUBSTITUTE(TRIM(C236),".",""),"/",""),"-","")," ",""))))</f>
        <v/>
      </c>
      <c r="E236" s="25" t="str">
        <f aca="false">IF(D236="","",IFERROR(INDEX(Empresas!$C:$C,MATCH(D236,Empresas!$B:$B,0)),"cadastre o CNPJ em Empresas"))</f>
        <v/>
      </c>
      <c r="F236" s="11"/>
      <c r="G236" s="23"/>
      <c r="H236" s="22"/>
      <c r="I236" s="35"/>
      <c r="J236" s="35"/>
      <c r="K236" s="36" t="str">
        <f aca="false">IF(I236="","",I236+J236)</f>
        <v/>
      </c>
      <c r="L236" s="37" t="str">
        <f aca="false">IF(OR(I236="",I236=0,J236=""),"",J236/I236)</f>
        <v/>
      </c>
      <c r="M236" s="25" t="str">
        <f aca="false">IF(L236="","",IF(L236&gt;0.25,"ACRÉSCIMO ACIMA DE 25% — conferir",""))</f>
        <v/>
      </c>
      <c r="N236" s="29" t="str">
        <f aca="false">IF(D236="","",IF(COUNTIFS(Empresas!$B:$B,D236,Empresas!$E:$E,"&lt;&gt;")=0,"",INDEX(Empresas!$E:$E,MATCH(D236,Empresas!$B:$B,0))))</f>
        <v/>
      </c>
      <c r="O236" s="27" t="str">
        <f aca="false">IF(OR(N236="",H236=""),"",H236-N236)</f>
        <v/>
      </c>
      <c r="P236" s="25" t="str">
        <f aca="false">IF(O236="","",IF(O236&lt;0,"CONTRATO ANTERIOR À ABERTURA — conferir datas",IF(O236&lt;180,"EMPRESA ABERTA MENOS DE 6 MESES ANTES","")))</f>
        <v/>
      </c>
      <c r="Q236" s="31" t="str">
        <f aca="false">IF(D236="","",IFERROR(INDEX(Sancoes!$D:$D,MATCH(D236,Sancoes!$C:$C,0)),"não consta"))</f>
        <v/>
      </c>
      <c r="R236" s="25" t="str">
        <f aca="false">IF(OR(D236="",H236=""),"",IF(SUMPRODUCT((Sancoes!$C$5:$C$304=D236)*(Sancoes!$G$5:$G$304&lt;=H236)*(((Sancoes!$H$5:$H$304="")+(Sancoes!$H$5:$H$304&gt;=H236))&gt;0))&gt;0,"SANÇÃO VIGENTE NA DATA — ler tipo e abrangência",""))</f>
        <v/>
      </c>
      <c r="S236" s="24"/>
      <c r="T236" s="11"/>
    </row>
    <row r="237" customFormat="false" ht="15" hidden="false" customHeight="false" outlineLevel="0" collapsed="false">
      <c r="A237" s="11"/>
      <c r="B237" s="24"/>
      <c r="C237" s="24"/>
      <c r="D237" s="31" t="str">
        <f aca="false">IF(C237="","",IF(LEN(UPPER(SUBSTITUTE(SUBSTITUTE(SUBSTITUTE(SUBSTITUTE(TRIM(C237),".",""),"/",""),"-","")," ","")))&lt;14,RIGHT(REPT("0",14)&amp;UPPER(SUBSTITUTE(SUBSTITUTE(SUBSTITUTE(SUBSTITUTE(TRIM(C237),".",""),"/",""),"-","")," ","")),14),UPPER(SUBSTITUTE(SUBSTITUTE(SUBSTITUTE(SUBSTITUTE(TRIM(C237),".",""),"/",""),"-","")," ",""))))</f>
        <v/>
      </c>
      <c r="E237" s="25" t="str">
        <f aca="false">IF(D237="","",IFERROR(INDEX(Empresas!$C:$C,MATCH(D237,Empresas!$B:$B,0)),"cadastre o CNPJ em Empresas"))</f>
        <v/>
      </c>
      <c r="F237" s="11"/>
      <c r="G237" s="23"/>
      <c r="H237" s="22"/>
      <c r="I237" s="35"/>
      <c r="J237" s="35"/>
      <c r="K237" s="36" t="str">
        <f aca="false">IF(I237="","",I237+J237)</f>
        <v/>
      </c>
      <c r="L237" s="37" t="str">
        <f aca="false">IF(OR(I237="",I237=0,J237=""),"",J237/I237)</f>
        <v/>
      </c>
      <c r="M237" s="25" t="str">
        <f aca="false">IF(L237="","",IF(L237&gt;0.25,"ACRÉSCIMO ACIMA DE 25% — conferir",""))</f>
        <v/>
      </c>
      <c r="N237" s="29" t="str">
        <f aca="false">IF(D237="","",IF(COUNTIFS(Empresas!$B:$B,D237,Empresas!$E:$E,"&lt;&gt;")=0,"",INDEX(Empresas!$E:$E,MATCH(D237,Empresas!$B:$B,0))))</f>
        <v/>
      </c>
      <c r="O237" s="27" t="str">
        <f aca="false">IF(OR(N237="",H237=""),"",H237-N237)</f>
        <v/>
      </c>
      <c r="P237" s="25" t="str">
        <f aca="false">IF(O237="","",IF(O237&lt;0,"CONTRATO ANTERIOR À ABERTURA — conferir datas",IF(O237&lt;180,"EMPRESA ABERTA MENOS DE 6 MESES ANTES","")))</f>
        <v/>
      </c>
      <c r="Q237" s="31" t="str">
        <f aca="false">IF(D237="","",IFERROR(INDEX(Sancoes!$D:$D,MATCH(D237,Sancoes!$C:$C,0)),"não consta"))</f>
        <v/>
      </c>
      <c r="R237" s="25" t="str">
        <f aca="false">IF(OR(D237="",H237=""),"",IF(SUMPRODUCT((Sancoes!$C$5:$C$304=D237)*(Sancoes!$G$5:$G$304&lt;=H237)*(((Sancoes!$H$5:$H$304="")+(Sancoes!$H$5:$H$304&gt;=H237))&gt;0))&gt;0,"SANÇÃO VIGENTE NA DATA — ler tipo e abrangência",""))</f>
        <v/>
      </c>
      <c r="S237" s="24"/>
      <c r="T237" s="11"/>
    </row>
    <row r="238" customFormat="false" ht="15" hidden="false" customHeight="false" outlineLevel="0" collapsed="false">
      <c r="A238" s="11"/>
      <c r="B238" s="24"/>
      <c r="C238" s="24"/>
      <c r="D238" s="31" t="str">
        <f aca="false">IF(C238="","",IF(LEN(UPPER(SUBSTITUTE(SUBSTITUTE(SUBSTITUTE(SUBSTITUTE(TRIM(C238),".",""),"/",""),"-","")," ","")))&lt;14,RIGHT(REPT("0",14)&amp;UPPER(SUBSTITUTE(SUBSTITUTE(SUBSTITUTE(SUBSTITUTE(TRIM(C238),".",""),"/",""),"-","")," ","")),14),UPPER(SUBSTITUTE(SUBSTITUTE(SUBSTITUTE(SUBSTITUTE(TRIM(C238),".",""),"/",""),"-","")," ",""))))</f>
        <v/>
      </c>
      <c r="E238" s="25" t="str">
        <f aca="false">IF(D238="","",IFERROR(INDEX(Empresas!$C:$C,MATCH(D238,Empresas!$B:$B,0)),"cadastre o CNPJ em Empresas"))</f>
        <v/>
      </c>
      <c r="F238" s="11"/>
      <c r="G238" s="23"/>
      <c r="H238" s="22"/>
      <c r="I238" s="35"/>
      <c r="J238" s="35"/>
      <c r="K238" s="36" t="str">
        <f aca="false">IF(I238="","",I238+J238)</f>
        <v/>
      </c>
      <c r="L238" s="37" t="str">
        <f aca="false">IF(OR(I238="",I238=0,J238=""),"",J238/I238)</f>
        <v/>
      </c>
      <c r="M238" s="25" t="str">
        <f aca="false">IF(L238="","",IF(L238&gt;0.25,"ACRÉSCIMO ACIMA DE 25% — conferir",""))</f>
        <v/>
      </c>
      <c r="N238" s="29" t="str">
        <f aca="false">IF(D238="","",IF(COUNTIFS(Empresas!$B:$B,D238,Empresas!$E:$E,"&lt;&gt;")=0,"",INDEX(Empresas!$E:$E,MATCH(D238,Empresas!$B:$B,0))))</f>
        <v/>
      </c>
      <c r="O238" s="27" t="str">
        <f aca="false">IF(OR(N238="",H238=""),"",H238-N238)</f>
        <v/>
      </c>
      <c r="P238" s="25" t="str">
        <f aca="false">IF(O238="","",IF(O238&lt;0,"CONTRATO ANTERIOR À ABERTURA — conferir datas",IF(O238&lt;180,"EMPRESA ABERTA MENOS DE 6 MESES ANTES","")))</f>
        <v/>
      </c>
      <c r="Q238" s="31" t="str">
        <f aca="false">IF(D238="","",IFERROR(INDEX(Sancoes!$D:$D,MATCH(D238,Sancoes!$C:$C,0)),"não consta"))</f>
        <v/>
      </c>
      <c r="R238" s="25" t="str">
        <f aca="false">IF(OR(D238="",H238=""),"",IF(SUMPRODUCT((Sancoes!$C$5:$C$304=D238)*(Sancoes!$G$5:$G$304&lt;=H238)*(((Sancoes!$H$5:$H$304="")+(Sancoes!$H$5:$H$304&gt;=H238))&gt;0))&gt;0,"SANÇÃO VIGENTE NA DATA — ler tipo e abrangência",""))</f>
        <v/>
      </c>
      <c r="S238" s="24"/>
      <c r="T238" s="11"/>
    </row>
    <row r="239" customFormat="false" ht="15" hidden="false" customHeight="false" outlineLevel="0" collapsed="false">
      <c r="A239" s="11"/>
      <c r="B239" s="24"/>
      <c r="C239" s="24"/>
      <c r="D239" s="31" t="str">
        <f aca="false">IF(C239="","",IF(LEN(UPPER(SUBSTITUTE(SUBSTITUTE(SUBSTITUTE(SUBSTITUTE(TRIM(C239),".",""),"/",""),"-","")," ","")))&lt;14,RIGHT(REPT("0",14)&amp;UPPER(SUBSTITUTE(SUBSTITUTE(SUBSTITUTE(SUBSTITUTE(TRIM(C239),".",""),"/",""),"-","")," ","")),14),UPPER(SUBSTITUTE(SUBSTITUTE(SUBSTITUTE(SUBSTITUTE(TRIM(C239),".",""),"/",""),"-","")," ",""))))</f>
        <v/>
      </c>
      <c r="E239" s="25" t="str">
        <f aca="false">IF(D239="","",IFERROR(INDEX(Empresas!$C:$C,MATCH(D239,Empresas!$B:$B,0)),"cadastre o CNPJ em Empresas"))</f>
        <v/>
      </c>
      <c r="F239" s="11"/>
      <c r="G239" s="23"/>
      <c r="H239" s="22"/>
      <c r="I239" s="35"/>
      <c r="J239" s="35"/>
      <c r="K239" s="36" t="str">
        <f aca="false">IF(I239="","",I239+J239)</f>
        <v/>
      </c>
      <c r="L239" s="37" t="str">
        <f aca="false">IF(OR(I239="",I239=0,J239=""),"",J239/I239)</f>
        <v/>
      </c>
      <c r="M239" s="25" t="str">
        <f aca="false">IF(L239="","",IF(L239&gt;0.25,"ACRÉSCIMO ACIMA DE 25% — conferir",""))</f>
        <v/>
      </c>
      <c r="N239" s="29" t="str">
        <f aca="false">IF(D239="","",IF(COUNTIFS(Empresas!$B:$B,D239,Empresas!$E:$E,"&lt;&gt;")=0,"",INDEX(Empresas!$E:$E,MATCH(D239,Empresas!$B:$B,0))))</f>
        <v/>
      </c>
      <c r="O239" s="27" t="str">
        <f aca="false">IF(OR(N239="",H239=""),"",H239-N239)</f>
        <v/>
      </c>
      <c r="P239" s="25" t="str">
        <f aca="false">IF(O239="","",IF(O239&lt;0,"CONTRATO ANTERIOR À ABERTURA — conferir datas",IF(O239&lt;180,"EMPRESA ABERTA MENOS DE 6 MESES ANTES","")))</f>
        <v/>
      </c>
      <c r="Q239" s="31" t="str">
        <f aca="false">IF(D239="","",IFERROR(INDEX(Sancoes!$D:$D,MATCH(D239,Sancoes!$C:$C,0)),"não consta"))</f>
        <v/>
      </c>
      <c r="R239" s="25" t="str">
        <f aca="false">IF(OR(D239="",H239=""),"",IF(SUMPRODUCT((Sancoes!$C$5:$C$304=D239)*(Sancoes!$G$5:$G$304&lt;=H239)*(((Sancoes!$H$5:$H$304="")+(Sancoes!$H$5:$H$304&gt;=H239))&gt;0))&gt;0,"SANÇÃO VIGENTE NA DATA — ler tipo e abrangência",""))</f>
        <v/>
      </c>
      <c r="S239" s="24"/>
      <c r="T239" s="11"/>
    </row>
    <row r="240" customFormat="false" ht="15" hidden="false" customHeight="false" outlineLevel="0" collapsed="false">
      <c r="A240" s="11"/>
      <c r="B240" s="24"/>
      <c r="C240" s="24"/>
      <c r="D240" s="31" t="str">
        <f aca="false">IF(C240="","",IF(LEN(UPPER(SUBSTITUTE(SUBSTITUTE(SUBSTITUTE(SUBSTITUTE(TRIM(C240),".",""),"/",""),"-","")," ","")))&lt;14,RIGHT(REPT("0",14)&amp;UPPER(SUBSTITUTE(SUBSTITUTE(SUBSTITUTE(SUBSTITUTE(TRIM(C240),".",""),"/",""),"-","")," ","")),14),UPPER(SUBSTITUTE(SUBSTITUTE(SUBSTITUTE(SUBSTITUTE(TRIM(C240),".",""),"/",""),"-","")," ",""))))</f>
        <v/>
      </c>
      <c r="E240" s="25" t="str">
        <f aca="false">IF(D240="","",IFERROR(INDEX(Empresas!$C:$C,MATCH(D240,Empresas!$B:$B,0)),"cadastre o CNPJ em Empresas"))</f>
        <v/>
      </c>
      <c r="F240" s="11"/>
      <c r="G240" s="23"/>
      <c r="H240" s="22"/>
      <c r="I240" s="35"/>
      <c r="J240" s="35"/>
      <c r="K240" s="36" t="str">
        <f aca="false">IF(I240="","",I240+J240)</f>
        <v/>
      </c>
      <c r="L240" s="37" t="str">
        <f aca="false">IF(OR(I240="",I240=0,J240=""),"",J240/I240)</f>
        <v/>
      </c>
      <c r="M240" s="25" t="str">
        <f aca="false">IF(L240="","",IF(L240&gt;0.25,"ACRÉSCIMO ACIMA DE 25% — conferir",""))</f>
        <v/>
      </c>
      <c r="N240" s="29" t="str">
        <f aca="false">IF(D240="","",IF(COUNTIFS(Empresas!$B:$B,D240,Empresas!$E:$E,"&lt;&gt;")=0,"",INDEX(Empresas!$E:$E,MATCH(D240,Empresas!$B:$B,0))))</f>
        <v/>
      </c>
      <c r="O240" s="27" t="str">
        <f aca="false">IF(OR(N240="",H240=""),"",H240-N240)</f>
        <v/>
      </c>
      <c r="P240" s="25" t="str">
        <f aca="false">IF(O240="","",IF(O240&lt;0,"CONTRATO ANTERIOR À ABERTURA — conferir datas",IF(O240&lt;180,"EMPRESA ABERTA MENOS DE 6 MESES ANTES","")))</f>
        <v/>
      </c>
      <c r="Q240" s="31" t="str">
        <f aca="false">IF(D240="","",IFERROR(INDEX(Sancoes!$D:$D,MATCH(D240,Sancoes!$C:$C,0)),"não consta"))</f>
        <v/>
      </c>
      <c r="R240" s="25" t="str">
        <f aca="false">IF(OR(D240="",H240=""),"",IF(SUMPRODUCT((Sancoes!$C$5:$C$304=D240)*(Sancoes!$G$5:$G$304&lt;=H240)*(((Sancoes!$H$5:$H$304="")+(Sancoes!$H$5:$H$304&gt;=H240))&gt;0))&gt;0,"SANÇÃO VIGENTE NA DATA — ler tipo e abrangência",""))</f>
        <v/>
      </c>
      <c r="S240" s="24"/>
      <c r="T240" s="11"/>
    </row>
    <row r="241" customFormat="false" ht="15" hidden="false" customHeight="false" outlineLevel="0" collapsed="false">
      <c r="A241" s="11"/>
      <c r="B241" s="24"/>
      <c r="C241" s="24"/>
      <c r="D241" s="31" t="str">
        <f aca="false">IF(C241="","",IF(LEN(UPPER(SUBSTITUTE(SUBSTITUTE(SUBSTITUTE(SUBSTITUTE(TRIM(C241),".",""),"/",""),"-","")," ","")))&lt;14,RIGHT(REPT("0",14)&amp;UPPER(SUBSTITUTE(SUBSTITUTE(SUBSTITUTE(SUBSTITUTE(TRIM(C241),".",""),"/",""),"-","")," ","")),14),UPPER(SUBSTITUTE(SUBSTITUTE(SUBSTITUTE(SUBSTITUTE(TRIM(C241),".",""),"/",""),"-","")," ",""))))</f>
        <v/>
      </c>
      <c r="E241" s="25" t="str">
        <f aca="false">IF(D241="","",IFERROR(INDEX(Empresas!$C:$C,MATCH(D241,Empresas!$B:$B,0)),"cadastre o CNPJ em Empresas"))</f>
        <v/>
      </c>
      <c r="F241" s="11"/>
      <c r="G241" s="23"/>
      <c r="H241" s="22"/>
      <c r="I241" s="35"/>
      <c r="J241" s="35"/>
      <c r="K241" s="36" t="str">
        <f aca="false">IF(I241="","",I241+J241)</f>
        <v/>
      </c>
      <c r="L241" s="37" t="str">
        <f aca="false">IF(OR(I241="",I241=0,J241=""),"",J241/I241)</f>
        <v/>
      </c>
      <c r="M241" s="25" t="str">
        <f aca="false">IF(L241="","",IF(L241&gt;0.25,"ACRÉSCIMO ACIMA DE 25% — conferir",""))</f>
        <v/>
      </c>
      <c r="N241" s="29" t="str">
        <f aca="false">IF(D241="","",IF(COUNTIFS(Empresas!$B:$B,D241,Empresas!$E:$E,"&lt;&gt;")=0,"",INDEX(Empresas!$E:$E,MATCH(D241,Empresas!$B:$B,0))))</f>
        <v/>
      </c>
      <c r="O241" s="27" t="str">
        <f aca="false">IF(OR(N241="",H241=""),"",H241-N241)</f>
        <v/>
      </c>
      <c r="P241" s="25" t="str">
        <f aca="false">IF(O241="","",IF(O241&lt;0,"CONTRATO ANTERIOR À ABERTURA — conferir datas",IF(O241&lt;180,"EMPRESA ABERTA MENOS DE 6 MESES ANTES","")))</f>
        <v/>
      </c>
      <c r="Q241" s="31" t="str">
        <f aca="false">IF(D241="","",IFERROR(INDEX(Sancoes!$D:$D,MATCH(D241,Sancoes!$C:$C,0)),"não consta"))</f>
        <v/>
      </c>
      <c r="R241" s="25" t="str">
        <f aca="false">IF(OR(D241="",H241=""),"",IF(SUMPRODUCT((Sancoes!$C$5:$C$304=D241)*(Sancoes!$G$5:$G$304&lt;=H241)*(((Sancoes!$H$5:$H$304="")+(Sancoes!$H$5:$H$304&gt;=H241))&gt;0))&gt;0,"SANÇÃO VIGENTE NA DATA — ler tipo e abrangência",""))</f>
        <v/>
      </c>
      <c r="S241" s="24"/>
      <c r="T241" s="11"/>
    </row>
    <row r="242" customFormat="false" ht="15" hidden="false" customHeight="false" outlineLevel="0" collapsed="false">
      <c r="A242" s="11"/>
      <c r="B242" s="24"/>
      <c r="C242" s="24"/>
      <c r="D242" s="31" t="str">
        <f aca="false">IF(C242="","",IF(LEN(UPPER(SUBSTITUTE(SUBSTITUTE(SUBSTITUTE(SUBSTITUTE(TRIM(C242),".",""),"/",""),"-","")," ","")))&lt;14,RIGHT(REPT("0",14)&amp;UPPER(SUBSTITUTE(SUBSTITUTE(SUBSTITUTE(SUBSTITUTE(TRIM(C242),".",""),"/",""),"-","")," ","")),14),UPPER(SUBSTITUTE(SUBSTITUTE(SUBSTITUTE(SUBSTITUTE(TRIM(C242),".",""),"/",""),"-","")," ",""))))</f>
        <v/>
      </c>
      <c r="E242" s="25" t="str">
        <f aca="false">IF(D242="","",IFERROR(INDEX(Empresas!$C:$C,MATCH(D242,Empresas!$B:$B,0)),"cadastre o CNPJ em Empresas"))</f>
        <v/>
      </c>
      <c r="F242" s="11"/>
      <c r="G242" s="23"/>
      <c r="H242" s="22"/>
      <c r="I242" s="35"/>
      <c r="J242" s="35"/>
      <c r="K242" s="36" t="str">
        <f aca="false">IF(I242="","",I242+J242)</f>
        <v/>
      </c>
      <c r="L242" s="37" t="str">
        <f aca="false">IF(OR(I242="",I242=0,J242=""),"",J242/I242)</f>
        <v/>
      </c>
      <c r="M242" s="25" t="str">
        <f aca="false">IF(L242="","",IF(L242&gt;0.25,"ACRÉSCIMO ACIMA DE 25% — conferir",""))</f>
        <v/>
      </c>
      <c r="N242" s="29" t="str">
        <f aca="false">IF(D242="","",IF(COUNTIFS(Empresas!$B:$B,D242,Empresas!$E:$E,"&lt;&gt;")=0,"",INDEX(Empresas!$E:$E,MATCH(D242,Empresas!$B:$B,0))))</f>
        <v/>
      </c>
      <c r="O242" s="27" t="str">
        <f aca="false">IF(OR(N242="",H242=""),"",H242-N242)</f>
        <v/>
      </c>
      <c r="P242" s="25" t="str">
        <f aca="false">IF(O242="","",IF(O242&lt;0,"CONTRATO ANTERIOR À ABERTURA — conferir datas",IF(O242&lt;180,"EMPRESA ABERTA MENOS DE 6 MESES ANTES","")))</f>
        <v/>
      </c>
      <c r="Q242" s="31" t="str">
        <f aca="false">IF(D242="","",IFERROR(INDEX(Sancoes!$D:$D,MATCH(D242,Sancoes!$C:$C,0)),"não consta"))</f>
        <v/>
      </c>
      <c r="R242" s="25" t="str">
        <f aca="false">IF(OR(D242="",H242=""),"",IF(SUMPRODUCT((Sancoes!$C$5:$C$304=D242)*(Sancoes!$G$5:$G$304&lt;=H242)*(((Sancoes!$H$5:$H$304="")+(Sancoes!$H$5:$H$304&gt;=H242))&gt;0))&gt;0,"SANÇÃO VIGENTE NA DATA — ler tipo e abrangência",""))</f>
        <v/>
      </c>
      <c r="S242" s="24"/>
      <c r="T242" s="11"/>
    </row>
    <row r="243" customFormat="false" ht="15" hidden="false" customHeight="false" outlineLevel="0" collapsed="false">
      <c r="A243" s="11"/>
      <c r="B243" s="24"/>
      <c r="C243" s="24"/>
      <c r="D243" s="31" t="str">
        <f aca="false">IF(C243="","",IF(LEN(UPPER(SUBSTITUTE(SUBSTITUTE(SUBSTITUTE(SUBSTITUTE(TRIM(C243),".",""),"/",""),"-","")," ","")))&lt;14,RIGHT(REPT("0",14)&amp;UPPER(SUBSTITUTE(SUBSTITUTE(SUBSTITUTE(SUBSTITUTE(TRIM(C243),".",""),"/",""),"-","")," ","")),14),UPPER(SUBSTITUTE(SUBSTITUTE(SUBSTITUTE(SUBSTITUTE(TRIM(C243),".",""),"/",""),"-","")," ",""))))</f>
        <v/>
      </c>
      <c r="E243" s="25" t="str">
        <f aca="false">IF(D243="","",IFERROR(INDEX(Empresas!$C:$C,MATCH(D243,Empresas!$B:$B,0)),"cadastre o CNPJ em Empresas"))</f>
        <v/>
      </c>
      <c r="F243" s="11"/>
      <c r="G243" s="23"/>
      <c r="H243" s="22"/>
      <c r="I243" s="35"/>
      <c r="J243" s="35"/>
      <c r="K243" s="36" t="str">
        <f aca="false">IF(I243="","",I243+J243)</f>
        <v/>
      </c>
      <c r="L243" s="37" t="str">
        <f aca="false">IF(OR(I243="",I243=0,J243=""),"",J243/I243)</f>
        <v/>
      </c>
      <c r="M243" s="25" t="str">
        <f aca="false">IF(L243="","",IF(L243&gt;0.25,"ACRÉSCIMO ACIMA DE 25% — conferir",""))</f>
        <v/>
      </c>
      <c r="N243" s="29" t="str">
        <f aca="false">IF(D243="","",IF(COUNTIFS(Empresas!$B:$B,D243,Empresas!$E:$E,"&lt;&gt;")=0,"",INDEX(Empresas!$E:$E,MATCH(D243,Empresas!$B:$B,0))))</f>
        <v/>
      </c>
      <c r="O243" s="27" t="str">
        <f aca="false">IF(OR(N243="",H243=""),"",H243-N243)</f>
        <v/>
      </c>
      <c r="P243" s="25" t="str">
        <f aca="false">IF(O243="","",IF(O243&lt;0,"CONTRATO ANTERIOR À ABERTURA — conferir datas",IF(O243&lt;180,"EMPRESA ABERTA MENOS DE 6 MESES ANTES","")))</f>
        <v/>
      </c>
      <c r="Q243" s="31" t="str">
        <f aca="false">IF(D243="","",IFERROR(INDEX(Sancoes!$D:$D,MATCH(D243,Sancoes!$C:$C,0)),"não consta"))</f>
        <v/>
      </c>
      <c r="R243" s="25" t="str">
        <f aca="false">IF(OR(D243="",H243=""),"",IF(SUMPRODUCT((Sancoes!$C$5:$C$304=D243)*(Sancoes!$G$5:$G$304&lt;=H243)*(((Sancoes!$H$5:$H$304="")+(Sancoes!$H$5:$H$304&gt;=H243))&gt;0))&gt;0,"SANÇÃO VIGENTE NA DATA — ler tipo e abrangência",""))</f>
        <v/>
      </c>
      <c r="S243" s="24"/>
      <c r="T243" s="11"/>
    </row>
    <row r="244" customFormat="false" ht="15" hidden="false" customHeight="false" outlineLevel="0" collapsed="false">
      <c r="A244" s="11"/>
      <c r="B244" s="24"/>
      <c r="C244" s="24"/>
      <c r="D244" s="31" t="str">
        <f aca="false">IF(C244="","",IF(LEN(UPPER(SUBSTITUTE(SUBSTITUTE(SUBSTITUTE(SUBSTITUTE(TRIM(C244),".",""),"/",""),"-","")," ","")))&lt;14,RIGHT(REPT("0",14)&amp;UPPER(SUBSTITUTE(SUBSTITUTE(SUBSTITUTE(SUBSTITUTE(TRIM(C244),".",""),"/",""),"-","")," ","")),14),UPPER(SUBSTITUTE(SUBSTITUTE(SUBSTITUTE(SUBSTITUTE(TRIM(C244),".",""),"/",""),"-","")," ",""))))</f>
        <v/>
      </c>
      <c r="E244" s="25" t="str">
        <f aca="false">IF(D244="","",IFERROR(INDEX(Empresas!$C:$C,MATCH(D244,Empresas!$B:$B,0)),"cadastre o CNPJ em Empresas"))</f>
        <v/>
      </c>
      <c r="F244" s="11"/>
      <c r="G244" s="23"/>
      <c r="H244" s="22"/>
      <c r="I244" s="35"/>
      <c r="J244" s="35"/>
      <c r="K244" s="36" t="str">
        <f aca="false">IF(I244="","",I244+J244)</f>
        <v/>
      </c>
      <c r="L244" s="37" t="str">
        <f aca="false">IF(OR(I244="",I244=0,J244=""),"",J244/I244)</f>
        <v/>
      </c>
      <c r="M244" s="25" t="str">
        <f aca="false">IF(L244="","",IF(L244&gt;0.25,"ACRÉSCIMO ACIMA DE 25% — conferir",""))</f>
        <v/>
      </c>
      <c r="N244" s="29" t="str">
        <f aca="false">IF(D244="","",IF(COUNTIFS(Empresas!$B:$B,D244,Empresas!$E:$E,"&lt;&gt;")=0,"",INDEX(Empresas!$E:$E,MATCH(D244,Empresas!$B:$B,0))))</f>
        <v/>
      </c>
      <c r="O244" s="27" t="str">
        <f aca="false">IF(OR(N244="",H244=""),"",H244-N244)</f>
        <v/>
      </c>
      <c r="P244" s="25" t="str">
        <f aca="false">IF(O244="","",IF(O244&lt;0,"CONTRATO ANTERIOR À ABERTURA — conferir datas",IF(O244&lt;180,"EMPRESA ABERTA MENOS DE 6 MESES ANTES","")))</f>
        <v/>
      </c>
      <c r="Q244" s="31" t="str">
        <f aca="false">IF(D244="","",IFERROR(INDEX(Sancoes!$D:$D,MATCH(D244,Sancoes!$C:$C,0)),"não consta"))</f>
        <v/>
      </c>
      <c r="R244" s="25" t="str">
        <f aca="false">IF(OR(D244="",H244=""),"",IF(SUMPRODUCT((Sancoes!$C$5:$C$304=D244)*(Sancoes!$G$5:$G$304&lt;=H244)*(((Sancoes!$H$5:$H$304="")+(Sancoes!$H$5:$H$304&gt;=H244))&gt;0))&gt;0,"SANÇÃO VIGENTE NA DATA — ler tipo e abrangência",""))</f>
        <v/>
      </c>
      <c r="S244" s="24"/>
      <c r="T244" s="11"/>
    </row>
    <row r="245" customFormat="false" ht="15" hidden="false" customHeight="false" outlineLevel="0" collapsed="false">
      <c r="A245" s="11"/>
      <c r="B245" s="24"/>
      <c r="C245" s="24"/>
      <c r="D245" s="31" t="str">
        <f aca="false">IF(C245="","",IF(LEN(UPPER(SUBSTITUTE(SUBSTITUTE(SUBSTITUTE(SUBSTITUTE(TRIM(C245),".",""),"/",""),"-","")," ","")))&lt;14,RIGHT(REPT("0",14)&amp;UPPER(SUBSTITUTE(SUBSTITUTE(SUBSTITUTE(SUBSTITUTE(TRIM(C245),".",""),"/",""),"-","")," ","")),14),UPPER(SUBSTITUTE(SUBSTITUTE(SUBSTITUTE(SUBSTITUTE(TRIM(C245),".",""),"/",""),"-","")," ",""))))</f>
        <v/>
      </c>
      <c r="E245" s="25" t="str">
        <f aca="false">IF(D245="","",IFERROR(INDEX(Empresas!$C:$C,MATCH(D245,Empresas!$B:$B,0)),"cadastre o CNPJ em Empresas"))</f>
        <v/>
      </c>
      <c r="F245" s="11"/>
      <c r="G245" s="23"/>
      <c r="H245" s="22"/>
      <c r="I245" s="35"/>
      <c r="J245" s="35"/>
      <c r="K245" s="36" t="str">
        <f aca="false">IF(I245="","",I245+J245)</f>
        <v/>
      </c>
      <c r="L245" s="37" t="str">
        <f aca="false">IF(OR(I245="",I245=0,J245=""),"",J245/I245)</f>
        <v/>
      </c>
      <c r="M245" s="25" t="str">
        <f aca="false">IF(L245="","",IF(L245&gt;0.25,"ACRÉSCIMO ACIMA DE 25% — conferir",""))</f>
        <v/>
      </c>
      <c r="N245" s="29" t="str">
        <f aca="false">IF(D245="","",IF(COUNTIFS(Empresas!$B:$B,D245,Empresas!$E:$E,"&lt;&gt;")=0,"",INDEX(Empresas!$E:$E,MATCH(D245,Empresas!$B:$B,0))))</f>
        <v/>
      </c>
      <c r="O245" s="27" t="str">
        <f aca="false">IF(OR(N245="",H245=""),"",H245-N245)</f>
        <v/>
      </c>
      <c r="P245" s="25" t="str">
        <f aca="false">IF(O245="","",IF(O245&lt;0,"CONTRATO ANTERIOR À ABERTURA — conferir datas",IF(O245&lt;180,"EMPRESA ABERTA MENOS DE 6 MESES ANTES","")))</f>
        <v/>
      </c>
      <c r="Q245" s="31" t="str">
        <f aca="false">IF(D245="","",IFERROR(INDEX(Sancoes!$D:$D,MATCH(D245,Sancoes!$C:$C,0)),"não consta"))</f>
        <v/>
      </c>
      <c r="R245" s="25" t="str">
        <f aca="false">IF(OR(D245="",H245=""),"",IF(SUMPRODUCT((Sancoes!$C$5:$C$304=D245)*(Sancoes!$G$5:$G$304&lt;=H245)*(((Sancoes!$H$5:$H$304="")+(Sancoes!$H$5:$H$304&gt;=H245))&gt;0))&gt;0,"SANÇÃO VIGENTE NA DATA — ler tipo e abrangência",""))</f>
        <v/>
      </c>
      <c r="S245" s="24"/>
      <c r="T245" s="11"/>
    </row>
    <row r="246" customFormat="false" ht="15" hidden="false" customHeight="false" outlineLevel="0" collapsed="false">
      <c r="A246" s="11"/>
      <c r="B246" s="24"/>
      <c r="C246" s="24"/>
      <c r="D246" s="31" t="str">
        <f aca="false">IF(C246="","",IF(LEN(UPPER(SUBSTITUTE(SUBSTITUTE(SUBSTITUTE(SUBSTITUTE(TRIM(C246),".",""),"/",""),"-","")," ","")))&lt;14,RIGHT(REPT("0",14)&amp;UPPER(SUBSTITUTE(SUBSTITUTE(SUBSTITUTE(SUBSTITUTE(TRIM(C246),".",""),"/",""),"-","")," ","")),14),UPPER(SUBSTITUTE(SUBSTITUTE(SUBSTITUTE(SUBSTITUTE(TRIM(C246),".",""),"/",""),"-","")," ",""))))</f>
        <v/>
      </c>
      <c r="E246" s="25" t="str">
        <f aca="false">IF(D246="","",IFERROR(INDEX(Empresas!$C:$C,MATCH(D246,Empresas!$B:$B,0)),"cadastre o CNPJ em Empresas"))</f>
        <v/>
      </c>
      <c r="F246" s="11"/>
      <c r="G246" s="23"/>
      <c r="H246" s="22"/>
      <c r="I246" s="35"/>
      <c r="J246" s="35"/>
      <c r="K246" s="36" t="str">
        <f aca="false">IF(I246="","",I246+J246)</f>
        <v/>
      </c>
      <c r="L246" s="37" t="str">
        <f aca="false">IF(OR(I246="",I246=0,J246=""),"",J246/I246)</f>
        <v/>
      </c>
      <c r="M246" s="25" t="str">
        <f aca="false">IF(L246="","",IF(L246&gt;0.25,"ACRÉSCIMO ACIMA DE 25% — conferir",""))</f>
        <v/>
      </c>
      <c r="N246" s="29" t="str">
        <f aca="false">IF(D246="","",IF(COUNTIFS(Empresas!$B:$B,D246,Empresas!$E:$E,"&lt;&gt;")=0,"",INDEX(Empresas!$E:$E,MATCH(D246,Empresas!$B:$B,0))))</f>
        <v/>
      </c>
      <c r="O246" s="27" t="str">
        <f aca="false">IF(OR(N246="",H246=""),"",H246-N246)</f>
        <v/>
      </c>
      <c r="P246" s="25" t="str">
        <f aca="false">IF(O246="","",IF(O246&lt;0,"CONTRATO ANTERIOR À ABERTURA — conferir datas",IF(O246&lt;180,"EMPRESA ABERTA MENOS DE 6 MESES ANTES","")))</f>
        <v/>
      </c>
      <c r="Q246" s="31" t="str">
        <f aca="false">IF(D246="","",IFERROR(INDEX(Sancoes!$D:$D,MATCH(D246,Sancoes!$C:$C,0)),"não consta"))</f>
        <v/>
      </c>
      <c r="R246" s="25" t="str">
        <f aca="false">IF(OR(D246="",H246=""),"",IF(SUMPRODUCT((Sancoes!$C$5:$C$304=D246)*(Sancoes!$G$5:$G$304&lt;=H246)*(((Sancoes!$H$5:$H$304="")+(Sancoes!$H$5:$H$304&gt;=H246))&gt;0))&gt;0,"SANÇÃO VIGENTE NA DATA — ler tipo e abrangência",""))</f>
        <v/>
      </c>
      <c r="S246" s="24"/>
      <c r="T246" s="11"/>
    </row>
    <row r="247" customFormat="false" ht="15" hidden="false" customHeight="false" outlineLevel="0" collapsed="false">
      <c r="A247" s="11"/>
      <c r="B247" s="24"/>
      <c r="C247" s="24"/>
      <c r="D247" s="31" t="str">
        <f aca="false">IF(C247="","",IF(LEN(UPPER(SUBSTITUTE(SUBSTITUTE(SUBSTITUTE(SUBSTITUTE(TRIM(C247),".",""),"/",""),"-","")," ","")))&lt;14,RIGHT(REPT("0",14)&amp;UPPER(SUBSTITUTE(SUBSTITUTE(SUBSTITUTE(SUBSTITUTE(TRIM(C247),".",""),"/",""),"-","")," ","")),14),UPPER(SUBSTITUTE(SUBSTITUTE(SUBSTITUTE(SUBSTITUTE(TRIM(C247),".",""),"/",""),"-","")," ",""))))</f>
        <v/>
      </c>
      <c r="E247" s="25" t="str">
        <f aca="false">IF(D247="","",IFERROR(INDEX(Empresas!$C:$C,MATCH(D247,Empresas!$B:$B,0)),"cadastre o CNPJ em Empresas"))</f>
        <v/>
      </c>
      <c r="F247" s="11"/>
      <c r="G247" s="23"/>
      <c r="H247" s="22"/>
      <c r="I247" s="35"/>
      <c r="J247" s="35"/>
      <c r="K247" s="36" t="str">
        <f aca="false">IF(I247="","",I247+J247)</f>
        <v/>
      </c>
      <c r="L247" s="37" t="str">
        <f aca="false">IF(OR(I247="",I247=0,J247=""),"",J247/I247)</f>
        <v/>
      </c>
      <c r="M247" s="25" t="str">
        <f aca="false">IF(L247="","",IF(L247&gt;0.25,"ACRÉSCIMO ACIMA DE 25% — conferir",""))</f>
        <v/>
      </c>
      <c r="N247" s="29" t="str">
        <f aca="false">IF(D247="","",IF(COUNTIFS(Empresas!$B:$B,D247,Empresas!$E:$E,"&lt;&gt;")=0,"",INDEX(Empresas!$E:$E,MATCH(D247,Empresas!$B:$B,0))))</f>
        <v/>
      </c>
      <c r="O247" s="27" t="str">
        <f aca="false">IF(OR(N247="",H247=""),"",H247-N247)</f>
        <v/>
      </c>
      <c r="P247" s="25" t="str">
        <f aca="false">IF(O247="","",IF(O247&lt;0,"CONTRATO ANTERIOR À ABERTURA — conferir datas",IF(O247&lt;180,"EMPRESA ABERTA MENOS DE 6 MESES ANTES","")))</f>
        <v/>
      </c>
      <c r="Q247" s="31" t="str">
        <f aca="false">IF(D247="","",IFERROR(INDEX(Sancoes!$D:$D,MATCH(D247,Sancoes!$C:$C,0)),"não consta"))</f>
        <v/>
      </c>
      <c r="R247" s="25" t="str">
        <f aca="false">IF(OR(D247="",H247=""),"",IF(SUMPRODUCT((Sancoes!$C$5:$C$304=D247)*(Sancoes!$G$5:$G$304&lt;=H247)*(((Sancoes!$H$5:$H$304="")+(Sancoes!$H$5:$H$304&gt;=H247))&gt;0))&gt;0,"SANÇÃO VIGENTE NA DATA — ler tipo e abrangência",""))</f>
        <v/>
      </c>
      <c r="S247" s="24"/>
      <c r="T247" s="11"/>
    </row>
    <row r="248" customFormat="false" ht="15" hidden="false" customHeight="false" outlineLevel="0" collapsed="false">
      <c r="A248" s="11"/>
      <c r="B248" s="24"/>
      <c r="C248" s="24"/>
      <c r="D248" s="31" t="str">
        <f aca="false">IF(C248="","",IF(LEN(UPPER(SUBSTITUTE(SUBSTITUTE(SUBSTITUTE(SUBSTITUTE(TRIM(C248),".",""),"/",""),"-","")," ","")))&lt;14,RIGHT(REPT("0",14)&amp;UPPER(SUBSTITUTE(SUBSTITUTE(SUBSTITUTE(SUBSTITUTE(TRIM(C248),".",""),"/",""),"-","")," ","")),14),UPPER(SUBSTITUTE(SUBSTITUTE(SUBSTITUTE(SUBSTITUTE(TRIM(C248),".",""),"/",""),"-","")," ",""))))</f>
        <v/>
      </c>
      <c r="E248" s="25" t="str">
        <f aca="false">IF(D248="","",IFERROR(INDEX(Empresas!$C:$C,MATCH(D248,Empresas!$B:$B,0)),"cadastre o CNPJ em Empresas"))</f>
        <v/>
      </c>
      <c r="F248" s="11"/>
      <c r="G248" s="23"/>
      <c r="H248" s="22"/>
      <c r="I248" s="35"/>
      <c r="J248" s="35"/>
      <c r="K248" s="36" t="str">
        <f aca="false">IF(I248="","",I248+J248)</f>
        <v/>
      </c>
      <c r="L248" s="37" t="str">
        <f aca="false">IF(OR(I248="",I248=0,J248=""),"",J248/I248)</f>
        <v/>
      </c>
      <c r="M248" s="25" t="str">
        <f aca="false">IF(L248="","",IF(L248&gt;0.25,"ACRÉSCIMO ACIMA DE 25% — conferir",""))</f>
        <v/>
      </c>
      <c r="N248" s="29" t="str">
        <f aca="false">IF(D248="","",IF(COUNTIFS(Empresas!$B:$B,D248,Empresas!$E:$E,"&lt;&gt;")=0,"",INDEX(Empresas!$E:$E,MATCH(D248,Empresas!$B:$B,0))))</f>
        <v/>
      </c>
      <c r="O248" s="27" t="str">
        <f aca="false">IF(OR(N248="",H248=""),"",H248-N248)</f>
        <v/>
      </c>
      <c r="P248" s="25" t="str">
        <f aca="false">IF(O248="","",IF(O248&lt;0,"CONTRATO ANTERIOR À ABERTURA — conferir datas",IF(O248&lt;180,"EMPRESA ABERTA MENOS DE 6 MESES ANTES","")))</f>
        <v/>
      </c>
      <c r="Q248" s="31" t="str">
        <f aca="false">IF(D248="","",IFERROR(INDEX(Sancoes!$D:$D,MATCH(D248,Sancoes!$C:$C,0)),"não consta"))</f>
        <v/>
      </c>
      <c r="R248" s="25" t="str">
        <f aca="false">IF(OR(D248="",H248=""),"",IF(SUMPRODUCT((Sancoes!$C$5:$C$304=D248)*(Sancoes!$G$5:$G$304&lt;=H248)*(((Sancoes!$H$5:$H$304="")+(Sancoes!$H$5:$H$304&gt;=H248))&gt;0))&gt;0,"SANÇÃO VIGENTE NA DATA — ler tipo e abrangência",""))</f>
        <v/>
      </c>
      <c r="S248" s="24"/>
      <c r="T248" s="11"/>
    </row>
    <row r="249" customFormat="false" ht="15" hidden="false" customHeight="false" outlineLevel="0" collapsed="false">
      <c r="A249" s="11"/>
      <c r="B249" s="24"/>
      <c r="C249" s="24"/>
      <c r="D249" s="31" t="str">
        <f aca="false">IF(C249="","",IF(LEN(UPPER(SUBSTITUTE(SUBSTITUTE(SUBSTITUTE(SUBSTITUTE(TRIM(C249),".",""),"/",""),"-","")," ","")))&lt;14,RIGHT(REPT("0",14)&amp;UPPER(SUBSTITUTE(SUBSTITUTE(SUBSTITUTE(SUBSTITUTE(TRIM(C249),".",""),"/",""),"-","")," ","")),14),UPPER(SUBSTITUTE(SUBSTITUTE(SUBSTITUTE(SUBSTITUTE(TRIM(C249),".",""),"/",""),"-","")," ",""))))</f>
        <v/>
      </c>
      <c r="E249" s="25" t="str">
        <f aca="false">IF(D249="","",IFERROR(INDEX(Empresas!$C:$C,MATCH(D249,Empresas!$B:$B,0)),"cadastre o CNPJ em Empresas"))</f>
        <v/>
      </c>
      <c r="F249" s="11"/>
      <c r="G249" s="23"/>
      <c r="H249" s="22"/>
      <c r="I249" s="35"/>
      <c r="J249" s="35"/>
      <c r="K249" s="36" t="str">
        <f aca="false">IF(I249="","",I249+J249)</f>
        <v/>
      </c>
      <c r="L249" s="37" t="str">
        <f aca="false">IF(OR(I249="",I249=0,J249=""),"",J249/I249)</f>
        <v/>
      </c>
      <c r="M249" s="25" t="str">
        <f aca="false">IF(L249="","",IF(L249&gt;0.25,"ACRÉSCIMO ACIMA DE 25% — conferir",""))</f>
        <v/>
      </c>
      <c r="N249" s="29" t="str">
        <f aca="false">IF(D249="","",IF(COUNTIFS(Empresas!$B:$B,D249,Empresas!$E:$E,"&lt;&gt;")=0,"",INDEX(Empresas!$E:$E,MATCH(D249,Empresas!$B:$B,0))))</f>
        <v/>
      </c>
      <c r="O249" s="27" t="str">
        <f aca="false">IF(OR(N249="",H249=""),"",H249-N249)</f>
        <v/>
      </c>
      <c r="P249" s="25" t="str">
        <f aca="false">IF(O249="","",IF(O249&lt;0,"CONTRATO ANTERIOR À ABERTURA — conferir datas",IF(O249&lt;180,"EMPRESA ABERTA MENOS DE 6 MESES ANTES","")))</f>
        <v/>
      </c>
      <c r="Q249" s="31" t="str">
        <f aca="false">IF(D249="","",IFERROR(INDEX(Sancoes!$D:$D,MATCH(D249,Sancoes!$C:$C,0)),"não consta"))</f>
        <v/>
      </c>
      <c r="R249" s="25" t="str">
        <f aca="false">IF(OR(D249="",H249=""),"",IF(SUMPRODUCT((Sancoes!$C$5:$C$304=D249)*(Sancoes!$G$5:$G$304&lt;=H249)*(((Sancoes!$H$5:$H$304="")+(Sancoes!$H$5:$H$304&gt;=H249))&gt;0))&gt;0,"SANÇÃO VIGENTE NA DATA — ler tipo e abrangência",""))</f>
        <v/>
      </c>
      <c r="S249" s="24"/>
      <c r="T249" s="11"/>
    </row>
    <row r="250" customFormat="false" ht="15" hidden="false" customHeight="false" outlineLevel="0" collapsed="false">
      <c r="A250" s="11"/>
      <c r="B250" s="24"/>
      <c r="C250" s="24"/>
      <c r="D250" s="31" t="str">
        <f aca="false">IF(C250="","",IF(LEN(UPPER(SUBSTITUTE(SUBSTITUTE(SUBSTITUTE(SUBSTITUTE(TRIM(C250),".",""),"/",""),"-","")," ","")))&lt;14,RIGHT(REPT("0",14)&amp;UPPER(SUBSTITUTE(SUBSTITUTE(SUBSTITUTE(SUBSTITUTE(TRIM(C250),".",""),"/",""),"-","")," ","")),14),UPPER(SUBSTITUTE(SUBSTITUTE(SUBSTITUTE(SUBSTITUTE(TRIM(C250),".",""),"/",""),"-","")," ",""))))</f>
        <v/>
      </c>
      <c r="E250" s="25" t="str">
        <f aca="false">IF(D250="","",IFERROR(INDEX(Empresas!$C:$C,MATCH(D250,Empresas!$B:$B,0)),"cadastre o CNPJ em Empresas"))</f>
        <v/>
      </c>
      <c r="F250" s="11"/>
      <c r="G250" s="23"/>
      <c r="H250" s="22"/>
      <c r="I250" s="35"/>
      <c r="J250" s="35"/>
      <c r="K250" s="36" t="str">
        <f aca="false">IF(I250="","",I250+J250)</f>
        <v/>
      </c>
      <c r="L250" s="37" t="str">
        <f aca="false">IF(OR(I250="",I250=0,J250=""),"",J250/I250)</f>
        <v/>
      </c>
      <c r="M250" s="25" t="str">
        <f aca="false">IF(L250="","",IF(L250&gt;0.25,"ACRÉSCIMO ACIMA DE 25% — conferir",""))</f>
        <v/>
      </c>
      <c r="N250" s="29" t="str">
        <f aca="false">IF(D250="","",IF(COUNTIFS(Empresas!$B:$B,D250,Empresas!$E:$E,"&lt;&gt;")=0,"",INDEX(Empresas!$E:$E,MATCH(D250,Empresas!$B:$B,0))))</f>
        <v/>
      </c>
      <c r="O250" s="27" t="str">
        <f aca="false">IF(OR(N250="",H250=""),"",H250-N250)</f>
        <v/>
      </c>
      <c r="P250" s="25" t="str">
        <f aca="false">IF(O250="","",IF(O250&lt;0,"CONTRATO ANTERIOR À ABERTURA — conferir datas",IF(O250&lt;180,"EMPRESA ABERTA MENOS DE 6 MESES ANTES","")))</f>
        <v/>
      </c>
      <c r="Q250" s="31" t="str">
        <f aca="false">IF(D250="","",IFERROR(INDEX(Sancoes!$D:$D,MATCH(D250,Sancoes!$C:$C,0)),"não consta"))</f>
        <v/>
      </c>
      <c r="R250" s="25" t="str">
        <f aca="false">IF(OR(D250="",H250=""),"",IF(SUMPRODUCT((Sancoes!$C$5:$C$304=D250)*(Sancoes!$G$5:$G$304&lt;=H250)*(((Sancoes!$H$5:$H$304="")+(Sancoes!$H$5:$H$304&gt;=H250))&gt;0))&gt;0,"SANÇÃO VIGENTE NA DATA — ler tipo e abrangência",""))</f>
        <v/>
      </c>
      <c r="S250" s="24"/>
      <c r="T250" s="11"/>
    </row>
    <row r="251" customFormat="false" ht="15" hidden="false" customHeight="false" outlineLevel="0" collapsed="false">
      <c r="A251" s="11"/>
      <c r="B251" s="24"/>
      <c r="C251" s="24"/>
      <c r="D251" s="31" t="str">
        <f aca="false">IF(C251="","",IF(LEN(UPPER(SUBSTITUTE(SUBSTITUTE(SUBSTITUTE(SUBSTITUTE(TRIM(C251),".",""),"/",""),"-","")," ","")))&lt;14,RIGHT(REPT("0",14)&amp;UPPER(SUBSTITUTE(SUBSTITUTE(SUBSTITUTE(SUBSTITUTE(TRIM(C251),".",""),"/",""),"-","")," ","")),14),UPPER(SUBSTITUTE(SUBSTITUTE(SUBSTITUTE(SUBSTITUTE(TRIM(C251),".",""),"/",""),"-","")," ",""))))</f>
        <v/>
      </c>
      <c r="E251" s="25" t="str">
        <f aca="false">IF(D251="","",IFERROR(INDEX(Empresas!$C:$C,MATCH(D251,Empresas!$B:$B,0)),"cadastre o CNPJ em Empresas"))</f>
        <v/>
      </c>
      <c r="F251" s="11"/>
      <c r="G251" s="23"/>
      <c r="H251" s="22"/>
      <c r="I251" s="35"/>
      <c r="J251" s="35"/>
      <c r="K251" s="36" t="str">
        <f aca="false">IF(I251="","",I251+J251)</f>
        <v/>
      </c>
      <c r="L251" s="37" t="str">
        <f aca="false">IF(OR(I251="",I251=0,J251=""),"",J251/I251)</f>
        <v/>
      </c>
      <c r="M251" s="25" t="str">
        <f aca="false">IF(L251="","",IF(L251&gt;0.25,"ACRÉSCIMO ACIMA DE 25% — conferir",""))</f>
        <v/>
      </c>
      <c r="N251" s="29" t="str">
        <f aca="false">IF(D251="","",IF(COUNTIFS(Empresas!$B:$B,D251,Empresas!$E:$E,"&lt;&gt;")=0,"",INDEX(Empresas!$E:$E,MATCH(D251,Empresas!$B:$B,0))))</f>
        <v/>
      </c>
      <c r="O251" s="27" t="str">
        <f aca="false">IF(OR(N251="",H251=""),"",H251-N251)</f>
        <v/>
      </c>
      <c r="P251" s="25" t="str">
        <f aca="false">IF(O251="","",IF(O251&lt;0,"CONTRATO ANTERIOR À ABERTURA — conferir datas",IF(O251&lt;180,"EMPRESA ABERTA MENOS DE 6 MESES ANTES","")))</f>
        <v/>
      </c>
      <c r="Q251" s="31" t="str">
        <f aca="false">IF(D251="","",IFERROR(INDEX(Sancoes!$D:$D,MATCH(D251,Sancoes!$C:$C,0)),"não consta"))</f>
        <v/>
      </c>
      <c r="R251" s="25" t="str">
        <f aca="false">IF(OR(D251="",H251=""),"",IF(SUMPRODUCT((Sancoes!$C$5:$C$304=D251)*(Sancoes!$G$5:$G$304&lt;=H251)*(((Sancoes!$H$5:$H$304="")+(Sancoes!$H$5:$H$304&gt;=H251))&gt;0))&gt;0,"SANÇÃO VIGENTE NA DATA — ler tipo e abrangência",""))</f>
        <v/>
      </c>
      <c r="S251" s="24"/>
      <c r="T251" s="11"/>
    </row>
    <row r="252" customFormat="false" ht="15" hidden="false" customHeight="false" outlineLevel="0" collapsed="false">
      <c r="A252" s="11"/>
      <c r="B252" s="24"/>
      <c r="C252" s="24"/>
      <c r="D252" s="31" t="str">
        <f aca="false">IF(C252="","",IF(LEN(UPPER(SUBSTITUTE(SUBSTITUTE(SUBSTITUTE(SUBSTITUTE(TRIM(C252),".",""),"/",""),"-","")," ","")))&lt;14,RIGHT(REPT("0",14)&amp;UPPER(SUBSTITUTE(SUBSTITUTE(SUBSTITUTE(SUBSTITUTE(TRIM(C252),".",""),"/",""),"-","")," ","")),14),UPPER(SUBSTITUTE(SUBSTITUTE(SUBSTITUTE(SUBSTITUTE(TRIM(C252),".",""),"/",""),"-","")," ",""))))</f>
        <v/>
      </c>
      <c r="E252" s="25" t="str">
        <f aca="false">IF(D252="","",IFERROR(INDEX(Empresas!$C:$C,MATCH(D252,Empresas!$B:$B,0)),"cadastre o CNPJ em Empresas"))</f>
        <v/>
      </c>
      <c r="F252" s="11"/>
      <c r="G252" s="23"/>
      <c r="H252" s="22"/>
      <c r="I252" s="35"/>
      <c r="J252" s="35"/>
      <c r="K252" s="36" t="str">
        <f aca="false">IF(I252="","",I252+J252)</f>
        <v/>
      </c>
      <c r="L252" s="37" t="str">
        <f aca="false">IF(OR(I252="",I252=0,J252=""),"",J252/I252)</f>
        <v/>
      </c>
      <c r="M252" s="25" t="str">
        <f aca="false">IF(L252="","",IF(L252&gt;0.25,"ACRÉSCIMO ACIMA DE 25% — conferir",""))</f>
        <v/>
      </c>
      <c r="N252" s="29" t="str">
        <f aca="false">IF(D252="","",IF(COUNTIFS(Empresas!$B:$B,D252,Empresas!$E:$E,"&lt;&gt;")=0,"",INDEX(Empresas!$E:$E,MATCH(D252,Empresas!$B:$B,0))))</f>
        <v/>
      </c>
      <c r="O252" s="27" t="str">
        <f aca="false">IF(OR(N252="",H252=""),"",H252-N252)</f>
        <v/>
      </c>
      <c r="P252" s="25" t="str">
        <f aca="false">IF(O252="","",IF(O252&lt;0,"CONTRATO ANTERIOR À ABERTURA — conferir datas",IF(O252&lt;180,"EMPRESA ABERTA MENOS DE 6 MESES ANTES","")))</f>
        <v/>
      </c>
      <c r="Q252" s="31" t="str">
        <f aca="false">IF(D252="","",IFERROR(INDEX(Sancoes!$D:$D,MATCH(D252,Sancoes!$C:$C,0)),"não consta"))</f>
        <v/>
      </c>
      <c r="R252" s="25" t="str">
        <f aca="false">IF(OR(D252="",H252=""),"",IF(SUMPRODUCT((Sancoes!$C$5:$C$304=D252)*(Sancoes!$G$5:$G$304&lt;=H252)*(((Sancoes!$H$5:$H$304="")+(Sancoes!$H$5:$H$304&gt;=H252))&gt;0))&gt;0,"SANÇÃO VIGENTE NA DATA — ler tipo e abrangência",""))</f>
        <v/>
      </c>
      <c r="S252" s="24"/>
      <c r="T252" s="11"/>
    </row>
    <row r="253" customFormat="false" ht="15" hidden="false" customHeight="false" outlineLevel="0" collapsed="false">
      <c r="A253" s="11"/>
      <c r="B253" s="24"/>
      <c r="C253" s="24"/>
      <c r="D253" s="31" t="str">
        <f aca="false">IF(C253="","",IF(LEN(UPPER(SUBSTITUTE(SUBSTITUTE(SUBSTITUTE(SUBSTITUTE(TRIM(C253),".",""),"/",""),"-","")," ","")))&lt;14,RIGHT(REPT("0",14)&amp;UPPER(SUBSTITUTE(SUBSTITUTE(SUBSTITUTE(SUBSTITUTE(TRIM(C253),".",""),"/",""),"-","")," ","")),14),UPPER(SUBSTITUTE(SUBSTITUTE(SUBSTITUTE(SUBSTITUTE(TRIM(C253),".",""),"/",""),"-","")," ",""))))</f>
        <v/>
      </c>
      <c r="E253" s="25" t="str">
        <f aca="false">IF(D253="","",IFERROR(INDEX(Empresas!$C:$C,MATCH(D253,Empresas!$B:$B,0)),"cadastre o CNPJ em Empresas"))</f>
        <v/>
      </c>
      <c r="F253" s="11"/>
      <c r="G253" s="23"/>
      <c r="H253" s="22"/>
      <c r="I253" s="35"/>
      <c r="J253" s="35"/>
      <c r="K253" s="36" t="str">
        <f aca="false">IF(I253="","",I253+J253)</f>
        <v/>
      </c>
      <c r="L253" s="37" t="str">
        <f aca="false">IF(OR(I253="",I253=0,J253=""),"",J253/I253)</f>
        <v/>
      </c>
      <c r="M253" s="25" t="str">
        <f aca="false">IF(L253="","",IF(L253&gt;0.25,"ACRÉSCIMO ACIMA DE 25% — conferir",""))</f>
        <v/>
      </c>
      <c r="N253" s="29" t="str">
        <f aca="false">IF(D253="","",IF(COUNTIFS(Empresas!$B:$B,D253,Empresas!$E:$E,"&lt;&gt;")=0,"",INDEX(Empresas!$E:$E,MATCH(D253,Empresas!$B:$B,0))))</f>
        <v/>
      </c>
      <c r="O253" s="27" t="str">
        <f aca="false">IF(OR(N253="",H253=""),"",H253-N253)</f>
        <v/>
      </c>
      <c r="P253" s="25" t="str">
        <f aca="false">IF(O253="","",IF(O253&lt;0,"CONTRATO ANTERIOR À ABERTURA — conferir datas",IF(O253&lt;180,"EMPRESA ABERTA MENOS DE 6 MESES ANTES","")))</f>
        <v/>
      </c>
      <c r="Q253" s="31" t="str">
        <f aca="false">IF(D253="","",IFERROR(INDEX(Sancoes!$D:$D,MATCH(D253,Sancoes!$C:$C,0)),"não consta"))</f>
        <v/>
      </c>
      <c r="R253" s="25" t="str">
        <f aca="false">IF(OR(D253="",H253=""),"",IF(SUMPRODUCT((Sancoes!$C$5:$C$304=D253)*(Sancoes!$G$5:$G$304&lt;=H253)*(((Sancoes!$H$5:$H$304="")+(Sancoes!$H$5:$H$304&gt;=H253))&gt;0))&gt;0,"SANÇÃO VIGENTE NA DATA — ler tipo e abrangência",""))</f>
        <v/>
      </c>
      <c r="S253" s="24"/>
      <c r="T253" s="11"/>
    </row>
    <row r="254" customFormat="false" ht="15" hidden="false" customHeight="false" outlineLevel="0" collapsed="false">
      <c r="A254" s="11"/>
      <c r="B254" s="24"/>
      <c r="C254" s="24"/>
      <c r="D254" s="31" t="str">
        <f aca="false">IF(C254="","",IF(LEN(UPPER(SUBSTITUTE(SUBSTITUTE(SUBSTITUTE(SUBSTITUTE(TRIM(C254),".",""),"/",""),"-","")," ","")))&lt;14,RIGHT(REPT("0",14)&amp;UPPER(SUBSTITUTE(SUBSTITUTE(SUBSTITUTE(SUBSTITUTE(TRIM(C254),".",""),"/",""),"-","")," ","")),14),UPPER(SUBSTITUTE(SUBSTITUTE(SUBSTITUTE(SUBSTITUTE(TRIM(C254),".",""),"/",""),"-","")," ",""))))</f>
        <v/>
      </c>
      <c r="E254" s="25" t="str">
        <f aca="false">IF(D254="","",IFERROR(INDEX(Empresas!$C:$C,MATCH(D254,Empresas!$B:$B,0)),"cadastre o CNPJ em Empresas"))</f>
        <v/>
      </c>
      <c r="F254" s="11"/>
      <c r="G254" s="23"/>
      <c r="H254" s="22"/>
      <c r="I254" s="35"/>
      <c r="J254" s="35"/>
      <c r="K254" s="36" t="str">
        <f aca="false">IF(I254="","",I254+J254)</f>
        <v/>
      </c>
      <c r="L254" s="37" t="str">
        <f aca="false">IF(OR(I254="",I254=0,J254=""),"",J254/I254)</f>
        <v/>
      </c>
      <c r="M254" s="25" t="str">
        <f aca="false">IF(L254="","",IF(L254&gt;0.25,"ACRÉSCIMO ACIMA DE 25% — conferir",""))</f>
        <v/>
      </c>
      <c r="N254" s="29" t="str">
        <f aca="false">IF(D254="","",IF(COUNTIFS(Empresas!$B:$B,D254,Empresas!$E:$E,"&lt;&gt;")=0,"",INDEX(Empresas!$E:$E,MATCH(D254,Empresas!$B:$B,0))))</f>
        <v/>
      </c>
      <c r="O254" s="27" t="str">
        <f aca="false">IF(OR(N254="",H254=""),"",H254-N254)</f>
        <v/>
      </c>
      <c r="P254" s="25" t="str">
        <f aca="false">IF(O254="","",IF(O254&lt;0,"CONTRATO ANTERIOR À ABERTURA — conferir datas",IF(O254&lt;180,"EMPRESA ABERTA MENOS DE 6 MESES ANTES","")))</f>
        <v/>
      </c>
      <c r="Q254" s="31" t="str">
        <f aca="false">IF(D254="","",IFERROR(INDEX(Sancoes!$D:$D,MATCH(D254,Sancoes!$C:$C,0)),"não consta"))</f>
        <v/>
      </c>
      <c r="R254" s="25" t="str">
        <f aca="false">IF(OR(D254="",H254=""),"",IF(SUMPRODUCT((Sancoes!$C$5:$C$304=D254)*(Sancoes!$G$5:$G$304&lt;=H254)*(((Sancoes!$H$5:$H$304="")+(Sancoes!$H$5:$H$304&gt;=H254))&gt;0))&gt;0,"SANÇÃO VIGENTE NA DATA — ler tipo e abrangência",""))</f>
        <v/>
      </c>
      <c r="S254" s="24"/>
      <c r="T254" s="11"/>
    </row>
    <row r="255" customFormat="false" ht="15" hidden="false" customHeight="false" outlineLevel="0" collapsed="false">
      <c r="A255" s="11"/>
      <c r="B255" s="24"/>
      <c r="C255" s="24"/>
      <c r="D255" s="31" t="str">
        <f aca="false">IF(C255="","",IF(LEN(UPPER(SUBSTITUTE(SUBSTITUTE(SUBSTITUTE(SUBSTITUTE(TRIM(C255),".",""),"/",""),"-","")," ","")))&lt;14,RIGHT(REPT("0",14)&amp;UPPER(SUBSTITUTE(SUBSTITUTE(SUBSTITUTE(SUBSTITUTE(TRIM(C255),".",""),"/",""),"-","")," ","")),14),UPPER(SUBSTITUTE(SUBSTITUTE(SUBSTITUTE(SUBSTITUTE(TRIM(C255),".",""),"/",""),"-","")," ",""))))</f>
        <v/>
      </c>
      <c r="E255" s="25" t="str">
        <f aca="false">IF(D255="","",IFERROR(INDEX(Empresas!$C:$C,MATCH(D255,Empresas!$B:$B,0)),"cadastre o CNPJ em Empresas"))</f>
        <v/>
      </c>
      <c r="F255" s="11"/>
      <c r="G255" s="23"/>
      <c r="H255" s="22"/>
      <c r="I255" s="35"/>
      <c r="J255" s="35"/>
      <c r="K255" s="36" t="str">
        <f aca="false">IF(I255="","",I255+J255)</f>
        <v/>
      </c>
      <c r="L255" s="37" t="str">
        <f aca="false">IF(OR(I255="",I255=0,J255=""),"",J255/I255)</f>
        <v/>
      </c>
      <c r="M255" s="25" t="str">
        <f aca="false">IF(L255="","",IF(L255&gt;0.25,"ACRÉSCIMO ACIMA DE 25% — conferir",""))</f>
        <v/>
      </c>
      <c r="N255" s="29" t="str">
        <f aca="false">IF(D255="","",IF(COUNTIFS(Empresas!$B:$B,D255,Empresas!$E:$E,"&lt;&gt;")=0,"",INDEX(Empresas!$E:$E,MATCH(D255,Empresas!$B:$B,0))))</f>
        <v/>
      </c>
      <c r="O255" s="27" t="str">
        <f aca="false">IF(OR(N255="",H255=""),"",H255-N255)</f>
        <v/>
      </c>
      <c r="P255" s="25" t="str">
        <f aca="false">IF(O255="","",IF(O255&lt;0,"CONTRATO ANTERIOR À ABERTURA — conferir datas",IF(O255&lt;180,"EMPRESA ABERTA MENOS DE 6 MESES ANTES","")))</f>
        <v/>
      </c>
      <c r="Q255" s="31" t="str">
        <f aca="false">IF(D255="","",IFERROR(INDEX(Sancoes!$D:$D,MATCH(D255,Sancoes!$C:$C,0)),"não consta"))</f>
        <v/>
      </c>
      <c r="R255" s="25" t="str">
        <f aca="false">IF(OR(D255="",H255=""),"",IF(SUMPRODUCT((Sancoes!$C$5:$C$304=D255)*(Sancoes!$G$5:$G$304&lt;=H255)*(((Sancoes!$H$5:$H$304="")+(Sancoes!$H$5:$H$304&gt;=H255))&gt;0))&gt;0,"SANÇÃO VIGENTE NA DATA — ler tipo e abrangência",""))</f>
        <v/>
      </c>
      <c r="S255" s="24"/>
      <c r="T255" s="11"/>
    </row>
    <row r="256" customFormat="false" ht="15" hidden="false" customHeight="false" outlineLevel="0" collapsed="false">
      <c r="A256" s="11"/>
      <c r="B256" s="24"/>
      <c r="C256" s="24"/>
      <c r="D256" s="31" t="str">
        <f aca="false">IF(C256="","",IF(LEN(UPPER(SUBSTITUTE(SUBSTITUTE(SUBSTITUTE(SUBSTITUTE(TRIM(C256),".",""),"/",""),"-","")," ","")))&lt;14,RIGHT(REPT("0",14)&amp;UPPER(SUBSTITUTE(SUBSTITUTE(SUBSTITUTE(SUBSTITUTE(TRIM(C256),".",""),"/",""),"-","")," ","")),14),UPPER(SUBSTITUTE(SUBSTITUTE(SUBSTITUTE(SUBSTITUTE(TRIM(C256),".",""),"/",""),"-","")," ",""))))</f>
        <v/>
      </c>
      <c r="E256" s="25" t="str">
        <f aca="false">IF(D256="","",IFERROR(INDEX(Empresas!$C:$C,MATCH(D256,Empresas!$B:$B,0)),"cadastre o CNPJ em Empresas"))</f>
        <v/>
      </c>
      <c r="F256" s="11"/>
      <c r="G256" s="23"/>
      <c r="H256" s="22"/>
      <c r="I256" s="35"/>
      <c r="J256" s="35"/>
      <c r="K256" s="36" t="str">
        <f aca="false">IF(I256="","",I256+J256)</f>
        <v/>
      </c>
      <c r="L256" s="37" t="str">
        <f aca="false">IF(OR(I256="",I256=0,J256=""),"",J256/I256)</f>
        <v/>
      </c>
      <c r="M256" s="25" t="str">
        <f aca="false">IF(L256="","",IF(L256&gt;0.25,"ACRÉSCIMO ACIMA DE 25% — conferir",""))</f>
        <v/>
      </c>
      <c r="N256" s="29" t="str">
        <f aca="false">IF(D256="","",IF(COUNTIFS(Empresas!$B:$B,D256,Empresas!$E:$E,"&lt;&gt;")=0,"",INDEX(Empresas!$E:$E,MATCH(D256,Empresas!$B:$B,0))))</f>
        <v/>
      </c>
      <c r="O256" s="27" t="str">
        <f aca="false">IF(OR(N256="",H256=""),"",H256-N256)</f>
        <v/>
      </c>
      <c r="P256" s="25" t="str">
        <f aca="false">IF(O256="","",IF(O256&lt;0,"CONTRATO ANTERIOR À ABERTURA — conferir datas",IF(O256&lt;180,"EMPRESA ABERTA MENOS DE 6 MESES ANTES","")))</f>
        <v/>
      </c>
      <c r="Q256" s="31" t="str">
        <f aca="false">IF(D256="","",IFERROR(INDEX(Sancoes!$D:$D,MATCH(D256,Sancoes!$C:$C,0)),"não consta"))</f>
        <v/>
      </c>
      <c r="R256" s="25" t="str">
        <f aca="false">IF(OR(D256="",H256=""),"",IF(SUMPRODUCT((Sancoes!$C$5:$C$304=D256)*(Sancoes!$G$5:$G$304&lt;=H256)*(((Sancoes!$H$5:$H$304="")+(Sancoes!$H$5:$H$304&gt;=H256))&gt;0))&gt;0,"SANÇÃO VIGENTE NA DATA — ler tipo e abrangência",""))</f>
        <v/>
      </c>
      <c r="S256" s="24"/>
      <c r="T256" s="11"/>
    </row>
    <row r="257" customFormat="false" ht="15" hidden="false" customHeight="false" outlineLevel="0" collapsed="false">
      <c r="A257" s="11"/>
      <c r="B257" s="24"/>
      <c r="C257" s="24"/>
      <c r="D257" s="31" t="str">
        <f aca="false">IF(C257="","",IF(LEN(UPPER(SUBSTITUTE(SUBSTITUTE(SUBSTITUTE(SUBSTITUTE(TRIM(C257),".",""),"/",""),"-","")," ","")))&lt;14,RIGHT(REPT("0",14)&amp;UPPER(SUBSTITUTE(SUBSTITUTE(SUBSTITUTE(SUBSTITUTE(TRIM(C257),".",""),"/",""),"-","")," ","")),14),UPPER(SUBSTITUTE(SUBSTITUTE(SUBSTITUTE(SUBSTITUTE(TRIM(C257),".",""),"/",""),"-","")," ",""))))</f>
        <v/>
      </c>
      <c r="E257" s="25" t="str">
        <f aca="false">IF(D257="","",IFERROR(INDEX(Empresas!$C:$C,MATCH(D257,Empresas!$B:$B,0)),"cadastre o CNPJ em Empresas"))</f>
        <v/>
      </c>
      <c r="F257" s="11"/>
      <c r="G257" s="23"/>
      <c r="H257" s="22"/>
      <c r="I257" s="35"/>
      <c r="J257" s="35"/>
      <c r="K257" s="36" t="str">
        <f aca="false">IF(I257="","",I257+J257)</f>
        <v/>
      </c>
      <c r="L257" s="37" t="str">
        <f aca="false">IF(OR(I257="",I257=0,J257=""),"",J257/I257)</f>
        <v/>
      </c>
      <c r="M257" s="25" t="str">
        <f aca="false">IF(L257="","",IF(L257&gt;0.25,"ACRÉSCIMO ACIMA DE 25% — conferir",""))</f>
        <v/>
      </c>
      <c r="N257" s="29" t="str">
        <f aca="false">IF(D257="","",IF(COUNTIFS(Empresas!$B:$B,D257,Empresas!$E:$E,"&lt;&gt;")=0,"",INDEX(Empresas!$E:$E,MATCH(D257,Empresas!$B:$B,0))))</f>
        <v/>
      </c>
      <c r="O257" s="27" t="str">
        <f aca="false">IF(OR(N257="",H257=""),"",H257-N257)</f>
        <v/>
      </c>
      <c r="P257" s="25" t="str">
        <f aca="false">IF(O257="","",IF(O257&lt;0,"CONTRATO ANTERIOR À ABERTURA — conferir datas",IF(O257&lt;180,"EMPRESA ABERTA MENOS DE 6 MESES ANTES","")))</f>
        <v/>
      </c>
      <c r="Q257" s="31" t="str">
        <f aca="false">IF(D257="","",IFERROR(INDEX(Sancoes!$D:$D,MATCH(D257,Sancoes!$C:$C,0)),"não consta"))</f>
        <v/>
      </c>
      <c r="R257" s="25" t="str">
        <f aca="false">IF(OR(D257="",H257=""),"",IF(SUMPRODUCT((Sancoes!$C$5:$C$304=D257)*(Sancoes!$G$5:$G$304&lt;=H257)*(((Sancoes!$H$5:$H$304="")+(Sancoes!$H$5:$H$304&gt;=H257))&gt;0))&gt;0,"SANÇÃO VIGENTE NA DATA — ler tipo e abrangência",""))</f>
        <v/>
      </c>
      <c r="S257" s="24"/>
      <c r="T257" s="11"/>
    </row>
    <row r="258" customFormat="false" ht="15" hidden="false" customHeight="false" outlineLevel="0" collapsed="false">
      <c r="A258" s="11"/>
      <c r="B258" s="24"/>
      <c r="C258" s="24"/>
      <c r="D258" s="31" t="str">
        <f aca="false">IF(C258="","",IF(LEN(UPPER(SUBSTITUTE(SUBSTITUTE(SUBSTITUTE(SUBSTITUTE(TRIM(C258),".",""),"/",""),"-","")," ","")))&lt;14,RIGHT(REPT("0",14)&amp;UPPER(SUBSTITUTE(SUBSTITUTE(SUBSTITUTE(SUBSTITUTE(TRIM(C258),".",""),"/",""),"-","")," ","")),14),UPPER(SUBSTITUTE(SUBSTITUTE(SUBSTITUTE(SUBSTITUTE(TRIM(C258),".",""),"/",""),"-","")," ",""))))</f>
        <v/>
      </c>
      <c r="E258" s="25" t="str">
        <f aca="false">IF(D258="","",IFERROR(INDEX(Empresas!$C:$C,MATCH(D258,Empresas!$B:$B,0)),"cadastre o CNPJ em Empresas"))</f>
        <v/>
      </c>
      <c r="F258" s="11"/>
      <c r="G258" s="23"/>
      <c r="H258" s="22"/>
      <c r="I258" s="35"/>
      <c r="J258" s="35"/>
      <c r="K258" s="36" t="str">
        <f aca="false">IF(I258="","",I258+J258)</f>
        <v/>
      </c>
      <c r="L258" s="37" t="str">
        <f aca="false">IF(OR(I258="",I258=0,J258=""),"",J258/I258)</f>
        <v/>
      </c>
      <c r="M258" s="25" t="str">
        <f aca="false">IF(L258="","",IF(L258&gt;0.25,"ACRÉSCIMO ACIMA DE 25% — conferir",""))</f>
        <v/>
      </c>
      <c r="N258" s="29" t="str">
        <f aca="false">IF(D258="","",IF(COUNTIFS(Empresas!$B:$B,D258,Empresas!$E:$E,"&lt;&gt;")=0,"",INDEX(Empresas!$E:$E,MATCH(D258,Empresas!$B:$B,0))))</f>
        <v/>
      </c>
      <c r="O258" s="27" t="str">
        <f aca="false">IF(OR(N258="",H258=""),"",H258-N258)</f>
        <v/>
      </c>
      <c r="P258" s="25" t="str">
        <f aca="false">IF(O258="","",IF(O258&lt;0,"CONTRATO ANTERIOR À ABERTURA — conferir datas",IF(O258&lt;180,"EMPRESA ABERTA MENOS DE 6 MESES ANTES","")))</f>
        <v/>
      </c>
      <c r="Q258" s="31" t="str">
        <f aca="false">IF(D258="","",IFERROR(INDEX(Sancoes!$D:$D,MATCH(D258,Sancoes!$C:$C,0)),"não consta"))</f>
        <v/>
      </c>
      <c r="R258" s="25" t="str">
        <f aca="false">IF(OR(D258="",H258=""),"",IF(SUMPRODUCT((Sancoes!$C$5:$C$304=D258)*(Sancoes!$G$5:$G$304&lt;=H258)*(((Sancoes!$H$5:$H$304="")+(Sancoes!$H$5:$H$304&gt;=H258))&gt;0))&gt;0,"SANÇÃO VIGENTE NA DATA — ler tipo e abrangência",""))</f>
        <v/>
      </c>
      <c r="S258" s="24"/>
      <c r="T258" s="11"/>
    </row>
    <row r="259" customFormat="false" ht="15" hidden="false" customHeight="false" outlineLevel="0" collapsed="false">
      <c r="A259" s="11"/>
      <c r="B259" s="24"/>
      <c r="C259" s="24"/>
      <c r="D259" s="31" t="str">
        <f aca="false">IF(C259="","",IF(LEN(UPPER(SUBSTITUTE(SUBSTITUTE(SUBSTITUTE(SUBSTITUTE(TRIM(C259),".",""),"/",""),"-","")," ","")))&lt;14,RIGHT(REPT("0",14)&amp;UPPER(SUBSTITUTE(SUBSTITUTE(SUBSTITUTE(SUBSTITUTE(TRIM(C259),".",""),"/",""),"-","")," ","")),14),UPPER(SUBSTITUTE(SUBSTITUTE(SUBSTITUTE(SUBSTITUTE(TRIM(C259),".",""),"/",""),"-","")," ",""))))</f>
        <v/>
      </c>
      <c r="E259" s="25" t="str">
        <f aca="false">IF(D259="","",IFERROR(INDEX(Empresas!$C:$C,MATCH(D259,Empresas!$B:$B,0)),"cadastre o CNPJ em Empresas"))</f>
        <v/>
      </c>
      <c r="F259" s="11"/>
      <c r="G259" s="23"/>
      <c r="H259" s="22"/>
      <c r="I259" s="35"/>
      <c r="J259" s="35"/>
      <c r="K259" s="36" t="str">
        <f aca="false">IF(I259="","",I259+J259)</f>
        <v/>
      </c>
      <c r="L259" s="37" t="str">
        <f aca="false">IF(OR(I259="",I259=0,J259=""),"",J259/I259)</f>
        <v/>
      </c>
      <c r="M259" s="25" t="str">
        <f aca="false">IF(L259="","",IF(L259&gt;0.25,"ACRÉSCIMO ACIMA DE 25% — conferir",""))</f>
        <v/>
      </c>
      <c r="N259" s="29" t="str">
        <f aca="false">IF(D259="","",IF(COUNTIFS(Empresas!$B:$B,D259,Empresas!$E:$E,"&lt;&gt;")=0,"",INDEX(Empresas!$E:$E,MATCH(D259,Empresas!$B:$B,0))))</f>
        <v/>
      </c>
      <c r="O259" s="27" t="str">
        <f aca="false">IF(OR(N259="",H259=""),"",H259-N259)</f>
        <v/>
      </c>
      <c r="P259" s="25" t="str">
        <f aca="false">IF(O259="","",IF(O259&lt;0,"CONTRATO ANTERIOR À ABERTURA — conferir datas",IF(O259&lt;180,"EMPRESA ABERTA MENOS DE 6 MESES ANTES","")))</f>
        <v/>
      </c>
      <c r="Q259" s="31" t="str">
        <f aca="false">IF(D259="","",IFERROR(INDEX(Sancoes!$D:$D,MATCH(D259,Sancoes!$C:$C,0)),"não consta"))</f>
        <v/>
      </c>
      <c r="R259" s="25" t="str">
        <f aca="false">IF(OR(D259="",H259=""),"",IF(SUMPRODUCT((Sancoes!$C$5:$C$304=D259)*(Sancoes!$G$5:$G$304&lt;=H259)*(((Sancoes!$H$5:$H$304="")+(Sancoes!$H$5:$H$304&gt;=H259))&gt;0))&gt;0,"SANÇÃO VIGENTE NA DATA — ler tipo e abrangência",""))</f>
        <v/>
      </c>
      <c r="S259" s="24"/>
      <c r="T259" s="11"/>
    </row>
    <row r="260" customFormat="false" ht="15" hidden="false" customHeight="false" outlineLevel="0" collapsed="false">
      <c r="A260" s="11"/>
      <c r="B260" s="24"/>
      <c r="C260" s="24"/>
      <c r="D260" s="31" t="str">
        <f aca="false">IF(C260="","",IF(LEN(UPPER(SUBSTITUTE(SUBSTITUTE(SUBSTITUTE(SUBSTITUTE(TRIM(C260),".",""),"/",""),"-","")," ","")))&lt;14,RIGHT(REPT("0",14)&amp;UPPER(SUBSTITUTE(SUBSTITUTE(SUBSTITUTE(SUBSTITUTE(TRIM(C260),".",""),"/",""),"-","")," ","")),14),UPPER(SUBSTITUTE(SUBSTITUTE(SUBSTITUTE(SUBSTITUTE(TRIM(C260),".",""),"/",""),"-","")," ",""))))</f>
        <v/>
      </c>
      <c r="E260" s="25" t="str">
        <f aca="false">IF(D260="","",IFERROR(INDEX(Empresas!$C:$C,MATCH(D260,Empresas!$B:$B,0)),"cadastre o CNPJ em Empresas"))</f>
        <v/>
      </c>
      <c r="F260" s="11"/>
      <c r="G260" s="23"/>
      <c r="H260" s="22"/>
      <c r="I260" s="35"/>
      <c r="J260" s="35"/>
      <c r="K260" s="36" t="str">
        <f aca="false">IF(I260="","",I260+J260)</f>
        <v/>
      </c>
      <c r="L260" s="37" t="str">
        <f aca="false">IF(OR(I260="",I260=0,J260=""),"",J260/I260)</f>
        <v/>
      </c>
      <c r="M260" s="25" t="str">
        <f aca="false">IF(L260="","",IF(L260&gt;0.25,"ACRÉSCIMO ACIMA DE 25% — conferir",""))</f>
        <v/>
      </c>
      <c r="N260" s="29" t="str">
        <f aca="false">IF(D260="","",IF(COUNTIFS(Empresas!$B:$B,D260,Empresas!$E:$E,"&lt;&gt;")=0,"",INDEX(Empresas!$E:$E,MATCH(D260,Empresas!$B:$B,0))))</f>
        <v/>
      </c>
      <c r="O260" s="27" t="str">
        <f aca="false">IF(OR(N260="",H260=""),"",H260-N260)</f>
        <v/>
      </c>
      <c r="P260" s="25" t="str">
        <f aca="false">IF(O260="","",IF(O260&lt;0,"CONTRATO ANTERIOR À ABERTURA — conferir datas",IF(O260&lt;180,"EMPRESA ABERTA MENOS DE 6 MESES ANTES","")))</f>
        <v/>
      </c>
      <c r="Q260" s="31" t="str">
        <f aca="false">IF(D260="","",IFERROR(INDEX(Sancoes!$D:$D,MATCH(D260,Sancoes!$C:$C,0)),"não consta"))</f>
        <v/>
      </c>
      <c r="R260" s="25" t="str">
        <f aca="false">IF(OR(D260="",H260=""),"",IF(SUMPRODUCT((Sancoes!$C$5:$C$304=D260)*(Sancoes!$G$5:$G$304&lt;=H260)*(((Sancoes!$H$5:$H$304="")+(Sancoes!$H$5:$H$304&gt;=H260))&gt;0))&gt;0,"SANÇÃO VIGENTE NA DATA — ler tipo e abrangência",""))</f>
        <v/>
      </c>
      <c r="S260" s="24"/>
      <c r="T260" s="11"/>
    </row>
    <row r="261" customFormat="false" ht="15" hidden="false" customHeight="false" outlineLevel="0" collapsed="false">
      <c r="A261" s="11"/>
      <c r="B261" s="24"/>
      <c r="C261" s="24"/>
      <c r="D261" s="31" t="str">
        <f aca="false">IF(C261="","",IF(LEN(UPPER(SUBSTITUTE(SUBSTITUTE(SUBSTITUTE(SUBSTITUTE(TRIM(C261),".",""),"/",""),"-","")," ","")))&lt;14,RIGHT(REPT("0",14)&amp;UPPER(SUBSTITUTE(SUBSTITUTE(SUBSTITUTE(SUBSTITUTE(TRIM(C261),".",""),"/",""),"-","")," ","")),14),UPPER(SUBSTITUTE(SUBSTITUTE(SUBSTITUTE(SUBSTITUTE(TRIM(C261),".",""),"/",""),"-","")," ",""))))</f>
        <v/>
      </c>
      <c r="E261" s="25" t="str">
        <f aca="false">IF(D261="","",IFERROR(INDEX(Empresas!$C:$C,MATCH(D261,Empresas!$B:$B,0)),"cadastre o CNPJ em Empresas"))</f>
        <v/>
      </c>
      <c r="F261" s="11"/>
      <c r="G261" s="23"/>
      <c r="H261" s="22"/>
      <c r="I261" s="35"/>
      <c r="J261" s="35"/>
      <c r="K261" s="36" t="str">
        <f aca="false">IF(I261="","",I261+J261)</f>
        <v/>
      </c>
      <c r="L261" s="37" t="str">
        <f aca="false">IF(OR(I261="",I261=0,J261=""),"",J261/I261)</f>
        <v/>
      </c>
      <c r="M261" s="25" t="str">
        <f aca="false">IF(L261="","",IF(L261&gt;0.25,"ACRÉSCIMO ACIMA DE 25% — conferir",""))</f>
        <v/>
      </c>
      <c r="N261" s="29" t="str">
        <f aca="false">IF(D261="","",IF(COUNTIFS(Empresas!$B:$B,D261,Empresas!$E:$E,"&lt;&gt;")=0,"",INDEX(Empresas!$E:$E,MATCH(D261,Empresas!$B:$B,0))))</f>
        <v/>
      </c>
      <c r="O261" s="27" t="str">
        <f aca="false">IF(OR(N261="",H261=""),"",H261-N261)</f>
        <v/>
      </c>
      <c r="P261" s="25" t="str">
        <f aca="false">IF(O261="","",IF(O261&lt;0,"CONTRATO ANTERIOR À ABERTURA — conferir datas",IF(O261&lt;180,"EMPRESA ABERTA MENOS DE 6 MESES ANTES","")))</f>
        <v/>
      </c>
      <c r="Q261" s="31" t="str">
        <f aca="false">IF(D261="","",IFERROR(INDEX(Sancoes!$D:$D,MATCH(D261,Sancoes!$C:$C,0)),"não consta"))</f>
        <v/>
      </c>
      <c r="R261" s="25" t="str">
        <f aca="false">IF(OR(D261="",H261=""),"",IF(SUMPRODUCT((Sancoes!$C$5:$C$304=D261)*(Sancoes!$G$5:$G$304&lt;=H261)*(((Sancoes!$H$5:$H$304="")+(Sancoes!$H$5:$H$304&gt;=H261))&gt;0))&gt;0,"SANÇÃO VIGENTE NA DATA — ler tipo e abrangência",""))</f>
        <v/>
      </c>
      <c r="S261" s="24"/>
      <c r="T261" s="11"/>
    </row>
    <row r="262" customFormat="false" ht="15" hidden="false" customHeight="false" outlineLevel="0" collapsed="false">
      <c r="A262" s="11"/>
      <c r="B262" s="24"/>
      <c r="C262" s="24"/>
      <c r="D262" s="31" t="str">
        <f aca="false">IF(C262="","",IF(LEN(UPPER(SUBSTITUTE(SUBSTITUTE(SUBSTITUTE(SUBSTITUTE(TRIM(C262),".",""),"/",""),"-","")," ","")))&lt;14,RIGHT(REPT("0",14)&amp;UPPER(SUBSTITUTE(SUBSTITUTE(SUBSTITUTE(SUBSTITUTE(TRIM(C262),".",""),"/",""),"-","")," ","")),14),UPPER(SUBSTITUTE(SUBSTITUTE(SUBSTITUTE(SUBSTITUTE(TRIM(C262),".",""),"/",""),"-","")," ",""))))</f>
        <v/>
      </c>
      <c r="E262" s="25" t="str">
        <f aca="false">IF(D262="","",IFERROR(INDEX(Empresas!$C:$C,MATCH(D262,Empresas!$B:$B,0)),"cadastre o CNPJ em Empresas"))</f>
        <v/>
      </c>
      <c r="F262" s="11"/>
      <c r="G262" s="23"/>
      <c r="H262" s="22"/>
      <c r="I262" s="35"/>
      <c r="J262" s="35"/>
      <c r="K262" s="36" t="str">
        <f aca="false">IF(I262="","",I262+J262)</f>
        <v/>
      </c>
      <c r="L262" s="37" t="str">
        <f aca="false">IF(OR(I262="",I262=0,J262=""),"",J262/I262)</f>
        <v/>
      </c>
      <c r="M262" s="25" t="str">
        <f aca="false">IF(L262="","",IF(L262&gt;0.25,"ACRÉSCIMO ACIMA DE 25% — conferir",""))</f>
        <v/>
      </c>
      <c r="N262" s="29" t="str">
        <f aca="false">IF(D262="","",IF(COUNTIFS(Empresas!$B:$B,D262,Empresas!$E:$E,"&lt;&gt;")=0,"",INDEX(Empresas!$E:$E,MATCH(D262,Empresas!$B:$B,0))))</f>
        <v/>
      </c>
      <c r="O262" s="27" t="str">
        <f aca="false">IF(OR(N262="",H262=""),"",H262-N262)</f>
        <v/>
      </c>
      <c r="P262" s="25" t="str">
        <f aca="false">IF(O262="","",IF(O262&lt;0,"CONTRATO ANTERIOR À ABERTURA — conferir datas",IF(O262&lt;180,"EMPRESA ABERTA MENOS DE 6 MESES ANTES","")))</f>
        <v/>
      </c>
      <c r="Q262" s="31" t="str">
        <f aca="false">IF(D262="","",IFERROR(INDEX(Sancoes!$D:$D,MATCH(D262,Sancoes!$C:$C,0)),"não consta"))</f>
        <v/>
      </c>
      <c r="R262" s="25" t="str">
        <f aca="false">IF(OR(D262="",H262=""),"",IF(SUMPRODUCT((Sancoes!$C$5:$C$304=D262)*(Sancoes!$G$5:$G$304&lt;=H262)*(((Sancoes!$H$5:$H$304="")+(Sancoes!$H$5:$H$304&gt;=H262))&gt;0))&gt;0,"SANÇÃO VIGENTE NA DATA — ler tipo e abrangência",""))</f>
        <v/>
      </c>
      <c r="S262" s="24"/>
      <c r="T262" s="11"/>
    </row>
    <row r="263" customFormat="false" ht="15" hidden="false" customHeight="false" outlineLevel="0" collapsed="false">
      <c r="A263" s="11"/>
      <c r="B263" s="24"/>
      <c r="C263" s="24"/>
      <c r="D263" s="31" t="str">
        <f aca="false">IF(C263="","",IF(LEN(UPPER(SUBSTITUTE(SUBSTITUTE(SUBSTITUTE(SUBSTITUTE(TRIM(C263),".",""),"/",""),"-","")," ","")))&lt;14,RIGHT(REPT("0",14)&amp;UPPER(SUBSTITUTE(SUBSTITUTE(SUBSTITUTE(SUBSTITUTE(TRIM(C263),".",""),"/",""),"-","")," ","")),14),UPPER(SUBSTITUTE(SUBSTITUTE(SUBSTITUTE(SUBSTITUTE(TRIM(C263),".",""),"/",""),"-","")," ",""))))</f>
        <v/>
      </c>
      <c r="E263" s="25" t="str">
        <f aca="false">IF(D263="","",IFERROR(INDEX(Empresas!$C:$C,MATCH(D263,Empresas!$B:$B,0)),"cadastre o CNPJ em Empresas"))</f>
        <v/>
      </c>
      <c r="F263" s="11"/>
      <c r="G263" s="23"/>
      <c r="H263" s="22"/>
      <c r="I263" s="35"/>
      <c r="J263" s="35"/>
      <c r="K263" s="36" t="str">
        <f aca="false">IF(I263="","",I263+J263)</f>
        <v/>
      </c>
      <c r="L263" s="37" t="str">
        <f aca="false">IF(OR(I263="",I263=0,J263=""),"",J263/I263)</f>
        <v/>
      </c>
      <c r="M263" s="25" t="str">
        <f aca="false">IF(L263="","",IF(L263&gt;0.25,"ACRÉSCIMO ACIMA DE 25% — conferir",""))</f>
        <v/>
      </c>
      <c r="N263" s="29" t="str">
        <f aca="false">IF(D263="","",IF(COUNTIFS(Empresas!$B:$B,D263,Empresas!$E:$E,"&lt;&gt;")=0,"",INDEX(Empresas!$E:$E,MATCH(D263,Empresas!$B:$B,0))))</f>
        <v/>
      </c>
      <c r="O263" s="27" t="str">
        <f aca="false">IF(OR(N263="",H263=""),"",H263-N263)</f>
        <v/>
      </c>
      <c r="P263" s="25" t="str">
        <f aca="false">IF(O263="","",IF(O263&lt;0,"CONTRATO ANTERIOR À ABERTURA — conferir datas",IF(O263&lt;180,"EMPRESA ABERTA MENOS DE 6 MESES ANTES","")))</f>
        <v/>
      </c>
      <c r="Q263" s="31" t="str">
        <f aca="false">IF(D263="","",IFERROR(INDEX(Sancoes!$D:$D,MATCH(D263,Sancoes!$C:$C,0)),"não consta"))</f>
        <v/>
      </c>
      <c r="R263" s="25" t="str">
        <f aca="false">IF(OR(D263="",H263=""),"",IF(SUMPRODUCT((Sancoes!$C$5:$C$304=D263)*(Sancoes!$G$5:$G$304&lt;=H263)*(((Sancoes!$H$5:$H$304="")+(Sancoes!$H$5:$H$304&gt;=H263))&gt;0))&gt;0,"SANÇÃO VIGENTE NA DATA — ler tipo e abrangência",""))</f>
        <v/>
      </c>
      <c r="S263" s="24"/>
      <c r="T263" s="11"/>
    </row>
    <row r="264" customFormat="false" ht="15" hidden="false" customHeight="false" outlineLevel="0" collapsed="false">
      <c r="A264" s="11"/>
      <c r="B264" s="24"/>
      <c r="C264" s="24"/>
      <c r="D264" s="31" t="str">
        <f aca="false">IF(C264="","",IF(LEN(UPPER(SUBSTITUTE(SUBSTITUTE(SUBSTITUTE(SUBSTITUTE(TRIM(C264),".",""),"/",""),"-","")," ","")))&lt;14,RIGHT(REPT("0",14)&amp;UPPER(SUBSTITUTE(SUBSTITUTE(SUBSTITUTE(SUBSTITUTE(TRIM(C264),".",""),"/",""),"-","")," ","")),14),UPPER(SUBSTITUTE(SUBSTITUTE(SUBSTITUTE(SUBSTITUTE(TRIM(C264),".",""),"/",""),"-","")," ",""))))</f>
        <v/>
      </c>
      <c r="E264" s="25" t="str">
        <f aca="false">IF(D264="","",IFERROR(INDEX(Empresas!$C:$C,MATCH(D264,Empresas!$B:$B,0)),"cadastre o CNPJ em Empresas"))</f>
        <v/>
      </c>
      <c r="F264" s="11"/>
      <c r="G264" s="23"/>
      <c r="H264" s="22"/>
      <c r="I264" s="35"/>
      <c r="J264" s="35"/>
      <c r="K264" s="36" t="str">
        <f aca="false">IF(I264="","",I264+J264)</f>
        <v/>
      </c>
      <c r="L264" s="37" t="str">
        <f aca="false">IF(OR(I264="",I264=0,J264=""),"",J264/I264)</f>
        <v/>
      </c>
      <c r="M264" s="25" t="str">
        <f aca="false">IF(L264="","",IF(L264&gt;0.25,"ACRÉSCIMO ACIMA DE 25% — conferir",""))</f>
        <v/>
      </c>
      <c r="N264" s="29" t="str">
        <f aca="false">IF(D264="","",IF(COUNTIFS(Empresas!$B:$B,D264,Empresas!$E:$E,"&lt;&gt;")=0,"",INDEX(Empresas!$E:$E,MATCH(D264,Empresas!$B:$B,0))))</f>
        <v/>
      </c>
      <c r="O264" s="27" t="str">
        <f aca="false">IF(OR(N264="",H264=""),"",H264-N264)</f>
        <v/>
      </c>
      <c r="P264" s="25" t="str">
        <f aca="false">IF(O264="","",IF(O264&lt;0,"CONTRATO ANTERIOR À ABERTURA — conferir datas",IF(O264&lt;180,"EMPRESA ABERTA MENOS DE 6 MESES ANTES","")))</f>
        <v/>
      </c>
      <c r="Q264" s="31" t="str">
        <f aca="false">IF(D264="","",IFERROR(INDEX(Sancoes!$D:$D,MATCH(D264,Sancoes!$C:$C,0)),"não consta"))</f>
        <v/>
      </c>
      <c r="R264" s="25" t="str">
        <f aca="false">IF(OR(D264="",H264=""),"",IF(SUMPRODUCT((Sancoes!$C$5:$C$304=D264)*(Sancoes!$G$5:$G$304&lt;=H264)*(((Sancoes!$H$5:$H$304="")+(Sancoes!$H$5:$H$304&gt;=H264))&gt;0))&gt;0,"SANÇÃO VIGENTE NA DATA — ler tipo e abrangência",""))</f>
        <v/>
      </c>
      <c r="S264" s="24"/>
      <c r="T264" s="11"/>
    </row>
    <row r="265" customFormat="false" ht="15" hidden="false" customHeight="false" outlineLevel="0" collapsed="false">
      <c r="A265" s="11"/>
      <c r="B265" s="24"/>
      <c r="C265" s="24"/>
      <c r="D265" s="31" t="str">
        <f aca="false">IF(C265="","",IF(LEN(UPPER(SUBSTITUTE(SUBSTITUTE(SUBSTITUTE(SUBSTITUTE(TRIM(C265),".",""),"/",""),"-","")," ","")))&lt;14,RIGHT(REPT("0",14)&amp;UPPER(SUBSTITUTE(SUBSTITUTE(SUBSTITUTE(SUBSTITUTE(TRIM(C265),".",""),"/",""),"-","")," ","")),14),UPPER(SUBSTITUTE(SUBSTITUTE(SUBSTITUTE(SUBSTITUTE(TRIM(C265),".",""),"/",""),"-","")," ",""))))</f>
        <v/>
      </c>
      <c r="E265" s="25" t="str">
        <f aca="false">IF(D265="","",IFERROR(INDEX(Empresas!$C:$C,MATCH(D265,Empresas!$B:$B,0)),"cadastre o CNPJ em Empresas"))</f>
        <v/>
      </c>
      <c r="F265" s="11"/>
      <c r="G265" s="23"/>
      <c r="H265" s="22"/>
      <c r="I265" s="35"/>
      <c r="J265" s="35"/>
      <c r="K265" s="36" t="str">
        <f aca="false">IF(I265="","",I265+J265)</f>
        <v/>
      </c>
      <c r="L265" s="37" t="str">
        <f aca="false">IF(OR(I265="",I265=0,J265=""),"",J265/I265)</f>
        <v/>
      </c>
      <c r="M265" s="25" t="str">
        <f aca="false">IF(L265="","",IF(L265&gt;0.25,"ACRÉSCIMO ACIMA DE 25% — conferir",""))</f>
        <v/>
      </c>
      <c r="N265" s="29" t="str">
        <f aca="false">IF(D265="","",IF(COUNTIFS(Empresas!$B:$B,D265,Empresas!$E:$E,"&lt;&gt;")=0,"",INDEX(Empresas!$E:$E,MATCH(D265,Empresas!$B:$B,0))))</f>
        <v/>
      </c>
      <c r="O265" s="27" t="str">
        <f aca="false">IF(OR(N265="",H265=""),"",H265-N265)</f>
        <v/>
      </c>
      <c r="P265" s="25" t="str">
        <f aca="false">IF(O265="","",IF(O265&lt;0,"CONTRATO ANTERIOR À ABERTURA — conferir datas",IF(O265&lt;180,"EMPRESA ABERTA MENOS DE 6 MESES ANTES","")))</f>
        <v/>
      </c>
      <c r="Q265" s="31" t="str">
        <f aca="false">IF(D265="","",IFERROR(INDEX(Sancoes!$D:$D,MATCH(D265,Sancoes!$C:$C,0)),"não consta"))</f>
        <v/>
      </c>
      <c r="R265" s="25" t="str">
        <f aca="false">IF(OR(D265="",H265=""),"",IF(SUMPRODUCT((Sancoes!$C$5:$C$304=D265)*(Sancoes!$G$5:$G$304&lt;=H265)*(((Sancoes!$H$5:$H$304="")+(Sancoes!$H$5:$H$304&gt;=H265))&gt;0))&gt;0,"SANÇÃO VIGENTE NA DATA — ler tipo e abrangência",""))</f>
        <v/>
      </c>
      <c r="S265" s="24"/>
      <c r="T265" s="11"/>
    </row>
    <row r="266" customFormat="false" ht="15" hidden="false" customHeight="false" outlineLevel="0" collapsed="false">
      <c r="A266" s="11"/>
      <c r="B266" s="24"/>
      <c r="C266" s="24"/>
      <c r="D266" s="31" t="str">
        <f aca="false">IF(C266="","",IF(LEN(UPPER(SUBSTITUTE(SUBSTITUTE(SUBSTITUTE(SUBSTITUTE(TRIM(C266),".",""),"/",""),"-","")," ","")))&lt;14,RIGHT(REPT("0",14)&amp;UPPER(SUBSTITUTE(SUBSTITUTE(SUBSTITUTE(SUBSTITUTE(TRIM(C266),".",""),"/",""),"-","")," ","")),14),UPPER(SUBSTITUTE(SUBSTITUTE(SUBSTITUTE(SUBSTITUTE(TRIM(C266),".",""),"/",""),"-","")," ",""))))</f>
        <v/>
      </c>
      <c r="E266" s="25" t="str">
        <f aca="false">IF(D266="","",IFERROR(INDEX(Empresas!$C:$C,MATCH(D266,Empresas!$B:$B,0)),"cadastre o CNPJ em Empresas"))</f>
        <v/>
      </c>
      <c r="F266" s="11"/>
      <c r="G266" s="23"/>
      <c r="H266" s="22"/>
      <c r="I266" s="35"/>
      <c r="J266" s="35"/>
      <c r="K266" s="36" t="str">
        <f aca="false">IF(I266="","",I266+J266)</f>
        <v/>
      </c>
      <c r="L266" s="37" t="str">
        <f aca="false">IF(OR(I266="",I266=0,J266=""),"",J266/I266)</f>
        <v/>
      </c>
      <c r="M266" s="25" t="str">
        <f aca="false">IF(L266="","",IF(L266&gt;0.25,"ACRÉSCIMO ACIMA DE 25% — conferir",""))</f>
        <v/>
      </c>
      <c r="N266" s="29" t="str">
        <f aca="false">IF(D266="","",IF(COUNTIFS(Empresas!$B:$B,D266,Empresas!$E:$E,"&lt;&gt;")=0,"",INDEX(Empresas!$E:$E,MATCH(D266,Empresas!$B:$B,0))))</f>
        <v/>
      </c>
      <c r="O266" s="27" t="str">
        <f aca="false">IF(OR(N266="",H266=""),"",H266-N266)</f>
        <v/>
      </c>
      <c r="P266" s="25" t="str">
        <f aca="false">IF(O266="","",IF(O266&lt;0,"CONTRATO ANTERIOR À ABERTURA — conferir datas",IF(O266&lt;180,"EMPRESA ABERTA MENOS DE 6 MESES ANTES","")))</f>
        <v/>
      </c>
      <c r="Q266" s="31" t="str">
        <f aca="false">IF(D266="","",IFERROR(INDEX(Sancoes!$D:$D,MATCH(D266,Sancoes!$C:$C,0)),"não consta"))</f>
        <v/>
      </c>
      <c r="R266" s="25" t="str">
        <f aca="false">IF(OR(D266="",H266=""),"",IF(SUMPRODUCT((Sancoes!$C$5:$C$304=D266)*(Sancoes!$G$5:$G$304&lt;=H266)*(((Sancoes!$H$5:$H$304="")+(Sancoes!$H$5:$H$304&gt;=H266))&gt;0))&gt;0,"SANÇÃO VIGENTE NA DATA — ler tipo e abrangência",""))</f>
        <v/>
      </c>
      <c r="S266" s="24"/>
      <c r="T266" s="11"/>
    </row>
    <row r="267" customFormat="false" ht="15" hidden="false" customHeight="false" outlineLevel="0" collapsed="false">
      <c r="A267" s="11"/>
      <c r="B267" s="24"/>
      <c r="C267" s="24"/>
      <c r="D267" s="31" t="str">
        <f aca="false">IF(C267="","",IF(LEN(UPPER(SUBSTITUTE(SUBSTITUTE(SUBSTITUTE(SUBSTITUTE(TRIM(C267),".",""),"/",""),"-","")," ","")))&lt;14,RIGHT(REPT("0",14)&amp;UPPER(SUBSTITUTE(SUBSTITUTE(SUBSTITUTE(SUBSTITUTE(TRIM(C267),".",""),"/",""),"-","")," ","")),14),UPPER(SUBSTITUTE(SUBSTITUTE(SUBSTITUTE(SUBSTITUTE(TRIM(C267),".",""),"/",""),"-","")," ",""))))</f>
        <v/>
      </c>
      <c r="E267" s="25" t="str">
        <f aca="false">IF(D267="","",IFERROR(INDEX(Empresas!$C:$C,MATCH(D267,Empresas!$B:$B,0)),"cadastre o CNPJ em Empresas"))</f>
        <v/>
      </c>
      <c r="F267" s="11"/>
      <c r="G267" s="23"/>
      <c r="H267" s="22"/>
      <c r="I267" s="35"/>
      <c r="J267" s="35"/>
      <c r="K267" s="36" t="str">
        <f aca="false">IF(I267="","",I267+J267)</f>
        <v/>
      </c>
      <c r="L267" s="37" t="str">
        <f aca="false">IF(OR(I267="",I267=0,J267=""),"",J267/I267)</f>
        <v/>
      </c>
      <c r="M267" s="25" t="str">
        <f aca="false">IF(L267="","",IF(L267&gt;0.25,"ACRÉSCIMO ACIMA DE 25% — conferir",""))</f>
        <v/>
      </c>
      <c r="N267" s="29" t="str">
        <f aca="false">IF(D267="","",IF(COUNTIFS(Empresas!$B:$B,D267,Empresas!$E:$E,"&lt;&gt;")=0,"",INDEX(Empresas!$E:$E,MATCH(D267,Empresas!$B:$B,0))))</f>
        <v/>
      </c>
      <c r="O267" s="27" t="str">
        <f aca="false">IF(OR(N267="",H267=""),"",H267-N267)</f>
        <v/>
      </c>
      <c r="P267" s="25" t="str">
        <f aca="false">IF(O267="","",IF(O267&lt;0,"CONTRATO ANTERIOR À ABERTURA — conferir datas",IF(O267&lt;180,"EMPRESA ABERTA MENOS DE 6 MESES ANTES","")))</f>
        <v/>
      </c>
      <c r="Q267" s="31" t="str">
        <f aca="false">IF(D267="","",IFERROR(INDEX(Sancoes!$D:$D,MATCH(D267,Sancoes!$C:$C,0)),"não consta"))</f>
        <v/>
      </c>
      <c r="R267" s="25" t="str">
        <f aca="false">IF(OR(D267="",H267=""),"",IF(SUMPRODUCT((Sancoes!$C$5:$C$304=D267)*(Sancoes!$G$5:$G$304&lt;=H267)*(((Sancoes!$H$5:$H$304="")+(Sancoes!$H$5:$H$304&gt;=H267))&gt;0))&gt;0,"SANÇÃO VIGENTE NA DATA — ler tipo e abrangência",""))</f>
        <v/>
      </c>
      <c r="S267" s="24"/>
      <c r="T267" s="11"/>
    </row>
    <row r="268" customFormat="false" ht="15" hidden="false" customHeight="false" outlineLevel="0" collapsed="false">
      <c r="A268" s="11"/>
      <c r="B268" s="24"/>
      <c r="C268" s="24"/>
      <c r="D268" s="31" t="str">
        <f aca="false">IF(C268="","",IF(LEN(UPPER(SUBSTITUTE(SUBSTITUTE(SUBSTITUTE(SUBSTITUTE(TRIM(C268),".",""),"/",""),"-","")," ","")))&lt;14,RIGHT(REPT("0",14)&amp;UPPER(SUBSTITUTE(SUBSTITUTE(SUBSTITUTE(SUBSTITUTE(TRIM(C268),".",""),"/",""),"-","")," ","")),14),UPPER(SUBSTITUTE(SUBSTITUTE(SUBSTITUTE(SUBSTITUTE(TRIM(C268),".",""),"/",""),"-","")," ",""))))</f>
        <v/>
      </c>
      <c r="E268" s="25" t="str">
        <f aca="false">IF(D268="","",IFERROR(INDEX(Empresas!$C:$C,MATCH(D268,Empresas!$B:$B,0)),"cadastre o CNPJ em Empresas"))</f>
        <v/>
      </c>
      <c r="F268" s="11"/>
      <c r="G268" s="23"/>
      <c r="H268" s="22"/>
      <c r="I268" s="35"/>
      <c r="J268" s="35"/>
      <c r="K268" s="36" t="str">
        <f aca="false">IF(I268="","",I268+J268)</f>
        <v/>
      </c>
      <c r="L268" s="37" t="str">
        <f aca="false">IF(OR(I268="",I268=0,J268=""),"",J268/I268)</f>
        <v/>
      </c>
      <c r="M268" s="25" t="str">
        <f aca="false">IF(L268="","",IF(L268&gt;0.25,"ACRÉSCIMO ACIMA DE 25% — conferir",""))</f>
        <v/>
      </c>
      <c r="N268" s="29" t="str">
        <f aca="false">IF(D268="","",IF(COUNTIFS(Empresas!$B:$B,D268,Empresas!$E:$E,"&lt;&gt;")=0,"",INDEX(Empresas!$E:$E,MATCH(D268,Empresas!$B:$B,0))))</f>
        <v/>
      </c>
      <c r="O268" s="27" t="str">
        <f aca="false">IF(OR(N268="",H268=""),"",H268-N268)</f>
        <v/>
      </c>
      <c r="P268" s="25" t="str">
        <f aca="false">IF(O268="","",IF(O268&lt;0,"CONTRATO ANTERIOR À ABERTURA — conferir datas",IF(O268&lt;180,"EMPRESA ABERTA MENOS DE 6 MESES ANTES","")))</f>
        <v/>
      </c>
      <c r="Q268" s="31" t="str">
        <f aca="false">IF(D268="","",IFERROR(INDEX(Sancoes!$D:$D,MATCH(D268,Sancoes!$C:$C,0)),"não consta"))</f>
        <v/>
      </c>
      <c r="R268" s="25" t="str">
        <f aca="false">IF(OR(D268="",H268=""),"",IF(SUMPRODUCT((Sancoes!$C$5:$C$304=D268)*(Sancoes!$G$5:$G$304&lt;=H268)*(((Sancoes!$H$5:$H$304="")+(Sancoes!$H$5:$H$304&gt;=H268))&gt;0))&gt;0,"SANÇÃO VIGENTE NA DATA — ler tipo e abrangência",""))</f>
        <v/>
      </c>
      <c r="S268" s="24"/>
      <c r="T268" s="11"/>
    </row>
    <row r="269" customFormat="false" ht="15" hidden="false" customHeight="false" outlineLevel="0" collapsed="false">
      <c r="A269" s="11"/>
      <c r="B269" s="24"/>
      <c r="C269" s="24"/>
      <c r="D269" s="31" t="str">
        <f aca="false">IF(C269="","",IF(LEN(UPPER(SUBSTITUTE(SUBSTITUTE(SUBSTITUTE(SUBSTITUTE(TRIM(C269),".",""),"/",""),"-","")," ","")))&lt;14,RIGHT(REPT("0",14)&amp;UPPER(SUBSTITUTE(SUBSTITUTE(SUBSTITUTE(SUBSTITUTE(TRIM(C269),".",""),"/",""),"-","")," ","")),14),UPPER(SUBSTITUTE(SUBSTITUTE(SUBSTITUTE(SUBSTITUTE(TRIM(C269),".",""),"/",""),"-","")," ",""))))</f>
        <v/>
      </c>
      <c r="E269" s="25" t="str">
        <f aca="false">IF(D269="","",IFERROR(INDEX(Empresas!$C:$C,MATCH(D269,Empresas!$B:$B,0)),"cadastre o CNPJ em Empresas"))</f>
        <v/>
      </c>
      <c r="F269" s="11"/>
      <c r="G269" s="23"/>
      <c r="H269" s="22"/>
      <c r="I269" s="35"/>
      <c r="J269" s="35"/>
      <c r="K269" s="36" t="str">
        <f aca="false">IF(I269="","",I269+J269)</f>
        <v/>
      </c>
      <c r="L269" s="37" t="str">
        <f aca="false">IF(OR(I269="",I269=0,J269=""),"",J269/I269)</f>
        <v/>
      </c>
      <c r="M269" s="25" t="str">
        <f aca="false">IF(L269="","",IF(L269&gt;0.25,"ACRÉSCIMO ACIMA DE 25% — conferir",""))</f>
        <v/>
      </c>
      <c r="N269" s="29" t="str">
        <f aca="false">IF(D269="","",IF(COUNTIFS(Empresas!$B:$B,D269,Empresas!$E:$E,"&lt;&gt;")=0,"",INDEX(Empresas!$E:$E,MATCH(D269,Empresas!$B:$B,0))))</f>
        <v/>
      </c>
      <c r="O269" s="27" t="str">
        <f aca="false">IF(OR(N269="",H269=""),"",H269-N269)</f>
        <v/>
      </c>
      <c r="P269" s="25" t="str">
        <f aca="false">IF(O269="","",IF(O269&lt;0,"CONTRATO ANTERIOR À ABERTURA — conferir datas",IF(O269&lt;180,"EMPRESA ABERTA MENOS DE 6 MESES ANTES","")))</f>
        <v/>
      </c>
      <c r="Q269" s="31" t="str">
        <f aca="false">IF(D269="","",IFERROR(INDEX(Sancoes!$D:$D,MATCH(D269,Sancoes!$C:$C,0)),"não consta"))</f>
        <v/>
      </c>
      <c r="R269" s="25" t="str">
        <f aca="false">IF(OR(D269="",H269=""),"",IF(SUMPRODUCT((Sancoes!$C$5:$C$304=D269)*(Sancoes!$G$5:$G$304&lt;=H269)*(((Sancoes!$H$5:$H$304="")+(Sancoes!$H$5:$H$304&gt;=H269))&gt;0))&gt;0,"SANÇÃO VIGENTE NA DATA — ler tipo e abrangência",""))</f>
        <v/>
      </c>
      <c r="S269" s="24"/>
      <c r="T269" s="11"/>
    </row>
    <row r="270" customFormat="false" ht="15" hidden="false" customHeight="false" outlineLevel="0" collapsed="false">
      <c r="A270" s="11"/>
      <c r="B270" s="24"/>
      <c r="C270" s="24"/>
      <c r="D270" s="31" t="str">
        <f aca="false">IF(C270="","",IF(LEN(UPPER(SUBSTITUTE(SUBSTITUTE(SUBSTITUTE(SUBSTITUTE(TRIM(C270),".",""),"/",""),"-","")," ","")))&lt;14,RIGHT(REPT("0",14)&amp;UPPER(SUBSTITUTE(SUBSTITUTE(SUBSTITUTE(SUBSTITUTE(TRIM(C270),".",""),"/",""),"-","")," ","")),14),UPPER(SUBSTITUTE(SUBSTITUTE(SUBSTITUTE(SUBSTITUTE(TRIM(C270),".",""),"/",""),"-","")," ",""))))</f>
        <v/>
      </c>
      <c r="E270" s="25" t="str">
        <f aca="false">IF(D270="","",IFERROR(INDEX(Empresas!$C:$C,MATCH(D270,Empresas!$B:$B,0)),"cadastre o CNPJ em Empresas"))</f>
        <v/>
      </c>
      <c r="F270" s="11"/>
      <c r="G270" s="23"/>
      <c r="H270" s="22"/>
      <c r="I270" s="35"/>
      <c r="J270" s="35"/>
      <c r="K270" s="36" t="str">
        <f aca="false">IF(I270="","",I270+J270)</f>
        <v/>
      </c>
      <c r="L270" s="37" t="str">
        <f aca="false">IF(OR(I270="",I270=0,J270=""),"",J270/I270)</f>
        <v/>
      </c>
      <c r="M270" s="25" t="str">
        <f aca="false">IF(L270="","",IF(L270&gt;0.25,"ACRÉSCIMO ACIMA DE 25% — conferir",""))</f>
        <v/>
      </c>
      <c r="N270" s="29" t="str">
        <f aca="false">IF(D270="","",IF(COUNTIFS(Empresas!$B:$B,D270,Empresas!$E:$E,"&lt;&gt;")=0,"",INDEX(Empresas!$E:$E,MATCH(D270,Empresas!$B:$B,0))))</f>
        <v/>
      </c>
      <c r="O270" s="27" t="str">
        <f aca="false">IF(OR(N270="",H270=""),"",H270-N270)</f>
        <v/>
      </c>
      <c r="P270" s="25" t="str">
        <f aca="false">IF(O270="","",IF(O270&lt;0,"CONTRATO ANTERIOR À ABERTURA — conferir datas",IF(O270&lt;180,"EMPRESA ABERTA MENOS DE 6 MESES ANTES","")))</f>
        <v/>
      </c>
      <c r="Q270" s="31" t="str">
        <f aca="false">IF(D270="","",IFERROR(INDEX(Sancoes!$D:$D,MATCH(D270,Sancoes!$C:$C,0)),"não consta"))</f>
        <v/>
      </c>
      <c r="R270" s="25" t="str">
        <f aca="false">IF(OR(D270="",H270=""),"",IF(SUMPRODUCT((Sancoes!$C$5:$C$304=D270)*(Sancoes!$G$5:$G$304&lt;=H270)*(((Sancoes!$H$5:$H$304="")+(Sancoes!$H$5:$H$304&gt;=H270))&gt;0))&gt;0,"SANÇÃO VIGENTE NA DATA — ler tipo e abrangência",""))</f>
        <v/>
      </c>
      <c r="S270" s="24"/>
      <c r="T270" s="11"/>
    </row>
    <row r="271" customFormat="false" ht="15" hidden="false" customHeight="false" outlineLevel="0" collapsed="false">
      <c r="A271" s="11"/>
      <c r="B271" s="24"/>
      <c r="C271" s="24"/>
      <c r="D271" s="31" t="str">
        <f aca="false">IF(C271="","",IF(LEN(UPPER(SUBSTITUTE(SUBSTITUTE(SUBSTITUTE(SUBSTITUTE(TRIM(C271),".",""),"/",""),"-","")," ","")))&lt;14,RIGHT(REPT("0",14)&amp;UPPER(SUBSTITUTE(SUBSTITUTE(SUBSTITUTE(SUBSTITUTE(TRIM(C271),".",""),"/",""),"-","")," ","")),14),UPPER(SUBSTITUTE(SUBSTITUTE(SUBSTITUTE(SUBSTITUTE(TRIM(C271),".",""),"/",""),"-","")," ",""))))</f>
        <v/>
      </c>
      <c r="E271" s="25" t="str">
        <f aca="false">IF(D271="","",IFERROR(INDEX(Empresas!$C:$C,MATCH(D271,Empresas!$B:$B,0)),"cadastre o CNPJ em Empresas"))</f>
        <v/>
      </c>
      <c r="F271" s="11"/>
      <c r="G271" s="23"/>
      <c r="H271" s="22"/>
      <c r="I271" s="35"/>
      <c r="J271" s="35"/>
      <c r="K271" s="36" t="str">
        <f aca="false">IF(I271="","",I271+J271)</f>
        <v/>
      </c>
      <c r="L271" s="37" t="str">
        <f aca="false">IF(OR(I271="",I271=0,J271=""),"",J271/I271)</f>
        <v/>
      </c>
      <c r="M271" s="25" t="str">
        <f aca="false">IF(L271="","",IF(L271&gt;0.25,"ACRÉSCIMO ACIMA DE 25% — conferir",""))</f>
        <v/>
      </c>
      <c r="N271" s="29" t="str">
        <f aca="false">IF(D271="","",IF(COUNTIFS(Empresas!$B:$B,D271,Empresas!$E:$E,"&lt;&gt;")=0,"",INDEX(Empresas!$E:$E,MATCH(D271,Empresas!$B:$B,0))))</f>
        <v/>
      </c>
      <c r="O271" s="27" t="str">
        <f aca="false">IF(OR(N271="",H271=""),"",H271-N271)</f>
        <v/>
      </c>
      <c r="P271" s="25" t="str">
        <f aca="false">IF(O271="","",IF(O271&lt;0,"CONTRATO ANTERIOR À ABERTURA — conferir datas",IF(O271&lt;180,"EMPRESA ABERTA MENOS DE 6 MESES ANTES","")))</f>
        <v/>
      </c>
      <c r="Q271" s="31" t="str">
        <f aca="false">IF(D271="","",IFERROR(INDEX(Sancoes!$D:$D,MATCH(D271,Sancoes!$C:$C,0)),"não consta"))</f>
        <v/>
      </c>
      <c r="R271" s="25" t="str">
        <f aca="false">IF(OR(D271="",H271=""),"",IF(SUMPRODUCT((Sancoes!$C$5:$C$304=D271)*(Sancoes!$G$5:$G$304&lt;=H271)*(((Sancoes!$H$5:$H$304="")+(Sancoes!$H$5:$H$304&gt;=H271))&gt;0))&gt;0,"SANÇÃO VIGENTE NA DATA — ler tipo e abrangência",""))</f>
        <v/>
      </c>
      <c r="S271" s="24"/>
      <c r="T271" s="11"/>
    </row>
    <row r="272" customFormat="false" ht="15" hidden="false" customHeight="false" outlineLevel="0" collapsed="false">
      <c r="A272" s="11"/>
      <c r="B272" s="24"/>
      <c r="C272" s="24"/>
      <c r="D272" s="31" t="str">
        <f aca="false">IF(C272="","",IF(LEN(UPPER(SUBSTITUTE(SUBSTITUTE(SUBSTITUTE(SUBSTITUTE(TRIM(C272),".",""),"/",""),"-","")," ","")))&lt;14,RIGHT(REPT("0",14)&amp;UPPER(SUBSTITUTE(SUBSTITUTE(SUBSTITUTE(SUBSTITUTE(TRIM(C272),".",""),"/",""),"-","")," ","")),14),UPPER(SUBSTITUTE(SUBSTITUTE(SUBSTITUTE(SUBSTITUTE(TRIM(C272),".",""),"/",""),"-","")," ",""))))</f>
        <v/>
      </c>
      <c r="E272" s="25" t="str">
        <f aca="false">IF(D272="","",IFERROR(INDEX(Empresas!$C:$C,MATCH(D272,Empresas!$B:$B,0)),"cadastre o CNPJ em Empresas"))</f>
        <v/>
      </c>
      <c r="F272" s="11"/>
      <c r="G272" s="23"/>
      <c r="H272" s="22"/>
      <c r="I272" s="35"/>
      <c r="J272" s="35"/>
      <c r="K272" s="36" t="str">
        <f aca="false">IF(I272="","",I272+J272)</f>
        <v/>
      </c>
      <c r="L272" s="37" t="str">
        <f aca="false">IF(OR(I272="",I272=0,J272=""),"",J272/I272)</f>
        <v/>
      </c>
      <c r="M272" s="25" t="str">
        <f aca="false">IF(L272="","",IF(L272&gt;0.25,"ACRÉSCIMO ACIMA DE 25% — conferir",""))</f>
        <v/>
      </c>
      <c r="N272" s="29" t="str">
        <f aca="false">IF(D272="","",IF(COUNTIFS(Empresas!$B:$B,D272,Empresas!$E:$E,"&lt;&gt;")=0,"",INDEX(Empresas!$E:$E,MATCH(D272,Empresas!$B:$B,0))))</f>
        <v/>
      </c>
      <c r="O272" s="27" t="str">
        <f aca="false">IF(OR(N272="",H272=""),"",H272-N272)</f>
        <v/>
      </c>
      <c r="P272" s="25" t="str">
        <f aca="false">IF(O272="","",IF(O272&lt;0,"CONTRATO ANTERIOR À ABERTURA — conferir datas",IF(O272&lt;180,"EMPRESA ABERTA MENOS DE 6 MESES ANTES","")))</f>
        <v/>
      </c>
      <c r="Q272" s="31" t="str">
        <f aca="false">IF(D272="","",IFERROR(INDEX(Sancoes!$D:$D,MATCH(D272,Sancoes!$C:$C,0)),"não consta"))</f>
        <v/>
      </c>
      <c r="R272" s="25" t="str">
        <f aca="false">IF(OR(D272="",H272=""),"",IF(SUMPRODUCT((Sancoes!$C$5:$C$304=D272)*(Sancoes!$G$5:$G$304&lt;=H272)*(((Sancoes!$H$5:$H$304="")+(Sancoes!$H$5:$H$304&gt;=H272))&gt;0))&gt;0,"SANÇÃO VIGENTE NA DATA — ler tipo e abrangência",""))</f>
        <v/>
      </c>
      <c r="S272" s="24"/>
      <c r="T272" s="11"/>
    </row>
    <row r="273" customFormat="false" ht="15" hidden="false" customHeight="false" outlineLevel="0" collapsed="false">
      <c r="A273" s="11"/>
      <c r="B273" s="24"/>
      <c r="C273" s="24"/>
      <c r="D273" s="31" t="str">
        <f aca="false">IF(C273="","",IF(LEN(UPPER(SUBSTITUTE(SUBSTITUTE(SUBSTITUTE(SUBSTITUTE(TRIM(C273),".",""),"/",""),"-","")," ","")))&lt;14,RIGHT(REPT("0",14)&amp;UPPER(SUBSTITUTE(SUBSTITUTE(SUBSTITUTE(SUBSTITUTE(TRIM(C273),".",""),"/",""),"-","")," ","")),14),UPPER(SUBSTITUTE(SUBSTITUTE(SUBSTITUTE(SUBSTITUTE(TRIM(C273),".",""),"/",""),"-","")," ",""))))</f>
        <v/>
      </c>
      <c r="E273" s="25" t="str">
        <f aca="false">IF(D273="","",IFERROR(INDEX(Empresas!$C:$C,MATCH(D273,Empresas!$B:$B,0)),"cadastre o CNPJ em Empresas"))</f>
        <v/>
      </c>
      <c r="F273" s="11"/>
      <c r="G273" s="23"/>
      <c r="H273" s="22"/>
      <c r="I273" s="35"/>
      <c r="J273" s="35"/>
      <c r="K273" s="36" t="str">
        <f aca="false">IF(I273="","",I273+J273)</f>
        <v/>
      </c>
      <c r="L273" s="37" t="str">
        <f aca="false">IF(OR(I273="",I273=0,J273=""),"",J273/I273)</f>
        <v/>
      </c>
      <c r="M273" s="25" t="str">
        <f aca="false">IF(L273="","",IF(L273&gt;0.25,"ACRÉSCIMO ACIMA DE 25% — conferir",""))</f>
        <v/>
      </c>
      <c r="N273" s="29" t="str">
        <f aca="false">IF(D273="","",IF(COUNTIFS(Empresas!$B:$B,D273,Empresas!$E:$E,"&lt;&gt;")=0,"",INDEX(Empresas!$E:$E,MATCH(D273,Empresas!$B:$B,0))))</f>
        <v/>
      </c>
      <c r="O273" s="27" t="str">
        <f aca="false">IF(OR(N273="",H273=""),"",H273-N273)</f>
        <v/>
      </c>
      <c r="P273" s="25" t="str">
        <f aca="false">IF(O273="","",IF(O273&lt;0,"CONTRATO ANTERIOR À ABERTURA — conferir datas",IF(O273&lt;180,"EMPRESA ABERTA MENOS DE 6 MESES ANTES","")))</f>
        <v/>
      </c>
      <c r="Q273" s="31" t="str">
        <f aca="false">IF(D273="","",IFERROR(INDEX(Sancoes!$D:$D,MATCH(D273,Sancoes!$C:$C,0)),"não consta"))</f>
        <v/>
      </c>
      <c r="R273" s="25" t="str">
        <f aca="false">IF(OR(D273="",H273=""),"",IF(SUMPRODUCT((Sancoes!$C$5:$C$304=D273)*(Sancoes!$G$5:$G$304&lt;=H273)*(((Sancoes!$H$5:$H$304="")+(Sancoes!$H$5:$H$304&gt;=H273))&gt;0))&gt;0,"SANÇÃO VIGENTE NA DATA — ler tipo e abrangência",""))</f>
        <v/>
      </c>
      <c r="S273" s="24"/>
      <c r="T273" s="11"/>
    </row>
    <row r="274" customFormat="false" ht="15" hidden="false" customHeight="false" outlineLevel="0" collapsed="false">
      <c r="A274" s="11"/>
      <c r="B274" s="24"/>
      <c r="C274" s="24"/>
      <c r="D274" s="31" t="str">
        <f aca="false">IF(C274="","",IF(LEN(UPPER(SUBSTITUTE(SUBSTITUTE(SUBSTITUTE(SUBSTITUTE(TRIM(C274),".",""),"/",""),"-","")," ","")))&lt;14,RIGHT(REPT("0",14)&amp;UPPER(SUBSTITUTE(SUBSTITUTE(SUBSTITUTE(SUBSTITUTE(TRIM(C274),".",""),"/",""),"-","")," ","")),14),UPPER(SUBSTITUTE(SUBSTITUTE(SUBSTITUTE(SUBSTITUTE(TRIM(C274),".",""),"/",""),"-","")," ",""))))</f>
        <v/>
      </c>
      <c r="E274" s="25" t="str">
        <f aca="false">IF(D274="","",IFERROR(INDEX(Empresas!$C:$C,MATCH(D274,Empresas!$B:$B,0)),"cadastre o CNPJ em Empresas"))</f>
        <v/>
      </c>
      <c r="F274" s="11"/>
      <c r="G274" s="23"/>
      <c r="H274" s="22"/>
      <c r="I274" s="35"/>
      <c r="J274" s="35"/>
      <c r="K274" s="36" t="str">
        <f aca="false">IF(I274="","",I274+J274)</f>
        <v/>
      </c>
      <c r="L274" s="37" t="str">
        <f aca="false">IF(OR(I274="",I274=0,J274=""),"",J274/I274)</f>
        <v/>
      </c>
      <c r="M274" s="25" t="str">
        <f aca="false">IF(L274="","",IF(L274&gt;0.25,"ACRÉSCIMO ACIMA DE 25% — conferir",""))</f>
        <v/>
      </c>
      <c r="N274" s="29" t="str">
        <f aca="false">IF(D274="","",IF(COUNTIFS(Empresas!$B:$B,D274,Empresas!$E:$E,"&lt;&gt;")=0,"",INDEX(Empresas!$E:$E,MATCH(D274,Empresas!$B:$B,0))))</f>
        <v/>
      </c>
      <c r="O274" s="27" t="str">
        <f aca="false">IF(OR(N274="",H274=""),"",H274-N274)</f>
        <v/>
      </c>
      <c r="P274" s="25" t="str">
        <f aca="false">IF(O274="","",IF(O274&lt;0,"CONTRATO ANTERIOR À ABERTURA — conferir datas",IF(O274&lt;180,"EMPRESA ABERTA MENOS DE 6 MESES ANTES","")))</f>
        <v/>
      </c>
      <c r="Q274" s="31" t="str">
        <f aca="false">IF(D274="","",IFERROR(INDEX(Sancoes!$D:$D,MATCH(D274,Sancoes!$C:$C,0)),"não consta"))</f>
        <v/>
      </c>
      <c r="R274" s="25" t="str">
        <f aca="false">IF(OR(D274="",H274=""),"",IF(SUMPRODUCT((Sancoes!$C$5:$C$304=D274)*(Sancoes!$G$5:$G$304&lt;=H274)*(((Sancoes!$H$5:$H$304="")+(Sancoes!$H$5:$H$304&gt;=H274))&gt;0))&gt;0,"SANÇÃO VIGENTE NA DATA — ler tipo e abrangência",""))</f>
        <v/>
      </c>
      <c r="S274" s="24"/>
      <c r="T274" s="11"/>
    </row>
    <row r="275" customFormat="false" ht="15" hidden="false" customHeight="false" outlineLevel="0" collapsed="false">
      <c r="A275" s="11"/>
      <c r="B275" s="24"/>
      <c r="C275" s="24"/>
      <c r="D275" s="31" t="str">
        <f aca="false">IF(C275="","",IF(LEN(UPPER(SUBSTITUTE(SUBSTITUTE(SUBSTITUTE(SUBSTITUTE(TRIM(C275),".",""),"/",""),"-","")," ","")))&lt;14,RIGHT(REPT("0",14)&amp;UPPER(SUBSTITUTE(SUBSTITUTE(SUBSTITUTE(SUBSTITUTE(TRIM(C275),".",""),"/",""),"-","")," ","")),14),UPPER(SUBSTITUTE(SUBSTITUTE(SUBSTITUTE(SUBSTITUTE(TRIM(C275),".",""),"/",""),"-","")," ",""))))</f>
        <v/>
      </c>
      <c r="E275" s="25" t="str">
        <f aca="false">IF(D275="","",IFERROR(INDEX(Empresas!$C:$C,MATCH(D275,Empresas!$B:$B,0)),"cadastre o CNPJ em Empresas"))</f>
        <v/>
      </c>
      <c r="F275" s="11"/>
      <c r="G275" s="23"/>
      <c r="H275" s="22"/>
      <c r="I275" s="35"/>
      <c r="J275" s="35"/>
      <c r="K275" s="36" t="str">
        <f aca="false">IF(I275="","",I275+J275)</f>
        <v/>
      </c>
      <c r="L275" s="37" t="str">
        <f aca="false">IF(OR(I275="",I275=0,J275=""),"",J275/I275)</f>
        <v/>
      </c>
      <c r="M275" s="25" t="str">
        <f aca="false">IF(L275="","",IF(L275&gt;0.25,"ACRÉSCIMO ACIMA DE 25% — conferir",""))</f>
        <v/>
      </c>
      <c r="N275" s="29" t="str">
        <f aca="false">IF(D275="","",IF(COUNTIFS(Empresas!$B:$B,D275,Empresas!$E:$E,"&lt;&gt;")=0,"",INDEX(Empresas!$E:$E,MATCH(D275,Empresas!$B:$B,0))))</f>
        <v/>
      </c>
      <c r="O275" s="27" t="str">
        <f aca="false">IF(OR(N275="",H275=""),"",H275-N275)</f>
        <v/>
      </c>
      <c r="P275" s="25" t="str">
        <f aca="false">IF(O275="","",IF(O275&lt;0,"CONTRATO ANTERIOR À ABERTURA — conferir datas",IF(O275&lt;180,"EMPRESA ABERTA MENOS DE 6 MESES ANTES","")))</f>
        <v/>
      </c>
      <c r="Q275" s="31" t="str">
        <f aca="false">IF(D275="","",IFERROR(INDEX(Sancoes!$D:$D,MATCH(D275,Sancoes!$C:$C,0)),"não consta"))</f>
        <v/>
      </c>
      <c r="R275" s="25" t="str">
        <f aca="false">IF(OR(D275="",H275=""),"",IF(SUMPRODUCT((Sancoes!$C$5:$C$304=D275)*(Sancoes!$G$5:$G$304&lt;=H275)*(((Sancoes!$H$5:$H$304="")+(Sancoes!$H$5:$H$304&gt;=H275))&gt;0))&gt;0,"SANÇÃO VIGENTE NA DATA — ler tipo e abrangência",""))</f>
        <v/>
      </c>
      <c r="S275" s="24"/>
      <c r="T275" s="11"/>
    </row>
    <row r="276" customFormat="false" ht="15" hidden="false" customHeight="false" outlineLevel="0" collapsed="false">
      <c r="A276" s="11"/>
      <c r="B276" s="24"/>
      <c r="C276" s="24"/>
      <c r="D276" s="31" t="str">
        <f aca="false">IF(C276="","",IF(LEN(UPPER(SUBSTITUTE(SUBSTITUTE(SUBSTITUTE(SUBSTITUTE(TRIM(C276),".",""),"/",""),"-","")," ","")))&lt;14,RIGHT(REPT("0",14)&amp;UPPER(SUBSTITUTE(SUBSTITUTE(SUBSTITUTE(SUBSTITUTE(TRIM(C276),".",""),"/",""),"-","")," ","")),14),UPPER(SUBSTITUTE(SUBSTITUTE(SUBSTITUTE(SUBSTITUTE(TRIM(C276),".",""),"/",""),"-","")," ",""))))</f>
        <v/>
      </c>
      <c r="E276" s="25" t="str">
        <f aca="false">IF(D276="","",IFERROR(INDEX(Empresas!$C:$C,MATCH(D276,Empresas!$B:$B,0)),"cadastre o CNPJ em Empresas"))</f>
        <v/>
      </c>
      <c r="F276" s="11"/>
      <c r="G276" s="23"/>
      <c r="H276" s="22"/>
      <c r="I276" s="35"/>
      <c r="J276" s="35"/>
      <c r="K276" s="36" t="str">
        <f aca="false">IF(I276="","",I276+J276)</f>
        <v/>
      </c>
      <c r="L276" s="37" t="str">
        <f aca="false">IF(OR(I276="",I276=0,J276=""),"",J276/I276)</f>
        <v/>
      </c>
      <c r="M276" s="25" t="str">
        <f aca="false">IF(L276="","",IF(L276&gt;0.25,"ACRÉSCIMO ACIMA DE 25% — conferir",""))</f>
        <v/>
      </c>
      <c r="N276" s="29" t="str">
        <f aca="false">IF(D276="","",IF(COUNTIFS(Empresas!$B:$B,D276,Empresas!$E:$E,"&lt;&gt;")=0,"",INDEX(Empresas!$E:$E,MATCH(D276,Empresas!$B:$B,0))))</f>
        <v/>
      </c>
      <c r="O276" s="27" t="str">
        <f aca="false">IF(OR(N276="",H276=""),"",H276-N276)</f>
        <v/>
      </c>
      <c r="P276" s="25" t="str">
        <f aca="false">IF(O276="","",IF(O276&lt;0,"CONTRATO ANTERIOR À ABERTURA — conferir datas",IF(O276&lt;180,"EMPRESA ABERTA MENOS DE 6 MESES ANTES","")))</f>
        <v/>
      </c>
      <c r="Q276" s="31" t="str">
        <f aca="false">IF(D276="","",IFERROR(INDEX(Sancoes!$D:$D,MATCH(D276,Sancoes!$C:$C,0)),"não consta"))</f>
        <v/>
      </c>
      <c r="R276" s="25" t="str">
        <f aca="false">IF(OR(D276="",H276=""),"",IF(SUMPRODUCT((Sancoes!$C$5:$C$304=D276)*(Sancoes!$G$5:$G$304&lt;=H276)*(((Sancoes!$H$5:$H$304="")+(Sancoes!$H$5:$H$304&gt;=H276))&gt;0))&gt;0,"SANÇÃO VIGENTE NA DATA — ler tipo e abrangência",""))</f>
        <v/>
      </c>
      <c r="S276" s="24"/>
      <c r="T276" s="11"/>
    </row>
    <row r="277" customFormat="false" ht="15" hidden="false" customHeight="false" outlineLevel="0" collapsed="false">
      <c r="A277" s="11"/>
      <c r="B277" s="24"/>
      <c r="C277" s="24"/>
      <c r="D277" s="31" t="str">
        <f aca="false">IF(C277="","",IF(LEN(UPPER(SUBSTITUTE(SUBSTITUTE(SUBSTITUTE(SUBSTITUTE(TRIM(C277),".",""),"/",""),"-","")," ","")))&lt;14,RIGHT(REPT("0",14)&amp;UPPER(SUBSTITUTE(SUBSTITUTE(SUBSTITUTE(SUBSTITUTE(TRIM(C277),".",""),"/",""),"-","")," ","")),14),UPPER(SUBSTITUTE(SUBSTITUTE(SUBSTITUTE(SUBSTITUTE(TRIM(C277),".",""),"/",""),"-","")," ",""))))</f>
        <v/>
      </c>
      <c r="E277" s="25" t="str">
        <f aca="false">IF(D277="","",IFERROR(INDEX(Empresas!$C:$C,MATCH(D277,Empresas!$B:$B,0)),"cadastre o CNPJ em Empresas"))</f>
        <v/>
      </c>
      <c r="F277" s="11"/>
      <c r="G277" s="23"/>
      <c r="H277" s="22"/>
      <c r="I277" s="35"/>
      <c r="J277" s="35"/>
      <c r="K277" s="36" t="str">
        <f aca="false">IF(I277="","",I277+J277)</f>
        <v/>
      </c>
      <c r="L277" s="37" t="str">
        <f aca="false">IF(OR(I277="",I277=0,J277=""),"",J277/I277)</f>
        <v/>
      </c>
      <c r="M277" s="25" t="str">
        <f aca="false">IF(L277="","",IF(L277&gt;0.25,"ACRÉSCIMO ACIMA DE 25% — conferir",""))</f>
        <v/>
      </c>
      <c r="N277" s="29" t="str">
        <f aca="false">IF(D277="","",IF(COUNTIFS(Empresas!$B:$B,D277,Empresas!$E:$E,"&lt;&gt;")=0,"",INDEX(Empresas!$E:$E,MATCH(D277,Empresas!$B:$B,0))))</f>
        <v/>
      </c>
      <c r="O277" s="27" t="str">
        <f aca="false">IF(OR(N277="",H277=""),"",H277-N277)</f>
        <v/>
      </c>
      <c r="P277" s="25" t="str">
        <f aca="false">IF(O277="","",IF(O277&lt;0,"CONTRATO ANTERIOR À ABERTURA — conferir datas",IF(O277&lt;180,"EMPRESA ABERTA MENOS DE 6 MESES ANTES","")))</f>
        <v/>
      </c>
      <c r="Q277" s="31" t="str">
        <f aca="false">IF(D277="","",IFERROR(INDEX(Sancoes!$D:$D,MATCH(D277,Sancoes!$C:$C,0)),"não consta"))</f>
        <v/>
      </c>
      <c r="R277" s="25" t="str">
        <f aca="false">IF(OR(D277="",H277=""),"",IF(SUMPRODUCT((Sancoes!$C$5:$C$304=D277)*(Sancoes!$G$5:$G$304&lt;=H277)*(((Sancoes!$H$5:$H$304="")+(Sancoes!$H$5:$H$304&gt;=H277))&gt;0))&gt;0,"SANÇÃO VIGENTE NA DATA — ler tipo e abrangência",""))</f>
        <v/>
      </c>
      <c r="S277" s="24"/>
      <c r="T277" s="11"/>
    </row>
    <row r="278" customFormat="false" ht="15" hidden="false" customHeight="false" outlineLevel="0" collapsed="false">
      <c r="A278" s="11"/>
      <c r="B278" s="24"/>
      <c r="C278" s="24"/>
      <c r="D278" s="31" t="str">
        <f aca="false">IF(C278="","",IF(LEN(UPPER(SUBSTITUTE(SUBSTITUTE(SUBSTITUTE(SUBSTITUTE(TRIM(C278),".",""),"/",""),"-","")," ","")))&lt;14,RIGHT(REPT("0",14)&amp;UPPER(SUBSTITUTE(SUBSTITUTE(SUBSTITUTE(SUBSTITUTE(TRIM(C278),".",""),"/",""),"-","")," ","")),14),UPPER(SUBSTITUTE(SUBSTITUTE(SUBSTITUTE(SUBSTITUTE(TRIM(C278),".",""),"/",""),"-","")," ",""))))</f>
        <v/>
      </c>
      <c r="E278" s="25" t="str">
        <f aca="false">IF(D278="","",IFERROR(INDEX(Empresas!$C:$C,MATCH(D278,Empresas!$B:$B,0)),"cadastre o CNPJ em Empresas"))</f>
        <v/>
      </c>
      <c r="F278" s="11"/>
      <c r="G278" s="23"/>
      <c r="H278" s="22"/>
      <c r="I278" s="35"/>
      <c r="J278" s="35"/>
      <c r="K278" s="36" t="str">
        <f aca="false">IF(I278="","",I278+J278)</f>
        <v/>
      </c>
      <c r="L278" s="37" t="str">
        <f aca="false">IF(OR(I278="",I278=0,J278=""),"",J278/I278)</f>
        <v/>
      </c>
      <c r="M278" s="25" t="str">
        <f aca="false">IF(L278="","",IF(L278&gt;0.25,"ACRÉSCIMO ACIMA DE 25% — conferir",""))</f>
        <v/>
      </c>
      <c r="N278" s="29" t="str">
        <f aca="false">IF(D278="","",IF(COUNTIFS(Empresas!$B:$B,D278,Empresas!$E:$E,"&lt;&gt;")=0,"",INDEX(Empresas!$E:$E,MATCH(D278,Empresas!$B:$B,0))))</f>
        <v/>
      </c>
      <c r="O278" s="27" t="str">
        <f aca="false">IF(OR(N278="",H278=""),"",H278-N278)</f>
        <v/>
      </c>
      <c r="P278" s="25" t="str">
        <f aca="false">IF(O278="","",IF(O278&lt;0,"CONTRATO ANTERIOR À ABERTURA — conferir datas",IF(O278&lt;180,"EMPRESA ABERTA MENOS DE 6 MESES ANTES","")))</f>
        <v/>
      </c>
      <c r="Q278" s="31" t="str">
        <f aca="false">IF(D278="","",IFERROR(INDEX(Sancoes!$D:$D,MATCH(D278,Sancoes!$C:$C,0)),"não consta"))</f>
        <v/>
      </c>
      <c r="R278" s="25" t="str">
        <f aca="false">IF(OR(D278="",H278=""),"",IF(SUMPRODUCT((Sancoes!$C$5:$C$304=D278)*(Sancoes!$G$5:$G$304&lt;=H278)*(((Sancoes!$H$5:$H$304="")+(Sancoes!$H$5:$H$304&gt;=H278))&gt;0))&gt;0,"SANÇÃO VIGENTE NA DATA — ler tipo e abrangência",""))</f>
        <v/>
      </c>
      <c r="S278" s="24"/>
      <c r="T278" s="11"/>
    </row>
    <row r="279" customFormat="false" ht="15" hidden="false" customHeight="false" outlineLevel="0" collapsed="false">
      <c r="A279" s="11"/>
      <c r="B279" s="24"/>
      <c r="C279" s="24"/>
      <c r="D279" s="31" t="str">
        <f aca="false">IF(C279="","",IF(LEN(UPPER(SUBSTITUTE(SUBSTITUTE(SUBSTITUTE(SUBSTITUTE(TRIM(C279),".",""),"/",""),"-","")," ","")))&lt;14,RIGHT(REPT("0",14)&amp;UPPER(SUBSTITUTE(SUBSTITUTE(SUBSTITUTE(SUBSTITUTE(TRIM(C279),".",""),"/",""),"-","")," ","")),14),UPPER(SUBSTITUTE(SUBSTITUTE(SUBSTITUTE(SUBSTITUTE(TRIM(C279),".",""),"/",""),"-","")," ",""))))</f>
        <v/>
      </c>
      <c r="E279" s="25" t="str">
        <f aca="false">IF(D279="","",IFERROR(INDEX(Empresas!$C:$C,MATCH(D279,Empresas!$B:$B,0)),"cadastre o CNPJ em Empresas"))</f>
        <v/>
      </c>
      <c r="F279" s="11"/>
      <c r="G279" s="23"/>
      <c r="H279" s="22"/>
      <c r="I279" s="35"/>
      <c r="J279" s="35"/>
      <c r="K279" s="36" t="str">
        <f aca="false">IF(I279="","",I279+J279)</f>
        <v/>
      </c>
      <c r="L279" s="37" t="str">
        <f aca="false">IF(OR(I279="",I279=0,J279=""),"",J279/I279)</f>
        <v/>
      </c>
      <c r="M279" s="25" t="str">
        <f aca="false">IF(L279="","",IF(L279&gt;0.25,"ACRÉSCIMO ACIMA DE 25% — conferir",""))</f>
        <v/>
      </c>
      <c r="N279" s="29" t="str">
        <f aca="false">IF(D279="","",IF(COUNTIFS(Empresas!$B:$B,D279,Empresas!$E:$E,"&lt;&gt;")=0,"",INDEX(Empresas!$E:$E,MATCH(D279,Empresas!$B:$B,0))))</f>
        <v/>
      </c>
      <c r="O279" s="27" t="str">
        <f aca="false">IF(OR(N279="",H279=""),"",H279-N279)</f>
        <v/>
      </c>
      <c r="P279" s="25" t="str">
        <f aca="false">IF(O279="","",IF(O279&lt;0,"CONTRATO ANTERIOR À ABERTURA — conferir datas",IF(O279&lt;180,"EMPRESA ABERTA MENOS DE 6 MESES ANTES","")))</f>
        <v/>
      </c>
      <c r="Q279" s="31" t="str">
        <f aca="false">IF(D279="","",IFERROR(INDEX(Sancoes!$D:$D,MATCH(D279,Sancoes!$C:$C,0)),"não consta"))</f>
        <v/>
      </c>
      <c r="R279" s="25" t="str">
        <f aca="false">IF(OR(D279="",H279=""),"",IF(SUMPRODUCT((Sancoes!$C$5:$C$304=D279)*(Sancoes!$G$5:$G$304&lt;=H279)*(((Sancoes!$H$5:$H$304="")+(Sancoes!$H$5:$H$304&gt;=H279))&gt;0))&gt;0,"SANÇÃO VIGENTE NA DATA — ler tipo e abrangência",""))</f>
        <v/>
      </c>
      <c r="S279" s="24"/>
      <c r="T279" s="11"/>
    </row>
    <row r="280" customFormat="false" ht="15" hidden="false" customHeight="false" outlineLevel="0" collapsed="false">
      <c r="A280" s="11"/>
      <c r="B280" s="24"/>
      <c r="C280" s="24"/>
      <c r="D280" s="31" t="str">
        <f aca="false">IF(C280="","",IF(LEN(UPPER(SUBSTITUTE(SUBSTITUTE(SUBSTITUTE(SUBSTITUTE(TRIM(C280),".",""),"/",""),"-","")," ","")))&lt;14,RIGHT(REPT("0",14)&amp;UPPER(SUBSTITUTE(SUBSTITUTE(SUBSTITUTE(SUBSTITUTE(TRIM(C280),".",""),"/",""),"-","")," ","")),14),UPPER(SUBSTITUTE(SUBSTITUTE(SUBSTITUTE(SUBSTITUTE(TRIM(C280),".",""),"/",""),"-","")," ",""))))</f>
        <v/>
      </c>
      <c r="E280" s="25" t="str">
        <f aca="false">IF(D280="","",IFERROR(INDEX(Empresas!$C:$C,MATCH(D280,Empresas!$B:$B,0)),"cadastre o CNPJ em Empresas"))</f>
        <v/>
      </c>
      <c r="F280" s="11"/>
      <c r="G280" s="23"/>
      <c r="H280" s="22"/>
      <c r="I280" s="35"/>
      <c r="J280" s="35"/>
      <c r="K280" s="36" t="str">
        <f aca="false">IF(I280="","",I280+J280)</f>
        <v/>
      </c>
      <c r="L280" s="37" t="str">
        <f aca="false">IF(OR(I280="",I280=0,J280=""),"",J280/I280)</f>
        <v/>
      </c>
      <c r="M280" s="25" t="str">
        <f aca="false">IF(L280="","",IF(L280&gt;0.25,"ACRÉSCIMO ACIMA DE 25% — conferir",""))</f>
        <v/>
      </c>
      <c r="N280" s="29" t="str">
        <f aca="false">IF(D280="","",IF(COUNTIFS(Empresas!$B:$B,D280,Empresas!$E:$E,"&lt;&gt;")=0,"",INDEX(Empresas!$E:$E,MATCH(D280,Empresas!$B:$B,0))))</f>
        <v/>
      </c>
      <c r="O280" s="27" t="str">
        <f aca="false">IF(OR(N280="",H280=""),"",H280-N280)</f>
        <v/>
      </c>
      <c r="P280" s="25" t="str">
        <f aca="false">IF(O280="","",IF(O280&lt;0,"CONTRATO ANTERIOR À ABERTURA — conferir datas",IF(O280&lt;180,"EMPRESA ABERTA MENOS DE 6 MESES ANTES","")))</f>
        <v/>
      </c>
      <c r="Q280" s="31" t="str">
        <f aca="false">IF(D280="","",IFERROR(INDEX(Sancoes!$D:$D,MATCH(D280,Sancoes!$C:$C,0)),"não consta"))</f>
        <v/>
      </c>
      <c r="R280" s="25" t="str">
        <f aca="false">IF(OR(D280="",H280=""),"",IF(SUMPRODUCT((Sancoes!$C$5:$C$304=D280)*(Sancoes!$G$5:$G$304&lt;=H280)*(((Sancoes!$H$5:$H$304="")+(Sancoes!$H$5:$H$304&gt;=H280))&gt;0))&gt;0,"SANÇÃO VIGENTE NA DATA — ler tipo e abrangência",""))</f>
        <v/>
      </c>
      <c r="S280" s="24"/>
      <c r="T280" s="11"/>
    </row>
    <row r="281" customFormat="false" ht="15" hidden="false" customHeight="false" outlineLevel="0" collapsed="false">
      <c r="A281" s="11"/>
      <c r="B281" s="24"/>
      <c r="C281" s="24"/>
      <c r="D281" s="31" t="str">
        <f aca="false">IF(C281="","",IF(LEN(UPPER(SUBSTITUTE(SUBSTITUTE(SUBSTITUTE(SUBSTITUTE(TRIM(C281),".",""),"/",""),"-","")," ","")))&lt;14,RIGHT(REPT("0",14)&amp;UPPER(SUBSTITUTE(SUBSTITUTE(SUBSTITUTE(SUBSTITUTE(TRIM(C281),".",""),"/",""),"-","")," ","")),14),UPPER(SUBSTITUTE(SUBSTITUTE(SUBSTITUTE(SUBSTITUTE(TRIM(C281),".",""),"/",""),"-","")," ",""))))</f>
        <v/>
      </c>
      <c r="E281" s="25" t="str">
        <f aca="false">IF(D281="","",IFERROR(INDEX(Empresas!$C:$C,MATCH(D281,Empresas!$B:$B,0)),"cadastre o CNPJ em Empresas"))</f>
        <v/>
      </c>
      <c r="F281" s="11"/>
      <c r="G281" s="23"/>
      <c r="H281" s="22"/>
      <c r="I281" s="35"/>
      <c r="J281" s="35"/>
      <c r="K281" s="36" t="str">
        <f aca="false">IF(I281="","",I281+J281)</f>
        <v/>
      </c>
      <c r="L281" s="37" t="str">
        <f aca="false">IF(OR(I281="",I281=0,J281=""),"",J281/I281)</f>
        <v/>
      </c>
      <c r="M281" s="25" t="str">
        <f aca="false">IF(L281="","",IF(L281&gt;0.25,"ACRÉSCIMO ACIMA DE 25% — conferir",""))</f>
        <v/>
      </c>
      <c r="N281" s="29" t="str">
        <f aca="false">IF(D281="","",IF(COUNTIFS(Empresas!$B:$B,D281,Empresas!$E:$E,"&lt;&gt;")=0,"",INDEX(Empresas!$E:$E,MATCH(D281,Empresas!$B:$B,0))))</f>
        <v/>
      </c>
      <c r="O281" s="27" t="str">
        <f aca="false">IF(OR(N281="",H281=""),"",H281-N281)</f>
        <v/>
      </c>
      <c r="P281" s="25" t="str">
        <f aca="false">IF(O281="","",IF(O281&lt;0,"CONTRATO ANTERIOR À ABERTURA — conferir datas",IF(O281&lt;180,"EMPRESA ABERTA MENOS DE 6 MESES ANTES","")))</f>
        <v/>
      </c>
      <c r="Q281" s="31" t="str">
        <f aca="false">IF(D281="","",IFERROR(INDEX(Sancoes!$D:$D,MATCH(D281,Sancoes!$C:$C,0)),"não consta"))</f>
        <v/>
      </c>
      <c r="R281" s="25" t="str">
        <f aca="false">IF(OR(D281="",H281=""),"",IF(SUMPRODUCT((Sancoes!$C$5:$C$304=D281)*(Sancoes!$G$5:$G$304&lt;=H281)*(((Sancoes!$H$5:$H$304="")+(Sancoes!$H$5:$H$304&gt;=H281))&gt;0))&gt;0,"SANÇÃO VIGENTE NA DATA — ler tipo e abrangência",""))</f>
        <v/>
      </c>
      <c r="S281" s="24"/>
      <c r="T281" s="11"/>
    </row>
    <row r="282" customFormat="false" ht="15" hidden="false" customHeight="false" outlineLevel="0" collapsed="false">
      <c r="A282" s="11"/>
      <c r="B282" s="24"/>
      <c r="C282" s="24"/>
      <c r="D282" s="31" t="str">
        <f aca="false">IF(C282="","",IF(LEN(UPPER(SUBSTITUTE(SUBSTITUTE(SUBSTITUTE(SUBSTITUTE(TRIM(C282),".",""),"/",""),"-","")," ","")))&lt;14,RIGHT(REPT("0",14)&amp;UPPER(SUBSTITUTE(SUBSTITUTE(SUBSTITUTE(SUBSTITUTE(TRIM(C282),".",""),"/",""),"-","")," ","")),14),UPPER(SUBSTITUTE(SUBSTITUTE(SUBSTITUTE(SUBSTITUTE(TRIM(C282),".",""),"/",""),"-","")," ",""))))</f>
        <v/>
      </c>
      <c r="E282" s="25" t="str">
        <f aca="false">IF(D282="","",IFERROR(INDEX(Empresas!$C:$C,MATCH(D282,Empresas!$B:$B,0)),"cadastre o CNPJ em Empresas"))</f>
        <v/>
      </c>
      <c r="F282" s="11"/>
      <c r="G282" s="23"/>
      <c r="H282" s="22"/>
      <c r="I282" s="35"/>
      <c r="J282" s="35"/>
      <c r="K282" s="36" t="str">
        <f aca="false">IF(I282="","",I282+J282)</f>
        <v/>
      </c>
      <c r="L282" s="37" t="str">
        <f aca="false">IF(OR(I282="",I282=0,J282=""),"",J282/I282)</f>
        <v/>
      </c>
      <c r="M282" s="25" t="str">
        <f aca="false">IF(L282="","",IF(L282&gt;0.25,"ACRÉSCIMO ACIMA DE 25% — conferir",""))</f>
        <v/>
      </c>
      <c r="N282" s="29" t="str">
        <f aca="false">IF(D282="","",IF(COUNTIFS(Empresas!$B:$B,D282,Empresas!$E:$E,"&lt;&gt;")=0,"",INDEX(Empresas!$E:$E,MATCH(D282,Empresas!$B:$B,0))))</f>
        <v/>
      </c>
      <c r="O282" s="27" t="str">
        <f aca="false">IF(OR(N282="",H282=""),"",H282-N282)</f>
        <v/>
      </c>
      <c r="P282" s="25" t="str">
        <f aca="false">IF(O282="","",IF(O282&lt;0,"CONTRATO ANTERIOR À ABERTURA — conferir datas",IF(O282&lt;180,"EMPRESA ABERTA MENOS DE 6 MESES ANTES","")))</f>
        <v/>
      </c>
      <c r="Q282" s="31" t="str">
        <f aca="false">IF(D282="","",IFERROR(INDEX(Sancoes!$D:$D,MATCH(D282,Sancoes!$C:$C,0)),"não consta"))</f>
        <v/>
      </c>
      <c r="R282" s="25" t="str">
        <f aca="false">IF(OR(D282="",H282=""),"",IF(SUMPRODUCT((Sancoes!$C$5:$C$304=D282)*(Sancoes!$G$5:$G$304&lt;=H282)*(((Sancoes!$H$5:$H$304="")+(Sancoes!$H$5:$H$304&gt;=H282))&gt;0))&gt;0,"SANÇÃO VIGENTE NA DATA — ler tipo e abrangência",""))</f>
        <v/>
      </c>
      <c r="S282" s="24"/>
      <c r="T282" s="11"/>
    </row>
    <row r="283" customFormat="false" ht="15" hidden="false" customHeight="false" outlineLevel="0" collapsed="false">
      <c r="A283" s="11"/>
      <c r="B283" s="24"/>
      <c r="C283" s="24"/>
      <c r="D283" s="31" t="str">
        <f aca="false">IF(C283="","",IF(LEN(UPPER(SUBSTITUTE(SUBSTITUTE(SUBSTITUTE(SUBSTITUTE(TRIM(C283),".",""),"/",""),"-","")," ","")))&lt;14,RIGHT(REPT("0",14)&amp;UPPER(SUBSTITUTE(SUBSTITUTE(SUBSTITUTE(SUBSTITUTE(TRIM(C283),".",""),"/",""),"-","")," ","")),14),UPPER(SUBSTITUTE(SUBSTITUTE(SUBSTITUTE(SUBSTITUTE(TRIM(C283),".",""),"/",""),"-","")," ",""))))</f>
        <v/>
      </c>
      <c r="E283" s="25" t="str">
        <f aca="false">IF(D283="","",IFERROR(INDEX(Empresas!$C:$C,MATCH(D283,Empresas!$B:$B,0)),"cadastre o CNPJ em Empresas"))</f>
        <v/>
      </c>
      <c r="F283" s="11"/>
      <c r="G283" s="23"/>
      <c r="H283" s="22"/>
      <c r="I283" s="35"/>
      <c r="J283" s="35"/>
      <c r="K283" s="36" t="str">
        <f aca="false">IF(I283="","",I283+J283)</f>
        <v/>
      </c>
      <c r="L283" s="37" t="str">
        <f aca="false">IF(OR(I283="",I283=0,J283=""),"",J283/I283)</f>
        <v/>
      </c>
      <c r="M283" s="25" t="str">
        <f aca="false">IF(L283="","",IF(L283&gt;0.25,"ACRÉSCIMO ACIMA DE 25% — conferir",""))</f>
        <v/>
      </c>
      <c r="N283" s="29" t="str">
        <f aca="false">IF(D283="","",IF(COUNTIFS(Empresas!$B:$B,D283,Empresas!$E:$E,"&lt;&gt;")=0,"",INDEX(Empresas!$E:$E,MATCH(D283,Empresas!$B:$B,0))))</f>
        <v/>
      </c>
      <c r="O283" s="27" t="str">
        <f aca="false">IF(OR(N283="",H283=""),"",H283-N283)</f>
        <v/>
      </c>
      <c r="P283" s="25" t="str">
        <f aca="false">IF(O283="","",IF(O283&lt;0,"CONTRATO ANTERIOR À ABERTURA — conferir datas",IF(O283&lt;180,"EMPRESA ABERTA MENOS DE 6 MESES ANTES","")))</f>
        <v/>
      </c>
      <c r="Q283" s="31" t="str">
        <f aca="false">IF(D283="","",IFERROR(INDEX(Sancoes!$D:$D,MATCH(D283,Sancoes!$C:$C,0)),"não consta"))</f>
        <v/>
      </c>
      <c r="R283" s="25" t="str">
        <f aca="false">IF(OR(D283="",H283=""),"",IF(SUMPRODUCT((Sancoes!$C$5:$C$304=D283)*(Sancoes!$G$5:$G$304&lt;=H283)*(((Sancoes!$H$5:$H$304="")+(Sancoes!$H$5:$H$304&gt;=H283))&gt;0))&gt;0,"SANÇÃO VIGENTE NA DATA — ler tipo e abrangência",""))</f>
        <v/>
      </c>
      <c r="S283" s="24"/>
      <c r="T283" s="11"/>
    </row>
    <row r="284" customFormat="false" ht="15" hidden="false" customHeight="false" outlineLevel="0" collapsed="false">
      <c r="A284" s="11"/>
      <c r="B284" s="24"/>
      <c r="C284" s="24"/>
      <c r="D284" s="31" t="str">
        <f aca="false">IF(C284="","",IF(LEN(UPPER(SUBSTITUTE(SUBSTITUTE(SUBSTITUTE(SUBSTITUTE(TRIM(C284),".",""),"/",""),"-","")," ","")))&lt;14,RIGHT(REPT("0",14)&amp;UPPER(SUBSTITUTE(SUBSTITUTE(SUBSTITUTE(SUBSTITUTE(TRIM(C284),".",""),"/",""),"-","")," ","")),14),UPPER(SUBSTITUTE(SUBSTITUTE(SUBSTITUTE(SUBSTITUTE(TRIM(C284),".",""),"/",""),"-","")," ",""))))</f>
        <v/>
      </c>
      <c r="E284" s="25" t="str">
        <f aca="false">IF(D284="","",IFERROR(INDEX(Empresas!$C:$C,MATCH(D284,Empresas!$B:$B,0)),"cadastre o CNPJ em Empresas"))</f>
        <v/>
      </c>
      <c r="F284" s="11"/>
      <c r="G284" s="23"/>
      <c r="H284" s="22"/>
      <c r="I284" s="35"/>
      <c r="J284" s="35"/>
      <c r="K284" s="36" t="str">
        <f aca="false">IF(I284="","",I284+J284)</f>
        <v/>
      </c>
      <c r="L284" s="37" t="str">
        <f aca="false">IF(OR(I284="",I284=0,J284=""),"",J284/I284)</f>
        <v/>
      </c>
      <c r="M284" s="25" t="str">
        <f aca="false">IF(L284="","",IF(L284&gt;0.25,"ACRÉSCIMO ACIMA DE 25% — conferir",""))</f>
        <v/>
      </c>
      <c r="N284" s="29" t="str">
        <f aca="false">IF(D284="","",IF(COUNTIFS(Empresas!$B:$B,D284,Empresas!$E:$E,"&lt;&gt;")=0,"",INDEX(Empresas!$E:$E,MATCH(D284,Empresas!$B:$B,0))))</f>
        <v/>
      </c>
      <c r="O284" s="27" t="str">
        <f aca="false">IF(OR(N284="",H284=""),"",H284-N284)</f>
        <v/>
      </c>
      <c r="P284" s="25" t="str">
        <f aca="false">IF(O284="","",IF(O284&lt;0,"CONTRATO ANTERIOR À ABERTURA — conferir datas",IF(O284&lt;180,"EMPRESA ABERTA MENOS DE 6 MESES ANTES","")))</f>
        <v/>
      </c>
      <c r="Q284" s="31" t="str">
        <f aca="false">IF(D284="","",IFERROR(INDEX(Sancoes!$D:$D,MATCH(D284,Sancoes!$C:$C,0)),"não consta"))</f>
        <v/>
      </c>
      <c r="R284" s="25" t="str">
        <f aca="false">IF(OR(D284="",H284=""),"",IF(SUMPRODUCT((Sancoes!$C$5:$C$304=D284)*(Sancoes!$G$5:$G$304&lt;=H284)*(((Sancoes!$H$5:$H$304="")+(Sancoes!$H$5:$H$304&gt;=H284))&gt;0))&gt;0,"SANÇÃO VIGENTE NA DATA — ler tipo e abrangência",""))</f>
        <v/>
      </c>
      <c r="S284" s="24"/>
      <c r="T284" s="11"/>
    </row>
    <row r="285" customFormat="false" ht="15" hidden="false" customHeight="false" outlineLevel="0" collapsed="false">
      <c r="A285" s="11"/>
      <c r="B285" s="24"/>
      <c r="C285" s="24"/>
      <c r="D285" s="31" t="str">
        <f aca="false">IF(C285="","",IF(LEN(UPPER(SUBSTITUTE(SUBSTITUTE(SUBSTITUTE(SUBSTITUTE(TRIM(C285),".",""),"/",""),"-","")," ","")))&lt;14,RIGHT(REPT("0",14)&amp;UPPER(SUBSTITUTE(SUBSTITUTE(SUBSTITUTE(SUBSTITUTE(TRIM(C285),".",""),"/",""),"-","")," ","")),14),UPPER(SUBSTITUTE(SUBSTITUTE(SUBSTITUTE(SUBSTITUTE(TRIM(C285),".",""),"/",""),"-","")," ",""))))</f>
        <v/>
      </c>
      <c r="E285" s="25" t="str">
        <f aca="false">IF(D285="","",IFERROR(INDEX(Empresas!$C:$C,MATCH(D285,Empresas!$B:$B,0)),"cadastre o CNPJ em Empresas"))</f>
        <v/>
      </c>
      <c r="F285" s="11"/>
      <c r="G285" s="23"/>
      <c r="H285" s="22"/>
      <c r="I285" s="35"/>
      <c r="J285" s="35"/>
      <c r="K285" s="36" t="str">
        <f aca="false">IF(I285="","",I285+J285)</f>
        <v/>
      </c>
      <c r="L285" s="37" t="str">
        <f aca="false">IF(OR(I285="",I285=0,J285=""),"",J285/I285)</f>
        <v/>
      </c>
      <c r="M285" s="25" t="str">
        <f aca="false">IF(L285="","",IF(L285&gt;0.25,"ACRÉSCIMO ACIMA DE 25% — conferir",""))</f>
        <v/>
      </c>
      <c r="N285" s="29" t="str">
        <f aca="false">IF(D285="","",IF(COUNTIFS(Empresas!$B:$B,D285,Empresas!$E:$E,"&lt;&gt;")=0,"",INDEX(Empresas!$E:$E,MATCH(D285,Empresas!$B:$B,0))))</f>
        <v/>
      </c>
      <c r="O285" s="27" t="str">
        <f aca="false">IF(OR(N285="",H285=""),"",H285-N285)</f>
        <v/>
      </c>
      <c r="P285" s="25" t="str">
        <f aca="false">IF(O285="","",IF(O285&lt;0,"CONTRATO ANTERIOR À ABERTURA — conferir datas",IF(O285&lt;180,"EMPRESA ABERTA MENOS DE 6 MESES ANTES","")))</f>
        <v/>
      </c>
      <c r="Q285" s="31" t="str">
        <f aca="false">IF(D285="","",IFERROR(INDEX(Sancoes!$D:$D,MATCH(D285,Sancoes!$C:$C,0)),"não consta"))</f>
        <v/>
      </c>
      <c r="R285" s="25" t="str">
        <f aca="false">IF(OR(D285="",H285=""),"",IF(SUMPRODUCT((Sancoes!$C$5:$C$304=D285)*(Sancoes!$G$5:$G$304&lt;=H285)*(((Sancoes!$H$5:$H$304="")+(Sancoes!$H$5:$H$304&gt;=H285))&gt;0))&gt;0,"SANÇÃO VIGENTE NA DATA — ler tipo e abrangência",""))</f>
        <v/>
      </c>
      <c r="S285" s="24"/>
      <c r="T285" s="11"/>
    </row>
    <row r="286" customFormat="false" ht="15" hidden="false" customHeight="false" outlineLevel="0" collapsed="false">
      <c r="A286" s="11"/>
      <c r="B286" s="24"/>
      <c r="C286" s="24"/>
      <c r="D286" s="31" t="str">
        <f aca="false">IF(C286="","",IF(LEN(UPPER(SUBSTITUTE(SUBSTITUTE(SUBSTITUTE(SUBSTITUTE(TRIM(C286),".",""),"/",""),"-","")," ","")))&lt;14,RIGHT(REPT("0",14)&amp;UPPER(SUBSTITUTE(SUBSTITUTE(SUBSTITUTE(SUBSTITUTE(TRIM(C286),".",""),"/",""),"-","")," ","")),14),UPPER(SUBSTITUTE(SUBSTITUTE(SUBSTITUTE(SUBSTITUTE(TRIM(C286),".",""),"/",""),"-","")," ",""))))</f>
        <v/>
      </c>
      <c r="E286" s="25" t="str">
        <f aca="false">IF(D286="","",IFERROR(INDEX(Empresas!$C:$C,MATCH(D286,Empresas!$B:$B,0)),"cadastre o CNPJ em Empresas"))</f>
        <v/>
      </c>
      <c r="F286" s="11"/>
      <c r="G286" s="23"/>
      <c r="H286" s="22"/>
      <c r="I286" s="35"/>
      <c r="J286" s="35"/>
      <c r="K286" s="36" t="str">
        <f aca="false">IF(I286="","",I286+J286)</f>
        <v/>
      </c>
      <c r="L286" s="37" t="str">
        <f aca="false">IF(OR(I286="",I286=0,J286=""),"",J286/I286)</f>
        <v/>
      </c>
      <c r="M286" s="25" t="str">
        <f aca="false">IF(L286="","",IF(L286&gt;0.25,"ACRÉSCIMO ACIMA DE 25% — conferir",""))</f>
        <v/>
      </c>
      <c r="N286" s="29" t="str">
        <f aca="false">IF(D286="","",IF(COUNTIFS(Empresas!$B:$B,D286,Empresas!$E:$E,"&lt;&gt;")=0,"",INDEX(Empresas!$E:$E,MATCH(D286,Empresas!$B:$B,0))))</f>
        <v/>
      </c>
      <c r="O286" s="27" t="str">
        <f aca="false">IF(OR(N286="",H286=""),"",H286-N286)</f>
        <v/>
      </c>
      <c r="P286" s="25" t="str">
        <f aca="false">IF(O286="","",IF(O286&lt;0,"CONTRATO ANTERIOR À ABERTURA — conferir datas",IF(O286&lt;180,"EMPRESA ABERTA MENOS DE 6 MESES ANTES","")))</f>
        <v/>
      </c>
      <c r="Q286" s="31" t="str">
        <f aca="false">IF(D286="","",IFERROR(INDEX(Sancoes!$D:$D,MATCH(D286,Sancoes!$C:$C,0)),"não consta"))</f>
        <v/>
      </c>
      <c r="R286" s="25" t="str">
        <f aca="false">IF(OR(D286="",H286=""),"",IF(SUMPRODUCT((Sancoes!$C$5:$C$304=D286)*(Sancoes!$G$5:$G$304&lt;=H286)*(((Sancoes!$H$5:$H$304="")+(Sancoes!$H$5:$H$304&gt;=H286))&gt;0))&gt;0,"SANÇÃO VIGENTE NA DATA — ler tipo e abrangência",""))</f>
        <v/>
      </c>
      <c r="S286" s="24"/>
      <c r="T286" s="11"/>
    </row>
    <row r="287" customFormat="false" ht="15" hidden="false" customHeight="false" outlineLevel="0" collapsed="false">
      <c r="A287" s="11"/>
      <c r="B287" s="24"/>
      <c r="C287" s="24"/>
      <c r="D287" s="31" t="str">
        <f aca="false">IF(C287="","",IF(LEN(UPPER(SUBSTITUTE(SUBSTITUTE(SUBSTITUTE(SUBSTITUTE(TRIM(C287),".",""),"/",""),"-","")," ","")))&lt;14,RIGHT(REPT("0",14)&amp;UPPER(SUBSTITUTE(SUBSTITUTE(SUBSTITUTE(SUBSTITUTE(TRIM(C287),".",""),"/",""),"-","")," ","")),14),UPPER(SUBSTITUTE(SUBSTITUTE(SUBSTITUTE(SUBSTITUTE(TRIM(C287),".",""),"/",""),"-","")," ",""))))</f>
        <v/>
      </c>
      <c r="E287" s="25" t="str">
        <f aca="false">IF(D287="","",IFERROR(INDEX(Empresas!$C:$C,MATCH(D287,Empresas!$B:$B,0)),"cadastre o CNPJ em Empresas"))</f>
        <v/>
      </c>
      <c r="F287" s="11"/>
      <c r="G287" s="23"/>
      <c r="H287" s="22"/>
      <c r="I287" s="35"/>
      <c r="J287" s="35"/>
      <c r="K287" s="36" t="str">
        <f aca="false">IF(I287="","",I287+J287)</f>
        <v/>
      </c>
      <c r="L287" s="37" t="str">
        <f aca="false">IF(OR(I287="",I287=0,J287=""),"",J287/I287)</f>
        <v/>
      </c>
      <c r="M287" s="25" t="str">
        <f aca="false">IF(L287="","",IF(L287&gt;0.25,"ACRÉSCIMO ACIMA DE 25% — conferir",""))</f>
        <v/>
      </c>
      <c r="N287" s="29" t="str">
        <f aca="false">IF(D287="","",IF(COUNTIFS(Empresas!$B:$B,D287,Empresas!$E:$E,"&lt;&gt;")=0,"",INDEX(Empresas!$E:$E,MATCH(D287,Empresas!$B:$B,0))))</f>
        <v/>
      </c>
      <c r="O287" s="27" t="str">
        <f aca="false">IF(OR(N287="",H287=""),"",H287-N287)</f>
        <v/>
      </c>
      <c r="P287" s="25" t="str">
        <f aca="false">IF(O287="","",IF(O287&lt;0,"CONTRATO ANTERIOR À ABERTURA — conferir datas",IF(O287&lt;180,"EMPRESA ABERTA MENOS DE 6 MESES ANTES","")))</f>
        <v/>
      </c>
      <c r="Q287" s="31" t="str">
        <f aca="false">IF(D287="","",IFERROR(INDEX(Sancoes!$D:$D,MATCH(D287,Sancoes!$C:$C,0)),"não consta"))</f>
        <v/>
      </c>
      <c r="R287" s="25" t="str">
        <f aca="false">IF(OR(D287="",H287=""),"",IF(SUMPRODUCT((Sancoes!$C$5:$C$304=D287)*(Sancoes!$G$5:$G$304&lt;=H287)*(((Sancoes!$H$5:$H$304="")+(Sancoes!$H$5:$H$304&gt;=H287))&gt;0))&gt;0,"SANÇÃO VIGENTE NA DATA — ler tipo e abrangência",""))</f>
        <v/>
      </c>
      <c r="S287" s="24"/>
      <c r="T287" s="11"/>
    </row>
    <row r="288" customFormat="false" ht="15" hidden="false" customHeight="false" outlineLevel="0" collapsed="false">
      <c r="A288" s="11"/>
      <c r="B288" s="24"/>
      <c r="C288" s="24"/>
      <c r="D288" s="31" t="str">
        <f aca="false">IF(C288="","",IF(LEN(UPPER(SUBSTITUTE(SUBSTITUTE(SUBSTITUTE(SUBSTITUTE(TRIM(C288),".",""),"/",""),"-","")," ","")))&lt;14,RIGHT(REPT("0",14)&amp;UPPER(SUBSTITUTE(SUBSTITUTE(SUBSTITUTE(SUBSTITUTE(TRIM(C288),".",""),"/",""),"-","")," ","")),14),UPPER(SUBSTITUTE(SUBSTITUTE(SUBSTITUTE(SUBSTITUTE(TRIM(C288),".",""),"/",""),"-","")," ",""))))</f>
        <v/>
      </c>
      <c r="E288" s="25" t="str">
        <f aca="false">IF(D288="","",IFERROR(INDEX(Empresas!$C:$C,MATCH(D288,Empresas!$B:$B,0)),"cadastre o CNPJ em Empresas"))</f>
        <v/>
      </c>
      <c r="F288" s="11"/>
      <c r="G288" s="23"/>
      <c r="H288" s="22"/>
      <c r="I288" s="35"/>
      <c r="J288" s="35"/>
      <c r="K288" s="36" t="str">
        <f aca="false">IF(I288="","",I288+J288)</f>
        <v/>
      </c>
      <c r="L288" s="37" t="str">
        <f aca="false">IF(OR(I288="",I288=0,J288=""),"",J288/I288)</f>
        <v/>
      </c>
      <c r="M288" s="25" t="str">
        <f aca="false">IF(L288="","",IF(L288&gt;0.25,"ACRÉSCIMO ACIMA DE 25% — conferir",""))</f>
        <v/>
      </c>
      <c r="N288" s="29" t="str">
        <f aca="false">IF(D288="","",IF(COUNTIFS(Empresas!$B:$B,D288,Empresas!$E:$E,"&lt;&gt;")=0,"",INDEX(Empresas!$E:$E,MATCH(D288,Empresas!$B:$B,0))))</f>
        <v/>
      </c>
      <c r="O288" s="27" t="str">
        <f aca="false">IF(OR(N288="",H288=""),"",H288-N288)</f>
        <v/>
      </c>
      <c r="P288" s="25" t="str">
        <f aca="false">IF(O288="","",IF(O288&lt;0,"CONTRATO ANTERIOR À ABERTURA — conferir datas",IF(O288&lt;180,"EMPRESA ABERTA MENOS DE 6 MESES ANTES","")))</f>
        <v/>
      </c>
      <c r="Q288" s="31" t="str">
        <f aca="false">IF(D288="","",IFERROR(INDEX(Sancoes!$D:$D,MATCH(D288,Sancoes!$C:$C,0)),"não consta"))</f>
        <v/>
      </c>
      <c r="R288" s="25" t="str">
        <f aca="false">IF(OR(D288="",H288=""),"",IF(SUMPRODUCT((Sancoes!$C$5:$C$304=D288)*(Sancoes!$G$5:$G$304&lt;=H288)*(((Sancoes!$H$5:$H$304="")+(Sancoes!$H$5:$H$304&gt;=H288))&gt;0))&gt;0,"SANÇÃO VIGENTE NA DATA — ler tipo e abrangência",""))</f>
        <v/>
      </c>
      <c r="S288" s="24"/>
      <c r="T288" s="11"/>
    </row>
    <row r="289" customFormat="false" ht="15" hidden="false" customHeight="false" outlineLevel="0" collapsed="false">
      <c r="A289" s="11"/>
      <c r="B289" s="24"/>
      <c r="C289" s="24"/>
      <c r="D289" s="31" t="str">
        <f aca="false">IF(C289="","",IF(LEN(UPPER(SUBSTITUTE(SUBSTITUTE(SUBSTITUTE(SUBSTITUTE(TRIM(C289),".",""),"/",""),"-","")," ","")))&lt;14,RIGHT(REPT("0",14)&amp;UPPER(SUBSTITUTE(SUBSTITUTE(SUBSTITUTE(SUBSTITUTE(TRIM(C289),".",""),"/",""),"-","")," ","")),14),UPPER(SUBSTITUTE(SUBSTITUTE(SUBSTITUTE(SUBSTITUTE(TRIM(C289),".",""),"/",""),"-","")," ",""))))</f>
        <v/>
      </c>
      <c r="E289" s="25" t="str">
        <f aca="false">IF(D289="","",IFERROR(INDEX(Empresas!$C:$C,MATCH(D289,Empresas!$B:$B,0)),"cadastre o CNPJ em Empresas"))</f>
        <v/>
      </c>
      <c r="F289" s="11"/>
      <c r="G289" s="23"/>
      <c r="H289" s="22"/>
      <c r="I289" s="35"/>
      <c r="J289" s="35"/>
      <c r="K289" s="36" t="str">
        <f aca="false">IF(I289="","",I289+J289)</f>
        <v/>
      </c>
      <c r="L289" s="37" t="str">
        <f aca="false">IF(OR(I289="",I289=0,J289=""),"",J289/I289)</f>
        <v/>
      </c>
      <c r="M289" s="25" t="str">
        <f aca="false">IF(L289="","",IF(L289&gt;0.25,"ACRÉSCIMO ACIMA DE 25% — conferir",""))</f>
        <v/>
      </c>
      <c r="N289" s="29" t="str">
        <f aca="false">IF(D289="","",IF(COUNTIFS(Empresas!$B:$B,D289,Empresas!$E:$E,"&lt;&gt;")=0,"",INDEX(Empresas!$E:$E,MATCH(D289,Empresas!$B:$B,0))))</f>
        <v/>
      </c>
      <c r="O289" s="27" t="str">
        <f aca="false">IF(OR(N289="",H289=""),"",H289-N289)</f>
        <v/>
      </c>
      <c r="P289" s="25" t="str">
        <f aca="false">IF(O289="","",IF(O289&lt;0,"CONTRATO ANTERIOR À ABERTURA — conferir datas",IF(O289&lt;180,"EMPRESA ABERTA MENOS DE 6 MESES ANTES","")))</f>
        <v/>
      </c>
      <c r="Q289" s="31" t="str">
        <f aca="false">IF(D289="","",IFERROR(INDEX(Sancoes!$D:$D,MATCH(D289,Sancoes!$C:$C,0)),"não consta"))</f>
        <v/>
      </c>
      <c r="R289" s="25" t="str">
        <f aca="false">IF(OR(D289="",H289=""),"",IF(SUMPRODUCT((Sancoes!$C$5:$C$304=D289)*(Sancoes!$G$5:$G$304&lt;=H289)*(((Sancoes!$H$5:$H$304="")+(Sancoes!$H$5:$H$304&gt;=H289))&gt;0))&gt;0,"SANÇÃO VIGENTE NA DATA — ler tipo e abrangência",""))</f>
        <v/>
      </c>
      <c r="S289" s="24"/>
      <c r="T289" s="11"/>
    </row>
    <row r="290" customFormat="false" ht="15" hidden="false" customHeight="false" outlineLevel="0" collapsed="false">
      <c r="A290" s="11"/>
      <c r="B290" s="24"/>
      <c r="C290" s="24"/>
      <c r="D290" s="31" t="str">
        <f aca="false">IF(C290="","",IF(LEN(UPPER(SUBSTITUTE(SUBSTITUTE(SUBSTITUTE(SUBSTITUTE(TRIM(C290),".",""),"/",""),"-","")," ","")))&lt;14,RIGHT(REPT("0",14)&amp;UPPER(SUBSTITUTE(SUBSTITUTE(SUBSTITUTE(SUBSTITUTE(TRIM(C290),".",""),"/",""),"-","")," ","")),14),UPPER(SUBSTITUTE(SUBSTITUTE(SUBSTITUTE(SUBSTITUTE(TRIM(C290),".",""),"/",""),"-","")," ",""))))</f>
        <v/>
      </c>
      <c r="E290" s="25" t="str">
        <f aca="false">IF(D290="","",IFERROR(INDEX(Empresas!$C:$C,MATCH(D290,Empresas!$B:$B,0)),"cadastre o CNPJ em Empresas"))</f>
        <v/>
      </c>
      <c r="F290" s="11"/>
      <c r="G290" s="23"/>
      <c r="H290" s="22"/>
      <c r="I290" s="35"/>
      <c r="J290" s="35"/>
      <c r="K290" s="36" t="str">
        <f aca="false">IF(I290="","",I290+J290)</f>
        <v/>
      </c>
      <c r="L290" s="37" t="str">
        <f aca="false">IF(OR(I290="",I290=0,J290=""),"",J290/I290)</f>
        <v/>
      </c>
      <c r="M290" s="25" t="str">
        <f aca="false">IF(L290="","",IF(L290&gt;0.25,"ACRÉSCIMO ACIMA DE 25% — conferir",""))</f>
        <v/>
      </c>
      <c r="N290" s="29" t="str">
        <f aca="false">IF(D290="","",IF(COUNTIFS(Empresas!$B:$B,D290,Empresas!$E:$E,"&lt;&gt;")=0,"",INDEX(Empresas!$E:$E,MATCH(D290,Empresas!$B:$B,0))))</f>
        <v/>
      </c>
      <c r="O290" s="27" t="str">
        <f aca="false">IF(OR(N290="",H290=""),"",H290-N290)</f>
        <v/>
      </c>
      <c r="P290" s="25" t="str">
        <f aca="false">IF(O290="","",IF(O290&lt;0,"CONTRATO ANTERIOR À ABERTURA — conferir datas",IF(O290&lt;180,"EMPRESA ABERTA MENOS DE 6 MESES ANTES","")))</f>
        <v/>
      </c>
      <c r="Q290" s="31" t="str">
        <f aca="false">IF(D290="","",IFERROR(INDEX(Sancoes!$D:$D,MATCH(D290,Sancoes!$C:$C,0)),"não consta"))</f>
        <v/>
      </c>
      <c r="R290" s="25" t="str">
        <f aca="false">IF(OR(D290="",H290=""),"",IF(SUMPRODUCT((Sancoes!$C$5:$C$304=D290)*(Sancoes!$G$5:$G$304&lt;=H290)*(((Sancoes!$H$5:$H$304="")+(Sancoes!$H$5:$H$304&gt;=H290))&gt;0))&gt;0,"SANÇÃO VIGENTE NA DATA — ler tipo e abrangência",""))</f>
        <v/>
      </c>
      <c r="S290" s="24"/>
      <c r="T290" s="11"/>
    </row>
    <row r="291" customFormat="false" ht="15" hidden="false" customHeight="false" outlineLevel="0" collapsed="false">
      <c r="A291" s="11"/>
      <c r="B291" s="24"/>
      <c r="C291" s="24"/>
      <c r="D291" s="31" t="str">
        <f aca="false">IF(C291="","",IF(LEN(UPPER(SUBSTITUTE(SUBSTITUTE(SUBSTITUTE(SUBSTITUTE(TRIM(C291),".",""),"/",""),"-","")," ","")))&lt;14,RIGHT(REPT("0",14)&amp;UPPER(SUBSTITUTE(SUBSTITUTE(SUBSTITUTE(SUBSTITUTE(TRIM(C291),".",""),"/",""),"-","")," ","")),14),UPPER(SUBSTITUTE(SUBSTITUTE(SUBSTITUTE(SUBSTITUTE(TRIM(C291),".",""),"/",""),"-","")," ",""))))</f>
        <v/>
      </c>
      <c r="E291" s="25" t="str">
        <f aca="false">IF(D291="","",IFERROR(INDEX(Empresas!$C:$C,MATCH(D291,Empresas!$B:$B,0)),"cadastre o CNPJ em Empresas"))</f>
        <v/>
      </c>
      <c r="F291" s="11"/>
      <c r="G291" s="23"/>
      <c r="H291" s="22"/>
      <c r="I291" s="35"/>
      <c r="J291" s="35"/>
      <c r="K291" s="36" t="str">
        <f aca="false">IF(I291="","",I291+J291)</f>
        <v/>
      </c>
      <c r="L291" s="37" t="str">
        <f aca="false">IF(OR(I291="",I291=0,J291=""),"",J291/I291)</f>
        <v/>
      </c>
      <c r="M291" s="25" t="str">
        <f aca="false">IF(L291="","",IF(L291&gt;0.25,"ACRÉSCIMO ACIMA DE 25% — conferir",""))</f>
        <v/>
      </c>
      <c r="N291" s="29" t="str">
        <f aca="false">IF(D291="","",IF(COUNTIFS(Empresas!$B:$B,D291,Empresas!$E:$E,"&lt;&gt;")=0,"",INDEX(Empresas!$E:$E,MATCH(D291,Empresas!$B:$B,0))))</f>
        <v/>
      </c>
      <c r="O291" s="27" t="str">
        <f aca="false">IF(OR(N291="",H291=""),"",H291-N291)</f>
        <v/>
      </c>
      <c r="P291" s="25" t="str">
        <f aca="false">IF(O291="","",IF(O291&lt;0,"CONTRATO ANTERIOR À ABERTURA — conferir datas",IF(O291&lt;180,"EMPRESA ABERTA MENOS DE 6 MESES ANTES","")))</f>
        <v/>
      </c>
      <c r="Q291" s="31" t="str">
        <f aca="false">IF(D291="","",IFERROR(INDEX(Sancoes!$D:$D,MATCH(D291,Sancoes!$C:$C,0)),"não consta"))</f>
        <v/>
      </c>
      <c r="R291" s="25" t="str">
        <f aca="false">IF(OR(D291="",H291=""),"",IF(SUMPRODUCT((Sancoes!$C$5:$C$304=D291)*(Sancoes!$G$5:$G$304&lt;=H291)*(((Sancoes!$H$5:$H$304="")+(Sancoes!$H$5:$H$304&gt;=H291))&gt;0))&gt;0,"SANÇÃO VIGENTE NA DATA — ler tipo e abrangência",""))</f>
        <v/>
      </c>
      <c r="S291" s="24"/>
      <c r="T291" s="11"/>
    </row>
    <row r="292" customFormat="false" ht="15" hidden="false" customHeight="false" outlineLevel="0" collapsed="false">
      <c r="A292" s="11"/>
      <c r="B292" s="24"/>
      <c r="C292" s="24"/>
      <c r="D292" s="31" t="str">
        <f aca="false">IF(C292="","",IF(LEN(UPPER(SUBSTITUTE(SUBSTITUTE(SUBSTITUTE(SUBSTITUTE(TRIM(C292),".",""),"/",""),"-","")," ","")))&lt;14,RIGHT(REPT("0",14)&amp;UPPER(SUBSTITUTE(SUBSTITUTE(SUBSTITUTE(SUBSTITUTE(TRIM(C292),".",""),"/",""),"-","")," ","")),14),UPPER(SUBSTITUTE(SUBSTITUTE(SUBSTITUTE(SUBSTITUTE(TRIM(C292),".",""),"/",""),"-","")," ",""))))</f>
        <v/>
      </c>
      <c r="E292" s="25" t="str">
        <f aca="false">IF(D292="","",IFERROR(INDEX(Empresas!$C:$C,MATCH(D292,Empresas!$B:$B,0)),"cadastre o CNPJ em Empresas"))</f>
        <v/>
      </c>
      <c r="F292" s="11"/>
      <c r="G292" s="23"/>
      <c r="H292" s="22"/>
      <c r="I292" s="35"/>
      <c r="J292" s="35"/>
      <c r="K292" s="36" t="str">
        <f aca="false">IF(I292="","",I292+J292)</f>
        <v/>
      </c>
      <c r="L292" s="37" t="str">
        <f aca="false">IF(OR(I292="",I292=0,J292=""),"",J292/I292)</f>
        <v/>
      </c>
      <c r="M292" s="25" t="str">
        <f aca="false">IF(L292="","",IF(L292&gt;0.25,"ACRÉSCIMO ACIMA DE 25% — conferir",""))</f>
        <v/>
      </c>
      <c r="N292" s="29" t="str">
        <f aca="false">IF(D292="","",IF(COUNTIFS(Empresas!$B:$B,D292,Empresas!$E:$E,"&lt;&gt;")=0,"",INDEX(Empresas!$E:$E,MATCH(D292,Empresas!$B:$B,0))))</f>
        <v/>
      </c>
      <c r="O292" s="27" t="str">
        <f aca="false">IF(OR(N292="",H292=""),"",H292-N292)</f>
        <v/>
      </c>
      <c r="P292" s="25" t="str">
        <f aca="false">IF(O292="","",IF(O292&lt;0,"CONTRATO ANTERIOR À ABERTURA — conferir datas",IF(O292&lt;180,"EMPRESA ABERTA MENOS DE 6 MESES ANTES","")))</f>
        <v/>
      </c>
      <c r="Q292" s="31" t="str">
        <f aca="false">IF(D292="","",IFERROR(INDEX(Sancoes!$D:$D,MATCH(D292,Sancoes!$C:$C,0)),"não consta"))</f>
        <v/>
      </c>
      <c r="R292" s="25" t="str">
        <f aca="false">IF(OR(D292="",H292=""),"",IF(SUMPRODUCT((Sancoes!$C$5:$C$304=D292)*(Sancoes!$G$5:$G$304&lt;=H292)*(((Sancoes!$H$5:$H$304="")+(Sancoes!$H$5:$H$304&gt;=H292))&gt;0))&gt;0,"SANÇÃO VIGENTE NA DATA — ler tipo e abrangência",""))</f>
        <v/>
      </c>
      <c r="S292" s="24"/>
      <c r="T292" s="11"/>
    </row>
    <row r="293" customFormat="false" ht="15" hidden="false" customHeight="false" outlineLevel="0" collapsed="false">
      <c r="A293" s="11"/>
      <c r="B293" s="24"/>
      <c r="C293" s="24"/>
      <c r="D293" s="31" t="str">
        <f aca="false">IF(C293="","",IF(LEN(UPPER(SUBSTITUTE(SUBSTITUTE(SUBSTITUTE(SUBSTITUTE(TRIM(C293),".",""),"/",""),"-","")," ","")))&lt;14,RIGHT(REPT("0",14)&amp;UPPER(SUBSTITUTE(SUBSTITUTE(SUBSTITUTE(SUBSTITUTE(TRIM(C293),".",""),"/",""),"-","")," ","")),14),UPPER(SUBSTITUTE(SUBSTITUTE(SUBSTITUTE(SUBSTITUTE(TRIM(C293),".",""),"/",""),"-","")," ",""))))</f>
        <v/>
      </c>
      <c r="E293" s="25" t="str">
        <f aca="false">IF(D293="","",IFERROR(INDEX(Empresas!$C:$C,MATCH(D293,Empresas!$B:$B,0)),"cadastre o CNPJ em Empresas"))</f>
        <v/>
      </c>
      <c r="F293" s="11"/>
      <c r="G293" s="23"/>
      <c r="H293" s="22"/>
      <c r="I293" s="35"/>
      <c r="J293" s="35"/>
      <c r="K293" s="36" t="str">
        <f aca="false">IF(I293="","",I293+J293)</f>
        <v/>
      </c>
      <c r="L293" s="37" t="str">
        <f aca="false">IF(OR(I293="",I293=0,J293=""),"",J293/I293)</f>
        <v/>
      </c>
      <c r="M293" s="25" t="str">
        <f aca="false">IF(L293="","",IF(L293&gt;0.25,"ACRÉSCIMO ACIMA DE 25% — conferir",""))</f>
        <v/>
      </c>
      <c r="N293" s="29" t="str">
        <f aca="false">IF(D293="","",IF(COUNTIFS(Empresas!$B:$B,D293,Empresas!$E:$E,"&lt;&gt;")=0,"",INDEX(Empresas!$E:$E,MATCH(D293,Empresas!$B:$B,0))))</f>
        <v/>
      </c>
      <c r="O293" s="27" t="str">
        <f aca="false">IF(OR(N293="",H293=""),"",H293-N293)</f>
        <v/>
      </c>
      <c r="P293" s="25" t="str">
        <f aca="false">IF(O293="","",IF(O293&lt;0,"CONTRATO ANTERIOR À ABERTURA — conferir datas",IF(O293&lt;180,"EMPRESA ABERTA MENOS DE 6 MESES ANTES","")))</f>
        <v/>
      </c>
      <c r="Q293" s="31" t="str">
        <f aca="false">IF(D293="","",IFERROR(INDEX(Sancoes!$D:$D,MATCH(D293,Sancoes!$C:$C,0)),"não consta"))</f>
        <v/>
      </c>
      <c r="R293" s="25" t="str">
        <f aca="false">IF(OR(D293="",H293=""),"",IF(SUMPRODUCT((Sancoes!$C$5:$C$304=D293)*(Sancoes!$G$5:$G$304&lt;=H293)*(((Sancoes!$H$5:$H$304="")+(Sancoes!$H$5:$H$304&gt;=H293))&gt;0))&gt;0,"SANÇÃO VIGENTE NA DATA — ler tipo e abrangência",""))</f>
        <v/>
      </c>
      <c r="S293" s="24"/>
      <c r="T293" s="11"/>
    </row>
    <row r="294" customFormat="false" ht="15" hidden="false" customHeight="false" outlineLevel="0" collapsed="false">
      <c r="A294" s="11"/>
      <c r="B294" s="24"/>
      <c r="C294" s="24"/>
      <c r="D294" s="31" t="str">
        <f aca="false">IF(C294="","",IF(LEN(UPPER(SUBSTITUTE(SUBSTITUTE(SUBSTITUTE(SUBSTITUTE(TRIM(C294),".",""),"/",""),"-","")," ","")))&lt;14,RIGHT(REPT("0",14)&amp;UPPER(SUBSTITUTE(SUBSTITUTE(SUBSTITUTE(SUBSTITUTE(TRIM(C294),".",""),"/",""),"-","")," ","")),14),UPPER(SUBSTITUTE(SUBSTITUTE(SUBSTITUTE(SUBSTITUTE(TRIM(C294),".",""),"/",""),"-","")," ",""))))</f>
        <v/>
      </c>
      <c r="E294" s="25" t="str">
        <f aca="false">IF(D294="","",IFERROR(INDEX(Empresas!$C:$C,MATCH(D294,Empresas!$B:$B,0)),"cadastre o CNPJ em Empresas"))</f>
        <v/>
      </c>
      <c r="F294" s="11"/>
      <c r="G294" s="23"/>
      <c r="H294" s="22"/>
      <c r="I294" s="35"/>
      <c r="J294" s="35"/>
      <c r="K294" s="36" t="str">
        <f aca="false">IF(I294="","",I294+J294)</f>
        <v/>
      </c>
      <c r="L294" s="37" t="str">
        <f aca="false">IF(OR(I294="",I294=0,J294=""),"",J294/I294)</f>
        <v/>
      </c>
      <c r="M294" s="25" t="str">
        <f aca="false">IF(L294="","",IF(L294&gt;0.25,"ACRÉSCIMO ACIMA DE 25% — conferir",""))</f>
        <v/>
      </c>
      <c r="N294" s="29" t="str">
        <f aca="false">IF(D294="","",IF(COUNTIFS(Empresas!$B:$B,D294,Empresas!$E:$E,"&lt;&gt;")=0,"",INDEX(Empresas!$E:$E,MATCH(D294,Empresas!$B:$B,0))))</f>
        <v/>
      </c>
      <c r="O294" s="27" t="str">
        <f aca="false">IF(OR(N294="",H294=""),"",H294-N294)</f>
        <v/>
      </c>
      <c r="P294" s="25" t="str">
        <f aca="false">IF(O294="","",IF(O294&lt;0,"CONTRATO ANTERIOR À ABERTURA — conferir datas",IF(O294&lt;180,"EMPRESA ABERTA MENOS DE 6 MESES ANTES","")))</f>
        <v/>
      </c>
      <c r="Q294" s="31" t="str">
        <f aca="false">IF(D294="","",IFERROR(INDEX(Sancoes!$D:$D,MATCH(D294,Sancoes!$C:$C,0)),"não consta"))</f>
        <v/>
      </c>
      <c r="R294" s="25" t="str">
        <f aca="false">IF(OR(D294="",H294=""),"",IF(SUMPRODUCT((Sancoes!$C$5:$C$304=D294)*(Sancoes!$G$5:$G$304&lt;=H294)*(((Sancoes!$H$5:$H$304="")+(Sancoes!$H$5:$H$304&gt;=H294))&gt;0))&gt;0,"SANÇÃO VIGENTE NA DATA — ler tipo e abrangência",""))</f>
        <v/>
      </c>
      <c r="S294" s="24"/>
      <c r="T294" s="11"/>
    </row>
    <row r="295" customFormat="false" ht="15" hidden="false" customHeight="false" outlineLevel="0" collapsed="false">
      <c r="A295" s="11"/>
      <c r="B295" s="24"/>
      <c r="C295" s="24"/>
      <c r="D295" s="31" t="str">
        <f aca="false">IF(C295="","",IF(LEN(UPPER(SUBSTITUTE(SUBSTITUTE(SUBSTITUTE(SUBSTITUTE(TRIM(C295),".",""),"/",""),"-","")," ","")))&lt;14,RIGHT(REPT("0",14)&amp;UPPER(SUBSTITUTE(SUBSTITUTE(SUBSTITUTE(SUBSTITUTE(TRIM(C295),".",""),"/",""),"-","")," ","")),14),UPPER(SUBSTITUTE(SUBSTITUTE(SUBSTITUTE(SUBSTITUTE(TRIM(C295),".",""),"/",""),"-","")," ",""))))</f>
        <v/>
      </c>
      <c r="E295" s="25" t="str">
        <f aca="false">IF(D295="","",IFERROR(INDEX(Empresas!$C:$C,MATCH(D295,Empresas!$B:$B,0)),"cadastre o CNPJ em Empresas"))</f>
        <v/>
      </c>
      <c r="F295" s="11"/>
      <c r="G295" s="23"/>
      <c r="H295" s="22"/>
      <c r="I295" s="35"/>
      <c r="J295" s="35"/>
      <c r="K295" s="36" t="str">
        <f aca="false">IF(I295="","",I295+J295)</f>
        <v/>
      </c>
      <c r="L295" s="37" t="str">
        <f aca="false">IF(OR(I295="",I295=0,J295=""),"",J295/I295)</f>
        <v/>
      </c>
      <c r="M295" s="25" t="str">
        <f aca="false">IF(L295="","",IF(L295&gt;0.25,"ACRÉSCIMO ACIMA DE 25% — conferir",""))</f>
        <v/>
      </c>
      <c r="N295" s="29" t="str">
        <f aca="false">IF(D295="","",IF(COUNTIFS(Empresas!$B:$B,D295,Empresas!$E:$E,"&lt;&gt;")=0,"",INDEX(Empresas!$E:$E,MATCH(D295,Empresas!$B:$B,0))))</f>
        <v/>
      </c>
      <c r="O295" s="27" t="str">
        <f aca="false">IF(OR(N295="",H295=""),"",H295-N295)</f>
        <v/>
      </c>
      <c r="P295" s="25" t="str">
        <f aca="false">IF(O295="","",IF(O295&lt;0,"CONTRATO ANTERIOR À ABERTURA — conferir datas",IF(O295&lt;180,"EMPRESA ABERTA MENOS DE 6 MESES ANTES","")))</f>
        <v/>
      </c>
      <c r="Q295" s="31" t="str">
        <f aca="false">IF(D295="","",IFERROR(INDEX(Sancoes!$D:$D,MATCH(D295,Sancoes!$C:$C,0)),"não consta"))</f>
        <v/>
      </c>
      <c r="R295" s="25" t="str">
        <f aca="false">IF(OR(D295="",H295=""),"",IF(SUMPRODUCT((Sancoes!$C$5:$C$304=D295)*(Sancoes!$G$5:$G$304&lt;=H295)*(((Sancoes!$H$5:$H$304="")+(Sancoes!$H$5:$H$304&gt;=H295))&gt;0))&gt;0,"SANÇÃO VIGENTE NA DATA — ler tipo e abrangência",""))</f>
        <v/>
      </c>
      <c r="S295" s="24"/>
      <c r="T295" s="11"/>
    </row>
    <row r="296" customFormat="false" ht="15" hidden="false" customHeight="false" outlineLevel="0" collapsed="false">
      <c r="A296" s="11"/>
      <c r="B296" s="24"/>
      <c r="C296" s="24"/>
      <c r="D296" s="31" t="str">
        <f aca="false">IF(C296="","",IF(LEN(UPPER(SUBSTITUTE(SUBSTITUTE(SUBSTITUTE(SUBSTITUTE(TRIM(C296),".",""),"/",""),"-","")," ","")))&lt;14,RIGHT(REPT("0",14)&amp;UPPER(SUBSTITUTE(SUBSTITUTE(SUBSTITUTE(SUBSTITUTE(TRIM(C296),".",""),"/",""),"-","")," ","")),14),UPPER(SUBSTITUTE(SUBSTITUTE(SUBSTITUTE(SUBSTITUTE(TRIM(C296),".",""),"/",""),"-","")," ",""))))</f>
        <v/>
      </c>
      <c r="E296" s="25" t="str">
        <f aca="false">IF(D296="","",IFERROR(INDEX(Empresas!$C:$C,MATCH(D296,Empresas!$B:$B,0)),"cadastre o CNPJ em Empresas"))</f>
        <v/>
      </c>
      <c r="F296" s="11"/>
      <c r="G296" s="23"/>
      <c r="H296" s="22"/>
      <c r="I296" s="35"/>
      <c r="J296" s="35"/>
      <c r="K296" s="36" t="str">
        <f aca="false">IF(I296="","",I296+J296)</f>
        <v/>
      </c>
      <c r="L296" s="37" t="str">
        <f aca="false">IF(OR(I296="",I296=0,J296=""),"",J296/I296)</f>
        <v/>
      </c>
      <c r="M296" s="25" t="str">
        <f aca="false">IF(L296="","",IF(L296&gt;0.25,"ACRÉSCIMO ACIMA DE 25% — conferir",""))</f>
        <v/>
      </c>
      <c r="N296" s="29" t="str">
        <f aca="false">IF(D296="","",IF(COUNTIFS(Empresas!$B:$B,D296,Empresas!$E:$E,"&lt;&gt;")=0,"",INDEX(Empresas!$E:$E,MATCH(D296,Empresas!$B:$B,0))))</f>
        <v/>
      </c>
      <c r="O296" s="27" t="str">
        <f aca="false">IF(OR(N296="",H296=""),"",H296-N296)</f>
        <v/>
      </c>
      <c r="P296" s="25" t="str">
        <f aca="false">IF(O296="","",IF(O296&lt;0,"CONTRATO ANTERIOR À ABERTURA — conferir datas",IF(O296&lt;180,"EMPRESA ABERTA MENOS DE 6 MESES ANTES","")))</f>
        <v/>
      </c>
      <c r="Q296" s="31" t="str">
        <f aca="false">IF(D296="","",IFERROR(INDEX(Sancoes!$D:$D,MATCH(D296,Sancoes!$C:$C,0)),"não consta"))</f>
        <v/>
      </c>
      <c r="R296" s="25" t="str">
        <f aca="false">IF(OR(D296="",H296=""),"",IF(SUMPRODUCT((Sancoes!$C$5:$C$304=D296)*(Sancoes!$G$5:$G$304&lt;=H296)*(((Sancoes!$H$5:$H$304="")+(Sancoes!$H$5:$H$304&gt;=H296))&gt;0))&gt;0,"SANÇÃO VIGENTE NA DATA — ler tipo e abrangência",""))</f>
        <v/>
      </c>
      <c r="S296" s="24"/>
      <c r="T296" s="11"/>
    </row>
    <row r="297" customFormat="false" ht="15" hidden="false" customHeight="false" outlineLevel="0" collapsed="false">
      <c r="A297" s="11"/>
      <c r="B297" s="24"/>
      <c r="C297" s="24"/>
      <c r="D297" s="31" t="str">
        <f aca="false">IF(C297="","",IF(LEN(UPPER(SUBSTITUTE(SUBSTITUTE(SUBSTITUTE(SUBSTITUTE(TRIM(C297),".",""),"/",""),"-","")," ","")))&lt;14,RIGHT(REPT("0",14)&amp;UPPER(SUBSTITUTE(SUBSTITUTE(SUBSTITUTE(SUBSTITUTE(TRIM(C297),".",""),"/",""),"-","")," ","")),14),UPPER(SUBSTITUTE(SUBSTITUTE(SUBSTITUTE(SUBSTITUTE(TRIM(C297),".",""),"/",""),"-","")," ",""))))</f>
        <v/>
      </c>
      <c r="E297" s="25" t="str">
        <f aca="false">IF(D297="","",IFERROR(INDEX(Empresas!$C:$C,MATCH(D297,Empresas!$B:$B,0)),"cadastre o CNPJ em Empresas"))</f>
        <v/>
      </c>
      <c r="F297" s="11"/>
      <c r="G297" s="23"/>
      <c r="H297" s="22"/>
      <c r="I297" s="35"/>
      <c r="J297" s="35"/>
      <c r="K297" s="36" t="str">
        <f aca="false">IF(I297="","",I297+J297)</f>
        <v/>
      </c>
      <c r="L297" s="37" t="str">
        <f aca="false">IF(OR(I297="",I297=0,J297=""),"",J297/I297)</f>
        <v/>
      </c>
      <c r="M297" s="25" t="str">
        <f aca="false">IF(L297="","",IF(L297&gt;0.25,"ACRÉSCIMO ACIMA DE 25% — conferir",""))</f>
        <v/>
      </c>
      <c r="N297" s="29" t="str">
        <f aca="false">IF(D297="","",IF(COUNTIFS(Empresas!$B:$B,D297,Empresas!$E:$E,"&lt;&gt;")=0,"",INDEX(Empresas!$E:$E,MATCH(D297,Empresas!$B:$B,0))))</f>
        <v/>
      </c>
      <c r="O297" s="27" t="str">
        <f aca="false">IF(OR(N297="",H297=""),"",H297-N297)</f>
        <v/>
      </c>
      <c r="P297" s="25" t="str">
        <f aca="false">IF(O297="","",IF(O297&lt;0,"CONTRATO ANTERIOR À ABERTURA — conferir datas",IF(O297&lt;180,"EMPRESA ABERTA MENOS DE 6 MESES ANTES","")))</f>
        <v/>
      </c>
      <c r="Q297" s="31" t="str">
        <f aca="false">IF(D297="","",IFERROR(INDEX(Sancoes!$D:$D,MATCH(D297,Sancoes!$C:$C,0)),"não consta"))</f>
        <v/>
      </c>
      <c r="R297" s="25" t="str">
        <f aca="false">IF(OR(D297="",H297=""),"",IF(SUMPRODUCT((Sancoes!$C$5:$C$304=D297)*(Sancoes!$G$5:$G$304&lt;=H297)*(((Sancoes!$H$5:$H$304="")+(Sancoes!$H$5:$H$304&gt;=H297))&gt;0))&gt;0,"SANÇÃO VIGENTE NA DATA — ler tipo e abrangência",""))</f>
        <v/>
      </c>
      <c r="S297" s="24"/>
      <c r="T297" s="11"/>
    </row>
    <row r="298" customFormat="false" ht="15" hidden="false" customHeight="false" outlineLevel="0" collapsed="false">
      <c r="A298" s="11"/>
      <c r="B298" s="24"/>
      <c r="C298" s="24"/>
      <c r="D298" s="31" t="str">
        <f aca="false">IF(C298="","",IF(LEN(UPPER(SUBSTITUTE(SUBSTITUTE(SUBSTITUTE(SUBSTITUTE(TRIM(C298),".",""),"/",""),"-","")," ","")))&lt;14,RIGHT(REPT("0",14)&amp;UPPER(SUBSTITUTE(SUBSTITUTE(SUBSTITUTE(SUBSTITUTE(TRIM(C298),".",""),"/",""),"-","")," ","")),14),UPPER(SUBSTITUTE(SUBSTITUTE(SUBSTITUTE(SUBSTITUTE(TRIM(C298),".",""),"/",""),"-","")," ",""))))</f>
        <v/>
      </c>
      <c r="E298" s="25" t="str">
        <f aca="false">IF(D298="","",IFERROR(INDEX(Empresas!$C:$C,MATCH(D298,Empresas!$B:$B,0)),"cadastre o CNPJ em Empresas"))</f>
        <v/>
      </c>
      <c r="F298" s="11"/>
      <c r="G298" s="23"/>
      <c r="H298" s="22"/>
      <c r="I298" s="35"/>
      <c r="J298" s="35"/>
      <c r="K298" s="36" t="str">
        <f aca="false">IF(I298="","",I298+J298)</f>
        <v/>
      </c>
      <c r="L298" s="37" t="str">
        <f aca="false">IF(OR(I298="",I298=0,J298=""),"",J298/I298)</f>
        <v/>
      </c>
      <c r="M298" s="25" t="str">
        <f aca="false">IF(L298="","",IF(L298&gt;0.25,"ACRÉSCIMO ACIMA DE 25% — conferir",""))</f>
        <v/>
      </c>
      <c r="N298" s="29" t="str">
        <f aca="false">IF(D298="","",IF(COUNTIFS(Empresas!$B:$B,D298,Empresas!$E:$E,"&lt;&gt;")=0,"",INDEX(Empresas!$E:$E,MATCH(D298,Empresas!$B:$B,0))))</f>
        <v/>
      </c>
      <c r="O298" s="27" t="str">
        <f aca="false">IF(OR(N298="",H298=""),"",H298-N298)</f>
        <v/>
      </c>
      <c r="P298" s="25" t="str">
        <f aca="false">IF(O298="","",IF(O298&lt;0,"CONTRATO ANTERIOR À ABERTURA — conferir datas",IF(O298&lt;180,"EMPRESA ABERTA MENOS DE 6 MESES ANTES","")))</f>
        <v/>
      </c>
      <c r="Q298" s="31" t="str">
        <f aca="false">IF(D298="","",IFERROR(INDEX(Sancoes!$D:$D,MATCH(D298,Sancoes!$C:$C,0)),"não consta"))</f>
        <v/>
      </c>
      <c r="R298" s="25" t="str">
        <f aca="false">IF(OR(D298="",H298=""),"",IF(SUMPRODUCT((Sancoes!$C$5:$C$304=D298)*(Sancoes!$G$5:$G$304&lt;=H298)*(((Sancoes!$H$5:$H$304="")+(Sancoes!$H$5:$H$304&gt;=H298))&gt;0))&gt;0,"SANÇÃO VIGENTE NA DATA — ler tipo e abrangência",""))</f>
        <v/>
      </c>
      <c r="S298" s="24"/>
      <c r="T298" s="11"/>
    </row>
    <row r="299" customFormat="false" ht="15" hidden="false" customHeight="false" outlineLevel="0" collapsed="false">
      <c r="A299" s="11"/>
      <c r="B299" s="24"/>
      <c r="C299" s="24"/>
      <c r="D299" s="31" t="str">
        <f aca="false">IF(C299="","",IF(LEN(UPPER(SUBSTITUTE(SUBSTITUTE(SUBSTITUTE(SUBSTITUTE(TRIM(C299),".",""),"/",""),"-","")," ","")))&lt;14,RIGHT(REPT("0",14)&amp;UPPER(SUBSTITUTE(SUBSTITUTE(SUBSTITUTE(SUBSTITUTE(TRIM(C299),".",""),"/",""),"-","")," ","")),14),UPPER(SUBSTITUTE(SUBSTITUTE(SUBSTITUTE(SUBSTITUTE(TRIM(C299),".",""),"/",""),"-","")," ",""))))</f>
        <v/>
      </c>
      <c r="E299" s="25" t="str">
        <f aca="false">IF(D299="","",IFERROR(INDEX(Empresas!$C:$C,MATCH(D299,Empresas!$B:$B,0)),"cadastre o CNPJ em Empresas"))</f>
        <v/>
      </c>
      <c r="F299" s="11"/>
      <c r="G299" s="23"/>
      <c r="H299" s="22"/>
      <c r="I299" s="35"/>
      <c r="J299" s="35"/>
      <c r="K299" s="36" t="str">
        <f aca="false">IF(I299="","",I299+J299)</f>
        <v/>
      </c>
      <c r="L299" s="37" t="str">
        <f aca="false">IF(OR(I299="",I299=0,J299=""),"",J299/I299)</f>
        <v/>
      </c>
      <c r="M299" s="25" t="str">
        <f aca="false">IF(L299="","",IF(L299&gt;0.25,"ACRÉSCIMO ACIMA DE 25% — conferir",""))</f>
        <v/>
      </c>
      <c r="N299" s="29" t="str">
        <f aca="false">IF(D299="","",IF(COUNTIFS(Empresas!$B:$B,D299,Empresas!$E:$E,"&lt;&gt;")=0,"",INDEX(Empresas!$E:$E,MATCH(D299,Empresas!$B:$B,0))))</f>
        <v/>
      </c>
      <c r="O299" s="27" t="str">
        <f aca="false">IF(OR(N299="",H299=""),"",H299-N299)</f>
        <v/>
      </c>
      <c r="P299" s="25" t="str">
        <f aca="false">IF(O299="","",IF(O299&lt;0,"CONTRATO ANTERIOR À ABERTURA — conferir datas",IF(O299&lt;180,"EMPRESA ABERTA MENOS DE 6 MESES ANTES","")))</f>
        <v/>
      </c>
      <c r="Q299" s="31" t="str">
        <f aca="false">IF(D299="","",IFERROR(INDEX(Sancoes!$D:$D,MATCH(D299,Sancoes!$C:$C,0)),"não consta"))</f>
        <v/>
      </c>
      <c r="R299" s="25" t="str">
        <f aca="false">IF(OR(D299="",H299=""),"",IF(SUMPRODUCT((Sancoes!$C$5:$C$304=D299)*(Sancoes!$G$5:$G$304&lt;=H299)*(((Sancoes!$H$5:$H$304="")+(Sancoes!$H$5:$H$304&gt;=H299))&gt;0))&gt;0,"SANÇÃO VIGENTE NA DATA — ler tipo e abrangência",""))</f>
        <v/>
      </c>
      <c r="S299" s="24"/>
      <c r="T299" s="11"/>
    </row>
    <row r="300" customFormat="false" ht="15" hidden="false" customHeight="false" outlineLevel="0" collapsed="false">
      <c r="A300" s="11"/>
      <c r="B300" s="24"/>
      <c r="C300" s="24"/>
      <c r="D300" s="31" t="str">
        <f aca="false">IF(C300="","",IF(LEN(UPPER(SUBSTITUTE(SUBSTITUTE(SUBSTITUTE(SUBSTITUTE(TRIM(C300),".",""),"/",""),"-","")," ","")))&lt;14,RIGHT(REPT("0",14)&amp;UPPER(SUBSTITUTE(SUBSTITUTE(SUBSTITUTE(SUBSTITUTE(TRIM(C300),".",""),"/",""),"-","")," ","")),14),UPPER(SUBSTITUTE(SUBSTITUTE(SUBSTITUTE(SUBSTITUTE(TRIM(C300),".",""),"/",""),"-","")," ",""))))</f>
        <v/>
      </c>
      <c r="E300" s="25" t="str">
        <f aca="false">IF(D300="","",IFERROR(INDEX(Empresas!$C:$C,MATCH(D300,Empresas!$B:$B,0)),"cadastre o CNPJ em Empresas"))</f>
        <v/>
      </c>
      <c r="F300" s="11"/>
      <c r="G300" s="23"/>
      <c r="H300" s="22"/>
      <c r="I300" s="35"/>
      <c r="J300" s="35"/>
      <c r="K300" s="36" t="str">
        <f aca="false">IF(I300="","",I300+J300)</f>
        <v/>
      </c>
      <c r="L300" s="37" t="str">
        <f aca="false">IF(OR(I300="",I300=0,J300=""),"",J300/I300)</f>
        <v/>
      </c>
      <c r="M300" s="25" t="str">
        <f aca="false">IF(L300="","",IF(L300&gt;0.25,"ACRÉSCIMO ACIMA DE 25% — conferir",""))</f>
        <v/>
      </c>
      <c r="N300" s="29" t="str">
        <f aca="false">IF(D300="","",IF(COUNTIFS(Empresas!$B:$B,D300,Empresas!$E:$E,"&lt;&gt;")=0,"",INDEX(Empresas!$E:$E,MATCH(D300,Empresas!$B:$B,0))))</f>
        <v/>
      </c>
      <c r="O300" s="27" t="str">
        <f aca="false">IF(OR(N300="",H300=""),"",H300-N300)</f>
        <v/>
      </c>
      <c r="P300" s="25" t="str">
        <f aca="false">IF(O300="","",IF(O300&lt;0,"CONTRATO ANTERIOR À ABERTURA — conferir datas",IF(O300&lt;180,"EMPRESA ABERTA MENOS DE 6 MESES ANTES","")))</f>
        <v/>
      </c>
      <c r="Q300" s="31" t="str">
        <f aca="false">IF(D300="","",IFERROR(INDEX(Sancoes!$D:$D,MATCH(D300,Sancoes!$C:$C,0)),"não consta"))</f>
        <v/>
      </c>
      <c r="R300" s="25" t="str">
        <f aca="false">IF(OR(D300="",H300=""),"",IF(SUMPRODUCT((Sancoes!$C$5:$C$304=D300)*(Sancoes!$G$5:$G$304&lt;=H300)*(((Sancoes!$H$5:$H$304="")+(Sancoes!$H$5:$H$304&gt;=H300))&gt;0))&gt;0,"SANÇÃO VIGENTE NA DATA — ler tipo e abrangência",""))</f>
        <v/>
      </c>
      <c r="S300" s="24"/>
      <c r="T300" s="11"/>
    </row>
    <row r="301" customFormat="false" ht="15" hidden="false" customHeight="false" outlineLevel="0" collapsed="false">
      <c r="A301" s="11"/>
      <c r="B301" s="24"/>
      <c r="C301" s="24"/>
      <c r="D301" s="31" t="str">
        <f aca="false">IF(C301="","",IF(LEN(UPPER(SUBSTITUTE(SUBSTITUTE(SUBSTITUTE(SUBSTITUTE(TRIM(C301),".",""),"/",""),"-","")," ","")))&lt;14,RIGHT(REPT("0",14)&amp;UPPER(SUBSTITUTE(SUBSTITUTE(SUBSTITUTE(SUBSTITUTE(TRIM(C301),".",""),"/",""),"-","")," ","")),14),UPPER(SUBSTITUTE(SUBSTITUTE(SUBSTITUTE(SUBSTITUTE(TRIM(C301),".",""),"/",""),"-","")," ",""))))</f>
        <v/>
      </c>
      <c r="E301" s="25" t="str">
        <f aca="false">IF(D301="","",IFERROR(INDEX(Empresas!$C:$C,MATCH(D301,Empresas!$B:$B,0)),"cadastre o CNPJ em Empresas"))</f>
        <v/>
      </c>
      <c r="F301" s="11"/>
      <c r="G301" s="23"/>
      <c r="H301" s="22"/>
      <c r="I301" s="35"/>
      <c r="J301" s="35"/>
      <c r="K301" s="36" t="str">
        <f aca="false">IF(I301="","",I301+J301)</f>
        <v/>
      </c>
      <c r="L301" s="37" t="str">
        <f aca="false">IF(OR(I301="",I301=0,J301=""),"",J301/I301)</f>
        <v/>
      </c>
      <c r="M301" s="25" t="str">
        <f aca="false">IF(L301="","",IF(L301&gt;0.25,"ACRÉSCIMO ACIMA DE 25% — conferir",""))</f>
        <v/>
      </c>
      <c r="N301" s="29" t="str">
        <f aca="false">IF(D301="","",IF(COUNTIFS(Empresas!$B:$B,D301,Empresas!$E:$E,"&lt;&gt;")=0,"",INDEX(Empresas!$E:$E,MATCH(D301,Empresas!$B:$B,0))))</f>
        <v/>
      </c>
      <c r="O301" s="27" t="str">
        <f aca="false">IF(OR(N301="",H301=""),"",H301-N301)</f>
        <v/>
      </c>
      <c r="P301" s="25" t="str">
        <f aca="false">IF(O301="","",IF(O301&lt;0,"CONTRATO ANTERIOR À ABERTURA — conferir datas",IF(O301&lt;180,"EMPRESA ABERTA MENOS DE 6 MESES ANTES","")))</f>
        <v/>
      </c>
      <c r="Q301" s="31" t="str">
        <f aca="false">IF(D301="","",IFERROR(INDEX(Sancoes!$D:$D,MATCH(D301,Sancoes!$C:$C,0)),"não consta"))</f>
        <v/>
      </c>
      <c r="R301" s="25" t="str">
        <f aca="false">IF(OR(D301="",H301=""),"",IF(SUMPRODUCT((Sancoes!$C$5:$C$304=D301)*(Sancoes!$G$5:$G$304&lt;=H301)*(((Sancoes!$H$5:$H$304="")+(Sancoes!$H$5:$H$304&gt;=H301))&gt;0))&gt;0,"SANÇÃO VIGENTE NA DATA — ler tipo e abrangência",""))</f>
        <v/>
      </c>
      <c r="S301" s="24"/>
      <c r="T301" s="11"/>
    </row>
    <row r="302" customFormat="false" ht="15" hidden="false" customHeight="false" outlineLevel="0" collapsed="false">
      <c r="A302" s="11"/>
      <c r="B302" s="24"/>
      <c r="C302" s="24"/>
      <c r="D302" s="31" t="str">
        <f aca="false">IF(C302="","",IF(LEN(UPPER(SUBSTITUTE(SUBSTITUTE(SUBSTITUTE(SUBSTITUTE(TRIM(C302),".",""),"/",""),"-","")," ","")))&lt;14,RIGHT(REPT("0",14)&amp;UPPER(SUBSTITUTE(SUBSTITUTE(SUBSTITUTE(SUBSTITUTE(TRIM(C302),".",""),"/",""),"-","")," ","")),14),UPPER(SUBSTITUTE(SUBSTITUTE(SUBSTITUTE(SUBSTITUTE(TRIM(C302),".",""),"/",""),"-","")," ",""))))</f>
        <v/>
      </c>
      <c r="E302" s="25" t="str">
        <f aca="false">IF(D302="","",IFERROR(INDEX(Empresas!$C:$C,MATCH(D302,Empresas!$B:$B,0)),"cadastre o CNPJ em Empresas"))</f>
        <v/>
      </c>
      <c r="F302" s="11"/>
      <c r="G302" s="23"/>
      <c r="H302" s="22"/>
      <c r="I302" s="35"/>
      <c r="J302" s="35"/>
      <c r="K302" s="36" t="str">
        <f aca="false">IF(I302="","",I302+J302)</f>
        <v/>
      </c>
      <c r="L302" s="37" t="str">
        <f aca="false">IF(OR(I302="",I302=0,J302=""),"",J302/I302)</f>
        <v/>
      </c>
      <c r="M302" s="25" t="str">
        <f aca="false">IF(L302="","",IF(L302&gt;0.25,"ACRÉSCIMO ACIMA DE 25% — conferir",""))</f>
        <v/>
      </c>
      <c r="N302" s="29" t="str">
        <f aca="false">IF(D302="","",IF(COUNTIFS(Empresas!$B:$B,D302,Empresas!$E:$E,"&lt;&gt;")=0,"",INDEX(Empresas!$E:$E,MATCH(D302,Empresas!$B:$B,0))))</f>
        <v/>
      </c>
      <c r="O302" s="27" t="str">
        <f aca="false">IF(OR(N302="",H302=""),"",H302-N302)</f>
        <v/>
      </c>
      <c r="P302" s="25" t="str">
        <f aca="false">IF(O302="","",IF(O302&lt;0,"CONTRATO ANTERIOR À ABERTURA — conferir datas",IF(O302&lt;180,"EMPRESA ABERTA MENOS DE 6 MESES ANTES","")))</f>
        <v/>
      </c>
      <c r="Q302" s="31" t="str">
        <f aca="false">IF(D302="","",IFERROR(INDEX(Sancoes!$D:$D,MATCH(D302,Sancoes!$C:$C,0)),"não consta"))</f>
        <v/>
      </c>
      <c r="R302" s="25" t="str">
        <f aca="false">IF(OR(D302="",H302=""),"",IF(SUMPRODUCT((Sancoes!$C$5:$C$304=D302)*(Sancoes!$G$5:$G$304&lt;=H302)*(((Sancoes!$H$5:$H$304="")+(Sancoes!$H$5:$H$304&gt;=H302))&gt;0))&gt;0,"SANÇÃO VIGENTE NA DATA — ler tipo e abrangência",""))</f>
        <v/>
      </c>
      <c r="S302" s="24"/>
      <c r="T302" s="11"/>
    </row>
    <row r="303" customFormat="false" ht="15" hidden="false" customHeight="false" outlineLevel="0" collapsed="false">
      <c r="A303" s="11"/>
      <c r="B303" s="24"/>
      <c r="C303" s="24"/>
      <c r="D303" s="31" t="str">
        <f aca="false">IF(C303="","",IF(LEN(UPPER(SUBSTITUTE(SUBSTITUTE(SUBSTITUTE(SUBSTITUTE(TRIM(C303),".",""),"/",""),"-","")," ","")))&lt;14,RIGHT(REPT("0",14)&amp;UPPER(SUBSTITUTE(SUBSTITUTE(SUBSTITUTE(SUBSTITUTE(TRIM(C303),".",""),"/",""),"-","")," ","")),14),UPPER(SUBSTITUTE(SUBSTITUTE(SUBSTITUTE(SUBSTITUTE(TRIM(C303),".",""),"/",""),"-","")," ",""))))</f>
        <v/>
      </c>
      <c r="E303" s="25" t="str">
        <f aca="false">IF(D303="","",IFERROR(INDEX(Empresas!$C:$C,MATCH(D303,Empresas!$B:$B,0)),"cadastre o CNPJ em Empresas"))</f>
        <v/>
      </c>
      <c r="F303" s="11"/>
      <c r="G303" s="23"/>
      <c r="H303" s="22"/>
      <c r="I303" s="35"/>
      <c r="J303" s="35"/>
      <c r="K303" s="36" t="str">
        <f aca="false">IF(I303="","",I303+J303)</f>
        <v/>
      </c>
      <c r="L303" s="37" t="str">
        <f aca="false">IF(OR(I303="",I303=0,J303=""),"",J303/I303)</f>
        <v/>
      </c>
      <c r="M303" s="25" t="str">
        <f aca="false">IF(L303="","",IF(L303&gt;0.25,"ACRÉSCIMO ACIMA DE 25% — conferir",""))</f>
        <v/>
      </c>
      <c r="N303" s="29" t="str">
        <f aca="false">IF(D303="","",IF(COUNTIFS(Empresas!$B:$B,D303,Empresas!$E:$E,"&lt;&gt;")=0,"",INDEX(Empresas!$E:$E,MATCH(D303,Empresas!$B:$B,0))))</f>
        <v/>
      </c>
      <c r="O303" s="27" t="str">
        <f aca="false">IF(OR(N303="",H303=""),"",H303-N303)</f>
        <v/>
      </c>
      <c r="P303" s="25" t="str">
        <f aca="false">IF(O303="","",IF(O303&lt;0,"CONTRATO ANTERIOR À ABERTURA — conferir datas",IF(O303&lt;180,"EMPRESA ABERTA MENOS DE 6 MESES ANTES","")))</f>
        <v/>
      </c>
      <c r="Q303" s="31" t="str">
        <f aca="false">IF(D303="","",IFERROR(INDEX(Sancoes!$D:$D,MATCH(D303,Sancoes!$C:$C,0)),"não consta"))</f>
        <v/>
      </c>
      <c r="R303" s="25" t="str">
        <f aca="false">IF(OR(D303="",H303=""),"",IF(SUMPRODUCT((Sancoes!$C$5:$C$304=D303)*(Sancoes!$G$5:$G$304&lt;=H303)*(((Sancoes!$H$5:$H$304="")+(Sancoes!$H$5:$H$304&gt;=H303))&gt;0))&gt;0,"SANÇÃO VIGENTE NA DATA — ler tipo e abrangência",""))</f>
        <v/>
      </c>
      <c r="S303" s="24"/>
      <c r="T303" s="11"/>
    </row>
    <row r="304" customFormat="false" ht="15" hidden="false" customHeight="false" outlineLevel="0" collapsed="false">
      <c r="A304" s="11"/>
      <c r="B304" s="24"/>
      <c r="C304" s="24"/>
      <c r="D304" s="31" t="str">
        <f aca="false">IF(C304="","",IF(LEN(UPPER(SUBSTITUTE(SUBSTITUTE(SUBSTITUTE(SUBSTITUTE(TRIM(C304),".",""),"/",""),"-","")," ","")))&lt;14,RIGHT(REPT("0",14)&amp;UPPER(SUBSTITUTE(SUBSTITUTE(SUBSTITUTE(SUBSTITUTE(TRIM(C304),".",""),"/",""),"-","")," ","")),14),UPPER(SUBSTITUTE(SUBSTITUTE(SUBSTITUTE(SUBSTITUTE(TRIM(C304),".",""),"/",""),"-","")," ",""))))</f>
        <v/>
      </c>
      <c r="E304" s="25" t="str">
        <f aca="false">IF(D304="","",IFERROR(INDEX(Empresas!$C:$C,MATCH(D304,Empresas!$B:$B,0)),"cadastre o CNPJ em Empresas"))</f>
        <v/>
      </c>
      <c r="F304" s="11"/>
      <c r="G304" s="23"/>
      <c r="H304" s="22"/>
      <c r="I304" s="35"/>
      <c r="J304" s="35"/>
      <c r="K304" s="36" t="str">
        <f aca="false">IF(I304="","",I304+J304)</f>
        <v/>
      </c>
      <c r="L304" s="37" t="str">
        <f aca="false">IF(OR(I304="",I304=0,J304=""),"",J304/I304)</f>
        <v/>
      </c>
      <c r="M304" s="25" t="str">
        <f aca="false">IF(L304="","",IF(L304&gt;0.25,"ACRÉSCIMO ACIMA DE 25% — conferir",""))</f>
        <v/>
      </c>
      <c r="N304" s="29" t="str">
        <f aca="false">IF(D304="","",IF(COUNTIFS(Empresas!$B:$B,D304,Empresas!$E:$E,"&lt;&gt;")=0,"",INDEX(Empresas!$E:$E,MATCH(D304,Empresas!$B:$B,0))))</f>
        <v/>
      </c>
      <c r="O304" s="27" t="str">
        <f aca="false">IF(OR(N304="",H304=""),"",H304-N304)</f>
        <v/>
      </c>
      <c r="P304" s="25" t="str">
        <f aca="false">IF(O304="","",IF(O304&lt;0,"CONTRATO ANTERIOR À ABERTURA — conferir datas",IF(O304&lt;180,"EMPRESA ABERTA MENOS DE 6 MESES ANTES","")))</f>
        <v/>
      </c>
      <c r="Q304" s="31" t="str">
        <f aca="false">IF(D304="","",IFERROR(INDEX(Sancoes!$D:$D,MATCH(D304,Sancoes!$C:$C,0)),"não consta"))</f>
        <v/>
      </c>
      <c r="R304" s="25" t="str">
        <f aca="false">IF(OR(D304="",H304=""),"",IF(SUMPRODUCT((Sancoes!$C$5:$C$304=D304)*(Sancoes!$G$5:$G$304&lt;=H304)*(((Sancoes!$H$5:$H$304="")+(Sancoes!$H$5:$H$304&gt;=H304))&gt;0))&gt;0,"SANÇÃO VIGENTE NA DATA — ler tipo e abrangência",""))</f>
        <v/>
      </c>
      <c r="S304" s="24"/>
      <c r="T304" s="11"/>
    </row>
    <row r="305" customFormat="false" ht="15" hidden="false" customHeight="false" outlineLevel="0" collapsed="false">
      <c r="A305" s="11"/>
      <c r="B305" s="24"/>
      <c r="C305" s="24"/>
      <c r="D305" s="31" t="str">
        <f aca="false">IF(C305="","",IF(LEN(UPPER(SUBSTITUTE(SUBSTITUTE(SUBSTITUTE(SUBSTITUTE(TRIM(C305),".",""),"/",""),"-","")," ","")))&lt;14,RIGHT(REPT("0",14)&amp;UPPER(SUBSTITUTE(SUBSTITUTE(SUBSTITUTE(SUBSTITUTE(TRIM(C305),".",""),"/",""),"-","")," ","")),14),UPPER(SUBSTITUTE(SUBSTITUTE(SUBSTITUTE(SUBSTITUTE(TRIM(C305),".",""),"/",""),"-","")," ",""))))</f>
        <v/>
      </c>
      <c r="E305" s="25" t="str">
        <f aca="false">IF(D305="","",IFERROR(INDEX(Empresas!$C:$C,MATCH(D305,Empresas!$B:$B,0)),"cadastre o CNPJ em Empresas"))</f>
        <v/>
      </c>
      <c r="F305" s="11"/>
      <c r="G305" s="23"/>
      <c r="H305" s="22"/>
      <c r="I305" s="35"/>
      <c r="J305" s="35"/>
      <c r="K305" s="36" t="str">
        <f aca="false">IF(I305="","",I305+J305)</f>
        <v/>
      </c>
      <c r="L305" s="37" t="str">
        <f aca="false">IF(OR(I305="",I305=0,J305=""),"",J305/I305)</f>
        <v/>
      </c>
      <c r="M305" s="25" t="str">
        <f aca="false">IF(L305="","",IF(L305&gt;0.25,"ACRÉSCIMO ACIMA DE 25% — conferir",""))</f>
        <v/>
      </c>
      <c r="N305" s="29" t="str">
        <f aca="false">IF(D305="","",IF(COUNTIFS(Empresas!$B:$B,D305,Empresas!$E:$E,"&lt;&gt;")=0,"",INDEX(Empresas!$E:$E,MATCH(D305,Empresas!$B:$B,0))))</f>
        <v/>
      </c>
      <c r="O305" s="27" t="str">
        <f aca="false">IF(OR(N305="",H305=""),"",H305-N305)</f>
        <v/>
      </c>
      <c r="P305" s="25" t="str">
        <f aca="false">IF(O305="","",IF(O305&lt;0,"CONTRATO ANTERIOR À ABERTURA — conferir datas",IF(O305&lt;180,"EMPRESA ABERTA MENOS DE 6 MESES ANTES","")))</f>
        <v/>
      </c>
      <c r="Q305" s="31" t="str">
        <f aca="false">IF(D305="","",IFERROR(INDEX(Sancoes!$D:$D,MATCH(D305,Sancoes!$C:$C,0)),"não consta"))</f>
        <v/>
      </c>
      <c r="R305" s="25" t="str">
        <f aca="false">IF(OR(D305="",H305=""),"",IF(SUMPRODUCT((Sancoes!$C$5:$C$304=D305)*(Sancoes!$G$5:$G$304&lt;=H305)*(((Sancoes!$H$5:$H$304="")+(Sancoes!$H$5:$H$304&gt;=H305))&gt;0))&gt;0,"SANÇÃO VIGENTE NA DATA — ler tipo e abrangência",""))</f>
        <v/>
      </c>
      <c r="S305" s="24"/>
      <c r="T305" s="11"/>
    </row>
    <row r="306" customFormat="false" ht="15" hidden="false" customHeight="false" outlineLevel="0" collapsed="false">
      <c r="A306" s="11"/>
      <c r="B306" s="24"/>
      <c r="C306" s="24"/>
      <c r="D306" s="31" t="str">
        <f aca="false">IF(C306="","",IF(LEN(UPPER(SUBSTITUTE(SUBSTITUTE(SUBSTITUTE(SUBSTITUTE(TRIM(C306),".",""),"/",""),"-","")," ","")))&lt;14,RIGHT(REPT("0",14)&amp;UPPER(SUBSTITUTE(SUBSTITUTE(SUBSTITUTE(SUBSTITUTE(TRIM(C306),".",""),"/",""),"-","")," ","")),14),UPPER(SUBSTITUTE(SUBSTITUTE(SUBSTITUTE(SUBSTITUTE(TRIM(C306),".",""),"/",""),"-","")," ",""))))</f>
        <v/>
      </c>
      <c r="E306" s="25" t="str">
        <f aca="false">IF(D306="","",IFERROR(INDEX(Empresas!$C:$C,MATCH(D306,Empresas!$B:$B,0)),"cadastre o CNPJ em Empresas"))</f>
        <v/>
      </c>
      <c r="F306" s="11"/>
      <c r="G306" s="23"/>
      <c r="H306" s="22"/>
      <c r="I306" s="35"/>
      <c r="J306" s="35"/>
      <c r="K306" s="36" t="str">
        <f aca="false">IF(I306="","",I306+J306)</f>
        <v/>
      </c>
      <c r="L306" s="37" t="str">
        <f aca="false">IF(OR(I306="",I306=0,J306=""),"",J306/I306)</f>
        <v/>
      </c>
      <c r="M306" s="25" t="str">
        <f aca="false">IF(L306="","",IF(L306&gt;0.25,"ACRÉSCIMO ACIMA DE 25% — conferir",""))</f>
        <v/>
      </c>
      <c r="N306" s="29" t="str">
        <f aca="false">IF(D306="","",IF(COUNTIFS(Empresas!$B:$B,D306,Empresas!$E:$E,"&lt;&gt;")=0,"",INDEX(Empresas!$E:$E,MATCH(D306,Empresas!$B:$B,0))))</f>
        <v/>
      </c>
      <c r="O306" s="27" t="str">
        <f aca="false">IF(OR(N306="",H306=""),"",H306-N306)</f>
        <v/>
      </c>
      <c r="P306" s="25" t="str">
        <f aca="false">IF(O306="","",IF(O306&lt;0,"CONTRATO ANTERIOR À ABERTURA — conferir datas",IF(O306&lt;180,"EMPRESA ABERTA MENOS DE 6 MESES ANTES","")))</f>
        <v/>
      </c>
      <c r="Q306" s="31" t="str">
        <f aca="false">IF(D306="","",IFERROR(INDEX(Sancoes!$D:$D,MATCH(D306,Sancoes!$C:$C,0)),"não consta"))</f>
        <v/>
      </c>
      <c r="R306" s="25" t="str">
        <f aca="false">IF(OR(D306="",H306=""),"",IF(SUMPRODUCT((Sancoes!$C$5:$C$304=D306)*(Sancoes!$G$5:$G$304&lt;=H306)*(((Sancoes!$H$5:$H$304="")+(Sancoes!$H$5:$H$304&gt;=H306))&gt;0))&gt;0,"SANÇÃO VIGENTE NA DATA — ler tipo e abrangência",""))</f>
        <v/>
      </c>
      <c r="S306" s="24"/>
      <c r="T306" s="11"/>
    </row>
    <row r="307" customFormat="false" ht="15" hidden="false" customHeight="false" outlineLevel="0" collapsed="false">
      <c r="A307" s="11"/>
      <c r="B307" s="24"/>
      <c r="C307" s="24"/>
      <c r="D307" s="31" t="str">
        <f aca="false">IF(C307="","",IF(LEN(UPPER(SUBSTITUTE(SUBSTITUTE(SUBSTITUTE(SUBSTITUTE(TRIM(C307),".",""),"/",""),"-","")," ","")))&lt;14,RIGHT(REPT("0",14)&amp;UPPER(SUBSTITUTE(SUBSTITUTE(SUBSTITUTE(SUBSTITUTE(TRIM(C307),".",""),"/",""),"-","")," ","")),14),UPPER(SUBSTITUTE(SUBSTITUTE(SUBSTITUTE(SUBSTITUTE(TRIM(C307),".",""),"/",""),"-","")," ",""))))</f>
        <v/>
      </c>
      <c r="E307" s="25" t="str">
        <f aca="false">IF(D307="","",IFERROR(INDEX(Empresas!$C:$C,MATCH(D307,Empresas!$B:$B,0)),"cadastre o CNPJ em Empresas"))</f>
        <v/>
      </c>
      <c r="F307" s="11"/>
      <c r="G307" s="23"/>
      <c r="H307" s="22"/>
      <c r="I307" s="35"/>
      <c r="J307" s="35"/>
      <c r="K307" s="36" t="str">
        <f aca="false">IF(I307="","",I307+J307)</f>
        <v/>
      </c>
      <c r="L307" s="37" t="str">
        <f aca="false">IF(OR(I307="",I307=0,J307=""),"",J307/I307)</f>
        <v/>
      </c>
      <c r="M307" s="25" t="str">
        <f aca="false">IF(L307="","",IF(L307&gt;0.25,"ACRÉSCIMO ACIMA DE 25% — conferir",""))</f>
        <v/>
      </c>
      <c r="N307" s="29" t="str">
        <f aca="false">IF(D307="","",IF(COUNTIFS(Empresas!$B:$B,D307,Empresas!$E:$E,"&lt;&gt;")=0,"",INDEX(Empresas!$E:$E,MATCH(D307,Empresas!$B:$B,0))))</f>
        <v/>
      </c>
      <c r="O307" s="27" t="str">
        <f aca="false">IF(OR(N307="",H307=""),"",H307-N307)</f>
        <v/>
      </c>
      <c r="P307" s="25" t="str">
        <f aca="false">IF(O307="","",IF(O307&lt;0,"CONTRATO ANTERIOR À ABERTURA — conferir datas",IF(O307&lt;180,"EMPRESA ABERTA MENOS DE 6 MESES ANTES","")))</f>
        <v/>
      </c>
      <c r="Q307" s="31" t="str">
        <f aca="false">IF(D307="","",IFERROR(INDEX(Sancoes!$D:$D,MATCH(D307,Sancoes!$C:$C,0)),"não consta"))</f>
        <v/>
      </c>
      <c r="R307" s="25" t="str">
        <f aca="false">IF(OR(D307="",H307=""),"",IF(SUMPRODUCT((Sancoes!$C$5:$C$304=D307)*(Sancoes!$G$5:$G$304&lt;=H307)*(((Sancoes!$H$5:$H$304="")+(Sancoes!$H$5:$H$304&gt;=H307))&gt;0))&gt;0,"SANÇÃO VIGENTE NA DATA — ler tipo e abrangência",""))</f>
        <v/>
      </c>
      <c r="S307" s="24"/>
      <c r="T307" s="11"/>
    </row>
    <row r="308" customFormat="false" ht="15" hidden="false" customHeight="false" outlineLevel="0" collapsed="false">
      <c r="A308" s="11"/>
      <c r="B308" s="24"/>
      <c r="C308" s="24"/>
      <c r="D308" s="31" t="str">
        <f aca="false">IF(C308="","",IF(LEN(UPPER(SUBSTITUTE(SUBSTITUTE(SUBSTITUTE(SUBSTITUTE(TRIM(C308),".",""),"/",""),"-","")," ","")))&lt;14,RIGHT(REPT("0",14)&amp;UPPER(SUBSTITUTE(SUBSTITUTE(SUBSTITUTE(SUBSTITUTE(TRIM(C308),".",""),"/",""),"-","")," ","")),14),UPPER(SUBSTITUTE(SUBSTITUTE(SUBSTITUTE(SUBSTITUTE(TRIM(C308),".",""),"/",""),"-","")," ",""))))</f>
        <v/>
      </c>
      <c r="E308" s="25" t="str">
        <f aca="false">IF(D308="","",IFERROR(INDEX(Empresas!$C:$C,MATCH(D308,Empresas!$B:$B,0)),"cadastre o CNPJ em Empresas"))</f>
        <v/>
      </c>
      <c r="F308" s="11"/>
      <c r="G308" s="23"/>
      <c r="H308" s="22"/>
      <c r="I308" s="35"/>
      <c r="J308" s="35"/>
      <c r="K308" s="36" t="str">
        <f aca="false">IF(I308="","",I308+J308)</f>
        <v/>
      </c>
      <c r="L308" s="37" t="str">
        <f aca="false">IF(OR(I308="",I308=0,J308=""),"",J308/I308)</f>
        <v/>
      </c>
      <c r="M308" s="25" t="str">
        <f aca="false">IF(L308="","",IF(L308&gt;0.25,"ACRÉSCIMO ACIMA DE 25% — conferir",""))</f>
        <v/>
      </c>
      <c r="N308" s="29" t="str">
        <f aca="false">IF(D308="","",IF(COUNTIFS(Empresas!$B:$B,D308,Empresas!$E:$E,"&lt;&gt;")=0,"",INDEX(Empresas!$E:$E,MATCH(D308,Empresas!$B:$B,0))))</f>
        <v/>
      </c>
      <c r="O308" s="27" t="str">
        <f aca="false">IF(OR(N308="",H308=""),"",H308-N308)</f>
        <v/>
      </c>
      <c r="P308" s="25" t="str">
        <f aca="false">IF(O308="","",IF(O308&lt;0,"CONTRATO ANTERIOR À ABERTURA — conferir datas",IF(O308&lt;180,"EMPRESA ABERTA MENOS DE 6 MESES ANTES","")))</f>
        <v/>
      </c>
      <c r="Q308" s="31" t="str">
        <f aca="false">IF(D308="","",IFERROR(INDEX(Sancoes!$D:$D,MATCH(D308,Sancoes!$C:$C,0)),"não consta"))</f>
        <v/>
      </c>
      <c r="R308" s="25" t="str">
        <f aca="false">IF(OR(D308="",H308=""),"",IF(SUMPRODUCT((Sancoes!$C$5:$C$304=D308)*(Sancoes!$G$5:$G$304&lt;=H308)*(((Sancoes!$H$5:$H$304="")+(Sancoes!$H$5:$H$304&gt;=H308))&gt;0))&gt;0,"SANÇÃO VIGENTE NA DATA — ler tipo e abrangência",""))</f>
        <v/>
      </c>
      <c r="S308" s="24"/>
      <c r="T308" s="11"/>
    </row>
    <row r="309" customFormat="false" ht="15" hidden="false" customHeight="false" outlineLevel="0" collapsed="false">
      <c r="A309" s="11"/>
      <c r="B309" s="24"/>
      <c r="C309" s="24"/>
      <c r="D309" s="31" t="str">
        <f aca="false">IF(C309="","",IF(LEN(UPPER(SUBSTITUTE(SUBSTITUTE(SUBSTITUTE(SUBSTITUTE(TRIM(C309),".",""),"/",""),"-","")," ","")))&lt;14,RIGHT(REPT("0",14)&amp;UPPER(SUBSTITUTE(SUBSTITUTE(SUBSTITUTE(SUBSTITUTE(TRIM(C309),".",""),"/",""),"-","")," ","")),14),UPPER(SUBSTITUTE(SUBSTITUTE(SUBSTITUTE(SUBSTITUTE(TRIM(C309),".",""),"/",""),"-","")," ",""))))</f>
        <v/>
      </c>
      <c r="E309" s="25" t="str">
        <f aca="false">IF(D309="","",IFERROR(INDEX(Empresas!$C:$C,MATCH(D309,Empresas!$B:$B,0)),"cadastre o CNPJ em Empresas"))</f>
        <v/>
      </c>
      <c r="F309" s="11"/>
      <c r="G309" s="23"/>
      <c r="H309" s="22"/>
      <c r="I309" s="35"/>
      <c r="J309" s="35"/>
      <c r="K309" s="36" t="str">
        <f aca="false">IF(I309="","",I309+J309)</f>
        <v/>
      </c>
      <c r="L309" s="37" t="str">
        <f aca="false">IF(OR(I309="",I309=0,J309=""),"",J309/I309)</f>
        <v/>
      </c>
      <c r="M309" s="25" t="str">
        <f aca="false">IF(L309="","",IF(L309&gt;0.25,"ACRÉSCIMO ACIMA DE 25% — conferir",""))</f>
        <v/>
      </c>
      <c r="N309" s="29" t="str">
        <f aca="false">IF(D309="","",IF(COUNTIFS(Empresas!$B:$B,D309,Empresas!$E:$E,"&lt;&gt;")=0,"",INDEX(Empresas!$E:$E,MATCH(D309,Empresas!$B:$B,0))))</f>
        <v/>
      </c>
      <c r="O309" s="27" t="str">
        <f aca="false">IF(OR(N309="",H309=""),"",H309-N309)</f>
        <v/>
      </c>
      <c r="P309" s="25" t="str">
        <f aca="false">IF(O309="","",IF(O309&lt;0,"CONTRATO ANTERIOR À ABERTURA — conferir datas",IF(O309&lt;180,"EMPRESA ABERTA MENOS DE 6 MESES ANTES","")))</f>
        <v/>
      </c>
      <c r="Q309" s="31" t="str">
        <f aca="false">IF(D309="","",IFERROR(INDEX(Sancoes!$D:$D,MATCH(D309,Sancoes!$C:$C,0)),"não consta"))</f>
        <v/>
      </c>
      <c r="R309" s="25" t="str">
        <f aca="false">IF(OR(D309="",H309=""),"",IF(SUMPRODUCT((Sancoes!$C$5:$C$304=D309)*(Sancoes!$G$5:$G$304&lt;=H309)*(((Sancoes!$H$5:$H$304="")+(Sancoes!$H$5:$H$304&gt;=H309))&gt;0))&gt;0,"SANÇÃO VIGENTE NA DATA — ler tipo e abrangência",""))</f>
        <v/>
      </c>
      <c r="S309" s="24"/>
      <c r="T309" s="11"/>
    </row>
    <row r="310" customFormat="false" ht="15" hidden="false" customHeight="false" outlineLevel="0" collapsed="false">
      <c r="A310" s="11"/>
      <c r="B310" s="24"/>
      <c r="C310" s="24"/>
      <c r="D310" s="31" t="str">
        <f aca="false">IF(C310="","",IF(LEN(UPPER(SUBSTITUTE(SUBSTITUTE(SUBSTITUTE(SUBSTITUTE(TRIM(C310),".",""),"/",""),"-","")," ","")))&lt;14,RIGHT(REPT("0",14)&amp;UPPER(SUBSTITUTE(SUBSTITUTE(SUBSTITUTE(SUBSTITUTE(TRIM(C310),".",""),"/",""),"-","")," ","")),14),UPPER(SUBSTITUTE(SUBSTITUTE(SUBSTITUTE(SUBSTITUTE(TRIM(C310),".",""),"/",""),"-","")," ",""))))</f>
        <v/>
      </c>
      <c r="E310" s="25" t="str">
        <f aca="false">IF(D310="","",IFERROR(INDEX(Empresas!$C:$C,MATCH(D310,Empresas!$B:$B,0)),"cadastre o CNPJ em Empresas"))</f>
        <v/>
      </c>
      <c r="F310" s="11"/>
      <c r="G310" s="23"/>
      <c r="H310" s="22"/>
      <c r="I310" s="35"/>
      <c r="J310" s="35"/>
      <c r="K310" s="36" t="str">
        <f aca="false">IF(I310="","",I310+J310)</f>
        <v/>
      </c>
      <c r="L310" s="37" t="str">
        <f aca="false">IF(OR(I310="",I310=0,J310=""),"",J310/I310)</f>
        <v/>
      </c>
      <c r="M310" s="25" t="str">
        <f aca="false">IF(L310="","",IF(L310&gt;0.25,"ACRÉSCIMO ACIMA DE 25% — conferir",""))</f>
        <v/>
      </c>
      <c r="N310" s="29" t="str">
        <f aca="false">IF(D310="","",IF(COUNTIFS(Empresas!$B:$B,D310,Empresas!$E:$E,"&lt;&gt;")=0,"",INDEX(Empresas!$E:$E,MATCH(D310,Empresas!$B:$B,0))))</f>
        <v/>
      </c>
      <c r="O310" s="27" t="str">
        <f aca="false">IF(OR(N310="",H310=""),"",H310-N310)</f>
        <v/>
      </c>
      <c r="P310" s="25" t="str">
        <f aca="false">IF(O310="","",IF(O310&lt;0,"CONTRATO ANTERIOR À ABERTURA — conferir datas",IF(O310&lt;180,"EMPRESA ABERTA MENOS DE 6 MESES ANTES","")))</f>
        <v/>
      </c>
      <c r="Q310" s="31" t="str">
        <f aca="false">IF(D310="","",IFERROR(INDEX(Sancoes!$D:$D,MATCH(D310,Sancoes!$C:$C,0)),"não consta"))</f>
        <v/>
      </c>
      <c r="R310" s="25" t="str">
        <f aca="false">IF(OR(D310="",H310=""),"",IF(SUMPRODUCT((Sancoes!$C$5:$C$304=D310)*(Sancoes!$G$5:$G$304&lt;=H310)*(((Sancoes!$H$5:$H$304="")+(Sancoes!$H$5:$H$304&gt;=H310))&gt;0))&gt;0,"SANÇÃO VIGENTE NA DATA — ler tipo e abrangência",""))</f>
        <v/>
      </c>
      <c r="S310" s="24"/>
      <c r="T310" s="11"/>
    </row>
    <row r="311" customFormat="false" ht="15" hidden="false" customHeight="false" outlineLevel="0" collapsed="false">
      <c r="A311" s="11"/>
      <c r="B311" s="24"/>
      <c r="C311" s="24"/>
      <c r="D311" s="31" t="str">
        <f aca="false">IF(C311="","",IF(LEN(UPPER(SUBSTITUTE(SUBSTITUTE(SUBSTITUTE(SUBSTITUTE(TRIM(C311),".",""),"/",""),"-","")," ","")))&lt;14,RIGHT(REPT("0",14)&amp;UPPER(SUBSTITUTE(SUBSTITUTE(SUBSTITUTE(SUBSTITUTE(TRIM(C311),".",""),"/",""),"-","")," ","")),14),UPPER(SUBSTITUTE(SUBSTITUTE(SUBSTITUTE(SUBSTITUTE(TRIM(C311),".",""),"/",""),"-","")," ",""))))</f>
        <v/>
      </c>
      <c r="E311" s="25" t="str">
        <f aca="false">IF(D311="","",IFERROR(INDEX(Empresas!$C:$C,MATCH(D311,Empresas!$B:$B,0)),"cadastre o CNPJ em Empresas"))</f>
        <v/>
      </c>
      <c r="F311" s="11"/>
      <c r="G311" s="23"/>
      <c r="H311" s="22"/>
      <c r="I311" s="35"/>
      <c r="J311" s="35"/>
      <c r="K311" s="36" t="str">
        <f aca="false">IF(I311="","",I311+J311)</f>
        <v/>
      </c>
      <c r="L311" s="37" t="str">
        <f aca="false">IF(OR(I311="",I311=0,J311=""),"",J311/I311)</f>
        <v/>
      </c>
      <c r="M311" s="25" t="str">
        <f aca="false">IF(L311="","",IF(L311&gt;0.25,"ACRÉSCIMO ACIMA DE 25% — conferir",""))</f>
        <v/>
      </c>
      <c r="N311" s="29" t="str">
        <f aca="false">IF(D311="","",IF(COUNTIFS(Empresas!$B:$B,D311,Empresas!$E:$E,"&lt;&gt;")=0,"",INDEX(Empresas!$E:$E,MATCH(D311,Empresas!$B:$B,0))))</f>
        <v/>
      </c>
      <c r="O311" s="27" t="str">
        <f aca="false">IF(OR(N311="",H311=""),"",H311-N311)</f>
        <v/>
      </c>
      <c r="P311" s="25" t="str">
        <f aca="false">IF(O311="","",IF(O311&lt;0,"CONTRATO ANTERIOR À ABERTURA — conferir datas",IF(O311&lt;180,"EMPRESA ABERTA MENOS DE 6 MESES ANTES","")))</f>
        <v/>
      </c>
      <c r="Q311" s="31" t="str">
        <f aca="false">IF(D311="","",IFERROR(INDEX(Sancoes!$D:$D,MATCH(D311,Sancoes!$C:$C,0)),"não consta"))</f>
        <v/>
      </c>
      <c r="R311" s="25" t="str">
        <f aca="false">IF(OR(D311="",H311=""),"",IF(SUMPRODUCT((Sancoes!$C$5:$C$304=D311)*(Sancoes!$G$5:$G$304&lt;=H311)*(((Sancoes!$H$5:$H$304="")+(Sancoes!$H$5:$H$304&gt;=H311))&gt;0))&gt;0,"SANÇÃO VIGENTE NA DATA — ler tipo e abrangência",""))</f>
        <v/>
      </c>
      <c r="S311" s="24"/>
      <c r="T311" s="11"/>
    </row>
    <row r="312" customFormat="false" ht="15" hidden="false" customHeight="false" outlineLevel="0" collapsed="false">
      <c r="A312" s="11"/>
      <c r="B312" s="24"/>
      <c r="C312" s="24"/>
      <c r="D312" s="31" t="str">
        <f aca="false">IF(C312="","",IF(LEN(UPPER(SUBSTITUTE(SUBSTITUTE(SUBSTITUTE(SUBSTITUTE(TRIM(C312),".",""),"/",""),"-","")," ","")))&lt;14,RIGHT(REPT("0",14)&amp;UPPER(SUBSTITUTE(SUBSTITUTE(SUBSTITUTE(SUBSTITUTE(TRIM(C312),".",""),"/",""),"-","")," ","")),14),UPPER(SUBSTITUTE(SUBSTITUTE(SUBSTITUTE(SUBSTITUTE(TRIM(C312),".",""),"/",""),"-","")," ",""))))</f>
        <v/>
      </c>
      <c r="E312" s="25" t="str">
        <f aca="false">IF(D312="","",IFERROR(INDEX(Empresas!$C:$C,MATCH(D312,Empresas!$B:$B,0)),"cadastre o CNPJ em Empresas"))</f>
        <v/>
      </c>
      <c r="F312" s="11"/>
      <c r="G312" s="23"/>
      <c r="H312" s="22"/>
      <c r="I312" s="35"/>
      <c r="J312" s="35"/>
      <c r="K312" s="36" t="str">
        <f aca="false">IF(I312="","",I312+J312)</f>
        <v/>
      </c>
      <c r="L312" s="37" t="str">
        <f aca="false">IF(OR(I312="",I312=0,J312=""),"",J312/I312)</f>
        <v/>
      </c>
      <c r="M312" s="25" t="str">
        <f aca="false">IF(L312="","",IF(L312&gt;0.25,"ACRÉSCIMO ACIMA DE 25% — conferir",""))</f>
        <v/>
      </c>
      <c r="N312" s="29" t="str">
        <f aca="false">IF(D312="","",IF(COUNTIFS(Empresas!$B:$B,D312,Empresas!$E:$E,"&lt;&gt;")=0,"",INDEX(Empresas!$E:$E,MATCH(D312,Empresas!$B:$B,0))))</f>
        <v/>
      </c>
      <c r="O312" s="27" t="str">
        <f aca="false">IF(OR(N312="",H312=""),"",H312-N312)</f>
        <v/>
      </c>
      <c r="P312" s="25" t="str">
        <f aca="false">IF(O312="","",IF(O312&lt;0,"CONTRATO ANTERIOR À ABERTURA — conferir datas",IF(O312&lt;180,"EMPRESA ABERTA MENOS DE 6 MESES ANTES","")))</f>
        <v/>
      </c>
      <c r="Q312" s="31" t="str">
        <f aca="false">IF(D312="","",IFERROR(INDEX(Sancoes!$D:$D,MATCH(D312,Sancoes!$C:$C,0)),"não consta"))</f>
        <v/>
      </c>
      <c r="R312" s="25" t="str">
        <f aca="false">IF(OR(D312="",H312=""),"",IF(SUMPRODUCT((Sancoes!$C$5:$C$304=D312)*(Sancoes!$G$5:$G$304&lt;=H312)*(((Sancoes!$H$5:$H$304="")+(Sancoes!$H$5:$H$304&gt;=H312))&gt;0))&gt;0,"SANÇÃO VIGENTE NA DATA — ler tipo e abrangência",""))</f>
        <v/>
      </c>
      <c r="S312" s="24"/>
      <c r="T312" s="11"/>
    </row>
    <row r="313" customFormat="false" ht="15" hidden="false" customHeight="false" outlineLevel="0" collapsed="false">
      <c r="A313" s="11"/>
      <c r="B313" s="24"/>
      <c r="C313" s="24"/>
      <c r="D313" s="31" t="str">
        <f aca="false">IF(C313="","",IF(LEN(UPPER(SUBSTITUTE(SUBSTITUTE(SUBSTITUTE(SUBSTITUTE(TRIM(C313),".",""),"/",""),"-","")," ","")))&lt;14,RIGHT(REPT("0",14)&amp;UPPER(SUBSTITUTE(SUBSTITUTE(SUBSTITUTE(SUBSTITUTE(TRIM(C313),".",""),"/",""),"-","")," ","")),14),UPPER(SUBSTITUTE(SUBSTITUTE(SUBSTITUTE(SUBSTITUTE(TRIM(C313),".",""),"/",""),"-","")," ",""))))</f>
        <v/>
      </c>
      <c r="E313" s="25" t="str">
        <f aca="false">IF(D313="","",IFERROR(INDEX(Empresas!$C:$C,MATCH(D313,Empresas!$B:$B,0)),"cadastre o CNPJ em Empresas"))</f>
        <v/>
      </c>
      <c r="F313" s="11"/>
      <c r="G313" s="23"/>
      <c r="H313" s="22"/>
      <c r="I313" s="35"/>
      <c r="J313" s="35"/>
      <c r="K313" s="36" t="str">
        <f aca="false">IF(I313="","",I313+J313)</f>
        <v/>
      </c>
      <c r="L313" s="37" t="str">
        <f aca="false">IF(OR(I313="",I313=0,J313=""),"",J313/I313)</f>
        <v/>
      </c>
      <c r="M313" s="25" t="str">
        <f aca="false">IF(L313="","",IF(L313&gt;0.25,"ACRÉSCIMO ACIMA DE 25% — conferir",""))</f>
        <v/>
      </c>
      <c r="N313" s="29" t="str">
        <f aca="false">IF(D313="","",IF(COUNTIFS(Empresas!$B:$B,D313,Empresas!$E:$E,"&lt;&gt;")=0,"",INDEX(Empresas!$E:$E,MATCH(D313,Empresas!$B:$B,0))))</f>
        <v/>
      </c>
      <c r="O313" s="27" t="str">
        <f aca="false">IF(OR(N313="",H313=""),"",H313-N313)</f>
        <v/>
      </c>
      <c r="P313" s="25" t="str">
        <f aca="false">IF(O313="","",IF(O313&lt;0,"CONTRATO ANTERIOR À ABERTURA — conferir datas",IF(O313&lt;180,"EMPRESA ABERTA MENOS DE 6 MESES ANTES","")))</f>
        <v/>
      </c>
      <c r="Q313" s="31" t="str">
        <f aca="false">IF(D313="","",IFERROR(INDEX(Sancoes!$D:$D,MATCH(D313,Sancoes!$C:$C,0)),"não consta"))</f>
        <v/>
      </c>
      <c r="R313" s="25" t="str">
        <f aca="false">IF(OR(D313="",H313=""),"",IF(SUMPRODUCT((Sancoes!$C$5:$C$304=D313)*(Sancoes!$G$5:$G$304&lt;=H313)*(((Sancoes!$H$5:$H$304="")+(Sancoes!$H$5:$H$304&gt;=H313))&gt;0))&gt;0,"SANÇÃO VIGENTE NA DATA — ler tipo e abrangência",""))</f>
        <v/>
      </c>
      <c r="S313" s="24"/>
      <c r="T313" s="11"/>
    </row>
    <row r="314" customFormat="false" ht="15" hidden="false" customHeight="false" outlineLevel="0" collapsed="false">
      <c r="A314" s="11"/>
      <c r="B314" s="24"/>
      <c r="C314" s="24"/>
      <c r="D314" s="31" t="str">
        <f aca="false">IF(C314="","",IF(LEN(UPPER(SUBSTITUTE(SUBSTITUTE(SUBSTITUTE(SUBSTITUTE(TRIM(C314),".",""),"/",""),"-","")," ","")))&lt;14,RIGHT(REPT("0",14)&amp;UPPER(SUBSTITUTE(SUBSTITUTE(SUBSTITUTE(SUBSTITUTE(TRIM(C314),".",""),"/",""),"-","")," ","")),14),UPPER(SUBSTITUTE(SUBSTITUTE(SUBSTITUTE(SUBSTITUTE(TRIM(C314),".",""),"/",""),"-","")," ",""))))</f>
        <v/>
      </c>
      <c r="E314" s="25" t="str">
        <f aca="false">IF(D314="","",IFERROR(INDEX(Empresas!$C:$C,MATCH(D314,Empresas!$B:$B,0)),"cadastre o CNPJ em Empresas"))</f>
        <v/>
      </c>
      <c r="F314" s="11"/>
      <c r="G314" s="23"/>
      <c r="H314" s="22"/>
      <c r="I314" s="35"/>
      <c r="J314" s="35"/>
      <c r="K314" s="36" t="str">
        <f aca="false">IF(I314="","",I314+J314)</f>
        <v/>
      </c>
      <c r="L314" s="37" t="str">
        <f aca="false">IF(OR(I314="",I314=0,J314=""),"",J314/I314)</f>
        <v/>
      </c>
      <c r="M314" s="25" t="str">
        <f aca="false">IF(L314="","",IF(L314&gt;0.25,"ACRÉSCIMO ACIMA DE 25% — conferir",""))</f>
        <v/>
      </c>
      <c r="N314" s="29" t="str">
        <f aca="false">IF(D314="","",IF(COUNTIFS(Empresas!$B:$B,D314,Empresas!$E:$E,"&lt;&gt;")=0,"",INDEX(Empresas!$E:$E,MATCH(D314,Empresas!$B:$B,0))))</f>
        <v/>
      </c>
      <c r="O314" s="27" t="str">
        <f aca="false">IF(OR(N314="",H314=""),"",H314-N314)</f>
        <v/>
      </c>
      <c r="P314" s="25" t="str">
        <f aca="false">IF(O314="","",IF(O314&lt;0,"CONTRATO ANTERIOR À ABERTURA — conferir datas",IF(O314&lt;180,"EMPRESA ABERTA MENOS DE 6 MESES ANTES","")))</f>
        <v/>
      </c>
      <c r="Q314" s="31" t="str">
        <f aca="false">IF(D314="","",IFERROR(INDEX(Sancoes!$D:$D,MATCH(D314,Sancoes!$C:$C,0)),"não consta"))</f>
        <v/>
      </c>
      <c r="R314" s="25" t="str">
        <f aca="false">IF(OR(D314="",H314=""),"",IF(SUMPRODUCT((Sancoes!$C$5:$C$304=D314)*(Sancoes!$G$5:$G$304&lt;=H314)*(((Sancoes!$H$5:$H$304="")+(Sancoes!$H$5:$H$304&gt;=H314))&gt;0))&gt;0,"SANÇÃO VIGENTE NA DATA — ler tipo e abrangência",""))</f>
        <v/>
      </c>
      <c r="S314" s="24"/>
      <c r="T314" s="11"/>
    </row>
    <row r="315" customFormat="false" ht="15" hidden="false" customHeight="false" outlineLevel="0" collapsed="false">
      <c r="A315" s="11"/>
      <c r="B315" s="24"/>
      <c r="C315" s="24"/>
      <c r="D315" s="31" t="str">
        <f aca="false">IF(C315="","",IF(LEN(UPPER(SUBSTITUTE(SUBSTITUTE(SUBSTITUTE(SUBSTITUTE(TRIM(C315),".",""),"/",""),"-","")," ","")))&lt;14,RIGHT(REPT("0",14)&amp;UPPER(SUBSTITUTE(SUBSTITUTE(SUBSTITUTE(SUBSTITUTE(TRIM(C315),".",""),"/",""),"-","")," ","")),14),UPPER(SUBSTITUTE(SUBSTITUTE(SUBSTITUTE(SUBSTITUTE(TRIM(C315),".",""),"/",""),"-","")," ",""))))</f>
        <v/>
      </c>
      <c r="E315" s="25" t="str">
        <f aca="false">IF(D315="","",IFERROR(INDEX(Empresas!$C:$C,MATCH(D315,Empresas!$B:$B,0)),"cadastre o CNPJ em Empresas"))</f>
        <v/>
      </c>
      <c r="F315" s="11"/>
      <c r="G315" s="23"/>
      <c r="H315" s="22"/>
      <c r="I315" s="35"/>
      <c r="J315" s="35"/>
      <c r="K315" s="36" t="str">
        <f aca="false">IF(I315="","",I315+J315)</f>
        <v/>
      </c>
      <c r="L315" s="37" t="str">
        <f aca="false">IF(OR(I315="",I315=0,J315=""),"",J315/I315)</f>
        <v/>
      </c>
      <c r="M315" s="25" t="str">
        <f aca="false">IF(L315="","",IF(L315&gt;0.25,"ACRÉSCIMO ACIMA DE 25% — conferir",""))</f>
        <v/>
      </c>
      <c r="N315" s="29" t="str">
        <f aca="false">IF(D315="","",IF(COUNTIFS(Empresas!$B:$B,D315,Empresas!$E:$E,"&lt;&gt;")=0,"",INDEX(Empresas!$E:$E,MATCH(D315,Empresas!$B:$B,0))))</f>
        <v/>
      </c>
      <c r="O315" s="27" t="str">
        <f aca="false">IF(OR(N315="",H315=""),"",H315-N315)</f>
        <v/>
      </c>
      <c r="P315" s="25" t="str">
        <f aca="false">IF(O315="","",IF(O315&lt;0,"CONTRATO ANTERIOR À ABERTURA — conferir datas",IF(O315&lt;180,"EMPRESA ABERTA MENOS DE 6 MESES ANTES","")))</f>
        <v/>
      </c>
      <c r="Q315" s="31" t="str">
        <f aca="false">IF(D315="","",IFERROR(INDEX(Sancoes!$D:$D,MATCH(D315,Sancoes!$C:$C,0)),"não consta"))</f>
        <v/>
      </c>
      <c r="R315" s="25" t="str">
        <f aca="false">IF(OR(D315="",H315=""),"",IF(SUMPRODUCT((Sancoes!$C$5:$C$304=D315)*(Sancoes!$G$5:$G$304&lt;=H315)*(((Sancoes!$H$5:$H$304="")+(Sancoes!$H$5:$H$304&gt;=H315))&gt;0))&gt;0,"SANÇÃO VIGENTE NA DATA — ler tipo e abrangência",""))</f>
        <v/>
      </c>
      <c r="S315" s="24"/>
      <c r="T315" s="11"/>
    </row>
    <row r="316" customFormat="false" ht="15" hidden="false" customHeight="false" outlineLevel="0" collapsed="false">
      <c r="A316" s="11"/>
      <c r="B316" s="24"/>
      <c r="C316" s="24"/>
      <c r="D316" s="31" t="str">
        <f aca="false">IF(C316="","",IF(LEN(UPPER(SUBSTITUTE(SUBSTITUTE(SUBSTITUTE(SUBSTITUTE(TRIM(C316),".",""),"/",""),"-","")," ","")))&lt;14,RIGHT(REPT("0",14)&amp;UPPER(SUBSTITUTE(SUBSTITUTE(SUBSTITUTE(SUBSTITUTE(TRIM(C316),".",""),"/",""),"-","")," ","")),14),UPPER(SUBSTITUTE(SUBSTITUTE(SUBSTITUTE(SUBSTITUTE(TRIM(C316),".",""),"/",""),"-","")," ",""))))</f>
        <v/>
      </c>
      <c r="E316" s="25" t="str">
        <f aca="false">IF(D316="","",IFERROR(INDEX(Empresas!$C:$C,MATCH(D316,Empresas!$B:$B,0)),"cadastre o CNPJ em Empresas"))</f>
        <v/>
      </c>
      <c r="F316" s="11"/>
      <c r="G316" s="23"/>
      <c r="H316" s="22"/>
      <c r="I316" s="35"/>
      <c r="J316" s="35"/>
      <c r="K316" s="36" t="str">
        <f aca="false">IF(I316="","",I316+J316)</f>
        <v/>
      </c>
      <c r="L316" s="37" t="str">
        <f aca="false">IF(OR(I316="",I316=0,J316=""),"",J316/I316)</f>
        <v/>
      </c>
      <c r="M316" s="25" t="str">
        <f aca="false">IF(L316="","",IF(L316&gt;0.25,"ACRÉSCIMO ACIMA DE 25% — conferir",""))</f>
        <v/>
      </c>
      <c r="N316" s="29" t="str">
        <f aca="false">IF(D316="","",IF(COUNTIFS(Empresas!$B:$B,D316,Empresas!$E:$E,"&lt;&gt;")=0,"",INDEX(Empresas!$E:$E,MATCH(D316,Empresas!$B:$B,0))))</f>
        <v/>
      </c>
      <c r="O316" s="27" t="str">
        <f aca="false">IF(OR(N316="",H316=""),"",H316-N316)</f>
        <v/>
      </c>
      <c r="P316" s="25" t="str">
        <f aca="false">IF(O316="","",IF(O316&lt;0,"CONTRATO ANTERIOR À ABERTURA — conferir datas",IF(O316&lt;180,"EMPRESA ABERTA MENOS DE 6 MESES ANTES","")))</f>
        <v/>
      </c>
      <c r="Q316" s="31" t="str">
        <f aca="false">IF(D316="","",IFERROR(INDEX(Sancoes!$D:$D,MATCH(D316,Sancoes!$C:$C,0)),"não consta"))</f>
        <v/>
      </c>
      <c r="R316" s="25" t="str">
        <f aca="false">IF(OR(D316="",H316=""),"",IF(SUMPRODUCT((Sancoes!$C$5:$C$304=D316)*(Sancoes!$G$5:$G$304&lt;=H316)*(((Sancoes!$H$5:$H$304="")+(Sancoes!$H$5:$H$304&gt;=H316))&gt;0))&gt;0,"SANÇÃO VIGENTE NA DATA — ler tipo e abrangência",""))</f>
        <v/>
      </c>
      <c r="S316" s="24"/>
      <c r="T316" s="11"/>
    </row>
    <row r="317" customFormat="false" ht="15" hidden="false" customHeight="false" outlineLevel="0" collapsed="false">
      <c r="A317" s="11"/>
      <c r="B317" s="24"/>
      <c r="C317" s="24"/>
      <c r="D317" s="31" t="str">
        <f aca="false">IF(C317="","",IF(LEN(UPPER(SUBSTITUTE(SUBSTITUTE(SUBSTITUTE(SUBSTITUTE(TRIM(C317),".",""),"/",""),"-","")," ","")))&lt;14,RIGHT(REPT("0",14)&amp;UPPER(SUBSTITUTE(SUBSTITUTE(SUBSTITUTE(SUBSTITUTE(TRIM(C317),".",""),"/",""),"-","")," ","")),14),UPPER(SUBSTITUTE(SUBSTITUTE(SUBSTITUTE(SUBSTITUTE(TRIM(C317),".",""),"/",""),"-","")," ",""))))</f>
        <v/>
      </c>
      <c r="E317" s="25" t="str">
        <f aca="false">IF(D317="","",IFERROR(INDEX(Empresas!$C:$C,MATCH(D317,Empresas!$B:$B,0)),"cadastre o CNPJ em Empresas"))</f>
        <v/>
      </c>
      <c r="F317" s="11"/>
      <c r="G317" s="23"/>
      <c r="H317" s="22"/>
      <c r="I317" s="35"/>
      <c r="J317" s="35"/>
      <c r="K317" s="36" t="str">
        <f aca="false">IF(I317="","",I317+J317)</f>
        <v/>
      </c>
      <c r="L317" s="37" t="str">
        <f aca="false">IF(OR(I317="",I317=0,J317=""),"",J317/I317)</f>
        <v/>
      </c>
      <c r="M317" s="25" t="str">
        <f aca="false">IF(L317="","",IF(L317&gt;0.25,"ACRÉSCIMO ACIMA DE 25% — conferir",""))</f>
        <v/>
      </c>
      <c r="N317" s="29" t="str">
        <f aca="false">IF(D317="","",IF(COUNTIFS(Empresas!$B:$B,D317,Empresas!$E:$E,"&lt;&gt;")=0,"",INDEX(Empresas!$E:$E,MATCH(D317,Empresas!$B:$B,0))))</f>
        <v/>
      </c>
      <c r="O317" s="27" t="str">
        <f aca="false">IF(OR(N317="",H317=""),"",H317-N317)</f>
        <v/>
      </c>
      <c r="P317" s="25" t="str">
        <f aca="false">IF(O317="","",IF(O317&lt;0,"CONTRATO ANTERIOR À ABERTURA — conferir datas",IF(O317&lt;180,"EMPRESA ABERTA MENOS DE 6 MESES ANTES","")))</f>
        <v/>
      </c>
      <c r="Q317" s="31" t="str">
        <f aca="false">IF(D317="","",IFERROR(INDEX(Sancoes!$D:$D,MATCH(D317,Sancoes!$C:$C,0)),"não consta"))</f>
        <v/>
      </c>
      <c r="R317" s="25" t="str">
        <f aca="false">IF(OR(D317="",H317=""),"",IF(SUMPRODUCT((Sancoes!$C$5:$C$304=D317)*(Sancoes!$G$5:$G$304&lt;=H317)*(((Sancoes!$H$5:$H$304="")+(Sancoes!$H$5:$H$304&gt;=H317))&gt;0))&gt;0,"SANÇÃO VIGENTE NA DATA — ler tipo e abrangência",""))</f>
        <v/>
      </c>
      <c r="S317" s="24"/>
      <c r="T317" s="11"/>
    </row>
    <row r="318" customFormat="false" ht="15" hidden="false" customHeight="false" outlineLevel="0" collapsed="false">
      <c r="A318" s="11"/>
      <c r="B318" s="24"/>
      <c r="C318" s="24"/>
      <c r="D318" s="31" t="str">
        <f aca="false">IF(C318="","",IF(LEN(UPPER(SUBSTITUTE(SUBSTITUTE(SUBSTITUTE(SUBSTITUTE(TRIM(C318),".",""),"/",""),"-","")," ","")))&lt;14,RIGHT(REPT("0",14)&amp;UPPER(SUBSTITUTE(SUBSTITUTE(SUBSTITUTE(SUBSTITUTE(TRIM(C318),".",""),"/",""),"-","")," ","")),14),UPPER(SUBSTITUTE(SUBSTITUTE(SUBSTITUTE(SUBSTITUTE(TRIM(C318),".",""),"/",""),"-","")," ",""))))</f>
        <v/>
      </c>
      <c r="E318" s="25" t="str">
        <f aca="false">IF(D318="","",IFERROR(INDEX(Empresas!$C:$C,MATCH(D318,Empresas!$B:$B,0)),"cadastre o CNPJ em Empresas"))</f>
        <v/>
      </c>
      <c r="F318" s="11"/>
      <c r="G318" s="23"/>
      <c r="H318" s="22"/>
      <c r="I318" s="35"/>
      <c r="J318" s="35"/>
      <c r="K318" s="36" t="str">
        <f aca="false">IF(I318="","",I318+J318)</f>
        <v/>
      </c>
      <c r="L318" s="37" t="str">
        <f aca="false">IF(OR(I318="",I318=0,J318=""),"",J318/I318)</f>
        <v/>
      </c>
      <c r="M318" s="25" t="str">
        <f aca="false">IF(L318="","",IF(L318&gt;0.25,"ACRÉSCIMO ACIMA DE 25% — conferir",""))</f>
        <v/>
      </c>
      <c r="N318" s="29" t="str">
        <f aca="false">IF(D318="","",IF(COUNTIFS(Empresas!$B:$B,D318,Empresas!$E:$E,"&lt;&gt;")=0,"",INDEX(Empresas!$E:$E,MATCH(D318,Empresas!$B:$B,0))))</f>
        <v/>
      </c>
      <c r="O318" s="27" t="str">
        <f aca="false">IF(OR(N318="",H318=""),"",H318-N318)</f>
        <v/>
      </c>
      <c r="P318" s="25" t="str">
        <f aca="false">IF(O318="","",IF(O318&lt;0,"CONTRATO ANTERIOR À ABERTURA — conferir datas",IF(O318&lt;180,"EMPRESA ABERTA MENOS DE 6 MESES ANTES","")))</f>
        <v/>
      </c>
      <c r="Q318" s="31" t="str">
        <f aca="false">IF(D318="","",IFERROR(INDEX(Sancoes!$D:$D,MATCH(D318,Sancoes!$C:$C,0)),"não consta"))</f>
        <v/>
      </c>
      <c r="R318" s="25" t="str">
        <f aca="false">IF(OR(D318="",H318=""),"",IF(SUMPRODUCT((Sancoes!$C$5:$C$304=D318)*(Sancoes!$G$5:$G$304&lt;=H318)*(((Sancoes!$H$5:$H$304="")+(Sancoes!$H$5:$H$304&gt;=H318))&gt;0))&gt;0,"SANÇÃO VIGENTE NA DATA — ler tipo e abrangência",""))</f>
        <v/>
      </c>
      <c r="S318" s="24"/>
      <c r="T318" s="11"/>
    </row>
    <row r="319" customFormat="false" ht="15" hidden="false" customHeight="false" outlineLevel="0" collapsed="false">
      <c r="A319" s="11"/>
      <c r="B319" s="24"/>
      <c r="C319" s="24"/>
      <c r="D319" s="31" t="str">
        <f aca="false">IF(C319="","",IF(LEN(UPPER(SUBSTITUTE(SUBSTITUTE(SUBSTITUTE(SUBSTITUTE(TRIM(C319),".",""),"/",""),"-","")," ","")))&lt;14,RIGHT(REPT("0",14)&amp;UPPER(SUBSTITUTE(SUBSTITUTE(SUBSTITUTE(SUBSTITUTE(TRIM(C319),".",""),"/",""),"-","")," ","")),14),UPPER(SUBSTITUTE(SUBSTITUTE(SUBSTITUTE(SUBSTITUTE(TRIM(C319),".",""),"/",""),"-","")," ",""))))</f>
        <v/>
      </c>
      <c r="E319" s="25" t="str">
        <f aca="false">IF(D319="","",IFERROR(INDEX(Empresas!$C:$C,MATCH(D319,Empresas!$B:$B,0)),"cadastre o CNPJ em Empresas"))</f>
        <v/>
      </c>
      <c r="F319" s="11"/>
      <c r="G319" s="23"/>
      <c r="H319" s="22"/>
      <c r="I319" s="35"/>
      <c r="J319" s="35"/>
      <c r="K319" s="36" t="str">
        <f aca="false">IF(I319="","",I319+J319)</f>
        <v/>
      </c>
      <c r="L319" s="37" t="str">
        <f aca="false">IF(OR(I319="",I319=0,J319=""),"",J319/I319)</f>
        <v/>
      </c>
      <c r="M319" s="25" t="str">
        <f aca="false">IF(L319="","",IF(L319&gt;0.25,"ACRÉSCIMO ACIMA DE 25% — conferir",""))</f>
        <v/>
      </c>
      <c r="N319" s="29" t="str">
        <f aca="false">IF(D319="","",IF(COUNTIFS(Empresas!$B:$B,D319,Empresas!$E:$E,"&lt;&gt;")=0,"",INDEX(Empresas!$E:$E,MATCH(D319,Empresas!$B:$B,0))))</f>
        <v/>
      </c>
      <c r="O319" s="27" t="str">
        <f aca="false">IF(OR(N319="",H319=""),"",H319-N319)</f>
        <v/>
      </c>
      <c r="P319" s="25" t="str">
        <f aca="false">IF(O319="","",IF(O319&lt;0,"CONTRATO ANTERIOR À ABERTURA — conferir datas",IF(O319&lt;180,"EMPRESA ABERTA MENOS DE 6 MESES ANTES","")))</f>
        <v/>
      </c>
      <c r="Q319" s="31" t="str">
        <f aca="false">IF(D319="","",IFERROR(INDEX(Sancoes!$D:$D,MATCH(D319,Sancoes!$C:$C,0)),"não consta"))</f>
        <v/>
      </c>
      <c r="R319" s="25" t="str">
        <f aca="false">IF(OR(D319="",H319=""),"",IF(SUMPRODUCT((Sancoes!$C$5:$C$304=D319)*(Sancoes!$G$5:$G$304&lt;=H319)*(((Sancoes!$H$5:$H$304="")+(Sancoes!$H$5:$H$304&gt;=H319))&gt;0))&gt;0,"SANÇÃO VIGENTE NA DATA — ler tipo e abrangência",""))</f>
        <v/>
      </c>
      <c r="S319" s="24"/>
      <c r="T319" s="11"/>
    </row>
    <row r="320" customFormat="false" ht="15" hidden="false" customHeight="false" outlineLevel="0" collapsed="false">
      <c r="A320" s="11"/>
      <c r="B320" s="24"/>
      <c r="C320" s="24"/>
      <c r="D320" s="31" t="str">
        <f aca="false">IF(C320="","",IF(LEN(UPPER(SUBSTITUTE(SUBSTITUTE(SUBSTITUTE(SUBSTITUTE(TRIM(C320),".",""),"/",""),"-","")," ","")))&lt;14,RIGHT(REPT("0",14)&amp;UPPER(SUBSTITUTE(SUBSTITUTE(SUBSTITUTE(SUBSTITUTE(TRIM(C320),".",""),"/",""),"-","")," ","")),14),UPPER(SUBSTITUTE(SUBSTITUTE(SUBSTITUTE(SUBSTITUTE(TRIM(C320),".",""),"/",""),"-","")," ",""))))</f>
        <v/>
      </c>
      <c r="E320" s="25" t="str">
        <f aca="false">IF(D320="","",IFERROR(INDEX(Empresas!$C:$C,MATCH(D320,Empresas!$B:$B,0)),"cadastre o CNPJ em Empresas"))</f>
        <v/>
      </c>
      <c r="F320" s="11"/>
      <c r="G320" s="23"/>
      <c r="H320" s="22"/>
      <c r="I320" s="35"/>
      <c r="J320" s="35"/>
      <c r="K320" s="36" t="str">
        <f aca="false">IF(I320="","",I320+J320)</f>
        <v/>
      </c>
      <c r="L320" s="37" t="str">
        <f aca="false">IF(OR(I320="",I320=0,J320=""),"",J320/I320)</f>
        <v/>
      </c>
      <c r="M320" s="25" t="str">
        <f aca="false">IF(L320="","",IF(L320&gt;0.25,"ACRÉSCIMO ACIMA DE 25% — conferir",""))</f>
        <v/>
      </c>
      <c r="N320" s="29" t="str">
        <f aca="false">IF(D320="","",IF(COUNTIFS(Empresas!$B:$B,D320,Empresas!$E:$E,"&lt;&gt;")=0,"",INDEX(Empresas!$E:$E,MATCH(D320,Empresas!$B:$B,0))))</f>
        <v/>
      </c>
      <c r="O320" s="27" t="str">
        <f aca="false">IF(OR(N320="",H320=""),"",H320-N320)</f>
        <v/>
      </c>
      <c r="P320" s="25" t="str">
        <f aca="false">IF(O320="","",IF(O320&lt;0,"CONTRATO ANTERIOR À ABERTURA — conferir datas",IF(O320&lt;180,"EMPRESA ABERTA MENOS DE 6 MESES ANTES","")))</f>
        <v/>
      </c>
      <c r="Q320" s="31" t="str">
        <f aca="false">IF(D320="","",IFERROR(INDEX(Sancoes!$D:$D,MATCH(D320,Sancoes!$C:$C,0)),"não consta"))</f>
        <v/>
      </c>
      <c r="R320" s="25" t="str">
        <f aca="false">IF(OR(D320="",H320=""),"",IF(SUMPRODUCT((Sancoes!$C$5:$C$304=D320)*(Sancoes!$G$5:$G$304&lt;=H320)*(((Sancoes!$H$5:$H$304="")+(Sancoes!$H$5:$H$304&gt;=H320))&gt;0))&gt;0,"SANÇÃO VIGENTE NA DATA — ler tipo e abrangência",""))</f>
        <v/>
      </c>
      <c r="S320" s="24"/>
      <c r="T320" s="11"/>
    </row>
    <row r="321" customFormat="false" ht="15" hidden="false" customHeight="false" outlineLevel="0" collapsed="false">
      <c r="A321" s="11"/>
      <c r="B321" s="24"/>
      <c r="C321" s="24"/>
      <c r="D321" s="31" t="str">
        <f aca="false">IF(C321="","",IF(LEN(UPPER(SUBSTITUTE(SUBSTITUTE(SUBSTITUTE(SUBSTITUTE(TRIM(C321),".",""),"/",""),"-","")," ","")))&lt;14,RIGHT(REPT("0",14)&amp;UPPER(SUBSTITUTE(SUBSTITUTE(SUBSTITUTE(SUBSTITUTE(TRIM(C321),".",""),"/",""),"-","")," ","")),14),UPPER(SUBSTITUTE(SUBSTITUTE(SUBSTITUTE(SUBSTITUTE(TRIM(C321),".",""),"/",""),"-","")," ",""))))</f>
        <v/>
      </c>
      <c r="E321" s="25" t="str">
        <f aca="false">IF(D321="","",IFERROR(INDEX(Empresas!$C:$C,MATCH(D321,Empresas!$B:$B,0)),"cadastre o CNPJ em Empresas"))</f>
        <v/>
      </c>
      <c r="F321" s="11"/>
      <c r="G321" s="23"/>
      <c r="H321" s="22"/>
      <c r="I321" s="35"/>
      <c r="J321" s="35"/>
      <c r="K321" s="36" t="str">
        <f aca="false">IF(I321="","",I321+J321)</f>
        <v/>
      </c>
      <c r="L321" s="37" t="str">
        <f aca="false">IF(OR(I321="",I321=0,J321=""),"",J321/I321)</f>
        <v/>
      </c>
      <c r="M321" s="25" t="str">
        <f aca="false">IF(L321="","",IF(L321&gt;0.25,"ACRÉSCIMO ACIMA DE 25% — conferir",""))</f>
        <v/>
      </c>
      <c r="N321" s="29" t="str">
        <f aca="false">IF(D321="","",IF(COUNTIFS(Empresas!$B:$B,D321,Empresas!$E:$E,"&lt;&gt;")=0,"",INDEX(Empresas!$E:$E,MATCH(D321,Empresas!$B:$B,0))))</f>
        <v/>
      </c>
      <c r="O321" s="27" t="str">
        <f aca="false">IF(OR(N321="",H321=""),"",H321-N321)</f>
        <v/>
      </c>
      <c r="P321" s="25" t="str">
        <f aca="false">IF(O321="","",IF(O321&lt;0,"CONTRATO ANTERIOR À ABERTURA — conferir datas",IF(O321&lt;180,"EMPRESA ABERTA MENOS DE 6 MESES ANTES","")))</f>
        <v/>
      </c>
      <c r="Q321" s="31" t="str">
        <f aca="false">IF(D321="","",IFERROR(INDEX(Sancoes!$D:$D,MATCH(D321,Sancoes!$C:$C,0)),"não consta"))</f>
        <v/>
      </c>
      <c r="R321" s="25" t="str">
        <f aca="false">IF(OR(D321="",H321=""),"",IF(SUMPRODUCT((Sancoes!$C$5:$C$304=D321)*(Sancoes!$G$5:$G$304&lt;=H321)*(((Sancoes!$H$5:$H$304="")+(Sancoes!$H$5:$H$304&gt;=H321))&gt;0))&gt;0,"SANÇÃO VIGENTE NA DATA — ler tipo e abrangência",""))</f>
        <v/>
      </c>
      <c r="S321" s="24"/>
      <c r="T321" s="11"/>
    </row>
    <row r="322" customFormat="false" ht="15" hidden="false" customHeight="false" outlineLevel="0" collapsed="false">
      <c r="A322" s="11"/>
      <c r="B322" s="24"/>
      <c r="C322" s="24"/>
      <c r="D322" s="31" t="str">
        <f aca="false">IF(C322="","",IF(LEN(UPPER(SUBSTITUTE(SUBSTITUTE(SUBSTITUTE(SUBSTITUTE(TRIM(C322),".",""),"/",""),"-","")," ","")))&lt;14,RIGHT(REPT("0",14)&amp;UPPER(SUBSTITUTE(SUBSTITUTE(SUBSTITUTE(SUBSTITUTE(TRIM(C322),".",""),"/",""),"-","")," ","")),14),UPPER(SUBSTITUTE(SUBSTITUTE(SUBSTITUTE(SUBSTITUTE(TRIM(C322),".",""),"/",""),"-","")," ",""))))</f>
        <v/>
      </c>
      <c r="E322" s="25" t="str">
        <f aca="false">IF(D322="","",IFERROR(INDEX(Empresas!$C:$C,MATCH(D322,Empresas!$B:$B,0)),"cadastre o CNPJ em Empresas"))</f>
        <v/>
      </c>
      <c r="F322" s="11"/>
      <c r="G322" s="23"/>
      <c r="H322" s="22"/>
      <c r="I322" s="35"/>
      <c r="J322" s="35"/>
      <c r="K322" s="36" t="str">
        <f aca="false">IF(I322="","",I322+J322)</f>
        <v/>
      </c>
      <c r="L322" s="37" t="str">
        <f aca="false">IF(OR(I322="",I322=0,J322=""),"",J322/I322)</f>
        <v/>
      </c>
      <c r="M322" s="25" t="str">
        <f aca="false">IF(L322="","",IF(L322&gt;0.25,"ACRÉSCIMO ACIMA DE 25% — conferir",""))</f>
        <v/>
      </c>
      <c r="N322" s="29" t="str">
        <f aca="false">IF(D322="","",IF(COUNTIFS(Empresas!$B:$B,D322,Empresas!$E:$E,"&lt;&gt;")=0,"",INDEX(Empresas!$E:$E,MATCH(D322,Empresas!$B:$B,0))))</f>
        <v/>
      </c>
      <c r="O322" s="27" t="str">
        <f aca="false">IF(OR(N322="",H322=""),"",H322-N322)</f>
        <v/>
      </c>
      <c r="P322" s="25" t="str">
        <f aca="false">IF(O322="","",IF(O322&lt;0,"CONTRATO ANTERIOR À ABERTURA — conferir datas",IF(O322&lt;180,"EMPRESA ABERTA MENOS DE 6 MESES ANTES","")))</f>
        <v/>
      </c>
      <c r="Q322" s="31" t="str">
        <f aca="false">IF(D322="","",IFERROR(INDEX(Sancoes!$D:$D,MATCH(D322,Sancoes!$C:$C,0)),"não consta"))</f>
        <v/>
      </c>
      <c r="R322" s="25" t="str">
        <f aca="false">IF(OR(D322="",H322=""),"",IF(SUMPRODUCT((Sancoes!$C$5:$C$304=D322)*(Sancoes!$G$5:$G$304&lt;=H322)*(((Sancoes!$H$5:$H$304="")+(Sancoes!$H$5:$H$304&gt;=H322))&gt;0))&gt;0,"SANÇÃO VIGENTE NA DATA — ler tipo e abrangência",""))</f>
        <v/>
      </c>
      <c r="S322" s="24"/>
      <c r="T322" s="11"/>
    </row>
    <row r="323" customFormat="false" ht="15" hidden="false" customHeight="false" outlineLevel="0" collapsed="false">
      <c r="A323" s="11"/>
      <c r="B323" s="24"/>
      <c r="C323" s="24"/>
      <c r="D323" s="31" t="str">
        <f aca="false">IF(C323="","",IF(LEN(UPPER(SUBSTITUTE(SUBSTITUTE(SUBSTITUTE(SUBSTITUTE(TRIM(C323),".",""),"/",""),"-","")," ","")))&lt;14,RIGHT(REPT("0",14)&amp;UPPER(SUBSTITUTE(SUBSTITUTE(SUBSTITUTE(SUBSTITUTE(TRIM(C323),".",""),"/",""),"-","")," ","")),14),UPPER(SUBSTITUTE(SUBSTITUTE(SUBSTITUTE(SUBSTITUTE(TRIM(C323),".",""),"/",""),"-","")," ",""))))</f>
        <v/>
      </c>
      <c r="E323" s="25" t="str">
        <f aca="false">IF(D323="","",IFERROR(INDEX(Empresas!$C:$C,MATCH(D323,Empresas!$B:$B,0)),"cadastre o CNPJ em Empresas"))</f>
        <v/>
      </c>
      <c r="F323" s="11"/>
      <c r="G323" s="23"/>
      <c r="H323" s="22"/>
      <c r="I323" s="35"/>
      <c r="J323" s="35"/>
      <c r="K323" s="36" t="str">
        <f aca="false">IF(I323="","",I323+J323)</f>
        <v/>
      </c>
      <c r="L323" s="37" t="str">
        <f aca="false">IF(OR(I323="",I323=0,J323=""),"",J323/I323)</f>
        <v/>
      </c>
      <c r="M323" s="25" t="str">
        <f aca="false">IF(L323="","",IF(L323&gt;0.25,"ACRÉSCIMO ACIMA DE 25% — conferir",""))</f>
        <v/>
      </c>
      <c r="N323" s="29" t="str">
        <f aca="false">IF(D323="","",IF(COUNTIFS(Empresas!$B:$B,D323,Empresas!$E:$E,"&lt;&gt;")=0,"",INDEX(Empresas!$E:$E,MATCH(D323,Empresas!$B:$B,0))))</f>
        <v/>
      </c>
      <c r="O323" s="27" t="str">
        <f aca="false">IF(OR(N323="",H323=""),"",H323-N323)</f>
        <v/>
      </c>
      <c r="P323" s="25" t="str">
        <f aca="false">IF(O323="","",IF(O323&lt;0,"CONTRATO ANTERIOR À ABERTURA — conferir datas",IF(O323&lt;180,"EMPRESA ABERTA MENOS DE 6 MESES ANTES","")))</f>
        <v/>
      </c>
      <c r="Q323" s="31" t="str">
        <f aca="false">IF(D323="","",IFERROR(INDEX(Sancoes!$D:$D,MATCH(D323,Sancoes!$C:$C,0)),"não consta"))</f>
        <v/>
      </c>
      <c r="R323" s="25" t="str">
        <f aca="false">IF(OR(D323="",H323=""),"",IF(SUMPRODUCT((Sancoes!$C$5:$C$304=D323)*(Sancoes!$G$5:$G$304&lt;=H323)*(((Sancoes!$H$5:$H$304="")+(Sancoes!$H$5:$H$304&gt;=H323))&gt;0))&gt;0,"SANÇÃO VIGENTE NA DATA — ler tipo e abrangência",""))</f>
        <v/>
      </c>
      <c r="S323" s="24"/>
      <c r="T323" s="11"/>
    </row>
    <row r="324" customFormat="false" ht="15" hidden="false" customHeight="false" outlineLevel="0" collapsed="false">
      <c r="A324" s="11"/>
      <c r="B324" s="24"/>
      <c r="C324" s="24"/>
      <c r="D324" s="31" t="str">
        <f aca="false">IF(C324="","",IF(LEN(UPPER(SUBSTITUTE(SUBSTITUTE(SUBSTITUTE(SUBSTITUTE(TRIM(C324),".",""),"/",""),"-","")," ","")))&lt;14,RIGHT(REPT("0",14)&amp;UPPER(SUBSTITUTE(SUBSTITUTE(SUBSTITUTE(SUBSTITUTE(TRIM(C324),".",""),"/",""),"-","")," ","")),14),UPPER(SUBSTITUTE(SUBSTITUTE(SUBSTITUTE(SUBSTITUTE(TRIM(C324),".",""),"/",""),"-","")," ",""))))</f>
        <v/>
      </c>
      <c r="E324" s="25" t="str">
        <f aca="false">IF(D324="","",IFERROR(INDEX(Empresas!$C:$C,MATCH(D324,Empresas!$B:$B,0)),"cadastre o CNPJ em Empresas"))</f>
        <v/>
      </c>
      <c r="F324" s="11"/>
      <c r="G324" s="23"/>
      <c r="H324" s="22"/>
      <c r="I324" s="35"/>
      <c r="J324" s="35"/>
      <c r="K324" s="36" t="str">
        <f aca="false">IF(I324="","",I324+J324)</f>
        <v/>
      </c>
      <c r="L324" s="37" t="str">
        <f aca="false">IF(OR(I324="",I324=0,J324=""),"",J324/I324)</f>
        <v/>
      </c>
      <c r="M324" s="25" t="str">
        <f aca="false">IF(L324="","",IF(L324&gt;0.25,"ACRÉSCIMO ACIMA DE 25% — conferir",""))</f>
        <v/>
      </c>
      <c r="N324" s="29" t="str">
        <f aca="false">IF(D324="","",IF(COUNTIFS(Empresas!$B:$B,D324,Empresas!$E:$E,"&lt;&gt;")=0,"",INDEX(Empresas!$E:$E,MATCH(D324,Empresas!$B:$B,0))))</f>
        <v/>
      </c>
      <c r="O324" s="27" t="str">
        <f aca="false">IF(OR(N324="",H324=""),"",H324-N324)</f>
        <v/>
      </c>
      <c r="P324" s="25" t="str">
        <f aca="false">IF(O324="","",IF(O324&lt;0,"CONTRATO ANTERIOR À ABERTURA — conferir datas",IF(O324&lt;180,"EMPRESA ABERTA MENOS DE 6 MESES ANTES","")))</f>
        <v/>
      </c>
      <c r="Q324" s="31" t="str">
        <f aca="false">IF(D324="","",IFERROR(INDEX(Sancoes!$D:$D,MATCH(D324,Sancoes!$C:$C,0)),"não consta"))</f>
        <v/>
      </c>
      <c r="R324" s="25" t="str">
        <f aca="false">IF(OR(D324="",H324=""),"",IF(SUMPRODUCT((Sancoes!$C$5:$C$304=D324)*(Sancoes!$G$5:$G$304&lt;=H324)*(((Sancoes!$H$5:$H$304="")+(Sancoes!$H$5:$H$304&gt;=H324))&gt;0))&gt;0,"SANÇÃO VIGENTE NA DATA — ler tipo e abrangência",""))</f>
        <v/>
      </c>
      <c r="S324" s="24"/>
      <c r="T324" s="11"/>
    </row>
    <row r="325" customFormat="false" ht="15" hidden="false" customHeight="false" outlineLevel="0" collapsed="false">
      <c r="A325" s="11"/>
      <c r="B325" s="24"/>
      <c r="C325" s="24"/>
      <c r="D325" s="31" t="str">
        <f aca="false">IF(C325="","",IF(LEN(UPPER(SUBSTITUTE(SUBSTITUTE(SUBSTITUTE(SUBSTITUTE(TRIM(C325),".",""),"/",""),"-","")," ","")))&lt;14,RIGHT(REPT("0",14)&amp;UPPER(SUBSTITUTE(SUBSTITUTE(SUBSTITUTE(SUBSTITUTE(TRIM(C325),".",""),"/",""),"-","")," ","")),14),UPPER(SUBSTITUTE(SUBSTITUTE(SUBSTITUTE(SUBSTITUTE(TRIM(C325),".",""),"/",""),"-","")," ",""))))</f>
        <v/>
      </c>
      <c r="E325" s="25" t="str">
        <f aca="false">IF(D325="","",IFERROR(INDEX(Empresas!$C:$C,MATCH(D325,Empresas!$B:$B,0)),"cadastre o CNPJ em Empresas"))</f>
        <v/>
      </c>
      <c r="F325" s="11"/>
      <c r="G325" s="23"/>
      <c r="H325" s="22"/>
      <c r="I325" s="35"/>
      <c r="J325" s="35"/>
      <c r="K325" s="36" t="str">
        <f aca="false">IF(I325="","",I325+J325)</f>
        <v/>
      </c>
      <c r="L325" s="37" t="str">
        <f aca="false">IF(OR(I325="",I325=0,J325=""),"",J325/I325)</f>
        <v/>
      </c>
      <c r="M325" s="25" t="str">
        <f aca="false">IF(L325="","",IF(L325&gt;0.25,"ACRÉSCIMO ACIMA DE 25% — conferir",""))</f>
        <v/>
      </c>
      <c r="N325" s="29" t="str">
        <f aca="false">IF(D325="","",IF(COUNTIFS(Empresas!$B:$B,D325,Empresas!$E:$E,"&lt;&gt;")=0,"",INDEX(Empresas!$E:$E,MATCH(D325,Empresas!$B:$B,0))))</f>
        <v/>
      </c>
      <c r="O325" s="27" t="str">
        <f aca="false">IF(OR(N325="",H325=""),"",H325-N325)</f>
        <v/>
      </c>
      <c r="P325" s="25" t="str">
        <f aca="false">IF(O325="","",IF(O325&lt;0,"CONTRATO ANTERIOR À ABERTURA — conferir datas",IF(O325&lt;180,"EMPRESA ABERTA MENOS DE 6 MESES ANTES","")))</f>
        <v/>
      </c>
      <c r="Q325" s="31" t="str">
        <f aca="false">IF(D325="","",IFERROR(INDEX(Sancoes!$D:$D,MATCH(D325,Sancoes!$C:$C,0)),"não consta"))</f>
        <v/>
      </c>
      <c r="R325" s="25" t="str">
        <f aca="false">IF(OR(D325="",H325=""),"",IF(SUMPRODUCT((Sancoes!$C$5:$C$304=D325)*(Sancoes!$G$5:$G$304&lt;=H325)*(((Sancoes!$H$5:$H$304="")+(Sancoes!$H$5:$H$304&gt;=H325))&gt;0))&gt;0,"SANÇÃO VIGENTE NA DATA — ler tipo e abrangência",""))</f>
        <v/>
      </c>
      <c r="S325" s="24"/>
      <c r="T325" s="11"/>
    </row>
    <row r="326" customFormat="false" ht="15" hidden="false" customHeight="false" outlineLevel="0" collapsed="false">
      <c r="A326" s="11"/>
      <c r="B326" s="24"/>
      <c r="C326" s="24"/>
      <c r="D326" s="31" t="str">
        <f aca="false">IF(C326="","",IF(LEN(UPPER(SUBSTITUTE(SUBSTITUTE(SUBSTITUTE(SUBSTITUTE(TRIM(C326),".",""),"/",""),"-","")," ","")))&lt;14,RIGHT(REPT("0",14)&amp;UPPER(SUBSTITUTE(SUBSTITUTE(SUBSTITUTE(SUBSTITUTE(TRIM(C326),".",""),"/",""),"-","")," ","")),14),UPPER(SUBSTITUTE(SUBSTITUTE(SUBSTITUTE(SUBSTITUTE(TRIM(C326),".",""),"/",""),"-","")," ",""))))</f>
        <v/>
      </c>
      <c r="E326" s="25" t="str">
        <f aca="false">IF(D326="","",IFERROR(INDEX(Empresas!$C:$C,MATCH(D326,Empresas!$B:$B,0)),"cadastre o CNPJ em Empresas"))</f>
        <v/>
      </c>
      <c r="F326" s="11"/>
      <c r="G326" s="23"/>
      <c r="H326" s="22"/>
      <c r="I326" s="35"/>
      <c r="J326" s="35"/>
      <c r="K326" s="36" t="str">
        <f aca="false">IF(I326="","",I326+J326)</f>
        <v/>
      </c>
      <c r="L326" s="37" t="str">
        <f aca="false">IF(OR(I326="",I326=0,J326=""),"",J326/I326)</f>
        <v/>
      </c>
      <c r="M326" s="25" t="str">
        <f aca="false">IF(L326="","",IF(L326&gt;0.25,"ACRÉSCIMO ACIMA DE 25% — conferir",""))</f>
        <v/>
      </c>
      <c r="N326" s="29" t="str">
        <f aca="false">IF(D326="","",IF(COUNTIFS(Empresas!$B:$B,D326,Empresas!$E:$E,"&lt;&gt;")=0,"",INDEX(Empresas!$E:$E,MATCH(D326,Empresas!$B:$B,0))))</f>
        <v/>
      </c>
      <c r="O326" s="27" t="str">
        <f aca="false">IF(OR(N326="",H326=""),"",H326-N326)</f>
        <v/>
      </c>
      <c r="P326" s="25" t="str">
        <f aca="false">IF(O326="","",IF(O326&lt;0,"CONTRATO ANTERIOR À ABERTURA — conferir datas",IF(O326&lt;180,"EMPRESA ABERTA MENOS DE 6 MESES ANTES","")))</f>
        <v/>
      </c>
      <c r="Q326" s="31" t="str">
        <f aca="false">IF(D326="","",IFERROR(INDEX(Sancoes!$D:$D,MATCH(D326,Sancoes!$C:$C,0)),"não consta"))</f>
        <v/>
      </c>
      <c r="R326" s="25" t="str">
        <f aca="false">IF(OR(D326="",H326=""),"",IF(SUMPRODUCT((Sancoes!$C$5:$C$304=D326)*(Sancoes!$G$5:$G$304&lt;=H326)*(((Sancoes!$H$5:$H$304="")+(Sancoes!$H$5:$H$304&gt;=H326))&gt;0))&gt;0,"SANÇÃO VIGENTE NA DATA — ler tipo e abrangência",""))</f>
        <v/>
      </c>
      <c r="S326" s="24"/>
      <c r="T326" s="11"/>
    </row>
    <row r="327" customFormat="false" ht="15" hidden="false" customHeight="false" outlineLevel="0" collapsed="false">
      <c r="A327" s="11"/>
      <c r="B327" s="24"/>
      <c r="C327" s="24"/>
      <c r="D327" s="31" t="str">
        <f aca="false">IF(C327="","",IF(LEN(UPPER(SUBSTITUTE(SUBSTITUTE(SUBSTITUTE(SUBSTITUTE(TRIM(C327),".",""),"/",""),"-","")," ","")))&lt;14,RIGHT(REPT("0",14)&amp;UPPER(SUBSTITUTE(SUBSTITUTE(SUBSTITUTE(SUBSTITUTE(TRIM(C327),".",""),"/",""),"-","")," ","")),14),UPPER(SUBSTITUTE(SUBSTITUTE(SUBSTITUTE(SUBSTITUTE(TRIM(C327),".",""),"/",""),"-","")," ",""))))</f>
        <v/>
      </c>
      <c r="E327" s="25" t="str">
        <f aca="false">IF(D327="","",IFERROR(INDEX(Empresas!$C:$C,MATCH(D327,Empresas!$B:$B,0)),"cadastre o CNPJ em Empresas"))</f>
        <v/>
      </c>
      <c r="F327" s="11"/>
      <c r="G327" s="23"/>
      <c r="H327" s="22"/>
      <c r="I327" s="35"/>
      <c r="J327" s="35"/>
      <c r="K327" s="36" t="str">
        <f aca="false">IF(I327="","",I327+J327)</f>
        <v/>
      </c>
      <c r="L327" s="37" t="str">
        <f aca="false">IF(OR(I327="",I327=0,J327=""),"",J327/I327)</f>
        <v/>
      </c>
      <c r="M327" s="25" t="str">
        <f aca="false">IF(L327="","",IF(L327&gt;0.25,"ACRÉSCIMO ACIMA DE 25% — conferir",""))</f>
        <v/>
      </c>
      <c r="N327" s="29" t="str">
        <f aca="false">IF(D327="","",IF(COUNTIFS(Empresas!$B:$B,D327,Empresas!$E:$E,"&lt;&gt;")=0,"",INDEX(Empresas!$E:$E,MATCH(D327,Empresas!$B:$B,0))))</f>
        <v/>
      </c>
      <c r="O327" s="27" t="str">
        <f aca="false">IF(OR(N327="",H327=""),"",H327-N327)</f>
        <v/>
      </c>
      <c r="P327" s="25" t="str">
        <f aca="false">IF(O327="","",IF(O327&lt;0,"CONTRATO ANTERIOR À ABERTURA — conferir datas",IF(O327&lt;180,"EMPRESA ABERTA MENOS DE 6 MESES ANTES","")))</f>
        <v/>
      </c>
      <c r="Q327" s="31" t="str">
        <f aca="false">IF(D327="","",IFERROR(INDEX(Sancoes!$D:$D,MATCH(D327,Sancoes!$C:$C,0)),"não consta"))</f>
        <v/>
      </c>
      <c r="R327" s="25" t="str">
        <f aca="false">IF(OR(D327="",H327=""),"",IF(SUMPRODUCT((Sancoes!$C$5:$C$304=D327)*(Sancoes!$G$5:$G$304&lt;=H327)*(((Sancoes!$H$5:$H$304="")+(Sancoes!$H$5:$H$304&gt;=H327))&gt;0))&gt;0,"SANÇÃO VIGENTE NA DATA — ler tipo e abrangência",""))</f>
        <v/>
      </c>
      <c r="S327" s="24"/>
      <c r="T327" s="11"/>
    </row>
    <row r="328" customFormat="false" ht="15" hidden="false" customHeight="false" outlineLevel="0" collapsed="false">
      <c r="A328" s="11"/>
      <c r="B328" s="24"/>
      <c r="C328" s="24"/>
      <c r="D328" s="31" t="str">
        <f aca="false">IF(C328="","",IF(LEN(UPPER(SUBSTITUTE(SUBSTITUTE(SUBSTITUTE(SUBSTITUTE(TRIM(C328),".",""),"/",""),"-","")," ","")))&lt;14,RIGHT(REPT("0",14)&amp;UPPER(SUBSTITUTE(SUBSTITUTE(SUBSTITUTE(SUBSTITUTE(TRIM(C328),".",""),"/",""),"-","")," ","")),14),UPPER(SUBSTITUTE(SUBSTITUTE(SUBSTITUTE(SUBSTITUTE(TRIM(C328),".",""),"/",""),"-","")," ",""))))</f>
        <v/>
      </c>
      <c r="E328" s="25" t="str">
        <f aca="false">IF(D328="","",IFERROR(INDEX(Empresas!$C:$C,MATCH(D328,Empresas!$B:$B,0)),"cadastre o CNPJ em Empresas"))</f>
        <v/>
      </c>
      <c r="F328" s="11"/>
      <c r="G328" s="23"/>
      <c r="H328" s="22"/>
      <c r="I328" s="35"/>
      <c r="J328" s="35"/>
      <c r="K328" s="36" t="str">
        <f aca="false">IF(I328="","",I328+J328)</f>
        <v/>
      </c>
      <c r="L328" s="37" t="str">
        <f aca="false">IF(OR(I328="",I328=0,J328=""),"",J328/I328)</f>
        <v/>
      </c>
      <c r="M328" s="25" t="str">
        <f aca="false">IF(L328="","",IF(L328&gt;0.25,"ACRÉSCIMO ACIMA DE 25% — conferir",""))</f>
        <v/>
      </c>
      <c r="N328" s="29" t="str">
        <f aca="false">IF(D328="","",IF(COUNTIFS(Empresas!$B:$B,D328,Empresas!$E:$E,"&lt;&gt;")=0,"",INDEX(Empresas!$E:$E,MATCH(D328,Empresas!$B:$B,0))))</f>
        <v/>
      </c>
      <c r="O328" s="27" t="str">
        <f aca="false">IF(OR(N328="",H328=""),"",H328-N328)</f>
        <v/>
      </c>
      <c r="P328" s="25" t="str">
        <f aca="false">IF(O328="","",IF(O328&lt;0,"CONTRATO ANTERIOR À ABERTURA — conferir datas",IF(O328&lt;180,"EMPRESA ABERTA MENOS DE 6 MESES ANTES","")))</f>
        <v/>
      </c>
      <c r="Q328" s="31" t="str">
        <f aca="false">IF(D328="","",IFERROR(INDEX(Sancoes!$D:$D,MATCH(D328,Sancoes!$C:$C,0)),"não consta"))</f>
        <v/>
      </c>
      <c r="R328" s="25" t="str">
        <f aca="false">IF(OR(D328="",H328=""),"",IF(SUMPRODUCT((Sancoes!$C$5:$C$304=D328)*(Sancoes!$G$5:$G$304&lt;=H328)*(((Sancoes!$H$5:$H$304="")+(Sancoes!$H$5:$H$304&gt;=H328))&gt;0))&gt;0,"SANÇÃO VIGENTE NA DATA — ler tipo e abrangência",""))</f>
        <v/>
      </c>
      <c r="S328" s="24"/>
      <c r="T328" s="11"/>
    </row>
    <row r="329" customFormat="false" ht="15" hidden="false" customHeight="false" outlineLevel="0" collapsed="false">
      <c r="A329" s="11"/>
      <c r="B329" s="24"/>
      <c r="C329" s="24"/>
      <c r="D329" s="31" t="str">
        <f aca="false">IF(C329="","",IF(LEN(UPPER(SUBSTITUTE(SUBSTITUTE(SUBSTITUTE(SUBSTITUTE(TRIM(C329),".",""),"/",""),"-","")," ","")))&lt;14,RIGHT(REPT("0",14)&amp;UPPER(SUBSTITUTE(SUBSTITUTE(SUBSTITUTE(SUBSTITUTE(TRIM(C329),".",""),"/",""),"-","")," ","")),14),UPPER(SUBSTITUTE(SUBSTITUTE(SUBSTITUTE(SUBSTITUTE(TRIM(C329),".",""),"/",""),"-","")," ",""))))</f>
        <v/>
      </c>
      <c r="E329" s="25" t="str">
        <f aca="false">IF(D329="","",IFERROR(INDEX(Empresas!$C:$C,MATCH(D329,Empresas!$B:$B,0)),"cadastre o CNPJ em Empresas"))</f>
        <v/>
      </c>
      <c r="F329" s="11"/>
      <c r="G329" s="23"/>
      <c r="H329" s="22"/>
      <c r="I329" s="35"/>
      <c r="J329" s="35"/>
      <c r="K329" s="36" t="str">
        <f aca="false">IF(I329="","",I329+J329)</f>
        <v/>
      </c>
      <c r="L329" s="37" t="str">
        <f aca="false">IF(OR(I329="",I329=0,J329=""),"",J329/I329)</f>
        <v/>
      </c>
      <c r="M329" s="25" t="str">
        <f aca="false">IF(L329="","",IF(L329&gt;0.25,"ACRÉSCIMO ACIMA DE 25% — conferir",""))</f>
        <v/>
      </c>
      <c r="N329" s="29" t="str">
        <f aca="false">IF(D329="","",IF(COUNTIFS(Empresas!$B:$B,D329,Empresas!$E:$E,"&lt;&gt;")=0,"",INDEX(Empresas!$E:$E,MATCH(D329,Empresas!$B:$B,0))))</f>
        <v/>
      </c>
      <c r="O329" s="27" t="str">
        <f aca="false">IF(OR(N329="",H329=""),"",H329-N329)</f>
        <v/>
      </c>
      <c r="P329" s="25" t="str">
        <f aca="false">IF(O329="","",IF(O329&lt;0,"CONTRATO ANTERIOR À ABERTURA — conferir datas",IF(O329&lt;180,"EMPRESA ABERTA MENOS DE 6 MESES ANTES","")))</f>
        <v/>
      </c>
      <c r="Q329" s="31" t="str">
        <f aca="false">IF(D329="","",IFERROR(INDEX(Sancoes!$D:$D,MATCH(D329,Sancoes!$C:$C,0)),"não consta"))</f>
        <v/>
      </c>
      <c r="R329" s="25" t="str">
        <f aca="false">IF(OR(D329="",H329=""),"",IF(SUMPRODUCT((Sancoes!$C$5:$C$304=D329)*(Sancoes!$G$5:$G$304&lt;=H329)*(((Sancoes!$H$5:$H$304="")+(Sancoes!$H$5:$H$304&gt;=H329))&gt;0))&gt;0,"SANÇÃO VIGENTE NA DATA — ler tipo e abrangência",""))</f>
        <v/>
      </c>
      <c r="S329" s="24"/>
      <c r="T329" s="11"/>
    </row>
    <row r="330" customFormat="false" ht="15" hidden="false" customHeight="false" outlineLevel="0" collapsed="false">
      <c r="A330" s="11"/>
      <c r="B330" s="24"/>
      <c r="C330" s="24"/>
      <c r="D330" s="31" t="str">
        <f aca="false">IF(C330="","",IF(LEN(UPPER(SUBSTITUTE(SUBSTITUTE(SUBSTITUTE(SUBSTITUTE(TRIM(C330),".",""),"/",""),"-","")," ","")))&lt;14,RIGHT(REPT("0",14)&amp;UPPER(SUBSTITUTE(SUBSTITUTE(SUBSTITUTE(SUBSTITUTE(TRIM(C330),".",""),"/",""),"-","")," ","")),14),UPPER(SUBSTITUTE(SUBSTITUTE(SUBSTITUTE(SUBSTITUTE(TRIM(C330),".",""),"/",""),"-","")," ",""))))</f>
        <v/>
      </c>
      <c r="E330" s="25" t="str">
        <f aca="false">IF(D330="","",IFERROR(INDEX(Empresas!$C:$C,MATCH(D330,Empresas!$B:$B,0)),"cadastre o CNPJ em Empresas"))</f>
        <v/>
      </c>
      <c r="F330" s="11"/>
      <c r="G330" s="23"/>
      <c r="H330" s="22"/>
      <c r="I330" s="35"/>
      <c r="J330" s="35"/>
      <c r="K330" s="36" t="str">
        <f aca="false">IF(I330="","",I330+J330)</f>
        <v/>
      </c>
      <c r="L330" s="37" t="str">
        <f aca="false">IF(OR(I330="",I330=0,J330=""),"",J330/I330)</f>
        <v/>
      </c>
      <c r="M330" s="25" t="str">
        <f aca="false">IF(L330="","",IF(L330&gt;0.25,"ACRÉSCIMO ACIMA DE 25% — conferir",""))</f>
        <v/>
      </c>
      <c r="N330" s="29" t="str">
        <f aca="false">IF(D330="","",IF(COUNTIFS(Empresas!$B:$B,D330,Empresas!$E:$E,"&lt;&gt;")=0,"",INDEX(Empresas!$E:$E,MATCH(D330,Empresas!$B:$B,0))))</f>
        <v/>
      </c>
      <c r="O330" s="27" t="str">
        <f aca="false">IF(OR(N330="",H330=""),"",H330-N330)</f>
        <v/>
      </c>
      <c r="P330" s="25" t="str">
        <f aca="false">IF(O330="","",IF(O330&lt;0,"CONTRATO ANTERIOR À ABERTURA — conferir datas",IF(O330&lt;180,"EMPRESA ABERTA MENOS DE 6 MESES ANTES","")))</f>
        <v/>
      </c>
      <c r="Q330" s="31" t="str">
        <f aca="false">IF(D330="","",IFERROR(INDEX(Sancoes!$D:$D,MATCH(D330,Sancoes!$C:$C,0)),"não consta"))</f>
        <v/>
      </c>
      <c r="R330" s="25" t="str">
        <f aca="false">IF(OR(D330="",H330=""),"",IF(SUMPRODUCT((Sancoes!$C$5:$C$304=D330)*(Sancoes!$G$5:$G$304&lt;=H330)*(((Sancoes!$H$5:$H$304="")+(Sancoes!$H$5:$H$304&gt;=H330))&gt;0))&gt;0,"SANÇÃO VIGENTE NA DATA — ler tipo e abrangência",""))</f>
        <v/>
      </c>
      <c r="S330" s="24"/>
      <c r="T330" s="11"/>
    </row>
    <row r="331" customFormat="false" ht="15" hidden="false" customHeight="false" outlineLevel="0" collapsed="false">
      <c r="A331" s="11"/>
      <c r="B331" s="24"/>
      <c r="C331" s="24"/>
      <c r="D331" s="31" t="str">
        <f aca="false">IF(C331="","",IF(LEN(UPPER(SUBSTITUTE(SUBSTITUTE(SUBSTITUTE(SUBSTITUTE(TRIM(C331),".",""),"/",""),"-","")," ","")))&lt;14,RIGHT(REPT("0",14)&amp;UPPER(SUBSTITUTE(SUBSTITUTE(SUBSTITUTE(SUBSTITUTE(TRIM(C331),".",""),"/",""),"-","")," ","")),14),UPPER(SUBSTITUTE(SUBSTITUTE(SUBSTITUTE(SUBSTITUTE(TRIM(C331),".",""),"/",""),"-","")," ",""))))</f>
        <v/>
      </c>
      <c r="E331" s="25" t="str">
        <f aca="false">IF(D331="","",IFERROR(INDEX(Empresas!$C:$C,MATCH(D331,Empresas!$B:$B,0)),"cadastre o CNPJ em Empresas"))</f>
        <v/>
      </c>
      <c r="F331" s="11"/>
      <c r="G331" s="23"/>
      <c r="H331" s="22"/>
      <c r="I331" s="35"/>
      <c r="J331" s="35"/>
      <c r="K331" s="36" t="str">
        <f aca="false">IF(I331="","",I331+J331)</f>
        <v/>
      </c>
      <c r="L331" s="37" t="str">
        <f aca="false">IF(OR(I331="",I331=0,J331=""),"",J331/I331)</f>
        <v/>
      </c>
      <c r="M331" s="25" t="str">
        <f aca="false">IF(L331="","",IF(L331&gt;0.25,"ACRÉSCIMO ACIMA DE 25% — conferir",""))</f>
        <v/>
      </c>
      <c r="N331" s="29" t="str">
        <f aca="false">IF(D331="","",IF(COUNTIFS(Empresas!$B:$B,D331,Empresas!$E:$E,"&lt;&gt;")=0,"",INDEX(Empresas!$E:$E,MATCH(D331,Empresas!$B:$B,0))))</f>
        <v/>
      </c>
      <c r="O331" s="27" t="str">
        <f aca="false">IF(OR(N331="",H331=""),"",H331-N331)</f>
        <v/>
      </c>
      <c r="P331" s="25" t="str">
        <f aca="false">IF(O331="","",IF(O331&lt;0,"CONTRATO ANTERIOR À ABERTURA — conferir datas",IF(O331&lt;180,"EMPRESA ABERTA MENOS DE 6 MESES ANTES","")))</f>
        <v/>
      </c>
      <c r="Q331" s="31" t="str">
        <f aca="false">IF(D331="","",IFERROR(INDEX(Sancoes!$D:$D,MATCH(D331,Sancoes!$C:$C,0)),"não consta"))</f>
        <v/>
      </c>
      <c r="R331" s="25" t="str">
        <f aca="false">IF(OR(D331="",H331=""),"",IF(SUMPRODUCT((Sancoes!$C$5:$C$304=D331)*(Sancoes!$G$5:$G$304&lt;=H331)*(((Sancoes!$H$5:$H$304="")+(Sancoes!$H$5:$H$304&gt;=H331))&gt;0))&gt;0,"SANÇÃO VIGENTE NA DATA — ler tipo e abrangência",""))</f>
        <v/>
      </c>
      <c r="S331" s="24"/>
      <c r="T331" s="11"/>
    </row>
    <row r="332" customFormat="false" ht="15" hidden="false" customHeight="false" outlineLevel="0" collapsed="false">
      <c r="A332" s="11"/>
      <c r="B332" s="24"/>
      <c r="C332" s="24"/>
      <c r="D332" s="31" t="str">
        <f aca="false">IF(C332="","",IF(LEN(UPPER(SUBSTITUTE(SUBSTITUTE(SUBSTITUTE(SUBSTITUTE(TRIM(C332),".",""),"/",""),"-","")," ","")))&lt;14,RIGHT(REPT("0",14)&amp;UPPER(SUBSTITUTE(SUBSTITUTE(SUBSTITUTE(SUBSTITUTE(TRIM(C332),".",""),"/",""),"-","")," ","")),14),UPPER(SUBSTITUTE(SUBSTITUTE(SUBSTITUTE(SUBSTITUTE(TRIM(C332),".",""),"/",""),"-","")," ",""))))</f>
        <v/>
      </c>
      <c r="E332" s="25" t="str">
        <f aca="false">IF(D332="","",IFERROR(INDEX(Empresas!$C:$C,MATCH(D332,Empresas!$B:$B,0)),"cadastre o CNPJ em Empresas"))</f>
        <v/>
      </c>
      <c r="F332" s="11"/>
      <c r="G332" s="23"/>
      <c r="H332" s="22"/>
      <c r="I332" s="35"/>
      <c r="J332" s="35"/>
      <c r="K332" s="36" t="str">
        <f aca="false">IF(I332="","",I332+J332)</f>
        <v/>
      </c>
      <c r="L332" s="37" t="str">
        <f aca="false">IF(OR(I332="",I332=0,J332=""),"",J332/I332)</f>
        <v/>
      </c>
      <c r="M332" s="25" t="str">
        <f aca="false">IF(L332="","",IF(L332&gt;0.25,"ACRÉSCIMO ACIMA DE 25% — conferir",""))</f>
        <v/>
      </c>
      <c r="N332" s="29" t="str">
        <f aca="false">IF(D332="","",IF(COUNTIFS(Empresas!$B:$B,D332,Empresas!$E:$E,"&lt;&gt;")=0,"",INDEX(Empresas!$E:$E,MATCH(D332,Empresas!$B:$B,0))))</f>
        <v/>
      </c>
      <c r="O332" s="27" t="str">
        <f aca="false">IF(OR(N332="",H332=""),"",H332-N332)</f>
        <v/>
      </c>
      <c r="P332" s="25" t="str">
        <f aca="false">IF(O332="","",IF(O332&lt;0,"CONTRATO ANTERIOR À ABERTURA — conferir datas",IF(O332&lt;180,"EMPRESA ABERTA MENOS DE 6 MESES ANTES","")))</f>
        <v/>
      </c>
      <c r="Q332" s="31" t="str">
        <f aca="false">IF(D332="","",IFERROR(INDEX(Sancoes!$D:$D,MATCH(D332,Sancoes!$C:$C,0)),"não consta"))</f>
        <v/>
      </c>
      <c r="R332" s="25" t="str">
        <f aca="false">IF(OR(D332="",H332=""),"",IF(SUMPRODUCT((Sancoes!$C$5:$C$304=D332)*(Sancoes!$G$5:$G$304&lt;=H332)*(((Sancoes!$H$5:$H$304="")+(Sancoes!$H$5:$H$304&gt;=H332))&gt;0))&gt;0,"SANÇÃO VIGENTE NA DATA — ler tipo e abrangência",""))</f>
        <v/>
      </c>
      <c r="S332" s="24"/>
      <c r="T332" s="11"/>
    </row>
    <row r="333" customFormat="false" ht="15" hidden="false" customHeight="false" outlineLevel="0" collapsed="false">
      <c r="A333" s="11"/>
      <c r="B333" s="24"/>
      <c r="C333" s="24"/>
      <c r="D333" s="31" t="str">
        <f aca="false">IF(C333="","",IF(LEN(UPPER(SUBSTITUTE(SUBSTITUTE(SUBSTITUTE(SUBSTITUTE(TRIM(C333),".",""),"/",""),"-","")," ","")))&lt;14,RIGHT(REPT("0",14)&amp;UPPER(SUBSTITUTE(SUBSTITUTE(SUBSTITUTE(SUBSTITUTE(TRIM(C333),".",""),"/",""),"-","")," ","")),14),UPPER(SUBSTITUTE(SUBSTITUTE(SUBSTITUTE(SUBSTITUTE(TRIM(C333),".",""),"/",""),"-","")," ",""))))</f>
        <v/>
      </c>
      <c r="E333" s="25" t="str">
        <f aca="false">IF(D333="","",IFERROR(INDEX(Empresas!$C:$C,MATCH(D333,Empresas!$B:$B,0)),"cadastre o CNPJ em Empresas"))</f>
        <v/>
      </c>
      <c r="F333" s="11"/>
      <c r="G333" s="23"/>
      <c r="H333" s="22"/>
      <c r="I333" s="35"/>
      <c r="J333" s="35"/>
      <c r="K333" s="36" t="str">
        <f aca="false">IF(I333="","",I333+J333)</f>
        <v/>
      </c>
      <c r="L333" s="37" t="str">
        <f aca="false">IF(OR(I333="",I333=0,J333=""),"",J333/I333)</f>
        <v/>
      </c>
      <c r="M333" s="25" t="str">
        <f aca="false">IF(L333="","",IF(L333&gt;0.25,"ACRÉSCIMO ACIMA DE 25% — conferir",""))</f>
        <v/>
      </c>
      <c r="N333" s="29" t="str">
        <f aca="false">IF(D333="","",IF(COUNTIFS(Empresas!$B:$B,D333,Empresas!$E:$E,"&lt;&gt;")=0,"",INDEX(Empresas!$E:$E,MATCH(D333,Empresas!$B:$B,0))))</f>
        <v/>
      </c>
      <c r="O333" s="27" t="str">
        <f aca="false">IF(OR(N333="",H333=""),"",H333-N333)</f>
        <v/>
      </c>
      <c r="P333" s="25" t="str">
        <f aca="false">IF(O333="","",IF(O333&lt;0,"CONTRATO ANTERIOR À ABERTURA — conferir datas",IF(O333&lt;180,"EMPRESA ABERTA MENOS DE 6 MESES ANTES","")))</f>
        <v/>
      </c>
      <c r="Q333" s="31" t="str">
        <f aca="false">IF(D333="","",IFERROR(INDEX(Sancoes!$D:$D,MATCH(D333,Sancoes!$C:$C,0)),"não consta"))</f>
        <v/>
      </c>
      <c r="R333" s="25" t="str">
        <f aca="false">IF(OR(D333="",H333=""),"",IF(SUMPRODUCT((Sancoes!$C$5:$C$304=D333)*(Sancoes!$G$5:$G$304&lt;=H333)*(((Sancoes!$H$5:$H$304="")+(Sancoes!$H$5:$H$304&gt;=H333))&gt;0))&gt;0,"SANÇÃO VIGENTE NA DATA — ler tipo e abrangência",""))</f>
        <v/>
      </c>
      <c r="S333" s="24"/>
      <c r="T333" s="11"/>
    </row>
    <row r="334" customFormat="false" ht="15" hidden="false" customHeight="false" outlineLevel="0" collapsed="false">
      <c r="A334" s="11"/>
      <c r="B334" s="24"/>
      <c r="C334" s="24"/>
      <c r="D334" s="31" t="str">
        <f aca="false">IF(C334="","",IF(LEN(UPPER(SUBSTITUTE(SUBSTITUTE(SUBSTITUTE(SUBSTITUTE(TRIM(C334),".",""),"/",""),"-","")," ","")))&lt;14,RIGHT(REPT("0",14)&amp;UPPER(SUBSTITUTE(SUBSTITUTE(SUBSTITUTE(SUBSTITUTE(TRIM(C334),".",""),"/",""),"-","")," ","")),14),UPPER(SUBSTITUTE(SUBSTITUTE(SUBSTITUTE(SUBSTITUTE(TRIM(C334),".",""),"/",""),"-","")," ",""))))</f>
        <v/>
      </c>
      <c r="E334" s="25" t="str">
        <f aca="false">IF(D334="","",IFERROR(INDEX(Empresas!$C:$C,MATCH(D334,Empresas!$B:$B,0)),"cadastre o CNPJ em Empresas"))</f>
        <v/>
      </c>
      <c r="F334" s="11"/>
      <c r="G334" s="23"/>
      <c r="H334" s="22"/>
      <c r="I334" s="35"/>
      <c r="J334" s="35"/>
      <c r="K334" s="36" t="str">
        <f aca="false">IF(I334="","",I334+J334)</f>
        <v/>
      </c>
      <c r="L334" s="37" t="str">
        <f aca="false">IF(OR(I334="",I334=0,J334=""),"",J334/I334)</f>
        <v/>
      </c>
      <c r="M334" s="25" t="str">
        <f aca="false">IF(L334="","",IF(L334&gt;0.25,"ACRÉSCIMO ACIMA DE 25% — conferir",""))</f>
        <v/>
      </c>
      <c r="N334" s="29" t="str">
        <f aca="false">IF(D334="","",IF(COUNTIFS(Empresas!$B:$B,D334,Empresas!$E:$E,"&lt;&gt;")=0,"",INDEX(Empresas!$E:$E,MATCH(D334,Empresas!$B:$B,0))))</f>
        <v/>
      </c>
      <c r="O334" s="27" t="str">
        <f aca="false">IF(OR(N334="",H334=""),"",H334-N334)</f>
        <v/>
      </c>
      <c r="P334" s="25" t="str">
        <f aca="false">IF(O334="","",IF(O334&lt;0,"CONTRATO ANTERIOR À ABERTURA — conferir datas",IF(O334&lt;180,"EMPRESA ABERTA MENOS DE 6 MESES ANTES","")))</f>
        <v/>
      </c>
      <c r="Q334" s="31" t="str">
        <f aca="false">IF(D334="","",IFERROR(INDEX(Sancoes!$D:$D,MATCH(D334,Sancoes!$C:$C,0)),"não consta"))</f>
        <v/>
      </c>
      <c r="R334" s="25" t="str">
        <f aca="false">IF(OR(D334="",H334=""),"",IF(SUMPRODUCT((Sancoes!$C$5:$C$304=D334)*(Sancoes!$G$5:$G$304&lt;=H334)*(((Sancoes!$H$5:$H$304="")+(Sancoes!$H$5:$H$304&gt;=H334))&gt;0))&gt;0,"SANÇÃO VIGENTE NA DATA — ler tipo e abrangência",""))</f>
        <v/>
      </c>
      <c r="S334" s="24"/>
      <c r="T334" s="11"/>
    </row>
    <row r="335" customFormat="false" ht="15" hidden="false" customHeight="false" outlineLevel="0" collapsed="false">
      <c r="A335" s="11"/>
      <c r="B335" s="24"/>
      <c r="C335" s="24"/>
      <c r="D335" s="31" t="str">
        <f aca="false">IF(C335="","",IF(LEN(UPPER(SUBSTITUTE(SUBSTITUTE(SUBSTITUTE(SUBSTITUTE(TRIM(C335),".",""),"/",""),"-","")," ","")))&lt;14,RIGHT(REPT("0",14)&amp;UPPER(SUBSTITUTE(SUBSTITUTE(SUBSTITUTE(SUBSTITUTE(TRIM(C335),".",""),"/",""),"-","")," ","")),14),UPPER(SUBSTITUTE(SUBSTITUTE(SUBSTITUTE(SUBSTITUTE(TRIM(C335),".",""),"/",""),"-","")," ",""))))</f>
        <v/>
      </c>
      <c r="E335" s="25" t="str">
        <f aca="false">IF(D335="","",IFERROR(INDEX(Empresas!$C:$C,MATCH(D335,Empresas!$B:$B,0)),"cadastre o CNPJ em Empresas"))</f>
        <v/>
      </c>
      <c r="F335" s="11"/>
      <c r="G335" s="23"/>
      <c r="H335" s="22"/>
      <c r="I335" s="35"/>
      <c r="J335" s="35"/>
      <c r="K335" s="36" t="str">
        <f aca="false">IF(I335="","",I335+J335)</f>
        <v/>
      </c>
      <c r="L335" s="37" t="str">
        <f aca="false">IF(OR(I335="",I335=0,J335=""),"",J335/I335)</f>
        <v/>
      </c>
      <c r="M335" s="25" t="str">
        <f aca="false">IF(L335="","",IF(L335&gt;0.25,"ACRÉSCIMO ACIMA DE 25% — conferir",""))</f>
        <v/>
      </c>
      <c r="N335" s="29" t="str">
        <f aca="false">IF(D335="","",IF(COUNTIFS(Empresas!$B:$B,D335,Empresas!$E:$E,"&lt;&gt;")=0,"",INDEX(Empresas!$E:$E,MATCH(D335,Empresas!$B:$B,0))))</f>
        <v/>
      </c>
      <c r="O335" s="27" t="str">
        <f aca="false">IF(OR(N335="",H335=""),"",H335-N335)</f>
        <v/>
      </c>
      <c r="P335" s="25" t="str">
        <f aca="false">IF(O335="","",IF(O335&lt;0,"CONTRATO ANTERIOR À ABERTURA — conferir datas",IF(O335&lt;180,"EMPRESA ABERTA MENOS DE 6 MESES ANTES","")))</f>
        <v/>
      </c>
      <c r="Q335" s="31" t="str">
        <f aca="false">IF(D335="","",IFERROR(INDEX(Sancoes!$D:$D,MATCH(D335,Sancoes!$C:$C,0)),"não consta"))</f>
        <v/>
      </c>
      <c r="R335" s="25" t="str">
        <f aca="false">IF(OR(D335="",H335=""),"",IF(SUMPRODUCT((Sancoes!$C$5:$C$304=D335)*(Sancoes!$G$5:$G$304&lt;=H335)*(((Sancoes!$H$5:$H$304="")+(Sancoes!$H$5:$H$304&gt;=H335))&gt;0))&gt;0,"SANÇÃO VIGENTE NA DATA — ler tipo e abrangência",""))</f>
        <v/>
      </c>
      <c r="S335" s="24"/>
      <c r="T335" s="11"/>
    </row>
    <row r="336" customFormat="false" ht="15" hidden="false" customHeight="false" outlineLevel="0" collapsed="false">
      <c r="A336" s="11"/>
      <c r="B336" s="24"/>
      <c r="C336" s="24"/>
      <c r="D336" s="31" t="str">
        <f aca="false">IF(C336="","",IF(LEN(UPPER(SUBSTITUTE(SUBSTITUTE(SUBSTITUTE(SUBSTITUTE(TRIM(C336),".",""),"/",""),"-","")," ","")))&lt;14,RIGHT(REPT("0",14)&amp;UPPER(SUBSTITUTE(SUBSTITUTE(SUBSTITUTE(SUBSTITUTE(TRIM(C336),".",""),"/",""),"-","")," ","")),14),UPPER(SUBSTITUTE(SUBSTITUTE(SUBSTITUTE(SUBSTITUTE(TRIM(C336),".",""),"/",""),"-","")," ",""))))</f>
        <v/>
      </c>
      <c r="E336" s="25" t="str">
        <f aca="false">IF(D336="","",IFERROR(INDEX(Empresas!$C:$C,MATCH(D336,Empresas!$B:$B,0)),"cadastre o CNPJ em Empresas"))</f>
        <v/>
      </c>
      <c r="F336" s="11"/>
      <c r="G336" s="23"/>
      <c r="H336" s="22"/>
      <c r="I336" s="35"/>
      <c r="J336" s="35"/>
      <c r="K336" s="36" t="str">
        <f aca="false">IF(I336="","",I336+J336)</f>
        <v/>
      </c>
      <c r="L336" s="37" t="str">
        <f aca="false">IF(OR(I336="",I336=0,J336=""),"",J336/I336)</f>
        <v/>
      </c>
      <c r="M336" s="25" t="str">
        <f aca="false">IF(L336="","",IF(L336&gt;0.25,"ACRÉSCIMO ACIMA DE 25% — conferir",""))</f>
        <v/>
      </c>
      <c r="N336" s="29" t="str">
        <f aca="false">IF(D336="","",IF(COUNTIFS(Empresas!$B:$B,D336,Empresas!$E:$E,"&lt;&gt;")=0,"",INDEX(Empresas!$E:$E,MATCH(D336,Empresas!$B:$B,0))))</f>
        <v/>
      </c>
      <c r="O336" s="27" t="str">
        <f aca="false">IF(OR(N336="",H336=""),"",H336-N336)</f>
        <v/>
      </c>
      <c r="P336" s="25" t="str">
        <f aca="false">IF(O336="","",IF(O336&lt;0,"CONTRATO ANTERIOR À ABERTURA — conferir datas",IF(O336&lt;180,"EMPRESA ABERTA MENOS DE 6 MESES ANTES","")))</f>
        <v/>
      </c>
      <c r="Q336" s="31" t="str">
        <f aca="false">IF(D336="","",IFERROR(INDEX(Sancoes!$D:$D,MATCH(D336,Sancoes!$C:$C,0)),"não consta"))</f>
        <v/>
      </c>
      <c r="R336" s="25" t="str">
        <f aca="false">IF(OR(D336="",H336=""),"",IF(SUMPRODUCT((Sancoes!$C$5:$C$304=D336)*(Sancoes!$G$5:$G$304&lt;=H336)*(((Sancoes!$H$5:$H$304="")+(Sancoes!$H$5:$H$304&gt;=H336))&gt;0))&gt;0,"SANÇÃO VIGENTE NA DATA — ler tipo e abrangência",""))</f>
        <v/>
      </c>
      <c r="S336" s="24"/>
      <c r="T336" s="11"/>
    </row>
    <row r="337" customFormat="false" ht="15" hidden="false" customHeight="false" outlineLevel="0" collapsed="false">
      <c r="A337" s="11"/>
      <c r="B337" s="24"/>
      <c r="C337" s="24"/>
      <c r="D337" s="31" t="str">
        <f aca="false">IF(C337="","",IF(LEN(UPPER(SUBSTITUTE(SUBSTITUTE(SUBSTITUTE(SUBSTITUTE(TRIM(C337),".",""),"/",""),"-","")," ","")))&lt;14,RIGHT(REPT("0",14)&amp;UPPER(SUBSTITUTE(SUBSTITUTE(SUBSTITUTE(SUBSTITUTE(TRIM(C337),".",""),"/",""),"-","")," ","")),14),UPPER(SUBSTITUTE(SUBSTITUTE(SUBSTITUTE(SUBSTITUTE(TRIM(C337),".",""),"/",""),"-","")," ",""))))</f>
        <v/>
      </c>
      <c r="E337" s="25" t="str">
        <f aca="false">IF(D337="","",IFERROR(INDEX(Empresas!$C:$C,MATCH(D337,Empresas!$B:$B,0)),"cadastre o CNPJ em Empresas"))</f>
        <v/>
      </c>
      <c r="F337" s="11"/>
      <c r="G337" s="23"/>
      <c r="H337" s="22"/>
      <c r="I337" s="35"/>
      <c r="J337" s="35"/>
      <c r="K337" s="36" t="str">
        <f aca="false">IF(I337="","",I337+J337)</f>
        <v/>
      </c>
      <c r="L337" s="37" t="str">
        <f aca="false">IF(OR(I337="",I337=0,J337=""),"",J337/I337)</f>
        <v/>
      </c>
      <c r="M337" s="25" t="str">
        <f aca="false">IF(L337="","",IF(L337&gt;0.25,"ACRÉSCIMO ACIMA DE 25% — conferir",""))</f>
        <v/>
      </c>
      <c r="N337" s="29" t="str">
        <f aca="false">IF(D337="","",IF(COUNTIFS(Empresas!$B:$B,D337,Empresas!$E:$E,"&lt;&gt;")=0,"",INDEX(Empresas!$E:$E,MATCH(D337,Empresas!$B:$B,0))))</f>
        <v/>
      </c>
      <c r="O337" s="27" t="str">
        <f aca="false">IF(OR(N337="",H337=""),"",H337-N337)</f>
        <v/>
      </c>
      <c r="P337" s="25" t="str">
        <f aca="false">IF(O337="","",IF(O337&lt;0,"CONTRATO ANTERIOR À ABERTURA — conferir datas",IF(O337&lt;180,"EMPRESA ABERTA MENOS DE 6 MESES ANTES","")))</f>
        <v/>
      </c>
      <c r="Q337" s="31" t="str">
        <f aca="false">IF(D337="","",IFERROR(INDEX(Sancoes!$D:$D,MATCH(D337,Sancoes!$C:$C,0)),"não consta"))</f>
        <v/>
      </c>
      <c r="R337" s="25" t="str">
        <f aca="false">IF(OR(D337="",H337=""),"",IF(SUMPRODUCT((Sancoes!$C$5:$C$304=D337)*(Sancoes!$G$5:$G$304&lt;=H337)*(((Sancoes!$H$5:$H$304="")+(Sancoes!$H$5:$H$304&gt;=H337))&gt;0))&gt;0,"SANÇÃO VIGENTE NA DATA — ler tipo e abrangência",""))</f>
        <v/>
      </c>
      <c r="S337" s="24"/>
      <c r="T337" s="11"/>
    </row>
    <row r="338" customFormat="false" ht="15" hidden="false" customHeight="false" outlineLevel="0" collapsed="false">
      <c r="A338" s="11"/>
      <c r="B338" s="24"/>
      <c r="C338" s="24"/>
      <c r="D338" s="31" t="str">
        <f aca="false">IF(C338="","",IF(LEN(UPPER(SUBSTITUTE(SUBSTITUTE(SUBSTITUTE(SUBSTITUTE(TRIM(C338),".",""),"/",""),"-","")," ","")))&lt;14,RIGHT(REPT("0",14)&amp;UPPER(SUBSTITUTE(SUBSTITUTE(SUBSTITUTE(SUBSTITUTE(TRIM(C338),".",""),"/",""),"-","")," ","")),14),UPPER(SUBSTITUTE(SUBSTITUTE(SUBSTITUTE(SUBSTITUTE(TRIM(C338),".",""),"/",""),"-","")," ",""))))</f>
        <v/>
      </c>
      <c r="E338" s="25" t="str">
        <f aca="false">IF(D338="","",IFERROR(INDEX(Empresas!$C:$C,MATCH(D338,Empresas!$B:$B,0)),"cadastre o CNPJ em Empresas"))</f>
        <v/>
      </c>
      <c r="F338" s="11"/>
      <c r="G338" s="23"/>
      <c r="H338" s="22"/>
      <c r="I338" s="35"/>
      <c r="J338" s="35"/>
      <c r="K338" s="36" t="str">
        <f aca="false">IF(I338="","",I338+J338)</f>
        <v/>
      </c>
      <c r="L338" s="37" t="str">
        <f aca="false">IF(OR(I338="",I338=0,J338=""),"",J338/I338)</f>
        <v/>
      </c>
      <c r="M338" s="25" t="str">
        <f aca="false">IF(L338="","",IF(L338&gt;0.25,"ACRÉSCIMO ACIMA DE 25% — conferir",""))</f>
        <v/>
      </c>
      <c r="N338" s="29" t="str">
        <f aca="false">IF(D338="","",IF(COUNTIFS(Empresas!$B:$B,D338,Empresas!$E:$E,"&lt;&gt;")=0,"",INDEX(Empresas!$E:$E,MATCH(D338,Empresas!$B:$B,0))))</f>
        <v/>
      </c>
      <c r="O338" s="27" t="str">
        <f aca="false">IF(OR(N338="",H338=""),"",H338-N338)</f>
        <v/>
      </c>
      <c r="P338" s="25" t="str">
        <f aca="false">IF(O338="","",IF(O338&lt;0,"CONTRATO ANTERIOR À ABERTURA — conferir datas",IF(O338&lt;180,"EMPRESA ABERTA MENOS DE 6 MESES ANTES","")))</f>
        <v/>
      </c>
      <c r="Q338" s="31" t="str">
        <f aca="false">IF(D338="","",IFERROR(INDEX(Sancoes!$D:$D,MATCH(D338,Sancoes!$C:$C,0)),"não consta"))</f>
        <v/>
      </c>
      <c r="R338" s="25" t="str">
        <f aca="false">IF(OR(D338="",H338=""),"",IF(SUMPRODUCT((Sancoes!$C$5:$C$304=D338)*(Sancoes!$G$5:$G$304&lt;=H338)*(((Sancoes!$H$5:$H$304="")+(Sancoes!$H$5:$H$304&gt;=H338))&gt;0))&gt;0,"SANÇÃO VIGENTE NA DATA — ler tipo e abrangência",""))</f>
        <v/>
      </c>
      <c r="S338" s="24"/>
      <c r="T338" s="11"/>
    </row>
    <row r="339" customFormat="false" ht="15" hidden="false" customHeight="false" outlineLevel="0" collapsed="false">
      <c r="A339" s="11"/>
      <c r="B339" s="24"/>
      <c r="C339" s="24"/>
      <c r="D339" s="31" t="str">
        <f aca="false">IF(C339="","",IF(LEN(UPPER(SUBSTITUTE(SUBSTITUTE(SUBSTITUTE(SUBSTITUTE(TRIM(C339),".",""),"/",""),"-","")," ","")))&lt;14,RIGHT(REPT("0",14)&amp;UPPER(SUBSTITUTE(SUBSTITUTE(SUBSTITUTE(SUBSTITUTE(TRIM(C339),".",""),"/",""),"-","")," ","")),14),UPPER(SUBSTITUTE(SUBSTITUTE(SUBSTITUTE(SUBSTITUTE(TRIM(C339),".",""),"/",""),"-","")," ",""))))</f>
        <v/>
      </c>
      <c r="E339" s="25" t="str">
        <f aca="false">IF(D339="","",IFERROR(INDEX(Empresas!$C:$C,MATCH(D339,Empresas!$B:$B,0)),"cadastre o CNPJ em Empresas"))</f>
        <v/>
      </c>
      <c r="F339" s="11"/>
      <c r="G339" s="23"/>
      <c r="H339" s="22"/>
      <c r="I339" s="35"/>
      <c r="J339" s="35"/>
      <c r="K339" s="36" t="str">
        <f aca="false">IF(I339="","",I339+J339)</f>
        <v/>
      </c>
      <c r="L339" s="37" t="str">
        <f aca="false">IF(OR(I339="",I339=0,J339=""),"",J339/I339)</f>
        <v/>
      </c>
      <c r="M339" s="25" t="str">
        <f aca="false">IF(L339="","",IF(L339&gt;0.25,"ACRÉSCIMO ACIMA DE 25% — conferir",""))</f>
        <v/>
      </c>
      <c r="N339" s="29" t="str">
        <f aca="false">IF(D339="","",IF(COUNTIFS(Empresas!$B:$B,D339,Empresas!$E:$E,"&lt;&gt;")=0,"",INDEX(Empresas!$E:$E,MATCH(D339,Empresas!$B:$B,0))))</f>
        <v/>
      </c>
      <c r="O339" s="27" t="str">
        <f aca="false">IF(OR(N339="",H339=""),"",H339-N339)</f>
        <v/>
      </c>
      <c r="P339" s="25" t="str">
        <f aca="false">IF(O339="","",IF(O339&lt;0,"CONTRATO ANTERIOR À ABERTURA — conferir datas",IF(O339&lt;180,"EMPRESA ABERTA MENOS DE 6 MESES ANTES","")))</f>
        <v/>
      </c>
      <c r="Q339" s="31" t="str">
        <f aca="false">IF(D339="","",IFERROR(INDEX(Sancoes!$D:$D,MATCH(D339,Sancoes!$C:$C,0)),"não consta"))</f>
        <v/>
      </c>
      <c r="R339" s="25" t="str">
        <f aca="false">IF(OR(D339="",H339=""),"",IF(SUMPRODUCT((Sancoes!$C$5:$C$304=D339)*(Sancoes!$G$5:$G$304&lt;=H339)*(((Sancoes!$H$5:$H$304="")+(Sancoes!$H$5:$H$304&gt;=H339))&gt;0))&gt;0,"SANÇÃO VIGENTE NA DATA — ler tipo e abrangência",""))</f>
        <v/>
      </c>
      <c r="S339" s="24"/>
      <c r="T339" s="11"/>
    </row>
    <row r="340" customFormat="false" ht="15" hidden="false" customHeight="false" outlineLevel="0" collapsed="false">
      <c r="A340" s="11"/>
      <c r="B340" s="24"/>
      <c r="C340" s="24"/>
      <c r="D340" s="31" t="str">
        <f aca="false">IF(C340="","",IF(LEN(UPPER(SUBSTITUTE(SUBSTITUTE(SUBSTITUTE(SUBSTITUTE(TRIM(C340),".",""),"/",""),"-","")," ","")))&lt;14,RIGHT(REPT("0",14)&amp;UPPER(SUBSTITUTE(SUBSTITUTE(SUBSTITUTE(SUBSTITUTE(TRIM(C340),".",""),"/",""),"-","")," ","")),14),UPPER(SUBSTITUTE(SUBSTITUTE(SUBSTITUTE(SUBSTITUTE(TRIM(C340),".",""),"/",""),"-","")," ",""))))</f>
        <v/>
      </c>
      <c r="E340" s="25" t="str">
        <f aca="false">IF(D340="","",IFERROR(INDEX(Empresas!$C:$C,MATCH(D340,Empresas!$B:$B,0)),"cadastre o CNPJ em Empresas"))</f>
        <v/>
      </c>
      <c r="F340" s="11"/>
      <c r="G340" s="23"/>
      <c r="H340" s="22"/>
      <c r="I340" s="35"/>
      <c r="J340" s="35"/>
      <c r="K340" s="36" t="str">
        <f aca="false">IF(I340="","",I340+J340)</f>
        <v/>
      </c>
      <c r="L340" s="37" t="str">
        <f aca="false">IF(OR(I340="",I340=0,J340=""),"",J340/I340)</f>
        <v/>
      </c>
      <c r="M340" s="25" t="str">
        <f aca="false">IF(L340="","",IF(L340&gt;0.25,"ACRÉSCIMO ACIMA DE 25% — conferir",""))</f>
        <v/>
      </c>
      <c r="N340" s="29" t="str">
        <f aca="false">IF(D340="","",IF(COUNTIFS(Empresas!$B:$B,D340,Empresas!$E:$E,"&lt;&gt;")=0,"",INDEX(Empresas!$E:$E,MATCH(D340,Empresas!$B:$B,0))))</f>
        <v/>
      </c>
      <c r="O340" s="27" t="str">
        <f aca="false">IF(OR(N340="",H340=""),"",H340-N340)</f>
        <v/>
      </c>
      <c r="P340" s="25" t="str">
        <f aca="false">IF(O340="","",IF(O340&lt;0,"CONTRATO ANTERIOR À ABERTURA — conferir datas",IF(O340&lt;180,"EMPRESA ABERTA MENOS DE 6 MESES ANTES","")))</f>
        <v/>
      </c>
      <c r="Q340" s="31" t="str">
        <f aca="false">IF(D340="","",IFERROR(INDEX(Sancoes!$D:$D,MATCH(D340,Sancoes!$C:$C,0)),"não consta"))</f>
        <v/>
      </c>
      <c r="R340" s="25" t="str">
        <f aca="false">IF(OR(D340="",H340=""),"",IF(SUMPRODUCT((Sancoes!$C$5:$C$304=D340)*(Sancoes!$G$5:$G$304&lt;=H340)*(((Sancoes!$H$5:$H$304="")+(Sancoes!$H$5:$H$304&gt;=H340))&gt;0))&gt;0,"SANÇÃO VIGENTE NA DATA — ler tipo e abrangência",""))</f>
        <v/>
      </c>
      <c r="S340" s="24"/>
      <c r="T340" s="11"/>
    </row>
    <row r="341" customFormat="false" ht="15" hidden="false" customHeight="false" outlineLevel="0" collapsed="false">
      <c r="A341" s="11"/>
      <c r="B341" s="24"/>
      <c r="C341" s="24"/>
      <c r="D341" s="31" t="str">
        <f aca="false">IF(C341="","",IF(LEN(UPPER(SUBSTITUTE(SUBSTITUTE(SUBSTITUTE(SUBSTITUTE(TRIM(C341),".",""),"/",""),"-","")," ","")))&lt;14,RIGHT(REPT("0",14)&amp;UPPER(SUBSTITUTE(SUBSTITUTE(SUBSTITUTE(SUBSTITUTE(TRIM(C341),".",""),"/",""),"-","")," ","")),14),UPPER(SUBSTITUTE(SUBSTITUTE(SUBSTITUTE(SUBSTITUTE(TRIM(C341),".",""),"/",""),"-","")," ",""))))</f>
        <v/>
      </c>
      <c r="E341" s="25" t="str">
        <f aca="false">IF(D341="","",IFERROR(INDEX(Empresas!$C:$C,MATCH(D341,Empresas!$B:$B,0)),"cadastre o CNPJ em Empresas"))</f>
        <v/>
      </c>
      <c r="F341" s="11"/>
      <c r="G341" s="23"/>
      <c r="H341" s="22"/>
      <c r="I341" s="35"/>
      <c r="J341" s="35"/>
      <c r="K341" s="36" t="str">
        <f aca="false">IF(I341="","",I341+J341)</f>
        <v/>
      </c>
      <c r="L341" s="37" t="str">
        <f aca="false">IF(OR(I341="",I341=0,J341=""),"",J341/I341)</f>
        <v/>
      </c>
      <c r="M341" s="25" t="str">
        <f aca="false">IF(L341="","",IF(L341&gt;0.25,"ACRÉSCIMO ACIMA DE 25% — conferir",""))</f>
        <v/>
      </c>
      <c r="N341" s="29" t="str">
        <f aca="false">IF(D341="","",IF(COUNTIFS(Empresas!$B:$B,D341,Empresas!$E:$E,"&lt;&gt;")=0,"",INDEX(Empresas!$E:$E,MATCH(D341,Empresas!$B:$B,0))))</f>
        <v/>
      </c>
      <c r="O341" s="27" t="str">
        <f aca="false">IF(OR(N341="",H341=""),"",H341-N341)</f>
        <v/>
      </c>
      <c r="P341" s="25" t="str">
        <f aca="false">IF(O341="","",IF(O341&lt;0,"CONTRATO ANTERIOR À ABERTURA — conferir datas",IF(O341&lt;180,"EMPRESA ABERTA MENOS DE 6 MESES ANTES","")))</f>
        <v/>
      </c>
      <c r="Q341" s="31" t="str">
        <f aca="false">IF(D341="","",IFERROR(INDEX(Sancoes!$D:$D,MATCH(D341,Sancoes!$C:$C,0)),"não consta"))</f>
        <v/>
      </c>
      <c r="R341" s="25" t="str">
        <f aca="false">IF(OR(D341="",H341=""),"",IF(SUMPRODUCT((Sancoes!$C$5:$C$304=D341)*(Sancoes!$G$5:$G$304&lt;=H341)*(((Sancoes!$H$5:$H$304="")+(Sancoes!$H$5:$H$304&gt;=H341))&gt;0))&gt;0,"SANÇÃO VIGENTE NA DATA — ler tipo e abrangência",""))</f>
        <v/>
      </c>
      <c r="S341" s="24"/>
      <c r="T341" s="11"/>
    </row>
    <row r="342" customFormat="false" ht="15" hidden="false" customHeight="false" outlineLevel="0" collapsed="false">
      <c r="A342" s="11"/>
      <c r="B342" s="24"/>
      <c r="C342" s="24"/>
      <c r="D342" s="31" t="str">
        <f aca="false">IF(C342="","",IF(LEN(UPPER(SUBSTITUTE(SUBSTITUTE(SUBSTITUTE(SUBSTITUTE(TRIM(C342),".",""),"/",""),"-","")," ","")))&lt;14,RIGHT(REPT("0",14)&amp;UPPER(SUBSTITUTE(SUBSTITUTE(SUBSTITUTE(SUBSTITUTE(TRIM(C342),".",""),"/",""),"-","")," ","")),14),UPPER(SUBSTITUTE(SUBSTITUTE(SUBSTITUTE(SUBSTITUTE(TRIM(C342),".",""),"/",""),"-","")," ",""))))</f>
        <v/>
      </c>
      <c r="E342" s="25" t="str">
        <f aca="false">IF(D342="","",IFERROR(INDEX(Empresas!$C:$C,MATCH(D342,Empresas!$B:$B,0)),"cadastre o CNPJ em Empresas"))</f>
        <v/>
      </c>
      <c r="F342" s="11"/>
      <c r="G342" s="23"/>
      <c r="H342" s="22"/>
      <c r="I342" s="35"/>
      <c r="J342" s="35"/>
      <c r="K342" s="36" t="str">
        <f aca="false">IF(I342="","",I342+J342)</f>
        <v/>
      </c>
      <c r="L342" s="37" t="str">
        <f aca="false">IF(OR(I342="",I342=0,J342=""),"",J342/I342)</f>
        <v/>
      </c>
      <c r="M342" s="25" t="str">
        <f aca="false">IF(L342="","",IF(L342&gt;0.25,"ACRÉSCIMO ACIMA DE 25% — conferir",""))</f>
        <v/>
      </c>
      <c r="N342" s="29" t="str">
        <f aca="false">IF(D342="","",IF(COUNTIFS(Empresas!$B:$B,D342,Empresas!$E:$E,"&lt;&gt;")=0,"",INDEX(Empresas!$E:$E,MATCH(D342,Empresas!$B:$B,0))))</f>
        <v/>
      </c>
      <c r="O342" s="27" t="str">
        <f aca="false">IF(OR(N342="",H342=""),"",H342-N342)</f>
        <v/>
      </c>
      <c r="P342" s="25" t="str">
        <f aca="false">IF(O342="","",IF(O342&lt;0,"CONTRATO ANTERIOR À ABERTURA — conferir datas",IF(O342&lt;180,"EMPRESA ABERTA MENOS DE 6 MESES ANTES","")))</f>
        <v/>
      </c>
      <c r="Q342" s="31" t="str">
        <f aca="false">IF(D342="","",IFERROR(INDEX(Sancoes!$D:$D,MATCH(D342,Sancoes!$C:$C,0)),"não consta"))</f>
        <v/>
      </c>
      <c r="R342" s="25" t="str">
        <f aca="false">IF(OR(D342="",H342=""),"",IF(SUMPRODUCT((Sancoes!$C$5:$C$304=D342)*(Sancoes!$G$5:$G$304&lt;=H342)*(((Sancoes!$H$5:$H$304="")+(Sancoes!$H$5:$H$304&gt;=H342))&gt;0))&gt;0,"SANÇÃO VIGENTE NA DATA — ler tipo e abrangência",""))</f>
        <v/>
      </c>
      <c r="S342" s="24"/>
      <c r="T342" s="11"/>
    </row>
    <row r="343" customFormat="false" ht="15" hidden="false" customHeight="false" outlineLevel="0" collapsed="false">
      <c r="A343" s="11"/>
      <c r="B343" s="24"/>
      <c r="C343" s="24"/>
      <c r="D343" s="31" t="str">
        <f aca="false">IF(C343="","",IF(LEN(UPPER(SUBSTITUTE(SUBSTITUTE(SUBSTITUTE(SUBSTITUTE(TRIM(C343),".",""),"/",""),"-","")," ","")))&lt;14,RIGHT(REPT("0",14)&amp;UPPER(SUBSTITUTE(SUBSTITUTE(SUBSTITUTE(SUBSTITUTE(TRIM(C343),".",""),"/",""),"-","")," ","")),14),UPPER(SUBSTITUTE(SUBSTITUTE(SUBSTITUTE(SUBSTITUTE(TRIM(C343),".",""),"/",""),"-","")," ",""))))</f>
        <v/>
      </c>
      <c r="E343" s="25" t="str">
        <f aca="false">IF(D343="","",IFERROR(INDEX(Empresas!$C:$C,MATCH(D343,Empresas!$B:$B,0)),"cadastre o CNPJ em Empresas"))</f>
        <v/>
      </c>
      <c r="F343" s="11"/>
      <c r="G343" s="23"/>
      <c r="H343" s="22"/>
      <c r="I343" s="35"/>
      <c r="J343" s="35"/>
      <c r="K343" s="36" t="str">
        <f aca="false">IF(I343="","",I343+J343)</f>
        <v/>
      </c>
      <c r="L343" s="37" t="str">
        <f aca="false">IF(OR(I343="",I343=0,J343=""),"",J343/I343)</f>
        <v/>
      </c>
      <c r="M343" s="25" t="str">
        <f aca="false">IF(L343="","",IF(L343&gt;0.25,"ACRÉSCIMO ACIMA DE 25% — conferir",""))</f>
        <v/>
      </c>
      <c r="N343" s="29" t="str">
        <f aca="false">IF(D343="","",IF(COUNTIFS(Empresas!$B:$B,D343,Empresas!$E:$E,"&lt;&gt;")=0,"",INDEX(Empresas!$E:$E,MATCH(D343,Empresas!$B:$B,0))))</f>
        <v/>
      </c>
      <c r="O343" s="27" t="str">
        <f aca="false">IF(OR(N343="",H343=""),"",H343-N343)</f>
        <v/>
      </c>
      <c r="P343" s="25" t="str">
        <f aca="false">IF(O343="","",IF(O343&lt;0,"CONTRATO ANTERIOR À ABERTURA — conferir datas",IF(O343&lt;180,"EMPRESA ABERTA MENOS DE 6 MESES ANTES","")))</f>
        <v/>
      </c>
      <c r="Q343" s="31" t="str">
        <f aca="false">IF(D343="","",IFERROR(INDEX(Sancoes!$D:$D,MATCH(D343,Sancoes!$C:$C,0)),"não consta"))</f>
        <v/>
      </c>
      <c r="R343" s="25" t="str">
        <f aca="false">IF(OR(D343="",H343=""),"",IF(SUMPRODUCT((Sancoes!$C$5:$C$304=D343)*(Sancoes!$G$5:$G$304&lt;=H343)*(((Sancoes!$H$5:$H$304="")+(Sancoes!$H$5:$H$304&gt;=H343))&gt;0))&gt;0,"SANÇÃO VIGENTE NA DATA — ler tipo e abrangência",""))</f>
        <v/>
      </c>
      <c r="S343" s="24"/>
      <c r="T343" s="11"/>
    </row>
    <row r="344" customFormat="false" ht="15" hidden="false" customHeight="false" outlineLevel="0" collapsed="false">
      <c r="A344" s="11"/>
      <c r="B344" s="24"/>
      <c r="C344" s="24"/>
      <c r="D344" s="31" t="str">
        <f aca="false">IF(C344="","",IF(LEN(UPPER(SUBSTITUTE(SUBSTITUTE(SUBSTITUTE(SUBSTITUTE(TRIM(C344),".",""),"/",""),"-","")," ","")))&lt;14,RIGHT(REPT("0",14)&amp;UPPER(SUBSTITUTE(SUBSTITUTE(SUBSTITUTE(SUBSTITUTE(TRIM(C344),".",""),"/",""),"-","")," ","")),14),UPPER(SUBSTITUTE(SUBSTITUTE(SUBSTITUTE(SUBSTITUTE(TRIM(C344),".",""),"/",""),"-","")," ",""))))</f>
        <v/>
      </c>
      <c r="E344" s="25" t="str">
        <f aca="false">IF(D344="","",IFERROR(INDEX(Empresas!$C:$C,MATCH(D344,Empresas!$B:$B,0)),"cadastre o CNPJ em Empresas"))</f>
        <v/>
      </c>
      <c r="F344" s="11"/>
      <c r="G344" s="23"/>
      <c r="H344" s="22"/>
      <c r="I344" s="35"/>
      <c r="J344" s="35"/>
      <c r="K344" s="36" t="str">
        <f aca="false">IF(I344="","",I344+J344)</f>
        <v/>
      </c>
      <c r="L344" s="37" t="str">
        <f aca="false">IF(OR(I344="",I344=0,J344=""),"",J344/I344)</f>
        <v/>
      </c>
      <c r="M344" s="25" t="str">
        <f aca="false">IF(L344="","",IF(L344&gt;0.25,"ACRÉSCIMO ACIMA DE 25% — conferir",""))</f>
        <v/>
      </c>
      <c r="N344" s="29" t="str">
        <f aca="false">IF(D344="","",IF(COUNTIFS(Empresas!$B:$B,D344,Empresas!$E:$E,"&lt;&gt;")=0,"",INDEX(Empresas!$E:$E,MATCH(D344,Empresas!$B:$B,0))))</f>
        <v/>
      </c>
      <c r="O344" s="27" t="str">
        <f aca="false">IF(OR(N344="",H344=""),"",H344-N344)</f>
        <v/>
      </c>
      <c r="P344" s="25" t="str">
        <f aca="false">IF(O344="","",IF(O344&lt;0,"CONTRATO ANTERIOR À ABERTURA — conferir datas",IF(O344&lt;180,"EMPRESA ABERTA MENOS DE 6 MESES ANTES","")))</f>
        <v/>
      </c>
      <c r="Q344" s="31" t="str">
        <f aca="false">IF(D344="","",IFERROR(INDEX(Sancoes!$D:$D,MATCH(D344,Sancoes!$C:$C,0)),"não consta"))</f>
        <v/>
      </c>
      <c r="R344" s="25" t="str">
        <f aca="false">IF(OR(D344="",H344=""),"",IF(SUMPRODUCT((Sancoes!$C$5:$C$304=D344)*(Sancoes!$G$5:$G$304&lt;=H344)*(((Sancoes!$H$5:$H$304="")+(Sancoes!$H$5:$H$304&gt;=H344))&gt;0))&gt;0,"SANÇÃO VIGENTE NA DATA — ler tipo e abrangência",""))</f>
        <v/>
      </c>
      <c r="S344" s="24"/>
      <c r="T344" s="11"/>
    </row>
    <row r="345" customFormat="false" ht="15" hidden="false" customHeight="false" outlineLevel="0" collapsed="false">
      <c r="A345" s="11"/>
      <c r="B345" s="24"/>
      <c r="C345" s="24"/>
      <c r="D345" s="31" t="str">
        <f aca="false">IF(C345="","",IF(LEN(UPPER(SUBSTITUTE(SUBSTITUTE(SUBSTITUTE(SUBSTITUTE(TRIM(C345),".",""),"/",""),"-","")," ","")))&lt;14,RIGHT(REPT("0",14)&amp;UPPER(SUBSTITUTE(SUBSTITUTE(SUBSTITUTE(SUBSTITUTE(TRIM(C345),".",""),"/",""),"-","")," ","")),14),UPPER(SUBSTITUTE(SUBSTITUTE(SUBSTITUTE(SUBSTITUTE(TRIM(C345),".",""),"/",""),"-","")," ",""))))</f>
        <v/>
      </c>
      <c r="E345" s="25" t="str">
        <f aca="false">IF(D345="","",IFERROR(INDEX(Empresas!$C:$C,MATCH(D345,Empresas!$B:$B,0)),"cadastre o CNPJ em Empresas"))</f>
        <v/>
      </c>
      <c r="F345" s="11"/>
      <c r="G345" s="23"/>
      <c r="H345" s="22"/>
      <c r="I345" s="35"/>
      <c r="J345" s="35"/>
      <c r="K345" s="36" t="str">
        <f aca="false">IF(I345="","",I345+J345)</f>
        <v/>
      </c>
      <c r="L345" s="37" t="str">
        <f aca="false">IF(OR(I345="",I345=0,J345=""),"",J345/I345)</f>
        <v/>
      </c>
      <c r="M345" s="25" t="str">
        <f aca="false">IF(L345="","",IF(L345&gt;0.25,"ACRÉSCIMO ACIMA DE 25% — conferir",""))</f>
        <v/>
      </c>
      <c r="N345" s="29" t="str">
        <f aca="false">IF(D345="","",IF(COUNTIFS(Empresas!$B:$B,D345,Empresas!$E:$E,"&lt;&gt;")=0,"",INDEX(Empresas!$E:$E,MATCH(D345,Empresas!$B:$B,0))))</f>
        <v/>
      </c>
      <c r="O345" s="27" t="str">
        <f aca="false">IF(OR(N345="",H345=""),"",H345-N345)</f>
        <v/>
      </c>
      <c r="P345" s="25" t="str">
        <f aca="false">IF(O345="","",IF(O345&lt;0,"CONTRATO ANTERIOR À ABERTURA — conferir datas",IF(O345&lt;180,"EMPRESA ABERTA MENOS DE 6 MESES ANTES","")))</f>
        <v/>
      </c>
      <c r="Q345" s="31" t="str">
        <f aca="false">IF(D345="","",IFERROR(INDEX(Sancoes!$D:$D,MATCH(D345,Sancoes!$C:$C,0)),"não consta"))</f>
        <v/>
      </c>
      <c r="R345" s="25" t="str">
        <f aca="false">IF(OR(D345="",H345=""),"",IF(SUMPRODUCT((Sancoes!$C$5:$C$304=D345)*(Sancoes!$G$5:$G$304&lt;=H345)*(((Sancoes!$H$5:$H$304="")+(Sancoes!$H$5:$H$304&gt;=H345))&gt;0))&gt;0,"SANÇÃO VIGENTE NA DATA — ler tipo e abrangência",""))</f>
        <v/>
      </c>
      <c r="S345" s="24"/>
      <c r="T345" s="11"/>
    </row>
    <row r="346" customFormat="false" ht="15" hidden="false" customHeight="false" outlineLevel="0" collapsed="false">
      <c r="A346" s="11"/>
      <c r="B346" s="24"/>
      <c r="C346" s="24"/>
      <c r="D346" s="31" t="str">
        <f aca="false">IF(C346="","",IF(LEN(UPPER(SUBSTITUTE(SUBSTITUTE(SUBSTITUTE(SUBSTITUTE(TRIM(C346),".",""),"/",""),"-","")," ","")))&lt;14,RIGHT(REPT("0",14)&amp;UPPER(SUBSTITUTE(SUBSTITUTE(SUBSTITUTE(SUBSTITUTE(TRIM(C346),".",""),"/",""),"-","")," ","")),14),UPPER(SUBSTITUTE(SUBSTITUTE(SUBSTITUTE(SUBSTITUTE(TRIM(C346),".",""),"/",""),"-","")," ",""))))</f>
        <v/>
      </c>
      <c r="E346" s="25" t="str">
        <f aca="false">IF(D346="","",IFERROR(INDEX(Empresas!$C:$C,MATCH(D346,Empresas!$B:$B,0)),"cadastre o CNPJ em Empresas"))</f>
        <v/>
      </c>
      <c r="F346" s="11"/>
      <c r="G346" s="23"/>
      <c r="H346" s="22"/>
      <c r="I346" s="35"/>
      <c r="J346" s="35"/>
      <c r="K346" s="36" t="str">
        <f aca="false">IF(I346="","",I346+J346)</f>
        <v/>
      </c>
      <c r="L346" s="37" t="str">
        <f aca="false">IF(OR(I346="",I346=0,J346=""),"",J346/I346)</f>
        <v/>
      </c>
      <c r="M346" s="25" t="str">
        <f aca="false">IF(L346="","",IF(L346&gt;0.25,"ACRÉSCIMO ACIMA DE 25% — conferir",""))</f>
        <v/>
      </c>
      <c r="N346" s="29" t="str">
        <f aca="false">IF(D346="","",IF(COUNTIFS(Empresas!$B:$B,D346,Empresas!$E:$E,"&lt;&gt;")=0,"",INDEX(Empresas!$E:$E,MATCH(D346,Empresas!$B:$B,0))))</f>
        <v/>
      </c>
      <c r="O346" s="27" t="str">
        <f aca="false">IF(OR(N346="",H346=""),"",H346-N346)</f>
        <v/>
      </c>
      <c r="P346" s="25" t="str">
        <f aca="false">IF(O346="","",IF(O346&lt;0,"CONTRATO ANTERIOR À ABERTURA — conferir datas",IF(O346&lt;180,"EMPRESA ABERTA MENOS DE 6 MESES ANTES","")))</f>
        <v/>
      </c>
      <c r="Q346" s="31" t="str">
        <f aca="false">IF(D346="","",IFERROR(INDEX(Sancoes!$D:$D,MATCH(D346,Sancoes!$C:$C,0)),"não consta"))</f>
        <v/>
      </c>
      <c r="R346" s="25" t="str">
        <f aca="false">IF(OR(D346="",H346=""),"",IF(SUMPRODUCT((Sancoes!$C$5:$C$304=D346)*(Sancoes!$G$5:$G$304&lt;=H346)*(((Sancoes!$H$5:$H$304="")+(Sancoes!$H$5:$H$304&gt;=H346))&gt;0))&gt;0,"SANÇÃO VIGENTE NA DATA — ler tipo e abrangência",""))</f>
        <v/>
      </c>
      <c r="S346" s="24"/>
      <c r="T346" s="11"/>
    </row>
    <row r="347" customFormat="false" ht="15" hidden="false" customHeight="false" outlineLevel="0" collapsed="false">
      <c r="A347" s="11"/>
      <c r="B347" s="24"/>
      <c r="C347" s="24"/>
      <c r="D347" s="31" t="str">
        <f aca="false">IF(C347="","",IF(LEN(UPPER(SUBSTITUTE(SUBSTITUTE(SUBSTITUTE(SUBSTITUTE(TRIM(C347),".",""),"/",""),"-","")," ","")))&lt;14,RIGHT(REPT("0",14)&amp;UPPER(SUBSTITUTE(SUBSTITUTE(SUBSTITUTE(SUBSTITUTE(TRIM(C347),".",""),"/",""),"-","")," ","")),14),UPPER(SUBSTITUTE(SUBSTITUTE(SUBSTITUTE(SUBSTITUTE(TRIM(C347),".",""),"/",""),"-","")," ",""))))</f>
        <v/>
      </c>
      <c r="E347" s="25" t="str">
        <f aca="false">IF(D347="","",IFERROR(INDEX(Empresas!$C:$C,MATCH(D347,Empresas!$B:$B,0)),"cadastre o CNPJ em Empresas"))</f>
        <v/>
      </c>
      <c r="F347" s="11"/>
      <c r="G347" s="23"/>
      <c r="H347" s="22"/>
      <c r="I347" s="35"/>
      <c r="J347" s="35"/>
      <c r="K347" s="36" t="str">
        <f aca="false">IF(I347="","",I347+J347)</f>
        <v/>
      </c>
      <c r="L347" s="37" t="str">
        <f aca="false">IF(OR(I347="",I347=0,J347=""),"",J347/I347)</f>
        <v/>
      </c>
      <c r="M347" s="25" t="str">
        <f aca="false">IF(L347="","",IF(L347&gt;0.25,"ACRÉSCIMO ACIMA DE 25% — conferir",""))</f>
        <v/>
      </c>
      <c r="N347" s="29" t="str">
        <f aca="false">IF(D347="","",IF(COUNTIFS(Empresas!$B:$B,D347,Empresas!$E:$E,"&lt;&gt;")=0,"",INDEX(Empresas!$E:$E,MATCH(D347,Empresas!$B:$B,0))))</f>
        <v/>
      </c>
      <c r="O347" s="27" t="str">
        <f aca="false">IF(OR(N347="",H347=""),"",H347-N347)</f>
        <v/>
      </c>
      <c r="P347" s="25" t="str">
        <f aca="false">IF(O347="","",IF(O347&lt;0,"CONTRATO ANTERIOR À ABERTURA — conferir datas",IF(O347&lt;180,"EMPRESA ABERTA MENOS DE 6 MESES ANTES","")))</f>
        <v/>
      </c>
      <c r="Q347" s="31" t="str">
        <f aca="false">IF(D347="","",IFERROR(INDEX(Sancoes!$D:$D,MATCH(D347,Sancoes!$C:$C,0)),"não consta"))</f>
        <v/>
      </c>
      <c r="R347" s="25" t="str">
        <f aca="false">IF(OR(D347="",H347=""),"",IF(SUMPRODUCT((Sancoes!$C$5:$C$304=D347)*(Sancoes!$G$5:$G$304&lt;=H347)*(((Sancoes!$H$5:$H$304="")+(Sancoes!$H$5:$H$304&gt;=H347))&gt;0))&gt;0,"SANÇÃO VIGENTE NA DATA — ler tipo e abrangência",""))</f>
        <v/>
      </c>
      <c r="S347" s="24"/>
      <c r="T347" s="11"/>
    </row>
    <row r="348" customFormat="false" ht="15" hidden="false" customHeight="false" outlineLevel="0" collapsed="false">
      <c r="A348" s="11"/>
      <c r="B348" s="24"/>
      <c r="C348" s="24"/>
      <c r="D348" s="31" t="str">
        <f aca="false">IF(C348="","",IF(LEN(UPPER(SUBSTITUTE(SUBSTITUTE(SUBSTITUTE(SUBSTITUTE(TRIM(C348),".",""),"/",""),"-","")," ","")))&lt;14,RIGHT(REPT("0",14)&amp;UPPER(SUBSTITUTE(SUBSTITUTE(SUBSTITUTE(SUBSTITUTE(TRIM(C348),".",""),"/",""),"-","")," ","")),14),UPPER(SUBSTITUTE(SUBSTITUTE(SUBSTITUTE(SUBSTITUTE(TRIM(C348),".",""),"/",""),"-","")," ",""))))</f>
        <v/>
      </c>
      <c r="E348" s="25" t="str">
        <f aca="false">IF(D348="","",IFERROR(INDEX(Empresas!$C:$C,MATCH(D348,Empresas!$B:$B,0)),"cadastre o CNPJ em Empresas"))</f>
        <v/>
      </c>
      <c r="F348" s="11"/>
      <c r="G348" s="23"/>
      <c r="H348" s="22"/>
      <c r="I348" s="35"/>
      <c r="J348" s="35"/>
      <c r="K348" s="36" t="str">
        <f aca="false">IF(I348="","",I348+J348)</f>
        <v/>
      </c>
      <c r="L348" s="37" t="str">
        <f aca="false">IF(OR(I348="",I348=0,J348=""),"",J348/I348)</f>
        <v/>
      </c>
      <c r="M348" s="25" t="str">
        <f aca="false">IF(L348="","",IF(L348&gt;0.25,"ACRÉSCIMO ACIMA DE 25% — conferir",""))</f>
        <v/>
      </c>
      <c r="N348" s="29" t="str">
        <f aca="false">IF(D348="","",IF(COUNTIFS(Empresas!$B:$B,D348,Empresas!$E:$E,"&lt;&gt;")=0,"",INDEX(Empresas!$E:$E,MATCH(D348,Empresas!$B:$B,0))))</f>
        <v/>
      </c>
      <c r="O348" s="27" t="str">
        <f aca="false">IF(OR(N348="",H348=""),"",H348-N348)</f>
        <v/>
      </c>
      <c r="P348" s="25" t="str">
        <f aca="false">IF(O348="","",IF(O348&lt;0,"CONTRATO ANTERIOR À ABERTURA — conferir datas",IF(O348&lt;180,"EMPRESA ABERTA MENOS DE 6 MESES ANTES","")))</f>
        <v/>
      </c>
      <c r="Q348" s="31" t="str">
        <f aca="false">IF(D348="","",IFERROR(INDEX(Sancoes!$D:$D,MATCH(D348,Sancoes!$C:$C,0)),"não consta"))</f>
        <v/>
      </c>
      <c r="R348" s="25" t="str">
        <f aca="false">IF(OR(D348="",H348=""),"",IF(SUMPRODUCT((Sancoes!$C$5:$C$304=D348)*(Sancoes!$G$5:$G$304&lt;=H348)*(((Sancoes!$H$5:$H$304="")+(Sancoes!$H$5:$H$304&gt;=H348))&gt;0))&gt;0,"SANÇÃO VIGENTE NA DATA — ler tipo e abrangência",""))</f>
        <v/>
      </c>
      <c r="S348" s="24"/>
      <c r="T348" s="11"/>
    </row>
    <row r="349" customFormat="false" ht="15" hidden="false" customHeight="false" outlineLevel="0" collapsed="false">
      <c r="A349" s="11"/>
      <c r="B349" s="24"/>
      <c r="C349" s="24"/>
      <c r="D349" s="31" t="str">
        <f aca="false">IF(C349="","",IF(LEN(UPPER(SUBSTITUTE(SUBSTITUTE(SUBSTITUTE(SUBSTITUTE(TRIM(C349),".",""),"/",""),"-","")," ","")))&lt;14,RIGHT(REPT("0",14)&amp;UPPER(SUBSTITUTE(SUBSTITUTE(SUBSTITUTE(SUBSTITUTE(TRIM(C349),".",""),"/",""),"-","")," ","")),14),UPPER(SUBSTITUTE(SUBSTITUTE(SUBSTITUTE(SUBSTITUTE(TRIM(C349),".",""),"/",""),"-","")," ",""))))</f>
        <v/>
      </c>
      <c r="E349" s="25" t="str">
        <f aca="false">IF(D349="","",IFERROR(INDEX(Empresas!$C:$C,MATCH(D349,Empresas!$B:$B,0)),"cadastre o CNPJ em Empresas"))</f>
        <v/>
      </c>
      <c r="F349" s="11"/>
      <c r="G349" s="23"/>
      <c r="H349" s="22"/>
      <c r="I349" s="35"/>
      <c r="J349" s="35"/>
      <c r="K349" s="36" t="str">
        <f aca="false">IF(I349="","",I349+J349)</f>
        <v/>
      </c>
      <c r="L349" s="37" t="str">
        <f aca="false">IF(OR(I349="",I349=0,J349=""),"",J349/I349)</f>
        <v/>
      </c>
      <c r="M349" s="25" t="str">
        <f aca="false">IF(L349="","",IF(L349&gt;0.25,"ACRÉSCIMO ACIMA DE 25% — conferir",""))</f>
        <v/>
      </c>
      <c r="N349" s="29" t="str">
        <f aca="false">IF(D349="","",IF(COUNTIFS(Empresas!$B:$B,D349,Empresas!$E:$E,"&lt;&gt;")=0,"",INDEX(Empresas!$E:$E,MATCH(D349,Empresas!$B:$B,0))))</f>
        <v/>
      </c>
      <c r="O349" s="27" t="str">
        <f aca="false">IF(OR(N349="",H349=""),"",H349-N349)</f>
        <v/>
      </c>
      <c r="P349" s="25" t="str">
        <f aca="false">IF(O349="","",IF(O349&lt;0,"CONTRATO ANTERIOR À ABERTURA — conferir datas",IF(O349&lt;180,"EMPRESA ABERTA MENOS DE 6 MESES ANTES","")))</f>
        <v/>
      </c>
      <c r="Q349" s="31" t="str">
        <f aca="false">IF(D349="","",IFERROR(INDEX(Sancoes!$D:$D,MATCH(D349,Sancoes!$C:$C,0)),"não consta"))</f>
        <v/>
      </c>
      <c r="R349" s="25" t="str">
        <f aca="false">IF(OR(D349="",H349=""),"",IF(SUMPRODUCT((Sancoes!$C$5:$C$304=D349)*(Sancoes!$G$5:$G$304&lt;=H349)*(((Sancoes!$H$5:$H$304="")+(Sancoes!$H$5:$H$304&gt;=H349))&gt;0))&gt;0,"SANÇÃO VIGENTE NA DATA — ler tipo e abrangência",""))</f>
        <v/>
      </c>
      <c r="S349" s="24"/>
      <c r="T349" s="11"/>
    </row>
    <row r="350" customFormat="false" ht="15" hidden="false" customHeight="false" outlineLevel="0" collapsed="false">
      <c r="A350" s="11"/>
      <c r="B350" s="24"/>
      <c r="C350" s="24"/>
      <c r="D350" s="31" t="str">
        <f aca="false">IF(C350="","",IF(LEN(UPPER(SUBSTITUTE(SUBSTITUTE(SUBSTITUTE(SUBSTITUTE(TRIM(C350),".",""),"/",""),"-","")," ","")))&lt;14,RIGHT(REPT("0",14)&amp;UPPER(SUBSTITUTE(SUBSTITUTE(SUBSTITUTE(SUBSTITUTE(TRIM(C350),".",""),"/",""),"-","")," ","")),14),UPPER(SUBSTITUTE(SUBSTITUTE(SUBSTITUTE(SUBSTITUTE(TRIM(C350),".",""),"/",""),"-","")," ",""))))</f>
        <v/>
      </c>
      <c r="E350" s="25" t="str">
        <f aca="false">IF(D350="","",IFERROR(INDEX(Empresas!$C:$C,MATCH(D350,Empresas!$B:$B,0)),"cadastre o CNPJ em Empresas"))</f>
        <v/>
      </c>
      <c r="F350" s="11"/>
      <c r="G350" s="23"/>
      <c r="H350" s="22"/>
      <c r="I350" s="35"/>
      <c r="J350" s="35"/>
      <c r="K350" s="36" t="str">
        <f aca="false">IF(I350="","",I350+J350)</f>
        <v/>
      </c>
      <c r="L350" s="37" t="str">
        <f aca="false">IF(OR(I350="",I350=0,J350=""),"",J350/I350)</f>
        <v/>
      </c>
      <c r="M350" s="25" t="str">
        <f aca="false">IF(L350="","",IF(L350&gt;0.25,"ACRÉSCIMO ACIMA DE 25% — conferir",""))</f>
        <v/>
      </c>
      <c r="N350" s="29" t="str">
        <f aca="false">IF(D350="","",IF(COUNTIFS(Empresas!$B:$B,D350,Empresas!$E:$E,"&lt;&gt;")=0,"",INDEX(Empresas!$E:$E,MATCH(D350,Empresas!$B:$B,0))))</f>
        <v/>
      </c>
      <c r="O350" s="27" t="str">
        <f aca="false">IF(OR(N350="",H350=""),"",H350-N350)</f>
        <v/>
      </c>
      <c r="P350" s="25" t="str">
        <f aca="false">IF(O350="","",IF(O350&lt;0,"CONTRATO ANTERIOR À ABERTURA — conferir datas",IF(O350&lt;180,"EMPRESA ABERTA MENOS DE 6 MESES ANTES","")))</f>
        <v/>
      </c>
      <c r="Q350" s="31" t="str">
        <f aca="false">IF(D350="","",IFERROR(INDEX(Sancoes!$D:$D,MATCH(D350,Sancoes!$C:$C,0)),"não consta"))</f>
        <v/>
      </c>
      <c r="R350" s="25" t="str">
        <f aca="false">IF(OR(D350="",H350=""),"",IF(SUMPRODUCT((Sancoes!$C$5:$C$304=D350)*(Sancoes!$G$5:$G$304&lt;=H350)*(((Sancoes!$H$5:$H$304="")+(Sancoes!$H$5:$H$304&gt;=H350))&gt;0))&gt;0,"SANÇÃO VIGENTE NA DATA — ler tipo e abrangência",""))</f>
        <v/>
      </c>
      <c r="S350" s="24"/>
      <c r="T350" s="11"/>
    </row>
    <row r="351" customFormat="false" ht="15" hidden="false" customHeight="false" outlineLevel="0" collapsed="false">
      <c r="A351" s="11"/>
      <c r="B351" s="24"/>
      <c r="C351" s="24"/>
      <c r="D351" s="31" t="str">
        <f aca="false">IF(C351="","",IF(LEN(UPPER(SUBSTITUTE(SUBSTITUTE(SUBSTITUTE(SUBSTITUTE(TRIM(C351),".",""),"/",""),"-","")," ","")))&lt;14,RIGHT(REPT("0",14)&amp;UPPER(SUBSTITUTE(SUBSTITUTE(SUBSTITUTE(SUBSTITUTE(TRIM(C351),".",""),"/",""),"-","")," ","")),14),UPPER(SUBSTITUTE(SUBSTITUTE(SUBSTITUTE(SUBSTITUTE(TRIM(C351),".",""),"/",""),"-","")," ",""))))</f>
        <v/>
      </c>
      <c r="E351" s="25" t="str">
        <f aca="false">IF(D351="","",IFERROR(INDEX(Empresas!$C:$C,MATCH(D351,Empresas!$B:$B,0)),"cadastre o CNPJ em Empresas"))</f>
        <v/>
      </c>
      <c r="F351" s="11"/>
      <c r="G351" s="23"/>
      <c r="H351" s="22"/>
      <c r="I351" s="35"/>
      <c r="J351" s="35"/>
      <c r="K351" s="36" t="str">
        <f aca="false">IF(I351="","",I351+J351)</f>
        <v/>
      </c>
      <c r="L351" s="37" t="str">
        <f aca="false">IF(OR(I351="",I351=0,J351=""),"",J351/I351)</f>
        <v/>
      </c>
      <c r="M351" s="25" t="str">
        <f aca="false">IF(L351="","",IF(L351&gt;0.25,"ACRÉSCIMO ACIMA DE 25% — conferir",""))</f>
        <v/>
      </c>
      <c r="N351" s="29" t="str">
        <f aca="false">IF(D351="","",IF(COUNTIFS(Empresas!$B:$B,D351,Empresas!$E:$E,"&lt;&gt;")=0,"",INDEX(Empresas!$E:$E,MATCH(D351,Empresas!$B:$B,0))))</f>
        <v/>
      </c>
      <c r="O351" s="27" t="str">
        <f aca="false">IF(OR(N351="",H351=""),"",H351-N351)</f>
        <v/>
      </c>
      <c r="P351" s="25" t="str">
        <f aca="false">IF(O351="","",IF(O351&lt;0,"CONTRATO ANTERIOR À ABERTURA — conferir datas",IF(O351&lt;180,"EMPRESA ABERTA MENOS DE 6 MESES ANTES","")))</f>
        <v/>
      </c>
      <c r="Q351" s="31" t="str">
        <f aca="false">IF(D351="","",IFERROR(INDEX(Sancoes!$D:$D,MATCH(D351,Sancoes!$C:$C,0)),"não consta"))</f>
        <v/>
      </c>
      <c r="R351" s="25" t="str">
        <f aca="false">IF(OR(D351="",H351=""),"",IF(SUMPRODUCT((Sancoes!$C$5:$C$304=D351)*(Sancoes!$G$5:$G$304&lt;=H351)*(((Sancoes!$H$5:$H$304="")+(Sancoes!$H$5:$H$304&gt;=H351))&gt;0))&gt;0,"SANÇÃO VIGENTE NA DATA — ler tipo e abrangência",""))</f>
        <v/>
      </c>
      <c r="S351" s="24"/>
      <c r="T351" s="11"/>
    </row>
    <row r="352" customFormat="false" ht="15" hidden="false" customHeight="false" outlineLevel="0" collapsed="false">
      <c r="A352" s="11"/>
      <c r="B352" s="24"/>
      <c r="C352" s="24"/>
      <c r="D352" s="31" t="str">
        <f aca="false">IF(C352="","",IF(LEN(UPPER(SUBSTITUTE(SUBSTITUTE(SUBSTITUTE(SUBSTITUTE(TRIM(C352),".",""),"/",""),"-","")," ","")))&lt;14,RIGHT(REPT("0",14)&amp;UPPER(SUBSTITUTE(SUBSTITUTE(SUBSTITUTE(SUBSTITUTE(TRIM(C352),".",""),"/",""),"-","")," ","")),14),UPPER(SUBSTITUTE(SUBSTITUTE(SUBSTITUTE(SUBSTITUTE(TRIM(C352),".",""),"/",""),"-","")," ",""))))</f>
        <v/>
      </c>
      <c r="E352" s="25" t="str">
        <f aca="false">IF(D352="","",IFERROR(INDEX(Empresas!$C:$C,MATCH(D352,Empresas!$B:$B,0)),"cadastre o CNPJ em Empresas"))</f>
        <v/>
      </c>
      <c r="F352" s="11"/>
      <c r="G352" s="23"/>
      <c r="H352" s="22"/>
      <c r="I352" s="35"/>
      <c r="J352" s="35"/>
      <c r="K352" s="36" t="str">
        <f aca="false">IF(I352="","",I352+J352)</f>
        <v/>
      </c>
      <c r="L352" s="37" t="str">
        <f aca="false">IF(OR(I352="",I352=0,J352=""),"",J352/I352)</f>
        <v/>
      </c>
      <c r="M352" s="25" t="str">
        <f aca="false">IF(L352="","",IF(L352&gt;0.25,"ACRÉSCIMO ACIMA DE 25% — conferir",""))</f>
        <v/>
      </c>
      <c r="N352" s="29" t="str">
        <f aca="false">IF(D352="","",IF(COUNTIFS(Empresas!$B:$B,D352,Empresas!$E:$E,"&lt;&gt;")=0,"",INDEX(Empresas!$E:$E,MATCH(D352,Empresas!$B:$B,0))))</f>
        <v/>
      </c>
      <c r="O352" s="27" t="str">
        <f aca="false">IF(OR(N352="",H352=""),"",H352-N352)</f>
        <v/>
      </c>
      <c r="P352" s="25" t="str">
        <f aca="false">IF(O352="","",IF(O352&lt;0,"CONTRATO ANTERIOR À ABERTURA — conferir datas",IF(O352&lt;180,"EMPRESA ABERTA MENOS DE 6 MESES ANTES","")))</f>
        <v/>
      </c>
      <c r="Q352" s="31" t="str">
        <f aca="false">IF(D352="","",IFERROR(INDEX(Sancoes!$D:$D,MATCH(D352,Sancoes!$C:$C,0)),"não consta"))</f>
        <v/>
      </c>
      <c r="R352" s="25" t="str">
        <f aca="false">IF(OR(D352="",H352=""),"",IF(SUMPRODUCT((Sancoes!$C$5:$C$304=D352)*(Sancoes!$G$5:$G$304&lt;=H352)*(((Sancoes!$H$5:$H$304="")+(Sancoes!$H$5:$H$304&gt;=H352))&gt;0))&gt;0,"SANÇÃO VIGENTE NA DATA — ler tipo e abrangência",""))</f>
        <v/>
      </c>
      <c r="S352" s="24"/>
      <c r="T352" s="11"/>
    </row>
    <row r="353" customFormat="false" ht="15" hidden="false" customHeight="false" outlineLevel="0" collapsed="false">
      <c r="A353" s="11"/>
      <c r="B353" s="24"/>
      <c r="C353" s="24"/>
      <c r="D353" s="31" t="str">
        <f aca="false">IF(C353="","",IF(LEN(UPPER(SUBSTITUTE(SUBSTITUTE(SUBSTITUTE(SUBSTITUTE(TRIM(C353),".",""),"/",""),"-","")," ","")))&lt;14,RIGHT(REPT("0",14)&amp;UPPER(SUBSTITUTE(SUBSTITUTE(SUBSTITUTE(SUBSTITUTE(TRIM(C353),".",""),"/",""),"-","")," ","")),14),UPPER(SUBSTITUTE(SUBSTITUTE(SUBSTITUTE(SUBSTITUTE(TRIM(C353),".",""),"/",""),"-","")," ",""))))</f>
        <v/>
      </c>
      <c r="E353" s="25" t="str">
        <f aca="false">IF(D353="","",IFERROR(INDEX(Empresas!$C:$C,MATCH(D353,Empresas!$B:$B,0)),"cadastre o CNPJ em Empresas"))</f>
        <v/>
      </c>
      <c r="F353" s="11"/>
      <c r="G353" s="23"/>
      <c r="H353" s="22"/>
      <c r="I353" s="35"/>
      <c r="J353" s="35"/>
      <c r="K353" s="36" t="str">
        <f aca="false">IF(I353="","",I353+J353)</f>
        <v/>
      </c>
      <c r="L353" s="37" t="str">
        <f aca="false">IF(OR(I353="",I353=0,J353=""),"",J353/I353)</f>
        <v/>
      </c>
      <c r="M353" s="25" t="str">
        <f aca="false">IF(L353="","",IF(L353&gt;0.25,"ACRÉSCIMO ACIMA DE 25% — conferir",""))</f>
        <v/>
      </c>
      <c r="N353" s="29" t="str">
        <f aca="false">IF(D353="","",IF(COUNTIFS(Empresas!$B:$B,D353,Empresas!$E:$E,"&lt;&gt;")=0,"",INDEX(Empresas!$E:$E,MATCH(D353,Empresas!$B:$B,0))))</f>
        <v/>
      </c>
      <c r="O353" s="27" t="str">
        <f aca="false">IF(OR(N353="",H353=""),"",H353-N353)</f>
        <v/>
      </c>
      <c r="P353" s="25" t="str">
        <f aca="false">IF(O353="","",IF(O353&lt;0,"CONTRATO ANTERIOR À ABERTURA — conferir datas",IF(O353&lt;180,"EMPRESA ABERTA MENOS DE 6 MESES ANTES","")))</f>
        <v/>
      </c>
      <c r="Q353" s="31" t="str">
        <f aca="false">IF(D353="","",IFERROR(INDEX(Sancoes!$D:$D,MATCH(D353,Sancoes!$C:$C,0)),"não consta"))</f>
        <v/>
      </c>
      <c r="R353" s="25" t="str">
        <f aca="false">IF(OR(D353="",H353=""),"",IF(SUMPRODUCT((Sancoes!$C$5:$C$304=D353)*(Sancoes!$G$5:$G$304&lt;=H353)*(((Sancoes!$H$5:$H$304="")+(Sancoes!$H$5:$H$304&gt;=H353))&gt;0))&gt;0,"SANÇÃO VIGENTE NA DATA — ler tipo e abrangência",""))</f>
        <v/>
      </c>
      <c r="S353" s="24"/>
      <c r="T353" s="11"/>
    </row>
    <row r="354" customFormat="false" ht="15" hidden="false" customHeight="false" outlineLevel="0" collapsed="false">
      <c r="A354" s="11"/>
      <c r="B354" s="24"/>
      <c r="C354" s="24"/>
      <c r="D354" s="31" t="str">
        <f aca="false">IF(C354="","",IF(LEN(UPPER(SUBSTITUTE(SUBSTITUTE(SUBSTITUTE(SUBSTITUTE(TRIM(C354),".",""),"/",""),"-","")," ","")))&lt;14,RIGHT(REPT("0",14)&amp;UPPER(SUBSTITUTE(SUBSTITUTE(SUBSTITUTE(SUBSTITUTE(TRIM(C354),".",""),"/",""),"-","")," ","")),14),UPPER(SUBSTITUTE(SUBSTITUTE(SUBSTITUTE(SUBSTITUTE(TRIM(C354),".",""),"/",""),"-","")," ",""))))</f>
        <v/>
      </c>
      <c r="E354" s="25" t="str">
        <f aca="false">IF(D354="","",IFERROR(INDEX(Empresas!$C:$C,MATCH(D354,Empresas!$B:$B,0)),"cadastre o CNPJ em Empresas"))</f>
        <v/>
      </c>
      <c r="F354" s="11"/>
      <c r="G354" s="23"/>
      <c r="H354" s="22"/>
      <c r="I354" s="35"/>
      <c r="J354" s="35"/>
      <c r="K354" s="36" t="str">
        <f aca="false">IF(I354="","",I354+J354)</f>
        <v/>
      </c>
      <c r="L354" s="37" t="str">
        <f aca="false">IF(OR(I354="",I354=0,J354=""),"",J354/I354)</f>
        <v/>
      </c>
      <c r="M354" s="25" t="str">
        <f aca="false">IF(L354="","",IF(L354&gt;0.25,"ACRÉSCIMO ACIMA DE 25% — conferir",""))</f>
        <v/>
      </c>
      <c r="N354" s="29" t="str">
        <f aca="false">IF(D354="","",IF(COUNTIFS(Empresas!$B:$B,D354,Empresas!$E:$E,"&lt;&gt;")=0,"",INDEX(Empresas!$E:$E,MATCH(D354,Empresas!$B:$B,0))))</f>
        <v/>
      </c>
      <c r="O354" s="27" t="str">
        <f aca="false">IF(OR(N354="",H354=""),"",H354-N354)</f>
        <v/>
      </c>
      <c r="P354" s="25" t="str">
        <f aca="false">IF(O354="","",IF(O354&lt;0,"CONTRATO ANTERIOR À ABERTURA — conferir datas",IF(O354&lt;180,"EMPRESA ABERTA MENOS DE 6 MESES ANTES","")))</f>
        <v/>
      </c>
      <c r="Q354" s="31" t="str">
        <f aca="false">IF(D354="","",IFERROR(INDEX(Sancoes!$D:$D,MATCH(D354,Sancoes!$C:$C,0)),"não consta"))</f>
        <v/>
      </c>
      <c r="R354" s="25" t="str">
        <f aca="false">IF(OR(D354="",H354=""),"",IF(SUMPRODUCT((Sancoes!$C$5:$C$304=D354)*(Sancoes!$G$5:$G$304&lt;=H354)*(((Sancoes!$H$5:$H$304="")+(Sancoes!$H$5:$H$304&gt;=H354))&gt;0))&gt;0,"SANÇÃO VIGENTE NA DATA — ler tipo e abrangência",""))</f>
        <v/>
      </c>
      <c r="S354" s="24"/>
      <c r="T354" s="11"/>
    </row>
    <row r="355" customFormat="false" ht="15" hidden="false" customHeight="false" outlineLevel="0" collapsed="false">
      <c r="A355" s="11"/>
      <c r="B355" s="24"/>
      <c r="C355" s="24"/>
      <c r="D355" s="31" t="str">
        <f aca="false">IF(C355="","",IF(LEN(UPPER(SUBSTITUTE(SUBSTITUTE(SUBSTITUTE(SUBSTITUTE(TRIM(C355),".",""),"/",""),"-","")," ","")))&lt;14,RIGHT(REPT("0",14)&amp;UPPER(SUBSTITUTE(SUBSTITUTE(SUBSTITUTE(SUBSTITUTE(TRIM(C355),".",""),"/",""),"-","")," ","")),14),UPPER(SUBSTITUTE(SUBSTITUTE(SUBSTITUTE(SUBSTITUTE(TRIM(C355),".",""),"/",""),"-","")," ",""))))</f>
        <v/>
      </c>
      <c r="E355" s="25" t="str">
        <f aca="false">IF(D355="","",IFERROR(INDEX(Empresas!$C:$C,MATCH(D355,Empresas!$B:$B,0)),"cadastre o CNPJ em Empresas"))</f>
        <v/>
      </c>
      <c r="F355" s="11"/>
      <c r="G355" s="23"/>
      <c r="H355" s="22"/>
      <c r="I355" s="35"/>
      <c r="J355" s="35"/>
      <c r="K355" s="36" t="str">
        <f aca="false">IF(I355="","",I355+J355)</f>
        <v/>
      </c>
      <c r="L355" s="37" t="str">
        <f aca="false">IF(OR(I355="",I355=0,J355=""),"",J355/I355)</f>
        <v/>
      </c>
      <c r="M355" s="25" t="str">
        <f aca="false">IF(L355="","",IF(L355&gt;0.25,"ACRÉSCIMO ACIMA DE 25% — conferir",""))</f>
        <v/>
      </c>
      <c r="N355" s="29" t="str">
        <f aca="false">IF(D355="","",IF(COUNTIFS(Empresas!$B:$B,D355,Empresas!$E:$E,"&lt;&gt;")=0,"",INDEX(Empresas!$E:$E,MATCH(D355,Empresas!$B:$B,0))))</f>
        <v/>
      </c>
      <c r="O355" s="27" t="str">
        <f aca="false">IF(OR(N355="",H355=""),"",H355-N355)</f>
        <v/>
      </c>
      <c r="P355" s="25" t="str">
        <f aca="false">IF(O355="","",IF(O355&lt;0,"CONTRATO ANTERIOR À ABERTURA — conferir datas",IF(O355&lt;180,"EMPRESA ABERTA MENOS DE 6 MESES ANTES","")))</f>
        <v/>
      </c>
      <c r="Q355" s="31" t="str">
        <f aca="false">IF(D355="","",IFERROR(INDEX(Sancoes!$D:$D,MATCH(D355,Sancoes!$C:$C,0)),"não consta"))</f>
        <v/>
      </c>
      <c r="R355" s="25" t="str">
        <f aca="false">IF(OR(D355="",H355=""),"",IF(SUMPRODUCT((Sancoes!$C$5:$C$304=D355)*(Sancoes!$G$5:$G$304&lt;=H355)*(((Sancoes!$H$5:$H$304="")+(Sancoes!$H$5:$H$304&gt;=H355))&gt;0))&gt;0,"SANÇÃO VIGENTE NA DATA — ler tipo e abrangência",""))</f>
        <v/>
      </c>
      <c r="S355" s="24"/>
      <c r="T355" s="11"/>
    </row>
    <row r="356" customFormat="false" ht="15" hidden="false" customHeight="false" outlineLevel="0" collapsed="false">
      <c r="A356" s="11"/>
      <c r="B356" s="24"/>
      <c r="C356" s="24"/>
      <c r="D356" s="31" t="str">
        <f aca="false">IF(C356="","",IF(LEN(UPPER(SUBSTITUTE(SUBSTITUTE(SUBSTITUTE(SUBSTITUTE(TRIM(C356),".",""),"/",""),"-","")," ","")))&lt;14,RIGHT(REPT("0",14)&amp;UPPER(SUBSTITUTE(SUBSTITUTE(SUBSTITUTE(SUBSTITUTE(TRIM(C356),".",""),"/",""),"-","")," ","")),14),UPPER(SUBSTITUTE(SUBSTITUTE(SUBSTITUTE(SUBSTITUTE(TRIM(C356),".",""),"/",""),"-","")," ",""))))</f>
        <v/>
      </c>
      <c r="E356" s="25" t="str">
        <f aca="false">IF(D356="","",IFERROR(INDEX(Empresas!$C:$C,MATCH(D356,Empresas!$B:$B,0)),"cadastre o CNPJ em Empresas"))</f>
        <v/>
      </c>
      <c r="F356" s="11"/>
      <c r="G356" s="23"/>
      <c r="H356" s="22"/>
      <c r="I356" s="35"/>
      <c r="J356" s="35"/>
      <c r="K356" s="36" t="str">
        <f aca="false">IF(I356="","",I356+J356)</f>
        <v/>
      </c>
      <c r="L356" s="37" t="str">
        <f aca="false">IF(OR(I356="",I356=0,J356=""),"",J356/I356)</f>
        <v/>
      </c>
      <c r="M356" s="25" t="str">
        <f aca="false">IF(L356="","",IF(L356&gt;0.25,"ACRÉSCIMO ACIMA DE 25% — conferir",""))</f>
        <v/>
      </c>
      <c r="N356" s="29" t="str">
        <f aca="false">IF(D356="","",IF(COUNTIFS(Empresas!$B:$B,D356,Empresas!$E:$E,"&lt;&gt;")=0,"",INDEX(Empresas!$E:$E,MATCH(D356,Empresas!$B:$B,0))))</f>
        <v/>
      </c>
      <c r="O356" s="27" t="str">
        <f aca="false">IF(OR(N356="",H356=""),"",H356-N356)</f>
        <v/>
      </c>
      <c r="P356" s="25" t="str">
        <f aca="false">IF(O356="","",IF(O356&lt;0,"CONTRATO ANTERIOR À ABERTURA — conferir datas",IF(O356&lt;180,"EMPRESA ABERTA MENOS DE 6 MESES ANTES","")))</f>
        <v/>
      </c>
      <c r="Q356" s="31" t="str">
        <f aca="false">IF(D356="","",IFERROR(INDEX(Sancoes!$D:$D,MATCH(D356,Sancoes!$C:$C,0)),"não consta"))</f>
        <v/>
      </c>
      <c r="R356" s="25" t="str">
        <f aca="false">IF(OR(D356="",H356=""),"",IF(SUMPRODUCT((Sancoes!$C$5:$C$304=D356)*(Sancoes!$G$5:$G$304&lt;=H356)*(((Sancoes!$H$5:$H$304="")+(Sancoes!$H$5:$H$304&gt;=H356))&gt;0))&gt;0,"SANÇÃO VIGENTE NA DATA — ler tipo e abrangência",""))</f>
        <v/>
      </c>
      <c r="S356" s="24"/>
      <c r="T356" s="11"/>
    </row>
    <row r="357" customFormat="false" ht="15" hidden="false" customHeight="false" outlineLevel="0" collapsed="false">
      <c r="A357" s="11"/>
      <c r="B357" s="24"/>
      <c r="C357" s="24"/>
      <c r="D357" s="31" t="str">
        <f aca="false">IF(C357="","",IF(LEN(UPPER(SUBSTITUTE(SUBSTITUTE(SUBSTITUTE(SUBSTITUTE(TRIM(C357),".",""),"/",""),"-","")," ","")))&lt;14,RIGHT(REPT("0",14)&amp;UPPER(SUBSTITUTE(SUBSTITUTE(SUBSTITUTE(SUBSTITUTE(TRIM(C357),".",""),"/",""),"-","")," ","")),14),UPPER(SUBSTITUTE(SUBSTITUTE(SUBSTITUTE(SUBSTITUTE(TRIM(C357),".",""),"/",""),"-","")," ",""))))</f>
        <v/>
      </c>
      <c r="E357" s="25" t="str">
        <f aca="false">IF(D357="","",IFERROR(INDEX(Empresas!$C:$C,MATCH(D357,Empresas!$B:$B,0)),"cadastre o CNPJ em Empresas"))</f>
        <v/>
      </c>
      <c r="F357" s="11"/>
      <c r="G357" s="23"/>
      <c r="H357" s="22"/>
      <c r="I357" s="35"/>
      <c r="J357" s="35"/>
      <c r="K357" s="36" t="str">
        <f aca="false">IF(I357="","",I357+J357)</f>
        <v/>
      </c>
      <c r="L357" s="37" t="str">
        <f aca="false">IF(OR(I357="",I357=0,J357=""),"",J357/I357)</f>
        <v/>
      </c>
      <c r="M357" s="25" t="str">
        <f aca="false">IF(L357="","",IF(L357&gt;0.25,"ACRÉSCIMO ACIMA DE 25% — conferir",""))</f>
        <v/>
      </c>
      <c r="N357" s="29" t="str">
        <f aca="false">IF(D357="","",IF(COUNTIFS(Empresas!$B:$B,D357,Empresas!$E:$E,"&lt;&gt;")=0,"",INDEX(Empresas!$E:$E,MATCH(D357,Empresas!$B:$B,0))))</f>
        <v/>
      </c>
      <c r="O357" s="27" t="str">
        <f aca="false">IF(OR(N357="",H357=""),"",H357-N357)</f>
        <v/>
      </c>
      <c r="P357" s="25" t="str">
        <f aca="false">IF(O357="","",IF(O357&lt;0,"CONTRATO ANTERIOR À ABERTURA — conferir datas",IF(O357&lt;180,"EMPRESA ABERTA MENOS DE 6 MESES ANTES","")))</f>
        <v/>
      </c>
      <c r="Q357" s="31" t="str">
        <f aca="false">IF(D357="","",IFERROR(INDEX(Sancoes!$D:$D,MATCH(D357,Sancoes!$C:$C,0)),"não consta"))</f>
        <v/>
      </c>
      <c r="R357" s="25" t="str">
        <f aca="false">IF(OR(D357="",H357=""),"",IF(SUMPRODUCT((Sancoes!$C$5:$C$304=D357)*(Sancoes!$G$5:$G$304&lt;=H357)*(((Sancoes!$H$5:$H$304="")+(Sancoes!$H$5:$H$304&gt;=H357))&gt;0))&gt;0,"SANÇÃO VIGENTE NA DATA — ler tipo e abrangência",""))</f>
        <v/>
      </c>
      <c r="S357" s="24"/>
      <c r="T357" s="11"/>
    </row>
    <row r="358" customFormat="false" ht="15" hidden="false" customHeight="false" outlineLevel="0" collapsed="false">
      <c r="A358" s="11"/>
      <c r="B358" s="24"/>
      <c r="C358" s="24"/>
      <c r="D358" s="31" t="str">
        <f aca="false">IF(C358="","",IF(LEN(UPPER(SUBSTITUTE(SUBSTITUTE(SUBSTITUTE(SUBSTITUTE(TRIM(C358),".",""),"/",""),"-","")," ","")))&lt;14,RIGHT(REPT("0",14)&amp;UPPER(SUBSTITUTE(SUBSTITUTE(SUBSTITUTE(SUBSTITUTE(TRIM(C358),".",""),"/",""),"-","")," ","")),14),UPPER(SUBSTITUTE(SUBSTITUTE(SUBSTITUTE(SUBSTITUTE(TRIM(C358),".",""),"/",""),"-","")," ",""))))</f>
        <v/>
      </c>
      <c r="E358" s="25" t="str">
        <f aca="false">IF(D358="","",IFERROR(INDEX(Empresas!$C:$C,MATCH(D358,Empresas!$B:$B,0)),"cadastre o CNPJ em Empresas"))</f>
        <v/>
      </c>
      <c r="F358" s="11"/>
      <c r="G358" s="23"/>
      <c r="H358" s="22"/>
      <c r="I358" s="35"/>
      <c r="J358" s="35"/>
      <c r="K358" s="36" t="str">
        <f aca="false">IF(I358="","",I358+J358)</f>
        <v/>
      </c>
      <c r="L358" s="37" t="str">
        <f aca="false">IF(OR(I358="",I358=0,J358=""),"",J358/I358)</f>
        <v/>
      </c>
      <c r="M358" s="25" t="str">
        <f aca="false">IF(L358="","",IF(L358&gt;0.25,"ACRÉSCIMO ACIMA DE 25% — conferir",""))</f>
        <v/>
      </c>
      <c r="N358" s="29" t="str">
        <f aca="false">IF(D358="","",IF(COUNTIFS(Empresas!$B:$B,D358,Empresas!$E:$E,"&lt;&gt;")=0,"",INDEX(Empresas!$E:$E,MATCH(D358,Empresas!$B:$B,0))))</f>
        <v/>
      </c>
      <c r="O358" s="27" t="str">
        <f aca="false">IF(OR(N358="",H358=""),"",H358-N358)</f>
        <v/>
      </c>
      <c r="P358" s="25" t="str">
        <f aca="false">IF(O358="","",IF(O358&lt;0,"CONTRATO ANTERIOR À ABERTURA — conferir datas",IF(O358&lt;180,"EMPRESA ABERTA MENOS DE 6 MESES ANTES","")))</f>
        <v/>
      </c>
      <c r="Q358" s="31" t="str">
        <f aca="false">IF(D358="","",IFERROR(INDEX(Sancoes!$D:$D,MATCH(D358,Sancoes!$C:$C,0)),"não consta"))</f>
        <v/>
      </c>
      <c r="R358" s="25" t="str">
        <f aca="false">IF(OR(D358="",H358=""),"",IF(SUMPRODUCT((Sancoes!$C$5:$C$304=D358)*(Sancoes!$G$5:$G$304&lt;=H358)*(((Sancoes!$H$5:$H$304="")+(Sancoes!$H$5:$H$304&gt;=H358))&gt;0))&gt;0,"SANÇÃO VIGENTE NA DATA — ler tipo e abrangência",""))</f>
        <v/>
      </c>
      <c r="S358" s="24"/>
      <c r="T358" s="11"/>
    </row>
    <row r="359" customFormat="false" ht="15" hidden="false" customHeight="false" outlineLevel="0" collapsed="false">
      <c r="A359" s="11"/>
      <c r="B359" s="24"/>
      <c r="C359" s="24"/>
      <c r="D359" s="31" t="str">
        <f aca="false">IF(C359="","",IF(LEN(UPPER(SUBSTITUTE(SUBSTITUTE(SUBSTITUTE(SUBSTITUTE(TRIM(C359),".",""),"/",""),"-","")," ","")))&lt;14,RIGHT(REPT("0",14)&amp;UPPER(SUBSTITUTE(SUBSTITUTE(SUBSTITUTE(SUBSTITUTE(TRIM(C359),".",""),"/",""),"-","")," ","")),14),UPPER(SUBSTITUTE(SUBSTITUTE(SUBSTITUTE(SUBSTITUTE(TRIM(C359),".",""),"/",""),"-","")," ",""))))</f>
        <v/>
      </c>
      <c r="E359" s="25" t="str">
        <f aca="false">IF(D359="","",IFERROR(INDEX(Empresas!$C:$C,MATCH(D359,Empresas!$B:$B,0)),"cadastre o CNPJ em Empresas"))</f>
        <v/>
      </c>
      <c r="F359" s="11"/>
      <c r="G359" s="23"/>
      <c r="H359" s="22"/>
      <c r="I359" s="35"/>
      <c r="J359" s="35"/>
      <c r="K359" s="36" t="str">
        <f aca="false">IF(I359="","",I359+J359)</f>
        <v/>
      </c>
      <c r="L359" s="37" t="str">
        <f aca="false">IF(OR(I359="",I359=0,J359=""),"",J359/I359)</f>
        <v/>
      </c>
      <c r="M359" s="25" t="str">
        <f aca="false">IF(L359="","",IF(L359&gt;0.25,"ACRÉSCIMO ACIMA DE 25% — conferir",""))</f>
        <v/>
      </c>
      <c r="N359" s="29" t="str">
        <f aca="false">IF(D359="","",IF(COUNTIFS(Empresas!$B:$B,D359,Empresas!$E:$E,"&lt;&gt;")=0,"",INDEX(Empresas!$E:$E,MATCH(D359,Empresas!$B:$B,0))))</f>
        <v/>
      </c>
      <c r="O359" s="27" t="str">
        <f aca="false">IF(OR(N359="",H359=""),"",H359-N359)</f>
        <v/>
      </c>
      <c r="P359" s="25" t="str">
        <f aca="false">IF(O359="","",IF(O359&lt;0,"CONTRATO ANTERIOR À ABERTURA — conferir datas",IF(O359&lt;180,"EMPRESA ABERTA MENOS DE 6 MESES ANTES","")))</f>
        <v/>
      </c>
      <c r="Q359" s="31" t="str">
        <f aca="false">IF(D359="","",IFERROR(INDEX(Sancoes!$D:$D,MATCH(D359,Sancoes!$C:$C,0)),"não consta"))</f>
        <v/>
      </c>
      <c r="R359" s="25" t="str">
        <f aca="false">IF(OR(D359="",H359=""),"",IF(SUMPRODUCT((Sancoes!$C$5:$C$304=D359)*(Sancoes!$G$5:$G$304&lt;=H359)*(((Sancoes!$H$5:$H$304="")+(Sancoes!$H$5:$H$304&gt;=H359))&gt;0))&gt;0,"SANÇÃO VIGENTE NA DATA — ler tipo e abrangência",""))</f>
        <v/>
      </c>
      <c r="S359" s="24"/>
      <c r="T359" s="11"/>
    </row>
    <row r="360" customFormat="false" ht="15" hidden="false" customHeight="false" outlineLevel="0" collapsed="false">
      <c r="A360" s="11"/>
      <c r="B360" s="24"/>
      <c r="C360" s="24"/>
      <c r="D360" s="31" t="str">
        <f aca="false">IF(C360="","",IF(LEN(UPPER(SUBSTITUTE(SUBSTITUTE(SUBSTITUTE(SUBSTITUTE(TRIM(C360),".",""),"/",""),"-","")," ","")))&lt;14,RIGHT(REPT("0",14)&amp;UPPER(SUBSTITUTE(SUBSTITUTE(SUBSTITUTE(SUBSTITUTE(TRIM(C360),".",""),"/",""),"-","")," ","")),14),UPPER(SUBSTITUTE(SUBSTITUTE(SUBSTITUTE(SUBSTITUTE(TRIM(C360),".",""),"/",""),"-","")," ",""))))</f>
        <v/>
      </c>
      <c r="E360" s="25" t="str">
        <f aca="false">IF(D360="","",IFERROR(INDEX(Empresas!$C:$C,MATCH(D360,Empresas!$B:$B,0)),"cadastre o CNPJ em Empresas"))</f>
        <v/>
      </c>
      <c r="F360" s="11"/>
      <c r="G360" s="23"/>
      <c r="H360" s="22"/>
      <c r="I360" s="35"/>
      <c r="J360" s="35"/>
      <c r="K360" s="36" t="str">
        <f aca="false">IF(I360="","",I360+J360)</f>
        <v/>
      </c>
      <c r="L360" s="37" t="str">
        <f aca="false">IF(OR(I360="",I360=0,J360=""),"",J360/I360)</f>
        <v/>
      </c>
      <c r="M360" s="25" t="str">
        <f aca="false">IF(L360="","",IF(L360&gt;0.25,"ACRÉSCIMO ACIMA DE 25% — conferir",""))</f>
        <v/>
      </c>
      <c r="N360" s="29" t="str">
        <f aca="false">IF(D360="","",IF(COUNTIFS(Empresas!$B:$B,D360,Empresas!$E:$E,"&lt;&gt;")=0,"",INDEX(Empresas!$E:$E,MATCH(D360,Empresas!$B:$B,0))))</f>
        <v/>
      </c>
      <c r="O360" s="27" t="str">
        <f aca="false">IF(OR(N360="",H360=""),"",H360-N360)</f>
        <v/>
      </c>
      <c r="P360" s="25" t="str">
        <f aca="false">IF(O360="","",IF(O360&lt;0,"CONTRATO ANTERIOR À ABERTURA — conferir datas",IF(O360&lt;180,"EMPRESA ABERTA MENOS DE 6 MESES ANTES","")))</f>
        <v/>
      </c>
      <c r="Q360" s="31" t="str">
        <f aca="false">IF(D360="","",IFERROR(INDEX(Sancoes!$D:$D,MATCH(D360,Sancoes!$C:$C,0)),"não consta"))</f>
        <v/>
      </c>
      <c r="R360" s="25" t="str">
        <f aca="false">IF(OR(D360="",H360=""),"",IF(SUMPRODUCT((Sancoes!$C$5:$C$304=D360)*(Sancoes!$G$5:$G$304&lt;=H360)*(((Sancoes!$H$5:$H$304="")+(Sancoes!$H$5:$H$304&gt;=H360))&gt;0))&gt;0,"SANÇÃO VIGENTE NA DATA — ler tipo e abrangência",""))</f>
        <v/>
      </c>
      <c r="S360" s="24"/>
      <c r="T360" s="11"/>
    </row>
    <row r="361" customFormat="false" ht="15" hidden="false" customHeight="false" outlineLevel="0" collapsed="false">
      <c r="A361" s="11"/>
      <c r="B361" s="24"/>
      <c r="C361" s="24"/>
      <c r="D361" s="31" t="str">
        <f aca="false">IF(C361="","",IF(LEN(UPPER(SUBSTITUTE(SUBSTITUTE(SUBSTITUTE(SUBSTITUTE(TRIM(C361),".",""),"/",""),"-","")," ","")))&lt;14,RIGHT(REPT("0",14)&amp;UPPER(SUBSTITUTE(SUBSTITUTE(SUBSTITUTE(SUBSTITUTE(TRIM(C361),".",""),"/",""),"-","")," ","")),14),UPPER(SUBSTITUTE(SUBSTITUTE(SUBSTITUTE(SUBSTITUTE(TRIM(C361),".",""),"/",""),"-","")," ",""))))</f>
        <v/>
      </c>
      <c r="E361" s="25" t="str">
        <f aca="false">IF(D361="","",IFERROR(INDEX(Empresas!$C:$C,MATCH(D361,Empresas!$B:$B,0)),"cadastre o CNPJ em Empresas"))</f>
        <v/>
      </c>
      <c r="F361" s="11"/>
      <c r="G361" s="23"/>
      <c r="H361" s="22"/>
      <c r="I361" s="35"/>
      <c r="J361" s="35"/>
      <c r="K361" s="36" t="str">
        <f aca="false">IF(I361="","",I361+J361)</f>
        <v/>
      </c>
      <c r="L361" s="37" t="str">
        <f aca="false">IF(OR(I361="",I361=0,J361=""),"",J361/I361)</f>
        <v/>
      </c>
      <c r="M361" s="25" t="str">
        <f aca="false">IF(L361="","",IF(L361&gt;0.25,"ACRÉSCIMO ACIMA DE 25% — conferir",""))</f>
        <v/>
      </c>
      <c r="N361" s="29" t="str">
        <f aca="false">IF(D361="","",IF(COUNTIFS(Empresas!$B:$B,D361,Empresas!$E:$E,"&lt;&gt;")=0,"",INDEX(Empresas!$E:$E,MATCH(D361,Empresas!$B:$B,0))))</f>
        <v/>
      </c>
      <c r="O361" s="27" t="str">
        <f aca="false">IF(OR(N361="",H361=""),"",H361-N361)</f>
        <v/>
      </c>
      <c r="P361" s="25" t="str">
        <f aca="false">IF(O361="","",IF(O361&lt;0,"CONTRATO ANTERIOR À ABERTURA — conferir datas",IF(O361&lt;180,"EMPRESA ABERTA MENOS DE 6 MESES ANTES","")))</f>
        <v/>
      </c>
      <c r="Q361" s="31" t="str">
        <f aca="false">IF(D361="","",IFERROR(INDEX(Sancoes!$D:$D,MATCH(D361,Sancoes!$C:$C,0)),"não consta"))</f>
        <v/>
      </c>
      <c r="R361" s="25" t="str">
        <f aca="false">IF(OR(D361="",H361=""),"",IF(SUMPRODUCT((Sancoes!$C$5:$C$304=D361)*(Sancoes!$G$5:$G$304&lt;=H361)*(((Sancoes!$H$5:$H$304="")+(Sancoes!$H$5:$H$304&gt;=H361))&gt;0))&gt;0,"SANÇÃO VIGENTE NA DATA — ler tipo e abrangência",""))</f>
        <v/>
      </c>
      <c r="S361" s="24"/>
      <c r="T361" s="11"/>
    </row>
    <row r="362" customFormat="false" ht="15" hidden="false" customHeight="false" outlineLevel="0" collapsed="false">
      <c r="A362" s="11"/>
      <c r="B362" s="24"/>
      <c r="C362" s="24"/>
      <c r="D362" s="31" t="str">
        <f aca="false">IF(C362="","",IF(LEN(UPPER(SUBSTITUTE(SUBSTITUTE(SUBSTITUTE(SUBSTITUTE(TRIM(C362),".",""),"/",""),"-","")," ","")))&lt;14,RIGHT(REPT("0",14)&amp;UPPER(SUBSTITUTE(SUBSTITUTE(SUBSTITUTE(SUBSTITUTE(TRIM(C362),".",""),"/",""),"-","")," ","")),14),UPPER(SUBSTITUTE(SUBSTITUTE(SUBSTITUTE(SUBSTITUTE(TRIM(C362),".",""),"/",""),"-","")," ",""))))</f>
        <v/>
      </c>
      <c r="E362" s="25" t="str">
        <f aca="false">IF(D362="","",IFERROR(INDEX(Empresas!$C:$C,MATCH(D362,Empresas!$B:$B,0)),"cadastre o CNPJ em Empresas"))</f>
        <v/>
      </c>
      <c r="F362" s="11"/>
      <c r="G362" s="23"/>
      <c r="H362" s="22"/>
      <c r="I362" s="35"/>
      <c r="J362" s="35"/>
      <c r="K362" s="36" t="str">
        <f aca="false">IF(I362="","",I362+J362)</f>
        <v/>
      </c>
      <c r="L362" s="37" t="str">
        <f aca="false">IF(OR(I362="",I362=0,J362=""),"",J362/I362)</f>
        <v/>
      </c>
      <c r="M362" s="25" t="str">
        <f aca="false">IF(L362="","",IF(L362&gt;0.25,"ACRÉSCIMO ACIMA DE 25% — conferir",""))</f>
        <v/>
      </c>
      <c r="N362" s="29" t="str">
        <f aca="false">IF(D362="","",IF(COUNTIFS(Empresas!$B:$B,D362,Empresas!$E:$E,"&lt;&gt;")=0,"",INDEX(Empresas!$E:$E,MATCH(D362,Empresas!$B:$B,0))))</f>
        <v/>
      </c>
      <c r="O362" s="27" t="str">
        <f aca="false">IF(OR(N362="",H362=""),"",H362-N362)</f>
        <v/>
      </c>
      <c r="P362" s="25" t="str">
        <f aca="false">IF(O362="","",IF(O362&lt;0,"CONTRATO ANTERIOR À ABERTURA — conferir datas",IF(O362&lt;180,"EMPRESA ABERTA MENOS DE 6 MESES ANTES","")))</f>
        <v/>
      </c>
      <c r="Q362" s="31" t="str">
        <f aca="false">IF(D362="","",IFERROR(INDEX(Sancoes!$D:$D,MATCH(D362,Sancoes!$C:$C,0)),"não consta"))</f>
        <v/>
      </c>
      <c r="R362" s="25" t="str">
        <f aca="false">IF(OR(D362="",H362=""),"",IF(SUMPRODUCT((Sancoes!$C$5:$C$304=D362)*(Sancoes!$G$5:$G$304&lt;=H362)*(((Sancoes!$H$5:$H$304="")+(Sancoes!$H$5:$H$304&gt;=H362))&gt;0))&gt;0,"SANÇÃO VIGENTE NA DATA — ler tipo e abrangência",""))</f>
        <v/>
      </c>
      <c r="S362" s="24"/>
      <c r="T362" s="11"/>
    </row>
    <row r="363" customFormat="false" ht="15" hidden="false" customHeight="false" outlineLevel="0" collapsed="false">
      <c r="A363" s="11"/>
      <c r="B363" s="24"/>
      <c r="C363" s="24"/>
      <c r="D363" s="31" t="str">
        <f aca="false">IF(C363="","",IF(LEN(UPPER(SUBSTITUTE(SUBSTITUTE(SUBSTITUTE(SUBSTITUTE(TRIM(C363),".",""),"/",""),"-","")," ","")))&lt;14,RIGHT(REPT("0",14)&amp;UPPER(SUBSTITUTE(SUBSTITUTE(SUBSTITUTE(SUBSTITUTE(TRIM(C363),".",""),"/",""),"-","")," ","")),14),UPPER(SUBSTITUTE(SUBSTITUTE(SUBSTITUTE(SUBSTITUTE(TRIM(C363),".",""),"/",""),"-","")," ",""))))</f>
        <v/>
      </c>
      <c r="E363" s="25" t="str">
        <f aca="false">IF(D363="","",IFERROR(INDEX(Empresas!$C:$C,MATCH(D363,Empresas!$B:$B,0)),"cadastre o CNPJ em Empresas"))</f>
        <v/>
      </c>
      <c r="F363" s="11"/>
      <c r="G363" s="23"/>
      <c r="H363" s="22"/>
      <c r="I363" s="35"/>
      <c r="J363" s="35"/>
      <c r="K363" s="36" t="str">
        <f aca="false">IF(I363="","",I363+J363)</f>
        <v/>
      </c>
      <c r="L363" s="37" t="str">
        <f aca="false">IF(OR(I363="",I363=0,J363=""),"",J363/I363)</f>
        <v/>
      </c>
      <c r="M363" s="25" t="str">
        <f aca="false">IF(L363="","",IF(L363&gt;0.25,"ACRÉSCIMO ACIMA DE 25% — conferir",""))</f>
        <v/>
      </c>
      <c r="N363" s="29" t="str">
        <f aca="false">IF(D363="","",IF(COUNTIFS(Empresas!$B:$B,D363,Empresas!$E:$E,"&lt;&gt;")=0,"",INDEX(Empresas!$E:$E,MATCH(D363,Empresas!$B:$B,0))))</f>
        <v/>
      </c>
      <c r="O363" s="27" t="str">
        <f aca="false">IF(OR(N363="",H363=""),"",H363-N363)</f>
        <v/>
      </c>
      <c r="P363" s="25" t="str">
        <f aca="false">IF(O363="","",IF(O363&lt;0,"CONTRATO ANTERIOR À ABERTURA — conferir datas",IF(O363&lt;180,"EMPRESA ABERTA MENOS DE 6 MESES ANTES","")))</f>
        <v/>
      </c>
      <c r="Q363" s="31" t="str">
        <f aca="false">IF(D363="","",IFERROR(INDEX(Sancoes!$D:$D,MATCH(D363,Sancoes!$C:$C,0)),"não consta"))</f>
        <v/>
      </c>
      <c r="R363" s="25" t="str">
        <f aca="false">IF(OR(D363="",H363=""),"",IF(SUMPRODUCT((Sancoes!$C$5:$C$304=D363)*(Sancoes!$G$5:$G$304&lt;=H363)*(((Sancoes!$H$5:$H$304="")+(Sancoes!$H$5:$H$304&gt;=H363))&gt;0))&gt;0,"SANÇÃO VIGENTE NA DATA — ler tipo e abrangência",""))</f>
        <v/>
      </c>
      <c r="S363" s="24"/>
      <c r="T363" s="11"/>
    </row>
    <row r="364" customFormat="false" ht="15" hidden="false" customHeight="false" outlineLevel="0" collapsed="false">
      <c r="A364" s="11"/>
      <c r="B364" s="24"/>
      <c r="C364" s="24"/>
      <c r="D364" s="31" t="str">
        <f aca="false">IF(C364="","",IF(LEN(UPPER(SUBSTITUTE(SUBSTITUTE(SUBSTITUTE(SUBSTITUTE(TRIM(C364),".",""),"/",""),"-","")," ","")))&lt;14,RIGHT(REPT("0",14)&amp;UPPER(SUBSTITUTE(SUBSTITUTE(SUBSTITUTE(SUBSTITUTE(TRIM(C364),".",""),"/",""),"-","")," ","")),14),UPPER(SUBSTITUTE(SUBSTITUTE(SUBSTITUTE(SUBSTITUTE(TRIM(C364),".",""),"/",""),"-","")," ",""))))</f>
        <v/>
      </c>
      <c r="E364" s="25" t="str">
        <f aca="false">IF(D364="","",IFERROR(INDEX(Empresas!$C:$C,MATCH(D364,Empresas!$B:$B,0)),"cadastre o CNPJ em Empresas"))</f>
        <v/>
      </c>
      <c r="F364" s="11"/>
      <c r="G364" s="23"/>
      <c r="H364" s="22"/>
      <c r="I364" s="35"/>
      <c r="J364" s="35"/>
      <c r="K364" s="36" t="str">
        <f aca="false">IF(I364="","",I364+J364)</f>
        <v/>
      </c>
      <c r="L364" s="37" t="str">
        <f aca="false">IF(OR(I364="",I364=0,J364=""),"",J364/I364)</f>
        <v/>
      </c>
      <c r="M364" s="25" t="str">
        <f aca="false">IF(L364="","",IF(L364&gt;0.25,"ACRÉSCIMO ACIMA DE 25% — conferir",""))</f>
        <v/>
      </c>
      <c r="N364" s="29" t="str">
        <f aca="false">IF(D364="","",IF(COUNTIFS(Empresas!$B:$B,D364,Empresas!$E:$E,"&lt;&gt;")=0,"",INDEX(Empresas!$E:$E,MATCH(D364,Empresas!$B:$B,0))))</f>
        <v/>
      </c>
      <c r="O364" s="27" t="str">
        <f aca="false">IF(OR(N364="",H364=""),"",H364-N364)</f>
        <v/>
      </c>
      <c r="P364" s="25" t="str">
        <f aca="false">IF(O364="","",IF(O364&lt;0,"CONTRATO ANTERIOR À ABERTURA — conferir datas",IF(O364&lt;180,"EMPRESA ABERTA MENOS DE 6 MESES ANTES","")))</f>
        <v/>
      </c>
      <c r="Q364" s="31" t="str">
        <f aca="false">IF(D364="","",IFERROR(INDEX(Sancoes!$D:$D,MATCH(D364,Sancoes!$C:$C,0)),"não consta"))</f>
        <v/>
      </c>
      <c r="R364" s="25" t="str">
        <f aca="false">IF(OR(D364="",H364=""),"",IF(SUMPRODUCT((Sancoes!$C$5:$C$304=D364)*(Sancoes!$G$5:$G$304&lt;=H364)*(((Sancoes!$H$5:$H$304="")+(Sancoes!$H$5:$H$304&gt;=H364))&gt;0))&gt;0,"SANÇÃO VIGENTE NA DATA — ler tipo e abrangência",""))</f>
        <v/>
      </c>
      <c r="S364" s="24"/>
      <c r="T364" s="11"/>
    </row>
    <row r="365" customFormat="false" ht="15" hidden="false" customHeight="false" outlineLevel="0" collapsed="false">
      <c r="A365" s="11"/>
      <c r="B365" s="24"/>
      <c r="C365" s="24"/>
      <c r="D365" s="31" t="str">
        <f aca="false">IF(C365="","",IF(LEN(UPPER(SUBSTITUTE(SUBSTITUTE(SUBSTITUTE(SUBSTITUTE(TRIM(C365),".",""),"/",""),"-","")," ","")))&lt;14,RIGHT(REPT("0",14)&amp;UPPER(SUBSTITUTE(SUBSTITUTE(SUBSTITUTE(SUBSTITUTE(TRIM(C365),".",""),"/",""),"-","")," ","")),14),UPPER(SUBSTITUTE(SUBSTITUTE(SUBSTITUTE(SUBSTITUTE(TRIM(C365),".",""),"/",""),"-","")," ",""))))</f>
        <v/>
      </c>
      <c r="E365" s="25" t="str">
        <f aca="false">IF(D365="","",IFERROR(INDEX(Empresas!$C:$C,MATCH(D365,Empresas!$B:$B,0)),"cadastre o CNPJ em Empresas"))</f>
        <v/>
      </c>
      <c r="F365" s="11"/>
      <c r="G365" s="23"/>
      <c r="H365" s="22"/>
      <c r="I365" s="35"/>
      <c r="J365" s="35"/>
      <c r="K365" s="36" t="str">
        <f aca="false">IF(I365="","",I365+J365)</f>
        <v/>
      </c>
      <c r="L365" s="37" t="str">
        <f aca="false">IF(OR(I365="",I365=0,J365=""),"",J365/I365)</f>
        <v/>
      </c>
      <c r="M365" s="25" t="str">
        <f aca="false">IF(L365="","",IF(L365&gt;0.25,"ACRÉSCIMO ACIMA DE 25% — conferir",""))</f>
        <v/>
      </c>
      <c r="N365" s="29" t="str">
        <f aca="false">IF(D365="","",IF(COUNTIFS(Empresas!$B:$B,D365,Empresas!$E:$E,"&lt;&gt;")=0,"",INDEX(Empresas!$E:$E,MATCH(D365,Empresas!$B:$B,0))))</f>
        <v/>
      </c>
      <c r="O365" s="27" t="str">
        <f aca="false">IF(OR(N365="",H365=""),"",H365-N365)</f>
        <v/>
      </c>
      <c r="P365" s="25" t="str">
        <f aca="false">IF(O365="","",IF(O365&lt;0,"CONTRATO ANTERIOR À ABERTURA — conferir datas",IF(O365&lt;180,"EMPRESA ABERTA MENOS DE 6 MESES ANTES","")))</f>
        <v/>
      </c>
      <c r="Q365" s="31" t="str">
        <f aca="false">IF(D365="","",IFERROR(INDEX(Sancoes!$D:$D,MATCH(D365,Sancoes!$C:$C,0)),"não consta"))</f>
        <v/>
      </c>
      <c r="R365" s="25" t="str">
        <f aca="false">IF(OR(D365="",H365=""),"",IF(SUMPRODUCT((Sancoes!$C$5:$C$304=D365)*(Sancoes!$G$5:$G$304&lt;=H365)*(((Sancoes!$H$5:$H$304="")+(Sancoes!$H$5:$H$304&gt;=H365))&gt;0))&gt;0,"SANÇÃO VIGENTE NA DATA — ler tipo e abrangência",""))</f>
        <v/>
      </c>
      <c r="S365" s="24"/>
      <c r="T365" s="11"/>
    </row>
    <row r="366" customFormat="false" ht="15" hidden="false" customHeight="false" outlineLevel="0" collapsed="false">
      <c r="A366" s="11"/>
      <c r="B366" s="24"/>
      <c r="C366" s="24"/>
      <c r="D366" s="31" t="str">
        <f aca="false">IF(C366="","",IF(LEN(UPPER(SUBSTITUTE(SUBSTITUTE(SUBSTITUTE(SUBSTITUTE(TRIM(C366),".",""),"/",""),"-","")," ","")))&lt;14,RIGHT(REPT("0",14)&amp;UPPER(SUBSTITUTE(SUBSTITUTE(SUBSTITUTE(SUBSTITUTE(TRIM(C366),".",""),"/",""),"-","")," ","")),14),UPPER(SUBSTITUTE(SUBSTITUTE(SUBSTITUTE(SUBSTITUTE(TRIM(C366),".",""),"/",""),"-","")," ",""))))</f>
        <v/>
      </c>
      <c r="E366" s="25" t="str">
        <f aca="false">IF(D366="","",IFERROR(INDEX(Empresas!$C:$C,MATCH(D366,Empresas!$B:$B,0)),"cadastre o CNPJ em Empresas"))</f>
        <v/>
      </c>
      <c r="F366" s="11"/>
      <c r="G366" s="23"/>
      <c r="H366" s="22"/>
      <c r="I366" s="35"/>
      <c r="J366" s="35"/>
      <c r="K366" s="36" t="str">
        <f aca="false">IF(I366="","",I366+J366)</f>
        <v/>
      </c>
      <c r="L366" s="37" t="str">
        <f aca="false">IF(OR(I366="",I366=0,J366=""),"",J366/I366)</f>
        <v/>
      </c>
      <c r="M366" s="25" t="str">
        <f aca="false">IF(L366="","",IF(L366&gt;0.25,"ACRÉSCIMO ACIMA DE 25% — conferir",""))</f>
        <v/>
      </c>
      <c r="N366" s="29" t="str">
        <f aca="false">IF(D366="","",IF(COUNTIFS(Empresas!$B:$B,D366,Empresas!$E:$E,"&lt;&gt;")=0,"",INDEX(Empresas!$E:$E,MATCH(D366,Empresas!$B:$B,0))))</f>
        <v/>
      </c>
      <c r="O366" s="27" t="str">
        <f aca="false">IF(OR(N366="",H366=""),"",H366-N366)</f>
        <v/>
      </c>
      <c r="P366" s="25" t="str">
        <f aca="false">IF(O366="","",IF(O366&lt;0,"CONTRATO ANTERIOR À ABERTURA — conferir datas",IF(O366&lt;180,"EMPRESA ABERTA MENOS DE 6 MESES ANTES","")))</f>
        <v/>
      </c>
      <c r="Q366" s="31" t="str">
        <f aca="false">IF(D366="","",IFERROR(INDEX(Sancoes!$D:$D,MATCH(D366,Sancoes!$C:$C,0)),"não consta"))</f>
        <v/>
      </c>
      <c r="R366" s="25" t="str">
        <f aca="false">IF(OR(D366="",H366=""),"",IF(SUMPRODUCT((Sancoes!$C$5:$C$304=D366)*(Sancoes!$G$5:$G$304&lt;=H366)*(((Sancoes!$H$5:$H$304="")+(Sancoes!$H$5:$H$304&gt;=H366))&gt;0))&gt;0,"SANÇÃO VIGENTE NA DATA — ler tipo e abrangência",""))</f>
        <v/>
      </c>
      <c r="S366" s="24"/>
      <c r="T366" s="11"/>
    </row>
    <row r="367" customFormat="false" ht="15" hidden="false" customHeight="false" outlineLevel="0" collapsed="false">
      <c r="A367" s="11"/>
      <c r="B367" s="24"/>
      <c r="C367" s="24"/>
      <c r="D367" s="31" t="str">
        <f aca="false">IF(C367="","",IF(LEN(UPPER(SUBSTITUTE(SUBSTITUTE(SUBSTITUTE(SUBSTITUTE(TRIM(C367),".",""),"/",""),"-","")," ","")))&lt;14,RIGHT(REPT("0",14)&amp;UPPER(SUBSTITUTE(SUBSTITUTE(SUBSTITUTE(SUBSTITUTE(TRIM(C367),".",""),"/",""),"-","")," ","")),14),UPPER(SUBSTITUTE(SUBSTITUTE(SUBSTITUTE(SUBSTITUTE(TRIM(C367),".",""),"/",""),"-","")," ",""))))</f>
        <v/>
      </c>
      <c r="E367" s="25" t="str">
        <f aca="false">IF(D367="","",IFERROR(INDEX(Empresas!$C:$C,MATCH(D367,Empresas!$B:$B,0)),"cadastre o CNPJ em Empresas"))</f>
        <v/>
      </c>
      <c r="F367" s="11"/>
      <c r="G367" s="23"/>
      <c r="H367" s="22"/>
      <c r="I367" s="35"/>
      <c r="J367" s="35"/>
      <c r="K367" s="36" t="str">
        <f aca="false">IF(I367="","",I367+J367)</f>
        <v/>
      </c>
      <c r="L367" s="37" t="str">
        <f aca="false">IF(OR(I367="",I367=0,J367=""),"",J367/I367)</f>
        <v/>
      </c>
      <c r="M367" s="25" t="str">
        <f aca="false">IF(L367="","",IF(L367&gt;0.25,"ACRÉSCIMO ACIMA DE 25% — conferir",""))</f>
        <v/>
      </c>
      <c r="N367" s="29" t="str">
        <f aca="false">IF(D367="","",IF(COUNTIFS(Empresas!$B:$B,D367,Empresas!$E:$E,"&lt;&gt;")=0,"",INDEX(Empresas!$E:$E,MATCH(D367,Empresas!$B:$B,0))))</f>
        <v/>
      </c>
      <c r="O367" s="27" t="str">
        <f aca="false">IF(OR(N367="",H367=""),"",H367-N367)</f>
        <v/>
      </c>
      <c r="P367" s="25" t="str">
        <f aca="false">IF(O367="","",IF(O367&lt;0,"CONTRATO ANTERIOR À ABERTURA — conferir datas",IF(O367&lt;180,"EMPRESA ABERTA MENOS DE 6 MESES ANTES","")))</f>
        <v/>
      </c>
      <c r="Q367" s="31" t="str">
        <f aca="false">IF(D367="","",IFERROR(INDEX(Sancoes!$D:$D,MATCH(D367,Sancoes!$C:$C,0)),"não consta"))</f>
        <v/>
      </c>
      <c r="R367" s="25" t="str">
        <f aca="false">IF(OR(D367="",H367=""),"",IF(SUMPRODUCT((Sancoes!$C$5:$C$304=D367)*(Sancoes!$G$5:$G$304&lt;=H367)*(((Sancoes!$H$5:$H$304="")+(Sancoes!$H$5:$H$304&gt;=H367))&gt;0))&gt;0,"SANÇÃO VIGENTE NA DATA — ler tipo e abrangência",""))</f>
        <v/>
      </c>
      <c r="S367" s="24"/>
      <c r="T367" s="11"/>
    </row>
    <row r="368" customFormat="false" ht="15" hidden="false" customHeight="false" outlineLevel="0" collapsed="false">
      <c r="A368" s="11"/>
      <c r="B368" s="24"/>
      <c r="C368" s="24"/>
      <c r="D368" s="31" t="str">
        <f aca="false">IF(C368="","",IF(LEN(UPPER(SUBSTITUTE(SUBSTITUTE(SUBSTITUTE(SUBSTITUTE(TRIM(C368),".",""),"/",""),"-","")," ","")))&lt;14,RIGHT(REPT("0",14)&amp;UPPER(SUBSTITUTE(SUBSTITUTE(SUBSTITUTE(SUBSTITUTE(TRIM(C368),".",""),"/",""),"-","")," ","")),14),UPPER(SUBSTITUTE(SUBSTITUTE(SUBSTITUTE(SUBSTITUTE(TRIM(C368),".",""),"/",""),"-","")," ",""))))</f>
        <v/>
      </c>
      <c r="E368" s="25" t="str">
        <f aca="false">IF(D368="","",IFERROR(INDEX(Empresas!$C:$C,MATCH(D368,Empresas!$B:$B,0)),"cadastre o CNPJ em Empresas"))</f>
        <v/>
      </c>
      <c r="F368" s="11"/>
      <c r="G368" s="23"/>
      <c r="H368" s="22"/>
      <c r="I368" s="35"/>
      <c r="J368" s="35"/>
      <c r="K368" s="36" t="str">
        <f aca="false">IF(I368="","",I368+J368)</f>
        <v/>
      </c>
      <c r="L368" s="37" t="str">
        <f aca="false">IF(OR(I368="",I368=0,J368=""),"",J368/I368)</f>
        <v/>
      </c>
      <c r="M368" s="25" t="str">
        <f aca="false">IF(L368="","",IF(L368&gt;0.25,"ACRÉSCIMO ACIMA DE 25% — conferir",""))</f>
        <v/>
      </c>
      <c r="N368" s="29" t="str">
        <f aca="false">IF(D368="","",IF(COUNTIFS(Empresas!$B:$B,D368,Empresas!$E:$E,"&lt;&gt;")=0,"",INDEX(Empresas!$E:$E,MATCH(D368,Empresas!$B:$B,0))))</f>
        <v/>
      </c>
      <c r="O368" s="27" t="str">
        <f aca="false">IF(OR(N368="",H368=""),"",H368-N368)</f>
        <v/>
      </c>
      <c r="P368" s="25" t="str">
        <f aca="false">IF(O368="","",IF(O368&lt;0,"CONTRATO ANTERIOR À ABERTURA — conferir datas",IF(O368&lt;180,"EMPRESA ABERTA MENOS DE 6 MESES ANTES","")))</f>
        <v/>
      </c>
      <c r="Q368" s="31" t="str">
        <f aca="false">IF(D368="","",IFERROR(INDEX(Sancoes!$D:$D,MATCH(D368,Sancoes!$C:$C,0)),"não consta"))</f>
        <v/>
      </c>
      <c r="R368" s="25" t="str">
        <f aca="false">IF(OR(D368="",H368=""),"",IF(SUMPRODUCT((Sancoes!$C$5:$C$304=D368)*(Sancoes!$G$5:$G$304&lt;=H368)*(((Sancoes!$H$5:$H$304="")+(Sancoes!$H$5:$H$304&gt;=H368))&gt;0))&gt;0,"SANÇÃO VIGENTE NA DATA — ler tipo e abrangência",""))</f>
        <v/>
      </c>
      <c r="S368" s="24"/>
      <c r="T368" s="11"/>
    </row>
    <row r="369" customFormat="false" ht="15" hidden="false" customHeight="false" outlineLevel="0" collapsed="false">
      <c r="A369" s="11"/>
      <c r="B369" s="24"/>
      <c r="C369" s="24"/>
      <c r="D369" s="31" t="str">
        <f aca="false">IF(C369="","",IF(LEN(UPPER(SUBSTITUTE(SUBSTITUTE(SUBSTITUTE(SUBSTITUTE(TRIM(C369),".",""),"/",""),"-","")," ","")))&lt;14,RIGHT(REPT("0",14)&amp;UPPER(SUBSTITUTE(SUBSTITUTE(SUBSTITUTE(SUBSTITUTE(TRIM(C369),".",""),"/",""),"-","")," ","")),14),UPPER(SUBSTITUTE(SUBSTITUTE(SUBSTITUTE(SUBSTITUTE(TRIM(C369),".",""),"/",""),"-","")," ",""))))</f>
        <v/>
      </c>
      <c r="E369" s="25" t="str">
        <f aca="false">IF(D369="","",IFERROR(INDEX(Empresas!$C:$C,MATCH(D369,Empresas!$B:$B,0)),"cadastre o CNPJ em Empresas"))</f>
        <v/>
      </c>
      <c r="F369" s="11"/>
      <c r="G369" s="23"/>
      <c r="H369" s="22"/>
      <c r="I369" s="35"/>
      <c r="J369" s="35"/>
      <c r="K369" s="36" t="str">
        <f aca="false">IF(I369="","",I369+J369)</f>
        <v/>
      </c>
      <c r="L369" s="37" t="str">
        <f aca="false">IF(OR(I369="",I369=0,J369=""),"",J369/I369)</f>
        <v/>
      </c>
      <c r="M369" s="25" t="str">
        <f aca="false">IF(L369="","",IF(L369&gt;0.25,"ACRÉSCIMO ACIMA DE 25% — conferir",""))</f>
        <v/>
      </c>
      <c r="N369" s="29" t="str">
        <f aca="false">IF(D369="","",IF(COUNTIFS(Empresas!$B:$B,D369,Empresas!$E:$E,"&lt;&gt;")=0,"",INDEX(Empresas!$E:$E,MATCH(D369,Empresas!$B:$B,0))))</f>
        <v/>
      </c>
      <c r="O369" s="27" t="str">
        <f aca="false">IF(OR(N369="",H369=""),"",H369-N369)</f>
        <v/>
      </c>
      <c r="P369" s="25" t="str">
        <f aca="false">IF(O369="","",IF(O369&lt;0,"CONTRATO ANTERIOR À ABERTURA — conferir datas",IF(O369&lt;180,"EMPRESA ABERTA MENOS DE 6 MESES ANTES","")))</f>
        <v/>
      </c>
      <c r="Q369" s="31" t="str">
        <f aca="false">IF(D369="","",IFERROR(INDEX(Sancoes!$D:$D,MATCH(D369,Sancoes!$C:$C,0)),"não consta"))</f>
        <v/>
      </c>
      <c r="R369" s="25" t="str">
        <f aca="false">IF(OR(D369="",H369=""),"",IF(SUMPRODUCT((Sancoes!$C$5:$C$304=D369)*(Sancoes!$G$5:$G$304&lt;=H369)*(((Sancoes!$H$5:$H$304="")+(Sancoes!$H$5:$H$304&gt;=H369))&gt;0))&gt;0,"SANÇÃO VIGENTE NA DATA — ler tipo e abrangência",""))</f>
        <v/>
      </c>
      <c r="S369" s="24"/>
      <c r="T369" s="11"/>
    </row>
    <row r="370" customFormat="false" ht="15" hidden="false" customHeight="false" outlineLevel="0" collapsed="false">
      <c r="A370" s="11"/>
      <c r="B370" s="24"/>
      <c r="C370" s="24"/>
      <c r="D370" s="31" t="str">
        <f aca="false">IF(C370="","",IF(LEN(UPPER(SUBSTITUTE(SUBSTITUTE(SUBSTITUTE(SUBSTITUTE(TRIM(C370),".",""),"/",""),"-","")," ","")))&lt;14,RIGHT(REPT("0",14)&amp;UPPER(SUBSTITUTE(SUBSTITUTE(SUBSTITUTE(SUBSTITUTE(TRIM(C370),".",""),"/",""),"-","")," ","")),14),UPPER(SUBSTITUTE(SUBSTITUTE(SUBSTITUTE(SUBSTITUTE(TRIM(C370),".",""),"/",""),"-","")," ",""))))</f>
        <v/>
      </c>
      <c r="E370" s="25" t="str">
        <f aca="false">IF(D370="","",IFERROR(INDEX(Empresas!$C:$C,MATCH(D370,Empresas!$B:$B,0)),"cadastre o CNPJ em Empresas"))</f>
        <v/>
      </c>
      <c r="F370" s="11"/>
      <c r="G370" s="23"/>
      <c r="H370" s="22"/>
      <c r="I370" s="35"/>
      <c r="J370" s="35"/>
      <c r="K370" s="36" t="str">
        <f aca="false">IF(I370="","",I370+J370)</f>
        <v/>
      </c>
      <c r="L370" s="37" t="str">
        <f aca="false">IF(OR(I370="",I370=0,J370=""),"",J370/I370)</f>
        <v/>
      </c>
      <c r="M370" s="25" t="str">
        <f aca="false">IF(L370="","",IF(L370&gt;0.25,"ACRÉSCIMO ACIMA DE 25% — conferir",""))</f>
        <v/>
      </c>
      <c r="N370" s="29" t="str">
        <f aca="false">IF(D370="","",IF(COUNTIFS(Empresas!$B:$B,D370,Empresas!$E:$E,"&lt;&gt;")=0,"",INDEX(Empresas!$E:$E,MATCH(D370,Empresas!$B:$B,0))))</f>
        <v/>
      </c>
      <c r="O370" s="27" t="str">
        <f aca="false">IF(OR(N370="",H370=""),"",H370-N370)</f>
        <v/>
      </c>
      <c r="P370" s="25" t="str">
        <f aca="false">IF(O370="","",IF(O370&lt;0,"CONTRATO ANTERIOR À ABERTURA — conferir datas",IF(O370&lt;180,"EMPRESA ABERTA MENOS DE 6 MESES ANTES","")))</f>
        <v/>
      </c>
      <c r="Q370" s="31" t="str">
        <f aca="false">IF(D370="","",IFERROR(INDEX(Sancoes!$D:$D,MATCH(D370,Sancoes!$C:$C,0)),"não consta"))</f>
        <v/>
      </c>
      <c r="R370" s="25" t="str">
        <f aca="false">IF(OR(D370="",H370=""),"",IF(SUMPRODUCT((Sancoes!$C$5:$C$304=D370)*(Sancoes!$G$5:$G$304&lt;=H370)*(((Sancoes!$H$5:$H$304="")+(Sancoes!$H$5:$H$304&gt;=H370))&gt;0))&gt;0,"SANÇÃO VIGENTE NA DATA — ler tipo e abrangência",""))</f>
        <v/>
      </c>
      <c r="S370" s="24"/>
      <c r="T370" s="11"/>
    </row>
    <row r="371" customFormat="false" ht="15" hidden="false" customHeight="false" outlineLevel="0" collapsed="false">
      <c r="A371" s="11"/>
      <c r="B371" s="24"/>
      <c r="C371" s="24"/>
      <c r="D371" s="31" t="str">
        <f aca="false">IF(C371="","",IF(LEN(UPPER(SUBSTITUTE(SUBSTITUTE(SUBSTITUTE(SUBSTITUTE(TRIM(C371),".",""),"/",""),"-","")," ","")))&lt;14,RIGHT(REPT("0",14)&amp;UPPER(SUBSTITUTE(SUBSTITUTE(SUBSTITUTE(SUBSTITUTE(TRIM(C371),".",""),"/",""),"-","")," ","")),14),UPPER(SUBSTITUTE(SUBSTITUTE(SUBSTITUTE(SUBSTITUTE(TRIM(C371),".",""),"/",""),"-","")," ",""))))</f>
        <v/>
      </c>
      <c r="E371" s="25" t="str">
        <f aca="false">IF(D371="","",IFERROR(INDEX(Empresas!$C:$C,MATCH(D371,Empresas!$B:$B,0)),"cadastre o CNPJ em Empresas"))</f>
        <v/>
      </c>
      <c r="F371" s="11"/>
      <c r="G371" s="23"/>
      <c r="H371" s="22"/>
      <c r="I371" s="35"/>
      <c r="J371" s="35"/>
      <c r="K371" s="36" t="str">
        <f aca="false">IF(I371="","",I371+J371)</f>
        <v/>
      </c>
      <c r="L371" s="37" t="str">
        <f aca="false">IF(OR(I371="",I371=0,J371=""),"",J371/I371)</f>
        <v/>
      </c>
      <c r="M371" s="25" t="str">
        <f aca="false">IF(L371="","",IF(L371&gt;0.25,"ACRÉSCIMO ACIMA DE 25% — conferir",""))</f>
        <v/>
      </c>
      <c r="N371" s="29" t="str">
        <f aca="false">IF(D371="","",IF(COUNTIFS(Empresas!$B:$B,D371,Empresas!$E:$E,"&lt;&gt;")=0,"",INDEX(Empresas!$E:$E,MATCH(D371,Empresas!$B:$B,0))))</f>
        <v/>
      </c>
      <c r="O371" s="27" t="str">
        <f aca="false">IF(OR(N371="",H371=""),"",H371-N371)</f>
        <v/>
      </c>
      <c r="P371" s="25" t="str">
        <f aca="false">IF(O371="","",IF(O371&lt;0,"CONTRATO ANTERIOR À ABERTURA — conferir datas",IF(O371&lt;180,"EMPRESA ABERTA MENOS DE 6 MESES ANTES","")))</f>
        <v/>
      </c>
      <c r="Q371" s="31" t="str">
        <f aca="false">IF(D371="","",IFERROR(INDEX(Sancoes!$D:$D,MATCH(D371,Sancoes!$C:$C,0)),"não consta"))</f>
        <v/>
      </c>
      <c r="R371" s="25" t="str">
        <f aca="false">IF(OR(D371="",H371=""),"",IF(SUMPRODUCT((Sancoes!$C$5:$C$304=D371)*(Sancoes!$G$5:$G$304&lt;=H371)*(((Sancoes!$H$5:$H$304="")+(Sancoes!$H$5:$H$304&gt;=H371))&gt;0))&gt;0,"SANÇÃO VIGENTE NA DATA — ler tipo e abrangência",""))</f>
        <v/>
      </c>
      <c r="S371" s="24"/>
      <c r="T371" s="11"/>
    </row>
    <row r="372" customFormat="false" ht="15" hidden="false" customHeight="false" outlineLevel="0" collapsed="false">
      <c r="A372" s="11"/>
      <c r="B372" s="24"/>
      <c r="C372" s="24"/>
      <c r="D372" s="31" t="str">
        <f aca="false">IF(C372="","",IF(LEN(UPPER(SUBSTITUTE(SUBSTITUTE(SUBSTITUTE(SUBSTITUTE(TRIM(C372),".",""),"/",""),"-","")," ","")))&lt;14,RIGHT(REPT("0",14)&amp;UPPER(SUBSTITUTE(SUBSTITUTE(SUBSTITUTE(SUBSTITUTE(TRIM(C372),".",""),"/",""),"-","")," ","")),14),UPPER(SUBSTITUTE(SUBSTITUTE(SUBSTITUTE(SUBSTITUTE(TRIM(C372),".",""),"/",""),"-","")," ",""))))</f>
        <v/>
      </c>
      <c r="E372" s="25" t="str">
        <f aca="false">IF(D372="","",IFERROR(INDEX(Empresas!$C:$C,MATCH(D372,Empresas!$B:$B,0)),"cadastre o CNPJ em Empresas"))</f>
        <v/>
      </c>
      <c r="F372" s="11"/>
      <c r="G372" s="23"/>
      <c r="H372" s="22"/>
      <c r="I372" s="35"/>
      <c r="J372" s="35"/>
      <c r="K372" s="36" t="str">
        <f aca="false">IF(I372="","",I372+J372)</f>
        <v/>
      </c>
      <c r="L372" s="37" t="str">
        <f aca="false">IF(OR(I372="",I372=0,J372=""),"",J372/I372)</f>
        <v/>
      </c>
      <c r="M372" s="25" t="str">
        <f aca="false">IF(L372="","",IF(L372&gt;0.25,"ACRÉSCIMO ACIMA DE 25% — conferir",""))</f>
        <v/>
      </c>
      <c r="N372" s="29" t="str">
        <f aca="false">IF(D372="","",IF(COUNTIFS(Empresas!$B:$B,D372,Empresas!$E:$E,"&lt;&gt;")=0,"",INDEX(Empresas!$E:$E,MATCH(D372,Empresas!$B:$B,0))))</f>
        <v/>
      </c>
      <c r="O372" s="27" t="str">
        <f aca="false">IF(OR(N372="",H372=""),"",H372-N372)</f>
        <v/>
      </c>
      <c r="P372" s="25" t="str">
        <f aca="false">IF(O372="","",IF(O372&lt;0,"CONTRATO ANTERIOR À ABERTURA — conferir datas",IF(O372&lt;180,"EMPRESA ABERTA MENOS DE 6 MESES ANTES","")))</f>
        <v/>
      </c>
      <c r="Q372" s="31" t="str">
        <f aca="false">IF(D372="","",IFERROR(INDEX(Sancoes!$D:$D,MATCH(D372,Sancoes!$C:$C,0)),"não consta"))</f>
        <v/>
      </c>
      <c r="R372" s="25" t="str">
        <f aca="false">IF(OR(D372="",H372=""),"",IF(SUMPRODUCT((Sancoes!$C$5:$C$304=D372)*(Sancoes!$G$5:$G$304&lt;=H372)*(((Sancoes!$H$5:$H$304="")+(Sancoes!$H$5:$H$304&gt;=H372))&gt;0))&gt;0,"SANÇÃO VIGENTE NA DATA — ler tipo e abrangência",""))</f>
        <v/>
      </c>
      <c r="S372" s="24"/>
      <c r="T372" s="11"/>
    </row>
    <row r="373" customFormat="false" ht="15" hidden="false" customHeight="false" outlineLevel="0" collapsed="false">
      <c r="A373" s="11"/>
      <c r="B373" s="24"/>
      <c r="C373" s="24"/>
      <c r="D373" s="31" t="str">
        <f aca="false">IF(C373="","",IF(LEN(UPPER(SUBSTITUTE(SUBSTITUTE(SUBSTITUTE(SUBSTITUTE(TRIM(C373),".",""),"/",""),"-","")," ","")))&lt;14,RIGHT(REPT("0",14)&amp;UPPER(SUBSTITUTE(SUBSTITUTE(SUBSTITUTE(SUBSTITUTE(TRIM(C373),".",""),"/",""),"-","")," ","")),14),UPPER(SUBSTITUTE(SUBSTITUTE(SUBSTITUTE(SUBSTITUTE(TRIM(C373),".",""),"/",""),"-","")," ",""))))</f>
        <v/>
      </c>
      <c r="E373" s="25" t="str">
        <f aca="false">IF(D373="","",IFERROR(INDEX(Empresas!$C:$C,MATCH(D373,Empresas!$B:$B,0)),"cadastre o CNPJ em Empresas"))</f>
        <v/>
      </c>
      <c r="F373" s="11"/>
      <c r="G373" s="23"/>
      <c r="H373" s="22"/>
      <c r="I373" s="35"/>
      <c r="J373" s="35"/>
      <c r="K373" s="36" t="str">
        <f aca="false">IF(I373="","",I373+J373)</f>
        <v/>
      </c>
      <c r="L373" s="37" t="str">
        <f aca="false">IF(OR(I373="",I373=0,J373=""),"",J373/I373)</f>
        <v/>
      </c>
      <c r="M373" s="25" t="str">
        <f aca="false">IF(L373="","",IF(L373&gt;0.25,"ACRÉSCIMO ACIMA DE 25% — conferir",""))</f>
        <v/>
      </c>
      <c r="N373" s="29" t="str">
        <f aca="false">IF(D373="","",IF(COUNTIFS(Empresas!$B:$B,D373,Empresas!$E:$E,"&lt;&gt;")=0,"",INDEX(Empresas!$E:$E,MATCH(D373,Empresas!$B:$B,0))))</f>
        <v/>
      </c>
      <c r="O373" s="27" t="str">
        <f aca="false">IF(OR(N373="",H373=""),"",H373-N373)</f>
        <v/>
      </c>
      <c r="P373" s="25" t="str">
        <f aca="false">IF(O373="","",IF(O373&lt;0,"CONTRATO ANTERIOR À ABERTURA — conferir datas",IF(O373&lt;180,"EMPRESA ABERTA MENOS DE 6 MESES ANTES","")))</f>
        <v/>
      </c>
      <c r="Q373" s="31" t="str">
        <f aca="false">IF(D373="","",IFERROR(INDEX(Sancoes!$D:$D,MATCH(D373,Sancoes!$C:$C,0)),"não consta"))</f>
        <v/>
      </c>
      <c r="R373" s="25" t="str">
        <f aca="false">IF(OR(D373="",H373=""),"",IF(SUMPRODUCT((Sancoes!$C$5:$C$304=D373)*(Sancoes!$G$5:$G$304&lt;=H373)*(((Sancoes!$H$5:$H$304="")+(Sancoes!$H$5:$H$304&gt;=H373))&gt;0))&gt;0,"SANÇÃO VIGENTE NA DATA — ler tipo e abrangência",""))</f>
        <v/>
      </c>
      <c r="S373" s="24"/>
      <c r="T373" s="11"/>
    </row>
    <row r="374" customFormat="false" ht="15" hidden="false" customHeight="false" outlineLevel="0" collapsed="false">
      <c r="A374" s="11"/>
      <c r="B374" s="24"/>
      <c r="C374" s="24"/>
      <c r="D374" s="31" t="str">
        <f aca="false">IF(C374="","",IF(LEN(UPPER(SUBSTITUTE(SUBSTITUTE(SUBSTITUTE(SUBSTITUTE(TRIM(C374),".",""),"/",""),"-","")," ","")))&lt;14,RIGHT(REPT("0",14)&amp;UPPER(SUBSTITUTE(SUBSTITUTE(SUBSTITUTE(SUBSTITUTE(TRIM(C374),".",""),"/",""),"-","")," ","")),14),UPPER(SUBSTITUTE(SUBSTITUTE(SUBSTITUTE(SUBSTITUTE(TRIM(C374),".",""),"/",""),"-","")," ",""))))</f>
        <v/>
      </c>
      <c r="E374" s="25" t="str">
        <f aca="false">IF(D374="","",IFERROR(INDEX(Empresas!$C:$C,MATCH(D374,Empresas!$B:$B,0)),"cadastre o CNPJ em Empresas"))</f>
        <v/>
      </c>
      <c r="F374" s="11"/>
      <c r="G374" s="23"/>
      <c r="H374" s="22"/>
      <c r="I374" s="35"/>
      <c r="J374" s="35"/>
      <c r="K374" s="36" t="str">
        <f aca="false">IF(I374="","",I374+J374)</f>
        <v/>
      </c>
      <c r="L374" s="37" t="str">
        <f aca="false">IF(OR(I374="",I374=0,J374=""),"",J374/I374)</f>
        <v/>
      </c>
      <c r="M374" s="25" t="str">
        <f aca="false">IF(L374="","",IF(L374&gt;0.25,"ACRÉSCIMO ACIMA DE 25% — conferir",""))</f>
        <v/>
      </c>
      <c r="N374" s="29" t="str">
        <f aca="false">IF(D374="","",IF(COUNTIFS(Empresas!$B:$B,D374,Empresas!$E:$E,"&lt;&gt;")=0,"",INDEX(Empresas!$E:$E,MATCH(D374,Empresas!$B:$B,0))))</f>
        <v/>
      </c>
      <c r="O374" s="27" t="str">
        <f aca="false">IF(OR(N374="",H374=""),"",H374-N374)</f>
        <v/>
      </c>
      <c r="P374" s="25" t="str">
        <f aca="false">IF(O374="","",IF(O374&lt;0,"CONTRATO ANTERIOR À ABERTURA — conferir datas",IF(O374&lt;180,"EMPRESA ABERTA MENOS DE 6 MESES ANTES","")))</f>
        <v/>
      </c>
      <c r="Q374" s="31" t="str">
        <f aca="false">IF(D374="","",IFERROR(INDEX(Sancoes!$D:$D,MATCH(D374,Sancoes!$C:$C,0)),"não consta"))</f>
        <v/>
      </c>
      <c r="R374" s="25" t="str">
        <f aca="false">IF(OR(D374="",H374=""),"",IF(SUMPRODUCT((Sancoes!$C$5:$C$304=D374)*(Sancoes!$G$5:$G$304&lt;=H374)*(((Sancoes!$H$5:$H$304="")+(Sancoes!$H$5:$H$304&gt;=H374))&gt;0))&gt;0,"SANÇÃO VIGENTE NA DATA — ler tipo e abrangência",""))</f>
        <v/>
      </c>
      <c r="S374" s="24"/>
      <c r="T374" s="11"/>
    </row>
    <row r="375" customFormat="false" ht="15" hidden="false" customHeight="false" outlineLevel="0" collapsed="false">
      <c r="A375" s="11"/>
      <c r="B375" s="24"/>
      <c r="C375" s="24"/>
      <c r="D375" s="31" t="str">
        <f aca="false">IF(C375="","",IF(LEN(UPPER(SUBSTITUTE(SUBSTITUTE(SUBSTITUTE(SUBSTITUTE(TRIM(C375),".",""),"/",""),"-","")," ","")))&lt;14,RIGHT(REPT("0",14)&amp;UPPER(SUBSTITUTE(SUBSTITUTE(SUBSTITUTE(SUBSTITUTE(TRIM(C375),".",""),"/",""),"-","")," ","")),14),UPPER(SUBSTITUTE(SUBSTITUTE(SUBSTITUTE(SUBSTITUTE(TRIM(C375),".",""),"/",""),"-","")," ",""))))</f>
        <v/>
      </c>
      <c r="E375" s="25" t="str">
        <f aca="false">IF(D375="","",IFERROR(INDEX(Empresas!$C:$C,MATCH(D375,Empresas!$B:$B,0)),"cadastre o CNPJ em Empresas"))</f>
        <v/>
      </c>
      <c r="F375" s="11"/>
      <c r="G375" s="23"/>
      <c r="H375" s="22"/>
      <c r="I375" s="35"/>
      <c r="J375" s="35"/>
      <c r="K375" s="36" t="str">
        <f aca="false">IF(I375="","",I375+J375)</f>
        <v/>
      </c>
      <c r="L375" s="37" t="str">
        <f aca="false">IF(OR(I375="",I375=0,J375=""),"",J375/I375)</f>
        <v/>
      </c>
      <c r="M375" s="25" t="str">
        <f aca="false">IF(L375="","",IF(L375&gt;0.25,"ACRÉSCIMO ACIMA DE 25% — conferir",""))</f>
        <v/>
      </c>
      <c r="N375" s="29" t="str">
        <f aca="false">IF(D375="","",IF(COUNTIFS(Empresas!$B:$B,D375,Empresas!$E:$E,"&lt;&gt;")=0,"",INDEX(Empresas!$E:$E,MATCH(D375,Empresas!$B:$B,0))))</f>
        <v/>
      </c>
      <c r="O375" s="27" t="str">
        <f aca="false">IF(OR(N375="",H375=""),"",H375-N375)</f>
        <v/>
      </c>
      <c r="P375" s="25" t="str">
        <f aca="false">IF(O375="","",IF(O375&lt;0,"CONTRATO ANTERIOR À ABERTURA — conferir datas",IF(O375&lt;180,"EMPRESA ABERTA MENOS DE 6 MESES ANTES","")))</f>
        <v/>
      </c>
      <c r="Q375" s="31" t="str">
        <f aca="false">IF(D375="","",IFERROR(INDEX(Sancoes!$D:$D,MATCH(D375,Sancoes!$C:$C,0)),"não consta"))</f>
        <v/>
      </c>
      <c r="R375" s="25" t="str">
        <f aca="false">IF(OR(D375="",H375=""),"",IF(SUMPRODUCT((Sancoes!$C$5:$C$304=D375)*(Sancoes!$G$5:$G$304&lt;=H375)*(((Sancoes!$H$5:$H$304="")+(Sancoes!$H$5:$H$304&gt;=H375))&gt;0))&gt;0,"SANÇÃO VIGENTE NA DATA — ler tipo e abrangência",""))</f>
        <v/>
      </c>
      <c r="S375" s="24"/>
      <c r="T375" s="11"/>
    </row>
    <row r="376" customFormat="false" ht="15" hidden="false" customHeight="false" outlineLevel="0" collapsed="false">
      <c r="A376" s="11"/>
      <c r="B376" s="24"/>
      <c r="C376" s="24"/>
      <c r="D376" s="31" t="str">
        <f aca="false">IF(C376="","",IF(LEN(UPPER(SUBSTITUTE(SUBSTITUTE(SUBSTITUTE(SUBSTITUTE(TRIM(C376),".",""),"/",""),"-","")," ","")))&lt;14,RIGHT(REPT("0",14)&amp;UPPER(SUBSTITUTE(SUBSTITUTE(SUBSTITUTE(SUBSTITUTE(TRIM(C376),".",""),"/",""),"-","")," ","")),14),UPPER(SUBSTITUTE(SUBSTITUTE(SUBSTITUTE(SUBSTITUTE(TRIM(C376),".",""),"/",""),"-","")," ",""))))</f>
        <v/>
      </c>
      <c r="E376" s="25" t="str">
        <f aca="false">IF(D376="","",IFERROR(INDEX(Empresas!$C:$C,MATCH(D376,Empresas!$B:$B,0)),"cadastre o CNPJ em Empresas"))</f>
        <v/>
      </c>
      <c r="F376" s="11"/>
      <c r="G376" s="23"/>
      <c r="H376" s="22"/>
      <c r="I376" s="35"/>
      <c r="J376" s="35"/>
      <c r="K376" s="36" t="str">
        <f aca="false">IF(I376="","",I376+J376)</f>
        <v/>
      </c>
      <c r="L376" s="37" t="str">
        <f aca="false">IF(OR(I376="",I376=0,J376=""),"",J376/I376)</f>
        <v/>
      </c>
      <c r="M376" s="25" t="str">
        <f aca="false">IF(L376="","",IF(L376&gt;0.25,"ACRÉSCIMO ACIMA DE 25% — conferir",""))</f>
        <v/>
      </c>
      <c r="N376" s="29" t="str">
        <f aca="false">IF(D376="","",IF(COUNTIFS(Empresas!$B:$B,D376,Empresas!$E:$E,"&lt;&gt;")=0,"",INDEX(Empresas!$E:$E,MATCH(D376,Empresas!$B:$B,0))))</f>
        <v/>
      </c>
      <c r="O376" s="27" t="str">
        <f aca="false">IF(OR(N376="",H376=""),"",H376-N376)</f>
        <v/>
      </c>
      <c r="P376" s="25" t="str">
        <f aca="false">IF(O376="","",IF(O376&lt;0,"CONTRATO ANTERIOR À ABERTURA — conferir datas",IF(O376&lt;180,"EMPRESA ABERTA MENOS DE 6 MESES ANTES","")))</f>
        <v/>
      </c>
      <c r="Q376" s="31" t="str">
        <f aca="false">IF(D376="","",IFERROR(INDEX(Sancoes!$D:$D,MATCH(D376,Sancoes!$C:$C,0)),"não consta"))</f>
        <v/>
      </c>
      <c r="R376" s="25" t="str">
        <f aca="false">IF(OR(D376="",H376=""),"",IF(SUMPRODUCT((Sancoes!$C$5:$C$304=D376)*(Sancoes!$G$5:$G$304&lt;=H376)*(((Sancoes!$H$5:$H$304="")+(Sancoes!$H$5:$H$304&gt;=H376))&gt;0))&gt;0,"SANÇÃO VIGENTE NA DATA — ler tipo e abrangência",""))</f>
        <v/>
      </c>
      <c r="S376" s="24"/>
      <c r="T376" s="11"/>
    </row>
    <row r="377" customFormat="false" ht="15" hidden="false" customHeight="false" outlineLevel="0" collapsed="false">
      <c r="A377" s="11"/>
      <c r="B377" s="24"/>
      <c r="C377" s="24"/>
      <c r="D377" s="31" t="str">
        <f aca="false">IF(C377="","",IF(LEN(UPPER(SUBSTITUTE(SUBSTITUTE(SUBSTITUTE(SUBSTITUTE(TRIM(C377),".",""),"/",""),"-","")," ","")))&lt;14,RIGHT(REPT("0",14)&amp;UPPER(SUBSTITUTE(SUBSTITUTE(SUBSTITUTE(SUBSTITUTE(TRIM(C377),".",""),"/",""),"-","")," ","")),14),UPPER(SUBSTITUTE(SUBSTITUTE(SUBSTITUTE(SUBSTITUTE(TRIM(C377),".",""),"/",""),"-","")," ",""))))</f>
        <v/>
      </c>
      <c r="E377" s="25" t="str">
        <f aca="false">IF(D377="","",IFERROR(INDEX(Empresas!$C:$C,MATCH(D377,Empresas!$B:$B,0)),"cadastre o CNPJ em Empresas"))</f>
        <v/>
      </c>
      <c r="F377" s="11"/>
      <c r="G377" s="23"/>
      <c r="H377" s="22"/>
      <c r="I377" s="35"/>
      <c r="J377" s="35"/>
      <c r="K377" s="36" t="str">
        <f aca="false">IF(I377="","",I377+J377)</f>
        <v/>
      </c>
      <c r="L377" s="37" t="str">
        <f aca="false">IF(OR(I377="",I377=0,J377=""),"",J377/I377)</f>
        <v/>
      </c>
      <c r="M377" s="25" t="str">
        <f aca="false">IF(L377="","",IF(L377&gt;0.25,"ACRÉSCIMO ACIMA DE 25% — conferir",""))</f>
        <v/>
      </c>
      <c r="N377" s="29" t="str">
        <f aca="false">IF(D377="","",IF(COUNTIFS(Empresas!$B:$B,D377,Empresas!$E:$E,"&lt;&gt;")=0,"",INDEX(Empresas!$E:$E,MATCH(D377,Empresas!$B:$B,0))))</f>
        <v/>
      </c>
      <c r="O377" s="27" t="str">
        <f aca="false">IF(OR(N377="",H377=""),"",H377-N377)</f>
        <v/>
      </c>
      <c r="P377" s="25" t="str">
        <f aca="false">IF(O377="","",IF(O377&lt;0,"CONTRATO ANTERIOR À ABERTURA — conferir datas",IF(O377&lt;180,"EMPRESA ABERTA MENOS DE 6 MESES ANTES","")))</f>
        <v/>
      </c>
      <c r="Q377" s="31" t="str">
        <f aca="false">IF(D377="","",IFERROR(INDEX(Sancoes!$D:$D,MATCH(D377,Sancoes!$C:$C,0)),"não consta"))</f>
        <v/>
      </c>
      <c r="R377" s="25" t="str">
        <f aca="false">IF(OR(D377="",H377=""),"",IF(SUMPRODUCT((Sancoes!$C$5:$C$304=D377)*(Sancoes!$G$5:$G$304&lt;=H377)*(((Sancoes!$H$5:$H$304="")+(Sancoes!$H$5:$H$304&gt;=H377))&gt;0))&gt;0,"SANÇÃO VIGENTE NA DATA — ler tipo e abrangência",""))</f>
        <v/>
      </c>
      <c r="S377" s="24"/>
      <c r="T377" s="11"/>
    </row>
    <row r="378" customFormat="false" ht="15" hidden="false" customHeight="false" outlineLevel="0" collapsed="false">
      <c r="A378" s="11"/>
      <c r="B378" s="24"/>
      <c r="C378" s="24"/>
      <c r="D378" s="31" t="str">
        <f aca="false">IF(C378="","",IF(LEN(UPPER(SUBSTITUTE(SUBSTITUTE(SUBSTITUTE(SUBSTITUTE(TRIM(C378),".",""),"/",""),"-","")," ","")))&lt;14,RIGHT(REPT("0",14)&amp;UPPER(SUBSTITUTE(SUBSTITUTE(SUBSTITUTE(SUBSTITUTE(TRIM(C378),".",""),"/",""),"-","")," ","")),14),UPPER(SUBSTITUTE(SUBSTITUTE(SUBSTITUTE(SUBSTITUTE(TRIM(C378),".",""),"/",""),"-","")," ",""))))</f>
        <v/>
      </c>
      <c r="E378" s="25" t="str">
        <f aca="false">IF(D378="","",IFERROR(INDEX(Empresas!$C:$C,MATCH(D378,Empresas!$B:$B,0)),"cadastre o CNPJ em Empresas"))</f>
        <v/>
      </c>
      <c r="F378" s="11"/>
      <c r="G378" s="23"/>
      <c r="H378" s="22"/>
      <c r="I378" s="35"/>
      <c r="J378" s="35"/>
      <c r="K378" s="36" t="str">
        <f aca="false">IF(I378="","",I378+J378)</f>
        <v/>
      </c>
      <c r="L378" s="37" t="str">
        <f aca="false">IF(OR(I378="",I378=0,J378=""),"",J378/I378)</f>
        <v/>
      </c>
      <c r="M378" s="25" t="str">
        <f aca="false">IF(L378="","",IF(L378&gt;0.25,"ACRÉSCIMO ACIMA DE 25% — conferir",""))</f>
        <v/>
      </c>
      <c r="N378" s="29" t="str">
        <f aca="false">IF(D378="","",IF(COUNTIFS(Empresas!$B:$B,D378,Empresas!$E:$E,"&lt;&gt;")=0,"",INDEX(Empresas!$E:$E,MATCH(D378,Empresas!$B:$B,0))))</f>
        <v/>
      </c>
      <c r="O378" s="27" t="str">
        <f aca="false">IF(OR(N378="",H378=""),"",H378-N378)</f>
        <v/>
      </c>
      <c r="P378" s="25" t="str">
        <f aca="false">IF(O378="","",IF(O378&lt;0,"CONTRATO ANTERIOR À ABERTURA — conferir datas",IF(O378&lt;180,"EMPRESA ABERTA MENOS DE 6 MESES ANTES","")))</f>
        <v/>
      </c>
      <c r="Q378" s="31" t="str">
        <f aca="false">IF(D378="","",IFERROR(INDEX(Sancoes!$D:$D,MATCH(D378,Sancoes!$C:$C,0)),"não consta"))</f>
        <v/>
      </c>
      <c r="R378" s="25" t="str">
        <f aca="false">IF(OR(D378="",H378=""),"",IF(SUMPRODUCT((Sancoes!$C$5:$C$304=D378)*(Sancoes!$G$5:$G$304&lt;=H378)*(((Sancoes!$H$5:$H$304="")+(Sancoes!$H$5:$H$304&gt;=H378))&gt;0))&gt;0,"SANÇÃO VIGENTE NA DATA — ler tipo e abrangência",""))</f>
        <v/>
      </c>
      <c r="S378" s="24"/>
      <c r="T378" s="11"/>
    </row>
    <row r="379" customFormat="false" ht="15" hidden="false" customHeight="false" outlineLevel="0" collapsed="false">
      <c r="A379" s="11"/>
      <c r="B379" s="24"/>
      <c r="C379" s="24"/>
      <c r="D379" s="31" t="str">
        <f aca="false">IF(C379="","",IF(LEN(UPPER(SUBSTITUTE(SUBSTITUTE(SUBSTITUTE(SUBSTITUTE(TRIM(C379),".",""),"/",""),"-","")," ","")))&lt;14,RIGHT(REPT("0",14)&amp;UPPER(SUBSTITUTE(SUBSTITUTE(SUBSTITUTE(SUBSTITUTE(TRIM(C379),".",""),"/",""),"-","")," ","")),14),UPPER(SUBSTITUTE(SUBSTITUTE(SUBSTITUTE(SUBSTITUTE(TRIM(C379),".",""),"/",""),"-","")," ",""))))</f>
        <v/>
      </c>
      <c r="E379" s="25" t="str">
        <f aca="false">IF(D379="","",IFERROR(INDEX(Empresas!$C:$C,MATCH(D379,Empresas!$B:$B,0)),"cadastre o CNPJ em Empresas"))</f>
        <v/>
      </c>
      <c r="F379" s="11"/>
      <c r="G379" s="23"/>
      <c r="H379" s="22"/>
      <c r="I379" s="35"/>
      <c r="J379" s="35"/>
      <c r="K379" s="36" t="str">
        <f aca="false">IF(I379="","",I379+J379)</f>
        <v/>
      </c>
      <c r="L379" s="37" t="str">
        <f aca="false">IF(OR(I379="",I379=0,J379=""),"",J379/I379)</f>
        <v/>
      </c>
      <c r="M379" s="25" t="str">
        <f aca="false">IF(L379="","",IF(L379&gt;0.25,"ACRÉSCIMO ACIMA DE 25% — conferir",""))</f>
        <v/>
      </c>
      <c r="N379" s="29" t="str">
        <f aca="false">IF(D379="","",IF(COUNTIFS(Empresas!$B:$B,D379,Empresas!$E:$E,"&lt;&gt;")=0,"",INDEX(Empresas!$E:$E,MATCH(D379,Empresas!$B:$B,0))))</f>
        <v/>
      </c>
      <c r="O379" s="27" t="str">
        <f aca="false">IF(OR(N379="",H379=""),"",H379-N379)</f>
        <v/>
      </c>
      <c r="P379" s="25" t="str">
        <f aca="false">IF(O379="","",IF(O379&lt;0,"CONTRATO ANTERIOR À ABERTURA — conferir datas",IF(O379&lt;180,"EMPRESA ABERTA MENOS DE 6 MESES ANTES","")))</f>
        <v/>
      </c>
      <c r="Q379" s="31" t="str">
        <f aca="false">IF(D379="","",IFERROR(INDEX(Sancoes!$D:$D,MATCH(D379,Sancoes!$C:$C,0)),"não consta"))</f>
        <v/>
      </c>
      <c r="R379" s="25" t="str">
        <f aca="false">IF(OR(D379="",H379=""),"",IF(SUMPRODUCT((Sancoes!$C$5:$C$304=D379)*(Sancoes!$G$5:$G$304&lt;=H379)*(((Sancoes!$H$5:$H$304="")+(Sancoes!$H$5:$H$304&gt;=H379))&gt;0))&gt;0,"SANÇÃO VIGENTE NA DATA — ler tipo e abrangência",""))</f>
        <v/>
      </c>
      <c r="S379" s="24"/>
      <c r="T379" s="11"/>
    </row>
    <row r="380" customFormat="false" ht="15" hidden="false" customHeight="false" outlineLevel="0" collapsed="false">
      <c r="A380" s="11"/>
      <c r="B380" s="24"/>
      <c r="C380" s="24"/>
      <c r="D380" s="31" t="str">
        <f aca="false">IF(C380="","",IF(LEN(UPPER(SUBSTITUTE(SUBSTITUTE(SUBSTITUTE(SUBSTITUTE(TRIM(C380),".",""),"/",""),"-","")," ","")))&lt;14,RIGHT(REPT("0",14)&amp;UPPER(SUBSTITUTE(SUBSTITUTE(SUBSTITUTE(SUBSTITUTE(TRIM(C380),".",""),"/",""),"-","")," ","")),14),UPPER(SUBSTITUTE(SUBSTITUTE(SUBSTITUTE(SUBSTITUTE(TRIM(C380),".",""),"/",""),"-","")," ",""))))</f>
        <v/>
      </c>
      <c r="E380" s="25" t="str">
        <f aca="false">IF(D380="","",IFERROR(INDEX(Empresas!$C:$C,MATCH(D380,Empresas!$B:$B,0)),"cadastre o CNPJ em Empresas"))</f>
        <v/>
      </c>
      <c r="F380" s="11"/>
      <c r="G380" s="23"/>
      <c r="H380" s="22"/>
      <c r="I380" s="35"/>
      <c r="J380" s="35"/>
      <c r="K380" s="36" t="str">
        <f aca="false">IF(I380="","",I380+J380)</f>
        <v/>
      </c>
      <c r="L380" s="37" t="str">
        <f aca="false">IF(OR(I380="",I380=0,J380=""),"",J380/I380)</f>
        <v/>
      </c>
      <c r="M380" s="25" t="str">
        <f aca="false">IF(L380="","",IF(L380&gt;0.25,"ACRÉSCIMO ACIMA DE 25% — conferir",""))</f>
        <v/>
      </c>
      <c r="N380" s="29" t="str">
        <f aca="false">IF(D380="","",IF(COUNTIFS(Empresas!$B:$B,D380,Empresas!$E:$E,"&lt;&gt;")=0,"",INDEX(Empresas!$E:$E,MATCH(D380,Empresas!$B:$B,0))))</f>
        <v/>
      </c>
      <c r="O380" s="27" t="str">
        <f aca="false">IF(OR(N380="",H380=""),"",H380-N380)</f>
        <v/>
      </c>
      <c r="P380" s="25" t="str">
        <f aca="false">IF(O380="","",IF(O380&lt;0,"CONTRATO ANTERIOR À ABERTURA — conferir datas",IF(O380&lt;180,"EMPRESA ABERTA MENOS DE 6 MESES ANTES","")))</f>
        <v/>
      </c>
      <c r="Q380" s="31" t="str">
        <f aca="false">IF(D380="","",IFERROR(INDEX(Sancoes!$D:$D,MATCH(D380,Sancoes!$C:$C,0)),"não consta"))</f>
        <v/>
      </c>
      <c r="R380" s="25" t="str">
        <f aca="false">IF(OR(D380="",H380=""),"",IF(SUMPRODUCT((Sancoes!$C$5:$C$304=D380)*(Sancoes!$G$5:$G$304&lt;=H380)*(((Sancoes!$H$5:$H$304="")+(Sancoes!$H$5:$H$304&gt;=H380))&gt;0))&gt;0,"SANÇÃO VIGENTE NA DATA — ler tipo e abrangência",""))</f>
        <v/>
      </c>
      <c r="S380" s="24"/>
      <c r="T380" s="11"/>
    </row>
    <row r="381" customFormat="false" ht="15" hidden="false" customHeight="false" outlineLevel="0" collapsed="false">
      <c r="A381" s="11"/>
      <c r="B381" s="24"/>
      <c r="C381" s="24"/>
      <c r="D381" s="31" t="str">
        <f aca="false">IF(C381="","",IF(LEN(UPPER(SUBSTITUTE(SUBSTITUTE(SUBSTITUTE(SUBSTITUTE(TRIM(C381),".",""),"/",""),"-","")," ","")))&lt;14,RIGHT(REPT("0",14)&amp;UPPER(SUBSTITUTE(SUBSTITUTE(SUBSTITUTE(SUBSTITUTE(TRIM(C381),".",""),"/",""),"-","")," ","")),14),UPPER(SUBSTITUTE(SUBSTITUTE(SUBSTITUTE(SUBSTITUTE(TRIM(C381),".",""),"/",""),"-","")," ",""))))</f>
        <v/>
      </c>
      <c r="E381" s="25" t="str">
        <f aca="false">IF(D381="","",IFERROR(INDEX(Empresas!$C:$C,MATCH(D381,Empresas!$B:$B,0)),"cadastre o CNPJ em Empresas"))</f>
        <v/>
      </c>
      <c r="F381" s="11"/>
      <c r="G381" s="23"/>
      <c r="H381" s="22"/>
      <c r="I381" s="35"/>
      <c r="J381" s="35"/>
      <c r="K381" s="36" t="str">
        <f aca="false">IF(I381="","",I381+J381)</f>
        <v/>
      </c>
      <c r="L381" s="37" t="str">
        <f aca="false">IF(OR(I381="",I381=0,J381=""),"",J381/I381)</f>
        <v/>
      </c>
      <c r="M381" s="25" t="str">
        <f aca="false">IF(L381="","",IF(L381&gt;0.25,"ACRÉSCIMO ACIMA DE 25% — conferir",""))</f>
        <v/>
      </c>
      <c r="N381" s="29" t="str">
        <f aca="false">IF(D381="","",IF(COUNTIFS(Empresas!$B:$B,D381,Empresas!$E:$E,"&lt;&gt;")=0,"",INDEX(Empresas!$E:$E,MATCH(D381,Empresas!$B:$B,0))))</f>
        <v/>
      </c>
      <c r="O381" s="27" t="str">
        <f aca="false">IF(OR(N381="",H381=""),"",H381-N381)</f>
        <v/>
      </c>
      <c r="P381" s="25" t="str">
        <f aca="false">IF(O381="","",IF(O381&lt;0,"CONTRATO ANTERIOR À ABERTURA — conferir datas",IF(O381&lt;180,"EMPRESA ABERTA MENOS DE 6 MESES ANTES","")))</f>
        <v/>
      </c>
      <c r="Q381" s="31" t="str">
        <f aca="false">IF(D381="","",IFERROR(INDEX(Sancoes!$D:$D,MATCH(D381,Sancoes!$C:$C,0)),"não consta"))</f>
        <v/>
      </c>
      <c r="R381" s="25" t="str">
        <f aca="false">IF(OR(D381="",H381=""),"",IF(SUMPRODUCT((Sancoes!$C$5:$C$304=D381)*(Sancoes!$G$5:$G$304&lt;=H381)*(((Sancoes!$H$5:$H$304="")+(Sancoes!$H$5:$H$304&gt;=H381))&gt;0))&gt;0,"SANÇÃO VIGENTE NA DATA — ler tipo e abrangência",""))</f>
        <v/>
      </c>
      <c r="S381" s="24"/>
      <c r="T381" s="11"/>
    </row>
    <row r="382" customFormat="false" ht="15" hidden="false" customHeight="false" outlineLevel="0" collapsed="false">
      <c r="A382" s="11"/>
      <c r="B382" s="24"/>
      <c r="C382" s="24"/>
      <c r="D382" s="31" t="str">
        <f aca="false">IF(C382="","",IF(LEN(UPPER(SUBSTITUTE(SUBSTITUTE(SUBSTITUTE(SUBSTITUTE(TRIM(C382),".",""),"/",""),"-","")," ","")))&lt;14,RIGHT(REPT("0",14)&amp;UPPER(SUBSTITUTE(SUBSTITUTE(SUBSTITUTE(SUBSTITUTE(TRIM(C382),".",""),"/",""),"-","")," ","")),14),UPPER(SUBSTITUTE(SUBSTITUTE(SUBSTITUTE(SUBSTITUTE(TRIM(C382),".",""),"/",""),"-","")," ",""))))</f>
        <v/>
      </c>
      <c r="E382" s="25" t="str">
        <f aca="false">IF(D382="","",IFERROR(INDEX(Empresas!$C:$C,MATCH(D382,Empresas!$B:$B,0)),"cadastre o CNPJ em Empresas"))</f>
        <v/>
      </c>
      <c r="F382" s="11"/>
      <c r="G382" s="23"/>
      <c r="H382" s="22"/>
      <c r="I382" s="35"/>
      <c r="J382" s="35"/>
      <c r="K382" s="36" t="str">
        <f aca="false">IF(I382="","",I382+J382)</f>
        <v/>
      </c>
      <c r="L382" s="37" t="str">
        <f aca="false">IF(OR(I382="",I382=0,J382=""),"",J382/I382)</f>
        <v/>
      </c>
      <c r="M382" s="25" t="str">
        <f aca="false">IF(L382="","",IF(L382&gt;0.25,"ACRÉSCIMO ACIMA DE 25% — conferir",""))</f>
        <v/>
      </c>
      <c r="N382" s="29" t="str">
        <f aca="false">IF(D382="","",IF(COUNTIFS(Empresas!$B:$B,D382,Empresas!$E:$E,"&lt;&gt;")=0,"",INDEX(Empresas!$E:$E,MATCH(D382,Empresas!$B:$B,0))))</f>
        <v/>
      </c>
      <c r="O382" s="27" t="str">
        <f aca="false">IF(OR(N382="",H382=""),"",H382-N382)</f>
        <v/>
      </c>
      <c r="P382" s="25" t="str">
        <f aca="false">IF(O382="","",IF(O382&lt;0,"CONTRATO ANTERIOR À ABERTURA — conferir datas",IF(O382&lt;180,"EMPRESA ABERTA MENOS DE 6 MESES ANTES","")))</f>
        <v/>
      </c>
      <c r="Q382" s="31" t="str">
        <f aca="false">IF(D382="","",IFERROR(INDEX(Sancoes!$D:$D,MATCH(D382,Sancoes!$C:$C,0)),"não consta"))</f>
        <v/>
      </c>
      <c r="R382" s="25" t="str">
        <f aca="false">IF(OR(D382="",H382=""),"",IF(SUMPRODUCT((Sancoes!$C$5:$C$304=D382)*(Sancoes!$G$5:$G$304&lt;=H382)*(((Sancoes!$H$5:$H$304="")+(Sancoes!$H$5:$H$304&gt;=H382))&gt;0))&gt;0,"SANÇÃO VIGENTE NA DATA — ler tipo e abrangência",""))</f>
        <v/>
      </c>
      <c r="S382" s="24"/>
      <c r="T382" s="11"/>
    </row>
    <row r="383" customFormat="false" ht="15" hidden="false" customHeight="false" outlineLevel="0" collapsed="false">
      <c r="A383" s="11"/>
      <c r="B383" s="24"/>
      <c r="C383" s="24"/>
      <c r="D383" s="31" t="str">
        <f aca="false">IF(C383="","",IF(LEN(UPPER(SUBSTITUTE(SUBSTITUTE(SUBSTITUTE(SUBSTITUTE(TRIM(C383),".",""),"/",""),"-","")," ","")))&lt;14,RIGHT(REPT("0",14)&amp;UPPER(SUBSTITUTE(SUBSTITUTE(SUBSTITUTE(SUBSTITUTE(TRIM(C383),".",""),"/",""),"-","")," ","")),14),UPPER(SUBSTITUTE(SUBSTITUTE(SUBSTITUTE(SUBSTITUTE(TRIM(C383),".",""),"/",""),"-","")," ",""))))</f>
        <v/>
      </c>
      <c r="E383" s="25" t="str">
        <f aca="false">IF(D383="","",IFERROR(INDEX(Empresas!$C:$C,MATCH(D383,Empresas!$B:$B,0)),"cadastre o CNPJ em Empresas"))</f>
        <v/>
      </c>
      <c r="F383" s="11"/>
      <c r="G383" s="23"/>
      <c r="H383" s="22"/>
      <c r="I383" s="35"/>
      <c r="J383" s="35"/>
      <c r="K383" s="36" t="str">
        <f aca="false">IF(I383="","",I383+J383)</f>
        <v/>
      </c>
      <c r="L383" s="37" t="str">
        <f aca="false">IF(OR(I383="",I383=0,J383=""),"",J383/I383)</f>
        <v/>
      </c>
      <c r="M383" s="25" t="str">
        <f aca="false">IF(L383="","",IF(L383&gt;0.25,"ACRÉSCIMO ACIMA DE 25% — conferir",""))</f>
        <v/>
      </c>
      <c r="N383" s="29" t="str">
        <f aca="false">IF(D383="","",IF(COUNTIFS(Empresas!$B:$B,D383,Empresas!$E:$E,"&lt;&gt;")=0,"",INDEX(Empresas!$E:$E,MATCH(D383,Empresas!$B:$B,0))))</f>
        <v/>
      </c>
      <c r="O383" s="27" t="str">
        <f aca="false">IF(OR(N383="",H383=""),"",H383-N383)</f>
        <v/>
      </c>
      <c r="P383" s="25" t="str">
        <f aca="false">IF(O383="","",IF(O383&lt;0,"CONTRATO ANTERIOR À ABERTURA — conferir datas",IF(O383&lt;180,"EMPRESA ABERTA MENOS DE 6 MESES ANTES","")))</f>
        <v/>
      </c>
      <c r="Q383" s="31" t="str">
        <f aca="false">IF(D383="","",IFERROR(INDEX(Sancoes!$D:$D,MATCH(D383,Sancoes!$C:$C,0)),"não consta"))</f>
        <v/>
      </c>
      <c r="R383" s="25" t="str">
        <f aca="false">IF(OR(D383="",H383=""),"",IF(SUMPRODUCT((Sancoes!$C$5:$C$304=D383)*(Sancoes!$G$5:$G$304&lt;=H383)*(((Sancoes!$H$5:$H$304="")+(Sancoes!$H$5:$H$304&gt;=H383))&gt;0))&gt;0,"SANÇÃO VIGENTE NA DATA — ler tipo e abrangência",""))</f>
        <v/>
      </c>
      <c r="S383" s="24"/>
      <c r="T383" s="11"/>
    </row>
    <row r="384" customFormat="false" ht="15" hidden="false" customHeight="false" outlineLevel="0" collapsed="false">
      <c r="A384" s="11"/>
      <c r="B384" s="24"/>
      <c r="C384" s="24"/>
      <c r="D384" s="31" t="str">
        <f aca="false">IF(C384="","",IF(LEN(UPPER(SUBSTITUTE(SUBSTITUTE(SUBSTITUTE(SUBSTITUTE(TRIM(C384),".",""),"/",""),"-","")," ","")))&lt;14,RIGHT(REPT("0",14)&amp;UPPER(SUBSTITUTE(SUBSTITUTE(SUBSTITUTE(SUBSTITUTE(TRIM(C384),".",""),"/",""),"-","")," ","")),14),UPPER(SUBSTITUTE(SUBSTITUTE(SUBSTITUTE(SUBSTITUTE(TRIM(C384),".",""),"/",""),"-","")," ",""))))</f>
        <v/>
      </c>
      <c r="E384" s="25" t="str">
        <f aca="false">IF(D384="","",IFERROR(INDEX(Empresas!$C:$C,MATCH(D384,Empresas!$B:$B,0)),"cadastre o CNPJ em Empresas"))</f>
        <v/>
      </c>
      <c r="F384" s="11"/>
      <c r="G384" s="23"/>
      <c r="H384" s="22"/>
      <c r="I384" s="35"/>
      <c r="J384" s="35"/>
      <c r="K384" s="36" t="str">
        <f aca="false">IF(I384="","",I384+J384)</f>
        <v/>
      </c>
      <c r="L384" s="37" t="str">
        <f aca="false">IF(OR(I384="",I384=0,J384=""),"",J384/I384)</f>
        <v/>
      </c>
      <c r="M384" s="25" t="str">
        <f aca="false">IF(L384="","",IF(L384&gt;0.25,"ACRÉSCIMO ACIMA DE 25% — conferir",""))</f>
        <v/>
      </c>
      <c r="N384" s="29" t="str">
        <f aca="false">IF(D384="","",IF(COUNTIFS(Empresas!$B:$B,D384,Empresas!$E:$E,"&lt;&gt;")=0,"",INDEX(Empresas!$E:$E,MATCH(D384,Empresas!$B:$B,0))))</f>
        <v/>
      </c>
      <c r="O384" s="27" t="str">
        <f aca="false">IF(OR(N384="",H384=""),"",H384-N384)</f>
        <v/>
      </c>
      <c r="P384" s="25" t="str">
        <f aca="false">IF(O384="","",IF(O384&lt;0,"CONTRATO ANTERIOR À ABERTURA — conferir datas",IF(O384&lt;180,"EMPRESA ABERTA MENOS DE 6 MESES ANTES","")))</f>
        <v/>
      </c>
      <c r="Q384" s="31" t="str">
        <f aca="false">IF(D384="","",IFERROR(INDEX(Sancoes!$D:$D,MATCH(D384,Sancoes!$C:$C,0)),"não consta"))</f>
        <v/>
      </c>
      <c r="R384" s="25" t="str">
        <f aca="false">IF(OR(D384="",H384=""),"",IF(SUMPRODUCT((Sancoes!$C$5:$C$304=D384)*(Sancoes!$G$5:$G$304&lt;=H384)*(((Sancoes!$H$5:$H$304="")+(Sancoes!$H$5:$H$304&gt;=H384))&gt;0))&gt;0,"SANÇÃO VIGENTE NA DATA — ler tipo e abrangência",""))</f>
        <v/>
      </c>
      <c r="S384" s="24"/>
      <c r="T384" s="11"/>
    </row>
    <row r="385" customFormat="false" ht="15" hidden="false" customHeight="false" outlineLevel="0" collapsed="false">
      <c r="A385" s="11"/>
      <c r="B385" s="24"/>
      <c r="C385" s="24"/>
      <c r="D385" s="31" t="str">
        <f aca="false">IF(C385="","",IF(LEN(UPPER(SUBSTITUTE(SUBSTITUTE(SUBSTITUTE(SUBSTITUTE(TRIM(C385),".",""),"/",""),"-","")," ","")))&lt;14,RIGHT(REPT("0",14)&amp;UPPER(SUBSTITUTE(SUBSTITUTE(SUBSTITUTE(SUBSTITUTE(TRIM(C385),".",""),"/",""),"-","")," ","")),14),UPPER(SUBSTITUTE(SUBSTITUTE(SUBSTITUTE(SUBSTITUTE(TRIM(C385),".",""),"/",""),"-","")," ",""))))</f>
        <v/>
      </c>
      <c r="E385" s="25" t="str">
        <f aca="false">IF(D385="","",IFERROR(INDEX(Empresas!$C:$C,MATCH(D385,Empresas!$B:$B,0)),"cadastre o CNPJ em Empresas"))</f>
        <v/>
      </c>
      <c r="F385" s="11"/>
      <c r="G385" s="23"/>
      <c r="H385" s="22"/>
      <c r="I385" s="35"/>
      <c r="J385" s="35"/>
      <c r="K385" s="36" t="str">
        <f aca="false">IF(I385="","",I385+J385)</f>
        <v/>
      </c>
      <c r="L385" s="37" t="str">
        <f aca="false">IF(OR(I385="",I385=0,J385=""),"",J385/I385)</f>
        <v/>
      </c>
      <c r="M385" s="25" t="str">
        <f aca="false">IF(L385="","",IF(L385&gt;0.25,"ACRÉSCIMO ACIMA DE 25% — conferir",""))</f>
        <v/>
      </c>
      <c r="N385" s="29" t="str">
        <f aca="false">IF(D385="","",IF(COUNTIFS(Empresas!$B:$B,D385,Empresas!$E:$E,"&lt;&gt;")=0,"",INDEX(Empresas!$E:$E,MATCH(D385,Empresas!$B:$B,0))))</f>
        <v/>
      </c>
      <c r="O385" s="27" t="str">
        <f aca="false">IF(OR(N385="",H385=""),"",H385-N385)</f>
        <v/>
      </c>
      <c r="P385" s="25" t="str">
        <f aca="false">IF(O385="","",IF(O385&lt;0,"CONTRATO ANTERIOR À ABERTURA — conferir datas",IF(O385&lt;180,"EMPRESA ABERTA MENOS DE 6 MESES ANTES","")))</f>
        <v/>
      </c>
      <c r="Q385" s="31" t="str">
        <f aca="false">IF(D385="","",IFERROR(INDEX(Sancoes!$D:$D,MATCH(D385,Sancoes!$C:$C,0)),"não consta"))</f>
        <v/>
      </c>
      <c r="R385" s="25" t="str">
        <f aca="false">IF(OR(D385="",H385=""),"",IF(SUMPRODUCT((Sancoes!$C$5:$C$304=D385)*(Sancoes!$G$5:$G$304&lt;=H385)*(((Sancoes!$H$5:$H$304="")+(Sancoes!$H$5:$H$304&gt;=H385))&gt;0))&gt;0,"SANÇÃO VIGENTE NA DATA — ler tipo e abrangência",""))</f>
        <v/>
      </c>
      <c r="S385" s="24"/>
      <c r="T385" s="11"/>
    </row>
    <row r="386" customFormat="false" ht="15" hidden="false" customHeight="false" outlineLevel="0" collapsed="false">
      <c r="A386" s="11"/>
      <c r="B386" s="24"/>
      <c r="C386" s="24"/>
      <c r="D386" s="31" t="str">
        <f aca="false">IF(C386="","",IF(LEN(UPPER(SUBSTITUTE(SUBSTITUTE(SUBSTITUTE(SUBSTITUTE(TRIM(C386),".",""),"/",""),"-","")," ","")))&lt;14,RIGHT(REPT("0",14)&amp;UPPER(SUBSTITUTE(SUBSTITUTE(SUBSTITUTE(SUBSTITUTE(TRIM(C386),".",""),"/",""),"-","")," ","")),14),UPPER(SUBSTITUTE(SUBSTITUTE(SUBSTITUTE(SUBSTITUTE(TRIM(C386),".",""),"/",""),"-","")," ",""))))</f>
        <v/>
      </c>
      <c r="E386" s="25" t="str">
        <f aca="false">IF(D386="","",IFERROR(INDEX(Empresas!$C:$C,MATCH(D386,Empresas!$B:$B,0)),"cadastre o CNPJ em Empresas"))</f>
        <v/>
      </c>
      <c r="F386" s="11"/>
      <c r="G386" s="23"/>
      <c r="H386" s="22"/>
      <c r="I386" s="35"/>
      <c r="J386" s="35"/>
      <c r="K386" s="36" t="str">
        <f aca="false">IF(I386="","",I386+J386)</f>
        <v/>
      </c>
      <c r="L386" s="37" t="str">
        <f aca="false">IF(OR(I386="",I386=0,J386=""),"",J386/I386)</f>
        <v/>
      </c>
      <c r="M386" s="25" t="str">
        <f aca="false">IF(L386="","",IF(L386&gt;0.25,"ACRÉSCIMO ACIMA DE 25% — conferir",""))</f>
        <v/>
      </c>
      <c r="N386" s="29" t="str">
        <f aca="false">IF(D386="","",IF(COUNTIFS(Empresas!$B:$B,D386,Empresas!$E:$E,"&lt;&gt;")=0,"",INDEX(Empresas!$E:$E,MATCH(D386,Empresas!$B:$B,0))))</f>
        <v/>
      </c>
      <c r="O386" s="27" t="str">
        <f aca="false">IF(OR(N386="",H386=""),"",H386-N386)</f>
        <v/>
      </c>
      <c r="P386" s="25" t="str">
        <f aca="false">IF(O386="","",IF(O386&lt;0,"CONTRATO ANTERIOR À ABERTURA — conferir datas",IF(O386&lt;180,"EMPRESA ABERTA MENOS DE 6 MESES ANTES","")))</f>
        <v/>
      </c>
      <c r="Q386" s="31" t="str">
        <f aca="false">IF(D386="","",IFERROR(INDEX(Sancoes!$D:$D,MATCH(D386,Sancoes!$C:$C,0)),"não consta"))</f>
        <v/>
      </c>
      <c r="R386" s="25" t="str">
        <f aca="false">IF(OR(D386="",H386=""),"",IF(SUMPRODUCT((Sancoes!$C$5:$C$304=D386)*(Sancoes!$G$5:$G$304&lt;=H386)*(((Sancoes!$H$5:$H$304="")+(Sancoes!$H$5:$H$304&gt;=H386))&gt;0))&gt;0,"SANÇÃO VIGENTE NA DATA — ler tipo e abrangência",""))</f>
        <v/>
      </c>
      <c r="S386" s="24"/>
      <c r="T386" s="11"/>
    </row>
    <row r="387" customFormat="false" ht="15" hidden="false" customHeight="false" outlineLevel="0" collapsed="false">
      <c r="A387" s="11"/>
      <c r="B387" s="24"/>
      <c r="C387" s="24"/>
      <c r="D387" s="31" t="str">
        <f aca="false">IF(C387="","",IF(LEN(UPPER(SUBSTITUTE(SUBSTITUTE(SUBSTITUTE(SUBSTITUTE(TRIM(C387),".",""),"/",""),"-","")," ","")))&lt;14,RIGHT(REPT("0",14)&amp;UPPER(SUBSTITUTE(SUBSTITUTE(SUBSTITUTE(SUBSTITUTE(TRIM(C387),".",""),"/",""),"-","")," ","")),14),UPPER(SUBSTITUTE(SUBSTITUTE(SUBSTITUTE(SUBSTITUTE(TRIM(C387),".",""),"/",""),"-","")," ",""))))</f>
        <v/>
      </c>
      <c r="E387" s="25" t="str">
        <f aca="false">IF(D387="","",IFERROR(INDEX(Empresas!$C:$C,MATCH(D387,Empresas!$B:$B,0)),"cadastre o CNPJ em Empresas"))</f>
        <v/>
      </c>
      <c r="F387" s="11"/>
      <c r="G387" s="23"/>
      <c r="H387" s="22"/>
      <c r="I387" s="35"/>
      <c r="J387" s="35"/>
      <c r="K387" s="36" t="str">
        <f aca="false">IF(I387="","",I387+J387)</f>
        <v/>
      </c>
      <c r="L387" s="37" t="str">
        <f aca="false">IF(OR(I387="",I387=0,J387=""),"",J387/I387)</f>
        <v/>
      </c>
      <c r="M387" s="25" t="str">
        <f aca="false">IF(L387="","",IF(L387&gt;0.25,"ACRÉSCIMO ACIMA DE 25% — conferir",""))</f>
        <v/>
      </c>
      <c r="N387" s="29" t="str">
        <f aca="false">IF(D387="","",IF(COUNTIFS(Empresas!$B:$B,D387,Empresas!$E:$E,"&lt;&gt;")=0,"",INDEX(Empresas!$E:$E,MATCH(D387,Empresas!$B:$B,0))))</f>
        <v/>
      </c>
      <c r="O387" s="27" t="str">
        <f aca="false">IF(OR(N387="",H387=""),"",H387-N387)</f>
        <v/>
      </c>
      <c r="P387" s="25" t="str">
        <f aca="false">IF(O387="","",IF(O387&lt;0,"CONTRATO ANTERIOR À ABERTURA — conferir datas",IF(O387&lt;180,"EMPRESA ABERTA MENOS DE 6 MESES ANTES","")))</f>
        <v/>
      </c>
      <c r="Q387" s="31" t="str">
        <f aca="false">IF(D387="","",IFERROR(INDEX(Sancoes!$D:$D,MATCH(D387,Sancoes!$C:$C,0)),"não consta"))</f>
        <v/>
      </c>
      <c r="R387" s="25" t="str">
        <f aca="false">IF(OR(D387="",H387=""),"",IF(SUMPRODUCT((Sancoes!$C$5:$C$304=D387)*(Sancoes!$G$5:$G$304&lt;=H387)*(((Sancoes!$H$5:$H$304="")+(Sancoes!$H$5:$H$304&gt;=H387))&gt;0))&gt;0,"SANÇÃO VIGENTE NA DATA — ler tipo e abrangência",""))</f>
        <v/>
      </c>
      <c r="S387" s="24"/>
      <c r="T387" s="11"/>
    </row>
    <row r="388" customFormat="false" ht="15" hidden="false" customHeight="false" outlineLevel="0" collapsed="false">
      <c r="A388" s="11"/>
      <c r="B388" s="24"/>
      <c r="C388" s="24"/>
      <c r="D388" s="31" t="str">
        <f aca="false">IF(C388="","",IF(LEN(UPPER(SUBSTITUTE(SUBSTITUTE(SUBSTITUTE(SUBSTITUTE(TRIM(C388),".",""),"/",""),"-","")," ","")))&lt;14,RIGHT(REPT("0",14)&amp;UPPER(SUBSTITUTE(SUBSTITUTE(SUBSTITUTE(SUBSTITUTE(TRIM(C388),".",""),"/",""),"-","")," ","")),14),UPPER(SUBSTITUTE(SUBSTITUTE(SUBSTITUTE(SUBSTITUTE(TRIM(C388),".",""),"/",""),"-","")," ",""))))</f>
        <v/>
      </c>
      <c r="E388" s="25" t="str">
        <f aca="false">IF(D388="","",IFERROR(INDEX(Empresas!$C:$C,MATCH(D388,Empresas!$B:$B,0)),"cadastre o CNPJ em Empresas"))</f>
        <v/>
      </c>
      <c r="F388" s="11"/>
      <c r="G388" s="23"/>
      <c r="H388" s="22"/>
      <c r="I388" s="35"/>
      <c r="J388" s="35"/>
      <c r="K388" s="36" t="str">
        <f aca="false">IF(I388="","",I388+J388)</f>
        <v/>
      </c>
      <c r="L388" s="37" t="str">
        <f aca="false">IF(OR(I388="",I388=0,J388=""),"",J388/I388)</f>
        <v/>
      </c>
      <c r="M388" s="25" t="str">
        <f aca="false">IF(L388="","",IF(L388&gt;0.25,"ACRÉSCIMO ACIMA DE 25% — conferir",""))</f>
        <v/>
      </c>
      <c r="N388" s="29" t="str">
        <f aca="false">IF(D388="","",IF(COUNTIFS(Empresas!$B:$B,D388,Empresas!$E:$E,"&lt;&gt;")=0,"",INDEX(Empresas!$E:$E,MATCH(D388,Empresas!$B:$B,0))))</f>
        <v/>
      </c>
      <c r="O388" s="27" t="str">
        <f aca="false">IF(OR(N388="",H388=""),"",H388-N388)</f>
        <v/>
      </c>
      <c r="P388" s="25" t="str">
        <f aca="false">IF(O388="","",IF(O388&lt;0,"CONTRATO ANTERIOR À ABERTURA — conferir datas",IF(O388&lt;180,"EMPRESA ABERTA MENOS DE 6 MESES ANTES","")))</f>
        <v/>
      </c>
      <c r="Q388" s="31" t="str">
        <f aca="false">IF(D388="","",IFERROR(INDEX(Sancoes!$D:$D,MATCH(D388,Sancoes!$C:$C,0)),"não consta"))</f>
        <v/>
      </c>
      <c r="R388" s="25" t="str">
        <f aca="false">IF(OR(D388="",H388=""),"",IF(SUMPRODUCT((Sancoes!$C$5:$C$304=D388)*(Sancoes!$G$5:$G$304&lt;=H388)*(((Sancoes!$H$5:$H$304="")+(Sancoes!$H$5:$H$304&gt;=H388))&gt;0))&gt;0,"SANÇÃO VIGENTE NA DATA — ler tipo e abrangência",""))</f>
        <v/>
      </c>
      <c r="S388" s="24"/>
      <c r="T388" s="11"/>
    </row>
    <row r="389" customFormat="false" ht="15" hidden="false" customHeight="false" outlineLevel="0" collapsed="false">
      <c r="A389" s="11"/>
      <c r="B389" s="24"/>
      <c r="C389" s="24"/>
      <c r="D389" s="31" t="str">
        <f aca="false">IF(C389="","",IF(LEN(UPPER(SUBSTITUTE(SUBSTITUTE(SUBSTITUTE(SUBSTITUTE(TRIM(C389),".",""),"/",""),"-","")," ","")))&lt;14,RIGHT(REPT("0",14)&amp;UPPER(SUBSTITUTE(SUBSTITUTE(SUBSTITUTE(SUBSTITUTE(TRIM(C389),".",""),"/",""),"-","")," ","")),14),UPPER(SUBSTITUTE(SUBSTITUTE(SUBSTITUTE(SUBSTITUTE(TRIM(C389),".",""),"/",""),"-","")," ",""))))</f>
        <v/>
      </c>
      <c r="E389" s="25" t="str">
        <f aca="false">IF(D389="","",IFERROR(INDEX(Empresas!$C:$C,MATCH(D389,Empresas!$B:$B,0)),"cadastre o CNPJ em Empresas"))</f>
        <v/>
      </c>
      <c r="F389" s="11"/>
      <c r="G389" s="23"/>
      <c r="H389" s="22"/>
      <c r="I389" s="35"/>
      <c r="J389" s="35"/>
      <c r="K389" s="36" t="str">
        <f aca="false">IF(I389="","",I389+J389)</f>
        <v/>
      </c>
      <c r="L389" s="37" t="str">
        <f aca="false">IF(OR(I389="",I389=0,J389=""),"",J389/I389)</f>
        <v/>
      </c>
      <c r="M389" s="25" t="str">
        <f aca="false">IF(L389="","",IF(L389&gt;0.25,"ACRÉSCIMO ACIMA DE 25% — conferir",""))</f>
        <v/>
      </c>
      <c r="N389" s="29" t="str">
        <f aca="false">IF(D389="","",IF(COUNTIFS(Empresas!$B:$B,D389,Empresas!$E:$E,"&lt;&gt;")=0,"",INDEX(Empresas!$E:$E,MATCH(D389,Empresas!$B:$B,0))))</f>
        <v/>
      </c>
      <c r="O389" s="27" t="str">
        <f aca="false">IF(OR(N389="",H389=""),"",H389-N389)</f>
        <v/>
      </c>
      <c r="P389" s="25" t="str">
        <f aca="false">IF(O389="","",IF(O389&lt;0,"CONTRATO ANTERIOR À ABERTURA — conferir datas",IF(O389&lt;180,"EMPRESA ABERTA MENOS DE 6 MESES ANTES","")))</f>
        <v/>
      </c>
      <c r="Q389" s="31" t="str">
        <f aca="false">IF(D389="","",IFERROR(INDEX(Sancoes!$D:$D,MATCH(D389,Sancoes!$C:$C,0)),"não consta"))</f>
        <v/>
      </c>
      <c r="R389" s="25" t="str">
        <f aca="false">IF(OR(D389="",H389=""),"",IF(SUMPRODUCT((Sancoes!$C$5:$C$304=D389)*(Sancoes!$G$5:$G$304&lt;=H389)*(((Sancoes!$H$5:$H$304="")+(Sancoes!$H$5:$H$304&gt;=H389))&gt;0))&gt;0,"SANÇÃO VIGENTE NA DATA — ler tipo e abrangência",""))</f>
        <v/>
      </c>
      <c r="S389" s="24"/>
      <c r="T389" s="11"/>
    </row>
    <row r="390" customFormat="false" ht="15" hidden="false" customHeight="false" outlineLevel="0" collapsed="false">
      <c r="A390" s="11"/>
      <c r="B390" s="24"/>
      <c r="C390" s="24"/>
      <c r="D390" s="31" t="str">
        <f aca="false">IF(C390="","",IF(LEN(UPPER(SUBSTITUTE(SUBSTITUTE(SUBSTITUTE(SUBSTITUTE(TRIM(C390),".",""),"/",""),"-","")," ","")))&lt;14,RIGHT(REPT("0",14)&amp;UPPER(SUBSTITUTE(SUBSTITUTE(SUBSTITUTE(SUBSTITUTE(TRIM(C390),".",""),"/",""),"-","")," ","")),14),UPPER(SUBSTITUTE(SUBSTITUTE(SUBSTITUTE(SUBSTITUTE(TRIM(C390),".",""),"/",""),"-","")," ",""))))</f>
        <v/>
      </c>
      <c r="E390" s="25" t="str">
        <f aca="false">IF(D390="","",IFERROR(INDEX(Empresas!$C:$C,MATCH(D390,Empresas!$B:$B,0)),"cadastre o CNPJ em Empresas"))</f>
        <v/>
      </c>
      <c r="F390" s="11"/>
      <c r="G390" s="23"/>
      <c r="H390" s="22"/>
      <c r="I390" s="35"/>
      <c r="J390" s="35"/>
      <c r="K390" s="36" t="str">
        <f aca="false">IF(I390="","",I390+J390)</f>
        <v/>
      </c>
      <c r="L390" s="37" t="str">
        <f aca="false">IF(OR(I390="",I390=0,J390=""),"",J390/I390)</f>
        <v/>
      </c>
      <c r="M390" s="25" t="str">
        <f aca="false">IF(L390="","",IF(L390&gt;0.25,"ACRÉSCIMO ACIMA DE 25% — conferir",""))</f>
        <v/>
      </c>
      <c r="N390" s="29" t="str">
        <f aca="false">IF(D390="","",IF(COUNTIFS(Empresas!$B:$B,D390,Empresas!$E:$E,"&lt;&gt;")=0,"",INDEX(Empresas!$E:$E,MATCH(D390,Empresas!$B:$B,0))))</f>
        <v/>
      </c>
      <c r="O390" s="27" t="str">
        <f aca="false">IF(OR(N390="",H390=""),"",H390-N390)</f>
        <v/>
      </c>
      <c r="P390" s="25" t="str">
        <f aca="false">IF(O390="","",IF(O390&lt;0,"CONTRATO ANTERIOR À ABERTURA — conferir datas",IF(O390&lt;180,"EMPRESA ABERTA MENOS DE 6 MESES ANTES","")))</f>
        <v/>
      </c>
      <c r="Q390" s="31" t="str">
        <f aca="false">IF(D390="","",IFERROR(INDEX(Sancoes!$D:$D,MATCH(D390,Sancoes!$C:$C,0)),"não consta"))</f>
        <v/>
      </c>
      <c r="R390" s="25" t="str">
        <f aca="false">IF(OR(D390="",H390=""),"",IF(SUMPRODUCT((Sancoes!$C$5:$C$304=D390)*(Sancoes!$G$5:$G$304&lt;=H390)*(((Sancoes!$H$5:$H$304="")+(Sancoes!$H$5:$H$304&gt;=H390))&gt;0))&gt;0,"SANÇÃO VIGENTE NA DATA — ler tipo e abrangência",""))</f>
        <v/>
      </c>
      <c r="S390" s="24"/>
      <c r="T390" s="11"/>
    </row>
    <row r="391" customFormat="false" ht="15" hidden="false" customHeight="false" outlineLevel="0" collapsed="false">
      <c r="A391" s="11"/>
      <c r="B391" s="24"/>
      <c r="C391" s="24"/>
      <c r="D391" s="31" t="str">
        <f aca="false">IF(C391="","",IF(LEN(UPPER(SUBSTITUTE(SUBSTITUTE(SUBSTITUTE(SUBSTITUTE(TRIM(C391),".",""),"/",""),"-","")," ","")))&lt;14,RIGHT(REPT("0",14)&amp;UPPER(SUBSTITUTE(SUBSTITUTE(SUBSTITUTE(SUBSTITUTE(TRIM(C391),".",""),"/",""),"-","")," ","")),14),UPPER(SUBSTITUTE(SUBSTITUTE(SUBSTITUTE(SUBSTITUTE(TRIM(C391),".",""),"/",""),"-","")," ",""))))</f>
        <v/>
      </c>
      <c r="E391" s="25" t="str">
        <f aca="false">IF(D391="","",IFERROR(INDEX(Empresas!$C:$C,MATCH(D391,Empresas!$B:$B,0)),"cadastre o CNPJ em Empresas"))</f>
        <v/>
      </c>
      <c r="F391" s="11"/>
      <c r="G391" s="23"/>
      <c r="H391" s="22"/>
      <c r="I391" s="35"/>
      <c r="J391" s="35"/>
      <c r="K391" s="36" t="str">
        <f aca="false">IF(I391="","",I391+J391)</f>
        <v/>
      </c>
      <c r="L391" s="37" t="str">
        <f aca="false">IF(OR(I391="",I391=0,J391=""),"",J391/I391)</f>
        <v/>
      </c>
      <c r="M391" s="25" t="str">
        <f aca="false">IF(L391="","",IF(L391&gt;0.25,"ACRÉSCIMO ACIMA DE 25% — conferir",""))</f>
        <v/>
      </c>
      <c r="N391" s="29" t="str">
        <f aca="false">IF(D391="","",IF(COUNTIFS(Empresas!$B:$B,D391,Empresas!$E:$E,"&lt;&gt;")=0,"",INDEX(Empresas!$E:$E,MATCH(D391,Empresas!$B:$B,0))))</f>
        <v/>
      </c>
      <c r="O391" s="27" t="str">
        <f aca="false">IF(OR(N391="",H391=""),"",H391-N391)</f>
        <v/>
      </c>
      <c r="P391" s="25" t="str">
        <f aca="false">IF(O391="","",IF(O391&lt;0,"CONTRATO ANTERIOR À ABERTURA — conferir datas",IF(O391&lt;180,"EMPRESA ABERTA MENOS DE 6 MESES ANTES","")))</f>
        <v/>
      </c>
      <c r="Q391" s="31" t="str">
        <f aca="false">IF(D391="","",IFERROR(INDEX(Sancoes!$D:$D,MATCH(D391,Sancoes!$C:$C,0)),"não consta"))</f>
        <v/>
      </c>
      <c r="R391" s="25" t="str">
        <f aca="false">IF(OR(D391="",H391=""),"",IF(SUMPRODUCT((Sancoes!$C$5:$C$304=D391)*(Sancoes!$G$5:$G$304&lt;=H391)*(((Sancoes!$H$5:$H$304="")+(Sancoes!$H$5:$H$304&gt;=H391))&gt;0))&gt;0,"SANÇÃO VIGENTE NA DATA — ler tipo e abrangência",""))</f>
        <v/>
      </c>
      <c r="S391" s="24"/>
      <c r="T391" s="11"/>
    </row>
    <row r="392" customFormat="false" ht="15" hidden="false" customHeight="false" outlineLevel="0" collapsed="false">
      <c r="A392" s="11"/>
      <c r="B392" s="24"/>
      <c r="C392" s="24"/>
      <c r="D392" s="31" t="str">
        <f aca="false">IF(C392="","",IF(LEN(UPPER(SUBSTITUTE(SUBSTITUTE(SUBSTITUTE(SUBSTITUTE(TRIM(C392),".",""),"/",""),"-","")," ","")))&lt;14,RIGHT(REPT("0",14)&amp;UPPER(SUBSTITUTE(SUBSTITUTE(SUBSTITUTE(SUBSTITUTE(TRIM(C392),".",""),"/",""),"-","")," ","")),14),UPPER(SUBSTITUTE(SUBSTITUTE(SUBSTITUTE(SUBSTITUTE(TRIM(C392),".",""),"/",""),"-","")," ",""))))</f>
        <v/>
      </c>
      <c r="E392" s="25" t="str">
        <f aca="false">IF(D392="","",IFERROR(INDEX(Empresas!$C:$C,MATCH(D392,Empresas!$B:$B,0)),"cadastre o CNPJ em Empresas"))</f>
        <v/>
      </c>
      <c r="F392" s="11"/>
      <c r="G392" s="23"/>
      <c r="H392" s="22"/>
      <c r="I392" s="35"/>
      <c r="J392" s="35"/>
      <c r="K392" s="36" t="str">
        <f aca="false">IF(I392="","",I392+J392)</f>
        <v/>
      </c>
      <c r="L392" s="37" t="str">
        <f aca="false">IF(OR(I392="",I392=0,J392=""),"",J392/I392)</f>
        <v/>
      </c>
      <c r="M392" s="25" t="str">
        <f aca="false">IF(L392="","",IF(L392&gt;0.25,"ACRÉSCIMO ACIMA DE 25% — conferir",""))</f>
        <v/>
      </c>
      <c r="N392" s="29" t="str">
        <f aca="false">IF(D392="","",IF(COUNTIFS(Empresas!$B:$B,D392,Empresas!$E:$E,"&lt;&gt;")=0,"",INDEX(Empresas!$E:$E,MATCH(D392,Empresas!$B:$B,0))))</f>
        <v/>
      </c>
      <c r="O392" s="27" t="str">
        <f aca="false">IF(OR(N392="",H392=""),"",H392-N392)</f>
        <v/>
      </c>
      <c r="P392" s="25" t="str">
        <f aca="false">IF(O392="","",IF(O392&lt;0,"CONTRATO ANTERIOR À ABERTURA — conferir datas",IF(O392&lt;180,"EMPRESA ABERTA MENOS DE 6 MESES ANTES","")))</f>
        <v/>
      </c>
      <c r="Q392" s="31" t="str">
        <f aca="false">IF(D392="","",IFERROR(INDEX(Sancoes!$D:$D,MATCH(D392,Sancoes!$C:$C,0)),"não consta"))</f>
        <v/>
      </c>
      <c r="R392" s="25" t="str">
        <f aca="false">IF(OR(D392="",H392=""),"",IF(SUMPRODUCT((Sancoes!$C$5:$C$304=D392)*(Sancoes!$G$5:$G$304&lt;=H392)*(((Sancoes!$H$5:$H$304="")+(Sancoes!$H$5:$H$304&gt;=H392))&gt;0))&gt;0,"SANÇÃO VIGENTE NA DATA — ler tipo e abrangência",""))</f>
        <v/>
      </c>
      <c r="S392" s="24"/>
      <c r="T392" s="11"/>
    </row>
    <row r="393" customFormat="false" ht="15" hidden="false" customHeight="false" outlineLevel="0" collapsed="false">
      <c r="A393" s="11"/>
      <c r="B393" s="24"/>
      <c r="C393" s="24"/>
      <c r="D393" s="31" t="str">
        <f aca="false">IF(C393="","",IF(LEN(UPPER(SUBSTITUTE(SUBSTITUTE(SUBSTITUTE(SUBSTITUTE(TRIM(C393),".",""),"/",""),"-","")," ","")))&lt;14,RIGHT(REPT("0",14)&amp;UPPER(SUBSTITUTE(SUBSTITUTE(SUBSTITUTE(SUBSTITUTE(TRIM(C393),".",""),"/",""),"-","")," ","")),14),UPPER(SUBSTITUTE(SUBSTITUTE(SUBSTITUTE(SUBSTITUTE(TRIM(C393),".",""),"/",""),"-","")," ",""))))</f>
        <v/>
      </c>
      <c r="E393" s="25" t="str">
        <f aca="false">IF(D393="","",IFERROR(INDEX(Empresas!$C:$C,MATCH(D393,Empresas!$B:$B,0)),"cadastre o CNPJ em Empresas"))</f>
        <v/>
      </c>
      <c r="F393" s="11"/>
      <c r="G393" s="23"/>
      <c r="H393" s="22"/>
      <c r="I393" s="35"/>
      <c r="J393" s="35"/>
      <c r="K393" s="36" t="str">
        <f aca="false">IF(I393="","",I393+J393)</f>
        <v/>
      </c>
      <c r="L393" s="37" t="str">
        <f aca="false">IF(OR(I393="",I393=0,J393=""),"",J393/I393)</f>
        <v/>
      </c>
      <c r="M393" s="25" t="str">
        <f aca="false">IF(L393="","",IF(L393&gt;0.25,"ACRÉSCIMO ACIMA DE 25% — conferir",""))</f>
        <v/>
      </c>
      <c r="N393" s="29" t="str">
        <f aca="false">IF(D393="","",IF(COUNTIFS(Empresas!$B:$B,D393,Empresas!$E:$E,"&lt;&gt;")=0,"",INDEX(Empresas!$E:$E,MATCH(D393,Empresas!$B:$B,0))))</f>
        <v/>
      </c>
      <c r="O393" s="27" t="str">
        <f aca="false">IF(OR(N393="",H393=""),"",H393-N393)</f>
        <v/>
      </c>
      <c r="P393" s="25" t="str">
        <f aca="false">IF(O393="","",IF(O393&lt;0,"CONTRATO ANTERIOR À ABERTURA — conferir datas",IF(O393&lt;180,"EMPRESA ABERTA MENOS DE 6 MESES ANTES","")))</f>
        <v/>
      </c>
      <c r="Q393" s="31" t="str">
        <f aca="false">IF(D393="","",IFERROR(INDEX(Sancoes!$D:$D,MATCH(D393,Sancoes!$C:$C,0)),"não consta"))</f>
        <v/>
      </c>
      <c r="R393" s="25" t="str">
        <f aca="false">IF(OR(D393="",H393=""),"",IF(SUMPRODUCT((Sancoes!$C$5:$C$304=D393)*(Sancoes!$G$5:$G$304&lt;=H393)*(((Sancoes!$H$5:$H$304="")+(Sancoes!$H$5:$H$304&gt;=H393))&gt;0))&gt;0,"SANÇÃO VIGENTE NA DATA — ler tipo e abrangência",""))</f>
        <v/>
      </c>
      <c r="S393" s="24"/>
      <c r="T393" s="11"/>
    </row>
    <row r="394" customFormat="false" ht="15" hidden="false" customHeight="false" outlineLevel="0" collapsed="false">
      <c r="A394" s="11"/>
      <c r="B394" s="24"/>
      <c r="C394" s="24"/>
      <c r="D394" s="31" t="str">
        <f aca="false">IF(C394="","",IF(LEN(UPPER(SUBSTITUTE(SUBSTITUTE(SUBSTITUTE(SUBSTITUTE(TRIM(C394),".",""),"/",""),"-","")," ","")))&lt;14,RIGHT(REPT("0",14)&amp;UPPER(SUBSTITUTE(SUBSTITUTE(SUBSTITUTE(SUBSTITUTE(TRIM(C394),".",""),"/",""),"-","")," ","")),14),UPPER(SUBSTITUTE(SUBSTITUTE(SUBSTITUTE(SUBSTITUTE(TRIM(C394),".",""),"/",""),"-","")," ",""))))</f>
        <v/>
      </c>
      <c r="E394" s="25" t="str">
        <f aca="false">IF(D394="","",IFERROR(INDEX(Empresas!$C:$C,MATCH(D394,Empresas!$B:$B,0)),"cadastre o CNPJ em Empresas"))</f>
        <v/>
      </c>
      <c r="F394" s="11"/>
      <c r="G394" s="23"/>
      <c r="H394" s="22"/>
      <c r="I394" s="35"/>
      <c r="J394" s="35"/>
      <c r="K394" s="36" t="str">
        <f aca="false">IF(I394="","",I394+J394)</f>
        <v/>
      </c>
      <c r="L394" s="37" t="str">
        <f aca="false">IF(OR(I394="",I394=0,J394=""),"",J394/I394)</f>
        <v/>
      </c>
      <c r="M394" s="25" t="str">
        <f aca="false">IF(L394="","",IF(L394&gt;0.25,"ACRÉSCIMO ACIMA DE 25% — conferir",""))</f>
        <v/>
      </c>
      <c r="N394" s="29" t="str">
        <f aca="false">IF(D394="","",IF(COUNTIFS(Empresas!$B:$B,D394,Empresas!$E:$E,"&lt;&gt;")=0,"",INDEX(Empresas!$E:$E,MATCH(D394,Empresas!$B:$B,0))))</f>
        <v/>
      </c>
      <c r="O394" s="27" t="str">
        <f aca="false">IF(OR(N394="",H394=""),"",H394-N394)</f>
        <v/>
      </c>
      <c r="P394" s="25" t="str">
        <f aca="false">IF(O394="","",IF(O394&lt;0,"CONTRATO ANTERIOR À ABERTURA — conferir datas",IF(O394&lt;180,"EMPRESA ABERTA MENOS DE 6 MESES ANTES","")))</f>
        <v/>
      </c>
      <c r="Q394" s="31" t="str">
        <f aca="false">IF(D394="","",IFERROR(INDEX(Sancoes!$D:$D,MATCH(D394,Sancoes!$C:$C,0)),"não consta"))</f>
        <v/>
      </c>
      <c r="R394" s="25" t="str">
        <f aca="false">IF(OR(D394="",H394=""),"",IF(SUMPRODUCT((Sancoes!$C$5:$C$304=D394)*(Sancoes!$G$5:$G$304&lt;=H394)*(((Sancoes!$H$5:$H$304="")+(Sancoes!$H$5:$H$304&gt;=H394))&gt;0))&gt;0,"SANÇÃO VIGENTE NA DATA — ler tipo e abrangência",""))</f>
        <v/>
      </c>
      <c r="S394" s="24"/>
      <c r="T394" s="11"/>
    </row>
    <row r="395" customFormat="false" ht="15" hidden="false" customHeight="false" outlineLevel="0" collapsed="false">
      <c r="A395" s="11"/>
      <c r="B395" s="24"/>
      <c r="C395" s="24"/>
      <c r="D395" s="31" t="str">
        <f aca="false">IF(C395="","",IF(LEN(UPPER(SUBSTITUTE(SUBSTITUTE(SUBSTITUTE(SUBSTITUTE(TRIM(C395),".",""),"/",""),"-","")," ","")))&lt;14,RIGHT(REPT("0",14)&amp;UPPER(SUBSTITUTE(SUBSTITUTE(SUBSTITUTE(SUBSTITUTE(TRIM(C395),".",""),"/",""),"-","")," ","")),14),UPPER(SUBSTITUTE(SUBSTITUTE(SUBSTITUTE(SUBSTITUTE(TRIM(C395),".",""),"/",""),"-","")," ",""))))</f>
        <v/>
      </c>
      <c r="E395" s="25" t="str">
        <f aca="false">IF(D395="","",IFERROR(INDEX(Empresas!$C:$C,MATCH(D395,Empresas!$B:$B,0)),"cadastre o CNPJ em Empresas"))</f>
        <v/>
      </c>
      <c r="F395" s="11"/>
      <c r="G395" s="23"/>
      <c r="H395" s="22"/>
      <c r="I395" s="35"/>
      <c r="J395" s="35"/>
      <c r="K395" s="36" t="str">
        <f aca="false">IF(I395="","",I395+J395)</f>
        <v/>
      </c>
      <c r="L395" s="37" t="str">
        <f aca="false">IF(OR(I395="",I395=0,J395=""),"",J395/I395)</f>
        <v/>
      </c>
      <c r="M395" s="25" t="str">
        <f aca="false">IF(L395="","",IF(L395&gt;0.25,"ACRÉSCIMO ACIMA DE 25% — conferir",""))</f>
        <v/>
      </c>
      <c r="N395" s="29" t="str">
        <f aca="false">IF(D395="","",IF(COUNTIFS(Empresas!$B:$B,D395,Empresas!$E:$E,"&lt;&gt;")=0,"",INDEX(Empresas!$E:$E,MATCH(D395,Empresas!$B:$B,0))))</f>
        <v/>
      </c>
      <c r="O395" s="27" t="str">
        <f aca="false">IF(OR(N395="",H395=""),"",H395-N395)</f>
        <v/>
      </c>
      <c r="P395" s="25" t="str">
        <f aca="false">IF(O395="","",IF(O395&lt;0,"CONTRATO ANTERIOR À ABERTURA — conferir datas",IF(O395&lt;180,"EMPRESA ABERTA MENOS DE 6 MESES ANTES","")))</f>
        <v/>
      </c>
      <c r="Q395" s="31" t="str">
        <f aca="false">IF(D395="","",IFERROR(INDEX(Sancoes!$D:$D,MATCH(D395,Sancoes!$C:$C,0)),"não consta"))</f>
        <v/>
      </c>
      <c r="R395" s="25" t="str">
        <f aca="false">IF(OR(D395="",H395=""),"",IF(SUMPRODUCT((Sancoes!$C$5:$C$304=D395)*(Sancoes!$G$5:$G$304&lt;=H395)*(((Sancoes!$H$5:$H$304="")+(Sancoes!$H$5:$H$304&gt;=H395))&gt;0))&gt;0,"SANÇÃO VIGENTE NA DATA — ler tipo e abrangência",""))</f>
        <v/>
      </c>
      <c r="S395" s="24"/>
      <c r="T395" s="11"/>
    </row>
    <row r="396" customFormat="false" ht="15" hidden="false" customHeight="false" outlineLevel="0" collapsed="false">
      <c r="A396" s="11"/>
      <c r="B396" s="24"/>
      <c r="C396" s="24"/>
      <c r="D396" s="31" t="str">
        <f aca="false">IF(C396="","",IF(LEN(UPPER(SUBSTITUTE(SUBSTITUTE(SUBSTITUTE(SUBSTITUTE(TRIM(C396),".",""),"/",""),"-","")," ","")))&lt;14,RIGHT(REPT("0",14)&amp;UPPER(SUBSTITUTE(SUBSTITUTE(SUBSTITUTE(SUBSTITUTE(TRIM(C396),".",""),"/",""),"-","")," ","")),14),UPPER(SUBSTITUTE(SUBSTITUTE(SUBSTITUTE(SUBSTITUTE(TRIM(C396),".",""),"/",""),"-","")," ",""))))</f>
        <v/>
      </c>
      <c r="E396" s="25" t="str">
        <f aca="false">IF(D396="","",IFERROR(INDEX(Empresas!$C:$C,MATCH(D396,Empresas!$B:$B,0)),"cadastre o CNPJ em Empresas"))</f>
        <v/>
      </c>
      <c r="F396" s="11"/>
      <c r="G396" s="23"/>
      <c r="H396" s="22"/>
      <c r="I396" s="35"/>
      <c r="J396" s="35"/>
      <c r="K396" s="36" t="str">
        <f aca="false">IF(I396="","",I396+J396)</f>
        <v/>
      </c>
      <c r="L396" s="37" t="str">
        <f aca="false">IF(OR(I396="",I396=0,J396=""),"",J396/I396)</f>
        <v/>
      </c>
      <c r="M396" s="25" t="str">
        <f aca="false">IF(L396="","",IF(L396&gt;0.25,"ACRÉSCIMO ACIMA DE 25% — conferir",""))</f>
        <v/>
      </c>
      <c r="N396" s="29" t="str">
        <f aca="false">IF(D396="","",IF(COUNTIFS(Empresas!$B:$B,D396,Empresas!$E:$E,"&lt;&gt;")=0,"",INDEX(Empresas!$E:$E,MATCH(D396,Empresas!$B:$B,0))))</f>
        <v/>
      </c>
      <c r="O396" s="27" t="str">
        <f aca="false">IF(OR(N396="",H396=""),"",H396-N396)</f>
        <v/>
      </c>
      <c r="P396" s="25" t="str">
        <f aca="false">IF(O396="","",IF(O396&lt;0,"CONTRATO ANTERIOR À ABERTURA — conferir datas",IF(O396&lt;180,"EMPRESA ABERTA MENOS DE 6 MESES ANTES","")))</f>
        <v/>
      </c>
      <c r="Q396" s="31" t="str">
        <f aca="false">IF(D396="","",IFERROR(INDEX(Sancoes!$D:$D,MATCH(D396,Sancoes!$C:$C,0)),"não consta"))</f>
        <v/>
      </c>
      <c r="R396" s="25" t="str">
        <f aca="false">IF(OR(D396="",H396=""),"",IF(SUMPRODUCT((Sancoes!$C$5:$C$304=D396)*(Sancoes!$G$5:$G$304&lt;=H396)*(((Sancoes!$H$5:$H$304="")+(Sancoes!$H$5:$H$304&gt;=H396))&gt;0))&gt;0,"SANÇÃO VIGENTE NA DATA — ler tipo e abrangência",""))</f>
        <v/>
      </c>
      <c r="S396" s="24"/>
      <c r="T396" s="11"/>
    </row>
    <row r="397" customFormat="false" ht="15" hidden="false" customHeight="false" outlineLevel="0" collapsed="false">
      <c r="A397" s="11"/>
      <c r="B397" s="24"/>
      <c r="C397" s="24"/>
      <c r="D397" s="31" t="str">
        <f aca="false">IF(C397="","",IF(LEN(UPPER(SUBSTITUTE(SUBSTITUTE(SUBSTITUTE(SUBSTITUTE(TRIM(C397),".",""),"/",""),"-","")," ","")))&lt;14,RIGHT(REPT("0",14)&amp;UPPER(SUBSTITUTE(SUBSTITUTE(SUBSTITUTE(SUBSTITUTE(TRIM(C397),".",""),"/",""),"-","")," ","")),14),UPPER(SUBSTITUTE(SUBSTITUTE(SUBSTITUTE(SUBSTITUTE(TRIM(C397),".",""),"/",""),"-","")," ",""))))</f>
        <v/>
      </c>
      <c r="E397" s="25" t="str">
        <f aca="false">IF(D397="","",IFERROR(INDEX(Empresas!$C:$C,MATCH(D397,Empresas!$B:$B,0)),"cadastre o CNPJ em Empresas"))</f>
        <v/>
      </c>
      <c r="F397" s="11"/>
      <c r="G397" s="23"/>
      <c r="H397" s="22"/>
      <c r="I397" s="35"/>
      <c r="J397" s="35"/>
      <c r="K397" s="36" t="str">
        <f aca="false">IF(I397="","",I397+J397)</f>
        <v/>
      </c>
      <c r="L397" s="37" t="str">
        <f aca="false">IF(OR(I397="",I397=0,J397=""),"",J397/I397)</f>
        <v/>
      </c>
      <c r="M397" s="25" t="str">
        <f aca="false">IF(L397="","",IF(L397&gt;0.25,"ACRÉSCIMO ACIMA DE 25% — conferir",""))</f>
        <v/>
      </c>
      <c r="N397" s="29" t="str">
        <f aca="false">IF(D397="","",IF(COUNTIFS(Empresas!$B:$B,D397,Empresas!$E:$E,"&lt;&gt;")=0,"",INDEX(Empresas!$E:$E,MATCH(D397,Empresas!$B:$B,0))))</f>
        <v/>
      </c>
      <c r="O397" s="27" t="str">
        <f aca="false">IF(OR(N397="",H397=""),"",H397-N397)</f>
        <v/>
      </c>
      <c r="P397" s="25" t="str">
        <f aca="false">IF(O397="","",IF(O397&lt;0,"CONTRATO ANTERIOR À ABERTURA — conferir datas",IF(O397&lt;180,"EMPRESA ABERTA MENOS DE 6 MESES ANTES","")))</f>
        <v/>
      </c>
      <c r="Q397" s="31" t="str">
        <f aca="false">IF(D397="","",IFERROR(INDEX(Sancoes!$D:$D,MATCH(D397,Sancoes!$C:$C,0)),"não consta"))</f>
        <v/>
      </c>
      <c r="R397" s="25" t="str">
        <f aca="false">IF(OR(D397="",H397=""),"",IF(SUMPRODUCT((Sancoes!$C$5:$C$304=D397)*(Sancoes!$G$5:$G$304&lt;=H397)*(((Sancoes!$H$5:$H$304="")+(Sancoes!$H$5:$H$304&gt;=H397))&gt;0))&gt;0,"SANÇÃO VIGENTE NA DATA — ler tipo e abrangência",""))</f>
        <v/>
      </c>
      <c r="S397" s="24"/>
      <c r="T397" s="11"/>
    </row>
    <row r="398" customFormat="false" ht="15" hidden="false" customHeight="false" outlineLevel="0" collapsed="false">
      <c r="A398" s="11"/>
      <c r="B398" s="24"/>
      <c r="C398" s="24"/>
      <c r="D398" s="31" t="str">
        <f aca="false">IF(C398="","",IF(LEN(UPPER(SUBSTITUTE(SUBSTITUTE(SUBSTITUTE(SUBSTITUTE(TRIM(C398),".",""),"/",""),"-","")," ","")))&lt;14,RIGHT(REPT("0",14)&amp;UPPER(SUBSTITUTE(SUBSTITUTE(SUBSTITUTE(SUBSTITUTE(TRIM(C398),".",""),"/",""),"-","")," ","")),14),UPPER(SUBSTITUTE(SUBSTITUTE(SUBSTITUTE(SUBSTITUTE(TRIM(C398),".",""),"/",""),"-","")," ",""))))</f>
        <v/>
      </c>
      <c r="E398" s="25" t="str">
        <f aca="false">IF(D398="","",IFERROR(INDEX(Empresas!$C:$C,MATCH(D398,Empresas!$B:$B,0)),"cadastre o CNPJ em Empresas"))</f>
        <v/>
      </c>
      <c r="F398" s="11"/>
      <c r="G398" s="23"/>
      <c r="H398" s="22"/>
      <c r="I398" s="35"/>
      <c r="J398" s="35"/>
      <c r="K398" s="36" t="str">
        <f aca="false">IF(I398="","",I398+J398)</f>
        <v/>
      </c>
      <c r="L398" s="37" t="str">
        <f aca="false">IF(OR(I398="",I398=0,J398=""),"",J398/I398)</f>
        <v/>
      </c>
      <c r="M398" s="25" t="str">
        <f aca="false">IF(L398="","",IF(L398&gt;0.25,"ACRÉSCIMO ACIMA DE 25% — conferir",""))</f>
        <v/>
      </c>
      <c r="N398" s="29" t="str">
        <f aca="false">IF(D398="","",IF(COUNTIFS(Empresas!$B:$B,D398,Empresas!$E:$E,"&lt;&gt;")=0,"",INDEX(Empresas!$E:$E,MATCH(D398,Empresas!$B:$B,0))))</f>
        <v/>
      </c>
      <c r="O398" s="27" t="str">
        <f aca="false">IF(OR(N398="",H398=""),"",H398-N398)</f>
        <v/>
      </c>
      <c r="P398" s="25" t="str">
        <f aca="false">IF(O398="","",IF(O398&lt;0,"CONTRATO ANTERIOR À ABERTURA — conferir datas",IF(O398&lt;180,"EMPRESA ABERTA MENOS DE 6 MESES ANTES","")))</f>
        <v/>
      </c>
      <c r="Q398" s="31" t="str">
        <f aca="false">IF(D398="","",IFERROR(INDEX(Sancoes!$D:$D,MATCH(D398,Sancoes!$C:$C,0)),"não consta"))</f>
        <v/>
      </c>
      <c r="R398" s="25" t="str">
        <f aca="false">IF(OR(D398="",H398=""),"",IF(SUMPRODUCT((Sancoes!$C$5:$C$304=D398)*(Sancoes!$G$5:$G$304&lt;=H398)*(((Sancoes!$H$5:$H$304="")+(Sancoes!$H$5:$H$304&gt;=H398))&gt;0))&gt;0,"SANÇÃO VIGENTE NA DATA — ler tipo e abrangência",""))</f>
        <v/>
      </c>
      <c r="S398" s="24"/>
      <c r="T398" s="11"/>
    </row>
    <row r="399" customFormat="false" ht="15" hidden="false" customHeight="false" outlineLevel="0" collapsed="false">
      <c r="A399" s="11"/>
      <c r="B399" s="24"/>
      <c r="C399" s="24"/>
      <c r="D399" s="31" t="str">
        <f aca="false">IF(C399="","",IF(LEN(UPPER(SUBSTITUTE(SUBSTITUTE(SUBSTITUTE(SUBSTITUTE(TRIM(C399),".",""),"/",""),"-","")," ","")))&lt;14,RIGHT(REPT("0",14)&amp;UPPER(SUBSTITUTE(SUBSTITUTE(SUBSTITUTE(SUBSTITUTE(TRIM(C399),".",""),"/",""),"-","")," ","")),14),UPPER(SUBSTITUTE(SUBSTITUTE(SUBSTITUTE(SUBSTITUTE(TRIM(C399),".",""),"/",""),"-","")," ",""))))</f>
        <v/>
      </c>
      <c r="E399" s="25" t="str">
        <f aca="false">IF(D399="","",IFERROR(INDEX(Empresas!$C:$C,MATCH(D399,Empresas!$B:$B,0)),"cadastre o CNPJ em Empresas"))</f>
        <v/>
      </c>
      <c r="F399" s="11"/>
      <c r="G399" s="23"/>
      <c r="H399" s="22"/>
      <c r="I399" s="35"/>
      <c r="J399" s="35"/>
      <c r="K399" s="36" t="str">
        <f aca="false">IF(I399="","",I399+J399)</f>
        <v/>
      </c>
      <c r="L399" s="37" t="str">
        <f aca="false">IF(OR(I399="",I399=0,J399=""),"",J399/I399)</f>
        <v/>
      </c>
      <c r="M399" s="25" t="str">
        <f aca="false">IF(L399="","",IF(L399&gt;0.25,"ACRÉSCIMO ACIMA DE 25% — conferir",""))</f>
        <v/>
      </c>
      <c r="N399" s="29" t="str">
        <f aca="false">IF(D399="","",IF(COUNTIFS(Empresas!$B:$B,D399,Empresas!$E:$E,"&lt;&gt;")=0,"",INDEX(Empresas!$E:$E,MATCH(D399,Empresas!$B:$B,0))))</f>
        <v/>
      </c>
      <c r="O399" s="27" t="str">
        <f aca="false">IF(OR(N399="",H399=""),"",H399-N399)</f>
        <v/>
      </c>
      <c r="P399" s="25" t="str">
        <f aca="false">IF(O399="","",IF(O399&lt;0,"CONTRATO ANTERIOR À ABERTURA — conferir datas",IF(O399&lt;180,"EMPRESA ABERTA MENOS DE 6 MESES ANTES","")))</f>
        <v/>
      </c>
      <c r="Q399" s="31" t="str">
        <f aca="false">IF(D399="","",IFERROR(INDEX(Sancoes!$D:$D,MATCH(D399,Sancoes!$C:$C,0)),"não consta"))</f>
        <v/>
      </c>
      <c r="R399" s="25" t="str">
        <f aca="false">IF(OR(D399="",H399=""),"",IF(SUMPRODUCT((Sancoes!$C$5:$C$304=D399)*(Sancoes!$G$5:$G$304&lt;=H399)*(((Sancoes!$H$5:$H$304="")+(Sancoes!$H$5:$H$304&gt;=H399))&gt;0))&gt;0,"SANÇÃO VIGENTE NA DATA — ler tipo e abrangência",""))</f>
        <v/>
      </c>
      <c r="S399" s="24"/>
      <c r="T399" s="11"/>
    </row>
    <row r="400" customFormat="false" ht="15" hidden="false" customHeight="false" outlineLevel="0" collapsed="false">
      <c r="A400" s="11"/>
      <c r="B400" s="24"/>
      <c r="C400" s="24"/>
      <c r="D400" s="31" t="str">
        <f aca="false">IF(C400="","",IF(LEN(UPPER(SUBSTITUTE(SUBSTITUTE(SUBSTITUTE(SUBSTITUTE(TRIM(C400),".",""),"/",""),"-","")," ","")))&lt;14,RIGHT(REPT("0",14)&amp;UPPER(SUBSTITUTE(SUBSTITUTE(SUBSTITUTE(SUBSTITUTE(TRIM(C400),".",""),"/",""),"-","")," ","")),14),UPPER(SUBSTITUTE(SUBSTITUTE(SUBSTITUTE(SUBSTITUTE(TRIM(C400),".",""),"/",""),"-","")," ",""))))</f>
        <v/>
      </c>
      <c r="E400" s="25" t="str">
        <f aca="false">IF(D400="","",IFERROR(INDEX(Empresas!$C:$C,MATCH(D400,Empresas!$B:$B,0)),"cadastre o CNPJ em Empresas"))</f>
        <v/>
      </c>
      <c r="F400" s="11"/>
      <c r="G400" s="23"/>
      <c r="H400" s="22"/>
      <c r="I400" s="35"/>
      <c r="J400" s="35"/>
      <c r="K400" s="36" t="str">
        <f aca="false">IF(I400="","",I400+J400)</f>
        <v/>
      </c>
      <c r="L400" s="37" t="str">
        <f aca="false">IF(OR(I400="",I400=0,J400=""),"",J400/I400)</f>
        <v/>
      </c>
      <c r="M400" s="25" t="str">
        <f aca="false">IF(L400="","",IF(L400&gt;0.25,"ACRÉSCIMO ACIMA DE 25% — conferir",""))</f>
        <v/>
      </c>
      <c r="N400" s="29" t="str">
        <f aca="false">IF(D400="","",IF(COUNTIFS(Empresas!$B:$B,D400,Empresas!$E:$E,"&lt;&gt;")=0,"",INDEX(Empresas!$E:$E,MATCH(D400,Empresas!$B:$B,0))))</f>
        <v/>
      </c>
      <c r="O400" s="27" t="str">
        <f aca="false">IF(OR(N400="",H400=""),"",H400-N400)</f>
        <v/>
      </c>
      <c r="P400" s="25" t="str">
        <f aca="false">IF(O400="","",IF(O400&lt;0,"CONTRATO ANTERIOR À ABERTURA — conferir datas",IF(O400&lt;180,"EMPRESA ABERTA MENOS DE 6 MESES ANTES","")))</f>
        <v/>
      </c>
      <c r="Q400" s="31" t="str">
        <f aca="false">IF(D400="","",IFERROR(INDEX(Sancoes!$D:$D,MATCH(D400,Sancoes!$C:$C,0)),"não consta"))</f>
        <v/>
      </c>
      <c r="R400" s="25" t="str">
        <f aca="false">IF(OR(D400="",H400=""),"",IF(SUMPRODUCT((Sancoes!$C$5:$C$304=D400)*(Sancoes!$G$5:$G$304&lt;=H400)*(((Sancoes!$H$5:$H$304="")+(Sancoes!$H$5:$H$304&gt;=H400))&gt;0))&gt;0,"SANÇÃO VIGENTE NA DATA — ler tipo e abrangência",""))</f>
        <v/>
      </c>
      <c r="S400" s="24"/>
      <c r="T400" s="11"/>
    </row>
    <row r="401" customFormat="false" ht="15" hidden="false" customHeight="false" outlineLevel="0" collapsed="false">
      <c r="A401" s="11"/>
      <c r="B401" s="24"/>
      <c r="C401" s="24"/>
      <c r="D401" s="31" t="str">
        <f aca="false">IF(C401="","",IF(LEN(UPPER(SUBSTITUTE(SUBSTITUTE(SUBSTITUTE(SUBSTITUTE(TRIM(C401),".",""),"/",""),"-","")," ","")))&lt;14,RIGHT(REPT("0",14)&amp;UPPER(SUBSTITUTE(SUBSTITUTE(SUBSTITUTE(SUBSTITUTE(TRIM(C401),".",""),"/",""),"-","")," ","")),14),UPPER(SUBSTITUTE(SUBSTITUTE(SUBSTITUTE(SUBSTITUTE(TRIM(C401),".",""),"/",""),"-","")," ",""))))</f>
        <v/>
      </c>
      <c r="E401" s="25" t="str">
        <f aca="false">IF(D401="","",IFERROR(INDEX(Empresas!$C:$C,MATCH(D401,Empresas!$B:$B,0)),"cadastre o CNPJ em Empresas"))</f>
        <v/>
      </c>
      <c r="F401" s="11"/>
      <c r="G401" s="23"/>
      <c r="H401" s="22"/>
      <c r="I401" s="35"/>
      <c r="J401" s="35"/>
      <c r="K401" s="36" t="str">
        <f aca="false">IF(I401="","",I401+J401)</f>
        <v/>
      </c>
      <c r="L401" s="37" t="str">
        <f aca="false">IF(OR(I401="",I401=0,J401=""),"",J401/I401)</f>
        <v/>
      </c>
      <c r="M401" s="25" t="str">
        <f aca="false">IF(L401="","",IF(L401&gt;0.25,"ACRÉSCIMO ACIMA DE 25% — conferir",""))</f>
        <v/>
      </c>
      <c r="N401" s="29" t="str">
        <f aca="false">IF(D401="","",IF(COUNTIFS(Empresas!$B:$B,D401,Empresas!$E:$E,"&lt;&gt;")=0,"",INDEX(Empresas!$E:$E,MATCH(D401,Empresas!$B:$B,0))))</f>
        <v/>
      </c>
      <c r="O401" s="27" t="str">
        <f aca="false">IF(OR(N401="",H401=""),"",H401-N401)</f>
        <v/>
      </c>
      <c r="P401" s="25" t="str">
        <f aca="false">IF(O401="","",IF(O401&lt;0,"CONTRATO ANTERIOR À ABERTURA — conferir datas",IF(O401&lt;180,"EMPRESA ABERTA MENOS DE 6 MESES ANTES","")))</f>
        <v/>
      </c>
      <c r="Q401" s="31" t="str">
        <f aca="false">IF(D401="","",IFERROR(INDEX(Sancoes!$D:$D,MATCH(D401,Sancoes!$C:$C,0)),"não consta"))</f>
        <v/>
      </c>
      <c r="R401" s="25" t="str">
        <f aca="false">IF(OR(D401="",H401=""),"",IF(SUMPRODUCT((Sancoes!$C$5:$C$304=D401)*(Sancoes!$G$5:$G$304&lt;=H401)*(((Sancoes!$H$5:$H$304="")+(Sancoes!$H$5:$H$304&gt;=H401))&gt;0))&gt;0,"SANÇÃO VIGENTE NA DATA — ler tipo e abrangência",""))</f>
        <v/>
      </c>
      <c r="S401" s="24"/>
      <c r="T401" s="11"/>
    </row>
    <row r="402" customFormat="false" ht="15" hidden="false" customHeight="false" outlineLevel="0" collapsed="false">
      <c r="A402" s="11"/>
      <c r="B402" s="24"/>
      <c r="C402" s="24"/>
      <c r="D402" s="31" t="str">
        <f aca="false">IF(C402="","",IF(LEN(UPPER(SUBSTITUTE(SUBSTITUTE(SUBSTITUTE(SUBSTITUTE(TRIM(C402),".",""),"/",""),"-","")," ","")))&lt;14,RIGHT(REPT("0",14)&amp;UPPER(SUBSTITUTE(SUBSTITUTE(SUBSTITUTE(SUBSTITUTE(TRIM(C402),".",""),"/",""),"-","")," ","")),14),UPPER(SUBSTITUTE(SUBSTITUTE(SUBSTITUTE(SUBSTITUTE(TRIM(C402),".",""),"/",""),"-","")," ",""))))</f>
        <v/>
      </c>
      <c r="E402" s="25" t="str">
        <f aca="false">IF(D402="","",IFERROR(INDEX(Empresas!$C:$C,MATCH(D402,Empresas!$B:$B,0)),"cadastre o CNPJ em Empresas"))</f>
        <v/>
      </c>
      <c r="F402" s="11"/>
      <c r="G402" s="23"/>
      <c r="H402" s="22"/>
      <c r="I402" s="35"/>
      <c r="J402" s="35"/>
      <c r="K402" s="36" t="str">
        <f aca="false">IF(I402="","",I402+J402)</f>
        <v/>
      </c>
      <c r="L402" s="37" t="str">
        <f aca="false">IF(OR(I402="",I402=0,J402=""),"",J402/I402)</f>
        <v/>
      </c>
      <c r="M402" s="25" t="str">
        <f aca="false">IF(L402="","",IF(L402&gt;0.25,"ACRÉSCIMO ACIMA DE 25% — conferir",""))</f>
        <v/>
      </c>
      <c r="N402" s="29" t="str">
        <f aca="false">IF(D402="","",IF(COUNTIFS(Empresas!$B:$B,D402,Empresas!$E:$E,"&lt;&gt;")=0,"",INDEX(Empresas!$E:$E,MATCH(D402,Empresas!$B:$B,0))))</f>
        <v/>
      </c>
      <c r="O402" s="27" t="str">
        <f aca="false">IF(OR(N402="",H402=""),"",H402-N402)</f>
        <v/>
      </c>
      <c r="P402" s="25" t="str">
        <f aca="false">IF(O402="","",IF(O402&lt;0,"CONTRATO ANTERIOR À ABERTURA — conferir datas",IF(O402&lt;180,"EMPRESA ABERTA MENOS DE 6 MESES ANTES","")))</f>
        <v/>
      </c>
      <c r="Q402" s="31" t="str">
        <f aca="false">IF(D402="","",IFERROR(INDEX(Sancoes!$D:$D,MATCH(D402,Sancoes!$C:$C,0)),"não consta"))</f>
        <v/>
      </c>
      <c r="R402" s="25" t="str">
        <f aca="false">IF(OR(D402="",H402=""),"",IF(SUMPRODUCT((Sancoes!$C$5:$C$304=D402)*(Sancoes!$G$5:$G$304&lt;=H402)*(((Sancoes!$H$5:$H$304="")+(Sancoes!$H$5:$H$304&gt;=H402))&gt;0))&gt;0,"SANÇÃO VIGENTE NA DATA — ler tipo e abrangência",""))</f>
        <v/>
      </c>
      <c r="S402" s="24"/>
      <c r="T402" s="11"/>
    </row>
    <row r="403" customFormat="false" ht="15" hidden="false" customHeight="false" outlineLevel="0" collapsed="false">
      <c r="A403" s="11"/>
      <c r="B403" s="24"/>
      <c r="C403" s="24"/>
      <c r="D403" s="31" t="str">
        <f aca="false">IF(C403="","",IF(LEN(UPPER(SUBSTITUTE(SUBSTITUTE(SUBSTITUTE(SUBSTITUTE(TRIM(C403),".",""),"/",""),"-","")," ","")))&lt;14,RIGHT(REPT("0",14)&amp;UPPER(SUBSTITUTE(SUBSTITUTE(SUBSTITUTE(SUBSTITUTE(TRIM(C403),".",""),"/",""),"-","")," ","")),14),UPPER(SUBSTITUTE(SUBSTITUTE(SUBSTITUTE(SUBSTITUTE(TRIM(C403),".",""),"/",""),"-","")," ",""))))</f>
        <v/>
      </c>
      <c r="E403" s="25" t="str">
        <f aca="false">IF(D403="","",IFERROR(INDEX(Empresas!$C:$C,MATCH(D403,Empresas!$B:$B,0)),"cadastre o CNPJ em Empresas"))</f>
        <v/>
      </c>
      <c r="F403" s="11"/>
      <c r="G403" s="23"/>
      <c r="H403" s="22"/>
      <c r="I403" s="35"/>
      <c r="J403" s="35"/>
      <c r="K403" s="36" t="str">
        <f aca="false">IF(I403="","",I403+J403)</f>
        <v/>
      </c>
      <c r="L403" s="37" t="str">
        <f aca="false">IF(OR(I403="",I403=0,J403=""),"",J403/I403)</f>
        <v/>
      </c>
      <c r="M403" s="25" t="str">
        <f aca="false">IF(L403="","",IF(L403&gt;0.25,"ACRÉSCIMO ACIMA DE 25% — conferir",""))</f>
        <v/>
      </c>
      <c r="N403" s="29" t="str">
        <f aca="false">IF(D403="","",IF(COUNTIFS(Empresas!$B:$B,D403,Empresas!$E:$E,"&lt;&gt;")=0,"",INDEX(Empresas!$E:$E,MATCH(D403,Empresas!$B:$B,0))))</f>
        <v/>
      </c>
      <c r="O403" s="27" t="str">
        <f aca="false">IF(OR(N403="",H403=""),"",H403-N403)</f>
        <v/>
      </c>
      <c r="P403" s="25" t="str">
        <f aca="false">IF(O403="","",IF(O403&lt;0,"CONTRATO ANTERIOR À ABERTURA — conferir datas",IF(O403&lt;180,"EMPRESA ABERTA MENOS DE 6 MESES ANTES","")))</f>
        <v/>
      </c>
      <c r="Q403" s="31" t="str">
        <f aca="false">IF(D403="","",IFERROR(INDEX(Sancoes!$D:$D,MATCH(D403,Sancoes!$C:$C,0)),"não consta"))</f>
        <v/>
      </c>
      <c r="R403" s="25" t="str">
        <f aca="false">IF(OR(D403="",H403=""),"",IF(SUMPRODUCT((Sancoes!$C$5:$C$304=D403)*(Sancoes!$G$5:$G$304&lt;=H403)*(((Sancoes!$H$5:$H$304="")+(Sancoes!$H$5:$H$304&gt;=H403))&gt;0))&gt;0,"SANÇÃO VIGENTE NA DATA — ler tipo e abrangência",""))</f>
        <v/>
      </c>
      <c r="S403" s="24"/>
      <c r="T403" s="11"/>
    </row>
    <row r="404" customFormat="false" ht="15" hidden="false" customHeight="false" outlineLevel="0" collapsed="false">
      <c r="A404" s="11"/>
      <c r="B404" s="24"/>
      <c r="C404" s="24"/>
      <c r="D404" s="31" t="str">
        <f aca="false">IF(C404="","",IF(LEN(UPPER(SUBSTITUTE(SUBSTITUTE(SUBSTITUTE(SUBSTITUTE(TRIM(C404),".",""),"/",""),"-","")," ","")))&lt;14,RIGHT(REPT("0",14)&amp;UPPER(SUBSTITUTE(SUBSTITUTE(SUBSTITUTE(SUBSTITUTE(TRIM(C404),".",""),"/",""),"-","")," ","")),14),UPPER(SUBSTITUTE(SUBSTITUTE(SUBSTITUTE(SUBSTITUTE(TRIM(C404),".",""),"/",""),"-","")," ",""))))</f>
        <v/>
      </c>
      <c r="E404" s="25" t="str">
        <f aca="false">IF(D404="","",IFERROR(INDEX(Empresas!$C:$C,MATCH(D404,Empresas!$B:$B,0)),"cadastre o CNPJ em Empresas"))</f>
        <v/>
      </c>
      <c r="F404" s="11"/>
      <c r="G404" s="23"/>
      <c r="H404" s="22"/>
      <c r="I404" s="35"/>
      <c r="J404" s="35"/>
      <c r="K404" s="36" t="str">
        <f aca="false">IF(I404="","",I404+J404)</f>
        <v/>
      </c>
      <c r="L404" s="37" t="str">
        <f aca="false">IF(OR(I404="",I404=0,J404=""),"",J404/I404)</f>
        <v/>
      </c>
      <c r="M404" s="25" t="str">
        <f aca="false">IF(L404="","",IF(L404&gt;0.25,"ACRÉSCIMO ACIMA DE 25% — conferir",""))</f>
        <v/>
      </c>
      <c r="N404" s="29" t="str">
        <f aca="false">IF(D404="","",IF(COUNTIFS(Empresas!$B:$B,D404,Empresas!$E:$E,"&lt;&gt;")=0,"",INDEX(Empresas!$E:$E,MATCH(D404,Empresas!$B:$B,0))))</f>
        <v/>
      </c>
      <c r="O404" s="27" t="str">
        <f aca="false">IF(OR(N404="",H404=""),"",H404-N404)</f>
        <v/>
      </c>
      <c r="P404" s="25" t="str">
        <f aca="false">IF(O404="","",IF(O404&lt;0,"CONTRATO ANTERIOR À ABERTURA — conferir datas",IF(O404&lt;180,"EMPRESA ABERTA MENOS DE 6 MESES ANTES","")))</f>
        <v/>
      </c>
      <c r="Q404" s="31" t="str">
        <f aca="false">IF(D404="","",IFERROR(INDEX(Sancoes!$D:$D,MATCH(D404,Sancoes!$C:$C,0)),"não consta"))</f>
        <v/>
      </c>
      <c r="R404" s="25" t="str">
        <f aca="false">IF(OR(D404="",H404=""),"",IF(SUMPRODUCT((Sancoes!$C$5:$C$304=D404)*(Sancoes!$G$5:$G$304&lt;=H404)*(((Sancoes!$H$5:$H$304="")+(Sancoes!$H$5:$H$304&gt;=H404))&gt;0))&gt;0,"SANÇÃO VIGENTE NA DATA — ler tipo e abrangência",""))</f>
        <v/>
      </c>
      <c r="S404" s="24"/>
      <c r="T404" s="11"/>
    </row>
    <row r="405" customFormat="false" ht="15" hidden="false" customHeight="false" outlineLevel="0" collapsed="false">
      <c r="A405" s="11"/>
      <c r="B405" s="24"/>
      <c r="C405" s="24"/>
      <c r="D405" s="31" t="str">
        <f aca="false">IF(C405="","",IF(LEN(UPPER(SUBSTITUTE(SUBSTITUTE(SUBSTITUTE(SUBSTITUTE(TRIM(C405),".",""),"/",""),"-","")," ","")))&lt;14,RIGHT(REPT("0",14)&amp;UPPER(SUBSTITUTE(SUBSTITUTE(SUBSTITUTE(SUBSTITUTE(TRIM(C405),".",""),"/",""),"-","")," ","")),14),UPPER(SUBSTITUTE(SUBSTITUTE(SUBSTITUTE(SUBSTITUTE(TRIM(C405),".",""),"/",""),"-","")," ",""))))</f>
        <v/>
      </c>
      <c r="E405" s="25" t="str">
        <f aca="false">IF(D405="","",IFERROR(INDEX(Empresas!$C:$C,MATCH(D405,Empresas!$B:$B,0)),"cadastre o CNPJ em Empresas"))</f>
        <v/>
      </c>
      <c r="F405" s="11"/>
      <c r="G405" s="23"/>
      <c r="H405" s="22"/>
      <c r="I405" s="35"/>
      <c r="J405" s="35"/>
      <c r="K405" s="36" t="str">
        <f aca="false">IF(I405="","",I405+J405)</f>
        <v/>
      </c>
      <c r="L405" s="37" t="str">
        <f aca="false">IF(OR(I405="",I405=0,J405=""),"",J405/I405)</f>
        <v/>
      </c>
      <c r="M405" s="25" t="str">
        <f aca="false">IF(L405="","",IF(L405&gt;0.25,"ACRÉSCIMO ACIMA DE 25% — conferir",""))</f>
        <v/>
      </c>
      <c r="N405" s="29" t="str">
        <f aca="false">IF(D405="","",IF(COUNTIFS(Empresas!$B:$B,D405,Empresas!$E:$E,"&lt;&gt;")=0,"",INDEX(Empresas!$E:$E,MATCH(D405,Empresas!$B:$B,0))))</f>
        <v/>
      </c>
      <c r="O405" s="27" t="str">
        <f aca="false">IF(OR(N405="",H405=""),"",H405-N405)</f>
        <v/>
      </c>
      <c r="P405" s="25" t="str">
        <f aca="false">IF(O405="","",IF(O405&lt;0,"CONTRATO ANTERIOR À ABERTURA — conferir datas",IF(O405&lt;180,"EMPRESA ABERTA MENOS DE 6 MESES ANTES","")))</f>
        <v/>
      </c>
      <c r="Q405" s="31" t="str">
        <f aca="false">IF(D405="","",IFERROR(INDEX(Sancoes!$D:$D,MATCH(D405,Sancoes!$C:$C,0)),"não consta"))</f>
        <v/>
      </c>
      <c r="R405" s="25" t="str">
        <f aca="false">IF(OR(D405="",H405=""),"",IF(SUMPRODUCT((Sancoes!$C$5:$C$304=D405)*(Sancoes!$G$5:$G$304&lt;=H405)*(((Sancoes!$H$5:$H$304="")+(Sancoes!$H$5:$H$304&gt;=H405))&gt;0))&gt;0,"SANÇÃO VIGENTE NA DATA — ler tipo e abrangência",""))</f>
        <v/>
      </c>
      <c r="S405" s="24"/>
      <c r="T405" s="11"/>
    </row>
    <row r="406" customFormat="false" ht="15" hidden="false" customHeight="false" outlineLevel="0" collapsed="false">
      <c r="A406" s="11"/>
      <c r="B406" s="24"/>
      <c r="C406" s="24"/>
      <c r="D406" s="31" t="str">
        <f aca="false">IF(C406="","",IF(LEN(UPPER(SUBSTITUTE(SUBSTITUTE(SUBSTITUTE(SUBSTITUTE(TRIM(C406),".",""),"/",""),"-","")," ","")))&lt;14,RIGHT(REPT("0",14)&amp;UPPER(SUBSTITUTE(SUBSTITUTE(SUBSTITUTE(SUBSTITUTE(TRIM(C406),".",""),"/",""),"-","")," ","")),14),UPPER(SUBSTITUTE(SUBSTITUTE(SUBSTITUTE(SUBSTITUTE(TRIM(C406),".",""),"/",""),"-","")," ",""))))</f>
        <v/>
      </c>
      <c r="E406" s="25" t="str">
        <f aca="false">IF(D406="","",IFERROR(INDEX(Empresas!$C:$C,MATCH(D406,Empresas!$B:$B,0)),"cadastre o CNPJ em Empresas"))</f>
        <v/>
      </c>
      <c r="F406" s="11"/>
      <c r="G406" s="23"/>
      <c r="H406" s="22"/>
      <c r="I406" s="35"/>
      <c r="J406" s="35"/>
      <c r="K406" s="36" t="str">
        <f aca="false">IF(I406="","",I406+J406)</f>
        <v/>
      </c>
      <c r="L406" s="37" t="str">
        <f aca="false">IF(OR(I406="",I406=0,J406=""),"",J406/I406)</f>
        <v/>
      </c>
      <c r="M406" s="25" t="str">
        <f aca="false">IF(L406="","",IF(L406&gt;0.25,"ACRÉSCIMO ACIMA DE 25% — conferir",""))</f>
        <v/>
      </c>
      <c r="N406" s="29" t="str">
        <f aca="false">IF(D406="","",IF(COUNTIFS(Empresas!$B:$B,D406,Empresas!$E:$E,"&lt;&gt;")=0,"",INDEX(Empresas!$E:$E,MATCH(D406,Empresas!$B:$B,0))))</f>
        <v/>
      </c>
      <c r="O406" s="27" t="str">
        <f aca="false">IF(OR(N406="",H406=""),"",H406-N406)</f>
        <v/>
      </c>
      <c r="P406" s="25" t="str">
        <f aca="false">IF(O406="","",IF(O406&lt;0,"CONTRATO ANTERIOR À ABERTURA — conferir datas",IF(O406&lt;180,"EMPRESA ABERTA MENOS DE 6 MESES ANTES","")))</f>
        <v/>
      </c>
      <c r="Q406" s="31" t="str">
        <f aca="false">IF(D406="","",IFERROR(INDEX(Sancoes!$D:$D,MATCH(D406,Sancoes!$C:$C,0)),"não consta"))</f>
        <v/>
      </c>
      <c r="R406" s="25" t="str">
        <f aca="false">IF(OR(D406="",H406=""),"",IF(SUMPRODUCT((Sancoes!$C$5:$C$304=D406)*(Sancoes!$G$5:$G$304&lt;=H406)*(((Sancoes!$H$5:$H$304="")+(Sancoes!$H$5:$H$304&gt;=H406))&gt;0))&gt;0,"SANÇÃO VIGENTE NA DATA — ler tipo e abrangência",""))</f>
        <v/>
      </c>
      <c r="S406" s="24"/>
      <c r="T406" s="11"/>
    </row>
    <row r="407" customFormat="false" ht="15" hidden="false" customHeight="false" outlineLevel="0" collapsed="false">
      <c r="A407" s="11"/>
      <c r="B407" s="24"/>
      <c r="C407" s="24"/>
      <c r="D407" s="31" t="str">
        <f aca="false">IF(C407="","",IF(LEN(UPPER(SUBSTITUTE(SUBSTITUTE(SUBSTITUTE(SUBSTITUTE(TRIM(C407),".",""),"/",""),"-","")," ","")))&lt;14,RIGHT(REPT("0",14)&amp;UPPER(SUBSTITUTE(SUBSTITUTE(SUBSTITUTE(SUBSTITUTE(TRIM(C407),".",""),"/",""),"-","")," ","")),14),UPPER(SUBSTITUTE(SUBSTITUTE(SUBSTITUTE(SUBSTITUTE(TRIM(C407),".",""),"/",""),"-","")," ",""))))</f>
        <v/>
      </c>
      <c r="E407" s="25" t="str">
        <f aca="false">IF(D407="","",IFERROR(INDEX(Empresas!$C:$C,MATCH(D407,Empresas!$B:$B,0)),"cadastre o CNPJ em Empresas"))</f>
        <v/>
      </c>
      <c r="F407" s="11"/>
      <c r="G407" s="23"/>
      <c r="H407" s="22"/>
      <c r="I407" s="35"/>
      <c r="J407" s="35"/>
      <c r="K407" s="36" t="str">
        <f aca="false">IF(I407="","",I407+J407)</f>
        <v/>
      </c>
      <c r="L407" s="37" t="str">
        <f aca="false">IF(OR(I407="",I407=0,J407=""),"",J407/I407)</f>
        <v/>
      </c>
      <c r="M407" s="25" t="str">
        <f aca="false">IF(L407="","",IF(L407&gt;0.25,"ACRÉSCIMO ACIMA DE 25% — conferir",""))</f>
        <v/>
      </c>
      <c r="N407" s="29" t="str">
        <f aca="false">IF(D407="","",IF(COUNTIFS(Empresas!$B:$B,D407,Empresas!$E:$E,"&lt;&gt;")=0,"",INDEX(Empresas!$E:$E,MATCH(D407,Empresas!$B:$B,0))))</f>
        <v/>
      </c>
      <c r="O407" s="27" t="str">
        <f aca="false">IF(OR(N407="",H407=""),"",H407-N407)</f>
        <v/>
      </c>
      <c r="P407" s="25" t="str">
        <f aca="false">IF(O407="","",IF(O407&lt;0,"CONTRATO ANTERIOR À ABERTURA — conferir datas",IF(O407&lt;180,"EMPRESA ABERTA MENOS DE 6 MESES ANTES","")))</f>
        <v/>
      </c>
      <c r="Q407" s="31" t="str">
        <f aca="false">IF(D407="","",IFERROR(INDEX(Sancoes!$D:$D,MATCH(D407,Sancoes!$C:$C,0)),"não consta"))</f>
        <v/>
      </c>
      <c r="R407" s="25" t="str">
        <f aca="false">IF(OR(D407="",H407=""),"",IF(SUMPRODUCT((Sancoes!$C$5:$C$304=D407)*(Sancoes!$G$5:$G$304&lt;=H407)*(((Sancoes!$H$5:$H$304="")+(Sancoes!$H$5:$H$304&gt;=H407))&gt;0))&gt;0,"SANÇÃO VIGENTE NA DATA — ler tipo e abrangência",""))</f>
        <v/>
      </c>
      <c r="S407" s="24"/>
      <c r="T407" s="11"/>
    </row>
    <row r="408" customFormat="false" ht="15" hidden="false" customHeight="false" outlineLevel="0" collapsed="false">
      <c r="A408" s="11"/>
      <c r="B408" s="24"/>
      <c r="C408" s="24"/>
      <c r="D408" s="31" t="str">
        <f aca="false">IF(C408="","",IF(LEN(UPPER(SUBSTITUTE(SUBSTITUTE(SUBSTITUTE(SUBSTITUTE(TRIM(C408),".",""),"/",""),"-","")," ","")))&lt;14,RIGHT(REPT("0",14)&amp;UPPER(SUBSTITUTE(SUBSTITUTE(SUBSTITUTE(SUBSTITUTE(TRIM(C408),".",""),"/",""),"-","")," ","")),14),UPPER(SUBSTITUTE(SUBSTITUTE(SUBSTITUTE(SUBSTITUTE(TRIM(C408),".",""),"/",""),"-","")," ",""))))</f>
        <v/>
      </c>
      <c r="E408" s="25" t="str">
        <f aca="false">IF(D408="","",IFERROR(INDEX(Empresas!$C:$C,MATCH(D408,Empresas!$B:$B,0)),"cadastre o CNPJ em Empresas"))</f>
        <v/>
      </c>
      <c r="F408" s="11"/>
      <c r="G408" s="23"/>
      <c r="H408" s="22"/>
      <c r="I408" s="35"/>
      <c r="J408" s="35"/>
      <c r="K408" s="36" t="str">
        <f aca="false">IF(I408="","",I408+J408)</f>
        <v/>
      </c>
      <c r="L408" s="37" t="str">
        <f aca="false">IF(OR(I408="",I408=0,J408=""),"",J408/I408)</f>
        <v/>
      </c>
      <c r="M408" s="25" t="str">
        <f aca="false">IF(L408="","",IF(L408&gt;0.25,"ACRÉSCIMO ACIMA DE 25% — conferir",""))</f>
        <v/>
      </c>
      <c r="N408" s="29" t="str">
        <f aca="false">IF(D408="","",IF(COUNTIFS(Empresas!$B:$B,D408,Empresas!$E:$E,"&lt;&gt;")=0,"",INDEX(Empresas!$E:$E,MATCH(D408,Empresas!$B:$B,0))))</f>
        <v/>
      </c>
      <c r="O408" s="27" t="str">
        <f aca="false">IF(OR(N408="",H408=""),"",H408-N408)</f>
        <v/>
      </c>
      <c r="P408" s="25" t="str">
        <f aca="false">IF(O408="","",IF(O408&lt;0,"CONTRATO ANTERIOR À ABERTURA — conferir datas",IF(O408&lt;180,"EMPRESA ABERTA MENOS DE 6 MESES ANTES","")))</f>
        <v/>
      </c>
      <c r="Q408" s="31" t="str">
        <f aca="false">IF(D408="","",IFERROR(INDEX(Sancoes!$D:$D,MATCH(D408,Sancoes!$C:$C,0)),"não consta"))</f>
        <v/>
      </c>
      <c r="R408" s="25" t="str">
        <f aca="false">IF(OR(D408="",H408=""),"",IF(SUMPRODUCT((Sancoes!$C$5:$C$304=D408)*(Sancoes!$G$5:$G$304&lt;=H408)*(((Sancoes!$H$5:$H$304="")+(Sancoes!$H$5:$H$304&gt;=H408))&gt;0))&gt;0,"SANÇÃO VIGENTE NA DATA — ler tipo e abrangência",""))</f>
        <v/>
      </c>
      <c r="S408" s="24"/>
      <c r="T408" s="11"/>
    </row>
    <row r="409" customFormat="false" ht="15" hidden="false" customHeight="false" outlineLevel="0" collapsed="false">
      <c r="A409" s="11"/>
      <c r="B409" s="24"/>
      <c r="C409" s="24"/>
      <c r="D409" s="31" t="str">
        <f aca="false">IF(C409="","",IF(LEN(UPPER(SUBSTITUTE(SUBSTITUTE(SUBSTITUTE(SUBSTITUTE(TRIM(C409),".",""),"/",""),"-","")," ","")))&lt;14,RIGHT(REPT("0",14)&amp;UPPER(SUBSTITUTE(SUBSTITUTE(SUBSTITUTE(SUBSTITUTE(TRIM(C409),".",""),"/",""),"-","")," ","")),14),UPPER(SUBSTITUTE(SUBSTITUTE(SUBSTITUTE(SUBSTITUTE(TRIM(C409),".",""),"/",""),"-","")," ",""))))</f>
        <v/>
      </c>
      <c r="E409" s="25" t="str">
        <f aca="false">IF(D409="","",IFERROR(INDEX(Empresas!$C:$C,MATCH(D409,Empresas!$B:$B,0)),"cadastre o CNPJ em Empresas"))</f>
        <v/>
      </c>
      <c r="F409" s="11"/>
      <c r="G409" s="23"/>
      <c r="H409" s="22"/>
      <c r="I409" s="35"/>
      <c r="J409" s="35"/>
      <c r="K409" s="36" t="str">
        <f aca="false">IF(I409="","",I409+J409)</f>
        <v/>
      </c>
      <c r="L409" s="37" t="str">
        <f aca="false">IF(OR(I409="",I409=0,J409=""),"",J409/I409)</f>
        <v/>
      </c>
      <c r="M409" s="25" t="str">
        <f aca="false">IF(L409="","",IF(L409&gt;0.25,"ACRÉSCIMO ACIMA DE 25% — conferir",""))</f>
        <v/>
      </c>
      <c r="N409" s="29" t="str">
        <f aca="false">IF(D409="","",IF(COUNTIFS(Empresas!$B:$B,D409,Empresas!$E:$E,"&lt;&gt;")=0,"",INDEX(Empresas!$E:$E,MATCH(D409,Empresas!$B:$B,0))))</f>
        <v/>
      </c>
      <c r="O409" s="27" t="str">
        <f aca="false">IF(OR(N409="",H409=""),"",H409-N409)</f>
        <v/>
      </c>
      <c r="P409" s="25" t="str">
        <f aca="false">IF(O409="","",IF(O409&lt;0,"CONTRATO ANTERIOR À ABERTURA — conferir datas",IF(O409&lt;180,"EMPRESA ABERTA MENOS DE 6 MESES ANTES","")))</f>
        <v/>
      </c>
      <c r="Q409" s="31" t="str">
        <f aca="false">IF(D409="","",IFERROR(INDEX(Sancoes!$D:$D,MATCH(D409,Sancoes!$C:$C,0)),"não consta"))</f>
        <v/>
      </c>
      <c r="R409" s="25" t="str">
        <f aca="false">IF(OR(D409="",H409=""),"",IF(SUMPRODUCT((Sancoes!$C$5:$C$304=D409)*(Sancoes!$G$5:$G$304&lt;=H409)*(((Sancoes!$H$5:$H$304="")+(Sancoes!$H$5:$H$304&gt;=H409))&gt;0))&gt;0,"SANÇÃO VIGENTE NA DATA — ler tipo e abrangência",""))</f>
        <v/>
      </c>
      <c r="S409" s="24"/>
      <c r="T409" s="11"/>
    </row>
    <row r="410" customFormat="false" ht="15" hidden="false" customHeight="false" outlineLevel="0" collapsed="false">
      <c r="A410" s="11"/>
      <c r="B410" s="24"/>
      <c r="C410" s="24"/>
      <c r="D410" s="31" t="str">
        <f aca="false">IF(C410="","",IF(LEN(UPPER(SUBSTITUTE(SUBSTITUTE(SUBSTITUTE(SUBSTITUTE(TRIM(C410),".",""),"/",""),"-","")," ","")))&lt;14,RIGHT(REPT("0",14)&amp;UPPER(SUBSTITUTE(SUBSTITUTE(SUBSTITUTE(SUBSTITUTE(TRIM(C410),".",""),"/",""),"-","")," ","")),14),UPPER(SUBSTITUTE(SUBSTITUTE(SUBSTITUTE(SUBSTITUTE(TRIM(C410),".",""),"/",""),"-","")," ",""))))</f>
        <v/>
      </c>
      <c r="E410" s="25" t="str">
        <f aca="false">IF(D410="","",IFERROR(INDEX(Empresas!$C:$C,MATCH(D410,Empresas!$B:$B,0)),"cadastre o CNPJ em Empresas"))</f>
        <v/>
      </c>
      <c r="F410" s="11"/>
      <c r="G410" s="23"/>
      <c r="H410" s="22"/>
      <c r="I410" s="35"/>
      <c r="J410" s="35"/>
      <c r="K410" s="36" t="str">
        <f aca="false">IF(I410="","",I410+J410)</f>
        <v/>
      </c>
      <c r="L410" s="37" t="str">
        <f aca="false">IF(OR(I410="",I410=0,J410=""),"",J410/I410)</f>
        <v/>
      </c>
      <c r="M410" s="25" t="str">
        <f aca="false">IF(L410="","",IF(L410&gt;0.25,"ACRÉSCIMO ACIMA DE 25% — conferir",""))</f>
        <v/>
      </c>
      <c r="N410" s="29" t="str">
        <f aca="false">IF(D410="","",IF(COUNTIFS(Empresas!$B:$B,D410,Empresas!$E:$E,"&lt;&gt;")=0,"",INDEX(Empresas!$E:$E,MATCH(D410,Empresas!$B:$B,0))))</f>
        <v/>
      </c>
      <c r="O410" s="27" t="str">
        <f aca="false">IF(OR(N410="",H410=""),"",H410-N410)</f>
        <v/>
      </c>
      <c r="P410" s="25" t="str">
        <f aca="false">IF(O410="","",IF(O410&lt;0,"CONTRATO ANTERIOR À ABERTURA — conferir datas",IF(O410&lt;180,"EMPRESA ABERTA MENOS DE 6 MESES ANTES","")))</f>
        <v/>
      </c>
      <c r="Q410" s="31" t="str">
        <f aca="false">IF(D410="","",IFERROR(INDEX(Sancoes!$D:$D,MATCH(D410,Sancoes!$C:$C,0)),"não consta"))</f>
        <v/>
      </c>
      <c r="R410" s="25" t="str">
        <f aca="false">IF(OR(D410="",H410=""),"",IF(SUMPRODUCT((Sancoes!$C$5:$C$304=D410)*(Sancoes!$G$5:$G$304&lt;=H410)*(((Sancoes!$H$5:$H$304="")+(Sancoes!$H$5:$H$304&gt;=H410))&gt;0))&gt;0,"SANÇÃO VIGENTE NA DATA — ler tipo e abrangência",""))</f>
        <v/>
      </c>
      <c r="S410" s="24"/>
      <c r="T410" s="11"/>
    </row>
    <row r="411" customFormat="false" ht="15" hidden="false" customHeight="false" outlineLevel="0" collapsed="false">
      <c r="A411" s="11"/>
      <c r="B411" s="24"/>
      <c r="C411" s="24"/>
      <c r="D411" s="31" t="str">
        <f aca="false">IF(C411="","",IF(LEN(UPPER(SUBSTITUTE(SUBSTITUTE(SUBSTITUTE(SUBSTITUTE(TRIM(C411),".",""),"/",""),"-","")," ","")))&lt;14,RIGHT(REPT("0",14)&amp;UPPER(SUBSTITUTE(SUBSTITUTE(SUBSTITUTE(SUBSTITUTE(TRIM(C411),".",""),"/",""),"-","")," ","")),14),UPPER(SUBSTITUTE(SUBSTITUTE(SUBSTITUTE(SUBSTITUTE(TRIM(C411),".",""),"/",""),"-","")," ",""))))</f>
        <v/>
      </c>
      <c r="E411" s="25" t="str">
        <f aca="false">IF(D411="","",IFERROR(INDEX(Empresas!$C:$C,MATCH(D411,Empresas!$B:$B,0)),"cadastre o CNPJ em Empresas"))</f>
        <v/>
      </c>
      <c r="F411" s="11"/>
      <c r="G411" s="23"/>
      <c r="H411" s="22"/>
      <c r="I411" s="35"/>
      <c r="J411" s="35"/>
      <c r="K411" s="36" t="str">
        <f aca="false">IF(I411="","",I411+J411)</f>
        <v/>
      </c>
      <c r="L411" s="37" t="str">
        <f aca="false">IF(OR(I411="",I411=0,J411=""),"",J411/I411)</f>
        <v/>
      </c>
      <c r="M411" s="25" t="str">
        <f aca="false">IF(L411="","",IF(L411&gt;0.25,"ACRÉSCIMO ACIMA DE 25% — conferir",""))</f>
        <v/>
      </c>
      <c r="N411" s="29" t="str">
        <f aca="false">IF(D411="","",IF(COUNTIFS(Empresas!$B:$B,D411,Empresas!$E:$E,"&lt;&gt;")=0,"",INDEX(Empresas!$E:$E,MATCH(D411,Empresas!$B:$B,0))))</f>
        <v/>
      </c>
      <c r="O411" s="27" t="str">
        <f aca="false">IF(OR(N411="",H411=""),"",H411-N411)</f>
        <v/>
      </c>
      <c r="P411" s="25" t="str">
        <f aca="false">IF(O411="","",IF(O411&lt;0,"CONTRATO ANTERIOR À ABERTURA — conferir datas",IF(O411&lt;180,"EMPRESA ABERTA MENOS DE 6 MESES ANTES","")))</f>
        <v/>
      </c>
      <c r="Q411" s="31" t="str">
        <f aca="false">IF(D411="","",IFERROR(INDEX(Sancoes!$D:$D,MATCH(D411,Sancoes!$C:$C,0)),"não consta"))</f>
        <v/>
      </c>
      <c r="R411" s="25" t="str">
        <f aca="false">IF(OR(D411="",H411=""),"",IF(SUMPRODUCT((Sancoes!$C$5:$C$304=D411)*(Sancoes!$G$5:$G$304&lt;=H411)*(((Sancoes!$H$5:$H$304="")+(Sancoes!$H$5:$H$304&gt;=H411))&gt;0))&gt;0,"SANÇÃO VIGENTE NA DATA — ler tipo e abrangência",""))</f>
        <v/>
      </c>
      <c r="S411" s="24"/>
      <c r="T411" s="11"/>
    </row>
    <row r="412" customFormat="false" ht="15" hidden="false" customHeight="false" outlineLevel="0" collapsed="false">
      <c r="A412" s="11"/>
      <c r="B412" s="24"/>
      <c r="C412" s="24"/>
      <c r="D412" s="31" t="str">
        <f aca="false">IF(C412="","",IF(LEN(UPPER(SUBSTITUTE(SUBSTITUTE(SUBSTITUTE(SUBSTITUTE(TRIM(C412),".",""),"/",""),"-","")," ","")))&lt;14,RIGHT(REPT("0",14)&amp;UPPER(SUBSTITUTE(SUBSTITUTE(SUBSTITUTE(SUBSTITUTE(TRIM(C412),".",""),"/",""),"-","")," ","")),14),UPPER(SUBSTITUTE(SUBSTITUTE(SUBSTITUTE(SUBSTITUTE(TRIM(C412),".",""),"/",""),"-","")," ",""))))</f>
        <v/>
      </c>
      <c r="E412" s="25" t="str">
        <f aca="false">IF(D412="","",IFERROR(INDEX(Empresas!$C:$C,MATCH(D412,Empresas!$B:$B,0)),"cadastre o CNPJ em Empresas"))</f>
        <v/>
      </c>
      <c r="F412" s="11"/>
      <c r="G412" s="23"/>
      <c r="H412" s="22"/>
      <c r="I412" s="35"/>
      <c r="J412" s="35"/>
      <c r="K412" s="36" t="str">
        <f aca="false">IF(I412="","",I412+J412)</f>
        <v/>
      </c>
      <c r="L412" s="37" t="str">
        <f aca="false">IF(OR(I412="",I412=0,J412=""),"",J412/I412)</f>
        <v/>
      </c>
      <c r="M412" s="25" t="str">
        <f aca="false">IF(L412="","",IF(L412&gt;0.25,"ACRÉSCIMO ACIMA DE 25% — conferir",""))</f>
        <v/>
      </c>
      <c r="N412" s="29" t="str">
        <f aca="false">IF(D412="","",IF(COUNTIFS(Empresas!$B:$B,D412,Empresas!$E:$E,"&lt;&gt;")=0,"",INDEX(Empresas!$E:$E,MATCH(D412,Empresas!$B:$B,0))))</f>
        <v/>
      </c>
      <c r="O412" s="27" t="str">
        <f aca="false">IF(OR(N412="",H412=""),"",H412-N412)</f>
        <v/>
      </c>
      <c r="P412" s="25" t="str">
        <f aca="false">IF(O412="","",IF(O412&lt;0,"CONTRATO ANTERIOR À ABERTURA — conferir datas",IF(O412&lt;180,"EMPRESA ABERTA MENOS DE 6 MESES ANTES","")))</f>
        <v/>
      </c>
      <c r="Q412" s="31" t="str">
        <f aca="false">IF(D412="","",IFERROR(INDEX(Sancoes!$D:$D,MATCH(D412,Sancoes!$C:$C,0)),"não consta"))</f>
        <v/>
      </c>
      <c r="R412" s="25" t="str">
        <f aca="false">IF(OR(D412="",H412=""),"",IF(SUMPRODUCT((Sancoes!$C$5:$C$304=D412)*(Sancoes!$G$5:$G$304&lt;=H412)*(((Sancoes!$H$5:$H$304="")+(Sancoes!$H$5:$H$304&gt;=H412))&gt;0))&gt;0,"SANÇÃO VIGENTE NA DATA — ler tipo e abrangência",""))</f>
        <v/>
      </c>
      <c r="S412" s="24"/>
      <c r="T412" s="11"/>
    </row>
    <row r="413" customFormat="false" ht="15" hidden="false" customHeight="false" outlineLevel="0" collapsed="false">
      <c r="A413" s="11"/>
      <c r="B413" s="24"/>
      <c r="C413" s="24"/>
      <c r="D413" s="31" t="str">
        <f aca="false">IF(C413="","",IF(LEN(UPPER(SUBSTITUTE(SUBSTITUTE(SUBSTITUTE(SUBSTITUTE(TRIM(C413),".",""),"/",""),"-","")," ","")))&lt;14,RIGHT(REPT("0",14)&amp;UPPER(SUBSTITUTE(SUBSTITUTE(SUBSTITUTE(SUBSTITUTE(TRIM(C413),".",""),"/",""),"-","")," ","")),14),UPPER(SUBSTITUTE(SUBSTITUTE(SUBSTITUTE(SUBSTITUTE(TRIM(C413),".",""),"/",""),"-","")," ",""))))</f>
        <v/>
      </c>
      <c r="E413" s="25" t="str">
        <f aca="false">IF(D413="","",IFERROR(INDEX(Empresas!$C:$C,MATCH(D413,Empresas!$B:$B,0)),"cadastre o CNPJ em Empresas"))</f>
        <v/>
      </c>
      <c r="F413" s="11"/>
      <c r="G413" s="23"/>
      <c r="H413" s="22"/>
      <c r="I413" s="35"/>
      <c r="J413" s="35"/>
      <c r="K413" s="36" t="str">
        <f aca="false">IF(I413="","",I413+J413)</f>
        <v/>
      </c>
      <c r="L413" s="37" t="str">
        <f aca="false">IF(OR(I413="",I413=0,J413=""),"",J413/I413)</f>
        <v/>
      </c>
      <c r="M413" s="25" t="str">
        <f aca="false">IF(L413="","",IF(L413&gt;0.25,"ACRÉSCIMO ACIMA DE 25% — conferir",""))</f>
        <v/>
      </c>
      <c r="N413" s="29" t="str">
        <f aca="false">IF(D413="","",IF(COUNTIFS(Empresas!$B:$B,D413,Empresas!$E:$E,"&lt;&gt;")=0,"",INDEX(Empresas!$E:$E,MATCH(D413,Empresas!$B:$B,0))))</f>
        <v/>
      </c>
      <c r="O413" s="27" t="str">
        <f aca="false">IF(OR(N413="",H413=""),"",H413-N413)</f>
        <v/>
      </c>
      <c r="P413" s="25" t="str">
        <f aca="false">IF(O413="","",IF(O413&lt;0,"CONTRATO ANTERIOR À ABERTURA — conferir datas",IF(O413&lt;180,"EMPRESA ABERTA MENOS DE 6 MESES ANTES","")))</f>
        <v/>
      </c>
      <c r="Q413" s="31" t="str">
        <f aca="false">IF(D413="","",IFERROR(INDEX(Sancoes!$D:$D,MATCH(D413,Sancoes!$C:$C,0)),"não consta"))</f>
        <v/>
      </c>
      <c r="R413" s="25" t="str">
        <f aca="false">IF(OR(D413="",H413=""),"",IF(SUMPRODUCT((Sancoes!$C$5:$C$304=D413)*(Sancoes!$G$5:$G$304&lt;=H413)*(((Sancoes!$H$5:$H$304="")+(Sancoes!$H$5:$H$304&gt;=H413))&gt;0))&gt;0,"SANÇÃO VIGENTE NA DATA — ler tipo e abrangência",""))</f>
        <v/>
      </c>
      <c r="S413" s="24"/>
      <c r="T413" s="11"/>
    </row>
    <row r="414" customFormat="false" ht="15" hidden="false" customHeight="false" outlineLevel="0" collapsed="false">
      <c r="A414" s="11"/>
      <c r="B414" s="24"/>
      <c r="C414" s="24"/>
      <c r="D414" s="31" t="str">
        <f aca="false">IF(C414="","",IF(LEN(UPPER(SUBSTITUTE(SUBSTITUTE(SUBSTITUTE(SUBSTITUTE(TRIM(C414),".",""),"/",""),"-","")," ","")))&lt;14,RIGHT(REPT("0",14)&amp;UPPER(SUBSTITUTE(SUBSTITUTE(SUBSTITUTE(SUBSTITUTE(TRIM(C414),".",""),"/",""),"-","")," ","")),14),UPPER(SUBSTITUTE(SUBSTITUTE(SUBSTITUTE(SUBSTITUTE(TRIM(C414),".",""),"/",""),"-","")," ",""))))</f>
        <v/>
      </c>
      <c r="E414" s="25" t="str">
        <f aca="false">IF(D414="","",IFERROR(INDEX(Empresas!$C:$C,MATCH(D414,Empresas!$B:$B,0)),"cadastre o CNPJ em Empresas"))</f>
        <v/>
      </c>
      <c r="F414" s="11"/>
      <c r="G414" s="23"/>
      <c r="H414" s="22"/>
      <c r="I414" s="35"/>
      <c r="J414" s="35"/>
      <c r="K414" s="36" t="str">
        <f aca="false">IF(I414="","",I414+J414)</f>
        <v/>
      </c>
      <c r="L414" s="37" t="str">
        <f aca="false">IF(OR(I414="",I414=0,J414=""),"",J414/I414)</f>
        <v/>
      </c>
      <c r="M414" s="25" t="str">
        <f aca="false">IF(L414="","",IF(L414&gt;0.25,"ACRÉSCIMO ACIMA DE 25% — conferir",""))</f>
        <v/>
      </c>
      <c r="N414" s="29" t="str">
        <f aca="false">IF(D414="","",IF(COUNTIFS(Empresas!$B:$B,D414,Empresas!$E:$E,"&lt;&gt;")=0,"",INDEX(Empresas!$E:$E,MATCH(D414,Empresas!$B:$B,0))))</f>
        <v/>
      </c>
      <c r="O414" s="27" t="str">
        <f aca="false">IF(OR(N414="",H414=""),"",H414-N414)</f>
        <v/>
      </c>
      <c r="P414" s="25" t="str">
        <f aca="false">IF(O414="","",IF(O414&lt;0,"CONTRATO ANTERIOR À ABERTURA — conferir datas",IF(O414&lt;180,"EMPRESA ABERTA MENOS DE 6 MESES ANTES","")))</f>
        <v/>
      </c>
      <c r="Q414" s="31" t="str">
        <f aca="false">IF(D414="","",IFERROR(INDEX(Sancoes!$D:$D,MATCH(D414,Sancoes!$C:$C,0)),"não consta"))</f>
        <v/>
      </c>
      <c r="R414" s="25" t="str">
        <f aca="false">IF(OR(D414="",H414=""),"",IF(SUMPRODUCT((Sancoes!$C$5:$C$304=D414)*(Sancoes!$G$5:$G$304&lt;=H414)*(((Sancoes!$H$5:$H$304="")+(Sancoes!$H$5:$H$304&gt;=H414))&gt;0))&gt;0,"SANÇÃO VIGENTE NA DATA — ler tipo e abrangência",""))</f>
        <v/>
      </c>
      <c r="S414" s="24"/>
      <c r="T414" s="11"/>
    </row>
    <row r="415" customFormat="false" ht="15" hidden="false" customHeight="false" outlineLevel="0" collapsed="false">
      <c r="A415" s="11"/>
      <c r="B415" s="24"/>
      <c r="C415" s="24"/>
      <c r="D415" s="31" t="str">
        <f aca="false">IF(C415="","",IF(LEN(UPPER(SUBSTITUTE(SUBSTITUTE(SUBSTITUTE(SUBSTITUTE(TRIM(C415),".",""),"/",""),"-","")," ","")))&lt;14,RIGHT(REPT("0",14)&amp;UPPER(SUBSTITUTE(SUBSTITUTE(SUBSTITUTE(SUBSTITUTE(TRIM(C415),".",""),"/",""),"-","")," ","")),14),UPPER(SUBSTITUTE(SUBSTITUTE(SUBSTITUTE(SUBSTITUTE(TRIM(C415),".",""),"/",""),"-","")," ",""))))</f>
        <v/>
      </c>
      <c r="E415" s="25" t="str">
        <f aca="false">IF(D415="","",IFERROR(INDEX(Empresas!$C:$C,MATCH(D415,Empresas!$B:$B,0)),"cadastre o CNPJ em Empresas"))</f>
        <v/>
      </c>
      <c r="F415" s="11"/>
      <c r="G415" s="23"/>
      <c r="H415" s="22"/>
      <c r="I415" s="35"/>
      <c r="J415" s="35"/>
      <c r="K415" s="36" t="str">
        <f aca="false">IF(I415="","",I415+J415)</f>
        <v/>
      </c>
      <c r="L415" s="37" t="str">
        <f aca="false">IF(OR(I415="",I415=0,J415=""),"",J415/I415)</f>
        <v/>
      </c>
      <c r="M415" s="25" t="str">
        <f aca="false">IF(L415="","",IF(L415&gt;0.25,"ACRÉSCIMO ACIMA DE 25% — conferir",""))</f>
        <v/>
      </c>
      <c r="N415" s="29" t="str">
        <f aca="false">IF(D415="","",IF(COUNTIFS(Empresas!$B:$B,D415,Empresas!$E:$E,"&lt;&gt;")=0,"",INDEX(Empresas!$E:$E,MATCH(D415,Empresas!$B:$B,0))))</f>
        <v/>
      </c>
      <c r="O415" s="27" t="str">
        <f aca="false">IF(OR(N415="",H415=""),"",H415-N415)</f>
        <v/>
      </c>
      <c r="P415" s="25" t="str">
        <f aca="false">IF(O415="","",IF(O415&lt;0,"CONTRATO ANTERIOR À ABERTURA — conferir datas",IF(O415&lt;180,"EMPRESA ABERTA MENOS DE 6 MESES ANTES","")))</f>
        <v/>
      </c>
      <c r="Q415" s="31" t="str">
        <f aca="false">IF(D415="","",IFERROR(INDEX(Sancoes!$D:$D,MATCH(D415,Sancoes!$C:$C,0)),"não consta"))</f>
        <v/>
      </c>
      <c r="R415" s="25" t="str">
        <f aca="false">IF(OR(D415="",H415=""),"",IF(SUMPRODUCT((Sancoes!$C$5:$C$304=D415)*(Sancoes!$G$5:$G$304&lt;=H415)*(((Sancoes!$H$5:$H$304="")+(Sancoes!$H$5:$H$304&gt;=H415))&gt;0))&gt;0,"SANÇÃO VIGENTE NA DATA — ler tipo e abrangência",""))</f>
        <v/>
      </c>
      <c r="S415" s="24"/>
      <c r="T415" s="11"/>
    </row>
    <row r="416" customFormat="false" ht="15" hidden="false" customHeight="false" outlineLevel="0" collapsed="false">
      <c r="A416" s="11"/>
      <c r="B416" s="24"/>
      <c r="C416" s="24"/>
      <c r="D416" s="31" t="str">
        <f aca="false">IF(C416="","",IF(LEN(UPPER(SUBSTITUTE(SUBSTITUTE(SUBSTITUTE(SUBSTITUTE(TRIM(C416),".",""),"/",""),"-","")," ","")))&lt;14,RIGHT(REPT("0",14)&amp;UPPER(SUBSTITUTE(SUBSTITUTE(SUBSTITUTE(SUBSTITUTE(TRIM(C416),".",""),"/",""),"-","")," ","")),14),UPPER(SUBSTITUTE(SUBSTITUTE(SUBSTITUTE(SUBSTITUTE(TRIM(C416),".",""),"/",""),"-","")," ",""))))</f>
        <v/>
      </c>
      <c r="E416" s="25" t="str">
        <f aca="false">IF(D416="","",IFERROR(INDEX(Empresas!$C:$C,MATCH(D416,Empresas!$B:$B,0)),"cadastre o CNPJ em Empresas"))</f>
        <v/>
      </c>
      <c r="F416" s="11"/>
      <c r="G416" s="23"/>
      <c r="H416" s="22"/>
      <c r="I416" s="35"/>
      <c r="J416" s="35"/>
      <c r="K416" s="36" t="str">
        <f aca="false">IF(I416="","",I416+J416)</f>
        <v/>
      </c>
      <c r="L416" s="37" t="str">
        <f aca="false">IF(OR(I416="",I416=0,J416=""),"",J416/I416)</f>
        <v/>
      </c>
      <c r="M416" s="25" t="str">
        <f aca="false">IF(L416="","",IF(L416&gt;0.25,"ACRÉSCIMO ACIMA DE 25% — conferir",""))</f>
        <v/>
      </c>
      <c r="N416" s="29" t="str">
        <f aca="false">IF(D416="","",IF(COUNTIFS(Empresas!$B:$B,D416,Empresas!$E:$E,"&lt;&gt;")=0,"",INDEX(Empresas!$E:$E,MATCH(D416,Empresas!$B:$B,0))))</f>
        <v/>
      </c>
      <c r="O416" s="27" t="str">
        <f aca="false">IF(OR(N416="",H416=""),"",H416-N416)</f>
        <v/>
      </c>
      <c r="P416" s="25" t="str">
        <f aca="false">IF(O416="","",IF(O416&lt;0,"CONTRATO ANTERIOR À ABERTURA — conferir datas",IF(O416&lt;180,"EMPRESA ABERTA MENOS DE 6 MESES ANTES","")))</f>
        <v/>
      </c>
      <c r="Q416" s="31" t="str">
        <f aca="false">IF(D416="","",IFERROR(INDEX(Sancoes!$D:$D,MATCH(D416,Sancoes!$C:$C,0)),"não consta"))</f>
        <v/>
      </c>
      <c r="R416" s="25" t="str">
        <f aca="false">IF(OR(D416="",H416=""),"",IF(SUMPRODUCT((Sancoes!$C$5:$C$304=D416)*(Sancoes!$G$5:$G$304&lt;=H416)*(((Sancoes!$H$5:$H$304="")+(Sancoes!$H$5:$H$304&gt;=H416))&gt;0))&gt;0,"SANÇÃO VIGENTE NA DATA — ler tipo e abrangência",""))</f>
        <v/>
      </c>
      <c r="S416" s="24"/>
      <c r="T416" s="11"/>
    </row>
    <row r="417" customFormat="false" ht="15" hidden="false" customHeight="false" outlineLevel="0" collapsed="false">
      <c r="A417" s="11"/>
      <c r="B417" s="24"/>
      <c r="C417" s="24"/>
      <c r="D417" s="31" t="str">
        <f aca="false">IF(C417="","",IF(LEN(UPPER(SUBSTITUTE(SUBSTITUTE(SUBSTITUTE(SUBSTITUTE(TRIM(C417),".",""),"/",""),"-","")," ","")))&lt;14,RIGHT(REPT("0",14)&amp;UPPER(SUBSTITUTE(SUBSTITUTE(SUBSTITUTE(SUBSTITUTE(TRIM(C417),".",""),"/",""),"-","")," ","")),14),UPPER(SUBSTITUTE(SUBSTITUTE(SUBSTITUTE(SUBSTITUTE(TRIM(C417),".",""),"/",""),"-","")," ",""))))</f>
        <v/>
      </c>
      <c r="E417" s="25" t="str">
        <f aca="false">IF(D417="","",IFERROR(INDEX(Empresas!$C:$C,MATCH(D417,Empresas!$B:$B,0)),"cadastre o CNPJ em Empresas"))</f>
        <v/>
      </c>
      <c r="F417" s="11"/>
      <c r="G417" s="23"/>
      <c r="H417" s="22"/>
      <c r="I417" s="35"/>
      <c r="J417" s="35"/>
      <c r="K417" s="36" t="str">
        <f aca="false">IF(I417="","",I417+J417)</f>
        <v/>
      </c>
      <c r="L417" s="37" t="str">
        <f aca="false">IF(OR(I417="",I417=0,J417=""),"",J417/I417)</f>
        <v/>
      </c>
      <c r="M417" s="25" t="str">
        <f aca="false">IF(L417="","",IF(L417&gt;0.25,"ACRÉSCIMO ACIMA DE 25% — conferir",""))</f>
        <v/>
      </c>
      <c r="N417" s="29" t="str">
        <f aca="false">IF(D417="","",IF(COUNTIFS(Empresas!$B:$B,D417,Empresas!$E:$E,"&lt;&gt;")=0,"",INDEX(Empresas!$E:$E,MATCH(D417,Empresas!$B:$B,0))))</f>
        <v/>
      </c>
      <c r="O417" s="27" t="str">
        <f aca="false">IF(OR(N417="",H417=""),"",H417-N417)</f>
        <v/>
      </c>
      <c r="P417" s="25" t="str">
        <f aca="false">IF(O417="","",IF(O417&lt;0,"CONTRATO ANTERIOR À ABERTURA — conferir datas",IF(O417&lt;180,"EMPRESA ABERTA MENOS DE 6 MESES ANTES","")))</f>
        <v/>
      </c>
      <c r="Q417" s="31" t="str">
        <f aca="false">IF(D417="","",IFERROR(INDEX(Sancoes!$D:$D,MATCH(D417,Sancoes!$C:$C,0)),"não consta"))</f>
        <v/>
      </c>
      <c r="R417" s="25" t="str">
        <f aca="false">IF(OR(D417="",H417=""),"",IF(SUMPRODUCT((Sancoes!$C$5:$C$304=D417)*(Sancoes!$G$5:$G$304&lt;=H417)*(((Sancoes!$H$5:$H$304="")+(Sancoes!$H$5:$H$304&gt;=H417))&gt;0))&gt;0,"SANÇÃO VIGENTE NA DATA — ler tipo e abrangência",""))</f>
        <v/>
      </c>
      <c r="S417" s="24"/>
      <c r="T417" s="11"/>
    </row>
    <row r="418" customFormat="false" ht="15" hidden="false" customHeight="false" outlineLevel="0" collapsed="false">
      <c r="A418" s="11"/>
      <c r="B418" s="24"/>
      <c r="C418" s="24"/>
      <c r="D418" s="31" t="str">
        <f aca="false">IF(C418="","",IF(LEN(UPPER(SUBSTITUTE(SUBSTITUTE(SUBSTITUTE(SUBSTITUTE(TRIM(C418),".",""),"/",""),"-","")," ","")))&lt;14,RIGHT(REPT("0",14)&amp;UPPER(SUBSTITUTE(SUBSTITUTE(SUBSTITUTE(SUBSTITUTE(TRIM(C418),".",""),"/",""),"-","")," ","")),14),UPPER(SUBSTITUTE(SUBSTITUTE(SUBSTITUTE(SUBSTITUTE(TRIM(C418),".",""),"/",""),"-","")," ",""))))</f>
        <v/>
      </c>
      <c r="E418" s="25" t="str">
        <f aca="false">IF(D418="","",IFERROR(INDEX(Empresas!$C:$C,MATCH(D418,Empresas!$B:$B,0)),"cadastre o CNPJ em Empresas"))</f>
        <v/>
      </c>
      <c r="F418" s="11"/>
      <c r="G418" s="23"/>
      <c r="H418" s="22"/>
      <c r="I418" s="35"/>
      <c r="J418" s="35"/>
      <c r="K418" s="36" t="str">
        <f aca="false">IF(I418="","",I418+J418)</f>
        <v/>
      </c>
      <c r="L418" s="37" t="str">
        <f aca="false">IF(OR(I418="",I418=0,J418=""),"",J418/I418)</f>
        <v/>
      </c>
      <c r="M418" s="25" t="str">
        <f aca="false">IF(L418="","",IF(L418&gt;0.25,"ACRÉSCIMO ACIMA DE 25% — conferir",""))</f>
        <v/>
      </c>
      <c r="N418" s="29" t="str">
        <f aca="false">IF(D418="","",IF(COUNTIFS(Empresas!$B:$B,D418,Empresas!$E:$E,"&lt;&gt;")=0,"",INDEX(Empresas!$E:$E,MATCH(D418,Empresas!$B:$B,0))))</f>
        <v/>
      </c>
      <c r="O418" s="27" t="str">
        <f aca="false">IF(OR(N418="",H418=""),"",H418-N418)</f>
        <v/>
      </c>
      <c r="P418" s="25" t="str">
        <f aca="false">IF(O418="","",IF(O418&lt;0,"CONTRATO ANTERIOR À ABERTURA — conferir datas",IF(O418&lt;180,"EMPRESA ABERTA MENOS DE 6 MESES ANTES","")))</f>
        <v/>
      </c>
      <c r="Q418" s="31" t="str">
        <f aca="false">IF(D418="","",IFERROR(INDEX(Sancoes!$D:$D,MATCH(D418,Sancoes!$C:$C,0)),"não consta"))</f>
        <v/>
      </c>
      <c r="R418" s="25" t="str">
        <f aca="false">IF(OR(D418="",H418=""),"",IF(SUMPRODUCT((Sancoes!$C$5:$C$304=D418)*(Sancoes!$G$5:$G$304&lt;=H418)*(((Sancoes!$H$5:$H$304="")+(Sancoes!$H$5:$H$304&gt;=H418))&gt;0))&gt;0,"SANÇÃO VIGENTE NA DATA — ler tipo e abrangência",""))</f>
        <v/>
      </c>
      <c r="S418" s="24"/>
      <c r="T418" s="11"/>
    </row>
    <row r="419" customFormat="false" ht="15" hidden="false" customHeight="false" outlineLevel="0" collapsed="false">
      <c r="A419" s="11"/>
      <c r="B419" s="24"/>
      <c r="C419" s="24"/>
      <c r="D419" s="31" t="str">
        <f aca="false">IF(C419="","",IF(LEN(UPPER(SUBSTITUTE(SUBSTITUTE(SUBSTITUTE(SUBSTITUTE(TRIM(C419),".",""),"/",""),"-","")," ","")))&lt;14,RIGHT(REPT("0",14)&amp;UPPER(SUBSTITUTE(SUBSTITUTE(SUBSTITUTE(SUBSTITUTE(TRIM(C419),".",""),"/",""),"-","")," ","")),14),UPPER(SUBSTITUTE(SUBSTITUTE(SUBSTITUTE(SUBSTITUTE(TRIM(C419),".",""),"/",""),"-","")," ",""))))</f>
        <v/>
      </c>
      <c r="E419" s="25" t="str">
        <f aca="false">IF(D419="","",IFERROR(INDEX(Empresas!$C:$C,MATCH(D419,Empresas!$B:$B,0)),"cadastre o CNPJ em Empresas"))</f>
        <v/>
      </c>
      <c r="F419" s="11"/>
      <c r="G419" s="23"/>
      <c r="H419" s="22"/>
      <c r="I419" s="35"/>
      <c r="J419" s="35"/>
      <c r="K419" s="36" t="str">
        <f aca="false">IF(I419="","",I419+J419)</f>
        <v/>
      </c>
      <c r="L419" s="37" t="str">
        <f aca="false">IF(OR(I419="",I419=0,J419=""),"",J419/I419)</f>
        <v/>
      </c>
      <c r="M419" s="25" t="str">
        <f aca="false">IF(L419="","",IF(L419&gt;0.25,"ACRÉSCIMO ACIMA DE 25% — conferir",""))</f>
        <v/>
      </c>
      <c r="N419" s="29" t="str">
        <f aca="false">IF(D419="","",IF(COUNTIFS(Empresas!$B:$B,D419,Empresas!$E:$E,"&lt;&gt;")=0,"",INDEX(Empresas!$E:$E,MATCH(D419,Empresas!$B:$B,0))))</f>
        <v/>
      </c>
      <c r="O419" s="27" t="str">
        <f aca="false">IF(OR(N419="",H419=""),"",H419-N419)</f>
        <v/>
      </c>
      <c r="P419" s="25" t="str">
        <f aca="false">IF(O419="","",IF(O419&lt;0,"CONTRATO ANTERIOR À ABERTURA — conferir datas",IF(O419&lt;180,"EMPRESA ABERTA MENOS DE 6 MESES ANTES","")))</f>
        <v/>
      </c>
      <c r="Q419" s="31" t="str">
        <f aca="false">IF(D419="","",IFERROR(INDEX(Sancoes!$D:$D,MATCH(D419,Sancoes!$C:$C,0)),"não consta"))</f>
        <v/>
      </c>
      <c r="R419" s="25" t="str">
        <f aca="false">IF(OR(D419="",H419=""),"",IF(SUMPRODUCT((Sancoes!$C$5:$C$304=D419)*(Sancoes!$G$5:$G$304&lt;=H419)*(((Sancoes!$H$5:$H$304="")+(Sancoes!$H$5:$H$304&gt;=H419))&gt;0))&gt;0,"SANÇÃO VIGENTE NA DATA — ler tipo e abrangência",""))</f>
        <v/>
      </c>
      <c r="S419" s="24"/>
      <c r="T419" s="11"/>
    </row>
    <row r="420" customFormat="false" ht="15" hidden="false" customHeight="false" outlineLevel="0" collapsed="false">
      <c r="A420" s="11"/>
      <c r="B420" s="24"/>
      <c r="C420" s="24"/>
      <c r="D420" s="31" t="str">
        <f aca="false">IF(C420="","",IF(LEN(UPPER(SUBSTITUTE(SUBSTITUTE(SUBSTITUTE(SUBSTITUTE(TRIM(C420),".",""),"/",""),"-","")," ","")))&lt;14,RIGHT(REPT("0",14)&amp;UPPER(SUBSTITUTE(SUBSTITUTE(SUBSTITUTE(SUBSTITUTE(TRIM(C420),".",""),"/",""),"-","")," ","")),14),UPPER(SUBSTITUTE(SUBSTITUTE(SUBSTITUTE(SUBSTITUTE(TRIM(C420),".",""),"/",""),"-","")," ",""))))</f>
        <v/>
      </c>
      <c r="E420" s="25" t="str">
        <f aca="false">IF(D420="","",IFERROR(INDEX(Empresas!$C:$C,MATCH(D420,Empresas!$B:$B,0)),"cadastre o CNPJ em Empresas"))</f>
        <v/>
      </c>
      <c r="F420" s="11"/>
      <c r="G420" s="23"/>
      <c r="H420" s="22"/>
      <c r="I420" s="35"/>
      <c r="J420" s="35"/>
      <c r="K420" s="36" t="str">
        <f aca="false">IF(I420="","",I420+J420)</f>
        <v/>
      </c>
      <c r="L420" s="37" t="str">
        <f aca="false">IF(OR(I420="",I420=0,J420=""),"",J420/I420)</f>
        <v/>
      </c>
      <c r="M420" s="25" t="str">
        <f aca="false">IF(L420="","",IF(L420&gt;0.25,"ACRÉSCIMO ACIMA DE 25% — conferir",""))</f>
        <v/>
      </c>
      <c r="N420" s="29" t="str">
        <f aca="false">IF(D420="","",IF(COUNTIFS(Empresas!$B:$B,D420,Empresas!$E:$E,"&lt;&gt;")=0,"",INDEX(Empresas!$E:$E,MATCH(D420,Empresas!$B:$B,0))))</f>
        <v/>
      </c>
      <c r="O420" s="27" t="str">
        <f aca="false">IF(OR(N420="",H420=""),"",H420-N420)</f>
        <v/>
      </c>
      <c r="P420" s="25" t="str">
        <f aca="false">IF(O420="","",IF(O420&lt;0,"CONTRATO ANTERIOR À ABERTURA — conferir datas",IF(O420&lt;180,"EMPRESA ABERTA MENOS DE 6 MESES ANTES","")))</f>
        <v/>
      </c>
      <c r="Q420" s="31" t="str">
        <f aca="false">IF(D420="","",IFERROR(INDEX(Sancoes!$D:$D,MATCH(D420,Sancoes!$C:$C,0)),"não consta"))</f>
        <v/>
      </c>
      <c r="R420" s="25" t="str">
        <f aca="false">IF(OR(D420="",H420=""),"",IF(SUMPRODUCT((Sancoes!$C$5:$C$304=D420)*(Sancoes!$G$5:$G$304&lt;=H420)*(((Sancoes!$H$5:$H$304="")+(Sancoes!$H$5:$H$304&gt;=H420))&gt;0))&gt;0,"SANÇÃO VIGENTE NA DATA — ler tipo e abrangência",""))</f>
        <v/>
      </c>
      <c r="S420" s="24"/>
      <c r="T420" s="11"/>
    </row>
    <row r="421" customFormat="false" ht="15" hidden="false" customHeight="false" outlineLevel="0" collapsed="false">
      <c r="A421" s="11"/>
      <c r="B421" s="24"/>
      <c r="C421" s="24"/>
      <c r="D421" s="31" t="str">
        <f aca="false">IF(C421="","",IF(LEN(UPPER(SUBSTITUTE(SUBSTITUTE(SUBSTITUTE(SUBSTITUTE(TRIM(C421),".",""),"/",""),"-","")," ","")))&lt;14,RIGHT(REPT("0",14)&amp;UPPER(SUBSTITUTE(SUBSTITUTE(SUBSTITUTE(SUBSTITUTE(TRIM(C421),".",""),"/",""),"-","")," ","")),14),UPPER(SUBSTITUTE(SUBSTITUTE(SUBSTITUTE(SUBSTITUTE(TRIM(C421),".",""),"/",""),"-","")," ",""))))</f>
        <v/>
      </c>
      <c r="E421" s="25" t="str">
        <f aca="false">IF(D421="","",IFERROR(INDEX(Empresas!$C:$C,MATCH(D421,Empresas!$B:$B,0)),"cadastre o CNPJ em Empresas"))</f>
        <v/>
      </c>
      <c r="F421" s="11"/>
      <c r="G421" s="23"/>
      <c r="H421" s="22"/>
      <c r="I421" s="35"/>
      <c r="J421" s="35"/>
      <c r="K421" s="36" t="str">
        <f aca="false">IF(I421="","",I421+J421)</f>
        <v/>
      </c>
      <c r="L421" s="37" t="str">
        <f aca="false">IF(OR(I421="",I421=0,J421=""),"",J421/I421)</f>
        <v/>
      </c>
      <c r="M421" s="25" t="str">
        <f aca="false">IF(L421="","",IF(L421&gt;0.25,"ACRÉSCIMO ACIMA DE 25% — conferir",""))</f>
        <v/>
      </c>
      <c r="N421" s="29" t="str">
        <f aca="false">IF(D421="","",IF(COUNTIFS(Empresas!$B:$B,D421,Empresas!$E:$E,"&lt;&gt;")=0,"",INDEX(Empresas!$E:$E,MATCH(D421,Empresas!$B:$B,0))))</f>
        <v/>
      </c>
      <c r="O421" s="27" t="str">
        <f aca="false">IF(OR(N421="",H421=""),"",H421-N421)</f>
        <v/>
      </c>
      <c r="P421" s="25" t="str">
        <f aca="false">IF(O421="","",IF(O421&lt;0,"CONTRATO ANTERIOR À ABERTURA — conferir datas",IF(O421&lt;180,"EMPRESA ABERTA MENOS DE 6 MESES ANTES","")))</f>
        <v/>
      </c>
      <c r="Q421" s="31" t="str">
        <f aca="false">IF(D421="","",IFERROR(INDEX(Sancoes!$D:$D,MATCH(D421,Sancoes!$C:$C,0)),"não consta"))</f>
        <v/>
      </c>
      <c r="R421" s="25" t="str">
        <f aca="false">IF(OR(D421="",H421=""),"",IF(SUMPRODUCT((Sancoes!$C$5:$C$304=D421)*(Sancoes!$G$5:$G$304&lt;=H421)*(((Sancoes!$H$5:$H$304="")+(Sancoes!$H$5:$H$304&gt;=H421))&gt;0))&gt;0,"SANÇÃO VIGENTE NA DATA — ler tipo e abrangência",""))</f>
        <v/>
      </c>
      <c r="S421" s="24"/>
      <c r="T421" s="11"/>
    </row>
    <row r="422" customFormat="false" ht="15" hidden="false" customHeight="false" outlineLevel="0" collapsed="false">
      <c r="A422" s="11"/>
      <c r="B422" s="24"/>
      <c r="C422" s="24"/>
      <c r="D422" s="31" t="str">
        <f aca="false">IF(C422="","",IF(LEN(UPPER(SUBSTITUTE(SUBSTITUTE(SUBSTITUTE(SUBSTITUTE(TRIM(C422),".",""),"/",""),"-","")," ","")))&lt;14,RIGHT(REPT("0",14)&amp;UPPER(SUBSTITUTE(SUBSTITUTE(SUBSTITUTE(SUBSTITUTE(TRIM(C422),".",""),"/",""),"-","")," ","")),14),UPPER(SUBSTITUTE(SUBSTITUTE(SUBSTITUTE(SUBSTITUTE(TRIM(C422),".",""),"/",""),"-","")," ",""))))</f>
        <v/>
      </c>
      <c r="E422" s="25" t="str">
        <f aca="false">IF(D422="","",IFERROR(INDEX(Empresas!$C:$C,MATCH(D422,Empresas!$B:$B,0)),"cadastre o CNPJ em Empresas"))</f>
        <v/>
      </c>
      <c r="F422" s="11"/>
      <c r="G422" s="23"/>
      <c r="H422" s="22"/>
      <c r="I422" s="35"/>
      <c r="J422" s="35"/>
      <c r="K422" s="36" t="str">
        <f aca="false">IF(I422="","",I422+J422)</f>
        <v/>
      </c>
      <c r="L422" s="37" t="str">
        <f aca="false">IF(OR(I422="",I422=0,J422=""),"",J422/I422)</f>
        <v/>
      </c>
      <c r="M422" s="25" t="str">
        <f aca="false">IF(L422="","",IF(L422&gt;0.25,"ACRÉSCIMO ACIMA DE 25% — conferir",""))</f>
        <v/>
      </c>
      <c r="N422" s="29" t="str">
        <f aca="false">IF(D422="","",IF(COUNTIFS(Empresas!$B:$B,D422,Empresas!$E:$E,"&lt;&gt;")=0,"",INDEX(Empresas!$E:$E,MATCH(D422,Empresas!$B:$B,0))))</f>
        <v/>
      </c>
      <c r="O422" s="27" t="str">
        <f aca="false">IF(OR(N422="",H422=""),"",H422-N422)</f>
        <v/>
      </c>
      <c r="P422" s="25" t="str">
        <f aca="false">IF(O422="","",IF(O422&lt;0,"CONTRATO ANTERIOR À ABERTURA — conferir datas",IF(O422&lt;180,"EMPRESA ABERTA MENOS DE 6 MESES ANTES","")))</f>
        <v/>
      </c>
      <c r="Q422" s="31" t="str">
        <f aca="false">IF(D422="","",IFERROR(INDEX(Sancoes!$D:$D,MATCH(D422,Sancoes!$C:$C,0)),"não consta"))</f>
        <v/>
      </c>
      <c r="R422" s="25" t="str">
        <f aca="false">IF(OR(D422="",H422=""),"",IF(SUMPRODUCT((Sancoes!$C$5:$C$304=D422)*(Sancoes!$G$5:$G$304&lt;=H422)*(((Sancoes!$H$5:$H$304="")+(Sancoes!$H$5:$H$304&gt;=H422))&gt;0))&gt;0,"SANÇÃO VIGENTE NA DATA — ler tipo e abrangência",""))</f>
        <v/>
      </c>
      <c r="S422" s="24"/>
      <c r="T422" s="11"/>
    </row>
    <row r="423" customFormat="false" ht="15" hidden="false" customHeight="false" outlineLevel="0" collapsed="false">
      <c r="A423" s="11"/>
      <c r="B423" s="24"/>
      <c r="C423" s="24"/>
      <c r="D423" s="31" t="str">
        <f aca="false">IF(C423="","",IF(LEN(UPPER(SUBSTITUTE(SUBSTITUTE(SUBSTITUTE(SUBSTITUTE(TRIM(C423),".",""),"/",""),"-","")," ","")))&lt;14,RIGHT(REPT("0",14)&amp;UPPER(SUBSTITUTE(SUBSTITUTE(SUBSTITUTE(SUBSTITUTE(TRIM(C423),".",""),"/",""),"-","")," ","")),14),UPPER(SUBSTITUTE(SUBSTITUTE(SUBSTITUTE(SUBSTITUTE(TRIM(C423),".",""),"/",""),"-","")," ",""))))</f>
        <v/>
      </c>
      <c r="E423" s="25" t="str">
        <f aca="false">IF(D423="","",IFERROR(INDEX(Empresas!$C:$C,MATCH(D423,Empresas!$B:$B,0)),"cadastre o CNPJ em Empresas"))</f>
        <v/>
      </c>
      <c r="F423" s="11"/>
      <c r="G423" s="23"/>
      <c r="H423" s="22"/>
      <c r="I423" s="35"/>
      <c r="J423" s="35"/>
      <c r="K423" s="36" t="str">
        <f aca="false">IF(I423="","",I423+J423)</f>
        <v/>
      </c>
      <c r="L423" s="37" t="str">
        <f aca="false">IF(OR(I423="",I423=0,J423=""),"",J423/I423)</f>
        <v/>
      </c>
      <c r="M423" s="25" t="str">
        <f aca="false">IF(L423="","",IF(L423&gt;0.25,"ACRÉSCIMO ACIMA DE 25% — conferir",""))</f>
        <v/>
      </c>
      <c r="N423" s="29" t="str">
        <f aca="false">IF(D423="","",IF(COUNTIFS(Empresas!$B:$B,D423,Empresas!$E:$E,"&lt;&gt;")=0,"",INDEX(Empresas!$E:$E,MATCH(D423,Empresas!$B:$B,0))))</f>
        <v/>
      </c>
      <c r="O423" s="27" t="str">
        <f aca="false">IF(OR(N423="",H423=""),"",H423-N423)</f>
        <v/>
      </c>
      <c r="P423" s="25" t="str">
        <f aca="false">IF(O423="","",IF(O423&lt;0,"CONTRATO ANTERIOR À ABERTURA — conferir datas",IF(O423&lt;180,"EMPRESA ABERTA MENOS DE 6 MESES ANTES","")))</f>
        <v/>
      </c>
      <c r="Q423" s="31" t="str">
        <f aca="false">IF(D423="","",IFERROR(INDEX(Sancoes!$D:$D,MATCH(D423,Sancoes!$C:$C,0)),"não consta"))</f>
        <v/>
      </c>
      <c r="R423" s="25" t="str">
        <f aca="false">IF(OR(D423="",H423=""),"",IF(SUMPRODUCT((Sancoes!$C$5:$C$304=D423)*(Sancoes!$G$5:$G$304&lt;=H423)*(((Sancoes!$H$5:$H$304="")+(Sancoes!$H$5:$H$304&gt;=H423))&gt;0))&gt;0,"SANÇÃO VIGENTE NA DATA — ler tipo e abrangência",""))</f>
        <v/>
      </c>
      <c r="S423" s="24"/>
      <c r="T423" s="11"/>
    </row>
    <row r="424" customFormat="false" ht="15" hidden="false" customHeight="false" outlineLevel="0" collapsed="false">
      <c r="A424" s="11"/>
      <c r="B424" s="24"/>
      <c r="C424" s="24"/>
      <c r="D424" s="31" t="str">
        <f aca="false">IF(C424="","",IF(LEN(UPPER(SUBSTITUTE(SUBSTITUTE(SUBSTITUTE(SUBSTITUTE(TRIM(C424),".",""),"/",""),"-","")," ","")))&lt;14,RIGHT(REPT("0",14)&amp;UPPER(SUBSTITUTE(SUBSTITUTE(SUBSTITUTE(SUBSTITUTE(TRIM(C424),".",""),"/",""),"-","")," ","")),14),UPPER(SUBSTITUTE(SUBSTITUTE(SUBSTITUTE(SUBSTITUTE(TRIM(C424),".",""),"/",""),"-","")," ",""))))</f>
        <v/>
      </c>
      <c r="E424" s="25" t="str">
        <f aca="false">IF(D424="","",IFERROR(INDEX(Empresas!$C:$C,MATCH(D424,Empresas!$B:$B,0)),"cadastre o CNPJ em Empresas"))</f>
        <v/>
      </c>
      <c r="F424" s="11"/>
      <c r="G424" s="23"/>
      <c r="H424" s="22"/>
      <c r="I424" s="35"/>
      <c r="J424" s="35"/>
      <c r="K424" s="36" t="str">
        <f aca="false">IF(I424="","",I424+J424)</f>
        <v/>
      </c>
      <c r="L424" s="37" t="str">
        <f aca="false">IF(OR(I424="",I424=0,J424=""),"",J424/I424)</f>
        <v/>
      </c>
      <c r="M424" s="25" t="str">
        <f aca="false">IF(L424="","",IF(L424&gt;0.25,"ACRÉSCIMO ACIMA DE 25% — conferir",""))</f>
        <v/>
      </c>
      <c r="N424" s="29" t="str">
        <f aca="false">IF(D424="","",IF(COUNTIFS(Empresas!$B:$B,D424,Empresas!$E:$E,"&lt;&gt;")=0,"",INDEX(Empresas!$E:$E,MATCH(D424,Empresas!$B:$B,0))))</f>
        <v/>
      </c>
      <c r="O424" s="27" t="str">
        <f aca="false">IF(OR(N424="",H424=""),"",H424-N424)</f>
        <v/>
      </c>
      <c r="P424" s="25" t="str">
        <f aca="false">IF(O424="","",IF(O424&lt;0,"CONTRATO ANTERIOR À ABERTURA — conferir datas",IF(O424&lt;180,"EMPRESA ABERTA MENOS DE 6 MESES ANTES","")))</f>
        <v/>
      </c>
      <c r="Q424" s="31" t="str">
        <f aca="false">IF(D424="","",IFERROR(INDEX(Sancoes!$D:$D,MATCH(D424,Sancoes!$C:$C,0)),"não consta"))</f>
        <v/>
      </c>
      <c r="R424" s="25" t="str">
        <f aca="false">IF(OR(D424="",H424=""),"",IF(SUMPRODUCT((Sancoes!$C$5:$C$304=D424)*(Sancoes!$G$5:$G$304&lt;=H424)*(((Sancoes!$H$5:$H$304="")+(Sancoes!$H$5:$H$304&gt;=H424))&gt;0))&gt;0,"SANÇÃO VIGENTE NA DATA — ler tipo e abrangência",""))</f>
        <v/>
      </c>
      <c r="S424" s="24"/>
      <c r="T424" s="11"/>
    </row>
    <row r="425" customFormat="false" ht="15" hidden="false" customHeight="false" outlineLevel="0" collapsed="false">
      <c r="A425" s="11"/>
      <c r="B425" s="24"/>
      <c r="C425" s="24"/>
      <c r="D425" s="31" t="str">
        <f aca="false">IF(C425="","",IF(LEN(UPPER(SUBSTITUTE(SUBSTITUTE(SUBSTITUTE(SUBSTITUTE(TRIM(C425),".",""),"/",""),"-","")," ","")))&lt;14,RIGHT(REPT("0",14)&amp;UPPER(SUBSTITUTE(SUBSTITUTE(SUBSTITUTE(SUBSTITUTE(TRIM(C425),".",""),"/",""),"-","")," ","")),14),UPPER(SUBSTITUTE(SUBSTITUTE(SUBSTITUTE(SUBSTITUTE(TRIM(C425),".",""),"/",""),"-","")," ",""))))</f>
        <v/>
      </c>
      <c r="E425" s="25" t="str">
        <f aca="false">IF(D425="","",IFERROR(INDEX(Empresas!$C:$C,MATCH(D425,Empresas!$B:$B,0)),"cadastre o CNPJ em Empresas"))</f>
        <v/>
      </c>
      <c r="F425" s="11"/>
      <c r="G425" s="23"/>
      <c r="H425" s="22"/>
      <c r="I425" s="35"/>
      <c r="J425" s="35"/>
      <c r="K425" s="36" t="str">
        <f aca="false">IF(I425="","",I425+J425)</f>
        <v/>
      </c>
      <c r="L425" s="37" t="str">
        <f aca="false">IF(OR(I425="",I425=0,J425=""),"",J425/I425)</f>
        <v/>
      </c>
      <c r="M425" s="25" t="str">
        <f aca="false">IF(L425="","",IF(L425&gt;0.25,"ACRÉSCIMO ACIMA DE 25% — conferir",""))</f>
        <v/>
      </c>
      <c r="N425" s="29" t="str">
        <f aca="false">IF(D425="","",IF(COUNTIFS(Empresas!$B:$B,D425,Empresas!$E:$E,"&lt;&gt;")=0,"",INDEX(Empresas!$E:$E,MATCH(D425,Empresas!$B:$B,0))))</f>
        <v/>
      </c>
      <c r="O425" s="27" t="str">
        <f aca="false">IF(OR(N425="",H425=""),"",H425-N425)</f>
        <v/>
      </c>
      <c r="P425" s="25" t="str">
        <f aca="false">IF(O425="","",IF(O425&lt;0,"CONTRATO ANTERIOR À ABERTURA — conferir datas",IF(O425&lt;180,"EMPRESA ABERTA MENOS DE 6 MESES ANTES","")))</f>
        <v/>
      </c>
      <c r="Q425" s="31" t="str">
        <f aca="false">IF(D425="","",IFERROR(INDEX(Sancoes!$D:$D,MATCH(D425,Sancoes!$C:$C,0)),"não consta"))</f>
        <v/>
      </c>
      <c r="R425" s="25" t="str">
        <f aca="false">IF(OR(D425="",H425=""),"",IF(SUMPRODUCT((Sancoes!$C$5:$C$304=D425)*(Sancoes!$G$5:$G$304&lt;=H425)*(((Sancoes!$H$5:$H$304="")+(Sancoes!$H$5:$H$304&gt;=H425))&gt;0))&gt;0,"SANÇÃO VIGENTE NA DATA — ler tipo e abrangência",""))</f>
        <v/>
      </c>
      <c r="S425" s="24"/>
      <c r="T425" s="11"/>
    </row>
    <row r="426" customFormat="false" ht="15" hidden="false" customHeight="false" outlineLevel="0" collapsed="false">
      <c r="A426" s="11"/>
      <c r="B426" s="24"/>
      <c r="C426" s="24"/>
      <c r="D426" s="31" t="str">
        <f aca="false">IF(C426="","",IF(LEN(UPPER(SUBSTITUTE(SUBSTITUTE(SUBSTITUTE(SUBSTITUTE(TRIM(C426),".",""),"/",""),"-","")," ","")))&lt;14,RIGHT(REPT("0",14)&amp;UPPER(SUBSTITUTE(SUBSTITUTE(SUBSTITUTE(SUBSTITUTE(TRIM(C426),".",""),"/",""),"-","")," ","")),14),UPPER(SUBSTITUTE(SUBSTITUTE(SUBSTITUTE(SUBSTITUTE(TRIM(C426),".",""),"/",""),"-","")," ",""))))</f>
        <v/>
      </c>
      <c r="E426" s="25" t="str">
        <f aca="false">IF(D426="","",IFERROR(INDEX(Empresas!$C:$C,MATCH(D426,Empresas!$B:$B,0)),"cadastre o CNPJ em Empresas"))</f>
        <v/>
      </c>
      <c r="F426" s="11"/>
      <c r="G426" s="23"/>
      <c r="H426" s="22"/>
      <c r="I426" s="35"/>
      <c r="J426" s="35"/>
      <c r="K426" s="36" t="str">
        <f aca="false">IF(I426="","",I426+J426)</f>
        <v/>
      </c>
      <c r="L426" s="37" t="str">
        <f aca="false">IF(OR(I426="",I426=0,J426=""),"",J426/I426)</f>
        <v/>
      </c>
      <c r="M426" s="25" t="str">
        <f aca="false">IF(L426="","",IF(L426&gt;0.25,"ACRÉSCIMO ACIMA DE 25% — conferir",""))</f>
        <v/>
      </c>
      <c r="N426" s="29" t="str">
        <f aca="false">IF(D426="","",IF(COUNTIFS(Empresas!$B:$B,D426,Empresas!$E:$E,"&lt;&gt;")=0,"",INDEX(Empresas!$E:$E,MATCH(D426,Empresas!$B:$B,0))))</f>
        <v/>
      </c>
      <c r="O426" s="27" t="str">
        <f aca="false">IF(OR(N426="",H426=""),"",H426-N426)</f>
        <v/>
      </c>
      <c r="P426" s="25" t="str">
        <f aca="false">IF(O426="","",IF(O426&lt;0,"CONTRATO ANTERIOR À ABERTURA — conferir datas",IF(O426&lt;180,"EMPRESA ABERTA MENOS DE 6 MESES ANTES","")))</f>
        <v/>
      </c>
      <c r="Q426" s="31" t="str">
        <f aca="false">IF(D426="","",IFERROR(INDEX(Sancoes!$D:$D,MATCH(D426,Sancoes!$C:$C,0)),"não consta"))</f>
        <v/>
      </c>
      <c r="R426" s="25" t="str">
        <f aca="false">IF(OR(D426="",H426=""),"",IF(SUMPRODUCT((Sancoes!$C$5:$C$304=D426)*(Sancoes!$G$5:$G$304&lt;=H426)*(((Sancoes!$H$5:$H$304="")+(Sancoes!$H$5:$H$304&gt;=H426))&gt;0))&gt;0,"SANÇÃO VIGENTE NA DATA — ler tipo e abrangência",""))</f>
        <v/>
      </c>
      <c r="S426" s="24"/>
      <c r="T426" s="11"/>
    </row>
    <row r="427" customFormat="false" ht="15" hidden="false" customHeight="false" outlineLevel="0" collapsed="false">
      <c r="A427" s="11"/>
      <c r="B427" s="24"/>
      <c r="C427" s="24"/>
      <c r="D427" s="31" t="str">
        <f aca="false">IF(C427="","",IF(LEN(UPPER(SUBSTITUTE(SUBSTITUTE(SUBSTITUTE(SUBSTITUTE(TRIM(C427),".",""),"/",""),"-","")," ","")))&lt;14,RIGHT(REPT("0",14)&amp;UPPER(SUBSTITUTE(SUBSTITUTE(SUBSTITUTE(SUBSTITUTE(TRIM(C427),".",""),"/",""),"-","")," ","")),14),UPPER(SUBSTITUTE(SUBSTITUTE(SUBSTITUTE(SUBSTITUTE(TRIM(C427),".",""),"/",""),"-","")," ",""))))</f>
        <v/>
      </c>
      <c r="E427" s="25" t="str">
        <f aca="false">IF(D427="","",IFERROR(INDEX(Empresas!$C:$C,MATCH(D427,Empresas!$B:$B,0)),"cadastre o CNPJ em Empresas"))</f>
        <v/>
      </c>
      <c r="F427" s="11"/>
      <c r="G427" s="23"/>
      <c r="H427" s="22"/>
      <c r="I427" s="35"/>
      <c r="J427" s="35"/>
      <c r="K427" s="36" t="str">
        <f aca="false">IF(I427="","",I427+J427)</f>
        <v/>
      </c>
      <c r="L427" s="37" t="str">
        <f aca="false">IF(OR(I427="",I427=0,J427=""),"",J427/I427)</f>
        <v/>
      </c>
      <c r="M427" s="25" t="str">
        <f aca="false">IF(L427="","",IF(L427&gt;0.25,"ACRÉSCIMO ACIMA DE 25% — conferir",""))</f>
        <v/>
      </c>
      <c r="N427" s="29" t="str">
        <f aca="false">IF(D427="","",IF(COUNTIFS(Empresas!$B:$B,D427,Empresas!$E:$E,"&lt;&gt;")=0,"",INDEX(Empresas!$E:$E,MATCH(D427,Empresas!$B:$B,0))))</f>
        <v/>
      </c>
      <c r="O427" s="27" t="str">
        <f aca="false">IF(OR(N427="",H427=""),"",H427-N427)</f>
        <v/>
      </c>
      <c r="P427" s="25" t="str">
        <f aca="false">IF(O427="","",IF(O427&lt;0,"CONTRATO ANTERIOR À ABERTURA — conferir datas",IF(O427&lt;180,"EMPRESA ABERTA MENOS DE 6 MESES ANTES","")))</f>
        <v/>
      </c>
      <c r="Q427" s="31" t="str">
        <f aca="false">IF(D427="","",IFERROR(INDEX(Sancoes!$D:$D,MATCH(D427,Sancoes!$C:$C,0)),"não consta"))</f>
        <v/>
      </c>
      <c r="R427" s="25" t="str">
        <f aca="false">IF(OR(D427="",H427=""),"",IF(SUMPRODUCT((Sancoes!$C$5:$C$304=D427)*(Sancoes!$G$5:$G$304&lt;=H427)*(((Sancoes!$H$5:$H$304="")+(Sancoes!$H$5:$H$304&gt;=H427))&gt;0))&gt;0,"SANÇÃO VIGENTE NA DATA — ler tipo e abrangência",""))</f>
        <v/>
      </c>
      <c r="S427" s="24"/>
      <c r="T427" s="11"/>
    </row>
    <row r="428" customFormat="false" ht="15" hidden="false" customHeight="false" outlineLevel="0" collapsed="false">
      <c r="A428" s="11"/>
      <c r="B428" s="24"/>
      <c r="C428" s="24"/>
      <c r="D428" s="31" t="str">
        <f aca="false">IF(C428="","",IF(LEN(UPPER(SUBSTITUTE(SUBSTITUTE(SUBSTITUTE(SUBSTITUTE(TRIM(C428),".",""),"/",""),"-","")," ","")))&lt;14,RIGHT(REPT("0",14)&amp;UPPER(SUBSTITUTE(SUBSTITUTE(SUBSTITUTE(SUBSTITUTE(TRIM(C428),".",""),"/",""),"-","")," ","")),14),UPPER(SUBSTITUTE(SUBSTITUTE(SUBSTITUTE(SUBSTITUTE(TRIM(C428),".",""),"/",""),"-","")," ",""))))</f>
        <v/>
      </c>
      <c r="E428" s="25" t="str">
        <f aca="false">IF(D428="","",IFERROR(INDEX(Empresas!$C:$C,MATCH(D428,Empresas!$B:$B,0)),"cadastre o CNPJ em Empresas"))</f>
        <v/>
      </c>
      <c r="F428" s="11"/>
      <c r="G428" s="23"/>
      <c r="H428" s="22"/>
      <c r="I428" s="35"/>
      <c r="J428" s="35"/>
      <c r="K428" s="36" t="str">
        <f aca="false">IF(I428="","",I428+J428)</f>
        <v/>
      </c>
      <c r="L428" s="37" t="str">
        <f aca="false">IF(OR(I428="",I428=0,J428=""),"",J428/I428)</f>
        <v/>
      </c>
      <c r="M428" s="25" t="str">
        <f aca="false">IF(L428="","",IF(L428&gt;0.25,"ACRÉSCIMO ACIMA DE 25% — conferir",""))</f>
        <v/>
      </c>
      <c r="N428" s="29" t="str">
        <f aca="false">IF(D428="","",IF(COUNTIFS(Empresas!$B:$B,D428,Empresas!$E:$E,"&lt;&gt;")=0,"",INDEX(Empresas!$E:$E,MATCH(D428,Empresas!$B:$B,0))))</f>
        <v/>
      </c>
      <c r="O428" s="27" t="str">
        <f aca="false">IF(OR(N428="",H428=""),"",H428-N428)</f>
        <v/>
      </c>
      <c r="P428" s="25" t="str">
        <f aca="false">IF(O428="","",IF(O428&lt;0,"CONTRATO ANTERIOR À ABERTURA — conferir datas",IF(O428&lt;180,"EMPRESA ABERTA MENOS DE 6 MESES ANTES","")))</f>
        <v/>
      </c>
      <c r="Q428" s="31" t="str">
        <f aca="false">IF(D428="","",IFERROR(INDEX(Sancoes!$D:$D,MATCH(D428,Sancoes!$C:$C,0)),"não consta"))</f>
        <v/>
      </c>
      <c r="R428" s="25" t="str">
        <f aca="false">IF(OR(D428="",H428=""),"",IF(SUMPRODUCT((Sancoes!$C$5:$C$304=D428)*(Sancoes!$G$5:$G$304&lt;=H428)*(((Sancoes!$H$5:$H$304="")+(Sancoes!$H$5:$H$304&gt;=H428))&gt;0))&gt;0,"SANÇÃO VIGENTE NA DATA — ler tipo e abrangência",""))</f>
        <v/>
      </c>
      <c r="S428" s="24"/>
      <c r="T428" s="11"/>
    </row>
    <row r="429" customFormat="false" ht="15" hidden="false" customHeight="false" outlineLevel="0" collapsed="false">
      <c r="A429" s="11"/>
      <c r="B429" s="24"/>
      <c r="C429" s="24"/>
      <c r="D429" s="31" t="str">
        <f aca="false">IF(C429="","",IF(LEN(UPPER(SUBSTITUTE(SUBSTITUTE(SUBSTITUTE(SUBSTITUTE(TRIM(C429),".",""),"/",""),"-","")," ","")))&lt;14,RIGHT(REPT("0",14)&amp;UPPER(SUBSTITUTE(SUBSTITUTE(SUBSTITUTE(SUBSTITUTE(TRIM(C429),".",""),"/",""),"-","")," ","")),14),UPPER(SUBSTITUTE(SUBSTITUTE(SUBSTITUTE(SUBSTITUTE(TRIM(C429),".",""),"/",""),"-","")," ",""))))</f>
        <v/>
      </c>
      <c r="E429" s="25" t="str">
        <f aca="false">IF(D429="","",IFERROR(INDEX(Empresas!$C:$C,MATCH(D429,Empresas!$B:$B,0)),"cadastre o CNPJ em Empresas"))</f>
        <v/>
      </c>
      <c r="F429" s="11"/>
      <c r="G429" s="23"/>
      <c r="H429" s="22"/>
      <c r="I429" s="35"/>
      <c r="J429" s="35"/>
      <c r="K429" s="36" t="str">
        <f aca="false">IF(I429="","",I429+J429)</f>
        <v/>
      </c>
      <c r="L429" s="37" t="str">
        <f aca="false">IF(OR(I429="",I429=0,J429=""),"",J429/I429)</f>
        <v/>
      </c>
      <c r="M429" s="25" t="str">
        <f aca="false">IF(L429="","",IF(L429&gt;0.25,"ACRÉSCIMO ACIMA DE 25% — conferir",""))</f>
        <v/>
      </c>
      <c r="N429" s="29" t="str">
        <f aca="false">IF(D429="","",IF(COUNTIFS(Empresas!$B:$B,D429,Empresas!$E:$E,"&lt;&gt;")=0,"",INDEX(Empresas!$E:$E,MATCH(D429,Empresas!$B:$B,0))))</f>
        <v/>
      </c>
      <c r="O429" s="27" t="str">
        <f aca="false">IF(OR(N429="",H429=""),"",H429-N429)</f>
        <v/>
      </c>
      <c r="P429" s="25" t="str">
        <f aca="false">IF(O429="","",IF(O429&lt;0,"CONTRATO ANTERIOR À ABERTURA — conferir datas",IF(O429&lt;180,"EMPRESA ABERTA MENOS DE 6 MESES ANTES","")))</f>
        <v/>
      </c>
      <c r="Q429" s="31" t="str">
        <f aca="false">IF(D429="","",IFERROR(INDEX(Sancoes!$D:$D,MATCH(D429,Sancoes!$C:$C,0)),"não consta"))</f>
        <v/>
      </c>
      <c r="R429" s="25" t="str">
        <f aca="false">IF(OR(D429="",H429=""),"",IF(SUMPRODUCT((Sancoes!$C$5:$C$304=D429)*(Sancoes!$G$5:$G$304&lt;=H429)*(((Sancoes!$H$5:$H$304="")+(Sancoes!$H$5:$H$304&gt;=H429))&gt;0))&gt;0,"SANÇÃO VIGENTE NA DATA — ler tipo e abrangência",""))</f>
        <v/>
      </c>
      <c r="S429" s="24"/>
      <c r="T429" s="11"/>
    </row>
    <row r="430" customFormat="false" ht="15" hidden="false" customHeight="false" outlineLevel="0" collapsed="false">
      <c r="A430" s="11"/>
      <c r="B430" s="24"/>
      <c r="C430" s="24"/>
      <c r="D430" s="31" t="str">
        <f aca="false">IF(C430="","",IF(LEN(UPPER(SUBSTITUTE(SUBSTITUTE(SUBSTITUTE(SUBSTITUTE(TRIM(C430),".",""),"/",""),"-","")," ","")))&lt;14,RIGHT(REPT("0",14)&amp;UPPER(SUBSTITUTE(SUBSTITUTE(SUBSTITUTE(SUBSTITUTE(TRIM(C430),".",""),"/",""),"-","")," ","")),14),UPPER(SUBSTITUTE(SUBSTITUTE(SUBSTITUTE(SUBSTITUTE(TRIM(C430),".",""),"/",""),"-","")," ",""))))</f>
        <v/>
      </c>
      <c r="E430" s="25" t="str">
        <f aca="false">IF(D430="","",IFERROR(INDEX(Empresas!$C:$C,MATCH(D430,Empresas!$B:$B,0)),"cadastre o CNPJ em Empresas"))</f>
        <v/>
      </c>
      <c r="F430" s="11"/>
      <c r="G430" s="23"/>
      <c r="H430" s="22"/>
      <c r="I430" s="35"/>
      <c r="J430" s="35"/>
      <c r="K430" s="36" t="str">
        <f aca="false">IF(I430="","",I430+J430)</f>
        <v/>
      </c>
      <c r="L430" s="37" t="str">
        <f aca="false">IF(OR(I430="",I430=0,J430=""),"",J430/I430)</f>
        <v/>
      </c>
      <c r="M430" s="25" t="str">
        <f aca="false">IF(L430="","",IF(L430&gt;0.25,"ACRÉSCIMO ACIMA DE 25% — conferir",""))</f>
        <v/>
      </c>
      <c r="N430" s="29" t="str">
        <f aca="false">IF(D430="","",IF(COUNTIFS(Empresas!$B:$B,D430,Empresas!$E:$E,"&lt;&gt;")=0,"",INDEX(Empresas!$E:$E,MATCH(D430,Empresas!$B:$B,0))))</f>
        <v/>
      </c>
      <c r="O430" s="27" t="str">
        <f aca="false">IF(OR(N430="",H430=""),"",H430-N430)</f>
        <v/>
      </c>
      <c r="P430" s="25" t="str">
        <f aca="false">IF(O430="","",IF(O430&lt;0,"CONTRATO ANTERIOR À ABERTURA — conferir datas",IF(O430&lt;180,"EMPRESA ABERTA MENOS DE 6 MESES ANTES","")))</f>
        <v/>
      </c>
      <c r="Q430" s="31" t="str">
        <f aca="false">IF(D430="","",IFERROR(INDEX(Sancoes!$D:$D,MATCH(D430,Sancoes!$C:$C,0)),"não consta"))</f>
        <v/>
      </c>
      <c r="R430" s="25" t="str">
        <f aca="false">IF(OR(D430="",H430=""),"",IF(SUMPRODUCT((Sancoes!$C$5:$C$304=D430)*(Sancoes!$G$5:$G$304&lt;=H430)*(((Sancoes!$H$5:$H$304="")+(Sancoes!$H$5:$H$304&gt;=H430))&gt;0))&gt;0,"SANÇÃO VIGENTE NA DATA — ler tipo e abrangência",""))</f>
        <v/>
      </c>
      <c r="S430" s="24"/>
      <c r="T430" s="11"/>
    </row>
    <row r="431" customFormat="false" ht="15" hidden="false" customHeight="false" outlineLevel="0" collapsed="false">
      <c r="A431" s="11"/>
      <c r="B431" s="24"/>
      <c r="C431" s="24"/>
      <c r="D431" s="31" t="str">
        <f aca="false">IF(C431="","",IF(LEN(UPPER(SUBSTITUTE(SUBSTITUTE(SUBSTITUTE(SUBSTITUTE(TRIM(C431),".",""),"/",""),"-","")," ","")))&lt;14,RIGHT(REPT("0",14)&amp;UPPER(SUBSTITUTE(SUBSTITUTE(SUBSTITUTE(SUBSTITUTE(TRIM(C431),".",""),"/",""),"-","")," ","")),14),UPPER(SUBSTITUTE(SUBSTITUTE(SUBSTITUTE(SUBSTITUTE(TRIM(C431),".",""),"/",""),"-","")," ",""))))</f>
        <v/>
      </c>
      <c r="E431" s="25" t="str">
        <f aca="false">IF(D431="","",IFERROR(INDEX(Empresas!$C:$C,MATCH(D431,Empresas!$B:$B,0)),"cadastre o CNPJ em Empresas"))</f>
        <v/>
      </c>
      <c r="F431" s="11"/>
      <c r="G431" s="23"/>
      <c r="H431" s="22"/>
      <c r="I431" s="35"/>
      <c r="J431" s="35"/>
      <c r="K431" s="36" t="str">
        <f aca="false">IF(I431="","",I431+J431)</f>
        <v/>
      </c>
      <c r="L431" s="37" t="str">
        <f aca="false">IF(OR(I431="",I431=0,J431=""),"",J431/I431)</f>
        <v/>
      </c>
      <c r="M431" s="25" t="str">
        <f aca="false">IF(L431="","",IF(L431&gt;0.25,"ACRÉSCIMO ACIMA DE 25% — conferir",""))</f>
        <v/>
      </c>
      <c r="N431" s="29" t="str">
        <f aca="false">IF(D431="","",IF(COUNTIFS(Empresas!$B:$B,D431,Empresas!$E:$E,"&lt;&gt;")=0,"",INDEX(Empresas!$E:$E,MATCH(D431,Empresas!$B:$B,0))))</f>
        <v/>
      </c>
      <c r="O431" s="27" t="str">
        <f aca="false">IF(OR(N431="",H431=""),"",H431-N431)</f>
        <v/>
      </c>
      <c r="P431" s="25" t="str">
        <f aca="false">IF(O431="","",IF(O431&lt;0,"CONTRATO ANTERIOR À ABERTURA — conferir datas",IF(O431&lt;180,"EMPRESA ABERTA MENOS DE 6 MESES ANTES","")))</f>
        <v/>
      </c>
      <c r="Q431" s="31" t="str">
        <f aca="false">IF(D431="","",IFERROR(INDEX(Sancoes!$D:$D,MATCH(D431,Sancoes!$C:$C,0)),"não consta"))</f>
        <v/>
      </c>
      <c r="R431" s="25" t="str">
        <f aca="false">IF(OR(D431="",H431=""),"",IF(SUMPRODUCT((Sancoes!$C$5:$C$304=D431)*(Sancoes!$G$5:$G$304&lt;=H431)*(((Sancoes!$H$5:$H$304="")+(Sancoes!$H$5:$H$304&gt;=H431))&gt;0))&gt;0,"SANÇÃO VIGENTE NA DATA — ler tipo e abrangência",""))</f>
        <v/>
      </c>
      <c r="S431" s="24"/>
      <c r="T431" s="11"/>
    </row>
    <row r="432" customFormat="false" ht="15" hidden="false" customHeight="false" outlineLevel="0" collapsed="false">
      <c r="A432" s="11"/>
      <c r="B432" s="24"/>
      <c r="C432" s="24"/>
      <c r="D432" s="31" t="str">
        <f aca="false">IF(C432="","",IF(LEN(UPPER(SUBSTITUTE(SUBSTITUTE(SUBSTITUTE(SUBSTITUTE(TRIM(C432),".",""),"/",""),"-","")," ","")))&lt;14,RIGHT(REPT("0",14)&amp;UPPER(SUBSTITUTE(SUBSTITUTE(SUBSTITUTE(SUBSTITUTE(TRIM(C432),".",""),"/",""),"-","")," ","")),14),UPPER(SUBSTITUTE(SUBSTITUTE(SUBSTITUTE(SUBSTITUTE(TRIM(C432),".",""),"/",""),"-","")," ",""))))</f>
        <v/>
      </c>
      <c r="E432" s="25" t="str">
        <f aca="false">IF(D432="","",IFERROR(INDEX(Empresas!$C:$C,MATCH(D432,Empresas!$B:$B,0)),"cadastre o CNPJ em Empresas"))</f>
        <v/>
      </c>
      <c r="F432" s="11"/>
      <c r="G432" s="23"/>
      <c r="H432" s="22"/>
      <c r="I432" s="35"/>
      <c r="J432" s="35"/>
      <c r="K432" s="36" t="str">
        <f aca="false">IF(I432="","",I432+J432)</f>
        <v/>
      </c>
      <c r="L432" s="37" t="str">
        <f aca="false">IF(OR(I432="",I432=0,J432=""),"",J432/I432)</f>
        <v/>
      </c>
      <c r="M432" s="25" t="str">
        <f aca="false">IF(L432="","",IF(L432&gt;0.25,"ACRÉSCIMO ACIMA DE 25% — conferir",""))</f>
        <v/>
      </c>
      <c r="N432" s="29" t="str">
        <f aca="false">IF(D432="","",IF(COUNTIFS(Empresas!$B:$B,D432,Empresas!$E:$E,"&lt;&gt;")=0,"",INDEX(Empresas!$E:$E,MATCH(D432,Empresas!$B:$B,0))))</f>
        <v/>
      </c>
      <c r="O432" s="27" t="str">
        <f aca="false">IF(OR(N432="",H432=""),"",H432-N432)</f>
        <v/>
      </c>
      <c r="P432" s="25" t="str">
        <f aca="false">IF(O432="","",IF(O432&lt;0,"CONTRATO ANTERIOR À ABERTURA — conferir datas",IF(O432&lt;180,"EMPRESA ABERTA MENOS DE 6 MESES ANTES","")))</f>
        <v/>
      </c>
      <c r="Q432" s="31" t="str">
        <f aca="false">IF(D432="","",IFERROR(INDEX(Sancoes!$D:$D,MATCH(D432,Sancoes!$C:$C,0)),"não consta"))</f>
        <v/>
      </c>
      <c r="R432" s="25" t="str">
        <f aca="false">IF(OR(D432="",H432=""),"",IF(SUMPRODUCT((Sancoes!$C$5:$C$304=D432)*(Sancoes!$G$5:$G$304&lt;=H432)*(((Sancoes!$H$5:$H$304="")+(Sancoes!$H$5:$H$304&gt;=H432))&gt;0))&gt;0,"SANÇÃO VIGENTE NA DATA — ler tipo e abrangência",""))</f>
        <v/>
      </c>
      <c r="S432" s="24"/>
      <c r="T432" s="11"/>
    </row>
    <row r="433" customFormat="false" ht="15" hidden="false" customHeight="false" outlineLevel="0" collapsed="false">
      <c r="A433" s="11"/>
      <c r="B433" s="24"/>
      <c r="C433" s="24"/>
      <c r="D433" s="31" t="str">
        <f aca="false">IF(C433="","",IF(LEN(UPPER(SUBSTITUTE(SUBSTITUTE(SUBSTITUTE(SUBSTITUTE(TRIM(C433),".",""),"/",""),"-","")," ","")))&lt;14,RIGHT(REPT("0",14)&amp;UPPER(SUBSTITUTE(SUBSTITUTE(SUBSTITUTE(SUBSTITUTE(TRIM(C433),".",""),"/",""),"-","")," ","")),14),UPPER(SUBSTITUTE(SUBSTITUTE(SUBSTITUTE(SUBSTITUTE(TRIM(C433),".",""),"/",""),"-","")," ",""))))</f>
        <v/>
      </c>
      <c r="E433" s="25" t="str">
        <f aca="false">IF(D433="","",IFERROR(INDEX(Empresas!$C:$C,MATCH(D433,Empresas!$B:$B,0)),"cadastre o CNPJ em Empresas"))</f>
        <v/>
      </c>
      <c r="F433" s="11"/>
      <c r="G433" s="23"/>
      <c r="H433" s="22"/>
      <c r="I433" s="35"/>
      <c r="J433" s="35"/>
      <c r="K433" s="36" t="str">
        <f aca="false">IF(I433="","",I433+J433)</f>
        <v/>
      </c>
      <c r="L433" s="37" t="str">
        <f aca="false">IF(OR(I433="",I433=0,J433=""),"",J433/I433)</f>
        <v/>
      </c>
      <c r="M433" s="25" t="str">
        <f aca="false">IF(L433="","",IF(L433&gt;0.25,"ACRÉSCIMO ACIMA DE 25% — conferir",""))</f>
        <v/>
      </c>
      <c r="N433" s="29" t="str">
        <f aca="false">IF(D433="","",IF(COUNTIFS(Empresas!$B:$B,D433,Empresas!$E:$E,"&lt;&gt;")=0,"",INDEX(Empresas!$E:$E,MATCH(D433,Empresas!$B:$B,0))))</f>
        <v/>
      </c>
      <c r="O433" s="27" t="str">
        <f aca="false">IF(OR(N433="",H433=""),"",H433-N433)</f>
        <v/>
      </c>
      <c r="P433" s="25" t="str">
        <f aca="false">IF(O433="","",IF(O433&lt;0,"CONTRATO ANTERIOR À ABERTURA — conferir datas",IF(O433&lt;180,"EMPRESA ABERTA MENOS DE 6 MESES ANTES","")))</f>
        <v/>
      </c>
      <c r="Q433" s="31" t="str">
        <f aca="false">IF(D433="","",IFERROR(INDEX(Sancoes!$D:$D,MATCH(D433,Sancoes!$C:$C,0)),"não consta"))</f>
        <v/>
      </c>
      <c r="R433" s="25" t="str">
        <f aca="false">IF(OR(D433="",H433=""),"",IF(SUMPRODUCT((Sancoes!$C$5:$C$304=D433)*(Sancoes!$G$5:$G$304&lt;=H433)*(((Sancoes!$H$5:$H$304="")+(Sancoes!$H$5:$H$304&gt;=H433))&gt;0))&gt;0,"SANÇÃO VIGENTE NA DATA — ler tipo e abrangência",""))</f>
        <v/>
      </c>
      <c r="S433" s="24"/>
      <c r="T433" s="11"/>
    </row>
    <row r="434" customFormat="false" ht="15" hidden="false" customHeight="false" outlineLevel="0" collapsed="false">
      <c r="A434" s="11"/>
      <c r="B434" s="24"/>
      <c r="C434" s="24"/>
      <c r="D434" s="31" t="str">
        <f aca="false">IF(C434="","",IF(LEN(UPPER(SUBSTITUTE(SUBSTITUTE(SUBSTITUTE(SUBSTITUTE(TRIM(C434),".",""),"/",""),"-","")," ","")))&lt;14,RIGHT(REPT("0",14)&amp;UPPER(SUBSTITUTE(SUBSTITUTE(SUBSTITUTE(SUBSTITUTE(TRIM(C434),".",""),"/",""),"-","")," ","")),14),UPPER(SUBSTITUTE(SUBSTITUTE(SUBSTITUTE(SUBSTITUTE(TRIM(C434),".",""),"/",""),"-","")," ",""))))</f>
        <v/>
      </c>
      <c r="E434" s="25" t="str">
        <f aca="false">IF(D434="","",IFERROR(INDEX(Empresas!$C:$C,MATCH(D434,Empresas!$B:$B,0)),"cadastre o CNPJ em Empresas"))</f>
        <v/>
      </c>
      <c r="F434" s="11"/>
      <c r="G434" s="23"/>
      <c r="H434" s="22"/>
      <c r="I434" s="35"/>
      <c r="J434" s="35"/>
      <c r="K434" s="36" t="str">
        <f aca="false">IF(I434="","",I434+J434)</f>
        <v/>
      </c>
      <c r="L434" s="37" t="str">
        <f aca="false">IF(OR(I434="",I434=0,J434=""),"",J434/I434)</f>
        <v/>
      </c>
      <c r="M434" s="25" t="str">
        <f aca="false">IF(L434="","",IF(L434&gt;0.25,"ACRÉSCIMO ACIMA DE 25% — conferir",""))</f>
        <v/>
      </c>
      <c r="N434" s="29" t="str">
        <f aca="false">IF(D434="","",IF(COUNTIFS(Empresas!$B:$B,D434,Empresas!$E:$E,"&lt;&gt;")=0,"",INDEX(Empresas!$E:$E,MATCH(D434,Empresas!$B:$B,0))))</f>
        <v/>
      </c>
      <c r="O434" s="27" t="str">
        <f aca="false">IF(OR(N434="",H434=""),"",H434-N434)</f>
        <v/>
      </c>
      <c r="P434" s="25" t="str">
        <f aca="false">IF(O434="","",IF(O434&lt;0,"CONTRATO ANTERIOR À ABERTURA — conferir datas",IF(O434&lt;180,"EMPRESA ABERTA MENOS DE 6 MESES ANTES","")))</f>
        <v/>
      </c>
      <c r="Q434" s="31" t="str">
        <f aca="false">IF(D434="","",IFERROR(INDEX(Sancoes!$D:$D,MATCH(D434,Sancoes!$C:$C,0)),"não consta"))</f>
        <v/>
      </c>
      <c r="R434" s="25" t="str">
        <f aca="false">IF(OR(D434="",H434=""),"",IF(SUMPRODUCT((Sancoes!$C$5:$C$304=D434)*(Sancoes!$G$5:$G$304&lt;=H434)*(((Sancoes!$H$5:$H$304="")+(Sancoes!$H$5:$H$304&gt;=H434))&gt;0))&gt;0,"SANÇÃO VIGENTE NA DATA — ler tipo e abrangência",""))</f>
        <v/>
      </c>
      <c r="S434" s="24"/>
      <c r="T434" s="11"/>
    </row>
    <row r="435" customFormat="false" ht="15" hidden="false" customHeight="false" outlineLevel="0" collapsed="false">
      <c r="A435" s="11"/>
      <c r="B435" s="24"/>
      <c r="C435" s="24"/>
      <c r="D435" s="31" t="str">
        <f aca="false">IF(C435="","",IF(LEN(UPPER(SUBSTITUTE(SUBSTITUTE(SUBSTITUTE(SUBSTITUTE(TRIM(C435),".",""),"/",""),"-","")," ","")))&lt;14,RIGHT(REPT("0",14)&amp;UPPER(SUBSTITUTE(SUBSTITUTE(SUBSTITUTE(SUBSTITUTE(TRIM(C435),".",""),"/",""),"-","")," ","")),14),UPPER(SUBSTITUTE(SUBSTITUTE(SUBSTITUTE(SUBSTITUTE(TRIM(C435),".",""),"/",""),"-","")," ",""))))</f>
        <v/>
      </c>
      <c r="E435" s="25" t="str">
        <f aca="false">IF(D435="","",IFERROR(INDEX(Empresas!$C:$C,MATCH(D435,Empresas!$B:$B,0)),"cadastre o CNPJ em Empresas"))</f>
        <v/>
      </c>
      <c r="F435" s="11"/>
      <c r="G435" s="23"/>
      <c r="H435" s="22"/>
      <c r="I435" s="35"/>
      <c r="J435" s="35"/>
      <c r="K435" s="36" t="str">
        <f aca="false">IF(I435="","",I435+J435)</f>
        <v/>
      </c>
      <c r="L435" s="37" t="str">
        <f aca="false">IF(OR(I435="",I435=0,J435=""),"",J435/I435)</f>
        <v/>
      </c>
      <c r="M435" s="25" t="str">
        <f aca="false">IF(L435="","",IF(L435&gt;0.25,"ACRÉSCIMO ACIMA DE 25% — conferir",""))</f>
        <v/>
      </c>
      <c r="N435" s="29" t="str">
        <f aca="false">IF(D435="","",IF(COUNTIFS(Empresas!$B:$B,D435,Empresas!$E:$E,"&lt;&gt;")=0,"",INDEX(Empresas!$E:$E,MATCH(D435,Empresas!$B:$B,0))))</f>
        <v/>
      </c>
      <c r="O435" s="27" t="str">
        <f aca="false">IF(OR(N435="",H435=""),"",H435-N435)</f>
        <v/>
      </c>
      <c r="P435" s="25" t="str">
        <f aca="false">IF(O435="","",IF(O435&lt;0,"CONTRATO ANTERIOR À ABERTURA — conferir datas",IF(O435&lt;180,"EMPRESA ABERTA MENOS DE 6 MESES ANTES","")))</f>
        <v/>
      </c>
      <c r="Q435" s="31" t="str">
        <f aca="false">IF(D435="","",IFERROR(INDEX(Sancoes!$D:$D,MATCH(D435,Sancoes!$C:$C,0)),"não consta"))</f>
        <v/>
      </c>
      <c r="R435" s="25" t="str">
        <f aca="false">IF(OR(D435="",H435=""),"",IF(SUMPRODUCT((Sancoes!$C$5:$C$304=D435)*(Sancoes!$G$5:$G$304&lt;=H435)*(((Sancoes!$H$5:$H$304="")+(Sancoes!$H$5:$H$304&gt;=H435))&gt;0))&gt;0,"SANÇÃO VIGENTE NA DATA — ler tipo e abrangência",""))</f>
        <v/>
      </c>
      <c r="S435" s="24"/>
      <c r="T435" s="11"/>
    </row>
    <row r="436" customFormat="false" ht="15" hidden="false" customHeight="false" outlineLevel="0" collapsed="false">
      <c r="A436" s="11"/>
      <c r="B436" s="24"/>
      <c r="C436" s="24"/>
      <c r="D436" s="31" t="str">
        <f aca="false">IF(C436="","",IF(LEN(UPPER(SUBSTITUTE(SUBSTITUTE(SUBSTITUTE(SUBSTITUTE(TRIM(C436),".",""),"/",""),"-","")," ","")))&lt;14,RIGHT(REPT("0",14)&amp;UPPER(SUBSTITUTE(SUBSTITUTE(SUBSTITUTE(SUBSTITUTE(TRIM(C436),".",""),"/",""),"-","")," ","")),14),UPPER(SUBSTITUTE(SUBSTITUTE(SUBSTITUTE(SUBSTITUTE(TRIM(C436),".",""),"/",""),"-","")," ",""))))</f>
        <v/>
      </c>
      <c r="E436" s="25" t="str">
        <f aca="false">IF(D436="","",IFERROR(INDEX(Empresas!$C:$C,MATCH(D436,Empresas!$B:$B,0)),"cadastre o CNPJ em Empresas"))</f>
        <v/>
      </c>
      <c r="F436" s="11"/>
      <c r="G436" s="23"/>
      <c r="H436" s="22"/>
      <c r="I436" s="35"/>
      <c r="J436" s="35"/>
      <c r="K436" s="36" t="str">
        <f aca="false">IF(I436="","",I436+J436)</f>
        <v/>
      </c>
      <c r="L436" s="37" t="str">
        <f aca="false">IF(OR(I436="",I436=0,J436=""),"",J436/I436)</f>
        <v/>
      </c>
      <c r="M436" s="25" t="str">
        <f aca="false">IF(L436="","",IF(L436&gt;0.25,"ACRÉSCIMO ACIMA DE 25% — conferir",""))</f>
        <v/>
      </c>
      <c r="N436" s="29" t="str">
        <f aca="false">IF(D436="","",IF(COUNTIFS(Empresas!$B:$B,D436,Empresas!$E:$E,"&lt;&gt;")=0,"",INDEX(Empresas!$E:$E,MATCH(D436,Empresas!$B:$B,0))))</f>
        <v/>
      </c>
      <c r="O436" s="27" t="str">
        <f aca="false">IF(OR(N436="",H436=""),"",H436-N436)</f>
        <v/>
      </c>
      <c r="P436" s="25" t="str">
        <f aca="false">IF(O436="","",IF(O436&lt;0,"CONTRATO ANTERIOR À ABERTURA — conferir datas",IF(O436&lt;180,"EMPRESA ABERTA MENOS DE 6 MESES ANTES","")))</f>
        <v/>
      </c>
      <c r="Q436" s="31" t="str">
        <f aca="false">IF(D436="","",IFERROR(INDEX(Sancoes!$D:$D,MATCH(D436,Sancoes!$C:$C,0)),"não consta"))</f>
        <v/>
      </c>
      <c r="R436" s="25" t="str">
        <f aca="false">IF(OR(D436="",H436=""),"",IF(SUMPRODUCT((Sancoes!$C$5:$C$304=D436)*(Sancoes!$G$5:$G$304&lt;=H436)*(((Sancoes!$H$5:$H$304="")+(Sancoes!$H$5:$H$304&gt;=H436))&gt;0))&gt;0,"SANÇÃO VIGENTE NA DATA — ler tipo e abrangência",""))</f>
        <v/>
      </c>
      <c r="S436" s="24"/>
      <c r="T436" s="11"/>
    </row>
    <row r="437" customFormat="false" ht="15" hidden="false" customHeight="false" outlineLevel="0" collapsed="false">
      <c r="A437" s="11"/>
      <c r="B437" s="24"/>
      <c r="C437" s="24"/>
      <c r="D437" s="31" t="str">
        <f aca="false">IF(C437="","",IF(LEN(UPPER(SUBSTITUTE(SUBSTITUTE(SUBSTITUTE(SUBSTITUTE(TRIM(C437),".",""),"/",""),"-","")," ","")))&lt;14,RIGHT(REPT("0",14)&amp;UPPER(SUBSTITUTE(SUBSTITUTE(SUBSTITUTE(SUBSTITUTE(TRIM(C437),".",""),"/",""),"-","")," ","")),14),UPPER(SUBSTITUTE(SUBSTITUTE(SUBSTITUTE(SUBSTITUTE(TRIM(C437),".",""),"/",""),"-","")," ",""))))</f>
        <v/>
      </c>
      <c r="E437" s="25" t="str">
        <f aca="false">IF(D437="","",IFERROR(INDEX(Empresas!$C:$C,MATCH(D437,Empresas!$B:$B,0)),"cadastre o CNPJ em Empresas"))</f>
        <v/>
      </c>
      <c r="F437" s="11"/>
      <c r="G437" s="23"/>
      <c r="H437" s="22"/>
      <c r="I437" s="35"/>
      <c r="J437" s="35"/>
      <c r="K437" s="36" t="str">
        <f aca="false">IF(I437="","",I437+J437)</f>
        <v/>
      </c>
      <c r="L437" s="37" t="str">
        <f aca="false">IF(OR(I437="",I437=0,J437=""),"",J437/I437)</f>
        <v/>
      </c>
      <c r="M437" s="25" t="str">
        <f aca="false">IF(L437="","",IF(L437&gt;0.25,"ACRÉSCIMO ACIMA DE 25% — conferir",""))</f>
        <v/>
      </c>
      <c r="N437" s="29" t="str">
        <f aca="false">IF(D437="","",IF(COUNTIFS(Empresas!$B:$B,D437,Empresas!$E:$E,"&lt;&gt;")=0,"",INDEX(Empresas!$E:$E,MATCH(D437,Empresas!$B:$B,0))))</f>
        <v/>
      </c>
      <c r="O437" s="27" t="str">
        <f aca="false">IF(OR(N437="",H437=""),"",H437-N437)</f>
        <v/>
      </c>
      <c r="P437" s="25" t="str">
        <f aca="false">IF(O437="","",IF(O437&lt;0,"CONTRATO ANTERIOR À ABERTURA — conferir datas",IF(O437&lt;180,"EMPRESA ABERTA MENOS DE 6 MESES ANTES","")))</f>
        <v/>
      </c>
      <c r="Q437" s="31" t="str">
        <f aca="false">IF(D437="","",IFERROR(INDEX(Sancoes!$D:$D,MATCH(D437,Sancoes!$C:$C,0)),"não consta"))</f>
        <v/>
      </c>
      <c r="R437" s="25" t="str">
        <f aca="false">IF(OR(D437="",H437=""),"",IF(SUMPRODUCT((Sancoes!$C$5:$C$304=D437)*(Sancoes!$G$5:$G$304&lt;=H437)*(((Sancoes!$H$5:$H$304="")+(Sancoes!$H$5:$H$304&gt;=H437))&gt;0))&gt;0,"SANÇÃO VIGENTE NA DATA — ler tipo e abrangência",""))</f>
        <v/>
      </c>
      <c r="S437" s="24"/>
      <c r="T437" s="11"/>
    </row>
    <row r="438" customFormat="false" ht="15" hidden="false" customHeight="false" outlineLevel="0" collapsed="false">
      <c r="A438" s="11"/>
      <c r="B438" s="24"/>
      <c r="C438" s="24"/>
      <c r="D438" s="31" t="str">
        <f aca="false">IF(C438="","",IF(LEN(UPPER(SUBSTITUTE(SUBSTITUTE(SUBSTITUTE(SUBSTITUTE(TRIM(C438),".",""),"/",""),"-","")," ","")))&lt;14,RIGHT(REPT("0",14)&amp;UPPER(SUBSTITUTE(SUBSTITUTE(SUBSTITUTE(SUBSTITUTE(TRIM(C438),".",""),"/",""),"-","")," ","")),14),UPPER(SUBSTITUTE(SUBSTITUTE(SUBSTITUTE(SUBSTITUTE(TRIM(C438),".",""),"/",""),"-","")," ",""))))</f>
        <v/>
      </c>
      <c r="E438" s="25" t="str">
        <f aca="false">IF(D438="","",IFERROR(INDEX(Empresas!$C:$C,MATCH(D438,Empresas!$B:$B,0)),"cadastre o CNPJ em Empresas"))</f>
        <v/>
      </c>
      <c r="F438" s="11"/>
      <c r="G438" s="23"/>
      <c r="H438" s="22"/>
      <c r="I438" s="35"/>
      <c r="J438" s="35"/>
      <c r="K438" s="36" t="str">
        <f aca="false">IF(I438="","",I438+J438)</f>
        <v/>
      </c>
      <c r="L438" s="37" t="str">
        <f aca="false">IF(OR(I438="",I438=0,J438=""),"",J438/I438)</f>
        <v/>
      </c>
      <c r="M438" s="25" t="str">
        <f aca="false">IF(L438="","",IF(L438&gt;0.25,"ACRÉSCIMO ACIMA DE 25% — conferir",""))</f>
        <v/>
      </c>
      <c r="N438" s="29" t="str">
        <f aca="false">IF(D438="","",IF(COUNTIFS(Empresas!$B:$B,D438,Empresas!$E:$E,"&lt;&gt;")=0,"",INDEX(Empresas!$E:$E,MATCH(D438,Empresas!$B:$B,0))))</f>
        <v/>
      </c>
      <c r="O438" s="27" t="str">
        <f aca="false">IF(OR(N438="",H438=""),"",H438-N438)</f>
        <v/>
      </c>
      <c r="P438" s="25" t="str">
        <f aca="false">IF(O438="","",IF(O438&lt;0,"CONTRATO ANTERIOR À ABERTURA — conferir datas",IF(O438&lt;180,"EMPRESA ABERTA MENOS DE 6 MESES ANTES","")))</f>
        <v/>
      </c>
      <c r="Q438" s="31" t="str">
        <f aca="false">IF(D438="","",IFERROR(INDEX(Sancoes!$D:$D,MATCH(D438,Sancoes!$C:$C,0)),"não consta"))</f>
        <v/>
      </c>
      <c r="R438" s="25" t="str">
        <f aca="false">IF(OR(D438="",H438=""),"",IF(SUMPRODUCT((Sancoes!$C$5:$C$304=D438)*(Sancoes!$G$5:$G$304&lt;=H438)*(((Sancoes!$H$5:$H$304="")+(Sancoes!$H$5:$H$304&gt;=H438))&gt;0))&gt;0,"SANÇÃO VIGENTE NA DATA — ler tipo e abrangência",""))</f>
        <v/>
      </c>
      <c r="S438" s="24"/>
      <c r="T438" s="11"/>
    </row>
    <row r="439" customFormat="false" ht="15" hidden="false" customHeight="false" outlineLevel="0" collapsed="false">
      <c r="A439" s="11"/>
      <c r="B439" s="24"/>
      <c r="C439" s="24"/>
      <c r="D439" s="31" t="str">
        <f aca="false">IF(C439="","",IF(LEN(UPPER(SUBSTITUTE(SUBSTITUTE(SUBSTITUTE(SUBSTITUTE(TRIM(C439),".",""),"/",""),"-","")," ","")))&lt;14,RIGHT(REPT("0",14)&amp;UPPER(SUBSTITUTE(SUBSTITUTE(SUBSTITUTE(SUBSTITUTE(TRIM(C439),".",""),"/",""),"-","")," ","")),14),UPPER(SUBSTITUTE(SUBSTITUTE(SUBSTITUTE(SUBSTITUTE(TRIM(C439),".",""),"/",""),"-","")," ",""))))</f>
        <v/>
      </c>
      <c r="E439" s="25" t="str">
        <f aca="false">IF(D439="","",IFERROR(INDEX(Empresas!$C:$C,MATCH(D439,Empresas!$B:$B,0)),"cadastre o CNPJ em Empresas"))</f>
        <v/>
      </c>
      <c r="F439" s="11"/>
      <c r="G439" s="23"/>
      <c r="H439" s="22"/>
      <c r="I439" s="35"/>
      <c r="J439" s="35"/>
      <c r="K439" s="36" t="str">
        <f aca="false">IF(I439="","",I439+J439)</f>
        <v/>
      </c>
      <c r="L439" s="37" t="str">
        <f aca="false">IF(OR(I439="",I439=0,J439=""),"",J439/I439)</f>
        <v/>
      </c>
      <c r="M439" s="25" t="str">
        <f aca="false">IF(L439="","",IF(L439&gt;0.25,"ACRÉSCIMO ACIMA DE 25% — conferir",""))</f>
        <v/>
      </c>
      <c r="N439" s="29" t="str">
        <f aca="false">IF(D439="","",IF(COUNTIFS(Empresas!$B:$B,D439,Empresas!$E:$E,"&lt;&gt;")=0,"",INDEX(Empresas!$E:$E,MATCH(D439,Empresas!$B:$B,0))))</f>
        <v/>
      </c>
      <c r="O439" s="27" t="str">
        <f aca="false">IF(OR(N439="",H439=""),"",H439-N439)</f>
        <v/>
      </c>
      <c r="P439" s="25" t="str">
        <f aca="false">IF(O439="","",IF(O439&lt;0,"CONTRATO ANTERIOR À ABERTURA — conferir datas",IF(O439&lt;180,"EMPRESA ABERTA MENOS DE 6 MESES ANTES","")))</f>
        <v/>
      </c>
      <c r="Q439" s="31" t="str">
        <f aca="false">IF(D439="","",IFERROR(INDEX(Sancoes!$D:$D,MATCH(D439,Sancoes!$C:$C,0)),"não consta"))</f>
        <v/>
      </c>
      <c r="R439" s="25" t="str">
        <f aca="false">IF(OR(D439="",H439=""),"",IF(SUMPRODUCT((Sancoes!$C$5:$C$304=D439)*(Sancoes!$G$5:$G$304&lt;=H439)*(((Sancoes!$H$5:$H$304="")+(Sancoes!$H$5:$H$304&gt;=H439))&gt;0))&gt;0,"SANÇÃO VIGENTE NA DATA — ler tipo e abrangência",""))</f>
        <v/>
      </c>
      <c r="S439" s="24"/>
      <c r="T439" s="11"/>
    </row>
    <row r="440" customFormat="false" ht="15" hidden="false" customHeight="false" outlineLevel="0" collapsed="false">
      <c r="A440" s="11"/>
      <c r="B440" s="24"/>
      <c r="C440" s="24"/>
      <c r="D440" s="31" t="str">
        <f aca="false">IF(C440="","",IF(LEN(UPPER(SUBSTITUTE(SUBSTITUTE(SUBSTITUTE(SUBSTITUTE(TRIM(C440),".",""),"/",""),"-","")," ","")))&lt;14,RIGHT(REPT("0",14)&amp;UPPER(SUBSTITUTE(SUBSTITUTE(SUBSTITUTE(SUBSTITUTE(TRIM(C440),".",""),"/",""),"-","")," ","")),14),UPPER(SUBSTITUTE(SUBSTITUTE(SUBSTITUTE(SUBSTITUTE(TRIM(C440),".",""),"/",""),"-","")," ",""))))</f>
        <v/>
      </c>
      <c r="E440" s="25" t="str">
        <f aca="false">IF(D440="","",IFERROR(INDEX(Empresas!$C:$C,MATCH(D440,Empresas!$B:$B,0)),"cadastre o CNPJ em Empresas"))</f>
        <v/>
      </c>
      <c r="F440" s="11"/>
      <c r="G440" s="23"/>
      <c r="H440" s="22"/>
      <c r="I440" s="35"/>
      <c r="J440" s="35"/>
      <c r="K440" s="36" t="str">
        <f aca="false">IF(I440="","",I440+J440)</f>
        <v/>
      </c>
      <c r="L440" s="37" t="str">
        <f aca="false">IF(OR(I440="",I440=0,J440=""),"",J440/I440)</f>
        <v/>
      </c>
      <c r="M440" s="25" t="str">
        <f aca="false">IF(L440="","",IF(L440&gt;0.25,"ACRÉSCIMO ACIMA DE 25% — conferir",""))</f>
        <v/>
      </c>
      <c r="N440" s="29" t="str">
        <f aca="false">IF(D440="","",IF(COUNTIFS(Empresas!$B:$B,D440,Empresas!$E:$E,"&lt;&gt;")=0,"",INDEX(Empresas!$E:$E,MATCH(D440,Empresas!$B:$B,0))))</f>
        <v/>
      </c>
      <c r="O440" s="27" t="str">
        <f aca="false">IF(OR(N440="",H440=""),"",H440-N440)</f>
        <v/>
      </c>
      <c r="P440" s="25" t="str">
        <f aca="false">IF(O440="","",IF(O440&lt;0,"CONTRATO ANTERIOR À ABERTURA — conferir datas",IF(O440&lt;180,"EMPRESA ABERTA MENOS DE 6 MESES ANTES","")))</f>
        <v/>
      </c>
      <c r="Q440" s="31" t="str">
        <f aca="false">IF(D440="","",IFERROR(INDEX(Sancoes!$D:$D,MATCH(D440,Sancoes!$C:$C,0)),"não consta"))</f>
        <v/>
      </c>
      <c r="R440" s="25" t="str">
        <f aca="false">IF(OR(D440="",H440=""),"",IF(SUMPRODUCT((Sancoes!$C$5:$C$304=D440)*(Sancoes!$G$5:$G$304&lt;=H440)*(((Sancoes!$H$5:$H$304="")+(Sancoes!$H$5:$H$304&gt;=H440))&gt;0))&gt;0,"SANÇÃO VIGENTE NA DATA — ler tipo e abrangência",""))</f>
        <v/>
      </c>
      <c r="S440" s="24"/>
      <c r="T440" s="11"/>
    </row>
    <row r="441" customFormat="false" ht="15" hidden="false" customHeight="false" outlineLevel="0" collapsed="false">
      <c r="A441" s="11"/>
      <c r="B441" s="24"/>
      <c r="C441" s="24"/>
      <c r="D441" s="31" t="str">
        <f aca="false">IF(C441="","",IF(LEN(UPPER(SUBSTITUTE(SUBSTITUTE(SUBSTITUTE(SUBSTITUTE(TRIM(C441),".",""),"/",""),"-","")," ","")))&lt;14,RIGHT(REPT("0",14)&amp;UPPER(SUBSTITUTE(SUBSTITUTE(SUBSTITUTE(SUBSTITUTE(TRIM(C441),".",""),"/",""),"-","")," ","")),14),UPPER(SUBSTITUTE(SUBSTITUTE(SUBSTITUTE(SUBSTITUTE(TRIM(C441),".",""),"/",""),"-","")," ",""))))</f>
        <v/>
      </c>
      <c r="E441" s="25" t="str">
        <f aca="false">IF(D441="","",IFERROR(INDEX(Empresas!$C:$C,MATCH(D441,Empresas!$B:$B,0)),"cadastre o CNPJ em Empresas"))</f>
        <v/>
      </c>
      <c r="F441" s="11"/>
      <c r="G441" s="23"/>
      <c r="H441" s="22"/>
      <c r="I441" s="35"/>
      <c r="J441" s="35"/>
      <c r="K441" s="36" t="str">
        <f aca="false">IF(I441="","",I441+J441)</f>
        <v/>
      </c>
      <c r="L441" s="37" t="str">
        <f aca="false">IF(OR(I441="",I441=0,J441=""),"",J441/I441)</f>
        <v/>
      </c>
      <c r="M441" s="25" t="str">
        <f aca="false">IF(L441="","",IF(L441&gt;0.25,"ACRÉSCIMO ACIMA DE 25% — conferir",""))</f>
        <v/>
      </c>
      <c r="N441" s="29" t="str">
        <f aca="false">IF(D441="","",IF(COUNTIFS(Empresas!$B:$B,D441,Empresas!$E:$E,"&lt;&gt;")=0,"",INDEX(Empresas!$E:$E,MATCH(D441,Empresas!$B:$B,0))))</f>
        <v/>
      </c>
      <c r="O441" s="27" t="str">
        <f aca="false">IF(OR(N441="",H441=""),"",H441-N441)</f>
        <v/>
      </c>
      <c r="P441" s="25" t="str">
        <f aca="false">IF(O441="","",IF(O441&lt;0,"CONTRATO ANTERIOR À ABERTURA — conferir datas",IF(O441&lt;180,"EMPRESA ABERTA MENOS DE 6 MESES ANTES","")))</f>
        <v/>
      </c>
      <c r="Q441" s="31" t="str">
        <f aca="false">IF(D441="","",IFERROR(INDEX(Sancoes!$D:$D,MATCH(D441,Sancoes!$C:$C,0)),"não consta"))</f>
        <v/>
      </c>
      <c r="R441" s="25" t="str">
        <f aca="false">IF(OR(D441="",H441=""),"",IF(SUMPRODUCT((Sancoes!$C$5:$C$304=D441)*(Sancoes!$G$5:$G$304&lt;=H441)*(((Sancoes!$H$5:$H$304="")+(Sancoes!$H$5:$H$304&gt;=H441))&gt;0))&gt;0,"SANÇÃO VIGENTE NA DATA — ler tipo e abrangência",""))</f>
        <v/>
      </c>
      <c r="S441" s="24"/>
      <c r="T441" s="11"/>
    </row>
    <row r="442" customFormat="false" ht="15" hidden="false" customHeight="false" outlineLevel="0" collapsed="false">
      <c r="A442" s="11"/>
      <c r="B442" s="24"/>
      <c r="C442" s="24"/>
      <c r="D442" s="31" t="str">
        <f aca="false">IF(C442="","",IF(LEN(UPPER(SUBSTITUTE(SUBSTITUTE(SUBSTITUTE(SUBSTITUTE(TRIM(C442),".",""),"/",""),"-","")," ","")))&lt;14,RIGHT(REPT("0",14)&amp;UPPER(SUBSTITUTE(SUBSTITUTE(SUBSTITUTE(SUBSTITUTE(TRIM(C442),".",""),"/",""),"-","")," ","")),14),UPPER(SUBSTITUTE(SUBSTITUTE(SUBSTITUTE(SUBSTITUTE(TRIM(C442),".",""),"/",""),"-","")," ",""))))</f>
        <v/>
      </c>
      <c r="E442" s="25" t="str">
        <f aca="false">IF(D442="","",IFERROR(INDEX(Empresas!$C:$C,MATCH(D442,Empresas!$B:$B,0)),"cadastre o CNPJ em Empresas"))</f>
        <v/>
      </c>
      <c r="F442" s="11"/>
      <c r="G442" s="23"/>
      <c r="H442" s="22"/>
      <c r="I442" s="35"/>
      <c r="J442" s="35"/>
      <c r="K442" s="36" t="str">
        <f aca="false">IF(I442="","",I442+J442)</f>
        <v/>
      </c>
      <c r="L442" s="37" t="str">
        <f aca="false">IF(OR(I442="",I442=0,J442=""),"",J442/I442)</f>
        <v/>
      </c>
      <c r="M442" s="25" t="str">
        <f aca="false">IF(L442="","",IF(L442&gt;0.25,"ACRÉSCIMO ACIMA DE 25% — conferir",""))</f>
        <v/>
      </c>
      <c r="N442" s="29" t="str">
        <f aca="false">IF(D442="","",IF(COUNTIFS(Empresas!$B:$B,D442,Empresas!$E:$E,"&lt;&gt;")=0,"",INDEX(Empresas!$E:$E,MATCH(D442,Empresas!$B:$B,0))))</f>
        <v/>
      </c>
      <c r="O442" s="27" t="str">
        <f aca="false">IF(OR(N442="",H442=""),"",H442-N442)</f>
        <v/>
      </c>
      <c r="P442" s="25" t="str">
        <f aca="false">IF(O442="","",IF(O442&lt;0,"CONTRATO ANTERIOR À ABERTURA — conferir datas",IF(O442&lt;180,"EMPRESA ABERTA MENOS DE 6 MESES ANTES","")))</f>
        <v/>
      </c>
      <c r="Q442" s="31" t="str">
        <f aca="false">IF(D442="","",IFERROR(INDEX(Sancoes!$D:$D,MATCH(D442,Sancoes!$C:$C,0)),"não consta"))</f>
        <v/>
      </c>
      <c r="R442" s="25" t="str">
        <f aca="false">IF(OR(D442="",H442=""),"",IF(SUMPRODUCT((Sancoes!$C$5:$C$304=D442)*(Sancoes!$G$5:$G$304&lt;=H442)*(((Sancoes!$H$5:$H$304="")+(Sancoes!$H$5:$H$304&gt;=H442))&gt;0))&gt;0,"SANÇÃO VIGENTE NA DATA — ler tipo e abrangência",""))</f>
        <v/>
      </c>
      <c r="S442" s="24"/>
      <c r="T442" s="11"/>
    </row>
    <row r="443" customFormat="false" ht="15" hidden="false" customHeight="false" outlineLevel="0" collapsed="false">
      <c r="A443" s="11"/>
      <c r="B443" s="24"/>
      <c r="C443" s="24"/>
      <c r="D443" s="31" t="str">
        <f aca="false">IF(C443="","",IF(LEN(UPPER(SUBSTITUTE(SUBSTITUTE(SUBSTITUTE(SUBSTITUTE(TRIM(C443),".",""),"/",""),"-","")," ","")))&lt;14,RIGHT(REPT("0",14)&amp;UPPER(SUBSTITUTE(SUBSTITUTE(SUBSTITUTE(SUBSTITUTE(TRIM(C443),".",""),"/",""),"-","")," ","")),14),UPPER(SUBSTITUTE(SUBSTITUTE(SUBSTITUTE(SUBSTITUTE(TRIM(C443),".",""),"/",""),"-","")," ",""))))</f>
        <v/>
      </c>
      <c r="E443" s="25" t="str">
        <f aca="false">IF(D443="","",IFERROR(INDEX(Empresas!$C:$C,MATCH(D443,Empresas!$B:$B,0)),"cadastre o CNPJ em Empresas"))</f>
        <v/>
      </c>
      <c r="F443" s="11"/>
      <c r="G443" s="23"/>
      <c r="H443" s="22"/>
      <c r="I443" s="35"/>
      <c r="J443" s="35"/>
      <c r="K443" s="36" t="str">
        <f aca="false">IF(I443="","",I443+J443)</f>
        <v/>
      </c>
      <c r="L443" s="37" t="str">
        <f aca="false">IF(OR(I443="",I443=0,J443=""),"",J443/I443)</f>
        <v/>
      </c>
      <c r="M443" s="25" t="str">
        <f aca="false">IF(L443="","",IF(L443&gt;0.25,"ACRÉSCIMO ACIMA DE 25% — conferir",""))</f>
        <v/>
      </c>
      <c r="N443" s="29" t="str">
        <f aca="false">IF(D443="","",IF(COUNTIFS(Empresas!$B:$B,D443,Empresas!$E:$E,"&lt;&gt;")=0,"",INDEX(Empresas!$E:$E,MATCH(D443,Empresas!$B:$B,0))))</f>
        <v/>
      </c>
      <c r="O443" s="27" t="str">
        <f aca="false">IF(OR(N443="",H443=""),"",H443-N443)</f>
        <v/>
      </c>
      <c r="P443" s="25" t="str">
        <f aca="false">IF(O443="","",IF(O443&lt;0,"CONTRATO ANTERIOR À ABERTURA — conferir datas",IF(O443&lt;180,"EMPRESA ABERTA MENOS DE 6 MESES ANTES","")))</f>
        <v/>
      </c>
      <c r="Q443" s="31" t="str">
        <f aca="false">IF(D443="","",IFERROR(INDEX(Sancoes!$D:$D,MATCH(D443,Sancoes!$C:$C,0)),"não consta"))</f>
        <v/>
      </c>
      <c r="R443" s="25" t="str">
        <f aca="false">IF(OR(D443="",H443=""),"",IF(SUMPRODUCT((Sancoes!$C$5:$C$304=D443)*(Sancoes!$G$5:$G$304&lt;=H443)*(((Sancoes!$H$5:$H$304="")+(Sancoes!$H$5:$H$304&gt;=H443))&gt;0))&gt;0,"SANÇÃO VIGENTE NA DATA — ler tipo e abrangência",""))</f>
        <v/>
      </c>
      <c r="S443" s="24"/>
      <c r="T443" s="11"/>
    </row>
    <row r="444" customFormat="false" ht="15" hidden="false" customHeight="false" outlineLevel="0" collapsed="false">
      <c r="A444" s="11"/>
      <c r="B444" s="24"/>
      <c r="C444" s="24"/>
      <c r="D444" s="31" t="str">
        <f aca="false">IF(C444="","",IF(LEN(UPPER(SUBSTITUTE(SUBSTITUTE(SUBSTITUTE(SUBSTITUTE(TRIM(C444),".",""),"/",""),"-","")," ","")))&lt;14,RIGHT(REPT("0",14)&amp;UPPER(SUBSTITUTE(SUBSTITUTE(SUBSTITUTE(SUBSTITUTE(TRIM(C444),".",""),"/",""),"-","")," ","")),14),UPPER(SUBSTITUTE(SUBSTITUTE(SUBSTITUTE(SUBSTITUTE(TRIM(C444),".",""),"/",""),"-","")," ",""))))</f>
        <v/>
      </c>
      <c r="E444" s="25" t="str">
        <f aca="false">IF(D444="","",IFERROR(INDEX(Empresas!$C:$C,MATCH(D444,Empresas!$B:$B,0)),"cadastre o CNPJ em Empresas"))</f>
        <v/>
      </c>
      <c r="F444" s="11"/>
      <c r="G444" s="23"/>
      <c r="H444" s="22"/>
      <c r="I444" s="35"/>
      <c r="J444" s="35"/>
      <c r="K444" s="36" t="str">
        <f aca="false">IF(I444="","",I444+J444)</f>
        <v/>
      </c>
      <c r="L444" s="37" t="str">
        <f aca="false">IF(OR(I444="",I444=0,J444=""),"",J444/I444)</f>
        <v/>
      </c>
      <c r="M444" s="25" t="str">
        <f aca="false">IF(L444="","",IF(L444&gt;0.25,"ACRÉSCIMO ACIMA DE 25% — conferir",""))</f>
        <v/>
      </c>
      <c r="N444" s="29" t="str">
        <f aca="false">IF(D444="","",IF(COUNTIFS(Empresas!$B:$B,D444,Empresas!$E:$E,"&lt;&gt;")=0,"",INDEX(Empresas!$E:$E,MATCH(D444,Empresas!$B:$B,0))))</f>
        <v/>
      </c>
      <c r="O444" s="27" t="str">
        <f aca="false">IF(OR(N444="",H444=""),"",H444-N444)</f>
        <v/>
      </c>
      <c r="P444" s="25" t="str">
        <f aca="false">IF(O444="","",IF(O444&lt;0,"CONTRATO ANTERIOR À ABERTURA — conferir datas",IF(O444&lt;180,"EMPRESA ABERTA MENOS DE 6 MESES ANTES","")))</f>
        <v/>
      </c>
      <c r="Q444" s="31" t="str">
        <f aca="false">IF(D444="","",IFERROR(INDEX(Sancoes!$D:$D,MATCH(D444,Sancoes!$C:$C,0)),"não consta"))</f>
        <v/>
      </c>
      <c r="R444" s="25" t="str">
        <f aca="false">IF(OR(D444="",H444=""),"",IF(SUMPRODUCT((Sancoes!$C$5:$C$304=D444)*(Sancoes!$G$5:$G$304&lt;=H444)*(((Sancoes!$H$5:$H$304="")+(Sancoes!$H$5:$H$304&gt;=H444))&gt;0))&gt;0,"SANÇÃO VIGENTE NA DATA — ler tipo e abrangência",""))</f>
        <v/>
      </c>
      <c r="S444" s="24"/>
      <c r="T444" s="11"/>
    </row>
    <row r="445" customFormat="false" ht="15" hidden="false" customHeight="false" outlineLevel="0" collapsed="false">
      <c r="A445" s="11"/>
      <c r="B445" s="24"/>
      <c r="C445" s="24"/>
      <c r="D445" s="31" t="str">
        <f aca="false">IF(C445="","",IF(LEN(UPPER(SUBSTITUTE(SUBSTITUTE(SUBSTITUTE(SUBSTITUTE(TRIM(C445),".",""),"/",""),"-","")," ","")))&lt;14,RIGHT(REPT("0",14)&amp;UPPER(SUBSTITUTE(SUBSTITUTE(SUBSTITUTE(SUBSTITUTE(TRIM(C445),".",""),"/",""),"-","")," ","")),14),UPPER(SUBSTITUTE(SUBSTITUTE(SUBSTITUTE(SUBSTITUTE(TRIM(C445),".",""),"/",""),"-","")," ",""))))</f>
        <v/>
      </c>
      <c r="E445" s="25" t="str">
        <f aca="false">IF(D445="","",IFERROR(INDEX(Empresas!$C:$C,MATCH(D445,Empresas!$B:$B,0)),"cadastre o CNPJ em Empresas"))</f>
        <v/>
      </c>
      <c r="F445" s="11"/>
      <c r="G445" s="23"/>
      <c r="H445" s="22"/>
      <c r="I445" s="35"/>
      <c r="J445" s="35"/>
      <c r="K445" s="36" t="str">
        <f aca="false">IF(I445="","",I445+J445)</f>
        <v/>
      </c>
      <c r="L445" s="37" t="str">
        <f aca="false">IF(OR(I445="",I445=0,J445=""),"",J445/I445)</f>
        <v/>
      </c>
      <c r="M445" s="25" t="str">
        <f aca="false">IF(L445="","",IF(L445&gt;0.25,"ACRÉSCIMO ACIMA DE 25% — conferir",""))</f>
        <v/>
      </c>
      <c r="N445" s="29" t="str">
        <f aca="false">IF(D445="","",IF(COUNTIFS(Empresas!$B:$B,D445,Empresas!$E:$E,"&lt;&gt;")=0,"",INDEX(Empresas!$E:$E,MATCH(D445,Empresas!$B:$B,0))))</f>
        <v/>
      </c>
      <c r="O445" s="27" t="str">
        <f aca="false">IF(OR(N445="",H445=""),"",H445-N445)</f>
        <v/>
      </c>
      <c r="P445" s="25" t="str">
        <f aca="false">IF(O445="","",IF(O445&lt;0,"CONTRATO ANTERIOR À ABERTURA — conferir datas",IF(O445&lt;180,"EMPRESA ABERTA MENOS DE 6 MESES ANTES","")))</f>
        <v/>
      </c>
      <c r="Q445" s="31" t="str">
        <f aca="false">IF(D445="","",IFERROR(INDEX(Sancoes!$D:$D,MATCH(D445,Sancoes!$C:$C,0)),"não consta"))</f>
        <v/>
      </c>
      <c r="R445" s="25" t="str">
        <f aca="false">IF(OR(D445="",H445=""),"",IF(SUMPRODUCT((Sancoes!$C$5:$C$304=D445)*(Sancoes!$G$5:$G$304&lt;=H445)*(((Sancoes!$H$5:$H$304="")+(Sancoes!$H$5:$H$304&gt;=H445))&gt;0))&gt;0,"SANÇÃO VIGENTE NA DATA — ler tipo e abrangência",""))</f>
        <v/>
      </c>
      <c r="S445" s="24"/>
      <c r="T445" s="11"/>
    </row>
    <row r="446" customFormat="false" ht="15" hidden="false" customHeight="false" outlineLevel="0" collapsed="false">
      <c r="A446" s="11"/>
      <c r="B446" s="24"/>
      <c r="C446" s="24"/>
      <c r="D446" s="31" t="str">
        <f aca="false">IF(C446="","",IF(LEN(UPPER(SUBSTITUTE(SUBSTITUTE(SUBSTITUTE(SUBSTITUTE(TRIM(C446),".",""),"/",""),"-","")," ","")))&lt;14,RIGHT(REPT("0",14)&amp;UPPER(SUBSTITUTE(SUBSTITUTE(SUBSTITUTE(SUBSTITUTE(TRIM(C446),".",""),"/",""),"-","")," ","")),14),UPPER(SUBSTITUTE(SUBSTITUTE(SUBSTITUTE(SUBSTITUTE(TRIM(C446),".",""),"/",""),"-","")," ",""))))</f>
        <v/>
      </c>
      <c r="E446" s="25" t="str">
        <f aca="false">IF(D446="","",IFERROR(INDEX(Empresas!$C:$C,MATCH(D446,Empresas!$B:$B,0)),"cadastre o CNPJ em Empresas"))</f>
        <v/>
      </c>
      <c r="F446" s="11"/>
      <c r="G446" s="23"/>
      <c r="H446" s="22"/>
      <c r="I446" s="35"/>
      <c r="J446" s="35"/>
      <c r="K446" s="36" t="str">
        <f aca="false">IF(I446="","",I446+J446)</f>
        <v/>
      </c>
      <c r="L446" s="37" t="str">
        <f aca="false">IF(OR(I446="",I446=0,J446=""),"",J446/I446)</f>
        <v/>
      </c>
      <c r="M446" s="25" t="str">
        <f aca="false">IF(L446="","",IF(L446&gt;0.25,"ACRÉSCIMO ACIMA DE 25% — conferir",""))</f>
        <v/>
      </c>
      <c r="N446" s="29" t="str">
        <f aca="false">IF(D446="","",IF(COUNTIFS(Empresas!$B:$B,D446,Empresas!$E:$E,"&lt;&gt;")=0,"",INDEX(Empresas!$E:$E,MATCH(D446,Empresas!$B:$B,0))))</f>
        <v/>
      </c>
      <c r="O446" s="27" t="str">
        <f aca="false">IF(OR(N446="",H446=""),"",H446-N446)</f>
        <v/>
      </c>
      <c r="P446" s="25" t="str">
        <f aca="false">IF(O446="","",IF(O446&lt;0,"CONTRATO ANTERIOR À ABERTURA — conferir datas",IF(O446&lt;180,"EMPRESA ABERTA MENOS DE 6 MESES ANTES","")))</f>
        <v/>
      </c>
      <c r="Q446" s="31" t="str">
        <f aca="false">IF(D446="","",IFERROR(INDEX(Sancoes!$D:$D,MATCH(D446,Sancoes!$C:$C,0)),"não consta"))</f>
        <v/>
      </c>
      <c r="R446" s="25" t="str">
        <f aca="false">IF(OR(D446="",H446=""),"",IF(SUMPRODUCT((Sancoes!$C$5:$C$304=D446)*(Sancoes!$G$5:$G$304&lt;=H446)*(((Sancoes!$H$5:$H$304="")+(Sancoes!$H$5:$H$304&gt;=H446))&gt;0))&gt;0,"SANÇÃO VIGENTE NA DATA — ler tipo e abrangência",""))</f>
        <v/>
      </c>
      <c r="S446" s="24"/>
      <c r="T446" s="11"/>
    </row>
    <row r="447" customFormat="false" ht="15" hidden="false" customHeight="false" outlineLevel="0" collapsed="false">
      <c r="A447" s="11"/>
      <c r="B447" s="24"/>
      <c r="C447" s="24"/>
      <c r="D447" s="31" t="str">
        <f aca="false">IF(C447="","",IF(LEN(UPPER(SUBSTITUTE(SUBSTITUTE(SUBSTITUTE(SUBSTITUTE(TRIM(C447),".",""),"/",""),"-","")," ","")))&lt;14,RIGHT(REPT("0",14)&amp;UPPER(SUBSTITUTE(SUBSTITUTE(SUBSTITUTE(SUBSTITUTE(TRIM(C447),".",""),"/",""),"-","")," ","")),14),UPPER(SUBSTITUTE(SUBSTITUTE(SUBSTITUTE(SUBSTITUTE(TRIM(C447),".",""),"/",""),"-","")," ",""))))</f>
        <v/>
      </c>
      <c r="E447" s="25" t="str">
        <f aca="false">IF(D447="","",IFERROR(INDEX(Empresas!$C:$C,MATCH(D447,Empresas!$B:$B,0)),"cadastre o CNPJ em Empresas"))</f>
        <v/>
      </c>
      <c r="F447" s="11"/>
      <c r="G447" s="23"/>
      <c r="H447" s="22"/>
      <c r="I447" s="35"/>
      <c r="J447" s="35"/>
      <c r="K447" s="36" t="str">
        <f aca="false">IF(I447="","",I447+J447)</f>
        <v/>
      </c>
      <c r="L447" s="37" t="str">
        <f aca="false">IF(OR(I447="",I447=0,J447=""),"",J447/I447)</f>
        <v/>
      </c>
      <c r="M447" s="25" t="str">
        <f aca="false">IF(L447="","",IF(L447&gt;0.25,"ACRÉSCIMO ACIMA DE 25% — conferir",""))</f>
        <v/>
      </c>
      <c r="N447" s="29" t="str">
        <f aca="false">IF(D447="","",IF(COUNTIFS(Empresas!$B:$B,D447,Empresas!$E:$E,"&lt;&gt;")=0,"",INDEX(Empresas!$E:$E,MATCH(D447,Empresas!$B:$B,0))))</f>
        <v/>
      </c>
      <c r="O447" s="27" t="str">
        <f aca="false">IF(OR(N447="",H447=""),"",H447-N447)</f>
        <v/>
      </c>
      <c r="P447" s="25" t="str">
        <f aca="false">IF(O447="","",IF(O447&lt;0,"CONTRATO ANTERIOR À ABERTURA — conferir datas",IF(O447&lt;180,"EMPRESA ABERTA MENOS DE 6 MESES ANTES","")))</f>
        <v/>
      </c>
      <c r="Q447" s="31" t="str">
        <f aca="false">IF(D447="","",IFERROR(INDEX(Sancoes!$D:$D,MATCH(D447,Sancoes!$C:$C,0)),"não consta"))</f>
        <v/>
      </c>
      <c r="R447" s="25" t="str">
        <f aca="false">IF(OR(D447="",H447=""),"",IF(SUMPRODUCT((Sancoes!$C$5:$C$304=D447)*(Sancoes!$G$5:$G$304&lt;=H447)*(((Sancoes!$H$5:$H$304="")+(Sancoes!$H$5:$H$304&gt;=H447))&gt;0))&gt;0,"SANÇÃO VIGENTE NA DATA — ler tipo e abrangência",""))</f>
        <v/>
      </c>
      <c r="S447" s="24"/>
      <c r="T447" s="11"/>
    </row>
    <row r="448" customFormat="false" ht="15" hidden="false" customHeight="false" outlineLevel="0" collapsed="false">
      <c r="A448" s="11"/>
      <c r="B448" s="24"/>
      <c r="C448" s="24"/>
      <c r="D448" s="31" t="str">
        <f aca="false">IF(C448="","",IF(LEN(UPPER(SUBSTITUTE(SUBSTITUTE(SUBSTITUTE(SUBSTITUTE(TRIM(C448),".",""),"/",""),"-","")," ","")))&lt;14,RIGHT(REPT("0",14)&amp;UPPER(SUBSTITUTE(SUBSTITUTE(SUBSTITUTE(SUBSTITUTE(TRIM(C448),".",""),"/",""),"-","")," ","")),14),UPPER(SUBSTITUTE(SUBSTITUTE(SUBSTITUTE(SUBSTITUTE(TRIM(C448),".",""),"/",""),"-","")," ",""))))</f>
        <v/>
      </c>
      <c r="E448" s="25" t="str">
        <f aca="false">IF(D448="","",IFERROR(INDEX(Empresas!$C:$C,MATCH(D448,Empresas!$B:$B,0)),"cadastre o CNPJ em Empresas"))</f>
        <v/>
      </c>
      <c r="F448" s="11"/>
      <c r="G448" s="23"/>
      <c r="H448" s="22"/>
      <c r="I448" s="35"/>
      <c r="J448" s="35"/>
      <c r="K448" s="36" t="str">
        <f aca="false">IF(I448="","",I448+J448)</f>
        <v/>
      </c>
      <c r="L448" s="37" t="str">
        <f aca="false">IF(OR(I448="",I448=0,J448=""),"",J448/I448)</f>
        <v/>
      </c>
      <c r="M448" s="25" t="str">
        <f aca="false">IF(L448="","",IF(L448&gt;0.25,"ACRÉSCIMO ACIMA DE 25% — conferir",""))</f>
        <v/>
      </c>
      <c r="N448" s="29" t="str">
        <f aca="false">IF(D448="","",IF(COUNTIFS(Empresas!$B:$B,D448,Empresas!$E:$E,"&lt;&gt;")=0,"",INDEX(Empresas!$E:$E,MATCH(D448,Empresas!$B:$B,0))))</f>
        <v/>
      </c>
      <c r="O448" s="27" t="str">
        <f aca="false">IF(OR(N448="",H448=""),"",H448-N448)</f>
        <v/>
      </c>
      <c r="P448" s="25" t="str">
        <f aca="false">IF(O448="","",IF(O448&lt;0,"CONTRATO ANTERIOR À ABERTURA — conferir datas",IF(O448&lt;180,"EMPRESA ABERTA MENOS DE 6 MESES ANTES","")))</f>
        <v/>
      </c>
      <c r="Q448" s="31" t="str">
        <f aca="false">IF(D448="","",IFERROR(INDEX(Sancoes!$D:$D,MATCH(D448,Sancoes!$C:$C,0)),"não consta"))</f>
        <v/>
      </c>
      <c r="R448" s="25" t="str">
        <f aca="false">IF(OR(D448="",H448=""),"",IF(SUMPRODUCT((Sancoes!$C$5:$C$304=D448)*(Sancoes!$G$5:$G$304&lt;=H448)*(((Sancoes!$H$5:$H$304="")+(Sancoes!$H$5:$H$304&gt;=H448))&gt;0))&gt;0,"SANÇÃO VIGENTE NA DATA — ler tipo e abrangência",""))</f>
        <v/>
      </c>
      <c r="S448" s="24"/>
      <c r="T448" s="11"/>
    </row>
    <row r="449" customFormat="false" ht="15" hidden="false" customHeight="false" outlineLevel="0" collapsed="false">
      <c r="A449" s="11"/>
      <c r="B449" s="24"/>
      <c r="C449" s="24"/>
      <c r="D449" s="31" t="str">
        <f aca="false">IF(C449="","",IF(LEN(UPPER(SUBSTITUTE(SUBSTITUTE(SUBSTITUTE(SUBSTITUTE(TRIM(C449),".",""),"/",""),"-","")," ","")))&lt;14,RIGHT(REPT("0",14)&amp;UPPER(SUBSTITUTE(SUBSTITUTE(SUBSTITUTE(SUBSTITUTE(TRIM(C449),".",""),"/",""),"-","")," ","")),14),UPPER(SUBSTITUTE(SUBSTITUTE(SUBSTITUTE(SUBSTITUTE(TRIM(C449),".",""),"/",""),"-","")," ",""))))</f>
        <v/>
      </c>
      <c r="E449" s="25" t="str">
        <f aca="false">IF(D449="","",IFERROR(INDEX(Empresas!$C:$C,MATCH(D449,Empresas!$B:$B,0)),"cadastre o CNPJ em Empresas"))</f>
        <v/>
      </c>
      <c r="F449" s="11"/>
      <c r="G449" s="23"/>
      <c r="H449" s="22"/>
      <c r="I449" s="35"/>
      <c r="J449" s="35"/>
      <c r="K449" s="36" t="str">
        <f aca="false">IF(I449="","",I449+J449)</f>
        <v/>
      </c>
      <c r="L449" s="37" t="str">
        <f aca="false">IF(OR(I449="",I449=0,J449=""),"",J449/I449)</f>
        <v/>
      </c>
      <c r="M449" s="25" t="str">
        <f aca="false">IF(L449="","",IF(L449&gt;0.25,"ACRÉSCIMO ACIMA DE 25% — conferir",""))</f>
        <v/>
      </c>
      <c r="N449" s="29" t="str">
        <f aca="false">IF(D449="","",IF(COUNTIFS(Empresas!$B:$B,D449,Empresas!$E:$E,"&lt;&gt;")=0,"",INDEX(Empresas!$E:$E,MATCH(D449,Empresas!$B:$B,0))))</f>
        <v/>
      </c>
      <c r="O449" s="27" t="str">
        <f aca="false">IF(OR(N449="",H449=""),"",H449-N449)</f>
        <v/>
      </c>
      <c r="P449" s="25" t="str">
        <f aca="false">IF(O449="","",IF(O449&lt;0,"CONTRATO ANTERIOR À ABERTURA — conferir datas",IF(O449&lt;180,"EMPRESA ABERTA MENOS DE 6 MESES ANTES","")))</f>
        <v/>
      </c>
      <c r="Q449" s="31" t="str">
        <f aca="false">IF(D449="","",IFERROR(INDEX(Sancoes!$D:$D,MATCH(D449,Sancoes!$C:$C,0)),"não consta"))</f>
        <v/>
      </c>
      <c r="R449" s="25" t="str">
        <f aca="false">IF(OR(D449="",H449=""),"",IF(SUMPRODUCT((Sancoes!$C$5:$C$304=D449)*(Sancoes!$G$5:$G$304&lt;=H449)*(((Sancoes!$H$5:$H$304="")+(Sancoes!$H$5:$H$304&gt;=H449))&gt;0))&gt;0,"SANÇÃO VIGENTE NA DATA — ler tipo e abrangência",""))</f>
        <v/>
      </c>
      <c r="S449" s="24"/>
      <c r="T449" s="11"/>
    </row>
    <row r="450" customFormat="false" ht="15" hidden="false" customHeight="false" outlineLevel="0" collapsed="false">
      <c r="A450" s="11"/>
      <c r="B450" s="24"/>
      <c r="C450" s="24"/>
      <c r="D450" s="31" t="str">
        <f aca="false">IF(C450="","",IF(LEN(UPPER(SUBSTITUTE(SUBSTITUTE(SUBSTITUTE(SUBSTITUTE(TRIM(C450),".",""),"/",""),"-","")," ","")))&lt;14,RIGHT(REPT("0",14)&amp;UPPER(SUBSTITUTE(SUBSTITUTE(SUBSTITUTE(SUBSTITUTE(TRIM(C450),".",""),"/",""),"-","")," ","")),14),UPPER(SUBSTITUTE(SUBSTITUTE(SUBSTITUTE(SUBSTITUTE(TRIM(C450),".",""),"/",""),"-","")," ",""))))</f>
        <v/>
      </c>
      <c r="E450" s="25" t="str">
        <f aca="false">IF(D450="","",IFERROR(INDEX(Empresas!$C:$C,MATCH(D450,Empresas!$B:$B,0)),"cadastre o CNPJ em Empresas"))</f>
        <v/>
      </c>
      <c r="F450" s="11"/>
      <c r="G450" s="23"/>
      <c r="H450" s="22"/>
      <c r="I450" s="35"/>
      <c r="J450" s="35"/>
      <c r="K450" s="36" t="str">
        <f aca="false">IF(I450="","",I450+J450)</f>
        <v/>
      </c>
      <c r="L450" s="37" t="str">
        <f aca="false">IF(OR(I450="",I450=0,J450=""),"",J450/I450)</f>
        <v/>
      </c>
      <c r="M450" s="25" t="str">
        <f aca="false">IF(L450="","",IF(L450&gt;0.25,"ACRÉSCIMO ACIMA DE 25% — conferir",""))</f>
        <v/>
      </c>
      <c r="N450" s="29" t="str">
        <f aca="false">IF(D450="","",IF(COUNTIFS(Empresas!$B:$B,D450,Empresas!$E:$E,"&lt;&gt;")=0,"",INDEX(Empresas!$E:$E,MATCH(D450,Empresas!$B:$B,0))))</f>
        <v/>
      </c>
      <c r="O450" s="27" t="str">
        <f aca="false">IF(OR(N450="",H450=""),"",H450-N450)</f>
        <v/>
      </c>
      <c r="P450" s="25" t="str">
        <f aca="false">IF(O450="","",IF(O450&lt;0,"CONTRATO ANTERIOR À ABERTURA — conferir datas",IF(O450&lt;180,"EMPRESA ABERTA MENOS DE 6 MESES ANTES","")))</f>
        <v/>
      </c>
      <c r="Q450" s="31" t="str">
        <f aca="false">IF(D450="","",IFERROR(INDEX(Sancoes!$D:$D,MATCH(D450,Sancoes!$C:$C,0)),"não consta"))</f>
        <v/>
      </c>
      <c r="R450" s="25" t="str">
        <f aca="false">IF(OR(D450="",H450=""),"",IF(SUMPRODUCT((Sancoes!$C$5:$C$304=D450)*(Sancoes!$G$5:$G$304&lt;=H450)*(((Sancoes!$H$5:$H$304="")+(Sancoes!$H$5:$H$304&gt;=H450))&gt;0))&gt;0,"SANÇÃO VIGENTE NA DATA — ler tipo e abrangência",""))</f>
        <v/>
      </c>
      <c r="S450" s="24"/>
      <c r="T450" s="11"/>
    </row>
    <row r="451" customFormat="false" ht="15" hidden="false" customHeight="false" outlineLevel="0" collapsed="false">
      <c r="A451" s="11"/>
      <c r="B451" s="24"/>
      <c r="C451" s="24"/>
      <c r="D451" s="31" t="str">
        <f aca="false">IF(C451="","",IF(LEN(UPPER(SUBSTITUTE(SUBSTITUTE(SUBSTITUTE(SUBSTITUTE(TRIM(C451),".",""),"/",""),"-","")," ","")))&lt;14,RIGHT(REPT("0",14)&amp;UPPER(SUBSTITUTE(SUBSTITUTE(SUBSTITUTE(SUBSTITUTE(TRIM(C451),".",""),"/",""),"-","")," ","")),14),UPPER(SUBSTITUTE(SUBSTITUTE(SUBSTITUTE(SUBSTITUTE(TRIM(C451),".",""),"/",""),"-","")," ",""))))</f>
        <v/>
      </c>
      <c r="E451" s="25" t="str">
        <f aca="false">IF(D451="","",IFERROR(INDEX(Empresas!$C:$C,MATCH(D451,Empresas!$B:$B,0)),"cadastre o CNPJ em Empresas"))</f>
        <v/>
      </c>
      <c r="F451" s="11"/>
      <c r="G451" s="23"/>
      <c r="H451" s="22"/>
      <c r="I451" s="35"/>
      <c r="J451" s="35"/>
      <c r="K451" s="36" t="str">
        <f aca="false">IF(I451="","",I451+J451)</f>
        <v/>
      </c>
      <c r="L451" s="37" t="str">
        <f aca="false">IF(OR(I451="",I451=0,J451=""),"",J451/I451)</f>
        <v/>
      </c>
      <c r="M451" s="25" t="str">
        <f aca="false">IF(L451="","",IF(L451&gt;0.25,"ACRÉSCIMO ACIMA DE 25% — conferir",""))</f>
        <v/>
      </c>
      <c r="N451" s="29" t="str">
        <f aca="false">IF(D451="","",IF(COUNTIFS(Empresas!$B:$B,D451,Empresas!$E:$E,"&lt;&gt;")=0,"",INDEX(Empresas!$E:$E,MATCH(D451,Empresas!$B:$B,0))))</f>
        <v/>
      </c>
      <c r="O451" s="27" t="str">
        <f aca="false">IF(OR(N451="",H451=""),"",H451-N451)</f>
        <v/>
      </c>
      <c r="P451" s="25" t="str">
        <f aca="false">IF(O451="","",IF(O451&lt;0,"CONTRATO ANTERIOR À ABERTURA — conferir datas",IF(O451&lt;180,"EMPRESA ABERTA MENOS DE 6 MESES ANTES","")))</f>
        <v/>
      </c>
      <c r="Q451" s="31" t="str">
        <f aca="false">IF(D451="","",IFERROR(INDEX(Sancoes!$D:$D,MATCH(D451,Sancoes!$C:$C,0)),"não consta"))</f>
        <v/>
      </c>
      <c r="R451" s="25" t="str">
        <f aca="false">IF(OR(D451="",H451=""),"",IF(SUMPRODUCT((Sancoes!$C$5:$C$304=D451)*(Sancoes!$G$5:$G$304&lt;=H451)*(((Sancoes!$H$5:$H$304="")+(Sancoes!$H$5:$H$304&gt;=H451))&gt;0))&gt;0,"SANÇÃO VIGENTE NA DATA — ler tipo e abrangência",""))</f>
        <v/>
      </c>
      <c r="S451" s="24"/>
      <c r="T451" s="11"/>
    </row>
    <row r="452" customFormat="false" ht="15" hidden="false" customHeight="false" outlineLevel="0" collapsed="false">
      <c r="A452" s="11"/>
      <c r="B452" s="24"/>
      <c r="C452" s="24"/>
      <c r="D452" s="31" t="str">
        <f aca="false">IF(C452="","",IF(LEN(UPPER(SUBSTITUTE(SUBSTITUTE(SUBSTITUTE(SUBSTITUTE(TRIM(C452),".",""),"/",""),"-","")," ","")))&lt;14,RIGHT(REPT("0",14)&amp;UPPER(SUBSTITUTE(SUBSTITUTE(SUBSTITUTE(SUBSTITUTE(TRIM(C452),".",""),"/",""),"-","")," ","")),14),UPPER(SUBSTITUTE(SUBSTITUTE(SUBSTITUTE(SUBSTITUTE(TRIM(C452),".",""),"/",""),"-","")," ",""))))</f>
        <v/>
      </c>
      <c r="E452" s="25" t="str">
        <f aca="false">IF(D452="","",IFERROR(INDEX(Empresas!$C:$C,MATCH(D452,Empresas!$B:$B,0)),"cadastre o CNPJ em Empresas"))</f>
        <v/>
      </c>
      <c r="F452" s="11"/>
      <c r="G452" s="23"/>
      <c r="H452" s="22"/>
      <c r="I452" s="35"/>
      <c r="J452" s="35"/>
      <c r="K452" s="36" t="str">
        <f aca="false">IF(I452="","",I452+J452)</f>
        <v/>
      </c>
      <c r="L452" s="37" t="str">
        <f aca="false">IF(OR(I452="",I452=0,J452=""),"",J452/I452)</f>
        <v/>
      </c>
      <c r="M452" s="25" t="str">
        <f aca="false">IF(L452="","",IF(L452&gt;0.25,"ACRÉSCIMO ACIMA DE 25% — conferir",""))</f>
        <v/>
      </c>
      <c r="N452" s="29" t="str">
        <f aca="false">IF(D452="","",IF(COUNTIFS(Empresas!$B:$B,D452,Empresas!$E:$E,"&lt;&gt;")=0,"",INDEX(Empresas!$E:$E,MATCH(D452,Empresas!$B:$B,0))))</f>
        <v/>
      </c>
      <c r="O452" s="27" t="str">
        <f aca="false">IF(OR(N452="",H452=""),"",H452-N452)</f>
        <v/>
      </c>
      <c r="P452" s="25" t="str">
        <f aca="false">IF(O452="","",IF(O452&lt;0,"CONTRATO ANTERIOR À ABERTURA — conferir datas",IF(O452&lt;180,"EMPRESA ABERTA MENOS DE 6 MESES ANTES","")))</f>
        <v/>
      </c>
      <c r="Q452" s="31" t="str">
        <f aca="false">IF(D452="","",IFERROR(INDEX(Sancoes!$D:$D,MATCH(D452,Sancoes!$C:$C,0)),"não consta"))</f>
        <v/>
      </c>
      <c r="R452" s="25" t="str">
        <f aca="false">IF(OR(D452="",H452=""),"",IF(SUMPRODUCT((Sancoes!$C$5:$C$304=D452)*(Sancoes!$G$5:$G$304&lt;=H452)*(((Sancoes!$H$5:$H$304="")+(Sancoes!$H$5:$H$304&gt;=H452))&gt;0))&gt;0,"SANÇÃO VIGENTE NA DATA — ler tipo e abrangência",""))</f>
        <v/>
      </c>
      <c r="S452" s="24"/>
      <c r="T452" s="11"/>
    </row>
    <row r="453" customFormat="false" ht="15" hidden="false" customHeight="false" outlineLevel="0" collapsed="false">
      <c r="A453" s="11"/>
      <c r="B453" s="24"/>
      <c r="C453" s="24"/>
      <c r="D453" s="31" t="str">
        <f aca="false">IF(C453="","",IF(LEN(UPPER(SUBSTITUTE(SUBSTITUTE(SUBSTITUTE(SUBSTITUTE(TRIM(C453),".",""),"/",""),"-","")," ","")))&lt;14,RIGHT(REPT("0",14)&amp;UPPER(SUBSTITUTE(SUBSTITUTE(SUBSTITUTE(SUBSTITUTE(TRIM(C453),".",""),"/",""),"-","")," ","")),14),UPPER(SUBSTITUTE(SUBSTITUTE(SUBSTITUTE(SUBSTITUTE(TRIM(C453),".",""),"/",""),"-","")," ",""))))</f>
        <v/>
      </c>
      <c r="E453" s="25" t="str">
        <f aca="false">IF(D453="","",IFERROR(INDEX(Empresas!$C:$C,MATCH(D453,Empresas!$B:$B,0)),"cadastre o CNPJ em Empresas"))</f>
        <v/>
      </c>
      <c r="F453" s="11"/>
      <c r="G453" s="23"/>
      <c r="H453" s="22"/>
      <c r="I453" s="35"/>
      <c r="J453" s="35"/>
      <c r="K453" s="36" t="str">
        <f aca="false">IF(I453="","",I453+J453)</f>
        <v/>
      </c>
      <c r="L453" s="37" t="str">
        <f aca="false">IF(OR(I453="",I453=0,J453=""),"",J453/I453)</f>
        <v/>
      </c>
      <c r="M453" s="25" t="str">
        <f aca="false">IF(L453="","",IF(L453&gt;0.25,"ACRÉSCIMO ACIMA DE 25% — conferir",""))</f>
        <v/>
      </c>
      <c r="N453" s="29" t="str">
        <f aca="false">IF(D453="","",IF(COUNTIFS(Empresas!$B:$B,D453,Empresas!$E:$E,"&lt;&gt;")=0,"",INDEX(Empresas!$E:$E,MATCH(D453,Empresas!$B:$B,0))))</f>
        <v/>
      </c>
      <c r="O453" s="27" t="str">
        <f aca="false">IF(OR(N453="",H453=""),"",H453-N453)</f>
        <v/>
      </c>
      <c r="P453" s="25" t="str">
        <f aca="false">IF(O453="","",IF(O453&lt;0,"CONTRATO ANTERIOR À ABERTURA — conferir datas",IF(O453&lt;180,"EMPRESA ABERTA MENOS DE 6 MESES ANTES","")))</f>
        <v/>
      </c>
      <c r="Q453" s="31" t="str">
        <f aca="false">IF(D453="","",IFERROR(INDEX(Sancoes!$D:$D,MATCH(D453,Sancoes!$C:$C,0)),"não consta"))</f>
        <v/>
      </c>
      <c r="R453" s="25" t="str">
        <f aca="false">IF(OR(D453="",H453=""),"",IF(SUMPRODUCT((Sancoes!$C$5:$C$304=D453)*(Sancoes!$G$5:$G$304&lt;=H453)*(((Sancoes!$H$5:$H$304="")+(Sancoes!$H$5:$H$304&gt;=H453))&gt;0))&gt;0,"SANÇÃO VIGENTE NA DATA — ler tipo e abrangência",""))</f>
        <v/>
      </c>
      <c r="S453" s="24"/>
      <c r="T453" s="11"/>
    </row>
    <row r="454" customFormat="false" ht="15" hidden="false" customHeight="false" outlineLevel="0" collapsed="false">
      <c r="A454" s="11"/>
      <c r="B454" s="24"/>
      <c r="C454" s="24"/>
      <c r="D454" s="31" t="str">
        <f aca="false">IF(C454="","",IF(LEN(UPPER(SUBSTITUTE(SUBSTITUTE(SUBSTITUTE(SUBSTITUTE(TRIM(C454),".",""),"/",""),"-","")," ","")))&lt;14,RIGHT(REPT("0",14)&amp;UPPER(SUBSTITUTE(SUBSTITUTE(SUBSTITUTE(SUBSTITUTE(TRIM(C454),".",""),"/",""),"-","")," ","")),14),UPPER(SUBSTITUTE(SUBSTITUTE(SUBSTITUTE(SUBSTITUTE(TRIM(C454),".",""),"/",""),"-","")," ",""))))</f>
        <v/>
      </c>
      <c r="E454" s="25" t="str">
        <f aca="false">IF(D454="","",IFERROR(INDEX(Empresas!$C:$C,MATCH(D454,Empresas!$B:$B,0)),"cadastre o CNPJ em Empresas"))</f>
        <v/>
      </c>
      <c r="F454" s="11"/>
      <c r="G454" s="23"/>
      <c r="H454" s="22"/>
      <c r="I454" s="35"/>
      <c r="J454" s="35"/>
      <c r="K454" s="36" t="str">
        <f aca="false">IF(I454="","",I454+J454)</f>
        <v/>
      </c>
      <c r="L454" s="37" t="str">
        <f aca="false">IF(OR(I454="",I454=0,J454=""),"",J454/I454)</f>
        <v/>
      </c>
      <c r="M454" s="25" t="str">
        <f aca="false">IF(L454="","",IF(L454&gt;0.25,"ACRÉSCIMO ACIMA DE 25% — conferir",""))</f>
        <v/>
      </c>
      <c r="N454" s="29" t="str">
        <f aca="false">IF(D454="","",IF(COUNTIFS(Empresas!$B:$B,D454,Empresas!$E:$E,"&lt;&gt;")=0,"",INDEX(Empresas!$E:$E,MATCH(D454,Empresas!$B:$B,0))))</f>
        <v/>
      </c>
      <c r="O454" s="27" t="str">
        <f aca="false">IF(OR(N454="",H454=""),"",H454-N454)</f>
        <v/>
      </c>
      <c r="P454" s="25" t="str">
        <f aca="false">IF(O454="","",IF(O454&lt;0,"CONTRATO ANTERIOR À ABERTURA — conferir datas",IF(O454&lt;180,"EMPRESA ABERTA MENOS DE 6 MESES ANTES","")))</f>
        <v/>
      </c>
      <c r="Q454" s="31" t="str">
        <f aca="false">IF(D454="","",IFERROR(INDEX(Sancoes!$D:$D,MATCH(D454,Sancoes!$C:$C,0)),"não consta"))</f>
        <v/>
      </c>
      <c r="R454" s="25" t="str">
        <f aca="false">IF(OR(D454="",H454=""),"",IF(SUMPRODUCT((Sancoes!$C$5:$C$304=D454)*(Sancoes!$G$5:$G$304&lt;=H454)*(((Sancoes!$H$5:$H$304="")+(Sancoes!$H$5:$H$304&gt;=H454))&gt;0))&gt;0,"SANÇÃO VIGENTE NA DATA — ler tipo e abrangência",""))</f>
        <v/>
      </c>
      <c r="S454" s="24"/>
      <c r="T454" s="11"/>
    </row>
    <row r="455" customFormat="false" ht="15" hidden="false" customHeight="false" outlineLevel="0" collapsed="false">
      <c r="A455" s="11"/>
      <c r="B455" s="24"/>
      <c r="C455" s="24"/>
      <c r="D455" s="31" t="str">
        <f aca="false">IF(C455="","",IF(LEN(UPPER(SUBSTITUTE(SUBSTITUTE(SUBSTITUTE(SUBSTITUTE(TRIM(C455),".",""),"/",""),"-","")," ","")))&lt;14,RIGHT(REPT("0",14)&amp;UPPER(SUBSTITUTE(SUBSTITUTE(SUBSTITUTE(SUBSTITUTE(TRIM(C455),".",""),"/",""),"-","")," ","")),14),UPPER(SUBSTITUTE(SUBSTITUTE(SUBSTITUTE(SUBSTITUTE(TRIM(C455),".",""),"/",""),"-","")," ",""))))</f>
        <v/>
      </c>
      <c r="E455" s="25" t="str">
        <f aca="false">IF(D455="","",IFERROR(INDEX(Empresas!$C:$C,MATCH(D455,Empresas!$B:$B,0)),"cadastre o CNPJ em Empresas"))</f>
        <v/>
      </c>
      <c r="F455" s="11"/>
      <c r="G455" s="23"/>
      <c r="H455" s="22"/>
      <c r="I455" s="35"/>
      <c r="J455" s="35"/>
      <c r="K455" s="36" t="str">
        <f aca="false">IF(I455="","",I455+J455)</f>
        <v/>
      </c>
      <c r="L455" s="37" t="str">
        <f aca="false">IF(OR(I455="",I455=0,J455=""),"",J455/I455)</f>
        <v/>
      </c>
      <c r="M455" s="25" t="str">
        <f aca="false">IF(L455="","",IF(L455&gt;0.25,"ACRÉSCIMO ACIMA DE 25% — conferir",""))</f>
        <v/>
      </c>
      <c r="N455" s="29" t="str">
        <f aca="false">IF(D455="","",IF(COUNTIFS(Empresas!$B:$B,D455,Empresas!$E:$E,"&lt;&gt;")=0,"",INDEX(Empresas!$E:$E,MATCH(D455,Empresas!$B:$B,0))))</f>
        <v/>
      </c>
      <c r="O455" s="27" t="str">
        <f aca="false">IF(OR(N455="",H455=""),"",H455-N455)</f>
        <v/>
      </c>
      <c r="P455" s="25" t="str">
        <f aca="false">IF(O455="","",IF(O455&lt;0,"CONTRATO ANTERIOR À ABERTURA — conferir datas",IF(O455&lt;180,"EMPRESA ABERTA MENOS DE 6 MESES ANTES","")))</f>
        <v/>
      </c>
      <c r="Q455" s="31" t="str">
        <f aca="false">IF(D455="","",IFERROR(INDEX(Sancoes!$D:$D,MATCH(D455,Sancoes!$C:$C,0)),"não consta"))</f>
        <v/>
      </c>
      <c r="R455" s="25" t="str">
        <f aca="false">IF(OR(D455="",H455=""),"",IF(SUMPRODUCT((Sancoes!$C$5:$C$304=D455)*(Sancoes!$G$5:$G$304&lt;=H455)*(((Sancoes!$H$5:$H$304="")+(Sancoes!$H$5:$H$304&gt;=H455))&gt;0))&gt;0,"SANÇÃO VIGENTE NA DATA — ler tipo e abrangência",""))</f>
        <v/>
      </c>
      <c r="S455" s="24"/>
      <c r="T455" s="11"/>
    </row>
    <row r="456" customFormat="false" ht="15" hidden="false" customHeight="false" outlineLevel="0" collapsed="false">
      <c r="A456" s="11"/>
      <c r="B456" s="24"/>
      <c r="C456" s="24"/>
      <c r="D456" s="31" t="str">
        <f aca="false">IF(C456="","",IF(LEN(UPPER(SUBSTITUTE(SUBSTITUTE(SUBSTITUTE(SUBSTITUTE(TRIM(C456),".",""),"/",""),"-","")," ","")))&lt;14,RIGHT(REPT("0",14)&amp;UPPER(SUBSTITUTE(SUBSTITUTE(SUBSTITUTE(SUBSTITUTE(TRIM(C456),".",""),"/",""),"-","")," ","")),14),UPPER(SUBSTITUTE(SUBSTITUTE(SUBSTITUTE(SUBSTITUTE(TRIM(C456),".",""),"/",""),"-","")," ",""))))</f>
        <v/>
      </c>
      <c r="E456" s="25" t="str">
        <f aca="false">IF(D456="","",IFERROR(INDEX(Empresas!$C:$C,MATCH(D456,Empresas!$B:$B,0)),"cadastre o CNPJ em Empresas"))</f>
        <v/>
      </c>
      <c r="F456" s="11"/>
      <c r="G456" s="23"/>
      <c r="H456" s="22"/>
      <c r="I456" s="35"/>
      <c r="J456" s="35"/>
      <c r="K456" s="36" t="str">
        <f aca="false">IF(I456="","",I456+J456)</f>
        <v/>
      </c>
      <c r="L456" s="37" t="str">
        <f aca="false">IF(OR(I456="",I456=0,J456=""),"",J456/I456)</f>
        <v/>
      </c>
      <c r="M456" s="25" t="str">
        <f aca="false">IF(L456="","",IF(L456&gt;0.25,"ACRÉSCIMO ACIMA DE 25% — conferir",""))</f>
        <v/>
      </c>
      <c r="N456" s="29" t="str">
        <f aca="false">IF(D456="","",IF(COUNTIFS(Empresas!$B:$B,D456,Empresas!$E:$E,"&lt;&gt;")=0,"",INDEX(Empresas!$E:$E,MATCH(D456,Empresas!$B:$B,0))))</f>
        <v/>
      </c>
      <c r="O456" s="27" t="str">
        <f aca="false">IF(OR(N456="",H456=""),"",H456-N456)</f>
        <v/>
      </c>
      <c r="P456" s="25" t="str">
        <f aca="false">IF(O456="","",IF(O456&lt;0,"CONTRATO ANTERIOR À ABERTURA — conferir datas",IF(O456&lt;180,"EMPRESA ABERTA MENOS DE 6 MESES ANTES","")))</f>
        <v/>
      </c>
      <c r="Q456" s="31" t="str">
        <f aca="false">IF(D456="","",IFERROR(INDEX(Sancoes!$D:$D,MATCH(D456,Sancoes!$C:$C,0)),"não consta"))</f>
        <v/>
      </c>
      <c r="R456" s="25" t="str">
        <f aca="false">IF(OR(D456="",H456=""),"",IF(SUMPRODUCT((Sancoes!$C$5:$C$304=D456)*(Sancoes!$G$5:$G$304&lt;=H456)*(((Sancoes!$H$5:$H$304="")+(Sancoes!$H$5:$H$304&gt;=H456))&gt;0))&gt;0,"SANÇÃO VIGENTE NA DATA — ler tipo e abrangência",""))</f>
        <v/>
      </c>
      <c r="S456" s="24"/>
      <c r="T456" s="11"/>
    </row>
    <row r="457" customFormat="false" ht="15" hidden="false" customHeight="false" outlineLevel="0" collapsed="false">
      <c r="A457" s="11"/>
      <c r="B457" s="24"/>
      <c r="C457" s="24"/>
      <c r="D457" s="31" t="str">
        <f aca="false">IF(C457="","",IF(LEN(UPPER(SUBSTITUTE(SUBSTITUTE(SUBSTITUTE(SUBSTITUTE(TRIM(C457),".",""),"/",""),"-","")," ","")))&lt;14,RIGHT(REPT("0",14)&amp;UPPER(SUBSTITUTE(SUBSTITUTE(SUBSTITUTE(SUBSTITUTE(TRIM(C457),".",""),"/",""),"-","")," ","")),14),UPPER(SUBSTITUTE(SUBSTITUTE(SUBSTITUTE(SUBSTITUTE(TRIM(C457),".",""),"/",""),"-","")," ",""))))</f>
        <v/>
      </c>
      <c r="E457" s="25" t="str">
        <f aca="false">IF(D457="","",IFERROR(INDEX(Empresas!$C:$C,MATCH(D457,Empresas!$B:$B,0)),"cadastre o CNPJ em Empresas"))</f>
        <v/>
      </c>
      <c r="F457" s="11"/>
      <c r="G457" s="23"/>
      <c r="H457" s="22"/>
      <c r="I457" s="35"/>
      <c r="J457" s="35"/>
      <c r="K457" s="36" t="str">
        <f aca="false">IF(I457="","",I457+J457)</f>
        <v/>
      </c>
      <c r="L457" s="37" t="str">
        <f aca="false">IF(OR(I457="",I457=0,J457=""),"",J457/I457)</f>
        <v/>
      </c>
      <c r="M457" s="25" t="str">
        <f aca="false">IF(L457="","",IF(L457&gt;0.25,"ACRÉSCIMO ACIMA DE 25% — conferir",""))</f>
        <v/>
      </c>
      <c r="N457" s="29" t="str">
        <f aca="false">IF(D457="","",IF(COUNTIFS(Empresas!$B:$B,D457,Empresas!$E:$E,"&lt;&gt;")=0,"",INDEX(Empresas!$E:$E,MATCH(D457,Empresas!$B:$B,0))))</f>
        <v/>
      </c>
      <c r="O457" s="27" t="str">
        <f aca="false">IF(OR(N457="",H457=""),"",H457-N457)</f>
        <v/>
      </c>
      <c r="P457" s="25" t="str">
        <f aca="false">IF(O457="","",IF(O457&lt;0,"CONTRATO ANTERIOR À ABERTURA — conferir datas",IF(O457&lt;180,"EMPRESA ABERTA MENOS DE 6 MESES ANTES","")))</f>
        <v/>
      </c>
      <c r="Q457" s="31" t="str">
        <f aca="false">IF(D457="","",IFERROR(INDEX(Sancoes!$D:$D,MATCH(D457,Sancoes!$C:$C,0)),"não consta"))</f>
        <v/>
      </c>
      <c r="R457" s="25" t="str">
        <f aca="false">IF(OR(D457="",H457=""),"",IF(SUMPRODUCT((Sancoes!$C$5:$C$304=D457)*(Sancoes!$G$5:$G$304&lt;=H457)*(((Sancoes!$H$5:$H$304="")+(Sancoes!$H$5:$H$304&gt;=H457))&gt;0))&gt;0,"SANÇÃO VIGENTE NA DATA — ler tipo e abrangência",""))</f>
        <v/>
      </c>
      <c r="S457" s="24"/>
      <c r="T457" s="11"/>
    </row>
    <row r="458" customFormat="false" ht="15" hidden="false" customHeight="false" outlineLevel="0" collapsed="false">
      <c r="A458" s="11"/>
      <c r="B458" s="24"/>
      <c r="C458" s="24"/>
      <c r="D458" s="31" t="str">
        <f aca="false">IF(C458="","",IF(LEN(UPPER(SUBSTITUTE(SUBSTITUTE(SUBSTITUTE(SUBSTITUTE(TRIM(C458),".",""),"/",""),"-","")," ","")))&lt;14,RIGHT(REPT("0",14)&amp;UPPER(SUBSTITUTE(SUBSTITUTE(SUBSTITUTE(SUBSTITUTE(TRIM(C458),".",""),"/",""),"-","")," ","")),14),UPPER(SUBSTITUTE(SUBSTITUTE(SUBSTITUTE(SUBSTITUTE(TRIM(C458),".",""),"/",""),"-","")," ",""))))</f>
        <v/>
      </c>
      <c r="E458" s="25" t="str">
        <f aca="false">IF(D458="","",IFERROR(INDEX(Empresas!$C:$C,MATCH(D458,Empresas!$B:$B,0)),"cadastre o CNPJ em Empresas"))</f>
        <v/>
      </c>
      <c r="F458" s="11"/>
      <c r="G458" s="23"/>
      <c r="H458" s="22"/>
      <c r="I458" s="35"/>
      <c r="J458" s="35"/>
      <c r="K458" s="36" t="str">
        <f aca="false">IF(I458="","",I458+J458)</f>
        <v/>
      </c>
      <c r="L458" s="37" t="str">
        <f aca="false">IF(OR(I458="",I458=0,J458=""),"",J458/I458)</f>
        <v/>
      </c>
      <c r="M458" s="25" t="str">
        <f aca="false">IF(L458="","",IF(L458&gt;0.25,"ACRÉSCIMO ACIMA DE 25% — conferir",""))</f>
        <v/>
      </c>
      <c r="N458" s="29" t="str">
        <f aca="false">IF(D458="","",IF(COUNTIFS(Empresas!$B:$B,D458,Empresas!$E:$E,"&lt;&gt;")=0,"",INDEX(Empresas!$E:$E,MATCH(D458,Empresas!$B:$B,0))))</f>
        <v/>
      </c>
      <c r="O458" s="27" t="str">
        <f aca="false">IF(OR(N458="",H458=""),"",H458-N458)</f>
        <v/>
      </c>
      <c r="P458" s="25" t="str">
        <f aca="false">IF(O458="","",IF(O458&lt;0,"CONTRATO ANTERIOR À ABERTURA — conferir datas",IF(O458&lt;180,"EMPRESA ABERTA MENOS DE 6 MESES ANTES","")))</f>
        <v/>
      </c>
      <c r="Q458" s="31" t="str">
        <f aca="false">IF(D458="","",IFERROR(INDEX(Sancoes!$D:$D,MATCH(D458,Sancoes!$C:$C,0)),"não consta"))</f>
        <v/>
      </c>
      <c r="R458" s="25" t="str">
        <f aca="false">IF(OR(D458="",H458=""),"",IF(SUMPRODUCT((Sancoes!$C$5:$C$304=D458)*(Sancoes!$G$5:$G$304&lt;=H458)*(((Sancoes!$H$5:$H$304="")+(Sancoes!$H$5:$H$304&gt;=H458))&gt;0))&gt;0,"SANÇÃO VIGENTE NA DATA — ler tipo e abrangência",""))</f>
        <v/>
      </c>
      <c r="S458" s="24"/>
      <c r="T458" s="11"/>
    </row>
    <row r="459" customFormat="false" ht="15" hidden="false" customHeight="false" outlineLevel="0" collapsed="false">
      <c r="A459" s="11"/>
      <c r="B459" s="24"/>
      <c r="C459" s="24"/>
      <c r="D459" s="31" t="str">
        <f aca="false">IF(C459="","",IF(LEN(UPPER(SUBSTITUTE(SUBSTITUTE(SUBSTITUTE(SUBSTITUTE(TRIM(C459),".",""),"/",""),"-","")," ","")))&lt;14,RIGHT(REPT("0",14)&amp;UPPER(SUBSTITUTE(SUBSTITUTE(SUBSTITUTE(SUBSTITUTE(TRIM(C459),".",""),"/",""),"-","")," ","")),14),UPPER(SUBSTITUTE(SUBSTITUTE(SUBSTITUTE(SUBSTITUTE(TRIM(C459),".",""),"/",""),"-","")," ",""))))</f>
        <v/>
      </c>
      <c r="E459" s="25" t="str">
        <f aca="false">IF(D459="","",IFERROR(INDEX(Empresas!$C:$C,MATCH(D459,Empresas!$B:$B,0)),"cadastre o CNPJ em Empresas"))</f>
        <v/>
      </c>
      <c r="F459" s="11"/>
      <c r="G459" s="23"/>
      <c r="H459" s="22"/>
      <c r="I459" s="35"/>
      <c r="J459" s="35"/>
      <c r="K459" s="36" t="str">
        <f aca="false">IF(I459="","",I459+J459)</f>
        <v/>
      </c>
      <c r="L459" s="37" t="str">
        <f aca="false">IF(OR(I459="",I459=0,J459=""),"",J459/I459)</f>
        <v/>
      </c>
      <c r="M459" s="25" t="str">
        <f aca="false">IF(L459="","",IF(L459&gt;0.25,"ACRÉSCIMO ACIMA DE 25% — conferir",""))</f>
        <v/>
      </c>
      <c r="N459" s="29" t="str">
        <f aca="false">IF(D459="","",IF(COUNTIFS(Empresas!$B:$B,D459,Empresas!$E:$E,"&lt;&gt;")=0,"",INDEX(Empresas!$E:$E,MATCH(D459,Empresas!$B:$B,0))))</f>
        <v/>
      </c>
      <c r="O459" s="27" t="str">
        <f aca="false">IF(OR(N459="",H459=""),"",H459-N459)</f>
        <v/>
      </c>
      <c r="P459" s="25" t="str">
        <f aca="false">IF(O459="","",IF(O459&lt;0,"CONTRATO ANTERIOR À ABERTURA — conferir datas",IF(O459&lt;180,"EMPRESA ABERTA MENOS DE 6 MESES ANTES","")))</f>
        <v/>
      </c>
      <c r="Q459" s="31" t="str">
        <f aca="false">IF(D459="","",IFERROR(INDEX(Sancoes!$D:$D,MATCH(D459,Sancoes!$C:$C,0)),"não consta"))</f>
        <v/>
      </c>
      <c r="R459" s="25" t="str">
        <f aca="false">IF(OR(D459="",H459=""),"",IF(SUMPRODUCT((Sancoes!$C$5:$C$304=D459)*(Sancoes!$G$5:$G$304&lt;=H459)*(((Sancoes!$H$5:$H$304="")+(Sancoes!$H$5:$H$304&gt;=H459))&gt;0))&gt;0,"SANÇÃO VIGENTE NA DATA — ler tipo e abrangência",""))</f>
        <v/>
      </c>
      <c r="S459" s="24"/>
      <c r="T459" s="11"/>
    </row>
    <row r="460" customFormat="false" ht="15" hidden="false" customHeight="false" outlineLevel="0" collapsed="false">
      <c r="A460" s="11"/>
      <c r="B460" s="24"/>
      <c r="C460" s="24"/>
      <c r="D460" s="31" t="str">
        <f aca="false">IF(C460="","",IF(LEN(UPPER(SUBSTITUTE(SUBSTITUTE(SUBSTITUTE(SUBSTITUTE(TRIM(C460),".",""),"/",""),"-","")," ","")))&lt;14,RIGHT(REPT("0",14)&amp;UPPER(SUBSTITUTE(SUBSTITUTE(SUBSTITUTE(SUBSTITUTE(TRIM(C460),".",""),"/",""),"-","")," ","")),14),UPPER(SUBSTITUTE(SUBSTITUTE(SUBSTITUTE(SUBSTITUTE(TRIM(C460),".",""),"/",""),"-","")," ",""))))</f>
        <v/>
      </c>
      <c r="E460" s="25" t="str">
        <f aca="false">IF(D460="","",IFERROR(INDEX(Empresas!$C:$C,MATCH(D460,Empresas!$B:$B,0)),"cadastre o CNPJ em Empresas"))</f>
        <v/>
      </c>
      <c r="F460" s="11"/>
      <c r="G460" s="23"/>
      <c r="H460" s="22"/>
      <c r="I460" s="35"/>
      <c r="J460" s="35"/>
      <c r="K460" s="36" t="str">
        <f aca="false">IF(I460="","",I460+J460)</f>
        <v/>
      </c>
      <c r="L460" s="37" t="str">
        <f aca="false">IF(OR(I460="",I460=0,J460=""),"",J460/I460)</f>
        <v/>
      </c>
      <c r="M460" s="25" t="str">
        <f aca="false">IF(L460="","",IF(L460&gt;0.25,"ACRÉSCIMO ACIMA DE 25% — conferir",""))</f>
        <v/>
      </c>
      <c r="N460" s="29" t="str">
        <f aca="false">IF(D460="","",IF(COUNTIFS(Empresas!$B:$B,D460,Empresas!$E:$E,"&lt;&gt;")=0,"",INDEX(Empresas!$E:$E,MATCH(D460,Empresas!$B:$B,0))))</f>
        <v/>
      </c>
      <c r="O460" s="27" t="str">
        <f aca="false">IF(OR(N460="",H460=""),"",H460-N460)</f>
        <v/>
      </c>
      <c r="P460" s="25" t="str">
        <f aca="false">IF(O460="","",IF(O460&lt;0,"CONTRATO ANTERIOR À ABERTURA — conferir datas",IF(O460&lt;180,"EMPRESA ABERTA MENOS DE 6 MESES ANTES","")))</f>
        <v/>
      </c>
      <c r="Q460" s="31" t="str">
        <f aca="false">IF(D460="","",IFERROR(INDEX(Sancoes!$D:$D,MATCH(D460,Sancoes!$C:$C,0)),"não consta"))</f>
        <v/>
      </c>
      <c r="R460" s="25" t="str">
        <f aca="false">IF(OR(D460="",H460=""),"",IF(SUMPRODUCT((Sancoes!$C$5:$C$304=D460)*(Sancoes!$G$5:$G$304&lt;=H460)*(((Sancoes!$H$5:$H$304="")+(Sancoes!$H$5:$H$304&gt;=H460))&gt;0))&gt;0,"SANÇÃO VIGENTE NA DATA — ler tipo e abrangência",""))</f>
        <v/>
      </c>
      <c r="S460" s="24"/>
      <c r="T460" s="11"/>
    </row>
    <row r="461" customFormat="false" ht="15" hidden="false" customHeight="false" outlineLevel="0" collapsed="false">
      <c r="A461" s="11"/>
      <c r="B461" s="24"/>
      <c r="C461" s="24"/>
      <c r="D461" s="31" t="str">
        <f aca="false">IF(C461="","",IF(LEN(UPPER(SUBSTITUTE(SUBSTITUTE(SUBSTITUTE(SUBSTITUTE(TRIM(C461),".",""),"/",""),"-","")," ","")))&lt;14,RIGHT(REPT("0",14)&amp;UPPER(SUBSTITUTE(SUBSTITUTE(SUBSTITUTE(SUBSTITUTE(TRIM(C461),".",""),"/",""),"-","")," ","")),14),UPPER(SUBSTITUTE(SUBSTITUTE(SUBSTITUTE(SUBSTITUTE(TRIM(C461),".",""),"/",""),"-","")," ",""))))</f>
        <v/>
      </c>
      <c r="E461" s="25" t="str">
        <f aca="false">IF(D461="","",IFERROR(INDEX(Empresas!$C:$C,MATCH(D461,Empresas!$B:$B,0)),"cadastre o CNPJ em Empresas"))</f>
        <v/>
      </c>
      <c r="F461" s="11"/>
      <c r="G461" s="23"/>
      <c r="H461" s="22"/>
      <c r="I461" s="35"/>
      <c r="J461" s="35"/>
      <c r="K461" s="36" t="str">
        <f aca="false">IF(I461="","",I461+J461)</f>
        <v/>
      </c>
      <c r="L461" s="37" t="str">
        <f aca="false">IF(OR(I461="",I461=0,J461=""),"",J461/I461)</f>
        <v/>
      </c>
      <c r="M461" s="25" t="str">
        <f aca="false">IF(L461="","",IF(L461&gt;0.25,"ACRÉSCIMO ACIMA DE 25% — conferir",""))</f>
        <v/>
      </c>
      <c r="N461" s="29" t="str">
        <f aca="false">IF(D461="","",IF(COUNTIFS(Empresas!$B:$B,D461,Empresas!$E:$E,"&lt;&gt;")=0,"",INDEX(Empresas!$E:$E,MATCH(D461,Empresas!$B:$B,0))))</f>
        <v/>
      </c>
      <c r="O461" s="27" t="str">
        <f aca="false">IF(OR(N461="",H461=""),"",H461-N461)</f>
        <v/>
      </c>
      <c r="P461" s="25" t="str">
        <f aca="false">IF(O461="","",IF(O461&lt;0,"CONTRATO ANTERIOR À ABERTURA — conferir datas",IF(O461&lt;180,"EMPRESA ABERTA MENOS DE 6 MESES ANTES","")))</f>
        <v/>
      </c>
      <c r="Q461" s="31" t="str">
        <f aca="false">IF(D461="","",IFERROR(INDEX(Sancoes!$D:$D,MATCH(D461,Sancoes!$C:$C,0)),"não consta"))</f>
        <v/>
      </c>
      <c r="R461" s="25" t="str">
        <f aca="false">IF(OR(D461="",H461=""),"",IF(SUMPRODUCT((Sancoes!$C$5:$C$304=D461)*(Sancoes!$G$5:$G$304&lt;=H461)*(((Sancoes!$H$5:$H$304="")+(Sancoes!$H$5:$H$304&gt;=H461))&gt;0))&gt;0,"SANÇÃO VIGENTE NA DATA — ler tipo e abrangência",""))</f>
        <v/>
      </c>
      <c r="S461" s="24"/>
      <c r="T461" s="11"/>
    </row>
    <row r="462" customFormat="false" ht="15" hidden="false" customHeight="false" outlineLevel="0" collapsed="false">
      <c r="A462" s="11"/>
      <c r="B462" s="24"/>
      <c r="C462" s="24"/>
      <c r="D462" s="31" t="str">
        <f aca="false">IF(C462="","",IF(LEN(UPPER(SUBSTITUTE(SUBSTITUTE(SUBSTITUTE(SUBSTITUTE(TRIM(C462),".",""),"/",""),"-","")," ","")))&lt;14,RIGHT(REPT("0",14)&amp;UPPER(SUBSTITUTE(SUBSTITUTE(SUBSTITUTE(SUBSTITUTE(TRIM(C462),".",""),"/",""),"-","")," ","")),14),UPPER(SUBSTITUTE(SUBSTITUTE(SUBSTITUTE(SUBSTITUTE(TRIM(C462),".",""),"/",""),"-","")," ",""))))</f>
        <v/>
      </c>
      <c r="E462" s="25" t="str">
        <f aca="false">IF(D462="","",IFERROR(INDEX(Empresas!$C:$C,MATCH(D462,Empresas!$B:$B,0)),"cadastre o CNPJ em Empresas"))</f>
        <v/>
      </c>
      <c r="F462" s="11"/>
      <c r="G462" s="23"/>
      <c r="H462" s="22"/>
      <c r="I462" s="35"/>
      <c r="J462" s="35"/>
      <c r="K462" s="36" t="str">
        <f aca="false">IF(I462="","",I462+J462)</f>
        <v/>
      </c>
      <c r="L462" s="37" t="str">
        <f aca="false">IF(OR(I462="",I462=0,J462=""),"",J462/I462)</f>
        <v/>
      </c>
      <c r="M462" s="25" t="str">
        <f aca="false">IF(L462="","",IF(L462&gt;0.25,"ACRÉSCIMO ACIMA DE 25% — conferir",""))</f>
        <v/>
      </c>
      <c r="N462" s="29" t="str">
        <f aca="false">IF(D462="","",IF(COUNTIFS(Empresas!$B:$B,D462,Empresas!$E:$E,"&lt;&gt;")=0,"",INDEX(Empresas!$E:$E,MATCH(D462,Empresas!$B:$B,0))))</f>
        <v/>
      </c>
      <c r="O462" s="27" t="str">
        <f aca="false">IF(OR(N462="",H462=""),"",H462-N462)</f>
        <v/>
      </c>
      <c r="P462" s="25" t="str">
        <f aca="false">IF(O462="","",IF(O462&lt;0,"CONTRATO ANTERIOR À ABERTURA — conferir datas",IF(O462&lt;180,"EMPRESA ABERTA MENOS DE 6 MESES ANTES","")))</f>
        <v/>
      </c>
      <c r="Q462" s="31" t="str">
        <f aca="false">IF(D462="","",IFERROR(INDEX(Sancoes!$D:$D,MATCH(D462,Sancoes!$C:$C,0)),"não consta"))</f>
        <v/>
      </c>
      <c r="R462" s="25" t="str">
        <f aca="false">IF(OR(D462="",H462=""),"",IF(SUMPRODUCT((Sancoes!$C$5:$C$304=D462)*(Sancoes!$G$5:$G$304&lt;=H462)*(((Sancoes!$H$5:$H$304="")+(Sancoes!$H$5:$H$304&gt;=H462))&gt;0))&gt;0,"SANÇÃO VIGENTE NA DATA — ler tipo e abrangência",""))</f>
        <v/>
      </c>
      <c r="S462" s="24"/>
      <c r="T462" s="11"/>
    </row>
    <row r="463" customFormat="false" ht="15" hidden="false" customHeight="false" outlineLevel="0" collapsed="false">
      <c r="A463" s="11"/>
      <c r="B463" s="24"/>
      <c r="C463" s="24"/>
      <c r="D463" s="31" t="str">
        <f aca="false">IF(C463="","",IF(LEN(UPPER(SUBSTITUTE(SUBSTITUTE(SUBSTITUTE(SUBSTITUTE(TRIM(C463),".",""),"/",""),"-","")," ","")))&lt;14,RIGHT(REPT("0",14)&amp;UPPER(SUBSTITUTE(SUBSTITUTE(SUBSTITUTE(SUBSTITUTE(TRIM(C463),".",""),"/",""),"-","")," ","")),14),UPPER(SUBSTITUTE(SUBSTITUTE(SUBSTITUTE(SUBSTITUTE(TRIM(C463),".",""),"/",""),"-","")," ",""))))</f>
        <v/>
      </c>
      <c r="E463" s="25" t="str">
        <f aca="false">IF(D463="","",IFERROR(INDEX(Empresas!$C:$C,MATCH(D463,Empresas!$B:$B,0)),"cadastre o CNPJ em Empresas"))</f>
        <v/>
      </c>
      <c r="F463" s="11"/>
      <c r="G463" s="23"/>
      <c r="H463" s="22"/>
      <c r="I463" s="35"/>
      <c r="J463" s="35"/>
      <c r="K463" s="36" t="str">
        <f aca="false">IF(I463="","",I463+J463)</f>
        <v/>
      </c>
      <c r="L463" s="37" t="str">
        <f aca="false">IF(OR(I463="",I463=0,J463=""),"",J463/I463)</f>
        <v/>
      </c>
      <c r="M463" s="25" t="str">
        <f aca="false">IF(L463="","",IF(L463&gt;0.25,"ACRÉSCIMO ACIMA DE 25% — conferir",""))</f>
        <v/>
      </c>
      <c r="N463" s="29" t="str">
        <f aca="false">IF(D463="","",IF(COUNTIFS(Empresas!$B:$B,D463,Empresas!$E:$E,"&lt;&gt;")=0,"",INDEX(Empresas!$E:$E,MATCH(D463,Empresas!$B:$B,0))))</f>
        <v/>
      </c>
      <c r="O463" s="27" t="str">
        <f aca="false">IF(OR(N463="",H463=""),"",H463-N463)</f>
        <v/>
      </c>
      <c r="P463" s="25" t="str">
        <f aca="false">IF(O463="","",IF(O463&lt;0,"CONTRATO ANTERIOR À ABERTURA — conferir datas",IF(O463&lt;180,"EMPRESA ABERTA MENOS DE 6 MESES ANTES","")))</f>
        <v/>
      </c>
      <c r="Q463" s="31" t="str">
        <f aca="false">IF(D463="","",IFERROR(INDEX(Sancoes!$D:$D,MATCH(D463,Sancoes!$C:$C,0)),"não consta"))</f>
        <v/>
      </c>
      <c r="R463" s="25" t="str">
        <f aca="false">IF(OR(D463="",H463=""),"",IF(SUMPRODUCT((Sancoes!$C$5:$C$304=D463)*(Sancoes!$G$5:$G$304&lt;=H463)*(((Sancoes!$H$5:$H$304="")+(Sancoes!$H$5:$H$304&gt;=H463))&gt;0))&gt;0,"SANÇÃO VIGENTE NA DATA — ler tipo e abrangência",""))</f>
        <v/>
      </c>
      <c r="S463" s="24"/>
      <c r="T463" s="11"/>
    </row>
    <row r="464" customFormat="false" ht="15" hidden="false" customHeight="false" outlineLevel="0" collapsed="false">
      <c r="A464" s="11"/>
      <c r="B464" s="24"/>
      <c r="C464" s="24"/>
      <c r="D464" s="31" t="str">
        <f aca="false">IF(C464="","",IF(LEN(UPPER(SUBSTITUTE(SUBSTITUTE(SUBSTITUTE(SUBSTITUTE(TRIM(C464),".",""),"/",""),"-","")," ","")))&lt;14,RIGHT(REPT("0",14)&amp;UPPER(SUBSTITUTE(SUBSTITUTE(SUBSTITUTE(SUBSTITUTE(TRIM(C464),".",""),"/",""),"-","")," ","")),14),UPPER(SUBSTITUTE(SUBSTITUTE(SUBSTITUTE(SUBSTITUTE(TRIM(C464),".",""),"/",""),"-","")," ",""))))</f>
        <v/>
      </c>
      <c r="E464" s="25" t="str">
        <f aca="false">IF(D464="","",IFERROR(INDEX(Empresas!$C:$C,MATCH(D464,Empresas!$B:$B,0)),"cadastre o CNPJ em Empresas"))</f>
        <v/>
      </c>
      <c r="F464" s="11"/>
      <c r="G464" s="23"/>
      <c r="H464" s="22"/>
      <c r="I464" s="35"/>
      <c r="J464" s="35"/>
      <c r="K464" s="36" t="str">
        <f aca="false">IF(I464="","",I464+J464)</f>
        <v/>
      </c>
      <c r="L464" s="37" t="str">
        <f aca="false">IF(OR(I464="",I464=0,J464=""),"",J464/I464)</f>
        <v/>
      </c>
      <c r="M464" s="25" t="str">
        <f aca="false">IF(L464="","",IF(L464&gt;0.25,"ACRÉSCIMO ACIMA DE 25% — conferir",""))</f>
        <v/>
      </c>
      <c r="N464" s="29" t="str">
        <f aca="false">IF(D464="","",IF(COUNTIFS(Empresas!$B:$B,D464,Empresas!$E:$E,"&lt;&gt;")=0,"",INDEX(Empresas!$E:$E,MATCH(D464,Empresas!$B:$B,0))))</f>
        <v/>
      </c>
      <c r="O464" s="27" t="str">
        <f aca="false">IF(OR(N464="",H464=""),"",H464-N464)</f>
        <v/>
      </c>
      <c r="P464" s="25" t="str">
        <f aca="false">IF(O464="","",IF(O464&lt;0,"CONTRATO ANTERIOR À ABERTURA — conferir datas",IF(O464&lt;180,"EMPRESA ABERTA MENOS DE 6 MESES ANTES","")))</f>
        <v/>
      </c>
      <c r="Q464" s="31" t="str">
        <f aca="false">IF(D464="","",IFERROR(INDEX(Sancoes!$D:$D,MATCH(D464,Sancoes!$C:$C,0)),"não consta"))</f>
        <v/>
      </c>
      <c r="R464" s="25" t="str">
        <f aca="false">IF(OR(D464="",H464=""),"",IF(SUMPRODUCT((Sancoes!$C$5:$C$304=D464)*(Sancoes!$G$5:$G$304&lt;=H464)*(((Sancoes!$H$5:$H$304="")+(Sancoes!$H$5:$H$304&gt;=H464))&gt;0))&gt;0,"SANÇÃO VIGENTE NA DATA — ler tipo e abrangência",""))</f>
        <v/>
      </c>
      <c r="S464" s="24"/>
      <c r="T464" s="11"/>
    </row>
    <row r="465" customFormat="false" ht="15" hidden="false" customHeight="false" outlineLevel="0" collapsed="false">
      <c r="A465" s="11"/>
      <c r="B465" s="24"/>
      <c r="C465" s="24"/>
      <c r="D465" s="31" t="str">
        <f aca="false">IF(C465="","",IF(LEN(UPPER(SUBSTITUTE(SUBSTITUTE(SUBSTITUTE(SUBSTITUTE(TRIM(C465),".",""),"/",""),"-","")," ","")))&lt;14,RIGHT(REPT("0",14)&amp;UPPER(SUBSTITUTE(SUBSTITUTE(SUBSTITUTE(SUBSTITUTE(TRIM(C465),".",""),"/",""),"-","")," ","")),14),UPPER(SUBSTITUTE(SUBSTITUTE(SUBSTITUTE(SUBSTITUTE(TRIM(C465),".",""),"/",""),"-","")," ",""))))</f>
        <v/>
      </c>
      <c r="E465" s="25" t="str">
        <f aca="false">IF(D465="","",IFERROR(INDEX(Empresas!$C:$C,MATCH(D465,Empresas!$B:$B,0)),"cadastre o CNPJ em Empresas"))</f>
        <v/>
      </c>
      <c r="F465" s="11"/>
      <c r="G465" s="23"/>
      <c r="H465" s="22"/>
      <c r="I465" s="35"/>
      <c r="J465" s="35"/>
      <c r="K465" s="36" t="str">
        <f aca="false">IF(I465="","",I465+J465)</f>
        <v/>
      </c>
      <c r="L465" s="37" t="str">
        <f aca="false">IF(OR(I465="",I465=0,J465=""),"",J465/I465)</f>
        <v/>
      </c>
      <c r="M465" s="25" t="str">
        <f aca="false">IF(L465="","",IF(L465&gt;0.25,"ACRÉSCIMO ACIMA DE 25% — conferir",""))</f>
        <v/>
      </c>
      <c r="N465" s="29" t="str">
        <f aca="false">IF(D465="","",IF(COUNTIFS(Empresas!$B:$B,D465,Empresas!$E:$E,"&lt;&gt;")=0,"",INDEX(Empresas!$E:$E,MATCH(D465,Empresas!$B:$B,0))))</f>
        <v/>
      </c>
      <c r="O465" s="27" t="str">
        <f aca="false">IF(OR(N465="",H465=""),"",H465-N465)</f>
        <v/>
      </c>
      <c r="P465" s="25" t="str">
        <f aca="false">IF(O465="","",IF(O465&lt;0,"CONTRATO ANTERIOR À ABERTURA — conferir datas",IF(O465&lt;180,"EMPRESA ABERTA MENOS DE 6 MESES ANTES","")))</f>
        <v/>
      </c>
      <c r="Q465" s="31" t="str">
        <f aca="false">IF(D465="","",IFERROR(INDEX(Sancoes!$D:$D,MATCH(D465,Sancoes!$C:$C,0)),"não consta"))</f>
        <v/>
      </c>
      <c r="R465" s="25" t="str">
        <f aca="false">IF(OR(D465="",H465=""),"",IF(SUMPRODUCT((Sancoes!$C$5:$C$304=D465)*(Sancoes!$G$5:$G$304&lt;=H465)*(((Sancoes!$H$5:$H$304="")+(Sancoes!$H$5:$H$304&gt;=H465))&gt;0))&gt;0,"SANÇÃO VIGENTE NA DATA — ler tipo e abrangência",""))</f>
        <v/>
      </c>
      <c r="S465" s="24"/>
      <c r="T465" s="11"/>
    </row>
    <row r="466" customFormat="false" ht="15" hidden="false" customHeight="false" outlineLevel="0" collapsed="false">
      <c r="A466" s="11"/>
      <c r="B466" s="24"/>
      <c r="C466" s="24"/>
      <c r="D466" s="31" t="str">
        <f aca="false">IF(C466="","",IF(LEN(UPPER(SUBSTITUTE(SUBSTITUTE(SUBSTITUTE(SUBSTITUTE(TRIM(C466),".",""),"/",""),"-","")," ","")))&lt;14,RIGHT(REPT("0",14)&amp;UPPER(SUBSTITUTE(SUBSTITUTE(SUBSTITUTE(SUBSTITUTE(TRIM(C466),".",""),"/",""),"-","")," ","")),14),UPPER(SUBSTITUTE(SUBSTITUTE(SUBSTITUTE(SUBSTITUTE(TRIM(C466),".",""),"/",""),"-","")," ",""))))</f>
        <v/>
      </c>
      <c r="E466" s="25" t="str">
        <f aca="false">IF(D466="","",IFERROR(INDEX(Empresas!$C:$C,MATCH(D466,Empresas!$B:$B,0)),"cadastre o CNPJ em Empresas"))</f>
        <v/>
      </c>
      <c r="F466" s="11"/>
      <c r="G466" s="23"/>
      <c r="H466" s="22"/>
      <c r="I466" s="35"/>
      <c r="J466" s="35"/>
      <c r="K466" s="36" t="str">
        <f aca="false">IF(I466="","",I466+J466)</f>
        <v/>
      </c>
      <c r="L466" s="37" t="str">
        <f aca="false">IF(OR(I466="",I466=0,J466=""),"",J466/I466)</f>
        <v/>
      </c>
      <c r="M466" s="25" t="str">
        <f aca="false">IF(L466="","",IF(L466&gt;0.25,"ACRÉSCIMO ACIMA DE 25% — conferir",""))</f>
        <v/>
      </c>
      <c r="N466" s="29" t="str">
        <f aca="false">IF(D466="","",IF(COUNTIFS(Empresas!$B:$B,D466,Empresas!$E:$E,"&lt;&gt;")=0,"",INDEX(Empresas!$E:$E,MATCH(D466,Empresas!$B:$B,0))))</f>
        <v/>
      </c>
      <c r="O466" s="27" t="str">
        <f aca="false">IF(OR(N466="",H466=""),"",H466-N466)</f>
        <v/>
      </c>
      <c r="P466" s="25" t="str">
        <f aca="false">IF(O466="","",IF(O466&lt;0,"CONTRATO ANTERIOR À ABERTURA — conferir datas",IF(O466&lt;180,"EMPRESA ABERTA MENOS DE 6 MESES ANTES","")))</f>
        <v/>
      </c>
      <c r="Q466" s="31" t="str">
        <f aca="false">IF(D466="","",IFERROR(INDEX(Sancoes!$D:$D,MATCH(D466,Sancoes!$C:$C,0)),"não consta"))</f>
        <v/>
      </c>
      <c r="R466" s="25" t="str">
        <f aca="false">IF(OR(D466="",H466=""),"",IF(SUMPRODUCT((Sancoes!$C$5:$C$304=D466)*(Sancoes!$G$5:$G$304&lt;=H466)*(((Sancoes!$H$5:$H$304="")+(Sancoes!$H$5:$H$304&gt;=H466))&gt;0))&gt;0,"SANÇÃO VIGENTE NA DATA — ler tipo e abrangência",""))</f>
        <v/>
      </c>
      <c r="S466" s="24"/>
      <c r="T466" s="11"/>
    </row>
    <row r="467" customFormat="false" ht="15" hidden="false" customHeight="false" outlineLevel="0" collapsed="false">
      <c r="A467" s="11"/>
      <c r="B467" s="24"/>
      <c r="C467" s="24"/>
      <c r="D467" s="31" t="str">
        <f aca="false">IF(C467="","",IF(LEN(UPPER(SUBSTITUTE(SUBSTITUTE(SUBSTITUTE(SUBSTITUTE(TRIM(C467),".",""),"/",""),"-","")," ","")))&lt;14,RIGHT(REPT("0",14)&amp;UPPER(SUBSTITUTE(SUBSTITUTE(SUBSTITUTE(SUBSTITUTE(TRIM(C467),".",""),"/",""),"-","")," ","")),14),UPPER(SUBSTITUTE(SUBSTITUTE(SUBSTITUTE(SUBSTITUTE(TRIM(C467),".",""),"/",""),"-","")," ",""))))</f>
        <v/>
      </c>
      <c r="E467" s="25" t="str">
        <f aca="false">IF(D467="","",IFERROR(INDEX(Empresas!$C:$C,MATCH(D467,Empresas!$B:$B,0)),"cadastre o CNPJ em Empresas"))</f>
        <v/>
      </c>
      <c r="F467" s="11"/>
      <c r="G467" s="23"/>
      <c r="H467" s="22"/>
      <c r="I467" s="35"/>
      <c r="J467" s="35"/>
      <c r="K467" s="36" t="str">
        <f aca="false">IF(I467="","",I467+J467)</f>
        <v/>
      </c>
      <c r="L467" s="37" t="str">
        <f aca="false">IF(OR(I467="",I467=0,J467=""),"",J467/I467)</f>
        <v/>
      </c>
      <c r="M467" s="25" t="str">
        <f aca="false">IF(L467="","",IF(L467&gt;0.25,"ACRÉSCIMO ACIMA DE 25% — conferir",""))</f>
        <v/>
      </c>
      <c r="N467" s="29" t="str">
        <f aca="false">IF(D467="","",IF(COUNTIFS(Empresas!$B:$B,D467,Empresas!$E:$E,"&lt;&gt;")=0,"",INDEX(Empresas!$E:$E,MATCH(D467,Empresas!$B:$B,0))))</f>
        <v/>
      </c>
      <c r="O467" s="27" t="str">
        <f aca="false">IF(OR(N467="",H467=""),"",H467-N467)</f>
        <v/>
      </c>
      <c r="P467" s="25" t="str">
        <f aca="false">IF(O467="","",IF(O467&lt;0,"CONTRATO ANTERIOR À ABERTURA — conferir datas",IF(O467&lt;180,"EMPRESA ABERTA MENOS DE 6 MESES ANTES","")))</f>
        <v/>
      </c>
      <c r="Q467" s="31" t="str">
        <f aca="false">IF(D467="","",IFERROR(INDEX(Sancoes!$D:$D,MATCH(D467,Sancoes!$C:$C,0)),"não consta"))</f>
        <v/>
      </c>
      <c r="R467" s="25" t="str">
        <f aca="false">IF(OR(D467="",H467=""),"",IF(SUMPRODUCT((Sancoes!$C$5:$C$304=D467)*(Sancoes!$G$5:$G$304&lt;=H467)*(((Sancoes!$H$5:$H$304="")+(Sancoes!$H$5:$H$304&gt;=H467))&gt;0))&gt;0,"SANÇÃO VIGENTE NA DATA — ler tipo e abrangência",""))</f>
        <v/>
      </c>
      <c r="S467" s="24"/>
      <c r="T467" s="11"/>
    </row>
    <row r="468" customFormat="false" ht="15" hidden="false" customHeight="false" outlineLevel="0" collapsed="false">
      <c r="A468" s="11"/>
      <c r="B468" s="24"/>
      <c r="C468" s="24"/>
      <c r="D468" s="31" t="str">
        <f aca="false">IF(C468="","",IF(LEN(UPPER(SUBSTITUTE(SUBSTITUTE(SUBSTITUTE(SUBSTITUTE(TRIM(C468),".",""),"/",""),"-","")," ","")))&lt;14,RIGHT(REPT("0",14)&amp;UPPER(SUBSTITUTE(SUBSTITUTE(SUBSTITUTE(SUBSTITUTE(TRIM(C468),".",""),"/",""),"-","")," ","")),14),UPPER(SUBSTITUTE(SUBSTITUTE(SUBSTITUTE(SUBSTITUTE(TRIM(C468),".",""),"/",""),"-","")," ",""))))</f>
        <v/>
      </c>
      <c r="E468" s="25" t="str">
        <f aca="false">IF(D468="","",IFERROR(INDEX(Empresas!$C:$C,MATCH(D468,Empresas!$B:$B,0)),"cadastre o CNPJ em Empresas"))</f>
        <v/>
      </c>
      <c r="F468" s="11"/>
      <c r="G468" s="23"/>
      <c r="H468" s="22"/>
      <c r="I468" s="35"/>
      <c r="J468" s="35"/>
      <c r="K468" s="36" t="str">
        <f aca="false">IF(I468="","",I468+J468)</f>
        <v/>
      </c>
      <c r="L468" s="37" t="str">
        <f aca="false">IF(OR(I468="",I468=0,J468=""),"",J468/I468)</f>
        <v/>
      </c>
      <c r="M468" s="25" t="str">
        <f aca="false">IF(L468="","",IF(L468&gt;0.25,"ACRÉSCIMO ACIMA DE 25% — conferir",""))</f>
        <v/>
      </c>
      <c r="N468" s="29" t="str">
        <f aca="false">IF(D468="","",IF(COUNTIFS(Empresas!$B:$B,D468,Empresas!$E:$E,"&lt;&gt;")=0,"",INDEX(Empresas!$E:$E,MATCH(D468,Empresas!$B:$B,0))))</f>
        <v/>
      </c>
      <c r="O468" s="27" t="str">
        <f aca="false">IF(OR(N468="",H468=""),"",H468-N468)</f>
        <v/>
      </c>
      <c r="P468" s="25" t="str">
        <f aca="false">IF(O468="","",IF(O468&lt;0,"CONTRATO ANTERIOR À ABERTURA — conferir datas",IF(O468&lt;180,"EMPRESA ABERTA MENOS DE 6 MESES ANTES","")))</f>
        <v/>
      </c>
      <c r="Q468" s="31" t="str">
        <f aca="false">IF(D468="","",IFERROR(INDEX(Sancoes!$D:$D,MATCH(D468,Sancoes!$C:$C,0)),"não consta"))</f>
        <v/>
      </c>
      <c r="R468" s="25" t="str">
        <f aca="false">IF(OR(D468="",H468=""),"",IF(SUMPRODUCT((Sancoes!$C$5:$C$304=D468)*(Sancoes!$G$5:$G$304&lt;=H468)*(((Sancoes!$H$5:$H$304="")+(Sancoes!$H$5:$H$304&gt;=H468))&gt;0))&gt;0,"SANÇÃO VIGENTE NA DATA — ler tipo e abrangência",""))</f>
        <v/>
      </c>
      <c r="S468" s="24"/>
      <c r="T468" s="11"/>
    </row>
    <row r="469" customFormat="false" ht="15" hidden="false" customHeight="false" outlineLevel="0" collapsed="false">
      <c r="A469" s="11"/>
      <c r="B469" s="24"/>
      <c r="C469" s="24"/>
      <c r="D469" s="31" t="str">
        <f aca="false">IF(C469="","",IF(LEN(UPPER(SUBSTITUTE(SUBSTITUTE(SUBSTITUTE(SUBSTITUTE(TRIM(C469),".",""),"/",""),"-","")," ","")))&lt;14,RIGHT(REPT("0",14)&amp;UPPER(SUBSTITUTE(SUBSTITUTE(SUBSTITUTE(SUBSTITUTE(TRIM(C469),".",""),"/",""),"-","")," ","")),14),UPPER(SUBSTITUTE(SUBSTITUTE(SUBSTITUTE(SUBSTITUTE(TRIM(C469),".",""),"/",""),"-","")," ",""))))</f>
        <v/>
      </c>
      <c r="E469" s="25" t="str">
        <f aca="false">IF(D469="","",IFERROR(INDEX(Empresas!$C:$C,MATCH(D469,Empresas!$B:$B,0)),"cadastre o CNPJ em Empresas"))</f>
        <v/>
      </c>
      <c r="F469" s="11"/>
      <c r="G469" s="23"/>
      <c r="H469" s="22"/>
      <c r="I469" s="35"/>
      <c r="J469" s="35"/>
      <c r="K469" s="36" t="str">
        <f aca="false">IF(I469="","",I469+J469)</f>
        <v/>
      </c>
      <c r="L469" s="37" t="str">
        <f aca="false">IF(OR(I469="",I469=0,J469=""),"",J469/I469)</f>
        <v/>
      </c>
      <c r="M469" s="25" t="str">
        <f aca="false">IF(L469="","",IF(L469&gt;0.25,"ACRÉSCIMO ACIMA DE 25% — conferir",""))</f>
        <v/>
      </c>
      <c r="N469" s="29" t="str">
        <f aca="false">IF(D469="","",IF(COUNTIFS(Empresas!$B:$B,D469,Empresas!$E:$E,"&lt;&gt;")=0,"",INDEX(Empresas!$E:$E,MATCH(D469,Empresas!$B:$B,0))))</f>
        <v/>
      </c>
      <c r="O469" s="27" t="str">
        <f aca="false">IF(OR(N469="",H469=""),"",H469-N469)</f>
        <v/>
      </c>
      <c r="P469" s="25" t="str">
        <f aca="false">IF(O469="","",IF(O469&lt;0,"CONTRATO ANTERIOR À ABERTURA — conferir datas",IF(O469&lt;180,"EMPRESA ABERTA MENOS DE 6 MESES ANTES","")))</f>
        <v/>
      </c>
      <c r="Q469" s="31" t="str">
        <f aca="false">IF(D469="","",IFERROR(INDEX(Sancoes!$D:$D,MATCH(D469,Sancoes!$C:$C,0)),"não consta"))</f>
        <v/>
      </c>
      <c r="R469" s="25" t="str">
        <f aca="false">IF(OR(D469="",H469=""),"",IF(SUMPRODUCT((Sancoes!$C$5:$C$304=D469)*(Sancoes!$G$5:$G$304&lt;=H469)*(((Sancoes!$H$5:$H$304="")+(Sancoes!$H$5:$H$304&gt;=H469))&gt;0))&gt;0,"SANÇÃO VIGENTE NA DATA — ler tipo e abrangência",""))</f>
        <v/>
      </c>
      <c r="S469" s="24"/>
      <c r="T469" s="11"/>
    </row>
    <row r="470" customFormat="false" ht="15" hidden="false" customHeight="false" outlineLevel="0" collapsed="false">
      <c r="A470" s="11"/>
      <c r="B470" s="24"/>
      <c r="C470" s="24"/>
      <c r="D470" s="31" t="str">
        <f aca="false">IF(C470="","",IF(LEN(UPPER(SUBSTITUTE(SUBSTITUTE(SUBSTITUTE(SUBSTITUTE(TRIM(C470),".",""),"/",""),"-","")," ","")))&lt;14,RIGHT(REPT("0",14)&amp;UPPER(SUBSTITUTE(SUBSTITUTE(SUBSTITUTE(SUBSTITUTE(TRIM(C470),".",""),"/",""),"-","")," ","")),14),UPPER(SUBSTITUTE(SUBSTITUTE(SUBSTITUTE(SUBSTITUTE(TRIM(C470),".",""),"/",""),"-","")," ",""))))</f>
        <v/>
      </c>
      <c r="E470" s="25" t="str">
        <f aca="false">IF(D470="","",IFERROR(INDEX(Empresas!$C:$C,MATCH(D470,Empresas!$B:$B,0)),"cadastre o CNPJ em Empresas"))</f>
        <v/>
      </c>
      <c r="F470" s="11"/>
      <c r="G470" s="23"/>
      <c r="H470" s="22"/>
      <c r="I470" s="35"/>
      <c r="J470" s="35"/>
      <c r="K470" s="36" t="str">
        <f aca="false">IF(I470="","",I470+J470)</f>
        <v/>
      </c>
      <c r="L470" s="37" t="str">
        <f aca="false">IF(OR(I470="",I470=0,J470=""),"",J470/I470)</f>
        <v/>
      </c>
      <c r="M470" s="25" t="str">
        <f aca="false">IF(L470="","",IF(L470&gt;0.25,"ACRÉSCIMO ACIMA DE 25% — conferir",""))</f>
        <v/>
      </c>
      <c r="N470" s="29" t="str">
        <f aca="false">IF(D470="","",IF(COUNTIFS(Empresas!$B:$B,D470,Empresas!$E:$E,"&lt;&gt;")=0,"",INDEX(Empresas!$E:$E,MATCH(D470,Empresas!$B:$B,0))))</f>
        <v/>
      </c>
      <c r="O470" s="27" t="str">
        <f aca="false">IF(OR(N470="",H470=""),"",H470-N470)</f>
        <v/>
      </c>
      <c r="P470" s="25" t="str">
        <f aca="false">IF(O470="","",IF(O470&lt;0,"CONTRATO ANTERIOR À ABERTURA — conferir datas",IF(O470&lt;180,"EMPRESA ABERTA MENOS DE 6 MESES ANTES","")))</f>
        <v/>
      </c>
      <c r="Q470" s="31" t="str">
        <f aca="false">IF(D470="","",IFERROR(INDEX(Sancoes!$D:$D,MATCH(D470,Sancoes!$C:$C,0)),"não consta"))</f>
        <v/>
      </c>
      <c r="R470" s="25" t="str">
        <f aca="false">IF(OR(D470="",H470=""),"",IF(SUMPRODUCT((Sancoes!$C$5:$C$304=D470)*(Sancoes!$G$5:$G$304&lt;=H470)*(((Sancoes!$H$5:$H$304="")+(Sancoes!$H$5:$H$304&gt;=H470))&gt;0))&gt;0,"SANÇÃO VIGENTE NA DATA — ler tipo e abrangência",""))</f>
        <v/>
      </c>
      <c r="S470" s="24"/>
      <c r="T470" s="11"/>
    </row>
    <row r="471" customFormat="false" ht="15" hidden="false" customHeight="false" outlineLevel="0" collapsed="false">
      <c r="A471" s="11"/>
      <c r="B471" s="24"/>
      <c r="C471" s="24"/>
      <c r="D471" s="31" t="str">
        <f aca="false">IF(C471="","",IF(LEN(UPPER(SUBSTITUTE(SUBSTITUTE(SUBSTITUTE(SUBSTITUTE(TRIM(C471),".",""),"/",""),"-","")," ","")))&lt;14,RIGHT(REPT("0",14)&amp;UPPER(SUBSTITUTE(SUBSTITUTE(SUBSTITUTE(SUBSTITUTE(TRIM(C471),".",""),"/",""),"-","")," ","")),14),UPPER(SUBSTITUTE(SUBSTITUTE(SUBSTITUTE(SUBSTITUTE(TRIM(C471),".",""),"/",""),"-","")," ",""))))</f>
        <v/>
      </c>
      <c r="E471" s="25" t="str">
        <f aca="false">IF(D471="","",IFERROR(INDEX(Empresas!$C:$C,MATCH(D471,Empresas!$B:$B,0)),"cadastre o CNPJ em Empresas"))</f>
        <v/>
      </c>
      <c r="F471" s="11"/>
      <c r="G471" s="23"/>
      <c r="H471" s="22"/>
      <c r="I471" s="35"/>
      <c r="J471" s="35"/>
      <c r="K471" s="36" t="str">
        <f aca="false">IF(I471="","",I471+J471)</f>
        <v/>
      </c>
      <c r="L471" s="37" t="str">
        <f aca="false">IF(OR(I471="",I471=0,J471=""),"",J471/I471)</f>
        <v/>
      </c>
      <c r="M471" s="25" t="str">
        <f aca="false">IF(L471="","",IF(L471&gt;0.25,"ACRÉSCIMO ACIMA DE 25% — conferir",""))</f>
        <v/>
      </c>
      <c r="N471" s="29" t="str">
        <f aca="false">IF(D471="","",IF(COUNTIFS(Empresas!$B:$B,D471,Empresas!$E:$E,"&lt;&gt;")=0,"",INDEX(Empresas!$E:$E,MATCH(D471,Empresas!$B:$B,0))))</f>
        <v/>
      </c>
      <c r="O471" s="27" t="str">
        <f aca="false">IF(OR(N471="",H471=""),"",H471-N471)</f>
        <v/>
      </c>
      <c r="P471" s="25" t="str">
        <f aca="false">IF(O471="","",IF(O471&lt;0,"CONTRATO ANTERIOR À ABERTURA — conferir datas",IF(O471&lt;180,"EMPRESA ABERTA MENOS DE 6 MESES ANTES","")))</f>
        <v/>
      </c>
      <c r="Q471" s="31" t="str">
        <f aca="false">IF(D471="","",IFERROR(INDEX(Sancoes!$D:$D,MATCH(D471,Sancoes!$C:$C,0)),"não consta"))</f>
        <v/>
      </c>
      <c r="R471" s="25" t="str">
        <f aca="false">IF(OR(D471="",H471=""),"",IF(SUMPRODUCT((Sancoes!$C$5:$C$304=D471)*(Sancoes!$G$5:$G$304&lt;=H471)*(((Sancoes!$H$5:$H$304="")+(Sancoes!$H$5:$H$304&gt;=H471))&gt;0))&gt;0,"SANÇÃO VIGENTE NA DATA — ler tipo e abrangência",""))</f>
        <v/>
      </c>
      <c r="S471" s="24"/>
      <c r="T471" s="11"/>
    </row>
    <row r="472" customFormat="false" ht="15" hidden="false" customHeight="false" outlineLevel="0" collapsed="false">
      <c r="A472" s="11"/>
      <c r="B472" s="24"/>
      <c r="C472" s="24"/>
      <c r="D472" s="31" t="str">
        <f aca="false">IF(C472="","",IF(LEN(UPPER(SUBSTITUTE(SUBSTITUTE(SUBSTITUTE(SUBSTITUTE(TRIM(C472),".",""),"/",""),"-","")," ","")))&lt;14,RIGHT(REPT("0",14)&amp;UPPER(SUBSTITUTE(SUBSTITUTE(SUBSTITUTE(SUBSTITUTE(TRIM(C472),".",""),"/",""),"-","")," ","")),14),UPPER(SUBSTITUTE(SUBSTITUTE(SUBSTITUTE(SUBSTITUTE(TRIM(C472),".",""),"/",""),"-","")," ",""))))</f>
        <v/>
      </c>
      <c r="E472" s="25" t="str">
        <f aca="false">IF(D472="","",IFERROR(INDEX(Empresas!$C:$C,MATCH(D472,Empresas!$B:$B,0)),"cadastre o CNPJ em Empresas"))</f>
        <v/>
      </c>
      <c r="F472" s="11"/>
      <c r="G472" s="23"/>
      <c r="H472" s="22"/>
      <c r="I472" s="35"/>
      <c r="J472" s="35"/>
      <c r="K472" s="36" t="str">
        <f aca="false">IF(I472="","",I472+J472)</f>
        <v/>
      </c>
      <c r="L472" s="37" t="str">
        <f aca="false">IF(OR(I472="",I472=0,J472=""),"",J472/I472)</f>
        <v/>
      </c>
      <c r="M472" s="25" t="str">
        <f aca="false">IF(L472="","",IF(L472&gt;0.25,"ACRÉSCIMO ACIMA DE 25% — conferir",""))</f>
        <v/>
      </c>
      <c r="N472" s="29" t="str">
        <f aca="false">IF(D472="","",IF(COUNTIFS(Empresas!$B:$B,D472,Empresas!$E:$E,"&lt;&gt;")=0,"",INDEX(Empresas!$E:$E,MATCH(D472,Empresas!$B:$B,0))))</f>
        <v/>
      </c>
      <c r="O472" s="27" t="str">
        <f aca="false">IF(OR(N472="",H472=""),"",H472-N472)</f>
        <v/>
      </c>
      <c r="P472" s="25" t="str">
        <f aca="false">IF(O472="","",IF(O472&lt;0,"CONTRATO ANTERIOR À ABERTURA — conferir datas",IF(O472&lt;180,"EMPRESA ABERTA MENOS DE 6 MESES ANTES","")))</f>
        <v/>
      </c>
      <c r="Q472" s="31" t="str">
        <f aca="false">IF(D472="","",IFERROR(INDEX(Sancoes!$D:$D,MATCH(D472,Sancoes!$C:$C,0)),"não consta"))</f>
        <v/>
      </c>
      <c r="R472" s="25" t="str">
        <f aca="false">IF(OR(D472="",H472=""),"",IF(SUMPRODUCT((Sancoes!$C$5:$C$304=D472)*(Sancoes!$G$5:$G$304&lt;=H472)*(((Sancoes!$H$5:$H$304="")+(Sancoes!$H$5:$H$304&gt;=H472))&gt;0))&gt;0,"SANÇÃO VIGENTE NA DATA — ler tipo e abrangência",""))</f>
        <v/>
      </c>
      <c r="S472" s="24"/>
      <c r="T472" s="11"/>
    </row>
    <row r="473" customFormat="false" ht="15" hidden="false" customHeight="false" outlineLevel="0" collapsed="false">
      <c r="A473" s="11"/>
      <c r="B473" s="24"/>
      <c r="C473" s="24"/>
      <c r="D473" s="31" t="str">
        <f aca="false">IF(C473="","",IF(LEN(UPPER(SUBSTITUTE(SUBSTITUTE(SUBSTITUTE(SUBSTITUTE(TRIM(C473),".",""),"/",""),"-","")," ","")))&lt;14,RIGHT(REPT("0",14)&amp;UPPER(SUBSTITUTE(SUBSTITUTE(SUBSTITUTE(SUBSTITUTE(TRIM(C473),".",""),"/",""),"-","")," ","")),14),UPPER(SUBSTITUTE(SUBSTITUTE(SUBSTITUTE(SUBSTITUTE(TRIM(C473),".",""),"/",""),"-","")," ",""))))</f>
        <v/>
      </c>
      <c r="E473" s="25" t="str">
        <f aca="false">IF(D473="","",IFERROR(INDEX(Empresas!$C:$C,MATCH(D473,Empresas!$B:$B,0)),"cadastre o CNPJ em Empresas"))</f>
        <v/>
      </c>
      <c r="F473" s="11"/>
      <c r="G473" s="23"/>
      <c r="H473" s="22"/>
      <c r="I473" s="35"/>
      <c r="J473" s="35"/>
      <c r="K473" s="36" t="str">
        <f aca="false">IF(I473="","",I473+J473)</f>
        <v/>
      </c>
      <c r="L473" s="37" t="str">
        <f aca="false">IF(OR(I473="",I473=0,J473=""),"",J473/I473)</f>
        <v/>
      </c>
      <c r="M473" s="25" t="str">
        <f aca="false">IF(L473="","",IF(L473&gt;0.25,"ACRÉSCIMO ACIMA DE 25% — conferir",""))</f>
        <v/>
      </c>
      <c r="N473" s="29" t="str">
        <f aca="false">IF(D473="","",IF(COUNTIFS(Empresas!$B:$B,D473,Empresas!$E:$E,"&lt;&gt;")=0,"",INDEX(Empresas!$E:$E,MATCH(D473,Empresas!$B:$B,0))))</f>
        <v/>
      </c>
      <c r="O473" s="27" t="str">
        <f aca="false">IF(OR(N473="",H473=""),"",H473-N473)</f>
        <v/>
      </c>
      <c r="P473" s="25" t="str">
        <f aca="false">IF(O473="","",IF(O473&lt;0,"CONTRATO ANTERIOR À ABERTURA — conferir datas",IF(O473&lt;180,"EMPRESA ABERTA MENOS DE 6 MESES ANTES","")))</f>
        <v/>
      </c>
      <c r="Q473" s="31" t="str">
        <f aca="false">IF(D473="","",IFERROR(INDEX(Sancoes!$D:$D,MATCH(D473,Sancoes!$C:$C,0)),"não consta"))</f>
        <v/>
      </c>
      <c r="R473" s="25" t="str">
        <f aca="false">IF(OR(D473="",H473=""),"",IF(SUMPRODUCT((Sancoes!$C$5:$C$304=D473)*(Sancoes!$G$5:$G$304&lt;=H473)*(((Sancoes!$H$5:$H$304="")+(Sancoes!$H$5:$H$304&gt;=H473))&gt;0))&gt;0,"SANÇÃO VIGENTE NA DATA — ler tipo e abrangência",""))</f>
        <v/>
      </c>
      <c r="S473" s="24"/>
      <c r="T473" s="11"/>
    </row>
    <row r="474" customFormat="false" ht="15" hidden="false" customHeight="false" outlineLevel="0" collapsed="false">
      <c r="A474" s="11"/>
      <c r="B474" s="24"/>
      <c r="C474" s="24"/>
      <c r="D474" s="31" t="str">
        <f aca="false">IF(C474="","",IF(LEN(UPPER(SUBSTITUTE(SUBSTITUTE(SUBSTITUTE(SUBSTITUTE(TRIM(C474),".",""),"/",""),"-","")," ","")))&lt;14,RIGHT(REPT("0",14)&amp;UPPER(SUBSTITUTE(SUBSTITUTE(SUBSTITUTE(SUBSTITUTE(TRIM(C474),".",""),"/",""),"-","")," ","")),14),UPPER(SUBSTITUTE(SUBSTITUTE(SUBSTITUTE(SUBSTITUTE(TRIM(C474),".",""),"/",""),"-","")," ",""))))</f>
        <v/>
      </c>
      <c r="E474" s="25" t="str">
        <f aca="false">IF(D474="","",IFERROR(INDEX(Empresas!$C:$C,MATCH(D474,Empresas!$B:$B,0)),"cadastre o CNPJ em Empresas"))</f>
        <v/>
      </c>
      <c r="F474" s="11"/>
      <c r="G474" s="23"/>
      <c r="H474" s="22"/>
      <c r="I474" s="35"/>
      <c r="J474" s="35"/>
      <c r="K474" s="36" t="str">
        <f aca="false">IF(I474="","",I474+J474)</f>
        <v/>
      </c>
      <c r="L474" s="37" t="str">
        <f aca="false">IF(OR(I474="",I474=0,J474=""),"",J474/I474)</f>
        <v/>
      </c>
      <c r="M474" s="25" t="str">
        <f aca="false">IF(L474="","",IF(L474&gt;0.25,"ACRÉSCIMO ACIMA DE 25% — conferir",""))</f>
        <v/>
      </c>
      <c r="N474" s="29" t="str">
        <f aca="false">IF(D474="","",IF(COUNTIFS(Empresas!$B:$B,D474,Empresas!$E:$E,"&lt;&gt;")=0,"",INDEX(Empresas!$E:$E,MATCH(D474,Empresas!$B:$B,0))))</f>
        <v/>
      </c>
      <c r="O474" s="27" t="str">
        <f aca="false">IF(OR(N474="",H474=""),"",H474-N474)</f>
        <v/>
      </c>
      <c r="P474" s="25" t="str">
        <f aca="false">IF(O474="","",IF(O474&lt;0,"CONTRATO ANTERIOR À ABERTURA — conferir datas",IF(O474&lt;180,"EMPRESA ABERTA MENOS DE 6 MESES ANTES","")))</f>
        <v/>
      </c>
      <c r="Q474" s="31" t="str">
        <f aca="false">IF(D474="","",IFERROR(INDEX(Sancoes!$D:$D,MATCH(D474,Sancoes!$C:$C,0)),"não consta"))</f>
        <v/>
      </c>
      <c r="R474" s="25" t="str">
        <f aca="false">IF(OR(D474="",H474=""),"",IF(SUMPRODUCT((Sancoes!$C$5:$C$304=D474)*(Sancoes!$G$5:$G$304&lt;=H474)*(((Sancoes!$H$5:$H$304="")+(Sancoes!$H$5:$H$304&gt;=H474))&gt;0))&gt;0,"SANÇÃO VIGENTE NA DATA — ler tipo e abrangência",""))</f>
        <v/>
      </c>
      <c r="S474" s="24"/>
      <c r="T474" s="11"/>
    </row>
    <row r="475" customFormat="false" ht="15" hidden="false" customHeight="false" outlineLevel="0" collapsed="false">
      <c r="A475" s="11"/>
      <c r="B475" s="24"/>
      <c r="C475" s="24"/>
      <c r="D475" s="31" t="str">
        <f aca="false">IF(C475="","",IF(LEN(UPPER(SUBSTITUTE(SUBSTITUTE(SUBSTITUTE(SUBSTITUTE(TRIM(C475),".",""),"/",""),"-","")," ","")))&lt;14,RIGHT(REPT("0",14)&amp;UPPER(SUBSTITUTE(SUBSTITUTE(SUBSTITUTE(SUBSTITUTE(TRIM(C475),".",""),"/",""),"-","")," ","")),14),UPPER(SUBSTITUTE(SUBSTITUTE(SUBSTITUTE(SUBSTITUTE(TRIM(C475),".",""),"/",""),"-","")," ",""))))</f>
        <v/>
      </c>
      <c r="E475" s="25" t="str">
        <f aca="false">IF(D475="","",IFERROR(INDEX(Empresas!$C:$C,MATCH(D475,Empresas!$B:$B,0)),"cadastre o CNPJ em Empresas"))</f>
        <v/>
      </c>
      <c r="F475" s="11"/>
      <c r="G475" s="23"/>
      <c r="H475" s="22"/>
      <c r="I475" s="35"/>
      <c r="J475" s="35"/>
      <c r="K475" s="36" t="str">
        <f aca="false">IF(I475="","",I475+J475)</f>
        <v/>
      </c>
      <c r="L475" s="37" t="str">
        <f aca="false">IF(OR(I475="",I475=0,J475=""),"",J475/I475)</f>
        <v/>
      </c>
      <c r="M475" s="25" t="str">
        <f aca="false">IF(L475="","",IF(L475&gt;0.25,"ACRÉSCIMO ACIMA DE 25% — conferir",""))</f>
        <v/>
      </c>
      <c r="N475" s="29" t="str">
        <f aca="false">IF(D475="","",IF(COUNTIFS(Empresas!$B:$B,D475,Empresas!$E:$E,"&lt;&gt;")=0,"",INDEX(Empresas!$E:$E,MATCH(D475,Empresas!$B:$B,0))))</f>
        <v/>
      </c>
      <c r="O475" s="27" t="str">
        <f aca="false">IF(OR(N475="",H475=""),"",H475-N475)</f>
        <v/>
      </c>
      <c r="P475" s="25" t="str">
        <f aca="false">IF(O475="","",IF(O475&lt;0,"CONTRATO ANTERIOR À ABERTURA — conferir datas",IF(O475&lt;180,"EMPRESA ABERTA MENOS DE 6 MESES ANTES","")))</f>
        <v/>
      </c>
      <c r="Q475" s="31" t="str">
        <f aca="false">IF(D475="","",IFERROR(INDEX(Sancoes!$D:$D,MATCH(D475,Sancoes!$C:$C,0)),"não consta"))</f>
        <v/>
      </c>
      <c r="R475" s="25" t="str">
        <f aca="false">IF(OR(D475="",H475=""),"",IF(SUMPRODUCT((Sancoes!$C$5:$C$304=D475)*(Sancoes!$G$5:$G$304&lt;=H475)*(((Sancoes!$H$5:$H$304="")+(Sancoes!$H$5:$H$304&gt;=H475))&gt;0))&gt;0,"SANÇÃO VIGENTE NA DATA — ler tipo e abrangência",""))</f>
        <v/>
      </c>
      <c r="S475" s="24"/>
      <c r="T475" s="11"/>
    </row>
    <row r="476" customFormat="false" ht="15" hidden="false" customHeight="false" outlineLevel="0" collapsed="false">
      <c r="A476" s="11"/>
      <c r="B476" s="24"/>
      <c r="C476" s="24"/>
      <c r="D476" s="31" t="str">
        <f aca="false">IF(C476="","",IF(LEN(UPPER(SUBSTITUTE(SUBSTITUTE(SUBSTITUTE(SUBSTITUTE(TRIM(C476),".",""),"/",""),"-","")," ","")))&lt;14,RIGHT(REPT("0",14)&amp;UPPER(SUBSTITUTE(SUBSTITUTE(SUBSTITUTE(SUBSTITUTE(TRIM(C476),".",""),"/",""),"-","")," ","")),14),UPPER(SUBSTITUTE(SUBSTITUTE(SUBSTITUTE(SUBSTITUTE(TRIM(C476),".",""),"/",""),"-","")," ",""))))</f>
        <v/>
      </c>
      <c r="E476" s="25" t="str">
        <f aca="false">IF(D476="","",IFERROR(INDEX(Empresas!$C:$C,MATCH(D476,Empresas!$B:$B,0)),"cadastre o CNPJ em Empresas"))</f>
        <v/>
      </c>
      <c r="F476" s="11"/>
      <c r="G476" s="23"/>
      <c r="H476" s="22"/>
      <c r="I476" s="35"/>
      <c r="J476" s="35"/>
      <c r="K476" s="36" t="str">
        <f aca="false">IF(I476="","",I476+J476)</f>
        <v/>
      </c>
      <c r="L476" s="37" t="str">
        <f aca="false">IF(OR(I476="",I476=0,J476=""),"",J476/I476)</f>
        <v/>
      </c>
      <c r="M476" s="25" t="str">
        <f aca="false">IF(L476="","",IF(L476&gt;0.25,"ACRÉSCIMO ACIMA DE 25% — conferir",""))</f>
        <v/>
      </c>
      <c r="N476" s="29" t="str">
        <f aca="false">IF(D476="","",IF(COUNTIFS(Empresas!$B:$B,D476,Empresas!$E:$E,"&lt;&gt;")=0,"",INDEX(Empresas!$E:$E,MATCH(D476,Empresas!$B:$B,0))))</f>
        <v/>
      </c>
      <c r="O476" s="27" t="str">
        <f aca="false">IF(OR(N476="",H476=""),"",H476-N476)</f>
        <v/>
      </c>
      <c r="P476" s="25" t="str">
        <f aca="false">IF(O476="","",IF(O476&lt;0,"CONTRATO ANTERIOR À ABERTURA — conferir datas",IF(O476&lt;180,"EMPRESA ABERTA MENOS DE 6 MESES ANTES","")))</f>
        <v/>
      </c>
      <c r="Q476" s="31" t="str">
        <f aca="false">IF(D476="","",IFERROR(INDEX(Sancoes!$D:$D,MATCH(D476,Sancoes!$C:$C,0)),"não consta"))</f>
        <v/>
      </c>
      <c r="R476" s="25" t="str">
        <f aca="false">IF(OR(D476="",H476=""),"",IF(SUMPRODUCT((Sancoes!$C$5:$C$304=D476)*(Sancoes!$G$5:$G$304&lt;=H476)*(((Sancoes!$H$5:$H$304="")+(Sancoes!$H$5:$H$304&gt;=H476))&gt;0))&gt;0,"SANÇÃO VIGENTE NA DATA — ler tipo e abrangência",""))</f>
        <v/>
      </c>
      <c r="S476" s="24"/>
      <c r="T476" s="11"/>
    </row>
    <row r="477" customFormat="false" ht="15" hidden="false" customHeight="false" outlineLevel="0" collapsed="false">
      <c r="A477" s="11"/>
      <c r="B477" s="24"/>
      <c r="C477" s="24"/>
      <c r="D477" s="31" t="str">
        <f aca="false">IF(C477="","",IF(LEN(UPPER(SUBSTITUTE(SUBSTITUTE(SUBSTITUTE(SUBSTITUTE(TRIM(C477),".",""),"/",""),"-","")," ","")))&lt;14,RIGHT(REPT("0",14)&amp;UPPER(SUBSTITUTE(SUBSTITUTE(SUBSTITUTE(SUBSTITUTE(TRIM(C477),".",""),"/",""),"-","")," ","")),14),UPPER(SUBSTITUTE(SUBSTITUTE(SUBSTITUTE(SUBSTITUTE(TRIM(C477),".",""),"/",""),"-","")," ",""))))</f>
        <v/>
      </c>
      <c r="E477" s="25" t="str">
        <f aca="false">IF(D477="","",IFERROR(INDEX(Empresas!$C:$C,MATCH(D477,Empresas!$B:$B,0)),"cadastre o CNPJ em Empresas"))</f>
        <v/>
      </c>
      <c r="F477" s="11"/>
      <c r="G477" s="23"/>
      <c r="H477" s="22"/>
      <c r="I477" s="35"/>
      <c r="J477" s="35"/>
      <c r="K477" s="36" t="str">
        <f aca="false">IF(I477="","",I477+J477)</f>
        <v/>
      </c>
      <c r="L477" s="37" t="str">
        <f aca="false">IF(OR(I477="",I477=0,J477=""),"",J477/I477)</f>
        <v/>
      </c>
      <c r="M477" s="25" t="str">
        <f aca="false">IF(L477="","",IF(L477&gt;0.25,"ACRÉSCIMO ACIMA DE 25% — conferir",""))</f>
        <v/>
      </c>
      <c r="N477" s="29" t="str">
        <f aca="false">IF(D477="","",IF(COUNTIFS(Empresas!$B:$B,D477,Empresas!$E:$E,"&lt;&gt;")=0,"",INDEX(Empresas!$E:$E,MATCH(D477,Empresas!$B:$B,0))))</f>
        <v/>
      </c>
      <c r="O477" s="27" t="str">
        <f aca="false">IF(OR(N477="",H477=""),"",H477-N477)</f>
        <v/>
      </c>
      <c r="P477" s="25" t="str">
        <f aca="false">IF(O477="","",IF(O477&lt;0,"CONTRATO ANTERIOR À ABERTURA — conferir datas",IF(O477&lt;180,"EMPRESA ABERTA MENOS DE 6 MESES ANTES","")))</f>
        <v/>
      </c>
      <c r="Q477" s="31" t="str">
        <f aca="false">IF(D477="","",IFERROR(INDEX(Sancoes!$D:$D,MATCH(D477,Sancoes!$C:$C,0)),"não consta"))</f>
        <v/>
      </c>
      <c r="R477" s="25" t="str">
        <f aca="false">IF(OR(D477="",H477=""),"",IF(SUMPRODUCT((Sancoes!$C$5:$C$304=D477)*(Sancoes!$G$5:$G$304&lt;=H477)*(((Sancoes!$H$5:$H$304="")+(Sancoes!$H$5:$H$304&gt;=H477))&gt;0))&gt;0,"SANÇÃO VIGENTE NA DATA — ler tipo e abrangência",""))</f>
        <v/>
      </c>
      <c r="S477" s="24"/>
      <c r="T477" s="11"/>
    </row>
    <row r="478" customFormat="false" ht="15" hidden="false" customHeight="false" outlineLevel="0" collapsed="false">
      <c r="A478" s="11"/>
      <c r="B478" s="24"/>
      <c r="C478" s="24"/>
      <c r="D478" s="31" t="str">
        <f aca="false">IF(C478="","",IF(LEN(UPPER(SUBSTITUTE(SUBSTITUTE(SUBSTITUTE(SUBSTITUTE(TRIM(C478),".",""),"/",""),"-","")," ","")))&lt;14,RIGHT(REPT("0",14)&amp;UPPER(SUBSTITUTE(SUBSTITUTE(SUBSTITUTE(SUBSTITUTE(TRIM(C478),".",""),"/",""),"-","")," ","")),14),UPPER(SUBSTITUTE(SUBSTITUTE(SUBSTITUTE(SUBSTITUTE(TRIM(C478),".",""),"/",""),"-","")," ",""))))</f>
        <v/>
      </c>
      <c r="E478" s="25" t="str">
        <f aca="false">IF(D478="","",IFERROR(INDEX(Empresas!$C:$C,MATCH(D478,Empresas!$B:$B,0)),"cadastre o CNPJ em Empresas"))</f>
        <v/>
      </c>
      <c r="F478" s="11"/>
      <c r="G478" s="23"/>
      <c r="H478" s="22"/>
      <c r="I478" s="35"/>
      <c r="J478" s="35"/>
      <c r="K478" s="36" t="str">
        <f aca="false">IF(I478="","",I478+J478)</f>
        <v/>
      </c>
      <c r="L478" s="37" t="str">
        <f aca="false">IF(OR(I478="",I478=0,J478=""),"",J478/I478)</f>
        <v/>
      </c>
      <c r="M478" s="25" t="str">
        <f aca="false">IF(L478="","",IF(L478&gt;0.25,"ACRÉSCIMO ACIMA DE 25% — conferir",""))</f>
        <v/>
      </c>
      <c r="N478" s="29" t="str">
        <f aca="false">IF(D478="","",IF(COUNTIFS(Empresas!$B:$B,D478,Empresas!$E:$E,"&lt;&gt;")=0,"",INDEX(Empresas!$E:$E,MATCH(D478,Empresas!$B:$B,0))))</f>
        <v/>
      </c>
      <c r="O478" s="27" t="str">
        <f aca="false">IF(OR(N478="",H478=""),"",H478-N478)</f>
        <v/>
      </c>
      <c r="P478" s="25" t="str">
        <f aca="false">IF(O478="","",IF(O478&lt;0,"CONTRATO ANTERIOR À ABERTURA — conferir datas",IF(O478&lt;180,"EMPRESA ABERTA MENOS DE 6 MESES ANTES","")))</f>
        <v/>
      </c>
      <c r="Q478" s="31" t="str">
        <f aca="false">IF(D478="","",IFERROR(INDEX(Sancoes!$D:$D,MATCH(D478,Sancoes!$C:$C,0)),"não consta"))</f>
        <v/>
      </c>
      <c r="R478" s="25" t="str">
        <f aca="false">IF(OR(D478="",H478=""),"",IF(SUMPRODUCT((Sancoes!$C$5:$C$304=D478)*(Sancoes!$G$5:$G$304&lt;=H478)*(((Sancoes!$H$5:$H$304="")+(Sancoes!$H$5:$H$304&gt;=H478))&gt;0))&gt;0,"SANÇÃO VIGENTE NA DATA — ler tipo e abrangência",""))</f>
        <v/>
      </c>
      <c r="S478" s="24"/>
      <c r="T478" s="11"/>
    </row>
    <row r="479" customFormat="false" ht="15" hidden="false" customHeight="false" outlineLevel="0" collapsed="false">
      <c r="A479" s="11"/>
      <c r="B479" s="24"/>
      <c r="C479" s="24"/>
      <c r="D479" s="31" t="str">
        <f aca="false">IF(C479="","",IF(LEN(UPPER(SUBSTITUTE(SUBSTITUTE(SUBSTITUTE(SUBSTITUTE(TRIM(C479),".",""),"/",""),"-","")," ","")))&lt;14,RIGHT(REPT("0",14)&amp;UPPER(SUBSTITUTE(SUBSTITUTE(SUBSTITUTE(SUBSTITUTE(TRIM(C479),".",""),"/",""),"-","")," ","")),14),UPPER(SUBSTITUTE(SUBSTITUTE(SUBSTITUTE(SUBSTITUTE(TRIM(C479),".",""),"/",""),"-","")," ",""))))</f>
        <v/>
      </c>
      <c r="E479" s="25" t="str">
        <f aca="false">IF(D479="","",IFERROR(INDEX(Empresas!$C:$C,MATCH(D479,Empresas!$B:$B,0)),"cadastre o CNPJ em Empresas"))</f>
        <v/>
      </c>
      <c r="F479" s="11"/>
      <c r="G479" s="23"/>
      <c r="H479" s="22"/>
      <c r="I479" s="35"/>
      <c r="J479" s="35"/>
      <c r="K479" s="36" t="str">
        <f aca="false">IF(I479="","",I479+J479)</f>
        <v/>
      </c>
      <c r="L479" s="37" t="str">
        <f aca="false">IF(OR(I479="",I479=0,J479=""),"",J479/I479)</f>
        <v/>
      </c>
      <c r="M479" s="25" t="str">
        <f aca="false">IF(L479="","",IF(L479&gt;0.25,"ACRÉSCIMO ACIMA DE 25% — conferir",""))</f>
        <v/>
      </c>
      <c r="N479" s="29" t="str">
        <f aca="false">IF(D479="","",IF(COUNTIFS(Empresas!$B:$B,D479,Empresas!$E:$E,"&lt;&gt;")=0,"",INDEX(Empresas!$E:$E,MATCH(D479,Empresas!$B:$B,0))))</f>
        <v/>
      </c>
      <c r="O479" s="27" t="str">
        <f aca="false">IF(OR(N479="",H479=""),"",H479-N479)</f>
        <v/>
      </c>
      <c r="P479" s="25" t="str">
        <f aca="false">IF(O479="","",IF(O479&lt;0,"CONTRATO ANTERIOR À ABERTURA — conferir datas",IF(O479&lt;180,"EMPRESA ABERTA MENOS DE 6 MESES ANTES","")))</f>
        <v/>
      </c>
      <c r="Q479" s="31" t="str">
        <f aca="false">IF(D479="","",IFERROR(INDEX(Sancoes!$D:$D,MATCH(D479,Sancoes!$C:$C,0)),"não consta"))</f>
        <v/>
      </c>
      <c r="R479" s="25" t="str">
        <f aca="false">IF(OR(D479="",H479=""),"",IF(SUMPRODUCT((Sancoes!$C$5:$C$304=D479)*(Sancoes!$G$5:$G$304&lt;=H479)*(((Sancoes!$H$5:$H$304="")+(Sancoes!$H$5:$H$304&gt;=H479))&gt;0))&gt;0,"SANÇÃO VIGENTE NA DATA — ler tipo e abrangência",""))</f>
        <v/>
      </c>
      <c r="S479" s="24"/>
      <c r="T479" s="11"/>
    </row>
    <row r="480" customFormat="false" ht="15" hidden="false" customHeight="false" outlineLevel="0" collapsed="false">
      <c r="A480" s="11"/>
      <c r="B480" s="24"/>
      <c r="C480" s="24"/>
      <c r="D480" s="31" t="str">
        <f aca="false">IF(C480="","",IF(LEN(UPPER(SUBSTITUTE(SUBSTITUTE(SUBSTITUTE(SUBSTITUTE(TRIM(C480),".",""),"/",""),"-","")," ","")))&lt;14,RIGHT(REPT("0",14)&amp;UPPER(SUBSTITUTE(SUBSTITUTE(SUBSTITUTE(SUBSTITUTE(TRIM(C480),".",""),"/",""),"-","")," ","")),14),UPPER(SUBSTITUTE(SUBSTITUTE(SUBSTITUTE(SUBSTITUTE(TRIM(C480),".",""),"/",""),"-","")," ",""))))</f>
        <v/>
      </c>
      <c r="E480" s="25" t="str">
        <f aca="false">IF(D480="","",IFERROR(INDEX(Empresas!$C:$C,MATCH(D480,Empresas!$B:$B,0)),"cadastre o CNPJ em Empresas"))</f>
        <v/>
      </c>
      <c r="F480" s="11"/>
      <c r="G480" s="23"/>
      <c r="H480" s="22"/>
      <c r="I480" s="35"/>
      <c r="J480" s="35"/>
      <c r="K480" s="36" t="str">
        <f aca="false">IF(I480="","",I480+J480)</f>
        <v/>
      </c>
      <c r="L480" s="37" t="str">
        <f aca="false">IF(OR(I480="",I480=0,J480=""),"",J480/I480)</f>
        <v/>
      </c>
      <c r="M480" s="25" t="str">
        <f aca="false">IF(L480="","",IF(L480&gt;0.25,"ACRÉSCIMO ACIMA DE 25% — conferir",""))</f>
        <v/>
      </c>
      <c r="N480" s="29" t="str">
        <f aca="false">IF(D480="","",IF(COUNTIFS(Empresas!$B:$B,D480,Empresas!$E:$E,"&lt;&gt;")=0,"",INDEX(Empresas!$E:$E,MATCH(D480,Empresas!$B:$B,0))))</f>
        <v/>
      </c>
      <c r="O480" s="27" t="str">
        <f aca="false">IF(OR(N480="",H480=""),"",H480-N480)</f>
        <v/>
      </c>
      <c r="P480" s="25" t="str">
        <f aca="false">IF(O480="","",IF(O480&lt;0,"CONTRATO ANTERIOR À ABERTURA — conferir datas",IF(O480&lt;180,"EMPRESA ABERTA MENOS DE 6 MESES ANTES","")))</f>
        <v/>
      </c>
      <c r="Q480" s="31" t="str">
        <f aca="false">IF(D480="","",IFERROR(INDEX(Sancoes!$D:$D,MATCH(D480,Sancoes!$C:$C,0)),"não consta"))</f>
        <v/>
      </c>
      <c r="R480" s="25" t="str">
        <f aca="false">IF(OR(D480="",H480=""),"",IF(SUMPRODUCT((Sancoes!$C$5:$C$304=D480)*(Sancoes!$G$5:$G$304&lt;=H480)*(((Sancoes!$H$5:$H$304="")+(Sancoes!$H$5:$H$304&gt;=H480))&gt;0))&gt;0,"SANÇÃO VIGENTE NA DATA — ler tipo e abrangência",""))</f>
        <v/>
      </c>
      <c r="S480" s="24"/>
      <c r="T480" s="11"/>
    </row>
    <row r="481" customFormat="false" ht="15" hidden="false" customHeight="false" outlineLevel="0" collapsed="false">
      <c r="A481" s="11"/>
      <c r="B481" s="24"/>
      <c r="C481" s="24"/>
      <c r="D481" s="31" t="str">
        <f aca="false">IF(C481="","",IF(LEN(UPPER(SUBSTITUTE(SUBSTITUTE(SUBSTITUTE(SUBSTITUTE(TRIM(C481),".",""),"/",""),"-","")," ","")))&lt;14,RIGHT(REPT("0",14)&amp;UPPER(SUBSTITUTE(SUBSTITUTE(SUBSTITUTE(SUBSTITUTE(TRIM(C481),".",""),"/",""),"-","")," ","")),14),UPPER(SUBSTITUTE(SUBSTITUTE(SUBSTITUTE(SUBSTITUTE(TRIM(C481),".",""),"/",""),"-","")," ",""))))</f>
        <v/>
      </c>
      <c r="E481" s="25" t="str">
        <f aca="false">IF(D481="","",IFERROR(INDEX(Empresas!$C:$C,MATCH(D481,Empresas!$B:$B,0)),"cadastre o CNPJ em Empresas"))</f>
        <v/>
      </c>
      <c r="F481" s="11"/>
      <c r="G481" s="23"/>
      <c r="H481" s="22"/>
      <c r="I481" s="35"/>
      <c r="J481" s="35"/>
      <c r="K481" s="36" t="str">
        <f aca="false">IF(I481="","",I481+J481)</f>
        <v/>
      </c>
      <c r="L481" s="37" t="str">
        <f aca="false">IF(OR(I481="",I481=0,J481=""),"",J481/I481)</f>
        <v/>
      </c>
      <c r="M481" s="25" t="str">
        <f aca="false">IF(L481="","",IF(L481&gt;0.25,"ACRÉSCIMO ACIMA DE 25% — conferir",""))</f>
        <v/>
      </c>
      <c r="N481" s="29" t="str">
        <f aca="false">IF(D481="","",IF(COUNTIFS(Empresas!$B:$B,D481,Empresas!$E:$E,"&lt;&gt;")=0,"",INDEX(Empresas!$E:$E,MATCH(D481,Empresas!$B:$B,0))))</f>
        <v/>
      </c>
      <c r="O481" s="27" t="str">
        <f aca="false">IF(OR(N481="",H481=""),"",H481-N481)</f>
        <v/>
      </c>
      <c r="P481" s="25" t="str">
        <f aca="false">IF(O481="","",IF(O481&lt;0,"CONTRATO ANTERIOR À ABERTURA — conferir datas",IF(O481&lt;180,"EMPRESA ABERTA MENOS DE 6 MESES ANTES","")))</f>
        <v/>
      </c>
      <c r="Q481" s="31" t="str">
        <f aca="false">IF(D481="","",IFERROR(INDEX(Sancoes!$D:$D,MATCH(D481,Sancoes!$C:$C,0)),"não consta"))</f>
        <v/>
      </c>
      <c r="R481" s="25" t="str">
        <f aca="false">IF(OR(D481="",H481=""),"",IF(SUMPRODUCT((Sancoes!$C$5:$C$304=D481)*(Sancoes!$G$5:$G$304&lt;=H481)*(((Sancoes!$H$5:$H$304="")+(Sancoes!$H$5:$H$304&gt;=H481))&gt;0))&gt;0,"SANÇÃO VIGENTE NA DATA — ler tipo e abrangência",""))</f>
        <v/>
      </c>
      <c r="S481" s="24"/>
      <c r="T481" s="11"/>
    </row>
    <row r="482" customFormat="false" ht="15" hidden="false" customHeight="false" outlineLevel="0" collapsed="false">
      <c r="A482" s="11"/>
      <c r="B482" s="24"/>
      <c r="C482" s="24"/>
      <c r="D482" s="31" t="str">
        <f aca="false">IF(C482="","",IF(LEN(UPPER(SUBSTITUTE(SUBSTITUTE(SUBSTITUTE(SUBSTITUTE(TRIM(C482),".",""),"/",""),"-","")," ","")))&lt;14,RIGHT(REPT("0",14)&amp;UPPER(SUBSTITUTE(SUBSTITUTE(SUBSTITUTE(SUBSTITUTE(TRIM(C482),".",""),"/",""),"-","")," ","")),14),UPPER(SUBSTITUTE(SUBSTITUTE(SUBSTITUTE(SUBSTITUTE(TRIM(C482),".",""),"/",""),"-","")," ",""))))</f>
        <v/>
      </c>
      <c r="E482" s="25" t="str">
        <f aca="false">IF(D482="","",IFERROR(INDEX(Empresas!$C:$C,MATCH(D482,Empresas!$B:$B,0)),"cadastre o CNPJ em Empresas"))</f>
        <v/>
      </c>
      <c r="F482" s="11"/>
      <c r="G482" s="23"/>
      <c r="H482" s="22"/>
      <c r="I482" s="35"/>
      <c r="J482" s="35"/>
      <c r="K482" s="36" t="str">
        <f aca="false">IF(I482="","",I482+J482)</f>
        <v/>
      </c>
      <c r="L482" s="37" t="str">
        <f aca="false">IF(OR(I482="",I482=0,J482=""),"",J482/I482)</f>
        <v/>
      </c>
      <c r="M482" s="25" t="str">
        <f aca="false">IF(L482="","",IF(L482&gt;0.25,"ACRÉSCIMO ACIMA DE 25% — conferir",""))</f>
        <v/>
      </c>
      <c r="N482" s="29" t="str">
        <f aca="false">IF(D482="","",IF(COUNTIFS(Empresas!$B:$B,D482,Empresas!$E:$E,"&lt;&gt;")=0,"",INDEX(Empresas!$E:$E,MATCH(D482,Empresas!$B:$B,0))))</f>
        <v/>
      </c>
      <c r="O482" s="27" t="str">
        <f aca="false">IF(OR(N482="",H482=""),"",H482-N482)</f>
        <v/>
      </c>
      <c r="P482" s="25" t="str">
        <f aca="false">IF(O482="","",IF(O482&lt;0,"CONTRATO ANTERIOR À ABERTURA — conferir datas",IF(O482&lt;180,"EMPRESA ABERTA MENOS DE 6 MESES ANTES","")))</f>
        <v/>
      </c>
      <c r="Q482" s="31" t="str">
        <f aca="false">IF(D482="","",IFERROR(INDEX(Sancoes!$D:$D,MATCH(D482,Sancoes!$C:$C,0)),"não consta"))</f>
        <v/>
      </c>
      <c r="R482" s="25" t="str">
        <f aca="false">IF(OR(D482="",H482=""),"",IF(SUMPRODUCT((Sancoes!$C$5:$C$304=D482)*(Sancoes!$G$5:$G$304&lt;=H482)*(((Sancoes!$H$5:$H$304="")+(Sancoes!$H$5:$H$304&gt;=H482))&gt;0))&gt;0,"SANÇÃO VIGENTE NA DATA — ler tipo e abrangência",""))</f>
        <v/>
      </c>
      <c r="S482" s="24"/>
      <c r="T482" s="11"/>
    </row>
    <row r="483" customFormat="false" ht="15" hidden="false" customHeight="false" outlineLevel="0" collapsed="false">
      <c r="A483" s="11"/>
      <c r="B483" s="24"/>
      <c r="C483" s="24"/>
      <c r="D483" s="31" t="str">
        <f aca="false">IF(C483="","",IF(LEN(UPPER(SUBSTITUTE(SUBSTITUTE(SUBSTITUTE(SUBSTITUTE(TRIM(C483),".",""),"/",""),"-","")," ","")))&lt;14,RIGHT(REPT("0",14)&amp;UPPER(SUBSTITUTE(SUBSTITUTE(SUBSTITUTE(SUBSTITUTE(TRIM(C483),".",""),"/",""),"-","")," ","")),14),UPPER(SUBSTITUTE(SUBSTITUTE(SUBSTITUTE(SUBSTITUTE(TRIM(C483),".",""),"/",""),"-","")," ",""))))</f>
        <v/>
      </c>
      <c r="E483" s="25" t="str">
        <f aca="false">IF(D483="","",IFERROR(INDEX(Empresas!$C:$C,MATCH(D483,Empresas!$B:$B,0)),"cadastre o CNPJ em Empresas"))</f>
        <v/>
      </c>
      <c r="F483" s="11"/>
      <c r="G483" s="23"/>
      <c r="H483" s="22"/>
      <c r="I483" s="35"/>
      <c r="J483" s="35"/>
      <c r="K483" s="36" t="str">
        <f aca="false">IF(I483="","",I483+J483)</f>
        <v/>
      </c>
      <c r="L483" s="37" t="str">
        <f aca="false">IF(OR(I483="",I483=0,J483=""),"",J483/I483)</f>
        <v/>
      </c>
      <c r="M483" s="25" t="str">
        <f aca="false">IF(L483="","",IF(L483&gt;0.25,"ACRÉSCIMO ACIMA DE 25% — conferir",""))</f>
        <v/>
      </c>
      <c r="N483" s="29" t="str">
        <f aca="false">IF(D483="","",IF(COUNTIFS(Empresas!$B:$B,D483,Empresas!$E:$E,"&lt;&gt;")=0,"",INDEX(Empresas!$E:$E,MATCH(D483,Empresas!$B:$B,0))))</f>
        <v/>
      </c>
      <c r="O483" s="27" t="str">
        <f aca="false">IF(OR(N483="",H483=""),"",H483-N483)</f>
        <v/>
      </c>
      <c r="P483" s="25" t="str">
        <f aca="false">IF(O483="","",IF(O483&lt;0,"CONTRATO ANTERIOR À ABERTURA — conferir datas",IF(O483&lt;180,"EMPRESA ABERTA MENOS DE 6 MESES ANTES","")))</f>
        <v/>
      </c>
      <c r="Q483" s="31" t="str">
        <f aca="false">IF(D483="","",IFERROR(INDEX(Sancoes!$D:$D,MATCH(D483,Sancoes!$C:$C,0)),"não consta"))</f>
        <v/>
      </c>
      <c r="R483" s="25" t="str">
        <f aca="false">IF(OR(D483="",H483=""),"",IF(SUMPRODUCT((Sancoes!$C$5:$C$304=D483)*(Sancoes!$G$5:$G$304&lt;=H483)*(((Sancoes!$H$5:$H$304="")+(Sancoes!$H$5:$H$304&gt;=H483))&gt;0))&gt;0,"SANÇÃO VIGENTE NA DATA — ler tipo e abrangência",""))</f>
        <v/>
      </c>
      <c r="S483" s="24"/>
      <c r="T483" s="11"/>
    </row>
    <row r="484" customFormat="false" ht="15" hidden="false" customHeight="false" outlineLevel="0" collapsed="false">
      <c r="A484" s="11"/>
      <c r="B484" s="24"/>
      <c r="C484" s="24"/>
      <c r="D484" s="31" t="str">
        <f aca="false">IF(C484="","",IF(LEN(UPPER(SUBSTITUTE(SUBSTITUTE(SUBSTITUTE(SUBSTITUTE(TRIM(C484),".",""),"/",""),"-","")," ","")))&lt;14,RIGHT(REPT("0",14)&amp;UPPER(SUBSTITUTE(SUBSTITUTE(SUBSTITUTE(SUBSTITUTE(TRIM(C484),".",""),"/",""),"-","")," ","")),14),UPPER(SUBSTITUTE(SUBSTITUTE(SUBSTITUTE(SUBSTITUTE(TRIM(C484),".",""),"/",""),"-","")," ",""))))</f>
        <v/>
      </c>
      <c r="E484" s="25" t="str">
        <f aca="false">IF(D484="","",IFERROR(INDEX(Empresas!$C:$C,MATCH(D484,Empresas!$B:$B,0)),"cadastre o CNPJ em Empresas"))</f>
        <v/>
      </c>
      <c r="F484" s="11"/>
      <c r="G484" s="23"/>
      <c r="H484" s="22"/>
      <c r="I484" s="35"/>
      <c r="J484" s="35"/>
      <c r="K484" s="36" t="str">
        <f aca="false">IF(I484="","",I484+J484)</f>
        <v/>
      </c>
      <c r="L484" s="37" t="str">
        <f aca="false">IF(OR(I484="",I484=0,J484=""),"",J484/I484)</f>
        <v/>
      </c>
      <c r="M484" s="25" t="str">
        <f aca="false">IF(L484="","",IF(L484&gt;0.25,"ACRÉSCIMO ACIMA DE 25% — conferir",""))</f>
        <v/>
      </c>
      <c r="N484" s="29" t="str">
        <f aca="false">IF(D484="","",IF(COUNTIFS(Empresas!$B:$B,D484,Empresas!$E:$E,"&lt;&gt;")=0,"",INDEX(Empresas!$E:$E,MATCH(D484,Empresas!$B:$B,0))))</f>
        <v/>
      </c>
      <c r="O484" s="27" t="str">
        <f aca="false">IF(OR(N484="",H484=""),"",H484-N484)</f>
        <v/>
      </c>
      <c r="P484" s="25" t="str">
        <f aca="false">IF(O484="","",IF(O484&lt;0,"CONTRATO ANTERIOR À ABERTURA — conferir datas",IF(O484&lt;180,"EMPRESA ABERTA MENOS DE 6 MESES ANTES","")))</f>
        <v/>
      </c>
      <c r="Q484" s="31" t="str">
        <f aca="false">IF(D484="","",IFERROR(INDEX(Sancoes!$D:$D,MATCH(D484,Sancoes!$C:$C,0)),"não consta"))</f>
        <v/>
      </c>
      <c r="R484" s="25" t="str">
        <f aca="false">IF(OR(D484="",H484=""),"",IF(SUMPRODUCT((Sancoes!$C$5:$C$304=D484)*(Sancoes!$G$5:$G$304&lt;=H484)*(((Sancoes!$H$5:$H$304="")+(Sancoes!$H$5:$H$304&gt;=H484))&gt;0))&gt;0,"SANÇÃO VIGENTE NA DATA — ler tipo e abrangência",""))</f>
        <v/>
      </c>
      <c r="S484" s="24"/>
      <c r="T484" s="11"/>
    </row>
    <row r="485" customFormat="false" ht="15" hidden="false" customHeight="false" outlineLevel="0" collapsed="false">
      <c r="A485" s="11"/>
      <c r="B485" s="24"/>
      <c r="C485" s="24"/>
      <c r="D485" s="31" t="str">
        <f aca="false">IF(C485="","",IF(LEN(UPPER(SUBSTITUTE(SUBSTITUTE(SUBSTITUTE(SUBSTITUTE(TRIM(C485),".",""),"/",""),"-","")," ","")))&lt;14,RIGHT(REPT("0",14)&amp;UPPER(SUBSTITUTE(SUBSTITUTE(SUBSTITUTE(SUBSTITUTE(TRIM(C485),".",""),"/",""),"-","")," ","")),14),UPPER(SUBSTITUTE(SUBSTITUTE(SUBSTITUTE(SUBSTITUTE(TRIM(C485),".",""),"/",""),"-","")," ",""))))</f>
        <v/>
      </c>
      <c r="E485" s="25" t="str">
        <f aca="false">IF(D485="","",IFERROR(INDEX(Empresas!$C:$C,MATCH(D485,Empresas!$B:$B,0)),"cadastre o CNPJ em Empresas"))</f>
        <v/>
      </c>
      <c r="F485" s="11"/>
      <c r="G485" s="23"/>
      <c r="H485" s="22"/>
      <c r="I485" s="35"/>
      <c r="J485" s="35"/>
      <c r="K485" s="36" t="str">
        <f aca="false">IF(I485="","",I485+J485)</f>
        <v/>
      </c>
      <c r="L485" s="37" t="str">
        <f aca="false">IF(OR(I485="",I485=0,J485=""),"",J485/I485)</f>
        <v/>
      </c>
      <c r="M485" s="25" t="str">
        <f aca="false">IF(L485="","",IF(L485&gt;0.25,"ACRÉSCIMO ACIMA DE 25% — conferir",""))</f>
        <v/>
      </c>
      <c r="N485" s="29" t="str">
        <f aca="false">IF(D485="","",IF(COUNTIFS(Empresas!$B:$B,D485,Empresas!$E:$E,"&lt;&gt;")=0,"",INDEX(Empresas!$E:$E,MATCH(D485,Empresas!$B:$B,0))))</f>
        <v/>
      </c>
      <c r="O485" s="27" t="str">
        <f aca="false">IF(OR(N485="",H485=""),"",H485-N485)</f>
        <v/>
      </c>
      <c r="P485" s="25" t="str">
        <f aca="false">IF(O485="","",IF(O485&lt;0,"CONTRATO ANTERIOR À ABERTURA — conferir datas",IF(O485&lt;180,"EMPRESA ABERTA MENOS DE 6 MESES ANTES","")))</f>
        <v/>
      </c>
      <c r="Q485" s="31" t="str">
        <f aca="false">IF(D485="","",IFERROR(INDEX(Sancoes!$D:$D,MATCH(D485,Sancoes!$C:$C,0)),"não consta"))</f>
        <v/>
      </c>
      <c r="R485" s="25" t="str">
        <f aca="false">IF(OR(D485="",H485=""),"",IF(SUMPRODUCT((Sancoes!$C$5:$C$304=D485)*(Sancoes!$G$5:$G$304&lt;=H485)*(((Sancoes!$H$5:$H$304="")+(Sancoes!$H$5:$H$304&gt;=H485))&gt;0))&gt;0,"SANÇÃO VIGENTE NA DATA — ler tipo e abrangência",""))</f>
        <v/>
      </c>
      <c r="S485" s="24"/>
      <c r="T485" s="11"/>
    </row>
    <row r="486" customFormat="false" ht="15" hidden="false" customHeight="false" outlineLevel="0" collapsed="false">
      <c r="A486" s="11"/>
      <c r="B486" s="24"/>
      <c r="C486" s="24"/>
      <c r="D486" s="31" t="str">
        <f aca="false">IF(C486="","",IF(LEN(UPPER(SUBSTITUTE(SUBSTITUTE(SUBSTITUTE(SUBSTITUTE(TRIM(C486),".",""),"/",""),"-","")," ","")))&lt;14,RIGHT(REPT("0",14)&amp;UPPER(SUBSTITUTE(SUBSTITUTE(SUBSTITUTE(SUBSTITUTE(TRIM(C486),".",""),"/",""),"-","")," ","")),14),UPPER(SUBSTITUTE(SUBSTITUTE(SUBSTITUTE(SUBSTITUTE(TRIM(C486),".",""),"/",""),"-","")," ",""))))</f>
        <v/>
      </c>
      <c r="E486" s="25" t="str">
        <f aca="false">IF(D486="","",IFERROR(INDEX(Empresas!$C:$C,MATCH(D486,Empresas!$B:$B,0)),"cadastre o CNPJ em Empresas"))</f>
        <v/>
      </c>
      <c r="F486" s="11"/>
      <c r="G486" s="23"/>
      <c r="H486" s="22"/>
      <c r="I486" s="35"/>
      <c r="J486" s="35"/>
      <c r="K486" s="36" t="str">
        <f aca="false">IF(I486="","",I486+J486)</f>
        <v/>
      </c>
      <c r="L486" s="37" t="str">
        <f aca="false">IF(OR(I486="",I486=0,J486=""),"",J486/I486)</f>
        <v/>
      </c>
      <c r="M486" s="25" t="str">
        <f aca="false">IF(L486="","",IF(L486&gt;0.25,"ACRÉSCIMO ACIMA DE 25% — conferir",""))</f>
        <v/>
      </c>
      <c r="N486" s="29" t="str">
        <f aca="false">IF(D486="","",IF(COUNTIFS(Empresas!$B:$B,D486,Empresas!$E:$E,"&lt;&gt;")=0,"",INDEX(Empresas!$E:$E,MATCH(D486,Empresas!$B:$B,0))))</f>
        <v/>
      </c>
      <c r="O486" s="27" t="str">
        <f aca="false">IF(OR(N486="",H486=""),"",H486-N486)</f>
        <v/>
      </c>
      <c r="P486" s="25" t="str">
        <f aca="false">IF(O486="","",IF(O486&lt;0,"CONTRATO ANTERIOR À ABERTURA — conferir datas",IF(O486&lt;180,"EMPRESA ABERTA MENOS DE 6 MESES ANTES","")))</f>
        <v/>
      </c>
      <c r="Q486" s="31" t="str">
        <f aca="false">IF(D486="","",IFERROR(INDEX(Sancoes!$D:$D,MATCH(D486,Sancoes!$C:$C,0)),"não consta"))</f>
        <v/>
      </c>
      <c r="R486" s="25" t="str">
        <f aca="false">IF(OR(D486="",H486=""),"",IF(SUMPRODUCT((Sancoes!$C$5:$C$304=D486)*(Sancoes!$G$5:$G$304&lt;=H486)*(((Sancoes!$H$5:$H$304="")+(Sancoes!$H$5:$H$304&gt;=H486))&gt;0))&gt;0,"SANÇÃO VIGENTE NA DATA — ler tipo e abrangência",""))</f>
        <v/>
      </c>
      <c r="S486" s="24"/>
      <c r="T486" s="11"/>
    </row>
    <row r="487" customFormat="false" ht="15" hidden="false" customHeight="false" outlineLevel="0" collapsed="false">
      <c r="A487" s="11"/>
      <c r="B487" s="24"/>
      <c r="C487" s="24"/>
      <c r="D487" s="31" t="str">
        <f aca="false">IF(C487="","",IF(LEN(UPPER(SUBSTITUTE(SUBSTITUTE(SUBSTITUTE(SUBSTITUTE(TRIM(C487),".",""),"/",""),"-","")," ","")))&lt;14,RIGHT(REPT("0",14)&amp;UPPER(SUBSTITUTE(SUBSTITUTE(SUBSTITUTE(SUBSTITUTE(TRIM(C487),".",""),"/",""),"-","")," ","")),14),UPPER(SUBSTITUTE(SUBSTITUTE(SUBSTITUTE(SUBSTITUTE(TRIM(C487),".",""),"/",""),"-","")," ",""))))</f>
        <v/>
      </c>
      <c r="E487" s="25" t="str">
        <f aca="false">IF(D487="","",IFERROR(INDEX(Empresas!$C:$C,MATCH(D487,Empresas!$B:$B,0)),"cadastre o CNPJ em Empresas"))</f>
        <v/>
      </c>
      <c r="F487" s="11"/>
      <c r="G487" s="23"/>
      <c r="H487" s="22"/>
      <c r="I487" s="35"/>
      <c r="J487" s="35"/>
      <c r="K487" s="36" t="str">
        <f aca="false">IF(I487="","",I487+J487)</f>
        <v/>
      </c>
      <c r="L487" s="37" t="str">
        <f aca="false">IF(OR(I487="",I487=0,J487=""),"",J487/I487)</f>
        <v/>
      </c>
      <c r="M487" s="25" t="str">
        <f aca="false">IF(L487="","",IF(L487&gt;0.25,"ACRÉSCIMO ACIMA DE 25% — conferir",""))</f>
        <v/>
      </c>
      <c r="N487" s="29" t="str">
        <f aca="false">IF(D487="","",IF(COUNTIFS(Empresas!$B:$B,D487,Empresas!$E:$E,"&lt;&gt;")=0,"",INDEX(Empresas!$E:$E,MATCH(D487,Empresas!$B:$B,0))))</f>
        <v/>
      </c>
      <c r="O487" s="27" t="str">
        <f aca="false">IF(OR(N487="",H487=""),"",H487-N487)</f>
        <v/>
      </c>
      <c r="P487" s="25" t="str">
        <f aca="false">IF(O487="","",IF(O487&lt;0,"CONTRATO ANTERIOR À ABERTURA — conferir datas",IF(O487&lt;180,"EMPRESA ABERTA MENOS DE 6 MESES ANTES","")))</f>
        <v/>
      </c>
      <c r="Q487" s="31" t="str">
        <f aca="false">IF(D487="","",IFERROR(INDEX(Sancoes!$D:$D,MATCH(D487,Sancoes!$C:$C,0)),"não consta"))</f>
        <v/>
      </c>
      <c r="R487" s="25" t="str">
        <f aca="false">IF(OR(D487="",H487=""),"",IF(SUMPRODUCT((Sancoes!$C$5:$C$304=D487)*(Sancoes!$G$5:$G$304&lt;=H487)*(((Sancoes!$H$5:$H$304="")+(Sancoes!$H$5:$H$304&gt;=H487))&gt;0))&gt;0,"SANÇÃO VIGENTE NA DATA — ler tipo e abrangência",""))</f>
        <v/>
      </c>
      <c r="S487" s="24"/>
      <c r="T487" s="11"/>
    </row>
    <row r="488" customFormat="false" ht="15" hidden="false" customHeight="false" outlineLevel="0" collapsed="false">
      <c r="A488" s="11"/>
      <c r="B488" s="24"/>
      <c r="C488" s="24"/>
      <c r="D488" s="31" t="str">
        <f aca="false">IF(C488="","",IF(LEN(UPPER(SUBSTITUTE(SUBSTITUTE(SUBSTITUTE(SUBSTITUTE(TRIM(C488),".",""),"/",""),"-","")," ","")))&lt;14,RIGHT(REPT("0",14)&amp;UPPER(SUBSTITUTE(SUBSTITUTE(SUBSTITUTE(SUBSTITUTE(TRIM(C488),".",""),"/",""),"-","")," ","")),14),UPPER(SUBSTITUTE(SUBSTITUTE(SUBSTITUTE(SUBSTITUTE(TRIM(C488),".",""),"/",""),"-","")," ",""))))</f>
        <v/>
      </c>
      <c r="E488" s="25" t="str">
        <f aca="false">IF(D488="","",IFERROR(INDEX(Empresas!$C:$C,MATCH(D488,Empresas!$B:$B,0)),"cadastre o CNPJ em Empresas"))</f>
        <v/>
      </c>
      <c r="F488" s="11"/>
      <c r="G488" s="23"/>
      <c r="H488" s="22"/>
      <c r="I488" s="35"/>
      <c r="J488" s="35"/>
      <c r="K488" s="36" t="str">
        <f aca="false">IF(I488="","",I488+J488)</f>
        <v/>
      </c>
      <c r="L488" s="37" t="str">
        <f aca="false">IF(OR(I488="",I488=0,J488=""),"",J488/I488)</f>
        <v/>
      </c>
      <c r="M488" s="25" t="str">
        <f aca="false">IF(L488="","",IF(L488&gt;0.25,"ACRÉSCIMO ACIMA DE 25% — conferir",""))</f>
        <v/>
      </c>
      <c r="N488" s="29" t="str">
        <f aca="false">IF(D488="","",IF(COUNTIFS(Empresas!$B:$B,D488,Empresas!$E:$E,"&lt;&gt;")=0,"",INDEX(Empresas!$E:$E,MATCH(D488,Empresas!$B:$B,0))))</f>
        <v/>
      </c>
      <c r="O488" s="27" t="str">
        <f aca="false">IF(OR(N488="",H488=""),"",H488-N488)</f>
        <v/>
      </c>
      <c r="P488" s="25" t="str">
        <f aca="false">IF(O488="","",IF(O488&lt;0,"CONTRATO ANTERIOR À ABERTURA — conferir datas",IF(O488&lt;180,"EMPRESA ABERTA MENOS DE 6 MESES ANTES","")))</f>
        <v/>
      </c>
      <c r="Q488" s="31" t="str">
        <f aca="false">IF(D488="","",IFERROR(INDEX(Sancoes!$D:$D,MATCH(D488,Sancoes!$C:$C,0)),"não consta"))</f>
        <v/>
      </c>
      <c r="R488" s="25" t="str">
        <f aca="false">IF(OR(D488="",H488=""),"",IF(SUMPRODUCT((Sancoes!$C$5:$C$304=D488)*(Sancoes!$G$5:$G$304&lt;=H488)*(((Sancoes!$H$5:$H$304="")+(Sancoes!$H$5:$H$304&gt;=H488))&gt;0))&gt;0,"SANÇÃO VIGENTE NA DATA — ler tipo e abrangência",""))</f>
        <v/>
      </c>
      <c r="S488" s="24"/>
      <c r="T488" s="11"/>
    </row>
    <row r="489" customFormat="false" ht="15" hidden="false" customHeight="false" outlineLevel="0" collapsed="false">
      <c r="A489" s="11"/>
      <c r="B489" s="24"/>
      <c r="C489" s="24"/>
      <c r="D489" s="31" t="str">
        <f aca="false">IF(C489="","",IF(LEN(UPPER(SUBSTITUTE(SUBSTITUTE(SUBSTITUTE(SUBSTITUTE(TRIM(C489),".",""),"/",""),"-","")," ","")))&lt;14,RIGHT(REPT("0",14)&amp;UPPER(SUBSTITUTE(SUBSTITUTE(SUBSTITUTE(SUBSTITUTE(TRIM(C489),".",""),"/",""),"-","")," ","")),14),UPPER(SUBSTITUTE(SUBSTITUTE(SUBSTITUTE(SUBSTITUTE(TRIM(C489),".",""),"/",""),"-","")," ",""))))</f>
        <v/>
      </c>
      <c r="E489" s="25" t="str">
        <f aca="false">IF(D489="","",IFERROR(INDEX(Empresas!$C:$C,MATCH(D489,Empresas!$B:$B,0)),"cadastre o CNPJ em Empresas"))</f>
        <v/>
      </c>
      <c r="F489" s="11"/>
      <c r="G489" s="23"/>
      <c r="H489" s="22"/>
      <c r="I489" s="35"/>
      <c r="J489" s="35"/>
      <c r="K489" s="36" t="str">
        <f aca="false">IF(I489="","",I489+J489)</f>
        <v/>
      </c>
      <c r="L489" s="37" t="str">
        <f aca="false">IF(OR(I489="",I489=0,J489=""),"",J489/I489)</f>
        <v/>
      </c>
      <c r="M489" s="25" t="str">
        <f aca="false">IF(L489="","",IF(L489&gt;0.25,"ACRÉSCIMO ACIMA DE 25% — conferir",""))</f>
        <v/>
      </c>
      <c r="N489" s="29" t="str">
        <f aca="false">IF(D489="","",IF(COUNTIFS(Empresas!$B:$B,D489,Empresas!$E:$E,"&lt;&gt;")=0,"",INDEX(Empresas!$E:$E,MATCH(D489,Empresas!$B:$B,0))))</f>
        <v/>
      </c>
      <c r="O489" s="27" t="str">
        <f aca="false">IF(OR(N489="",H489=""),"",H489-N489)</f>
        <v/>
      </c>
      <c r="P489" s="25" t="str">
        <f aca="false">IF(O489="","",IF(O489&lt;0,"CONTRATO ANTERIOR À ABERTURA — conferir datas",IF(O489&lt;180,"EMPRESA ABERTA MENOS DE 6 MESES ANTES","")))</f>
        <v/>
      </c>
      <c r="Q489" s="31" t="str">
        <f aca="false">IF(D489="","",IFERROR(INDEX(Sancoes!$D:$D,MATCH(D489,Sancoes!$C:$C,0)),"não consta"))</f>
        <v/>
      </c>
      <c r="R489" s="25" t="str">
        <f aca="false">IF(OR(D489="",H489=""),"",IF(SUMPRODUCT((Sancoes!$C$5:$C$304=D489)*(Sancoes!$G$5:$G$304&lt;=H489)*(((Sancoes!$H$5:$H$304="")+(Sancoes!$H$5:$H$304&gt;=H489))&gt;0))&gt;0,"SANÇÃO VIGENTE NA DATA — ler tipo e abrangência",""))</f>
        <v/>
      </c>
      <c r="S489" s="24"/>
      <c r="T489" s="11"/>
    </row>
    <row r="490" customFormat="false" ht="15" hidden="false" customHeight="false" outlineLevel="0" collapsed="false">
      <c r="A490" s="11"/>
      <c r="B490" s="24"/>
      <c r="C490" s="24"/>
      <c r="D490" s="31" t="str">
        <f aca="false">IF(C490="","",IF(LEN(UPPER(SUBSTITUTE(SUBSTITUTE(SUBSTITUTE(SUBSTITUTE(TRIM(C490),".",""),"/",""),"-","")," ","")))&lt;14,RIGHT(REPT("0",14)&amp;UPPER(SUBSTITUTE(SUBSTITUTE(SUBSTITUTE(SUBSTITUTE(TRIM(C490),".",""),"/",""),"-","")," ","")),14),UPPER(SUBSTITUTE(SUBSTITUTE(SUBSTITUTE(SUBSTITUTE(TRIM(C490),".",""),"/",""),"-","")," ",""))))</f>
        <v/>
      </c>
      <c r="E490" s="25" t="str">
        <f aca="false">IF(D490="","",IFERROR(INDEX(Empresas!$C:$C,MATCH(D490,Empresas!$B:$B,0)),"cadastre o CNPJ em Empresas"))</f>
        <v/>
      </c>
      <c r="F490" s="11"/>
      <c r="G490" s="23"/>
      <c r="H490" s="22"/>
      <c r="I490" s="35"/>
      <c r="J490" s="35"/>
      <c r="K490" s="36" t="str">
        <f aca="false">IF(I490="","",I490+J490)</f>
        <v/>
      </c>
      <c r="L490" s="37" t="str">
        <f aca="false">IF(OR(I490="",I490=0,J490=""),"",J490/I490)</f>
        <v/>
      </c>
      <c r="M490" s="25" t="str">
        <f aca="false">IF(L490="","",IF(L490&gt;0.25,"ACRÉSCIMO ACIMA DE 25% — conferir",""))</f>
        <v/>
      </c>
      <c r="N490" s="29" t="str">
        <f aca="false">IF(D490="","",IF(COUNTIFS(Empresas!$B:$B,D490,Empresas!$E:$E,"&lt;&gt;")=0,"",INDEX(Empresas!$E:$E,MATCH(D490,Empresas!$B:$B,0))))</f>
        <v/>
      </c>
      <c r="O490" s="27" t="str">
        <f aca="false">IF(OR(N490="",H490=""),"",H490-N490)</f>
        <v/>
      </c>
      <c r="P490" s="25" t="str">
        <f aca="false">IF(O490="","",IF(O490&lt;0,"CONTRATO ANTERIOR À ABERTURA — conferir datas",IF(O490&lt;180,"EMPRESA ABERTA MENOS DE 6 MESES ANTES","")))</f>
        <v/>
      </c>
      <c r="Q490" s="31" t="str">
        <f aca="false">IF(D490="","",IFERROR(INDEX(Sancoes!$D:$D,MATCH(D490,Sancoes!$C:$C,0)),"não consta"))</f>
        <v/>
      </c>
      <c r="R490" s="25" t="str">
        <f aca="false">IF(OR(D490="",H490=""),"",IF(SUMPRODUCT((Sancoes!$C$5:$C$304=D490)*(Sancoes!$G$5:$G$304&lt;=H490)*(((Sancoes!$H$5:$H$304="")+(Sancoes!$H$5:$H$304&gt;=H490))&gt;0))&gt;0,"SANÇÃO VIGENTE NA DATA — ler tipo e abrangência",""))</f>
        <v/>
      </c>
      <c r="S490" s="24"/>
      <c r="T490" s="11"/>
    </row>
    <row r="491" customFormat="false" ht="15" hidden="false" customHeight="false" outlineLevel="0" collapsed="false">
      <c r="A491" s="11"/>
      <c r="B491" s="24"/>
      <c r="C491" s="24"/>
      <c r="D491" s="31" t="str">
        <f aca="false">IF(C491="","",IF(LEN(UPPER(SUBSTITUTE(SUBSTITUTE(SUBSTITUTE(SUBSTITUTE(TRIM(C491),".",""),"/",""),"-","")," ","")))&lt;14,RIGHT(REPT("0",14)&amp;UPPER(SUBSTITUTE(SUBSTITUTE(SUBSTITUTE(SUBSTITUTE(TRIM(C491),".",""),"/",""),"-","")," ","")),14),UPPER(SUBSTITUTE(SUBSTITUTE(SUBSTITUTE(SUBSTITUTE(TRIM(C491),".",""),"/",""),"-","")," ",""))))</f>
        <v/>
      </c>
      <c r="E491" s="25" t="str">
        <f aca="false">IF(D491="","",IFERROR(INDEX(Empresas!$C:$C,MATCH(D491,Empresas!$B:$B,0)),"cadastre o CNPJ em Empresas"))</f>
        <v/>
      </c>
      <c r="F491" s="11"/>
      <c r="G491" s="23"/>
      <c r="H491" s="22"/>
      <c r="I491" s="35"/>
      <c r="J491" s="35"/>
      <c r="K491" s="36" t="str">
        <f aca="false">IF(I491="","",I491+J491)</f>
        <v/>
      </c>
      <c r="L491" s="37" t="str">
        <f aca="false">IF(OR(I491="",I491=0,J491=""),"",J491/I491)</f>
        <v/>
      </c>
      <c r="M491" s="25" t="str">
        <f aca="false">IF(L491="","",IF(L491&gt;0.25,"ACRÉSCIMO ACIMA DE 25% — conferir",""))</f>
        <v/>
      </c>
      <c r="N491" s="29" t="str">
        <f aca="false">IF(D491="","",IF(COUNTIFS(Empresas!$B:$B,D491,Empresas!$E:$E,"&lt;&gt;")=0,"",INDEX(Empresas!$E:$E,MATCH(D491,Empresas!$B:$B,0))))</f>
        <v/>
      </c>
      <c r="O491" s="27" t="str">
        <f aca="false">IF(OR(N491="",H491=""),"",H491-N491)</f>
        <v/>
      </c>
      <c r="P491" s="25" t="str">
        <f aca="false">IF(O491="","",IF(O491&lt;0,"CONTRATO ANTERIOR À ABERTURA — conferir datas",IF(O491&lt;180,"EMPRESA ABERTA MENOS DE 6 MESES ANTES","")))</f>
        <v/>
      </c>
      <c r="Q491" s="31" t="str">
        <f aca="false">IF(D491="","",IFERROR(INDEX(Sancoes!$D:$D,MATCH(D491,Sancoes!$C:$C,0)),"não consta"))</f>
        <v/>
      </c>
      <c r="R491" s="25" t="str">
        <f aca="false">IF(OR(D491="",H491=""),"",IF(SUMPRODUCT((Sancoes!$C$5:$C$304=D491)*(Sancoes!$G$5:$G$304&lt;=H491)*(((Sancoes!$H$5:$H$304="")+(Sancoes!$H$5:$H$304&gt;=H491))&gt;0))&gt;0,"SANÇÃO VIGENTE NA DATA — ler tipo e abrangência",""))</f>
        <v/>
      </c>
      <c r="S491" s="24"/>
      <c r="T491" s="11"/>
    </row>
    <row r="492" customFormat="false" ht="15" hidden="false" customHeight="false" outlineLevel="0" collapsed="false">
      <c r="A492" s="11"/>
      <c r="B492" s="24"/>
      <c r="C492" s="24"/>
      <c r="D492" s="31" t="str">
        <f aca="false">IF(C492="","",IF(LEN(UPPER(SUBSTITUTE(SUBSTITUTE(SUBSTITUTE(SUBSTITUTE(TRIM(C492),".",""),"/",""),"-","")," ","")))&lt;14,RIGHT(REPT("0",14)&amp;UPPER(SUBSTITUTE(SUBSTITUTE(SUBSTITUTE(SUBSTITUTE(TRIM(C492),".",""),"/",""),"-","")," ","")),14),UPPER(SUBSTITUTE(SUBSTITUTE(SUBSTITUTE(SUBSTITUTE(TRIM(C492),".",""),"/",""),"-","")," ",""))))</f>
        <v/>
      </c>
      <c r="E492" s="25" t="str">
        <f aca="false">IF(D492="","",IFERROR(INDEX(Empresas!$C:$C,MATCH(D492,Empresas!$B:$B,0)),"cadastre o CNPJ em Empresas"))</f>
        <v/>
      </c>
      <c r="F492" s="11"/>
      <c r="G492" s="23"/>
      <c r="H492" s="22"/>
      <c r="I492" s="35"/>
      <c r="J492" s="35"/>
      <c r="K492" s="36" t="str">
        <f aca="false">IF(I492="","",I492+J492)</f>
        <v/>
      </c>
      <c r="L492" s="37" t="str">
        <f aca="false">IF(OR(I492="",I492=0,J492=""),"",J492/I492)</f>
        <v/>
      </c>
      <c r="M492" s="25" t="str">
        <f aca="false">IF(L492="","",IF(L492&gt;0.25,"ACRÉSCIMO ACIMA DE 25% — conferir",""))</f>
        <v/>
      </c>
      <c r="N492" s="29" t="str">
        <f aca="false">IF(D492="","",IF(COUNTIFS(Empresas!$B:$B,D492,Empresas!$E:$E,"&lt;&gt;")=0,"",INDEX(Empresas!$E:$E,MATCH(D492,Empresas!$B:$B,0))))</f>
        <v/>
      </c>
      <c r="O492" s="27" t="str">
        <f aca="false">IF(OR(N492="",H492=""),"",H492-N492)</f>
        <v/>
      </c>
      <c r="P492" s="25" t="str">
        <f aca="false">IF(O492="","",IF(O492&lt;0,"CONTRATO ANTERIOR À ABERTURA — conferir datas",IF(O492&lt;180,"EMPRESA ABERTA MENOS DE 6 MESES ANTES","")))</f>
        <v/>
      </c>
      <c r="Q492" s="31" t="str">
        <f aca="false">IF(D492="","",IFERROR(INDEX(Sancoes!$D:$D,MATCH(D492,Sancoes!$C:$C,0)),"não consta"))</f>
        <v/>
      </c>
      <c r="R492" s="25" t="str">
        <f aca="false">IF(OR(D492="",H492=""),"",IF(SUMPRODUCT((Sancoes!$C$5:$C$304=D492)*(Sancoes!$G$5:$G$304&lt;=H492)*(((Sancoes!$H$5:$H$304="")+(Sancoes!$H$5:$H$304&gt;=H492))&gt;0))&gt;0,"SANÇÃO VIGENTE NA DATA — ler tipo e abrangência",""))</f>
        <v/>
      </c>
      <c r="S492" s="24"/>
      <c r="T492" s="11"/>
    </row>
    <row r="493" customFormat="false" ht="15" hidden="false" customHeight="false" outlineLevel="0" collapsed="false">
      <c r="A493" s="11"/>
      <c r="B493" s="24"/>
      <c r="C493" s="24"/>
      <c r="D493" s="31" t="str">
        <f aca="false">IF(C493="","",IF(LEN(UPPER(SUBSTITUTE(SUBSTITUTE(SUBSTITUTE(SUBSTITUTE(TRIM(C493),".",""),"/",""),"-","")," ","")))&lt;14,RIGHT(REPT("0",14)&amp;UPPER(SUBSTITUTE(SUBSTITUTE(SUBSTITUTE(SUBSTITUTE(TRIM(C493),".",""),"/",""),"-","")," ","")),14),UPPER(SUBSTITUTE(SUBSTITUTE(SUBSTITUTE(SUBSTITUTE(TRIM(C493),".",""),"/",""),"-","")," ",""))))</f>
        <v/>
      </c>
      <c r="E493" s="25" t="str">
        <f aca="false">IF(D493="","",IFERROR(INDEX(Empresas!$C:$C,MATCH(D493,Empresas!$B:$B,0)),"cadastre o CNPJ em Empresas"))</f>
        <v/>
      </c>
      <c r="F493" s="11"/>
      <c r="G493" s="23"/>
      <c r="H493" s="22"/>
      <c r="I493" s="35"/>
      <c r="J493" s="35"/>
      <c r="K493" s="36" t="str">
        <f aca="false">IF(I493="","",I493+J493)</f>
        <v/>
      </c>
      <c r="L493" s="37" t="str">
        <f aca="false">IF(OR(I493="",I493=0,J493=""),"",J493/I493)</f>
        <v/>
      </c>
      <c r="M493" s="25" t="str">
        <f aca="false">IF(L493="","",IF(L493&gt;0.25,"ACRÉSCIMO ACIMA DE 25% — conferir",""))</f>
        <v/>
      </c>
      <c r="N493" s="29" t="str">
        <f aca="false">IF(D493="","",IF(COUNTIFS(Empresas!$B:$B,D493,Empresas!$E:$E,"&lt;&gt;")=0,"",INDEX(Empresas!$E:$E,MATCH(D493,Empresas!$B:$B,0))))</f>
        <v/>
      </c>
      <c r="O493" s="27" t="str">
        <f aca="false">IF(OR(N493="",H493=""),"",H493-N493)</f>
        <v/>
      </c>
      <c r="P493" s="25" t="str">
        <f aca="false">IF(O493="","",IF(O493&lt;0,"CONTRATO ANTERIOR À ABERTURA — conferir datas",IF(O493&lt;180,"EMPRESA ABERTA MENOS DE 6 MESES ANTES","")))</f>
        <v/>
      </c>
      <c r="Q493" s="31" t="str">
        <f aca="false">IF(D493="","",IFERROR(INDEX(Sancoes!$D:$D,MATCH(D493,Sancoes!$C:$C,0)),"não consta"))</f>
        <v/>
      </c>
      <c r="R493" s="25" t="str">
        <f aca="false">IF(OR(D493="",H493=""),"",IF(SUMPRODUCT((Sancoes!$C$5:$C$304=D493)*(Sancoes!$G$5:$G$304&lt;=H493)*(((Sancoes!$H$5:$H$304="")+(Sancoes!$H$5:$H$304&gt;=H493))&gt;0))&gt;0,"SANÇÃO VIGENTE NA DATA — ler tipo e abrangência",""))</f>
        <v/>
      </c>
      <c r="S493" s="24"/>
      <c r="T493" s="11"/>
    </row>
    <row r="494" customFormat="false" ht="15" hidden="false" customHeight="false" outlineLevel="0" collapsed="false">
      <c r="A494" s="11"/>
      <c r="B494" s="24"/>
      <c r="C494" s="24"/>
      <c r="D494" s="31" t="str">
        <f aca="false">IF(C494="","",IF(LEN(UPPER(SUBSTITUTE(SUBSTITUTE(SUBSTITUTE(SUBSTITUTE(TRIM(C494),".",""),"/",""),"-","")," ","")))&lt;14,RIGHT(REPT("0",14)&amp;UPPER(SUBSTITUTE(SUBSTITUTE(SUBSTITUTE(SUBSTITUTE(TRIM(C494),".",""),"/",""),"-","")," ","")),14),UPPER(SUBSTITUTE(SUBSTITUTE(SUBSTITUTE(SUBSTITUTE(TRIM(C494),".",""),"/",""),"-","")," ",""))))</f>
        <v/>
      </c>
      <c r="E494" s="25" t="str">
        <f aca="false">IF(D494="","",IFERROR(INDEX(Empresas!$C:$C,MATCH(D494,Empresas!$B:$B,0)),"cadastre o CNPJ em Empresas"))</f>
        <v/>
      </c>
      <c r="F494" s="11"/>
      <c r="G494" s="23"/>
      <c r="H494" s="22"/>
      <c r="I494" s="35"/>
      <c r="J494" s="35"/>
      <c r="K494" s="36" t="str">
        <f aca="false">IF(I494="","",I494+J494)</f>
        <v/>
      </c>
      <c r="L494" s="37" t="str">
        <f aca="false">IF(OR(I494="",I494=0,J494=""),"",J494/I494)</f>
        <v/>
      </c>
      <c r="M494" s="25" t="str">
        <f aca="false">IF(L494="","",IF(L494&gt;0.25,"ACRÉSCIMO ACIMA DE 25% — conferir",""))</f>
        <v/>
      </c>
      <c r="N494" s="29" t="str">
        <f aca="false">IF(D494="","",IF(COUNTIFS(Empresas!$B:$B,D494,Empresas!$E:$E,"&lt;&gt;")=0,"",INDEX(Empresas!$E:$E,MATCH(D494,Empresas!$B:$B,0))))</f>
        <v/>
      </c>
      <c r="O494" s="27" t="str">
        <f aca="false">IF(OR(N494="",H494=""),"",H494-N494)</f>
        <v/>
      </c>
      <c r="P494" s="25" t="str">
        <f aca="false">IF(O494="","",IF(O494&lt;0,"CONTRATO ANTERIOR À ABERTURA — conferir datas",IF(O494&lt;180,"EMPRESA ABERTA MENOS DE 6 MESES ANTES","")))</f>
        <v/>
      </c>
      <c r="Q494" s="31" t="str">
        <f aca="false">IF(D494="","",IFERROR(INDEX(Sancoes!$D:$D,MATCH(D494,Sancoes!$C:$C,0)),"não consta"))</f>
        <v/>
      </c>
      <c r="R494" s="25" t="str">
        <f aca="false">IF(OR(D494="",H494=""),"",IF(SUMPRODUCT((Sancoes!$C$5:$C$304=D494)*(Sancoes!$G$5:$G$304&lt;=H494)*(((Sancoes!$H$5:$H$304="")+(Sancoes!$H$5:$H$304&gt;=H494))&gt;0))&gt;0,"SANÇÃO VIGENTE NA DATA — ler tipo e abrangência",""))</f>
        <v/>
      </c>
      <c r="S494" s="24"/>
      <c r="T494" s="11"/>
    </row>
    <row r="495" customFormat="false" ht="15" hidden="false" customHeight="false" outlineLevel="0" collapsed="false">
      <c r="A495" s="11"/>
      <c r="B495" s="24"/>
      <c r="C495" s="24"/>
      <c r="D495" s="31" t="str">
        <f aca="false">IF(C495="","",IF(LEN(UPPER(SUBSTITUTE(SUBSTITUTE(SUBSTITUTE(SUBSTITUTE(TRIM(C495),".",""),"/",""),"-","")," ","")))&lt;14,RIGHT(REPT("0",14)&amp;UPPER(SUBSTITUTE(SUBSTITUTE(SUBSTITUTE(SUBSTITUTE(TRIM(C495),".",""),"/",""),"-","")," ","")),14),UPPER(SUBSTITUTE(SUBSTITUTE(SUBSTITUTE(SUBSTITUTE(TRIM(C495),".",""),"/",""),"-","")," ",""))))</f>
        <v/>
      </c>
      <c r="E495" s="25" t="str">
        <f aca="false">IF(D495="","",IFERROR(INDEX(Empresas!$C:$C,MATCH(D495,Empresas!$B:$B,0)),"cadastre o CNPJ em Empresas"))</f>
        <v/>
      </c>
      <c r="F495" s="11"/>
      <c r="G495" s="23"/>
      <c r="H495" s="22"/>
      <c r="I495" s="35"/>
      <c r="J495" s="35"/>
      <c r="K495" s="36" t="str">
        <f aca="false">IF(I495="","",I495+J495)</f>
        <v/>
      </c>
      <c r="L495" s="37" t="str">
        <f aca="false">IF(OR(I495="",I495=0,J495=""),"",J495/I495)</f>
        <v/>
      </c>
      <c r="M495" s="25" t="str">
        <f aca="false">IF(L495="","",IF(L495&gt;0.25,"ACRÉSCIMO ACIMA DE 25% — conferir",""))</f>
        <v/>
      </c>
      <c r="N495" s="29" t="str">
        <f aca="false">IF(D495="","",IF(COUNTIFS(Empresas!$B:$B,D495,Empresas!$E:$E,"&lt;&gt;")=0,"",INDEX(Empresas!$E:$E,MATCH(D495,Empresas!$B:$B,0))))</f>
        <v/>
      </c>
      <c r="O495" s="27" t="str">
        <f aca="false">IF(OR(N495="",H495=""),"",H495-N495)</f>
        <v/>
      </c>
      <c r="P495" s="25" t="str">
        <f aca="false">IF(O495="","",IF(O495&lt;0,"CONTRATO ANTERIOR À ABERTURA — conferir datas",IF(O495&lt;180,"EMPRESA ABERTA MENOS DE 6 MESES ANTES","")))</f>
        <v/>
      </c>
      <c r="Q495" s="31" t="str">
        <f aca="false">IF(D495="","",IFERROR(INDEX(Sancoes!$D:$D,MATCH(D495,Sancoes!$C:$C,0)),"não consta"))</f>
        <v/>
      </c>
      <c r="R495" s="25" t="str">
        <f aca="false">IF(OR(D495="",H495=""),"",IF(SUMPRODUCT((Sancoes!$C$5:$C$304=D495)*(Sancoes!$G$5:$G$304&lt;=H495)*(((Sancoes!$H$5:$H$304="")+(Sancoes!$H$5:$H$304&gt;=H495))&gt;0))&gt;0,"SANÇÃO VIGENTE NA DATA — ler tipo e abrangência",""))</f>
        <v/>
      </c>
      <c r="S495" s="24"/>
      <c r="T495" s="11"/>
    </row>
    <row r="496" customFormat="false" ht="15" hidden="false" customHeight="false" outlineLevel="0" collapsed="false">
      <c r="A496" s="11"/>
      <c r="B496" s="24"/>
      <c r="C496" s="24"/>
      <c r="D496" s="31" t="str">
        <f aca="false">IF(C496="","",IF(LEN(UPPER(SUBSTITUTE(SUBSTITUTE(SUBSTITUTE(SUBSTITUTE(TRIM(C496),".",""),"/",""),"-","")," ","")))&lt;14,RIGHT(REPT("0",14)&amp;UPPER(SUBSTITUTE(SUBSTITUTE(SUBSTITUTE(SUBSTITUTE(TRIM(C496),".",""),"/",""),"-","")," ","")),14),UPPER(SUBSTITUTE(SUBSTITUTE(SUBSTITUTE(SUBSTITUTE(TRIM(C496),".",""),"/",""),"-","")," ",""))))</f>
        <v/>
      </c>
      <c r="E496" s="25" t="str">
        <f aca="false">IF(D496="","",IFERROR(INDEX(Empresas!$C:$C,MATCH(D496,Empresas!$B:$B,0)),"cadastre o CNPJ em Empresas"))</f>
        <v/>
      </c>
      <c r="F496" s="11"/>
      <c r="G496" s="23"/>
      <c r="H496" s="22"/>
      <c r="I496" s="35"/>
      <c r="J496" s="35"/>
      <c r="K496" s="36" t="str">
        <f aca="false">IF(I496="","",I496+J496)</f>
        <v/>
      </c>
      <c r="L496" s="37" t="str">
        <f aca="false">IF(OR(I496="",I496=0,J496=""),"",J496/I496)</f>
        <v/>
      </c>
      <c r="M496" s="25" t="str">
        <f aca="false">IF(L496="","",IF(L496&gt;0.25,"ACRÉSCIMO ACIMA DE 25% — conferir",""))</f>
        <v/>
      </c>
      <c r="N496" s="29" t="str">
        <f aca="false">IF(D496="","",IF(COUNTIFS(Empresas!$B:$B,D496,Empresas!$E:$E,"&lt;&gt;")=0,"",INDEX(Empresas!$E:$E,MATCH(D496,Empresas!$B:$B,0))))</f>
        <v/>
      </c>
      <c r="O496" s="27" t="str">
        <f aca="false">IF(OR(N496="",H496=""),"",H496-N496)</f>
        <v/>
      </c>
      <c r="P496" s="25" t="str">
        <f aca="false">IF(O496="","",IF(O496&lt;0,"CONTRATO ANTERIOR À ABERTURA — conferir datas",IF(O496&lt;180,"EMPRESA ABERTA MENOS DE 6 MESES ANTES","")))</f>
        <v/>
      </c>
      <c r="Q496" s="31" t="str">
        <f aca="false">IF(D496="","",IFERROR(INDEX(Sancoes!$D:$D,MATCH(D496,Sancoes!$C:$C,0)),"não consta"))</f>
        <v/>
      </c>
      <c r="R496" s="25" t="str">
        <f aca="false">IF(OR(D496="",H496=""),"",IF(SUMPRODUCT((Sancoes!$C$5:$C$304=D496)*(Sancoes!$G$5:$G$304&lt;=H496)*(((Sancoes!$H$5:$H$304="")+(Sancoes!$H$5:$H$304&gt;=H496))&gt;0))&gt;0,"SANÇÃO VIGENTE NA DATA — ler tipo e abrangência",""))</f>
        <v/>
      </c>
      <c r="S496" s="24"/>
      <c r="T496" s="11"/>
    </row>
    <row r="497" customFormat="false" ht="15" hidden="false" customHeight="false" outlineLevel="0" collapsed="false">
      <c r="A497" s="11"/>
      <c r="B497" s="24"/>
      <c r="C497" s="24"/>
      <c r="D497" s="31" t="str">
        <f aca="false">IF(C497="","",IF(LEN(UPPER(SUBSTITUTE(SUBSTITUTE(SUBSTITUTE(SUBSTITUTE(TRIM(C497),".",""),"/",""),"-","")," ","")))&lt;14,RIGHT(REPT("0",14)&amp;UPPER(SUBSTITUTE(SUBSTITUTE(SUBSTITUTE(SUBSTITUTE(TRIM(C497),".",""),"/",""),"-","")," ","")),14),UPPER(SUBSTITUTE(SUBSTITUTE(SUBSTITUTE(SUBSTITUTE(TRIM(C497),".",""),"/",""),"-","")," ",""))))</f>
        <v/>
      </c>
      <c r="E497" s="25" t="str">
        <f aca="false">IF(D497="","",IFERROR(INDEX(Empresas!$C:$C,MATCH(D497,Empresas!$B:$B,0)),"cadastre o CNPJ em Empresas"))</f>
        <v/>
      </c>
      <c r="F497" s="11"/>
      <c r="G497" s="23"/>
      <c r="H497" s="22"/>
      <c r="I497" s="35"/>
      <c r="J497" s="35"/>
      <c r="K497" s="36" t="str">
        <f aca="false">IF(I497="","",I497+J497)</f>
        <v/>
      </c>
      <c r="L497" s="37" t="str">
        <f aca="false">IF(OR(I497="",I497=0,J497=""),"",J497/I497)</f>
        <v/>
      </c>
      <c r="M497" s="25" t="str">
        <f aca="false">IF(L497="","",IF(L497&gt;0.25,"ACRÉSCIMO ACIMA DE 25% — conferir",""))</f>
        <v/>
      </c>
      <c r="N497" s="29" t="str">
        <f aca="false">IF(D497="","",IF(COUNTIFS(Empresas!$B:$B,D497,Empresas!$E:$E,"&lt;&gt;")=0,"",INDEX(Empresas!$E:$E,MATCH(D497,Empresas!$B:$B,0))))</f>
        <v/>
      </c>
      <c r="O497" s="27" t="str">
        <f aca="false">IF(OR(N497="",H497=""),"",H497-N497)</f>
        <v/>
      </c>
      <c r="P497" s="25" t="str">
        <f aca="false">IF(O497="","",IF(O497&lt;0,"CONTRATO ANTERIOR À ABERTURA — conferir datas",IF(O497&lt;180,"EMPRESA ABERTA MENOS DE 6 MESES ANTES","")))</f>
        <v/>
      </c>
      <c r="Q497" s="31" t="str">
        <f aca="false">IF(D497="","",IFERROR(INDEX(Sancoes!$D:$D,MATCH(D497,Sancoes!$C:$C,0)),"não consta"))</f>
        <v/>
      </c>
      <c r="R497" s="25" t="str">
        <f aca="false">IF(OR(D497="",H497=""),"",IF(SUMPRODUCT((Sancoes!$C$5:$C$304=D497)*(Sancoes!$G$5:$G$304&lt;=H497)*(((Sancoes!$H$5:$H$304="")+(Sancoes!$H$5:$H$304&gt;=H497))&gt;0))&gt;0,"SANÇÃO VIGENTE NA DATA — ler tipo e abrangência",""))</f>
        <v/>
      </c>
      <c r="S497" s="24"/>
      <c r="T497" s="11"/>
    </row>
    <row r="498" customFormat="false" ht="15" hidden="false" customHeight="false" outlineLevel="0" collapsed="false">
      <c r="A498" s="11"/>
      <c r="B498" s="24"/>
      <c r="C498" s="24"/>
      <c r="D498" s="31" t="str">
        <f aca="false">IF(C498="","",IF(LEN(UPPER(SUBSTITUTE(SUBSTITUTE(SUBSTITUTE(SUBSTITUTE(TRIM(C498),".",""),"/",""),"-","")," ","")))&lt;14,RIGHT(REPT("0",14)&amp;UPPER(SUBSTITUTE(SUBSTITUTE(SUBSTITUTE(SUBSTITUTE(TRIM(C498),".",""),"/",""),"-","")," ","")),14),UPPER(SUBSTITUTE(SUBSTITUTE(SUBSTITUTE(SUBSTITUTE(TRIM(C498),".",""),"/",""),"-","")," ",""))))</f>
        <v/>
      </c>
      <c r="E498" s="25" t="str">
        <f aca="false">IF(D498="","",IFERROR(INDEX(Empresas!$C:$C,MATCH(D498,Empresas!$B:$B,0)),"cadastre o CNPJ em Empresas"))</f>
        <v/>
      </c>
      <c r="F498" s="11"/>
      <c r="G498" s="23"/>
      <c r="H498" s="22"/>
      <c r="I498" s="35"/>
      <c r="J498" s="35"/>
      <c r="K498" s="36" t="str">
        <f aca="false">IF(I498="","",I498+J498)</f>
        <v/>
      </c>
      <c r="L498" s="37" t="str">
        <f aca="false">IF(OR(I498="",I498=0,J498=""),"",J498/I498)</f>
        <v/>
      </c>
      <c r="M498" s="25" t="str">
        <f aca="false">IF(L498="","",IF(L498&gt;0.25,"ACRÉSCIMO ACIMA DE 25% — conferir",""))</f>
        <v/>
      </c>
      <c r="N498" s="29" t="str">
        <f aca="false">IF(D498="","",IF(COUNTIFS(Empresas!$B:$B,D498,Empresas!$E:$E,"&lt;&gt;")=0,"",INDEX(Empresas!$E:$E,MATCH(D498,Empresas!$B:$B,0))))</f>
        <v/>
      </c>
      <c r="O498" s="27" t="str">
        <f aca="false">IF(OR(N498="",H498=""),"",H498-N498)</f>
        <v/>
      </c>
      <c r="P498" s="25" t="str">
        <f aca="false">IF(O498="","",IF(O498&lt;0,"CONTRATO ANTERIOR À ABERTURA — conferir datas",IF(O498&lt;180,"EMPRESA ABERTA MENOS DE 6 MESES ANTES","")))</f>
        <v/>
      </c>
      <c r="Q498" s="31" t="str">
        <f aca="false">IF(D498="","",IFERROR(INDEX(Sancoes!$D:$D,MATCH(D498,Sancoes!$C:$C,0)),"não consta"))</f>
        <v/>
      </c>
      <c r="R498" s="25" t="str">
        <f aca="false">IF(OR(D498="",H498=""),"",IF(SUMPRODUCT((Sancoes!$C$5:$C$304=D498)*(Sancoes!$G$5:$G$304&lt;=H498)*(((Sancoes!$H$5:$H$304="")+(Sancoes!$H$5:$H$304&gt;=H498))&gt;0))&gt;0,"SANÇÃO VIGENTE NA DATA — ler tipo e abrangência",""))</f>
        <v/>
      </c>
      <c r="S498" s="24"/>
      <c r="T498" s="11"/>
    </row>
    <row r="499" customFormat="false" ht="15" hidden="false" customHeight="false" outlineLevel="0" collapsed="false">
      <c r="A499" s="11"/>
      <c r="B499" s="24"/>
      <c r="C499" s="24"/>
      <c r="D499" s="31" t="str">
        <f aca="false">IF(C499="","",IF(LEN(UPPER(SUBSTITUTE(SUBSTITUTE(SUBSTITUTE(SUBSTITUTE(TRIM(C499),".",""),"/",""),"-","")," ","")))&lt;14,RIGHT(REPT("0",14)&amp;UPPER(SUBSTITUTE(SUBSTITUTE(SUBSTITUTE(SUBSTITUTE(TRIM(C499),".",""),"/",""),"-","")," ","")),14),UPPER(SUBSTITUTE(SUBSTITUTE(SUBSTITUTE(SUBSTITUTE(TRIM(C499),".",""),"/",""),"-","")," ",""))))</f>
        <v/>
      </c>
      <c r="E499" s="25" t="str">
        <f aca="false">IF(D499="","",IFERROR(INDEX(Empresas!$C:$C,MATCH(D499,Empresas!$B:$B,0)),"cadastre o CNPJ em Empresas"))</f>
        <v/>
      </c>
      <c r="F499" s="11"/>
      <c r="G499" s="23"/>
      <c r="H499" s="22"/>
      <c r="I499" s="35"/>
      <c r="J499" s="35"/>
      <c r="K499" s="36" t="str">
        <f aca="false">IF(I499="","",I499+J499)</f>
        <v/>
      </c>
      <c r="L499" s="37" t="str">
        <f aca="false">IF(OR(I499="",I499=0,J499=""),"",J499/I499)</f>
        <v/>
      </c>
      <c r="M499" s="25" t="str">
        <f aca="false">IF(L499="","",IF(L499&gt;0.25,"ACRÉSCIMO ACIMA DE 25% — conferir",""))</f>
        <v/>
      </c>
      <c r="N499" s="29" t="str">
        <f aca="false">IF(D499="","",IF(COUNTIFS(Empresas!$B:$B,D499,Empresas!$E:$E,"&lt;&gt;")=0,"",INDEX(Empresas!$E:$E,MATCH(D499,Empresas!$B:$B,0))))</f>
        <v/>
      </c>
      <c r="O499" s="27" t="str">
        <f aca="false">IF(OR(N499="",H499=""),"",H499-N499)</f>
        <v/>
      </c>
      <c r="P499" s="25" t="str">
        <f aca="false">IF(O499="","",IF(O499&lt;0,"CONTRATO ANTERIOR À ABERTURA — conferir datas",IF(O499&lt;180,"EMPRESA ABERTA MENOS DE 6 MESES ANTES","")))</f>
        <v/>
      </c>
      <c r="Q499" s="31" t="str">
        <f aca="false">IF(D499="","",IFERROR(INDEX(Sancoes!$D:$D,MATCH(D499,Sancoes!$C:$C,0)),"não consta"))</f>
        <v/>
      </c>
      <c r="R499" s="25" t="str">
        <f aca="false">IF(OR(D499="",H499=""),"",IF(SUMPRODUCT((Sancoes!$C$5:$C$304=D499)*(Sancoes!$G$5:$G$304&lt;=H499)*(((Sancoes!$H$5:$H$304="")+(Sancoes!$H$5:$H$304&gt;=H499))&gt;0))&gt;0,"SANÇÃO VIGENTE NA DATA — ler tipo e abrangência",""))</f>
        <v/>
      </c>
      <c r="S499" s="24"/>
      <c r="T499" s="11"/>
    </row>
    <row r="500" customFormat="false" ht="15" hidden="false" customHeight="false" outlineLevel="0" collapsed="false">
      <c r="A500" s="11"/>
      <c r="B500" s="24"/>
      <c r="C500" s="24"/>
      <c r="D500" s="31" t="str">
        <f aca="false">IF(C500="","",IF(LEN(UPPER(SUBSTITUTE(SUBSTITUTE(SUBSTITUTE(SUBSTITUTE(TRIM(C500),".",""),"/",""),"-","")," ","")))&lt;14,RIGHT(REPT("0",14)&amp;UPPER(SUBSTITUTE(SUBSTITUTE(SUBSTITUTE(SUBSTITUTE(TRIM(C500),".",""),"/",""),"-","")," ","")),14),UPPER(SUBSTITUTE(SUBSTITUTE(SUBSTITUTE(SUBSTITUTE(TRIM(C500),".",""),"/",""),"-","")," ",""))))</f>
        <v/>
      </c>
      <c r="E500" s="25" t="str">
        <f aca="false">IF(D500="","",IFERROR(INDEX(Empresas!$C:$C,MATCH(D500,Empresas!$B:$B,0)),"cadastre o CNPJ em Empresas"))</f>
        <v/>
      </c>
      <c r="F500" s="11"/>
      <c r="G500" s="23"/>
      <c r="H500" s="22"/>
      <c r="I500" s="35"/>
      <c r="J500" s="35"/>
      <c r="K500" s="36" t="str">
        <f aca="false">IF(I500="","",I500+J500)</f>
        <v/>
      </c>
      <c r="L500" s="37" t="str">
        <f aca="false">IF(OR(I500="",I500=0,J500=""),"",J500/I500)</f>
        <v/>
      </c>
      <c r="M500" s="25" t="str">
        <f aca="false">IF(L500="","",IF(L500&gt;0.25,"ACRÉSCIMO ACIMA DE 25% — conferir",""))</f>
        <v/>
      </c>
      <c r="N500" s="29" t="str">
        <f aca="false">IF(D500="","",IF(COUNTIFS(Empresas!$B:$B,D500,Empresas!$E:$E,"&lt;&gt;")=0,"",INDEX(Empresas!$E:$E,MATCH(D500,Empresas!$B:$B,0))))</f>
        <v/>
      </c>
      <c r="O500" s="27" t="str">
        <f aca="false">IF(OR(N500="",H500=""),"",H500-N500)</f>
        <v/>
      </c>
      <c r="P500" s="25" t="str">
        <f aca="false">IF(O500="","",IF(O500&lt;0,"CONTRATO ANTERIOR À ABERTURA — conferir datas",IF(O500&lt;180,"EMPRESA ABERTA MENOS DE 6 MESES ANTES","")))</f>
        <v/>
      </c>
      <c r="Q500" s="31" t="str">
        <f aca="false">IF(D500="","",IFERROR(INDEX(Sancoes!$D:$D,MATCH(D500,Sancoes!$C:$C,0)),"não consta"))</f>
        <v/>
      </c>
      <c r="R500" s="25" t="str">
        <f aca="false">IF(OR(D500="",H500=""),"",IF(SUMPRODUCT((Sancoes!$C$5:$C$304=D500)*(Sancoes!$G$5:$G$304&lt;=H500)*(((Sancoes!$H$5:$H$304="")+(Sancoes!$H$5:$H$304&gt;=H500))&gt;0))&gt;0,"SANÇÃO VIGENTE NA DATA — ler tipo e abrangência",""))</f>
        <v/>
      </c>
      <c r="S500" s="24"/>
      <c r="T500" s="11"/>
    </row>
    <row r="501" customFormat="false" ht="15" hidden="false" customHeight="false" outlineLevel="0" collapsed="false">
      <c r="A501" s="11"/>
      <c r="B501" s="24"/>
      <c r="C501" s="24"/>
      <c r="D501" s="31" t="str">
        <f aca="false">IF(C501="","",IF(LEN(UPPER(SUBSTITUTE(SUBSTITUTE(SUBSTITUTE(SUBSTITUTE(TRIM(C501),".",""),"/",""),"-","")," ","")))&lt;14,RIGHT(REPT("0",14)&amp;UPPER(SUBSTITUTE(SUBSTITUTE(SUBSTITUTE(SUBSTITUTE(TRIM(C501),".",""),"/",""),"-","")," ","")),14),UPPER(SUBSTITUTE(SUBSTITUTE(SUBSTITUTE(SUBSTITUTE(TRIM(C501),".",""),"/",""),"-","")," ",""))))</f>
        <v/>
      </c>
      <c r="E501" s="25" t="str">
        <f aca="false">IF(D501="","",IFERROR(INDEX(Empresas!$C:$C,MATCH(D501,Empresas!$B:$B,0)),"cadastre o CNPJ em Empresas"))</f>
        <v/>
      </c>
      <c r="F501" s="11"/>
      <c r="G501" s="23"/>
      <c r="H501" s="22"/>
      <c r="I501" s="35"/>
      <c r="J501" s="35"/>
      <c r="K501" s="36" t="str">
        <f aca="false">IF(I501="","",I501+J501)</f>
        <v/>
      </c>
      <c r="L501" s="37" t="str">
        <f aca="false">IF(OR(I501="",I501=0,J501=""),"",J501/I501)</f>
        <v/>
      </c>
      <c r="M501" s="25" t="str">
        <f aca="false">IF(L501="","",IF(L501&gt;0.25,"ACRÉSCIMO ACIMA DE 25% — conferir",""))</f>
        <v/>
      </c>
      <c r="N501" s="29" t="str">
        <f aca="false">IF(D501="","",IF(COUNTIFS(Empresas!$B:$B,D501,Empresas!$E:$E,"&lt;&gt;")=0,"",INDEX(Empresas!$E:$E,MATCH(D501,Empresas!$B:$B,0))))</f>
        <v/>
      </c>
      <c r="O501" s="27" t="str">
        <f aca="false">IF(OR(N501="",H501=""),"",H501-N501)</f>
        <v/>
      </c>
      <c r="P501" s="25" t="str">
        <f aca="false">IF(O501="","",IF(O501&lt;0,"CONTRATO ANTERIOR À ABERTURA — conferir datas",IF(O501&lt;180,"EMPRESA ABERTA MENOS DE 6 MESES ANTES","")))</f>
        <v/>
      </c>
      <c r="Q501" s="31" t="str">
        <f aca="false">IF(D501="","",IFERROR(INDEX(Sancoes!$D:$D,MATCH(D501,Sancoes!$C:$C,0)),"não consta"))</f>
        <v/>
      </c>
      <c r="R501" s="25" t="str">
        <f aca="false">IF(OR(D501="",H501=""),"",IF(SUMPRODUCT((Sancoes!$C$5:$C$304=D501)*(Sancoes!$G$5:$G$304&lt;=H501)*(((Sancoes!$H$5:$H$304="")+(Sancoes!$H$5:$H$304&gt;=H501))&gt;0))&gt;0,"SANÇÃO VIGENTE NA DATA — ler tipo e abrangência",""))</f>
        <v/>
      </c>
      <c r="S501" s="24"/>
      <c r="T501" s="11"/>
    </row>
    <row r="502" customFormat="false" ht="15" hidden="false" customHeight="false" outlineLevel="0" collapsed="false">
      <c r="A502" s="11"/>
      <c r="B502" s="24"/>
      <c r="C502" s="24"/>
      <c r="D502" s="31" t="str">
        <f aca="false">IF(C502="","",IF(LEN(UPPER(SUBSTITUTE(SUBSTITUTE(SUBSTITUTE(SUBSTITUTE(TRIM(C502),".",""),"/",""),"-","")," ","")))&lt;14,RIGHT(REPT("0",14)&amp;UPPER(SUBSTITUTE(SUBSTITUTE(SUBSTITUTE(SUBSTITUTE(TRIM(C502),".",""),"/",""),"-","")," ","")),14),UPPER(SUBSTITUTE(SUBSTITUTE(SUBSTITUTE(SUBSTITUTE(TRIM(C502),".",""),"/",""),"-","")," ",""))))</f>
        <v/>
      </c>
      <c r="E502" s="25" t="str">
        <f aca="false">IF(D502="","",IFERROR(INDEX(Empresas!$C:$C,MATCH(D502,Empresas!$B:$B,0)),"cadastre o CNPJ em Empresas"))</f>
        <v/>
      </c>
      <c r="F502" s="11"/>
      <c r="G502" s="23"/>
      <c r="H502" s="22"/>
      <c r="I502" s="35"/>
      <c r="J502" s="35"/>
      <c r="K502" s="36" t="str">
        <f aca="false">IF(I502="","",I502+J502)</f>
        <v/>
      </c>
      <c r="L502" s="37" t="str">
        <f aca="false">IF(OR(I502="",I502=0,J502=""),"",J502/I502)</f>
        <v/>
      </c>
      <c r="M502" s="25" t="str">
        <f aca="false">IF(L502="","",IF(L502&gt;0.25,"ACRÉSCIMO ACIMA DE 25% — conferir",""))</f>
        <v/>
      </c>
      <c r="N502" s="29" t="str">
        <f aca="false">IF(D502="","",IF(COUNTIFS(Empresas!$B:$B,D502,Empresas!$E:$E,"&lt;&gt;")=0,"",INDEX(Empresas!$E:$E,MATCH(D502,Empresas!$B:$B,0))))</f>
        <v/>
      </c>
      <c r="O502" s="27" t="str">
        <f aca="false">IF(OR(N502="",H502=""),"",H502-N502)</f>
        <v/>
      </c>
      <c r="P502" s="25" t="str">
        <f aca="false">IF(O502="","",IF(O502&lt;0,"CONTRATO ANTERIOR À ABERTURA — conferir datas",IF(O502&lt;180,"EMPRESA ABERTA MENOS DE 6 MESES ANTES","")))</f>
        <v/>
      </c>
      <c r="Q502" s="31" t="str">
        <f aca="false">IF(D502="","",IFERROR(INDEX(Sancoes!$D:$D,MATCH(D502,Sancoes!$C:$C,0)),"não consta"))</f>
        <v/>
      </c>
      <c r="R502" s="25" t="str">
        <f aca="false">IF(OR(D502="",H502=""),"",IF(SUMPRODUCT((Sancoes!$C$5:$C$304=D502)*(Sancoes!$G$5:$G$304&lt;=H502)*(((Sancoes!$H$5:$H$304="")+(Sancoes!$H$5:$H$304&gt;=H502))&gt;0))&gt;0,"SANÇÃO VIGENTE NA DATA — ler tipo e abrangência",""))</f>
        <v/>
      </c>
      <c r="S502" s="24"/>
      <c r="T502" s="11"/>
    </row>
    <row r="503" customFormat="false" ht="15" hidden="false" customHeight="false" outlineLevel="0" collapsed="false">
      <c r="A503" s="11"/>
      <c r="B503" s="24"/>
      <c r="C503" s="24"/>
      <c r="D503" s="31" t="str">
        <f aca="false">IF(C503="","",IF(LEN(UPPER(SUBSTITUTE(SUBSTITUTE(SUBSTITUTE(SUBSTITUTE(TRIM(C503),".",""),"/",""),"-","")," ","")))&lt;14,RIGHT(REPT("0",14)&amp;UPPER(SUBSTITUTE(SUBSTITUTE(SUBSTITUTE(SUBSTITUTE(TRIM(C503),".",""),"/",""),"-","")," ","")),14),UPPER(SUBSTITUTE(SUBSTITUTE(SUBSTITUTE(SUBSTITUTE(TRIM(C503),".",""),"/",""),"-","")," ",""))))</f>
        <v/>
      </c>
      <c r="E503" s="25" t="str">
        <f aca="false">IF(D503="","",IFERROR(INDEX(Empresas!$C:$C,MATCH(D503,Empresas!$B:$B,0)),"cadastre o CNPJ em Empresas"))</f>
        <v/>
      </c>
      <c r="F503" s="11"/>
      <c r="G503" s="23"/>
      <c r="H503" s="22"/>
      <c r="I503" s="35"/>
      <c r="J503" s="35"/>
      <c r="K503" s="36" t="str">
        <f aca="false">IF(I503="","",I503+J503)</f>
        <v/>
      </c>
      <c r="L503" s="37" t="str">
        <f aca="false">IF(OR(I503="",I503=0,J503=""),"",J503/I503)</f>
        <v/>
      </c>
      <c r="M503" s="25" t="str">
        <f aca="false">IF(L503="","",IF(L503&gt;0.25,"ACRÉSCIMO ACIMA DE 25% — conferir",""))</f>
        <v/>
      </c>
      <c r="N503" s="29" t="str">
        <f aca="false">IF(D503="","",IF(COUNTIFS(Empresas!$B:$B,D503,Empresas!$E:$E,"&lt;&gt;")=0,"",INDEX(Empresas!$E:$E,MATCH(D503,Empresas!$B:$B,0))))</f>
        <v/>
      </c>
      <c r="O503" s="27" t="str">
        <f aca="false">IF(OR(N503="",H503=""),"",H503-N503)</f>
        <v/>
      </c>
      <c r="P503" s="25" t="str">
        <f aca="false">IF(O503="","",IF(O503&lt;0,"CONTRATO ANTERIOR À ABERTURA — conferir datas",IF(O503&lt;180,"EMPRESA ABERTA MENOS DE 6 MESES ANTES","")))</f>
        <v/>
      </c>
      <c r="Q503" s="31" t="str">
        <f aca="false">IF(D503="","",IFERROR(INDEX(Sancoes!$D:$D,MATCH(D503,Sancoes!$C:$C,0)),"não consta"))</f>
        <v/>
      </c>
      <c r="R503" s="25" t="str">
        <f aca="false">IF(OR(D503="",H503=""),"",IF(SUMPRODUCT((Sancoes!$C$5:$C$304=D503)*(Sancoes!$G$5:$G$304&lt;=H503)*(((Sancoes!$H$5:$H$304="")+(Sancoes!$H$5:$H$304&gt;=H503))&gt;0))&gt;0,"SANÇÃO VIGENTE NA DATA — ler tipo e abrangência",""))</f>
        <v/>
      </c>
      <c r="S503" s="24"/>
      <c r="T503" s="11"/>
    </row>
    <row r="504" customFormat="false" ht="15" hidden="false" customHeight="false" outlineLevel="0" collapsed="false">
      <c r="A504" s="11"/>
      <c r="B504" s="24"/>
      <c r="C504" s="24"/>
      <c r="D504" s="31" t="str">
        <f aca="false">IF(C504="","",IF(LEN(UPPER(SUBSTITUTE(SUBSTITUTE(SUBSTITUTE(SUBSTITUTE(TRIM(C504),".",""),"/",""),"-","")," ","")))&lt;14,RIGHT(REPT("0",14)&amp;UPPER(SUBSTITUTE(SUBSTITUTE(SUBSTITUTE(SUBSTITUTE(TRIM(C504),".",""),"/",""),"-","")," ","")),14),UPPER(SUBSTITUTE(SUBSTITUTE(SUBSTITUTE(SUBSTITUTE(TRIM(C504),".",""),"/",""),"-","")," ",""))))</f>
        <v/>
      </c>
      <c r="E504" s="25" t="str">
        <f aca="false">IF(D504="","",IFERROR(INDEX(Empresas!$C:$C,MATCH(D504,Empresas!$B:$B,0)),"cadastre o CNPJ em Empresas"))</f>
        <v/>
      </c>
      <c r="F504" s="11"/>
      <c r="G504" s="23"/>
      <c r="H504" s="22"/>
      <c r="I504" s="35"/>
      <c r="J504" s="35"/>
      <c r="K504" s="36" t="str">
        <f aca="false">IF(I504="","",I504+J504)</f>
        <v/>
      </c>
      <c r="L504" s="37" t="str">
        <f aca="false">IF(OR(I504="",I504=0,J504=""),"",J504/I504)</f>
        <v/>
      </c>
      <c r="M504" s="25" t="str">
        <f aca="false">IF(L504="","",IF(L504&gt;0.25,"ACRÉSCIMO ACIMA DE 25% — conferir",""))</f>
        <v/>
      </c>
      <c r="N504" s="29" t="str">
        <f aca="false">IF(D504="","",IF(COUNTIFS(Empresas!$B:$B,D504,Empresas!$E:$E,"&lt;&gt;")=0,"",INDEX(Empresas!$E:$E,MATCH(D504,Empresas!$B:$B,0))))</f>
        <v/>
      </c>
      <c r="O504" s="27" t="str">
        <f aca="false">IF(OR(N504="",H504=""),"",H504-N504)</f>
        <v/>
      </c>
      <c r="P504" s="25" t="str">
        <f aca="false">IF(O504="","",IF(O504&lt;0,"CONTRATO ANTERIOR À ABERTURA — conferir datas",IF(O504&lt;180,"EMPRESA ABERTA MENOS DE 6 MESES ANTES","")))</f>
        <v/>
      </c>
      <c r="Q504" s="31" t="str">
        <f aca="false">IF(D504="","",IFERROR(INDEX(Sancoes!$D:$D,MATCH(D504,Sancoes!$C:$C,0)),"não consta"))</f>
        <v/>
      </c>
      <c r="R504" s="25" t="str">
        <f aca="false">IF(OR(D504="",H504=""),"",IF(SUMPRODUCT((Sancoes!$C$5:$C$304=D504)*(Sancoes!$G$5:$G$304&lt;=H504)*(((Sancoes!$H$5:$H$304="")+(Sancoes!$H$5:$H$304&gt;=H504))&gt;0))&gt;0,"SANÇÃO VIGENTE NA DATA — ler tipo e abrangência",""))</f>
        <v/>
      </c>
      <c r="S504" s="24"/>
      <c r="T504" s="11"/>
    </row>
    <row r="505" customFormat="false" ht="15" hidden="false" customHeight="false" outlineLevel="0" collapsed="false">
      <c r="A505" s="11"/>
      <c r="B505" s="24"/>
      <c r="C505" s="24"/>
      <c r="D505" s="31" t="str">
        <f aca="false">IF(C505="","",IF(LEN(UPPER(SUBSTITUTE(SUBSTITUTE(SUBSTITUTE(SUBSTITUTE(TRIM(C505),".",""),"/",""),"-","")," ","")))&lt;14,RIGHT(REPT("0",14)&amp;UPPER(SUBSTITUTE(SUBSTITUTE(SUBSTITUTE(SUBSTITUTE(TRIM(C505),".",""),"/",""),"-","")," ","")),14),UPPER(SUBSTITUTE(SUBSTITUTE(SUBSTITUTE(SUBSTITUTE(TRIM(C505),".",""),"/",""),"-","")," ",""))))</f>
        <v/>
      </c>
      <c r="E505" s="25" t="str">
        <f aca="false">IF(D505="","",IFERROR(INDEX(Empresas!$C:$C,MATCH(D505,Empresas!$B:$B,0)),"cadastre o CNPJ em Empresas"))</f>
        <v/>
      </c>
      <c r="F505" s="11"/>
      <c r="G505" s="23"/>
      <c r="H505" s="22"/>
      <c r="I505" s="35"/>
      <c r="J505" s="35"/>
      <c r="K505" s="36" t="str">
        <f aca="false">IF(I505="","",I505+J505)</f>
        <v/>
      </c>
      <c r="L505" s="37" t="str">
        <f aca="false">IF(OR(I505="",I505=0,J505=""),"",J505/I505)</f>
        <v/>
      </c>
      <c r="M505" s="25" t="str">
        <f aca="false">IF(L505="","",IF(L505&gt;0.25,"ACRÉSCIMO ACIMA DE 25% — conferir",""))</f>
        <v/>
      </c>
      <c r="N505" s="29" t="str">
        <f aca="false">IF(D505="","",IF(COUNTIFS(Empresas!$B:$B,D505,Empresas!$E:$E,"&lt;&gt;")=0,"",INDEX(Empresas!$E:$E,MATCH(D505,Empresas!$B:$B,0))))</f>
        <v/>
      </c>
      <c r="O505" s="27" t="str">
        <f aca="false">IF(OR(N505="",H505=""),"",H505-N505)</f>
        <v/>
      </c>
      <c r="P505" s="25" t="str">
        <f aca="false">IF(O505="","",IF(O505&lt;0,"CONTRATO ANTERIOR À ABERTURA — conferir datas",IF(O505&lt;180,"EMPRESA ABERTA MENOS DE 6 MESES ANTES","")))</f>
        <v/>
      </c>
      <c r="Q505" s="31" t="str">
        <f aca="false">IF(D505="","",IFERROR(INDEX(Sancoes!$D:$D,MATCH(D505,Sancoes!$C:$C,0)),"não consta"))</f>
        <v/>
      </c>
      <c r="R505" s="25" t="str">
        <f aca="false">IF(OR(D505="",H505=""),"",IF(SUMPRODUCT((Sancoes!$C$5:$C$304=D505)*(Sancoes!$G$5:$G$304&lt;=H505)*(((Sancoes!$H$5:$H$304="")+(Sancoes!$H$5:$H$304&gt;=H505))&gt;0))&gt;0,"SANÇÃO VIGENTE NA DATA — ler tipo e abrangência",""))</f>
        <v/>
      </c>
      <c r="S505" s="24"/>
      <c r="T505" s="11"/>
    </row>
    <row r="506" customFormat="false" ht="15" hidden="false" customHeight="false" outlineLevel="0" collapsed="false">
      <c r="A506" s="11"/>
      <c r="B506" s="24"/>
      <c r="C506" s="24"/>
      <c r="D506" s="31" t="str">
        <f aca="false">IF(C506="","",IF(LEN(UPPER(SUBSTITUTE(SUBSTITUTE(SUBSTITUTE(SUBSTITUTE(TRIM(C506),".",""),"/",""),"-","")," ","")))&lt;14,RIGHT(REPT("0",14)&amp;UPPER(SUBSTITUTE(SUBSTITUTE(SUBSTITUTE(SUBSTITUTE(TRIM(C506),".",""),"/",""),"-","")," ","")),14),UPPER(SUBSTITUTE(SUBSTITUTE(SUBSTITUTE(SUBSTITUTE(TRIM(C506),".",""),"/",""),"-","")," ",""))))</f>
        <v/>
      </c>
      <c r="E506" s="25" t="str">
        <f aca="false">IF(D506="","",IFERROR(INDEX(Empresas!$C:$C,MATCH(D506,Empresas!$B:$B,0)),"cadastre o CNPJ em Empresas"))</f>
        <v/>
      </c>
      <c r="F506" s="11"/>
      <c r="G506" s="23"/>
      <c r="H506" s="22"/>
      <c r="I506" s="35"/>
      <c r="J506" s="35"/>
      <c r="K506" s="36" t="str">
        <f aca="false">IF(I506="","",I506+J506)</f>
        <v/>
      </c>
      <c r="L506" s="37" t="str">
        <f aca="false">IF(OR(I506="",I506=0,J506=""),"",J506/I506)</f>
        <v/>
      </c>
      <c r="M506" s="25" t="str">
        <f aca="false">IF(L506="","",IF(L506&gt;0.25,"ACRÉSCIMO ACIMA DE 25% — conferir",""))</f>
        <v/>
      </c>
      <c r="N506" s="29" t="str">
        <f aca="false">IF(D506="","",IF(COUNTIFS(Empresas!$B:$B,D506,Empresas!$E:$E,"&lt;&gt;")=0,"",INDEX(Empresas!$E:$E,MATCH(D506,Empresas!$B:$B,0))))</f>
        <v/>
      </c>
      <c r="O506" s="27" t="str">
        <f aca="false">IF(OR(N506="",H506=""),"",H506-N506)</f>
        <v/>
      </c>
      <c r="P506" s="25" t="str">
        <f aca="false">IF(O506="","",IF(O506&lt;0,"CONTRATO ANTERIOR À ABERTURA — conferir datas",IF(O506&lt;180,"EMPRESA ABERTA MENOS DE 6 MESES ANTES","")))</f>
        <v/>
      </c>
      <c r="Q506" s="31" t="str">
        <f aca="false">IF(D506="","",IFERROR(INDEX(Sancoes!$D:$D,MATCH(D506,Sancoes!$C:$C,0)),"não consta"))</f>
        <v/>
      </c>
      <c r="R506" s="25" t="str">
        <f aca="false">IF(OR(D506="",H506=""),"",IF(SUMPRODUCT((Sancoes!$C$5:$C$304=D506)*(Sancoes!$G$5:$G$304&lt;=H506)*(((Sancoes!$H$5:$H$304="")+(Sancoes!$H$5:$H$304&gt;=H506))&gt;0))&gt;0,"SANÇÃO VIGENTE NA DATA — ler tipo e abrangência",""))</f>
        <v/>
      </c>
      <c r="S506" s="24"/>
      <c r="T506" s="11"/>
    </row>
    <row r="507" customFormat="false" ht="15" hidden="false" customHeight="false" outlineLevel="0" collapsed="false">
      <c r="A507" s="11"/>
      <c r="B507" s="24"/>
      <c r="C507" s="24"/>
      <c r="D507" s="31" t="str">
        <f aca="false">IF(C507="","",IF(LEN(UPPER(SUBSTITUTE(SUBSTITUTE(SUBSTITUTE(SUBSTITUTE(TRIM(C507),".",""),"/",""),"-","")," ","")))&lt;14,RIGHT(REPT("0",14)&amp;UPPER(SUBSTITUTE(SUBSTITUTE(SUBSTITUTE(SUBSTITUTE(TRIM(C507),".",""),"/",""),"-","")," ","")),14),UPPER(SUBSTITUTE(SUBSTITUTE(SUBSTITUTE(SUBSTITUTE(TRIM(C507),".",""),"/",""),"-","")," ",""))))</f>
        <v/>
      </c>
      <c r="E507" s="25" t="str">
        <f aca="false">IF(D507="","",IFERROR(INDEX(Empresas!$C:$C,MATCH(D507,Empresas!$B:$B,0)),"cadastre o CNPJ em Empresas"))</f>
        <v/>
      </c>
      <c r="F507" s="11"/>
      <c r="G507" s="23"/>
      <c r="H507" s="22"/>
      <c r="I507" s="35"/>
      <c r="J507" s="35"/>
      <c r="K507" s="36" t="str">
        <f aca="false">IF(I507="","",I507+J507)</f>
        <v/>
      </c>
      <c r="L507" s="37" t="str">
        <f aca="false">IF(OR(I507="",I507=0,J507=""),"",J507/I507)</f>
        <v/>
      </c>
      <c r="M507" s="25" t="str">
        <f aca="false">IF(L507="","",IF(L507&gt;0.25,"ACRÉSCIMO ACIMA DE 25% — conferir",""))</f>
        <v/>
      </c>
      <c r="N507" s="29" t="str">
        <f aca="false">IF(D507="","",IF(COUNTIFS(Empresas!$B:$B,D507,Empresas!$E:$E,"&lt;&gt;")=0,"",INDEX(Empresas!$E:$E,MATCH(D507,Empresas!$B:$B,0))))</f>
        <v/>
      </c>
      <c r="O507" s="27" t="str">
        <f aca="false">IF(OR(N507="",H507=""),"",H507-N507)</f>
        <v/>
      </c>
      <c r="P507" s="25" t="str">
        <f aca="false">IF(O507="","",IF(O507&lt;0,"CONTRATO ANTERIOR À ABERTURA — conferir datas",IF(O507&lt;180,"EMPRESA ABERTA MENOS DE 6 MESES ANTES","")))</f>
        <v/>
      </c>
      <c r="Q507" s="31" t="str">
        <f aca="false">IF(D507="","",IFERROR(INDEX(Sancoes!$D:$D,MATCH(D507,Sancoes!$C:$C,0)),"não consta"))</f>
        <v/>
      </c>
      <c r="R507" s="25" t="str">
        <f aca="false">IF(OR(D507="",H507=""),"",IF(SUMPRODUCT((Sancoes!$C$5:$C$304=D507)*(Sancoes!$G$5:$G$304&lt;=H507)*(((Sancoes!$H$5:$H$304="")+(Sancoes!$H$5:$H$304&gt;=H507))&gt;0))&gt;0,"SANÇÃO VIGENTE NA DATA — ler tipo e abrangência",""))</f>
        <v/>
      </c>
      <c r="S507" s="24"/>
      <c r="T507" s="11"/>
    </row>
    <row r="508" customFormat="false" ht="15" hidden="false" customHeight="false" outlineLevel="0" collapsed="false">
      <c r="A508" s="11"/>
      <c r="B508" s="24"/>
      <c r="C508" s="24"/>
      <c r="D508" s="31" t="str">
        <f aca="false">IF(C508="","",IF(LEN(UPPER(SUBSTITUTE(SUBSTITUTE(SUBSTITUTE(SUBSTITUTE(TRIM(C508),".",""),"/",""),"-","")," ","")))&lt;14,RIGHT(REPT("0",14)&amp;UPPER(SUBSTITUTE(SUBSTITUTE(SUBSTITUTE(SUBSTITUTE(TRIM(C508),".",""),"/",""),"-","")," ","")),14),UPPER(SUBSTITUTE(SUBSTITUTE(SUBSTITUTE(SUBSTITUTE(TRIM(C508),".",""),"/",""),"-","")," ",""))))</f>
        <v/>
      </c>
      <c r="E508" s="25" t="str">
        <f aca="false">IF(D508="","",IFERROR(INDEX(Empresas!$C:$C,MATCH(D508,Empresas!$B:$B,0)),"cadastre o CNPJ em Empresas"))</f>
        <v/>
      </c>
      <c r="F508" s="11"/>
      <c r="G508" s="23"/>
      <c r="H508" s="22"/>
      <c r="I508" s="35"/>
      <c r="J508" s="35"/>
      <c r="K508" s="36" t="str">
        <f aca="false">IF(I508="","",I508+J508)</f>
        <v/>
      </c>
      <c r="L508" s="37" t="str">
        <f aca="false">IF(OR(I508="",I508=0,J508=""),"",J508/I508)</f>
        <v/>
      </c>
      <c r="M508" s="25" t="str">
        <f aca="false">IF(L508="","",IF(L508&gt;0.25,"ACRÉSCIMO ACIMA DE 25% — conferir",""))</f>
        <v/>
      </c>
      <c r="N508" s="29" t="str">
        <f aca="false">IF(D508="","",IF(COUNTIFS(Empresas!$B:$B,D508,Empresas!$E:$E,"&lt;&gt;")=0,"",INDEX(Empresas!$E:$E,MATCH(D508,Empresas!$B:$B,0))))</f>
        <v/>
      </c>
      <c r="O508" s="27" t="str">
        <f aca="false">IF(OR(N508="",H508=""),"",H508-N508)</f>
        <v/>
      </c>
      <c r="P508" s="25" t="str">
        <f aca="false">IF(O508="","",IF(O508&lt;0,"CONTRATO ANTERIOR À ABERTURA — conferir datas",IF(O508&lt;180,"EMPRESA ABERTA MENOS DE 6 MESES ANTES","")))</f>
        <v/>
      </c>
      <c r="Q508" s="31" t="str">
        <f aca="false">IF(D508="","",IFERROR(INDEX(Sancoes!$D:$D,MATCH(D508,Sancoes!$C:$C,0)),"não consta"))</f>
        <v/>
      </c>
      <c r="R508" s="25" t="str">
        <f aca="false">IF(OR(D508="",H508=""),"",IF(SUMPRODUCT((Sancoes!$C$5:$C$304=D508)*(Sancoes!$G$5:$G$304&lt;=H508)*(((Sancoes!$H$5:$H$304="")+(Sancoes!$H$5:$H$304&gt;=H508))&gt;0))&gt;0,"SANÇÃO VIGENTE NA DATA — ler tipo e abrangência",""))</f>
        <v/>
      </c>
      <c r="S508" s="24"/>
      <c r="T508" s="11"/>
    </row>
    <row r="509" customFormat="false" ht="15" hidden="false" customHeight="false" outlineLevel="0" collapsed="false">
      <c r="A509" s="11"/>
      <c r="B509" s="24"/>
      <c r="C509" s="24"/>
      <c r="D509" s="31" t="str">
        <f aca="false">IF(C509="","",IF(LEN(UPPER(SUBSTITUTE(SUBSTITUTE(SUBSTITUTE(SUBSTITUTE(TRIM(C509),".",""),"/",""),"-","")," ","")))&lt;14,RIGHT(REPT("0",14)&amp;UPPER(SUBSTITUTE(SUBSTITUTE(SUBSTITUTE(SUBSTITUTE(TRIM(C509),".",""),"/",""),"-","")," ","")),14),UPPER(SUBSTITUTE(SUBSTITUTE(SUBSTITUTE(SUBSTITUTE(TRIM(C509),".",""),"/",""),"-","")," ",""))))</f>
        <v/>
      </c>
      <c r="E509" s="25" t="str">
        <f aca="false">IF(D509="","",IFERROR(INDEX(Empresas!$C:$C,MATCH(D509,Empresas!$B:$B,0)),"cadastre o CNPJ em Empresas"))</f>
        <v/>
      </c>
      <c r="F509" s="11"/>
      <c r="G509" s="23"/>
      <c r="H509" s="22"/>
      <c r="I509" s="35"/>
      <c r="J509" s="35"/>
      <c r="K509" s="36" t="str">
        <f aca="false">IF(I509="","",I509+J509)</f>
        <v/>
      </c>
      <c r="L509" s="37" t="str">
        <f aca="false">IF(OR(I509="",I509=0,J509=""),"",J509/I509)</f>
        <v/>
      </c>
      <c r="M509" s="25" t="str">
        <f aca="false">IF(L509="","",IF(L509&gt;0.25,"ACRÉSCIMO ACIMA DE 25% — conferir",""))</f>
        <v/>
      </c>
      <c r="N509" s="29" t="str">
        <f aca="false">IF(D509="","",IF(COUNTIFS(Empresas!$B:$B,D509,Empresas!$E:$E,"&lt;&gt;")=0,"",INDEX(Empresas!$E:$E,MATCH(D509,Empresas!$B:$B,0))))</f>
        <v/>
      </c>
      <c r="O509" s="27" t="str">
        <f aca="false">IF(OR(N509="",H509=""),"",H509-N509)</f>
        <v/>
      </c>
      <c r="P509" s="25" t="str">
        <f aca="false">IF(O509="","",IF(O509&lt;0,"CONTRATO ANTERIOR À ABERTURA — conferir datas",IF(O509&lt;180,"EMPRESA ABERTA MENOS DE 6 MESES ANTES","")))</f>
        <v/>
      </c>
      <c r="Q509" s="31" t="str">
        <f aca="false">IF(D509="","",IFERROR(INDEX(Sancoes!$D:$D,MATCH(D509,Sancoes!$C:$C,0)),"não consta"))</f>
        <v/>
      </c>
      <c r="R509" s="25" t="str">
        <f aca="false">IF(OR(D509="",H509=""),"",IF(SUMPRODUCT((Sancoes!$C$5:$C$304=D509)*(Sancoes!$G$5:$G$304&lt;=H509)*(((Sancoes!$H$5:$H$304="")+(Sancoes!$H$5:$H$304&gt;=H509))&gt;0))&gt;0,"SANÇÃO VIGENTE NA DATA — ler tipo e abrangência",""))</f>
        <v/>
      </c>
      <c r="S509" s="24"/>
      <c r="T509" s="11"/>
    </row>
    <row r="510" customFormat="false" ht="15" hidden="false" customHeight="false" outlineLevel="0" collapsed="false">
      <c r="A510" s="11"/>
      <c r="B510" s="24"/>
      <c r="C510" s="24"/>
      <c r="D510" s="31" t="str">
        <f aca="false">IF(C510="","",IF(LEN(UPPER(SUBSTITUTE(SUBSTITUTE(SUBSTITUTE(SUBSTITUTE(TRIM(C510),".",""),"/",""),"-","")," ","")))&lt;14,RIGHT(REPT("0",14)&amp;UPPER(SUBSTITUTE(SUBSTITUTE(SUBSTITUTE(SUBSTITUTE(TRIM(C510),".",""),"/",""),"-","")," ","")),14),UPPER(SUBSTITUTE(SUBSTITUTE(SUBSTITUTE(SUBSTITUTE(TRIM(C510),".",""),"/",""),"-","")," ",""))))</f>
        <v/>
      </c>
      <c r="E510" s="25" t="str">
        <f aca="false">IF(D510="","",IFERROR(INDEX(Empresas!$C:$C,MATCH(D510,Empresas!$B:$B,0)),"cadastre o CNPJ em Empresas"))</f>
        <v/>
      </c>
      <c r="F510" s="11"/>
      <c r="G510" s="23"/>
      <c r="H510" s="22"/>
      <c r="I510" s="35"/>
      <c r="J510" s="35"/>
      <c r="K510" s="36" t="str">
        <f aca="false">IF(I510="","",I510+J510)</f>
        <v/>
      </c>
      <c r="L510" s="37" t="str">
        <f aca="false">IF(OR(I510="",I510=0,J510=""),"",J510/I510)</f>
        <v/>
      </c>
      <c r="M510" s="25" t="str">
        <f aca="false">IF(L510="","",IF(L510&gt;0.25,"ACRÉSCIMO ACIMA DE 25% — conferir",""))</f>
        <v/>
      </c>
      <c r="N510" s="29" t="str">
        <f aca="false">IF(D510="","",IF(COUNTIFS(Empresas!$B:$B,D510,Empresas!$E:$E,"&lt;&gt;")=0,"",INDEX(Empresas!$E:$E,MATCH(D510,Empresas!$B:$B,0))))</f>
        <v/>
      </c>
      <c r="O510" s="27" t="str">
        <f aca="false">IF(OR(N510="",H510=""),"",H510-N510)</f>
        <v/>
      </c>
      <c r="P510" s="25" t="str">
        <f aca="false">IF(O510="","",IF(O510&lt;0,"CONTRATO ANTERIOR À ABERTURA — conferir datas",IF(O510&lt;180,"EMPRESA ABERTA MENOS DE 6 MESES ANTES","")))</f>
        <v/>
      </c>
      <c r="Q510" s="31" t="str">
        <f aca="false">IF(D510="","",IFERROR(INDEX(Sancoes!$D:$D,MATCH(D510,Sancoes!$C:$C,0)),"não consta"))</f>
        <v/>
      </c>
      <c r="R510" s="25" t="str">
        <f aca="false">IF(OR(D510="",H510=""),"",IF(SUMPRODUCT((Sancoes!$C$5:$C$304=D510)*(Sancoes!$G$5:$G$304&lt;=H510)*(((Sancoes!$H$5:$H$304="")+(Sancoes!$H$5:$H$304&gt;=H510))&gt;0))&gt;0,"SANÇÃO VIGENTE NA DATA — ler tipo e abrangência",""))</f>
        <v/>
      </c>
      <c r="S510" s="24"/>
      <c r="T510" s="11"/>
    </row>
    <row r="511" customFormat="false" ht="15" hidden="false" customHeight="false" outlineLevel="0" collapsed="false">
      <c r="A511" s="11"/>
      <c r="B511" s="24"/>
      <c r="C511" s="24"/>
      <c r="D511" s="31" t="str">
        <f aca="false">IF(C511="","",IF(LEN(UPPER(SUBSTITUTE(SUBSTITUTE(SUBSTITUTE(SUBSTITUTE(TRIM(C511),".",""),"/",""),"-","")," ","")))&lt;14,RIGHT(REPT("0",14)&amp;UPPER(SUBSTITUTE(SUBSTITUTE(SUBSTITUTE(SUBSTITUTE(TRIM(C511),".",""),"/",""),"-","")," ","")),14),UPPER(SUBSTITUTE(SUBSTITUTE(SUBSTITUTE(SUBSTITUTE(TRIM(C511),".",""),"/",""),"-","")," ",""))))</f>
        <v/>
      </c>
      <c r="E511" s="25" t="str">
        <f aca="false">IF(D511="","",IFERROR(INDEX(Empresas!$C:$C,MATCH(D511,Empresas!$B:$B,0)),"cadastre o CNPJ em Empresas"))</f>
        <v/>
      </c>
      <c r="F511" s="11"/>
      <c r="G511" s="23"/>
      <c r="H511" s="22"/>
      <c r="I511" s="35"/>
      <c r="J511" s="35"/>
      <c r="K511" s="36" t="str">
        <f aca="false">IF(I511="","",I511+J511)</f>
        <v/>
      </c>
      <c r="L511" s="37" t="str">
        <f aca="false">IF(OR(I511="",I511=0,J511=""),"",J511/I511)</f>
        <v/>
      </c>
      <c r="M511" s="25" t="str">
        <f aca="false">IF(L511="","",IF(L511&gt;0.25,"ACRÉSCIMO ACIMA DE 25% — conferir",""))</f>
        <v/>
      </c>
      <c r="N511" s="29" t="str">
        <f aca="false">IF(D511="","",IF(COUNTIFS(Empresas!$B:$B,D511,Empresas!$E:$E,"&lt;&gt;")=0,"",INDEX(Empresas!$E:$E,MATCH(D511,Empresas!$B:$B,0))))</f>
        <v/>
      </c>
      <c r="O511" s="27" t="str">
        <f aca="false">IF(OR(N511="",H511=""),"",H511-N511)</f>
        <v/>
      </c>
      <c r="P511" s="25" t="str">
        <f aca="false">IF(O511="","",IF(O511&lt;0,"CONTRATO ANTERIOR À ABERTURA — conferir datas",IF(O511&lt;180,"EMPRESA ABERTA MENOS DE 6 MESES ANTES","")))</f>
        <v/>
      </c>
      <c r="Q511" s="31" t="str">
        <f aca="false">IF(D511="","",IFERROR(INDEX(Sancoes!$D:$D,MATCH(D511,Sancoes!$C:$C,0)),"não consta"))</f>
        <v/>
      </c>
      <c r="R511" s="25" t="str">
        <f aca="false">IF(OR(D511="",H511=""),"",IF(SUMPRODUCT((Sancoes!$C$5:$C$304=D511)*(Sancoes!$G$5:$G$304&lt;=H511)*(((Sancoes!$H$5:$H$304="")+(Sancoes!$H$5:$H$304&gt;=H511))&gt;0))&gt;0,"SANÇÃO VIGENTE NA DATA — ler tipo e abrangência",""))</f>
        <v/>
      </c>
      <c r="S511" s="24"/>
      <c r="T511" s="11"/>
    </row>
    <row r="512" customFormat="false" ht="15" hidden="false" customHeight="false" outlineLevel="0" collapsed="false">
      <c r="A512" s="11"/>
      <c r="B512" s="24"/>
      <c r="C512" s="24"/>
      <c r="D512" s="31" t="str">
        <f aca="false">IF(C512="","",IF(LEN(UPPER(SUBSTITUTE(SUBSTITUTE(SUBSTITUTE(SUBSTITUTE(TRIM(C512),".",""),"/",""),"-","")," ","")))&lt;14,RIGHT(REPT("0",14)&amp;UPPER(SUBSTITUTE(SUBSTITUTE(SUBSTITUTE(SUBSTITUTE(TRIM(C512),".",""),"/",""),"-","")," ","")),14),UPPER(SUBSTITUTE(SUBSTITUTE(SUBSTITUTE(SUBSTITUTE(TRIM(C512),".",""),"/",""),"-","")," ",""))))</f>
        <v/>
      </c>
      <c r="E512" s="25" t="str">
        <f aca="false">IF(D512="","",IFERROR(INDEX(Empresas!$C:$C,MATCH(D512,Empresas!$B:$B,0)),"cadastre o CNPJ em Empresas"))</f>
        <v/>
      </c>
      <c r="F512" s="11"/>
      <c r="G512" s="23"/>
      <c r="H512" s="22"/>
      <c r="I512" s="35"/>
      <c r="J512" s="35"/>
      <c r="K512" s="36" t="str">
        <f aca="false">IF(I512="","",I512+J512)</f>
        <v/>
      </c>
      <c r="L512" s="37" t="str">
        <f aca="false">IF(OR(I512="",I512=0,J512=""),"",J512/I512)</f>
        <v/>
      </c>
      <c r="M512" s="25" t="str">
        <f aca="false">IF(L512="","",IF(L512&gt;0.25,"ACRÉSCIMO ACIMA DE 25% — conferir",""))</f>
        <v/>
      </c>
      <c r="N512" s="29" t="str">
        <f aca="false">IF(D512="","",IF(COUNTIFS(Empresas!$B:$B,D512,Empresas!$E:$E,"&lt;&gt;")=0,"",INDEX(Empresas!$E:$E,MATCH(D512,Empresas!$B:$B,0))))</f>
        <v/>
      </c>
      <c r="O512" s="27" t="str">
        <f aca="false">IF(OR(N512="",H512=""),"",H512-N512)</f>
        <v/>
      </c>
      <c r="P512" s="25" t="str">
        <f aca="false">IF(O512="","",IF(O512&lt;0,"CONTRATO ANTERIOR À ABERTURA — conferir datas",IF(O512&lt;180,"EMPRESA ABERTA MENOS DE 6 MESES ANTES","")))</f>
        <v/>
      </c>
      <c r="Q512" s="31" t="str">
        <f aca="false">IF(D512="","",IFERROR(INDEX(Sancoes!$D:$D,MATCH(D512,Sancoes!$C:$C,0)),"não consta"))</f>
        <v/>
      </c>
      <c r="R512" s="25" t="str">
        <f aca="false">IF(OR(D512="",H512=""),"",IF(SUMPRODUCT((Sancoes!$C$5:$C$304=D512)*(Sancoes!$G$5:$G$304&lt;=H512)*(((Sancoes!$H$5:$H$304="")+(Sancoes!$H$5:$H$304&gt;=H512))&gt;0))&gt;0,"SANÇÃO VIGENTE NA DATA — ler tipo e abrangência",""))</f>
        <v/>
      </c>
      <c r="S512" s="24"/>
      <c r="T512" s="11"/>
    </row>
    <row r="513" customFormat="false" ht="15" hidden="false" customHeight="false" outlineLevel="0" collapsed="false">
      <c r="A513" s="11"/>
      <c r="B513" s="24"/>
      <c r="C513" s="24"/>
      <c r="D513" s="31" t="str">
        <f aca="false">IF(C513="","",IF(LEN(UPPER(SUBSTITUTE(SUBSTITUTE(SUBSTITUTE(SUBSTITUTE(TRIM(C513),".",""),"/",""),"-","")," ","")))&lt;14,RIGHT(REPT("0",14)&amp;UPPER(SUBSTITUTE(SUBSTITUTE(SUBSTITUTE(SUBSTITUTE(TRIM(C513),".",""),"/",""),"-","")," ","")),14),UPPER(SUBSTITUTE(SUBSTITUTE(SUBSTITUTE(SUBSTITUTE(TRIM(C513),".",""),"/",""),"-","")," ",""))))</f>
        <v/>
      </c>
      <c r="E513" s="25" t="str">
        <f aca="false">IF(D513="","",IFERROR(INDEX(Empresas!$C:$C,MATCH(D513,Empresas!$B:$B,0)),"cadastre o CNPJ em Empresas"))</f>
        <v/>
      </c>
      <c r="F513" s="11"/>
      <c r="G513" s="23"/>
      <c r="H513" s="22"/>
      <c r="I513" s="35"/>
      <c r="J513" s="35"/>
      <c r="K513" s="36" t="str">
        <f aca="false">IF(I513="","",I513+J513)</f>
        <v/>
      </c>
      <c r="L513" s="37" t="str">
        <f aca="false">IF(OR(I513="",I513=0,J513=""),"",J513/I513)</f>
        <v/>
      </c>
      <c r="M513" s="25" t="str">
        <f aca="false">IF(L513="","",IF(L513&gt;0.25,"ACRÉSCIMO ACIMA DE 25% — conferir",""))</f>
        <v/>
      </c>
      <c r="N513" s="29" t="str">
        <f aca="false">IF(D513="","",IF(COUNTIFS(Empresas!$B:$B,D513,Empresas!$E:$E,"&lt;&gt;")=0,"",INDEX(Empresas!$E:$E,MATCH(D513,Empresas!$B:$B,0))))</f>
        <v/>
      </c>
      <c r="O513" s="27" t="str">
        <f aca="false">IF(OR(N513="",H513=""),"",H513-N513)</f>
        <v/>
      </c>
      <c r="P513" s="25" t="str">
        <f aca="false">IF(O513="","",IF(O513&lt;0,"CONTRATO ANTERIOR À ABERTURA — conferir datas",IF(O513&lt;180,"EMPRESA ABERTA MENOS DE 6 MESES ANTES","")))</f>
        <v/>
      </c>
      <c r="Q513" s="31" t="str">
        <f aca="false">IF(D513="","",IFERROR(INDEX(Sancoes!$D:$D,MATCH(D513,Sancoes!$C:$C,0)),"não consta"))</f>
        <v/>
      </c>
      <c r="R513" s="25" t="str">
        <f aca="false">IF(OR(D513="",H513=""),"",IF(SUMPRODUCT((Sancoes!$C$5:$C$304=D513)*(Sancoes!$G$5:$G$304&lt;=H513)*(((Sancoes!$H$5:$H$304="")+(Sancoes!$H$5:$H$304&gt;=H513))&gt;0))&gt;0,"SANÇÃO VIGENTE NA DATA — ler tipo e abrangência",""))</f>
        <v/>
      </c>
      <c r="S513" s="24"/>
      <c r="T513" s="11"/>
    </row>
    <row r="514" customFormat="false" ht="15" hidden="false" customHeight="false" outlineLevel="0" collapsed="false">
      <c r="A514" s="11"/>
      <c r="B514" s="24"/>
      <c r="C514" s="24"/>
      <c r="D514" s="31" t="str">
        <f aca="false">IF(C514="","",IF(LEN(UPPER(SUBSTITUTE(SUBSTITUTE(SUBSTITUTE(SUBSTITUTE(TRIM(C514),".",""),"/",""),"-","")," ","")))&lt;14,RIGHT(REPT("0",14)&amp;UPPER(SUBSTITUTE(SUBSTITUTE(SUBSTITUTE(SUBSTITUTE(TRIM(C514),".",""),"/",""),"-","")," ","")),14),UPPER(SUBSTITUTE(SUBSTITUTE(SUBSTITUTE(SUBSTITUTE(TRIM(C514),".",""),"/",""),"-","")," ",""))))</f>
        <v/>
      </c>
      <c r="E514" s="25" t="str">
        <f aca="false">IF(D514="","",IFERROR(INDEX(Empresas!$C:$C,MATCH(D514,Empresas!$B:$B,0)),"cadastre o CNPJ em Empresas"))</f>
        <v/>
      </c>
      <c r="F514" s="11"/>
      <c r="G514" s="23"/>
      <c r="H514" s="22"/>
      <c r="I514" s="35"/>
      <c r="J514" s="35"/>
      <c r="K514" s="36" t="str">
        <f aca="false">IF(I514="","",I514+J514)</f>
        <v/>
      </c>
      <c r="L514" s="37" t="str">
        <f aca="false">IF(OR(I514="",I514=0,J514=""),"",J514/I514)</f>
        <v/>
      </c>
      <c r="M514" s="25" t="str">
        <f aca="false">IF(L514="","",IF(L514&gt;0.25,"ACRÉSCIMO ACIMA DE 25% — conferir",""))</f>
        <v/>
      </c>
      <c r="N514" s="29" t="str">
        <f aca="false">IF(D514="","",IF(COUNTIFS(Empresas!$B:$B,D514,Empresas!$E:$E,"&lt;&gt;")=0,"",INDEX(Empresas!$E:$E,MATCH(D514,Empresas!$B:$B,0))))</f>
        <v/>
      </c>
      <c r="O514" s="27" t="str">
        <f aca="false">IF(OR(N514="",H514=""),"",H514-N514)</f>
        <v/>
      </c>
      <c r="P514" s="25" t="str">
        <f aca="false">IF(O514="","",IF(O514&lt;0,"CONTRATO ANTERIOR À ABERTURA — conferir datas",IF(O514&lt;180,"EMPRESA ABERTA MENOS DE 6 MESES ANTES","")))</f>
        <v/>
      </c>
      <c r="Q514" s="31" t="str">
        <f aca="false">IF(D514="","",IFERROR(INDEX(Sancoes!$D:$D,MATCH(D514,Sancoes!$C:$C,0)),"não consta"))</f>
        <v/>
      </c>
      <c r="R514" s="25" t="str">
        <f aca="false">IF(OR(D514="",H514=""),"",IF(SUMPRODUCT((Sancoes!$C$5:$C$304=D514)*(Sancoes!$G$5:$G$304&lt;=H514)*(((Sancoes!$H$5:$H$304="")+(Sancoes!$H$5:$H$304&gt;=H514))&gt;0))&gt;0,"SANÇÃO VIGENTE NA DATA — ler tipo e abrangência",""))</f>
        <v/>
      </c>
      <c r="S514" s="24"/>
      <c r="T514" s="11"/>
    </row>
    <row r="515" customFormat="false" ht="15" hidden="false" customHeight="false" outlineLevel="0" collapsed="false">
      <c r="A515" s="11"/>
      <c r="B515" s="24"/>
      <c r="C515" s="24"/>
      <c r="D515" s="31" t="str">
        <f aca="false">IF(C515="","",IF(LEN(UPPER(SUBSTITUTE(SUBSTITUTE(SUBSTITUTE(SUBSTITUTE(TRIM(C515),".",""),"/",""),"-","")," ","")))&lt;14,RIGHT(REPT("0",14)&amp;UPPER(SUBSTITUTE(SUBSTITUTE(SUBSTITUTE(SUBSTITUTE(TRIM(C515),".",""),"/",""),"-","")," ","")),14),UPPER(SUBSTITUTE(SUBSTITUTE(SUBSTITUTE(SUBSTITUTE(TRIM(C515),".",""),"/",""),"-","")," ",""))))</f>
        <v/>
      </c>
      <c r="E515" s="25" t="str">
        <f aca="false">IF(D515="","",IFERROR(INDEX(Empresas!$C:$C,MATCH(D515,Empresas!$B:$B,0)),"cadastre o CNPJ em Empresas"))</f>
        <v/>
      </c>
      <c r="F515" s="11"/>
      <c r="G515" s="23"/>
      <c r="H515" s="22"/>
      <c r="I515" s="35"/>
      <c r="J515" s="35"/>
      <c r="K515" s="36" t="str">
        <f aca="false">IF(I515="","",I515+J515)</f>
        <v/>
      </c>
      <c r="L515" s="37" t="str">
        <f aca="false">IF(OR(I515="",I515=0,J515=""),"",J515/I515)</f>
        <v/>
      </c>
      <c r="M515" s="25" t="str">
        <f aca="false">IF(L515="","",IF(L515&gt;0.25,"ACRÉSCIMO ACIMA DE 25% — conferir",""))</f>
        <v/>
      </c>
      <c r="N515" s="29" t="str">
        <f aca="false">IF(D515="","",IF(COUNTIFS(Empresas!$B:$B,D515,Empresas!$E:$E,"&lt;&gt;")=0,"",INDEX(Empresas!$E:$E,MATCH(D515,Empresas!$B:$B,0))))</f>
        <v/>
      </c>
      <c r="O515" s="27" t="str">
        <f aca="false">IF(OR(N515="",H515=""),"",H515-N515)</f>
        <v/>
      </c>
      <c r="P515" s="25" t="str">
        <f aca="false">IF(O515="","",IF(O515&lt;0,"CONTRATO ANTERIOR À ABERTURA — conferir datas",IF(O515&lt;180,"EMPRESA ABERTA MENOS DE 6 MESES ANTES","")))</f>
        <v/>
      </c>
      <c r="Q515" s="31" t="str">
        <f aca="false">IF(D515="","",IFERROR(INDEX(Sancoes!$D:$D,MATCH(D515,Sancoes!$C:$C,0)),"não consta"))</f>
        <v/>
      </c>
      <c r="R515" s="25" t="str">
        <f aca="false">IF(OR(D515="",H515=""),"",IF(SUMPRODUCT((Sancoes!$C$5:$C$304=D515)*(Sancoes!$G$5:$G$304&lt;=H515)*(((Sancoes!$H$5:$H$304="")+(Sancoes!$H$5:$H$304&gt;=H515))&gt;0))&gt;0,"SANÇÃO VIGENTE NA DATA — ler tipo e abrangência",""))</f>
        <v/>
      </c>
      <c r="S515" s="24"/>
      <c r="T515" s="11"/>
    </row>
    <row r="516" customFormat="false" ht="15" hidden="false" customHeight="false" outlineLevel="0" collapsed="false">
      <c r="A516" s="11"/>
      <c r="B516" s="24"/>
      <c r="C516" s="24"/>
      <c r="D516" s="31" t="str">
        <f aca="false">IF(C516="","",IF(LEN(UPPER(SUBSTITUTE(SUBSTITUTE(SUBSTITUTE(SUBSTITUTE(TRIM(C516),".",""),"/",""),"-","")," ","")))&lt;14,RIGHT(REPT("0",14)&amp;UPPER(SUBSTITUTE(SUBSTITUTE(SUBSTITUTE(SUBSTITUTE(TRIM(C516),".",""),"/",""),"-","")," ","")),14),UPPER(SUBSTITUTE(SUBSTITUTE(SUBSTITUTE(SUBSTITUTE(TRIM(C516),".",""),"/",""),"-","")," ",""))))</f>
        <v/>
      </c>
      <c r="E516" s="25" t="str">
        <f aca="false">IF(D516="","",IFERROR(INDEX(Empresas!$C:$C,MATCH(D516,Empresas!$B:$B,0)),"cadastre o CNPJ em Empresas"))</f>
        <v/>
      </c>
      <c r="F516" s="11"/>
      <c r="G516" s="23"/>
      <c r="H516" s="22"/>
      <c r="I516" s="35"/>
      <c r="J516" s="35"/>
      <c r="K516" s="36" t="str">
        <f aca="false">IF(I516="","",I516+J516)</f>
        <v/>
      </c>
      <c r="L516" s="37" t="str">
        <f aca="false">IF(OR(I516="",I516=0,J516=""),"",J516/I516)</f>
        <v/>
      </c>
      <c r="M516" s="25" t="str">
        <f aca="false">IF(L516="","",IF(L516&gt;0.25,"ACRÉSCIMO ACIMA DE 25% — conferir",""))</f>
        <v/>
      </c>
      <c r="N516" s="29" t="str">
        <f aca="false">IF(D516="","",IF(COUNTIFS(Empresas!$B:$B,D516,Empresas!$E:$E,"&lt;&gt;")=0,"",INDEX(Empresas!$E:$E,MATCH(D516,Empresas!$B:$B,0))))</f>
        <v/>
      </c>
      <c r="O516" s="27" t="str">
        <f aca="false">IF(OR(N516="",H516=""),"",H516-N516)</f>
        <v/>
      </c>
      <c r="P516" s="25" t="str">
        <f aca="false">IF(O516="","",IF(O516&lt;0,"CONTRATO ANTERIOR À ABERTURA — conferir datas",IF(O516&lt;180,"EMPRESA ABERTA MENOS DE 6 MESES ANTES","")))</f>
        <v/>
      </c>
      <c r="Q516" s="31" t="str">
        <f aca="false">IF(D516="","",IFERROR(INDEX(Sancoes!$D:$D,MATCH(D516,Sancoes!$C:$C,0)),"não consta"))</f>
        <v/>
      </c>
      <c r="R516" s="25" t="str">
        <f aca="false">IF(OR(D516="",H516=""),"",IF(SUMPRODUCT((Sancoes!$C$5:$C$304=D516)*(Sancoes!$G$5:$G$304&lt;=H516)*(((Sancoes!$H$5:$H$304="")+(Sancoes!$H$5:$H$304&gt;=H516))&gt;0))&gt;0,"SANÇÃO VIGENTE NA DATA — ler tipo e abrangência",""))</f>
        <v/>
      </c>
      <c r="S516" s="24"/>
      <c r="T516" s="11"/>
    </row>
    <row r="517" customFormat="false" ht="15" hidden="false" customHeight="false" outlineLevel="0" collapsed="false">
      <c r="A517" s="11"/>
      <c r="B517" s="24"/>
      <c r="C517" s="24"/>
      <c r="D517" s="31" t="str">
        <f aca="false">IF(C517="","",IF(LEN(UPPER(SUBSTITUTE(SUBSTITUTE(SUBSTITUTE(SUBSTITUTE(TRIM(C517),".",""),"/",""),"-","")," ","")))&lt;14,RIGHT(REPT("0",14)&amp;UPPER(SUBSTITUTE(SUBSTITUTE(SUBSTITUTE(SUBSTITUTE(TRIM(C517),".",""),"/",""),"-","")," ","")),14),UPPER(SUBSTITUTE(SUBSTITUTE(SUBSTITUTE(SUBSTITUTE(TRIM(C517),".",""),"/",""),"-","")," ",""))))</f>
        <v/>
      </c>
      <c r="E517" s="25" t="str">
        <f aca="false">IF(D517="","",IFERROR(INDEX(Empresas!$C:$C,MATCH(D517,Empresas!$B:$B,0)),"cadastre o CNPJ em Empresas"))</f>
        <v/>
      </c>
      <c r="F517" s="11"/>
      <c r="G517" s="23"/>
      <c r="H517" s="22"/>
      <c r="I517" s="35"/>
      <c r="J517" s="35"/>
      <c r="K517" s="36" t="str">
        <f aca="false">IF(I517="","",I517+J517)</f>
        <v/>
      </c>
      <c r="L517" s="37" t="str">
        <f aca="false">IF(OR(I517="",I517=0,J517=""),"",J517/I517)</f>
        <v/>
      </c>
      <c r="M517" s="25" t="str">
        <f aca="false">IF(L517="","",IF(L517&gt;0.25,"ACRÉSCIMO ACIMA DE 25% — conferir",""))</f>
        <v/>
      </c>
      <c r="N517" s="29" t="str">
        <f aca="false">IF(D517="","",IF(COUNTIFS(Empresas!$B:$B,D517,Empresas!$E:$E,"&lt;&gt;")=0,"",INDEX(Empresas!$E:$E,MATCH(D517,Empresas!$B:$B,0))))</f>
        <v/>
      </c>
      <c r="O517" s="27" t="str">
        <f aca="false">IF(OR(N517="",H517=""),"",H517-N517)</f>
        <v/>
      </c>
      <c r="P517" s="25" t="str">
        <f aca="false">IF(O517="","",IF(O517&lt;0,"CONTRATO ANTERIOR À ABERTURA — conferir datas",IF(O517&lt;180,"EMPRESA ABERTA MENOS DE 6 MESES ANTES","")))</f>
        <v/>
      </c>
      <c r="Q517" s="31" t="str">
        <f aca="false">IF(D517="","",IFERROR(INDEX(Sancoes!$D:$D,MATCH(D517,Sancoes!$C:$C,0)),"não consta"))</f>
        <v/>
      </c>
      <c r="R517" s="25" t="str">
        <f aca="false">IF(OR(D517="",H517=""),"",IF(SUMPRODUCT((Sancoes!$C$5:$C$304=D517)*(Sancoes!$G$5:$G$304&lt;=H517)*(((Sancoes!$H$5:$H$304="")+(Sancoes!$H$5:$H$304&gt;=H517))&gt;0))&gt;0,"SANÇÃO VIGENTE NA DATA — ler tipo e abrangência",""))</f>
        <v/>
      </c>
      <c r="S517" s="24"/>
      <c r="T517" s="11"/>
    </row>
    <row r="518" customFormat="false" ht="15" hidden="false" customHeight="false" outlineLevel="0" collapsed="false">
      <c r="A518" s="11"/>
      <c r="B518" s="24"/>
      <c r="C518" s="24"/>
      <c r="D518" s="31" t="str">
        <f aca="false">IF(C518="","",IF(LEN(UPPER(SUBSTITUTE(SUBSTITUTE(SUBSTITUTE(SUBSTITUTE(TRIM(C518),".",""),"/",""),"-","")," ","")))&lt;14,RIGHT(REPT("0",14)&amp;UPPER(SUBSTITUTE(SUBSTITUTE(SUBSTITUTE(SUBSTITUTE(TRIM(C518),".",""),"/",""),"-","")," ","")),14),UPPER(SUBSTITUTE(SUBSTITUTE(SUBSTITUTE(SUBSTITUTE(TRIM(C518),".",""),"/",""),"-","")," ",""))))</f>
        <v/>
      </c>
      <c r="E518" s="25" t="str">
        <f aca="false">IF(D518="","",IFERROR(INDEX(Empresas!$C:$C,MATCH(D518,Empresas!$B:$B,0)),"cadastre o CNPJ em Empresas"))</f>
        <v/>
      </c>
      <c r="F518" s="11"/>
      <c r="G518" s="23"/>
      <c r="H518" s="22"/>
      <c r="I518" s="35"/>
      <c r="J518" s="35"/>
      <c r="K518" s="36" t="str">
        <f aca="false">IF(I518="","",I518+J518)</f>
        <v/>
      </c>
      <c r="L518" s="37" t="str">
        <f aca="false">IF(OR(I518="",I518=0,J518=""),"",J518/I518)</f>
        <v/>
      </c>
      <c r="M518" s="25" t="str">
        <f aca="false">IF(L518="","",IF(L518&gt;0.25,"ACRÉSCIMO ACIMA DE 25% — conferir",""))</f>
        <v/>
      </c>
      <c r="N518" s="29" t="str">
        <f aca="false">IF(D518="","",IF(COUNTIFS(Empresas!$B:$B,D518,Empresas!$E:$E,"&lt;&gt;")=0,"",INDEX(Empresas!$E:$E,MATCH(D518,Empresas!$B:$B,0))))</f>
        <v/>
      </c>
      <c r="O518" s="27" t="str">
        <f aca="false">IF(OR(N518="",H518=""),"",H518-N518)</f>
        <v/>
      </c>
      <c r="P518" s="25" t="str">
        <f aca="false">IF(O518="","",IF(O518&lt;0,"CONTRATO ANTERIOR À ABERTURA — conferir datas",IF(O518&lt;180,"EMPRESA ABERTA MENOS DE 6 MESES ANTES","")))</f>
        <v/>
      </c>
      <c r="Q518" s="31" t="str">
        <f aca="false">IF(D518="","",IFERROR(INDEX(Sancoes!$D:$D,MATCH(D518,Sancoes!$C:$C,0)),"não consta"))</f>
        <v/>
      </c>
      <c r="R518" s="25" t="str">
        <f aca="false">IF(OR(D518="",H518=""),"",IF(SUMPRODUCT((Sancoes!$C$5:$C$304=D518)*(Sancoes!$G$5:$G$304&lt;=H518)*(((Sancoes!$H$5:$H$304="")+(Sancoes!$H$5:$H$304&gt;=H518))&gt;0))&gt;0,"SANÇÃO VIGENTE NA DATA — ler tipo e abrangência",""))</f>
        <v/>
      </c>
      <c r="S518" s="24"/>
      <c r="T518" s="11"/>
    </row>
    <row r="519" customFormat="false" ht="15" hidden="false" customHeight="false" outlineLevel="0" collapsed="false">
      <c r="A519" s="11"/>
      <c r="B519" s="24"/>
      <c r="C519" s="24"/>
      <c r="D519" s="31" t="str">
        <f aca="false">IF(C519="","",IF(LEN(UPPER(SUBSTITUTE(SUBSTITUTE(SUBSTITUTE(SUBSTITUTE(TRIM(C519),".",""),"/",""),"-","")," ","")))&lt;14,RIGHT(REPT("0",14)&amp;UPPER(SUBSTITUTE(SUBSTITUTE(SUBSTITUTE(SUBSTITUTE(TRIM(C519),".",""),"/",""),"-","")," ","")),14),UPPER(SUBSTITUTE(SUBSTITUTE(SUBSTITUTE(SUBSTITUTE(TRIM(C519),".",""),"/",""),"-","")," ",""))))</f>
        <v/>
      </c>
      <c r="E519" s="25" t="str">
        <f aca="false">IF(D519="","",IFERROR(INDEX(Empresas!$C:$C,MATCH(D519,Empresas!$B:$B,0)),"cadastre o CNPJ em Empresas"))</f>
        <v/>
      </c>
      <c r="F519" s="11"/>
      <c r="G519" s="23"/>
      <c r="H519" s="22"/>
      <c r="I519" s="35"/>
      <c r="J519" s="35"/>
      <c r="K519" s="36" t="str">
        <f aca="false">IF(I519="","",I519+J519)</f>
        <v/>
      </c>
      <c r="L519" s="37" t="str">
        <f aca="false">IF(OR(I519="",I519=0,J519=""),"",J519/I519)</f>
        <v/>
      </c>
      <c r="M519" s="25" t="str">
        <f aca="false">IF(L519="","",IF(L519&gt;0.25,"ACRÉSCIMO ACIMA DE 25% — conferir",""))</f>
        <v/>
      </c>
      <c r="N519" s="29" t="str">
        <f aca="false">IF(D519="","",IF(COUNTIFS(Empresas!$B:$B,D519,Empresas!$E:$E,"&lt;&gt;")=0,"",INDEX(Empresas!$E:$E,MATCH(D519,Empresas!$B:$B,0))))</f>
        <v/>
      </c>
      <c r="O519" s="27" t="str">
        <f aca="false">IF(OR(N519="",H519=""),"",H519-N519)</f>
        <v/>
      </c>
      <c r="P519" s="25" t="str">
        <f aca="false">IF(O519="","",IF(O519&lt;0,"CONTRATO ANTERIOR À ABERTURA — conferir datas",IF(O519&lt;180,"EMPRESA ABERTA MENOS DE 6 MESES ANTES","")))</f>
        <v/>
      </c>
      <c r="Q519" s="31" t="str">
        <f aca="false">IF(D519="","",IFERROR(INDEX(Sancoes!$D:$D,MATCH(D519,Sancoes!$C:$C,0)),"não consta"))</f>
        <v/>
      </c>
      <c r="R519" s="25" t="str">
        <f aca="false">IF(OR(D519="",H519=""),"",IF(SUMPRODUCT((Sancoes!$C$5:$C$304=D519)*(Sancoes!$G$5:$G$304&lt;=H519)*(((Sancoes!$H$5:$H$304="")+(Sancoes!$H$5:$H$304&gt;=H519))&gt;0))&gt;0,"SANÇÃO VIGENTE NA DATA — ler tipo e abrangência",""))</f>
        <v/>
      </c>
      <c r="S519" s="24"/>
      <c r="T519" s="11"/>
    </row>
    <row r="520" customFormat="false" ht="15" hidden="false" customHeight="false" outlineLevel="0" collapsed="false">
      <c r="A520" s="11"/>
      <c r="B520" s="24"/>
      <c r="C520" s="24"/>
      <c r="D520" s="31" t="str">
        <f aca="false">IF(C520="","",IF(LEN(UPPER(SUBSTITUTE(SUBSTITUTE(SUBSTITUTE(SUBSTITUTE(TRIM(C520),".",""),"/",""),"-","")," ","")))&lt;14,RIGHT(REPT("0",14)&amp;UPPER(SUBSTITUTE(SUBSTITUTE(SUBSTITUTE(SUBSTITUTE(TRIM(C520),".",""),"/",""),"-","")," ","")),14),UPPER(SUBSTITUTE(SUBSTITUTE(SUBSTITUTE(SUBSTITUTE(TRIM(C520),".",""),"/",""),"-","")," ",""))))</f>
        <v/>
      </c>
      <c r="E520" s="25" t="str">
        <f aca="false">IF(D520="","",IFERROR(INDEX(Empresas!$C:$C,MATCH(D520,Empresas!$B:$B,0)),"cadastre o CNPJ em Empresas"))</f>
        <v/>
      </c>
      <c r="F520" s="11"/>
      <c r="G520" s="23"/>
      <c r="H520" s="22"/>
      <c r="I520" s="35"/>
      <c r="J520" s="35"/>
      <c r="K520" s="36" t="str">
        <f aca="false">IF(I520="","",I520+J520)</f>
        <v/>
      </c>
      <c r="L520" s="37" t="str">
        <f aca="false">IF(OR(I520="",I520=0,J520=""),"",J520/I520)</f>
        <v/>
      </c>
      <c r="M520" s="25" t="str">
        <f aca="false">IF(L520="","",IF(L520&gt;0.25,"ACRÉSCIMO ACIMA DE 25% — conferir",""))</f>
        <v/>
      </c>
      <c r="N520" s="29" t="str">
        <f aca="false">IF(D520="","",IF(COUNTIFS(Empresas!$B:$B,D520,Empresas!$E:$E,"&lt;&gt;")=0,"",INDEX(Empresas!$E:$E,MATCH(D520,Empresas!$B:$B,0))))</f>
        <v/>
      </c>
      <c r="O520" s="27" t="str">
        <f aca="false">IF(OR(N520="",H520=""),"",H520-N520)</f>
        <v/>
      </c>
      <c r="P520" s="25" t="str">
        <f aca="false">IF(O520="","",IF(O520&lt;0,"CONTRATO ANTERIOR À ABERTURA — conferir datas",IF(O520&lt;180,"EMPRESA ABERTA MENOS DE 6 MESES ANTES","")))</f>
        <v/>
      </c>
      <c r="Q520" s="31" t="str">
        <f aca="false">IF(D520="","",IFERROR(INDEX(Sancoes!$D:$D,MATCH(D520,Sancoes!$C:$C,0)),"não consta"))</f>
        <v/>
      </c>
      <c r="R520" s="25" t="str">
        <f aca="false">IF(OR(D520="",H520=""),"",IF(SUMPRODUCT((Sancoes!$C$5:$C$304=D520)*(Sancoes!$G$5:$G$304&lt;=H520)*(((Sancoes!$H$5:$H$304="")+(Sancoes!$H$5:$H$304&gt;=H520))&gt;0))&gt;0,"SANÇÃO VIGENTE NA DATA — ler tipo e abrangência",""))</f>
        <v/>
      </c>
      <c r="S520" s="24"/>
      <c r="T520" s="11"/>
    </row>
    <row r="521" customFormat="false" ht="15" hidden="false" customHeight="false" outlineLevel="0" collapsed="false">
      <c r="A521" s="11"/>
      <c r="B521" s="24"/>
      <c r="C521" s="24"/>
      <c r="D521" s="31" t="str">
        <f aca="false">IF(C521="","",IF(LEN(UPPER(SUBSTITUTE(SUBSTITUTE(SUBSTITUTE(SUBSTITUTE(TRIM(C521),".",""),"/",""),"-","")," ","")))&lt;14,RIGHT(REPT("0",14)&amp;UPPER(SUBSTITUTE(SUBSTITUTE(SUBSTITUTE(SUBSTITUTE(TRIM(C521),".",""),"/",""),"-","")," ","")),14),UPPER(SUBSTITUTE(SUBSTITUTE(SUBSTITUTE(SUBSTITUTE(TRIM(C521),".",""),"/",""),"-","")," ",""))))</f>
        <v/>
      </c>
      <c r="E521" s="25" t="str">
        <f aca="false">IF(D521="","",IFERROR(INDEX(Empresas!$C:$C,MATCH(D521,Empresas!$B:$B,0)),"cadastre o CNPJ em Empresas"))</f>
        <v/>
      </c>
      <c r="F521" s="11"/>
      <c r="G521" s="23"/>
      <c r="H521" s="22"/>
      <c r="I521" s="35"/>
      <c r="J521" s="35"/>
      <c r="K521" s="36" t="str">
        <f aca="false">IF(I521="","",I521+J521)</f>
        <v/>
      </c>
      <c r="L521" s="37" t="str">
        <f aca="false">IF(OR(I521="",I521=0,J521=""),"",J521/I521)</f>
        <v/>
      </c>
      <c r="M521" s="25" t="str">
        <f aca="false">IF(L521="","",IF(L521&gt;0.25,"ACRÉSCIMO ACIMA DE 25% — conferir",""))</f>
        <v/>
      </c>
      <c r="N521" s="29" t="str">
        <f aca="false">IF(D521="","",IF(COUNTIFS(Empresas!$B:$B,D521,Empresas!$E:$E,"&lt;&gt;")=0,"",INDEX(Empresas!$E:$E,MATCH(D521,Empresas!$B:$B,0))))</f>
        <v/>
      </c>
      <c r="O521" s="27" t="str">
        <f aca="false">IF(OR(N521="",H521=""),"",H521-N521)</f>
        <v/>
      </c>
      <c r="P521" s="25" t="str">
        <f aca="false">IF(O521="","",IF(O521&lt;0,"CONTRATO ANTERIOR À ABERTURA — conferir datas",IF(O521&lt;180,"EMPRESA ABERTA MENOS DE 6 MESES ANTES","")))</f>
        <v/>
      </c>
      <c r="Q521" s="31" t="str">
        <f aca="false">IF(D521="","",IFERROR(INDEX(Sancoes!$D:$D,MATCH(D521,Sancoes!$C:$C,0)),"não consta"))</f>
        <v/>
      </c>
      <c r="R521" s="25" t="str">
        <f aca="false">IF(OR(D521="",H521=""),"",IF(SUMPRODUCT((Sancoes!$C$5:$C$304=D521)*(Sancoes!$G$5:$G$304&lt;=H521)*(((Sancoes!$H$5:$H$304="")+(Sancoes!$H$5:$H$304&gt;=H521))&gt;0))&gt;0,"SANÇÃO VIGENTE NA DATA — ler tipo e abrangência",""))</f>
        <v/>
      </c>
      <c r="S521" s="24"/>
      <c r="T521" s="11"/>
    </row>
    <row r="522" customFormat="false" ht="15" hidden="false" customHeight="false" outlineLevel="0" collapsed="false">
      <c r="A522" s="11"/>
      <c r="B522" s="24"/>
      <c r="C522" s="24"/>
      <c r="D522" s="31" t="str">
        <f aca="false">IF(C522="","",IF(LEN(UPPER(SUBSTITUTE(SUBSTITUTE(SUBSTITUTE(SUBSTITUTE(TRIM(C522),".",""),"/",""),"-","")," ","")))&lt;14,RIGHT(REPT("0",14)&amp;UPPER(SUBSTITUTE(SUBSTITUTE(SUBSTITUTE(SUBSTITUTE(TRIM(C522),".",""),"/",""),"-","")," ","")),14),UPPER(SUBSTITUTE(SUBSTITUTE(SUBSTITUTE(SUBSTITUTE(TRIM(C522),".",""),"/",""),"-","")," ",""))))</f>
        <v/>
      </c>
      <c r="E522" s="25" t="str">
        <f aca="false">IF(D522="","",IFERROR(INDEX(Empresas!$C:$C,MATCH(D522,Empresas!$B:$B,0)),"cadastre o CNPJ em Empresas"))</f>
        <v/>
      </c>
      <c r="F522" s="11"/>
      <c r="G522" s="23"/>
      <c r="H522" s="22"/>
      <c r="I522" s="35"/>
      <c r="J522" s="35"/>
      <c r="K522" s="36" t="str">
        <f aca="false">IF(I522="","",I522+J522)</f>
        <v/>
      </c>
      <c r="L522" s="37" t="str">
        <f aca="false">IF(OR(I522="",I522=0,J522=""),"",J522/I522)</f>
        <v/>
      </c>
      <c r="M522" s="25" t="str">
        <f aca="false">IF(L522="","",IF(L522&gt;0.25,"ACRÉSCIMO ACIMA DE 25% — conferir",""))</f>
        <v/>
      </c>
      <c r="N522" s="29" t="str">
        <f aca="false">IF(D522="","",IF(COUNTIFS(Empresas!$B:$B,D522,Empresas!$E:$E,"&lt;&gt;")=0,"",INDEX(Empresas!$E:$E,MATCH(D522,Empresas!$B:$B,0))))</f>
        <v/>
      </c>
      <c r="O522" s="27" t="str">
        <f aca="false">IF(OR(N522="",H522=""),"",H522-N522)</f>
        <v/>
      </c>
      <c r="P522" s="25" t="str">
        <f aca="false">IF(O522="","",IF(O522&lt;0,"CONTRATO ANTERIOR À ABERTURA — conferir datas",IF(O522&lt;180,"EMPRESA ABERTA MENOS DE 6 MESES ANTES","")))</f>
        <v/>
      </c>
      <c r="Q522" s="31" t="str">
        <f aca="false">IF(D522="","",IFERROR(INDEX(Sancoes!$D:$D,MATCH(D522,Sancoes!$C:$C,0)),"não consta"))</f>
        <v/>
      </c>
      <c r="R522" s="25" t="str">
        <f aca="false">IF(OR(D522="",H522=""),"",IF(SUMPRODUCT((Sancoes!$C$5:$C$304=D522)*(Sancoes!$G$5:$G$304&lt;=H522)*(((Sancoes!$H$5:$H$304="")+(Sancoes!$H$5:$H$304&gt;=H522))&gt;0))&gt;0,"SANÇÃO VIGENTE NA DATA — ler tipo e abrangência",""))</f>
        <v/>
      </c>
      <c r="S522" s="24"/>
      <c r="T522" s="11"/>
    </row>
    <row r="523" customFormat="false" ht="15" hidden="false" customHeight="false" outlineLevel="0" collapsed="false">
      <c r="A523" s="11"/>
      <c r="B523" s="24"/>
      <c r="C523" s="24"/>
      <c r="D523" s="31" t="str">
        <f aca="false">IF(C523="","",IF(LEN(UPPER(SUBSTITUTE(SUBSTITUTE(SUBSTITUTE(SUBSTITUTE(TRIM(C523),".",""),"/",""),"-","")," ","")))&lt;14,RIGHT(REPT("0",14)&amp;UPPER(SUBSTITUTE(SUBSTITUTE(SUBSTITUTE(SUBSTITUTE(TRIM(C523),".",""),"/",""),"-","")," ","")),14),UPPER(SUBSTITUTE(SUBSTITUTE(SUBSTITUTE(SUBSTITUTE(TRIM(C523),".",""),"/",""),"-","")," ",""))))</f>
        <v/>
      </c>
      <c r="E523" s="25" t="str">
        <f aca="false">IF(D523="","",IFERROR(INDEX(Empresas!$C:$C,MATCH(D523,Empresas!$B:$B,0)),"cadastre o CNPJ em Empresas"))</f>
        <v/>
      </c>
      <c r="F523" s="11"/>
      <c r="G523" s="23"/>
      <c r="H523" s="22"/>
      <c r="I523" s="35"/>
      <c r="J523" s="35"/>
      <c r="K523" s="36" t="str">
        <f aca="false">IF(I523="","",I523+J523)</f>
        <v/>
      </c>
      <c r="L523" s="37" t="str">
        <f aca="false">IF(OR(I523="",I523=0,J523=""),"",J523/I523)</f>
        <v/>
      </c>
      <c r="M523" s="25" t="str">
        <f aca="false">IF(L523="","",IF(L523&gt;0.25,"ACRÉSCIMO ACIMA DE 25% — conferir",""))</f>
        <v/>
      </c>
      <c r="N523" s="29" t="str">
        <f aca="false">IF(D523="","",IF(COUNTIFS(Empresas!$B:$B,D523,Empresas!$E:$E,"&lt;&gt;")=0,"",INDEX(Empresas!$E:$E,MATCH(D523,Empresas!$B:$B,0))))</f>
        <v/>
      </c>
      <c r="O523" s="27" t="str">
        <f aca="false">IF(OR(N523="",H523=""),"",H523-N523)</f>
        <v/>
      </c>
      <c r="P523" s="25" t="str">
        <f aca="false">IF(O523="","",IF(O523&lt;0,"CONTRATO ANTERIOR À ABERTURA — conferir datas",IF(O523&lt;180,"EMPRESA ABERTA MENOS DE 6 MESES ANTES","")))</f>
        <v/>
      </c>
      <c r="Q523" s="31" t="str">
        <f aca="false">IF(D523="","",IFERROR(INDEX(Sancoes!$D:$D,MATCH(D523,Sancoes!$C:$C,0)),"não consta"))</f>
        <v/>
      </c>
      <c r="R523" s="25" t="str">
        <f aca="false">IF(OR(D523="",H523=""),"",IF(SUMPRODUCT((Sancoes!$C$5:$C$304=D523)*(Sancoes!$G$5:$G$304&lt;=H523)*(((Sancoes!$H$5:$H$304="")+(Sancoes!$H$5:$H$304&gt;=H523))&gt;0))&gt;0,"SANÇÃO VIGENTE NA DATA — ler tipo e abrangência",""))</f>
        <v/>
      </c>
      <c r="S523" s="24"/>
      <c r="T523" s="11"/>
    </row>
    <row r="524" customFormat="false" ht="15" hidden="false" customHeight="false" outlineLevel="0" collapsed="false">
      <c r="A524" s="11"/>
      <c r="B524" s="24"/>
      <c r="C524" s="24"/>
      <c r="D524" s="31" t="str">
        <f aca="false">IF(C524="","",IF(LEN(UPPER(SUBSTITUTE(SUBSTITUTE(SUBSTITUTE(SUBSTITUTE(TRIM(C524),".",""),"/",""),"-","")," ","")))&lt;14,RIGHT(REPT("0",14)&amp;UPPER(SUBSTITUTE(SUBSTITUTE(SUBSTITUTE(SUBSTITUTE(TRIM(C524),".",""),"/",""),"-","")," ","")),14),UPPER(SUBSTITUTE(SUBSTITUTE(SUBSTITUTE(SUBSTITUTE(TRIM(C524),".",""),"/",""),"-","")," ",""))))</f>
        <v/>
      </c>
      <c r="E524" s="25" t="str">
        <f aca="false">IF(D524="","",IFERROR(INDEX(Empresas!$C:$C,MATCH(D524,Empresas!$B:$B,0)),"cadastre o CNPJ em Empresas"))</f>
        <v/>
      </c>
      <c r="F524" s="11"/>
      <c r="G524" s="23"/>
      <c r="H524" s="22"/>
      <c r="I524" s="35"/>
      <c r="J524" s="35"/>
      <c r="K524" s="36" t="str">
        <f aca="false">IF(I524="","",I524+J524)</f>
        <v/>
      </c>
      <c r="L524" s="37" t="str">
        <f aca="false">IF(OR(I524="",I524=0,J524=""),"",J524/I524)</f>
        <v/>
      </c>
      <c r="M524" s="25" t="str">
        <f aca="false">IF(L524="","",IF(L524&gt;0.25,"ACRÉSCIMO ACIMA DE 25% — conferir",""))</f>
        <v/>
      </c>
      <c r="N524" s="29" t="str">
        <f aca="false">IF(D524="","",IF(COUNTIFS(Empresas!$B:$B,D524,Empresas!$E:$E,"&lt;&gt;")=0,"",INDEX(Empresas!$E:$E,MATCH(D524,Empresas!$B:$B,0))))</f>
        <v/>
      </c>
      <c r="O524" s="27" t="str">
        <f aca="false">IF(OR(N524="",H524=""),"",H524-N524)</f>
        <v/>
      </c>
      <c r="P524" s="25" t="str">
        <f aca="false">IF(O524="","",IF(O524&lt;0,"CONTRATO ANTERIOR À ABERTURA — conferir datas",IF(O524&lt;180,"EMPRESA ABERTA MENOS DE 6 MESES ANTES","")))</f>
        <v/>
      </c>
      <c r="Q524" s="31" t="str">
        <f aca="false">IF(D524="","",IFERROR(INDEX(Sancoes!$D:$D,MATCH(D524,Sancoes!$C:$C,0)),"não consta"))</f>
        <v/>
      </c>
      <c r="R524" s="25" t="str">
        <f aca="false">IF(OR(D524="",H524=""),"",IF(SUMPRODUCT((Sancoes!$C$5:$C$304=D524)*(Sancoes!$G$5:$G$304&lt;=H524)*(((Sancoes!$H$5:$H$304="")+(Sancoes!$H$5:$H$304&gt;=H524))&gt;0))&gt;0,"SANÇÃO VIGENTE NA DATA — ler tipo e abrangência",""))</f>
        <v/>
      </c>
      <c r="S524" s="24"/>
      <c r="T524" s="11"/>
    </row>
    <row r="525" customFormat="false" ht="15" hidden="false" customHeight="false" outlineLevel="0" collapsed="false">
      <c r="A525" s="11"/>
      <c r="B525" s="24"/>
      <c r="C525" s="24"/>
      <c r="D525" s="31" t="str">
        <f aca="false">IF(C525="","",IF(LEN(UPPER(SUBSTITUTE(SUBSTITUTE(SUBSTITUTE(SUBSTITUTE(TRIM(C525),".",""),"/",""),"-","")," ","")))&lt;14,RIGHT(REPT("0",14)&amp;UPPER(SUBSTITUTE(SUBSTITUTE(SUBSTITUTE(SUBSTITUTE(TRIM(C525),".",""),"/",""),"-","")," ","")),14),UPPER(SUBSTITUTE(SUBSTITUTE(SUBSTITUTE(SUBSTITUTE(TRIM(C525),".",""),"/",""),"-","")," ",""))))</f>
        <v/>
      </c>
      <c r="E525" s="25" t="str">
        <f aca="false">IF(D525="","",IFERROR(INDEX(Empresas!$C:$C,MATCH(D525,Empresas!$B:$B,0)),"cadastre o CNPJ em Empresas"))</f>
        <v/>
      </c>
      <c r="F525" s="11"/>
      <c r="G525" s="23"/>
      <c r="H525" s="22"/>
      <c r="I525" s="35"/>
      <c r="J525" s="35"/>
      <c r="K525" s="36" t="str">
        <f aca="false">IF(I525="","",I525+J525)</f>
        <v/>
      </c>
      <c r="L525" s="37" t="str">
        <f aca="false">IF(OR(I525="",I525=0,J525=""),"",J525/I525)</f>
        <v/>
      </c>
      <c r="M525" s="25" t="str">
        <f aca="false">IF(L525="","",IF(L525&gt;0.25,"ACRÉSCIMO ACIMA DE 25% — conferir",""))</f>
        <v/>
      </c>
      <c r="N525" s="29" t="str">
        <f aca="false">IF(D525="","",IF(COUNTIFS(Empresas!$B:$B,D525,Empresas!$E:$E,"&lt;&gt;")=0,"",INDEX(Empresas!$E:$E,MATCH(D525,Empresas!$B:$B,0))))</f>
        <v/>
      </c>
      <c r="O525" s="27" t="str">
        <f aca="false">IF(OR(N525="",H525=""),"",H525-N525)</f>
        <v/>
      </c>
      <c r="P525" s="25" t="str">
        <f aca="false">IF(O525="","",IF(O525&lt;0,"CONTRATO ANTERIOR À ABERTURA — conferir datas",IF(O525&lt;180,"EMPRESA ABERTA MENOS DE 6 MESES ANTES","")))</f>
        <v/>
      </c>
      <c r="Q525" s="31" t="str">
        <f aca="false">IF(D525="","",IFERROR(INDEX(Sancoes!$D:$D,MATCH(D525,Sancoes!$C:$C,0)),"não consta"))</f>
        <v/>
      </c>
      <c r="R525" s="25" t="str">
        <f aca="false">IF(OR(D525="",H525=""),"",IF(SUMPRODUCT((Sancoes!$C$5:$C$304=D525)*(Sancoes!$G$5:$G$304&lt;=H525)*(((Sancoes!$H$5:$H$304="")+(Sancoes!$H$5:$H$304&gt;=H525))&gt;0))&gt;0,"SANÇÃO VIGENTE NA DATA — ler tipo e abrangência",""))</f>
        <v/>
      </c>
      <c r="S525" s="24"/>
      <c r="T525" s="11"/>
    </row>
    <row r="526" customFormat="false" ht="15" hidden="false" customHeight="false" outlineLevel="0" collapsed="false">
      <c r="A526" s="11"/>
      <c r="B526" s="24"/>
      <c r="C526" s="24"/>
      <c r="D526" s="31" t="str">
        <f aca="false">IF(C526="","",IF(LEN(UPPER(SUBSTITUTE(SUBSTITUTE(SUBSTITUTE(SUBSTITUTE(TRIM(C526),".",""),"/",""),"-","")," ","")))&lt;14,RIGHT(REPT("0",14)&amp;UPPER(SUBSTITUTE(SUBSTITUTE(SUBSTITUTE(SUBSTITUTE(TRIM(C526),".",""),"/",""),"-","")," ","")),14),UPPER(SUBSTITUTE(SUBSTITUTE(SUBSTITUTE(SUBSTITUTE(TRIM(C526),".",""),"/",""),"-","")," ",""))))</f>
        <v/>
      </c>
      <c r="E526" s="25" t="str">
        <f aca="false">IF(D526="","",IFERROR(INDEX(Empresas!$C:$C,MATCH(D526,Empresas!$B:$B,0)),"cadastre o CNPJ em Empresas"))</f>
        <v/>
      </c>
      <c r="F526" s="11"/>
      <c r="G526" s="23"/>
      <c r="H526" s="22"/>
      <c r="I526" s="35"/>
      <c r="J526" s="35"/>
      <c r="K526" s="36" t="str">
        <f aca="false">IF(I526="","",I526+J526)</f>
        <v/>
      </c>
      <c r="L526" s="37" t="str">
        <f aca="false">IF(OR(I526="",I526=0,J526=""),"",J526/I526)</f>
        <v/>
      </c>
      <c r="M526" s="25" t="str">
        <f aca="false">IF(L526="","",IF(L526&gt;0.25,"ACRÉSCIMO ACIMA DE 25% — conferir",""))</f>
        <v/>
      </c>
      <c r="N526" s="29" t="str">
        <f aca="false">IF(D526="","",IF(COUNTIFS(Empresas!$B:$B,D526,Empresas!$E:$E,"&lt;&gt;")=0,"",INDEX(Empresas!$E:$E,MATCH(D526,Empresas!$B:$B,0))))</f>
        <v/>
      </c>
      <c r="O526" s="27" t="str">
        <f aca="false">IF(OR(N526="",H526=""),"",H526-N526)</f>
        <v/>
      </c>
      <c r="P526" s="25" t="str">
        <f aca="false">IF(O526="","",IF(O526&lt;0,"CONTRATO ANTERIOR À ABERTURA — conferir datas",IF(O526&lt;180,"EMPRESA ABERTA MENOS DE 6 MESES ANTES","")))</f>
        <v/>
      </c>
      <c r="Q526" s="31" t="str">
        <f aca="false">IF(D526="","",IFERROR(INDEX(Sancoes!$D:$D,MATCH(D526,Sancoes!$C:$C,0)),"não consta"))</f>
        <v/>
      </c>
      <c r="R526" s="25" t="str">
        <f aca="false">IF(OR(D526="",H526=""),"",IF(SUMPRODUCT((Sancoes!$C$5:$C$304=D526)*(Sancoes!$G$5:$G$304&lt;=H526)*(((Sancoes!$H$5:$H$304="")+(Sancoes!$H$5:$H$304&gt;=H526))&gt;0))&gt;0,"SANÇÃO VIGENTE NA DATA — ler tipo e abrangência",""))</f>
        <v/>
      </c>
      <c r="S526" s="24"/>
      <c r="T526" s="11"/>
    </row>
    <row r="527" customFormat="false" ht="15" hidden="false" customHeight="false" outlineLevel="0" collapsed="false">
      <c r="A527" s="11"/>
      <c r="B527" s="24"/>
      <c r="C527" s="24"/>
      <c r="D527" s="31" t="str">
        <f aca="false">IF(C527="","",IF(LEN(UPPER(SUBSTITUTE(SUBSTITUTE(SUBSTITUTE(SUBSTITUTE(TRIM(C527),".",""),"/",""),"-","")," ","")))&lt;14,RIGHT(REPT("0",14)&amp;UPPER(SUBSTITUTE(SUBSTITUTE(SUBSTITUTE(SUBSTITUTE(TRIM(C527),".",""),"/",""),"-","")," ","")),14),UPPER(SUBSTITUTE(SUBSTITUTE(SUBSTITUTE(SUBSTITUTE(TRIM(C527),".",""),"/",""),"-","")," ",""))))</f>
        <v/>
      </c>
      <c r="E527" s="25" t="str">
        <f aca="false">IF(D527="","",IFERROR(INDEX(Empresas!$C:$C,MATCH(D527,Empresas!$B:$B,0)),"cadastre o CNPJ em Empresas"))</f>
        <v/>
      </c>
      <c r="F527" s="11"/>
      <c r="G527" s="23"/>
      <c r="H527" s="22"/>
      <c r="I527" s="35"/>
      <c r="J527" s="35"/>
      <c r="K527" s="36" t="str">
        <f aca="false">IF(I527="","",I527+J527)</f>
        <v/>
      </c>
      <c r="L527" s="37" t="str">
        <f aca="false">IF(OR(I527="",I527=0,J527=""),"",J527/I527)</f>
        <v/>
      </c>
      <c r="M527" s="25" t="str">
        <f aca="false">IF(L527="","",IF(L527&gt;0.25,"ACRÉSCIMO ACIMA DE 25% — conferir",""))</f>
        <v/>
      </c>
      <c r="N527" s="29" t="str">
        <f aca="false">IF(D527="","",IF(COUNTIFS(Empresas!$B:$B,D527,Empresas!$E:$E,"&lt;&gt;")=0,"",INDEX(Empresas!$E:$E,MATCH(D527,Empresas!$B:$B,0))))</f>
        <v/>
      </c>
      <c r="O527" s="27" t="str">
        <f aca="false">IF(OR(N527="",H527=""),"",H527-N527)</f>
        <v/>
      </c>
      <c r="P527" s="25" t="str">
        <f aca="false">IF(O527="","",IF(O527&lt;0,"CONTRATO ANTERIOR À ABERTURA — conferir datas",IF(O527&lt;180,"EMPRESA ABERTA MENOS DE 6 MESES ANTES","")))</f>
        <v/>
      </c>
      <c r="Q527" s="31" t="str">
        <f aca="false">IF(D527="","",IFERROR(INDEX(Sancoes!$D:$D,MATCH(D527,Sancoes!$C:$C,0)),"não consta"))</f>
        <v/>
      </c>
      <c r="R527" s="25" t="str">
        <f aca="false">IF(OR(D527="",H527=""),"",IF(SUMPRODUCT((Sancoes!$C$5:$C$304=D527)*(Sancoes!$G$5:$G$304&lt;=H527)*(((Sancoes!$H$5:$H$304="")+(Sancoes!$H$5:$H$304&gt;=H527))&gt;0))&gt;0,"SANÇÃO VIGENTE NA DATA — ler tipo e abrangência",""))</f>
        <v/>
      </c>
      <c r="S527" s="24"/>
      <c r="T527" s="11"/>
    </row>
    <row r="528" customFormat="false" ht="15" hidden="false" customHeight="false" outlineLevel="0" collapsed="false">
      <c r="A528" s="11"/>
      <c r="B528" s="24"/>
      <c r="C528" s="24"/>
      <c r="D528" s="31" t="str">
        <f aca="false">IF(C528="","",IF(LEN(UPPER(SUBSTITUTE(SUBSTITUTE(SUBSTITUTE(SUBSTITUTE(TRIM(C528),".",""),"/",""),"-","")," ","")))&lt;14,RIGHT(REPT("0",14)&amp;UPPER(SUBSTITUTE(SUBSTITUTE(SUBSTITUTE(SUBSTITUTE(TRIM(C528),".",""),"/",""),"-","")," ","")),14),UPPER(SUBSTITUTE(SUBSTITUTE(SUBSTITUTE(SUBSTITUTE(TRIM(C528),".",""),"/",""),"-","")," ",""))))</f>
        <v/>
      </c>
      <c r="E528" s="25" t="str">
        <f aca="false">IF(D528="","",IFERROR(INDEX(Empresas!$C:$C,MATCH(D528,Empresas!$B:$B,0)),"cadastre o CNPJ em Empresas"))</f>
        <v/>
      </c>
      <c r="F528" s="11"/>
      <c r="G528" s="23"/>
      <c r="H528" s="22"/>
      <c r="I528" s="35"/>
      <c r="J528" s="35"/>
      <c r="K528" s="36" t="str">
        <f aca="false">IF(I528="","",I528+J528)</f>
        <v/>
      </c>
      <c r="L528" s="37" t="str">
        <f aca="false">IF(OR(I528="",I528=0,J528=""),"",J528/I528)</f>
        <v/>
      </c>
      <c r="M528" s="25" t="str">
        <f aca="false">IF(L528="","",IF(L528&gt;0.25,"ACRÉSCIMO ACIMA DE 25% — conferir",""))</f>
        <v/>
      </c>
      <c r="N528" s="29" t="str">
        <f aca="false">IF(D528="","",IF(COUNTIFS(Empresas!$B:$B,D528,Empresas!$E:$E,"&lt;&gt;")=0,"",INDEX(Empresas!$E:$E,MATCH(D528,Empresas!$B:$B,0))))</f>
        <v/>
      </c>
      <c r="O528" s="27" t="str">
        <f aca="false">IF(OR(N528="",H528=""),"",H528-N528)</f>
        <v/>
      </c>
      <c r="P528" s="25" t="str">
        <f aca="false">IF(O528="","",IF(O528&lt;0,"CONTRATO ANTERIOR À ABERTURA — conferir datas",IF(O528&lt;180,"EMPRESA ABERTA MENOS DE 6 MESES ANTES","")))</f>
        <v/>
      </c>
      <c r="Q528" s="31" t="str">
        <f aca="false">IF(D528="","",IFERROR(INDEX(Sancoes!$D:$D,MATCH(D528,Sancoes!$C:$C,0)),"não consta"))</f>
        <v/>
      </c>
      <c r="R528" s="25" t="str">
        <f aca="false">IF(OR(D528="",H528=""),"",IF(SUMPRODUCT((Sancoes!$C$5:$C$304=D528)*(Sancoes!$G$5:$G$304&lt;=H528)*(((Sancoes!$H$5:$H$304="")+(Sancoes!$H$5:$H$304&gt;=H528))&gt;0))&gt;0,"SANÇÃO VIGENTE NA DATA — ler tipo e abrangência",""))</f>
        <v/>
      </c>
      <c r="S528" s="24"/>
      <c r="T528" s="11"/>
    </row>
    <row r="529" customFormat="false" ht="15" hidden="false" customHeight="false" outlineLevel="0" collapsed="false">
      <c r="A529" s="11"/>
      <c r="B529" s="24"/>
      <c r="C529" s="24"/>
      <c r="D529" s="31" t="str">
        <f aca="false">IF(C529="","",IF(LEN(UPPER(SUBSTITUTE(SUBSTITUTE(SUBSTITUTE(SUBSTITUTE(TRIM(C529),".",""),"/",""),"-","")," ","")))&lt;14,RIGHT(REPT("0",14)&amp;UPPER(SUBSTITUTE(SUBSTITUTE(SUBSTITUTE(SUBSTITUTE(TRIM(C529),".",""),"/",""),"-","")," ","")),14),UPPER(SUBSTITUTE(SUBSTITUTE(SUBSTITUTE(SUBSTITUTE(TRIM(C529),".",""),"/",""),"-","")," ",""))))</f>
        <v/>
      </c>
      <c r="E529" s="25" t="str">
        <f aca="false">IF(D529="","",IFERROR(INDEX(Empresas!$C:$C,MATCH(D529,Empresas!$B:$B,0)),"cadastre o CNPJ em Empresas"))</f>
        <v/>
      </c>
      <c r="F529" s="11"/>
      <c r="G529" s="23"/>
      <c r="H529" s="22"/>
      <c r="I529" s="35"/>
      <c r="J529" s="35"/>
      <c r="K529" s="36" t="str">
        <f aca="false">IF(I529="","",I529+J529)</f>
        <v/>
      </c>
      <c r="L529" s="37" t="str">
        <f aca="false">IF(OR(I529="",I529=0,J529=""),"",J529/I529)</f>
        <v/>
      </c>
      <c r="M529" s="25" t="str">
        <f aca="false">IF(L529="","",IF(L529&gt;0.25,"ACRÉSCIMO ACIMA DE 25% — conferir",""))</f>
        <v/>
      </c>
      <c r="N529" s="29" t="str">
        <f aca="false">IF(D529="","",IF(COUNTIFS(Empresas!$B:$B,D529,Empresas!$E:$E,"&lt;&gt;")=0,"",INDEX(Empresas!$E:$E,MATCH(D529,Empresas!$B:$B,0))))</f>
        <v/>
      </c>
      <c r="O529" s="27" t="str">
        <f aca="false">IF(OR(N529="",H529=""),"",H529-N529)</f>
        <v/>
      </c>
      <c r="P529" s="25" t="str">
        <f aca="false">IF(O529="","",IF(O529&lt;0,"CONTRATO ANTERIOR À ABERTURA — conferir datas",IF(O529&lt;180,"EMPRESA ABERTA MENOS DE 6 MESES ANTES","")))</f>
        <v/>
      </c>
      <c r="Q529" s="31" t="str">
        <f aca="false">IF(D529="","",IFERROR(INDEX(Sancoes!$D:$D,MATCH(D529,Sancoes!$C:$C,0)),"não consta"))</f>
        <v/>
      </c>
      <c r="R529" s="25" t="str">
        <f aca="false">IF(OR(D529="",H529=""),"",IF(SUMPRODUCT((Sancoes!$C$5:$C$304=D529)*(Sancoes!$G$5:$G$304&lt;=H529)*(((Sancoes!$H$5:$H$304="")+(Sancoes!$H$5:$H$304&gt;=H529))&gt;0))&gt;0,"SANÇÃO VIGENTE NA DATA — ler tipo e abrangência",""))</f>
        <v/>
      </c>
      <c r="S529" s="24"/>
      <c r="T529" s="11"/>
    </row>
    <row r="530" customFormat="false" ht="15" hidden="false" customHeight="false" outlineLevel="0" collapsed="false">
      <c r="A530" s="11"/>
      <c r="B530" s="24"/>
      <c r="C530" s="24"/>
      <c r="D530" s="31" t="str">
        <f aca="false">IF(C530="","",IF(LEN(UPPER(SUBSTITUTE(SUBSTITUTE(SUBSTITUTE(SUBSTITUTE(TRIM(C530),".",""),"/",""),"-","")," ","")))&lt;14,RIGHT(REPT("0",14)&amp;UPPER(SUBSTITUTE(SUBSTITUTE(SUBSTITUTE(SUBSTITUTE(TRIM(C530),".",""),"/",""),"-","")," ","")),14),UPPER(SUBSTITUTE(SUBSTITUTE(SUBSTITUTE(SUBSTITUTE(TRIM(C530),".",""),"/",""),"-","")," ",""))))</f>
        <v/>
      </c>
      <c r="E530" s="25" t="str">
        <f aca="false">IF(D530="","",IFERROR(INDEX(Empresas!$C:$C,MATCH(D530,Empresas!$B:$B,0)),"cadastre o CNPJ em Empresas"))</f>
        <v/>
      </c>
      <c r="F530" s="11"/>
      <c r="G530" s="23"/>
      <c r="H530" s="22"/>
      <c r="I530" s="35"/>
      <c r="J530" s="35"/>
      <c r="K530" s="36" t="str">
        <f aca="false">IF(I530="","",I530+J530)</f>
        <v/>
      </c>
      <c r="L530" s="37" t="str">
        <f aca="false">IF(OR(I530="",I530=0,J530=""),"",J530/I530)</f>
        <v/>
      </c>
      <c r="M530" s="25" t="str">
        <f aca="false">IF(L530="","",IF(L530&gt;0.25,"ACRÉSCIMO ACIMA DE 25% — conferir",""))</f>
        <v/>
      </c>
      <c r="N530" s="29" t="str">
        <f aca="false">IF(D530="","",IF(COUNTIFS(Empresas!$B:$B,D530,Empresas!$E:$E,"&lt;&gt;")=0,"",INDEX(Empresas!$E:$E,MATCH(D530,Empresas!$B:$B,0))))</f>
        <v/>
      </c>
      <c r="O530" s="27" t="str">
        <f aca="false">IF(OR(N530="",H530=""),"",H530-N530)</f>
        <v/>
      </c>
      <c r="P530" s="25" t="str">
        <f aca="false">IF(O530="","",IF(O530&lt;0,"CONTRATO ANTERIOR À ABERTURA — conferir datas",IF(O530&lt;180,"EMPRESA ABERTA MENOS DE 6 MESES ANTES","")))</f>
        <v/>
      </c>
      <c r="Q530" s="31" t="str">
        <f aca="false">IF(D530="","",IFERROR(INDEX(Sancoes!$D:$D,MATCH(D530,Sancoes!$C:$C,0)),"não consta"))</f>
        <v/>
      </c>
      <c r="R530" s="25" t="str">
        <f aca="false">IF(OR(D530="",H530=""),"",IF(SUMPRODUCT((Sancoes!$C$5:$C$304=D530)*(Sancoes!$G$5:$G$304&lt;=H530)*(((Sancoes!$H$5:$H$304="")+(Sancoes!$H$5:$H$304&gt;=H530))&gt;0))&gt;0,"SANÇÃO VIGENTE NA DATA — ler tipo e abrangência",""))</f>
        <v/>
      </c>
      <c r="S530" s="24"/>
      <c r="T530" s="11"/>
    </row>
    <row r="531" customFormat="false" ht="15" hidden="false" customHeight="false" outlineLevel="0" collapsed="false">
      <c r="A531" s="11"/>
      <c r="B531" s="24"/>
      <c r="C531" s="24"/>
      <c r="D531" s="31" t="str">
        <f aca="false">IF(C531="","",IF(LEN(UPPER(SUBSTITUTE(SUBSTITUTE(SUBSTITUTE(SUBSTITUTE(TRIM(C531),".",""),"/",""),"-","")," ","")))&lt;14,RIGHT(REPT("0",14)&amp;UPPER(SUBSTITUTE(SUBSTITUTE(SUBSTITUTE(SUBSTITUTE(TRIM(C531),".",""),"/",""),"-","")," ","")),14),UPPER(SUBSTITUTE(SUBSTITUTE(SUBSTITUTE(SUBSTITUTE(TRIM(C531),".",""),"/",""),"-","")," ",""))))</f>
        <v/>
      </c>
      <c r="E531" s="25" t="str">
        <f aca="false">IF(D531="","",IFERROR(INDEX(Empresas!$C:$C,MATCH(D531,Empresas!$B:$B,0)),"cadastre o CNPJ em Empresas"))</f>
        <v/>
      </c>
      <c r="F531" s="11"/>
      <c r="G531" s="23"/>
      <c r="H531" s="22"/>
      <c r="I531" s="35"/>
      <c r="J531" s="35"/>
      <c r="K531" s="36" t="str">
        <f aca="false">IF(I531="","",I531+J531)</f>
        <v/>
      </c>
      <c r="L531" s="37" t="str">
        <f aca="false">IF(OR(I531="",I531=0,J531=""),"",J531/I531)</f>
        <v/>
      </c>
      <c r="M531" s="25" t="str">
        <f aca="false">IF(L531="","",IF(L531&gt;0.25,"ACRÉSCIMO ACIMA DE 25% — conferir",""))</f>
        <v/>
      </c>
      <c r="N531" s="29" t="str">
        <f aca="false">IF(D531="","",IF(COUNTIFS(Empresas!$B:$B,D531,Empresas!$E:$E,"&lt;&gt;")=0,"",INDEX(Empresas!$E:$E,MATCH(D531,Empresas!$B:$B,0))))</f>
        <v/>
      </c>
      <c r="O531" s="27" t="str">
        <f aca="false">IF(OR(N531="",H531=""),"",H531-N531)</f>
        <v/>
      </c>
      <c r="P531" s="25" t="str">
        <f aca="false">IF(O531="","",IF(O531&lt;0,"CONTRATO ANTERIOR À ABERTURA — conferir datas",IF(O531&lt;180,"EMPRESA ABERTA MENOS DE 6 MESES ANTES","")))</f>
        <v/>
      </c>
      <c r="Q531" s="31" t="str">
        <f aca="false">IF(D531="","",IFERROR(INDEX(Sancoes!$D:$D,MATCH(D531,Sancoes!$C:$C,0)),"não consta"))</f>
        <v/>
      </c>
      <c r="R531" s="25" t="str">
        <f aca="false">IF(OR(D531="",H531=""),"",IF(SUMPRODUCT((Sancoes!$C$5:$C$304=D531)*(Sancoes!$G$5:$G$304&lt;=H531)*(((Sancoes!$H$5:$H$304="")+(Sancoes!$H$5:$H$304&gt;=H531))&gt;0))&gt;0,"SANÇÃO VIGENTE NA DATA — ler tipo e abrangência",""))</f>
        <v/>
      </c>
      <c r="S531" s="24"/>
      <c r="T531" s="11"/>
    </row>
    <row r="532" customFormat="false" ht="15" hidden="false" customHeight="false" outlineLevel="0" collapsed="false">
      <c r="A532" s="11"/>
      <c r="B532" s="24"/>
      <c r="C532" s="24"/>
      <c r="D532" s="31" t="str">
        <f aca="false">IF(C532="","",IF(LEN(UPPER(SUBSTITUTE(SUBSTITUTE(SUBSTITUTE(SUBSTITUTE(TRIM(C532),".",""),"/",""),"-","")," ","")))&lt;14,RIGHT(REPT("0",14)&amp;UPPER(SUBSTITUTE(SUBSTITUTE(SUBSTITUTE(SUBSTITUTE(TRIM(C532),".",""),"/",""),"-","")," ","")),14),UPPER(SUBSTITUTE(SUBSTITUTE(SUBSTITUTE(SUBSTITUTE(TRIM(C532),".",""),"/",""),"-","")," ",""))))</f>
        <v/>
      </c>
      <c r="E532" s="25" t="str">
        <f aca="false">IF(D532="","",IFERROR(INDEX(Empresas!$C:$C,MATCH(D532,Empresas!$B:$B,0)),"cadastre o CNPJ em Empresas"))</f>
        <v/>
      </c>
      <c r="F532" s="11"/>
      <c r="G532" s="23"/>
      <c r="H532" s="22"/>
      <c r="I532" s="35"/>
      <c r="J532" s="35"/>
      <c r="K532" s="36" t="str">
        <f aca="false">IF(I532="","",I532+J532)</f>
        <v/>
      </c>
      <c r="L532" s="37" t="str">
        <f aca="false">IF(OR(I532="",I532=0,J532=""),"",J532/I532)</f>
        <v/>
      </c>
      <c r="M532" s="25" t="str">
        <f aca="false">IF(L532="","",IF(L532&gt;0.25,"ACRÉSCIMO ACIMA DE 25% — conferir",""))</f>
        <v/>
      </c>
      <c r="N532" s="29" t="str">
        <f aca="false">IF(D532="","",IF(COUNTIFS(Empresas!$B:$B,D532,Empresas!$E:$E,"&lt;&gt;")=0,"",INDEX(Empresas!$E:$E,MATCH(D532,Empresas!$B:$B,0))))</f>
        <v/>
      </c>
      <c r="O532" s="27" t="str">
        <f aca="false">IF(OR(N532="",H532=""),"",H532-N532)</f>
        <v/>
      </c>
      <c r="P532" s="25" t="str">
        <f aca="false">IF(O532="","",IF(O532&lt;0,"CONTRATO ANTERIOR À ABERTURA — conferir datas",IF(O532&lt;180,"EMPRESA ABERTA MENOS DE 6 MESES ANTES","")))</f>
        <v/>
      </c>
      <c r="Q532" s="31" t="str">
        <f aca="false">IF(D532="","",IFERROR(INDEX(Sancoes!$D:$D,MATCH(D532,Sancoes!$C:$C,0)),"não consta"))</f>
        <v/>
      </c>
      <c r="R532" s="25" t="str">
        <f aca="false">IF(OR(D532="",H532=""),"",IF(SUMPRODUCT((Sancoes!$C$5:$C$304=D532)*(Sancoes!$G$5:$G$304&lt;=H532)*(((Sancoes!$H$5:$H$304="")+(Sancoes!$H$5:$H$304&gt;=H532))&gt;0))&gt;0,"SANÇÃO VIGENTE NA DATA — ler tipo e abrangência",""))</f>
        <v/>
      </c>
      <c r="S532" s="24"/>
      <c r="T532" s="11"/>
    </row>
    <row r="533" customFormat="false" ht="15" hidden="false" customHeight="false" outlineLevel="0" collapsed="false">
      <c r="A533" s="11"/>
      <c r="B533" s="24"/>
      <c r="C533" s="24"/>
      <c r="D533" s="31" t="str">
        <f aca="false">IF(C533="","",IF(LEN(UPPER(SUBSTITUTE(SUBSTITUTE(SUBSTITUTE(SUBSTITUTE(TRIM(C533),".",""),"/",""),"-","")," ","")))&lt;14,RIGHT(REPT("0",14)&amp;UPPER(SUBSTITUTE(SUBSTITUTE(SUBSTITUTE(SUBSTITUTE(TRIM(C533),".",""),"/",""),"-","")," ","")),14),UPPER(SUBSTITUTE(SUBSTITUTE(SUBSTITUTE(SUBSTITUTE(TRIM(C533),".",""),"/",""),"-","")," ",""))))</f>
        <v/>
      </c>
      <c r="E533" s="25" t="str">
        <f aca="false">IF(D533="","",IFERROR(INDEX(Empresas!$C:$C,MATCH(D533,Empresas!$B:$B,0)),"cadastre o CNPJ em Empresas"))</f>
        <v/>
      </c>
      <c r="F533" s="11"/>
      <c r="G533" s="23"/>
      <c r="H533" s="22"/>
      <c r="I533" s="35"/>
      <c r="J533" s="35"/>
      <c r="K533" s="36" t="str">
        <f aca="false">IF(I533="","",I533+J533)</f>
        <v/>
      </c>
      <c r="L533" s="37" t="str">
        <f aca="false">IF(OR(I533="",I533=0,J533=""),"",J533/I533)</f>
        <v/>
      </c>
      <c r="M533" s="25" t="str">
        <f aca="false">IF(L533="","",IF(L533&gt;0.25,"ACRÉSCIMO ACIMA DE 25% — conferir",""))</f>
        <v/>
      </c>
      <c r="N533" s="29" t="str">
        <f aca="false">IF(D533="","",IF(COUNTIFS(Empresas!$B:$B,D533,Empresas!$E:$E,"&lt;&gt;")=0,"",INDEX(Empresas!$E:$E,MATCH(D533,Empresas!$B:$B,0))))</f>
        <v/>
      </c>
      <c r="O533" s="27" t="str">
        <f aca="false">IF(OR(N533="",H533=""),"",H533-N533)</f>
        <v/>
      </c>
      <c r="P533" s="25" t="str">
        <f aca="false">IF(O533="","",IF(O533&lt;0,"CONTRATO ANTERIOR À ABERTURA — conferir datas",IF(O533&lt;180,"EMPRESA ABERTA MENOS DE 6 MESES ANTES","")))</f>
        <v/>
      </c>
      <c r="Q533" s="31" t="str">
        <f aca="false">IF(D533="","",IFERROR(INDEX(Sancoes!$D:$D,MATCH(D533,Sancoes!$C:$C,0)),"não consta"))</f>
        <v/>
      </c>
      <c r="R533" s="25" t="str">
        <f aca="false">IF(OR(D533="",H533=""),"",IF(SUMPRODUCT((Sancoes!$C$5:$C$304=D533)*(Sancoes!$G$5:$G$304&lt;=H533)*(((Sancoes!$H$5:$H$304="")+(Sancoes!$H$5:$H$304&gt;=H533))&gt;0))&gt;0,"SANÇÃO VIGENTE NA DATA — ler tipo e abrangência",""))</f>
        <v/>
      </c>
      <c r="S533" s="24"/>
      <c r="T533" s="11"/>
    </row>
    <row r="534" customFormat="false" ht="15" hidden="false" customHeight="false" outlineLevel="0" collapsed="false">
      <c r="A534" s="11"/>
      <c r="B534" s="24"/>
      <c r="C534" s="24"/>
      <c r="D534" s="31" t="str">
        <f aca="false">IF(C534="","",IF(LEN(UPPER(SUBSTITUTE(SUBSTITUTE(SUBSTITUTE(SUBSTITUTE(TRIM(C534),".",""),"/",""),"-","")," ","")))&lt;14,RIGHT(REPT("0",14)&amp;UPPER(SUBSTITUTE(SUBSTITUTE(SUBSTITUTE(SUBSTITUTE(TRIM(C534),".",""),"/",""),"-","")," ","")),14),UPPER(SUBSTITUTE(SUBSTITUTE(SUBSTITUTE(SUBSTITUTE(TRIM(C534),".",""),"/",""),"-","")," ",""))))</f>
        <v/>
      </c>
      <c r="E534" s="25" t="str">
        <f aca="false">IF(D534="","",IFERROR(INDEX(Empresas!$C:$C,MATCH(D534,Empresas!$B:$B,0)),"cadastre o CNPJ em Empresas"))</f>
        <v/>
      </c>
      <c r="F534" s="11"/>
      <c r="G534" s="23"/>
      <c r="H534" s="22"/>
      <c r="I534" s="35"/>
      <c r="J534" s="35"/>
      <c r="K534" s="36" t="str">
        <f aca="false">IF(I534="","",I534+J534)</f>
        <v/>
      </c>
      <c r="L534" s="37" t="str">
        <f aca="false">IF(OR(I534="",I534=0,J534=""),"",J534/I534)</f>
        <v/>
      </c>
      <c r="M534" s="25" t="str">
        <f aca="false">IF(L534="","",IF(L534&gt;0.25,"ACRÉSCIMO ACIMA DE 25% — conferir",""))</f>
        <v/>
      </c>
      <c r="N534" s="29" t="str">
        <f aca="false">IF(D534="","",IF(COUNTIFS(Empresas!$B:$B,D534,Empresas!$E:$E,"&lt;&gt;")=0,"",INDEX(Empresas!$E:$E,MATCH(D534,Empresas!$B:$B,0))))</f>
        <v/>
      </c>
      <c r="O534" s="27" t="str">
        <f aca="false">IF(OR(N534="",H534=""),"",H534-N534)</f>
        <v/>
      </c>
      <c r="P534" s="25" t="str">
        <f aca="false">IF(O534="","",IF(O534&lt;0,"CONTRATO ANTERIOR À ABERTURA — conferir datas",IF(O534&lt;180,"EMPRESA ABERTA MENOS DE 6 MESES ANTES","")))</f>
        <v/>
      </c>
      <c r="Q534" s="31" t="str">
        <f aca="false">IF(D534="","",IFERROR(INDEX(Sancoes!$D:$D,MATCH(D534,Sancoes!$C:$C,0)),"não consta"))</f>
        <v/>
      </c>
      <c r="R534" s="25" t="str">
        <f aca="false">IF(OR(D534="",H534=""),"",IF(SUMPRODUCT((Sancoes!$C$5:$C$304=D534)*(Sancoes!$G$5:$G$304&lt;=H534)*(((Sancoes!$H$5:$H$304="")+(Sancoes!$H$5:$H$304&gt;=H534))&gt;0))&gt;0,"SANÇÃO VIGENTE NA DATA — ler tipo e abrangência",""))</f>
        <v/>
      </c>
      <c r="S534" s="24"/>
      <c r="T534" s="11"/>
    </row>
    <row r="535" customFormat="false" ht="15" hidden="false" customHeight="false" outlineLevel="0" collapsed="false">
      <c r="A535" s="11"/>
      <c r="B535" s="24"/>
      <c r="C535" s="24"/>
      <c r="D535" s="31" t="str">
        <f aca="false">IF(C535="","",IF(LEN(UPPER(SUBSTITUTE(SUBSTITUTE(SUBSTITUTE(SUBSTITUTE(TRIM(C535),".",""),"/",""),"-","")," ","")))&lt;14,RIGHT(REPT("0",14)&amp;UPPER(SUBSTITUTE(SUBSTITUTE(SUBSTITUTE(SUBSTITUTE(TRIM(C535),".",""),"/",""),"-","")," ","")),14),UPPER(SUBSTITUTE(SUBSTITUTE(SUBSTITUTE(SUBSTITUTE(TRIM(C535),".",""),"/",""),"-","")," ",""))))</f>
        <v/>
      </c>
      <c r="E535" s="25" t="str">
        <f aca="false">IF(D535="","",IFERROR(INDEX(Empresas!$C:$C,MATCH(D535,Empresas!$B:$B,0)),"cadastre o CNPJ em Empresas"))</f>
        <v/>
      </c>
      <c r="F535" s="11"/>
      <c r="G535" s="23"/>
      <c r="H535" s="22"/>
      <c r="I535" s="35"/>
      <c r="J535" s="35"/>
      <c r="K535" s="36" t="str">
        <f aca="false">IF(I535="","",I535+J535)</f>
        <v/>
      </c>
      <c r="L535" s="37" t="str">
        <f aca="false">IF(OR(I535="",I535=0,J535=""),"",J535/I535)</f>
        <v/>
      </c>
      <c r="M535" s="25" t="str">
        <f aca="false">IF(L535="","",IF(L535&gt;0.25,"ACRÉSCIMO ACIMA DE 25% — conferir",""))</f>
        <v/>
      </c>
      <c r="N535" s="29" t="str">
        <f aca="false">IF(D535="","",IF(COUNTIFS(Empresas!$B:$B,D535,Empresas!$E:$E,"&lt;&gt;")=0,"",INDEX(Empresas!$E:$E,MATCH(D535,Empresas!$B:$B,0))))</f>
        <v/>
      </c>
      <c r="O535" s="27" t="str">
        <f aca="false">IF(OR(N535="",H535=""),"",H535-N535)</f>
        <v/>
      </c>
      <c r="P535" s="25" t="str">
        <f aca="false">IF(O535="","",IF(O535&lt;0,"CONTRATO ANTERIOR À ABERTURA — conferir datas",IF(O535&lt;180,"EMPRESA ABERTA MENOS DE 6 MESES ANTES","")))</f>
        <v/>
      </c>
      <c r="Q535" s="31" t="str">
        <f aca="false">IF(D535="","",IFERROR(INDEX(Sancoes!$D:$D,MATCH(D535,Sancoes!$C:$C,0)),"não consta"))</f>
        <v/>
      </c>
      <c r="R535" s="25" t="str">
        <f aca="false">IF(OR(D535="",H535=""),"",IF(SUMPRODUCT((Sancoes!$C$5:$C$304=D535)*(Sancoes!$G$5:$G$304&lt;=H535)*(((Sancoes!$H$5:$H$304="")+(Sancoes!$H$5:$H$304&gt;=H535))&gt;0))&gt;0,"SANÇÃO VIGENTE NA DATA — ler tipo e abrangência",""))</f>
        <v/>
      </c>
      <c r="S535" s="24"/>
      <c r="T535" s="11"/>
    </row>
    <row r="536" customFormat="false" ht="15" hidden="false" customHeight="false" outlineLevel="0" collapsed="false">
      <c r="A536" s="11"/>
      <c r="B536" s="24"/>
      <c r="C536" s="24"/>
      <c r="D536" s="31" t="str">
        <f aca="false">IF(C536="","",IF(LEN(UPPER(SUBSTITUTE(SUBSTITUTE(SUBSTITUTE(SUBSTITUTE(TRIM(C536),".",""),"/",""),"-","")," ","")))&lt;14,RIGHT(REPT("0",14)&amp;UPPER(SUBSTITUTE(SUBSTITUTE(SUBSTITUTE(SUBSTITUTE(TRIM(C536),".",""),"/",""),"-","")," ","")),14),UPPER(SUBSTITUTE(SUBSTITUTE(SUBSTITUTE(SUBSTITUTE(TRIM(C536),".",""),"/",""),"-","")," ",""))))</f>
        <v/>
      </c>
      <c r="E536" s="25" t="str">
        <f aca="false">IF(D536="","",IFERROR(INDEX(Empresas!$C:$C,MATCH(D536,Empresas!$B:$B,0)),"cadastre o CNPJ em Empresas"))</f>
        <v/>
      </c>
      <c r="F536" s="11"/>
      <c r="G536" s="23"/>
      <c r="H536" s="22"/>
      <c r="I536" s="35"/>
      <c r="J536" s="35"/>
      <c r="K536" s="36" t="str">
        <f aca="false">IF(I536="","",I536+J536)</f>
        <v/>
      </c>
      <c r="L536" s="37" t="str">
        <f aca="false">IF(OR(I536="",I536=0,J536=""),"",J536/I536)</f>
        <v/>
      </c>
      <c r="M536" s="25" t="str">
        <f aca="false">IF(L536="","",IF(L536&gt;0.25,"ACRÉSCIMO ACIMA DE 25% — conferir",""))</f>
        <v/>
      </c>
      <c r="N536" s="29" t="str">
        <f aca="false">IF(D536="","",IF(COUNTIFS(Empresas!$B:$B,D536,Empresas!$E:$E,"&lt;&gt;")=0,"",INDEX(Empresas!$E:$E,MATCH(D536,Empresas!$B:$B,0))))</f>
        <v/>
      </c>
      <c r="O536" s="27" t="str">
        <f aca="false">IF(OR(N536="",H536=""),"",H536-N536)</f>
        <v/>
      </c>
      <c r="P536" s="25" t="str">
        <f aca="false">IF(O536="","",IF(O536&lt;0,"CONTRATO ANTERIOR À ABERTURA — conferir datas",IF(O536&lt;180,"EMPRESA ABERTA MENOS DE 6 MESES ANTES","")))</f>
        <v/>
      </c>
      <c r="Q536" s="31" t="str">
        <f aca="false">IF(D536="","",IFERROR(INDEX(Sancoes!$D:$D,MATCH(D536,Sancoes!$C:$C,0)),"não consta"))</f>
        <v/>
      </c>
      <c r="R536" s="25" t="str">
        <f aca="false">IF(OR(D536="",H536=""),"",IF(SUMPRODUCT((Sancoes!$C$5:$C$304=D536)*(Sancoes!$G$5:$G$304&lt;=H536)*(((Sancoes!$H$5:$H$304="")+(Sancoes!$H$5:$H$304&gt;=H536))&gt;0))&gt;0,"SANÇÃO VIGENTE NA DATA — ler tipo e abrangência",""))</f>
        <v/>
      </c>
      <c r="S536" s="24"/>
      <c r="T536" s="11"/>
    </row>
    <row r="537" customFormat="false" ht="15" hidden="false" customHeight="false" outlineLevel="0" collapsed="false">
      <c r="A537" s="11"/>
      <c r="B537" s="24"/>
      <c r="C537" s="24"/>
      <c r="D537" s="31" t="str">
        <f aca="false">IF(C537="","",IF(LEN(UPPER(SUBSTITUTE(SUBSTITUTE(SUBSTITUTE(SUBSTITUTE(TRIM(C537),".",""),"/",""),"-","")," ","")))&lt;14,RIGHT(REPT("0",14)&amp;UPPER(SUBSTITUTE(SUBSTITUTE(SUBSTITUTE(SUBSTITUTE(TRIM(C537),".",""),"/",""),"-","")," ","")),14),UPPER(SUBSTITUTE(SUBSTITUTE(SUBSTITUTE(SUBSTITUTE(TRIM(C537),".",""),"/",""),"-","")," ",""))))</f>
        <v/>
      </c>
      <c r="E537" s="25" t="str">
        <f aca="false">IF(D537="","",IFERROR(INDEX(Empresas!$C:$C,MATCH(D537,Empresas!$B:$B,0)),"cadastre o CNPJ em Empresas"))</f>
        <v/>
      </c>
      <c r="F537" s="11"/>
      <c r="G537" s="23"/>
      <c r="H537" s="22"/>
      <c r="I537" s="35"/>
      <c r="J537" s="35"/>
      <c r="K537" s="36" t="str">
        <f aca="false">IF(I537="","",I537+J537)</f>
        <v/>
      </c>
      <c r="L537" s="37" t="str">
        <f aca="false">IF(OR(I537="",I537=0,J537=""),"",J537/I537)</f>
        <v/>
      </c>
      <c r="M537" s="25" t="str">
        <f aca="false">IF(L537="","",IF(L537&gt;0.25,"ACRÉSCIMO ACIMA DE 25% — conferir",""))</f>
        <v/>
      </c>
      <c r="N537" s="29" t="str">
        <f aca="false">IF(D537="","",IF(COUNTIFS(Empresas!$B:$B,D537,Empresas!$E:$E,"&lt;&gt;")=0,"",INDEX(Empresas!$E:$E,MATCH(D537,Empresas!$B:$B,0))))</f>
        <v/>
      </c>
      <c r="O537" s="27" t="str">
        <f aca="false">IF(OR(N537="",H537=""),"",H537-N537)</f>
        <v/>
      </c>
      <c r="P537" s="25" t="str">
        <f aca="false">IF(O537="","",IF(O537&lt;0,"CONTRATO ANTERIOR À ABERTURA — conferir datas",IF(O537&lt;180,"EMPRESA ABERTA MENOS DE 6 MESES ANTES","")))</f>
        <v/>
      </c>
      <c r="Q537" s="31" t="str">
        <f aca="false">IF(D537="","",IFERROR(INDEX(Sancoes!$D:$D,MATCH(D537,Sancoes!$C:$C,0)),"não consta"))</f>
        <v/>
      </c>
      <c r="R537" s="25" t="str">
        <f aca="false">IF(OR(D537="",H537=""),"",IF(SUMPRODUCT((Sancoes!$C$5:$C$304=D537)*(Sancoes!$G$5:$G$304&lt;=H537)*(((Sancoes!$H$5:$H$304="")+(Sancoes!$H$5:$H$304&gt;=H537))&gt;0))&gt;0,"SANÇÃO VIGENTE NA DATA — ler tipo e abrangência",""))</f>
        <v/>
      </c>
      <c r="S537" s="24"/>
      <c r="T537" s="11"/>
    </row>
    <row r="538" customFormat="false" ht="15" hidden="false" customHeight="false" outlineLevel="0" collapsed="false">
      <c r="A538" s="11"/>
      <c r="B538" s="24"/>
      <c r="C538" s="24"/>
      <c r="D538" s="31" t="str">
        <f aca="false">IF(C538="","",IF(LEN(UPPER(SUBSTITUTE(SUBSTITUTE(SUBSTITUTE(SUBSTITUTE(TRIM(C538),".",""),"/",""),"-","")," ","")))&lt;14,RIGHT(REPT("0",14)&amp;UPPER(SUBSTITUTE(SUBSTITUTE(SUBSTITUTE(SUBSTITUTE(TRIM(C538),".",""),"/",""),"-","")," ","")),14),UPPER(SUBSTITUTE(SUBSTITUTE(SUBSTITUTE(SUBSTITUTE(TRIM(C538),".",""),"/",""),"-","")," ",""))))</f>
        <v/>
      </c>
      <c r="E538" s="25" t="str">
        <f aca="false">IF(D538="","",IFERROR(INDEX(Empresas!$C:$C,MATCH(D538,Empresas!$B:$B,0)),"cadastre o CNPJ em Empresas"))</f>
        <v/>
      </c>
      <c r="F538" s="11"/>
      <c r="G538" s="23"/>
      <c r="H538" s="22"/>
      <c r="I538" s="35"/>
      <c r="J538" s="35"/>
      <c r="K538" s="36" t="str">
        <f aca="false">IF(I538="","",I538+J538)</f>
        <v/>
      </c>
      <c r="L538" s="37" t="str">
        <f aca="false">IF(OR(I538="",I538=0,J538=""),"",J538/I538)</f>
        <v/>
      </c>
      <c r="M538" s="25" t="str">
        <f aca="false">IF(L538="","",IF(L538&gt;0.25,"ACRÉSCIMO ACIMA DE 25% — conferir",""))</f>
        <v/>
      </c>
      <c r="N538" s="29" t="str">
        <f aca="false">IF(D538="","",IF(COUNTIFS(Empresas!$B:$B,D538,Empresas!$E:$E,"&lt;&gt;")=0,"",INDEX(Empresas!$E:$E,MATCH(D538,Empresas!$B:$B,0))))</f>
        <v/>
      </c>
      <c r="O538" s="27" t="str">
        <f aca="false">IF(OR(N538="",H538=""),"",H538-N538)</f>
        <v/>
      </c>
      <c r="P538" s="25" t="str">
        <f aca="false">IF(O538="","",IF(O538&lt;0,"CONTRATO ANTERIOR À ABERTURA — conferir datas",IF(O538&lt;180,"EMPRESA ABERTA MENOS DE 6 MESES ANTES","")))</f>
        <v/>
      </c>
      <c r="Q538" s="31" t="str">
        <f aca="false">IF(D538="","",IFERROR(INDEX(Sancoes!$D:$D,MATCH(D538,Sancoes!$C:$C,0)),"não consta"))</f>
        <v/>
      </c>
      <c r="R538" s="25" t="str">
        <f aca="false">IF(OR(D538="",H538=""),"",IF(SUMPRODUCT((Sancoes!$C$5:$C$304=D538)*(Sancoes!$G$5:$G$304&lt;=H538)*(((Sancoes!$H$5:$H$304="")+(Sancoes!$H$5:$H$304&gt;=H538))&gt;0))&gt;0,"SANÇÃO VIGENTE NA DATA — ler tipo e abrangência",""))</f>
        <v/>
      </c>
      <c r="S538" s="24"/>
      <c r="T538" s="11"/>
    </row>
    <row r="539" customFormat="false" ht="15" hidden="false" customHeight="false" outlineLevel="0" collapsed="false">
      <c r="A539" s="11"/>
      <c r="B539" s="24"/>
      <c r="C539" s="24"/>
      <c r="D539" s="31" t="str">
        <f aca="false">IF(C539="","",IF(LEN(UPPER(SUBSTITUTE(SUBSTITUTE(SUBSTITUTE(SUBSTITUTE(TRIM(C539),".",""),"/",""),"-","")," ","")))&lt;14,RIGHT(REPT("0",14)&amp;UPPER(SUBSTITUTE(SUBSTITUTE(SUBSTITUTE(SUBSTITUTE(TRIM(C539),".",""),"/",""),"-","")," ","")),14),UPPER(SUBSTITUTE(SUBSTITUTE(SUBSTITUTE(SUBSTITUTE(TRIM(C539),".",""),"/",""),"-","")," ",""))))</f>
        <v/>
      </c>
      <c r="E539" s="25" t="str">
        <f aca="false">IF(D539="","",IFERROR(INDEX(Empresas!$C:$C,MATCH(D539,Empresas!$B:$B,0)),"cadastre o CNPJ em Empresas"))</f>
        <v/>
      </c>
      <c r="F539" s="11"/>
      <c r="G539" s="23"/>
      <c r="H539" s="22"/>
      <c r="I539" s="35"/>
      <c r="J539" s="35"/>
      <c r="K539" s="36" t="str">
        <f aca="false">IF(I539="","",I539+J539)</f>
        <v/>
      </c>
      <c r="L539" s="37" t="str">
        <f aca="false">IF(OR(I539="",I539=0,J539=""),"",J539/I539)</f>
        <v/>
      </c>
      <c r="M539" s="25" t="str">
        <f aca="false">IF(L539="","",IF(L539&gt;0.25,"ACRÉSCIMO ACIMA DE 25% — conferir",""))</f>
        <v/>
      </c>
      <c r="N539" s="29" t="str">
        <f aca="false">IF(D539="","",IF(COUNTIFS(Empresas!$B:$B,D539,Empresas!$E:$E,"&lt;&gt;")=0,"",INDEX(Empresas!$E:$E,MATCH(D539,Empresas!$B:$B,0))))</f>
        <v/>
      </c>
      <c r="O539" s="27" t="str">
        <f aca="false">IF(OR(N539="",H539=""),"",H539-N539)</f>
        <v/>
      </c>
      <c r="P539" s="25" t="str">
        <f aca="false">IF(O539="","",IF(O539&lt;0,"CONTRATO ANTERIOR À ABERTURA — conferir datas",IF(O539&lt;180,"EMPRESA ABERTA MENOS DE 6 MESES ANTES","")))</f>
        <v/>
      </c>
      <c r="Q539" s="31" t="str">
        <f aca="false">IF(D539="","",IFERROR(INDEX(Sancoes!$D:$D,MATCH(D539,Sancoes!$C:$C,0)),"não consta"))</f>
        <v/>
      </c>
      <c r="R539" s="25" t="str">
        <f aca="false">IF(OR(D539="",H539=""),"",IF(SUMPRODUCT((Sancoes!$C$5:$C$304=D539)*(Sancoes!$G$5:$G$304&lt;=H539)*(((Sancoes!$H$5:$H$304="")+(Sancoes!$H$5:$H$304&gt;=H539))&gt;0))&gt;0,"SANÇÃO VIGENTE NA DATA — ler tipo e abrangência",""))</f>
        <v/>
      </c>
      <c r="S539" s="24"/>
      <c r="T539" s="11"/>
    </row>
    <row r="540" customFormat="false" ht="15" hidden="false" customHeight="false" outlineLevel="0" collapsed="false">
      <c r="A540" s="11"/>
      <c r="B540" s="24"/>
      <c r="C540" s="24"/>
      <c r="D540" s="31" t="str">
        <f aca="false">IF(C540="","",IF(LEN(UPPER(SUBSTITUTE(SUBSTITUTE(SUBSTITUTE(SUBSTITUTE(TRIM(C540),".",""),"/",""),"-","")," ","")))&lt;14,RIGHT(REPT("0",14)&amp;UPPER(SUBSTITUTE(SUBSTITUTE(SUBSTITUTE(SUBSTITUTE(TRIM(C540),".",""),"/",""),"-","")," ","")),14),UPPER(SUBSTITUTE(SUBSTITUTE(SUBSTITUTE(SUBSTITUTE(TRIM(C540),".",""),"/",""),"-","")," ",""))))</f>
        <v/>
      </c>
      <c r="E540" s="25" t="str">
        <f aca="false">IF(D540="","",IFERROR(INDEX(Empresas!$C:$C,MATCH(D540,Empresas!$B:$B,0)),"cadastre o CNPJ em Empresas"))</f>
        <v/>
      </c>
      <c r="F540" s="11"/>
      <c r="G540" s="23"/>
      <c r="H540" s="22"/>
      <c r="I540" s="35"/>
      <c r="J540" s="35"/>
      <c r="K540" s="36" t="str">
        <f aca="false">IF(I540="","",I540+J540)</f>
        <v/>
      </c>
      <c r="L540" s="37" t="str">
        <f aca="false">IF(OR(I540="",I540=0,J540=""),"",J540/I540)</f>
        <v/>
      </c>
      <c r="M540" s="25" t="str">
        <f aca="false">IF(L540="","",IF(L540&gt;0.25,"ACRÉSCIMO ACIMA DE 25% — conferir",""))</f>
        <v/>
      </c>
      <c r="N540" s="29" t="str">
        <f aca="false">IF(D540="","",IF(COUNTIFS(Empresas!$B:$B,D540,Empresas!$E:$E,"&lt;&gt;")=0,"",INDEX(Empresas!$E:$E,MATCH(D540,Empresas!$B:$B,0))))</f>
        <v/>
      </c>
      <c r="O540" s="27" t="str">
        <f aca="false">IF(OR(N540="",H540=""),"",H540-N540)</f>
        <v/>
      </c>
      <c r="P540" s="25" t="str">
        <f aca="false">IF(O540="","",IF(O540&lt;0,"CONTRATO ANTERIOR À ABERTURA — conferir datas",IF(O540&lt;180,"EMPRESA ABERTA MENOS DE 6 MESES ANTES","")))</f>
        <v/>
      </c>
      <c r="Q540" s="31" t="str">
        <f aca="false">IF(D540="","",IFERROR(INDEX(Sancoes!$D:$D,MATCH(D540,Sancoes!$C:$C,0)),"não consta"))</f>
        <v/>
      </c>
      <c r="R540" s="25" t="str">
        <f aca="false">IF(OR(D540="",H540=""),"",IF(SUMPRODUCT((Sancoes!$C$5:$C$304=D540)*(Sancoes!$G$5:$G$304&lt;=H540)*(((Sancoes!$H$5:$H$304="")+(Sancoes!$H$5:$H$304&gt;=H540))&gt;0))&gt;0,"SANÇÃO VIGENTE NA DATA — ler tipo e abrangência",""))</f>
        <v/>
      </c>
      <c r="S540" s="24"/>
      <c r="T540" s="11"/>
    </row>
    <row r="541" customFormat="false" ht="15" hidden="false" customHeight="false" outlineLevel="0" collapsed="false">
      <c r="A541" s="11"/>
      <c r="B541" s="24"/>
      <c r="C541" s="24"/>
      <c r="D541" s="31" t="str">
        <f aca="false">IF(C541="","",IF(LEN(UPPER(SUBSTITUTE(SUBSTITUTE(SUBSTITUTE(SUBSTITUTE(TRIM(C541),".",""),"/",""),"-","")," ","")))&lt;14,RIGHT(REPT("0",14)&amp;UPPER(SUBSTITUTE(SUBSTITUTE(SUBSTITUTE(SUBSTITUTE(TRIM(C541),".",""),"/",""),"-","")," ","")),14),UPPER(SUBSTITUTE(SUBSTITUTE(SUBSTITUTE(SUBSTITUTE(TRIM(C541),".",""),"/",""),"-","")," ",""))))</f>
        <v/>
      </c>
      <c r="E541" s="25" t="str">
        <f aca="false">IF(D541="","",IFERROR(INDEX(Empresas!$C:$C,MATCH(D541,Empresas!$B:$B,0)),"cadastre o CNPJ em Empresas"))</f>
        <v/>
      </c>
      <c r="F541" s="11"/>
      <c r="G541" s="23"/>
      <c r="H541" s="22"/>
      <c r="I541" s="35"/>
      <c r="J541" s="35"/>
      <c r="K541" s="36" t="str">
        <f aca="false">IF(I541="","",I541+J541)</f>
        <v/>
      </c>
      <c r="L541" s="37" t="str">
        <f aca="false">IF(OR(I541="",I541=0,J541=""),"",J541/I541)</f>
        <v/>
      </c>
      <c r="M541" s="25" t="str">
        <f aca="false">IF(L541="","",IF(L541&gt;0.25,"ACRÉSCIMO ACIMA DE 25% — conferir",""))</f>
        <v/>
      </c>
      <c r="N541" s="29" t="str">
        <f aca="false">IF(D541="","",IF(COUNTIFS(Empresas!$B:$B,D541,Empresas!$E:$E,"&lt;&gt;")=0,"",INDEX(Empresas!$E:$E,MATCH(D541,Empresas!$B:$B,0))))</f>
        <v/>
      </c>
      <c r="O541" s="27" t="str">
        <f aca="false">IF(OR(N541="",H541=""),"",H541-N541)</f>
        <v/>
      </c>
      <c r="P541" s="25" t="str">
        <f aca="false">IF(O541="","",IF(O541&lt;0,"CONTRATO ANTERIOR À ABERTURA — conferir datas",IF(O541&lt;180,"EMPRESA ABERTA MENOS DE 6 MESES ANTES","")))</f>
        <v/>
      </c>
      <c r="Q541" s="31" t="str">
        <f aca="false">IF(D541="","",IFERROR(INDEX(Sancoes!$D:$D,MATCH(D541,Sancoes!$C:$C,0)),"não consta"))</f>
        <v/>
      </c>
      <c r="R541" s="25" t="str">
        <f aca="false">IF(OR(D541="",H541=""),"",IF(SUMPRODUCT((Sancoes!$C$5:$C$304=D541)*(Sancoes!$G$5:$G$304&lt;=H541)*(((Sancoes!$H$5:$H$304="")+(Sancoes!$H$5:$H$304&gt;=H541))&gt;0))&gt;0,"SANÇÃO VIGENTE NA DATA — ler tipo e abrangência",""))</f>
        <v/>
      </c>
      <c r="S541" s="24"/>
      <c r="T541" s="11"/>
    </row>
    <row r="542" customFormat="false" ht="15" hidden="false" customHeight="false" outlineLevel="0" collapsed="false">
      <c r="A542" s="11"/>
      <c r="B542" s="24"/>
      <c r="C542" s="24"/>
      <c r="D542" s="31" t="str">
        <f aca="false">IF(C542="","",IF(LEN(UPPER(SUBSTITUTE(SUBSTITUTE(SUBSTITUTE(SUBSTITUTE(TRIM(C542),".",""),"/",""),"-","")," ","")))&lt;14,RIGHT(REPT("0",14)&amp;UPPER(SUBSTITUTE(SUBSTITUTE(SUBSTITUTE(SUBSTITUTE(TRIM(C542),".",""),"/",""),"-","")," ","")),14),UPPER(SUBSTITUTE(SUBSTITUTE(SUBSTITUTE(SUBSTITUTE(TRIM(C542),".",""),"/",""),"-","")," ",""))))</f>
        <v/>
      </c>
      <c r="E542" s="25" t="str">
        <f aca="false">IF(D542="","",IFERROR(INDEX(Empresas!$C:$C,MATCH(D542,Empresas!$B:$B,0)),"cadastre o CNPJ em Empresas"))</f>
        <v/>
      </c>
      <c r="F542" s="11"/>
      <c r="G542" s="23"/>
      <c r="H542" s="22"/>
      <c r="I542" s="35"/>
      <c r="J542" s="35"/>
      <c r="K542" s="36" t="str">
        <f aca="false">IF(I542="","",I542+J542)</f>
        <v/>
      </c>
      <c r="L542" s="37" t="str">
        <f aca="false">IF(OR(I542="",I542=0,J542=""),"",J542/I542)</f>
        <v/>
      </c>
      <c r="M542" s="25" t="str">
        <f aca="false">IF(L542="","",IF(L542&gt;0.25,"ACRÉSCIMO ACIMA DE 25% — conferir",""))</f>
        <v/>
      </c>
      <c r="N542" s="29" t="str">
        <f aca="false">IF(D542="","",IF(COUNTIFS(Empresas!$B:$B,D542,Empresas!$E:$E,"&lt;&gt;")=0,"",INDEX(Empresas!$E:$E,MATCH(D542,Empresas!$B:$B,0))))</f>
        <v/>
      </c>
      <c r="O542" s="27" t="str">
        <f aca="false">IF(OR(N542="",H542=""),"",H542-N542)</f>
        <v/>
      </c>
      <c r="P542" s="25" t="str">
        <f aca="false">IF(O542="","",IF(O542&lt;0,"CONTRATO ANTERIOR À ABERTURA — conferir datas",IF(O542&lt;180,"EMPRESA ABERTA MENOS DE 6 MESES ANTES","")))</f>
        <v/>
      </c>
      <c r="Q542" s="31" t="str">
        <f aca="false">IF(D542="","",IFERROR(INDEX(Sancoes!$D:$D,MATCH(D542,Sancoes!$C:$C,0)),"não consta"))</f>
        <v/>
      </c>
      <c r="R542" s="25" t="str">
        <f aca="false">IF(OR(D542="",H542=""),"",IF(SUMPRODUCT((Sancoes!$C$5:$C$304=D542)*(Sancoes!$G$5:$G$304&lt;=H542)*(((Sancoes!$H$5:$H$304="")+(Sancoes!$H$5:$H$304&gt;=H542))&gt;0))&gt;0,"SANÇÃO VIGENTE NA DATA — ler tipo e abrangência",""))</f>
        <v/>
      </c>
      <c r="S542" s="24"/>
      <c r="T542" s="11"/>
    </row>
    <row r="543" customFormat="false" ht="15" hidden="false" customHeight="false" outlineLevel="0" collapsed="false">
      <c r="A543" s="11"/>
      <c r="B543" s="24"/>
      <c r="C543" s="24"/>
      <c r="D543" s="31" t="str">
        <f aca="false">IF(C543="","",IF(LEN(UPPER(SUBSTITUTE(SUBSTITUTE(SUBSTITUTE(SUBSTITUTE(TRIM(C543),".",""),"/",""),"-","")," ","")))&lt;14,RIGHT(REPT("0",14)&amp;UPPER(SUBSTITUTE(SUBSTITUTE(SUBSTITUTE(SUBSTITUTE(TRIM(C543),".",""),"/",""),"-","")," ","")),14),UPPER(SUBSTITUTE(SUBSTITUTE(SUBSTITUTE(SUBSTITUTE(TRIM(C543),".",""),"/",""),"-","")," ",""))))</f>
        <v/>
      </c>
      <c r="E543" s="25" t="str">
        <f aca="false">IF(D543="","",IFERROR(INDEX(Empresas!$C:$C,MATCH(D543,Empresas!$B:$B,0)),"cadastre o CNPJ em Empresas"))</f>
        <v/>
      </c>
      <c r="F543" s="11"/>
      <c r="G543" s="23"/>
      <c r="H543" s="22"/>
      <c r="I543" s="35"/>
      <c r="J543" s="35"/>
      <c r="K543" s="36" t="str">
        <f aca="false">IF(I543="","",I543+J543)</f>
        <v/>
      </c>
      <c r="L543" s="37" t="str">
        <f aca="false">IF(OR(I543="",I543=0,J543=""),"",J543/I543)</f>
        <v/>
      </c>
      <c r="M543" s="25" t="str">
        <f aca="false">IF(L543="","",IF(L543&gt;0.25,"ACRÉSCIMO ACIMA DE 25% — conferir",""))</f>
        <v/>
      </c>
      <c r="N543" s="29" t="str">
        <f aca="false">IF(D543="","",IF(COUNTIFS(Empresas!$B:$B,D543,Empresas!$E:$E,"&lt;&gt;")=0,"",INDEX(Empresas!$E:$E,MATCH(D543,Empresas!$B:$B,0))))</f>
        <v/>
      </c>
      <c r="O543" s="27" t="str">
        <f aca="false">IF(OR(N543="",H543=""),"",H543-N543)</f>
        <v/>
      </c>
      <c r="P543" s="25" t="str">
        <f aca="false">IF(O543="","",IF(O543&lt;0,"CONTRATO ANTERIOR À ABERTURA — conferir datas",IF(O543&lt;180,"EMPRESA ABERTA MENOS DE 6 MESES ANTES","")))</f>
        <v/>
      </c>
      <c r="Q543" s="31" t="str">
        <f aca="false">IF(D543="","",IFERROR(INDEX(Sancoes!$D:$D,MATCH(D543,Sancoes!$C:$C,0)),"não consta"))</f>
        <v/>
      </c>
      <c r="R543" s="25" t="str">
        <f aca="false">IF(OR(D543="",H543=""),"",IF(SUMPRODUCT((Sancoes!$C$5:$C$304=D543)*(Sancoes!$G$5:$G$304&lt;=H543)*(((Sancoes!$H$5:$H$304="")+(Sancoes!$H$5:$H$304&gt;=H543))&gt;0))&gt;0,"SANÇÃO VIGENTE NA DATA — ler tipo e abrangência",""))</f>
        <v/>
      </c>
      <c r="S543" s="24"/>
      <c r="T543" s="11"/>
    </row>
    <row r="544" customFormat="false" ht="15" hidden="false" customHeight="false" outlineLevel="0" collapsed="false">
      <c r="A544" s="11"/>
      <c r="B544" s="24"/>
      <c r="C544" s="24"/>
      <c r="D544" s="31" t="str">
        <f aca="false">IF(C544="","",IF(LEN(UPPER(SUBSTITUTE(SUBSTITUTE(SUBSTITUTE(SUBSTITUTE(TRIM(C544),".",""),"/",""),"-","")," ","")))&lt;14,RIGHT(REPT("0",14)&amp;UPPER(SUBSTITUTE(SUBSTITUTE(SUBSTITUTE(SUBSTITUTE(TRIM(C544),".",""),"/",""),"-","")," ","")),14),UPPER(SUBSTITUTE(SUBSTITUTE(SUBSTITUTE(SUBSTITUTE(TRIM(C544),".",""),"/",""),"-","")," ",""))))</f>
        <v/>
      </c>
      <c r="E544" s="25" t="str">
        <f aca="false">IF(D544="","",IFERROR(INDEX(Empresas!$C:$C,MATCH(D544,Empresas!$B:$B,0)),"cadastre o CNPJ em Empresas"))</f>
        <v/>
      </c>
      <c r="F544" s="11"/>
      <c r="G544" s="23"/>
      <c r="H544" s="22"/>
      <c r="I544" s="35"/>
      <c r="J544" s="35"/>
      <c r="K544" s="36" t="str">
        <f aca="false">IF(I544="","",I544+J544)</f>
        <v/>
      </c>
      <c r="L544" s="37" t="str">
        <f aca="false">IF(OR(I544="",I544=0,J544=""),"",J544/I544)</f>
        <v/>
      </c>
      <c r="M544" s="25" t="str">
        <f aca="false">IF(L544="","",IF(L544&gt;0.25,"ACRÉSCIMO ACIMA DE 25% — conferir",""))</f>
        <v/>
      </c>
      <c r="N544" s="29" t="str">
        <f aca="false">IF(D544="","",IF(COUNTIFS(Empresas!$B:$B,D544,Empresas!$E:$E,"&lt;&gt;")=0,"",INDEX(Empresas!$E:$E,MATCH(D544,Empresas!$B:$B,0))))</f>
        <v/>
      </c>
      <c r="O544" s="27" t="str">
        <f aca="false">IF(OR(N544="",H544=""),"",H544-N544)</f>
        <v/>
      </c>
      <c r="P544" s="25" t="str">
        <f aca="false">IF(O544="","",IF(O544&lt;0,"CONTRATO ANTERIOR À ABERTURA — conferir datas",IF(O544&lt;180,"EMPRESA ABERTA MENOS DE 6 MESES ANTES","")))</f>
        <v/>
      </c>
      <c r="Q544" s="31" t="str">
        <f aca="false">IF(D544="","",IFERROR(INDEX(Sancoes!$D:$D,MATCH(D544,Sancoes!$C:$C,0)),"não consta"))</f>
        <v/>
      </c>
      <c r="R544" s="25" t="str">
        <f aca="false">IF(OR(D544="",H544=""),"",IF(SUMPRODUCT((Sancoes!$C$5:$C$304=D544)*(Sancoes!$G$5:$G$304&lt;=H544)*(((Sancoes!$H$5:$H$304="")+(Sancoes!$H$5:$H$304&gt;=H544))&gt;0))&gt;0,"SANÇÃO VIGENTE NA DATA — ler tipo e abrangência",""))</f>
        <v/>
      </c>
      <c r="S544" s="24"/>
      <c r="T544" s="11"/>
    </row>
    <row r="545" customFormat="false" ht="15" hidden="false" customHeight="false" outlineLevel="0" collapsed="false">
      <c r="A545" s="11"/>
      <c r="B545" s="24"/>
      <c r="C545" s="24"/>
      <c r="D545" s="31" t="str">
        <f aca="false">IF(C545="","",IF(LEN(UPPER(SUBSTITUTE(SUBSTITUTE(SUBSTITUTE(SUBSTITUTE(TRIM(C545),".",""),"/",""),"-","")," ","")))&lt;14,RIGHT(REPT("0",14)&amp;UPPER(SUBSTITUTE(SUBSTITUTE(SUBSTITUTE(SUBSTITUTE(TRIM(C545),".",""),"/",""),"-","")," ","")),14),UPPER(SUBSTITUTE(SUBSTITUTE(SUBSTITUTE(SUBSTITUTE(TRIM(C545),".",""),"/",""),"-","")," ",""))))</f>
        <v/>
      </c>
      <c r="E545" s="25" t="str">
        <f aca="false">IF(D545="","",IFERROR(INDEX(Empresas!$C:$C,MATCH(D545,Empresas!$B:$B,0)),"cadastre o CNPJ em Empresas"))</f>
        <v/>
      </c>
      <c r="F545" s="11"/>
      <c r="G545" s="23"/>
      <c r="H545" s="22"/>
      <c r="I545" s="35"/>
      <c r="J545" s="35"/>
      <c r="K545" s="36" t="str">
        <f aca="false">IF(I545="","",I545+J545)</f>
        <v/>
      </c>
      <c r="L545" s="37" t="str">
        <f aca="false">IF(OR(I545="",I545=0,J545=""),"",J545/I545)</f>
        <v/>
      </c>
      <c r="M545" s="25" t="str">
        <f aca="false">IF(L545="","",IF(L545&gt;0.25,"ACRÉSCIMO ACIMA DE 25% — conferir",""))</f>
        <v/>
      </c>
      <c r="N545" s="29" t="str">
        <f aca="false">IF(D545="","",IF(COUNTIFS(Empresas!$B:$B,D545,Empresas!$E:$E,"&lt;&gt;")=0,"",INDEX(Empresas!$E:$E,MATCH(D545,Empresas!$B:$B,0))))</f>
        <v/>
      </c>
      <c r="O545" s="27" t="str">
        <f aca="false">IF(OR(N545="",H545=""),"",H545-N545)</f>
        <v/>
      </c>
      <c r="P545" s="25" t="str">
        <f aca="false">IF(O545="","",IF(O545&lt;0,"CONTRATO ANTERIOR À ABERTURA — conferir datas",IF(O545&lt;180,"EMPRESA ABERTA MENOS DE 6 MESES ANTES","")))</f>
        <v/>
      </c>
      <c r="Q545" s="31" t="str">
        <f aca="false">IF(D545="","",IFERROR(INDEX(Sancoes!$D:$D,MATCH(D545,Sancoes!$C:$C,0)),"não consta"))</f>
        <v/>
      </c>
      <c r="R545" s="25" t="str">
        <f aca="false">IF(OR(D545="",H545=""),"",IF(SUMPRODUCT((Sancoes!$C$5:$C$304=D545)*(Sancoes!$G$5:$G$304&lt;=H545)*(((Sancoes!$H$5:$H$304="")+(Sancoes!$H$5:$H$304&gt;=H545))&gt;0))&gt;0,"SANÇÃO VIGENTE NA DATA — ler tipo e abrangência",""))</f>
        <v/>
      </c>
      <c r="S545" s="24"/>
      <c r="T545" s="11"/>
    </row>
    <row r="546" customFormat="false" ht="15" hidden="false" customHeight="false" outlineLevel="0" collapsed="false">
      <c r="A546" s="11"/>
      <c r="B546" s="24"/>
      <c r="C546" s="24"/>
      <c r="D546" s="31" t="str">
        <f aca="false">IF(C546="","",IF(LEN(UPPER(SUBSTITUTE(SUBSTITUTE(SUBSTITUTE(SUBSTITUTE(TRIM(C546),".",""),"/",""),"-","")," ","")))&lt;14,RIGHT(REPT("0",14)&amp;UPPER(SUBSTITUTE(SUBSTITUTE(SUBSTITUTE(SUBSTITUTE(TRIM(C546),".",""),"/",""),"-","")," ","")),14),UPPER(SUBSTITUTE(SUBSTITUTE(SUBSTITUTE(SUBSTITUTE(TRIM(C546),".",""),"/",""),"-","")," ",""))))</f>
        <v/>
      </c>
      <c r="E546" s="25" t="str">
        <f aca="false">IF(D546="","",IFERROR(INDEX(Empresas!$C:$C,MATCH(D546,Empresas!$B:$B,0)),"cadastre o CNPJ em Empresas"))</f>
        <v/>
      </c>
      <c r="F546" s="11"/>
      <c r="G546" s="23"/>
      <c r="H546" s="22"/>
      <c r="I546" s="35"/>
      <c r="J546" s="35"/>
      <c r="K546" s="36" t="str">
        <f aca="false">IF(I546="","",I546+J546)</f>
        <v/>
      </c>
      <c r="L546" s="37" t="str">
        <f aca="false">IF(OR(I546="",I546=0,J546=""),"",J546/I546)</f>
        <v/>
      </c>
      <c r="M546" s="25" t="str">
        <f aca="false">IF(L546="","",IF(L546&gt;0.25,"ACRÉSCIMO ACIMA DE 25% — conferir",""))</f>
        <v/>
      </c>
      <c r="N546" s="29" t="str">
        <f aca="false">IF(D546="","",IF(COUNTIFS(Empresas!$B:$B,D546,Empresas!$E:$E,"&lt;&gt;")=0,"",INDEX(Empresas!$E:$E,MATCH(D546,Empresas!$B:$B,0))))</f>
        <v/>
      </c>
      <c r="O546" s="27" t="str">
        <f aca="false">IF(OR(N546="",H546=""),"",H546-N546)</f>
        <v/>
      </c>
      <c r="P546" s="25" t="str">
        <f aca="false">IF(O546="","",IF(O546&lt;0,"CONTRATO ANTERIOR À ABERTURA — conferir datas",IF(O546&lt;180,"EMPRESA ABERTA MENOS DE 6 MESES ANTES","")))</f>
        <v/>
      </c>
      <c r="Q546" s="31" t="str">
        <f aca="false">IF(D546="","",IFERROR(INDEX(Sancoes!$D:$D,MATCH(D546,Sancoes!$C:$C,0)),"não consta"))</f>
        <v/>
      </c>
      <c r="R546" s="25" t="str">
        <f aca="false">IF(OR(D546="",H546=""),"",IF(SUMPRODUCT((Sancoes!$C$5:$C$304=D546)*(Sancoes!$G$5:$G$304&lt;=H546)*(((Sancoes!$H$5:$H$304="")+(Sancoes!$H$5:$H$304&gt;=H546))&gt;0))&gt;0,"SANÇÃO VIGENTE NA DATA — ler tipo e abrangência",""))</f>
        <v/>
      </c>
      <c r="S546" s="24"/>
      <c r="T546" s="11"/>
    </row>
    <row r="547" customFormat="false" ht="15" hidden="false" customHeight="false" outlineLevel="0" collapsed="false">
      <c r="A547" s="11"/>
      <c r="B547" s="24"/>
      <c r="C547" s="24"/>
      <c r="D547" s="31" t="str">
        <f aca="false">IF(C547="","",IF(LEN(UPPER(SUBSTITUTE(SUBSTITUTE(SUBSTITUTE(SUBSTITUTE(TRIM(C547),".",""),"/",""),"-","")," ","")))&lt;14,RIGHT(REPT("0",14)&amp;UPPER(SUBSTITUTE(SUBSTITUTE(SUBSTITUTE(SUBSTITUTE(TRIM(C547),".",""),"/",""),"-","")," ","")),14),UPPER(SUBSTITUTE(SUBSTITUTE(SUBSTITUTE(SUBSTITUTE(TRIM(C547),".",""),"/",""),"-","")," ",""))))</f>
        <v/>
      </c>
      <c r="E547" s="25" t="str">
        <f aca="false">IF(D547="","",IFERROR(INDEX(Empresas!$C:$C,MATCH(D547,Empresas!$B:$B,0)),"cadastre o CNPJ em Empresas"))</f>
        <v/>
      </c>
      <c r="F547" s="11"/>
      <c r="G547" s="23"/>
      <c r="H547" s="22"/>
      <c r="I547" s="35"/>
      <c r="J547" s="35"/>
      <c r="K547" s="36" t="str">
        <f aca="false">IF(I547="","",I547+J547)</f>
        <v/>
      </c>
      <c r="L547" s="37" t="str">
        <f aca="false">IF(OR(I547="",I547=0,J547=""),"",J547/I547)</f>
        <v/>
      </c>
      <c r="M547" s="25" t="str">
        <f aca="false">IF(L547="","",IF(L547&gt;0.25,"ACRÉSCIMO ACIMA DE 25% — conferir",""))</f>
        <v/>
      </c>
      <c r="N547" s="29" t="str">
        <f aca="false">IF(D547="","",IF(COUNTIFS(Empresas!$B:$B,D547,Empresas!$E:$E,"&lt;&gt;")=0,"",INDEX(Empresas!$E:$E,MATCH(D547,Empresas!$B:$B,0))))</f>
        <v/>
      </c>
      <c r="O547" s="27" t="str">
        <f aca="false">IF(OR(N547="",H547=""),"",H547-N547)</f>
        <v/>
      </c>
      <c r="P547" s="25" t="str">
        <f aca="false">IF(O547="","",IF(O547&lt;0,"CONTRATO ANTERIOR À ABERTURA — conferir datas",IF(O547&lt;180,"EMPRESA ABERTA MENOS DE 6 MESES ANTES","")))</f>
        <v/>
      </c>
      <c r="Q547" s="31" t="str">
        <f aca="false">IF(D547="","",IFERROR(INDEX(Sancoes!$D:$D,MATCH(D547,Sancoes!$C:$C,0)),"não consta"))</f>
        <v/>
      </c>
      <c r="R547" s="25" t="str">
        <f aca="false">IF(OR(D547="",H547=""),"",IF(SUMPRODUCT((Sancoes!$C$5:$C$304=D547)*(Sancoes!$G$5:$G$304&lt;=H547)*(((Sancoes!$H$5:$H$304="")+(Sancoes!$H$5:$H$304&gt;=H547))&gt;0))&gt;0,"SANÇÃO VIGENTE NA DATA — ler tipo e abrangência",""))</f>
        <v/>
      </c>
      <c r="S547" s="24"/>
      <c r="T547" s="11"/>
    </row>
    <row r="548" customFormat="false" ht="15" hidden="false" customHeight="false" outlineLevel="0" collapsed="false">
      <c r="A548" s="11"/>
      <c r="B548" s="24"/>
      <c r="C548" s="24"/>
      <c r="D548" s="31" t="str">
        <f aca="false">IF(C548="","",IF(LEN(UPPER(SUBSTITUTE(SUBSTITUTE(SUBSTITUTE(SUBSTITUTE(TRIM(C548),".",""),"/",""),"-","")," ","")))&lt;14,RIGHT(REPT("0",14)&amp;UPPER(SUBSTITUTE(SUBSTITUTE(SUBSTITUTE(SUBSTITUTE(TRIM(C548),".",""),"/",""),"-","")," ","")),14),UPPER(SUBSTITUTE(SUBSTITUTE(SUBSTITUTE(SUBSTITUTE(TRIM(C548),".",""),"/",""),"-","")," ",""))))</f>
        <v/>
      </c>
      <c r="E548" s="25" t="str">
        <f aca="false">IF(D548="","",IFERROR(INDEX(Empresas!$C:$C,MATCH(D548,Empresas!$B:$B,0)),"cadastre o CNPJ em Empresas"))</f>
        <v/>
      </c>
      <c r="F548" s="11"/>
      <c r="G548" s="23"/>
      <c r="H548" s="22"/>
      <c r="I548" s="35"/>
      <c r="J548" s="35"/>
      <c r="K548" s="36" t="str">
        <f aca="false">IF(I548="","",I548+J548)</f>
        <v/>
      </c>
      <c r="L548" s="37" t="str">
        <f aca="false">IF(OR(I548="",I548=0,J548=""),"",J548/I548)</f>
        <v/>
      </c>
      <c r="M548" s="25" t="str">
        <f aca="false">IF(L548="","",IF(L548&gt;0.25,"ACRÉSCIMO ACIMA DE 25% — conferir",""))</f>
        <v/>
      </c>
      <c r="N548" s="29" t="str">
        <f aca="false">IF(D548="","",IF(COUNTIFS(Empresas!$B:$B,D548,Empresas!$E:$E,"&lt;&gt;")=0,"",INDEX(Empresas!$E:$E,MATCH(D548,Empresas!$B:$B,0))))</f>
        <v/>
      </c>
      <c r="O548" s="27" t="str">
        <f aca="false">IF(OR(N548="",H548=""),"",H548-N548)</f>
        <v/>
      </c>
      <c r="P548" s="25" t="str">
        <f aca="false">IF(O548="","",IF(O548&lt;0,"CONTRATO ANTERIOR À ABERTURA — conferir datas",IF(O548&lt;180,"EMPRESA ABERTA MENOS DE 6 MESES ANTES","")))</f>
        <v/>
      </c>
      <c r="Q548" s="31" t="str">
        <f aca="false">IF(D548="","",IFERROR(INDEX(Sancoes!$D:$D,MATCH(D548,Sancoes!$C:$C,0)),"não consta"))</f>
        <v/>
      </c>
      <c r="R548" s="25" t="str">
        <f aca="false">IF(OR(D548="",H548=""),"",IF(SUMPRODUCT((Sancoes!$C$5:$C$304=D548)*(Sancoes!$G$5:$G$304&lt;=H548)*(((Sancoes!$H$5:$H$304="")+(Sancoes!$H$5:$H$304&gt;=H548))&gt;0))&gt;0,"SANÇÃO VIGENTE NA DATA — ler tipo e abrangência",""))</f>
        <v/>
      </c>
      <c r="S548" s="24"/>
      <c r="T548" s="11"/>
    </row>
    <row r="549" customFormat="false" ht="15" hidden="false" customHeight="false" outlineLevel="0" collapsed="false">
      <c r="A549" s="11"/>
      <c r="B549" s="24"/>
      <c r="C549" s="24"/>
      <c r="D549" s="31" t="str">
        <f aca="false">IF(C549="","",IF(LEN(UPPER(SUBSTITUTE(SUBSTITUTE(SUBSTITUTE(SUBSTITUTE(TRIM(C549),".",""),"/",""),"-","")," ","")))&lt;14,RIGHT(REPT("0",14)&amp;UPPER(SUBSTITUTE(SUBSTITUTE(SUBSTITUTE(SUBSTITUTE(TRIM(C549),".",""),"/",""),"-","")," ","")),14),UPPER(SUBSTITUTE(SUBSTITUTE(SUBSTITUTE(SUBSTITUTE(TRIM(C549),".",""),"/",""),"-","")," ",""))))</f>
        <v/>
      </c>
      <c r="E549" s="25" t="str">
        <f aca="false">IF(D549="","",IFERROR(INDEX(Empresas!$C:$C,MATCH(D549,Empresas!$B:$B,0)),"cadastre o CNPJ em Empresas"))</f>
        <v/>
      </c>
      <c r="F549" s="11"/>
      <c r="G549" s="23"/>
      <c r="H549" s="22"/>
      <c r="I549" s="35"/>
      <c r="J549" s="35"/>
      <c r="K549" s="36" t="str">
        <f aca="false">IF(I549="","",I549+J549)</f>
        <v/>
      </c>
      <c r="L549" s="37" t="str">
        <f aca="false">IF(OR(I549="",I549=0,J549=""),"",J549/I549)</f>
        <v/>
      </c>
      <c r="M549" s="25" t="str">
        <f aca="false">IF(L549="","",IF(L549&gt;0.25,"ACRÉSCIMO ACIMA DE 25% — conferir",""))</f>
        <v/>
      </c>
      <c r="N549" s="29" t="str">
        <f aca="false">IF(D549="","",IF(COUNTIFS(Empresas!$B:$B,D549,Empresas!$E:$E,"&lt;&gt;")=0,"",INDEX(Empresas!$E:$E,MATCH(D549,Empresas!$B:$B,0))))</f>
        <v/>
      </c>
      <c r="O549" s="27" t="str">
        <f aca="false">IF(OR(N549="",H549=""),"",H549-N549)</f>
        <v/>
      </c>
      <c r="P549" s="25" t="str">
        <f aca="false">IF(O549="","",IF(O549&lt;0,"CONTRATO ANTERIOR À ABERTURA — conferir datas",IF(O549&lt;180,"EMPRESA ABERTA MENOS DE 6 MESES ANTES","")))</f>
        <v/>
      </c>
      <c r="Q549" s="31" t="str">
        <f aca="false">IF(D549="","",IFERROR(INDEX(Sancoes!$D:$D,MATCH(D549,Sancoes!$C:$C,0)),"não consta"))</f>
        <v/>
      </c>
      <c r="R549" s="25" t="str">
        <f aca="false">IF(OR(D549="",H549=""),"",IF(SUMPRODUCT((Sancoes!$C$5:$C$304=D549)*(Sancoes!$G$5:$G$304&lt;=H549)*(((Sancoes!$H$5:$H$304="")+(Sancoes!$H$5:$H$304&gt;=H549))&gt;0))&gt;0,"SANÇÃO VIGENTE NA DATA — ler tipo e abrangência",""))</f>
        <v/>
      </c>
      <c r="S549" s="24"/>
      <c r="T549" s="11"/>
    </row>
    <row r="550" customFormat="false" ht="15" hidden="false" customHeight="false" outlineLevel="0" collapsed="false">
      <c r="A550" s="11"/>
      <c r="B550" s="24"/>
      <c r="C550" s="24"/>
      <c r="D550" s="31" t="str">
        <f aca="false">IF(C550="","",IF(LEN(UPPER(SUBSTITUTE(SUBSTITUTE(SUBSTITUTE(SUBSTITUTE(TRIM(C550),".",""),"/",""),"-","")," ","")))&lt;14,RIGHT(REPT("0",14)&amp;UPPER(SUBSTITUTE(SUBSTITUTE(SUBSTITUTE(SUBSTITUTE(TRIM(C550),".",""),"/",""),"-","")," ","")),14),UPPER(SUBSTITUTE(SUBSTITUTE(SUBSTITUTE(SUBSTITUTE(TRIM(C550),".",""),"/",""),"-","")," ",""))))</f>
        <v/>
      </c>
      <c r="E550" s="25" t="str">
        <f aca="false">IF(D550="","",IFERROR(INDEX(Empresas!$C:$C,MATCH(D550,Empresas!$B:$B,0)),"cadastre o CNPJ em Empresas"))</f>
        <v/>
      </c>
      <c r="F550" s="11"/>
      <c r="G550" s="23"/>
      <c r="H550" s="22"/>
      <c r="I550" s="35"/>
      <c r="J550" s="35"/>
      <c r="K550" s="36" t="str">
        <f aca="false">IF(I550="","",I550+J550)</f>
        <v/>
      </c>
      <c r="L550" s="37" t="str">
        <f aca="false">IF(OR(I550="",I550=0,J550=""),"",J550/I550)</f>
        <v/>
      </c>
      <c r="M550" s="25" t="str">
        <f aca="false">IF(L550="","",IF(L550&gt;0.25,"ACRÉSCIMO ACIMA DE 25% — conferir",""))</f>
        <v/>
      </c>
      <c r="N550" s="29" t="str">
        <f aca="false">IF(D550="","",IF(COUNTIFS(Empresas!$B:$B,D550,Empresas!$E:$E,"&lt;&gt;")=0,"",INDEX(Empresas!$E:$E,MATCH(D550,Empresas!$B:$B,0))))</f>
        <v/>
      </c>
      <c r="O550" s="27" t="str">
        <f aca="false">IF(OR(N550="",H550=""),"",H550-N550)</f>
        <v/>
      </c>
      <c r="P550" s="25" t="str">
        <f aca="false">IF(O550="","",IF(O550&lt;0,"CONTRATO ANTERIOR À ABERTURA — conferir datas",IF(O550&lt;180,"EMPRESA ABERTA MENOS DE 6 MESES ANTES","")))</f>
        <v/>
      </c>
      <c r="Q550" s="31" t="str">
        <f aca="false">IF(D550="","",IFERROR(INDEX(Sancoes!$D:$D,MATCH(D550,Sancoes!$C:$C,0)),"não consta"))</f>
        <v/>
      </c>
      <c r="R550" s="25" t="str">
        <f aca="false">IF(OR(D550="",H550=""),"",IF(SUMPRODUCT((Sancoes!$C$5:$C$304=D550)*(Sancoes!$G$5:$G$304&lt;=H550)*(((Sancoes!$H$5:$H$304="")+(Sancoes!$H$5:$H$304&gt;=H550))&gt;0))&gt;0,"SANÇÃO VIGENTE NA DATA — ler tipo e abrangência",""))</f>
        <v/>
      </c>
      <c r="S550" s="24"/>
      <c r="T550" s="11"/>
    </row>
    <row r="551" customFormat="false" ht="15" hidden="false" customHeight="false" outlineLevel="0" collapsed="false">
      <c r="A551" s="11"/>
      <c r="B551" s="24"/>
      <c r="C551" s="24"/>
      <c r="D551" s="31" t="str">
        <f aca="false">IF(C551="","",IF(LEN(UPPER(SUBSTITUTE(SUBSTITUTE(SUBSTITUTE(SUBSTITUTE(TRIM(C551),".",""),"/",""),"-","")," ","")))&lt;14,RIGHT(REPT("0",14)&amp;UPPER(SUBSTITUTE(SUBSTITUTE(SUBSTITUTE(SUBSTITUTE(TRIM(C551),".",""),"/",""),"-","")," ","")),14),UPPER(SUBSTITUTE(SUBSTITUTE(SUBSTITUTE(SUBSTITUTE(TRIM(C551),".",""),"/",""),"-","")," ",""))))</f>
        <v/>
      </c>
      <c r="E551" s="25" t="str">
        <f aca="false">IF(D551="","",IFERROR(INDEX(Empresas!$C:$C,MATCH(D551,Empresas!$B:$B,0)),"cadastre o CNPJ em Empresas"))</f>
        <v/>
      </c>
      <c r="F551" s="11"/>
      <c r="G551" s="23"/>
      <c r="H551" s="22"/>
      <c r="I551" s="35"/>
      <c r="J551" s="35"/>
      <c r="K551" s="36" t="str">
        <f aca="false">IF(I551="","",I551+J551)</f>
        <v/>
      </c>
      <c r="L551" s="37" t="str">
        <f aca="false">IF(OR(I551="",I551=0,J551=""),"",J551/I551)</f>
        <v/>
      </c>
      <c r="M551" s="25" t="str">
        <f aca="false">IF(L551="","",IF(L551&gt;0.25,"ACRÉSCIMO ACIMA DE 25% — conferir",""))</f>
        <v/>
      </c>
      <c r="N551" s="29" t="str">
        <f aca="false">IF(D551="","",IF(COUNTIFS(Empresas!$B:$B,D551,Empresas!$E:$E,"&lt;&gt;")=0,"",INDEX(Empresas!$E:$E,MATCH(D551,Empresas!$B:$B,0))))</f>
        <v/>
      </c>
      <c r="O551" s="27" t="str">
        <f aca="false">IF(OR(N551="",H551=""),"",H551-N551)</f>
        <v/>
      </c>
      <c r="P551" s="25" t="str">
        <f aca="false">IF(O551="","",IF(O551&lt;0,"CONTRATO ANTERIOR À ABERTURA — conferir datas",IF(O551&lt;180,"EMPRESA ABERTA MENOS DE 6 MESES ANTES","")))</f>
        <v/>
      </c>
      <c r="Q551" s="31" t="str">
        <f aca="false">IF(D551="","",IFERROR(INDEX(Sancoes!$D:$D,MATCH(D551,Sancoes!$C:$C,0)),"não consta"))</f>
        <v/>
      </c>
      <c r="R551" s="25" t="str">
        <f aca="false">IF(OR(D551="",H551=""),"",IF(SUMPRODUCT((Sancoes!$C$5:$C$304=D551)*(Sancoes!$G$5:$G$304&lt;=H551)*(((Sancoes!$H$5:$H$304="")+(Sancoes!$H$5:$H$304&gt;=H551))&gt;0))&gt;0,"SANÇÃO VIGENTE NA DATA — ler tipo e abrangência",""))</f>
        <v/>
      </c>
      <c r="S551" s="24"/>
      <c r="T551" s="11"/>
    </row>
    <row r="552" customFormat="false" ht="15" hidden="false" customHeight="false" outlineLevel="0" collapsed="false">
      <c r="A552" s="11"/>
      <c r="B552" s="24"/>
      <c r="C552" s="24"/>
      <c r="D552" s="31" t="str">
        <f aca="false">IF(C552="","",IF(LEN(UPPER(SUBSTITUTE(SUBSTITUTE(SUBSTITUTE(SUBSTITUTE(TRIM(C552),".",""),"/",""),"-","")," ","")))&lt;14,RIGHT(REPT("0",14)&amp;UPPER(SUBSTITUTE(SUBSTITUTE(SUBSTITUTE(SUBSTITUTE(TRIM(C552),".",""),"/",""),"-","")," ","")),14),UPPER(SUBSTITUTE(SUBSTITUTE(SUBSTITUTE(SUBSTITUTE(TRIM(C552),".",""),"/",""),"-","")," ",""))))</f>
        <v/>
      </c>
      <c r="E552" s="25" t="str">
        <f aca="false">IF(D552="","",IFERROR(INDEX(Empresas!$C:$C,MATCH(D552,Empresas!$B:$B,0)),"cadastre o CNPJ em Empresas"))</f>
        <v/>
      </c>
      <c r="F552" s="11"/>
      <c r="G552" s="23"/>
      <c r="H552" s="22"/>
      <c r="I552" s="35"/>
      <c r="J552" s="35"/>
      <c r="K552" s="36" t="str">
        <f aca="false">IF(I552="","",I552+J552)</f>
        <v/>
      </c>
      <c r="L552" s="37" t="str">
        <f aca="false">IF(OR(I552="",I552=0,J552=""),"",J552/I552)</f>
        <v/>
      </c>
      <c r="M552" s="25" t="str">
        <f aca="false">IF(L552="","",IF(L552&gt;0.25,"ACRÉSCIMO ACIMA DE 25% — conferir",""))</f>
        <v/>
      </c>
      <c r="N552" s="29" t="str">
        <f aca="false">IF(D552="","",IF(COUNTIFS(Empresas!$B:$B,D552,Empresas!$E:$E,"&lt;&gt;")=0,"",INDEX(Empresas!$E:$E,MATCH(D552,Empresas!$B:$B,0))))</f>
        <v/>
      </c>
      <c r="O552" s="27" t="str">
        <f aca="false">IF(OR(N552="",H552=""),"",H552-N552)</f>
        <v/>
      </c>
      <c r="P552" s="25" t="str">
        <f aca="false">IF(O552="","",IF(O552&lt;0,"CONTRATO ANTERIOR À ABERTURA — conferir datas",IF(O552&lt;180,"EMPRESA ABERTA MENOS DE 6 MESES ANTES","")))</f>
        <v/>
      </c>
      <c r="Q552" s="31" t="str">
        <f aca="false">IF(D552="","",IFERROR(INDEX(Sancoes!$D:$D,MATCH(D552,Sancoes!$C:$C,0)),"não consta"))</f>
        <v/>
      </c>
      <c r="R552" s="25" t="str">
        <f aca="false">IF(OR(D552="",H552=""),"",IF(SUMPRODUCT((Sancoes!$C$5:$C$304=D552)*(Sancoes!$G$5:$G$304&lt;=H552)*(((Sancoes!$H$5:$H$304="")+(Sancoes!$H$5:$H$304&gt;=H552))&gt;0))&gt;0,"SANÇÃO VIGENTE NA DATA — ler tipo e abrangência",""))</f>
        <v/>
      </c>
      <c r="S552" s="24"/>
      <c r="T552" s="11"/>
    </row>
    <row r="553" customFormat="false" ht="15" hidden="false" customHeight="false" outlineLevel="0" collapsed="false">
      <c r="A553" s="11"/>
      <c r="B553" s="24"/>
      <c r="C553" s="24"/>
      <c r="D553" s="31" t="str">
        <f aca="false">IF(C553="","",IF(LEN(UPPER(SUBSTITUTE(SUBSTITUTE(SUBSTITUTE(SUBSTITUTE(TRIM(C553),".",""),"/",""),"-","")," ","")))&lt;14,RIGHT(REPT("0",14)&amp;UPPER(SUBSTITUTE(SUBSTITUTE(SUBSTITUTE(SUBSTITUTE(TRIM(C553),".",""),"/",""),"-","")," ","")),14),UPPER(SUBSTITUTE(SUBSTITUTE(SUBSTITUTE(SUBSTITUTE(TRIM(C553),".",""),"/",""),"-","")," ",""))))</f>
        <v/>
      </c>
      <c r="E553" s="25" t="str">
        <f aca="false">IF(D553="","",IFERROR(INDEX(Empresas!$C:$C,MATCH(D553,Empresas!$B:$B,0)),"cadastre o CNPJ em Empresas"))</f>
        <v/>
      </c>
      <c r="F553" s="11"/>
      <c r="G553" s="23"/>
      <c r="H553" s="22"/>
      <c r="I553" s="35"/>
      <c r="J553" s="35"/>
      <c r="K553" s="36" t="str">
        <f aca="false">IF(I553="","",I553+J553)</f>
        <v/>
      </c>
      <c r="L553" s="37" t="str">
        <f aca="false">IF(OR(I553="",I553=0,J553=""),"",J553/I553)</f>
        <v/>
      </c>
      <c r="M553" s="25" t="str">
        <f aca="false">IF(L553="","",IF(L553&gt;0.25,"ACRÉSCIMO ACIMA DE 25% — conferir",""))</f>
        <v/>
      </c>
      <c r="N553" s="29" t="str">
        <f aca="false">IF(D553="","",IF(COUNTIFS(Empresas!$B:$B,D553,Empresas!$E:$E,"&lt;&gt;")=0,"",INDEX(Empresas!$E:$E,MATCH(D553,Empresas!$B:$B,0))))</f>
        <v/>
      </c>
      <c r="O553" s="27" t="str">
        <f aca="false">IF(OR(N553="",H553=""),"",H553-N553)</f>
        <v/>
      </c>
      <c r="P553" s="25" t="str">
        <f aca="false">IF(O553="","",IF(O553&lt;0,"CONTRATO ANTERIOR À ABERTURA — conferir datas",IF(O553&lt;180,"EMPRESA ABERTA MENOS DE 6 MESES ANTES","")))</f>
        <v/>
      </c>
      <c r="Q553" s="31" t="str">
        <f aca="false">IF(D553="","",IFERROR(INDEX(Sancoes!$D:$D,MATCH(D553,Sancoes!$C:$C,0)),"não consta"))</f>
        <v/>
      </c>
      <c r="R553" s="25" t="str">
        <f aca="false">IF(OR(D553="",H553=""),"",IF(SUMPRODUCT((Sancoes!$C$5:$C$304=D553)*(Sancoes!$G$5:$G$304&lt;=H553)*(((Sancoes!$H$5:$H$304="")+(Sancoes!$H$5:$H$304&gt;=H553))&gt;0))&gt;0,"SANÇÃO VIGENTE NA DATA — ler tipo e abrangência",""))</f>
        <v/>
      </c>
      <c r="S553" s="24"/>
      <c r="T553" s="11"/>
    </row>
    <row r="554" customFormat="false" ht="15" hidden="false" customHeight="false" outlineLevel="0" collapsed="false">
      <c r="A554" s="11"/>
      <c r="B554" s="24"/>
      <c r="C554" s="24"/>
      <c r="D554" s="31" t="str">
        <f aca="false">IF(C554="","",IF(LEN(UPPER(SUBSTITUTE(SUBSTITUTE(SUBSTITUTE(SUBSTITUTE(TRIM(C554),".",""),"/",""),"-","")," ","")))&lt;14,RIGHT(REPT("0",14)&amp;UPPER(SUBSTITUTE(SUBSTITUTE(SUBSTITUTE(SUBSTITUTE(TRIM(C554),".",""),"/",""),"-","")," ","")),14),UPPER(SUBSTITUTE(SUBSTITUTE(SUBSTITUTE(SUBSTITUTE(TRIM(C554),".",""),"/",""),"-","")," ",""))))</f>
        <v/>
      </c>
      <c r="E554" s="25" t="str">
        <f aca="false">IF(D554="","",IFERROR(INDEX(Empresas!$C:$C,MATCH(D554,Empresas!$B:$B,0)),"cadastre o CNPJ em Empresas"))</f>
        <v/>
      </c>
      <c r="F554" s="11"/>
      <c r="G554" s="23"/>
      <c r="H554" s="22"/>
      <c r="I554" s="35"/>
      <c r="J554" s="35"/>
      <c r="K554" s="36" t="str">
        <f aca="false">IF(I554="","",I554+J554)</f>
        <v/>
      </c>
      <c r="L554" s="37" t="str">
        <f aca="false">IF(OR(I554="",I554=0,J554=""),"",J554/I554)</f>
        <v/>
      </c>
      <c r="M554" s="25" t="str">
        <f aca="false">IF(L554="","",IF(L554&gt;0.25,"ACRÉSCIMO ACIMA DE 25% — conferir",""))</f>
        <v/>
      </c>
      <c r="N554" s="29" t="str">
        <f aca="false">IF(D554="","",IF(COUNTIFS(Empresas!$B:$B,D554,Empresas!$E:$E,"&lt;&gt;")=0,"",INDEX(Empresas!$E:$E,MATCH(D554,Empresas!$B:$B,0))))</f>
        <v/>
      </c>
      <c r="O554" s="27" t="str">
        <f aca="false">IF(OR(N554="",H554=""),"",H554-N554)</f>
        <v/>
      </c>
      <c r="P554" s="25" t="str">
        <f aca="false">IF(O554="","",IF(O554&lt;0,"CONTRATO ANTERIOR À ABERTURA — conferir datas",IF(O554&lt;180,"EMPRESA ABERTA MENOS DE 6 MESES ANTES","")))</f>
        <v/>
      </c>
      <c r="Q554" s="31" t="str">
        <f aca="false">IF(D554="","",IFERROR(INDEX(Sancoes!$D:$D,MATCH(D554,Sancoes!$C:$C,0)),"não consta"))</f>
        <v/>
      </c>
      <c r="R554" s="25" t="str">
        <f aca="false">IF(OR(D554="",H554=""),"",IF(SUMPRODUCT((Sancoes!$C$5:$C$304=D554)*(Sancoes!$G$5:$G$304&lt;=H554)*(((Sancoes!$H$5:$H$304="")+(Sancoes!$H$5:$H$304&gt;=H554))&gt;0))&gt;0,"SANÇÃO VIGENTE NA DATA — ler tipo e abrangência",""))</f>
        <v/>
      </c>
      <c r="S554" s="24"/>
      <c r="T554" s="11"/>
    </row>
    <row r="555" customFormat="false" ht="15" hidden="false" customHeight="false" outlineLevel="0" collapsed="false">
      <c r="A555" s="11"/>
      <c r="B555" s="24"/>
      <c r="C555" s="24"/>
      <c r="D555" s="31" t="str">
        <f aca="false">IF(C555="","",IF(LEN(UPPER(SUBSTITUTE(SUBSTITUTE(SUBSTITUTE(SUBSTITUTE(TRIM(C555),".",""),"/",""),"-","")," ","")))&lt;14,RIGHT(REPT("0",14)&amp;UPPER(SUBSTITUTE(SUBSTITUTE(SUBSTITUTE(SUBSTITUTE(TRIM(C555),".",""),"/",""),"-","")," ","")),14),UPPER(SUBSTITUTE(SUBSTITUTE(SUBSTITUTE(SUBSTITUTE(TRIM(C555),".",""),"/",""),"-","")," ",""))))</f>
        <v/>
      </c>
      <c r="E555" s="25" t="str">
        <f aca="false">IF(D555="","",IFERROR(INDEX(Empresas!$C:$C,MATCH(D555,Empresas!$B:$B,0)),"cadastre o CNPJ em Empresas"))</f>
        <v/>
      </c>
      <c r="F555" s="11"/>
      <c r="G555" s="23"/>
      <c r="H555" s="22"/>
      <c r="I555" s="35"/>
      <c r="J555" s="35"/>
      <c r="K555" s="36" t="str">
        <f aca="false">IF(I555="","",I555+J555)</f>
        <v/>
      </c>
      <c r="L555" s="37" t="str">
        <f aca="false">IF(OR(I555="",I555=0,J555=""),"",J555/I555)</f>
        <v/>
      </c>
      <c r="M555" s="25" t="str">
        <f aca="false">IF(L555="","",IF(L555&gt;0.25,"ACRÉSCIMO ACIMA DE 25% — conferir",""))</f>
        <v/>
      </c>
      <c r="N555" s="29" t="str">
        <f aca="false">IF(D555="","",IF(COUNTIFS(Empresas!$B:$B,D555,Empresas!$E:$E,"&lt;&gt;")=0,"",INDEX(Empresas!$E:$E,MATCH(D555,Empresas!$B:$B,0))))</f>
        <v/>
      </c>
      <c r="O555" s="27" t="str">
        <f aca="false">IF(OR(N555="",H555=""),"",H555-N555)</f>
        <v/>
      </c>
      <c r="P555" s="25" t="str">
        <f aca="false">IF(O555="","",IF(O555&lt;0,"CONTRATO ANTERIOR À ABERTURA — conferir datas",IF(O555&lt;180,"EMPRESA ABERTA MENOS DE 6 MESES ANTES","")))</f>
        <v/>
      </c>
      <c r="Q555" s="31" t="str">
        <f aca="false">IF(D555="","",IFERROR(INDEX(Sancoes!$D:$D,MATCH(D555,Sancoes!$C:$C,0)),"não consta"))</f>
        <v/>
      </c>
      <c r="R555" s="25" t="str">
        <f aca="false">IF(OR(D555="",H555=""),"",IF(SUMPRODUCT((Sancoes!$C$5:$C$304=D555)*(Sancoes!$G$5:$G$304&lt;=H555)*(((Sancoes!$H$5:$H$304="")+(Sancoes!$H$5:$H$304&gt;=H555))&gt;0))&gt;0,"SANÇÃO VIGENTE NA DATA — ler tipo e abrangência",""))</f>
        <v/>
      </c>
      <c r="S555" s="24"/>
      <c r="T555" s="11"/>
    </row>
    <row r="556" customFormat="false" ht="15" hidden="false" customHeight="false" outlineLevel="0" collapsed="false">
      <c r="A556" s="11"/>
      <c r="B556" s="24"/>
      <c r="C556" s="24"/>
      <c r="D556" s="31" t="str">
        <f aca="false">IF(C556="","",IF(LEN(UPPER(SUBSTITUTE(SUBSTITUTE(SUBSTITUTE(SUBSTITUTE(TRIM(C556),".",""),"/",""),"-","")," ","")))&lt;14,RIGHT(REPT("0",14)&amp;UPPER(SUBSTITUTE(SUBSTITUTE(SUBSTITUTE(SUBSTITUTE(TRIM(C556),".",""),"/",""),"-","")," ","")),14),UPPER(SUBSTITUTE(SUBSTITUTE(SUBSTITUTE(SUBSTITUTE(TRIM(C556),".",""),"/",""),"-","")," ",""))))</f>
        <v/>
      </c>
      <c r="E556" s="25" t="str">
        <f aca="false">IF(D556="","",IFERROR(INDEX(Empresas!$C:$C,MATCH(D556,Empresas!$B:$B,0)),"cadastre o CNPJ em Empresas"))</f>
        <v/>
      </c>
      <c r="F556" s="11"/>
      <c r="G556" s="23"/>
      <c r="H556" s="22"/>
      <c r="I556" s="35"/>
      <c r="J556" s="35"/>
      <c r="K556" s="36" t="str">
        <f aca="false">IF(I556="","",I556+J556)</f>
        <v/>
      </c>
      <c r="L556" s="37" t="str">
        <f aca="false">IF(OR(I556="",I556=0,J556=""),"",J556/I556)</f>
        <v/>
      </c>
      <c r="M556" s="25" t="str">
        <f aca="false">IF(L556="","",IF(L556&gt;0.25,"ACRÉSCIMO ACIMA DE 25% — conferir",""))</f>
        <v/>
      </c>
      <c r="N556" s="29" t="str">
        <f aca="false">IF(D556="","",IF(COUNTIFS(Empresas!$B:$B,D556,Empresas!$E:$E,"&lt;&gt;")=0,"",INDEX(Empresas!$E:$E,MATCH(D556,Empresas!$B:$B,0))))</f>
        <v/>
      </c>
      <c r="O556" s="27" t="str">
        <f aca="false">IF(OR(N556="",H556=""),"",H556-N556)</f>
        <v/>
      </c>
      <c r="P556" s="25" t="str">
        <f aca="false">IF(O556="","",IF(O556&lt;0,"CONTRATO ANTERIOR À ABERTURA — conferir datas",IF(O556&lt;180,"EMPRESA ABERTA MENOS DE 6 MESES ANTES","")))</f>
        <v/>
      </c>
      <c r="Q556" s="31" t="str">
        <f aca="false">IF(D556="","",IFERROR(INDEX(Sancoes!$D:$D,MATCH(D556,Sancoes!$C:$C,0)),"não consta"))</f>
        <v/>
      </c>
      <c r="R556" s="25" t="str">
        <f aca="false">IF(OR(D556="",H556=""),"",IF(SUMPRODUCT((Sancoes!$C$5:$C$304=D556)*(Sancoes!$G$5:$G$304&lt;=H556)*(((Sancoes!$H$5:$H$304="")+(Sancoes!$H$5:$H$304&gt;=H556))&gt;0))&gt;0,"SANÇÃO VIGENTE NA DATA — ler tipo e abrangência",""))</f>
        <v/>
      </c>
      <c r="S556" s="24"/>
      <c r="T556" s="11"/>
    </row>
    <row r="557" customFormat="false" ht="15" hidden="false" customHeight="false" outlineLevel="0" collapsed="false">
      <c r="A557" s="11"/>
      <c r="B557" s="24"/>
      <c r="C557" s="24"/>
      <c r="D557" s="31" t="str">
        <f aca="false">IF(C557="","",IF(LEN(UPPER(SUBSTITUTE(SUBSTITUTE(SUBSTITUTE(SUBSTITUTE(TRIM(C557),".",""),"/",""),"-","")," ","")))&lt;14,RIGHT(REPT("0",14)&amp;UPPER(SUBSTITUTE(SUBSTITUTE(SUBSTITUTE(SUBSTITUTE(TRIM(C557),".",""),"/",""),"-","")," ","")),14),UPPER(SUBSTITUTE(SUBSTITUTE(SUBSTITUTE(SUBSTITUTE(TRIM(C557),".",""),"/",""),"-","")," ",""))))</f>
        <v/>
      </c>
      <c r="E557" s="25" t="str">
        <f aca="false">IF(D557="","",IFERROR(INDEX(Empresas!$C:$C,MATCH(D557,Empresas!$B:$B,0)),"cadastre o CNPJ em Empresas"))</f>
        <v/>
      </c>
      <c r="F557" s="11"/>
      <c r="G557" s="23"/>
      <c r="H557" s="22"/>
      <c r="I557" s="35"/>
      <c r="J557" s="35"/>
      <c r="K557" s="36" t="str">
        <f aca="false">IF(I557="","",I557+J557)</f>
        <v/>
      </c>
      <c r="L557" s="37" t="str">
        <f aca="false">IF(OR(I557="",I557=0,J557=""),"",J557/I557)</f>
        <v/>
      </c>
      <c r="M557" s="25" t="str">
        <f aca="false">IF(L557="","",IF(L557&gt;0.25,"ACRÉSCIMO ACIMA DE 25% — conferir",""))</f>
        <v/>
      </c>
      <c r="N557" s="29" t="str">
        <f aca="false">IF(D557="","",IF(COUNTIFS(Empresas!$B:$B,D557,Empresas!$E:$E,"&lt;&gt;")=0,"",INDEX(Empresas!$E:$E,MATCH(D557,Empresas!$B:$B,0))))</f>
        <v/>
      </c>
      <c r="O557" s="27" t="str">
        <f aca="false">IF(OR(N557="",H557=""),"",H557-N557)</f>
        <v/>
      </c>
      <c r="P557" s="25" t="str">
        <f aca="false">IF(O557="","",IF(O557&lt;0,"CONTRATO ANTERIOR À ABERTURA — conferir datas",IF(O557&lt;180,"EMPRESA ABERTA MENOS DE 6 MESES ANTES","")))</f>
        <v/>
      </c>
      <c r="Q557" s="31" t="str">
        <f aca="false">IF(D557="","",IFERROR(INDEX(Sancoes!$D:$D,MATCH(D557,Sancoes!$C:$C,0)),"não consta"))</f>
        <v/>
      </c>
      <c r="R557" s="25" t="str">
        <f aca="false">IF(OR(D557="",H557=""),"",IF(SUMPRODUCT((Sancoes!$C$5:$C$304=D557)*(Sancoes!$G$5:$G$304&lt;=H557)*(((Sancoes!$H$5:$H$304="")+(Sancoes!$H$5:$H$304&gt;=H557))&gt;0))&gt;0,"SANÇÃO VIGENTE NA DATA — ler tipo e abrangência",""))</f>
        <v/>
      </c>
      <c r="S557" s="24"/>
      <c r="T557" s="11"/>
    </row>
    <row r="558" customFormat="false" ht="15" hidden="false" customHeight="false" outlineLevel="0" collapsed="false">
      <c r="A558" s="11"/>
      <c r="B558" s="24"/>
      <c r="C558" s="24"/>
      <c r="D558" s="31" t="str">
        <f aca="false">IF(C558="","",IF(LEN(UPPER(SUBSTITUTE(SUBSTITUTE(SUBSTITUTE(SUBSTITUTE(TRIM(C558),".",""),"/",""),"-","")," ","")))&lt;14,RIGHT(REPT("0",14)&amp;UPPER(SUBSTITUTE(SUBSTITUTE(SUBSTITUTE(SUBSTITUTE(TRIM(C558),".",""),"/",""),"-","")," ","")),14),UPPER(SUBSTITUTE(SUBSTITUTE(SUBSTITUTE(SUBSTITUTE(TRIM(C558),".",""),"/",""),"-","")," ",""))))</f>
        <v/>
      </c>
      <c r="E558" s="25" t="str">
        <f aca="false">IF(D558="","",IFERROR(INDEX(Empresas!$C:$C,MATCH(D558,Empresas!$B:$B,0)),"cadastre o CNPJ em Empresas"))</f>
        <v/>
      </c>
      <c r="F558" s="11"/>
      <c r="G558" s="23"/>
      <c r="H558" s="22"/>
      <c r="I558" s="35"/>
      <c r="J558" s="35"/>
      <c r="K558" s="36" t="str">
        <f aca="false">IF(I558="","",I558+J558)</f>
        <v/>
      </c>
      <c r="L558" s="37" t="str">
        <f aca="false">IF(OR(I558="",I558=0,J558=""),"",J558/I558)</f>
        <v/>
      </c>
      <c r="M558" s="25" t="str">
        <f aca="false">IF(L558="","",IF(L558&gt;0.25,"ACRÉSCIMO ACIMA DE 25% — conferir",""))</f>
        <v/>
      </c>
      <c r="N558" s="29" t="str">
        <f aca="false">IF(D558="","",IF(COUNTIFS(Empresas!$B:$B,D558,Empresas!$E:$E,"&lt;&gt;")=0,"",INDEX(Empresas!$E:$E,MATCH(D558,Empresas!$B:$B,0))))</f>
        <v/>
      </c>
      <c r="O558" s="27" t="str">
        <f aca="false">IF(OR(N558="",H558=""),"",H558-N558)</f>
        <v/>
      </c>
      <c r="P558" s="25" t="str">
        <f aca="false">IF(O558="","",IF(O558&lt;0,"CONTRATO ANTERIOR À ABERTURA — conferir datas",IF(O558&lt;180,"EMPRESA ABERTA MENOS DE 6 MESES ANTES","")))</f>
        <v/>
      </c>
      <c r="Q558" s="31" t="str">
        <f aca="false">IF(D558="","",IFERROR(INDEX(Sancoes!$D:$D,MATCH(D558,Sancoes!$C:$C,0)),"não consta"))</f>
        <v/>
      </c>
      <c r="R558" s="25" t="str">
        <f aca="false">IF(OR(D558="",H558=""),"",IF(SUMPRODUCT((Sancoes!$C$5:$C$304=D558)*(Sancoes!$G$5:$G$304&lt;=H558)*(((Sancoes!$H$5:$H$304="")+(Sancoes!$H$5:$H$304&gt;=H558))&gt;0))&gt;0,"SANÇÃO VIGENTE NA DATA — ler tipo e abrangência",""))</f>
        <v/>
      </c>
      <c r="S558" s="24"/>
      <c r="T558" s="11"/>
    </row>
    <row r="559" customFormat="false" ht="15" hidden="false" customHeight="false" outlineLevel="0" collapsed="false">
      <c r="A559" s="11"/>
      <c r="B559" s="24"/>
      <c r="C559" s="24"/>
      <c r="D559" s="31" t="str">
        <f aca="false">IF(C559="","",IF(LEN(UPPER(SUBSTITUTE(SUBSTITUTE(SUBSTITUTE(SUBSTITUTE(TRIM(C559),".",""),"/",""),"-","")," ","")))&lt;14,RIGHT(REPT("0",14)&amp;UPPER(SUBSTITUTE(SUBSTITUTE(SUBSTITUTE(SUBSTITUTE(TRIM(C559),".",""),"/",""),"-","")," ","")),14),UPPER(SUBSTITUTE(SUBSTITUTE(SUBSTITUTE(SUBSTITUTE(TRIM(C559),".",""),"/",""),"-","")," ",""))))</f>
        <v/>
      </c>
      <c r="E559" s="25" t="str">
        <f aca="false">IF(D559="","",IFERROR(INDEX(Empresas!$C:$C,MATCH(D559,Empresas!$B:$B,0)),"cadastre o CNPJ em Empresas"))</f>
        <v/>
      </c>
      <c r="F559" s="11"/>
      <c r="G559" s="23"/>
      <c r="H559" s="22"/>
      <c r="I559" s="35"/>
      <c r="J559" s="35"/>
      <c r="K559" s="36" t="str">
        <f aca="false">IF(I559="","",I559+J559)</f>
        <v/>
      </c>
      <c r="L559" s="37" t="str">
        <f aca="false">IF(OR(I559="",I559=0,J559=""),"",J559/I559)</f>
        <v/>
      </c>
      <c r="M559" s="25" t="str">
        <f aca="false">IF(L559="","",IF(L559&gt;0.25,"ACRÉSCIMO ACIMA DE 25% — conferir",""))</f>
        <v/>
      </c>
      <c r="N559" s="29" t="str">
        <f aca="false">IF(D559="","",IF(COUNTIFS(Empresas!$B:$B,D559,Empresas!$E:$E,"&lt;&gt;")=0,"",INDEX(Empresas!$E:$E,MATCH(D559,Empresas!$B:$B,0))))</f>
        <v/>
      </c>
      <c r="O559" s="27" t="str">
        <f aca="false">IF(OR(N559="",H559=""),"",H559-N559)</f>
        <v/>
      </c>
      <c r="P559" s="25" t="str">
        <f aca="false">IF(O559="","",IF(O559&lt;0,"CONTRATO ANTERIOR À ABERTURA — conferir datas",IF(O559&lt;180,"EMPRESA ABERTA MENOS DE 6 MESES ANTES","")))</f>
        <v/>
      </c>
      <c r="Q559" s="31" t="str">
        <f aca="false">IF(D559="","",IFERROR(INDEX(Sancoes!$D:$D,MATCH(D559,Sancoes!$C:$C,0)),"não consta"))</f>
        <v/>
      </c>
      <c r="R559" s="25" t="str">
        <f aca="false">IF(OR(D559="",H559=""),"",IF(SUMPRODUCT((Sancoes!$C$5:$C$304=D559)*(Sancoes!$G$5:$G$304&lt;=H559)*(((Sancoes!$H$5:$H$304="")+(Sancoes!$H$5:$H$304&gt;=H559))&gt;0))&gt;0,"SANÇÃO VIGENTE NA DATA — ler tipo e abrangência",""))</f>
        <v/>
      </c>
      <c r="S559" s="24"/>
      <c r="T559" s="11"/>
    </row>
    <row r="560" customFormat="false" ht="15" hidden="false" customHeight="false" outlineLevel="0" collapsed="false">
      <c r="A560" s="11"/>
      <c r="B560" s="24"/>
      <c r="C560" s="24"/>
      <c r="D560" s="31" t="str">
        <f aca="false">IF(C560="","",IF(LEN(UPPER(SUBSTITUTE(SUBSTITUTE(SUBSTITUTE(SUBSTITUTE(TRIM(C560),".",""),"/",""),"-","")," ","")))&lt;14,RIGHT(REPT("0",14)&amp;UPPER(SUBSTITUTE(SUBSTITUTE(SUBSTITUTE(SUBSTITUTE(TRIM(C560),".",""),"/",""),"-","")," ","")),14),UPPER(SUBSTITUTE(SUBSTITUTE(SUBSTITUTE(SUBSTITUTE(TRIM(C560),".",""),"/",""),"-","")," ",""))))</f>
        <v/>
      </c>
      <c r="E560" s="25" t="str">
        <f aca="false">IF(D560="","",IFERROR(INDEX(Empresas!$C:$C,MATCH(D560,Empresas!$B:$B,0)),"cadastre o CNPJ em Empresas"))</f>
        <v/>
      </c>
      <c r="F560" s="11"/>
      <c r="G560" s="23"/>
      <c r="H560" s="22"/>
      <c r="I560" s="35"/>
      <c r="J560" s="35"/>
      <c r="K560" s="36" t="str">
        <f aca="false">IF(I560="","",I560+J560)</f>
        <v/>
      </c>
      <c r="L560" s="37" t="str">
        <f aca="false">IF(OR(I560="",I560=0,J560=""),"",J560/I560)</f>
        <v/>
      </c>
      <c r="M560" s="25" t="str">
        <f aca="false">IF(L560="","",IF(L560&gt;0.25,"ACRÉSCIMO ACIMA DE 25% — conferir",""))</f>
        <v/>
      </c>
      <c r="N560" s="29" t="str">
        <f aca="false">IF(D560="","",IF(COUNTIFS(Empresas!$B:$B,D560,Empresas!$E:$E,"&lt;&gt;")=0,"",INDEX(Empresas!$E:$E,MATCH(D560,Empresas!$B:$B,0))))</f>
        <v/>
      </c>
      <c r="O560" s="27" t="str">
        <f aca="false">IF(OR(N560="",H560=""),"",H560-N560)</f>
        <v/>
      </c>
      <c r="P560" s="25" t="str">
        <f aca="false">IF(O560="","",IF(O560&lt;0,"CONTRATO ANTERIOR À ABERTURA — conferir datas",IF(O560&lt;180,"EMPRESA ABERTA MENOS DE 6 MESES ANTES","")))</f>
        <v/>
      </c>
      <c r="Q560" s="31" t="str">
        <f aca="false">IF(D560="","",IFERROR(INDEX(Sancoes!$D:$D,MATCH(D560,Sancoes!$C:$C,0)),"não consta"))</f>
        <v/>
      </c>
      <c r="R560" s="25" t="str">
        <f aca="false">IF(OR(D560="",H560=""),"",IF(SUMPRODUCT((Sancoes!$C$5:$C$304=D560)*(Sancoes!$G$5:$G$304&lt;=H560)*(((Sancoes!$H$5:$H$304="")+(Sancoes!$H$5:$H$304&gt;=H560))&gt;0))&gt;0,"SANÇÃO VIGENTE NA DATA — ler tipo e abrangência",""))</f>
        <v/>
      </c>
      <c r="S560" s="24"/>
      <c r="T560" s="11"/>
    </row>
    <row r="561" customFormat="false" ht="15" hidden="false" customHeight="false" outlineLevel="0" collapsed="false">
      <c r="A561" s="11"/>
      <c r="B561" s="24"/>
      <c r="C561" s="24"/>
      <c r="D561" s="31" t="str">
        <f aca="false">IF(C561="","",IF(LEN(UPPER(SUBSTITUTE(SUBSTITUTE(SUBSTITUTE(SUBSTITUTE(TRIM(C561),".",""),"/",""),"-","")," ","")))&lt;14,RIGHT(REPT("0",14)&amp;UPPER(SUBSTITUTE(SUBSTITUTE(SUBSTITUTE(SUBSTITUTE(TRIM(C561),".",""),"/",""),"-","")," ","")),14),UPPER(SUBSTITUTE(SUBSTITUTE(SUBSTITUTE(SUBSTITUTE(TRIM(C561),".",""),"/",""),"-","")," ",""))))</f>
        <v/>
      </c>
      <c r="E561" s="25" t="str">
        <f aca="false">IF(D561="","",IFERROR(INDEX(Empresas!$C:$C,MATCH(D561,Empresas!$B:$B,0)),"cadastre o CNPJ em Empresas"))</f>
        <v/>
      </c>
      <c r="F561" s="11"/>
      <c r="G561" s="23"/>
      <c r="H561" s="22"/>
      <c r="I561" s="35"/>
      <c r="J561" s="35"/>
      <c r="K561" s="36" t="str">
        <f aca="false">IF(I561="","",I561+J561)</f>
        <v/>
      </c>
      <c r="L561" s="37" t="str">
        <f aca="false">IF(OR(I561="",I561=0,J561=""),"",J561/I561)</f>
        <v/>
      </c>
      <c r="M561" s="25" t="str">
        <f aca="false">IF(L561="","",IF(L561&gt;0.25,"ACRÉSCIMO ACIMA DE 25% — conferir",""))</f>
        <v/>
      </c>
      <c r="N561" s="29" t="str">
        <f aca="false">IF(D561="","",IF(COUNTIFS(Empresas!$B:$B,D561,Empresas!$E:$E,"&lt;&gt;")=0,"",INDEX(Empresas!$E:$E,MATCH(D561,Empresas!$B:$B,0))))</f>
        <v/>
      </c>
      <c r="O561" s="27" t="str">
        <f aca="false">IF(OR(N561="",H561=""),"",H561-N561)</f>
        <v/>
      </c>
      <c r="P561" s="25" t="str">
        <f aca="false">IF(O561="","",IF(O561&lt;0,"CONTRATO ANTERIOR À ABERTURA — conferir datas",IF(O561&lt;180,"EMPRESA ABERTA MENOS DE 6 MESES ANTES","")))</f>
        <v/>
      </c>
      <c r="Q561" s="31" t="str">
        <f aca="false">IF(D561="","",IFERROR(INDEX(Sancoes!$D:$D,MATCH(D561,Sancoes!$C:$C,0)),"não consta"))</f>
        <v/>
      </c>
      <c r="R561" s="25" t="str">
        <f aca="false">IF(OR(D561="",H561=""),"",IF(SUMPRODUCT((Sancoes!$C$5:$C$304=D561)*(Sancoes!$G$5:$G$304&lt;=H561)*(((Sancoes!$H$5:$H$304="")+(Sancoes!$H$5:$H$304&gt;=H561))&gt;0))&gt;0,"SANÇÃO VIGENTE NA DATA — ler tipo e abrangência",""))</f>
        <v/>
      </c>
      <c r="S561" s="24"/>
      <c r="T561" s="11"/>
    </row>
    <row r="562" customFormat="false" ht="15" hidden="false" customHeight="false" outlineLevel="0" collapsed="false">
      <c r="A562" s="11"/>
      <c r="B562" s="24"/>
      <c r="C562" s="24"/>
      <c r="D562" s="31" t="str">
        <f aca="false">IF(C562="","",IF(LEN(UPPER(SUBSTITUTE(SUBSTITUTE(SUBSTITUTE(SUBSTITUTE(TRIM(C562),".",""),"/",""),"-","")," ","")))&lt;14,RIGHT(REPT("0",14)&amp;UPPER(SUBSTITUTE(SUBSTITUTE(SUBSTITUTE(SUBSTITUTE(TRIM(C562),".",""),"/",""),"-","")," ","")),14),UPPER(SUBSTITUTE(SUBSTITUTE(SUBSTITUTE(SUBSTITUTE(TRIM(C562),".",""),"/",""),"-","")," ",""))))</f>
        <v/>
      </c>
      <c r="E562" s="25" t="str">
        <f aca="false">IF(D562="","",IFERROR(INDEX(Empresas!$C:$C,MATCH(D562,Empresas!$B:$B,0)),"cadastre o CNPJ em Empresas"))</f>
        <v/>
      </c>
      <c r="F562" s="11"/>
      <c r="G562" s="23"/>
      <c r="H562" s="22"/>
      <c r="I562" s="35"/>
      <c r="J562" s="35"/>
      <c r="K562" s="36" t="str">
        <f aca="false">IF(I562="","",I562+J562)</f>
        <v/>
      </c>
      <c r="L562" s="37" t="str">
        <f aca="false">IF(OR(I562="",I562=0,J562=""),"",J562/I562)</f>
        <v/>
      </c>
      <c r="M562" s="25" t="str">
        <f aca="false">IF(L562="","",IF(L562&gt;0.25,"ACRÉSCIMO ACIMA DE 25% — conferir",""))</f>
        <v/>
      </c>
      <c r="N562" s="29" t="str">
        <f aca="false">IF(D562="","",IF(COUNTIFS(Empresas!$B:$B,D562,Empresas!$E:$E,"&lt;&gt;")=0,"",INDEX(Empresas!$E:$E,MATCH(D562,Empresas!$B:$B,0))))</f>
        <v/>
      </c>
      <c r="O562" s="27" t="str">
        <f aca="false">IF(OR(N562="",H562=""),"",H562-N562)</f>
        <v/>
      </c>
      <c r="P562" s="25" t="str">
        <f aca="false">IF(O562="","",IF(O562&lt;0,"CONTRATO ANTERIOR À ABERTURA — conferir datas",IF(O562&lt;180,"EMPRESA ABERTA MENOS DE 6 MESES ANTES","")))</f>
        <v/>
      </c>
      <c r="Q562" s="31" t="str">
        <f aca="false">IF(D562="","",IFERROR(INDEX(Sancoes!$D:$D,MATCH(D562,Sancoes!$C:$C,0)),"não consta"))</f>
        <v/>
      </c>
      <c r="R562" s="25" t="str">
        <f aca="false">IF(OR(D562="",H562=""),"",IF(SUMPRODUCT((Sancoes!$C$5:$C$304=D562)*(Sancoes!$G$5:$G$304&lt;=H562)*(((Sancoes!$H$5:$H$304="")+(Sancoes!$H$5:$H$304&gt;=H562))&gt;0))&gt;0,"SANÇÃO VIGENTE NA DATA — ler tipo e abrangência",""))</f>
        <v/>
      </c>
      <c r="S562" s="24"/>
      <c r="T562" s="11"/>
    </row>
    <row r="563" customFormat="false" ht="15" hidden="false" customHeight="false" outlineLevel="0" collapsed="false">
      <c r="A563" s="11"/>
      <c r="B563" s="24"/>
      <c r="C563" s="24"/>
      <c r="D563" s="31" t="str">
        <f aca="false">IF(C563="","",IF(LEN(UPPER(SUBSTITUTE(SUBSTITUTE(SUBSTITUTE(SUBSTITUTE(TRIM(C563),".",""),"/",""),"-","")," ","")))&lt;14,RIGHT(REPT("0",14)&amp;UPPER(SUBSTITUTE(SUBSTITUTE(SUBSTITUTE(SUBSTITUTE(TRIM(C563),".",""),"/",""),"-","")," ","")),14),UPPER(SUBSTITUTE(SUBSTITUTE(SUBSTITUTE(SUBSTITUTE(TRIM(C563),".",""),"/",""),"-","")," ",""))))</f>
        <v/>
      </c>
      <c r="E563" s="25" t="str">
        <f aca="false">IF(D563="","",IFERROR(INDEX(Empresas!$C:$C,MATCH(D563,Empresas!$B:$B,0)),"cadastre o CNPJ em Empresas"))</f>
        <v/>
      </c>
      <c r="F563" s="11"/>
      <c r="G563" s="23"/>
      <c r="H563" s="22"/>
      <c r="I563" s="35"/>
      <c r="J563" s="35"/>
      <c r="K563" s="36" t="str">
        <f aca="false">IF(I563="","",I563+J563)</f>
        <v/>
      </c>
      <c r="L563" s="37" t="str">
        <f aca="false">IF(OR(I563="",I563=0,J563=""),"",J563/I563)</f>
        <v/>
      </c>
      <c r="M563" s="25" t="str">
        <f aca="false">IF(L563="","",IF(L563&gt;0.25,"ACRÉSCIMO ACIMA DE 25% — conferir",""))</f>
        <v/>
      </c>
      <c r="N563" s="29" t="str">
        <f aca="false">IF(D563="","",IF(COUNTIFS(Empresas!$B:$B,D563,Empresas!$E:$E,"&lt;&gt;")=0,"",INDEX(Empresas!$E:$E,MATCH(D563,Empresas!$B:$B,0))))</f>
        <v/>
      </c>
      <c r="O563" s="27" t="str">
        <f aca="false">IF(OR(N563="",H563=""),"",H563-N563)</f>
        <v/>
      </c>
      <c r="P563" s="25" t="str">
        <f aca="false">IF(O563="","",IF(O563&lt;0,"CONTRATO ANTERIOR À ABERTURA — conferir datas",IF(O563&lt;180,"EMPRESA ABERTA MENOS DE 6 MESES ANTES","")))</f>
        <v/>
      </c>
      <c r="Q563" s="31" t="str">
        <f aca="false">IF(D563="","",IFERROR(INDEX(Sancoes!$D:$D,MATCH(D563,Sancoes!$C:$C,0)),"não consta"))</f>
        <v/>
      </c>
      <c r="R563" s="25" t="str">
        <f aca="false">IF(OR(D563="",H563=""),"",IF(SUMPRODUCT((Sancoes!$C$5:$C$304=D563)*(Sancoes!$G$5:$G$304&lt;=H563)*(((Sancoes!$H$5:$H$304="")+(Sancoes!$H$5:$H$304&gt;=H563))&gt;0))&gt;0,"SANÇÃO VIGENTE NA DATA — ler tipo e abrangência",""))</f>
        <v/>
      </c>
      <c r="S563" s="24"/>
      <c r="T563" s="11"/>
    </row>
    <row r="564" customFormat="false" ht="15" hidden="false" customHeight="false" outlineLevel="0" collapsed="false">
      <c r="A564" s="11"/>
      <c r="B564" s="24"/>
      <c r="C564" s="24"/>
      <c r="D564" s="31" t="str">
        <f aca="false">IF(C564="","",IF(LEN(UPPER(SUBSTITUTE(SUBSTITUTE(SUBSTITUTE(SUBSTITUTE(TRIM(C564),".",""),"/",""),"-","")," ","")))&lt;14,RIGHT(REPT("0",14)&amp;UPPER(SUBSTITUTE(SUBSTITUTE(SUBSTITUTE(SUBSTITUTE(TRIM(C564),".",""),"/",""),"-","")," ","")),14),UPPER(SUBSTITUTE(SUBSTITUTE(SUBSTITUTE(SUBSTITUTE(TRIM(C564),".",""),"/",""),"-","")," ",""))))</f>
        <v/>
      </c>
      <c r="E564" s="25" t="str">
        <f aca="false">IF(D564="","",IFERROR(INDEX(Empresas!$C:$C,MATCH(D564,Empresas!$B:$B,0)),"cadastre o CNPJ em Empresas"))</f>
        <v/>
      </c>
      <c r="F564" s="11"/>
      <c r="G564" s="23"/>
      <c r="H564" s="22"/>
      <c r="I564" s="35"/>
      <c r="J564" s="35"/>
      <c r="K564" s="36" t="str">
        <f aca="false">IF(I564="","",I564+J564)</f>
        <v/>
      </c>
      <c r="L564" s="37" t="str">
        <f aca="false">IF(OR(I564="",I564=0,J564=""),"",J564/I564)</f>
        <v/>
      </c>
      <c r="M564" s="25" t="str">
        <f aca="false">IF(L564="","",IF(L564&gt;0.25,"ACRÉSCIMO ACIMA DE 25% — conferir",""))</f>
        <v/>
      </c>
      <c r="N564" s="29" t="str">
        <f aca="false">IF(D564="","",IF(COUNTIFS(Empresas!$B:$B,D564,Empresas!$E:$E,"&lt;&gt;")=0,"",INDEX(Empresas!$E:$E,MATCH(D564,Empresas!$B:$B,0))))</f>
        <v/>
      </c>
      <c r="O564" s="27" t="str">
        <f aca="false">IF(OR(N564="",H564=""),"",H564-N564)</f>
        <v/>
      </c>
      <c r="P564" s="25" t="str">
        <f aca="false">IF(O564="","",IF(O564&lt;0,"CONTRATO ANTERIOR À ABERTURA — conferir datas",IF(O564&lt;180,"EMPRESA ABERTA MENOS DE 6 MESES ANTES","")))</f>
        <v/>
      </c>
      <c r="Q564" s="31" t="str">
        <f aca="false">IF(D564="","",IFERROR(INDEX(Sancoes!$D:$D,MATCH(D564,Sancoes!$C:$C,0)),"não consta"))</f>
        <v/>
      </c>
      <c r="R564" s="25" t="str">
        <f aca="false">IF(OR(D564="",H564=""),"",IF(SUMPRODUCT((Sancoes!$C$5:$C$304=D564)*(Sancoes!$G$5:$G$304&lt;=H564)*(((Sancoes!$H$5:$H$304="")+(Sancoes!$H$5:$H$304&gt;=H564))&gt;0))&gt;0,"SANÇÃO VIGENTE NA DATA — ler tipo e abrangência",""))</f>
        <v/>
      </c>
      <c r="S564" s="24"/>
      <c r="T564" s="11"/>
    </row>
    <row r="565" customFormat="false" ht="15" hidden="false" customHeight="false" outlineLevel="0" collapsed="false">
      <c r="A565" s="11"/>
      <c r="B565" s="24"/>
      <c r="C565" s="24"/>
      <c r="D565" s="31" t="str">
        <f aca="false">IF(C565="","",IF(LEN(UPPER(SUBSTITUTE(SUBSTITUTE(SUBSTITUTE(SUBSTITUTE(TRIM(C565),".",""),"/",""),"-","")," ","")))&lt;14,RIGHT(REPT("0",14)&amp;UPPER(SUBSTITUTE(SUBSTITUTE(SUBSTITUTE(SUBSTITUTE(TRIM(C565),".",""),"/",""),"-","")," ","")),14),UPPER(SUBSTITUTE(SUBSTITUTE(SUBSTITUTE(SUBSTITUTE(TRIM(C565),".",""),"/",""),"-","")," ",""))))</f>
        <v/>
      </c>
      <c r="E565" s="25" t="str">
        <f aca="false">IF(D565="","",IFERROR(INDEX(Empresas!$C:$C,MATCH(D565,Empresas!$B:$B,0)),"cadastre o CNPJ em Empresas"))</f>
        <v/>
      </c>
      <c r="F565" s="11"/>
      <c r="G565" s="23"/>
      <c r="H565" s="22"/>
      <c r="I565" s="35"/>
      <c r="J565" s="35"/>
      <c r="K565" s="36" t="str">
        <f aca="false">IF(I565="","",I565+J565)</f>
        <v/>
      </c>
      <c r="L565" s="37" t="str">
        <f aca="false">IF(OR(I565="",I565=0,J565=""),"",J565/I565)</f>
        <v/>
      </c>
      <c r="M565" s="25" t="str">
        <f aca="false">IF(L565="","",IF(L565&gt;0.25,"ACRÉSCIMO ACIMA DE 25% — conferir",""))</f>
        <v/>
      </c>
      <c r="N565" s="29" t="str">
        <f aca="false">IF(D565="","",IF(COUNTIFS(Empresas!$B:$B,D565,Empresas!$E:$E,"&lt;&gt;")=0,"",INDEX(Empresas!$E:$E,MATCH(D565,Empresas!$B:$B,0))))</f>
        <v/>
      </c>
      <c r="O565" s="27" t="str">
        <f aca="false">IF(OR(N565="",H565=""),"",H565-N565)</f>
        <v/>
      </c>
      <c r="P565" s="25" t="str">
        <f aca="false">IF(O565="","",IF(O565&lt;0,"CONTRATO ANTERIOR À ABERTURA — conferir datas",IF(O565&lt;180,"EMPRESA ABERTA MENOS DE 6 MESES ANTES","")))</f>
        <v/>
      </c>
      <c r="Q565" s="31" t="str">
        <f aca="false">IF(D565="","",IFERROR(INDEX(Sancoes!$D:$D,MATCH(D565,Sancoes!$C:$C,0)),"não consta"))</f>
        <v/>
      </c>
      <c r="R565" s="25" t="str">
        <f aca="false">IF(OR(D565="",H565=""),"",IF(SUMPRODUCT((Sancoes!$C$5:$C$304=D565)*(Sancoes!$G$5:$G$304&lt;=H565)*(((Sancoes!$H$5:$H$304="")+(Sancoes!$H$5:$H$304&gt;=H565))&gt;0))&gt;0,"SANÇÃO VIGENTE NA DATA — ler tipo e abrangência",""))</f>
        <v/>
      </c>
      <c r="S565" s="24"/>
      <c r="T565" s="11"/>
    </row>
    <row r="566" customFormat="false" ht="15" hidden="false" customHeight="false" outlineLevel="0" collapsed="false">
      <c r="A566" s="11"/>
      <c r="B566" s="24"/>
      <c r="C566" s="24"/>
      <c r="D566" s="31" t="str">
        <f aca="false">IF(C566="","",IF(LEN(UPPER(SUBSTITUTE(SUBSTITUTE(SUBSTITUTE(SUBSTITUTE(TRIM(C566),".",""),"/",""),"-","")," ","")))&lt;14,RIGHT(REPT("0",14)&amp;UPPER(SUBSTITUTE(SUBSTITUTE(SUBSTITUTE(SUBSTITUTE(TRIM(C566),".",""),"/",""),"-","")," ","")),14),UPPER(SUBSTITUTE(SUBSTITUTE(SUBSTITUTE(SUBSTITUTE(TRIM(C566),".",""),"/",""),"-","")," ",""))))</f>
        <v/>
      </c>
      <c r="E566" s="25" t="str">
        <f aca="false">IF(D566="","",IFERROR(INDEX(Empresas!$C:$C,MATCH(D566,Empresas!$B:$B,0)),"cadastre o CNPJ em Empresas"))</f>
        <v/>
      </c>
      <c r="F566" s="11"/>
      <c r="G566" s="23"/>
      <c r="H566" s="22"/>
      <c r="I566" s="35"/>
      <c r="J566" s="35"/>
      <c r="K566" s="36" t="str">
        <f aca="false">IF(I566="","",I566+J566)</f>
        <v/>
      </c>
      <c r="L566" s="37" t="str">
        <f aca="false">IF(OR(I566="",I566=0,J566=""),"",J566/I566)</f>
        <v/>
      </c>
      <c r="M566" s="25" t="str">
        <f aca="false">IF(L566="","",IF(L566&gt;0.25,"ACRÉSCIMO ACIMA DE 25% — conferir",""))</f>
        <v/>
      </c>
      <c r="N566" s="29" t="str">
        <f aca="false">IF(D566="","",IF(COUNTIFS(Empresas!$B:$B,D566,Empresas!$E:$E,"&lt;&gt;")=0,"",INDEX(Empresas!$E:$E,MATCH(D566,Empresas!$B:$B,0))))</f>
        <v/>
      </c>
      <c r="O566" s="27" t="str">
        <f aca="false">IF(OR(N566="",H566=""),"",H566-N566)</f>
        <v/>
      </c>
      <c r="P566" s="25" t="str">
        <f aca="false">IF(O566="","",IF(O566&lt;0,"CONTRATO ANTERIOR À ABERTURA — conferir datas",IF(O566&lt;180,"EMPRESA ABERTA MENOS DE 6 MESES ANTES","")))</f>
        <v/>
      </c>
      <c r="Q566" s="31" t="str">
        <f aca="false">IF(D566="","",IFERROR(INDEX(Sancoes!$D:$D,MATCH(D566,Sancoes!$C:$C,0)),"não consta"))</f>
        <v/>
      </c>
      <c r="R566" s="25" t="str">
        <f aca="false">IF(OR(D566="",H566=""),"",IF(SUMPRODUCT((Sancoes!$C$5:$C$304=D566)*(Sancoes!$G$5:$G$304&lt;=H566)*(((Sancoes!$H$5:$H$304="")+(Sancoes!$H$5:$H$304&gt;=H566))&gt;0))&gt;0,"SANÇÃO VIGENTE NA DATA — ler tipo e abrangência",""))</f>
        <v/>
      </c>
      <c r="S566" s="24"/>
      <c r="T566" s="11"/>
    </row>
    <row r="567" customFormat="false" ht="15" hidden="false" customHeight="false" outlineLevel="0" collapsed="false">
      <c r="A567" s="11"/>
      <c r="B567" s="24"/>
      <c r="C567" s="24"/>
      <c r="D567" s="31" t="str">
        <f aca="false">IF(C567="","",IF(LEN(UPPER(SUBSTITUTE(SUBSTITUTE(SUBSTITUTE(SUBSTITUTE(TRIM(C567),".",""),"/",""),"-","")," ","")))&lt;14,RIGHT(REPT("0",14)&amp;UPPER(SUBSTITUTE(SUBSTITUTE(SUBSTITUTE(SUBSTITUTE(TRIM(C567),".",""),"/",""),"-","")," ","")),14),UPPER(SUBSTITUTE(SUBSTITUTE(SUBSTITUTE(SUBSTITUTE(TRIM(C567),".",""),"/",""),"-","")," ",""))))</f>
        <v/>
      </c>
      <c r="E567" s="25" t="str">
        <f aca="false">IF(D567="","",IFERROR(INDEX(Empresas!$C:$C,MATCH(D567,Empresas!$B:$B,0)),"cadastre o CNPJ em Empresas"))</f>
        <v/>
      </c>
      <c r="F567" s="11"/>
      <c r="G567" s="23"/>
      <c r="H567" s="22"/>
      <c r="I567" s="35"/>
      <c r="J567" s="35"/>
      <c r="K567" s="36" t="str">
        <f aca="false">IF(I567="","",I567+J567)</f>
        <v/>
      </c>
      <c r="L567" s="37" t="str">
        <f aca="false">IF(OR(I567="",I567=0,J567=""),"",J567/I567)</f>
        <v/>
      </c>
      <c r="M567" s="25" t="str">
        <f aca="false">IF(L567="","",IF(L567&gt;0.25,"ACRÉSCIMO ACIMA DE 25% — conferir",""))</f>
        <v/>
      </c>
      <c r="N567" s="29" t="str">
        <f aca="false">IF(D567="","",IF(COUNTIFS(Empresas!$B:$B,D567,Empresas!$E:$E,"&lt;&gt;")=0,"",INDEX(Empresas!$E:$E,MATCH(D567,Empresas!$B:$B,0))))</f>
        <v/>
      </c>
      <c r="O567" s="27" t="str">
        <f aca="false">IF(OR(N567="",H567=""),"",H567-N567)</f>
        <v/>
      </c>
      <c r="P567" s="25" t="str">
        <f aca="false">IF(O567="","",IF(O567&lt;0,"CONTRATO ANTERIOR À ABERTURA — conferir datas",IF(O567&lt;180,"EMPRESA ABERTA MENOS DE 6 MESES ANTES","")))</f>
        <v/>
      </c>
      <c r="Q567" s="31" t="str">
        <f aca="false">IF(D567="","",IFERROR(INDEX(Sancoes!$D:$D,MATCH(D567,Sancoes!$C:$C,0)),"não consta"))</f>
        <v/>
      </c>
      <c r="R567" s="25" t="str">
        <f aca="false">IF(OR(D567="",H567=""),"",IF(SUMPRODUCT((Sancoes!$C$5:$C$304=D567)*(Sancoes!$G$5:$G$304&lt;=H567)*(((Sancoes!$H$5:$H$304="")+(Sancoes!$H$5:$H$304&gt;=H567))&gt;0))&gt;0,"SANÇÃO VIGENTE NA DATA — ler tipo e abrangência",""))</f>
        <v/>
      </c>
      <c r="S567" s="24"/>
      <c r="T567" s="11"/>
    </row>
    <row r="568" customFormat="false" ht="15" hidden="false" customHeight="false" outlineLevel="0" collapsed="false">
      <c r="A568" s="11"/>
      <c r="B568" s="24"/>
      <c r="C568" s="24"/>
      <c r="D568" s="31" t="str">
        <f aca="false">IF(C568="","",IF(LEN(UPPER(SUBSTITUTE(SUBSTITUTE(SUBSTITUTE(SUBSTITUTE(TRIM(C568),".",""),"/",""),"-","")," ","")))&lt;14,RIGHT(REPT("0",14)&amp;UPPER(SUBSTITUTE(SUBSTITUTE(SUBSTITUTE(SUBSTITUTE(TRIM(C568),".",""),"/",""),"-","")," ","")),14),UPPER(SUBSTITUTE(SUBSTITUTE(SUBSTITUTE(SUBSTITUTE(TRIM(C568),".",""),"/",""),"-","")," ",""))))</f>
        <v/>
      </c>
      <c r="E568" s="25" t="str">
        <f aca="false">IF(D568="","",IFERROR(INDEX(Empresas!$C:$C,MATCH(D568,Empresas!$B:$B,0)),"cadastre o CNPJ em Empresas"))</f>
        <v/>
      </c>
      <c r="F568" s="11"/>
      <c r="G568" s="23"/>
      <c r="H568" s="22"/>
      <c r="I568" s="35"/>
      <c r="J568" s="35"/>
      <c r="K568" s="36" t="str">
        <f aca="false">IF(I568="","",I568+J568)</f>
        <v/>
      </c>
      <c r="L568" s="37" t="str">
        <f aca="false">IF(OR(I568="",I568=0,J568=""),"",J568/I568)</f>
        <v/>
      </c>
      <c r="M568" s="25" t="str">
        <f aca="false">IF(L568="","",IF(L568&gt;0.25,"ACRÉSCIMO ACIMA DE 25% — conferir",""))</f>
        <v/>
      </c>
      <c r="N568" s="29" t="str">
        <f aca="false">IF(D568="","",IF(COUNTIFS(Empresas!$B:$B,D568,Empresas!$E:$E,"&lt;&gt;")=0,"",INDEX(Empresas!$E:$E,MATCH(D568,Empresas!$B:$B,0))))</f>
        <v/>
      </c>
      <c r="O568" s="27" t="str">
        <f aca="false">IF(OR(N568="",H568=""),"",H568-N568)</f>
        <v/>
      </c>
      <c r="P568" s="25" t="str">
        <f aca="false">IF(O568="","",IF(O568&lt;0,"CONTRATO ANTERIOR À ABERTURA — conferir datas",IF(O568&lt;180,"EMPRESA ABERTA MENOS DE 6 MESES ANTES","")))</f>
        <v/>
      </c>
      <c r="Q568" s="31" t="str">
        <f aca="false">IF(D568="","",IFERROR(INDEX(Sancoes!$D:$D,MATCH(D568,Sancoes!$C:$C,0)),"não consta"))</f>
        <v/>
      </c>
      <c r="R568" s="25" t="str">
        <f aca="false">IF(OR(D568="",H568=""),"",IF(SUMPRODUCT((Sancoes!$C$5:$C$304=D568)*(Sancoes!$G$5:$G$304&lt;=H568)*(((Sancoes!$H$5:$H$304="")+(Sancoes!$H$5:$H$304&gt;=H568))&gt;0))&gt;0,"SANÇÃO VIGENTE NA DATA — ler tipo e abrangência",""))</f>
        <v/>
      </c>
      <c r="S568" s="24"/>
      <c r="T568" s="11"/>
    </row>
    <row r="569" customFormat="false" ht="15" hidden="false" customHeight="false" outlineLevel="0" collapsed="false">
      <c r="A569" s="11"/>
      <c r="B569" s="24"/>
      <c r="C569" s="24"/>
      <c r="D569" s="31" t="str">
        <f aca="false">IF(C569="","",IF(LEN(UPPER(SUBSTITUTE(SUBSTITUTE(SUBSTITUTE(SUBSTITUTE(TRIM(C569),".",""),"/",""),"-","")," ","")))&lt;14,RIGHT(REPT("0",14)&amp;UPPER(SUBSTITUTE(SUBSTITUTE(SUBSTITUTE(SUBSTITUTE(TRIM(C569),".",""),"/",""),"-","")," ","")),14),UPPER(SUBSTITUTE(SUBSTITUTE(SUBSTITUTE(SUBSTITUTE(TRIM(C569),".",""),"/",""),"-","")," ",""))))</f>
        <v/>
      </c>
      <c r="E569" s="25" t="str">
        <f aca="false">IF(D569="","",IFERROR(INDEX(Empresas!$C:$C,MATCH(D569,Empresas!$B:$B,0)),"cadastre o CNPJ em Empresas"))</f>
        <v/>
      </c>
      <c r="F569" s="11"/>
      <c r="G569" s="23"/>
      <c r="H569" s="22"/>
      <c r="I569" s="35"/>
      <c r="J569" s="35"/>
      <c r="K569" s="36" t="str">
        <f aca="false">IF(I569="","",I569+J569)</f>
        <v/>
      </c>
      <c r="L569" s="37" t="str">
        <f aca="false">IF(OR(I569="",I569=0,J569=""),"",J569/I569)</f>
        <v/>
      </c>
      <c r="M569" s="25" t="str">
        <f aca="false">IF(L569="","",IF(L569&gt;0.25,"ACRÉSCIMO ACIMA DE 25% — conferir",""))</f>
        <v/>
      </c>
      <c r="N569" s="29" t="str">
        <f aca="false">IF(D569="","",IF(COUNTIFS(Empresas!$B:$B,D569,Empresas!$E:$E,"&lt;&gt;")=0,"",INDEX(Empresas!$E:$E,MATCH(D569,Empresas!$B:$B,0))))</f>
        <v/>
      </c>
      <c r="O569" s="27" t="str">
        <f aca="false">IF(OR(N569="",H569=""),"",H569-N569)</f>
        <v/>
      </c>
      <c r="P569" s="25" t="str">
        <f aca="false">IF(O569="","",IF(O569&lt;0,"CONTRATO ANTERIOR À ABERTURA — conferir datas",IF(O569&lt;180,"EMPRESA ABERTA MENOS DE 6 MESES ANTES","")))</f>
        <v/>
      </c>
      <c r="Q569" s="31" t="str">
        <f aca="false">IF(D569="","",IFERROR(INDEX(Sancoes!$D:$D,MATCH(D569,Sancoes!$C:$C,0)),"não consta"))</f>
        <v/>
      </c>
      <c r="R569" s="25" t="str">
        <f aca="false">IF(OR(D569="",H569=""),"",IF(SUMPRODUCT((Sancoes!$C$5:$C$304=D569)*(Sancoes!$G$5:$G$304&lt;=H569)*(((Sancoes!$H$5:$H$304="")+(Sancoes!$H$5:$H$304&gt;=H569))&gt;0))&gt;0,"SANÇÃO VIGENTE NA DATA — ler tipo e abrangência",""))</f>
        <v/>
      </c>
      <c r="S569" s="24"/>
      <c r="T569" s="11"/>
    </row>
    <row r="570" customFormat="false" ht="15" hidden="false" customHeight="false" outlineLevel="0" collapsed="false">
      <c r="A570" s="11"/>
      <c r="B570" s="24"/>
      <c r="C570" s="24"/>
      <c r="D570" s="31" t="str">
        <f aca="false">IF(C570="","",IF(LEN(UPPER(SUBSTITUTE(SUBSTITUTE(SUBSTITUTE(SUBSTITUTE(TRIM(C570),".",""),"/",""),"-","")," ","")))&lt;14,RIGHT(REPT("0",14)&amp;UPPER(SUBSTITUTE(SUBSTITUTE(SUBSTITUTE(SUBSTITUTE(TRIM(C570),".",""),"/",""),"-","")," ","")),14),UPPER(SUBSTITUTE(SUBSTITUTE(SUBSTITUTE(SUBSTITUTE(TRIM(C570),".",""),"/",""),"-","")," ",""))))</f>
        <v/>
      </c>
      <c r="E570" s="25" t="str">
        <f aca="false">IF(D570="","",IFERROR(INDEX(Empresas!$C:$C,MATCH(D570,Empresas!$B:$B,0)),"cadastre o CNPJ em Empresas"))</f>
        <v/>
      </c>
      <c r="F570" s="11"/>
      <c r="G570" s="23"/>
      <c r="H570" s="22"/>
      <c r="I570" s="35"/>
      <c r="J570" s="35"/>
      <c r="K570" s="36" t="str">
        <f aca="false">IF(I570="","",I570+J570)</f>
        <v/>
      </c>
      <c r="L570" s="37" t="str">
        <f aca="false">IF(OR(I570="",I570=0,J570=""),"",J570/I570)</f>
        <v/>
      </c>
      <c r="M570" s="25" t="str">
        <f aca="false">IF(L570="","",IF(L570&gt;0.25,"ACRÉSCIMO ACIMA DE 25% — conferir",""))</f>
        <v/>
      </c>
      <c r="N570" s="29" t="str">
        <f aca="false">IF(D570="","",IF(COUNTIFS(Empresas!$B:$B,D570,Empresas!$E:$E,"&lt;&gt;")=0,"",INDEX(Empresas!$E:$E,MATCH(D570,Empresas!$B:$B,0))))</f>
        <v/>
      </c>
      <c r="O570" s="27" t="str">
        <f aca="false">IF(OR(N570="",H570=""),"",H570-N570)</f>
        <v/>
      </c>
      <c r="P570" s="25" t="str">
        <f aca="false">IF(O570="","",IF(O570&lt;0,"CONTRATO ANTERIOR À ABERTURA — conferir datas",IF(O570&lt;180,"EMPRESA ABERTA MENOS DE 6 MESES ANTES","")))</f>
        <v/>
      </c>
      <c r="Q570" s="31" t="str">
        <f aca="false">IF(D570="","",IFERROR(INDEX(Sancoes!$D:$D,MATCH(D570,Sancoes!$C:$C,0)),"não consta"))</f>
        <v/>
      </c>
      <c r="R570" s="25" t="str">
        <f aca="false">IF(OR(D570="",H570=""),"",IF(SUMPRODUCT((Sancoes!$C$5:$C$304=D570)*(Sancoes!$G$5:$G$304&lt;=H570)*(((Sancoes!$H$5:$H$304="")+(Sancoes!$H$5:$H$304&gt;=H570))&gt;0))&gt;0,"SANÇÃO VIGENTE NA DATA — ler tipo e abrangência",""))</f>
        <v/>
      </c>
      <c r="S570" s="24"/>
      <c r="T570" s="11"/>
    </row>
    <row r="571" customFormat="false" ht="15" hidden="false" customHeight="false" outlineLevel="0" collapsed="false">
      <c r="A571" s="11"/>
      <c r="B571" s="24"/>
      <c r="C571" s="24"/>
      <c r="D571" s="31" t="str">
        <f aca="false">IF(C571="","",IF(LEN(UPPER(SUBSTITUTE(SUBSTITUTE(SUBSTITUTE(SUBSTITUTE(TRIM(C571),".",""),"/",""),"-","")," ","")))&lt;14,RIGHT(REPT("0",14)&amp;UPPER(SUBSTITUTE(SUBSTITUTE(SUBSTITUTE(SUBSTITUTE(TRIM(C571),".",""),"/",""),"-","")," ","")),14),UPPER(SUBSTITUTE(SUBSTITUTE(SUBSTITUTE(SUBSTITUTE(TRIM(C571),".",""),"/",""),"-","")," ",""))))</f>
        <v/>
      </c>
      <c r="E571" s="25" t="str">
        <f aca="false">IF(D571="","",IFERROR(INDEX(Empresas!$C:$C,MATCH(D571,Empresas!$B:$B,0)),"cadastre o CNPJ em Empresas"))</f>
        <v/>
      </c>
      <c r="F571" s="11"/>
      <c r="G571" s="23"/>
      <c r="H571" s="22"/>
      <c r="I571" s="35"/>
      <c r="J571" s="35"/>
      <c r="K571" s="36" t="str">
        <f aca="false">IF(I571="","",I571+J571)</f>
        <v/>
      </c>
      <c r="L571" s="37" t="str">
        <f aca="false">IF(OR(I571="",I571=0,J571=""),"",J571/I571)</f>
        <v/>
      </c>
      <c r="M571" s="25" t="str">
        <f aca="false">IF(L571="","",IF(L571&gt;0.25,"ACRÉSCIMO ACIMA DE 25% — conferir",""))</f>
        <v/>
      </c>
      <c r="N571" s="29" t="str">
        <f aca="false">IF(D571="","",IF(COUNTIFS(Empresas!$B:$B,D571,Empresas!$E:$E,"&lt;&gt;")=0,"",INDEX(Empresas!$E:$E,MATCH(D571,Empresas!$B:$B,0))))</f>
        <v/>
      </c>
      <c r="O571" s="27" t="str">
        <f aca="false">IF(OR(N571="",H571=""),"",H571-N571)</f>
        <v/>
      </c>
      <c r="P571" s="25" t="str">
        <f aca="false">IF(O571="","",IF(O571&lt;0,"CONTRATO ANTERIOR À ABERTURA — conferir datas",IF(O571&lt;180,"EMPRESA ABERTA MENOS DE 6 MESES ANTES","")))</f>
        <v/>
      </c>
      <c r="Q571" s="31" t="str">
        <f aca="false">IF(D571="","",IFERROR(INDEX(Sancoes!$D:$D,MATCH(D571,Sancoes!$C:$C,0)),"não consta"))</f>
        <v/>
      </c>
      <c r="R571" s="25" t="str">
        <f aca="false">IF(OR(D571="",H571=""),"",IF(SUMPRODUCT((Sancoes!$C$5:$C$304=D571)*(Sancoes!$G$5:$G$304&lt;=H571)*(((Sancoes!$H$5:$H$304="")+(Sancoes!$H$5:$H$304&gt;=H571))&gt;0))&gt;0,"SANÇÃO VIGENTE NA DATA — ler tipo e abrangência",""))</f>
        <v/>
      </c>
      <c r="S571" s="24"/>
      <c r="T571" s="11"/>
    </row>
    <row r="572" customFormat="false" ht="15" hidden="false" customHeight="false" outlineLevel="0" collapsed="false">
      <c r="A572" s="11"/>
      <c r="B572" s="24"/>
      <c r="C572" s="24"/>
      <c r="D572" s="31" t="str">
        <f aca="false">IF(C572="","",IF(LEN(UPPER(SUBSTITUTE(SUBSTITUTE(SUBSTITUTE(SUBSTITUTE(TRIM(C572),".",""),"/",""),"-","")," ","")))&lt;14,RIGHT(REPT("0",14)&amp;UPPER(SUBSTITUTE(SUBSTITUTE(SUBSTITUTE(SUBSTITUTE(TRIM(C572),".",""),"/",""),"-","")," ","")),14),UPPER(SUBSTITUTE(SUBSTITUTE(SUBSTITUTE(SUBSTITUTE(TRIM(C572),".",""),"/",""),"-","")," ",""))))</f>
        <v/>
      </c>
      <c r="E572" s="25" t="str">
        <f aca="false">IF(D572="","",IFERROR(INDEX(Empresas!$C:$C,MATCH(D572,Empresas!$B:$B,0)),"cadastre o CNPJ em Empresas"))</f>
        <v/>
      </c>
      <c r="F572" s="11"/>
      <c r="G572" s="23"/>
      <c r="H572" s="22"/>
      <c r="I572" s="35"/>
      <c r="J572" s="35"/>
      <c r="K572" s="36" t="str">
        <f aca="false">IF(I572="","",I572+J572)</f>
        <v/>
      </c>
      <c r="L572" s="37" t="str">
        <f aca="false">IF(OR(I572="",I572=0,J572=""),"",J572/I572)</f>
        <v/>
      </c>
      <c r="M572" s="25" t="str">
        <f aca="false">IF(L572="","",IF(L572&gt;0.25,"ACRÉSCIMO ACIMA DE 25% — conferir",""))</f>
        <v/>
      </c>
      <c r="N572" s="29" t="str">
        <f aca="false">IF(D572="","",IF(COUNTIFS(Empresas!$B:$B,D572,Empresas!$E:$E,"&lt;&gt;")=0,"",INDEX(Empresas!$E:$E,MATCH(D572,Empresas!$B:$B,0))))</f>
        <v/>
      </c>
      <c r="O572" s="27" t="str">
        <f aca="false">IF(OR(N572="",H572=""),"",H572-N572)</f>
        <v/>
      </c>
      <c r="P572" s="25" t="str">
        <f aca="false">IF(O572="","",IF(O572&lt;0,"CONTRATO ANTERIOR À ABERTURA — conferir datas",IF(O572&lt;180,"EMPRESA ABERTA MENOS DE 6 MESES ANTES","")))</f>
        <v/>
      </c>
      <c r="Q572" s="31" t="str">
        <f aca="false">IF(D572="","",IFERROR(INDEX(Sancoes!$D:$D,MATCH(D572,Sancoes!$C:$C,0)),"não consta"))</f>
        <v/>
      </c>
      <c r="R572" s="25" t="str">
        <f aca="false">IF(OR(D572="",H572=""),"",IF(SUMPRODUCT((Sancoes!$C$5:$C$304=D572)*(Sancoes!$G$5:$G$304&lt;=H572)*(((Sancoes!$H$5:$H$304="")+(Sancoes!$H$5:$H$304&gt;=H572))&gt;0))&gt;0,"SANÇÃO VIGENTE NA DATA — ler tipo e abrangência",""))</f>
        <v/>
      </c>
      <c r="S572" s="24"/>
      <c r="T572" s="11"/>
    </row>
    <row r="573" customFormat="false" ht="15" hidden="false" customHeight="false" outlineLevel="0" collapsed="false">
      <c r="A573" s="11"/>
      <c r="B573" s="24"/>
      <c r="C573" s="24"/>
      <c r="D573" s="31" t="str">
        <f aca="false">IF(C573="","",IF(LEN(UPPER(SUBSTITUTE(SUBSTITUTE(SUBSTITUTE(SUBSTITUTE(TRIM(C573),".",""),"/",""),"-","")," ","")))&lt;14,RIGHT(REPT("0",14)&amp;UPPER(SUBSTITUTE(SUBSTITUTE(SUBSTITUTE(SUBSTITUTE(TRIM(C573),".",""),"/",""),"-","")," ","")),14),UPPER(SUBSTITUTE(SUBSTITUTE(SUBSTITUTE(SUBSTITUTE(TRIM(C573),".",""),"/",""),"-","")," ",""))))</f>
        <v/>
      </c>
      <c r="E573" s="25" t="str">
        <f aca="false">IF(D573="","",IFERROR(INDEX(Empresas!$C:$C,MATCH(D573,Empresas!$B:$B,0)),"cadastre o CNPJ em Empresas"))</f>
        <v/>
      </c>
      <c r="F573" s="11"/>
      <c r="G573" s="23"/>
      <c r="H573" s="22"/>
      <c r="I573" s="35"/>
      <c r="J573" s="35"/>
      <c r="K573" s="36" t="str">
        <f aca="false">IF(I573="","",I573+J573)</f>
        <v/>
      </c>
      <c r="L573" s="37" t="str">
        <f aca="false">IF(OR(I573="",I573=0,J573=""),"",J573/I573)</f>
        <v/>
      </c>
      <c r="M573" s="25" t="str">
        <f aca="false">IF(L573="","",IF(L573&gt;0.25,"ACRÉSCIMO ACIMA DE 25% — conferir",""))</f>
        <v/>
      </c>
      <c r="N573" s="29" t="str">
        <f aca="false">IF(D573="","",IF(COUNTIFS(Empresas!$B:$B,D573,Empresas!$E:$E,"&lt;&gt;")=0,"",INDEX(Empresas!$E:$E,MATCH(D573,Empresas!$B:$B,0))))</f>
        <v/>
      </c>
      <c r="O573" s="27" t="str">
        <f aca="false">IF(OR(N573="",H573=""),"",H573-N573)</f>
        <v/>
      </c>
      <c r="P573" s="25" t="str">
        <f aca="false">IF(O573="","",IF(O573&lt;0,"CONTRATO ANTERIOR À ABERTURA — conferir datas",IF(O573&lt;180,"EMPRESA ABERTA MENOS DE 6 MESES ANTES","")))</f>
        <v/>
      </c>
      <c r="Q573" s="31" t="str">
        <f aca="false">IF(D573="","",IFERROR(INDEX(Sancoes!$D:$D,MATCH(D573,Sancoes!$C:$C,0)),"não consta"))</f>
        <v/>
      </c>
      <c r="R573" s="25" t="str">
        <f aca="false">IF(OR(D573="",H573=""),"",IF(SUMPRODUCT((Sancoes!$C$5:$C$304=D573)*(Sancoes!$G$5:$G$304&lt;=H573)*(((Sancoes!$H$5:$H$304="")+(Sancoes!$H$5:$H$304&gt;=H573))&gt;0))&gt;0,"SANÇÃO VIGENTE NA DATA — ler tipo e abrangência",""))</f>
        <v/>
      </c>
      <c r="S573" s="24"/>
      <c r="T573" s="11"/>
    </row>
    <row r="574" customFormat="false" ht="15" hidden="false" customHeight="false" outlineLevel="0" collapsed="false">
      <c r="A574" s="11"/>
      <c r="B574" s="24"/>
      <c r="C574" s="24"/>
      <c r="D574" s="31" t="str">
        <f aca="false">IF(C574="","",IF(LEN(UPPER(SUBSTITUTE(SUBSTITUTE(SUBSTITUTE(SUBSTITUTE(TRIM(C574),".",""),"/",""),"-","")," ","")))&lt;14,RIGHT(REPT("0",14)&amp;UPPER(SUBSTITUTE(SUBSTITUTE(SUBSTITUTE(SUBSTITUTE(TRIM(C574),".",""),"/",""),"-","")," ","")),14),UPPER(SUBSTITUTE(SUBSTITUTE(SUBSTITUTE(SUBSTITUTE(TRIM(C574),".",""),"/",""),"-","")," ",""))))</f>
        <v/>
      </c>
      <c r="E574" s="25" t="str">
        <f aca="false">IF(D574="","",IFERROR(INDEX(Empresas!$C:$C,MATCH(D574,Empresas!$B:$B,0)),"cadastre o CNPJ em Empresas"))</f>
        <v/>
      </c>
      <c r="F574" s="11"/>
      <c r="G574" s="23"/>
      <c r="H574" s="22"/>
      <c r="I574" s="35"/>
      <c r="J574" s="35"/>
      <c r="K574" s="36" t="str">
        <f aca="false">IF(I574="","",I574+J574)</f>
        <v/>
      </c>
      <c r="L574" s="37" t="str">
        <f aca="false">IF(OR(I574="",I574=0,J574=""),"",J574/I574)</f>
        <v/>
      </c>
      <c r="M574" s="25" t="str">
        <f aca="false">IF(L574="","",IF(L574&gt;0.25,"ACRÉSCIMO ACIMA DE 25% — conferir",""))</f>
        <v/>
      </c>
      <c r="N574" s="29" t="str">
        <f aca="false">IF(D574="","",IF(COUNTIFS(Empresas!$B:$B,D574,Empresas!$E:$E,"&lt;&gt;")=0,"",INDEX(Empresas!$E:$E,MATCH(D574,Empresas!$B:$B,0))))</f>
        <v/>
      </c>
      <c r="O574" s="27" t="str">
        <f aca="false">IF(OR(N574="",H574=""),"",H574-N574)</f>
        <v/>
      </c>
      <c r="P574" s="25" t="str">
        <f aca="false">IF(O574="","",IF(O574&lt;0,"CONTRATO ANTERIOR À ABERTURA — conferir datas",IF(O574&lt;180,"EMPRESA ABERTA MENOS DE 6 MESES ANTES","")))</f>
        <v/>
      </c>
      <c r="Q574" s="31" t="str">
        <f aca="false">IF(D574="","",IFERROR(INDEX(Sancoes!$D:$D,MATCH(D574,Sancoes!$C:$C,0)),"não consta"))</f>
        <v/>
      </c>
      <c r="R574" s="25" t="str">
        <f aca="false">IF(OR(D574="",H574=""),"",IF(SUMPRODUCT((Sancoes!$C$5:$C$304=D574)*(Sancoes!$G$5:$G$304&lt;=H574)*(((Sancoes!$H$5:$H$304="")+(Sancoes!$H$5:$H$304&gt;=H574))&gt;0))&gt;0,"SANÇÃO VIGENTE NA DATA — ler tipo e abrangência",""))</f>
        <v/>
      </c>
      <c r="S574" s="24"/>
      <c r="T574" s="11"/>
    </row>
    <row r="575" customFormat="false" ht="15" hidden="false" customHeight="false" outlineLevel="0" collapsed="false">
      <c r="A575" s="11"/>
      <c r="B575" s="24"/>
      <c r="C575" s="24"/>
      <c r="D575" s="31" t="str">
        <f aca="false">IF(C575="","",IF(LEN(UPPER(SUBSTITUTE(SUBSTITUTE(SUBSTITUTE(SUBSTITUTE(TRIM(C575),".",""),"/",""),"-","")," ","")))&lt;14,RIGHT(REPT("0",14)&amp;UPPER(SUBSTITUTE(SUBSTITUTE(SUBSTITUTE(SUBSTITUTE(TRIM(C575),".",""),"/",""),"-","")," ","")),14),UPPER(SUBSTITUTE(SUBSTITUTE(SUBSTITUTE(SUBSTITUTE(TRIM(C575),".",""),"/",""),"-","")," ",""))))</f>
        <v/>
      </c>
      <c r="E575" s="25" t="str">
        <f aca="false">IF(D575="","",IFERROR(INDEX(Empresas!$C:$C,MATCH(D575,Empresas!$B:$B,0)),"cadastre o CNPJ em Empresas"))</f>
        <v/>
      </c>
      <c r="F575" s="11"/>
      <c r="G575" s="23"/>
      <c r="H575" s="22"/>
      <c r="I575" s="35"/>
      <c r="J575" s="35"/>
      <c r="K575" s="36" t="str">
        <f aca="false">IF(I575="","",I575+J575)</f>
        <v/>
      </c>
      <c r="L575" s="37" t="str">
        <f aca="false">IF(OR(I575="",I575=0,J575=""),"",J575/I575)</f>
        <v/>
      </c>
      <c r="M575" s="25" t="str">
        <f aca="false">IF(L575="","",IF(L575&gt;0.25,"ACRÉSCIMO ACIMA DE 25% — conferir",""))</f>
        <v/>
      </c>
      <c r="N575" s="29" t="str">
        <f aca="false">IF(D575="","",IF(COUNTIFS(Empresas!$B:$B,D575,Empresas!$E:$E,"&lt;&gt;")=0,"",INDEX(Empresas!$E:$E,MATCH(D575,Empresas!$B:$B,0))))</f>
        <v/>
      </c>
      <c r="O575" s="27" t="str">
        <f aca="false">IF(OR(N575="",H575=""),"",H575-N575)</f>
        <v/>
      </c>
      <c r="P575" s="25" t="str">
        <f aca="false">IF(O575="","",IF(O575&lt;0,"CONTRATO ANTERIOR À ABERTURA — conferir datas",IF(O575&lt;180,"EMPRESA ABERTA MENOS DE 6 MESES ANTES","")))</f>
        <v/>
      </c>
      <c r="Q575" s="31" t="str">
        <f aca="false">IF(D575="","",IFERROR(INDEX(Sancoes!$D:$D,MATCH(D575,Sancoes!$C:$C,0)),"não consta"))</f>
        <v/>
      </c>
      <c r="R575" s="25" t="str">
        <f aca="false">IF(OR(D575="",H575=""),"",IF(SUMPRODUCT((Sancoes!$C$5:$C$304=D575)*(Sancoes!$G$5:$G$304&lt;=H575)*(((Sancoes!$H$5:$H$304="")+(Sancoes!$H$5:$H$304&gt;=H575))&gt;0))&gt;0,"SANÇÃO VIGENTE NA DATA — ler tipo e abrangência",""))</f>
        <v/>
      </c>
      <c r="S575" s="24"/>
      <c r="T575" s="11"/>
    </row>
    <row r="576" customFormat="false" ht="15" hidden="false" customHeight="false" outlineLevel="0" collapsed="false">
      <c r="A576" s="11"/>
      <c r="B576" s="24"/>
      <c r="C576" s="24"/>
      <c r="D576" s="31" t="str">
        <f aca="false">IF(C576="","",IF(LEN(UPPER(SUBSTITUTE(SUBSTITUTE(SUBSTITUTE(SUBSTITUTE(TRIM(C576),".",""),"/",""),"-","")," ","")))&lt;14,RIGHT(REPT("0",14)&amp;UPPER(SUBSTITUTE(SUBSTITUTE(SUBSTITUTE(SUBSTITUTE(TRIM(C576),".",""),"/",""),"-","")," ","")),14),UPPER(SUBSTITUTE(SUBSTITUTE(SUBSTITUTE(SUBSTITUTE(TRIM(C576),".",""),"/",""),"-","")," ",""))))</f>
        <v/>
      </c>
      <c r="E576" s="25" t="str">
        <f aca="false">IF(D576="","",IFERROR(INDEX(Empresas!$C:$C,MATCH(D576,Empresas!$B:$B,0)),"cadastre o CNPJ em Empresas"))</f>
        <v/>
      </c>
      <c r="F576" s="11"/>
      <c r="G576" s="23"/>
      <c r="H576" s="22"/>
      <c r="I576" s="35"/>
      <c r="J576" s="35"/>
      <c r="K576" s="36" t="str">
        <f aca="false">IF(I576="","",I576+J576)</f>
        <v/>
      </c>
      <c r="L576" s="37" t="str">
        <f aca="false">IF(OR(I576="",I576=0,J576=""),"",J576/I576)</f>
        <v/>
      </c>
      <c r="M576" s="25" t="str">
        <f aca="false">IF(L576="","",IF(L576&gt;0.25,"ACRÉSCIMO ACIMA DE 25% — conferir",""))</f>
        <v/>
      </c>
      <c r="N576" s="29" t="str">
        <f aca="false">IF(D576="","",IF(COUNTIFS(Empresas!$B:$B,D576,Empresas!$E:$E,"&lt;&gt;")=0,"",INDEX(Empresas!$E:$E,MATCH(D576,Empresas!$B:$B,0))))</f>
        <v/>
      </c>
      <c r="O576" s="27" t="str">
        <f aca="false">IF(OR(N576="",H576=""),"",H576-N576)</f>
        <v/>
      </c>
      <c r="P576" s="25" t="str">
        <f aca="false">IF(O576="","",IF(O576&lt;0,"CONTRATO ANTERIOR À ABERTURA — conferir datas",IF(O576&lt;180,"EMPRESA ABERTA MENOS DE 6 MESES ANTES","")))</f>
        <v/>
      </c>
      <c r="Q576" s="31" t="str">
        <f aca="false">IF(D576="","",IFERROR(INDEX(Sancoes!$D:$D,MATCH(D576,Sancoes!$C:$C,0)),"não consta"))</f>
        <v/>
      </c>
      <c r="R576" s="25" t="str">
        <f aca="false">IF(OR(D576="",H576=""),"",IF(SUMPRODUCT((Sancoes!$C$5:$C$304=D576)*(Sancoes!$G$5:$G$304&lt;=H576)*(((Sancoes!$H$5:$H$304="")+(Sancoes!$H$5:$H$304&gt;=H576))&gt;0))&gt;0,"SANÇÃO VIGENTE NA DATA — ler tipo e abrangência",""))</f>
        <v/>
      </c>
      <c r="S576" s="24"/>
      <c r="T576" s="11"/>
    </row>
    <row r="577" customFormat="false" ht="15" hidden="false" customHeight="false" outlineLevel="0" collapsed="false">
      <c r="A577" s="11"/>
      <c r="B577" s="24"/>
      <c r="C577" s="24"/>
      <c r="D577" s="31" t="str">
        <f aca="false">IF(C577="","",IF(LEN(UPPER(SUBSTITUTE(SUBSTITUTE(SUBSTITUTE(SUBSTITUTE(TRIM(C577),".",""),"/",""),"-","")," ","")))&lt;14,RIGHT(REPT("0",14)&amp;UPPER(SUBSTITUTE(SUBSTITUTE(SUBSTITUTE(SUBSTITUTE(TRIM(C577),".",""),"/",""),"-","")," ","")),14),UPPER(SUBSTITUTE(SUBSTITUTE(SUBSTITUTE(SUBSTITUTE(TRIM(C577),".",""),"/",""),"-","")," ",""))))</f>
        <v/>
      </c>
      <c r="E577" s="25" t="str">
        <f aca="false">IF(D577="","",IFERROR(INDEX(Empresas!$C:$C,MATCH(D577,Empresas!$B:$B,0)),"cadastre o CNPJ em Empresas"))</f>
        <v/>
      </c>
      <c r="F577" s="11"/>
      <c r="G577" s="23"/>
      <c r="H577" s="22"/>
      <c r="I577" s="35"/>
      <c r="J577" s="35"/>
      <c r="K577" s="36" t="str">
        <f aca="false">IF(I577="","",I577+J577)</f>
        <v/>
      </c>
      <c r="L577" s="37" t="str">
        <f aca="false">IF(OR(I577="",I577=0,J577=""),"",J577/I577)</f>
        <v/>
      </c>
      <c r="M577" s="25" t="str">
        <f aca="false">IF(L577="","",IF(L577&gt;0.25,"ACRÉSCIMO ACIMA DE 25% — conferir",""))</f>
        <v/>
      </c>
      <c r="N577" s="29" t="str">
        <f aca="false">IF(D577="","",IF(COUNTIFS(Empresas!$B:$B,D577,Empresas!$E:$E,"&lt;&gt;")=0,"",INDEX(Empresas!$E:$E,MATCH(D577,Empresas!$B:$B,0))))</f>
        <v/>
      </c>
      <c r="O577" s="27" t="str">
        <f aca="false">IF(OR(N577="",H577=""),"",H577-N577)</f>
        <v/>
      </c>
      <c r="P577" s="25" t="str">
        <f aca="false">IF(O577="","",IF(O577&lt;0,"CONTRATO ANTERIOR À ABERTURA — conferir datas",IF(O577&lt;180,"EMPRESA ABERTA MENOS DE 6 MESES ANTES","")))</f>
        <v/>
      </c>
      <c r="Q577" s="31" t="str">
        <f aca="false">IF(D577="","",IFERROR(INDEX(Sancoes!$D:$D,MATCH(D577,Sancoes!$C:$C,0)),"não consta"))</f>
        <v/>
      </c>
      <c r="R577" s="25" t="str">
        <f aca="false">IF(OR(D577="",H577=""),"",IF(SUMPRODUCT((Sancoes!$C$5:$C$304=D577)*(Sancoes!$G$5:$G$304&lt;=H577)*(((Sancoes!$H$5:$H$304="")+(Sancoes!$H$5:$H$304&gt;=H577))&gt;0))&gt;0,"SANÇÃO VIGENTE NA DATA — ler tipo e abrangência",""))</f>
        <v/>
      </c>
      <c r="S577" s="24"/>
      <c r="T577" s="11"/>
    </row>
    <row r="578" customFormat="false" ht="15" hidden="false" customHeight="false" outlineLevel="0" collapsed="false">
      <c r="A578" s="11"/>
      <c r="B578" s="24"/>
      <c r="C578" s="24"/>
      <c r="D578" s="31" t="str">
        <f aca="false">IF(C578="","",IF(LEN(UPPER(SUBSTITUTE(SUBSTITUTE(SUBSTITUTE(SUBSTITUTE(TRIM(C578),".",""),"/",""),"-","")," ","")))&lt;14,RIGHT(REPT("0",14)&amp;UPPER(SUBSTITUTE(SUBSTITUTE(SUBSTITUTE(SUBSTITUTE(TRIM(C578),".",""),"/",""),"-","")," ","")),14),UPPER(SUBSTITUTE(SUBSTITUTE(SUBSTITUTE(SUBSTITUTE(TRIM(C578),".",""),"/",""),"-","")," ",""))))</f>
        <v/>
      </c>
      <c r="E578" s="25" t="str">
        <f aca="false">IF(D578="","",IFERROR(INDEX(Empresas!$C:$C,MATCH(D578,Empresas!$B:$B,0)),"cadastre o CNPJ em Empresas"))</f>
        <v/>
      </c>
      <c r="F578" s="11"/>
      <c r="G578" s="23"/>
      <c r="H578" s="22"/>
      <c r="I578" s="35"/>
      <c r="J578" s="35"/>
      <c r="K578" s="36" t="str">
        <f aca="false">IF(I578="","",I578+J578)</f>
        <v/>
      </c>
      <c r="L578" s="37" t="str">
        <f aca="false">IF(OR(I578="",I578=0,J578=""),"",J578/I578)</f>
        <v/>
      </c>
      <c r="M578" s="25" t="str">
        <f aca="false">IF(L578="","",IF(L578&gt;0.25,"ACRÉSCIMO ACIMA DE 25% — conferir",""))</f>
        <v/>
      </c>
      <c r="N578" s="29" t="str">
        <f aca="false">IF(D578="","",IF(COUNTIFS(Empresas!$B:$B,D578,Empresas!$E:$E,"&lt;&gt;")=0,"",INDEX(Empresas!$E:$E,MATCH(D578,Empresas!$B:$B,0))))</f>
        <v/>
      </c>
      <c r="O578" s="27" t="str">
        <f aca="false">IF(OR(N578="",H578=""),"",H578-N578)</f>
        <v/>
      </c>
      <c r="P578" s="25" t="str">
        <f aca="false">IF(O578="","",IF(O578&lt;0,"CONTRATO ANTERIOR À ABERTURA — conferir datas",IF(O578&lt;180,"EMPRESA ABERTA MENOS DE 6 MESES ANTES","")))</f>
        <v/>
      </c>
      <c r="Q578" s="31" t="str">
        <f aca="false">IF(D578="","",IFERROR(INDEX(Sancoes!$D:$D,MATCH(D578,Sancoes!$C:$C,0)),"não consta"))</f>
        <v/>
      </c>
      <c r="R578" s="25" t="str">
        <f aca="false">IF(OR(D578="",H578=""),"",IF(SUMPRODUCT((Sancoes!$C$5:$C$304=D578)*(Sancoes!$G$5:$G$304&lt;=H578)*(((Sancoes!$H$5:$H$304="")+(Sancoes!$H$5:$H$304&gt;=H578))&gt;0))&gt;0,"SANÇÃO VIGENTE NA DATA — ler tipo e abrangência",""))</f>
        <v/>
      </c>
      <c r="S578" s="24"/>
      <c r="T578" s="11"/>
    </row>
    <row r="579" customFormat="false" ht="15" hidden="false" customHeight="false" outlineLevel="0" collapsed="false">
      <c r="A579" s="11"/>
      <c r="B579" s="24"/>
      <c r="C579" s="24"/>
      <c r="D579" s="31" t="str">
        <f aca="false">IF(C579="","",IF(LEN(UPPER(SUBSTITUTE(SUBSTITUTE(SUBSTITUTE(SUBSTITUTE(TRIM(C579),".",""),"/",""),"-","")," ","")))&lt;14,RIGHT(REPT("0",14)&amp;UPPER(SUBSTITUTE(SUBSTITUTE(SUBSTITUTE(SUBSTITUTE(TRIM(C579),".",""),"/",""),"-","")," ","")),14),UPPER(SUBSTITUTE(SUBSTITUTE(SUBSTITUTE(SUBSTITUTE(TRIM(C579),".",""),"/",""),"-","")," ",""))))</f>
        <v/>
      </c>
      <c r="E579" s="25" t="str">
        <f aca="false">IF(D579="","",IFERROR(INDEX(Empresas!$C:$C,MATCH(D579,Empresas!$B:$B,0)),"cadastre o CNPJ em Empresas"))</f>
        <v/>
      </c>
      <c r="F579" s="11"/>
      <c r="G579" s="23"/>
      <c r="H579" s="22"/>
      <c r="I579" s="35"/>
      <c r="J579" s="35"/>
      <c r="K579" s="36" t="str">
        <f aca="false">IF(I579="","",I579+J579)</f>
        <v/>
      </c>
      <c r="L579" s="37" t="str">
        <f aca="false">IF(OR(I579="",I579=0,J579=""),"",J579/I579)</f>
        <v/>
      </c>
      <c r="M579" s="25" t="str">
        <f aca="false">IF(L579="","",IF(L579&gt;0.25,"ACRÉSCIMO ACIMA DE 25% — conferir",""))</f>
        <v/>
      </c>
      <c r="N579" s="29" t="str">
        <f aca="false">IF(D579="","",IF(COUNTIFS(Empresas!$B:$B,D579,Empresas!$E:$E,"&lt;&gt;")=0,"",INDEX(Empresas!$E:$E,MATCH(D579,Empresas!$B:$B,0))))</f>
        <v/>
      </c>
      <c r="O579" s="27" t="str">
        <f aca="false">IF(OR(N579="",H579=""),"",H579-N579)</f>
        <v/>
      </c>
      <c r="P579" s="25" t="str">
        <f aca="false">IF(O579="","",IF(O579&lt;0,"CONTRATO ANTERIOR À ABERTURA — conferir datas",IF(O579&lt;180,"EMPRESA ABERTA MENOS DE 6 MESES ANTES","")))</f>
        <v/>
      </c>
      <c r="Q579" s="31" t="str">
        <f aca="false">IF(D579="","",IFERROR(INDEX(Sancoes!$D:$D,MATCH(D579,Sancoes!$C:$C,0)),"não consta"))</f>
        <v/>
      </c>
      <c r="R579" s="25" t="str">
        <f aca="false">IF(OR(D579="",H579=""),"",IF(SUMPRODUCT((Sancoes!$C$5:$C$304=D579)*(Sancoes!$G$5:$G$304&lt;=H579)*(((Sancoes!$H$5:$H$304="")+(Sancoes!$H$5:$H$304&gt;=H579))&gt;0))&gt;0,"SANÇÃO VIGENTE NA DATA — ler tipo e abrangência",""))</f>
        <v/>
      </c>
      <c r="S579" s="24"/>
      <c r="T579" s="11"/>
    </row>
    <row r="580" customFormat="false" ht="15" hidden="false" customHeight="false" outlineLevel="0" collapsed="false">
      <c r="A580" s="11"/>
      <c r="B580" s="24"/>
      <c r="C580" s="24"/>
      <c r="D580" s="31" t="str">
        <f aca="false">IF(C580="","",IF(LEN(UPPER(SUBSTITUTE(SUBSTITUTE(SUBSTITUTE(SUBSTITUTE(TRIM(C580),".",""),"/",""),"-","")," ","")))&lt;14,RIGHT(REPT("0",14)&amp;UPPER(SUBSTITUTE(SUBSTITUTE(SUBSTITUTE(SUBSTITUTE(TRIM(C580),".",""),"/",""),"-","")," ","")),14),UPPER(SUBSTITUTE(SUBSTITUTE(SUBSTITUTE(SUBSTITUTE(TRIM(C580),".",""),"/",""),"-","")," ",""))))</f>
        <v/>
      </c>
      <c r="E580" s="25" t="str">
        <f aca="false">IF(D580="","",IFERROR(INDEX(Empresas!$C:$C,MATCH(D580,Empresas!$B:$B,0)),"cadastre o CNPJ em Empresas"))</f>
        <v/>
      </c>
      <c r="F580" s="11"/>
      <c r="G580" s="23"/>
      <c r="H580" s="22"/>
      <c r="I580" s="35"/>
      <c r="J580" s="35"/>
      <c r="K580" s="36" t="str">
        <f aca="false">IF(I580="","",I580+J580)</f>
        <v/>
      </c>
      <c r="L580" s="37" t="str">
        <f aca="false">IF(OR(I580="",I580=0,J580=""),"",J580/I580)</f>
        <v/>
      </c>
      <c r="M580" s="25" t="str">
        <f aca="false">IF(L580="","",IF(L580&gt;0.25,"ACRÉSCIMO ACIMA DE 25% — conferir",""))</f>
        <v/>
      </c>
      <c r="N580" s="29" t="str">
        <f aca="false">IF(D580="","",IF(COUNTIFS(Empresas!$B:$B,D580,Empresas!$E:$E,"&lt;&gt;")=0,"",INDEX(Empresas!$E:$E,MATCH(D580,Empresas!$B:$B,0))))</f>
        <v/>
      </c>
      <c r="O580" s="27" t="str">
        <f aca="false">IF(OR(N580="",H580=""),"",H580-N580)</f>
        <v/>
      </c>
      <c r="P580" s="25" t="str">
        <f aca="false">IF(O580="","",IF(O580&lt;0,"CONTRATO ANTERIOR À ABERTURA — conferir datas",IF(O580&lt;180,"EMPRESA ABERTA MENOS DE 6 MESES ANTES","")))</f>
        <v/>
      </c>
      <c r="Q580" s="31" t="str">
        <f aca="false">IF(D580="","",IFERROR(INDEX(Sancoes!$D:$D,MATCH(D580,Sancoes!$C:$C,0)),"não consta"))</f>
        <v/>
      </c>
      <c r="R580" s="25" t="str">
        <f aca="false">IF(OR(D580="",H580=""),"",IF(SUMPRODUCT((Sancoes!$C$5:$C$304=D580)*(Sancoes!$G$5:$G$304&lt;=H580)*(((Sancoes!$H$5:$H$304="")+(Sancoes!$H$5:$H$304&gt;=H580))&gt;0))&gt;0,"SANÇÃO VIGENTE NA DATA — ler tipo e abrangência",""))</f>
        <v/>
      </c>
      <c r="S580" s="24"/>
      <c r="T580" s="11"/>
    </row>
    <row r="581" customFormat="false" ht="15" hidden="false" customHeight="false" outlineLevel="0" collapsed="false">
      <c r="A581" s="11"/>
      <c r="B581" s="24"/>
      <c r="C581" s="24"/>
      <c r="D581" s="31" t="str">
        <f aca="false">IF(C581="","",IF(LEN(UPPER(SUBSTITUTE(SUBSTITUTE(SUBSTITUTE(SUBSTITUTE(TRIM(C581),".",""),"/",""),"-","")," ","")))&lt;14,RIGHT(REPT("0",14)&amp;UPPER(SUBSTITUTE(SUBSTITUTE(SUBSTITUTE(SUBSTITUTE(TRIM(C581),".",""),"/",""),"-","")," ","")),14),UPPER(SUBSTITUTE(SUBSTITUTE(SUBSTITUTE(SUBSTITUTE(TRIM(C581),".",""),"/",""),"-","")," ",""))))</f>
        <v/>
      </c>
      <c r="E581" s="25" t="str">
        <f aca="false">IF(D581="","",IFERROR(INDEX(Empresas!$C:$C,MATCH(D581,Empresas!$B:$B,0)),"cadastre o CNPJ em Empresas"))</f>
        <v/>
      </c>
      <c r="F581" s="11"/>
      <c r="G581" s="23"/>
      <c r="H581" s="22"/>
      <c r="I581" s="35"/>
      <c r="J581" s="35"/>
      <c r="K581" s="36" t="str">
        <f aca="false">IF(I581="","",I581+J581)</f>
        <v/>
      </c>
      <c r="L581" s="37" t="str">
        <f aca="false">IF(OR(I581="",I581=0,J581=""),"",J581/I581)</f>
        <v/>
      </c>
      <c r="M581" s="25" t="str">
        <f aca="false">IF(L581="","",IF(L581&gt;0.25,"ACRÉSCIMO ACIMA DE 25% — conferir",""))</f>
        <v/>
      </c>
      <c r="N581" s="29" t="str">
        <f aca="false">IF(D581="","",IF(COUNTIFS(Empresas!$B:$B,D581,Empresas!$E:$E,"&lt;&gt;")=0,"",INDEX(Empresas!$E:$E,MATCH(D581,Empresas!$B:$B,0))))</f>
        <v/>
      </c>
      <c r="O581" s="27" t="str">
        <f aca="false">IF(OR(N581="",H581=""),"",H581-N581)</f>
        <v/>
      </c>
      <c r="P581" s="25" t="str">
        <f aca="false">IF(O581="","",IF(O581&lt;0,"CONTRATO ANTERIOR À ABERTURA — conferir datas",IF(O581&lt;180,"EMPRESA ABERTA MENOS DE 6 MESES ANTES","")))</f>
        <v/>
      </c>
      <c r="Q581" s="31" t="str">
        <f aca="false">IF(D581="","",IFERROR(INDEX(Sancoes!$D:$D,MATCH(D581,Sancoes!$C:$C,0)),"não consta"))</f>
        <v/>
      </c>
      <c r="R581" s="25" t="str">
        <f aca="false">IF(OR(D581="",H581=""),"",IF(SUMPRODUCT((Sancoes!$C$5:$C$304=D581)*(Sancoes!$G$5:$G$304&lt;=H581)*(((Sancoes!$H$5:$H$304="")+(Sancoes!$H$5:$H$304&gt;=H581))&gt;0))&gt;0,"SANÇÃO VIGENTE NA DATA — ler tipo e abrangência",""))</f>
        <v/>
      </c>
      <c r="S581" s="24"/>
      <c r="T581" s="11"/>
    </row>
    <row r="582" customFormat="false" ht="15" hidden="false" customHeight="false" outlineLevel="0" collapsed="false">
      <c r="A582" s="11"/>
      <c r="B582" s="24"/>
      <c r="C582" s="24"/>
      <c r="D582" s="31" t="str">
        <f aca="false">IF(C582="","",IF(LEN(UPPER(SUBSTITUTE(SUBSTITUTE(SUBSTITUTE(SUBSTITUTE(TRIM(C582),".",""),"/",""),"-","")," ","")))&lt;14,RIGHT(REPT("0",14)&amp;UPPER(SUBSTITUTE(SUBSTITUTE(SUBSTITUTE(SUBSTITUTE(TRIM(C582),".",""),"/",""),"-","")," ","")),14),UPPER(SUBSTITUTE(SUBSTITUTE(SUBSTITUTE(SUBSTITUTE(TRIM(C582),".",""),"/",""),"-","")," ",""))))</f>
        <v/>
      </c>
      <c r="E582" s="25" t="str">
        <f aca="false">IF(D582="","",IFERROR(INDEX(Empresas!$C:$C,MATCH(D582,Empresas!$B:$B,0)),"cadastre o CNPJ em Empresas"))</f>
        <v/>
      </c>
      <c r="F582" s="11"/>
      <c r="G582" s="23"/>
      <c r="H582" s="22"/>
      <c r="I582" s="35"/>
      <c r="J582" s="35"/>
      <c r="K582" s="36" t="str">
        <f aca="false">IF(I582="","",I582+J582)</f>
        <v/>
      </c>
      <c r="L582" s="37" t="str">
        <f aca="false">IF(OR(I582="",I582=0,J582=""),"",J582/I582)</f>
        <v/>
      </c>
      <c r="M582" s="25" t="str">
        <f aca="false">IF(L582="","",IF(L582&gt;0.25,"ACRÉSCIMO ACIMA DE 25% — conferir",""))</f>
        <v/>
      </c>
      <c r="N582" s="29" t="str">
        <f aca="false">IF(D582="","",IF(COUNTIFS(Empresas!$B:$B,D582,Empresas!$E:$E,"&lt;&gt;")=0,"",INDEX(Empresas!$E:$E,MATCH(D582,Empresas!$B:$B,0))))</f>
        <v/>
      </c>
      <c r="O582" s="27" t="str">
        <f aca="false">IF(OR(N582="",H582=""),"",H582-N582)</f>
        <v/>
      </c>
      <c r="P582" s="25" t="str">
        <f aca="false">IF(O582="","",IF(O582&lt;0,"CONTRATO ANTERIOR À ABERTURA — conferir datas",IF(O582&lt;180,"EMPRESA ABERTA MENOS DE 6 MESES ANTES","")))</f>
        <v/>
      </c>
      <c r="Q582" s="31" t="str">
        <f aca="false">IF(D582="","",IFERROR(INDEX(Sancoes!$D:$D,MATCH(D582,Sancoes!$C:$C,0)),"não consta"))</f>
        <v/>
      </c>
      <c r="R582" s="25" t="str">
        <f aca="false">IF(OR(D582="",H582=""),"",IF(SUMPRODUCT((Sancoes!$C$5:$C$304=D582)*(Sancoes!$G$5:$G$304&lt;=H582)*(((Sancoes!$H$5:$H$304="")+(Sancoes!$H$5:$H$304&gt;=H582))&gt;0))&gt;0,"SANÇÃO VIGENTE NA DATA — ler tipo e abrangência",""))</f>
        <v/>
      </c>
      <c r="S582" s="24"/>
      <c r="T582" s="11"/>
    </row>
    <row r="583" customFormat="false" ht="15" hidden="false" customHeight="false" outlineLevel="0" collapsed="false">
      <c r="A583" s="11"/>
      <c r="B583" s="24"/>
      <c r="C583" s="24"/>
      <c r="D583" s="31" t="str">
        <f aca="false">IF(C583="","",IF(LEN(UPPER(SUBSTITUTE(SUBSTITUTE(SUBSTITUTE(SUBSTITUTE(TRIM(C583),".",""),"/",""),"-","")," ","")))&lt;14,RIGHT(REPT("0",14)&amp;UPPER(SUBSTITUTE(SUBSTITUTE(SUBSTITUTE(SUBSTITUTE(TRIM(C583),".",""),"/",""),"-","")," ","")),14),UPPER(SUBSTITUTE(SUBSTITUTE(SUBSTITUTE(SUBSTITUTE(TRIM(C583),".",""),"/",""),"-","")," ",""))))</f>
        <v/>
      </c>
      <c r="E583" s="25" t="str">
        <f aca="false">IF(D583="","",IFERROR(INDEX(Empresas!$C:$C,MATCH(D583,Empresas!$B:$B,0)),"cadastre o CNPJ em Empresas"))</f>
        <v/>
      </c>
      <c r="F583" s="11"/>
      <c r="G583" s="23"/>
      <c r="H583" s="22"/>
      <c r="I583" s="35"/>
      <c r="J583" s="35"/>
      <c r="K583" s="36" t="str">
        <f aca="false">IF(I583="","",I583+J583)</f>
        <v/>
      </c>
      <c r="L583" s="37" t="str">
        <f aca="false">IF(OR(I583="",I583=0,J583=""),"",J583/I583)</f>
        <v/>
      </c>
      <c r="M583" s="25" t="str">
        <f aca="false">IF(L583="","",IF(L583&gt;0.25,"ACRÉSCIMO ACIMA DE 25% — conferir",""))</f>
        <v/>
      </c>
      <c r="N583" s="29" t="str">
        <f aca="false">IF(D583="","",IF(COUNTIFS(Empresas!$B:$B,D583,Empresas!$E:$E,"&lt;&gt;")=0,"",INDEX(Empresas!$E:$E,MATCH(D583,Empresas!$B:$B,0))))</f>
        <v/>
      </c>
      <c r="O583" s="27" t="str">
        <f aca="false">IF(OR(N583="",H583=""),"",H583-N583)</f>
        <v/>
      </c>
      <c r="P583" s="25" t="str">
        <f aca="false">IF(O583="","",IF(O583&lt;0,"CONTRATO ANTERIOR À ABERTURA — conferir datas",IF(O583&lt;180,"EMPRESA ABERTA MENOS DE 6 MESES ANTES","")))</f>
        <v/>
      </c>
      <c r="Q583" s="31" t="str">
        <f aca="false">IF(D583="","",IFERROR(INDEX(Sancoes!$D:$D,MATCH(D583,Sancoes!$C:$C,0)),"não consta"))</f>
        <v/>
      </c>
      <c r="R583" s="25" t="str">
        <f aca="false">IF(OR(D583="",H583=""),"",IF(SUMPRODUCT((Sancoes!$C$5:$C$304=D583)*(Sancoes!$G$5:$G$304&lt;=H583)*(((Sancoes!$H$5:$H$304="")+(Sancoes!$H$5:$H$304&gt;=H583))&gt;0))&gt;0,"SANÇÃO VIGENTE NA DATA — ler tipo e abrangência",""))</f>
        <v/>
      </c>
      <c r="S583" s="24"/>
      <c r="T583" s="11"/>
    </row>
    <row r="584" customFormat="false" ht="15" hidden="false" customHeight="false" outlineLevel="0" collapsed="false">
      <c r="A584" s="11"/>
      <c r="B584" s="24"/>
      <c r="C584" s="24"/>
      <c r="D584" s="31" t="str">
        <f aca="false">IF(C584="","",IF(LEN(UPPER(SUBSTITUTE(SUBSTITUTE(SUBSTITUTE(SUBSTITUTE(TRIM(C584),".",""),"/",""),"-","")," ","")))&lt;14,RIGHT(REPT("0",14)&amp;UPPER(SUBSTITUTE(SUBSTITUTE(SUBSTITUTE(SUBSTITUTE(TRIM(C584),".",""),"/",""),"-","")," ","")),14),UPPER(SUBSTITUTE(SUBSTITUTE(SUBSTITUTE(SUBSTITUTE(TRIM(C584),".",""),"/",""),"-","")," ",""))))</f>
        <v/>
      </c>
      <c r="E584" s="25" t="str">
        <f aca="false">IF(D584="","",IFERROR(INDEX(Empresas!$C:$C,MATCH(D584,Empresas!$B:$B,0)),"cadastre o CNPJ em Empresas"))</f>
        <v/>
      </c>
      <c r="F584" s="11"/>
      <c r="G584" s="23"/>
      <c r="H584" s="22"/>
      <c r="I584" s="35"/>
      <c r="J584" s="35"/>
      <c r="K584" s="36" t="str">
        <f aca="false">IF(I584="","",I584+J584)</f>
        <v/>
      </c>
      <c r="L584" s="37" t="str">
        <f aca="false">IF(OR(I584="",I584=0,J584=""),"",J584/I584)</f>
        <v/>
      </c>
      <c r="M584" s="25" t="str">
        <f aca="false">IF(L584="","",IF(L584&gt;0.25,"ACRÉSCIMO ACIMA DE 25% — conferir",""))</f>
        <v/>
      </c>
      <c r="N584" s="29" t="str">
        <f aca="false">IF(D584="","",IF(COUNTIFS(Empresas!$B:$B,D584,Empresas!$E:$E,"&lt;&gt;")=0,"",INDEX(Empresas!$E:$E,MATCH(D584,Empresas!$B:$B,0))))</f>
        <v/>
      </c>
      <c r="O584" s="27" t="str">
        <f aca="false">IF(OR(N584="",H584=""),"",H584-N584)</f>
        <v/>
      </c>
      <c r="P584" s="25" t="str">
        <f aca="false">IF(O584="","",IF(O584&lt;0,"CONTRATO ANTERIOR À ABERTURA — conferir datas",IF(O584&lt;180,"EMPRESA ABERTA MENOS DE 6 MESES ANTES","")))</f>
        <v/>
      </c>
      <c r="Q584" s="31" t="str">
        <f aca="false">IF(D584="","",IFERROR(INDEX(Sancoes!$D:$D,MATCH(D584,Sancoes!$C:$C,0)),"não consta"))</f>
        <v/>
      </c>
      <c r="R584" s="25" t="str">
        <f aca="false">IF(OR(D584="",H584=""),"",IF(SUMPRODUCT((Sancoes!$C$5:$C$304=D584)*(Sancoes!$G$5:$G$304&lt;=H584)*(((Sancoes!$H$5:$H$304="")+(Sancoes!$H$5:$H$304&gt;=H584))&gt;0))&gt;0,"SANÇÃO VIGENTE NA DATA — ler tipo e abrangência",""))</f>
        <v/>
      </c>
      <c r="S584" s="24"/>
      <c r="T584" s="11"/>
    </row>
    <row r="585" customFormat="false" ht="15" hidden="false" customHeight="false" outlineLevel="0" collapsed="false">
      <c r="A585" s="11"/>
      <c r="B585" s="24"/>
      <c r="C585" s="24"/>
      <c r="D585" s="31" t="str">
        <f aca="false">IF(C585="","",IF(LEN(UPPER(SUBSTITUTE(SUBSTITUTE(SUBSTITUTE(SUBSTITUTE(TRIM(C585),".",""),"/",""),"-","")," ","")))&lt;14,RIGHT(REPT("0",14)&amp;UPPER(SUBSTITUTE(SUBSTITUTE(SUBSTITUTE(SUBSTITUTE(TRIM(C585),".",""),"/",""),"-","")," ","")),14),UPPER(SUBSTITUTE(SUBSTITUTE(SUBSTITUTE(SUBSTITUTE(TRIM(C585),".",""),"/",""),"-","")," ",""))))</f>
        <v/>
      </c>
      <c r="E585" s="25" t="str">
        <f aca="false">IF(D585="","",IFERROR(INDEX(Empresas!$C:$C,MATCH(D585,Empresas!$B:$B,0)),"cadastre o CNPJ em Empresas"))</f>
        <v/>
      </c>
      <c r="F585" s="11"/>
      <c r="G585" s="23"/>
      <c r="H585" s="22"/>
      <c r="I585" s="35"/>
      <c r="J585" s="35"/>
      <c r="K585" s="36" t="str">
        <f aca="false">IF(I585="","",I585+J585)</f>
        <v/>
      </c>
      <c r="L585" s="37" t="str">
        <f aca="false">IF(OR(I585="",I585=0,J585=""),"",J585/I585)</f>
        <v/>
      </c>
      <c r="M585" s="25" t="str">
        <f aca="false">IF(L585="","",IF(L585&gt;0.25,"ACRÉSCIMO ACIMA DE 25% — conferir",""))</f>
        <v/>
      </c>
      <c r="N585" s="29" t="str">
        <f aca="false">IF(D585="","",IF(COUNTIFS(Empresas!$B:$B,D585,Empresas!$E:$E,"&lt;&gt;")=0,"",INDEX(Empresas!$E:$E,MATCH(D585,Empresas!$B:$B,0))))</f>
        <v/>
      </c>
      <c r="O585" s="27" t="str">
        <f aca="false">IF(OR(N585="",H585=""),"",H585-N585)</f>
        <v/>
      </c>
      <c r="P585" s="25" t="str">
        <f aca="false">IF(O585="","",IF(O585&lt;0,"CONTRATO ANTERIOR À ABERTURA — conferir datas",IF(O585&lt;180,"EMPRESA ABERTA MENOS DE 6 MESES ANTES","")))</f>
        <v/>
      </c>
      <c r="Q585" s="31" t="str">
        <f aca="false">IF(D585="","",IFERROR(INDEX(Sancoes!$D:$D,MATCH(D585,Sancoes!$C:$C,0)),"não consta"))</f>
        <v/>
      </c>
      <c r="R585" s="25" t="str">
        <f aca="false">IF(OR(D585="",H585=""),"",IF(SUMPRODUCT((Sancoes!$C$5:$C$304=D585)*(Sancoes!$G$5:$G$304&lt;=H585)*(((Sancoes!$H$5:$H$304="")+(Sancoes!$H$5:$H$304&gt;=H585))&gt;0))&gt;0,"SANÇÃO VIGENTE NA DATA — ler tipo e abrangência",""))</f>
        <v/>
      </c>
      <c r="S585" s="24"/>
      <c r="T585" s="11"/>
    </row>
    <row r="586" customFormat="false" ht="15" hidden="false" customHeight="false" outlineLevel="0" collapsed="false">
      <c r="A586" s="11"/>
      <c r="B586" s="24"/>
      <c r="C586" s="24"/>
      <c r="D586" s="31" t="str">
        <f aca="false">IF(C586="","",IF(LEN(UPPER(SUBSTITUTE(SUBSTITUTE(SUBSTITUTE(SUBSTITUTE(TRIM(C586),".",""),"/",""),"-","")," ","")))&lt;14,RIGHT(REPT("0",14)&amp;UPPER(SUBSTITUTE(SUBSTITUTE(SUBSTITUTE(SUBSTITUTE(TRIM(C586),".",""),"/",""),"-","")," ","")),14),UPPER(SUBSTITUTE(SUBSTITUTE(SUBSTITUTE(SUBSTITUTE(TRIM(C586),".",""),"/",""),"-","")," ",""))))</f>
        <v/>
      </c>
      <c r="E586" s="25" t="str">
        <f aca="false">IF(D586="","",IFERROR(INDEX(Empresas!$C:$C,MATCH(D586,Empresas!$B:$B,0)),"cadastre o CNPJ em Empresas"))</f>
        <v/>
      </c>
      <c r="F586" s="11"/>
      <c r="G586" s="23"/>
      <c r="H586" s="22"/>
      <c r="I586" s="35"/>
      <c r="J586" s="35"/>
      <c r="K586" s="36" t="str">
        <f aca="false">IF(I586="","",I586+J586)</f>
        <v/>
      </c>
      <c r="L586" s="37" t="str">
        <f aca="false">IF(OR(I586="",I586=0,J586=""),"",J586/I586)</f>
        <v/>
      </c>
      <c r="M586" s="25" t="str">
        <f aca="false">IF(L586="","",IF(L586&gt;0.25,"ACRÉSCIMO ACIMA DE 25% — conferir",""))</f>
        <v/>
      </c>
      <c r="N586" s="29" t="str">
        <f aca="false">IF(D586="","",IF(COUNTIFS(Empresas!$B:$B,D586,Empresas!$E:$E,"&lt;&gt;")=0,"",INDEX(Empresas!$E:$E,MATCH(D586,Empresas!$B:$B,0))))</f>
        <v/>
      </c>
      <c r="O586" s="27" t="str">
        <f aca="false">IF(OR(N586="",H586=""),"",H586-N586)</f>
        <v/>
      </c>
      <c r="P586" s="25" t="str">
        <f aca="false">IF(O586="","",IF(O586&lt;0,"CONTRATO ANTERIOR À ABERTURA — conferir datas",IF(O586&lt;180,"EMPRESA ABERTA MENOS DE 6 MESES ANTES","")))</f>
        <v/>
      </c>
      <c r="Q586" s="31" t="str">
        <f aca="false">IF(D586="","",IFERROR(INDEX(Sancoes!$D:$D,MATCH(D586,Sancoes!$C:$C,0)),"não consta"))</f>
        <v/>
      </c>
      <c r="R586" s="25" t="str">
        <f aca="false">IF(OR(D586="",H586=""),"",IF(SUMPRODUCT((Sancoes!$C$5:$C$304=D586)*(Sancoes!$G$5:$G$304&lt;=H586)*(((Sancoes!$H$5:$H$304="")+(Sancoes!$H$5:$H$304&gt;=H586))&gt;0))&gt;0,"SANÇÃO VIGENTE NA DATA — ler tipo e abrangência",""))</f>
        <v/>
      </c>
      <c r="S586" s="24"/>
      <c r="T586" s="11"/>
    </row>
    <row r="587" customFormat="false" ht="15" hidden="false" customHeight="false" outlineLevel="0" collapsed="false">
      <c r="A587" s="11"/>
      <c r="B587" s="24"/>
      <c r="C587" s="24"/>
      <c r="D587" s="31" t="str">
        <f aca="false">IF(C587="","",IF(LEN(UPPER(SUBSTITUTE(SUBSTITUTE(SUBSTITUTE(SUBSTITUTE(TRIM(C587),".",""),"/",""),"-","")," ","")))&lt;14,RIGHT(REPT("0",14)&amp;UPPER(SUBSTITUTE(SUBSTITUTE(SUBSTITUTE(SUBSTITUTE(TRIM(C587),".",""),"/",""),"-","")," ","")),14),UPPER(SUBSTITUTE(SUBSTITUTE(SUBSTITUTE(SUBSTITUTE(TRIM(C587),".",""),"/",""),"-","")," ",""))))</f>
        <v/>
      </c>
      <c r="E587" s="25" t="str">
        <f aca="false">IF(D587="","",IFERROR(INDEX(Empresas!$C:$C,MATCH(D587,Empresas!$B:$B,0)),"cadastre o CNPJ em Empresas"))</f>
        <v/>
      </c>
      <c r="F587" s="11"/>
      <c r="G587" s="23"/>
      <c r="H587" s="22"/>
      <c r="I587" s="35"/>
      <c r="J587" s="35"/>
      <c r="K587" s="36" t="str">
        <f aca="false">IF(I587="","",I587+J587)</f>
        <v/>
      </c>
      <c r="L587" s="37" t="str">
        <f aca="false">IF(OR(I587="",I587=0,J587=""),"",J587/I587)</f>
        <v/>
      </c>
      <c r="M587" s="25" t="str">
        <f aca="false">IF(L587="","",IF(L587&gt;0.25,"ACRÉSCIMO ACIMA DE 25% — conferir",""))</f>
        <v/>
      </c>
      <c r="N587" s="29" t="str">
        <f aca="false">IF(D587="","",IF(COUNTIFS(Empresas!$B:$B,D587,Empresas!$E:$E,"&lt;&gt;")=0,"",INDEX(Empresas!$E:$E,MATCH(D587,Empresas!$B:$B,0))))</f>
        <v/>
      </c>
      <c r="O587" s="27" t="str">
        <f aca="false">IF(OR(N587="",H587=""),"",H587-N587)</f>
        <v/>
      </c>
      <c r="P587" s="25" t="str">
        <f aca="false">IF(O587="","",IF(O587&lt;0,"CONTRATO ANTERIOR À ABERTURA — conferir datas",IF(O587&lt;180,"EMPRESA ABERTA MENOS DE 6 MESES ANTES","")))</f>
        <v/>
      </c>
      <c r="Q587" s="31" t="str">
        <f aca="false">IF(D587="","",IFERROR(INDEX(Sancoes!$D:$D,MATCH(D587,Sancoes!$C:$C,0)),"não consta"))</f>
        <v/>
      </c>
      <c r="R587" s="25" t="str">
        <f aca="false">IF(OR(D587="",H587=""),"",IF(SUMPRODUCT((Sancoes!$C$5:$C$304=D587)*(Sancoes!$G$5:$G$304&lt;=H587)*(((Sancoes!$H$5:$H$304="")+(Sancoes!$H$5:$H$304&gt;=H587))&gt;0))&gt;0,"SANÇÃO VIGENTE NA DATA — ler tipo e abrangência",""))</f>
        <v/>
      </c>
      <c r="S587" s="24"/>
      <c r="T587" s="11"/>
    </row>
    <row r="588" customFormat="false" ht="15" hidden="false" customHeight="false" outlineLevel="0" collapsed="false">
      <c r="A588" s="11"/>
      <c r="B588" s="24"/>
      <c r="C588" s="24"/>
      <c r="D588" s="31" t="str">
        <f aca="false">IF(C588="","",IF(LEN(UPPER(SUBSTITUTE(SUBSTITUTE(SUBSTITUTE(SUBSTITUTE(TRIM(C588),".",""),"/",""),"-","")," ","")))&lt;14,RIGHT(REPT("0",14)&amp;UPPER(SUBSTITUTE(SUBSTITUTE(SUBSTITUTE(SUBSTITUTE(TRIM(C588),".",""),"/",""),"-","")," ","")),14),UPPER(SUBSTITUTE(SUBSTITUTE(SUBSTITUTE(SUBSTITUTE(TRIM(C588),".",""),"/",""),"-","")," ",""))))</f>
        <v/>
      </c>
      <c r="E588" s="25" t="str">
        <f aca="false">IF(D588="","",IFERROR(INDEX(Empresas!$C:$C,MATCH(D588,Empresas!$B:$B,0)),"cadastre o CNPJ em Empresas"))</f>
        <v/>
      </c>
      <c r="F588" s="11"/>
      <c r="G588" s="23"/>
      <c r="H588" s="22"/>
      <c r="I588" s="35"/>
      <c r="J588" s="35"/>
      <c r="K588" s="36" t="str">
        <f aca="false">IF(I588="","",I588+J588)</f>
        <v/>
      </c>
      <c r="L588" s="37" t="str">
        <f aca="false">IF(OR(I588="",I588=0,J588=""),"",J588/I588)</f>
        <v/>
      </c>
      <c r="M588" s="25" t="str">
        <f aca="false">IF(L588="","",IF(L588&gt;0.25,"ACRÉSCIMO ACIMA DE 25% — conferir",""))</f>
        <v/>
      </c>
      <c r="N588" s="29" t="str">
        <f aca="false">IF(D588="","",IF(COUNTIFS(Empresas!$B:$B,D588,Empresas!$E:$E,"&lt;&gt;")=0,"",INDEX(Empresas!$E:$E,MATCH(D588,Empresas!$B:$B,0))))</f>
        <v/>
      </c>
      <c r="O588" s="27" t="str">
        <f aca="false">IF(OR(N588="",H588=""),"",H588-N588)</f>
        <v/>
      </c>
      <c r="P588" s="25" t="str">
        <f aca="false">IF(O588="","",IF(O588&lt;0,"CONTRATO ANTERIOR À ABERTURA — conferir datas",IF(O588&lt;180,"EMPRESA ABERTA MENOS DE 6 MESES ANTES","")))</f>
        <v/>
      </c>
      <c r="Q588" s="31" t="str">
        <f aca="false">IF(D588="","",IFERROR(INDEX(Sancoes!$D:$D,MATCH(D588,Sancoes!$C:$C,0)),"não consta"))</f>
        <v/>
      </c>
      <c r="R588" s="25" t="str">
        <f aca="false">IF(OR(D588="",H588=""),"",IF(SUMPRODUCT((Sancoes!$C$5:$C$304=D588)*(Sancoes!$G$5:$G$304&lt;=H588)*(((Sancoes!$H$5:$H$304="")+(Sancoes!$H$5:$H$304&gt;=H588))&gt;0))&gt;0,"SANÇÃO VIGENTE NA DATA — ler tipo e abrangência",""))</f>
        <v/>
      </c>
      <c r="S588" s="24"/>
      <c r="T588" s="11"/>
    </row>
    <row r="589" customFormat="false" ht="15" hidden="false" customHeight="false" outlineLevel="0" collapsed="false">
      <c r="A589" s="11"/>
      <c r="B589" s="24"/>
      <c r="C589" s="24"/>
      <c r="D589" s="31" t="str">
        <f aca="false">IF(C589="","",IF(LEN(UPPER(SUBSTITUTE(SUBSTITUTE(SUBSTITUTE(SUBSTITUTE(TRIM(C589),".",""),"/",""),"-","")," ","")))&lt;14,RIGHT(REPT("0",14)&amp;UPPER(SUBSTITUTE(SUBSTITUTE(SUBSTITUTE(SUBSTITUTE(TRIM(C589),".",""),"/",""),"-","")," ","")),14),UPPER(SUBSTITUTE(SUBSTITUTE(SUBSTITUTE(SUBSTITUTE(TRIM(C589),".",""),"/",""),"-","")," ",""))))</f>
        <v/>
      </c>
      <c r="E589" s="25" t="str">
        <f aca="false">IF(D589="","",IFERROR(INDEX(Empresas!$C:$C,MATCH(D589,Empresas!$B:$B,0)),"cadastre o CNPJ em Empresas"))</f>
        <v/>
      </c>
      <c r="F589" s="11"/>
      <c r="G589" s="23"/>
      <c r="H589" s="22"/>
      <c r="I589" s="35"/>
      <c r="J589" s="35"/>
      <c r="K589" s="36" t="str">
        <f aca="false">IF(I589="","",I589+J589)</f>
        <v/>
      </c>
      <c r="L589" s="37" t="str">
        <f aca="false">IF(OR(I589="",I589=0,J589=""),"",J589/I589)</f>
        <v/>
      </c>
      <c r="M589" s="25" t="str">
        <f aca="false">IF(L589="","",IF(L589&gt;0.25,"ACRÉSCIMO ACIMA DE 25% — conferir",""))</f>
        <v/>
      </c>
      <c r="N589" s="29" t="str">
        <f aca="false">IF(D589="","",IF(COUNTIFS(Empresas!$B:$B,D589,Empresas!$E:$E,"&lt;&gt;")=0,"",INDEX(Empresas!$E:$E,MATCH(D589,Empresas!$B:$B,0))))</f>
        <v/>
      </c>
      <c r="O589" s="27" t="str">
        <f aca="false">IF(OR(N589="",H589=""),"",H589-N589)</f>
        <v/>
      </c>
      <c r="P589" s="25" t="str">
        <f aca="false">IF(O589="","",IF(O589&lt;0,"CONTRATO ANTERIOR À ABERTURA — conferir datas",IF(O589&lt;180,"EMPRESA ABERTA MENOS DE 6 MESES ANTES","")))</f>
        <v/>
      </c>
      <c r="Q589" s="31" t="str">
        <f aca="false">IF(D589="","",IFERROR(INDEX(Sancoes!$D:$D,MATCH(D589,Sancoes!$C:$C,0)),"não consta"))</f>
        <v/>
      </c>
      <c r="R589" s="25" t="str">
        <f aca="false">IF(OR(D589="",H589=""),"",IF(SUMPRODUCT((Sancoes!$C$5:$C$304=D589)*(Sancoes!$G$5:$G$304&lt;=H589)*(((Sancoes!$H$5:$H$304="")+(Sancoes!$H$5:$H$304&gt;=H589))&gt;0))&gt;0,"SANÇÃO VIGENTE NA DATA — ler tipo e abrangência",""))</f>
        <v/>
      </c>
      <c r="S589" s="24"/>
      <c r="T589" s="11"/>
    </row>
    <row r="590" customFormat="false" ht="15" hidden="false" customHeight="false" outlineLevel="0" collapsed="false">
      <c r="A590" s="11"/>
      <c r="B590" s="24"/>
      <c r="C590" s="24"/>
      <c r="D590" s="31" t="str">
        <f aca="false">IF(C590="","",IF(LEN(UPPER(SUBSTITUTE(SUBSTITUTE(SUBSTITUTE(SUBSTITUTE(TRIM(C590),".",""),"/",""),"-","")," ","")))&lt;14,RIGHT(REPT("0",14)&amp;UPPER(SUBSTITUTE(SUBSTITUTE(SUBSTITUTE(SUBSTITUTE(TRIM(C590),".",""),"/",""),"-","")," ","")),14),UPPER(SUBSTITUTE(SUBSTITUTE(SUBSTITUTE(SUBSTITUTE(TRIM(C590),".",""),"/",""),"-","")," ",""))))</f>
        <v/>
      </c>
      <c r="E590" s="25" t="str">
        <f aca="false">IF(D590="","",IFERROR(INDEX(Empresas!$C:$C,MATCH(D590,Empresas!$B:$B,0)),"cadastre o CNPJ em Empresas"))</f>
        <v/>
      </c>
      <c r="F590" s="11"/>
      <c r="G590" s="23"/>
      <c r="H590" s="22"/>
      <c r="I590" s="35"/>
      <c r="J590" s="35"/>
      <c r="K590" s="36" t="str">
        <f aca="false">IF(I590="","",I590+J590)</f>
        <v/>
      </c>
      <c r="L590" s="37" t="str">
        <f aca="false">IF(OR(I590="",I590=0,J590=""),"",J590/I590)</f>
        <v/>
      </c>
      <c r="M590" s="25" t="str">
        <f aca="false">IF(L590="","",IF(L590&gt;0.25,"ACRÉSCIMO ACIMA DE 25% — conferir",""))</f>
        <v/>
      </c>
      <c r="N590" s="29" t="str">
        <f aca="false">IF(D590="","",IF(COUNTIFS(Empresas!$B:$B,D590,Empresas!$E:$E,"&lt;&gt;")=0,"",INDEX(Empresas!$E:$E,MATCH(D590,Empresas!$B:$B,0))))</f>
        <v/>
      </c>
      <c r="O590" s="27" t="str">
        <f aca="false">IF(OR(N590="",H590=""),"",H590-N590)</f>
        <v/>
      </c>
      <c r="P590" s="25" t="str">
        <f aca="false">IF(O590="","",IF(O590&lt;0,"CONTRATO ANTERIOR À ABERTURA — conferir datas",IF(O590&lt;180,"EMPRESA ABERTA MENOS DE 6 MESES ANTES","")))</f>
        <v/>
      </c>
      <c r="Q590" s="31" t="str">
        <f aca="false">IF(D590="","",IFERROR(INDEX(Sancoes!$D:$D,MATCH(D590,Sancoes!$C:$C,0)),"não consta"))</f>
        <v/>
      </c>
      <c r="R590" s="25" t="str">
        <f aca="false">IF(OR(D590="",H590=""),"",IF(SUMPRODUCT((Sancoes!$C$5:$C$304=D590)*(Sancoes!$G$5:$G$304&lt;=H590)*(((Sancoes!$H$5:$H$304="")+(Sancoes!$H$5:$H$304&gt;=H590))&gt;0))&gt;0,"SANÇÃO VIGENTE NA DATA — ler tipo e abrangência",""))</f>
        <v/>
      </c>
      <c r="S590" s="24"/>
      <c r="T590" s="11"/>
    </row>
    <row r="591" customFormat="false" ht="15" hidden="false" customHeight="false" outlineLevel="0" collapsed="false">
      <c r="A591" s="11"/>
      <c r="B591" s="24"/>
      <c r="C591" s="24"/>
      <c r="D591" s="31" t="str">
        <f aca="false">IF(C591="","",IF(LEN(UPPER(SUBSTITUTE(SUBSTITUTE(SUBSTITUTE(SUBSTITUTE(TRIM(C591),".",""),"/",""),"-","")," ","")))&lt;14,RIGHT(REPT("0",14)&amp;UPPER(SUBSTITUTE(SUBSTITUTE(SUBSTITUTE(SUBSTITUTE(TRIM(C591),".",""),"/",""),"-","")," ","")),14),UPPER(SUBSTITUTE(SUBSTITUTE(SUBSTITUTE(SUBSTITUTE(TRIM(C591),".",""),"/",""),"-","")," ",""))))</f>
        <v/>
      </c>
      <c r="E591" s="25" t="str">
        <f aca="false">IF(D591="","",IFERROR(INDEX(Empresas!$C:$C,MATCH(D591,Empresas!$B:$B,0)),"cadastre o CNPJ em Empresas"))</f>
        <v/>
      </c>
      <c r="F591" s="11"/>
      <c r="G591" s="23"/>
      <c r="H591" s="22"/>
      <c r="I591" s="35"/>
      <c r="J591" s="35"/>
      <c r="K591" s="36" t="str">
        <f aca="false">IF(I591="","",I591+J591)</f>
        <v/>
      </c>
      <c r="L591" s="37" t="str">
        <f aca="false">IF(OR(I591="",I591=0,J591=""),"",J591/I591)</f>
        <v/>
      </c>
      <c r="M591" s="25" t="str">
        <f aca="false">IF(L591="","",IF(L591&gt;0.25,"ACRÉSCIMO ACIMA DE 25% — conferir",""))</f>
        <v/>
      </c>
      <c r="N591" s="29" t="str">
        <f aca="false">IF(D591="","",IF(COUNTIFS(Empresas!$B:$B,D591,Empresas!$E:$E,"&lt;&gt;")=0,"",INDEX(Empresas!$E:$E,MATCH(D591,Empresas!$B:$B,0))))</f>
        <v/>
      </c>
      <c r="O591" s="27" t="str">
        <f aca="false">IF(OR(N591="",H591=""),"",H591-N591)</f>
        <v/>
      </c>
      <c r="P591" s="25" t="str">
        <f aca="false">IF(O591="","",IF(O591&lt;0,"CONTRATO ANTERIOR À ABERTURA — conferir datas",IF(O591&lt;180,"EMPRESA ABERTA MENOS DE 6 MESES ANTES","")))</f>
        <v/>
      </c>
      <c r="Q591" s="31" t="str">
        <f aca="false">IF(D591="","",IFERROR(INDEX(Sancoes!$D:$D,MATCH(D591,Sancoes!$C:$C,0)),"não consta"))</f>
        <v/>
      </c>
      <c r="R591" s="25" t="str">
        <f aca="false">IF(OR(D591="",H591=""),"",IF(SUMPRODUCT((Sancoes!$C$5:$C$304=D591)*(Sancoes!$G$5:$G$304&lt;=H591)*(((Sancoes!$H$5:$H$304="")+(Sancoes!$H$5:$H$304&gt;=H591))&gt;0))&gt;0,"SANÇÃO VIGENTE NA DATA — ler tipo e abrangência",""))</f>
        <v/>
      </c>
      <c r="S591" s="24"/>
      <c r="T591" s="11"/>
    </row>
    <row r="592" customFormat="false" ht="15" hidden="false" customHeight="false" outlineLevel="0" collapsed="false">
      <c r="A592" s="11"/>
      <c r="B592" s="24"/>
      <c r="C592" s="24"/>
      <c r="D592" s="31" t="str">
        <f aca="false">IF(C592="","",IF(LEN(UPPER(SUBSTITUTE(SUBSTITUTE(SUBSTITUTE(SUBSTITUTE(TRIM(C592),".",""),"/",""),"-","")," ","")))&lt;14,RIGHT(REPT("0",14)&amp;UPPER(SUBSTITUTE(SUBSTITUTE(SUBSTITUTE(SUBSTITUTE(TRIM(C592),".",""),"/",""),"-","")," ","")),14),UPPER(SUBSTITUTE(SUBSTITUTE(SUBSTITUTE(SUBSTITUTE(TRIM(C592),".",""),"/",""),"-","")," ",""))))</f>
        <v/>
      </c>
      <c r="E592" s="25" t="str">
        <f aca="false">IF(D592="","",IFERROR(INDEX(Empresas!$C:$C,MATCH(D592,Empresas!$B:$B,0)),"cadastre o CNPJ em Empresas"))</f>
        <v/>
      </c>
      <c r="F592" s="11"/>
      <c r="G592" s="23"/>
      <c r="H592" s="22"/>
      <c r="I592" s="35"/>
      <c r="J592" s="35"/>
      <c r="K592" s="36" t="str">
        <f aca="false">IF(I592="","",I592+J592)</f>
        <v/>
      </c>
      <c r="L592" s="37" t="str">
        <f aca="false">IF(OR(I592="",I592=0,J592=""),"",J592/I592)</f>
        <v/>
      </c>
      <c r="M592" s="25" t="str">
        <f aca="false">IF(L592="","",IF(L592&gt;0.25,"ACRÉSCIMO ACIMA DE 25% — conferir",""))</f>
        <v/>
      </c>
      <c r="N592" s="29" t="str">
        <f aca="false">IF(D592="","",IF(COUNTIFS(Empresas!$B:$B,D592,Empresas!$E:$E,"&lt;&gt;")=0,"",INDEX(Empresas!$E:$E,MATCH(D592,Empresas!$B:$B,0))))</f>
        <v/>
      </c>
      <c r="O592" s="27" t="str">
        <f aca="false">IF(OR(N592="",H592=""),"",H592-N592)</f>
        <v/>
      </c>
      <c r="P592" s="25" t="str">
        <f aca="false">IF(O592="","",IF(O592&lt;0,"CONTRATO ANTERIOR À ABERTURA — conferir datas",IF(O592&lt;180,"EMPRESA ABERTA MENOS DE 6 MESES ANTES","")))</f>
        <v/>
      </c>
      <c r="Q592" s="31" t="str">
        <f aca="false">IF(D592="","",IFERROR(INDEX(Sancoes!$D:$D,MATCH(D592,Sancoes!$C:$C,0)),"não consta"))</f>
        <v/>
      </c>
      <c r="R592" s="25" t="str">
        <f aca="false">IF(OR(D592="",H592=""),"",IF(SUMPRODUCT((Sancoes!$C$5:$C$304=D592)*(Sancoes!$G$5:$G$304&lt;=H592)*(((Sancoes!$H$5:$H$304="")+(Sancoes!$H$5:$H$304&gt;=H592))&gt;0))&gt;0,"SANÇÃO VIGENTE NA DATA — ler tipo e abrangência",""))</f>
        <v/>
      </c>
      <c r="S592" s="24"/>
      <c r="T592" s="11"/>
    </row>
    <row r="593" customFormat="false" ht="15" hidden="false" customHeight="false" outlineLevel="0" collapsed="false">
      <c r="A593" s="11"/>
      <c r="B593" s="24"/>
      <c r="C593" s="24"/>
      <c r="D593" s="31" t="str">
        <f aca="false">IF(C593="","",IF(LEN(UPPER(SUBSTITUTE(SUBSTITUTE(SUBSTITUTE(SUBSTITUTE(TRIM(C593),".",""),"/",""),"-","")," ","")))&lt;14,RIGHT(REPT("0",14)&amp;UPPER(SUBSTITUTE(SUBSTITUTE(SUBSTITUTE(SUBSTITUTE(TRIM(C593),".",""),"/",""),"-","")," ","")),14),UPPER(SUBSTITUTE(SUBSTITUTE(SUBSTITUTE(SUBSTITUTE(TRIM(C593),".",""),"/",""),"-","")," ",""))))</f>
        <v/>
      </c>
      <c r="E593" s="25" t="str">
        <f aca="false">IF(D593="","",IFERROR(INDEX(Empresas!$C:$C,MATCH(D593,Empresas!$B:$B,0)),"cadastre o CNPJ em Empresas"))</f>
        <v/>
      </c>
      <c r="F593" s="11"/>
      <c r="G593" s="23"/>
      <c r="H593" s="22"/>
      <c r="I593" s="35"/>
      <c r="J593" s="35"/>
      <c r="K593" s="36" t="str">
        <f aca="false">IF(I593="","",I593+J593)</f>
        <v/>
      </c>
      <c r="L593" s="37" t="str">
        <f aca="false">IF(OR(I593="",I593=0,J593=""),"",J593/I593)</f>
        <v/>
      </c>
      <c r="M593" s="25" t="str">
        <f aca="false">IF(L593="","",IF(L593&gt;0.25,"ACRÉSCIMO ACIMA DE 25% — conferir",""))</f>
        <v/>
      </c>
      <c r="N593" s="29" t="str">
        <f aca="false">IF(D593="","",IF(COUNTIFS(Empresas!$B:$B,D593,Empresas!$E:$E,"&lt;&gt;")=0,"",INDEX(Empresas!$E:$E,MATCH(D593,Empresas!$B:$B,0))))</f>
        <v/>
      </c>
      <c r="O593" s="27" t="str">
        <f aca="false">IF(OR(N593="",H593=""),"",H593-N593)</f>
        <v/>
      </c>
      <c r="P593" s="25" t="str">
        <f aca="false">IF(O593="","",IF(O593&lt;0,"CONTRATO ANTERIOR À ABERTURA — conferir datas",IF(O593&lt;180,"EMPRESA ABERTA MENOS DE 6 MESES ANTES","")))</f>
        <v/>
      </c>
      <c r="Q593" s="31" t="str">
        <f aca="false">IF(D593="","",IFERROR(INDEX(Sancoes!$D:$D,MATCH(D593,Sancoes!$C:$C,0)),"não consta"))</f>
        <v/>
      </c>
      <c r="R593" s="25" t="str">
        <f aca="false">IF(OR(D593="",H593=""),"",IF(SUMPRODUCT((Sancoes!$C$5:$C$304=D593)*(Sancoes!$G$5:$G$304&lt;=H593)*(((Sancoes!$H$5:$H$304="")+(Sancoes!$H$5:$H$304&gt;=H593))&gt;0))&gt;0,"SANÇÃO VIGENTE NA DATA — ler tipo e abrangência",""))</f>
        <v/>
      </c>
      <c r="S593" s="24"/>
      <c r="T593" s="11"/>
    </row>
    <row r="594" customFormat="false" ht="15" hidden="false" customHeight="false" outlineLevel="0" collapsed="false">
      <c r="A594" s="11"/>
      <c r="B594" s="24"/>
      <c r="C594" s="24"/>
      <c r="D594" s="31" t="str">
        <f aca="false">IF(C594="","",IF(LEN(UPPER(SUBSTITUTE(SUBSTITUTE(SUBSTITUTE(SUBSTITUTE(TRIM(C594),".",""),"/",""),"-","")," ","")))&lt;14,RIGHT(REPT("0",14)&amp;UPPER(SUBSTITUTE(SUBSTITUTE(SUBSTITUTE(SUBSTITUTE(TRIM(C594),".",""),"/",""),"-","")," ","")),14),UPPER(SUBSTITUTE(SUBSTITUTE(SUBSTITUTE(SUBSTITUTE(TRIM(C594),".",""),"/",""),"-","")," ",""))))</f>
        <v/>
      </c>
      <c r="E594" s="25" t="str">
        <f aca="false">IF(D594="","",IFERROR(INDEX(Empresas!$C:$C,MATCH(D594,Empresas!$B:$B,0)),"cadastre o CNPJ em Empresas"))</f>
        <v/>
      </c>
      <c r="F594" s="11"/>
      <c r="G594" s="23"/>
      <c r="H594" s="22"/>
      <c r="I594" s="35"/>
      <c r="J594" s="35"/>
      <c r="K594" s="36" t="str">
        <f aca="false">IF(I594="","",I594+J594)</f>
        <v/>
      </c>
      <c r="L594" s="37" t="str">
        <f aca="false">IF(OR(I594="",I594=0,J594=""),"",J594/I594)</f>
        <v/>
      </c>
      <c r="M594" s="25" t="str">
        <f aca="false">IF(L594="","",IF(L594&gt;0.25,"ACRÉSCIMO ACIMA DE 25% — conferir",""))</f>
        <v/>
      </c>
      <c r="N594" s="29" t="str">
        <f aca="false">IF(D594="","",IF(COUNTIFS(Empresas!$B:$B,D594,Empresas!$E:$E,"&lt;&gt;")=0,"",INDEX(Empresas!$E:$E,MATCH(D594,Empresas!$B:$B,0))))</f>
        <v/>
      </c>
      <c r="O594" s="27" t="str">
        <f aca="false">IF(OR(N594="",H594=""),"",H594-N594)</f>
        <v/>
      </c>
      <c r="P594" s="25" t="str">
        <f aca="false">IF(O594="","",IF(O594&lt;0,"CONTRATO ANTERIOR À ABERTURA — conferir datas",IF(O594&lt;180,"EMPRESA ABERTA MENOS DE 6 MESES ANTES","")))</f>
        <v/>
      </c>
      <c r="Q594" s="31" t="str">
        <f aca="false">IF(D594="","",IFERROR(INDEX(Sancoes!$D:$D,MATCH(D594,Sancoes!$C:$C,0)),"não consta"))</f>
        <v/>
      </c>
      <c r="R594" s="25" t="str">
        <f aca="false">IF(OR(D594="",H594=""),"",IF(SUMPRODUCT((Sancoes!$C$5:$C$304=D594)*(Sancoes!$G$5:$G$304&lt;=H594)*(((Sancoes!$H$5:$H$304="")+(Sancoes!$H$5:$H$304&gt;=H594))&gt;0))&gt;0,"SANÇÃO VIGENTE NA DATA — ler tipo e abrangência",""))</f>
        <v/>
      </c>
      <c r="S594" s="24"/>
      <c r="T594" s="11"/>
    </row>
    <row r="595" customFormat="false" ht="15" hidden="false" customHeight="false" outlineLevel="0" collapsed="false">
      <c r="A595" s="11"/>
      <c r="B595" s="24"/>
      <c r="C595" s="24"/>
      <c r="D595" s="31" t="str">
        <f aca="false">IF(C595="","",IF(LEN(UPPER(SUBSTITUTE(SUBSTITUTE(SUBSTITUTE(SUBSTITUTE(TRIM(C595),".",""),"/",""),"-","")," ","")))&lt;14,RIGHT(REPT("0",14)&amp;UPPER(SUBSTITUTE(SUBSTITUTE(SUBSTITUTE(SUBSTITUTE(TRIM(C595),".",""),"/",""),"-","")," ","")),14),UPPER(SUBSTITUTE(SUBSTITUTE(SUBSTITUTE(SUBSTITUTE(TRIM(C595),".",""),"/",""),"-","")," ",""))))</f>
        <v/>
      </c>
      <c r="E595" s="25" t="str">
        <f aca="false">IF(D595="","",IFERROR(INDEX(Empresas!$C:$C,MATCH(D595,Empresas!$B:$B,0)),"cadastre o CNPJ em Empresas"))</f>
        <v/>
      </c>
      <c r="F595" s="11"/>
      <c r="G595" s="23"/>
      <c r="H595" s="22"/>
      <c r="I595" s="35"/>
      <c r="J595" s="35"/>
      <c r="K595" s="36" t="str">
        <f aca="false">IF(I595="","",I595+J595)</f>
        <v/>
      </c>
      <c r="L595" s="37" t="str">
        <f aca="false">IF(OR(I595="",I595=0,J595=""),"",J595/I595)</f>
        <v/>
      </c>
      <c r="M595" s="25" t="str">
        <f aca="false">IF(L595="","",IF(L595&gt;0.25,"ACRÉSCIMO ACIMA DE 25% — conferir",""))</f>
        <v/>
      </c>
      <c r="N595" s="29" t="str">
        <f aca="false">IF(D595="","",IF(COUNTIFS(Empresas!$B:$B,D595,Empresas!$E:$E,"&lt;&gt;")=0,"",INDEX(Empresas!$E:$E,MATCH(D595,Empresas!$B:$B,0))))</f>
        <v/>
      </c>
      <c r="O595" s="27" t="str">
        <f aca="false">IF(OR(N595="",H595=""),"",H595-N595)</f>
        <v/>
      </c>
      <c r="P595" s="25" t="str">
        <f aca="false">IF(O595="","",IF(O595&lt;0,"CONTRATO ANTERIOR À ABERTURA — conferir datas",IF(O595&lt;180,"EMPRESA ABERTA MENOS DE 6 MESES ANTES","")))</f>
        <v/>
      </c>
      <c r="Q595" s="31" t="str">
        <f aca="false">IF(D595="","",IFERROR(INDEX(Sancoes!$D:$D,MATCH(D595,Sancoes!$C:$C,0)),"não consta"))</f>
        <v/>
      </c>
      <c r="R595" s="25" t="str">
        <f aca="false">IF(OR(D595="",H595=""),"",IF(SUMPRODUCT((Sancoes!$C$5:$C$304=D595)*(Sancoes!$G$5:$G$304&lt;=H595)*(((Sancoes!$H$5:$H$304="")+(Sancoes!$H$5:$H$304&gt;=H595))&gt;0))&gt;0,"SANÇÃO VIGENTE NA DATA — ler tipo e abrangência",""))</f>
        <v/>
      </c>
      <c r="S595" s="24"/>
      <c r="T595" s="11"/>
    </row>
    <row r="596" customFormat="false" ht="15" hidden="false" customHeight="false" outlineLevel="0" collapsed="false">
      <c r="A596" s="11"/>
      <c r="B596" s="24"/>
      <c r="C596" s="24"/>
      <c r="D596" s="31" t="str">
        <f aca="false">IF(C596="","",IF(LEN(UPPER(SUBSTITUTE(SUBSTITUTE(SUBSTITUTE(SUBSTITUTE(TRIM(C596),".",""),"/",""),"-","")," ","")))&lt;14,RIGHT(REPT("0",14)&amp;UPPER(SUBSTITUTE(SUBSTITUTE(SUBSTITUTE(SUBSTITUTE(TRIM(C596),".",""),"/",""),"-","")," ","")),14),UPPER(SUBSTITUTE(SUBSTITUTE(SUBSTITUTE(SUBSTITUTE(TRIM(C596),".",""),"/",""),"-","")," ",""))))</f>
        <v/>
      </c>
      <c r="E596" s="25" t="str">
        <f aca="false">IF(D596="","",IFERROR(INDEX(Empresas!$C:$C,MATCH(D596,Empresas!$B:$B,0)),"cadastre o CNPJ em Empresas"))</f>
        <v/>
      </c>
      <c r="F596" s="11"/>
      <c r="G596" s="23"/>
      <c r="H596" s="22"/>
      <c r="I596" s="35"/>
      <c r="J596" s="35"/>
      <c r="K596" s="36" t="str">
        <f aca="false">IF(I596="","",I596+J596)</f>
        <v/>
      </c>
      <c r="L596" s="37" t="str">
        <f aca="false">IF(OR(I596="",I596=0,J596=""),"",J596/I596)</f>
        <v/>
      </c>
      <c r="M596" s="25" t="str">
        <f aca="false">IF(L596="","",IF(L596&gt;0.25,"ACRÉSCIMO ACIMA DE 25% — conferir",""))</f>
        <v/>
      </c>
      <c r="N596" s="29" t="str">
        <f aca="false">IF(D596="","",IF(COUNTIFS(Empresas!$B:$B,D596,Empresas!$E:$E,"&lt;&gt;")=0,"",INDEX(Empresas!$E:$E,MATCH(D596,Empresas!$B:$B,0))))</f>
        <v/>
      </c>
      <c r="O596" s="27" t="str">
        <f aca="false">IF(OR(N596="",H596=""),"",H596-N596)</f>
        <v/>
      </c>
      <c r="P596" s="25" t="str">
        <f aca="false">IF(O596="","",IF(O596&lt;0,"CONTRATO ANTERIOR À ABERTURA — conferir datas",IF(O596&lt;180,"EMPRESA ABERTA MENOS DE 6 MESES ANTES","")))</f>
        <v/>
      </c>
      <c r="Q596" s="31" t="str">
        <f aca="false">IF(D596="","",IFERROR(INDEX(Sancoes!$D:$D,MATCH(D596,Sancoes!$C:$C,0)),"não consta"))</f>
        <v/>
      </c>
      <c r="R596" s="25" t="str">
        <f aca="false">IF(OR(D596="",H596=""),"",IF(SUMPRODUCT((Sancoes!$C$5:$C$304=D596)*(Sancoes!$G$5:$G$304&lt;=H596)*(((Sancoes!$H$5:$H$304="")+(Sancoes!$H$5:$H$304&gt;=H596))&gt;0))&gt;0,"SANÇÃO VIGENTE NA DATA — ler tipo e abrangência",""))</f>
        <v/>
      </c>
      <c r="S596" s="24"/>
      <c r="T596" s="11"/>
    </row>
    <row r="597" customFormat="false" ht="15" hidden="false" customHeight="false" outlineLevel="0" collapsed="false">
      <c r="A597" s="11"/>
      <c r="B597" s="24"/>
      <c r="C597" s="24"/>
      <c r="D597" s="31" t="str">
        <f aca="false">IF(C597="","",IF(LEN(UPPER(SUBSTITUTE(SUBSTITUTE(SUBSTITUTE(SUBSTITUTE(TRIM(C597),".",""),"/",""),"-","")," ","")))&lt;14,RIGHT(REPT("0",14)&amp;UPPER(SUBSTITUTE(SUBSTITUTE(SUBSTITUTE(SUBSTITUTE(TRIM(C597),".",""),"/",""),"-","")," ","")),14),UPPER(SUBSTITUTE(SUBSTITUTE(SUBSTITUTE(SUBSTITUTE(TRIM(C597),".",""),"/",""),"-","")," ",""))))</f>
        <v/>
      </c>
      <c r="E597" s="25" t="str">
        <f aca="false">IF(D597="","",IFERROR(INDEX(Empresas!$C:$C,MATCH(D597,Empresas!$B:$B,0)),"cadastre o CNPJ em Empresas"))</f>
        <v/>
      </c>
      <c r="F597" s="11"/>
      <c r="G597" s="23"/>
      <c r="H597" s="22"/>
      <c r="I597" s="35"/>
      <c r="J597" s="35"/>
      <c r="K597" s="36" t="str">
        <f aca="false">IF(I597="","",I597+J597)</f>
        <v/>
      </c>
      <c r="L597" s="37" t="str">
        <f aca="false">IF(OR(I597="",I597=0,J597=""),"",J597/I597)</f>
        <v/>
      </c>
      <c r="M597" s="25" t="str">
        <f aca="false">IF(L597="","",IF(L597&gt;0.25,"ACRÉSCIMO ACIMA DE 25% — conferir",""))</f>
        <v/>
      </c>
      <c r="N597" s="29" t="str">
        <f aca="false">IF(D597="","",IF(COUNTIFS(Empresas!$B:$B,D597,Empresas!$E:$E,"&lt;&gt;")=0,"",INDEX(Empresas!$E:$E,MATCH(D597,Empresas!$B:$B,0))))</f>
        <v/>
      </c>
      <c r="O597" s="27" t="str">
        <f aca="false">IF(OR(N597="",H597=""),"",H597-N597)</f>
        <v/>
      </c>
      <c r="P597" s="25" t="str">
        <f aca="false">IF(O597="","",IF(O597&lt;0,"CONTRATO ANTERIOR À ABERTURA — conferir datas",IF(O597&lt;180,"EMPRESA ABERTA MENOS DE 6 MESES ANTES","")))</f>
        <v/>
      </c>
      <c r="Q597" s="31" t="str">
        <f aca="false">IF(D597="","",IFERROR(INDEX(Sancoes!$D:$D,MATCH(D597,Sancoes!$C:$C,0)),"não consta"))</f>
        <v/>
      </c>
      <c r="R597" s="25" t="str">
        <f aca="false">IF(OR(D597="",H597=""),"",IF(SUMPRODUCT((Sancoes!$C$5:$C$304=D597)*(Sancoes!$G$5:$G$304&lt;=H597)*(((Sancoes!$H$5:$H$304="")+(Sancoes!$H$5:$H$304&gt;=H597))&gt;0))&gt;0,"SANÇÃO VIGENTE NA DATA — ler tipo e abrangência",""))</f>
        <v/>
      </c>
      <c r="S597" s="24"/>
      <c r="T597" s="11"/>
    </row>
    <row r="598" customFormat="false" ht="15" hidden="false" customHeight="false" outlineLevel="0" collapsed="false">
      <c r="A598" s="11"/>
      <c r="B598" s="24"/>
      <c r="C598" s="24"/>
      <c r="D598" s="31" t="str">
        <f aca="false">IF(C598="","",IF(LEN(UPPER(SUBSTITUTE(SUBSTITUTE(SUBSTITUTE(SUBSTITUTE(TRIM(C598),".",""),"/",""),"-","")," ","")))&lt;14,RIGHT(REPT("0",14)&amp;UPPER(SUBSTITUTE(SUBSTITUTE(SUBSTITUTE(SUBSTITUTE(TRIM(C598),".",""),"/",""),"-","")," ","")),14),UPPER(SUBSTITUTE(SUBSTITUTE(SUBSTITUTE(SUBSTITUTE(TRIM(C598),".",""),"/",""),"-","")," ",""))))</f>
        <v/>
      </c>
      <c r="E598" s="25" t="str">
        <f aca="false">IF(D598="","",IFERROR(INDEX(Empresas!$C:$C,MATCH(D598,Empresas!$B:$B,0)),"cadastre o CNPJ em Empresas"))</f>
        <v/>
      </c>
      <c r="F598" s="11"/>
      <c r="G598" s="23"/>
      <c r="H598" s="22"/>
      <c r="I598" s="35"/>
      <c r="J598" s="35"/>
      <c r="K598" s="36" t="str">
        <f aca="false">IF(I598="","",I598+J598)</f>
        <v/>
      </c>
      <c r="L598" s="37" t="str">
        <f aca="false">IF(OR(I598="",I598=0,J598=""),"",J598/I598)</f>
        <v/>
      </c>
      <c r="M598" s="25" t="str">
        <f aca="false">IF(L598="","",IF(L598&gt;0.25,"ACRÉSCIMO ACIMA DE 25% — conferir",""))</f>
        <v/>
      </c>
      <c r="N598" s="29" t="str">
        <f aca="false">IF(D598="","",IF(COUNTIFS(Empresas!$B:$B,D598,Empresas!$E:$E,"&lt;&gt;")=0,"",INDEX(Empresas!$E:$E,MATCH(D598,Empresas!$B:$B,0))))</f>
        <v/>
      </c>
      <c r="O598" s="27" t="str">
        <f aca="false">IF(OR(N598="",H598=""),"",H598-N598)</f>
        <v/>
      </c>
      <c r="P598" s="25" t="str">
        <f aca="false">IF(O598="","",IF(O598&lt;0,"CONTRATO ANTERIOR À ABERTURA — conferir datas",IF(O598&lt;180,"EMPRESA ABERTA MENOS DE 6 MESES ANTES","")))</f>
        <v/>
      </c>
      <c r="Q598" s="31" t="str">
        <f aca="false">IF(D598="","",IFERROR(INDEX(Sancoes!$D:$D,MATCH(D598,Sancoes!$C:$C,0)),"não consta"))</f>
        <v/>
      </c>
      <c r="R598" s="25" t="str">
        <f aca="false">IF(OR(D598="",H598=""),"",IF(SUMPRODUCT((Sancoes!$C$5:$C$304=D598)*(Sancoes!$G$5:$G$304&lt;=H598)*(((Sancoes!$H$5:$H$304="")+(Sancoes!$H$5:$H$304&gt;=H598))&gt;0))&gt;0,"SANÇÃO VIGENTE NA DATA — ler tipo e abrangência",""))</f>
        <v/>
      </c>
      <c r="S598" s="24"/>
      <c r="T598" s="11"/>
    </row>
    <row r="599" customFormat="false" ht="15" hidden="false" customHeight="false" outlineLevel="0" collapsed="false">
      <c r="A599" s="11"/>
      <c r="B599" s="24"/>
      <c r="C599" s="24"/>
      <c r="D599" s="31" t="str">
        <f aca="false">IF(C599="","",IF(LEN(UPPER(SUBSTITUTE(SUBSTITUTE(SUBSTITUTE(SUBSTITUTE(TRIM(C599),".",""),"/",""),"-","")," ","")))&lt;14,RIGHT(REPT("0",14)&amp;UPPER(SUBSTITUTE(SUBSTITUTE(SUBSTITUTE(SUBSTITUTE(TRIM(C599),".",""),"/",""),"-","")," ","")),14),UPPER(SUBSTITUTE(SUBSTITUTE(SUBSTITUTE(SUBSTITUTE(TRIM(C599),".",""),"/",""),"-","")," ",""))))</f>
        <v/>
      </c>
      <c r="E599" s="25" t="str">
        <f aca="false">IF(D599="","",IFERROR(INDEX(Empresas!$C:$C,MATCH(D599,Empresas!$B:$B,0)),"cadastre o CNPJ em Empresas"))</f>
        <v/>
      </c>
      <c r="F599" s="11"/>
      <c r="G599" s="23"/>
      <c r="H599" s="22"/>
      <c r="I599" s="35"/>
      <c r="J599" s="35"/>
      <c r="K599" s="36" t="str">
        <f aca="false">IF(I599="","",I599+J599)</f>
        <v/>
      </c>
      <c r="L599" s="37" t="str">
        <f aca="false">IF(OR(I599="",I599=0,J599=""),"",J599/I599)</f>
        <v/>
      </c>
      <c r="M599" s="25" t="str">
        <f aca="false">IF(L599="","",IF(L599&gt;0.25,"ACRÉSCIMO ACIMA DE 25% — conferir",""))</f>
        <v/>
      </c>
      <c r="N599" s="29" t="str">
        <f aca="false">IF(D599="","",IF(COUNTIFS(Empresas!$B:$B,D599,Empresas!$E:$E,"&lt;&gt;")=0,"",INDEX(Empresas!$E:$E,MATCH(D599,Empresas!$B:$B,0))))</f>
        <v/>
      </c>
      <c r="O599" s="27" t="str">
        <f aca="false">IF(OR(N599="",H599=""),"",H599-N599)</f>
        <v/>
      </c>
      <c r="P599" s="25" t="str">
        <f aca="false">IF(O599="","",IF(O599&lt;0,"CONTRATO ANTERIOR À ABERTURA — conferir datas",IF(O599&lt;180,"EMPRESA ABERTA MENOS DE 6 MESES ANTES","")))</f>
        <v/>
      </c>
      <c r="Q599" s="31" t="str">
        <f aca="false">IF(D599="","",IFERROR(INDEX(Sancoes!$D:$D,MATCH(D599,Sancoes!$C:$C,0)),"não consta"))</f>
        <v/>
      </c>
      <c r="R599" s="25" t="str">
        <f aca="false">IF(OR(D599="",H599=""),"",IF(SUMPRODUCT((Sancoes!$C$5:$C$304=D599)*(Sancoes!$G$5:$G$304&lt;=H599)*(((Sancoes!$H$5:$H$304="")+(Sancoes!$H$5:$H$304&gt;=H599))&gt;0))&gt;0,"SANÇÃO VIGENTE NA DATA — ler tipo e abrangência",""))</f>
        <v/>
      </c>
      <c r="S599" s="24"/>
      <c r="T599" s="11"/>
    </row>
    <row r="600" customFormat="false" ht="15" hidden="false" customHeight="false" outlineLevel="0" collapsed="false">
      <c r="A600" s="11"/>
      <c r="B600" s="24"/>
      <c r="C600" s="24"/>
      <c r="D600" s="31" t="str">
        <f aca="false">IF(C600="","",IF(LEN(UPPER(SUBSTITUTE(SUBSTITUTE(SUBSTITUTE(SUBSTITUTE(TRIM(C600),".",""),"/",""),"-","")," ","")))&lt;14,RIGHT(REPT("0",14)&amp;UPPER(SUBSTITUTE(SUBSTITUTE(SUBSTITUTE(SUBSTITUTE(TRIM(C600),".",""),"/",""),"-","")," ","")),14),UPPER(SUBSTITUTE(SUBSTITUTE(SUBSTITUTE(SUBSTITUTE(TRIM(C600),".",""),"/",""),"-","")," ",""))))</f>
        <v/>
      </c>
      <c r="E600" s="25" t="str">
        <f aca="false">IF(D600="","",IFERROR(INDEX(Empresas!$C:$C,MATCH(D600,Empresas!$B:$B,0)),"cadastre o CNPJ em Empresas"))</f>
        <v/>
      </c>
      <c r="F600" s="11"/>
      <c r="G600" s="23"/>
      <c r="H600" s="22"/>
      <c r="I600" s="35"/>
      <c r="J600" s="35"/>
      <c r="K600" s="36" t="str">
        <f aca="false">IF(I600="","",I600+J600)</f>
        <v/>
      </c>
      <c r="L600" s="37" t="str">
        <f aca="false">IF(OR(I600="",I600=0,J600=""),"",J600/I600)</f>
        <v/>
      </c>
      <c r="M600" s="25" t="str">
        <f aca="false">IF(L600="","",IF(L600&gt;0.25,"ACRÉSCIMO ACIMA DE 25% — conferir",""))</f>
        <v/>
      </c>
      <c r="N600" s="29" t="str">
        <f aca="false">IF(D600="","",IF(COUNTIFS(Empresas!$B:$B,D600,Empresas!$E:$E,"&lt;&gt;")=0,"",INDEX(Empresas!$E:$E,MATCH(D600,Empresas!$B:$B,0))))</f>
        <v/>
      </c>
      <c r="O600" s="27" t="str">
        <f aca="false">IF(OR(N600="",H600=""),"",H600-N600)</f>
        <v/>
      </c>
      <c r="P600" s="25" t="str">
        <f aca="false">IF(O600="","",IF(O600&lt;0,"CONTRATO ANTERIOR À ABERTURA — conferir datas",IF(O600&lt;180,"EMPRESA ABERTA MENOS DE 6 MESES ANTES","")))</f>
        <v/>
      </c>
      <c r="Q600" s="31" t="str">
        <f aca="false">IF(D600="","",IFERROR(INDEX(Sancoes!$D:$D,MATCH(D600,Sancoes!$C:$C,0)),"não consta"))</f>
        <v/>
      </c>
      <c r="R600" s="25" t="str">
        <f aca="false">IF(OR(D600="",H600=""),"",IF(SUMPRODUCT((Sancoes!$C$5:$C$304=D600)*(Sancoes!$G$5:$G$304&lt;=H600)*(((Sancoes!$H$5:$H$304="")+(Sancoes!$H$5:$H$304&gt;=H600))&gt;0))&gt;0,"SANÇÃO VIGENTE NA DATA — ler tipo e abrangência",""))</f>
        <v/>
      </c>
      <c r="S600" s="24"/>
      <c r="T600" s="11"/>
    </row>
    <row r="601" customFormat="false" ht="15" hidden="false" customHeight="false" outlineLevel="0" collapsed="false">
      <c r="A601" s="11"/>
      <c r="B601" s="24"/>
      <c r="C601" s="24"/>
      <c r="D601" s="31" t="str">
        <f aca="false">IF(C601="","",IF(LEN(UPPER(SUBSTITUTE(SUBSTITUTE(SUBSTITUTE(SUBSTITUTE(TRIM(C601),".",""),"/",""),"-","")," ","")))&lt;14,RIGHT(REPT("0",14)&amp;UPPER(SUBSTITUTE(SUBSTITUTE(SUBSTITUTE(SUBSTITUTE(TRIM(C601),".",""),"/",""),"-","")," ","")),14),UPPER(SUBSTITUTE(SUBSTITUTE(SUBSTITUTE(SUBSTITUTE(TRIM(C601),".",""),"/",""),"-","")," ",""))))</f>
        <v/>
      </c>
      <c r="E601" s="25" t="str">
        <f aca="false">IF(D601="","",IFERROR(INDEX(Empresas!$C:$C,MATCH(D601,Empresas!$B:$B,0)),"cadastre o CNPJ em Empresas"))</f>
        <v/>
      </c>
      <c r="F601" s="11"/>
      <c r="G601" s="23"/>
      <c r="H601" s="22"/>
      <c r="I601" s="35"/>
      <c r="J601" s="35"/>
      <c r="K601" s="36" t="str">
        <f aca="false">IF(I601="","",I601+J601)</f>
        <v/>
      </c>
      <c r="L601" s="37" t="str">
        <f aca="false">IF(OR(I601="",I601=0,J601=""),"",J601/I601)</f>
        <v/>
      </c>
      <c r="M601" s="25" t="str">
        <f aca="false">IF(L601="","",IF(L601&gt;0.25,"ACRÉSCIMO ACIMA DE 25% — conferir",""))</f>
        <v/>
      </c>
      <c r="N601" s="29" t="str">
        <f aca="false">IF(D601="","",IF(COUNTIFS(Empresas!$B:$B,D601,Empresas!$E:$E,"&lt;&gt;")=0,"",INDEX(Empresas!$E:$E,MATCH(D601,Empresas!$B:$B,0))))</f>
        <v/>
      </c>
      <c r="O601" s="27" t="str">
        <f aca="false">IF(OR(N601="",H601=""),"",H601-N601)</f>
        <v/>
      </c>
      <c r="P601" s="25" t="str">
        <f aca="false">IF(O601="","",IF(O601&lt;0,"CONTRATO ANTERIOR À ABERTURA — conferir datas",IF(O601&lt;180,"EMPRESA ABERTA MENOS DE 6 MESES ANTES","")))</f>
        <v/>
      </c>
      <c r="Q601" s="31" t="str">
        <f aca="false">IF(D601="","",IFERROR(INDEX(Sancoes!$D:$D,MATCH(D601,Sancoes!$C:$C,0)),"não consta"))</f>
        <v/>
      </c>
      <c r="R601" s="25" t="str">
        <f aca="false">IF(OR(D601="",H601=""),"",IF(SUMPRODUCT((Sancoes!$C$5:$C$304=D601)*(Sancoes!$G$5:$G$304&lt;=H601)*(((Sancoes!$H$5:$H$304="")+(Sancoes!$H$5:$H$304&gt;=H601))&gt;0))&gt;0,"SANÇÃO VIGENTE NA DATA — ler tipo e abrangência",""))</f>
        <v/>
      </c>
      <c r="S601" s="24"/>
      <c r="T601" s="11"/>
    </row>
    <row r="602" customFormat="false" ht="15" hidden="false" customHeight="false" outlineLevel="0" collapsed="false">
      <c r="A602" s="11"/>
      <c r="B602" s="24"/>
      <c r="C602" s="24"/>
      <c r="D602" s="31" t="str">
        <f aca="false">IF(C602="","",IF(LEN(UPPER(SUBSTITUTE(SUBSTITUTE(SUBSTITUTE(SUBSTITUTE(TRIM(C602),".",""),"/",""),"-","")," ","")))&lt;14,RIGHT(REPT("0",14)&amp;UPPER(SUBSTITUTE(SUBSTITUTE(SUBSTITUTE(SUBSTITUTE(TRIM(C602),".",""),"/",""),"-","")," ","")),14),UPPER(SUBSTITUTE(SUBSTITUTE(SUBSTITUTE(SUBSTITUTE(TRIM(C602),".",""),"/",""),"-","")," ",""))))</f>
        <v/>
      </c>
      <c r="E602" s="25" t="str">
        <f aca="false">IF(D602="","",IFERROR(INDEX(Empresas!$C:$C,MATCH(D602,Empresas!$B:$B,0)),"cadastre o CNPJ em Empresas"))</f>
        <v/>
      </c>
      <c r="F602" s="11"/>
      <c r="G602" s="23"/>
      <c r="H602" s="22"/>
      <c r="I602" s="35"/>
      <c r="J602" s="35"/>
      <c r="K602" s="36" t="str">
        <f aca="false">IF(I602="","",I602+J602)</f>
        <v/>
      </c>
      <c r="L602" s="37" t="str">
        <f aca="false">IF(OR(I602="",I602=0,J602=""),"",J602/I602)</f>
        <v/>
      </c>
      <c r="M602" s="25" t="str">
        <f aca="false">IF(L602="","",IF(L602&gt;0.25,"ACRÉSCIMO ACIMA DE 25% — conferir",""))</f>
        <v/>
      </c>
      <c r="N602" s="29" t="str">
        <f aca="false">IF(D602="","",IF(COUNTIFS(Empresas!$B:$B,D602,Empresas!$E:$E,"&lt;&gt;")=0,"",INDEX(Empresas!$E:$E,MATCH(D602,Empresas!$B:$B,0))))</f>
        <v/>
      </c>
      <c r="O602" s="27" t="str">
        <f aca="false">IF(OR(N602="",H602=""),"",H602-N602)</f>
        <v/>
      </c>
      <c r="P602" s="25" t="str">
        <f aca="false">IF(O602="","",IF(O602&lt;0,"CONTRATO ANTERIOR À ABERTURA — conferir datas",IF(O602&lt;180,"EMPRESA ABERTA MENOS DE 6 MESES ANTES","")))</f>
        <v/>
      </c>
      <c r="Q602" s="31" t="str">
        <f aca="false">IF(D602="","",IFERROR(INDEX(Sancoes!$D:$D,MATCH(D602,Sancoes!$C:$C,0)),"não consta"))</f>
        <v/>
      </c>
      <c r="R602" s="25" t="str">
        <f aca="false">IF(OR(D602="",H602=""),"",IF(SUMPRODUCT((Sancoes!$C$5:$C$304=D602)*(Sancoes!$G$5:$G$304&lt;=H602)*(((Sancoes!$H$5:$H$304="")+(Sancoes!$H$5:$H$304&gt;=H602))&gt;0))&gt;0,"SANÇÃO VIGENTE NA DATA — ler tipo e abrangência",""))</f>
        <v/>
      </c>
      <c r="S602" s="24"/>
      <c r="T602" s="11"/>
    </row>
    <row r="603" customFormat="false" ht="15" hidden="false" customHeight="false" outlineLevel="0" collapsed="false">
      <c r="A603" s="11"/>
      <c r="B603" s="24"/>
      <c r="C603" s="24"/>
      <c r="D603" s="31" t="str">
        <f aca="false">IF(C603="","",IF(LEN(UPPER(SUBSTITUTE(SUBSTITUTE(SUBSTITUTE(SUBSTITUTE(TRIM(C603),".",""),"/",""),"-","")," ","")))&lt;14,RIGHT(REPT("0",14)&amp;UPPER(SUBSTITUTE(SUBSTITUTE(SUBSTITUTE(SUBSTITUTE(TRIM(C603),".",""),"/",""),"-","")," ","")),14),UPPER(SUBSTITUTE(SUBSTITUTE(SUBSTITUTE(SUBSTITUTE(TRIM(C603),".",""),"/",""),"-","")," ",""))))</f>
        <v/>
      </c>
      <c r="E603" s="25" t="str">
        <f aca="false">IF(D603="","",IFERROR(INDEX(Empresas!$C:$C,MATCH(D603,Empresas!$B:$B,0)),"cadastre o CNPJ em Empresas"))</f>
        <v/>
      </c>
      <c r="F603" s="11"/>
      <c r="G603" s="23"/>
      <c r="H603" s="22"/>
      <c r="I603" s="35"/>
      <c r="J603" s="35"/>
      <c r="K603" s="36" t="str">
        <f aca="false">IF(I603="","",I603+J603)</f>
        <v/>
      </c>
      <c r="L603" s="37" t="str">
        <f aca="false">IF(OR(I603="",I603=0,J603=""),"",J603/I603)</f>
        <v/>
      </c>
      <c r="M603" s="25" t="str">
        <f aca="false">IF(L603="","",IF(L603&gt;0.25,"ACRÉSCIMO ACIMA DE 25% — conferir",""))</f>
        <v/>
      </c>
      <c r="N603" s="29" t="str">
        <f aca="false">IF(D603="","",IF(COUNTIFS(Empresas!$B:$B,D603,Empresas!$E:$E,"&lt;&gt;")=0,"",INDEX(Empresas!$E:$E,MATCH(D603,Empresas!$B:$B,0))))</f>
        <v/>
      </c>
      <c r="O603" s="27" t="str">
        <f aca="false">IF(OR(N603="",H603=""),"",H603-N603)</f>
        <v/>
      </c>
      <c r="P603" s="25" t="str">
        <f aca="false">IF(O603="","",IF(O603&lt;0,"CONTRATO ANTERIOR À ABERTURA — conferir datas",IF(O603&lt;180,"EMPRESA ABERTA MENOS DE 6 MESES ANTES","")))</f>
        <v/>
      </c>
      <c r="Q603" s="31" t="str">
        <f aca="false">IF(D603="","",IFERROR(INDEX(Sancoes!$D:$D,MATCH(D603,Sancoes!$C:$C,0)),"não consta"))</f>
        <v/>
      </c>
      <c r="R603" s="25" t="str">
        <f aca="false">IF(OR(D603="",H603=""),"",IF(SUMPRODUCT((Sancoes!$C$5:$C$304=D603)*(Sancoes!$G$5:$G$304&lt;=H603)*(((Sancoes!$H$5:$H$304="")+(Sancoes!$H$5:$H$304&gt;=H603))&gt;0))&gt;0,"SANÇÃO VIGENTE NA DATA — ler tipo e abrangência",""))</f>
        <v/>
      </c>
      <c r="S603" s="24"/>
      <c r="T603" s="11"/>
    </row>
    <row r="604" customFormat="false" ht="15" hidden="false" customHeight="false" outlineLevel="0" collapsed="false">
      <c r="A604" s="11"/>
      <c r="B604" s="24"/>
      <c r="C604" s="24"/>
      <c r="D604" s="31" t="str">
        <f aca="false">IF(C604="","",IF(LEN(UPPER(SUBSTITUTE(SUBSTITUTE(SUBSTITUTE(SUBSTITUTE(TRIM(C604),".",""),"/",""),"-","")," ","")))&lt;14,RIGHT(REPT("0",14)&amp;UPPER(SUBSTITUTE(SUBSTITUTE(SUBSTITUTE(SUBSTITUTE(TRIM(C604),".",""),"/",""),"-","")," ","")),14),UPPER(SUBSTITUTE(SUBSTITUTE(SUBSTITUTE(SUBSTITUTE(TRIM(C604),".",""),"/",""),"-","")," ",""))))</f>
        <v/>
      </c>
      <c r="E604" s="25" t="str">
        <f aca="false">IF(D604="","",IFERROR(INDEX(Empresas!$C:$C,MATCH(D604,Empresas!$B:$B,0)),"cadastre o CNPJ em Empresas"))</f>
        <v/>
      </c>
      <c r="F604" s="11"/>
      <c r="G604" s="23"/>
      <c r="H604" s="22"/>
      <c r="I604" s="35"/>
      <c r="J604" s="35"/>
      <c r="K604" s="36" t="str">
        <f aca="false">IF(I604="","",I604+J604)</f>
        <v/>
      </c>
      <c r="L604" s="37" t="str">
        <f aca="false">IF(OR(I604="",I604=0,J604=""),"",J604/I604)</f>
        <v/>
      </c>
      <c r="M604" s="25" t="str">
        <f aca="false">IF(L604="","",IF(L604&gt;0.25,"ACRÉSCIMO ACIMA DE 25% — conferir",""))</f>
        <v/>
      </c>
      <c r="N604" s="29" t="str">
        <f aca="false">IF(D604="","",IF(COUNTIFS(Empresas!$B:$B,D604,Empresas!$E:$E,"&lt;&gt;")=0,"",INDEX(Empresas!$E:$E,MATCH(D604,Empresas!$B:$B,0))))</f>
        <v/>
      </c>
      <c r="O604" s="27" t="str">
        <f aca="false">IF(OR(N604="",H604=""),"",H604-N604)</f>
        <v/>
      </c>
      <c r="P604" s="25" t="str">
        <f aca="false">IF(O604="","",IF(O604&lt;0,"CONTRATO ANTERIOR À ABERTURA — conferir datas",IF(O604&lt;180,"EMPRESA ABERTA MENOS DE 6 MESES ANTES","")))</f>
        <v/>
      </c>
      <c r="Q604" s="31" t="str">
        <f aca="false">IF(D604="","",IFERROR(INDEX(Sancoes!$D:$D,MATCH(D604,Sancoes!$C:$C,0)),"não consta"))</f>
        <v/>
      </c>
      <c r="R604" s="25" t="str">
        <f aca="false">IF(OR(D604="",H604=""),"",IF(SUMPRODUCT((Sancoes!$C$5:$C$304=D604)*(Sancoes!$G$5:$G$304&lt;=H604)*(((Sancoes!$H$5:$H$304="")+(Sancoes!$H$5:$H$304&gt;=H604))&gt;0))&gt;0,"SANÇÃO VIGENTE NA DATA — ler tipo e abrangência",""))</f>
        <v/>
      </c>
      <c r="S604" s="24"/>
      <c r="T604" s="11"/>
    </row>
    <row r="605" customFormat="false" ht="15" hidden="false" customHeight="false" outlineLevel="0" collapsed="false">
      <c r="A605" s="11"/>
      <c r="B605" s="24"/>
      <c r="C605" s="24"/>
      <c r="D605" s="31" t="str">
        <f aca="false">IF(C605="","",IF(LEN(UPPER(SUBSTITUTE(SUBSTITUTE(SUBSTITUTE(SUBSTITUTE(TRIM(C605),".",""),"/",""),"-","")," ","")))&lt;14,RIGHT(REPT("0",14)&amp;UPPER(SUBSTITUTE(SUBSTITUTE(SUBSTITUTE(SUBSTITUTE(TRIM(C605),".",""),"/",""),"-","")," ","")),14),UPPER(SUBSTITUTE(SUBSTITUTE(SUBSTITUTE(SUBSTITUTE(TRIM(C605),".",""),"/",""),"-","")," ",""))))</f>
        <v/>
      </c>
      <c r="E605" s="25" t="str">
        <f aca="false">IF(D605="","",IFERROR(INDEX(Empresas!$C:$C,MATCH(D605,Empresas!$B:$B,0)),"cadastre o CNPJ em Empresas"))</f>
        <v/>
      </c>
      <c r="F605" s="11"/>
      <c r="G605" s="23"/>
      <c r="H605" s="22"/>
      <c r="I605" s="35"/>
      <c r="J605" s="35"/>
      <c r="K605" s="36" t="str">
        <f aca="false">IF(I605="","",I605+J605)</f>
        <v/>
      </c>
      <c r="L605" s="37" t="str">
        <f aca="false">IF(OR(I605="",I605=0,J605=""),"",J605/I605)</f>
        <v/>
      </c>
      <c r="M605" s="25" t="str">
        <f aca="false">IF(L605="","",IF(L605&gt;0.25,"ACRÉSCIMO ACIMA DE 25% — conferir",""))</f>
        <v/>
      </c>
      <c r="N605" s="29" t="str">
        <f aca="false">IF(D605="","",IF(COUNTIFS(Empresas!$B:$B,D605,Empresas!$E:$E,"&lt;&gt;")=0,"",INDEX(Empresas!$E:$E,MATCH(D605,Empresas!$B:$B,0))))</f>
        <v/>
      </c>
      <c r="O605" s="27" t="str">
        <f aca="false">IF(OR(N605="",H605=""),"",H605-N605)</f>
        <v/>
      </c>
      <c r="P605" s="25" t="str">
        <f aca="false">IF(O605="","",IF(O605&lt;0,"CONTRATO ANTERIOR À ABERTURA — conferir datas",IF(O605&lt;180,"EMPRESA ABERTA MENOS DE 6 MESES ANTES","")))</f>
        <v/>
      </c>
      <c r="Q605" s="31" t="str">
        <f aca="false">IF(D605="","",IFERROR(INDEX(Sancoes!$D:$D,MATCH(D605,Sancoes!$C:$C,0)),"não consta"))</f>
        <v/>
      </c>
      <c r="R605" s="25" t="str">
        <f aca="false">IF(OR(D605="",H605=""),"",IF(SUMPRODUCT((Sancoes!$C$5:$C$304=D605)*(Sancoes!$G$5:$G$304&lt;=H605)*(((Sancoes!$H$5:$H$304="")+(Sancoes!$H$5:$H$304&gt;=H605))&gt;0))&gt;0,"SANÇÃO VIGENTE NA DATA — ler tipo e abrangência",""))</f>
        <v/>
      </c>
      <c r="S605" s="24"/>
      <c r="T605" s="11"/>
    </row>
    <row r="606" customFormat="false" ht="15" hidden="false" customHeight="false" outlineLevel="0" collapsed="false">
      <c r="A606" s="11"/>
      <c r="B606" s="24"/>
      <c r="C606" s="24"/>
      <c r="D606" s="31" t="str">
        <f aca="false">IF(C606="","",IF(LEN(UPPER(SUBSTITUTE(SUBSTITUTE(SUBSTITUTE(SUBSTITUTE(TRIM(C606),".",""),"/",""),"-","")," ","")))&lt;14,RIGHT(REPT("0",14)&amp;UPPER(SUBSTITUTE(SUBSTITUTE(SUBSTITUTE(SUBSTITUTE(TRIM(C606),".",""),"/",""),"-","")," ","")),14),UPPER(SUBSTITUTE(SUBSTITUTE(SUBSTITUTE(SUBSTITUTE(TRIM(C606),".",""),"/",""),"-","")," ",""))))</f>
        <v/>
      </c>
      <c r="E606" s="25" t="str">
        <f aca="false">IF(D606="","",IFERROR(INDEX(Empresas!$C:$C,MATCH(D606,Empresas!$B:$B,0)),"cadastre o CNPJ em Empresas"))</f>
        <v/>
      </c>
      <c r="F606" s="11"/>
      <c r="G606" s="23"/>
      <c r="H606" s="22"/>
      <c r="I606" s="35"/>
      <c r="J606" s="35"/>
      <c r="K606" s="36" t="str">
        <f aca="false">IF(I606="","",I606+J606)</f>
        <v/>
      </c>
      <c r="L606" s="37" t="str">
        <f aca="false">IF(OR(I606="",I606=0,J606=""),"",J606/I606)</f>
        <v/>
      </c>
      <c r="M606" s="25" t="str">
        <f aca="false">IF(L606="","",IF(L606&gt;0.25,"ACRÉSCIMO ACIMA DE 25% — conferir",""))</f>
        <v/>
      </c>
      <c r="N606" s="29" t="str">
        <f aca="false">IF(D606="","",IF(COUNTIFS(Empresas!$B:$B,D606,Empresas!$E:$E,"&lt;&gt;")=0,"",INDEX(Empresas!$E:$E,MATCH(D606,Empresas!$B:$B,0))))</f>
        <v/>
      </c>
      <c r="O606" s="27" t="str">
        <f aca="false">IF(OR(N606="",H606=""),"",H606-N606)</f>
        <v/>
      </c>
      <c r="P606" s="25" t="str">
        <f aca="false">IF(O606="","",IF(O606&lt;0,"CONTRATO ANTERIOR À ABERTURA — conferir datas",IF(O606&lt;180,"EMPRESA ABERTA MENOS DE 6 MESES ANTES","")))</f>
        <v/>
      </c>
      <c r="Q606" s="31" t="str">
        <f aca="false">IF(D606="","",IFERROR(INDEX(Sancoes!$D:$D,MATCH(D606,Sancoes!$C:$C,0)),"não consta"))</f>
        <v/>
      </c>
      <c r="R606" s="25" t="str">
        <f aca="false">IF(OR(D606="",H606=""),"",IF(SUMPRODUCT((Sancoes!$C$5:$C$304=D606)*(Sancoes!$G$5:$G$304&lt;=H606)*(((Sancoes!$H$5:$H$304="")+(Sancoes!$H$5:$H$304&gt;=H606))&gt;0))&gt;0,"SANÇÃO VIGENTE NA DATA — ler tipo e abrangência",""))</f>
        <v/>
      </c>
      <c r="S606" s="24"/>
      <c r="T606" s="11"/>
    </row>
    <row r="607" customFormat="false" ht="15" hidden="false" customHeight="false" outlineLevel="0" collapsed="false">
      <c r="A607" s="11"/>
      <c r="B607" s="24"/>
      <c r="C607" s="24"/>
      <c r="D607" s="31" t="str">
        <f aca="false">IF(C607="","",IF(LEN(UPPER(SUBSTITUTE(SUBSTITUTE(SUBSTITUTE(SUBSTITUTE(TRIM(C607),".",""),"/",""),"-","")," ","")))&lt;14,RIGHT(REPT("0",14)&amp;UPPER(SUBSTITUTE(SUBSTITUTE(SUBSTITUTE(SUBSTITUTE(TRIM(C607),".",""),"/",""),"-","")," ","")),14),UPPER(SUBSTITUTE(SUBSTITUTE(SUBSTITUTE(SUBSTITUTE(TRIM(C607),".",""),"/",""),"-","")," ",""))))</f>
        <v/>
      </c>
      <c r="E607" s="25" t="str">
        <f aca="false">IF(D607="","",IFERROR(INDEX(Empresas!$C:$C,MATCH(D607,Empresas!$B:$B,0)),"cadastre o CNPJ em Empresas"))</f>
        <v/>
      </c>
      <c r="F607" s="11"/>
      <c r="G607" s="23"/>
      <c r="H607" s="22"/>
      <c r="I607" s="35"/>
      <c r="J607" s="35"/>
      <c r="K607" s="36" t="str">
        <f aca="false">IF(I607="","",I607+J607)</f>
        <v/>
      </c>
      <c r="L607" s="37" t="str">
        <f aca="false">IF(OR(I607="",I607=0,J607=""),"",J607/I607)</f>
        <v/>
      </c>
      <c r="M607" s="25" t="str">
        <f aca="false">IF(L607="","",IF(L607&gt;0.25,"ACRÉSCIMO ACIMA DE 25% — conferir",""))</f>
        <v/>
      </c>
      <c r="N607" s="29" t="str">
        <f aca="false">IF(D607="","",IF(COUNTIFS(Empresas!$B:$B,D607,Empresas!$E:$E,"&lt;&gt;")=0,"",INDEX(Empresas!$E:$E,MATCH(D607,Empresas!$B:$B,0))))</f>
        <v/>
      </c>
      <c r="O607" s="27" t="str">
        <f aca="false">IF(OR(N607="",H607=""),"",H607-N607)</f>
        <v/>
      </c>
      <c r="P607" s="25" t="str">
        <f aca="false">IF(O607="","",IF(O607&lt;0,"CONTRATO ANTERIOR À ABERTURA — conferir datas",IF(O607&lt;180,"EMPRESA ABERTA MENOS DE 6 MESES ANTES","")))</f>
        <v/>
      </c>
      <c r="Q607" s="31" t="str">
        <f aca="false">IF(D607="","",IFERROR(INDEX(Sancoes!$D:$D,MATCH(D607,Sancoes!$C:$C,0)),"não consta"))</f>
        <v/>
      </c>
      <c r="R607" s="25" t="str">
        <f aca="false">IF(OR(D607="",H607=""),"",IF(SUMPRODUCT((Sancoes!$C$5:$C$304=D607)*(Sancoes!$G$5:$G$304&lt;=H607)*(((Sancoes!$H$5:$H$304="")+(Sancoes!$H$5:$H$304&gt;=H607))&gt;0))&gt;0,"SANÇÃO VIGENTE NA DATA — ler tipo e abrangência",""))</f>
        <v/>
      </c>
      <c r="S607" s="24"/>
      <c r="T607" s="11"/>
    </row>
    <row r="608" customFormat="false" ht="15" hidden="false" customHeight="false" outlineLevel="0" collapsed="false">
      <c r="A608" s="11"/>
      <c r="B608" s="24"/>
      <c r="C608" s="24"/>
      <c r="D608" s="31" t="str">
        <f aca="false">IF(C608="","",IF(LEN(UPPER(SUBSTITUTE(SUBSTITUTE(SUBSTITUTE(SUBSTITUTE(TRIM(C608),".",""),"/",""),"-","")," ","")))&lt;14,RIGHT(REPT("0",14)&amp;UPPER(SUBSTITUTE(SUBSTITUTE(SUBSTITUTE(SUBSTITUTE(TRIM(C608),".",""),"/",""),"-","")," ","")),14),UPPER(SUBSTITUTE(SUBSTITUTE(SUBSTITUTE(SUBSTITUTE(TRIM(C608),".",""),"/",""),"-","")," ",""))))</f>
        <v/>
      </c>
      <c r="E608" s="25" t="str">
        <f aca="false">IF(D608="","",IFERROR(INDEX(Empresas!$C:$C,MATCH(D608,Empresas!$B:$B,0)),"cadastre o CNPJ em Empresas"))</f>
        <v/>
      </c>
      <c r="F608" s="11"/>
      <c r="G608" s="23"/>
      <c r="H608" s="22"/>
      <c r="I608" s="35"/>
      <c r="J608" s="35"/>
      <c r="K608" s="36" t="str">
        <f aca="false">IF(I608="","",I608+J608)</f>
        <v/>
      </c>
      <c r="L608" s="37" t="str">
        <f aca="false">IF(OR(I608="",I608=0,J608=""),"",J608/I608)</f>
        <v/>
      </c>
      <c r="M608" s="25" t="str">
        <f aca="false">IF(L608="","",IF(L608&gt;0.25,"ACRÉSCIMO ACIMA DE 25% — conferir",""))</f>
        <v/>
      </c>
      <c r="N608" s="29" t="str">
        <f aca="false">IF(D608="","",IF(COUNTIFS(Empresas!$B:$B,D608,Empresas!$E:$E,"&lt;&gt;")=0,"",INDEX(Empresas!$E:$E,MATCH(D608,Empresas!$B:$B,0))))</f>
        <v/>
      </c>
      <c r="O608" s="27" t="str">
        <f aca="false">IF(OR(N608="",H608=""),"",H608-N608)</f>
        <v/>
      </c>
      <c r="P608" s="25" t="str">
        <f aca="false">IF(O608="","",IF(O608&lt;0,"CONTRATO ANTERIOR À ABERTURA — conferir datas",IF(O608&lt;180,"EMPRESA ABERTA MENOS DE 6 MESES ANTES","")))</f>
        <v/>
      </c>
      <c r="Q608" s="31" t="str">
        <f aca="false">IF(D608="","",IFERROR(INDEX(Sancoes!$D:$D,MATCH(D608,Sancoes!$C:$C,0)),"não consta"))</f>
        <v/>
      </c>
      <c r="R608" s="25" t="str">
        <f aca="false">IF(OR(D608="",H608=""),"",IF(SUMPRODUCT((Sancoes!$C$5:$C$304=D608)*(Sancoes!$G$5:$G$304&lt;=H608)*(((Sancoes!$H$5:$H$304="")+(Sancoes!$H$5:$H$304&gt;=H608))&gt;0))&gt;0,"SANÇÃO VIGENTE NA DATA — ler tipo e abrangência",""))</f>
        <v/>
      </c>
      <c r="S608" s="24"/>
      <c r="T608" s="11"/>
    </row>
    <row r="609" customFormat="false" ht="15" hidden="false" customHeight="false" outlineLevel="0" collapsed="false">
      <c r="A609" s="11"/>
      <c r="B609" s="24"/>
      <c r="C609" s="24"/>
      <c r="D609" s="31" t="str">
        <f aca="false">IF(C609="","",IF(LEN(UPPER(SUBSTITUTE(SUBSTITUTE(SUBSTITUTE(SUBSTITUTE(TRIM(C609),".",""),"/",""),"-","")," ","")))&lt;14,RIGHT(REPT("0",14)&amp;UPPER(SUBSTITUTE(SUBSTITUTE(SUBSTITUTE(SUBSTITUTE(TRIM(C609),".",""),"/",""),"-","")," ","")),14),UPPER(SUBSTITUTE(SUBSTITUTE(SUBSTITUTE(SUBSTITUTE(TRIM(C609),".",""),"/",""),"-","")," ",""))))</f>
        <v/>
      </c>
      <c r="E609" s="25" t="str">
        <f aca="false">IF(D609="","",IFERROR(INDEX(Empresas!$C:$C,MATCH(D609,Empresas!$B:$B,0)),"cadastre o CNPJ em Empresas"))</f>
        <v/>
      </c>
      <c r="F609" s="11"/>
      <c r="G609" s="23"/>
      <c r="H609" s="22"/>
      <c r="I609" s="35"/>
      <c r="J609" s="35"/>
      <c r="K609" s="36" t="str">
        <f aca="false">IF(I609="","",I609+J609)</f>
        <v/>
      </c>
      <c r="L609" s="37" t="str">
        <f aca="false">IF(OR(I609="",I609=0,J609=""),"",J609/I609)</f>
        <v/>
      </c>
      <c r="M609" s="25" t="str">
        <f aca="false">IF(L609="","",IF(L609&gt;0.25,"ACRÉSCIMO ACIMA DE 25% — conferir",""))</f>
        <v/>
      </c>
      <c r="N609" s="29" t="str">
        <f aca="false">IF(D609="","",IF(COUNTIFS(Empresas!$B:$B,D609,Empresas!$E:$E,"&lt;&gt;")=0,"",INDEX(Empresas!$E:$E,MATCH(D609,Empresas!$B:$B,0))))</f>
        <v/>
      </c>
      <c r="O609" s="27" t="str">
        <f aca="false">IF(OR(N609="",H609=""),"",H609-N609)</f>
        <v/>
      </c>
      <c r="P609" s="25" t="str">
        <f aca="false">IF(O609="","",IF(O609&lt;0,"CONTRATO ANTERIOR À ABERTURA — conferir datas",IF(O609&lt;180,"EMPRESA ABERTA MENOS DE 6 MESES ANTES","")))</f>
        <v/>
      </c>
      <c r="Q609" s="31" t="str">
        <f aca="false">IF(D609="","",IFERROR(INDEX(Sancoes!$D:$D,MATCH(D609,Sancoes!$C:$C,0)),"não consta"))</f>
        <v/>
      </c>
      <c r="R609" s="25" t="str">
        <f aca="false">IF(OR(D609="",H609=""),"",IF(SUMPRODUCT((Sancoes!$C$5:$C$304=D609)*(Sancoes!$G$5:$G$304&lt;=H609)*(((Sancoes!$H$5:$H$304="")+(Sancoes!$H$5:$H$304&gt;=H609))&gt;0))&gt;0,"SANÇÃO VIGENTE NA DATA — ler tipo e abrangência",""))</f>
        <v/>
      </c>
      <c r="S609" s="24"/>
      <c r="T609" s="11"/>
    </row>
    <row r="610" customFormat="false" ht="15" hidden="false" customHeight="false" outlineLevel="0" collapsed="false">
      <c r="A610" s="11"/>
      <c r="B610" s="24"/>
      <c r="C610" s="24"/>
      <c r="D610" s="31" t="str">
        <f aca="false">IF(C610="","",IF(LEN(UPPER(SUBSTITUTE(SUBSTITUTE(SUBSTITUTE(SUBSTITUTE(TRIM(C610),".",""),"/",""),"-","")," ","")))&lt;14,RIGHT(REPT("0",14)&amp;UPPER(SUBSTITUTE(SUBSTITUTE(SUBSTITUTE(SUBSTITUTE(TRIM(C610),".",""),"/",""),"-","")," ","")),14),UPPER(SUBSTITUTE(SUBSTITUTE(SUBSTITUTE(SUBSTITUTE(TRIM(C610),".",""),"/",""),"-","")," ",""))))</f>
        <v/>
      </c>
      <c r="E610" s="25" t="str">
        <f aca="false">IF(D610="","",IFERROR(INDEX(Empresas!$C:$C,MATCH(D610,Empresas!$B:$B,0)),"cadastre o CNPJ em Empresas"))</f>
        <v/>
      </c>
      <c r="F610" s="11"/>
      <c r="G610" s="23"/>
      <c r="H610" s="22"/>
      <c r="I610" s="35"/>
      <c r="J610" s="35"/>
      <c r="K610" s="36" t="str">
        <f aca="false">IF(I610="","",I610+J610)</f>
        <v/>
      </c>
      <c r="L610" s="37" t="str">
        <f aca="false">IF(OR(I610="",I610=0,J610=""),"",J610/I610)</f>
        <v/>
      </c>
      <c r="M610" s="25" t="str">
        <f aca="false">IF(L610="","",IF(L610&gt;0.25,"ACRÉSCIMO ACIMA DE 25% — conferir",""))</f>
        <v/>
      </c>
      <c r="N610" s="29" t="str">
        <f aca="false">IF(D610="","",IF(COUNTIFS(Empresas!$B:$B,D610,Empresas!$E:$E,"&lt;&gt;")=0,"",INDEX(Empresas!$E:$E,MATCH(D610,Empresas!$B:$B,0))))</f>
        <v/>
      </c>
      <c r="O610" s="27" t="str">
        <f aca="false">IF(OR(N610="",H610=""),"",H610-N610)</f>
        <v/>
      </c>
      <c r="P610" s="25" t="str">
        <f aca="false">IF(O610="","",IF(O610&lt;0,"CONTRATO ANTERIOR À ABERTURA — conferir datas",IF(O610&lt;180,"EMPRESA ABERTA MENOS DE 6 MESES ANTES","")))</f>
        <v/>
      </c>
      <c r="Q610" s="31" t="str">
        <f aca="false">IF(D610="","",IFERROR(INDEX(Sancoes!$D:$D,MATCH(D610,Sancoes!$C:$C,0)),"não consta"))</f>
        <v/>
      </c>
      <c r="R610" s="25" t="str">
        <f aca="false">IF(OR(D610="",H610=""),"",IF(SUMPRODUCT((Sancoes!$C$5:$C$304=D610)*(Sancoes!$G$5:$G$304&lt;=H610)*(((Sancoes!$H$5:$H$304="")+(Sancoes!$H$5:$H$304&gt;=H610))&gt;0))&gt;0,"SANÇÃO VIGENTE NA DATA — ler tipo e abrangência",""))</f>
        <v/>
      </c>
      <c r="S610" s="24"/>
      <c r="T610" s="11"/>
    </row>
    <row r="611" customFormat="false" ht="15" hidden="false" customHeight="false" outlineLevel="0" collapsed="false">
      <c r="A611" s="11"/>
      <c r="B611" s="24"/>
      <c r="C611" s="24"/>
      <c r="D611" s="31" t="str">
        <f aca="false">IF(C611="","",IF(LEN(UPPER(SUBSTITUTE(SUBSTITUTE(SUBSTITUTE(SUBSTITUTE(TRIM(C611),".",""),"/",""),"-","")," ","")))&lt;14,RIGHT(REPT("0",14)&amp;UPPER(SUBSTITUTE(SUBSTITUTE(SUBSTITUTE(SUBSTITUTE(TRIM(C611),".",""),"/",""),"-","")," ","")),14),UPPER(SUBSTITUTE(SUBSTITUTE(SUBSTITUTE(SUBSTITUTE(TRIM(C611),".",""),"/",""),"-","")," ",""))))</f>
        <v/>
      </c>
      <c r="E611" s="25" t="str">
        <f aca="false">IF(D611="","",IFERROR(INDEX(Empresas!$C:$C,MATCH(D611,Empresas!$B:$B,0)),"cadastre o CNPJ em Empresas"))</f>
        <v/>
      </c>
      <c r="F611" s="11"/>
      <c r="G611" s="23"/>
      <c r="H611" s="22"/>
      <c r="I611" s="35"/>
      <c r="J611" s="35"/>
      <c r="K611" s="36" t="str">
        <f aca="false">IF(I611="","",I611+J611)</f>
        <v/>
      </c>
      <c r="L611" s="37" t="str">
        <f aca="false">IF(OR(I611="",I611=0,J611=""),"",J611/I611)</f>
        <v/>
      </c>
      <c r="M611" s="25" t="str">
        <f aca="false">IF(L611="","",IF(L611&gt;0.25,"ACRÉSCIMO ACIMA DE 25% — conferir",""))</f>
        <v/>
      </c>
      <c r="N611" s="29" t="str">
        <f aca="false">IF(D611="","",IF(COUNTIFS(Empresas!$B:$B,D611,Empresas!$E:$E,"&lt;&gt;")=0,"",INDEX(Empresas!$E:$E,MATCH(D611,Empresas!$B:$B,0))))</f>
        <v/>
      </c>
      <c r="O611" s="27" t="str">
        <f aca="false">IF(OR(N611="",H611=""),"",H611-N611)</f>
        <v/>
      </c>
      <c r="P611" s="25" t="str">
        <f aca="false">IF(O611="","",IF(O611&lt;0,"CONTRATO ANTERIOR À ABERTURA — conferir datas",IF(O611&lt;180,"EMPRESA ABERTA MENOS DE 6 MESES ANTES","")))</f>
        <v/>
      </c>
      <c r="Q611" s="31" t="str">
        <f aca="false">IF(D611="","",IFERROR(INDEX(Sancoes!$D:$D,MATCH(D611,Sancoes!$C:$C,0)),"não consta"))</f>
        <v/>
      </c>
      <c r="R611" s="25" t="str">
        <f aca="false">IF(OR(D611="",H611=""),"",IF(SUMPRODUCT((Sancoes!$C$5:$C$304=D611)*(Sancoes!$G$5:$G$304&lt;=H611)*(((Sancoes!$H$5:$H$304="")+(Sancoes!$H$5:$H$304&gt;=H611))&gt;0))&gt;0,"SANÇÃO VIGENTE NA DATA — ler tipo e abrangência",""))</f>
        <v/>
      </c>
      <c r="S611" s="24"/>
      <c r="T611" s="11"/>
    </row>
    <row r="612" customFormat="false" ht="15" hidden="false" customHeight="false" outlineLevel="0" collapsed="false">
      <c r="A612" s="11"/>
      <c r="B612" s="24"/>
      <c r="C612" s="24"/>
      <c r="D612" s="31" t="str">
        <f aca="false">IF(C612="","",IF(LEN(UPPER(SUBSTITUTE(SUBSTITUTE(SUBSTITUTE(SUBSTITUTE(TRIM(C612),".",""),"/",""),"-","")," ","")))&lt;14,RIGHT(REPT("0",14)&amp;UPPER(SUBSTITUTE(SUBSTITUTE(SUBSTITUTE(SUBSTITUTE(TRIM(C612),".",""),"/",""),"-","")," ","")),14),UPPER(SUBSTITUTE(SUBSTITUTE(SUBSTITUTE(SUBSTITUTE(TRIM(C612),".",""),"/",""),"-","")," ",""))))</f>
        <v/>
      </c>
      <c r="E612" s="25" t="str">
        <f aca="false">IF(D612="","",IFERROR(INDEX(Empresas!$C:$C,MATCH(D612,Empresas!$B:$B,0)),"cadastre o CNPJ em Empresas"))</f>
        <v/>
      </c>
      <c r="F612" s="11"/>
      <c r="G612" s="23"/>
      <c r="H612" s="22"/>
      <c r="I612" s="35"/>
      <c r="J612" s="35"/>
      <c r="K612" s="36" t="str">
        <f aca="false">IF(I612="","",I612+J612)</f>
        <v/>
      </c>
      <c r="L612" s="37" t="str">
        <f aca="false">IF(OR(I612="",I612=0,J612=""),"",J612/I612)</f>
        <v/>
      </c>
      <c r="M612" s="25" t="str">
        <f aca="false">IF(L612="","",IF(L612&gt;0.25,"ACRÉSCIMO ACIMA DE 25% — conferir",""))</f>
        <v/>
      </c>
      <c r="N612" s="29" t="str">
        <f aca="false">IF(D612="","",IF(COUNTIFS(Empresas!$B:$B,D612,Empresas!$E:$E,"&lt;&gt;")=0,"",INDEX(Empresas!$E:$E,MATCH(D612,Empresas!$B:$B,0))))</f>
        <v/>
      </c>
      <c r="O612" s="27" t="str">
        <f aca="false">IF(OR(N612="",H612=""),"",H612-N612)</f>
        <v/>
      </c>
      <c r="P612" s="25" t="str">
        <f aca="false">IF(O612="","",IF(O612&lt;0,"CONTRATO ANTERIOR À ABERTURA — conferir datas",IF(O612&lt;180,"EMPRESA ABERTA MENOS DE 6 MESES ANTES","")))</f>
        <v/>
      </c>
      <c r="Q612" s="31" t="str">
        <f aca="false">IF(D612="","",IFERROR(INDEX(Sancoes!$D:$D,MATCH(D612,Sancoes!$C:$C,0)),"não consta"))</f>
        <v/>
      </c>
      <c r="R612" s="25" t="str">
        <f aca="false">IF(OR(D612="",H612=""),"",IF(SUMPRODUCT((Sancoes!$C$5:$C$304=D612)*(Sancoes!$G$5:$G$304&lt;=H612)*(((Sancoes!$H$5:$H$304="")+(Sancoes!$H$5:$H$304&gt;=H612))&gt;0))&gt;0,"SANÇÃO VIGENTE NA DATA — ler tipo e abrangência",""))</f>
        <v/>
      </c>
      <c r="S612" s="24"/>
      <c r="T612" s="11"/>
    </row>
    <row r="613" customFormat="false" ht="15" hidden="false" customHeight="false" outlineLevel="0" collapsed="false">
      <c r="A613" s="11"/>
      <c r="B613" s="24"/>
      <c r="C613" s="24"/>
      <c r="D613" s="31" t="str">
        <f aca="false">IF(C613="","",IF(LEN(UPPER(SUBSTITUTE(SUBSTITUTE(SUBSTITUTE(SUBSTITUTE(TRIM(C613),".",""),"/",""),"-","")," ","")))&lt;14,RIGHT(REPT("0",14)&amp;UPPER(SUBSTITUTE(SUBSTITUTE(SUBSTITUTE(SUBSTITUTE(TRIM(C613),".",""),"/",""),"-","")," ","")),14),UPPER(SUBSTITUTE(SUBSTITUTE(SUBSTITUTE(SUBSTITUTE(TRIM(C613),".",""),"/",""),"-","")," ",""))))</f>
        <v/>
      </c>
      <c r="E613" s="25" t="str">
        <f aca="false">IF(D613="","",IFERROR(INDEX(Empresas!$C:$C,MATCH(D613,Empresas!$B:$B,0)),"cadastre o CNPJ em Empresas"))</f>
        <v/>
      </c>
      <c r="F613" s="11"/>
      <c r="G613" s="23"/>
      <c r="H613" s="22"/>
      <c r="I613" s="35"/>
      <c r="J613" s="35"/>
      <c r="K613" s="36" t="str">
        <f aca="false">IF(I613="","",I613+J613)</f>
        <v/>
      </c>
      <c r="L613" s="37" t="str">
        <f aca="false">IF(OR(I613="",I613=0,J613=""),"",J613/I613)</f>
        <v/>
      </c>
      <c r="M613" s="25" t="str">
        <f aca="false">IF(L613="","",IF(L613&gt;0.25,"ACRÉSCIMO ACIMA DE 25% — conferir",""))</f>
        <v/>
      </c>
      <c r="N613" s="29" t="str">
        <f aca="false">IF(D613="","",IF(COUNTIFS(Empresas!$B:$B,D613,Empresas!$E:$E,"&lt;&gt;")=0,"",INDEX(Empresas!$E:$E,MATCH(D613,Empresas!$B:$B,0))))</f>
        <v/>
      </c>
      <c r="O613" s="27" t="str">
        <f aca="false">IF(OR(N613="",H613=""),"",H613-N613)</f>
        <v/>
      </c>
      <c r="P613" s="25" t="str">
        <f aca="false">IF(O613="","",IF(O613&lt;0,"CONTRATO ANTERIOR À ABERTURA — conferir datas",IF(O613&lt;180,"EMPRESA ABERTA MENOS DE 6 MESES ANTES","")))</f>
        <v/>
      </c>
      <c r="Q613" s="31" t="str">
        <f aca="false">IF(D613="","",IFERROR(INDEX(Sancoes!$D:$D,MATCH(D613,Sancoes!$C:$C,0)),"não consta"))</f>
        <v/>
      </c>
      <c r="R613" s="25" t="str">
        <f aca="false">IF(OR(D613="",H613=""),"",IF(SUMPRODUCT((Sancoes!$C$5:$C$304=D613)*(Sancoes!$G$5:$G$304&lt;=H613)*(((Sancoes!$H$5:$H$304="")+(Sancoes!$H$5:$H$304&gt;=H613))&gt;0))&gt;0,"SANÇÃO VIGENTE NA DATA — ler tipo e abrangência",""))</f>
        <v/>
      </c>
      <c r="S613" s="24"/>
      <c r="T613" s="11"/>
    </row>
    <row r="614" customFormat="false" ht="15" hidden="false" customHeight="false" outlineLevel="0" collapsed="false">
      <c r="A614" s="11"/>
      <c r="B614" s="24"/>
      <c r="C614" s="24"/>
      <c r="D614" s="31" t="str">
        <f aca="false">IF(C614="","",IF(LEN(UPPER(SUBSTITUTE(SUBSTITUTE(SUBSTITUTE(SUBSTITUTE(TRIM(C614),".",""),"/",""),"-","")," ","")))&lt;14,RIGHT(REPT("0",14)&amp;UPPER(SUBSTITUTE(SUBSTITUTE(SUBSTITUTE(SUBSTITUTE(TRIM(C614),".",""),"/",""),"-","")," ","")),14),UPPER(SUBSTITUTE(SUBSTITUTE(SUBSTITUTE(SUBSTITUTE(TRIM(C614),".",""),"/",""),"-","")," ",""))))</f>
        <v/>
      </c>
      <c r="E614" s="25" t="str">
        <f aca="false">IF(D614="","",IFERROR(INDEX(Empresas!$C:$C,MATCH(D614,Empresas!$B:$B,0)),"cadastre o CNPJ em Empresas"))</f>
        <v/>
      </c>
      <c r="F614" s="11"/>
      <c r="G614" s="23"/>
      <c r="H614" s="22"/>
      <c r="I614" s="35"/>
      <c r="J614" s="35"/>
      <c r="K614" s="36" t="str">
        <f aca="false">IF(I614="","",I614+J614)</f>
        <v/>
      </c>
      <c r="L614" s="37" t="str">
        <f aca="false">IF(OR(I614="",I614=0,J614=""),"",J614/I614)</f>
        <v/>
      </c>
      <c r="M614" s="25" t="str">
        <f aca="false">IF(L614="","",IF(L614&gt;0.25,"ACRÉSCIMO ACIMA DE 25% — conferir",""))</f>
        <v/>
      </c>
      <c r="N614" s="29" t="str">
        <f aca="false">IF(D614="","",IF(COUNTIFS(Empresas!$B:$B,D614,Empresas!$E:$E,"&lt;&gt;")=0,"",INDEX(Empresas!$E:$E,MATCH(D614,Empresas!$B:$B,0))))</f>
        <v/>
      </c>
      <c r="O614" s="27" t="str">
        <f aca="false">IF(OR(N614="",H614=""),"",H614-N614)</f>
        <v/>
      </c>
      <c r="P614" s="25" t="str">
        <f aca="false">IF(O614="","",IF(O614&lt;0,"CONTRATO ANTERIOR À ABERTURA — conferir datas",IF(O614&lt;180,"EMPRESA ABERTA MENOS DE 6 MESES ANTES","")))</f>
        <v/>
      </c>
      <c r="Q614" s="31" t="str">
        <f aca="false">IF(D614="","",IFERROR(INDEX(Sancoes!$D:$D,MATCH(D614,Sancoes!$C:$C,0)),"não consta"))</f>
        <v/>
      </c>
      <c r="R614" s="25" t="str">
        <f aca="false">IF(OR(D614="",H614=""),"",IF(SUMPRODUCT((Sancoes!$C$5:$C$304=D614)*(Sancoes!$G$5:$G$304&lt;=H614)*(((Sancoes!$H$5:$H$304="")+(Sancoes!$H$5:$H$304&gt;=H614))&gt;0))&gt;0,"SANÇÃO VIGENTE NA DATA — ler tipo e abrangência",""))</f>
        <v/>
      </c>
      <c r="S614" s="24"/>
      <c r="T614" s="11"/>
    </row>
    <row r="615" customFormat="false" ht="15" hidden="false" customHeight="false" outlineLevel="0" collapsed="false">
      <c r="A615" s="11"/>
      <c r="B615" s="24"/>
      <c r="C615" s="24"/>
      <c r="D615" s="31" t="str">
        <f aca="false">IF(C615="","",IF(LEN(UPPER(SUBSTITUTE(SUBSTITUTE(SUBSTITUTE(SUBSTITUTE(TRIM(C615),".",""),"/",""),"-","")," ","")))&lt;14,RIGHT(REPT("0",14)&amp;UPPER(SUBSTITUTE(SUBSTITUTE(SUBSTITUTE(SUBSTITUTE(TRIM(C615),".",""),"/",""),"-","")," ","")),14),UPPER(SUBSTITUTE(SUBSTITUTE(SUBSTITUTE(SUBSTITUTE(TRIM(C615),".",""),"/",""),"-","")," ",""))))</f>
        <v/>
      </c>
      <c r="E615" s="25" t="str">
        <f aca="false">IF(D615="","",IFERROR(INDEX(Empresas!$C:$C,MATCH(D615,Empresas!$B:$B,0)),"cadastre o CNPJ em Empresas"))</f>
        <v/>
      </c>
      <c r="F615" s="11"/>
      <c r="G615" s="23"/>
      <c r="H615" s="22"/>
      <c r="I615" s="35"/>
      <c r="J615" s="35"/>
      <c r="K615" s="36" t="str">
        <f aca="false">IF(I615="","",I615+J615)</f>
        <v/>
      </c>
      <c r="L615" s="37" t="str">
        <f aca="false">IF(OR(I615="",I615=0,J615=""),"",J615/I615)</f>
        <v/>
      </c>
      <c r="M615" s="25" t="str">
        <f aca="false">IF(L615="","",IF(L615&gt;0.25,"ACRÉSCIMO ACIMA DE 25% — conferir",""))</f>
        <v/>
      </c>
      <c r="N615" s="29" t="str">
        <f aca="false">IF(D615="","",IF(COUNTIFS(Empresas!$B:$B,D615,Empresas!$E:$E,"&lt;&gt;")=0,"",INDEX(Empresas!$E:$E,MATCH(D615,Empresas!$B:$B,0))))</f>
        <v/>
      </c>
      <c r="O615" s="27" t="str">
        <f aca="false">IF(OR(N615="",H615=""),"",H615-N615)</f>
        <v/>
      </c>
      <c r="P615" s="25" t="str">
        <f aca="false">IF(O615="","",IF(O615&lt;0,"CONTRATO ANTERIOR À ABERTURA — conferir datas",IF(O615&lt;180,"EMPRESA ABERTA MENOS DE 6 MESES ANTES","")))</f>
        <v/>
      </c>
      <c r="Q615" s="31" t="str">
        <f aca="false">IF(D615="","",IFERROR(INDEX(Sancoes!$D:$D,MATCH(D615,Sancoes!$C:$C,0)),"não consta"))</f>
        <v/>
      </c>
      <c r="R615" s="25" t="str">
        <f aca="false">IF(OR(D615="",H615=""),"",IF(SUMPRODUCT((Sancoes!$C$5:$C$304=D615)*(Sancoes!$G$5:$G$304&lt;=H615)*(((Sancoes!$H$5:$H$304="")+(Sancoes!$H$5:$H$304&gt;=H615))&gt;0))&gt;0,"SANÇÃO VIGENTE NA DATA — ler tipo e abrangência",""))</f>
        <v/>
      </c>
      <c r="S615" s="24"/>
      <c r="T615" s="11"/>
    </row>
    <row r="616" customFormat="false" ht="15" hidden="false" customHeight="false" outlineLevel="0" collapsed="false">
      <c r="A616" s="11"/>
      <c r="B616" s="24"/>
      <c r="C616" s="24"/>
      <c r="D616" s="31" t="str">
        <f aca="false">IF(C616="","",IF(LEN(UPPER(SUBSTITUTE(SUBSTITUTE(SUBSTITUTE(SUBSTITUTE(TRIM(C616),".",""),"/",""),"-","")," ","")))&lt;14,RIGHT(REPT("0",14)&amp;UPPER(SUBSTITUTE(SUBSTITUTE(SUBSTITUTE(SUBSTITUTE(TRIM(C616),".",""),"/",""),"-","")," ","")),14),UPPER(SUBSTITUTE(SUBSTITUTE(SUBSTITUTE(SUBSTITUTE(TRIM(C616),".",""),"/",""),"-","")," ",""))))</f>
        <v/>
      </c>
      <c r="E616" s="25" t="str">
        <f aca="false">IF(D616="","",IFERROR(INDEX(Empresas!$C:$C,MATCH(D616,Empresas!$B:$B,0)),"cadastre o CNPJ em Empresas"))</f>
        <v/>
      </c>
      <c r="F616" s="11"/>
      <c r="G616" s="23"/>
      <c r="H616" s="22"/>
      <c r="I616" s="35"/>
      <c r="J616" s="35"/>
      <c r="K616" s="36" t="str">
        <f aca="false">IF(I616="","",I616+J616)</f>
        <v/>
      </c>
      <c r="L616" s="37" t="str">
        <f aca="false">IF(OR(I616="",I616=0,J616=""),"",J616/I616)</f>
        <v/>
      </c>
      <c r="M616" s="25" t="str">
        <f aca="false">IF(L616="","",IF(L616&gt;0.25,"ACRÉSCIMO ACIMA DE 25% — conferir",""))</f>
        <v/>
      </c>
      <c r="N616" s="29" t="str">
        <f aca="false">IF(D616="","",IF(COUNTIFS(Empresas!$B:$B,D616,Empresas!$E:$E,"&lt;&gt;")=0,"",INDEX(Empresas!$E:$E,MATCH(D616,Empresas!$B:$B,0))))</f>
        <v/>
      </c>
      <c r="O616" s="27" t="str">
        <f aca="false">IF(OR(N616="",H616=""),"",H616-N616)</f>
        <v/>
      </c>
      <c r="P616" s="25" t="str">
        <f aca="false">IF(O616="","",IF(O616&lt;0,"CONTRATO ANTERIOR À ABERTURA — conferir datas",IF(O616&lt;180,"EMPRESA ABERTA MENOS DE 6 MESES ANTES","")))</f>
        <v/>
      </c>
      <c r="Q616" s="31" t="str">
        <f aca="false">IF(D616="","",IFERROR(INDEX(Sancoes!$D:$D,MATCH(D616,Sancoes!$C:$C,0)),"não consta"))</f>
        <v/>
      </c>
      <c r="R616" s="25" t="str">
        <f aca="false">IF(OR(D616="",H616=""),"",IF(SUMPRODUCT((Sancoes!$C$5:$C$304=D616)*(Sancoes!$G$5:$G$304&lt;=H616)*(((Sancoes!$H$5:$H$304="")+(Sancoes!$H$5:$H$304&gt;=H616))&gt;0))&gt;0,"SANÇÃO VIGENTE NA DATA — ler tipo e abrangência",""))</f>
        <v/>
      </c>
      <c r="S616" s="24"/>
      <c r="T616" s="11"/>
    </row>
    <row r="617" customFormat="false" ht="15" hidden="false" customHeight="false" outlineLevel="0" collapsed="false">
      <c r="A617" s="11"/>
      <c r="B617" s="24"/>
      <c r="C617" s="24"/>
      <c r="D617" s="31" t="str">
        <f aca="false">IF(C617="","",IF(LEN(UPPER(SUBSTITUTE(SUBSTITUTE(SUBSTITUTE(SUBSTITUTE(TRIM(C617),".",""),"/",""),"-","")," ","")))&lt;14,RIGHT(REPT("0",14)&amp;UPPER(SUBSTITUTE(SUBSTITUTE(SUBSTITUTE(SUBSTITUTE(TRIM(C617),".",""),"/",""),"-","")," ","")),14),UPPER(SUBSTITUTE(SUBSTITUTE(SUBSTITUTE(SUBSTITUTE(TRIM(C617),".",""),"/",""),"-","")," ",""))))</f>
        <v/>
      </c>
      <c r="E617" s="25" t="str">
        <f aca="false">IF(D617="","",IFERROR(INDEX(Empresas!$C:$C,MATCH(D617,Empresas!$B:$B,0)),"cadastre o CNPJ em Empresas"))</f>
        <v/>
      </c>
      <c r="F617" s="11"/>
      <c r="G617" s="23"/>
      <c r="H617" s="22"/>
      <c r="I617" s="35"/>
      <c r="J617" s="35"/>
      <c r="K617" s="36" t="str">
        <f aca="false">IF(I617="","",I617+J617)</f>
        <v/>
      </c>
      <c r="L617" s="37" t="str">
        <f aca="false">IF(OR(I617="",I617=0,J617=""),"",J617/I617)</f>
        <v/>
      </c>
      <c r="M617" s="25" t="str">
        <f aca="false">IF(L617="","",IF(L617&gt;0.25,"ACRÉSCIMO ACIMA DE 25% — conferir",""))</f>
        <v/>
      </c>
      <c r="N617" s="29" t="str">
        <f aca="false">IF(D617="","",IF(COUNTIFS(Empresas!$B:$B,D617,Empresas!$E:$E,"&lt;&gt;")=0,"",INDEX(Empresas!$E:$E,MATCH(D617,Empresas!$B:$B,0))))</f>
        <v/>
      </c>
      <c r="O617" s="27" t="str">
        <f aca="false">IF(OR(N617="",H617=""),"",H617-N617)</f>
        <v/>
      </c>
      <c r="P617" s="25" t="str">
        <f aca="false">IF(O617="","",IF(O617&lt;0,"CONTRATO ANTERIOR À ABERTURA — conferir datas",IF(O617&lt;180,"EMPRESA ABERTA MENOS DE 6 MESES ANTES","")))</f>
        <v/>
      </c>
      <c r="Q617" s="31" t="str">
        <f aca="false">IF(D617="","",IFERROR(INDEX(Sancoes!$D:$D,MATCH(D617,Sancoes!$C:$C,0)),"não consta"))</f>
        <v/>
      </c>
      <c r="R617" s="25" t="str">
        <f aca="false">IF(OR(D617="",H617=""),"",IF(SUMPRODUCT((Sancoes!$C$5:$C$304=D617)*(Sancoes!$G$5:$G$304&lt;=H617)*(((Sancoes!$H$5:$H$304="")+(Sancoes!$H$5:$H$304&gt;=H617))&gt;0))&gt;0,"SANÇÃO VIGENTE NA DATA — ler tipo e abrangência",""))</f>
        <v/>
      </c>
      <c r="S617" s="24"/>
      <c r="T617" s="11"/>
    </row>
    <row r="618" customFormat="false" ht="15" hidden="false" customHeight="false" outlineLevel="0" collapsed="false">
      <c r="A618" s="11"/>
      <c r="B618" s="24"/>
      <c r="C618" s="24"/>
      <c r="D618" s="31" t="str">
        <f aca="false">IF(C618="","",IF(LEN(UPPER(SUBSTITUTE(SUBSTITUTE(SUBSTITUTE(SUBSTITUTE(TRIM(C618),".",""),"/",""),"-","")," ","")))&lt;14,RIGHT(REPT("0",14)&amp;UPPER(SUBSTITUTE(SUBSTITUTE(SUBSTITUTE(SUBSTITUTE(TRIM(C618),".",""),"/",""),"-","")," ","")),14),UPPER(SUBSTITUTE(SUBSTITUTE(SUBSTITUTE(SUBSTITUTE(TRIM(C618),".",""),"/",""),"-","")," ",""))))</f>
        <v/>
      </c>
      <c r="E618" s="25" t="str">
        <f aca="false">IF(D618="","",IFERROR(INDEX(Empresas!$C:$C,MATCH(D618,Empresas!$B:$B,0)),"cadastre o CNPJ em Empresas"))</f>
        <v/>
      </c>
      <c r="F618" s="11"/>
      <c r="G618" s="23"/>
      <c r="H618" s="22"/>
      <c r="I618" s="35"/>
      <c r="J618" s="35"/>
      <c r="K618" s="36" t="str">
        <f aca="false">IF(I618="","",I618+J618)</f>
        <v/>
      </c>
      <c r="L618" s="37" t="str">
        <f aca="false">IF(OR(I618="",I618=0,J618=""),"",J618/I618)</f>
        <v/>
      </c>
      <c r="M618" s="25" t="str">
        <f aca="false">IF(L618="","",IF(L618&gt;0.25,"ACRÉSCIMO ACIMA DE 25% — conferir",""))</f>
        <v/>
      </c>
      <c r="N618" s="29" t="str">
        <f aca="false">IF(D618="","",IF(COUNTIFS(Empresas!$B:$B,D618,Empresas!$E:$E,"&lt;&gt;")=0,"",INDEX(Empresas!$E:$E,MATCH(D618,Empresas!$B:$B,0))))</f>
        <v/>
      </c>
      <c r="O618" s="27" t="str">
        <f aca="false">IF(OR(N618="",H618=""),"",H618-N618)</f>
        <v/>
      </c>
      <c r="P618" s="25" t="str">
        <f aca="false">IF(O618="","",IF(O618&lt;0,"CONTRATO ANTERIOR À ABERTURA — conferir datas",IF(O618&lt;180,"EMPRESA ABERTA MENOS DE 6 MESES ANTES","")))</f>
        <v/>
      </c>
      <c r="Q618" s="31" t="str">
        <f aca="false">IF(D618="","",IFERROR(INDEX(Sancoes!$D:$D,MATCH(D618,Sancoes!$C:$C,0)),"não consta"))</f>
        <v/>
      </c>
      <c r="R618" s="25" t="str">
        <f aca="false">IF(OR(D618="",H618=""),"",IF(SUMPRODUCT((Sancoes!$C$5:$C$304=D618)*(Sancoes!$G$5:$G$304&lt;=H618)*(((Sancoes!$H$5:$H$304="")+(Sancoes!$H$5:$H$304&gt;=H618))&gt;0))&gt;0,"SANÇÃO VIGENTE NA DATA — ler tipo e abrangência",""))</f>
        <v/>
      </c>
      <c r="S618" s="24"/>
      <c r="T618" s="11"/>
    </row>
    <row r="619" customFormat="false" ht="15" hidden="false" customHeight="false" outlineLevel="0" collapsed="false">
      <c r="A619" s="11"/>
      <c r="B619" s="24"/>
      <c r="C619" s="24"/>
      <c r="D619" s="31" t="str">
        <f aca="false">IF(C619="","",IF(LEN(UPPER(SUBSTITUTE(SUBSTITUTE(SUBSTITUTE(SUBSTITUTE(TRIM(C619),".",""),"/",""),"-","")," ","")))&lt;14,RIGHT(REPT("0",14)&amp;UPPER(SUBSTITUTE(SUBSTITUTE(SUBSTITUTE(SUBSTITUTE(TRIM(C619),".",""),"/",""),"-","")," ","")),14),UPPER(SUBSTITUTE(SUBSTITUTE(SUBSTITUTE(SUBSTITUTE(TRIM(C619),".",""),"/",""),"-","")," ",""))))</f>
        <v/>
      </c>
      <c r="E619" s="25" t="str">
        <f aca="false">IF(D619="","",IFERROR(INDEX(Empresas!$C:$C,MATCH(D619,Empresas!$B:$B,0)),"cadastre o CNPJ em Empresas"))</f>
        <v/>
      </c>
      <c r="F619" s="11"/>
      <c r="G619" s="23"/>
      <c r="H619" s="22"/>
      <c r="I619" s="35"/>
      <c r="J619" s="35"/>
      <c r="K619" s="36" t="str">
        <f aca="false">IF(I619="","",I619+J619)</f>
        <v/>
      </c>
      <c r="L619" s="37" t="str">
        <f aca="false">IF(OR(I619="",I619=0,J619=""),"",J619/I619)</f>
        <v/>
      </c>
      <c r="M619" s="25" t="str">
        <f aca="false">IF(L619="","",IF(L619&gt;0.25,"ACRÉSCIMO ACIMA DE 25% — conferir",""))</f>
        <v/>
      </c>
      <c r="N619" s="29" t="str">
        <f aca="false">IF(D619="","",IF(COUNTIFS(Empresas!$B:$B,D619,Empresas!$E:$E,"&lt;&gt;")=0,"",INDEX(Empresas!$E:$E,MATCH(D619,Empresas!$B:$B,0))))</f>
        <v/>
      </c>
      <c r="O619" s="27" t="str">
        <f aca="false">IF(OR(N619="",H619=""),"",H619-N619)</f>
        <v/>
      </c>
      <c r="P619" s="25" t="str">
        <f aca="false">IF(O619="","",IF(O619&lt;0,"CONTRATO ANTERIOR À ABERTURA — conferir datas",IF(O619&lt;180,"EMPRESA ABERTA MENOS DE 6 MESES ANTES","")))</f>
        <v/>
      </c>
      <c r="Q619" s="31" t="str">
        <f aca="false">IF(D619="","",IFERROR(INDEX(Sancoes!$D:$D,MATCH(D619,Sancoes!$C:$C,0)),"não consta"))</f>
        <v/>
      </c>
      <c r="R619" s="25" t="str">
        <f aca="false">IF(OR(D619="",H619=""),"",IF(SUMPRODUCT((Sancoes!$C$5:$C$304=D619)*(Sancoes!$G$5:$G$304&lt;=H619)*(((Sancoes!$H$5:$H$304="")+(Sancoes!$H$5:$H$304&gt;=H619))&gt;0))&gt;0,"SANÇÃO VIGENTE NA DATA — ler tipo e abrangência",""))</f>
        <v/>
      </c>
      <c r="S619" s="24"/>
      <c r="T619" s="11"/>
    </row>
    <row r="620" customFormat="false" ht="15" hidden="false" customHeight="false" outlineLevel="0" collapsed="false">
      <c r="A620" s="11"/>
      <c r="B620" s="24"/>
      <c r="C620" s="24"/>
      <c r="D620" s="31" t="str">
        <f aca="false">IF(C620="","",IF(LEN(UPPER(SUBSTITUTE(SUBSTITUTE(SUBSTITUTE(SUBSTITUTE(TRIM(C620),".",""),"/",""),"-","")," ","")))&lt;14,RIGHT(REPT("0",14)&amp;UPPER(SUBSTITUTE(SUBSTITUTE(SUBSTITUTE(SUBSTITUTE(TRIM(C620),".",""),"/",""),"-","")," ","")),14),UPPER(SUBSTITUTE(SUBSTITUTE(SUBSTITUTE(SUBSTITUTE(TRIM(C620),".",""),"/",""),"-","")," ",""))))</f>
        <v/>
      </c>
      <c r="E620" s="25" t="str">
        <f aca="false">IF(D620="","",IFERROR(INDEX(Empresas!$C:$C,MATCH(D620,Empresas!$B:$B,0)),"cadastre o CNPJ em Empresas"))</f>
        <v/>
      </c>
      <c r="F620" s="11"/>
      <c r="G620" s="23"/>
      <c r="H620" s="22"/>
      <c r="I620" s="35"/>
      <c r="J620" s="35"/>
      <c r="K620" s="36" t="str">
        <f aca="false">IF(I620="","",I620+J620)</f>
        <v/>
      </c>
      <c r="L620" s="37" t="str">
        <f aca="false">IF(OR(I620="",I620=0,J620=""),"",J620/I620)</f>
        <v/>
      </c>
      <c r="M620" s="25" t="str">
        <f aca="false">IF(L620="","",IF(L620&gt;0.25,"ACRÉSCIMO ACIMA DE 25% — conferir",""))</f>
        <v/>
      </c>
      <c r="N620" s="29" t="str">
        <f aca="false">IF(D620="","",IF(COUNTIFS(Empresas!$B:$B,D620,Empresas!$E:$E,"&lt;&gt;")=0,"",INDEX(Empresas!$E:$E,MATCH(D620,Empresas!$B:$B,0))))</f>
        <v/>
      </c>
      <c r="O620" s="27" t="str">
        <f aca="false">IF(OR(N620="",H620=""),"",H620-N620)</f>
        <v/>
      </c>
      <c r="P620" s="25" t="str">
        <f aca="false">IF(O620="","",IF(O620&lt;0,"CONTRATO ANTERIOR À ABERTURA — conferir datas",IF(O620&lt;180,"EMPRESA ABERTA MENOS DE 6 MESES ANTES","")))</f>
        <v/>
      </c>
      <c r="Q620" s="31" t="str">
        <f aca="false">IF(D620="","",IFERROR(INDEX(Sancoes!$D:$D,MATCH(D620,Sancoes!$C:$C,0)),"não consta"))</f>
        <v/>
      </c>
      <c r="R620" s="25" t="str">
        <f aca="false">IF(OR(D620="",H620=""),"",IF(SUMPRODUCT((Sancoes!$C$5:$C$304=D620)*(Sancoes!$G$5:$G$304&lt;=H620)*(((Sancoes!$H$5:$H$304="")+(Sancoes!$H$5:$H$304&gt;=H620))&gt;0))&gt;0,"SANÇÃO VIGENTE NA DATA — ler tipo e abrangência",""))</f>
        <v/>
      </c>
      <c r="S620" s="24"/>
      <c r="T620" s="11"/>
    </row>
    <row r="621" customFormat="false" ht="15" hidden="false" customHeight="false" outlineLevel="0" collapsed="false">
      <c r="A621" s="11"/>
      <c r="B621" s="24"/>
      <c r="C621" s="24"/>
      <c r="D621" s="31" t="str">
        <f aca="false">IF(C621="","",IF(LEN(UPPER(SUBSTITUTE(SUBSTITUTE(SUBSTITUTE(SUBSTITUTE(TRIM(C621),".",""),"/",""),"-","")," ","")))&lt;14,RIGHT(REPT("0",14)&amp;UPPER(SUBSTITUTE(SUBSTITUTE(SUBSTITUTE(SUBSTITUTE(TRIM(C621),".",""),"/",""),"-","")," ","")),14),UPPER(SUBSTITUTE(SUBSTITUTE(SUBSTITUTE(SUBSTITUTE(TRIM(C621),".",""),"/",""),"-","")," ",""))))</f>
        <v/>
      </c>
      <c r="E621" s="25" t="str">
        <f aca="false">IF(D621="","",IFERROR(INDEX(Empresas!$C:$C,MATCH(D621,Empresas!$B:$B,0)),"cadastre o CNPJ em Empresas"))</f>
        <v/>
      </c>
      <c r="F621" s="11"/>
      <c r="G621" s="23"/>
      <c r="H621" s="22"/>
      <c r="I621" s="35"/>
      <c r="J621" s="35"/>
      <c r="K621" s="36" t="str">
        <f aca="false">IF(I621="","",I621+J621)</f>
        <v/>
      </c>
      <c r="L621" s="37" t="str">
        <f aca="false">IF(OR(I621="",I621=0,J621=""),"",J621/I621)</f>
        <v/>
      </c>
      <c r="M621" s="25" t="str">
        <f aca="false">IF(L621="","",IF(L621&gt;0.25,"ACRÉSCIMO ACIMA DE 25% — conferir",""))</f>
        <v/>
      </c>
      <c r="N621" s="29" t="str">
        <f aca="false">IF(D621="","",IF(COUNTIFS(Empresas!$B:$B,D621,Empresas!$E:$E,"&lt;&gt;")=0,"",INDEX(Empresas!$E:$E,MATCH(D621,Empresas!$B:$B,0))))</f>
        <v/>
      </c>
      <c r="O621" s="27" t="str">
        <f aca="false">IF(OR(N621="",H621=""),"",H621-N621)</f>
        <v/>
      </c>
      <c r="P621" s="25" t="str">
        <f aca="false">IF(O621="","",IF(O621&lt;0,"CONTRATO ANTERIOR À ABERTURA — conferir datas",IF(O621&lt;180,"EMPRESA ABERTA MENOS DE 6 MESES ANTES","")))</f>
        <v/>
      </c>
      <c r="Q621" s="31" t="str">
        <f aca="false">IF(D621="","",IFERROR(INDEX(Sancoes!$D:$D,MATCH(D621,Sancoes!$C:$C,0)),"não consta"))</f>
        <v/>
      </c>
      <c r="R621" s="25" t="str">
        <f aca="false">IF(OR(D621="",H621=""),"",IF(SUMPRODUCT((Sancoes!$C$5:$C$304=D621)*(Sancoes!$G$5:$G$304&lt;=H621)*(((Sancoes!$H$5:$H$304="")+(Sancoes!$H$5:$H$304&gt;=H621))&gt;0))&gt;0,"SANÇÃO VIGENTE NA DATA — ler tipo e abrangência",""))</f>
        <v/>
      </c>
      <c r="S621" s="24"/>
      <c r="T621" s="11"/>
    </row>
    <row r="622" customFormat="false" ht="15" hidden="false" customHeight="false" outlineLevel="0" collapsed="false">
      <c r="A622" s="11"/>
      <c r="B622" s="24"/>
      <c r="C622" s="24"/>
      <c r="D622" s="31" t="str">
        <f aca="false">IF(C622="","",IF(LEN(UPPER(SUBSTITUTE(SUBSTITUTE(SUBSTITUTE(SUBSTITUTE(TRIM(C622),".",""),"/",""),"-","")," ","")))&lt;14,RIGHT(REPT("0",14)&amp;UPPER(SUBSTITUTE(SUBSTITUTE(SUBSTITUTE(SUBSTITUTE(TRIM(C622),".",""),"/",""),"-","")," ","")),14),UPPER(SUBSTITUTE(SUBSTITUTE(SUBSTITUTE(SUBSTITUTE(TRIM(C622),".",""),"/",""),"-","")," ",""))))</f>
        <v/>
      </c>
      <c r="E622" s="25" t="str">
        <f aca="false">IF(D622="","",IFERROR(INDEX(Empresas!$C:$C,MATCH(D622,Empresas!$B:$B,0)),"cadastre o CNPJ em Empresas"))</f>
        <v/>
      </c>
      <c r="F622" s="11"/>
      <c r="G622" s="23"/>
      <c r="H622" s="22"/>
      <c r="I622" s="35"/>
      <c r="J622" s="35"/>
      <c r="K622" s="36" t="str">
        <f aca="false">IF(I622="","",I622+J622)</f>
        <v/>
      </c>
      <c r="L622" s="37" t="str">
        <f aca="false">IF(OR(I622="",I622=0,J622=""),"",J622/I622)</f>
        <v/>
      </c>
      <c r="M622" s="25" t="str">
        <f aca="false">IF(L622="","",IF(L622&gt;0.25,"ACRÉSCIMO ACIMA DE 25% — conferir",""))</f>
        <v/>
      </c>
      <c r="N622" s="29" t="str">
        <f aca="false">IF(D622="","",IF(COUNTIFS(Empresas!$B:$B,D622,Empresas!$E:$E,"&lt;&gt;")=0,"",INDEX(Empresas!$E:$E,MATCH(D622,Empresas!$B:$B,0))))</f>
        <v/>
      </c>
      <c r="O622" s="27" t="str">
        <f aca="false">IF(OR(N622="",H622=""),"",H622-N622)</f>
        <v/>
      </c>
      <c r="P622" s="25" t="str">
        <f aca="false">IF(O622="","",IF(O622&lt;0,"CONTRATO ANTERIOR À ABERTURA — conferir datas",IF(O622&lt;180,"EMPRESA ABERTA MENOS DE 6 MESES ANTES","")))</f>
        <v/>
      </c>
      <c r="Q622" s="31" t="str">
        <f aca="false">IF(D622="","",IFERROR(INDEX(Sancoes!$D:$D,MATCH(D622,Sancoes!$C:$C,0)),"não consta"))</f>
        <v/>
      </c>
      <c r="R622" s="25" t="str">
        <f aca="false">IF(OR(D622="",H622=""),"",IF(SUMPRODUCT((Sancoes!$C$5:$C$304=D622)*(Sancoes!$G$5:$G$304&lt;=H622)*(((Sancoes!$H$5:$H$304="")+(Sancoes!$H$5:$H$304&gt;=H622))&gt;0))&gt;0,"SANÇÃO VIGENTE NA DATA — ler tipo e abrangência",""))</f>
        <v/>
      </c>
      <c r="S622" s="24"/>
      <c r="T622" s="11"/>
    </row>
    <row r="623" customFormat="false" ht="15" hidden="false" customHeight="false" outlineLevel="0" collapsed="false">
      <c r="A623" s="11"/>
      <c r="B623" s="24"/>
      <c r="C623" s="24"/>
      <c r="D623" s="31" t="str">
        <f aca="false">IF(C623="","",IF(LEN(UPPER(SUBSTITUTE(SUBSTITUTE(SUBSTITUTE(SUBSTITUTE(TRIM(C623),".",""),"/",""),"-","")," ","")))&lt;14,RIGHT(REPT("0",14)&amp;UPPER(SUBSTITUTE(SUBSTITUTE(SUBSTITUTE(SUBSTITUTE(TRIM(C623),".",""),"/",""),"-","")," ","")),14),UPPER(SUBSTITUTE(SUBSTITUTE(SUBSTITUTE(SUBSTITUTE(TRIM(C623),".",""),"/",""),"-","")," ",""))))</f>
        <v/>
      </c>
      <c r="E623" s="25" t="str">
        <f aca="false">IF(D623="","",IFERROR(INDEX(Empresas!$C:$C,MATCH(D623,Empresas!$B:$B,0)),"cadastre o CNPJ em Empresas"))</f>
        <v/>
      </c>
      <c r="F623" s="11"/>
      <c r="G623" s="23"/>
      <c r="H623" s="22"/>
      <c r="I623" s="35"/>
      <c r="J623" s="35"/>
      <c r="K623" s="36" t="str">
        <f aca="false">IF(I623="","",I623+J623)</f>
        <v/>
      </c>
      <c r="L623" s="37" t="str">
        <f aca="false">IF(OR(I623="",I623=0,J623=""),"",J623/I623)</f>
        <v/>
      </c>
      <c r="M623" s="25" t="str">
        <f aca="false">IF(L623="","",IF(L623&gt;0.25,"ACRÉSCIMO ACIMA DE 25% — conferir",""))</f>
        <v/>
      </c>
      <c r="N623" s="29" t="str">
        <f aca="false">IF(D623="","",IF(COUNTIFS(Empresas!$B:$B,D623,Empresas!$E:$E,"&lt;&gt;")=0,"",INDEX(Empresas!$E:$E,MATCH(D623,Empresas!$B:$B,0))))</f>
        <v/>
      </c>
      <c r="O623" s="27" t="str">
        <f aca="false">IF(OR(N623="",H623=""),"",H623-N623)</f>
        <v/>
      </c>
      <c r="P623" s="25" t="str">
        <f aca="false">IF(O623="","",IF(O623&lt;0,"CONTRATO ANTERIOR À ABERTURA — conferir datas",IF(O623&lt;180,"EMPRESA ABERTA MENOS DE 6 MESES ANTES","")))</f>
        <v/>
      </c>
      <c r="Q623" s="31" t="str">
        <f aca="false">IF(D623="","",IFERROR(INDEX(Sancoes!$D:$D,MATCH(D623,Sancoes!$C:$C,0)),"não consta"))</f>
        <v/>
      </c>
      <c r="R623" s="25" t="str">
        <f aca="false">IF(OR(D623="",H623=""),"",IF(SUMPRODUCT((Sancoes!$C$5:$C$304=D623)*(Sancoes!$G$5:$G$304&lt;=H623)*(((Sancoes!$H$5:$H$304="")+(Sancoes!$H$5:$H$304&gt;=H623))&gt;0))&gt;0,"SANÇÃO VIGENTE NA DATA — ler tipo e abrangência",""))</f>
        <v/>
      </c>
      <c r="S623" s="24"/>
      <c r="T623" s="11"/>
    </row>
    <row r="624" customFormat="false" ht="15" hidden="false" customHeight="false" outlineLevel="0" collapsed="false">
      <c r="A624" s="11"/>
      <c r="B624" s="24"/>
      <c r="C624" s="24"/>
      <c r="D624" s="31" t="str">
        <f aca="false">IF(C624="","",IF(LEN(UPPER(SUBSTITUTE(SUBSTITUTE(SUBSTITUTE(SUBSTITUTE(TRIM(C624),".",""),"/",""),"-","")," ","")))&lt;14,RIGHT(REPT("0",14)&amp;UPPER(SUBSTITUTE(SUBSTITUTE(SUBSTITUTE(SUBSTITUTE(TRIM(C624),".",""),"/",""),"-","")," ","")),14),UPPER(SUBSTITUTE(SUBSTITUTE(SUBSTITUTE(SUBSTITUTE(TRIM(C624),".",""),"/",""),"-","")," ",""))))</f>
        <v/>
      </c>
      <c r="E624" s="25" t="str">
        <f aca="false">IF(D624="","",IFERROR(INDEX(Empresas!$C:$C,MATCH(D624,Empresas!$B:$B,0)),"cadastre o CNPJ em Empresas"))</f>
        <v/>
      </c>
      <c r="F624" s="11"/>
      <c r="G624" s="23"/>
      <c r="H624" s="22"/>
      <c r="I624" s="35"/>
      <c r="J624" s="35"/>
      <c r="K624" s="36" t="str">
        <f aca="false">IF(I624="","",I624+J624)</f>
        <v/>
      </c>
      <c r="L624" s="37" t="str">
        <f aca="false">IF(OR(I624="",I624=0,J624=""),"",J624/I624)</f>
        <v/>
      </c>
      <c r="M624" s="25" t="str">
        <f aca="false">IF(L624="","",IF(L624&gt;0.25,"ACRÉSCIMO ACIMA DE 25% — conferir",""))</f>
        <v/>
      </c>
      <c r="N624" s="29" t="str">
        <f aca="false">IF(D624="","",IF(COUNTIFS(Empresas!$B:$B,D624,Empresas!$E:$E,"&lt;&gt;")=0,"",INDEX(Empresas!$E:$E,MATCH(D624,Empresas!$B:$B,0))))</f>
        <v/>
      </c>
      <c r="O624" s="27" t="str">
        <f aca="false">IF(OR(N624="",H624=""),"",H624-N624)</f>
        <v/>
      </c>
      <c r="P624" s="25" t="str">
        <f aca="false">IF(O624="","",IF(O624&lt;0,"CONTRATO ANTERIOR À ABERTURA — conferir datas",IF(O624&lt;180,"EMPRESA ABERTA MENOS DE 6 MESES ANTES","")))</f>
        <v/>
      </c>
      <c r="Q624" s="31" t="str">
        <f aca="false">IF(D624="","",IFERROR(INDEX(Sancoes!$D:$D,MATCH(D624,Sancoes!$C:$C,0)),"não consta"))</f>
        <v/>
      </c>
      <c r="R624" s="25" t="str">
        <f aca="false">IF(OR(D624="",H624=""),"",IF(SUMPRODUCT((Sancoes!$C$5:$C$304=D624)*(Sancoes!$G$5:$G$304&lt;=H624)*(((Sancoes!$H$5:$H$304="")+(Sancoes!$H$5:$H$304&gt;=H624))&gt;0))&gt;0,"SANÇÃO VIGENTE NA DATA — ler tipo e abrangência",""))</f>
        <v/>
      </c>
      <c r="S624" s="24"/>
      <c r="T624" s="11"/>
    </row>
    <row r="625" customFormat="false" ht="15" hidden="false" customHeight="false" outlineLevel="0" collapsed="false">
      <c r="A625" s="11"/>
      <c r="B625" s="24"/>
      <c r="C625" s="24"/>
      <c r="D625" s="31" t="str">
        <f aca="false">IF(C625="","",IF(LEN(UPPER(SUBSTITUTE(SUBSTITUTE(SUBSTITUTE(SUBSTITUTE(TRIM(C625),".",""),"/",""),"-","")," ","")))&lt;14,RIGHT(REPT("0",14)&amp;UPPER(SUBSTITUTE(SUBSTITUTE(SUBSTITUTE(SUBSTITUTE(TRIM(C625),".",""),"/",""),"-","")," ","")),14),UPPER(SUBSTITUTE(SUBSTITUTE(SUBSTITUTE(SUBSTITUTE(TRIM(C625),".",""),"/",""),"-","")," ",""))))</f>
        <v/>
      </c>
      <c r="E625" s="25" t="str">
        <f aca="false">IF(D625="","",IFERROR(INDEX(Empresas!$C:$C,MATCH(D625,Empresas!$B:$B,0)),"cadastre o CNPJ em Empresas"))</f>
        <v/>
      </c>
      <c r="F625" s="11"/>
      <c r="G625" s="23"/>
      <c r="H625" s="22"/>
      <c r="I625" s="35"/>
      <c r="J625" s="35"/>
      <c r="K625" s="36" t="str">
        <f aca="false">IF(I625="","",I625+J625)</f>
        <v/>
      </c>
      <c r="L625" s="37" t="str">
        <f aca="false">IF(OR(I625="",I625=0,J625=""),"",J625/I625)</f>
        <v/>
      </c>
      <c r="M625" s="25" t="str">
        <f aca="false">IF(L625="","",IF(L625&gt;0.25,"ACRÉSCIMO ACIMA DE 25% — conferir",""))</f>
        <v/>
      </c>
      <c r="N625" s="29" t="str">
        <f aca="false">IF(D625="","",IF(COUNTIFS(Empresas!$B:$B,D625,Empresas!$E:$E,"&lt;&gt;")=0,"",INDEX(Empresas!$E:$E,MATCH(D625,Empresas!$B:$B,0))))</f>
        <v/>
      </c>
      <c r="O625" s="27" t="str">
        <f aca="false">IF(OR(N625="",H625=""),"",H625-N625)</f>
        <v/>
      </c>
      <c r="P625" s="25" t="str">
        <f aca="false">IF(O625="","",IF(O625&lt;0,"CONTRATO ANTERIOR À ABERTURA — conferir datas",IF(O625&lt;180,"EMPRESA ABERTA MENOS DE 6 MESES ANTES","")))</f>
        <v/>
      </c>
      <c r="Q625" s="31" t="str">
        <f aca="false">IF(D625="","",IFERROR(INDEX(Sancoes!$D:$D,MATCH(D625,Sancoes!$C:$C,0)),"não consta"))</f>
        <v/>
      </c>
      <c r="R625" s="25" t="str">
        <f aca="false">IF(OR(D625="",H625=""),"",IF(SUMPRODUCT((Sancoes!$C$5:$C$304=D625)*(Sancoes!$G$5:$G$304&lt;=H625)*(((Sancoes!$H$5:$H$304="")+(Sancoes!$H$5:$H$304&gt;=H625))&gt;0))&gt;0,"SANÇÃO VIGENTE NA DATA — ler tipo e abrangência",""))</f>
        <v/>
      </c>
      <c r="S625" s="24"/>
      <c r="T625" s="11"/>
    </row>
    <row r="626" customFormat="false" ht="15" hidden="false" customHeight="false" outlineLevel="0" collapsed="false">
      <c r="A626" s="11"/>
      <c r="B626" s="24"/>
      <c r="C626" s="24"/>
      <c r="D626" s="31" t="str">
        <f aca="false">IF(C626="","",IF(LEN(UPPER(SUBSTITUTE(SUBSTITUTE(SUBSTITUTE(SUBSTITUTE(TRIM(C626),".",""),"/",""),"-","")," ","")))&lt;14,RIGHT(REPT("0",14)&amp;UPPER(SUBSTITUTE(SUBSTITUTE(SUBSTITUTE(SUBSTITUTE(TRIM(C626),".",""),"/",""),"-","")," ","")),14),UPPER(SUBSTITUTE(SUBSTITUTE(SUBSTITUTE(SUBSTITUTE(TRIM(C626),".",""),"/",""),"-","")," ",""))))</f>
        <v/>
      </c>
      <c r="E626" s="25" t="str">
        <f aca="false">IF(D626="","",IFERROR(INDEX(Empresas!$C:$C,MATCH(D626,Empresas!$B:$B,0)),"cadastre o CNPJ em Empresas"))</f>
        <v/>
      </c>
      <c r="F626" s="11"/>
      <c r="G626" s="23"/>
      <c r="H626" s="22"/>
      <c r="I626" s="35"/>
      <c r="J626" s="35"/>
      <c r="K626" s="36" t="str">
        <f aca="false">IF(I626="","",I626+J626)</f>
        <v/>
      </c>
      <c r="L626" s="37" t="str">
        <f aca="false">IF(OR(I626="",I626=0,J626=""),"",J626/I626)</f>
        <v/>
      </c>
      <c r="M626" s="25" t="str">
        <f aca="false">IF(L626="","",IF(L626&gt;0.25,"ACRÉSCIMO ACIMA DE 25% — conferir",""))</f>
        <v/>
      </c>
      <c r="N626" s="29" t="str">
        <f aca="false">IF(D626="","",IF(COUNTIFS(Empresas!$B:$B,D626,Empresas!$E:$E,"&lt;&gt;")=0,"",INDEX(Empresas!$E:$E,MATCH(D626,Empresas!$B:$B,0))))</f>
        <v/>
      </c>
      <c r="O626" s="27" t="str">
        <f aca="false">IF(OR(N626="",H626=""),"",H626-N626)</f>
        <v/>
      </c>
      <c r="P626" s="25" t="str">
        <f aca="false">IF(O626="","",IF(O626&lt;0,"CONTRATO ANTERIOR À ABERTURA — conferir datas",IF(O626&lt;180,"EMPRESA ABERTA MENOS DE 6 MESES ANTES","")))</f>
        <v/>
      </c>
      <c r="Q626" s="31" t="str">
        <f aca="false">IF(D626="","",IFERROR(INDEX(Sancoes!$D:$D,MATCH(D626,Sancoes!$C:$C,0)),"não consta"))</f>
        <v/>
      </c>
      <c r="R626" s="25" t="str">
        <f aca="false">IF(OR(D626="",H626=""),"",IF(SUMPRODUCT((Sancoes!$C$5:$C$304=D626)*(Sancoes!$G$5:$G$304&lt;=H626)*(((Sancoes!$H$5:$H$304="")+(Sancoes!$H$5:$H$304&gt;=H626))&gt;0))&gt;0,"SANÇÃO VIGENTE NA DATA — ler tipo e abrangência",""))</f>
        <v/>
      </c>
      <c r="S626" s="24"/>
      <c r="T626" s="11"/>
    </row>
    <row r="627" customFormat="false" ht="15" hidden="false" customHeight="false" outlineLevel="0" collapsed="false">
      <c r="A627" s="11"/>
      <c r="B627" s="24"/>
      <c r="C627" s="24"/>
      <c r="D627" s="31" t="str">
        <f aca="false">IF(C627="","",IF(LEN(UPPER(SUBSTITUTE(SUBSTITUTE(SUBSTITUTE(SUBSTITUTE(TRIM(C627),".",""),"/",""),"-","")," ","")))&lt;14,RIGHT(REPT("0",14)&amp;UPPER(SUBSTITUTE(SUBSTITUTE(SUBSTITUTE(SUBSTITUTE(TRIM(C627),".",""),"/",""),"-","")," ","")),14),UPPER(SUBSTITUTE(SUBSTITUTE(SUBSTITUTE(SUBSTITUTE(TRIM(C627),".",""),"/",""),"-","")," ",""))))</f>
        <v/>
      </c>
      <c r="E627" s="25" t="str">
        <f aca="false">IF(D627="","",IFERROR(INDEX(Empresas!$C:$C,MATCH(D627,Empresas!$B:$B,0)),"cadastre o CNPJ em Empresas"))</f>
        <v/>
      </c>
      <c r="F627" s="11"/>
      <c r="G627" s="23"/>
      <c r="H627" s="22"/>
      <c r="I627" s="35"/>
      <c r="J627" s="35"/>
      <c r="K627" s="36" t="str">
        <f aca="false">IF(I627="","",I627+J627)</f>
        <v/>
      </c>
      <c r="L627" s="37" t="str">
        <f aca="false">IF(OR(I627="",I627=0,J627=""),"",J627/I627)</f>
        <v/>
      </c>
      <c r="M627" s="25" t="str">
        <f aca="false">IF(L627="","",IF(L627&gt;0.25,"ACRÉSCIMO ACIMA DE 25% — conferir",""))</f>
        <v/>
      </c>
      <c r="N627" s="29" t="str">
        <f aca="false">IF(D627="","",IF(COUNTIFS(Empresas!$B:$B,D627,Empresas!$E:$E,"&lt;&gt;")=0,"",INDEX(Empresas!$E:$E,MATCH(D627,Empresas!$B:$B,0))))</f>
        <v/>
      </c>
      <c r="O627" s="27" t="str">
        <f aca="false">IF(OR(N627="",H627=""),"",H627-N627)</f>
        <v/>
      </c>
      <c r="P627" s="25" t="str">
        <f aca="false">IF(O627="","",IF(O627&lt;0,"CONTRATO ANTERIOR À ABERTURA — conferir datas",IF(O627&lt;180,"EMPRESA ABERTA MENOS DE 6 MESES ANTES","")))</f>
        <v/>
      </c>
      <c r="Q627" s="31" t="str">
        <f aca="false">IF(D627="","",IFERROR(INDEX(Sancoes!$D:$D,MATCH(D627,Sancoes!$C:$C,0)),"não consta"))</f>
        <v/>
      </c>
      <c r="R627" s="25" t="str">
        <f aca="false">IF(OR(D627="",H627=""),"",IF(SUMPRODUCT((Sancoes!$C$5:$C$304=D627)*(Sancoes!$G$5:$G$304&lt;=H627)*(((Sancoes!$H$5:$H$304="")+(Sancoes!$H$5:$H$304&gt;=H627))&gt;0))&gt;0,"SANÇÃO VIGENTE NA DATA — ler tipo e abrangência",""))</f>
        <v/>
      </c>
      <c r="S627" s="24"/>
      <c r="T627" s="11"/>
    </row>
    <row r="628" customFormat="false" ht="15" hidden="false" customHeight="false" outlineLevel="0" collapsed="false">
      <c r="A628" s="11"/>
      <c r="B628" s="24"/>
      <c r="C628" s="24"/>
      <c r="D628" s="31" t="str">
        <f aca="false">IF(C628="","",IF(LEN(UPPER(SUBSTITUTE(SUBSTITUTE(SUBSTITUTE(SUBSTITUTE(TRIM(C628),".",""),"/",""),"-","")," ","")))&lt;14,RIGHT(REPT("0",14)&amp;UPPER(SUBSTITUTE(SUBSTITUTE(SUBSTITUTE(SUBSTITUTE(TRIM(C628),".",""),"/",""),"-","")," ","")),14),UPPER(SUBSTITUTE(SUBSTITUTE(SUBSTITUTE(SUBSTITUTE(TRIM(C628),".",""),"/",""),"-","")," ",""))))</f>
        <v/>
      </c>
      <c r="E628" s="25" t="str">
        <f aca="false">IF(D628="","",IFERROR(INDEX(Empresas!$C:$C,MATCH(D628,Empresas!$B:$B,0)),"cadastre o CNPJ em Empresas"))</f>
        <v/>
      </c>
      <c r="F628" s="11"/>
      <c r="G628" s="23"/>
      <c r="H628" s="22"/>
      <c r="I628" s="35"/>
      <c r="J628" s="35"/>
      <c r="K628" s="36" t="str">
        <f aca="false">IF(I628="","",I628+J628)</f>
        <v/>
      </c>
      <c r="L628" s="37" t="str">
        <f aca="false">IF(OR(I628="",I628=0,J628=""),"",J628/I628)</f>
        <v/>
      </c>
      <c r="M628" s="25" t="str">
        <f aca="false">IF(L628="","",IF(L628&gt;0.25,"ACRÉSCIMO ACIMA DE 25% — conferir",""))</f>
        <v/>
      </c>
      <c r="N628" s="29" t="str">
        <f aca="false">IF(D628="","",IF(COUNTIFS(Empresas!$B:$B,D628,Empresas!$E:$E,"&lt;&gt;")=0,"",INDEX(Empresas!$E:$E,MATCH(D628,Empresas!$B:$B,0))))</f>
        <v/>
      </c>
      <c r="O628" s="27" t="str">
        <f aca="false">IF(OR(N628="",H628=""),"",H628-N628)</f>
        <v/>
      </c>
      <c r="P628" s="25" t="str">
        <f aca="false">IF(O628="","",IF(O628&lt;0,"CONTRATO ANTERIOR À ABERTURA — conferir datas",IF(O628&lt;180,"EMPRESA ABERTA MENOS DE 6 MESES ANTES","")))</f>
        <v/>
      </c>
      <c r="Q628" s="31" t="str">
        <f aca="false">IF(D628="","",IFERROR(INDEX(Sancoes!$D:$D,MATCH(D628,Sancoes!$C:$C,0)),"não consta"))</f>
        <v/>
      </c>
      <c r="R628" s="25" t="str">
        <f aca="false">IF(OR(D628="",H628=""),"",IF(SUMPRODUCT((Sancoes!$C$5:$C$304=D628)*(Sancoes!$G$5:$G$304&lt;=H628)*(((Sancoes!$H$5:$H$304="")+(Sancoes!$H$5:$H$304&gt;=H628))&gt;0))&gt;0,"SANÇÃO VIGENTE NA DATA — ler tipo e abrangência",""))</f>
        <v/>
      </c>
      <c r="S628" s="24"/>
      <c r="T628" s="11"/>
    </row>
    <row r="629" customFormat="false" ht="15" hidden="false" customHeight="false" outlineLevel="0" collapsed="false">
      <c r="A629" s="11"/>
      <c r="B629" s="24"/>
      <c r="C629" s="24"/>
      <c r="D629" s="31" t="str">
        <f aca="false">IF(C629="","",IF(LEN(UPPER(SUBSTITUTE(SUBSTITUTE(SUBSTITUTE(SUBSTITUTE(TRIM(C629),".",""),"/",""),"-","")," ","")))&lt;14,RIGHT(REPT("0",14)&amp;UPPER(SUBSTITUTE(SUBSTITUTE(SUBSTITUTE(SUBSTITUTE(TRIM(C629),".",""),"/",""),"-","")," ","")),14),UPPER(SUBSTITUTE(SUBSTITUTE(SUBSTITUTE(SUBSTITUTE(TRIM(C629),".",""),"/",""),"-","")," ",""))))</f>
        <v/>
      </c>
      <c r="E629" s="25" t="str">
        <f aca="false">IF(D629="","",IFERROR(INDEX(Empresas!$C:$C,MATCH(D629,Empresas!$B:$B,0)),"cadastre o CNPJ em Empresas"))</f>
        <v/>
      </c>
      <c r="F629" s="11"/>
      <c r="G629" s="23"/>
      <c r="H629" s="22"/>
      <c r="I629" s="35"/>
      <c r="J629" s="35"/>
      <c r="K629" s="36" t="str">
        <f aca="false">IF(I629="","",I629+J629)</f>
        <v/>
      </c>
      <c r="L629" s="37" t="str">
        <f aca="false">IF(OR(I629="",I629=0,J629=""),"",J629/I629)</f>
        <v/>
      </c>
      <c r="M629" s="25" t="str">
        <f aca="false">IF(L629="","",IF(L629&gt;0.25,"ACRÉSCIMO ACIMA DE 25% — conferir",""))</f>
        <v/>
      </c>
      <c r="N629" s="29" t="str">
        <f aca="false">IF(D629="","",IF(COUNTIFS(Empresas!$B:$B,D629,Empresas!$E:$E,"&lt;&gt;")=0,"",INDEX(Empresas!$E:$E,MATCH(D629,Empresas!$B:$B,0))))</f>
        <v/>
      </c>
      <c r="O629" s="27" t="str">
        <f aca="false">IF(OR(N629="",H629=""),"",H629-N629)</f>
        <v/>
      </c>
      <c r="P629" s="25" t="str">
        <f aca="false">IF(O629="","",IF(O629&lt;0,"CONTRATO ANTERIOR À ABERTURA — conferir datas",IF(O629&lt;180,"EMPRESA ABERTA MENOS DE 6 MESES ANTES","")))</f>
        <v/>
      </c>
      <c r="Q629" s="31" t="str">
        <f aca="false">IF(D629="","",IFERROR(INDEX(Sancoes!$D:$D,MATCH(D629,Sancoes!$C:$C,0)),"não consta"))</f>
        <v/>
      </c>
      <c r="R629" s="25" t="str">
        <f aca="false">IF(OR(D629="",H629=""),"",IF(SUMPRODUCT((Sancoes!$C$5:$C$304=D629)*(Sancoes!$G$5:$G$304&lt;=H629)*(((Sancoes!$H$5:$H$304="")+(Sancoes!$H$5:$H$304&gt;=H629))&gt;0))&gt;0,"SANÇÃO VIGENTE NA DATA — ler tipo e abrangência",""))</f>
        <v/>
      </c>
      <c r="S629" s="24"/>
      <c r="T629" s="11"/>
    </row>
    <row r="630" customFormat="false" ht="15" hidden="false" customHeight="false" outlineLevel="0" collapsed="false">
      <c r="A630" s="11"/>
      <c r="B630" s="24"/>
      <c r="C630" s="24"/>
      <c r="D630" s="31" t="str">
        <f aca="false">IF(C630="","",IF(LEN(UPPER(SUBSTITUTE(SUBSTITUTE(SUBSTITUTE(SUBSTITUTE(TRIM(C630),".",""),"/",""),"-","")," ","")))&lt;14,RIGHT(REPT("0",14)&amp;UPPER(SUBSTITUTE(SUBSTITUTE(SUBSTITUTE(SUBSTITUTE(TRIM(C630),".",""),"/",""),"-","")," ","")),14),UPPER(SUBSTITUTE(SUBSTITUTE(SUBSTITUTE(SUBSTITUTE(TRIM(C630),".",""),"/",""),"-","")," ",""))))</f>
        <v/>
      </c>
      <c r="E630" s="25" t="str">
        <f aca="false">IF(D630="","",IFERROR(INDEX(Empresas!$C:$C,MATCH(D630,Empresas!$B:$B,0)),"cadastre o CNPJ em Empresas"))</f>
        <v/>
      </c>
      <c r="F630" s="11"/>
      <c r="G630" s="23"/>
      <c r="H630" s="22"/>
      <c r="I630" s="35"/>
      <c r="J630" s="35"/>
      <c r="K630" s="36" t="str">
        <f aca="false">IF(I630="","",I630+J630)</f>
        <v/>
      </c>
      <c r="L630" s="37" t="str">
        <f aca="false">IF(OR(I630="",I630=0,J630=""),"",J630/I630)</f>
        <v/>
      </c>
      <c r="M630" s="25" t="str">
        <f aca="false">IF(L630="","",IF(L630&gt;0.25,"ACRÉSCIMO ACIMA DE 25% — conferir",""))</f>
        <v/>
      </c>
      <c r="N630" s="29" t="str">
        <f aca="false">IF(D630="","",IF(COUNTIFS(Empresas!$B:$B,D630,Empresas!$E:$E,"&lt;&gt;")=0,"",INDEX(Empresas!$E:$E,MATCH(D630,Empresas!$B:$B,0))))</f>
        <v/>
      </c>
      <c r="O630" s="27" t="str">
        <f aca="false">IF(OR(N630="",H630=""),"",H630-N630)</f>
        <v/>
      </c>
      <c r="P630" s="25" t="str">
        <f aca="false">IF(O630="","",IF(O630&lt;0,"CONTRATO ANTERIOR À ABERTURA — conferir datas",IF(O630&lt;180,"EMPRESA ABERTA MENOS DE 6 MESES ANTES","")))</f>
        <v/>
      </c>
      <c r="Q630" s="31" t="str">
        <f aca="false">IF(D630="","",IFERROR(INDEX(Sancoes!$D:$D,MATCH(D630,Sancoes!$C:$C,0)),"não consta"))</f>
        <v/>
      </c>
      <c r="R630" s="25" t="str">
        <f aca="false">IF(OR(D630="",H630=""),"",IF(SUMPRODUCT((Sancoes!$C$5:$C$304=D630)*(Sancoes!$G$5:$G$304&lt;=H630)*(((Sancoes!$H$5:$H$304="")+(Sancoes!$H$5:$H$304&gt;=H630))&gt;0))&gt;0,"SANÇÃO VIGENTE NA DATA — ler tipo e abrangência",""))</f>
        <v/>
      </c>
      <c r="S630" s="24"/>
      <c r="T630" s="11"/>
    </row>
    <row r="631" customFormat="false" ht="15" hidden="false" customHeight="false" outlineLevel="0" collapsed="false">
      <c r="A631" s="11"/>
      <c r="B631" s="24"/>
      <c r="C631" s="24"/>
      <c r="D631" s="31" t="str">
        <f aca="false">IF(C631="","",IF(LEN(UPPER(SUBSTITUTE(SUBSTITUTE(SUBSTITUTE(SUBSTITUTE(TRIM(C631),".",""),"/",""),"-","")," ","")))&lt;14,RIGHT(REPT("0",14)&amp;UPPER(SUBSTITUTE(SUBSTITUTE(SUBSTITUTE(SUBSTITUTE(TRIM(C631),".",""),"/",""),"-","")," ","")),14),UPPER(SUBSTITUTE(SUBSTITUTE(SUBSTITUTE(SUBSTITUTE(TRIM(C631),".",""),"/",""),"-","")," ",""))))</f>
        <v/>
      </c>
      <c r="E631" s="25" t="str">
        <f aca="false">IF(D631="","",IFERROR(INDEX(Empresas!$C:$C,MATCH(D631,Empresas!$B:$B,0)),"cadastre o CNPJ em Empresas"))</f>
        <v/>
      </c>
      <c r="F631" s="11"/>
      <c r="G631" s="23"/>
      <c r="H631" s="22"/>
      <c r="I631" s="35"/>
      <c r="J631" s="35"/>
      <c r="K631" s="36" t="str">
        <f aca="false">IF(I631="","",I631+J631)</f>
        <v/>
      </c>
      <c r="L631" s="37" t="str">
        <f aca="false">IF(OR(I631="",I631=0,J631=""),"",J631/I631)</f>
        <v/>
      </c>
      <c r="M631" s="25" t="str">
        <f aca="false">IF(L631="","",IF(L631&gt;0.25,"ACRÉSCIMO ACIMA DE 25% — conferir",""))</f>
        <v/>
      </c>
      <c r="N631" s="29" t="str">
        <f aca="false">IF(D631="","",IF(COUNTIFS(Empresas!$B:$B,D631,Empresas!$E:$E,"&lt;&gt;")=0,"",INDEX(Empresas!$E:$E,MATCH(D631,Empresas!$B:$B,0))))</f>
        <v/>
      </c>
      <c r="O631" s="27" t="str">
        <f aca="false">IF(OR(N631="",H631=""),"",H631-N631)</f>
        <v/>
      </c>
      <c r="P631" s="25" t="str">
        <f aca="false">IF(O631="","",IF(O631&lt;0,"CONTRATO ANTERIOR À ABERTURA — conferir datas",IF(O631&lt;180,"EMPRESA ABERTA MENOS DE 6 MESES ANTES","")))</f>
        <v/>
      </c>
      <c r="Q631" s="31" t="str">
        <f aca="false">IF(D631="","",IFERROR(INDEX(Sancoes!$D:$D,MATCH(D631,Sancoes!$C:$C,0)),"não consta"))</f>
        <v/>
      </c>
      <c r="R631" s="25" t="str">
        <f aca="false">IF(OR(D631="",H631=""),"",IF(SUMPRODUCT((Sancoes!$C$5:$C$304=D631)*(Sancoes!$G$5:$G$304&lt;=H631)*(((Sancoes!$H$5:$H$304="")+(Sancoes!$H$5:$H$304&gt;=H631))&gt;0))&gt;0,"SANÇÃO VIGENTE NA DATA — ler tipo e abrangência",""))</f>
        <v/>
      </c>
      <c r="S631" s="24"/>
      <c r="T631" s="11"/>
    </row>
    <row r="632" customFormat="false" ht="15" hidden="false" customHeight="false" outlineLevel="0" collapsed="false">
      <c r="A632" s="11"/>
      <c r="B632" s="24"/>
      <c r="C632" s="24"/>
      <c r="D632" s="31" t="str">
        <f aca="false">IF(C632="","",IF(LEN(UPPER(SUBSTITUTE(SUBSTITUTE(SUBSTITUTE(SUBSTITUTE(TRIM(C632),".",""),"/",""),"-","")," ","")))&lt;14,RIGHT(REPT("0",14)&amp;UPPER(SUBSTITUTE(SUBSTITUTE(SUBSTITUTE(SUBSTITUTE(TRIM(C632),".",""),"/",""),"-","")," ","")),14),UPPER(SUBSTITUTE(SUBSTITUTE(SUBSTITUTE(SUBSTITUTE(TRIM(C632),".",""),"/",""),"-","")," ",""))))</f>
        <v/>
      </c>
      <c r="E632" s="25" t="str">
        <f aca="false">IF(D632="","",IFERROR(INDEX(Empresas!$C:$C,MATCH(D632,Empresas!$B:$B,0)),"cadastre o CNPJ em Empresas"))</f>
        <v/>
      </c>
      <c r="F632" s="11"/>
      <c r="G632" s="23"/>
      <c r="H632" s="22"/>
      <c r="I632" s="35"/>
      <c r="J632" s="35"/>
      <c r="K632" s="36" t="str">
        <f aca="false">IF(I632="","",I632+J632)</f>
        <v/>
      </c>
      <c r="L632" s="37" t="str">
        <f aca="false">IF(OR(I632="",I632=0,J632=""),"",J632/I632)</f>
        <v/>
      </c>
      <c r="M632" s="25" t="str">
        <f aca="false">IF(L632="","",IF(L632&gt;0.25,"ACRÉSCIMO ACIMA DE 25% — conferir",""))</f>
        <v/>
      </c>
      <c r="N632" s="29" t="str">
        <f aca="false">IF(D632="","",IF(COUNTIFS(Empresas!$B:$B,D632,Empresas!$E:$E,"&lt;&gt;")=0,"",INDEX(Empresas!$E:$E,MATCH(D632,Empresas!$B:$B,0))))</f>
        <v/>
      </c>
      <c r="O632" s="27" t="str">
        <f aca="false">IF(OR(N632="",H632=""),"",H632-N632)</f>
        <v/>
      </c>
      <c r="P632" s="25" t="str">
        <f aca="false">IF(O632="","",IF(O632&lt;0,"CONTRATO ANTERIOR À ABERTURA — conferir datas",IF(O632&lt;180,"EMPRESA ABERTA MENOS DE 6 MESES ANTES","")))</f>
        <v/>
      </c>
      <c r="Q632" s="31" t="str">
        <f aca="false">IF(D632="","",IFERROR(INDEX(Sancoes!$D:$D,MATCH(D632,Sancoes!$C:$C,0)),"não consta"))</f>
        <v/>
      </c>
      <c r="R632" s="25" t="str">
        <f aca="false">IF(OR(D632="",H632=""),"",IF(SUMPRODUCT((Sancoes!$C$5:$C$304=D632)*(Sancoes!$G$5:$G$304&lt;=H632)*(((Sancoes!$H$5:$H$304="")+(Sancoes!$H$5:$H$304&gt;=H632))&gt;0))&gt;0,"SANÇÃO VIGENTE NA DATA — ler tipo e abrangência",""))</f>
        <v/>
      </c>
      <c r="S632" s="24"/>
      <c r="T632" s="11"/>
    </row>
    <row r="633" customFormat="false" ht="15" hidden="false" customHeight="false" outlineLevel="0" collapsed="false">
      <c r="A633" s="11"/>
      <c r="B633" s="24"/>
      <c r="C633" s="24"/>
      <c r="D633" s="31" t="str">
        <f aca="false">IF(C633="","",IF(LEN(UPPER(SUBSTITUTE(SUBSTITUTE(SUBSTITUTE(SUBSTITUTE(TRIM(C633),".",""),"/",""),"-","")," ","")))&lt;14,RIGHT(REPT("0",14)&amp;UPPER(SUBSTITUTE(SUBSTITUTE(SUBSTITUTE(SUBSTITUTE(TRIM(C633),".",""),"/",""),"-","")," ","")),14),UPPER(SUBSTITUTE(SUBSTITUTE(SUBSTITUTE(SUBSTITUTE(TRIM(C633),".",""),"/",""),"-","")," ",""))))</f>
        <v/>
      </c>
      <c r="E633" s="25" t="str">
        <f aca="false">IF(D633="","",IFERROR(INDEX(Empresas!$C:$C,MATCH(D633,Empresas!$B:$B,0)),"cadastre o CNPJ em Empresas"))</f>
        <v/>
      </c>
      <c r="F633" s="11"/>
      <c r="G633" s="23"/>
      <c r="H633" s="22"/>
      <c r="I633" s="35"/>
      <c r="J633" s="35"/>
      <c r="K633" s="36" t="str">
        <f aca="false">IF(I633="","",I633+J633)</f>
        <v/>
      </c>
      <c r="L633" s="37" t="str">
        <f aca="false">IF(OR(I633="",I633=0,J633=""),"",J633/I633)</f>
        <v/>
      </c>
      <c r="M633" s="25" t="str">
        <f aca="false">IF(L633="","",IF(L633&gt;0.25,"ACRÉSCIMO ACIMA DE 25% — conferir",""))</f>
        <v/>
      </c>
      <c r="N633" s="29" t="str">
        <f aca="false">IF(D633="","",IF(COUNTIFS(Empresas!$B:$B,D633,Empresas!$E:$E,"&lt;&gt;")=0,"",INDEX(Empresas!$E:$E,MATCH(D633,Empresas!$B:$B,0))))</f>
        <v/>
      </c>
      <c r="O633" s="27" t="str">
        <f aca="false">IF(OR(N633="",H633=""),"",H633-N633)</f>
        <v/>
      </c>
      <c r="P633" s="25" t="str">
        <f aca="false">IF(O633="","",IF(O633&lt;0,"CONTRATO ANTERIOR À ABERTURA — conferir datas",IF(O633&lt;180,"EMPRESA ABERTA MENOS DE 6 MESES ANTES","")))</f>
        <v/>
      </c>
      <c r="Q633" s="31" t="str">
        <f aca="false">IF(D633="","",IFERROR(INDEX(Sancoes!$D:$D,MATCH(D633,Sancoes!$C:$C,0)),"não consta"))</f>
        <v/>
      </c>
      <c r="R633" s="25" t="str">
        <f aca="false">IF(OR(D633="",H633=""),"",IF(SUMPRODUCT((Sancoes!$C$5:$C$304=D633)*(Sancoes!$G$5:$G$304&lt;=H633)*(((Sancoes!$H$5:$H$304="")+(Sancoes!$H$5:$H$304&gt;=H633))&gt;0))&gt;0,"SANÇÃO VIGENTE NA DATA — ler tipo e abrangência",""))</f>
        <v/>
      </c>
      <c r="S633" s="24"/>
      <c r="T633" s="11"/>
    </row>
    <row r="634" customFormat="false" ht="15" hidden="false" customHeight="false" outlineLevel="0" collapsed="false">
      <c r="A634" s="11"/>
      <c r="B634" s="24"/>
      <c r="C634" s="24"/>
      <c r="D634" s="31" t="str">
        <f aca="false">IF(C634="","",IF(LEN(UPPER(SUBSTITUTE(SUBSTITUTE(SUBSTITUTE(SUBSTITUTE(TRIM(C634),".",""),"/",""),"-","")," ","")))&lt;14,RIGHT(REPT("0",14)&amp;UPPER(SUBSTITUTE(SUBSTITUTE(SUBSTITUTE(SUBSTITUTE(TRIM(C634),".",""),"/",""),"-","")," ","")),14),UPPER(SUBSTITUTE(SUBSTITUTE(SUBSTITUTE(SUBSTITUTE(TRIM(C634),".",""),"/",""),"-","")," ",""))))</f>
        <v/>
      </c>
      <c r="E634" s="25" t="str">
        <f aca="false">IF(D634="","",IFERROR(INDEX(Empresas!$C:$C,MATCH(D634,Empresas!$B:$B,0)),"cadastre o CNPJ em Empresas"))</f>
        <v/>
      </c>
      <c r="F634" s="11"/>
      <c r="G634" s="23"/>
      <c r="H634" s="22"/>
      <c r="I634" s="35"/>
      <c r="J634" s="35"/>
      <c r="K634" s="36" t="str">
        <f aca="false">IF(I634="","",I634+J634)</f>
        <v/>
      </c>
      <c r="L634" s="37" t="str">
        <f aca="false">IF(OR(I634="",I634=0,J634=""),"",J634/I634)</f>
        <v/>
      </c>
      <c r="M634" s="25" t="str">
        <f aca="false">IF(L634="","",IF(L634&gt;0.25,"ACRÉSCIMO ACIMA DE 25% — conferir",""))</f>
        <v/>
      </c>
      <c r="N634" s="29" t="str">
        <f aca="false">IF(D634="","",IF(COUNTIFS(Empresas!$B:$B,D634,Empresas!$E:$E,"&lt;&gt;")=0,"",INDEX(Empresas!$E:$E,MATCH(D634,Empresas!$B:$B,0))))</f>
        <v/>
      </c>
      <c r="O634" s="27" t="str">
        <f aca="false">IF(OR(N634="",H634=""),"",H634-N634)</f>
        <v/>
      </c>
      <c r="P634" s="25" t="str">
        <f aca="false">IF(O634="","",IF(O634&lt;0,"CONTRATO ANTERIOR À ABERTURA — conferir datas",IF(O634&lt;180,"EMPRESA ABERTA MENOS DE 6 MESES ANTES","")))</f>
        <v/>
      </c>
      <c r="Q634" s="31" t="str">
        <f aca="false">IF(D634="","",IFERROR(INDEX(Sancoes!$D:$D,MATCH(D634,Sancoes!$C:$C,0)),"não consta"))</f>
        <v/>
      </c>
      <c r="R634" s="25" t="str">
        <f aca="false">IF(OR(D634="",H634=""),"",IF(SUMPRODUCT((Sancoes!$C$5:$C$304=D634)*(Sancoes!$G$5:$G$304&lt;=H634)*(((Sancoes!$H$5:$H$304="")+(Sancoes!$H$5:$H$304&gt;=H634))&gt;0))&gt;0,"SANÇÃO VIGENTE NA DATA — ler tipo e abrangência",""))</f>
        <v/>
      </c>
      <c r="S634" s="24"/>
      <c r="T634" s="11"/>
    </row>
    <row r="635" customFormat="false" ht="15" hidden="false" customHeight="false" outlineLevel="0" collapsed="false">
      <c r="A635" s="11"/>
      <c r="B635" s="24"/>
      <c r="C635" s="24"/>
      <c r="D635" s="31" t="str">
        <f aca="false">IF(C635="","",IF(LEN(UPPER(SUBSTITUTE(SUBSTITUTE(SUBSTITUTE(SUBSTITUTE(TRIM(C635),".",""),"/",""),"-","")," ","")))&lt;14,RIGHT(REPT("0",14)&amp;UPPER(SUBSTITUTE(SUBSTITUTE(SUBSTITUTE(SUBSTITUTE(TRIM(C635),".",""),"/",""),"-","")," ","")),14),UPPER(SUBSTITUTE(SUBSTITUTE(SUBSTITUTE(SUBSTITUTE(TRIM(C635),".",""),"/",""),"-","")," ",""))))</f>
        <v/>
      </c>
      <c r="E635" s="25" t="str">
        <f aca="false">IF(D635="","",IFERROR(INDEX(Empresas!$C:$C,MATCH(D635,Empresas!$B:$B,0)),"cadastre o CNPJ em Empresas"))</f>
        <v/>
      </c>
      <c r="F635" s="11"/>
      <c r="G635" s="23"/>
      <c r="H635" s="22"/>
      <c r="I635" s="35"/>
      <c r="J635" s="35"/>
      <c r="K635" s="36" t="str">
        <f aca="false">IF(I635="","",I635+J635)</f>
        <v/>
      </c>
      <c r="L635" s="37" t="str">
        <f aca="false">IF(OR(I635="",I635=0,J635=""),"",J635/I635)</f>
        <v/>
      </c>
      <c r="M635" s="25" t="str">
        <f aca="false">IF(L635="","",IF(L635&gt;0.25,"ACRÉSCIMO ACIMA DE 25% — conferir",""))</f>
        <v/>
      </c>
      <c r="N635" s="29" t="str">
        <f aca="false">IF(D635="","",IF(COUNTIFS(Empresas!$B:$B,D635,Empresas!$E:$E,"&lt;&gt;")=0,"",INDEX(Empresas!$E:$E,MATCH(D635,Empresas!$B:$B,0))))</f>
        <v/>
      </c>
      <c r="O635" s="27" t="str">
        <f aca="false">IF(OR(N635="",H635=""),"",H635-N635)</f>
        <v/>
      </c>
      <c r="P635" s="25" t="str">
        <f aca="false">IF(O635="","",IF(O635&lt;0,"CONTRATO ANTERIOR À ABERTURA — conferir datas",IF(O635&lt;180,"EMPRESA ABERTA MENOS DE 6 MESES ANTES","")))</f>
        <v/>
      </c>
      <c r="Q635" s="31" t="str">
        <f aca="false">IF(D635="","",IFERROR(INDEX(Sancoes!$D:$D,MATCH(D635,Sancoes!$C:$C,0)),"não consta"))</f>
        <v/>
      </c>
      <c r="R635" s="25" t="str">
        <f aca="false">IF(OR(D635="",H635=""),"",IF(SUMPRODUCT((Sancoes!$C$5:$C$304=D635)*(Sancoes!$G$5:$G$304&lt;=H635)*(((Sancoes!$H$5:$H$304="")+(Sancoes!$H$5:$H$304&gt;=H635))&gt;0))&gt;0,"SANÇÃO VIGENTE NA DATA — ler tipo e abrangência",""))</f>
        <v/>
      </c>
      <c r="S635" s="24"/>
      <c r="T635" s="11"/>
    </row>
    <row r="636" customFormat="false" ht="15" hidden="false" customHeight="false" outlineLevel="0" collapsed="false">
      <c r="A636" s="11"/>
      <c r="B636" s="24"/>
      <c r="C636" s="24"/>
      <c r="D636" s="31" t="str">
        <f aca="false">IF(C636="","",IF(LEN(UPPER(SUBSTITUTE(SUBSTITUTE(SUBSTITUTE(SUBSTITUTE(TRIM(C636),".",""),"/",""),"-","")," ","")))&lt;14,RIGHT(REPT("0",14)&amp;UPPER(SUBSTITUTE(SUBSTITUTE(SUBSTITUTE(SUBSTITUTE(TRIM(C636),".",""),"/",""),"-","")," ","")),14),UPPER(SUBSTITUTE(SUBSTITUTE(SUBSTITUTE(SUBSTITUTE(TRIM(C636),".",""),"/",""),"-","")," ",""))))</f>
        <v/>
      </c>
      <c r="E636" s="25" t="str">
        <f aca="false">IF(D636="","",IFERROR(INDEX(Empresas!$C:$C,MATCH(D636,Empresas!$B:$B,0)),"cadastre o CNPJ em Empresas"))</f>
        <v/>
      </c>
      <c r="F636" s="11"/>
      <c r="G636" s="23"/>
      <c r="H636" s="22"/>
      <c r="I636" s="35"/>
      <c r="J636" s="35"/>
      <c r="K636" s="36" t="str">
        <f aca="false">IF(I636="","",I636+J636)</f>
        <v/>
      </c>
      <c r="L636" s="37" t="str">
        <f aca="false">IF(OR(I636="",I636=0,J636=""),"",J636/I636)</f>
        <v/>
      </c>
      <c r="M636" s="25" t="str">
        <f aca="false">IF(L636="","",IF(L636&gt;0.25,"ACRÉSCIMO ACIMA DE 25% — conferir",""))</f>
        <v/>
      </c>
      <c r="N636" s="29" t="str">
        <f aca="false">IF(D636="","",IF(COUNTIFS(Empresas!$B:$B,D636,Empresas!$E:$E,"&lt;&gt;")=0,"",INDEX(Empresas!$E:$E,MATCH(D636,Empresas!$B:$B,0))))</f>
        <v/>
      </c>
      <c r="O636" s="27" t="str">
        <f aca="false">IF(OR(N636="",H636=""),"",H636-N636)</f>
        <v/>
      </c>
      <c r="P636" s="25" t="str">
        <f aca="false">IF(O636="","",IF(O636&lt;0,"CONTRATO ANTERIOR À ABERTURA — conferir datas",IF(O636&lt;180,"EMPRESA ABERTA MENOS DE 6 MESES ANTES","")))</f>
        <v/>
      </c>
      <c r="Q636" s="31" t="str">
        <f aca="false">IF(D636="","",IFERROR(INDEX(Sancoes!$D:$D,MATCH(D636,Sancoes!$C:$C,0)),"não consta"))</f>
        <v/>
      </c>
      <c r="R636" s="25" t="str">
        <f aca="false">IF(OR(D636="",H636=""),"",IF(SUMPRODUCT((Sancoes!$C$5:$C$304=D636)*(Sancoes!$G$5:$G$304&lt;=H636)*(((Sancoes!$H$5:$H$304="")+(Sancoes!$H$5:$H$304&gt;=H636))&gt;0))&gt;0,"SANÇÃO VIGENTE NA DATA — ler tipo e abrangência",""))</f>
        <v/>
      </c>
      <c r="S636" s="24"/>
      <c r="T636" s="11"/>
    </row>
    <row r="637" customFormat="false" ht="15" hidden="false" customHeight="false" outlineLevel="0" collapsed="false">
      <c r="A637" s="11"/>
      <c r="B637" s="24"/>
      <c r="C637" s="24"/>
      <c r="D637" s="31" t="str">
        <f aca="false">IF(C637="","",IF(LEN(UPPER(SUBSTITUTE(SUBSTITUTE(SUBSTITUTE(SUBSTITUTE(TRIM(C637),".",""),"/",""),"-","")," ","")))&lt;14,RIGHT(REPT("0",14)&amp;UPPER(SUBSTITUTE(SUBSTITUTE(SUBSTITUTE(SUBSTITUTE(TRIM(C637),".",""),"/",""),"-","")," ","")),14),UPPER(SUBSTITUTE(SUBSTITUTE(SUBSTITUTE(SUBSTITUTE(TRIM(C637),".",""),"/",""),"-","")," ",""))))</f>
        <v/>
      </c>
      <c r="E637" s="25" t="str">
        <f aca="false">IF(D637="","",IFERROR(INDEX(Empresas!$C:$C,MATCH(D637,Empresas!$B:$B,0)),"cadastre o CNPJ em Empresas"))</f>
        <v/>
      </c>
      <c r="F637" s="11"/>
      <c r="G637" s="23"/>
      <c r="H637" s="22"/>
      <c r="I637" s="35"/>
      <c r="J637" s="35"/>
      <c r="K637" s="36" t="str">
        <f aca="false">IF(I637="","",I637+J637)</f>
        <v/>
      </c>
      <c r="L637" s="37" t="str">
        <f aca="false">IF(OR(I637="",I637=0,J637=""),"",J637/I637)</f>
        <v/>
      </c>
      <c r="M637" s="25" t="str">
        <f aca="false">IF(L637="","",IF(L637&gt;0.25,"ACRÉSCIMO ACIMA DE 25% — conferir",""))</f>
        <v/>
      </c>
      <c r="N637" s="29" t="str">
        <f aca="false">IF(D637="","",IF(COUNTIFS(Empresas!$B:$B,D637,Empresas!$E:$E,"&lt;&gt;")=0,"",INDEX(Empresas!$E:$E,MATCH(D637,Empresas!$B:$B,0))))</f>
        <v/>
      </c>
      <c r="O637" s="27" t="str">
        <f aca="false">IF(OR(N637="",H637=""),"",H637-N637)</f>
        <v/>
      </c>
      <c r="P637" s="25" t="str">
        <f aca="false">IF(O637="","",IF(O637&lt;0,"CONTRATO ANTERIOR À ABERTURA — conferir datas",IF(O637&lt;180,"EMPRESA ABERTA MENOS DE 6 MESES ANTES","")))</f>
        <v/>
      </c>
      <c r="Q637" s="31" t="str">
        <f aca="false">IF(D637="","",IFERROR(INDEX(Sancoes!$D:$D,MATCH(D637,Sancoes!$C:$C,0)),"não consta"))</f>
        <v/>
      </c>
      <c r="R637" s="25" t="str">
        <f aca="false">IF(OR(D637="",H637=""),"",IF(SUMPRODUCT((Sancoes!$C$5:$C$304=D637)*(Sancoes!$G$5:$G$304&lt;=H637)*(((Sancoes!$H$5:$H$304="")+(Sancoes!$H$5:$H$304&gt;=H637))&gt;0))&gt;0,"SANÇÃO VIGENTE NA DATA — ler tipo e abrangência",""))</f>
        <v/>
      </c>
      <c r="S637" s="24"/>
      <c r="T637" s="11"/>
    </row>
    <row r="638" customFormat="false" ht="15" hidden="false" customHeight="false" outlineLevel="0" collapsed="false">
      <c r="A638" s="11"/>
      <c r="B638" s="24"/>
      <c r="C638" s="24"/>
      <c r="D638" s="31" t="str">
        <f aca="false">IF(C638="","",IF(LEN(UPPER(SUBSTITUTE(SUBSTITUTE(SUBSTITUTE(SUBSTITUTE(TRIM(C638),".",""),"/",""),"-","")," ","")))&lt;14,RIGHT(REPT("0",14)&amp;UPPER(SUBSTITUTE(SUBSTITUTE(SUBSTITUTE(SUBSTITUTE(TRIM(C638),".",""),"/",""),"-","")," ","")),14),UPPER(SUBSTITUTE(SUBSTITUTE(SUBSTITUTE(SUBSTITUTE(TRIM(C638),".",""),"/",""),"-","")," ",""))))</f>
        <v/>
      </c>
      <c r="E638" s="25" t="str">
        <f aca="false">IF(D638="","",IFERROR(INDEX(Empresas!$C:$C,MATCH(D638,Empresas!$B:$B,0)),"cadastre o CNPJ em Empresas"))</f>
        <v/>
      </c>
      <c r="F638" s="11"/>
      <c r="G638" s="23"/>
      <c r="H638" s="22"/>
      <c r="I638" s="35"/>
      <c r="J638" s="35"/>
      <c r="K638" s="36" t="str">
        <f aca="false">IF(I638="","",I638+J638)</f>
        <v/>
      </c>
      <c r="L638" s="37" t="str">
        <f aca="false">IF(OR(I638="",I638=0,J638=""),"",J638/I638)</f>
        <v/>
      </c>
      <c r="M638" s="25" t="str">
        <f aca="false">IF(L638="","",IF(L638&gt;0.25,"ACRÉSCIMO ACIMA DE 25% — conferir",""))</f>
        <v/>
      </c>
      <c r="N638" s="29" t="str">
        <f aca="false">IF(D638="","",IF(COUNTIFS(Empresas!$B:$B,D638,Empresas!$E:$E,"&lt;&gt;")=0,"",INDEX(Empresas!$E:$E,MATCH(D638,Empresas!$B:$B,0))))</f>
        <v/>
      </c>
      <c r="O638" s="27" t="str">
        <f aca="false">IF(OR(N638="",H638=""),"",H638-N638)</f>
        <v/>
      </c>
      <c r="P638" s="25" t="str">
        <f aca="false">IF(O638="","",IF(O638&lt;0,"CONTRATO ANTERIOR À ABERTURA — conferir datas",IF(O638&lt;180,"EMPRESA ABERTA MENOS DE 6 MESES ANTES","")))</f>
        <v/>
      </c>
      <c r="Q638" s="31" t="str">
        <f aca="false">IF(D638="","",IFERROR(INDEX(Sancoes!$D:$D,MATCH(D638,Sancoes!$C:$C,0)),"não consta"))</f>
        <v/>
      </c>
      <c r="R638" s="25" t="str">
        <f aca="false">IF(OR(D638="",H638=""),"",IF(SUMPRODUCT((Sancoes!$C$5:$C$304=D638)*(Sancoes!$G$5:$G$304&lt;=H638)*(((Sancoes!$H$5:$H$304="")+(Sancoes!$H$5:$H$304&gt;=H638))&gt;0))&gt;0,"SANÇÃO VIGENTE NA DATA — ler tipo e abrangência",""))</f>
        <v/>
      </c>
      <c r="S638" s="24"/>
      <c r="T638" s="11"/>
    </row>
    <row r="639" customFormat="false" ht="15" hidden="false" customHeight="false" outlineLevel="0" collapsed="false">
      <c r="A639" s="11"/>
      <c r="B639" s="24"/>
      <c r="C639" s="24"/>
      <c r="D639" s="31" t="str">
        <f aca="false">IF(C639="","",IF(LEN(UPPER(SUBSTITUTE(SUBSTITUTE(SUBSTITUTE(SUBSTITUTE(TRIM(C639),".",""),"/",""),"-","")," ","")))&lt;14,RIGHT(REPT("0",14)&amp;UPPER(SUBSTITUTE(SUBSTITUTE(SUBSTITUTE(SUBSTITUTE(TRIM(C639),".",""),"/",""),"-","")," ","")),14),UPPER(SUBSTITUTE(SUBSTITUTE(SUBSTITUTE(SUBSTITUTE(TRIM(C639),".",""),"/",""),"-","")," ",""))))</f>
        <v/>
      </c>
      <c r="E639" s="25" t="str">
        <f aca="false">IF(D639="","",IFERROR(INDEX(Empresas!$C:$C,MATCH(D639,Empresas!$B:$B,0)),"cadastre o CNPJ em Empresas"))</f>
        <v/>
      </c>
      <c r="F639" s="11"/>
      <c r="G639" s="23"/>
      <c r="H639" s="22"/>
      <c r="I639" s="35"/>
      <c r="J639" s="35"/>
      <c r="K639" s="36" t="str">
        <f aca="false">IF(I639="","",I639+J639)</f>
        <v/>
      </c>
      <c r="L639" s="37" t="str">
        <f aca="false">IF(OR(I639="",I639=0,J639=""),"",J639/I639)</f>
        <v/>
      </c>
      <c r="M639" s="25" t="str">
        <f aca="false">IF(L639="","",IF(L639&gt;0.25,"ACRÉSCIMO ACIMA DE 25% — conferir",""))</f>
        <v/>
      </c>
      <c r="N639" s="29" t="str">
        <f aca="false">IF(D639="","",IF(COUNTIFS(Empresas!$B:$B,D639,Empresas!$E:$E,"&lt;&gt;")=0,"",INDEX(Empresas!$E:$E,MATCH(D639,Empresas!$B:$B,0))))</f>
        <v/>
      </c>
      <c r="O639" s="27" t="str">
        <f aca="false">IF(OR(N639="",H639=""),"",H639-N639)</f>
        <v/>
      </c>
      <c r="P639" s="25" t="str">
        <f aca="false">IF(O639="","",IF(O639&lt;0,"CONTRATO ANTERIOR À ABERTURA — conferir datas",IF(O639&lt;180,"EMPRESA ABERTA MENOS DE 6 MESES ANTES","")))</f>
        <v/>
      </c>
      <c r="Q639" s="31" t="str">
        <f aca="false">IF(D639="","",IFERROR(INDEX(Sancoes!$D:$D,MATCH(D639,Sancoes!$C:$C,0)),"não consta"))</f>
        <v/>
      </c>
      <c r="R639" s="25" t="str">
        <f aca="false">IF(OR(D639="",H639=""),"",IF(SUMPRODUCT((Sancoes!$C$5:$C$304=D639)*(Sancoes!$G$5:$G$304&lt;=H639)*(((Sancoes!$H$5:$H$304="")+(Sancoes!$H$5:$H$304&gt;=H639))&gt;0))&gt;0,"SANÇÃO VIGENTE NA DATA — ler tipo e abrangência",""))</f>
        <v/>
      </c>
      <c r="S639" s="24"/>
      <c r="T639" s="11"/>
    </row>
    <row r="640" customFormat="false" ht="15" hidden="false" customHeight="false" outlineLevel="0" collapsed="false">
      <c r="A640" s="11"/>
      <c r="B640" s="24"/>
      <c r="C640" s="24"/>
      <c r="D640" s="31" t="str">
        <f aca="false">IF(C640="","",IF(LEN(UPPER(SUBSTITUTE(SUBSTITUTE(SUBSTITUTE(SUBSTITUTE(TRIM(C640),".",""),"/",""),"-","")," ","")))&lt;14,RIGHT(REPT("0",14)&amp;UPPER(SUBSTITUTE(SUBSTITUTE(SUBSTITUTE(SUBSTITUTE(TRIM(C640),".",""),"/",""),"-","")," ","")),14),UPPER(SUBSTITUTE(SUBSTITUTE(SUBSTITUTE(SUBSTITUTE(TRIM(C640),".",""),"/",""),"-","")," ",""))))</f>
        <v/>
      </c>
      <c r="E640" s="25" t="str">
        <f aca="false">IF(D640="","",IFERROR(INDEX(Empresas!$C:$C,MATCH(D640,Empresas!$B:$B,0)),"cadastre o CNPJ em Empresas"))</f>
        <v/>
      </c>
      <c r="F640" s="11"/>
      <c r="G640" s="23"/>
      <c r="H640" s="22"/>
      <c r="I640" s="35"/>
      <c r="J640" s="35"/>
      <c r="K640" s="36" t="str">
        <f aca="false">IF(I640="","",I640+J640)</f>
        <v/>
      </c>
      <c r="L640" s="37" t="str">
        <f aca="false">IF(OR(I640="",I640=0,J640=""),"",J640/I640)</f>
        <v/>
      </c>
      <c r="M640" s="25" t="str">
        <f aca="false">IF(L640="","",IF(L640&gt;0.25,"ACRÉSCIMO ACIMA DE 25% — conferir",""))</f>
        <v/>
      </c>
      <c r="N640" s="29" t="str">
        <f aca="false">IF(D640="","",IF(COUNTIFS(Empresas!$B:$B,D640,Empresas!$E:$E,"&lt;&gt;")=0,"",INDEX(Empresas!$E:$E,MATCH(D640,Empresas!$B:$B,0))))</f>
        <v/>
      </c>
      <c r="O640" s="27" t="str">
        <f aca="false">IF(OR(N640="",H640=""),"",H640-N640)</f>
        <v/>
      </c>
      <c r="P640" s="25" t="str">
        <f aca="false">IF(O640="","",IF(O640&lt;0,"CONTRATO ANTERIOR À ABERTURA — conferir datas",IF(O640&lt;180,"EMPRESA ABERTA MENOS DE 6 MESES ANTES","")))</f>
        <v/>
      </c>
      <c r="Q640" s="31" t="str">
        <f aca="false">IF(D640="","",IFERROR(INDEX(Sancoes!$D:$D,MATCH(D640,Sancoes!$C:$C,0)),"não consta"))</f>
        <v/>
      </c>
      <c r="R640" s="25" t="str">
        <f aca="false">IF(OR(D640="",H640=""),"",IF(SUMPRODUCT((Sancoes!$C$5:$C$304=D640)*(Sancoes!$G$5:$G$304&lt;=H640)*(((Sancoes!$H$5:$H$304="")+(Sancoes!$H$5:$H$304&gt;=H640))&gt;0))&gt;0,"SANÇÃO VIGENTE NA DATA — ler tipo e abrangência",""))</f>
        <v/>
      </c>
      <c r="S640" s="24"/>
      <c r="T640" s="11"/>
    </row>
    <row r="641" customFormat="false" ht="15" hidden="false" customHeight="false" outlineLevel="0" collapsed="false">
      <c r="A641" s="11"/>
      <c r="B641" s="24"/>
      <c r="C641" s="24"/>
      <c r="D641" s="31" t="str">
        <f aca="false">IF(C641="","",IF(LEN(UPPER(SUBSTITUTE(SUBSTITUTE(SUBSTITUTE(SUBSTITUTE(TRIM(C641),".",""),"/",""),"-","")," ","")))&lt;14,RIGHT(REPT("0",14)&amp;UPPER(SUBSTITUTE(SUBSTITUTE(SUBSTITUTE(SUBSTITUTE(TRIM(C641),".",""),"/",""),"-","")," ","")),14),UPPER(SUBSTITUTE(SUBSTITUTE(SUBSTITUTE(SUBSTITUTE(TRIM(C641),".",""),"/",""),"-","")," ",""))))</f>
        <v/>
      </c>
      <c r="E641" s="25" t="str">
        <f aca="false">IF(D641="","",IFERROR(INDEX(Empresas!$C:$C,MATCH(D641,Empresas!$B:$B,0)),"cadastre o CNPJ em Empresas"))</f>
        <v/>
      </c>
      <c r="F641" s="11"/>
      <c r="G641" s="23"/>
      <c r="H641" s="22"/>
      <c r="I641" s="35"/>
      <c r="J641" s="35"/>
      <c r="K641" s="36" t="str">
        <f aca="false">IF(I641="","",I641+J641)</f>
        <v/>
      </c>
      <c r="L641" s="37" t="str">
        <f aca="false">IF(OR(I641="",I641=0,J641=""),"",J641/I641)</f>
        <v/>
      </c>
      <c r="M641" s="25" t="str">
        <f aca="false">IF(L641="","",IF(L641&gt;0.25,"ACRÉSCIMO ACIMA DE 25% — conferir",""))</f>
        <v/>
      </c>
      <c r="N641" s="29" t="str">
        <f aca="false">IF(D641="","",IF(COUNTIFS(Empresas!$B:$B,D641,Empresas!$E:$E,"&lt;&gt;")=0,"",INDEX(Empresas!$E:$E,MATCH(D641,Empresas!$B:$B,0))))</f>
        <v/>
      </c>
      <c r="O641" s="27" t="str">
        <f aca="false">IF(OR(N641="",H641=""),"",H641-N641)</f>
        <v/>
      </c>
      <c r="P641" s="25" t="str">
        <f aca="false">IF(O641="","",IF(O641&lt;0,"CONTRATO ANTERIOR À ABERTURA — conferir datas",IF(O641&lt;180,"EMPRESA ABERTA MENOS DE 6 MESES ANTES","")))</f>
        <v/>
      </c>
      <c r="Q641" s="31" t="str">
        <f aca="false">IF(D641="","",IFERROR(INDEX(Sancoes!$D:$D,MATCH(D641,Sancoes!$C:$C,0)),"não consta"))</f>
        <v/>
      </c>
      <c r="R641" s="25" t="str">
        <f aca="false">IF(OR(D641="",H641=""),"",IF(SUMPRODUCT((Sancoes!$C$5:$C$304=D641)*(Sancoes!$G$5:$G$304&lt;=H641)*(((Sancoes!$H$5:$H$304="")+(Sancoes!$H$5:$H$304&gt;=H641))&gt;0))&gt;0,"SANÇÃO VIGENTE NA DATA — ler tipo e abrangência",""))</f>
        <v/>
      </c>
      <c r="S641" s="24"/>
      <c r="T641" s="11"/>
    </row>
    <row r="642" customFormat="false" ht="15" hidden="false" customHeight="false" outlineLevel="0" collapsed="false">
      <c r="A642" s="11"/>
      <c r="B642" s="24"/>
      <c r="C642" s="24"/>
      <c r="D642" s="31" t="str">
        <f aca="false">IF(C642="","",IF(LEN(UPPER(SUBSTITUTE(SUBSTITUTE(SUBSTITUTE(SUBSTITUTE(TRIM(C642),".",""),"/",""),"-","")," ","")))&lt;14,RIGHT(REPT("0",14)&amp;UPPER(SUBSTITUTE(SUBSTITUTE(SUBSTITUTE(SUBSTITUTE(TRIM(C642),".",""),"/",""),"-","")," ","")),14),UPPER(SUBSTITUTE(SUBSTITUTE(SUBSTITUTE(SUBSTITUTE(TRIM(C642),".",""),"/",""),"-","")," ",""))))</f>
        <v/>
      </c>
      <c r="E642" s="25" t="str">
        <f aca="false">IF(D642="","",IFERROR(INDEX(Empresas!$C:$C,MATCH(D642,Empresas!$B:$B,0)),"cadastre o CNPJ em Empresas"))</f>
        <v/>
      </c>
      <c r="F642" s="11"/>
      <c r="G642" s="23"/>
      <c r="H642" s="22"/>
      <c r="I642" s="35"/>
      <c r="J642" s="35"/>
      <c r="K642" s="36" t="str">
        <f aca="false">IF(I642="","",I642+J642)</f>
        <v/>
      </c>
      <c r="L642" s="37" t="str">
        <f aca="false">IF(OR(I642="",I642=0,J642=""),"",J642/I642)</f>
        <v/>
      </c>
      <c r="M642" s="25" t="str">
        <f aca="false">IF(L642="","",IF(L642&gt;0.25,"ACRÉSCIMO ACIMA DE 25% — conferir",""))</f>
        <v/>
      </c>
      <c r="N642" s="29" t="str">
        <f aca="false">IF(D642="","",IF(COUNTIFS(Empresas!$B:$B,D642,Empresas!$E:$E,"&lt;&gt;")=0,"",INDEX(Empresas!$E:$E,MATCH(D642,Empresas!$B:$B,0))))</f>
        <v/>
      </c>
      <c r="O642" s="27" t="str">
        <f aca="false">IF(OR(N642="",H642=""),"",H642-N642)</f>
        <v/>
      </c>
      <c r="P642" s="25" t="str">
        <f aca="false">IF(O642="","",IF(O642&lt;0,"CONTRATO ANTERIOR À ABERTURA — conferir datas",IF(O642&lt;180,"EMPRESA ABERTA MENOS DE 6 MESES ANTES","")))</f>
        <v/>
      </c>
      <c r="Q642" s="31" t="str">
        <f aca="false">IF(D642="","",IFERROR(INDEX(Sancoes!$D:$D,MATCH(D642,Sancoes!$C:$C,0)),"não consta"))</f>
        <v/>
      </c>
      <c r="R642" s="25" t="str">
        <f aca="false">IF(OR(D642="",H642=""),"",IF(SUMPRODUCT((Sancoes!$C$5:$C$304=D642)*(Sancoes!$G$5:$G$304&lt;=H642)*(((Sancoes!$H$5:$H$304="")+(Sancoes!$H$5:$H$304&gt;=H642))&gt;0))&gt;0,"SANÇÃO VIGENTE NA DATA — ler tipo e abrangência",""))</f>
        <v/>
      </c>
      <c r="S642" s="24"/>
      <c r="T642" s="11"/>
    </row>
    <row r="643" customFormat="false" ht="15" hidden="false" customHeight="false" outlineLevel="0" collapsed="false">
      <c r="A643" s="11"/>
      <c r="B643" s="24"/>
      <c r="C643" s="24"/>
      <c r="D643" s="31" t="str">
        <f aca="false">IF(C643="","",IF(LEN(UPPER(SUBSTITUTE(SUBSTITUTE(SUBSTITUTE(SUBSTITUTE(TRIM(C643),".",""),"/",""),"-","")," ","")))&lt;14,RIGHT(REPT("0",14)&amp;UPPER(SUBSTITUTE(SUBSTITUTE(SUBSTITUTE(SUBSTITUTE(TRIM(C643),".",""),"/",""),"-","")," ","")),14),UPPER(SUBSTITUTE(SUBSTITUTE(SUBSTITUTE(SUBSTITUTE(TRIM(C643),".",""),"/",""),"-","")," ",""))))</f>
        <v/>
      </c>
      <c r="E643" s="25" t="str">
        <f aca="false">IF(D643="","",IFERROR(INDEX(Empresas!$C:$C,MATCH(D643,Empresas!$B:$B,0)),"cadastre o CNPJ em Empresas"))</f>
        <v/>
      </c>
      <c r="F643" s="11"/>
      <c r="G643" s="23"/>
      <c r="H643" s="22"/>
      <c r="I643" s="35"/>
      <c r="J643" s="35"/>
      <c r="K643" s="36" t="str">
        <f aca="false">IF(I643="","",I643+J643)</f>
        <v/>
      </c>
      <c r="L643" s="37" t="str">
        <f aca="false">IF(OR(I643="",I643=0,J643=""),"",J643/I643)</f>
        <v/>
      </c>
      <c r="M643" s="25" t="str">
        <f aca="false">IF(L643="","",IF(L643&gt;0.25,"ACRÉSCIMO ACIMA DE 25% — conferir",""))</f>
        <v/>
      </c>
      <c r="N643" s="29" t="str">
        <f aca="false">IF(D643="","",IF(COUNTIFS(Empresas!$B:$B,D643,Empresas!$E:$E,"&lt;&gt;")=0,"",INDEX(Empresas!$E:$E,MATCH(D643,Empresas!$B:$B,0))))</f>
        <v/>
      </c>
      <c r="O643" s="27" t="str">
        <f aca="false">IF(OR(N643="",H643=""),"",H643-N643)</f>
        <v/>
      </c>
      <c r="P643" s="25" t="str">
        <f aca="false">IF(O643="","",IF(O643&lt;0,"CONTRATO ANTERIOR À ABERTURA — conferir datas",IF(O643&lt;180,"EMPRESA ABERTA MENOS DE 6 MESES ANTES","")))</f>
        <v/>
      </c>
      <c r="Q643" s="31" t="str">
        <f aca="false">IF(D643="","",IFERROR(INDEX(Sancoes!$D:$D,MATCH(D643,Sancoes!$C:$C,0)),"não consta"))</f>
        <v/>
      </c>
      <c r="R643" s="25" t="str">
        <f aca="false">IF(OR(D643="",H643=""),"",IF(SUMPRODUCT((Sancoes!$C$5:$C$304=D643)*(Sancoes!$G$5:$G$304&lt;=H643)*(((Sancoes!$H$5:$H$304="")+(Sancoes!$H$5:$H$304&gt;=H643))&gt;0))&gt;0,"SANÇÃO VIGENTE NA DATA — ler tipo e abrangência",""))</f>
        <v/>
      </c>
      <c r="S643" s="24"/>
      <c r="T643" s="11"/>
    </row>
    <row r="644" customFormat="false" ht="15" hidden="false" customHeight="false" outlineLevel="0" collapsed="false">
      <c r="A644" s="11"/>
      <c r="B644" s="24"/>
      <c r="C644" s="24"/>
      <c r="D644" s="31" t="str">
        <f aca="false">IF(C644="","",IF(LEN(UPPER(SUBSTITUTE(SUBSTITUTE(SUBSTITUTE(SUBSTITUTE(TRIM(C644),".",""),"/",""),"-","")," ","")))&lt;14,RIGHT(REPT("0",14)&amp;UPPER(SUBSTITUTE(SUBSTITUTE(SUBSTITUTE(SUBSTITUTE(TRIM(C644),".",""),"/",""),"-","")," ","")),14),UPPER(SUBSTITUTE(SUBSTITUTE(SUBSTITUTE(SUBSTITUTE(TRIM(C644),".",""),"/",""),"-","")," ",""))))</f>
        <v/>
      </c>
      <c r="E644" s="25" t="str">
        <f aca="false">IF(D644="","",IFERROR(INDEX(Empresas!$C:$C,MATCH(D644,Empresas!$B:$B,0)),"cadastre o CNPJ em Empresas"))</f>
        <v/>
      </c>
      <c r="F644" s="11"/>
      <c r="G644" s="23"/>
      <c r="H644" s="22"/>
      <c r="I644" s="35"/>
      <c r="J644" s="35"/>
      <c r="K644" s="36" t="str">
        <f aca="false">IF(I644="","",I644+J644)</f>
        <v/>
      </c>
      <c r="L644" s="37" t="str">
        <f aca="false">IF(OR(I644="",I644=0,J644=""),"",J644/I644)</f>
        <v/>
      </c>
      <c r="M644" s="25" t="str">
        <f aca="false">IF(L644="","",IF(L644&gt;0.25,"ACRÉSCIMO ACIMA DE 25% — conferir",""))</f>
        <v/>
      </c>
      <c r="N644" s="29" t="str">
        <f aca="false">IF(D644="","",IF(COUNTIFS(Empresas!$B:$B,D644,Empresas!$E:$E,"&lt;&gt;")=0,"",INDEX(Empresas!$E:$E,MATCH(D644,Empresas!$B:$B,0))))</f>
        <v/>
      </c>
      <c r="O644" s="27" t="str">
        <f aca="false">IF(OR(N644="",H644=""),"",H644-N644)</f>
        <v/>
      </c>
      <c r="P644" s="25" t="str">
        <f aca="false">IF(O644="","",IF(O644&lt;0,"CONTRATO ANTERIOR À ABERTURA — conferir datas",IF(O644&lt;180,"EMPRESA ABERTA MENOS DE 6 MESES ANTES","")))</f>
        <v/>
      </c>
      <c r="Q644" s="31" t="str">
        <f aca="false">IF(D644="","",IFERROR(INDEX(Sancoes!$D:$D,MATCH(D644,Sancoes!$C:$C,0)),"não consta"))</f>
        <v/>
      </c>
      <c r="R644" s="25" t="str">
        <f aca="false">IF(OR(D644="",H644=""),"",IF(SUMPRODUCT((Sancoes!$C$5:$C$304=D644)*(Sancoes!$G$5:$G$304&lt;=H644)*(((Sancoes!$H$5:$H$304="")+(Sancoes!$H$5:$H$304&gt;=H644))&gt;0))&gt;0,"SANÇÃO VIGENTE NA DATA — ler tipo e abrangência",""))</f>
        <v/>
      </c>
      <c r="S644" s="24"/>
      <c r="T644" s="11"/>
    </row>
    <row r="645" customFormat="false" ht="15" hidden="false" customHeight="false" outlineLevel="0" collapsed="false">
      <c r="A645" s="11"/>
      <c r="B645" s="24"/>
      <c r="C645" s="24"/>
      <c r="D645" s="31" t="str">
        <f aca="false">IF(C645="","",IF(LEN(UPPER(SUBSTITUTE(SUBSTITUTE(SUBSTITUTE(SUBSTITUTE(TRIM(C645),".",""),"/",""),"-","")," ","")))&lt;14,RIGHT(REPT("0",14)&amp;UPPER(SUBSTITUTE(SUBSTITUTE(SUBSTITUTE(SUBSTITUTE(TRIM(C645),".",""),"/",""),"-","")," ","")),14),UPPER(SUBSTITUTE(SUBSTITUTE(SUBSTITUTE(SUBSTITUTE(TRIM(C645),".",""),"/",""),"-","")," ",""))))</f>
        <v/>
      </c>
      <c r="E645" s="25" t="str">
        <f aca="false">IF(D645="","",IFERROR(INDEX(Empresas!$C:$C,MATCH(D645,Empresas!$B:$B,0)),"cadastre o CNPJ em Empresas"))</f>
        <v/>
      </c>
      <c r="F645" s="11"/>
      <c r="G645" s="23"/>
      <c r="H645" s="22"/>
      <c r="I645" s="35"/>
      <c r="J645" s="35"/>
      <c r="K645" s="36" t="str">
        <f aca="false">IF(I645="","",I645+J645)</f>
        <v/>
      </c>
      <c r="L645" s="37" t="str">
        <f aca="false">IF(OR(I645="",I645=0,J645=""),"",J645/I645)</f>
        <v/>
      </c>
      <c r="M645" s="25" t="str">
        <f aca="false">IF(L645="","",IF(L645&gt;0.25,"ACRÉSCIMO ACIMA DE 25% — conferir",""))</f>
        <v/>
      </c>
      <c r="N645" s="29" t="str">
        <f aca="false">IF(D645="","",IF(COUNTIFS(Empresas!$B:$B,D645,Empresas!$E:$E,"&lt;&gt;")=0,"",INDEX(Empresas!$E:$E,MATCH(D645,Empresas!$B:$B,0))))</f>
        <v/>
      </c>
      <c r="O645" s="27" t="str">
        <f aca="false">IF(OR(N645="",H645=""),"",H645-N645)</f>
        <v/>
      </c>
      <c r="P645" s="25" t="str">
        <f aca="false">IF(O645="","",IF(O645&lt;0,"CONTRATO ANTERIOR À ABERTURA — conferir datas",IF(O645&lt;180,"EMPRESA ABERTA MENOS DE 6 MESES ANTES","")))</f>
        <v/>
      </c>
      <c r="Q645" s="31" t="str">
        <f aca="false">IF(D645="","",IFERROR(INDEX(Sancoes!$D:$D,MATCH(D645,Sancoes!$C:$C,0)),"não consta"))</f>
        <v/>
      </c>
      <c r="R645" s="25" t="str">
        <f aca="false">IF(OR(D645="",H645=""),"",IF(SUMPRODUCT((Sancoes!$C$5:$C$304=D645)*(Sancoes!$G$5:$G$304&lt;=H645)*(((Sancoes!$H$5:$H$304="")+(Sancoes!$H$5:$H$304&gt;=H645))&gt;0))&gt;0,"SANÇÃO VIGENTE NA DATA — ler tipo e abrangência",""))</f>
        <v/>
      </c>
      <c r="S645" s="24"/>
      <c r="T645" s="11"/>
    </row>
    <row r="646" customFormat="false" ht="15" hidden="false" customHeight="false" outlineLevel="0" collapsed="false">
      <c r="A646" s="11"/>
      <c r="B646" s="24"/>
      <c r="C646" s="24"/>
      <c r="D646" s="31" t="str">
        <f aca="false">IF(C646="","",IF(LEN(UPPER(SUBSTITUTE(SUBSTITUTE(SUBSTITUTE(SUBSTITUTE(TRIM(C646),".",""),"/",""),"-","")," ","")))&lt;14,RIGHT(REPT("0",14)&amp;UPPER(SUBSTITUTE(SUBSTITUTE(SUBSTITUTE(SUBSTITUTE(TRIM(C646),".",""),"/",""),"-","")," ","")),14),UPPER(SUBSTITUTE(SUBSTITUTE(SUBSTITUTE(SUBSTITUTE(TRIM(C646),".",""),"/",""),"-","")," ",""))))</f>
        <v/>
      </c>
      <c r="E646" s="25" t="str">
        <f aca="false">IF(D646="","",IFERROR(INDEX(Empresas!$C:$C,MATCH(D646,Empresas!$B:$B,0)),"cadastre o CNPJ em Empresas"))</f>
        <v/>
      </c>
      <c r="F646" s="11"/>
      <c r="G646" s="23"/>
      <c r="H646" s="22"/>
      <c r="I646" s="35"/>
      <c r="J646" s="35"/>
      <c r="K646" s="36" t="str">
        <f aca="false">IF(I646="","",I646+J646)</f>
        <v/>
      </c>
      <c r="L646" s="37" t="str">
        <f aca="false">IF(OR(I646="",I646=0,J646=""),"",J646/I646)</f>
        <v/>
      </c>
      <c r="M646" s="25" t="str">
        <f aca="false">IF(L646="","",IF(L646&gt;0.25,"ACRÉSCIMO ACIMA DE 25% — conferir",""))</f>
        <v/>
      </c>
      <c r="N646" s="29" t="str">
        <f aca="false">IF(D646="","",IF(COUNTIFS(Empresas!$B:$B,D646,Empresas!$E:$E,"&lt;&gt;")=0,"",INDEX(Empresas!$E:$E,MATCH(D646,Empresas!$B:$B,0))))</f>
        <v/>
      </c>
      <c r="O646" s="27" t="str">
        <f aca="false">IF(OR(N646="",H646=""),"",H646-N646)</f>
        <v/>
      </c>
      <c r="P646" s="25" t="str">
        <f aca="false">IF(O646="","",IF(O646&lt;0,"CONTRATO ANTERIOR À ABERTURA — conferir datas",IF(O646&lt;180,"EMPRESA ABERTA MENOS DE 6 MESES ANTES","")))</f>
        <v/>
      </c>
      <c r="Q646" s="31" t="str">
        <f aca="false">IF(D646="","",IFERROR(INDEX(Sancoes!$D:$D,MATCH(D646,Sancoes!$C:$C,0)),"não consta"))</f>
        <v/>
      </c>
      <c r="R646" s="25" t="str">
        <f aca="false">IF(OR(D646="",H646=""),"",IF(SUMPRODUCT((Sancoes!$C$5:$C$304=D646)*(Sancoes!$G$5:$G$304&lt;=H646)*(((Sancoes!$H$5:$H$304="")+(Sancoes!$H$5:$H$304&gt;=H646))&gt;0))&gt;0,"SANÇÃO VIGENTE NA DATA — ler tipo e abrangência",""))</f>
        <v/>
      </c>
      <c r="S646" s="24"/>
      <c r="T646" s="11"/>
    </row>
    <row r="647" customFormat="false" ht="15" hidden="false" customHeight="false" outlineLevel="0" collapsed="false">
      <c r="A647" s="11"/>
      <c r="B647" s="24"/>
      <c r="C647" s="24"/>
      <c r="D647" s="31" t="str">
        <f aca="false">IF(C647="","",IF(LEN(UPPER(SUBSTITUTE(SUBSTITUTE(SUBSTITUTE(SUBSTITUTE(TRIM(C647),".",""),"/",""),"-","")," ","")))&lt;14,RIGHT(REPT("0",14)&amp;UPPER(SUBSTITUTE(SUBSTITUTE(SUBSTITUTE(SUBSTITUTE(TRIM(C647),".",""),"/",""),"-","")," ","")),14),UPPER(SUBSTITUTE(SUBSTITUTE(SUBSTITUTE(SUBSTITUTE(TRIM(C647),".",""),"/",""),"-","")," ",""))))</f>
        <v/>
      </c>
      <c r="E647" s="25" t="str">
        <f aca="false">IF(D647="","",IFERROR(INDEX(Empresas!$C:$C,MATCH(D647,Empresas!$B:$B,0)),"cadastre o CNPJ em Empresas"))</f>
        <v/>
      </c>
      <c r="F647" s="11"/>
      <c r="G647" s="23"/>
      <c r="H647" s="22"/>
      <c r="I647" s="35"/>
      <c r="J647" s="35"/>
      <c r="K647" s="36" t="str">
        <f aca="false">IF(I647="","",I647+J647)</f>
        <v/>
      </c>
      <c r="L647" s="37" t="str">
        <f aca="false">IF(OR(I647="",I647=0,J647=""),"",J647/I647)</f>
        <v/>
      </c>
      <c r="M647" s="25" t="str">
        <f aca="false">IF(L647="","",IF(L647&gt;0.25,"ACRÉSCIMO ACIMA DE 25% — conferir",""))</f>
        <v/>
      </c>
      <c r="N647" s="29" t="str">
        <f aca="false">IF(D647="","",IF(COUNTIFS(Empresas!$B:$B,D647,Empresas!$E:$E,"&lt;&gt;")=0,"",INDEX(Empresas!$E:$E,MATCH(D647,Empresas!$B:$B,0))))</f>
        <v/>
      </c>
      <c r="O647" s="27" t="str">
        <f aca="false">IF(OR(N647="",H647=""),"",H647-N647)</f>
        <v/>
      </c>
      <c r="P647" s="25" t="str">
        <f aca="false">IF(O647="","",IF(O647&lt;0,"CONTRATO ANTERIOR À ABERTURA — conferir datas",IF(O647&lt;180,"EMPRESA ABERTA MENOS DE 6 MESES ANTES","")))</f>
        <v/>
      </c>
      <c r="Q647" s="31" t="str">
        <f aca="false">IF(D647="","",IFERROR(INDEX(Sancoes!$D:$D,MATCH(D647,Sancoes!$C:$C,0)),"não consta"))</f>
        <v/>
      </c>
      <c r="R647" s="25" t="str">
        <f aca="false">IF(OR(D647="",H647=""),"",IF(SUMPRODUCT((Sancoes!$C$5:$C$304=D647)*(Sancoes!$G$5:$G$304&lt;=H647)*(((Sancoes!$H$5:$H$304="")+(Sancoes!$H$5:$H$304&gt;=H647))&gt;0))&gt;0,"SANÇÃO VIGENTE NA DATA — ler tipo e abrangência",""))</f>
        <v/>
      </c>
      <c r="S647" s="24"/>
      <c r="T647" s="11"/>
    </row>
    <row r="648" customFormat="false" ht="15" hidden="false" customHeight="false" outlineLevel="0" collapsed="false">
      <c r="A648" s="11"/>
      <c r="B648" s="24"/>
      <c r="C648" s="24"/>
      <c r="D648" s="31" t="str">
        <f aca="false">IF(C648="","",IF(LEN(UPPER(SUBSTITUTE(SUBSTITUTE(SUBSTITUTE(SUBSTITUTE(TRIM(C648),".",""),"/",""),"-","")," ","")))&lt;14,RIGHT(REPT("0",14)&amp;UPPER(SUBSTITUTE(SUBSTITUTE(SUBSTITUTE(SUBSTITUTE(TRIM(C648),".",""),"/",""),"-","")," ","")),14),UPPER(SUBSTITUTE(SUBSTITUTE(SUBSTITUTE(SUBSTITUTE(TRIM(C648),".",""),"/",""),"-","")," ",""))))</f>
        <v/>
      </c>
      <c r="E648" s="25" t="str">
        <f aca="false">IF(D648="","",IFERROR(INDEX(Empresas!$C:$C,MATCH(D648,Empresas!$B:$B,0)),"cadastre o CNPJ em Empresas"))</f>
        <v/>
      </c>
      <c r="F648" s="11"/>
      <c r="G648" s="23"/>
      <c r="H648" s="22"/>
      <c r="I648" s="35"/>
      <c r="J648" s="35"/>
      <c r="K648" s="36" t="str">
        <f aca="false">IF(I648="","",I648+J648)</f>
        <v/>
      </c>
      <c r="L648" s="37" t="str">
        <f aca="false">IF(OR(I648="",I648=0,J648=""),"",J648/I648)</f>
        <v/>
      </c>
      <c r="M648" s="25" t="str">
        <f aca="false">IF(L648="","",IF(L648&gt;0.25,"ACRÉSCIMO ACIMA DE 25% — conferir",""))</f>
        <v/>
      </c>
      <c r="N648" s="29" t="str">
        <f aca="false">IF(D648="","",IF(COUNTIFS(Empresas!$B:$B,D648,Empresas!$E:$E,"&lt;&gt;")=0,"",INDEX(Empresas!$E:$E,MATCH(D648,Empresas!$B:$B,0))))</f>
        <v/>
      </c>
      <c r="O648" s="27" t="str">
        <f aca="false">IF(OR(N648="",H648=""),"",H648-N648)</f>
        <v/>
      </c>
      <c r="P648" s="25" t="str">
        <f aca="false">IF(O648="","",IF(O648&lt;0,"CONTRATO ANTERIOR À ABERTURA — conferir datas",IF(O648&lt;180,"EMPRESA ABERTA MENOS DE 6 MESES ANTES","")))</f>
        <v/>
      </c>
      <c r="Q648" s="31" t="str">
        <f aca="false">IF(D648="","",IFERROR(INDEX(Sancoes!$D:$D,MATCH(D648,Sancoes!$C:$C,0)),"não consta"))</f>
        <v/>
      </c>
      <c r="R648" s="25" t="str">
        <f aca="false">IF(OR(D648="",H648=""),"",IF(SUMPRODUCT((Sancoes!$C$5:$C$304=D648)*(Sancoes!$G$5:$G$304&lt;=H648)*(((Sancoes!$H$5:$H$304="")+(Sancoes!$H$5:$H$304&gt;=H648))&gt;0))&gt;0,"SANÇÃO VIGENTE NA DATA — ler tipo e abrangência",""))</f>
        <v/>
      </c>
      <c r="S648" s="24"/>
      <c r="T648" s="11"/>
    </row>
    <row r="649" customFormat="false" ht="15" hidden="false" customHeight="false" outlineLevel="0" collapsed="false">
      <c r="A649" s="11"/>
      <c r="B649" s="24"/>
      <c r="C649" s="24"/>
      <c r="D649" s="31" t="str">
        <f aca="false">IF(C649="","",IF(LEN(UPPER(SUBSTITUTE(SUBSTITUTE(SUBSTITUTE(SUBSTITUTE(TRIM(C649),".",""),"/",""),"-","")," ","")))&lt;14,RIGHT(REPT("0",14)&amp;UPPER(SUBSTITUTE(SUBSTITUTE(SUBSTITUTE(SUBSTITUTE(TRIM(C649),".",""),"/",""),"-","")," ","")),14),UPPER(SUBSTITUTE(SUBSTITUTE(SUBSTITUTE(SUBSTITUTE(TRIM(C649),".",""),"/",""),"-","")," ",""))))</f>
        <v/>
      </c>
      <c r="E649" s="25" t="str">
        <f aca="false">IF(D649="","",IFERROR(INDEX(Empresas!$C:$C,MATCH(D649,Empresas!$B:$B,0)),"cadastre o CNPJ em Empresas"))</f>
        <v/>
      </c>
      <c r="F649" s="11"/>
      <c r="G649" s="23"/>
      <c r="H649" s="22"/>
      <c r="I649" s="35"/>
      <c r="J649" s="35"/>
      <c r="K649" s="36" t="str">
        <f aca="false">IF(I649="","",I649+J649)</f>
        <v/>
      </c>
      <c r="L649" s="37" t="str">
        <f aca="false">IF(OR(I649="",I649=0,J649=""),"",J649/I649)</f>
        <v/>
      </c>
      <c r="M649" s="25" t="str">
        <f aca="false">IF(L649="","",IF(L649&gt;0.25,"ACRÉSCIMO ACIMA DE 25% — conferir",""))</f>
        <v/>
      </c>
      <c r="N649" s="29" t="str">
        <f aca="false">IF(D649="","",IF(COUNTIFS(Empresas!$B:$B,D649,Empresas!$E:$E,"&lt;&gt;")=0,"",INDEX(Empresas!$E:$E,MATCH(D649,Empresas!$B:$B,0))))</f>
        <v/>
      </c>
      <c r="O649" s="27" t="str">
        <f aca="false">IF(OR(N649="",H649=""),"",H649-N649)</f>
        <v/>
      </c>
      <c r="P649" s="25" t="str">
        <f aca="false">IF(O649="","",IF(O649&lt;0,"CONTRATO ANTERIOR À ABERTURA — conferir datas",IF(O649&lt;180,"EMPRESA ABERTA MENOS DE 6 MESES ANTES","")))</f>
        <v/>
      </c>
      <c r="Q649" s="31" t="str">
        <f aca="false">IF(D649="","",IFERROR(INDEX(Sancoes!$D:$D,MATCH(D649,Sancoes!$C:$C,0)),"não consta"))</f>
        <v/>
      </c>
      <c r="R649" s="25" t="str">
        <f aca="false">IF(OR(D649="",H649=""),"",IF(SUMPRODUCT((Sancoes!$C$5:$C$304=D649)*(Sancoes!$G$5:$G$304&lt;=H649)*(((Sancoes!$H$5:$H$304="")+(Sancoes!$H$5:$H$304&gt;=H649))&gt;0))&gt;0,"SANÇÃO VIGENTE NA DATA — ler tipo e abrangência",""))</f>
        <v/>
      </c>
      <c r="S649" s="24"/>
      <c r="T649" s="11"/>
    </row>
    <row r="650" customFormat="false" ht="15" hidden="false" customHeight="false" outlineLevel="0" collapsed="false">
      <c r="A650" s="11"/>
      <c r="B650" s="24"/>
      <c r="C650" s="24"/>
      <c r="D650" s="31" t="str">
        <f aca="false">IF(C650="","",IF(LEN(UPPER(SUBSTITUTE(SUBSTITUTE(SUBSTITUTE(SUBSTITUTE(TRIM(C650),".",""),"/",""),"-","")," ","")))&lt;14,RIGHT(REPT("0",14)&amp;UPPER(SUBSTITUTE(SUBSTITUTE(SUBSTITUTE(SUBSTITUTE(TRIM(C650),".",""),"/",""),"-","")," ","")),14),UPPER(SUBSTITUTE(SUBSTITUTE(SUBSTITUTE(SUBSTITUTE(TRIM(C650),".",""),"/",""),"-","")," ",""))))</f>
        <v/>
      </c>
      <c r="E650" s="25" t="str">
        <f aca="false">IF(D650="","",IFERROR(INDEX(Empresas!$C:$C,MATCH(D650,Empresas!$B:$B,0)),"cadastre o CNPJ em Empresas"))</f>
        <v/>
      </c>
      <c r="F650" s="11"/>
      <c r="G650" s="23"/>
      <c r="H650" s="22"/>
      <c r="I650" s="35"/>
      <c r="J650" s="35"/>
      <c r="K650" s="36" t="str">
        <f aca="false">IF(I650="","",I650+J650)</f>
        <v/>
      </c>
      <c r="L650" s="37" t="str">
        <f aca="false">IF(OR(I650="",I650=0,J650=""),"",J650/I650)</f>
        <v/>
      </c>
      <c r="M650" s="25" t="str">
        <f aca="false">IF(L650="","",IF(L650&gt;0.25,"ACRÉSCIMO ACIMA DE 25% — conferir",""))</f>
        <v/>
      </c>
      <c r="N650" s="29" t="str">
        <f aca="false">IF(D650="","",IF(COUNTIFS(Empresas!$B:$B,D650,Empresas!$E:$E,"&lt;&gt;")=0,"",INDEX(Empresas!$E:$E,MATCH(D650,Empresas!$B:$B,0))))</f>
        <v/>
      </c>
      <c r="O650" s="27" t="str">
        <f aca="false">IF(OR(N650="",H650=""),"",H650-N650)</f>
        <v/>
      </c>
      <c r="P650" s="25" t="str">
        <f aca="false">IF(O650="","",IF(O650&lt;0,"CONTRATO ANTERIOR À ABERTURA — conferir datas",IF(O650&lt;180,"EMPRESA ABERTA MENOS DE 6 MESES ANTES","")))</f>
        <v/>
      </c>
      <c r="Q650" s="31" t="str">
        <f aca="false">IF(D650="","",IFERROR(INDEX(Sancoes!$D:$D,MATCH(D650,Sancoes!$C:$C,0)),"não consta"))</f>
        <v/>
      </c>
      <c r="R650" s="25" t="str">
        <f aca="false">IF(OR(D650="",H650=""),"",IF(SUMPRODUCT((Sancoes!$C$5:$C$304=D650)*(Sancoes!$G$5:$G$304&lt;=H650)*(((Sancoes!$H$5:$H$304="")+(Sancoes!$H$5:$H$304&gt;=H650))&gt;0))&gt;0,"SANÇÃO VIGENTE NA DATA — ler tipo e abrangência",""))</f>
        <v/>
      </c>
      <c r="S650" s="24"/>
      <c r="T650" s="11"/>
    </row>
    <row r="651" customFormat="false" ht="15" hidden="false" customHeight="false" outlineLevel="0" collapsed="false">
      <c r="A651" s="11"/>
      <c r="B651" s="24"/>
      <c r="C651" s="24"/>
      <c r="D651" s="31" t="str">
        <f aca="false">IF(C651="","",IF(LEN(UPPER(SUBSTITUTE(SUBSTITUTE(SUBSTITUTE(SUBSTITUTE(TRIM(C651),".",""),"/",""),"-","")," ","")))&lt;14,RIGHT(REPT("0",14)&amp;UPPER(SUBSTITUTE(SUBSTITUTE(SUBSTITUTE(SUBSTITUTE(TRIM(C651),".",""),"/",""),"-","")," ","")),14),UPPER(SUBSTITUTE(SUBSTITUTE(SUBSTITUTE(SUBSTITUTE(TRIM(C651),".",""),"/",""),"-","")," ",""))))</f>
        <v/>
      </c>
      <c r="E651" s="25" t="str">
        <f aca="false">IF(D651="","",IFERROR(INDEX(Empresas!$C:$C,MATCH(D651,Empresas!$B:$B,0)),"cadastre o CNPJ em Empresas"))</f>
        <v/>
      </c>
      <c r="F651" s="11"/>
      <c r="G651" s="23"/>
      <c r="H651" s="22"/>
      <c r="I651" s="35"/>
      <c r="J651" s="35"/>
      <c r="K651" s="36" t="str">
        <f aca="false">IF(I651="","",I651+J651)</f>
        <v/>
      </c>
      <c r="L651" s="37" t="str">
        <f aca="false">IF(OR(I651="",I651=0,J651=""),"",J651/I651)</f>
        <v/>
      </c>
      <c r="M651" s="25" t="str">
        <f aca="false">IF(L651="","",IF(L651&gt;0.25,"ACRÉSCIMO ACIMA DE 25% — conferir",""))</f>
        <v/>
      </c>
      <c r="N651" s="29" t="str">
        <f aca="false">IF(D651="","",IF(COUNTIFS(Empresas!$B:$B,D651,Empresas!$E:$E,"&lt;&gt;")=0,"",INDEX(Empresas!$E:$E,MATCH(D651,Empresas!$B:$B,0))))</f>
        <v/>
      </c>
      <c r="O651" s="27" t="str">
        <f aca="false">IF(OR(N651="",H651=""),"",H651-N651)</f>
        <v/>
      </c>
      <c r="P651" s="25" t="str">
        <f aca="false">IF(O651="","",IF(O651&lt;0,"CONTRATO ANTERIOR À ABERTURA — conferir datas",IF(O651&lt;180,"EMPRESA ABERTA MENOS DE 6 MESES ANTES","")))</f>
        <v/>
      </c>
      <c r="Q651" s="31" t="str">
        <f aca="false">IF(D651="","",IFERROR(INDEX(Sancoes!$D:$D,MATCH(D651,Sancoes!$C:$C,0)),"não consta"))</f>
        <v/>
      </c>
      <c r="R651" s="25" t="str">
        <f aca="false">IF(OR(D651="",H651=""),"",IF(SUMPRODUCT((Sancoes!$C$5:$C$304=D651)*(Sancoes!$G$5:$G$304&lt;=H651)*(((Sancoes!$H$5:$H$304="")+(Sancoes!$H$5:$H$304&gt;=H651))&gt;0))&gt;0,"SANÇÃO VIGENTE NA DATA — ler tipo e abrangência",""))</f>
        <v/>
      </c>
      <c r="S651" s="24"/>
      <c r="T651" s="11"/>
    </row>
    <row r="652" customFormat="false" ht="15" hidden="false" customHeight="false" outlineLevel="0" collapsed="false">
      <c r="A652" s="11"/>
      <c r="B652" s="24"/>
      <c r="C652" s="24"/>
      <c r="D652" s="31" t="str">
        <f aca="false">IF(C652="","",IF(LEN(UPPER(SUBSTITUTE(SUBSTITUTE(SUBSTITUTE(SUBSTITUTE(TRIM(C652),".",""),"/",""),"-","")," ","")))&lt;14,RIGHT(REPT("0",14)&amp;UPPER(SUBSTITUTE(SUBSTITUTE(SUBSTITUTE(SUBSTITUTE(TRIM(C652),".",""),"/",""),"-","")," ","")),14),UPPER(SUBSTITUTE(SUBSTITUTE(SUBSTITUTE(SUBSTITUTE(TRIM(C652),".",""),"/",""),"-","")," ",""))))</f>
        <v/>
      </c>
      <c r="E652" s="25" t="str">
        <f aca="false">IF(D652="","",IFERROR(INDEX(Empresas!$C:$C,MATCH(D652,Empresas!$B:$B,0)),"cadastre o CNPJ em Empresas"))</f>
        <v/>
      </c>
      <c r="F652" s="11"/>
      <c r="G652" s="23"/>
      <c r="H652" s="22"/>
      <c r="I652" s="35"/>
      <c r="J652" s="35"/>
      <c r="K652" s="36" t="str">
        <f aca="false">IF(I652="","",I652+J652)</f>
        <v/>
      </c>
      <c r="L652" s="37" t="str">
        <f aca="false">IF(OR(I652="",I652=0,J652=""),"",J652/I652)</f>
        <v/>
      </c>
      <c r="M652" s="25" t="str">
        <f aca="false">IF(L652="","",IF(L652&gt;0.25,"ACRÉSCIMO ACIMA DE 25% — conferir",""))</f>
        <v/>
      </c>
      <c r="N652" s="29" t="str">
        <f aca="false">IF(D652="","",IF(COUNTIFS(Empresas!$B:$B,D652,Empresas!$E:$E,"&lt;&gt;")=0,"",INDEX(Empresas!$E:$E,MATCH(D652,Empresas!$B:$B,0))))</f>
        <v/>
      </c>
      <c r="O652" s="27" t="str">
        <f aca="false">IF(OR(N652="",H652=""),"",H652-N652)</f>
        <v/>
      </c>
      <c r="P652" s="25" t="str">
        <f aca="false">IF(O652="","",IF(O652&lt;0,"CONTRATO ANTERIOR À ABERTURA — conferir datas",IF(O652&lt;180,"EMPRESA ABERTA MENOS DE 6 MESES ANTES","")))</f>
        <v/>
      </c>
      <c r="Q652" s="31" t="str">
        <f aca="false">IF(D652="","",IFERROR(INDEX(Sancoes!$D:$D,MATCH(D652,Sancoes!$C:$C,0)),"não consta"))</f>
        <v/>
      </c>
      <c r="R652" s="25" t="str">
        <f aca="false">IF(OR(D652="",H652=""),"",IF(SUMPRODUCT((Sancoes!$C$5:$C$304=D652)*(Sancoes!$G$5:$G$304&lt;=H652)*(((Sancoes!$H$5:$H$304="")+(Sancoes!$H$5:$H$304&gt;=H652))&gt;0))&gt;0,"SANÇÃO VIGENTE NA DATA — ler tipo e abrangência",""))</f>
        <v/>
      </c>
      <c r="S652" s="24"/>
      <c r="T652" s="11"/>
    </row>
    <row r="653" customFormat="false" ht="15" hidden="false" customHeight="false" outlineLevel="0" collapsed="false">
      <c r="A653" s="11"/>
      <c r="B653" s="24"/>
      <c r="C653" s="24"/>
      <c r="D653" s="31" t="str">
        <f aca="false">IF(C653="","",IF(LEN(UPPER(SUBSTITUTE(SUBSTITUTE(SUBSTITUTE(SUBSTITUTE(TRIM(C653),".",""),"/",""),"-","")," ","")))&lt;14,RIGHT(REPT("0",14)&amp;UPPER(SUBSTITUTE(SUBSTITUTE(SUBSTITUTE(SUBSTITUTE(TRIM(C653),".",""),"/",""),"-","")," ","")),14),UPPER(SUBSTITUTE(SUBSTITUTE(SUBSTITUTE(SUBSTITUTE(TRIM(C653),".",""),"/",""),"-","")," ",""))))</f>
        <v/>
      </c>
      <c r="E653" s="25" t="str">
        <f aca="false">IF(D653="","",IFERROR(INDEX(Empresas!$C:$C,MATCH(D653,Empresas!$B:$B,0)),"cadastre o CNPJ em Empresas"))</f>
        <v/>
      </c>
      <c r="F653" s="11"/>
      <c r="G653" s="23"/>
      <c r="H653" s="22"/>
      <c r="I653" s="35"/>
      <c r="J653" s="35"/>
      <c r="K653" s="36" t="str">
        <f aca="false">IF(I653="","",I653+J653)</f>
        <v/>
      </c>
      <c r="L653" s="37" t="str">
        <f aca="false">IF(OR(I653="",I653=0,J653=""),"",J653/I653)</f>
        <v/>
      </c>
      <c r="M653" s="25" t="str">
        <f aca="false">IF(L653="","",IF(L653&gt;0.25,"ACRÉSCIMO ACIMA DE 25% — conferir",""))</f>
        <v/>
      </c>
      <c r="N653" s="29" t="str">
        <f aca="false">IF(D653="","",IF(COUNTIFS(Empresas!$B:$B,D653,Empresas!$E:$E,"&lt;&gt;")=0,"",INDEX(Empresas!$E:$E,MATCH(D653,Empresas!$B:$B,0))))</f>
        <v/>
      </c>
      <c r="O653" s="27" t="str">
        <f aca="false">IF(OR(N653="",H653=""),"",H653-N653)</f>
        <v/>
      </c>
      <c r="P653" s="25" t="str">
        <f aca="false">IF(O653="","",IF(O653&lt;0,"CONTRATO ANTERIOR À ABERTURA — conferir datas",IF(O653&lt;180,"EMPRESA ABERTA MENOS DE 6 MESES ANTES","")))</f>
        <v/>
      </c>
      <c r="Q653" s="31" t="str">
        <f aca="false">IF(D653="","",IFERROR(INDEX(Sancoes!$D:$D,MATCH(D653,Sancoes!$C:$C,0)),"não consta"))</f>
        <v/>
      </c>
      <c r="R653" s="25" t="str">
        <f aca="false">IF(OR(D653="",H653=""),"",IF(SUMPRODUCT((Sancoes!$C$5:$C$304=D653)*(Sancoes!$G$5:$G$304&lt;=H653)*(((Sancoes!$H$5:$H$304="")+(Sancoes!$H$5:$H$304&gt;=H653))&gt;0))&gt;0,"SANÇÃO VIGENTE NA DATA — ler tipo e abrangência",""))</f>
        <v/>
      </c>
      <c r="S653" s="24"/>
      <c r="T653" s="11"/>
    </row>
    <row r="654" customFormat="false" ht="15" hidden="false" customHeight="false" outlineLevel="0" collapsed="false">
      <c r="A654" s="11"/>
      <c r="B654" s="24"/>
      <c r="C654" s="24"/>
      <c r="D654" s="31" t="str">
        <f aca="false">IF(C654="","",IF(LEN(UPPER(SUBSTITUTE(SUBSTITUTE(SUBSTITUTE(SUBSTITUTE(TRIM(C654),".",""),"/",""),"-","")," ","")))&lt;14,RIGHT(REPT("0",14)&amp;UPPER(SUBSTITUTE(SUBSTITUTE(SUBSTITUTE(SUBSTITUTE(TRIM(C654),".",""),"/",""),"-","")," ","")),14),UPPER(SUBSTITUTE(SUBSTITUTE(SUBSTITUTE(SUBSTITUTE(TRIM(C654),".",""),"/",""),"-","")," ",""))))</f>
        <v/>
      </c>
      <c r="E654" s="25" t="str">
        <f aca="false">IF(D654="","",IFERROR(INDEX(Empresas!$C:$C,MATCH(D654,Empresas!$B:$B,0)),"cadastre o CNPJ em Empresas"))</f>
        <v/>
      </c>
      <c r="F654" s="11"/>
      <c r="G654" s="23"/>
      <c r="H654" s="22"/>
      <c r="I654" s="35"/>
      <c r="J654" s="35"/>
      <c r="K654" s="36" t="str">
        <f aca="false">IF(I654="","",I654+J654)</f>
        <v/>
      </c>
      <c r="L654" s="37" t="str">
        <f aca="false">IF(OR(I654="",I654=0,J654=""),"",J654/I654)</f>
        <v/>
      </c>
      <c r="M654" s="25" t="str">
        <f aca="false">IF(L654="","",IF(L654&gt;0.25,"ACRÉSCIMO ACIMA DE 25% — conferir",""))</f>
        <v/>
      </c>
      <c r="N654" s="29" t="str">
        <f aca="false">IF(D654="","",IF(COUNTIFS(Empresas!$B:$B,D654,Empresas!$E:$E,"&lt;&gt;")=0,"",INDEX(Empresas!$E:$E,MATCH(D654,Empresas!$B:$B,0))))</f>
        <v/>
      </c>
      <c r="O654" s="27" t="str">
        <f aca="false">IF(OR(N654="",H654=""),"",H654-N654)</f>
        <v/>
      </c>
      <c r="P654" s="25" t="str">
        <f aca="false">IF(O654="","",IF(O654&lt;0,"CONTRATO ANTERIOR À ABERTURA — conferir datas",IF(O654&lt;180,"EMPRESA ABERTA MENOS DE 6 MESES ANTES","")))</f>
        <v/>
      </c>
      <c r="Q654" s="31" t="str">
        <f aca="false">IF(D654="","",IFERROR(INDEX(Sancoes!$D:$D,MATCH(D654,Sancoes!$C:$C,0)),"não consta"))</f>
        <v/>
      </c>
      <c r="R654" s="25" t="str">
        <f aca="false">IF(OR(D654="",H654=""),"",IF(SUMPRODUCT((Sancoes!$C$5:$C$304=D654)*(Sancoes!$G$5:$G$304&lt;=H654)*(((Sancoes!$H$5:$H$304="")+(Sancoes!$H$5:$H$304&gt;=H654))&gt;0))&gt;0,"SANÇÃO VIGENTE NA DATA — ler tipo e abrangência",""))</f>
        <v/>
      </c>
      <c r="S654" s="24"/>
      <c r="T654" s="11"/>
    </row>
    <row r="655" customFormat="false" ht="15" hidden="false" customHeight="false" outlineLevel="0" collapsed="false">
      <c r="A655" s="11"/>
      <c r="B655" s="24"/>
      <c r="C655" s="24"/>
      <c r="D655" s="31" t="str">
        <f aca="false">IF(C655="","",IF(LEN(UPPER(SUBSTITUTE(SUBSTITUTE(SUBSTITUTE(SUBSTITUTE(TRIM(C655),".",""),"/",""),"-","")," ","")))&lt;14,RIGHT(REPT("0",14)&amp;UPPER(SUBSTITUTE(SUBSTITUTE(SUBSTITUTE(SUBSTITUTE(TRIM(C655),".",""),"/",""),"-","")," ","")),14),UPPER(SUBSTITUTE(SUBSTITUTE(SUBSTITUTE(SUBSTITUTE(TRIM(C655),".",""),"/",""),"-","")," ",""))))</f>
        <v/>
      </c>
      <c r="E655" s="25" t="str">
        <f aca="false">IF(D655="","",IFERROR(INDEX(Empresas!$C:$C,MATCH(D655,Empresas!$B:$B,0)),"cadastre o CNPJ em Empresas"))</f>
        <v/>
      </c>
      <c r="F655" s="11"/>
      <c r="G655" s="23"/>
      <c r="H655" s="22"/>
      <c r="I655" s="35"/>
      <c r="J655" s="35"/>
      <c r="K655" s="36" t="str">
        <f aca="false">IF(I655="","",I655+J655)</f>
        <v/>
      </c>
      <c r="L655" s="37" t="str">
        <f aca="false">IF(OR(I655="",I655=0,J655=""),"",J655/I655)</f>
        <v/>
      </c>
      <c r="M655" s="25" t="str">
        <f aca="false">IF(L655="","",IF(L655&gt;0.25,"ACRÉSCIMO ACIMA DE 25% — conferir",""))</f>
        <v/>
      </c>
      <c r="N655" s="29" t="str">
        <f aca="false">IF(D655="","",IF(COUNTIFS(Empresas!$B:$B,D655,Empresas!$E:$E,"&lt;&gt;")=0,"",INDEX(Empresas!$E:$E,MATCH(D655,Empresas!$B:$B,0))))</f>
        <v/>
      </c>
      <c r="O655" s="27" t="str">
        <f aca="false">IF(OR(N655="",H655=""),"",H655-N655)</f>
        <v/>
      </c>
      <c r="P655" s="25" t="str">
        <f aca="false">IF(O655="","",IF(O655&lt;0,"CONTRATO ANTERIOR À ABERTURA — conferir datas",IF(O655&lt;180,"EMPRESA ABERTA MENOS DE 6 MESES ANTES","")))</f>
        <v/>
      </c>
      <c r="Q655" s="31" t="str">
        <f aca="false">IF(D655="","",IFERROR(INDEX(Sancoes!$D:$D,MATCH(D655,Sancoes!$C:$C,0)),"não consta"))</f>
        <v/>
      </c>
      <c r="R655" s="25" t="str">
        <f aca="false">IF(OR(D655="",H655=""),"",IF(SUMPRODUCT((Sancoes!$C$5:$C$304=D655)*(Sancoes!$G$5:$G$304&lt;=H655)*(((Sancoes!$H$5:$H$304="")+(Sancoes!$H$5:$H$304&gt;=H655))&gt;0))&gt;0,"SANÇÃO VIGENTE NA DATA — ler tipo e abrangência",""))</f>
        <v/>
      </c>
      <c r="S655" s="24"/>
      <c r="T655" s="11"/>
    </row>
    <row r="656" customFormat="false" ht="15" hidden="false" customHeight="false" outlineLevel="0" collapsed="false">
      <c r="A656" s="11"/>
      <c r="B656" s="24"/>
      <c r="C656" s="24"/>
      <c r="D656" s="31" t="str">
        <f aca="false">IF(C656="","",IF(LEN(UPPER(SUBSTITUTE(SUBSTITUTE(SUBSTITUTE(SUBSTITUTE(TRIM(C656),".",""),"/",""),"-","")," ","")))&lt;14,RIGHT(REPT("0",14)&amp;UPPER(SUBSTITUTE(SUBSTITUTE(SUBSTITUTE(SUBSTITUTE(TRIM(C656),".",""),"/",""),"-","")," ","")),14),UPPER(SUBSTITUTE(SUBSTITUTE(SUBSTITUTE(SUBSTITUTE(TRIM(C656),".",""),"/",""),"-","")," ",""))))</f>
        <v/>
      </c>
      <c r="E656" s="25" t="str">
        <f aca="false">IF(D656="","",IFERROR(INDEX(Empresas!$C:$C,MATCH(D656,Empresas!$B:$B,0)),"cadastre o CNPJ em Empresas"))</f>
        <v/>
      </c>
      <c r="F656" s="11"/>
      <c r="G656" s="23"/>
      <c r="H656" s="22"/>
      <c r="I656" s="35"/>
      <c r="J656" s="35"/>
      <c r="K656" s="36" t="str">
        <f aca="false">IF(I656="","",I656+J656)</f>
        <v/>
      </c>
      <c r="L656" s="37" t="str">
        <f aca="false">IF(OR(I656="",I656=0,J656=""),"",J656/I656)</f>
        <v/>
      </c>
      <c r="M656" s="25" t="str">
        <f aca="false">IF(L656="","",IF(L656&gt;0.25,"ACRÉSCIMO ACIMA DE 25% — conferir",""))</f>
        <v/>
      </c>
      <c r="N656" s="29" t="str">
        <f aca="false">IF(D656="","",IF(COUNTIFS(Empresas!$B:$B,D656,Empresas!$E:$E,"&lt;&gt;")=0,"",INDEX(Empresas!$E:$E,MATCH(D656,Empresas!$B:$B,0))))</f>
        <v/>
      </c>
      <c r="O656" s="27" t="str">
        <f aca="false">IF(OR(N656="",H656=""),"",H656-N656)</f>
        <v/>
      </c>
      <c r="P656" s="25" t="str">
        <f aca="false">IF(O656="","",IF(O656&lt;0,"CONTRATO ANTERIOR À ABERTURA — conferir datas",IF(O656&lt;180,"EMPRESA ABERTA MENOS DE 6 MESES ANTES","")))</f>
        <v/>
      </c>
      <c r="Q656" s="31" t="str">
        <f aca="false">IF(D656="","",IFERROR(INDEX(Sancoes!$D:$D,MATCH(D656,Sancoes!$C:$C,0)),"não consta"))</f>
        <v/>
      </c>
      <c r="R656" s="25" t="str">
        <f aca="false">IF(OR(D656="",H656=""),"",IF(SUMPRODUCT((Sancoes!$C$5:$C$304=D656)*(Sancoes!$G$5:$G$304&lt;=H656)*(((Sancoes!$H$5:$H$304="")+(Sancoes!$H$5:$H$304&gt;=H656))&gt;0))&gt;0,"SANÇÃO VIGENTE NA DATA — ler tipo e abrangência",""))</f>
        <v/>
      </c>
      <c r="S656" s="24"/>
      <c r="T656" s="11"/>
    </row>
    <row r="657" customFormat="false" ht="15" hidden="false" customHeight="false" outlineLevel="0" collapsed="false">
      <c r="A657" s="11"/>
      <c r="B657" s="24"/>
      <c r="C657" s="24"/>
      <c r="D657" s="31" t="str">
        <f aca="false">IF(C657="","",IF(LEN(UPPER(SUBSTITUTE(SUBSTITUTE(SUBSTITUTE(SUBSTITUTE(TRIM(C657),".",""),"/",""),"-","")," ","")))&lt;14,RIGHT(REPT("0",14)&amp;UPPER(SUBSTITUTE(SUBSTITUTE(SUBSTITUTE(SUBSTITUTE(TRIM(C657),".",""),"/",""),"-","")," ","")),14),UPPER(SUBSTITUTE(SUBSTITUTE(SUBSTITUTE(SUBSTITUTE(TRIM(C657),".",""),"/",""),"-","")," ",""))))</f>
        <v/>
      </c>
      <c r="E657" s="25" t="str">
        <f aca="false">IF(D657="","",IFERROR(INDEX(Empresas!$C:$C,MATCH(D657,Empresas!$B:$B,0)),"cadastre o CNPJ em Empresas"))</f>
        <v/>
      </c>
      <c r="F657" s="11"/>
      <c r="G657" s="23"/>
      <c r="H657" s="22"/>
      <c r="I657" s="35"/>
      <c r="J657" s="35"/>
      <c r="K657" s="36" t="str">
        <f aca="false">IF(I657="","",I657+J657)</f>
        <v/>
      </c>
      <c r="L657" s="37" t="str">
        <f aca="false">IF(OR(I657="",I657=0,J657=""),"",J657/I657)</f>
        <v/>
      </c>
      <c r="M657" s="25" t="str">
        <f aca="false">IF(L657="","",IF(L657&gt;0.25,"ACRÉSCIMO ACIMA DE 25% — conferir",""))</f>
        <v/>
      </c>
      <c r="N657" s="29" t="str">
        <f aca="false">IF(D657="","",IF(COUNTIFS(Empresas!$B:$B,D657,Empresas!$E:$E,"&lt;&gt;")=0,"",INDEX(Empresas!$E:$E,MATCH(D657,Empresas!$B:$B,0))))</f>
        <v/>
      </c>
      <c r="O657" s="27" t="str">
        <f aca="false">IF(OR(N657="",H657=""),"",H657-N657)</f>
        <v/>
      </c>
      <c r="P657" s="25" t="str">
        <f aca="false">IF(O657="","",IF(O657&lt;0,"CONTRATO ANTERIOR À ABERTURA — conferir datas",IF(O657&lt;180,"EMPRESA ABERTA MENOS DE 6 MESES ANTES","")))</f>
        <v/>
      </c>
      <c r="Q657" s="31" t="str">
        <f aca="false">IF(D657="","",IFERROR(INDEX(Sancoes!$D:$D,MATCH(D657,Sancoes!$C:$C,0)),"não consta"))</f>
        <v/>
      </c>
      <c r="R657" s="25" t="str">
        <f aca="false">IF(OR(D657="",H657=""),"",IF(SUMPRODUCT((Sancoes!$C$5:$C$304=D657)*(Sancoes!$G$5:$G$304&lt;=H657)*(((Sancoes!$H$5:$H$304="")+(Sancoes!$H$5:$H$304&gt;=H657))&gt;0))&gt;0,"SANÇÃO VIGENTE NA DATA — ler tipo e abrangência",""))</f>
        <v/>
      </c>
      <c r="S657" s="24"/>
      <c r="T657" s="11"/>
    </row>
    <row r="658" customFormat="false" ht="15" hidden="false" customHeight="false" outlineLevel="0" collapsed="false">
      <c r="A658" s="11"/>
      <c r="B658" s="24"/>
      <c r="C658" s="24"/>
      <c r="D658" s="31" t="str">
        <f aca="false">IF(C658="","",IF(LEN(UPPER(SUBSTITUTE(SUBSTITUTE(SUBSTITUTE(SUBSTITUTE(TRIM(C658),".",""),"/",""),"-","")," ","")))&lt;14,RIGHT(REPT("0",14)&amp;UPPER(SUBSTITUTE(SUBSTITUTE(SUBSTITUTE(SUBSTITUTE(TRIM(C658),".",""),"/",""),"-","")," ","")),14),UPPER(SUBSTITUTE(SUBSTITUTE(SUBSTITUTE(SUBSTITUTE(TRIM(C658),".",""),"/",""),"-","")," ",""))))</f>
        <v/>
      </c>
      <c r="E658" s="25" t="str">
        <f aca="false">IF(D658="","",IFERROR(INDEX(Empresas!$C:$C,MATCH(D658,Empresas!$B:$B,0)),"cadastre o CNPJ em Empresas"))</f>
        <v/>
      </c>
      <c r="F658" s="11"/>
      <c r="G658" s="23"/>
      <c r="H658" s="22"/>
      <c r="I658" s="35"/>
      <c r="J658" s="35"/>
      <c r="K658" s="36" t="str">
        <f aca="false">IF(I658="","",I658+J658)</f>
        <v/>
      </c>
      <c r="L658" s="37" t="str">
        <f aca="false">IF(OR(I658="",I658=0,J658=""),"",J658/I658)</f>
        <v/>
      </c>
      <c r="M658" s="25" t="str">
        <f aca="false">IF(L658="","",IF(L658&gt;0.25,"ACRÉSCIMO ACIMA DE 25% — conferir",""))</f>
        <v/>
      </c>
      <c r="N658" s="29" t="str">
        <f aca="false">IF(D658="","",IF(COUNTIFS(Empresas!$B:$B,D658,Empresas!$E:$E,"&lt;&gt;")=0,"",INDEX(Empresas!$E:$E,MATCH(D658,Empresas!$B:$B,0))))</f>
        <v/>
      </c>
      <c r="O658" s="27" t="str">
        <f aca="false">IF(OR(N658="",H658=""),"",H658-N658)</f>
        <v/>
      </c>
      <c r="P658" s="25" t="str">
        <f aca="false">IF(O658="","",IF(O658&lt;0,"CONTRATO ANTERIOR À ABERTURA — conferir datas",IF(O658&lt;180,"EMPRESA ABERTA MENOS DE 6 MESES ANTES","")))</f>
        <v/>
      </c>
      <c r="Q658" s="31" t="str">
        <f aca="false">IF(D658="","",IFERROR(INDEX(Sancoes!$D:$D,MATCH(D658,Sancoes!$C:$C,0)),"não consta"))</f>
        <v/>
      </c>
      <c r="R658" s="25" t="str">
        <f aca="false">IF(OR(D658="",H658=""),"",IF(SUMPRODUCT((Sancoes!$C$5:$C$304=D658)*(Sancoes!$G$5:$G$304&lt;=H658)*(((Sancoes!$H$5:$H$304="")+(Sancoes!$H$5:$H$304&gt;=H658))&gt;0))&gt;0,"SANÇÃO VIGENTE NA DATA — ler tipo e abrangência",""))</f>
        <v/>
      </c>
      <c r="S658" s="24"/>
      <c r="T658" s="11"/>
    </row>
    <row r="659" customFormat="false" ht="15" hidden="false" customHeight="false" outlineLevel="0" collapsed="false">
      <c r="A659" s="11"/>
      <c r="B659" s="24"/>
      <c r="C659" s="24"/>
      <c r="D659" s="31" t="str">
        <f aca="false">IF(C659="","",IF(LEN(UPPER(SUBSTITUTE(SUBSTITUTE(SUBSTITUTE(SUBSTITUTE(TRIM(C659),".",""),"/",""),"-","")," ","")))&lt;14,RIGHT(REPT("0",14)&amp;UPPER(SUBSTITUTE(SUBSTITUTE(SUBSTITUTE(SUBSTITUTE(TRIM(C659),".",""),"/",""),"-","")," ","")),14),UPPER(SUBSTITUTE(SUBSTITUTE(SUBSTITUTE(SUBSTITUTE(TRIM(C659),".",""),"/",""),"-","")," ",""))))</f>
        <v/>
      </c>
      <c r="E659" s="25" t="str">
        <f aca="false">IF(D659="","",IFERROR(INDEX(Empresas!$C:$C,MATCH(D659,Empresas!$B:$B,0)),"cadastre o CNPJ em Empresas"))</f>
        <v/>
      </c>
      <c r="F659" s="11"/>
      <c r="G659" s="23"/>
      <c r="H659" s="22"/>
      <c r="I659" s="35"/>
      <c r="J659" s="35"/>
      <c r="K659" s="36" t="str">
        <f aca="false">IF(I659="","",I659+J659)</f>
        <v/>
      </c>
      <c r="L659" s="37" t="str">
        <f aca="false">IF(OR(I659="",I659=0,J659=""),"",J659/I659)</f>
        <v/>
      </c>
      <c r="M659" s="25" t="str">
        <f aca="false">IF(L659="","",IF(L659&gt;0.25,"ACRÉSCIMO ACIMA DE 25% — conferir",""))</f>
        <v/>
      </c>
      <c r="N659" s="29" t="str">
        <f aca="false">IF(D659="","",IF(COUNTIFS(Empresas!$B:$B,D659,Empresas!$E:$E,"&lt;&gt;")=0,"",INDEX(Empresas!$E:$E,MATCH(D659,Empresas!$B:$B,0))))</f>
        <v/>
      </c>
      <c r="O659" s="27" t="str">
        <f aca="false">IF(OR(N659="",H659=""),"",H659-N659)</f>
        <v/>
      </c>
      <c r="P659" s="25" t="str">
        <f aca="false">IF(O659="","",IF(O659&lt;0,"CONTRATO ANTERIOR À ABERTURA — conferir datas",IF(O659&lt;180,"EMPRESA ABERTA MENOS DE 6 MESES ANTES","")))</f>
        <v/>
      </c>
      <c r="Q659" s="31" t="str">
        <f aca="false">IF(D659="","",IFERROR(INDEX(Sancoes!$D:$D,MATCH(D659,Sancoes!$C:$C,0)),"não consta"))</f>
        <v/>
      </c>
      <c r="R659" s="25" t="str">
        <f aca="false">IF(OR(D659="",H659=""),"",IF(SUMPRODUCT((Sancoes!$C$5:$C$304=D659)*(Sancoes!$G$5:$G$304&lt;=H659)*(((Sancoes!$H$5:$H$304="")+(Sancoes!$H$5:$H$304&gt;=H659))&gt;0))&gt;0,"SANÇÃO VIGENTE NA DATA — ler tipo e abrangência",""))</f>
        <v/>
      </c>
      <c r="S659" s="24"/>
      <c r="T659" s="11"/>
    </row>
    <row r="660" customFormat="false" ht="15" hidden="false" customHeight="false" outlineLevel="0" collapsed="false">
      <c r="A660" s="11"/>
      <c r="B660" s="24"/>
      <c r="C660" s="24"/>
      <c r="D660" s="31" t="str">
        <f aca="false">IF(C660="","",IF(LEN(UPPER(SUBSTITUTE(SUBSTITUTE(SUBSTITUTE(SUBSTITUTE(TRIM(C660),".",""),"/",""),"-","")," ","")))&lt;14,RIGHT(REPT("0",14)&amp;UPPER(SUBSTITUTE(SUBSTITUTE(SUBSTITUTE(SUBSTITUTE(TRIM(C660),".",""),"/",""),"-","")," ","")),14),UPPER(SUBSTITUTE(SUBSTITUTE(SUBSTITUTE(SUBSTITUTE(TRIM(C660),".",""),"/",""),"-","")," ",""))))</f>
        <v/>
      </c>
      <c r="E660" s="25" t="str">
        <f aca="false">IF(D660="","",IFERROR(INDEX(Empresas!$C:$C,MATCH(D660,Empresas!$B:$B,0)),"cadastre o CNPJ em Empresas"))</f>
        <v/>
      </c>
      <c r="F660" s="11"/>
      <c r="G660" s="23"/>
      <c r="H660" s="22"/>
      <c r="I660" s="35"/>
      <c r="J660" s="35"/>
      <c r="K660" s="36" t="str">
        <f aca="false">IF(I660="","",I660+J660)</f>
        <v/>
      </c>
      <c r="L660" s="37" t="str">
        <f aca="false">IF(OR(I660="",I660=0,J660=""),"",J660/I660)</f>
        <v/>
      </c>
      <c r="M660" s="25" t="str">
        <f aca="false">IF(L660="","",IF(L660&gt;0.25,"ACRÉSCIMO ACIMA DE 25% — conferir",""))</f>
        <v/>
      </c>
      <c r="N660" s="29" t="str">
        <f aca="false">IF(D660="","",IF(COUNTIFS(Empresas!$B:$B,D660,Empresas!$E:$E,"&lt;&gt;")=0,"",INDEX(Empresas!$E:$E,MATCH(D660,Empresas!$B:$B,0))))</f>
        <v/>
      </c>
      <c r="O660" s="27" t="str">
        <f aca="false">IF(OR(N660="",H660=""),"",H660-N660)</f>
        <v/>
      </c>
      <c r="P660" s="25" t="str">
        <f aca="false">IF(O660="","",IF(O660&lt;0,"CONTRATO ANTERIOR À ABERTURA — conferir datas",IF(O660&lt;180,"EMPRESA ABERTA MENOS DE 6 MESES ANTES","")))</f>
        <v/>
      </c>
      <c r="Q660" s="31" t="str">
        <f aca="false">IF(D660="","",IFERROR(INDEX(Sancoes!$D:$D,MATCH(D660,Sancoes!$C:$C,0)),"não consta"))</f>
        <v/>
      </c>
      <c r="R660" s="25" t="str">
        <f aca="false">IF(OR(D660="",H660=""),"",IF(SUMPRODUCT((Sancoes!$C$5:$C$304=D660)*(Sancoes!$G$5:$G$304&lt;=H660)*(((Sancoes!$H$5:$H$304="")+(Sancoes!$H$5:$H$304&gt;=H660))&gt;0))&gt;0,"SANÇÃO VIGENTE NA DATA — ler tipo e abrangência",""))</f>
        <v/>
      </c>
      <c r="S660" s="24"/>
      <c r="T660" s="11"/>
    </row>
    <row r="661" customFormat="false" ht="15" hidden="false" customHeight="false" outlineLevel="0" collapsed="false">
      <c r="A661" s="11"/>
      <c r="B661" s="24"/>
      <c r="C661" s="24"/>
      <c r="D661" s="31" t="str">
        <f aca="false">IF(C661="","",IF(LEN(UPPER(SUBSTITUTE(SUBSTITUTE(SUBSTITUTE(SUBSTITUTE(TRIM(C661),".",""),"/",""),"-","")," ","")))&lt;14,RIGHT(REPT("0",14)&amp;UPPER(SUBSTITUTE(SUBSTITUTE(SUBSTITUTE(SUBSTITUTE(TRIM(C661),".",""),"/",""),"-","")," ","")),14),UPPER(SUBSTITUTE(SUBSTITUTE(SUBSTITUTE(SUBSTITUTE(TRIM(C661),".",""),"/",""),"-","")," ",""))))</f>
        <v/>
      </c>
      <c r="E661" s="25" t="str">
        <f aca="false">IF(D661="","",IFERROR(INDEX(Empresas!$C:$C,MATCH(D661,Empresas!$B:$B,0)),"cadastre o CNPJ em Empresas"))</f>
        <v/>
      </c>
      <c r="F661" s="11"/>
      <c r="G661" s="23"/>
      <c r="H661" s="22"/>
      <c r="I661" s="35"/>
      <c r="J661" s="35"/>
      <c r="K661" s="36" t="str">
        <f aca="false">IF(I661="","",I661+J661)</f>
        <v/>
      </c>
      <c r="L661" s="37" t="str">
        <f aca="false">IF(OR(I661="",I661=0,J661=""),"",J661/I661)</f>
        <v/>
      </c>
      <c r="M661" s="25" t="str">
        <f aca="false">IF(L661="","",IF(L661&gt;0.25,"ACRÉSCIMO ACIMA DE 25% — conferir",""))</f>
        <v/>
      </c>
      <c r="N661" s="29" t="str">
        <f aca="false">IF(D661="","",IF(COUNTIFS(Empresas!$B:$B,D661,Empresas!$E:$E,"&lt;&gt;")=0,"",INDEX(Empresas!$E:$E,MATCH(D661,Empresas!$B:$B,0))))</f>
        <v/>
      </c>
      <c r="O661" s="27" t="str">
        <f aca="false">IF(OR(N661="",H661=""),"",H661-N661)</f>
        <v/>
      </c>
      <c r="P661" s="25" t="str">
        <f aca="false">IF(O661="","",IF(O661&lt;0,"CONTRATO ANTERIOR À ABERTURA — conferir datas",IF(O661&lt;180,"EMPRESA ABERTA MENOS DE 6 MESES ANTES","")))</f>
        <v/>
      </c>
      <c r="Q661" s="31" t="str">
        <f aca="false">IF(D661="","",IFERROR(INDEX(Sancoes!$D:$D,MATCH(D661,Sancoes!$C:$C,0)),"não consta"))</f>
        <v/>
      </c>
      <c r="R661" s="25" t="str">
        <f aca="false">IF(OR(D661="",H661=""),"",IF(SUMPRODUCT((Sancoes!$C$5:$C$304=D661)*(Sancoes!$G$5:$G$304&lt;=H661)*(((Sancoes!$H$5:$H$304="")+(Sancoes!$H$5:$H$304&gt;=H661))&gt;0))&gt;0,"SANÇÃO VIGENTE NA DATA — ler tipo e abrangência",""))</f>
        <v/>
      </c>
      <c r="S661" s="24"/>
      <c r="T661" s="11"/>
    </row>
    <row r="662" customFormat="false" ht="15" hidden="false" customHeight="false" outlineLevel="0" collapsed="false">
      <c r="A662" s="11"/>
      <c r="B662" s="24"/>
      <c r="C662" s="24"/>
      <c r="D662" s="31" t="str">
        <f aca="false">IF(C662="","",IF(LEN(UPPER(SUBSTITUTE(SUBSTITUTE(SUBSTITUTE(SUBSTITUTE(TRIM(C662),".",""),"/",""),"-","")," ","")))&lt;14,RIGHT(REPT("0",14)&amp;UPPER(SUBSTITUTE(SUBSTITUTE(SUBSTITUTE(SUBSTITUTE(TRIM(C662),".",""),"/",""),"-","")," ","")),14),UPPER(SUBSTITUTE(SUBSTITUTE(SUBSTITUTE(SUBSTITUTE(TRIM(C662),".",""),"/",""),"-","")," ",""))))</f>
        <v/>
      </c>
      <c r="E662" s="25" t="str">
        <f aca="false">IF(D662="","",IFERROR(INDEX(Empresas!$C:$C,MATCH(D662,Empresas!$B:$B,0)),"cadastre o CNPJ em Empresas"))</f>
        <v/>
      </c>
      <c r="F662" s="11"/>
      <c r="G662" s="23"/>
      <c r="H662" s="22"/>
      <c r="I662" s="35"/>
      <c r="J662" s="35"/>
      <c r="K662" s="36" t="str">
        <f aca="false">IF(I662="","",I662+J662)</f>
        <v/>
      </c>
      <c r="L662" s="37" t="str">
        <f aca="false">IF(OR(I662="",I662=0,J662=""),"",J662/I662)</f>
        <v/>
      </c>
      <c r="M662" s="25" t="str">
        <f aca="false">IF(L662="","",IF(L662&gt;0.25,"ACRÉSCIMO ACIMA DE 25% — conferir",""))</f>
        <v/>
      </c>
      <c r="N662" s="29" t="str">
        <f aca="false">IF(D662="","",IF(COUNTIFS(Empresas!$B:$B,D662,Empresas!$E:$E,"&lt;&gt;")=0,"",INDEX(Empresas!$E:$E,MATCH(D662,Empresas!$B:$B,0))))</f>
        <v/>
      </c>
      <c r="O662" s="27" t="str">
        <f aca="false">IF(OR(N662="",H662=""),"",H662-N662)</f>
        <v/>
      </c>
      <c r="P662" s="25" t="str">
        <f aca="false">IF(O662="","",IF(O662&lt;0,"CONTRATO ANTERIOR À ABERTURA — conferir datas",IF(O662&lt;180,"EMPRESA ABERTA MENOS DE 6 MESES ANTES","")))</f>
        <v/>
      </c>
      <c r="Q662" s="31" t="str">
        <f aca="false">IF(D662="","",IFERROR(INDEX(Sancoes!$D:$D,MATCH(D662,Sancoes!$C:$C,0)),"não consta"))</f>
        <v/>
      </c>
      <c r="R662" s="25" t="str">
        <f aca="false">IF(OR(D662="",H662=""),"",IF(SUMPRODUCT((Sancoes!$C$5:$C$304=D662)*(Sancoes!$G$5:$G$304&lt;=H662)*(((Sancoes!$H$5:$H$304="")+(Sancoes!$H$5:$H$304&gt;=H662))&gt;0))&gt;0,"SANÇÃO VIGENTE NA DATA — ler tipo e abrangência",""))</f>
        <v/>
      </c>
      <c r="S662" s="24"/>
      <c r="T662" s="11"/>
    </row>
    <row r="663" customFormat="false" ht="15" hidden="false" customHeight="false" outlineLevel="0" collapsed="false">
      <c r="A663" s="11"/>
      <c r="B663" s="24"/>
      <c r="C663" s="24"/>
      <c r="D663" s="31" t="str">
        <f aca="false">IF(C663="","",IF(LEN(UPPER(SUBSTITUTE(SUBSTITUTE(SUBSTITUTE(SUBSTITUTE(TRIM(C663),".",""),"/",""),"-","")," ","")))&lt;14,RIGHT(REPT("0",14)&amp;UPPER(SUBSTITUTE(SUBSTITUTE(SUBSTITUTE(SUBSTITUTE(TRIM(C663),".",""),"/",""),"-","")," ","")),14),UPPER(SUBSTITUTE(SUBSTITUTE(SUBSTITUTE(SUBSTITUTE(TRIM(C663),".",""),"/",""),"-","")," ",""))))</f>
        <v/>
      </c>
      <c r="E663" s="25" t="str">
        <f aca="false">IF(D663="","",IFERROR(INDEX(Empresas!$C:$C,MATCH(D663,Empresas!$B:$B,0)),"cadastre o CNPJ em Empresas"))</f>
        <v/>
      </c>
      <c r="F663" s="11"/>
      <c r="G663" s="23"/>
      <c r="H663" s="22"/>
      <c r="I663" s="35"/>
      <c r="J663" s="35"/>
      <c r="K663" s="36" t="str">
        <f aca="false">IF(I663="","",I663+J663)</f>
        <v/>
      </c>
      <c r="L663" s="37" t="str">
        <f aca="false">IF(OR(I663="",I663=0,J663=""),"",J663/I663)</f>
        <v/>
      </c>
      <c r="M663" s="25" t="str">
        <f aca="false">IF(L663="","",IF(L663&gt;0.25,"ACRÉSCIMO ACIMA DE 25% — conferir",""))</f>
        <v/>
      </c>
      <c r="N663" s="29" t="str">
        <f aca="false">IF(D663="","",IF(COUNTIFS(Empresas!$B:$B,D663,Empresas!$E:$E,"&lt;&gt;")=0,"",INDEX(Empresas!$E:$E,MATCH(D663,Empresas!$B:$B,0))))</f>
        <v/>
      </c>
      <c r="O663" s="27" t="str">
        <f aca="false">IF(OR(N663="",H663=""),"",H663-N663)</f>
        <v/>
      </c>
      <c r="P663" s="25" t="str">
        <f aca="false">IF(O663="","",IF(O663&lt;0,"CONTRATO ANTERIOR À ABERTURA — conferir datas",IF(O663&lt;180,"EMPRESA ABERTA MENOS DE 6 MESES ANTES","")))</f>
        <v/>
      </c>
      <c r="Q663" s="31" t="str">
        <f aca="false">IF(D663="","",IFERROR(INDEX(Sancoes!$D:$D,MATCH(D663,Sancoes!$C:$C,0)),"não consta"))</f>
        <v/>
      </c>
      <c r="R663" s="25" t="str">
        <f aca="false">IF(OR(D663="",H663=""),"",IF(SUMPRODUCT((Sancoes!$C$5:$C$304=D663)*(Sancoes!$G$5:$G$304&lt;=H663)*(((Sancoes!$H$5:$H$304="")+(Sancoes!$H$5:$H$304&gt;=H663))&gt;0))&gt;0,"SANÇÃO VIGENTE NA DATA — ler tipo e abrangência",""))</f>
        <v/>
      </c>
      <c r="S663" s="24"/>
      <c r="T663" s="11"/>
    </row>
    <row r="664" customFormat="false" ht="15" hidden="false" customHeight="false" outlineLevel="0" collapsed="false">
      <c r="A664" s="11"/>
      <c r="B664" s="24"/>
      <c r="C664" s="24"/>
      <c r="D664" s="31" t="str">
        <f aca="false">IF(C664="","",IF(LEN(UPPER(SUBSTITUTE(SUBSTITUTE(SUBSTITUTE(SUBSTITUTE(TRIM(C664),".",""),"/",""),"-","")," ","")))&lt;14,RIGHT(REPT("0",14)&amp;UPPER(SUBSTITUTE(SUBSTITUTE(SUBSTITUTE(SUBSTITUTE(TRIM(C664),".",""),"/",""),"-","")," ","")),14),UPPER(SUBSTITUTE(SUBSTITUTE(SUBSTITUTE(SUBSTITUTE(TRIM(C664),".",""),"/",""),"-","")," ",""))))</f>
        <v/>
      </c>
      <c r="E664" s="25" t="str">
        <f aca="false">IF(D664="","",IFERROR(INDEX(Empresas!$C:$C,MATCH(D664,Empresas!$B:$B,0)),"cadastre o CNPJ em Empresas"))</f>
        <v/>
      </c>
      <c r="F664" s="11"/>
      <c r="G664" s="23"/>
      <c r="H664" s="22"/>
      <c r="I664" s="35"/>
      <c r="J664" s="35"/>
      <c r="K664" s="36" t="str">
        <f aca="false">IF(I664="","",I664+J664)</f>
        <v/>
      </c>
      <c r="L664" s="37" t="str">
        <f aca="false">IF(OR(I664="",I664=0,J664=""),"",J664/I664)</f>
        <v/>
      </c>
      <c r="M664" s="25" t="str">
        <f aca="false">IF(L664="","",IF(L664&gt;0.25,"ACRÉSCIMO ACIMA DE 25% — conferir",""))</f>
        <v/>
      </c>
      <c r="N664" s="29" t="str">
        <f aca="false">IF(D664="","",IF(COUNTIFS(Empresas!$B:$B,D664,Empresas!$E:$E,"&lt;&gt;")=0,"",INDEX(Empresas!$E:$E,MATCH(D664,Empresas!$B:$B,0))))</f>
        <v/>
      </c>
      <c r="O664" s="27" t="str">
        <f aca="false">IF(OR(N664="",H664=""),"",H664-N664)</f>
        <v/>
      </c>
      <c r="P664" s="25" t="str">
        <f aca="false">IF(O664="","",IF(O664&lt;0,"CONTRATO ANTERIOR À ABERTURA — conferir datas",IF(O664&lt;180,"EMPRESA ABERTA MENOS DE 6 MESES ANTES","")))</f>
        <v/>
      </c>
      <c r="Q664" s="31" t="str">
        <f aca="false">IF(D664="","",IFERROR(INDEX(Sancoes!$D:$D,MATCH(D664,Sancoes!$C:$C,0)),"não consta"))</f>
        <v/>
      </c>
      <c r="R664" s="25" t="str">
        <f aca="false">IF(OR(D664="",H664=""),"",IF(SUMPRODUCT((Sancoes!$C$5:$C$304=D664)*(Sancoes!$G$5:$G$304&lt;=H664)*(((Sancoes!$H$5:$H$304="")+(Sancoes!$H$5:$H$304&gt;=H664))&gt;0))&gt;0,"SANÇÃO VIGENTE NA DATA — ler tipo e abrangência",""))</f>
        <v/>
      </c>
      <c r="S664" s="24"/>
      <c r="T664" s="11"/>
    </row>
    <row r="665" customFormat="false" ht="15" hidden="false" customHeight="false" outlineLevel="0" collapsed="false">
      <c r="A665" s="11"/>
      <c r="B665" s="24"/>
      <c r="C665" s="24"/>
      <c r="D665" s="31" t="str">
        <f aca="false">IF(C665="","",IF(LEN(UPPER(SUBSTITUTE(SUBSTITUTE(SUBSTITUTE(SUBSTITUTE(TRIM(C665),".",""),"/",""),"-","")," ","")))&lt;14,RIGHT(REPT("0",14)&amp;UPPER(SUBSTITUTE(SUBSTITUTE(SUBSTITUTE(SUBSTITUTE(TRIM(C665),".",""),"/",""),"-","")," ","")),14),UPPER(SUBSTITUTE(SUBSTITUTE(SUBSTITUTE(SUBSTITUTE(TRIM(C665),".",""),"/",""),"-","")," ",""))))</f>
        <v/>
      </c>
      <c r="E665" s="25" t="str">
        <f aca="false">IF(D665="","",IFERROR(INDEX(Empresas!$C:$C,MATCH(D665,Empresas!$B:$B,0)),"cadastre o CNPJ em Empresas"))</f>
        <v/>
      </c>
      <c r="F665" s="11"/>
      <c r="G665" s="23"/>
      <c r="H665" s="22"/>
      <c r="I665" s="35"/>
      <c r="J665" s="35"/>
      <c r="K665" s="36" t="str">
        <f aca="false">IF(I665="","",I665+J665)</f>
        <v/>
      </c>
      <c r="L665" s="37" t="str">
        <f aca="false">IF(OR(I665="",I665=0,J665=""),"",J665/I665)</f>
        <v/>
      </c>
      <c r="M665" s="25" t="str">
        <f aca="false">IF(L665="","",IF(L665&gt;0.25,"ACRÉSCIMO ACIMA DE 25% — conferir",""))</f>
        <v/>
      </c>
      <c r="N665" s="29" t="str">
        <f aca="false">IF(D665="","",IF(COUNTIFS(Empresas!$B:$B,D665,Empresas!$E:$E,"&lt;&gt;")=0,"",INDEX(Empresas!$E:$E,MATCH(D665,Empresas!$B:$B,0))))</f>
        <v/>
      </c>
      <c r="O665" s="27" t="str">
        <f aca="false">IF(OR(N665="",H665=""),"",H665-N665)</f>
        <v/>
      </c>
      <c r="P665" s="25" t="str">
        <f aca="false">IF(O665="","",IF(O665&lt;0,"CONTRATO ANTERIOR À ABERTURA — conferir datas",IF(O665&lt;180,"EMPRESA ABERTA MENOS DE 6 MESES ANTES","")))</f>
        <v/>
      </c>
      <c r="Q665" s="31" t="str">
        <f aca="false">IF(D665="","",IFERROR(INDEX(Sancoes!$D:$D,MATCH(D665,Sancoes!$C:$C,0)),"não consta"))</f>
        <v/>
      </c>
      <c r="R665" s="25" t="str">
        <f aca="false">IF(OR(D665="",H665=""),"",IF(SUMPRODUCT((Sancoes!$C$5:$C$304=D665)*(Sancoes!$G$5:$G$304&lt;=H665)*(((Sancoes!$H$5:$H$304="")+(Sancoes!$H$5:$H$304&gt;=H665))&gt;0))&gt;0,"SANÇÃO VIGENTE NA DATA — ler tipo e abrangência",""))</f>
        <v/>
      </c>
      <c r="S665" s="24"/>
      <c r="T665" s="11"/>
    </row>
    <row r="666" customFormat="false" ht="15" hidden="false" customHeight="false" outlineLevel="0" collapsed="false">
      <c r="A666" s="11"/>
      <c r="B666" s="24"/>
      <c r="C666" s="24"/>
      <c r="D666" s="31" t="str">
        <f aca="false">IF(C666="","",IF(LEN(UPPER(SUBSTITUTE(SUBSTITUTE(SUBSTITUTE(SUBSTITUTE(TRIM(C666),".",""),"/",""),"-","")," ","")))&lt;14,RIGHT(REPT("0",14)&amp;UPPER(SUBSTITUTE(SUBSTITUTE(SUBSTITUTE(SUBSTITUTE(TRIM(C666),".",""),"/",""),"-","")," ","")),14),UPPER(SUBSTITUTE(SUBSTITUTE(SUBSTITUTE(SUBSTITUTE(TRIM(C666),".",""),"/",""),"-","")," ",""))))</f>
        <v/>
      </c>
      <c r="E666" s="25" t="str">
        <f aca="false">IF(D666="","",IFERROR(INDEX(Empresas!$C:$C,MATCH(D666,Empresas!$B:$B,0)),"cadastre o CNPJ em Empresas"))</f>
        <v/>
      </c>
      <c r="F666" s="11"/>
      <c r="G666" s="23"/>
      <c r="H666" s="22"/>
      <c r="I666" s="35"/>
      <c r="J666" s="35"/>
      <c r="K666" s="36" t="str">
        <f aca="false">IF(I666="","",I666+J666)</f>
        <v/>
      </c>
      <c r="L666" s="37" t="str">
        <f aca="false">IF(OR(I666="",I666=0,J666=""),"",J666/I666)</f>
        <v/>
      </c>
      <c r="M666" s="25" t="str">
        <f aca="false">IF(L666="","",IF(L666&gt;0.25,"ACRÉSCIMO ACIMA DE 25% — conferir",""))</f>
        <v/>
      </c>
      <c r="N666" s="29" t="str">
        <f aca="false">IF(D666="","",IF(COUNTIFS(Empresas!$B:$B,D666,Empresas!$E:$E,"&lt;&gt;")=0,"",INDEX(Empresas!$E:$E,MATCH(D666,Empresas!$B:$B,0))))</f>
        <v/>
      </c>
      <c r="O666" s="27" t="str">
        <f aca="false">IF(OR(N666="",H666=""),"",H666-N666)</f>
        <v/>
      </c>
      <c r="P666" s="25" t="str">
        <f aca="false">IF(O666="","",IF(O666&lt;0,"CONTRATO ANTERIOR À ABERTURA — conferir datas",IF(O666&lt;180,"EMPRESA ABERTA MENOS DE 6 MESES ANTES","")))</f>
        <v/>
      </c>
      <c r="Q666" s="31" t="str">
        <f aca="false">IF(D666="","",IFERROR(INDEX(Sancoes!$D:$D,MATCH(D666,Sancoes!$C:$C,0)),"não consta"))</f>
        <v/>
      </c>
      <c r="R666" s="25" t="str">
        <f aca="false">IF(OR(D666="",H666=""),"",IF(SUMPRODUCT((Sancoes!$C$5:$C$304=D666)*(Sancoes!$G$5:$G$304&lt;=H666)*(((Sancoes!$H$5:$H$304="")+(Sancoes!$H$5:$H$304&gt;=H666))&gt;0))&gt;0,"SANÇÃO VIGENTE NA DATA — ler tipo e abrangência",""))</f>
        <v/>
      </c>
      <c r="S666" s="24"/>
      <c r="T666" s="11"/>
    </row>
    <row r="667" customFormat="false" ht="15" hidden="false" customHeight="false" outlineLevel="0" collapsed="false">
      <c r="A667" s="11"/>
      <c r="B667" s="24"/>
      <c r="C667" s="24"/>
      <c r="D667" s="31" t="str">
        <f aca="false">IF(C667="","",IF(LEN(UPPER(SUBSTITUTE(SUBSTITUTE(SUBSTITUTE(SUBSTITUTE(TRIM(C667),".",""),"/",""),"-","")," ","")))&lt;14,RIGHT(REPT("0",14)&amp;UPPER(SUBSTITUTE(SUBSTITUTE(SUBSTITUTE(SUBSTITUTE(TRIM(C667),".",""),"/",""),"-","")," ","")),14),UPPER(SUBSTITUTE(SUBSTITUTE(SUBSTITUTE(SUBSTITUTE(TRIM(C667),".",""),"/",""),"-","")," ",""))))</f>
        <v/>
      </c>
      <c r="E667" s="25" t="str">
        <f aca="false">IF(D667="","",IFERROR(INDEX(Empresas!$C:$C,MATCH(D667,Empresas!$B:$B,0)),"cadastre o CNPJ em Empresas"))</f>
        <v/>
      </c>
      <c r="F667" s="11"/>
      <c r="G667" s="23"/>
      <c r="H667" s="22"/>
      <c r="I667" s="35"/>
      <c r="J667" s="35"/>
      <c r="K667" s="36" t="str">
        <f aca="false">IF(I667="","",I667+J667)</f>
        <v/>
      </c>
      <c r="L667" s="37" t="str">
        <f aca="false">IF(OR(I667="",I667=0,J667=""),"",J667/I667)</f>
        <v/>
      </c>
      <c r="M667" s="25" t="str">
        <f aca="false">IF(L667="","",IF(L667&gt;0.25,"ACRÉSCIMO ACIMA DE 25% — conferir",""))</f>
        <v/>
      </c>
      <c r="N667" s="29" t="str">
        <f aca="false">IF(D667="","",IF(COUNTIFS(Empresas!$B:$B,D667,Empresas!$E:$E,"&lt;&gt;")=0,"",INDEX(Empresas!$E:$E,MATCH(D667,Empresas!$B:$B,0))))</f>
        <v/>
      </c>
      <c r="O667" s="27" t="str">
        <f aca="false">IF(OR(N667="",H667=""),"",H667-N667)</f>
        <v/>
      </c>
      <c r="P667" s="25" t="str">
        <f aca="false">IF(O667="","",IF(O667&lt;0,"CONTRATO ANTERIOR À ABERTURA — conferir datas",IF(O667&lt;180,"EMPRESA ABERTA MENOS DE 6 MESES ANTES","")))</f>
        <v/>
      </c>
      <c r="Q667" s="31" t="str">
        <f aca="false">IF(D667="","",IFERROR(INDEX(Sancoes!$D:$D,MATCH(D667,Sancoes!$C:$C,0)),"não consta"))</f>
        <v/>
      </c>
      <c r="R667" s="25" t="str">
        <f aca="false">IF(OR(D667="",H667=""),"",IF(SUMPRODUCT((Sancoes!$C$5:$C$304=D667)*(Sancoes!$G$5:$G$304&lt;=H667)*(((Sancoes!$H$5:$H$304="")+(Sancoes!$H$5:$H$304&gt;=H667))&gt;0))&gt;0,"SANÇÃO VIGENTE NA DATA — ler tipo e abrangência",""))</f>
        <v/>
      </c>
      <c r="S667" s="24"/>
      <c r="T667" s="11"/>
    </row>
    <row r="668" customFormat="false" ht="15" hidden="false" customHeight="false" outlineLevel="0" collapsed="false">
      <c r="A668" s="11"/>
      <c r="B668" s="24"/>
      <c r="C668" s="24"/>
      <c r="D668" s="31" t="str">
        <f aca="false">IF(C668="","",IF(LEN(UPPER(SUBSTITUTE(SUBSTITUTE(SUBSTITUTE(SUBSTITUTE(TRIM(C668),".",""),"/",""),"-","")," ","")))&lt;14,RIGHT(REPT("0",14)&amp;UPPER(SUBSTITUTE(SUBSTITUTE(SUBSTITUTE(SUBSTITUTE(TRIM(C668),".",""),"/",""),"-","")," ","")),14),UPPER(SUBSTITUTE(SUBSTITUTE(SUBSTITUTE(SUBSTITUTE(TRIM(C668),".",""),"/",""),"-","")," ",""))))</f>
        <v/>
      </c>
      <c r="E668" s="25" t="str">
        <f aca="false">IF(D668="","",IFERROR(INDEX(Empresas!$C:$C,MATCH(D668,Empresas!$B:$B,0)),"cadastre o CNPJ em Empresas"))</f>
        <v/>
      </c>
      <c r="F668" s="11"/>
      <c r="G668" s="23"/>
      <c r="H668" s="22"/>
      <c r="I668" s="35"/>
      <c r="J668" s="35"/>
      <c r="K668" s="36" t="str">
        <f aca="false">IF(I668="","",I668+J668)</f>
        <v/>
      </c>
      <c r="L668" s="37" t="str">
        <f aca="false">IF(OR(I668="",I668=0,J668=""),"",J668/I668)</f>
        <v/>
      </c>
      <c r="M668" s="25" t="str">
        <f aca="false">IF(L668="","",IF(L668&gt;0.25,"ACRÉSCIMO ACIMA DE 25% — conferir",""))</f>
        <v/>
      </c>
      <c r="N668" s="29" t="str">
        <f aca="false">IF(D668="","",IF(COUNTIFS(Empresas!$B:$B,D668,Empresas!$E:$E,"&lt;&gt;")=0,"",INDEX(Empresas!$E:$E,MATCH(D668,Empresas!$B:$B,0))))</f>
        <v/>
      </c>
      <c r="O668" s="27" t="str">
        <f aca="false">IF(OR(N668="",H668=""),"",H668-N668)</f>
        <v/>
      </c>
      <c r="P668" s="25" t="str">
        <f aca="false">IF(O668="","",IF(O668&lt;0,"CONTRATO ANTERIOR À ABERTURA — conferir datas",IF(O668&lt;180,"EMPRESA ABERTA MENOS DE 6 MESES ANTES","")))</f>
        <v/>
      </c>
      <c r="Q668" s="31" t="str">
        <f aca="false">IF(D668="","",IFERROR(INDEX(Sancoes!$D:$D,MATCH(D668,Sancoes!$C:$C,0)),"não consta"))</f>
        <v/>
      </c>
      <c r="R668" s="25" t="str">
        <f aca="false">IF(OR(D668="",H668=""),"",IF(SUMPRODUCT((Sancoes!$C$5:$C$304=D668)*(Sancoes!$G$5:$G$304&lt;=H668)*(((Sancoes!$H$5:$H$304="")+(Sancoes!$H$5:$H$304&gt;=H668))&gt;0))&gt;0,"SANÇÃO VIGENTE NA DATA — ler tipo e abrangência",""))</f>
        <v/>
      </c>
      <c r="S668" s="24"/>
      <c r="T668" s="11"/>
    </row>
    <row r="669" customFormat="false" ht="15" hidden="false" customHeight="false" outlineLevel="0" collapsed="false">
      <c r="A669" s="11"/>
      <c r="B669" s="24"/>
      <c r="C669" s="24"/>
      <c r="D669" s="31" t="str">
        <f aca="false">IF(C669="","",IF(LEN(UPPER(SUBSTITUTE(SUBSTITUTE(SUBSTITUTE(SUBSTITUTE(TRIM(C669),".",""),"/",""),"-","")," ","")))&lt;14,RIGHT(REPT("0",14)&amp;UPPER(SUBSTITUTE(SUBSTITUTE(SUBSTITUTE(SUBSTITUTE(TRIM(C669),".",""),"/",""),"-","")," ","")),14),UPPER(SUBSTITUTE(SUBSTITUTE(SUBSTITUTE(SUBSTITUTE(TRIM(C669),".",""),"/",""),"-","")," ",""))))</f>
        <v/>
      </c>
      <c r="E669" s="25" t="str">
        <f aca="false">IF(D669="","",IFERROR(INDEX(Empresas!$C:$C,MATCH(D669,Empresas!$B:$B,0)),"cadastre o CNPJ em Empresas"))</f>
        <v/>
      </c>
      <c r="F669" s="11"/>
      <c r="G669" s="23"/>
      <c r="H669" s="22"/>
      <c r="I669" s="35"/>
      <c r="J669" s="35"/>
      <c r="K669" s="36" t="str">
        <f aca="false">IF(I669="","",I669+J669)</f>
        <v/>
      </c>
      <c r="L669" s="37" t="str">
        <f aca="false">IF(OR(I669="",I669=0,J669=""),"",J669/I669)</f>
        <v/>
      </c>
      <c r="M669" s="25" t="str">
        <f aca="false">IF(L669="","",IF(L669&gt;0.25,"ACRÉSCIMO ACIMA DE 25% — conferir",""))</f>
        <v/>
      </c>
      <c r="N669" s="29" t="str">
        <f aca="false">IF(D669="","",IF(COUNTIFS(Empresas!$B:$B,D669,Empresas!$E:$E,"&lt;&gt;")=0,"",INDEX(Empresas!$E:$E,MATCH(D669,Empresas!$B:$B,0))))</f>
        <v/>
      </c>
      <c r="O669" s="27" t="str">
        <f aca="false">IF(OR(N669="",H669=""),"",H669-N669)</f>
        <v/>
      </c>
      <c r="P669" s="25" t="str">
        <f aca="false">IF(O669="","",IF(O669&lt;0,"CONTRATO ANTERIOR À ABERTURA — conferir datas",IF(O669&lt;180,"EMPRESA ABERTA MENOS DE 6 MESES ANTES","")))</f>
        <v/>
      </c>
      <c r="Q669" s="31" t="str">
        <f aca="false">IF(D669="","",IFERROR(INDEX(Sancoes!$D:$D,MATCH(D669,Sancoes!$C:$C,0)),"não consta"))</f>
        <v/>
      </c>
      <c r="R669" s="25" t="str">
        <f aca="false">IF(OR(D669="",H669=""),"",IF(SUMPRODUCT((Sancoes!$C$5:$C$304=D669)*(Sancoes!$G$5:$G$304&lt;=H669)*(((Sancoes!$H$5:$H$304="")+(Sancoes!$H$5:$H$304&gt;=H669))&gt;0))&gt;0,"SANÇÃO VIGENTE NA DATA — ler tipo e abrangência",""))</f>
        <v/>
      </c>
      <c r="S669" s="24"/>
      <c r="T669" s="11"/>
    </row>
    <row r="670" customFormat="false" ht="15" hidden="false" customHeight="false" outlineLevel="0" collapsed="false">
      <c r="A670" s="11"/>
      <c r="B670" s="24"/>
      <c r="C670" s="24"/>
      <c r="D670" s="31" t="str">
        <f aca="false">IF(C670="","",IF(LEN(UPPER(SUBSTITUTE(SUBSTITUTE(SUBSTITUTE(SUBSTITUTE(TRIM(C670),".",""),"/",""),"-","")," ","")))&lt;14,RIGHT(REPT("0",14)&amp;UPPER(SUBSTITUTE(SUBSTITUTE(SUBSTITUTE(SUBSTITUTE(TRIM(C670),".",""),"/",""),"-","")," ","")),14),UPPER(SUBSTITUTE(SUBSTITUTE(SUBSTITUTE(SUBSTITUTE(TRIM(C670),".",""),"/",""),"-","")," ",""))))</f>
        <v/>
      </c>
      <c r="E670" s="25" t="str">
        <f aca="false">IF(D670="","",IFERROR(INDEX(Empresas!$C:$C,MATCH(D670,Empresas!$B:$B,0)),"cadastre o CNPJ em Empresas"))</f>
        <v/>
      </c>
      <c r="F670" s="11"/>
      <c r="G670" s="23"/>
      <c r="H670" s="22"/>
      <c r="I670" s="35"/>
      <c r="J670" s="35"/>
      <c r="K670" s="36" t="str">
        <f aca="false">IF(I670="","",I670+J670)</f>
        <v/>
      </c>
      <c r="L670" s="37" t="str">
        <f aca="false">IF(OR(I670="",I670=0,J670=""),"",J670/I670)</f>
        <v/>
      </c>
      <c r="M670" s="25" t="str">
        <f aca="false">IF(L670="","",IF(L670&gt;0.25,"ACRÉSCIMO ACIMA DE 25% — conferir",""))</f>
        <v/>
      </c>
      <c r="N670" s="29" t="str">
        <f aca="false">IF(D670="","",IF(COUNTIFS(Empresas!$B:$B,D670,Empresas!$E:$E,"&lt;&gt;")=0,"",INDEX(Empresas!$E:$E,MATCH(D670,Empresas!$B:$B,0))))</f>
        <v/>
      </c>
      <c r="O670" s="27" t="str">
        <f aca="false">IF(OR(N670="",H670=""),"",H670-N670)</f>
        <v/>
      </c>
      <c r="P670" s="25" t="str">
        <f aca="false">IF(O670="","",IF(O670&lt;0,"CONTRATO ANTERIOR À ABERTURA — conferir datas",IF(O670&lt;180,"EMPRESA ABERTA MENOS DE 6 MESES ANTES","")))</f>
        <v/>
      </c>
      <c r="Q670" s="31" t="str">
        <f aca="false">IF(D670="","",IFERROR(INDEX(Sancoes!$D:$D,MATCH(D670,Sancoes!$C:$C,0)),"não consta"))</f>
        <v/>
      </c>
      <c r="R670" s="25" t="str">
        <f aca="false">IF(OR(D670="",H670=""),"",IF(SUMPRODUCT((Sancoes!$C$5:$C$304=D670)*(Sancoes!$G$5:$G$304&lt;=H670)*(((Sancoes!$H$5:$H$304="")+(Sancoes!$H$5:$H$304&gt;=H670))&gt;0))&gt;0,"SANÇÃO VIGENTE NA DATA — ler tipo e abrangência",""))</f>
        <v/>
      </c>
      <c r="S670" s="24"/>
      <c r="T670" s="11"/>
    </row>
    <row r="671" customFormat="false" ht="15" hidden="false" customHeight="false" outlineLevel="0" collapsed="false">
      <c r="A671" s="11"/>
      <c r="B671" s="24"/>
      <c r="C671" s="24"/>
      <c r="D671" s="31" t="str">
        <f aca="false">IF(C671="","",IF(LEN(UPPER(SUBSTITUTE(SUBSTITUTE(SUBSTITUTE(SUBSTITUTE(TRIM(C671),".",""),"/",""),"-","")," ","")))&lt;14,RIGHT(REPT("0",14)&amp;UPPER(SUBSTITUTE(SUBSTITUTE(SUBSTITUTE(SUBSTITUTE(TRIM(C671),".",""),"/",""),"-","")," ","")),14),UPPER(SUBSTITUTE(SUBSTITUTE(SUBSTITUTE(SUBSTITUTE(TRIM(C671),".",""),"/",""),"-","")," ",""))))</f>
        <v/>
      </c>
      <c r="E671" s="25" t="str">
        <f aca="false">IF(D671="","",IFERROR(INDEX(Empresas!$C:$C,MATCH(D671,Empresas!$B:$B,0)),"cadastre o CNPJ em Empresas"))</f>
        <v/>
      </c>
      <c r="F671" s="11"/>
      <c r="G671" s="23"/>
      <c r="H671" s="22"/>
      <c r="I671" s="35"/>
      <c r="J671" s="35"/>
      <c r="K671" s="36" t="str">
        <f aca="false">IF(I671="","",I671+J671)</f>
        <v/>
      </c>
      <c r="L671" s="37" t="str">
        <f aca="false">IF(OR(I671="",I671=0,J671=""),"",J671/I671)</f>
        <v/>
      </c>
      <c r="M671" s="25" t="str">
        <f aca="false">IF(L671="","",IF(L671&gt;0.25,"ACRÉSCIMO ACIMA DE 25% — conferir",""))</f>
        <v/>
      </c>
      <c r="N671" s="29" t="str">
        <f aca="false">IF(D671="","",IF(COUNTIFS(Empresas!$B:$B,D671,Empresas!$E:$E,"&lt;&gt;")=0,"",INDEX(Empresas!$E:$E,MATCH(D671,Empresas!$B:$B,0))))</f>
        <v/>
      </c>
      <c r="O671" s="27" t="str">
        <f aca="false">IF(OR(N671="",H671=""),"",H671-N671)</f>
        <v/>
      </c>
      <c r="P671" s="25" t="str">
        <f aca="false">IF(O671="","",IF(O671&lt;0,"CONTRATO ANTERIOR À ABERTURA — conferir datas",IF(O671&lt;180,"EMPRESA ABERTA MENOS DE 6 MESES ANTES","")))</f>
        <v/>
      </c>
      <c r="Q671" s="31" t="str">
        <f aca="false">IF(D671="","",IFERROR(INDEX(Sancoes!$D:$D,MATCH(D671,Sancoes!$C:$C,0)),"não consta"))</f>
        <v/>
      </c>
      <c r="R671" s="25" t="str">
        <f aca="false">IF(OR(D671="",H671=""),"",IF(SUMPRODUCT((Sancoes!$C$5:$C$304=D671)*(Sancoes!$G$5:$G$304&lt;=H671)*(((Sancoes!$H$5:$H$304="")+(Sancoes!$H$5:$H$304&gt;=H671))&gt;0))&gt;0,"SANÇÃO VIGENTE NA DATA — ler tipo e abrangência",""))</f>
        <v/>
      </c>
      <c r="S671" s="24"/>
      <c r="T671" s="11"/>
    </row>
    <row r="672" customFormat="false" ht="15" hidden="false" customHeight="false" outlineLevel="0" collapsed="false">
      <c r="A672" s="11"/>
      <c r="B672" s="24"/>
      <c r="C672" s="24"/>
      <c r="D672" s="31" t="str">
        <f aca="false">IF(C672="","",IF(LEN(UPPER(SUBSTITUTE(SUBSTITUTE(SUBSTITUTE(SUBSTITUTE(TRIM(C672),".",""),"/",""),"-","")," ","")))&lt;14,RIGHT(REPT("0",14)&amp;UPPER(SUBSTITUTE(SUBSTITUTE(SUBSTITUTE(SUBSTITUTE(TRIM(C672),".",""),"/",""),"-","")," ","")),14),UPPER(SUBSTITUTE(SUBSTITUTE(SUBSTITUTE(SUBSTITUTE(TRIM(C672),".",""),"/",""),"-","")," ",""))))</f>
        <v/>
      </c>
      <c r="E672" s="25" t="str">
        <f aca="false">IF(D672="","",IFERROR(INDEX(Empresas!$C:$C,MATCH(D672,Empresas!$B:$B,0)),"cadastre o CNPJ em Empresas"))</f>
        <v/>
      </c>
      <c r="F672" s="11"/>
      <c r="G672" s="23"/>
      <c r="H672" s="22"/>
      <c r="I672" s="35"/>
      <c r="J672" s="35"/>
      <c r="K672" s="36" t="str">
        <f aca="false">IF(I672="","",I672+J672)</f>
        <v/>
      </c>
      <c r="L672" s="37" t="str">
        <f aca="false">IF(OR(I672="",I672=0,J672=""),"",J672/I672)</f>
        <v/>
      </c>
      <c r="M672" s="25" t="str">
        <f aca="false">IF(L672="","",IF(L672&gt;0.25,"ACRÉSCIMO ACIMA DE 25% — conferir",""))</f>
        <v/>
      </c>
      <c r="N672" s="29" t="str">
        <f aca="false">IF(D672="","",IF(COUNTIFS(Empresas!$B:$B,D672,Empresas!$E:$E,"&lt;&gt;")=0,"",INDEX(Empresas!$E:$E,MATCH(D672,Empresas!$B:$B,0))))</f>
        <v/>
      </c>
      <c r="O672" s="27" t="str">
        <f aca="false">IF(OR(N672="",H672=""),"",H672-N672)</f>
        <v/>
      </c>
      <c r="P672" s="25" t="str">
        <f aca="false">IF(O672="","",IF(O672&lt;0,"CONTRATO ANTERIOR À ABERTURA — conferir datas",IF(O672&lt;180,"EMPRESA ABERTA MENOS DE 6 MESES ANTES","")))</f>
        <v/>
      </c>
      <c r="Q672" s="31" t="str">
        <f aca="false">IF(D672="","",IFERROR(INDEX(Sancoes!$D:$D,MATCH(D672,Sancoes!$C:$C,0)),"não consta"))</f>
        <v/>
      </c>
      <c r="R672" s="25" t="str">
        <f aca="false">IF(OR(D672="",H672=""),"",IF(SUMPRODUCT((Sancoes!$C$5:$C$304=D672)*(Sancoes!$G$5:$G$304&lt;=H672)*(((Sancoes!$H$5:$H$304="")+(Sancoes!$H$5:$H$304&gt;=H672))&gt;0))&gt;0,"SANÇÃO VIGENTE NA DATA — ler tipo e abrangência",""))</f>
        <v/>
      </c>
      <c r="S672" s="24"/>
      <c r="T672" s="11"/>
    </row>
    <row r="673" customFormat="false" ht="15" hidden="false" customHeight="false" outlineLevel="0" collapsed="false">
      <c r="A673" s="11"/>
      <c r="B673" s="24"/>
      <c r="C673" s="24"/>
      <c r="D673" s="31" t="str">
        <f aca="false">IF(C673="","",IF(LEN(UPPER(SUBSTITUTE(SUBSTITUTE(SUBSTITUTE(SUBSTITUTE(TRIM(C673),".",""),"/",""),"-","")," ","")))&lt;14,RIGHT(REPT("0",14)&amp;UPPER(SUBSTITUTE(SUBSTITUTE(SUBSTITUTE(SUBSTITUTE(TRIM(C673),".",""),"/",""),"-","")," ","")),14),UPPER(SUBSTITUTE(SUBSTITUTE(SUBSTITUTE(SUBSTITUTE(TRIM(C673),".",""),"/",""),"-","")," ",""))))</f>
        <v/>
      </c>
      <c r="E673" s="25" t="str">
        <f aca="false">IF(D673="","",IFERROR(INDEX(Empresas!$C:$C,MATCH(D673,Empresas!$B:$B,0)),"cadastre o CNPJ em Empresas"))</f>
        <v/>
      </c>
      <c r="F673" s="11"/>
      <c r="G673" s="23"/>
      <c r="H673" s="22"/>
      <c r="I673" s="35"/>
      <c r="J673" s="35"/>
      <c r="K673" s="36" t="str">
        <f aca="false">IF(I673="","",I673+J673)</f>
        <v/>
      </c>
      <c r="L673" s="37" t="str">
        <f aca="false">IF(OR(I673="",I673=0,J673=""),"",J673/I673)</f>
        <v/>
      </c>
      <c r="M673" s="25" t="str">
        <f aca="false">IF(L673="","",IF(L673&gt;0.25,"ACRÉSCIMO ACIMA DE 25% — conferir",""))</f>
        <v/>
      </c>
      <c r="N673" s="29" t="str">
        <f aca="false">IF(D673="","",IF(COUNTIFS(Empresas!$B:$B,D673,Empresas!$E:$E,"&lt;&gt;")=0,"",INDEX(Empresas!$E:$E,MATCH(D673,Empresas!$B:$B,0))))</f>
        <v/>
      </c>
      <c r="O673" s="27" t="str">
        <f aca="false">IF(OR(N673="",H673=""),"",H673-N673)</f>
        <v/>
      </c>
      <c r="P673" s="25" t="str">
        <f aca="false">IF(O673="","",IF(O673&lt;0,"CONTRATO ANTERIOR À ABERTURA — conferir datas",IF(O673&lt;180,"EMPRESA ABERTA MENOS DE 6 MESES ANTES","")))</f>
        <v/>
      </c>
      <c r="Q673" s="31" t="str">
        <f aca="false">IF(D673="","",IFERROR(INDEX(Sancoes!$D:$D,MATCH(D673,Sancoes!$C:$C,0)),"não consta"))</f>
        <v/>
      </c>
      <c r="R673" s="25" t="str">
        <f aca="false">IF(OR(D673="",H673=""),"",IF(SUMPRODUCT((Sancoes!$C$5:$C$304=D673)*(Sancoes!$G$5:$G$304&lt;=H673)*(((Sancoes!$H$5:$H$304="")+(Sancoes!$H$5:$H$304&gt;=H673))&gt;0))&gt;0,"SANÇÃO VIGENTE NA DATA — ler tipo e abrangência",""))</f>
        <v/>
      </c>
      <c r="S673" s="24"/>
      <c r="T673" s="11"/>
    </row>
    <row r="674" customFormat="false" ht="15" hidden="false" customHeight="false" outlineLevel="0" collapsed="false">
      <c r="A674" s="11"/>
      <c r="B674" s="24"/>
      <c r="C674" s="24"/>
      <c r="D674" s="31" t="str">
        <f aca="false">IF(C674="","",IF(LEN(UPPER(SUBSTITUTE(SUBSTITUTE(SUBSTITUTE(SUBSTITUTE(TRIM(C674),".",""),"/",""),"-","")," ","")))&lt;14,RIGHT(REPT("0",14)&amp;UPPER(SUBSTITUTE(SUBSTITUTE(SUBSTITUTE(SUBSTITUTE(TRIM(C674),".",""),"/",""),"-","")," ","")),14),UPPER(SUBSTITUTE(SUBSTITUTE(SUBSTITUTE(SUBSTITUTE(TRIM(C674),".",""),"/",""),"-","")," ",""))))</f>
        <v/>
      </c>
      <c r="E674" s="25" t="str">
        <f aca="false">IF(D674="","",IFERROR(INDEX(Empresas!$C:$C,MATCH(D674,Empresas!$B:$B,0)),"cadastre o CNPJ em Empresas"))</f>
        <v/>
      </c>
      <c r="F674" s="11"/>
      <c r="G674" s="23"/>
      <c r="H674" s="22"/>
      <c r="I674" s="35"/>
      <c r="J674" s="35"/>
      <c r="K674" s="36" t="str">
        <f aca="false">IF(I674="","",I674+J674)</f>
        <v/>
      </c>
      <c r="L674" s="37" t="str">
        <f aca="false">IF(OR(I674="",I674=0,J674=""),"",J674/I674)</f>
        <v/>
      </c>
      <c r="M674" s="25" t="str">
        <f aca="false">IF(L674="","",IF(L674&gt;0.25,"ACRÉSCIMO ACIMA DE 25% — conferir",""))</f>
        <v/>
      </c>
      <c r="N674" s="29" t="str">
        <f aca="false">IF(D674="","",IF(COUNTIFS(Empresas!$B:$B,D674,Empresas!$E:$E,"&lt;&gt;")=0,"",INDEX(Empresas!$E:$E,MATCH(D674,Empresas!$B:$B,0))))</f>
        <v/>
      </c>
      <c r="O674" s="27" t="str">
        <f aca="false">IF(OR(N674="",H674=""),"",H674-N674)</f>
        <v/>
      </c>
      <c r="P674" s="25" t="str">
        <f aca="false">IF(O674="","",IF(O674&lt;0,"CONTRATO ANTERIOR À ABERTURA — conferir datas",IF(O674&lt;180,"EMPRESA ABERTA MENOS DE 6 MESES ANTES","")))</f>
        <v/>
      </c>
      <c r="Q674" s="31" t="str">
        <f aca="false">IF(D674="","",IFERROR(INDEX(Sancoes!$D:$D,MATCH(D674,Sancoes!$C:$C,0)),"não consta"))</f>
        <v/>
      </c>
      <c r="R674" s="25" t="str">
        <f aca="false">IF(OR(D674="",H674=""),"",IF(SUMPRODUCT((Sancoes!$C$5:$C$304=D674)*(Sancoes!$G$5:$G$304&lt;=H674)*(((Sancoes!$H$5:$H$304="")+(Sancoes!$H$5:$H$304&gt;=H674))&gt;0))&gt;0,"SANÇÃO VIGENTE NA DATA — ler tipo e abrangência",""))</f>
        <v/>
      </c>
      <c r="S674" s="24"/>
      <c r="T674" s="11"/>
    </row>
    <row r="675" customFormat="false" ht="15" hidden="false" customHeight="false" outlineLevel="0" collapsed="false">
      <c r="A675" s="11"/>
      <c r="B675" s="24"/>
      <c r="C675" s="24"/>
      <c r="D675" s="31" t="str">
        <f aca="false">IF(C675="","",IF(LEN(UPPER(SUBSTITUTE(SUBSTITUTE(SUBSTITUTE(SUBSTITUTE(TRIM(C675),".",""),"/",""),"-","")," ","")))&lt;14,RIGHT(REPT("0",14)&amp;UPPER(SUBSTITUTE(SUBSTITUTE(SUBSTITUTE(SUBSTITUTE(TRIM(C675),".",""),"/",""),"-","")," ","")),14),UPPER(SUBSTITUTE(SUBSTITUTE(SUBSTITUTE(SUBSTITUTE(TRIM(C675),".",""),"/",""),"-","")," ",""))))</f>
        <v/>
      </c>
      <c r="E675" s="25" t="str">
        <f aca="false">IF(D675="","",IFERROR(INDEX(Empresas!$C:$C,MATCH(D675,Empresas!$B:$B,0)),"cadastre o CNPJ em Empresas"))</f>
        <v/>
      </c>
      <c r="F675" s="11"/>
      <c r="G675" s="23"/>
      <c r="H675" s="22"/>
      <c r="I675" s="35"/>
      <c r="J675" s="35"/>
      <c r="K675" s="36" t="str">
        <f aca="false">IF(I675="","",I675+J675)</f>
        <v/>
      </c>
      <c r="L675" s="37" t="str">
        <f aca="false">IF(OR(I675="",I675=0,J675=""),"",J675/I675)</f>
        <v/>
      </c>
      <c r="M675" s="25" t="str">
        <f aca="false">IF(L675="","",IF(L675&gt;0.25,"ACRÉSCIMO ACIMA DE 25% — conferir",""))</f>
        <v/>
      </c>
      <c r="N675" s="29" t="str">
        <f aca="false">IF(D675="","",IF(COUNTIFS(Empresas!$B:$B,D675,Empresas!$E:$E,"&lt;&gt;")=0,"",INDEX(Empresas!$E:$E,MATCH(D675,Empresas!$B:$B,0))))</f>
        <v/>
      </c>
      <c r="O675" s="27" t="str">
        <f aca="false">IF(OR(N675="",H675=""),"",H675-N675)</f>
        <v/>
      </c>
      <c r="P675" s="25" t="str">
        <f aca="false">IF(O675="","",IF(O675&lt;0,"CONTRATO ANTERIOR À ABERTURA — conferir datas",IF(O675&lt;180,"EMPRESA ABERTA MENOS DE 6 MESES ANTES","")))</f>
        <v/>
      </c>
      <c r="Q675" s="31" t="str">
        <f aca="false">IF(D675="","",IFERROR(INDEX(Sancoes!$D:$D,MATCH(D675,Sancoes!$C:$C,0)),"não consta"))</f>
        <v/>
      </c>
      <c r="R675" s="25" t="str">
        <f aca="false">IF(OR(D675="",H675=""),"",IF(SUMPRODUCT((Sancoes!$C$5:$C$304=D675)*(Sancoes!$G$5:$G$304&lt;=H675)*(((Sancoes!$H$5:$H$304="")+(Sancoes!$H$5:$H$304&gt;=H675))&gt;0))&gt;0,"SANÇÃO VIGENTE NA DATA — ler tipo e abrangência",""))</f>
        <v/>
      </c>
      <c r="S675" s="24"/>
      <c r="T675" s="11"/>
    </row>
    <row r="676" customFormat="false" ht="15" hidden="false" customHeight="false" outlineLevel="0" collapsed="false">
      <c r="A676" s="11"/>
      <c r="B676" s="24"/>
      <c r="C676" s="24"/>
      <c r="D676" s="31" t="str">
        <f aca="false">IF(C676="","",IF(LEN(UPPER(SUBSTITUTE(SUBSTITUTE(SUBSTITUTE(SUBSTITUTE(TRIM(C676),".",""),"/",""),"-","")," ","")))&lt;14,RIGHT(REPT("0",14)&amp;UPPER(SUBSTITUTE(SUBSTITUTE(SUBSTITUTE(SUBSTITUTE(TRIM(C676),".",""),"/",""),"-","")," ","")),14),UPPER(SUBSTITUTE(SUBSTITUTE(SUBSTITUTE(SUBSTITUTE(TRIM(C676),".",""),"/",""),"-","")," ",""))))</f>
        <v/>
      </c>
      <c r="E676" s="25" t="str">
        <f aca="false">IF(D676="","",IFERROR(INDEX(Empresas!$C:$C,MATCH(D676,Empresas!$B:$B,0)),"cadastre o CNPJ em Empresas"))</f>
        <v/>
      </c>
      <c r="F676" s="11"/>
      <c r="G676" s="23"/>
      <c r="H676" s="22"/>
      <c r="I676" s="35"/>
      <c r="J676" s="35"/>
      <c r="K676" s="36" t="str">
        <f aca="false">IF(I676="","",I676+J676)</f>
        <v/>
      </c>
      <c r="L676" s="37" t="str">
        <f aca="false">IF(OR(I676="",I676=0,J676=""),"",J676/I676)</f>
        <v/>
      </c>
      <c r="M676" s="25" t="str">
        <f aca="false">IF(L676="","",IF(L676&gt;0.25,"ACRÉSCIMO ACIMA DE 25% — conferir",""))</f>
        <v/>
      </c>
      <c r="N676" s="29" t="str">
        <f aca="false">IF(D676="","",IF(COUNTIFS(Empresas!$B:$B,D676,Empresas!$E:$E,"&lt;&gt;")=0,"",INDEX(Empresas!$E:$E,MATCH(D676,Empresas!$B:$B,0))))</f>
        <v/>
      </c>
      <c r="O676" s="27" t="str">
        <f aca="false">IF(OR(N676="",H676=""),"",H676-N676)</f>
        <v/>
      </c>
      <c r="P676" s="25" t="str">
        <f aca="false">IF(O676="","",IF(O676&lt;0,"CONTRATO ANTERIOR À ABERTURA — conferir datas",IF(O676&lt;180,"EMPRESA ABERTA MENOS DE 6 MESES ANTES","")))</f>
        <v/>
      </c>
      <c r="Q676" s="31" t="str">
        <f aca="false">IF(D676="","",IFERROR(INDEX(Sancoes!$D:$D,MATCH(D676,Sancoes!$C:$C,0)),"não consta"))</f>
        <v/>
      </c>
      <c r="R676" s="25" t="str">
        <f aca="false">IF(OR(D676="",H676=""),"",IF(SUMPRODUCT((Sancoes!$C$5:$C$304=D676)*(Sancoes!$G$5:$G$304&lt;=H676)*(((Sancoes!$H$5:$H$304="")+(Sancoes!$H$5:$H$304&gt;=H676))&gt;0))&gt;0,"SANÇÃO VIGENTE NA DATA — ler tipo e abrangência",""))</f>
        <v/>
      </c>
      <c r="S676" s="24"/>
      <c r="T676" s="11"/>
    </row>
    <row r="677" customFormat="false" ht="15" hidden="false" customHeight="false" outlineLevel="0" collapsed="false">
      <c r="A677" s="11"/>
      <c r="B677" s="24"/>
      <c r="C677" s="24"/>
      <c r="D677" s="31" t="str">
        <f aca="false">IF(C677="","",IF(LEN(UPPER(SUBSTITUTE(SUBSTITUTE(SUBSTITUTE(SUBSTITUTE(TRIM(C677),".",""),"/",""),"-","")," ","")))&lt;14,RIGHT(REPT("0",14)&amp;UPPER(SUBSTITUTE(SUBSTITUTE(SUBSTITUTE(SUBSTITUTE(TRIM(C677),".",""),"/",""),"-","")," ","")),14),UPPER(SUBSTITUTE(SUBSTITUTE(SUBSTITUTE(SUBSTITUTE(TRIM(C677),".",""),"/",""),"-","")," ",""))))</f>
        <v/>
      </c>
      <c r="E677" s="25" t="str">
        <f aca="false">IF(D677="","",IFERROR(INDEX(Empresas!$C:$C,MATCH(D677,Empresas!$B:$B,0)),"cadastre o CNPJ em Empresas"))</f>
        <v/>
      </c>
      <c r="F677" s="11"/>
      <c r="G677" s="23"/>
      <c r="H677" s="22"/>
      <c r="I677" s="35"/>
      <c r="J677" s="35"/>
      <c r="K677" s="36" t="str">
        <f aca="false">IF(I677="","",I677+J677)</f>
        <v/>
      </c>
      <c r="L677" s="37" t="str">
        <f aca="false">IF(OR(I677="",I677=0,J677=""),"",J677/I677)</f>
        <v/>
      </c>
      <c r="M677" s="25" t="str">
        <f aca="false">IF(L677="","",IF(L677&gt;0.25,"ACRÉSCIMO ACIMA DE 25% — conferir",""))</f>
        <v/>
      </c>
      <c r="N677" s="29" t="str">
        <f aca="false">IF(D677="","",IF(COUNTIFS(Empresas!$B:$B,D677,Empresas!$E:$E,"&lt;&gt;")=0,"",INDEX(Empresas!$E:$E,MATCH(D677,Empresas!$B:$B,0))))</f>
        <v/>
      </c>
      <c r="O677" s="27" t="str">
        <f aca="false">IF(OR(N677="",H677=""),"",H677-N677)</f>
        <v/>
      </c>
      <c r="P677" s="25" t="str">
        <f aca="false">IF(O677="","",IF(O677&lt;0,"CONTRATO ANTERIOR À ABERTURA — conferir datas",IF(O677&lt;180,"EMPRESA ABERTA MENOS DE 6 MESES ANTES","")))</f>
        <v/>
      </c>
      <c r="Q677" s="31" t="str">
        <f aca="false">IF(D677="","",IFERROR(INDEX(Sancoes!$D:$D,MATCH(D677,Sancoes!$C:$C,0)),"não consta"))</f>
        <v/>
      </c>
      <c r="R677" s="25" t="str">
        <f aca="false">IF(OR(D677="",H677=""),"",IF(SUMPRODUCT((Sancoes!$C$5:$C$304=D677)*(Sancoes!$G$5:$G$304&lt;=H677)*(((Sancoes!$H$5:$H$304="")+(Sancoes!$H$5:$H$304&gt;=H677))&gt;0))&gt;0,"SANÇÃO VIGENTE NA DATA — ler tipo e abrangência",""))</f>
        <v/>
      </c>
      <c r="S677" s="24"/>
      <c r="T677" s="11"/>
    </row>
    <row r="678" customFormat="false" ht="15" hidden="false" customHeight="false" outlineLevel="0" collapsed="false">
      <c r="A678" s="11"/>
      <c r="B678" s="24"/>
      <c r="C678" s="24"/>
      <c r="D678" s="31" t="str">
        <f aca="false">IF(C678="","",IF(LEN(UPPER(SUBSTITUTE(SUBSTITUTE(SUBSTITUTE(SUBSTITUTE(TRIM(C678),".",""),"/",""),"-","")," ","")))&lt;14,RIGHT(REPT("0",14)&amp;UPPER(SUBSTITUTE(SUBSTITUTE(SUBSTITUTE(SUBSTITUTE(TRIM(C678),".",""),"/",""),"-","")," ","")),14),UPPER(SUBSTITUTE(SUBSTITUTE(SUBSTITUTE(SUBSTITUTE(TRIM(C678),".",""),"/",""),"-","")," ",""))))</f>
        <v/>
      </c>
      <c r="E678" s="25" t="str">
        <f aca="false">IF(D678="","",IFERROR(INDEX(Empresas!$C:$C,MATCH(D678,Empresas!$B:$B,0)),"cadastre o CNPJ em Empresas"))</f>
        <v/>
      </c>
      <c r="F678" s="11"/>
      <c r="G678" s="23"/>
      <c r="H678" s="22"/>
      <c r="I678" s="35"/>
      <c r="J678" s="35"/>
      <c r="K678" s="36" t="str">
        <f aca="false">IF(I678="","",I678+J678)</f>
        <v/>
      </c>
      <c r="L678" s="37" t="str">
        <f aca="false">IF(OR(I678="",I678=0,J678=""),"",J678/I678)</f>
        <v/>
      </c>
      <c r="M678" s="25" t="str">
        <f aca="false">IF(L678="","",IF(L678&gt;0.25,"ACRÉSCIMO ACIMA DE 25% — conferir",""))</f>
        <v/>
      </c>
      <c r="N678" s="29" t="str">
        <f aca="false">IF(D678="","",IF(COUNTIFS(Empresas!$B:$B,D678,Empresas!$E:$E,"&lt;&gt;")=0,"",INDEX(Empresas!$E:$E,MATCH(D678,Empresas!$B:$B,0))))</f>
        <v/>
      </c>
      <c r="O678" s="27" t="str">
        <f aca="false">IF(OR(N678="",H678=""),"",H678-N678)</f>
        <v/>
      </c>
      <c r="P678" s="25" t="str">
        <f aca="false">IF(O678="","",IF(O678&lt;0,"CONTRATO ANTERIOR À ABERTURA — conferir datas",IF(O678&lt;180,"EMPRESA ABERTA MENOS DE 6 MESES ANTES","")))</f>
        <v/>
      </c>
      <c r="Q678" s="31" t="str">
        <f aca="false">IF(D678="","",IFERROR(INDEX(Sancoes!$D:$D,MATCH(D678,Sancoes!$C:$C,0)),"não consta"))</f>
        <v/>
      </c>
      <c r="R678" s="25" t="str">
        <f aca="false">IF(OR(D678="",H678=""),"",IF(SUMPRODUCT((Sancoes!$C$5:$C$304=D678)*(Sancoes!$G$5:$G$304&lt;=H678)*(((Sancoes!$H$5:$H$304="")+(Sancoes!$H$5:$H$304&gt;=H678))&gt;0))&gt;0,"SANÇÃO VIGENTE NA DATA — ler tipo e abrangência",""))</f>
        <v/>
      </c>
      <c r="S678" s="24"/>
      <c r="T678" s="11"/>
    </row>
    <row r="679" customFormat="false" ht="15" hidden="false" customHeight="false" outlineLevel="0" collapsed="false">
      <c r="A679" s="11"/>
      <c r="B679" s="24"/>
      <c r="C679" s="24"/>
      <c r="D679" s="31" t="str">
        <f aca="false">IF(C679="","",IF(LEN(UPPER(SUBSTITUTE(SUBSTITUTE(SUBSTITUTE(SUBSTITUTE(TRIM(C679),".",""),"/",""),"-","")," ","")))&lt;14,RIGHT(REPT("0",14)&amp;UPPER(SUBSTITUTE(SUBSTITUTE(SUBSTITUTE(SUBSTITUTE(TRIM(C679),".",""),"/",""),"-","")," ","")),14),UPPER(SUBSTITUTE(SUBSTITUTE(SUBSTITUTE(SUBSTITUTE(TRIM(C679),".",""),"/",""),"-","")," ",""))))</f>
        <v/>
      </c>
      <c r="E679" s="25" t="str">
        <f aca="false">IF(D679="","",IFERROR(INDEX(Empresas!$C:$C,MATCH(D679,Empresas!$B:$B,0)),"cadastre o CNPJ em Empresas"))</f>
        <v/>
      </c>
      <c r="F679" s="11"/>
      <c r="G679" s="23"/>
      <c r="H679" s="22"/>
      <c r="I679" s="35"/>
      <c r="J679" s="35"/>
      <c r="K679" s="36" t="str">
        <f aca="false">IF(I679="","",I679+J679)</f>
        <v/>
      </c>
      <c r="L679" s="37" t="str">
        <f aca="false">IF(OR(I679="",I679=0,J679=""),"",J679/I679)</f>
        <v/>
      </c>
      <c r="M679" s="25" t="str">
        <f aca="false">IF(L679="","",IF(L679&gt;0.25,"ACRÉSCIMO ACIMA DE 25% — conferir",""))</f>
        <v/>
      </c>
      <c r="N679" s="29" t="str">
        <f aca="false">IF(D679="","",IF(COUNTIFS(Empresas!$B:$B,D679,Empresas!$E:$E,"&lt;&gt;")=0,"",INDEX(Empresas!$E:$E,MATCH(D679,Empresas!$B:$B,0))))</f>
        <v/>
      </c>
      <c r="O679" s="27" t="str">
        <f aca="false">IF(OR(N679="",H679=""),"",H679-N679)</f>
        <v/>
      </c>
      <c r="P679" s="25" t="str">
        <f aca="false">IF(O679="","",IF(O679&lt;0,"CONTRATO ANTERIOR À ABERTURA — conferir datas",IF(O679&lt;180,"EMPRESA ABERTA MENOS DE 6 MESES ANTES","")))</f>
        <v/>
      </c>
      <c r="Q679" s="31" t="str">
        <f aca="false">IF(D679="","",IFERROR(INDEX(Sancoes!$D:$D,MATCH(D679,Sancoes!$C:$C,0)),"não consta"))</f>
        <v/>
      </c>
      <c r="R679" s="25" t="str">
        <f aca="false">IF(OR(D679="",H679=""),"",IF(SUMPRODUCT((Sancoes!$C$5:$C$304=D679)*(Sancoes!$G$5:$G$304&lt;=H679)*(((Sancoes!$H$5:$H$304="")+(Sancoes!$H$5:$H$304&gt;=H679))&gt;0))&gt;0,"SANÇÃO VIGENTE NA DATA — ler tipo e abrangência",""))</f>
        <v/>
      </c>
      <c r="S679" s="24"/>
      <c r="T679" s="11"/>
    </row>
    <row r="680" customFormat="false" ht="15" hidden="false" customHeight="false" outlineLevel="0" collapsed="false">
      <c r="A680" s="11"/>
      <c r="B680" s="24"/>
      <c r="C680" s="24"/>
      <c r="D680" s="31" t="str">
        <f aca="false">IF(C680="","",IF(LEN(UPPER(SUBSTITUTE(SUBSTITUTE(SUBSTITUTE(SUBSTITUTE(TRIM(C680),".",""),"/",""),"-","")," ","")))&lt;14,RIGHT(REPT("0",14)&amp;UPPER(SUBSTITUTE(SUBSTITUTE(SUBSTITUTE(SUBSTITUTE(TRIM(C680),".",""),"/",""),"-","")," ","")),14),UPPER(SUBSTITUTE(SUBSTITUTE(SUBSTITUTE(SUBSTITUTE(TRIM(C680),".",""),"/",""),"-","")," ",""))))</f>
        <v/>
      </c>
      <c r="E680" s="25" t="str">
        <f aca="false">IF(D680="","",IFERROR(INDEX(Empresas!$C:$C,MATCH(D680,Empresas!$B:$B,0)),"cadastre o CNPJ em Empresas"))</f>
        <v/>
      </c>
      <c r="F680" s="11"/>
      <c r="G680" s="23"/>
      <c r="H680" s="22"/>
      <c r="I680" s="35"/>
      <c r="J680" s="35"/>
      <c r="K680" s="36" t="str">
        <f aca="false">IF(I680="","",I680+J680)</f>
        <v/>
      </c>
      <c r="L680" s="37" t="str">
        <f aca="false">IF(OR(I680="",I680=0,J680=""),"",J680/I680)</f>
        <v/>
      </c>
      <c r="M680" s="25" t="str">
        <f aca="false">IF(L680="","",IF(L680&gt;0.25,"ACRÉSCIMO ACIMA DE 25% — conferir",""))</f>
        <v/>
      </c>
      <c r="N680" s="29" t="str">
        <f aca="false">IF(D680="","",IF(COUNTIFS(Empresas!$B:$B,D680,Empresas!$E:$E,"&lt;&gt;")=0,"",INDEX(Empresas!$E:$E,MATCH(D680,Empresas!$B:$B,0))))</f>
        <v/>
      </c>
      <c r="O680" s="27" t="str">
        <f aca="false">IF(OR(N680="",H680=""),"",H680-N680)</f>
        <v/>
      </c>
      <c r="P680" s="25" t="str">
        <f aca="false">IF(O680="","",IF(O680&lt;0,"CONTRATO ANTERIOR À ABERTURA — conferir datas",IF(O680&lt;180,"EMPRESA ABERTA MENOS DE 6 MESES ANTES","")))</f>
        <v/>
      </c>
      <c r="Q680" s="31" t="str">
        <f aca="false">IF(D680="","",IFERROR(INDEX(Sancoes!$D:$D,MATCH(D680,Sancoes!$C:$C,0)),"não consta"))</f>
        <v/>
      </c>
      <c r="R680" s="25" t="str">
        <f aca="false">IF(OR(D680="",H680=""),"",IF(SUMPRODUCT((Sancoes!$C$5:$C$304=D680)*(Sancoes!$G$5:$G$304&lt;=H680)*(((Sancoes!$H$5:$H$304="")+(Sancoes!$H$5:$H$304&gt;=H680))&gt;0))&gt;0,"SANÇÃO VIGENTE NA DATA — ler tipo e abrangência",""))</f>
        <v/>
      </c>
      <c r="S680" s="24"/>
      <c r="T680" s="11"/>
    </row>
    <row r="681" customFormat="false" ht="15" hidden="false" customHeight="false" outlineLevel="0" collapsed="false">
      <c r="A681" s="11"/>
      <c r="B681" s="24"/>
      <c r="C681" s="24"/>
      <c r="D681" s="31" t="str">
        <f aca="false">IF(C681="","",IF(LEN(UPPER(SUBSTITUTE(SUBSTITUTE(SUBSTITUTE(SUBSTITUTE(TRIM(C681),".",""),"/",""),"-","")," ","")))&lt;14,RIGHT(REPT("0",14)&amp;UPPER(SUBSTITUTE(SUBSTITUTE(SUBSTITUTE(SUBSTITUTE(TRIM(C681),".",""),"/",""),"-","")," ","")),14),UPPER(SUBSTITUTE(SUBSTITUTE(SUBSTITUTE(SUBSTITUTE(TRIM(C681),".",""),"/",""),"-","")," ",""))))</f>
        <v/>
      </c>
      <c r="E681" s="25" t="str">
        <f aca="false">IF(D681="","",IFERROR(INDEX(Empresas!$C:$C,MATCH(D681,Empresas!$B:$B,0)),"cadastre o CNPJ em Empresas"))</f>
        <v/>
      </c>
      <c r="F681" s="11"/>
      <c r="G681" s="23"/>
      <c r="H681" s="22"/>
      <c r="I681" s="35"/>
      <c r="J681" s="35"/>
      <c r="K681" s="36" t="str">
        <f aca="false">IF(I681="","",I681+J681)</f>
        <v/>
      </c>
      <c r="L681" s="37" t="str">
        <f aca="false">IF(OR(I681="",I681=0,J681=""),"",J681/I681)</f>
        <v/>
      </c>
      <c r="M681" s="25" t="str">
        <f aca="false">IF(L681="","",IF(L681&gt;0.25,"ACRÉSCIMO ACIMA DE 25% — conferir",""))</f>
        <v/>
      </c>
      <c r="N681" s="29" t="str">
        <f aca="false">IF(D681="","",IF(COUNTIFS(Empresas!$B:$B,D681,Empresas!$E:$E,"&lt;&gt;")=0,"",INDEX(Empresas!$E:$E,MATCH(D681,Empresas!$B:$B,0))))</f>
        <v/>
      </c>
      <c r="O681" s="27" t="str">
        <f aca="false">IF(OR(N681="",H681=""),"",H681-N681)</f>
        <v/>
      </c>
      <c r="P681" s="25" t="str">
        <f aca="false">IF(O681="","",IF(O681&lt;0,"CONTRATO ANTERIOR À ABERTURA — conferir datas",IF(O681&lt;180,"EMPRESA ABERTA MENOS DE 6 MESES ANTES","")))</f>
        <v/>
      </c>
      <c r="Q681" s="31" t="str">
        <f aca="false">IF(D681="","",IFERROR(INDEX(Sancoes!$D:$D,MATCH(D681,Sancoes!$C:$C,0)),"não consta"))</f>
        <v/>
      </c>
      <c r="R681" s="25" t="str">
        <f aca="false">IF(OR(D681="",H681=""),"",IF(SUMPRODUCT((Sancoes!$C$5:$C$304=D681)*(Sancoes!$G$5:$G$304&lt;=H681)*(((Sancoes!$H$5:$H$304="")+(Sancoes!$H$5:$H$304&gt;=H681))&gt;0))&gt;0,"SANÇÃO VIGENTE NA DATA — ler tipo e abrangência",""))</f>
        <v/>
      </c>
      <c r="S681" s="24"/>
      <c r="T681" s="11"/>
    </row>
    <row r="682" customFormat="false" ht="15" hidden="false" customHeight="false" outlineLevel="0" collapsed="false">
      <c r="A682" s="11"/>
      <c r="B682" s="24"/>
      <c r="C682" s="24"/>
      <c r="D682" s="31" t="str">
        <f aca="false">IF(C682="","",IF(LEN(UPPER(SUBSTITUTE(SUBSTITUTE(SUBSTITUTE(SUBSTITUTE(TRIM(C682),".",""),"/",""),"-","")," ","")))&lt;14,RIGHT(REPT("0",14)&amp;UPPER(SUBSTITUTE(SUBSTITUTE(SUBSTITUTE(SUBSTITUTE(TRIM(C682),".",""),"/",""),"-","")," ","")),14),UPPER(SUBSTITUTE(SUBSTITUTE(SUBSTITUTE(SUBSTITUTE(TRIM(C682),".",""),"/",""),"-","")," ",""))))</f>
        <v/>
      </c>
      <c r="E682" s="25" t="str">
        <f aca="false">IF(D682="","",IFERROR(INDEX(Empresas!$C:$C,MATCH(D682,Empresas!$B:$B,0)),"cadastre o CNPJ em Empresas"))</f>
        <v/>
      </c>
      <c r="F682" s="11"/>
      <c r="G682" s="23"/>
      <c r="H682" s="22"/>
      <c r="I682" s="35"/>
      <c r="J682" s="35"/>
      <c r="K682" s="36" t="str">
        <f aca="false">IF(I682="","",I682+J682)</f>
        <v/>
      </c>
      <c r="L682" s="37" t="str">
        <f aca="false">IF(OR(I682="",I682=0,J682=""),"",J682/I682)</f>
        <v/>
      </c>
      <c r="M682" s="25" t="str">
        <f aca="false">IF(L682="","",IF(L682&gt;0.25,"ACRÉSCIMO ACIMA DE 25% — conferir",""))</f>
        <v/>
      </c>
      <c r="N682" s="29" t="str">
        <f aca="false">IF(D682="","",IF(COUNTIFS(Empresas!$B:$B,D682,Empresas!$E:$E,"&lt;&gt;")=0,"",INDEX(Empresas!$E:$E,MATCH(D682,Empresas!$B:$B,0))))</f>
        <v/>
      </c>
      <c r="O682" s="27" t="str">
        <f aca="false">IF(OR(N682="",H682=""),"",H682-N682)</f>
        <v/>
      </c>
      <c r="P682" s="25" t="str">
        <f aca="false">IF(O682="","",IF(O682&lt;0,"CONTRATO ANTERIOR À ABERTURA — conferir datas",IF(O682&lt;180,"EMPRESA ABERTA MENOS DE 6 MESES ANTES","")))</f>
        <v/>
      </c>
      <c r="Q682" s="31" t="str">
        <f aca="false">IF(D682="","",IFERROR(INDEX(Sancoes!$D:$D,MATCH(D682,Sancoes!$C:$C,0)),"não consta"))</f>
        <v/>
      </c>
      <c r="R682" s="25" t="str">
        <f aca="false">IF(OR(D682="",H682=""),"",IF(SUMPRODUCT((Sancoes!$C$5:$C$304=D682)*(Sancoes!$G$5:$G$304&lt;=H682)*(((Sancoes!$H$5:$H$304="")+(Sancoes!$H$5:$H$304&gt;=H682))&gt;0))&gt;0,"SANÇÃO VIGENTE NA DATA — ler tipo e abrangência",""))</f>
        <v/>
      </c>
      <c r="S682" s="24"/>
      <c r="T682" s="11"/>
    </row>
    <row r="683" customFormat="false" ht="15" hidden="false" customHeight="false" outlineLevel="0" collapsed="false">
      <c r="A683" s="11"/>
      <c r="B683" s="24"/>
      <c r="C683" s="24"/>
      <c r="D683" s="31" t="str">
        <f aca="false">IF(C683="","",IF(LEN(UPPER(SUBSTITUTE(SUBSTITUTE(SUBSTITUTE(SUBSTITUTE(TRIM(C683),".",""),"/",""),"-","")," ","")))&lt;14,RIGHT(REPT("0",14)&amp;UPPER(SUBSTITUTE(SUBSTITUTE(SUBSTITUTE(SUBSTITUTE(TRIM(C683),".",""),"/",""),"-","")," ","")),14),UPPER(SUBSTITUTE(SUBSTITUTE(SUBSTITUTE(SUBSTITUTE(TRIM(C683),".",""),"/",""),"-","")," ",""))))</f>
        <v/>
      </c>
      <c r="E683" s="25" t="str">
        <f aca="false">IF(D683="","",IFERROR(INDEX(Empresas!$C:$C,MATCH(D683,Empresas!$B:$B,0)),"cadastre o CNPJ em Empresas"))</f>
        <v/>
      </c>
      <c r="F683" s="11"/>
      <c r="G683" s="23"/>
      <c r="H683" s="22"/>
      <c r="I683" s="35"/>
      <c r="J683" s="35"/>
      <c r="K683" s="36" t="str">
        <f aca="false">IF(I683="","",I683+J683)</f>
        <v/>
      </c>
      <c r="L683" s="37" t="str">
        <f aca="false">IF(OR(I683="",I683=0,J683=""),"",J683/I683)</f>
        <v/>
      </c>
      <c r="M683" s="25" t="str">
        <f aca="false">IF(L683="","",IF(L683&gt;0.25,"ACRÉSCIMO ACIMA DE 25% — conferir",""))</f>
        <v/>
      </c>
      <c r="N683" s="29" t="str">
        <f aca="false">IF(D683="","",IF(COUNTIFS(Empresas!$B:$B,D683,Empresas!$E:$E,"&lt;&gt;")=0,"",INDEX(Empresas!$E:$E,MATCH(D683,Empresas!$B:$B,0))))</f>
        <v/>
      </c>
      <c r="O683" s="27" t="str">
        <f aca="false">IF(OR(N683="",H683=""),"",H683-N683)</f>
        <v/>
      </c>
      <c r="P683" s="25" t="str">
        <f aca="false">IF(O683="","",IF(O683&lt;0,"CONTRATO ANTERIOR À ABERTURA — conferir datas",IF(O683&lt;180,"EMPRESA ABERTA MENOS DE 6 MESES ANTES","")))</f>
        <v/>
      </c>
      <c r="Q683" s="31" t="str">
        <f aca="false">IF(D683="","",IFERROR(INDEX(Sancoes!$D:$D,MATCH(D683,Sancoes!$C:$C,0)),"não consta"))</f>
        <v/>
      </c>
      <c r="R683" s="25" t="str">
        <f aca="false">IF(OR(D683="",H683=""),"",IF(SUMPRODUCT((Sancoes!$C$5:$C$304=D683)*(Sancoes!$G$5:$G$304&lt;=H683)*(((Sancoes!$H$5:$H$304="")+(Sancoes!$H$5:$H$304&gt;=H683))&gt;0))&gt;0,"SANÇÃO VIGENTE NA DATA — ler tipo e abrangência",""))</f>
        <v/>
      </c>
      <c r="S683" s="24"/>
      <c r="T683" s="11"/>
    </row>
    <row r="684" customFormat="false" ht="15" hidden="false" customHeight="false" outlineLevel="0" collapsed="false">
      <c r="A684" s="11"/>
      <c r="B684" s="24"/>
      <c r="C684" s="24"/>
      <c r="D684" s="31" t="str">
        <f aca="false">IF(C684="","",IF(LEN(UPPER(SUBSTITUTE(SUBSTITUTE(SUBSTITUTE(SUBSTITUTE(TRIM(C684),".",""),"/",""),"-","")," ","")))&lt;14,RIGHT(REPT("0",14)&amp;UPPER(SUBSTITUTE(SUBSTITUTE(SUBSTITUTE(SUBSTITUTE(TRIM(C684),".",""),"/",""),"-","")," ","")),14),UPPER(SUBSTITUTE(SUBSTITUTE(SUBSTITUTE(SUBSTITUTE(TRIM(C684),".",""),"/",""),"-","")," ",""))))</f>
        <v/>
      </c>
      <c r="E684" s="25" t="str">
        <f aca="false">IF(D684="","",IFERROR(INDEX(Empresas!$C:$C,MATCH(D684,Empresas!$B:$B,0)),"cadastre o CNPJ em Empresas"))</f>
        <v/>
      </c>
      <c r="F684" s="11"/>
      <c r="G684" s="23"/>
      <c r="H684" s="22"/>
      <c r="I684" s="35"/>
      <c r="J684" s="35"/>
      <c r="K684" s="36" t="str">
        <f aca="false">IF(I684="","",I684+J684)</f>
        <v/>
      </c>
      <c r="L684" s="37" t="str">
        <f aca="false">IF(OR(I684="",I684=0,J684=""),"",J684/I684)</f>
        <v/>
      </c>
      <c r="M684" s="25" t="str">
        <f aca="false">IF(L684="","",IF(L684&gt;0.25,"ACRÉSCIMO ACIMA DE 25% — conferir",""))</f>
        <v/>
      </c>
      <c r="N684" s="29" t="str">
        <f aca="false">IF(D684="","",IF(COUNTIFS(Empresas!$B:$B,D684,Empresas!$E:$E,"&lt;&gt;")=0,"",INDEX(Empresas!$E:$E,MATCH(D684,Empresas!$B:$B,0))))</f>
        <v/>
      </c>
      <c r="O684" s="27" t="str">
        <f aca="false">IF(OR(N684="",H684=""),"",H684-N684)</f>
        <v/>
      </c>
      <c r="P684" s="25" t="str">
        <f aca="false">IF(O684="","",IF(O684&lt;0,"CONTRATO ANTERIOR À ABERTURA — conferir datas",IF(O684&lt;180,"EMPRESA ABERTA MENOS DE 6 MESES ANTES","")))</f>
        <v/>
      </c>
      <c r="Q684" s="31" t="str">
        <f aca="false">IF(D684="","",IFERROR(INDEX(Sancoes!$D:$D,MATCH(D684,Sancoes!$C:$C,0)),"não consta"))</f>
        <v/>
      </c>
      <c r="R684" s="25" t="str">
        <f aca="false">IF(OR(D684="",H684=""),"",IF(SUMPRODUCT((Sancoes!$C$5:$C$304=D684)*(Sancoes!$G$5:$G$304&lt;=H684)*(((Sancoes!$H$5:$H$304="")+(Sancoes!$H$5:$H$304&gt;=H684))&gt;0))&gt;0,"SANÇÃO VIGENTE NA DATA — ler tipo e abrangência",""))</f>
        <v/>
      </c>
      <c r="S684" s="24"/>
      <c r="T684" s="11"/>
    </row>
    <row r="685" customFormat="false" ht="15" hidden="false" customHeight="false" outlineLevel="0" collapsed="false">
      <c r="A685" s="11"/>
      <c r="B685" s="24"/>
      <c r="C685" s="24"/>
      <c r="D685" s="31" t="str">
        <f aca="false">IF(C685="","",IF(LEN(UPPER(SUBSTITUTE(SUBSTITUTE(SUBSTITUTE(SUBSTITUTE(TRIM(C685),".",""),"/",""),"-","")," ","")))&lt;14,RIGHT(REPT("0",14)&amp;UPPER(SUBSTITUTE(SUBSTITUTE(SUBSTITUTE(SUBSTITUTE(TRIM(C685),".",""),"/",""),"-","")," ","")),14),UPPER(SUBSTITUTE(SUBSTITUTE(SUBSTITUTE(SUBSTITUTE(TRIM(C685),".",""),"/",""),"-","")," ",""))))</f>
        <v/>
      </c>
      <c r="E685" s="25" t="str">
        <f aca="false">IF(D685="","",IFERROR(INDEX(Empresas!$C:$C,MATCH(D685,Empresas!$B:$B,0)),"cadastre o CNPJ em Empresas"))</f>
        <v/>
      </c>
      <c r="F685" s="11"/>
      <c r="G685" s="23"/>
      <c r="H685" s="22"/>
      <c r="I685" s="35"/>
      <c r="J685" s="35"/>
      <c r="K685" s="36" t="str">
        <f aca="false">IF(I685="","",I685+J685)</f>
        <v/>
      </c>
      <c r="L685" s="37" t="str">
        <f aca="false">IF(OR(I685="",I685=0,J685=""),"",J685/I685)</f>
        <v/>
      </c>
      <c r="M685" s="25" t="str">
        <f aca="false">IF(L685="","",IF(L685&gt;0.25,"ACRÉSCIMO ACIMA DE 25% — conferir",""))</f>
        <v/>
      </c>
      <c r="N685" s="29" t="str">
        <f aca="false">IF(D685="","",IF(COUNTIFS(Empresas!$B:$B,D685,Empresas!$E:$E,"&lt;&gt;")=0,"",INDEX(Empresas!$E:$E,MATCH(D685,Empresas!$B:$B,0))))</f>
        <v/>
      </c>
      <c r="O685" s="27" t="str">
        <f aca="false">IF(OR(N685="",H685=""),"",H685-N685)</f>
        <v/>
      </c>
      <c r="P685" s="25" t="str">
        <f aca="false">IF(O685="","",IF(O685&lt;0,"CONTRATO ANTERIOR À ABERTURA — conferir datas",IF(O685&lt;180,"EMPRESA ABERTA MENOS DE 6 MESES ANTES","")))</f>
        <v/>
      </c>
      <c r="Q685" s="31" t="str">
        <f aca="false">IF(D685="","",IFERROR(INDEX(Sancoes!$D:$D,MATCH(D685,Sancoes!$C:$C,0)),"não consta"))</f>
        <v/>
      </c>
      <c r="R685" s="25" t="str">
        <f aca="false">IF(OR(D685="",H685=""),"",IF(SUMPRODUCT((Sancoes!$C$5:$C$304=D685)*(Sancoes!$G$5:$G$304&lt;=H685)*(((Sancoes!$H$5:$H$304="")+(Sancoes!$H$5:$H$304&gt;=H685))&gt;0))&gt;0,"SANÇÃO VIGENTE NA DATA — ler tipo e abrangência",""))</f>
        <v/>
      </c>
      <c r="S685" s="24"/>
      <c r="T685" s="11"/>
    </row>
    <row r="686" customFormat="false" ht="15" hidden="false" customHeight="false" outlineLevel="0" collapsed="false">
      <c r="A686" s="11"/>
      <c r="B686" s="24"/>
      <c r="C686" s="24"/>
      <c r="D686" s="31" t="str">
        <f aca="false">IF(C686="","",IF(LEN(UPPER(SUBSTITUTE(SUBSTITUTE(SUBSTITUTE(SUBSTITUTE(TRIM(C686),".",""),"/",""),"-","")," ","")))&lt;14,RIGHT(REPT("0",14)&amp;UPPER(SUBSTITUTE(SUBSTITUTE(SUBSTITUTE(SUBSTITUTE(TRIM(C686),".",""),"/",""),"-","")," ","")),14),UPPER(SUBSTITUTE(SUBSTITUTE(SUBSTITUTE(SUBSTITUTE(TRIM(C686),".",""),"/",""),"-","")," ",""))))</f>
        <v/>
      </c>
      <c r="E686" s="25" t="str">
        <f aca="false">IF(D686="","",IFERROR(INDEX(Empresas!$C:$C,MATCH(D686,Empresas!$B:$B,0)),"cadastre o CNPJ em Empresas"))</f>
        <v/>
      </c>
      <c r="F686" s="11"/>
      <c r="G686" s="23"/>
      <c r="H686" s="22"/>
      <c r="I686" s="35"/>
      <c r="J686" s="35"/>
      <c r="K686" s="36" t="str">
        <f aca="false">IF(I686="","",I686+J686)</f>
        <v/>
      </c>
      <c r="L686" s="37" t="str">
        <f aca="false">IF(OR(I686="",I686=0,J686=""),"",J686/I686)</f>
        <v/>
      </c>
      <c r="M686" s="25" t="str">
        <f aca="false">IF(L686="","",IF(L686&gt;0.25,"ACRÉSCIMO ACIMA DE 25% — conferir",""))</f>
        <v/>
      </c>
      <c r="N686" s="29" t="str">
        <f aca="false">IF(D686="","",IF(COUNTIFS(Empresas!$B:$B,D686,Empresas!$E:$E,"&lt;&gt;")=0,"",INDEX(Empresas!$E:$E,MATCH(D686,Empresas!$B:$B,0))))</f>
        <v/>
      </c>
      <c r="O686" s="27" t="str">
        <f aca="false">IF(OR(N686="",H686=""),"",H686-N686)</f>
        <v/>
      </c>
      <c r="P686" s="25" t="str">
        <f aca="false">IF(O686="","",IF(O686&lt;0,"CONTRATO ANTERIOR À ABERTURA — conferir datas",IF(O686&lt;180,"EMPRESA ABERTA MENOS DE 6 MESES ANTES","")))</f>
        <v/>
      </c>
      <c r="Q686" s="31" t="str">
        <f aca="false">IF(D686="","",IFERROR(INDEX(Sancoes!$D:$D,MATCH(D686,Sancoes!$C:$C,0)),"não consta"))</f>
        <v/>
      </c>
      <c r="R686" s="25" t="str">
        <f aca="false">IF(OR(D686="",H686=""),"",IF(SUMPRODUCT((Sancoes!$C$5:$C$304=D686)*(Sancoes!$G$5:$G$304&lt;=H686)*(((Sancoes!$H$5:$H$304="")+(Sancoes!$H$5:$H$304&gt;=H686))&gt;0))&gt;0,"SANÇÃO VIGENTE NA DATA — ler tipo e abrangência",""))</f>
        <v/>
      </c>
      <c r="S686" s="24"/>
      <c r="T686" s="11"/>
    </row>
    <row r="687" customFormat="false" ht="15" hidden="false" customHeight="false" outlineLevel="0" collapsed="false">
      <c r="A687" s="11"/>
      <c r="B687" s="24"/>
      <c r="C687" s="24"/>
      <c r="D687" s="31" t="str">
        <f aca="false">IF(C687="","",IF(LEN(UPPER(SUBSTITUTE(SUBSTITUTE(SUBSTITUTE(SUBSTITUTE(TRIM(C687),".",""),"/",""),"-","")," ","")))&lt;14,RIGHT(REPT("0",14)&amp;UPPER(SUBSTITUTE(SUBSTITUTE(SUBSTITUTE(SUBSTITUTE(TRIM(C687),".",""),"/",""),"-","")," ","")),14),UPPER(SUBSTITUTE(SUBSTITUTE(SUBSTITUTE(SUBSTITUTE(TRIM(C687),".",""),"/",""),"-","")," ",""))))</f>
        <v/>
      </c>
      <c r="E687" s="25" t="str">
        <f aca="false">IF(D687="","",IFERROR(INDEX(Empresas!$C:$C,MATCH(D687,Empresas!$B:$B,0)),"cadastre o CNPJ em Empresas"))</f>
        <v/>
      </c>
      <c r="F687" s="11"/>
      <c r="G687" s="23"/>
      <c r="H687" s="22"/>
      <c r="I687" s="35"/>
      <c r="J687" s="35"/>
      <c r="K687" s="36" t="str">
        <f aca="false">IF(I687="","",I687+J687)</f>
        <v/>
      </c>
      <c r="L687" s="37" t="str">
        <f aca="false">IF(OR(I687="",I687=0,J687=""),"",J687/I687)</f>
        <v/>
      </c>
      <c r="M687" s="25" t="str">
        <f aca="false">IF(L687="","",IF(L687&gt;0.25,"ACRÉSCIMO ACIMA DE 25% — conferir",""))</f>
        <v/>
      </c>
      <c r="N687" s="29" t="str">
        <f aca="false">IF(D687="","",IF(COUNTIFS(Empresas!$B:$B,D687,Empresas!$E:$E,"&lt;&gt;")=0,"",INDEX(Empresas!$E:$E,MATCH(D687,Empresas!$B:$B,0))))</f>
        <v/>
      </c>
      <c r="O687" s="27" t="str">
        <f aca="false">IF(OR(N687="",H687=""),"",H687-N687)</f>
        <v/>
      </c>
      <c r="P687" s="25" t="str">
        <f aca="false">IF(O687="","",IF(O687&lt;0,"CONTRATO ANTERIOR À ABERTURA — conferir datas",IF(O687&lt;180,"EMPRESA ABERTA MENOS DE 6 MESES ANTES","")))</f>
        <v/>
      </c>
      <c r="Q687" s="31" t="str">
        <f aca="false">IF(D687="","",IFERROR(INDEX(Sancoes!$D:$D,MATCH(D687,Sancoes!$C:$C,0)),"não consta"))</f>
        <v/>
      </c>
      <c r="R687" s="25" t="str">
        <f aca="false">IF(OR(D687="",H687=""),"",IF(SUMPRODUCT((Sancoes!$C$5:$C$304=D687)*(Sancoes!$G$5:$G$304&lt;=H687)*(((Sancoes!$H$5:$H$304="")+(Sancoes!$H$5:$H$304&gt;=H687))&gt;0))&gt;0,"SANÇÃO VIGENTE NA DATA — ler tipo e abrangência",""))</f>
        <v/>
      </c>
      <c r="S687" s="24"/>
      <c r="T687" s="11"/>
    </row>
    <row r="688" customFormat="false" ht="15" hidden="false" customHeight="false" outlineLevel="0" collapsed="false">
      <c r="A688" s="11"/>
      <c r="B688" s="24"/>
      <c r="C688" s="24"/>
      <c r="D688" s="31" t="str">
        <f aca="false">IF(C688="","",IF(LEN(UPPER(SUBSTITUTE(SUBSTITUTE(SUBSTITUTE(SUBSTITUTE(TRIM(C688),".",""),"/",""),"-","")," ","")))&lt;14,RIGHT(REPT("0",14)&amp;UPPER(SUBSTITUTE(SUBSTITUTE(SUBSTITUTE(SUBSTITUTE(TRIM(C688),".",""),"/",""),"-","")," ","")),14),UPPER(SUBSTITUTE(SUBSTITUTE(SUBSTITUTE(SUBSTITUTE(TRIM(C688),".",""),"/",""),"-","")," ",""))))</f>
        <v/>
      </c>
      <c r="E688" s="25" t="str">
        <f aca="false">IF(D688="","",IFERROR(INDEX(Empresas!$C:$C,MATCH(D688,Empresas!$B:$B,0)),"cadastre o CNPJ em Empresas"))</f>
        <v/>
      </c>
      <c r="F688" s="11"/>
      <c r="G688" s="23"/>
      <c r="H688" s="22"/>
      <c r="I688" s="35"/>
      <c r="J688" s="35"/>
      <c r="K688" s="36" t="str">
        <f aca="false">IF(I688="","",I688+J688)</f>
        <v/>
      </c>
      <c r="L688" s="37" t="str">
        <f aca="false">IF(OR(I688="",I688=0,J688=""),"",J688/I688)</f>
        <v/>
      </c>
      <c r="M688" s="25" t="str">
        <f aca="false">IF(L688="","",IF(L688&gt;0.25,"ACRÉSCIMO ACIMA DE 25% — conferir",""))</f>
        <v/>
      </c>
      <c r="N688" s="29" t="str">
        <f aca="false">IF(D688="","",IF(COUNTIFS(Empresas!$B:$B,D688,Empresas!$E:$E,"&lt;&gt;")=0,"",INDEX(Empresas!$E:$E,MATCH(D688,Empresas!$B:$B,0))))</f>
        <v/>
      </c>
      <c r="O688" s="27" t="str">
        <f aca="false">IF(OR(N688="",H688=""),"",H688-N688)</f>
        <v/>
      </c>
      <c r="P688" s="25" t="str">
        <f aca="false">IF(O688="","",IF(O688&lt;0,"CONTRATO ANTERIOR À ABERTURA — conferir datas",IF(O688&lt;180,"EMPRESA ABERTA MENOS DE 6 MESES ANTES","")))</f>
        <v/>
      </c>
      <c r="Q688" s="31" t="str">
        <f aca="false">IF(D688="","",IFERROR(INDEX(Sancoes!$D:$D,MATCH(D688,Sancoes!$C:$C,0)),"não consta"))</f>
        <v/>
      </c>
      <c r="R688" s="25" t="str">
        <f aca="false">IF(OR(D688="",H688=""),"",IF(SUMPRODUCT((Sancoes!$C$5:$C$304=D688)*(Sancoes!$G$5:$G$304&lt;=H688)*(((Sancoes!$H$5:$H$304="")+(Sancoes!$H$5:$H$304&gt;=H688))&gt;0))&gt;0,"SANÇÃO VIGENTE NA DATA — ler tipo e abrangência",""))</f>
        <v/>
      </c>
      <c r="S688" s="24"/>
      <c r="T688" s="11"/>
    </row>
    <row r="689" customFormat="false" ht="15" hidden="false" customHeight="false" outlineLevel="0" collapsed="false">
      <c r="A689" s="11"/>
      <c r="B689" s="24"/>
      <c r="C689" s="24"/>
      <c r="D689" s="31" t="str">
        <f aca="false">IF(C689="","",IF(LEN(UPPER(SUBSTITUTE(SUBSTITUTE(SUBSTITUTE(SUBSTITUTE(TRIM(C689),".",""),"/",""),"-","")," ","")))&lt;14,RIGHT(REPT("0",14)&amp;UPPER(SUBSTITUTE(SUBSTITUTE(SUBSTITUTE(SUBSTITUTE(TRIM(C689),".",""),"/",""),"-","")," ","")),14),UPPER(SUBSTITUTE(SUBSTITUTE(SUBSTITUTE(SUBSTITUTE(TRIM(C689),".",""),"/",""),"-","")," ",""))))</f>
        <v/>
      </c>
      <c r="E689" s="25" t="str">
        <f aca="false">IF(D689="","",IFERROR(INDEX(Empresas!$C:$C,MATCH(D689,Empresas!$B:$B,0)),"cadastre o CNPJ em Empresas"))</f>
        <v/>
      </c>
      <c r="F689" s="11"/>
      <c r="G689" s="23"/>
      <c r="H689" s="22"/>
      <c r="I689" s="35"/>
      <c r="J689" s="35"/>
      <c r="K689" s="36" t="str">
        <f aca="false">IF(I689="","",I689+J689)</f>
        <v/>
      </c>
      <c r="L689" s="37" t="str">
        <f aca="false">IF(OR(I689="",I689=0,J689=""),"",J689/I689)</f>
        <v/>
      </c>
      <c r="M689" s="25" t="str">
        <f aca="false">IF(L689="","",IF(L689&gt;0.25,"ACRÉSCIMO ACIMA DE 25% — conferir",""))</f>
        <v/>
      </c>
      <c r="N689" s="29" t="str">
        <f aca="false">IF(D689="","",IF(COUNTIFS(Empresas!$B:$B,D689,Empresas!$E:$E,"&lt;&gt;")=0,"",INDEX(Empresas!$E:$E,MATCH(D689,Empresas!$B:$B,0))))</f>
        <v/>
      </c>
      <c r="O689" s="27" t="str">
        <f aca="false">IF(OR(N689="",H689=""),"",H689-N689)</f>
        <v/>
      </c>
      <c r="P689" s="25" t="str">
        <f aca="false">IF(O689="","",IF(O689&lt;0,"CONTRATO ANTERIOR À ABERTURA — conferir datas",IF(O689&lt;180,"EMPRESA ABERTA MENOS DE 6 MESES ANTES","")))</f>
        <v/>
      </c>
      <c r="Q689" s="31" t="str">
        <f aca="false">IF(D689="","",IFERROR(INDEX(Sancoes!$D:$D,MATCH(D689,Sancoes!$C:$C,0)),"não consta"))</f>
        <v/>
      </c>
      <c r="R689" s="25" t="str">
        <f aca="false">IF(OR(D689="",H689=""),"",IF(SUMPRODUCT((Sancoes!$C$5:$C$304=D689)*(Sancoes!$G$5:$G$304&lt;=H689)*(((Sancoes!$H$5:$H$304="")+(Sancoes!$H$5:$H$304&gt;=H689))&gt;0))&gt;0,"SANÇÃO VIGENTE NA DATA — ler tipo e abrangência",""))</f>
        <v/>
      </c>
      <c r="S689" s="24"/>
      <c r="T689" s="11"/>
    </row>
    <row r="690" customFormat="false" ht="15" hidden="false" customHeight="false" outlineLevel="0" collapsed="false">
      <c r="A690" s="11"/>
      <c r="B690" s="24"/>
      <c r="C690" s="24"/>
      <c r="D690" s="31" t="str">
        <f aca="false">IF(C690="","",IF(LEN(UPPER(SUBSTITUTE(SUBSTITUTE(SUBSTITUTE(SUBSTITUTE(TRIM(C690),".",""),"/",""),"-","")," ","")))&lt;14,RIGHT(REPT("0",14)&amp;UPPER(SUBSTITUTE(SUBSTITUTE(SUBSTITUTE(SUBSTITUTE(TRIM(C690),".",""),"/",""),"-","")," ","")),14),UPPER(SUBSTITUTE(SUBSTITUTE(SUBSTITUTE(SUBSTITUTE(TRIM(C690),".",""),"/",""),"-","")," ",""))))</f>
        <v/>
      </c>
      <c r="E690" s="25" t="str">
        <f aca="false">IF(D690="","",IFERROR(INDEX(Empresas!$C:$C,MATCH(D690,Empresas!$B:$B,0)),"cadastre o CNPJ em Empresas"))</f>
        <v/>
      </c>
      <c r="F690" s="11"/>
      <c r="G690" s="23"/>
      <c r="H690" s="22"/>
      <c r="I690" s="35"/>
      <c r="J690" s="35"/>
      <c r="K690" s="36" t="str">
        <f aca="false">IF(I690="","",I690+J690)</f>
        <v/>
      </c>
      <c r="L690" s="37" t="str">
        <f aca="false">IF(OR(I690="",I690=0,J690=""),"",J690/I690)</f>
        <v/>
      </c>
      <c r="M690" s="25" t="str">
        <f aca="false">IF(L690="","",IF(L690&gt;0.25,"ACRÉSCIMO ACIMA DE 25% — conferir",""))</f>
        <v/>
      </c>
      <c r="N690" s="29" t="str">
        <f aca="false">IF(D690="","",IF(COUNTIFS(Empresas!$B:$B,D690,Empresas!$E:$E,"&lt;&gt;")=0,"",INDEX(Empresas!$E:$E,MATCH(D690,Empresas!$B:$B,0))))</f>
        <v/>
      </c>
      <c r="O690" s="27" t="str">
        <f aca="false">IF(OR(N690="",H690=""),"",H690-N690)</f>
        <v/>
      </c>
      <c r="P690" s="25" t="str">
        <f aca="false">IF(O690="","",IF(O690&lt;0,"CONTRATO ANTERIOR À ABERTURA — conferir datas",IF(O690&lt;180,"EMPRESA ABERTA MENOS DE 6 MESES ANTES","")))</f>
        <v/>
      </c>
      <c r="Q690" s="31" t="str">
        <f aca="false">IF(D690="","",IFERROR(INDEX(Sancoes!$D:$D,MATCH(D690,Sancoes!$C:$C,0)),"não consta"))</f>
        <v/>
      </c>
      <c r="R690" s="25" t="str">
        <f aca="false">IF(OR(D690="",H690=""),"",IF(SUMPRODUCT((Sancoes!$C$5:$C$304=D690)*(Sancoes!$G$5:$G$304&lt;=H690)*(((Sancoes!$H$5:$H$304="")+(Sancoes!$H$5:$H$304&gt;=H690))&gt;0))&gt;0,"SANÇÃO VIGENTE NA DATA — ler tipo e abrangência",""))</f>
        <v/>
      </c>
      <c r="S690" s="24"/>
      <c r="T690" s="11"/>
    </row>
    <row r="691" customFormat="false" ht="15" hidden="false" customHeight="false" outlineLevel="0" collapsed="false">
      <c r="A691" s="11"/>
      <c r="B691" s="24"/>
      <c r="C691" s="24"/>
      <c r="D691" s="31" t="str">
        <f aca="false">IF(C691="","",IF(LEN(UPPER(SUBSTITUTE(SUBSTITUTE(SUBSTITUTE(SUBSTITUTE(TRIM(C691),".",""),"/",""),"-","")," ","")))&lt;14,RIGHT(REPT("0",14)&amp;UPPER(SUBSTITUTE(SUBSTITUTE(SUBSTITUTE(SUBSTITUTE(TRIM(C691),".",""),"/",""),"-","")," ","")),14),UPPER(SUBSTITUTE(SUBSTITUTE(SUBSTITUTE(SUBSTITUTE(TRIM(C691),".",""),"/",""),"-","")," ",""))))</f>
        <v/>
      </c>
      <c r="E691" s="25" t="str">
        <f aca="false">IF(D691="","",IFERROR(INDEX(Empresas!$C:$C,MATCH(D691,Empresas!$B:$B,0)),"cadastre o CNPJ em Empresas"))</f>
        <v/>
      </c>
      <c r="F691" s="11"/>
      <c r="G691" s="23"/>
      <c r="H691" s="22"/>
      <c r="I691" s="35"/>
      <c r="J691" s="35"/>
      <c r="K691" s="36" t="str">
        <f aca="false">IF(I691="","",I691+J691)</f>
        <v/>
      </c>
      <c r="L691" s="37" t="str">
        <f aca="false">IF(OR(I691="",I691=0,J691=""),"",J691/I691)</f>
        <v/>
      </c>
      <c r="M691" s="25" t="str">
        <f aca="false">IF(L691="","",IF(L691&gt;0.25,"ACRÉSCIMO ACIMA DE 25% — conferir",""))</f>
        <v/>
      </c>
      <c r="N691" s="29" t="str">
        <f aca="false">IF(D691="","",IF(COUNTIFS(Empresas!$B:$B,D691,Empresas!$E:$E,"&lt;&gt;")=0,"",INDEX(Empresas!$E:$E,MATCH(D691,Empresas!$B:$B,0))))</f>
        <v/>
      </c>
      <c r="O691" s="27" t="str">
        <f aca="false">IF(OR(N691="",H691=""),"",H691-N691)</f>
        <v/>
      </c>
      <c r="P691" s="25" t="str">
        <f aca="false">IF(O691="","",IF(O691&lt;0,"CONTRATO ANTERIOR À ABERTURA — conferir datas",IF(O691&lt;180,"EMPRESA ABERTA MENOS DE 6 MESES ANTES","")))</f>
        <v/>
      </c>
      <c r="Q691" s="31" t="str">
        <f aca="false">IF(D691="","",IFERROR(INDEX(Sancoes!$D:$D,MATCH(D691,Sancoes!$C:$C,0)),"não consta"))</f>
        <v/>
      </c>
      <c r="R691" s="25" t="str">
        <f aca="false">IF(OR(D691="",H691=""),"",IF(SUMPRODUCT((Sancoes!$C$5:$C$304=D691)*(Sancoes!$G$5:$G$304&lt;=H691)*(((Sancoes!$H$5:$H$304="")+(Sancoes!$H$5:$H$304&gt;=H691))&gt;0))&gt;0,"SANÇÃO VIGENTE NA DATA — ler tipo e abrangência",""))</f>
        <v/>
      </c>
      <c r="S691" s="24"/>
      <c r="T691" s="11"/>
    </row>
    <row r="692" customFormat="false" ht="15" hidden="false" customHeight="false" outlineLevel="0" collapsed="false">
      <c r="A692" s="11"/>
      <c r="B692" s="24"/>
      <c r="C692" s="24"/>
      <c r="D692" s="31" t="str">
        <f aca="false">IF(C692="","",IF(LEN(UPPER(SUBSTITUTE(SUBSTITUTE(SUBSTITUTE(SUBSTITUTE(TRIM(C692),".",""),"/",""),"-","")," ","")))&lt;14,RIGHT(REPT("0",14)&amp;UPPER(SUBSTITUTE(SUBSTITUTE(SUBSTITUTE(SUBSTITUTE(TRIM(C692),".",""),"/",""),"-","")," ","")),14),UPPER(SUBSTITUTE(SUBSTITUTE(SUBSTITUTE(SUBSTITUTE(TRIM(C692),".",""),"/",""),"-","")," ",""))))</f>
        <v/>
      </c>
      <c r="E692" s="25" t="str">
        <f aca="false">IF(D692="","",IFERROR(INDEX(Empresas!$C:$C,MATCH(D692,Empresas!$B:$B,0)),"cadastre o CNPJ em Empresas"))</f>
        <v/>
      </c>
      <c r="F692" s="11"/>
      <c r="G692" s="23"/>
      <c r="H692" s="22"/>
      <c r="I692" s="35"/>
      <c r="J692" s="35"/>
      <c r="K692" s="36" t="str">
        <f aca="false">IF(I692="","",I692+J692)</f>
        <v/>
      </c>
      <c r="L692" s="37" t="str">
        <f aca="false">IF(OR(I692="",I692=0,J692=""),"",J692/I692)</f>
        <v/>
      </c>
      <c r="M692" s="25" t="str">
        <f aca="false">IF(L692="","",IF(L692&gt;0.25,"ACRÉSCIMO ACIMA DE 25% — conferir",""))</f>
        <v/>
      </c>
      <c r="N692" s="29" t="str">
        <f aca="false">IF(D692="","",IF(COUNTIFS(Empresas!$B:$B,D692,Empresas!$E:$E,"&lt;&gt;")=0,"",INDEX(Empresas!$E:$E,MATCH(D692,Empresas!$B:$B,0))))</f>
        <v/>
      </c>
      <c r="O692" s="27" t="str">
        <f aca="false">IF(OR(N692="",H692=""),"",H692-N692)</f>
        <v/>
      </c>
      <c r="P692" s="25" t="str">
        <f aca="false">IF(O692="","",IF(O692&lt;0,"CONTRATO ANTERIOR À ABERTURA — conferir datas",IF(O692&lt;180,"EMPRESA ABERTA MENOS DE 6 MESES ANTES","")))</f>
        <v/>
      </c>
      <c r="Q692" s="31" t="str">
        <f aca="false">IF(D692="","",IFERROR(INDEX(Sancoes!$D:$D,MATCH(D692,Sancoes!$C:$C,0)),"não consta"))</f>
        <v/>
      </c>
      <c r="R692" s="25" t="str">
        <f aca="false">IF(OR(D692="",H692=""),"",IF(SUMPRODUCT((Sancoes!$C$5:$C$304=D692)*(Sancoes!$G$5:$G$304&lt;=H692)*(((Sancoes!$H$5:$H$304="")+(Sancoes!$H$5:$H$304&gt;=H692))&gt;0))&gt;0,"SANÇÃO VIGENTE NA DATA — ler tipo e abrangência",""))</f>
        <v/>
      </c>
      <c r="S692" s="24"/>
      <c r="T692" s="11"/>
    </row>
    <row r="693" customFormat="false" ht="15" hidden="false" customHeight="false" outlineLevel="0" collapsed="false">
      <c r="A693" s="11"/>
      <c r="B693" s="24"/>
      <c r="C693" s="24"/>
      <c r="D693" s="31" t="str">
        <f aca="false">IF(C693="","",IF(LEN(UPPER(SUBSTITUTE(SUBSTITUTE(SUBSTITUTE(SUBSTITUTE(TRIM(C693),".",""),"/",""),"-","")," ","")))&lt;14,RIGHT(REPT("0",14)&amp;UPPER(SUBSTITUTE(SUBSTITUTE(SUBSTITUTE(SUBSTITUTE(TRIM(C693),".",""),"/",""),"-","")," ","")),14),UPPER(SUBSTITUTE(SUBSTITUTE(SUBSTITUTE(SUBSTITUTE(TRIM(C693),".",""),"/",""),"-","")," ",""))))</f>
        <v/>
      </c>
      <c r="E693" s="25" t="str">
        <f aca="false">IF(D693="","",IFERROR(INDEX(Empresas!$C:$C,MATCH(D693,Empresas!$B:$B,0)),"cadastre o CNPJ em Empresas"))</f>
        <v/>
      </c>
      <c r="F693" s="11"/>
      <c r="G693" s="23"/>
      <c r="H693" s="22"/>
      <c r="I693" s="35"/>
      <c r="J693" s="35"/>
      <c r="K693" s="36" t="str">
        <f aca="false">IF(I693="","",I693+J693)</f>
        <v/>
      </c>
      <c r="L693" s="37" t="str">
        <f aca="false">IF(OR(I693="",I693=0,J693=""),"",J693/I693)</f>
        <v/>
      </c>
      <c r="M693" s="25" t="str">
        <f aca="false">IF(L693="","",IF(L693&gt;0.25,"ACRÉSCIMO ACIMA DE 25% — conferir",""))</f>
        <v/>
      </c>
      <c r="N693" s="29" t="str">
        <f aca="false">IF(D693="","",IF(COUNTIFS(Empresas!$B:$B,D693,Empresas!$E:$E,"&lt;&gt;")=0,"",INDEX(Empresas!$E:$E,MATCH(D693,Empresas!$B:$B,0))))</f>
        <v/>
      </c>
      <c r="O693" s="27" t="str">
        <f aca="false">IF(OR(N693="",H693=""),"",H693-N693)</f>
        <v/>
      </c>
      <c r="P693" s="25" t="str">
        <f aca="false">IF(O693="","",IF(O693&lt;0,"CONTRATO ANTERIOR À ABERTURA — conferir datas",IF(O693&lt;180,"EMPRESA ABERTA MENOS DE 6 MESES ANTES","")))</f>
        <v/>
      </c>
      <c r="Q693" s="31" t="str">
        <f aca="false">IF(D693="","",IFERROR(INDEX(Sancoes!$D:$D,MATCH(D693,Sancoes!$C:$C,0)),"não consta"))</f>
        <v/>
      </c>
      <c r="R693" s="25" t="str">
        <f aca="false">IF(OR(D693="",H693=""),"",IF(SUMPRODUCT((Sancoes!$C$5:$C$304=D693)*(Sancoes!$G$5:$G$304&lt;=H693)*(((Sancoes!$H$5:$H$304="")+(Sancoes!$H$5:$H$304&gt;=H693))&gt;0))&gt;0,"SANÇÃO VIGENTE NA DATA — ler tipo e abrangência",""))</f>
        <v/>
      </c>
      <c r="S693" s="24"/>
      <c r="T693" s="11"/>
    </row>
    <row r="694" customFormat="false" ht="15" hidden="false" customHeight="false" outlineLevel="0" collapsed="false">
      <c r="A694" s="11"/>
      <c r="B694" s="24"/>
      <c r="C694" s="24"/>
      <c r="D694" s="31" t="str">
        <f aca="false">IF(C694="","",IF(LEN(UPPER(SUBSTITUTE(SUBSTITUTE(SUBSTITUTE(SUBSTITUTE(TRIM(C694),".",""),"/",""),"-","")," ","")))&lt;14,RIGHT(REPT("0",14)&amp;UPPER(SUBSTITUTE(SUBSTITUTE(SUBSTITUTE(SUBSTITUTE(TRIM(C694),".",""),"/",""),"-","")," ","")),14),UPPER(SUBSTITUTE(SUBSTITUTE(SUBSTITUTE(SUBSTITUTE(TRIM(C694),".",""),"/",""),"-","")," ",""))))</f>
        <v/>
      </c>
      <c r="E694" s="25" t="str">
        <f aca="false">IF(D694="","",IFERROR(INDEX(Empresas!$C:$C,MATCH(D694,Empresas!$B:$B,0)),"cadastre o CNPJ em Empresas"))</f>
        <v/>
      </c>
      <c r="F694" s="11"/>
      <c r="G694" s="23"/>
      <c r="H694" s="22"/>
      <c r="I694" s="35"/>
      <c r="J694" s="35"/>
      <c r="K694" s="36" t="str">
        <f aca="false">IF(I694="","",I694+J694)</f>
        <v/>
      </c>
      <c r="L694" s="37" t="str">
        <f aca="false">IF(OR(I694="",I694=0,J694=""),"",J694/I694)</f>
        <v/>
      </c>
      <c r="M694" s="25" t="str">
        <f aca="false">IF(L694="","",IF(L694&gt;0.25,"ACRÉSCIMO ACIMA DE 25% — conferir",""))</f>
        <v/>
      </c>
      <c r="N694" s="29" t="str">
        <f aca="false">IF(D694="","",IF(COUNTIFS(Empresas!$B:$B,D694,Empresas!$E:$E,"&lt;&gt;")=0,"",INDEX(Empresas!$E:$E,MATCH(D694,Empresas!$B:$B,0))))</f>
        <v/>
      </c>
      <c r="O694" s="27" t="str">
        <f aca="false">IF(OR(N694="",H694=""),"",H694-N694)</f>
        <v/>
      </c>
      <c r="P694" s="25" t="str">
        <f aca="false">IF(O694="","",IF(O694&lt;0,"CONTRATO ANTERIOR À ABERTURA — conferir datas",IF(O694&lt;180,"EMPRESA ABERTA MENOS DE 6 MESES ANTES","")))</f>
        <v/>
      </c>
      <c r="Q694" s="31" t="str">
        <f aca="false">IF(D694="","",IFERROR(INDEX(Sancoes!$D:$D,MATCH(D694,Sancoes!$C:$C,0)),"não consta"))</f>
        <v/>
      </c>
      <c r="R694" s="25" t="str">
        <f aca="false">IF(OR(D694="",H694=""),"",IF(SUMPRODUCT((Sancoes!$C$5:$C$304=D694)*(Sancoes!$G$5:$G$304&lt;=H694)*(((Sancoes!$H$5:$H$304="")+(Sancoes!$H$5:$H$304&gt;=H694))&gt;0))&gt;0,"SANÇÃO VIGENTE NA DATA — ler tipo e abrangência",""))</f>
        <v/>
      </c>
      <c r="S694" s="24"/>
      <c r="T694" s="11"/>
    </row>
    <row r="695" customFormat="false" ht="15" hidden="false" customHeight="false" outlineLevel="0" collapsed="false">
      <c r="A695" s="11"/>
      <c r="B695" s="24"/>
      <c r="C695" s="24"/>
      <c r="D695" s="31" t="str">
        <f aca="false">IF(C695="","",IF(LEN(UPPER(SUBSTITUTE(SUBSTITUTE(SUBSTITUTE(SUBSTITUTE(TRIM(C695),".",""),"/",""),"-","")," ","")))&lt;14,RIGHT(REPT("0",14)&amp;UPPER(SUBSTITUTE(SUBSTITUTE(SUBSTITUTE(SUBSTITUTE(TRIM(C695),".",""),"/",""),"-","")," ","")),14),UPPER(SUBSTITUTE(SUBSTITUTE(SUBSTITUTE(SUBSTITUTE(TRIM(C695),".",""),"/",""),"-","")," ",""))))</f>
        <v/>
      </c>
      <c r="E695" s="25" t="str">
        <f aca="false">IF(D695="","",IFERROR(INDEX(Empresas!$C:$C,MATCH(D695,Empresas!$B:$B,0)),"cadastre o CNPJ em Empresas"))</f>
        <v/>
      </c>
      <c r="F695" s="11"/>
      <c r="G695" s="23"/>
      <c r="H695" s="22"/>
      <c r="I695" s="35"/>
      <c r="J695" s="35"/>
      <c r="K695" s="36" t="str">
        <f aca="false">IF(I695="","",I695+J695)</f>
        <v/>
      </c>
      <c r="L695" s="37" t="str">
        <f aca="false">IF(OR(I695="",I695=0,J695=""),"",J695/I695)</f>
        <v/>
      </c>
      <c r="M695" s="25" t="str">
        <f aca="false">IF(L695="","",IF(L695&gt;0.25,"ACRÉSCIMO ACIMA DE 25% — conferir",""))</f>
        <v/>
      </c>
      <c r="N695" s="29" t="str">
        <f aca="false">IF(D695="","",IF(COUNTIFS(Empresas!$B:$B,D695,Empresas!$E:$E,"&lt;&gt;")=0,"",INDEX(Empresas!$E:$E,MATCH(D695,Empresas!$B:$B,0))))</f>
        <v/>
      </c>
      <c r="O695" s="27" t="str">
        <f aca="false">IF(OR(N695="",H695=""),"",H695-N695)</f>
        <v/>
      </c>
      <c r="P695" s="25" t="str">
        <f aca="false">IF(O695="","",IF(O695&lt;0,"CONTRATO ANTERIOR À ABERTURA — conferir datas",IF(O695&lt;180,"EMPRESA ABERTA MENOS DE 6 MESES ANTES","")))</f>
        <v/>
      </c>
      <c r="Q695" s="31" t="str">
        <f aca="false">IF(D695="","",IFERROR(INDEX(Sancoes!$D:$D,MATCH(D695,Sancoes!$C:$C,0)),"não consta"))</f>
        <v/>
      </c>
      <c r="R695" s="25" t="str">
        <f aca="false">IF(OR(D695="",H695=""),"",IF(SUMPRODUCT((Sancoes!$C$5:$C$304=D695)*(Sancoes!$G$5:$G$304&lt;=H695)*(((Sancoes!$H$5:$H$304="")+(Sancoes!$H$5:$H$304&gt;=H695))&gt;0))&gt;0,"SANÇÃO VIGENTE NA DATA — ler tipo e abrangência",""))</f>
        <v/>
      </c>
      <c r="S695" s="24"/>
      <c r="T695" s="11"/>
    </row>
    <row r="696" customFormat="false" ht="15" hidden="false" customHeight="false" outlineLevel="0" collapsed="false">
      <c r="A696" s="11"/>
      <c r="B696" s="24"/>
      <c r="C696" s="24"/>
      <c r="D696" s="31" t="str">
        <f aca="false">IF(C696="","",IF(LEN(UPPER(SUBSTITUTE(SUBSTITUTE(SUBSTITUTE(SUBSTITUTE(TRIM(C696),".",""),"/",""),"-","")," ","")))&lt;14,RIGHT(REPT("0",14)&amp;UPPER(SUBSTITUTE(SUBSTITUTE(SUBSTITUTE(SUBSTITUTE(TRIM(C696),".",""),"/",""),"-","")," ","")),14),UPPER(SUBSTITUTE(SUBSTITUTE(SUBSTITUTE(SUBSTITUTE(TRIM(C696),".",""),"/",""),"-","")," ",""))))</f>
        <v/>
      </c>
      <c r="E696" s="25" t="str">
        <f aca="false">IF(D696="","",IFERROR(INDEX(Empresas!$C:$C,MATCH(D696,Empresas!$B:$B,0)),"cadastre o CNPJ em Empresas"))</f>
        <v/>
      </c>
      <c r="F696" s="11"/>
      <c r="G696" s="23"/>
      <c r="H696" s="22"/>
      <c r="I696" s="35"/>
      <c r="J696" s="35"/>
      <c r="K696" s="36" t="str">
        <f aca="false">IF(I696="","",I696+J696)</f>
        <v/>
      </c>
      <c r="L696" s="37" t="str">
        <f aca="false">IF(OR(I696="",I696=0,J696=""),"",J696/I696)</f>
        <v/>
      </c>
      <c r="M696" s="25" t="str">
        <f aca="false">IF(L696="","",IF(L696&gt;0.25,"ACRÉSCIMO ACIMA DE 25% — conferir",""))</f>
        <v/>
      </c>
      <c r="N696" s="29" t="str">
        <f aca="false">IF(D696="","",IF(COUNTIFS(Empresas!$B:$B,D696,Empresas!$E:$E,"&lt;&gt;")=0,"",INDEX(Empresas!$E:$E,MATCH(D696,Empresas!$B:$B,0))))</f>
        <v/>
      </c>
      <c r="O696" s="27" t="str">
        <f aca="false">IF(OR(N696="",H696=""),"",H696-N696)</f>
        <v/>
      </c>
      <c r="P696" s="25" t="str">
        <f aca="false">IF(O696="","",IF(O696&lt;0,"CONTRATO ANTERIOR À ABERTURA — conferir datas",IF(O696&lt;180,"EMPRESA ABERTA MENOS DE 6 MESES ANTES","")))</f>
        <v/>
      </c>
      <c r="Q696" s="31" t="str">
        <f aca="false">IF(D696="","",IFERROR(INDEX(Sancoes!$D:$D,MATCH(D696,Sancoes!$C:$C,0)),"não consta"))</f>
        <v/>
      </c>
      <c r="R696" s="25" t="str">
        <f aca="false">IF(OR(D696="",H696=""),"",IF(SUMPRODUCT((Sancoes!$C$5:$C$304=D696)*(Sancoes!$G$5:$G$304&lt;=H696)*(((Sancoes!$H$5:$H$304="")+(Sancoes!$H$5:$H$304&gt;=H696))&gt;0))&gt;0,"SANÇÃO VIGENTE NA DATA — ler tipo e abrangência",""))</f>
        <v/>
      </c>
      <c r="S696" s="24"/>
      <c r="T696" s="11"/>
    </row>
    <row r="697" customFormat="false" ht="15" hidden="false" customHeight="false" outlineLevel="0" collapsed="false">
      <c r="A697" s="11"/>
      <c r="B697" s="24"/>
      <c r="C697" s="24"/>
      <c r="D697" s="31" t="str">
        <f aca="false">IF(C697="","",IF(LEN(UPPER(SUBSTITUTE(SUBSTITUTE(SUBSTITUTE(SUBSTITUTE(TRIM(C697),".",""),"/",""),"-","")," ","")))&lt;14,RIGHT(REPT("0",14)&amp;UPPER(SUBSTITUTE(SUBSTITUTE(SUBSTITUTE(SUBSTITUTE(TRIM(C697),".",""),"/",""),"-","")," ","")),14),UPPER(SUBSTITUTE(SUBSTITUTE(SUBSTITUTE(SUBSTITUTE(TRIM(C697),".",""),"/",""),"-","")," ",""))))</f>
        <v/>
      </c>
      <c r="E697" s="25" t="str">
        <f aca="false">IF(D697="","",IFERROR(INDEX(Empresas!$C:$C,MATCH(D697,Empresas!$B:$B,0)),"cadastre o CNPJ em Empresas"))</f>
        <v/>
      </c>
      <c r="F697" s="11"/>
      <c r="G697" s="23"/>
      <c r="H697" s="22"/>
      <c r="I697" s="35"/>
      <c r="J697" s="35"/>
      <c r="K697" s="36" t="str">
        <f aca="false">IF(I697="","",I697+J697)</f>
        <v/>
      </c>
      <c r="L697" s="37" t="str">
        <f aca="false">IF(OR(I697="",I697=0,J697=""),"",J697/I697)</f>
        <v/>
      </c>
      <c r="M697" s="25" t="str">
        <f aca="false">IF(L697="","",IF(L697&gt;0.25,"ACRÉSCIMO ACIMA DE 25% — conferir",""))</f>
        <v/>
      </c>
      <c r="N697" s="29" t="str">
        <f aca="false">IF(D697="","",IF(COUNTIFS(Empresas!$B:$B,D697,Empresas!$E:$E,"&lt;&gt;")=0,"",INDEX(Empresas!$E:$E,MATCH(D697,Empresas!$B:$B,0))))</f>
        <v/>
      </c>
      <c r="O697" s="27" t="str">
        <f aca="false">IF(OR(N697="",H697=""),"",H697-N697)</f>
        <v/>
      </c>
      <c r="P697" s="25" t="str">
        <f aca="false">IF(O697="","",IF(O697&lt;0,"CONTRATO ANTERIOR À ABERTURA — conferir datas",IF(O697&lt;180,"EMPRESA ABERTA MENOS DE 6 MESES ANTES","")))</f>
        <v/>
      </c>
      <c r="Q697" s="31" t="str">
        <f aca="false">IF(D697="","",IFERROR(INDEX(Sancoes!$D:$D,MATCH(D697,Sancoes!$C:$C,0)),"não consta"))</f>
        <v/>
      </c>
      <c r="R697" s="25" t="str">
        <f aca="false">IF(OR(D697="",H697=""),"",IF(SUMPRODUCT((Sancoes!$C$5:$C$304=D697)*(Sancoes!$G$5:$G$304&lt;=H697)*(((Sancoes!$H$5:$H$304="")+(Sancoes!$H$5:$H$304&gt;=H697))&gt;0))&gt;0,"SANÇÃO VIGENTE NA DATA — ler tipo e abrangência",""))</f>
        <v/>
      </c>
      <c r="S697" s="24"/>
      <c r="T697" s="11"/>
    </row>
    <row r="698" customFormat="false" ht="15" hidden="false" customHeight="false" outlineLevel="0" collapsed="false">
      <c r="A698" s="11"/>
      <c r="B698" s="24"/>
      <c r="C698" s="24"/>
      <c r="D698" s="31" t="str">
        <f aca="false">IF(C698="","",IF(LEN(UPPER(SUBSTITUTE(SUBSTITUTE(SUBSTITUTE(SUBSTITUTE(TRIM(C698),".",""),"/",""),"-","")," ","")))&lt;14,RIGHT(REPT("0",14)&amp;UPPER(SUBSTITUTE(SUBSTITUTE(SUBSTITUTE(SUBSTITUTE(TRIM(C698),".",""),"/",""),"-","")," ","")),14),UPPER(SUBSTITUTE(SUBSTITUTE(SUBSTITUTE(SUBSTITUTE(TRIM(C698),".",""),"/",""),"-","")," ",""))))</f>
        <v/>
      </c>
      <c r="E698" s="25" t="str">
        <f aca="false">IF(D698="","",IFERROR(INDEX(Empresas!$C:$C,MATCH(D698,Empresas!$B:$B,0)),"cadastre o CNPJ em Empresas"))</f>
        <v/>
      </c>
      <c r="F698" s="11"/>
      <c r="G698" s="23"/>
      <c r="H698" s="22"/>
      <c r="I698" s="35"/>
      <c r="J698" s="35"/>
      <c r="K698" s="36" t="str">
        <f aca="false">IF(I698="","",I698+J698)</f>
        <v/>
      </c>
      <c r="L698" s="37" t="str">
        <f aca="false">IF(OR(I698="",I698=0,J698=""),"",J698/I698)</f>
        <v/>
      </c>
      <c r="M698" s="25" t="str">
        <f aca="false">IF(L698="","",IF(L698&gt;0.25,"ACRÉSCIMO ACIMA DE 25% — conferir",""))</f>
        <v/>
      </c>
      <c r="N698" s="29" t="str">
        <f aca="false">IF(D698="","",IF(COUNTIFS(Empresas!$B:$B,D698,Empresas!$E:$E,"&lt;&gt;")=0,"",INDEX(Empresas!$E:$E,MATCH(D698,Empresas!$B:$B,0))))</f>
        <v/>
      </c>
      <c r="O698" s="27" t="str">
        <f aca="false">IF(OR(N698="",H698=""),"",H698-N698)</f>
        <v/>
      </c>
      <c r="P698" s="25" t="str">
        <f aca="false">IF(O698="","",IF(O698&lt;0,"CONTRATO ANTERIOR À ABERTURA — conferir datas",IF(O698&lt;180,"EMPRESA ABERTA MENOS DE 6 MESES ANTES","")))</f>
        <v/>
      </c>
      <c r="Q698" s="31" t="str">
        <f aca="false">IF(D698="","",IFERROR(INDEX(Sancoes!$D:$D,MATCH(D698,Sancoes!$C:$C,0)),"não consta"))</f>
        <v/>
      </c>
      <c r="R698" s="25" t="str">
        <f aca="false">IF(OR(D698="",H698=""),"",IF(SUMPRODUCT((Sancoes!$C$5:$C$304=D698)*(Sancoes!$G$5:$G$304&lt;=H698)*(((Sancoes!$H$5:$H$304="")+(Sancoes!$H$5:$H$304&gt;=H698))&gt;0))&gt;0,"SANÇÃO VIGENTE NA DATA — ler tipo e abrangência",""))</f>
        <v/>
      </c>
      <c r="S698" s="24"/>
      <c r="T698" s="11"/>
    </row>
    <row r="699" customFormat="false" ht="15" hidden="false" customHeight="false" outlineLevel="0" collapsed="false">
      <c r="A699" s="11"/>
      <c r="B699" s="24"/>
      <c r="C699" s="24"/>
      <c r="D699" s="31" t="str">
        <f aca="false">IF(C699="","",IF(LEN(UPPER(SUBSTITUTE(SUBSTITUTE(SUBSTITUTE(SUBSTITUTE(TRIM(C699),".",""),"/",""),"-","")," ","")))&lt;14,RIGHT(REPT("0",14)&amp;UPPER(SUBSTITUTE(SUBSTITUTE(SUBSTITUTE(SUBSTITUTE(TRIM(C699),".",""),"/",""),"-","")," ","")),14),UPPER(SUBSTITUTE(SUBSTITUTE(SUBSTITUTE(SUBSTITUTE(TRIM(C699),".",""),"/",""),"-","")," ",""))))</f>
        <v/>
      </c>
      <c r="E699" s="25" t="str">
        <f aca="false">IF(D699="","",IFERROR(INDEX(Empresas!$C:$C,MATCH(D699,Empresas!$B:$B,0)),"cadastre o CNPJ em Empresas"))</f>
        <v/>
      </c>
      <c r="F699" s="11"/>
      <c r="G699" s="23"/>
      <c r="H699" s="22"/>
      <c r="I699" s="35"/>
      <c r="J699" s="35"/>
      <c r="K699" s="36" t="str">
        <f aca="false">IF(I699="","",I699+J699)</f>
        <v/>
      </c>
      <c r="L699" s="37" t="str">
        <f aca="false">IF(OR(I699="",I699=0,J699=""),"",J699/I699)</f>
        <v/>
      </c>
      <c r="M699" s="25" t="str">
        <f aca="false">IF(L699="","",IF(L699&gt;0.25,"ACRÉSCIMO ACIMA DE 25% — conferir",""))</f>
        <v/>
      </c>
      <c r="N699" s="29" t="str">
        <f aca="false">IF(D699="","",IF(COUNTIFS(Empresas!$B:$B,D699,Empresas!$E:$E,"&lt;&gt;")=0,"",INDEX(Empresas!$E:$E,MATCH(D699,Empresas!$B:$B,0))))</f>
        <v/>
      </c>
      <c r="O699" s="27" t="str">
        <f aca="false">IF(OR(N699="",H699=""),"",H699-N699)</f>
        <v/>
      </c>
      <c r="P699" s="25" t="str">
        <f aca="false">IF(O699="","",IF(O699&lt;0,"CONTRATO ANTERIOR À ABERTURA — conferir datas",IF(O699&lt;180,"EMPRESA ABERTA MENOS DE 6 MESES ANTES","")))</f>
        <v/>
      </c>
      <c r="Q699" s="31" t="str">
        <f aca="false">IF(D699="","",IFERROR(INDEX(Sancoes!$D:$D,MATCH(D699,Sancoes!$C:$C,0)),"não consta"))</f>
        <v/>
      </c>
      <c r="R699" s="25" t="str">
        <f aca="false">IF(OR(D699="",H699=""),"",IF(SUMPRODUCT((Sancoes!$C$5:$C$304=D699)*(Sancoes!$G$5:$G$304&lt;=H699)*(((Sancoes!$H$5:$H$304="")+(Sancoes!$H$5:$H$304&gt;=H699))&gt;0))&gt;0,"SANÇÃO VIGENTE NA DATA — ler tipo e abrangência",""))</f>
        <v/>
      </c>
      <c r="S699" s="24"/>
      <c r="T699" s="11"/>
    </row>
    <row r="700" customFormat="false" ht="15" hidden="false" customHeight="false" outlineLevel="0" collapsed="false">
      <c r="A700" s="11"/>
      <c r="B700" s="24"/>
      <c r="C700" s="24"/>
      <c r="D700" s="31" t="str">
        <f aca="false">IF(C700="","",IF(LEN(UPPER(SUBSTITUTE(SUBSTITUTE(SUBSTITUTE(SUBSTITUTE(TRIM(C700),".",""),"/",""),"-","")," ","")))&lt;14,RIGHT(REPT("0",14)&amp;UPPER(SUBSTITUTE(SUBSTITUTE(SUBSTITUTE(SUBSTITUTE(TRIM(C700),".",""),"/",""),"-","")," ","")),14),UPPER(SUBSTITUTE(SUBSTITUTE(SUBSTITUTE(SUBSTITUTE(TRIM(C700),".",""),"/",""),"-","")," ",""))))</f>
        <v/>
      </c>
      <c r="E700" s="25" t="str">
        <f aca="false">IF(D700="","",IFERROR(INDEX(Empresas!$C:$C,MATCH(D700,Empresas!$B:$B,0)),"cadastre o CNPJ em Empresas"))</f>
        <v/>
      </c>
      <c r="F700" s="11"/>
      <c r="G700" s="23"/>
      <c r="H700" s="22"/>
      <c r="I700" s="35"/>
      <c r="J700" s="35"/>
      <c r="K700" s="36" t="str">
        <f aca="false">IF(I700="","",I700+J700)</f>
        <v/>
      </c>
      <c r="L700" s="37" t="str">
        <f aca="false">IF(OR(I700="",I700=0,J700=""),"",J700/I700)</f>
        <v/>
      </c>
      <c r="M700" s="25" t="str">
        <f aca="false">IF(L700="","",IF(L700&gt;0.25,"ACRÉSCIMO ACIMA DE 25% — conferir",""))</f>
        <v/>
      </c>
      <c r="N700" s="29" t="str">
        <f aca="false">IF(D700="","",IF(COUNTIFS(Empresas!$B:$B,D700,Empresas!$E:$E,"&lt;&gt;")=0,"",INDEX(Empresas!$E:$E,MATCH(D700,Empresas!$B:$B,0))))</f>
        <v/>
      </c>
      <c r="O700" s="27" t="str">
        <f aca="false">IF(OR(N700="",H700=""),"",H700-N700)</f>
        <v/>
      </c>
      <c r="P700" s="25" t="str">
        <f aca="false">IF(O700="","",IF(O700&lt;0,"CONTRATO ANTERIOR À ABERTURA — conferir datas",IF(O700&lt;180,"EMPRESA ABERTA MENOS DE 6 MESES ANTES","")))</f>
        <v/>
      </c>
      <c r="Q700" s="31" t="str">
        <f aca="false">IF(D700="","",IFERROR(INDEX(Sancoes!$D:$D,MATCH(D700,Sancoes!$C:$C,0)),"não consta"))</f>
        <v/>
      </c>
      <c r="R700" s="25" t="str">
        <f aca="false">IF(OR(D700="",H700=""),"",IF(SUMPRODUCT((Sancoes!$C$5:$C$304=D700)*(Sancoes!$G$5:$G$304&lt;=H700)*(((Sancoes!$H$5:$H$304="")+(Sancoes!$H$5:$H$304&gt;=H700))&gt;0))&gt;0,"SANÇÃO VIGENTE NA DATA — ler tipo e abrangência",""))</f>
        <v/>
      </c>
      <c r="S700" s="24"/>
      <c r="T700" s="11"/>
    </row>
    <row r="701" customFormat="false" ht="15" hidden="false" customHeight="false" outlineLevel="0" collapsed="false">
      <c r="A701" s="11"/>
      <c r="B701" s="24"/>
      <c r="C701" s="24"/>
      <c r="D701" s="31" t="str">
        <f aca="false">IF(C701="","",IF(LEN(UPPER(SUBSTITUTE(SUBSTITUTE(SUBSTITUTE(SUBSTITUTE(TRIM(C701),".",""),"/",""),"-","")," ","")))&lt;14,RIGHT(REPT("0",14)&amp;UPPER(SUBSTITUTE(SUBSTITUTE(SUBSTITUTE(SUBSTITUTE(TRIM(C701),".",""),"/",""),"-","")," ","")),14),UPPER(SUBSTITUTE(SUBSTITUTE(SUBSTITUTE(SUBSTITUTE(TRIM(C701),".",""),"/",""),"-","")," ",""))))</f>
        <v/>
      </c>
      <c r="E701" s="25" t="str">
        <f aca="false">IF(D701="","",IFERROR(INDEX(Empresas!$C:$C,MATCH(D701,Empresas!$B:$B,0)),"cadastre o CNPJ em Empresas"))</f>
        <v/>
      </c>
      <c r="F701" s="11"/>
      <c r="G701" s="23"/>
      <c r="H701" s="22"/>
      <c r="I701" s="35"/>
      <c r="J701" s="35"/>
      <c r="K701" s="36" t="str">
        <f aca="false">IF(I701="","",I701+J701)</f>
        <v/>
      </c>
      <c r="L701" s="37" t="str">
        <f aca="false">IF(OR(I701="",I701=0,J701=""),"",J701/I701)</f>
        <v/>
      </c>
      <c r="M701" s="25" t="str">
        <f aca="false">IF(L701="","",IF(L701&gt;0.25,"ACRÉSCIMO ACIMA DE 25% — conferir",""))</f>
        <v/>
      </c>
      <c r="N701" s="29" t="str">
        <f aca="false">IF(D701="","",IF(COUNTIFS(Empresas!$B:$B,D701,Empresas!$E:$E,"&lt;&gt;")=0,"",INDEX(Empresas!$E:$E,MATCH(D701,Empresas!$B:$B,0))))</f>
        <v/>
      </c>
      <c r="O701" s="27" t="str">
        <f aca="false">IF(OR(N701="",H701=""),"",H701-N701)</f>
        <v/>
      </c>
      <c r="P701" s="25" t="str">
        <f aca="false">IF(O701="","",IF(O701&lt;0,"CONTRATO ANTERIOR À ABERTURA — conferir datas",IF(O701&lt;180,"EMPRESA ABERTA MENOS DE 6 MESES ANTES","")))</f>
        <v/>
      </c>
      <c r="Q701" s="31" t="str">
        <f aca="false">IF(D701="","",IFERROR(INDEX(Sancoes!$D:$D,MATCH(D701,Sancoes!$C:$C,0)),"não consta"))</f>
        <v/>
      </c>
      <c r="R701" s="25" t="str">
        <f aca="false">IF(OR(D701="",H701=""),"",IF(SUMPRODUCT((Sancoes!$C$5:$C$304=D701)*(Sancoes!$G$5:$G$304&lt;=H701)*(((Sancoes!$H$5:$H$304="")+(Sancoes!$H$5:$H$304&gt;=H701))&gt;0))&gt;0,"SANÇÃO VIGENTE NA DATA — ler tipo e abrangência",""))</f>
        <v/>
      </c>
      <c r="S701" s="24"/>
      <c r="T701" s="11"/>
    </row>
    <row r="702" customFormat="false" ht="15" hidden="false" customHeight="false" outlineLevel="0" collapsed="false">
      <c r="A702" s="11"/>
      <c r="B702" s="24"/>
      <c r="C702" s="24"/>
      <c r="D702" s="31" t="str">
        <f aca="false">IF(C702="","",IF(LEN(UPPER(SUBSTITUTE(SUBSTITUTE(SUBSTITUTE(SUBSTITUTE(TRIM(C702),".",""),"/",""),"-","")," ","")))&lt;14,RIGHT(REPT("0",14)&amp;UPPER(SUBSTITUTE(SUBSTITUTE(SUBSTITUTE(SUBSTITUTE(TRIM(C702),".",""),"/",""),"-","")," ","")),14),UPPER(SUBSTITUTE(SUBSTITUTE(SUBSTITUTE(SUBSTITUTE(TRIM(C702),".",""),"/",""),"-","")," ",""))))</f>
        <v/>
      </c>
      <c r="E702" s="25" t="str">
        <f aca="false">IF(D702="","",IFERROR(INDEX(Empresas!$C:$C,MATCH(D702,Empresas!$B:$B,0)),"cadastre o CNPJ em Empresas"))</f>
        <v/>
      </c>
      <c r="F702" s="11"/>
      <c r="G702" s="23"/>
      <c r="H702" s="22"/>
      <c r="I702" s="35"/>
      <c r="J702" s="35"/>
      <c r="K702" s="36" t="str">
        <f aca="false">IF(I702="","",I702+J702)</f>
        <v/>
      </c>
      <c r="L702" s="37" t="str">
        <f aca="false">IF(OR(I702="",I702=0,J702=""),"",J702/I702)</f>
        <v/>
      </c>
      <c r="M702" s="25" t="str">
        <f aca="false">IF(L702="","",IF(L702&gt;0.25,"ACRÉSCIMO ACIMA DE 25% — conferir",""))</f>
        <v/>
      </c>
      <c r="N702" s="29" t="str">
        <f aca="false">IF(D702="","",IF(COUNTIFS(Empresas!$B:$B,D702,Empresas!$E:$E,"&lt;&gt;")=0,"",INDEX(Empresas!$E:$E,MATCH(D702,Empresas!$B:$B,0))))</f>
        <v/>
      </c>
      <c r="O702" s="27" t="str">
        <f aca="false">IF(OR(N702="",H702=""),"",H702-N702)</f>
        <v/>
      </c>
      <c r="P702" s="25" t="str">
        <f aca="false">IF(O702="","",IF(O702&lt;0,"CONTRATO ANTERIOR À ABERTURA — conferir datas",IF(O702&lt;180,"EMPRESA ABERTA MENOS DE 6 MESES ANTES","")))</f>
        <v/>
      </c>
      <c r="Q702" s="31" t="str">
        <f aca="false">IF(D702="","",IFERROR(INDEX(Sancoes!$D:$D,MATCH(D702,Sancoes!$C:$C,0)),"não consta"))</f>
        <v/>
      </c>
      <c r="R702" s="25" t="str">
        <f aca="false">IF(OR(D702="",H702=""),"",IF(SUMPRODUCT((Sancoes!$C$5:$C$304=D702)*(Sancoes!$G$5:$G$304&lt;=H702)*(((Sancoes!$H$5:$H$304="")+(Sancoes!$H$5:$H$304&gt;=H702))&gt;0))&gt;0,"SANÇÃO VIGENTE NA DATA — ler tipo e abrangência",""))</f>
        <v/>
      </c>
      <c r="S702" s="24"/>
      <c r="T702" s="11"/>
    </row>
    <row r="703" customFormat="false" ht="15" hidden="false" customHeight="false" outlineLevel="0" collapsed="false">
      <c r="A703" s="11"/>
      <c r="B703" s="24"/>
      <c r="C703" s="24"/>
      <c r="D703" s="31" t="str">
        <f aca="false">IF(C703="","",IF(LEN(UPPER(SUBSTITUTE(SUBSTITUTE(SUBSTITUTE(SUBSTITUTE(TRIM(C703),".",""),"/",""),"-","")," ","")))&lt;14,RIGHT(REPT("0",14)&amp;UPPER(SUBSTITUTE(SUBSTITUTE(SUBSTITUTE(SUBSTITUTE(TRIM(C703),".",""),"/",""),"-","")," ","")),14),UPPER(SUBSTITUTE(SUBSTITUTE(SUBSTITUTE(SUBSTITUTE(TRIM(C703),".",""),"/",""),"-","")," ",""))))</f>
        <v/>
      </c>
      <c r="E703" s="25" t="str">
        <f aca="false">IF(D703="","",IFERROR(INDEX(Empresas!$C:$C,MATCH(D703,Empresas!$B:$B,0)),"cadastre o CNPJ em Empresas"))</f>
        <v/>
      </c>
      <c r="F703" s="11"/>
      <c r="G703" s="23"/>
      <c r="H703" s="22"/>
      <c r="I703" s="35"/>
      <c r="J703" s="35"/>
      <c r="K703" s="36" t="str">
        <f aca="false">IF(I703="","",I703+J703)</f>
        <v/>
      </c>
      <c r="L703" s="37" t="str">
        <f aca="false">IF(OR(I703="",I703=0,J703=""),"",J703/I703)</f>
        <v/>
      </c>
      <c r="M703" s="25" t="str">
        <f aca="false">IF(L703="","",IF(L703&gt;0.25,"ACRÉSCIMO ACIMA DE 25% — conferir",""))</f>
        <v/>
      </c>
      <c r="N703" s="29" t="str">
        <f aca="false">IF(D703="","",IF(COUNTIFS(Empresas!$B:$B,D703,Empresas!$E:$E,"&lt;&gt;")=0,"",INDEX(Empresas!$E:$E,MATCH(D703,Empresas!$B:$B,0))))</f>
        <v/>
      </c>
      <c r="O703" s="27" t="str">
        <f aca="false">IF(OR(N703="",H703=""),"",H703-N703)</f>
        <v/>
      </c>
      <c r="P703" s="25" t="str">
        <f aca="false">IF(O703="","",IF(O703&lt;0,"CONTRATO ANTERIOR À ABERTURA — conferir datas",IF(O703&lt;180,"EMPRESA ABERTA MENOS DE 6 MESES ANTES","")))</f>
        <v/>
      </c>
      <c r="Q703" s="31" t="str">
        <f aca="false">IF(D703="","",IFERROR(INDEX(Sancoes!$D:$D,MATCH(D703,Sancoes!$C:$C,0)),"não consta"))</f>
        <v/>
      </c>
      <c r="R703" s="25" t="str">
        <f aca="false">IF(OR(D703="",H703=""),"",IF(SUMPRODUCT((Sancoes!$C$5:$C$304=D703)*(Sancoes!$G$5:$G$304&lt;=H703)*(((Sancoes!$H$5:$H$304="")+(Sancoes!$H$5:$H$304&gt;=H703))&gt;0))&gt;0,"SANÇÃO VIGENTE NA DATA — ler tipo e abrangência",""))</f>
        <v/>
      </c>
      <c r="S703" s="24"/>
      <c r="T703" s="11"/>
    </row>
    <row r="704" customFormat="false" ht="15" hidden="false" customHeight="false" outlineLevel="0" collapsed="false">
      <c r="A704" s="11"/>
      <c r="B704" s="24"/>
      <c r="C704" s="24"/>
      <c r="D704" s="31" t="str">
        <f aca="false">IF(C704="","",IF(LEN(UPPER(SUBSTITUTE(SUBSTITUTE(SUBSTITUTE(SUBSTITUTE(TRIM(C704),".",""),"/",""),"-","")," ","")))&lt;14,RIGHT(REPT("0",14)&amp;UPPER(SUBSTITUTE(SUBSTITUTE(SUBSTITUTE(SUBSTITUTE(TRIM(C704),".",""),"/",""),"-","")," ","")),14),UPPER(SUBSTITUTE(SUBSTITUTE(SUBSTITUTE(SUBSTITUTE(TRIM(C704),".",""),"/",""),"-","")," ",""))))</f>
        <v/>
      </c>
      <c r="E704" s="25" t="str">
        <f aca="false">IF(D704="","",IFERROR(INDEX(Empresas!$C:$C,MATCH(D704,Empresas!$B:$B,0)),"cadastre o CNPJ em Empresas"))</f>
        <v/>
      </c>
      <c r="F704" s="11"/>
      <c r="G704" s="23"/>
      <c r="H704" s="22"/>
      <c r="I704" s="35"/>
      <c r="J704" s="35"/>
      <c r="K704" s="36" t="str">
        <f aca="false">IF(I704="","",I704+J704)</f>
        <v/>
      </c>
      <c r="L704" s="37" t="str">
        <f aca="false">IF(OR(I704="",I704=0,J704=""),"",J704/I704)</f>
        <v/>
      </c>
      <c r="M704" s="25" t="str">
        <f aca="false">IF(L704="","",IF(L704&gt;0.25,"ACRÉSCIMO ACIMA DE 25% — conferir",""))</f>
        <v/>
      </c>
      <c r="N704" s="29" t="str">
        <f aca="false">IF(D704="","",IF(COUNTIFS(Empresas!$B:$B,D704,Empresas!$E:$E,"&lt;&gt;")=0,"",INDEX(Empresas!$E:$E,MATCH(D704,Empresas!$B:$B,0))))</f>
        <v/>
      </c>
      <c r="O704" s="27" t="str">
        <f aca="false">IF(OR(N704="",H704=""),"",H704-N704)</f>
        <v/>
      </c>
      <c r="P704" s="25" t="str">
        <f aca="false">IF(O704="","",IF(O704&lt;0,"CONTRATO ANTERIOR À ABERTURA — conferir datas",IF(O704&lt;180,"EMPRESA ABERTA MENOS DE 6 MESES ANTES","")))</f>
        <v/>
      </c>
      <c r="Q704" s="31" t="str">
        <f aca="false">IF(D704="","",IFERROR(INDEX(Sancoes!$D:$D,MATCH(D704,Sancoes!$C:$C,0)),"não consta"))</f>
        <v/>
      </c>
      <c r="R704" s="25" t="str">
        <f aca="false">IF(OR(D704="",H704=""),"",IF(SUMPRODUCT((Sancoes!$C$5:$C$304=D704)*(Sancoes!$G$5:$G$304&lt;=H704)*(((Sancoes!$H$5:$H$304="")+(Sancoes!$H$5:$H$304&gt;=H704))&gt;0))&gt;0,"SANÇÃO VIGENTE NA DATA — ler tipo e abrangência",""))</f>
        <v/>
      </c>
      <c r="S704" s="24"/>
      <c r="T704" s="11"/>
    </row>
    <row r="705" customFormat="false" ht="15" hidden="false" customHeight="false" outlineLevel="0" collapsed="false">
      <c r="A705" s="11"/>
      <c r="B705" s="24"/>
      <c r="C705" s="24"/>
      <c r="D705" s="31" t="str">
        <f aca="false">IF(C705="","",IF(LEN(UPPER(SUBSTITUTE(SUBSTITUTE(SUBSTITUTE(SUBSTITUTE(TRIM(C705),".",""),"/",""),"-","")," ","")))&lt;14,RIGHT(REPT("0",14)&amp;UPPER(SUBSTITUTE(SUBSTITUTE(SUBSTITUTE(SUBSTITUTE(TRIM(C705),".",""),"/",""),"-","")," ","")),14),UPPER(SUBSTITUTE(SUBSTITUTE(SUBSTITUTE(SUBSTITUTE(TRIM(C705),".",""),"/",""),"-","")," ",""))))</f>
        <v/>
      </c>
      <c r="E705" s="25" t="str">
        <f aca="false">IF(D705="","",IFERROR(INDEX(Empresas!$C:$C,MATCH(D705,Empresas!$B:$B,0)),"cadastre o CNPJ em Empresas"))</f>
        <v/>
      </c>
      <c r="F705" s="11"/>
      <c r="G705" s="23"/>
      <c r="H705" s="22"/>
      <c r="I705" s="35"/>
      <c r="J705" s="35"/>
      <c r="K705" s="36" t="str">
        <f aca="false">IF(I705="","",I705+J705)</f>
        <v/>
      </c>
      <c r="L705" s="37" t="str">
        <f aca="false">IF(OR(I705="",I705=0,J705=""),"",J705/I705)</f>
        <v/>
      </c>
      <c r="M705" s="25" t="str">
        <f aca="false">IF(L705="","",IF(L705&gt;0.25,"ACRÉSCIMO ACIMA DE 25% — conferir",""))</f>
        <v/>
      </c>
      <c r="N705" s="29" t="str">
        <f aca="false">IF(D705="","",IF(COUNTIFS(Empresas!$B:$B,D705,Empresas!$E:$E,"&lt;&gt;")=0,"",INDEX(Empresas!$E:$E,MATCH(D705,Empresas!$B:$B,0))))</f>
        <v/>
      </c>
      <c r="O705" s="27" t="str">
        <f aca="false">IF(OR(N705="",H705=""),"",H705-N705)</f>
        <v/>
      </c>
      <c r="P705" s="25" t="str">
        <f aca="false">IF(O705="","",IF(O705&lt;0,"CONTRATO ANTERIOR À ABERTURA — conferir datas",IF(O705&lt;180,"EMPRESA ABERTA MENOS DE 6 MESES ANTES","")))</f>
        <v/>
      </c>
      <c r="Q705" s="31" t="str">
        <f aca="false">IF(D705="","",IFERROR(INDEX(Sancoes!$D:$D,MATCH(D705,Sancoes!$C:$C,0)),"não consta"))</f>
        <v/>
      </c>
      <c r="R705" s="25" t="str">
        <f aca="false">IF(OR(D705="",H705=""),"",IF(SUMPRODUCT((Sancoes!$C$5:$C$304=D705)*(Sancoes!$G$5:$G$304&lt;=H705)*(((Sancoes!$H$5:$H$304="")+(Sancoes!$H$5:$H$304&gt;=H705))&gt;0))&gt;0,"SANÇÃO VIGENTE NA DATA — ler tipo e abrangência",""))</f>
        <v/>
      </c>
      <c r="S705" s="24"/>
      <c r="T705" s="11"/>
    </row>
    <row r="706" customFormat="false" ht="15" hidden="false" customHeight="false" outlineLevel="0" collapsed="false">
      <c r="A706" s="11"/>
      <c r="B706" s="24"/>
      <c r="C706" s="24"/>
      <c r="D706" s="31" t="str">
        <f aca="false">IF(C706="","",IF(LEN(UPPER(SUBSTITUTE(SUBSTITUTE(SUBSTITUTE(SUBSTITUTE(TRIM(C706),".",""),"/",""),"-","")," ","")))&lt;14,RIGHT(REPT("0",14)&amp;UPPER(SUBSTITUTE(SUBSTITUTE(SUBSTITUTE(SUBSTITUTE(TRIM(C706),".",""),"/",""),"-","")," ","")),14),UPPER(SUBSTITUTE(SUBSTITUTE(SUBSTITUTE(SUBSTITUTE(TRIM(C706),".",""),"/",""),"-","")," ",""))))</f>
        <v/>
      </c>
      <c r="E706" s="25" t="str">
        <f aca="false">IF(D706="","",IFERROR(INDEX(Empresas!$C:$C,MATCH(D706,Empresas!$B:$B,0)),"cadastre o CNPJ em Empresas"))</f>
        <v/>
      </c>
      <c r="F706" s="11"/>
      <c r="G706" s="23"/>
      <c r="H706" s="22"/>
      <c r="I706" s="35"/>
      <c r="J706" s="35"/>
      <c r="K706" s="36" t="str">
        <f aca="false">IF(I706="","",I706+J706)</f>
        <v/>
      </c>
      <c r="L706" s="37" t="str">
        <f aca="false">IF(OR(I706="",I706=0,J706=""),"",J706/I706)</f>
        <v/>
      </c>
      <c r="M706" s="25" t="str">
        <f aca="false">IF(L706="","",IF(L706&gt;0.25,"ACRÉSCIMO ACIMA DE 25% — conferir",""))</f>
        <v/>
      </c>
      <c r="N706" s="29" t="str">
        <f aca="false">IF(D706="","",IF(COUNTIFS(Empresas!$B:$B,D706,Empresas!$E:$E,"&lt;&gt;")=0,"",INDEX(Empresas!$E:$E,MATCH(D706,Empresas!$B:$B,0))))</f>
        <v/>
      </c>
      <c r="O706" s="27" t="str">
        <f aca="false">IF(OR(N706="",H706=""),"",H706-N706)</f>
        <v/>
      </c>
      <c r="P706" s="25" t="str">
        <f aca="false">IF(O706="","",IF(O706&lt;0,"CONTRATO ANTERIOR À ABERTURA — conferir datas",IF(O706&lt;180,"EMPRESA ABERTA MENOS DE 6 MESES ANTES","")))</f>
        <v/>
      </c>
      <c r="Q706" s="31" t="str">
        <f aca="false">IF(D706="","",IFERROR(INDEX(Sancoes!$D:$D,MATCH(D706,Sancoes!$C:$C,0)),"não consta"))</f>
        <v/>
      </c>
      <c r="R706" s="25" t="str">
        <f aca="false">IF(OR(D706="",H706=""),"",IF(SUMPRODUCT((Sancoes!$C$5:$C$304=D706)*(Sancoes!$G$5:$G$304&lt;=H706)*(((Sancoes!$H$5:$H$304="")+(Sancoes!$H$5:$H$304&gt;=H706))&gt;0))&gt;0,"SANÇÃO VIGENTE NA DATA — ler tipo e abrangência",""))</f>
        <v/>
      </c>
      <c r="S706" s="24"/>
      <c r="T706" s="11"/>
    </row>
    <row r="707" customFormat="false" ht="15" hidden="false" customHeight="false" outlineLevel="0" collapsed="false">
      <c r="A707" s="11"/>
      <c r="B707" s="24"/>
      <c r="C707" s="24"/>
      <c r="D707" s="31" t="str">
        <f aca="false">IF(C707="","",IF(LEN(UPPER(SUBSTITUTE(SUBSTITUTE(SUBSTITUTE(SUBSTITUTE(TRIM(C707),".",""),"/",""),"-","")," ","")))&lt;14,RIGHT(REPT("0",14)&amp;UPPER(SUBSTITUTE(SUBSTITUTE(SUBSTITUTE(SUBSTITUTE(TRIM(C707),".",""),"/",""),"-","")," ","")),14),UPPER(SUBSTITUTE(SUBSTITUTE(SUBSTITUTE(SUBSTITUTE(TRIM(C707),".",""),"/",""),"-","")," ",""))))</f>
        <v/>
      </c>
      <c r="E707" s="25" t="str">
        <f aca="false">IF(D707="","",IFERROR(INDEX(Empresas!$C:$C,MATCH(D707,Empresas!$B:$B,0)),"cadastre o CNPJ em Empresas"))</f>
        <v/>
      </c>
      <c r="F707" s="11"/>
      <c r="G707" s="23"/>
      <c r="H707" s="22"/>
      <c r="I707" s="35"/>
      <c r="J707" s="35"/>
      <c r="K707" s="36" t="str">
        <f aca="false">IF(I707="","",I707+J707)</f>
        <v/>
      </c>
      <c r="L707" s="37" t="str">
        <f aca="false">IF(OR(I707="",I707=0,J707=""),"",J707/I707)</f>
        <v/>
      </c>
      <c r="M707" s="25" t="str">
        <f aca="false">IF(L707="","",IF(L707&gt;0.25,"ACRÉSCIMO ACIMA DE 25% — conferir",""))</f>
        <v/>
      </c>
      <c r="N707" s="29" t="str">
        <f aca="false">IF(D707="","",IF(COUNTIFS(Empresas!$B:$B,D707,Empresas!$E:$E,"&lt;&gt;")=0,"",INDEX(Empresas!$E:$E,MATCH(D707,Empresas!$B:$B,0))))</f>
        <v/>
      </c>
      <c r="O707" s="27" t="str">
        <f aca="false">IF(OR(N707="",H707=""),"",H707-N707)</f>
        <v/>
      </c>
      <c r="P707" s="25" t="str">
        <f aca="false">IF(O707="","",IF(O707&lt;0,"CONTRATO ANTERIOR À ABERTURA — conferir datas",IF(O707&lt;180,"EMPRESA ABERTA MENOS DE 6 MESES ANTES","")))</f>
        <v/>
      </c>
      <c r="Q707" s="31" t="str">
        <f aca="false">IF(D707="","",IFERROR(INDEX(Sancoes!$D:$D,MATCH(D707,Sancoes!$C:$C,0)),"não consta"))</f>
        <v/>
      </c>
      <c r="R707" s="25" t="str">
        <f aca="false">IF(OR(D707="",H707=""),"",IF(SUMPRODUCT((Sancoes!$C$5:$C$304=D707)*(Sancoes!$G$5:$G$304&lt;=H707)*(((Sancoes!$H$5:$H$304="")+(Sancoes!$H$5:$H$304&gt;=H707))&gt;0))&gt;0,"SANÇÃO VIGENTE NA DATA — ler tipo e abrangência",""))</f>
        <v/>
      </c>
      <c r="S707" s="24"/>
      <c r="T707" s="11"/>
    </row>
    <row r="708" customFormat="false" ht="15" hidden="false" customHeight="false" outlineLevel="0" collapsed="false">
      <c r="A708" s="11"/>
      <c r="B708" s="24"/>
      <c r="C708" s="24"/>
      <c r="D708" s="31" t="str">
        <f aca="false">IF(C708="","",IF(LEN(UPPER(SUBSTITUTE(SUBSTITUTE(SUBSTITUTE(SUBSTITUTE(TRIM(C708),".",""),"/",""),"-","")," ","")))&lt;14,RIGHT(REPT("0",14)&amp;UPPER(SUBSTITUTE(SUBSTITUTE(SUBSTITUTE(SUBSTITUTE(TRIM(C708),".",""),"/",""),"-","")," ","")),14),UPPER(SUBSTITUTE(SUBSTITUTE(SUBSTITUTE(SUBSTITUTE(TRIM(C708),".",""),"/",""),"-","")," ",""))))</f>
        <v/>
      </c>
      <c r="E708" s="25" t="str">
        <f aca="false">IF(D708="","",IFERROR(INDEX(Empresas!$C:$C,MATCH(D708,Empresas!$B:$B,0)),"cadastre o CNPJ em Empresas"))</f>
        <v/>
      </c>
      <c r="F708" s="11"/>
      <c r="G708" s="23"/>
      <c r="H708" s="22"/>
      <c r="I708" s="35"/>
      <c r="J708" s="35"/>
      <c r="K708" s="36" t="str">
        <f aca="false">IF(I708="","",I708+J708)</f>
        <v/>
      </c>
      <c r="L708" s="37" t="str">
        <f aca="false">IF(OR(I708="",I708=0,J708=""),"",J708/I708)</f>
        <v/>
      </c>
      <c r="M708" s="25" t="str">
        <f aca="false">IF(L708="","",IF(L708&gt;0.25,"ACRÉSCIMO ACIMA DE 25% — conferir",""))</f>
        <v/>
      </c>
      <c r="N708" s="29" t="str">
        <f aca="false">IF(D708="","",IF(COUNTIFS(Empresas!$B:$B,D708,Empresas!$E:$E,"&lt;&gt;")=0,"",INDEX(Empresas!$E:$E,MATCH(D708,Empresas!$B:$B,0))))</f>
        <v/>
      </c>
      <c r="O708" s="27" t="str">
        <f aca="false">IF(OR(N708="",H708=""),"",H708-N708)</f>
        <v/>
      </c>
      <c r="P708" s="25" t="str">
        <f aca="false">IF(O708="","",IF(O708&lt;0,"CONTRATO ANTERIOR À ABERTURA — conferir datas",IF(O708&lt;180,"EMPRESA ABERTA MENOS DE 6 MESES ANTES","")))</f>
        <v/>
      </c>
      <c r="Q708" s="31" t="str">
        <f aca="false">IF(D708="","",IFERROR(INDEX(Sancoes!$D:$D,MATCH(D708,Sancoes!$C:$C,0)),"não consta"))</f>
        <v/>
      </c>
      <c r="R708" s="25" t="str">
        <f aca="false">IF(OR(D708="",H708=""),"",IF(SUMPRODUCT((Sancoes!$C$5:$C$304=D708)*(Sancoes!$G$5:$G$304&lt;=H708)*(((Sancoes!$H$5:$H$304="")+(Sancoes!$H$5:$H$304&gt;=H708))&gt;0))&gt;0,"SANÇÃO VIGENTE NA DATA — ler tipo e abrangência",""))</f>
        <v/>
      </c>
      <c r="S708" s="24"/>
      <c r="T708" s="11"/>
    </row>
    <row r="709" customFormat="false" ht="15" hidden="false" customHeight="false" outlineLevel="0" collapsed="false">
      <c r="A709" s="11"/>
      <c r="B709" s="24"/>
      <c r="C709" s="24"/>
      <c r="D709" s="31" t="str">
        <f aca="false">IF(C709="","",IF(LEN(UPPER(SUBSTITUTE(SUBSTITUTE(SUBSTITUTE(SUBSTITUTE(TRIM(C709),".",""),"/",""),"-","")," ","")))&lt;14,RIGHT(REPT("0",14)&amp;UPPER(SUBSTITUTE(SUBSTITUTE(SUBSTITUTE(SUBSTITUTE(TRIM(C709),".",""),"/",""),"-","")," ","")),14),UPPER(SUBSTITUTE(SUBSTITUTE(SUBSTITUTE(SUBSTITUTE(TRIM(C709),".",""),"/",""),"-","")," ",""))))</f>
        <v/>
      </c>
      <c r="E709" s="25" t="str">
        <f aca="false">IF(D709="","",IFERROR(INDEX(Empresas!$C:$C,MATCH(D709,Empresas!$B:$B,0)),"cadastre o CNPJ em Empresas"))</f>
        <v/>
      </c>
      <c r="F709" s="11"/>
      <c r="G709" s="23"/>
      <c r="H709" s="22"/>
      <c r="I709" s="35"/>
      <c r="J709" s="35"/>
      <c r="K709" s="36" t="str">
        <f aca="false">IF(I709="","",I709+J709)</f>
        <v/>
      </c>
      <c r="L709" s="37" t="str">
        <f aca="false">IF(OR(I709="",I709=0,J709=""),"",J709/I709)</f>
        <v/>
      </c>
      <c r="M709" s="25" t="str">
        <f aca="false">IF(L709="","",IF(L709&gt;0.25,"ACRÉSCIMO ACIMA DE 25% — conferir",""))</f>
        <v/>
      </c>
      <c r="N709" s="29" t="str">
        <f aca="false">IF(D709="","",IF(COUNTIFS(Empresas!$B:$B,D709,Empresas!$E:$E,"&lt;&gt;")=0,"",INDEX(Empresas!$E:$E,MATCH(D709,Empresas!$B:$B,0))))</f>
        <v/>
      </c>
      <c r="O709" s="27" t="str">
        <f aca="false">IF(OR(N709="",H709=""),"",H709-N709)</f>
        <v/>
      </c>
      <c r="P709" s="25" t="str">
        <f aca="false">IF(O709="","",IF(O709&lt;0,"CONTRATO ANTERIOR À ABERTURA — conferir datas",IF(O709&lt;180,"EMPRESA ABERTA MENOS DE 6 MESES ANTES","")))</f>
        <v/>
      </c>
      <c r="Q709" s="31" t="str">
        <f aca="false">IF(D709="","",IFERROR(INDEX(Sancoes!$D:$D,MATCH(D709,Sancoes!$C:$C,0)),"não consta"))</f>
        <v/>
      </c>
      <c r="R709" s="25" t="str">
        <f aca="false">IF(OR(D709="",H709=""),"",IF(SUMPRODUCT((Sancoes!$C$5:$C$304=D709)*(Sancoes!$G$5:$G$304&lt;=H709)*(((Sancoes!$H$5:$H$304="")+(Sancoes!$H$5:$H$304&gt;=H709))&gt;0))&gt;0,"SANÇÃO VIGENTE NA DATA — ler tipo e abrangência",""))</f>
        <v/>
      </c>
      <c r="S709" s="24"/>
      <c r="T709" s="11"/>
    </row>
    <row r="710" customFormat="false" ht="15" hidden="false" customHeight="false" outlineLevel="0" collapsed="false">
      <c r="A710" s="11"/>
      <c r="B710" s="24"/>
      <c r="C710" s="24"/>
      <c r="D710" s="31" t="str">
        <f aca="false">IF(C710="","",IF(LEN(UPPER(SUBSTITUTE(SUBSTITUTE(SUBSTITUTE(SUBSTITUTE(TRIM(C710),".",""),"/",""),"-","")," ","")))&lt;14,RIGHT(REPT("0",14)&amp;UPPER(SUBSTITUTE(SUBSTITUTE(SUBSTITUTE(SUBSTITUTE(TRIM(C710),".",""),"/",""),"-","")," ","")),14),UPPER(SUBSTITUTE(SUBSTITUTE(SUBSTITUTE(SUBSTITUTE(TRIM(C710),".",""),"/",""),"-","")," ",""))))</f>
        <v/>
      </c>
      <c r="E710" s="25" t="str">
        <f aca="false">IF(D710="","",IFERROR(INDEX(Empresas!$C:$C,MATCH(D710,Empresas!$B:$B,0)),"cadastre o CNPJ em Empresas"))</f>
        <v/>
      </c>
      <c r="F710" s="11"/>
      <c r="G710" s="23"/>
      <c r="H710" s="22"/>
      <c r="I710" s="35"/>
      <c r="J710" s="35"/>
      <c r="K710" s="36" t="str">
        <f aca="false">IF(I710="","",I710+J710)</f>
        <v/>
      </c>
      <c r="L710" s="37" t="str">
        <f aca="false">IF(OR(I710="",I710=0,J710=""),"",J710/I710)</f>
        <v/>
      </c>
      <c r="M710" s="25" t="str">
        <f aca="false">IF(L710="","",IF(L710&gt;0.25,"ACRÉSCIMO ACIMA DE 25% — conferir",""))</f>
        <v/>
      </c>
      <c r="N710" s="29" t="str">
        <f aca="false">IF(D710="","",IF(COUNTIFS(Empresas!$B:$B,D710,Empresas!$E:$E,"&lt;&gt;")=0,"",INDEX(Empresas!$E:$E,MATCH(D710,Empresas!$B:$B,0))))</f>
        <v/>
      </c>
      <c r="O710" s="27" t="str">
        <f aca="false">IF(OR(N710="",H710=""),"",H710-N710)</f>
        <v/>
      </c>
      <c r="P710" s="25" t="str">
        <f aca="false">IF(O710="","",IF(O710&lt;0,"CONTRATO ANTERIOR À ABERTURA — conferir datas",IF(O710&lt;180,"EMPRESA ABERTA MENOS DE 6 MESES ANTES","")))</f>
        <v/>
      </c>
      <c r="Q710" s="31" t="str">
        <f aca="false">IF(D710="","",IFERROR(INDEX(Sancoes!$D:$D,MATCH(D710,Sancoes!$C:$C,0)),"não consta"))</f>
        <v/>
      </c>
      <c r="R710" s="25" t="str">
        <f aca="false">IF(OR(D710="",H710=""),"",IF(SUMPRODUCT((Sancoes!$C$5:$C$304=D710)*(Sancoes!$G$5:$G$304&lt;=H710)*(((Sancoes!$H$5:$H$304="")+(Sancoes!$H$5:$H$304&gt;=H710))&gt;0))&gt;0,"SANÇÃO VIGENTE NA DATA — ler tipo e abrangência",""))</f>
        <v/>
      </c>
      <c r="S710" s="24"/>
      <c r="T710" s="11"/>
    </row>
    <row r="711" customFormat="false" ht="15" hidden="false" customHeight="false" outlineLevel="0" collapsed="false">
      <c r="A711" s="11"/>
      <c r="B711" s="24"/>
      <c r="C711" s="24"/>
      <c r="D711" s="31" t="str">
        <f aca="false">IF(C711="","",IF(LEN(UPPER(SUBSTITUTE(SUBSTITUTE(SUBSTITUTE(SUBSTITUTE(TRIM(C711),".",""),"/",""),"-","")," ","")))&lt;14,RIGHT(REPT("0",14)&amp;UPPER(SUBSTITUTE(SUBSTITUTE(SUBSTITUTE(SUBSTITUTE(TRIM(C711),".",""),"/",""),"-","")," ","")),14),UPPER(SUBSTITUTE(SUBSTITUTE(SUBSTITUTE(SUBSTITUTE(TRIM(C711),".",""),"/",""),"-","")," ",""))))</f>
        <v/>
      </c>
      <c r="E711" s="25" t="str">
        <f aca="false">IF(D711="","",IFERROR(INDEX(Empresas!$C:$C,MATCH(D711,Empresas!$B:$B,0)),"cadastre o CNPJ em Empresas"))</f>
        <v/>
      </c>
      <c r="F711" s="11"/>
      <c r="G711" s="23"/>
      <c r="H711" s="22"/>
      <c r="I711" s="35"/>
      <c r="J711" s="35"/>
      <c r="K711" s="36" t="str">
        <f aca="false">IF(I711="","",I711+J711)</f>
        <v/>
      </c>
      <c r="L711" s="37" t="str">
        <f aca="false">IF(OR(I711="",I711=0,J711=""),"",J711/I711)</f>
        <v/>
      </c>
      <c r="M711" s="25" t="str">
        <f aca="false">IF(L711="","",IF(L711&gt;0.25,"ACRÉSCIMO ACIMA DE 25% — conferir",""))</f>
        <v/>
      </c>
      <c r="N711" s="29" t="str">
        <f aca="false">IF(D711="","",IF(COUNTIFS(Empresas!$B:$B,D711,Empresas!$E:$E,"&lt;&gt;")=0,"",INDEX(Empresas!$E:$E,MATCH(D711,Empresas!$B:$B,0))))</f>
        <v/>
      </c>
      <c r="O711" s="27" t="str">
        <f aca="false">IF(OR(N711="",H711=""),"",H711-N711)</f>
        <v/>
      </c>
      <c r="P711" s="25" t="str">
        <f aca="false">IF(O711="","",IF(O711&lt;0,"CONTRATO ANTERIOR À ABERTURA — conferir datas",IF(O711&lt;180,"EMPRESA ABERTA MENOS DE 6 MESES ANTES","")))</f>
        <v/>
      </c>
      <c r="Q711" s="31" t="str">
        <f aca="false">IF(D711="","",IFERROR(INDEX(Sancoes!$D:$D,MATCH(D711,Sancoes!$C:$C,0)),"não consta"))</f>
        <v/>
      </c>
      <c r="R711" s="25" t="str">
        <f aca="false">IF(OR(D711="",H711=""),"",IF(SUMPRODUCT((Sancoes!$C$5:$C$304=D711)*(Sancoes!$G$5:$G$304&lt;=H711)*(((Sancoes!$H$5:$H$304="")+(Sancoes!$H$5:$H$304&gt;=H711))&gt;0))&gt;0,"SANÇÃO VIGENTE NA DATA — ler tipo e abrangência",""))</f>
        <v/>
      </c>
      <c r="S711" s="24"/>
      <c r="T711" s="11"/>
    </row>
    <row r="712" customFormat="false" ht="15" hidden="false" customHeight="false" outlineLevel="0" collapsed="false">
      <c r="A712" s="11"/>
      <c r="B712" s="24"/>
      <c r="C712" s="24"/>
      <c r="D712" s="31" t="str">
        <f aca="false">IF(C712="","",IF(LEN(UPPER(SUBSTITUTE(SUBSTITUTE(SUBSTITUTE(SUBSTITUTE(TRIM(C712),".",""),"/",""),"-","")," ","")))&lt;14,RIGHT(REPT("0",14)&amp;UPPER(SUBSTITUTE(SUBSTITUTE(SUBSTITUTE(SUBSTITUTE(TRIM(C712),".",""),"/",""),"-","")," ","")),14),UPPER(SUBSTITUTE(SUBSTITUTE(SUBSTITUTE(SUBSTITUTE(TRIM(C712),".",""),"/",""),"-","")," ",""))))</f>
        <v/>
      </c>
      <c r="E712" s="25" t="str">
        <f aca="false">IF(D712="","",IFERROR(INDEX(Empresas!$C:$C,MATCH(D712,Empresas!$B:$B,0)),"cadastre o CNPJ em Empresas"))</f>
        <v/>
      </c>
      <c r="F712" s="11"/>
      <c r="G712" s="23"/>
      <c r="H712" s="22"/>
      <c r="I712" s="35"/>
      <c r="J712" s="35"/>
      <c r="K712" s="36" t="str">
        <f aca="false">IF(I712="","",I712+J712)</f>
        <v/>
      </c>
      <c r="L712" s="37" t="str">
        <f aca="false">IF(OR(I712="",I712=0,J712=""),"",J712/I712)</f>
        <v/>
      </c>
      <c r="M712" s="25" t="str">
        <f aca="false">IF(L712="","",IF(L712&gt;0.25,"ACRÉSCIMO ACIMA DE 25% — conferir",""))</f>
        <v/>
      </c>
      <c r="N712" s="29" t="str">
        <f aca="false">IF(D712="","",IF(COUNTIFS(Empresas!$B:$B,D712,Empresas!$E:$E,"&lt;&gt;")=0,"",INDEX(Empresas!$E:$E,MATCH(D712,Empresas!$B:$B,0))))</f>
        <v/>
      </c>
      <c r="O712" s="27" t="str">
        <f aca="false">IF(OR(N712="",H712=""),"",H712-N712)</f>
        <v/>
      </c>
      <c r="P712" s="25" t="str">
        <f aca="false">IF(O712="","",IF(O712&lt;0,"CONTRATO ANTERIOR À ABERTURA — conferir datas",IF(O712&lt;180,"EMPRESA ABERTA MENOS DE 6 MESES ANTES","")))</f>
        <v/>
      </c>
      <c r="Q712" s="31" t="str">
        <f aca="false">IF(D712="","",IFERROR(INDEX(Sancoes!$D:$D,MATCH(D712,Sancoes!$C:$C,0)),"não consta"))</f>
        <v/>
      </c>
      <c r="R712" s="25" t="str">
        <f aca="false">IF(OR(D712="",H712=""),"",IF(SUMPRODUCT((Sancoes!$C$5:$C$304=D712)*(Sancoes!$G$5:$G$304&lt;=H712)*(((Sancoes!$H$5:$H$304="")+(Sancoes!$H$5:$H$304&gt;=H712))&gt;0))&gt;0,"SANÇÃO VIGENTE NA DATA — ler tipo e abrangência",""))</f>
        <v/>
      </c>
      <c r="S712" s="24"/>
      <c r="T712" s="11"/>
    </row>
    <row r="713" customFormat="false" ht="15" hidden="false" customHeight="false" outlineLevel="0" collapsed="false">
      <c r="A713" s="11"/>
      <c r="B713" s="24"/>
      <c r="C713" s="24"/>
      <c r="D713" s="31" t="str">
        <f aca="false">IF(C713="","",IF(LEN(UPPER(SUBSTITUTE(SUBSTITUTE(SUBSTITUTE(SUBSTITUTE(TRIM(C713),".",""),"/",""),"-","")," ","")))&lt;14,RIGHT(REPT("0",14)&amp;UPPER(SUBSTITUTE(SUBSTITUTE(SUBSTITUTE(SUBSTITUTE(TRIM(C713),".",""),"/",""),"-","")," ","")),14),UPPER(SUBSTITUTE(SUBSTITUTE(SUBSTITUTE(SUBSTITUTE(TRIM(C713),".",""),"/",""),"-","")," ",""))))</f>
        <v/>
      </c>
      <c r="E713" s="25" t="str">
        <f aca="false">IF(D713="","",IFERROR(INDEX(Empresas!$C:$C,MATCH(D713,Empresas!$B:$B,0)),"cadastre o CNPJ em Empresas"))</f>
        <v/>
      </c>
      <c r="F713" s="11"/>
      <c r="G713" s="23"/>
      <c r="H713" s="22"/>
      <c r="I713" s="35"/>
      <c r="J713" s="35"/>
      <c r="K713" s="36" t="str">
        <f aca="false">IF(I713="","",I713+J713)</f>
        <v/>
      </c>
      <c r="L713" s="37" t="str">
        <f aca="false">IF(OR(I713="",I713=0,J713=""),"",J713/I713)</f>
        <v/>
      </c>
      <c r="M713" s="25" t="str">
        <f aca="false">IF(L713="","",IF(L713&gt;0.25,"ACRÉSCIMO ACIMA DE 25% — conferir",""))</f>
        <v/>
      </c>
      <c r="N713" s="29" t="str">
        <f aca="false">IF(D713="","",IF(COUNTIFS(Empresas!$B:$B,D713,Empresas!$E:$E,"&lt;&gt;")=0,"",INDEX(Empresas!$E:$E,MATCH(D713,Empresas!$B:$B,0))))</f>
        <v/>
      </c>
      <c r="O713" s="27" t="str">
        <f aca="false">IF(OR(N713="",H713=""),"",H713-N713)</f>
        <v/>
      </c>
      <c r="P713" s="25" t="str">
        <f aca="false">IF(O713="","",IF(O713&lt;0,"CONTRATO ANTERIOR À ABERTURA — conferir datas",IF(O713&lt;180,"EMPRESA ABERTA MENOS DE 6 MESES ANTES","")))</f>
        <v/>
      </c>
      <c r="Q713" s="31" t="str">
        <f aca="false">IF(D713="","",IFERROR(INDEX(Sancoes!$D:$D,MATCH(D713,Sancoes!$C:$C,0)),"não consta"))</f>
        <v/>
      </c>
      <c r="R713" s="25" t="str">
        <f aca="false">IF(OR(D713="",H713=""),"",IF(SUMPRODUCT((Sancoes!$C$5:$C$304=D713)*(Sancoes!$G$5:$G$304&lt;=H713)*(((Sancoes!$H$5:$H$304="")+(Sancoes!$H$5:$H$304&gt;=H713))&gt;0))&gt;0,"SANÇÃO VIGENTE NA DATA — ler tipo e abrangência",""))</f>
        <v/>
      </c>
      <c r="S713" s="24"/>
      <c r="T713" s="11"/>
    </row>
    <row r="714" customFormat="false" ht="15" hidden="false" customHeight="false" outlineLevel="0" collapsed="false">
      <c r="A714" s="11"/>
      <c r="B714" s="24"/>
      <c r="C714" s="24"/>
      <c r="D714" s="31" t="str">
        <f aca="false">IF(C714="","",IF(LEN(UPPER(SUBSTITUTE(SUBSTITUTE(SUBSTITUTE(SUBSTITUTE(TRIM(C714),".",""),"/",""),"-","")," ","")))&lt;14,RIGHT(REPT("0",14)&amp;UPPER(SUBSTITUTE(SUBSTITUTE(SUBSTITUTE(SUBSTITUTE(TRIM(C714),".",""),"/",""),"-","")," ","")),14),UPPER(SUBSTITUTE(SUBSTITUTE(SUBSTITUTE(SUBSTITUTE(TRIM(C714),".",""),"/",""),"-","")," ",""))))</f>
        <v/>
      </c>
      <c r="E714" s="25" t="str">
        <f aca="false">IF(D714="","",IFERROR(INDEX(Empresas!$C:$C,MATCH(D714,Empresas!$B:$B,0)),"cadastre o CNPJ em Empresas"))</f>
        <v/>
      </c>
      <c r="F714" s="11"/>
      <c r="G714" s="23"/>
      <c r="H714" s="22"/>
      <c r="I714" s="35"/>
      <c r="J714" s="35"/>
      <c r="K714" s="36" t="str">
        <f aca="false">IF(I714="","",I714+J714)</f>
        <v/>
      </c>
      <c r="L714" s="37" t="str">
        <f aca="false">IF(OR(I714="",I714=0,J714=""),"",J714/I714)</f>
        <v/>
      </c>
      <c r="M714" s="25" t="str">
        <f aca="false">IF(L714="","",IF(L714&gt;0.25,"ACRÉSCIMO ACIMA DE 25% — conferir",""))</f>
        <v/>
      </c>
      <c r="N714" s="29" t="str">
        <f aca="false">IF(D714="","",IF(COUNTIFS(Empresas!$B:$B,D714,Empresas!$E:$E,"&lt;&gt;")=0,"",INDEX(Empresas!$E:$E,MATCH(D714,Empresas!$B:$B,0))))</f>
        <v/>
      </c>
      <c r="O714" s="27" t="str">
        <f aca="false">IF(OR(N714="",H714=""),"",H714-N714)</f>
        <v/>
      </c>
      <c r="P714" s="25" t="str">
        <f aca="false">IF(O714="","",IF(O714&lt;0,"CONTRATO ANTERIOR À ABERTURA — conferir datas",IF(O714&lt;180,"EMPRESA ABERTA MENOS DE 6 MESES ANTES","")))</f>
        <v/>
      </c>
      <c r="Q714" s="31" t="str">
        <f aca="false">IF(D714="","",IFERROR(INDEX(Sancoes!$D:$D,MATCH(D714,Sancoes!$C:$C,0)),"não consta"))</f>
        <v/>
      </c>
      <c r="R714" s="25" t="str">
        <f aca="false">IF(OR(D714="",H714=""),"",IF(SUMPRODUCT((Sancoes!$C$5:$C$304=D714)*(Sancoes!$G$5:$G$304&lt;=H714)*(((Sancoes!$H$5:$H$304="")+(Sancoes!$H$5:$H$304&gt;=H714))&gt;0))&gt;0,"SANÇÃO VIGENTE NA DATA — ler tipo e abrangência",""))</f>
        <v/>
      </c>
      <c r="S714" s="24"/>
      <c r="T714" s="11"/>
    </row>
    <row r="715" customFormat="false" ht="15" hidden="false" customHeight="false" outlineLevel="0" collapsed="false">
      <c r="A715" s="11"/>
      <c r="B715" s="24"/>
      <c r="C715" s="24"/>
      <c r="D715" s="31" t="str">
        <f aca="false">IF(C715="","",IF(LEN(UPPER(SUBSTITUTE(SUBSTITUTE(SUBSTITUTE(SUBSTITUTE(TRIM(C715),".",""),"/",""),"-","")," ","")))&lt;14,RIGHT(REPT("0",14)&amp;UPPER(SUBSTITUTE(SUBSTITUTE(SUBSTITUTE(SUBSTITUTE(TRIM(C715),".",""),"/",""),"-","")," ","")),14),UPPER(SUBSTITUTE(SUBSTITUTE(SUBSTITUTE(SUBSTITUTE(TRIM(C715),".",""),"/",""),"-","")," ",""))))</f>
        <v/>
      </c>
      <c r="E715" s="25" t="str">
        <f aca="false">IF(D715="","",IFERROR(INDEX(Empresas!$C:$C,MATCH(D715,Empresas!$B:$B,0)),"cadastre o CNPJ em Empresas"))</f>
        <v/>
      </c>
      <c r="F715" s="11"/>
      <c r="G715" s="23"/>
      <c r="H715" s="22"/>
      <c r="I715" s="35"/>
      <c r="J715" s="35"/>
      <c r="K715" s="36" t="str">
        <f aca="false">IF(I715="","",I715+J715)</f>
        <v/>
      </c>
      <c r="L715" s="37" t="str">
        <f aca="false">IF(OR(I715="",I715=0,J715=""),"",J715/I715)</f>
        <v/>
      </c>
      <c r="M715" s="25" t="str">
        <f aca="false">IF(L715="","",IF(L715&gt;0.25,"ACRÉSCIMO ACIMA DE 25% — conferir",""))</f>
        <v/>
      </c>
      <c r="N715" s="29" t="str">
        <f aca="false">IF(D715="","",IF(COUNTIFS(Empresas!$B:$B,D715,Empresas!$E:$E,"&lt;&gt;")=0,"",INDEX(Empresas!$E:$E,MATCH(D715,Empresas!$B:$B,0))))</f>
        <v/>
      </c>
      <c r="O715" s="27" t="str">
        <f aca="false">IF(OR(N715="",H715=""),"",H715-N715)</f>
        <v/>
      </c>
      <c r="P715" s="25" t="str">
        <f aca="false">IF(O715="","",IF(O715&lt;0,"CONTRATO ANTERIOR À ABERTURA — conferir datas",IF(O715&lt;180,"EMPRESA ABERTA MENOS DE 6 MESES ANTES","")))</f>
        <v/>
      </c>
      <c r="Q715" s="31" t="str">
        <f aca="false">IF(D715="","",IFERROR(INDEX(Sancoes!$D:$D,MATCH(D715,Sancoes!$C:$C,0)),"não consta"))</f>
        <v/>
      </c>
      <c r="R715" s="25" t="str">
        <f aca="false">IF(OR(D715="",H715=""),"",IF(SUMPRODUCT((Sancoes!$C$5:$C$304=D715)*(Sancoes!$G$5:$G$304&lt;=H715)*(((Sancoes!$H$5:$H$304="")+(Sancoes!$H$5:$H$304&gt;=H715))&gt;0))&gt;0,"SANÇÃO VIGENTE NA DATA — ler tipo e abrangência",""))</f>
        <v/>
      </c>
      <c r="S715" s="24"/>
      <c r="T715" s="11"/>
    </row>
    <row r="716" customFormat="false" ht="15" hidden="false" customHeight="false" outlineLevel="0" collapsed="false">
      <c r="A716" s="11"/>
      <c r="B716" s="24"/>
      <c r="C716" s="24"/>
      <c r="D716" s="31" t="str">
        <f aca="false">IF(C716="","",IF(LEN(UPPER(SUBSTITUTE(SUBSTITUTE(SUBSTITUTE(SUBSTITUTE(TRIM(C716),".",""),"/",""),"-","")," ","")))&lt;14,RIGHT(REPT("0",14)&amp;UPPER(SUBSTITUTE(SUBSTITUTE(SUBSTITUTE(SUBSTITUTE(TRIM(C716),".",""),"/",""),"-","")," ","")),14),UPPER(SUBSTITUTE(SUBSTITUTE(SUBSTITUTE(SUBSTITUTE(TRIM(C716),".",""),"/",""),"-","")," ",""))))</f>
        <v/>
      </c>
      <c r="E716" s="25" t="str">
        <f aca="false">IF(D716="","",IFERROR(INDEX(Empresas!$C:$C,MATCH(D716,Empresas!$B:$B,0)),"cadastre o CNPJ em Empresas"))</f>
        <v/>
      </c>
      <c r="F716" s="11"/>
      <c r="G716" s="23"/>
      <c r="H716" s="22"/>
      <c r="I716" s="35"/>
      <c r="J716" s="35"/>
      <c r="K716" s="36" t="str">
        <f aca="false">IF(I716="","",I716+J716)</f>
        <v/>
      </c>
      <c r="L716" s="37" t="str">
        <f aca="false">IF(OR(I716="",I716=0,J716=""),"",J716/I716)</f>
        <v/>
      </c>
      <c r="M716" s="25" t="str">
        <f aca="false">IF(L716="","",IF(L716&gt;0.25,"ACRÉSCIMO ACIMA DE 25% — conferir",""))</f>
        <v/>
      </c>
      <c r="N716" s="29" t="str">
        <f aca="false">IF(D716="","",IF(COUNTIFS(Empresas!$B:$B,D716,Empresas!$E:$E,"&lt;&gt;")=0,"",INDEX(Empresas!$E:$E,MATCH(D716,Empresas!$B:$B,0))))</f>
        <v/>
      </c>
      <c r="O716" s="27" t="str">
        <f aca="false">IF(OR(N716="",H716=""),"",H716-N716)</f>
        <v/>
      </c>
      <c r="P716" s="25" t="str">
        <f aca="false">IF(O716="","",IF(O716&lt;0,"CONTRATO ANTERIOR À ABERTURA — conferir datas",IF(O716&lt;180,"EMPRESA ABERTA MENOS DE 6 MESES ANTES","")))</f>
        <v/>
      </c>
      <c r="Q716" s="31" t="str">
        <f aca="false">IF(D716="","",IFERROR(INDEX(Sancoes!$D:$D,MATCH(D716,Sancoes!$C:$C,0)),"não consta"))</f>
        <v/>
      </c>
      <c r="R716" s="25" t="str">
        <f aca="false">IF(OR(D716="",H716=""),"",IF(SUMPRODUCT((Sancoes!$C$5:$C$304=D716)*(Sancoes!$G$5:$G$304&lt;=H716)*(((Sancoes!$H$5:$H$304="")+(Sancoes!$H$5:$H$304&gt;=H716))&gt;0))&gt;0,"SANÇÃO VIGENTE NA DATA — ler tipo e abrangência",""))</f>
        <v/>
      </c>
      <c r="S716" s="24"/>
      <c r="T716" s="11"/>
    </row>
    <row r="717" customFormat="false" ht="15" hidden="false" customHeight="false" outlineLevel="0" collapsed="false">
      <c r="A717" s="11"/>
      <c r="B717" s="24"/>
      <c r="C717" s="24"/>
      <c r="D717" s="31" t="str">
        <f aca="false">IF(C717="","",IF(LEN(UPPER(SUBSTITUTE(SUBSTITUTE(SUBSTITUTE(SUBSTITUTE(TRIM(C717),".",""),"/",""),"-","")," ","")))&lt;14,RIGHT(REPT("0",14)&amp;UPPER(SUBSTITUTE(SUBSTITUTE(SUBSTITUTE(SUBSTITUTE(TRIM(C717),".",""),"/",""),"-","")," ","")),14),UPPER(SUBSTITUTE(SUBSTITUTE(SUBSTITUTE(SUBSTITUTE(TRIM(C717),".",""),"/",""),"-","")," ",""))))</f>
        <v/>
      </c>
      <c r="E717" s="25" t="str">
        <f aca="false">IF(D717="","",IFERROR(INDEX(Empresas!$C:$C,MATCH(D717,Empresas!$B:$B,0)),"cadastre o CNPJ em Empresas"))</f>
        <v/>
      </c>
      <c r="F717" s="11"/>
      <c r="G717" s="23"/>
      <c r="H717" s="22"/>
      <c r="I717" s="35"/>
      <c r="J717" s="35"/>
      <c r="K717" s="36" t="str">
        <f aca="false">IF(I717="","",I717+J717)</f>
        <v/>
      </c>
      <c r="L717" s="37" t="str">
        <f aca="false">IF(OR(I717="",I717=0,J717=""),"",J717/I717)</f>
        <v/>
      </c>
      <c r="M717" s="25" t="str">
        <f aca="false">IF(L717="","",IF(L717&gt;0.25,"ACRÉSCIMO ACIMA DE 25% — conferir",""))</f>
        <v/>
      </c>
      <c r="N717" s="29" t="str">
        <f aca="false">IF(D717="","",IF(COUNTIFS(Empresas!$B:$B,D717,Empresas!$E:$E,"&lt;&gt;")=0,"",INDEX(Empresas!$E:$E,MATCH(D717,Empresas!$B:$B,0))))</f>
        <v/>
      </c>
      <c r="O717" s="27" t="str">
        <f aca="false">IF(OR(N717="",H717=""),"",H717-N717)</f>
        <v/>
      </c>
      <c r="P717" s="25" t="str">
        <f aca="false">IF(O717="","",IF(O717&lt;0,"CONTRATO ANTERIOR À ABERTURA — conferir datas",IF(O717&lt;180,"EMPRESA ABERTA MENOS DE 6 MESES ANTES","")))</f>
        <v/>
      </c>
      <c r="Q717" s="31" t="str">
        <f aca="false">IF(D717="","",IFERROR(INDEX(Sancoes!$D:$D,MATCH(D717,Sancoes!$C:$C,0)),"não consta"))</f>
        <v/>
      </c>
      <c r="R717" s="25" t="str">
        <f aca="false">IF(OR(D717="",H717=""),"",IF(SUMPRODUCT((Sancoes!$C$5:$C$304=D717)*(Sancoes!$G$5:$G$304&lt;=H717)*(((Sancoes!$H$5:$H$304="")+(Sancoes!$H$5:$H$304&gt;=H717))&gt;0))&gt;0,"SANÇÃO VIGENTE NA DATA — ler tipo e abrangência",""))</f>
        <v/>
      </c>
      <c r="S717" s="24"/>
      <c r="T717" s="11"/>
    </row>
    <row r="718" customFormat="false" ht="15" hidden="false" customHeight="false" outlineLevel="0" collapsed="false">
      <c r="A718" s="11"/>
      <c r="B718" s="24"/>
      <c r="C718" s="24"/>
      <c r="D718" s="31" t="str">
        <f aca="false">IF(C718="","",IF(LEN(UPPER(SUBSTITUTE(SUBSTITUTE(SUBSTITUTE(SUBSTITUTE(TRIM(C718),".",""),"/",""),"-","")," ","")))&lt;14,RIGHT(REPT("0",14)&amp;UPPER(SUBSTITUTE(SUBSTITUTE(SUBSTITUTE(SUBSTITUTE(TRIM(C718),".",""),"/",""),"-","")," ","")),14),UPPER(SUBSTITUTE(SUBSTITUTE(SUBSTITUTE(SUBSTITUTE(TRIM(C718),".",""),"/",""),"-","")," ",""))))</f>
        <v/>
      </c>
      <c r="E718" s="25" t="str">
        <f aca="false">IF(D718="","",IFERROR(INDEX(Empresas!$C:$C,MATCH(D718,Empresas!$B:$B,0)),"cadastre o CNPJ em Empresas"))</f>
        <v/>
      </c>
      <c r="F718" s="11"/>
      <c r="G718" s="23"/>
      <c r="H718" s="22"/>
      <c r="I718" s="35"/>
      <c r="J718" s="35"/>
      <c r="K718" s="36" t="str">
        <f aca="false">IF(I718="","",I718+J718)</f>
        <v/>
      </c>
      <c r="L718" s="37" t="str">
        <f aca="false">IF(OR(I718="",I718=0,J718=""),"",J718/I718)</f>
        <v/>
      </c>
      <c r="M718" s="25" t="str">
        <f aca="false">IF(L718="","",IF(L718&gt;0.25,"ACRÉSCIMO ACIMA DE 25% — conferir",""))</f>
        <v/>
      </c>
      <c r="N718" s="29" t="str">
        <f aca="false">IF(D718="","",IF(COUNTIFS(Empresas!$B:$B,D718,Empresas!$E:$E,"&lt;&gt;")=0,"",INDEX(Empresas!$E:$E,MATCH(D718,Empresas!$B:$B,0))))</f>
        <v/>
      </c>
      <c r="O718" s="27" t="str">
        <f aca="false">IF(OR(N718="",H718=""),"",H718-N718)</f>
        <v/>
      </c>
      <c r="P718" s="25" t="str">
        <f aca="false">IF(O718="","",IF(O718&lt;0,"CONTRATO ANTERIOR À ABERTURA — conferir datas",IF(O718&lt;180,"EMPRESA ABERTA MENOS DE 6 MESES ANTES","")))</f>
        <v/>
      </c>
      <c r="Q718" s="31" t="str">
        <f aca="false">IF(D718="","",IFERROR(INDEX(Sancoes!$D:$D,MATCH(D718,Sancoes!$C:$C,0)),"não consta"))</f>
        <v/>
      </c>
      <c r="R718" s="25" t="str">
        <f aca="false">IF(OR(D718="",H718=""),"",IF(SUMPRODUCT((Sancoes!$C$5:$C$304=D718)*(Sancoes!$G$5:$G$304&lt;=H718)*(((Sancoes!$H$5:$H$304="")+(Sancoes!$H$5:$H$304&gt;=H718))&gt;0))&gt;0,"SANÇÃO VIGENTE NA DATA — ler tipo e abrangência",""))</f>
        <v/>
      </c>
      <c r="S718" s="24"/>
      <c r="T718" s="11"/>
    </row>
    <row r="719" customFormat="false" ht="15" hidden="false" customHeight="false" outlineLevel="0" collapsed="false">
      <c r="A719" s="11"/>
      <c r="B719" s="24"/>
      <c r="C719" s="24"/>
      <c r="D719" s="31" t="str">
        <f aca="false">IF(C719="","",IF(LEN(UPPER(SUBSTITUTE(SUBSTITUTE(SUBSTITUTE(SUBSTITUTE(TRIM(C719),".",""),"/",""),"-","")," ","")))&lt;14,RIGHT(REPT("0",14)&amp;UPPER(SUBSTITUTE(SUBSTITUTE(SUBSTITUTE(SUBSTITUTE(TRIM(C719),".",""),"/",""),"-","")," ","")),14),UPPER(SUBSTITUTE(SUBSTITUTE(SUBSTITUTE(SUBSTITUTE(TRIM(C719),".",""),"/",""),"-","")," ",""))))</f>
        <v/>
      </c>
      <c r="E719" s="25" t="str">
        <f aca="false">IF(D719="","",IFERROR(INDEX(Empresas!$C:$C,MATCH(D719,Empresas!$B:$B,0)),"cadastre o CNPJ em Empresas"))</f>
        <v/>
      </c>
      <c r="F719" s="11"/>
      <c r="G719" s="23"/>
      <c r="H719" s="22"/>
      <c r="I719" s="35"/>
      <c r="J719" s="35"/>
      <c r="K719" s="36" t="str">
        <f aca="false">IF(I719="","",I719+J719)</f>
        <v/>
      </c>
      <c r="L719" s="37" t="str">
        <f aca="false">IF(OR(I719="",I719=0,J719=""),"",J719/I719)</f>
        <v/>
      </c>
      <c r="M719" s="25" t="str">
        <f aca="false">IF(L719="","",IF(L719&gt;0.25,"ACRÉSCIMO ACIMA DE 25% — conferir",""))</f>
        <v/>
      </c>
      <c r="N719" s="29" t="str">
        <f aca="false">IF(D719="","",IF(COUNTIFS(Empresas!$B:$B,D719,Empresas!$E:$E,"&lt;&gt;")=0,"",INDEX(Empresas!$E:$E,MATCH(D719,Empresas!$B:$B,0))))</f>
        <v/>
      </c>
      <c r="O719" s="27" t="str">
        <f aca="false">IF(OR(N719="",H719=""),"",H719-N719)</f>
        <v/>
      </c>
      <c r="P719" s="25" t="str">
        <f aca="false">IF(O719="","",IF(O719&lt;0,"CONTRATO ANTERIOR À ABERTURA — conferir datas",IF(O719&lt;180,"EMPRESA ABERTA MENOS DE 6 MESES ANTES","")))</f>
        <v/>
      </c>
      <c r="Q719" s="31" t="str">
        <f aca="false">IF(D719="","",IFERROR(INDEX(Sancoes!$D:$D,MATCH(D719,Sancoes!$C:$C,0)),"não consta"))</f>
        <v/>
      </c>
      <c r="R719" s="25" t="str">
        <f aca="false">IF(OR(D719="",H719=""),"",IF(SUMPRODUCT((Sancoes!$C$5:$C$304=D719)*(Sancoes!$G$5:$G$304&lt;=H719)*(((Sancoes!$H$5:$H$304="")+(Sancoes!$H$5:$H$304&gt;=H719))&gt;0))&gt;0,"SANÇÃO VIGENTE NA DATA — ler tipo e abrangência",""))</f>
        <v/>
      </c>
      <c r="S719" s="24"/>
      <c r="T719" s="11"/>
    </row>
    <row r="720" customFormat="false" ht="15" hidden="false" customHeight="false" outlineLevel="0" collapsed="false">
      <c r="A720" s="11"/>
      <c r="B720" s="24"/>
      <c r="C720" s="24"/>
      <c r="D720" s="31" t="str">
        <f aca="false">IF(C720="","",IF(LEN(UPPER(SUBSTITUTE(SUBSTITUTE(SUBSTITUTE(SUBSTITUTE(TRIM(C720),".",""),"/",""),"-","")," ","")))&lt;14,RIGHT(REPT("0",14)&amp;UPPER(SUBSTITUTE(SUBSTITUTE(SUBSTITUTE(SUBSTITUTE(TRIM(C720),".",""),"/",""),"-","")," ","")),14),UPPER(SUBSTITUTE(SUBSTITUTE(SUBSTITUTE(SUBSTITUTE(TRIM(C720),".",""),"/",""),"-","")," ",""))))</f>
        <v/>
      </c>
      <c r="E720" s="25" t="str">
        <f aca="false">IF(D720="","",IFERROR(INDEX(Empresas!$C:$C,MATCH(D720,Empresas!$B:$B,0)),"cadastre o CNPJ em Empresas"))</f>
        <v/>
      </c>
      <c r="F720" s="11"/>
      <c r="G720" s="23"/>
      <c r="H720" s="22"/>
      <c r="I720" s="35"/>
      <c r="J720" s="35"/>
      <c r="K720" s="36" t="str">
        <f aca="false">IF(I720="","",I720+J720)</f>
        <v/>
      </c>
      <c r="L720" s="37" t="str">
        <f aca="false">IF(OR(I720="",I720=0,J720=""),"",J720/I720)</f>
        <v/>
      </c>
      <c r="M720" s="25" t="str">
        <f aca="false">IF(L720="","",IF(L720&gt;0.25,"ACRÉSCIMO ACIMA DE 25% — conferir",""))</f>
        <v/>
      </c>
      <c r="N720" s="29" t="str">
        <f aca="false">IF(D720="","",IF(COUNTIFS(Empresas!$B:$B,D720,Empresas!$E:$E,"&lt;&gt;")=0,"",INDEX(Empresas!$E:$E,MATCH(D720,Empresas!$B:$B,0))))</f>
        <v/>
      </c>
      <c r="O720" s="27" t="str">
        <f aca="false">IF(OR(N720="",H720=""),"",H720-N720)</f>
        <v/>
      </c>
      <c r="P720" s="25" t="str">
        <f aca="false">IF(O720="","",IF(O720&lt;0,"CONTRATO ANTERIOR À ABERTURA — conferir datas",IF(O720&lt;180,"EMPRESA ABERTA MENOS DE 6 MESES ANTES","")))</f>
        <v/>
      </c>
      <c r="Q720" s="31" t="str">
        <f aca="false">IF(D720="","",IFERROR(INDEX(Sancoes!$D:$D,MATCH(D720,Sancoes!$C:$C,0)),"não consta"))</f>
        <v/>
      </c>
      <c r="R720" s="25" t="str">
        <f aca="false">IF(OR(D720="",H720=""),"",IF(SUMPRODUCT((Sancoes!$C$5:$C$304=D720)*(Sancoes!$G$5:$G$304&lt;=H720)*(((Sancoes!$H$5:$H$304="")+(Sancoes!$H$5:$H$304&gt;=H720))&gt;0))&gt;0,"SANÇÃO VIGENTE NA DATA — ler tipo e abrangência",""))</f>
        <v/>
      </c>
      <c r="S720" s="24"/>
      <c r="T720" s="11"/>
    </row>
    <row r="721" customFormat="false" ht="15" hidden="false" customHeight="false" outlineLevel="0" collapsed="false">
      <c r="A721" s="11"/>
      <c r="B721" s="24"/>
      <c r="C721" s="24"/>
      <c r="D721" s="31" t="str">
        <f aca="false">IF(C721="","",IF(LEN(UPPER(SUBSTITUTE(SUBSTITUTE(SUBSTITUTE(SUBSTITUTE(TRIM(C721),".",""),"/",""),"-","")," ","")))&lt;14,RIGHT(REPT("0",14)&amp;UPPER(SUBSTITUTE(SUBSTITUTE(SUBSTITUTE(SUBSTITUTE(TRIM(C721),".",""),"/",""),"-","")," ","")),14),UPPER(SUBSTITUTE(SUBSTITUTE(SUBSTITUTE(SUBSTITUTE(TRIM(C721),".",""),"/",""),"-","")," ",""))))</f>
        <v/>
      </c>
      <c r="E721" s="25" t="str">
        <f aca="false">IF(D721="","",IFERROR(INDEX(Empresas!$C:$C,MATCH(D721,Empresas!$B:$B,0)),"cadastre o CNPJ em Empresas"))</f>
        <v/>
      </c>
      <c r="F721" s="11"/>
      <c r="G721" s="23"/>
      <c r="H721" s="22"/>
      <c r="I721" s="35"/>
      <c r="J721" s="35"/>
      <c r="K721" s="36" t="str">
        <f aca="false">IF(I721="","",I721+J721)</f>
        <v/>
      </c>
      <c r="L721" s="37" t="str">
        <f aca="false">IF(OR(I721="",I721=0,J721=""),"",J721/I721)</f>
        <v/>
      </c>
      <c r="M721" s="25" t="str">
        <f aca="false">IF(L721="","",IF(L721&gt;0.25,"ACRÉSCIMO ACIMA DE 25% — conferir",""))</f>
        <v/>
      </c>
      <c r="N721" s="29" t="str">
        <f aca="false">IF(D721="","",IF(COUNTIFS(Empresas!$B:$B,D721,Empresas!$E:$E,"&lt;&gt;")=0,"",INDEX(Empresas!$E:$E,MATCH(D721,Empresas!$B:$B,0))))</f>
        <v/>
      </c>
      <c r="O721" s="27" t="str">
        <f aca="false">IF(OR(N721="",H721=""),"",H721-N721)</f>
        <v/>
      </c>
      <c r="P721" s="25" t="str">
        <f aca="false">IF(O721="","",IF(O721&lt;0,"CONTRATO ANTERIOR À ABERTURA — conferir datas",IF(O721&lt;180,"EMPRESA ABERTA MENOS DE 6 MESES ANTES","")))</f>
        <v/>
      </c>
      <c r="Q721" s="31" t="str">
        <f aca="false">IF(D721="","",IFERROR(INDEX(Sancoes!$D:$D,MATCH(D721,Sancoes!$C:$C,0)),"não consta"))</f>
        <v/>
      </c>
      <c r="R721" s="25" t="str">
        <f aca="false">IF(OR(D721="",H721=""),"",IF(SUMPRODUCT((Sancoes!$C$5:$C$304=D721)*(Sancoes!$G$5:$G$304&lt;=H721)*(((Sancoes!$H$5:$H$304="")+(Sancoes!$H$5:$H$304&gt;=H721))&gt;0))&gt;0,"SANÇÃO VIGENTE NA DATA — ler tipo e abrangência",""))</f>
        <v/>
      </c>
      <c r="S721" s="24"/>
      <c r="T721" s="11"/>
    </row>
    <row r="722" customFormat="false" ht="15" hidden="false" customHeight="false" outlineLevel="0" collapsed="false">
      <c r="A722" s="11"/>
      <c r="B722" s="24"/>
      <c r="C722" s="24"/>
      <c r="D722" s="31" t="str">
        <f aca="false">IF(C722="","",IF(LEN(UPPER(SUBSTITUTE(SUBSTITUTE(SUBSTITUTE(SUBSTITUTE(TRIM(C722),".",""),"/",""),"-","")," ","")))&lt;14,RIGHT(REPT("0",14)&amp;UPPER(SUBSTITUTE(SUBSTITUTE(SUBSTITUTE(SUBSTITUTE(TRIM(C722),".",""),"/",""),"-","")," ","")),14),UPPER(SUBSTITUTE(SUBSTITUTE(SUBSTITUTE(SUBSTITUTE(TRIM(C722),".",""),"/",""),"-","")," ",""))))</f>
        <v/>
      </c>
      <c r="E722" s="25" t="str">
        <f aca="false">IF(D722="","",IFERROR(INDEX(Empresas!$C:$C,MATCH(D722,Empresas!$B:$B,0)),"cadastre o CNPJ em Empresas"))</f>
        <v/>
      </c>
      <c r="F722" s="11"/>
      <c r="G722" s="23"/>
      <c r="H722" s="22"/>
      <c r="I722" s="35"/>
      <c r="J722" s="35"/>
      <c r="K722" s="36" t="str">
        <f aca="false">IF(I722="","",I722+J722)</f>
        <v/>
      </c>
      <c r="L722" s="37" t="str">
        <f aca="false">IF(OR(I722="",I722=0,J722=""),"",J722/I722)</f>
        <v/>
      </c>
      <c r="M722" s="25" t="str">
        <f aca="false">IF(L722="","",IF(L722&gt;0.25,"ACRÉSCIMO ACIMA DE 25% — conferir",""))</f>
        <v/>
      </c>
      <c r="N722" s="29" t="str">
        <f aca="false">IF(D722="","",IF(COUNTIFS(Empresas!$B:$B,D722,Empresas!$E:$E,"&lt;&gt;")=0,"",INDEX(Empresas!$E:$E,MATCH(D722,Empresas!$B:$B,0))))</f>
        <v/>
      </c>
      <c r="O722" s="27" t="str">
        <f aca="false">IF(OR(N722="",H722=""),"",H722-N722)</f>
        <v/>
      </c>
      <c r="P722" s="25" t="str">
        <f aca="false">IF(O722="","",IF(O722&lt;0,"CONTRATO ANTERIOR À ABERTURA — conferir datas",IF(O722&lt;180,"EMPRESA ABERTA MENOS DE 6 MESES ANTES","")))</f>
        <v/>
      </c>
      <c r="Q722" s="31" t="str">
        <f aca="false">IF(D722="","",IFERROR(INDEX(Sancoes!$D:$D,MATCH(D722,Sancoes!$C:$C,0)),"não consta"))</f>
        <v/>
      </c>
      <c r="R722" s="25" t="str">
        <f aca="false">IF(OR(D722="",H722=""),"",IF(SUMPRODUCT((Sancoes!$C$5:$C$304=D722)*(Sancoes!$G$5:$G$304&lt;=H722)*(((Sancoes!$H$5:$H$304="")+(Sancoes!$H$5:$H$304&gt;=H722))&gt;0))&gt;0,"SANÇÃO VIGENTE NA DATA — ler tipo e abrangência",""))</f>
        <v/>
      </c>
      <c r="S722" s="24"/>
      <c r="T722" s="11"/>
    </row>
    <row r="723" customFormat="false" ht="15" hidden="false" customHeight="false" outlineLevel="0" collapsed="false">
      <c r="A723" s="11"/>
      <c r="B723" s="24"/>
      <c r="C723" s="24"/>
      <c r="D723" s="31" t="str">
        <f aca="false">IF(C723="","",IF(LEN(UPPER(SUBSTITUTE(SUBSTITUTE(SUBSTITUTE(SUBSTITUTE(TRIM(C723),".",""),"/",""),"-","")," ","")))&lt;14,RIGHT(REPT("0",14)&amp;UPPER(SUBSTITUTE(SUBSTITUTE(SUBSTITUTE(SUBSTITUTE(TRIM(C723),".",""),"/",""),"-","")," ","")),14),UPPER(SUBSTITUTE(SUBSTITUTE(SUBSTITUTE(SUBSTITUTE(TRIM(C723),".",""),"/",""),"-","")," ",""))))</f>
        <v/>
      </c>
      <c r="E723" s="25" t="str">
        <f aca="false">IF(D723="","",IFERROR(INDEX(Empresas!$C:$C,MATCH(D723,Empresas!$B:$B,0)),"cadastre o CNPJ em Empresas"))</f>
        <v/>
      </c>
      <c r="F723" s="11"/>
      <c r="G723" s="23"/>
      <c r="H723" s="22"/>
      <c r="I723" s="35"/>
      <c r="J723" s="35"/>
      <c r="K723" s="36" t="str">
        <f aca="false">IF(I723="","",I723+J723)</f>
        <v/>
      </c>
      <c r="L723" s="37" t="str">
        <f aca="false">IF(OR(I723="",I723=0,J723=""),"",J723/I723)</f>
        <v/>
      </c>
      <c r="M723" s="25" t="str">
        <f aca="false">IF(L723="","",IF(L723&gt;0.25,"ACRÉSCIMO ACIMA DE 25% — conferir",""))</f>
        <v/>
      </c>
      <c r="N723" s="29" t="str">
        <f aca="false">IF(D723="","",IF(COUNTIFS(Empresas!$B:$B,D723,Empresas!$E:$E,"&lt;&gt;")=0,"",INDEX(Empresas!$E:$E,MATCH(D723,Empresas!$B:$B,0))))</f>
        <v/>
      </c>
      <c r="O723" s="27" t="str">
        <f aca="false">IF(OR(N723="",H723=""),"",H723-N723)</f>
        <v/>
      </c>
      <c r="P723" s="25" t="str">
        <f aca="false">IF(O723="","",IF(O723&lt;0,"CONTRATO ANTERIOR À ABERTURA — conferir datas",IF(O723&lt;180,"EMPRESA ABERTA MENOS DE 6 MESES ANTES","")))</f>
        <v/>
      </c>
      <c r="Q723" s="31" t="str">
        <f aca="false">IF(D723="","",IFERROR(INDEX(Sancoes!$D:$D,MATCH(D723,Sancoes!$C:$C,0)),"não consta"))</f>
        <v/>
      </c>
      <c r="R723" s="25" t="str">
        <f aca="false">IF(OR(D723="",H723=""),"",IF(SUMPRODUCT((Sancoes!$C$5:$C$304=D723)*(Sancoes!$G$5:$G$304&lt;=H723)*(((Sancoes!$H$5:$H$304="")+(Sancoes!$H$5:$H$304&gt;=H723))&gt;0))&gt;0,"SANÇÃO VIGENTE NA DATA — ler tipo e abrangência",""))</f>
        <v/>
      </c>
      <c r="S723" s="24"/>
      <c r="T723" s="11"/>
    </row>
    <row r="724" customFormat="false" ht="15" hidden="false" customHeight="false" outlineLevel="0" collapsed="false">
      <c r="A724" s="11"/>
      <c r="B724" s="24"/>
      <c r="C724" s="24"/>
      <c r="D724" s="31" t="str">
        <f aca="false">IF(C724="","",IF(LEN(UPPER(SUBSTITUTE(SUBSTITUTE(SUBSTITUTE(SUBSTITUTE(TRIM(C724),".",""),"/",""),"-","")," ","")))&lt;14,RIGHT(REPT("0",14)&amp;UPPER(SUBSTITUTE(SUBSTITUTE(SUBSTITUTE(SUBSTITUTE(TRIM(C724),".",""),"/",""),"-","")," ","")),14),UPPER(SUBSTITUTE(SUBSTITUTE(SUBSTITUTE(SUBSTITUTE(TRIM(C724),".",""),"/",""),"-","")," ",""))))</f>
        <v/>
      </c>
      <c r="E724" s="25" t="str">
        <f aca="false">IF(D724="","",IFERROR(INDEX(Empresas!$C:$C,MATCH(D724,Empresas!$B:$B,0)),"cadastre o CNPJ em Empresas"))</f>
        <v/>
      </c>
      <c r="F724" s="11"/>
      <c r="G724" s="23"/>
      <c r="H724" s="22"/>
      <c r="I724" s="35"/>
      <c r="J724" s="35"/>
      <c r="K724" s="36" t="str">
        <f aca="false">IF(I724="","",I724+J724)</f>
        <v/>
      </c>
      <c r="L724" s="37" t="str">
        <f aca="false">IF(OR(I724="",I724=0,J724=""),"",J724/I724)</f>
        <v/>
      </c>
      <c r="M724" s="25" t="str">
        <f aca="false">IF(L724="","",IF(L724&gt;0.25,"ACRÉSCIMO ACIMA DE 25% — conferir",""))</f>
        <v/>
      </c>
      <c r="N724" s="29" t="str">
        <f aca="false">IF(D724="","",IF(COUNTIFS(Empresas!$B:$B,D724,Empresas!$E:$E,"&lt;&gt;")=0,"",INDEX(Empresas!$E:$E,MATCH(D724,Empresas!$B:$B,0))))</f>
        <v/>
      </c>
      <c r="O724" s="27" t="str">
        <f aca="false">IF(OR(N724="",H724=""),"",H724-N724)</f>
        <v/>
      </c>
      <c r="P724" s="25" t="str">
        <f aca="false">IF(O724="","",IF(O724&lt;0,"CONTRATO ANTERIOR À ABERTURA — conferir datas",IF(O724&lt;180,"EMPRESA ABERTA MENOS DE 6 MESES ANTES","")))</f>
        <v/>
      </c>
      <c r="Q724" s="31" t="str">
        <f aca="false">IF(D724="","",IFERROR(INDEX(Sancoes!$D:$D,MATCH(D724,Sancoes!$C:$C,0)),"não consta"))</f>
        <v/>
      </c>
      <c r="R724" s="25" t="str">
        <f aca="false">IF(OR(D724="",H724=""),"",IF(SUMPRODUCT((Sancoes!$C$5:$C$304=D724)*(Sancoes!$G$5:$G$304&lt;=H724)*(((Sancoes!$H$5:$H$304="")+(Sancoes!$H$5:$H$304&gt;=H724))&gt;0))&gt;0,"SANÇÃO VIGENTE NA DATA — ler tipo e abrangência",""))</f>
        <v/>
      </c>
      <c r="S724" s="24"/>
      <c r="T724" s="11"/>
    </row>
    <row r="725" customFormat="false" ht="15" hidden="false" customHeight="false" outlineLevel="0" collapsed="false">
      <c r="A725" s="11"/>
      <c r="B725" s="24"/>
      <c r="C725" s="24"/>
      <c r="D725" s="31" t="str">
        <f aca="false">IF(C725="","",IF(LEN(UPPER(SUBSTITUTE(SUBSTITUTE(SUBSTITUTE(SUBSTITUTE(TRIM(C725),".",""),"/",""),"-","")," ","")))&lt;14,RIGHT(REPT("0",14)&amp;UPPER(SUBSTITUTE(SUBSTITUTE(SUBSTITUTE(SUBSTITUTE(TRIM(C725),".",""),"/",""),"-","")," ","")),14),UPPER(SUBSTITUTE(SUBSTITUTE(SUBSTITUTE(SUBSTITUTE(TRIM(C725),".",""),"/",""),"-","")," ",""))))</f>
        <v/>
      </c>
      <c r="E725" s="25" t="str">
        <f aca="false">IF(D725="","",IFERROR(INDEX(Empresas!$C:$C,MATCH(D725,Empresas!$B:$B,0)),"cadastre o CNPJ em Empresas"))</f>
        <v/>
      </c>
      <c r="F725" s="11"/>
      <c r="G725" s="23"/>
      <c r="H725" s="22"/>
      <c r="I725" s="35"/>
      <c r="J725" s="35"/>
      <c r="K725" s="36" t="str">
        <f aca="false">IF(I725="","",I725+J725)</f>
        <v/>
      </c>
      <c r="L725" s="37" t="str">
        <f aca="false">IF(OR(I725="",I725=0,J725=""),"",J725/I725)</f>
        <v/>
      </c>
      <c r="M725" s="25" t="str">
        <f aca="false">IF(L725="","",IF(L725&gt;0.25,"ACRÉSCIMO ACIMA DE 25% — conferir",""))</f>
        <v/>
      </c>
      <c r="N725" s="29" t="str">
        <f aca="false">IF(D725="","",IF(COUNTIFS(Empresas!$B:$B,D725,Empresas!$E:$E,"&lt;&gt;")=0,"",INDEX(Empresas!$E:$E,MATCH(D725,Empresas!$B:$B,0))))</f>
        <v/>
      </c>
      <c r="O725" s="27" t="str">
        <f aca="false">IF(OR(N725="",H725=""),"",H725-N725)</f>
        <v/>
      </c>
      <c r="P725" s="25" t="str">
        <f aca="false">IF(O725="","",IF(O725&lt;0,"CONTRATO ANTERIOR À ABERTURA — conferir datas",IF(O725&lt;180,"EMPRESA ABERTA MENOS DE 6 MESES ANTES","")))</f>
        <v/>
      </c>
      <c r="Q725" s="31" t="str">
        <f aca="false">IF(D725="","",IFERROR(INDEX(Sancoes!$D:$D,MATCH(D725,Sancoes!$C:$C,0)),"não consta"))</f>
        <v/>
      </c>
      <c r="R725" s="25" t="str">
        <f aca="false">IF(OR(D725="",H725=""),"",IF(SUMPRODUCT((Sancoes!$C$5:$C$304=D725)*(Sancoes!$G$5:$G$304&lt;=H725)*(((Sancoes!$H$5:$H$304="")+(Sancoes!$H$5:$H$304&gt;=H725))&gt;0))&gt;0,"SANÇÃO VIGENTE NA DATA — ler tipo e abrangência",""))</f>
        <v/>
      </c>
      <c r="S725" s="24"/>
      <c r="T725" s="11"/>
    </row>
    <row r="726" customFormat="false" ht="15" hidden="false" customHeight="false" outlineLevel="0" collapsed="false">
      <c r="A726" s="11"/>
      <c r="B726" s="24"/>
      <c r="C726" s="24"/>
      <c r="D726" s="31" t="str">
        <f aca="false">IF(C726="","",IF(LEN(UPPER(SUBSTITUTE(SUBSTITUTE(SUBSTITUTE(SUBSTITUTE(TRIM(C726),".",""),"/",""),"-","")," ","")))&lt;14,RIGHT(REPT("0",14)&amp;UPPER(SUBSTITUTE(SUBSTITUTE(SUBSTITUTE(SUBSTITUTE(TRIM(C726),".",""),"/",""),"-","")," ","")),14),UPPER(SUBSTITUTE(SUBSTITUTE(SUBSTITUTE(SUBSTITUTE(TRIM(C726),".",""),"/",""),"-","")," ",""))))</f>
        <v/>
      </c>
      <c r="E726" s="25" t="str">
        <f aca="false">IF(D726="","",IFERROR(INDEX(Empresas!$C:$C,MATCH(D726,Empresas!$B:$B,0)),"cadastre o CNPJ em Empresas"))</f>
        <v/>
      </c>
      <c r="F726" s="11"/>
      <c r="G726" s="23"/>
      <c r="H726" s="22"/>
      <c r="I726" s="35"/>
      <c r="J726" s="35"/>
      <c r="K726" s="36" t="str">
        <f aca="false">IF(I726="","",I726+J726)</f>
        <v/>
      </c>
      <c r="L726" s="37" t="str">
        <f aca="false">IF(OR(I726="",I726=0,J726=""),"",J726/I726)</f>
        <v/>
      </c>
      <c r="M726" s="25" t="str">
        <f aca="false">IF(L726="","",IF(L726&gt;0.25,"ACRÉSCIMO ACIMA DE 25% — conferir",""))</f>
        <v/>
      </c>
      <c r="N726" s="29" t="str">
        <f aca="false">IF(D726="","",IF(COUNTIFS(Empresas!$B:$B,D726,Empresas!$E:$E,"&lt;&gt;")=0,"",INDEX(Empresas!$E:$E,MATCH(D726,Empresas!$B:$B,0))))</f>
        <v/>
      </c>
      <c r="O726" s="27" t="str">
        <f aca="false">IF(OR(N726="",H726=""),"",H726-N726)</f>
        <v/>
      </c>
      <c r="P726" s="25" t="str">
        <f aca="false">IF(O726="","",IF(O726&lt;0,"CONTRATO ANTERIOR À ABERTURA — conferir datas",IF(O726&lt;180,"EMPRESA ABERTA MENOS DE 6 MESES ANTES","")))</f>
        <v/>
      </c>
      <c r="Q726" s="31" t="str">
        <f aca="false">IF(D726="","",IFERROR(INDEX(Sancoes!$D:$D,MATCH(D726,Sancoes!$C:$C,0)),"não consta"))</f>
        <v/>
      </c>
      <c r="R726" s="25" t="str">
        <f aca="false">IF(OR(D726="",H726=""),"",IF(SUMPRODUCT((Sancoes!$C$5:$C$304=D726)*(Sancoes!$G$5:$G$304&lt;=H726)*(((Sancoes!$H$5:$H$304="")+(Sancoes!$H$5:$H$304&gt;=H726))&gt;0))&gt;0,"SANÇÃO VIGENTE NA DATA — ler tipo e abrangência",""))</f>
        <v/>
      </c>
      <c r="S726" s="24"/>
      <c r="T726" s="11"/>
    </row>
    <row r="727" customFormat="false" ht="15" hidden="false" customHeight="false" outlineLevel="0" collapsed="false">
      <c r="A727" s="11"/>
      <c r="B727" s="24"/>
      <c r="C727" s="24"/>
      <c r="D727" s="31" t="str">
        <f aca="false">IF(C727="","",IF(LEN(UPPER(SUBSTITUTE(SUBSTITUTE(SUBSTITUTE(SUBSTITUTE(TRIM(C727),".",""),"/",""),"-","")," ","")))&lt;14,RIGHT(REPT("0",14)&amp;UPPER(SUBSTITUTE(SUBSTITUTE(SUBSTITUTE(SUBSTITUTE(TRIM(C727),".",""),"/",""),"-","")," ","")),14),UPPER(SUBSTITUTE(SUBSTITUTE(SUBSTITUTE(SUBSTITUTE(TRIM(C727),".",""),"/",""),"-","")," ",""))))</f>
        <v/>
      </c>
      <c r="E727" s="25" t="str">
        <f aca="false">IF(D727="","",IFERROR(INDEX(Empresas!$C:$C,MATCH(D727,Empresas!$B:$B,0)),"cadastre o CNPJ em Empresas"))</f>
        <v/>
      </c>
      <c r="F727" s="11"/>
      <c r="G727" s="23"/>
      <c r="H727" s="22"/>
      <c r="I727" s="35"/>
      <c r="J727" s="35"/>
      <c r="K727" s="36" t="str">
        <f aca="false">IF(I727="","",I727+J727)</f>
        <v/>
      </c>
      <c r="L727" s="37" t="str">
        <f aca="false">IF(OR(I727="",I727=0,J727=""),"",J727/I727)</f>
        <v/>
      </c>
      <c r="M727" s="25" t="str">
        <f aca="false">IF(L727="","",IF(L727&gt;0.25,"ACRÉSCIMO ACIMA DE 25% — conferir",""))</f>
        <v/>
      </c>
      <c r="N727" s="29" t="str">
        <f aca="false">IF(D727="","",IF(COUNTIFS(Empresas!$B:$B,D727,Empresas!$E:$E,"&lt;&gt;")=0,"",INDEX(Empresas!$E:$E,MATCH(D727,Empresas!$B:$B,0))))</f>
        <v/>
      </c>
      <c r="O727" s="27" t="str">
        <f aca="false">IF(OR(N727="",H727=""),"",H727-N727)</f>
        <v/>
      </c>
      <c r="P727" s="25" t="str">
        <f aca="false">IF(O727="","",IF(O727&lt;0,"CONTRATO ANTERIOR À ABERTURA — conferir datas",IF(O727&lt;180,"EMPRESA ABERTA MENOS DE 6 MESES ANTES","")))</f>
        <v/>
      </c>
      <c r="Q727" s="31" t="str">
        <f aca="false">IF(D727="","",IFERROR(INDEX(Sancoes!$D:$D,MATCH(D727,Sancoes!$C:$C,0)),"não consta"))</f>
        <v/>
      </c>
      <c r="R727" s="25" t="str">
        <f aca="false">IF(OR(D727="",H727=""),"",IF(SUMPRODUCT((Sancoes!$C$5:$C$304=D727)*(Sancoes!$G$5:$G$304&lt;=H727)*(((Sancoes!$H$5:$H$304="")+(Sancoes!$H$5:$H$304&gt;=H727))&gt;0))&gt;0,"SANÇÃO VIGENTE NA DATA — ler tipo e abrangência",""))</f>
        <v/>
      </c>
      <c r="S727" s="24"/>
      <c r="T727" s="11"/>
    </row>
    <row r="728" customFormat="false" ht="15" hidden="false" customHeight="false" outlineLevel="0" collapsed="false">
      <c r="A728" s="11"/>
      <c r="B728" s="24"/>
      <c r="C728" s="24"/>
      <c r="D728" s="31" t="str">
        <f aca="false">IF(C728="","",IF(LEN(UPPER(SUBSTITUTE(SUBSTITUTE(SUBSTITUTE(SUBSTITUTE(TRIM(C728),".",""),"/",""),"-","")," ","")))&lt;14,RIGHT(REPT("0",14)&amp;UPPER(SUBSTITUTE(SUBSTITUTE(SUBSTITUTE(SUBSTITUTE(TRIM(C728),".",""),"/",""),"-","")," ","")),14),UPPER(SUBSTITUTE(SUBSTITUTE(SUBSTITUTE(SUBSTITUTE(TRIM(C728),".",""),"/",""),"-","")," ",""))))</f>
        <v/>
      </c>
      <c r="E728" s="25" t="str">
        <f aca="false">IF(D728="","",IFERROR(INDEX(Empresas!$C:$C,MATCH(D728,Empresas!$B:$B,0)),"cadastre o CNPJ em Empresas"))</f>
        <v/>
      </c>
      <c r="F728" s="11"/>
      <c r="G728" s="23"/>
      <c r="H728" s="22"/>
      <c r="I728" s="35"/>
      <c r="J728" s="35"/>
      <c r="K728" s="36" t="str">
        <f aca="false">IF(I728="","",I728+J728)</f>
        <v/>
      </c>
      <c r="L728" s="37" t="str">
        <f aca="false">IF(OR(I728="",I728=0,J728=""),"",J728/I728)</f>
        <v/>
      </c>
      <c r="M728" s="25" t="str">
        <f aca="false">IF(L728="","",IF(L728&gt;0.25,"ACRÉSCIMO ACIMA DE 25% — conferir",""))</f>
        <v/>
      </c>
      <c r="N728" s="29" t="str">
        <f aca="false">IF(D728="","",IF(COUNTIFS(Empresas!$B:$B,D728,Empresas!$E:$E,"&lt;&gt;")=0,"",INDEX(Empresas!$E:$E,MATCH(D728,Empresas!$B:$B,0))))</f>
        <v/>
      </c>
      <c r="O728" s="27" t="str">
        <f aca="false">IF(OR(N728="",H728=""),"",H728-N728)</f>
        <v/>
      </c>
      <c r="P728" s="25" t="str">
        <f aca="false">IF(O728="","",IF(O728&lt;0,"CONTRATO ANTERIOR À ABERTURA — conferir datas",IF(O728&lt;180,"EMPRESA ABERTA MENOS DE 6 MESES ANTES","")))</f>
        <v/>
      </c>
      <c r="Q728" s="31" t="str">
        <f aca="false">IF(D728="","",IFERROR(INDEX(Sancoes!$D:$D,MATCH(D728,Sancoes!$C:$C,0)),"não consta"))</f>
        <v/>
      </c>
      <c r="R728" s="25" t="str">
        <f aca="false">IF(OR(D728="",H728=""),"",IF(SUMPRODUCT((Sancoes!$C$5:$C$304=D728)*(Sancoes!$G$5:$G$304&lt;=H728)*(((Sancoes!$H$5:$H$304="")+(Sancoes!$H$5:$H$304&gt;=H728))&gt;0))&gt;0,"SANÇÃO VIGENTE NA DATA — ler tipo e abrangência",""))</f>
        <v/>
      </c>
      <c r="S728" s="24"/>
      <c r="T728" s="11"/>
    </row>
    <row r="729" customFormat="false" ht="15" hidden="false" customHeight="false" outlineLevel="0" collapsed="false">
      <c r="A729" s="11"/>
      <c r="B729" s="24"/>
      <c r="C729" s="24"/>
      <c r="D729" s="31" t="str">
        <f aca="false">IF(C729="","",IF(LEN(UPPER(SUBSTITUTE(SUBSTITUTE(SUBSTITUTE(SUBSTITUTE(TRIM(C729),".",""),"/",""),"-","")," ","")))&lt;14,RIGHT(REPT("0",14)&amp;UPPER(SUBSTITUTE(SUBSTITUTE(SUBSTITUTE(SUBSTITUTE(TRIM(C729),".",""),"/",""),"-","")," ","")),14),UPPER(SUBSTITUTE(SUBSTITUTE(SUBSTITUTE(SUBSTITUTE(TRIM(C729),".",""),"/",""),"-","")," ",""))))</f>
        <v/>
      </c>
      <c r="E729" s="25" t="str">
        <f aca="false">IF(D729="","",IFERROR(INDEX(Empresas!$C:$C,MATCH(D729,Empresas!$B:$B,0)),"cadastre o CNPJ em Empresas"))</f>
        <v/>
      </c>
      <c r="F729" s="11"/>
      <c r="G729" s="23"/>
      <c r="H729" s="22"/>
      <c r="I729" s="35"/>
      <c r="J729" s="35"/>
      <c r="K729" s="36" t="str">
        <f aca="false">IF(I729="","",I729+J729)</f>
        <v/>
      </c>
      <c r="L729" s="37" t="str">
        <f aca="false">IF(OR(I729="",I729=0,J729=""),"",J729/I729)</f>
        <v/>
      </c>
      <c r="M729" s="25" t="str">
        <f aca="false">IF(L729="","",IF(L729&gt;0.25,"ACRÉSCIMO ACIMA DE 25% — conferir",""))</f>
        <v/>
      </c>
      <c r="N729" s="29" t="str">
        <f aca="false">IF(D729="","",IF(COUNTIFS(Empresas!$B:$B,D729,Empresas!$E:$E,"&lt;&gt;")=0,"",INDEX(Empresas!$E:$E,MATCH(D729,Empresas!$B:$B,0))))</f>
        <v/>
      </c>
      <c r="O729" s="27" t="str">
        <f aca="false">IF(OR(N729="",H729=""),"",H729-N729)</f>
        <v/>
      </c>
      <c r="P729" s="25" t="str">
        <f aca="false">IF(O729="","",IF(O729&lt;0,"CONTRATO ANTERIOR À ABERTURA — conferir datas",IF(O729&lt;180,"EMPRESA ABERTA MENOS DE 6 MESES ANTES","")))</f>
        <v/>
      </c>
      <c r="Q729" s="31" t="str">
        <f aca="false">IF(D729="","",IFERROR(INDEX(Sancoes!$D:$D,MATCH(D729,Sancoes!$C:$C,0)),"não consta"))</f>
        <v/>
      </c>
      <c r="R729" s="25" t="str">
        <f aca="false">IF(OR(D729="",H729=""),"",IF(SUMPRODUCT((Sancoes!$C$5:$C$304=D729)*(Sancoes!$G$5:$G$304&lt;=H729)*(((Sancoes!$H$5:$H$304="")+(Sancoes!$H$5:$H$304&gt;=H729))&gt;0))&gt;0,"SANÇÃO VIGENTE NA DATA — ler tipo e abrangência",""))</f>
        <v/>
      </c>
      <c r="S729" s="24"/>
      <c r="T729" s="11"/>
    </row>
    <row r="730" customFormat="false" ht="15" hidden="false" customHeight="false" outlineLevel="0" collapsed="false">
      <c r="A730" s="11"/>
      <c r="B730" s="24"/>
      <c r="C730" s="24"/>
      <c r="D730" s="31" t="str">
        <f aca="false">IF(C730="","",IF(LEN(UPPER(SUBSTITUTE(SUBSTITUTE(SUBSTITUTE(SUBSTITUTE(TRIM(C730),".",""),"/",""),"-","")," ","")))&lt;14,RIGHT(REPT("0",14)&amp;UPPER(SUBSTITUTE(SUBSTITUTE(SUBSTITUTE(SUBSTITUTE(TRIM(C730),".",""),"/",""),"-","")," ","")),14),UPPER(SUBSTITUTE(SUBSTITUTE(SUBSTITUTE(SUBSTITUTE(TRIM(C730),".",""),"/",""),"-","")," ",""))))</f>
        <v/>
      </c>
      <c r="E730" s="25" t="str">
        <f aca="false">IF(D730="","",IFERROR(INDEX(Empresas!$C:$C,MATCH(D730,Empresas!$B:$B,0)),"cadastre o CNPJ em Empresas"))</f>
        <v/>
      </c>
      <c r="F730" s="11"/>
      <c r="G730" s="23"/>
      <c r="H730" s="22"/>
      <c r="I730" s="35"/>
      <c r="J730" s="35"/>
      <c r="K730" s="36" t="str">
        <f aca="false">IF(I730="","",I730+J730)</f>
        <v/>
      </c>
      <c r="L730" s="37" t="str">
        <f aca="false">IF(OR(I730="",I730=0,J730=""),"",J730/I730)</f>
        <v/>
      </c>
      <c r="M730" s="25" t="str">
        <f aca="false">IF(L730="","",IF(L730&gt;0.25,"ACRÉSCIMO ACIMA DE 25% — conferir",""))</f>
        <v/>
      </c>
      <c r="N730" s="29" t="str">
        <f aca="false">IF(D730="","",IF(COUNTIFS(Empresas!$B:$B,D730,Empresas!$E:$E,"&lt;&gt;")=0,"",INDEX(Empresas!$E:$E,MATCH(D730,Empresas!$B:$B,0))))</f>
        <v/>
      </c>
      <c r="O730" s="27" t="str">
        <f aca="false">IF(OR(N730="",H730=""),"",H730-N730)</f>
        <v/>
      </c>
      <c r="P730" s="25" t="str">
        <f aca="false">IF(O730="","",IF(O730&lt;0,"CONTRATO ANTERIOR À ABERTURA — conferir datas",IF(O730&lt;180,"EMPRESA ABERTA MENOS DE 6 MESES ANTES","")))</f>
        <v/>
      </c>
      <c r="Q730" s="31" t="str">
        <f aca="false">IF(D730="","",IFERROR(INDEX(Sancoes!$D:$D,MATCH(D730,Sancoes!$C:$C,0)),"não consta"))</f>
        <v/>
      </c>
      <c r="R730" s="25" t="str">
        <f aca="false">IF(OR(D730="",H730=""),"",IF(SUMPRODUCT((Sancoes!$C$5:$C$304=D730)*(Sancoes!$G$5:$G$304&lt;=H730)*(((Sancoes!$H$5:$H$304="")+(Sancoes!$H$5:$H$304&gt;=H730))&gt;0))&gt;0,"SANÇÃO VIGENTE NA DATA — ler tipo e abrangência",""))</f>
        <v/>
      </c>
      <c r="S730" s="24"/>
      <c r="T730" s="11"/>
    </row>
    <row r="731" customFormat="false" ht="15" hidden="false" customHeight="false" outlineLevel="0" collapsed="false">
      <c r="A731" s="11"/>
      <c r="B731" s="24"/>
      <c r="C731" s="24"/>
      <c r="D731" s="31" t="str">
        <f aca="false">IF(C731="","",IF(LEN(UPPER(SUBSTITUTE(SUBSTITUTE(SUBSTITUTE(SUBSTITUTE(TRIM(C731),".",""),"/",""),"-","")," ","")))&lt;14,RIGHT(REPT("0",14)&amp;UPPER(SUBSTITUTE(SUBSTITUTE(SUBSTITUTE(SUBSTITUTE(TRIM(C731),".",""),"/",""),"-","")," ","")),14),UPPER(SUBSTITUTE(SUBSTITUTE(SUBSTITUTE(SUBSTITUTE(TRIM(C731),".",""),"/",""),"-","")," ",""))))</f>
        <v/>
      </c>
      <c r="E731" s="25" t="str">
        <f aca="false">IF(D731="","",IFERROR(INDEX(Empresas!$C:$C,MATCH(D731,Empresas!$B:$B,0)),"cadastre o CNPJ em Empresas"))</f>
        <v/>
      </c>
      <c r="F731" s="11"/>
      <c r="G731" s="23"/>
      <c r="H731" s="22"/>
      <c r="I731" s="35"/>
      <c r="J731" s="35"/>
      <c r="K731" s="36" t="str">
        <f aca="false">IF(I731="","",I731+J731)</f>
        <v/>
      </c>
      <c r="L731" s="37" t="str">
        <f aca="false">IF(OR(I731="",I731=0,J731=""),"",J731/I731)</f>
        <v/>
      </c>
      <c r="M731" s="25" t="str">
        <f aca="false">IF(L731="","",IF(L731&gt;0.25,"ACRÉSCIMO ACIMA DE 25% — conferir",""))</f>
        <v/>
      </c>
      <c r="N731" s="29" t="str">
        <f aca="false">IF(D731="","",IF(COUNTIFS(Empresas!$B:$B,D731,Empresas!$E:$E,"&lt;&gt;")=0,"",INDEX(Empresas!$E:$E,MATCH(D731,Empresas!$B:$B,0))))</f>
        <v/>
      </c>
      <c r="O731" s="27" t="str">
        <f aca="false">IF(OR(N731="",H731=""),"",H731-N731)</f>
        <v/>
      </c>
      <c r="P731" s="25" t="str">
        <f aca="false">IF(O731="","",IF(O731&lt;0,"CONTRATO ANTERIOR À ABERTURA — conferir datas",IF(O731&lt;180,"EMPRESA ABERTA MENOS DE 6 MESES ANTES","")))</f>
        <v/>
      </c>
      <c r="Q731" s="31" t="str">
        <f aca="false">IF(D731="","",IFERROR(INDEX(Sancoes!$D:$D,MATCH(D731,Sancoes!$C:$C,0)),"não consta"))</f>
        <v/>
      </c>
      <c r="R731" s="25" t="str">
        <f aca="false">IF(OR(D731="",H731=""),"",IF(SUMPRODUCT((Sancoes!$C$5:$C$304=D731)*(Sancoes!$G$5:$G$304&lt;=H731)*(((Sancoes!$H$5:$H$304="")+(Sancoes!$H$5:$H$304&gt;=H731))&gt;0))&gt;0,"SANÇÃO VIGENTE NA DATA — ler tipo e abrangência",""))</f>
        <v/>
      </c>
      <c r="S731" s="24"/>
      <c r="T731" s="11"/>
    </row>
    <row r="732" customFormat="false" ht="15" hidden="false" customHeight="false" outlineLevel="0" collapsed="false">
      <c r="A732" s="11"/>
      <c r="B732" s="24"/>
      <c r="C732" s="24"/>
      <c r="D732" s="31" t="str">
        <f aca="false">IF(C732="","",IF(LEN(UPPER(SUBSTITUTE(SUBSTITUTE(SUBSTITUTE(SUBSTITUTE(TRIM(C732),".",""),"/",""),"-","")," ","")))&lt;14,RIGHT(REPT("0",14)&amp;UPPER(SUBSTITUTE(SUBSTITUTE(SUBSTITUTE(SUBSTITUTE(TRIM(C732),".",""),"/",""),"-","")," ","")),14),UPPER(SUBSTITUTE(SUBSTITUTE(SUBSTITUTE(SUBSTITUTE(TRIM(C732),".",""),"/",""),"-","")," ",""))))</f>
        <v/>
      </c>
      <c r="E732" s="25" t="str">
        <f aca="false">IF(D732="","",IFERROR(INDEX(Empresas!$C:$C,MATCH(D732,Empresas!$B:$B,0)),"cadastre o CNPJ em Empresas"))</f>
        <v/>
      </c>
      <c r="F732" s="11"/>
      <c r="G732" s="23"/>
      <c r="H732" s="22"/>
      <c r="I732" s="35"/>
      <c r="J732" s="35"/>
      <c r="K732" s="36" t="str">
        <f aca="false">IF(I732="","",I732+J732)</f>
        <v/>
      </c>
      <c r="L732" s="37" t="str">
        <f aca="false">IF(OR(I732="",I732=0,J732=""),"",J732/I732)</f>
        <v/>
      </c>
      <c r="M732" s="25" t="str">
        <f aca="false">IF(L732="","",IF(L732&gt;0.25,"ACRÉSCIMO ACIMA DE 25% — conferir",""))</f>
        <v/>
      </c>
      <c r="N732" s="29" t="str">
        <f aca="false">IF(D732="","",IF(COUNTIFS(Empresas!$B:$B,D732,Empresas!$E:$E,"&lt;&gt;")=0,"",INDEX(Empresas!$E:$E,MATCH(D732,Empresas!$B:$B,0))))</f>
        <v/>
      </c>
      <c r="O732" s="27" t="str">
        <f aca="false">IF(OR(N732="",H732=""),"",H732-N732)</f>
        <v/>
      </c>
      <c r="P732" s="25" t="str">
        <f aca="false">IF(O732="","",IF(O732&lt;0,"CONTRATO ANTERIOR À ABERTURA — conferir datas",IF(O732&lt;180,"EMPRESA ABERTA MENOS DE 6 MESES ANTES","")))</f>
        <v/>
      </c>
      <c r="Q732" s="31" t="str">
        <f aca="false">IF(D732="","",IFERROR(INDEX(Sancoes!$D:$D,MATCH(D732,Sancoes!$C:$C,0)),"não consta"))</f>
        <v/>
      </c>
      <c r="R732" s="25" t="str">
        <f aca="false">IF(OR(D732="",H732=""),"",IF(SUMPRODUCT((Sancoes!$C$5:$C$304=D732)*(Sancoes!$G$5:$G$304&lt;=H732)*(((Sancoes!$H$5:$H$304="")+(Sancoes!$H$5:$H$304&gt;=H732))&gt;0))&gt;0,"SANÇÃO VIGENTE NA DATA — ler tipo e abrangência",""))</f>
        <v/>
      </c>
      <c r="S732" s="24"/>
      <c r="T732" s="11"/>
    </row>
    <row r="733" customFormat="false" ht="15" hidden="false" customHeight="false" outlineLevel="0" collapsed="false">
      <c r="A733" s="11"/>
      <c r="B733" s="24"/>
      <c r="C733" s="24"/>
      <c r="D733" s="31" t="str">
        <f aca="false">IF(C733="","",IF(LEN(UPPER(SUBSTITUTE(SUBSTITUTE(SUBSTITUTE(SUBSTITUTE(TRIM(C733),".",""),"/",""),"-","")," ","")))&lt;14,RIGHT(REPT("0",14)&amp;UPPER(SUBSTITUTE(SUBSTITUTE(SUBSTITUTE(SUBSTITUTE(TRIM(C733),".",""),"/",""),"-","")," ","")),14),UPPER(SUBSTITUTE(SUBSTITUTE(SUBSTITUTE(SUBSTITUTE(TRIM(C733),".",""),"/",""),"-","")," ",""))))</f>
        <v/>
      </c>
      <c r="E733" s="25" t="str">
        <f aca="false">IF(D733="","",IFERROR(INDEX(Empresas!$C:$C,MATCH(D733,Empresas!$B:$B,0)),"cadastre o CNPJ em Empresas"))</f>
        <v/>
      </c>
      <c r="F733" s="11"/>
      <c r="G733" s="23"/>
      <c r="H733" s="22"/>
      <c r="I733" s="35"/>
      <c r="J733" s="35"/>
      <c r="K733" s="36" t="str">
        <f aca="false">IF(I733="","",I733+J733)</f>
        <v/>
      </c>
      <c r="L733" s="37" t="str">
        <f aca="false">IF(OR(I733="",I733=0,J733=""),"",J733/I733)</f>
        <v/>
      </c>
      <c r="M733" s="25" t="str">
        <f aca="false">IF(L733="","",IF(L733&gt;0.25,"ACRÉSCIMO ACIMA DE 25% — conferir",""))</f>
        <v/>
      </c>
      <c r="N733" s="29" t="str">
        <f aca="false">IF(D733="","",IF(COUNTIFS(Empresas!$B:$B,D733,Empresas!$E:$E,"&lt;&gt;")=0,"",INDEX(Empresas!$E:$E,MATCH(D733,Empresas!$B:$B,0))))</f>
        <v/>
      </c>
      <c r="O733" s="27" t="str">
        <f aca="false">IF(OR(N733="",H733=""),"",H733-N733)</f>
        <v/>
      </c>
      <c r="P733" s="25" t="str">
        <f aca="false">IF(O733="","",IF(O733&lt;0,"CONTRATO ANTERIOR À ABERTURA — conferir datas",IF(O733&lt;180,"EMPRESA ABERTA MENOS DE 6 MESES ANTES","")))</f>
        <v/>
      </c>
      <c r="Q733" s="31" t="str">
        <f aca="false">IF(D733="","",IFERROR(INDEX(Sancoes!$D:$D,MATCH(D733,Sancoes!$C:$C,0)),"não consta"))</f>
        <v/>
      </c>
      <c r="R733" s="25" t="str">
        <f aca="false">IF(OR(D733="",H733=""),"",IF(SUMPRODUCT((Sancoes!$C$5:$C$304=D733)*(Sancoes!$G$5:$G$304&lt;=H733)*(((Sancoes!$H$5:$H$304="")+(Sancoes!$H$5:$H$304&gt;=H733))&gt;0))&gt;0,"SANÇÃO VIGENTE NA DATA — ler tipo e abrangência",""))</f>
        <v/>
      </c>
      <c r="S733" s="24"/>
      <c r="T733" s="11"/>
    </row>
    <row r="734" customFormat="false" ht="15" hidden="false" customHeight="false" outlineLevel="0" collapsed="false">
      <c r="A734" s="11"/>
      <c r="B734" s="24"/>
      <c r="C734" s="24"/>
      <c r="D734" s="31" t="str">
        <f aca="false">IF(C734="","",IF(LEN(UPPER(SUBSTITUTE(SUBSTITUTE(SUBSTITUTE(SUBSTITUTE(TRIM(C734),".",""),"/",""),"-","")," ","")))&lt;14,RIGHT(REPT("0",14)&amp;UPPER(SUBSTITUTE(SUBSTITUTE(SUBSTITUTE(SUBSTITUTE(TRIM(C734),".",""),"/",""),"-","")," ","")),14),UPPER(SUBSTITUTE(SUBSTITUTE(SUBSTITUTE(SUBSTITUTE(TRIM(C734),".",""),"/",""),"-","")," ",""))))</f>
        <v/>
      </c>
      <c r="E734" s="25" t="str">
        <f aca="false">IF(D734="","",IFERROR(INDEX(Empresas!$C:$C,MATCH(D734,Empresas!$B:$B,0)),"cadastre o CNPJ em Empresas"))</f>
        <v/>
      </c>
      <c r="F734" s="11"/>
      <c r="G734" s="23"/>
      <c r="H734" s="22"/>
      <c r="I734" s="35"/>
      <c r="J734" s="35"/>
      <c r="K734" s="36" t="str">
        <f aca="false">IF(I734="","",I734+J734)</f>
        <v/>
      </c>
      <c r="L734" s="37" t="str">
        <f aca="false">IF(OR(I734="",I734=0,J734=""),"",J734/I734)</f>
        <v/>
      </c>
      <c r="M734" s="25" t="str">
        <f aca="false">IF(L734="","",IF(L734&gt;0.25,"ACRÉSCIMO ACIMA DE 25% — conferir",""))</f>
        <v/>
      </c>
      <c r="N734" s="29" t="str">
        <f aca="false">IF(D734="","",IF(COUNTIFS(Empresas!$B:$B,D734,Empresas!$E:$E,"&lt;&gt;")=0,"",INDEX(Empresas!$E:$E,MATCH(D734,Empresas!$B:$B,0))))</f>
        <v/>
      </c>
      <c r="O734" s="27" t="str">
        <f aca="false">IF(OR(N734="",H734=""),"",H734-N734)</f>
        <v/>
      </c>
      <c r="P734" s="25" t="str">
        <f aca="false">IF(O734="","",IF(O734&lt;0,"CONTRATO ANTERIOR À ABERTURA — conferir datas",IF(O734&lt;180,"EMPRESA ABERTA MENOS DE 6 MESES ANTES","")))</f>
        <v/>
      </c>
      <c r="Q734" s="31" t="str">
        <f aca="false">IF(D734="","",IFERROR(INDEX(Sancoes!$D:$D,MATCH(D734,Sancoes!$C:$C,0)),"não consta"))</f>
        <v/>
      </c>
      <c r="R734" s="25" t="str">
        <f aca="false">IF(OR(D734="",H734=""),"",IF(SUMPRODUCT((Sancoes!$C$5:$C$304=D734)*(Sancoes!$G$5:$G$304&lt;=H734)*(((Sancoes!$H$5:$H$304="")+(Sancoes!$H$5:$H$304&gt;=H734))&gt;0))&gt;0,"SANÇÃO VIGENTE NA DATA — ler tipo e abrangência",""))</f>
        <v/>
      </c>
      <c r="S734" s="24"/>
      <c r="T734" s="11"/>
    </row>
    <row r="735" customFormat="false" ht="15" hidden="false" customHeight="false" outlineLevel="0" collapsed="false">
      <c r="A735" s="11"/>
      <c r="B735" s="24"/>
      <c r="C735" s="24"/>
      <c r="D735" s="31" t="str">
        <f aca="false">IF(C735="","",IF(LEN(UPPER(SUBSTITUTE(SUBSTITUTE(SUBSTITUTE(SUBSTITUTE(TRIM(C735),".",""),"/",""),"-","")," ","")))&lt;14,RIGHT(REPT("0",14)&amp;UPPER(SUBSTITUTE(SUBSTITUTE(SUBSTITUTE(SUBSTITUTE(TRIM(C735),".",""),"/",""),"-","")," ","")),14),UPPER(SUBSTITUTE(SUBSTITUTE(SUBSTITUTE(SUBSTITUTE(TRIM(C735),".",""),"/",""),"-","")," ",""))))</f>
        <v/>
      </c>
      <c r="E735" s="25" t="str">
        <f aca="false">IF(D735="","",IFERROR(INDEX(Empresas!$C:$C,MATCH(D735,Empresas!$B:$B,0)),"cadastre o CNPJ em Empresas"))</f>
        <v/>
      </c>
      <c r="F735" s="11"/>
      <c r="G735" s="23"/>
      <c r="H735" s="22"/>
      <c r="I735" s="35"/>
      <c r="J735" s="35"/>
      <c r="K735" s="36" t="str">
        <f aca="false">IF(I735="","",I735+J735)</f>
        <v/>
      </c>
      <c r="L735" s="37" t="str">
        <f aca="false">IF(OR(I735="",I735=0,J735=""),"",J735/I735)</f>
        <v/>
      </c>
      <c r="M735" s="25" t="str">
        <f aca="false">IF(L735="","",IF(L735&gt;0.25,"ACRÉSCIMO ACIMA DE 25% — conferir",""))</f>
        <v/>
      </c>
      <c r="N735" s="29" t="str">
        <f aca="false">IF(D735="","",IF(COUNTIFS(Empresas!$B:$B,D735,Empresas!$E:$E,"&lt;&gt;")=0,"",INDEX(Empresas!$E:$E,MATCH(D735,Empresas!$B:$B,0))))</f>
        <v/>
      </c>
      <c r="O735" s="27" t="str">
        <f aca="false">IF(OR(N735="",H735=""),"",H735-N735)</f>
        <v/>
      </c>
      <c r="P735" s="25" t="str">
        <f aca="false">IF(O735="","",IF(O735&lt;0,"CONTRATO ANTERIOR À ABERTURA — conferir datas",IF(O735&lt;180,"EMPRESA ABERTA MENOS DE 6 MESES ANTES","")))</f>
        <v/>
      </c>
      <c r="Q735" s="31" t="str">
        <f aca="false">IF(D735="","",IFERROR(INDEX(Sancoes!$D:$D,MATCH(D735,Sancoes!$C:$C,0)),"não consta"))</f>
        <v/>
      </c>
      <c r="R735" s="25" t="str">
        <f aca="false">IF(OR(D735="",H735=""),"",IF(SUMPRODUCT((Sancoes!$C$5:$C$304=D735)*(Sancoes!$G$5:$G$304&lt;=H735)*(((Sancoes!$H$5:$H$304="")+(Sancoes!$H$5:$H$304&gt;=H735))&gt;0))&gt;0,"SANÇÃO VIGENTE NA DATA — ler tipo e abrangência",""))</f>
        <v/>
      </c>
      <c r="S735" s="24"/>
      <c r="T735" s="11"/>
    </row>
    <row r="736" customFormat="false" ht="15" hidden="false" customHeight="false" outlineLevel="0" collapsed="false">
      <c r="A736" s="11"/>
      <c r="B736" s="24"/>
      <c r="C736" s="24"/>
      <c r="D736" s="31" t="str">
        <f aca="false">IF(C736="","",IF(LEN(UPPER(SUBSTITUTE(SUBSTITUTE(SUBSTITUTE(SUBSTITUTE(TRIM(C736),".",""),"/",""),"-","")," ","")))&lt;14,RIGHT(REPT("0",14)&amp;UPPER(SUBSTITUTE(SUBSTITUTE(SUBSTITUTE(SUBSTITUTE(TRIM(C736),".",""),"/",""),"-","")," ","")),14),UPPER(SUBSTITUTE(SUBSTITUTE(SUBSTITUTE(SUBSTITUTE(TRIM(C736),".",""),"/",""),"-","")," ",""))))</f>
        <v/>
      </c>
      <c r="E736" s="25" t="str">
        <f aca="false">IF(D736="","",IFERROR(INDEX(Empresas!$C:$C,MATCH(D736,Empresas!$B:$B,0)),"cadastre o CNPJ em Empresas"))</f>
        <v/>
      </c>
      <c r="F736" s="11"/>
      <c r="G736" s="23"/>
      <c r="H736" s="22"/>
      <c r="I736" s="35"/>
      <c r="J736" s="35"/>
      <c r="K736" s="36" t="str">
        <f aca="false">IF(I736="","",I736+J736)</f>
        <v/>
      </c>
      <c r="L736" s="37" t="str">
        <f aca="false">IF(OR(I736="",I736=0,J736=""),"",J736/I736)</f>
        <v/>
      </c>
      <c r="M736" s="25" t="str">
        <f aca="false">IF(L736="","",IF(L736&gt;0.25,"ACRÉSCIMO ACIMA DE 25% — conferir",""))</f>
        <v/>
      </c>
      <c r="N736" s="29" t="str">
        <f aca="false">IF(D736="","",IF(COUNTIFS(Empresas!$B:$B,D736,Empresas!$E:$E,"&lt;&gt;")=0,"",INDEX(Empresas!$E:$E,MATCH(D736,Empresas!$B:$B,0))))</f>
        <v/>
      </c>
      <c r="O736" s="27" t="str">
        <f aca="false">IF(OR(N736="",H736=""),"",H736-N736)</f>
        <v/>
      </c>
      <c r="P736" s="25" t="str">
        <f aca="false">IF(O736="","",IF(O736&lt;0,"CONTRATO ANTERIOR À ABERTURA — conferir datas",IF(O736&lt;180,"EMPRESA ABERTA MENOS DE 6 MESES ANTES","")))</f>
        <v/>
      </c>
      <c r="Q736" s="31" t="str">
        <f aca="false">IF(D736="","",IFERROR(INDEX(Sancoes!$D:$D,MATCH(D736,Sancoes!$C:$C,0)),"não consta"))</f>
        <v/>
      </c>
      <c r="R736" s="25" t="str">
        <f aca="false">IF(OR(D736="",H736=""),"",IF(SUMPRODUCT((Sancoes!$C$5:$C$304=D736)*(Sancoes!$G$5:$G$304&lt;=H736)*(((Sancoes!$H$5:$H$304="")+(Sancoes!$H$5:$H$304&gt;=H736))&gt;0))&gt;0,"SANÇÃO VIGENTE NA DATA — ler tipo e abrangência",""))</f>
        <v/>
      </c>
      <c r="S736" s="24"/>
      <c r="T736" s="11"/>
    </row>
    <row r="737" customFormat="false" ht="15" hidden="false" customHeight="false" outlineLevel="0" collapsed="false">
      <c r="A737" s="11"/>
      <c r="B737" s="24"/>
      <c r="C737" s="24"/>
      <c r="D737" s="31" t="str">
        <f aca="false">IF(C737="","",IF(LEN(UPPER(SUBSTITUTE(SUBSTITUTE(SUBSTITUTE(SUBSTITUTE(TRIM(C737),".",""),"/",""),"-","")," ","")))&lt;14,RIGHT(REPT("0",14)&amp;UPPER(SUBSTITUTE(SUBSTITUTE(SUBSTITUTE(SUBSTITUTE(TRIM(C737),".",""),"/",""),"-","")," ","")),14),UPPER(SUBSTITUTE(SUBSTITUTE(SUBSTITUTE(SUBSTITUTE(TRIM(C737),".",""),"/",""),"-","")," ",""))))</f>
        <v/>
      </c>
      <c r="E737" s="25" t="str">
        <f aca="false">IF(D737="","",IFERROR(INDEX(Empresas!$C:$C,MATCH(D737,Empresas!$B:$B,0)),"cadastre o CNPJ em Empresas"))</f>
        <v/>
      </c>
      <c r="F737" s="11"/>
      <c r="G737" s="23"/>
      <c r="H737" s="22"/>
      <c r="I737" s="35"/>
      <c r="J737" s="35"/>
      <c r="K737" s="36" t="str">
        <f aca="false">IF(I737="","",I737+J737)</f>
        <v/>
      </c>
      <c r="L737" s="37" t="str">
        <f aca="false">IF(OR(I737="",I737=0,J737=""),"",J737/I737)</f>
        <v/>
      </c>
      <c r="M737" s="25" t="str">
        <f aca="false">IF(L737="","",IF(L737&gt;0.25,"ACRÉSCIMO ACIMA DE 25% — conferir",""))</f>
        <v/>
      </c>
      <c r="N737" s="29" t="str">
        <f aca="false">IF(D737="","",IF(COUNTIFS(Empresas!$B:$B,D737,Empresas!$E:$E,"&lt;&gt;")=0,"",INDEX(Empresas!$E:$E,MATCH(D737,Empresas!$B:$B,0))))</f>
        <v/>
      </c>
      <c r="O737" s="27" t="str">
        <f aca="false">IF(OR(N737="",H737=""),"",H737-N737)</f>
        <v/>
      </c>
      <c r="P737" s="25" t="str">
        <f aca="false">IF(O737="","",IF(O737&lt;0,"CONTRATO ANTERIOR À ABERTURA — conferir datas",IF(O737&lt;180,"EMPRESA ABERTA MENOS DE 6 MESES ANTES","")))</f>
        <v/>
      </c>
      <c r="Q737" s="31" t="str">
        <f aca="false">IF(D737="","",IFERROR(INDEX(Sancoes!$D:$D,MATCH(D737,Sancoes!$C:$C,0)),"não consta"))</f>
        <v/>
      </c>
      <c r="R737" s="25" t="str">
        <f aca="false">IF(OR(D737="",H737=""),"",IF(SUMPRODUCT((Sancoes!$C$5:$C$304=D737)*(Sancoes!$G$5:$G$304&lt;=H737)*(((Sancoes!$H$5:$H$304="")+(Sancoes!$H$5:$H$304&gt;=H737))&gt;0))&gt;0,"SANÇÃO VIGENTE NA DATA — ler tipo e abrangência",""))</f>
        <v/>
      </c>
      <c r="S737" s="24"/>
      <c r="T737" s="11"/>
    </row>
    <row r="738" customFormat="false" ht="15" hidden="false" customHeight="false" outlineLevel="0" collapsed="false">
      <c r="A738" s="11"/>
      <c r="B738" s="24"/>
      <c r="C738" s="24"/>
      <c r="D738" s="31" t="str">
        <f aca="false">IF(C738="","",IF(LEN(UPPER(SUBSTITUTE(SUBSTITUTE(SUBSTITUTE(SUBSTITUTE(TRIM(C738),".",""),"/",""),"-","")," ","")))&lt;14,RIGHT(REPT("0",14)&amp;UPPER(SUBSTITUTE(SUBSTITUTE(SUBSTITUTE(SUBSTITUTE(TRIM(C738),".",""),"/",""),"-","")," ","")),14),UPPER(SUBSTITUTE(SUBSTITUTE(SUBSTITUTE(SUBSTITUTE(TRIM(C738),".",""),"/",""),"-","")," ",""))))</f>
        <v/>
      </c>
      <c r="E738" s="25" t="str">
        <f aca="false">IF(D738="","",IFERROR(INDEX(Empresas!$C:$C,MATCH(D738,Empresas!$B:$B,0)),"cadastre o CNPJ em Empresas"))</f>
        <v/>
      </c>
      <c r="F738" s="11"/>
      <c r="G738" s="23"/>
      <c r="H738" s="22"/>
      <c r="I738" s="35"/>
      <c r="J738" s="35"/>
      <c r="K738" s="36" t="str">
        <f aca="false">IF(I738="","",I738+J738)</f>
        <v/>
      </c>
      <c r="L738" s="37" t="str">
        <f aca="false">IF(OR(I738="",I738=0,J738=""),"",J738/I738)</f>
        <v/>
      </c>
      <c r="M738" s="25" t="str">
        <f aca="false">IF(L738="","",IF(L738&gt;0.25,"ACRÉSCIMO ACIMA DE 25% — conferir",""))</f>
        <v/>
      </c>
      <c r="N738" s="29" t="str">
        <f aca="false">IF(D738="","",IF(COUNTIFS(Empresas!$B:$B,D738,Empresas!$E:$E,"&lt;&gt;")=0,"",INDEX(Empresas!$E:$E,MATCH(D738,Empresas!$B:$B,0))))</f>
        <v/>
      </c>
      <c r="O738" s="27" t="str">
        <f aca="false">IF(OR(N738="",H738=""),"",H738-N738)</f>
        <v/>
      </c>
      <c r="P738" s="25" t="str">
        <f aca="false">IF(O738="","",IF(O738&lt;0,"CONTRATO ANTERIOR À ABERTURA — conferir datas",IF(O738&lt;180,"EMPRESA ABERTA MENOS DE 6 MESES ANTES","")))</f>
        <v/>
      </c>
      <c r="Q738" s="31" t="str">
        <f aca="false">IF(D738="","",IFERROR(INDEX(Sancoes!$D:$D,MATCH(D738,Sancoes!$C:$C,0)),"não consta"))</f>
        <v/>
      </c>
      <c r="R738" s="25" t="str">
        <f aca="false">IF(OR(D738="",H738=""),"",IF(SUMPRODUCT((Sancoes!$C$5:$C$304=D738)*(Sancoes!$G$5:$G$304&lt;=H738)*(((Sancoes!$H$5:$H$304="")+(Sancoes!$H$5:$H$304&gt;=H738))&gt;0))&gt;0,"SANÇÃO VIGENTE NA DATA — ler tipo e abrangência",""))</f>
        <v/>
      </c>
      <c r="S738" s="24"/>
      <c r="T738" s="11"/>
    </row>
    <row r="739" customFormat="false" ht="15" hidden="false" customHeight="false" outlineLevel="0" collapsed="false">
      <c r="A739" s="11"/>
      <c r="B739" s="24"/>
      <c r="C739" s="24"/>
      <c r="D739" s="31" t="str">
        <f aca="false">IF(C739="","",IF(LEN(UPPER(SUBSTITUTE(SUBSTITUTE(SUBSTITUTE(SUBSTITUTE(TRIM(C739),".",""),"/",""),"-","")," ","")))&lt;14,RIGHT(REPT("0",14)&amp;UPPER(SUBSTITUTE(SUBSTITUTE(SUBSTITUTE(SUBSTITUTE(TRIM(C739),".",""),"/",""),"-","")," ","")),14),UPPER(SUBSTITUTE(SUBSTITUTE(SUBSTITUTE(SUBSTITUTE(TRIM(C739),".",""),"/",""),"-","")," ",""))))</f>
        <v/>
      </c>
      <c r="E739" s="25" t="str">
        <f aca="false">IF(D739="","",IFERROR(INDEX(Empresas!$C:$C,MATCH(D739,Empresas!$B:$B,0)),"cadastre o CNPJ em Empresas"))</f>
        <v/>
      </c>
      <c r="F739" s="11"/>
      <c r="G739" s="23"/>
      <c r="H739" s="22"/>
      <c r="I739" s="35"/>
      <c r="J739" s="35"/>
      <c r="K739" s="36" t="str">
        <f aca="false">IF(I739="","",I739+J739)</f>
        <v/>
      </c>
      <c r="L739" s="37" t="str">
        <f aca="false">IF(OR(I739="",I739=0,J739=""),"",J739/I739)</f>
        <v/>
      </c>
      <c r="M739" s="25" t="str">
        <f aca="false">IF(L739="","",IF(L739&gt;0.25,"ACRÉSCIMO ACIMA DE 25% — conferir",""))</f>
        <v/>
      </c>
      <c r="N739" s="29" t="str">
        <f aca="false">IF(D739="","",IF(COUNTIFS(Empresas!$B:$B,D739,Empresas!$E:$E,"&lt;&gt;")=0,"",INDEX(Empresas!$E:$E,MATCH(D739,Empresas!$B:$B,0))))</f>
        <v/>
      </c>
      <c r="O739" s="27" t="str">
        <f aca="false">IF(OR(N739="",H739=""),"",H739-N739)</f>
        <v/>
      </c>
      <c r="P739" s="25" t="str">
        <f aca="false">IF(O739="","",IF(O739&lt;0,"CONTRATO ANTERIOR À ABERTURA — conferir datas",IF(O739&lt;180,"EMPRESA ABERTA MENOS DE 6 MESES ANTES","")))</f>
        <v/>
      </c>
      <c r="Q739" s="31" t="str">
        <f aca="false">IF(D739="","",IFERROR(INDEX(Sancoes!$D:$D,MATCH(D739,Sancoes!$C:$C,0)),"não consta"))</f>
        <v/>
      </c>
      <c r="R739" s="25" t="str">
        <f aca="false">IF(OR(D739="",H739=""),"",IF(SUMPRODUCT((Sancoes!$C$5:$C$304=D739)*(Sancoes!$G$5:$G$304&lt;=H739)*(((Sancoes!$H$5:$H$304="")+(Sancoes!$H$5:$H$304&gt;=H739))&gt;0))&gt;0,"SANÇÃO VIGENTE NA DATA — ler tipo e abrangência",""))</f>
        <v/>
      </c>
      <c r="S739" s="24"/>
      <c r="T739" s="11"/>
    </row>
    <row r="740" customFormat="false" ht="15" hidden="false" customHeight="false" outlineLevel="0" collapsed="false">
      <c r="A740" s="11"/>
      <c r="B740" s="24"/>
      <c r="C740" s="24"/>
      <c r="D740" s="31" t="str">
        <f aca="false">IF(C740="","",IF(LEN(UPPER(SUBSTITUTE(SUBSTITUTE(SUBSTITUTE(SUBSTITUTE(TRIM(C740),".",""),"/",""),"-","")," ","")))&lt;14,RIGHT(REPT("0",14)&amp;UPPER(SUBSTITUTE(SUBSTITUTE(SUBSTITUTE(SUBSTITUTE(TRIM(C740),".",""),"/",""),"-","")," ","")),14),UPPER(SUBSTITUTE(SUBSTITUTE(SUBSTITUTE(SUBSTITUTE(TRIM(C740),".",""),"/",""),"-","")," ",""))))</f>
        <v/>
      </c>
      <c r="E740" s="25" t="str">
        <f aca="false">IF(D740="","",IFERROR(INDEX(Empresas!$C:$C,MATCH(D740,Empresas!$B:$B,0)),"cadastre o CNPJ em Empresas"))</f>
        <v/>
      </c>
      <c r="F740" s="11"/>
      <c r="G740" s="23"/>
      <c r="H740" s="22"/>
      <c r="I740" s="35"/>
      <c r="J740" s="35"/>
      <c r="K740" s="36" t="str">
        <f aca="false">IF(I740="","",I740+J740)</f>
        <v/>
      </c>
      <c r="L740" s="37" t="str">
        <f aca="false">IF(OR(I740="",I740=0,J740=""),"",J740/I740)</f>
        <v/>
      </c>
      <c r="M740" s="25" t="str">
        <f aca="false">IF(L740="","",IF(L740&gt;0.25,"ACRÉSCIMO ACIMA DE 25% — conferir",""))</f>
        <v/>
      </c>
      <c r="N740" s="29" t="str">
        <f aca="false">IF(D740="","",IF(COUNTIFS(Empresas!$B:$B,D740,Empresas!$E:$E,"&lt;&gt;")=0,"",INDEX(Empresas!$E:$E,MATCH(D740,Empresas!$B:$B,0))))</f>
        <v/>
      </c>
      <c r="O740" s="27" t="str">
        <f aca="false">IF(OR(N740="",H740=""),"",H740-N740)</f>
        <v/>
      </c>
      <c r="P740" s="25" t="str">
        <f aca="false">IF(O740="","",IF(O740&lt;0,"CONTRATO ANTERIOR À ABERTURA — conferir datas",IF(O740&lt;180,"EMPRESA ABERTA MENOS DE 6 MESES ANTES","")))</f>
        <v/>
      </c>
      <c r="Q740" s="31" t="str">
        <f aca="false">IF(D740="","",IFERROR(INDEX(Sancoes!$D:$D,MATCH(D740,Sancoes!$C:$C,0)),"não consta"))</f>
        <v/>
      </c>
      <c r="R740" s="25" t="str">
        <f aca="false">IF(OR(D740="",H740=""),"",IF(SUMPRODUCT((Sancoes!$C$5:$C$304=D740)*(Sancoes!$G$5:$G$304&lt;=H740)*(((Sancoes!$H$5:$H$304="")+(Sancoes!$H$5:$H$304&gt;=H740))&gt;0))&gt;0,"SANÇÃO VIGENTE NA DATA — ler tipo e abrangência",""))</f>
        <v/>
      </c>
      <c r="S740" s="24"/>
      <c r="T740" s="11"/>
    </row>
    <row r="741" customFormat="false" ht="15" hidden="false" customHeight="false" outlineLevel="0" collapsed="false">
      <c r="A741" s="11"/>
      <c r="B741" s="24"/>
      <c r="C741" s="24"/>
      <c r="D741" s="31" t="str">
        <f aca="false">IF(C741="","",IF(LEN(UPPER(SUBSTITUTE(SUBSTITUTE(SUBSTITUTE(SUBSTITUTE(TRIM(C741),".",""),"/",""),"-","")," ","")))&lt;14,RIGHT(REPT("0",14)&amp;UPPER(SUBSTITUTE(SUBSTITUTE(SUBSTITUTE(SUBSTITUTE(TRIM(C741),".",""),"/",""),"-","")," ","")),14),UPPER(SUBSTITUTE(SUBSTITUTE(SUBSTITUTE(SUBSTITUTE(TRIM(C741),".",""),"/",""),"-","")," ",""))))</f>
        <v/>
      </c>
      <c r="E741" s="25" t="str">
        <f aca="false">IF(D741="","",IFERROR(INDEX(Empresas!$C:$C,MATCH(D741,Empresas!$B:$B,0)),"cadastre o CNPJ em Empresas"))</f>
        <v/>
      </c>
      <c r="F741" s="11"/>
      <c r="G741" s="23"/>
      <c r="H741" s="22"/>
      <c r="I741" s="35"/>
      <c r="J741" s="35"/>
      <c r="K741" s="36" t="str">
        <f aca="false">IF(I741="","",I741+J741)</f>
        <v/>
      </c>
      <c r="L741" s="37" t="str">
        <f aca="false">IF(OR(I741="",I741=0,J741=""),"",J741/I741)</f>
        <v/>
      </c>
      <c r="M741" s="25" t="str">
        <f aca="false">IF(L741="","",IF(L741&gt;0.25,"ACRÉSCIMO ACIMA DE 25% — conferir",""))</f>
        <v/>
      </c>
      <c r="N741" s="29" t="str">
        <f aca="false">IF(D741="","",IF(COUNTIFS(Empresas!$B:$B,D741,Empresas!$E:$E,"&lt;&gt;")=0,"",INDEX(Empresas!$E:$E,MATCH(D741,Empresas!$B:$B,0))))</f>
        <v/>
      </c>
      <c r="O741" s="27" t="str">
        <f aca="false">IF(OR(N741="",H741=""),"",H741-N741)</f>
        <v/>
      </c>
      <c r="P741" s="25" t="str">
        <f aca="false">IF(O741="","",IF(O741&lt;0,"CONTRATO ANTERIOR À ABERTURA — conferir datas",IF(O741&lt;180,"EMPRESA ABERTA MENOS DE 6 MESES ANTES","")))</f>
        <v/>
      </c>
      <c r="Q741" s="31" t="str">
        <f aca="false">IF(D741="","",IFERROR(INDEX(Sancoes!$D:$D,MATCH(D741,Sancoes!$C:$C,0)),"não consta"))</f>
        <v/>
      </c>
      <c r="R741" s="25" t="str">
        <f aca="false">IF(OR(D741="",H741=""),"",IF(SUMPRODUCT((Sancoes!$C$5:$C$304=D741)*(Sancoes!$G$5:$G$304&lt;=H741)*(((Sancoes!$H$5:$H$304="")+(Sancoes!$H$5:$H$304&gt;=H741))&gt;0))&gt;0,"SANÇÃO VIGENTE NA DATA — ler tipo e abrangência",""))</f>
        <v/>
      </c>
      <c r="S741" s="24"/>
      <c r="T741" s="11"/>
    </row>
    <row r="742" customFormat="false" ht="15" hidden="false" customHeight="false" outlineLevel="0" collapsed="false">
      <c r="A742" s="11"/>
      <c r="B742" s="24"/>
      <c r="C742" s="24"/>
      <c r="D742" s="31" t="str">
        <f aca="false">IF(C742="","",IF(LEN(UPPER(SUBSTITUTE(SUBSTITUTE(SUBSTITUTE(SUBSTITUTE(TRIM(C742),".",""),"/",""),"-","")," ","")))&lt;14,RIGHT(REPT("0",14)&amp;UPPER(SUBSTITUTE(SUBSTITUTE(SUBSTITUTE(SUBSTITUTE(TRIM(C742),".",""),"/",""),"-","")," ","")),14),UPPER(SUBSTITUTE(SUBSTITUTE(SUBSTITUTE(SUBSTITUTE(TRIM(C742),".",""),"/",""),"-","")," ",""))))</f>
        <v/>
      </c>
      <c r="E742" s="25" t="str">
        <f aca="false">IF(D742="","",IFERROR(INDEX(Empresas!$C:$C,MATCH(D742,Empresas!$B:$B,0)),"cadastre o CNPJ em Empresas"))</f>
        <v/>
      </c>
      <c r="F742" s="11"/>
      <c r="G742" s="23"/>
      <c r="H742" s="22"/>
      <c r="I742" s="35"/>
      <c r="J742" s="35"/>
      <c r="K742" s="36" t="str">
        <f aca="false">IF(I742="","",I742+J742)</f>
        <v/>
      </c>
      <c r="L742" s="37" t="str">
        <f aca="false">IF(OR(I742="",I742=0,J742=""),"",J742/I742)</f>
        <v/>
      </c>
      <c r="M742" s="25" t="str">
        <f aca="false">IF(L742="","",IF(L742&gt;0.25,"ACRÉSCIMO ACIMA DE 25% — conferir",""))</f>
        <v/>
      </c>
      <c r="N742" s="29" t="str">
        <f aca="false">IF(D742="","",IF(COUNTIFS(Empresas!$B:$B,D742,Empresas!$E:$E,"&lt;&gt;")=0,"",INDEX(Empresas!$E:$E,MATCH(D742,Empresas!$B:$B,0))))</f>
        <v/>
      </c>
      <c r="O742" s="27" t="str">
        <f aca="false">IF(OR(N742="",H742=""),"",H742-N742)</f>
        <v/>
      </c>
      <c r="P742" s="25" t="str">
        <f aca="false">IF(O742="","",IF(O742&lt;0,"CONTRATO ANTERIOR À ABERTURA — conferir datas",IF(O742&lt;180,"EMPRESA ABERTA MENOS DE 6 MESES ANTES","")))</f>
        <v/>
      </c>
      <c r="Q742" s="31" t="str">
        <f aca="false">IF(D742="","",IFERROR(INDEX(Sancoes!$D:$D,MATCH(D742,Sancoes!$C:$C,0)),"não consta"))</f>
        <v/>
      </c>
      <c r="R742" s="25" t="str">
        <f aca="false">IF(OR(D742="",H742=""),"",IF(SUMPRODUCT((Sancoes!$C$5:$C$304=D742)*(Sancoes!$G$5:$G$304&lt;=H742)*(((Sancoes!$H$5:$H$304="")+(Sancoes!$H$5:$H$304&gt;=H742))&gt;0))&gt;0,"SANÇÃO VIGENTE NA DATA — ler tipo e abrangência",""))</f>
        <v/>
      </c>
      <c r="S742" s="24"/>
      <c r="T742" s="11"/>
    </row>
    <row r="743" customFormat="false" ht="15" hidden="false" customHeight="false" outlineLevel="0" collapsed="false">
      <c r="A743" s="11"/>
      <c r="B743" s="24"/>
      <c r="C743" s="24"/>
      <c r="D743" s="31" t="str">
        <f aca="false">IF(C743="","",IF(LEN(UPPER(SUBSTITUTE(SUBSTITUTE(SUBSTITUTE(SUBSTITUTE(TRIM(C743),".",""),"/",""),"-","")," ","")))&lt;14,RIGHT(REPT("0",14)&amp;UPPER(SUBSTITUTE(SUBSTITUTE(SUBSTITUTE(SUBSTITUTE(TRIM(C743),".",""),"/",""),"-","")," ","")),14),UPPER(SUBSTITUTE(SUBSTITUTE(SUBSTITUTE(SUBSTITUTE(TRIM(C743),".",""),"/",""),"-","")," ",""))))</f>
        <v/>
      </c>
      <c r="E743" s="25" t="str">
        <f aca="false">IF(D743="","",IFERROR(INDEX(Empresas!$C:$C,MATCH(D743,Empresas!$B:$B,0)),"cadastre o CNPJ em Empresas"))</f>
        <v/>
      </c>
      <c r="F743" s="11"/>
      <c r="G743" s="23"/>
      <c r="H743" s="22"/>
      <c r="I743" s="35"/>
      <c r="J743" s="35"/>
      <c r="K743" s="36" t="str">
        <f aca="false">IF(I743="","",I743+J743)</f>
        <v/>
      </c>
      <c r="L743" s="37" t="str">
        <f aca="false">IF(OR(I743="",I743=0,J743=""),"",J743/I743)</f>
        <v/>
      </c>
      <c r="M743" s="25" t="str">
        <f aca="false">IF(L743="","",IF(L743&gt;0.25,"ACRÉSCIMO ACIMA DE 25% — conferir",""))</f>
        <v/>
      </c>
      <c r="N743" s="29" t="str">
        <f aca="false">IF(D743="","",IF(COUNTIFS(Empresas!$B:$B,D743,Empresas!$E:$E,"&lt;&gt;")=0,"",INDEX(Empresas!$E:$E,MATCH(D743,Empresas!$B:$B,0))))</f>
        <v/>
      </c>
      <c r="O743" s="27" t="str">
        <f aca="false">IF(OR(N743="",H743=""),"",H743-N743)</f>
        <v/>
      </c>
      <c r="P743" s="25" t="str">
        <f aca="false">IF(O743="","",IF(O743&lt;0,"CONTRATO ANTERIOR À ABERTURA — conferir datas",IF(O743&lt;180,"EMPRESA ABERTA MENOS DE 6 MESES ANTES","")))</f>
        <v/>
      </c>
      <c r="Q743" s="31" t="str">
        <f aca="false">IF(D743="","",IFERROR(INDEX(Sancoes!$D:$D,MATCH(D743,Sancoes!$C:$C,0)),"não consta"))</f>
        <v/>
      </c>
      <c r="R743" s="25" t="str">
        <f aca="false">IF(OR(D743="",H743=""),"",IF(SUMPRODUCT((Sancoes!$C$5:$C$304=D743)*(Sancoes!$G$5:$G$304&lt;=H743)*(((Sancoes!$H$5:$H$304="")+(Sancoes!$H$5:$H$304&gt;=H743))&gt;0))&gt;0,"SANÇÃO VIGENTE NA DATA — ler tipo e abrangência",""))</f>
        <v/>
      </c>
      <c r="S743" s="24"/>
      <c r="T743" s="11"/>
    </row>
    <row r="744" customFormat="false" ht="15" hidden="false" customHeight="false" outlineLevel="0" collapsed="false">
      <c r="A744" s="11"/>
      <c r="B744" s="24"/>
      <c r="C744" s="24"/>
      <c r="D744" s="31" t="str">
        <f aca="false">IF(C744="","",IF(LEN(UPPER(SUBSTITUTE(SUBSTITUTE(SUBSTITUTE(SUBSTITUTE(TRIM(C744),".",""),"/",""),"-","")," ","")))&lt;14,RIGHT(REPT("0",14)&amp;UPPER(SUBSTITUTE(SUBSTITUTE(SUBSTITUTE(SUBSTITUTE(TRIM(C744),".",""),"/",""),"-","")," ","")),14),UPPER(SUBSTITUTE(SUBSTITUTE(SUBSTITUTE(SUBSTITUTE(TRIM(C744),".",""),"/",""),"-","")," ",""))))</f>
        <v/>
      </c>
      <c r="E744" s="25" t="str">
        <f aca="false">IF(D744="","",IFERROR(INDEX(Empresas!$C:$C,MATCH(D744,Empresas!$B:$B,0)),"cadastre o CNPJ em Empresas"))</f>
        <v/>
      </c>
      <c r="F744" s="11"/>
      <c r="G744" s="23"/>
      <c r="H744" s="22"/>
      <c r="I744" s="35"/>
      <c r="J744" s="35"/>
      <c r="K744" s="36" t="str">
        <f aca="false">IF(I744="","",I744+J744)</f>
        <v/>
      </c>
      <c r="L744" s="37" t="str">
        <f aca="false">IF(OR(I744="",I744=0,J744=""),"",J744/I744)</f>
        <v/>
      </c>
      <c r="M744" s="25" t="str">
        <f aca="false">IF(L744="","",IF(L744&gt;0.25,"ACRÉSCIMO ACIMA DE 25% — conferir",""))</f>
        <v/>
      </c>
      <c r="N744" s="29" t="str">
        <f aca="false">IF(D744="","",IF(COUNTIFS(Empresas!$B:$B,D744,Empresas!$E:$E,"&lt;&gt;")=0,"",INDEX(Empresas!$E:$E,MATCH(D744,Empresas!$B:$B,0))))</f>
        <v/>
      </c>
      <c r="O744" s="27" t="str">
        <f aca="false">IF(OR(N744="",H744=""),"",H744-N744)</f>
        <v/>
      </c>
      <c r="P744" s="25" t="str">
        <f aca="false">IF(O744="","",IF(O744&lt;0,"CONTRATO ANTERIOR À ABERTURA — conferir datas",IF(O744&lt;180,"EMPRESA ABERTA MENOS DE 6 MESES ANTES","")))</f>
        <v/>
      </c>
      <c r="Q744" s="31" t="str">
        <f aca="false">IF(D744="","",IFERROR(INDEX(Sancoes!$D:$D,MATCH(D744,Sancoes!$C:$C,0)),"não consta"))</f>
        <v/>
      </c>
      <c r="R744" s="25" t="str">
        <f aca="false">IF(OR(D744="",H744=""),"",IF(SUMPRODUCT((Sancoes!$C$5:$C$304=D744)*(Sancoes!$G$5:$G$304&lt;=H744)*(((Sancoes!$H$5:$H$304="")+(Sancoes!$H$5:$H$304&gt;=H744))&gt;0))&gt;0,"SANÇÃO VIGENTE NA DATA — ler tipo e abrangência",""))</f>
        <v/>
      </c>
      <c r="S744" s="24"/>
      <c r="T744" s="11"/>
    </row>
    <row r="745" customFormat="false" ht="15" hidden="false" customHeight="false" outlineLevel="0" collapsed="false">
      <c r="A745" s="11"/>
      <c r="B745" s="24"/>
      <c r="C745" s="24"/>
      <c r="D745" s="31" t="str">
        <f aca="false">IF(C745="","",IF(LEN(UPPER(SUBSTITUTE(SUBSTITUTE(SUBSTITUTE(SUBSTITUTE(TRIM(C745),".",""),"/",""),"-","")," ","")))&lt;14,RIGHT(REPT("0",14)&amp;UPPER(SUBSTITUTE(SUBSTITUTE(SUBSTITUTE(SUBSTITUTE(TRIM(C745),".",""),"/",""),"-","")," ","")),14),UPPER(SUBSTITUTE(SUBSTITUTE(SUBSTITUTE(SUBSTITUTE(TRIM(C745),".",""),"/",""),"-","")," ",""))))</f>
        <v/>
      </c>
      <c r="E745" s="25" t="str">
        <f aca="false">IF(D745="","",IFERROR(INDEX(Empresas!$C:$C,MATCH(D745,Empresas!$B:$B,0)),"cadastre o CNPJ em Empresas"))</f>
        <v/>
      </c>
      <c r="F745" s="11"/>
      <c r="G745" s="23"/>
      <c r="H745" s="22"/>
      <c r="I745" s="35"/>
      <c r="J745" s="35"/>
      <c r="K745" s="36" t="str">
        <f aca="false">IF(I745="","",I745+J745)</f>
        <v/>
      </c>
      <c r="L745" s="37" t="str">
        <f aca="false">IF(OR(I745="",I745=0,J745=""),"",J745/I745)</f>
        <v/>
      </c>
      <c r="M745" s="25" t="str">
        <f aca="false">IF(L745="","",IF(L745&gt;0.25,"ACRÉSCIMO ACIMA DE 25% — conferir",""))</f>
        <v/>
      </c>
      <c r="N745" s="29" t="str">
        <f aca="false">IF(D745="","",IF(COUNTIFS(Empresas!$B:$B,D745,Empresas!$E:$E,"&lt;&gt;")=0,"",INDEX(Empresas!$E:$E,MATCH(D745,Empresas!$B:$B,0))))</f>
        <v/>
      </c>
      <c r="O745" s="27" t="str">
        <f aca="false">IF(OR(N745="",H745=""),"",H745-N745)</f>
        <v/>
      </c>
      <c r="P745" s="25" t="str">
        <f aca="false">IF(O745="","",IF(O745&lt;0,"CONTRATO ANTERIOR À ABERTURA — conferir datas",IF(O745&lt;180,"EMPRESA ABERTA MENOS DE 6 MESES ANTES","")))</f>
        <v/>
      </c>
      <c r="Q745" s="31" t="str">
        <f aca="false">IF(D745="","",IFERROR(INDEX(Sancoes!$D:$D,MATCH(D745,Sancoes!$C:$C,0)),"não consta"))</f>
        <v/>
      </c>
      <c r="R745" s="25" t="str">
        <f aca="false">IF(OR(D745="",H745=""),"",IF(SUMPRODUCT((Sancoes!$C$5:$C$304=D745)*(Sancoes!$G$5:$G$304&lt;=H745)*(((Sancoes!$H$5:$H$304="")+(Sancoes!$H$5:$H$304&gt;=H745))&gt;0))&gt;0,"SANÇÃO VIGENTE NA DATA — ler tipo e abrangência",""))</f>
        <v/>
      </c>
      <c r="S745" s="24"/>
      <c r="T745" s="11"/>
    </row>
    <row r="746" customFormat="false" ht="15" hidden="false" customHeight="false" outlineLevel="0" collapsed="false">
      <c r="A746" s="11"/>
      <c r="B746" s="24"/>
      <c r="C746" s="24"/>
      <c r="D746" s="31" t="str">
        <f aca="false">IF(C746="","",IF(LEN(UPPER(SUBSTITUTE(SUBSTITUTE(SUBSTITUTE(SUBSTITUTE(TRIM(C746),".",""),"/",""),"-","")," ","")))&lt;14,RIGHT(REPT("0",14)&amp;UPPER(SUBSTITUTE(SUBSTITUTE(SUBSTITUTE(SUBSTITUTE(TRIM(C746),".",""),"/",""),"-","")," ","")),14),UPPER(SUBSTITUTE(SUBSTITUTE(SUBSTITUTE(SUBSTITUTE(TRIM(C746),".",""),"/",""),"-","")," ",""))))</f>
        <v/>
      </c>
      <c r="E746" s="25" t="str">
        <f aca="false">IF(D746="","",IFERROR(INDEX(Empresas!$C:$C,MATCH(D746,Empresas!$B:$B,0)),"cadastre o CNPJ em Empresas"))</f>
        <v/>
      </c>
      <c r="F746" s="11"/>
      <c r="G746" s="23"/>
      <c r="H746" s="22"/>
      <c r="I746" s="35"/>
      <c r="J746" s="35"/>
      <c r="K746" s="36" t="str">
        <f aca="false">IF(I746="","",I746+J746)</f>
        <v/>
      </c>
      <c r="L746" s="37" t="str">
        <f aca="false">IF(OR(I746="",I746=0,J746=""),"",J746/I746)</f>
        <v/>
      </c>
      <c r="M746" s="25" t="str">
        <f aca="false">IF(L746="","",IF(L746&gt;0.25,"ACRÉSCIMO ACIMA DE 25% — conferir",""))</f>
        <v/>
      </c>
      <c r="N746" s="29" t="str">
        <f aca="false">IF(D746="","",IF(COUNTIFS(Empresas!$B:$B,D746,Empresas!$E:$E,"&lt;&gt;")=0,"",INDEX(Empresas!$E:$E,MATCH(D746,Empresas!$B:$B,0))))</f>
        <v/>
      </c>
      <c r="O746" s="27" t="str">
        <f aca="false">IF(OR(N746="",H746=""),"",H746-N746)</f>
        <v/>
      </c>
      <c r="P746" s="25" t="str">
        <f aca="false">IF(O746="","",IF(O746&lt;0,"CONTRATO ANTERIOR À ABERTURA — conferir datas",IF(O746&lt;180,"EMPRESA ABERTA MENOS DE 6 MESES ANTES","")))</f>
        <v/>
      </c>
      <c r="Q746" s="31" t="str">
        <f aca="false">IF(D746="","",IFERROR(INDEX(Sancoes!$D:$D,MATCH(D746,Sancoes!$C:$C,0)),"não consta"))</f>
        <v/>
      </c>
      <c r="R746" s="25" t="str">
        <f aca="false">IF(OR(D746="",H746=""),"",IF(SUMPRODUCT((Sancoes!$C$5:$C$304=D746)*(Sancoes!$G$5:$G$304&lt;=H746)*(((Sancoes!$H$5:$H$304="")+(Sancoes!$H$5:$H$304&gt;=H746))&gt;0))&gt;0,"SANÇÃO VIGENTE NA DATA — ler tipo e abrangência",""))</f>
        <v/>
      </c>
      <c r="S746" s="24"/>
      <c r="T746" s="11"/>
    </row>
    <row r="747" customFormat="false" ht="15" hidden="false" customHeight="false" outlineLevel="0" collapsed="false">
      <c r="A747" s="11"/>
      <c r="B747" s="24"/>
      <c r="C747" s="24"/>
      <c r="D747" s="31" t="str">
        <f aca="false">IF(C747="","",IF(LEN(UPPER(SUBSTITUTE(SUBSTITUTE(SUBSTITUTE(SUBSTITUTE(TRIM(C747),".",""),"/",""),"-","")," ","")))&lt;14,RIGHT(REPT("0",14)&amp;UPPER(SUBSTITUTE(SUBSTITUTE(SUBSTITUTE(SUBSTITUTE(TRIM(C747),".",""),"/",""),"-","")," ","")),14),UPPER(SUBSTITUTE(SUBSTITUTE(SUBSTITUTE(SUBSTITUTE(TRIM(C747),".",""),"/",""),"-","")," ",""))))</f>
        <v/>
      </c>
      <c r="E747" s="25" t="str">
        <f aca="false">IF(D747="","",IFERROR(INDEX(Empresas!$C:$C,MATCH(D747,Empresas!$B:$B,0)),"cadastre o CNPJ em Empresas"))</f>
        <v/>
      </c>
      <c r="F747" s="11"/>
      <c r="G747" s="23"/>
      <c r="H747" s="22"/>
      <c r="I747" s="35"/>
      <c r="J747" s="35"/>
      <c r="K747" s="36" t="str">
        <f aca="false">IF(I747="","",I747+J747)</f>
        <v/>
      </c>
      <c r="L747" s="37" t="str">
        <f aca="false">IF(OR(I747="",I747=0,J747=""),"",J747/I747)</f>
        <v/>
      </c>
      <c r="M747" s="25" t="str">
        <f aca="false">IF(L747="","",IF(L747&gt;0.25,"ACRÉSCIMO ACIMA DE 25% — conferir",""))</f>
        <v/>
      </c>
      <c r="N747" s="29" t="str">
        <f aca="false">IF(D747="","",IF(COUNTIFS(Empresas!$B:$B,D747,Empresas!$E:$E,"&lt;&gt;")=0,"",INDEX(Empresas!$E:$E,MATCH(D747,Empresas!$B:$B,0))))</f>
        <v/>
      </c>
      <c r="O747" s="27" t="str">
        <f aca="false">IF(OR(N747="",H747=""),"",H747-N747)</f>
        <v/>
      </c>
      <c r="P747" s="25" t="str">
        <f aca="false">IF(O747="","",IF(O747&lt;0,"CONTRATO ANTERIOR À ABERTURA — conferir datas",IF(O747&lt;180,"EMPRESA ABERTA MENOS DE 6 MESES ANTES","")))</f>
        <v/>
      </c>
      <c r="Q747" s="31" t="str">
        <f aca="false">IF(D747="","",IFERROR(INDEX(Sancoes!$D:$D,MATCH(D747,Sancoes!$C:$C,0)),"não consta"))</f>
        <v/>
      </c>
      <c r="R747" s="25" t="str">
        <f aca="false">IF(OR(D747="",H747=""),"",IF(SUMPRODUCT((Sancoes!$C$5:$C$304=D747)*(Sancoes!$G$5:$G$304&lt;=H747)*(((Sancoes!$H$5:$H$304="")+(Sancoes!$H$5:$H$304&gt;=H747))&gt;0))&gt;0,"SANÇÃO VIGENTE NA DATA — ler tipo e abrangência",""))</f>
        <v/>
      </c>
      <c r="S747" s="24"/>
      <c r="T747" s="11"/>
    </row>
    <row r="748" customFormat="false" ht="15" hidden="false" customHeight="false" outlineLevel="0" collapsed="false">
      <c r="A748" s="11"/>
      <c r="B748" s="24"/>
      <c r="C748" s="24"/>
      <c r="D748" s="31" t="str">
        <f aca="false">IF(C748="","",IF(LEN(UPPER(SUBSTITUTE(SUBSTITUTE(SUBSTITUTE(SUBSTITUTE(TRIM(C748),".",""),"/",""),"-","")," ","")))&lt;14,RIGHT(REPT("0",14)&amp;UPPER(SUBSTITUTE(SUBSTITUTE(SUBSTITUTE(SUBSTITUTE(TRIM(C748),".",""),"/",""),"-","")," ","")),14),UPPER(SUBSTITUTE(SUBSTITUTE(SUBSTITUTE(SUBSTITUTE(TRIM(C748),".",""),"/",""),"-","")," ",""))))</f>
        <v/>
      </c>
      <c r="E748" s="25" t="str">
        <f aca="false">IF(D748="","",IFERROR(INDEX(Empresas!$C:$C,MATCH(D748,Empresas!$B:$B,0)),"cadastre o CNPJ em Empresas"))</f>
        <v/>
      </c>
      <c r="F748" s="11"/>
      <c r="G748" s="23"/>
      <c r="H748" s="22"/>
      <c r="I748" s="35"/>
      <c r="J748" s="35"/>
      <c r="K748" s="36" t="str">
        <f aca="false">IF(I748="","",I748+J748)</f>
        <v/>
      </c>
      <c r="L748" s="37" t="str">
        <f aca="false">IF(OR(I748="",I748=0,J748=""),"",J748/I748)</f>
        <v/>
      </c>
      <c r="M748" s="25" t="str">
        <f aca="false">IF(L748="","",IF(L748&gt;0.25,"ACRÉSCIMO ACIMA DE 25% — conferir",""))</f>
        <v/>
      </c>
      <c r="N748" s="29" t="str">
        <f aca="false">IF(D748="","",IF(COUNTIFS(Empresas!$B:$B,D748,Empresas!$E:$E,"&lt;&gt;")=0,"",INDEX(Empresas!$E:$E,MATCH(D748,Empresas!$B:$B,0))))</f>
        <v/>
      </c>
      <c r="O748" s="27" t="str">
        <f aca="false">IF(OR(N748="",H748=""),"",H748-N748)</f>
        <v/>
      </c>
      <c r="P748" s="25" t="str">
        <f aca="false">IF(O748="","",IF(O748&lt;0,"CONTRATO ANTERIOR À ABERTURA — conferir datas",IF(O748&lt;180,"EMPRESA ABERTA MENOS DE 6 MESES ANTES","")))</f>
        <v/>
      </c>
      <c r="Q748" s="31" t="str">
        <f aca="false">IF(D748="","",IFERROR(INDEX(Sancoes!$D:$D,MATCH(D748,Sancoes!$C:$C,0)),"não consta"))</f>
        <v/>
      </c>
      <c r="R748" s="25" t="str">
        <f aca="false">IF(OR(D748="",H748=""),"",IF(SUMPRODUCT((Sancoes!$C$5:$C$304=D748)*(Sancoes!$G$5:$G$304&lt;=H748)*(((Sancoes!$H$5:$H$304="")+(Sancoes!$H$5:$H$304&gt;=H748))&gt;0))&gt;0,"SANÇÃO VIGENTE NA DATA — ler tipo e abrangência",""))</f>
        <v/>
      </c>
      <c r="S748" s="24"/>
      <c r="T748" s="11"/>
    </row>
    <row r="749" customFormat="false" ht="15" hidden="false" customHeight="false" outlineLevel="0" collapsed="false">
      <c r="A749" s="11"/>
      <c r="B749" s="24"/>
      <c r="C749" s="24"/>
      <c r="D749" s="31" t="str">
        <f aca="false">IF(C749="","",IF(LEN(UPPER(SUBSTITUTE(SUBSTITUTE(SUBSTITUTE(SUBSTITUTE(TRIM(C749),".",""),"/",""),"-","")," ","")))&lt;14,RIGHT(REPT("0",14)&amp;UPPER(SUBSTITUTE(SUBSTITUTE(SUBSTITUTE(SUBSTITUTE(TRIM(C749),".",""),"/",""),"-","")," ","")),14),UPPER(SUBSTITUTE(SUBSTITUTE(SUBSTITUTE(SUBSTITUTE(TRIM(C749),".",""),"/",""),"-","")," ",""))))</f>
        <v/>
      </c>
      <c r="E749" s="25" t="str">
        <f aca="false">IF(D749="","",IFERROR(INDEX(Empresas!$C:$C,MATCH(D749,Empresas!$B:$B,0)),"cadastre o CNPJ em Empresas"))</f>
        <v/>
      </c>
      <c r="F749" s="11"/>
      <c r="G749" s="23"/>
      <c r="H749" s="22"/>
      <c r="I749" s="35"/>
      <c r="J749" s="35"/>
      <c r="K749" s="36" t="str">
        <f aca="false">IF(I749="","",I749+J749)</f>
        <v/>
      </c>
      <c r="L749" s="37" t="str">
        <f aca="false">IF(OR(I749="",I749=0,J749=""),"",J749/I749)</f>
        <v/>
      </c>
      <c r="M749" s="25" t="str">
        <f aca="false">IF(L749="","",IF(L749&gt;0.25,"ACRÉSCIMO ACIMA DE 25% — conferir",""))</f>
        <v/>
      </c>
      <c r="N749" s="29" t="str">
        <f aca="false">IF(D749="","",IF(COUNTIFS(Empresas!$B:$B,D749,Empresas!$E:$E,"&lt;&gt;")=0,"",INDEX(Empresas!$E:$E,MATCH(D749,Empresas!$B:$B,0))))</f>
        <v/>
      </c>
      <c r="O749" s="27" t="str">
        <f aca="false">IF(OR(N749="",H749=""),"",H749-N749)</f>
        <v/>
      </c>
      <c r="P749" s="25" t="str">
        <f aca="false">IF(O749="","",IF(O749&lt;0,"CONTRATO ANTERIOR À ABERTURA — conferir datas",IF(O749&lt;180,"EMPRESA ABERTA MENOS DE 6 MESES ANTES","")))</f>
        <v/>
      </c>
      <c r="Q749" s="31" t="str">
        <f aca="false">IF(D749="","",IFERROR(INDEX(Sancoes!$D:$D,MATCH(D749,Sancoes!$C:$C,0)),"não consta"))</f>
        <v/>
      </c>
      <c r="R749" s="25" t="str">
        <f aca="false">IF(OR(D749="",H749=""),"",IF(SUMPRODUCT((Sancoes!$C$5:$C$304=D749)*(Sancoes!$G$5:$G$304&lt;=H749)*(((Sancoes!$H$5:$H$304="")+(Sancoes!$H$5:$H$304&gt;=H749))&gt;0))&gt;0,"SANÇÃO VIGENTE NA DATA — ler tipo e abrangência",""))</f>
        <v/>
      </c>
      <c r="S749" s="24"/>
      <c r="T749" s="11"/>
    </row>
    <row r="750" customFormat="false" ht="15" hidden="false" customHeight="false" outlineLevel="0" collapsed="false">
      <c r="A750" s="11"/>
      <c r="B750" s="24"/>
      <c r="C750" s="24"/>
      <c r="D750" s="31" t="str">
        <f aca="false">IF(C750="","",IF(LEN(UPPER(SUBSTITUTE(SUBSTITUTE(SUBSTITUTE(SUBSTITUTE(TRIM(C750),".",""),"/",""),"-","")," ","")))&lt;14,RIGHT(REPT("0",14)&amp;UPPER(SUBSTITUTE(SUBSTITUTE(SUBSTITUTE(SUBSTITUTE(TRIM(C750),".",""),"/",""),"-","")," ","")),14),UPPER(SUBSTITUTE(SUBSTITUTE(SUBSTITUTE(SUBSTITUTE(TRIM(C750),".",""),"/",""),"-","")," ",""))))</f>
        <v/>
      </c>
      <c r="E750" s="25" t="str">
        <f aca="false">IF(D750="","",IFERROR(INDEX(Empresas!$C:$C,MATCH(D750,Empresas!$B:$B,0)),"cadastre o CNPJ em Empresas"))</f>
        <v/>
      </c>
      <c r="F750" s="11"/>
      <c r="G750" s="23"/>
      <c r="H750" s="22"/>
      <c r="I750" s="35"/>
      <c r="J750" s="35"/>
      <c r="K750" s="36" t="str">
        <f aca="false">IF(I750="","",I750+J750)</f>
        <v/>
      </c>
      <c r="L750" s="37" t="str">
        <f aca="false">IF(OR(I750="",I750=0,J750=""),"",J750/I750)</f>
        <v/>
      </c>
      <c r="M750" s="25" t="str">
        <f aca="false">IF(L750="","",IF(L750&gt;0.25,"ACRÉSCIMO ACIMA DE 25% — conferir",""))</f>
        <v/>
      </c>
      <c r="N750" s="29" t="str">
        <f aca="false">IF(D750="","",IF(COUNTIFS(Empresas!$B:$B,D750,Empresas!$E:$E,"&lt;&gt;")=0,"",INDEX(Empresas!$E:$E,MATCH(D750,Empresas!$B:$B,0))))</f>
        <v/>
      </c>
      <c r="O750" s="27" t="str">
        <f aca="false">IF(OR(N750="",H750=""),"",H750-N750)</f>
        <v/>
      </c>
      <c r="P750" s="25" t="str">
        <f aca="false">IF(O750="","",IF(O750&lt;0,"CONTRATO ANTERIOR À ABERTURA — conferir datas",IF(O750&lt;180,"EMPRESA ABERTA MENOS DE 6 MESES ANTES","")))</f>
        <v/>
      </c>
      <c r="Q750" s="31" t="str">
        <f aca="false">IF(D750="","",IFERROR(INDEX(Sancoes!$D:$D,MATCH(D750,Sancoes!$C:$C,0)),"não consta"))</f>
        <v/>
      </c>
      <c r="R750" s="25" t="str">
        <f aca="false">IF(OR(D750="",H750=""),"",IF(SUMPRODUCT((Sancoes!$C$5:$C$304=D750)*(Sancoes!$G$5:$G$304&lt;=H750)*(((Sancoes!$H$5:$H$304="")+(Sancoes!$H$5:$H$304&gt;=H750))&gt;0))&gt;0,"SANÇÃO VIGENTE NA DATA — ler tipo e abrangência",""))</f>
        <v/>
      </c>
      <c r="S750" s="24"/>
      <c r="T750" s="11"/>
    </row>
    <row r="751" customFormat="false" ht="15" hidden="false" customHeight="false" outlineLevel="0" collapsed="false">
      <c r="A751" s="11"/>
      <c r="B751" s="24"/>
      <c r="C751" s="24"/>
      <c r="D751" s="31" t="str">
        <f aca="false">IF(C751="","",IF(LEN(UPPER(SUBSTITUTE(SUBSTITUTE(SUBSTITUTE(SUBSTITUTE(TRIM(C751),".",""),"/",""),"-","")," ","")))&lt;14,RIGHT(REPT("0",14)&amp;UPPER(SUBSTITUTE(SUBSTITUTE(SUBSTITUTE(SUBSTITUTE(TRIM(C751),".",""),"/",""),"-","")," ","")),14),UPPER(SUBSTITUTE(SUBSTITUTE(SUBSTITUTE(SUBSTITUTE(TRIM(C751),".",""),"/",""),"-","")," ",""))))</f>
        <v/>
      </c>
      <c r="E751" s="25" t="str">
        <f aca="false">IF(D751="","",IFERROR(INDEX(Empresas!$C:$C,MATCH(D751,Empresas!$B:$B,0)),"cadastre o CNPJ em Empresas"))</f>
        <v/>
      </c>
      <c r="F751" s="11"/>
      <c r="G751" s="23"/>
      <c r="H751" s="22"/>
      <c r="I751" s="35"/>
      <c r="J751" s="35"/>
      <c r="K751" s="36" t="str">
        <f aca="false">IF(I751="","",I751+J751)</f>
        <v/>
      </c>
      <c r="L751" s="37" t="str">
        <f aca="false">IF(OR(I751="",I751=0,J751=""),"",J751/I751)</f>
        <v/>
      </c>
      <c r="M751" s="25" t="str">
        <f aca="false">IF(L751="","",IF(L751&gt;0.25,"ACRÉSCIMO ACIMA DE 25% — conferir",""))</f>
        <v/>
      </c>
      <c r="N751" s="29" t="str">
        <f aca="false">IF(D751="","",IF(COUNTIFS(Empresas!$B:$B,D751,Empresas!$E:$E,"&lt;&gt;")=0,"",INDEX(Empresas!$E:$E,MATCH(D751,Empresas!$B:$B,0))))</f>
        <v/>
      </c>
      <c r="O751" s="27" t="str">
        <f aca="false">IF(OR(N751="",H751=""),"",H751-N751)</f>
        <v/>
      </c>
      <c r="P751" s="25" t="str">
        <f aca="false">IF(O751="","",IF(O751&lt;0,"CONTRATO ANTERIOR À ABERTURA — conferir datas",IF(O751&lt;180,"EMPRESA ABERTA MENOS DE 6 MESES ANTES","")))</f>
        <v/>
      </c>
      <c r="Q751" s="31" t="str">
        <f aca="false">IF(D751="","",IFERROR(INDEX(Sancoes!$D:$D,MATCH(D751,Sancoes!$C:$C,0)),"não consta"))</f>
        <v/>
      </c>
      <c r="R751" s="25" t="str">
        <f aca="false">IF(OR(D751="",H751=""),"",IF(SUMPRODUCT((Sancoes!$C$5:$C$304=D751)*(Sancoes!$G$5:$G$304&lt;=H751)*(((Sancoes!$H$5:$H$304="")+(Sancoes!$H$5:$H$304&gt;=H751))&gt;0))&gt;0,"SANÇÃO VIGENTE NA DATA — ler tipo e abrangência",""))</f>
        <v/>
      </c>
      <c r="S751" s="24"/>
      <c r="T751" s="11"/>
    </row>
    <row r="752" customFormat="false" ht="15" hidden="false" customHeight="false" outlineLevel="0" collapsed="false">
      <c r="A752" s="11"/>
      <c r="B752" s="24"/>
      <c r="C752" s="24"/>
      <c r="D752" s="31" t="str">
        <f aca="false">IF(C752="","",IF(LEN(UPPER(SUBSTITUTE(SUBSTITUTE(SUBSTITUTE(SUBSTITUTE(TRIM(C752),".",""),"/",""),"-","")," ","")))&lt;14,RIGHT(REPT("0",14)&amp;UPPER(SUBSTITUTE(SUBSTITUTE(SUBSTITUTE(SUBSTITUTE(TRIM(C752),".",""),"/",""),"-","")," ","")),14),UPPER(SUBSTITUTE(SUBSTITUTE(SUBSTITUTE(SUBSTITUTE(TRIM(C752),".",""),"/",""),"-","")," ",""))))</f>
        <v/>
      </c>
      <c r="E752" s="25" t="str">
        <f aca="false">IF(D752="","",IFERROR(INDEX(Empresas!$C:$C,MATCH(D752,Empresas!$B:$B,0)),"cadastre o CNPJ em Empresas"))</f>
        <v/>
      </c>
      <c r="F752" s="11"/>
      <c r="G752" s="23"/>
      <c r="H752" s="22"/>
      <c r="I752" s="35"/>
      <c r="J752" s="35"/>
      <c r="K752" s="36" t="str">
        <f aca="false">IF(I752="","",I752+J752)</f>
        <v/>
      </c>
      <c r="L752" s="37" t="str">
        <f aca="false">IF(OR(I752="",I752=0,J752=""),"",J752/I752)</f>
        <v/>
      </c>
      <c r="M752" s="25" t="str">
        <f aca="false">IF(L752="","",IF(L752&gt;0.25,"ACRÉSCIMO ACIMA DE 25% — conferir",""))</f>
        <v/>
      </c>
      <c r="N752" s="29" t="str">
        <f aca="false">IF(D752="","",IF(COUNTIFS(Empresas!$B:$B,D752,Empresas!$E:$E,"&lt;&gt;")=0,"",INDEX(Empresas!$E:$E,MATCH(D752,Empresas!$B:$B,0))))</f>
        <v/>
      </c>
      <c r="O752" s="27" t="str">
        <f aca="false">IF(OR(N752="",H752=""),"",H752-N752)</f>
        <v/>
      </c>
      <c r="P752" s="25" t="str">
        <f aca="false">IF(O752="","",IF(O752&lt;0,"CONTRATO ANTERIOR À ABERTURA — conferir datas",IF(O752&lt;180,"EMPRESA ABERTA MENOS DE 6 MESES ANTES","")))</f>
        <v/>
      </c>
      <c r="Q752" s="31" t="str">
        <f aca="false">IF(D752="","",IFERROR(INDEX(Sancoes!$D:$D,MATCH(D752,Sancoes!$C:$C,0)),"não consta"))</f>
        <v/>
      </c>
      <c r="R752" s="25" t="str">
        <f aca="false">IF(OR(D752="",H752=""),"",IF(SUMPRODUCT((Sancoes!$C$5:$C$304=D752)*(Sancoes!$G$5:$G$304&lt;=H752)*(((Sancoes!$H$5:$H$304="")+(Sancoes!$H$5:$H$304&gt;=H752))&gt;0))&gt;0,"SANÇÃO VIGENTE NA DATA — ler tipo e abrangência",""))</f>
        <v/>
      </c>
      <c r="S752" s="24"/>
      <c r="T752" s="11"/>
    </row>
    <row r="753" customFormat="false" ht="15" hidden="false" customHeight="false" outlineLevel="0" collapsed="false">
      <c r="A753" s="11"/>
      <c r="B753" s="24"/>
      <c r="C753" s="24"/>
      <c r="D753" s="31" t="str">
        <f aca="false">IF(C753="","",IF(LEN(UPPER(SUBSTITUTE(SUBSTITUTE(SUBSTITUTE(SUBSTITUTE(TRIM(C753),".",""),"/",""),"-","")," ","")))&lt;14,RIGHT(REPT("0",14)&amp;UPPER(SUBSTITUTE(SUBSTITUTE(SUBSTITUTE(SUBSTITUTE(TRIM(C753),".",""),"/",""),"-","")," ","")),14),UPPER(SUBSTITUTE(SUBSTITUTE(SUBSTITUTE(SUBSTITUTE(TRIM(C753),".",""),"/",""),"-","")," ",""))))</f>
        <v/>
      </c>
      <c r="E753" s="25" t="str">
        <f aca="false">IF(D753="","",IFERROR(INDEX(Empresas!$C:$C,MATCH(D753,Empresas!$B:$B,0)),"cadastre o CNPJ em Empresas"))</f>
        <v/>
      </c>
      <c r="F753" s="11"/>
      <c r="G753" s="23"/>
      <c r="H753" s="22"/>
      <c r="I753" s="35"/>
      <c r="J753" s="35"/>
      <c r="K753" s="36" t="str">
        <f aca="false">IF(I753="","",I753+J753)</f>
        <v/>
      </c>
      <c r="L753" s="37" t="str">
        <f aca="false">IF(OR(I753="",I753=0,J753=""),"",J753/I753)</f>
        <v/>
      </c>
      <c r="M753" s="25" t="str">
        <f aca="false">IF(L753="","",IF(L753&gt;0.25,"ACRÉSCIMO ACIMA DE 25% — conferir",""))</f>
        <v/>
      </c>
      <c r="N753" s="29" t="str">
        <f aca="false">IF(D753="","",IF(COUNTIFS(Empresas!$B:$B,D753,Empresas!$E:$E,"&lt;&gt;")=0,"",INDEX(Empresas!$E:$E,MATCH(D753,Empresas!$B:$B,0))))</f>
        <v/>
      </c>
      <c r="O753" s="27" t="str">
        <f aca="false">IF(OR(N753="",H753=""),"",H753-N753)</f>
        <v/>
      </c>
      <c r="P753" s="25" t="str">
        <f aca="false">IF(O753="","",IF(O753&lt;0,"CONTRATO ANTERIOR À ABERTURA — conferir datas",IF(O753&lt;180,"EMPRESA ABERTA MENOS DE 6 MESES ANTES","")))</f>
        <v/>
      </c>
      <c r="Q753" s="31" t="str">
        <f aca="false">IF(D753="","",IFERROR(INDEX(Sancoes!$D:$D,MATCH(D753,Sancoes!$C:$C,0)),"não consta"))</f>
        <v/>
      </c>
      <c r="R753" s="25" t="str">
        <f aca="false">IF(OR(D753="",H753=""),"",IF(SUMPRODUCT((Sancoes!$C$5:$C$304=D753)*(Sancoes!$G$5:$G$304&lt;=H753)*(((Sancoes!$H$5:$H$304="")+(Sancoes!$H$5:$H$304&gt;=H753))&gt;0))&gt;0,"SANÇÃO VIGENTE NA DATA — ler tipo e abrangência",""))</f>
        <v/>
      </c>
      <c r="S753" s="24"/>
      <c r="T753" s="11"/>
    </row>
    <row r="754" customFormat="false" ht="15" hidden="false" customHeight="false" outlineLevel="0" collapsed="false">
      <c r="A754" s="11"/>
      <c r="B754" s="24"/>
      <c r="C754" s="24"/>
      <c r="D754" s="31" t="str">
        <f aca="false">IF(C754="","",IF(LEN(UPPER(SUBSTITUTE(SUBSTITUTE(SUBSTITUTE(SUBSTITUTE(TRIM(C754),".",""),"/",""),"-","")," ","")))&lt;14,RIGHT(REPT("0",14)&amp;UPPER(SUBSTITUTE(SUBSTITUTE(SUBSTITUTE(SUBSTITUTE(TRIM(C754),".",""),"/",""),"-","")," ","")),14),UPPER(SUBSTITUTE(SUBSTITUTE(SUBSTITUTE(SUBSTITUTE(TRIM(C754),".",""),"/",""),"-","")," ",""))))</f>
        <v/>
      </c>
      <c r="E754" s="25" t="str">
        <f aca="false">IF(D754="","",IFERROR(INDEX(Empresas!$C:$C,MATCH(D754,Empresas!$B:$B,0)),"cadastre o CNPJ em Empresas"))</f>
        <v/>
      </c>
      <c r="F754" s="11"/>
      <c r="G754" s="23"/>
      <c r="H754" s="22"/>
      <c r="I754" s="35"/>
      <c r="J754" s="35"/>
      <c r="K754" s="36" t="str">
        <f aca="false">IF(I754="","",I754+J754)</f>
        <v/>
      </c>
      <c r="L754" s="37" t="str">
        <f aca="false">IF(OR(I754="",I754=0,J754=""),"",J754/I754)</f>
        <v/>
      </c>
      <c r="M754" s="25" t="str">
        <f aca="false">IF(L754="","",IF(L754&gt;0.25,"ACRÉSCIMO ACIMA DE 25% — conferir",""))</f>
        <v/>
      </c>
      <c r="N754" s="29" t="str">
        <f aca="false">IF(D754="","",IF(COUNTIFS(Empresas!$B:$B,D754,Empresas!$E:$E,"&lt;&gt;")=0,"",INDEX(Empresas!$E:$E,MATCH(D754,Empresas!$B:$B,0))))</f>
        <v/>
      </c>
      <c r="O754" s="27" t="str">
        <f aca="false">IF(OR(N754="",H754=""),"",H754-N754)</f>
        <v/>
      </c>
      <c r="P754" s="25" t="str">
        <f aca="false">IF(O754="","",IF(O754&lt;0,"CONTRATO ANTERIOR À ABERTURA — conferir datas",IF(O754&lt;180,"EMPRESA ABERTA MENOS DE 6 MESES ANTES","")))</f>
        <v/>
      </c>
      <c r="Q754" s="31" t="str">
        <f aca="false">IF(D754="","",IFERROR(INDEX(Sancoes!$D:$D,MATCH(D754,Sancoes!$C:$C,0)),"não consta"))</f>
        <v/>
      </c>
      <c r="R754" s="25" t="str">
        <f aca="false">IF(OR(D754="",H754=""),"",IF(SUMPRODUCT((Sancoes!$C$5:$C$304=D754)*(Sancoes!$G$5:$G$304&lt;=H754)*(((Sancoes!$H$5:$H$304="")+(Sancoes!$H$5:$H$304&gt;=H754))&gt;0))&gt;0,"SANÇÃO VIGENTE NA DATA — ler tipo e abrangência",""))</f>
        <v/>
      </c>
      <c r="S754" s="24"/>
      <c r="T754" s="11"/>
    </row>
    <row r="755" customFormat="false" ht="15" hidden="false" customHeight="false" outlineLevel="0" collapsed="false">
      <c r="A755" s="11"/>
      <c r="B755" s="24"/>
      <c r="C755" s="24"/>
      <c r="D755" s="31" t="str">
        <f aca="false">IF(C755="","",IF(LEN(UPPER(SUBSTITUTE(SUBSTITUTE(SUBSTITUTE(SUBSTITUTE(TRIM(C755),".",""),"/",""),"-","")," ","")))&lt;14,RIGHT(REPT("0",14)&amp;UPPER(SUBSTITUTE(SUBSTITUTE(SUBSTITUTE(SUBSTITUTE(TRIM(C755),".",""),"/",""),"-","")," ","")),14),UPPER(SUBSTITUTE(SUBSTITUTE(SUBSTITUTE(SUBSTITUTE(TRIM(C755),".",""),"/",""),"-","")," ",""))))</f>
        <v/>
      </c>
      <c r="E755" s="25" t="str">
        <f aca="false">IF(D755="","",IFERROR(INDEX(Empresas!$C:$C,MATCH(D755,Empresas!$B:$B,0)),"cadastre o CNPJ em Empresas"))</f>
        <v/>
      </c>
      <c r="F755" s="11"/>
      <c r="G755" s="23"/>
      <c r="H755" s="22"/>
      <c r="I755" s="35"/>
      <c r="J755" s="35"/>
      <c r="K755" s="36" t="str">
        <f aca="false">IF(I755="","",I755+J755)</f>
        <v/>
      </c>
      <c r="L755" s="37" t="str">
        <f aca="false">IF(OR(I755="",I755=0,J755=""),"",J755/I755)</f>
        <v/>
      </c>
      <c r="M755" s="25" t="str">
        <f aca="false">IF(L755="","",IF(L755&gt;0.25,"ACRÉSCIMO ACIMA DE 25% — conferir",""))</f>
        <v/>
      </c>
      <c r="N755" s="29" t="str">
        <f aca="false">IF(D755="","",IF(COUNTIFS(Empresas!$B:$B,D755,Empresas!$E:$E,"&lt;&gt;")=0,"",INDEX(Empresas!$E:$E,MATCH(D755,Empresas!$B:$B,0))))</f>
        <v/>
      </c>
      <c r="O755" s="27" t="str">
        <f aca="false">IF(OR(N755="",H755=""),"",H755-N755)</f>
        <v/>
      </c>
      <c r="P755" s="25" t="str">
        <f aca="false">IF(O755="","",IF(O755&lt;0,"CONTRATO ANTERIOR À ABERTURA — conferir datas",IF(O755&lt;180,"EMPRESA ABERTA MENOS DE 6 MESES ANTES","")))</f>
        <v/>
      </c>
      <c r="Q755" s="31" t="str">
        <f aca="false">IF(D755="","",IFERROR(INDEX(Sancoes!$D:$D,MATCH(D755,Sancoes!$C:$C,0)),"não consta"))</f>
        <v/>
      </c>
      <c r="R755" s="25" t="str">
        <f aca="false">IF(OR(D755="",H755=""),"",IF(SUMPRODUCT((Sancoes!$C$5:$C$304=D755)*(Sancoes!$G$5:$G$304&lt;=H755)*(((Sancoes!$H$5:$H$304="")+(Sancoes!$H$5:$H$304&gt;=H755))&gt;0))&gt;0,"SANÇÃO VIGENTE NA DATA — ler tipo e abrangência",""))</f>
        <v/>
      </c>
      <c r="S755" s="24"/>
      <c r="T755" s="11"/>
    </row>
    <row r="756" customFormat="false" ht="15" hidden="false" customHeight="false" outlineLevel="0" collapsed="false">
      <c r="A756" s="11"/>
      <c r="B756" s="24"/>
      <c r="C756" s="24"/>
      <c r="D756" s="31" t="str">
        <f aca="false">IF(C756="","",IF(LEN(UPPER(SUBSTITUTE(SUBSTITUTE(SUBSTITUTE(SUBSTITUTE(TRIM(C756),".",""),"/",""),"-","")," ","")))&lt;14,RIGHT(REPT("0",14)&amp;UPPER(SUBSTITUTE(SUBSTITUTE(SUBSTITUTE(SUBSTITUTE(TRIM(C756),".",""),"/",""),"-","")," ","")),14),UPPER(SUBSTITUTE(SUBSTITUTE(SUBSTITUTE(SUBSTITUTE(TRIM(C756),".",""),"/",""),"-","")," ",""))))</f>
        <v/>
      </c>
      <c r="E756" s="25" t="str">
        <f aca="false">IF(D756="","",IFERROR(INDEX(Empresas!$C:$C,MATCH(D756,Empresas!$B:$B,0)),"cadastre o CNPJ em Empresas"))</f>
        <v/>
      </c>
      <c r="F756" s="11"/>
      <c r="G756" s="23"/>
      <c r="H756" s="22"/>
      <c r="I756" s="35"/>
      <c r="J756" s="35"/>
      <c r="K756" s="36" t="str">
        <f aca="false">IF(I756="","",I756+J756)</f>
        <v/>
      </c>
      <c r="L756" s="37" t="str">
        <f aca="false">IF(OR(I756="",I756=0,J756=""),"",J756/I756)</f>
        <v/>
      </c>
      <c r="M756" s="25" t="str">
        <f aca="false">IF(L756="","",IF(L756&gt;0.25,"ACRÉSCIMO ACIMA DE 25% — conferir",""))</f>
        <v/>
      </c>
      <c r="N756" s="29" t="str">
        <f aca="false">IF(D756="","",IF(COUNTIFS(Empresas!$B:$B,D756,Empresas!$E:$E,"&lt;&gt;")=0,"",INDEX(Empresas!$E:$E,MATCH(D756,Empresas!$B:$B,0))))</f>
        <v/>
      </c>
      <c r="O756" s="27" t="str">
        <f aca="false">IF(OR(N756="",H756=""),"",H756-N756)</f>
        <v/>
      </c>
      <c r="P756" s="25" t="str">
        <f aca="false">IF(O756="","",IF(O756&lt;0,"CONTRATO ANTERIOR À ABERTURA — conferir datas",IF(O756&lt;180,"EMPRESA ABERTA MENOS DE 6 MESES ANTES","")))</f>
        <v/>
      </c>
      <c r="Q756" s="31" t="str">
        <f aca="false">IF(D756="","",IFERROR(INDEX(Sancoes!$D:$D,MATCH(D756,Sancoes!$C:$C,0)),"não consta"))</f>
        <v/>
      </c>
      <c r="R756" s="25" t="str">
        <f aca="false">IF(OR(D756="",H756=""),"",IF(SUMPRODUCT((Sancoes!$C$5:$C$304=D756)*(Sancoes!$G$5:$G$304&lt;=H756)*(((Sancoes!$H$5:$H$304="")+(Sancoes!$H$5:$H$304&gt;=H756))&gt;0))&gt;0,"SANÇÃO VIGENTE NA DATA — ler tipo e abrangência",""))</f>
        <v/>
      </c>
      <c r="S756" s="24"/>
      <c r="T756" s="11"/>
    </row>
    <row r="757" customFormat="false" ht="15" hidden="false" customHeight="false" outlineLevel="0" collapsed="false">
      <c r="A757" s="11"/>
      <c r="B757" s="24"/>
      <c r="C757" s="24"/>
      <c r="D757" s="31" t="str">
        <f aca="false">IF(C757="","",IF(LEN(UPPER(SUBSTITUTE(SUBSTITUTE(SUBSTITUTE(SUBSTITUTE(TRIM(C757),".",""),"/",""),"-","")," ","")))&lt;14,RIGHT(REPT("0",14)&amp;UPPER(SUBSTITUTE(SUBSTITUTE(SUBSTITUTE(SUBSTITUTE(TRIM(C757),".",""),"/",""),"-","")," ","")),14),UPPER(SUBSTITUTE(SUBSTITUTE(SUBSTITUTE(SUBSTITUTE(TRIM(C757),".",""),"/",""),"-","")," ",""))))</f>
        <v/>
      </c>
      <c r="E757" s="25" t="str">
        <f aca="false">IF(D757="","",IFERROR(INDEX(Empresas!$C:$C,MATCH(D757,Empresas!$B:$B,0)),"cadastre o CNPJ em Empresas"))</f>
        <v/>
      </c>
      <c r="F757" s="11"/>
      <c r="G757" s="23"/>
      <c r="H757" s="22"/>
      <c r="I757" s="35"/>
      <c r="J757" s="35"/>
      <c r="K757" s="36" t="str">
        <f aca="false">IF(I757="","",I757+J757)</f>
        <v/>
      </c>
      <c r="L757" s="37" t="str">
        <f aca="false">IF(OR(I757="",I757=0,J757=""),"",J757/I757)</f>
        <v/>
      </c>
      <c r="M757" s="25" t="str">
        <f aca="false">IF(L757="","",IF(L757&gt;0.25,"ACRÉSCIMO ACIMA DE 25% — conferir",""))</f>
        <v/>
      </c>
      <c r="N757" s="29" t="str">
        <f aca="false">IF(D757="","",IF(COUNTIFS(Empresas!$B:$B,D757,Empresas!$E:$E,"&lt;&gt;")=0,"",INDEX(Empresas!$E:$E,MATCH(D757,Empresas!$B:$B,0))))</f>
        <v/>
      </c>
      <c r="O757" s="27" t="str">
        <f aca="false">IF(OR(N757="",H757=""),"",H757-N757)</f>
        <v/>
      </c>
      <c r="P757" s="25" t="str">
        <f aca="false">IF(O757="","",IF(O757&lt;0,"CONTRATO ANTERIOR À ABERTURA — conferir datas",IF(O757&lt;180,"EMPRESA ABERTA MENOS DE 6 MESES ANTES","")))</f>
        <v/>
      </c>
      <c r="Q757" s="31" t="str">
        <f aca="false">IF(D757="","",IFERROR(INDEX(Sancoes!$D:$D,MATCH(D757,Sancoes!$C:$C,0)),"não consta"))</f>
        <v/>
      </c>
      <c r="R757" s="25" t="str">
        <f aca="false">IF(OR(D757="",H757=""),"",IF(SUMPRODUCT((Sancoes!$C$5:$C$304=D757)*(Sancoes!$G$5:$G$304&lt;=H757)*(((Sancoes!$H$5:$H$304="")+(Sancoes!$H$5:$H$304&gt;=H757))&gt;0))&gt;0,"SANÇÃO VIGENTE NA DATA — ler tipo e abrangência",""))</f>
        <v/>
      </c>
      <c r="S757" s="24"/>
      <c r="T757" s="11"/>
    </row>
    <row r="758" customFormat="false" ht="15" hidden="false" customHeight="false" outlineLevel="0" collapsed="false">
      <c r="A758" s="11"/>
      <c r="B758" s="24"/>
      <c r="C758" s="24"/>
      <c r="D758" s="31" t="str">
        <f aca="false">IF(C758="","",IF(LEN(UPPER(SUBSTITUTE(SUBSTITUTE(SUBSTITUTE(SUBSTITUTE(TRIM(C758),".",""),"/",""),"-","")," ","")))&lt;14,RIGHT(REPT("0",14)&amp;UPPER(SUBSTITUTE(SUBSTITUTE(SUBSTITUTE(SUBSTITUTE(TRIM(C758),".",""),"/",""),"-","")," ","")),14),UPPER(SUBSTITUTE(SUBSTITUTE(SUBSTITUTE(SUBSTITUTE(TRIM(C758),".",""),"/",""),"-","")," ",""))))</f>
        <v/>
      </c>
      <c r="E758" s="25" t="str">
        <f aca="false">IF(D758="","",IFERROR(INDEX(Empresas!$C:$C,MATCH(D758,Empresas!$B:$B,0)),"cadastre o CNPJ em Empresas"))</f>
        <v/>
      </c>
      <c r="F758" s="11"/>
      <c r="G758" s="23"/>
      <c r="H758" s="22"/>
      <c r="I758" s="35"/>
      <c r="J758" s="35"/>
      <c r="K758" s="36" t="str">
        <f aca="false">IF(I758="","",I758+J758)</f>
        <v/>
      </c>
      <c r="L758" s="37" t="str">
        <f aca="false">IF(OR(I758="",I758=0,J758=""),"",J758/I758)</f>
        <v/>
      </c>
      <c r="M758" s="25" t="str">
        <f aca="false">IF(L758="","",IF(L758&gt;0.25,"ACRÉSCIMO ACIMA DE 25% — conferir",""))</f>
        <v/>
      </c>
      <c r="N758" s="29" t="str">
        <f aca="false">IF(D758="","",IF(COUNTIFS(Empresas!$B:$B,D758,Empresas!$E:$E,"&lt;&gt;")=0,"",INDEX(Empresas!$E:$E,MATCH(D758,Empresas!$B:$B,0))))</f>
        <v/>
      </c>
      <c r="O758" s="27" t="str">
        <f aca="false">IF(OR(N758="",H758=""),"",H758-N758)</f>
        <v/>
      </c>
      <c r="P758" s="25" t="str">
        <f aca="false">IF(O758="","",IF(O758&lt;0,"CONTRATO ANTERIOR À ABERTURA — conferir datas",IF(O758&lt;180,"EMPRESA ABERTA MENOS DE 6 MESES ANTES","")))</f>
        <v/>
      </c>
      <c r="Q758" s="31" t="str">
        <f aca="false">IF(D758="","",IFERROR(INDEX(Sancoes!$D:$D,MATCH(D758,Sancoes!$C:$C,0)),"não consta"))</f>
        <v/>
      </c>
      <c r="R758" s="25" t="str">
        <f aca="false">IF(OR(D758="",H758=""),"",IF(SUMPRODUCT((Sancoes!$C$5:$C$304=D758)*(Sancoes!$G$5:$G$304&lt;=H758)*(((Sancoes!$H$5:$H$304="")+(Sancoes!$H$5:$H$304&gt;=H758))&gt;0))&gt;0,"SANÇÃO VIGENTE NA DATA — ler tipo e abrangência",""))</f>
        <v/>
      </c>
      <c r="S758" s="24"/>
      <c r="T758" s="11"/>
    </row>
    <row r="759" customFormat="false" ht="15" hidden="false" customHeight="false" outlineLevel="0" collapsed="false">
      <c r="A759" s="11"/>
      <c r="B759" s="24"/>
      <c r="C759" s="24"/>
      <c r="D759" s="31" t="str">
        <f aca="false">IF(C759="","",IF(LEN(UPPER(SUBSTITUTE(SUBSTITUTE(SUBSTITUTE(SUBSTITUTE(TRIM(C759),".",""),"/",""),"-","")," ","")))&lt;14,RIGHT(REPT("0",14)&amp;UPPER(SUBSTITUTE(SUBSTITUTE(SUBSTITUTE(SUBSTITUTE(TRIM(C759),".",""),"/",""),"-","")," ","")),14),UPPER(SUBSTITUTE(SUBSTITUTE(SUBSTITUTE(SUBSTITUTE(TRIM(C759),".",""),"/",""),"-","")," ",""))))</f>
        <v/>
      </c>
      <c r="E759" s="25" t="str">
        <f aca="false">IF(D759="","",IFERROR(INDEX(Empresas!$C:$C,MATCH(D759,Empresas!$B:$B,0)),"cadastre o CNPJ em Empresas"))</f>
        <v/>
      </c>
      <c r="F759" s="11"/>
      <c r="G759" s="23"/>
      <c r="H759" s="22"/>
      <c r="I759" s="35"/>
      <c r="J759" s="35"/>
      <c r="K759" s="36" t="str">
        <f aca="false">IF(I759="","",I759+J759)</f>
        <v/>
      </c>
      <c r="L759" s="37" t="str">
        <f aca="false">IF(OR(I759="",I759=0,J759=""),"",J759/I759)</f>
        <v/>
      </c>
      <c r="M759" s="25" t="str">
        <f aca="false">IF(L759="","",IF(L759&gt;0.25,"ACRÉSCIMO ACIMA DE 25% — conferir",""))</f>
        <v/>
      </c>
      <c r="N759" s="29" t="str">
        <f aca="false">IF(D759="","",IF(COUNTIFS(Empresas!$B:$B,D759,Empresas!$E:$E,"&lt;&gt;")=0,"",INDEX(Empresas!$E:$E,MATCH(D759,Empresas!$B:$B,0))))</f>
        <v/>
      </c>
      <c r="O759" s="27" t="str">
        <f aca="false">IF(OR(N759="",H759=""),"",H759-N759)</f>
        <v/>
      </c>
      <c r="P759" s="25" t="str">
        <f aca="false">IF(O759="","",IF(O759&lt;0,"CONTRATO ANTERIOR À ABERTURA — conferir datas",IF(O759&lt;180,"EMPRESA ABERTA MENOS DE 6 MESES ANTES","")))</f>
        <v/>
      </c>
      <c r="Q759" s="31" t="str">
        <f aca="false">IF(D759="","",IFERROR(INDEX(Sancoes!$D:$D,MATCH(D759,Sancoes!$C:$C,0)),"não consta"))</f>
        <v/>
      </c>
      <c r="R759" s="25" t="str">
        <f aca="false">IF(OR(D759="",H759=""),"",IF(SUMPRODUCT((Sancoes!$C$5:$C$304=D759)*(Sancoes!$G$5:$G$304&lt;=H759)*(((Sancoes!$H$5:$H$304="")+(Sancoes!$H$5:$H$304&gt;=H759))&gt;0))&gt;0,"SANÇÃO VIGENTE NA DATA — ler tipo e abrangência",""))</f>
        <v/>
      </c>
      <c r="S759" s="24"/>
      <c r="T759" s="11"/>
    </row>
    <row r="760" customFormat="false" ht="15" hidden="false" customHeight="false" outlineLevel="0" collapsed="false">
      <c r="A760" s="11"/>
      <c r="B760" s="24"/>
      <c r="C760" s="24"/>
      <c r="D760" s="31" t="str">
        <f aca="false">IF(C760="","",IF(LEN(UPPER(SUBSTITUTE(SUBSTITUTE(SUBSTITUTE(SUBSTITUTE(TRIM(C760),".",""),"/",""),"-","")," ","")))&lt;14,RIGHT(REPT("0",14)&amp;UPPER(SUBSTITUTE(SUBSTITUTE(SUBSTITUTE(SUBSTITUTE(TRIM(C760),".",""),"/",""),"-","")," ","")),14),UPPER(SUBSTITUTE(SUBSTITUTE(SUBSTITUTE(SUBSTITUTE(TRIM(C760),".",""),"/",""),"-","")," ",""))))</f>
        <v/>
      </c>
      <c r="E760" s="25" t="str">
        <f aca="false">IF(D760="","",IFERROR(INDEX(Empresas!$C:$C,MATCH(D760,Empresas!$B:$B,0)),"cadastre o CNPJ em Empresas"))</f>
        <v/>
      </c>
      <c r="F760" s="11"/>
      <c r="G760" s="23"/>
      <c r="H760" s="22"/>
      <c r="I760" s="35"/>
      <c r="J760" s="35"/>
      <c r="K760" s="36" t="str">
        <f aca="false">IF(I760="","",I760+J760)</f>
        <v/>
      </c>
      <c r="L760" s="37" t="str">
        <f aca="false">IF(OR(I760="",I760=0,J760=""),"",J760/I760)</f>
        <v/>
      </c>
      <c r="M760" s="25" t="str">
        <f aca="false">IF(L760="","",IF(L760&gt;0.25,"ACRÉSCIMO ACIMA DE 25% — conferir",""))</f>
        <v/>
      </c>
      <c r="N760" s="29" t="str">
        <f aca="false">IF(D760="","",IF(COUNTIFS(Empresas!$B:$B,D760,Empresas!$E:$E,"&lt;&gt;")=0,"",INDEX(Empresas!$E:$E,MATCH(D760,Empresas!$B:$B,0))))</f>
        <v/>
      </c>
      <c r="O760" s="27" t="str">
        <f aca="false">IF(OR(N760="",H760=""),"",H760-N760)</f>
        <v/>
      </c>
      <c r="P760" s="25" t="str">
        <f aca="false">IF(O760="","",IF(O760&lt;0,"CONTRATO ANTERIOR À ABERTURA — conferir datas",IF(O760&lt;180,"EMPRESA ABERTA MENOS DE 6 MESES ANTES","")))</f>
        <v/>
      </c>
      <c r="Q760" s="31" t="str">
        <f aca="false">IF(D760="","",IFERROR(INDEX(Sancoes!$D:$D,MATCH(D760,Sancoes!$C:$C,0)),"não consta"))</f>
        <v/>
      </c>
      <c r="R760" s="25" t="str">
        <f aca="false">IF(OR(D760="",H760=""),"",IF(SUMPRODUCT((Sancoes!$C$5:$C$304=D760)*(Sancoes!$G$5:$G$304&lt;=H760)*(((Sancoes!$H$5:$H$304="")+(Sancoes!$H$5:$H$304&gt;=H760))&gt;0))&gt;0,"SANÇÃO VIGENTE NA DATA — ler tipo e abrangência",""))</f>
        <v/>
      </c>
      <c r="S760" s="24"/>
      <c r="T760" s="11"/>
    </row>
    <row r="761" customFormat="false" ht="15" hidden="false" customHeight="false" outlineLevel="0" collapsed="false">
      <c r="A761" s="11"/>
      <c r="B761" s="24"/>
      <c r="C761" s="24"/>
      <c r="D761" s="31" t="str">
        <f aca="false">IF(C761="","",IF(LEN(UPPER(SUBSTITUTE(SUBSTITUTE(SUBSTITUTE(SUBSTITUTE(TRIM(C761),".",""),"/",""),"-","")," ","")))&lt;14,RIGHT(REPT("0",14)&amp;UPPER(SUBSTITUTE(SUBSTITUTE(SUBSTITUTE(SUBSTITUTE(TRIM(C761),".",""),"/",""),"-","")," ","")),14),UPPER(SUBSTITUTE(SUBSTITUTE(SUBSTITUTE(SUBSTITUTE(TRIM(C761),".",""),"/",""),"-","")," ",""))))</f>
        <v/>
      </c>
      <c r="E761" s="25" t="str">
        <f aca="false">IF(D761="","",IFERROR(INDEX(Empresas!$C:$C,MATCH(D761,Empresas!$B:$B,0)),"cadastre o CNPJ em Empresas"))</f>
        <v/>
      </c>
      <c r="F761" s="11"/>
      <c r="G761" s="23"/>
      <c r="H761" s="22"/>
      <c r="I761" s="35"/>
      <c r="J761" s="35"/>
      <c r="K761" s="36" t="str">
        <f aca="false">IF(I761="","",I761+J761)</f>
        <v/>
      </c>
      <c r="L761" s="37" t="str">
        <f aca="false">IF(OR(I761="",I761=0,J761=""),"",J761/I761)</f>
        <v/>
      </c>
      <c r="M761" s="25" t="str">
        <f aca="false">IF(L761="","",IF(L761&gt;0.25,"ACRÉSCIMO ACIMA DE 25% — conferir",""))</f>
        <v/>
      </c>
      <c r="N761" s="29" t="str">
        <f aca="false">IF(D761="","",IF(COUNTIFS(Empresas!$B:$B,D761,Empresas!$E:$E,"&lt;&gt;")=0,"",INDEX(Empresas!$E:$E,MATCH(D761,Empresas!$B:$B,0))))</f>
        <v/>
      </c>
      <c r="O761" s="27" t="str">
        <f aca="false">IF(OR(N761="",H761=""),"",H761-N761)</f>
        <v/>
      </c>
      <c r="P761" s="25" t="str">
        <f aca="false">IF(O761="","",IF(O761&lt;0,"CONTRATO ANTERIOR À ABERTURA — conferir datas",IF(O761&lt;180,"EMPRESA ABERTA MENOS DE 6 MESES ANTES","")))</f>
        <v/>
      </c>
      <c r="Q761" s="31" t="str">
        <f aca="false">IF(D761="","",IFERROR(INDEX(Sancoes!$D:$D,MATCH(D761,Sancoes!$C:$C,0)),"não consta"))</f>
        <v/>
      </c>
      <c r="R761" s="25" t="str">
        <f aca="false">IF(OR(D761="",H761=""),"",IF(SUMPRODUCT((Sancoes!$C$5:$C$304=D761)*(Sancoes!$G$5:$G$304&lt;=H761)*(((Sancoes!$H$5:$H$304="")+(Sancoes!$H$5:$H$304&gt;=H761))&gt;0))&gt;0,"SANÇÃO VIGENTE NA DATA — ler tipo e abrangência",""))</f>
        <v/>
      </c>
      <c r="S761" s="24"/>
      <c r="T761" s="11"/>
    </row>
    <row r="762" customFormat="false" ht="15" hidden="false" customHeight="false" outlineLevel="0" collapsed="false">
      <c r="A762" s="11"/>
      <c r="B762" s="24"/>
      <c r="C762" s="24"/>
      <c r="D762" s="31" t="str">
        <f aca="false">IF(C762="","",IF(LEN(UPPER(SUBSTITUTE(SUBSTITUTE(SUBSTITUTE(SUBSTITUTE(TRIM(C762),".",""),"/",""),"-","")," ","")))&lt;14,RIGHT(REPT("0",14)&amp;UPPER(SUBSTITUTE(SUBSTITUTE(SUBSTITUTE(SUBSTITUTE(TRIM(C762),".",""),"/",""),"-","")," ","")),14),UPPER(SUBSTITUTE(SUBSTITUTE(SUBSTITUTE(SUBSTITUTE(TRIM(C762),".",""),"/",""),"-","")," ",""))))</f>
        <v/>
      </c>
      <c r="E762" s="25" t="str">
        <f aca="false">IF(D762="","",IFERROR(INDEX(Empresas!$C:$C,MATCH(D762,Empresas!$B:$B,0)),"cadastre o CNPJ em Empresas"))</f>
        <v/>
      </c>
      <c r="F762" s="11"/>
      <c r="G762" s="23"/>
      <c r="H762" s="22"/>
      <c r="I762" s="35"/>
      <c r="J762" s="35"/>
      <c r="K762" s="36" t="str">
        <f aca="false">IF(I762="","",I762+J762)</f>
        <v/>
      </c>
      <c r="L762" s="37" t="str">
        <f aca="false">IF(OR(I762="",I762=0,J762=""),"",J762/I762)</f>
        <v/>
      </c>
      <c r="M762" s="25" t="str">
        <f aca="false">IF(L762="","",IF(L762&gt;0.25,"ACRÉSCIMO ACIMA DE 25% — conferir",""))</f>
        <v/>
      </c>
      <c r="N762" s="29" t="str">
        <f aca="false">IF(D762="","",IF(COUNTIFS(Empresas!$B:$B,D762,Empresas!$E:$E,"&lt;&gt;")=0,"",INDEX(Empresas!$E:$E,MATCH(D762,Empresas!$B:$B,0))))</f>
        <v/>
      </c>
      <c r="O762" s="27" t="str">
        <f aca="false">IF(OR(N762="",H762=""),"",H762-N762)</f>
        <v/>
      </c>
      <c r="P762" s="25" t="str">
        <f aca="false">IF(O762="","",IF(O762&lt;0,"CONTRATO ANTERIOR À ABERTURA — conferir datas",IF(O762&lt;180,"EMPRESA ABERTA MENOS DE 6 MESES ANTES","")))</f>
        <v/>
      </c>
      <c r="Q762" s="31" t="str">
        <f aca="false">IF(D762="","",IFERROR(INDEX(Sancoes!$D:$D,MATCH(D762,Sancoes!$C:$C,0)),"não consta"))</f>
        <v/>
      </c>
      <c r="R762" s="25" t="str">
        <f aca="false">IF(OR(D762="",H762=""),"",IF(SUMPRODUCT((Sancoes!$C$5:$C$304=D762)*(Sancoes!$G$5:$G$304&lt;=H762)*(((Sancoes!$H$5:$H$304="")+(Sancoes!$H$5:$H$304&gt;=H762))&gt;0))&gt;0,"SANÇÃO VIGENTE NA DATA — ler tipo e abrangência",""))</f>
        <v/>
      </c>
      <c r="S762" s="24"/>
      <c r="T762" s="11"/>
    </row>
    <row r="763" customFormat="false" ht="15" hidden="false" customHeight="false" outlineLevel="0" collapsed="false">
      <c r="A763" s="11"/>
      <c r="B763" s="24"/>
      <c r="C763" s="24"/>
      <c r="D763" s="31" t="str">
        <f aca="false">IF(C763="","",IF(LEN(UPPER(SUBSTITUTE(SUBSTITUTE(SUBSTITUTE(SUBSTITUTE(TRIM(C763),".",""),"/",""),"-","")," ","")))&lt;14,RIGHT(REPT("0",14)&amp;UPPER(SUBSTITUTE(SUBSTITUTE(SUBSTITUTE(SUBSTITUTE(TRIM(C763),".",""),"/",""),"-","")," ","")),14),UPPER(SUBSTITUTE(SUBSTITUTE(SUBSTITUTE(SUBSTITUTE(TRIM(C763),".",""),"/",""),"-","")," ",""))))</f>
        <v/>
      </c>
      <c r="E763" s="25" t="str">
        <f aca="false">IF(D763="","",IFERROR(INDEX(Empresas!$C:$C,MATCH(D763,Empresas!$B:$B,0)),"cadastre o CNPJ em Empresas"))</f>
        <v/>
      </c>
      <c r="F763" s="11"/>
      <c r="G763" s="23"/>
      <c r="H763" s="22"/>
      <c r="I763" s="35"/>
      <c r="J763" s="35"/>
      <c r="K763" s="36" t="str">
        <f aca="false">IF(I763="","",I763+J763)</f>
        <v/>
      </c>
      <c r="L763" s="37" t="str">
        <f aca="false">IF(OR(I763="",I763=0,J763=""),"",J763/I763)</f>
        <v/>
      </c>
      <c r="M763" s="25" t="str">
        <f aca="false">IF(L763="","",IF(L763&gt;0.25,"ACRÉSCIMO ACIMA DE 25% — conferir",""))</f>
        <v/>
      </c>
      <c r="N763" s="29" t="str">
        <f aca="false">IF(D763="","",IF(COUNTIFS(Empresas!$B:$B,D763,Empresas!$E:$E,"&lt;&gt;")=0,"",INDEX(Empresas!$E:$E,MATCH(D763,Empresas!$B:$B,0))))</f>
        <v/>
      </c>
      <c r="O763" s="27" t="str">
        <f aca="false">IF(OR(N763="",H763=""),"",H763-N763)</f>
        <v/>
      </c>
      <c r="P763" s="25" t="str">
        <f aca="false">IF(O763="","",IF(O763&lt;0,"CONTRATO ANTERIOR À ABERTURA — conferir datas",IF(O763&lt;180,"EMPRESA ABERTA MENOS DE 6 MESES ANTES","")))</f>
        <v/>
      </c>
      <c r="Q763" s="31" t="str">
        <f aca="false">IF(D763="","",IFERROR(INDEX(Sancoes!$D:$D,MATCH(D763,Sancoes!$C:$C,0)),"não consta"))</f>
        <v/>
      </c>
      <c r="R763" s="25" t="str">
        <f aca="false">IF(OR(D763="",H763=""),"",IF(SUMPRODUCT((Sancoes!$C$5:$C$304=D763)*(Sancoes!$G$5:$G$304&lt;=H763)*(((Sancoes!$H$5:$H$304="")+(Sancoes!$H$5:$H$304&gt;=H763))&gt;0))&gt;0,"SANÇÃO VIGENTE NA DATA — ler tipo e abrangência",""))</f>
        <v/>
      </c>
      <c r="S763" s="24"/>
      <c r="T763" s="11"/>
    </row>
    <row r="764" customFormat="false" ht="15" hidden="false" customHeight="false" outlineLevel="0" collapsed="false">
      <c r="A764" s="11"/>
      <c r="B764" s="24"/>
      <c r="C764" s="24"/>
      <c r="D764" s="31" t="str">
        <f aca="false">IF(C764="","",IF(LEN(UPPER(SUBSTITUTE(SUBSTITUTE(SUBSTITUTE(SUBSTITUTE(TRIM(C764),".",""),"/",""),"-","")," ","")))&lt;14,RIGHT(REPT("0",14)&amp;UPPER(SUBSTITUTE(SUBSTITUTE(SUBSTITUTE(SUBSTITUTE(TRIM(C764),".",""),"/",""),"-","")," ","")),14),UPPER(SUBSTITUTE(SUBSTITUTE(SUBSTITUTE(SUBSTITUTE(TRIM(C764),".",""),"/",""),"-","")," ",""))))</f>
        <v/>
      </c>
      <c r="E764" s="25" t="str">
        <f aca="false">IF(D764="","",IFERROR(INDEX(Empresas!$C:$C,MATCH(D764,Empresas!$B:$B,0)),"cadastre o CNPJ em Empresas"))</f>
        <v/>
      </c>
      <c r="F764" s="11"/>
      <c r="G764" s="23"/>
      <c r="H764" s="22"/>
      <c r="I764" s="35"/>
      <c r="J764" s="35"/>
      <c r="K764" s="36" t="str">
        <f aca="false">IF(I764="","",I764+J764)</f>
        <v/>
      </c>
      <c r="L764" s="37" t="str">
        <f aca="false">IF(OR(I764="",I764=0,J764=""),"",J764/I764)</f>
        <v/>
      </c>
      <c r="M764" s="25" t="str">
        <f aca="false">IF(L764="","",IF(L764&gt;0.25,"ACRÉSCIMO ACIMA DE 25% — conferir",""))</f>
        <v/>
      </c>
      <c r="N764" s="29" t="str">
        <f aca="false">IF(D764="","",IF(COUNTIFS(Empresas!$B:$B,D764,Empresas!$E:$E,"&lt;&gt;")=0,"",INDEX(Empresas!$E:$E,MATCH(D764,Empresas!$B:$B,0))))</f>
        <v/>
      </c>
      <c r="O764" s="27" t="str">
        <f aca="false">IF(OR(N764="",H764=""),"",H764-N764)</f>
        <v/>
      </c>
      <c r="P764" s="25" t="str">
        <f aca="false">IF(O764="","",IF(O764&lt;0,"CONTRATO ANTERIOR À ABERTURA — conferir datas",IF(O764&lt;180,"EMPRESA ABERTA MENOS DE 6 MESES ANTES","")))</f>
        <v/>
      </c>
      <c r="Q764" s="31" t="str">
        <f aca="false">IF(D764="","",IFERROR(INDEX(Sancoes!$D:$D,MATCH(D764,Sancoes!$C:$C,0)),"não consta"))</f>
        <v/>
      </c>
      <c r="R764" s="25" t="str">
        <f aca="false">IF(OR(D764="",H764=""),"",IF(SUMPRODUCT((Sancoes!$C$5:$C$304=D764)*(Sancoes!$G$5:$G$304&lt;=H764)*(((Sancoes!$H$5:$H$304="")+(Sancoes!$H$5:$H$304&gt;=H764))&gt;0))&gt;0,"SANÇÃO VIGENTE NA DATA — ler tipo e abrangência",""))</f>
        <v/>
      </c>
      <c r="S764" s="24"/>
      <c r="T764" s="11"/>
    </row>
    <row r="765" customFormat="false" ht="15" hidden="false" customHeight="false" outlineLevel="0" collapsed="false">
      <c r="A765" s="11"/>
      <c r="B765" s="24"/>
      <c r="C765" s="24"/>
      <c r="D765" s="31" t="str">
        <f aca="false">IF(C765="","",IF(LEN(UPPER(SUBSTITUTE(SUBSTITUTE(SUBSTITUTE(SUBSTITUTE(TRIM(C765),".",""),"/",""),"-","")," ","")))&lt;14,RIGHT(REPT("0",14)&amp;UPPER(SUBSTITUTE(SUBSTITUTE(SUBSTITUTE(SUBSTITUTE(TRIM(C765),".",""),"/",""),"-","")," ","")),14),UPPER(SUBSTITUTE(SUBSTITUTE(SUBSTITUTE(SUBSTITUTE(TRIM(C765),".",""),"/",""),"-","")," ",""))))</f>
        <v/>
      </c>
      <c r="E765" s="25" t="str">
        <f aca="false">IF(D765="","",IFERROR(INDEX(Empresas!$C:$C,MATCH(D765,Empresas!$B:$B,0)),"cadastre o CNPJ em Empresas"))</f>
        <v/>
      </c>
      <c r="F765" s="11"/>
      <c r="G765" s="23"/>
      <c r="H765" s="22"/>
      <c r="I765" s="35"/>
      <c r="J765" s="35"/>
      <c r="K765" s="36" t="str">
        <f aca="false">IF(I765="","",I765+J765)</f>
        <v/>
      </c>
      <c r="L765" s="37" t="str">
        <f aca="false">IF(OR(I765="",I765=0,J765=""),"",J765/I765)</f>
        <v/>
      </c>
      <c r="M765" s="25" t="str">
        <f aca="false">IF(L765="","",IF(L765&gt;0.25,"ACRÉSCIMO ACIMA DE 25% — conferir",""))</f>
        <v/>
      </c>
      <c r="N765" s="29" t="str">
        <f aca="false">IF(D765="","",IF(COUNTIFS(Empresas!$B:$B,D765,Empresas!$E:$E,"&lt;&gt;")=0,"",INDEX(Empresas!$E:$E,MATCH(D765,Empresas!$B:$B,0))))</f>
        <v/>
      </c>
      <c r="O765" s="27" t="str">
        <f aca="false">IF(OR(N765="",H765=""),"",H765-N765)</f>
        <v/>
      </c>
      <c r="P765" s="25" t="str">
        <f aca="false">IF(O765="","",IF(O765&lt;0,"CONTRATO ANTERIOR À ABERTURA — conferir datas",IF(O765&lt;180,"EMPRESA ABERTA MENOS DE 6 MESES ANTES","")))</f>
        <v/>
      </c>
      <c r="Q765" s="31" t="str">
        <f aca="false">IF(D765="","",IFERROR(INDEX(Sancoes!$D:$D,MATCH(D765,Sancoes!$C:$C,0)),"não consta"))</f>
        <v/>
      </c>
      <c r="R765" s="25" t="str">
        <f aca="false">IF(OR(D765="",H765=""),"",IF(SUMPRODUCT((Sancoes!$C$5:$C$304=D765)*(Sancoes!$G$5:$G$304&lt;=H765)*(((Sancoes!$H$5:$H$304="")+(Sancoes!$H$5:$H$304&gt;=H765))&gt;0))&gt;0,"SANÇÃO VIGENTE NA DATA — ler tipo e abrangência",""))</f>
        <v/>
      </c>
      <c r="S765" s="24"/>
      <c r="T765" s="11"/>
    </row>
    <row r="766" customFormat="false" ht="15" hidden="false" customHeight="false" outlineLevel="0" collapsed="false">
      <c r="A766" s="11"/>
      <c r="B766" s="24"/>
      <c r="C766" s="24"/>
      <c r="D766" s="31" t="str">
        <f aca="false">IF(C766="","",IF(LEN(UPPER(SUBSTITUTE(SUBSTITUTE(SUBSTITUTE(SUBSTITUTE(TRIM(C766),".",""),"/",""),"-","")," ","")))&lt;14,RIGHT(REPT("0",14)&amp;UPPER(SUBSTITUTE(SUBSTITUTE(SUBSTITUTE(SUBSTITUTE(TRIM(C766),".",""),"/",""),"-","")," ","")),14),UPPER(SUBSTITUTE(SUBSTITUTE(SUBSTITUTE(SUBSTITUTE(TRIM(C766),".",""),"/",""),"-","")," ",""))))</f>
        <v/>
      </c>
      <c r="E766" s="25" t="str">
        <f aca="false">IF(D766="","",IFERROR(INDEX(Empresas!$C:$C,MATCH(D766,Empresas!$B:$B,0)),"cadastre o CNPJ em Empresas"))</f>
        <v/>
      </c>
      <c r="F766" s="11"/>
      <c r="G766" s="23"/>
      <c r="H766" s="22"/>
      <c r="I766" s="35"/>
      <c r="J766" s="35"/>
      <c r="K766" s="36" t="str">
        <f aca="false">IF(I766="","",I766+J766)</f>
        <v/>
      </c>
      <c r="L766" s="37" t="str">
        <f aca="false">IF(OR(I766="",I766=0,J766=""),"",J766/I766)</f>
        <v/>
      </c>
      <c r="M766" s="25" t="str">
        <f aca="false">IF(L766="","",IF(L766&gt;0.25,"ACRÉSCIMO ACIMA DE 25% — conferir",""))</f>
        <v/>
      </c>
      <c r="N766" s="29" t="str">
        <f aca="false">IF(D766="","",IF(COUNTIFS(Empresas!$B:$B,D766,Empresas!$E:$E,"&lt;&gt;")=0,"",INDEX(Empresas!$E:$E,MATCH(D766,Empresas!$B:$B,0))))</f>
        <v/>
      </c>
      <c r="O766" s="27" t="str">
        <f aca="false">IF(OR(N766="",H766=""),"",H766-N766)</f>
        <v/>
      </c>
      <c r="P766" s="25" t="str">
        <f aca="false">IF(O766="","",IF(O766&lt;0,"CONTRATO ANTERIOR À ABERTURA — conferir datas",IF(O766&lt;180,"EMPRESA ABERTA MENOS DE 6 MESES ANTES","")))</f>
        <v/>
      </c>
      <c r="Q766" s="31" t="str">
        <f aca="false">IF(D766="","",IFERROR(INDEX(Sancoes!$D:$D,MATCH(D766,Sancoes!$C:$C,0)),"não consta"))</f>
        <v/>
      </c>
      <c r="R766" s="25" t="str">
        <f aca="false">IF(OR(D766="",H766=""),"",IF(SUMPRODUCT((Sancoes!$C$5:$C$304=D766)*(Sancoes!$G$5:$G$304&lt;=H766)*(((Sancoes!$H$5:$H$304="")+(Sancoes!$H$5:$H$304&gt;=H766))&gt;0))&gt;0,"SANÇÃO VIGENTE NA DATA — ler tipo e abrangência",""))</f>
        <v/>
      </c>
      <c r="S766" s="24"/>
      <c r="T766" s="11"/>
    </row>
    <row r="767" customFormat="false" ht="15" hidden="false" customHeight="false" outlineLevel="0" collapsed="false">
      <c r="A767" s="11"/>
      <c r="B767" s="24"/>
      <c r="C767" s="24"/>
      <c r="D767" s="31" t="str">
        <f aca="false">IF(C767="","",IF(LEN(UPPER(SUBSTITUTE(SUBSTITUTE(SUBSTITUTE(SUBSTITUTE(TRIM(C767),".",""),"/",""),"-","")," ","")))&lt;14,RIGHT(REPT("0",14)&amp;UPPER(SUBSTITUTE(SUBSTITUTE(SUBSTITUTE(SUBSTITUTE(TRIM(C767),".",""),"/",""),"-","")," ","")),14),UPPER(SUBSTITUTE(SUBSTITUTE(SUBSTITUTE(SUBSTITUTE(TRIM(C767),".",""),"/",""),"-","")," ",""))))</f>
        <v/>
      </c>
      <c r="E767" s="25" t="str">
        <f aca="false">IF(D767="","",IFERROR(INDEX(Empresas!$C:$C,MATCH(D767,Empresas!$B:$B,0)),"cadastre o CNPJ em Empresas"))</f>
        <v/>
      </c>
      <c r="F767" s="11"/>
      <c r="G767" s="23"/>
      <c r="H767" s="22"/>
      <c r="I767" s="35"/>
      <c r="J767" s="35"/>
      <c r="K767" s="36" t="str">
        <f aca="false">IF(I767="","",I767+J767)</f>
        <v/>
      </c>
      <c r="L767" s="37" t="str">
        <f aca="false">IF(OR(I767="",I767=0,J767=""),"",J767/I767)</f>
        <v/>
      </c>
      <c r="M767" s="25" t="str">
        <f aca="false">IF(L767="","",IF(L767&gt;0.25,"ACRÉSCIMO ACIMA DE 25% — conferir",""))</f>
        <v/>
      </c>
      <c r="N767" s="29" t="str">
        <f aca="false">IF(D767="","",IF(COUNTIFS(Empresas!$B:$B,D767,Empresas!$E:$E,"&lt;&gt;")=0,"",INDEX(Empresas!$E:$E,MATCH(D767,Empresas!$B:$B,0))))</f>
        <v/>
      </c>
      <c r="O767" s="27" t="str">
        <f aca="false">IF(OR(N767="",H767=""),"",H767-N767)</f>
        <v/>
      </c>
      <c r="P767" s="25" t="str">
        <f aca="false">IF(O767="","",IF(O767&lt;0,"CONTRATO ANTERIOR À ABERTURA — conferir datas",IF(O767&lt;180,"EMPRESA ABERTA MENOS DE 6 MESES ANTES","")))</f>
        <v/>
      </c>
      <c r="Q767" s="31" t="str">
        <f aca="false">IF(D767="","",IFERROR(INDEX(Sancoes!$D:$D,MATCH(D767,Sancoes!$C:$C,0)),"não consta"))</f>
        <v/>
      </c>
      <c r="R767" s="25" t="str">
        <f aca="false">IF(OR(D767="",H767=""),"",IF(SUMPRODUCT((Sancoes!$C$5:$C$304=D767)*(Sancoes!$G$5:$G$304&lt;=H767)*(((Sancoes!$H$5:$H$304="")+(Sancoes!$H$5:$H$304&gt;=H767))&gt;0))&gt;0,"SANÇÃO VIGENTE NA DATA — ler tipo e abrangência",""))</f>
        <v/>
      </c>
      <c r="S767" s="24"/>
      <c r="T767" s="11"/>
    </row>
    <row r="768" customFormat="false" ht="15" hidden="false" customHeight="false" outlineLevel="0" collapsed="false">
      <c r="A768" s="11"/>
      <c r="B768" s="24"/>
      <c r="C768" s="24"/>
      <c r="D768" s="31" t="str">
        <f aca="false">IF(C768="","",IF(LEN(UPPER(SUBSTITUTE(SUBSTITUTE(SUBSTITUTE(SUBSTITUTE(TRIM(C768),".",""),"/",""),"-","")," ","")))&lt;14,RIGHT(REPT("0",14)&amp;UPPER(SUBSTITUTE(SUBSTITUTE(SUBSTITUTE(SUBSTITUTE(TRIM(C768),".",""),"/",""),"-","")," ","")),14),UPPER(SUBSTITUTE(SUBSTITUTE(SUBSTITUTE(SUBSTITUTE(TRIM(C768),".",""),"/",""),"-","")," ",""))))</f>
        <v/>
      </c>
      <c r="E768" s="25" t="str">
        <f aca="false">IF(D768="","",IFERROR(INDEX(Empresas!$C:$C,MATCH(D768,Empresas!$B:$B,0)),"cadastre o CNPJ em Empresas"))</f>
        <v/>
      </c>
      <c r="F768" s="11"/>
      <c r="G768" s="23"/>
      <c r="H768" s="22"/>
      <c r="I768" s="35"/>
      <c r="J768" s="35"/>
      <c r="K768" s="36" t="str">
        <f aca="false">IF(I768="","",I768+J768)</f>
        <v/>
      </c>
      <c r="L768" s="37" t="str">
        <f aca="false">IF(OR(I768="",I768=0,J768=""),"",J768/I768)</f>
        <v/>
      </c>
      <c r="M768" s="25" t="str">
        <f aca="false">IF(L768="","",IF(L768&gt;0.25,"ACRÉSCIMO ACIMA DE 25% — conferir",""))</f>
        <v/>
      </c>
      <c r="N768" s="29" t="str">
        <f aca="false">IF(D768="","",IF(COUNTIFS(Empresas!$B:$B,D768,Empresas!$E:$E,"&lt;&gt;")=0,"",INDEX(Empresas!$E:$E,MATCH(D768,Empresas!$B:$B,0))))</f>
        <v/>
      </c>
      <c r="O768" s="27" t="str">
        <f aca="false">IF(OR(N768="",H768=""),"",H768-N768)</f>
        <v/>
      </c>
      <c r="P768" s="25" t="str">
        <f aca="false">IF(O768="","",IF(O768&lt;0,"CONTRATO ANTERIOR À ABERTURA — conferir datas",IF(O768&lt;180,"EMPRESA ABERTA MENOS DE 6 MESES ANTES","")))</f>
        <v/>
      </c>
      <c r="Q768" s="31" t="str">
        <f aca="false">IF(D768="","",IFERROR(INDEX(Sancoes!$D:$D,MATCH(D768,Sancoes!$C:$C,0)),"não consta"))</f>
        <v/>
      </c>
      <c r="R768" s="25" t="str">
        <f aca="false">IF(OR(D768="",H768=""),"",IF(SUMPRODUCT((Sancoes!$C$5:$C$304=D768)*(Sancoes!$G$5:$G$304&lt;=H768)*(((Sancoes!$H$5:$H$304="")+(Sancoes!$H$5:$H$304&gt;=H768))&gt;0))&gt;0,"SANÇÃO VIGENTE NA DATA — ler tipo e abrangência",""))</f>
        <v/>
      </c>
      <c r="S768" s="24"/>
      <c r="T768" s="11"/>
    </row>
    <row r="769" customFormat="false" ht="15" hidden="false" customHeight="false" outlineLevel="0" collapsed="false">
      <c r="A769" s="11"/>
      <c r="B769" s="24"/>
      <c r="C769" s="24"/>
      <c r="D769" s="31" t="str">
        <f aca="false">IF(C769="","",IF(LEN(UPPER(SUBSTITUTE(SUBSTITUTE(SUBSTITUTE(SUBSTITUTE(TRIM(C769),".",""),"/",""),"-","")," ","")))&lt;14,RIGHT(REPT("0",14)&amp;UPPER(SUBSTITUTE(SUBSTITUTE(SUBSTITUTE(SUBSTITUTE(TRIM(C769),".",""),"/",""),"-","")," ","")),14),UPPER(SUBSTITUTE(SUBSTITUTE(SUBSTITUTE(SUBSTITUTE(TRIM(C769),".",""),"/",""),"-","")," ",""))))</f>
        <v/>
      </c>
      <c r="E769" s="25" t="str">
        <f aca="false">IF(D769="","",IFERROR(INDEX(Empresas!$C:$C,MATCH(D769,Empresas!$B:$B,0)),"cadastre o CNPJ em Empresas"))</f>
        <v/>
      </c>
      <c r="F769" s="11"/>
      <c r="G769" s="23"/>
      <c r="H769" s="22"/>
      <c r="I769" s="35"/>
      <c r="J769" s="35"/>
      <c r="K769" s="36" t="str">
        <f aca="false">IF(I769="","",I769+J769)</f>
        <v/>
      </c>
      <c r="L769" s="37" t="str">
        <f aca="false">IF(OR(I769="",I769=0,J769=""),"",J769/I769)</f>
        <v/>
      </c>
      <c r="M769" s="25" t="str">
        <f aca="false">IF(L769="","",IF(L769&gt;0.25,"ACRÉSCIMO ACIMA DE 25% — conferir",""))</f>
        <v/>
      </c>
      <c r="N769" s="29" t="str">
        <f aca="false">IF(D769="","",IF(COUNTIFS(Empresas!$B:$B,D769,Empresas!$E:$E,"&lt;&gt;")=0,"",INDEX(Empresas!$E:$E,MATCH(D769,Empresas!$B:$B,0))))</f>
        <v/>
      </c>
      <c r="O769" s="27" t="str">
        <f aca="false">IF(OR(N769="",H769=""),"",H769-N769)</f>
        <v/>
      </c>
      <c r="P769" s="25" t="str">
        <f aca="false">IF(O769="","",IF(O769&lt;0,"CONTRATO ANTERIOR À ABERTURA — conferir datas",IF(O769&lt;180,"EMPRESA ABERTA MENOS DE 6 MESES ANTES","")))</f>
        <v/>
      </c>
      <c r="Q769" s="31" t="str">
        <f aca="false">IF(D769="","",IFERROR(INDEX(Sancoes!$D:$D,MATCH(D769,Sancoes!$C:$C,0)),"não consta"))</f>
        <v/>
      </c>
      <c r="R769" s="25" t="str">
        <f aca="false">IF(OR(D769="",H769=""),"",IF(SUMPRODUCT((Sancoes!$C$5:$C$304=D769)*(Sancoes!$G$5:$G$304&lt;=H769)*(((Sancoes!$H$5:$H$304="")+(Sancoes!$H$5:$H$304&gt;=H769))&gt;0))&gt;0,"SANÇÃO VIGENTE NA DATA — ler tipo e abrangência",""))</f>
        <v/>
      </c>
      <c r="S769" s="24"/>
      <c r="T769" s="11"/>
    </row>
    <row r="770" customFormat="false" ht="15" hidden="false" customHeight="false" outlineLevel="0" collapsed="false">
      <c r="A770" s="11"/>
      <c r="B770" s="24"/>
      <c r="C770" s="24"/>
      <c r="D770" s="31" t="str">
        <f aca="false">IF(C770="","",IF(LEN(UPPER(SUBSTITUTE(SUBSTITUTE(SUBSTITUTE(SUBSTITUTE(TRIM(C770),".",""),"/",""),"-","")," ","")))&lt;14,RIGHT(REPT("0",14)&amp;UPPER(SUBSTITUTE(SUBSTITUTE(SUBSTITUTE(SUBSTITUTE(TRIM(C770),".",""),"/",""),"-","")," ","")),14),UPPER(SUBSTITUTE(SUBSTITUTE(SUBSTITUTE(SUBSTITUTE(TRIM(C770),".",""),"/",""),"-","")," ",""))))</f>
        <v/>
      </c>
      <c r="E770" s="25" t="str">
        <f aca="false">IF(D770="","",IFERROR(INDEX(Empresas!$C:$C,MATCH(D770,Empresas!$B:$B,0)),"cadastre o CNPJ em Empresas"))</f>
        <v/>
      </c>
      <c r="F770" s="11"/>
      <c r="G770" s="23"/>
      <c r="H770" s="22"/>
      <c r="I770" s="35"/>
      <c r="J770" s="35"/>
      <c r="K770" s="36" t="str">
        <f aca="false">IF(I770="","",I770+J770)</f>
        <v/>
      </c>
      <c r="L770" s="37" t="str">
        <f aca="false">IF(OR(I770="",I770=0,J770=""),"",J770/I770)</f>
        <v/>
      </c>
      <c r="M770" s="25" t="str">
        <f aca="false">IF(L770="","",IF(L770&gt;0.25,"ACRÉSCIMO ACIMA DE 25% — conferir",""))</f>
        <v/>
      </c>
      <c r="N770" s="29" t="str">
        <f aca="false">IF(D770="","",IF(COUNTIFS(Empresas!$B:$B,D770,Empresas!$E:$E,"&lt;&gt;")=0,"",INDEX(Empresas!$E:$E,MATCH(D770,Empresas!$B:$B,0))))</f>
        <v/>
      </c>
      <c r="O770" s="27" t="str">
        <f aca="false">IF(OR(N770="",H770=""),"",H770-N770)</f>
        <v/>
      </c>
      <c r="P770" s="25" t="str">
        <f aca="false">IF(O770="","",IF(O770&lt;0,"CONTRATO ANTERIOR À ABERTURA — conferir datas",IF(O770&lt;180,"EMPRESA ABERTA MENOS DE 6 MESES ANTES","")))</f>
        <v/>
      </c>
      <c r="Q770" s="31" t="str">
        <f aca="false">IF(D770="","",IFERROR(INDEX(Sancoes!$D:$D,MATCH(D770,Sancoes!$C:$C,0)),"não consta"))</f>
        <v/>
      </c>
      <c r="R770" s="25" t="str">
        <f aca="false">IF(OR(D770="",H770=""),"",IF(SUMPRODUCT((Sancoes!$C$5:$C$304=D770)*(Sancoes!$G$5:$G$304&lt;=H770)*(((Sancoes!$H$5:$H$304="")+(Sancoes!$H$5:$H$304&gt;=H770))&gt;0))&gt;0,"SANÇÃO VIGENTE NA DATA — ler tipo e abrangência",""))</f>
        <v/>
      </c>
      <c r="S770" s="24"/>
      <c r="T770" s="11"/>
    </row>
    <row r="771" customFormat="false" ht="15" hidden="false" customHeight="false" outlineLevel="0" collapsed="false">
      <c r="A771" s="11"/>
      <c r="B771" s="24"/>
      <c r="C771" s="24"/>
      <c r="D771" s="31" t="str">
        <f aca="false">IF(C771="","",IF(LEN(UPPER(SUBSTITUTE(SUBSTITUTE(SUBSTITUTE(SUBSTITUTE(TRIM(C771),".",""),"/",""),"-","")," ","")))&lt;14,RIGHT(REPT("0",14)&amp;UPPER(SUBSTITUTE(SUBSTITUTE(SUBSTITUTE(SUBSTITUTE(TRIM(C771),".",""),"/",""),"-","")," ","")),14),UPPER(SUBSTITUTE(SUBSTITUTE(SUBSTITUTE(SUBSTITUTE(TRIM(C771),".",""),"/",""),"-","")," ",""))))</f>
        <v/>
      </c>
      <c r="E771" s="25" t="str">
        <f aca="false">IF(D771="","",IFERROR(INDEX(Empresas!$C:$C,MATCH(D771,Empresas!$B:$B,0)),"cadastre o CNPJ em Empresas"))</f>
        <v/>
      </c>
      <c r="F771" s="11"/>
      <c r="G771" s="23"/>
      <c r="H771" s="22"/>
      <c r="I771" s="35"/>
      <c r="J771" s="35"/>
      <c r="K771" s="36" t="str">
        <f aca="false">IF(I771="","",I771+J771)</f>
        <v/>
      </c>
      <c r="L771" s="37" t="str">
        <f aca="false">IF(OR(I771="",I771=0,J771=""),"",J771/I771)</f>
        <v/>
      </c>
      <c r="M771" s="25" t="str">
        <f aca="false">IF(L771="","",IF(L771&gt;0.25,"ACRÉSCIMO ACIMA DE 25% — conferir",""))</f>
        <v/>
      </c>
      <c r="N771" s="29" t="str">
        <f aca="false">IF(D771="","",IF(COUNTIFS(Empresas!$B:$B,D771,Empresas!$E:$E,"&lt;&gt;")=0,"",INDEX(Empresas!$E:$E,MATCH(D771,Empresas!$B:$B,0))))</f>
        <v/>
      </c>
      <c r="O771" s="27" t="str">
        <f aca="false">IF(OR(N771="",H771=""),"",H771-N771)</f>
        <v/>
      </c>
      <c r="P771" s="25" t="str">
        <f aca="false">IF(O771="","",IF(O771&lt;0,"CONTRATO ANTERIOR À ABERTURA — conferir datas",IF(O771&lt;180,"EMPRESA ABERTA MENOS DE 6 MESES ANTES","")))</f>
        <v/>
      </c>
      <c r="Q771" s="31" t="str">
        <f aca="false">IF(D771="","",IFERROR(INDEX(Sancoes!$D:$D,MATCH(D771,Sancoes!$C:$C,0)),"não consta"))</f>
        <v/>
      </c>
      <c r="R771" s="25" t="str">
        <f aca="false">IF(OR(D771="",H771=""),"",IF(SUMPRODUCT((Sancoes!$C$5:$C$304=D771)*(Sancoes!$G$5:$G$304&lt;=H771)*(((Sancoes!$H$5:$H$304="")+(Sancoes!$H$5:$H$304&gt;=H771))&gt;0))&gt;0,"SANÇÃO VIGENTE NA DATA — ler tipo e abrangência",""))</f>
        <v/>
      </c>
      <c r="S771" s="24"/>
      <c r="T771" s="11"/>
    </row>
    <row r="772" customFormat="false" ht="15" hidden="false" customHeight="false" outlineLevel="0" collapsed="false">
      <c r="A772" s="11"/>
      <c r="B772" s="24"/>
      <c r="C772" s="24"/>
      <c r="D772" s="31" t="str">
        <f aca="false">IF(C772="","",IF(LEN(UPPER(SUBSTITUTE(SUBSTITUTE(SUBSTITUTE(SUBSTITUTE(TRIM(C772),".",""),"/",""),"-","")," ","")))&lt;14,RIGHT(REPT("0",14)&amp;UPPER(SUBSTITUTE(SUBSTITUTE(SUBSTITUTE(SUBSTITUTE(TRIM(C772),".",""),"/",""),"-","")," ","")),14),UPPER(SUBSTITUTE(SUBSTITUTE(SUBSTITUTE(SUBSTITUTE(TRIM(C772),".",""),"/",""),"-","")," ",""))))</f>
        <v/>
      </c>
      <c r="E772" s="25" t="str">
        <f aca="false">IF(D772="","",IFERROR(INDEX(Empresas!$C:$C,MATCH(D772,Empresas!$B:$B,0)),"cadastre o CNPJ em Empresas"))</f>
        <v/>
      </c>
      <c r="F772" s="11"/>
      <c r="G772" s="23"/>
      <c r="H772" s="22"/>
      <c r="I772" s="35"/>
      <c r="J772" s="35"/>
      <c r="K772" s="36" t="str">
        <f aca="false">IF(I772="","",I772+J772)</f>
        <v/>
      </c>
      <c r="L772" s="37" t="str">
        <f aca="false">IF(OR(I772="",I772=0,J772=""),"",J772/I772)</f>
        <v/>
      </c>
      <c r="M772" s="25" t="str">
        <f aca="false">IF(L772="","",IF(L772&gt;0.25,"ACRÉSCIMO ACIMA DE 25% — conferir",""))</f>
        <v/>
      </c>
      <c r="N772" s="29" t="str">
        <f aca="false">IF(D772="","",IF(COUNTIFS(Empresas!$B:$B,D772,Empresas!$E:$E,"&lt;&gt;")=0,"",INDEX(Empresas!$E:$E,MATCH(D772,Empresas!$B:$B,0))))</f>
        <v/>
      </c>
      <c r="O772" s="27" t="str">
        <f aca="false">IF(OR(N772="",H772=""),"",H772-N772)</f>
        <v/>
      </c>
      <c r="P772" s="25" t="str">
        <f aca="false">IF(O772="","",IF(O772&lt;0,"CONTRATO ANTERIOR À ABERTURA — conferir datas",IF(O772&lt;180,"EMPRESA ABERTA MENOS DE 6 MESES ANTES","")))</f>
        <v/>
      </c>
      <c r="Q772" s="31" t="str">
        <f aca="false">IF(D772="","",IFERROR(INDEX(Sancoes!$D:$D,MATCH(D772,Sancoes!$C:$C,0)),"não consta"))</f>
        <v/>
      </c>
      <c r="R772" s="25" t="str">
        <f aca="false">IF(OR(D772="",H772=""),"",IF(SUMPRODUCT((Sancoes!$C$5:$C$304=D772)*(Sancoes!$G$5:$G$304&lt;=H772)*(((Sancoes!$H$5:$H$304="")+(Sancoes!$H$5:$H$304&gt;=H772))&gt;0))&gt;0,"SANÇÃO VIGENTE NA DATA — ler tipo e abrangência",""))</f>
        <v/>
      </c>
      <c r="S772" s="24"/>
      <c r="T772" s="11"/>
    </row>
    <row r="773" customFormat="false" ht="15" hidden="false" customHeight="false" outlineLevel="0" collapsed="false">
      <c r="A773" s="11"/>
      <c r="B773" s="24"/>
      <c r="C773" s="24"/>
      <c r="D773" s="31" t="str">
        <f aca="false">IF(C773="","",IF(LEN(UPPER(SUBSTITUTE(SUBSTITUTE(SUBSTITUTE(SUBSTITUTE(TRIM(C773),".",""),"/",""),"-","")," ","")))&lt;14,RIGHT(REPT("0",14)&amp;UPPER(SUBSTITUTE(SUBSTITUTE(SUBSTITUTE(SUBSTITUTE(TRIM(C773),".",""),"/",""),"-","")," ","")),14),UPPER(SUBSTITUTE(SUBSTITUTE(SUBSTITUTE(SUBSTITUTE(TRIM(C773),".",""),"/",""),"-","")," ",""))))</f>
        <v/>
      </c>
      <c r="E773" s="25" t="str">
        <f aca="false">IF(D773="","",IFERROR(INDEX(Empresas!$C:$C,MATCH(D773,Empresas!$B:$B,0)),"cadastre o CNPJ em Empresas"))</f>
        <v/>
      </c>
      <c r="F773" s="11"/>
      <c r="G773" s="23"/>
      <c r="H773" s="22"/>
      <c r="I773" s="35"/>
      <c r="J773" s="35"/>
      <c r="K773" s="36" t="str">
        <f aca="false">IF(I773="","",I773+J773)</f>
        <v/>
      </c>
      <c r="L773" s="37" t="str">
        <f aca="false">IF(OR(I773="",I773=0,J773=""),"",J773/I773)</f>
        <v/>
      </c>
      <c r="M773" s="25" t="str">
        <f aca="false">IF(L773="","",IF(L773&gt;0.25,"ACRÉSCIMO ACIMA DE 25% — conferir",""))</f>
        <v/>
      </c>
      <c r="N773" s="29" t="str">
        <f aca="false">IF(D773="","",IF(COUNTIFS(Empresas!$B:$B,D773,Empresas!$E:$E,"&lt;&gt;")=0,"",INDEX(Empresas!$E:$E,MATCH(D773,Empresas!$B:$B,0))))</f>
        <v/>
      </c>
      <c r="O773" s="27" t="str">
        <f aca="false">IF(OR(N773="",H773=""),"",H773-N773)</f>
        <v/>
      </c>
      <c r="P773" s="25" t="str">
        <f aca="false">IF(O773="","",IF(O773&lt;0,"CONTRATO ANTERIOR À ABERTURA — conferir datas",IF(O773&lt;180,"EMPRESA ABERTA MENOS DE 6 MESES ANTES","")))</f>
        <v/>
      </c>
      <c r="Q773" s="31" t="str">
        <f aca="false">IF(D773="","",IFERROR(INDEX(Sancoes!$D:$D,MATCH(D773,Sancoes!$C:$C,0)),"não consta"))</f>
        <v/>
      </c>
      <c r="R773" s="25" t="str">
        <f aca="false">IF(OR(D773="",H773=""),"",IF(SUMPRODUCT((Sancoes!$C$5:$C$304=D773)*(Sancoes!$G$5:$G$304&lt;=H773)*(((Sancoes!$H$5:$H$304="")+(Sancoes!$H$5:$H$304&gt;=H773))&gt;0))&gt;0,"SANÇÃO VIGENTE NA DATA — ler tipo e abrangência",""))</f>
        <v/>
      </c>
      <c r="S773" s="24"/>
      <c r="T773" s="11"/>
    </row>
    <row r="774" customFormat="false" ht="15" hidden="false" customHeight="false" outlineLevel="0" collapsed="false">
      <c r="A774" s="11"/>
      <c r="B774" s="24"/>
      <c r="C774" s="24"/>
      <c r="D774" s="31" t="str">
        <f aca="false">IF(C774="","",IF(LEN(UPPER(SUBSTITUTE(SUBSTITUTE(SUBSTITUTE(SUBSTITUTE(TRIM(C774),".",""),"/",""),"-","")," ","")))&lt;14,RIGHT(REPT("0",14)&amp;UPPER(SUBSTITUTE(SUBSTITUTE(SUBSTITUTE(SUBSTITUTE(TRIM(C774),".",""),"/",""),"-","")," ","")),14),UPPER(SUBSTITUTE(SUBSTITUTE(SUBSTITUTE(SUBSTITUTE(TRIM(C774),".",""),"/",""),"-","")," ",""))))</f>
        <v/>
      </c>
      <c r="E774" s="25" t="str">
        <f aca="false">IF(D774="","",IFERROR(INDEX(Empresas!$C:$C,MATCH(D774,Empresas!$B:$B,0)),"cadastre o CNPJ em Empresas"))</f>
        <v/>
      </c>
      <c r="F774" s="11"/>
      <c r="G774" s="23"/>
      <c r="H774" s="22"/>
      <c r="I774" s="35"/>
      <c r="J774" s="35"/>
      <c r="K774" s="36" t="str">
        <f aca="false">IF(I774="","",I774+J774)</f>
        <v/>
      </c>
      <c r="L774" s="37" t="str">
        <f aca="false">IF(OR(I774="",I774=0,J774=""),"",J774/I774)</f>
        <v/>
      </c>
      <c r="M774" s="25" t="str">
        <f aca="false">IF(L774="","",IF(L774&gt;0.25,"ACRÉSCIMO ACIMA DE 25% — conferir",""))</f>
        <v/>
      </c>
      <c r="N774" s="29" t="str">
        <f aca="false">IF(D774="","",IF(COUNTIFS(Empresas!$B:$B,D774,Empresas!$E:$E,"&lt;&gt;")=0,"",INDEX(Empresas!$E:$E,MATCH(D774,Empresas!$B:$B,0))))</f>
        <v/>
      </c>
      <c r="O774" s="27" t="str">
        <f aca="false">IF(OR(N774="",H774=""),"",H774-N774)</f>
        <v/>
      </c>
      <c r="P774" s="25" t="str">
        <f aca="false">IF(O774="","",IF(O774&lt;0,"CONTRATO ANTERIOR À ABERTURA — conferir datas",IF(O774&lt;180,"EMPRESA ABERTA MENOS DE 6 MESES ANTES","")))</f>
        <v/>
      </c>
      <c r="Q774" s="31" t="str">
        <f aca="false">IF(D774="","",IFERROR(INDEX(Sancoes!$D:$D,MATCH(D774,Sancoes!$C:$C,0)),"não consta"))</f>
        <v/>
      </c>
      <c r="R774" s="25" t="str">
        <f aca="false">IF(OR(D774="",H774=""),"",IF(SUMPRODUCT((Sancoes!$C$5:$C$304=D774)*(Sancoes!$G$5:$G$304&lt;=H774)*(((Sancoes!$H$5:$H$304="")+(Sancoes!$H$5:$H$304&gt;=H774))&gt;0))&gt;0,"SANÇÃO VIGENTE NA DATA — ler tipo e abrangência",""))</f>
        <v/>
      </c>
      <c r="S774" s="24"/>
      <c r="T774" s="11"/>
    </row>
    <row r="775" customFormat="false" ht="15" hidden="false" customHeight="false" outlineLevel="0" collapsed="false">
      <c r="A775" s="11"/>
      <c r="B775" s="24"/>
      <c r="C775" s="24"/>
      <c r="D775" s="31" t="str">
        <f aca="false">IF(C775="","",IF(LEN(UPPER(SUBSTITUTE(SUBSTITUTE(SUBSTITUTE(SUBSTITUTE(TRIM(C775),".",""),"/",""),"-","")," ","")))&lt;14,RIGHT(REPT("0",14)&amp;UPPER(SUBSTITUTE(SUBSTITUTE(SUBSTITUTE(SUBSTITUTE(TRIM(C775),".",""),"/",""),"-","")," ","")),14),UPPER(SUBSTITUTE(SUBSTITUTE(SUBSTITUTE(SUBSTITUTE(TRIM(C775),".",""),"/",""),"-","")," ",""))))</f>
        <v/>
      </c>
      <c r="E775" s="25" t="str">
        <f aca="false">IF(D775="","",IFERROR(INDEX(Empresas!$C:$C,MATCH(D775,Empresas!$B:$B,0)),"cadastre o CNPJ em Empresas"))</f>
        <v/>
      </c>
      <c r="F775" s="11"/>
      <c r="G775" s="23"/>
      <c r="H775" s="22"/>
      <c r="I775" s="35"/>
      <c r="J775" s="35"/>
      <c r="K775" s="36" t="str">
        <f aca="false">IF(I775="","",I775+J775)</f>
        <v/>
      </c>
      <c r="L775" s="37" t="str">
        <f aca="false">IF(OR(I775="",I775=0,J775=""),"",J775/I775)</f>
        <v/>
      </c>
      <c r="M775" s="25" t="str">
        <f aca="false">IF(L775="","",IF(L775&gt;0.25,"ACRÉSCIMO ACIMA DE 25% — conferir",""))</f>
        <v/>
      </c>
      <c r="N775" s="29" t="str">
        <f aca="false">IF(D775="","",IF(COUNTIFS(Empresas!$B:$B,D775,Empresas!$E:$E,"&lt;&gt;")=0,"",INDEX(Empresas!$E:$E,MATCH(D775,Empresas!$B:$B,0))))</f>
        <v/>
      </c>
      <c r="O775" s="27" t="str">
        <f aca="false">IF(OR(N775="",H775=""),"",H775-N775)</f>
        <v/>
      </c>
      <c r="P775" s="25" t="str">
        <f aca="false">IF(O775="","",IF(O775&lt;0,"CONTRATO ANTERIOR À ABERTURA — conferir datas",IF(O775&lt;180,"EMPRESA ABERTA MENOS DE 6 MESES ANTES","")))</f>
        <v/>
      </c>
      <c r="Q775" s="31" t="str">
        <f aca="false">IF(D775="","",IFERROR(INDEX(Sancoes!$D:$D,MATCH(D775,Sancoes!$C:$C,0)),"não consta"))</f>
        <v/>
      </c>
      <c r="R775" s="25" t="str">
        <f aca="false">IF(OR(D775="",H775=""),"",IF(SUMPRODUCT((Sancoes!$C$5:$C$304=D775)*(Sancoes!$G$5:$G$304&lt;=H775)*(((Sancoes!$H$5:$H$304="")+(Sancoes!$H$5:$H$304&gt;=H775))&gt;0))&gt;0,"SANÇÃO VIGENTE NA DATA — ler tipo e abrangência",""))</f>
        <v/>
      </c>
      <c r="S775" s="24"/>
      <c r="T775" s="11"/>
    </row>
    <row r="776" customFormat="false" ht="15" hidden="false" customHeight="false" outlineLevel="0" collapsed="false">
      <c r="A776" s="11"/>
      <c r="B776" s="24"/>
      <c r="C776" s="24"/>
      <c r="D776" s="31" t="str">
        <f aca="false">IF(C776="","",IF(LEN(UPPER(SUBSTITUTE(SUBSTITUTE(SUBSTITUTE(SUBSTITUTE(TRIM(C776),".",""),"/",""),"-","")," ","")))&lt;14,RIGHT(REPT("0",14)&amp;UPPER(SUBSTITUTE(SUBSTITUTE(SUBSTITUTE(SUBSTITUTE(TRIM(C776),".",""),"/",""),"-","")," ","")),14),UPPER(SUBSTITUTE(SUBSTITUTE(SUBSTITUTE(SUBSTITUTE(TRIM(C776),".",""),"/",""),"-","")," ",""))))</f>
        <v/>
      </c>
      <c r="E776" s="25" t="str">
        <f aca="false">IF(D776="","",IFERROR(INDEX(Empresas!$C:$C,MATCH(D776,Empresas!$B:$B,0)),"cadastre o CNPJ em Empresas"))</f>
        <v/>
      </c>
      <c r="F776" s="11"/>
      <c r="G776" s="23"/>
      <c r="H776" s="22"/>
      <c r="I776" s="35"/>
      <c r="J776" s="35"/>
      <c r="K776" s="36" t="str">
        <f aca="false">IF(I776="","",I776+J776)</f>
        <v/>
      </c>
      <c r="L776" s="37" t="str">
        <f aca="false">IF(OR(I776="",I776=0,J776=""),"",J776/I776)</f>
        <v/>
      </c>
      <c r="M776" s="25" t="str">
        <f aca="false">IF(L776="","",IF(L776&gt;0.25,"ACRÉSCIMO ACIMA DE 25% — conferir",""))</f>
        <v/>
      </c>
      <c r="N776" s="29" t="str">
        <f aca="false">IF(D776="","",IF(COUNTIFS(Empresas!$B:$B,D776,Empresas!$E:$E,"&lt;&gt;")=0,"",INDEX(Empresas!$E:$E,MATCH(D776,Empresas!$B:$B,0))))</f>
        <v/>
      </c>
      <c r="O776" s="27" t="str">
        <f aca="false">IF(OR(N776="",H776=""),"",H776-N776)</f>
        <v/>
      </c>
      <c r="P776" s="25" t="str">
        <f aca="false">IF(O776="","",IF(O776&lt;0,"CONTRATO ANTERIOR À ABERTURA — conferir datas",IF(O776&lt;180,"EMPRESA ABERTA MENOS DE 6 MESES ANTES","")))</f>
        <v/>
      </c>
      <c r="Q776" s="31" t="str">
        <f aca="false">IF(D776="","",IFERROR(INDEX(Sancoes!$D:$D,MATCH(D776,Sancoes!$C:$C,0)),"não consta"))</f>
        <v/>
      </c>
      <c r="R776" s="25" t="str">
        <f aca="false">IF(OR(D776="",H776=""),"",IF(SUMPRODUCT((Sancoes!$C$5:$C$304=D776)*(Sancoes!$G$5:$G$304&lt;=H776)*(((Sancoes!$H$5:$H$304="")+(Sancoes!$H$5:$H$304&gt;=H776))&gt;0))&gt;0,"SANÇÃO VIGENTE NA DATA — ler tipo e abrangência",""))</f>
        <v/>
      </c>
      <c r="S776" s="24"/>
      <c r="T776" s="11"/>
    </row>
    <row r="777" customFormat="false" ht="15" hidden="false" customHeight="false" outlineLevel="0" collapsed="false">
      <c r="A777" s="11"/>
      <c r="B777" s="24"/>
      <c r="C777" s="24"/>
      <c r="D777" s="31" t="str">
        <f aca="false">IF(C777="","",IF(LEN(UPPER(SUBSTITUTE(SUBSTITUTE(SUBSTITUTE(SUBSTITUTE(TRIM(C777),".",""),"/",""),"-","")," ","")))&lt;14,RIGHT(REPT("0",14)&amp;UPPER(SUBSTITUTE(SUBSTITUTE(SUBSTITUTE(SUBSTITUTE(TRIM(C777),".",""),"/",""),"-","")," ","")),14),UPPER(SUBSTITUTE(SUBSTITUTE(SUBSTITUTE(SUBSTITUTE(TRIM(C777),".",""),"/",""),"-","")," ",""))))</f>
        <v/>
      </c>
      <c r="E777" s="25" t="str">
        <f aca="false">IF(D777="","",IFERROR(INDEX(Empresas!$C:$C,MATCH(D777,Empresas!$B:$B,0)),"cadastre o CNPJ em Empresas"))</f>
        <v/>
      </c>
      <c r="F777" s="11"/>
      <c r="G777" s="23"/>
      <c r="H777" s="22"/>
      <c r="I777" s="35"/>
      <c r="J777" s="35"/>
      <c r="K777" s="36" t="str">
        <f aca="false">IF(I777="","",I777+J777)</f>
        <v/>
      </c>
      <c r="L777" s="37" t="str">
        <f aca="false">IF(OR(I777="",I777=0,J777=""),"",J777/I777)</f>
        <v/>
      </c>
      <c r="M777" s="25" t="str">
        <f aca="false">IF(L777="","",IF(L777&gt;0.25,"ACRÉSCIMO ACIMA DE 25% — conferir",""))</f>
        <v/>
      </c>
      <c r="N777" s="29" t="str">
        <f aca="false">IF(D777="","",IF(COUNTIFS(Empresas!$B:$B,D777,Empresas!$E:$E,"&lt;&gt;")=0,"",INDEX(Empresas!$E:$E,MATCH(D777,Empresas!$B:$B,0))))</f>
        <v/>
      </c>
      <c r="O777" s="27" t="str">
        <f aca="false">IF(OR(N777="",H777=""),"",H777-N777)</f>
        <v/>
      </c>
      <c r="P777" s="25" t="str">
        <f aca="false">IF(O777="","",IF(O777&lt;0,"CONTRATO ANTERIOR À ABERTURA — conferir datas",IF(O777&lt;180,"EMPRESA ABERTA MENOS DE 6 MESES ANTES","")))</f>
        <v/>
      </c>
      <c r="Q777" s="31" t="str">
        <f aca="false">IF(D777="","",IFERROR(INDEX(Sancoes!$D:$D,MATCH(D777,Sancoes!$C:$C,0)),"não consta"))</f>
        <v/>
      </c>
      <c r="R777" s="25" t="str">
        <f aca="false">IF(OR(D777="",H777=""),"",IF(SUMPRODUCT((Sancoes!$C$5:$C$304=D777)*(Sancoes!$G$5:$G$304&lt;=H777)*(((Sancoes!$H$5:$H$304="")+(Sancoes!$H$5:$H$304&gt;=H777))&gt;0))&gt;0,"SANÇÃO VIGENTE NA DATA — ler tipo e abrangência",""))</f>
        <v/>
      </c>
      <c r="S777" s="24"/>
      <c r="T777" s="11"/>
    </row>
    <row r="778" customFormat="false" ht="15" hidden="false" customHeight="false" outlineLevel="0" collapsed="false">
      <c r="A778" s="11"/>
      <c r="B778" s="24"/>
      <c r="C778" s="24"/>
      <c r="D778" s="31" t="str">
        <f aca="false">IF(C778="","",IF(LEN(UPPER(SUBSTITUTE(SUBSTITUTE(SUBSTITUTE(SUBSTITUTE(TRIM(C778),".",""),"/",""),"-","")," ","")))&lt;14,RIGHT(REPT("0",14)&amp;UPPER(SUBSTITUTE(SUBSTITUTE(SUBSTITUTE(SUBSTITUTE(TRIM(C778),".",""),"/",""),"-","")," ","")),14),UPPER(SUBSTITUTE(SUBSTITUTE(SUBSTITUTE(SUBSTITUTE(TRIM(C778),".",""),"/",""),"-","")," ",""))))</f>
        <v/>
      </c>
      <c r="E778" s="25" t="str">
        <f aca="false">IF(D778="","",IFERROR(INDEX(Empresas!$C:$C,MATCH(D778,Empresas!$B:$B,0)),"cadastre o CNPJ em Empresas"))</f>
        <v/>
      </c>
      <c r="F778" s="11"/>
      <c r="G778" s="23"/>
      <c r="H778" s="22"/>
      <c r="I778" s="35"/>
      <c r="J778" s="35"/>
      <c r="K778" s="36" t="str">
        <f aca="false">IF(I778="","",I778+J778)</f>
        <v/>
      </c>
      <c r="L778" s="37" t="str">
        <f aca="false">IF(OR(I778="",I778=0,J778=""),"",J778/I778)</f>
        <v/>
      </c>
      <c r="M778" s="25" t="str">
        <f aca="false">IF(L778="","",IF(L778&gt;0.25,"ACRÉSCIMO ACIMA DE 25% — conferir",""))</f>
        <v/>
      </c>
      <c r="N778" s="29" t="str">
        <f aca="false">IF(D778="","",IF(COUNTIFS(Empresas!$B:$B,D778,Empresas!$E:$E,"&lt;&gt;")=0,"",INDEX(Empresas!$E:$E,MATCH(D778,Empresas!$B:$B,0))))</f>
        <v/>
      </c>
      <c r="O778" s="27" t="str">
        <f aca="false">IF(OR(N778="",H778=""),"",H778-N778)</f>
        <v/>
      </c>
      <c r="P778" s="25" t="str">
        <f aca="false">IF(O778="","",IF(O778&lt;0,"CONTRATO ANTERIOR À ABERTURA — conferir datas",IF(O778&lt;180,"EMPRESA ABERTA MENOS DE 6 MESES ANTES","")))</f>
        <v/>
      </c>
      <c r="Q778" s="31" t="str">
        <f aca="false">IF(D778="","",IFERROR(INDEX(Sancoes!$D:$D,MATCH(D778,Sancoes!$C:$C,0)),"não consta"))</f>
        <v/>
      </c>
      <c r="R778" s="25" t="str">
        <f aca="false">IF(OR(D778="",H778=""),"",IF(SUMPRODUCT((Sancoes!$C$5:$C$304=D778)*(Sancoes!$G$5:$G$304&lt;=H778)*(((Sancoes!$H$5:$H$304="")+(Sancoes!$H$5:$H$304&gt;=H778))&gt;0))&gt;0,"SANÇÃO VIGENTE NA DATA — ler tipo e abrangência",""))</f>
        <v/>
      </c>
      <c r="S778" s="24"/>
      <c r="T778" s="11"/>
    </row>
    <row r="779" customFormat="false" ht="15" hidden="false" customHeight="false" outlineLevel="0" collapsed="false">
      <c r="A779" s="11"/>
      <c r="B779" s="24"/>
      <c r="C779" s="24"/>
      <c r="D779" s="31" t="str">
        <f aca="false">IF(C779="","",IF(LEN(UPPER(SUBSTITUTE(SUBSTITUTE(SUBSTITUTE(SUBSTITUTE(TRIM(C779),".",""),"/",""),"-","")," ","")))&lt;14,RIGHT(REPT("0",14)&amp;UPPER(SUBSTITUTE(SUBSTITUTE(SUBSTITUTE(SUBSTITUTE(TRIM(C779),".",""),"/",""),"-","")," ","")),14),UPPER(SUBSTITUTE(SUBSTITUTE(SUBSTITUTE(SUBSTITUTE(TRIM(C779),".",""),"/",""),"-","")," ",""))))</f>
        <v/>
      </c>
      <c r="E779" s="25" t="str">
        <f aca="false">IF(D779="","",IFERROR(INDEX(Empresas!$C:$C,MATCH(D779,Empresas!$B:$B,0)),"cadastre o CNPJ em Empresas"))</f>
        <v/>
      </c>
      <c r="F779" s="11"/>
      <c r="G779" s="23"/>
      <c r="H779" s="22"/>
      <c r="I779" s="35"/>
      <c r="J779" s="35"/>
      <c r="K779" s="36" t="str">
        <f aca="false">IF(I779="","",I779+J779)</f>
        <v/>
      </c>
      <c r="L779" s="37" t="str">
        <f aca="false">IF(OR(I779="",I779=0,J779=""),"",J779/I779)</f>
        <v/>
      </c>
      <c r="M779" s="25" t="str">
        <f aca="false">IF(L779="","",IF(L779&gt;0.25,"ACRÉSCIMO ACIMA DE 25% — conferir",""))</f>
        <v/>
      </c>
      <c r="N779" s="29" t="str">
        <f aca="false">IF(D779="","",IF(COUNTIFS(Empresas!$B:$B,D779,Empresas!$E:$E,"&lt;&gt;")=0,"",INDEX(Empresas!$E:$E,MATCH(D779,Empresas!$B:$B,0))))</f>
        <v/>
      </c>
      <c r="O779" s="27" t="str">
        <f aca="false">IF(OR(N779="",H779=""),"",H779-N779)</f>
        <v/>
      </c>
      <c r="P779" s="25" t="str">
        <f aca="false">IF(O779="","",IF(O779&lt;0,"CONTRATO ANTERIOR À ABERTURA — conferir datas",IF(O779&lt;180,"EMPRESA ABERTA MENOS DE 6 MESES ANTES","")))</f>
        <v/>
      </c>
      <c r="Q779" s="31" t="str">
        <f aca="false">IF(D779="","",IFERROR(INDEX(Sancoes!$D:$D,MATCH(D779,Sancoes!$C:$C,0)),"não consta"))</f>
        <v/>
      </c>
      <c r="R779" s="25" t="str">
        <f aca="false">IF(OR(D779="",H779=""),"",IF(SUMPRODUCT((Sancoes!$C$5:$C$304=D779)*(Sancoes!$G$5:$G$304&lt;=H779)*(((Sancoes!$H$5:$H$304="")+(Sancoes!$H$5:$H$304&gt;=H779))&gt;0))&gt;0,"SANÇÃO VIGENTE NA DATA — ler tipo e abrangência",""))</f>
        <v/>
      </c>
      <c r="S779" s="24"/>
      <c r="T779" s="11"/>
    </row>
    <row r="780" customFormat="false" ht="15" hidden="false" customHeight="false" outlineLevel="0" collapsed="false">
      <c r="A780" s="11"/>
      <c r="B780" s="24"/>
      <c r="C780" s="24"/>
      <c r="D780" s="31" t="str">
        <f aca="false">IF(C780="","",IF(LEN(UPPER(SUBSTITUTE(SUBSTITUTE(SUBSTITUTE(SUBSTITUTE(TRIM(C780),".",""),"/",""),"-","")," ","")))&lt;14,RIGHT(REPT("0",14)&amp;UPPER(SUBSTITUTE(SUBSTITUTE(SUBSTITUTE(SUBSTITUTE(TRIM(C780),".",""),"/",""),"-","")," ","")),14),UPPER(SUBSTITUTE(SUBSTITUTE(SUBSTITUTE(SUBSTITUTE(TRIM(C780),".",""),"/",""),"-","")," ",""))))</f>
        <v/>
      </c>
      <c r="E780" s="25" t="str">
        <f aca="false">IF(D780="","",IFERROR(INDEX(Empresas!$C:$C,MATCH(D780,Empresas!$B:$B,0)),"cadastre o CNPJ em Empresas"))</f>
        <v/>
      </c>
      <c r="F780" s="11"/>
      <c r="G780" s="23"/>
      <c r="H780" s="22"/>
      <c r="I780" s="35"/>
      <c r="J780" s="35"/>
      <c r="K780" s="36" t="str">
        <f aca="false">IF(I780="","",I780+J780)</f>
        <v/>
      </c>
      <c r="L780" s="37" t="str">
        <f aca="false">IF(OR(I780="",I780=0,J780=""),"",J780/I780)</f>
        <v/>
      </c>
      <c r="M780" s="25" t="str">
        <f aca="false">IF(L780="","",IF(L780&gt;0.25,"ACRÉSCIMO ACIMA DE 25% — conferir",""))</f>
        <v/>
      </c>
      <c r="N780" s="29" t="str">
        <f aca="false">IF(D780="","",IF(COUNTIFS(Empresas!$B:$B,D780,Empresas!$E:$E,"&lt;&gt;")=0,"",INDEX(Empresas!$E:$E,MATCH(D780,Empresas!$B:$B,0))))</f>
        <v/>
      </c>
      <c r="O780" s="27" t="str">
        <f aca="false">IF(OR(N780="",H780=""),"",H780-N780)</f>
        <v/>
      </c>
      <c r="P780" s="25" t="str">
        <f aca="false">IF(O780="","",IF(O780&lt;0,"CONTRATO ANTERIOR À ABERTURA — conferir datas",IF(O780&lt;180,"EMPRESA ABERTA MENOS DE 6 MESES ANTES","")))</f>
        <v/>
      </c>
      <c r="Q780" s="31" t="str">
        <f aca="false">IF(D780="","",IFERROR(INDEX(Sancoes!$D:$D,MATCH(D780,Sancoes!$C:$C,0)),"não consta"))</f>
        <v/>
      </c>
      <c r="R780" s="25" t="str">
        <f aca="false">IF(OR(D780="",H780=""),"",IF(SUMPRODUCT((Sancoes!$C$5:$C$304=D780)*(Sancoes!$G$5:$G$304&lt;=H780)*(((Sancoes!$H$5:$H$304="")+(Sancoes!$H$5:$H$304&gt;=H780))&gt;0))&gt;0,"SANÇÃO VIGENTE NA DATA — ler tipo e abrangência",""))</f>
        <v/>
      </c>
      <c r="S780" s="24"/>
      <c r="T780" s="11"/>
    </row>
    <row r="781" customFormat="false" ht="15" hidden="false" customHeight="false" outlineLevel="0" collapsed="false">
      <c r="A781" s="11"/>
      <c r="B781" s="24"/>
      <c r="C781" s="24"/>
      <c r="D781" s="31" t="str">
        <f aca="false">IF(C781="","",IF(LEN(UPPER(SUBSTITUTE(SUBSTITUTE(SUBSTITUTE(SUBSTITUTE(TRIM(C781),".",""),"/",""),"-","")," ","")))&lt;14,RIGHT(REPT("0",14)&amp;UPPER(SUBSTITUTE(SUBSTITUTE(SUBSTITUTE(SUBSTITUTE(TRIM(C781),".",""),"/",""),"-","")," ","")),14),UPPER(SUBSTITUTE(SUBSTITUTE(SUBSTITUTE(SUBSTITUTE(TRIM(C781),".",""),"/",""),"-","")," ",""))))</f>
        <v/>
      </c>
      <c r="E781" s="25" t="str">
        <f aca="false">IF(D781="","",IFERROR(INDEX(Empresas!$C:$C,MATCH(D781,Empresas!$B:$B,0)),"cadastre o CNPJ em Empresas"))</f>
        <v/>
      </c>
      <c r="F781" s="11"/>
      <c r="G781" s="23"/>
      <c r="H781" s="22"/>
      <c r="I781" s="35"/>
      <c r="J781" s="35"/>
      <c r="K781" s="36" t="str">
        <f aca="false">IF(I781="","",I781+J781)</f>
        <v/>
      </c>
      <c r="L781" s="37" t="str">
        <f aca="false">IF(OR(I781="",I781=0,J781=""),"",J781/I781)</f>
        <v/>
      </c>
      <c r="M781" s="25" t="str">
        <f aca="false">IF(L781="","",IF(L781&gt;0.25,"ACRÉSCIMO ACIMA DE 25% — conferir",""))</f>
        <v/>
      </c>
      <c r="N781" s="29" t="str">
        <f aca="false">IF(D781="","",IF(COUNTIFS(Empresas!$B:$B,D781,Empresas!$E:$E,"&lt;&gt;")=0,"",INDEX(Empresas!$E:$E,MATCH(D781,Empresas!$B:$B,0))))</f>
        <v/>
      </c>
      <c r="O781" s="27" t="str">
        <f aca="false">IF(OR(N781="",H781=""),"",H781-N781)</f>
        <v/>
      </c>
      <c r="P781" s="25" t="str">
        <f aca="false">IF(O781="","",IF(O781&lt;0,"CONTRATO ANTERIOR À ABERTURA — conferir datas",IF(O781&lt;180,"EMPRESA ABERTA MENOS DE 6 MESES ANTES","")))</f>
        <v/>
      </c>
      <c r="Q781" s="31" t="str">
        <f aca="false">IF(D781="","",IFERROR(INDEX(Sancoes!$D:$D,MATCH(D781,Sancoes!$C:$C,0)),"não consta"))</f>
        <v/>
      </c>
      <c r="R781" s="25" t="str">
        <f aca="false">IF(OR(D781="",H781=""),"",IF(SUMPRODUCT((Sancoes!$C$5:$C$304=D781)*(Sancoes!$G$5:$G$304&lt;=H781)*(((Sancoes!$H$5:$H$304="")+(Sancoes!$H$5:$H$304&gt;=H781))&gt;0))&gt;0,"SANÇÃO VIGENTE NA DATA — ler tipo e abrangência",""))</f>
        <v/>
      </c>
      <c r="S781" s="24"/>
      <c r="T781" s="11"/>
    </row>
    <row r="782" customFormat="false" ht="15" hidden="false" customHeight="false" outlineLevel="0" collapsed="false">
      <c r="A782" s="11"/>
      <c r="B782" s="24"/>
      <c r="C782" s="24"/>
      <c r="D782" s="31" t="str">
        <f aca="false">IF(C782="","",IF(LEN(UPPER(SUBSTITUTE(SUBSTITUTE(SUBSTITUTE(SUBSTITUTE(TRIM(C782),".",""),"/",""),"-","")," ","")))&lt;14,RIGHT(REPT("0",14)&amp;UPPER(SUBSTITUTE(SUBSTITUTE(SUBSTITUTE(SUBSTITUTE(TRIM(C782),".",""),"/",""),"-","")," ","")),14),UPPER(SUBSTITUTE(SUBSTITUTE(SUBSTITUTE(SUBSTITUTE(TRIM(C782),".",""),"/",""),"-","")," ",""))))</f>
        <v/>
      </c>
      <c r="E782" s="25" t="str">
        <f aca="false">IF(D782="","",IFERROR(INDEX(Empresas!$C:$C,MATCH(D782,Empresas!$B:$B,0)),"cadastre o CNPJ em Empresas"))</f>
        <v/>
      </c>
      <c r="F782" s="11"/>
      <c r="G782" s="23"/>
      <c r="H782" s="22"/>
      <c r="I782" s="35"/>
      <c r="J782" s="35"/>
      <c r="K782" s="36" t="str">
        <f aca="false">IF(I782="","",I782+J782)</f>
        <v/>
      </c>
      <c r="L782" s="37" t="str">
        <f aca="false">IF(OR(I782="",I782=0,J782=""),"",J782/I782)</f>
        <v/>
      </c>
      <c r="M782" s="25" t="str">
        <f aca="false">IF(L782="","",IF(L782&gt;0.25,"ACRÉSCIMO ACIMA DE 25% — conferir",""))</f>
        <v/>
      </c>
      <c r="N782" s="29" t="str">
        <f aca="false">IF(D782="","",IF(COUNTIFS(Empresas!$B:$B,D782,Empresas!$E:$E,"&lt;&gt;")=0,"",INDEX(Empresas!$E:$E,MATCH(D782,Empresas!$B:$B,0))))</f>
        <v/>
      </c>
      <c r="O782" s="27" t="str">
        <f aca="false">IF(OR(N782="",H782=""),"",H782-N782)</f>
        <v/>
      </c>
      <c r="P782" s="25" t="str">
        <f aca="false">IF(O782="","",IF(O782&lt;0,"CONTRATO ANTERIOR À ABERTURA — conferir datas",IF(O782&lt;180,"EMPRESA ABERTA MENOS DE 6 MESES ANTES","")))</f>
        <v/>
      </c>
      <c r="Q782" s="31" t="str">
        <f aca="false">IF(D782="","",IFERROR(INDEX(Sancoes!$D:$D,MATCH(D782,Sancoes!$C:$C,0)),"não consta"))</f>
        <v/>
      </c>
      <c r="R782" s="25" t="str">
        <f aca="false">IF(OR(D782="",H782=""),"",IF(SUMPRODUCT((Sancoes!$C$5:$C$304=D782)*(Sancoes!$G$5:$G$304&lt;=H782)*(((Sancoes!$H$5:$H$304="")+(Sancoes!$H$5:$H$304&gt;=H782))&gt;0))&gt;0,"SANÇÃO VIGENTE NA DATA — ler tipo e abrangência",""))</f>
        <v/>
      </c>
      <c r="S782" s="24"/>
      <c r="T782" s="11"/>
    </row>
    <row r="783" customFormat="false" ht="15" hidden="false" customHeight="false" outlineLevel="0" collapsed="false">
      <c r="A783" s="11"/>
      <c r="B783" s="24"/>
      <c r="C783" s="24"/>
      <c r="D783" s="31" t="str">
        <f aca="false">IF(C783="","",IF(LEN(UPPER(SUBSTITUTE(SUBSTITUTE(SUBSTITUTE(SUBSTITUTE(TRIM(C783),".",""),"/",""),"-","")," ","")))&lt;14,RIGHT(REPT("0",14)&amp;UPPER(SUBSTITUTE(SUBSTITUTE(SUBSTITUTE(SUBSTITUTE(TRIM(C783),".",""),"/",""),"-","")," ","")),14),UPPER(SUBSTITUTE(SUBSTITUTE(SUBSTITUTE(SUBSTITUTE(TRIM(C783),".",""),"/",""),"-","")," ",""))))</f>
        <v/>
      </c>
      <c r="E783" s="25" t="str">
        <f aca="false">IF(D783="","",IFERROR(INDEX(Empresas!$C:$C,MATCH(D783,Empresas!$B:$B,0)),"cadastre o CNPJ em Empresas"))</f>
        <v/>
      </c>
      <c r="F783" s="11"/>
      <c r="G783" s="23"/>
      <c r="H783" s="22"/>
      <c r="I783" s="35"/>
      <c r="J783" s="35"/>
      <c r="K783" s="36" t="str">
        <f aca="false">IF(I783="","",I783+J783)</f>
        <v/>
      </c>
      <c r="L783" s="37" t="str">
        <f aca="false">IF(OR(I783="",I783=0,J783=""),"",J783/I783)</f>
        <v/>
      </c>
      <c r="M783" s="25" t="str">
        <f aca="false">IF(L783="","",IF(L783&gt;0.25,"ACRÉSCIMO ACIMA DE 25% — conferir",""))</f>
        <v/>
      </c>
      <c r="N783" s="29" t="str">
        <f aca="false">IF(D783="","",IF(COUNTIFS(Empresas!$B:$B,D783,Empresas!$E:$E,"&lt;&gt;")=0,"",INDEX(Empresas!$E:$E,MATCH(D783,Empresas!$B:$B,0))))</f>
        <v/>
      </c>
      <c r="O783" s="27" t="str">
        <f aca="false">IF(OR(N783="",H783=""),"",H783-N783)</f>
        <v/>
      </c>
      <c r="P783" s="25" t="str">
        <f aca="false">IF(O783="","",IF(O783&lt;0,"CONTRATO ANTERIOR À ABERTURA — conferir datas",IF(O783&lt;180,"EMPRESA ABERTA MENOS DE 6 MESES ANTES","")))</f>
        <v/>
      </c>
      <c r="Q783" s="31" t="str">
        <f aca="false">IF(D783="","",IFERROR(INDEX(Sancoes!$D:$D,MATCH(D783,Sancoes!$C:$C,0)),"não consta"))</f>
        <v/>
      </c>
      <c r="R783" s="25" t="str">
        <f aca="false">IF(OR(D783="",H783=""),"",IF(SUMPRODUCT((Sancoes!$C$5:$C$304=D783)*(Sancoes!$G$5:$G$304&lt;=H783)*(((Sancoes!$H$5:$H$304="")+(Sancoes!$H$5:$H$304&gt;=H783))&gt;0))&gt;0,"SANÇÃO VIGENTE NA DATA — ler tipo e abrangência",""))</f>
        <v/>
      </c>
      <c r="S783" s="24"/>
      <c r="T783" s="11"/>
    </row>
    <row r="784" customFormat="false" ht="15" hidden="false" customHeight="false" outlineLevel="0" collapsed="false">
      <c r="A784" s="11"/>
      <c r="B784" s="24"/>
      <c r="C784" s="24"/>
      <c r="D784" s="31" t="str">
        <f aca="false">IF(C784="","",IF(LEN(UPPER(SUBSTITUTE(SUBSTITUTE(SUBSTITUTE(SUBSTITUTE(TRIM(C784),".",""),"/",""),"-","")," ","")))&lt;14,RIGHT(REPT("0",14)&amp;UPPER(SUBSTITUTE(SUBSTITUTE(SUBSTITUTE(SUBSTITUTE(TRIM(C784),".",""),"/",""),"-","")," ","")),14),UPPER(SUBSTITUTE(SUBSTITUTE(SUBSTITUTE(SUBSTITUTE(TRIM(C784),".",""),"/",""),"-","")," ",""))))</f>
        <v/>
      </c>
      <c r="E784" s="25" t="str">
        <f aca="false">IF(D784="","",IFERROR(INDEX(Empresas!$C:$C,MATCH(D784,Empresas!$B:$B,0)),"cadastre o CNPJ em Empresas"))</f>
        <v/>
      </c>
      <c r="F784" s="11"/>
      <c r="G784" s="23"/>
      <c r="H784" s="22"/>
      <c r="I784" s="35"/>
      <c r="J784" s="35"/>
      <c r="K784" s="36" t="str">
        <f aca="false">IF(I784="","",I784+J784)</f>
        <v/>
      </c>
      <c r="L784" s="37" t="str">
        <f aca="false">IF(OR(I784="",I784=0,J784=""),"",J784/I784)</f>
        <v/>
      </c>
      <c r="M784" s="25" t="str">
        <f aca="false">IF(L784="","",IF(L784&gt;0.25,"ACRÉSCIMO ACIMA DE 25% — conferir",""))</f>
        <v/>
      </c>
      <c r="N784" s="29" t="str">
        <f aca="false">IF(D784="","",IF(COUNTIFS(Empresas!$B:$B,D784,Empresas!$E:$E,"&lt;&gt;")=0,"",INDEX(Empresas!$E:$E,MATCH(D784,Empresas!$B:$B,0))))</f>
        <v/>
      </c>
      <c r="O784" s="27" t="str">
        <f aca="false">IF(OR(N784="",H784=""),"",H784-N784)</f>
        <v/>
      </c>
      <c r="P784" s="25" t="str">
        <f aca="false">IF(O784="","",IF(O784&lt;0,"CONTRATO ANTERIOR À ABERTURA — conferir datas",IF(O784&lt;180,"EMPRESA ABERTA MENOS DE 6 MESES ANTES","")))</f>
        <v/>
      </c>
      <c r="Q784" s="31" t="str">
        <f aca="false">IF(D784="","",IFERROR(INDEX(Sancoes!$D:$D,MATCH(D784,Sancoes!$C:$C,0)),"não consta"))</f>
        <v/>
      </c>
      <c r="R784" s="25" t="str">
        <f aca="false">IF(OR(D784="",H784=""),"",IF(SUMPRODUCT((Sancoes!$C$5:$C$304=D784)*(Sancoes!$G$5:$G$304&lt;=H784)*(((Sancoes!$H$5:$H$304="")+(Sancoes!$H$5:$H$304&gt;=H784))&gt;0))&gt;0,"SANÇÃO VIGENTE NA DATA — ler tipo e abrangência",""))</f>
        <v/>
      </c>
      <c r="S784" s="24"/>
      <c r="T784" s="11"/>
    </row>
    <row r="785" customFormat="false" ht="15" hidden="false" customHeight="false" outlineLevel="0" collapsed="false">
      <c r="A785" s="11"/>
      <c r="B785" s="24"/>
      <c r="C785" s="24"/>
      <c r="D785" s="31" t="str">
        <f aca="false">IF(C785="","",IF(LEN(UPPER(SUBSTITUTE(SUBSTITUTE(SUBSTITUTE(SUBSTITUTE(TRIM(C785),".",""),"/",""),"-","")," ","")))&lt;14,RIGHT(REPT("0",14)&amp;UPPER(SUBSTITUTE(SUBSTITUTE(SUBSTITUTE(SUBSTITUTE(TRIM(C785),".",""),"/",""),"-","")," ","")),14),UPPER(SUBSTITUTE(SUBSTITUTE(SUBSTITUTE(SUBSTITUTE(TRIM(C785),".",""),"/",""),"-","")," ",""))))</f>
        <v/>
      </c>
      <c r="E785" s="25" t="str">
        <f aca="false">IF(D785="","",IFERROR(INDEX(Empresas!$C:$C,MATCH(D785,Empresas!$B:$B,0)),"cadastre o CNPJ em Empresas"))</f>
        <v/>
      </c>
      <c r="F785" s="11"/>
      <c r="G785" s="23"/>
      <c r="H785" s="22"/>
      <c r="I785" s="35"/>
      <c r="J785" s="35"/>
      <c r="K785" s="36" t="str">
        <f aca="false">IF(I785="","",I785+J785)</f>
        <v/>
      </c>
      <c r="L785" s="37" t="str">
        <f aca="false">IF(OR(I785="",I785=0,J785=""),"",J785/I785)</f>
        <v/>
      </c>
      <c r="M785" s="25" t="str">
        <f aca="false">IF(L785="","",IF(L785&gt;0.25,"ACRÉSCIMO ACIMA DE 25% — conferir",""))</f>
        <v/>
      </c>
      <c r="N785" s="29" t="str">
        <f aca="false">IF(D785="","",IF(COUNTIFS(Empresas!$B:$B,D785,Empresas!$E:$E,"&lt;&gt;")=0,"",INDEX(Empresas!$E:$E,MATCH(D785,Empresas!$B:$B,0))))</f>
        <v/>
      </c>
      <c r="O785" s="27" t="str">
        <f aca="false">IF(OR(N785="",H785=""),"",H785-N785)</f>
        <v/>
      </c>
      <c r="P785" s="25" t="str">
        <f aca="false">IF(O785="","",IF(O785&lt;0,"CONTRATO ANTERIOR À ABERTURA — conferir datas",IF(O785&lt;180,"EMPRESA ABERTA MENOS DE 6 MESES ANTES","")))</f>
        <v/>
      </c>
      <c r="Q785" s="31" t="str">
        <f aca="false">IF(D785="","",IFERROR(INDEX(Sancoes!$D:$D,MATCH(D785,Sancoes!$C:$C,0)),"não consta"))</f>
        <v/>
      </c>
      <c r="R785" s="25" t="str">
        <f aca="false">IF(OR(D785="",H785=""),"",IF(SUMPRODUCT((Sancoes!$C$5:$C$304=D785)*(Sancoes!$G$5:$G$304&lt;=H785)*(((Sancoes!$H$5:$H$304="")+(Sancoes!$H$5:$H$304&gt;=H785))&gt;0))&gt;0,"SANÇÃO VIGENTE NA DATA — ler tipo e abrangência",""))</f>
        <v/>
      </c>
      <c r="S785" s="24"/>
      <c r="T785" s="11"/>
    </row>
    <row r="786" customFormat="false" ht="15" hidden="false" customHeight="false" outlineLevel="0" collapsed="false">
      <c r="A786" s="11"/>
      <c r="B786" s="24"/>
      <c r="C786" s="24"/>
      <c r="D786" s="31" t="str">
        <f aca="false">IF(C786="","",IF(LEN(UPPER(SUBSTITUTE(SUBSTITUTE(SUBSTITUTE(SUBSTITUTE(TRIM(C786),".",""),"/",""),"-","")," ","")))&lt;14,RIGHT(REPT("0",14)&amp;UPPER(SUBSTITUTE(SUBSTITUTE(SUBSTITUTE(SUBSTITUTE(TRIM(C786),".",""),"/",""),"-","")," ","")),14),UPPER(SUBSTITUTE(SUBSTITUTE(SUBSTITUTE(SUBSTITUTE(TRIM(C786),".",""),"/",""),"-","")," ",""))))</f>
        <v/>
      </c>
      <c r="E786" s="25" t="str">
        <f aca="false">IF(D786="","",IFERROR(INDEX(Empresas!$C:$C,MATCH(D786,Empresas!$B:$B,0)),"cadastre o CNPJ em Empresas"))</f>
        <v/>
      </c>
      <c r="F786" s="11"/>
      <c r="G786" s="23"/>
      <c r="H786" s="22"/>
      <c r="I786" s="35"/>
      <c r="J786" s="35"/>
      <c r="K786" s="36" t="str">
        <f aca="false">IF(I786="","",I786+J786)</f>
        <v/>
      </c>
      <c r="L786" s="37" t="str">
        <f aca="false">IF(OR(I786="",I786=0,J786=""),"",J786/I786)</f>
        <v/>
      </c>
      <c r="M786" s="25" t="str">
        <f aca="false">IF(L786="","",IF(L786&gt;0.25,"ACRÉSCIMO ACIMA DE 25% — conferir",""))</f>
        <v/>
      </c>
      <c r="N786" s="29" t="str">
        <f aca="false">IF(D786="","",IF(COUNTIFS(Empresas!$B:$B,D786,Empresas!$E:$E,"&lt;&gt;")=0,"",INDEX(Empresas!$E:$E,MATCH(D786,Empresas!$B:$B,0))))</f>
        <v/>
      </c>
      <c r="O786" s="27" t="str">
        <f aca="false">IF(OR(N786="",H786=""),"",H786-N786)</f>
        <v/>
      </c>
      <c r="P786" s="25" t="str">
        <f aca="false">IF(O786="","",IF(O786&lt;0,"CONTRATO ANTERIOR À ABERTURA — conferir datas",IF(O786&lt;180,"EMPRESA ABERTA MENOS DE 6 MESES ANTES","")))</f>
        <v/>
      </c>
      <c r="Q786" s="31" t="str">
        <f aca="false">IF(D786="","",IFERROR(INDEX(Sancoes!$D:$D,MATCH(D786,Sancoes!$C:$C,0)),"não consta"))</f>
        <v/>
      </c>
      <c r="R786" s="25" t="str">
        <f aca="false">IF(OR(D786="",H786=""),"",IF(SUMPRODUCT((Sancoes!$C$5:$C$304=D786)*(Sancoes!$G$5:$G$304&lt;=H786)*(((Sancoes!$H$5:$H$304="")+(Sancoes!$H$5:$H$304&gt;=H786))&gt;0))&gt;0,"SANÇÃO VIGENTE NA DATA — ler tipo e abrangência",""))</f>
        <v/>
      </c>
      <c r="S786" s="24"/>
      <c r="T786" s="11"/>
    </row>
    <row r="787" customFormat="false" ht="15" hidden="false" customHeight="false" outlineLevel="0" collapsed="false">
      <c r="A787" s="11"/>
      <c r="B787" s="24"/>
      <c r="C787" s="24"/>
      <c r="D787" s="31" t="str">
        <f aca="false">IF(C787="","",IF(LEN(UPPER(SUBSTITUTE(SUBSTITUTE(SUBSTITUTE(SUBSTITUTE(TRIM(C787),".",""),"/",""),"-","")," ","")))&lt;14,RIGHT(REPT("0",14)&amp;UPPER(SUBSTITUTE(SUBSTITUTE(SUBSTITUTE(SUBSTITUTE(TRIM(C787),".",""),"/",""),"-","")," ","")),14),UPPER(SUBSTITUTE(SUBSTITUTE(SUBSTITUTE(SUBSTITUTE(TRIM(C787),".",""),"/",""),"-","")," ",""))))</f>
        <v/>
      </c>
      <c r="E787" s="25" t="str">
        <f aca="false">IF(D787="","",IFERROR(INDEX(Empresas!$C:$C,MATCH(D787,Empresas!$B:$B,0)),"cadastre o CNPJ em Empresas"))</f>
        <v/>
      </c>
      <c r="F787" s="11"/>
      <c r="G787" s="23"/>
      <c r="H787" s="22"/>
      <c r="I787" s="35"/>
      <c r="J787" s="35"/>
      <c r="K787" s="36" t="str">
        <f aca="false">IF(I787="","",I787+J787)</f>
        <v/>
      </c>
      <c r="L787" s="37" t="str">
        <f aca="false">IF(OR(I787="",I787=0,J787=""),"",J787/I787)</f>
        <v/>
      </c>
      <c r="M787" s="25" t="str">
        <f aca="false">IF(L787="","",IF(L787&gt;0.25,"ACRÉSCIMO ACIMA DE 25% — conferir",""))</f>
        <v/>
      </c>
      <c r="N787" s="29" t="str">
        <f aca="false">IF(D787="","",IF(COUNTIFS(Empresas!$B:$B,D787,Empresas!$E:$E,"&lt;&gt;")=0,"",INDEX(Empresas!$E:$E,MATCH(D787,Empresas!$B:$B,0))))</f>
        <v/>
      </c>
      <c r="O787" s="27" t="str">
        <f aca="false">IF(OR(N787="",H787=""),"",H787-N787)</f>
        <v/>
      </c>
      <c r="P787" s="25" t="str">
        <f aca="false">IF(O787="","",IF(O787&lt;0,"CONTRATO ANTERIOR À ABERTURA — conferir datas",IF(O787&lt;180,"EMPRESA ABERTA MENOS DE 6 MESES ANTES","")))</f>
        <v/>
      </c>
      <c r="Q787" s="31" t="str">
        <f aca="false">IF(D787="","",IFERROR(INDEX(Sancoes!$D:$D,MATCH(D787,Sancoes!$C:$C,0)),"não consta"))</f>
        <v/>
      </c>
      <c r="R787" s="25" t="str">
        <f aca="false">IF(OR(D787="",H787=""),"",IF(SUMPRODUCT((Sancoes!$C$5:$C$304=D787)*(Sancoes!$G$5:$G$304&lt;=H787)*(((Sancoes!$H$5:$H$304="")+(Sancoes!$H$5:$H$304&gt;=H787))&gt;0))&gt;0,"SANÇÃO VIGENTE NA DATA — ler tipo e abrangência",""))</f>
        <v/>
      </c>
      <c r="S787" s="24"/>
      <c r="T787" s="11"/>
    </row>
    <row r="788" customFormat="false" ht="15" hidden="false" customHeight="false" outlineLevel="0" collapsed="false">
      <c r="A788" s="11"/>
      <c r="B788" s="24"/>
      <c r="C788" s="24"/>
      <c r="D788" s="31" t="str">
        <f aca="false">IF(C788="","",IF(LEN(UPPER(SUBSTITUTE(SUBSTITUTE(SUBSTITUTE(SUBSTITUTE(TRIM(C788),".",""),"/",""),"-","")," ","")))&lt;14,RIGHT(REPT("0",14)&amp;UPPER(SUBSTITUTE(SUBSTITUTE(SUBSTITUTE(SUBSTITUTE(TRIM(C788),".",""),"/",""),"-","")," ","")),14),UPPER(SUBSTITUTE(SUBSTITUTE(SUBSTITUTE(SUBSTITUTE(TRIM(C788),".",""),"/",""),"-","")," ",""))))</f>
        <v/>
      </c>
      <c r="E788" s="25" t="str">
        <f aca="false">IF(D788="","",IFERROR(INDEX(Empresas!$C:$C,MATCH(D788,Empresas!$B:$B,0)),"cadastre o CNPJ em Empresas"))</f>
        <v/>
      </c>
      <c r="F788" s="11"/>
      <c r="G788" s="23"/>
      <c r="H788" s="22"/>
      <c r="I788" s="35"/>
      <c r="J788" s="35"/>
      <c r="K788" s="36" t="str">
        <f aca="false">IF(I788="","",I788+J788)</f>
        <v/>
      </c>
      <c r="L788" s="37" t="str">
        <f aca="false">IF(OR(I788="",I788=0,J788=""),"",J788/I788)</f>
        <v/>
      </c>
      <c r="M788" s="25" t="str">
        <f aca="false">IF(L788="","",IF(L788&gt;0.25,"ACRÉSCIMO ACIMA DE 25% — conferir",""))</f>
        <v/>
      </c>
      <c r="N788" s="29" t="str">
        <f aca="false">IF(D788="","",IF(COUNTIFS(Empresas!$B:$B,D788,Empresas!$E:$E,"&lt;&gt;")=0,"",INDEX(Empresas!$E:$E,MATCH(D788,Empresas!$B:$B,0))))</f>
        <v/>
      </c>
      <c r="O788" s="27" t="str">
        <f aca="false">IF(OR(N788="",H788=""),"",H788-N788)</f>
        <v/>
      </c>
      <c r="P788" s="25" t="str">
        <f aca="false">IF(O788="","",IF(O788&lt;0,"CONTRATO ANTERIOR À ABERTURA — conferir datas",IF(O788&lt;180,"EMPRESA ABERTA MENOS DE 6 MESES ANTES","")))</f>
        <v/>
      </c>
      <c r="Q788" s="31" t="str">
        <f aca="false">IF(D788="","",IFERROR(INDEX(Sancoes!$D:$D,MATCH(D788,Sancoes!$C:$C,0)),"não consta"))</f>
        <v/>
      </c>
      <c r="R788" s="25" t="str">
        <f aca="false">IF(OR(D788="",H788=""),"",IF(SUMPRODUCT((Sancoes!$C$5:$C$304=D788)*(Sancoes!$G$5:$G$304&lt;=H788)*(((Sancoes!$H$5:$H$304="")+(Sancoes!$H$5:$H$304&gt;=H788))&gt;0))&gt;0,"SANÇÃO VIGENTE NA DATA — ler tipo e abrangência",""))</f>
        <v/>
      </c>
      <c r="S788" s="24"/>
      <c r="T788" s="11"/>
    </row>
    <row r="789" customFormat="false" ht="15" hidden="false" customHeight="false" outlineLevel="0" collapsed="false">
      <c r="A789" s="11"/>
      <c r="B789" s="24"/>
      <c r="C789" s="24"/>
      <c r="D789" s="31" t="str">
        <f aca="false">IF(C789="","",IF(LEN(UPPER(SUBSTITUTE(SUBSTITUTE(SUBSTITUTE(SUBSTITUTE(TRIM(C789),".",""),"/",""),"-","")," ","")))&lt;14,RIGHT(REPT("0",14)&amp;UPPER(SUBSTITUTE(SUBSTITUTE(SUBSTITUTE(SUBSTITUTE(TRIM(C789),".",""),"/",""),"-","")," ","")),14),UPPER(SUBSTITUTE(SUBSTITUTE(SUBSTITUTE(SUBSTITUTE(TRIM(C789),".",""),"/",""),"-","")," ",""))))</f>
        <v/>
      </c>
      <c r="E789" s="25" t="str">
        <f aca="false">IF(D789="","",IFERROR(INDEX(Empresas!$C:$C,MATCH(D789,Empresas!$B:$B,0)),"cadastre o CNPJ em Empresas"))</f>
        <v/>
      </c>
      <c r="F789" s="11"/>
      <c r="G789" s="23"/>
      <c r="H789" s="22"/>
      <c r="I789" s="35"/>
      <c r="J789" s="35"/>
      <c r="K789" s="36" t="str">
        <f aca="false">IF(I789="","",I789+J789)</f>
        <v/>
      </c>
      <c r="L789" s="37" t="str">
        <f aca="false">IF(OR(I789="",I789=0,J789=""),"",J789/I789)</f>
        <v/>
      </c>
      <c r="M789" s="25" t="str">
        <f aca="false">IF(L789="","",IF(L789&gt;0.25,"ACRÉSCIMO ACIMA DE 25% — conferir",""))</f>
        <v/>
      </c>
      <c r="N789" s="29" t="str">
        <f aca="false">IF(D789="","",IF(COUNTIFS(Empresas!$B:$B,D789,Empresas!$E:$E,"&lt;&gt;")=0,"",INDEX(Empresas!$E:$E,MATCH(D789,Empresas!$B:$B,0))))</f>
        <v/>
      </c>
      <c r="O789" s="27" t="str">
        <f aca="false">IF(OR(N789="",H789=""),"",H789-N789)</f>
        <v/>
      </c>
      <c r="P789" s="25" t="str">
        <f aca="false">IF(O789="","",IF(O789&lt;0,"CONTRATO ANTERIOR À ABERTURA — conferir datas",IF(O789&lt;180,"EMPRESA ABERTA MENOS DE 6 MESES ANTES","")))</f>
        <v/>
      </c>
      <c r="Q789" s="31" t="str">
        <f aca="false">IF(D789="","",IFERROR(INDEX(Sancoes!$D:$D,MATCH(D789,Sancoes!$C:$C,0)),"não consta"))</f>
        <v/>
      </c>
      <c r="R789" s="25" t="str">
        <f aca="false">IF(OR(D789="",H789=""),"",IF(SUMPRODUCT((Sancoes!$C$5:$C$304=D789)*(Sancoes!$G$5:$G$304&lt;=H789)*(((Sancoes!$H$5:$H$304="")+(Sancoes!$H$5:$H$304&gt;=H789))&gt;0))&gt;0,"SANÇÃO VIGENTE NA DATA — ler tipo e abrangência",""))</f>
        <v/>
      </c>
      <c r="S789" s="24"/>
      <c r="T789" s="11"/>
    </row>
    <row r="790" customFormat="false" ht="15" hidden="false" customHeight="false" outlineLevel="0" collapsed="false">
      <c r="A790" s="11"/>
      <c r="B790" s="24"/>
      <c r="C790" s="24"/>
      <c r="D790" s="31" t="str">
        <f aca="false">IF(C790="","",IF(LEN(UPPER(SUBSTITUTE(SUBSTITUTE(SUBSTITUTE(SUBSTITUTE(TRIM(C790),".",""),"/",""),"-","")," ","")))&lt;14,RIGHT(REPT("0",14)&amp;UPPER(SUBSTITUTE(SUBSTITUTE(SUBSTITUTE(SUBSTITUTE(TRIM(C790),".",""),"/",""),"-","")," ","")),14),UPPER(SUBSTITUTE(SUBSTITUTE(SUBSTITUTE(SUBSTITUTE(TRIM(C790),".",""),"/",""),"-","")," ",""))))</f>
        <v/>
      </c>
      <c r="E790" s="25" t="str">
        <f aca="false">IF(D790="","",IFERROR(INDEX(Empresas!$C:$C,MATCH(D790,Empresas!$B:$B,0)),"cadastre o CNPJ em Empresas"))</f>
        <v/>
      </c>
      <c r="F790" s="11"/>
      <c r="G790" s="23"/>
      <c r="H790" s="22"/>
      <c r="I790" s="35"/>
      <c r="J790" s="35"/>
      <c r="K790" s="36" t="str">
        <f aca="false">IF(I790="","",I790+J790)</f>
        <v/>
      </c>
      <c r="L790" s="37" t="str">
        <f aca="false">IF(OR(I790="",I790=0,J790=""),"",J790/I790)</f>
        <v/>
      </c>
      <c r="M790" s="25" t="str">
        <f aca="false">IF(L790="","",IF(L790&gt;0.25,"ACRÉSCIMO ACIMA DE 25% — conferir",""))</f>
        <v/>
      </c>
      <c r="N790" s="29" t="str">
        <f aca="false">IF(D790="","",IF(COUNTIFS(Empresas!$B:$B,D790,Empresas!$E:$E,"&lt;&gt;")=0,"",INDEX(Empresas!$E:$E,MATCH(D790,Empresas!$B:$B,0))))</f>
        <v/>
      </c>
      <c r="O790" s="27" t="str">
        <f aca="false">IF(OR(N790="",H790=""),"",H790-N790)</f>
        <v/>
      </c>
      <c r="P790" s="25" t="str">
        <f aca="false">IF(O790="","",IF(O790&lt;0,"CONTRATO ANTERIOR À ABERTURA — conferir datas",IF(O790&lt;180,"EMPRESA ABERTA MENOS DE 6 MESES ANTES","")))</f>
        <v/>
      </c>
      <c r="Q790" s="31" t="str">
        <f aca="false">IF(D790="","",IFERROR(INDEX(Sancoes!$D:$D,MATCH(D790,Sancoes!$C:$C,0)),"não consta"))</f>
        <v/>
      </c>
      <c r="R790" s="25" t="str">
        <f aca="false">IF(OR(D790="",H790=""),"",IF(SUMPRODUCT((Sancoes!$C$5:$C$304=D790)*(Sancoes!$G$5:$G$304&lt;=H790)*(((Sancoes!$H$5:$H$304="")+(Sancoes!$H$5:$H$304&gt;=H790))&gt;0))&gt;0,"SANÇÃO VIGENTE NA DATA — ler tipo e abrangência",""))</f>
        <v/>
      </c>
      <c r="S790" s="24"/>
      <c r="T790" s="11"/>
    </row>
    <row r="791" customFormat="false" ht="15" hidden="false" customHeight="false" outlineLevel="0" collapsed="false">
      <c r="A791" s="11"/>
      <c r="B791" s="24"/>
      <c r="C791" s="24"/>
      <c r="D791" s="31" t="str">
        <f aca="false">IF(C791="","",IF(LEN(UPPER(SUBSTITUTE(SUBSTITUTE(SUBSTITUTE(SUBSTITUTE(TRIM(C791),".",""),"/",""),"-","")," ","")))&lt;14,RIGHT(REPT("0",14)&amp;UPPER(SUBSTITUTE(SUBSTITUTE(SUBSTITUTE(SUBSTITUTE(TRIM(C791),".",""),"/",""),"-","")," ","")),14),UPPER(SUBSTITUTE(SUBSTITUTE(SUBSTITUTE(SUBSTITUTE(TRIM(C791),".",""),"/",""),"-","")," ",""))))</f>
        <v/>
      </c>
      <c r="E791" s="25" t="str">
        <f aca="false">IF(D791="","",IFERROR(INDEX(Empresas!$C:$C,MATCH(D791,Empresas!$B:$B,0)),"cadastre o CNPJ em Empresas"))</f>
        <v/>
      </c>
      <c r="F791" s="11"/>
      <c r="G791" s="23"/>
      <c r="H791" s="22"/>
      <c r="I791" s="35"/>
      <c r="J791" s="35"/>
      <c r="K791" s="36" t="str">
        <f aca="false">IF(I791="","",I791+J791)</f>
        <v/>
      </c>
      <c r="L791" s="37" t="str">
        <f aca="false">IF(OR(I791="",I791=0,J791=""),"",J791/I791)</f>
        <v/>
      </c>
      <c r="M791" s="25" t="str">
        <f aca="false">IF(L791="","",IF(L791&gt;0.25,"ACRÉSCIMO ACIMA DE 25% — conferir",""))</f>
        <v/>
      </c>
      <c r="N791" s="29" t="str">
        <f aca="false">IF(D791="","",IF(COUNTIFS(Empresas!$B:$B,D791,Empresas!$E:$E,"&lt;&gt;")=0,"",INDEX(Empresas!$E:$E,MATCH(D791,Empresas!$B:$B,0))))</f>
        <v/>
      </c>
      <c r="O791" s="27" t="str">
        <f aca="false">IF(OR(N791="",H791=""),"",H791-N791)</f>
        <v/>
      </c>
      <c r="P791" s="25" t="str">
        <f aca="false">IF(O791="","",IF(O791&lt;0,"CONTRATO ANTERIOR À ABERTURA — conferir datas",IF(O791&lt;180,"EMPRESA ABERTA MENOS DE 6 MESES ANTES","")))</f>
        <v/>
      </c>
      <c r="Q791" s="31" t="str">
        <f aca="false">IF(D791="","",IFERROR(INDEX(Sancoes!$D:$D,MATCH(D791,Sancoes!$C:$C,0)),"não consta"))</f>
        <v/>
      </c>
      <c r="R791" s="25" t="str">
        <f aca="false">IF(OR(D791="",H791=""),"",IF(SUMPRODUCT((Sancoes!$C$5:$C$304=D791)*(Sancoes!$G$5:$G$304&lt;=H791)*(((Sancoes!$H$5:$H$304="")+(Sancoes!$H$5:$H$304&gt;=H791))&gt;0))&gt;0,"SANÇÃO VIGENTE NA DATA — ler tipo e abrangência",""))</f>
        <v/>
      </c>
      <c r="S791" s="24"/>
      <c r="T791" s="11"/>
    </row>
    <row r="792" customFormat="false" ht="15" hidden="false" customHeight="false" outlineLevel="0" collapsed="false">
      <c r="A792" s="11"/>
      <c r="B792" s="24"/>
      <c r="C792" s="24"/>
      <c r="D792" s="31" t="str">
        <f aca="false">IF(C792="","",IF(LEN(UPPER(SUBSTITUTE(SUBSTITUTE(SUBSTITUTE(SUBSTITUTE(TRIM(C792),".",""),"/",""),"-","")," ","")))&lt;14,RIGHT(REPT("0",14)&amp;UPPER(SUBSTITUTE(SUBSTITUTE(SUBSTITUTE(SUBSTITUTE(TRIM(C792),".",""),"/",""),"-","")," ","")),14),UPPER(SUBSTITUTE(SUBSTITUTE(SUBSTITUTE(SUBSTITUTE(TRIM(C792),".",""),"/",""),"-","")," ",""))))</f>
        <v/>
      </c>
      <c r="E792" s="25" t="str">
        <f aca="false">IF(D792="","",IFERROR(INDEX(Empresas!$C:$C,MATCH(D792,Empresas!$B:$B,0)),"cadastre o CNPJ em Empresas"))</f>
        <v/>
      </c>
      <c r="F792" s="11"/>
      <c r="G792" s="23"/>
      <c r="H792" s="22"/>
      <c r="I792" s="35"/>
      <c r="J792" s="35"/>
      <c r="K792" s="36" t="str">
        <f aca="false">IF(I792="","",I792+J792)</f>
        <v/>
      </c>
      <c r="L792" s="37" t="str">
        <f aca="false">IF(OR(I792="",I792=0,J792=""),"",J792/I792)</f>
        <v/>
      </c>
      <c r="M792" s="25" t="str">
        <f aca="false">IF(L792="","",IF(L792&gt;0.25,"ACRÉSCIMO ACIMA DE 25% — conferir",""))</f>
        <v/>
      </c>
      <c r="N792" s="29" t="str">
        <f aca="false">IF(D792="","",IF(COUNTIFS(Empresas!$B:$B,D792,Empresas!$E:$E,"&lt;&gt;")=0,"",INDEX(Empresas!$E:$E,MATCH(D792,Empresas!$B:$B,0))))</f>
        <v/>
      </c>
      <c r="O792" s="27" t="str">
        <f aca="false">IF(OR(N792="",H792=""),"",H792-N792)</f>
        <v/>
      </c>
      <c r="P792" s="25" t="str">
        <f aca="false">IF(O792="","",IF(O792&lt;0,"CONTRATO ANTERIOR À ABERTURA — conferir datas",IF(O792&lt;180,"EMPRESA ABERTA MENOS DE 6 MESES ANTES","")))</f>
        <v/>
      </c>
      <c r="Q792" s="31" t="str">
        <f aca="false">IF(D792="","",IFERROR(INDEX(Sancoes!$D:$D,MATCH(D792,Sancoes!$C:$C,0)),"não consta"))</f>
        <v/>
      </c>
      <c r="R792" s="25" t="str">
        <f aca="false">IF(OR(D792="",H792=""),"",IF(SUMPRODUCT((Sancoes!$C$5:$C$304=D792)*(Sancoes!$G$5:$G$304&lt;=H792)*(((Sancoes!$H$5:$H$304="")+(Sancoes!$H$5:$H$304&gt;=H792))&gt;0))&gt;0,"SANÇÃO VIGENTE NA DATA — ler tipo e abrangência",""))</f>
        <v/>
      </c>
      <c r="S792" s="24"/>
      <c r="T792" s="11"/>
    </row>
    <row r="793" customFormat="false" ht="15" hidden="false" customHeight="false" outlineLevel="0" collapsed="false">
      <c r="A793" s="11"/>
      <c r="B793" s="24"/>
      <c r="C793" s="24"/>
      <c r="D793" s="31" t="str">
        <f aca="false">IF(C793="","",IF(LEN(UPPER(SUBSTITUTE(SUBSTITUTE(SUBSTITUTE(SUBSTITUTE(TRIM(C793),".",""),"/",""),"-","")," ","")))&lt;14,RIGHT(REPT("0",14)&amp;UPPER(SUBSTITUTE(SUBSTITUTE(SUBSTITUTE(SUBSTITUTE(TRIM(C793),".",""),"/",""),"-","")," ","")),14),UPPER(SUBSTITUTE(SUBSTITUTE(SUBSTITUTE(SUBSTITUTE(TRIM(C793),".",""),"/",""),"-","")," ",""))))</f>
        <v/>
      </c>
      <c r="E793" s="25" t="str">
        <f aca="false">IF(D793="","",IFERROR(INDEX(Empresas!$C:$C,MATCH(D793,Empresas!$B:$B,0)),"cadastre o CNPJ em Empresas"))</f>
        <v/>
      </c>
      <c r="F793" s="11"/>
      <c r="G793" s="23"/>
      <c r="H793" s="22"/>
      <c r="I793" s="35"/>
      <c r="J793" s="35"/>
      <c r="K793" s="36" t="str">
        <f aca="false">IF(I793="","",I793+J793)</f>
        <v/>
      </c>
      <c r="L793" s="37" t="str">
        <f aca="false">IF(OR(I793="",I793=0,J793=""),"",J793/I793)</f>
        <v/>
      </c>
      <c r="M793" s="25" t="str">
        <f aca="false">IF(L793="","",IF(L793&gt;0.25,"ACRÉSCIMO ACIMA DE 25% — conferir",""))</f>
        <v/>
      </c>
      <c r="N793" s="29" t="str">
        <f aca="false">IF(D793="","",IF(COUNTIFS(Empresas!$B:$B,D793,Empresas!$E:$E,"&lt;&gt;")=0,"",INDEX(Empresas!$E:$E,MATCH(D793,Empresas!$B:$B,0))))</f>
        <v/>
      </c>
      <c r="O793" s="27" t="str">
        <f aca="false">IF(OR(N793="",H793=""),"",H793-N793)</f>
        <v/>
      </c>
      <c r="P793" s="25" t="str">
        <f aca="false">IF(O793="","",IF(O793&lt;0,"CONTRATO ANTERIOR À ABERTURA — conferir datas",IF(O793&lt;180,"EMPRESA ABERTA MENOS DE 6 MESES ANTES","")))</f>
        <v/>
      </c>
      <c r="Q793" s="31" t="str">
        <f aca="false">IF(D793="","",IFERROR(INDEX(Sancoes!$D:$D,MATCH(D793,Sancoes!$C:$C,0)),"não consta"))</f>
        <v/>
      </c>
      <c r="R793" s="25" t="str">
        <f aca="false">IF(OR(D793="",H793=""),"",IF(SUMPRODUCT((Sancoes!$C$5:$C$304=D793)*(Sancoes!$G$5:$G$304&lt;=H793)*(((Sancoes!$H$5:$H$304="")+(Sancoes!$H$5:$H$304&gt;=H793))&gt;0))&gt;0,"SANÇÃO VIGENTE NA DATA — ler tipo e abrangência",""))</f>
        <v/>
      </c>
      <c r="S793" s="24"/>
      <c r="T793" s="11"/>
    </row>
    <row r="794" customFormat="false" ht="15" hidden="false" customHeight="false" outlineLevel="0" collapsed="false">
      <c r="A794" s="11"/>
      <c r="B794" s="24"/>
      <c r="C794" s="24"/>
      <c r="D794" s="31" t="str">
        <f aca="false">IF(C794="","",IF(LEN(UPPER(SUBSTITUTE(SUBSTITUTE(SUBSTITUTE(SUBSTITUTE(TRIM(C794),".",""),"/",""),"-","")," ","")))&lt;14,RIGHT(REPT("0",14)&amp;UPPER(SUBSTITUTE(SUBSTITUTE(SUBSTITUTE(SUBSTITUTE(TRIM(C794),".",""),"/",""),"-","")," ","")),14),UPPER(SUBSTITUTE(SUBSTITUTE(SUBSTITUTE(SUBSTITUTE(TRIM(C794),".",""),"/",""),"-","")," ",""))))</f>
        <v/>
      </c>
      <c r="E794" s="25" t="str">
        <f aca="false">IF(D794="","",IFERROR(INDEX(Empresas!$C:$C,MATCH(D794,Empresas!$B:$B,0)),"cadastre o CNPJ em Empresas"))</f>
        <v/>
      </c>
      <c r="F794" s="11"/>
      <c r="G794" s="23"/>
      <c r="H794" s="22"/>
      <c r="I794" s="35"/>
      <c r="J794" s="35"/>
      <c r="K794" s="36" t="str">
        <f aca="false">IF(I794="","",I794+J794)</f>
        <v/>
      </c>
      <c r="L794" s="37" t="str">
        <f aca="false">IF(OR(I794="",I794=0,J794=""),"",J794/I794)</f>
        <v/>
      </c>
      <c r="M794" s="25" t="str">
        <f aca="false">IF(L794="","",IF(L794&gt;0.25,"ACRÉSCIMO ACIMA DE 25% — conferir",""))</f>
        <v/>
      </c>
      <c r="N794" s="29" t="str">
        <f aca="false">IF(D794="","",IF(COUNTIFS(Empresas!$B:$B,D794,Empresas!$E:$E,"&lt;&gt;")=0,"",INDEX(Empresas!$E:$E,MATCH(D794,Empresas!$B:$B,0))))</f>
        <v/>
      </c>
      <c r="O794" s="27" t="str">
        <f aca="false">IF(OR(N794="",H794=""),"",H794-N794)</f>
        <v/>
      </c>
      <c r="P794" s="25" t="str">
        <f aca="false">IF(O794="","",IF(O794&lt;0,"CONTRATO ANTERIOR À ABERTURA — conferir datas",IF(O794&lt;180,"EMPRESA ABERTA MENOS DE 6 MESES ANTES","")))</f>
        <v/>
      </c>
      <c r="Q794" s="31" t="str">
        <f aca="false">IF(D794="","",IFERROR(INDEX(Sancoes!$D:$D,MATCH(D794,Sancoes!$C:$C,0)),"não consta"))</f>
        <v/>
      </c>
      <c r="R794" s="25" t="str">
        <f aca="false">IF(OR(D794="",H794=""),"",IF(SUMPRODUCT((Sancoes!$C$5:$C$304=D794)*(Sancoes!$G$5:$G$304&lt;=H794)*(((Sancoes!$H$5:$H$304="")+(Sancoes!$H$5:$H$304&gt;=H794))&gt;0))&gt;0,"SANÇÃO VIGENTE NA DATA — ler tipo e abrangência",""))</f>
        <v/>
      </c>
      <c r="S794" s="24"/>
      <c r="T794" s="11"/>
    </row>
    <row r="795" customFormat="false" ht="15" hidden="false" customHeight="false" outlineLevel="0" collapsed="false">
      <c r="A795" s="11"/>
      <c r="B795" s="24"/>
      <c r="C795" s="24"/>
      <c r="D795" s="31" t="str">
        <f aca="false">IF(C795="","",IF(LEN(UPPER(SUBSTITUTE(SUBSTITUTE(SUBSTITUTE(SUBSTITUTE(TRIM(C795),".",""),"/",""),"-","")," ","")))&lt;14,RIGHT(REPT("0",14)&amp;UPPER(SUBSTITUTE(SUBSTITUTE(SUBSTITUTE(SUBSTITUTE(TRIM(C795),".",""),"/",""),"-","")," ","")),14),UPPER(SUBSTITUTE(SUBSTITUTE(SUBSTITUTE(SUBSTITUTE(TRIM(C795),".",""),"/",""),"-","")," ",""))))</f>
        <v/>
      </c>
      <c r="E795" s="25" t="str">
        <f aca="false">IF(D795="","",IFERROR(INDEX(Empresas!$C:$C,MATCH(D795,Empresas!$B:$B,0)),"cadastre o CNPJ em Empresas"))</f>
        <v/>
      </c>
      <c r="F795" s="11"/>
      <c r="G795" s="23"/>
      <c r="H795" s="22"/>
      <c r="I795" s="35"/>
      <c r="J795" s="35"/>
      <c r="K795" s="36" t="str">
        <f aca="false">IF(I795="","",I795+J795)</f>
        <v/>
      </c>
      <c r="L795" s="37" t="str">
        <f aca="false">IF(OR(I795="",I795=0,J795=""),"",J795/I795)</f>
        <v/>
      </c>
      <c r="M795" s="25" t="str">
        <f aca="false">IF(L795="","",IF(L795&gt;0.25,"ACRÉSCIMO ACIMA DE 25% — conferir",""))</f>
        <v/>
      </c>
      <c r="N795" s="29" t="str">
        <f aca="false">IF(D795="","",IF(COUNTIFS(Empresas!$B:$B,D795,Empresas!$E:$E,"&lt;&gt;")=0,"",INDEX(Empresas!$E:$E,MATCH(D795,Empresas!$B:$B,0))))</f>
        <v/>
      </c>
      <c r="O795" s="27" t="str">
        <f aca="false">IF(OR(N795="",H795=""),"",H795-N795)</f>
        <v/>
      </c>
      <c r="P795" s="25" t="str">
        <f aca="false">IF(O795="","",IF(O795&lt;0,"CONTRATO ANTERIOR À ABERTURA — conferir datas",IF(O795&lt;180,"EMPRESA ABERTA MENOS DE 6 MESES ANTES","")))</f>
        <v/>
      </c>
      <c r="Q795" s="31" t="str">
        <f aca="false">IF(D795="","",IFERROR(INDEX(Sancoes!$D:$D,MATCH(D795,Sancoes!$C:$C,0)),"não consta"))</f>
        <v/>
      </c>
      <c r="R795" s="25" t="str">
        <f aca="false">IF(OR(D795="",H795=""),"",IF(SUMPRODUCT((Sancoes!$C$5:$C$304=D795)*(Sancoes!$G$5:$G$304&lt;=H795)*(((Sancoes!$H$5:$H$304="")+(Sancoes!$H$5:$H$304&gt;=H795))&gt;0))&gt;0,"SANÇÃO VIGENTE NA DATA — ler tipo e abrangência",""))</f>
        <v/>
      </c>
      <c r="S795" s="24"/>
      <c r="T795" s="11"/>
    </row>
    <row r="796" customFormat="false" ht="15" hidden="false" customHeight="false" outlineLevel="0" collapsed="false">
      <c r="A796" s="11"/>
      <c r="B796" s="24"/>
      <c r="C796" s="24"/>
      <c r="D796" s="31" t="str">
        <f aca="false">IF(C796="","",IF(LEN(UPPER(SUBSTITUTE(SUBSTITUTE(SUBSTITUTE(SUBSTITUTE(TRIM(C796),".",""),"/",""),"-","")," ","")))&lt;14,RIGHT(REPT("0",14)&amp;UPPER(SUBSTITUTE(SUBSTITUTE(SUBSTITUTE(SUBSTITUTE(TRIM(C796),".",""),"/",""),"-","")," ","")),14),UPPER(SUBSTITUTE(SUBSTITUTE(SUBSTITUTE(SUBSTITUTE(TRIM(C796),".",""),"/",""),"-","")," ",""))))</f>
        <v/>
      </c>
      <c r="E796" s="25" t="str">
        <f aca="false">IF(D796="","",IFERROR(INDEX(Empresas!$C:$C,MATCH(D796,Empresas!$B:$B,0)),"cadastre o CNPJ em Empresas"))</f>
        <v/>
      </c>
      <c r="F796" s="11"/>
      <c r="G796" s="23"/>
      <c r="H796" s="22"/>
      <c r="I796" s="35"/>
      <c r="J796" s="35"/>
      <c r="K796" s="36" t="str">
        <f aca="false">IF(I796="","",I796+J796)</f>
        <v/>
      </c>
      <c r="L796" s="37" t="str">
        <f aca="false">IF(OR(I796="",I796=0,J796=""),"",J796/I796)</f>
        <v/>
      </c>
      <c r="M796" s="25" t="str">
        <f aca="false">IF(L796="","",IF(L796&gt;0.25,"ACRÉSCIMO ACIMA DE 25% — conferir",""))</f>
        <v/>
      </c>
      <c r="N796" s="29" t="str">
        <f aca="false">IF(D796="","",IF(COUNTIFS(Empresas!$B:$B,D796,Empresas!$E:$E,"&lt;&gt;")=0,"",INDEX(Empresas!$E:$E,MATCH(D796,Empresas!$B:$B,0))))</f>
        <v/>
      </c>
      <c r="O796" s="27" t="str">
        <f aca="false">IF(OR(N796="",H796=""),"",H796-N796)</f>
        <v/>
      </c>
      <c r="P796" s="25" t="str">
        <f aca="false">IF(O796="","",IF(O796&lt;0,"CONTRATO ANTERIOR À ABERTURA — conferir datas",IF(O796&lt;180,"EMPRESA ABERTA MENOS DE 6 MESES ANTES","")))</f>
        <v/>
      </c>
      <c r="Q796" s="31" t="str">
        <f aca="false">IF(D796="","",IFERROR(INDEX(Sancoes!$D:$D,MATCH(D796,Sancoes!$C:$C,0)),"não consta"))</f>
        <v/>
      </c>
      <c r="R796" s="25" t="str">
        <f aca="false">IF(OR(D796="",H796=""),"",IF(SUMPRODUCT((Sancoes!$C$5:$C$304=D796)*(Sancoes!$G$5:$G$304&lt;=H796)*(((Sancoes!$H$5:$H$304="")+(Sancoes!$H$5:$H$304&gt;=H796))&gt;0))&gt;0,"SANÇÃO VIGENTE NA DATA — ler tipo e abrangência",""))</f>
        <v/>
      </c>
      <c r="S796" s="24"/>
      <c r="T796" s="11"/>
    </row>
    <row r="797" customFormat="false" ht="15" hidden="false" customHeight="false" outlineLevel="0" collapsed="false">
      <c r="A797" s="11"/>
      <c r="B797" s="24"/>
      <c r="C797" s="24"/>
      <c r="D797" s="31" t="str">
        <f aca="false">IF(C797="","",IF(LEN(UPPER(SUBSTITUTE(SUBSTITUTE(SUBSTITUTE(SUBSTITUTE(TRIM(C797),".",""),"/",""),"-","")," ","")))&lt;14,RIGHT(REPT("0",14)&amp;UPPER(SUBSTITUTE(SUBSTITUTE(SUBSTITUTE(SUBSTITUTE(TRIM(C797),".",""),"/",""),"-","")," ","")),14),UPPER(SUBSTITUTE(SUBSTITUTE(SUBSTITUTE(SUBSTITUTE(TRIM(C797),".",""),"/",""),"-","")," ",""))))</f>
        <v/>
      </c>
      <c r="E797" s="25" t="str">
        <f aca="false">IF(D797="","",IFERROR(INDEX(Empresas!$C:$C,MATCH(D797,Empresas!$B:$B,0)),"cadastre o CNPJ em Empresas"))</f>
        <v/>
      </c>
      <c r="F797" s="11"/>
      <c r="G797" s="23"/>
      <c r="H797" s="22"/>
      <c r="I797" s="35"/>
      <c r="J797" s="35"/>
      <c r="K797" s="36" t="str">
        <f aca="false">IF(I797="","",I797+J797)</f>
        <v/>
      </c>
      <c r="L797" s="37" t="str">
        <f aca="false">IF(OR(I797="",I797=0,J797=""),"",J797/I797)</f>
        <v/>
      </c>
      <c r="M797" s="25" t="str">
        <f aca="false">IF(L797="","",IF(L797&gt;0.25,"ACRÉSCIMO ACIMA DE 25% — conferir",""))</f>
        <v/>
      </c>
      <c r="N797" s="29" t="str">
        <f aca="false">IF(D797="","",IF(COUNTIFS(Empresas!$B:$B,D797,Empresas!$E:$E,"&lt;&gt;")=0,"",INDEX(Empresas!$E:$E,MATCH(D797,Empresas!$B:$B,0))))</f>
        <v/>
      </c>
      <c r="O797" s="27" t="str">
        <f aca="false">IF(OR(N797="",H797=""),"",H797-N797)</f>
        <v/>
      </c>
      <c r="P797" s="25" t="str">
        <f aca="false">IF(O797="","",IF(O797&lt;0,"CONTRATO ANTERIOR À ABERTURA — conferir datas",IF(O797&lt;180,"EMPRESA ABERTA MENOS DE 6 MESES ANTES","")))</f>
        <v/>
      </c>
      <c r="Q797" s="31" t="str">
        <f aca="false">IF(D797="","",IFERROR(INDEX(Sancoes!$D:$D,MATCH(D797,Sancoes!$C:$C,0)),"não consta"))</f>
        <v/>
      </c>
      <c r="R797" s="25" t="str">
        <f aca="false">IF(OR(D797="",H797=""),"",IF(SUMPRODUCT((Sancoes!$C$5:$C$304=D797)*(Sancoes!$G$5:$G$304&lt;=H797)*(((Sancoes!$H$5:$H$304="")+(Sancoes!$H$5:$H$304&gt;=H797))&gt;0))&gt;0,"SANÇÃO VIGENTE NA DATA — ler tipo e abrangência",""))</f>
        <v/>
      </c>
      <c r="S797" s="24"/>
      <c r="T797" s="11"/>
    </row>
    <row r="798" customFormat="false" ht="15" hidden="false" customHeight="false" outlineLevel="0" collapsed="false">
      <c r="A798" s="11"/>
      <c r="B798" s="24"/>
      <c r="C798" s="24"/>
      <c r="D798" s="31" t="str">
        <f aca="false">IF(C798="","",IF(LEN(UPPER(SUBSTITUTE(SUBSTITUTE(SUBSTITUTE(SUBSTITUTE(TRIM(C798),".",""),"/",""),"-","")," ","")))&lt;14,RIGHT(REPT("0",14)&amp;UPPER(SUBSTITUTE(SUBSTITUTE(SUBSTITUTE(SUBSTITUTE(TRIM(C798),".",""),"/",""),"-","")," ","")),14),UPPER(SUBSTITUTE(SUBSTITUTE(SUBSTITUTE(SUBSTITUTE(TRIM(C798),".",""),"/",""),"-","")," ",""))))</f>
        <v/>
      </c>
      <c r="E798" s="25" t="str">
        <f aca="false">IF(D798="","",IFERROR(INDEX(Empresas!$C:$C,MATCH(D798,Empresas!$B:$B,0)),"cadastre o CNPJ em Empresas"))</f>
        <v/>
      </c>
      <c r="F798" s="11"/>
      <c r="G798" s="23"/>
      <c r="H798" s="22"/>
      <c r="I798" s="35"/>
      <c r="J798" s="35"/>
      <c r="K798" s="36" t="str">
        <f aca="false">IF(I798="","",I798+J798)</f>
        <v/>
      </c>
      <c r="L798" s="37" t="str">
        <f aca="false">IF(OR(I798="",I798=0,J798=""),"",J798/I798)</f>
        <v/>
      </c>
      <c r="M798" s="25" t="str">
        <f aca="false">IF(L798="","",IF(L798&gt;0.25,"ACRÉSCIMO ACIMA DE 25% — conferir",""))</f>
        <v/>
      </c>
      <c r="N798" s="29" t="str">
        <f aca="false">IF(D798="","",IF(COUNTIFS(Empresas!$B:$B,D798,Empresas!$E:$E,"&lt;&gt;")=0,"",INDEX(Empresas!$E:$E,MATCH(D798,Empresas!$B:$B,0))))</f>
        <v/>
      </c>
      <c r="O798" s="27" t="str">
        <f aca="false">IF(OR(N798="",H798=""),"",H798-N798)</f>
        <v/>
      </c>
      <c r="P798" s="25" t="str">
        <f aca="false">IF(O798="","",IF(O798&lt;0,"CONTRATO ANTERIOR À ABERTURA — conferir datas",IF(O798&lt;180,"EMPRESA ABERTA MENOS DE 6 MESES ANTES","")))</f>
        <v/>
      </c>
      <c r="Q798" s="31" t="str">
        <f aca="false">IF(D798="","",IFERROR(INDEX(Sancoes!$D:$D,MATCH(D798,Sancoes!$C:$C,0)),"não consta"))</f>
        <v/>
      </c>
      <c r="R798" s="25" t="str">
        <f aca="false">IF(OR(D798="",H798=""),"",IF(SUMPRODUCT((Sancoes!$C$5:$C$304=D798)*(Sancoes!$G$5:$G$304&lt;=H798)*(((Sancoes!$H$5:$H$304="")+(Sancoes!$H$5:$H$304&gt;=H798))&gt;0))&gt;0,"SANÇÃO VIGENTE NA DATA — ler tipo e abrangência",""))</f>
        <v/>
      </c>
      <c r="S798" s="24"/>
      <c r="T798" s="11"/>
    </row>
    <row r="799" customFormat="false" ht="15" hidden="false" customHeight="false" outlineLevel="0" collapsed="false">
      <c r="A799" s="11"/>
      <c r="B799" s="24"/>
      <c r="C799" s="24"/>
      <c r="D799" s="31" t="str">
        <f aca="false">IF(C799="","",IF(LEN(UPPER(SUBSTITUTE(SUBSTITUTE(SUBSTITUTE(SUBSTITUTE(TRIM(C799),".",""),"/",""),"-","")," ","")))&lt;14,RIGHT(REPT("0",14)&amp;UPPER(SUBSTITUTE(SUBSTITUTE(SUBSTITUTE(SUBSTITUTE(TRIM(C799),".",""),"/",""),"-","")," ","")),14),UPPER(SUBSTITUTE(SUBSTITUTE(SUBSTITUTE(SUBSTITUTE(TRIM(C799),".",""),"/",""),"-","")," ",""))))</f>
        <v/>
      </c>
      <c r="E799" s="25" t="str">
        <f aca="false">IF(D799="","",IFERROR(INDEX(Empresas!$C:$C,MATCH(D799,Empresas!$B:$B,0)),"cadastre o CNPJ em Empresas"))</f>
        <v/>
      </c>
      <c r="F799" s="11"/>
      <c r="G799" s="23"/>
      <c r="H799" s="22"/>
      <c r="I799" s="35"/>
      <c r="J799" s="35"/>
      <c r="K799" s="36" t="str">
        <f aca="false">IF(I799="","",I799+J799)</f>
        <v/>
      </c>
      <c r="L799" s="37" t="str">
        <f aca="false">IF(OR(I799="",I799=0,J799=""),"",J799/I799)</f>
        <v/>
      </c>
      <c r="M799" s="25" t="str">
        <f aca="false">IF(L799="","",IF(L799&gt;0.25,"ACRÉSCIMO ACIMA DE 25% — conferir",""))</f>
        <v/>
      </c>
      <c r="N799" s="29" t="str">
        <f aca="false">IF(D799="","",IF(COUNTIFS(Empresas!$B:$B,D799,Empresas!$E:$E,"&lt;&gt;")=0,"",INDEX(Empresas!$E:$E,MATCH(D799,Empresas!$B:$B,0))))</f>
        <v/>
      </c>
      <c r="O799" s="27" t="str">
        <f aca="false">IF(OR(N799="",H799=""),"",H799-N799)</f>
        <v/>
      </c>
      <c r="P799" s="25" t="str">
        <f aca="false">IF(O799="","",IF(O799&lt;0,"CONTRATO ANTERIOR À ABERTURA — conferir datas",IF(O799&lt;180,"EMPRESA ABERTA MENOS DE 6 MESES ANTES","")))</f>
        <v/>
      </c>
      <c r="Q799" s="31" t="str">
        <f aca="false">IF(D799="","",IFERROR(INDEX(Sancoes!$D:$D,MATCH(D799,Sancoes!$C:$C,0)),"não consta"))</f>
        <v/>
      </c>
      <c r="R799" s="25" t="str">
        <f aca="false">IF(OR(D799="",H799=""),"",IF(SUMPRODUCT((Sancoes!$C$5:$C$304=D799)*(Sancoes!$G$5:$G$304&lt;=H799)*(((Sancoes!$H$5:$H$304="")+(Sancoes!$H$5:$H$304&gt;=H799))&gt;0))&gt;0,"SANÇÃO VIGENTE NA DATA — ler tipo e abrangência",""))</f>
        <v/>
      </c>
      <c r="S799" s="24"/>
      <c r="T799" s="11"/>
    </row>
    <row r="800" customFormat="false" ht="15" hidden="false" customHeight="false" outlineLevel="0" collapsed="false">
      <c r="A800" s="11"/>
      <c r="B800" s="24"/>
      <c r="C800" s="24"/>
      <c r="D800" s="31" t="str">
        <f aca="false">IF(C800="","",IF(LEN(UPPER(SUBSTITUTE(SUBSTITUTE(SUBSTITUTE(SUBSTITUTE(TRIM(C800),".",""),"/",""),"-","")," ","")))&lt;14,RIGHT(REPT("0",14)&amp;UPPER(SUBSTITUTE(SUBSTITUTE(SUBSTITUTE(SUBSTITUTE(TRIM(C800),".",""),"/",""),"-","")," ","")),14),UPPER(SUBSTITUTE(SUBSTITUTE(SUBSTITUTE(SUBSTITUTE(TRIM(C800),".",""),"/",""),"-","")," ",""))))</f>
        <v/>
      </c>
      <c r="E800" s="25" t="str">
        <f aca="false">IF(D800="","",IFERROR(INDEX(Empresas!$C:$C,MATCH(D800,Empresas!$B:$B,0)),"cadastre o CNPJ em Empresas"))</f>
        <v/>
      </c>
      <c r="F800" s="11"/>
      <c r="G800" s="23"/>
      <c r="H800" s="22"/>
      <c r="I800" s="35"/>
      <c r="J800" s="35"/>
      <c r="K800" s="36" t="str">
        <f aca="false">IF(I800="","",I800+J800)</f>
        <v/>
      </c>
      <c r="L800" s="37" t="str">
        <f aca="false">IF(OR(I800="",I800=0,J800=""),"",J800/I800)</f>
        <v/>
      </c>
      <c r="M800" s="25" t="str">
        <f aca="false">IF(L800="","",IF(L800&gt;0.25,"ACRÉSCIMO ACIMA DE 25% — conferir",""))</f>
        <v/>
      </c>
      <c r="N800" s="29" t="str">
        <f aca="false">IF(D800="","",IF(COUNTIFS(Empresas!$B:$B,D800,Empresas!$E:$E,"&lt;&gt;")=0,"",INDEX(Empresas!$E:$E,MATCH(D800,Empresas!$B:$B,0))))</f>
        <v/>
      </c>
      <c r="O800" s="27" t="str">
        <f aca="false">IF(OR(N800="",H800=""),"",H800-N800)</f>
        <v/>
      </c>
      <c r="P800" s="25" t="str">
        <f aca="false">IF(O800="","",IF(O800&lt;0,"CONTRATO ANTERIOR À ABERTURA — conferir datas",IF(O800&lt;180,"EMPRESA ABERTA MENOS DE 6 MESES ANTES","")))</f>
        <v/>
      </c>
      <c r="Q800" s="31" t="str">
        <f aca="false">IF(D800="","",IFERROR(INDEX(Sancoes!$D:$D,MATCH(D800,Sancoes!$C:$C,0)),"não consta"))</f>
        <v/>
      </c>
      <c r="R800" s="25" t="str">
        <f aca="false">IF(OR(D800="",H800=""),"",IF(SUMPRODUCT((Sancoes!$C$5:$C$304=D800)*(Sancoes!$G$5:$G$304&lt;=H800)*(((Sancoes!$H$5:$H$304="")+(Sancoes!$H$5:$H$304&gt;=H800))&gt;0))&gt;0,"SANÇÃO VIGENTE NA DATA — ler tipo e abrangência",""))</f>
        <v/>
      </c>
      <c r="S800" s="24"/>
      <c r="T800" s="11"/>
    </row>
    <row r="801" customFormat="false" ht="15" hidden="false" customHeight="false" outlineLevel="0" collapsed="false">
      <c r="A801" s="11"/>
      <c r="B801" s="24"/>
      <c r="C801" s="24"/>
      <c r="D801" s="31" t="str">
        <f aca="false">IF(C801="","",IF(LEN(UPPER(SUBSTITUTE(SUBSTITUTE(SUBSTITUTE(SUBSTITUTE(TRIM(C801),".",""),"/",""),"-","")," ","")))&lt;14,RIGHT(REPT("0",14)&amp;UPPER(SUBSTITUTE(SUBSTITUTE(SUBSTITUTE(SUBSTITUTE(TRIM(C801),".",""),"/",""),"-","")," ","")),14),UPPER(SUBSTITUTE(SUBSTITUTE(SUBSTITUTE(SUBSTITUTE(TRIM(C801),".",""),"/",""),"-","")," ",""))))</f>
        <v/>
      </c>
      <c r="E801" s="25" t="str">
        <f aca="false">IF(D801="","",IFERROR(INDEX(Empresas!$C:$C,MATCH(D801,Empresas!$B:$B,0)),"cadastre o CNPJ em Empresas"))</f>
        <v/>
      </c>
      <c r="F801" s="11"/>
      <c r="G801" s="23"/>
      <c r="H801" s="22"/>
      <c r="I801" s="35"/>
      <c r="J801" s="35"/>
      <c r="K801" s="36" t="str">
        <f aca="false">IF(I801="","",I801+J801)</f>
        <v/>
      </c>
      <c r="L801" s="37" t="str">
        <f aca="false">IF(OR(I801="",I801=0,J801=""),"",J801/I801)</f>
        <v/>
      </c>
      <c r="M801" s="25" t="str">
        <f aca="false">IF(L801="","",IF(L801&gt;0.25,"ACRÉSCIMO ACIMA DE 25% — conferir",""))</f>
        <v/>
      </c>
      <c r="N801" s="29" t="str">
        <f aca="false">IF(D801="","",IF(COUNTIFS(Empresas!$B:$B,D801,Empresas!$E:$E,"&lt;&gt;")=0,"",INDEX(Empresas!$E:$E,MATCH(D801,Empresas!$B:$B,0))))</f>
        <v/>
      </c>
      <c r="O801" s="27" t="str">
        <f aca="false">IF(OR(N801="",H801=""),"",H801-N801)</f>
        <v/>
      </c>
      <c r="P801" s="25" t="str">
        <f aca="false">IF(O801="","",IF(O801&lt;0,"CONTRATO ANTERIOR À ABERTURA — conferir datas",IF(O801&lt;180,"EMPRESA ABERTA MENOS DE 6 MESES ANTES","")))</f>
        <v/>
      </c>
      <c r="Q801" s="31" t="str">
        <f aca="false">IF(D801="","",IFERROR(INDEX(Sancoes!$D:$D,MATCH(D801,Sancoes!$C:$C,0)),"não consta"))</f>
        <v/>
      </c>
      <c r="R801" s="25" t="str">
        <f aca="false">IF(OR(D801="",H801=""),"",IF(SUMPRODUCT((Sancoes!$C$5:$C$304=D801)*(Sancoes!$G$5:$G$304&lt;=H801)*(((Sancoes!$H$5:$H$304="")+(Sancoes!$H$5:$H$304&gt;=H801))&gt;0))&gt;0,"SANÇÃO VIGENTE NA DATA — ler tipo e abrangência",""))</f>
        <v/>
      </c>
      <c r="S801" s="24"/>
      <c r="T801" s="11"/>
    </row>
    <row r="802" customFormat="false" ht="15" hidden="false" customHeight="false" outlineLevel="0" collapsed="false">
      <c r="A802" s="11"/>
      <c r="B802" s="24"/>
      <c r="C802" s="24"/>
      <c r="D802" s="31" t="str">
        <f aca="false">IF(C802="","",IF(LEN(UPPER(SUBSTITUTE(SUBSTITUTE(SUBSTITUTE(SUBSTITUTE(TRIM(C802),".",""),"/",""),"-","")," ","")))&lt;14,RIGHT(REPT("0",14)&amp;UPPER(SUBSTITUTE(SUBSTITUTE(SUBSTITUTE(SUBSTITUTE(TRIM(C802),".",""),"/",""),"-","")," ","")),14),UPPER(SUBSTITUTE(SUBSTITUTE(SUBSTITUTE(SUBSTITUTE(TRIM(C802),".",""),"/",""),"-","")," ",""))))</f>
        <v/>
      </c>
      <c r="E802" s="25" t="str">
        <f aca="false">IF(D802="","",IFERROR(INDEX(Empresas!$C:$C,MATCH(D802,Empresas!$B:$B,0)),"cadastre o CNPJ em Empresas"))</f>
        <v/>
      </c>
      <c r="F802" s="11"/>
      <c r="G802" s="23"/>
      <c r="H802" s="22"/>
      <c r="I802" s="35"/>
      <c r="J802" s="35"/>
      <c r="K802" s="36" t="str">
        <f aca="false">IF(I802="","",I802+J802)</f>
        <v/>
      </c>
      <c r="L802" s="37" t="str">
        <f aca="false">IF(OR(I802="",I802=0,J802=""),"",J802/I802)</f>
        <v/>
      </c>
      <c r="M802" s="25" t="str">
        <f aca="false">IF(L802="","",IF(L802&gt;0.25,"ACRÉSCIMO ACIMA DE 25% — conferir",""))</f>
        <v/>
      </c>
      <c r="N802" s="29" t="str">
        <f aca="false">IF(D802="","",IF(COUNTIFS(Empresas!$B:$B,D802,Empresas!$E:$E,"&lt;&gt;")=0,"",INDEX(Empresas!$E:$E,MATCH(D802,Empresas!$B:$B,0))))</f>
        <v/>
      </c>
      <c r="O802" s="27" t="str">
        <f aca="false">IF(OR(N802="",H802=""),"",H802-N802)</f>
        <v/>
      </c>
      <c r="P802" s="25" t="str">
        <f aca="false">IF(O802="","",IF(O802&lt;0,"CONTRATO ANTERIOR À ABERTURA — conferir datas",IF(O802&lt;180,"EMPRESA ABERTA MENOS DE 6 MESES ANTES","")))</f>
        <v/>
      </c>
      <c r="Q802" s="31" t="str">
        <f aca="false">IF(D802="","",IFERROR(INDEX(Sancoes!$D:$D,MATCH(D802,Sancoes!$C:$C,0)),"não consta"))</f>
        <v/>
      </c>
      <c r="R802" s="25" t="str">
        <f aca="false">IF(OR(D802="",H802=""),"",IF(SUMPRODUCT((Sancoes!$C$5:$C$304=D802)*(Sancoes!$G$5:$G$304&lt;=H802)*(((Sancoes!$H$5:$H$304="")+(Sancoes!$H$5:$H$304&gt;=H802))&gt;0))&gt;0,"SANÇÃO VIGENTE NA DATA — ler tipo e abrangência",""))</f>
        <v/>
      </c>
      <c r="S802" s="24"/>
      <c r="T802" s="11"/>
    </row>
    <row r="803" customFormat="false" ht="15" hidden="false" customHeight="false" outlineLevel="0" collapsed="false">
      <c r="A803" s="11"/>
      <c r="B803" s="24"/>
      <c r="C803" s="24"/>
      <c r="D803" s="31" t="str">
        <f aca="false">IF(C803="","",IF(LEN(UPPER(SUBSTITUTE(SUBSTITUTE(SUBSTITUTE(SUBSTITUTE(TRIM(C803),".",""),"/",""),"-","")," ","")))&lt;14,RIGHT(REPT("0",14)&amp;UPPER(SUBSTITUTE(SUBSTITUTE(SUBSTITUTE(SUBSTITUTE(TRIM(C803),".",""),"/",""),"-","")," ","")),14),UPPER(SUBSTITUTE(SUBSTITUTE(SUBSTITUTE(SUBSTITUTE(TRIM(C803),".",""),"/",""),"-","")," ",""))))</f>
        <v/>
      </c>
      <c r="E803" s="25" t="str">
        <f aca="false">IF(D803="","",IFERROR(INDEX(Empresas!$C:$C,MATCH(D803,Empresas!$B:$B,0)),"cadastre o CNPJ em Empresas"))</f>
        <v/>
      </c>
      <c r="F803" s="11"/>
      <c r="G803" s="23"/>
      <c r="H803" s="22"/>
      <c r="I803" s="35"/>
      <c r="J803" s="35"/>
      <c r="K803" s="36" t="str">
        <f aca="false">IF(I803="","",I803+J803)</f>
        <v/>
      </c>
      <c r="L803" s="37" t="str">
        <f aca="false">IF(OR(I803="",I803=0,J803=""),"",J803/I803)</f>
        <v/>
      </c>
      <c r="M803" s="25" t="str">
        <f aca="false">IF(L803="","",IF(L803&gt;0.25,"ACRÉSCIMO ACIMA DE 25% — conferir",""))</f>
        <v/>
      </c>
      <c r="N803" s="29" t="str">
        <f aca="false">IF(D803="","",IF(COUNTIFS(Empresas!$B:$B,D803,Empresas!$E:$E,"&lt;&gt;")=0,"",INDEX(Empresas!$E:$E,MATCH(D803,Empresas!$B:$B,0))))</f>
        <v/>
      </c>
      <c r="O803" s="27" t="str">
        <f aca="false">IF(OR(N803="",H803=""),"",H803-N803)</f>
        <v/>
      </c>
      <c r="P803" s="25" t="str">
        <f aca="false">IF(O803="","",IF(O803&lt;0,"CONTRATO ANTERIOR À ABERTURA — conferir datas",IF(O803&lt;180,"EMPRESA ABERTA MENOS DE 6 MESES ANTES","")))</f>
        <v/>
      </c>
      <c r="Q803" s="31" t="str">
        <f aca="false">IF(D803="","",IFERROR(INDEX(Sancoes!$D:$D,MATCH(D803,Sancoes!$C:$C,0)),"não consta"))</f>
        <v/>
      </c>
      <c r="R803" s="25" t="str">
        <f aca="false">IF(OR(D803="",H803=""),"",IF(SUMPRODUCT((Sancoes!$C$5:$C$304=D803)*(Sancoes!$G$5:$G$304&lt;=H803)*(((Sancoes!$H$5:$H$304="")+(Sancoes!$H$5:$H$304&gt;=H803))&gt;0))&gt;0,"SANÇÃO VIGENTE NA DATA — ler tipo e abrangência",""))</f>
        <v/>
      </c>
      <c r="S803" s="24"/>
      <c r="T803" s="11"/>
    </row>
    <row r="804" customFormat="false" ht="15" hidden="false" customHeight="false" outlineLevel="0" collapsed="false">
      <c r="A804" s="11"/>
      <c r="B804" s="24"/>
      <c r="C804" s="24"/>
      <c r="D804" s="31" t="str">
        <f aca="false">IF(C804="","",IF(LEN(UPPER(SUBSTITUTE(SUBSTITUTE(SUBSTITUTE(SUBSTITUTE(TRIM(C804),".",""),"/",""),"-","")," ","")))&lt;14,RIGHT(REPT("0",14)&amp;UPPER(SUBSTITUTE(SUBSTITUTE(SUBSTITUTE(SUBSTITUTE(TRIM(C804),".",""),"/",""),"-","")," ","")),14),UPPER(SUBSTITUTE(SUBSTITUTE(SUBSTITUTE(SUBSTITUTE(TRIM(C804),".",""),"/",""),"-","")," ",""))))</f>
        <v/>
      </c>
      <c r="E804" s="25" t="str">
        <f aca="false">IF(D804="","",IFERROR(INDEX(Empresas!$C:$C,MATCH(D804,Empresas!$B:$B,0)),"cadastre o CNPJ em Empresas"))</f>
        <v/>
      </c>
      <c r="F804" s="11"/>
      <c r="G804" s="23"/>
      <c r="H804" s="22"/>
      <c r="I804" s="35"/>
      <c r="J804" s="35"/>
      <c r="K804" s="36" t="str">
        <f aca="false">IF(I804="","",I804+J804)</f>
        <v/>
      </c>
      <c r="L804" s="37" t="str">
        <f aca="false">IF(OR(I804="",I804=0,J804=""),"",J804/I804)</f>
        <v/>
      </c>
      <c r="M804" s="25" t="str">
        <f aca="false">IF(L804="","",IF(L804&gt;0.25,"ACRÉSCIMO ACIMA DE 25% — conferir",""))</f>
        <v/>
      </c>
      <c r="N804" s="29" t="str">
        <f aca="false">IF(D804="","",IF(COUNTIFS(Empresas!$B:$B,D804,Empresas!$E:$E,"&lt;&gt;")=0,"",INDEX(Empresas!$E:$E,MATCH(D804,Empresas!$B:$B,0))))</f>
        <v/>
      </c>
      <c r="O804" s="27" t="str">
        <f aca="false">IF(OR(N804="",H804=""),"",H804-N804)</f>
        <v/>
      </c>
      <c r="P804" s="25" t="str">
        <f aca="false">IF(O804="","",IF(O804&lt;0,"CONTRATO ANTERIOR À ABERTURA — conferir datas",IF(O804&lt;180,"EMPRESA ABERTA MENOS DE 6 MESES ANTES","")))</f>
        <v/>
      </c>
      <c r="Q804" s="31" t="str">
        <f aca="false">IF(D804="","",IFERROR(INDEX(Sancoes!$D:$D,MATCH(D804,Sancoes!$C:$C,0)),"não consta"))</f>
        <v/>
      </c>
      <c r="R804" s="25" t="str">
        <f aca="false">IF(OR(D804="",H804=""),"",IF(SUMPRODUCT((Sancoes!$C$5:$C$304=D804)*(Sancoes!$G$5:$G$304&lt;=H804)*(((Sancoes!$H$5:$H$304="")+(Sancoes!$H$5:$H$304&gt;=H804))&gt;0))&gt;0,"SANÇÃO VIGENTE NA DATA — ler tipo e abrangência",""))</f>
        <v/>
      </c>
      <c r="S804" s="24"/>
      <c r="T804" s="11"/>
    </row>
    <row r="805" customFormat="false" ht="15" hidden="false" customHeight="false" outlineLevel="0" collapsed="false">
      <c r="A805" s="11"/>
      <c r="B805" s="24"/>
      <c r="C805" s="24"/>
      <c r="D805" s="31" t="str">
        <f aca="false">IF(C805="","",IF(LEN(UPPER(SUBSTITUTE(SUBSTITUTE(SUBSTITUTE(SUBSTITUTE(TRIM(C805),".",""),"/",""),"-","")," ","")))&lt;14,RIGHT(REPT("0",14)&amp;UPPER(SUBSTITUTE(SUBSTITUTE(SUBSTITUTE(SUBSTITUTE(TRIM(C805),".",""),"/",""),"-","")," ","")),14),UPPER(SUBSTITUTE(SUBSTITUTE(SUBSTITUTE(SUBSTITUTE(TRIM(C805),".",""),"/",""),"-","")," ",""))))</f>
        <v/>
      </c>
      <c r="E805" s="25" t="str">
        <f aca="false">IF(D805="","",IFERROR(INDEX(Empresas!$C:$C,MATCH(D805,Empresas!$B:$B,0)),"cadastre o CNPJ em Empresas"))</f>
        <v/>
      </c>
      <c r="F805" s="11"/>
      <c r="G805" s="23"/>
      <c r="H805" s="22"/>
      <c r="I805" s="35"/>
      <c r="J805" s="35"/>
      <c r="K805" s="36" t="str">
        <f aca="false">IF(I805="","",I805+J805)</f>
        <v/>
      </c>
      <c r="L805" s="37" t="str">
        <f aca="false">IF(OR(I805="",I805=0,J805=""),"",J805/I805)</f>
        <v/>
      </c>
      <c r="M805" s="25" t="str">
        <f aca="false">IF(L805="","",IF(L805&gt;0.25,"ACRÉSCIMO ACIMA DE 25% — conferir",""))</f>
        <v/>
      </c>
      <c r="N805" s="29" t="str">
        <f aca="false">IF(D805="","",IF(COUNTIFS(Empresas!$B:$B,D805,Empresas!$E:$E,"&lt;&gt;")=0,"",INDEX(Empresas!$E:$E,MATCH(D805,Empresas!$B:$B,0))))</f>
        <v/>
      </c>
      <c r="O805" s="27" t="str">
        <f aca="false">IF(OR(N805="",H805=""),"",H805-N805)</f>
        <v/>
      </c>
      <c r="P805" s="25" t="str">
        <f aca="false">IF(O805="","",IF(O805&lt;0,"CONTRATO ANTERIOR À ABERTURA — conferir datas",IF(O805&lt;180,"EMPRESA ABERTA MENOS DE 6 MESES ANTES","")))</f>
        <v/>
      </c>
      <c r="Q805" s="31" t="str">
        <f aca="false">IF(D805="","",IFERROR(INDEX(Sancoes!$D:$D,MATCH(D805,Sancoes!$C:$C,0)),"não consta"))</f>
        <v/>
      </c>
      <c r="R805" s="25" t="str">
        <f aca="false">IF(OR(D805="",H805=""),"",IF(SUMPRODUCT((Sancoes!$C$5:$C$304=D805)*(Sancoes!$G$5:$G$304&lt;=H805)*(((Sancoes!$H$5:$H$304="")+(Sancoes!$H$5:$H$304&gt;=H805))&gt;0))&gt;0,"SANÇÃO VIGENTE NA DATA — ler tipo e abrangência",""))</f>
        <v/>
      </c>
      <c r="S805" s="24"/>
      <c r="T805" s="11"/>
    </row>
    <row r="806" customFormat="false" ht="15" hidden="false" customHeight="false" outlineLevel="0" collapsed="false">
      <c r="A806" s="11"/>
      <c r="B806" s="24"/>
      <c r="C806" s="24"/>
      <c r="D806" s="31" t="str">
        <f aca="false">IF(C806="","",IF(LEN(UPPER(SUBSTITUTE(SUBSTITUTE(SUBSTITUTE(SUBSTITUTE(TRIM(C806),".",""),"/",""),"-","")," ","")))&lt;14,RIGHT(REPT("0",14)&amp;UPPER(SUBSTITUTE(SUBSTITUTE(SUBSTITUTE(SUBSTITUTE(TRIM(C806),".",""),"/",""),"-","")," ","")),14),UPPER(SUBSTITUTE(SUBSTITUTE(SUBSTITUTE(SUBSTITUTE(TRIM(C806),".",""),"/",""),"-","")," ",""))))</f>
        <v/>
      </c>
      <c r="E806" s="25" t="str">
        <f aca="false">IF(D806="","",IFERROR(INDEX(Empresas!$C:$C,MATCH(D806,Empresas!$B:$B,0)),"cadastre o CNPJ em Empresas"))</f>
        <v/>
      </c>
      <c r="F806" s="11"/>
      <c r="G806" s="23"/>
      <c r="H806" s="22"/>
      <c r="I806" s="35"/>
      <c r="J806" s="35"/>
      <c r="K806" s="36" t="str">
        <f aca="false">IF(I806="","",I806+J806)</f>
        <v/>
      </c>
      <c r="L806" s="37" t="str">
        <f aca="false">IF(OR(I806="",I806=0,J806=""),"",J806/I806)</f>
        <v/>
      </c>
      <c r="M806" s="25" t="str">
        <f aca="false">IF(L806="","",IF(L806&gt;0.25,"ACRÉSCIMO ACIMA DE 25% — conferir",""))</f>
        <v/>
      </c>
      <c r="N806" s="29" t="str">
        <f aca="false">IF(D806="","",IF(COUNTIFS(Empresas!$B:$B,D806,Empresas!$E:$E,"&lt;&gt;")=0,"",INDEX(Empresas!$E:$E,MATCH(D806,Empresas!$B:$B,0))))</f>
        <v/>
      </c>
      <c r="O806" s="27" t="str">
        <f aca="false">IF(OR(N806="",H806=""),"",H806-N806)</f>
        <v/>
      </c>
      <c r="P806" s="25" t="str">
        <f aca="false">IF(O806="","",IF(O806&lt;0,"CONTRATO ANTERIOR À ABERTURA — conferir datas",IF(O806&lt;180,"EMPRESA ABERTA MENOS DE 6 MESES ANTES","")))</f>
        <v/>
      </c>
      <c r="Q806" s="31" t="str">
        <f aca="false">IF(D806="","",IFERROR(INDEX(Sancoes!$D:$D,MATCH(D806,Sancoes!$C:$C,0)),"não consta"))</f>
        <v/>
      </c>
      <c r="R806" s="25" t="str">
        <f aca="false">IF(OR(D806="",H806=""),"",IF(SUMPRODUCT((Sancoes!$C$5:$C$304=D806)*(Sancoes!$G$5:$G$304&lt;=H806)*(((Sancoes!$H$5:$H$304="")+(Sancoes!$H$5:$H$304&gt;=H806))&gt;0))&gt;0,"SANÇÃO VIGENTE NA DATA — ler tipo e abrangência",""))</f>
        <v/>
      </c>
      <c r="S806" s="24"/>
      <c r="T806" s="11"/>
    </row>
    <row r="807" customFormat="false" ht="15" hidden="false" customHeight="false" outlineLevel="0" collapsed="false">
      <c r="A807" s="11"/>
      <c r="B807" s="24"/>
      <c r="C807" s="24"/>
      <c r="D807" s="31" t="str">
        <f aca="false">IF(C807="","",IF(LEN(UPPER(SUBSTITUTE(SUBSTITUTE(SUBSTITUTE(SUBSTITUTE(TRIM(C807),".",""),"/",""),"-","")," ","")))&lt;14,RIGHT(REPT("0",14)&amp;UPPER(SUBSTITUTE(SUBSTITUTE(SUBSTITUTE(SUBSTITUTE(TRIM(C807),".",""),"/",""),"-","")," ","")),14),UPPER(SUBSTITUTE(SUBSTITUTE(SUBSTITUTE(SUBSTITUTE(TRIM(C807),".",""),"/",""),"-","")," ",""))))</f>
        <v/>
      </c>
      <c r="E807" s="25" t="str">
        <f aca="false">IF(D807="","",IFERROR(INDEX(Empresas!$C:$C,MATCH(D807,Empresas!$B:$B,0)),"cadastre o CNPJ em Empresas"))</f>
        <v/>
      </c>
      <c r="F807" s="11"/>
      <c r="G807" s="23"/>
      <c r="H807" s="22"/>
      <c r="I807" s="35"/>
      <c r="J807" s="35"/>
      <c r="K807" s="36" t="str">
        <f aca="false">IF(I807="","",I807+J807)</f>
        <v/>
      </c>
      <c r="L807" s="37" t="str">
        <f aca="false">IF(OR(I807="",I807=0,J807=""),"",J807/I807)</f>
        <v/>
      </c>
      <c r="M807" s="25" t="str">
        <f aca="false">IF(L807="","",IF(L807&gt;0.25,"ACRÉSCIMO ACIMA DE 25% — conferir",""))</f>
        <v/>
      </c>
      <c r="N807" s="29" t="str">
        <f aca="false">IF(D807="","",IF(COUNTIFS(Empresas!$B:$B,D807,Empresas!$E:$E,"&lt;&gt;")=0,"",INDEX(Empresas!$E:$E,MATCH(D807,Empresas!$B:$B,0))))</f>
        <v/>
      </c>
      <c r="O807" s="27" t="str">
        <f aca="false">IF(OR(N807="",H807=""),"",H807-N807)</f>
        <v/>
      </c>
      <c r="P807" s="25" t="str">
        <f aca="false">IF(O807="","",IF(O807&lt;0,"CONTRATO ANTERIOR À ABERTURA — conferir datas",IF(O807&lt;180,"EMPRESA ABERTA MENOS DE 6 MESES ANTES","")))</f>
        <v/>
      </c>
      <c r="Q807" s="31" t="str">
        <f aca="false">IF(D807="","",IFERROR(INDEX(Sancoes!$D:$D,MATCH(D807,Sancoes!$C:$C,0)),"não consta"))</f>
        <v/>
      </c>
      <c r="R807" s="25" t="str">
        <f aca="false">IF(OR(D807="",H807=""),"",IF(SUMPRODUCT((Sancoes!$C$5:$C$304=D807)*(Sancoes!$G$5:$G$304&lt;=H807)*(((Sancoes!$H$5:$H$304="")+(Sancoes!$H$5:$H$304&gt;=H807))&gt;0))&gt;0,"SANÇÃO VIGENTE NA DATA — ler tipo e abrangência",""))</f>
        <v/>
      </c>
      <c r="S807" s="24"/>
      <c r="T807" s="11"/>
    </row>
    <row r="808" customFormat="false" ht="15" hidden="false" customHeight="false" outlineLevel="0" collapsed="false">
      <c r="A808" s="11"/>
      <c r="B808" s="24"/>
      <c r="C808" s="24"/>
      <c r="D808" s="31" t="str">
        <f aca="false">IF(C808="","",IF(LEN(UPPER(SUBSTITUTE(SUBSTITUTE(SUBSTITUTE(SUBSTITUTE(TRIM(C808),".",""),"/",""),"-","")," ","")))&lt;14,RIGHT(REPT("0",14)&amp;UPPER(SUBSTITUTE(SUBSTITUTE(SUBSTITUTE(SUBSTITUTE(TRIM(C808),".",""),"/",""),"-","")," ","")),14),UPPER(SUBSTITUTE(SUBSTITUTE(SUBSTITUTE(SUBSTITUTE(TRIM(C808),".",""),"/",""),"-","")," ",""))))</f>
        <v/>
      </c>
      <c r="E808" s="25" t="str">
        <f aca="false">IF(D808="","",IFERROR(INDEX(Empresas!$C:$C,MATCH(D808,Empresas!$B:$B,0)),"cadastre o CNPJ em Empresas"))</f>
        <v/>
      </c>
      <c r="F808" s="11"/>
      <c r="G808" s="23"/>
      <c r="H808" s="22"/>
      <c r="I808" s="35"/>
      <c r="J808" s="35"/>
      <c r="K808" s="36" t="str">
        <f aca="false">IF(I808="","",I808+J808)</f>
        <v/>
      </c>
      <c r="L808" s="37" t="str">
        <f aca="false">IF(OR(I808="",I808=0,J808=""),"",J808/I808)</f>
        <v/>
      </c>
      <c r="M808" s="25" t="str">
        <f aca="false">IF(L808="","",IF(L808&gt;0.25,"ACRÉSCIMO ACIMA DE 25% — conferir",""))</f>
        <v/>
      </c>
      <c r="N808" s="29" t="str">
        <f aca="false">IF(D808="","",IF(COUNTIFS(Empresas!$B:$B,D808,Empresas!$E:$E,"&lt;&gt;")=0,"",INDEX(Empresas!$E:$E,MATCH(D808,Empresas!$B:$B,0))))</f>
        <v/>
      </c>
      <c r="O808" s="27" t="str">
        <f aca="false">IF(OR(N808="",H808=""),"",H808-N808)</f>
        <v/>
      </c>
      <c r="P808" s="25" t="str">
        <f aca="false">IF(O808="","",IF(O808&lt;0,"CONTRATO ANTERIOR À ABERTURA — conferir datas",IF(O808&lt;180,"EMPRESA ABERTA MENOS DE 6 MESES ANTES","")))</f>
        <v/>
      </c>
      <c r="Q808" s="31" t="str">
        <f aca="false">IF(D808="","",IFERROR(INDEX(Sancoes!$D:$D,MATCH(D808,Sancoes!$C:$C,0)),"não consta"))</f>
        <v/>
      </c>
      <c r="R808" s="25" t="str">
        <f aca="false">IF(OR(D808="",H808=""),"",IF(SUMPRODUCT((Sancoes!$C$5:$C$304=D808)*(Sancoes!$G$5:$G$304&lt;=H808)*(((Sancoes!$H$5:$H$304="")+(Sancoes!$H$5:$H$304&gt;=H808))&gt;0))&gt;0,"SANÇÃO VIGENTE NA DATA — ler tipo e abrangência",""))</f>
        <v/>
      </c>
      <c r="S808" s="24"/>
      <c r="T808" s="11"/>
    </row>
    <row r="809" customFormat="false" ht="15" hidden="false" customHeight="false" outlineLevel="0" collapsed="false">
      <c r="A809" s="11"/>
      <c r="B809" s="24"/>
      <c r="C809" s="24"/>
      <c r="D809" s="31" t="str">
        <f aca="false">IF(C809="","",IF(LEN(UPPER(SUBSTITUTE(SUBSTITUTE(SUBSTITUTE(SUBSTITUTE(TRIM(C809),".",""),"/",""),"-","")," ","")))&lt;14,RIGHT(REPT("0",14)&amp;UPPER(SUBSTITUTE(SUBSTITUTE(SUBSTITUTE(SUBSTITUTE(TRIM(C809),".",""),"/",""),"-","")," ","")),14),UPPER(SUBSTITUTE(SUBSTITUTE(SUBSTITUTE(SUBSTITUTE(TRIM(C809),".",""),"/",""),"-","")," ",""))))</f>
        <v/>
      </c>
      <c r="E809" s="25" t="str">
        <f aca="false">IF(D809="","",IFERROR(INDEX(Empresas!$C:$C,MATCH(D809,Empresas!$B:$B,0)),"cadastre o CNPJ em Empresas"))</f>
        <v/>
      </c>
      <c r="F809" s="11"/>
      <c r="G809" s="23"/>
      <c r="H809" s="22"/>
      <c r="I809" s="35"/>
      <c r="J809" s="35"/>
      <c r="K809" s="36" t="str">
        <f aca="false">IF(I809="","",I809+J809)</f>
        <v/>
      </c>
      <c r="L809" s="37" t="str">
        <f aca="false">IF(OR(I809="",I809=0,J809=""),"",J809/I809)</f>
        <v/>
      </c>
      <c r="M809" s="25" t="str">
        <f aca="false">IF(L809="","",IF(L809&gt;0.25,"ACRÉSCIMO ACIMA DE 25% — conferir",""))</f>
        <v/>
      </c>
      <c r="N809" s="29" t="str">
        <f aca="false">IF(D809="","",IF(COUNTIFS(Empresas!$B:$B,D809,Empresas!$E:$E,"&lt;&gt;")=0,"",INDEX(Empresas!$E:$E,MATCH(D809,Empresas!$B:$B,0))))</f>
        <v/>
      </c>
      <c r="O809" s="27" t="str">
        <f aca="false">IF(OR(N809="",H809=""),"",H809-N809)</f>
        <v/>
      </c>
      <c r="P809" s="25" t="str">
        <f aca="false">IF(O809="","",IF(O809&lt;0,"CONTRATO ANTERIOR À ABERTURA — conferir datas",IF(O809&lt;180,"EMPRESA ABERTA MENOS DE 6 MESES ANTES","")))</f>
        <v/>
      </c>
      <c r="Q809" s="31" t="str">
        <f aca="false">IF(D809="","",IFERROR(INDEX(Sancoes!$D:$D,MATCH(D809,Sancoes!$C:$C,0)),"não consta"))</f>
        <v/>
      </c>
      <c r="R809" s="25" t="str">
        <f aca="false">IF(OR(D809="",H809=""),"",IF(SUMPRODUCT((Sancoes!$C$5:$C$304=D809)*(Sancoes!$G$5:$G$304&lt;=H809)*(((Sancoes!$H$5:$H$304="")+(Sancoes!$H$5:$H$304&gt;=H809))&gt;0))&gt;0,"SANÇÃO VIGENTE NA DATA — ler tipo e abrangência",""))</f>
        <v/>
      </c>
      <c r="S809" s="24"/>
      <c r="T809" s="11"/>
    </row>
    <row r="810" customFormat="false" ht="15" hidden="false" customHeight="false" outlineLevel="0" collapsed="false">
      <c r="A810" s="11"/>
      <c r="B810" s="24"/>
      <c r="C810" s="24"/>
      <c r="D810" s="31" t="str">
        <f aca="false">IF(C810="","",IF(LEN(UPPER(SUBSTITUTE(SUBSTITUTE(SUBSTITUTE(SUBSTITUTE(TRIM(C810),".",""),"/",""),"-","")," ","")))&lt;14,RIGHT(REPT("0",14)&amp;UPPER(SUBSTITUTE(SUBSTITUTE(SUBSTITUTE(SUBSTITUTE(TRIM(C810),".",""),"/",""),"-","")," ","")),14),UPPER(SUBSTITUTE(SUBSTITUTE(SUBSTITUTE(SUBSTITUTE(TRIM(C810),".",""),"/",""),"-","")," ",""))))</f>
        <v/>
      </c>
      <c r="E810" s="25" t="str">
        <f aca="false">IF(D810="","",IFERROR(INDEX(Empresas!$C:$C,MATCH(D810,Empresas!$B:$B,0)),"cadastre o CNPJ em Empresas"))</f>
        <v/>
      </c>
      <c r="F810" s="11"/>
      <c r="G810" s="23"/>
      <c r="H810" s="22"/>
      <c r="I810" s="35"/>
      <c r="J810" s="35"/>
      <c r="K810" s="36" t="str">
        <f aca="false">IF(I810="","",I810+J810)</f>
        <v/>
      </c>
      <c r="L810" s="37" t="str">
        <f aca="false">IF(OR(I810="",I810=0,J810=""),"",J810/I810)</f>
        <v/>
      </c>
      <c r="M810" s="25" t="str">
        <f aca="false">IF(L810="","",IF(L810&gt;0.25,"ACRÉSCIMO ACIMA DE 25% — conferir",""))</f>
        <v/>
      </c>
      <c r="N810" s="29" t="str">
        <f aca="false">IF(D810="","",IF(COUNTIFS(Empresas!$B:$B,D810,Empresas!$E:$E,"&lt;&gt;")=0,"",INDEX(Empresas!$E:$E,MATCH(D810,Empresas!$B:$B,0))))</f>
        <v/>
      </c>
      <c r="O810" s="27" t="str">
        <f aca="false">IF(OR(N810="",H810=""),"",H810-N810)</f>
        <v/>
      </c>
      <c r="P810" s="25" t="str">
        <f aca="false">IF(O810="","",IF(O810&lt;0,"CONTRATO ANTERIOR À ABERTURA — conferir datas",IF(O810&lt;180,"EMPRESA ABERTA MENOS DE 6 MESES ANTES","")))</f>
        <v/>
      </c>
      <c r="Q810" s="31" t="str">
        <f aca="false">IF(D810="","",IFERROR(INDEX(Sancoes!$D:$D,MATCH(D810,Sancoes!$C:$C,0)),"não consta"))</f>
        <v/>
      </c>
      <c r="R810" s="25" t="str">
        <f aca="false">IF(OR(D810="",H810=""),"",IF(SUMPRODUCT((Sancoes!$C$5:$C$304=D810)*(Sancoes!$G$5:$G$304&lt;=H810)*(((Sancoes!$H$5:$H$304="")+(Sancoes!$H$5:$H$304&gt;=H810))&gt;0))&gt;0,"SANÇÃO VIGENTE NA DATA — ler tipo e abrangência",""))</f>
        <v/>
      </c>
      <c r="S810" s="24"/>
      <c r="T810" s="11"/>
    </row>
    <row r="811" customFormat="false" ht="15" hidden="false" customHeight="false" outlineLevel="0" collapsed="false">
      <c r="A811" s="11"/>
      <c r="B811" s="24"/>
      <c r="C811" s="24"/>
      <c r="D811" s="31" t="str">
        <f aca="false">IF(C811="","",IF(LEN(UPPER(SUBSTITUTE(SUBSTITUTE(SUBSTITUTE(SUBSTITUTE(TRIM(C811),".",""),"/",""),"-","")," ","")))&lt;14,RIGHT(REPT("0",14)&amp;UPPER(SUBSTITUTE(SUBSTITUTE(SUBSTITUTE(SUBSTITUTE(TRIM(C811),".",""),"/",""),"-","")," ","")),14),UPPER(SUBSTITUTE(SUBSTITUTE(SUBSTITUTE(SUBSTITUTE(TRIM(C811),".",""),"/",""),"-","")," ",""))))</f>
        <v/>
      </c>
      <c r="E811" s="25" t="str">
        <f aca="false">IF(D811="","",IFERROR(INDEX(Empresas!$C:$C,MATCH(D811,Empresas!$B:$B,0)),"cadastre o CNPJ em Empresas"))</f>
        <v/>
      </c>
      <c r="F811" s="11"/>
      <c r="G811" s="23"/>
      <c r="H811" s="22"/>
      <c r="I811" s="35"/>
      <c r="J811" s="35"/>
      <c r="K811" s="36" t="str">
        <f aca="false">IF(I811="","",I811+J811)</f>
        <v/>
      </c>
      <c r="L811" s="37" t="str">
        <f aca="false">IF(OR(I811="",I811=0,J811=""),"",J811/I811)</f>
        <v/>
      </c>
      <c r="M811" s="25" t="str">
        <f aca="false">IF(L811="","",IF(L811&gt;0.25,"ACRÉSCIMO ACIMA DE 25% — conferir",""))</f>
        <v/>
      </c>
      <c r="N811" s="29" t="str">
        <f aca="false">IF(D811="","",IF(COUNTIFS(Empresas!$B:$B,D811,Empresas!$E:$E,"&lt;&gt;")=0,"",INDEX(Empresas!$E:$E,MATCH(D811,Empresas!$B:$B,0))))</f>
        <v/>
      </c>
      <c r="O811" s="27" t="str">
        <f aca="false">IF(OR(N811="",H811=""),"",H811-N811)</f>
        <v/>
      </c>
      <c r="P811" s="25" t="str">
        <f aca="false">IF(O811="","",IF(O811&lt;0,"CONTRATO ANTERIOR À ABERTURA — conferir datas",IF(O811&lt;180,"EMPRESA ABERTA MENOS DE 6 MESES ANTES","")))</f>
        <v/>
      </c>
      <c r="Q811" s="31" t="str">
        <f aca="false">IF(D811="","",IFERROR(INDEX(Sancoes!$D:$D,MATCH(D811,Sancoes!$C:$C,0)),"não consta"))</f>
        <v/>
      </c>
      <c r="R811" s="25" t="str">
        <f aca="false">IF(OR(D811="",H811=""),"",IF(SUMPRODUCT((Sancoes!$C$5:$C$304=D811)*(Sancoes!$G$5:$G$304&lt;=H811)*(((Sancoes!$H$5:$H$304="")+(Sancoes!$H$5:$H$304&gt;=H811))&gt;0))&gt;0,"SANÇÃO VIGENTE NA DATA — ler tipo e abrangência",""))</f>
        <v/>
      </c>
      <c r="S811" s="24"/>
      <c r="T811" s="11"/>
    </row>
    <row r="812" customFormat="false" ht="15" hidden="false" customHeight="false" outlineLevel="0" collapsed="false">
      <c r="A812" s="11"/>
      <c r="B812" s="24"/>
      <c r="C812" s="24"/>
      <c r="D812" s="31" t="str">
        <f aca="false">IF(C812="","",IF(LEN(UPPER(SUBSTITUTE(SUBSTITUTE(SUBSTITUTE(SUBSTITUTE(TRIM(C812),".",""),"/",""),"-","")," ","")))&lt;14,RIGHT(REPT("0",14)&amp;UPPER(SUBSTITUTE(SUBSTITUTE(SUBSTITUTE(SUBSTITUTE(TRIM(C812),".",""),"/",""),"-","")," ","")),14),UPPER(SUBSTITUTE(SUBSTITUTE(SUBSTITUTE(SUBSTITUTE(TRIM(C812),".",""),"/",""),"-","")," ",""))))</f>
        <v/>
      </c>
      <c r="E812" s="25" t="str">
        <f aca="false">IF(D812="","",IFERROR(INDEX(Empresas!$C:$C,MATCH(D812,Empresas!$B:$B,0)),"cadastre o CNPJ em Empresas"))</f>
        <v/>
      </c>
      <c r="F812" s="11"/>
      <c r="G812" s="23"/>
      <c r="H812" s="22"/>
      <c r="I812" s="35"/>
      <c r="J812" s="35"/>
      <c r="K812" s="36" t="str">
        <f aca="false">IF(I812="","",I812+J812)</f>
        <v/>
      </c>
      <c r="L812" s="37" t="str">
        <f aca="false">IF(OR(I812="",I812=0,J812=""),"",J812/I812)</f>
        <v/>
      </c>
      <c r="M812" s="25" t="str">
        <f aca="false">IF(L812="","",IF(L812&gt;0.25,"ACRÉSCIMO ACIMA DE 25% — conferir",""))</f>
        <v/>
      </c>
      <c r="N812" s="29" t="str">
        <f aca="false">IF(D812="","",IF(COUNTIFS(Empresas!$B:$B,D812,Empresas!$E:$E,"&lt;&gt;")=0,"",INDEX(Empresas!$E:$E,MATCH(D812,Empresas!$B:$B,0))))</f>
        <v/>
      </c>
      <c r="O812" s="27" t="str">
        <f aca="false">IF(OR(N812="",H812=""),"",H812-N812)</f>
        <v/>
      </c>
      <c r="P812" s="25" t="str">
        <f aca="false">IF(O812="","",IF(O812&lt;0,"CONTRATO ANTERIOR À ABERTURA — conferir datas",IF(O812&lt;180,"EMPRESA ABERTA MENOS DE 6 MESES ANTES","")))</f>
        <v/>
      </c>
      <c r="Q812" s="31" t="str">
        <f aca="false">IF(D812="","",IFERROR(INDEX(Sancoes!$D:$D,MATCH(D812,Sancoes!$C:$C,0)),"não consta"))</f>
        <v/>
      </c>
      <c r="R812" s="25" t="str">
        <f aca="false">IF(OR(D812="",H812=""),"",IF(SUMPRODUCT((Sancoes!$C$5:$C$304=D812)*(Sancoes!$G$5:$G$304&lt;=H812)*(((Sancoes!$H$5:$H$304="")+(Sancoes!$H$5:$H$304&gt;=H812))&gt;0))&gt;0,"SANÇÃO VIGENTE NA DATA — ler tipo e abrangência",""))</f>
        <v/>
      </c>
      <c r="S812" s="24"/>
      <c r="T812" s="11"/>
    </row>
    <row r="813" customFormat="false" ht="15" hidden="false" customHeight="false" outlineLevel="0" collapsed="false">
      <c r="A813" s="11"/>
      <c r="B813" s="24"/>
      <c r="C813" s="24"/>
      <c r="D813" s="31" t="str">
        <f aca="false">IF(C813="","",IF(LEN(UPPER(SUBSTITUTE(SUBSTITUTE(SUBSTITUTE(SUBSTITUTE(TRIM(C813),".",""),"/",""),"-","")," ","")))&lt;14,RIGHT(REPT("0",14)&amp;UPPER(SUBSTITUTE(SUBSTITUTE(SUBSTITUTE(SUBSTITUTE(TRIM(C813),".",""),"/",""),"-","")," ","")),14),UPPER(SUBSTITUTE(SUBSTITUTE(SUBSTITUTE(SUBSTITUTE(TRIM(C813),".",""),"/",""),"-","")," ",""))))</f>
        <v/>
      </c>
      <c r="E813" s="25" t="str">
        <f aca="false">IF(D813="","",IFERROR(INDEX(Empresas!$C:$C,MATCH(D813,Empresas!$B:$B,0)),"cadastre o CNPJ em Empresas"))</f>
        <v/>
      </c>
      <c r="F813" s="11"/>
      <c r="G813" s="23"/>
      <c r="H813" s="22"/>
      <c r="I813" s="35"/>
      <c r="J813" s="35"/>
      <c r="K813" s="36" t="str">
        <f aca="false">IF(I813="","",I813+J813)</f>
        <v/>
      </c>
      <c r="L813" s="37" t="str">
        <f aca="false">IF(OR(I813="",I813=0,J813=""),"",J813/I813)</f>
        <v/>
      </c>
      <c r="M813" s="25" t="str">
        <f aca="false">IF(L813="","",IF(L813&gt;0.25,"ACRÉSCIMO ACIMA DE 25% — conferir",""))</f>
        <v/>
      </c>
      <c r="N813" s="29" t="str">
        <f aca="false">IF(D813="","",IF(COUNTIFS(Empresas!$B:$B,D813,Empresas!$E:$E,"&lt;&gt;")=0,"",INDEX(Empresas!$E:$E,MATCH(D813,Empresas!$B:$B,0))))</f>
        <v/>
      </c>
      <c r="O813" s="27" t="str">
        <f aca="false">IF(OR(N813="",H813=""),"",H813-N813)</f>
        <v/>
      </c>
      <c r="P813" s="25" t="str">
        <f aca="false">IF(O813="","",IF(O813&lt;0,"CONTRATO ANTERIOR À ABERTURA — conferir datas",IF(O813&lt;180,"EMPRESA ABERTA MENOS DE 6 MESES ANTES","")))</f>
        <v/>
      </c>
      <c r="Q813" s="31" t="str">
        <f aca="false">IF(D813="","",IFERROR(INDEX(Sancoes!$D:$D,MATCH(D813,Sancoes!$C:$C,0)),"não consta"))</f>
        <v/>
      </c>
      <c r="R813" s="25" t="str">
        <f aca="false">IF(OR(D813="",H813=""),"",IF(SUMPRODUCT((Sancoes!$C$5:$C$304=D813)*(Sancoes!$G$5:$G$304&lt;=H813)*(((Sancoes!$H$5:$H$304="")+(Sancoes!$H$5:$H$304&gt;=H813))&gt;0))&gt;0,"SANÇÃO VIGENTE NA DATA — ler tipo e abrangência",""))</f>
        <v/>
      </c>
      <c r="S813" s="24"/>
      <c r="T813" s="11"/>
    </row>
    <row r="814" customFormat="false" ht="15" hidden="false" customHeight="false" outlineLevel="0" collapsed="false">
      <c r="A814" s="11"/>
      <c r="B814" s="24"/>
      <c r="C814" s="24"/>
      <c r="D814" s="31" t="str">
        <f aca="false">IF(C814="","",IF(LEN(UPPER(SUBSTITUTE(SUBSTITUTE(SUBSTITUTE(SUBSTITUTE(TRIM(C814),".",""),"/",""),"-","")," ","")))&lt;14,RIGHT(REPT("0",14)&amp;UPPER(SUBSTITUTE(SUBSTITUTE(SUBSTITUTE(SUBSTITUTE(TRIM(C814),".",""),"/",""),"-","")," ","")),14),UPPER(SUBSTITUTE(SUBSTITUTE(SUBSTITUTE(SUBSTITUTE(TRIM(C814),".",""),"/",""),"-","")," ",""))))</f>
        <v/>
      </c>
      <c r="E814" s="25" t="str">
        <f aca="false">IF(D814="","",IFERROR(INDEX(Empresas!$C:$C,MATCH(D814,Empresas!$B:$B,0)),"cadastre o CNPJ em Empresas"))</f>
        <v/>
      </c>
      <c r="F814" s="11"/>
      <c r="G814" s="23"/>
      <c r="H814" s="22"/>
      <c r="I814" s="35"/>
      <c r="J814" s="35"/>
      <c r="K814" s="36" t="str">
        <f aca="false">IF(I814="","",I814+J814)</f>
        <v/>
      </c>
      <c r="L814" s="37" t="str">
        <f aca="false">IF(OR(I814="",I814=0,J814=""),"",J814/I814)</f>
        <v/>
      </c>
      <c r="M814" s="25" t="str">
        <f aca="false">IF(L814="","",IF(L814&gt;0.25,"ACRÉSCIMO ACIMA DE 25% — conferir",""))</f>
        <v/>
      </c>
      <c r="N814" s="29" t="str">
        <f aca="false">IF(D814="","",IF(COUNTIFS(Empresas!$B:$B,D814,Empresas!$E:$E,"&lt;&gt;")=0,"",INDEX(Empresas!$E:$E,MATCH(D814,Empresas!$B:$B,0))))</f>
        <v/>
      </c>
      <c r="O814" s="27" t="str">
        <f aca="false">IF(OR(N814="",H814=""),"",H814-N814)</f>
        <v/>
      </c>
      <c r="P814" s="25" t="str">
        <f aca="false">IF(O814="","",IF(O814&lt;0,"CONTRATO ANTERIOR À ABERTURA — conferir datas",IF(O814&lt;180,"EMPRESA ABERTA MENOS DE 6 MESES ANTES","")))</f>
        <v/>
      </c>
      <c r="Q814" s="31" t="str">
        <f aca="false">IF(D814="","",IFERROR(INDEX(Sancoes!$D:$D,MATCH(D814,Sancoes!$C:$C,0)),"não consta"))</f>
        <v/>
      </c>
      <c r="R814" s="25" t="str">
        <f aca="false">IF(OR(D814="",H814=""),"",IF(SUMPRODUCT((Sancoes!$C$5:$C$304=D814)*(Sancoes!$G$5:$G$304&lt;=H814)*(((Sancoes!$H$5:$H$304="")+(Sancoes!$H$5:$H$304&gt;=H814))&gt;0))&gt;0,"SANÇÃO VIGENTE NA DATA — ler tipo e abrangência",""))</f>
        <v/>
      </c>
      <c r="S814" s="24"/>
      <c r="T814" s="11"/>
    </row>
    <row r="815" customFormat="false" ht="15" hidden="false" customHeight="false" outlineLevel="0" collapsed="false">
      <c r="A815" s="11"/>
      <c r="B815" s="24"/>
      <c r="C815" s="24"/>
      <c r="D815" s="31" t="str">
        <f aca="false">IF(C815="","",IF(LEN(UPPER(SUBSTITUTE(SUBSTITUTE(SUBSTITUTE(SUBSTITUTE(TRIM(C815),".",""),"/",""),"-","")," ","")))&lt;14,RIGHT(REPT("0",14)&amp;UPPER(SUBSTITUTE(SUBSTITUTE(SUBSTITUTE(SUBSTITUTE(TRIM(C815),".",""),"/",""),"-","")," ","")),14),UPPER(SUBSTITUTE(SUBSTITUTE(SUBSTITUTE(SUBSTITUTE(TRIM(C815),".",""),"/",""),"-","")," ",""))))</f>
        <v/>
      </c>
      <c r="E815" s="25" t="str">
        <f aca="false">IF(D815="","",IFERROR(INDEX(Empresas!$C:$C,MATCH(D815,Empresas!$B:$B,0)),"cadastre o CNPJ em Empresas"))</f>
        <v/>
      </c>
      <c r="F815" s="11"/>
      <c r="G815" s="23"/>
      <c r="H815" s="22"/>
      <c r="I815" s="35"/>
      <c r="J815" s="35"/>
      <c r="K815" s="36" t="str">
        <f aca="false">IF(I815="","",I815+J815)</f>
        <v/>
      </c>
      <c r="L815" s="37" t="str">
        <f aca="false">IF(OR(I815="",I815=0,J815=""),"",J815/I815)</f>
        <v/>
      </c>
      <c r="M815" s="25" t="str">
        <f aca="false">IF(L815="","",IF(L815&gt;0.25,"ACRÉSCIMO ACIMA DE 25% — conferir",""))</f>
        <v/>
      </c>
      <c r="N815" s="29" t="str">
        <f aca="false">IF(D815="","",IF(COUNTIFS(Empresas!$B:$B,D815,Empresas!$E:$E,"&lt;&gt;")=0,"",INDEX(Empresas!$E:$E,MATCH(D815,Empresas!$B:$B,0))))</f>
        <v/>
      </c>
      <c r="O815" s="27" t="str">
        <f aca="false">IF(OR(N815="",H815=""),"",H815-N815)</f>
        <v/>
      </c>
      <c r="P815" s="25" t="str">
        <f aca="false">IF(O815="","",IF(O815&lt;0,"CONTRATO ANTERIOR À ABERTURA — conferir datas",IF(O815&lt;180,"EMPRESA ABERTA MENOS DE 6 MESES ANTES","")))</f>
        <v/>
      </c>
      <c r="Q815" s="31" t="str">
        <f aca="false">IF(D815="","",IFERROR(INDEX(Sancoes!$D:$D,MATCH(D815,Sancoes!$C:$C,0)),"não consta"))</f>
        <v/>
      </c>
      <c r="R815" s="25" t="str">
        <f aca="false">IF(OR(D815="",H815=""),"",IF(SUMPRODUCT((Sancoes!$C$5:$C$304=D815)*(Sancoes!$G$5:$G$304&lt;=H815)*(((Sancoes!$H$5:$H$304="")+(Sancoes!$H$5:$H$304&gt;=H815))&gt;0))&gt;0,"SANÇÃO VIGENTE NA DATA — ler tipo e abrangência",""))</f>
        <v/>
      </c>
      <c r="S815" s="24"/>
      <c r="T815" s="11"/>
    </row>
    <row r="816" customFormat="false" ht="15" hidden="false" customHeight="false" outlineLevel="0" collapsed="false">
      <c r="A816" s="11"/>
      <c r="B816" s="24"/>
      <c r="C816" s="24"/>
      <c r="D816" s="31" t="str">
        <f aca="false">IF(C816="","",IF(LEN(UPPER(SUBSTITUTE(SUBSTITUTE(SUBSTITUTE(SUBSTITUTE(TRIM(C816),".",""),"/",""),"-","")," ","")))&lt;14,RIGHT(REPT("0",14)&amp;UPPER(SUBSTITUTE(SUBSTITUTE(SUBSTITUTE(SUBSTITUTE(TRIM(C816),".",""),"/",""),"-","")," ","")),14),UPPER(SUBSTITUTE(SUBSTITUTE(SUBSTITUTE(SUBSTITUTE(TRIM(C816),".",""),"/",""),"-","")," ",""))))</f>
        <v/>
      </c>
      <c r="E816" s="25" t="str">
        <f aca="false">IF(D816="","",IFERROR(INDEX(Empresas!$C:$C,MATCH(D816,Empresas!$B:$B,0)),"cadastre o CNPJ em Empresas"))</f>
        <v/>
      </c>
      <c r="F816" s="11"/>
      <c r="G816" s="23"/>
      <c r="H816" s="22"/>
      <c r="I816" s="35"/>
      <c r="J816" s="35"/>
      <c r="K816" s="36" t="str">
        <f aca="false">IF(I816="","",I816+J816)</f>
        <v/>
      </c>
      <c r="L816" s="37" t="str">
        <f aca="false">IF(OR(I816="",I816=0,J816=""),"",J816/I816)</f>
        <v/>
      </c>
      <c r="M816" s="25" t="str">
        <f aca="false">IF(L816="","",IF(L816&gt;0.25,"ACRÉSCIMO ACIMA DE 25% — conferir",""))</f>
        <v/>
      </c>
      <c r="N816" s="29" t="str">
        <f aca="false">IF(D816="","",IF(COUNTIFS(Empresas!$B:$B,D816,Empresas!$E:$E,"&lt;&gt;")=0,"",INDEX(Empresas!$E:$E,MATCH(D816,Empresas!$B:$B,0))))</f>
        <v/>
      </c>
      <c r="O816" s="27" t="str">
        <f aca="false">IF(OR(N816="",H816=""),"",H816-N816)</f>
        <v/>
      </c>
      <c r="P816" s="25" t="str">
        <f aca="false">IF(O816="","",IF(O816&lt;0,"CONTRATO ANTERIOR À ABERTURA — conferir datas",IF(O816&lt;180,"EMPRESA ABERTA MENOS DE 6 MESES ANTES","")))</f>
        <v/>
      </c>
      <c r="Q816" s="31" t="str">
        <f aca="false">IF(D816="","",IFERROR(INDEX(Sancoes!$D:$D,MATCH(D816,Sancoes!$C:$C,0)),"não consta"))</f>
        <v/>
      </c>
      <c r="R816" s="25" t="str">
        <f aca="false">IF(OR(D816="",H816=""),"",IF(SUMPRODUCT((Sancoes!$C$5:$C$304=D816)*(Sancoes!$G$5:$G$304&lt;=H816)*(((Sancoes!$H$5:$H$304="")+(Sancoes!$H$5:$H$304&gt;=H816))&gt;0))&gt;0,"SANÇÃO VIGENTE NA DATA — ler tipo e abrangência",""))</f>
        <v/>
      </c>
      <c r="S816" s="24"/>
      <c r="T816" s="11"/>
    </row>
    <row r="817" customFormat="false" ht="15" hidden="false" customHeight="false" outlineLevel="0" collapsed="false">
      <c r="A817" s="11"/>
      <c r="B817" s="24"/>
      <c r="C817" s="24"/>
      <c r="D817" s="31" t="str">
        <f aca="false">IF(C817="","",IF(LEN(UPPER(SUBSTITUTE(SUBSTITUTE(SUBSTITUTE(SUBSTITUTE(TRIM(C817),".",""),"/",""),"-","")," ","")))&lt;14,RIGHT(REPT("0",14)&amp;UPPER(SUBSTITUTE(SUBSTITUTE(SUBSTITUTE(SUBSTITUTE(TRIM(C817),".",""),"/",""),"-","")," ","")),14),UPPER(SUBSTITUTE(SUBSTITUTE(SUBSTITUTE(SUBSTITUTE(TRIM(C817),".",""),"/",""),"-","")," ",""))))</f>
        <v/>
      </c>
      <c r="E817" s="25" t="str">
        <f aca="false">IF(D817="","",IFERROR(INDEX(Empresas!$C:$C,MATCH(D817,Empresas!$B:$B,0)),"cadastre o CNPJ em Empresas"))</f>
        <v/>
      </c>
      <c r="F817" s="11"/>
      <c r="G817" s="23"/>
      <c r="H817" s="22"/>
      <c r="I817" s="35"/>
      <c r="J817" s="35"/>
      <c r="K817" s="36" t="str">
        <f aca="false">IF(I817="","",I817+J817)</f>
        <v/>
      </c>
      <c r="L817" s="37" t="str">
        <f aca="false">IF(OR(I817="",I817=0,J817=""),"",J817/I817)</f>
        <v/>
      </c>
      <c r="M817" s="25" t="str">
        <f aca="false">IF(L817="","",IF(L817&gt;0.25,"ACRÉSCIMO ACIMA DE 25% — conferir",""))</f>
        <v/>
      </c>
      <c r="N817" s="29" t="str">
        <f aca="false">IF(D817="","",IF(COUNTIFS(Empresas!$B:$B,D817,Empresas!$E:$E,"&lt;&gt;")=0,"",INDEX(Empresas!$E:$E,MATCH(D817,Empresas!$B:$B,0))))</f>
        <v/>
      </c>
      <c r="O817" s="27" t="str">
        <f aca="false">IF(OR(N817="",H817=""),"",H817-N817)</f>
        <v/>
      </c>
      <c r="P817" s="25" t="str">
        <f aca="false">IF(O817="","",IF(O817&lt;0,"CONTRATO ANTERIOR À ABERTURA — conferir datas",IF(O817&lt;180,"EMPRESA ABERTA MENOS DE 6 MESES ANTES","")))</f>
        <v/>
      </c>
      <c r="Q817" s="31" t="str">
        <f aca="false">IF(D817="","",IFERROR(INDEX(Sancoes!$D:$D,MATCH(D817,Sancoes!$C:$C,0)),"não consta"))</f>
        <v/>
      </c>
      <c r="R817" s="25" t="str">
        <f aca="false">IF(OR(D817="",H817=""),"",IF(SUMPRODUCT((Sancoes!$C$5:$C$304=D817)*(Sancoes!$G$5:$G$304&lt;=H817)*(((Sancoes!$H$5:$H$304="")+(Sancoes!$H$5:$H$304&gt;=H817))&gt;0))&gt;0,"SANÇÃO VIGENTE NA DATA — ler tipo e abrangência",""))</f>
        <v/>
      </c>
      <c r="S817" s="24"/>
      <c r="T817" s="11"/>
    </row>
    <row r="818" customFormat="false" ht="15" hidden="false" customHeight="false" outlineLevel="0" collapsed="false">
      <c r="A818" s="11"/>
      <c r="B818" s="24"/>
      <c r="C818" s="24"/>
      <c r="D818" s="31" t="str">
        <f aca="false">IF(C818="","",IF(LEN(UPPER(SUBSTITUTE(SUBSTITUTE(SUBSTITUTE(SUBSTITUTE(TRIM(C818),".",""),"/",""),"-","")," ","")))&lt;14,RIGHT(REPT("0",14)&amp;UPPER(SUBSTITUTE(SUBSTITUTE(SUBSTITUTE(SUBSTITUTE(TRIM(C818),".",""),"/",""),"-","")," ","")),14),UPPER(SUBSTITUTE(SUBSTITUTE(SUBSTITUTE(SUBSTITUTE(TRIM(C818),".",""),"/",""),"-","")," ",""))))</f>
        <v/>
      </c>
      <c r="E818" s="25" t="str">
        <f aca="false">IF(D818="","",IFERROR(INDEX(Empresas!$C:$C,MATCH(D818,Empresas!$B:$B,0)),"cadastre o CNPJ em Empresas"))</f>
        <v/>
      </c>
      <c r="F818" s="11"/>
      <c r="G818" s="23"/>
      <c r="H818" s="22"/>
      <c r="I818" s="35"/>
      <c r="J818" s="35"/>
      <c r="K818" s="36" t="str">
        <f aca="false">IF(I818="","",I818+J818)</f>
        <v/>
      </c>
      <c r="L818" s="37" t="str">
        <f aca="false">IF(OR(I818="",I818=0,J818=""),"",J818/I818)</f>
        <v/>
      </c>
      <c r="M818" s="25" t="str">
        <f aca="false">IF(L818="","",IF(L818&gt;0.25,"ACRÉSCIMO ACIMA DE 25% — conferir",""))</f>
        <v/>
      </c>
      <c r="N818" s="29" t="str">
        <f aca="false">IF(D818="","",IF(COUNTIFS(Empresas!$B:$B,D818,Empresas!$E:$E,"&lt;&gt;")=0,"",INDEX(Empresas!$E:$E,MATCH(D818,Empresas!$B:$B,0))))</f>
        <v/>
      </c>
      <c r="O818" s="27" t="str">
        <f aca="false">IF(OR(N818="",H818=""),"",H818-N818)</f>
        <v/>
      </c>
      <c r="P818" s="25" t="str">
        <f aca="false">IF(O818="","",IF(O818&lt;0,"CONTRATO ANTERIOR À ABERTURA — conferir datas",IF(O818&lt;180,"EMPRESA ABERTA MENOS DE 6 MESES ANTES","")))</f>
        <v/>
      </c>
      <c r="Q818" s="31" t="str">
        <f aca="false">IF(D818="","",IFERROR(INDEX(Sancoes!$D:$D,MATCH(D818,Sancoes!$C:$C,0)),"não consta"))</f>
        <v/>
      </c>
      <c r="R818" s="25" t="str">
        <f aca="false">IF(OR(D818="",H818=""),"",IF(SUMPRODUCT((Sancoes!$C$5:$C$304=D818)*(Sancoes!$G$5:$G$304&lt;=H818)*(((Sancoes!$H$5:$H$304="")+(Sancoes!$H$5:$H$304&gt;=H818))&gt;0))&gt;0,"SANÇÃO VIGENTE NA DATA — ler tipo e abrangência",""))</f>
        <v/>
      </c>
      <c r="S818" s="24"/>
      <c r="T818" s="11"/>
    </row>
    <row r="819" customFormat="false" ht="15" hidden="false" customHeight="false" outlineLevel="0" collapsed="false">
      <c r="A819" s="11"/>
      <c r="B819" s="24"/>
      <c r="C819" s="24"/>
      <c r="D819" s="31" t="str">
        <f aca="false">IF(C819="","",IF(LEN(UPPER(SUBSTITUTE(SUBSTITUTE(SUBSTITUTE(SUBSTITUTE(TRIM(C819),".",""),"/",""),"-","")," ","")))&lt;14,RIGHT(REPT("0",14)&amp;UPPER(SUBSTITUTE(SUBSTITUTE(SUBSTITUTE(SUBSTITUTE(TRIM(C819),".",""),"/",""),"-","")," ","")),14),UPPER(SUBSTITUTE(SUBSTITUTE(SUBSTITUTE(SUBSTITUTE(TRIM(C819),".",""),"/",""),"-","")," ",""))))</f>
        <v/>
      </c>
      <c r="E819" s="25" t="str">
        <f aca="false">IF(D819="","",IFERROR(INDEX(Empresas!$C:$C,MATCH(D819,Empresas!$B:$B,0)),"cadastre o CNPJ em Empresas"))</f>
        <v/>
      </c>
      <c r="F819" s="11"/>
      <c r="G819" s="23"/>
      <c r="H819" s="22"/>
      <c r="I819" s="35"/>
      <c r="J819" s="35"/>
      <c r="K819" s="36" t="str">
        <f aca="false">IF(I819="","",I819+J819)</f>
        <v/>
      </c>
      <c r="L819" s="37" t="str">
        <f aca="false">IF(OR(I819="",I819=0,J819=""),"",J819/I819)</f>
        <v/>
      </c>
      <c r="M819" s="25" t="str">
        <f aca="false">IF(L819="","",IF(L819&gt;0.25,"ACRÉSCIMO ACIMA DE 25% — conferir",""))</f>
        <v/>
      </c>
      <c r="N819" s="29" t="str">
        <f aca="false">IF(D819="","",IF(COUNTIFS(Empresas!$B:$B,D819,Empresas!$E:$E,"&lt;&gt;")=0,"",INDEX(Empresas!$E:$E,MATCH(D819,Empresas!$B:$B,0))))</f>
        <v/>
      </c>
      <c r="O819" s="27" t="str">
        <f aca="false">IF(OR(N819="",H819=""),"",H819-N819)</f>
        <v/>
      </c>
      <c r="P819" s="25" t="str">
        <f aca="false">IF(O819="","",IF(O819&lt;0,"CONTRATO ANTERIOR À ABERTURA — conferir datas",IF(O819&lt;180,"EMPRESA ABERTA MENOS DE 6 MESES ANTES","")))</f>
        <v/>
      </c>
      <c r="Q819" s="31" t="str">
        <f aca="false">IF(D819="","",IFERROR(INDEX(Sancoes!$D:$D,MATCH(D819,Sancoes!$C:$C,0)),"não consta"))</f>
        <v/>
      </c>
      <c r="R819" s="25" t="str">
        <f aca="false">IF(OR(D819="",H819=""),"",IF(SUMPRODUCT((Sancoes!$C$5:$C$304=D819)*(Sancoes!$G$5:$G$304&lt;=H819)*(((Sancoes!$H$5:$H$304="")+(Sancoes!$H$5:$H$304&gt;=H819))&gt;0))&gt;0,"SANÇÃO VIGENTE NA DATA — ler tipo e abrangência",""))</f>
        <v/>
      </c>
      <c r="S819" s="24"/>
      <c r="T819" s="11"/>
    </row>
    <row r="820" customFormat="false" ht="15" hidden="false" customHeight="false" outlineLevel="0" collapsed="false">
      <c r="A820" s="11"/>
      <c r="B820" s="24"/>
      <c r="C820" s="24"/>
      <c r="D820" s="31" t="str">
        <f aca="false">IF(C820="","",IF(LEN(UPPER(SUBSTITUTE(SUBSTITUTE(SUBSTITUTE(SUBSTITUTE(TRIM(C820),".",""),"/",""),"-","")," ","")))&lt;14,RIGHT(REPT("0",14)&amp;UPPER(SUBSTITUTE(SUBSTITUTE(SUBSTITUTE(SUBSTITUTE(TRIM(C820),".",""),"/",""),"-","")," ","")),14),UPPER(SUBSTITUTE(SUBSTITUTE(SUBSTITUTE(SUBSTITUTE(TRIM(C820),".",""),"/",""),"-","")," ",""))))</f>
        <v/>
      </c>
      <c r="E820" s="25" t="str">
        <f aca="false">IF(D820="","",IFERROR(INDEX(Empresas!$C:$C,MATCH(D820,Empresas!$B:$B,0)),"cadastre o CNPJ em Empresas"))</f>
        <v/>
      </c>
      <c r="F820" s="11"/>
      <c r="G820" s="23"/>
      <c r="H820" s="22"/>
      <c r="I820" s="35"/>
      <c r="J820" s="35"/>
      <c r="K820" s="36" t="str">
        <f aca="false">IF(I820="","",I820+J820)</f>
        <v/>
      </c>
      <c r="L820" s="37" t="str">
        <f aca="false">IF(OR(I820="",I820=0,J820=""),"",J820/I820)</f>
        <v/>
      </c>
      <c r="M820" s="25" t="str">
        <f aca="false">IF(L820="","",IF(L820&gt;0.25,"ACRÉSCIMO ACIMA DE 25% — conferir",""))</f>
        <v/>
      </c>
      <c r="N820" s="29" t="str">
        <f aca="false">IF(D820="","",IF(COUNTIFS(Empresas!$B:$B,D820,Empresas!$E:$E,"&lt;&gt;")=0,"",INDEX(Empresas!$E:$E,MATCH(D820,Empresas!$B:$B,0))))</f>
        <v/>
      </c>
      <c r="O820" s="27" t="str">
        <f aca="false">IF(OR(N820="",H820=""),"",H820-N820)</f>
        <v/>
      </c>
      <c r="P820" s="25" t="str">
        <f aca="false">IF(O820="","",IF(O820&lt;0,"CONTRATO ANTERIOR À ABERTURA — conferir datas",IF(O820&lt;180,"EMPRESA ABERTA MENOS DE 6 MESES ANTES","")))</f>
        <v/>
      </c>
      <c r="Q820" s="31" t="str">
        <f aca="false">IF(D820="","",IFERROR(INDEX(Sancoes!$D:$D,MATCH(D820,Sancoes!$C:$C,0)),"não consta"))</f>
        <v/>
      </c>
      <c r="R820" s="25" t="str">
        <f aca="false">IF(OR(D820="",H820=""),"",IF(SUMPRODUCT((Sancoes!$C$5:$C$304=D820)*(Sancoes!$G$5:$G$304&lt;=H820)*(((Sancoes!$H$5:$H$304="")+(Sancoes!$H$5:$H$304&gt;=H820))&gt;0))&gt;0,"SANÇÃO VIGENTE NA DATA — ler tipo e abrangência",""))</f>
        <v/>
      </c>
      <c r="S820" s="24"/>
      <c r="T820" s="11"/>
    </row>
    <row r="821" customFormat="false" ht="15" hidden="false" customHeight="false" outlineLevel="0" collapsed="false">
      <c r="A821" s="11"/>
      <c r="B821" s="24"/>
      <c r="C821" s="24"/>
      <c r="D821" s="31" t="str">
        <f aca="false">IF(C821="","",IF(LEN(UPPER(SUBSTITUTE(SUBSTITUTE(SUBSTITUTE(SUBSTITUTE(TRIM(C821),".",""),"/",""),"-","")," ","")))&lt;14,RIGHT(REPT("0",14)&amp;UPPER(SUBSTITUTE(SUBSTITUTE(SUBSTITUTE(SUBSTITUTE(TRIM(C821),".",""),"/",""),"-","")," ","")),14),UPPER(SUBSTITUTE(SUBSTITUTE(SUBSTITUTE(SUBSTITUTE(TRIM(C821),".",""),"/",""),"-","")," ",""))))</f>
        <v/>
      </c>
      <c r="E821" s="25" t="str">
        <f aca="false">IF(D821="","",IFERROR(INDEX(Empresas!$C:$C,MATCH(D821,Empresas!$B:$B,0)),"cadastre o CNPJ em Empresas"))</f>
        <v/>
      </c>
      <c r="F821" s="11"/>
      <c r="G821" s="23"/>
      <c r="H821" s="22"/>
      <c r="I821" s="35"/>
      <c r="J821" s="35"/>
      <c r="K821" s="36" t="str">
        <f aca="false">IF(I821="","",I821+J821)</f>
        <v/>
      </c>
      <c r="L821" s="37" t="str">
        <f aca="false">IF(OR(I821="",I821=0,J821=""),"",J821/I821)</f>
        <v/>
      </c>
      <c r="M821" s="25" t="str">
        <f aca="false">IF(L821="","",IF(L821&gt;0.25,"ACRÉSCIMO ACIMA DE 25% — conferir",""))</f>
        <v/>
      </c>
      <c r="N821" s="29" t="str">
        <f aca="false">IF(D821="","",IF(COUNTIFS(Empresas!$B:$B,D821,Empresas!$E:$E,"&lt;&gt;")=0,"",INDEX(Empresas!$E:$E,MATCH(D821,Empresas!$B:$B,0))))</f>
        <v/>
      </c>
      <c r="O821" s="27" t="str">
        <f aca="false">IF(OR(N821="",H821=""),"",H821-N821)</f>
        <v/>
      </c>
      <c r="P821" s="25" t="str">
        <f aca="false">IF(O821="","",IF(O821&lt;0,"CONTRATO ANTERIOR À ABERTURA — conferir datas",IF(O821&lt;180,"EMPRESA ABERTA MENOS DE 6 MESES ANTES","")))</f>
        <v/>
      </c>
      <c r="Q821" s="31" t="str">
        <f aca="false">IF(D821="","",IFERROR(INDEX(Sancoes!$D:$D,MATCH(D821,Sancoes!$C:$C,0)),"não consta"))</f>
        <v/>
      </c>
      <c r="R821" s="25" t="str">
        <f aca="false">IF(OR(D821="",H821=""),"",IF(SUMPRODUCT((Sancoes!$C$5:$C$304=D821)*(Sancoes!$G$5:$G$304&lt;=H821)*(((Sancoes!$H$5:$H$304="")+(Sancoes!$H$5:$H$304&gt;=H821))&gt;0))&gt;0,"SANÇÃO VIGENTE NA DATA — ler tipo e abrangência",""))</f>
        <v/>
      </c>
      <c r="S821" s="24"/>
      <c r="T821" s="11"/>
    </row>
    <row r="822" customFormat="false" ht="15" hidden="false" customHeight="false" outlineLevel="0" collapsed="false">
      <c r="A822" s="11"/>
      <c r="B822" s="24"/>
      <c r="C822" s="24"/>
      <c r="D822" s="31" t="str">
        <f aca="false">IF(C822="","",IF(LEN(UPPER(SUBSTITUTE(SUBSTITUTE(SUBSTITUTE(SUBSTITUTE(TRIM(C822),".",""),"/",""),"-","")," ","")))&lt;14,RIGHT(REPT("0",14)&amp;UPPER(SUBSTITUTE(SUBSTITUTE(SUBSTITUTE(SUBSTITUTE(TRIM(C822),".",""),"/",""),"-","")," ","")),14),UPPER(SUBSTITUTE(SUBSTITUTE(SUBSTITUTE(SUBSTITUTE(TRIM(C822),".",""),"/",""),"-","")," ",""))))</f>
        <v/>
      </c>
      <c r="E822" s="25" t="str">
        <f aca="false">IF(D822="","",IFERROR(INDEX(Empresas!$C:$C,MATCH(D822,Empresas!$B:$B,0)),"cadastre o CNPJ em Empresas"))</f>
        <v/>
      </c>
      <c r="F822" s="11"/>
      <c r="G822" s="23"/>
      <c r="H822" s="22"/>
      <c r="I822" s="35"/>
      <c r="J822" s="35"/>
      <c r="K822" s="36" t="str">
        <f aca="false">IF(I822="","",I822+J822)</f>
        <v/>
      </c>
      <c r="L822" s="37" t="str">
        <f aca="false">IF(OR(I822="",I822=0,J822=""),"",J822/I822)</f>
        <v/>
      </c>
      <c r="M822" s="25" t="str">
        <f aca="false">IF(L822="","",IF(L822&gt;0.25,"ACRÉSCIMO ACIMA DE 25% — conferir",""))</f>
        <v/>
      </c>
      <c r="N822" s="29" t="str">
        <f aca="false">IF(D822="","",IF(COUNTIFS(Empresas!$B:$B,D822,Empresas!$E:$E,"&lt;&gt;")=0,"",INDEX(Empresas!$E:$E,MATCH(D822,Empresas!$B:$B,0))))</f>
        <v/>
      </c>
      <c r="O822" s="27" t="str">
        <f aca="false">IF(OR(N822="",H822=""),"",H822-N822)</f>
        <v/>
      </c>
      <c r="P822" s="25" t="str">
        <f aca="false">IF(O822="","",IF(O822&lt;0,"CONTRATO ANTERIOR À ABERTURA — conferir datas",IF(O822&lt;180,"EMPRESA ABERTA MENOS DE 6 MESES ANTES","")))</f>
        <v/>
      </c>
      <c r="Q822" s="31" t="str">
        <f aca="false">IF(D822="","",IFERROR(INDEX(Sancoes!$D:$D,MATCH(D822,Sancoes!$C:$C,0)),"não consta"))</f>
        <v/>
      </c>
      <c r="R822" s="25" t="str">
        <f aca="false">IF(OR(D822="",H822=""),"",IF(SUMPRODUCT((Sancoes!$C$5:$C$304=D822)*(Sancoes!$G$5:$G$304&lt;=H822)*(((Sancoes!$H$5:$H$304="")+(Sancoes!$H$5:$H$304&gt;=H822))&gt;0))&gt;0,"SANÇÃO VIGENTE NA DATA — ler tipo e abrangência",""))</f>
        <v/>
      </c>
      <c r="S822" s="24"/>
      <c r="T822" s="11"/>
    </row>
    <row r="823" customFormat="false" ht="15" hidden="false" customHeight="false" outlineLevel="0" collapsed="false">
      <c r="A823" s="11"/>
      <c r="B823" s="24"/>
      <c r="C823" s="24"/>
      <c r="D823" s="31" t="str">
        <f aca="false">IF(C823="","",IF(LEN(UPPER(SUBSTITUTE(SUBSTITUTE(SUBSTITUTE(SUBSTITUTE(TRIM(C823),".",""),"/",""),"-","")," ","")))&lt;14,RIGHT(REPT("0",14)&amp;UPPER(SUBSTITUTE(SUBSTITUTE(SUBSTITUTE(SUBSTITUTE(TRIM(C823),".",""),"/",""),"-","")," ","")),14),UPPER(SUBSTITUTE(SUBSTITUTE(SUBSTITUTE(SUBSTITUTE(TRIM(C823),".",""),"/",""),"-","")," ",""))))</f>
        <v/>
      </c>
      <c r="E823" s="25" t="str">
        <f aca="false">IF(D823="","",IFERROR(INDEX(Empresas!$C:$C,MATCH(D823,Empresas!$B:$B,0)),"cadastre o CNPJ em Empresas"))</f>
        <v/>
      </c>
      <c r="F823" s="11"/>
      <c r="G823" s="23"/>
      <c r="H823" s="22"/>
      <c r="I823" s="35"/>
      <c r="J823" s="35"/>
      <c r="K823" s="36" t="str">
        <f aca="false">IF(I823="","",I823+J823)</f>
        <v/>
      </c>
      <c r="L823" s="37" t="str">
        <f aca="false">IF(OR(I823="",I823=0,J823=""),"",J823/I823)</f>
        <v/>
      </c>
      <c r="M823" s="25" t="str">
        <f aca="false">IF(L823="","",IF(L823&gt;0.25,"ACRÉSCIMO ACIMA DE 25% — conferir",""))</f>
        <v/>
      </c>
      <c r="N823" s="29" t="str">
        <f aca="false">IF(D823="","",IF(COUNTIFS(Empresas!$B:$B,D823,Empresas!$E:$E,"&lt;&gt;")=0,"",INDEX(Empresas!$E:$E,MATCH(D823,Empresas!$B:$B,0))))</f>
        <v/>
      </c>
      <c r="O823" s="27" t="str">
        <f aca="false">IF(OR(N823="",H823=""),"",H823-N823)</f>
        <v/>
      </c>
      <c r="P823" s="25" t="str">
        <f aca="false">IF(O823="","",IF(O823&lt;0,"CONTRATO ANTERIOR À ABERTURA — conferir datas",IF(O823&lt;180,"EMPRESA ABERTA MENOS DE 6 MESES ANTES","")))</f>
        <v/>
      </c>
      <c r="Q823" s="31" t="str">
        <f aca="false">IF(D823="","",IFERROR(INDEX(Sancoes!$D:$D,MATCH(D823,Sancoes!$C:$C,0)),"não consta"))</f>
        <v/>
      </c>
      <c r="R823" s="25" t="str">
        <f aca="false">IF(OR(D823="",H823=""),"",IF(SUMPRODUCT((Sancoes!$C$5:$C$304=D823)*(Sancoes!$G$5:$G$304&lt;=H823)*(((Sancoes!$H$5:$H$304="")+(Sancoes!$H$5:$H$304&gt;=H823))&gt;0))&gt;0,"SANÇÃO VIGENTE NA DATA — ler tipo e abrangência",""))</f>
        <v/>
      </c>
      <c r="S823" s="24"/>
      <c r="T823" s="11"/>
    </row>
    <row r="824" customFormat="false" ht="15" hidden="false" customHeight="false" outlineLevel="0" collapsed="false">
      <c r="A824" s="11"/>
      <c r="B824" s="24"/>
      <c r="C824" s="24"/>
      <c r="D824" s="31" t="str">
        <f aca="false">IF(C824="","",IF(LEN(UPPER(SUBSTITUTE(SUBSTITUTE(SUBSTITUTE(SUBSTITUTE(TRIM(C824),".",""),"/",""),"-","")," ","")))&lt;14,RIGHT(REPT("0",14)&amp;UPPER(SUBSTITUTE(SUBSTITUTE(SUBSTITUTE(SUBSTITUTE(TRIM(C824),".",""),"/",""),"-","")," ","")),14),UPPER(SUBSTITUTE(SUBSTITUTE(SUBSTITUTE(SUBSTITUTE(TRIM(C824),".",""),"/",""),"-","")," ",""))))</f>
        <v/>
      </c>
      <c r="E824" s="25" t="str">
        <f aca="false">IF(D824="","",IFERROR(INDEX(Empresas!$C:$C,MATCH(D824,Empresas!$B:$B,0)),"cadastre o CNPJ em Empresas"))</f>
        <v/>
      </c>
      <c r="F824" s="11"/>
      <c r="G824" s="23"/>
      <c r="H824" s="22"/>
      <c r="I824" s="35"/>
      <c r="J824" s="35"/>
      <c r="K824" s="36" t="str">
        <f aca="false">IF(I824="","",I824+J824)</f>
        <v/>
      </c>
      <c r="L824" s="37" t="str">
        <f aca="false">IF(OR(I824="",I824=0,J824=""),"",J824/I824)</f>
        <v/>
      </c>
      <c r="M824" s="25" t="str">
        <f aca="false">IF(L824="","",IF(L824&gt;0.25,"ACRÉSCIMO ACIMA DE 25% — conferir",""))</f>
        <v/>
      </c>
      <c r="N824" s="29" t="str">
        <f aca="false">IF(D824="","",IF(COUNTIFS(Empresas!$B:$B,D824,Empresas!$E:$E,"&lt;&gt;")=0,"",INDEX(Empresas!$E:$E,MATCH(D824,Empresas!$B:$B,0))))</f>
        <v/>
      </c>
      <c r="O824" s="27" t="str">
        <f aca="false">IF(OR(N824="",H824=""),"",H824-N824)</f>
        <v/>
      </c>
      <c r="P824" s="25" t="str">
        <f aca="false">IF(O824="","",IF(O824&lt;0,"CONTRATO ANTERIOR À ABERTURA — conferir datas",IF(O824&lt;180,"EMPRESA ABERTA MENOS DE 6 MESES ANTES","")))</f>
        <v/>
      </c>
      <c r="Q824" s="31" t="str">
        <f aca="false">IF(D824="","",IFERROR(INDEX(Sancoes!$D:$D,MATCH(D824,Sancoes!$C:$C,0)),"não consta"))</f>
        <v/>
      </c>
      <c r="R824" s="25" t="str">
        <f aca="false">IF(OR(D824="",H824=""),"",IF(SUMPRODUCT((Sancoes!$C$5:$C$304=D824)*(Sancoes!$G$5:$G$304&lt;=H824)*(((Sancoes!$H$5:$H$304="")+(Sancoes!$H$5:$H$304&gt;=H824))&gt;0))&gt;0,"SANÇÃO VIGENTE NA DATA — ler tipo e abrangência",""))</f>
        <v/>
      </c>
      <c r="S824" s="24"/>
      <c r="T824" s="11"/>
    </row>
    <row r="825" customFormat="false" ht="15" hidden="false" customHeight="false" outlineLevel="0" collapsed="false">
      <c r="A825" s="11"/>
      <c r="B825" s="24"/>
      <c r="C825" s="24"/>
      <c r="D825" s="31" t="str">
        <f aca="false">IF(C825="","",IF(LEN(UPPER(SUBSTITUTE(SUBSTITUTE(SUBSTITUTE(SUBSTITUTE(TRIM(C825),".",""),"/",""),"-","")," ","")))&lt;14,RIGHT(REPT("0",14)&amp;UPPER(SUBSTITUTE(SUBSTITUTE(SUBSTITUTE(SUBSTITUTE(TRIM(C825),".",""),"/",""),"-","")," ","")),14),UPPER(SUBSTITUTE(SUBSTITUTE(SUBSTITUTE(SUBSTITUTE(TRIM(C825),".",""),"/",""),"-","")," ",""))))</f>
        <v/>
      </c>
      <c r="E825" s="25" t="str">
        <f aca="false">IF(D825="","",IFERROR(INDEX(Empresas!$C:$C,MATCH(D825,Empresas!$B:$B,0)),"cadastre o CNPJ em Empresas"))</f>
        <v/>
      </c>
      <c r="F825" s="11"/>
      <c r="G825" s="23"/>
      <c r="H825" s="22"/>
      <c r="I825" s="35"/>
      <c r="J825" s="35"/>
      <c r="K825" s="36" t="str">
        <f aca="false">IF(I825="","",I825+J825)</f>
        <v/>
      </c>
      <c r="L825" s="37" t="str">
        <f aca="false">IF(OR(I825="",I825=0,J825=""),"",J825/I825)</f>
        <v/>
      </c>
      <c r="M825" s="25" t="str">
        <f aca="false">IF(L825="","",IF(L825&gt;0.25,"ACRÉSCIMO ACIMA DE 25% — conferir",""))</f>
        <v/>
      </c>
      <c r="N825" s="29" t="str">
        <f aca="false">IF(D825="","",IF(COUNTIFS(Empresas!$B:$B,D825,Empresas!$E:$E,"&lt;&gt;")=0,"",INDEX(Empresas!$E:$E,MATCH(D825,Empresas!$B:$B,0))))</f>
        <v/>
      </c>
      <c r="O825" s="27" t="str">
        <f aca="false">IF(OR(N825="",H825=""),"",H825-N825)</f>
        <v/>
      </c>
      <c r="P825" s="25" t="str">
        <f aca="false">IF(O825="","",IF(O825&lt;0,"CONTRATO ANTERIOR À ABERTURA — conferir datas",IF(O825&lt;180,"EMPRESA ABERTA MENOS DE 6 MESES ANTES","")))</f>
        <v/>
      </c>
      <c r="Q825" s="31" t="str">
        <f aca="false">IF(D825="","",IFERROR(INDEX(Sancoes!$D:$D,MATCH(D825,Sancoes!$C:$C,0)),"não consta"))</f>
        <v/>
      </c>
      <c r="R825" s="25" t="str">
        <f aca="false">IF(OR(D825="",H825=""),"",IF(SUMPRODUCT((Sancoes!$C$5:$C$304=D825)*(Sancoes!$G$5:$G$304&lt;=H825)*(((Sancoes!$H$5:$H$304="")+(Sancoes!$H$5:$H$304&gt;=H825))&gt;0))&gt;0,"SANÇÃO VIGENTE NA DATA — ler tipo e abrangência",""))</f>
        <v/>
      </c>
      <c r="S825" s="24"/>
      <c r="T825" s="11"/>
    </row>
    <row r="826" customFormat="false" ht="15" hidden="false" customHeight="false" outlineLevel="0" collapsed="false">
      <c r="A826" s="11"/>
      <c r="B826" s="24"/>
      <c r="C826" s="24"/>
      <c r="D826" s="31" t="str">
        <f aca="false">IF(C826="","",IF(LEN(UPPER(SUBSTITUTE(SUBSTITUTE(SUBSTITUTE(SUBSTITUTE(TRIM(C826),".",""),"/",""),"-","")," ","")))&lt;14,RIGHT(REPT("0",14)&amp;UPPER(SUBSTITUTE(SUBSTITUTE(SUBSTITUTE(SUBSTITUTE(TRIM(C826),".",""),"/",""),"-","")," ","")),14),UPPER(SUBSTITUTE(SUBSTITUTE(SUBSTITUTE(SUBSTITUTE(TRIM(C826),".",""),"/",""),"-","")," ",""))))</f>
        <v/>
      </c>
      <c r="E826" s="25" t="str">
        <f aca="false">IF(D826="","",IFERROR(INDEX(Empresas!$C:$C,MATCH(D826,Empresas!$B:$B,0)),"cadastre o CNPJ em Empresas"))</f>
        <v/>
      </c>
      <c r="F826" s="11"/>
      <c r="G826" s="23"/>
      <c r="H826" s="22"/>
      <c r="I826" s="35"/>
      <c r="J826" s="35"/>
      <c r="K826" s="36" t="str">
        <f aca="false">IF(I826="","",I826+J826)</f>
        <v/>
      </c>
      <c r="L826" s="37" t="str">
        <f aca="false">IF(OR(I826="",I826=0,J826=""),"",J826/I826)</f>
        <v/>
      </c>
      <c r="M826" s="25" t="str">
        <f aca="false">IF(L826="","",IF(L826&gt;0.25,"ACRÉSCIMO ACIMA DE 25% — conferir",""))</f>
        <v/>
      </c>
      <c r="N826" s="29" t="str">
        <f aca="false">IF(D826="","",IF(COUNTIFS(Empresas!$B:$B,D826,Empresas!$E:$E,"&lt;&gt;")=0,"",INDEX(Empresas!$E:$E,MATCH(D826,Empresas!$B:$B,0))))</f>
        <v/>
      </c>
      <c r="O826" s="27" t="str">
        <f aca="false">IF(OR(N826="",H826=""),"",H826-N826)</f>
        <v/>
      </c>
      <c r="P826" s="25" t="str">
        <f aca="false">IF(O826="","",IF(O826&lt;0,"CONTRATO ANTERIOR À ABERTURA — conferir datas",IF(O826&lt;180,"EMPRESA ABERTA MENOS DE 6 MESES ANTES","")))</f>
        <v/>
      </c>
      <c r="Q826" s="31" t="str">
        <f aca="false">IF(D826="","",IFERROR(INDEX(Sancoes!$D:$D,MATCH(D826,Sancoes!$C:$C,0)),"não consta"))</f>
        <v/>
      </c>
      <c r="R826" s="25" t="str">
        <f aca="false">IF(OR(D826="",H826=""),"",IF(SUMPRODUCT((Sancoes!$C$5:$C$304=D826)*(Sancoes!$G$5:$G$304&lt;=H826)*(((Sancoes!$H$5:$H$304="")+(Sancoes!$H$5:$H$304&gt;=H826))&gt;0))&gt;0,"SANÇÃO VIGENTE NA DATA — ler tipo e abrangência",""))</f>
        <v/>
      </c>
      <c r="S826" s="24"/>
      <c r="T826" s="11"/>
    </row>
    <row r="827" customFormat="false" ht="15" hidden="false" customHeight="false" outlineLevel="0" collapsed="false">
      <c r="A827" s="11"/>
      <c r="B827" s="24"/>
      <c r="C827" s="24"/>
      <c r="D827" s="31" t="str">
        <f aca="false">IF(C827="","",IF(LEN(UPPER(SUBSTITUTE(SUBSTITUTE(SUBSTITUTE(SUBSTITUTE(TRIM(C827),".",""),"/",""),"-","")," ","")))&lt;14,RIGHT(REPT("0",14)&amp;UPPER(SUBSTITUTE(SUBSTITUTE(SUBSTITUTE(SUBSTITUTE(TRIM(C827),".",""),"/",""),"-","")," ","")),14),UPPER(SUBSTITUTE(SUBSTITUTE(SUBSTITUTE(SUBSTITUTE(TRIM(C827),".",""),"/",""),"-","")," ",""))))</f>
        <v/>
      </c>
      <c r="E827" s="25" t="str">
        <f aca="false">IF(D827="","",IFERROR(INDEX(Empresas!$C:$C,MATCH(D827,Empresas!$B:$B,0)),"cadastre o CNPJ em Empresas"))</f>
        <v/>
      </c>
      <c r="F827" s="11"/>
      <c r="G827" s="23"/>
      <c r="H827" s="22"/>
      <c r="I827" s="35"/>
      <c r="J827" s="35"/>
      <c r="K827" s="36" t="str">
        <f aca="false">IF(I827="","",I827+J827)</f>
        <v/>
      </c>
      <c r="L827" s="37" t="str">
        <f aca="false">IF(OR(I827="",I827=0,J827=""),"",J827/I827)</f>
        <v/>
      </c>
      <c r="M827" s="25" t="str">
        <f aca="false">IF(L827="","",IF(L827&gt;0.25,"ACRÉSCIMO ACIMA DE 25% — conferir",""))</f>
        <v/>
      </c>
      <c r="N827" s="29" t="str">
        <f aca="false">IF(D827="","",IF(COUNTIFS(Empresas!$B:$B,D827,Empresas!$E:$E,"&lt;&gt;")=0,"",INDEX(Empresas!$E:$E,MATCH(D827,Empresas!$B:$B,0))))</f>
        <v/>
      </c>
      <c r="O827" s="27" t="str">
        <f aca="false">IF(OR(N827="",H827=""),"",H827-N827)</f>
        <v/>
      </c>
      <c r="P827" s="25" t="str">
        <f aca="false">IF(O827="","",IF(O827&lt;0,"CONTRATO ANTERIOR À ABERTURA — conferir datas",IF(O827&lt;180,"EMPRESA ABERTA MENOS DE 6 MESES ANTES","")))</f>
        <v/>
      </c>
      <c r="Q827" s="31" t="str">
        <f aca="false">IF(D827="","",IFERROR(INDEX(Sancoes!$D:$D,MATCH(D827,Sancoes!$C:$C,0)),"não consta"))</f>
        <v/>
      </c>
      <c r="R827" s="25" t="str">
        <f aca="false">IF(OR(D827="",H827=""),"",IF(SUMPRODUCT((Sancoes!$C$5:$C$304=D827)*(Sancoes!$G$5:$G$304&lt;=H827)*(((Sancoes!$H$5:$H$304="")+(Sancoes!$H$5:$H$304&gt;=H827))&gt;0))&gt;0,"SANÇÃO VIGENTE NA DATA — ler tipo e abrangência",""))</f>
        <v/>
      </c>
      <c r="S827" s="24"/>
      <c r="T827" s="11"/>
    </row>
    <row r="828" customFormat="false" ht="15" hidden="false" customHeight="false" outlineLevel="0" collapsed="false">
      <c r="A828" s="11"/>
      <c r="B828" s="24"/>
      <c r="C828" s="24"/>
      <c r="D828" s="31" t="str">
        <f aca="false">IF(C828="","",IF(LEN(UPPER(SUBSTITUTE(SUBSTITUTE(SUBSTITUTE(SUBSTITUTE(TRIM(C828),".",""),"/",""),"-","")," ","")))&lt;14,RIGHT(REPT("0",14)&amp;UPPER(SUBSTITUTE(SUBSTITUTE(SUBSTITUTE(SUBSTITUTE(TRIM(C828),".",""),"/",""),"-","")," ","")),14),UPPER(SUBSTITUTE(SUBSTITUTE(SUBSTITUTE(SUBSTITUTE(TRIM(C828),".",""),"/",""),"-","")," ",""))))</f>
        <v/>
      </c>
      <c r="E828" s="25" t="str">
        <f aca="false">IF(D828="","",IFERROR(INDEX(Empresas!$C:$C,MATCH(D828,Empresas!$B:$B,0)),"cadastre o CNPJ em Empresas"))</f>
        <v/>
      </c>
      <c r="F828" s="11"/>
      <c r="G828" s="23"/>
      <c r="H828" s="22"/>
      <c r="I828" s="35"/>
      <c r="J828" s="35"/>
      <c r="K828" s="36" t="str">
        <f aca="false">IF(I828="","",I828+J828)</f>
        <v/>
      </c>
      <c r="L828" s="37" t="str">
        <f aca="false">IF(OR(I828="",I828=0,J828=""),"",J828/I828)</f>
        <v/>
      </c>
      <c r="M828" s="25" t="str">
        <f aca="false">IF(L828="","",IF(L828&gt;0.25,"ACRÉSCIMO ACIMA DE 25% — conferir",""))</f>
        <v/>
      </c>
      <c r="N828" s="29" t="str">
        <f aca="false">IF(D828="","",IF(COUNTIFS(Empresas!$B:$B,D828,Empresas!$E:$E,"&lt;&gt;")=0,"",INDEX(Empresas!$E:$E,MATCH(D828,Empresas!$B:$B,0))))</f>
        <v/>
      </c>
      <c r="O828" s="27" t="str">
        <f aca="false">IF(OR(N828="",H828=""),"",H828-N828)</f>
        <v/>
      </c>
      <c r="P828" s="25" t="str">
        <f aca="false">IF(O828="","",IF(O828&lt;0,"CONTRATO ANTERIOR À ABERTURA — conferir datas",IF(O828&lt;180,"EMPRESA ABERTA MENOS DE 6 MESES ANTES","")))</f>
        <v/>
      </c>
      <c r="Q828" s="31" t="str">
        <f aca="false">IF(D828="","",IFERROR(INDEX(Sancoes!$D:$D,MATCH(D828,Sancoes!$C:$C,0)),"não consta"))</f>
        <v/>
      </c>
      <c r="R828" s="25" t="str">
        <f aca="false">IF(OR(D828="",H828=""),"",IF(SUMPRODUCT((Sancoes!$C$5:$C$304=D828)*(Sancoes!$G$5:$G$304&lt;=H828)*(((Sancoes!$H$5:$H$304="")+(Sancoes!$H$5:$H$304&gt;=H828))&gt;0))&gt;0,"SANÇÃO VIGENTE NA DATA — ler tipo e abrangência",""))</f>
        <v/>
      </c>
      <c r="S828" s="24"/>
      <c r="T828" s="11"/>
    </row>
    <row r="829" customFormat="false" ht="15" hidden="false" customHeight="false" outlineLevel="0" collapsed="false">
      <c r="A829" s="11"/>
      <c r="B829" s="24"/>
      <c r="C829" s="24"/>
      <c r="D829" s="31" t="str">
        <f aca="false">IF(C829="","",IF(LEN(UPPER(SUBSTITUTE(SUBSTITUTE(SUBSTITUTE(SUBSTITUTE(TRIM(C829),".",""),"/",""),"-","")," ","")))&lt;14,RIGHT(REPT("0",14)&amp;UPPER(SUBSTITUTE(SUBSTITUTE(SUBSTITUTE(SUBSTITUTE(TRIM(C829),".",""),"/",""),"-","")," ","")),14),UPPER(SUBSTITUTE(SUBSTITUTE(SUBSTITUTE(SUBSTITUTE(TRIM(C829),".",""),"/",""),"-","")," ",""))))</f>
        <v/>
      </c>
      <c r="E829" s="25" t="str">
        <f aca="false">IF(D829="","",IFERROR(INDEX(Empresas!$C:$C,MATCH(D829,Empresas!$B:$B,0)),"cadastre o CNPJ em Empresas"))</f>
        <v/>
      </c>
      <c r="F829" s="11"/>
      <c r="G829" s="23"/>
      <c r="H829" s="22"/>
      <c r="I829" s="35"/>
      <c r="J829" s="35"/>
      <c r="K829" s="36" t="str">
        <f aca="false">IF(I829="","",I829+J829)</f>
        <v/>
      </c>
      <c r="L829" s="37" t="str">
        <f aca="false">IF(OR(I829="",I829=0,J829=""),"",J829/I829)</f>
        <v/>
      </c>
      <c r="M829" s="25" t="str">
        <f aca="false">IF(L829="","",IF(L829&gt;0.25,"ACRÉSCIMO ACIMA DE 25% — conferir",""))</f>
        <v/>
      </c>
      <c r="N829" s="29" t="str">
        <f aca="false">IF(D829="","",IF(COUNTIFS(Empresas!$B:$B,D829,Empresas!$E:$E,"&lt;&gt;")=0,"",INDEX(Empresas!$E:$E,MATCH(D829,Empresas!$B:$B,0))))</f>
        <v/>
      </c>
      <c r="O829" s="27" t="str">
        <f aca="false">IF(OR(N829="",H829=""),"",H829-N829)</f>
        <v/>
      </c>
      <c r="P829" s="25" t="str">
        <f aca="false">IF(O829="","",IF(O829&lt;0,"CONTRATO ANTERIOR À ABERTURA — conferir datas",IF(O829&lt;180,"EMPRESA ABERTA MENOS DE 6 MESES ANTES","")))</f>
        <v/>
      </c>
      <c r="Q829" s="31" t="str">
        <f aca="false">IF(D829="","",IFERROR(INDEX(Sancoes!$D:$D,MATCH(D829,Sancoes!$C:$C,0)),"não consta"))</f>
        <v/>
      </c>
      <c r="R829" s="25" t="str">
        <f aca="false">IF(OR(D829="",H829=""),"",IF(SUMPRODUCT((Sancoes!$C$5:$C$304=D829)*(Sancoes!$G$5:$G$304&lt;=H829)*(((Sancoes!$H$5:$H$304="")+(Sancoes!$H$5:$H$304&gt;=H829))&gt;0))&gt;0,"SANÇÃO VIGENTE NA DATA — ler tipo e abrangência",""))</f>
        <v/>
      </c>
      <c r="S829" s="24"/>
      <c r="T829" s="11"/>
    </row>
    <row r="830" customFormat="false" ht="15" hidden="false" customHeight="false" outlineLevel="0" collapsed="false">
      <c r="A830" s="11"/>
      <c r="B830" s="24"/>
      <c r="C830" s="24"/>
      <c r="D830" s="31" t="str">
        <f aca="false">IF(C830="","",IF(LEN(UPPER(SUBSTITUTE(SUBSTITUTE(SUBSTITUTE(SUBSTITUTE(TRIM(C830),".",""),"/",""),"-","")," ","")))&lt;14,RIGHT(REPT("0",14)&amp;UPPER(SUBSTITUTE(SUBSTITUTE(SUBSTITUTE(SUBSTITUTE(TRIM(C830),".",""),"/",""),"-","")," ","")),14),UPPER(SUBSTITUTE(SUBSTITUTE(SUBSTITUTE(SUBSTITUTE(TRIM(C830),".",""),"/",""),"-","")," ",""))))</f>
        <v/>
      </c>
      <c r="E830" s="25" t="str">
        <f aca="false">IF(D830="","",IFERROR(INDEX(Empresas!$C:$C,MATCH(D830,Empresas!$B:$B,0)),"cadastre o CNPJ em Empresas"))</f>
        <v/>
      </c>
      <c r="F830" s="11"/>
      <c r="G830" s="23"/>
      <c r="H830" s="22"/>
      <c r="I830" s="35"/>
      <c r="J830" s="35"/>
      <c r="K830" s="36" t="str">
        <f aca="false">IF(I830="","",I830+J830)</f>
        <v/>
      </c>
      <c r="L830" s="37" t="str">
        <f aca="false">IF(OR(I830="",I830=0,J830=""),"",J830/I830)</f>
        <v/>
      </c>
      <c r="M830" s="25" t="str">
        <f aca="false">IF(L830="","",IF(L830&gt;0.25,"ACRÉSCIMO ACIMA DE 25% — conferir",""))</f>
        <v/>
      </c>
      <c r="N830" s="29" t="str">
        <f aca="false">IF(D830="","",IF(COUNTIFS(Empresas!$B:$B,D830,Empresas!$E:$E,"&lt;&gt;")=0,"",INDEX(Empresas!$E:$E,MATCH(D830,Empresas!$B:$B,0))))</f>
        <v/>
      </c>
      <c r="O830" s="27" t="str">
        <f aca="false">IF(OR(N830="",H830=""),"",H830-N830)</f>
        <v/>
      </c>
      <c r="P830" s="25" t="str">
        <f aca="false">IF(O830="","",IF(O830&lt;0,"CONTRATO ANTERIOR À ABERTURA — conferir datas",IF(O830&lt;180,"EMPRESA ABERTA MENOS DE 6 MESES ANTES","")))</f>
        <v/>
      </c>
      <c r="Q830" s="31" t="str">
        <f aca="false">IF(D830="","",IFERROR(INDEX(Sancoes!$D:$D,MATCH(D830,Sancoes!$C:$C,0)),"não consta"))</f>
        <v/>
      </c>
      <c r="R830" s="25" t="str">
        <f aca="false">IF(OR(D830="",H830=""),"",IF(SUMPRODUCT((Sancoes!$C$5:$C$304=D830)*(Sancoes!$G$5:$G$304&lt;=H830)*(((Sancoes!$H$5:$H$304="")+(Sancoes!$H$5:$H$304&gt;=H830))&gt;0))&gt;0,"SANÇÃO VIGENTE NA DATA — ler tipo e abrangência",""))</f>
        <v/>
      </c>
      <c r="S830" s="24"/>
      <c r="T830" s="11"/>
    </row>
    <row r="831" customFormat="false" ht="15" hidden="false" customHeight="false" outlineLevel="0" collapsed="false">
      <c r="A831" s="11"/>
      <c r="B831" s="24"/>
      <c r="C831" s="24"/>
      <c r="D831" s="31" t="str">
        <f aca="false">IF(C831="","",IF(LEN(UPPER(SUBSTITUTE(SUBSTITUTE(SUBSTITUTE(SUBSTITUTE(TRIM(C831),".",""),"/",""),"-","")," ","")))&lt;14,RIGHT(REPT("0",14)&amp;UPPER(SUBSTITUTE(SUBSTITUTE(SUBSTITUTE(SUBSTITUTE(TRIM(C831),".",""),"/",""),"-","")," ","")),14),UPPER(SUBSTITUTE(SUBSTITUTE(SUBSTITUTE(SUBSTITUTE(TRIM(C831),".",""),"/",""),"-","")," ",""))))</f>
        <v/>
      </c>
      <c r="E831" s="25" t="str">
        <f aca="false">IF(D831="","",IFERROR(INDEX(Empresas!$C:$C,MATCH(D831,Empresas!$B:$B,0)),"cadastre o CNPJ em Empresas"))</f>
        <v/>
      </c>
      <c r="F831" s="11"/>
      <c r="G831" s="23"/>
      <c r="H831" s="22"/>
      <c r="I831" s="35"/>
      <c r="J831" s="35"/>
      <c r="K831" s="36" t="str">
        <f aca="false">IF(I831="","",I831+J831)</f>
        <v/>
      </c>
      <c r="L831" s="37" t="str">
        <f aca="false">IF(OR(I831="",I831=0,J831=""),"",J831/I831)</f>
        <v/>
      </c>
      <c r="M831" s="25" t="str">
        <f aca="false">IF(L831="","",IF(L831&gt;0.25,"ACRÉSCIMO ACIMA DE 25% — conferir",""))</f>
        <v/>
      </c>
      <c r="N831" s="29" t="str">
        <f aca="false">IF(D831="","",IF(COUNTIFS(Empresas!$B:$B,D831,Empresas!$E:$E,"&lt;&gt;")=0,"",INDEX(Empresas!$E:$E,MATCH(D831,Empresas!$B:$B,0))))</f>
        <v/>
      </c>
      <c r="O831" s="27" t="str">
        <f aca="false">IF(OR(N831="",H831=""),"",H831-N831)</f>
        <v/>
      </c>
      <c r="P831" s="25" t="str">
        <f aca="false">IF(O831="","",IF(O831&lt;0,"CONTRATO ANTERIOR À ABERTURA — conferir datas",IF(O831&lt;180,"EMPRESA ABERTA MENOS DE 6 MESES ANTES","")))</f>
        <v/>
      </c>
      <c r="Q831" s="31" t="str">
        <f aca="false">IF(D831="","",IFERROR(INDEX(Sancoes!$D:$D,MATCH(D831,Sancoes!$C:$C,0)),"não consta"))</f>
        <v/>
      </c>
      <c r="R831" s="25" t="str">
        <f aca="false">IF(OR(D831="",H831=""),"",IF(SUMPRODUCT((Sancoes!$C$5:$C$304=D831)*(Sancoes!$G$5:$G$304&lt;=H831)*(((Sancoes!$H$5:$H$304="")+(Sancoes!$H$5:$H$304&gt;=H831))&gt;0))&gt;0,"SANÇÃO VIGENTE NA DATA — ler tipo e abrangência",""))</f>
        <v/>
      </c>
      <c r="S831" s="24"/>
      <c r="T831" s="11"/>
    </row>
    <row r="832" customFormat="false" ht="15" hidden="false" customHeight="false" outlineLevel="0" collapsed="false">
      <c r="A832" s="11"/>
      <c r="B832" s="24"/>
      <c r="C832" s="24"/>
      <c r="D832" s="31" t="str">
        <f aca="false">IF(C832="","",IF(LEN(UPPER(SUBSTITUTE(SUBSTITUTE(SUBSTITUTE(SUBSTITUTE(TRIM(C832),".",""),"/",""),"-","")," ","")))&lt;14,RIGHT(REPT("0",14)&amp;UPPER(SUBSTITUTE(SUBSTITUTE(SUBSTITUTE(SUBSTITUTE(TRIM(C832),".",""),"/",""),"-","")," ","")),14),UPPER(SUBSTITUTE(SUBSTITUTE(SUBSTITUTE(SUBSTITUTE(TRIM(C832),".",""),"/",""),"-","")," ",""))))</f>
        <v/>
      </c>
      <c r="E832" s="25" t="str">
        <f aca="false">IF(D832="","",IFERROR(INDEX(Empresas!$C:$C,MATCH(D832,Empresas!$B:$B,0)),"cadastre o CNPJ em Empresas"))</f>
        <v/>
      </c>
      <c r="F832" s="11"/>
      <c r="G832" s="23"/>
      <c r="H832" s="22"/>
      <c r="I832" s="35"/>
      <c r="J832" s="35"/>
      <c r="K832" s="36" t="str">
        <f aca="false">IF(I832="","",I832+J832)</f>
        <v/>
      </c>
      <c r="L832" s="37" t="str">
        <f aca="false">IF(OR(I832="",I832=0,J832=""),"",J832/I832)</f>
        <v/>
      </c>
      <c r="M832" s="25" t="str">
        <f aca="false">IF(L832="","",IF(L832&gt;0.25,"ACRÉSCIMO ACIMA DE 25% — conferir",""))</f>
        <v/>
      </c>
      <c r="N832" s="29" t="str">
        <f aca="false">IF(D832="","",IF(COUNTIFS(Empresas!$B:$B,D832,Empresas!$E:$E,"&lt;&gt;")=0,"",INDEX(Empresas!$E:$E,MATCH(D832,Empresas!$B:$B,0))))</f>
        <v/>
      </c>
      <c r="O832" s="27" t="str">
        <f aca="false">IF(OR(N832="",H832=""),"",H832-N832)</f>
        <v/>
      </c>
      <c r="P832" s="25" t="str">
        <f aca="false">IF(O832="","",IF(O832&lt;0,"CONTRATO ANTERIOR À ABERTURA — conferir datas",IF(O832&lt;180,"EMPRESA ABERTA MENOS DE 6 MESES ANTES","")))</f>
        <v/>
      </c>
      <c r="Q832" s="31" t="str">
        <f aca="false">IF(D832="","",IFERROR(INDEX(Sancoes!$D:$D,MATCH(D832,Sancoes!$C:$C,0)),"não consta"))</f>
        <v/>
      </c>
      <c r="R832" s="25" t="str">
        <f aca="false">IF(OR(D832="",H832=""),"",IF(SUMPRODUCT((Sancoes!$C$5:$C$304=D832)*(Sancoes!$G$5:$G$304&lt;=H832)*(((Sancoes!$H$5:$H$304="")+(Sancoes!$H$5:$H$304&gt;=H832))&gt;0))&gt;0,"SANÇÃO VIGENTE NA DATA — ler tipo e abrangência",""))</f>
        <v/>
      </c>
      <c r="S832" s="24"/>
      <c r="T832" s="11"/>
    </row>
    <row r="833" customFormat="false" ht="15" hidden="false" customHeight="false" outlineLevel="0" collapsed="false">
      <c r="A833" s="11"/>
      <c r="B833" s="24"/>
      <c r="C833" s="24"/>
      <c r="D833" s="31" t="str">
        <f aca="false">IF(C833="","",IF(LEN(UPPER(SUBSTITUTE(SUBSTITUTE(SUBSTITUTE(SUBSTITUTE(TRIM(C833),".",""),"/",""),"-","")," ","")))&lt;14,RIGHT(REPT("0",14)&amp;UPPER(SUBSTITUTE(SUBSTITUTE(SUBSTITUTE(SUBSTITUTE(TRIM(C833),".",""),"/",""),"-","")," ","")),14),UPPER(SUBSTITUTE(SUBSTITUTE(SUBSTITUTE(SUBSTITUTE(TRIM(C833),".",""),"/",""),"-","")," ",""))))</f>
        <v/>
      </c>
      <c r="E833" s="25" t="str">
        <f aca="false">IF(D833="","",IFERROR(INDEX(Empresas!$C:$C,MATCH(D833,Empresas!$B:$B,0)),"cadastre o CNPJ em Empresas"))</f>
        <v/>
      </c>
      <c r="F833" s="11"/>
      <c r="G833" s="23"/>
      <c r="H833" s="22"/>
      <c r="I833" s="35"/>
      <c r="J833" s="35"/>
      <c r="K833" s="36" t="str">
        <f aca="false">IF(I833="","",I833+J833)</f>
        <v/>
      </c>
      <c r="L833" s="37" t="str">
        <f aca="false">IF(OR(I833="",I833=0,J833=""),"",J833/I833)</f>
        <v/>
      </c>
      <c r="M833" s="25" t="str">
        <f aca="false">IF(L833="","",IF(L833&gt;0.25,"ACRÉSCIMO ACIMA DE 25% — conferir",""))</f>
        <v/>
      </c>
      <c r="N833" s="29" t="str">
        <f aca="false">IF(D833="","",IF(COUNTIFS(Empresas!$B:$B,D833,Empresas!$E:$E,"&lt;&gt;")=0,"",INDEX(Empresas!$E:$E,MATCH(D833,Empresas!$B:$B,0))))</f>
        <v/>
      </c>
      <c r="O833" s="27" t="str">
        <f aca="false">IF(OR(N833="",H833=""),"",H833-N833)</f>
        <v/>
      </c>
      <c r="P833" s="25" t="str">
        <f aca="false">IF(O833="","",IF(O833&lt;0,"CONTRATO ANTERIOR À ABERTURA — conferir datas",IF(O833&lt;180,"EMPRESA ABERTA MENOS DE 6 MESES ANTES","")))</f>
        <v/>
      </c>
      <c r="Q833" s="31" t="str">
        <f aca="false">IF(D833="","",IFERROR(INDEX(Sancoes!$D:$D,MATCH(D833,Sancoes!$C:$C,0)),"não consta"))</f>
        <v/>
      </c>
      <c r="R833" s="25" t="str">
        <f aca="false">IF(OR(D833="",H833=""),"",IF(SUMPRODUCT((Sancoes!$C$5:$C$304=D833)*(Sancoes!$G$5:$G$304&lt;=H833)*(((Sancoes!$H$5:$H$304="")+(Sancoes!$H$5:$H$304&gt;=H833))&gt;0))&gt;0,"SANÇÃO VIGENTE NA DATA — ler tipo e abrangência",""))</f>
        <v/>
      </c>
      <c r="S833" s="24"/>
      <c r="T833" s="11"/>
    </row>
    <row r="834" customFormat="false" ht="15" hidden="false" customHeight="false" outlineLevel="0" collapsed="false">
      <c r="A834" s="11"/>
      <c r="B834" s="24"/>
      <c r="C834" s="24"/>
      <c r="D834" s="31" t="str">
        <f aca="false">IF(C834="","",IF(LEN(UPPER(SUBSTITUTE(SUBSTITUTE(SUBSTITUTE(SUBSTITUTE(TRIM(C834),".",""),"/",""),"-","")," ","")))&lt;14,RIGHT(REPT("0",14)&amp;UPPER(SUBSTITUTE(SUBSTITUTE(SUBSTITUTE(SUBSTITUTE(TRIM(C834),".",""),"/",""),"-","")," ","")),14),UPPER(SUBSTITUTE(SUBSTITUTE(SUBSTITUTE(SUBSTITUTE(TRIM(C834),".",""),"/",""),"-","")," ",""))))</f>
        <v/>
      </c>
      <c r="E834" s="25" t="str">
        <f aca="false">IF(D834="","",IFERROR(INDEX(Empresas!$C:$C,MATCH(D834,Empresas!$B:$B,0)),"cadastre o CNPJ em Empresas"))</f>
        <v/>
      </c>
      <c r="F834" s="11"/>
      <c r="G834" s="23"/>
      <c r="H834" s="22"/>
      <c r="I834" s="35"/>
      <c r="J834" s="35"/>
      <c r="K834" s="36" t="str">
        <f aca="false">IF(I834="","",I834+J834)</f>
        <v/>
      </c>
      <c r="L834" s="37" t="str">
        <f aca="false">IF(OR(I834="",I834=0,J834=""),"",J834/I834)</f>
        <v/>
      </c>
      <c r="M834" s="25" t="str">
        <f aca="false">IF(L834="","",IF(L834&gt;0.25,"ACRÉSCIMO ACIMA DE 25% — conferir",""))</f>
        <v/>
      </c>
      <c r="N834" s="29" t="str">
        <f aca="false">IF(D834="","",IF(COUNTIFS(Empresas!$B:$B,D834,Empresas!$E:$E,"&lt;&gt;")=0,"",INDEX(Empresas!$E:$E,MATCH(D834,Empresas!$B:$B,0))))</f>
        <v/>
      </c>
      <c r="O834" s="27" t="str">
        <f aca="false">IF(OR(N834="",H834=""),"",H834-N834)</f>
        <v/>
      </c>
      <c r="P834" s="25" t="str">
        <f aca="false">IF(O834="","",IF(O834&lt;0,"CONTRATO ANTERIOR À ABERTURA — conferir datas",IF(O834&lt;180,"EMPRESA ABERTA MENOS DE 6 MESES ANTES","")))</f>
        <v/>
      </c>
      <c r="Q834" s="31" t="str">
        <f aca="false">IF(D834="","",IFERROR(INDEX(Sancoes!$D:$D,MATCH(D834,Sancoes!$C:$C,0)),"não consta"))</f>
        <v/>
      </c>
      <c r="R834" s="25" t="str">
        <f aca="false">IF(OR(D834="",H834=""),"",IF(SUMPRODUCT((Sancoes!$C$5:$C$304=D834)*(Sancoes!$G$5:$G$304&lt;=H834)*(((Sancoes!$H$5:$H$304="")+(Sancoes!$H$5:$H$304&gt;=H834))&gt;0))&gt;0,"SANÇÃO VIGENTE NA DATA — ler tipo e abrangência",""))</f>
        <v/>
      </c>
      <c r="S834" s="24"/>
      <c r="T834" s="11"/>
    </row>
    <row r="835" customFormat="false" ht="15" hidden="false" customHeight="false" outlineLevel="0" collapsed="false">
      <c r="A835" s="11"/>
      <c r="B835" s="24"/>
      <c r="C835" s="24"/>
      <c r="D835" s="31" t="str">
        <f aca="false">IF(C835="","",IF(LEN(UPPER(SUBSTITUTE(SUBSTITUTE(SUBSTITUTE(SUBSTITUTE(TRIM(C835),".",""),"/",""),"-","")," ","")))&lt;14,RIGHT(REPT("0",14)&amp;UPPER(SUBSTITUTE(SUBSTITUTE(SUBSTITUTE(SUBSTITUTE(TRIM(C835),".",""),"/",""),"-","")," ","")),14),UPPER(SUBSTITUTE(SUBSTITUTE(SUBSTITUTE(SUBSTITUTE(TRIM(C835),".",""),"/",""),"-","")," ",""))))</f>
        <v/>
      </c>
      <c r="E835" s="25" t="str">
        <f aca="false">IF(D835="","",IFERROR(INDEX(Empresas!$C:$C,MATCH(D835,Empresas!$B:$B,0)),"cadastre o CNPJ em Empresas"))</f>
        <v/>
      </c>
      <c r="F835" s="11"/>
      <c r="G835" s="23"/>
      <c r="H835" s="22"/>
      <c r="I835" s="35"/>
      <c r="J835" s="35"/>
      <c r="K835" s="36" t="str">
        <f aca="false">IF(I835="","",I835+J835)</f>
        <v/>
      </c>
      <c r="L835" s="37" t="str">
        <f aca="false">IF(OR(I835="",I835=0,J835=""),"",J835/I835)</f>
        <v/>
      </c>
      <c r="M835" s="25" t="str">
        <f aca="false">IF(L835="","",IF(L835&gt;0.25,"ACRÉSCIMO ACIMA DE 25% — conferir",""))</f>
        <v/>
      </c>
      <c r="N835" s="29" t="str">
        <f aca="false">IF(D835="","",IF(COUNTIFS(Empresas!$B:$B,D835,Empresas!$E:$E,"&lt;&gt;")=0,"",INDEX(Empresas!$E:$E,MATCH(D835,Empresas!$B:$B,0))))</f>
        <v/>
      </c>
      <c r="O835" s="27" t="str">
        <f aca="false">IF(OR(N835="",H835=""),"",H835-N835)</f>
        <v/>
      </c>
      <c r="P835" s="25" t="str">
        <f aca="false">IF(O835="","",IF(O835&lt;0,"CONTRATO ANTERIOR À ABERTURA — conferir datas",IF(O835&lt;180,"EMPRESA ABERTA MENOS DE 6 MESES ANTES","")))</f>
        <v/>
      </c>
      <c r="Q835" s="31" t="str">
        <f aca="false">IF(D835="","",IFERROR(INDEX(Sancoes!$D:$D,MATCH(D835,Sancoes!$C:$C,0)),"não consta"))</f>
        <v/>
      </c>
      <c r="R835" s="25" t="str">
        <f aca="false">IF(OR(D835="",H835=""),"",IF(SUMPRODUCT((Sancoes!$C$5:$C$304=D835)*(Sancoes!$G$5:$G$304&lt;=H835)*(((Sancoes!$H$5:$H$304="")+(Sancoes!$H$5:$H$304&gt;=H835))&gt;0))&gt;0,"SANÇÃO VIGENTE NA DATA — ler tipo e abrangência",""))</f>
        <v/>
      </c>
      <c r="S835" s="24"/>
      <c r="T835" s="11"/>
    </row>
    <row r="836" customFormat="false" ht="15" hidden="false" customHeight="false" outlineLevel="0" collapsed="false">
      <c r="A836" s="11"/>
      <c r="B836" s="24"/>
      <c r="C836" s="24"/>
      <c r="D836" s="31" t="str">
        <f aca="false">IF(C836="","",IF(LEN(UPPER(SUBSTITUTE(SUBSTITUTE(SUBSTITUTE(SUBSTITUTE(TRIM(C836),".",""),"/",""),"-","")," ","")))&lt;14,RIGHT(REPT("0",14)&amp;UPPER(SUBSTITUTE(SUBSTITUTE(SUBSTITUTE(SUBSTITUTE(TRIM(C836),".",""),"/",""),"-","")," ","")),14),UPPER(SUBSTITUTE(SUBSTITUTE(SUBSTITUTE(SUBSTITUTE(TRIM(C836),".",""),"/",""),"-","")," ",""))))</f>
        <v/>
      </c>
      <c r="E836" s="25" t="str">
        <f aca="false">IF(D836="","",IFERROR(INDEX(Empresas!$C:$C,MATCH(D836,Empresas!$B:$B,0)),"cadastre o CNPJ em Empresas"))</f>
        <v/>
      </c>
      <c r="F836" s="11"/>
      <c r="G836" s="23"/>
      <c r="H836" s="22"/>
      <c r="I836" s="35"/>
      <c r="J836" s="35"/>
      <c r="K836" s="36" t="str">
        <f aca="false">IF(I836="","",I836+J836)</f>
        <v/>
      </c>
      <c r="L836" s="37" t="str">
        <f aca="false">IF(OR(I836="",I836=0,J836=""),"",J836/I836)</f>
        <v/>
      </c>
      <c r="M836" s="25" t="str">
        <f aca="false">IF(L836="","",IF(L836&gt;0.25,"ACRÉSCIMO ACIMA DE 25% — conferir",""))</f>
        <v/>
      </c>
      <c r="N836" s="29" t="str">
        <f aca="false">IF(D836="","",IF(COUNTIFS(Empresas!$B:$B,D836,Empresas!$E:$E,"&lt;&gt;")=0,"",INDEX(Empresas!$E:$E,MATCH(D836,Empresas!$B:$B,0))))</f>
        <v/>
      </c>
      <c r="O836" s="27" t="str">
        <f aca="false">IF(OR(N836="",H836=""),"",H836-N836)</f>
        <v/>
      </c>
      <c r="P836" s="25" t="str">
        <f aca="false">IF(O836="","",IF(O836&lt;0,"CONTRATO ANTERIOR À ABERTURA — conferir datas",IF(O836&lt;180,"EMPRESA ABERTA MENOS DE 6 MESES ANTES","")))</f>
        <v/>
      </c>
      <c r="Q836" s="31" t="str">
        <f aca="false">IF(D836="","",IFERROR(INDEX(Sancoes!$D:$D,MATCH(D836,Sancoes!$C:$C,0)),"não consta"))</f>
        <v/>
      </c>
      <c r="R836" s="25" t="str">
        <f aca="false">IF(OR(D836="",H836=""),"",IF(SUMPRODUCT((Sancoes!$C$5:$C$304=D836)*(Sancoes!$G$5:$G$304&lt;=H836)*(((Sancoes!$H$5:$H$304="")+(Sancoes!$H$5:$H$304&gt;=H836))&gt;0))&gt;0,"SANÇÃO VIGENTE NA DATA — ler tipo e abrangência",""))</f>
        <v/>
      </c>
      <c r="S836" s="24"/>
      <c r="T836" s="11"/>
    </row>
    <row r="837" customFormat="false" ht="15" hidden="false" customHeight="false" outlineLevel="0" collapsed="false">
      <c r="A837" s="11"/>
      <c r="B837" s="24"/>
      <c r="C837" s="24"/>
      <c r="D837" s="31" t="str">
        <f aca="false">IF(C837="","",IF(LEN(UPPER(SUBSTITUTE(SUBSTITUTE(SUBSTITUTE(SUBSTITUTE(TRIM(C837),".",""),"/",""),"-","")," ","")))&lt;14,RIGHT(REPT("0",14)&amp;UPPER(SUBSTITUTE(SUBSTITUTE(SUBSTITUTE(SUBSTITUTE(TRIM(C837),".",""),"/",""),"-","")," ","")),14),UPPER(SUBSTITUTE(SUBSTITUTE(SUBSTITUTE(SUBSTITUTE(TRIM(C837),".",""),"/",""),"-","")," ",""))))</f>
        <v/>
      </c>
      <c r="E837" s="25" t="str">
        <f aca="false">IF(D837="","",IFERROR(INDEX(Empresas!$C:$C,MATCH(D837,Empresas!$B:$B,0)),"cadastre o CNPJ em Empresas"))</f>
        <v/>
      </c>
      <c r="F837" s="11"/>
      <c r="G837" s="23"/>
      <c r="H837" s="22"/>
      <c r="I837" s="35"/>
      <c r="J837" s="35"/>
      <c r="K837" s="36" t="str">
        <f aca="false">IF(I837="","",I837+J837)</f>
        <v/>
      </c>
      <c r="L837" s="37" t="str">
        <f aca="false">IF(OR(I837="",I837=0,J837=""),"",J837/I837)</f>
        <v/>
      </c>
      <c r="M837" s="25" t="str">
        <f aca="false">IF(L837="","",IF(L837&gt;0.25,"ACRÉSCIMO ACIMA DE 25% — conferir",""))</f>
        <v/>
      </c>
      <c r="N837" s="29" t="str">
        <f aca="false">IF(D837="","",IF(COUNTIFS(Empresas!$B:$B,D837,Empresas!$E:$E,"&lt;&gt;")=0,"",INDEX(Empresas!$E:$E,MATCH(D837,Empresas!$B:$B,0))))</f>
        <v/>
      </c>
      <c r="O837" s="27" t="str">
        <f aca="false">IF(OR(N837="",H837=""),"",H837-N837)</f>
        <v/>
      </c>
      <c r="P837" s="25" t="str">
        <f aca="false">IF(O837="","",IF(O837&lt;0,"CONTRATO ANTERIOR À ABERTURA — conferir datas",IF(O837&lt;180,"EMPRESA ABERTA MENOS DE 6 MESES ANTES","")))</f>
        <v/>
      </c>
      <c r="Q837" s="31" t="str">
        <f aca="false">IF(D837="","",IFERROR(INDEX(Sancoes!$D:$D,MATCH(D837,Sancoes!$C:$C,0)),"não consta"))</f>
        <v/>
      </c>
      <c r="R837" s="25" t="str">
        <f aca="false">IF(OR(D837="",H837=""),"",IF(SUMPRODUCT((Sancoes!$C$5:$C$304=D837)*(Sancoes!$G$5:$G$304&lt;=H837)*(((Sancoes!$H$5:$H$304="")+(Sancoes!$H$5:$H$304&gt;=H837))&gt;0))&gt;0,"SANÇÃO VIGENTE NA DATA — ler tipo e abrangência",""))</f>
        <v/>
      </c>
      <c r="S837" s="24"/>
      <c r="T837" s="11"/>
    </row>
    <row r="838" customFormat="false" ht="15" hidden="false" customHeight="false" outlineLevel="0" collapsed="false">
      <c r="A838" s="11"/>
      <c r="B838" s="24"/>
      <c r="C838" s="24"/>
      <c r="D838" s="31" t="str">
        <f aca="false">IF(C838="","",IF(LEN(UPPER(SUBSTITUTE(SUBSTITUTE(SUBSTITUTE(SUBSTITUTE(TRIM(C838),".",""),"/",""),"-","")," ","")))&lt;14,RIGHT(REPT("0",14)&amp;UPPER(SUBSTITUTE(SUBSTITUTE(SUBSTITUTE(SUBSTITUTE(TRIM(C838),".",""),"/",""),"-","")," ","")),14),UPPER(SUBSTITUTE(SUBSTITUTE(SUBSTITUTE(SUBSTITUTE(TRIM(C838),".",""),"/",""),"-","")," ",""))))</f>
        <v/>
      </c>
      <c r="E838" s="25" t="str">
        <f aca="false">IF(D838="","",IFERROR(INDEX(Empresas!$C:$C,MATCH(D838,Empresas!$B:$B,0)),"cadastre o CNPJ em Empresas"))</f>
        <v/>
      </c>
      <c r="F838" s="11"/>
      <c r="G838" s="23"/>
      <c r="H838" s="22"/>
      <c r="I838" s="35"/>
      <c r="J838" s="35"/>
      <c r="K838" s="36" t="str">
        <f aca="false">IF(I838="","",I838+J838)</f>
        <v/>
      </c>
      <c r="L838" s="37" t="str">
        <f aca="false">IF(OR(I838="",I838=0,J838=""),"",J838/I838)</f>
        <v/>
      </c>
      <c r="M838" s="25" t="str">
        <f aca="false">IF(L838="","",IF(L838&gt;0.25,"ACRÉSCIMO ACIMA DE 25% — conferir",""))</f>
        <v/>
      </c>
      <c r="N838" s="29" t="str">
        <f aca="false">IF(D838="","",IF(COUNTIFS(Empresas!$B:$B,D838,Empresas!$E:$E,"&lt;&gt;")=0,"",INDEX(Empresas!$E:$E,MATCH(D838,Empresas!$B:$B,0))))</f>
        <v/>
      </c>
      <c r="O838" s="27" t="str">
        <f aca="false">IF(OR(N838="",H838=""),"",H838-N838)</f>
        <v/>
      </c>
      <c r="P838" s="25" t="str">
        <f aca="false">IF(O838="","",IF(O838&lt;0,"CONTRATO ANTERIOR À ABERTURA — conferir datas",IF(O838&lt;180,"EMPRESA ABERTA MENOS DE 6 MESES ANTES","")))</f>
        <v/>
      </c>
      <c r="Q838" s="31" t="str">
        <f aca="false">IF(D838="","",IFERROR(INDEX(Sancoes!$D:$D,MATCH(D838,Sancoes!$C:$C,0)),"não consta"))</f>
        <v/>
      </c>
      <c r="R838" s="25" t="str">
        <f aca="false">IF(OR(D838="",H838=""),"",IF(SUMPRODUCT((Sancoes!$C$5:$C$304=D838)*(Sancoes!$G$5:$G$304&lt;=H838)*(((Sancoes!$H$5:$H$304="")+(Sancoes!$H$5:$H$304&gt;=H838))&gt;0))&gt;0,"SANÇÃO VIGENTE NA DATA — ler tipo e abrangência",""))</f>
        <v/>
      </c>
      <c r="S838" s="24"/>
      <c r="T838" s="11"/>
    </row>
    <row r="839" customFormat="false" ht="15" hidden="false" customHeight="false" outlineLevel="0" collapsed="false">
      <c r="A839" s="11"/>
      <c r="B839" s="24"/>
      <c r="C839" s="24"/>
      <c r="D839" s="31" t="str">
        <f aca="false">IF(C839="","",IF(LEN(UPPER(SUBSTITUTE(SUBSTITUTE(SUBSTITUTE(SUBSTITUTE(TRIM(C839),".",""),"/",""),"-","")," ","")))&lt;14,RIGHT(REPT("0",14)&amp;UPPER(SUBSTITUTE(SUBSTITUTE(SUBSTITUTE(SUBSTITUTE(TRIM(C839),".",""),"/",""),"-","")," ","")),14),UPPER(SUBSTITUTE(SUBSTITUTE(SUBSTITUTE(SUBSTITUTE(TRIM(C839),".",""),"/",""),"-","")," ",""))))</f>
        <v/>
      </c>
      <c r="E839" s="25" t="str">
        <f aca="false">IF(D839="","",IFERROR(INDEX(Empresas!$C:$C,MATCH(D839,Empresas!$B:$B,0)),"cadastre o CNPJ em Empresas"))</f>
        <v/>
      </c>
      <c r="F839" s="11"/>
      <c r="G839" s="23"/>
      <c r="H839" s="22"/>
      <c r="I839" s="35"/>
      <c r="J839" s="35"/>
      <c r="K839" s="36" t="str">
        <f aca="false">IF(I839="","",I839+J839)</f>
        <v/>
      </c>
      <c r="L839" s="37" t="str">
        <f aca="false">IF(OR(I839="",I839=0,J839=""),"",J839/I839)</f>
        <v/>
      </c>
      <c r="M839" s="25" t="str">
        <f aca="false">IF(L839="","",IF(L839&gt;0.25,"ACRÉSCIMO ACIMA DE 25% — conferir",""))</f>
        <v/>
      </c>
      <c r="N839" s="29" t="str">
        <f aca="false">IF(D839="","",IF(COUNTIFS(Empresas!$B:$B,D839,Empresas!$E:$E,"&lt;&gt;")=0,"",INDEX(Empresas!$E:$E,MATCH(D839,Empresas!$B:$B,0))))</f>
        <v/>
      </c>
      <c r="O839" s="27" t="str">
        <f aca="false">IF(OR(N839="",H839=""),"",H839-N839)</f>
        <v/>
      </c>
      <c r="P839" s="25" t="str">
        <f aca="false">IF(O839="","",IF(O839&lt;0,"CONTRATO ANTERIOR À ABERTURA — conferir datas",IF(O839&lt;180,"EMPRESA ABERTA MENOS DE 6 MESES ANTES","")))</f>
        <v/>
      </c>
      <c r="Q839" s="31" t="str">
        <f aca="false">IF(D839="","",IFERROR(INDEX(Sancoes!$D:$D,MATCH(D839,Sancoes!$C:$C,0)),"não consta"))</f>
        <v/>
      </c>
      <c r="R839" s="25" t="str">
        <f aca="false">IF(OR(D839="",H839=""),"",IF(SUMPRODUCT((Sancoes!$C$5:$C$304=D839)*(Sancoes!$G$5:$G$304&lt;=H839)*(((Sancoes!$H$5:$H$304="")+(Sancoes!$H$5:$H$304&gt;=H839))&gt;0))&gt;0,"SANÇÃO VIGENTE NA DATA — ler tipo e abrangência",""))</f>
        <v/>
      </c>
      <c r="S839" s="24"/>
      <c r="T839" s="11"/>
    </row>
    <row r="840" customFormat="false" ht="15" hidden="false" customHeight="false" outlineLevel="0" collapsed="false">
      <c r="A840" s="11"/>
      <c r="B840" s="24"/>
      <c r="C840" s="24"/>
      <c r="D840" s="31" t="str">
        <f aca="false">IF(C840="","",IF(LEN(UPPER(SUBSTITUTE(SUBSTITUTE(SUBSTITUTE(SUBSTITUTE(TRIM(C840),".",""),"/",""),"-","")," ","")))&lt;14,RIGHT(REPT("0",14)&amp;UPPER(SUBSTITUTE(SUBSTITUTE(SUBSTITUTE(SUBSTITUTE(TRIM(C840),".",""),"/",""),"-","")," ","")),14),UPPER(SUBSTITUTE(SUBSTITUTE(SUBSTITUTE(SUBSTITUTE(TRIM(C840),".",""),"/",""),"-","")," ",""))))</f>
        <v/>
      </c>
      <c r="E840" s="25" t="str">
        <f aca="false">IF(D840="","",IFERROR(INDEX(Empresas!$C:$C,MATCH(D840,Empresas!$B:$B,0)),"cadastre o CNPJ em Empresas"))</f>
        <v/>
      </c>
      <c r="F840" s="11"/>
      <c r="G840" s="23"/>
      <c r="H840" s="22"/>
      <c r="I840" s="35"/>
      <c r="J840" s="35"/>
      <c r="K840" s="36" t="str">
        <f aca="false">IF(I840="","",I840+J840)</f>
        <v/>
      </c>
      <c r="L840" s="37" t="str">
        <f aca="false">IF(OR(I840="",I840=0,J840=""),"",J840/I840)</f>
        <v/>
      </c>
      <c r="M840" s="25" t="str">
        <f aca="false">IF(L840="","",IF(L840&gt;0.25,"ACRÉSCIMO ACIMA DE 25% — conferir",""))</f>
        <v/>
      </c>
      <c r="N840" s="29" t="str">
        <f aca="false">IF(D840="","",IF(COUNTIFS(Empresas!$B:$B,D840,Empresas!$E:$E,"&lt;&gt;")=0,"",INDEX(Empresas!$E:$E,MATCH(D840,Empresas!$B:$B,0))))</f>
        <v/>
      </c>
      <c r="O840" s="27" t="str">
        <f aca="false">IF(OR(N840="",H840=""),"",H840-N840)</f>
        <v/>
      </c>
      <c r="P840" s="25" t="str">
        <f aca="false">IF(O840="","",IF(O840&lt;0,"CONTRATO ANTERIOR À ABERTURA — conferir datas",IF(O840&lt;180,"EMPRESA ABERTA MENOS DE 6 MESES ANTES","")))</f>
        <v/>
      </c>
      <c r="Q840" s="31" t="str">
        <f aca="false">IF(D840="","",IFERROR(INDEX(Sancoes!$D:$D,MATCH(D840,Sancoes!$C:$C,0)),"não consta"))</f>
        <v/>
      </c>
      <c r="R840" s="25" t="str">
        <f aca="false">IF(OR(D840="",H840=""),"",IF(SUMPRODUCT((Sancoes!$C$5:$C$304=D840)*(Sancoes!$G$5:$G$304&lt;=H840)*(((Sancoes!$H$5:$H$304="")+(Sancoes!$H$5:$H$304&gt;=H840))&gt;0))&gt;0,"SANÇÃO VIGENTE NA DATA — ler tipo e abrangência",""))</f>
        <v/>
      </c>
      <c r="S840" s="24"/>
      <c r="T840" s="11"/>
    </row>
    <row r="841" customFormat="false" ht="15" hidden="false" customHeight="false" outlineLevel="0" collapsed="false">
      <c r="A841" s="11"/>
      <c r="B841" s="24"/>
      <c r="C841" s="24"/>
      <c r="D841" s="31" t="str">
        <f aca="false">IF(C841="","",IF(LEN(UPPER(SUBSTITUTE(SUBSTITUTE(SUBSTITUTE(SUBSTITUTE(TRIM(C841),".",""),"/",""),"-","")," ","")))&lt;14,RIGHT(REPT("0",14)&amp;UPPER(SUBSTITUTE(SUBSTITUTE(SUBSTITUTE(SUBSTITUTE(TRIM(C841),".",""),"/",""),"-","")," ","")),14),UPPER(SUBSTITUTE(SUBSTITUTE(SUBSTITUTE(SUBSTITUTE(TRIM(C841),".",""),"/",""),"-","")," ",""))))</f>
        <v/>
      </c>
      <c r="E841" s="25" t="str">
        <f aca="false">IF(D841="","",IFERROR(INDEX(Empresas!$C:$C,MATCH(D841,Empresas!$B:$B,0)),"cadastre o CNPJ em Empresas"))</f>
        <v/>
      </c>
      <c r="F841" s="11"/>
      <c r="G841" s="23"/>
      <c r="H841" s="22"/>
      <c r="I841" s="35"/>
      <c r="J841" s="35"/>
      <c r="K841" s="36" t="str">
        <f aca="false">IF(I841="","",I841+J841)</f>
        <v/>
      </c>
      <c r="L841" s="37" t="str">
        <f aca="false">IF(OR(I841="",I841=0,J841=""),"",J841/I841)</f>
        <v/>
      </c>
      <c r="M841" s="25" t="str">
        <f aca="false">IF(L841="","",IF(L841&gt;0.25,"ACRÉSCIMO ACIMA DE 25% — conferir",""))</f>
        <v/>
      </c>
      <c r="N841" s="29" t="str">
        <f aca="false">IF(D841="","",IF(COUNTIFS(Empresas!$B:$B,D841,Empresas!$E:$E,"&lt;&gt;")=0,"",INDEX(Empresas!$E:$E,MATCH(D841,Empresas!$B:$B,0))))</f>
        <v/>
      </c>
      <c r="O841" s="27" t="str">
        <f aca="false">IF(OR(N841="",H841=""),"",H841-N841)</f>
        <v/>
      </c>
      <c r="P841" s="25" t="str">
        <f aca="false">IF(O841="","",IF(O841&lt;0,"CONTRATO ANTERIOR À ABERTURA — conferir datas",IF(O841&lt;180,"EMPRESA ABERTA MENOS DE 6 MESES ANTES","")))</f>
        <v/>
      </c>
      <c r="Q841" s="31" t="str">
        <f aca="false">IF(D841="","",IFERROR(INDEX(Sancoes!$D:$D,MATCH(D841,Sancoes!$C:$C,0)),"não consta"))</f>
        <v/>
      </c>
      <c r="R841" s="25" t="str">
        <f aca="false">IF(OR(D841="",H841=""),"",IF(SUMPRODUCT((Sancoes!$C$5:$C$304=D841)*(Sancoes!$G$5:$G$304&lt;=H841)*(((Sancoes!$H$5:$H$304="")+(Sancoes!$H$5:$H$304&gt;=H841))&gt;0))&gt;0,"SANÇÃO VIGENTE NA DATA — ler tipo e abrangência",""))</f>
        <v/>
      </c>
      <c r="S841" s="24"/>
      <c r="T841" s="11"/>
    </row>
    <row r="842" customFormat="false" ht="15" hidden="false" customHeight="false" outlineLevel="0" collapsed="false">
      <c r="A842" s="11"/>
      <c r="B842" s="24"/>
      <c r="C842" s="24"/>
      <c r="D842" s="31" t="str">
        <f aca="false">IF(C842="","",IF(LEN(UPPER(SUBSTITUTE(SUBSTITUTE(SUBSTITUTE(SUBSTITUTE(TRIM(C842),".",""),"/",""),"-","")," ","")))&lt;14,RIGHT(REPT("0",14)&amp;UPPER(SUBSTITUTE(SUBSTITUTE(SUBSTITUTE(SUBSTITUTE(TRIM(C842),".",""),"/",""),"-","")," ","")),14),UPPER(SUBSTITUTE(SUBSTITUTE(SUBSTITUTE(SUBSTITUTE(TRIM(C842),".",""),"/",""),"-","")," ",""))))</f>
        <v/>
      </c>
      <c r="E842" s="25" t="str">
        <f aca="false">IF(D842="","",IFERROR(INDEX(Empresas!$C:$C,MATCH(D842,Empresas!$B:$B,0)),"cadastre o CNPJ em Empresas"))</f>
        <v/>
      </c>
      <c r="F842" s="11"/>
      <c r="G842" s="23"/>
      <c r="H842" s="22"/>
      <c r="I842" s="35"/>
      <c r="J842" s="35"/>
      <c r="K842" s="36" t="str">
        <f aca="false">IF(I842="","",I842+J842)</f>
        <v/>
      </c>
      <c r="L842" s="37" t="str">
        <f aca="false">IF(OR(I842="",I842=0,J842=""),"",J842/I842)</f>
        <v/>
      </c>
      <c r="M842" s="25" t="str">
        <f aca="false">IF(L842="","",IF(L842&gt;0.25,"ACRÉSCIMO ACIMA DE 25% — conferir",""))</f>
        <v/>
      </c>
      <c r="N842" s="29" t="str">
        <f aca="false">IF(D842="","",IF(COUNTIFS(Empresas!$B:$B,D842,Empresas!$E:$E,"&lt;&gt;")=0,"",INDEX(Empresas!$E:$E,MATCH(D842,Empresas!$B:$B,0))))</f>
        <v/>
      </c>
      <c r="O842" s="27" t="str">
        <f aca="false">IF(OR(N842="",H842=""),"",H842-N842)</f>
        <v/>
      </c>
      <c r="P842" s="25" t="str">
        <f aca="false">IF(O842="","",IF(O842&lt;0,"CONTRATO ANTERIOR À ABERTURA — conferir datas",IF(O842&lt;180,"EMPRESA ABERTA MENOS DE 6 MESES ANTES","")))</f>
        <v/>
      </c>
      <c r="Q842" s="31" t="str">
        <f aca="false">IF(D842="","",IFERROR(INDEX(Sancoes!$D:$D,MATCH(D842,Sancoes!$C:$C,0)),"não consta"))</f>
        <v/>
      </c>
      <c r="R842" s="25" t="str">
        <f aca="false">IF(OR(D842="",H842=""),"",IF(SUMPRODUCT((Sancoes!$C$5:$C$304=D842)*(Sancoes!$G$5:$G$304&lt;=H842)*(((Sancoes!$H$5:$H$304="")+(Sancoes!$H$5:$H$304&gt;=H842))&gt;0))&gt;0,"SANÇÃO VIGENTE NA DATA — ler tipo e abrangência",""))</f>
        <v/>
      </c>
      <c r="S842" s="24"/>
      <c r="T842" s="11"/>
    </row>
    <row r="843" customFormat="false" ht="15" hidden="false" customHeight="false" outlineLevel="0" collapsed="false">
      <c r="A843" s="11"/>
      <c r="B843" s="24"/>
      <c r="C843" s="24"/>
      <c r="D843" s="31" t="str">
        <f aca="false">IF(C843="","",IF(LEN(UPPER(SUBSTITUTE(SUBSTITUTE(SUBSTITUTE(SUBSTITUTE(TRIM(C843),".",""),"/",""),"-","")," ","")))&lt;14,RIGHT(REPT("0",14)&amp;UPPER(SUBSTITUTE(SUBSTITUTE(SUBSTITUTE(SUBSTITUTE(TRIM(C843),".",""),"/",""),"-","")," ","")),14),UPPER(SUBSTITUTE(SUBSTITUTE(SUBSTITUTE(SUBSTITUTE(TRIM(C843),".",""),"/",""),"-","")," ",""))))</f>
        <v/>
      </c>
      <c r="E843" s="25" t="str">
        <f aca="false">IF(D843="","",IFERROR(INDEX(Empresas!$C:$C,MATCH(D843,Empresas!$B:$B,0)),"cadastre o CNPJ em Empresas"))</f>
        <v/>
      </c>
      <c r="F843" s="11"/>
      <c r="G843" s="23"/>
      <c r="H843" s="22"/>
      <c r="I843" s="35"/>
      <c r="J843" s="35"/>
      <c r="K843" s="36" t="str">
        <f aca="false">IF(I843="","",I843+J843)</f>
        <v/>
      </c>
      <c r="L843" s="37" t="str">
        <f aca="false">IF(OR(I843="",I843=0,J843=""),"",J843/I843)</f>
        <v/>
      </c>
      <c r="M843" s="25" t="str">
        <f aca="false">IF(L843="","",IF(L843&gt;0.25,"ACRÉSCIMO ACIMA DE 25% — conferir",""))</f>
        <v/>
      </c>
      <c r="N843" s="29" t="str">
        <f aca="false">IF(D843="","",IF(COUNTIFS(Empresas!$B:$B,D843,Empresas!$E:$E,"&lt;&gt;")=0,"",INDEX(Empresas!$E:$E,MATCH(D843,Empresas!$B:$B,0))))</f>
        <v/>
      </c>
      <c r="O843" s="27" t="str">
        <f aca="false">IF(OR(N843="",H843=""),"",H843-N843)</f>
        <v/>
      </c>
      <c r="P843" s="25" t="str">
        <f aca="false">IF(O843="","",IF(O843&lt;0,"CONTRATO ANTERIOR À ABERTURA — conferir datas",IF(O843&lt;180,"EMPRESA ABERTA MENOS DE 6 MESES ANTES","")))</f>
        <v/>
      </c>
      <c r="Q843" s="31" t="str">
        <f aca="false">IF(D843="","",IFERROR(INDEX(Sancoes!$D:$D,MATCH(D843,Sancoes!$C:$C,0)),"não consta"))</f>
        <v/>
      </c>
      <c r="R843" s="25" t="str">
        <f aca="false">IF(OR(D843="",H843=""),"",IF(SUMPRODUCT((Sancoes!$C$5:$C$304=D843)*(Sancoes!$G$5:$G$304&lt;=H843)*(((Sancoes!$H$5:$H$304="")+(Sancoes!$H$5:$H$304&gt;=H843))&gt;0))&gt;0,"SANÇÃO VIGENTE NA DATA — ler tipo e abrangência",""))</f>
        <v/>
      </c>
      <c r="S843" s="24"/>
      <c r="T843" s="11"/>
    </row>
    <row r="844" customFormat="false" ht="15" hidden="false" customHeight="false" outlineLevel="0" collapsed="false">
      <c r="A844" s="11"/>
      <c r="B844" s="24"/>
      <c r="C844" s="24"/>
      <c r="D844" s="31" t="str">
        <f aca="false">IF(C844="","",IF(LEN(UPPER(SUBSTITUTE(SUBSTITUTE(SUBSTITUTE(SUBSTITUTE(TRIM(C844),".",""),"/",""),"-","")," ","")))&lt;14,RIGHT(REPT("0",14)&amp;UPPER(SUBSTITUTE(SUBSTITUTE(SUBSTITUTE(SUBSTITUTE(TRIM(C844),".",""),"/",""),"-","")," ","")),14),UPPER(SUBSTITUTE(SUBSTITUTE(SUBSTITUTE(SUBSTITUTE(TRIM(C844),".",""),"/",""),"-","")," ",""))))</f>
        <v/>
      </c>
      <c r="E844" s="25" t="str">
        <f aca="false">IF(D844="","",IFERROR(INDEX(Empresas!$C:$C,MATCH(D844,Empresas!$B:$B,0)),"cadastre o CNPJ em Empresas"))</f>
        <v/>
      </c>
      <c r="F844" s="11"/>
      <c r="G844" s="23"/>
      <c r="H844" s="22"/>
      <c r="I844" s="35"/>
      <c r="J844" s="35"/>
      <c r="K844" s="36" t="str">
        <f aca="false">IF(I844="","",I844+J844)</f>
        <v/>
      </c>
      <c r="L844" s="37" t="str">
        <f aca="false">IF(OR(I844="",I844=0,J844=""),"",J844/I844)</f>
        <v/>
      </c>
      <c r="M844" s="25" t="str">
        <f aca="false">IF(L844="","",IF(L844&gt;0.25,"ACRÉSCIMO ACIMA DE 25% — conferir",""))</f>
        <v/>
      </c>
      <c r="N844" s="29" t="str">
        <f aca="false">IF(D844="","",IF(COUNTIFS(Empresas!$B:$B,D844,Empresas!$E:$E,"&lt;&gt;")=0,"",INDEX(Empresas!$E:$E,MATCH(D844,Empresas!$B:$B,0))))</f>
        <v/>
      </c>
      <c r="O844" s="27" t="str">
        <f aca="false">IF(OR(N844="",H844=""),"",H844-N844)</f>
        <v/>
      </c>
      <c r="P844" s="25" t="str">
        <f aca="false">IF(O844="","",IF(O844&lt;0,"CONTRATO ANTERIOR À ABERTURA — conferir datas",IF(O844&lt;180,"EMPRESA ABERTA MENOS DE 6 MESES ANTES","")))</f>
        <v/>
      </c>
      <c r="Q844" s="31" t="str">
        <f aca="false">IF(D844="","",IFERROR(INDEX(Sancoes!$D:$D,MATCH(D844,Sancoes!$C:$C,0)),"não consta"))</f>
        <v/>
      </c>
      <c r="R844" s="25" t="str">
        <f aca="false">IF(OR(D844="",H844=""),"",IF(SUMPRODUCT((Sancoes!$C$5:$C$304=D844)*(Sancoes!$G$5:$G$304&lt;=H844)*(((Sancoes!$H$5:$H$304="")+(Sancoes!$H$5:$H$304&gt;=H844))&gt;0))&gt;0,"SANÇÃO VIGENTE NA DATA — ler tipo e abrangência",""))</f>
        <v/>
      </c>
      <c r="S844" s="24"/>
      <c r="T844" s="11"/>
    </row>
    <row r="845" customFormat="false" ht="15" hidden="false" customHeight="false" outlineLevel="0" collapsed="false">
      <c r="A845" s="11"/>
      <c r="B845" s="24"/>
      <c r="C845" s="24"/>
      <c r="D845" s="31" t="str">
        <f aca="false">IF(C845="","",IF(LEN(UPPER(SUBSTITUTE(SUBSTITUTE(SUBSTITUTE(SUBSTITUTE(TRIM(C845),".",""),"/",""),"-","")," ","")))&lt;14,RIGHT(REPT("0",14)&amp;UPPER(SUBSTITUTE(SUBSTITUTE(SUBSTITUTE(SUBSTITUTE(TRIM(C845),".",""),"/",""),"-","")," ","")),14),UPPER(SUBSTITUTE(SUBSTITUTE(SUBSTITUTE(SUBSTITUTE(TRIM(C845),".",""),"/",""),"-","")," ",""))))</f>
        <v/>
      </c>
      <c r="E845" s="25" t="str">
        <f aca="false">IF(D845="","",IFERROR(INDEX(Empresas!$C:$C,MATCH(D845,Empresas!$B:$B,0)),"cadastre o CNPJ em Empresas"))</f>
        <v/>
      </c>
      <c r="F845" s="11"/>
      <c r="G845" s="23"/>
      <c r="H845" s="22"/>
      <c r="I845" s="35"/>
      <c r="J845" s="35"/>
      <c r="K845" s="36" t="str">
        <f aca="false">IF(I845="","",I845+J845)</f>
        <v/>
      </c>
      <c r="L845" s="37" t="str">
        <f aca="false">IF(OR(I845="",I845=0,J845=""),"",J845/I845)</f>
        <v/>
      </c>
      <c r="M845" s="25" t="str">
        <f aca="false">IF(L845="","",IF(L845&gt;0.25,"ACRÉSCIMO ACIMA DE 25% — conferir",""))</f>
        <v/>
      </c>
      <c r="N845" s="29" t="str">
        <f aca="false">IF(D845="","",IF(COUNTIFS(Empresas!$B:$B,D845,Empresas!$E:$E,"&lt;&gt;")=0,"",INDEX(Empresas!$E:$E,MATCH(D845,Empresas!$B:$B,0))))</f>
        <v/>
      </c>
      <c r="O845" s="27" t="str">
        <f aca="false">IF(OR(N845="",H845=""),"",H845-N845)</f>
        <v/>
      </c>
      <c r="P845" s="25" t="str">
        <f aca="false">IF(O845="","",IF(O845&lt;0,"CONTRATO ANTERIOR À ABERTURA — conferir datas",IF(O845&lt;180,"EMPRESA ABERTA MENOS DE 6 MESES ANTES","")))</f>
        <v/>
      </c>
      <c r="Q845" s="31" t="str">
        <f aca="false">IF(D845="","",IFERROR(INDEX(Sancoes!$D:$D,MATCH(D845,Sancoes!$C:$C,0)),"não consta"))</f>
        <v/>
      </c>
      <c r="R845" s="25" t="str">
        <f aca="false">IF(OR(D845="",H845=""),"",IF(SUMPRODUCT((Sancoes!$C$5:$C$304=D845)*(Sancoes!$G$5:$G$304&lt;=H845)*(((Sancoes!$H$5:$H$304="")+(Sancoes!$H$5:$H$304&gt;=H845))&gt;0))&gt;0,"SANÇÃO VIGENTE NA DATA — ler tipo e abrangência",""))</f>
        <v/>
      </c>
      <c r="S845" s="24"/>
      <c r="T845" s="11"/>
    </row>
    <row r="846" customFormat="false" ht="15" hidden="false" customHeight="false" outlineLevel="0" collapsed="false">
      <c r="A846" s="11"/>
      <c r="B846" s="24"/>
      <c r="C846" s="24"/>
      <c r="D846" s="31" t="str">
        <f aca="false">IF(C846="","",IF(LEN(UPPER(SUBSTITUTE(SUBSTITUTE(SUBSTITUTE(SUBSTITUTE(TRIM(C846),".",""),"/",""),"-","")," ","")))&lt;14,RIGHT(REPT("0",14)&amp;UPPER(SUBSTITUTE(SUBSTITUTE(SUBSTITUTE(SUBSTITUTE(TRIM(C846),".",""),"/",""),"-","")," ","")),14),UPPER(SUBSTITUTE(SUBSTITUTE(SUBSTITUTE(SUBSTITUTE(TRIM(C846),".",""),"/",""),"-","")," ",""))))</f>
        <v/>
      </c>
      <c r="E846" s="25" t="str">
        <f aca="false">IF(D846="","",IFERROR(INDEX(Empresas!$C:$C,MATCH(D846,Empresas!$B:$B,0)),"cadastre o CNPJ em Empresas"))</f>
        <v/>
      </c>
      <c r="F846" s="11"/>
      <c r="G846" s="23"/>
      <c r="H846" s="22"/>
      <c r="I846" s="35"/>
      <c r="J846" s="35"/>
      <c r="K846" s="36" t="str">
        <f aca="false">IF(I846="","",I846+J846)</f>
        <v/>
      </c>
      <c r="L846" s="37" t="str">
        <f aca="false">IF(OR(I846="",I846=0,J846=""),"",J846/I846)</f>
        <v/>
      </c>
      <c r="M846" s="25" t="str">
        <f aca="false">IF(L846="","",IF(L846&gt;0.25,"ACRÉSCIMO ACIMA DE 25% — conferir",""))</f>
        <v/>
      </c>
      <c r="N846" s="29" t="str">
        <f aca="false">IF(D846="","",IF(COUNTIFS(Empresas!$B:$B,D846,Empresas!$E:$E,"&lt;&gt;")=0,"",INDEX(Empresas!$E:$E,MATCH(D846,Empresas!$B:$B,0))))</f>
        <v/>
      </c>
      <c r="O846" s="27" t="str">
        <f aca="false">IF(OR(N846="",H846=""),"",H846-N846)</f>
        <v/>
      </c>
      <c r="P846" s="25" t="str">
        <f aca="false">IF(O846="","",IF(O846&lt;0,"CONTRATO ANTERIOR À ABERTURA — conferir datas",IF(O846&lt;180,"EMPRESA ABERTA MENOS DE 6 MESES ANTES","")))</f>
        <v/>
      </c>
      <c r="Q846" s="31" t="str">
        <f aca="false">IF(D846="","",IFERROR(INDEX(Sancoes!$D:$D,MATCH(D846,Sancoes!$C:$C,0)),"não consta"))</f>
        <v/>
      </c>
      <c r="R846" s="25" t="str">
        <f aca="false">IF(OR(D846="",H846=""),"",IF(SUMPRODUCT((Sancoes!$C$5:$C$304=D846)*(Sancoes!$G$5:$G$304&lt;=H846)*(((Sancoes!$H$5:$H$304="")+(Sancoes!$H$5:$H$304&gt;=H846))&gt;0))&gt;0,"SANÇÃO VIGENTE NA DATA — ler tipo e abrangência",""))</f>
        <v/>
      </c>
      <c r="S846" s="24"/>
      <c r="T846" s="11"/>
    </row>
    <row r="847" customFormat="false" ht="15" hidden="false" customHeight="false" outlineLevel="0" collapsed="false">
      <c r="A847" s="11"/>
      <c r="B847" s="24"/>
      <c r="C847" s="24"/>
      <c r="D847" s="31" t="str">
        <f aca="false">IF(C847="","",IF(LEN(UPPER(SUBSTITUTE(SUBSTITUTE(SUBSTITUTE(SUBSTITUTE(TRIM(C847),".",""),"/",""),"-","")," ","")))&lt;14,RIGHT(REPT("0",14)&amp;UPPER(SUBSTITUTE(SUBSTITUTE(SUBSTITUTE(SUBSTITUTE(TRIM(C847),".",""),"/",""),"-","")," ","")),14),UPPER(SUBSTITUTE(SUBSTITUTE(SUBSTITUTE(SUBSTITUTE(TRIM(C847),".",""),"/",""),"-","")," ",""))))</f>
        <v/>
      </c>
      <c r="E847" s="25" t="str">
        <f aca="false">IF(D847="","",IFERROR(INDEX(Empresas!$C:$C,MATCH(D847,Empresas!$B:$B,0)),"cadastre o CNPJ em Empresas"))</f>
        <v/>
      </c>
      <c r="F847" s="11"/>
      <c r="G847" s="23"/>
      <c r="H847" s="22"/>
      <c r="I847" s="35"/>
      <c r="J847" s="35"/>
      <c r="K847" s="36" t="str">
        <f aca="false">IF(I847="","",I847+J847)</f>
        <v/>
      </c>
      <c r="L847" s="37" t="str">
        <f aca="false">IF(OR(I847="",I847=0,J847=""),"",J847/I847)</f>
        <v/>
      </c>
      <c r="M847" s="25" t="str">
        <f aca="false">IF(L847="","",IF(L847&gt;0.25,"ACRÉSCIMO ACIMA DE 25% — conferir",""))</f>
        <v/>
      </c>
      <c r="N847" s="29" t="str">
        <f aca="false">IF(D847="","",IF(COUNTIFS(Empresas!$B:$B,D847,Empresas!$E:$E,"&lt;&gt;")=0,"",INDEX(Empresas!$E:$E,MATCH(D847,Empresas!$B:$B,0))))</f>
        <v/>
      </c>
      <c r="O847" s="27" t="str">
        <f aca="false">IF(OR(N847="",H847=""),"",H847-N847)</f>
        <v/>
      </c>
      <c r="P847" s="25" t="str">
        <f aca="false">IF(O847="","",IF(O847&lt;0,"CONTRATO ANTERIOR À ABERTURA — conferir datas",IF(O847&lt;180,"EMPRESA ABERTA MENOS DE 6 MESES ANTES","")))</f>
        <v/>
      </c>
      <c r="Q847" s="31" t="str">
        <f aca="false">IF(D847="","",IFERROR(INDEX(Sancoes!$D:$D,MATCH(D847,Sancoes!$C:$C,0)),"não consta"))</f>
        <v/>
      </c>
      <c r="R847" s="25" t="str">
        <f aca="false">IF(OR(D847="",H847=""),"",IF(SUMPRODUCT((Sancoes!$C$5:$C$304=D847)*(Sancoes!$G$5:$G$304&lt;=H847)*(((Sancoes!$H$5:$H$304="")+(Sancoes!$H$5:$H$304&gt;=H847))&gt;0))&gt;0,"SANÇÃO VIGENTE NA DATA — ler tipo e abrangência",""))</f>
        <v/>
      </c>
      <c r="S847" s="24"/>
      <c r="T847" s="11"/>
    </row>
    <row r="848" customFormat="false" ht="15" hidden="false" customHeight="false" outlineLevel="0" collapsed="false">
      <c r="A848" s="11"/>
      <c r="B848" s="24"/>
      <c r="C848" s="24"/>
      <c r="D848" s="31" t="str">
        <f aca="false">IF(C848="","",IF(LEN(UPPER(SUBSTITUTE(SUBSTITUTE(SUBSTITUTE(SUBSTITUTE(TRIM(C848),".",""),"/",""),"-","")," ","")))&lt;14,RIGHT(REPT("0",14)&amp;UPPER(SUBSTITUTE(SUBSTITUTE(SUBSTITUTE(SUBSTITUTE(TRIM(C848),".",""),"/",""),"-","")," ","")),14),UPPER(SUBSTITUTE(SUBSTITUTE(SUBSTITUTE(SUBSTITUTE(TRIM(C848),".",""),"/",""),"-","")," ",""))))</f>
        <v/>
      </c>
      <c r="E848" s="25" t="str">
        <f aca="false">IF(D848="","",IFERROR(INDEX(Empresas!$C:$C,MATCH(D848,Empresas!$B:$B,0)),"cadastre o CNPJ em Empresas"))</f>
        <v/>
      </c>
      <c r="F848" s="11"/>
      <c r="G848" s="23"/>
      <c r="H848" s="22"/>
      <c r="I848" s="35"/>
      <c r="J848" s="35"/>
      <c r="K848" s="36" t="str">
        <f aca="false">IF(I848="","",I848+J848)</f>
        <v/>
      </c>
      <c r="L848" s="37" t="str">
        <f aca="false">IF(OR(I848="",I848=0,J848=""),"",J848/I848)</f>
        <v/>
      </c>
      <c r="M848" s="25" t="str">
        <f aca="false">IF(L848="","",IF(L848&gt;0.25,"ACRÉSCIMO ACIMA DE 25% — conferir",""))</f>
        <v/>
      </c>
      <c r="N848" s="29" t="str">
        <f aca="false">IF(D848="","",IF(COUNTIFS(Empresas!$B:$B,D848,Empresas!$E:$E,"&lt;&gt;")=0,"",INDEX(Empresas!$E:$E,MATCH(D848,Empresas!$B:$B,0))))</f>
        <v/>
      </c>
      <c r="O848" s="27" t="str">
        <f aca="false">IF(OR(N848="",H848=""),"",H848-N848)</f>
        <v/>
      </c>
      <c r="P848" s="25" t="str">
        <f aca="false">IF(O848="","",IF(O848&lt;0,"CONTRATO ANTERIOR À ABERTURA — conferir datas",IF(O848&lt;180,"EMPRESA ABERTA MENOS DE 6 MESES ANTES","")))</f>
        <v/>
      </c>
      <c r="Q848" s="31" t="str">
        <f aca="false">IF(D848="","",IFERROR(INDEX(Sancoes!$D:$D,MATCH(D848,Sancoes!$C:$C,0)),"não consta"))</f>
        <v/>
      </c>
      <c r="R848" s="25" t="str">
        <f aca="false">IF(OR(D848="",H848=""),"",IF(SUMPRODUCT((Sancoes!$C$5:$C$304=D848)*(Sancoes!$G$5:$G$304&lt;=H848)*(((Sancoes!$H$5:$H$304="")+(Sancoes!$H$5:$H$304&gt;=H848))&gt;0))&gt;0,"SANÇÃO VIGENTE NA DATA — ler tipo e abrangência",""))</f>
        <v/>
      </c>
      <c r="S848" s="24"/>
      <c r="T848" s="11"/>
    </row>
    <row r="849" customFormat="false" ht="15" hidden="false" customHeight="false" outlineLevel="0" collapsed="false">
      <c r="A849" s="11"/>
      <c r="B849" s="24"/>
      <c r="C849" s="24"/>
      <c r="D849" s="31" t="str">
        <f aca="false">IF(C849="","",IF(LEN(UPPER(SUBSTITUTE(SUBSTITUTE(SUBSTITUTE(SUBSTITUTE(TRIM(C849),".",""),"/",""),"-","")," ","")))&lt;14,RIGHT(REPT("0",14)&amp;UPPER(SUBSTITUTE(SUBSTITUTE(SUBSTITUTE(SUBSTITUTE(TRIM(C849),".",""),"/",""),"-","")," ","")),14),UPPER(SUBSTITUTE(SUBSTITUTE(SUBSTITUTE(SUBSTITUTE(TRIM(C849),".",""),"/",""),"-","")," ",""))))</f>
        <v/>
      </c>
      <c r="E849" s="25" t="str">
        <f aca="false">IF(D849="","",IFERROR(INDEX(Empresas!$C:$C,MATCH(D849,Empresas!$B:$B,0)),"cadastre o CNPJ em Empresas"))</f>
        <v/>
      </c>
      <c r="F849" s="11"/>
      <c r="G849" s="23"/>
      <c r="H849" s="22"/>
      <c r="I849" s="35"/>
      <c r="J849" s="35"/>
      <c r="K849" s="36" t="str">
        <f aca="false">IF(I849="","",I849+J849)</f>
        <v/>
      </c>
      <c r="L849" s="37" t="str">
        <f aca="false">IF(OR(I849="",I849=0,J849=""),"",J849/I849)</f>
        <v/>
      </c>
      <c r="M849" s="25" t="str">
        <f aca="false">IF(L849="","",IF(L849&gt;0.25,"ACRÉSCIMO ACIMA DE 25% — conferir",""))</f>
        <v/>
      </c>
      <c r="N849" s="29" t="str">
        <f aca="false">IF(D849="","",IF(COUNTIFS(Empresas!$B:$B,D849,Empresas!$E:$E,"&lt;&gt;")=0,"",INDEX(Empresas!$E:$E,MATCH(D849,Empresas!$B:$B,0))))</f>
        <v/>
      </c>
      <c r="O849" s="27" t="str">
        <f aca="false">IF(OR(N849="",H849=""),"",H849-N849)</f>
        <v/>
      </c>
      <c r="P849" s="25" t="str">
        <f aca="false">IF(O849="","",IF(O849&lt;0,"CONTRATO ANTERIOR À ABERTURA — conferir datas",IF(O849&lt;180,"EMPRESA ABERTA MENOS DE 6 MESES ANTES","")))</f>
        <v/>
      </c>
      <c r="Q849" s="31" t="str">
        <f aca="false">IF(D849="","",IFERROR(INDEX(Sancoes!$D:$D,MATCH(D849,Sancoes!$C:$C,0)),"não consta"))</f>
        <v/>
      </c>
      <c r="R849" s="25" t="str">
        <f aca="false">IF(OR(D849="",H849=""),"",IF(SUMPRODUCT((Sancoes!$C$5:$C$304=D849)*(Sancoes!$G$5:$G$304&lt;=H849)*(((Sancoes!$H$5:$H$304="")+(Sancoes!$H$5:$H$304&gt;=H849))&gt;0))&gt;0,"SANÇÃO VIGENTE NA DATA — ler tipo e abrangência",""))</f>
        <v/>
      </c>
      <c r="S849" s="24"/>
      <c r="T849" s="11"/>
    </row>
    <row r="850" customFormat="false" ht="15" hidden="false" customHeight="false" outlineLevel="0" collapsed="false">
      <c r="A850" s="11"/>
      <c r="B850" s="24"/>
      <c r="C850" s="24"/>
      <c r="D850" s="31" t="str">
        <f aca="false">IF(C850="","",IF(LEN(UPPER(SUBSTITUTE(SUBSTITUTE(SUBSTITUTE(SUBSTITUTE(TRIM(C850),".",""),"/",""),"-","")," ","")))&lt;14,RIGHT(REPT("0",14)&amp;UPPER(SUBSTITUTE(SUBSTITUTE(SUBSTITUTE(SUBSTITUTE(TRIM(C850),".",""),"/",""),"-","")," ","")),14),UPPER(SUBSTITUTE(SUBSTITUTE(SUBSTITUTE(SUBSTITUTE(TRIM(C850),".",""),"/",""),"-","")," ",""))))</f>
        <v/>
      </c>
      <c r="E850" s="25" t="str">
        <f aca="false">IF(D850="","",IFERROR(INDEX(Empresas!$C:$C,MATCH(D850,Empresas!$B:$B,0)),"cadastre o CNPJ em Empresas"))</f>
        <v/>
      </c>
      <c r="F850" s="11"/>
      <c r="G850" s="23"/>
      <c r="H850" s="22"/>
      <c r="I850" s="35"/>
      <c r="J850" s="35"/>
      <c r="K850" s="36" t="str">
        <f aca="false">IF(I850="","",I850+J850)</f>
        <v/>
      </c>
      <c r="L850" s="37" t="str">
        <f aca="false">IF(OR(I850="",I850=0,J850=""),"",J850/I850)</f>
        <v/>
      </c>
      <c r="M850" s="25" t="str">
        <f aca="false">IF(L850="","",IF(L850&gt;0.25,"ACRÉSCIMO ACIMA DE 25% — conferir",""))</f>
        <v/>
      </c>
      <c r="N850" s="29" t="str">
        <f aca="false">IF(D850="","",IF(COUNTIFS(Empresas!$B:$B,D850,Empresas!$E:$E,"&lt;&gt;")=0,"",INDEX(Empresas!$E:$E,MATCH(D850,Empresas!$B:$B,0))))</f>
        <v/>
      </c>
      <c r="O850" s="27" t="str">
        <f aca="false">IF(OR(N850="",H850=""),"",H850-N850)</f>
        <v/>
      </c>
      <c r="P850" s="25" t="str">
        <f aca="false">IF(O850="","",IF(O850&lt;0,"CONTRATO ANTERIOR À ABERTURA — conferir datas",IF(O850&lt;180,"EMPRESA ABERTA MENOS DE 6 MESES ANTES","")))</f>
        <v/>
      </c>
      <c r="Q850" s="31" t="str">
        <f aca="false">IF(D850="","",IFERROR(INDEX(Sancoes!$D:$D,MATCH(D850,Sancoes!$C:$C,0)),"não consta"))</f>
        <v/>
      </c>
      <c r="R850" s="25" t="str">
        <f aca="false">IF(OR(D850="",H850=""),"",IF(SUMPRODUCT((Sancoes!$C$5:$C$304=D850)*(Sancoes!$G$5:$G$304&lt;=H850)*(((Sancoes!$H$5:$H$304="")+(Sancoes!$H$5:$H$304&gt;=H850))&gt;0))&gt;0,"SANÇÃO VIGENTE NA DATA — ler tipo e abrangência",""))</f>
        <v/>
      </c>
      <c r="S850" s="24"/>
      <c r="T850" s="11"/>
    </row>
    <row r="851" customFormat="false" ht="15" hidden="false" customHeight="false" outlineLevel="0" collapsed="false">
      <c r="A851" s="11"/>
      <c r="B851" s="24"/>
      <c r="C851" s="24"/>
      <c r="D851" s="31" t="str">
        <f aca="false">IF(C851="","",IF(LEN(UPPER(SUBSTITUTE(SUBSTITUTE(SUBSTITUTE(SUBSTITUTE(TRIM(C851),".",""),"/",""),"-","")," ","")))&lt;14,RIGHT(REPT("0",14)&amp;UPPER(SUBSTITUTE(SUBSTITUTE(SUBSTITUTE(SUBSTITUTE(TRIM(C851),".",""),"/",""),"-","")," ","")),14),UPPER(SUBSTITUTE(SUBSTITUTE(SUBSTITUTE(SUBSTITUTE(TRIM(C851),".",""),"/",""),"-","")," ",""))))</f>
        <v/>
      </c>
      <c r="E851" s="25" t="str">
        <f aca="false">IF(D851="","",IFERROR(INDEX(Empresas!$C:$C,MATCH(D851,Empresas!$B:$B,0)),"cadastre o CNPJ em Empresas"))</f>
        <v/>
      </c>
      <c r="F851" s="11"/>
      <c r="G851" s="23"/>
      <c r="H851" s="22"/>
      <c r="I851" s="35"/>
      <c r="J851" s="35"/>
      <c r="K851" s="36" t="str">
        <f aca="false">IF(I851="","",I851+J851)</f>
        <v/>
      </c>
      <c r="L851" s="37" t="str">
        <f aca="false">IF(OR(I851="",I851=0,J851=""),"",J851/I851)</f>
        <v/>
      </c>
      <c r="M851" s="25" t="str">
        <f aca="false">IF(L851="","",IF(L851&gt;0.25,"ACRÉSCIMO ACIMA DE 25% — conferir",""))</f>
        <v/>
      </c>
      <c r="N851" s="29" t="str">
        <f aca="false">IF(D851="","",IF(COUNTIFS(Empresas!$B:$B,D851,Empresas!$E:$E,"&lt;&gt;")=0,"",INDEX(Empresas!$E:$E,MATCH(D851,Empresas!$B:$B,0))))</f>
        <v/>
      </c>
      <c r="O851" s="27" t="str">
        <f aca="false">IF(OR(N851="",H851=""),"",H851-N851)</f>
        <v/>
      </c>
      <c r="P851" s="25" t="str">
        <f aca="false">IF(O851="","",IF(O851&lt;0,"CONTRATO ANTERIOR À ABERTURA — conferir datas",IF(O851&lt;180,"EMPRESA ABERTA MENOS DE 6 MESES ANTES","")))</f>
        <v/>
      </c>
      <c r="Q851" s="31" t="str">
        <f aca="false">IF(D851="","",IFERROR(INDEX(Sancoes!$D:$D,MATCH(D851,Sancoes!$C:$C,0)),"não consta"))</f>
        <v/>
      </c>
      <c r="R851" s="25" t="str">
        <f aca="false">IF(OR(D851="",H851=""),"",IF(SUMPRODUCT((Sancoes!$C$5:$C$304=D851)*(Sancoes!$G$5:$G$304&lt;=H851)*(((Sancoes!$H$5:$H$304="")+(Sancoes!$H$5:$H$304&gt;=H851))&gt;0))&gt;0,"SANÇÃO VIGENTE NA DATA — ler tipo e abrangência",""))</f>
        <v/>
      </c>
      <c r="S851" s="24"/>
      <c r="T851" s="11"/>
    </row>
    <row r="852" customFormat="false" ht="15" hidden="false" customHeight="false" outlineLevel="0" collapsed="false">
      <c r="A852" s="11"/>
      <c r="B852" s="24"/>
      <c r="C852" s="24"/>
      <c r="D852" s="31" t="str">
        <f aca="false">IF(C852="","",IF(LEN(UPPER(SUBSTITUTE(SUBSTITUTE(SUBSTITUTE(SUBSTITUTE(TRIM(C852),".",""),"/",""),"-","")," ","")))&lt;14,RIGHT(REPT("0",14)&amp;UPPER(SUBSTITUTE(SUBSTITUTE(SUBSTITUTE(SUBSTITUTE(TRIM(C852),".",""),"/",""),"-","")," ","")),14),UPPER(SUBSTITUTE(SUBSTITUTE(SUBSTITUTE(SUBSTITUTE(TRIM(C852),".",""),"/",""),"-","")," ",""))))</f>
        <v/>
      </c>
      <c r="E852" s="25" t="str">
        <f aca="false">IF(D852="","",IFERROR(INDEX(Empresas!$C:$C,MATCH(D852,Empresas!$B:$B,0)),"cadastre o CNPJ em Empresas"))</f>
        <v/>
      </c>
      <c r="F852" s="11"/>
      <c r="G852" s="23"/>
      <c r="H852" s="22"/>
      <c r="I852" s="35"/>
      <c r="J852" s="35"/>
      <c r="K852" s="36" t="str">
        <f aca="false">IF(I852="","",I852+J852)</f>
        <v/>
      </c>
      <c r="L852" s="37" t="str">
        <f aca="false">IF(OR(I852="",I852=0,J852=""),"",J852/I852)</f>
        <v/>
      </c>
      <c r="M852" s="25" t="str">
        <f aca="false">IF(L852="","",IF(L852&gt;0.25,"ACRÉSCIMO ACIMA DE 25% — conferir",""))</f>
        <v/>
      </c>
      <c r="N852" s="29" t="str">
        <f aca="false">IF(D852="","",IF(COUNTIFS(Empresas!$B:$B,D852,Empresas!$E:$E,"&lt;&gt;")=0,"",INDEX(Empresas!$E:$E,MATCH(D852,Empresas!$B:$B,0))))</f>
        <v/>
      </c>
      <c r="O852" s="27" t="str">
        <f aca="false">IF(OR(N852="",H852=""),"",H852-N852)</f>
        <v/>
      </c>
      <c r="P852" s="25" t="str">
        <f aca="false">IF(O852="","",IF(O852&lt;0,"CONTRATO ANTERIOR À ABERTURA — conferir datas",IF(O852&lt;180,"EMPRESA ABERTA MENOS DE 6 MESES ANTES","")))</f>
        <v/>
      </c>
      <c r="Q852" s="31" t="str">
        <f aca="false">IF(D852="","",IFERROR(INDEX(Sancoes!$D:$D,MATCH(D852,Sancoes!$C:$C,0)),"não consta"))</f>
        <v/>
      </c>
      <c r="R852" s="25" t="str">
        <f aca="false">IF(OR(D852="",H852=""),"",IF(SUMPRODUCT((Sancoes!$C$5:$C$304=D852)*(Sancoes!$G$5:$G$304&lt;=H852)*(((Sancoes!$H$5:$H$304="")+(Sancoes!$H$5:$H$304&gt;=H852))&gt;0))&gt;0,"SANÇÃO VIGENTE NA DATA — ler tipo e abrangência",""))</f>
        <v/>
      </c>
      <c r="S852" s="24"/>
      <c r="T852" s="11"/>
    </row>
    <row r="853" customFormat="false" ht="15" hidden="false" customHeight="false" outlineLevel="0" collapsed="false">
      <c r="A853" s="11"/>
      <c r="B853" s="24"/>
      <c r="C853" s="24"/>
      <c r="D853" s="31" t="str">
        <f aca="false">IF(C853="","",IF(LEN(UPPER(SUBSTITUTE(SUBSTITUTE(SUBSTITUTE(SUBSTITUTE(TRIM(C853),".",""),"/",""),"-","")," ","")))&lt;14,RIGHT(REPT("0",14)&amp;UPPER(SUBSTITUTE(SUBSTITUTE(SUBSTITUTE(SUBSTITUTE(TRIM(C853),".",""),"/",""),"-","")," ","")),14),UPPER(SUBSTITUTE(SUBSTITUTE(SUBSTITUTE(SUBSTITUTE(TRIM(C853),".",""),"/",""),"-","")," ",""))))</f>
        <v/>
      </c>
      <c r="E853" s="25" t="str">
        <f aca="false">IF(D853="","",IFERROR(INDEX(Empresas!$C:$C,MATCH(D853,Empresas!$B:$B,0)),"cadastre o CNPJ em Empresas"))</f>
        <v/>
      </c>
      <c r="F853" s="11"/>
      <c r="G853" s="23"/>
      <c r="H853" s="22"/>
      <c r="I853" s="35"/>
      <c r="J853" s="35"/>
      <c r="K853" s="36" t="str">
        <f aca="false">IF(I853="","",I853+J853)</f>
        <v/>
      </c>
      <c r="L853" s="37" t="str">
        <f aca="false">IF(OR(I853="",I853=0,J853=""),"",J853/I853)</f>
        <v/>
      </c>
      <c r="M853" s="25" t="str">
        <f aca="false">IF(L853="","",IF(L853&gt;0.25,"ACRÉSCIMO ACIMA DE 25% — conferir",""))</f>
        <v/>
      </c>
      <c r="N853" s="29" t="str">
        <f aca="false">IF(D853="","",IF(COUNTIFS(Empresas!$B:$B,D853,Empresas!$E:$E,"&lt;&gt;")=0,"",INDEX(Empresas!$E:$E,MATCH(D853,Empresas!$B:$B,0))))</f>
        <v/>
      </c>
      <c r="O853" s="27" t="str">
        <f aca="false">IF(OR(N853="",H853=""),"",H853-N853)</f>
        <v/>
      </c>
      <c r="P853" s="25" t="str">
        <f aca="false">IF(O853="","",IF(O853&lt;0,"CONTRATO ANTERIOR À ABERTURA — conferir datas",IF(O853&lt;180,"EMPRESA ABERTA MENOS DE 6 MESES ANTES","")))</f>
        <v/>
      </c>
      <c r="Q853" s="31" t="str">
        <f aca="false">IF(D853="","",IFERROR(INDEX(Sancoes!$D:$D,MATCH(D853,Sancoes!$C:$C,0)),"não consta"))</f>
        <v/>
      </c>
      <c r="R853" s="25" t="str">
        <f aca="false">IF(OR(D853="",H853=""),"",IF(SUMPRODUCT((Sancoes!$C$5:$C$304=D853)*(Sancoes!$G$5:$G$304&lt;=H853)*(((Sancoes!$H$5:$H$304="")+(Sancoes!$H$5:$H$304&gt;=H853))&gt;0))&gt;0,"SANÇÃO VIGENTE NA DATA — ler tipo e abrangência",""))</f>
        <v/>
      </c>
      <c r="S853" s="24"/>
      <c r="T853" s="11"/>
    </row>
    <row r="854" customFormat="false" ht="15" hidden="false" customHeight="false" outlineLevel="0" collapsed="false">
      <c r="A854" s="11"/>
      <c r="B854" s="24"/>
      <c r="C854" s="24"/>
      <c r="D854" s="31" t="str">
        <f aca="false">IF(C854="","",IF(LEN(UPPER(SUBSTITUTE(SUBSTITUTE(SUBSTITUTE(SUBSTITUTE(TRIM(C854),".",""),"/",""),"-","")," ","")))&lt;14,RIGHT(REPT("0",14)&amp;UPPER(SUBSTITUTE(SUBSTITUTE(SUBSTITUTE(SUBSTITUTE(TRIM(C854),".",""),"/",""),"-","")," ","")),14),UPPER(SUBSTITUTE(SUBSTITUTE(SUBSTITUTE(SUBSTITUTE(TRIM(C854),".",""),"/",""),"-","")," ",""))))</f>
        <v/>
      </c>
      <c r="E854" s="25" t="str">
        <f aca="false">IF(D854="","",IFERROR(INDEX(Empresas!$C:$C,MATCH(D854,Empresas!$B:$B,0)),"cadastre o CNPJ em Empresas"))</f>
        <v/>
      </c>
      <c r="F854" s="11"/>
      <c r="G854" s="23"/>
      <c r="H854" s="22"/>
      <c r="I854" s="35"/>
      <c r="J854" s="35"/>
      <c r="K854" s="36" t="str">
        <f aca="false">IF(I854="","",I854+J854)</f>
        <v/>
      </c>
      <c r="L854" s="37" t="str">
        <f aca="false">IF(OR(I854="",I854=0,J854=""),"",J854/I854)</f>
        <v/>
      </c>
      <c r="M854" s="25" t="str">
        <f aca="false">IF(L854="","",IF(L854&gt;0.25,"ACRÉSCIMO ACIMA DE 25% — conferir",""))</f>
        <v/>
      </c>
      <c r="N854" s="29" t="str">
        <f aca="false">IF(D854="","",IF(COUNTIFS(Empresas!$B:$B,D854,Empresas!$E:$E,"&lt;&gt;")=0,"",INDEX(Empresas!$E:$E,MATCH(D854,Empresas!$B:$B,0))))</f>
        <v/>
      </c>
      <c r="O854" s="27" t="str">
        <f aca="false">IF(OR(N854="",H854=""),"",H854-N854)</f>
        <v/>
      </c>
      <c r="P854" s="25" t="str">
        <f aca="false">IF(O854="","",IF(O854&lt;0,"CONTRATO ANTERIOR À ABERTURA — conferir datas",IF(O854&lt;180,"EMPRESA ABERTA MENOS DE 6 MESES ANTES","")))</f>
        <v/>
      </c>
      <c r="Q854" s="31" t="str">
        <f aca="false">IF(D854="","",IFERROR(INDEX(Sancoes!$D:$D,MATCH(D854,Sancoes!$C:$C,0)),"não consta"))</f>
        <v/>
      </c>
      <c r="R854" s="25" t="str">
        <f aca="false">IF(OR(D854="",H854=""),"",IF(SUMPRODUCT((Sancoes!$C$5:$C$304=D854)*(Sancoes!$G$5:$G$304&lt;=H854)*(((Sancoes!$H$5:$H$304="")+(Sancoes!$H$5:$H$304&gt;=H854))&gt;0))&gt;0,"SANÇÃO VIGENTE NA DATA — ler tipo e abrangência",""))</f>
        <v/>
      </c>
      <c r="S854" s="24"/>
      <c r="T854" s="11"/>
    </row>
    <row r="855" customFormat="false" ht="15" hidden="false" customHeight="false" outlineLevel="0" collapsed="false">
      <c r="A855" s="11"/>
      <c r="B855" s="24"/>
      <c r="C855" s="24"/>
      <c r="D855" s="31" t="str">
        <f aca="false">IF(C855="","",IF(LEN(UPPER(SUBSTITUTE(SUBSTITUTE(SUBSTITUTE(SUBSTITUTE(TRIM(C855),".",""),"/",""),"-","")," ","")))&lt;14,RIGHT(REPT("0",14)&amp;UPPER(SUBSTITUTE(SUBSTITUTE(SUBSTITUTE(SUBSTITUTE(TRIM(C855),".",""),"/",""),"-","")," ","")),14),UPPER(SUBSTITUTE(SUBSTITUTE(SUBSTITUTE(SUBSTITUTE(TRIM(C855),".",""),"/",""),"-","")," ",""))))</f>
        <v/>
      </c>
      <c r="E855" s="25" t="str">
        <f aca="false">IF(D855="","",IFERROR(INDEX(Empresas!$C:$C,MATCH(D855,Empresas!$B:$B,0)),"cadastre o CNPJ em Empresas"))</f>
        <v/>
      </c>
      <c r="F855" s="11"/>
      <c r="G855" s="23"/>
      <c r="H855" s="22"/>
      <c r="I855" s="35"/>
      <c r="J855" s="35"/>
      <c r="K855" s="36" t="str">
        <f aca="false">IF(I855="","",I855+J855)</f>
        <v/>
      </c>
      <c r="L855" s="37" t="str">
        <f aca="false">IF(OR(I855="",I855=0,J855=""),"",J855/I855)</f>
        <v/>
      </c>
      <c r="M855" s="25" t="str">
        <f aca="false">IF(L855="","",IF(L855&gt;0.25,"ACRÉSCIMO ACIMA DE 25% — conferir",""))</f>
        <v/>
      </c>
      <c r="N855" s="29" t="str">
        <f aca="false">IF(D855="","",IF(COUNTIFS(Empresas!$B:$B,D855,Empresas!$E:$E,"&lt;&gt;")=0,"",INDEX(Empresas!$E:$E,MATCH(D855,Empresas!$B:$B,0))))</f>
        <v/>
      </c>
      <c r="O855" s="27" t="str">
        <f aca="false">IF(OR(N855="",H855=""),"",H855-N855)</f>
        <v/>
      </c>
      <c r="P855" s="25" t="str">
        <f aca="false">IF(O855="","",IF(O855&lt;0,"CONTRATO ANTERIOR À ABERTURA — conferir datas",IF(O855&lt;180,"EMPRESA ABERTA MENOS DE 6 MESES ANTES","")))</f>
        <v/>
      </c>
      <c r="Q855" s="31" t="str">
        <f aca="false">IF(D855="","",IFERROR(INDEX(Sancoes!$D:$D,MATCH(D855,Sancoes!$C:$C,0)),"não consta"))</f>
        <v/>
      </c>
      <c r="R855" s="25" t="str">
        <f aca="false">IF(OR(D855="",H855=""),"",IF(SUMPRODUCT((Sancoes!$C$5:$C$304=D855)*(Sancoes!$G$5:$G$304&lt;=H855)*(((Sancoes!$H$5:$H$304="")+(Sancoes!$H$5:$H$304&gt;=H855))&gt;0))&gt;0,"SANÇÃO VIGENTE NA DATA — ler tipo e abrangência",""))</f>
        <v/>
      </c>
      <c r="S855" s="24"/>
      <c r="T855" s="11"/>
    </row>
    <row r="856" customFormat="false" ht="15" hidden="false" customHeight="false" outlineLevel="0" collapsed="false">
      <c r="A856" s="11"/>
      <c r="B856" s="24"/>
      <c r="C856" s="24"/>
      <c r="D856" s="31" t="str">
        <f aca="false">IF(C856="","",IF(LEN(UPPER(SUBSTITUTE(SUBSTITUTE(SUBSTITUTE(SUBSTITUTE(TRIM(C856),".",""),"/",""),"-","")," ","")))&lt;14,RIGHT(REPT("0",14)&amp;UPPER(SUBSTITUTE(SUBSTITUTE(SUBSTITUTE(SUBSTITUTE(TRIM(C856),".",""),"/",""),"-","")," ","")),14),UPPER(SUBSTITUTE(SUBSTITUTE(SUBSTITUTE(SUBSTITUTE(TRIM(C856),".",""),"/",""),"-","")," ",""))))</f>
        <v/>
      </c>
      <c r="E856" s="25" t="str">
        <f aca="false">IF(D856="","",IFERROR(INDEX(Empresas!$C:$C,MATCH(D856,Empresas!$B:$B,0)),"cadastre o CNPJ em Empresas"))</f>
        <v/>
      </c>
      <c r="F856" s="11"/>
      <c r="G856" s="23"/>
      <c r="H856" s="22"/>
      <c r="I856" s="35"/>
      <c r="J856" s="35"/>
      <c r="K856" s="36" t="str">
        <f aca="false">IF(I856="","",I856+J856)</f>
        <v/>
      </c>
      <c r="L856" s="37" t="str">
        <f aca="false">IF(OR(I856="",I856=0,J856=""),"",J856/I856)</f>
        <v/>
      </c>
      <c r="M856" s="25" t="str">
        <f aca="false">IF(L856="","",IF(L856&gt;0.25,"ACRÉSCIMO ACIMA DE 25% — conferir",""))</f>
        <v/>
      </c>
      <c r="N856" s="29" t="str">
        <f aca="false">IF(D856="","",IF(COUNTIFS(Empresas!$B:$B,D856,Empresas!$E:$E,"&lt;&gt;")=0,"",INDEX(Empresas!$E:$E,MATCH(D856,Empresas!$B:$B,0))))</f>
        <v/>
      </c>
      <c r="O856" s="27" t="str">
        <f aca="false">IF(OR(N856="",H856=""),"",H856-N856)</f>
        <v/>
      </c>
      <c r="P856" s="25" t="str">
        <f aca="false">IF(O856="","",IF(O856&lt;0,"CONTRATO ANTERIOR À ABERTURA — conferir datas",IF(O856&lt;180,"EMPRESA ABERTA MENOS DE 6 MESES ANTES","")))</f>
        <v/>
      </c>
      <c r="Q856" s="31" t="str">
        <f aca="false">IF(D856="","",IFERROR(INDEX(Sancoes!$D:$D,MATCH(D856,Sancoes!$C:$C,0)),"não consta"))</f>
        <v/>
      </c>
      <c r="R856" s="25" t="str">
        <f aca="false">IF(OR(D856="",H856=""),"",IF(SUMPRODUCT((Sancoes!$C$5:$C$304=D856)*(Sancoes!$G$5:$G$304&lt;=H856)*(((Sancoes!$H$5:$H$304="")+(Sancoes!$H$5:$H$304&gt;=H856))&gt;0))&gt;0,"SANÇÃO VIGENTE NA DATA — ler tipo e abrangência",""))</f>
        <v/>
      </c>
      <c r="S856" s="24"/>
      <c r="T856" s="11"/>
    </row>
    <row r="857" customFormat="false" ht="15" hidden="false" customHeight="false" outlineLevel="0" collapsed="false">
      <c r="A857" s="11"/>
      <c r="B857" s="24"/>
      <c r="C857" s="24"/>
      <c r="D857" s="31" t="str">
        <f aca="false">IF(C857="","",IF(LEN(UPPER(SUBSTITUTE(SUBSTITUTE(SUBSTITUTE(SUBSTITUTE(TRIM(C857),".",""),"/",""),"-","")," ","")))&lt;14,RIGHT(REPT("0",14)&amp;UPPER(SUBSTITUTE(SUBSTITUTE(SUBSTITUTE(SUBSTITUTE(TRIM(C857),".",""),"/",""),"-","")," ","")),14),UPPER(SUBSTITUTE(SUBSTITUTE(SUBSTITUTE(SUBSTITUTE(TRIM(C857),".",""),"/",""),"-","")," ",""))))</f>
        <v/>
      </c>
      <c r="E857" s="25" t="str">
        <f aca="false">IF(D857="","",IFERROR(INDEX(Empresas!$C:$C,MATCH(D857,Empresas!$B:$B,0)),"cadastre o CNPJ em Empresas"))</f>
        <v/>
      </c>
      <c r="F857" s="11"/>
      <c r="G857" s="23"/>
      <c r="H857" s="22"/>
      <c r="I857" s="35"/>
      <c r="J857" s="35"/>
      <c r="K857" s="36" t="str">
        <f aca="false">IF(I857="","",I857+J857)</f>
        <v/>
      </c>
      <c r="L857" s="37" t="str">
        <f aca="false">IF(OR(I857="",I857=0,J857=""),"",J857/I857)</f>
        <v/>
      </c>
      <c r="M857" s="25" t="str">
        <f aca="false">IF(L857="","",IF(L857&gt;0.25,"ACRÉSCIMO ACIMA DE 25% — conferir",""))</f>
        <v/>
      </c>
      <c r="N857" s="29" t="str">
        <f aca="false">IF(D857="","",IF(COUNTIFS(Empresas!$B:$B,D857,Empresas!$E:$E,"&lt;&gt;")=0,"",INDEX(Empresas!$E:$E,MATCH(D857,Empresas!$B:$B,0))))</f>
        <v/>
      </c>
      <c r="O857" s="27" t="str">
        <f aca="false">IF(OR(N857="",H857=""),"",H857-N857)</f>
        <v/>
      </c>
      <c r="P857" s="25" t="str">
        <f aca="false">IF(O857="","",IF(O857&lt;0,"CONTRATO ANTERIOR À ABERTURA — conferir datas",IF(O857&lt;180,"EMPRESA ABERTA MENOS DE 6 MESES ANTES","")))</f>
        <v/>
      </c>
      <c r="Q857" s="31" t="str">
        <f aca="false">IF(D857="","",IFERROR(INDEX(Sancoes!$D:$D,MATCH(D857,Sancoes!$C:$C,0)),"não consta"))</f>
        <v/>
      </c>
      <c r="R857" s="25" t="str">
        <f aca="false">IF(OR(D857="",H857=""),"",IF(SUMPRODUCT((Sancoes!$C$5:$C$304=D857)*(Sancoes!$G$5:$G$304&lt;=H857)*(((Sancoes!$H$5:$H$304="")+(Sancoes!$H$5:$H$304&gt;=H857))&gt;0))&gt;0,"SANÇÃO VIGENTE NA DATA — ler tipo e abrangência",""))</f>
        <v/>
      </c>
      <c r="S857" s="24"/>
      <c r="T857" s="11"/>
    </row>
    <row r="858" customFormat="false" ht="15" hidden="false" customHeight="false" outlineLevel="0" collapsed="false">
      <c r="A858" s="11"/>
      <c r="B858" s="24"/>
      <c r="C858" s="24"/>
      <c r="D858" s="31" t="str">
        <f aca="false">IF(C858="","",IF(LEN(UPPER(SUBSTITUTE(SUBSTITUTE(SUBSTITUTE(SUBSTITUTE(TRIM(C858),".",""),"/",""),"-","")," ","")))&lt;14,RIGHT(REPT("0",14)&amp;UPPER(SUBSTITUTE(SUBSTITUTE(SUBSTITUTE(SUBSTITUTE(TRIM(C858),".",""),"/",""),"-","")," ","")),14),UPPER(SUBSTITUTE(SUBSTITUTE(SUBSTITUTE(SUBSTITUTE(TRIM(C858),".",""),"/",""),"-","")," ",""))))</f>
        <v/>
      </c>
      <c r="E858" s="25" t="str">
        <f aca="false">IF(D858="","",IFERROR(INDEX(Empresas!$C:$C,MATCH(D858,Empresas!$B:$B,0)),"cadastre o CNPJ em Empresas"))</f>
        <v/>
      </c>
      <c r="F858" s="11"/>
      <c r="G858" s="23"/>
      <c r="H858" s="22"/>
      <c r="I858" s="35"/>
      <c r="J858" s="35"/>
      <c r="K858" s="36" t="str">
        <f aca="false">IF(I858="","",I858+J858)</f>
        <v/>
      </c>
      <c r="L858" s="37" t="str">
        <f aca="false">IF(OR(I858="",I858=0,J858=""),"",J858/I858)</f>
        <v/>
      </c>
      <c r="M858" s="25" t="str">
        <f aca="false">IF(L858="","",IF(L858&gt;0.25,"ACRÉSCIMO ACIMA DE 25% — conferir",""))</f>
        <v/>
      </c>
      <c r="N858" s="29" t="str">
        <f aca="false">IF(D858="","",IF(COUNTIFS(Empresas!$B:$B,D858,Empresas!$E:$E,"&lt;&gt;")=0,"",INDEX(Empresas!$E:$E,MATCH(D858,Empresas!$B:$B,0))))</f>
        <v/>
      </c>
      <c r="O858" s="27" t="str">
        <f aca="false">IF(OR(N858="",H858=""),"",H858-N858)</f>
        <v/>
      </c>
      <c r="P858" s="25" t="str">
        <f aca="false">IF(O858="","",IF(O858&lt;0,"CONTRATO ANTERIOR À ABERTURA — conferir datas",IF(O858&lt;180,"EMPRESA ABERTA MENOS DE 6 MESES ANTES","")))</f>
        <v/>
      </c>
      <c r="Q858" s="31" t="str">
        <f aca="false">IF(D858="","",IFERROR(INDEX(Sancoes!$D:$D,MATCH(D858,Sancoes!$C:$C,0)),"não consta"))</f>
        <v/>
      </c>
      <c r="R858" s="25" t="str">
        <f aca="false">IF(OR(D858="",H858=""),"",IF(SUMPRODUCT((Sancoes!$C$5:$C$304=D858)*(Sancoes!$G$5:$G$304&lt;=H858)*(((Sancoes!$H$5:$H$304="")+(Sancoes!$H$5:$H$304&gt;=H858))&gt;0))&gt;0,"SANÇÃO VIGENTE NA DATA — ler tipo e abrangência",""))</f>
        <v/>
      </c>
      <c r="S858" s="24"/>
      <c r="T858" s="11"/>
    </row>
    <row r="859" customFormat="false" ht="15" hidden="false" customHeight="false" outlineLevel="0" collapsed="false">
      <c r="A859" s="11"/>
      <c r="B859" s="24"/>
      <c r="C859" s="24"/>
      <c r="D859" s="31" t="str">
        <f aca="false">IF(C859="","",IF(LEN(UPPER(SUBSTITUTE(SUBSTITUTE(SUBSTITUTE(SUBSTITUTE(TRIM(C859),".",""),"/",""),"-","")," ","")))&lt;14,RIGHT(REPT("0",14)&amp;UPPER(SUBSTITUTE(SUBSTITUTE(SUBSTITUTE(SUBSTITUTE(TRIM(C859),".",""),"/",""),"-","")," ","")),14),UPPER(SUBSTITUTE(SUBSTITUTE(SUBSTITUTE(SUBSTITUTE(TRIM(C859),".",""),"/",""),"-","")," ",""))))</f>
        <v/>
      </c>
      <c r="E859" s="25" t="str">
        <f aca="false">IF(D859="","",IFERROR(INDEX(Empresas!$C:$C,MATCH(D859,Empresas!$B:$B,0)),"cadastre o CNPJ em Empresas"))</f>
        <v/>
      </c>
      <c r="F859" s="11"/>
      <c r="G859" s="23"/>
      <c r="H859" s="22"/>
      <c r="I859" s="35"/>
      <c r="J859" s="35"/>
      <c r="K859" s="36" t="str">
        <f aca="false">IF(I859="","",I859+J859)</f>
        <v/>
      </c>
      <c r="L859" s="37" t="str">
        <f aca="false">IF(OR(I859="",I859=0,J859=""),"",J859/I859)</f>
        <v/>
      </c>
      <c r="M859" s="25" t="str">
        <f aca="false">IF(L859="","",IF(L859&gt;0.25,"ACRÉSCIMO ACIMA DE 25% — conferir",""))</f>
        <v/>
      </c>
      <c r="N859" s="29" t="str">
        <f aca="false">IF(D859="","",IF(COUNTIFS(Empresas!$B:$B,D859,Empresas!$E:$E,"&lt;&gt;")=0,"",INDEX(Empresas!$E:$E,MATCH(D859,Empresas!$B:$B,0))))</f>
        <v/>
      </c>
      <c r="O859" s="27" t="str">
        <f aca="false">IF(OR(N859="",H859=""),"",H859-N859)</f>
        <v/>
      </c>
      <c r="P859" s="25" t="str">
        <f aca="false">IF(O859="","",IF(O859&lt;0,"CONTRATO ANTERIOR À ABERTURA — conferir datas",IF(O859&lt;180,"EMPRESA ABERTA MENOS DE 6 MESES ANTES","")))</f>
        <v/>
      </c>
      <c r="Q859" s="31" t="str">
        <f aca="false">IF(D859="","",IFERROR(INDEX(Sancoes!$D:$D,MATCH(D859,Sancoes!$C:$C,0)),"não consta"))</f>
        <v/>
      </c>
      <c r="R859" s="25" t="str">
        <f aca="false">IF(OR(D859="",H859=""),"",IF(SUMPRODUCT((Sancoes!$C$5:$C$304=D859)*(Sancoes!$G$5:$G$304&lt;=H859)*(((Sancoes!$H$5:$H$304="")+(Sancoes!$H$5:$H$304&gt;=H859))&gt;0))&gt;0,"SANÇÃO VIGENTE NA DATA — ler tipo e abrangência",""))</f>
        <v/>
      </c>
      <c r="S859" s="24"/>
      <c r="T859" s="11"/>
    </row>
    <row r="860" customFormat="false" ht="15" hidden="false" customHeight="false" outlineLevel="0" collapsed="false">
      <c r="A860" s="11"/>
      <c r="B860" s="24"/>
      <c r="C860" s="24"/>
      <c r="D860" s="31" t="str">
        <f aca="false">IF(C860="","",IF(LEN(UPPER(SUBSTITUTE(SUBSTITUTE(SUBSTITUTE(SUBSTITUTE(TRIM(C860),".",""),"/",""),"-","")," ","")))&lt;14,RIGHT(REPT("0",14)&amp;UPPER(SUBSTITUTE(SUBSTITUTE(SUBSTITUTE(SUBSTITUTE(TRIM(C860),".",""),"/",""),"-","")," ","")),14),UPPER(SUBSTITUTE(SUBSTITUTE(SUBSTITUTE(SUBSTITUTE(TRIM(C860),".",""),"/",""),"-","")," ",""))))</f>
        <v/>
      </c>
      <c r="E860" s="25" t="str">
        <f aca="false">IF(D860="","",IFERROR(INDEX(Empresas!$C:$C,MATCH(D860,Empresas!$B:$B,0)),"cadastre o CNPJ em Empresas"))</f>
        <v/>
      </c>
      <c r="F860" s="11"/>
      <c r="G860" s="23"/>
      <c r="H860" s="22"/>
      <c r="I860" s="35"/>
      <c r="J860" s="35"/>
      <c r="K860" s="36" t="str">
        <f aca="false">IF(I860="","",I860+J860)</f>
        <v/>
      </c>
      <c r="L860" s="37" t="str">
        <f aca="false">IF(OR(I860="",I860=0,J860=""),"",J860/I860)</f>
        <v/>
      </c>
      <c r="M860" s="25" t="str">
        <f aca="false">IF(L860="","",IF(L860&gt;0.25,"ACRÉSCIMO ACIMA DE 25% — conferir",""))</f>
        <v/>
      </c>
      <c r="N860" s="29" t="str">
        <f aca="false">IF(D860="","",IF(COUNTIFS(Empresas!$B:$B,D860,Empresas!$E:$E,"&lt;&gt;")=0,"",INDEX(Empresas!$E:$E,MATCH(D860,Empresas!$B:$B,0))))</f>
        <v/>
      </c>
      <c r="O860" s="27" t="str">
        <f aca="false">IF(OR(N860="",H860=""),"",H860-N860)</f>
        <v/>
      </c>
      <c r="P860" s="25" t="str">
        <f aca="false">IF(O860="","",IF(O860&lt;0,"CONTRATO ANTERIOR À ABERTURA — conferir datas",IF(O860&lt;180,"EMPRESA ABERTA MENOS DE 6 MESES ANTES","")))</f>
        <v/>
      </c>
      <c r="Q860" s="31" t="str">
        <f aca="false">IF(D860="","",IFERROR(INDEX(Sancoes!$D:$D,MATCH(D860,Sancoes!$C:$C,0)),"não consta"))</f>
        <v/>
      </c>
      <c r="R860" s="25" t="str">
        <f aca="false">IF(OR(D860="",H860=""),"",IF(SUMPRODUCT((Sancoes!$C$5:$C$304=D860)*(Sancoes!$G$5:$G$304&lt;=H860)*(((Sancoes!$H$5:$H$304="")+(Sancoes!$H$5:$H$304&gt;=H860))&gt;0))&gt;0,"SANÇÃO VIGENTE NA DATA — ler tipo e abrangência",""))</f>
        <v/>
      </c>
      <c r="S860" s="24"/>
      <c r="T860" s="11"/>
    </row>
    <row r="861" customFormat="false" ht="15" hidden="false" customHeight="false" outlineLevel="0" collapsed="false">
      <c r="A861" s="11"/>
      <c r="B861" s="24"/>
      <c r="C861" s="24"/>
      <c r="D861" s="31" t="str">
        <f aca="false">IF(C861="","",IF(LEN(UPPER(SUBSTITUTE(SUBSTITUTE(SUBSTITUTE(SUBSTITUTE(TRIM(C861),".",""),"/",""),"-","")," ","")))&lt;14,RIGHT(REPT("0",14)&amp;UPPER(SUBSTITUTE(SUBSTITUTE(SUBSTITUTE(SUBSTITUTE(TRIM(C861),".",""),"/",""),"-","")," ","")),14),UPPER(SUBSTITUTE(SUBSTITUTE(SUBSTITUTE(SUBSTITUTE(TRIM(C861),".",""),"/",""),"-","")," ",""))))</f>
        <v/>
      </c>
      <c r="E861" s="25" t="str">
        <f aca="false">IF(D861="","",IFERROR(INDEX(Empresas!$C:$C,MATCH(D861,Empresas!$B:$B,0)),"cadastre o CNPJ em Empresas"))</f>
        <v/>
      </c>
      <c r="F861" s="11"/>
      <c r="G861" s="23"/>
      <c r="H861" s="22"/>
      <c r="I861" s="35"/>
      <c r="J861" s="35"/>
      <c r="K861" s="36" t="str">
        <f aca="false">IF(I861="","",I861+J861)</f>
        <v/>
      </c>
      <c r="L861" s="37" t="str">
        <f aca="false">IF(OR(I861="",I861=0,J861=""),"",J861/I861)</f>
        <v/>
      </c>
      <c r="M861" s="25" t="str">
        <f aca="false">IF(L861="","",IF(L861&gt;0.25,"ACRÉSCIMO ACIMA DE 25% — conferir",""))</f>
        <v/>
      </c>
      <c r="N861" s="29" t="str">
        <f aca="false">IF(D861="","",IF(COUNTIFS(Empresas!$B:$B,D861,Empresas!$E:$E,"&lt;&gt;")=0,"",INDEX(Empresas!$E:$E,MATCH(D861,Empresas!$B:$B,0))))</f>
        <v/>
      </c>
      <c r="O861" s="27" t="str">
        <f aca="false">IF(OR(N861="",H861=""),"",H861-N861)</f>
        <v/>
      </c>
      <c r="P861" s="25" t="str">
        <f aca="false">IF(O861="","",IF(O861&lt;0,"CONTRATO ANTERIOR À ABERTURA — conferir datas",IF(O861&lt;180,"EMPRESA ABERTA MENOS DE 6 MESES ANTES","")))</f>
        <v/>
      </c>
      <c r="Q861" s="31" t="str">
        <f aca="false">IF(D861="","",IFERROR(INDEX(Sancoes!$D:$D,MATCH(D861,Sancoes!$C:$C,0)),"não consta"))</f>
        <v/>
      </c>
      <c r="R861" s="25" t="str">
        <f aca="false">IF(OR(D861="",H861=""),"",IF(SUMPRODUCT((Sancoes!$C$5:$C$304=D861)*(Sancoes!$G$5:$G$304&lt;=H861)*(((Sancoes!$H$5:$H$304="")+(Sancoes!$H$5:$H$304&gt;=H861))&gt;0))&gt;0,"SANÇÃO VIGENTE NA DATA — ler tipo e abrangência",""))</f>
        <v/>
      </c>
      <c r="S861" s="24"/>
      <c r="T861" s="11"/>
    </row>
    <row r="862" customFormat="false" ht="15" hidden="false" customHeight="false" outlineLevel="0" collapsed="false">
      <c r="A862" s="11"/>
      <c r="B862" s="24"/>
      <c r="C862" s="24"/>
      <c r="D862" s="31" t="str">
        <f aca="false">IF(C862="","",IF(LEN(UPPER(SUBSTITUTE(SUBSTITUTE(SUBSTITUTE(SUBSTITUTE(TRIM(C862),".",""),"/",""),"-","")," ","")))&lt;14,RIGHT(REPT("0",14)&amp;UPPER(SUBSTITUTE(SUBSTITUTE(SUBSTITUTE(SUBSTITUTE(TRIM(C862),".",""),"/",""),"-","")," ","")),14),UPPER(SUBSTITUTE(SUBSTITUTE(SUBSTITUTE(SUBSTITUTE(TRIM(C862),".",""),"/",""),"-","")," ",""))))</f>
        <v/>
      </c>
      <c r="E862" s="25" t="str">
        <f aca="false">IF(D862="","",IFERROR(INDEX(Empresas!$C:$C,MATCH(D862,Empresas!$B:$B,0)),"cadastre o CNPJ em Empresas"))</f>
        <v/>
      </c>
      <c r="F862" s="11"/>
      <c r="G862" s="23"/>
      <c r="H862" s="22"/>
      <c r="I862" s="35"/>
      <c r="J862" s="35"/>
      <c r="K862" s="36" t="str">
        <f aca="false">IF(I862="","",I862+J862)</f>
        <v/>
      </c>
      <c r="L862" s="37" t="str">
        <f aca="false">IF(OR(I862="",I862=0,J862=""),"",J862/I862)</f>
        <v/>
      </c>
      <c r="M862" s="25" t="str">
        <f aca="false">IF(L862="","",IF(L862&gt;0.25,"ACRÉSCIMO ACIMA DE 25% — conferir",""))</f>
        <v/>
      </c>
      <c r="N862" s="29" t="str">
        <f aca="false">IF(D862="","",IF(COUNTIFS(Empresas!$B:$B,D862,Empresas!$E:$E,"&lt;&gt;")=0,"",INDEX(Empresas!$E:$E,MATCH(D862,Empresas!$B:$B,0))))</f>
        <v/>
      </c>
      <c r="O862" s="27" t="str">
        <f aca="false">IF(OR(N862="",H862=""),"",H862-N862)</f>
        <v/>
      </c>
      <c r="P862" s="25" t="str">
        <f aca="false">IF(O862="","",IF(O862&lt;0,"CONTRATO ANTERIOR À ABERTURA — conferir datas",IF(O862&lt;180,"EMPRESA ABERTA MENOS DE 6 MESES ANTES","")))</f>
        <v/>
      </c>
      <c r="Q862" s="31" t="str">
        <f aca="false">IF(D862="","",IFERROR(INDEX(Sancoes!$D:$D,MATCH(D862,Sancoes!$C:$C,0)),"não consta"))</f>
        <v/>
      </c>
      <c r="R862" s="25" t="str">
        <f aca="false">IF(OR(D862="",H862=""),"",IF(SUMPRODUCT((Sancoes!$C$5:$C$304=D862)*(Sancoes!$G$5:$G$304&lt;=H862)*(((Sancoes!$H$5:$H$304="")+(Sancoes!$H$5:$H$304&gt;=H862))&gt;0))&gt;0,"SANÇÃO VIGENTE NA DATA — ler tipo e abrangência",""))</f>
        <v/>
      </c>
      <c r="S862" s="24"/>
      <c r="T862" s="11"/>
    </row>
    <row r="863" customFormat="false" ht="15" hidden="false" customHeight="false" outlineLevel="0" collapsed="false">
      <c r="A863" s="11"/>
      <c r="B863" s="24"/>
      <c r="C863" s="24"/>
      <c r="D863" s="31" t="str">
        <f aca="false">IF(C863="","",IF(LEN(UPPER(SUBSTITUTE(SUBSTITUTE(SUBSTITUTE(SUBSTITUTE(TRIM(C863),".",""),"/",""),"-","")," ","")))&lt;14,RIGHT(REPT("0",14)&amp;UPPER(SUBSTITUTE(SUBSTITUTE(SUBSTITUTE(SUBSTITUTE(TRIM(C863),".",""),"/",""),"-","")," ","")),14),UPPER(SUBSTITUTE(SUBSTITUTE(SUBSTITUTE(SUBSTITUTE(TRIM(C863),".",""),"/",""),"-","")," ",""))))</f>
        <v/>
      </c>
      <c r="E863" s="25" t="str">
        <f aca="false">IF(D863="","",IFERROR(INDEX(Empresas!$C:$C,MATCH(D863,Empresas!$B:$B,0)),"cadastre o CNPJ em Empresas"))</f>
        <v/>
      </c>
      <c r="F863" s="11"/>
      <c r="G863" s="23"/>
      <c r="H863" s="22"/>
      <c r="I863" s="35"/>
      <c r="J863" s="35"/>
      <c r="K863" s="36" t="str">
        <f aca="false">IF(I863="","",I863+J863)</f>
        <v/>
      </c>
      <c r="L863" s="37" t="str">
        <f aca="false">IF(OR(I863="",I863=0,J863=""),"",J863/I863)</f>
        <v/>
      </c>
      <c r="M863" s="25" t="str">
        <f aca="false">IF(L863="","",IF(L863&gt;0.25,"ACRÉSCIMO ACIMA DE 25% — conferir",""))</f>
        <v/>
      </c>
      <c r="N863" s="29" t="str">
        <f aca="false">IF(D863="","",IF(COUNTIFS(Empresas!$B:$B,D863,Empresas!$E:$E,"&lt;&gt;")=0,"",INDEX(Empresas!$E:$E,MATCH(D863,Empresas!$B:$B,0))))</f>
        <v/>
      </c>
      <c r="O863" s="27" t="str">
        <f aca="false">IF(OR(N863="",H863=""),"",H863-N863)</f>
        <v/>
      </c>
      <c r="P863" s="25" t="str">
        <f aca="false">IF(O863="","",IF(O863&lt;0,"CONTRATO ANTERIOR À ABERTURA — conferir datas",IF(O863&lt;180,"EMPRESA ABERTA MENOS DE 6 MESES ANTES","")))</f>
        <v/>
      </c>
      <c r="Q863" s="31" t="str">
        <f aca="false">IF(D863="","",IFERROR(INDEX(Sancoes!$D:$D,MATCH(D863,Sancoes!$C:$C,0)),"não consta"))</f>
        <v/>
      </c>
      <c r="R863" s="25" t="str">
        <f aca="false">IF(OR(D863="",H863=""),"",IF(SUMPRODUCT((Sancoes!$C$5:$C$304=D863)*(Sancoes!$G$5:$G$304&lt;=H863)*(((Sancoes!$H$5:$H$304="")+(Sancoes!$H$5:$H$304&gt;=H863))&gt;0))&gt;0,"SANÇÃO VIGENTE NA DATA — ler tipo e abrangência",""))</f>
        <v/>
      </c>
      <c r="S863" s="24"/>
      <c r="T863" s="11"/>
    </row>
    <row r="864" customFormat="false" ht="15" hidden="false" customHeight="false" outlineLevel="0" collapsed="false">
      <c r="A864" s="11"/>
      <c r="B864" s="24"/>
      <c r="C864" s="24"/>
      <c r="D864" s="31" t="str">
        <f aca="false">IF(C864="","",IF(LEN(UPPER(SUBSTITUTE(SUBSTITUTE(SUBSTITUTE(SUBSTITUTE(TRIM(C864),".",""),"/",""),"-","")," ","")))&lt;14,RIGHT(REPT("0",14)&amp;UPPER(SUBSTITUTE(SUBSTITUTE(SUBSTITUTE(SUBSTITUTE(TRIM(C864),".",""),"/",""),"-","")," ","")),14),UPPER(SUBSTITUTE(SUBSTITUTE(SUBSTITUTE(SUBSTITUTE(TRIM(C864),".",""),"/",""),"-","")," ",""))))</f>
        <v/>
      </c>
      <c r="E864" s="25" t="str">
        <f aca="false">IF(D864="","",IFERROR(INDEX(Empresas!$C:$C,MATCH(D864,Empresas!$B:$B,0)),"cadastre o CNPJ em Empresas"))</f>
        <v/>
      </c>
      <c r="F864" s="11"/>
      <c r="G864" s="23"/>
      <c r="H864" s="22"/>
      <c r="I864" s="35"/>
      <c r="J864" s="35"/>
      <c r="K864" s="36" t="str">
        <f aca="false">IF(I864="","",I864+J864)</f>
        <v/>
      </c>
      <c r="L864" s="37" t="str">
        <f aca="false">IF(OR(I864="",I864=0,J864=""),"",J864/I864)</f>
        <v/>
      </c>
      <c r="M864" s="25" t="str">
        <f aca="false">IF(L864="","",IF(L864&gt;0.25,"ACRÉSCIMO ACIMA DE 25% — conferir",""))</f>
        <v/>
      </c>
      <c r="N864" s="29" t="str">
        <f aca="false">IF(D864="","",IF(COUNTIFS(Empresas!$B:$B,D864,Empresas!$E:$E,"&lt;&gt;")=0,"",INDEX(Empresas!$E:$E,MATCH(D864,Empresas!$B:$B,0))))</f>
        <v/>
      </c>
      <c r="O864" s="27" t="str">
        <f aca="false">IF(OR(N864="",H864=""),"",H864-N864)</f>
        <v/>
      </c>
      <c r="P864" s="25" t="str">
        <f aca="false">IF(O864="","",IF(O864&lt;0,"CONTRATO ANTERIOR À ABERTURA — conferir datas",IF(O864&lt;180,"EMPRESA ABERTA MENOS DE 6 MESES ANTES","")))</f>
        <v/>
      </c>
      <c r="Q864" s="31" t="str">
        <f aca="false">IF(D864="","",IFERROR(INDEX(Sancoes!$D:$D,MATCH(D864,Sancoes!$C:$C,0)),"não consta"))</f>
        <v/>
      </c>
      <c r="R864" s="25" t="str">
        <f aca="false">IF(OR(D864="",H864=""),"",IF(SUMPRODUCT((Sancoes!$C$5:$C$304=D864)*(Sancoes!$G$5:$G$304&lt;=H864)*(((Sancoes!$H$5:$H$304="")+(Sancoes!$H$5:$H$304&gt;=H864))&gt;0))&gt;0,"SANÇÃO VIGENTE NA DATA — ler tipo e abrangência",""))</f>
        <v/>
      </c>
      <c r="S864" s="24"/>
      <c r="T864" s="11"/>
    </row>
    <row r="865" customFormat="false" ht="15" hidden="false" customHeight="false" outlineLevel="0" collapsed="false">
      <c r="A865" s="11"/>
      <c r="B865" s="24"/>
      <c r="C865" s="24"/>
      <c r="D865" s="31" t="str">
        <f aca="false">IF(C865="","",IF(LEN(UPPER(SUBSTITUTE(SUBSTITUTE(SUBSTITUTE(SUBSTITUTE(TRIM(C865),".",""),"/",""),"-","")," ","")))&lt;14,RIGHT(REPT("0",14)&amp;UPPER(SUBSTITUTE(SUBSTITUTE(SUBSTITUTE(SUBSTITUTE(TRIM(C865),".",""),"/",""),"-","")," ","")),14),UPPER(SUBSTITUTE(SUBSTITUTE(SUBSTITUTE(SUBSTITUTE(TRIM(C865),".",""),"/",""),"-","")," ",""))))</f>
        <v/>
      </c>
      <c r="E865" s="25" t="str">
        <f aca="false">IF(D865="","",IFERROR(INDEX(Empresas!$C:$C,MATCH(D865,Empresas!$B:$B,0)),"cadastre o CNPJ em Empresas"))</f>
        <v/>
      </c>
      <c r="F865" s="11"/>
      <c r="G865" s="23"/>
      <c r="H865" s="22"/>
      <c r="I865" s="35"/>
      <c r="J865" s="35"/>
      <c r="K865" s="36" t="str">
        <f aca="false">IF(I865="","",I865+J865)</f>
        <v/>
      </c>
      <c r="L865" s="37" t="str">
        <f aca="false">IF(OR(I865="",I865=0,J865=""),"",J865/I865)</f>
        <v/>
      </c>
      <c r="M865" s="25" t="str">
        <f aca="false">IF(L865="","",IF(L865&gt;0.25,"ACRÉSCIMO ACIMA DE 25% — conferir",""))</f>
        <v/>
      </c>
      <c r="N865" s="29" t="str">
        <f aca="false">IF(D865="","",IF(COUNTIFS(Empresas!$B:$B,D865,Empresas!$E:$E,"&lt;&gt;")=0,"",INDEX(Empresas!$E:$E,MATCH(D865,Empresas!$B:$B,0))))</f>
        <v/>
      </c>
      <c r="O865" s="27" t="str">
        <f aca="false">IF(OR(N865="",H865=""),"",H865-N865)</f>
        <v/>
      </c>
      <c r="P865" s="25" t="str">
        <f aca="false">IF(O865="","",IF(O865&lt;0,"CONTRATO ANTERIOR À ABERTURA — conferir datas",IF(O865&lt;180,"EMPRESA ABERTA MENOS DE 6 MESES ANTES","")))</f>
        <v/>
      </c>
      <c r="Q865" s="31" t="str">
        <f aca="false">IF(D865="","",IFERROR(INDEX(Sancoes!$D:$D,MATCH(D865,Sancoes!$C:$C,0)),"não consta"))</f>
        <v/>
      </c>
      <c r="R865" s="25" t="str">
        <f aca="false">IF(OR(D865="",H865=""),"",IF(SUMPRODUCT((Sancoes!$C$5:$C$304=D865)*(Sancoes!$G$5:$G$304&lt;=H865)*(((Sancoes!$H$5:$H$304="")+(Sancoes!$H$5:$H$304&gt;=H865))&gt;0))&gt;0,"SANÇÃO VIGENTE NA DATA — ler tipo e abrangência",""))</f>
        <v/>
      </c>
      <c r="S865" s="24"/>
      <c r="T865" s="11"/>
    </row>
    <row r="866" customFormat="false" ht="15" hidden="false" customHeight="false" outlineLevel="0" collapsed="false">
      <c r="A866" s="11"/>
      <c r="B866" s="24"/>
      <c r="C866" s="24"/>
      <c r="D866" s="31" t="str">
        <f aca="false">IF(C866="","",IF(LEN(UPPER(SUBSTITUTE(SUBSTITUTE(SUBSTITUTE(SUBSTITUTE(TRIM(C866),".",""),"/",""),"-","")," ","")))&lt;14,RIGHT(REPT("0",14)&amp;UPPER(SUBSTITUTE(SUBSTITUTE(SUBSTITUTE(SUBSTITUTE(TRIM(C866),".",""),"/",""),"-","")," ","")),14),UPPER(SUBSTITUTE(SUBSTITUTE(SUBSTITUTE(SUBSTITUTE(TRIM(C866),".",""),"/",""),"-","")," ",""))))</f>
        <v/>
      </c>
      <c r="E866" s="25" t="str">
        <f aca="false">IF(D866="","",IFERROR(INDEX(Empresas!$C:$C,MATCH(D866,Empresas!$B:$B,0)),"cadastre o CNPJ em Empresas"))</f>
        <v/>
      </c>
      <c r="F866" s="11"/>
      <c r="G866" s="23"/>
      <c r="H866" s="22"/>
      <c r="I866" s="35"/>
      <c r="J866" s="35"/>
      <c r="K866" s="36" t="str">
        <f aca="false">IF(I866="","",I866+J866)</f>
        <v/>
      </c>
      <c r="L866" s="37" t="str">
        <f aca="false">IF(OR(I866="",I866=0,J866=""),"",J866/I866)</f>
        <v/>
      </c>
      <c r="M866" s="25" t="str">
        <f aca="false">IF(L866="","",IF(L866&gt;0.25,"ACRÉSCIMO ACIMA DE 25% — conferir",""))</f>
        <v/>
      </c>
      <c r="N866" s="29" t="str">
        <f aca="false">IF(D866="","",IF(COUNTIFS(Empresas!$B:$B,D866,Empresas!$E:$E,"&lt;&gt;")=0,"",INDEX(Empresas!$E:$E,MATCH(D866,Empresas!$B:$B,0))))</f>
        <v/>
      </c>
      <c r="O866" s="27" t="str">
        <f aca="false">IF(OR(N866="",H866=""),"",H866-N866)</f>
        <v/>
      </c>
      <c r="P866" s="25" t="str">
        <f aca="false">IF(O866="","",IF(O866&lt;0,"CONTRATO ANTERIOR À ABERTURA — conferir datas",IF(O866&lt;180,"EMPRESA ABERTA MENOS DE 6 MESES ANTES","")))</f>
        <v/>
      </c>
      <c r="Q866" s="31" t="str">
        <f aca="false">IF(D866="","",IFERROR(INDEX(Sancoes!$D:$D,MATCH(D866,Sancoes!$C:$C,0)),"não consta"))</f>
        <v/>
      </c>
      <c r="R866" s="25" t="str">
        <f aca="false">IF(OR(D866="",H866=""),"",IF(SUMPRODUCT((Sancoes!$C$5:$C$304=D866)*(Sancoes!$G$5:$G$304&lt;=H866)*(((Sancoes!$H$5:$H$304="")+(Sancoes!$H$5:$H$304&gt;=H866))&gt;0))&gt;0,"SANÇÃO VIGENTE NA DATA — ler tipo e abrangência",""))</f>
        <v/>
      </c>
      <c r="S866" s="24"/>
      <c r="T866" s="11"/>
    </row>
    <row r="867" customFormat="false" ht="15" hidden="false" customHeight="false" outlineLevel="0" collapsed="false">
      <c r="A867" s="11"/>
      <c r="B867" s="24"/>
      <c r="C867" s="24"/>
      <c r="D867" s="31" t="str">
        <f aca="false">IF(C867="","",IF(LEN(UPPER(SUBSTITUTE(SUBSTITUTE(SUBSTITUTE(SUBSTITUTE(TRIM(C867),".",""),"/",""),"-","")," ","")))&lt;14,RIGHT(REPT("0",14)&amp;UPPER(SUBSTITUTE(SUBSTITUTE(SUBSTITUTE(SUBSTITUTE(TRIM(C867),".",""),"/",""),"-","")," ","")),14),UPPER(SUBSTITUTE(SUBSTITUTE(SUBSTITUTE(SUBSTITUTE(TRIM(C867),".",""),"/",""),"-","")," ",""))))</f>
        <v/>
      </c>
      <c r="E867" s="25" t="str">
        <f aca="false">IF(D867="","",IFERROR(INDEX(Empresas!$C:$C,MATCH(D867,Empresas!$B:$B,0)),"cadastre o CNPJ em Empresas"))</f>
        <v/>
      </c>
      <c r="F867" s="11"/>
      <c r="G867" s="23"/>
      <c r="H867" s="22"/>
      <c r="I867" s="35"/>
      <c r="J867" s="35"/>
      <c r="K867" s="36" t="str">
        <f aca="false">IF(I867="","",I867+J867)</f>
        <v/>
      </c>
      <c r="L867" s="37" t="str">
        <f aca="false">IF(OR(I867="",I867=0,J867=""),"",J867/I867)</f>
        <v/>
      </c>
      <c r="M867" s="25" t="str">
        <f aca="false">IF(L867="","",IF(L867&gt;0.25,"ACRÉSCIMO ACIMA DE 25% — conferir",""))</f>
        <v/>
      </c>
      <c r="N867" s="29" t="str">
        <f aca="false">IF(D867="","",IF(COUNTIFS(Empresas!$B:$B,D867,Empresas!$E:$E,"&lt;&gt;")=0,"",INDEX(Empresas!$E:$E,MATCH(D867,Empresas!$B:$B,0))))</f>
        <v/>
      </c>
      <c r="O867" s="27" t="str">
        <f aca="false">IF(OR(N867="",H867=""),"",H867-N867)</f>
        <v/>
      </c>
      <c r="P867" s="25" t="str">
        <f aca="false">IF(O867="","",IF(O867&lt;0,"CONTRATO ANTERIOR À ABERTURA — conferir datas",IF(O867&lt;180,"EMPRESA ABERTA MENOS DE 6 MESES ANTES","")))</f>
        <v/>
      </c>
      <c r="Q867" s="31" t="str">
        <f aca="false">IF(D867="","",IFERROR(INDEX(Sancoes!$D:$D,MATCH(D867,Sancoes!$C:$C,0)),"não consta"))</f>
        <v/>
      </c>
      <c r="R867" s="25" t="str">
        <f aca="false">IF(OR(D867="",H867=""),"",IF(SUMPRODUCT((Sancoes!$C$5:$C$304=D867)*(Sancoes!$G$5:$G$304&lt;=H867)*(((Sancoes!$H$5:$H$304="")+(Sancoes!$H$5:$H$304&gt;=H867))&gt;0))&gt;0,"SANÇÃO VIGENTE NA DATA — ler tipo e abrangência",""))</f>
        <v/>
      </c>
      <c r="S867" s="24"/>
      <c r="T867" s="11"/>
    </row>
    <row r="868" customFormat="false" ht="15" hidden="false" customHeight="false" outlineLevel="0" collapsed="false">
      <c r="A868" s="11"/>
      <c r="B868" s="24"/>
      <c r="C868" s="24"/>
      <c r="D868" s="31" t="str">
        <f aca="false">IF(C868="","",IF(LEN(UPPER(SUBSTITUTE(SUBSTITUTE(SUBSTITUTE(SUBSTITUTE(TRIM(C868),".",""),"/",""),"-","")," ","")))&lt;14,RIGHT(REPT("0",14)&amp;UPPER(SUBSTITUTE(SUBSTITUTE(SUBSTITUTE(SUBSTITUTE(TRIM(C868),".",""),"/",""),"-","")," ","")),14),UPPER(SUBSTITUTE(SUBSTITUTE(SUBSTITUTE(SUBSTITUTE(TRIM(C868),".",""),"/",""),"-","")," ",""))))</f>
        <v/>
      </c>
      <c r="E868" s="25" t="str">
        <f aca="false">IF(D868="","",IFERROR(INDEX(Empresas!$C:$C,MATCH(D868,Empresas!$B:$B,0)),"cadastre o CNPJ em Empresas"))</f>
        <v/>
      </c>
      <c r="F868" s="11"/>
      <c r="G868" s="23"/>
      <c r="H868" s="22"/>
      <c r="I868" s="35"/>
      <c r="J868" s="35"/>
      <c r="K868" s="36" t="str">
        <f aca="false">IF(I868="","",I868+J868)</f>
        <v/>
      </c>
      <c r="L868" s="37" t="str">
        <f aca="false">IF(OR(I868="",I868=0,J868=""),"",J868/I868)</f>
        <v/>
      </c>
      <c r="M868" s="25" t="str">
        <f aca="false">IF(L868="","",IF(L868&gt;0.25,"ACRÉSCIMO ACIMA DE 25% — conferir",""))</f>
        <v/>
      </c>
      <c r="N868" s="29" t="str">
        <f aca="false">IF(D868="","",IF(COUNTIFS(Empresas!$B:$B,D868,Empresas!$E:$E,"&lt;&gt;")=0,"",INDEX(Empresas!$E:$E,MATCH(D868,Empresas!$B:$B,0))))</f>
        <v/>
      </c>
      <c r="O868" s="27" t="str">
        <f aca="false">IF(OR(N868="",H868=""),"",H868-N868)</f>
        <v/>
      </c>
      <c r="P868" s="25" t="str">
        <f aca="false">IF(O868="","",IF(O868&lt;0,"CONTRATO ANTERIOR À ABERTURA — conferir datas",IF(O868&lt;180,"EMPRESA ABERTA MENOS DE 6 MESES ANTES","")))</f>
        <v/>
      </c>
      <c r="Q868" s="31" t="str">
        <f aca="false">IF(D868="","",IFERROR(INDEX(Sancoes!$D:$D,MATCH(D868,Sancoes!$C:$C,0)),"não consta"))</f>
        <v/>
      </c>
      <c r="R868" s="25" t="str">
        <f aca="false">IF(OR(D868="",H868=""),"",IF(SUMPRODUCT((Sancoes!$C$5:$C$304=D868)*(Sancoes!$G$5:$G$304&lt;=H868)*(((Sancoes!$H$5:$H$304="")+(Sancoes!$H$5:$H$304&gt;=H868))&gt;0))&gt;0,"SANÇÃO VIGENTE NA DATA — ler tipo e abrangência",""))</f>
        <v/>
      </c>
      <c r="S868" s="24"/>
      <c r="T868" s="11"/>
    </row>
    <row r="869" customFormat="false" ht="15" hidden="false" customHeight="false" outlineLevel="0" collapsed="false">
      <c r="A869" s="11"/>
      <c r="B869" s="24"/>
      <c r="C869" s="24"/>
      <c r="D869" s="31" t="str">
        <f aca="false">IF(C869="","",IF(LEN(UPPER(SUBSTITUTE(SUBSTITUTE(SUBSTITUTE(SUBSTITUTE(TRIM(C869),".",""),"/",""),"-","")," ","")))&lt;14,RIGHT(REPT("0",14)&amp;UPPER(SUBSTITUTE(SUBSTITUTE(SUBSTITUTE(SUBSTITUTE(TRIM(C869),".",""),"/",""),"-","")," ","")),14),UPPER(SUBSTITUTE(SUBSTITUTE(SUBSTITUTE(SUBSTITUTE(TRIM(C869),".",""),"/",""),"-","")," ",""))))</f>
        <v/>
      </c>
      <c r="E869" s="25" t="str">
        <f aca="false">IF(D869="","",IFERROR(INDEX(Empresas!$C:$C,MATCH(D869,Empresas!$B:$B,0)),"cadastre o CNPJ em Empresas"))</f>
        <v/>
      </c>
      <c r="F869" s="11"/>
      <c r="G869" s="23"/>
      <c r="H869" s="22"/>
      <c r="I869" s="35"/>
      <c r="J869" s="35"/>
      <c r="K869" s="36" t="str">
        <f aca="false">IF(I869="","",I869+J869)</f>
        <v/>
      </c>
      <c r="L869" s="37" t="str">
        <f aca="false">IF(OR(I869="",I869=0,J869=""),"",J869/I869)</f>
        <v/>
      </c>
      <c r="M869" s="25" t="str">
        <f aca="false">IF(L869="","",IF(L869&gt;0.25,"ACRÉSCIMO ACIMA DE 25% — conferir",""))</f>
        <v/>
      </c>
      <c r="N869" s="29" t="str">
        <f aca="false">IF(D869="","",IF(COUNTIFS(Empresas!$B:$B,D869,Empresas!$E:$E,"&lt;&gt;")=0,"",INDEX(Empresas!$E:$E,MATCH(D869,Empresas!$B:$B,0))))</f>
        <v/>
      </c>
      <c r="O869" s="27" t="str">
        <f aca="false">IF(OR(N869="",H869=""),"",H869-N869)</f>
        <v/>
      </c>
      <c r="P869" s="25" t="str">
        <f aca="false">IF(O869="","",IF(O869&lt;0,"CONTRATO ANTERIOR À ABERTURA — conferir datas",IF(O869&lt;180,"EMPRESA ABERTA MENOS DE 6 MESES ANTES","")))</f>
        <v/>
      </c>
      <c r="Q869" s="31" t="str">
        <f aca="false">IF(D869="","",IFERROR(INDEX(Sancoes!$D:$D,MATCH(D869,Sancoes!$C:$C,0)),"não consta"))</f>
        <v/>
      </c>
      <c r="R869" s="25" t="str">
        <f aca="false">IF(OR(D869="",H869=""),"",IF(SUMPRODUCT((Sancoes!$C$5:$C$304=D869)*(Sancoes!$G$5:$G$304&lt;=H869)*(((Sancoes!$H$5:$H$304="")+(Sancoes!$H$5:$H$304&gt;=H869))&gt;0))&gt;0,"SANÇÃO VIGENTE NA DATA — ler tipo e abrangência",""))</f>
        <v/>
      </c>
      <c r="S869" s="24"/>
      <c r="T869" s="11"/>
    </row>
    <row r="870" customFormat="false" ht="15" hidden="false" customHeight="false" outlineLevel="0" collapsed="false">
      <c r="A870" s="11"/>
      <c r="B870" s="24"/>
      <c r="C870" s="24"/>
      <c r="D870" s="31" t="str">
        <f aca="false">IF(C870="","",IF(LEN(UPPER(SUBSTITUTE(SUBSTITUTE(SUBSTITUTE(SUBSTITUTE(TRIM(C870),".",""),"/",""),"-","")," ","")))&lt;14,RIGHT(REPT("0",14)&amp;UPPER(SUBSTITUTE(SUBSTITUTE(SUBSTITUTE(SUBSTITUTE(TRIM(C870),".",""),"/",""),"-","")," ","")),14),UPPER(SUBSTITUTE(SUBSTITUTE(SUBSTITUTE(SUBSTITUTE(TRIM(C870),".",""),"/",""),"-","")," ",""))))</f>
        <v/>
      </c>
      <c r="E870" s="25" t="str">
        <f aca="false">IF(D870="","",IFERROR(INDEX(Empresas!$C:$C,MATCH(D870,Empresas!$B:$B,0)),"cadastre o CNPJ em Empresas"))</f>
        <v/>
      </c>
      <c r="F870" s="11"/>
      <c r="G870" s="23"/>
      <c r="H870" s="22"/>
      <c r="I870" s="35"/>
      <c r="J870" s="35"/>
      <c r="K870" s="36" t="str">
        <f aca="false">IF(I870="","",I870+J870)</f>
        <v/>
      </c>
      <c r="L870" s="37" t="str">
        <f aca="false">IF(OR(I870="",I870=0,J870=""),"",J870/I870)</f>
        <v/>
      </c>
      <c r="M870" s="25" t="str">
        <f aca="false">IF(L870="","",IF(L870&gt;0.25,"ACRÉSCIMO ACIMA DE 25% — conferir",""))</f>
        <v/>
      </c>
      <c r="N870" s="29" t="str">
        <f aca="false">IF(D870="","",IF(COUNTIFS(Empresas!$B:$B,D870,Empresas!$E:$E,"&lt;&gt;")=0,"",INDEX(Empresas!$E:$E,MATCH(D870,Empresas!$B:$B,0))))</f>
        <v/>
      </c>
      <c r="O870" s="27" t="str">
        <f aca="false">IF(OR(N870="",H870=""),"",H870-N870)</f>
        <v/>
      </c>
      <c r="P870" s="25" t="str">
        <f aca="false">IF(O870="","",IF(O870&lt;0,"CONTRATO ANTERIOR À ABERTURA — conferir datas",IF(O870&lt;180,"EMPRESA ABERTA MENOS DE 6 MESES ANTES","")))</f>
        <v/>
      </c>
      <c r="Q870" s="31" t="str">
        <f aca="false">IF(D870="","",IFERROR(INDEX(Sancoes!$D:$D,MATCH(D870,Sancoes!$C:$C,0)),"não consta"))</f>
        <v/>
      </c>
      <c r="R870" s="25" t="str">
        <f aca="false">IF(OR(D870="",H870=""),"",IF(SUMPRODUCT((Sancoes!$C$5:$C$304=D870)*(Sancoes!$G$5:$G$304&lt;=H870)*(((Sancoes!$H$5:$H$304="")+(Sancoes!$H$5:$H$304&gt;=H870))&gt;0))&gt;0,"SANÇÃO VIGENTE NA DATA — ler tipo e abrangência",""))</f>
        <v/>
      </c>
      <c r="S870" s="24"/>
      <c r="T870" s="11"/>
    </row>
    <row r="871" customFormat="false" ht="15" hidden="false" customHeight="false" outlineLevel="0" collapsed="false">
      <c r="A871" s="11"/>
      <c r="B871" s="24"/>
      <c r="C871" s="24"/>
      <c r="D871" s="31" t="str">
        <f aca="false">IF(C871="","",IF(LEN(UPPER(SUBSTITUTE(SUBSTITUTE(SUBSTITUTE(SUBSTITUTE(TRIM(C871),".",""),"/",""),"-","")," ","")))&lt;14,RIGHT(REPT("0",14)&amp;UPPER(SUBSTITUTE(SUBSTITUTE(SUBSTITUTE(SUBSTITUTE(TRIM(C871),".",""),"/",""),"-","")," ","")),14),UPPER(SUBSTITUTE(SUBSTITUTE(SUBSTITUTE(SUBSTITUTE(TRIM(C871),".",""),"/",""),"-","")," ",""))))</f>
        <v/>
      </c>
      <c r="E871" s="25" t="str">
        <f aca="false">IF(D871="","",IFERROR(INDEX(Empresas!$C:$C,MATCH(D871,Empresas!$B:$B,0)),"cadastre o CNPJ em Empresas"))</f>
        <v/>
      </c>
      <c r="F871" s="11"/>
      <c r="G871" s="23"/>
      <c r="H871" s="22"/>
      <c r="I871" s="35"/>
      <c r="J871" s="35"/>
      <c r="K871" s="36" t="str">
        <f aca="false">IF(I871="","",I871+J871)</f>
        <v/>
      </c>
      <c r="L871" s="37" t="str">
        <f aca="false">IF(OR(I871="",I871=0,J871=""),"",J871/I871)</f>
        <v/>
      </c>
      <c r="M871" s="25" t="str">
        <f aca="false">IF(L871="","",IF(L871&gt;0.25,"ACRÉSCIMO ACIMA DE 25% — conferir",""))</f>
        <v/>
      </c>
      <c r="N871" s="29" t="str">
        <f aca="false">IF(D871="","",IF(COUNTIFS(Empresas!$B:$B,D871,Empresas!$E:$E,"&lt;&gt;")=0,"",INDEX(Empresas!$E:$E,MATCH(D871,Empresas!$B:$B,0))))</f>
        <v/>
      </c>
      <c r="O871" s="27" t="str">
        <f aca="false">IF(OR(N871="",H871=""),"",H871-N871)</f>
        <v/>
      </c>
      <c r="P871" s="25" t="str">
        <f aca="false">IF(O871="","",IF(O871&lt;0,"CONTRATO ANTERIOR À ABERTURA — conferir datas",IF(O871&lt;180,"EMPRESA ABERTA MENOS DE 6 MESES ANTES","")))</f>
        <v/>
      </c>
      <c r="Q871" s="31" t="str">
        <f aca="false">IF(D871="","",IFERROR(INDEX(Sancoes!$D:$D,MATCH(D871,Sancoes!$C:$C,0)),"não consta"))</f>
        <v/>
      </c>
      <c r="R871" s="25" t="str">
        <f aca="false">IF(OR(D871="",H871=""),"",IF(SUMPRODUCT((Sancoes!$C$5:$C$304=D871)*(Sancoes!$G$5:$G$304&lt;=H871)*(((Sancoes!$H$5:$H$304="")+(Sancoes!$H$5:$H$304&gt;=H871))&gt;0))&gt;0,"SANÇÃO VIGENTE NA DATA — ler tipo e abrangência",""))</f>
        <v/>
      </c>
      <c r="S871" s="24"/>
      <c r="T871" s="11"/>
    </row>
    <row r="872" customFormat="false" ht="15" hidden="false" customHeight="false" outlineLevel="0" collapsed="false">
      <c r="A872" s="11"/>
      <c r="B872" s="24"/>
      <c r="C872" s="24"/>
      <c r="D872" s="31" t="str">
        <f aca="false">IF(C872="","",IF(LEN(UPPER(SUBSTITUTE(SUBSTITUTE(SUBSTITUTE(SUBSTITUTE(TRIM(C872),".",""),"/",""),"-","")," ","")))&lt;14,RIGHT(REPT("0",14)&amp;UPPER(SUBSTITUTE(SUBSTITUTE(SUBSTITUTE(SUBSTITUTE(TRIM(C872),".",""),"/",""),"-","")," ","")),14),UPPER(SUBSTITUTE(SUBSTITUTE(SUBSTITUTE(SUBSTITUTE(TRIM(C872),".",""),"/",""),"-","")," ",""))))</f>
        <v/>
      </c>
      <c r="E872" s="25" t="str">
        <f aca="false">IF(D872="","",IFERROR(INDEX(Empresas!$C:$C,MATCH(D872,Empresas!$B:$B,0)),"cadastre o CNPJ em Empresas"))</f>
        <v/>
      </c>
      <c r="F872" s="11"/>
      <c r="G872" s="23"/>
      <c r="H872" s="22"/>
      <c r="I872" s="35"/>
      <c r="J872" s="35"/>
      <c r="K872" s="36" t="str">
        <f aca="false">IF(I872="","",I872+J872)</f>
        <v/>
      </c>
      <c r="L872" s="37" t="str">
        <f aca="false">IF(OR(I872="",I872=0,J872=""),"",J872/I872)</f>
        <v/>
      </c>
      <c r="M872" s="25" t="str">
        <f aca="false">IF(L872="","",IF(L872&gt;0.25,"ACRÉSCIMO ACIMA DE 25% — conferir",""))</f>
        <v/>
      </c>
      <c r="N872" s="29" t="str">
        <f aca="false">IF(D872="","",IF(COUNTIFS(Empresas!$B:$B,D872,Empresas!$E:$E,"&lt;&gt;")=0,"",INDEX(Empresas!$E:$E,MATCH(D872,Empresas!$B:$B,0))))</f>
        <v/>
      </c>
      <c r="O872" s="27" t="str">
        <f aca="false">IF(OR(N872="",H872=""),"",H872-N872)</f>
        <v/>
      </c>
      <c r="P872" s="25" t="str">
        <f aca="false">IF(O872="","",IF(O872&lt;0,"CONTRATO ANTERIOR À ABERTURA — conferir datas",IF(O872&lt;180,"EMPRESA ABERTA MENOS DE 6 MESES ANTES","")))</f>
        <v/>
      </c>
      <c r="Q872" s="31" t="str">
        <f aca="false">IF(D872="","",IFERROR(INDEX(Sancoes!$D:$D,MATCH(D872,Sancoes!$C:$C,0)),"não consta"))</f>
        <v/>
      </c>
      <c r="R872" s="25" t="str">
        <f aca="false">IF(OR(D872="",H872=""),"",IF(SUMPRODUCT((Sancoes!$C$5:$C$304=D872)*(Sancoes!$G$5:$G$304&lt;=H872)*(((Sancoes!$H$5:$H$304="")+(Sancoes!$H$5:$H$304&gt;=H872))&gt;0))&gt;0,"SANÇÃO VIGENTE NA DATA — ler tipo e abrangência",""))</f>
        <v/>
      </c>
      <c r="S872" s="24"/>
      <c r="T872" s="11"/>
    </row>
    <row r="873" customFormat="false" ht="15" hidden="false" customHeight="false" outlineLevel="0" collapsed="false">
      <c r="A873" s="11"/>
      <c r="B873" s="24"/>
      <c r="C873" s="24"/>
      <c r="D873" s="31" t="str">
        <f aca="false">IF(C873="","",IF(LEN(UPPER(SUBSTITUTE(SUBSTITUTE(SUBSTITUTE(SUBSTITUTE(TRIM(C873),".",""),"/",""),"-","")," ","")))&lt;14,RIGHT(REPT("0",14)&amp;UPPER(SUBSTITUTE(SUBSTITUTE(SUBSTITUTE(SUBSTITUTE(TRIM(C873),".",""),"/",""),"-","")," ","")),14),UPPER(SUBSTITUTE(SUBSTITUTE(SUBSTITUTE(SUBSTITUTE(TRIM(C873),".",""),"/",""),"-","")," ",""))))</f>
        <v/>
      </c>
      <c r="E873" s="25" t="str">
        <f aca="false">IF(D873="","",IFERROR(INDEX(Empresas!$C:$C,MATCH(D873,Empresas!$B:$B,0)),"cadastre o CNPJ em Empresas"))</f>
        <v/>
      </c>
      <c r="F873" s="11"/>
      <c r="G873" s="23"/>
      <c r="H873" s="22"/>
      <c r="I873" s="35"/>
      <c r="J873" s="35"/>
      <c r="K873" s="36" t="str">
        <f aca="false">IF(I873="","",I873+J873)</f>
        <v/>
      </c>
      <c r="L873" s="37" t="str">
        <f aca="false">IF(OR(I873="",I873=0,J873=""),"",J873/I873)</f>
        <v/>
      </c>
      <c r="M873" s="25" t="str">
        <f aca="false">IF(L873="","",IF(L873&gt;0.25,"ACRÉSCIMO ACIMA DE 25% — conferir",""))</f>
        <v/>
      </c>
      <c r="N873" s="29" t="str">
        <f aca="false">IF(D873="","",IF(COUNTIFS(Empresas!$B:$B,D873,Empresas!$E:$E,"&lt;&gt;")=0,"",INDEX(Empresas!$E:$E,MATCH(D873,Empresas!$B:$B,0))))</f>
        <v/>
      </c>
      <c r="O873" s="27" t="str">
        <f aca="false">IF(OR(N873="",H873=""),"",H873-N873)</f>
        <v/>
      </c>
      <c r="P873" s="25" t="str">
        <f aca="false">IF(O873="","",IF(O873&lt;0,"CONTRATO ANTERIOR À ABERTURA — conferir datas",IF(O873&lt;180,"EMPRESA ABERTA MENOS DE 6 MESES ANTES","")))</f>
        <v/>
      </c>
      <c r="Q873" s="31" t="str">
        <f aca="false">IF(D873="","",IFERROR(INDEX(Sancoes!$D:$D,MATCH(D873,Sancoes!$C:$C,0)),"não consta"))</f>
        <v/>
      </c>
      <c r="R873" s="25" t="str">
        <f aca="false">IF(OR(D873="",H873=""),"",IF(SUMPRODUCT((Sancoes!$C$5:$C$304=D873)*(Sancoes!$G$5:$G$304&lt;=H873)*(((Sancoes!$H$5:$H$304="")+(Sancoes!$H$5:$H$304&gt;=H873))&gt;0))&gt;0,"SANÇÃO VIGENTE NA DATA — ler tipo e abrangência",""))</f>
        <v/>
      </c>
      <c r="S873" s="24"/>
      <c r="T873" s="11"/>
    </row>
    <row r="874" customFormat="false" ht="15" hidden="false" customHeight="false" outlineLevel="0" collapsed="false">
      <c r="A874" s="11"/>
      <c r="B874" s="24"/>
      <c r="C874" s="24"/>
      <c r="D874" s="31" t="str">
        <f aca="false">IF(C874="","",IF(LEN(UPPER(SUBSTITUTE(SUBSTITUTE(SUBSTITUTE(SUBSTITUTE(TRIM(C874),".",""),"/",""),"-","")," ","")))&lt;14,RIGHT(REPT("0",14)&amp;UPPER(SUBSTITUTE(SUBSTITUTE(SUBSTITUTE(SUBSTITUTE(TRIM(C874),".",""),"/",""),"-","")," ","")),14),UPPER(SUBSTITUTE(SUBSTITUTE(SUBSTITUTE(SUBSTITUTE(TRIM(C874),".",""),"/",""),"-","")," ",""))))</f>
        <v/>
      </c>
      <c r="E874" s="25" t="str">
        <f aca="false">IF(D874="","",IFERROR(INDEX(Empresas!$C:$C,MATCH(D874,Empresas!$B:$B,0)),"cadastre o CNPJ em Empresas"))</f>
        <v/>
      </c>
      <c r="F874" s="11"/>
      <c r="G874" s="23"/>
      <c r="H874" s="22"/>
      <c r="I874" s="35"/>
      <c r="J874" s="35"/>
      <c r="K874" s="36" t="str">
        <f aca="false">IF(I874="","",I874+J874)</f>
        <v/>
      </c>
      <c r="L874" s="37" t="str">
        <f aca="false">IF(OR(I874="",I874=0,J874=""),"",J874/I874)</f>
        <v/>
      </c>
      <c r="M874" s="25" t="str">
        <f aca="false">IF(L874="","",IF(L874&gt;0.25,"ACRÉSCIMO ACIMA DE 25% — conferir",""))</f>
        <v/>
      </c>
      <c r="N874" s="29" t="str">
        <f aca="false">IF(D874="","",IF(COUNTIFS(Empresas!$B:$B,D874,Empresas!$E:$E,"&lt;&gt;")=0,"",INDEX(Empresas!$E:$E,MATCH(D874,Empresas!$B:$B,0))))</f>
        <v/>
      </c>
      <c r="O874" s="27" t="str">
        <f aca="false">IF(OR(N874="",H874=""),"",H874-N874)</f>
        <v/>
      </c>
      <c r="P874" s="25" t="str">
        <f aca="false">IF(O874="","",IF(O874&lt;0,"CONTRATO ANTERIOR À ABERTURA — conferir datas",IF(O874&lt;180,"EMPRESA ABERTA MENOS DE 6 MESES ANTES","")))</f>
        <v/>
      </c>
      <c r="Q874" s="31" t="str">
        <f aca="false">IF(D874="","",IFERROR(INDEX(Sancoes!$D:$D,MATCH(D874,Sancoes!$C:$C,0)),"não consta"))</f>
        <v/>
      </c>
      <c r="R874" s="25" t="str">
        <f aca="false">IF(OR(D874="",H874=""),"",IF(SUMPRODUCT((Sancoes!$C$5:$C$304=D874)*(Sancoes!$G$5:$G$304&lt;=H874)*(((Sancoes!$H$5:$H$304="")+(Sancoes!$H$5:$H$304&gt;=H874))&gt;0))&gt;0,"SANÇÃO VIGENTE NA DATA — ler tipo e abrangência",""))</f>
        <v/>
      </c>
      <c r="S874" s="24"/>
      <c r="T874" s="11"/>
    </row>
    <row r="875" customFormat="false" ht="15" hidden="false" customHeight="false" outlineLevel="0" collapsed="false">
      <c r="A875" s="11"/>
      <c r="B875" s="24"/>
      <c r="C875" s="24"/>
      <c r="D875" s="31" t="str">
        <f aca="false">IF(C875="","",IF(LEN(UPPER(SUBSTITUTE(SUBSTITUTE(SUBSTITUTE(SUBSTITUTE(TRIM(C875),".",""),"/",""),"-","")," ","")))&lt;14,RIGHT(REPT("0",14)&amp;UPPER(SUBSTITUTE(SUBSTITUTE(SUBSTITUTE(SUBSTITUTE(TRIM(C875),".",""),"/",""),"-","")," ","")),14),UPPER(SUBSTITUTE(SUBSTITUTE(SUBSTITUTE(SUBSTITUTE(TRIM(C875),".",""),"/",""),"-","")," ",""))))</f>
        <v/>
      </c>
      <c r="E875" s="25" t="str">
        <f aca="false">IF(D875="","",IFERROR(INDEX(Empresas!$C:$C,MATCH(D875,Empresas!$B:$B,0)),"cadastre o CNPJ em Empresas"))</f>
        <v/>
      </c>
      <c r="F875" s="11"/>
      <c r="G875" s="23"/>
      <c r="H875" s="22"/>
      <c r="I875" s="35"/>
      <c r="J875" s="35"/>
      <c r="K875" s="36" t="str">
        <f aca="false">IF(I875="","",I875+J875)</f>
        <v/>
      </c>
      <c r="L875" s="37" t="str">
        <f aca="false">IF(OR(I875="",I875=0,J875=""),"",J875/I875)</f>
        <v/>
      </c>
      <c r="M875" s="25" t="str">
        <f aca="false">IF(L875="","",IF(L875&gt;0.25,"ACRÉSCIMO ACIMA DE 25% — conferir",""))</f>
        <v/>
      </c>
      <c r="N875" s="29" t="str">
        <f aca="false">IF(D875="","",IF(COUNTIFS(Empresas!$B:$B,D875,Empresas!$E:$E,"&lt;&gt;")=0,"",INDEX(Empresas!$E:$E,MATCH(D875,Empresas!$B:$B,0))))</f>
        <v/>
      </c>
      <c r="O875" s="27" t="str">
        <f aca="false">IF(OR(N875="",H875=""),"",H875-N875)</f>
        <v/>
      </c>
      <c r="P875" s="25" t="str">
        <f aca="false">IF(O875="","",IF(O875&lt;0,"CONTRATO ANTERIOR À ABERTURA — conferir datas",IF(O875&lt;180,"EMPRESA ABERTA MENOS DE 6 MESES ANTES","")))</f>
        <v/>
      </c>
      <c r="Q875" s="31" t="str">
        <f aca="false">IF(D875="","",IFERROR(INDEX(Sancoes!$D:$D,MATCH(D875,Sancoes!$C:$C,0)),"não consta"))</f>
        <v/>
      </c>
      <c r="R875" s="25" t="str">
        <f aca="false">IF(OR(D875="",H875=""),"",IF(SUMPRODUCT((Sancoes!$C$5:$C$304=D875)*(Sancoes!$G$5:$G$304&lt;=H875)*(((Sancoes!$H$5:$H$304="")+(Sancoes!$H$5:$H$304&gt;=H875))&gt;0))&gt;0,"SANÇÃO VIGENTE NA DATA — ler tipo e abrangência",""))</f>
        <v/>
      </c>
      <c r="S875" s="24"/>
      <c r="T875" s="11"/>
    </row>
    <row r="876" customFormat="false" ht="15" hidden="false" customHeight="false" outlineLevel="0" collapsed="false">
      <c r="A876" s="11"/>
      <c r="B876" s="24"/>
      <c r="C876" s="24"/>
      <c r="D876" s="31" t="str">
        <f aca="false">IF(C876="","",IF(LEN(UPPER(SUBSTITUTE(SUBSTITUTE(SUBSTITUTE(SUBSTITUTE(TRIM(C876),".",""),"/",""),"-","")," ","")))&lt;14,RIGHT(REPT("0",14)&amp;UPPER(SUBSTITUTE(SUBSTITUTE(SUBSTITUTE(SUBSTITUTE(TRIM(C876),".",""),"/",""),"-","")," ","")),14),UPPER(SUBSTITUTE(SUBSTITUTE(SUBSTITUTE(SUBSTITUTE(TRIM(C876),".",""),"/",""),"-","")," ",""))))</f>
        <v/>
      </c>
      <c r="E876" s="25" t="str">
        <f aca="false">IF(D876="","",IFERROR(INDEX(Empresas!$C:$C,MATCH(D876,Empresas!$B:$B,0)),"cadastre o CNPJ em Empresas"))</f>
        <v/>
      </c>
      <c r="F876" s="11"/>
      <c r="G876" s="23"/>
      <c r="H876" s="22"/>
      <c r="I876" s="35"/>
      <c r="J876" s="35"/>
      <c r="K876" s="36" t="str">
        <f aca="false">IF(I876="","",I876+J876)</f>
        <v/>
      </c>
      <c r="L876" s="37" t="str">
        <f aca="false">IF(OR(I876="",I876=0,J876=""),"",J876/I876)</f>
        <v/>
      </c>
      <c r="M876" s="25" t="str">
        <f aca="false">IF(L876="","",IF(L876&gt;0.25,"ACRÉSCIMO ACIMA DE 25% — conferir",""))</f>
        <v/>
      </c>
      <c r="N876" s="29" t="str">
        <f aca="false">IF(D876="","",IF(COUNTIFS(Empresas!$B:$B,D876,Empresas!$E:$E,"&lt;&gt;")=0,"",INDEX(Empresas!$E:$E,MATCH(D876,Empresas!$B:$B,0))))</f>
        <v/>
      </c>
      <c r="O876" s="27" t="str">
        <f aca="false">IF(OR(N876="",H876=""),"",H876-N876)</f>
        <v/>
      </c>
      <c r="P876" s="25" t="str">
        <f aca="false">IF(O876="","",IF(O876&lt;0,"CONTRATO ANTERIOR À ABERTURA — conferir datas",IF(O876&lt;180,"EMPRESA ABERTA MENOS DE 6 MESES ANTES","")))</f>
        <v/>
      </c>
      <c r="Q876" s="31" t="str">
        <f aca="false">IF(D876="","",IFERROR(INDEX(Sancoes!$D:$D,MATCH(D876,Sancoes!$C:$C,0)),"não consta"))</f>
        <v/>
      </c>
      <c r="R876" s="25" t="str">
        <f aca="false">IF(OR(D876="",H876=""),"",IF(SUMPRODUCT((Sancoes!$C$5:$C$304=D876)*(Sancoes!$G$5:$G$304&lt;=H876)*(((Sancoes!$H$5:$H$304="")+(Sancoes!$H$5:$H$304&gt;=H876))&gt;0))&gt;0,"SANÇÃO VIGENTE NA DATA — ler tipo e abrangência",""))</f>
        <v/>
      </c>
      <c r="S876" s="24"/>
      <c r="T876" s="11"/>
    </row>
    <row r="877" customFormat="false" ht="15" hidden="false" customHeight="false" outlineLevel="0" collapsed="false">
      <c r="A877" s="11"/>
      <c r="B877" s="24"/>
      <c r="C877" s="24"/>
      <c r="D877" s="31" t="str">
        <f aca="false">IF(C877="","",IF(LEN(UPPER(SUBSTITUTE(SUBSTITUTE(SUBSTITUTE(SUBSTITUTE(TRIM(C877),".",""),"/",""),"-","")," ","")))&lt;14,RIGHT(REPT("0",14)&amp;UPPER(SUBSTITUTE(SUBSTITUTE(SUBSTITUTE(SUBSTITUTE(TRIM(C877),".",""),"/",""),"-","")," ","")),14),UPPER(SUBSTITUTE(SUBSTITUTE(SUBSTITUTE(SUBSTITUTE(TRIM(C877),".",""),"/",""),"-","")," ",""))))</f>
        <v/>
      </c>
      <c r="E877" s="25" t="str">
        <f aca="false">IF(D877="","",IFERROR(INDEX(Empresas!$C:$C,MATCH(D877,Empresas!$B:$B,0)),"cadastre o CNPJ em Empresas"))</f>
        <v/>
      </c>
      <c r="F877" s="11"/>
      <c r="G877" s="23"/>
      <c r="H877" s="22"/>
      <c r="I877" s="35"/>
      <c r="J877" s="35"/>
      <c r="K877" s="36" t="str">
        <f aca="false">IF(I877="","",I877+J877)</f>
        <v/>
      </c>
      <c r="L877" s="37" t="str">
        <f aca="false">IF(OR(I877="",I877=0,J877=""),"",J877/I877)</f>
        <v/>
      </c>
      <c r="M877" s="25" t="str">
        <f aca="false">IF(L877="","",IF(L877&gt;0.25,"ACRÉSCIMO ACIMA DE 25% — conferir",""))</f>
        <v/>
      </c>
      <c r="N877" s="29" t="str">
        <f aca="false">IF(D877="","",IF(COUNTIFS(Empresas!$B:$B,D877,Empresas!$E:$E,"&lt;&gt;")=0,"",INDEX(Empresas!$E:$E,MATCH(D877,Empresas!$B:$B,0))))</f>
        <v/>
      </c>
      <c r="O877" s="27" t="str">
        <f aca="false">IF(OR(N877="",H877=""),"",H877-N877)</f>
        <v/>
      </c>
      <c r="P877" s="25" t="str">
        <f aca="false">IF(O877="","",IF(O877&lt;0,"CONTRATO ANTERIOR À ABERTURA — conferir datas",IF(O877&lt;180,"EMPRESA ABERTA MENOS DE 6 MESES ANTES","")))</f>
        <v/>
      </c>
      <c r="Q877" s="31" t="str">
        <f aca="false">IF(D877="","",IFERROR(INDEX(Sancoes!$D:$D,MATCH(D877,Sancoes!$C:$C,0)),"não consta"))</f>
        <v/>
      </c>
      <c r="R877" s="25" t="str">
        <f aca="false">IF(OR(D877="",H877=""),"",IF(SUMPRODUCT((Sancoes!$C$5:$C$304=D877)*(Sancoes!$G$5:$G$304&lt;=H877)*(((Sancoes!$H$5:$H$304="")+(Sancoes!$H$5:$H$304&gt;=H877))&gt;0))&gt;0,"SANÇÃO VIGENTE NA DATA — ler tipo e abrangência",""))</f>
        <v/>
      </c>
      <c r="S877" s="24"/>
      <c r="T877" s="11"/>
    </row>
    <row r="878" customFormat="false" ht="15" hidden="false" customHeight="false" outlineLevel="0" collapsed="false">
      <c r="A878" s="11"/>
      <c r="B878" s="24"/>
      <c r="C878" s="24"/>
      <c r="D878" s="31" t="str">
        <f aca="false">IF(C878="","",IF(LEN(UPPER(SUBSTITUTE(SUBSTITUTE(SUBSTITUTE(SUBSTITUTE(TRIM(C878),".",""),"/",""),"-","")," ","")))&lt;14,RIGHT(REPT("0",14)&amp;UPPER(SUBSTITUTE(SUBSTITUTE(SUBSTITUTE(SUBSTITUTE(TRIM(C878),".",""),"/",""),"-","")," ","")),14),UPPER(SUBSTITUTE(SUBSTITUTE(SUBSTITUTE(SUBSTITUTE(TRIM(C878),".",""),"/",""),"-","")," ",""))))</f>
        <v/>
      </c>
      <c r="E878" s="25" t="str">
        <f aca="false">IF(D878="","",IFERROR(INDEX(Empresas!$C:$C,MATCH(D878,Empresas!$B:$B,0)),"cadastre o CNPJ em Empresas"))</f>
        <v/>
      </c>
      <c r="F878" s="11"/>
      <c r="G878" s="23"/>
      <c r="H878" s="22"/>
      <c r="I878" s="35"/>
      <c r="J878" s="35"/>
      <c r="K878" s="36" t="str">
        <f aca="false">IF(I878="","",I878+J878)</f>
        <v/>
      </c>
      <c r="L878" s="37" t="str">
        <f aca="false">IF(OR(I878="",I878=0,J878=""),"",J878/I878)</f>
        <v/>
      </c>
      <c r="M878" s="25" t="str">
        <f aca="false">IF(L878="","",IF(L878&gt;0.25,"ACRÉSCIMO ACIMA DE 25% — conferir",""))</f>
        <v/>
      </c>
      <c r="N878" s="29" t="str">
        <f aca="false">IF(D878="","",IF(COUNTIFS(Empresas!$B:$B,D878,Empresas!$E:$E,"&lt;&gt;")=0,"",INDEX(Empresas!$E:$E,MATCH(D878,Empresas!$B:$B,0))))</f>
        <v/>
      </c>
      <c r="O878" s="27" t="str">
        <f aca="false">IF(OR(N878="",H878=""),"",H878-N878)</f>
        <v/>
      </c>
      <c r="P878" s="25" t="str">
        <f aca="false">IF(O878="","",IF(O878&lt;0,"CONTRATO ANTERIOR À ABERTURA — conferir datas",IF(O878&lt;180,"EMPRESA ABERTA MENOS DE 6 MESES ANTES","")))</f>
        <v/>
      </c>
      <c r="Q878" s="31" t="str">
        <f aca="false">IF(D878="","",IFERROR(INDEX(Sancoes!$D:$D,MATCH(D878,Sancoes!$C:$C,0)),"não consta"))</f>
        <v/>
      </c>
      <c r="R878" s="25" t="str">
        <f aca="false">IF(OR(D878="",H878=""),"",IF(SUMPRODUCT((Sancoes!$C$5:$C$304=D878)*(Sancoes!$G$5:$G$304&lt;=H878)*(((Sancoes!$H$5:$H$304="")+(Sancoes!$H$5:$H$304&gt;=H878))&gt;0))&gt;0,"SANÇÃO VIGENTE NA DATA — ler tipo e abrangência",""))</f>
        <v/>
      </c>
      <c r="S878" s="24"/>
      <c r="T878" s="11"/>
    </row>
    <row r="879" customFormat="false" ht="15" hidden="false" customHeight="false" outlineLevel="0" collapsed="false">
      <c r="A879" s="11"/>
      <c r="B879" s="24"/>
      <c r="C879" s="24"/>
      <c r="D879" s="31" t="str">
        <f aca="false">IF(C879="","",IF(LEN(UPPER(SUBSTITUTE(SUBSTITUTE(SUBSTITUTE(SUBSTITUTE(TRIM(C879),".",""),"/",""),"-","")," ","")))&lt;14,RIGHT(REPT("0",14)&amp;UPPER(SUBSTITUTE(SUBSTITUTE(SUBSTITUTE(SUBSTITUTE(TRIM(C879),".",""),"/",""),"-","")," ","")),14),UPPER(SUBSTITUTE(SUBSTITUTE(SUBSTITUTE(SUBSTITUTE(TRIM(C879),".",""),"/",""),"-","")," ",""))))</f>
        <v/>
      </c>
      <c r="E879" s="25" t="str">
        <f aca="false">IF(D879="","",IFERROR(INDEX(Empresas!$C:$C,MATCH(D879,Empresas!$B:$B,0)),"cadastre o CNPJ em Empresas"))</f>
        <v/>
      </c>
      <c r="F879" s="11"/>
      <c r="G879" s="23"/>
      <c r="H879" s="22"/>
      <c r="I879" s="35"/>
      <c r="J879" s="35"/>
      <c r="K879" s="36" t="str">
        <f aca="false">IF(I879="","",I879+J879)</f>
        <v/>
      </c>
      <c r="L879" s="37" t="str">
        <f aca="false">IF(OR(I879="",I879=0,J879=""),"",J879/I879)</f>
        <v/>
      </c>
      <c r="M879" s="25" t="str">
        <f aca="false">IF(L879="","",IF(L879&gt;0.25,"ACRÉSCIMO ACIMA DE 25% — conferir",""))</f>
        <v/>
      </c>
      <c r="N879" s="29" t="str">
        <f aca="false">IF(D879="","",IF(COUNTIFS(Empresas!$B:$B,D879,Empresas!$E:$E,"&lt;&gt;")=0,"",INDEX(Empresas!$E:$E,MATCH(D879,Empresas!$B:$B,0))))</f>
        <v/>
      </c>
      <c r="O879" s="27" t="str">
        <f aca="false">IF(OR(N879="",H879=""),"",H879-N879)</f>
        <v/>
      </c>
      <c r="P879" s="25" t="str">
        <f aca="false">IF(O879="","",IF(O879&lt;0,"CONTRATO ANTERIOR À ABERTURA — conferir datas",IF(O879&lt;180,"EMPRESA ABERTA MENOS DE 6 MESES ANTES","")))</f>
        <v/>
      </c>
      <c r="Q879" s="31" t="str">
        <f aca="false">IF(D879="","",IFERROR(INDEX(Sancoes!$D:$D,MATCH(D879,Sancoes!$C:$C,0)),"não consta"))</f>
        <v/>
      </c>
      <c r="R879" s="25" t="str">
        <f aca="false">IF(OR(D879="",H879=""),"",IF(SUMPRODUCT((Sancoes!$C$5:$C$304=D879)*(Sancoes!$G$5:$G$304&lt;=H879)*(((Sancoes!$H$5:$H$304="")+(Sancoes!$H$5:$H$304&gt;=H879))&gt;0))&gt;0,"SANÇÃO VIGENTE NA DATA — ler tipo e abrangência",""))</f>
        <v/>
      </c>
      <c r="S879" s="24"/>
      <c r="T879" s="11"/>
    </row>
    <row r="880" customFormat="false" ht="15" hidden="false" customHeight="false" outlineLevel="0" collapsed="false">
      <c r="A880" s="11"/>
      <c r="B880" s="24"/>
      <c r="C880" s="24"/>
      <c r="D880" s="31" t="str">
        <f aca="false">IF(C880="","",IF(LEN(UPPER(SUBSTITUTE(SUBSTITUTE(SUBSTITUTE(SUBSTITUTE(TRIM(C880),".",""),"/",""),"-","")," ","")))&lt;14,RIGHT(REPT("0",14)&amp;UPPER(SUBSTITUTE(SUBSTITUTE(SUBSTITUTE(SUBSTITUTE(TRIM(C880),".",""),"/",""),"-","")," ","")),14),UPPER(SUBSTITUTE(SUBSTITUTE(SUBSTITUTE(SUBSTITUTE(TRIM(C880),".",""),"/",""),"-","")," ",""))))</f>
        <v/>
      </c>
      <c r="E880" s="25" t="str">
        <f aca="false">IF(D880="","",IFERROR(INDEX(Empresas!$C:$C,MATCH(D880,Empresas!$B:$B,0)),"cadastre o CNPJ em Empresas"))</f>
        <v/>
      </c>
      <c r="F880" s="11"/>
      <c r="G880" s="23"/>
      <c r="H880" s="22"/>
      <c r="I880" s="35"/>
      <c r="J880" s="35"/>
      <c r="K880" s="36" t="str">
        <f aca="false">IF(I880="","",I880+J880)</f>
        <v/>
      </c>
      <c r="L880" s="37" t="str">
        <f aca="false">IF(OR(I880="",I880=0,J880=""),"",J880/I880)</f>
        <v/>
      </c>
      <c r="M880" s="25" t="str">
        <f aca="false">IF(L880="","",IF(L880&gt;0.25,"ACRÉSCIMO ACIMA DE 25% — conferir",""))</f>
        <v/>
      </c>
      <c r="N880" s="29" t="str">
        <f aca="false">IF(D880="","",IF(COUNTIFS(Empresas!$B:$B,D880,Empresas!$E:$E,"&lt;&gt;")=0,"",INDEX(Empresas!$E:$E,MATCH(D880,Empresas!$B:$B,0))))</f>
        <v/>
      </c>
      <c r="O880" s="27" t="str">
        <f aca="false">IF(OR(N880="",H880=""),"",H880-N880)</f>
        <v/>
      </c>
      <c r="P880" s="25" t="str">
        <f aca="false">IF(O880="","",IF(O880&lt;0,"CONTRATO ANTERIOR À ABERTURA — conferir datas",IF(O880&lt;180,"EMPRESA ABERTA MENOS DE 6 MESES ANTES","")))</f>
        <v/>
      </c>
      <c r="Q880" s="31" t="str">
        <f aca="false">IF(D880="","",IFERROR(INDEX(Sancoes!$D:$D,MATCH(D880,Sancoes!$C:$C,0)),"não consta"))</f>
        <v/>
      </c>
      <c r="R880" s="25" t="str">
        <f aca="false">IF(OR(D880="",H880=""),"",IF(SUMPRODUCT((Sancoes!$C$5:$C$304=D880)*(Sancoes!$G$5:$G$304&lt;=H880)*(((Sancoes!$H$5:$H$304="")+(Sancoes!$H$5:$H$304&gt;=H880))&gt;0))&gt;0,"SANÇÃO VIGENTE NA DATA — ler tipo e abrangência",""))</f>
        <v/>
      </c>
      <c r="S880" s="24"/>
      <c r="T880" s="11"/>
    </row>
    <row r="881" customFormat="false" ht="15" hidden="false" customHeight="false" outlineLevel="0" collapsed="false">
      <c r="A881" s="11"/>
      <c r="B881" s="24"/>
      <c r="C881" s="24"/>
      <c r="D881" s="31" t="str">
        <f aca="false">IF(C881="","",IF(LEN(UPPER(SUBSTITUTE(SUBSTITUTE(SUBSTITUTE(SUBSTITUTE(TRIM(C881),".",""),"/",""),"-","")," ","")))&lt;14,RIGHT(REPT("0",14)&amp;UPPER(SUBSTITUTE(SUBSTITUTE(SUBSTITUTE(SUBSTITUTE(TRIM(C881),".",""),"/",""),"-","")," ","")),14),UPPER(SUBSTITUTE(SUBSTITUTE(SUBSTITUTE(SUBSTITUTE(TRIM(C881),".",""),"/",""),"-","")," ",""))))</f>
        <v/>
      </c>
      <c r="E881" s="25" t="str">
        <f aca="false">IF(D881="","",IFERROR(INDEX(Empresas!$C:$C,MATCH(D881,Empresas!$B:$B,0)),"cadastre o CNPJ em Empresas"))</f>
        <v/>
      </c>
      <c r="F881" s="11"/>
      <c r="G881" s="23"/>
      <c r="H881" s="22"/>
      <c r="I881" s="35"/>
      <c r="J881" s="35"/>
      <c r="K881" s="36" t="str">
        <f aca="false">IF(I881="","",I881+J881)</f>
        <v/>
      </c>
      <c r="L881" s="37" t="str">
        <f aca="false">IF(OR(I881="",I881=0,J881=""),"",J881/I881)</f>
        <v/>
      </c>
      <c r="M881" s="25" t="str">
        <f aca="false">IF(L881="","",IF(L881&gt;0.25,"ACRÉSCIMO ACIMA DE 25% — conferir",""))</f>
        <v/>
      </c>
      <c r="N881" s="29" t="str">
        <f aca="false">IF(D881="","",IF(COUNTIFS(Empresas!$B:$B,D881,Empresas!$E:$E,"&lt;&gt;")=0,"",INDEX(Empresas!$E:$E,MATCH(D881,Empresas!$B:$B,0))))</f>
        <v/>
      </c>
      <c r="O881" s="27" t="str">
        <f aca="false">IF(OR(N881="",H881=""),"",H881-N881)</f>
        <v/>
      </c>
      <c r="P881" s="25" t="str">
        <f aca="false">IF(O881="","",IF(O881&lt;0,"CONTRATO ANTERIOR À ABERTURA — conferir datas",IF(O881&lt;180,"EMPRESA ABERTA MENOS DE 6 MESES ANTES","")))</f>
        <v/>
      </c>
      <c r="Q881" s="31" t="str">
        <f aca="false">IF(D881="","",IFERROR(INDEX(Sancoes!$D:$D,MATCH(D881,Sancoes!$C:$C,0)),"não consta"))</f>
        <v/>
      </c>
      <c r="R881" s="25" t="str">
        <f aca="false">IF(OR(D881="",H881=""),"",IF(SUMPRODUCT((Sancoes!$C$5:$C$304=D881)*(Sancoes!$G$5:$G$304&lt;=H881)*(((Sancoes!$H$5:$H$304="")+(Sancoes!$H$5:$H$304&gt;=H881))&gt;0))&gt;0,"SANÇÃO VIGENTE NA DATA — ler tipo e abrangência",""))</f>
        <v/>
      </c>
      <c r="S881" s="24"/>
      <c r="T881" s="11"/>
    </row>
    <row r="882" customFormat="false" ht="15" hidden="false" customHeight="false" outlineLevel="0" collapsed="false">
      <c r="A882" s="11"/>
      <c r="B882" s="24"/>
      <c r="C882" s="24"/>
      <c r="D882" s="31" t="str">
        <f aca="false">IF(C882="","",IF(LEN(UPPER(SUBSTITUTE(SUBSTITUTE(SUBSTITUTE(SUBSTITUTE(TRIM(C882),".",""),"/",""),"-","")," ","")))&lt;14,RIGHT(REPT("0",14)&amp;UPPER(SUBSTITUTE(SUBSTITUTE(SUBSTITUTE(SUBSTITUTE(TRIM(C882),".",""),"/",""),"-","")," ","")),14),UPPER(SUBSTITUTE(SUBSTITUTE(SUBSTITUTE(SUBSTITUTE(TRIM(C882),".",""),"/",""),"-","")," ",""))))</f>
        <v/>
      </c>
      <c r="E882" s="25" t="str">
        <f aca="false">IF(D882="","",IFERROR(INDEX(Empresas!$C:$C,MATCH(D882,Empresas!$B:$B,0)),"cadastre o CNPJ em Empresas"))</f>
        <v/>
      </c>
      <c r="F882" s="11"/>
      <c r="G882" s="23"/>
      <c r="H882" s="22"/>
      <c r="I882" s="35"/>
      <c r="J882" s="35"/>
      <c r="K882" s="36" t="str">
        <f aca="false">IF(I882="","",I882+J882)</f>
        <v/>
      </c>
      <c r="L882" s="37" t="str">
        <f aca="false">IF(OR(I882="",I882=0,J882=""),"",J882/I882)</f>
        <v/>
      </c>
      <c r="M882" s="25" t="str">
        <f aca="false">IF(L882="","",IF(L882&gt;0.25,"ACRÉSCIMO ACIMA DE 25% — conferir",""))</f>
        <v/>
      </c>
      <c r="N882" s="29" t="str">
        <f aca="false">IF(D882="","",IF(COUNTIFS(Empresas!$B:$B,D882,Empresas!$E:$E,"&lt;&gt;")=0,"",INDEX(Empresas!$E:$E,MATCH(D882,Empresas!$B:$B,0))))</f>
        <v/>
      </c>
      <c r="O882" s="27" t="str">
        <f aca="false">IF(OR(N882="",H882=""),"",H882-N882)</f>
        <v/>
      </c>
      <c r="P882" s="25" t="str">
        <f aca="false">IF(O882="","",IF(O882&lt;0,"CONTRATO ANTERIOR À ABERTURA — conferir datas",IF(O882&lt;180,"EMPRESA ABERTA MENOS DE 6 MESES ANTES","")))</f>
        <v/>
      </c>
      <c r="Q882" s="31" t="str">
        <f aca="false">IF(D882="","",IFERROR(INDEX(Sancoes!$D:$D,MATCH(D882,Sancoes!$C:$C,0)),"não consta"))</f>
        <v/>
      </c>
      <c r="R882" s="25" t="str">
        <f aca="false">IF(OR(D882="",H882=""),"",IF(SUMPRODUCT((Sancoes!$C$5:$C$304=D882)*(Sancoes!$G$5:$G$304&lt;=H882)*(((Sancoes!$H$5:$H$304="")+(Sancoes!$H$5:$H$304&gt;=H882))&gt;0))&gt;0,"SANÇÃO VIGENTE NA DATA — ler tipo e abrangência",""))</f>
        <v/>
      </c>
      <c r="S882" s="24"/>
      <c r="T882" s="11"/>
    </row>
    <row r="883" customFormat="false" ht="15" hidden="false" customHeight="false" outlineLevel="0" collapsed="false">
      <c r="A883" s="11"/>
      <c r="B883" s="24"/>
      <c r="C883" s="24"/>
      <c r="D883" s="31" t="str">
        <f aca="false">IF(C883="","",IF(LEN(UPPER(SUBSTITUTE(SUBSTITUTE(SUBSTITUTE(SUBSTITUTE(TRIM(C883),".",""),"/",""),"-","")," ","")))&lt;14,RIGHT(REPT("0",14)&amp;UPPER(SUBSTITUTE(SUBSTITUTE(SUBSTITUTE(SUBSTITUTE(TRIM(C883),".",""),"/",""),"-","")," ","")),14),UPPER(SUBSTITUTE(SUBSTITUTE(SUBSTITUTE(SUBSTITUTE(TRIM(C883),".",""),"/",""),"-","")," ",""))))</f>
        <v/>
      </c>
      <c r="E883" s="25" t="str">
        <f aca="false">IF(D883="","",IFERROR(INDEX(Empresas!$C:$C,MATCH(D883,Empresas!$B:$B,0)),"cadastre o CNPJ em Empresas"))</f>
        <v/>
      </c>
      <c r="F883" s="11"/>
      <c r="G883" s="23"/>
      <c r="H883" s="22"/>
      <c r="I883" s="35"/>
      <c r="J883" s="35"/>
      <c r="K883" s="36" t="str">
        <f aca="false">IF(I883="","",I883+J883)</f>
        <v/>
      </c>
      <c r="L883" s="37" t="str">
        <f aca="false">IF(OR(I883="",I883=0,J883=""),"",J883/I883)</f>
        <v/>
      </c>
      <c r="M883" s="25" t="str">
        <f aca="false">IF(L883="","",IF(L883&gt;0.25,"ACRÉSCIMO ACIMA DE 25% — conferir",""))</f>
        <v/>
      </c>
      <c r="N883" s="29" t="str">
        <f aca="false">IF(D883="","",IF(COUNTIFS(Empresas!$B:$B,D883,Empresas!$E:$E,"&lt;&gt;")=0,"",INDEX(Empresas!$E:$E,MATCH(D883,Empresas!$B:$B,0))))</f>
        <v/>
      </c>
      <c r="O883" s="27" t="str">
        <f aca="false">IF(OR(N883="",H883=""),"",H883-N883)</f>
        <v/>
      </c>
      <c r="P883" s="25" t="str">
        <f aca="false">IF(O883="","",IF(O883&lt;0,"CONTRATO ANTERIOR À ABERTURA — conferir datas",IF(O883&lt;180,"EMPRESA ABERTA MENOS DE 6 MESES ANTES","")))</f>
        <v/>
      </c>
      <c r="Q883" s="31" t="str">
        <f aca="false">IF(D883="","",IFERROR(INDEX(Sancoes!$D:$D,MATCH(D883,Sancoes!$C:$C,0)),"não consta"))</f>
        <v/>
      </c>
      <c r="R883" s="25" t="str">
        <f aca="false">IF(OR(D883="",H883=""),"",IF(SUMPRODUCT((Sancoes!$C$5:$C$304=D883)*(Sancoes!$G$5:$G$304&lt;=H883)*(((Sancoes!$H$5:$H$304="")+(Sancoes!$H$5:$H$304&gt;=H883))&gt;0))&gt;0,"SANÇÃO VIGENTE NA DATA — ler tipo e abrangência",""))</f>
        <v/>
      </c>
      <c r="S883" s="24"/>
      <c r="T883" s="11"/>
    </row>
    <row r="884" customFormat="false" ht="15" hidden="false" customHeight="false" outlineLevel="0" collapsed="false">
      <c r="A884" s="11"/>
      <c r="B884" s="24"/>
      <c r="C884" s="24"/>
      <c r="D884" s="31" t="str">
        <f aca="false">IF(C884="","",IF(LEN(UPPER(SUBSTITUTE(SUBSTITUTE(SUBSTITUTE(SUBSTITUTE(TRIM(C884),".",""),"/",""),"-","")," ","")))&lt;14,RIGHT(REPT("0",14)&amp;UPPER(SUBSTITUTE(SUBSTITUTE(SUBSTITUTE(SUBSTITUTE(TRIM(C884),".",""),"/",""),"-","")," ","")),14),UPPER(SUBSTITUTE(SUBSTITUTE(SUBSTITUTE(SUBSTITUTE(TRIM(C884),".",""),"/",""),"-","")," ",""))))</f>
        <v/>
      </c>
      <c r="E884" s="25" t="str">
        <f aca="false">IF(D884="","",IFERROR(INDEX(Empresas!$C:$C,MATCH(D884,Empresas!$B:$B,0)),"cadastre o CNPJ em Empresas"))</f>
        <v/>
      </c>
      <c r="F884" s="11"/>
      <c r="G884" s="23"/>
      <c r="H884" s="22"/>
      <c r="I884" s="35"/>
      <c r="J884" s="35"/>
      <c r="K884" s="36" t="str">
        <f aca="false">IF(I884="","",I884+J884)</f>
        <v/>
      </c>
      <c r="L884" s="37" t="str">
        <f aca="false">IF(OR(I884="",I884=0,J884=""),"",J884/I884)</f>
        <v/>
      </c>
      <c r="M884" s="25" t="str">
        <f aca="false">IF(L884="","",IF(L884&gt;0.25,"ACRÉSCIMO ACIMA DE 25% — conferir",""))</f>
        <v/>
      </c>
      <c r="N884" s="29" t="str">
        <f aca="false">IF(D884="","",IF(COUNTIFS(Empresas!$B:$B,D884,Empresas!$E:$E,"&lt;&gt;")=0,"",INDEX(Empresas!$E:$E,MATCH(D884,Empresas!$B:$B,0))))</f>
        <v/>
      </c>
      <c r="O884" s="27" t="str">
        <f aca="false">IF(OR(N884="",H884=""),"",H884-N884)</f>
        <v/>
      </c>
      <c r="P884" s="25" t="str">
        <f aca="false">IF(O884="","",IF(O884&lt;0,"CONTRATO ANTERIOR À ABERTURA — conferir datas",IF(O884&lt;180,"EMPRESA ABERTA MENOS DE 6 MESES ANTES","")))</f>
        <v/>
      </c>
      <c r="Q884" s="31" t="str">
        <f aca="false">IF(D884="","",IFERROR(INDEX(Sancoes!$D:$D,MATCH(D884,Sancoes!$C:$C,0)),"não consta"))</f>
        <v/>
      </c>
      <c r="R884" s="25" t="str">
        <f aca="false">IF(OR(D884="",H884=""),"",IF(SUMPRODUCT((Sancoes!$C$5:$C$304=D884)*(Sancoes!$G$5:$G$304&lt;=H884)*(((Sancoes!$H$5:$H$304="")+(Sancoes!$H$5:$H$304&gt;=H884))&gt;0))&gt;0,"SANÇÃO VIGENTE NA DATA — ler tipo e abrangência",""))</f>
        <v/>
      </c>
      <c r="S884" s="24"/>
      <c r="T884" s="11"/>
    </row>
    <row r="885" customFormat="false" ht="15" hidden="false" customHeight="false" outlineLevel="0" collapsed="false">
      <c r="A885" s="11"/>
      <c r="B885" s="24"/>
      <c r="C885" s="24"/>
      <c r="D885" s="31" t="str">
        <f aca="false">IF(C885="","",IF(LEN(UPPER(SUBSTITUTE(SUBSTITUTE(SUBSTITUTE(SUBSTITUTE(TRIM(C885),".",""),"/",""),"-","")," ","")))&lt;14,RIGHT(REPT("0",14)&amp;UPPER(SUBSTITUTE(SUBSTITUTE(SUBSTITUTE(SUBSTITUTE(TRIM(C885),".",""),"/",""),"-","")," ","")),14),UPPER(SUBSTITUTE(SUBSTITUTE(SUBSTITUTE(SUBSTITUTE(TRIM(C885),".",""),"/",""),"-","")," ",""))))</f>
        <v/>
      </c>
      <c r="E885" s="25" t="str">
        <f aca="false">IF(D885="","",IFERROR(INDEX(Empresas!$C:$C,MATCH(D885,Empresas!$B:$B,0)),"cadastre o CNPJ em Empresas"))</f>
        <v/>
      </c>
      <c r="F885" s="11"/>
      <c r="G885" s="23"/>
      <c r="H885" s="22"/>
      <c r="I885" s="35"/>
      <c r="J885" s="35"/>
      <c r="K885" s="36" t="str">
        <f aca="false">IF(I885="","",I885+J885)</f>
        <v/>
      </c>
      <c r="L885" s="37" t="str">
        <f aca="false">IF(OR(I885="",I885=0,J885=""),"",J885/I885)</f>
        <v/>
      </c>
      <c r="M885" s="25" t="str">
        <f aca="false">IF(L885="","",IF(L885&gt;0.25,"ACRÉSCIMO ACIMA DE 25% — conferir",""))</f>
        <v/>
      </c>
      <c r="N885" s="29" t="str">
        <f aca="false">IF(D885="","",IF(COUNTIFS(Empresas!$B:$B,D885,Empresas!$E:$E,"&lt;&gt;")=0,"",INDEX(Empresas!$E:$E,MATCH(D885,Empresas!$B:$B,0))))</f>
        <v/>
      </c>
      <c r="O885" s="27" t="str">
        <f aca="false">IF(OR(N885="",H885=""),"",H885-N885)</f>
        <v/>
      </c>
      <c r="P885" s="25" t="str">
        <f aca="false">IF(O885="","",IF(O885&lt;0,"CONTRATO ANTERIOR À ABERTURA — conferir datas",IF(O885&lt;180,"EMPRESA ABERTA MENOS DE 6 MESES ANTES","")))</f>
        <v/>
      </c>
      <c r="Q885" s="31" t="str">
        <f aca="false">IF(D885="","",IFERROR(INDEX(Sancoes!$D:$D,MATCH(D885,Sancoes!$C:$C,0)),"não consta"))</f>
        <v/>
      </c>
      <c r="R885" s="25" t="str">
        <f aca="false">IF(OR(D885="",H885=""),"",IF(SUMPRODUCT((Sancoes!$C$5:$C$304=D885)*(Sancoes!$G$5:$G$304&lt;=H885)*(((Sancoes!$H$5:$H$304="")+(Sancoes!$H$5:$H$304&gt;=H885))&gt;0))&gt;0,"SANÇÃO VIGENTE NA DATA — ler tipo e abrangência",""))</f>
        <v/>
      </c>
      <c r="S885" s="24"/>
      <c r="T885" s="11"/>
    </row>
    <row r="886" customFormat="false" ht="15" hidden="false" customHeight="false" outlineLevel="0" collapsed="false">
      <c r="A886" s="11"/>
      <c r="B886" s="24"/>
      <c r="C886" s="24"/>
      <c r="D886" s="31" t="str">
        <f aca="false">IF(C886="","",IF(LEN(UPPER(SUBSTITUTE(SUBSTITUTE(SUBSTITUTE(SUBSTITUTE(TRIM(C886),".",""),"/",""),"-","")," ","")))&lt;14,RIGHT(REPT("0",14)&amp;UPPER(SUBSTITUTE(SUBSTITUTE(SUBSTITUTE(SUBSTITUTE(TRIM(C886),".",""),"/",""),"-","")," ","")),14),UPPER(SUBSTITUTE(SUBSTITUTE(SUBSTITUTE(SUBSTITUTE(TRIM(C886),".",""),"/",""),"-","")," ",""))))</f>
        <v/>
      </c>
      <c r="E886" s="25" t="str">
        <f aca="false">IF(D886="","",IFERROR(INDEX(Empresas!$C:$C,MATCH(D886,Empresas!$B:$B,0)),"cadastre o CNPJ em Empresas"))</f>
        <v/>
      </c>
      <c r="F886" s="11"/>
      <c r="G886" s="23"/>
      <c r="H886" s="22"/>
      <c r="I886" s="35"/>
      <c r="J886" s="35"/>
      <c r="K886" s="36" t="str">
        <f aca="false">IF(I886="","",I886+J886)</f>
        <v/>
      </c>
      <c r="L886" s="37" t="str">
        <f aca="false">IF(OR(I886="",I886=0,J886=""),"",J886/I886)</f>
        <v/>
      </c>
      <c r="M886" s="25" t="str">
        <f aca="false">IF(L886="","",IF(L886&gt;0.25,"ACRÉSCIMO ACIMA DE 25% — conferir",""))</f>
        <v/>
      </c>
      <c r="N886" s="29" t="str">
        <f aca="false">IF(D886="","",IF(COUNTIFS(Empresas!$B:$B,D886,Empresas!$E:$E,"&lt;&gt;")=0,"",INDEX(Empresas!$E:$E,MATCH(D886,Empresas!$B:$B,0))))</f>
        <v/>
      </c>
      <c r="O886" s="27" t="str">
        <f aca="false">IF(OR(N886="",H886=""),"",H886-N886)</f>
        <v/>
      </c>
      <c r="P886" s="25" t="str">
        <f aca="false">IF(O886="","",IF(O886&lt;0,"CONTRATO ANTERIOR À ABERTURA — conferir datas",IF(O886&lt;180,"EMPRESA ABERTA MENOS DE 6 MESES ANTES","")))</f>
        <v/>
      </c>
      <c r="Q886" s="31" t="str">
        <f aca="false">IF(D886="","",IFERROR(INDEX(Sancoes!$D:$D,MATCH(D886,Sancoes!$C:$C,0)),"não consta"))</f>
        <v/>
      </c>
      <c r="R886" s="25" t="str">
        <f aca="false">IF(OR(D886="",H886=""),"",IF(SUMPRODUCT((Sancoes!$C$5:$C$304=D886)*(Sancoes!$G$5:$G$304&lt;=H886)*(((Sancoes!$H$5:$H$304="")+(Sancoes!$H$5:$H$304&gt;=H886))&gt;0))&gt;0,"SANÇÃO VIGENTE NA DATA — ler tipo e abrangência",""))</f>
        <v/>
      </c>
      <c r="S886" s="24"/>
      <c r="T886" s="11"/>
    </row>
    <row r="887" customFormat="false" ht="15" hidden="false" customHeight="false" outlineLevel="0" collapsed="false">
      <c r="A887" s="11"/>
      <c r="B887" s="24"/>
      <c r="C887" s="24"/>
      <c r="D887" s="31" t="str">
        <f aca="false">IF(C887="","",IF(LEN(UPPER(SUBSTITUTE(SUBSTITUTE(SUBSTITUTE(SUBSTITUTE(TRIM(C887),".",""),"/",""),"-","")," ","")))&lt;14,RIGHT(REPT("0",14)&amp;UPPER(SUBSTITUTE(SUBSTITUTE(SUBSTITUTE(SUBSTITUTE(TRIM(C887),".",""),"/",""),"-","")," ","")),14),UPPER(SUBSTITUTE(SUBSTITUTE(SUBSTITUTE(SUBSTITUTE(TRIM(C887),".",""),"/",""),"-","")," ",""))))</f>
        <v/>
      </c>
      <c r="E887" s="25" t="str">
        <f aca="false">IF(D887="","",IFERROR(INDEX(Empresas!$C:$C,MATCH(D887,Empresas!$B:$B,0)),"cadastre o CNPJ em Empresas"))</f>
        <v/>
      </c>
      <c r="F887" s="11"/>
      <c r="G887" s="23"/>
      <c r="H887" s="22"/>
      <c r="I887" s="35"/>
      <c r="J887" s="35"/>
      <c r="K887" s="36" t="str">
        <f aca="false">IF(I887="","",I887+J887)</f>
        <v/>
      </c>
      <c r="L887" s="37" t="str">
        <f aca="false">IF(OR(I887="",I887=0,J887=""),"",J887/I887)</f>
        <v/>
      </c>
      <c r="M887" s="25" t="str">
        <f aca="false">IF(L887="","",IF(L887&gt;0.25,"ACRÉSCIMO ACIMA DE 25% — conferir",""))</f>
        <v/>
      </c>
      <c r="N887" s="29" t="str">
        <f aca="false">IF(D887="","",IF(COUNTIFS(Empresas!$B:$B,D887,Empresas!$E:$E,"&lt;&gt;")=0,"",INDEX(Empresas!$E:$E,MATCH(D887,Empresas!$B:$B,0))))</f>
        <v/>
      </c>
      <c r="O887" s="27" t="str">
        <f aca="false">IF(OR(N887="",H887=""),"",H887-N887)</f>
        <v/>
      </c>
      <c r="P887" s="25" t="str">
        <f aca="false">IF(O887="","",IF(O887&lt;0,"CONTRATO ANTERIOR À ABERTURA — conferir datas",IF(O887&lt;180,"EMPRESA ABERTA MENOS DE 6 MESES ANTES","")))</f>
        <v/>
      </c>
      <c r="Q887" s="31" t="str">
        <f aca="false">IF(D887="","",IFERROR(INDEX(Sancoes!$D:$D,MATCH(D887,Sancoes!$C:$C,0)),"não consta"))</f>
        <v/>
      </c>
      <c r="R887" s="25" t="str">
        <f aca="false">IF(OR(D887="",H887=""),"",IF(SUMPRODUCT((Sancoes!$C$5:$C$304=D887)*(Sancoes!$G$5:$G$304&lt;=H887)*(((Sancoes!$H$5:$H$304="")+(Sancoes!$H$5:$H$304&gt;=H887))&gt;0))&gt;0,"SANÇÃO VIGENTE NA DATA — ler tipo e abrangência",""))</f>
        <v/>
      </c>
      <c r="S887" s="24"/>
      <c r="T887" s="11"/>
    </row>
    <row r="888" customFormat="false" ht="15" hidden="false" customHeight="false" outlineLevel="0" collapsed="false">
      <c r="A888" s="11"/>
      <c r="B888" s="24"/>
      <c r="C888" s="24"/>
      <c r="D888" s="31" t="str">
        <f aca="false">IF(C888="","",IF(LEN(UPPER(SUBSTITUTE(SUBSTITUTE(SUBSTITUTE(SUBSTITUTE(TRIM(C888),".",""),"/",""),"-","")," ","")))&lt;14,RIGHT(REPT("0",14)&amp;UPPER(SUBSTITUTE(SUBSTITUTE(SUBSTITUTE(SUBSTITUTE(TRIM(C888),".",""),"/",""),"-","")," ","")),14),UPPER(SUBSTITUTE(SUBSTITUTE(SUBSTITUTE(SUBSTITUTE(TRIM(C888),".",""),"/",""),"-","")," ",""))))</f>
        <v/>
      </c>
      <c r="E888" s="25" t="str">
        <f aca="false">IF(D888="","",IFERROR(INDEX(Empresas!$C:$C,MATCH(D888,Empresas!$B:$B,0)),"cadastre o CNPJ em Empresas"))</f>
        <v/>
      </c>
      <c r="F888" s="11"/>
      <c r="G888" s="23"/>
      <c r="H888" s="22"/>
      <c r="I888" s="35"/>
      <c r="J888" s="35"/>
      <c r="K888" s="36" t="str">
        <f aca="false">IF(I888="","",I888+J888)</f>
        <v/>
      </c>
      <c r="L888" s="37" t="str">
        <f aca="false">IF(OR(I888="",I888=0,J888=""),"",J888/I888)</f>
        <v/>
      </c>
      <c r="M888" s="25" t="str">
        <f aca="false">IF(L888="","",IF(L888&gt;0.25,"ACRÉSCIMO ACIMA DE 25% — conferir",""))</f>
        <v/>
      </c>
      <c r="N888" s="29" t="str">
        <f aca="false">IF(D888="","",IF(COUNTIFS(Empresas!$B:$B,D888,Empresas!$E:$E,"&lt;&gt;")=0,"",INDEX(Empresas!$E:$E,MATCH(D888,Empresas!$B:$B,0))))</f>
        <v/>
      </c>
      <c r="O888" s="27" t="str">
        <f aca="false">IF(OR(N888="",H888=""),"",H888-N888)</f>
        <v/>
      </c>
      <c r="P888" s="25" t="str">
        <f aca="false">IF(O888="","",IF(O888&lt;0,"CONTRATO ANTERIOR À ABERTURA — conferir datas",IF(O888&lt;180,"EMPRESA ABERTA MENOS DE 6 MESES ANTES","")))</f>
        <v/>
      </c>
      <c r="Q888" s="31" t="str">
        <f aca="false">IF(D888="","",IFERROR(INDEX(Sancoes!$D:$D,MATCH(D888,Sancoes!$C:$C,0)),"não consta"))</f>
        <v/>
      </c>
      <c r="R888" s="25" t="str">
        <f aca="false">IF(OR(D888="",H888=""),"",IF(SUMPRODUCT((Sancoes!$C$5:$C$304=D888)*(Sancoes!$G$5:$G$304&lt;=H888)*(((Sancoes!$H$5:$H$304="")+(Sancoes!$H$5:$H$304&gt;=H888))&gt;0))&gt;0,"SANÇÃO VIGENTE NA DATA — ler tipo e abrangência",""))</f>
        <v/>
      </c>
      <c r="S888" s="24"/>
      <c r="T888" s="11"/>
    </row>
    <row r="889" customFormat="false" ht="15" hidden="false" customHeight="false" outlineLevel="0" collapsed="false">
      <c r="A889" s="11"/>
      <c r="B889" s="24"/>
      <c r="C889" s="24"/>
      <c r="D889" s="31" t="str">
        <f aca="false">IF(C889="","",IF(LEN(UPPER(SUBSTITUTE(SUBSTITUTE(SUBSTITUTE(SUBSTITUTE(TRIM(C889),".",""),"/",""),"-","")," ","")))&lt;14,RIGHT(REPT("0",14)&amp;UPPER(SUBSTITUTE(SUBSTITUTE(SUBSTITUTE(SUBSTITUTE(TRIM(C889),".",""),"/",""),"-","")," ","")),14),UPPER(SUBSTITUTE(SUBSTITUTE(SUBSTITUTE(SUBSTITUTE(TRIM(C889),".",""),"/",""),"-","")," ",""))))</f>
        <v/>
      </c>
      <c r="E889" s="25" t="str">
        <f aca="false">IF(D889="","",IFERROR(INDEX(Empresas!$C:$C,MATCH(D889,Empresas!$B:$B,0)),"cadastre o CNPJ em Empresas"))</f>
        <v/>
      </c>
      <c r="F889" s="11"/>
      <c r="G889" s="23"/>
      <c r="H889" s="22"/>
      <c r="I889" s="35"/>
      <c r="J889" s="35"/>
      <c r="K889" s="36" t="str">
        <f aca="false">IF(I889="","",I889+J889)</f>
        <v/>
      </c>
      <c r="L889" s="37" t="str">
        <f aca="false">IF(OR(I889="",I889=0,J889=""),"",J889/I889)</f>
        <v/>
      </c>
      <c r="M889" s="25" t="str">
        <f aca="false">IF(L889="","",IF(L889&gt;0.25,"ACRÉSCIMO ACIMA DE 25% — conferir",""))</f>
        <v/>
      </c>
      <c r="N889" s="29" t="str">
        <f aca="false">IF(D889="","",IF(COUNTIFS(Empresas!$B:$B,D889,Empresas!$E:$E,"&lt;&gt;")=0,"",INDEX(Empresas!$E:$E,MATCH(D889,Empresas!$B:$B,0))))</f>
        <v/>
      </c>
      <c r="O889" s="27" t="str">
        <f aca="false">IF(OR(N889="",H889=""),"",H889-N889)</f>
        <v/>
      </c>
      <c r="P889" s="25" t="str">
        <f aca="false">IF(O889="","",IF(O889&lt;0,"CONTRATO ANTERIOR À ABERTURA — conferir datas",IF(O889&lt;180,"EMPRESA ABERTA MENOS DE 6 MESES ANTES","")))</f>
        <v/>
      </c>
      <c r="Q889" s="31" t="str">
        <f aca="false">IF(D889="","",IFERROR(INDEX(Sancoes!$D:$D,MATCH(D889,Sancoes!$C:$C,0)),"não consta"))</f>
        <v/>
      </c>
      <c r="R889" s="25" t="str">
        <f aca="false">IF(OR(D889="",H889=""),"",IF(SUMPRODUCT((Sancoes!$C$5:$C$304=D889)*(Sancoes!$G$5:$G$304&lt;=H889)*(((Sancoes!$H$5:$H$304="")+(Sancoes!$H$5:$H$304&gt;=H889))&gt;0))&gt;0,"SANÇÃO VIGENTE NA DATA — ler tipo e abrangência",""))</f>
        <v/>
      </c>
      <c r="S889" s="24"/>
      <c r="T889" s="11"/>
    </row>
    <row r="890" customFormat="false" ht="15" hidden="false" customHeight="false" outlineLevel="0" collapsed="false">
      <c r="A890" s="11"/>
      <c r="B890" s="24"/>
      <c r="C890" s="24"/>
      <c r="D890" s="31" t="str">
        <f aca="false">IF(C890="","",IF(LEN(UPPER(SUBSTITUTE(SUBSTITUTE(SUBSTITUTE(SUBSTITUTE(TRIM(C890),".",""),"/",""),"-","")," ","")))&lt;14,RIGHT(REPT("0",14)&amp;UPPER(SUBSTITUTE(SUBSTITUTE(SUBSTITUTE(SUBSTITUTE(TRIM(C890),".",""),"/",""),"-","")," ","")),14),UPPER(SUBSTITUTE(SUBSTITUTE(SUBSTITUTE(SUBSTITUTE(TRIM(C890),".",""),"/",""),"-","")," ",""))))</f>
        <v/>
      </c>
      <c r="E890" s="25" t="str">
        <f aca="false">IF(D890="","",IFERROR(INDEX(Empresas!$C:$C,MATCH(D890,Empresas!$B:$B,0)),"cadastre o CNPJ em Empresas"))</f>
        <v/>
      </c>
      <c r="F890" s="11"/>
      <c r="G890" s="23"/>
      <c r="H890" s="22"/>
      <c r="I890" s="35"/>
      <c r="J890" s="35"/>
      <c r="K890" s="36" t="str">
        <f aca="false">IF(I890="","",I890+J890)</f>
        <v/>
      </c>
      <c r="L890" s="37" t="str">
        <f aca="false">IF(OR(I890="",I890=0,J890=""),"",J890/I890)</f>
        <v/>
      </c>
      <c r="M890" s="25" t="str">
        <f aca="false">IF(L890="","",IF(L890&gt;0.25,"ACRÉSCIMO ACIMA DE 25% — conferir",""))</f>
        <v/>
      </c>
      <c r="N890" s="29" t="str">
        <f aca="false">IF(D890="","",IF(COUNTIFS(Empresas!$B:$B,D890,Empresas!$E:$E,"&lt;&gt;")=0,"",INDEX(Empresas!$E:$E,MATCH(D890,Empresas!$B:$B,0))))</f>
        <v/>
      </c>
      <c r="O890" s="27" t="str">
        <f aca="false">IF(OR(N890="",H890=""),"",H890-N890)</f>
        <v/>
      </c>
      <c r="P890" s="25" t="str">
        <f aca="false">IF(O890="","",IF(O890&lt;0,"CONTRATO ANTERIOR À ABERTURA — conferir datas",IF(O890&lt;180,"EMPRESA ABERTA MENOS DE 6 MESES ANTES","")))</f>
        <v/>
      </c>
      <c r="Q890" s="31" t="str">
        <f aca="false">IF(D890="","",IFERROR(INDEX(Sancoes!$D:$D,MATCH(D890,Sancoes!$C:$C,0)),"não consta"))</f>
        <v/>
      </c>
      <c r="R890" s="25" t="str">
        <f aca="false">IF(OR(D890="",H890=""),"",IF(SUMPRODUCT((Sancoes!$C$5:$C$304=D890)*(Sancoes!$G$5:$G$304&lt;=H890)*(((Sancoes!$H$5:$H$304="")+(Sancoes!$H$5:$H$304&gt;=H890))&gt;0))&gt;0,"SANÇÃO VIGENTE NA DATA — ler tipo e abrangência",""))</f>
        <v/>
      </c>
      <c r="S890" s="24"/>
      <c r="T890" s="11"/>
    </row>
    <row r="891" customFormat="false" ht="15" hidden="false" customHeight="false" outlineLevel="0" collapsed="false">
      <c r="A891" s="11"/>
      <c r="B891" s="24"/>
      <c r="C891" s="24"/>
      <c r="D891" s="31" t="str">
        <f aca="false">IF(C891="","",IF(LEN(UPPER(SUBSTITUTE(SUBSTITUTE(SUBSTITUTE(SUBSTITUTE(TRIM(C891),".",""),"/",""),"-","")," ","")))&lt;14,RIGHT(REPT("0",14)&amp;UPPER(SUBSTITUTE(SUBSTITUTE(SUBSTITUTE(SUBSTITUTE(TRIM(C891),".",""),"/",""),"-","")," ","")),14),UPPER(SUBSTITUTE(SUBSTITUTE(SUBSTITUTE(SUBSTITUTE(TRIM(C891),".",""),"/",""),"-","")," ",""))))</f>
        <v/>
      </c>
      <c r="E891" s="25" t="str">
        <f aca="false">IF(D891="","",IFERROR(INDEX(Empresas!$C:$C,MATCH(D891,Empresas!$B:$B,0)),"cadastre o CNPJ em Empresas"))</f>
        <v/>
      </c>
      <c r="F891" s="11"/>
      <c r="G891" s="23"/>
      <c r="H891" s="22"/>
      <c r="I891" s="35"/>
      <c r="J891" s="35"/>
      <c r="K891" s="36" t="str">
        <f aca="false">IF(I891="","",I891+J891)</f>
        <v/>
      </c>
      <c r="L891" s="37" t="str">
        <f aca="false">IF(OR(I891="",I891=0,J891=""),"",J891/I891)</f>
        <v/>
      </c>
      <c r="M891" s="25" t="str">
        <f aca="false">IF(L891="","",IF(L891&gt;0.25,"ACRÉSCIMO ACIMA DE 25% — conferir",""))</f>
        <v/>
      </c>
      <c r="N891" s="29" t="str">
        <f aca="false">IF(D891="","",IF(COUNTIFS(Empresas!$B:$B,D891,Empresas!$E:$E,"&lt;&gt;")=0,"",INDEX(Empresas!$E:$E,MATCH(D891,Empresas!$B:$B,0))))</f>
        <v/>
      </c>
      <c r="O891" s="27" t="str">
        <f aca="false">IF(OR(N891="",H891=""),"",H891-N891)</f>
        <v/>
      </c>
      <c r="P891" s="25" t="str">
        <f aca="false">IF(O891="","",IF(O891&lt;0,"CONTRATO ANTERIOR À ABERTURA — conferir datas",IF(O891&lt;180,"EMPRESA ABERTA MENOS DE 6 MESES ANTES","")))</f>
        <v/>
      </c>
      <c r="Q891" s="31" t="str">
        <f aca="false">IF(D891="","",IFERROR(INDEX(Sancoes!$D:$D,MATCH(D891,Sancoes!$C:$C,0)),"não consta"))</f>
        <v/>
      </c>
      <c r="R891" s="25" t="str">
        <f aca="false">IF(OR(D891="",H891=""),"",IF(SUMPRODUCT((Sancoes!$C$5:$C$304=D891)*(Sancoes!$G$5:$G$304&lt;=H891)*(((Sancoes!$H$5:$H$304="")+(Sancoes!$H$5:$H$304&gt;=H891))&gt;0))&gt;0,"SANÇÃO VIGENTE NA DATA — ler tipo e abrangência",""))</f>
        <v/>
      </c>
      <c r="S891" s="24"/>
      <c r="T891" s="11"/>
    </row>
    <row r="892" customFormat="false" ht="15" hidden="false" customHeight="false" outlineLevel="0" collapsed="false">
      <c r="A892" s="11"/>
      <c r="B892" s="24"/>
      <c r="C892" s="24"/>
      <c r="D892" s="31" t="str">
        <f aca="false">IF(C892="","",IF(LEN(UPPER(SUBSTITUTE(SUBSTITUTE(SUBSTITUTE(SUBSTITUTE(TRIM(C892),".",""),"/",""),"-","")," ","")))&lt;14,RIGHT(REPT("0",14)&amp;UPPER(SUBSTITUTE(SUBSTITUTE(SUBSTITUTE(SUBSTITUTE(TRIM(C892),".",""),"/",""),"-","")," ","")),14),UPPER(SUBSTITUTE(SUBSTITUTE(SUBSTITUTE(SUBSTITUTE(TRIM(C892),".",""),"/",""),"-","")," ",""))))</f>
        <v/>
      </c>
      <c r="E892" s="25" t="str">
        <f aca="false">IF(D892="","",IFERROR(INDEX(Empresas!$C:$C,MATCH(D892,Empresas!$B:$B,0)),"cadastre o CNPJ em Empresas"))</f>
        <v/>
      </c>
      <c r="F892" s="11"/>
      <c r="G892" s="23"/>
      <c r="H892" s="22"/>
      <c r="I892" s="35"/>
      <c r="J892" s="35"/>
      <c r="K892" s="36" t="str">
        <f aca="false">IF(I892="","",I892+J892)</f>
        <v/>
      </c>
      <c r="L892" s="37" t="str">
        <f aca="false">IF(OR(I892="",I892=0,J892=""),"",J892/I892)</f>
        <v/>
      </c>
      <c r="M892" s="25" t="str">
        <f aca="false">IF(L892="","",IF(L892&gt;0.25,"ACRÉSCIMO ACIMA DE 25% — conferir",""))</f>
        <v/>
      </c>
      <c r="N892" s="29" t="str">
        <f aca="false">IF(D892="","",IF(COUNTIFS(Empresas!$B:$B,D892,Empresas!$E:$E,"&lt;&gt;")=0,"",INDEX(Empresas!$E:$E,MATCH(D892,Empresas!$B:$B,0))))</f>
        <v/>
      </c>
      <c r="O892" s="27" t="str">
        <f aca="false">IF(OR(N892="",H892=""),"",H892-N892)</f>
        <v/>
      </c>
      <c r="P892" s="25" t="str">
        <f aca="false">IF(O892="","",IF(O892&lt;0,"CONTRATO ANTERIOR À ABERTURA — conferir datas",IF(O892&lt;180,"EMPRESA ABERTA MENOS DE 6 MESES ANTES","")))</f>
        <v/>
      </c>
      <c r="Q892" s="31" t="str">
        <f aca="false">IF(D892="","",IFERROR(INDEX(Sancoes!$D:$D,MATCH(D892,Sancoes!$C:$C,0)),"não consta"))</f>
        <v/>
      </c>
      <c r="R892" s="25" t="str">
        <f aca="false">IF(OR(D892="",H892=""),"",IF(SUMPRODUCT((Sancoes!$C$5:$C$304=D892)*(Sancoes!$G$5:$G$304&lt;=H892)*(((Sancoes!$H$5:$H$304="")+(Sancoes!$H$5:$H$304&gt;=H892))&gt;0))&gt;0,"SANÇÃO VIGENTE NA DATA — ler tipo e abrangência",""))</f>
        <v/>
      </c>
      <c r="S892" s="24"/>
      <c r="T892" s="11"/>
    </row>
    <row r="893" customFormat="false" ht="15" hidden="false" customHeight="false" outlineLevel="0" collapsed="false">
      <c r="A893" s="11"/>
      <c r="B893" s="24"/>
      <c r="C893" s="24"/>
      <c r="D893" s="31" t="str">
        <f aca="false">IF(C893="","",IF(LEN(UPPER(SUBSTITUTE(SUBSTITUTE(SUBSTITUTE(SUBSTITUTE(TRIM(C893),".",""),"/",""),"-","")," ","")))&lt;14,RIGHT(REPT("0",14)&amp;UPPER(SUBSTITUTE(SUBSTITUTE(SUBSTITUTE(SUBSTITUTE(TRIM(C893),".",""),"/",""),"-","")," ","")),14),UPPER(SUBSTITUTE(SUBSTITUTE(SUBSTITUTE(SUBSTITUTE(TRIM(C893),".",""),"/",""),"-","")," ",""))))</f>
        <v/>
      </c>
      <c r="E893" s="25" t="str">
        <f aca="false">IF(D893="","",IFERROR(INDEX(Empresas!$C:$C,MATCH(D893,Empresas!$B:$B,0)),"cadastre o CNPJ em Empresas"))</f>
        <v/>
      </c>
      <c r="F893" s="11"/>
      <c r="G893" s="23"/>
      <c r="H893" s="22"/>
      <c r="I893" s="35"/>
      <c r="J893" s="35"/>
      <c r="K893" s="36" t="str">
        <f aca="false">IF(I893="","",I893+J893)</f>
        <v/>
      </c>
      <c r="L893" s="37" t="str">
        <f aca="false">IF(OR(I893="",I893=0,J893=""),"",J893/I893)</f>
        <v/>
      </c>
      <c r="M893" s="25" t="str">
        <f aca="false">IF(L893="","",IF(L893&gt;0.25,"ACRÉSCIMO ACIMA DE 25% — conferir",""))</f>
        <v/>
      </c>
      <c r="N893" s="29" t="str">
        <f aca="false">IF(D893="","",IF(COUNTIFS(Empresas!$B:$B,D893,Empresas!$E:$E,"&lt;&gt;")=0,"",INDEX(Empresas!$E:$E,MATCH(D893,Empresas!$B:$B,0))))</f>
        <v/>
      </c>
      <c r="O893" s="27" t="str">
        <f aca="false">IF(OR(N893="",H893=""),"",H893-N893)</f>
        <v/>
      </c>
      <c r="P893" s="25" t="str">
        <f aca="false">IF(O893="","",IF(O893&lt;0,"CONTRATO ANTERIOR À ABERTURA — conferir datas",IF(O893&lt;180,"EMPRESA ABERTA MENOS DE 6 MESES ANTES","")))</f>
        <v/>
      </c>
      <c r="Q893" s="31" t="str">
        <f aca="false">IF(D893="","",IFERROR(INDEX(Sancoes!$D:$D,MATCH(D893,Sancoes!$C:$C,0)),"não consta"))</f>
        <v/>
      </c>
      <c r="R893" s="25" t="str">
        <f aca="false">IF(OR(D893="",H893=""),"",IF(SUMPRODUCT((Sancoes!$C$5:$C$304=D893)*(Sancoes!$G$5:$G$304&lt;=H893)*(((Sancoes!$H$5:$H$304="")+(Sancoes!$H$5:$H$304&gt;=H893))&gt;0))&gt;0,"SANÇÃO VIGENTE NA DATA — ler tipo e abrangência",""))</f>
        <v/>
      </c>
      <c r="S893" s="24"/>
      <c r="T893" s="11"/>
    </row>
    <row r="894" customFormat="false" ht="15" hidden="false" customHeight="false" outlineLevel="0" collapsed="false">
      <c r="A894" s="11"/>
      <c r="B894" s="24"/>
      <c r="C894" s="24"/>
      <c r="D894" s="31" t="str">
        <f aca="false">IF(C894="","",IF(LEN(UPPER(SUBSTITUTE(SUBSTITUTE(SUBSTITUTE(SUBSTITUTE(TRIM(C894),".",""),"/",""),"-","")," ","")))&lt;14,RIGHT(REPT("0",14)&amp;UPPER(SUBSTITUTE(SUBSTITUTE(SUBSTITUTE(SUBSTITUTE(TRIM(C894),".",""),"/",""),"-","")," ","")),14),UPPER(SUBSTITUTE(SUBSTITUTE(SUBSTITUTE(SUBSTITUTE(TRIM(C894),".",""),"/",""),"-","")," ",""))))</f>
        <v/>
      </c>
      <c r="E894" s="25" t="str">
        <f aca="false">IF(D894="","",IFERROR(INDEX(Empresas!$C:$C,MATCH(D894,Empresas!$B:$B,0)),"cadastre o CNPJ em Empresas"))</f>
        <v/>
      </c>
      <c r="F894" s="11"/>
      <c r="G894" s="23"/>
      <c r="H894" s="22"/>
      <c r="I894" s="35"/>
      <c r="J894" s="35"/>
      <c r="K894" s="36" t="str">
        <f aca="false">IF(I894="","",I894+J894)</f>
        <v/>
      </c>
      <c r="L894" s="37" t="str">
        <f aca="false">IF(OR(I894="",I894=0,J894=""),"",J894/I894)</f>
        <v/>
      </c>
      <c r="M894" s="25" t="str">
        <f aca="false">IF(L894="","",IF(L894&gt;0.25,"ACRÉSCIMO ACIMA DE 25% — conferir",""))</f>
        <v/>
      </c>
      <c r="N894" s="29" t="str">
        <f aca="false">IF(D894="","",IF(COUNTIFS(Empresas!$B:$B,D894,Empresas!$E:$E,"&lt;&gt;")=0,"",INDEX(Empresas!$E:$E,MATCH(D894,Empresas!$B:$B,0))))</f>
        <v/>
      </c>
      <c r="O894" s="27" t="str">
        <f aca="false">IF(OR(N894="",H894=""),"",H894-N894)</f>
        <v/>
      </c>
      <c r="P894" s="25" t="str">
        <f aca="false">IF(O894="","",IF(O894&lt;0,"CONTRATO ANTERIOR À ABERTURA — conferir datas",IF(O894&lt;180,"EMPRESA ABERTA MENOS DE 6 MESES ANTES","")))</f>
        <v/>
      </c>
      <c r="Q894" s="31" t="str">
        <f aca="false">IF(D894="","",IFERROR(INDEX(Sancoes!$D:$D,MATCH(D894,Sancoes!$C:$C,0)),"não consta"))</f>
        <v/>
      </c>
      <c r="R894" s="25" t="str">
        <f aca="false">IF(OR(D894="",H894=""),"",IF(SUMPRODUCT((Sancoes!$C$5:$C$304=D894)*(Sancoes!$G$5:$G$304&lt;=H894)*(((Sancoes!$H$5:$H$304="")+(Sancoes!$H$5:$H$304&gt;=H894))&gt;0))&gt;0,"SANÇÃO VIGENTE NA DATA — ler tipo e abrangência",""))</f>
        <v/>
      </c>
      <c r="S894" s="24"/>
      <c r="T894" s="11"/>
    </row>
    <row r="895" customFormat="false" ht="15" hidden="false" customHeight="false" outlineLevel="0" collapsed="false">
      <c r="A895" s="11"/>
      <c r="B895" s="24"/>
      <c r="C895" s="24"/>
      <c r="D895" s="31" t="str">
        <f aca="false">IF(C895="","",IF(LEN(UPPER(SUBSTITUTE(SUBSTITUTE(SUBSTITUTE(SUBSTITUTE(TRIM(C895),".",""),"/",""),"-","")," ","")))&lt;14,RIGHT(REPT("0",14)&amp;UPPER(SUBSTITUTE(SUBSTITUTE(SUBSTITUTE(SUBSTITUTE(TRIM(C895),".",""),"/",""),"-","")," ","")),14),UPPER(SUBSTITUTE(SUBSTITUTE(SUBSTITUTE(SUBSTITUTE(TRIM(C895),".",""),"/",""),"-","")," ",""))))</f>
        <v/>
      </c>
      <c r="E895" s="25" t="str">
        <f aca="false">IF(D895="","",IFERROR(INDEX(Empresas!$C:$C,MATCH(D895,Empresas!$B:$B,0)),"cadastre o CNPJ em Empresas"))</f>
        <v/>
      </c>
      <c r="F895" s="11"/>
      <c r="G895" s="23"/>
      <c r="H895" s="22"/>
      <c r="I895" s="35"/>
      <c r="J895" s="35"/>
      <c r="K895" s="36" t="str">
        <f aca="false">IF(I895="","",I895+J895)</f>
        <v/>
      </c>
      <c r="L895" s="37" t="str">
        <f aca="false">IF(OR(I895="",I895=0,J895=""),"",J895/I895)</f>
        <v/>
      </c>
      <c r="M895" s="25" t="str">
        <f aca="false">IF(L895="","",IF(L895&gt;0.25,"ACRÉSCIMO ACIMA DE 25% — conferir",""))</f>
        <v/>
      </c>
      <c r="N895" s="29" t="str">
        <f aca="false">IF(D895="","",IF(COUNTIFS(Empresas!$B:$B,D895,Empresas!$E:$E,"&lt;&gt;")=0,"",INDEX(Empresas!$E:$E,MATCH(D895,Empresas!$B:$B,0))))</f>
        <v/>
      </c>
      <c r="O895" s="27" t="str">
        <f aca="false">IF(OR(N895="",H895=""),"",H895-N895)</f>
        <v/>
      </c>
      <c r="P895" s="25" t="str">
        <f aca="false">IF(O895="","",IF(O895&lt;0,"CONTRATO ANTERIOR À ABERTURA — conferir datas",IF(O895&lt;180,"EMPRESA ABERTA MENOS DE 6 MESES ANTES","")))</f>
        <v/>
      </c>
      <c r="Q895" s="31" t="str">
        <f aca="false">IF(D895="","",IFERROR(INDEX(Sancoes!$D:$D,MATCH(D895,Sancoes!$C:$C,0)),"não consta"))</f>
        <v/>
      </c>
      <c r="R895" s="25" t="str">
        <f aca="false">IF(OR(D895="",H895=""),"",IF(SUMPRODUCT((Sancoes!$C$5:$C$304=D895)*(Sancoes!$G$5:$G$304&lt;=H895)*(((Sancoes!$H$5:$H$304="")+(Sancoes!$H$5:$H$304&gt;=H895))&gt;0))&gt;0,"SANÇÃO VIGENTE NA DATA — ler tipo e abrangência",""))</f>
        <v/>
      </c>
      <c r="S895" s="24"/>
      <c r="T895" s="11"/>
    </row>
    <row r="896" customFormat="false" ht="15" hidden="false" customHeight="false" outlineLevel="0" collapsed="false">
      <c r="A896" s="11"/>
      <c r="B896" s="24"/>
      <c r="C896" s="24"/>
      <c r="D896" s="31" t="str">
        <f aca="false">IF(C896="","",IF(LEN(UPPER(SUBSTITUTE(SUBSTITUTE(SUBSTITUTE(SUBSTITUTE(TRIM(C896),".",""),"/",""),"-","")," ","")))&lt;14,RIGHT(REPT("0",14)&amp;UPPER(SUBSTITUTE(SUBSTITUTE(SUBSTITUTE(SUBSTITUTE(TRIM(C896),".",""),"/",""),"-","")," ","")),14),UPPER(SUBSTITUTE(SUBSTITUTE(SUBSTITUTE(SUBSTITUTE(TRIM(C896),".",""),"/",""),"-","")," ",""))))</f>
        <v/>
      </c>
      <c r="E896" s="25" t="str">
        <f aca="false">IF(D896="","",IFERROR(INDEX(Empresas!$C:$C,MATCH(D896,Empresas!$B:$B,0)),"cadastre o CNPJ em Empresas"))</f>
        <v/>
      </c>
      <c r="F896" s="11"/>
      <c r="G896" s="23"/>
      <c r="H896" s="22"/>
      <c r="I896" s="35"/>
      <c r="J896" s="35"/>
      <c r="K896" s="36" t="str">
        <f aca="false">IF(I896="","",I896+J896)</f>
        <v/>
      </c>
      <c r="L896" s="37" t="str">
        <f aca="false">IF(OR(I896="",I896=0,J896=""),"",J896/I896)</f>
        <v/>
      </c>
      <c r="M896" s="25" t="str">
        <f aca="false">IF(L896="","",IF(L896&gt;0.25,"ACRÉSCIMO ACIMA DE 25% — conferir",""))</f>
        <v/>
      </c>
      <c r="N896" s="29" t="str">
        <f aca="false">IF(D896="","",IF(COUNTIFS(Empresas!$B:$B,D896,Empresas!$E:$E,"&lt;&gt;")=0,"",INDEX(Empresas!$E:$E,MATCH(D896,Empresas!$B:$B,0))))</f>
        <v/>
      </c>
      <c r="O896" s="27" t="str">
        <f aca="false">IF(OR(N896="",H896=""),"",H896-N896)</f>
        <v/>
      </c>
      <c r="P896" s="25" t="str">
        <f aca="false">IF(O896="","",IF(O896&lt;0,"CONTRATO ANTERIOR À ABERTURA — conferir datas",IF(O896&lt;180,"EMPRESA ABERTA MENOS DE 6 MESES ANTES","")))</f>
        <v/>
      </c>
      <c r="Q896" s="31" t="str">
        <f aca="false">IF(D896="","",IFERROR(INDEX(Sancoes!$D:$D,MATCH(D896,Sancoes!$C:$C,0)),"não consta"))</f>
        <v/>
      </c>
      <c r="R896" s="25" t="str">
        <f aca="false">IF(OR(D896="",H896=""),"",IF(SUMPRODUCT((Sancoes!$C$5:$C$304=D896)*(Sancoes!$G$5:$G$304&lt;=H896)*(((Sancoes!$H$5:$H$304="")+(Sancoes!$H$5:$H$304&gt;=H896))&gt;0))&gt;0,"SANÇÃO VIGENTE NA DATA — ler tipo e abrangência",""))</f>
        <v/>
      </c>
      <c r="S896" s="24"/>
      <c r="T896" s="11"/>
    </row>
    <row r="897" customFormat="false" ht="15" hidden="false" customHeight="false" outlineLevel="0" collapsed="false">
      <c r="A897" s="11"/>
      <c r="B897" s="24"/>
      <c r="C897" s="24"/>
      <c r="D897" s="31" t="str">
        <f aca="false">IF(C897="","",IF(LEN(UPPER(SUBSTITUTE(SUBSTITUTE(SUBSTITUTE(SUBSTITUTE(TRIM(C897),".",""),"/",""),"-","")," ","")))&lt;14,RIGHT(REPT("0",14)&amp;UPPER(SUBSTITUTE(SUBSTITUTE(SUBSTITUTE(SUBSTITUTE(TRIM(C897),".",""),"/",""),"-","")," ","")),14),UPPER(SUBSTITUTE(SUBSTITUTE(SUBSTITUTE(SUBSTITUTE(TRIM(C897),".",""),"/",""),"-","")," ",""))))</f>
        <v/>
      </c>
      <c r="E897" s="25" t="str">
        <f aca="false">IF(D897="","",IFERROR(INDEX(Empresas!$C:$C,MATCH(D897,Empresas!$B:$B,0)),"cadastre o CNPJ em Empresas"))</f>
        <v/>
      </c>
      <c r="F897" s="11"/>
      <c r="G897" s="23"/>
      <c r="H897" s="22"/>
      <c r="I897" s="35"/>
      <c r="J897" s="35"/>
      <c r="K897" s="36" t="str">
        <f aca="false">IF(I897="","",I897+J897)</f>
        <v/>
      </c>
      <c r="L897" s="37" t="str">
        <f aca="false">IF(OR(I897="",I897=0,J897=""),"",J897/I897)</f>
        <v/>
      </c>
      <c r="M897" s="25" t="str">
        <f aca="false">IF(L897="","",IF(L897&gt;0.25,"ACRÉSCIMO ACIMA DE 25% — conferir",""))</f>
        <v/>
      </c>
      <c r="N897" s="29" t="str">
        <f aca="false">IF(D897="","",IF(COUNTIFS(Empresas!$B:$B,D897,Empresas!$E:$E,"&lt;&gt;")=0,"",INDEX(Empresas!$E:$E,MATCH(D897,Empresas!$B:$B,0))))</f>
        <v/>
      </c>
      <c r="O897" s="27" t="str">
        <f aca="false">IF(OR(N897="",H897=""),"",H897-N897)</f>
        <v/>
      </c>
      <c r="P897" s="25" t="str">
        <f aca="false">IF(O897="","",IF(O897&lt;0,"CONTRATO ANTERIOR À ABERTURA — conferir datas",IF(O897&lt;180,"EMPRESA ABERTA MENOS DE 6 MESES ANTES","")))</f>
        <v/>
      </c>
      <c r="Q897" s="31" t="str">
        <f aca="false">IF(D897="","",IFERROR(INDEX(Sancoes!$D:$D,MATCH(D897,Sancoes!$C:$C,0)),"não consta"))</f>
        <v/>
      </c>
      <c r="R897" s="25" t="str">
        <f aca="false">IF(OR(D897="",H897=""),"",IF(SUMPRODUCT((Sancoes!$C$5:$C$304=D897)*(Sancoes!$G$5:$G$304&lt;=H897)*(((Sancoes!$H$5:$H$304="")+(Sancoes!$H$5:$H$304&gt;=H897))&gt;0))&gt;0,"SANÇÃO VIGENTE NA DATA — ler tipo e abrangência",""))</f>
        <v/>
      </c>
      <c r="S897" s="24"/>
      <c r="T897" s="11"/>
    </row>
    <row r="898" customFormat="false" ht="15" hidden="false" customHeight="false" outlineLevel="0" collapsed="false">
      <c r="A898" s="11"/>
      <c r="B898" s="24"/>
      <c r="C898" s="24"/>
      <c r="D898" s="31" t="str">
        <f aca="false">IF(C898="","",IF(LEN(UPPER(SUBSTITUTE(SUBSTITUTE(SUBSTITUTE(SUBSTITUTE(TRIM(C898),".",""),"/",""),"-","")," ","")))&lt;14,RIGHT(REPT("0",14)&amp;UPPER(SUBSTITUTE(SUBSTITUTE(SUBSTITUTE(SUBSTITUTE(TRIM(C898),".",""),"/",""),"-","")," ","")),14),UPPER(SUBSTITUTE(SUBSTITUTE(SUBSTITUTE(SUBSTITUTE(TRIM(C898),".",""),"/",""),"-","")," ",""))))</f>
        <v/>
      </c>
      <c r="E898" s="25" t="str">
        <f aca="false">IF(D898="","",IFERROR(INDEX(Empresas!$C:$C,MATCH(D898,Empresas!$B:$B,0)),"cadastre o CNPJ em Empresas"))</f>
        <v/>
      </c>
      <c r="F898" s="11"/>
      <c r="G898" s="23"/>
      <c r="H898" s="22"/>
      <c r="I898" s="35"/>
      <c r="J898" s="35"/>
      <c r="K898" s="36" t="str">
        <f aca="false">IF(I898="","",I898+J898)</f>
        <v/>
      </c>
      <c r="L898" s="37" t="str">
        <f aca="false">IF(OR(I898="",I898=0,J898=""),"",J898/I898)</f>
        <v/>
      </c>
      <c r="M898" s="25" t="str">
        <f aca="false">IF(L898="","",IF(L898&gt;0.25,"ACRÉSCIMO ACIMA DE 25% — conferir",""))</f>
        <v/>
      </c>
      <c r="N898" s="29" t="str">
        <f aca="false">IF(D898="","",IF(COUNTIFS(Empresas!$B:$B,D898,Empresas!$E:$E,"&lt;&gt;")=0,"",INDEX(Empresas!$E:$E,MATCH(D898,Empresas!$B:$B,0))))</f>
        <v/>
      </c>
      <c r="O898" s="27" t="str">
        <f aca="false">IF(OR(N898="",H898=""),"",H898-N898)</f>
        <v/>
      </c>
      <c r="P898" s="25" t="str">
        <f aca="false">IF(O898="","",IF(O898&lt;0,"CONTRATO ANTERIOR À ABERTURA — conferir datas",IF(O898&lt;180,"EMPRESA ABERTA MENOS DE 6 MESES ANTES","")))</f>
        <v/>
      </c>
      <c r="Q898" s="31" t="str">
        <f aca="false">IF(D898="","",IFERROR(INDEX(Sancoes!$D:$D,MATCH(D898,Sancoes!$C:$C,0)),"não consta"))</f>
        <v/>
      </c>
      <c r="R898" s="25" t="str">
        <f aca="false">IF(OR(D898="",H898=""),"",IF(SUMPRODUCT((Sancoes!$C$5:$C$304=D898)*(Sancoes!$G$5:$G$304&lt;=H898)*(((Sancoes!$H$5:$H$304="")+(Sancoes!$H$5:$H$304&gt;=H898))&gt;0))&gt;0,"SANÇÃO VIGENTE NA DATA — ler tipo e abrangência",""))</f>
        <v/>
      </c>
      <c r="S898" s="24"/>
      <c r="T898" s="11"/>
    </row>
    <row r="899" customFormat="false" ht="15" hidden="false" customHeight="false" outlineLevel="0" collapsed="false">
      <c r="A899" s="11"/>
      <c r="B899" s="24"/>
      <c r="C899" s="24"/>
      <c r="D899" s="31" t="str">
        <f aca="false">IF(C899="","",IF(LEN(UPPER(SUBSTITUTE(SUBSTITUTE(SUBSTITUTE(SUBSTITUTE(TRIM(C899),".",""),"/",""),"-","")," ","")))&lt;14,RIGHT(REPT("0",14)&amp;UPPER(SUBSTITUTE(SUBSTITUTE(SUBSTITUTE(SUBSTITUTE(TRIM(C899),".",""),"/",""),"-","")," ","")),14),UPPER(SUBSTITUTE(SUBSTITUTE(SUBSTITUTE(SUBSTITUTE(TRIM(C899),".",""),"/",""),"-","")," ",""))))</f>
        <v/>
      </c>
      <c r="E899" s="25" t="str">
        <f aca="false">IF(D899="","",IFERROR(INDEX(Empresas!$C:$C,MATCH(D899,Empresas!$B:$B,0)),"cadastre o CNPJ em Empresas"))</f>
        <v/>
      </c>
      <c r="F899" s="11"/>
      <c r="G899" s="23"/>
      <c r="H899" s="22"/>
      <c r="I899" s="35"/>
      <c r="J899" s="35"/>
      <c r="K899" s="36" t="str">
        <f aca="false">IF(I899="","",I899+J899)</f>
        <v/>
      </c>
      <c r="L899" s="37" t="str">
        <f aca="false">IF(OR(I899="",I899=0,J899=""),"",J899/I899)</f>
        <v/>
      </c>
      <c r="M899" s="25" t="str">
        <f aca="false">IF(L899="","",IF(L899&gt;0.25,"ACRÉSCIMO ACIMA DE 25% — conferir",""))</f>
        <v/>
      </c>
      <c r="N899" s="29" t="str">
        <f aca="false">IF(D899="","",IF(COUNTIFS(Empresas!$B:$B,D899,Empresas!$E:$E,"&lt;&gt;")=0,"",INDEX(Empresas!$E:$E,MATCH(D899,Empresas!$B:$B,0))))</f>
        <v/>
      </c>
      <c r="O899" s="27" t="str">
        <f aca="false">IF(OR(N899="",H899=""),"",H899-N899)</f>
        <v/>
      </c>
      <c r="P899" s="25" t="str">
        <f aca="false">IF(O899="","",IF(O899&lt;0,"CONTRATO ANTERIOR À ABERTURA — conferir datas",IF(O899&lt;180,"EMPRESA ABERTA MENOS DE 6 MESES ANTES","")))</f>
        <v/>
      </c>
      <c r="Q899" s="31" t="str">
        <f aca="false">IF(D899="","",IFERROR(INDEX(Sancoes!$D:$D,MATCH(D899,Sancoes!$C:$C,0)),"não consta"))</f>
        <v/>
      </c>
      <c r="R899" s="25" t="str">
        <f aca="false">IF(OR(D899="",H899=""),"",IF(SUMPRODUCT((Sancoes!$C$5:$C$304=D899)*(Sancoes!$G$5:$G$304&lt;=H899)*(((Sancoes!$H$5:$H$304="")+(Sancoes!$H$5:$H$304&gt;=H899))&gt;0))&gt;0,"SANÇÃO VIGENTE NA DATA — ler tipo e abrangência",""))</f>
        <v/>
      </c>
      <c r="S899" s="24"/>
      <c r="T899" s="11"/>
    </row>
    <row r="900" customFormat="false" ht="15" hidden="false" customHeight="false" outlineLevel="0" collapsed="false">
      <c r="A900" s="11"/>
      <c r="B900" s="24"/>
      <c r="C900" s="24"/>
      <c r="D900" s="31" t="str">
        <f aca="false">IF(C900="","",IF(LEN(UPPER(SUBSTITUTE(SUBSTITUTE(SUBSTITUTE(SUBSTITUTE(TRIM(C900),".",""),"/",""),"-","")," ","")))&lt;14,RIGHT(REPT("0",14)&amp;UPPER(SUBSTITUTE(SUBSTITUTE(SUBSTITUTE(SUBSTITUTE(TRIM(C900),".",""),"/",""),"-","")," ","")),14),UPPER(SUBSTITUTE(SUBSTITUTE(SUBSTITUTE(SUBSTITUTE(TRIM(C900),".",""),"/",""),"-","")," ",""))))</f>
        <v/>
      </c>
      <c r="E900" s="25" t="str">
        <f aca="false">IF(D900="","",IFERROR(INDEX(Empresas!$C:$C,MATCH(D900,Empresas!$B:$B,0)),"cadastre o CNPJ em Empresas"))</f>
        <v/>
      </c>
      <c r="F900" s="11"/>
      <c r="G900" s="23"/>
      <c r="H900" s="22"/>
      <c r="I900" s="35"/>
      <c r="J900" s="35"/>
      <c r="K900" s="36" t="str">
        <f aca="false">IF(I900="","",I900+J900)</f>
        <v/>
      </c>
      <c r="L900" s="37" t="str">
        <f aca="false">IF(OR(I900="",I900=0,J900=""),"",J900/I900)</f>
        <v/>
      </c>
      <c r="M900" s="25" t="str">
        <f aca="false">IF(L900="","",IF(L900&gt;0.25,"ACRÉSCIMO ACIMA DE 25% — conferir",""))</f>
        <v/>
      </c>
      <c r="N900" s="29" t="str">
        <f aca="false">IF(D900="","",IF(COUNTIFS(Empresas!$B:$B,D900,Empresas!$E:$E,"&lt;&gt;")=0,"",INDEX(Empresas!$E:$E,MATCH(D900,Empresas!$B:$B,0))))</f>
        <v/>
      </c>
      <c r="O900" s="27" t="str">
        <f aca="false">IF(OR(N900="",H900=""),"",H900-N900)</f>
        <v/>
      </c>
      <c r="P900" s="25" t="str">
        <f aca="false">IF(O900="","",IF(O900&lt;0,"CONTRATO ANTERIOR À ABERTURA — conferir datas",IF(O900&lt;180,"EMPRESA ABERTA MENOS DE 6 MESES ANTES","")))</f>
        <v/>
      </c>
      <c r="Q900" s="31" t="str">
        <f aca="false">IF(D900="","",IFERROR(INDEX(Sancoes!$D:$D,MATCH(D900,Sancoes!$C:$C,0)),"não consta"))</f>
        <v/>
      </c>
      <c r="R900" s="25" t="str">
        <f aca="false">IF(OR(D900="",H900=""),"",IF(SUMPRODUCT((Sancoes!$C$5:$C$304=D900)*(Sancoes!$G$5:$G$304&lt;=H900)*(((Sancoes!$H$5:$H$304="")+(Sancoes!$H$5:$H$304&gt;=H900))&gt;0))&gt;0,"SANÇÃO VIGENTE NA DATA — ler tipo e abrangência",""))</f>
        <v/>
      </c>
      <c r="S900" s="24"/>
      <c r="T900" s="11"/>
    </row>
    <row r="901" customFormat="false" ht="15" hidden="false" customHeight="false" outlineLevel="0" collapsed="false">
      <c r="A901" s="11"/>
      <c r="B901" s="24"/>
      <c r="C901" s="24"/>
      <c r="D901" s="31" t="str">
        <f aca="false">IF(C901="","",IF(LEN(UPPER(SUBSTITUTE(SUBSTITUTE(SUBSTITUTE(SUBSTITUTE(TRIM(C901),".",""),"/",""),"-","")," ","")))&lt;14,RIGHT(REPT("0",14)&amp;UPPER(SUBSTITUTE(SUBSTITUTE(SUBSTITUTE(SUBSTITUTE(TRIM(C901),".",""),"/",""),"-","")," ","")),14),UPPER(SUBSTITUTE(SUBSTITUTE(SUBSTITUTE(SUBSTITUTE(TRIM(C901),".",""),"/",""),"-","")," ",""))))</f>
        <v/>
      </c>
      <c r="E901" s="25" t="str">
        <f aca="false">IF(D901="","",IFERROR(INDEX(Empresas!$C:$C,MATCH(D901,Empresas!$B:$B,0)),"cadastre o CNPJ em Empresas"))</f>
        <v/>
      </c>
      <c r="F901" s="11"/>
      <c r="G901" s="23"/>
      <c r="H901" s="22"/>
      <c r="I901" s="35"/>
      <c r="J901" s="35"/>
      <c r="K901" s="36" t="str">
        <f aca="false">IF(I901="","",I901+J901)</f>
        <v/>
      </c>
      <c r="L901" s="37" t="str">
        <f aca="false">IF(OR(I901="",I901=0,J901=""),"",J901/I901)</f>
        <v/>
      </c>
      <c r="M901" s="25" t="str">
        <f aca="false">IF(L901="","",IF(L901&gt;0.25,"ACRÉSCIMO ACIMA DE 25% — conferir",""))</f>
        <v/>
      </c>
      <c r="N901" s="29" t="str">
        <f aca="false">IF(D901="","",IF(COUNTIFS(Empresas!$B:$B,D901,Empresas!$E:$E,"&lt;&gt;")=0,"",INDEX(Empresas!$E:$E,MATCH(D901,Empresas!$B:$B,0))))</f>
        <v/>
      </c>
      <c r="O901" s="27" t="str">
        <f aca="false">IF(OR(N901="",H901=""),"",H901-N901)</f>
        <v/>
      </c>
      <c r="P901" s="25" t="str">
        <f aca="false">IF(O901="","",IF(O901&lt;0,"CONTRATO ANTERIOR À ABERTURA — conferir datas",IF(O901&lt;180,"EMPRESA ABERTA MENOS DE 6 MESES ANTES","")))</f>
        <v/>
      </c>
      <c r="Q901" s="31" t="str">
        <f aca="false">IF(D901="","",IFERROR(INDEX(Sancoes!$D:$D,MATCH(D901,Sancoes!$C:$C,0)),"não consta"))</f>
        <v/>
      </c>
      <c r="R901" s="25" t="str">
        <f aca="false">IF(OR(D901="",H901=""),"",IF(SUMPRODUCT((Sancoes!$C$5:$C$304=D901)*(Sancoes!$G$5:$G$304&lt;=H901)*(((Sancoes!$H$5:$H$304="")+(Sancoes!$H$5:$H$304&gt;=H901))&gt;0))&gt;0,"SANÇÃO VIGENTE NA DATA — ler tipo e abrangência",""))</f>
        <v/>
      </c>
      <c r="S901" s="24"/>
      <c r="T901" s="11"/>
    </row>
    <row r="902" customFormat="false" ht="15" hidden="false" customHeight="false" outlineLevel="0" collapsed="false">
      <c r="A902" s="11"/>
      <c r="B902" s="24"/>
      <c r="C902" s="24"/>
      <c r="D902" s="31" t="str">
        <f aca="false">IF(C902="","",IF(LEN(UPPER(SUBSTITUTE(SUBSTITUTE(SUBSTITUTE(SUBSTITUTE(TRIM(C902),".",""),"/",""),"-","")," ","")))&lt;14,RIGHT(REPT("0",14)&amp;UPPER(SUBSTITUTE(SUBSTITUTE(SUBSTITUTE(SUBSTITUTE(TRIM(C902),".",""),"/",""),"-","")," ","")),14),UPPER(SUBSTITUTE(SUBSTITUTE(SUBSTITUTE(SUBSTITUTE(TRIM(C902),".",""),"/",""),"-","")," ",""))))</f>
        <v/>
      </c>
      <c r="E902" s="25" t="str">
        <f aca="false">IF(D902="","",IFERROR(INDEX(Empresas!$C:$C,MATCH(D902,Empresas!$B:$B,0)),"cadastre o CNPJ em Empresas"))</f>
        <v/>
      </c>
      <c r="F902" s="11"/>
      <c r="G902" s="23"/>
      <c r="H902" s="22"/>
      <c r="I902" s="35"/>
      <c r="J902" s="35"/>
      <c r="K902" s="36" t="str">
        <f aca="false">IF(I902="","",I902+J902)</f>
        <v/>
      </c>
      <c r="L902" s="37" t="str">
        <f aca="false">IF(OR(I902="",I902=0,J902=""),"",J902/I902)</f>
        <v/>
      </c>
      <c r="M902" s="25" t="str">
        <f aca="false">IF(L902="","",IF(L902&gt;0.25,"ACRÉSCIMO ACIMA DE 25% — conferir",""))</f>
        <v/>
      </c>
      <c r="N902" s="29" t="str">
        <f aca="false">IF(D902="","",IF(COUNTIFS(Empresas!$B:$B,D902,Empresas!$E:$E,"&lt;&gt;")=0,"",INDEX(Empresas!$E:$E,MATCH(D902,Empresas!$B:$B,0))))</f>
        <v/>
      </c>
      <c r="O902" s="27" t="str">
        <f aca="false">IF(OR(N902="",H902=""),"",H902-N902)</f>
        <v/>
      </c>
      <c r="P902" s="25" t="str">
        <f aca="false">IF(O902="","",IF(O902&lt;0,"CONTRATO ANTERIOR À ABERTURA — conferir datas",IF(O902&lt;180,"EMPRESA ABERTA MENOS DE 6 MESES ANTES","")))</f>
        <v/>
      </c>
      <c r="Q902" s="31" t="str">
        <f aca="false">IF(D902="","",IFERROR(INDEX(Sancoes!$D:$D,MATCH(D902,Sancoes!$C:$C,0)),"não consta"))</f>
        <v/>
      </c>
      <c r="R902" s="25" t="str">
        <f aca="false">IF(OR(D902="",H902=""),"",IF(SUMPRODUCT((Sancoes!$C$5:$C$304=D902)*(Sancoes!$G$5:$G$304&lt;=H902)*(((Sancoes!$H$5:$H$304="")+(Sancoes!$H$5:$H$304&gt;=H902))&gt;0))&gt;0,"SANÇÃO VIGENTE NA DATA — ler tipo e abrangência",""))</f>
        <v/>
      </c>
      <c r="S902" s="24"/>
      <c r="T902" s="11"/>
    </row>
    <row r="903" customFormat="false" ht="15" hidden="false" customHeight="false" outlineLevel="0" collapsed="false">
      <c r="A903" s="11"/>
      <c r="B903" s="24"/>
      <c r="C903" s="24"/>
      <c r="D903" s="31" t="str">
        <f aca="false">IF(C903="","",IF(LEN(UPPER(SUBSTITUTE(SUBSTITUTE(SUBSTITUTE(SUBSTITUTE(TRIM(C903),".",""),"/",""),"-","")," ","")))&lt;14,RIGHT(REPT("0",14)&amp;UPPER(SUBSTITUTE(SUBSTITUTE(SUBSTITUTE(SUBSTITUTE(TRIM(C903),".",""),"/",""),"-","")," ","")),14),UPPER(SUBSTITUTE(SUBSTITUTE(SUBSTITUTE(SUBSTITUTE(TRIM(C903),".",""),"/",""),"-","")," ",""))))</f>
        <v/>
      </c>
      <c r="E903" s="25" t="str">
        <f aca="false">IF(D903="","",IFERROR(INDEX(Empresas!$C:$C,MATCH(D903,Empresas!$B:$B,0)),"cadastre o CNPJ em Empresas"))</f>
        <v/>
      </c>
      <c r="F903" s="11"/>
      <c r="G903" s="23"/>
      <c r="H903" s="22"/>
      <c r="I903" s="35"/>
      <c r="J903" s="35"/>
      <c r="K903" s="36" t="str">
        <f aca="false">IF(I903="","",I903+J903)</f>
        <v/>
      </c>
      <c r="L903" s="37" t="str">
        <f aca="false">IF(OR(I903="",I903=0,J903=""),"",J903/I903)</f>
        <v/>
      </c>
      <c r="M903" s="25" t="str">
        <f aca="false">IF(L903="","",IF(L903&gt;0.25,"ACRÉSCIMO ACIMA DE 25% — conferir",""))</f>
        <v/>
      </c>
      <c r="N903" s="29" t="str">
        <f aca="false">IF(D903="","",IF(COUNTIFS(Empresas!$B:$B,D903,Empresas!$E:$E,"&lt;&gt;")=0,"",INDEX(Empresas!$E:$E,MATCH(D903,Empresas!$B:$B,0))))</f>
        <v/>
      </c>
      <c r="O903" s="27" t="str">
        <f aca="false">IF(OR(N903="",H903=""),"",H903-N903)</f>
        <v/>
      </c>
      <c r="P903" s="25" t="str">
        <f aca="false">IF(O903="","",IF(O903&lt;0,"CONTRATO ANTERIOR À ABERTURA — conferir datas",IF(O903&lt;180,"EMPRESA ABERTA MENOS DE 6 MESES ANTES","")))</f>
        <v/>
      </c>
      <c r="Q903" s="31" t="str">
        <f aca="false">IF(D903="","",IFERROR(INDEX(Sancoes!$D:$D,MATCH(D903,Sancoes!$C:$C,0)),"não consta"))</f>
        <v/>
      </c>
      <c r="R903" s="25" t="str">
        <f aca="false">IF(OR(D903="",H903=""),"",IF(SUMPRODUCT((Sancoes!$C$5:$C$304=D903)*(Sancoes!$G$5:$G$304&lt;=H903)*(((Sancoes!$H$5:$H$304="")+(Sancoes!$H$5:$H$304&gt;=H903))&gt;0))&gt;0,"SANÇÃO VIGENTE NA DATA — ler tipo e abrangência",""))</f>
        <v/>
      </c>
      <c r="S903" s="24"/>
      <c r="T903" s="11"/>
    </row>
    <row r="904" customFormat="false" ht="15" hidden="false" customHeight="false" outlineLevel="0" collapsed="false">
      <c r="A904" s="11"/>
      <c r="B904" s="24"/>
      <c r="C904" s="24"/>
      <c r="D904" s="31" t="str">
        <f aca="false">IF(C904="","",IF(LEN(UPPER(SUBSTITUTE(SUBSTITUTE(SUBSTITUTE(SUBSTITUTE(TRIM(C904),".",""),"/",""),"-","")," ","")))&lt;14,RIGHT(REPT("0",14)&amp;UPPER(SUBSTITUTE(SUBSTITUTE(SUBSTITUTE(SUBSTITUTE(TRIM(C904),".",""),"/",""),"-","")," ","")),14),UPPER(SUBSTITUTE(SUBSTITUTE(SUBSTITUTE(SUBSTITUTE(TRIM(C904),".",""),"/",""),"-","")," ",""))))</f>
        <v/>
      </c>
      <c r="E904" s="25" t="str">
        <f aca="false">IF(D904="","",IFERROR(INDEX(Empresas!$C:$C,MATCH(D904,Empresas!$B:$B,0)),"cadastre o CNPJ em Empresas"))</f>
        <v/>
      </c>
      <c r="F904" s="11"/>
      <c r="G904" s="23"/>
      <c r="H904" s="22"/>
      <c r="I904" s="35"/>
      <c r="J904" s="35"/>
      <c r="K904" s="36" t="str">
        <f aca="false">IF(I904="","",I904+J904)</f>
        <v/>
      </c>
      <c r="L904" s="37" t="str">
        <f aca="false">IF(OR(I904="",I904=0,J904=""),"",J904/I904)</f>
        <v/>
      </c>
      <c r="M904" s="25" t="str">
        <f aca="false">IF(L904="","",IF(L904&gt;0.25,"ACRÉSCIMO ACIMA DE 25% — conferir",""))</f>
        <v/>
      </c>
      <c r="N904" s="29" t="str">
        <f aca="false">IF(D904="","",IF(COUNTIFS(Empresas!$B:$B,D904,Empresas!$E:$E,"&lt;&gt;")=0,"",INDEX(Empresas!$E:$E,MATCH(D904,Empresas!$B:$B,0))))</f>
        <v/>
      </c>
      <c r="O904" s="27" t="str">
        <f aca="false">IF(OR(N904="",H904=""),"",H904-N904)</f>
        <v/>
      </c>
      <c r="P904" s="25" t="str">
        <f aca="false">IF(O904="","",IF(O904&lt;0,"CONTRATO ANTERIOR À ABERTURA — conferir datas",IF(O904&lt;180,"EMPRESA ABERTA MENOS DE 6 MESES ANTES","")))</f>
        <v/>
      </c>
      <c r="Q904" s="31" t="str">
        <f aca="false">IF(D904="","",IFERROR(INDEX(Sancoes!$D:$D,MATCH(D904,Sancoes!$C:$C,0)),"não consta"))</f>
        <v/>
      </c>
      <c r="R904" s="25" t="str">
        <f aca="false">IF(OR(D904="",H904=""),"",IF(SUMPRODUCT((Sancoes!$C$5:$C$304=D904)*(Sancoes!$G$5:$G$304&lt;=H904)*(((Sancoes!$H$5:$H$304="")+(Sancoes!$H$5:$H$304&gt;=H904))&gt;0))&gt;0,"SANÇÃO VIGENTE NA DATA — ler tipo e abrangência",""))</f>
        <v/>
      </c>
      <c r="S904" s="24"/>
      <c r="T904" s="11"/>
    </row>
    <row r="905" customFormat="false" ht="15" hidden="false" customHeight="false" outlineLevel="0" collapsed="false">
      <c r="A905" s="11"/>
      <c r="B905" s="24"/>
      <c r="C905" s="24"/>
      <c r="D905" s="31" t="str">
        <f aca="false">IF(C905="","",IF(LEN(UPPER(SUBSTITUTE(SUBSTITUTE(SUBSTITUTE(SUBSTITUTE(TRIM(C905),".",""),"/",""),"-","")," ","")))&lt;14,RIGHT(REPT("0",14)&amp;UPPER(SUBSTITUTE(SUBSTITUTE(SUBSTITUTE(SUBSTITUTE(TRIM(C905),".",""),"/",""),"-","")," ","")),14),UPPER(SUBSTITUTE(SUBSTITUTE(SUBSTITUTE(SUBSTITUTE(TRIM(C905),".",""),"/",""),"-","")," ",""))))</f>
        <v/>
      </c>
      <c r="E905" s="25" t="str">
        <f aca="false">IF(D905="","",IFERROR(INDEX(Empresas!$C:$C,MATCH(D905,Empresas!$B:$B,0)),"cadastre o CNPJ em Empresas"))</f>
        <v/>
      </c>
      <c r="F905" s="11"/>
      <c r="G905" s="23"/>
      <c r="H905" s="22"/>
      <c r="I905" s="35"/>
      <c r="J905" s="35"/>
      <c r="K905" s="36" t="str">
        <f aca="false">IF(I905="","",I905+J905)</f>
        <v/>
      </c>
      <c r="L905" s="37" t="str">
        <f aca="false">IF(OR(I905="",I905=0,J905=""),"",J905/I905)</f>
        <v/>
      </c>
      <c r="M905" s="25" t="str">
        <f aca="false">IF(L905="","",IF(L905&gt;0.25,"ACRÉSCIMO ACIMA DE 25% — conferir",""))</f>
        <v/>
      </c>
      <c r="N905" s="29" t="str">
        <f aca="false">IF(D905="","",IF(COUNTIFS(Empresas!$B:$B,D905,Empresas!$E:$E,"&lt;&gt;")=0,"",INDEX(Empresas!$E:$E,MATCH(D905,Empresas!$B:$B,0))))</f>
        <v/>
      </c>
      <c r="O905" s="27" t="str">
        <f aca="false">IF(OR(N905="",H905=""),"",H905-N905)</f>
        <v/>
      </c>
      <c r="P905" s="25" t="str">
        <f aca="false">IF(O905="","",IF(O905&lt;0,"CONTRATO ANTERIOR À ABERTURA — conferir datas",IF(O905&lt;180,"EMPRESA ABERTA MENOS DE 6 MESES ANTES","")))</f>
        <v/>
      </c>
      <c r="Q905" s="31" t="str">
        <f aca="false">IF(D905="","",IFERROR(INDEX(Sancoes!$D:$D,MATCH(D905,Sancoes!$C:$C,0)),"não consta"))</f>
        <v/>
      </c>
      <c r="R905" s="25" t="str">
        <f aca="false">IF(OR(D905="",H905=""),"",IF(SUMPRODUCT((Sancoes!$C$5:$C$304=D905)*(Sancoes!$G$5:$G$304&lt;=H905)*(((Sancoes!$H$5:$H$304="")+(Sancoes!$H$5:$H$304&gt;=H905))&gt;0))&gt;0,"SANÇÃO VIGENTE NA DATA — ler tipo e abrangência",""))</f>
        <v/>
      </c>
      <c r="S905" s="24"/>
      <c r="T905" s="11"/>
    </row>
    <row r="906" customFormat="false" ht="15" hidden="false" customHeight="false" outlineLevel="0" collapsed="false">
      <c r="A906" s="11"/>
      <c r="B906" s="24"/>
      <c r="C906" s="24"/>
      <c r="D906" s="31" t="str">
        <f aca="false">IF(C906="","",IF(LEN(UPPER(SUBSTITUTE(SUBSTITUTE(SUBSTITUTE(SUBSTITUTE(TRIM(C906),".",""),"/",""),"-","")," ","")))&lt;14,RIGHT(REPT("0",14)&amp;UPPER(SUBSTITUTE(SUBSTITUTE(SUBSTITUTE(SUBSTITUTE(TRIM(C906),".",""),"/",""),"-","")," ","")),14),UPPER(SUBSTITUTE(SUBSTITUTE(SUBSTITUTE(SUBSTITUTE(TRIM(C906),".",""),"/",""),"-","")," ",""))))</f>
        <v/>
      </c>
      <c r="E906" s="25" t="str">
        <f aca="false">IF(D906="","",IFERROR(INDEX(Empresas!$C:$C,MATCH(D906,Empresas!$B:$B,0)),"cadastre o CNPJ em Empresas"))</f>
        <v/>
      </c>
      <c r="F906" s="11"/>
      <c r="G906" s="23"/>
      <c r="H906" s="22"/>
      <c r="I906" s="35"/>
      <c r="J906" s="35"/>
      <c r="K906" s="36" t="str">
        <f aca="false">IF(I906="","",I906+J906)</f>
        <v/>
      </c>
      <c r="L906" s="37" t="str">
        <f aca="false">IF(OR(I906="",I906=0,J906=""),"",J906/I906)</f>
        <v/>
      </c>
      <c r="M906" s="25" t="str">
        <f aca="false">IF(L906="","",IF(L906&gt;0.25,"ACRÉSCIMO ACIMA DE 25% — conferir",""))</f>
        <v/>
      </c>
      <c r="N906" s="29" t="str">
        <f aca="false">IF(D906="","",IF(COUNTIFS(Empresas!$B:$B,D906,Empresas!$E:$E,"&lt;&gt;")=0,"",INDEX(Empresas!$E:$E,MATCH(D906,Empresas!$B:$B,0))))</f>
        <v/>
      </c>
      <c r="O906" s="27" t="str">
        <f aca="false">IF(OR(N906="",H906=""),"",H906-N906)</f>
        <v/>
      </c>
      <c r="P906" s="25" t="str">
        <f aca="false">IF(O906="","",IF(O906&lt;0,"CONTRATO ANTERIOR À ABERTURA — conferir datas",IF(O906&lt;180,"EMPRESA ABERTA MENOS DE 6 MESES ANTES","")))</f>
        <v/>
      </c>
      <c r="Q906" s="31" t="str">
        <f aca="false">IF(D906="","",IFERROR(INDEX(Sancoes!$D:$D,MATCH(D906,Sancoes!$C:$C,0)),"não consta"))</f>
        <v/>
      </c>
      <c r="R906" s="25" t="str">
        <f aca="false">IF(OR(D906="",H906=""),"",IF(SUMPRODUCT((Sancoes!$C$5:$C$304=D906)*(Sancoes!$G$5:$G$304&lt;=H906)*(((Sancoes!$H$5:$H$304="")+(Sancoes!$H$5:$H$304&gt;=H906))&gt;0))&gt;0,"SANÇÃO VIGENTE NA DATA — ler tipo e abrangência",""))</f>
        <v/>
      </c>
      <c r="S906" s="24"/>
      <c r="T906" s="11"/>
    </row>
    <row r="907" customFormat="false" ht="15" hidden="false" customHeight="false" outlineLevel="0" collapsed="false">
      <c r="A907" s="11"/>
      <c r="B907" s="24"/>
      <c r="C907" s="24"/>
      <c r="D907" s="31" t="str">
        <f aca="false">IF(C907="","",IF(LEN(UPPER(SUBSTITUTE(SUBSTITUTE(SUBSTITUTE(SUBSTITUTE(TRIM(C907),".",""),"/",""),"-","")," ","")))&lt;14,RIGHT(REPT("0",14)&amp;UPPER(SUBSTITUTE(SUBSTITUTE(SUBSTITUTE(SUBSTITUTE(TRIM(C907),".",""),"/",""),"-","")," ","")),14),UPPER(SUBSTITUTE(SUBSTITUTE(SUBSTITUTE(SUBSTITUTE(TRIM(C907),".",""),"/",""),"-","")," ",""))))</f>
        <v/>
      </c>
      <c r="E907" s="25" t="str">
        <f aca="false">IF(D907="","",IFERROR(INDEX(Empresas!$C:$C,MATCH(D907,Empresas!$B:$B,0)),"cadastre o CNPJ em Empresas"))</f>
        <v/>
      </c>
      <c r="F907" s="11"/>
      <c r="G907" s="23"/>
      <c r="H907" s="22"/>
      <c r="I907" s="35"/>
      <c r="J907" s="35"/>
      <c r="K907" s="36" t="str">
        <f aca="false">IF(I907="","",I907+J907)</f>
        <v/>
      </c>
      <c r="L907" s="37" t="str">
        <f aca="false">IF(OR(I907="",I907=0,J907=""),"",J907/I907)</f>
        <v/>
      </c>
      <c r="M907" s="25" t="str">
        <f aca="false">IF(L907="","",IF(L907&gt;0.25,"ACRÉSCIMO ACIMA DE 25% — conferir",""))</f>
        <v/>
      </c>
      <c r="N907" s="29" t="str">
        <f aca="false">IF(D907="","",IF(COUNTIFS(Empresas!$B:$B,D907,Empresas!$E:$E,"&lt;&gt;")=0,"",INDEX(Empresas!$E:$E,MATCH(D907,Empresas!$B:$B,0))))</f>
        <v/>
      </c>
      <c r="O907" s="27" t="str">
        <f aca="false">IF(OR(N907="",H907=""),"",H907-N907)</f>
        <v/>
      </c>
      <c r="P907" s="25" t="str">
        <f aca="false">IF(O907="","",IF(O907&lt;0,"CONTRATO ANTERIOR À ABERTURA — conferir datas",IF(O907&lt;180,"EMPRESA ABERTA MENOS DE 6 MESES ANTES","")))</f>
        <v/>
      </c>
      <c r="Q907" s="31" t="str">
        <f aca="false">IF(D907="","",IFERROR(INDEX(Sancoes!$D:$D,MATCH(D907,Sancoes!$C:$C,0)),"não consta"))</f>
        <v/>
      </c>
      <c r="R907" s="25" t="str">
        <f aca="false">IF(OR(D907="",H907=""),"",IF(SUMPRODUCT((Sancoes!$C$5:$C$304=D907)*(Sancoes!$G$5:$G$304&lt;=H907)*(((Sancoes!$H$5:$H$304="")+(Sancoes!$H$5:$H$304&gt;=H907))&gt;0))&gt;0,"SANÇÃO VIGENTE NA DATA — ler tipo e abrangência",""))</f>
        <v/>
      </c>
      <c r="S907" s="24"/>
      <c r="T907" s="11"/>
    </row>
    <row r="908" customFormat="false" ht="15" hidden="false" customHeight="false" outlineLevel="0" collapsed="false">
      <c r="A908" s="11"/>
      <c r="B908" s="24"/>
      <c r="C908" s="24"/>
      <c r="D908" s="31" t="str">
        <f aca="false">IF(C908="","",IF(LEN(UPPER(SUBSTITUTE(SUBSTITUTE(SUBSTITUTE(SUBSTITUTE(TRIM(C908),".",""),"/",""),"-","")," ","")))&lt;14,RIGHT(REPT("0",14)&amp;UPPER(SUBSTITUTE(SUBSTITUTE(SUBSTITUTE(SUBSTITUTE(TRIM(C908),".",""),"/",""),"-","")," ","")),14),UPPER(SUBSTITUTE(SUBSTITUTE(SUBSTITUTE(SUBSTITUTE(TRIM(C908),".",""),"/",""),"-","")," ",""))))</f>
        <v/>
      </c>
      <c r="E908" s="25" t="str">
        <f aca="false">IF(D908="","",IFERROR(INDEX(Empresas!$C:$C,MATCH(D908,Empresas!$B:$B,0)),"cadastre o CNPJ em Empresas"))</f>
        <v/>
      </c>
      <c r="F908" s="11"/>
      <c r="G908" s="23"/>
      <c r="H908" s="22"/>
      <c r="I908" s="35"/>
      <c r="J908" s="35"/>
      <c r="K908" s="36" t="str">
        <f aca="false">IF(I908="","",I908+J908)</f>
        <v/>
      </c>
      <c r="L908" s="37" t="str">
        <f aca="false">IF(OR(I908="",I908=0,J908=""),"",J908/I908)</f>
        <v/>
      </c>
      <c r="M908" s="25" t="str">
        <f aca="false">IF(L908="","",IF(L908&gt;0.25,"ACRÉSCIMO ACIMA DE 25% — conferir",""))</f>
        <v/>
      </c>
      <c r="N908" s="29" t="str">
        <f aca="false">IF(D908="","",IF(COUNTIFS(Empresas!$B:$B,D908,Empresas!$E:$E,"&lt;&gt;")=0,"",INDEX(Empresas!$E:$E,MATCH(D908,Empresas!$B:$B,0))))</f>
        <v/>
      </c>
      <c r="O908" s="27" t="str">
        <f aca="false">IF(OR(N908="",H908=""),"",H908-N908)</f>
        <v/>
      </c>
      <c r="P908" s="25" t="str">
        <f aca="false">IF(O908="","",IF(O908&lt;0,"CONTRATO ANTERIOR À ABERTURA — conferir datas",IF(O908&lt;180,"EMPRESA ABERTA MENOS DE 6 MESES ANTES","")))</f>
        <v/>
      </c>
      <c r="Q908" s="31" t="str">
        <f aca="false">IF(D908="","",IFERROR(INDEX(Sancoes!$D:$D,MATCH(D908,Sancoes!$C:$C,0)),"não consta"))</f>
        <v/>
      </c>
      <c r="R908" s="25" t="str">
        <f aca="false">IF(OR(D908="",H908=""),"",IF(SUMPRODUCT((Sancoes!$C$5:$C$304=D908)*(Sancoes!$G$5:$G$304&lt;=H908)*(((Sancoes!$H$5:$H$304="")+(Sancoes!$H$5:$H$304&gt;=H908))&gt;0))&gt;0,"SANÇÃO VIGENTE NA DATA — ler tipo e abrangência",""))</f>
        <v/>
      </c>
      <c r="S908" s="24"/>
      <c r="T908" s="11"/>
    </row>
    <row r="909" customFormat="false" ht="15" hidden="false" customHeight="false" outlineLevel="0" collapsed="false">
      <c r="A909" s="11"/>
      <c r="B909" s="24"/>
      <c r="C909" s="24"/>
      <c r="D909" s="31" t="str">
        <f aca="false">IF(C909="","",IF(LEN(UPPER(SUBSTITUTE(SUBSTITUTE(SUBSTITUTE(SUBSTITUTE(TRIM(C909),".",""),"/",""),"-","")," ","")))&lt;14,RIGHT(REPT("0",14)&amp;UPPER(SUBSTITUTE(SUBSTITUTE(SUBSTITUTE(SUBSTITUTE(TRIM(C909),".",""),"/",""),"-","")," ","")),14),UPPER(SUBSTITUTE(SUBSTITUTE(SUBSTITUTE(SUBSTITUTE(TRIM(C909),".",""),"/",""),"-","")," ",""))))</f>
        <v/>
      </c>
      <c r="E909" s="25" t="str">
        <f aca="false">IF(D909="","",IFERROR(INDEX(Empresas!$C:$C,MATCH(D909,Empresas!$B:$B,0)),"cadastre o CNPJ em Empresas"))</f>
        <v/>
      </c>
      <c r="F909" s="11"/>
      <c r="G909" s="23"/>
      <c r="H909" s="22"/>
      <c r="I909" s="35"/>
      <c r="J909" s="35"/>
      <c r="K909" s="36" t="str">
        <f aca="false">IF(I909="","",I909+J909)</f>
        <v/>
      </c>
      <c r="L909" s="37" t="str">
        <f aca="false">IF(OR(I909="",I909=0,J909=""),"",J909/I909)</f>
        <v/>
      </c>
      <c r="M909" s="25" t="str">
        <f aca="false">IF(L909="","",IF(L909&gt;0.25,"ACRÉSCIMO ACIMA DE 25% — conferir",""))</f>
        <v/>
      </c>
      <c r="N909" s="29" t="str">
        <f aca="false">IF(D909="","",IF(COUNTIFS(Empresas!$B:$B,D909,Empresas!$E:$E,"&lt;&gt;")=0,"",INDEX(Empresas!$E:$E,MATCH(D909,Empresas!$B:$B,0))))</f>
        <v/>
      </c>
      <c r="O909" s="27" t="str">
        <f aca="false">IF(OR(N909="",H909=""),"",H909-N909)</f>
        <v/>
      </c>
      <c r="P909" s="25" t="str">
        <f aca="false">IF(O909="","",IF(O909&lt;0,"CONTRATO ANTERIOR À ABERTURA — conferir datas",IF(O909&lt;180,"EMPRESA ABERTA MENOS DE 6 MESES ANTES","")))</f>
        <v/>
      </c>
      <c r="Q909" s="31" t="str">
        <f aca="false">IF(D909="","",IFERROR(INDEX(Sancoes!$D:$D,MATCH(D909,Sancoes!$C:$C,0)),"não consta"))</f>
        <v/>
      </c>
      <c r="R909" s="25" t="str">
        <f aca="false">IF(OR(D909="",H909=""),"",IF(SUMPRODUCT((Sancoes!$C$5:$C$304=D909)*(Sancoes!$G$5:$G$304&lt;=H909)*(((Sancoes!$H$5:$H$304="")+(Sancoes!$H$5:$H$304&gt;=H909))&gt;0))&gt;0,"SANÇÃO VIGENTE NA DATA — ler tipo e abrangência",""))</f>
        <v/>
      </c>
      <c r="S909" s="24"/>
      <c r="T909" s="11"/>
    </row>
    <row r="910" customFormat="false" ht="15" hidden="false" customHeight="false" outlineLevel="0" collapsed="false">
      <c r="A910" s="11"/>
      <c r="B910" s="24"/>
      <c r="C910" s="24"/>
      <c r="D910" s="31" t="str">
        <f aca="false">IF(C910="","",IF(LEN(UPPER(SUBSTITUTE(SUBSTITUTE(SUBSTITUTE(SUBSTITUTE(TRIM(C910),".",""),"/",""),"-","")," ","")))&lt;14,RIGHT(REPT("0",14)&amp;UPPER(SUBSTITUTE(SUBSTITUTE(SUBSTITUTE(SUBSTITUTE(TRIM(C910),".",""),"/",""),"-","")," ","")),14),UPPER(SUBSTITUTE(SUBSTITUTE(SUBSTITUTE(SUBSTITUTE(TRIM(C910),".",""),"/",""),"-","")," ",""))))</f>
        <v/>
      </c>
      <c r="E910" s="25" t="str">
        <f aca="false">IF(D910="","",IFERROR(INDEX(Empresas!$C:$C,MATCH(D910,Empresas!$B:$B,0)),"cadastre o CNPJ em Empresas"))</f>
        <v/>
      </c>
      <c r="F910" s="11"/>
      <c r="G910" s="23"/>
      <c r="H910" s="22"/>
      <c r="I910" s="35"/>
      <c r="J910" s="35"/>
      <c r="K910" s="36" t="str">
        <f aca="false">IF(I910="","",I910+J910)</f>
        <v/>
      </c>
      <c r="L910" s="37" t="str">
        <f aca="false">IF(OR(I910="",I910=0,J910=""),"",J910/I910)</f>
        <v/>
      </c>
      <c r="M910" s="25" t="str">
        <f aca="false">IF(L910="","",IF(L910&gt;0.25,"ACRÉSCIMO ACIMA DE 25% — conferir",""))</f>
        <v/>
      </c>
      <c r="N910" s="29" t="str">
        <f aca="false">IF(D910="","",IF(COUNTIFS(Empresas!$B:$B,D910,Empresas!$E:$E,"&lt;&gt;")=0,"",INDEX(Empresas!$E:$E,MATCH(D910,Empresas!$B:$B,0))))</f>
        <v/>
      </c>
      <c r="O910" s="27" t="str">
        <f aca="false">IF(OR(N910="",H910=""),"",H910-N910)</f>
        <v/>
      </c>
      <c r="P910" s="25" t="str">
        <f aca="false">IF(O910="","",IF(O910&lt;0,"CONTRATO ANTERIOR À ABERTURA — conferir datas",IF(O910&lt;180,"EMPRESA ABERTA MENOS DE 6 MESES ANTES","")))</f>
        <v/>
      </c>
      <c r="Q910" s="31" t="str">
        <f aca="false">IF(D910="","",IFERROR(INDEX(Sancoes!$D:$D,MATCH(D910,Sancoes!$C:$C,0)),"não consta"))</f>
        <v/>
      </c>
      <c r="R910" s="25" t="str">
        <f aca="false">IF(OR(D910="",H910=""),"",IF(SUMPRODUCT((Sancoes!$C$5:$C$304=D910)*(Sancoes!$G$5:$G$304&lt;=H910)*(((Sancoes!$H$5:$H$304="")+(Sancoes!$H$5:$H$304&gt;=H910))&gt;0))&gt;0,"SANÇÃO VIGENTE NA DATA — ler tipo e abrangência",""))</f>
        <v/>
      </c>
      <c r="S910" s="24"/>
      <c r="T910" s="11"/>
    </row>
    <row r="911" customFormat="false" ht="15" hidden="false" customHeight="false" outlineLevel="0" collapsed="false">
      <c r="A911" s="11"/>
      <c r="B911" s="24"/>
      <c r="C911" s="24"/>
      <c r="D911" s="31" t="str">
        <f aca="false">IF(C911="","",IF(LEN(UPPER(SUBSTITUTE(SUBSTITUTE(SUBSTITUTE(SUBSTITUTE(TRIM(C911),".",""),"/",""),"-","")," ","")))&lt;14,RIGHT(REPT("0",14)&amp;UPPER(SUBSTITUTE(SUBSTITUTE(SUBSTITUTE(SUBSTITUTE(TRIM(C911),".",""),"/",""),"-","")," ","")),14),UPPER(SUBSTITUTE(SUBSTITUTE(SUBSTITUTE(SUBSTITUTE(TRIM(C911),".",""),"/",""),"-","")," ",""))))</f>
        <v/>
      </c>
      <c r="E911" s="25" t="str">
        <f aca="false">IF(D911="","",IFERROR(INDEX(Empresas!$C:$C,MATCH(D911,Empresas!$B:$B,0)),"cadastre o CNPJ em Empresas"))</f>
        <v/>
      </c>
      <c r="F911" s="11"/>
      <c r="G911" s="23"/>
      <c r="H911" s="22"/>
      <c r="I911" s="35"/>
      <c r="J911" s="35"/>
      <c r="K911" s="36" t="str">
        <f aca="false">IF(I911="","",I911+J911)</f>
        <v/>
      </c>
      <c r="L911" s="37" t="str">
        <f aca="false">IF(OR(I911="",I911=0,J911=""),"",J911/I911)</f>
        <v/>
      </c>
      <c r="M911" s="25" t="str">
        <f aca="false">IF(L911="","",IF(L911&gt;0.25,"ACRÉSCIMO ACIMA DE 25% — conferir",""))</f>
        <v/>
      </c>
      <c r="N911" s="29" t="str">
        <f aca="false">IF(D911="","",IF(COUNTIFS(Empresas!$B:$B,D911,Empresas!$E:$E,"&lt;&gt;")=0,"",INDEX(Empresas!$E:$E,MATCH(D911,Empresas!$B:$B,0))))</f>
        <v/>
      </c>
      <c r="O911" s="27" t="str">
        <f aca="false">IF(OR(N911="",H911=""),"",H911-N911)</f>
        <v/>
      </c>
      <c r="P911" s="25" t="str">
        <f aca="false">IF(O911="","",IF(O911&lt;0,"CONTRATO ANTERIOR À ABERTURA — conferir datas",IF(O911&lt;180,"EMPRESA ABERTA MENOS DE 6 MESES ANTES","")))</f>
        <v/>
      </c>
      <c r="Q911" s="31" t="str">
        <f aca="false">IF(D911="","",IFERROR(INDEX(Sancoes!$D:$D,MATCH(D911,Sancoes!$C:$C,0)),"não consta"))</f>
        <v/>
      </c>
      <c r="R911" s="25" t="str">
        <f aca="false">IF(OR(D911="",H911=""),"",IF(SUMPRODUCT((Sancoes!$C$5:$C$304=D911)*(Sancoes!$G$5:$G$304&lt;=H911)*(((Sancoes!$H$5:$H$304="")+(Sancoes!$H$5:$H$304&gt;=H911))&gt;0))&gt;0,"SANÇÃO VIGENTE NA DATA — ler tipo e abrangência",""))</f>
        <v/>
      </c>
      <c r="S911" s="24"/>
      <c r="T911" s="11"/>
    </row>
    <row r="912" customFormat="false" ht="15" hidden="false" customHeight="false" outlineLevel="0" collapsed="false">
      <c r="A912" s="11"/>
      <c r="B912" s="24"/>
      <c r="C912" s="24"/>
      <c r="D912" s="31" t="str">
        <f aca="false">IF(C912="","",IF(LEN(UPPER(SUBSTITUTE(SUBSTITUTE(SUBSTITUTE(SUBSTITUTE(TRIM(C912),".",""),"/",""),"-","")," ","")))&lt;14,RIGHT(REPT("0",14)&amp;UPPER(SUBSTITUTE(SUBSTITUTE(SUBSTITUTE(SUBSTITUTE(TRIM(C912),".",""),"/",""),"-","")," ","")),14),UPPER(SUBSTITUTE(SUBSTITUTE(SUBSTITUTE(SUBSTITUTE(TRIM(C912),".",""),"/",""),"-","")," ",""))))</f>
        <v/>
      </c>
      <c r="E912" s="25" t="str">
        <f aca="false">IF(D912="","",IFERROR(INDEX(Empresas!$C:$C,MATCH(D912,Empresas!$B:$B,0)),"cadastre o CNPJ em Empresas"))</f>
        <v/>
      </c>
      <c r="F912" s="11"/>
      <c r="G912" s="23"/>
      <c r="H912" s="22"/>
      <c r="I912" s="35"/>
      <c r="J912" s="35"/>
      <c r="K912" s="36" t="str">
        <f aca="false">IF(I912="","",I912+J912)</f>
        <v/>
      </c>
      <c r="L912" s="37" t="str">
        <f aca="false">IF(OR(I912="",I912=0,J912=""),"",J912/I912)</f>
        <v/>
      </c>
      <c r="M912" s="25" t="str">
        <f aca="false">IF(L912="","",IF(L912&gt;0.25,"ACRÉSCIMO ACIMA DE 25% — conferir",""))</f>
        <v/>
      </c>
      <c r="N912" s="29" t="str">
        <f aca="false">IF(D912="","",IF(COUNTIFS(Empresas!$B:$B,D912,Empresas!$E:$E,"&lt;&gt;")=0,"",INDEX(Empresas!$E:$E,MATCH(D912,Empresas!$B:$B,0))))</f>
        <v/>
      </c>
      <c r="O912" s="27" t="str">
        <f aca="false">IF(OR(N912="",H912=""),"",H912-N912)</f>
        <v/>
      </c>
      <c r="P912" s="25" t="str">
        <f aca="false">IF(O912="","",IF(O912&lt;0,"CONTRATO ANTERIOR À ABERTURA — conferir datas",IF(O912&lt;180,"EMPRESA ABERTA MENOS DE 6 MESES ANTES","")))</f>
        <v/>
      </c>
      <c r="Q912" s="31" t="str">
        <f aca="false">IF(D912="","",IFERROR(INDEX(Sancoes!$D:$D,MATCH(D912,Sancoes!$C:$C,0)),"não consta"))</f>
        <v/>
      </c>
      <c r="R912" s="25" t="str">
        <f aca="false">IF(OR(D912="",H912=""),"",IF(SUMPRODUCT((Sancoes!$C$5:$C$304=D912)*(Sancoes!$G$5:$G$304&lt;=H912)*(((Sancoes!$H$5:$H$304="")+(Sancoes!$H$5:$H$304&gt;=H912))&gt;0))&gt;0,"SANÇÃO VIGENTE NA DATA — ler tipo e abrangência",""))</f>
        <v/>
      </c>
      <c r="S912" s="24"/>
      <c r="T912" s="11"/>
    </row>
    <row r="913" customFormat="false" ht="15" hidden="false" customHeight="false" outlineLevel="0" collapsed="false">
      <c r="A913" s="11"/>
      <c r="B913" s="24"/>
      <c r="C913" s="24"/>
      <c r="D913" s="31" t="str">
        <f aca="false">IF(C913="","",IF(LEN(UPPER(SUBSTITUTE(SUBSTITUTE(SUBSTITUTE(SUBSTITUTE(TRIM(C913),".",""),"/",""),"-","")," ","")))&lt;14,RIGHT(REPT("0",14)&amp;UPPER(SUBSTITUTE(SUBSTITUTE(SUBSTITUTE(SUBSTITUTE(TRIM(C913),".",""),"/",""),"-","")," ","")),14),UPPER(SUBSTITUTE(SUBSTITUTE(SUBSTITUTE(SUBSTITUTE(TRIM(C913),".",""),"/",""),"-","")," ",""))))</f>
        <v/>
      </c>
      <c r="E913" s="25" t="str">
        <f aca="false">IF(D913="","",IFERROR(INDEX(Empresas!$C:$C,MATCH(D913,Empresas!$B:$B,0)),"cadastre o CNPJ em Empresas"))</f>
        <v/>
      </c>
      <c r="F913" s="11"/>
      <c r="G913" s="23"/>
      <c r="H913" s="22"/>
      <c r="I913" s="35"/>
      <c r="J913" s="35"/>
      <c r="K913" s="36" t="str">
        <f aca="false">IF(I913="","",I913+J913)</f>
        <v/>
      </c>
      <c r="L913" s="37" t="str">
        <f aca="false">IF(OR(I913="",I913=0,J913=""),"",J913/I913)</f>
        <v/>
      </c>
      <c r="M913" s="25" t="str">
        <f aca="false">IF(L913="","",IF(L913&gt;0.25,"ACRÉSCIMO ACIMA DE 25% — conferir",""))</f>
        <v/>
      </c>
      <c r="N913" s="29" t="str">
        <f aca="false">IF(D913="","",IF(COUNTIFS(Empresas!$B:$B,D913,Empresas!$E:$E,"&lt;&gt;")=0,"",INDEX(Empresas!$E:$E,MATCH(D913,Empresas!$B:$B,0))))</f>
        <v/>
      </c>
      <c r="O913" s="27" t="str">
        <f aca="false">IF(OR(N913="",H913=""),"",H913-N913)</f>
        <v/>
      </c>
      <c r="P913" s="25" t="str">
        <f aca="false">IF(O913="","",IF(O913&lt;0,"CONTRATO ANTERIOR À ABERTURA — conferir datas",IF(O913&lt;180,"EMPRESA ABERTA MENOS DE 6 MESES ANTES","")))</f>
        <v/>
      </c>
      <c r="Q913" s="31" t="str">
        <f aca="false">IF(D913="","",IFERROR(INDEX(Sancoes!$D:$D,MATCH(D913,Sancoes!$C:$C,0)),"não consta"))</f>
        <v/>
      </c>
      <c r="R913" s="25" t="str">
        <f aca="false">IF(OR(D913="",H913=""),"",IF(SUMPRODUCT((Sancoes!$C$5:$C$304=D913)*(Sancoes!$G$5:$G$304&lt;=H913)*(((Sancoes!$H$5:$H$304="")+(Sancoes!$H$5:$H$304&gt;=H913))&gt;0))&gt;0,"SANÇÃO VIGENTE NA DATA — ler tipo e abrangência",""))</f>
        <v/>
      </c>
      <c r="S913" s="24"/>
      <c r="T913" s="11"/>
    </row>
    <row r="914" customFormat="false" ht="15" hidden="false" customHeight="false" outlineLevel="0" collapsed="false">
      <c r="A914" s="11"/>
      <c r="B914" s="24"/>
      <c r="C914" s="24"/>
      <c r="D914" s="31" t="str">
        <f aca="false">IF(C914="","",IF(LEN(UPPER(SUBSTITUTE(SUBSTITUTE(SUBSTITUTE(SUBSTITUTE(TRIM(C914),".",""),"/",""),"-","")," ","")))&lt;14,RIGHT(REPT("0",14)&amp;UPPER(SUBSTITUTE(SUBSTITUTE(SUBSTITUTE(SUBSTITUTE(TRIM(C914),".",""),"/",""),"-","")," ","")),14),UPPER(SUBSTITUTE(SUBSTITUTE(SUBSTITUTE(SUBSTITUTE(TRIM(C914),".",""),"/",""),"-","")," ",""))))</f>
        <v/>
      </c>
      <c r="E914" s="25" t="str">
        <f aca="false">IF(D914="","",IFERROR(INDEX(Empresas!$C:$C,MATCH(D914,Empresas!$B:$B,0)),"cadastre o CNPJ em Empresas"))</f>
        <v/>
      </c>
      <c r="F914" s="11"/>
      <c r="G914" s="23"/>
      <c r="H914" s="22"/>
      <c r="I914" s="35"/>
      <c r="J914" s="35"/>
      <c r="K914" s="36" t="str">
        <f aca="false">IF(I914="","",I914+J914)</f>
        <v/>
      </c>
      <c r="L914" s="37" t="str">
        <f aca="false">IF(OR(I914="",I914=0,J914=""),"",J914/I914)</f>
        <v/>
      </c>
      <c r="M914" s="25" t="str">
        <f aca="false">IF(L914="","",IF(L914&gt;0.25,"ACRÉSCIMO ACIMA DE 25% — conferir",""))</f>
        <v/>
      </c>
      <c r="N914" s="29" t="str">
        <f aca="false">IF(D914="","",IF(COUNTIFS(Empresas!$B:$B,D914,Empresas!$E:$E,"&lt;&gt;")=0,"",INDEX(Empresas!$E:$E,MATCH(D914,Empresas!$B:$B,0))))</f>
        <v/>
      </c>
      <c r="O914" s="27" t="str">
        <f aca="false">IF(OR(N914="",H914=""),"",H914-N914)</f>
        <v/>
      </c>
      <c r="P914" s="25" t="str">
        <f aca="false">IF(O914="","",IF(O914&lt;0,"CONTRATO ANTERIOR À ABERTURA — conferir datas",IF(O914&lt;180,"EMPRESA ABERTA MENOS DE 6 MESES ANTES","")))</f>
        <v/>
      </c>
      <c r="Q914" s="31" t="str">
        <f aca="false">IF(D914="","",IFERROR(INDEX(Sancoes!$D:$D,MATCH(D914,Sancoes!$C:$C,0)),"não consta"))</f>
        <v/>
      </c>
      <c r="R914" s="25" t="str">
        <f aca="false">IF(OR(D914="",H914=""),"",IF(SUMPRODUCT((Sancoes!$C$5:$C$304=D914)*(Sancoes!$G$5:$G$304&lt;=H914)*(((Sancoes!$H$5:$H$304="")+(Sancoes!$H$5:$H$304&gt;=H914))&gt;0))&gt;0,"SANÇÃO VIGENTE NA DATA — ler tipo e abrangência",""))</f>
        <v/>
      </c>
      <c r="S914" s="24"/>
      <c r="T914" s="11"/>
    </row>
    <row r="915" customFormat="false" ht="15" hidden="false" customHeight="false" outlineLevel="0" collapsed="false">
      <c r="A915" s="11"/>
      <c r="B915" s="24"/>
      <c r="C915" s="24"/>
      <c r="D915" s="31" t="str">
        <f aca="false">IF(C915="","",IF(LEN(UPPER(SUBSTITUTE(SUBSTITUTE(SUBSTITUTE(SUBSTITUTE(TRIM(C915),".",""),"/",""),"-","")," ","")))&lt;14,RIGHT(REPT("0",14)&amp;UPPER(SUBSTITUTE(SUBSTITUTE(SUBSTITUTE(SUBSTITUTE(TRIM(C915),".",""),"/",""),"-","")," ","")),14),UPPER(SUBSTITUTE(SUBSTITUTE(SUBSTITUTE(SUBSTITUTE(TRIM(C915),".",""),"/",""),"-","")," ",""))))</f>
        <v/>
      </c>
      <c r="E915" s="25" t="str">
        <f aca="false">IF(D915="","",IFERROR(INDEX(Empresas!$C:$C,MATCH(D915,Empresas!$B:$B,0)),"cadastre o CNPJ em Empresas"))</f>
        <v/>
      </c>
      <c r="F915" s="11"/>
      <c r="G915" s="23"/>
      <c r="H915" s="22"/>
      <c r="I915" s="35"/>
      <c r="J915" s="35"/>
      <c r="K915" s="36" t="str">
        <f aca="false">IF(I915="","",I915+J915)</f>
        <v/>
      </c>
      <c r="L915" s="37" t="str">
        <f aca="false">IF(OR(I915="",I915=0,J915=""),"",J915/I915)</f>
        <v/>
      </c>
      <c r="M915" s="25" t="str">
        <f aca="false">IF(L915="","",IF(L915&gt;0.25,"ACRÉSCIMO ACIMA DE 25% — conferir",""))</f>
        <v/>
      </c>
      <c r="N915" s="29" t="str">
        <f aca="false">IF(D915="","",IF(COUNTIFS(Empresas!$B:$B,D915,Empresas!$E:$E,"&lt;&gt;")=0,"",INDEX(Empresas!$E:$E,MATCH(D915,Empresas!$B:$B,0))))</f>
        <v/>
      </c>
      <c r="O915" s="27" t="str">
        <f aca="false">IF(OR(N915="",H915=""),"",H915-N915)</f>
        <v/>
      </c>
      <c r="P915" s="25" t="str">
        <f aca="false">IF(O915="","",IF(O915&lt;0,"CONTRATO ANTERIOR À ABERTURA — conferir datas",IF(O915&lt;180,"EMPRESA ABERTA MENOS DE 6 MESES ANTES","")))</f>
        <v/>
      </c>
      <c r="Q915" s="31" t="str">
        <f aca="false">IF(D915="","",IFERROR(INDEX(Sancoes!$D:$D,MATCH(D915,Sancoes!$C:$C,0)),"não consta"))</f>
        <v/>
      </c>
      <c r="R915" s="25" t="str">
        <f aca="false">IF(OR(D915="",H915=""),"",IF(SUMPRODUCT((Sancoes!$C$5:$C$304=D915)*(Sancoes!$G$5:$G$304&lt;=H915)*(((Sancoes!$H$5:$H$304="")+(Sancoes!$H$5:$H$304&gt;=H915))&gt;0))&gt;0,"SANÇÃO VIGENTE NA DATA — ler tipo e abrangência",""))</f>
        <v/>
      </c>
      <c r="S915" s="24"/>
      <c r="T915" s="11"/>
    </row>
    <row r="916" customFormat="false" ht="15" hidden="false" customHeight="false" outlineLevel="0" collapsed="false">
      <c r="A916" s="11"/>
      <c r="B916" s="24"/>
      <c r="C916" s="24"/>
      <c r="D916" s="31" t="str">
        <f aca="false">IF(C916="","",IF(LEN(UPPER(SUBSTITUTE(SUBSTITUTE(SUBSTITUTE(SUBSTITUTE(TRIM(C916),".",""),"/",""),"-","")," ","")))&lt;14,RIGHT(REPT("0",14)&amp;UPPER(SUBSTITUTE(SUBSTITUTE(SUBSTITUTE(SUBSTITUTE(TRIM(C916),".",""),"/",""),"-","")," ","")),14),UPPER(SUBSTITUTE(SUBSTITUTE(SUBSTITUTE(SUBSTITUTE(TRIM(C916),".",""),"/",""),"-","")," ",""))))</f>
        <v/>
      </c>
      <c r="E916" s="25" t="str">
        <f aca="false">IF(D916="","",IFERROR(INDEX(Empresas!$C:$C,MATCH(D916,Empresas!$B:$B,0)),"cadastre o CNPJ em Empresas"))</f>
        <v/>
      </c>
      <c r="F916" s="11"/>
      <c r="G916" s="23"/>
      <c r="H916" s="22"/>
      <c r="I916" s="35"/>
      <c r="J916" s="35"/>
      <c r="K916" s="36" t="str">
        <f aca="false">IF(I916="","",I916+J916)</f>
        <v/>
      </c>
      <c r="L916" s="37" t="str">
        <f aca="false">IF(OR(I916="",I916=0,J916=""),"",J916/I916)</f>
        <v/>
      </c>
      <c r="M916" s="25" t="str">
        <f aca="false">IF(L916="","",IF(L916&gt;0.25,"ACRÉSCIMO ACIMA DE 25% — conferir",""))</f>
        <v/>
      </c>
      <c r="N916" s="29" t="str">
        <f aca="false">IF(D916="","",IF(COUNTIFS(Empresas!$B:$B,D916,Empresas!$E:$E,"&lt;&gt;")=0,"",INDEX(Empresas!$E:$E,MATCH(D916,Empresas!$B:$B,0))))</f>
        <v/>
      </c>
      <c r="O916" s="27" t="str">
        <f aca="false">IF(OR(N916="",H916=""),"",H916-N916)</f>
        <v/>
      </c>
      <c r="P916" s="25" t="str">
        <f aca="false">IF(O916="","",IF(O916&lt;0,"CONTRATO ANTERIOR À ABERTURA — conferir datas",IF(O916&lt;180,"EMPRESA ABERTA MENOS DE 6 MESES ANTES","")))</f>
        <v/>
      </c>
      <c r="Q916" s="31" t="str">
        <f aca="false">IF(D916="","",IFERROR(INDEX(Sancoes!$D:$D,MATCH(D916,Sancoes!$C:$C,0)),"não consta"))</f>
        <v/>
      </c>
      <c r="R916" s="25" t="str">
        <f aca="false">IF(OR(D916="",H916=""),"",IF(SUMPRODUCT((Sancoes!$C$5:$C$304=D916)*(Sancoes!$G$5:$G$304&lt;=H916)*(((Sancoes!$H$5:$H$304="")+(Sancoes!$H$5:$H$304&gt;=H916))&gt;0))&gt;0,"SANÇÃO VIGENTE NA DATA — ler tipo e abrangência",""))</f>
        <v/>
      </c>
      <c r="S916" s="24"/>
      <c r="T916" s="11"/>
    </row>
    <row r="917" customFormat="false" ht="15" hidden="false" customHeight="false" outlineLevel="0" collapsed="false">
      <c r="A917" s="11"/>
      <c r="B917" s="24"/>
      <c r="C917" s="24"/>
      <c r="D917" s="31" t="str">
        <f aca="false">IF(C917="","",IF(LEN(UPPER(SUBSTITUTE(SUBSTITUTE(SUBSTITUTE(SUBSTITUTE(TRIM(C917),".",""),"/",""),"-","")," ","")))&lt;14,RIGHT(REPT("0",14)&amp;UPPER(SUBSTITUTE(SUBSTITUTE(SUBSTITUTE(SUBSTITUTE(TRIM(C917),".",""),"/",""),"-","")," ","")),14),UPPER(SUBSTITUTE(SUBSTITUTE(SUBSTITUTE(SUBSTITUTE(TRIM(C917),".",""),"/",""),"-","")," ",""))))</f>
        <v/>
      </c>
      <c r="E917" s="25" t="str">
        <f aca="false">IF(D917="","",IFERROR(INDEX(Empresas!$C:$C,MATCH(D917,Empresas!$B:$B,0)),"cadastre o CNPJ em Empresas"))</f>
        <v/>
      </c>
      <c r="F917" s="11"/>
      <c r="G917" s="23"/>
      <c r="H917" s="22"/>
      <c r="I917" s="35"/>
      <c r="J917" s="35"/>
      <c r="K917" s="36" t="str">
        <f aca="false">IF(I917="","",I917+J917)</f>
        <v/>
      </c>
      <c r="L917" s="37" t="str">
        <f aca="false">IF(OR(I917="",I917=0,J917=""),"",J917/I917)</f>
        <v/>
      </c>
      <c r="M917" s="25" t="str">
        <f aca="false">IF(L917="","",IF(L917&gt;0.25,"ACRÉSCIMO ACIMA DE 25% — conferir",""))</f>
        <v/>
      </c>
      <c r="N917" s="29" t="str">
        <f aca="false">IF(D917="","",IF(COUNTIFS(Empresas!$B:$B,D917,Empresas!$E:$E,"&lt;&gt;")=0,"",INDEX(Empresas!$E:$E,MATCH(D917,Empresas!$B:$B,0))))</f>
        <v/>
      </c>
      <c r="O917" s="27" t="str">
        <f aca="false">IF(OR(N917="",H917=""),"",H917-N917)</f>
        <v/>
      </c>
      <c r="P917" s="25" t="str">
        <f aca="false">IF(O917="","",IF(O917&lt;0,"CONTRATO ANTERIOR À ABERTURA — conferir datas",IF(O917&lt;180,"EMPRESA ABERTA MENOS DE 6 MESES ANTES","")))</f>
        <v/>
      </c>
      <c r="Q917" s="31" t="str">
        <f aca="false">IF(D917="","",IFERROR(INDEX(Sancoes!$D:$D,MATCH(D917,Sancoes!$C:$C,0)),"não consta"))</f>
        <v/>
      </c>
      <c r="R917" s="25" t="str">
        <f aca="false">IF(OR(D917="",H917=""),"",IF(SUMPRODUCT((Sancoes!$C$5:$C$304=D917)*(Sancoes!$G$5:$G$304&lt;=H917)*(((Sancoes!$H$5:$H$304="")+(Sancoes!$H$5:$H$304&gt;=H917))&gt;0))&gt;0,"SANÇÃO VIGENTE NA DATA — ler tipo e abrangência",""))</f>
        <v/>
      </c>
      <c r="S917" s="24"/>
      <c r="T917" s="11"/>
    </row>
    <row r="918" customFormat="false" ht="15" hidden="false" customHeight="false" outlineLevel="0" collapsed="false">
      <c r="A918" s="11"/>
      <c r="B918" s="24"/>
      <c r="C918" s="24"/>
      <c r="D918" s="31" t="str">
        <f aca="false">IF(C918="","",IF(LEN(UPPER(SUBSTITUTE(SUBSTITUTE(SUBSTITUTE(SUBSTITUTE(TRIM(C918),".",""),"/",""),"-","")," ","")))&lt;14,RIGHT(REPT("0",14)&amp;UPPER(SUBSTITUTE(SUBSTITUTE(SUBSTITUTE(SUBSTITUTE(TRIM(C918),".",""),"/",""),"-","")," ","")),14),UPPER(SUBSTITUTE(SUBSTITUTE(SUBSTITUTE(SUBSTITUTE(TRIM(C918),".",""),"/",""),"-","")," ",""))))</f>
        <v/>
      </c>
      <c r="E918" s="25" t="str">
        <f aca="false">IF(D918="","",IFERROR(INDEX(Empresas!$C:$C,MATCH(D918,Empresas!$B:$B,0)),"cadastre o CNPJ em Empresas"))</f>
        <v/>
      </c>
      <c r="F918" s="11"/>
      <c r="G918" s="23"/>
      <c r="H918" s="22"/>
      <c r="I918" s="35"/>
      <c r="J918" s="35"/>
      <c r="K918" s="36" t="str">
        <f aca="false">IF(I918="","",I918+J918)</f>
        <v/>
      </c>
      <c r="L918" s="37" t="str">
        <f aca="false">IF(OR(I918="",I918=0,J918=""),"",J918/I918)</f>
        <v/>
      </c>
      <c r="M918" s="25" t="str">
        <f aca="false">IF(L918="","",IF(L918&gt;0.25,"ACRÉSCIMO ACIMA DE 25% — conferir",""))</f>
        <v/>
      </c>
      <c r="N918" s="29" t="str">
        <f aca="false">IF(D918="","",IF(COUNTIFS(Empresas!$B:$B,D918,Empresas!$E:$E,"&lt;&gt;")=0,"",INDEX(Empresas!$E:$E,MATCH(D918,Empresas!$B:$B,0))))</f>
        <v/>
      </c>
      <c r="O918" s="27" t="str">
        <f aca="false">IF(OR(N918="",H918=""),"",H918-N918)</f>
        <v/>
      </c>
      <c r="P918" s="25" t="str">
        <f aca="false">IF(O918="","",IF(O918&lt;0,"CONTRATO ANTERIOR À ABERTURA — conferir datas",IF(O918&lt;180,"EMPRESA ABERTA MENOS DE 6 MESES ANTES","")))</f>
        <v/>
      </c>
      <c r="Q918" s="31" t="str">
        <f aca="false">IF(D918="","",IFERROR(INDEX(Sancoes!$D:$D,MATCH(D918,Sancoes!$C:$C,0)),"não consta"))</f>
        <v/>
      </c>
      <c r="R918" s="25" t="str">
        <f aca="false">IF(OR(D918="",H918=""),"",IF(SUMPRODUCT((Sancoes!$C$5:$C$304=D918)*(Sancoes!$G$5:$G$304&lt;=H918)*(((Sancoes!$H$5:$H$304="")+(Sancoes!$H$5:$H$304&gt;=H918))&gt;0))&gt;0,"SANÇÃO VIGENTE NA DATA — ler tipo e abrangência",""))</f>
        <v/>
      </c>
      <c r="S918" s="24"/>
      <c r="T918" s="11"/>
    </row>
    <row r="919" customFormat="false" ht="15" hidden="false" customHeight="false" outlineLevel="0" collapsed="false">
      <c r="A919" s="11"/>
      <c r="B919" s="24"/>
      <c r="C919" s="24"/>
      <c r="D919" s="31" t="str">
        <f aca="false">IF(C919="","",IF(LEN(UPPER(SUBSTITUTE(SUBSTITUTE(SUBSTITUTE(SUBSTITUTE(TRIM(C919),".",""),"/",""),"-","")," ","")))&lt;14,RIGHT(REPT("0",14)&amp;UPPER(SUBSTITUTE(SUBSTITUTE(SUBSTITUTE(SUBSTITUTE(TRIM(C919),".",""),"/",""),"-","")," ","")),14),UPPER(SUBSTITUTE(SUBSTITUTE(SUBSTITUTE(SUBSTITUTE(TRIM(C919),".",""),"/",""),"-","")," ",""))))</f>
        <v/>
      </c>
      <c r="E919" s="25" t="str">
        <f aca="false">IF(D919="","",IFERROR(INDEX(Empresas!$C:$C,MATCH(D919,Empresas!$B:$B,0)),"cadastre o CNPJ em Empresas"))</f>
        <v/>
      </c>
      <c r="F919" s="11"/>
      <c r="G919" s="23"/>
      <c r="H919" s="22"/>
      <c r="I919" s="35"/>
      <c r="J919" s="35"/>
      <c r="K919" s="36" t="str">
        <f aca="false">IF(I919="","",I919+J919)</f>
        <v/>
      </c>
      <c r="L919" s="37" t="str">
        <f aca="false">IF(OR(I919="",I919=0,J919=""),"",J919/I919)</f>
        <v/>
      </c>
      <c r="M919" s="25" t="str">
        <f aca="false">IF(L919="","",IF(L919&gt;0.25,"ACRÉSCIMO ACIMA DE 25% — conferir",""))</f>
        <v/>
      </c>
      <c r="N919" s="29" t="str">
        <f aca="false">IF(D919="","",IF(COUNTIFS(Empresas!$B:$B,D919,Empresas!$E:$E,"&lt;&gt;")=0,"",INDEX(Empresas!$E:$E,MATCH(D919,Empresas!$B:$B,0))))</f>
        <v/>
      </c>
      <c r="O919" s="27" t="str">
        <f aca="false">IF(OR(N919="",H919=""),"",H919-N919)</f>
        <v/>
      </c>
      <c r="P919" s="25" t="str">
        <f aca="false">IF(O919="","",IF(O919&lt;0,"CONTRATO ANTERIOR À ABERTURA — conferir datas",IF(O919&lt;180,"EMPRESA ABERTA MENOS DE 6 MESES ANTES","")))</f>
        <v/>
      </c>
      <c r="Q919" s="31" t="str">
        <f aca="false">IF(D919="","",IFERROR(INDEX(Sancoes!$D:$D,MATCH(D919,Sancoes!$C:$C,0)),"não consta"))</f>
        <v/>
      </c>
      <c r="R919" s="25" t="str">
        <f aca="false">IF(OR(D919="",H919=""),"",IF(SUMPRODUCT((Sancoes!$C$5:$C$304=D919)*(Sancoes!$G$5:$G$304&lt;=H919)*(((Sancoes!$H$5:$H$304="")+(Sancoes!$H$5:$H$304&gt;=H919))&gt;0))&gt;0,"SANÇÃO VIGENTE NA DATA — ler tipo e abrangência",""))</f>
        <v/>
      </c>
      <c r="S919" s="24"/>
      <c r="T919" s="11"/>
    </row>
    <row r="920" customFormat="false" ht="15" hidden="false" customHeight="false" outlineLevel="0" collapsed="false">
      <c r="A920" s="11"/>
      <c r="B920" s="24"/>
      <c r="C920" s="24"/>
      <c r="D920" s="31" t="str">
        <f aca="false">IF(C920="","",IF(LEN(UPPER(SUBSTITUTE(SUBSTITUTE(SUBSTITUTE(SUBSTITUTE(TRIM(C920),".",""),"/",""),"-","")," ","")))&lt;14,RIGHT(REPT("0",14)&amp;UPPER(SUBSTITUTE(SUBSTITUTE(SUBSTITUTE(SUBSTITUTE(TRIM(C920),".",""),"/",""),"-","")," ","")),14),UPPER(SUBSTITUTE(SUBSTITUTE(SUBSTITUTE(SUBSTITUTE(TRIM(C920),".",""),"/",""),"-","")," ",""))))</f>
        <v/>
      </c>
      <c r="E920" s="25" t="str">
        <f aca="false">IF(D920="","",IFERROR(INDEX(Empresas!$C:$C,MATCH(D920,Empresas!$B:$B,0)),"cadastre o CNPJ em Empresas"))</f>
        <v/>
      </c>
      <c r="F920" s="11"/>
      <c r="G920" s="23"/>
      <c r="H920" s="22"/>
      <c r="I920" s="35"/>
      <c r="J920" s="35"/>
      <c r="K920" s="36" t="str">
        <f aca="false">IF(I920="","",I920+J920)</f>
        <v/>
      </c>
      <c r="L920" s="37" t="str">
        <f aca="false">IF(OR(I920="",I920=0,J920=""),"",J920/I920)</f>
        <v/>
      </c>
      <c r="M920" s="25" t="str">
        <f aca="false">IF(L920="","",IF(L920&gt;0.25,"ACRÉSCIMO ACIMA DE 25% — conferir",""))</f>
        <v/>
      </c>
      <c r="N920" s="29" t="str">
        <f aca="false">IF(D920="","",IF(COUNTIFS(Empresas!$B:$B,D920,Empresas!$E:$E,"&lt;&gt;")=0,"",INDEX(Empresas!$E:$E,MATCH(D920,Empresas!$B:$B,0))))</f>
        <v/>
      </c>
      <c r="O920" s="27" t="str">
        <f aca="false">IF(OR(N920="",H920=""),"",H920-N920)</f>
        <v/>
      </c>
      <c r="P920" s="25" t="str">
        <f aca="false">IF(O920="","",IF(O920&lt;0,"CONTRATO ANTERIOR À ABERTURA — conferir datas",IF(O920&lt;180,"EMPRESA ABERTA MENOS DE 6 MESES ANTES","")))</f>
        <v/>
      </c>
      <c r="Q920" s="31" t="str">
        <f aca="false">IF(D920="","",IFERROR(INDEX(Sancoes!$D:$D,MATCH(D920,Sancoes!$C:$C,0)),"não consta"))</f>
        <v/>
      </c>
      <c r="R920" s="25" t="str">
        <f aca="false">IF(OR(D920="",H920=""),"",IF(SUMPRODUCT((Sancoes!$C$5:$C$304=D920)*(Sancoes!$G$5:$G$304&lt;=H920)*(((Sancoes!$H$5:$H$304="")+(Sancoes!$H$5:$H$304&gt;=H920))&gt;0))&gt;0,"SANÇÃO VIGENTE NA DATA — ler tipo e abrangência",""))</f>
        <v/>
      </c>
      <c r="S920" s="24"/>
      <c r="T920" s="11"/>
    </row>
    <row r="921" customFormat="false" ht="15" hidden="false" customHeight="false" outlineLevel="0" collapsed="false">
      <c r="A921" s="11"/>
      <c r="B921" s="24"/>
      <c r="C921" s="24"/>
      <c r="D921" s="31" t="str">
        <f aca="false">IF(C921="","",IF(LEN(UPPER(SUBSTITUTE(SUBSTITUTE(SUBSTITUTE(SUBSTITUTE(TRIM(C921),".",""),"/",""),"-","")," ","")))&lt;14,RIGHT(REPT("0",14)&amp;UPPER(SUBSTITUTE(SUBSTITUTE(SUBSTITUTE(SUBSTITUTE(TRIM(C921),".",""),"/",""),"-","")," ","")),14),UPPER(SUBSTITUTE(SUBSTITUTE(SUBSTITUTE(SUBSTITUTE(TRIM(C921),".",""),"/",""),"-","")," ",""))))</f>
        <v/>
      </c>
      <c r="E921" s="25" t="str">
        <f aca="false">IF(D921="","",IFERROR(INDEX(Empresas!$C:$C,MATCH(D921,Empresas!$B:$B,0)),"cadastre o CNPJ em Empresas"))</f>
        <v/>
      </c>
      <c r="F921" s="11"/>
      <c r="G921" s="23"/>
      <c r="H921" s="22"/>
      <c r="I921" s="35"/>
      <c r="J921" s="35"/>
      <c r="K921" s="36" t="str">
        <f aca="false">IF(I921="","",I921+J921)</f>
        <v/>
      </c>
      <c r="L921" s="37" t="str">
        <f aca="false">IF(OR(I921="",I921=0,J921=""),"",J921/I921)</f>
        <v/>
      </c>
      <c r="M921" s="25" t="str">
        <f aca="false">IF(L921="","",IF(L921&gt;0.25,"ACRÉSCIMO ACIMA DE 25% — conferir",""))</f>
        <v/>
      </c>
      <c r="N921" s="29" t="str">
        <f aca="false">IF(D921="","",IF(COUNTIFS(Empresas!$B:$B,D921,Empresas!$E:$E,"&lt;&gt;")=0,"",INDEX(Empresas!$E:$E,MATCH(D921,Empresas!$B:$B,0))))</f>
        <v/>
      </c>
      <c r="O921" s="27" t="str">
        <f aca="false">IF(OR(N921="",H921=""),"",H921-N921)</f>
        <v/>
      </c>
      <c r="P921" s="25" t="str">
        <f aca="false">IF(O921="","",IF(O921&lt;0,"CONTRATO ANTERIOR À ABERTURA — conferir datas",IF(O921&lt;180,"EMPRESA ABERTA MENOS DE 6 MESES ANTES","")))</f>
        <v/>
      </c>
      <c r="Q921" s="31" t="str">
        <f aca="false">IF(D921="","",IFERROR(INDEX(Sancoes!$D:$D,MATCH(D921,Sancoes!$C:$C,0)),"não consta"))</f>
        <v/>
      </c>
      <c r="R921" s="25" t="str">
        <f aca="false">IF(OR(D921="",H921=""),"",IF(SUMPRODUCT((Sancoes!$C$5:$C$304=D921)*(Sancoes!$G$5:$G$304&lt;=H921)*(((Sancoes!$H$5:$H$304="")+(Sancoes!$H$5:$H$304&gt;=H921))&gt;0))&gt;0,"SANÇÃO VIGENTE NA DATA — ler tipo e abrangência",""))</f>
        <v/>
      </c>
      <c r="S921" s="24"/>
      <c r="T921" s="11"/>
    </row>
    <row r="922" customFormat="false" ht="15" hidden="false" customHeight="false" outlineLevel="0" collapsed="false">
      <c r="A922" s="11"/>
      <c r="B922" s="24"/>
      <c r="C922" s="24"/>
      <c r="D922" s="31" t="str">
        <f aca="false">IF(C922="","",IF(LEN(UPPER(SUBSTITUTE(SUBSTITUTE(SUBSTITUTE(SUBSTITUTE(TRIM(C922),".",""),"/",""),"-","")," ","")))&lt;14,RIGHT(REPT("0",14)&amp;UPPER(SUBSTITUTE(SUBSTITUTE(SUBSTITUTE(SUBSTITUTE(TRIM(C922),".",""),"/",""),"-","")," ","")),14),UPPER(SUBSTITUTE(SUBSTITUTE(SUBSTITUTE(SUBSTITUTE(TRIM(C922),".",""),"/",""),"-","")," ",""))))</f>
        <v/>
      </c>
      <c r="E922" s="25" t="str">
        <f aca="false">IF(D922="","",IFERROR(INDEX(Empresas!$C:$C,MATCH(D922,Empresas!$B:$B,0)),"cadastre o CNPJ em Empresas"))</f>
        <v/>
      </c>
      <c r="F922" s="11"/>
      <c r="G922" s="23"/>
      <c r="H922" s="22"/>
      <c r="I922" s="35"/>
      <c r="J922" s="35"/>
      <c r="K922" s="36" t="str">
        <f aca="false">IF(I922="","",I922+J922)</f>
        <v/>
      </c>
      <c r="L922" s="37" t="str">
        <f aca="false">IF(OR(I922="",I922=0,J922=""),"",J922/I922)</f>
        <v/>
      </c>
      <c r="M922" s="25" t="str">
        <f aca="false">IF(L922="","",IF(L922&gt;0.25,"ACRÉSCIMO ACIMA DE 25% — conferir",""))</f>
        <v/>
      </c>
      <c r="N922" s="29" t="str">
        <f aca="false">IF(D922="","",IF(COUNTIFS(Empresas!$B:$B,D922,Empresas!$E:$E,"&lt;&gt;")=0,"",INDEX(Empresas!$E:$E,MATCH(D922,Empresas!$B:$B,0))))</f>
        <v/>
      </c>
      <c r="O922" s="27" t="str">
        <f aca="false">IF(OR(N922="",H922=""),"",H922-N922)</f>
        <v/>
      </c>
      <c r="P922" s="25" t="str">
        <f aca="false">IF(O922="","",IF(O922&lt;0,"CONTRATO ANTERIOR À ABERTURA — conferir datas",IF(O922&lt;180,"EMPRESA ABERTA MENOS DE 6 MESES ANTES","")))</f>
        <v/>
      </c>
      <c r="Q922" s="31" t="str">
        <f aca="false">IF(D922="","",IFERROR(INDEX(Sancoes!$D:$D,MATCH(D922,Sancoes!$C:$C,0)),"não consta"))</f>
        <v/>
      </c>
      <c r="R922" s="25" t="str">
        <f aca="false">IF(OR(D922="",H922=""),"",IF(SUMPRODUCT((Sancoes!$C$5:$C$304=D922)*(Sancoes!$G$5:$G$304&lt;=H922)*(((Sancoes!$H$5:$H$304="")+(Sancoes!$H$5:$H$304&gt;=H922))&gt;0))&gt;0,"SANÇÃO VIGENTE NA DATA — ler tipo e abrangência",""))</f>
        <v/>
      </c>
      <c r="S922" s="24"/>
      <c r="T922" s="11"/>
    </row>
    <row r="923" customFormat="false" ht="15" hidden="false" customHeight="false" outlineLevel="0" collapsed="false">
      <c r="A923" s="11"/>
      <c r="B923" s="24"/>
      <c r="C923" s="24"/>
      <c r="D923" s="31" t="str">
        <f aca="false">IF(C923="","",IF(LEN(UPPER(SUBSTITUTE(SUBSTITUTE(SUBSTITUTE(SUBSTITUTE(TRIM(C923),".",""),"/",""),"-","")," ","")))&lt;14,RIGHT(REPT("0",14)&amp;UPPER(SUBSTITUTE(SUBSTITUTE(SUBSTITUTE(SUBSTITUTE(TRIM(C923),".",""),"/",""),"-","")," ","")),14),UPPER(SUBSTITUTE(SUBSTITUTE(SUBSTITUTE(SUBSTITUTE(TRIM(C923),".",""),"/",""),"-","")," ",""))))</f>
        <v/>
      </c>
      <c r="E923" s="25" t="str">
        <f aca="false">IF(D923="","",IFERROR(INDEX(Empresas!$C:$C,MATCH(D923,Empresas!$B:$B,0)),"cadastre o CNPJ em Empresas"))</f>
        <v/>
      </c>
      <c r="F923" s="11"/>
      <c r="G923" s="23"/>
      <c r="H923" s="22"/>
      <c r="I923" s="35"/>
      <c r="J923" s="35"/>
      <c r="K923" s="36" t="str">
        <f aca="false">IF(I923="","",I923+J923)</f>
        <v/>
      </c>
      <c r="L923" s="37" t="str">
        <f aca="false">IF(OR(I923="",I923=0,J923=""),"",J923/I923)</f>
        <v/>
      </c>
      <c r="M923" s="25" t="str">
        <f aca="false">IF(L923="","",IF(L923&gt;0.25,"ACRÉSCIMO ACIMA DE 25% — conferir",""))</f>
        <v/>
      </c>
      <c r="N923" s="29" t="str">
        <f aca="false">IF(D923="","",IF(COUNTIFS(Empresas!$B:$B,D923,Empresas!$E:$E,"&lt;&gt;")=0,"",INDEX(Empresas!$E:$E,MATCH(D923,Empresas!$B:$B,0))))</f>
        <v/>
      </c>
      <c r="O923" s="27" t="str">
        <f aca="false">IF(OR(N923="",H923=""),"",H923-N923)</f>
        <v/>
      </c>
      <c r="P923" s="25" t="str">
        <f aca="false">IF(O923="","",IF(O923&lt;0,"CONTRATO ANTERIOR À ABERTURA — conferir datas",IF(O923&lt;180,"EMPRESA ABERTA MENOS DE 6 MESES ANTES","")))</f>
        <v/>
      </c>
      <c r="Q923" s="31" t="str">
        <f aca="false">IF(D923="","",IFERROR(INDEX(Sancoes!$D:$D,MATCH(D923,Sancoes!$C:$C,0)),"não consta"))</f>
        <v/>
      </c>
      <c r="R923" s="25" t="str">
        <f aca="false">IF(OR(D923="",H923=""),"",IF(SUMPRODUCT((Sancoes!$C$5:$C$304=D923)*(Sancoes!$G$5:$G$304&lt;=H923)*(((Sancoes!$H$5:$H$304="")+(Sancoes!$H$5:$H$304&gt;=H923))&gt;0))&gt;0,"SANÇÃO VIGENTE NA DATA — ler tipo e abrangência",""))</f>
        <v/>
      </c>
      <c r="S923" s="24"/>
      <c r="T923" s="11"/>
    </row>
    <row r="924" customFormat="false" ht="15" hidden="false" customHeight="false" outlineLevel="0" collapsed="false">
      <c r="A924" s="11"/>
      <c r="B924" s="24"/>
      <c r="C924" s="24"/>
      <c r="D924" s="31" t="str">
        <f aca="false">IF(C924="","",IF(LEN(UPPER(SUBSTITUTE(SUBSTITUTE(SUBSTITUTE(SUBSTITUTE(TRIM(C924),".",""),"/",""),"-","")," ","")))&lt;14,RIGHT(REPT("0",14)&amp;UPPER(SUBSTITUTE(SUBSTITUTE(SUBSTITUTE(SUBSTITUTE(TRIM(C924),".",""),"/",""),"-","")," ","")),14),UPPER(SUBSTITUTE(SUBSTITUTE(SUBSTITUTE(SUBSTITUTE(TRIM(C924),".",""),"/",""),"-","")," ",""))))</f>
        <v/>
      </c>
      <c r="E924" s="25" t="str">
        <f aca="false">IF(D924="","",IFERROR(INDEX(Empresas!$C:$C,MATCH(D924,Empresas!$B:$B,0)),"cadastre o CNPJ em Empresas"))</f>
        <v/>
      </c>
      <c r="F924" s="11"/>
      <c r="G924" s="23"/>
      <c r="H924" s="22"/>
      <c r="I924" s="35"/>
      <c r="J924" s="35"/>
      <c r="K924" s="36" t="str">
        <f aca="false">IF(I924="","",I924+J924)</f>
        <v/>
      </c>
      <c r="L924" s="37" t="str">
        <f aca="false">IF(OR(I924="",I924=0,J924=""),"",J924/I924)</f>
        <v/>
      </c>
      <c r="M924" s="25" t="str">
        <f aca="false">IF(L924="","",IF(L924&gt;0.25,"ACRÉSCIMO ACIMA DE 25% — conferir",""))</f>
        <v/>
      </c>
      <c r="N924" s="29" t="str">
        <f aca="false">IF(D924="","",IF(COUNTIFS(Empresas!$B:$B,D924,Empresas!$E:$E,"&lt;&gt;")=0,"",INDEX(Empresas!$E:$E,MATCH(D924,Empresas!$B:$B,0))))</f>
        <v/>
      </c>
      <c r="O924" s="27" t="str">
        <f aca="false">IF(OR(N924="",H924=""),"",H924-N924)</f>
        <v/>
      </c>
      <c r="P924" s="25" t="str">
        <f aca="false">IF(O924="","",IF(O924&lt;0,"CONTRATO ANTERIOR À ABERTURA — conferir datas",IF(O924&lt;180,"EMPRESA ABERTA MENOS DE 6 MESES ANTES","")))</f>
        <v/>
      </c>
      <c r="Q924" s="31" t="str">
        <f aca="false">IF(D924="","",IFERROR(INDEX(Sancoes!$D:$D,MATCH(D924,Sancoes!$C:$C,0)),"não consta"))</f>
        <v/>
      </c>
      <c r="R924" s="25" t="str">
        <f aca="false">IF(OR(D924="",H924=""),"",IF(SUMPRODUCT((Sancoes!$C$5:$C$304=D924)*(Sancoes!$G$5:$G$304&lt;=H924)*(((Sancoes!$H$5:$H$304="")+(Sancoes!$H$5:$H$304&gt;=H924))&gt;0))&gt;0,"SANÇÃO VIGENTE NA DATA — ler tipo e abrangência",""))</f>
        <v/>
      </c>
      <c r="S924" s="24"/>
      <c r="T924" s="11"/>
    </row>
    <row r="925" customFormat="false" ht="15" hidden="false" customHeight="false" outlineLevel="0" collapsed="false">
      <c r="A925" s="11"/>
      <c r="B925" s="24"/>
      <c r="C925" s="24"/>
      <c r="D925" s="31" t="str">
        <f aca="false">IF(C925="","",IF(LEN(UPPER(SUBSTITUTE(SUBSTITUTE(SUBSTITUTE(SUBSTITUTE(TRIM(C925),".",""),"/",""),"-","")," ","")))&lt;14,RIGHT(REPT("0",14)&amp;UPPER(SUBSTITUTE(SUBSTITUTE(SUBSTITUTE(SUBSTITUTE(TRIM(C925),".",""),"/",""),"-","")," ","")),14),UPPER(SUBSTITUTE(SUBSTITUTE(SUBSTITUTE(SUBSTITUTE(TRIM(C925),".",""),"/",""),"-","")," ",""))))</f>
        <v/>
      </c>
      <c r="E925" s="25" t="str">
        <f aca="false">IF(D925="","",IFERROR(INDEX(Empresas!$C:$C,MATCH(D925,Empresas!$B:$B,0)),"cadastre o CNPJ em Empresas"))</f>
        <v/>
      </c>
      <c r="F925" s="11"/>
      <c r="G925" s="23"/>
      <c r="H925" s="22"/>
      <c r="I925" s="35"/>
      <c r="J925" s="35"/>
      <c r="K925" s="36" t="str">
        <f aca="false">IF(I925="","",I925+J925)</f>
        <v/>
      </c>
      <c r="L925" s="37" t="str">
        <f aca="false">IF(OR(I925="",I925=0,J925=""),"",J925/I925)</f>
        <v/>
      </c>
      <c r="M925" s="25" t="str">
        <f aca="false">IF(L925="","",IF(L925&gt;0.25,"ACRÉSCIMO ACIMA DE 25% — conferir",""))</f>
        <v/>
      </c>
      <c r="N925" s="29" t="str">
        <f aca="false">IF(D925="","",IF(COUNTIFS(Empresas!$B:$B,D925,Empresas!$E:$E,"&lt;&gt;")=0,"",INDEX(Empresas!$E:$E,MATCH(D925,Empresas!$B:$B,0))))</f>
        <v/>
      </c>
      <c r="O925" s="27" t="str">
        <f aca="false">IF(OR(N925="",H925=""),"",H925-N925)</f>
        <v/>
      </c>
      <c r="P925" s="25" t="str">
        <f aca="false">IF(O925="","",IF(O925&lt;0,"CONTRATO ANTERIOR À ABERTURA — conferir datas",IF(O925&lt;180,"EMPRESA ABERTA MENOS DE 6 MESES ANTES","")))</f>
        <v/>
      </c>
      <c r="Q925" s="31" t="str">
        <f aca="false">IF(D925="","",IFERROR(INDEX(Sancoes!$D:$D,MATCH(D925,Sancoes!$C:$C,0)),"não consta"))</f>
        <v/>
      </c>
      <c r="R925" s="25" t="str">
        <f aca="false">IF(OR(D925="",H925=""),"",IF(SUMPRODUCT((Sancoes!$C$5:$C$304=D925)*(Sancoes!$G$5:$G$304&lt;=H925)*(((Sancoes!$H$5:$H$304="")+(Sancoes!$H$5:$H$304&gt;=H925))&gt;0))&gt;0,"SANÇÃO VIGENTE NA DATA — ler tipo e abrangência",""))</f>
        <v/>
      </c>
      <c r="S925" s="24"/>
      <c r="T925" s="11"/>
    </row>
    <row r="926" customFormat="false" ht="15" hidden="false" customHeight="false" outlineLevel="0" collapsed="false">
      <c r="A926" s="11"/>
      <c r="B926" s="24"/>
      <c r="C926" s="24"/>
      <c r="D926" s="31" t="str">
        <f aca="false">IF(C926="","",IF(LEN(UPPER(SUBSTITUTE(SUBSTITUTE(SUBSTITUTE(SUBSTITUTE(TRIM(C926),".",""),"/",""),"-","")," ","")))&lt;14,RIGHT(REPT("0",14)&amp;UPPER(SUBSTITUTE(SUBSTITUTE(SUBSTITUTE(SUBSTITUTE(TRIM(C926),".",""),"/",""),"-","")," ","")),14),UPPER(SUBSTITUTE(SUBSTITUTE(SUBSTITUTE(SUBSTITUTE(TRIM(C926),".",""),"/",""),"-","")," ",""))))</f>
        <v/>
      </c>
      <c r="E926" s="25" t="str">
        <f aca="false">IF(D926="","",IFERROR(INDEX(Empresas!$C:$C,MATCH(D926,Empresas!$B:$B,0)),"cadastre o CNPJ em Empresas"))</f>
        <v/>
      </c>
      <c r="F926" s="11"/>
      <c r="G926" s="23"/>
      <c r="H926" s="22"/>
      <c r="I926" s="35"/>
      <c r="J926" s="35"/>
      <c r="K926" s="36" t="str">
        <f aca="false">IF(I926="","",I926+J926)</f>
        <v/>
      </c>
      <c r="L926" s="37" t="str">
        <f aca="false">IF(OR(I926="",I926=0,J926=""),"",J926/I926)</f>
        <v/>
      </c>
      <c r="M926" s="25" t="str">
        <f aca="false">IF(L926="","",IF(L926&gt;0.25,"ACRÉSCIMO ACIMA DE 25% — conferir",""))</f>
        <v/>
      </c>
      <c r="N926" s="29" t="str">
        <f aca="false">IF(D926="","",IF(COUNTIFS(Empresas!$B:$B,D926,Empresas!$E:$E,"&lt;&gt;")=0,"",INDEX(Empresas!$E:$E,MATCH(D926,Empresas!$B:$B,0))))</f>
        <v/>
      </c>
      <c r="O926" s="27" t="str">
        <f aca="false">IF(OR(N926="",H926=""),"",H926-N926)</f>
        <v/>
      </c>
      <c r="P926" s="25" t="str">
        <f aca="false">IF(O926="","",IF(O926&lt;0,"CONTRATO ANTERIOR À ABERTURA — conferir datas",IF(O926&lt;180,"EMPRESA ABERTA MENOS DE 6 MESES ANTES","")))</f>
        <v/>
      </c>
      <c r="Q926" s="31" t="str">
        <f aca="false">IF(D926="","",IFERROR(INDEX(Sancoes!$D:$D,MATCH(D926,Sancoes!$C:$C,0)),"não consta"))</f>
        <v/>
      </c>
      <c r="R926" s="25" t="str">
        <f aca="false">IF(OR(D926="",H926=""),"",IF(SUMPRODUCT((Sancoes!$C$5:$C$304=D926)*(Sancoes!$G$5:$G$304&lt;=H926)*(((Sancoes!$H$5:$H$304="")+(Sancoes!$H$5:$H$304&gt;=H926))&gt;0))&gt;0,"SANÇÃO VIGENTE NA DATA — ler tipo e abrangência",""))</f>
        <v/>
      </c>
      <c r="S926" s="24"/>
      <c r="T926" s="11"/>
    </row>
    <row r="927" customFormat="false" ht="15" hidden="false" customHeight="false" outlineLevel="0" collapsed="false">
      <c r="A927" s="11"/>
      <c r="B927" s="24"/>
      <c r="C927" s="24"/>
      <c r="D927" s="31" t="str">
        <f aca="false">IF(C927="","",IF(LEN(UPPER(SUBSTITUTE(SUBSTITUTE(SUBSTITUTE(SUBSTITUTE(TRIM(C927),".",""),"/",""),"-","")," ","")))&lt;14,RIGHT(REPT("0",14)&amp;UPPER(SUBSTITUTE(SUBSTITUTE(SUBSTITUTE(SUBSTITUTE(TRIM(C927),".",""),"/",""),"-","")," ","")),14),UPPER(SUBSTITUTE(SUBSTITUTE(SUBSTITUTE(SUBSTITUTE(TRIM(C927),".",""),"/",""),"-","")," ",""))))</f>
        <v/>
      </c>
      <c r="E927" s="25" t="str">
        <f aca="false">IF(D927="","",IFERROR(INDEX(Empresas!$C:$C,MATCH(D927,Empresas!$B:$B,0)),"cadastre o CNPJ em Empresas"))</f>
        <v/>
      </c>
      <c r="F927" s="11"/>
      <c r="G927" s="23"/>
      <c r="H927" s="22"/>
      <c r="I927" s="35"/>
      <c r="J927" s="35"/>
      <c r="K927" s="36" t="str">
        <f aca="false">IF(I927="","",I927+J927)</f>
        <v/>
      </c>
      <c r="L927" s="37" t="str">
        <f aca="false">IF(OR(I927="",I927=0,J927=""),"",J927/I927)</f>
        <v/>
      </c>
      <c r="M927" s="25" t="str">
        <f aca="false">IF(L927="","",IF(L927&gt;0.25,"ACRÉSCIMO ACIMA DE 25% — conferir",""))</f>
        <v/>
      </c>
      <c r="N927" s="29" t="str">
        <f aca="false">IF(D927="","",IF(COUNTIFS(Empresas!$B:$B,D927,Empresas!$E:$E,"&lt;&gt;")=0,"",INDEX(Empresas!$E:$E,MATCH(D927,Empresas!$B:$B,0))))</f>
        <v/>
      </c>
      <c r="O927" s="27" t="str">
        <f aca="false">IF(OR(N927="",H927=""),"",H927-N927)</f>
        <v/>
      </c>
      <c r="P927" s="25" t="str">
        <f aca="false">IF(O927="","",IF(O927&lt;0,"CONTRATO ANTERIOR À ABERTURA — conferir datas",IF(O927&lt;180,"EMPRESA ABERTA MENOS DE 6 MESES ANTES","")))</f>
        <v/>
      </c>
      <c r="Q927" s="31" t="str">
        <f aca="false">IF(D927="","",IFERROR(INDEX(Sancoes!$D:$D,MATCH(D927,Sancoes!$C:$C,0)),"não consta"))</f>
        <v/>
      </c>
      <c r="R927" s="25" t="str">
        <f aca="false">IF(OR(D927="",H927=""),"",IF(SUMPRODUCT((Sancoes!$C$5:$C$304=D927)*(Sancoes!$G$5:$G$304&lt;=H927)*(((Sancoes!$H$5:$H$304="")+(Sancoes!$H$5:$H$304&gt;=H927))&gt;0))&gt;0,"SANÇÃO VIGENTE NA DATA — ler tipo e abrangência",""))</f>
        <v/>
      </c>
      <c r="S927" s="24"/>
      <c r="T927" s="11"/>
    </row>
    <row r="928" customFormat="false" ht="15" hidden="false" customHeight="false" outlineLevel="0" collapsed="false">
      <c r="A928" s="11"/>
      <c r="B928" s="24"/>
      <c r="C928" s="24"/>
      <c r="D928" s="31" t="str">
        <f aca="false">IF(C928="","",IF(LEN(UPPER(SUBSTITUTE(SUBSTITUTE(SUBSTITUTE(SUBSTITUTE(TRIM(C928),".",""),"/",""),"-","")," ","")))&lt;14,RIGHT(REPT("0",14)&amp;UPPER(SUBSTITUTE(SUBSTITUTE(SUBSTITUTE(SUBSTITUTE(TRIM(C928),".",""),"/",""),"-","")," ","")),14),UPPER(SUBSTITUTE(SUBSTITUTE(SUBSTITUTE(SUBSTITUTE(TRIM(C928),".",""),"/",""),"-","")," ",""))))</f>
        <v/>
      </c>
      <c r="E928" s="25" t="str">
        <f aca="false">IF(D928="","",IFERROR(INDEX(Empresas!$C:$C,MATCH(D928,Empresas!$B:$B,0)),"cadastre o CNPJ em Empresas"))</f>
        <v/>
      </c>
      <c r="F928" s="11"/>
      <c r="G928" s="23"/>
      <c r="H928" s="22"/>
      <c r="I928" s="35"/>
      <c r="J928" s="35"/>
      <c r="K928" s="36" t="str">
        <f aca="false">IF(I928="","",I928+J928)</f>
        <v/>
      </c>
      <c r="L928" s="37" t="str">
        <f aca="false">IF(OR(I928="",I928=0,J928=""),"",J928/I928)</f>
        <v/>
      </c>
      <c r="M928" s="25" t="str">
        <f aca="false">IF(L928="","",IF(L928&gt;0.25,"ACRÉSCIMO ACIMA DE 25% — conferir",""))</f>
        <v/>
      </c>
      <c r="N928" s="29" t="str">
        <f aca="false">IF(D928="","",IF(COUNTIFS(Empresas!$B:$B,D928,Empresas!$E:$E,"&lt;&gt;")=0,"",INDEX(Empresas!$E:$E,MATCH(D928,Empresas!$B:$B,0))))</f>
        <v/>
      </c>
      <c r="O928" s="27" t="str">
        <f aca="false">IF(OR(N928="",H928=""),"",H928-N928)</f>
        <v/>
      </c>
      <c r="P928" s="25" t="str">
        <f aca="false">IF(O928="","",IF(O928&lt;0,"CONTRATO ANTERIOR À ABERTURA — conferir datas",IF(O928&lt;180,"EMPRESA ABERTA MENOS DE 6 MESES ANTES","")))</f>
        <v/>
      </c>
      <c r="Q928" s="31" t="str">
        <f aca="false">IF(D928="","",IFERROR(INDEX(Sancoes!$D:$D,MATCH(D928,Sancoes!$C:$C,0)),"não consta"))</f>
        <v/>
      </c>
      <c r="R928" s="25" t="str">
        <f aca="false">IF(OR(D928="",H928=""),"",IF(SUMPRODUCT((Sancoes!$C$5:$C$304=D928)*(Sancoes!$G$5:$G$304&lt;=H928)*(((Sancoes!$H$5:$H$304="")+(Sancoes!$H$5:$H$304&gt;=H928))&gt;0))&gt;0,"SANÇÃO VIGENTE NA DATA — ler tipo e abrangência",""))</f>
        <v/>
      </c>
      <c r="S928" s="24"/>
      <c r="T928" s="11"/>
    </row>
    <row r="929" customFormat="false" ht="15" hidden="false" customHeight="false" outlineLevel="0" collapsed="false">
      <c r="A929" s="11"/>
      <c r="B929" s="24"/>
      <c r="C929" s="24"/>
      <c r="D929" s="31" t="str">
        <f aca="false">IF(C929="","",IF(LEN(UPPER(SUBSTITUTE(SUBSTITUTE(SUBSTITUTE(SUBSTITUTE(TRIM(C929),".",""),"/",""),"-","")," ","")))&lt;14,RIGHT(REPT("0",14)&amp;UPPER(SUBSTITUTE(SUBSTITUTE(SUBSTITUTE(SUBSTITUTE(TRIM(C929),".",""),"/",""),"-","")," ","")),14),UPPER(SUBSTITUTE(SUBSTITUTE(SUBSTITUTE(SUBSTITUTE(TRIM(C929),".",""),"/",""),"-","")," ",""))))</f>
        <v/>
      </c>
      <c r="E929" s="25" t="str">
        <f aca="false">IF(D929="","",IFERROR(INDEX(Empresas!$C:$C,MATCH(D929,Empresas!$B:$B,0)),"cadastre o CNPJ em Empresas"))</f>
        <v/>
      </c>
      <c r="F929" s="11"/>
      <c r="G929" s="23"/>
      <c r="H929" s="22"/>
      <c r="I929" s="35"/>
      <c r="J929" s="35"/>
      <c r="K929" s="36" t="str">
        <f aca="false">IF(I929="","",I929+J929)</f>
        <v/>
      </c>
      <c r="L929" s="37" t="str">
        <f aca="false">IF(OR(I929="",I929=0,J929=""),"",J929/I929)</f>
        <v/>
      </c>
      <c r="M929" s="25" t="str">
        <f aca="false">IF(L929="","",IF(L929&gt;0.25,"ACRÉSCIMO ACIMA DE 25% — conferir",""))</f>
        <v/>
      </c>
      <c r="N929" s="29" t="str">
        <f aca="false">IF(D929="","",IF(COUNTIFS(Empresas!$B:$B,D929,Empresas!$E:$E,"&lt;&gt;")=0,"",INDEX(Empresas!$E:$E,MATCH(D929,Empresas!$B:$B,0))))</f>
        <v/>
      </c>
      <c r="O929" s="27" t="str">
        <f aca="false">IF(OR(N929="",H929=""),"",H929-N929)</f>
        <v/>
      </c>
      <c r="P929" s="25" t="str">
        <f aca="false">IF(O929="","",IF(O929&lt;0,"CONTRATO ANTERIOR À ABERTURA — conferir datas",IF(O929&lt;180,"EMPRESA ABERTA MENOS DE 6 MESES ANTES","")))</f>
        <v/>
      </c>
      <c r="Q929" s="31" t="str">
        <f aca="false">IF(D929="","",IFERROR(INDEX(Sancoes!$D:$D,MATCH(D929,Sancoes!$C:$C,0)),"não consta"))</f>
        <v/>
      </c>
      <c r="R929" s="25" t="str">
        <f aca="false">IF(OR(D929="",H929=""),"",IF(SUMPRODUCT((Sancoes!$C$5:$C$304=D929)*(Sancoes!$G$5:$G$304&lt;=H929)*(((Sancoes!$H$5:$H$304="")+(Sancoes!$H$5:$H$304&gt;=H929))&gt;0))&gt;0,"SANÇÃO VIGENTE NA DATA — ler tipo e abrangência",""))</f>
        <v/>
      </c>
      <c r="S929" s="24"/>
      <c r="T929" s="11"/>
    </row>
    <row r="930" customFormat="false" ht="15" hidden="false" customHeight="false" outlineLevel="0" collapsed="false">
      <c r="A930" s="11"/>
      <c r="B930" s="24"/>
      <c r="C930" s="24"/>
      <c r="D930" s="31" t="str">
        <f aca="false">IF(C930="","",IF(LEN(UPPER(SUBSTITUTE(SUBSTITUTE(SUBSTITUTE(SUBSTITUTE(TRIM(C930),".",""),"/",""),"-","")," ","")))&lt;14,RIGHT(REPT("0",14)&amp;UPPER(SUBSTITUTE(SUBSTITUTE(SUBSTITUTE(SUBSTITUTE(TRIM(C930),".",""),"/",""),"-","")," ","")),14),UPPER(SUBSTITUTE(SUBSTITUTE(SUBSTITUTE(SUBSTITUTE(TRIM(C930),".",""),"/",""),"-","")," ",""))))</f>
        <v/>
      </c>
      <c r="E930" s="25" t="str">
        <f aca="false">IF(D930="","",IFERROR(INDEX(Empresas!$C:$C,MATCH(D930,Empresas!$B:$B,0)),"cadastre o CNPJ em Empresas"))</f>
        <v/>
      </c>
      <c r="F930" s="11"/>
      <c r="G930" s="23"/>
      <c r="H930" s="22"/>
      <c r="I930" s="35"/>
      <c r="J930" s="35"/>
      <c r="K930" s="36" t="str">
        <f aca="false">IF(I930="","",I930+J930)</f>
        <v/>
      </c>
      <c r="L930" s="37" t="str">
        <f aca="false">IF(OR(I930="",I930=0,J930=""),"",J930/I930)</f>
        <v/>
      </c>
      <c r="M930" s="25" t="str">
        <f aca="false">IF(L930="","",IF(L930&gt;0.25,"ACRÉSCIMO ACIMA DE 25% — conferir",""))</f>
        <v/>
      </c>
      <c r="N930" s="29" t="str">
        <f aca="false">IF(D930="","",IF(COUNTIFS(Empresas!$B:$B,D930,Empresas!$E:$E,"&lt;&gt;")=0,"",INDEX(Empresas!$E:$E,MATCH(D930,Empresas!$B:$B,0))))</f>
        <v/>
      </c>
      <c r="O930" s="27" t="str">
        <f aca="false">IF(OR(N930="",H930=""),"",H930-N930)</f>
        <v/>
      </c>
      <c r="P930" s="25" t="str">
        <f aca="false">IF(O930="","",IF(O930&lt;0,"CONTRATO ANTERIOR À ABERTURA — conferir datas",IF(O930&lt;180,"EMPRESA ABERTA MENOS DE 6 MESES ANTES","")))</f>
        <v/>
      </c>
      <c r="Q930" s="31" t="str">
        <f aca="false">IF(D930="","",IFERROR(INDEX(Sancoes!$D:$D,MATCH(D930,Sancoes!$C:$C,0)),"não consta"))</f>
        <v/>
      </c>
      <c r="R930" s="25" t="str">
        <f aca="false">IF(OR(D930="",H930=""),"",IF(SUMPRODUCT((Sancoes!$C$5:$C$304=D930)*(Sancoes!$G$5:$G$304&lt;=H930)*(((Sancoes!$H$5:$H$304="")+(Sancoes!$H$5:$H$304&gt;=H930))&gt;0))&gt;0,"SANÇÃO VIGENTE NA DATA — ler tipo e abrangência",""))</f>
        <v/>
      </c>
      <c r="S930" s="24"/>
      <c r="T930" s="11"/>
    </row>
    <row r="931" customFormat="false" ht="15" hidden="false" customHeight="false" outlineLevel="0" collapsed="false">
      <c r="A931" s="11"/>
      <c r="B931" s="24"/>
      <c r="C931" s="24"/>
      <c r="D931" s="31" t="str">
        <f aca="false">IF(C931="","",IF(LEN(UPPER(SUBSTITUTE(SUBSTITUTE(SUBSTITUTE(SUBSTITUTE(TRIM(C931),".",""),"/",""),"-","")," ","")))&lt;14,RIGHT(REPT("0",14)&amp;UPPER(SUBSTITUTE(SUBSTITUTE(SUBSTITUTE(SUBSTITUTE(TRIM(C931),".",""),"/",""),"-","")," ","")),14),UPPER(SUBSTITUTE(SUBSTITUTE(SUBSTITUTE(SUBSTITUTE(TRIM(C931),".",""),"/",""),"-","")," ",""))))</f>
        <v/>
      </c>
      <c r="E931" s="25" t="str">
        <f aca="false">IF(D931="","",IFERROR(INDEX(Empresas!$C:$C,MATCH(D931,Empresas!$B:$B,0)),"cadastre o CNPJ em Empresas"))</f>
        <v/>
      </c>
      <c r="F931" s="11"/>
      <c r="G931" s="23"/>
      <c r="H931" s="22"/>
      <c r="I931" s="35"/>
      <c r="J931" s="35"/>
      <c r="K931" s="36" t="str">
        <f aca="false">IF(I931="","",I931+J931)</f>
        <v/>
      </c>
      <c r="L931" s="37" t="str">
        <f aca="false">IF(OR(I931="",I931=0,J931=""),"",J931/I931)</f>
        <v/>
      </c>
      <c r="M931" s="25" t="str">
        <f aca="false">IF(L931="","",IF(L931&gt;0.25,"ACRÉSCIMO ACIMA DE 25% — conferir",""))</f>
        <v/>
      </c>
      <c r="N931" s="29" t="str">
        <f aca="false">IF(D931="","",IF(COUNTIFS(Empresas!$B:$B,D931,Empresas!$E:$E,"&lt;&gt;")=0,"",INDEX(Empresas!$E:$E,MATCH(D931,Empresas!$B:$B,0))))</f>
        <v/>
      </c>
      <c r="O931" s="27" t="str">
        <f aca="false">IF(OR(N931="",H931=""),"",H931-N931)</f>
        <v/>
      </c>
      <c r="P931" s="25" t="str">
        <f aca="false">IF(O931="","",IF(O931&lt;0,"CONTRATO ANTERIOR À ABERTURA — conferir datas",IF(O931&lt;180,"EMPRESA ABERTA MENOS DE 6 MESES ANTES","")))</f>
        <v/>
      </c>
      <c r="Q931" s="31" t="str">
        <f aca="false">IF(D931="","",IFERROR(INDEX(Sancoes!$D:$D,MATCH(D931,Sancoes!$C:$C,0)),"não consta"))</f>
        <v/>
      </c>
      <c r="R931" s="25" t="str">
        <f aca="false">IF(OR(D931="",H931=""),"",IF(SUMPRODUCT((Sancoes!$C$5:$C$304=D931)*(Sancoes!$G$5:$G$304&lt;=H931)*(((Sancoes!$H$5:$H$304="")+(Sancoes!$H$5:$H$304&gt;=H931))&gt;0))&gt;0,"SANÇÃO VIGENTE NA DATA — ler tipo e abrangência",""))</f>
        <v/>
      </c>
      <c r="S931" s="24"/>
      <c r="T931" s="11"/>
    </row>
    <row r="932" customFormat="false" ht="15" hidden="false" customHeight="false" outlineLevel="0" collapsed="false">
      <c r="A932" s="11"/>
      <c r="B932" s="24"/>
      <c r="C932" s="24"/>
      <c r="D932" s="31" t="str">
        <f aca="false">IF(C932="","",IF(LEN(UPPER(SUBSTITUTE(SUBSTITUTE(SUBSTITUTE(SUBSTITUTE(TRIM(C932),".",""),"/",""),"-","")," ","")))&lt;14,RIGHT(REPT("0",14)&amp;UPPER(SUBSTITUTE(SUBSTITUTE(SUBSTITUTE(SUBSTITUTE(TRIM(C932),".",""),"/",""),"-","")," ","")),14),UPPER(SUBSTITUTE(SUBSTITUTE(SUBSTITUTE(SUBSTITUTE(TRIM(C932),".",""),"/",""),"-","")," ",""))))</f>
        <v/>
      </c>
      <c r="E932" s="25" t="str">
        <f aca="false">IF(D932="","",IFERROR(INDEX(Empresas!$C:$C,MATCH(D932,Empresas!$B:$B,0)),"cadastre o CNPJ em Empresas"))</f>
        <v/>
      </c>
      <c r="F932" s="11"/>
      <c r="G932" s="23"/>
      <c r="H932" s="22"/>
      <c r="I932" s="35"/>
      <c r="J932" s="35"/>
      <c r="K932" s="36" t="str">
        <f aca="false">IF(I932="","",I932+J932)</f>
        <v/>
      </c>
      <c r="L932" s="37" t="str">
        <f aca="false">IF(OR(I932="",I932=0,J932=""),"",J932/I932)</f>
        <v/>
      </c>
      <c r="M932" s="25" t="str">
        <f aca="false">IF(L932="","",IF(L932&gt;0.25,"ACRÉSCIMO ACIMA DE 25% — conferir",""))</f>
        <v/>
      </c>
      <c r="N932" s="29" t="str">
        <f aca="false">IF(D932="","",IF(COUNTIFS(Empresas!$B:$B,D932,Empresas!$E:$E,"&lt;&gt;")=0,"",INDEX(Empresas!$E:$E,MATCH(D932,Empresas!$B:$B,0))))</f>
        <v/>
      </c>
      <c r="O932" s="27" t="str">
        <f aca="false">IF(OR(N932="",H932=""),"",H932-N932)</f>
        <v/>
      </c>
      <c r="P932" s="25" t="str">
        <f aca="false">IF(O932="","",IF(O932&lt;0,"CONTRATO ANTERIOR À ABERTURA — conferir datas",IF(O932&lt;180,"EMPRESA ABERTA MENOS DE 6 MESES ANTES","")))</f>
        <v/>
      </c>
      <c r="Q932" s="31" t="str">
        <f aca="false">IF(D932="","",IFERROR(INDEX(Sancoes!$D:$D,MATCH(D932,Sancoes!$C:$C,0)),"não consta"))</f>
        <v/>
      </c>
      <c r="R932" s="25" t="str">
        <f aca="false">IF(OR(D932="",H932=""),"",IF(SUMPRODUCT((Sancoes!$C$5:$C$304=D932)*(Sancoes!$G$5:$G$304&lt;=H932)*(((Sancoes!$H$5:$H$304="")+(Sancoes!$H$5:$H$304&gt;=H932))&gt;0))&gt;0,"SANÇÃO VIGENTE NA DATA — ler tipo e abrangência",""))</f>
        <v/>
      </c>
      <c r="S932" s="24"/>
      <c r="T932" s="11"/>
    </row>
    <row r="933" customFormat="false" ht="15" hidden="false" customHeight="false" outlineLevel="0" collapsed="false">
      <c r="A933" s="11"/>
      <c r="B933" s="24"/>
      <c r="C933" s="24"/>
      <c r="D933" s="31" t="str">
        <f aca="false">IF(C933="","",IF(LEN(UPPER(SUBSTITUTE(SUBSTITUTE(SUBSTITUTE(SUBSTITUTE(TRIM(C933),".",""),"/",""),"-","")," ","")))&lt;14,RIGHT(REPT("0",14)&amp;UPPER(SUBSTITUTE(SUBSTITUTE(SUBSTITUTE(SUBSTITUTE(TRIM(C933),".",""),"/",""),"-","")," ","")),14),UPPER(SUBSTITUTE(SUBSTITUTE(SUBSTITUTE(SUBSTITUTE(TRIM(C933),".",""),"/",""),"-","")," ",""))))</f>
        <v/>
      </c>
      <c r="E933" s="25" t="str">
        <f aca="false">IF(D933="","",IFERROR(INDEX(Empresas!$C:$C,MATCH(D933,Empresas!$B:$B,0)),"cadastre o CNPJ em Empresas"))</f>
        <v/>
      </c>
      <c r="F933" s="11"/>
      <c r="G933" s="23"/>
      <c r="H933" s="22"/>
      <c r="I933" s="35"/>
      <c r="J933" s="35"/>
      <c r="K933" s="36" t="str">
        <f aca="false">IF(I933="","",I933+J933)</f>
        <v/>
      </c>
      <c r="L933" s="37" t="str">
        <f aca="false">IF(OR(I933="",I933=0,J933=""),"",J933/I933)</f>
        <v/>
      </c>
      <c r="M933" s="25" t="str">
        <f aca="false">IF(L933="","",IF(L933&gt;0.25,"ACRÉSCIMO ACIMA DE 25% — conferir",""))</f>
        <v/>
      </c>
      <c r="N933" s="29" t="str">
        <f aca="false">IF(D933="","",IF(COUNTIFS(Empresas!$B:$B,D933,Empresas!$E:$E,"&lt;&gt;")=0,"",INDEX(Empresas!$E:$E,MATCH(D933,Empresas!$B:$B,0))))</f>
        <v/>
      </c>
      <c r="O933" s="27" t="str">
        <f aca="false">IF(OR(N933="",H933=""),"",H933-N933)</f>
        <v/>
      </c>
      <c r="P933" s="25" t="str">
        <f aca="false">IF(O933="","",IF(O933&lt;0,"CONTRATO ANTERIOR À ABERTURA — conferir datas",IF(O933&lt;180,"EMPRESA ABERTA MENOS DE 6 MESES ANTES","")))</f>
        <v/>
      </c>
      <c r="Q933" s="31" t="str">
        <f aca="false">IF(D933="","",IFERROR(INDEX(Sancoes!$D:$D,MATCH(D933,Sancoes!$C:$C,0)),"não consta"))</f>
        <v/>
      </c>
      <c r="R933" s="25" t="str">
        <f aca="false">IF(OR(D933="",H933=""),"",IF(SUMPRODUCT((Sancoes!$C$5:$C$304=D933)*(Sancoes!$G$5:$G$304&lt;=H933)*(((Sancoes!$H$5:$H$304="")+(Sancoes!$H$5:$H$304&gt;=H933))&gt;0))&gt;0,"SANÇÃO VIGENTE NA DATA — ler tipo e abrangência",""))</f>
        <v/>
      </c>
      <c r="S933" s="24"/>
      <c r="T933" s="11"/>
    </row>
    <row r="934" customFormat="false" ht="15" hidden="false" customHeight="false" outlineLevel="0" collapsed="false">
      <c r="A934" s="11"/>
      <c r="B934" s="24"/>
      <c r="C934" s="24"/>
      <c r="D934" s="31" t="str">
        <f aca="false">IF(C934="","",IF(LEN(UPPER(SUBSTITUTE(SUBSTITUTE(SUBSTITUTE(SUBSTITUTE(TRIM(C934),".",""),"/",""),"-","")," ","")))&lt;14,RIGHT(REPT("0",14)&amp;UPPER(SUBSTITUTE(SUBSTITUTE(SUBSTITUTE(SUBSTITUTE(TRIM(C934),".",""),"/",""),"-","")," ","")),14),UPPER(SUBSTITUTE(SUBSTITUTE(SUBSTITUTE(SUBSTITUTE(TRIM(C934),".",""),"/",""),"-","")," ",""))))</f>
        <v/>
      </c>
      <c r="E934" s="25" t="str">
        <f aca="false">IF(D934="","",IFERROR(INDEX(Empresas!$C:$C,MATCH(D934,Empresas!$B:$B,0)),"cadastre o CNPJ em Empresas"))</f>
        <v/>
      </c>
      <c r="F934" s="11"/>
      <c r="G934" s="23"/>
      <c r="H934" s="22"/>
      <c r="I934" s="35"/>
      <c r="J934" s="35"/>
      <c r="K934" s="36" t="str">
        <f aca="false">IF(I934="","",I934+J934)</f>
        <v/>
      </c>
      <c r="L934" s="37" t="str">
        <f aca="false">IF(OR(I934="",I934=0,J934=""),"",J934/I934)</f>
        <v/>
      </c>
      <c r="M934" s="25" t="str">
        <f aca="false">IF(L934="","",IF(L934&gt;0.25,"ACRÉSCIMO ACIMA DE 25% — conferir",""))</f>
        <v/>
      </c>
      <c r="N934" s="29" t="str">
        <f aca="false">IF(D934="","",IF(COUNTIFS(Empresas!$B:$B,D934,Empresas!$E:$E,"&lt;&gt;")=0,"",INDEX(Empresas!$E:$E,MATCH(D934,Empresas!$B:$B,0))))</f>
        <v/>
      </c>
      <c r="O934" s="27" t="str">
        <f aca="false">IF(OR(N934="",H934=""),"",H934-N934)</f>
        <v/>
      </c>
      <c r="P934" s="25" t="str">
        <f aca="false">IF(O934="","",IF(O934&lt;0,"CONTRATO ANTERIOR À ABERTURA — conferir datas",IF(O934&lt;180,"EMPRESA ABERTA MENOS DE 6 MESES ANTES","")))</f>
        <v/>
      </c>
      <c r="Q934" s="31" t="str">
        <f aca="false">IF(D934="","",IFERROR(INDEX(Sancoes!$D:$D,MATCH(D934,Sancoes!$C:$C,0)),"não consta"))</f>
        <v/>
      </c>
      <c r="R934" s="25" t="str">
        <f aca="false">IF(OR(D934="",H934=""),"",IF(SUMPRODUCT((Sancoes!$C$5:$C$304=D934)*(Sancoes!$G$5:$G$304&lt;=H934)*(((Sancoes!$H$5:$H$304="")+(Sancoes!$H$5:$H$304&gt;=H934))&gt;0))&gt;0,"SANÇÃO VIGENTE NA DATA — ler tipo e abrangência",""))</f>
        <v/>
      </c>
      <c r="S934" s="24"/>
      <c r="T934" s="11"/>
    </row>
    <row r="935" customFormat="false" ht="15" hidden="false" customHeight="false" outlineLevel="0" collapsed="false">
      <c r="A935" s="11"/>
      <c r="B935" s="24"/>
      <c r="C935" s="24"/>
      <c r="D935" s="31" t="str">
        <f aca="false">IF(C935="","",IF(LEN(UPPER(SUBSTITUTE(SUBSTITUTE(SUBSTITUTE(SUBSTITUTE(TRIM(C935),".",""),"/",""),"-","")," ","")))&lt;14,RIGHT(REPT("0",14)&amp;UPPER(SUBSTITUTE(SUBSTITUTE(SUBSTITUTE(SUBSTITUTE(TRIM(C935),".",""),"/",""),"-","")," ","")),14),UPPER(SUBSTITUTE(SUBSTITUTE(SUBSTITUTE(SUBSTITUTE(TRIM(C935),".",""),"/",""),"-","")," ",""))))</f>
        <v/>
      </c>
      <c r="E935" s="25" t="str">
        <f aca="false">IF(D935="","",IFERROR(INDEX(Empresas!$C:$C,MATCH(D935,Empresas!$B:$B,0)),"cadastre o CNPJ em Empresas"))</f>
        <v/>
      </c>
      <c r="F935" s="11"/>
      <c r="G935" s="23"/>
      <c r="H935" s="22"/>
      <c r="I935" s="35"/>
      <c r="J935" s="35"/>
      <c r="K935" s="36" t="str">
        <f aca="false">IF(I935="","",I935+J935)</f>
        <v/>
      </c>
      <c r="L935" s="37" t="str">
        <f aca="false">IF(OR(I935="",I935=0,J935=""),"",J935/I935)</f>
        <v/>
      </c>
      <c r="M935" s="25" t="str">
        <f aca="false">IF(L935="","",IF(L935&gt;0.25,"ACRÉSCIMO ACIMA DE 25% — conferir",""))</f>
        <v/>
      </c>
      <c r="N935" s="29" t="str">
        <f aca="false">IF(D935="","",IF(COUNTIFS(Empresas!$B:$B,D935,Empresas!$E:$E,"&lt;&gt;")=0,"",INDEX(Empresas!$E:$E,MATCH(D935,Empresas!$B:$B,0))))</f>
        <v/>
      </c>
      <c r="O935" s="27" t="str">
        <f aca="false">IF(OR(N935="",H935=""),"",H935-N935)</f>
        <v/>
      </c>
      <c r="P935" s="25" t="str">
        <f aca="false">IF(O935="","",IF(O935&lt;0,"CONTRATO ANTERIOR À ABERTURA — conferir datas",IF(O935&lt;180,"EMPRESA ABERTA MENOS DE 6 MESES ANTES","")))</f>
        <v/>
      </c>
      <c r="Q935" s="31" t="str">
        <f aca="false">IF(D935="","",IFERROR(INDEX(Sancoes!$D:$D,MATCH(D935,Sancoes!$C:$C,0)),"não consta"))</f>
        <v/>
      </c>
      <c r="R935" s="25" t="str">
        <f aca="false">IF(OR(D935="",H935=""),"",IF(SUMPRODUCT((Sancoes!$C$5:$C$304=D935)*(Sancoes!$G$5:$G$304&lt;=H935)*(((Sancoes!$H$5:$H$304="")+(Sancoes!$H$5:$H$304&gt;=H935))&gt;0))&gt;0,"SANÇÃO VIGENTE NA DATA — ler tipo e abrangência",""))</f>
        <v/>
      </c>
      <c r="S935" s="24"/>
      <c r="T935" s="11"/>
    </row>
    <row r="936" customFormat="false" ht="15" hidden="false" customHeight="false" outlineLevel="0" collapsed="false">
      <c r="A936" s="11"/>
      <c r="B936" s="24"/>
      <c r="C936" s="24"/>
      <c r="D936" s="31" t="str">
        <f aca="false">IF(C936="","",IF(LEN(UPPER(SUBSTITUTE(SUBSTITUTE(SUBSTITUTE(SUBSTITUTE(TRIM(C936),".",""),"/",""),"-","")," ","")))&lt;14,RIGHT(REPT("0",14)&amp;UPPER(SUBSTITUTE(SUBSTITUTE(SUBSTITUTE(SUBSTITUTE(TRIM(C936),".",""),"/",""),"-","")," ","")),14),UPPER(SUBSTITUTE(SUBSTITUTE(SUBSTITUTE(SUBSTITUTE(TRIM(C936),".",""),"/",""),"-","")," ",""))))</f>
        <v/>
      </c>
      <c r="E936" s="25" t="str">
        <f aca="false">IF(D936="","",IFERROR(INDEX(Empresas!$C:$C,MATCH(D936,Empresas!$B:$B,0)),"cadastre o CNPJ em Empresas"))</f>
        <v/>
      </c>
      <c r="F936" s="11"/>
      <c r="G936" s="23"/>
      <c r="H936" s="22"/>
      <c r="I936" s="35"/>
      <c r="J936" s="35"/>
      <c r="K936" s="36" t="str">
        <f aca="false">IF(I936="","",I936+J936)</f>
        <v/>
      </c>
      <c r="L936" s="37" t="str">
        <f aca="false">IF(OR(I936="",I936=0,J936=""),"",J936/I936)</f>
        <v/>
      </c>
      <c r="M936" s="25" t="str">
        <f aca="false">IF(L936="","",IF(L936&gt;0.25,"ACRÉSCIMO ACIMA DE 25% — conferir",""))</f>
        <v/>
      </c>
      <c r="N936" s="29" t="str">
        <f aca="false">IF(D936="","",IF(COUNTIFS(Empresas!$B:$B,D936,Empresas!$E:$E,"&lt;&gt;")=0,"",INDEX(Empresas!$E:$E,MATCH(D936,Empresas!$B:$B,0))))</f>
        <v/>
      </c>
      <c r="O936" s="27" t="str">
        <f aca="false">IF(OR(N936="",H936=""),"",H936-N936)</f>
        <v/>
      </c>
      <c r="P936" s="25" t="str">
        <f aca="false">IF(O936="","",IF(O936&lt;0,"CONTRATO ANTERIOR À ABERTURA — conferir datas",IF(O936&lt;180,"EMPRESA ABERTA MENOS DE 6 MESES ANTES","")))</f>
        <v/>
      </c>
      <c r="Q936" s="31" t="str">
        <f aca="false">IF(D936="","",IFERROR(INDEX(Sancoes!$D:$D,MATCH(D936,Sancoes!$C:$C,0)),"não consta"))</f>
        <v/>
      </c>
      <c r="R936" s="25" t="str">
        <f aca="false">IF(OR(D936="",H936=""),"",IF(SUMPRODUCT((Sancoes!$C$5:$C$304=D936)*(Sancoes!$G$5:$G$304&lt;=H936)*(((Sancoes!$H$5:$H$304="")+(Sancoes!$H$5:$H$304&gt;=H936))&gt;0))&gt;0,"SANÇÃO VIGENTE NA DATA — ler tipo e abrangência",""))</f>
        <v/>
      </c>
      <c r="S936" s="24"/>
      <c r="T936" s="11"/>
    </row>
    <row r="937" customFormat="false" ht="15" hidden="false" customHeight="false" outlineLevel="0" collapsed="false">
      <c r="A937" s="11"/>
      <c r="B937" s="24"/>
      <c r="C937" s="24"/>
      <c r="D937" s="31" t="str">
        <f aca="false">IF(C937="","",IF(LEN(UPPER(SUBSTITUTE(SUBSTITUTE(SUBSTITUTE(SUBSTITUTE(TRIM(C937),".",""),"/",""),"-","")," ","")))&lt;14,RIGHT(REPT("0",14)&amp;UPPER(SUBSTITUTE(SUBSTITUTE(SUBSTITUTE(SUBSTITUTE(TRIM(C937),".",""),"/",""),"-","")," ","")),14),UPPER(SUBSTITUTE(SUBSTITUTE(SUBSTITUTE(SUBSTITUTE(TRIM(C937),".",""),"/",""),"-","")," ",""))))</f>
        <v/>
      </c>
      <c r="E937" s="25" t="str">
        <f aca="false">IF(D937="","",IFERROR(INDEX(Empresas!$C:$C,MATCH(D937,Empresas!$B:$B,0)),"cadastre o CNPJ em Empresas"))</f>
        <v/>
      </c>
      <c r="F937" s="11"/>
      <c r="G937" s="23"/>
      <c r="H937" s="22"/>
      <c r="I937" s="35"/>
      <c r="J937" s="35"/>
      <c r="K937" s="36" t="str">
        <f aca="false">IF(I937="","",I937+J937)</f>
        <v/>
      </c>
      <c r="L937" s="37" t="str">
        <f aca="false">IF(OR(I937="",I937=0,J937=""),"",J937/I937)</f>
        <v/>
      </c>
      <c r="M937" s="25" t="str">
        <f aca="false">IF(L937="","",IF(L937&gt;0.25,"ACRÉSCIMO ACIMA DE 25% — conferir",""))</f>
        <v/>
      </c>
      <c r="N937" s="29" t="str">
        <f aca="false">IF(D937="","",IF(COUNTIFS(Empresas!$B:$B,D937,Empresas!$E:$E,"&lt;&gt;")=0,"",INDEX(Empresas!$E:$E,MATCH(D937,Empresas!$B:$B,0))))</f>
        <v/>
      </c>
      <c r="O937" s="27" t="str">
        <f aca="false">IF(OR(N937="",H937=""),"",H937-N937)</f>
        <v/>
      </c>
      <c r="P937" s="25" t="str">
        <f aca="false">IF(O937="","",IF(O937&lt;0,"CONTRATO ANTERIOR À ABERTURA — conferir datas",IF(O937&lt;180,"EMPRESA ABERTA MENOS DE 6 MESES ANTES","")))</f>
        <v/>
      </c>
      <c r="Q937" s="31" t="str">
        <f aca="false">IF(D937="","",IFERROR(INDEX(Sancoes!$D:$D,MATCH(D937,Sancoes!$C:$C,0)),"não consta"))</f>
        <v/>
      </c>
      <c r="R937" s="25" t="str">
        <f aca="false">IF(OR(D937="",H937=""),"",IF(SUMPRODUCT((Sancoes!$C$5:$C$304=D937)*(Sancoes!$G$5:$G$304&lt;=H937)*(((Sancoes!$H$5:$H$304="")+(Sancoes!$H$5:$H$304&gt;=H937))&gt;0))&gt;0,"SANÇÃO VIGENTE NA DATA — ler tipo e abrangência",""))</f>
        <v/>
      </c>
      <c r="S937" s="24"/>
      <c r="T937" s="11"/>
    </row>
    <row r="938" customFormat="false" ht="15" hidden="false" customHeight="false" outlineLevel="0" collapsed="false">
      <c r="A938" s="11"/>
      <c r="B938" s="24"/>
      <c r="C938" s="24"/>
      <c r="D938" s="31" t="str">
        <f aca="false">IF(C938="","",IF(LEN(UPPER(SUBSTITUTE(SUBSTITUTE(SUBSTITUTE(SUBSTITUTE(TRIM(C938),".",""),"/",""),"-","")," ","")))&lt;14,RIGHT(REPT("0",14)&amp;UPPER(SUBSTITUTE(SUBSTITUTE(SUBSTITUTE(SUBSTITUTE(TRIM(C938),".",""),"/",""),"-","")," ","")),14),UPPER(SUBSTITUTE(SUBSTITUTE(SUBSTITUTE(SUBSTITUTE(TRIM(C938),".",""),"/",""),"-","")," ",""))))</f>
        <v/>
      </c>
      <c r="E938" s="25" t="str">
        <f aca="false">IF(D938="","",IFERROR(INDEX(Empresas!$C:$C,MATCH(D938,Empresas!$B:$B,0)),"cadastre o CNPJ em Empresas"))</f>
        <v/>
      </c>
      <c r="F938" s="11"/>
      <c r="G938" s="23"/>
      <c r="H938" s="22"/>
      <c r="I938" s="35"/>
      <c r="J938" s="35"/>
      <c r="K938" s="36" t="str">
        <f aca="false">IF(I938="","",I938+J938)</f>
        <v/>
      </c>
      <c r="L938" s="37" t="str">
        <f aca="false">IF(OR(I938="",I938=0,J938=""),"",J938/I938)</f>
        <v/>
      </c>
      <c r="M938" s="25" t="str">
        <f aca="false">IF(L938="","",IF(L938&gt;0.25,"ACRÉSCIMO ACIMA DE 25% — conferir",""))</f>
        <v/>
      </c>
      <c r="N938" s="29" t="str">
        <f aca="false">IF(D938="","",IF(COUNTIFS(Empresas!$B:$B,D938,Empresas!$E:$E,"&lt;&gt;")=0,"",INDEX(Empresas!$E:$E,MATCH(D938,Empresas!$B:$B,0))))</f>
        <v/>
      </c>
      <c r="O938" s="27" t="str">
        <f aca="false">IF(OR(N938="",H938=""),"",H938-N938)</f>
        <v/>
      </c>
      <c r="P938" s="25" t="str">
        <f aca="false">IF(O938="","",IF(O938&lt;0,"CONTRATO ANTERIOR À ABERTURA — conferir datas",IF(O938&lt;180,"EMPRESA ABERTA MENOS DE 6 MESES ANTES","")))</f>
        <v/>
      </c>
      <c r="Q938" s="31" t="str">
        <f aca="false">IF(D938="","",IFERROR(INDEX(Sancoes!$D:$D,MATCH(D938,Sancoes!$C:$C,0)),"não consta"))</f>
        <v/>
      </c>
      <c r="R938" s="25" t="str">
        <f aca="false">IF(OR(D938="",H938=""),"",IF(SUMPRODUCT((Sancoes!$C$5:$C$304=D938)*(Sancoes!$G$5:$G$304&lt;=H938)*(((Sancoes!$H$5:$H$304="")+(Sancoes!$H$5:$H$304&gt;=H938))&gt;0))&gt;0,"SANÇÃO VIGENTE NA DATA — ler tipo e abrangência",""))</f>
        <v/>
      </c>
      <c r="S938" s="24"/>
      <c r="T938" s="11"/>
    </row>
    <row r="939" customFormat="false" ht="15" hidden="false" customHeight="false" outlineLevel="0" collapsed="false">
      <c r="A939" s="11"/>
      <c r="B939" s="24"/>
      <c r="C939" s="24"/>
      <c r="D939" s="31" t="str">
        <f aca="false">IF(C939="","",IF(LEN(UPPER(SUBSTITUTE(SUBSTITUTE(SUBSTITUTE(SUBSTITUTE(TRIM(C939),".",""),"/",""),"-","")," ","")))&lt;14,RIGHT(REPT("0",14)&amp;UPPER(SUBSTITUTE(SUBSTITUTE(SUBSTITUTE(SUBSTITUTE(TRIM(C939),".",""),"/",""),"-","")," ","")),14),UPPER(SUBSTITUTE(SUBSTITUTE(SUBSTITUTE(SUBSTITUTE(TRIM(C939),".",""),"/",""),"-","")," ",""))))</f>
        <v/>
      </c>
      <c r="E939" s="25" t="str">
        <f aca="false">IF(D939="","",IFERROR(INDEX(Empresas!$C:$C,MATCH(D939,Empresas!$B:$B,0)),"cadastre o CNPJ em Empresas"))</f>
        <v/>
      </c>
      <c r="F939" s="11"/>
      <c r="G939" s="23"/>
      <c r="H939" s="22"/>
      <c r="I939" s="35"/>
      <c r="J939" s="35"/>
      <c r="K939" s="36" t="str">
        <f aca="false">IF(I939="","",I939+J939)</f>
        <v/>
      </c>
      <c r="L939" s="37" t="str">
        <f aca="false">IF(OR(I939="",I939=0,J939=""),"",J939/I939)</f>
        <v/>
      </c>
      <c r="M939" s="25" t="str">
        <f aca="false">IF(L939="","",IF(L939&gt;0.25,"ACRÉSCIMO ACIMA DE 25% — conferir",""))</f>
        <v/>
      </c>
      <c r="N939" s="29" t="str">
        <f aca="false">IF(D939="","",IF(COUNTIFS(Empresas!$B:$B,D939,Empresas!$E:$E,"&lt;&gt;")=0,"",INDEX(Empresas!$E:$E,MATCH(D939,Empresas!$B:$B,0))))</f>
        <v/>
      </c>
      <c r="O939" s="27" t="str">
        <f aca="false">IF(OR(N939="",H939=""),"",H939-N939)</f>
        <v/>
      </c>
      <c r="P939" s="25" t="str">
        <f aca="false">IF(O939="","",IF(O939&lt;0,"CONTRATO ANTERIOR À ABERTURA — conferir datas",IF(O939&lt;180,"EMPRESA ABERTA MENOS DE 6 MESES ANTES","")))</f>
        <v/>
      </c>
      <c r="Q939" s="31" t="str">
        <f aca="false">IF(D939="","",IFERROR(INDEX(Sancoes!$D:$D,MATCH(D939,Sancoes!$C:$C,0)),"não consta"))</f>
        <v/>
      </c>
      <c r="R939" s="25" t="str">
        <f aca="false">IF(OR(D939="",H939=""),"",IF(SUMPRODUCT((Sancoes!$C$5:$C$304=D939)*(Sancoes!$G$5:$G$304&lt;=H939)*(((Sancoes!$H$5:$H$304="")+(Sancoes!$H$5:$H$304&gt;=H939))&gt;0))&gt;0,"SANÇÃO VIGENTE NA DATA — ler tipo e abrangência",""))</f>
        <v/>
      </c>
      <c r="S939" s="24"/>
      <c r="T939" s="11"/>
    </row>
    <row r="940" customFormat="false" ht="15" hidden="false" customHeight="false" outlineLevel="0" collapsed="false">
      <c r="A940" s="11"/>
      <c r="B940" s="24"/>
      <c r="C940" s="24"/>
      <c r="D940" s="31" t="str">
        <f aca="false">IF(C940="","",IF(LEN(UPPER(SUBSTITUTE(SUBSTITUTE(SUBSTITUTE(SUBSTITUTE(TRIM(C940),".",""),"/",""),"-","")," ","")))&lt;14,RIGHT(REPT("0",14)&amp;UPPER(SUBSTITUTE(SUBSTITUTE(SUBSTITUTE(SUBSTITUTE(TRIM(C940),".",""),"/",""),"-","")," ","")),14),UPPER(SUBSTITUTE(SUBSTITUTE(SUBSTITUTE(SUBSTITUTE(TRIM(C940),".",""),"/",""),"-","")," ",""))))</f>
        <v/>
      </c>
      <c r="E940" s="25" t="str">
        <f aca="false">IF(D940="","",IFERROR(INDEX(Empresas!$C:$C,MATCH(D940,Empresas!$B:$B,0)),"cadastre o CNPJ em Empresas"))</f>
        <v/>
      </c>
      <c r="F940" s="11"/>
      <c r="G940" s="23"/>
      <c r="H940" s="22"/>
      <c r="I940" s="35"/>
      <c r="J940" s="35"/>
      <c r="K940" s="36" t="str">
        <f aca="false">IF(I940="","",I940+J940)</f>
        <v/>
      </c>
      <c r="L940" s="37" t="str">
        <f aca="false">IF(OR(I940="",I940=0,J940=""),"",J940/I940)</f>
        <v/>
      </c>
      <c r="M940" s="25" t="str">
        <f aca="false">IF(L940="","",IF(L940&gt;0.25,"ACRÉSCIMO ACIMA DE 25% — conferir",""))</f>
        <v/>
      </c>
      <c r="N940" s="29" t="str">
        <f aca="false">IF(D940="","",IF(COUNTIFS(Empresas!$B:$B,D940,Empresas!$E:$E,"&lt;&gt;")=0,"",INDEX(Empresas!$E:$E,MATCH(D940,Empresas!$B:$B,0))))</f>
        <v/>
      </c>
      <c r="O940" s="27" t="str">
        <f aca="false">IF(OR(N940="",H940=""),"",H940-N940)</f>
        <v/>
      </c>
      <c r="P940" s="25" t="str">
        <f aca="false">IF(O940="","",IF(O940&lt;0,"CONTRATO ANTERIOR À ABERTURA — conferir datas",IF(O940&lt;180,"EMPRESA ABERTA MENOS DE 6 MESES ANTES","")))</f>
        <v/>
      </c>
      <c r="Q940" s="31" t="str">
        <f aca="false">IF(D940="","",IFERROR(INDEX(Sancoes!$D:$D,MATCH(D940,Sancoes!$C:$C,0)),"não consta"))</f>
        <v/>
      </c>
      <c r="R940" s="25" t="str">
        <f aca="false">IF(OR(D940="",H940=""),"",IF(SUMPRODUCT((Sancoes!$C$5:$C$304=D940)*(Sancoes!$G$5:$G$304&lt;=H940)*(((Sancoes!$H$5:$H$304="")+(Sancoes!$H$5:$H$304&gt;=H940))&gt;0))&gt;0,"SANÇÃO VIGENTE NA DATA — ler tipo e abrangência",""))</f>
        <v/>
      </c>
      <c r="S940" s="24"/>
      <c r="T940" s="11"/>
    </row>
    <row r="941" customFormat="false" ht="15" hidden="false" customHeight="false" outlineLevel="0" collapsed="false">
      <c r="A941" s="11"/>
      <c r="B941" s="24"/>
      <c r="C941" s="24"/>
      <c r="D941" s="31" t="str">
        <f aca="false">IF(C941="","",IF(LEN(UPPER(SUBSTITUTE(SUBSTITUTE(SUBSTITUTE(SUBSTITUTE(TRIM(C941),".",""),"/",""),"-","")," ","")))&lt;14,RIGHT(REPT("0",14)&amp;UPPER(SUBSTITUTE(SUBSTITUTE(SUBSTITUTE(SUBSTITUTE(TRIM(C941),".",""),"/",""),"-","")," ","")),14),UPPER(SUBSTITUTE(SUBSTITUTE(SUBSTITUTE(SUBSTITUTE(TRIM(C941),".",""),"/",""),"-","")," ",""))))</f>
        <v/>
      </c>
      <c r="E941" s="25" t="str">
        <f aca="false">IF(D941="","",IFERROR(INDEX(Empresas!$C:$C,MATCH(D941,Empresas!$B:$B,0)),"cadastre o CNPJ em Empresas"))</f>
        <v/>
      </c>
      <c r="F941" s="11"/>
      <c r="G941" s="23"/>
      <c r="H941" s="22"/>
      <c r="I941" s="35"/>
      <c r="J941" s="35"/>
      <c r="K941" s="36" t="str">
        <f aca="false">IF(I941="","",I941+J941)</f>
        <v/>
      </c>
      <c r="L941" s="37" t="str">
        <f aca="false">IF(OR(I941="",I941=0,J941=""),"",J941/I941)</f>
        <v/>
      </c>
      <c r="M941" s="25" t="str">
        <f aca="false">IF(L941="","",IF(L941&gt;0.25,"ACRÉSCIMO ACIMA DE 25% — conferir",""))</f>
        <v/>
      </c>
      <c r="N941" s="29" t="str">
        <f aca="false">IF(D941="","",IF(COUNTIFS(Empresas!$B:$B,D941,Empresas!$E:$E,"&lt;&gt;")=0,"",INDEX(Empresas!$E:$E,MATCH(D941,Empresas!$B:$B,0))))</f>
        <v/>
      </c>
      <c r="O941" s="27" t="str">
        <f aca="false">IF(OR(N941="",H941=""),"",H941-N941)</f>
        <v/>
      </c>
      <c r="P941" s="25" t="str">
        <f aca="false">IF(O941="","",IF(O941&lt;0,"CONTRATO ANTERIOR À ABERTURA — conferir datas",IF(O941&lt;180,"EMPRESA ABERTA MENOS DE 6 MESES ANTES","")))</f>
        <v/>
      </c>
      <c r="Q941" s="31" t="str">
        <f aca="false">IF(D941="","",IFERROR(INDEX(Sancoes!$D:$D,MATCH(D941,Sancoes!$C:$C,0)),"não consta"))</f>
        <v/>
      </c>
      <c r="R941" s="25" t="str">
        <f aca="false">IF(OR(D941="",H941=""),"",IF(SUMPRODUCT((Sancoes!$C$5:$C$304=D941)*(Sancoes!$G$5:$G$304&lt;=H941)*(((Sancoes!$H$5:$H$304="")+(Sancoes!$H$5:$H$304&gt;=H941))&gt;0))&gt;0,"SANÇÃO VIGENTE NA DATA — ler tipo e abrangência",""))</f>
        <v/>
      </c>
      <c r="S941" s="24"/>
      <c r="T941" s="11"/>
    </row>
    <row r="942" customFormat="false" ht="15" hidden="false" customHeight="false" outlineLevel="0" collapsed="false">
      <c r="A942" s="11"/>
      <c r="B942" s="24"/>
      <c r="C942" s="24"/>
      <c r="D942" s="31" t="str">
        <f aca="false">IF(C942="","",IF(LEN(UPPER(SUBSTITUTE(SUBSTITUTE(SUBSTITUTE(SUBSTITUTE(TRIM(C942),".",""),"/",""),"-","")," ","")))&lt;14,RIGHT(REPT("0",14)&amp;UPPER(SUBSTITUTE(SUBSTITUTE(SUBSTITUTE(SUBSTITUTE(TRIM(C942),".",""),"/",""),"-","")," ","")),14),UPPER(SUBSTITUTE(SUBSTITUTE(SUBSTITUTE(SUBSTITUTE(TRIM(C942),".",""),"/",""),"-","")," ",""))))</f>
        <v/>
      </c>
      <c r="E942" s="25" t="str">
        <f aca="false">IF(D942="","",IFERROR(INDEX(Empresas!$C:$C,MATCH(D942,Empresas!$B:$B,0)),"cadastre o CNPJ em Empresas"))</f>
        <v/>
      </c>
      <c r="F942" s="11"/>
      <c r="G942" s="23"/>
      <c r="H942" s="22"/>
      <c r="I942" s="35"/>
      <c r="J942" s="35"/>
      <c r="K942" s="36" t="str">
        <f aca="false">IF(I942="","",I942+J942)</f>
        <v/>
      </c>
      <c r="L942" s="37" t="str">
        <f aca="false">IF(OR(I942="",I942=0,J942=""),"",J942/I942)</f>
        <v/>
      </c>
      <c r="M942" s="25" t="str">
        <f aca="false">IF(L942="","",IF(L942&gt;0.25,"ACRÉSCIMO ACIMA DE 25% — conferir",""))</f>
        <v/>
      </c>
      <c r="N942" s="29" t="str">
        <f aca="false">IF(D942="","",IF(COUNTIFS(Empresas!$B:$B,D942,Empresas!$E:$E,"&lt;&gt;")=0,"",INDEX(Empresas!$E:$E,MATCH(D942,Empresas!$B:$B,0))))</f>
        <v/>
      </c>
      <c r="O942" s="27" t="str">
        <f aca="false">IF(OR(N942="",H942=""),"",H942-N942)</f>
        <v/>
      </c>
      <c r="P942" s="25" t="str">
        <f aca="false">IF(O942="","",IF(O942&lt;0,"CONTRATO ANTERIOR À ABERTURA — conferir datas",IF(O942&lt;180,"EMPRESA ABERTA MENOS DE 6 MESES ANTES","")))</f>
        <v/>
      </c>
      <c r="Q942" s="31" t="str">
        <f aca="false">IF(D942="","",IFERROR(INDEX(Sancoes!$D:$D,MATCH(D942,Sancoes!$C:$C,0)),"não consta"))</f>
        <v/>
      </c>
      <c r="R942" s="25" t="str">
        <f aca="false">IF(OR(D942="",H942=""),"",IF(SUMPRODUCT((Sancoes!$C$5:$C$304=D942)*(Sancoes!$G$5:$G$304&lt;=H942)*(((Sancoes!$H$5:$H$304="")+(Sancoes!$H$5:$H$304&gt;=H942))&gt;0))&gt;0,"SANÇÃO VIGENTE NA DATA — ler tipo e abrangência",""))</f>
        <v/>
      </c>
      <c r="S942" s="24"/>
      <c r="T942" s="11"/>
    </row>
    <row r="943" customFormat="false" ht="15" hidden="false" customHeight="false" outlineLevel="0" collapsed="false">
      <c r="A943" s="11"/>
      <c r="B943" s="24"/>
      <c r="C943" s="24"/>
      <c r="D943" s="31" t="str">
        <f aca="false">IF(C943="","",IF(LEN(UPPER(SUBSTITUTE(SUBSTITUTE(SUBSTITUTE(SUBSTITUTE(TRIM(C943),".",""),"/",""),"-","")," ","")))&lt;14,RIGHT(REPT("0",14)&amp;UPPER(SUBSTITUTE(SUBSTITUTE(SUBSTITUTE(SUBSTITUTE(TRIM(C943),".",""),"/",""),"-","")," ","")),14),UPPER(SUBSTITUTE(SUBSTITUTE(SUBSTITUTE(SUBSTITUTE(TRIM(C943),".",""),"/",""),"-","")," ",""))))</f>
        <v/>
      </c>
      <c r="E943" s="25" t="str">
        <f aca="false">IF(D943="","",IFERROR(INDEX(Empresas!$C:$C,MATCH(D943,Empresas!$B:$B,0)),"cadastre o CNPJ em Empresas"))</f>
        <v/>
      </c>
      <c r="F943" s="11"/>
      <c r="G943" s="23"/>
      <c r="H943" s="22"/>
      <c r="I943" s="35"/>
      <c r="J943" s="35"/>
      <c r="K943" s="36" t="str">
        <f aca="false">IF(I943="","",I943+J943)</f>
        <v/>
      </c>
      <c r="L943" s="37" t="str">
        <f aca="false">IF(OR(I943="",I943=0,J943=""),"",J943/I943)</f>
        <v/>
      </c>
      <c r="M943" s="25" t="str">
        <f aca="false">IF(L943="","",IF(L943&gt;0.25,"ACRÉSCIMO ACIMA DE 25% — conferir",""))</f>
        <v/>
      </c>
      <c r="N943" s="29" t="str">
        <f aca="false">IF(D943="","",IF(COUNTIFS(Empresas!$B:$B,D943,Empresas!$E:$E,"&lt;&gt;")=0,"",INDEX(Empresas!$E:$E,MATCH(D943,Empresas!$B:$B,0))))</f>
        <v/>
      </c>
      <c r="O943" s="27" t="str">
        <f aca="false">IF(OR(N943="",H943=""),"",H943-N943)</f>
        <v/>
      </c>
      <c r="P943" s="25" t="str">
        <f aca="false">IF(O943="","",IF(O943&lt;0,"CONTRATO ANTERIOR À ABERTURA — conferir datas",IF(O943&lt;180,"EMPRESA ABERTA MENOS DE 6 MESES ANTES","")))</f>
        <v/>
      </c>
      <c r="Q943" s="31" t="str">
        <f aca="false">IF(D943="","",IFERROR(INDEX(Sancoes!$D:$D,MATCH(D943,Sancoes!$C:$C,0)),"não consta"))</f>
        <v/>
      </c>
      <c r="R943" s="25" t="str">
        <f aca="false">IF(OR(D943="",H943=""),"",IF(SUMPRODUCT((Sancoes!$C$5:$C$304=D943)*(Sancoes!$G$5:$G$304&lt;=H943)*(((Sancoes!$H$5:$H$304="")+(Sancoes!$H$5:$H$304&gt;=H943))&gt;0))&gt;0,"SANÇÃO VIGENTE NA DATA — ler tipo e abrangência",""))</f>
        <v/>
      </c>
      <c r="S943" s="24"/>
      <c r="T943" s="11"/>
    </row>
    <row r="944" customFormat="false" ht="15" hidden="false" customHeight="false" outlineLevel="0" collapsed="false">
      <c r="A944" s="11"/>
      <c r="B944" s="24"/>
      <c r="C944" s="24"/>
      <c r="D944" s="31" t="str">
        <f aca="false">IF(C944="","",IF(LEN(UPPER(SUBSTITUTE(SUBSTITUTE(SUBSTITUTE(SUBSTITUTE(TRIM(C944),".",""),"/",""),"-","")," ","")))&lt;14,RIGHT(REPT("0",14)&amp;UPPER(SUBSTITUTE(SUBSTITUTE(SUBSTITUTE(SUBSTITUTE(TRIM(C944),".",""),"/",""),"-","")," ","")),14),UPPER(SUBSTITUTE(SUBSTITUTE(SUBSTITUTE(SUBSTITUTE(TRIM(C944),".",""),"/",""),"-","")," ",""))))</f>
        <v/>
      </c>
      <c r="E944" s="25" t="str">
        <f aca="false">IF(D944="","",IFERROR(INDEX(Empresas!$C:$C,MATCH(D944,Empresas!$B:$B,0)),"cadastre o CNPJ em Empresas"))</f>
        <v/>
      </c>
      <c r="F944" s="11"/>
      <c r="G944" s="23"/>
      <c r="H944" s="22"/>
      <c r="I944" s="35"/>
      <c r="J944" s="35"/>
      <c r="K944" s="36" t="str">
        <f aca="false">IF(I944="","",I944+J944)</f>
        <v/>
      </c>
      <c r="L944" s="37" t="str">
        <f aca="false">IF(OR(I944="",I944=0,J944=""),"",J944/I944)</f>
        <v/>
      </c>
      <c r="M944" s="25" t="str">
        <f aca="false">IF(L944="","",IF(L944&gt;0.25,"ACRÉSCIMO ACIMA DE 25% — conferir",""))</f>
        <v/>
      </c>
      <c r="N944" s="29" t="str">
        <f aca="false">IF(D944="","",IF(COUNTIFS(Empresas!$B:$B,D944,Empresas!$E:$E,"&lt;&gt;")=0,"",INDEX(Empresas!$E:$E,MATCH(D944,Empresas!$B:$B,0))))</f>
        <v/>
      </c>
      <c r="O944" s="27" t="str">
        <f aca="false">IF(OR(N944="",H944=""),"",H944-N944)</f>
        <v/>
      </c>
      <c r="P944" s="25" t="str">
        <f aca="false">IF(O944="","",IF(O944&lt;0,"CONTRATO ANTERIOR À ABERTURA — conferir datas",IF(O944&lt;180,"EMPRESA ABERTA MENOS DE 6 MESES ANTES","")))</f>
        <v/>
      </c>
      <c r="Q944" s="31" t="str">
        <f aca="false">IF(D944="","",IFERROR(INDEX(Sancoes!$D:$D,MATCH(D944,Sancoes!$C:$C,0)),"não consta"))</f>
        <v/>
      </c>
      <c r="R944" s="25" t="str">
        <f aca="false">IF(OR(D944="",H944=""),"",IF(SUMPRODUCT((Sancoes!$C$5:$C$304=D944)*(Sancoes!$G$5:$G$304&lt;=H944)*(((Sancoes!$H$5:$H$304="")+(Sancoes!$H$5:$H$304&gt;=H944))&gt;0))&gt;0,"SANÇÃO VIGENTE NA DATA — ler tipo e abrangência",""))</f>
        <v/>
      </c>
      <c r="S944" s="24"/>
      <c r="T944" s="11"/>
    </row>
    <row r="945" customFormat="false" ht="15" hidden="false" customHeight="false" outlineLevel="0" collapsed="false">
      <c r="A945" s="11"/>
      <c r="B945" s="24"/>
      <c r="C945" s="24"/>
      <c r="D945" s="31" t="str">
        <f aca="false">IF(C945="","",IF(LEN(UPPER(SUBSTITUTE(SUBSTITUTE(SUBSTITUTE(SUBSTITUTE(TRIM(C945),".",""),"/",""),"-","")," ","")))&lt;14,RIGHT(REPT("0",14)&amp;UPPER(SUBSTITUTE(SUBSTITUTE(SUBSTITUTE(SUBSTITUTE(TRIM(C945),".",""),"/",""),"-","")," ","")),14),UPPER(SUBSTITUTE(SUBSTITUTE(SUBSTITUTE(SUBSTITUTE(TRIM(C945),".",""),"/",""),"-","")," ",""))))</f>
        <v/>
      </c>
      <c r="E945" s="25" t="str">
        <f aca="false">IF(D945="","",IFERROR(INDEX(Empresas!$C:$C,MATCH(D945,Empresas!$B:$B,0)),"cadastre o CNPJ em Empresas"))</f>
        <v/>
      </c>
      <c r="F945" s="11"/>
      <c r="G945" s="23"/>
      <c r="H945" s="22"/>
      <c r="I945" s="35"/>
      <c r="J945" s="35"/>
      <c r="K945" s="36" t="str">
        <f aca="false">IF(I945="","",I945+J945)</f>
        <v/>
      </c>
      <c r="L945" s="37" t="str">
        <f aca="false">IF(OR(I945="",I945=0,J945=""),"",J945/I945)</f>
        <v/>
      </c>
      <c r="M945" s="25" t="str">
        <f aca="false">IF(L945="","",IF(L945&gt;0.25,"ACRÉSCIMO ACIMA DE 25% — conferir",""))</f>
        <v/>
      </c>
      <c r="N945" s="29" t="str">
        <f aca="false">IF(D945="","",IF(COUNTIFS(Empresas!$B:$B,D945,Empresas!$E:$E,"&lt;&gt;")=0,"",INDEX(Empresas!$E:$E,MATCH(D945,Empresas!$B:$B,0))))</f>
        <v/>
      </c>
      <c r="O945" s="27" t="str">
        <f aca="false">IF(OR(N945="",H945=""),"",H945-N945)</f>
        <v/>
      </c>
      <c r="P945" s="25" t="str">
        <f aca="false">IF(O945="","",IF(O945&lt;0,"CONTRATO ANTERIOR À ABERTURA — conferir datas",IF(O945&lt;180,"EMPRESA ABERTA MENOS DE 6 MESES ANTES","")))</f>
        <v/>
      </c>
      <c r="Q945" s="31" t="str">
        <f aca="false">IF(D945="","",IFERROR(INDEX(Sancoes!$D:$D,MATCH(D945,Sancoes!$C:$C,0)),"não consta"))</f>
        <v/>
      </c>
      <c r="R945" s="25" t="str">
        <f aca="false">IF(OR(D945="",H945=""),"",IF(SUMPRODUCT((Sancoes!$C$5:$C$304=D945)*(Sancoes!$G$5:$G$304&lt;=H945)*(((Sancoes!$H$5:$H$304="")+(Sancoes!$H$5:$H$304&gt;=H945))&gt;0))&gt;0,"SANÇÃO VIGENTE NA DATA — ler tipo e abrangência",""))</f>
        <v/>
      </c>
      <c r="S945" s="24"/>
      <c r="T945" s="11"/>
    </row>
    <row r="946" customFormat="false" ht="15" hidden="false" customHeight="false" outlineLevel="0" collapsed="false">
      <c r="A946" s="11"/>
      <c r="B946" s="24"/>
      <c r="C946" s="24"/>
      <c r="D946" s="31" t="str">
        <f aca="false">IF(C946="","",IF(LEN(UPPER(SUBSTITUTE(SUBSTITUTE(SUBSTITUTE(SUBSTITUTE(TRIM(C946),".",""),"/",""),"-","")," ","")))&lt;14,RIGHT(REPT("0",14)&amp;UPPER(SUBSTITUTE(SUBSTITUTE(SUBSTITUTE(SUBSTITUTE(TRIM(C946),".",""),"/",""),"-","")," ","")),14),UPPER(SUBSTITUTE(SUBSTITUTE(SUBSTITUTE(SUBSTITUTE(TRIM(C946),".",""),"/",""),"-","")," ",""))))</f>
        <v/>
      </c>
      <c r="E946" s="25" t="str">
        <f aca="false">IF(D946="","",IFERROR(INDEX(Empresas!$C:$C,MATCH(D946,Empresas!$B:$B,0)),"cadastre o CNPJ em Empresas"))</f>
        <v/>
      </c>
      <c r="F946" s="11"/>
      <c r="G946" s="23"/>
      <c r="H946" s="22"/>
      <c r="I946" s="35"/>
      <c r="J946" s="35"/>
      <c r="K946" s="36" t="str">
        <f aca="false">IF(I946="","",I946+J946)</f>
        <v/>
      </c>
      <c r="L946" s="37" t="str">
        <f aca="false">IF(OR(I946="",I946=0,J946=""),"",J946/I946)</f>
        <v/>
      </c>
      <c r="M946" s="25" t="str">
        <f aca="false">IF(L946="","",IF(L946&gt;0.25,"ACRÉSCIMO ACIMA DE 25% — conferir",""))</f>
        <v/>
      </c>
      <c r="N946" s="29" t="str">
        <f aca="false">IF(D946="","",IF(COUNTIFS(Empresas!$B:$B,D946,Empresas!$E:$E,"&lt;&gt;")=0,"",INDEX(Empresas!$E:$E,MATCH(D946,Empresas!$B:$B,0))))</f>
        <v/>
      </c>
      <c r="O946" s="27" t="str">
        <f aca="false">IF(OR(N946="",H946=""),"",H946-N946)</f>
        <v/>
      </c>
      <c r="P946" s="25" t="str">
        <f aca="false">IF(O946="","",IF(O946&lt;0,"CONTRATO ANTERIOR À ABERTURA — conferir datas",IF(O946&lt;180,"EMPRESA ABERTA MENOS DE 6 MESES ANTES","")))</f>
        <v/>
      </c>
      <c r="Q946" s="31" t="str">
        <f aca="false">IF(D946="","",IFERROR(INDEX(Sancoes!$D:$D,MATCH(D946,Sancoes!$C:$C,0)),"não consta"))</f>
        <v/>
      </c>
      <c r="R946" s="25" t="str">
        <f aca="false">IF(OR(D946="",H946=""),"",IF(SUMPRODUCT((Sancoes!$C$5:$C$304=D946)*(Sancoes!$G$5:$G$304&lt;=H946)*(((Sancoes!$H$5:$H$304="")+(Sancoes!$H$5:$H$304&gt;=H946))&gt;0))&gt;0,"SANÇÃO VIGENTE NA DATA — ler tipo e abrangência",""))</f>
        <v/>
      </c>
      <c r="S946" s="24"/>
      <c r="T946" s="11"/>
    </row>
    <row r="947" customFormat="false" ht="15" hidden="false" customHeight="false" outlineLevel="0" collapsed="false">
      <c r="A947" s="11"/>
      <c r="B947" s="24"/>
      <c r="C947" s="24"/>
      <c r="D947" s="31" t="str">
        <f aca="false">IF(C947="","",IF(LEN(UPPER(SUBSTITUTE(SUBSTITUTE(SUBSTITUTE(SUBSTITUTE(TRIM(C947),".",""),"/",""),"-","")," ","")))&lt;14,RIGHT(REPT("0",14)&amp;UPPER(SUBSTITUTE(SUBSTITUTE(SUBSTITUTE(SUBSTITUTE(TRIM(C947),".",""),"/",""),"-","")," ","")),14),UPPER(SUBSTITUTE(SUBSTITUTE(SUBSTITUTE(SUBSTITUTE(TRIM(C947),".",""),"/",""),"-","")," ",""))))</f>
        <v/>
      </c>
      <c r="E947" s="25" t="str">
        <f aca="false">IF(D947="","",IFERROR(INDEX(Empresas!$C:$C,MATCH(D947,Empresas!$B:$B,0)),"cadastre o CNPJ em Empresas"))</f>
        <v/>
      </c>
      <c r="F947" s="11"/>
      <c r="G947" s="23"/>
      <c r="H947" s="22"/>
      <c r="I947" s="35"/>
      <c r="J947" s="35"/>
      <c r="K947" s="36" t="str">
        <f aca="false">IF(I947="","",I947+J947)</f>
        <v/>
      </c>
      <c r="L947" s="37" t="str">
        <f aca="false">IF(OR(I947="",I947=0,J947=""),"",J947/I947)</f>
        <v/>
      </c>
      <c r="M947" s="25" t="str">
        <f aca="false">IF(L947="","",IF(L947&gt;0.25,"ACRÉSCIMO ACIMA DE 25% — conferir",""))</f>
        <v/>
      </c>
      <c r="N947" s="29" t="str">
        <f aca="false">IF(D947="","",IF(COUNTIFS(Empresas!$B:$B,D947,Empresas!$E:$E,"&lt;&gt;")=0,"",INDEX(Empresas!$E:$E,MATCH(D947,Empresas!$B:$B,0))))</f>
        <v/>
      </c>
      <c r="O947" s="27" t="str">
        <f aca="false">IF(OR(N947="",H947=""),"",H947-N947)</f>
        <v/>
      </c>
      <c r="P947" s="25" t="str">
        <f aca="false">IF(O947="","",IF(O947&lt;0,"CONTRATO ANTERIOR À ABERTURA — conferir datas",IF(O947&lt;180,"EMPRESA ABERTA MENOS DE 6 MESES ANTES","")))</f>
        <v/>
      </c>
      <c r="Q947" s="31" t="str">
        <f aca="false">IF(D947="","",IFERROR(INDEX(Sancoes!$D:$D,MATCH(D947,Sancoes!$C:$C,0)),"não consta"))</f>
        <v/>
      </c>
      <c r="R947" s="25" t="str">
        <f aca="false">IF(OR(D947="",H947=""),"",IF(SUMPRODUCT((Sancoes!$C$5:$C$304=D947)*(Sancoes!$G$5:$G$304&lt;=H947)*(((Sancoes!$H$5:$H$304="")+(Sancoes!$H$5:$H$304&gt;=H947))&gt;0))&gt;0,"SANÇÃO VIGENTE NA DATA — ler tipo e abrangência",""))</f>
        <v/>
      </c>
      <c r="S947" s="24"/>
      <c r="T947" s="11"/>
    </row>
    <row r="948" customFormat="false" ht="15" hidden="false" customHeight="false" outlineLevel="0" collapsed="false">
      <c r="A948" s="11"/>
      <c r="B948" s="24"/>
      <c r="C948" s="24"/>
      <c r="D948" s="31" t="str">
        <f aca="false">IF(C948="","",IF(LEN(UPPER(SUBSTITUTE(SUBSTITUTE(SUBSTITUTE(SUBSTITUTE(TRIM(C948),".",""),"/",""),"-","")," ","")))&lt;14,RIGHT(REPT("0",14)&amp;UPPER(SUBSTITUTE(SUBSTITUTE(SUBSTITUTE(SUBSTITUTE(TRIM(C948),".",""),"/",""),"-","")," ","")),14),UPPER(SUBSTITUTE(SUBSTITUTE(SUBSTITUTE(SUBSTITUTE(TRIM(C948),".",""),"/",""),"-","")," ",""))))</f>
        <v/>
      </c>
      <c r="E948" s="25" t="str">
        <f aca="false">IF(D948="","",IFERROR(INDEX(Empresas!$C:$C,MATCH(D948,Empresas!$B:$B,0)),"cadastre o CNPJ em Empresas"))</f>
        <v/>
      </c>
      <c r="F948" s="11"/>
      <c r="G948" s="23"/>
      <c r="H948" s="22"/>
      <c r="I948" s="35"/>
      <c r="J948" s="35"/>
      <c r="K948" s="36" t="str">
        <f aca="false">IF(I948="","",I948+J948)</f>
        <v/>
      </c>
      <c r="L948" s="37" t="str">
        <f aca="false">IF(OR(I948="",I948=0,J948=""),"",J948/I948)</f>
        <v/>
      </c>
      <c r="M948" s="25" t="str">
        <f aca="false">IF(L948="","",IF(L948&gt;0.25,"ACRÉSCIMO ACIMA DE 25% — conferir",""))</f>
        <v/>
      </c>
      <c r="N948" s="29" t="str">
        <f aca="false">IF(D948="","",IF(COUNTIFS(Empresas!$B:$B,D948,Empresas!$E:$E,"&lt;&gt;")=0,"",INDEX(Empresas!$E:$E,MATCH(D948,Empresas!$B:$B,0))))</f>
        <v/>
      </c>
      <c r="O948" s="27" t="str">
        <f aca="false">IF(OR(N948="",H948=""),"",H948-N948)</f>
        <v/>
      </c>
      <c r="P948" s="25" t="str">
        <f aca="false">IF(O948="","",IF(O948&lt;0,"CONTRATO ANTERIOR À ABERTURA — conferir datas",IF(O948&lt;180,"EMPRESA ABERTA MENOS DE 6 MESES ANTES","")))</f>
        <v/>
      </c>
      <c r="Q948" s="31" t="str">
        <f aca="false">IF(D948="","",IFERROR(INDEX(Sancoes!$D:$D,MATCH(D948,Sancoes!$C:$C,0)),"não consta"))</f>
        <v/>
      </c>
      <c r="R948" s="25" t="str">
        <f aca="false">IF(OR(D948="",H948=""),"",IF(SUMPRODUCT((Sancoes!$C$5:$C$304=D948)*(Sancoes!$G$5:$G$304&lt;=H948)*(((Sancoes!$H$5:$H$304="")+(Sancoes!$H$5:$H$304&gt;=H948))&gt;0))&gt;0,"SANÇÃO VIGENTE NA DATA — ler tipo e abrangência",""))</f>
        <v/>
      </c>
      <c r="S948" s="24"/>
      <c r="T948" s="11"/>
    </row>
    <row r="949" customFormat="false" ht="15" hidden="false" customHeight="false" outlineLevel="0" collapsed="false">
      <c r="A949" s="11"/>
      <c r="B949" s="24"/>
      <c r="C949" s="24"/>
      <c r="D949" s="31" t="str">
        <f aca="false">IF(C949="","",IF(LEN(UPPER(SUBSTITUTE(SUBSTITUTE(SUBSTITUTE(SUBSTITUTE(TRIM(C949),".",""),"/",""),"-","")," ","")))&lt;14,RIGHT(REPT("0",14)&amp;UPPER(SUBSTITUTE(SUBSTITUTE(SUBSTITUTE(SUBSTITUTE(TRIM(C949),".",""),"/",""),"-","")," ","")),14),UPPER(SUBSTITUTE(SUBSTITUTE(SUBSTITUTE(SUBSTITUTE(TRIM(C949),".",""),"/",""),"-","")," ",""))))</f>
        <v/>
      </c>
      <c r="E949" s="25" t="str">
        <f aca="false">IF(D949="","",IFERROR(INDEX(Empresas!$C:$C,MATCH(D949,Empresas!$B:$B,0)),"cadastre o CNPJ em Empresas"))</f>
        <v/>
      </c>
      <c r="F949" s="11"/>
      <c r="G949" s="23"/>
      <c r="H949" s="22"/>
      <c r="I949" s="35"/>
      <c r="J949" s="35"/>
      <c r="K949" s="36" t="str">
        <f aca="false">IF(I949="","",I949+J949)</f>
        <v/>
      </c>
      <c r="L949" s="37" t="str">
        <f aca="false">IF(OR(I949="",I949=0,J949=""),"",J949/I949)</f>
        <v/>
      </c>
      <c r="M949" s="25" t="str">
        <f aca="false">IF(L949="","",IF(L949&gt;0.25,"ACRÉSCIMO ACIMA DE 25% — conferir",""))</f>
        <v/>
      </c>
      <c r="N949" s="29" t="str">
        <f aca="false">IF(D949="","",IF(COUNTIFS(Empresas!$B:$B,D949,Empresas!$E:$E,"&lt;&gt;")=0,"",INDEX(Empresas!$E:$E,MATCH(D949,Empresas!$B:$B,0))))</f>
        <v/>
      </c>
      <c r="O949" s="27" t="str">
        <f aca="false">IF(OR(N949="",H949=""),"",H949-N949)</f>
        <v/>
      </c>
      <c r="P949" s="25" t="str">
        <f aca="false">IF(O949="","",IF(O949&lt;0,"CONTRATO ANTERIOR À ABERTURA — conferir datas",IF(O949&lt;180,"EMPRESA ABERTA MENOS DE 6 MESES ANTES","")))</f>
        <v/>
      </c>
      <c r="Q949" s="31" t="str">
        <f aca="false">IF(D949="","",IFERROR(INDEX(Sancoes!$D:$D,MATCH(D949,Sancoes!$C:$C,0)),"não consta"))</f>
        <v/>
      </c>
      <c r="R949" s="25" t="str">
        <f aca="false">IF(OR(D949="",H949=""),"",IF(SUMPRODUCT((Sancoes!$C$5:$C$304=D949)*(Sancoes!$G$5:$G$304&lt;=H949)*(((Sancoes!$H$5:$H$304="")+(Sancoes!$H$5:$H$304&gt;=H949))&gt;0))&gt;0,"SANÇÃO VIGENTE NA DATA — ler tipo e abrangência",""))</f>
        <v/>
      </c>
      <c r="S949" s="24"/>
      <c r="T949" s="11"/>
    </row>
    <row r="950" customFormat="false" ht="15" hidden="false" customHeight="false" outlineLevel="0" collapsed="false">
      <c r="A950" s="11"/>
      <c r="B950" s="24"/>
      <c r="C950" s="24"/>
      <c r="D950" s="31" t="str">
        <f aca="false">IF(C950="","",IF(LEN(UPPER(SUBSTITUTE(SUBSTITUTE(SUBSTITUTE(SUBSTITUTE(TRIM(C950),".",""),"/",""),"-","")," ","")))&lt;14,RIGHT(REPT("0",14)&amp;UPPER(SUBSTITUTE(SUBSTITUTE(SUBSTITUTE(SUBSTITUTE(TRIM(C950),".",""),"/",""),"-","")," ","")),14),UPPER(SUBSTITUTE(SUBSTITUTE(SUBSTITUTE(SUBSTITUTE(TRIM(C950),".",""),"/",""),"-","")," ",""))))</f>
        <v/>
      </c>
      <c r="E950" s="25" t="str">
        <f aca="false">IF(D950="","",IFERROR(INDEX(Empresas!$C:$C,MATCH(D950,Empresas!$B:$B,0)),"cadastre o CNPJ em Empresas"))</f>
        <v/>
      </c>
      <c r="F950" s="11"/>
      <c r="G950" s="23"/>
      <c r="H950" s="22"/>
      <c r="I950" s="35"/>
      <c r="J950" s="35"/>
      <c r="K950" s="36" t="str">
        <f aca="false">IF(I950="","",I950+J950)</f>
        <v/>
      </c>
      <c r="L950" s="37" t="str">
        <f aca="false">IF(OR(I950="",I950=0,J950=""),"",J950/I950)</f>
        <v/>
      </c>
      <c r="M950" s="25" t="str">
        <f aca="false">IF(L950="","",IF(L950&gt;0.25,"ACRÉSCIMO ACIMA DE 25% — conferir",""))</f>
        <v/>
      </c>
      <c r="N950" s="29" t="str">
        <f aca="false">IF(D950="","",IF(COUNTIFS(Empresas!$B:$B,D950,Empresas!$E:$E,"&lt;&gt;")=0,"",INDEX(Empresas!$E:$E,MATCH(D950,Empresas!$B:$B,0))))</f>
        <v/>
      </c>
      <c r="O950" s="27" t="str">
        <f aca="false">IF(OR(N950="",H950=""),"",H950-N950)</f>
        <v/>
      </c>
      <c r="P950" s="25" t="str">
        <f aca="false">IF(O950="","",IF(O950&lt;0,"CONTRATO ANTERIOR À ABERTURA — conferir datas",IF(O950&lt;180,"EMPRESA ABERTA MENOS DE 6 MESES ANTES","")))</f>
        <v/>
      </c>
      <c r="Q950" s="31" t="str">
        <f aca="false">IF(D950="","",IFERROR(INDEX(Sancoes!$D:$D,MATCH(D950,Sancoes!$C:$C,0)),"não consta"))</f>
        <v/>
      </c>
      <c r="R950" s="25" t="str">
        <f aca="false">IF(OR(D950="",H950=""),"",IF(SUMPRODUCT((Sancoes!$C$5:$C$304=D950)*(Sancoes!$G$5:$G$304&lt;=H950)*(((Sancoes!$H$5:$H$304="")+(Sancoes!$H$5:$H$304&gt;=H950))&gt;0))&gt;0,"SANÇÃO VIGENTE NA DATA — ler tipo e abrangência",""))</f>
        <v/>
      </c>
      <c r="S950" s="24"/>
      <c r="T950" s="11"/>
    </row>
    <row r="951" customFormat="false" ht="15" hidden="false" customHeight="false" outlineLevel="0" collapsed="false">
      <c r="A951" s="11"/>
      <c r="B951" s="24"/>
      <c r="C951" s="24"/>
      <c r="D951" s="31" t="str">
        <f aca="false">IF(C951="","",IF(LEN(UPPER(SUBSTITUTE(SUBSTITUTE(SUBSTITUTE(SUBSTITUTE(TRIM(C951),".",""),"/",""),"-","")," ","")))&lt;14,RIGHT(REPT("0",14)&amp;UPPER(SUBSTITUTE(SUBSTITUTE(SUBSTITUTE(SUBSTITUTE(TRIM(C951),".",""),"/",""),"-","")," ","")),14),UPPER(SUBSTITUTE(SUBSTITUTE(SUBSTITUTE(SUBSTITUTE(TRIM(C951),".",""),"/",""),"-","")," ",""))))</f>
        <v/>
      </c>
      <c r="E951" s="25" t="str">
        <f aca="false">IF(D951="","",IFERROR(INDEX(Empresas!$C:$C,MATCH(D951,Empresas!$B:$B,0)),"cadastre o CNPJ em Empresas"))</f>
        <v/>
      </c>
      <c r="F951" s="11"/>
      <c r="G951" s="23"/>
      <c r="H951" s="22"/>
      <c r="I951" s="35"/>
      <c r="J951" s="35"/>
      <c r="K951" s="36" t="str">
        <f aca="false">IF(I951="","",I951+J951)</f>
        <v/>
      </c>
      <c r="L951" s="37" t="str">
        <f aca="false">IF(OR(I951="",I951=0,J951=""),"",J951/I951)</f>
        <v/>
      </c>
      <c r="M951" s="25" t="str">
        <f aca="false">IF(L951="","",IF(L951&gt;0.25,"ACRÉSCIMO ACIMA DE 25% — conferir",""))</f>
        <v/>
      </c>
      <c r="N951" s="29" t="str">
        <f aca="false">IF(D951="","",IF(COUNTIFS(Empresas!$B:$B,D951,Empresas!$E:$E,"&lt;&gt;")=0,"",INDEX(Empresas!$E:$E,MATCH(D951,Empresas!$B:$B,0))))</f>
        <v/>
      </c>
      <c r="O951" s="27" t="str">
        <f aca="false">IF(OR(N951="",H951=""),"",H951-N951)</f>
        <v/>
      </c>
      <c r="P951" s="25" t="str">
        <f aca="false">IF(O951="","",IF(O951&lt;0,"CONTRATO ANTERIOR À ABERTURA — conferir datas",IF(O951&lt;180,"EMPRESA ABERTA MENOS DE 6 MESES ANTES","")))</f>
        <v/>
      </c>
      <c r="Q951" s="31" t="str">
        <f aca="false">IF(D951="","",IFERROR(INDEX(Sancoes!$D:$D,MATCH(D951,Sancoes!$C:$C,0)),"não consta"))</f>
        <v/>
      </c>
      <c r="R951" s="25" t="str">
        <f aca="false">IF(OR(D951="",H951=""),"",IF(SUMPRODUCT((Sancoes!$C$5:$C$304=D951)*(Sancoes!$G$5:$G$304&lt;=H951)*(((Sancoes!$H$5:$H$304="")+(Sancoes!$H$5:$H$304&gt;=H951))&gt;0))&gt;0,"SANÇÃO VIGENTE NA DATA — ler tipo e abrangência",""))</f>
        <v/>
      </c>
      <c r="S951" s="24"/>
      <c r="T951" s="11"/>
    </row>
    <row r="952" customFormat="false" ht="15" hidden="false" customHeight="false" outlineLevel="0" collapsed="false">
      <c r="A952" s="11"/>
      <c r="B952" s="24"/>
      <c r="C952" s="24"/>
      <c r="D952" s="31" t="str">
        <f aca="false">IF(C952="","",IF(LEN(UPPER(SUBSTITUTE(SUBSTITUTE(SUBSTITUTE(SUBSTITUTE(TRIM(C952),".",""),"/",""),"-","")," ","")))&lt;14,RIGHT(REPT("0",14)&amp;UPPER(SUBSTITUTE(SUBSTITUTE(SUBSTITUTE(SUBSTITUTE(TRIM(C952),".",""),"/",""),"-","")," ","")),14),UPPER(SUBSTITUTE(SUBSTITUTE(SUBSTITUTE(SUBSTITUTE(TRIM(C952),".",""),"/",""),"-","")," ",""))))</f>
        <v/>
      </c>
      <c r="E952" s="25" t="str">
        <f aca="false">IF(D952="","",IFERROR(INDEX(Empresas!$C:$C,MATCH(D952,Empresas!$B:$B,0)),"cadastre o CNPJ em Empresas"))</f>
        <v/>
      </c>
      <c r="F952" s="11"/>
      <c r="G952" s="23"/>
      <c r="H952" s="22"/>
      <c r="I952" s="35"/>
      <c r="J952" s="35"/>
      <c r="K952" s="36" t="str">
        <f aca="false">IF(I952="","",I952+J952)</f>
        <v/>
      </c>
      <c r="L952" s="37" t="str">
        <f aca="false">IF(OR(I952="",I952=0,J952=""),"",J952/I952)</f>
        <v/>
      </c>
      <c r="M952" s="25" t="str">
        <f aca="false">IF(L952="","",IF(L952&gt;0.25,"ACRÉSCIMO ACIMA DE 25% — conferir",""))</f>
        <v/>
      </c>
      <c r="N952" s="29" t="str">
        <f aca="false">IF(D952="","",IF(COUNTIFS(Empresas!$B:$B,D952,Empresas!$E:$E,"&lt;&gt;")=0,"",INDEX(Empresas!$E:$E,MATCH(D952,Empresas!$B:$B,0))))</f>
        <v/>
      </c>
      <c r="O952" s="27" t="str">
        <f aca="false">IF(OR(N952="",H952=""),"",H952-N952)</f>
        <v/>
      </c>
      <c r="P952" s="25" t="str">
        <f aca="false">IF(O952="","",IF(O952&lt;0,"CONTRATO ANTERIOR À ABERTURA — conferir datas",IF(O952&lt;180,"EMPRESA ABERTA MENOS DE 6 MESES ANTES","")))</f>
        <v/>
      </c>
      <c r="Q952" s="31" t="str">
        <f aca="false">IF(D952="","",IFERROR(INDEX(Sancoes!$D:$D,MATCH(D952,Sancoes!$C:$C,0)),"não consta"))</f>
        <v/>
      </c>
      <c r="R952" s="25" t="str">
        <f aca="false">IF(OR(D952="",H952=""),"",IF(SUMPRODUCT((Sancoes!$C$5:$C$304=D952)*(Sancoes!$G$5:$G$304&lt;=H952)*(((Sancoes!$H$5:$H$304="")+(Sancoes!$H$5:$H$304&gt;=H952))&gt;0))&gt;0,"SANÇÃO VIGENTE NA DATA — ler tipo e abrangência",""))</f>
        <v/>
      </c>
      <c r="S952" s="24"/>
      <c r="T952" s="11"/>
    </row>
    <row r="953" customFormat="false" ht="15" hidden="false" customHeight="false" outlineLevel="0" collapsed="false">
      <c r="A953" s="11"/>
      <c r="B953" s="24"/>
      <c r="C953" s="24"/>
      <c r="D953" s="31" t="str">
        <f aca="false">IF(C953="","",IF(LEN(UPPER(SUBSTITUTE(SUBSTITUTE(SUBSTITUTE(SUBSTITUTE(TRIM(C953),".",""),"/",""),"-","")," ","")))&lt;14,RIGHT(REPT("0",14)&amp;UPPER(SUBSTITUTE(SUBSTITUTE(SUBSTITUTE(SUBSTITUTE(TRIM(C953),".",""),"/",""),"-","")," ","")),14),UPPER(SUBSTITUTE(SUBSTITUTE(SUBSTITUTE(SUBSTITUTE(TRIM(C953),".",""),"/",""),"-","")," ",""))))</f>
        <v/>
      </c>
      <c r="E953" s="25" t="str">
        <f aca="false">IF(D953="","",IFERROR(INDEX(Empresas!$C:$C,MATCH(D953,Empresas!$B:$B,0)),"cadastre o CNPJ em Empresas"))</f>
        <v/>
      </c>
      <c r="F953" s="11"/>
      <c r="G953" s="23"/>
      <c r="H953" s="22"/>
      <c r="I953" s="35"/>
      <c r="J953" s="35"/>
      <c r="K953" s="36" t="str">
        <f aca="false">IF(I953="","",I953+J953)</f>
        <v/>
      </c>
      <c r="L953" s="37" t="str">
        <f aca="false">IF(OR(I953="",I953=0,J953=""),"",J953/I953)</f>
        <v/>
      </c>
      <c r="M953" s="25" t="str">
        <f aca="false">IF(L953="","",IF(L953&gt;0.25,"ACRÉSCIMO ACIMA DE 25% — conferir",""))</f>
        <v/>
      </c>
      <c r="N953" s="29" t="str">
        <f aca="false">IF(D953="","",IF(COUNTIFS(Empresas!$B:$B,D953,Empresas!$E:$E,"&lt;&gt;")=0,"",INDEX(Empresas!$E:$E,MATCH(D953,Empresas!$B:$B,0))))</f>
        <v/>
      </c>
      <c r="O953" s="27" t="str">
        <f aca="false">IF(OR(N953="",H953=""),"",H953-N953)</f>
        <v/>
      </c>
      <c r="P953" s="25" t="str">
        <f aca="false">IF(O953="","",IF(O953&lt;0,"CONTRATO ANTERIOR À ABERTURA — conferir datas",IF(O953&lt;180,"EMPRESA ABERTA MENOS DE 6 MESES ANTES","")))</f>
        <v/>
      </c>
      <c r="Q953" s="31" t="str">
        <f aca="false">IF(D953="","",IFERROR(INDEX(Sancoes!$D:$D,MATCH(D953,Sancoes!$C:$C,0)),"não consta"))</f>
        <v/>
      </c>
      <c r="R953" s="25" t="str">
        <f aca="false">IF(OR(D953="",H953=""),"",IF(SUMPRODUCT((Sancoes!$C$5:$C$304=D953)*(Sancoes!$G$5:$G$304&lt;=H953)*(((Sancoes!$H$5:$H$304="")+(Sancoes!$H$5:$H$304&gt;=H953))&gt;0))&gt;0,"SANÇÃO VIGENTE NA DATA — ler tipo e abrangência",""))</f>
        <v/>
      </c>
      <c r="S953" s="24"/>
      <c r="T953" s="11"/>
    </row>
    <row r="954" customFormat="false" ht="15" hidden="false" customHeight="false" outlineLevel="0" collapsed="false">
      <c r="A954" s="11"/>
      <c r="B954" s="24"/>
      <c r="C954" s="24"/>
      <c r="D954" s="31" t="str">
        <f aca="false">IF(C954="","",IF(LEN(UPPER(SUBSTITUTE(SUBSTITUTE(SUBSTITUTE(SUBSTITUTE(TRIM(C954),".",""),"/",""),"-","")," ","")))&lt;14,RIGHT(REPT("0",14)&amp;UPPER(SUBSTITUTE(SUBSTITUTE(SUBSTITUTE(SUBSTITUTE(TRIM(C954),".",""),"/",""),"-","")," ","")),14),UPPER(SUBSTITUTE(SUBSTITUTE(SUBSTITUTE(SUBSTITUTE(TRIM(C954),".",""),"/",""),"-","")," ",""))))</f>
        <v/>
      </c>
      <c r="E954" s="25" t="str">
        <f aca="false">IF(D954="","",IFERROR(INDEX(Empresas!$C:$C,MATCH(D954,Empresas!$B:$B,0)),"cadastre o CNPJ em Empresas"))</f>
        <v/>
      </c>
      <c r="F954" s="11"/>
      <c r="G954" s="23"/>
      <c r="H954" s="22"/>
      <c r="I954" s="35"/>
      <c r="J954" s="35"/>
      <c r="K954" s="36" t="str">
        <f aca="false">IF(I954="","",I954+J954)</f>
        <v/>
      </c>
      <c r="L954" s="37" t="str">
        <f aca="false">IF(OR(I954="",I954=0,J954=""),"",J954/I954)</f>
        <v/>
      </c>
      <c r="M954" s="25" t="str">
        <f aca="false">IF(L954="","",IF(L954&gt;0.25,"ACRÉSCIMO ACIMA DE 25% — conferir",""))</f>
        <v/>
      </c>
      <c r="N954" s="29" t="str">
        <f aca="false">IF(D954="","",IF(COUNTIFS(Empresas!$B:$B,D954,Empresas!$E:$E,"&lt;&gt;")=0,"",INDEX(Empresas!$E:$E,MATCH(D954,Empresas!$B:$B,0))))</f>
        <v/>
      </c>
      <c r="O954" s="27" t="str">
        <f aca="false">IF(OR(N954="",H954=""),"",H954-N954)</f>
        <v/>
      </c>
      <c r="P954" s="25" t="str">
        <f aca="false">IF(O954="","",IF(O954&lt;0,"CONTRATO ANTERIOR À ABERTURA — conferir datas",IF(O954&lt;180,"EMPRESA ABERTA MENOS DE 6 MESES ANTES","")))</f>
        <v/>
      </c>
      <c r="Q954" s="31" t="str">
        <f aca="false">IF(D954="","",IFERROR(INDEX(Sancoes!$D:$D,MATCH(D954,Sancoes!$C:$C,0)),"não consta"))</f>
        <v/>
      </c>
      <c r="R954" s="25" t="str">
        <f aca="false">IF(OR(D954="",H954=""),"",IF(SUMPRODUCT((Sancoes!$C$5:$C$304=D954)*(Sancoes!$G$5:$G$304&lt;=H954)*(((Sancoes!$H$5:$H$304="")+(Sancoes!$H$5:$H$304&gt;=H954))&gt;0))&gt;0,"SANÇÃO VIGENTE NA DATA — ler tipo e abrangência",""))</f>
        <v/>
      </c>
      <c r="S954" s="24"/>
      <c r="T954" s="11"/>
    </row>
    <row r="955" customFormat="false" ht="15" hidden="false" customHeight="false" outlineLevel="0" collapsed="false">
      <c r="A955" s="11"/>
      <c r="B955" s="24"/>
      <c r="C955" s="24"/>
      <c r="D955" s="31" t="str">
        <f aca="false">IF(C955="","",IF(LEN(UPPER(SUBSTITUTE(SUBSTITUTE(SUBSTITUTE(SUBSTITUTE(TRIM(C955),".",""),"/",""),"-","")," ","")))&lt;14,RIGHT(REPT("0",14)&amp;UPPER(SUBSTITUTE(SUBSTITUTE(SUBSTITUTE(SUBSTITUTE(TRIM(C955),".",""),"/",""),"-","")," ","")),14),UPPER(SUBSTITUTE(SUBSTITUTE(SUBSTITUTE(SUBSTITUTE(TRIM(C955),".",""),"/",""),"-","")," ",""))))</f>
        <v/>
      </c>
      <c r="E955" s="25" t="str">
        <f aca="false">IF(D955="","",IFERROR(INDEX(Empresas!$C:$C,MATCH(D955,Empresas!$B:$B,0)),"cadastre o CNPJ em Empresas"))</f>
        <v/>
      </c>
      <c r="F955" s="11"/>
      <c r="G955" s="23"/>
      <c r="H955" s="22"/>
      <c r="I955" s="35"/>
      <c r="J955" s="35"/>
      <c r="K955" s="36" t="str">
        <f aca="false">IF(I955="","",I955+J955)</f>
        <v/>
      </c>
      <c r="L955" s="37" t="str">
        <f aca="false">IF(OR(I955="",I955=0,J955=""),"",J955/I955)</f>
        <v/>
      </c>
      <c r="M955" s="25" t="str">
        <f aca="false">IF(L955="","",IF(L955&gt;0.25,"ACRÉSCIMO ACIMA DE 25% — conferir",""))</f>
        <v/>
      </c>
      <c r="N955" s="29" t="str">
        <f aca="false">IF(D955="","",IF(COUNTIFS(Empresas!$B:$B,D955,Empresas!$E:$E,"&lt;&gt;")=0,"",INDEX(Empresas!$E:$E,MATCH(D955,Empresas!$B:$B,0))))</f>
        <v/>
      </c>
      <c r="O955" s="27" t="str">
        <f aca="false">IF(OR(N955="",H955=""),"",H955-N955)</f>
        <v/>
      </c>
      <c r="P955" s="25" t="str">
        <f aca="false">IF(O955="","",IF(O955&lt;0,"CONTRATO ANTERIOR À ABERTURA — conferir datas",IF(O955&lt;180,"EMPRESA ABERTA MENOS DE 6 MESES ANTES","")))</f>
        <v/>
      </c>
      <c r="Q955" s="31" t="str">
        <f aca="false">IF(D955="","",IFERROR(INDEX(Sancoes!$D:$D,MATCH(D955,Sancoes!$C:$C,0)),"não consta"))</f>
        <v/>
      </c>
      <c r="R955" s="25" t="str">
        <f aca="false">IF(OR(D955="",H955=""),"",IF(SUMPRODUCT((Sancoes!$C$5:$C$304=D955)*(Sancoes!$G$5:$G$304&lt;=H955)*(((Sancoes!$H$5:$H$304="")+(Sancoes!$H$5:$H$304&gt;=H955))&gt;0))&gt;0,"SANÇÃO VIGENTE NA DATA — ler tipo e abrangência",""))</f>
        <v/>
      </c>
      <c r="S955" s="24"/>
      <c r="T955" s="11"/>
    </row>
    <row r="956" customFormat="false" ht="15" hidden="false" customHeight="false" outlineLevel="0" collapsed="false">
      <c r="A956" s="11"/>
      <c r="B956" s="24"/>
      <c r="C956" s="24"/>
      <c r="D956" s="31" t="str">
        <f aca="false">IF(C956="","",IF(LEN(UPPER(SUBSTITUTE(SUBSTITUTE(SUBSTITUTE(SUBSTITUTE(TRIM(C956),".",""),"/",""),"-","")," ","")))&lt;14,RIGHT(REPT("0",14)&amp;UPPER(SUBSTITUTE(SUBSTITUTE(SUBSTITUTE(SUBSTITUTE(TRIM(C956),".",""),"/",""),"-","")," ","")),14),UPPER(SUBSTITUTE(SUBSTITUTE(SUBSTITUTE(SUBSTITUTE(TRIM(C956),".",""),"/",""),"-","")," ",""))))</f>
        <v/>
      </c>
      <c r="E956" s="25" t="str">
        <f aca="false">IF(D956="","",IFERROR(INDEX(Empresas!$C:$C,MATCH(D956,Empresas!$B:$B,0)),"cadastre o CNPJ em Empresas"))</f>
        <v/>
      </c>
      <c r="F956" s="11"/>
      <c r="G956" s="23"/>
      <c r="H956" s="22"/>
      <c r="I956" s="35"/>
      <c r="J956" s="35"/>
      <c r="K956" s="36" t="str">
        <f aca="false">IF(I956="","",I956+J956)</f>
        <v/>
      </c>
      <c r="L956" s="37" t="str">
        <f aca="false">IF(OR(I956="",I956=0,J956=""),"",J956/I956)</f>
        <v/>
      </c>
      <c r="M956" s="25" t="str">
        <f aca="false">IF(L956="","",IF(L956&gt;0.25,"ACRÉSCIMO ACIMA DE 25% — conferir",""))</f>
        <v/>
      </c>
      <c r="N956" s="29" t="str">
        <f aca="false">IF(D956="","",IF(COUNTIFS(Empresas!$B:$B,D956,Empresas!$E:$E,"&lt;&gt;")=0,"",INDEX(Empresas!$E:$E,MATCH(D956,Empresas!$B:$B,0))))</f>
        <v/>
      </c>
      <c r="O956" s="27" t="str">
        <f aca="false">IF(OR(N956="",H956=""),"",H956-N956)</f>
        <v/>
      </c>
      <c r="P956" s="25" t="str">
        <f aca="false">IF(O956="","",IF(O956&lt;0,"CONTRATO ANTERIOR À ABERTURA — conferir datas",IF(O956&lt;180,"EMPRESA ABERTA MENOS DE 6 MESES ANTES","")))</f>
        <v/>
      </c>
      <c r="Q956" s="31" t="str">
        <f aca="false">IF(D956="","",IFERROR(INDEX(Sancoes!$D:$D,MATCH(D956,Sancoes!$C:$C,0)),"não consta"))</f>
        <v/>
      </c>
      <c r="R956" s="25" t="str">
        <f aca="false">IF(OR(D956="",H956=""),"",IF(SUMPRODUCT((Sancoes!$C$5:$C$304=D956)*(Sancoes!$G$5:$G$304&lt;=H956)*(((Sancoes!$H$5:$H$304="")+(Sancoes!$H$5:$H$304&gt;=H956))&gt;0))&gt;0,"SANÇÃO VIGENTE NA DATA — ler tipo e abrangência",""))</f>
        <v/>
      </c>
      <c r="S956" s="24"/>
      <c r="T956" s="11"/>
    </row>
    <row r="957" customFormat="false" ht="15" hidden="false" customHeight="false" outlineLevel="0" collapsed="false">
      <c r="A957" s="11"/>
      <c r="B957" s="24"/>
      <c r="C957" s="24"/>
      <c r="D957" s="31" t="str">
        <f aca="false">IF(C957="","",IF(LEN(UPPER(SUBSTITUTE(SUBSTITUTE(SUBSTITUTE(SUBSTITUTE(TRIM(C957),".",""),"/",""),"-","")," ","")))&lt;14,RIGHT(REPT("0",14)&amp;UPPER(SUBSTITUTE(SUBSTITUTE(SUBSTITUTE(SUBSTITUTE(TRIM(C957),".",""),"/",""),"-","")," ","")),14),UPPER(SUBSTITUTE(SUBSTITUTE(SUBSTITUTE(SUBSTITUTE(TRIM(C957),".",""),"/",""),"-","")," ",""))))</f>
        <v/>
      </c>
      <c r="E957" s="25" t="str">
        <f aca="false">IF(D957="","",IFERROR(INDEX(Empresas!$C:$C,MATCH(D957,Empresas!$B:$B,0)),"cadastre o CNPJ em Empresas"))</f>
        <v/>
      </c>
      <c r="F957" s="11"/>
      <c r="G957" s="23"/>
      <c r="H957" s="22"/>
      <c r="I957" s="35"/>
      <c r="J957" s="35"/>
      <c r="K957" s="36" t="str">
        <f aca="false">IF(I957="","",I957+J957)</f>
        <v/>
      </c>
      <c r="L957" s="37" t="str">
        <f aca="false">IF(OR(I957="",I957=0,J957=""),"",J957/I957)</f>
        <v/>
      </c>
      <c r="M957" s="25" t="str">
        <f aca="false">IF(L957="","",IF(L957&gt;0.25,"ACRÉSCIMO ACIMA DE 25% — conferir",""))</f>
        <v/>
      </c>
      <c r="N957" s="29" t="str">
        <f aca="false">IF(D957="","",IF(COUNTIFS(Empresas!$B:$B,D957,Empresas!$E:$E,"&lt;&gt;")=0,"",INDEX(Empresas!$E:$E,MATCH(D957,Empresas!$B:$B,0))))</f>
        <v/>
      </c>
      <c r="O957" s="27" t="str">
        <f aca="false">IF(OR(N957="",H957=""),"",H957-N957)</f>
        <v/>
      </c>
      <c r="P957" s="25" t="str">
        <f aca="false">IF(O957="","",IF(O957&lt;0,"CONTRATO ANTERIOR À ABERTURA — conferir datas",IF(O957&lt;180,"EMPRESA ABERTA MENOS DE 6 MESES ANTES","")))</f>
        <v/>
      </c>
      <c r="Q957" s="31" t="str">
        <f aca="false">IF(D957="","",IFERROR(INDEX(Sancoes!$D:$D,MATCH(D957,Sancoes!$C:$C,0)),"não consta"))</f>
        <v/>
      </c>
      <c r="R957" s="25" t="str">
        <f aca="false">IF(OR(D957="",H957=""),"",IF(SUMPRODUCT((Sancoes!$C$5:$C$304=D957)*(Sancoes!$G$5:$G$304&lt;=H957)*(((Sancoes!$H$5:$H$304="")+(Sancoes!$H$5:$H$304&gt;=H957))&gt;0))&gt;0,"SANÇÃO VIGENTE NA DATA — ler tipo e abrangência",""))</f>
        <v/>
      </c>
      <c r="S957" s="24"/>
      <c r="T957" s="11"/>
    </row>
    <row r="958" customFormat="false" ht="15" hidden="false" customHeight="false" outlineLevel="0" collapsed="false">
      <c r="A958" s="11"/>
      <c r="B958" s="24"/>
      <c r="C958" s="24"/>
      <c r="D958" s="31" t="str">
        <f aca="false">IF(C958="","",IF(LEN(UPPER(SUBSTITUTE(SUBSTITUTE(SUBSTITUTE(SUBSTITUTE(TRIM(C958),".",""),"/",""),"-","")," ","")))&lt;14,RIGHT(REPT("0",14)&amp;UPPER(SUBSTITUTE(SUBSTITUTE(SUBSTITUTE(SUBSTITUTE(TRIM(C958),".",""),"/",""),"-","")," ","")),14),UPPER(SUBSTITUTE(SUBSTITUTE(SUBSTITUTE(SUBSTITUTE(TRIM(C958),".",""),"/",""),"-","")," ",""))))</f>
        <v/>
      </c>
      <c r="E958" s="25" t="str">
        <f aca="false">IF(D958="","",IFERROR(INDEX(Empresas!$C:$C,MATCH(D958,Empresas!$B:$B,0)),"cadastre o CNPJ em Empresas"))</f>
        <v/>
      </c>
      <c r="F958" s="11"/>
      <c r="G958" s="23"/>
      <c r="H958" s="22"/>
      <c r="I958" s="35"/>
      <c r="J958" s="35"/>
      <c r="K958" s="36" t="str">
        <f aca="false">IF(I958="","",I958+J958)</f>
        <v/>
      </c>
      <c r="L958" s="37" t="str">
        <f aca="false">IF(OR(I958="",I958=0,J958=""),"",J958/I958)</f>
        <v/>
      </c>
      <c r="M958" s="25" t="str">
        <f aca="false">IF(L958="","",IF(L958&gt;0.25,"ACRÉSCIMO ACIMA DE 25% — conferir",""))</f>
        <v/>
      </c>
      <c r="N958" s="29" t="str">
        <f aca="false">IF(D958="","",IF(COUNTIFS(Empresas!$B:$B,D958,Empresas!$E:$E,"&lt;&gt;")=0,"",INDEX(Empresas!$E:$E,MATCH(D958,Empresas!$B:$B,0))))</f>
        <v/>
      </c>
      <c r="O958" s="27" t="str">
        <f aca="false">IF(OR(N958="",H958=""),"",H958-N958)</f>
        <v/>
      </c>
      <c r="P958" s="25" t="str">
        <f aca="false">IF(O958="","",IF(O958&lt;0,"CONTRATO ANTERIOR À ABERTURA — conferir datas",IF(O958&lt;180,"EMPRESA ABERTA MENOS DE 6 MESES ANTES","")))</f>
        <v/>
      </c>
      <c r="Q958" s="31" t="str">
        <f aca="false">IF(D958="","",IFERROR(INDEX(Sancoes!$D:$D,MATCH(D958,Sancoes!$C:$C,0)),"não consta"))</f>
        <v/>
      </c>
      <c r="R958" s="25" t="str">
        <f aca="false">IF(OR(D958="",H958=""),"",IF(SUMPRODUCT((Sancoes!$C$5:$C$304=D958)*(Sancoes!$G$5:$G$304&lt;=H958)*(((Sancoes!$H$5:$H$304="")+(Sancoes!$H$5:$H$304&gt;=H958))&gt;0))&gt;0,"SANÇÃO VIGENTE NA DATA — ler tipo e abrangência",""))</f>
        <v/>
      </c>
      <c r="S958" s="24"/>
      <c r="T958" s="11"/>
    </row>
    <row r="959" customFormat="false" ht="15" hidden="false" customHeight="false" outlineLevel="0" collapsed="false">
      <c r="A959" s="11"/>
      <c r="B959" s="24"/>
      <c r="C959" s="24"/>
      <c r="D959" s="31" t="str">
        <f aca="false">IF(C959="","",IF(LEN(UPPER(SUBSTITUTE(SUBSTITUTE(SUBSTITUTE(SUBSTITUTE(TRIM(C959),".",""),"/",""),"-","")," ","")))&lt;14,RIGHT(REPT("0",14)&amp;UPPER(SUBSTITUTE(SUBSTITUTE(SUBSTITUTE(SUBSTITUTE(TRIM(C959),".",""),"/",""),"-","")," ","")),14),UPPER(SUBSTITUTE(SUBSTITUTE(SUBSTITUTE(SUBSTITUTE(TRIM(C959),".",""),"/",""),"-","")," ",""))))</f>
        <v/>
      </c>
      <c r="E959" s="25" t="str">
        <f aca="false">IF(D959="","",IFERROR(INDEX(Empresas!$C:$C,MATCH(D959,Empresas!$B:$B,0)),"cadastre o CNPJ em Empresas"))</f>
        <v/>
      </c>
      <c r="F959" s="11"/>
      <c r="G959" s="23"/>
      <c r="H959" s="22"/>
      <c r="I959" s="35"/>
      <c r="J959" s="35"/>
      <c r="K959" s="36" t="str">
        <f aca="false">IF(I959="","",I959+J959)</f>
        <v/>
      </c>
      <c r="L959" s="37" t="str">
        <f aca="false">IF(OR(I959="",I959=0,J959=""),"",J959/I959)</f>
        <v/>
      </c>
      <c r="M959" s="25" t="str">
        <f aca="false">IF(L959="","",IF(L959&gt;0.25,"ACRÉSCIMO ACIMA DE 25% — conferir",""))</f>
        <v/>
      </c>
      <c r="N959" s="29" t="str">
        <f aca="false">IF(D959="","",IF(COUNTIFS(Empresas!$B:$B,D959,Empresas!$E:$E,"&lt;&gt;")=0,"",INDEX(Empresas!$E:$E,MATCH(D959,Empresas!$B:$B,0))))</f>
        <v/>
      </c>
      <c r="O959" s="27" t="str">
        <f aca="false">IF(OR(N959="",H959=""),"",H959-N959)</f>
        <v/>
      </c>
      <c r="P959" s="25" t="str">
        <f aca="false">IF(O959="","",IF(O959&lt;0,"CONTRATO ANTERIOR À ABERTURA — conferir datas",IF(O959&lt;180,"EMPRESA ABERTA MENOS DE 6 MESES ANTES","")))</f>
        <v/>
      </c>
      <c r="Q959" s="31" t="str">
        <f aca="false">IF(D959="","",IFERROR(INDEX(Sancoes!$D:$D,MATCH(D959,Sancoes!$C:$C,0)),"não consta"))</f>
        <v/>
      </c>
      <c r="R959" s="25" t="str">
        <f aca="false">IF(OR(D959="",H959=""),"",IF(SUMPRODUCT((Sancoes!$C$5:$C$304=D959)*(Sancoes!$G$5:$G$304&lt;=H959)*(((Sancoes!$H$5:$H$304="")+(Sancoes!$H$5:$H$304&gt;=H959))&gt;0))&gt;0,"SANÇÃO VIGENTE NA DATA — ler tipo e abrangência",""))</f>
        <v/>
      </c>
      <c r="S959" s="24"/>
      <c r="T959" s="11"/>
    </row>
    <row r="960" customFormat="false" ht="15" hidden="false" customHeight="false" outlineLevel="0" collapsed="false">
      <c r="A960" s="11"/>
      <c r="B960" s="24"/>
      <c r="C960" s="24"/>
      <c r="D960" s="31" t="str">
        <f aca="false">IF(C960="","",IF(LEN(UPPER(SUBSTITUTE(SUBSTITUTE(SUBSTITUTE(SUBSTITUTE(TRIM(C960),".",""),"/",""),"-","")," ","")))&lt;14,RIGHT(REPT("0",14)&amp;UPPER(SUBSTITUTE(SUBSTITUTE(SUBSTITUTE(SUBSTITUTE(TRIM(C960),".",""),"/",""),"-","")," ","")),14),UPPER(SUBSTITUTE(SUBSTITUTE(SUBSTITUTE(SUBSTITUTE(TRIM(C960),".",""),"/",""),"-","")," ",""))))</f>
        <v/>
      </c>
      <c r="E960" s="25" t="str">
        <f aca="false">IF(D960="","",IFERROR(INDEX(Empresas!$C:$C,MATCH(D960,Empresas!$B:$B,0)),"cadastre o CNPJ em Empresas"))</f>
        <v/>
      </c>
      <c r="F960" s="11"/>
      <c r="G960" s="23"/>
      <c r="H960" s="22"/>
      <c r="I960" s="35"/>
      <c r="J960" s="35"/>
      <c r="K960" s="36" t="str">
        <f aca="false">IF(I960="","",I960+J960)</f>
        <v/>
      </c>
      <c r="L960" s="37" t="str">
        <f aca="false">IF(OR(I960="",I960=0,J960=""),"",J960/I960)</f>
        <v/>
      </c>
      <c r="M960" s="25" t="str">
        <f aca="false">IF(L960="","",IF(L960&gt;0.25,"ACRÉSCIMO ACIMA DE 25% — conferir",""))</f>
        <v/>
      </c>
      <c r="N960" s="29" t="str">
        <f aca="false">IF(D960="","",IF(COUNTIFS(Empresas!$B:$B,D960,Empresas!$E:$E,"&lt;&gt;")=0,"",INDEX(Empresas!$E:$E,MATCH(D960,Empresas!$B:$B,0))))</f>
        <v/>
      </c>
      <c r="O960" s="27" t="str">
        <f aca="false">IF(OR(N960="",H960=""),"",H960-N960)</f>
        <v/>
      </c>
      <c r="P960" s="25" t="str">
        <f aca="false">IF(O960="","",IF(O960&lt;0,"CONTRATO ANTERIOR À ABERTURA — conferir datas",IF(O960&lt;180,"EMPRESA ABERTA MENOS DE 6 MESES ANTES","")))</f>
        <v/>
      </c>
      <c r="Q960" s="31" t="str">
        <f aca="false">IF(D960="","",IFERROR(INDEX(Sancoes!$D:$D,MATCH(D960,Sancoes!$C:$C,0)),"não consta"))</f>
        <v/>
      </c>
      <c r="R960" s="25" t="str">
        <f aca="false">IF(OR(D960="",H960=""),"",IF(SUMPRODUCT((Sancoes!$C$5:$C$304=D960)*(Sancoes!$G$5:$G$304&lt;=H960)*(((Sancoes!$H$5:$H$304="")+(Sancoes!$H$5:$H$304&gt;=H960))&gt;0))&gt;0,"SANÇÃO VIGENTE NA DATA — ler tipo e abrangência",""))</f>
        <v/>
      </c>
      <c r="S960" s="24"/>
      <c r="T960" s="11"/>
    </row>
    <row r="961" customFormat="false" ht="15" hidden="false" customHeight="false" outlineLevel="0" collapsed="false">
      <c r="A961" s="11"/>
      <c r="B961" s="24"/>
      <c r="C961" s="24"/>
      <c r="D961" s="31" t="str">
        <f aca="false">IF(C961="","",IF(LEN(UPPER(SUBSTITUTE(SUBSTITUTE(SUBSTITUTE(SUBSTITUTE(TRIM(C961),".",""),"/",""),"-","")," ","")))&lt;14,RIGHT(REPT("0",14)&amp;UPPER(SUBSTITUTE(SUBSTITUTE(SUBSTITUTE(SUBSTITUTE(TRIM(C961),".",""),"/",""),"-","")," ","")),14),UPPER(SUBSTITUTE(SUBSTITUTE(SUBSTITUTE(SUBSTITUTE(TRIM(C961),".",""),"/",""),"-","")," ",""))))</f>
        <v/>
      </c>
      <c r="E961" s="25" t="str">
        <f aca="false">IF(D961="","",IFERROR(INDEX(Empresas!$C:$C,MATCH(D961,Empresas!$B:$B,0)),"cadastre o CNPJ em Empresas"))</f>
        <v/>
      </c>
      <c r="F961" s="11"/>
      <c r="G961" s="23"/>
      <c r="H961" s="22"/>
      <c r="I961" s="35"/>
      <c r="J961" s="35"/>
      <c r="K961" s="36" t="str">
        <f aca="false">IF(I961="","",I961+J961)</f>
        <v/>
      </c>
      <c r="L961" s="37" t="str">
        <f aca="false">IF(OR(I961="",I961=0,J961=""),"",J961/I961)</f>
        <v/>
      </c>
      <c r="M961" s="25" t="str">
        <f aca="false">IF(L961="","",IF(L961&gt;0.25,"ACRÉSCIMO ACIMA DE 25% — conferir",""))</f>
        <v/>
      </c>
      <c r="N961" s="29" t="str">
        <f aca="false">IF(D961="","",IF(COUNTIFS(Empresas!$B:$B,D961,Empresas!$E:$E,"&lt;&gt;")=0,"",INDEX(Empresas!$E:$E,MATCH(D961,Empresas!$B:$B,0))))</f>
        <v/>
      </c>
      <c r="O961" s="27" t="str">
        <f aca="false">IF(OR(N961="",H961=""),"",H961-N961)</f>
        <v/>
      </c>
      <c r="P961" s="25" t="str">
        <f aca="false">IF(O961="","",IF(O961&lt;0,"CONTRATO ANTERIOR À ABERTURA — conferir datas",IF(O961&lt;180,"EMPRESA ABERTA MENOS DE 6 MESES ANTES","")))</f>
        <v/>
      </c>
      <c r="Q961" s="31" t="str">
        <f aca="false">IF(D961="","",IFERROR(INDEX(Sancoes!$D:$D,MATCH(D961,Sancoes!$C:$C,0)),"não consta"))</f>
        <v/>
      </c>
      <c r="R961" s="25" t="str">
        <f aca="false">IF(OR(D961="",H961=""),"",IF(SUMPRODUCT((Sancoes!$C$5:$C$304=D961)*(Sancoes!$G$5:$G$304&lt;=H961)*(((Sancoes!$H$5:$H$304="")+(Sancoes!$H$5:$H$304&gt;=H961))&gt;0))&gt;0,"SANÇÃO VIGENTE NA DATA — ler tipo e abrangência",""))</f>
        <v/>
      </c>
      <c r="S961" s="24"/>
      <c r="T961" s="11"/>
    </row>
    <row r="962" customFormat="false" ht="15" hidden="false" customHeight="false" outlineLevel="0" collapsed="false">
      <c r="A962" s="11"/>
      <c r="B962" s="24"/>
      <c r="C962" s="24"/>
      <c r="D962" s="31" t="str">
        <f aca="false">IF(C962="","",IF(LEN(UPPER(SUBSTITUTE(SUBSTITUTE(SUBSTITUTE(SUBSTITUTE(TRIM(C962),".",""),"/",""),"-","")," ","")))&lt;14,RIGHT(REPT("0",14)&amp;UPPER(SUBSTITUTE(SUBSTITUTE(SUBSTITUTE(SUBSTITUTE(TRIM(C962),".",""),"/",""),"-","")," ","")),14),UPPER(SUBSTITUTE(SUBSTITUTE(SUBSTITUTE(SUBSTITUTE(TRIM(C962),".",""),"/",""),"-","")," ",""))))</f>
        <v/>
      </c>
      <c r="E962" s="25" t="str">
        <f aca="false">IF(D962="","",IFERROR(INDEX(Empresas!$C:$C,MATCH(D962,Empresas!$B:$B,0)),"cadastre o CNPJ em Empresas"))</f>
        <v/>
      </c>
      <c r="F962" s="11"/>
      <c r="G962" s="23"/>
      <c r="H962" s="22"/>
      <c r="I962" s="35"/>
      <c r="J962" s="35"/>
      <c r="K962" s="36" t="str">
        <f aca="false">IF(I962="","",I962+J962)</f>
        <v/>
      </c>
      <c r="L962" s="37" t="str">
        <f aca="false">IF(OR(I962="",I962=0,J962=""),"",J962/I962)</f>
        <v/>
      </c>
      <c r="M962" s="25" t="str">
        <f aca="false">IF(L962="","",IF(L962&gt;0.25,"ACRÉSCIMO ACIMA DE 25% — conferir",""))</f>
        <v/>
      </c>
      <c r="N962" s="29" t="str">
        <f aca="false">IF(D962="","",IF(COUNTIFS(Empresas!$B:$B,D962,Empresas!$E:$E,"&lt;&gt;")=0,"",INDEX(Empresas!$E:$E,MATCH(D962,Empresas!$B:$B,0))))</f>
        <v/>
      </c>
      <c r="O962" s="27" t="str">
        <f aca="false">IF(OR(N962="",H962=""),"",H962-N962)</f>
        <v/>
      </c>
      <c r="P962" s="25" t="str">
        <f aca="false">IF(O962="","",IF(O962&lt;0,"CONTRATO ANTERIOR À ABERTURA — conferir datas",IF(O962&lt;180,"EMPRESA ABERTA MENOS DE 6 MESES ANTES","")))</f>
        <v/>
      </c>
      <c r="Q962" s="31" t="str">
        <f aca="false">IF(D962="","",IFERROR(INDEX(Sancoes!$D:$D,MATCH(D962,Sancoes!$C:$C,0)),"não consta"))</f>
        <v/>
      </c>
      <c r="R962" s="25" t="str">
        <f aca="false">IF(OR(D962="",H962=""),"",IF(SUMPRODUCT((Sancoes!$C$5:$C$304=D962)*(Sancoes!$G$5:$G$304&lt;=H962)*(((Sancoes!$H$5:$H$304="")+(Sancoes!$H$5:$H$304&gt;=H962))&gt;0))&gt;0,"SANÇÃO VIGENTE NA DATA — ler tipo e abrangência",""))</f>
        <v/>
      </c>
      <c r="S962" s="24"/>
      <c r="T962" s="11"/>
    </row>
    <row r="963" customFormat="false" ht="15" hidden="false" customHeight="false" outlineLevel="0" collapsed="false">
      <c r="A963" s="11"/>
      <c r="B963" s="24"/>
      <c r="C963" s="24"/>
      <c r="D963" s="31" t="str">
        <f aca="false">IF(C963="","",IF(LEN(UPPER(SUBSTITUTE(SUBSTITUTE(SUBSTITUTE(SUBSTITUTE(TRIM(C963),".",""),"/",""),"-","")," ","")))&lt;14,RIGHT(REPT("0",14)&amp;UPPER(SUBSTITUTE(SUBSTITUTE(SUBSTITUTE(SUBSTITUTE(TRIM(C963),".",""),"/",""),"-","")," ","")),14),UPPER(SUBSTITUTE(SUBSTITUTE(SUBSTITUTE(SUBSTITUTE(TRIM(C963),".",""),"/",""),"-","")," ",""))))</f>
        <v/>
      </c>
      <c r="E963" s="25" t="str">
        <f aca="false">IF(D963="","",IFERROR(INDEX(Empresas!$C:$C,MATCH(D963,Empresas!$B:$B,0)),"cadastre o CNPJ em Empresas"))</f>
        <v/>
      </c>
      <c r="F963" s="11"/>
      <c r="G963" s="23"/>
      <c r="H963" s="22"/>
      <c r="I963" s="35"/>
      <c r="J963" s="35"/>
      <c r="K963" s="36" t="str">
        <f aca="false">IF(I963="","",I963+J963)</f>
        <v/>
      </c>
      <c r="L963" s="37" t="str">
        <f aca="false">IF(OR(I963="",I963=0,J963=""),"",J963/I963)</f>
        <v/>
      </c>
      <c r="M963" s="25" t="str">
        <f aca="false">IF(L963="","",IF(L963&gt;0.25,"ACRÉSCIMO ACIMA DE 25% — conferir",""))</f>
        <v/>
      </c>
      <c r="N963" s="29" t="str">
        <f aca="false">IF(D963="","",IF(COUNTIFS(Empresas!$B:$B,D963,Empresas!$E:$E,"&lt;&gt;")=0,"",INDEX(Empresas!$E:$E,MATCH(D963,Empresas!$B:$B,0))))</f>
        <v/>
      </c>
      <c r="O963" s="27" t="str">
        <f aca="false">IF(OR(N963="",H963=""),"",H963-N963)</f>
        <v/>
      </c>
      <c r="P963" s="25" t="str">
        <f aca="false">IF(O963="","",IF(O963&lt;0,"CONTRATO ANTERIOR À ABERTURA — conferir datas",IF(O963&lt;180,"EMPRESA ABERTA MENOS DE 6 MESES ANTES","")))</f>
        <v/>
      </c>
      <c r="Q963" s="31" t="str">
        <f aca="false">IF(D963="","",IFERROR(INDEX(Sancoes!$D:$D,MATCH(D963,Sancoes!$C:$C,0)),"não consta"))</f>
        <v/>
      </c>
      <c r="R963" s="25" t="str">
        <f aca="false">IF(OR(D963="",H963=""),"",IF(SUMPRODUCT((Sancoes!$C$5:$C$304=D963)*(Sancoes!$G$5:$G$304&lt;=H963)*(((Sancoes!$H$5:$H$304="")+(Sancoes!$H$5:$H$304&gt;=H963))&gt;0))&gt;0,"SANÇÃO VIGENTE NA DATA — ler tipo e abrangência",""))</f>
        <v/>
      </c>
      <c r="S963" s="24"/>
      <c r="T963" s="11"/>
    </row>
    <row r="964" customFormat="false" ht="15" hidden="false" customHeight="false" outlineLevel="0" collapsed="false">
      <c r="A964" s="11"/>
      <c r="B964" s="24"/>
      <c r="C964" s="24"/>
      <c r="D964" s="31" t="str">
        <f aca="false">IF(C964="","",IF(LEN(UPPER(SUBSTITUTE(SUBSTITUTE(SUBSTITUTE(SUBSTITUTE(TRIM(C964),".",""),"/",""),"-","")," ","")))&lt;14,RIGHT(REPT("0",14)&amp;UPPER(SUBSTITUTE(SUBSTITUTE(SUBSTITUTE(SUBSTITUTE(TRIM(C964),".",""),"/",""),"-","")," ","")),14),UPPER(SUBSTITUTE(SUBSTITUTE(SUBSTITUTE(SUBSTITUTE(TRIM(C964),".",""),"/",""),"-","")," ",""))))</f>
        <v/>
      </c>
      <c r="E964" s="25" t="str">
        <f aca="false">IF(D964="","",IFERROR(INDEX(Empresas!$C:$C,MATCH(D964,Empresas!$B:$B,0)),"cadastre o CNPJ em Empresas"))</f>
        <v/>
      </c>
      <c r="F964" s="11"/>
      <c r="G964" s="23"/>
      <c r="H964" s="22"/>
      <c r="I964" s="35"/>
      <c r="J964" s="35"/>
      <c r="K964" s="36" t="str">
        <f aca="false">IF(I964="","",I964+J964)</f>
        <v/>
      </c>
      <c r="L964" s="37" t="str">
        <f aca="false">IF(OR(I964="",I964=0,J964=""),"",J964/I964)</f>
        <v/>
      </c>
      <c r="M964" s="25" t="str">
        <f aca="false">IF(L964="","",IF(L964&gt;0.25,"ACRÉSCIMO ACIMA DE 25% — conferir",""))</f>
        <v/>
      </c>
      <c r="N964" s="29" t="str">
        <f aca="false">IF(D964="","",IF(COUNTIFS(Empresas!$B:$B,D964,Empresas!$E:$E,"&lt;&gt;")=0,"",INDEX(Empresas!$E:$E,MATCH(D964,Empresas!$B:$B,0))))</f>
        <v/>
      </c>
      <c r="O964" s="27" t="str">
        <f aca="false">IF(OR(N964="",H964=""),"",H964-N964)</f>
        <v/>
      </c>
      <c r="P964" s="25" t="str">
        <f aca="false">IF(O964="","",IF(O964&lt;0,"CONTRATO ANTERIOR À ABERTURA — conferir datas",IF(O964&lt;180,"EMPRESA ABERTA MENOS DE 6 MESES ANTES","")))</f>
        <v/>
      </c>
      <c r="Q964" s="31" t="str">
        <f aca="false">IF(D964="","",IFERROR(INDEX(Sancoes!$D:$D,MATCH(D964,Sancoes!$C:$C,0)),"não consta"))</f>
        <v/>
      </c>
      <c r="R964" s="25" t="str">
        <f aca="false">IF(OR(D964="",H964=""),"",IF(SUMPRODUCT((Sancoes!$C$5:$C$304=D964)*(Sancoes!$G$5:$G$304&lt;=H964)*(((Sancoes!$H$5:$H$304="")+(Sancoes!$H$5:$H$304&gt;=H964))&gt;0))&gt;0,"SANÇÃO VIGENTE NA DATA — ler tipo e abrangência",""))</f>
        <v/>
      </c>
      <c r="S964" s="24"/>
      <c r="T964" s="11"/>
    </row>
    <row r="965" customFormat="false" ht="15" hidden="false" customHeight="false" outlineLevel="0" collapsed="false">
      <c r="A965" s="11"/>
      <c r="B965" s="24"/>
      <c r="C965" s="24"/>
      <c r="D965" s="31" t="str">
        <f aca="false">IF(C965="","",IF(LEN(UPPER(SUBSTITUTE(SUBSTITUTE(SUBSTITUTE(SUBSTITUTE(TRIM(C965),".",""),"/",""),"-","")," ","")))&lt;14,RIGHT(REPT("0",14)&amp;UPPER(SUBSTITUTE(SUBSTITUTE(SUBSTITUTE(SUBSTITUTE(TRIM(C965),".",""),"/",""),"-","")," ","")),14),UPPER(SUBSTITUTE(SUBSTITUTE(SUBSTITUTE(SUBSTITUTE(TRIM(C965),".",""),"/",""),"-","")," ",""))))</f>
        <v/>
      </c>
      <c r="E965" s="25" t="str">
        <f aca="false">IF(D965="","",IFERROR(INDEX(Empresas!$C:$C,MATCH(D965,Empresas!$B:$B,0)),"cadastre o CNPJ em Empresas"))</f>
        <v/>
      </c>
      <c r="F965" s="11"/>
      <c r="G965" s="23"/>
      <c r="H965" s="22"/>
      <c r="I965" s="35"/>
      <c r="J965" s="35"/>
      <c r="K965" s="36" t="str">
        <f aca="false">IF(I965="","",I965+J965)</f>
        <v/>
      </c>
      <c r="L965" s="37" t="str">
        <f aca="false">IF(OR(I965="",I965=0,J965=""),"",J965/I965)</f>
        <v/>
      </c>
      <c r="M965" s="25" t="str">
        <f aca="false">IF(L965="","",IF(L965&gt;0.25,"ACRÉSCIMO ACIMA DE 25% — conferir",""))</f>
        <v/>
      </c>
      <c r="N965" s="29" t="str">
        <f aca="false">IF(D965="","",IF(COUNTIFS(Empresas!$B:$B,D965,Empresas!$E:$E,"&lt;&gt;")=0,"",INDEX(Empresas!$E:$E,MATCH(D965,Empresas!$B:$B,0))))</f>
        <v/>
      </c>
      <c r="O965" s="27" t="str">
        <f aca="false">IF(OR(N965="",H965=""),"",H965-N965)</f>
        <v/>
      </c>
      <c r="P965" s="25" t="str">
        <f aca="false">IF(O965="","",IF(O965&lt;0,"CONTRATO ANTERIOR À ABERTURA — conferir datas",IF(O965&lt;180,"EMPRESA ABERTA MENOS DE 6 MESES ANTES","")))</f>
        <v/>
      </c>
      <c r="Q965" s="31" t="str">
        <f aca="false">IF(D965="","",IFERROR(INDEX(Sancoes!$D:$D,MATCH(D965,Sancoes!$C:$C,0)),"não consta"))</f>
        <v/>
      </c>
      <c r="R965" s="25" t="str">
        <f aca="false">IF(OR(D965="",H965=""),"",IF(SUMPRODUCT((Sancoes!$C$5:$C$304=D965)*(Sancoes!$G$5:$G$304&lt;=H965)*(((Sancoes!$H$5:$H$304="")+(Sancoes!$H$5:$H$304&gt;=H965))&gt;0))&gt;0,"SANÇÃO VIGENTE NA DATA — ler tipo e abrangência",""))</f>
        <v/>
      </c>
      <c r="S965" s="24"/>
      <c r="T965" s="11"/>
    </row>
    <row r="966" customFormat="false" ht="15" hidden="false" customHeight="false" outlineLevel="0" collapsed="false">
      <c r="A966" s="11"/>
      <c r="B966" s="24"/>
      <c r="C966" s="24"/>
      <c r="D966" s="31" t="str">
        <f aca="false">IF(C966="","",IF(LEN(UPPER(SUBSTITUTE(SUBSTITUTE(SUBSTITUTE(SUBSTITUTE(TRIM(C966),".",""),"/",""),"-","")," ","")))&lt;14,RIGHT(REPT("0",14)&amp;UPPER(SUBSTITUTE(SUBSTITUTE(SUBSTITUTE(SUBSTITUTE(TRIM(C966),".",""),"/",""),"-","")," ","")),14),UPPER(SUBSTITUTE(SUBSTITUTE(SUBSTITUTE(SUBSTITUTE(TRIM(C966),".",""),"/",""),"-","")," ",""))))</f>
        <v/>
      </c>
      <c r="E966" s="25" t="str">
        <f aca="false">IF(D966="","",IFERROR(INDEX(Empresas!$C:$C,MATCH(D966,Empresas!$B:$B,0)),"cadastre o CNPJ em Empresas"))</f>
        <v/>
      </c>
      <c r="F966" s="11"/>
      <c r="G966" s="23"/>
      <c r="H966" s="22"/>
      <c r="I966" s="35"/>
      <c r="J966" s="35"/>
      <c r="K966" s="36" t="str">
        <f aca="false">IF(I966="","",I966+J966)</f>
        <v/>
      </c>
      <c r="L966" s="37" t="str">
        <f aca="false">IF(OR(I966="",I966=0,J966=""),"",J966/I966)</f>
        <v/>
      </c>
      <c r="M966" s="25" t="str">
        <f aca="false">IF(L966="","",IF(L966&gt;0.25,"ACRÉSCIMO ACIMA DE 25% — conferir",""))</f>
        <v/>
      </c>
      <c r="N966" s="29" t="str">
        <f aca="false">IF(D966="","",IF(COUNTIFS(Empresas!$B:$B,D966,Empresas!$E:$E,"&lt;&gt;")=0,"",INDEX(Empresas!$E:$E,MATCH(D966,Empresas!$B:$B,0))))</f>
        <v/>
      </c>
      <c r="O966" s="27" t="str">
        <f aca="false">IF(OR(N966="",H966=""),"",H966-N966)</f>
        <v/>
      </c>
      <c r="P966" s="25" t="str">
        <f aca="false">IF(O966="","",IF(O966&lt;0,"CONTRATO ANTERIOR À ABERTURA — conferir datas",IF(O966&lt;180,"EMPRESA ABERTA MENOS DE 6 MESES ANTES","")))</f>
        <v/>
      </c>
      <c r="Q966" s="31" t="str">
        <f aca="false">IF(D966="","",IFERROR(INDEX(Sancoes!$D:$D,MATCH(D966,Sancoes!$C:$C,0)),"não consta"))</f>
        <v/>
      </c>
      <c r="R966" s="25" t="str">
        <f aca="false">IF(OR(D966="",H966=""),"",IF(SUMPRODUCT((Sancoes!$C$5:$C$304=D966)*(Sancoes!$G$5:$G$304&lt;=H966)*(((Sancoes!$H$5:$H$304="")+(Sancoes!$H$5:$H$304&gt;=H966))&gt;0))&gt;0,"SANÇÃO VIGENTE NA DATA — ler tipo e abrangência",""))</f>
        <v/>
      </c>
      <c r="S966" s="24"/>
      <c r="T966" s="11"/>
    </row>
    <row r="967" customFormat="false" ht="15" hidden="false" customHeight="false" outlineLevel="0" collapsed="false">
      <c r="A967" s="11"/>
      <c r="B967" s="24"/>
      <c r="C967" s="24"/>
      <c r="D967" s="31" t="str">
        <f aca="false">IF(C967="","",IF(LEN(UPPER(SUBSTITUTE(SUBSTITUTE(SUBSTITUTE(SUBSTITUTE(TRIM(C967),".",""),"/",""),"-","")," ","")))&lt;14,RIGHT(REPT("0",14)&amp;UPPER(SUBSTITUTE(SUBSTITUTE(SUBSTITUTE(SUBSTITUTE(TRIM(C967),".",""),"/",""),"-","")," ","")),14),UPPER(SUBSTITUTE(SUBSTITUTE(SUBSTITUTE(SUBSTITUTE(TRIM(C967),".",""),"/",""),"-","")," ",""))))</f>
        <v/>
      </c>
      <c r="E967" s="25" t="str">
        <f aca="false">IF(D967="","",IFERROR(INDEX(Empresas!$C:$C,MATCH(D967,Empresas!$B:$B,0)),"cadastre o CNPJ em Empresas"))</f>
        <v/>
      </c>
      <c r="F967" s="11"/>
      <c r="G967" s="23"/>
      <c r="H967" s="22"/>
      <c r="I967" s="35"/>
      <c r="J967" s="35"/>
      <c r="K967" s="36" t="str">
        <f aca="false">IF(I967="","",I967+J967)</f>
        <v/>
      </c>
      <c r="L967" s="37" t="str">
        <f aca="false">IF(OR(I967="",I967=0,J967=""),"",J967/I967)</f>
        <v/>
      </c>
      <c r="M967" s="25" t="str">
        <f aca="false">IF(L967="","",IF(L967&gt;0.25,"ACRÉSCIMO ACIMA DE 25% — conferir",""))</f>
        <v/>
      </c>
      <c r="N967" s="29" t="str">
        <f aca="false">IF(D967="","",IF(COUNTIFS(Empresas!$B:$B,D967,Empresas!$E:$E,"&lt;&gt;")=0,"",INDEX(Empresas!$E:$E,MATCH(D967,Empresas!$B:$B,0))))</f>
        <v/>
      </c>
      <c r="O967" s="27" t="str">
        <f aca="false">IF(OR(N967="",H967=""),"",H967-N967)</f>
        <v/>
      </c>
      <c r="P967" s="25" t="str">
        <f aca="false">IF(O967="","",IF(O967&lt;0,"CONTRATO ANTERIOR À ABERTURA — conferir datas",IF(O967&lt;180,"EMPRESA ABERTA MENOS DE 6 MESES ANTES","")))</f>
        <v/>
      </c>
      <c r="Q967" s="31" t="str">
        <f aca="false">IF(D967="","",IFERROR(INDEX(Sancoes!$D:$D,MATCH(D967,Sancoes!$C:$C,0)),"não consta"))</f>
        <v/>
      </c>
      <c r="R967" s="25" t="str">
        <f aca="false">IF(OR(D967="",H967=""),"",IF(SUMPRODUCT((Sancoes!$C$5:$C$304=D967)*(Sancoes!$G$5:$G$304&lt;=H967)*(((Sancoes!$H$5:$H$304="")+(Sancoes!$H$5:$H$304&gt;=H967))&gt;0))&gt;0,"SANÇÃO VIGENTE NA DATA — ler tipo e abrangência",""))</f>
        <v/>
      </c>
      <c r="S967" s="24"/>
      <c r="T967" s="11"/>
    </row>
    <row r="968" customFormat="false" ht="15" hidden="false" customHeight="false" outlineLevel="0" collapsed="false">
      <c r="A968" s="11"/>
      <c r="B968" s="24"/>
      <c r="C968" s="24"/>
      <c r="D968" s="31" t="str">
        <f aca="false">IF(C968="","",IF(LEN(UPPER(SUBSTITUTE(SUBSTITUTE(SUBSTITUTE(SUBSTITUTE(TRIM(C968),".",""),"/",""),"-","")," ","")))&lt;14,RIGHT(REPT("0",14)&amp;UPPER(SUBSTITUTE(SUBSTITUTE(SUBSTITUTE(SUBSTITUTE(TRIM(C968),".",""),"/",""),"-","")," ","")),14),UPPER(SUBSTITUTE(SUBSTITUTE(SUBSTITUTE(SUBSTITUTE(TRIM(C968),".",""),"/",""),"-","")," ",""))))</f>
        <v/>
      </c>
      <c r="E968" s="25" t="str">
        <f aca="false">IF(D968="","",IFERROR(INDEX(Empresas!$C:$C,MATCH(D968,Empresas!$B:$B,0)),"cadastre o CNPJ em Empresas"))</f>
        <v/>
      </c>
      <c r="F968" s="11"/>
      <c r="G968" s="23"/>
      <c r="H968" s="22"/>
      <c r="I968" s="35"/>
      <c r="J968" s="35"/>
      <c r="K968" s="36" t="str">
        <f aca="false">IF(I968="","",I968+J968)</f>
        <v/>
      </c>
      <c r="L968" s="37" t="str">
        <f aca="false">IF(OR(I968="",I968=0,J968=""),"",J968/I968)</f>
        <v/>
      </c>
      <c r="M968" s="25" t="str">
        <f aca="false">IF(L968="","",IF(L968&gt;0.25,"ACRÉSCIMO ACIMA DE 25% — conferir",""))</f>
        <v/>
      </c>
      <c r="N968" s="29" t="str">
        <f aca="false">IF(D968="","",IF(COUNTIFS(Empresas!$B:$B,D968,Empresas!$E:$E,"&lt;&gt;")=0,"",INDEX(Empresas!$E:$E,MATCH(D968,Empresas!$B:$B,0))))</f>
        <v/>
      </c>
      <c r="O968" s="27" t="str">
        <f aca="false">IF(OR(N968="",H968=""),"",H968-N968)</f>
        <v/>
      </c>
      <c r="P968" s="25" t="str">
        <f aca="false">IF(O968="","",IF(O968&lt;0,"CONTRATO ANTERIOR À ABERTURA — conferir datas",IF(O968&lt;180,"EMPRESA ABERTA MENOS DE 6 MESES ANTES","")))</f>
        <v/>
      </c>
      <c r="Q968" s="31" t="str">
        <f aca="false">IF(D968="","",IFERROR(INDEX(Sancoes!$D:$D,MATCH(D968,Sancoes!$C:$C,0)),"não consta"))</f>
        <v/>
      </c>
      <c r="R968" s="25" t="str">
        <f aca="false">IF(OR(D968="",H968=""),"",IF(SUMPRODUCT((Sancoes!$C$5:$C$304=D968)*(Sancoes!$G$5:$G$304&lt;=H968)*(((Sancoes!$H$5:$H$304="")+(Sancoes!$H$5:$H$304&gt;=H968))&gt;0))&gt;0,"SANÇÃO VIGENTE NA DATA — ler tipo e abrangência",""))</f>
        <v/>
      </c>
      <c r="S968" s="24"/>
      <c r="T968" s="11"/>
    </row>
    <row r="969" customFormat="false" ht="15" hidden="false" customHeight="false" outlineLevel="0" collapsed="false">
      <c r="A969" s="11"/>
      <c r="B969" s="24"/>
      <c r="C969" s="24"/>
      <c r="D969" s="31" t="str">
        <f aca="false">IF(C969="","",IF(LEN(UPPER(SUBSTITUTE(SUBSTITUTE(SUBSTITUTE(SUBSTITUTE(TRIM(C969),".",""),"/",""),"-","")," ","")))&lt;14,RIGHT(REPT("0",14)&amp;UPPER(SUBSTITUTE(SUBSTITUTE(SUBSTITUTE(SUBSTITUTE(TRIM(C969),".",""),"/",""),"-","")," ","")),14),UPPER(SUBSTITUTE(SUBSTITUTE(SUBSTITUTE(SUBSTITUTE(TRIM(C969),".",""),"/",""),"-","")," ",""))))</f>
        <v/>
      </c>
      <c r="E969" s="25" t="str">
        <f aca="false">IF(D969="","",IFERROR(INDEX(Empresas!$C:$C,MATCH(D969,Empresas!$B:$B,0)),"cadastre o CNPJ em Empresas"))</f>
        <v/>
      </c>
      <c r="F969" s="11"/>
      <c r="G969" s="23"/>
      <c r="H969" s="22"/>
      <c r="I969" s="35"/>
      <c r="J969" s="35"/>
      <c r="K969" s="36" t="str">
        <f aca="false">IF(I969="","",I969+J969)</f>
        <v/>
      </c>
      <c r="L969" s="37" t="str">
        <f aca="false">IF(OR(I969="",I969=0,J969=""),"",J969/I969)</f>
        <v/>
      </c>
      <c r="M969" s="25" t="str">
        <f aca="false">IF(L969="","",IF(L969&gt;0.25,"ACRÉSCIMO ACIMA DE 25% — conferir",""))</f>
        <v/>
      </c>
      <c r="N969" s="29" t="str">
        <f aca="false">IF(D969="","",IF(COUNTIFS(Empresas!$B:$B,D969,Empresas!$E:$E,"&lt;&gt;")=0,"",INDEX(Empresas!$E:$E,MATCH(D969,Empresas!$B:$B,0))))</f>
        <v/>
      </c>
      <c r="O969" s="27" t="str">
        <f aca="false">IF(OR(N969="",H969=""),"",H969-N969)</f>
        <v/>
      </c>
      <c r="P969" s="25" t="str">
        <f aca="false">IF(O969="","",IF(O969&lt;0,"CONTRATO ANTERIOR À ABERTURA — conferir datas",IF(O969&lt;180,"EMPRESA ABERTA MENOS DE 6 MESES ANTES","")))</f>
        <v/>
      </c>
      <c r="Q969" s="31" t="str">
        <f aca="false">IF(D969="","",IFERROR(INDEX(Sancoes!$D:$D,MATCH(D969,Sancoes!$C:$C,0)),"não consta"))</f>
        <v/>
      </c>
      <c r="R969" s="25" t="str">
        <f aca="false">IF(OR(D969="",H969=""),"",IF(SUMPRODUCT((Sancoes!$C$5:$C$304=D969)*(Sancoes!$G$5:$G$304&lt;=H969)*(((Sancoes!$H$5:$H$304="")+(Sancoes!$H$5:$H$304&gt;=H969))&gt;0))&gt;0,"SANÇÃO VIGENTE NA DATA — ler tipo e abrangência",""))</f>
        <v/>
      </c>
      <c r="S969" s="24"/>
      <c r="T969" s="11"/>
    </row>
    <row r="970" customFormat="false" ht="15" hidden="false" customHeight="false" outlineLevel="0" collapsed="false">
      <c r="A970" s="11"/>
      <c r="B970" s="24"/>
      <c r="C970" s="24"/>
      <c r="D970" s="31" t="str">
        <f aca="false">IF(C970="","",IF(LEN(UPPER(SUBSTITUTE(SUBSTITUTE(SUBSTITUTE(SUBSTITUTE(TRIM(C970),".",""),"/",""),"-","")," ","")))&lt;14,RIGHT(REPT("0",14)&amp;UPPER(SUBSTITUTE(SUBSTITUTE(SUBSTITUTE(SUBSTITUTE(TRIM(C970),".",""),"/",""),"-","")," ","")),14),UPPER(SUBSTITUTE(SUBSTITUTE(SUBSTITUTE(SUBSTITUTE(TRIM(C970),".",""),"/",""),"-","")," ",""))))</f>
        <v/>
      </c>
      <c r="E970" s="25" t="str">
        <f aca="false">IF(D970="","",IFERROR(INDEX(Empresas!$C:$C,MATCH(D970,Empresas!$B:$B,0)),"cadastre o CNPJ em Empresas"))</f>
        <v/>
      </c>
      <c r="F970" s="11"/>
      <c r="G970" s="23"/>
      <c r="H970" s="22"/>
      <c r="I970" s="35"/>
      <c r="J970" s="35"/>
      <c r="K970" s="36" t="str">
        <f aca="false">IF(I970="","",I970+J970)</f>
        <v/>
      </c>
      <c r="L970" s="37" t="str">
        <f aca="false">IF(OR(I970="",I970=0,J970=""),"",J970/I970)</f>
        <v/>
      </c>
      <c r="M970" s="25" t="str">
        <f aca="false">IF(L970="","",IF(L970&gt;0.25,"ACRÉSCIMO ACIMA DE 25% — conferir",""))</f>
        <v/>
      </c>
      <c r="N970" s="29" t="str">
        <f aca="false">IF(D970="","",IF(COUNTIFS(Empresas!$B:$B,D970,Empresas!$E:$E,"&lt;&gt;")=0,"",INDEX(Empresas!$E:$E,MATCH(D970,Empresas!$B:$B,0))))</f>
        <v/>
      </c>
      <c r="O970" s="27" t="str">
        <f aca="false">IF(OR(N970="",H970=""),"",H970-N970)</f>
        <v/>
      </c>
      <c r="P970" s="25" t="str">
        <f aca="false">IF(O970="","",IF(O970&lt;0,"CONTRATO ANTERIOR À ABERTURA — conferir datas",IF(O970&lt;180,"EMPRESA ABERTA MENOS DE 6 MESES ANTES","")))</f>
        <v/>
      </c>
      <c r="Q970" s="31" t="str">
        <f aca="false">IF(D970="","",IFERROR(INDEX(Sancoes!$D:$D,MATCH(D970,Sancoes!$C:$C,0)),"não consta"))</f>
        <v/>
      </c>
      <c r="R970" s="25" t="str">
        <f aca="false">IF(OR(D970="",H970=""),"",IF(SUMPRODUCT((Sancoes!$C$5:$C$304=D970)*(Sancoes!$G$5:$G$304&lt;=H970)*(((Sancoes!$H$5:$H$304="")+(Sancoes!$H$5:$H$304&gt;=H970))&gt;0))&gt;0,"SANÇÃO VIGENTE NA DATA — ler tipo e abrangência",""))</f>
        <v/>
      </c>
      <c r="S970" s="24"/>
      <c r="T970" s="11"/>
    </row>
    <row r="971" customFormat="false" ht="15" hidden="false" customHeight="false" outlineLevel="0" collapsed="false">
      <c r="A971" s="11"/>
      <c r="B971" s="24"/>
      <c r="C971" s="24"/>
      <c r="D971" s="31" t="str">
        <f aca="false">IF(C971="","",IF(LEN(UPPER(SUBSTITUTE(SUBSTITUTE(SUBSTITUTE(SUBSTITUTE(TRIM(C971),".",""),"/",""),"-","")," ","")))&lt;14,RIGHT(REPT("0",14)&amp;UPPER(SUBSTITUTE(SUBSTITUTE(SUBSTITUTE(SUBSTITUTE(TRIM(C971),".",""),"/",""),"-","")," ","")),14),UPPER(SUBSTITUTE(SUBSTITUTE(SUBSTITUTE(SUBSTITUTE(TRIM(C971),".",""),"/",""),"-","")," ",""))))</f>
        <v/>
      </c>
      <c r="E971" s="25" t="str">
        <f aca="false">IF(D971="","",IFERROR(INDEX(Empresas!$C:$C,MATCH(D971,Empresas!$B:$B,0)),"cadastre o CNPJ em Empresas"))</f>
        <v/>
      </c>
      <c r="F971" s="11"/>
      <c r="G971" s="23"/>
      <c r="H971" s="22"/>
      <c r="I971" s="35"/>
      <c r="J971" s="35"/>
      <c r="K971" s="36" t="str">
        <f aca="false">IF(I971="","",I971+J971)</f>
        <v/>
      </c>
      <c r="L971" s="37" t="str">
        <f aca="false">IF(OR(I971="",I971=0,J971=""),"",J971/I971)</f>
        <v/>
      </c>
      <c r="M971" s="25" t="str">
        <f aca="false">IF(L971="","",IF(L971&gt;0.25,"ACRÉSCIMO ACIMA DE 25% — conferir",""))</f>
        <v/>
      </c>
      <c r="N971" s="29" t="str">
        <f aca="false">IF(D971="","",IF(COUNTIFS(Empresas!$B:$B,D971,Empresas!$E:$E,"&lt;&gt;")=0,"",INDEX(Empresas!$E:$E,MATCH(D971,Empresas!$B:$B,0))))</f>
        <v/>
      </c>
      <c r="O971" s="27" t="str">
        <f aca="false">IF(OR(N971="",H971=""),"",H971-N971)</f>
        <v/>
      </c>
      <c r="P971" s="25" t="str">
        <f aca="false">IF(O971="","",IF(O971&lt;0,"CONTRATO ANTERIOR À ABERTURA — conferir datas",IF(O971&lt;180,"EMPRESA ABERTA MENOS DE 6 MESES ANTES","")))</f>
        <v/>
      </c>
      <c r="Q971" s="31" t="str">
        <f aca="false">IF(D971="","",IFERROR(INDEX(Sancoes!$D:$D,MATCH(D971,Sancoes!$C:$C,0)),"não consta"))</f>
        <v/>
      </c>
      <c r="R971" s="25" t="str">
        <f aca="false">IF(OR(D971="",H971=""),"",IF(SUMPRODUCT((Sancoes!$C$5:$C$304=D971)*(Sancoes!$G$5:$G$304&lt;=H971)*(((Sancoes!$H$5:$H$304="")+(Sancoes!$H$5:$H$304&gt;=H971))&gt;0))&gt;0,"SANÇÃO VIGENTE NA DATA — ler tipo e abrangência",""))</f>
        <v/>
      </c>
      <c r="S971" s="24"/>
      <c r="T971" s="11"/>
    </row>
    <row r="972" customFormat="false" ht="15" hidden="false" customHeight="false" outlineLevel="0" collapsed="false">
      <c r="A972" s="11"/>
      <c r="B972" s="24"/>
      <c r="C972" s="24"/>
      <c r="D972" s="31" t="str">
        <f aca="false">IF(C972="","",IF(LEN(UPPER(SUBSTITUTE(SUBSTITUTE(SUBSTITUTE(SUBSTITUTE(TRIM(C972),".",""),"/",""),"-","")," ","")))&lt;14,RIGHT(REPT("0",14)&amp;UPPER(SUBSTITUTE(SUBSTITUTE(SUBSTITUTE(SUBSTITUTE(TRIM(C972),".",""),"/",""),"-","")," ","")),14),UPPER(SUBSTITUTE(SUBSTITUTE(SUBSTITUTE(SUBSTITUTE(TRIM(C972),".",""),"/",""),"-","")," ",""))))</f>
        <v/>
      </c>
      <c r="E972" s="25" t="str">
        <f aca="false">IF(D972="","",IFERROR(INDEX(Empresas!$C:$C,MATCH(D972,Empresas!$B:$B,0)),"cadastre o CNPJ em Empresas"))</f>
        <v/>
      </c>
      <c r="F972" s="11"/>
      <c r="G972" s="23"/>
      <c r="H972" s="22"/>
      <c r="I972" s="35"/>
      <c r="J972" s="35"/>
      <c r="K972" s="36" t="str">
        <f aca="false">IF(I972="","",I972+J972)</f>
        <v/>
      </c>
      <c r="L972" s="37" t="str">
        <f aca="false">IF(OR(I972="",I972=0,J972=""),"",J972/I972)</f>
        <v/>
      </c>
      <c r="M972" s="25" t="str">
        <f aca="false">IF(L972="","",IF(L972&gt;0.25,"ACRÉSCIMO ACIMA DE 25% — conferir",""))</f>
        <v/>
      </c>
      <c r="N972" s="29" t="str">
        <f aca="false">IF(D972="","",IF(COUNTIFS(Empresas!$B:$B,D972,Empresas!$E:$E,"&lt;&gt;")=0,"",INDEX(Empresas!$E:$E,MATCH(D972,Empresas!$B:$B,0))))</f>
        <v/>
      </c>
      <c r="O972" s="27" t="str">
        <f aca="false">IF(OR(N972="",H972=""),"",H972-N972)</f>
        <v/>
      </c>
      <c r="P972" s="25" t="str">
        <f aca="false">IF(O972="","",IF(O972&lt;0,"CONTRATO ANTERIOR À ABERTURA — conferir datas",IF(O972&lt;180,"EMPRESA ABERTA MENOS DE 6 MESES ANTES","")))</f>
        <v/>
      </c>
      <c r="Q972" s="31" t="str">
        <f aca="false">IF(D972="","",IFERROR(INDEX(Sancoes!$D:$D,MATCH(D972,Sancoes!$C:$C,0)),"não consta"))</f>
        <v/>
      </c>
      <c r="R972" s="25" t="str">
        <f aca="false">IF(OR(D972="",H972=""),"",IF(SUMPRODUCT((Sancoes!$C$5:$C$304=D972)*(Sancoes!$G$5:$G$304&lt;=H972)*(((Sancoes!$H$5:$H$304="")+(Sancoes!$H$5:$H$304&gt;=H972))&gt;0))&gt;0,"SANÇÃO VIGENTE NA DATA — ler tipo e abrangência",""))</f>
        <v/>
      </c>
      <c r="S972" s="24"/>
      <c r="T972" s="11"/>
    </row>
    <row r="973" customFormat="false" ht="15" hidden="false" customHeight="false" outlineLevel="0" collapsed="false">
      <c r="A973" s="11"/>
      <c r="B973" s="24"/>
      <c r="C973" s="24"/>
      <c r="D973" s="31" t="str">
        <f aca="false">IF(C973="","",IF(LEN(UPPER(SUBSTITUTE(SUBSTITUTE(SUBSTITUTE(SUBSTITUTE(TRIM(C973),".",""),"/",""),"-","")," ","")))&lt;14,RIGHT(REPT("0",14)&amp;UPPER(SUBSTITUTE(SUBSTITUTE(SUBSTITUTE(SUBSTITUTE(TRIM(C973),".",""),"/",""),"-","")," ","")),14),UPPER(SUBSTITUTE(SUBSTITUTE(SUBSTITUTE(SUBSTITUTE(TRIM(C973),".",""),"/",""),"-","")," ",""))))</f>
        <v/>
      </c>
      <c r="E973" s="25" t="str">
        <f aca="false">IF(D973="","",IFERROR(INDEX(Empresas!$C:$C,MATCH(D973,Empresas!$B:$B,0)),"cadastre o CNPJ em Empresas"))</f>
        <v/>
      </c>
      <c r="F973" s="11"/>
      <c r="G973" s="23"/>
      <c r="H973" s="22"/>
      <c r="I973" s="35"/>
      <c r="J973" s="35"/>
      <c r="K973" s="36" t="str">
        <f aca="false">IF(I973="","",I973+J973)</f>
        <v/>
      </c>
      <c r="L973" s="37" t="str">
        <f aca="false">IF(OR(I973="",I973=0,J973=""),"",J973/I973)</f>
        <v/>
      </c>
      <c r="M973" s="25" t="str">
        <f aca="false">IF(L973="","",IF(L973&gt;0.25,"ACRÉSCIMO ACIMA DE 25% — conferir",""))</f>
        <v/>
      </c>
      <c r="N973" s="29" t="str">
        <f aca="false">IF(D973="","",IF(COUNTIFS(Empresas!$B:$B,D973,Empresas!$E:$E,"&lt;&gt;")=0,"",INDEX(Empresas!$E:$E,MATCH(D973,Empresas!$B:$B,0))))</f>
        <v/>
      </c>
      <c r="O973" s="27" t="str">
        <f aca="false">IF(OR(N973="",H973=""),"",H973-N973)</f>
        <v/>
      </c>
      <c r="P973" s="25" t="str">
        <f aca="false">IF(O973="","",IF(O973&lt;0,"CONTRATO ANTERIOR À ABERTURA — conferir datas",IF(O973&lt;180,"EMPRESA ABERTA MENOS DE 6 MESES ANTES","")))</f>
        <v/>
      </c>
      <c r="Q973" s="31" t="str">
        <f aca="false">IF(D973="","",IFERROR(INDEX(Sancoes!$D:$D,MATCH(D973,Sancoes!$C:$C,0)),"não consta"))</f>
        <v/>
      </c>
      <c r="R973" s="25" t="str">
        <f aca="false">IF(OR(D973="",H973=""),"",IF(SUMPRODUCT((Sancoes!$C$5:$C$304=D973)*(Sancoes!$G$5:$G$304&lt;=H973)*(((Sancoes!$H$5:$H$304="")+(Sancoes!$H$5:$H$304&gt;=H973))&gt;0))&gt;0,"SANÇÃO VIGENTE NA DATA — ler tipo e abrangência",""))</f>
        <v/>
      </c>
      <c r="S973" s="24"/>
      <c r="T973" s="11"/>
    </row>
    <row r="974" customFormat="false" ht="15" hidden="false" customHeight="false" outlineLevel="0" collapsed="false">
      <c r="A974" s="11"/>
      <c r="B974" s="24"/>
      <c r="C974" s="24"/>
      <c r="D974" s="31" t="str">
        <f aca="false">IF(C974="","",IF(LEN(UPPER(SUBSTITUTE(SUBSTITUTE(SUBSTITUTE(SUBSTITUTE(TRIM(C974),".",""),"/",""),"-","")," ","")))&lt;14,RIGHT(REPT("0",14)&amp;UPPER(SUBSTITUTE(SUBSTITUTE(SUBSTITUTE(SUBSTITUTE(TRIM(C974),".",""),"/",""),"-","")," ","")),14),UPPER(SUBSTITUTE(SUBSTITUTE(SUBSTITUTE(SUBSTITUTE(TRIM(C974),".",""),"/",""),"-","")," ",""))))</f>
        <v/>
      </c>
      <c r="E974" s="25" t="str">
        <f aca="false">IF(D974="","",IFERROR(INDEX(Empresas!$C:$C,MATCH(D974,Empresas!$B:$B,0)),"cadastre o CNPJ em Empresas"))</f>
        <v/>
      </c>
      <c r="F974" s="11"/>
      <c r="G974" s="23"/>
      <c r="H974" s="22"/>
      <c r="I974" s="35"/>
      <c r="J974" s="35"/>
      <c r="K974" s="36" t="str">
        <f aca="false">IF(I974="","",I974+J974)</f>
        <v/>
      </c>
      <c r="L974" s="37" t="str">
        <f aca="false">IF(OR(I974="",I974=0,J974=""),"",J974/I974)</f>
        <v/>
      </c>
      <c r="M974" s="25" t="str">
        <f aca="false">IF(L974="","",IF(L974&gt;0.25,"ACRÉSCIMO ACIMA DE 25% — conferir",""))</f>
        <v/>
      </c>
      <c r="N974" s="29" t="str">
        <f aca="false">IF(D974="","",IF(COUNTIFS(Empresas!$B:$B,D974,Empresas!$E:$E,"&lt;&gt;")=0,"",INDEX(Empresas!$E:$E,MATCH(D974,Empresas!$B:$B,0))))</f>
        <v/>
      </c>
      <c r="O974" s="27" t="str">
        <f aca="false">IF(OR(N974="",H974=""),"",H974-N974)</f>
        <v/>
      </c>
      <c r="P974" s="25" t="str">
        <f aca="false">IF(O974="","",IF(O974&lt;0,"CONTRATO ANTERIOR À ABERTURA — conferir datas",IF(O974&lt;180,"EMPRESA ABERTA MENOS DE 6 MESES ANTES","")))</f>
        <v/>
      </c>
      <c r="Q974" s="31" t="str">
        <f aca="false">IF(D974="","",IFERROR(INDEX(Sancoes!$D:$D,MATCH(D974,Sancoes!$C:$C,0)),"não consta"))</f>
        <v/>
      </c>
      <c r="R974" s="25" t="str">
        <f aca="false">IF(OR(D974="",H974=""),"",IF(SUMPRODUCT((Sancoes!$C$5:$C$304=D974)*(Sancoes!$G$5:$G$304&lt;=H974)*(((Sancoes!$H$5:$H$304="")+(Sancoes!$H$5:$H$304&gt;=H974))&gt;0))&gt;0,"SANÇÃO VIGENTE NA DATA — ler tipo e abrangência",""))</f>
        <v/>
      </c>
      <c r="S974" s="24"/>
      <c r="T974" s="11"/>
    </row>
    <row r="975" customFormat="false" ht="15" hidden="false" customHeight="false" outlineLevel="0" collapsed="false">
      <c r="A975" s="11"/>
      <c r="B975" s="24"/>
      <c r="C975" s="24"/>
      <c r="D975" s="31" t="str">
        <f aca="false">IF(C975="","",IF(LEN(UPPER(SUBSTITUTE(SUBSTITUTE(SUBSTITUTE(SUBSTITUTE(TRIM(C975),".",""),"/",""),"-","")," ","")))&lt;14,RIGHT(REPT("0",14)&amp;UPPER(SUBSTITUTE(SUBSTITUTE(SUBSTITUTE(SUBSTITUTE(TRIM(C975),".",""),"/",""),"-","")," ","")),14),UPPER(SUBSTITUTE(SUBSTITUTE(SUBSTITUTE(SUBSTITUTE(TRIM(C975),".",""),"/",""),"-","")," ",""))))</f>
        <v/>
      </c>
      <c r="E975" s="25" t="str">
        <f aca="false">IF(D975="","",IFERROR(INDEX(Empresas!$C:$C,MATCH(D975,Empresas!$B:$B,0)),"cadastre o CNPJ em Empresas"))</f>
        <v/>
      </c>
      <c r="F975" s="11"/>
      <c r="G975" s="23"/>
      <c r="H975" s="22"/>
      <c r="I975" s="35"/>
      <c r="J975" s="35"/>
      <c r="K975" s="36" t="str">
        <f aca="false">IF(I975="","",I975+J975)</f>
        <v/>
      </c>
      <c r="L975" s="37" t="str">
        <f aca="false">IF(OR(I975="",I975=0,J975=""),"",J975/I975)</f>
        <v/>
      </c>
      <c r="M975" s="25" t="str">
        <f aca="false">IF(L975="","",IF(L975&gt;0.25,"ACRÉSCIMO ACIMA DE 25% — conferir",""))</f>
        <v/>
      </c>
      <c r="N975" s="29" t="str">
        <f aca="false">IF(D975="","",IF(COUNTIFS(Empresas!$B:$B,D975,Empresas!$E:$E,"&lt;&gt;")=0,"",INDEX(Empresas!$E:$E,MATCH(D975,Empresas!$B:$B,0))))</f>
        <v/>
      </c>
      <c r="O975" s="27" t="str">
        <f aca="false">IF(OR(N975="",H975=""),"",H975-N975)</f>
        <v/>
      </c>
      <c r="P975" s="25" t="str">
        <f aca="false">IF(O975="","",IF(O975&lt;0,"CONTRATO ANTERIOR À ABERTURA — conferir datas",IF(O975&lt;180,"EMPRESA ABERTA MENOS DE 6 MESES ANTES","")))</f>
        <v/>
      </c>
      <c r="Q975" s="31" t="str">
        <f aca="false">IF(D975="","",IFERROR(INDEX(Sancoes!$D:$D,MATCH(D975,Sancoes!$C:$C,0)),"não consta"))</f>
        <v/>
      </c>
      <c r="R975" s="25" t="str">
        <f aca="false">IF(OR(D975="",H975=""),"",IF(SUMPRODUCT((Sancoes!$C$5:$C$304=D975)*(Sancoes!$G$5:$G$304&lt;=H975)*(((Sancoes!$H$5:$H$304="")+(Sancoes!$H$5:$H$304&gt;=H975))&gt;0))&gt;0,"SANÇÃO VIGENTE NA DATA — ler tipo e abrangência",""))</f>
        <v/>
      </c>
      <c r="S975" s="24"/>
      <c r="T975" s="11"/>
    </row>
    <row r="976" customFormat="false" ht="15" hidden="false" customHeight="false" outlineLevel="0" collapsed="false">
      <c r="A976" s="11"/>
      <c r="B976" s="24"/>
      <c r="C976" s="24"/>
      <c r="D976" s="31" t="str">
        <f aca="false">IF(C976="","",IF(LEN(UPPER(SUBSTITUTE(SUBSTITUTE(SUBSTITUTE(SUBSTITUTE(TRIM(C976),".",""),"/",""),"-","")," ","")))&lt;14,RIGHT(REPT("0",14)&amp;UPPER(SUBSTITUTE(SUBSTITUTE(SUBSTITUTE(SUBSTITUTE(TRIM(C976),".",""),"/",""),"-","")," ","")),14),UPPER(SUBSTITUTE(SUBSTITUTE(SUBSTITUTE(SUBSTITUTE(TRIM(C976),".",""),"/",""),"-","")," ",""))))</f>
        <v/>
      </c>
      <c r="E976" s="25" t="str">
        <f aca="false">IF(D976="","",IFERROR(INDEX(Empresas!$C:$C,MATCH(D976,Empresas!$B:$B,0)),"cadastre o CNPJ em Empresas"))</f>
        <v/>
      </c>
      <c r="F976" s="11"/>
      <c r="G976" s="23"/>
      <c r="H976" s="22"/>
      <c r="I976" s="35"/>
      <c r="J976" s="35"/>
      <c r="K976" s="36" t="str">
        <f aca="false">IF(I976="","",I976+J976)</f>
        <v/>
      </c>
      <c r="L976" s="37" t="str">
        <f aca="false">IF(OR(I976="",I976=0,J976=""),"",J976/I976)</f>
        <v/>
      </c>
      <c r="M976" s="25" t="str">
        <f aca="false">IF(L976="","",IF(L976&gt;0.25,"ACRÉSCIMO ACIMA DE 25% — conferir",""))</f>
        <v/>
      </c>
      <c r="N976" s="29" t="str">
        <f aca="false">IF(D976="","",IF(COUNTIFS(Empresas!$B:$B,D976,Empresas!$E:$E,"&lt;&gt;")=0,"",INDEX(Empresas!$E:$E,MATCH(D976,Empresas!$B:$B,0))))</f>
        <v/>
      </c>
      <c r="O976" s="27" t="str">
        <f aca="false">IF(OR(N976="",H976=""),"",H976-N976)</f>
        <v/>
      </c>
      <c r="P976" s="25" t="str">
        <f aca="false">IF(O976="","",IF(O976&lt;0,"CONTRATO ANTERIOR À ABERTURA — conferir datas",IF(O976&lt;180,"EMPRESA ABERTA MENOS DE 6 MESES ANTES","")))</f>
        <v/>
      </c>
      <c r="Q976" s="31" t="str">
        <f aca="false">IF(D976="","",IFERROR(INDEX(Sancoes!$D:$D,MATCH(D976,Sancoes!$C:$C,0)),"não consta"))</f>
        <v/>
      </c>
      <c r="R976" s="25" t="str">
        <f aca="false">IF(OR(D976="",H976=""),"",IF(SUMPRODUCT((Sancoes!$C$5:$C$304=D976)*(Sancoes!$G$5:$G$304&lt;=H976)*(((Sancoes!$H$5:$H$304="")+(Sancoes!$H$5:$H$304&gt;=H976))&gt;0))&gt;0,"SANÇÃO VIGENTE NA DATA — ler tipo e abrangência",""))</f>
        <v/>
      </c>
      <c r="S976" s="24"/>
      <c r="T976" s="11"/>
    </row>
    <row r="977" customFormat="false" ht="15" hidden="false" customHeight="false" outlineLevel="0" collapsed="false">
      <c r="A977" s="11"/>
      <c r="B977" s="24"/>
      <c r="C977" s="24"/>
      <c r="D977" s="31" t="str">
        <f aca="false">IF(C977="","",IF(LEN(UPPER(SUBSTITUTE(SUBSTITUTE(SUBSTITUTE(SUBSTITUTE(TRIM(C977),".",""),"/",""),"-","")," ","")))&lt;14,RIGHT(REPT("0",14)&amp;UPPER(SUBSTITUTE(SUBSTITUTE(SUBSTITUTE(SUBSTITUTE(TRIM(C977),".",""),"/",""),"-","")," ","")),14),UPPER(SUBSTITUTE(SUBSTITUTE(SUBSTITUTE(SUBSTITUTE(TRIM(C977),".",""),"/",""),"-","")," ",""))))</f>
        <v/>
      </c>
      <c r="E977" s="25" t="str">
        <f aca="false">IF(D977="","",IFERROR(INDEX(Empresas!$C:$C,MATCH(D977,Empresas!$B:$B,0)),"cadastre o CNPJ em Empresas"))</f>
        <v/>
      </c>
      <c r="F977" s="11"/>
      <c r="G977" s="23"/>
      <c r="H977" s="22"/>
      <c r="I977" s="35"/>
      <c r="J977" s="35"/>
      <c r="K977" s="36" t="str">
        <f aca="false">IF(I977="","",I977+J977)</f>
        <v/>
      </c>
      <c r="L977" s="37" t="str">
        <f aca="false">IF(OR(I977="",I977=0,J977=""),"",J977/I977)</f>
        <v/>
      </c>
      <c r="M977" s="25" t="str">
        <f aca="false">IF(L977="","",IF(L977&gt;0.25,"ACRÉSCIMO ACIMA DE 25% — conferir",""))</f>
        <v/>
      </c>
      <c r="N977" s="29" t="str">
        <f aca="false">IF(D977="","",IF(COUNTIFS(Empresas!$B:$B,D977,Empresas!$E:$E,"&lt;&gt;")=0,"",INDEX(Empresas!$E:$E,MATCH(D977,Empresas!$B:$B,0))))</f>
        <v/>
      </c>
      <c r="O977" s="27" t="str">
        <f aca="false">IF(OR(N977="",H977=""),"",H977-N977)</f>
        <v/>
      </c>
      <c r="P977" s="25" t="str">
        <f aca="false">IF(O977="","",IF(O977&lt;0,"CONTRATO ANTERIOR À ABERTURA — conferir datas",IF(O977&lt;180,"EMPRESA ABERTA MENOS DE 6 MESES ANTES","")))</f>
        <v/>
      </c>
      <c r="Q977" s="31" t="str">
        <f aca="false">IF(D977="","",IFERROR(INDEX(Sancoes!$D:$D,MATCH(D977,Sancoes!$C:$C,0)),"não consta"))</f>
        <v/>
      </c>
      <c r="R977" s="25" t="str">
        <f aca="false">IF(OR(D977="",H977=""),"",IF(SUMPRODUCT((Sancoes!$C$5:$C$304=D977)*(Sancoes!$G$5:$G$304&lt;=H977)*(((Sancoes!$H$5:$H$304="")+(Sancoes!$H$5:$H$304&gt;=H977))&gt;0))&gt;0,"SANÇÃO VIGENTE NA DATA — ler tipo e abrangência",""))</f>
        <v/>
      </c>
      <c r="S977" s="24"/>
      <c r="T977" s="11"/>
    </row>
    <row r="978" customFormat="false" ht="15" hidden="false" customHeight="false" outlineLevel="0" collapsed="false">
      <c r="A978" s="11"/>
      <c r="B978" s="24"/>
      <c r="C978" s="24"/>
      <c r="D978" s="31" t="str">
        <f aca="false">IF(C978="","",IF(LEN(UPPER(SUBSTITUTE(SUBSTITUTE(SUBSTITUTE(SUBSTITUTE(TRIM(C978),".",""),"/",""),"-","")," ","")))&lt;14,RIGHT(REPT("0",14)&amp;UPPER(SUBSTITUTE(SUBSTITUTE(SUBSTITUTE(SUBSTITUTE(TRIM(C978),".",""),"/",""),"-","")," ","")),14),UPPER(SUBSTITUTE(SUBSTITUTE(SUBSTITUTE(SUBSTITUTE(TRIM(C978),".",""),"/",""),"-","")," ",""))))</f>
        <v/>
      </c>
      <c r="E978" s="25" t="str">
        <f aca="false">IF(D978="","",IFERROR(INDEX(Empresas!$C:$C,MATCH(D978,Empresas!$B:$B,0)),"cadastre o CNPJ em Empresas"))</f>
        <v/>
      </c>
      <c r="F978" s="11"/>
      <c r="G978" s="23"/>
      <c r="H978" s="22"/>
      <c r="I978" s="35"/>
      <c r="J978" s="35"/>
      <c r="K978" s="36" t="str">
        <f aca="false">IF(I978="","",I978+J978)</f>
        <v/>
      </c>
      <c r="L978" s="37" t="str">
        <f aca="false">IF(OR(I978="",I978=0,J978=""),"",J978/I978)</f>
        <v/>
      </c>
      <c r="M978" s="25" t="str">
        <f aca="false">IF(L978="","",IF(L978&gt;0.25,"ACRÉSCIMO ACIMA DE 25% — conferir",""))</f>
        <v/>
      </c>
      <c r="N978" s="29" t="str">
        <f aca="false">IF(D978="","",IF(COUNTIFS(Empresas!$B:$B,D978,Empresas!$E:$E,"&lt;&gt;")=0,"",INDEX(Empresas!$E:$E,MATCH(D978,Empresas!$B:$B,0))))</f>
        <v/>
      </c>
      <c r="O978" s="27" t="str">
        <f aca="false">IF(OR(N978="",H978=""),"",H978-N978)</f>
        <v/>
      </c>
      <c r="P978" s="25" t="str">
        <f aca="false">IF(O978="","",IF(O978&lt;0,"CONTRATO ANTERIOR À ABERTURA — conferir datas",IF(O978&lt;180,"EMPRESA ABERTA MENOS DE 6 MESES ANTES","")))</f>
        <v/>
      </c>
      <c r="Q978" s="31" t="str">
        <f aca="false">IF(D978="","",IFERROR(INDEX(Sancoes!$D:$D,MATCH(D978,Sancoes!$C:$C,0)),"não consta"))</f>
        <v/>
      </c>
      <c r="R978" s="25" t="str">
        <f aca="false">IF(OR(D978="",H978=""),"",IF(SUMPRODUCT((Sancoes!$C$5:$C$304=D978)*(Sancoes!$G$5:$G$304&lt;=H978)*(((Sancoes!$H$5:$H$304="")+(Sancoes!$H$5:$H$304&gt;=H978))&gt;0))&gt;0,"SANÇÃO VIGENTE NA DATA — ler tipo e abrangência",""))</f>
        <v/>
      </c>
      <c r="S978" s="24"/>
      <c r="T978" s="11"/>
    </row>
    <row r="979" customFormat="false" ht="15" hidden="false" customHeight="false" outlineLevel="0" collapsed="false">
      <c r="A979" s="11"/>
      <c r="B979" s="24"/>
      <c r="C979" s="24"/>
      <c r="D979" s="31" t="str">
        <f aca="false">IF(C979="","",IF(LEN(UPPER(SUBSTITUTE(SUBSTITUTE(SUBSTITUTE(SUBSTITUTE(TRIM(C979),".",""),"/",""),"-","")," ","")))&lt;14,RIGHT(REPT("0",14)&amp;UPPER(SUBSTITUTE(SUBSTITUTE(SUBSTITUTE(SUBSTITUTE(TRIM(C979),".",""),"/",""),"-","")," ","")),14),UPPER(SUBSTITUTE(SUBSTITUTE(SUBSTITUTE(SUBSTITUTE(TRIM(C979),".",""),"/",""),"-","")," ",""))))</f>
        <v/>
      </c>
      <c r="E979" s="25" t="str">
        <f aca="false">IF(D979="","",IFERROR(INDEX(Empresas!$C:$C,MATCH(D979,Empresas!$B:$B,0)),"cadastre o CNPJ em Empresas"))</f>
        <v/>
      </c>
      <c r="F979" s="11"/>
      <c r="G979" s="23"/>
      <c r="H979" s="22"/>
      <c r="I979" s="35"/>
      <c r="J979" s="35"/>
      <c r="K979" s="36" t="str">
        <f aca="false">IF(I979="","",I979+J979)</f>
        <v/>
      </c>
      <c r="L979" s="37" t="str">
        <f aca="false">IF(OR(I979="",I979=0,J979=""),"",J979/I979)</f>
        <v/>
      </c>
      <c r="M979" s="25" t="str">
        <f aca="false">IF(L979="","",IF(L979&gt;0.25,"ACRÉSCIMO ACIMA DE 25% — conferir",""))</f>
        <v/>
      </c>
      <c r="N979" s="29" t="str">
        <f aca="false">IF(D979="","",IF(COUNTIFS(Empresas!$B:$B,D979,Empresas!$E:$E,"&lt;&gt;")=0,"",INDEX(Empresas!$E:$E,MATCH(D979,Empresas!$B:$B,0))))</f>
        <v/>
      </c>
      <c r="O979" s="27" t="str">
        <f aca="false">IF(OR(N979="",H979=""),"",H979-N979)</f>
        <v/>
      </c>
      <c r="P979" s="25" t="str">
        <f aca="false">IF(O979="","",IF(O979&lt;0,"CONTRATO ANTERIOR À ABERTURA — conferir datas",IF(O979&lt;180,"EMPRESA ABERTA MENOS DE 6 MESES ANTES","")))</f>
        <v/>
      </c>
      <c r="Q979" s="31" t="str">
        <f aca="false">IF(D979="","",IFERROR(INDEX(Sancoes!$D:$D,MATCH(D979,Sancoes!$C:$C,0)),"não consta"))</f>
        <v/>
      </c>
      <c r="R979" s="25" t="str">
        <f aca="false">IF(OR(D979="",H979=""),"",IF(SUMPRODUCT((Sancoes!$C$5:$C$304=D979)*(Sancoes!$G$5:$G$304&lt;=H979)*(((Sancoes!$H$5:$H$304="")+(Sancoes!$H$5:$H$304&gt;=H979))&gt;0))&gt;0,"SANÇÃO VIGENTE NA DATA — ler tipo e abrangência",""))</f>
        <v/>
      </c>
      <c r="S979" s="24"/>
      <c r="T979" s="11"/>
    </row>
    <row r="980" customFormat="false" ht="15" hidden="false" customHeight="false" outlineLevel="0" collapsed="false">
      <c r="A980" s="11"/>
      <c r="B980" s="24"/>
      <c r="C980" s="24"/>
      <c r="D980" s="31" t="str">
        <f aca="false">IF(C980="","",IF(LEN(UPPER(SUBSTITUTE(SUBSTITUTE(SUBSTITUTE(SUBSTITUTE(TRIM(C980),".",""),"/",""),"-","")," ","")))&lt;14,RIGHT(REPT("0",14)&amp;UPPER(SUBSTITUTE(SUBSTITUTE(SUBSTITUTE(SUBSTITUTE(TRIM(C980),".",""),"/",""),"-","")," ","")),14),UPPER(SUBSTITUTE(SUBSTITUTE(SUBSTITUTE(SUBSTITUTE(TRIM(C980),".",""),"/",""),"-","")," ",""))))</f>
        <v/>
      </c>
      <c r="E980" s="25" t="str">
        <f aca="false">IF(D980="","",IFERROR(INDEX(Empresas!$C:$C,MATCH(D980,Empresas!$B:$B,0)),"cadastre o CNPJ em Empresas"))</f>
        <v/>
      </c>
      <c r="F980" s="11"/>
      <c r="G980" s="23"/>
      <c r="H980" s="22"/>
      <c r="I980" s="35"/>
      <c r="J980" s="35"/>
      <c r="K980" s="36" t="str">
        <f aca="false">IF(I980="","",I980+J980)</f>
        <v/>
      </c>
      <c r="L980" s="37" t="str">
        <f aca="false">IF(OR(I980="",I980=0,J980=""),"",J980/I980)</f>
        <v/>
      </c>
      <c r="M980" s="25" t="str">
        <f aca="false">IF(L980="","",IF(L980&gt;0.25,"ACRÉSCIMO ACIMA DE 25% — conferir",""))</f>
        <v/>
      </c>
      <c r="N980" s="29" t="str">
        <f aca="false">IF(D980="","",IF(COUNTIFS(Empresas!$B:$B,D980,Empresas!$E:$E,"&lt;&gt;")=0,"",INDEX(Empresas!$E:$E,MATCH(D980,Empresas!$B:$B,0))))</f>
        <v/>
      </c>
      <c r="O980" s="27" t="str">
        <f aca="false">IF(OR(N980="",H980=""),"",H980-N980)</f>
        <v/>
      </c>
      <c r="P980" s="25" t="str">
        <f aca="false">IF(O980="","",IF(O980&lt;0,"CONTRATO ANTERIOR À ABERTURA — conferir datas",IF(O980&lt;180,"EMPRESA ABERTA MENOS DE 6 MESES ANTES","")))</f>
        <v/>
      </c>
      <c r="Q980" s="31" t="str">
        <f aca="false">IF(D980="","",IFERROR(INDEX(Sancoes!$D:$D,MATCH(D980,Sancoes!$C:$C,0)),"não consta"))</f>
        <v/>
      </c>
      <c r="R980" s="25" t="str">
        <f aca="false">IF(OR(D980="",H980=""),"",IF(SUMPRODUCT((Sancoes!$C$5:$C$304=D980)*(Sancoes!$G$5:$G$304&lt;=H980)*(((Sancoes!$H$5:$H$304="")+(Sancoes!$H$5:$H$304&gt;=H980))&gt;0))&gt;0,"SANÇÃO VIGENTE NA DATA — ler tipo e abrangência",""))</f>
        <v/>
      </c>
      <c r="S980" s="24"/>
      <c r="T980" s="11"/>
    </row>
    <row r="981" customFormat="false" ht="15" hidden="false" customHeight="false" outlineLevel="0" collapsed="false">
      <c r="A981" s="11"/>
      <c r="B981" s="24"/>
      <c r="C981" s="24"/>
      <c r="D981" s="31" t="str">
        <f aca="false">IF(C981="","",IF(LEN(UPPER(SUBSTITUTE(SUBSTITUTE(SUBSTITUTE(SUBSTITUTE(TRIM(C981),".",""),"/",""),"-","")," ","")))&lt;14,RIGHT(REPT("0",14)&amp;UPPER(SUBSTITUTE(SUBSTITUTE(SUBSTITUTE(SUBSTITUTE(TRIM(C981),".",""),"/",""),"-","")," ","")),14),UPPER(SUBSTITUTE(SUBSTITUTE(SUBSTITUTE(SUBSTITUTE(TRIM(C981),".",""),"/",""),"-","")," ",""))))</f>
        <v/>
      </c>
      <c r="E981" s="25" t="str">
        <f aca="false">IF(D981="","",IFERROR(INDEX(Empresas!$C:$C,MATCH(D981,Empresas!$B:$B,0)),"cadastre o CNPJ em Empresas"))</f>
        <v/>
      </c>
      <c r="F981" s="11"/>
      <c r="G981" s="23"/>
      <c r="H981" s="22"/>
      <c r="I981" s="35"/>
      <c r="J981" s="35"/>
      <c r="K981" s="36" t="str">
        <f aca="false">IF(I981="","",I981+J981)</f>
        <v/>
      </c>
      <c r="L981" s="37" t="str">
        <f aca="false">IF(OR(I981="",I981=0,J981=""),"",J981/I981)</f>
        <v/>
      </c>
      <c r="M981" s="25" t="str">
        <f aca="false">IF(L981="","",IF(L981&gt;0.25,"ACRÉSCIMO ACIMA DE 25% — conferir",""))</f>
        <v/>
      </c>
      <c r="N981" s="29" t="str">
        <f aca="false">IF(D981="","",IF(COUNTIFS(Empresas!$B:$B,D981,Empresas!$E:$E,"&lt;&gt;")=0,"",INDEX(Empresas!$E:$E,MATCH(D981,Empresas!$B:$B,0))))</f>
        <v/>
      </c>
      <c r="O981" s="27" t="str">
        <f aca="false">IF(OR(N981="",H981=""),"",H981-N981)</f>
        <v/>
      </c>
      <c r="P981" s="25" t="str">
        <f aca="false">IF(O981="","",IF(O981&lt;0,"CONTRATO ANTERIOR À ABERTURA — conferir datas",IF(O981&lt;180,"EMPRESA ABERTA MENOS DE 6 MESES ANTES","")))</f>
        <v/>
      </c>
      <c r="Q981" s="31" t="str">
        <f aca="false">IF(D981="","",IFERROR(INDEX(Sancoes!$D:$D,MATCH(D981,Sancoes!$C:$C,0)),"não consta"))</f>
        <v/>
      </c>
      <c r="R981" s="25" t="str">
        <f aca="false">IF(OR(D981="",H981=""),"",IF(SUMPRODUCT((Sancoes!$C$5:$C$304=D981)*(Sancoes!$G$5:$G$304&lt;=H981)*(((Sancoes!$H$5:$H$304="")+(Sancoes!$H$5:$H$304&gt;=H981))&gt;0))&gt;0,"SANÇÃO VIGENTE NA DATA — ler tipo e abrangência",""))</f>
        <v/>
      </c>
      <c r="S981" s="24"/>
      <c r="T981" s="11"/>
    </row>
    <row r="982" customFormat="false" ht="15" hidden="false" customHeight="false" outlineLevel="0" collapsed="false">
      <c r="A982" s="11"/>
      <c r="B982" s="24"/>
      <c r="C982" s="24"/>
      <c r="D982" s="31" t="str">
        <f aca="false">IF(C982="","",IF(LEN(UPPER(SUBSTITUTE(SUBSTITUTE(SUBSTITUTE(SUBSTITUTE(TRIM(C982),".",""),"/",""),"-","")," ","")))&lt;14,RIGHT(REPT("0",14)&amp;UPPER(SUBSTITUTE(SUBSTITUTE(SUBSTITUTE(SUBSTITUTE(TRIM(C982),".",""),"/",""),"-","")," ","")),14),UPPER(SUBSTITUTE(SUBSTITUTE(SUBSTITUTE(SUBSTITUTE(TRIM(C982),".",""),"/",""),"-","")," ",""))))</f>
        <v/>
      </c>
      <c r="E982" s="25" t="str">
        <f aca="false">IF(D982="","",IFERROR(INDEX(Empresas!$C:$C,MATCH(D982,Empresas!$B:$B,0)),"cadastre o CNPJ em Empresas"))</f>
        <v/>
      </c>
      <c r="F982" s="11"/>
      <c r="G982" s="23"/>
      <c r="H982" s="22"/>
      <c r="I982" s="35"/>
      <c r="J982" s="35"/>
      <c r="K982" s="36" t="str">
        <f aca="false">IF(I982="","",I982+J982)</f>
        <v/>
      </c>
      <c r="L982" s="37" t="str">
        <f aca="false">IF(OR(I982="",I982=0,J982=""),"",J982/I982)</f>
        <v/>
      </c>
      <c r="M982" s="25" t="str">
        <f aca="false">IF(L982="","",IF(L982&gt;0.25,"ACRÉSCIMO ACIMA DE 25% — conferir",""))</f>
        <v/>
      </c>
      <c r="N982" s="29" t="str">
        <f aca="false">IF(D982="","",IF(COUNTIFS(Empresas!$B:$B,D982,Empresas!$E:$E,"&lt;&gt;")=0,"",INDEX(Empresas!$E:$E,MATCH(D982,Empresas!$B:$B,0))))</f>
        <v/>
      </c>
      <c r="O982" s="27" t="str">
        <f aca="false">IF(OR(N982="",H982=""),"",H982-N982)</f>
        <v/>
      </c>
      <c r="P982" s="25" t="str">
        <f aca="false">IF(O982="","",IF(O982&lt;0,"CONTRATO ANTERIOR À ABERTURA — conferir datas",IF(O982&lt;180,"EMPRESA ABERTA MENOS DE 6 MESES ANTES","")))</f>
        <v/>
      </c>
      <c r="Q982" s="31" t="str">
        <f aca="false">IF(D982="","",IFERROR(INDEX(Sancoes!$D:$D,MATCH(D982,Sancoes!$C:$C,0)),"não consta"))</f>
        <v/>
      </c>
      <c r="R982" s="25" t="str">
        <f aca="false">IF(OR(D982="",H982=""),"",IF(SUMPRODUCT((Sancoes!$C$5:$C$304=D982)*(Sancoes!$G$5:$G$304&lt;=H982)*(((Sancoes!$H$5:$H$304="")+(Sancoes!$H$5:$H$304&gt;=H982))&gt;0))&gt;0,"SANÇÃO VIGENTE NA DATA — ler tipo e abrangência",""))</f>
        <v/>
      </c>
      <c r="S982" s="24"/>
      <c r="T982" s="11"/>
    </row>
    <row r="983" customFormat="false" ht="15" hidden="false" customHeight="false" outlineLevel="0" collapsed="false">
      <c r="A983" s="11"/>
      <c r="B983" s="24"/>
      <c r="C983" s="24"/>
      <c r="D983" s="31" t="str">
        <f aca="false">IF(C983="","",IF(LEN(UPPER(SUBSTITUTE(SUBSTITUTE(SUBSTITUTE(SUBSTITUTE(TRIM(C983),".",""),"/",""),"-","")," ","")))&lt;14,RIGHT(REPT("0",14)&amp;UPPER(SUBSTITUTE(SUBSTITUTE(SUBSTITUTE(SUBSTITUTE(TRIM(C983),".",""),"/",""),"-","")," ","")),14),UPPER(SUBSTITUTE(SUBSTITUTE(SUBSTITUTE(SUBSTITUTE(TRIM(C983),".",""),"/",""),"-","")," ",""))))</f>
        <v/>
      </c>
      <c r="E983" s="25" t="str">
        <f aca="false">IF(D983="","",IFERROR(INDEX(Empresas!$C:$C,MATCH(D983,Empresas!$B:$B,0)),"cadastre o CNPJ em Empresas"))</f>
        <v/>
      </c>
      <c r="F983" s="11"/>
      <c r="G983" s="23"/>
      <c r="H983" s="22"/>
      <c r="I983" s="35"/>
      <c r="J983" s="35"/>
      <c r="K983" s="36" t="str">
        <f aca="false">IF(I983="","",I983+J983)</f>
        <v/>
      </c>
      <c r="L983" s="37" t="str">
        <f aca="false">IF(OR(I983="",I983=0,J983=""),"",J983/I983)</f>
        <v/>
      </c>
      <c r="M983" s="25" t="str">
        <f aca="false">IF(L983="","",IF(L983&gt;0.25,"ACRÉSCIMO ACIMA DE 25% — conferir",""))</f>
        <v/>
      </c>
      <c r="N983" s="29" t="str">
        <f aca="false">IF(D983="","",IF(COUNTIFS(Empresas!$B:$B,D983,Empresas!$E:$E,"&lt;&gt;")=0,"",INDEX(Empresas!$E:$E,MATCH(D983,Empresas!$B:$B,0))))</f>
        <v/>
      </c>
      <c r="O983" s="27" t="str">
        <f aca="false">IF(OR(N983="",H983=""),"",H983-N983)</f>
        <v/>
      </c>
      <c r="P983" s="25" t="str">
        <f aca="false">IF(O983="","",IF(O983&lt;0,"CONTRATO ANTERIOR À ABERTURA — conferir datas",IF(O983&lt;180,"EMPRESA ABERTA MENOS DE 6 MESES ANTES","")))</f>
        <v/>
      </c>
      <c r="Q983" s="31" t="str">
        <f aca="false">IF(D983="","",IFERROR(INDEX(Sancoes!$D:$D,MATCH(D983,Sancoes!$C:$C,0)),"não consta"))</f>
        <v/>
      </c>
      <c r="R983" s="25" t="str">
        <f aca="false">IF(OR(D983="",H983=""),"",IF(SUMPRODUCT((Sancoes!$C$5:$C$304=D983)*(Sancoes!$G$5:$G$304&lt;=H983)*(((Sancoes!$H$5:$H$304="")+(Sancoes!$H$5:$H$304&gt;=H983))&gt;0))&gt;0,"SANÇÃO VIGENTE NA DATA — ler tipo e abrangência",""))</f>
        <v/>
      </c>
      <c r="S983" s="24"/>
      <c r="T983" s="11"/>
    </row>
    <row r="984" customFormat="false" ht="15" hidden="false" customHeight="false" outlineLevel="0" collapsed="false">
      <c r="A984" s="11"/>
      <c r="B984" s="24"/>
      <c r="C984" s="24"/>
      <c r="D984" s="31" t="str">
        <f aca="false">IF(C984="","",IF(LEN(UPPER(SUBSTITUTE(SUBSTITUTE(SUBSTITUTE(SUBSTITUTE(TRIM(C984),".",""),"/",""),"-","")," ","")))&lt;14,RIGHT(REPT("0",14)&amp;UPPER(SUBSTITUTE(SUBSTITUTE(SUBSTITUTE(SUBSTITUTE(TRIM(C984),".",""),"/",""),"-","")," ","")),14),UPPER(SUBSTITUTE(SUBSTITUTE(SUBSTITUTE(SUBSTITUTE(TRIM(C984),".",""),"/",""),"-","")," ",""))))</f>
        <v/>
      </c>
      <c r="E984" s="25" t="str">
        <f aca="false">IF(D984="","",IFERROR(INDEX(Empresas!$C:$C,MATCH(D984,Empresas!$B:$B,0)),"cadastre o CNPJ em Empresas"))</f>
        <v/>
      </c>
      <c r="F984" s="11"/>
      <c r="G984" s="23"/>
      <c r="H984" s="22"/>
      <c r="I984" s="35"/>
      <c r="J984" s="35"/>
      <c r="K984" s="36" t="str">
        <f aca="false">IF(I984="","",I984+J984)</f>
        <v/>
      </c>
      <c r="L984" s="37" t="str">
        <f aca="false">IF(OR(I984="",I984=0,J984=""),"",J984/I984)</f>
        <v/>
      </c>
      <c r="M984" s="25" t="str">
        <f aca="false">IF(L984="","",IF(L984&gt;0.25,"ACRÉSCIMO ACIMA DE 25% — conferir",""))</f>
        <v/>
      </c>
      <c r="N984" s="29" t="str">
        <f aca="false">IF(D984="","",IF(COUNTIFS(Empresas!$B:$B,D984,Empresas!$E:$E,"&lt;&gt;")=0,"",INDEX(Empresas!$E:$E,MATCH(D984,Empresas!$B:$B,0))))</f>
        <v/>
      </c>
      <c r="O984" s="27" t="str">
        <f aca="false">IF(OR(N984="",H984=""),"",H984-N984)</f>
        <v/>
      </c>
      <c r="P984" s="25" t="str">
        <f aca="false">IF(O984="","",IF(O984&lt;0,"CONTRATO ANTERIOR À ABERTURA — conferir datas",IF(O984&lt;180,"EMPRESA ABERTA MENOS DE 6 MESES ANTES","")))</f>
        <v/>
      </c>
      <c r="Q984" s="31" t="str">
        <f aca="false">IF(D984="","",IFERROR(INDEX(Sancoes!$D:$D,MATCH(D984,Sancoes!$C:$C,0)),"não consta"))</f>
        <v/>
      </c>
      <c r="R984" s="25" t="str">
        <f aca="false">IF(OR(D984="",H984=""),"",IF(SUMPRODUCT((Sancoes!$C$5:$C$304=D984)*(Sancoes!$G$5:$G$304&lt;=H984)*(((Sancoes!$H$5:$H$304="")+(Sancoes!$H$5:$H$304&gt;=H984))&gt;0))&gt;0,"SANÇÃO VIGENTE NA DATA — ler tipo e abrangência",""))</f>
        <v/>
      </c>
      <c r="S984" s="24"/>
      <c r="T984" s="11"/>
    </row>
    <row r="985" customFormat="false" ht="15" hidden="false" customHeight="false" outlineLevel="0" collapsed="false">
      <c r="A985" s="11"/>
      <c r="B985" s="24"/>
      <c r="C985" s="24"/>
      <c r="D985" s="31" t="str">
        <f aca="false">IF(C985="","",IF(LEN(UPPER(SUBSTITUTE(SUBSTITUTE(SUBSTITUTE(SUBSTITUTE(TRIM(C985),".",""),"/",""),"-","")," ","")))&lt;14,RIGHT(REPT("0",14)&amp;UPPER(SUBSTITUTE(SUBSTITUTE(SUBSTITUTE(SUBSTITUTE(TRIM(C985),".",""),"/",""),"-","")," ","")),14),UPPER(SUBSTITUTE(SUBSTITUTE(SUBSTITUTE(SUBSTITUTE(TRIM(C985),".",""),"/",""),"-","")," ",""))))</f>
        <v/>
      </c>
      <c r="E985" s="25" t="str">
        <f aca="false">IF(D985="","",IFERROR(INDEX(Empresas!$C:$C,MATCH(D985,Empresas!$B:$B,0)),"cadastre o CNPJ em Empresas"))</f>
        <v/>
      </c>
      <c r="F985" s="11"/>
      <c r="G985" s="23"/>
      <c r="H985" s="22"/>
      <c r="I985" s="35"/>
      <c r="J985" s="35"/>
      <c r="K985" s="36" t="str">
        <f aca="false">IF(I985="","",I985+J985)</f>
        <v/>
      </c>
      <c r="L985" s="37" t="str">
        <f aca="false">IF(OR(I985="",I985=0,J985=""),"",J985/I985)</f>
        <v/>
      </c>
      <c r="M985" s="25" t="str">
        <f aca="false">IF(L985="","",IF(L985&gt;0.25,"ACRÉSCIMO ACIMA DE 25% — conferir",""))</f>
        <v/>
      </c>
      <c r="N985" s="29" t="str">
        <f aca="false">IF(D985="","",IF(COUNTIFS(Empresas!$B:$B,D985,Empresas!$E:$E,"&lt;&gt;")=0,"",INDEX(Empresas!$E:$E,MATCH(D985,Empresas!$B:$B,0))))</f>
        <v/>
      </c>
      <c r="O985" s="27" t="str">
        <f aca="false">IF(OR(N985="",H985=""),"",H985-N985)</f>
        <v/>
      </c>
      <c r="P985" s="25" t="str">
        <f aca="false">IF(O985="","",IF(O985&lt;0,"CONTRATO ANTERIOR À ABERTURA — conferir datas",IF(O985&lt;180,"EMPRESA ABERTA MENOS DE 6 MESES ANTES","")))</f>
        <v/>
      </c>
      <c r="Q985" s="31" t="str">
        <f aca="false">IF(D985="","",IFERROR(INDEX(Sancoes!$D:$D,MATCH(D985,Sancoes!$C:$C,0)),"não consta"))</f>
        <v/>
      </c>
      <c r="R985" s="25" t="str">
        <f aca="false">IF(OR(D985="",H985=""),"",IF(SUMPRODUCT((Sancoes!$C$5:$C$304=D985)*(Sancoes!$G$5:$G$304&lt;=H985)*(((Sancoes!$H$5:$H$304="")+(Sancoes!$H$5:$H$304&gt;=H985))&gt;0))&gt;0,"SANÇÃO VIGENTE NA DATA — ler tipo e abrangência",""))</f>
        <v/>
      </c>
      <c r="S985" s="24"/>
      <c r="T985" s="11"/>
    </row>
    <row r="986" customFormat="false" ht="15" hidden="false" customHeight="false" outlineLevel="0" collapsed="false">
      <c r="A986" s="11"/>
      <c r="B986" s="24"/>
      <c r="C986" s="24"/>
      <c r="D986" s="31" t="str">
        <f aca="false">IF(C986="","",IF(LEN(UPPER(SUBSTITUTE(SUBSTITUTE(SUBSTITUTE(SUBSTITUTE(TRIM(C986),".",""),"/",""),"-","")," ","")))&lt;14,RIGHT(REPT("0",14)&amp;UPPER(SUBSTITUTE(SUBSTITUTE(SUBSTITUTE(SUBSTITUTE(TRIM(C986),".",""),"/",""),"-","")," ","")),14),UPPER(SUBSTITUTE(SUBSTITUTE(SUBSTITUTE(SUBSTITUTE(TRIM(C986),".",""),"/",""),"-","")," ",""))))</f>
        <v/>
      </c>
      <c r="E986" s="25" t="str">
        <f aca="false">IF(D986="","",IFERROR(INDEX(Empresas!$C:$C,MATCH(D986,Empresas!$B:$B,0)),"cadastre o CNPJ em Empresas"))</f>
        <v/>
      </c>
      <c r="F986" s="11"/>
      <c r="G986" s="23"/>
      <c r="H986" s="22"/>
      <c r="I986" s="35"/>
      <c r="J986" s="35"/>
      <c r="K986" s="36" t="str">
        <f aca="false">IF(I986="","",I986+J986)</f>
        <v/>
      </c>
      <c r="L986" s="37" t="str">
        <f aca="false">IF(OR(I986="",I986=0,J986=""),"",J986/I986)</f>
        <v/>
      </c>
      <c r="M986" s="25" t="str">
        <f aca="false">IF(L986="","",IF(L986&gt;0.25,"ACRÉSCIMO ACIMA DE 25% — conferir",""))</f>
        <v/>
      </c>
      <c r="N986" s="29" t="str">
        <f aca="false">IF(D986="","",IF(COUNTIFS(Empresas!$B:$B,D986,Empresas!$E:$E,"&lt;&gt;")=0,"",INDEX(Empresas!$E:$E,MATCH(D986,Empresas!$B:$B,0))))</f>
        <v/>
      </c>
      <c r="O986" s="27" t="str">
        <f aca="false">IF(OR(N986="",H986=""),"",H986-N986)</f>
        <v/>
      </c>
      <c r="P986" s="25" t="str">
        <f aca="false">IF(O986="","",IF(O986&lt;0,"CONTRATO ANTERIOR À ABERTURA — conferir datas",IF(O986&lt;180,"EMPRESA ABERTA MENOS DE 6 MESES ANTES","")))</f>
        <v/>
      </c>
      <c r="Q986" s="31" t="str">
        <f aca="false">IF(D986="","",IFERROR(INDEX(Sancoes!$D:$D,MATCH(D986,Sancoes!$C:$C,0)),"não consta"))</f>
        <v/>
      </c>
      <c r="R986" s="25" t="str">
        <f aca="false">IF(OR(D986="",H986=""),"",IF(SUMPRODUCT((Sancoes!$C$5:$C$304=D986)*(Sancoes!$G$5:$G$304&lt;=H986)*(((Sancoes!$H$5:$H$304="")+(Sancoes!$H$5:$H$304&gt;=H986))&gt;0))&gt;0,"SANÇÃO VIGENTE NA DATA — ler tipo e abrangência",""))</f>
        <v/>
      </c>
      <c r="S986" s="24"/>
      <c r="T986" s="11"/>
    </row>
    <row r="987" customFormat="false" ht="15" hidden="false" customHeight="false" outlineLevel="0" collapsed="false">
      <c r="A987" s="11"/>
      <c r="B987" s="24"/>
      <c r="C987" s="24"/>
      <c r="D987" s="31" t="str">
        <f aca="false">IF(C987="","",IF(LEN(UPPER(SUBSTITUTE(SUBSTITUTE(SUBSTITUTE(SUBSTITUTE(TRIM(C987),".",""),"/",""),"-","")," ","")))&lt;14,RIGHT(REPT("0",14)&amp;UPPER(SUBSTITUTE(SUBSTITUTE(SUBSTITUTE(SUBSTITUTE(TRIM(C987),".",""),"/",""),"-","")," ","")),14),UPPER(SUBSTITUTE(SUBSTITUTE(SUBSTITUTE(SUBSTITUTE(TRIM(C987),".",""),"/",""),"-","")," ",""))))</f>
        <v/>
      </c>
      <c r="E987" s="25" t="str">
        <f aca="false">IF(D987="","",IFERROR(INDEX(Empresas!$C:$C,MATCH(D987,Empresas!$B:$B,0)),"cadastre o CNPJ em Empresas"))</f>
        <v/>
      </c>
      <c r="F987" s="11"/>
      <c r="G987" s="23"/>
      <c r="H987" s="22"/>
      <c r="I987" s="35"/>
      <c r="J987" s="35"/>
      <c r="K987" s="36" t="str">
        <f aca="false">IF(I987="","",I987+J987)</f>
        <v/>
      </c>
      <c r="L987" s="37" t="str">
        <f aca="false">IF(OR(I987="",I987=0,J987=""),"",J987/I987)</f>
        <v/>
      </c>
      <c r="M987" s="25" t="str">
        <f aca="false">IF(L987="","",IF(L987&gt;0.25,"ACRÉSCIMO ACIMA DE 25% — conferir",""))</f>
        <v/>
      </c>
      <c r="N987" s="29" t="str">
        <f aca="false">IF(D987="","",IF(COUNTIFS(Empresas!$B:$B,D987,Empresas!$E:$E,"&lt;&gt;")=0,"",INDEX(Empresas!$E:$E,MATCH(D987,Empresas!$B:$B,0))))</f>
        <v/>
      </c>
      <c r="O987" s="27" t="str">
        <f aca="false">IF(OR(N987="",H987=""),"",H987-N987)</f>
        <v/>
      </c>
      <c r="P987" s="25" t="str">
        <f aca="false">IF(O987="","",IF(O987&lt;0,"CONTRATO ANTERIOR À ABERTURA — conferir datas",IF(O987&lt;180,"EMPRESA ABERTA MENOS DE 6 MESES ANTES","")))</f>
        <v/>
      </c>
      <c r="Q987" s="31" t="str">
        <f aca="false">IF(D987="","",IFERROR(INDEX(Sancoes!$D:$D,MATCH(D987,Sancoes!$C:$C,0)),"não consta"))</f>
        <v/>
      </c>
      <c r="R987" s="25" t="str">
        <f aca="false">IF(OR(D987="",H987=""),"",IF(SUMPRODUCT((Sancoes!$C$5:$C$304=D987)*(Sancoes!$G$5:$G$304&lt;=H987)*(((Sancoes!$H$5:$H$304="")+(Sancoes!$H$5:$H$304&gt;=H987))&gt;0))&gt;0,"SANÇÃO VIGENTE NA DATA — ler tipo e abrangência",""))</f>
        <v/>
      </c>
      <c r="S987" s="24"/>
      <c r="T987" s="11"/>
    </row>
    <row r="988" customFormat="false" ht="15" hidden="false" customHeight="false" outlineLevel="0" collapsed="false">
      <c r="A988" s="11"/>
      <c r="B988" s="24"/>
      <c r="C988" s="24"/>
      <c r="D988" s="31" t="str">
        <f aca="false">IF(C988="","",IF(LEN(UPPER(SUBSTITUTE(SUBSTITUTE(SUBSTITUTE(SUBSTITUTE(TRIM(C988),".",""),"/",""),"-","")," ","")))&lt;14,RIGHT(REPT("0",14)&amp;UPPER(SUBSTITUTE(SUBSTITUTE(SUBSTITUTE(SUBSTITUTE(TRIM(C988),".",""),"/",""),"-","")," ","")),14),UPPER(SUBSTITUTE(SUBSTITUTE(SUBSTITUTE(SUBSTITUTE(TRIM(C988),".",""),"/",""),"-","")," ",""))))</f>
        <v/>
      </c>
      <c r="E988" s="25" t="str">
        <f aca="false">IF(D988="","",IFERROR(INDEX(Empresas!$C:$C,MATCH(D988,Empresas!$B:$B,0)),"cadastre o CNPJ em Empresas"))</f>
        <v/>
      </c>
      <c r="F988" s="11"/>
      <c r="G988" s="23"/>
      <c r="H988" s="22"/>
      <c r="I988" s="35"/>
      <c r="J988" s="35"/>
      <c r="K988" s="36" t="str">
        <f aca="false">IF(I988="","",I988+J988)</f>
        <v/>
      </c>
      <c r="L988" s="37" t="str">
        <f aca="false">IF(OR(I988="",I988=0,J988=""),"",J988/I988)</f>
        <v/>
      </c>
      <c r="M988" s="25" t="str">
        <f aca="false">IF(L988="","",IF(L988&gt;0.25,"ACRÉSCIMO ACIMA DE 25% — conferir",""))</f>
        <v/>
      </c>
      <c r="N988" s="29" t="str">
        <f aca="false">IF(D988="","",IF(COUNTIFS(Empresas!$B:$B,D988,Empresas!$E:$E,"&lt;&gt;")=0,"",INDEX(Empresas!$E:$E,MATCH(D988,Empresas!$B:$B,0))))</f>
        <v/>
      </c>
      <c r="O988" s="27" t="str">
        <f aca="false">IF(OR(N988="",H988=""),"",H988-N988)</f>
        <v/>
      </c>
      <c r="P988" s="25" t="str">
        <f aca="false">IF(O988="","",IF(O988&lt;0,"CONTRATO ANTERIOR À ABERTURA — conferir datas",IF(O988&lt;180,"EMPRESA ABERTA MENOS DE 6 MESES ANTES","")))</f>
        <v/>
      </c>
      <c r="Q988" s="31" t="str">
        <f aca="false">IF(D988="","",IFERROR(INDEX(Sancoes!$D:$D,MATCH(D988,Sancoes!$C:$C,0)),"não consta"))</f>
        <v/>
      </c>
      <c r="R988" s="25" t="str">
        <f aca="false">IF(OR(D988="",H988=""),"",IF(SUMPRODUCT((Sancoes!$C$5:$C$304=D988)*(Sancoes!$G$5:$G$304&lt;=H988)*(((Sancoes!$H$5:$H$304="")+(Sancoes!$H$5:$H$304&gt;=H988))&gt;0))&gt;0,"SANÇÃO VIGENTE NA DATA — ler tipo e abrangência",""))</f>
        <v/>
      </c>
      <c r="S988" s="24"/>
      <c r="T988" s="11"/>
    </row>
    <row r="989" customFormat="false" ht="15" hidden="false" customHeight="false" outlineLevel="0" collapsed="false">
      <c r="A989" s="11"/>
      <c r="B989" s="24"/>
      <c r="C989" s="24"/>
      <c r="D989" s="31" t="str">
        <f aca="false">IF(C989="","",IF(LEN(UPPER(SUBSTITUTE(SUBSTITUTE(SUBSTITUTE(SUBSTITUTE(TRIM(C989),".",""),"/",""),"-","")," ","")))&lt;14,RIGHT(REPT("0",14)&amp;UPPER(SUBSTITUTE(SUBSTITUTE(SUBSTITUTE(SUBSTITUTE(TRIM(C989),".",""),"/",""),"-","")," ","")),14),UPPER(SUBSTITUTE(SUBSTITUTE(SUBSTITUTE(SUBSTITUTE(TRIM(C989),".",""),"/",""),"-","")," ",""))))</f>
        <v/>
      </c>
      <c r="E989" s="25" t="str">
        <f aca="false">IF(D989="","",IFERROR(INDEX(Empresas!$C:$C,MATCH(D989,Empresas!$B:$B,0)),"cadastre o CNPJ em Empresas"))</f>
        <v/>
      </c>
      <c r="F989" s="11"/>
      <c r="G989" s="23"/>
      <c r="H989" s="22"/>
      <c r="I989" s="35"/>
      <c r="J989" s="35"/>
      <c r="K989" s="36" t="str">
        <f aca="false">IF(I989="","",I989+J989)</f>
        <v/>
      </c>
      <c r="L989" s="37" t="str">
        <f aca="false">IF(OR(I989="",I989=0,J989=""),"",J989/I989)</f>
        <v/>
      </c>
      <c r="M989" s="25" t="str">
        <f aca="false">IF(L989="","",IF(L989&gt;0.25,"ACRÉSCIMO ACIMA DE 25% — conferir",""))</f>
        <v/>
      </c>
      <c r="N989" s="29" t="str">
        <f aca="false">IF(D989="","",IF(COUNTIFS(Empresas!$B:$B,D989,Empresas!$E:$E,"&lt;&gt;")=0,"",INDEX(Empresas!$E:$E,MATCH(D989,Empresas!$B:$B,0))))</f>
        <v/>
      </c>
      <c r="O989" s="27" t="str">
        <f aca="false">IF(OR(N989="",H989=""),"",H989-N989)</f>
        <v/>
      </c>
      <c r="P989" s="25" t="str">
        <f aca="false">IF(O989="","",IF(O989&lt;0,"CONTRATO ANTERIOR À ABERTURA — conferir datas",IF(O989&lt;180,"EMPRESA ABERTA MENOS DE 6 MESES ANTES","")))</f>
        <v/>
      </c>
      <c r="Q989" s="31" t="str">
        <f aca="false">IF(D989="","",IFERROR(INDEX(Sancoes!$D:$D,MATCH(D989,Sancoes!$C:$C,0)),"não consta"))</f>
        <v/>
      </c>
      <c r="R989" s="25" t="str">
        <f aca="false">IF(OR(D989="",H989=""),"",IF(SUMPRODUCT((Sancoes!$C$5:$C$304=D989)*(Sancoes!$G$5:$G$304&lt;=H989)*(((Sancoes!$H$5:$H$304="")+(Sancoes!$H$5:$H$304&gt;=H989))&gt;0))&gt;0,"SANÇÃO VIGENTE NA DATA — ler tipo e abrangência",""))</f>
        <v/>
      </c>
      <c r="S989" s="24"/>
      <c r="T989" s="11"/>
    </row>
    <row r="990" customFormat="false" ht="15" hidden="false" customHeight="false" outlineLevel="0" collapsed="false">
      <c r="A990" s="11"/>
      <c r="B990" s="24"/>
      <c r="C990" s="24"/>
      <c r="D990" s="31" t="str">
        <f aca="false">IF(C990="","",IF(LEN(UPPER(SUBSTITUTE(SUBSTITUTE(SUBSTITUTE(SUBSTITUTE(TRIM(C990),".",""),"/",""),"-","")," ","")))&lt;14,RIGHT(REPT("0",14)&amp;UPPER(SUBSTITUTE(SUBSTITUTE(SUBSTITUTE(SUBSTITUTE(TRIM(C990),".",""),"/",""),"-","")," ","")),14),UPPER(SUBSTITUTE(SUBSTITUTE(SUBSTITUTE(SUBSTITUTE(TRIM(C990),".",""),"/",""),"-","")," ",""))))</f>
        <v/>
      </c>
      <c r="E990" s="25" t="str">
        <f aca="false">IF(D990="","",IFERROR(INDEX(Empresas!$C:$C,MATCH(D990,Empresas!$B:$B,0)),"cadastre o CNPJ em Empresas"))</f>
        <v/>
      </c>
      <c r="F990" s="11"/>
      <c r="G990" s="23"/>
      <c r="H990" s="22"/>
      <c r="I990" s="35"/>
      <c r="J990" s="35"/>
      <c r="K990" s="36" t="str">
        <f aca="false">IF(I990="","",I990+J990)</f>
        <v/>
      </c>
      <c r="L990" s="37" t="str">
        <f aca="false">IF(OR(I990="",I990=0,J990=""),"",J990/I990)</f>
        <v/>
      </c>
      <c r="M990" s="25" t="str">
        <f aca="false">IF(L990="","",IF(L990&gt;0.25,"ACRÉSCIMO ACIMA DE 25% — conferir",""))</f>
        <v/>
      </c>
      <c r="N990" s="29" t="str">
        <f aca="false">IF(D990="","",IF(COUNTIFS(Empresas!$B:$B,D990,Empresas!$E:$E,"&lt;&gt;")=0,"",INDEX(Empresas!$E:$E,MATCH(D990,Empresas!$B:$B,0))))</f>
        <v/>
      </c>
      <c r="O990" s="27" t="str">
        <f aca="false">IF(OR(N990="",H990=""),"",H990-N990)</f>
        <v/>
      </c>
      <c r="P990" s="25" t="str">
        <f aca="false">IF(O990="","",IF(O990&lt;0,"CONTRATO ANTERIOR À ABERTURA — conferir datas",IF(O990&lt;180,"EMPRESA ABERTA MENOS DE 6 MESES ANTES","")))</f>
        <v/>
      </c>
      <c r="Q990" s="31" t="str">
        <f aca="false">IF(D990="","",IFERROR(INDEX(Sancoes!$D:$D,MATCH(D990,Sancoes!$C:$C,0)),"não consta"))</f>
        <v/>
      </c>
      <c r="R990" s="25" t="str">
        <f aca="false">IF(OR(D990="",H990=""),"",IF(SUMPRODUCT((Sancoes!$C$5:$C$304=D990)*(Sancoes!$G$5:$G$304&lt;=H990)*(((Sancoes!$H$5:$H$304="")+(Sancoes!$H$5:$H$304&gt;=H990))&gt;0))&gt;0,"SANÇÃO VIGENTE NA DATA — ler tipo e abrangência",""))</f>
        <v/>
      </c>
      <c r="S990" s="24"/>
      <c r="T990" s="11"/>
    </row>
    <row r="991" customFormat="false" ht="15" hidden="false" customHeight="false" outlineLevel="0" collapsed="false">
      <c r="A991" s="11"/>
      <c r="B991" s="24"/>
      <c r="C991" s="24"/>
      <c r="D991" s="31" t="str">
        <f aca="false">IF(C991="","",IF(LEN(UPPER(SUBSTITUTE(SUBSTITUTE(SUBSTITUTE(SUBSTITUTE(TRIM(C991),".",""),"/",""),"-","")," ","")))&lt;14,RIGHT(REPT("0",14)&amp;UPPER(SUBSTITUTE(SUBSTITUTE(SUBSTITUTE(SUBSTITUTE(TRIM(C991),".",""),"/",""),"-","")," ","")),14),UPPER(SUBSTITUTE(SUBSTITUTE(SUBSTITUTE(SUBSTITUTE(TRIM(C991),".",""),"/",""),"-","")," ",""))))</f>
        <v/>
      </c>
      <c r="E991" s="25" t="str">
        <f aca="false">IF(D991="","",IFERROR(INDEX(Empresas!$C:$C,MATCH(D991,Empresas!$B:$B,0)),"cadastre o CNPJ em Empresas"))</f>
        <v/>
      </c>
      <c r="F991" s="11"/>
      <c r="G991" s="23"/>
      <c r="H991" s="22"/>
      <c r="I991" s="35"/>
      <c r="J991" s="35"/>
      <c r="K991" s="36" t="str">
        <f aca="false">IF(I991="","",I991+J991)</f>
        <v/>
      </c>
      <c r="L991" s="37" t="str">
        <f aca="false">IF(OR(I991="",I991=0,J991=""),"",J991/I991)</f>
        <v/>
      </c>
      <c r="M991" s="25" t="str">
        <f aca="false">IF(L991="","",IF(L991&gt;0.25,"ACRÉSCIMO ACIMA DE 25% — conferir",""))</f>
        <v/>
      </c>
      <c r="N991" s="29" t="str">
        <f aca="false">IF(D991="","",IF(COUNTIFS(Empresas!$B:$B,D991,Empresas!$E:$E,"&lt;&gt;")=0,"",INDEX(Empresas!$E:$E,MATCH(D991,Empresas!$B:$B,0))))</f>
        <v/>
      </c>
      <c r="O991" s="27" t="str">
        <f aca="false">IF(OR(N991="",H991=""),"",H991-N991)</f>
        <v/>
      </c>
      <c r="P991" s="25" t="str">
        <f aca="false">IF(O991="","",IF(O991&lt;0,"CONTRATO ANTERIOR À ABERTURA — conferir datas",IF(O991&lt;180,"EMPRESA ABERTA MENOS DE 6 MESES ANTES","")))</f>
        <v/>
      </c>
      <c r="Q991" s="31" t="str">
        <f aca="false">IF(D991="","",IFERROR(INDEX(Sancoes!$D:$D,MATCH(D991,Sancoes!$C:$C,0)),"não consta"))</f>
        <v/>
      </c>
      <c r="R991" s="25" t="str">
        <f aca="false">IF(OR(D991="",H991=""),"",IF(SUMPRODUCT((Sancoes!$C$5:$C$304=D991)*(Sancoes!$G$5:$G$304&lt;=H991)*(((Sancoes!$H$5:$H$304="")+(Sancoes!$H$5:$H$304&gt;=H991))&gt;0))&gt;0,"SANÇÃO VIGENTE NA DATA — ler tipo e abrangência",""))</f>
        <v/>
      </c>
      <c r="S991" s="24"/>
      <c r="T991" s="11"/>
    </row>
    <row r="992" customFormat="false" ht="15" hidden="false" customHeight="false" outlineLevel="0" collapsed="false">
      <c r="A992" s="11"/>
      <c r="B992" s="24"/>
      <c r="C992" s="24"/>
      <c r="D992" s="31" t="str">
        <f aca="false">IF(C992="","",IF(LEN(UPPER(SUBSTITUTE(SUBSTITUTE(SUBSTITUTE(SUBSTITUTE(TRIM(C992),".",""),"/",""),"-","")," ","")))&lt;14,RIGHT(REPT("0",14)&amp;UPPER(SUBSTITUTE(SUBSTITUTE(SUBSTITUTE(SUBSTITUTE(TRIM(C992),".",""),"/",""),"-","")," ","")),14),UPPER(SUBSTITUTE(SUBSTITUTE(SUBSTITUTE(SUBSTITUTE(TRIM(C992),".",""),"/",""),"-","")," ",""))))</f>
        <v/>
      </c>
      <c r="E992" s="25" t="str">
        <f aca="false">IF(D992="","",IFERROR(INDEX(Empresas!$C:$C,MATCH(D992,Empresas!$B:$B,0)),"cadastre o CNPJ em Empresas"))</f>
        <v/>
      </c>
      <c r="F992" s="11"/>
      <c r="G992" s="23"/>
      <c r="H992" s="22"/>
      <c r="I992" s="35"/>
      <c r="J992" s="35"/>
      <c r="K992" s="36" t="str">
        <f aca="false">IF(I992="","",I992+J992)</f>
        <v/>
      </c>
      <c r="L992" s="37" t="str">
        <f aca="false">IF(OR(I992="",I992=0,J992=""),"",J992/I992)</f>
        <v/>
      </c>
      <c r="M992" s="25" t="str">
        <f aca="false">IF(L992="","",IF(L992&gt;0.25,"ACRÉSCIMO ACIMA DE 25% — conferir",""))</f>
        <v/>
      </c>
      <c r="N992" s="29" t="str">
        <f aca="false">IF(D992="","",IF(COUNTIFS(Empresas!$B:$B,D992,Empresas!$E:$E,"&lt;&gt;")=0,"",INDEX(Empresas!$E:$E,MATCH(D992,Empresas!$B:$B,0))))</f>
        <v/>
      </c>
      <c r="O992" s="27" t="str">
        <f aca="false">IF(OR(N992="",H992=""),"",H992-N992)</f>
        <v/>
      </c>
      <c r="P992" s="25" t="str">
        <f aca="false">IF(O992="","",IF(O992&lt;0,"CONTRATO ANTERIOR À ABERTURA — conferir datas",IF(O992&lt;180,"EMPRESA ABERTA MENOS DE 6 MESES ANTES","")))</f>
        <v/>
      </c>
      <c r="Q992" s="31" t="str">
        <f aca="false">IF(D992="","",IFERROR(INDEX(Sancoes!$D:$D,MATCH(D992,Sancoes!$C:$C,0)),"não consta"))</f>
        <v/>
      </c>
      <c r="R992" s="25" t="str">
        <f aca="false">IF(OR(D992="",H992=""),"",IF(SUMPRODUCT((Sancoes!$C$5:$C$304=D992)*(Sancoes!$G$5:$G$304&lt;=H992)*(((Sancoes!$H$5:$H$304="")+(Sancoes!$H$5:$H$304&gt;=H992))&gt;0))&gt;0,"SANÇÃO VIGENTE NA DATA — ler tipo e abrangência",""))</f>
        <v/>
      </c>
      <c r="S992" s="24"/>
      <c r="T992" s="11"/>
    </row>
    <row r="993" customFormat="false" ht="15" hidden="false" customHeight="false" outlineLevel="0" collapsed="false">
      <c r="A993" s="11"/>
      <c r="B993" s="24"/>
      <c r="C993" s="24"/>
      <c r="D993" s="31" t="str">
        <f aca="false">IF(C993="","",IF(LEN(UPPER(SUBSTITUTE(SUBSTITUTE(SUBSTITUTE(SUBSTITUTE(TRIM(C993),".",""),"/",""),"-","")," ","")))&lt;14,RIGHT(REPT("0",14)&amp;UPPER(SUBSTITUTE(SUBSTITUTE(SUBSTITUTE(SUBSTITUTE(TRIM(C993),".",""),"/",""),"-","")," ","")),14),UPPER(SUBSTITUTE(SUBSTITUTE(SUBSTITUTE(SUBSTITUTE(TRIM(C993),".",""),"/",""),"-","")," ",""))))</f>
        <v/>
      </c>
      <c r="E993" s="25" t="str">
        <f aca="false">IF(D993="","",IFERROR(INDEX(Empresas!$C:$C,MATCH(D993,Empresas!$B:$B,0)),"cadastre o CNPJ em Empresas"))</f>
        <v/>
      </c>
      <c r="F993" s="11"/>
      <c r="G993" s="23"/>
      <c r="H993" s="22"/>
      <c r="I993" s="35"/>
      <c r="J993" s="35"/>
      <c r="K993" s="36" t="str">
        <f aca="false">IF(I993="","",I993+J993)</f>
        <v/>
      </c>
      <c r="L993" s="37" t="str">
        <f aca="false">IF(OR(I993="",I993=0,J993=""),"",J993/I993)</f>
        <v/>
      </c>
      <c r="M993" s="25" t="str">
        <f aca="false">IF(L993="","",IF(L993&gt;0.25,"ACRÉSCIMO ACIMA DE 25% — conferir",""))</f>
        <v/>
      </c>
      <c r="N993" s="29" t="str">
        <f aca="false">IF(D993="","",IF(COUNTIFS(Empresas!$B:$B,D993,Empresas!$E:$E,"&lt;&gt;")=0,"",INDEX(Empresas!$E:$E,MATCH(D993,Empresas!$B:$B,0))))</f>
        <v/>
      </c>
      <c r="O993" s="27" t="str">
        <f aca="false">IF(OR(N993="",H993=""),"",H993-N993)</f>
        <v/>
      </c>
      <c r="P993" s="25" t="str">
        <f aca="false">IF(O993="","",IF(O993&lt;0,"CONTRATO ANTERIOR À ABERTURA — conferir datas",IF(O993&lt;180,"EMPRESA ABERTA MENOS DE 6 MESES ANTES","")))</f>
        <v/>
      </c>
      <c r="Q993" s="31" t="str">
        <f aca="false">IF(D993="","",IFERROR(INDEX(Sancoes!$D:$D,MATCH(D993,Sancoes!$C:$C,0)),"não consta"))</f>
        <v/>
      </c>
      <c r="R993" s="25" t="str">
        <f aca="false">IF(OR(D993="",H993=""),"",IF(SUMPRODUCT((Sancoes!$C$5:$C$304=D993)*(Sancoes!$G$5:$G$304&lt;=H993)*(((Sancoes!$H$5:$H$304="")+(Sancoes!$H$5:$H$304&gt;=H993))&gt;0))&gt;0,"SANÇÃO VIGENTE NA DATA — ler tipo e abrangência",""))</f>
        <v/>
      </c>
      <c r="S993" s="24"/>
      <c r="T993" s="11"/>
    </row>
    <row r="994" customFormat="false" ht="15" hidden="false" customHeight="false" outlineLevel="0" collapsed="false">
      <c r="A994" s="11"/>
      <c r="B994" s="24"/>
      <c r="C994" s="24"/>
      <c r="D994" s="31" t="str">
        <f aca="false">IF(C994="","",IF(LEN(UPPER(SUBSTITUTE(SUBSTITUTE(SUBSTITUTE(SUBSTITUTE(TRIM(C994),".",""),"/",""),"-","")," ","")))&lt;14,RIGHT(REPT("0",14)&amp;UPPER(SUBSTITUTE(SUBSTITUTE(SUBSTITUTE(SUBSTITUTE(TRIM(C994),".",""),"/",""),"-","")," ","")),14),UPPER(SUBSTITUTE(SUBSTITUTE(SUBSTITUTE(SUBSTITUTE(TRIM(C994),".",""),"/",""),"-","")," ",""))))</f>
        <v/>
      </c>
      <c r="E994" s="25" t="str">
        <f aca="false">IF(D994="","",IFERROR(INDEX(Empresas!$C:$C,MATCH(D994,Empresas!$B:$B,0)),"cadastre o CNPJ em Empresas"))</f>
        <v/>
      </c>
      <c r="F994" s="11"/>
      <c r="G994" s="23"/>
      <c r="H994" s="22"/>
      <c r="I994" s="35"/>
      <c r="J994" s="35"/>
      <c r="K994" s="36" t="str">
        <f aca="false">IF(I994="","",I994+J994)</f>
        <v/>
      </c>
      <c r="L994" s="37" t="str">
        <f aca="false">IF(OR(I994="",I994=0,J994=""),"",J994/I994)</f>
        <v/>
      </c>
      <c r="M994" s="25" t="str">
        <f aca="false">IF(L994="","",IF(L994&gt;0.25,"ACRÉSCIMO ACIMA DE 25% — conferir",""))</f>
        <v/>
      </c>
      <c r="N994" s="29" t="str">
        <f aca="false">IF(D994="","",IF(COUNTIFS(Empresas!$B:$B,D994,Empresas!$E:$E,"&lt;&gt;")=0,"",INDEX(Empresas!$E:$E,MATCH(D994,Empresas!$B:$B,0))))</f>
        <v/>
      </c>
      <c r="O994" s="27" t="str">
        <f aca="false">IF(OR(N994="",H994=""),"",H994-N994)</f>
        <v/>
      </c>
      <c r="P994" s="25" t="str">
        <f aca="false">IF(O994="","",IF(O994&lt;0,"CONTRATO ANTERIOR À ABERTURA — conferir datas",IF(O994&lt;180,"EMPRESA ABERTA MENOS DE 6 MESES ANTES","")))</f>
        <v/>
      </c>
      <c r="Q994" s="31" t="str">
        <f aca="false">IF(D994="","",IFERROR(INDEX(Sancoes!$D:$D,MATCH(D994,Sancoes!$C:$C,0)),"não consta"))</f>
        <v/>
      </c>
      <c r="R994" s="25" t="str">
        <f aca="false">IF(OR(D994="",H994=""),"",IF(SUMPRODUCT((Sancoes!$C$5:$C$304=D994)*(Sancoes!$G$5:$G$304&lt;=H994)*(((Sancoes!$H$5:$H$304="")+(Sancoes!$H$5:$H$304&gt;=H994))&gt;0))&gt;0,"SANÇÃO VIGENTE NA DATA — ler tipo e abrangência",""))</f>
        <v/>
      </c>
      <c r="S994" s="24"/>
      <c r="T994" s="11"/>
    </row>
    <row r="995" customFormat="false" ht="15" hidden="false" customHeight="false" outlineLevel="0" collapsed="false">
      <c r="A995" s="11"/>
      <c r="B995" s="24"/>
      <c r="C995" s="24"/>
      <c r="D995" s="31" t="str">
        <f aca="false">IF(C995="","",IF(LEN(UPPER(SUBSTITUTE(SUBSTITUTE(SUBSTITUTE(SUBSTITUTE(TRIM(C995),".",""),"/",""),"-","")," ","")))&lt;14,RIGHT(REPT("0",14)&amp;UPPER(SUBSTITUTE(SUBSTITUTE(SUBSTITUTE(SUBSTITUTE(TRIM(C995),".",""),"/",""),"-","")," ","")),14),UPPER(SUBSTITUTE(SUBSTITUTE(SUBSTITUTE(SUBSTITUTE(TRIM(C995),".",""),"/",""),"-","")," ",""))))</f>
        <v/>
      </c>
      <c r="E995" s="25" t="str">
        <f aca="false">IF(D995="","",IFERROR(INDEX(Empresas!$C:$C,MATCH(D995,Empresas!$B:$B,0)),"cadastre o CNPJ em Empresas"))</f>
        <v/>
      </c>
      <c r="F995" s="11"/>
      <c r="G995" s="23"/>
      <c r="H995" s="22"/>
      <c r="I995" s="35"/>
      <c r="J995" s="35"/>
      <c r="K995" s="36" t="str">
        <f aca="false">IF(I995="","",I995+J995)</f>
        <v/>
      </c>
      <c r="L995" s="37" t="str">
        <f aca="false">IF(OR(I995="",I995=0,J995=""),"",J995/I995)</f>
        <v/>
      </c>
      <c r="M995" s="25" t="str">
        <f aca="false">IF(L995="","",IF(L995&gt;0.25,"ACRÉSCIMO ACIMA DE 25% — conferir",""))</f>
        <v/>
      </c>
      <c r="N995" s="29" t="str">
        <f aca="false">IF(D995="","",IF(COUNTIFS(Empresas!$B:$B,D995,Empresas!$E:$E,"&lt;&gt;")=0,"",INDEX(Empresas!$E:$E,MATCH(D995,Empresas!$B:$B,0))))</f>
        <v/>
      </c>
      <c r="O995" s="27" t="str">
        <f aca="false">IF(OR(N995="",H995=""),"",H995-N995)</f>
        <v/>
      </c>
      <c r="P995" s="25" t="str">
        <f aca="false">IF(O995="","",IF(O995&lt;0,"CONTRATO ANTERIOR À ABERTURA — conferir datas",IF(O995&lt;180,"EMPRESA ABERTA MENOS DE 6 MESES ANTES","")))</f>
        <v/>
      </c>
      <c r="Q995" s="31" t="str">
        <f aca="false">IF(D995="","",IFERROR(INDEX(Sancoes!$D:$D,MATCH(D995,Sancoes!$C:$C,0)),"não consta"))</f>
        <v/>
      </c>
      <c r="R995" s="25" t="str">
        <f aca="false">IF(OR(D995="",H995=""),"",IF(SUMPRODUCT((Sancoes!$C$5:$C$304=D995)*(Sancoes!$G$5:$G$304&lt;=H995)*(((Sancoes!$H$5:$H$304="")+(Sancoes!$H$5:$H$304&gt;=H995))&gt;0))&gt;0,"SANÇÃO VIGENTE NA DATA — ler tipo e abrangência",""))</f>
        <v/>
      </c>
      <c r="S995" s="24"/>
      <c r="T995" s="11"/>
    </row>
    <row r="996" customFormat="false" ht="15" hidden="false" customHeight="false" outlineLevel="0" collapsed="false">
      <c r="A996" s="11"/>
      <c r="B996" s="24"/>
      <c r="C996" s="24"/>
      <c r="D996" s="31" t="str">
        <f aca="false">IF(C996="","",IF(LEN(UPPER(SUBSTITUTE(SUBSTITUTE(SUBSTITUTE(SUBSTITUTE(TRIM(C996),".",""),"/",""),"-","")," ","")))&lt;14,RIGHT(REPT("0",14)&amp;UPPER(SUBSTITUTE(SUBSTITUTE(SUBSTITUTE(SUBSTITUTE(TRIM(C996),".",""),"/",""),"-","")," ","")),14),UPPER(SUBSTITUTE(SUBSTITUTE(SUBSTITUTE(SUBSTITUTE(TRIM(C996),".",""),"/",""),"-","")," ",""))))</f>
        <v/>
      </c>
      <c r="E996" s="25" t="str">
        <f aca="false">IF(D996="","",IFERROR(INDEX(Empresas!$C:$C,MATCH(D996,Empresas!$B:$B,0)),"cadastre o CNPJ em Empresas"))</f>
        <v/>
      </c>
      <c r="F996" s="11"/>
      <c r="G996" s="23"/>
      <c r="H996" s="22"/>
      <c r="I996" s="35"/>
      <c r="J996" s="35"/>
      <c r="K996" s="36" t="str">
        <f aca="false">IF(I996="","",I996+J996)</f>
        <v/>
      </c>
      <c r="L996" s="37" t="str">
        <f aca="false">IF(OR(I996="",I996=0,J996=""),"",J996/I996)</f>
        <v/>
      </c>
      <c r="M996" s="25" t="str">
        <f aca="false">IF(L996="","",IF(L996&gt;0.25,"ACRÉSCIMO ACIMA DE 25% — conferir",""))</f>
        <v/>
      </c>
      <c r="N996" s="29" t="str">
        <f aca="false">IF(D996="","",IF(COUNTIFS(Empresas!$B:$B,D996,Empresas!$E:$E,"&lt;&gt;")=0,"",INDEX(Empresas!$E:$E,MATCH(D996,Empresas!$B:$B,0))))</f>
        <v/>
      </c>
      <c r="O996" s="27" t="str">
        <f aca="false">IF(OR(N996="",H996=""),"",H996-N996)</f>
        <v/>
      </c>
      <c r="P996" s="25" t="str">
        <f aca="false">IF(O996="","",IF(O996&lt;0,"CONTRATO ANTERIOR À ABERTURA — conferir datas",IF(O996&lt;180,"EMPRESA ABERTA MENOS DE 6 MESES ANTES","")))</f>
        <v/>
      </c>
      <c r="Q996" s="31" t="str">
        <f aca="false">IF(D996="","",IFERROR(INDEX(Sancoes!$D:$D,MATCH(D996,Sancoes!$C:$C,0)),"não consta"))</f>
        <v/>
      </c>
      <c r="R996" s="25" t="str">
        <f aca="false">IF(OR(D996="",H996=""),"",IF(SUMPRODUCT((Sancoes!$C$5:$C$304=D996)*(Sancoes!$G$5:$G$304&lt;=H996)*(((Sancoes!$H$5:$H$304="")+(Sancoes!$H$5:$H$304&gt;=H996))&gt;0))&gt;0,"SANÇÃO VIGENTE NA DATA — ler tipo e abrangência",""))</f>
        <v/>
      </c>
      <c r="S996" s="24"/>
      <c r="T996" s="11"/>
    </row>
    <row r="997" customFormat="false" ht="15" hidden="false" customHeight="false" outlineLevel="0" collapsed="false">
      <c r="A997" s="11"/>
      <c r="B997" s="24"/>
      <c r="C997" s="24"/>
      <c r="D997" s="31" t="str">
        <f aca="false">IF(C997="","",IF(LEN(UPPER(SUBSTITUTE(SUBSTITUTE(SUBSTITUTE(SUBSTITUTE(TRIM(C997),".",""),"/",""),"-","")," ","")))&lt;14,RIGHT(REPT("0",14)&amp;UPPER(SUBSTITUTE(SUBSTITUTE(SUBSTITUTE(SUBSTITUTE(TRIM(C997),".",""),"/",""),"-","")," ","")),14),UPPER(SUBSTITUTE(SUBSTITUTE(SUBSTITUTE(SUBSTITUTE(TRIM(C997),".",""),"/",""),"-","")," ",""))))</f>
        <v/>
      </c>
      <c r="E997" s="25" t="str">
        <f aca="false">IF(D997="","",IFERROR(INDEX(Empresas!$C:$C,MATCH(D997,Empresas!$B:$B,0)),"cadastre o CNPJ em Empresas"))</f>
        <v/>
      </c>
      <c r="F997" s="11"/>
      <c r="G997" s="23"/>
      <c r="H997" s="22"/>
      <c r="I997" s="35"/>
      <c r="J997" s="35"/>
      <c r="K997" s="36" t="str">
        <f aca="false">IF(I997="","",I997+J997)</f>
        <v/>
      </c>
      <c r="L997" s="37" t="str">
        <f aca="false">IF(OR(I997="",I997=0,J997=""),"",J997/I997)</f>
        <v/>
      </c>
      <c r="M997" s="25" t="str">
        <f aca="false">IF(L997="","",IF(L997&gt;0.25,"ACRÉSCIMO ACIMA DE 25% — conferir",""))</f>
        <v/>
      </c>
      <c r="N997" s="29" t="str">
        <f aca="false">IF(D997="","",IF(COUNTIFS(Empresas!$B:$B,D997,Empresas!$E:$E,"&lt;&gt;")=0,"",INDEX(Empresas!$E:$E,MATCH(D997,Empresas!$B:$B,0))))</f>
        <v/>
      </c>
      <c r="O997" s="27" t="str">
        <f aca="false">IF(OR(N997="",H997=""),"",H997-N997)</f>
        <v/>
      </c>
      <c r="P997" s="25" t="str">
        <f aca="false">IF(O997="","",IF(O997&lt;0,"CONTRATO ANTERIOR À ABERTURA — conferir datas",IF(O997&lt;180,"EMPRESA ABERTA MENOS DE 6 MESES ANTES","")))</f>
        <v/>
      </c>
      <c r="Q997" s="31" t="str">
        <f aca="false">IF(D997="","",IFERROR(INDEX(Sancoes!$D:$D,MATCH(D997,Sancoes!$C:$C,0)),"não consta"))</f>
        <v/>
      </c>
      <c r="R997" s="25" t="str">
        <f aca="false">IF(OR(D997="",H997=""),"",IF(SUMPRODUCT((Sancoes!$C$5:$C$304=D997)*(Sancoes!$G$5:$G$304&lt;=H997)*(((Sancoes!$H$5:$H$304="")+(Sancoes!$H$5:$H$304&gt;=H997))&gt;0))&gt;0,"SANÇÃO VIGENTE NA DATA — ler tipo e abrangência",""))</f>
        <v/>
      </c>
      <c r="S997" s="24"/>
      <c r="T997" s="11"/>
    </row>
    <row r="998" customFormat="false" ht="15" hidden="false" customHeight="false" outlineLevel="0" collapsed="false">
      <c r="A998" s="11"/>
      <c r="B998" s="24"/>
      <c r="C998" s="24"/>
      <c r="D998" s="31" t="str">
        <f aca="false">IF(C998="","",IF(LEN(UPPER(SUBSTITUTE(SUBSTITUTE(SUBSTITUTE(SUBSTITUTE(TRIM(C998),".",""),"/",""),"-","")," ","")))&lt;14,RIGHT(REPT("0",14)&amp;UPPER(SUBSTITUTE(SUBSTITUTE(SUBSTITUTE(SUBSTITUTE(TRIM(C998),".",""),"/",""),"-","")," ","")),14),UPPER(SUBSTITUTE(SUBSTITUTE(SUBSTITUTE(SUBSTITUTE(TRIM(C998),".",""),"/",""),"-","")," ",""))))</f>
        <v/>
      </c>
      <c r="E998" s="25" t="str">
        <f aca="false">IF(D998="","",IFERROR(INDEX(Empresas!$C:$C,MATCH(D998,Empresas!$B:$B,0)),"cadastre o CNPJ em Empresas"))</f>
        <v/>
      </c>
      <c r="F998" s="11"/>
      <c r="G998" s="23"/>
      <c r="H998" s="22"/>
      <c r="I998" s="35"/>
      <c r="J998" s="35"/>
      <c r="K998" s="36" t="str">
        <f aca="false">IF(I998="","",I998+J998)</f>
        <v/>
      </c>
      <c r="L998" s="37" t="str">
        <f aca="false">IF(OR(I998="",I998=0,J998=""),"",J998/I998)</f>
        <v/>
      </c>
      <c r="M998" s="25" t="str">
        <f aca="false">IF(L998="","",IF(L998&gt;0.25,"ACRÉSCIMO ACIMA DE 25% — conferir",""))</f>
        <v/>
      </c>
      <c r="N998" s="29" t="str">
        <f aca="false">IF(D998="","",IF(COUNTIFS(Empresas!$B:$B,D998,Empresas!$E:$E,"&lt;&gt;")=0,"",INDEX(Empresas!$E:$E,MATCH(D998,Empresas!$B:$B,0))))</f>
        <v/>
      </c>
      <c r="O998" s="27" t="str">
        <f aca="false">IF(OR(N998="",H998=""),"",H998-N998)</f>
        <v/>
      </c>
      <c r="P998" s="25" t="str">
        <f aca="false">IF(O998="","",IF(O998&lt;0,"CONTRATO ANTERIOR À ABERTURA — conferir datas",IF(O998&lt;180,"EMPRESA ABERTA MENOS DE 6 MESES ANTES","")))</f>
        <v/>
      </c>
      <c r="Q998" s="31" t="str">
        <f aca="false">IF(D998="","",IFERROR(INDEX(Sancoes!$D:$D,MATCH(D998,Sancoes!$C:$C,0)),"não consta"))</f>
        <v/>
      </c>
      <c r="R998" s="25" t="str">
        <f aca="false">IF(OR(D998="",H998=""),"",IF(SUMPRODUCT((Sancoes!$C$5:$C$304=D998)*(Sancoes!$G$5:$G$304&lt;=H998)*(((Sancoes!$H$5:$H$304="")+(Sancoes!$H$5:$H$304&gt;=H998))&gt;0))&gt;0,"SANÇÃO VIGENTE NA DATA — ler tipo e abrangência",""))</f>
        <v/>
      </c>
      <c r="S998" s="24"/>
      <c r="T998" s="11"/>
    </row>
    <row r="999" customFormat="false" ht="15" hidden="false" customHeight="false" outlineLevel="0" collapsed="false">
      <c r="A999" s="11"/>
      <c r="B999" s="24"/>
      <c r="C999" s="24"/>
      <c r="D999" s="31" t="str">
        <f aca="false">IF(C999="","",IF(LEN(UPPER(SUBSTITUTE(SUBSTITUTE(SUBSTITUTE(SUBSTITUTE(TRIM(C999),".",""),"/",""),"-","")," ","")))&lt;14,RIGHT(REPT("0",14)&amp;UPPER(SUBSTITUTE(SUBSTITUTE(SUBSTITUTE(SUBSTITUTE(TRIM(C999),".",""),"/",""),"-","")," ","")),14),UPPER(SUBSTITUTE(SUBSTITUTE(SUBSTITUTE(SUBSTITUTE(TRIM(C999),".",""),"/",""),"-","")," ",""))))</f>
        <v/>
      </c>
      <c r="E999" s="25" t="str">
        <f aca="false">IF(D999="","",IFERROR(INDEX(Empresas!$C:$C,MATCH(D999,Empresas!$B:$B,0)),"cadastre o CNPJ em Empresas"))</f>
        <v/>
      </c>
      <c r="F999" s="11"/>
      <c r="G999" s="23"/>
      <c r="H999" s="22"/>
      <c r="I999" s="35"/>
      <c r="J999" s="35"/>
      <c r="K999" s="36" t="str">
        <f aca="false">IF(I999="","",I999+J999)</f>
        <v/>
      </c>
      <c r="L999" s="37" t="str">
        <f aca="false">IF(OR(I999="",I999=0,J999=""),"",J999/I999)</f>
        <v/>
      </c>
      <c r="M999" s="25" t="str">
        <f aca="false">IF(L999="","",IF(L999&gt;0.25,"ACRÉSCIMO ACIMA DE 25% — conferir",""))</f>
        <v/>
      </c>
      <c r="N999" s="29" t="str">
        <f aca="false">IF(D999="","",IF(COUNTIFS(Empresas!$B:$B,D999,Empresas!$E:$E,"&lt;&gt;")=0,"",INDEX(Empresas!$E:$E,MATCH(D999,Empresas!$B:$B,0))))</f>
        <v/>
      </c>
      <c r="O999" s="27" t="str">
        <f aca="false">IF(OR(N999="",H999=""),"",H999-N999)</f>
        <v/>
      </c>
      <c r="P999" s="25" t="str">
        <f aca="false">IF(O999="","",IF(O999&lt;0,"CONTRATO ANTERIOR À ABERTURA — conferir datas",IF(O999&lt;180,"EMPRESA ABERTA MENOS DE 6 MESES ANTES","")))</f>
        <v/>
      </c>
      <c r="Q999" s="31" t="str">
        <f aca="false">IF(D999="","",IFERROR(INDEX(Sancoes!$D:$D,MATCH(D999,Sancoes!$C:$C,0)),"não consta"))</f>
        <v/>
      </c>
      <c r="R999" s="25" t="str">
        <f aca="false">IF(OR(D999="",H999=""),"",IF(SUMPRODUCT((Sancoes!$C$5:$C$304=D999)*(Sancoes!$G$5:$G$304&lt;=H999)*(((Sancoes!$H$5:$H$304="")+(Sancoes!$H$5:$H$304&gt;=H999))&gt;0))&gt;0,"SANÇÃO VIGENTE NA DATA — ler tipo e abrangência",""))</f>
        <v/>
      </c>
      <c r="S999" s="24"/>
      <c r="T999" s="11"/>
    </row>
    <row r="1000" customFormat="false" ht="15" hidden="false" customHeight="false" outlineLevel="0" collapsed="false">
      <c r="A1000" s="11"/>
      <c r="B1000" s="24"/>
      <c r="C1000" s="24"/>
      <c r="D1000" s="31" t="str">
        <f aca="false">IF(C1000="","",IF(LEN(UPPER(SUBSTITUTE(SUBSTITUTE(SUBSTITUTE(SUBSTITUTE(TRIM(C1000),".",""),"/",""),"-","")," ","")))&lt;14,RIGHT(REPT("0",14)&amp;UPPER(SUBSTITUTE(SUBSTITUTE(SUBSTITUTE(SUBSTITUTE(TRIM(C1000),".",""),"/",""),"-","")," ","")),14),UPPER(SUBSTITUTE(SUBSTITUTE(SUBSTITUTE(SUBSTITUTE(TRIM(C1000),".",""),"/",""),"-","")," ",""))))</f>
        <v/>
      </c>
      <c r="E1000" s="25" t="str">
        <f aca="false">IF(D1000="","",IFERROR(INDEX(Empresas!$C:$C,MATCH(D1000,Empresas!$B:$B,0)),"cadastre o CNPJ em Empresas"))</f>
        <v/>
      </c>
      <c r="F1000" s="11"/>
      <c r="G1000" s="23"/>
      <c r="H1000" s="22"/>
      <c r="I1000" s="35"/>
      <c r="J1000" s="35"/>
      <c r="K1000" s="36" t="str">
        <f aca="false">IF(I1000="","",I1000+J1000)</f>
        <v/>
      </c>
      <c r="L1000" s="37" t="str">
        <f aca="false">IF(OR(I1000="",I1000=0,J1000=""),"",J1000/I1000)</f>
        <v/>
      </c>
      <c r="M1000" s="25" t="str">
        <f aca="false">IF(L1000="","",IF(L1000&gt;0.25,"ACRÉSCIMO ACIMA DE 25% — conferir",""))</f>
        <v/>
      </c>
      <c r="N1000" s="29" t="str">
        <f aca="false">IF(D1000="","",IF(COUNTIFS(Empresas!$B:$B,D1000,Empresas!$E:$E,"&lt;&gt;")=0,"",INDEX(Empresas!$E:$E,MATCH(D1000,Empresas!$B:$B,0))))</f>
        <v/>
      </c>
      <c r="O1000" s="27" t="str">
        <f aca="false">IF(OR(N1000="",H1000=""),"",H1000-N1000)</f>
        <v/>
      </c>
      <c r="P1000" s="25" t="str">
        <f aca="false">IF(O1000="","",IF(O1000&lt;0,"CONTRATO ANTERIOR À ABERTURA — conferir datas",IF(O1000&lt;180,"EMPRESA ABERTA MENOS DE 6 MESES ANTES","")))</f>
        <v/>
      </c>
      <c r="Q1000" s="31" t="str">
        <f aca="false">IF(D1000="","",IFERROR(INDEX(Sancoes!$D:$D,MATCH(D1000,Sancoes!$C:$C,0)),"não consta"))</f>
        <v/>
      </c>
      <c r="R1000" s="25" t="str">
        <f aca="false">IF(OR(D1000="",H1000=""),"",IF(SUMPRODUCT((Sancoes!$C$5:$C$304=D1000)*(Sancoes!$G$5:$G$304&lt;=H1000)*(((Sancoes!$H$5:$H$304="")+(Sancoes!$H$5:$H$304&gt;=H1000))&gt;0))&gt;0,"SANÇÃO VIGENTE NA DATA — ler tipo e abrangência",""))</f>
        <v/>
      </c>
      <c r="S1000" s="24"/>
      <c r="T1000" s="11"/>
    </row>
    <row r="1001" customFormat="false" ht="15" hidden="false" customHeight="false" outlineLevel="0" collapsed="false">
      <c r="A1001" s="11"/>
      <c r="B1001" s="24"/>
      <c r="C1001" s="24"/>
      <c r="D1001" s="31" t="str">
        <f aca="false">IF(C1001="","",IF(LEN(UPPER(SUBSTITUTE(SUBSTITUTE(SUBSTITUTE(SUBSTITUTE(TRIM(C1001),".",""),"/",""),"-","")," ","")))&lt;14,RIGHT(REPT("0",14)&amp;UPPER(SUBSTITUTE(SUBSTITUTE(SUBSTITUTE(SUBSTITUTE(TRIM(C1001),".",""),"/",""),"-","")," ","")),14),UPPER(SUBSTITUTE(SUBSTITUTE(SUBSTITUTE(SUBSTITUTE(TRIM(C1001),".",""),"/",""),"-","")," ",""))))</f>
        <v/>
      </c>
      <c r="E1001" s="25" t="str">
        <f aca="false">IF(D1001="","",IFERROR(INDEX(Empresas!$C:$C,MATCH(D1001,Empresas!$B:$B,0)),"cadastre o CNPJ em Empresas"))</f>
        <v/>
      </c>
      <c r="F1001" s="11"/>
      <c r="G1001" s="23"/>
      <c r="H1001" s="22"/>
      <c r="I1001" s="35"/>
      <c r="J1001" s="35"/>
      <c r="K1001" s="36" t="str">
        <f aca="false">IF(I1001="","",I1001+J1001)</f>
        <v/>
      </c>
      <c r="L1001" s="37" t="str">
        <f aca="false">IF(OR(I1001="",I1001=0,J1001=""),"",J1001/I1001)</f>
        <v/>
      </c>
      <c r="M1001" s="25" t="str">
        <f aca="false">IF(L1001="","",IF(L1001&gt;0.25,"ACRÉSCIMO ACIMA DE 25% — conferir",""))</f>
        <v/>
      </c>
      <c r="N1001" s="29" t="str">
        <f aca="false">IF(D1001="","",IF(COUNTIFS(Empresas!$B:$B,D1001,Empresas!$E:$E,"&lt;&gt;")=0,"",INDEX(Empresas!$E:$E,MATCH(D1001,Empresas!$B:$B,0))))</f>
        <v/>
      </c>
      <c r="O1001" s="27" t="str">
        <f aca="false">IF(OR(N1001="",H1001=""),"",H1001-N1001)</f>
        <v/>
      </c>
      <c r="P1001" s="25" t="str">
        <f aca="false">IF(O1001="","",IF(O1001&lt;0,"CONTRATO ANTERIOR À ABERTURA — conferir datas",IF(O1001&lt;180,"EMPRESA ABERTA MENOS DE 6 MESES ANTES","")))</f>
        <v/>
      </c>
      <c r="Q1001" s="31" t="str">
        <f aca="false">IF(D1001="","",IFERROR(INDEX(Sancoes!$D:$D,MATCH(D1001,Sancoes!$C:$C,0)),"não consta"))</f>
        <v/>
      </c>
      <c r="R1001" s="25" t="str">
        <f aca="false">IF(OR(D1001="",H1001=""),"",IF(SUMPRODUCT((Sancoes!$C$5:$C$304=D1001)*(Sancoes!$G$5:$G$304&lt;=H1001)*(((Sancoes!$H$5:$H$304="")+(Sancoes!$H$5:$H$304&gt;=H1001))&gt;0))&gt;0,"SANÇÃO VIGENTE NA DATA — ler tipo e abrangência",""))</f>
        <v/>
      </c>
      <c r="S1001" s="24"/>
      <c r="T1001" s="11"/>
    </row>
    <row r="1002" customFormat="false" ht="15" hidden="false" customHeight="false" outlineLevel="0" collapsed="false">
      <c r="A1002" s="11"/>
      <c r="B1002" s="24"/>
      <c r="C1002" s="24"/>
      <c r="D1002" s="31" t="str">
        <f aca="false">IF(C1002="","",IF(LEN(UPPER(SUBSTITUTE(SUBSTITUTE(SUBSTITUTE(SUBSTITUTE(TRIM(C1002),".",""),"/",""),"-","")," ","")))&lt;14,RIGHT(REPT("0",14)&amp;UPPER(SUBSTITUTE(SUBSTITUTE(SUBSTITUTE(SUBSTITUTE(TRIM(C1002),".",""),"/",""),"-","")," ","")),14),UPPER(SUBSTITUTE(SUBSTITUTE(SUBSTITUTE(SUBSTITUTE(TRIM(C1002),".",""),"/",""),"-","")," ",""))))</f>
        <v/>
      </c>
      <c r="E1002" s="25" t="str">
        <f aca="false">IF(D1002="","",IFERROR(INDEX(Empresas!$C:$C,MATCH(D1002,Empresas!$B:$B,0)),"cadastre o CNPJ em Empresas"))</f>
        <v/>
      </c>
      <c r="F1002" s="11"/>
      <c r="G1002" s="23"/>
      <c r="H1002" s="22"/>
      <c r="I1002" s="35"/>
      <c r="J1002" s="35"/>
      <c r="K1002" s="36" t="str">
        <f aca="false">IF(I1002="","",I1002+J1002)</f>
        <v/>
      </c>
      <c r="L1002" s="37" t="str">
        <f aca="false">IF(OR(I1002="",I1002=0,J1002=""),"",J1002/I1002)</f>
        <v/>
      </c>
      <c r="M1002" s="25" t="str">
        <f aca="false">IF(L1002="","",IF(L1002&gt;0.25,"ACRÉSCIMO ACIMA DE 25% — conferir",""))</f>
        <v/>
      </c>
      <c r="N1002" s="29" t="str">
        <f aca="false">IF(D1002="","",IF(COUNTIFS(Empresas!$B:$B,D1002,Empresas!$E:$E,"&lt;&gt;")=0,"",INDEX(Empresas!$E:$E,MATCH(D1002,Empresas!$B:$B,0))))</f>
        <v/>
      </c>
      <c r="O1002" s="27" t="str">
        <f aca="false">IF(OR(N1002="",H1002=""),"",H1002-N1002)</f>
        <v/>
      </c>
      <c r="P1002" s="25" t="str">
        <f aca="false">IF(O1002="","",IF(O1002&lt;0,"CONTRATO ANTERIOR À ABERTURA — conferir datas",IF(O1002&lt;180,"EMPRESA ABERTA MENOS DE 6 MESES ANTES","")))</f>
        <v/>
      </c>
      <c r="Q1002" s="31" t="str">
        <f aca="false">IF(D1002="","",IFERROR(INDEX(Sancoes!$D:$D,MATCH(D1002,Sancoes!$C:$C,0)),"não consta"))</f>
        <v/>
      </c>
      <c r="R1002" s="25" t="str">
        <f aca="false">IF(OR(D1002="",H1002=""),"",IF(SUMPRODUCT((Sancoes!$C$5:$C$304=D1002)*(Sancoes!$G$5:$G$304&lt;=H1002)*(((Sancoes!$H$5:$H$304="")+(Sancoes!$H$5:$H$304&gt;=H1002))&gt;0))&gt;0,"SANÇÃO VIGENTE NA DATA — ler tipo e abrangência",""))</f>
        <v/>
      </c>
      <c r="S1002" s="24"/>
      <c r="T1002" s="11"/>
    </row>
    <row r="1003" customFormat="false" ht="15" hidden="false" customHeight="false" outlineLevel="0" collapsed="false">
      <c r="A1003" s="11"/>
      <c r="B1003" s="24"/>
      <c r="C1003" s="24"/>
      <c r="D1003" s="31" t="str">
        <f aca="false">IF(C1003="","",IF(LEN(UPPER(SUBSTITUTE(SUBSTITUTE(SUBSTITUTE(SUBSTITUTE(TRIM(C1003),".",""),"/",""),"-","")," ","")))&lt;14,RIGHT(REPT("0",14)&amp;UPPER(SUBSTITUTE(SUBSTITUTE(SUBSTITUTE(SUBSTITUTE(TRIM(C1003),".",""),"/",""),"-","")," ","")),14),UPPER(SUBSTITUTE(SUBSTITUTE(SUBSTITUTE(SUBSTITUTE(TRIM(C1003),".",""),"/",""),"-","")," ",""))))</f>
        <v/>
      </c>
      <c r="E1003" s="25" t="str">
        <f aca="false">IF(D1003="","",IFERROR(INDEX(Empresas!$C:$C,MATCH(D1003,Empresas!$B:$B,0)),"cadastre o CNPJ em Empresas"))</f>
        <v/>
      </c>
      <c r="F1003" s="11"/>
      <c r="G1003" s="23"/>
      <c r="H1003" s="22"/>
      <c r="I1003" s="35"/>
      <c r="J1003" s="35"/>
      <c r="K1003" s="36" t="str">
        <f aca="false">IF(I1003="","",I1003+J1003)</f>
        <v/>
      </c>
      <c r="L1003" s="37" t="str">
        <f aca="false">IF(OR(I1003="",I1003=0,J1003=""),"",J1003/I1003)</f>
        <v/>
      </c>
      <c r="M1003" s="25" t="str">
        <f aca="false">IF(L1003="","",IF(L1003&gt;0.25,"ACRÉSCIMO ACIMA DE 25% — conferir",""))</f>
        <v/>
      </c>
      <c r="N1003" s="29" t="str">
        <f aca="false">IF(D1003="","",IF(COUNTIFS(Empresas!$B:$B,D1003,Empresas!$E:$E,"&lt;&gt;")=0,"",INDEX(Empresas!$E:$E,MATCH(D1003,Empresas!$B:$B,0))))</f>
        <v/>
      </c>
      <c r="O1003" s="27" t="str">
        <f aca="false">IF(OR(N1003="",H1003=""),"",H1003-N1003)</f>
        <v/>
      </c>
      <c r="P1003" s="25" t="str">
        <f aca="false">IF(O1003="","",IF(O1003&lt;0,"CONTRATO ANTERIOR À ABERTURA — conferir datas",IF(O1003&lt;180,"EMPRESA ABERTA MENOS DE 6 MESES ANTES","")))</f>
        <v/>
      </c>
      <c r="Q1003" s="31" t="str">
        <f aca="false">IF(D1003="","",IFERROR(INDEX(Sancoes!$D:$D,MATCH(D1003,Sancoes!$C:$C,0)),"não consta"))</f>
        <v/>
      </c>
      <c r="R1003" s="25" t="str">
        <f aca="false">IF(OR(D1003="",H1003=""),"",IF(SUMPRODUCT((Sancoes!$C$5:$C$304=D1003)*(Sancoes!$G$5:$G$304&lt;=H1003)*(((Sancoes!$H$5:$H$304="")+(Sancoes!$H$5:$H$304&gt;=H1003))&gt;0))&gt;0,"SANÇÃO VIGENTE NA DATA — ler tipo e abrangência",""))</f>
        <v/>
      </c>
      <c r="S1003" s="24"/>
      <c r="T1003" s="11"/>
    </row>
    <row r="1004" customFormat="false" ht="15" hidden="false" customHeight="false" outlineLevel="0" collapsed="false">
      <c r="A1004" s="11"/>
      <c r="B1004" s="24"/>
      <c r="C1004" s="24"/>
      <c r="D1004" s="31" t="str">
        <f aca="false">IF(C1004="","",IF(LEN(UPPER(SUBSTITUTE(SUBSTITUTE(SUBSTITUTE(SUBSTITUTE(TRIM(C1004),".",""),"/",""),"-","")," ","")))&lt;14,RIGHT(REPT("0",14)&amp;UPPER(SUBSTITUTE(SUBSTITUTE(SUBSTITUTE(SUBSTITUTE(TRIM(C1004),".",""),"/",""),"-","")," ","")),14),UPPER(SUBSTITUTE(SUBSTITUTE(SUBSTITUTE(SUBSTITUTE(TRIM(C1004),".",""),"/",""),"-","")," ",""))))</f>
        <v/>
      </c>
      <c r="E1004" s="25" t="str">
        <f aca="false">IF(D1004="","",IFERROR(INDEX(Empresas!$C:$C,MATCH(D1004,Empresas!$B:$B,0)),"cadastre o CNPJ em Empresas"))</f>
        <v/>
      </c>
      <c r="F1004" s="11"/>
      <c r="G1004" s="23"/>
      <c r="H1004" s="22"/>
      <c r="I1004" s="35"/>
      <c r="J1004" s="35"/>
      <c r="K1004" s="36" t="str">
        <f aca="false">IF(I1004="","",I1004+J1004)</f>
        <v/>
      </c>
      <c r="L1004" s="37" t="str">
        <f aca="false">IF(OR(I1004="",I1004=0,J1004=""),"",J1004/I1004)</f>
        <v/>
      </c>
      <c r="M1004" s="25" t="str">
        <f aca="false">IF(L1004="","",IF(L1004&gt;0.25,"ACRÉSCIMO ACIMA DE 25% — conferir",""))</f>
        <v/>
      </c>
      <c r="N1004" s="29" t="str">
        <f aca="false">IF(D1004="","",IF(COUNTIFS(Empresas!$B:$B,D1004,Empresas!$E:$E,"&lt;&gt;")=0,"",INDEX(Empresas!$E:$E,MATCH(D1004,Empresas!$B:$B,0))))</f>
        <v/>
      </c>
      <c r="O1004" s="27" t="str">
        <f aca="false">IF(OR(N1004="",H1004=""),"",H1004-N1004)</f>
        <v/>
      </c>
      <c r="P1004" s="25" t="str">
        <f aca="false">IF(O1004="","",IF(O1004&lt;0,"CONTRATO ANTERIOR À ABERTURA — conferir datas",IF(O1004&lt;180,"EMPRESA ABERTA MENOS DE 6 MESES ANTES","")))</f>
        <v/>
      </c>
      <c r="Q1004" s="31" t="str">
        <f aca="false">IF(D1004="","",IFERROR(INDEX(Sancoes!$D:$D,MATCH(D1004,Sancoes!$C:$C,0)),"não consta"))</f>
        <v/>
      </c>
      <c r="R1004" s="25" t="str">
        <f aca="false">IF(OR(D1004="",H1004=""),"",IF(SUMPRODUCT((Sancoes!$C$5:$C$304=D1004)*(Sancoes!$G$5:$G$304&lt;=H1004)*(((Sancoes!$H$5:$H$304="")+(Sancoes!$H$5:$H$304&gt;=H1004))&gt;0))&gt;0,"SANÇÃO VIGENTE NA DATA — ler tipo e abrangência",""))</f>
        <v/>
      </c>
      <c r="S1004" s="24"/>
      <c r="T1004" s="11"/>
    </row>
  </sheetData>
  <autoFilter ref="A4:T1004"/>
  <conditionalFormatting sqref="M5:M1004">
    <cfRule type="expression" priority="2" aboveAverage="0" equalAverage="0" bottom="0" percent="0" rank="0" text="" dxfId="6">
      <formula>LEN(M5)&gt;0</formula>
    </cfRule>
  </conditionalFormatting>
  <conditionalFormatting sqref="P5:P1004">
    <cfRule type="expression" priority="3" aboveAverage="0" equalAverage="0" bottom="0" percent="0" rank="0" text="" dxfId="6">
      <formula>LEN(P5)&gt;0</formula>
    </cfRule>
  </conditionalFormatting>
  <conditionalFormatting sqref="R5:R1004">
    <cfRule type="expression" priority="4" aboveAverage="0" equalAverage="0" bottom="0" percent="0" rank="0" text="" dxfId="6">
      <formula>LEN(R5)&gt;0</formula>
    </cfRule>
  </conditionalFormatting>
  <conditionalFormatting sqref="Q5:Q1004">
    <cfRule type="expression" priority="5" aboveAverage="0" equalAverage="0" bottom="0" percent="0" rank="0" text="" dxfId="6">
      <formula>AND(LEN(Q5)&gt;0,Q5&lt;&gt;"não consta")</formula>
    </cfRule>
  </conditionalFormatting>
  <dataValidations count="1">
    <dataValidation allowBlank="true" error="Escolha uma opção da lista (as opções estão na aba Listas)." errorStyle="stop" errorTitle="Valor fora da lista" operator="between" showDropDown="false" showErrorMessage="false" showInputMessage="false" sqref="G5:G1004" type="list">
      <formula1>Listas!$H$4:$H$14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20"/>
    <col collapsed="false" customWidth="true" hidden="false" outlineLevel="0" max="4" min="4" style="0" width="17"/>
    <col collapsed="false" customWidth="true" hidden="false" outlineLevel="0" max="5" min="5" style="0" width="26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24"/>
    <col collapsed="false" customWidth="true" hidden="false" outlineLevel="0" max="10" min="10" style="0" width="8"/>
    <col collapsed="false" customWidth="true" hidden="false" outlineLevel="0" max="11" min="11" style="0" width="12"/>
    <col collapsed="false" customWidth="true" hidden="false" outlineLevel="0" max="12" min="12" style="0" width="28"/>
  </cols>
  <sheetData>
    <row r="1" customFormat="false" ht="17.35" hidden="false" customHeight="false" outlineLevel="0" collapsed="false">
      <c r="A1" s="14" t="s">
        <v>297</v>
      </c>
    </row>
    <row r="2" customFormat="false" ht="15" hidden="false" customHeight="false" outlineLevel="0" collapsed="false">
      <c r="A2" s="15" t="s">
        <v>298</v>
      </c>
    </row>
    <row r="3" customFormat="false" ht="15" hidden="false" customHeight="false" outlineLevel="0" collapsed="false">
      <c r="A3" s="15" t="s">
        <v>299</v>
      </c>
    </row>
    <row r="4" customFormat="false" ht="48" hidden="false" customHeight="true" outlineLevel="0" collapsed="false">
      <c r="A4" s="9" t="s">
        <v>65</v>
      </c>
      <c r="B4" s="9" t="s">
        <v>300</v>
      </c>
      <c r="C4" s="9" t="s">
        <v>301</v>
      </c>
      <c r="D4" s="16" t="s">
        <v>225</v>
      </c>
      <c r="E4" s="16" t="s">
        <v>302</v>
      </c>
      <c r="F4" s="9" t="s">
        <v>303</v>
      </c>
      <c r="G4" s="9" t="s">
        <v>304</v>
      </c>
      <c r="H4" s="9" t="s">
        <v>305</v>
      </c>
      <c r="I4" s="9" t="s">
        <v>306</v>
      </c>
      <c r="J4" s="16" t="s">
        <v>307</v>
      </c>
      <c r="K4" s="9" t="s">
        <v>71</v>
      </c>
      <c r="L4" s="9" t="s">
        <v>74</v>
      </c>
    </row>
    <row r="5" customFormat="false" ht="23.85" hidden="false" customHeight="false" outlineLevel="0" collapsed="false">
      <c r="A5" s="17" t="n">
        <v>45895</v>
      </c>
      <c r="B5" s="18" t="s">
        <v>288</v>
      </c>
      <c r="C5" s="20" t="s">
        <v>242</v>
      </c>
      <c r="D5" s="30" t="str">
        <f aca="false">IF(C5="","",IF(LEN(UPPER(SUBSTITUTE(SUBSTITUTE(SUBSTITUTE(SUBSTITUTE(TRIM(C5),".",""),"/",""),"-","")," ","")))&lt;14,RIGHT(REPT("0",14)&amp;UPPER(SUBSTITUTE(SUBSTITUTE(SUBSTITUTE(SUBSTITUTE(TRIM(C5),".",""),"/",""),"-","")," ","")),14),UPPER(SUBSTITUTE(SUBSTITUTE(SUBSTITUTE(SUBSTITUTE(TRIM(C5),".",""),"/",""),"-","")," ",""))))</f>
        <v>11222333000186</v>
      </c>
      <c r="E5" s="21" t="str">
        <f aca="false">IF(D5="","",IFERROR(INDEX(Empresas!$C:$C,MATCH(D5,Empresas!$B:$B,0)),"cadastre o CNPJ em Empresas"))</f>
        <v>ALIMENTOS MODELO LTDA</v>
      </c>
      <c r="F5" s="19" t="s">
        <v>308</v>
      </c>
      <c r="G5" s="32" t="n">
        <v>480000</v>
      </c>
      <c r="H5" s="20" t="s">
        <v>309</v>
      </c>
      <c r="I5" s="18" t="s">
        <v>310</v>
      </c>
      <c r="J5" s="26" t="n">
        <f aca="false">IF(A5="","",YEAR(A5))</f>
        <v>2025</v>
      </c>
      <c r="K5" s="20" t="s">
        <v>104</v>
      </c>
      <c r="L5" s="18" t="s">
        <v>81</v>
      </c>
    </row>
    <row r="6" customFormat="false" ht="23.85" hidden="false" customHeight="false" outlineLevel="0" collapsed="false">
      <c r="A6" s="17" t="n">
        <v>45930</v>
      </c>
      <c r="B6" s="18" t="s">
        <v>288</v>
      </c>
      <c r="C6" s="20" t="s">
        <v>242</v>
      </c>
      <c r="D6" s="30" t="str">
        <f aca="false">IF(C6="","",IF(LEN(UPPER(SUBSTITUTE(SUBSTITUTE(SUBSTITUTE(SUBSTITUTE(TRIM(C6),".",""),"/",""),"-","")," ","")))&lt;14,RIGHT(REPT("0",14)&amp;UPPER(SUBSTITUTE(SUBSTITUTE(SUBSTITUTE(SUBSTITUTE(TRIM(C6),".",""),"/",""),"-","")," ","")),14),UPPER(SUBSTITUTE(SUBSTITUTE(SUBSTITUTE(SUBSTITUTE(TRIM(C6),".",""),"/",""),"-","")," ",""))))</f>
        <v>11222333000186</v>
      </c>
      <c r="E6" s="21" t="str">
        <f aca="false">IF(D6="","",IFERROR(INDEX(Empresas!$C:$C,MATCH(D6,Empresas!$B:$B,0)),"cadastre o CNPJ em Empresas"))</f>
        <v>ALIMENTOS MODELO LTDA</v>
      </c>
      <c r="F6" s="19" t="s">
        <v>102</v>
      </c>
      <c r="G6" s="32" t="n">
        <v>120000</v>
      </c>
      <c r="H6" s="20" t="s">
        <v>311</v>
      </c>
      <c r="I6" s="18" t="s">
        <v>310</v>
      </c>
      <c r="J6" s="26" t="n">
        <f aca="false">IF(A6="","",YEAR(A6))</f>
        <v>2025</v>
      </c>
      <c r="K6" s="20" t="s">
        <v>104</v>
      </c>
      <c r="L6" s="18" t="s">
        <v>81</v>
      </c>
    </row>
    <row r="7" customFormat="false" ht="23.85" hidden="false" customHeight="false" outlineLevel="0" collapsed="false">
      <c r="A7" s="17" t="n">
        <v>45961</v>
      </c>
      <c r="B7" s="18" t="s">
        <v>288</v>
      </c>
      <c r="C7" s="20" t="s">
        <v>242</v>
      </c>
      <c r="D7" s="30" t="str">
        <f aca="false">IF(C7="","",IF(LEN(UPPER(SUBSTITUTE(SUBSTITUTE(SUBSTITUTE(SUBSTITUTE(TRIM(C7),".",""),"/",""),"-","")," ","")))&lt;14,RIGHT(REPT("0",14)&amp;UPPER(SUBSTITUTE(SUBSTITUTE(SUBSTITUTE(SUBSTITUTE(TRIM(C7),".",""),"/",""),"-","")," ","")),14),UPPER(SUBSTITUTE(SUBSTITUTE(SUBSTITUTE(SUBSTITUTE(TRIM(C7),".",""),"/",""),"-","")," ",""))))</f>
        <v>11222333000186</v>
      </c>
      <c r="E7" s="21" t="str">
        <f aca="false">IF(D7="","",IFERROR(INDEX(Empresas!$C:$C,MATCH(D7,Empresas!$B:$B,0)),"cadastre o CNPJ em Empresas"))</f>
        <v>ALIMENTOS MODELO LTDA</v>
      </c>
      <c r="F7" s="19" t="s">
        <v>102</v>
      </c>
      <c r="G7" s="32" t="n">
        <v>120000</v>
      </c>
      <c r="H7" s="20" t="s">
        <v>312</v>
      </c>
      <c r="I7" s="18" t="s">
        <v>310</v>
      </c>
      <c r="J7" s="26" t="n">
        <f aca="false">IF(A7="","",YEAR(A7))</f>
        <v>2025</v>
      </c>
      <c r="K7" s="20" t="s">
        <v>104</v>
      </c>
      <c r="L7" s="18" t="s">
        <v>81</v>
      </c>
    </row>
    <row r="8" customFormat="false" ht="15" hidden="false" customHeight="false" outlineLevel="0" collapsed="false">
      <c r="A8" s="22"/>
      <c r="B8" s="11"/>
      <c r="C8" s="24"/>
      <c r="D8" s="31" t="str">
        <f aca="false">IF(C8="","",IF(LEN(UPPER(SUBSTITUTE(SUBSTITUTE(SUBSTITUTE(SUBSTITUTE(TRIM(C8),".",""),"/",""),"-","")," ","")))&lt;14,RIGHT(REPT("0",14)&amp;UPPER(SUBSTITUTE(SUBSTITUTE(SUBSTITUTE(SUBSTITUTE(TRIM(C8),".",""),"/",""),"-","")," ","")),14),UPPER(SUBSTITUTE(SUBSTITUTE(SUBSTITUTE(SUBSTITUTE(TRIM(C8),".",""),"/",""),"-","")," ",""))))</f>
        <v/>
      </c>
      <c r="E8" s="25" t="str">
        <f aca="false">IF(D8="","",IFERROR(INDEX(Empresas!$C:$C,MATCH(D8,Empresas!$B:$B,0)),"cadastre o CNPJ em Empresas"))</f>
        <v/>
      </c>
      <c r="F8" s="23"/>
      <c r="G8" s="35"/>
      <c r="H8" s="24"/>
      <c r="I8" s="11"/>
      <c r="J8" s="27" t="str">
        <f aca="false">IF(A8="","",YEAR(A8))</f>
        <v/>
      </c>
      <c r="K8" s="24"/>
      <c r="L8" s="11"/>
    </row>
    <row r="9" customFormat="false" ht="15" hidden="false" customHeight="false" outlineLevel="0" collapsed="false">
      <c r="A9" s="22"/>
      <c r="B9" s="11"/>
      <c r="C9" s="24"/>
      <c r="D9" s="31" t="str">
        <f aca="false">IF(C9="","",IF(LEN(UPPER(SUBSTITUTE(SUBSTITUTE(SUBSTITUTE(SUBSTITUTE(TRIM(C9),".",""),"/",""),"-","")," ","")))&lt;14,RIGHT(REPT("0",14)&amp;UPPER(SUBSTITUTE(SUBSTITUTE(SUBSTITUTE(SUBSTITUTE(TRIM(C9),".",""),"/",""),"-","")," ","")),14),UPPER(SUBSTITUTE(SUBSTITUTE(SUBSTITUTE(SUBSTITUTE(TRIM(C9),".",""),"/",""),"-","")," ",""))))</f>
        <v/>
      </c>
      <c r="E9" s="25" t="str">
        <f aca="false">IF(D9="","",IFERROR(INDEX(Empresas!$C:$C,MATCH(D9,Empresas!$B:$B,0)),"cadastre o CNPJ em Empresas"))</f>
        <v/>
      </c>
      <c r="F9" s="23"/>
      <c r="G9" s="35"/>
      <c r="H9" s="24"/>
      <c r="I9" s="11"/>
      <c r="J9" s="27" t="str">
        <f aca="false">IF(A9="","",YEAR(A9))</f>
        <v/>
      </c>
      <c r="K9" s="24"/>
      <c r="L9" s="11"/>
    </row>
    <row r="10" customFormat="false" ht="15" hidden="false" customHeight="false" outlineLevel="0" collapsed="false">
      <c r="A10" s="22"/>
      <c r="B10" s="11"/>
      <c r="C10" s="24"/>
      <c r="D10" s="31" t="str">
        <f aca="false">IF(C10="","",IF(LEN(UPPER(SUBSTITUTE(SUBSTITUTE(SUBSTITUTE(SUBSTITUTE(TRIM(C10),".",""),"/",""),"-","")," ","")))&lt;14,RIGHT(REPT("0",14)&amp;UPPER(SUBSTITUTE(SUBSTITUTE(SUBSTITUTE(SUBSTITUTE(TRIM(C10),".",""),"/",""),"-","")," ","")),14),UPPER(SUBSTITUTE(SUBSTITUTE(SUBSTITUTE(SUBSTITUTE(TRIM(C10),".",""),"/",""),"-","")," ",""))))</f>
        <v/>
      </c>
      <c r="E10" s="25" t="str">
        <f aca="false">IF(D10="","",IFERROR(INDEX(Empresas!$C:$C,MATCH(D10,Empresas!$B:$B,0)),"cadastre o CNPJ em Empresas"))</f>
        <v/>
      </c>
      <c r="F10" s="23"/>
      <c r="G10" s="35"/>
      <c r="H10" s="24"/>
      <c r="I10" s="11"/>
      <c r="J10" s="27" t="str">
        <f aca="false">IF(A10="","",YEAR(A10))</f>
        <v/>
      </c>
      <c r="K10" s="24"/>
      <c r="L10" s="11"/>
    </row>
    <row r="11" customFormat="false" ht="15" hidden="false" customHeight="false" outlineLevel="0" collapsed="false">
      <c r="A11" s="22"/>
      <c r="B11" s="11"/>
      <c r="C11" s="24"/>
      <c r="D11" s="31" t="str">
        <f aca="false">IF(C11="","",IF(LEN(UPPER(SUBSTITUTE(SUBSTITUTE(SUBSTITUTE(SUBSTITUTE(TRIM(C11),".",""),"/",""),"-","")," ","")))&lt;14,RIGHT(REPT("0",14)&amp;UPPER(SUBSTITUTE(SUBSTITUTE(SUBSTITUTE(SUBSTITUTE(TRIM(C11),".",""),"/",""),"-","")," ","")),14),UPPER(SUBSTITUTE(SUBSTITUTE(SUBSTITUTE(SUBSTITUTE(TRIM(C11),".",""),"/",""),"-","")," ",""))))</f>
        <v/>
      </c>
      <c r="E11" s="25" t="str">
        <f aca="false">IF(D11="","",IFERROR(INDEX(Empresas!$C:$C,MATCH(D11,Empresas!$B:$B,0)),"cadastre o CNPJ em Empresas"))</f>
        <v/>
      </c>
      <c r="F11" s="23"/>
      <c r="G11" s="35"/>
      <c r="H11" s="24"/>
      <c r="I11" s="11"/>
      <c r="J11" s="27" t="str">
        <f aca="false">IF(A11="","",YEAR(A11))</f>
        <v/>
      </c>
      <c r="K11" s="24"/>
      <c r="L11" s="11"/>
    </row>
    <row r="12" customFormat="false" ht="15" hidden="false" customHeight="false" outlineLevel="0" collapsed="false">
      <c r="A12" s="22"/>
      <c r="B12" s="11"/>
      <c r="C12" s="24"/>
      <c r="D12" s="31" t="str">
        <f aca="false">IF(C12="","",IF(LEN(UPPER(SUBSTITUTE(SUBSTITUTE(SUBSTITUTE(SUBSTITUTE(TRIM(C12),".",""),"/",""),"-","")," ","")))&lt;14,RIGHT(REPT("0",14)&amp;UPPER(SUBSTITUTE(SUBSTITUTE(SUBSTITUTE(SUBSTITUTE(TRIM(C12),".",""),"/",""),"-","")," ","")),14),UPPER(SUBSTITUTE(SUBSTITUTE(SUBSTITUTE(SUBSTITUTE(TRIM(C12),".",""),"/",""),"-","")," ",""))))</f>
        <v/>
      </c>
      <c r="E12" s="25" t="str">
        <f aca="false">IF(D12="","",IFERROR(INDEX(Empresas!$C:$C,MATCH(D12,Empresas!$B:$B,0)),"cadastre o CNPJ em Empresas"))</f>
        <v/>
      </c>
      <c r="F12" s="23"/>
      <c r="G12" s="35"/>
      <c r="H12" s="24"/>
      <c r="I12" s="11"/>
      <c r="J12" s="27" t="str">
        <f aca="false">IF(A12="","",YEAR(A12))</f>
        <v/>
      </c>
      <c r="K12" s="24"/>
      <c r="L12" s="11"/>
    </row>
    <row r="13" customFormat="false" ht="15" hidden="false" customHeight="false" outlineLevel="0" collapsed="false">
      <c r="A13" s="22"/>
      <c r="B13" s="11"/>
      <c r="C13" s="24"/>
      <c r="D13" s="31" t="str">
        <f aca="false">IF(C13="","",IF(LEN(UPPER(SUBSTITUTE(SUBSTITUTE(SUBSTITUTE(SUBSTITUTE(TRIM(C13),".",""),"/",""),"-","")," ","")))&lt;14,RIGHT(REPT("0",14)&amp;UPPER(SUBSTITUTE(SUBSTITUTE(SUBSTITUTE(SUBSTITUTE(TRIM(C13),".",""),"/",""),"-","")," ","")),14),UPPER(SUBSTITUTE(SUBSTITUTE(SUBSTITUTE(SUBSTITUTE(TRIM(C13),".",""),"/",""),"-","")," ",""))))</f>
        <v/>
      </c>
      <c r="E13" s="25" t="str">
        <f aca="false">IF(D13="","",IFERROR(INDEX(Empresas!$C:$C,MATCH(D13,Empresas!$B:$B,0)),"cadastre o CNPJ em Empresas"))</f>
        <v/>
      </c>
      <c r="F13" s="23"/>
      <c r="G13" s="35"/>
      <c r="H13" s="24"/>
      <c r="I13" s="11"/>
      <c r="J13" s="27" t="str">
        <f aca="false">IF(A13="","",YEAR(A13))</f>
        <v/>
      </c>
      <c r="K13" s="24"/>
      <c r="L13" s="11"/>
    </row>
    <row r="14" customFormat="false" ht="15" hidden="false" customHeight="false" outlineLevel="0" collapsed="false">
      <c r="A14" s="22"/>
      <c r="B14" s="11"/>
      <c r="C14" s="24"/>
      <c r="D14" s="31" t="str">
        <f aca="false">IF(C14="","",IF(LEN(UPPER(SUBSTITUTE(SUBSTITUTE(SUBSTITUTE(SUBSTITUTE(TRIM(C14),".",""),"/",""),"-","")," ","")))&lt;14,RIGHT(REPT("0",14)&amp;UPPER(SUBSTITUTE(SUBSTITUTE(SUBSTITUTE(SUBSTITUTE(TRIM(C14),".",""),"/",""),"-","")," ","")),14),UPPER(SUBSTITUTE(SUBSTITUTE(SUBSTITUTE(SUBSTITUTE(TRIM(C14),".",""),"/",""),"-","")," ",""))))</f>
        <v/>
      </c>
      <c r="E14" s="25" t="str">
        <f aca="false">IF(D14="","",IFERROR(INDEX(Empresas!$C:$C,MATCH(D14,Empresas!$B:$B,0)),"cadastre o CNPJ em Empresas"))</f>
        <v/>
      </c>
      <c r="F14" s="23"/>
      <c r="G14" s="35"/>
      <c r="H14" s="24"/>
      <c r="I14" s="11"/>
      <c r="J14" s="27" t="str">
        <f aca="false">IF(A14="","",YEAR(A14))</f>
        <v/>
      </c>
      <c r="K14" s="24"/>
      <c r="L14" s="11"/>
    </row>
    <row r="15" customFormat="false" ht="15" hidden="false" customHeight="false" outlineLevel="0" collapsed="false">
      <c r="A15" s="22"/>
      <c r="B15" s="11"/>
      <c r="C15" s="24"/>
      <c r="D15" s="31" t="str">
        <f aca="false">IF(C15="","",IF(LEN(UPPER(SUBSTITUTE(SUBSTITUTE(SUBSTITUTE(SUBSTITUTE(TRIM(C15),".",""),"/",""),"-","")," ","")))&lt;14,RIGHT(REPT("0",14)&amp;UPPER(SUBSTITUTE(SUBSTITUTE(SUBSTITUTE(SUBSTITUTE(TRIM(C15),".",""),"/",""),"-","")," ","")),14),UPPER(SUBSTITUTE(SUBSTITUTE(SUBSTITUTE(SUBSTITUTE(TRIM(C15),".",""),"/",""),"-","")," ",""))))</f>
        <v/>
      </c>
      <c r="E15" s="25" t="str">
        <f aca="false">IF(D15="","",IFERROR(INDEX(Empresas!$C:$C,MATCH(D15,Empresas!$B:$B,0)),"cadastre o CNPJ em Empresas"))</f>
        <v/>
      </c>
      <c r="F15" s="23"/>
      <c r="G15" s="35"/>
      <c r="H15" s="24"/>
      <c r="I15" s="11"/>
      <c r="J15" s="27" t="str">
        <f aca="false">IF(A15="","",YEAR(A15))</f>
        <v/>
      </c>
      <c r="K15" s="24"/>
      <c r="L15" s="11"/>
    </row>
    <row r="16" customFormat="false" ht="15" hidden="false" customHeight="false" outlineLevel="0" collapsed="false">
      <c r="A16" s="22"/>
      <c r="B16" s="11"/>
      <c r="C16" s="24"/>
      <c r="D16" s="31" t="str">
        <f aca="false">IF(C16="","",IF(LEN(UPPER(SUBSTITUTE(SUBSTITUTE(SUBSTITUTE(SUBSTITUTE(TRIM(C16),".",""),"/",""),"-","")," ","")))&lt;14,RIGHT(REPT("0",14)&amp;UPPER(SUBSTITUTE(SUBSTITUTE(SUBSTITUTE(SUBSTITUTE(TRIM(C16),".",""),"/",""),"-","")," ","")),14),UPPER(SUBSTITUTE(SUBSTITUTE(SUBSTITUTE(SUBSTITUTE(TRIM(C16),".",""),"/",""),"-","")," ",""))))</f>
        <v/>
      </c>
      <c r="E16" s="25" t="str">
        <f aca="false">IF(D16="","",IFERROR(INDEX(Empresas!$C:$C,MATCH(D16,Empresas!$B:$B,0)),"cadastre o CNPJ em Empresas"))</f>
        <v/>
      </c>
      <c r="F16" s="23"/>
      <c r="G16" s="35"/>
      <c r="H16" s="24"/>
      <c r="I16" s="11"/>
      <c r="J16" s="27" t="str">
        <f aca="false">IF(A16="","",YEAR(A16))</f>
        <v/>
      </c>
      <c r="K16" s="24"/>
      <c r="L16" s="11"/>
    </row>
    <row r="17" customFormat="false" ht="15" hidden="false" customHeight="false" outlineLevel="0" collapsed="false">
      <c r="A17" s="22"/>
      <c r="B17" s="11"/>
      <c r="C17" s="24"/>
      <c r="D17" s="31" t="str">
        <f aca="false">IF(C17="","",IF(LEN(UPPER(SUBSTITUTE(SUBSTITUTE(SUBSTITUTE(SUBSTITUTE(TRIM(C17),".",""),"/",""),"-","")," ","")))&lt;14,RIGHT(REPT("0",14)&amp;UPPER(SUBSTITUTE(SUBSTITUTE(SUBSTITUTE(SUBSTITUTE(TRIM(C17),".",""),"/",""),"-","")," ","")),14),UPPER(SUBSTITUTE(SUBSTITUTE(SUBSTITUTE(SUBSTITUTE(TRIM(C17),".",""),"/",""),"-","")," ",""))))</f>
        <v/>
      </c>
      <c r="E17" s="25" t="str">
        <f aca="false">IF(D17="","",IFERROR(INDEX(Empresas!$C:$C,MATCH(D17,Empresas!$B:$B,0)),"cadastre o CNPJ em Empresas"))</f>
        <v/>
      </c>
      <c r="F17" s="23"/>
      <c r="G17" s="35"/>
      <c r="H17" s="24"/>
      <c r="I17" s="11"/>
      <c r="J17" s="27" t="str">
        <f aca="false">IF(A17="","",YEAR(A17))</f>
        <v/>
      </c>
      <c r="K17" s="24"/>
      <c r="L17" s="11"/>
    </row>
    <row r="18" customFormat="false" ht="15" hidden="false" customHeight="false" outlineLevel="0" collapsed="false">
      <c r="A18" s="22"/>
      <c r="B18" s="11"/>
      <c r="C18" s="24"/>
      <c r="D18" s="31" t="str">
        <f aca="false">IF(C18="","",IF(LEN(UPPER(SUBSTITUTE(SUBSTITUTE(SUBSTITUTE(SUBSTITUTE(TRIM(C18),".",""),"/",""),"-","")," ","")))&lt;14,RIGHT(REPT("0",14)&amp;UPPER(SUBSTITUTE(SUBSTITUTE(SUBSTITUTE(SUBSTITUTE(TRIM(C18),".",""),"/",""),"-","")," ","")),14),UPPER(SUBSTITUTE(SUBSTITUTE(SUBSTITUTE(SUBSTITUTE(TRIM(C18),".",""),"/",""),"-","")," ",""))))</f>
        <v/>
      </c>
      <c r="E18" s="25" t="str">
        <f aca="false">IF(D18="","",IFERROR(INDEX(Empresas!$C:$C,MATCH(D18,Empresas!$B:$B,0)),"cadastre o CNPJ em Empresas"))</f>
        <v/>
      </c>
      <c r="F18" s="23"/>
      <c r="G18" s="35"/>
      <c r="H18" s="24"/>
      <c r="I18" s="11"/>
      <c r="J18" s="27" t="str">
        <f aca="false">IF(A18="","",YEAR(A18))</f>
        <v/>
      </c>
      <c r="K18" s="24"/>
      <c r="L18" s="11"/>
    </row>
    <row r="19" customFormat="false" ht="15" hidden="false" customHeight="false" outlineLevel="0" collapsed="false">
      <c r="A19" s="22"/>
      <c r="B19" s="11"/>
      <c r="C19" s="24"/>
      <c r="D19" s="31" t="str">
        <f aca="false">IF(C19="","",IF(LEN(UPPER(SUBSTITUTE(SUBSTITUTE(SUBSTITUTE(SUBSTITUTE(TRIM(C19),".",""),"/",""),"-","")," ","")))&lt;14,RIGHT(REPT("0",14)&amp;UPPER(SUBSTITUTE(SUBSTITUTE(SUBSTITUTE(SUBSTITUTE(TRIM(C19),".",""),"/",""),"-","")," ","")),14),UPPER(SUBSTITUTE(SUBSTITUTE(SUBSTITUTE(SUBSTITUTE(TRIM(C19),".",""),"/",""),"-","")," ",""))))</f>
        <v/>
      </c>
      <c r="E19" s="25" t="str">
        <f aca="false">IF(D19="","",IFERROR(INDEX(Empresas!$C:$C,MATCH(D19,Empresas!$B:$B,0)),"cadastre o CNPJ em Empresas"))</f>
        <v/>
      </c>
      <c r="F19" s="23"/>
      <c r="G19" s="35"/>
      <c r="H19" s="24"/>
      <c r="I19" s="11"/>
      <c r="J19" s="27" t="str">
        <f aca="false">IF(A19="","",YEAR(A19))</f>
        <v/>
      </c>
      <c r="K19" s="24"/>
      <c r="L19" s="11"/>
    </row>
    <row r="20" customFormat="false" ht="15" hidden="false" customHeight="false" outlineLevel="0" collapsed="false">
      <c r="A20" s="22"/>
      <c r="B20" s="11"/>
      <c r="C20" s="24"/>
      <c r="D20" s="31" t="str">
        <f aca="false">IF(C20="","",IF(LEN(UPPER(SUBSTITUTE(SUBSTITUTE(SUBSTITUTE(SUBSTITUTE(TRIM(C20),".",""),"/",""),"-","")," ","")))&lt;14,RIGHT(REPT("0",14)&amp;UPPER(SUBSTITUTE(SUBSTITUTE(SUBSTITUTE(SUBSTITUTE(TRIM(C20),".",""),"/",""),"-","")," ","")),14),UPPER(SUBSTITUTE(SUBSTITUTE(SUBSTITUTE(SUBSTITUTE(TRIM(C20),".",""),"/",""),"-","")," ",""))))</f>
        <v/>
      </c>
      <c r="E20" s="25" t="str">
        <f aca="false">IF(D20="","",IFERROR(INDEX(Empresas!$C:$C,MATCH(D20,Empresas!$B:$B,0)),"cadastre o CNPJ em Empresas"))</f>
        <v/>
      </c>
      <c r="F20" s="23"/>
      <c r="G20" s="35"/>
      <c r="H20" s="24"/>
      <c r="I20" s="11"/>
      <c r="J20" s="27" t="str">
        <f aca="false">IF(A20="","",YEAR(A20))</f>
        <v/>
      </c>
      <c r="K20" s="24"/>
      <c r="L20" s="11"/>
    </row>
    <row r="21" customFormat="false" ht="15" hidden="false" customHeight="false" outlineLevel="0" collapsed="false">
      <c r="A21" s="22"/>
      <c r="B21" s="11"/>
      <c r="C21" s="24"/>
      <c r="D21" s="31" t="str">
        <f aca="false">IF(C21="","",IF(LEN(UPPER(SUBSTITUTE(SUBSTITUTE(SUBSTITUTE(SUBSTITUTE(TRIM(C21),".",""),"/",""),"-","")," ","")))&lt;14,RIGHT(REPT("0",14)&amp;UPPER(SUBSTITUTE(SUBSTITUTE(SUBSTITUTE(SUBSTITUTE(TRIM(C21),".",""),"/",""),"-","")," ","")),14),UPPER(SUBSTITUTE(SUBSTITUTE(SUBSTITUTE(SUBSTITUTE(TRIM(C21),".",""),"/",""),"-","")," ",""))))</f>
        <v/>
      </c>
      <c r="E21" s="25" t="str">
        <f aca="false">IF(D21="","",IFERROR(INDEX(Empresas!$C:$C,MATCH(D21,Empresas!$B:$B,0)),"cadastre o CNPJ em Empresas"))</f>
        <v/>
      </c>
      <c r="F21" s="23"/>
      <c r="G21" s="35"/>
      <c r="H21" s="24"/>
      <c r="I21" s="11"/>
      <c r="J21" s="27" t="str">
        <f aca="false">IF(A21="","",YEAR(A21))</f>
        <v/>
      </c>
      <c r="K21" s="24"/>
      <c r="L21" s="11"/>
    </row>
    <row r="22" customFormat="false" ht="15" hidden="false" customHeight="false" outlineLevel="0" collapsed="false">
      <c r="A22" s="22"/>
      <c r="B22" s="11"/>
      <c r="C22" s="24"/>
      <c r="D22" s="31" t="str">
        <f aca="false">IF(C22="","",IF(LEN(UPPER(SUBSTITUTE(SUBSTITUTE(SUBSTITUTE(SUBSTITUTE(TRIM(C22),".",""),"/",""),"-","")," ","")))&lt;14,RIGHT(REPT("0",14)&amp;UPPER(SUBSTITUTE(SUBSTITUTE(SUBSTITUTE(SUBSTITUTE(TRIM(C22),".",""),"/",""),"-","")," ","")),14),UPPER(SUBSTITUTE(SUBSTITUTE(SUBSTITUTE(SUBSTITUTE(TRIM(C22),".",""),"/",""),"-","")," ",""))))</f>
        <v/>
      </c>
      <c r="E22" s="25" t="str">
        <f aca="false">IF(D22="","",IFERROR(INDEX(Empresas!$C:$C,MATCH(D22,Empresas!$B:$B,0)),"cadastre o CNPJ em Empresas"))</f>
        <v/>
      </c>
      <c r="F22" s="23"/>
      <c r="G22" s="35"/>
      <c r="H22" s="24"/>
      <c r="I22" s="11"/>
      <c r="J22" s="27" t="str">
        <f aca="false">IF(A22="","",YEAR(A22))</f>
        <v/>
      </c>
      <c r="K22" s="24"/>
      <c r="L22" s="11"/>
    </row>
    <row r="23" customFormat="false" ht="15" hidden="false" customHeight="false" outlineLevel="0" collapsed="false">
      <c r="A23" s="22"/>
      <c r="B23" s="11"/>
      <c r="C23" s="24"/>
      <c r="D23" s="31" t="str">
        <f aca="false">IF(C23="","",IF(LEN(UPPER(SUBSTITUTE(SUBSTITUTE(SUBSTITUTE(SUBSTITUTE(TRIM(C23),".",""),"/",""),"-","")," ","")))&lt;14,RIGHT(REPT("0",14)&amp;UPPER(SUBSTITUTE(SUBSTITUTE(SUBSTITUTE(SUBSTITUTE(TRIM(C23),".",""),"/",""),"-","")," ","")),14),UPPER(SUBSTITUTE(SUBSTITUTE(SUBSTITUTE(SUBSTITUTE(TRIM(C23),".",""),"/",""),"-","")," ",""))))</f>
        <v/>
      </c>
      <c r="E23" s="25" t="str">
        <f aca="false">IF(D23="","",IFERROR(INDEX(Empresas!$C:$C,MATCH(D23,Empresas!$B:$B,0)),"cadastre o CNPJ em Empresas"))</f>
        <v/>
      </c>
      <c r="F23" s="23"/>
      <c r="G23" s="35"/>
      <c r="H23" s="24"/>
      <c r="I23" s="11"/>
      <c r="J23" s="27" t="str">
        <f aca="false">IF(A23="","",YEAR(A23))</f>
        <v/>
      </c>
      <c r="K23" s="24"/>
      <c r="L23" s="11"/>
    </row>
    <row r="24" customFormat="false" ht="15" hidden="false" customHeight="false" outlineLevel="0" collapsed="false">
      <c r="A24" s="22"/>
      <c r="B24" s="11"/>
      <c r="C24" s="24"/>
      <c r="D24" s="31" t="str">
        <f aca="false">IF(C24="","",IF(LEN(UPPER(SUBSTITUTE(SUBSTITUTE(SUBSTITUTE(SUBSTITUTE(TRIM(C24),".",""),"/",""),"-","")," ","")))&lt;14,RIGHT(REPT("0",14)&amp;UPPER(SUBSTITUTE(SUBSTITUTE(SUBSTITUTE(SUBSTITUTE(TRIM(C24),".",""),"/",""),"-","")," ","")),14),UPPER(SUBSTITUTE(SUBSTITUTE(SUBSTITUTE(SUBSTITUTE(TRIM(C24),".",""),"/",""),"-","")," ",""))))</f>
        <v/>
      </c>
      <c r="E24" s="25" t="str">
        <f aca="false">IF(D24="","",IFERROR(INDEX(Empresas!$C:$C,MATCH(D24,Empresas!$B:$B,0)),"cadastre o CNPJ em Empresas"))</f>
        <v/>
      </c>
      <c r="F24" s="23"/>
      <c r="G24" s="35"/>
      <c r="H24" s="24"/>
      <c r="I24" s="11"/>
      <c r="J24" s="27" t="str">
        <f aca="false">IF(A24="","",YEAR(A24))</f>
        <v/>
      </c>
      <c r="K24" s="24"/>
      <c r="L24" s="11"/>
    </row>
    <row r="25" customFormat="false" ht="15" hidden="false" customHeight="false" outlineLevel="0" collapsed="false">
      <c r="A25" s="22"/>
      <c r="B25" s="11"/>
      <c r="C25" s="24"/>
      <c r="D25" s="31" t="str">
        <f aca="false">IF(C25="","",IF(LEN(UPPER(SUBSTITUTE(SUBSTITUTE(SUBSTITUTE(SUBSTITUTE(TRIM(C25),".",""),"/",""),"-","")," ","")))&lt;14,RIGHT(REPT("0",14)&amp;UPPER(SUBSTITUTE(SUBSTITUTE(SUBSTITUTE(SUBSTITUTE(TRIM(C25),".",""),"/",""),"-","")," ","")),14),UPPER(SUBSTITUTE(SUBSTITUTE(SUBSTITUTE(SUBSTITUTE(TRIM(C25),".",""),"/",""),"-","")," ",""))))</f>
        <v/>
      </c>
      <c r="E25" s="25" t="str">
        <f aca="false">IF(D25="","",IFERROR(INDEX(Empresas!$C:$C,MATCH(D25,Empresas!$B:$B,0)),"cadastre o CNPJ em Empresas"))</f>
        <v/>
      </c>
      <c r="F25" s="23"/>
      <c r="G25" s="35"/>
      <c r="H25" s="24"/>
      <c r="I25" s="11"/>
      <c r="J25" s="27" t="str">
        <f aca="false">IF(A25="","",YEAR(A25))</f>
        <v/>
      </c>
      <c r="K25" s="24"/>
      <c r="L25" s="11"/>
    </row>
    <row r="26" customFormat="false" ht="15" hidden="false" customHeight="false" outlineLevel="0" collapsed="false">
      <c r="A26" s="22"/>
      <c r="B26" s="11"/>
      <c r="C26" s="24"/>
      <c r="D26" s="31" t="str">
        <f aca="false">IF(C26="","",IF(LEN(UPPER(SUBSTITUTE(SUBSTITUTE(SUBSTITUTE(SUBSTITUTE(TRIM(C26),".",""),"/",""),"-","")," ","")))&lt;14,RIGHT(REPT("0",14)&amp;UPPER(SUBSTITUTE(SUBSTITUTE(SUBSTITUTE(SUBSTITUTE(TRIM(C26),".",""),"/",""),"-","")," ","")),14),UPPER(SUBSTITUTE(SUBSTITUTE(SUBSTITUTE(SUBSTITUTE(TRIM(C26),".",""),"/",""),"-","")," ",""))))</f>
        <v/>
      </c>
      <c r="E26" s="25" t="str">
        <f aca="false">IF(D26="","",IFERROR(INDEX(Empresas!$C:$C,MATCH(D26,Empresas!$B:$B,0)),"cadastre o CNPJ em Empresas"))</f>
        <v/>
      </c>
      <c r="F26" s="23"/>
      <c r="G26" s="35"/>
      <c r="H26" s="24"/>
      <c r="I26" s="11"/>
      <c r="J26" s="27" t="str">
        <f aca="false">IF(A26="","",YEAR(A26))</f>
        <v/>
      </c>
      <c r="K26" s="24"/>
      <c r="L26" s="11"/>
    </row>
    <row r="27" customFormat="false" ht="15" hidden="false" customHeight="false" outlineLevel="0" collapsed="false">
      <c r="A27" s="22"/>
      <c r="B27" s="11"/>
      <c r="C27" s="24"/>
      <c r="D27" s="31" t="str">
        <f aca="false">IF(C27="","",IF(LEN(UPPER(SUBSTITUTE(SUBSTITUTE(SUBSTITUTE(SUBSTITUTE(TRIM(C27),".",""),"/",""),"-","")," ","")))&lt;14,RIGHT(REPT("0",14)&amp;UPPER(SUBSTITUTE(SUBSTITUTE(SUBSTITUTE(SUBSTITUTE(TRIM(C27),".",""),"/",""),"-","")," ","")),14),UPPER(SUBSTITUTE(SUBSTITUTE(SUBSTITUTE(SUBSTITUTE(TRIM(C27),".",""),"/",""),"-","")," ",""))))</f>
        <v/>
      </c>
      <c r="E27" s="25" t="str">
        <f aca="false">IF(D27="","",IFERROR(INDEX(Empresas!$C:$C,MATCH(D27,Empresas!$B:$B,0)),"cadastre o CNPJ em Empresas"))</f>
        <v/>
      </c>
      <c r="F27" s="23"/>
      <c r="G27" s="35"/>
      <c r="H27" s="24"/>
      <c r="I27" s="11"/>
      <c r="J27" s="27" t="str">
        <f aca="false">IF(A27="","",YEAR(A27))</f>
        <v/>
      </c>
      <c r="K27" s="24"/>
      <c r="L27" s="11"/>
    </row>
    <row r="28" customFormat="false" ht="15" hidden="false" customHeight="false" outlineLevel="0" collapsed="false">
      <c r="A28" s="22"/>
      <c r="B28" s="11"/>
      <c r="C28" s="24"/>
      <c r="D28" s="31" t="str">
        <f aca="false">IF(C28="","",IF(LEN(UPPER(SUBSTITUTE(SUBSTITUTE(SUBSTITUTE(SUBSTITUTE(TRIM(C28),".",""),"/",""),"-","")," ","")))&lt;14,RIGHT(REPT("0",14)&amp;UPPER(SUBSTITUTE(SUBSTITUTE(SUBSTITUTE(SUBSTITUTE(TRIM(C28),".",""),"/",""),"-","")," ","")),14),UPPER(SUBSTITUTE(SUBSTITUTE(SUBSTITUTE(SUBSTITUTE(TRIM(C28),".",""),"/",""),"-","")," ",""))))</f>
        <v/>
      </c>
      <c r="E28" s="25" t="str">
        <f aca="false">IF(D28="","",IFERROR(INDEX(Empresas!$C:$C,MATCH(D28,Empresas!$B:$B,0)),"cadastre o CNPJ em Empresas"))</f>
        <v/>
      </c>
      <c r="F28" s="23"/>
      <c r="G28" s="35"/>
      <c r="H28" s="24"/>
      <c r="I28" s="11"/>
      <c r="J28" s="27" t="str">
        <f aca="false">IF(A28="","",YEAR(A28))</f>
        <v/>
      </c>
      <c r="K28" s="24"/>
      <c r="L28" s="11"/>
    </row>
    <row r="29" customFormat="false" ht="15" hidden="false" customHeight="false" outlineLevel="0" collapsed="false">
      <c r="A29" s="22"/>
      <c r="B29" s="11"/>
      <c r="C29" s="24"/>
      <c r="D29" s="31" t="str">
        <f aca="false">IF(C29="","",IF(LEN(UPPER(SUBSTITUTE(SUBSTITUTE(SUBSTITUTE(SUBSTITUTE(TRIM(C29),".",""),"/",""),"-","")," ","")))&lt;14,RIGHT(REPT("0",14)&amp;UPPER(SUBSTITUTE(SUBSTITUTE(SUBSTITUTE(SUBSTITUTE(TRIM(C29),".",""),"/",""),"-","")," ","")),14),UPPER(SUBSTITUTE(SUBSTITUTE(SUBSTITUTE(SUBSTITUTE(TRIM(C29),".",""),"/",""),"-","")," ",""))))</f>
        <v/>
      </c>
      <c r="E29" s="25" t="str">
        <f aca="false">IF(D29="","",IFERROR(INDEX(Empresas!$C:$C,MATCH(D29,Empresas!$B:$B,0)),"cadastre o CNPJ em Empresas"))</f>
        <v/>
      </c>
      <c r="F29" s="23"/>
      <c r="G29" s="35"/>
      <c r="H29" s="24"/>
      <c r="I29" s="11"/>
      <c r="J29" s="27" t="str">
        <f aca="false">IF(A29="","",YEAR(A29))</f>
        <v/>
      </c>
      <c r="K29" s="24"/>
      <c r="L29" s="11"/>
    </row>
    <row r="30" customFormat="false" ht="15" hidden="false" customHeight="false" outlineLevel="0" collapsed="false">
      <c r="A30" s="22"/>
      <c r="B30" s="11"/>
      <c r="C30" s="24"/>
      <c r="D30" s="31" t="str">
        <f aca="false">IF(C30="","",IF(LEN(UPPER(SUBSTITUTE(SUBSTITUTE(SUBSTITUTE(SUBSTITUTE(TRIM(C30),".",""),"/",""),"-","")," ","")))&lt;14,RIGHT(REPT("0",14)&amp;UPPER(SUBSTITUTE(SUBSTITUTE(SUBSTITUTE(SUBSTITUTE(TRIM(C30),".",""),"/",""),"-","")," ","")),14),UPPER(SUBSTITUTE(SUBSTITUTE(SUBSTITUTE(SUBSTITUTE(TRIM(C30),".",""),"/",""),"-","")," ",""))))</f>
        <v/>
      </c>
      <c r="E30" s="25" t="str">
        <f aca="false">IF(D30="","",IFERROR(INDEX(Empresas!$C:$C,MATCH(D30,Empresas!$B:$B,0)),"cadastre o CNPJ em Empresas"))</f>
        <v/>
      </c>
      <c r="F30" s="23"/>
      <c r="G30" s="35"/>
      <c r="H30" s="24"/>
      <c r="I30" s="11"/>
      <c r="J30" s="27" t="str">
        <f aca="false">IF(A30="","",YEAR(A30))</f>
        <v/>
      </c>
      <c r="K30" s="24"/>
      <c r="L30" s="11"/>
    </row>
    <row r="31" customFormat="false" ht="15" hidden="false" customHeight="false" outlineLevel="0" collapsed="false">
      <c r="A31" s="22"/>
      <c r="B31" s="11"/>
      <c r="C31" s="24"/>
      <c r="D31" s="31" t="str">
        <f aca="false">IF(C31="","",IF(LEN(UPPER(SUBSTITUTE(SUBSTITUTE(SUBSTITUTE(SUBSTITUTE(TRIM(C31),".",""),"/",""),"-","")," ","")))&lt;14,RIGHT(REPT("0",14)&amp;UPPER(SUBSTITUTE(SUBSTITUTE(SUBSTITUTE(SUBSTITUTE(TRIM(C31),".",""),"/",""),"-","")," ","")),14),UPPER(SUBSTITUTE(SUBSTITUTE(SUBSTITUTE(SUBSTITUTE(TRIM(C31),".",""),"/",""),"-","")," ",""))))</f>
        <v/>
      </c>
      <c r="E31" s="25" t="str">
        <f aca="false">IF(D31="","",IFERROR(INDEX(Empresas!$C:$C,MATCH(D31,Empresas!$B:$B,0)),"cadastre o CNPJ em Empresas"))</f>
        <v/>
      </c>
      <c r="F31" s="23"/>
      <c r="G31" s="35"/>
      <c r="H31" s="24"/>
      <c r="I31" s="11"/>
      <c r="J31" s="27" t="str">
        <f aca="false">IF(A31="","",YEAR(A31))</f>
        <v/>
      </c>
      <c r="K31" s="24"/>
      <c r="L31" s="11"/>
    </row>
    <row r="32" customFormat="false" ht="15" hidden="false" customHeight="false" outlineLevel="0" collapsed="false">
      <c r="A32" s="22"/>
      <c r="B32" s="11"/>
      <c r="C32" s="24"/>
      <c r="D32" s="31" t="str">
        <f aca="false">IF(C32="","",IF(LEN(UPPER(SUBSTITUTE(SUBSTITUTE(SUBSTITUTE(SUBSTITUTE(TRIM(C32),".",""),"/",""),"-","")," ","")))&lt;14,RIGHT(REPT("0",14)&amp;UPPER(SUBSTITUTE(SUBSTITUTE(SUBSTITUTE(SUBSTITUTE(TRIM(C32),".",""),"/",""),"-","")," ","")),14),UPPER(SUBSTITUTE(SUBSTITUTE(SUBSTITUTE(SUBSTITUTE(TRIM(C32),".",""),"/",""),"-","")," ",""))))</f>
        <v/>
      </c>
      <c r="E32" s="25" t="str">
        <f aca="false">IF(D32="","",IFERROR(INDEX(Empresas!$C:$C,MATCH(D32,Empresas!$B:$B,0)),"cadastre o CNPJ em Empresas"))</f>
        <v/>
      </c>
      <c r="F32" s="23"/>
      <c r="G32" s="35"/>
      <c r="H32" s="24"/>
      <c r="I32" s="11"/>
      <c r="J32" s="27" t="str">
        <f aca="false">IF(A32="","",YEAR(A32))</f>
        <v/>
      </c>
      <c r="K32" s="24"/>
      <c r="L32" s="11"/>
    </row>
    <row r="33" customFormat="false" ht="15" hidden="false" customHeight="false" outlineLevel="0" collapsed="false">
      <c r="A33" s="22"/>
      <c r="B33" s="11"/>
      <c r="C33" s="24"/>
      <c r="D33" s="31" t="str">
        <f aca="false">IF(C33="","",IF(LEN(UPPER(SUBSTITUTE(SUBSTITUTE(SUBSTITUTE(SUBSTITUTE(TRIM(C33),".",""),"/",""),"-","")," ","")))&lt;14,RIGHT(REPT("0",14)&amp;UPPER(SUBSTITUTE(SUBSTITUTE(SUBSTITUTE(SUBSTITUTE(TRIM(C33),".",""),"/",""),"-","")," ","")),14),UPPER(SUBSTITUTE(SUBSTITUTE(SUBSTITUTE(SUBSTITUTE(TRIM(C33),".",""),"/",""),"-","")," ",""))))</f>
        <v/>
      </c>
      <c r="E33" s="25" t="str">
        <f aca="false">IF(D33="","",IFERROR(INDEX(Empresas!$C:$C,MATCH(D33,Empresas!$B:$B,0)),"cadastre o CNPJ em Empresas"))</f>
        <v/>
      </c>
      <c r="F33" s="23"/>
      <c r="G33" s="35"/>
      <c r="H33" s="24"/>
      <c r="I33" s="11"/>
      <c r="J33" s="27" t="str">
        <f aca="false">IF(A33="","",YEAR(A33))</f>
        <v/>
      </c>
      <c r="K33" s="24"/>
      <c r="L33" s="11"/>
    </row>
    <row r="34" customFormat="false" ht="15" hidden="false" customHeight="false" outlineLevel="0" collapsed="false">
      <c r="A34" s="22"/>
      <c r="B34" s="11"/>
      <c r="C34" s="24"/>
      <c r="D34" s="31" t="str">
        <f aca="false">IF(C34="","",IF(LEN(UPPER(SUBSTITUTE(SUBSTITUTE(SUBSTITUTE(SUBSTITUTE(TRIM(C34),".",""),"/",""),"-","")," ","")))&lt;14,RIGHT(REPT("0",14)&amp;UPPER(SUBSTITUTE(SUBSTITUTE(SUBSTITUTE(SUBSTITUTE(TRIM(C34),".",""),"/",""),"-","")," ","")),14),UPPER(SUBSTITUTE(SUBSTITUTE(SUBSTITUTE(SUBSTITUTE(TRIM(C34),".",""),"/",""),"-","")," ",""))))</f>
        <v/>
      </c>
      <c r="E34" s="25" t="str">
        <f aca="false">IF(D34="","",IFERROR(INDEX(Empresas!$C:$C,MATCH(D34,Empresas!$B:$B,0)),"cadastre o CNPJ em Empresas"))</f>
        <v/>
      </c>
      <c r="F34" s="23"/>
      <c r="G34" s="35"/>
      <c r="H34" s="24"/>
      <c r="I34" s="11"/>
      <c r="J34" s="27" t="str">
        <f aca="false">IF(A34="","",YEAR(A34))</f>
        <v/>
      </c>
      <c r="K34" s="24"/>
      <c r="L34" s="11"/>
    </row>
    <row r="35" customFormat="false" ht="15" hidden="false" customHeight="false" outlineLevel="0" collapsed="false">
      <c r="A35" s="22"/>
      <c r="B35" s="11"/>
      <c r="C35" s="24"/>
      <c r="D35" s="31" t="str">
        <f aca="false">IF(C35="","",IF(LEN(UPPER(SUBSTITUTE(SUBSTITUTE(SUBSTITUTE(SUBSTITUTE(TRIM(C35),".",""),"/",""),"-","")," ","")))&lt;14,RIGHT(REPT("0",14)&amp;UPPER(SUBSTITUTE(SUBSTITUTE(SUBSTITUTE(SUBSTITUTE(TRIM(C35),".",""),"/",""),"-","")," ","")),14),UPPER(SUBSTITUTE(SUBSTITUTE(SUBSTITUTE(SUBSTITUTE(TRIM(C35),".",""),"/",""),"-","")," ",""))))</f>
        <v/>
      </c>
      <c r="E35" s="25" t="str">
        <f aca="false">IF(D35="","",IFERROR(INDEX(Empresas!$C:$C,MATCH(D35,Empresas!$B:$B,0)),"cadastre o CNPJ em Empresas"))</f>
        <v/>
      </c>
      <c r="F35" s="23"/>
      <c r="G35" s="35"/>
      <c r="H35" s="24"/>
      <c r="I35" s="11"/>
      <c r="J35" s="27" t="str">
        <f aca="false">IF(A35="","",YEAR(A35))</f>
        <v/>
      </c>
      <c r="K35" s="24"/>
      <c r="L35" s="11"/>
    </row>
    <row r="36" customFormat="false" ht="15" hidden="false" customHeight="false" outlineLevel="0" collapsed="false">
      <c r="A36" s="22"/>
      <c r="B36" s="11"/>
      <c r="C36" s="24"/>
      <c r="D36" s="31" t="str">
        <f aca="false">IF(C36="","",IF(LEN(UPPER(SUBSTITUTE(SUBSTITUTE(SUBSTITUTE(SUBSTITUTE(TRIM(C36),".",""),"/",""),"-","")," ","")))&lt;14,RIGHT(REPT("0",14)&amp;UPPER(SUBSTITUTE(SUBSTITUTE(SUBSTITUTE(SUBSTITUTE(TRIM(C36),".",""),"/",""),"-","")," ","")),14),UPPER(SUBSTITUTE(SUBSTITUTE(SUBSTITUTE(SUBSTITUTE(TRIM(C36),".",""),"/",""),"-","")," ",""))))</f>
        <v/>
      </c>
      <c r="E36" s="25" t="str">
        <f aca="false">IF(D36="","",IFERROR(INDEX(Empresas!$C:$C,MATCH(D36,Empresas!$B:$B,0)),"cadastre o CNPJ em Empresas"))</f>
        <v/>
      </c>
      <c r="F36" s="23"/>
      <c r="G36" s="35"/>
      <c r="H36" s="24"/>
      <c r="I36" s="11"/>
      <c r="J36" s="27" t="str">
        <f aca="false">IF(A36="","",YEAR(A36))</f>
        <v/>
      </c>
      <c r="K36" s="24"/>
      <c r="L36" s="11"/>
    </row>
    <row r="37" customFormat="false" ht="15" hidden="false" customHeight="false" outlineLevel="0" collapsed="false">
      <c r="A37" s="22"/>
      <c r="B37" s="11"/>
      <c r="C37" s="24"/>
      <c r="D37" s="31" t="str">
        <f aca="false">IF(C37="","",IF(LEN(UPPER(SUBSTITUTE(SUBSTITUTE(SUBSTITUTE(SUBSTITUTE(TRIM(C37),".",""),"/",""),"-","")," ","")))&lt;14,RIGHT(REPT("0",14)&amp;UPPER(SUBSTITUTE(SUBSTITUTE(SUBSTITUTE(SUBSTITUTE(TRIM(C37),".",""),"/",""),"-","")," ","")),14),UPPER(SUBSTITUTE(SUBSTITUTE(SUBSTITUTE(SUBSTITUTE(TRIM(C37),".",""),"/",""),"-","")," ",""))))</f>
        <v/>
      </c>
      <c r="E37" s="25" t="str">
        <f aca="false">IF(D37="","",IFERROR(INDEX(Empresas!$C:$C,MATCH(D37,Empresas!$B:$B,0)),"cadastre o CNPJ em Empresas"))</f>
        <v/>
      </c>
      <c r="F37" s="23"/>
      <c r="G37" s="35"/>
      <c r="H37" s="24"/>
      <c r="I37" s="11"/>
      <c r="J37" s="27" t="str">
        <f aca="false">IF(A37="","",YEAR(A37))</f>
        <v/>
      </c>
      <c r="K37" s="24"/>
      <c r="L37" s="11"/>
    </row>
    <row r="38" customFormat="false" ht="15" hidden="false" customHeight="false" outlineLevel="0" collapsed="false">
      <c r="A38" s="22"/>
      <c r="B38" s="11"/>
      <c r="C38" s="24"/>
      <c r="D38" s="31" t="str">
        <f aca="false">IF(C38="","",IF(LEN(UPPER(SUBSTITUTE(SUBSTITUTE(SUBSTITUTE(SUBSTITUTE(TRIM(C38),".",""),"/",""),"-","")," ","")))&lt;14,RIGHT(REPT("0",14)&amp;UPPER(SUBSTITUTE(SUBSTITUTE(SUBSTITUTE(SUBSTITUTE(TRIM(C38),".",""),"/",""),"-","")," ","")),14),UPPER(SUBSTITUTE(SUBSTITUTE(SUBSTITUTE(SUBSTITUTE(TRIM(C38),".",""),"/",""),"-","")," ",""))))</f>
        <v/>
      </c>
      <c r="E38" s="25" t="str">
        <f aca="false">IF(D38="","",IFERROR(INDEX(Empresas!$C:$C,MATCH(D38,Empresas!$B:$B,0)),"cadastre o CNPJ em Empresas"))</f>
        <v/>
      </c>
      <c r="F38" s="23"/>
      <c r="G38" s="35"/>
      <c r="H38" s="24"/>
      <c r="I38" s="11"/>
      <c r="J38" s="27" t="str">
        <f aca="false">IF(A38="","",YEAR(A38))</f>
        <v/>
      </c>
      <c r="K38" s="24"/>
      <c r="L38" s="11"/>
    </row>
    <row r="39" customFormat="false" ht="15" hidden="false" customHeight="false" outlineLevel="0" collapsed="false">
      <c r="A39" s="22"/>
      <c r="B39" s="11"/>
      <c r="C39" s="24"/>
      <c r="D39" s="31" t="str">
        <f aca="false">IF(C39="","",IF(LEN(UPPER(SUBSTITUTE(SUBSTITUTE(SUBSTITUTE(SUBSTITUTE(TRIM(C39),".",""),"/",""),"-","")," ","")))&lt;14,RIGHT(REPT("0",14)&amp;UPPER(SUBSTITUTE(SUBSTITUTE(SUBSTITUTE(SUBSTITUTE(TRIM(C39),".",""),"/",""),"-","")," ","")),14),UPPER(SUBSTITUTE(SUBSTITUTE(SUBSTITUTE(SUBSTITUTE(TRIM(C39),".",""),"/",""),"-","")," ",""))))</f>
        <v/>
      </c>
      <c r="E39" s="25" t="str">
        <f aca="false">IF(D39="","",IFERROR(INDEX(Empresas!$C:$C,MATCH(D39,Empresas!$B:$B,0)),"cadastre o CNPJ em Empresas"))</f>
        <v/>
      </c>
      <c r="F39" s="23"/>
      <c r="G39" s="35"/>
      <c r="H39" s="24"/>
      <c r="I39" s="11"/>
      <c r="J39" s="27" t="str">
        <f aca="false">IF(A39="","",YEAR(A39))</f>
        <v/>
      </c>
      <c r="K39" s="24"/>
      <c r="L39" s="11"/>
    </row>
    <row r="40" customFormat="false" ht="15" hidden="false" customHeight="false" outlineLevel="0" collapsed="false">
      <c r="A40" s="22"/>
      <c r="B40" s="11"/>
      <c r="C40" s="24"/>
      <c r="D40" s="31" t="str">
        <f aca="false">IF(C40="","",IF(LEN(UPPER(SUBSTITUTE(SUBSTITUTE(SUBSTITUTE(SUBSTITUTE(TRIM(C40),".",""),"/",""),"-","")," ","")))&lt;14,RIGHT(REPT("0",14)&amp;UPPER(SUBSTITUTE(SUBSTITUTE(SUBSTITUTE(SUBSTITUTE(TRIM(C40),".",""),"/",""),"-","")," ","")),14),UPPER(SUBSTITUTE(SUBSTITUTE(SUBSTITUTE(SUBSTITUTE(TRIM(C40),".",""),"/",""),"-","")," ",""))))</f>
        <v/>
      </c>
      <c r="E40" s="25" t="str">
        <f aca="false">IF(D40="","",IFERROR(INDEX(Empresas!$C:$C,MATCH(D40,Empresas!$B:$B,0)),"cadastre o CNPJ em Empresas"))</f>
        <v/>
      </c>
      <c r="F40" s="23"/>
      <c r="G40" s="35"/>
      <c r="H40" s="24"/>
      <c r="I40" s="11"/>
      <c r="J40" s="27" t="str">
        <f aca="false">IF(A40="","",YEAR(A40))</f>
        <v/>
      </c>
      <c r="K40" s="24"/>
      <c r="L40" s="11"/>
    </row>
    <row r="41" customFormat="false" ht="15" hidden="false" customHeight="false" outlineLevel="0" collapsed="false">
      <c r="A41" s="22"/>
      <c r="B41" s="11"/>
      <c r="C41" s="24"/>
      <c r="D41" s="31" t="str">
        <f aca="false">IF(C41="","",IF(LEN(UPPER(SUBSTITUTE(SUBSTITUTE(SUBSTITUTE(SUBSTITUTE(TRIM(C41),".",""),"/",""),"-","")," ","")))&lt;14,RIGHT(REPT("0",14)&amp;UPPER(SUBSTITUTE(SUBSTITUTE(SUBSTITUTE(SUBSTITUTE(TRIM(C41),".",""),"/",""),"-","")," ","")),14),UPPER(SUBSTITUTE(SUBSTITUTE(SUBSTITUTE(SUBSTITUTE(TRIM(C41),".",""),"/",""),"-","")," ",""))))</f>
        <v/>
      </c>
      <c r="E41" s="25" t="str">
        <f aca="false">IF(D41="","",IFERROR(INDEX(Empresas!$C:$C,MATCH(D41,Empresas!$B:$B,0)),"cadastre o CNPJ em Empresas"))</f>
        <v/>
      </c>
      <c r="F41" s="23"/>
      <c r="G41" s="35"/>
      <c r="H41" s="24"/>
      <c r="I41" s="11"/>
      <c r="J41" s="27" t="str">
        <f aca="false">IF(A41="","",YEAR(A41))</f>
        <v/>
      </c>
      <c r="K41" s="24"/>
      <c r="L41" s="11"/>
    </row>
    <row r="42" customFormat="false" ht="15" hidden="false" customHeight="false" outlineLevel="0" collapsed="false">
      <c r="A42" s="22"/>
      <c r="B42" s="11"/>
      <c r="C42" s="24"/>
      <c r="D42" s="31" t="str">
        <f aca="false">IF(C42="","",IF(LEN(UPPER(SUBSTITUTE(SUBSTITUTE(SUBSTITUTE(SUBSTITUTE(TRIM(C42),".",""),"/",""),"-","")," ","")))&lt;14,RIGHT(REPT("0",14)&amp;UPPER(SUBSTITUTE(SUBSTITUTE(SUBSTITUTE(SUBSTITUTE(TRIM(C42),".",""),"/",""),"-","")," ","")),14),UPPER(SUBSTITUTE(SUBSTITUTE(SUBSTITUTE(SUBSTITUTE(TRIM(C42),".",""),"/",""),"-","")," ",""))))</f>
        <v/>
      </c>
      <c r="E42" s="25" t="str">
        <f aca="false">IF(D42="","",IFERROR(INDEX(Empresas!$C:$C,MATCH(D42,Empresas!$B:$B,0)),"cadastre o CNPJ em Empresas"))</f>
        <v/>
      </c>
      <c r="F42" s="23"/>
      <c r="G42" s="35"/>
      <c r="H42" s="24"/>
      <c r="I42" s="11"/>
      <c r="J42" s="27" t="str">
        <f aca="false">IF(A42="","",YEAR(A42))</f>
        <v/>
      </c>
      <c r="K42" s="24"/>
      <c r="L42" s="11"/>
    </row>
    <row r="43" customFormat="false" ht="15" hidden="false" customHeight="false" outlineLevel="0" collapsed="false">
      <c r="A43" s="22"/>
      <c r="B43" s="11"/>
      <c r="C43" s="24"/>
      <c r="D43" s="31" t="str">
        <f aca="false">IF(C43="","",IF(LEN(UPPER(SUBSTITUTE(SUBSTITUTE(SUBSTITUTE(SUBSTITUTE(TRIM(C43),".",""),"/",""),"-","")," ","")))&lt;14,RIGHT(REPT("0",14)&amp;UPPER(SUBSTITUTE(SUBSTITUTE(SUBSTITUTE(SUBSTITUTE(TRIM(C43),".",""),"/",""),"-","")," ","")),14),UPPER(SUBSTITUTE(SUBSTITUTE(SUBSTITUTE(SUBSTITUTE(TRIM(C43),".",""),"/",""),"-","")," ",""))))</f>
        <v/>
      </c>
      <c r="E43" s="25" t="str">
        <f aca="false">IF(D43="","",IFERROR(INDEX(Empresas!$C:$C,MATCH(D43,Empresas!$B:$B,0)),"cadastre o CNPJ em Empresas"))</f>
        <v/>
      </c>
      <c r="F43" s="23"/>
      <c r="G43" s="35"/>
      <c r="H43" s="24"/>
      <c r="I43" s="11"/>
      <c r="J43" s="27" t="str">
        <f aca="false">IF(A43="","",YEAR(A43))</f>
        <v/>
      </c>
      <c r="K43" s="24"/>
      <c r="L43" s="11"/>
    </row>
    <row r="44" customFormat="false" ht="15" hidden="false" customHeight="false" outlineLevel="0" collapsed="false">
      <c r="A44" s="22"/>
      <c r="B44" s="11"/>
      <c r="C44" s="24"/>
      <c r="D44" s="31" t="str">
        <f aca="false">IF(C44="","",IF(LEN(UPPER(SUBSTITUTE(SUBSTITUTE(SUBSTITUTE(SUBSTITUTE(TRIM(C44),".",""),"/",""),"-","")," ","")))&lt;14,RIGHT(REPT("0",14)&amp;UPPER(SUBSTITUTE(SUBSTITUTE(SUBSTITUTE(SUBSTITUTE(TRIM(C44),".",""),"/",""),"-","")," ","")),14),UPPER(SUBSTITUTE(SUBSTITUTE(SUBSTITUTE(SUBSTITUTE(TRIM(C44),".",""),"/",""),"-","")," ",""))))</f>
        <v/>
      </c>
      <c r="E44" s="25" t="str">
        <f aca="false">IF(D44="","",IFERROR(INDEX(Empresas!$C:$C,MATCH(D44,Empresas!$B:$B,0)),"cadastre o CNPJ em Empresas"))</f>
        <v/>
      </c>
      <c r="F44" s="23"/>
      <c r="G44" s="35"/>
      <c r="H44" s="24"/>
      <c r="I44" s="11"/>
      <c r="J44" s="27" t="str">
        <f aca="false">IF(A44="","",YEAR(A44))</f>
        <v/>
      </c>
      <c r="K44" s="24"/>
      <c r="L44" s="11"/>
    </row>
    <row r="45" customFormat="false" ht="15" hidden="false" customHeight="false" outlineLevel="0" collapsed="false">
      <c r="A45" s="22"/>
      <c r="B45" s="11"/>
      <c r="C45" s="24"/>
      <c r="D45" s="31" t="str">
        <f aca="false">IF(C45="","",IF(LEN(UPPER(SUBSTITUTE(SUBSTITUTE(SUBSTITUTE(SUBSTITUTE(TRIM(C45),".",""),"/",""),"-","")," ","")))&lt;14,RIGHT(REPT("0",14)&amp;UPPER(SUBSTITUTE(SUBSTITUTE(SUBSTITUTE(SUBSTITUTE(TRIM(C45),".",""),"/",""),"-","")," ","")),14),UPPER(SUBSTITUTE(SUBSTITUTE(SUBSTITUTE(SUBSTITUTE(TRIM(C45),".",""),"/",""),"-","")," ",""))))</f>
        <v/>
      </c>
      <c r="E45" s="25" t="str">
        <f aca="false">IF(D45="","",IFERROR(INDEX(Empresas!$C:$C,MATCH(D45,Empresas!$B:$B,0)),"cadastre o CNPJ em Empresas"))</f>
        <v/>
      </c>
      <c r="F45" s="23"/>
      <c r="G45" s="35"/>
      <c r="H45" s="24"/>
      <c r="I45" s="11"/>
      <c r="J45" s="27" t="str">
        <f aca="false">IF(A45="","",YEAR(A45))</f>
        <v/>
      </c>
      <c r="K45" s="24"/>
      <c r="L45" s="11"/>
    </row>
    <row r="46" customFormat="false" ht="15" hidden="false" customHeight="false" outlineLevel="0" collapsed="false">
      <c r="A46" s="22"/>
      <c r="B46" s="11"/>
      <c r="C46" s="24"/>
      <c r="D46" s="31" t="str">
        <f aca="false">IF(C46="","",IF(LEN(UPPER(SUBSTITUTE(SUBSTITUTE(SUBSTITUTE(SUBSTITUTE(TRIM(C46),".",""),"/",""),"-","")," ","")))&lt;14,RIGHT(REPT("0",14)&amp;UPPER(SUBSTITUTE(SUBSTITUTE(SUBSTITUTE(SUBSTITUTE(TRIM(C46),".",""),"/",""),"-","")," ","")),14),UPPER(SUBSTITUTE(SUBSTITUTE(SUBSTITUTE(SUBSTITUTE(TRIM(C46),".",""),"/",""),"-","")," ",""))))</f>
        <v/>
      </c>
      <c r="E46" s="25" t="str">
        <f aca="false">IF(D46="","",IFERROR(INDEX(Empresas!$C:$C,MATCH(D46,Empresas!$B:$B,0)),"cadastre o CNPJ em Empresas"))</f>
        <v/>
      </c>
      <c r="F46" s="23"/>
      <c r="G46" s="35"/>
      <c r="H46" s="24"/>
      <c r="I46" s="11"/>
      <c r="J46" s="27" t="str">
        <f aca="false">IF(A46="","",YEAR(A46))</f>
        <v/>
      </c>
      <c r="K46" s="24"/>
      <c r="L46" s="11"/>
    </row>
    <row r="47" customFormat="false" ht="15" hidden="false" customHeight="false" outlineLevel="0" collapsed="false">
      <c r="A47" s="22"/>
      <c r="B47" s="11"/>
      <c r="C47" s="24"/>
      <c r="D47" s="31" t="str">
        <f aca="false">IF(C47="","",IF(LEN(UPPER(SUBSTITUTE(SUBSTITUTE(SUBSTITUTE(SUBSTITUTE(TRIM(C47),".",""),"/",""),"-","")," ","")))&lt;14,RIGHT(REPT("0",14)&amp;UPPER(SUBSTITUTE(SUBSTITUTE(SUBSTITUTE(SUBSTITUTE(TRIM(C47),".",""),"/",""),"-","")," ","")),14),UPPER(SUBSTITUTE(SUBSTITUTE(SUBSTITUTE(SUBSTITUTE(TRIM(C47),".",""),"/",""),"-","")," ",""))))</f>
        <v/>
      </c>
      <c r="E47" s="25" t="str">
        <f aca="false">IF(D47="","",IFERROR(INDEX(Empresas!$C:$C,MATCH(D47,Empresas!$B:$B,0)),"cadastre o CNPJ em Empresas"))</f>
        <v/>
      </c>
      <c r="F47" s="23"/>
      <c r="G47" s="35"/>
      <c r="H47" s="24"/>
      <c r="I47" s="11"/>
      <c r="J47" s="27" t="str">
        <f aca="false">IF(A47="","",YEAR(A47))</f>
        <v/>
      </c>
      <c r="K47" s="24"/>
      <c r="L47" s="11"/>
    </row>
    <row r="48" customFormat="false" ht="15" hidden="false" customHeight="false" outlineLevel="0" collapsed="false">
      <c r="A48" s="22"/>
      <c r="B48" s="11"/>
      <c r="C48" s="24"/>
      <c r="D48" s="31" t="str">
        <f aca="false">IF(C48="","",IF(LEN(UPPER(SUBSTITUTE(SUBSTITUTE(SUBSTITUTE(SUBSTITUTE(TRIM(C48),".",""),"/",""),"-","")," ","")))&lt;14,RIGHT(REPT("0",14)&amp;UPPER(SUBSTITUTE(SUBSTITUTE(SUBSTITUTE(SUBSTITUTE(TRIM(C48),".",""),"/",""),"-","")," ","")),14),UPPER(SUBSTITUTE(SUBSTITUTE(SUBSTITUTE(SUBSTITUTE(TRIM(C48),".",""),"/",""),"-","")," ",""))))</f>
        <v/>
      </c>
      <c r="E48" s="25" t="str">
        <f aca="false">IF(D48="","",IFERROR(INDEX(Empresas!$C:$C,MATCH(D48,Empresas!$B:$B,0)),"cadastre o CNPJ em Empresas"))</f>
        <v/>
      </c>
      <c r="F48" s="23"/>
      <c r="G48" s="35"/>
      <c r="H48" s="24"/>
      <c r="I48" s="11"/>
      <c r="J48" s="27" t="str">
        <f aca="false">IF(A48="","",YEAR(A48))</f>
        <v/>
      </c>
      <c r="K48" s="24"/>
      <c r="L48" s="11"/>
    </row>
    <row r="49" customFormat="false" ht="15" hidden="false" customHeight="false" outlineLevel="0" collapsed="false">
      <c r="A49" s="22"/>
      <c r="B49" s="11"/>
      <c r="C49" s="24"/>
      <c r="D49" s="31" t="str">
        <f aca="false">IF(C49="","",IF(LEN(UPPER(SUBSTITUTE(SUBSTITUTE(SUBSTITUTE(SUBSTITUTE(TRIM(C49),".",""),"/",""),"-","")," ","")))&lt;14,RIGHT(REPT("0",14)&amp;UPPER(SUBSTITUTE(SUBSTITUTE(SUBSTITUTE(SUBSTITUTE(TRIM(C49),".",""),"/",""),"-","")," ","")),14),UPPER(SUBSTITUTE(SUBSTITUTE(SUBSTITUTE(SUBSTITUTE(TRIM(C49),".",""),"/",""),"-","")," ",""))))</f>
        <v/>
      </c>
      <c r="E49" s="25" t="str">
        <f aca="false">IF(D49="","",IFERROR(INDEX(Empresas!$C:$C,MATCH(D49,Empresas!$B:$B,0)),"cadastre o CNPJ em Empresas"))</f>
        <v/>
      </c>
      <c r="F49" s="23"/>
      <c r="G49" s="35"/>
      <c r="H49" s="24"/>
      <c r="I49" s="11"/>
      <c r="J49" s="27" t="str">
        <f aca="false">IF(A49="","",YEAR(A49))</f>
        <v/>
      </c>
      <c r="K49" s="24"/>
      <c r="L49" s="11"/>
    </row>
    <row r="50" customFormat="false" ht="15" hidden="false" customHeight="false" outlineLevel="0" collapsed="false">
      <c r="A50" s="22"/>
      <c r="B50" s="11"/>
      <c r="C50" s="24"/>
      <c r="D50" s="31" t="str">
        <f aca="false">IF(C50="","",IF(LEN(UPPER(SUBSTITUTE(SUBSTITUTE(SUBSTITUTE(SUBSTITUTE(TRIM(C50),".",""),"/",""),"-","")," ","")))&lt;14,RIGHT(REPT("0",14)&amp;UPPER(SUBSTITUTE(SUBSTITUTE(SUBSTITUTE(SUBSTITUTE(TRIM(C50),".",""),"/",""),"-","")," ","")),14),UPPER(SUBSTITUTE(SUBSTITUTE(SUBSTITUTE(SUBSTITUTE(TRIM(C50),".",""),"/",""),"-","")," ",""))))</f>
        <v/>
      </c>
      <c r="E50" s="25" t="str">
        <f aca="false">IF(D50="","",IFERROR(INDEX(Empresas!$C:$C,MATCH(D50,Empresas!$B:$B,0)),"cadastre o CNPJ em Empresas"))</f>
        <v/>
      </c>
      <c r="F50" s="23"/>
      <c r="G50" s="35"/>
      <c r="H50" s="24"/>
      <c r="I50" s="11"/>
      <c r="J50" s="27" t="str">
        <f aca="false">IF(A50="","",YEAR(A50))</f>
        <v/>
      </c>
      <c r="K50" s="24"/>
      <c r="L50" s="11"/>
    </row>
    <row r="51" customFormat="false" ht="15" hidden="false" customHeight="false" outlineLevel="0" collapsed="false">
      <c r="A51" s="22"/>
      <c r="B51" s="11"/>
      <c r="C51" s="24"/>
      <c r="D51" s="31" t="str">
        <f aca="false">IF(C51="","",IF(LEN(UPPER(SUBSTITUTE(SUBSTITUTE(SUBSTITUTE(SUBSTITUTE(TRIM(C51),".",""),"/",""),"-","")," ","")))&lt;14,RIGHT(REPT("0",14)&amp;UPPER(SUBSTITUTE(SUBSTITUTE(SUBSTITUTE(SUBSTITUTE(TRIM(C51),".",""),"/",""),"-","")," ","")),14),UPPER(SUBSTITUTE(SUBSTITUTE(SUBSTITUTE(SUBSTITUTE(TRIM(C51),".",""),"/",""),"-","")," ",""))))</f>
        <v/>
      </c>
      <c r="E51" s="25" t="str">
        <f aca="false">IF(D51="","",IFERROR(INDEX(Empresas!$C:$C,MATCH(D51,Empresas!$B:$B,0)),"cadastre o CNPJ em Empresas"))</f>
        <v/>
      </c>
      <c r="F51" s="23"/>
      <c r="G51" s="35"/>
      <c r="H51" s="24"/>
      <c r="I51" s="11"/>
      <c r="J51" s="27" t="str">
        <f aca="false">IF(A51="","",YEAR(A51))</f>
        <v/>
      </c>
      <c r="K51" s="24"/>
      <c r="L51" s="11"/>
    </row>
    <row r="52" customFormat="false" ht="15" hidden="false" customHeight="false" outlineLevel="0" collapsed="false">
      <c r="A52" s="22"/>
      <c r="B52" s="11"/>
      <c r="C52" s="24"/>
      <c r="D52" s="31" t="str">
        <f aca="false">IF(C52="","",IF(LEN(UPPER(SUBSTITUTE(SUBSTITUTE(SUBSTITUTE(SUBSTITUTE(TRIM(C52),".",""),"/",""),"-","")," ","")))&lt;14,RIGHT(REPT("0",14)&amp;UPPER(SUBSTITUTE(SUBSTITUTE(SUBSTITUTE(SUBSTITUTE(TRIM(C52),".",""),"/",""),"-","")," ","")),14),UPPER(SUBSTITUTE(SUBSTITUTE(SUBSTITUTE(SUBSTITUTE(TRIM(C52),".",""),"/",""),"-","")," ",""))))</f>
        <v/>
      </c>
      <c r="E52" s="25" t="str">
        <f aca="false">IF(D52="","",IFERROR(INDEX(Empresas!$C:$C,MATCH(D52,Empresas!$B:$B,0)),"cadastre o CNPJ em Empresas"))</f>
        <v/>
      </c>
      <c r="F52" s="23"/>
      <c r="G52" s="35"/>
      <c r="H52" s="24"/>
      <c r="I52" s="11"/>
      <c r="J52" s="27" t="str">
        <f aca="false">IF(A52="","",YEAR(A52))</f>
        <v/>
      </c>
      <c r="K52" s="24"/>
      <c r="L52" s="11"/>
    </row>
    <row r="53" customFormat="false" ht="15" hidden="false" customHeight="false" outlineLevel="0" collapsed="false">
      <c r="A53" s="22"/>
      <c r="B53" s="11"/>
      <c r="C53" s="24"/>
      <c r="D53" s="31" t="str">
        <f aca="false">IF(C53="","",IF(LEN(UPPER(SUBSTITUTE(SUBSTITUTE(SUBSTITUTE(SUBSTITUTE(TRIM(C53),".",""),"/",""),"-","")," ","")))&lt;14,RIGHT(REPT("0",14)&amp;UPPER(SUBSTITUTE(SUBSTITUTE(SUBSTITUTE(SUBSTITUTE(TRIM(C53),".",""),"/",""),"-","")," ","")),14),UPPER(SUBSTITUTE(SUBSTITUTE(SUBSTITUTE(SUBSTITUTE(TRIM(C53),".",""),"/",""),"-","")," ",""))))</f>
        <v/>
      </c>
      <c r="E53" s="25" t="str">
        <f aca="false">IF(D53="","",IFERROR(INDEX(Empresas!$C:$C,MATCH(D53,Empresas!$B:$B,0)),"cadastre o CNPJ em Empresas"))</f>
        <v/>
      </c>
      <c r="F53" s="23"/>
      <c r="G53" s="35"/>
      <c r="H53" s="24"/>
      <c r="I53" s="11"/>
      <c r="J53" s="27" t="str">
        <f aca="false">IF(A53="","",YEAR(A53))</f>
        <v/>
      </c>
      <c r="K53" s="24"/>
      <c r="L53" s="11"/>
    </row>
    <row r="54" customFormat="false" ht="15" hidden="false" customHeight="false" outlineLevel="0" collapsed="false">
      <c r="A54" s="22"/>
      <c r="B54" s="11"/>
      <c r="C54" s="24"/>
      <c r="D54" s="31" t="str">
        <f aca="false">IF(C54="","",IF(LEN(UPPER(SUBSTITUTE(SUBSTITUTE(SUBSTITUTE(SUBSTITUTE(TRIM(C54),".",""),"/",""),"-","")," ","")))&lt;14,RIGHT(REPT("0",14)&amp;UPPER(SUBSTITUTE(SUBSTITUTE(SUBSTITUTE(SUBSTITUTE(TRIM(C54),".",""),"/",""),"-","")," ","")),14),UPPER(SUBSTITUTE(SUBSTITUTE(SUBSTITUTE(SUBSTITUTE(TRIM(C54),".",""),"/",""),"-","")," ",""))))</f>
        <v/>
      </c>
      <c r="E54" s="25" t="str">
        <f aca="false">IF(D54="","",IFERROR(INDEX(Empresas!$C:$C,MATCH(D54,Empresas!$B:$B,0)),"cadastre o CNPJ em Empresas"))</f>
        <v/>
      </c>
      <c r="F54" s="23"/>
      <c r="G54" s="35"/>
      <c r="H54" s="24"/>
      <c r="I54" s="11"/>
      <c r="J54" s="27" t="str">
        <f aca="false">IF(A54="","",YEAR(A54))</f>
        <v/>
      </c>
      <c r="K54" s="24"/>
      <c r="L54" s="11"/>
    </row>
    <row r="55" customFormat="false" ht="15" hidden="false" customHeight="false" outlineLevel="0" collapsed="false">
      <c r="A55" s="22"/>
      <c r="B55" s="11"/>
      <c r="C55" s="24"/>
      <c r="D55" s="31" t="str">
        <f aca="false">IF(C55="","",IF(LEN(UPPER(SUBSTITUTE(SUBSTITUTE(SUBSTITUTE(SUBSTITUTE(TRIM(C55),".",""),"/",""),"-","")," ","")))&lt;14,RIGHT(REPT("0",14)&amp;UPPER(SUBSTITUTE(SUBSTITUTE(SUBSTITUTE(SUBSTITUTE(TRIM(C55),".",""),"/",""),"-","")," ","")),14),UPPER(SUBSTITUTE(SUBSTITUTE(SUBSTITUTE(SUBSTITUTE(TRIM(C55),".",""),"/",""),"-","")," ",""))))</f>
        <v/>
      </c>
      <c r="E55" s="25" t="str">
        <f aca="false">IF(D55="","",IFERROR(INDEX(Empresas!$C:$C,MATCH(D55,Empresas!$B:$B,0)),"cadastre o CNPJ em Empresas"))</f>
        <v/>
      </c>
      <c r="F55" s="23"/>
      <c r="G55" s="35"/>
      <c r="H55" s="24"/>
      <c r="I55" s="11"/>
      <c r="J55" s="27" t="str">
        <f aca="false">IF(A55="","",YEAR(A55))</f>
        <v/>
      </c>
      <c r="K55" s="24"/>
      <c r="L55" s="11"/>
    </row>
    <row r="56" customFormat="false" ht="15" hidden="false" customHeight="false" outlineLevel="0" collapsed="false">
      <c r="A56" s="22"/>
      <c r="B56" s="11"/>
      <c r="C56" s="24"/>
      <c r="D56" s="31" t="str">
        <f aca="false">IF(C56="","",IF(LEN(UPPER(SUBSTITUTE(SUBSTITUTE(SUBSTITUTE(SUBSTITUTE(TRIM(C56),".",""),"/",""),"-","")," ","")))&lt;14,RIGHT(REPT("0",14)&amp;UPPER(SUBSTITUTE(SUBSTITUTE(SUBSTITUTE(SUBSTITUTE(TRIM(C56),".",""),"/",""),"-","")," ","")),14),UPPER(SUBSTITUTE(SUBSTITUTE(SUBSTITUTE(SUBSTITUTE(TRIM(C56),".",""),"/",""),"-","")," ",""))))</f>
        <v/>
      </c>
      <c r="E56" s="25" t="str">
        <f aca="false">IF(D56="","",IFERROR(INDEX(Empresas!$C:$C,MATCH(D56,Empresas!$B:$B,0)),"cadastre o CNPJ em Empresas"))</f>
        <v/>
      </c>
      <c r="F56" s="23"/>
      <c r="G56" s="35"/>
      <c r="H56" s="24"/>
      <c r="I56" s="11"/>
      <c r="J56" s="27" t="str">
        <f aca="false">IF(A56="","",YEAR(A56))</f>
        <v/>
      </c>
      <c r="K56" s="24"/>
      <c r="L56" s="11"/>
    </row>
    <row r="57" customFormat="false" ht="15" hidden="false" customHeight="false" outlineLevel="0" collapsed="false">
      <c r="A57" s="22"/>
      <c r="B57" s="11"/>
      <c r="C57" s="24"/>
      <c r="D57" s="31" t="str">
        <f aca="false">IF(C57="","",IF(LEN(UPPER(SUBSTITUTE(SUBSTITUTE(SUBSTITUTE(SUBSTITUTE(TRIM(C57),".",""),"/",""),"-","")," ","")))&lt;14,RIGHT(REPT("0",14)&amp;UPPER(SUBSTITUTE(SUBSTITUTE(SUBSTITUTE(SUBSTITUTE(TRIM(C57),".",""),"/",""),"-","")," ","")),14),UPPER(SUBSTITUTE(SUBSTITUTE(SUBSTITUTE(SUBSTITUTE(TRIM(C57),".",""),"/",""),"-","")," ",""))))</f>
        <v/>
      </c>
      <c r="E57" s="25" t="str">
        <f aca="false">IF(D57="","",IFERROR(INDEX(Empresas!$C:$C,MATCH(D57,Empresas!$B:$B,0)),"cadastre o CNPJ em Empresas"))</f>
        <v/>
      </c>
      <c r="F57" s="23"/>
      <c r="G57" s="35"/>
      <c r="H57" s="24"/>
      <c r="I57" s="11"/>
      <c r="J57" s="27" t="str">
        <f aca="false">IF(A57="","",YEAR(A57))</f>
        <v/>
      </c>
      <c r="K57" s="24"/>
      <c r="L57" s="11"/>
    </row>
    <row r="58" customFormat="false" ht="15" hidden="false" customHeight="false" outlineLevel="0" collapsed="false">
      <c r="A58" s="22"/>
      <c r="B58" s="11"/>
      <c r="C58" s="24"/>
      <c r="D58" s="31" t="str">
        <f aca="false">IF(C58="","",IF(LEN(UPPER(SUBSTITUTE(SUBSTITUTE(SUBSTITUTE(SUBSTITUTE(TRIM(C58),".",""),"/",""),"-","")," ","")))&lt;14,RIGHT(REPT("0",14)&amp;UPPER(SUBSTITUTE(SUBSTITUTE(SUBSTITUTE(SUBSTITUTE(TRIM(C58),".",""),"/",""),"-","")," ","")),14),UPPER(SUBSTITUTE(SUBSTITUTE(SUBSTITUTE(SUBSTITUTE(TRIM(C58),".",""),"/",""),"-","")," ",""))))</f>
        <v/>
      </c>
      <c r="E58" s="25" t="str">
        <f aca="false">IF(D58="","",IFERROR(INDEX(Empresas!$C:$C,MATCH(D58,Empresas!$B:$B,0)),"cadastre o CNPJ em Empresas"))</f>
        <v/>
      </c>
      <c r="F58" s="23"/>
      <c r="G58" s="35"/>
      <c r="H58" s="24"/>
      <c r="I58" s="11"/>
      <c r="J58" s="27" t="str">
        <f aca="false">IF(A58="","",YEAR(A58))</f>
        <v/>
      </c>
      <c r="K58" s="24"/>
      <c r="L58" s="11"/>
    </row>
    <row r="59" customFormat="false" ht="15" hidden="false" customHeight="false" outlineLevel="0" collapsed="false">
      <c r="A59" s="22"/>
      <c r="B59" s="11"/>
      <c r="C59" s="24"/>
      <c r="D59" s="31" t="str">
        <f aca="false">IF(C59="","",IF(LEN(UPPER(SUBSTITUTE(SUBSTITUTE(SUBSTITUTE(SUBSTITUTE(TRIM(C59),".",""),"/",""),"-","")," ","")))&lt;14,RIGHT(REPT("0",14)&amp;UPPER(SUBSTITUTE(SUBSTITUTE(SUBSTITUTE(SUBSTITUTE(TRIM(C59),".",""),"/",""),"-","")," ","")),14),UPPER(SUBSTITUTE(SUBSTITUTE(SUBSTITUTE(SUBSTITUTE(TRIM(C59),".",""),"/",""),"-","")," ",""))))</f>
        <v/>
      </c>
      <c r="E59" s="25" t="str">
        <f aca="false">IF(D59="","",IFERROR(INDEX(Empresas!$C:$C,MATCH(D59,Empresas!$B:$B,0)),"cadastre o CNPJ em Empresas"))</f>
        <v/>
      </c>
      <c r="F59" s="23"/>
      <c r="G59" s="35"/>
      <c r="H59" s="24"/>
      <c r="I59" s="11"/>
      <c r="J59" s="27" t="str">
        <f aca="false">IF(A59="","",YEAR(A59))</f>
        <v/>
      </c>
      <c r="K59" s="24"/>
      <c r="L59" s="11"/>
    </row>
    <row r="60" customFormat="false" ht="15" hidden="false" customHeight="false" outlineLevel="0" collapsed="false">
      <c r="A60" s="22"/>
      <c r="B60" s="11"/>
      <c r="C60" s="24"/>
      <c r="D60" s="31" t="str">
        <f aca="false">IF(C60="","",IF(LEN(UPPER(SUBSTITUTE(SUBSTITUTE(SUBSTITUTE(SUBSTITUTE(TRIM(C60),".",""),"/",""),"-","")," ","")))&lt;14,RIGHT(REPT("0",14)&amp;UPPER(SUBSTITUTE(SUBSTITUTE(SUBSTITUTE(SUBSTITUTE(TRIM(C60),".",""),"/",""),"-","")," ","")),14),UPPER(SUBSTITUTE(SUBSTITUTE(SUBSTITUTE(SUBSTITUTE(TRIM(C60),".",""),"/",""),"-","")," ",""))))</f>
        <v/>
      </c>
      <c r="E60" s="25" t="str">
        <f aca="false">IF(D60="","",IFERROR(INDEX(Empresas!$C:$C,MATCH(D60,Empresas!$B:$B,0)),"cadastre o CNPJ em Empresas"))</f>
        <v/>
      </c>
      <c r="F60" s="23"/>
      <c r="G60" s="35"/>
      <c r="H60" s="24"/>
      <c r="I60" s="11"/>
      <c r="J60" s="27" t="str">
        <f aca="false">IF(A60="","",YEAR(A60))</f>
        <v/>
      </c>
      <c r="K60" s="24"/>
      <c r="L60" s="11"/>
    </row>
    <row r="61" customFormat="false" ht="15" hidden="false" customHeight="false" outlineLevel="0" collapsed="false">
      <c r="A61" s="22"/>
      <c r="B61" s="11"/>
      <c r="C61" s="24"/>
      <c r="D61" s="31" t="str">
        <f aca="false">IF(C61="","",IF(LEN(UPPER(SUBSTITUTE(SUBSTITUTE(SUBSTITUTE(SUBSTITUTE(TRIM(C61),".",""),"/",""),"-","")," ","")))&lt;14,RIGHT(REPT("0",14)&amp;UPPER(SUBSTITUTE(SUBSTITUTE(SUBSTITUTE(SUBSTITUTE(TRIM(C61),".",""),"/",""),"-","")," ","")),14),UPPER(SUBSTITUTE(SUBSTITUTE(SUBSTITUTE(SUBSTITUTE(TRIM(C61),".",""),"/",""),"-","")," ",""))))</f>
        <v/>
      </c>
      <c r="E61" s="25" t="str">
        <f aca="false">IF(D61="","",IFERROR(INDEX(Empresas!$C:$C,MATCH(D61,Empresas!$B:$B,0)),"cadastre o CNPJ em Empresas"))</f>
        <v/>
      </c>
      <c r="F61" s="23"/>
      <c r="G61" s="35"/>
      <c r="H61" s="24"/>
      <c r="I61" s="11"/>
      <c r="J61" s="27" t="str">
        <f aca="false">IF(A61="","",YEAR(A61))</f>
        <v/>
      </c>
      <c r="K61" s="24"/>
      <c r="L61" s="11"/>
    </row>
    <row r="62" customFormat="false" ht="15" hidden="false" customHeight="false" outlineLevel="0" collapsed="false">
      <c r="A62" s="22"/>
      <c r="B62" s="11"/>
      <c r="C62" s="24"/>
      <c r="D62" s="31" t="str">
        <f aca="false">IF(C62="","",IF(LEN(UPPER(SUBSTITUTE(SUBSTITUTE(SUBSTITUTE(SUBSTITUTE(TRIM(C62),".",""),"/",""),"-","")," ","")))&lt;14,RIGHT(REPT("0",14)&amp;UPPER(SUBSTITUTE(SUBSTITUTE(SUBSTITUTE(SUBSTITUTE(TRIM(C62),".",""),"/",""),"-","")," ","")),14),UPPER(SUBSTITUTE(SUBSTITUTE(SUBSTITUTE(SUBSTITUTE(TRIM(C62),".",""),"/",""),"-","")," ",""))))</f>
        <v/>
      </c>
      <c r="E62" s="25" t="str">
        <f aca="false">IF(D62="","",IFERROR(INDEX(Empresas!$C:$C,MATCH(D62,Empresas!$B:$B,0)),"cadastre o CNPJ em Empresas"))</f>
        <v/>
      </c>
      <c r="F62" s="23"/>
      <c r="G62" s="35"/>
      <c r="H62" s="24"/>
      <c r="I62" s="11"/>
      <c r="J62" s="27" t="str">
        <f aca="false">IF(A62="","",YEAR(A62))</f>
        <v/>
      </c>
      <c r="K62" s="24"/>
      <c r="L62" s="11"/>
    </row>
    <row r="63" customFormat="false" ht="15" hidden="false" customHeight="false" outlineLevel="0" collapsed="false">
      <c r="A63" s="22"/>
      <c r="B63" s="11"/>
      <c r="C63" s="24"/>
      <c r="D63" s="31" t="str">
        <f aca="false">IF(C63="","",IF(LEN(UPPER(SUBSTITUTE(SUBSTITUTE(SUBSTITUTE(SUBSTITUTE(TRIM(C63),".",""),"/",""),"-","")," ","")))&lt;14,RIGHT(REPT("0",14)&amp;UPPER(SUBSTITUTE(SUBSTITUTE(SUBSTITUTE(SUBSTITUTE(TRIM(C63),".",""),"/",""),"-","")," ","")),14),UPPER(SUBSTITUTE(SUBSTITUTE(SUBSTITUTE(SUBSTITUTE(TRIM(C63),".",""),"/",""),"-","")," ",""))))</f>
        <v/>
      </c>
      <c r="E63" s="25" t="str">
        <f aca="false">IF(D63="","",IFERROR(INDEX(Empresas!$C:$C,MATCH(D63,Empresas!$B:$B,0)),"cadastre o CNPJ em Empresas"))</f>
        <v/>
      </c>
      <c r="F63" s="23"/>
      <c r="G63" s="35"/>
      <c r="H63" s="24"/>
      <c r="I63" s="11"/>
      <c r="J63" s="27" t="str">
        <f aca="false">IF(A63="","",YEAR(A63))</f>
        <v/>
      </c>
      <c r="K63" s="24"/>
      <c r="L63" s="11"/>
    </row>
    <row r="64" customFormat="false" ht="15" hidden="false" customHeight="false" outlineLevel="0" collapsed="false">
      <c r="A64" s="22"/>
      <c r="B64" s="11"/>
      <c r="C64" s="24"/>
      <c r="D64" s="31" t="str">
        <f aca="false">IF(C64="","",IF(LEN(UPPER(SUBSTITUTE(SUBSTITUTE(SUBSTITUTE(SUBSTITUTE(TRIM(C64),".",""),"/",""),"-","")," ","")))&lt;14,RIGHT(REPT("0",14)&amp;UPPER(SUBSTITUTE(SUBSTITUTE(SUBSTITUTE(SUBSTITUTE(TRIM(C64),".",""),"/",""),"-","")," ","")),14),UPPER(SUBSTITUTE(SUBSTITUTE(SUBSTITUTE(SUBSTITUTE(TRIM(C64),".",""),"/",""),"-","")," ",""))))</f>
        <v/>
      </c>
      <c r="E64" s="25" t="str">
        <f aca="false">IF(D64="","",IFERROR(INDEX(Empresas!$C:$C,MATCH(D64,Empresas!$B:$B,0)),"cadastre o CNPJ em Empresas"))</f>
        <v/>
      </c>
      <c r="F64" s="23"/>
      <c r="G64" s="35"/>
      <c r="H64" s="24"/>
      <c r="I64" s="11"/>
      <c r="J64" s="27" t="str">
        <f aca="false">IF(A64="","",YEAR(A64))</f>
        <v/>
      </c>
      <c r="K64" s="24"/>
      <c r="L64" s="11"/>
    </row>
    <row r="65" customFormat="false" ht="15" hidden="false" customHeight="false" outlineLevel="0" collapsed="false">
      <c r="A65" s="22"/>
      <c r="B65" s="11"/>
      <c r="C65" s="24"/>
      <c r="D65" s="31" t="str">
        <f aca="false">IF(C65="","",IF(LEN(UPPER(SUBSTITUTE(SUBSTITUTE(SUBSTITUTE(SUBSTITUTE(TRIM(C65),".",""),"/",""),"-","")," ","")))&lt;14,RIGHT(REPT("0",14)&amp;UPPER(SUBSTITUTE(SUBSTITUTE(SUBSTITUTE(SUBSTITUTE(TRIM(C65),".",""),"/",""),"-","")," ","")),14),UPPER(SUBSTITUTE(SUBSTITUTE(SUBSTITUTE(SUBSTITUTE(TRIM(C65),".",""),"/",""),"-","")," ",""))))</f>
        <v/>
      </c>
      <c r="E65" s="25" t="str">
        <f aca="false">IF(D65="","",IFERROR(INDEX(Empresas!$C:$C,MATCH(D65,Empresas!$B:$B,0)),"cadastre o CNPJ em Empresas"))</f>
        <v/>
      </c>
      <c r="F65" s="23"/>
      <c r="G65" s="35"/>
      <c r="H65" s="24"/>
      <c r="I65" s="11"/>
      <c r="J65" s="27" t="str">
        <f aca="false">IF(A65="","",YEAR(A65))</f>
        <v/>
      </c>
      <c r="K65" s="24"/>
      <c r="L65" s="11"/>
    </row>
    <row r="66" customFormat="false" ht="15" hidden="false" customHeight="false" outlineLevel="0" collapsed="false">
      <c r="A66" s="22"/>
      <c r="B66" s="11"/>
      <c r="C66" s="24"/>
      <c r="D66" s="31" t="str">
        <f aca="false">IF(C66="","",IF(LEN(UPPER(SUBSTITUTE(SUBSTITUTE(SUBSTITUTE(SUBSTITUTE(TRIM(C66),".",""),"/",""),"-","")," ","")))&lt;14,RIGHT(REPT("0",14)&amp;UPPER(SUBSTITUTE(SUBSTITUTE(SUBSTITUTE(SUBSTITUTE(TRIM(C66),".",""),"/",""),"-","")," ","")),14),UPPER(SUBSTITUTE(SUBSTITUTE(SUBSTITUTE(SUBSTITUTE(TRIM(C66),".",""),"/",""),"-","")," ",""))))</f>
        <v/>
      </c>
      <c r="E66" s="25" t="str">
        <f aca="false">IF(D66="","",IFERROR(INDEX(Empresas!$C:$C,MATCH(D66,Empresas!$B:$B,0)),"cadastre o CNPJ em Empresas"))</f>
        <v/>
      </c>
      <c r="F66" s="23"/>
      <c r="G66" s="35"/>
      <c r="H66" s="24"/>
      <c r="I66" s="11"/>
      <c r="J66" s="27" t="str">
        <f aca="false">IF(A66="","",YEAR(A66))</f>
        <v/>
      </c>
      <c r="K66" s="24"/>
      <c r="L66" s="11"/>
    </row>
    <row r="67" customFormat="false" ht="15" hidden="false" customHeight="false" outlineLevel="0" collapsed="false">
      <c r="A67" s="22"/>
      <c r="B67" s="11"/>
      <c r="C67" s="24"/>
      <c r="D67" s="31" t="str">
        <f aca="false">IF(C67="","",IF(LEN(UPPER(SUBSTITUTE(SUBSTITUTE(SUBSTITUTE(SUBSTITUTE(TRIM(C67),".",""),"/",""),"-","")," ","")))&lt;14,RIGHT(REPT("0",14)&amp;UPPER(SUBSTITUTE(SUBSTITUTE(SUBSTITUTE(SUBSTITUTE(TRIM(C67),".",""),"/",""),"-","")," ","")),14),UPPER(SUBSTITUTE(SUBSTITUTE(SUBSTITUTE(SUBSTITUTE(TRIM(C67),".",""),"/",""),"-","")," ",""))))</f>
        <v/>
      </c>
      <c r="E67" s="25" t="str">
        <f aca="false">IF(D67="","",IFERROR(INDEX(Empresas!$C:$C,MATCH(D67,Empresas!$B:$B,0)),"cadastre o CNPJ em Empresas"))</f>
        <v/>
      </c>
      <c r="F67" s="23"/>
      <c r="G67" s="35"/>
      <c r="H67" s="24"/>
      <c r="I67" s="11"/>
      <c r="J67" s="27" t="str">
        <f aca="false">IF(A67="","",YEAR(A67))</f>
        <v/>
      </c>
      <c r="K67" s="24"/>
      <c r="L67" s="11"/>
    </row>
    <row r="68" customFormat="false" ht="15" hidden="false" customHeight="false" outlineLevel="0" collapsed="false">
      <c r="A68" s="22"/>
      <c r="B68" s="11"/>
      <c r="C68" s="24"/>
      <c r="D68" s="31" t="str">
        <f aca="false">IF(C68="","",IF(LEN(UPPER(SUBSTITUTE(SUBSTITUTE(SUBSTITUTE(SUBSTITUTE(TRIM(C68),".",""),"/",""),"-","")," ","")))&lt;14,RIGHT(REPT("0",14)&amp;UPPER(SUBSTITUTE(SUBSTITUTE(SUBSTITUTE(SUBSTITUTE(TRIM(C68),".",""),"/",""),"-","")," ","")),14),UPPER(SUBSTITUTE(SUBSTITUTE(SUBSTITUTE(SUBSTITUTE(TRIM(C68),".",""),"/",""),"-","")," ",""))))</f>
        <v/>
      </c>
      <c r="E68" s="25" t="str">
        <f aca="false">IF(D68="","",IFERROR(INDEX(Empresas!$C:$C,MATCH(D68,Empresas!$B:$B,0)),"cadastre o CNPJ em Empresas"))</f>
        <v/>
      </c>
      <c r="F68" s="23"/>
      <c r="G68" s="35"/>
      <c r="H68" s="24"/>
      <c r="I68" s="11"/>
      <c r="J68" s="27" t="str">
        <f aca="false">IF(A68="","",YEAR(A68))</f>
        <v/>
      </c>
      <c r="K68" s="24"/>
      <c r="L68" s="11"/>
    </row>
    <row r="69" customFormat="false" ht="15" hidden="false" customHeight="false" outlineLevel="0" collapsed="false">
      <c r="A69" s="22"/>
      <c r="B69" s="11"/>
      <c r="C69" s="24"/>
      <c r="D69" s="31" t="str">
        <f aca="false">IF(C69="","",IF(LEN(UPPER(SUBSTITUTE(SUBSTITUTE(SUBSTITUTE(SUBSTITUTE(TRIM(C69),".",""),"/",""),"-","")," ","")))&lt;14,RIGHT(REPT("0",14)&amp;UPPER(SUBSTITUTE(SUBSTITUTE(SUBSTITUTE(SUBSTITUTE(TRIM(C69),".",""),"/",""),"-","")," ","")),14),UPPER(SUBSTITUTE(SUBSTITUTE(SUBSTITUTE(SUBSTITUTE(TRIM(C69),".",""),"/",""),"-","")," ",""))))</f>
        <v/>
      </c>
      <c r="E69" s="25" t="str">
        <f aca="false">IF(D69="","",IFERROR(INDEX(Empresas!$C:$C,MATCH(D69,Empresas!$B:$B,0)),"cadastre o CNPJ em Empresas"))</f>
        <v/>
      </c>
      <c r="F69" s="23"/>
      <c r="G69" s="35"/>
      <c r="H69" s="24"/>
      <c r="I69" s="11"/>
      <c r="J69" s="27" t="str">
        <f aca="false">IF(A69="","",YEAR(A69))</f>
        <v/>
      </c>
      <c r="K69" s="24"/>
      <c r="L69" s="11"/>
    </row>
    <row r="70" customFormat="false" ht="15" hidden="false" customHeight="false" outlineLevel="0" collapsed="false">
      <c r="A70" s="22"/>
      <c r="B70" s="11"/>
      <c r="C70" s="24"/>
      <c r="D70" s="31" t="str">
        <f aca="false">IF(C70="","",IF(LEN(UPPER(SUBSTITUTE(SUBSTITUTE(SUBSTITUTE(SUBSTITUTE(TRIM(C70),".",""),"/",""),"-","")," ","")))&lt;14,RIGHT(REPT("0",14)&amp;UPPER(SUBSTITUTE(SUBSTITUTE(SUBSTITUTE(SUBSTITUTE(TRIM(C70),".",""),"/",""),"-","")," ","")),14),UPPER(SUBSTITUTE(SUBSTITUTE(SUBSTITUTE(SUBSTITUTE(TRIM(C70),".",""),"/",""),"-","")," ",""))))</f>
        <v/>
      </c>
      <c r="E70" s="25" t="str">
        <f aca="false">IF(D70="","",IFERROR(INDEX(Empresas!$C:$C,MATCH(D70,Empresas!$B:$B,0)),"cadastre o CNPJ em Empresas"))</f>
        <v/>
      </c>
      <c r="F70" s="23"/>
      <c r="G70" s="35"/>
      <c r="H70" s="24"/>
      <c r="I70" s="11"/>
      <c r="J70" s="27" t="str">
        <f aca="false">IF(A70="","",YEAR(A70))</f>
        <v/>
      </c>
      <c r="K70" s="24"/>
      <c r="L70" s="11"/>
    </row>
    <row r="71" customFormat="false" ht="15" hidden="false" customHeight="false" outlineLevel="0" collapsed="false">
      <c r="A71" s="22"/>
      <c r="B71" s="11"/>
      <c r="C71" s="24"/>
      <c r="D71" s="31" t="str">
        <f aca="false">IF(C71="","",IF(LEN(UPPER(SUBSTITUTE(SUBSTITUTE(SUBSTITUTE(SUBSTITUTE(TRIM(C71),".",""),"/",""),"-","")," ","")))&lt;14,RIGHT(REPT("0",14)&amp;UPPER(SUBSTITUTE(SUBSTITUTE(SUBSTITUTE(SUBSTITUTE(TRIM(C71),".",""),"/",""),"-","")," ","")),14),UPPER(SUBSTITUTE(SUBSTITUTE(SUBSTITUTE(SUBSTITUTE(TRIM(C71),".",""),"/",""),"-","")," ",""))))</f>
        <v/>
      </c>
      <c r="E71" s="25" t="str">
        <f aca="false">IF(D71="","",IFERROR(INDEX(Empresas!$C:$C,MATCH(D71,Empresas!$B:$B,0)),"cadastre o CNPJ em Empresas"))</f>
        <v/>
      </c>
      <c r="F71" s="23"/>
      <c r="G71" s="35"/>
      <c r="H71" s="24"/>
      <c r="I71" s="11"/>
      <c r="J71" s="27" t="str">
        <f aca="false">IF(A71="","",YEAR(A71))</f>
        <v/>
      </c>
      <c r="K71" s="24"/>
      <c r="L71" s="11"/>
    </row>
    <row r="72" customFormat="false" ht="15" hidden="false" customHeight="false" outlineLevel="0" collapsed="false">
      <c r="A72" s="22"/>
      <c r="B72" s="11"/>
      <c r="C72" s="24"/>
      <c r="D72" s="31" t="str">
        <f aca="false">IF(C72="","",IF(LEN(UPPER(SUBSTITUTE(SUBSTITUTE(SUBSTITUTE(SUBSTITUTE(TRIM(C72),".",""),"/",""),"-","")," ","")))&lt;14,RIGHT(REPT("0",14)&amp;UPPER(SUBSTITUTE(SUBSTITUTE(SUBSTITUTE(SUBSTITUTE(TRIM(C72),".",""),"/",""),"-","")," ","")),14),UPPER(SUBSTITUTE(SUBSTITUTE(SUBSTITUTE(SUBSTITUTE(TRIM(C72),".",""),"/",""),"-","")," ",""))))</f>
        <v/>
      </c>
      <c r="E72" s="25" t="str">
        <f aca="false">IF(D72="","",IFERROR(INDEX(Empresas!$C:$C,MATCH(D72,Empresas!$B:$B,0)),"cadastre o CNPJ em Empresas"))</f>
        <v/>
      </c>
      <c r="F72" s="23"/>
      <c r="G72" s="35"/>
      <c r="H72" s="24"/>
      <c r="I72" s="11"/>
      <c r="J72" s="27" t="str">
        <f aca="false">IF(A72="","",YEAR(A72))</f>
        <v/>
      </c>
      <c r="K72" s="24"/>
      <c r="L72" s="11"/>
    </row>
    <row r="73" customFormat="false" ht="15" hidden="false" customHeight="false" outlineLevel="0" collapsed="false">
      <c r="A73" s="22"/>
      <c r="B73" s="11"/>
      <c r="C73" s="24"/>
      <c r="D73" s="31" t="str">
        <f aca="false">IF(C73="","",IF(LEN(UPPER(SUBSTITUTE(SUBSTITUTE(SUBSTITUTE(SUBSTITUTE(TRIM(C73),".",""),"/",""),"-","")," ","")))&lt;14,RIGHT(REPT("0",14)&amp;UPPER(SUBSTITUTE(SUBSTITUTE(SUBSTITUTE(SUBSTITUTE(TRIM(C73),".",""),"/",""),"-","")," ","")),14),UPPER(SUBSTITUTE(SUBSTITUTE(SUBSTITUTE(SUBSTITUTE(TRIM(C73),".",""),"/",""),"-","")," ",""))))</f>
        <v/>
      </c>
      <c r="E73" s="25" t="str">
        <f aca="false">IF(D73="","",IFERROR(INDEX(Empresas!$C:$C,MATCH(D73,Empresas!$B:$B,0)),"cadastre o CNPJ em Empresas"))</f>
        <v/>
      </c>
      <c r="F73" s="23"/>
      <c r="G73" s="35"/>
      <c r="H73" s="24"/>
      <c r="I73" s="11"/>
      <c r="J73" s="27" t="str">
        <f aca="false">IF(A73="","",YEAR(A73))</f>
        <v/>
      </c>
      <c r="K73" s="24"/>
      <c r="L73" s="11"/>
    </row>
    <row r="74" customFormat="false" ht="15" hidden="false" customHeight="false" outlineLevel="0" collapsed="false">
      <c r="A74" s="22"/>
      <c r="B74" s="11"/>
      <c r="C74" s="24"/>
      <c r="D74" s="31" t="str">
        <f aca="false">IF(C74="","",IF(LEN(UPPER(SUBSTITUTE(SUBSTITUTE(SUBSTITUTE(SUBSTITUTE(TRIM(C74),".",""),"/",""),"-","")," ","")))&lt;14,RIGHT(REPT("0",14)&amp;UPPER(SUBSTITUTE(SUBSTITUTE(SUBSTITUTE(SUBSTITUTE(TRIM(C74),".",""),"/",""),"-","")," ","")),14),UPPER(SUBSTITUTE(SUBSTITUTE(SUBSTITUTE(SUBSTITUTE(TRIM(C74),".",""),"/",""),"-","")," ",""))))</f>
        <v/>
      </c>
      <c r="E74" s="25" t="str">
        <f aca="false">IF(D74="","",IFERROR(INDEX(Empresas!$C:$C,MATCH(D74,Empresas!$B:$B,0)),"cadastre o CNPJ em Empresas"))</f>
        <v/>
      </c>
      <c r="F74" s="23"/>
      <c r="G74" s="35"/>
      <c r="H74" s="24"/>
      <c r="I74" s="11"/>
      <c r="J74" s="27" t="str">
        <f aca="false">IF(A74="","",YEAR(A74))</f>
        <v/>
      </c>
      <c r="K74" s="24"/>
      <c r="L74" s="11"/>
    </row>
    <row r="75" customFormat="false" ht="15" hidden="false" customHeight="false" outlineLevel="0" collapsed="false">
      <c r="A75" s="22"/>
      <c r="B75" s="11"/>
      <c r="C75" s="24"/>
      <c r="D75" s="31" t="str">
        <f aca="false">IF(C75="","",IF(LEN(UPPER(SUBSTITUTE(SUBSTITUTE(SUBSTITUTE(SUBSTITUTE(TRIM(C75),".",""),"/",""),"-","")," ","")))&lt;14,RIGHT(REPT("0",14)&amp;UPPER(SUBSTITUTE(SUBSTITUTE(SUBSTITUTE(SUBSTITUTE(TRIM(C75),".",""),"/",""),"-","")," ","")),14),UPPER(SUBSTITUTE(SUBSTITUTE(SUBSTITUTE(SUBSTITUTE(TRIM(C75),".",""),"/",""),"-","")," ",""))))</f>
        <v/>
      </c>
      <c r="E75" s="25" t="str">
        <f aca="false">IF(D75="","",IFERROR(INDEX(Empresas!$C:$C,MATCH(D75,Empresas!$B:$B,0)),"cadastre o CNPJ em Empresas"))</f>
        <v/>
      </c>
      <c r="F75" s="23"/>
      <c r="G75" s="35"/>
      <c r="H75" s="24"/>
      <c r="I75" s="11"/>
      <c r="J75" s="27" t="str">
        <f aca="false">IF(A75="","",YEAR(A75))</f>
        <v/>
      </c>
      <c r="K75" s="24"/>
      <c r="L75" s="11"/>
    </row>
    <row r="76" customFormat="false" ht="15" hidden="false" customHeight="false" outlineLevel="0" collapsed="false">
      <c r="A76" s="22"/>
      <c r="B76" s="11"/>
      <c r="C76" s="24"/>
      <c r="D76" s="31" t="str">
        <f aca="false">IF(C76="","",IF(LEN(UPPER(SUBSTITUTE(SUBSTITUTE(SUBSTITUTE(SUBSTITUTE(TRIM(C76),".",""),"/",""),"-","")," ","")))&lt;14,RIGHT(REPT("0",14)&amp;UPPER(SUBSTITUTE(SUBSTITUTE(SUBSTITUTE(SUBSTITUTE(TRIM(C76),".",""),"/",""),"-","")," ","")),14),UPPER(SUBSTITUTE(SUBSTITUTE(SUBSTITUTE(SUBSTITUTE(TRIM(C76),".",""),"/",""),"-","")," ",""))))</f>
        <v/>
      </c>
      <c r="E76" s="25" t="str">
        <f aca="false">IF(D76="","",IFERROR(INDEX(Empresas!$C:$C,MATCH(D76,Empresas!$B:$B,0)),"cadastre o CNPJ em Empresas"))</f>
        <v/>
      </c>
      <c r="F76" s="23"/>
      <c r="G76" s="35"/>
      <c r="H76" s="24"/>
      <c r="I76" s="11"/>
      <c r="J76" s="27" t="str">
        <f aca="false">IF(A76="","",YEAR(A76))</f>
        <v/>
      </c>
      <c r="K76" s="24"/>
      <c r="L76" s="11"/>
    </row>
    <row r="77" customFormat="false" ht="15" hidden="false" customHeight="false" outlineLevel="0" collapsed="false">
      <c r="A77" s="22"/>
      <c r="B77" s="11"/>
      <c r="C77" s="24"/>
      <c r="D77" s="31" t="str">
        <f aca="false">IF(C77="","",IF(LEN(UPPER(SUBSTITUTE(SUBSTITUTE(SUBSTITUTE(SUBSTITUTE(TRIM(C77),".",""),"/",""),"-","")," ","")))&lt;14,RIGHT(REPT("0",14)&amp;UPPER(SUBSTITUTE(SUBSTITUTE(SUBSTITUTE(SUBSTITUTE(TRIM(C77),".",""),"/",""),"-","")," ","")),14),UPPER(SUBSTITUTE(SUBSTITUTE(SUBSTITUTE(SUBSTITUTE(TRIM(C77),".",""),"/",""),"-","")," ",""))))</f>
        <v/>
      </c>
      <c r="E77" s="25" t="str">
        <f aca="false">IF(D77="","",IFERROR(INDEX(Empresas!$C:$C,MATCH(D77,Empresas!$B:$B,0)),"cadastre o CNPJ em Empresas"))</f>
        <v/>
      </c>
      <c r="F77" s="23"/>
      <c r="G77" s="35"/>
      <c r="H77" s="24"/>
      <c r="I77" s="11"/>
      <c r="J77" s="27" t="str">
        <f aca="false">IF(A77="","",YEAR(A77))</f>
        <v/>
      </c>
      <c r="K77" s="24"/>
      <c r="L77" s="11"/>
    </row>
    <row r="78" customFormat="false" ht="15" hidden="false" customHeight="false" outlineLevel="0" collapsed="false">
      <c r="A78" s="22"/>
      <c r="B78" s="11"/>
      <c r="C78" s="24"/>
      <c r="D78" s="31" t="str">
        <f aca="false">IF(C78="","",IF(LEN(UPPER(SUBSTITUTE(SUBSTITUTE(SUBSTITUTE(SUBSTITUTE(TRIM(C78),".",""),"/",""),"-","")," ","")))&lt;14,RIGHT(REPT("0",14)&amp;UPPER(SUBSTITUTE(SUBSTITUTE(SUBSTITUTE(SUBSTITUTE(TRIM(C78),".",""),"/",""),"-","")," ","")),14),UPPER(SUBSTITUTE(SUBSTITUTE(SUBSTITUTE(SUBSTITUTE(TRIM(C78),".",""),"/",""),"-","")," ",""))))</f>
        <v/>
      </c>
      <c r="E78" s="25" t="str">
        <f aca="false">IF(D78="","",IFERROR(INDEX(Empresas!$C:$C,MATCH(D78,Empresas!$B:$B,0)),"cadastre o CNPJ em Empresas"))</f>
        <v/>
      </c>
      <c r="F78" s="23"/>
      <c r="G78" s="35"/>
      <c r="H78" s="24"/>
      <c r="I78" s="11"/>
      <c r="J78" s="27" t="str">
        <f aca="false">IF(A78="","",YEAR(A78))</f>
        <v/>
      </c>
      <c r="K78" s="24"/>
      <c r="L78" s="11"/>
    </row>
    <row r="79" customFormat="false" ht="15" hidden="false" customHeight="false" outlineLevel="0" collapsed="false">
      <c r="A79" s="22"/>
      <c r="B79" s="11"/>
      <c r="C79" s="24"/>
      <c r="D79" s="31" t="str">
        <f aca="false">IF(C79="","",IF(LEN(UPPER(SUBSTITUTE(SUBSTITUTE(SUBSTITUTE(SUBSTITUTE(TRIM(C79),".",""),"/",""),"-","")," ","")))&lt;14,RIGHT(REPT("0",14)&amp;UPPER(SUBSTITUTE(SUBSTITUTE(SUBSTITUTE(SUBSTITUTE(TRIM(C79),".",""),"/",""),"-","")," ","")),14),UPPER(SUBSTITUTE(SUBSTITUTE(SUBSTITUTE(SUBSTITUTE(TRIM(C79),".",""),"/",""),"-","")," ",""))))</f>
        <v/>
      </c>
      <c r="E79" s="25" t="str">
        <f aca="false">IF(D79="","",IFERROR(INDEX(Empresas!$C:$C,MATCH(D79,Empresas!$B:$B,0)),"cadastre o CNPJ em Empresas"))</f>
        <v/>
      </c>
      <c r="F79" s="23"/>
      <c r="G79" s="35"/>
      <c r="H79" s="24"/>
      <c r="I79" s="11"/>
      <c r="J79" s="27" t="str">
        <f aca="false">IF(A79="","",YEAR(A79))</f>
        <v/>
      </c>
      <c r="K79" s="24"/>
      <c r="L79" s="11"/>
    </row>
    <row r="80" customFormat="false" ht="15" hidden="false" customHeight="false" outlineLevel="0" collapsed="false">
      <c r="A80" s="22"/>
      <c r="B80" s="11"/>
      <c r="C80" s="24"/>
      <c r="D80" s="31" t="str">
        <f aca="false">IF(C80="","",IF(LEN(UPPER(SUBSTITUTE(SUBSTITUTE(SUBSTITUTE(SUBSTITUTE(TRIM(C80),".",""),"/",""),"-","")," ","")))&lt;14,RIGHT(REPT("0",14)&amp;UPPER(SUBSTITUTE(SUBSTITUTE(SUBSTITUTE(SUBSTITUTE(TRIM(C80),".",""),"/",""),"-","")," ","")),14),UPPER(SUBSTITUTE(SUBSTITUTE(SUBSTITUTE(SUBSTITUTE(TRIM(C80),".",""),"/",""),"-","")," ",""))))</f>
        <v/>
      </c>
      <c r="E80" s="25" t="str">
        <f aca="false">IF(D80="","",IFERROR(INDEX(Empresas!$C:$C,MATCH(D80,Empresas!$B:$B,0)),"cadastre o CNPJ em Empresas"))</f>
        <v/>
      </c>
      <c r="F80" s="23"/>
      <c r="G80" s="35"/>
      <c r="H80" s="24"/>
      <c r="I80" s="11"/>
      <c r="J80" s="27" t="str">
        <f aca="false">IF(A80="","",YEAR(A80))</f>
        <v/>
      </c>
      <c r="K80" s="24"/>
      <c r="L80" s="11"/>
    </row>
    <row r="81" customFormat="false" ht="15" hidden="false" customHeight="false" outlineLevel="0" collapsed="false">
      <c r="A81" s="22"/>
      <c r="B81" s="11"/>
      <c r="C81" s="24"/>
      <c r="D81" s="31" t="str">
        <f aca="false">IF(C81="","",IF(LEN(UPPER(SUBSTITUTE(SUBSTITUTE(SUBSTITUTE(SUBSTITUTE(TRIM(C81),".",""),"/",""),"-","")," ","")))&lt;14,RIGHT(REPT("0",14)&amp;UPPER(SUBSTITUTE(SUBSTITUTE(SUBSTITUTE(SUBSTITUTE(TRIM(C81),".",""),"/",""),"-","")," ","")),14),UPPER(SUBSTITUTE(SUBSTITUTE(SUBSTITUTE(SUBSTITUTE(TRIM(C81),".",""),"/",""),"-","")," ",""))))</f>
        <v/>
      </c>
      <c r="E81" s="25" t="str">
        <f aca="false">IF(D81="","",IFERROR(INDEX(Empresas!$C:$C,MATCH(D81,Empresas!$B:$B,0)),"cadastre o CNPJ em Empresas"))</f>
        <v/>
      </c>
      <c r="F81" s="23"/>
      <c r="G81" s="35"/>
      <c r="H81" s="24"/>
      <c r="I81" s="11"/>
      <c r="J81" s="27" t="str">
        <f aca="false">IF(A81="","",YEAR(A81))</f>
        <v/>
      </c>
      <c r="K81" s="24"/>
      <c r="L81" s="11"/>
    </row>
    <row r="82" customFormat="false" ht="15" hidden="false" customHeight="false" outlineLevel="0" collapsed="false">
      <c r="A82" s="22"/>
      <c r="B82" s="11"/>
      <c r="C82" s="24"/>
      <c r="D82" s="31" t="str">
        <f aca="false">IF(C82="","",IF(LEN(UPPER(SUBSTITUTE(SUBSTITUTE(SUBSTITUTE(SUBSTITUTE(TRIM(C82),".",""),"/",""),"-","")," ","")))&lt;14,RIGHT(REPT("0",14)&amp;UPPER(SUBSTITUTE(SUBSTITUTE(SUBSTITUTE(SUBSTITUTE(TRIM(C82),".",""),"/",""),"-","")," ","")),14),UPPER(SUBSTITUTE(SUBSTITUTE(SUBSTITUTE(SUBSTITUTE(TRIM(C82),".",""),"/",""),"-","")," ",""))))</f>
        <v/>
      </c>
      <c r="E82" s="25" t="str">
        <f aca="false">IF(D82="","",IFERROR(INDEX(Empresas!$C:$C,MATCH(D82,Empresas!$B:$B,0)),"cadastre o CNPJ em Empresas"))</f>
        <v/>
      </c>
      <c r="F82" s="23"/>
      <c r="G82" s="35"/>
      <c r="H82" s="24"/>
      <c r="I82" s="11"/>
      <c r="J82" s="27" t="str">
        <f aca="false">IF(A82="","",YEAR(A82))</f>
        <v/>
      </c>
      <c r="K82" s="24"/>
      <c r="L82" s="11"/>
    </row>
    <row r="83" customFormat="false" ht="15" hidden="false" customHeight="false" outlineLevel="0" collapsed="false">
      <c r="A83" s="22"/>
      <c r="B83" s="11"/>
      <c r="C83" s="24"/>
      <c r="D83" s="31" t="str">
        <f aca="false">IF(C83="","",IF(LEN(UPPER(SUBSTITUTE(SUBSTITUTE(SUBSTITUTE(SUBSTITUTE(TRIM(C83),".",""),"/",""),"-","")," ","")))&lt;14,RIGHT(REPT("0",14)&amp;UPPER(SUBSTITUTE(SUBSTITUTE(SUBSTITUTE(SUBSTITUTE(TRIM(C83),".",""),"/",""),"-","")," ","")),14),UPPER(SUBSTITUTE(SUBSTITUTE(SUBSTITUTE(SUBSTITUTE(TRIM(C83),".",""),"/",""),"-","")," ",""))))</f>
        <v/>
      </c>
      <c r="E83" s="25" t="str">
        <f aca="false">IF(D83="","",IFERROR(INDEX(Empresas!$C:$C,MATCH(D83,Empresas!$B:$B,0)),"cadastre o CNPJ em Empresas"))</f>
        <v/>
      </c>
      <c r="F83" s="23"/>
      <c r="G83" s="35"/>
      <c r="H83" s="24"/>
      <c r="I83" s="11"/>
      <c r="J83" s="27" t="str">
        <f aca="false">IF(A83="","",YEAR(A83))</f>
        <v/>
      </c>
      <c r="K83" s="24"/>
      <c r="L83" s="11"/>
    </row>
    <row r="84" customFormat="false" ht="15" hidden="false" customHeight="false" outlineLevel="0" collapsed="false">
      <c r="A84" s="22"/>
      <c r="B84" s="11"/>
      <c r="C84" s="24"/>
      <c r="D84" s="31" t="str">
        <f aca="false">IF(C84="","",IF(LEN(UPPER(SUBSTITUTE(SUBSTITUTE(SUBSTITUTE(SUBSTITUTE(TRIM(C84),".",""),"/",""),"-","")," ","")))&lt;14,RIGHT(REPT("0",14)&amp;UPPER(SUBSTITUTE(SUBSTITUTE(SUBSTITUTE(SUBSTITUTE(TRIM(C84),".",""),"/",""),"-","")," ","")),14),UPPER(SUBSTITUTE(SUBSTITUTE(SUBSTITUTE(SUBSTITUTE(TRIM(C84),".",""),"/",""),"-","")," ",""))))</f>
        <v/>
      </c>
      <c r="E84" s="25" t="str">
        <f aca="false">IF(D84="","",IFERROR(INDEX(Empresas!$C:$C,MATCH(D84,Empresas!$B:$B,0)),"cadastre o CNPJ em Empresas"))</f>
        <v/>
      </c>
      <c r="F84" s="23"/>
      <c r="G84" s="35"/>
      <c r="H84" s="24"/>
      <c r="I84" s="11"/>
      <c r="J84" s="27" t="str">
        <f aca="false">IF(A84="","",YEAR(A84))</f>
        <v/>
      </c>
      <c r="K84" s="24"/>
      <c r="L84" s="11"/>
    </row>
    <row r="85" customFormat="false" ht="15" hidden="false" customHeight="false" outlineLevel="0" collapsed="false">
      <c r="A85" s="22"/>
      <c r="B85" s="11"/>
      <c r="C85" s="24"/>
      <c r="D85" s="31" t="str">
        <f aca="false">IF(C85="","",IF(LEN(UPPER(SUBSTITUTE(SUBSTITUTE(SUBSTITUTE(SUBSTITUTE(TRIM(C85),".",""),"/",""),"-","")," ","")))&lt;14,RIGHT(REPT("0",14)&amp;UPPER(SUBSTITUTE(SUBSTITUTE(SUBSTITUTE(SUBSTITUTE(TRIM(C85),".",""),"/",""),"-","")," ","")),14),UPPER(SUBSTITUTE(SUBSTITUTE(SUBSTITUTE(SUBSTITUTE(TRIM(C85),".",""),"/",""),"-","")," ",""))))</f>
        <v/>
      </c>
      <c r="E85" s="25" t="str">
        <f aca="false">IF(D85="","",IFERROR(INDEX(Empresas!$C:$C,MATCH(D85,Empresas!$B:$B,0)),"cadastre o CNPJ em Empresas"))</f>
        <v/>
      </c>
      <c r="F85" s="23"/>
      <c r="G85" s="35"/>
      <c r="H85" s="24"/>
      <c r="I85" s="11"/>
      <c r="J85" s="27" t="str">
        <f aca="false">IF(A85="","",YEAR(A85))</f>
        <v/>
      </c>
      <c r="K85" s="24"/>
      <c r="L85" s="11"/>
    </row>
    <row r="86" customFormat="false" ht="15" hidden="false" customHeight="false" outlineLevel="0" collapsed="false">
      <c r="A86" s="22"/>
      <c r="B86" s="11"/>
      <c r="C86" s="24"/>
      <c r="D86" s="31" t="str">
        <f aca="false">IF(C86="","",IF(LEN(UPPER(SUBSTITUTE(SUBSTITUTE(SUBSTITUTE(SUBSTITUTE(TRIM(C86),".",""),"/",""),"-","")," ","")))&lt;14,RIGHT(REPT("0",14)&amp;UPPER(SUBSTITUTE(SUBSTITUTE(SUBSTITUTE(SUBSTITUTE(TRIM(C86),".",""),"/",""),"-","")," ","")),14),UPPER(SUBSTITUTE(SUBSTITUTE(SUBSTITUTE(SUBSTITUTE(TRIM(C86),".",""),"/",""),"-","")," ",""))))</f>
        <v/>
      </c>
      <c r="E86" s="25" t="str">
        <f aca="false">IF(D86="","",IFERROR(INDEX(Empresas!$C:$C,MATCH(D86,Empresas!$B:$B,0)),"cadastre o CNPJ em Empresas"))</f>
        <v/>
      </c>
      <c r="F86" s="23"/>
      <c r="G86" s="35"/>
      <c r="H86" s="24"/>
      <c r="I86" s="11"/>
      <c r="J86" s="27" t="str">
        <f aca="false">IF(A86="","",YEAR(A86))</f>
        <v/>
      </c>
      <c r="K86" s="24"/>
      <c r="L86" s="11"/>
    </row>
    <row r="87" customFormat="false" ht="15" hidden="false" customHeight="false" outlineLevel="0" collapsed="false">
      <c r="A87" s="22"/>
      <c r="B87" s="11"/>
      <c r="C87" s="24"/>
      <c r="D87" s="31" t="str">
        <f aca="false">IF(C87="","",IF(LEN(UPPER(SUBSTITUTE(SUBSTITUTE(SUBSTITUTE(SUBSTITUTE(TRIM(C87),".",""),"/",""),"-","")," ","")))&lt;14,RIGHT(REPT("0",14)&amp;UPPER(SUBSTITUTE(SUBSTITUTE(SUBSTITUTE(SUBSTITUTE(TRIM(C87),".",""),"/",""),"-","")," ","")),14),UPPER(SUBSTITUTE(SUBSTITUTE(SUBSTITUTE(SUBSTITUTE(TRIM(C87),".",""),"/",""),"-","")," ",""))))</f>
        <v/>
      </c>
      <c r="E87" s="25" t="str">
        <f aca="false">IF(D87="","",IFERROR(INDEX(Empresas!$C:$C,MATCH(D87,Empresas!$B:$B,0)),"cadastre o CNPJ em Empresas"))</f>
        <v/>
      </c>
      <c r="F87" s="23"/>
      <c r="G87" s="35"/>
      <c r="H87" s="24"/>
      <c r="I87" s="11"/>
      <c r="J87" s="27" t="str">
        <f aca="false">IF(A87="","",YEAR(A87))</f>
        <v/>
      </c>
      <c r="K87" s="24"/>
      <c r="L87" s="11"/>
    </row>
    <row r="88" customFormat="false" ht="15" hidden="false" customHeight="false" outlineLevel="0" collapsed="false">
      <c r="A88" s="22"/>
      <c r="B88" s="11"/>
      <c r="C88" s="24"/>
      <c r="D88" s="31" t="str">
        <f aca="false">IF(C88="","",IF(LEN(UPPER(SUBSTITUTE(SUBSTITUTE(SUBSTITUTE(SUBSTITUTE(TRIM(C88),".",""),"/",""),"-","")," ","")))&lt;14,RIGHT(REPT("0",14)&amp;UPPER(SUBSTITUTE(SUBSTITUTE(SUBSTITUTE(SUBSTITUTE(TRIM(C88),".",""),"/",""),"-","")," ","")),14),UPPER(SUBSTITUTE(SUBSTITUTE(SUBSTITUTE(SUBSTITUTE(TRIM(C88),".",""),"/",""),"-","")," ",""))))</f>
        <v/>
      </c>
      <c r="E88" s="25" t="str">
        <f aca="false">IF(D88="","",IFERROR(INDEX(Empresas!$C:$C,MATCH(D88,Empresas!$B:$B,0)),"cadastre o CNPJ em Empresas"))</f>
        <v/>
      </c>
      <c r="F88" s="23"/>
      <c r="G88" s="35"/>
      <c r="H88" s="24"/>
      <c r="I88" s="11"/>
      <c r="J88" s="27" t="str">
        <f aca="false">IF(A88="","",YEAR(A88))</f>
        <v/>
      </c>
      <c r="K88" s="24"/>
      <c r="L88" s="11"/>
    </row>
    <row r="89" customFormat="false" ht="15" hidden="false" customHeight="false" outlineLevel="0" collapsed="false">
      <c r="A89" s="22"/>
      <c r="B89" s="11"/>
      <c r="C89" s="24"/>
      <c r="D89" s="31" t="str">
        <f aca="false">IF(C89="","",IF(LEN(UPPER(SUBSTITUTE(SUBSTITUTE(SUBSTITUTE(SUBSTITUTE(TRIM(C89),".",""),"/",""),"-","")," ","")))&lt;14,RIGHT(REPT("0",14)&amp;UPPER(SUBSTITUTE(SUBSTITUTE(SUBSTITUTE(SUBSTITUTE(TRIM(C89),".",""),"/",""),"-","")," ","")),14),UPPER(SUBSTITUTE(SUBSTITUTE(SUBSTITUTE(SUBSTITUTE(TRIM(C89),".",""),"/",""),"-","")," ",""))))</f>
        <v/>
      </c>
      <c r="E89" s="25" t="str">
        <f aca="false">IF(D89="","",IFERROR(INDEX(Empresas!$C:$C,MATCH(D89,Empresas!$B:$B,0)),"cadastre o CNPJ em Empresas"))</f>
        <v/>
      </c>
      <c r="F89" s="23"/>
      <c r="G89" s="35"/>
      <c r="H89" s="24"/>
      <c r="I89" s="11"/>
      <c r="J89" s="27" t="str">
        <f aca="false">IF(A89="","",YEAR(A89))</f>
        <v/>
      </c>
      <c r="K89" s="24"/>
      <c r="L89" s="11"/>
    </row>
    <row r="90" customFormat="false" ht="15" hidden="false" customHeight="false" outlineLevel="0" collapsed="false">
      <c r="A90" s="22"/>
      <c r="B90" s="11"/>
      <c r="C90" s="24"/>
      <c r="D90" s="31" t="str">
        <f aca="false">IF(C90="","",IF(LEN(UPPER(SUBSTITUTE(SUBSTITUTE(SUBSTITUTE(SUBSTITUTE(TRIM(C90),".",""),"/",""),"-","")," ","")))&lt;14,RIGHT(REPT("0",14)&amp;UPPER(SUBSTITUTE(SUBSTITUTE(SUBSTITUTE(SUBSTITUTE(TRIM(C90),".",""),"/",""),"-","")," ","")),14),UPPER(SUBSTITUTE(SUBSTITUTE(SUBSTITUTE(SUBSTITUTE(TRIM(C90),".",""),"/",""),"-","")," ",""))))</f>
        <v/>
      </c>
      <c r="E90" s="25" t="str">
        <f aca="false">IF(D90="","",IFERROR(INDEX(Empresas!$C:$C,MATCH(D90,Empresas!$B:$B,0)),"cadastre o CNPJ em Empresas"))</f>
        <v/>
      </c>
      <c r="F90" s="23"/>
      <c r="G90" s="35"/>
      <c r="H90" s="24"/>
      <c r="I90" s="11"/>
      <c r="J90" s="27" t="str">
        <f aca="false">IF(A90="","",YEAR(A90))</f>
        <v/>
      </c>
      <c r="K90" s="24"/>
      <c r="L90" s="11"/>
    </row>
    <row r="91" customFormat="false" ht="15" hidden="false" customHeight="false" outlineLevel="0" collapsed="false">
      <c r="A91" s="22"/>
      <c r="B91" s="11"/>
      <c r="C91" s="24"/>
      <c r="D91" s="31" t="str">
        <f aca="false">IF(C91="","",IF(LEN(UPPER(SUBSTITUTE(SUBSTITUTE(SUBSTITUTE(SUBSTITUTE(TRIM(C91),".",""),"/",""),"-","")," ","")))&lt;14,RIGHT(REPT("0",14)&amp;UPPER(SUBSTITUTE(SUBSTITUTE(SUBSTITUTE(SUBSTITUTE(TRIM(C91),".",""),"/",""),"-","")," ","")),14),UPPER(SUBSTITUTE(SUBSTITUTE(SUBSTITUTE(SUBSTITUTE(TRIM(C91),".",""),"/",""),"-","")," ",""))))</f>
        <v/>
      </c>
      <c r="E91" s="25" t="str">
        <f aca="false">IF(D91="","",IFERROR(INDEX(Empresas!$C:$C,MATCH(D91,Empresas!$B:$B,0)),"cadastre o CNPJ em Empresas"))</f>
        <v/>
      </c>
      <c r="F91" s="23"/>
      <c r="G91" s="35"/>
      <c r="H91" s="24"/>
      <c r="I91" s="11"/>
      <c r="J91" s="27" t="str">
        <f aca="false">IF(A91="","",YEAR(A91))</f>
        <v/>
      </c>
      <c r="K91" s="24"/>
      <c r="L91" s="11"/>
    </row>
    <row r="92" customFormat="false" ht="15" hidden="false" customHeight="false" outlineLevel="0" collapsed="false">
      <c r="A92" s="22"/>
      <c r="B92" s="11"/>
      <c r="C92" s="24"/>
      <c r="D92" s="31" t="str">
        <f aca="false">IF(C92="","",IF(LEN(UPPER(SUBSTITUTE(SUBSTITUTE(SUBSTITUTE(SUBSTITUTE(TRIM(C92),".",""),"/",""),"-","")," ","")))&lt;14,RIGHT(REPT("0",14)&amp;UPPER(SUBSTITUTE(SUBSTITUTE(SUBSTITUTE(SUBSTITUTE(TRIM(C92),".",""),"/",""),"-","")," ","")),14),UPPER(SUBSTITUTE(SUBSTITUTE(SUBSTITUTE(SUBSTITUTE(TRIM(C92),".",""),"/",""),"-","")," ",""))))</f>
        <v/>
      </c>
      <c r="E92" s="25" t="str">
        <f aca="false">IF(D92="","",IFERROR(INDEX(Empresas!$C:$C,MATCH(D92,Empresas!$B:$B,0)),"cadastre o CNPJ em Empresas"))</f>
        <v/>
      </c>
      <c r="F92" s="23"/>
      <c r="G92" s="35"/>
      <c r="H92" s="24"/>
      <c r="I92" s="11"/>
      <c r="J92" s="27" t="str">
        <f aca="false">IF(A92="","",YEAR(A92))</f>
        <v/>
      </c>
      <c r="K92" s="24"/>
      <c r="L92" s="11"/>
    </row>
    <row r="93" customFormat="false" ht="15" hidden="false" customHeight="false" outlineLevel="0" collapsed="false">
      <c r="A93" s="22"/>
      <c r="B93" s="11"/>
      <c r="C93" s="24"/>
      <c r="D93" s="31" t="str">
        <f aca="false">IF(C93="","",IF(LEN(UPPER(SUBSTITUTE(SUBSTITUTE(SUBSTITUTE(SUBSTITUTE(TRIM(C93),".",""),"/",""),"-","")," ","")))&lt;14,RIGHT(REPT("0",14)&amp;UPPER(SUBSTITUTE(SUBSTITUTE(SUBSTITUTE(SUBSTITUTE(TRIM(C93),".",""),"/",""),"-","")," ","")),14),UPPER(SUBSTITUTE(SUBSTITUTE(SUBSTITUTE(SUBSTITUTE(TRIM(C93),".",""),"/",""),"-","")," ",""))))</f>
        <v/>
      </c>
      <c r="E93" s="25" t="str">
        <f aca="false">IF(D93="","",IFERROR(INDEX(Empresas!$C:$C,MATCH(D93,Empresas!$B:$B,0)),"cadastre o CNPJ em Empresas"))</f>
        <v/>
      </c>
      <c r="F93" s="23"/>
      <c r="G93" s="35"/>
      <c r="H93" s="24"/>
      <c r="I93" s="11"/>
      <c r="J93" s="27" t="str">
        <f aca="false">IF(A93="","",YEAR(A93))</f>
        <v/>
      </c>
      <c r="K93" s="24"/>
      <c r="L93" s="11"/>
    </row>
    <row r="94" customFormat="false" ht="15" hidden="false" customHeight="false" outlineLevel="0" collapsed="false">
      <c r="A94" s="22"/>
      <c r="B94" s="11"/>
      <c r="C94" s="24"/>
      <c r="D94" s="31" t="str">
        <f aca="false">IF(C94="","",IF(LEN(UPPER(SUBSTITUTE(SUBSTITUTE(SUBSTITUTE(SUBSTITUTE(TRIM(C94),".",""),"/",""),"-","")," ","")))&lt;14,RIGHT(REPT("0",14)&amp;UPPER(SUBSTITUTE(SUBSTITUTE(SUBSTITUTE(SUBSTITUTE(TRIM(C94),".",""),"/",""),"-","")," ","")),14),UPPER(SUBSTITUTE(SUBSTITUTE(SUBSTITUTE(SUBSTITUTE(TRIM(C94),".",""),"/",""),"-","")," ",""))))</f>
        <v/>
      </c>
      <c r="E94" s="25" t="str">
        <f aca="false">IF(D94="","",IFERROR(INDEX(Empresas!$C:$C,MATCH(D94,Empresas!$B:$B,0)),"cadastre o CNPJ em Empresas"))</f>
        <v/>
      </c>
      <c r="F94" s="23"/>
      <c r="G94" s="35"/>
      <c r="H94" s="24"/>
      <c r="I94" s="11"/>
      <c r="J94" s="27" t="str">
        <f aca="false">IF(A94="","",YEAR(A94))</f>
        <v/>
      </c>
      <c r="K94" s="24"/>
      <c r="L94" s="11"/>
    </row>
    <row r="95" customFormat="false" ht="15" hidden="false" customHeight="false" outlineLevel="0" collapsed="false">
      <c r="A95" s="22"/>
      <c r="B95" s="11"/>
      <c r="C95" s="24"/>
      <c r="D95" s="31" t="str">
        <f aca="false">IF(C95="","",IF(LEN(UPPER(SUBSTITUTE(SUBSTITUTE(SUBSTITUTE(SUBSTITUTE(TRIM(C95),".",""),"/",""),"-","")," ","")))&lt;14,RIGHT(REPT("0",14)&amp;UPPER(SUBSTITUTE(SUBSTITUTE(SUBSTITUTE(SUBSTITUTE(TRIM(C95),".",""),"/",""),"-","")," ","")),14),UPPER(SUBSTITUTE(SUBSTITUTE(SUBSTITUTE(SUBSTITUTE(TRIM(C95),".",""),"/",""),"-","")," ",""))))</f>
        <v/>
      </c>
      <c r="E95" s="25" t="str">
        <f aca="false">IF(D95="","",IFERROR(INDEX(Empresas!$C:$C,MATCH(D95,Empresas!$B:$B,0)),"cadastre o CNPJ em Empresas"))</f>
        <v/>
      </c>
      <c r="F95" s="23"/>
      <c r="G95" s="35"/>
      <c r="H95" s="24"/>
      <c r="I95" s="11"/>
      <c r="J95" s="27" t="str">
        <f aca="false">IF(A95="","",YEAR(A95))</f>
        <v/>
      </c>
      <c r="K95" s="24"/>
      <c r="L95" s="11"/>
    </row>
    <row r="96" customFormat="false" ht="15" hidden="false" customHeight="false" outlineLevel="0" collapsed="false">
      <c r="A96" s="22"/>
      <c r="B96" s="11"/>
      <c r="C96" s="24"/>
      <c r="D96" s="31" t="str">
        <f aca="false">IF(C96="","",IF(LEN(UPPER(SUBSTITUTE(SUBSTITUTE(SUBSTITUTE(SUBSTITUTE(TRIM(C96),".",""),"/",""),"-","")," ","")))&lt;14,RIGHT(REPT("0",14)&amp;UPPER(SUBSTITUTE(SUBSTITUTE(SUBSTITUTE(SUBSTITUTE(TRIM(C96),".",""),"/",""),"-","")," ","")),14),UPPER(SUBSTITUTE(SUBSTITUTE(SUBSTITUTE(SUBSTITUTE(TRIM(C96),".",""),"/",""),"-","")," ",""))))</f>
        <v/>
      </c>
      <c r="E96" s="25" t="str">
        <f aca="false">IF(D96="","",IFERROR(INDEX(Empresas!$C:$C,MATCH(D96,Empresas!$B:$B,0)),"cadastre o CNPJ em Empresas"))</f>
        <v/>
      </c>
      <c r="F96" s="23"/>
      <c r="G96" s="35"/>
      <c r="H96" s="24"/>
      <c r="I96" s="11"/>
      <c r="J96" s="27" t="str">
        <f aca="false">IF(A96="","",YEAR(A96))</f>
        <v/>
      </c>
      <c r="K96" s="24"/>
      <c r="L96" s="11"/>
    </row>
    <row r="97" customFormat="false" ht="15" hidden="false" customHeight="false" outlineLevel="0" collapsed="false">
      <c r="A97" s="22"/>
      <c r="B97" s="11"/>
      <c r="C97" s="24"/>
      <c r="D97" s="31" t="str">
        <f aca="false">IF(C97="","",IF(LEN(UPPER(SUBSTITUTE(SUBSTITUTE(SUBSTITUTE(SUBSTITUTE(TRIM(C97),".",""),"/",""),"-","")," ","")))&lt;14,RIGHT(REPT("0",14)&amp;UPPER(SUBSTITUTE(SUBSTITUTE(SUBSTITUTE(SUBSTITUTE(TRIM(C97),".",""),"/",""),"-","")," ","")),14),UPPER(SUBSTITUTE(SUBSTITUTE(SUBSTITUTE(SUBSTITUTE(TRIM(C97),".",""),"/",""),"-","")," ",""))))</f>
        <v/>
      </c>
      <c r="E97" s="25" t="str">
        <f aca="false">IF(D97="","",IFERROR(INDEX(Empresas!$C:$C,MATCH(D97,Empresas!$B:$B,0)),"cadastre o CNPJ em Empresas"))</f>
        <v/>
      </c>
      <c r="F97" s="23"/>
      <c r="G97" s="35"/>
      <c r="H97" s="24"/>
      <c r="I97" s="11"/>
      <c r="J97" s="27" t="str">
        <f aca="false">IF(A97="","",YEAR(A97))</f>
        <v/>
      </c>
      <c r="K97" s="24"/>
      <c r="L97" s="11"/>
    </row>
    <row r="98" customFormat="false" ht="15" hidden="false" customHeight="false" outlineLevel="0" collapsed="false">
      <c r="A98" s="22"/>
      <c r="B98" s="11"/>
      <c r="C98" s="24"/>
      <c r="D98" s="31" t="str">
        <f aca="false">IF(C98="","",IF(LEN(UPPER(SUBSTITUTE(SUBSTITUTE(SUBSTITUTE(SUBSTITUTE(TRIM(C98),".",""),"/",""),"-","")," ","")))&lt;14,RIGHT(REPT("0",14)&amp;UPPER(SUBSTITUTE(SUBSTITUTE(SUBSTITUTE(SUBSTITUTE(TRIM(C98),".",""),"/",""),"-","")," ","")),14),UPPER(SUBSTITUTE(SUBSTITUTE(SUBSTITUTE(SUBSTITUTE(TRIM(C98),".",""),"/",""),"-","")," ",""))))</f>
        <v/>
      </c>
      <c r="E98" s="25" t="str">
        <f aca="false">IF(D98="","",IFERROR(INDEX(Empresas!$C:$C,MATCH(D98,Empresas!$B:$B,0)),"cadastre o CNPJ em Empresas"))</f>
        <v/>
      </c>
      <c r="F98" s="23"/>
      <c r="G98" s="35"/>
      <c r="H98" s="24"/>
      <c r="I98" s="11"/>
      <c r="J98" s="27" t="str">
        <f aca="false">IF(A98="","",YEAR(A98))</f>
        <v/>
      </c>
      <c r="K98" s="24"/>
      <c r="L98" s="11"/>
    </row>
    <row r="99" customFormat="false" ht="15" hidden="false" customHeight="false" outlineLevel="0" collapsed="false">
      <c r="A99" s="22"/>
      <c r="B99" s="11"/>
      <c r="C99" s="24"/>
      <c r="D99" s="31" t="str">
        <f aca="false">IF(C99="","",IF(LEN(UPPER(SUBSTITUTE(SUBSTITUTE(SUBSTITUTE(SUBSTITUTE(TRIM(C99),".",""),"/",""),"-","")," ","")))&lt;14,RIGHT(REPT("0",14)&amp;UPPER(SUBSTITUTE(SUBSTITUTE(SUBSTITUTE(SUBSTITUTE(TRIM(C99),".",""),"/",""),"-","")," ","")),14),UPPER(SUBSTITUTE(SUBSTITUTE(SUBSTITUTE(SUBSTITUTE(TRIM(C99),".",""),"/",""),"-","")," ",""))))</f>
        <v/>
      </c>
      <c r="E99" s="25" t="str">
        <f aca="false">IF(D99="","",IFERROR(INDEX(Empresas!$C:$C,MATCH(D99,Empresas!$B:$B,0)),"cadastre o CNPJ em Empresas"))</f>
        <v/>
      </c>
      <c r="F99" s="23"/>
      <c r="G99" s="35"/>
      <c r="H99" s="24"/>
      <c r="I99" s="11"/>
      <c r="J99" s="27" t="str">
        <f aca="false">IF(A99="","",YEAR(A99))</f>
        <v/>
      </c>
      <c r="K99" s="24"/>
      <c r="L99" s="11"/>
    </row>
    <row r="100" customFormat="false" ht="15" hidden="false" customHeight="false" outlineLevel="0" collapsed="false">
      <c r="A100" s="22"/>
      <c r="B100" s="11"/>
      <c r="C100" s="24"/>
      <c r="D100" s="31" t="str">
        <f aca="false">IF(C100="","",IF(LEN(UPPER(SUBSTITUTE(SUBSTITUTE(SUBSTITUTE(SUBSTITUTE(TRIM(C100),".",""),"/",""),"-","")," ","")))&lt;14,RIGHT(REPT("0",14)&amp;UPPER(SUBSTITUTE(SUBSTITUTE(SUBSTITUTE(SUBSTITUTE(TRIM(C100),".",""),"/",""),"-","")," ","")),14),UPPER(SUBSTITUTE(SUBSTITUTE(SUBSTITUTE(SUBSTITUTE(TRIM(C100),".",""),"/",""),"-","")," ",""))))</f>
        <v/>
      </c>
      <c r="E100" s="25" t="str">
        <f aca="false">IF(D100="","",IFERROR(INDEX(Empresas!$C:$C,MATCH(D100,Empresas!$B:$B,0)),"cadastre o CNPJ em Empresas"))</f>
        <v/>
      </c>
      <c r="F100" s="23"/>
      <c r="G100" s="35"/>
      <c r="H100" s="24"/>
      <c r="I100" s="11"/>
      <c r="J100" s="27" t="str">
        <f aca="false">IF(A100="","",YEAR(A100))</f>
        <v/>
      </c>
      <c r="K100" s="24"/>
      <c r="L100" s="11"/>
    </row>
    <row r="101" customFormat="false" ht="15" hidden="false" customHeight="false" outlineLevel="0" collapsed="false">
      <c r="A101" s="22"/>
      <c r="B101" s="11"/>
      <c r="C101" s="24"/>
      <c r="D101" s="31" t="str">
        <f aca="false">IF(C101="","",IF(LEN(UPPER(SUBSTITUTE(SUBSTITUTE(SUBSTITUTE(SUBSTITUTE(TRIM(C101),".",""),"/",""),"-","")," ","")))&lt;14,RIGHT(REPT("0",14)&amp;UPPER(SUBSTITUTE(SUBSTITUTE(SUBSTITUTE(SUBSTITUTE(TRIM(C101),".",""),"/",""),"-","")," ","")),14),UPPER(SUBSTITUTE(SUBSTITUTE(SUBSTITUTE(SUBSTITUTE(TRIM(C101),".",""),"/",""),"-","")," ",""))))</f>
        <v/>
      </c>
      <c r="E101" s="25" t="str">
        <f aca="false">IF(D101="","",IFERROR(INDEX(Empresas!$C:$C,MATCH(D101,Empresas!$B:$B,0)),"cadastre o CNPJ em Empresas"))</f>
        <v/>
      </c>
      <c r="F101" s="23"/>
      <c r="G101" s="35"/>
      <c r="H101" s="24"/>
      <c r="I101" s="11"/>
      <c r="J101" s="27" t="str">
        <f aca="false">IF(A101="","",YEAR(A101))</f>
        <v/>
      </c>
      <c r="K101" s="24"/>
      <c r="L101" s="11"/>
    </row>
    <row r="102" customFormat="false" ht="15" hidden="false" customHeight="false" outlineLevel="0" collapsed="false">
      <c r="A102" s="22"/>
      <c r="B102" s="11"/>
      <c r="C102" s="24"/>
      <c r="D102" s="31" t="str">
        <f aca="false">IF(C102="","",IF(LEN(UPPER(SUBSTITUTE(SUBSTITUTE(SUBSTITUTE(SUBSTITUTE(TRIM(C102),".",""),"/",""),"-","")," ","")))&lt;14,RIGHT(REPT("0",14)&amp;UPPER(SUBSTITUTE(SUBSTITUTE(SUBSTITUTE(SUBSTITUTE(TRIM(C102),".",""),"/",""),"-","")," ","")),14),UPPER(SUBSTITUTE(SUBSTITUTE(SUBSTITUTE(SUBSTITUTE(TRIM(C102),".",""),"/",""),"-","")," ",""))))</f>
        <v/>
      </c>
      <c r="E102" s="25" t="str">
        <f aca="false">IF(D102="","",IFERROR(INDEX(Empresas!$C:$C,MATCH(D102,Empresas!$B:$B,0)),"cadastre o CNPJ em Empresas"))</f>
        <v/>
      </c>
      <c r="F102" s="23"/>
      <c r="G102" s="35"/>
      <c r="H102" s="24"/>
      <c r="I102" s="11"/>
      <c r="J102" s="27" t="str">
        <f aca="false">IF(A102="","",YEAR(A102))</f>
        <v/>
      </c>
      <c r="K102" s="24"/>
      <c r="L102" s="11"/>
    </row>
    <row r="103" customFormat="false" ht="15" hidden="false" customHeight="false" outlineLevel="0" collapsed="false">
      <c r="A103" s="22"/>
      <c r="B103" s="11"/>
      <c r="C103" s="24"/>
      <c r="D103" s="31" t="str">
        <f aca="false">IF(C103="","",IF(LEN(UPPER(SUBSTITUTE(SUBSTITUTE(SUBSTITUTE(SUBSTITUTE(TRIM(C103),".",""),"/",""),"-","")," ","")))&lt;14,RIGHT(REPT("0",14)&amp;UPPER(SUBSTITUTE(SUBSTITUTE(SUBSTITUTE(SUBSTITUTE(TRIM(C103),".",""),"/",""),"-","")," ","")),14),UPPER(SUBSTITUTE(SUBSTITUTE(SUBSTITUTE(SUBSTITUTE(TRIM(C103),".",""),"/",""),"-","")," ",""))))</f>
        <v/>
      </c>
      <c r="E103" s="25" t="str">
        <f aca="false">IF(D103="","",IFERROR(INDEX(Empresas!$C:$C,MATCH(D103,Empresas!$B:$B,0)),"cadastre o CNPJ em Empresas"))</f>
        <v/>
      </c>
      <c r="F103" s="23"/>
      <c r="G103" s="35"/>
      <c r="H103" s="24"/>
      <c r="I103" s="11"/>
      <c r="J103" s="27" t="str">
        <f aca="false">IF(A103="","",YEAR(A103))</f>
        <v/>
      </c>
      <c r="K103" s="24"/>
      <c r="L103" s="11"/>
    </row>
    <row r="104" customFormat="false" ht="15" hidden="false" customHeight="false" outlineLevel="0" collapsed="false">
      <c r="A104" s="22"/>
      <c r="B104" s="11"/>
      <c r="C104" s="24"/>
      <c r="D104" s="31" t="str">
        <f aca="false">IF(C104="","",IF(LEN(UPPER(SUBSTITUTE(SUBSTITUTE(SUBSTITUTE(SUBSTITUTE(TRIM(C104),".",""),"/",""),"-","")," ","")))&lt;14,RIGHT(REPT("0",14)&amp;UPPER(SUBSTITUTE(SUBSTITUTE(SUBSTITUTE(SUBSTITUTE(TRIM(C104),".",""),"/",""),"-","")," ","")),14),UPPER(SUBSTITUTE(SUBSTITUTE(SUBSTITUTE(SUBSTITUTE(TRIM(C104),".",""),"/",""),"-","")," ",""))))</f>
        <v/>
      </c>
      <c r="E104" s="25" t="str">
        <f aca="false">IF(D104="","",IFERROR(INDEX(Empresas!$C:$C,MATCH(D104,Empresas!$B:$B,0)),"cadastre o CNPJ em Empresas"))</f>
        <v/>
      </c>
      <c r="F104" s="23"/>
      <c r="G104" s="35"/>
      <c r="H104" s="24"/>
      <c r="I104" s="11"/>
      <c r="J104" s="27" t="str">
        <f aca="false">IF(A104="","",YEAR(A104))</f>
        <v/>
      </c>
      <c r="K104" s="24"/>
      <c r="L104" s="11"/>
    </row>
    <row r="105" customFormat="false" ht="15" hidden="false" customHeight="false" outlineLevel="0" collapsed="false">
      <c r="A105" s="22"/>
      <c r="B105" s="11"/>
      <c r="C105" s="24"/>
      <c r="D105" s="31" t="str">
        <f aca="false">IF(C105="","",IF(LEN(UPPER(SUBSTITUTE(SUBSTITUTE(SUBSTITUTE(SUBSTITUTE(TRIM(C105),".",""),"/",""),"-","")," ","")))&lt;14,RIGHT(REPT("0",14)&amp;UPPER(SUBSTITUTE(SUBSTITUTE(SUBSTITUTE(SUBSTITUTE(TRIM(C105),".",""),"/",""),"-","")," ","")),14),UPPER(SUBSTITUTE(SUBSTITUTE(SUBSTITUTE(SUBSTITUTE(TRIM(C105),".",""),"/",""),"-","")," ",""))))</f>
        <v/>
      </c>
      <c r="E105" s="25" t="str">
        <f aca="false">IF(D105="","",IFERROR(INDEX(Empresas!$C:$C,MATCH(D105,Empresas!$B:$B,0)),"cadastre o CNPJ em Empresas"))</f>
        <v/>
      </c>
      <c r="F105" s="23"/>
      <c r="G105" s="35"/>
      <c r="H105" s="24"/>
      <c r="I105" s="11"/>
      <c r="J105" s="27" t="str">
        <f aca="false">IF(A105="","",YEAR(A105))</f>
        <v/>
      </c>
      <c r="K105" s="24"/>
      <c r="L105" s="11"/>
    </row>
    <row r="106" customFormat="false" ht="15" hidden="false" customHeight="false" outlineLevel="0" collapsed="false">
      <c r="A106" s="22"/>
      <c r="B106" s="11"/>
      <c r="C106" s="24"/>
      <c r="D106" s="31" t="str">
        <f aca="false">IF(C106="","",IF(LEN(UPPER(SUBSTITUTE(SUBSTITUTE(SUBSTITUTE(SUBSTITUTE(TRIM(C106),".",""),"/",""),"-","")," ","")))&lt;14,RIGHT(REPT("0",14)&amp;UPPER(SUBSTITUTE(SUBSTITUTE(SUBSTITUTE(SUBSTITUTE(TRIM(C106),".",""),"/",""),"-","")," ","")),14),UPPER(SUBSTITUTE(SUBSTITUTE(SUBSTITUTE(SUBSTITUTE(TRIM(C106),".",""),"/",""),"-","")," ",""))))</f>
        <v/>
      </c>
      <c r="E106" s="25" t="str">
        <f aca="false">IF(D106="","",IFERROR(INDEX(Empresas!$C:$C,MATCH(D106,Empresas!$B:$B,0)),"cadastre o CNPJ em Empresas"))</f>
        <v/>
      </c>
      <c r="F106" s="23"/>
      <c r="G106" s="35"/>
      <c r="H106" s="24"/>
      <c r="I106" s="11"/>
      <c r="J106" s="27" t="str">
        <f aca="false">IF(A106="","",YEAR(A106))</f>
        <v/>
      </c>
      <c r="K106" s="24"/>
      <c r="L106" s="11"/>
    </row>
    <row r="107" customFormat="false" ht="15" hidden="false" customHeight="false" outlineLevel="0" collapsed="false">
      <c r="A107" s="22"/>
      <c r="B107" s="11"/>
      <c r="C107" s="24"/>
      <c r="D107" s="31" t="str">
        <f aca="false">IF(C107="","",IF(LEN(UPPER(SUBSTITUTE(SUBSTITUTE(SUBSTITUTE(SUBSTITUTE(TRIM(C107),".",""),"/",""),"-","")," ","")))&lt;14,RIGHT(REPT("0",14)&amp;UPPER(SUBSTITUTE(SUBSTITUTE(SUBSTITUTE(SUBSTITUTE(TRIM(C107),".",""),"/",""),"-","")," ","")),14),UPPER(SUBSTITUTE(SUBSTITUTE(SUBSTITUTE(SUBSTITUTE(TRIM(C107),".",""),"/",""),"-","")," ",""))))</f>
        <v/>
      </c>
      <c r="E107" s="25" t="str">
        <f aca="false">IF(D107="","",IFERROR(INDEX(Empresas!$C:$C,MATCH(D107,Empresas!$B:$B,0)),"cadastre o CNPJ em Empresas"))</f>
        <v/>
      </c>
      <c r="F107" s="23"/>
      <c r="G107" s="35"/>
      <c r="H107" s="24"/>
      <c r="I107" s="11"/>
      <c r="J107" s="27" t="str">
        <f aca="false">IF(A107="","",YEAR(A107))</f>
        <v/>
      </c>
      <c r="K107" s="24"/>
      <c r="L107" s="11"/>
    </row>
    <row r="108" customFormat="false" ht="15" hidden="false" customHeight="false" outlineLevel="0" collapsed="false">
      <c r="A108" s="22"/>
      <c r="B108" s="11"/>
      <c r="C108" s="24"/>
      <c r="D108" s="31" t="str">
        <f aca="false">IF(C108="","",IF(LEN(UPPER(SUBSTITUTE(SUBSTITUTE(SUBSTITUTE(SUBSTITUTE(TRIM(C108),".",""),"/",""),"-","")," ","")))&lt;14,RIGHT(REPT("0",14)&amp;UPPER(SUBSTITUTE(SUBSTITUTE(SUBSTITUTE(SUBSTITUTE(TRIM(C108),".",""),"/",""),"-","")," ","")),14),UPPER(SUBSTITUTE(SUBSTITUTE(SUBSTITUTE(SUBSTITUTE(TRIM(C108),".",""),"/",""),"-","")," ",""))))</f>
        <v/>
      </c>
      <c r="E108" s="25" t="str">
        <f aca="false">IF(D108="","",IFERROR(INDEX(Empresas!$C:$C,MATCH(D108,Empresas!$B:$B,0)),"cadastre o CNPJ em Empresas"))</f>
        <v/>
      </c>
      <c r="F108" s="23"/>
      <c r="G108" s="35"/>
      <c r="H108" s="24"/>
      <c r="I108" s="11"/>
      <c r="J108" s="27" t="str">
        <f aca="false">IF(A108="","",YEAR(A108))</f>
        <v/>
      </c>
      <c r="K108" s="24"/>
      <c r="L108" s="11"/>
    </row>
    <row r="109" customFormat="false" ht="15" hidden="false" customHeight="false" outlineLevel="0" collapsed="false">
      <c r="A109" s="22"/>
      <c r="B109" s="11"/>
      <c r="C109" s="24"/>
      <c r="D109" s="31" t="str">
        <f aca="false">IF(C109="","",IF(LEN(UPPER(SUBSTITUTE(SUBSTITUTE(SUBSTITUTE(SUBSTITUTE(TRIM(C109),".",""),"/",""),"-","")," ","")))&lt;14,RIGHT(REPT("0",14)&amp;UPPER(SUBSTITUTE(SUBSTITUTE(SUBSTITUTE(SUBSTITUTE(TRIM(C109),".",""),"/",""),"-","")," ","")),14),UPPER(SUBSTITUTE(SUBSTITUTE(SUBSTITUTE(SUBSTITUTE(TRIM(C109),".",""),"/",""),"-","")," ",""))))</f>
        <v/>
      </c>
      <c r="E109" s="25" t="str">
        <f aca="false">IF(D109="","",IFERROR(INDEX(Empresas!$C:$C,MATCH(D109,Empresas!$B:$B,0)),"cadastre o CNPJ em Empresas"))</f>
        <v/>
      </c>
      <c r="F109" s="23"/>
      <c r="G109" s="35"/>
      <c r="H109" s="24"/>
      <c r="I109" s="11"/>
      <c r="J109" s="27" t="str">
        <f aca="false">IF(A109="","",YEAR(A109))</f>
        <v/>
      </c>
      <c r="K109" s="24"/>
      <c r="L109" s="11"/>
    </row>
    <row r="110" customFormat="false" ht="15" hidden="false" customHeight="false" outlineLevel="0" collapsed="false">
      <c r="A110" s="22"/>
      <c r="B110" s="11"/>
      <c r="C110" s="24"/>
      <c r="D110" s="31" t="str">
        <f aca="false">IF(C110="","",IF(LEN(UPPER(SUBSTITUTE(SUBSTITUTE(SUBSTITUTE(SUBSTITUTE(TRIM(C110),".",""),"/",""),"-","")," ","")))&lt;14,RIGHT(REPT("0",14)&amp;UPPER(SUBSTITUTE(SUBSTITUTE(SUBSTITUTE(SUBSTITUTE(TRIM(C110),".",""),"/",""),"-","")," ","")),14),UPPER(SUBSTITUTE(SUBSTITUTE(SUBSTITUTE(SUBSTITUTE(TRIM(C110),".",""),"/",""),"-","")," ",""))))</f>
        <v/>
      </c>
      <c r="E110" s="25" t="str">
        <f aca="false">IF(D110="","",IFERROR(INDEX(Empresas!$C:$C,MATCH(D110,Empresas!$B:$B,0)),"cadastre o CNPJ em Empresas"))</f>
        <v/>
      </c>
      <c r="F110" s="23"/>
      <c r="G110" s="35"/>
      <c r="H110" s="24"/>
      <c r="I110" s="11"/>
      <c r="J110" s="27" t="str">
        <f aca="false">IF(A110="","",YEAR(A110))</f>
        <v/>
      </c>
      <c r="K110" s="24"/>
      <c r="L110" s="11"/>
    </row>
    <row r="111" customFormat="false" ht="15" hidden="false" customHeight="false" outlineLevel="0" collapsed="false">
      <c r="A111" s="22"/>
      <c r="B111" s="11"/>
      <c r="C111" s="24"/>
      <c r="D111" s="31" t="str">
        <f aca="false">IF(C111="","",IF(LEN(UPPER(SUBSTITUTE(SUBSTITUTE(SUBSTITUTE(SUBSTITUTE(TRIM(C111),".",""),"/",""),"-","")," ","")))&lt;14,RIGHT(REPT("0",14)&amp;UPPER(SUBSTITUTE(SUBSTITUTE(SUBSTITUTE(SUBSTITUTE(TRIM(C111),".",""),"/",""),"-","")," ","")),14),UPPER(SUBSTITUTE(SUBSTITUTE(SUBSTITUTE(SUBSTITUTE(TRIM(C111),".",""),"/",""),"-","")," ",""))))</f>
        <v/>
      </c>
      <c r="E111" s="25" t="str">
        <f aca="false">IF(D111="","",IFERROR(INDEX(Empresas!$C:$C,MATCH(D111,Empresas!$B:$B,0)),"cadastre o CNPJ em Empresas"))</f>
        <v/>
      </c>
      <c r="F111" s="23"/>
      <c r="G111" s="35"/>
      <c r="H111" s="24"/>
      <c r="I111" s="11"/>
      <c r="J111" s="27" t="str">
        <f aca="false">IF(A111="","",YEAR(A111))</f>
        <v/>
      </c>
      <c r="K111" s="24"/>
      <c r="L111" s="11"/>
    </row>
    <row r="112" customFormat="false" ht="15" hidden="false" customHeight="false" outlineLevel="0" collapsed="false">
      <c r="A112" s="22"/>
      <c r="B112" s="11"/>
      <c r="C112" s="24"/>
      <c r="D112" s="31" t="str">
        <f aca="false">IF(C112="","",IF(LEN(UPPER(SUBSTITUTE(SUBSTITUTE(SUBSTITUTE(SUBSTITUTE(TRIM(C112),".",""),"/",""),"-","")," ","")))&lt;14,RIGHT(REPT("0",14)&amp;UPPER(SUBSTITUTE(SUBSTITUTE(SUBSTITUTE(SUBSTITUTE(TRIM(C112),".",""),"/",""),"-","")," ","")),14),UPPER(SUBSTITUTE(SUBSTITUTE(SUBSTITUTE(SUBSTITUTE(TRIM(C112),".",""),"/",""),"-","")," ",""))))</f>
        <v/>
      </c>
      <c r="E112" s="25" t="str">
        <f aca="false">IF(D112="","",IFERROR(INDEX(Empresas!$C:$C,MATCH(D112,Empresas!$B:$B,0)),"cadastre o CNPJ em Empresas"))</f>
        <v/>
      </c>
      <c r="F112" s="23"/>
      <c r="G112" s="35"/>
      <c r="H112" s="24"/>
      <c r="I112" s="11"/>
      <c r="J112" s="27" t="str">
        <f aca="false">IF(A112="","",YEAR(A112))</f>
        <v/>
      </c>
      <c r="K112" s="24"/>
      <c r="L112" s="11"/>
    </row>
    <row r="113" customFormat="false" ht="15" hidden="false" customHeight="false" outlineLevel="0" collapsed="false">
      <c r="A113" s="22"/>
      <c r="B113" s="11"/>
      <c r="C113" s="24"/>
      <c r="D113" s="31" t="str">
        <f aca="false">IF(C113="","",IF(LEN(UPPER(SUBSTITUTE(SUBSTITUTE(SUBSTITUTE(SUBSTITUTE(TRIM(C113),".",""),"/",""),"-","")," ","")))&lt;14,RIGHT(REPT("0",14)&amp;UPPER(SUBSTITUTE(SUBSTITUTE(SUBSTITUTE(SUBSTITUTE(TRIM(C113),".",""),"/",""),"-","")," ","")),14),UPPER(SUBSTITUTE(SUBSTITUTE(SUBSTITUTE(SUBSTITUTE(TRIM(C113),".",""),"/",""),"-","")," ",""))))</f>
        <v/>
      </c>
      <c r="E113" s="25" t="str">
        <f aca="false">IF(D113="","",IFERROR(INDEX(Empresas!$C:$C,MATCH(D113,Empresas!$B:$B,0)),"cadastre o CNPJ em Empresas"))</f>
        <v/>
      </c>
      <c r="F113" s="23"/>
      <c r="G113" s="35"/>
      <c r="H113" s="24"/>
      <c r="I113" s="11"/>
      <c r="J113" s="27" t="str">
        <f aca="false">IF(A113="","",YEAR(A113))</f>
        <v/>
      </c>
      <c r="K113" s="24"/>
      <c r="L113" s="11"/>
    </row>
    <row r="114" customFormat="false" ht="15" hidden="false" customHeight="false" outlineLevel="0" collapsed="false">
      <c r="A114" s="22"/>
      <c r="B114" s="11"/>
      <c r="C114" s="24"/>
      <c r="D114" s="31" t="str">
        <f aca="false">IF(C114="","",IF(LEN(UPPER(SUBSTITUTE(SUBSTITUTE(SUBSTITUTE(SUBSTITUTE(TRIM(C114),".",""),"/",""),"-","")," ","")))&lt;14,RIGHT(REPT("0",14)&amp;UPPER(SUBSTITUTE(SUBSTITUTE(SUBSTITUTE(SUBSTITUTE(TRIM(C114),".",""),"/",""),"-","")," ","")),14),UPPER(SUBSTITUTE(SUBSTITUTE(SUBSTITUTE(SUBSTITUTE(TRIM(C114),".",""),"/",""),"-","")," ",""))))</f>
        <v/>
      </c>
      <c r="E114" s="25" t="str">
        <f aca="false">IF(D114="","",IFERROR(INDEX(Empresas!$C:$C,MATCH(D114,Empresas!$B:$B,0)),"cadastre o CNPJ em Empresas"))</f>
        <v/>
      </c>
      <c r="F114" s="23"/>
      <c r="G114" s="35"/>
      <c r="H114" s="24"/>
      <c r="I114" s="11"/>
      <c r="J114" s="27" t="str">
        <f aca="false">IF(A114="","",YEAR(A114))</f>
        <v/>
      </c>
      <c r="K114" s="24"/>
      <c r="L114" s="11"/>
    </row>
    <row r="115" customFormat="false" ht="15" hidden="false" customHeight="false" outlineLevel="0" collapsed="false">
      <c r="A115" s="22"/>
      <c r="B115" s="11"/>
      <c r="C115" s="24"/>
      <c r="D115" s="31" t="str">
        <f aca="false">IF(C115="","",IF(LEN(UPPER(SUBSTITUTE(SUBSTITUTE(SUBSTITUTE(SUBSTITUTE(TRIM(C115),".",""),"/",""),"-","")," ","")))&lt;14,RIGHT(REPT("0",14)&amp;UPPER(SUBSTITUTE(SUBSTITUTE(SUBSTITUTE(SUBSTITUTE(TRIM(C115),".",""),"/",""),"-","")," ","")),14),UPPER(SUBSTITUTE(SUBSTITUTE(SUBSTITUTE(SUBSTITUTE(TRIM(C115),".",""),"/",""),"-","")," ",""))))</f>
        <v/>
      </c>
      <c r="E115" s="25" t="str">
        <f aca="false">IF(D115="","",IFERROR(INDEX(Empresas!$C:$C,MATCH(D115,Empresas!$B:$B,0)),"cadastre o CNPJ em Empresas"))</f>
        <v/>
      </c>
      <c r="F115" s="23"/>
      <c r="G115" s="35"/>
      <c r="H115" s="24"/>
      <c r="I115" s="11"/>
      <c r="J115" s="27" t="str">
        <f aca="false">IF(A115="","",YEAR(A115))</f>
        <v/>
      </c>
      <c r="K115" s="24"/>
      <c r="L115" s="11"/>
    </row>
    <row r="116" customFormat="false" ht="15" hidden="false" customHeight="false" outlineLevel="0" collapsed="false">
      <c r="A116" s="22"/>
      <c r="B116" s="11"/>
      <c r="C116" s="24"/>
      <c r="D116" s="31" t="str">
        <f aca="false">IF(C116="","",IF(LEN(UPPER(SUBSTITUTE(SUBSTITUTE(SUBSTITUTE(SUBSTITUTE(TRIM(C116),".",""),"/",""),"-","")," ","")))&lt;14,RIGHT(REPT("0",14)&amp;UPPER(SUBSTITUTE(SUBSTITUTE(SUBSTITUTE(SUBSTITUTE(TRIM(C116),".",""),"/",""),"-","")," ","")),14),UPPER(SUBSTITUTE(SUBSTITUTE(SUBSTITUTE(SUBSTITUTE(TRIM(C116),".",""),"/",""),"-","")," ",""))))</f>
        <v/>
      </c>
      <c r="E116" s="25" t="str">
        <f aca="false">IF(D116="","",IFERROR(INDEX(Empresas!$C:$C,MATCH(D116,Empresas!$B:$B,0)),"cadastre o CNPJ em Empresas"))</f>
        <v/>
      </c>
      <c r="F116" s="23"/>
      <c r="G116" s="35"/>
      <c r="H116" s="24"/>
      <c r="I116" s="11"/>
      <c r="J116" s="27" t="str">
        <f aca="false">IF(A116="","",YEAR(A116))</f>
        <v/>
      </c>
      <c r="K116" s="24"/>
      <c r="L116" s="11"/>
    </row>
    <row r="117" customFormat="false" ht="15" hidden="false" customHeight="false" outlineLevel="0" collapsed="false">
      <c r="A117" s="22"/>
      <c r="B117" s="11"/>
      <c r="C117" s="24"/>
      <c r="D117" s="31" t="str">
        <f aca="false">IF(C117="","",IF(LEN(UPPER(SUBSTITUTE(SUBSTITUTE(SUBSTITUTE(SUBSTITUTE(TRIM(C117),".",""),"/",""),"-","")," ","")))&lt;14,RIGHT(REPT("0",14)&amp;UPPER(SUBSTITUTE(SUBSTITUTE(SUBSTITUTE(SUBSTITUTE(TRIM(C117),".",""),"/",""),"-","")," ","")),14),UPPER(SUBSTITUTE(SUBSTITUTE(SUBSTITUTE(SUBSTITUTE(TRIM(C117),".",""),"/",""),"-","")," ",""))))</f>
        <v/>
      </c>
      <c r="E117" s="25" t="str">
        <f aca="false">IF(D117="","",IFERROR(INDEX(Empresas!$C:$C,MATCH(D117,Empresas!$B:$B,0)),"cadastre o CNPJ em Empresas"))</f>
        <v/>
      </c>
      <c r="F117" s="23"/>
      <c r="G117" s="35"/>
      <c r="H117" s="24"/>
      <c r="I117" s="11"/>
      <c r="J117" s="27" t="str">
        <f aca="false">IF(A117="","",YEAR(A117))</f>
        <v/>
      </c>
      <c r="K117" s="24"/>
      <c r="L117" s="11"/>
    </row>
    <row r="118" customFormat="false" ht="15" hidden="false" customHeight="false" outlineLevel="0" collapsed="false">
      <c r="A118" s="22"/>
      <c r="B118" s="11"/>
      <c r="C118" s="24"/>
      <c r="D118" s="31" t="str">
        <f aca="false">IF(C118="","",IF(LEN(UPPER(SUBSTITUTE(SUBSTITUTE(SUBSTITUTE(SUBSTITUTE(TRIM(C118),".",""),"/",""),"-","")," ","")))&lt;14,RIGHT(REPT("0",14)&amp;UPPER(SUBSTITUTE(SUBSTITUTE(SUBSTITUTE(SUBSTITUTE(TRIM(C118),".",""),"/",""),"-","")," ","")),14),UPPER(SUBSTITUTE(SUBSTITUTE(SUBSTITUTE(SUBSTITUTE(TRIM(C118),".",""),"/",""),"-","")," ",""))))</f>
        <v/>
      </c>
      <c r="E118" s="25" t="str">
        <f aca="false">IF(D118="","",IFERROR(INDEX(Empresas!$C:$C,MATCH(D118,Empresas!$B:$B,0)),"cadastre o CNPJ em Empresas"))</f>
        <v/>
      </c>
      <c r="F118" s="23"/>
      <c r="G118" s="35"/>
      <c r="H118" s="24"/>
      <c r="I118" s="11"/>
      <c r="J118" s="27" t="str">
        <f aca="false">IF(A118="","",YEAR(A118))</f>
        <v/>
      </c>
      <c r="K118" s="24"/>
      <c r="L118" s="11"/>
    </row>
    <row r="119" customFormat="false" ht="15" hidden="false" customHeight="false" outlineLevel="0" collapsed="false">
      <c r="A119" s="22"/>
      <c r="B119" s="11"/>
      <c r="C119" s="24"/>
      <c r="D119" s="31" t="str">
        <f aca="false">IF(C119="","",IF(LEN(UPPER(SUBSTITUTE(SUBSTITUTE(SUBSTITUTE(SUBSTITUTE(TRIM(C119),".",""),"/",""),"-","")," ","")))&lt;14,RIGHT(REPT("0",14)&amp;UPPER(SUBSTITUTE(SUBSTITUTE(SUBSTITUTE(SUBSTITUTE(TRIM(C119),".",""),"/",""),"-","")," ","")),14),UPPER(SUBSTITUTE(SUBSTITUTE(SUBSTITUTE(SUBSTITUTE(TRIM(C119),".",""),"/",""),"-","")," ",""))))</f>
        <v/>
      </c>
      <c r="E119" s="25" t="str">
        <f aca="false">IF(D119="","",IFERROR(INDEX(Empresas!$C:$C,MATCH(D119,Empresas!$B:$B,0)),"cadastre o CNPJ em Empresas"))</f>
        <v/>
      </c>
      <c r="F119" s="23"/>
      <c r="G119" s="35"/>
      <c r="H119" s="24"/>
      <c r="I119" s="11"/>
      <c r="J119" s="27" t="str">
        <f aca="false">IF(A119="","",YEAR(A119))</f>
        <v/>
      </c>
      <c r="K119" s="24"/>
      <c r="L119" s="11"/>
    </row>
    <row r="120" customFormat="false" ht="15" hidden="false" customHeight="false" outlineLevel="0" collapsed="false">
      <c r="A120" s="22"/>
      <c r="B120" s="11"/>
      <c r="C120" s="24"/>
      <c r="D120" s="31" t="str">
        <f aca="false">IF(C120="","",IF(LEN(UPPER(SUBSTITUTE(SUBSTITUTE(SUBSTITUTE(SUBSTITUTE(TRIM(C120),".",""),"/",""),"-","")," ","")))&lt;14,RIGHT(REPT("0",14)&amp;UPPER(SUBSTITUTE(SUBSTITUTE(SUBSTITUTE(SUBSTITUTE(TRIM(C120),".",""),"/",""),"-","")," ","")),14),UPPER(SUBSTITUTE(SUBSTITUTE(SUBSTITUTE(SUBSTITUTE(TRIM(C120),".",""),"/",""),"-","")," ",""))))</f>
        <v/>
      </c>
      <c r="E120" s="25" t="str">
        <f aca="false">IF(D120="","",IFERROR(INDEX(Empresas!$C:$C,MATCH(D120,Empresas!$B:$B,0)),"cadastre o CNPJ em Empresas"))</f>
        <v/>
      </c>
      <c r="F120" s="23"/>
      <c r="G120" s="35"/>
      <c r="H120" s="24"/>
      <c r="I120" s="11"/>
      <c r="J120" s="27" t="str">
        <f aca="false">IF(A120="","",YEAR(A120))</f>
        <v/>
      </c>
      <c r="K120" s="24"/>
      <c r="L120" s="11"/>
    </row>
    <row r="121" customFormat="false" ht="15" hidden="false" customHeight="false" outlineLevel="0" collapsed="false">
      <c r="A121" s="22"/>
      <c r="B121" s="11"/>
      <c r="C121" s="24"/>
      <c r="D121" s="31" t="str">
        <f aca="false">IF(C121="","",IF(LEN(UPPER(SUBSTITUTE(SUBSTITUTE(SUBSTITUTE(SUBSTITUTE(TRIM(C121),".",""),"/",""),"-","")," ","")))&lt;14,RIGHT(REPT("0",14)&amp;UPPER(SUBSTITUTE(SUBSTITUTE(SUBSTITUTE(SUBSTITUTE(TRIM(C121),".",""),"/",""),"-","")," ","")),14),UPPER(SUBSTITUTE(SUBSTITUTE(SUBSTITUTE(SUBSTITUTE(TRIM(C121),".",""),"/",""),"-","")," ",""))))</f>
        <v/>
      </c>
      <c r="E121" s="25" t="str">
        <f aca="false">IF(D121="","",IFERROR(INDEX(Empresas!$C:$C,MATCH(D121,Empresas!$B:$B,0)),"cadastre o CNPJ em Empresas"))</f>
        <v/>
      </c>
      <c r="F121" s="23"/>
      <c r="G121" s="35"/>
      <c r="H121" s="24"/>
      <c r="I121" s="11"/>
      <c r="J121" s="27" t="str">
        <f aca="false">IF(A121="","",YEAR(A121))</f>
        <v/>
      </c>
      <c r="K121" s="24"/>
      <c r="L121" s="11"/>
    </row>
    <row r="122" customFormat="false" ht="15" hidden="false" customHeight="false" outlineLevel="0" collapsed="false">
      <c r="A122" s="22"/>
      <c r="B122" s="11"/>
      <c r="C122" s="24"/>
      <c r="D122" s="31" t="str">
        <f aca="false">IF(C122="","",IF(LEN(UPPER(SUBSTITUTE(SUBSTITUTE(SUBSTITUTE(SUBSTITUTE(TRIM(C122),".",""),"/",""),"-","")," ","")))&lt;14,RIGHT(REPT("0",14)&amp;UPPER(SUBSTITUTE(SUBSTITUTE(SUBSTITUTE(SUBSTITUTE(TRIM(C122),".",""),"/",""),"-","")," ","")),14),UPPER(SUBSTITUTE(SUBSTITUTE(SUBSTITUTE(SUBSTITUTE(TRIM(C122),".",""),"/",""),"-","")," ",""))))</f>
        <v/>
      </c>
      <c r="E122" s="25" t="str">
        <f aca="false">IF(D122="","",IFERROR(INDEX(Empresas!$C:$C,MATCH(D122,Empresas!$B:$B,0)),"cadastre o CNPJ em Empresas"))</f>
        <v/>
      </c>
      <c r="F122" s="23"/>
      <c r="G122" s="35"/>
      <c r="H122" s="24"/>
      <c r="I122" s="11"/>
      <c r="J122" s="27" t="str">
        <f aca="false">IF(A122="","",YEAR(A122))</f>
        <v/>
      </c>
      <c r="K122" s="24"/>
      <c r="L122" s="11"/>
    </row>
    <row r="123" customFormat="false" ht="15" hidden="false" customHeight="false" outlineLevel="0" collapsed="false">
      <c r="A123" s="22"/>
      <c r="B123" s="11"/>
      <c r="C123" s="24"/>
      <c r="D123" s="31" t="str">
        <f aca="false">IF(C123="","",IF(LEN(UPPER(SUBSTITUTE(SUBSTITUTE(SUBSTITUTE(SUBSTITUTE(TRIM(C123),".",""),"/",""),"-","")," ","")))&lt;14,RIGHT(REPT("0",14)&amp;UPPER(SUBSTITUTE(SUBSTITUTE(SUBSTITUTE(SUBSTITUTE(TRIM(C123),".",""),"/",""),"-","")," ","")),14),UPPER(SUBSTITUTE(SUBSTITUTE(SUBSTITUTE(SUBSTITUTE(TRIM(C123),".",""),"/",""),"-","")," ",""))))</f>
        <v/>
      </c>
      <c r="E123" s="25" t="str">
        <f aca="false">IF(D123="","",IFERROR(INDEX(Empresas!$C:$C,MATCH(D123,Empresas!$B:$B,0)),"cadastre o CNPJ em Empresas"))</f>
        <v/>
      </c>
      <c r="F123" s="23"/>
      <c r="G123" s="35"/>
      <c r="H123" s="24"/>
      <c r="I123" s="11"/>
      <c r="J123" s="27" t="str">
        <f aca="false">IF(A123="","",YEAR(A123))</f>
        <v/>
      </c>
      <c r="K123" s="24"/>
      <c r="L123" s="11"/>
    </row>
    <row r="124" customFormat="false" ht="15" hidden="false" customHeight="false" outlineLevel="0" collapsed="false">
      <c r="A124" s="22"/>
      <c r="B124" s="11"/>
      <c r="C124" s="24"/>
      <c r="D124" s="31" t="str">
        <f aca="false">IF(C124="","",IF(LEN(UPPER(SUBSTITUTE(SUBSTITUTE(SUBSTITUTE(SUBSTITUTE(TRIM(C124),".",""),"/",""),"-","")," ","")))&lt;14,RIGHT(REPT("0",14)&amp;UPPER(SUBSTITUTE(SUBSTITUTE(SUBSTITUTE(SUBSTITUTE(TRIM(C124),".",""),"/",""),"-","")," ","")),14),UPPER(SUBSTITUTE(SUBSTITUTE(SUBSTITUTE(SUBSTITUTE(TRIM(C124),".",""),"/",""),"-","")," ",""))))</f>
        <v/>
      </c>
      <c r="E124" s="25" t="str">
        <f aca="false">IF(D124="","",IFERROR(INDEX(Empresas!$C:$C,MATCH(D124,Empresas!$B:$B,0)),"cadastre o CNPJ em Empresas"))</f>
        <v/>
      </c>
      <c r="F124" s="23"/>
      <c r="G124" s="35"/>
      <c r="H124" s="24"/>
      <c r="I124" s="11"/>
      <c r="J124" s="27" t="str">
        <f aca="false">IF(A124="","",YEAR(A124))</f>
        <v/>
      </c>
      <c r="K124" s="24"/>
      <c r="L124" s="11"/>
    </row>
    <row r="125" customFormat="false" ht="15" hidden="false" customHeight="false" outlineLevel="0" collapsed="false">
      <c r="A125" s="22"/>
      <c r="B125" s="11"/>
      <c r="C125" s="24"/>
      <c r="D125" s="31" t="str">
        <f aca="false">IF(C125="","",IF(LEN(UPPER(SUBSTITUTE(SUBSTITUTE(SUBSTITUTE(SUBSTITUTE(TRIM(C125),".",""),"/",""),"-","")," ","")))&lt;14,RIGHT(REPT("0",14)&amp;UPPER(SUBSTITUTE(SUBSTITUTE(SUBSTITUTE(SUBSTITUTE(TRIM(C125),".",""),"/",""),"-","")," ","")),14),UPPER(SUBSTITUTE(SUBSTITUTE(SUBSTITUTE(SUBSTITUTE(TRIM(C125),".",""),"/",""),"-","")," ",""))))</f>
        <v/>
      </c>
      <c r="E125" s="25" t="str">
        <f aca="false">IF(D125="","",IFERROR(INDEX(Empresas!$C:$C,MATCH(D125,Empresas!$B:$B,0)),"cadastre o CNPJ em Empresas"))</f>
        <v/>
      </c>
      <c r="F125" s="23"/>
      <c r="G125" s="35"/>
      <c r="H125" s="24"/>
      <c r="I125" s="11"/>
      <c r="J125" s="27" t="str">
        <f aca="false">IF(A125="","",YEAR(A125))</f>
        <v/>
      </c>
      <c r="K125" s="24"/>
      <c r="L125" s="11"/>
    </row>
    <row r="126" customFormat="false" ht="15" hidden="false" customHeight="false" outlineLevel="0" collapsed="false">
      <c r="A126" s="22"/>
      <c r="B126" s="11"/>
      <c r="C126" s="24"/>
      <c r="D126" s="31" t="str">
        <f aca="false">IF(C126="","",IF(LEN(UPPER(SUBSTITUTE(SUBSTITUTE(SUBSTITUTE(SUBSTITUTE(TRIM(C126),".",""),"/",""),"-","")," ","")))&lt;14,RIGHT(REPT("0",14)&amp;UPPER(SUBSTITUTE(SUBSTITUTE(SUBSTITUTE(SUBSTITUTE(TRIM(C126),".",""),"/",""),"-","")," ","")),14),UPPER(SUBSTITUTE(SUBSTITUTE(SUBSTITUTE(SUBSTITUTE(TRIM(C126),".",""),"/",""),"-","")," ",""))))</f>
        <v/>
      </c>
      <c r="E126" s="25" t="str">
        <f aca="false">IF(D126="","",IFERROR(INDEX(Empresas!$C:$C,MATCH(D126,Empresas!$B:$B,0)),"cadastre o CNPJ em Empresas"))</f>
        <v/>
      </c>
      <c r="F126" s="23"/>
      <c r="G126" s="35"/>
      <c r="H126" s="24"/>
      <c r="I126" s="11"/>
      <c r="J126" s="27" t="str">
        <f aca="false">IF(A126="","",YEAR(A126))</f>
        <v/>
      </c>
      <c r="K126" s="24"/>
      <c r="L126" s="11"/>
    </row>
    <row r="127" customFormat="false" ht="15" hidden="false" customHeight="false" outlineLevel="0" collapsed="false">
      <c r="A127" s="22"/>
      <c r="B127" s="11"/>
      <c r="C127" s="24"/>
      <c r="D127" s="31" t="str">
        <f aca="false">IF(C127="","",IF(LEN(UPPER(SUBSTITUTE(SUBSTITUTE(SUBSTITUTE(SUBSTITUTE(TRIM(C127),".",""),"/",""),"-","")," ","")))&lt;14,RIGHT(REPT("0",14)&amp;UPPER(SUBSTITUTE(SUBSTITUTE(SUBSTITUTE(SUBSTITUTE(TRIM(C127),".",""),"/",""),"-","")," ","")),14),UPPER(SUBSTITUTE(SUBSTITUTE(SUBSTITUTE(SUBSTITUTE(TRIM(C127),".",""),"/",""),"-","")," ",""))))</f>
        <v/>
      </c>
      <c r="E127" s="25" t="str">
        <f aca="false">IF(D127="","",IFERROR(INDEX(Empresas!$C:$C,MATCH(D127,Empresas!$B:$B,0)),"cadastre o CNPJ em Empresas"))</f>
        <v/>
      </c>
      <c r="F127" s="23"/>
      <c r="G127" s="35"/>
      <c r="H127" s="24"/>
      <c r="I127" s="11"/>
      <c r="J127" s="27" t="str">
        <f aca="false">IF(A127="","",YEAR(A127))</f>
        <v/>
      </c>
      <c r="K127" s="24"/>
      <c r="L127" s="11"/>
    </row>
    <row r="128" customFormat="false" ht="15" hidden="false" customHeight="false" outlineLevel="0" collapsed="false">
      <c r="A128" s="22"/>
      <c r="B128" s="11"/>
      <c r="C128" s="24"/>
      <c r="D128" s="31" t="str">
        <f aca="false">IF(C128="","",IF(LEN(UPPER(SUBSTITUTE(SUBSTITUTE(SUBSTITUTE(SUBSTITUTE(TRIM(C128),".",""),"/",""),"-","")," ","")))&lt;14,RIGHT(REPT("0",14)&amp;UPPER(SUBSTITUTE(SUBSTITUTE(SUBSTITUTE(SUBSTITUTE(TRIM(C128),".",""),"/",""),"-","")," ","")),14),UPPER(SUBSTITUTE(SUBSTITUTE(SUBSTITUTE(SUBSTITUTE(TRIM(C128),".",""),"/",""),"-","")," ",""))))</f>
        <v/>
      </c>
      <c r="E128" s="25" t="str">
        <f aca="false">IF(D128="","",IFERROR(INDEX(Empresas!$C:$C,MATCH(D128,Empresas!$B:$B,0)),"cadastre o CNPJ em Empresas"))</f>
        <v/>
      </c>
      <c r="F128" s="23"/>
      <c r="G128" s="35"/>
      <c r="H128" s="24"/>
      <c r="I128" s="11"/>
      <c r="J128" s="27" t="str">
        <f aca="false">IF(A128="","",YEAR(A128))</f>
        <v/>
      </c>
      <c r="K128" s="24"/>
      <c r="L128" s="11"/>
    </row>
    <row r="129" customFormat="false" ht="15" hidden="false" customHeight="false" outlineLevel="0" collapsed="false">
      <c r="A129" s="22"/>
      <c r="B129" s="11"/>
      <c r="C129" s="24"/>
      <c r="D129" s="31" t="str">
        <f aca="false">IF(C129="","",IF(LEN(UPPER(SUBSTITUTE(SUBSTITUTE(SUBSTITUTE(SUBSTITUTE(TRIM(C129),".",""),"/",""),"-","")," ","")))&lt;14,RIGHT(REPT("0",14)&amp;UPPER(SUBSTITUTE(SUBSTITUTE(SUBSTITUTE(SUBSTITUTE(TRIM(C129),".",""),"/",""),"-","")," ","")),14),UPPER(SUBSTITUTE(SUBSTITUTE(SUBSTITUTE(SUBSTITUTE(TRIM(C129),".",""),"/",""),"-","")," ",""))))</f>
        <v/>
      </c>
      <c r="E129" s="25" t="str">
        <f aca="false">IF(D129="","",IFERROR(INDEX(Empresas!$C:$C,MATCH(D129,Empresas!$B:$B,0)),"cadastre o CNPJ em Empresas"))</f>
        <v/>
      </c>
      <c r="F129" s="23"/>
      <c r="G129" s="35"/>
      <c r="H129" s="24"/>
      <c r="I129" s="11"/>
      <c r="J129" s="27" t="str">
        <f aca="false">IF(A129="","",YEAR(A129))</f>
        <v/>
      </c>
      <c r="K129" s="24"/>
      <c r="L129" s="11"/>
    </row>
    <row r="130" customFormat="false" ht="15" hidden="false" customHeight="false" outlineLevel="0" collapsed="false">
      <c r="A130" s="22"/>
      <c r="B130" s="11"/>
      <c r="C130" s="24"/>
      <c r="D130" s="31" t="str">
        <f aca="false">IF(C130="","",IF(LEN(UPPER(SUBSTITUTE(SUBSTITUTE(SUBSTITUTE(SUBSTITUTE(TRIM(C130),".",""),"/",""),"-","")," ","")))&lt;14,RIGHT(REPT("0",14)&amp;UPPER(SUBSTITUTE(SUBSTITUTE(SUBSTITUTE(SUBSTITUTE(TRIM(C130),".",""),"/",""),"-","")," ","")),14),UPPER(SUBSTITUTE(SUBSTITUTE(SUBSTITUTE(SUBSTITUTE(TRIM(C130),".",""),"/",""),"-","")," ",""))))</f>
        <v/>
      </c>
      <c r="E130" s="25" t="str">
        <f aca="false">IF(D130="","",IFERROR(INDEX(Empresas!$C:$C,MATCH(D130,Empresas!$B:$B,0)),"cadastre o CNPJ em Empresas"))</f>
        <v/>
      </c>
      <c r="F130" s="23"/>
      <c r="G130" s="35"/>
      <c r="H130" s="24"/>
      <c r="I130" s="11"/>
      <c r="J130" s="27" t="str">
        <f aca="false">IF(A130="","",YEAR(A130))</f>
        <v/>
      </c>
      <c r="K130" s="24"/>
      <c r="L130" s="11"/>
    </row>
    <row r="131" customFormat="false" ht="15" hidden="false" customHeight="false" outlineLevel="0" collapsed="false">
      <c r="A131" s="22"/>
      <c r="B131" s="11"/>
      <c r="C131" s="24"/>
      <c r="D131" s="31" t="str">
        <f aca="false">IF(C131="","",IF(LEN(UPPER(SUBSTITUTE(SUBSTITUTE(SUBSTITUTE(SUBSTITUTE(TRIM(C131),".",""),"/",""),"-","")," ","")))&lt;14,RIGHT(REPT("0",14)&amp;UPPER(SUBSTITUTE(SUBSTITUTE(SUBSTITUTE(SUBSTITUTE(TRIM(C131),".",""),"/",""),"-","")," ","")),14),UPPER(SUBSTITUTE(SUBSTITUTE(SUBSTITUTE(SUBSTITUTE(TRIM(C131),".",""),"/",""),"-","")," ",""))))</f>
        <v/>
      </c>
      <c r="E131" s="25" t="str">
        <f aca="false">IF(D131="","",IFERROR(INDEX(Empresas!$C:$C,MATCH(D131,Empresas!$B:$B,0)),"cadastre o CNPJ em Empresas"))</f>
        <v/>
      </c>
      <c r="F131" s="23"/>
      <c r="G131" s="35"/>
      <c r="H131" s="24"/>
      <c r="I131" s="11"/>
      <c r="J131" s="27" t="str">
        <f aca="false">IF(A131="","",YEAR(A131))</f>
        <v/>
      </c>
      <c r="K131" s="24"/>
      <c r="L131" s="11"/>
    </row>
    <row r="132" customFormat="false" ht="15" hidden="false" customHeight="false" outlineLevel="0" collapsed="false">
      <c r="A132" s="22"/>
      <c r="B132" s="11"/>
      <c r="C132" s="24"/>
      <c r="D132" s="31" t="str">
        <f aca="false">IF(C132="","",IF(LEN(UPPER(SUBSTITUTE(SUBSTITUTE(SUBSTITUTE(SUBSTITUTE(TRIM(C132),".",""),"/",""),"-","")," ","")))&lt;14,RIGHT(REPT("0",14)&amp;UPPER(SUBSTITUTE(SUBSTITUTE(SUBSTITUTE(SUBSTITUTE(TRIM(C132),".",""),"/",""),"-","")," ","")),14),UPPER(SUBSTITUTE(SUBSTITUTE(SUBSTITUTE(SUBSTITUTE(TRIM(C132),".",""),"/",""),"-","")," ",""))))</f>
        <v/>
      </c>
      <c r="E132" s="25" t="str">
        <f aca="false">IF(D132="","",IFERROR(INDEX(Empresas!$C:$C,MATCH(D132,Empresas!$B:$B,0)),"cadastre o CNPJ em Empresas"))</f>
        <v/>
      </c>
      <c r="F132" s="23"/>
      <c r="G132" s="35"/>
      <c r="H132" s="24"/>
      <c r="I132" s="11"/>
      <c r="J132" s="27" t="str">
        <f aca="false">IF(A132="","",YEAR(A132))</f>
        <v/>
      </c>
      <c r="K132" s="24"/>
      <c r="L132" s="11"/>
    </row>
    <row r="133" customFormat="false" ht="15" hidden="false" customHeight="false" outlineLevel="0" collapsed="false">
      <c r="A133" s="22"/>
      <c r="B133" s="11"/>
      <c r="C133" s="24"/>
      <c r="D133" s="31" t="str">
        <f aca="false">IF(C133="","",IF(LEN(UPPER(SUBSTITUTE(SUBSTITUTE(SUBSTITUTE(SUBSTITUTE(TRIM(C133),".",""),"/",""),"-","")," ","")))&lt;14,RIGHT(REPT("0",14)&amp;UPPER(SUBSTITUTE(SUBSTITUTE(SUBSTITUTE(SUBSTITUTE(TRIM(C133),".",""),"/",""),"-","")," ","")),14),UPPER(SUBSTITUTE(SUBSTITUTE(SUBSTITUTE(SUBSTITUTE(TRIM(C133),".",""),"/",""),"-","")," ",""))))</f>
        <v/>
      </c>
      <c r="E133" s="25" t="str">
        <f aca="false">IF(D133="","",IFERROR(INDEX(Empresas!$C:$C,MATCH(D133,Empresas!$B:$B,0)),"cadastre o CNPJ em Empresas"))</f>
        <v/>
      </c>
      <c r="F133" s="23"/>
      <c r="G133" s="35"/>
      <c r="H133" s="24"/>
      <c r="I133" s="11"/>
      <c r="J133" s="27" t="str">
        <f aca="false">IF(A133="","",YEAR(A133))</f>
        <v/>
      </c>
      <c r="K133" s="24"/>
      <c r="L133" s="11"/>
    </row>
    <row r="134" customFormat="false" ht="15" hidden="false" customHeight="false" outlineLevel="0" collapsed="false">
      <c r="A134" s="22"/>
      <c r="B134" s="11"/>
      <c r="C134" s="24"/>
      <c r="D134" s="31" t="str">
        <f aca="false">IF(C134="","",IF(LEN(UPPER(SUBSTITUTE(SUBSTITUTE(SUBSTITUTE(SUBSTITUTE(TRIM(C134),".",""),"/",""),"-","")," ","")))&lt;14,RIGHT(REPT("0",14)&amp;UPPER(SUBSTITUTE(SUBSTITUTE(SUBSTITUTE(SUBSTITUTE(TRIM(C134),".",""),"/",""),"-","")," ","")),14),UPPER(SUBSTITUTE(SUBSTITUTE(SUBSTITUTE(SUBSTITUTE(TRIM(C134),".",""),"/",""),"-","")," ",""))))</f>
        <v/>
      </c>
      <c r="E134" s="25" t="str">
        <f aca="false">IF(D134="","",IFERROR(INDEX(Empresas!$C:$C,MATCH(D134,Empresas!$B:$B,0)),"cadastre o CNPJ em Empresas"))</f>
        <v/>
      </c>
      <c r="F134" s="23"/>
      <c r="G134" s="35"/>
      <c r="H134" s="24"/>
      <c r="I134" s="11"/>
      <c r="J134" s="27" t="str">
        <f aca="false">IF(A134="","",YEAR(A134))</f>
        <v/>
      </c>
      <c r="K134" s="24"/>
      <c r="L134" s="11"/>
    </row>
    <row r="135" customFormat="false" ht="15" hidden="false" customHeight="false" outlineLevel="0" collapsed="false">
      <c r="A135" s="22"/>
      <c r="B135" s="11"/>
      <c r="C135" s="24"/>
      <c r="D135" s="31" t="str">
        <f aca="false">IF(C135="","",IF(LEN(UPPER(SUBSTITUTE(SUBSTITUTE(SUBSTITUTE(SUBSTITUTE(TRIM(C135),".",""),"/",""),"-","")," ","")))&lt;14,RIGHT(REPT("0",14)&amp;UPPER(SUBSTITUTE(SUBSTITUTE(SUBSTITUTE(SUBSTITUTE(TRIM(C135),".",""),"/",""),"-","")," ","")),14),UPPER(SUBSTITUTE(SUBSTITUTE(SUBSTITUTE(SUBSTITUTE(TRIM(C135),".",""),"/",""),"-","")," ",""))))</f>
        <v/>
      </c>
      <c r="E135" s="25" t="str">
        <f aca="false">IF(D135="","",IFERROR(INDEX(Empresas!$C:$C,MATCH(D135,Empresas!$B:$B,0)),"cadastre o CNPJ em Empresas"))</f>
        <v/>
      </c>
      <c r="F135" s="23"/>
      <c r="G135" s="35"/>
      <c r="H135" s="24"/>
      <c r="I135" s="11"/>
      <c r="J135" s="27" t="str">
        <f aca="false">IF(A135="","",YEAR(A135))</f>
        <v/>
      </c>
      <c r="K135" s="24"/>
      <c r="L135" s="11"/>
    </row>
    <row r="136" customFormat="false" ht="15" hidden="false" customHeight="false" outlineLevel="0" collapsed="false">
      <c r="A136" s="22"/>
      <c r="B136" s="11"/>
      <c r="C136" s="24"/>
      <c r="D136" s="31" t="str">
        <f aca="false">IF(C136="","",IF(LEN(UPPER(SUBSTITUTE(SUBSTITUTE(SUBSTITUTE(SUBSTITUTE(TRIM(C136),".",""),"/",""),"-","")," ","")))&lt;14,RIGHT(REPT("0",14)&amp;UPPER(SUBSTITUTE(SUBSTITUTE(SUBSTITUTE(SUBSTITUTE(TRIM(C136),".",""),"/",""),"-","")," ","")),14),UPPER(SUBSTITUTE(SUBSTITUTE(SUBSTITUTE(SUBSTITUTE(TRIM(C136),".",""),"/",""),"-","")," ",""))))</f>
        <v/>
      </c>
      <c r="E136" s="25" t="str">
        <f aca="false">IF(D136="","",IFERROR(INDEX(Empresas!$C:$C,MATCH(D136,Empresas!$B:$B,0)),"cadastre o CNPJ em Empresas"))</f>
        <v/>
      </c>
      <c r="F136" s="23"/>
      <c r="G136" s="35"/>
      <c r="H136" s="24"/>
      <c r="I136" s="11"/>
      <c r="J136" s="27" t="str">
        <f aca="false">IF(A136="","",YEAR(A136))</f>
        <v/>
      </c>
      <c r="K136" s="24"/>
      <c r="L136" s="11"/>
    </row>
    <row r="137" customFormat="false" ht="15" hidden="false" customHeight="false" outlineLevel="0" collapsed="false">
      <c r="A137" s="22"/>
      <c r="B137" s="11"/>
      <c r="C137" s="24"/>
      <c r="D137" s="31" t="str">
        <f aca="false">IF(C137="","",IF(LEN(UPPER(SUBSTITUTE(SUBSTITUTE(SUBSTITUTE(SUBSTITUTE(TRIM(C137),".",""),"/",""),"-","")," ","")))&lt;14,RIGHT(REPT("0",14)&amp;UPPER(SUBSTITUTE(SUBSTITUTE(SUBSTITUTE(SUBSTITUTE(TRIM(C137),".",""),"/",""),"-","")," ","")),14),UPPER(SUBSTITUTE(SUBSTITUTE(SUBSTITUTE(SUBSTITUTE(TRIM(C137),".",""),"/",""),"-","")," ",""))))</f>
        <v/>
      </c>
      <c r="E137" s="25" t="str">
        <f aca="false">IF(D137="","",IFERROR(INDEX(Empresas!$C:$C,MATCH(D137,Empresas!$B:$B,0)),"cadastre o CNPJ em Empresas"))</f>
        <v/>
      </c>
      <c r="F137" s="23"/>
      <c r="G137" s="35"/>
      <c r="H137" s="24"/>
      <c r="I137" s="11"/>
      <c r="J137" s="27" t="str">
        <f aca="false">IF(A137="","",YEAR(A137))</f>
        <v/>
      </c>
      <c r="K137" s="24"/>
      <c r="L137" s="11"/>
    </row>
    <row r="138" customFormat="false" ht="15" hidden="false" customHeight="false" outlineLevel="0" collapsed="false">
      <c r="A138" s="22"/>
      <c r="B138" s="11"/>
      <c r="C138" s="24"/>
      <c r="D138" s="31" t="str">
        <f aca="false">IF(C138="","",IF(LEN(UPPER(SUBSTITUTE(SUBSTITUTE(SUBSTITUTE(SUBSTITUTE(TRIM(C138),".",""),"/",""),"-","")," ","")))&lt;14,RIGHT(REPT("0",14)&amp;UPPER(SUBSTITUTE(SUBSTITUTE(SUBSTITUTE(SUBSTITUTE(TRIM(C138),".",""),"/",""),"-","")," ","")),14),UPPER(SUBSTITUTE(SUBSTITUTE(SUBSTITUTE(SUBSTITUTE(TRIM(C138),".",""),"/",""),"-","")," ",""))))</f>
        <v/>
      </c>
      <c r="E138" s="25" t="str">
        <f aca="false">IF(D138="","",IFERROR(INDEX(Empresas!$C:$C,MATCH(D138,Empresas!$B:$B,0)),"cadastre o CNPJ em Empresas"))</f>
        <v/>
      </c>
      <c r="F138" s="23"/>
      <c r="G138" s="35"/>
      <c r="H138" s="24"/>
      <c r="I138" s="11"/>
      <c r="J138" s="27" t="str">
        <f aca="false">IF(A138="","",YEAR(A138))</f>
        <v/>
      </c>
      <c r="K138" s="24"/>
      <c r="L138" s="11"/>
    </row>
    <row r="139" customFormat="false" ht="15" hidden="false" customHeight="false" outlineLevel="0" collapsed="false">
      <c r="A139" s="22"/>
      <c r="B139" s="11"/>
      <c r="C139" s="24"/>
      <c r="D139" s="31" t="str">
        <f aca="false">IF(C139="","",IF(LEN(UPPER(SUBSTITUTE(SUBSTITUTE(SUBSTITUTE(SUBSTITUTE(TRIM(C139),".",""),"/",""),"-","")," ","")))&lt;14,RIGHT(REPT("0",14)&amp;UPPER(SUBSTITUTE(SUBSTITUTE(SUBSTITUTE(SUBSTITUTE(TRIM(C139),".",""),"/",""),"-","")," ","")),14),UPPER(SUBSTITUTE(SUBSTITUTE(SUBSTITUTE(SUBSTITUTE(TRIM(C139),".",""),"/",""),"-","")," ",""))))</f>
        <v/>
      </c>
      <c r="E139" s="25" t="str">
        <f aca="false">IF(D139="","",IFERROR(INDEX(Empresas!$C:$C,MATCH(D139,Empresas!$B:$B,0)),"cadastre o CNPJ em Empresas"))</f>
        <v/>
      </c>
      <c r="F139" s="23"/>
      <c r="G139" s="35"/>
      <c r="H139" s="24"/>
      <c r="I139" s="11"/>
      <c r="J139" s="27" t="str">
        <f aca="false">IF(A139="","",YEAR(A139))</f>
        <v/>
      </c>
      <c r="K139" s="24"/>
      <c r="L139" s="11"/>
    </row>
    <row r="140" customFormat="false" ht="15" hidden="false" customHeight="false" outlineLevel="0" collapsed="false">
      <c r="A140" s="22"/>
      <c r="B140" s="11"/>
      <c r="C140" s="24"/>
      <c r="D140" s="31" t="str">
        <f aca="false">IF(C140="","",IF(LEN(UPPER(SUBSTITUTE(SUBSTITUTE(SUBSTITUTE(SUBSTITUTE(TRIM(C140),".",""),"/",""),"-","")," ","")))&lt;14,RIGHT(REPT("0",14)&amp;UPPER(SUBSTITUTE(SUBSTITUTE(SUBSTITUTE(SUBSTITUTE(TRIM(C140),".",""),"/",""),"-","")," ","")),14),UPPER(SUBSTITUTE(SUBSTITUTE(SUBSTITUTE(SUBSTITUTE(TRIM(C140),".",""),"/",""),"-","")," ",""))))</f>
        <v/>
      </c>
      <c r="E140" s="25" t="str">
        <f aca="false">IF(D140="","",IFERROR(INDEX(Empresas!$C:$C,MATCH(D140,Empresas!$B:$B,0)),"cadastre o CNPJ em Empresas"))</f>
        <v/>
      </c>
      <c r="F140" s="23"/>
      <c r="G140" s="35"/>
      <c r="H140" s="24"/>
      <c r="I140" s="11"/>
      <c r="J140" s="27" t="str">
        <f aca="false">IF(A140="","",YEAR(A140))</f>
        <v/>
      </c>
      <c r="K140" s="24"/>
      <c r="L140" s="11"/>
    </row>
    <row r="141" customFormat="false" ht="15" hidden="false" customHeight="false" outlineLevel="0" collapsed="false">
      <c r="A141" s="22"/>
      <c r="B141" s="11"/>
      <c r="C141" s="24"/>
      <c r="D141" s="31" t="str">
        <f aca="false">IF(C141="","",IF(LEN(UPPER(SUBSTITUTE(SUBSTITUTE(SUBSTITUTE(SUBSTITUTE(TRIM(C141),".",""),"/",""),"-","")," ","")))&lt;14,RIGHT(REPT("0",14)&amp;UPPER(SUBSTITUTE(SUBSTITUTE(SUBSTITUTE(SUBSTITUTE(TRIM(C141),".",""),"/",""),"-","")," ","")),14),UPPER(SUBSTITUTE(SUBSTITUTE(SUBSTITUTE(SUBSTITUTE(TRIM(C141),".",""),"/",""),"-","")," ",""))))</f>
        <v/>
      </c>
      <c r="E141" s="25" t="str">
        <f aca="false">IF(D141="","",IFERROR(INDEX(Empresas!$C:$C,MATCH(D141,Empresas!$B:$B,0)),"cadastre o CNPJ em Empresas"))</f>
        <v/>
      </c>
      <c r="F141" s="23"/>
      <c r="G141" s="35"/>
      <c r="H141" s="24"/>
      <c r="I141" s="11"/>
      <c r="J141" s="27" t="str">
        <f aca="false">IF(A141="","",YEAR(A141))</f>
        <v/>
      </c>
      <c r="K141" s="24"/>
      <c r="L141" s="11"/>
    </row>
    <row r="142" customFormat="false" ht="15" hidden="false" customHeight="false" outlineLevel="0" collapsed="false">
      <c r="A142" s="22"/>
      <c r="B142" s="11"/>
      <c r="C142" s="24"/>
      <c r="D142" s="31" t="str">
        <f aca="false">IF(C142="","",IF(LEN(UPPER(SUBSTITUTE(SUBSTITUTE(SUBSTITUTE(SUBSTITUTE(TRIM(C142),".",""),"/",""),"-","")," ","")))&lt;14,RIGHT(REPT("0",14)&amp;UPPER(SUBSTITUTE(SUBSTITUTE(SUBSTITUTE(SUBSTITUTE(TRIM(C142),".",""),"/",""),"-","")," ","")),14),UPPER(SUBSTITUTE(SUBSTITUTE(SUBSTITUTE(SUBSTITUTE(TRIM(C142),".",""),"/",""),"-","")," ",""))))</f>
        <v/>
      </c>
      <c r="E142" s="25" t="str">
        <f aca="false">IF(D142="","",IFERROR(INDEX(Empresas!$C:$C,MATCH(D142,Empresas!$B:$B,0)),"cadastre o CNPJ em Empresas"))</f>
        <v/>
      </c>
      <c r="F142" s="23"/>
      <c r="G142" s="35"/>
      <c r="H142" s="24"/>
      <c r="I142" s="11"/>
      <c r="J142" s="27" t="str">
        <f aca="false">IF(A142="","",YEAR(A142))</f>
        <v/>
      </c>
      <c r="K142" s="24"/>
      <c r="L142" s="11"/>
    </row>
    <row r="143" customFormat="false" ht="15" hidden="false" customHeight="false" outlineLevel="0" collapsed="false">
      <c r="A143" s="22"/>
      <c r="B143" s="11"/>
      <c r="C143" s="24"/>
      <c r="D143" s="31" t="str">
        <f aca="false">IF(C143="","",IF(LEN(UPPER(SUBSTITUTE(SUBSTITUTE(SUBSTITUTE(SUBSTITUTE(TRIM(C143),".",""),"/",""),"-","")," ","")))&lt;14,RIGHT(REPT("0",14)&amp;UPPER(SUBSTITUTE(SUBSTITUTE(SUBSTITUTE(SUBSTITUTE(TRIM(C143),".",""),"/",""),"-","")," ","")),14),UPPER(SUBSTITUTE(SUBSTITUTE(SUBSTITUTE(SUBSTITUTE(TRIM(C143),".",""),"/",""),"-","")," ",""))))</f>
        <v/>
      </c>
      <c r="E143" s="25" t="str">
        <f aca="false">IF(D143="","",IFERROR(INDEX(Empresas!$C:$C,MATCH(D143,Empresas!$B:$B,0)),"cadastre o CNPJ em Empresas"))</f>
        <v/>
      </c>
      <c r="F143" s="23"/>
      <c r="G143" s="35"/>
      <c r="H143" s="24"/>
      <c r="I143" s="11"/>
      <c r="J143" s="27" t="str">
        <f aca="false">IF(A143="","",YEAR(A143))</f>
        <v/>
      </c>
      <c r="K143" s="24"/>
      <c r="L143" s="11"/>
    </row>
    <row r="144" customFormat="false" ht="15" hidden="false" customHeight="false" outlineLevel="0" collapsed="false">
      <c r="A144" s="22"/>
      <c r="B144" s="11"/>
      <c r="C144" s="24"/>
      <c r="D144" s="31" t="str">
        <f aca="false">IF(C144="","",IF(LEN(UPPER(SUBSTITUTE(SUBSTITUTE(SUBSTITUTE(SUBSTITUTE(TRIM(C144),".",""),"/",""),"-","")," ","")))&lt;14,RIGHT(REPT("0",14)&amp;UPPER(SUBSTITUTE(SUBSTITUTE(SUBSTITUTE(SUBSTITUTE(TRIM(C144),".",""),"/",""),"-","")," ","")),14),UPPER(SUBSTITUTE(SUBSTITUTE(SUBSTITUTE(SUBSTITUTE(TRIM(C144),".",""),"/",""),"-","")," ",""))))</f>
        <v/>
      </c>
      <c r="E144" s="25" t="str">
        <f aca="false">IF(D144="","",IFERROR(INDEX(Empresas!$C:$C,MATCH(D144,Empresas!$B:$B,0)),"cadastre o CNPJ em Empresas"))</f>
        <v/>
      </c>
      <c r="F144" s="23"/>
      <c r="G144" s="35"/>
      <c r="H144" s="24"/>
      <c r="I144" s="11"/>
      <c r="J144" s="27" t="str">
        <f aca="false">IF(A144="","",YEAR(A144))</f>
        <v/>
      </c>
      <c r="K144" s="24"/>
      <c r="L144" s="11"/>
    </row>
    <row r="145" customFormat="false" ht="15" hidden="false" customHeight="false" outlineLevel="0" collapsed="false">
      <c r="A145" s="22"/>
      <c r="B145" s="11"/>
      <c r="C145" s="24"/>
      <c r="D145" s="31" t="str">
        <f aca="false">IF(C145="","",IF(LEN(UPPER(SUBSTITUTE(SUBSTITUTE(SUBSTITUTE(SUBSTITUTE(TRIM(C145),".",""),"/",""),"-","")," ","")))&lt;14,RIGHT(REPT("0",14)&amp;UPPER(SUBSTITUTE(SUBSTITUTE(SUBSTITUTE(SUBSTITUTE(TRIM(C145),".",""),"/",""),"-","")," ","")),14),UPPER(SUBSTITUTE(SUBSTITUTE(SUBSTITUTE(SUBSTITUTE(TRIM(C145),".",""),"/",""),"-","")," ",""))))</f>
        <v/>
      </c>
      <c r="E145" s="25" t="str">
        <f aca="false">IF(D145="","",IFERROR(INDEX(Empresas!$C:$C,MATCH(D145,Empresas!$B:$B,0)),"cadastre o CNPJ em Empresas"))</f>
        <v/>
      </c>
      <c r="F145" s="23"/>
      <c r="G145" s="35"/>
      <c r="H145" s="24"/>
      <c r="I145" s="11"/>
      <c r="J145" s="27" t="str">
        <f aca="false">IF(A145="","",YEAR(A145))</f>
        <v/>
      </c>
      <c r="K145" s="24"/>
      <c r="L145" s="11"/>
    </row>
    <row r="146" customFormat="false" ht="15" hidden="false" customHeight="false" outlineLevel="0" collapsed="false">
      <c r="A146" s="22"/>
      <c r="B146" s="11"/>
      <c r="C146" s="24"/>
      <c r="D146" s="31" t="str">
        <f aca="false">IF(C146="","",IF(LEN(UPPER(SUBSTITUTE(SUBSTITUTE(SUBSTITUTE(SUBSTITUTE(TRIM(C146),".",""),"/",""),"-","")," ","")))&lt;14,RIGHT(REPT("0",14)&amp;UPPER(SUBSTITUTE(SUBSTITUTE(SUBSTITUTE(SUBSTITUTE(TRIM(C146),".",""),"/",""),"-","")," ","")),14),UPPER(SUBSTITUTE(SUBSTITUTE(SUBSTITUTE(SUBSTITUTE(TRIM(C146),".",""),"/",""),"-","")," ",""))))</f>
        <v/>
      </c>
      <c r="E146" s="25" t="str">
        <f aca="false">IF(D146="","",IFERROR(INDEX(Empresas!$C:$C,MATCH(D146,Empresas!$B:$B,0)),"cadastre o CNPJ em Empresas"))</f>
        <v/>
      </c>
      <c r="F146" s="23"/>
      <c r="G146" s="35"/>
      <c r="H146" s="24"/>
      <c r="I146" s="11"/>
      <c r="J146" s="27" t="str">
        <f aca="false">IF(A146="","",YEAR(A146))</f>
        <v/>
      </c>
      <c r="K146" s="24"/>
      <c r="L146" s="11"/>
    </row>
    <row r="147" customFormat="false" ht="15" hidden="false" customHeight="false" outlineLevel="0" collapsed="false">
      <c r="A147" s="22"/>
      <c r="B147" s="11"/>
      <c r="C147" s="24"/>
      <c r="D147" s="31" t="str">
        <f aca="false">IF(C147="","",IF(LEN(UPPER(SUBSTITUTE(SUBSTITUTE(SUBSTITUTE(SUBSTITUTE(TRIM(C147),".",""),"/",""),"-","")," ","")))&lt;14,RIGHT(REPT("0",14)&amp;UPPER(SUBSTITUTE(SUBSTITUTE(SUBSTITUTE(SUBSTITUTE(TRIM(C147),".",""),"/",""),"-","")," ","")),14),UPPER(SUBSTITUTE(SUBSTITUTE(SUBSTITUTE(SUBSTITUTE(TRIM(C147),".",""),"/",""),"-","")," ",""))))</f>
        <v/>
      </c>
      <c r="E147" s="25" t="str">
        <f aca="false">IF(D147="","",IFERROR(INDEX(Empresas!$C:$C,MATCH(D147,Empresas!$B:$B,0)),"cadastre o CNPJ em Empresas"))</f>
        <v/>
      </c>
      <c r="F147" s="23"/>
      <c r="G147" s="35"/>
      <c r="H147" s="24"/>
      <c r="I147" s="11"/>
      <c r="J147" s="27" t="str">
        <f aca="false">IF(A147="","",YEAR(A147))</f>
        <v/>
      </c>
      <c r="K147" s="24"/>
      <c r="L147" s="11"/>
    </row>
    <row r="148" customFormat="false" ht="15" hidden="false" customHeight="false" outlineLevel="0" collapsed="false">
      <c r="A148" s="22"/>
      <c r="B148" s="11"/>
      <c r="C148" s="24"/>
      <c r="D148" s="31" t="str">
        <f aca="false">IF(C148="","",IF(LEN(UPPER(SUBSTITUTE(SUBSTITUTE(SUBSTITUTE(SUBSTITUTE(TRIM(C148),".",""),"/",""),"-","")," ","")))&lt;14,RIGHT(REPT("0",14)&amp;UPPER(SUBSTITUTE(SUBSTITUTE(SUBSTITUTE(SUBSTITUTE(TRIM(C148),".",""),"/",""),"-","")," ","")),14),UPPER(SUBSTITUTE(SUBSTITUTE(SUBSTITUTE(SUBSTITUTE(TRIM(C148),".",""),"/",""),"-","")," ",""))))</f>
        <v/>
      </c>
      <c r="E148" s="25" t="str">
        <f aca="false">IF(D148="","",IFERROR(INDEX(Empresas!$C:$C,MATCH(D148,Empresas!$B:$B,0)),"cadastre o CNPJ em Empresas"))</f>
        <v/>
      </c>
      <c r="F148" s="23"/>
      <c r="G148" s="35"/>
      <c r="H148" s="24"/>
      <c r="I148" s="11"/>
      <c r="J148" s="27" t="str">
        <f aca="false">IF(A148="","",YEAR(A148))</f>
        <v/>
      </c>
      <c r="K148" s="24"/>
      <c r="L148" s="11"/>
    </row>
    <row r="149" customFormat="false" ht="15" hidden="false" customHeight="false" outlineLevel="0" collapsed="false">
      <c r="A149" s="22"/>
      <c r="B149" s="11"/>
      <c r="C149" s="24"/>
      <c r="D149" s="31" t="str">
        <f aca="false">IF(C149="","",IF(LEN(UPPER(SUBSTITUTE(SUBSTITUTE(SUBSTITUTE(SUBSTITUTE(TRIM(C149),".",""),"/",""),"-","")," ","")))&lt;14,RIGHT(REPT("0",14)&amp;UPPER(SUBSTITUTE(SUBSTITUTE(SUBSTITUTE(SUBSTITUTE(TRIM(C149),".",""),"/",""),"-","")," ","")),14),UPPER(SUBSTITUTE(SUBSTITUTE(SUBSTITUTE(SUBSTITUTE(TRIM(C149),".",""),"/",""),"-","")," ",""))))</f>
        <v/>
      </c>
      <c r="E149" s="25" t="str">
        <f aca="false">IF(D149="","",IFERROR(INDEX(Empresas!$C:$C,MATCH(D149,Empresas!$B:$B,0)),"cadastre o CNPJ em Empresas"))</f>
        <v/>
      </c>
      <c r="F149" s="23"/>
      <c r="G149" s="35"/>
      <c r="H149" s="24"/>
      <c r="I149" s="11"/>
      <c r="J149" s="27" t="str">
        <f aca="false">IF(A149="","",YEAR(A149))</f>
        <v/>
      </c>
      <c r="K149" s="24"/>
      <c r="L149" s="11"/>
    </row>
    <row r="150" customFormat="false" ht="15" hidden="false" customHeight="false" outlineLevel="0" collapsed="false">
      <c r="A150" s="22"/>
      <c r="B150" s="11"/>
      <c r="C150" s="24"/>
      <c r="D150" s="31" t="str">
        <f aca="false">IF(C150="","",IF(LEN(UPPER(SUBSTITUTE(SUBSTITUTE(SUBSTITUTE(SUBSTITUTE(TRIM(C150),".",""),"/",""),"-","")," ","")))&lt;14,RIGHT(REPT("0",14)&amp;UPPER(SUBSTITUTE(SUBSTITUTE(SUBSTITUTE(SUBSTITUTE(TRIM(C150),".",""),"/",""),"-","")," ","")),14),UPPER(SUBSTITUTE(SUBSTITUTE(SUBSTITUTE(SUBSTITUTE(TRIM(C150),".",""),"/",""),"-","")," ",""))))</f>
        <v/>
      </c>
      <c r="E150" s="25" t="str">
        <f aca="false">IF(D150="","",IFERROR(INDEX(Empresas!$C:$C,MATCH(D150,Empresas!$B:$B,0)),"cadastre o CNPJ em Empresas"))</f>
        <v/>
      </c>
      <c r="F150" s="23"/>
      <c r="G150" s="35"/>
      <c r="H150" s="24"/>
      <c r="I150" s="11"/>
      <c r="J150" s="27" t="str">
        <f aca="false">IF(A150="","",YEAR(A150))</f>
        <v/>
      </c>
      <c r="K150" s="24"/>
      <c r="L150" s="11"/>
    </row>
    <row r="151" customFormat="false" ht="15" hidden="false" customHeight="false" outlineLevel="0" collapsed="false">
      <c r="A151" s="22"/>
      <c r="B151" s="11"/>
      <c r="C151" s="24"/>
      <c r="D151" s="31" t="str">
        <f aca="false">IF(C151="","",IF(LEN(UPPER(SUBSTITUTE(SUBSTITUTE(SUBSTITUTE(SUBSTITUTE(TRIM(C151),".",""),"/",""),"-","")," ","")))&lt;14,RIGHT(REPT("0",14)&amp;UPPER(SUBSTITUTE(SUBSTITUTE(SUBSTITUTE(SUBSTITUTE(TRIM(C151),".",""),"/",""),"-","")," ","")),14),UPPER(SUBSTITUTE(SUBSTITUTE(SUBSTITUTE(SUBSTITUTE(TRIM(C151),".",""),"/",""),"-","")," ",""))))</f>
        <v/>
      </c>
      <c r="E151" s="25" t="str">
        <f aca="false">IF(D151="","",IFERROR(INDEX(Empresas!$C:$C,MATCH(D151,Empresas!$B:$B,0)),"cadastre o CNPJ em Empresas"))</f>
        <v/>
      </c>
      <c r="F151" s="23"/>
      <c r="G151" s="35"/>
      <c r="H151" s="24"/>
      <c r="I151" s="11"/>
      <c r="J151" s="27" t="str">
        <f aca="false">IF(A151="","",YEAR(A151))</f>
        <v/>
      </c>
      <c r="K151" s="24"/>
      <c r="L151" s="11"/>
    </row>
    <row r="152" customFormat="false" ht="15" hidden="false" customHeight="false" outlineLevel="0" collapsed="false">
      <c r="A152" s="22"/>
      <c r="B152" s="11"/>
      <c r="C152" s="24"/>
      <c r="D152" s="31" t="str">
        <f aca="false">IF(C152="","",IF(LEN(UPPER(SUBSTITUTE(SUBSTITUTE(SUBSTITUTE(SUBSTITUTE(TRIM(C152),".",""),"/",""),"-","")," ","")))&lt;14,RIGHT(REPT("0",14)&amp;UPPER(SUBSTITUTE(SUBSTITUTE(SUBSTITUTE(SUBSTITUTE(TRIM(C152),".",""),"/",""),"-","")," ","")),14),UPPER(SUBSTITUTE(SUBSTITUTE(SUBSTITUTE(SUBSTITUTE(TRIM(C152),".",""),"/",""),"-","")," ",""))))</f>
        <v/>
      </c>
      <c r="E152" s="25" t="str">
        <f aca="false">IF(D152="","",IFERROR(INDEX(Empresas!$C:$C,MATCH(D152,Empresas!$B:$B,0)),"cadastre o CNPJ em Empresas"))</f>
        <v/>
      </c>
      <c r="F152" s="23"/>
      <c r="G152" s="35"/>
      <c r="H152" s="24"/>
      <c r="I152" s="11"/>
      <c r="J152" s="27" t="str">
        <f aca="false">IF(A152="","",YEAR(A152))</f>
        <v/>
      </c>
      <c r="K152" s="24"/>
      <c r="L152" s="11"/>
    </row>
    <row r="153" customFormat="false" ht="15" hidden="false" customHeight="false" outlineLevel="0" collapsed="false">
      <c r="A153" s="22"/>
      <c r="B153" s="11"/>
      <c r="C153" s="24"/>
      <c r="D153" s="31" t="str">
        <f aca="false">IF(C153="","",IF(LEN(UPPER(SUBSTITUTE(SUBSTITUTE(SUBSTITUTE(SUBSTITUTE(TRIM(C153),".",""),"/",""),"-","")," ","")))&lt;14,RIGHT(REPT("0",14)&amp;UPPER(SUBSTITUTE(SUBSTITUTE(SUBSTITUTE(SUBSTITUTE(TRIM(C153),".",""),"/",""),"-","")," ","")),14),UPPER(SUBSTITUTE(SUBSTITUTE(SUBSTITUTE(SUBSTITUTE(TRIM(C153),".",""),"/",""),"-","")," ",""))))</f>
        <v/>
      </c>
      <c r="E153" s="25" t="str">
        <f aca="false">IF(D153="","",IFERROR(INDEX(Empresas!$C:$C,MATCH(D153,Empresas!$B:$B,0)),"cadastre o CNPJ em Empresas"))</f>
        <v/>
      </c>
      <c r="F153" s="23"/>
      <c r="G153" s="35"/>
      <c r="H153" s="24"/>
      <c r="I153" s="11"/>
      <c r="J153" s="27" t="str">
        <f aca="false">IF(A153="","",YEAR(A153))</f>
        <v/>
      </c>
      <c r="K153" s="24"/>
      <c r="L153" s="11"/>
    </row>
    <row r="154" customFormat="false" ht="15" hidden="false" customHeight="false" outlineLevel="0" collapsed="false">
      <c r="A154" s="22"/>
      <c r="B154" s="11"/>
      <c r="C154" s="24"/>
      <c r="D154" s="31" t="str">
        <f aca="false">IF(C154="","",IF(LEN(UPPER(SUBSTITUTE(SUBSTITUTE(SUBSTITUTE(SUBSTITUTE(TRIM(C154),".",""),"/",""),"-","")," ","")))&lt;14,RIGHT(REPT("0",14)&amp;UPPER(SUBSTITUTE(SUBSTITUTE(SUBSTITUTE(SUBSTITUTE(TRIM(C154),".",""),"/",""),"-","")," ","")),14),UPPER(SUBSTITUTE(SUBSTITUTE(SUBSTITUTE(SUBSTITUTE(TRIM(C154),".",""),"/",""),"-","")," ",""))))</f>
        <v/>
      </c>
      <c r="E154" s="25" t="str">
        <f aca="false">IF(D154="","",IFERROR(INDEX(Empresas!$C:$C,MATCH(D154,Empresas!$B:$B,0)),"cadastre o CNPJ em Empresas"))</f>
        <v/>
      </c>
      <c r="F154" s="23"/>
      <c r="G154" s="35"/>
      <c r="H154" s="24"/>
      <c r="I154" s="11"/>
      <c r="J154" s="27" t="str">
        <f aca="false">IF(A154="","",YEAR(A154))</f>
        <v/>
      </c>
      <c r="K154" s="24"/>
      <c r="L154" s="11"/>
    </row>
    <row r="155" customFormat="false" ht="15" hidden="false" customHeight="false" outlineLevel="0" collapsed="false">
      <c r="A155" s="22"/>
      <c r="B155" s="11"/>
      <c r="C155" s="24"/>
      <c r="D155" s="31" t="str">
        <f aca="false">IF(C155="","",IF(LEN(UPPER(SUBSTITUTE(SUBSTITUTE(SUBSTITUTE(SUBSTITUTE(TRIM(C155),".",""),"/",""),"-","")," ","")))&lt;14,RIGHT(REPT("0",14)&amp;UPPER(SUBSTITUTE(SUBSTITUTE(SUBSTITUTE(SUBSTITUTE(TRIM(C155),".",""),"/",""),"-","")," ","")),14),UPPER(SUBSTITUTE(SUBSTITUTE(SUBSTITUTE(SUBSTITUTE(TRIM(C155),".",""),"/",""),"-","")," ",""))))</f>
        <v/>
      </c>
      <c r="E155" s="25" t="str">
        <f aca="false">IF(D155="","",IFERROR(INDEX(Empresas!$C:$C,MATCH(D155,Empresas!$B:$B,0)),"cadastre o CNPJ em Empresas"))</f>
        <v/>
      </c>
      <c r="F155" s="23"/>
      <c r="G155" s="35"/>
      <c r="H155" s="24"/>
      <c r="I155" s="11"/>
      <c r="J155" s="27" t="str">
        <f aca="false">IF(A155="","",YEAR(A155))</f>
        <v/>
      </c>
      <c r="K155" s="24"/>
      <c r="L155" s="11"/>
    </row>
    <row r="156" customFormat="false" ht="15" hidden="false" customHeight="false" outlineLevel="0" collapsed="false">
      <c r="A156" s="22"/>
      <c r="B156" s="11"/>
      <c r="C156" s="24"/>
      <c r="D156" s="31" t="str">
        <f aca="false">IF(C156="","",IF(LEN(UPPER(SUBSTITUTE(SUBSTITUTE(SUBSTITUTE(SUBSTITUTE(TRIM(C156),".",""),"/",""),"-","")," ","")))&lt;14,RIGHT(REPT("0",14)&amp;UPPER(SUBSTITUTE(SUBSTITUTE(SUBSTITUTE(SUBSTITUTE(TRIM(C156),".",""),"/",""),"-","")," ","")),14),UPPER(SUBSTITUTE(SUBSTITUTE(SUBSTITUTE(SUBSTITUTE(TRIM(C156),".",""),"/",""),"-","")," ",""))))</f>
        <v/>
      </c>
      <c r="E156" s="25" t="str">
        <f aca="false">IF(D156="","",IFERROR(INDEX(Empresas!$C:$C,MATCH(D156,Empresas!$B:$B,0)),"cadastre o CNPJ em Empresas"))</f>
        <v/>
      </c>
      <c r="F156" s="23"/>
      <c r="G156" s="35"/>
      <c r="H156" s="24"/>
      <c r="I156" s="11"/>
      <c r="J156" s="27" t="str">
        <f aca="false">IF(A156="","",YEAR(A156))</f>
        <v/>
      </c>
      <c r="K156" s="24"/>
      <c r="L156" s="11"/>
    </row>
    <row r="157" customFormat="false" ht="15" hidden="false" customHeight="false" outlineLevel="0" collapsed="false">
      <c r="A157" s="22"/>
      <c r="B157" s="11"/>
      <c r="C157" s="24"/>
      <c r="D157" s="31" t="str">
        <f aca="false">IF(C157="","",IF(LEN(UPPER(SUBSTITUTE(SUBSTITUTE(SUBSTITUTE(SUBSTITUTE(TRIM(C157),".",""),"/",""),"-","")," ","")))&lt;14,RIGHT(REPT("0",14)&amp;UPPER(SUBSTITUTE(SUBSTITUTE(SUBSTITUTE(SUBSTITUTE(TRIM(C157),".",""),"/",""),"-","")," ","")),14),UPPER(SUBSTITUTE(SUBSTITUTE(SUBSTITUTE(SUBSTITUTE(TRIM(C157),".",""),"/",""),"-","")," ",""))))</f>
        <v/>
      </c>
      <c r="E157" s="25" t="str">
        <f aca="false">IF(D157="","",IFERROR(INDEX(Empresas!$C:$C,MATCH(D157,Empresas!$B:$B,0)),"cadastre o CNPJ em Empresas"))</f>
        <v/>
      </c>
      <c r="F157" s="23"/>
      <c r="G157" s="35"/>
      <c r="H157" s="24"/>
      <c r="I157" s="11"/>
      <c r="J157" s="27" t="str">
        <f aca="false">IF(A157="","",YEAR(A157))</f>
        <v/>
      </c>
      <c r="K157" s="24"/>
      <c r="L157" s="11"/>
    </row>
    <row r="158" customFormat="false" ht="15" hidden="false" customHeight="false" outlineLevel="0" collapsed="false">
      <c r="A158" s="22"/>
      <c r="B158" s="11"/>
      <c r="C158" s="24"/>
      <c r="D158" s="31" t="str">
        <f aca="false">IF(C158="","",IF(LEN(UPPER(SUBSTITUTE(SUBSTITUTE(SUBSTITUTE(SUBSTITUTE(TRIM(C158),".",""),"/",""),"-","")," ","")))&lt;14,RIGHT(REPT("0",14)&amp;UPPER(SUBSTITUTE(SUBSTITUTE(SUBSTITUTE(SUBSTITUTE(TRIM(C158),".",""),"/",""),"-","")," ","")),14),UPPER(SUBSTITUTE(SUBSTITUTE(SUBSTITUTE(SUBSTITUTE(TRIM(C158),".",""),"/",""),"-","")," ",""))))</f>
        <v/>
      </c>
      <c r="E158" s="25" t="str">
        <f aca="false">IF(D158="","",IFERROR(INDEX(Empresas!$C:$C,MATCH(D158,Empresas!$B:$B,0)),"cadastre o CNPJ em Empresas"))</f>
        <v/>
      </c>
      <c r="F158" s="23"/>
      <c r="G158" s="35"/>
      <c r="H158" s="24"/>
      <c r="I158" s="11"/>
      <c r="J158" s="27" t="str">
        <f aca="false">IF(A158="","",YEAR(A158))</f>
        <v/>
      </c>
      <c r="K158" s="24"/>
      <c r="L158" s="11"/>
    </row>
    <row r="159" customFormat="false" ht="15" hidden="false" customHeight="false" outlineLevel="0" collapsed="false">
      <c r="A159" s="22"/>
      <c r="B159" s="11"/>
      <c r="C159" s="24"/>
      <c r="D159" s="31" t="str">
        <f aca="false">IF(C159="","",IF(LEN(UPPER(SUBSTITUTE(SUBSTITUTE(SUBSTITUTE(SUBSTITUTE(TRIM(C159),".",""),"/",""),"-","")," ","")))&lt;14,RIGHT(REPT("0",14)&amp;UPPER(SUBSTITUTE(SUBSTITUTE(SUBSTITUTE(SUBSTITUTE(TRIM(C159),".",""),"/",""),"-","")," ","")),14),UPPER(SUBSTITUTE(SUBSTITUTE(SUBSTITUTE(SUBSTITUTE(TRIM(C159),".",""),"/",""),"-","")," ",""))))</f>
        <v/>
      </c>
      <c r="E159" s="25" t="str">
        <f aca="false">IF(D159="","",IFERROR(INDEX(Empresas!$C:$C,MATCH(D159,Empresas!$B:$B,0)),"cadastre o CNPJ em Empresas"))</f>
        <v/>
      </c>
      <c r="F159" s="23"/>
      <c r="G159" s="35"/>
      <c r="H159" s="24"/>
      <c r="I159" s="11"/>
      <c r="J159" s="27" t="str">
        <f aca="false">IF(A159="","",YEAR(A159))</f>
        <v/>
      </c>
      <c r="K159" s="24"/>
      <c r="L159" s="11"/>
    </row>
    <row r="160" customFormat="false" ht="15" hidden="false" customHeight="false" outlineLevel="0" collapsed="false">
      <c r="A160" s="22"/>
      <c r="B160" s="11"/>
      <c r="C160" s="24"/>
      <c r="D160" s="31" t="str">
        <f aca="false">IF(C160="","",IF(LEN(UPPER(SUBSTITUTE(SUBSTITUTE(SUBSTITUTE(SUBSTITUTE(TRIM(C160),".",""),"/",""),"-","")," ","")))&lt;14,RIGHT(REPT("0",14)&amp;UPPER(SUBSTITUTE(SUBSTITUTE(SUBSTITUTE(SUBSTITUTE(TRIM(C160),".",""),"/",""),"-","")," ","")),14),UPPER(SUBSTITUTE(SUBSTITUTE(SUBSTITUTE(SUBSTITUTE(TRIM(C160),".",""),"/",""),"-","")," ",""))))</f>
        <v/>
      </c>
      <c r="E160" s="25" t="str">
        <f aca="false">IF(D160="","",IFERROR(INDEX(Empresas!$C:$C,MATCH(D160,Empresas!$B:$B,0)),"cadastre o CNPJ em Empresas"))</f>
        <v/>
      </c>
      <c r="F160" s="23"/>
      <c r="G160" s="35"/>
      <c r="H160" s="24"/>
      <c r="I160" s="11"/>
      <c r="J160" s="27" t="str">
        <f aca="false">IF(A160="","",YEAR(A160))</f>
        <v/>
      </c>
      <c r="K160" s="24"/>
      <c r="L160" s="11"/>
    </row>
    <row r="161" customFormat="false" ht="15" hidden="false" customHeight="false" outlineLevel="0" collapsed="false">
      <c r="A161" s="22"/>
      <c r="B161" s="11"/>
      <c r="C161" s="24"/>
      <c r="D161" s="31" t="str">
        <f aca="false">IF(C161="","",IF(LEN(UPPER(SUBSTITUTE(SUBSTITUTE(SUBSTITUTE(SUBSTITUTE(TRIM(C161),".",""),"/",""),"-","")," ","")))&lt;14,RIGHT(REPT("0",14)&amp;UPPER(SUBSTITUTE(SUBSTITUTE(SUBSTITUTE(SUBSTITUTE(TRIM(C161),".",""),"/",""),"-","")," ","")),14),UPPER(SUBSTITUTE(SUBSTITUTE(SUBSTITUTE(SUBSTITUTE(TRIM(C161),".",""),"/",""),"-","")," ",""))))</f>
        <v/>
      </c>
      <c r="E161" s="25" t="str">
        <f aca="false">IF(D161="","",IFERROR(INDEX(Empresas!$C:$C,MATCH(D161,Empresas!$B:$B,0)),"cadastre o CNPJ em Empresas"))</f>
        <v/>
      </c>
      <c r="F161" s="23"/>
      <c r="G161" s="35"/>
      <c r="H161" s="24"/>
      <c r="I161" s="11"/>
      <c r="J161" s="27" t="str">
        <f aca="false">IF(A161="","",YEAR(A161))</f>
        <v/>
      </c>
      <c r="K161" s="24"/>
      <c r="L161" s="11"/>
    </row>
    <row r="162" customFormat="false" ht="15" hidden="false" customHeight="false" outlineLevel="0" collapsed="false">
      <c r="A162" s="22"/>
      <c r="B162" s="11"/>
      <c r="C162" s="24"/>
      <c r="D162" s="31" t="str">
        <f aca="false">IF(C162="","",IF(LEN(UPPER(SUBSTITUTE(SUBSTITUTE(SUBSTITUTE(SUBSTITUTE(TRIM(C162),".",""),"/",""),"-","")," ","")))&lt;14,RIGHT(REPT("0",14)&amp;UPPER(SUBSTITUTE(SUBSTITUTE(SUBSTITUTE(SUBSTITUTE(TRIM(C162),".",""),"/",""),"-","")," ","")),14),UPPER(SUBSTITUTE(SUBSTITUTE(SUBSTITUTE(SUBSTITUTE(TRIM(C162),".",""),"/",""),"-","")," ",""))))</f>
        <v/>
      </c>
      <c r="E162" s="25" t="str">
        <f aca="false">IF(D162="","",IFERROR(INDEX(Empresas!$C:$C,MATCH(D162,Empresas!$B:$B,0)),"cadastre o CNPJ em Empresas"))</f>
        <v/>
      </c>
      <c r="F162" s="23"/>
      <c r="G162" s="35"/>
      <c r="H162" s="24"/>
      <c r="I162" s="11"/>
      <c r="J162" s="27" t="str">
        <f aca="false">IF(A162="","",YEAR(A162))</f>
        <v/>
      </c>
      <c r="K162" s="24"/>
      <c r="L162" s="11"/>
    </row>
    <row r="163" customFormat="false" ht="15" hidden="false" customHeight="false" outlineLevel="0" collapsed="false">
      <c r="A163" s="22"/>
      <c r="B163" s="11"/>
      <c r="C163" s="24"/>
      <c r="D163" s="31" t="str">
        <f aca="false">IF(C163="","",IF(LEN(UPPER(SUBSTITUTE(SUBSTITUTE(SUBSTITUTE(SUBSTITUTE(TRIM(C163),".",""),"/",""),"-","")," ","")))&lt;14,RIGHT(REPT("0",14)&amp;UPPER(SUBSTITUTE(SUBSTITUTE(SUBSTITUTE(SUBSTITUTE(TRIM(C163),".",""),"/",""),"-","")," ","")),14),UPPER(SUBSTITUTE(SUBSTITUTE(SUBSTITUTE(SUBSTITUTE(TRIM(C163),".",""),"/",""),"-","")," ",""))))</f>
        <v/>
      </c>
      <c r="E163" s="25" t="str">
        <f aca="false">IF(D163="","",IFERROR(INDEX(Empresas!$C:$C,MATCH(D163,Empresas!$B:$B,0)),"cadastre o CNPJ em Empresas"))</f>
        <v/>
      </c>
      <c r="F163" s="23"/>
      <c r="G163" s="35"/>
      <c r="H163" s="24"/>
      <c r="I163" s="11"/>
      <c r="J163" s="27" t="str">
        <f aca="false">IF(A163="","",YEAR(A163))</f>
        <v/>
      </c>
      <c r="K163" s="24"/>
      <c r="L163" s="11"/>
    </row>
    <row r="164" customFormat="false" ht="15" hidden="false" customHeight="false" outlineLevel="0" collapsed="false">
      <c r="A164" s="22"/>
      <c r="B164" s="11"/>
      <c r="C164" s="24"/>
      <c r="D164" s="31" t="str">
        <f aca="false">IF(C164="","",IF(LEN(UPPER(SUBSTITUTE(SUBSTITUTE(SUBSTITUTE(SUBSTITUTE(TRIM(C164),".",""),"/",""),"-","")," ","")))&lt;14,RIGHT(REPT("0",14)&amp;UPPER(SUBSTITUTE(SUBSTITUTE(SUBSTITUTE(SUBSTITUTE(TRIM(C164),".",""),"/",""),"-","")," ","")),14),UPPER(SUBSTITUTE(SUBSTITUTE(SUBSTITUTE(SUBSTITUTE(TRIM(C164),".",""),"/",""),"-","")," ",""))))</f>
        <v/>
      </c>
      <c r="E164" s="25" t="str">
        <f aca="false">IF(D164="","",IFERROR(INDEX(Empresas!$C:$C,MATCH(D164,Empresas!$B:$B,0)),"cadastre o CNPJ em Empresas"))</f>
        <v/>
      </c>
      <c r="F164" s="23"/>
      <c r="G164" s="35"/>
      <c r="H164" s="24"/>
      <c r="I164" s="11"/>
      <c r="J164" s="27" t="str">
        <f aca="false">IF(A164="","",YEAR(A164))</f>
        <v/>
      </c>
      <c r="K164" s="24"/>
      <c r="L164" s="11"/>
    </row>
    <row r="165" customFormat="false" ht="15" hidden="false" customHeight="false" outlineLevel="0" collapsed="false">
      <c r="A165" s="22"/>
      <c r="B165" s="11"/>
      <c r="C165" s="24"/>
      <c r="D165" s="31" t="str">
        <f aca="false">IF(C165="","",IF(LEN(UPPER(SUBSTITUTE(SUBSTITUTE(SUBSTITUTE(SUBSTITUTE(TRIM(C165),".",""),"/",""),"-","")," ","")))&lt;14,RIGHT(REPT("0",14)&amp;UPPER(SUBSTITUTE(SUBSTITUTE(SUBSTITUTE(SUBSTITUTE(TRIM(C165),".",""),"/",""),"-","")," ","")),14),UPPER(SUBSTITUTE(SUBSTITUTE(SUBSTITUTE(SUBSTITUTE(TRIM(C165),".",""),"/",""),"-","")," ",""))))</f>
        <v/>
      </c>
      <c r="E165" s="25" t="str">
        <f aca="false">IF(D165="","",IFERROR(INDEX(Empresas!$C:$C,MATCH(D165,Empresas!$B:$B,0)),"cadastre o CNPJ em Empresas"))</f>
        <v/>
      </c>
      <c r="F165" s="23"/>
      <c r="G165" s="35"/>
      <c r="H165" s="24"/>
      <c r="I165" s="11"/>
      <c r="J165" s="27" t="str">
        <f aca="false">IF(A165="","",YEAR(A165))</f>
        <v/>
      </c>
      <c r="K165" s="24"/>
      <c r="L165" s="11"/>
    </row>
    <row r="166" customFormat="false" ht="15" hidden="false" customHeight="false" outlineLevel="0" collapsed="false">
      <c r="A166" s="22"/>
      <c r="B166" s="11"/>
      <c r="C166" s="24"/>
      <c r="D166" s="31" t="str">
        <f aca="false">IF(C166="","",IF(LEN(UPPER(SUBSTITUTE(SUBSTITUTE(SUBSTITUTE(SUBSTITUTE(TRIM(C166),".",""),"/",""),"-","")," ","")))&lt;14,RIGHT(REPT("0",14)&amp;UPPER(SUBSTITUTE(SUBSTITUTE(SUBSTITUTE(SUBSTITUTE(TRIM(C166),".",""),"/",""),"-","")," ","")),14),UPPER(SUBSTITUTE(SUBSTITUTE(SUBSTITUTE(SUBSTITUTE(TRIM(C166),".",""),"/",""),"-","")," ",""))))</f>
        <v/>
      </c>
      <c r="E166" s="25" t="str">
        <f aca="false">IF(D166="","",IFERROR(INDEX(Empresas!$C:$C,MATCH(D166,Empresas!$B:$B,0)),"cadastre o CNPJ em Empresas"))</f>
        <v/>
      </c>
      <c r="F166" s="23"/>
      <c r="G166" s="35"/>
      <c r="H166" s="24"/>
      <c r="I166" s="11"/>
      <c r="J166" s="27" t="str">
        <f aca="false">IF(A166="","",YEAR(A166))</f>
        <v/>
      </c>
      <c r="K166" s="24"/>
      <c r="L166" s="11"/>
    </row>
    <row r="167" customFormat="false" ht="15" hidden="false" customHeight="false" outlineLevel="0" collapsed="false">
      <c r="A167" s="22"/>
      <c r="B167" s="11"/>
      <c r="C167" s="24"/>
      <c r="D167" s="31" t="str">
        <f aca="false">IF(C167="","",IF(LEN(UPPER(SUBSTITUTE(SUBSTITUTE(SUBSTITUTE(SUBSTITUTE(TRIM(C167),".",""),"/",""),"-","")," ","")))&lt;14,RIGHT(REPT("0",14)&amp;UPPER(SUBSTITUTE(SUBSTITUTE(SUBSTITUTE(SUBSTITUTE(TRIM(C167),".",""),"/",""),"-","")," ","")),14),UPPER(SUBSTITUTE(SUBSTITUTE(SUBSTITUTE(SUBSTITUTE(TRIM(C167),".",""),"/",""),"-","")," ",""))))</f>
        <v/>
      </c>
      <c r="E167" s="25" t="str">
        <f aca="false">IF(D167="","",IFERROR(INDEX(Empresas!$C:$C,MATCH(D167,Empresas!$B:$B,0)),"cadastre o CNPJ em Empresas"))</f>
        <v/>
      </c>
      <c r="F167" s="23"/>
      <c r="G167" s="35"/>
      <c r="H167" s="24"/>
      <c r="I167" s="11"/>
      <c r="J167" s="27" t="str">
        <f aca="false">IF(A167="","",YEAR(A167))</f>
        <v/>
      </c>
      <c r="K167" s="24"/>
      <c r="L167" s="11"/>
    </row>
    <row r="168" customFormat="false" ht="15" hidden="false" customHeight="false" outlineLevel="0" collapsed="false">
      <c r="A168" s="22"/>
      <c r="B168" s="11"/>
      <c r="C168" s="24"/>
      <c r="D168" s="31" t="str">
        <f aca="false">IF(C168="","",IF(LEN(UPPER(SUBSTITUTE(SUBSTITUTE(SUBSTITUTE(SUBSTITUTE(TRIM(C168),".",""),"/",""),"-","")," ","")))&lt;14,RIGHT(REPT("0",14)&amp;UPPER(SUBSTITUTE(SUBSTITUTE(SUBSTITUTE(SUBSTITUTE(TRIM(C168),".",""),"/",""),"-","")," ","")),14),UPPER(SUBSTITUTE(SUBSTITUTE(SUBSTITUTE(SUBSTITUTE(TRIM(C168),".",""),"/",""),"-","")," ",""))))</f>
        <v/>
      </c>
      <c r="E168" s="25" t="str">
        <f aca="false">IF(D168="","",IFERROR(INDEX(Empresas!$C:$C,MATCH(D168,Empresas!$B:$B,0)),"cadastre o CNPJ em Empresas"))</f>
        <v/>
      </c>
      <c r="F168" s="23"/>
      <c r="G168" s="35"/>
      <c r="H168" s="24"/>
      <c r="I168" s="11"/>
      <c r="J168" s="27" t="str">
        <f aca="false">IF(A168="","",YEAR(A168))</f>
        <v/>
      </c>
      <c r="K168" s="24"/>
      <c r="L168" s="11"/>
    </row>
    <row r="169" customFormat="false" ht="15" hidden="false" customHeight="false" outlineLevel="0" collapsed="false">
      <c r="A169" s="22"/>
      <c r="B169" s="11"/>
      <c r="C169" s="24"/>
      <c r="D169" s="31" t="str">
        <f aca="false">IF(C169="","",IF(LEN(UPPER(SUBSTITUTE(SUBSTITUTE(SUBSTITUTE(SUBSTITUTE(TRIM(C169),".",""),"/",""),"-","")," ","")))&lt;14,RIGHT(REPT("0",14)&amp;UPPER(SUBSTITUTE(SUBSTITUTE(SUBSTITUTE(SUBSTITUTE(TRIM(C169),".",""),"/",""),"-","")," ","")),14),UPPER(SUBSTITUTE(SUBSTITUTE(SUBSTITUTE(SUBSTITUTE(TRIM(C169),".",""),"/",""),"-","")," ",""))))</f>
        <v/>
      </c>
      <c r="E169" s="25" t="str">
        <f aca="false">IF(D169="","",IFERROR(INDEX(Empresas!$C:$C,MATCH(D169,Empresas!$B:$B,0)),"cadastre o CNPJ em Empresas"))</f>
        <v/>
      </c>
      <c r="F169" s="23"/>
      <c r="G169" s="35"/>
      <c r="H169" s="24"/>
      <c r="I169" s="11"/>
      <c r="J169" s="27" t="str">
        <f aca="false">IF(A169="","",YEAR(A169))</f>
        <v/>
      </c>
      <c r="K169" s="24"/>
      <c r="L169" s="11"/>
    </row>
    <row r="170" customFormat="false" ht="15" hidden="false" customHeight="false" outlineLevel="0" collapsed="false">
      <c r="A170" s="22"/>
      <c r="B170" s="11"/>
      <c r="C170" s="24"/>
      <c r="D170" s="31" t="str">
        <f aca="false">IF(C170="","",IF(LEN(UPPER(SUBSTITUTE(SUBSTITUTE(SUBSTITUTE(SUBSTITUTE(TRIM(C170),".",""),"/",""),"-","")," ","")))&lt;14,RIGHT(REPT("0",14)&amp;UPPER(SUBSTITUTE(SUBSTITUTE(SUBSTITUTE(SUBSTITUTE(TRIM(C170),".",""),"/",""),"-","")," ","")),14),UPPER(SUBSTITUTE(SUBSTITUTE(SUBSTITUTE(SUBSTITUTE(TRIM(C170),".",""),"/",""),"-","")," ",""))))</f>
        <v/>
      </c>
      <c r="E170" s="25" t="str">
        <f aca="false">IF(D170="","",IFERROR(INDEX(Empresas!$C:$C,MATCH(D170,Empresas!$B:$B,0)),"cadastre o CNPJ em Empresas"))</f>
        <v/>
      </c>
      <c r="F170" s="23"/>
      <c r="G170" s="35"/>
      <c r="H170" s="24"/>
      <c r="I170" s="11"/>
      <c r="J170" s="27" t="str">
        <f aca="false">IF(A170="","",YEAR(A170))</f>
        <v/>
      </c>
      <c r="K170" s="24"/>
      <c r="L170" s="11"/>
    </row>
    <row r="171" customFormat="false" ht="15" hidden="false" customHeight="false" outlineLevel="0" collapsed="false">
      <c r="A171" s="22"/>
      <c r="B171" s="11"/>
      <c r="C171" s="24"/>
      <c r="D171" s="31" t="str">
        <f aca="false">IF(C171="","",IF(LEN(UPPER(SUBSTITUTE(SUBSTITUTE(SUBSTITUTE(SUBSTITUTE(TRIM(C171),".",""),"/",""),"-","")," ","")))&lt;14,RIGHT(REPT("0",14)&amp;UPPER(SUBSTITUTE(SUBSTITUTE(SUBSTITUTE(SUBSTITUTE(TRIM(C171),".",""),"/",""),"-","")," ","")),14),UPPER(SUBSTITUTE(SUBSTITUTE(SUBSTITUTE(SUBSTITUTE(TRIM(C171),".",""),"/",""),"-","")," ",""))))</f>
        <v/>
      </c>
      <c r="E171" s="25" t="str">
        <f aca="false">IF(D171="","",IFERROR(INDEX(Empresas!$C:$C,MATCH(D171,Empresas!$B:$B,0)),"cadastre o CNPJ em Empresas"))</f>
        <v/>
      </c>
      <c r="F171" s="23"/>
      <c r="G171" s="35"/>
      <c r="H171" s="24"/>
      <c r="I171" s="11"/>
      <c r="J171" s="27" t="str">
        <f aca="false">IF(A171="","",YEAR(A171))</f>
        <v/>
      </c>
      <c r="K171" s="24"/>
      <c r="L171" s="11"/>
    </row>
    <row r="172" customFormat="false" ht="15" hidden="false" customHeight="false" outlineLevel="0" collapsed="false">
      <c r="A172" s="22"/>
      <c r="B172" s="11"/>
      <c r="C172" s="24"/>
      <c r="D172" s="31" t="str">
        <f aca="false">IF(C172="","",IF(LEN(UPPER(SUBSTITUTE(SUBSTITUTE(SUBSTITUTE(SUBSTITUTE(TRIM(C172),".",""),"/",""),"-","")," ","")))&lt;14,RIGHT(REPT("0",14)&amp;UPPER(SUBSTITUTE(SUBSTITUTE(SUBSTITUTE(SUBSTITUTE(TRIM(C172),".",""),"/",""),"-","")," ","")),14),UPPER(SUBSTITUTE(SUBSTITUTE(SUBSTITUTE(SUBSTITUTE(TRIM(C172),".",""),"/",""),"-","")," ",""))))</f>
        <v/>
      </c>
      <c r="E172" s="25" t="str">
        <f aca="false">IF(D172="","",IFERROR(INDEX(Empresas!$C:$C,MATCH(D172,Empresas!$B:$B,0)),"cadastre o CNPJ em Empresas"))</f>
        <v/>
      </c>
      <c r="F172" s="23"/>
      <c r="G172" s="35"/>
      <c r="H172" s="24"/>
      <c r="I172" s="11"/>
      <c r="J172" s="27" t="str">
        <f aca="false">IF(A172="","",YEAR(A172))</f>
        <v/>
      </c>
      <c r="K172" s="24"/>
      <c r="L172" s="11"/>
    </row>
    <row r="173" customFormat="false" ht="15" hidden="false" customHeight="false" outlineLevel="0" collapsed="false">
      <c r="A173" s="22"/>
      <c r="B173" s="11"/>
      <c r="C173" s="24"/>
      <c r="D173" s="31" t="str">
        <f aca="false">IF(C173="","",IF(LEN(UPPER(SUBSTITUTE(SUBSTITUTE(SUBSTITUTE(SUBSTITUTE(TRIM(C173),".",""),"/",""),"-","")," ","")))&lt;14,RIGHT(REPT("0",14)&amp;UPPER(SUBSTITUTE(SUBSTITUTE(SUBSTITUTE(SUBSTITUTE(TRIM(C173),".",""),"/",""),"-","")," ","")),14),UPPER(SUBSTITUTE(SUBSTITUTE(SUBSTITUTE(SUBSTITUTE(TRIM(C173),".",""),"/",""),"-","")," ",""))))</f>
        <v/>
      </c>
      <c r="E173" s="25" t="str">
        <f aca="false">IF(D173="","",IFERROR(INDEX(Empresas!$C:$C,MATCH(D173,Empresas!$B:$B,0)),"cadastre o CNPJ em Empresas"))</f>
        <v/>
      </c>
      <c r="F173" s="23"/>
      <c r="G173" s="35"/>
      <c r="H173" s="24"/>
      <c r="I173" s="11"/>
      <c r="J173" s="27" t="str">
        <f aca="false">IF(A173="","",YEAR(A173))</f>
        <v/>
      </c>
      <c r="K173" s="24"/>
      <c r="L173" s="11"/>
    </row>
    <row r="174" customFormat="false" ht="15" hidden="false" customHeight="false" outlineLevel="0" collapsed="false">
      <c r="A174" s="22"/>
      <c r="B174" s="11"/>
      <c r="C174" s="24"/>
      <c r="D174" s="31" t="str">
        <f aca="false">IF(C174="","",IF(LEN(UPPER(SUBSTITUTE(SUBSTITUTE(SUBSTITUTE(SUBSTITUTE(TRIM(C174),".",""),"/",""),"-","")," ","")))&lt;14,RIGHT(REPT("0",14)&amp;UPPER(SUBSTITUTE(SUBSTITUTE(SUBSTITUTE(SUBSTITUTE(TRIM(C174),".",""),"/",""),"-","")," ","")),14),UPPER(SUBSTITUTE(SUBSTITUTE(SUBSTITUTE(SUBSTITUTE(TRIM(C174),".",""),"/",""),"-","")," ",""))))</f>
        <v/>
      </c>
      <c r="E174" s="25" t="str">
        <f aca="false">IF(D174="","",IFERROR(INDEX(Empresas!$C:$C,MATCH(D174,Empresas!$B:$B,0)),"cadastre o CNPJ em Empresas"))</f>
        <v/>
      </c>
      <c r="F174" s="23"/>
      <c r="G174" s="35"/>
      <c r="H174" s="24"/>
      <c r="I174" s="11"/>
      <c r="J174" s="27" t="str">
        <f aca="false">IF(A174="","",YEAR(A174))</f>
        <v/>
      </c>
      <c r="K174" s="24"/>
      <c r="L174" s="11"/>
    </row>
    <row r="175" customFormat="false" ht="15" hidden="false" customHeight="false" outlineLevel="0" collapsed="false">
      <c r="A175" s="22"/>
      <c r="B175" s="11"/>
      <c r="C175" s="24"/>
      <c r="D175" s="31" t="str">
        <f aca="false">IF(C175="","",IF(LEN(UPPER(SUBSTITUTE(SUBSTITUTE(SUBSTITUTE(SUBSTITUTE(TRIM(C175),".",""),"/",""),"-","")," ","")))&lt;14,RIGHT(REPT("0",14)&amp;UPPER(SUBSTITUTE(SUBSTITUTE(SUBSTITUTE(SUBSTITUTE(TRIM(C175),".",""),"/",""),"-","")," ","")),14),UPPER(SUBSTITUTE(SUBSTITUTE(SUBSTITUTE(SUBSTITUTE(TRIM(C175),".",""),"/",""),"-","")," ",""))))</f>
        <v/>
      </c>
      <c r="E175" s="25" t="str">
        <f aca="false">IF(D175="","",IFERROR(INDEX(Empresas!$C:$C,MATCH(D175,Empresas!$B:$B,0)),"cadastre o CNPJ em Empresas"))</f>
        <v/>
      </c>
      <c r="F175" s="23"/>
      <c r="G175" s="35"/>
      <c r="H175" s="24"/>
      <c r="I175" s="11"/>
      <c r="J175" s="27" t="str">
        <f aca="false">IF(A175="","",YEAR(A175))</f>
        <v/>
      </c>
      <c r="K175" s="24"/>
      <c r="L175" s="11"/>
    </row>
    <row r="176" customFormat="false" ht="15" hidden="false" customHeight="false" outlineLevel="0" collapsed="false">
      <c r="A176" s="22"/>
      <c r="B176" s="11"/>
      <c r="C176" s="24"/>
      <c r="D176" s="31" t="str">
        <f aca="false">IF(C176="","",IF(LEN(UPPER(SUBSTITUTE(SUBSTITUTE(SUBSTITUTE(SUBSTITUTE(TRIM(C176),".",""),"/",""),"-","")," ","")))&lt;14,RIGHT(REPT("0",14)&amp;UPPER(SUBSTITUTE(SUBSTITUTE(SUBSTITUTE(SUBSTITUTE(TRIM(C176),".",""),"/",""),"-","")," ","")),14),UPPER(SUBSTITUTE(SUBSTITUTE(SUBSTITUTE(SUBSTITUTE(TRIM(C176),".",""),"/",""),"-","")," ",""))))</f>
        <v/>
      </c>
      <c r="E176" s="25" t="str">
        <f aca="false">IF(D176="","",IFERROR(INDEX(Empresas!$C:$C,MATCH(D176,Empresas!$B:$B,0)),"cadastre o CNPJ em Empresas"))</f>
        <v/>
      </c>
      <c r="F176" s="23"/>
      <c r="G176" s="35"/>
      <c r="H176" s="24"/>
      <c r="I176" s="11"/>
      <c r="J176" s="27" t="str">
        <f aca="false">IF(A176="","",YEAR(A176))</f>
        <v/>
      </c>
      <c r="K176" s="24"/>
      <c r="L176" s="11"/>
    </row>
    <row r="177" customFormat="false" ht="15" hidden="false" customHeight="false" outlineLevel="0" collapsed="false">
      <c r="A177" s="22"/>
      <c r="B177" s="11"/>
      <c r="C177" s="24"/>
      <c r="D177" s="31" t="str">
        <f aca="false">IF(C177="","",IF(LEN(UPPER(SUBSTITUTE(SUBSTITUTE(SUBSTITUTE(SUBSTITUTE(TRIM(C177),".",""),"/",""),"-","")," ","")))&lt;14,RIGHT(REPT("0",14)&amp;UPPER(SUBSTITUTE(SUBSTITUTE(SUBSTITUTE(SUBSTITUTE(TRIM(C177),".",""),"/",""),"-","")," ","")),14),UPPER(SUBSTITUTE(SUBSTITUTE(SUBSTITUTE(SUBSTITUTE(TRIM(C177),".",""),"/",""),"-","")," ",""))))</f>
        <v/>
      </c>
      <c r="E177" s="25" t="str">
        <f aca="false">IF(D177="","",IFERROR(INDEX(Empresas!$C:$C,MATCH(D177,Empresas!$B:$B,0)),"cadastre o CNPJ em Empresas"))</f>
        <v/>
      </c>
      <c r="F177" s="23"/>
      <c r="G177" s="35"/>
      <c r="H177" s="24"/>
      <c r="I177" s="11"/>
      <c r="J177" s="27" t="str">
        <f aca="false">IF(A177="","",YEAR(A177))</f>
        <v/>
      </c>
      <c r="K177" s="24"/>
      <c r="L177" s="11"/>
    </row>
    <row r="178" customFormat="false" ht="15" hidden="false" customHeight="false" outlineLevel="0" collapsed="false">
      <c r="A178" s="22"/>
      <c r="B178" s="11"/>
      <c r="C178" s="24"/>
      <c r="D178" s="31" t="str">
        <f aca="false">IF(C178="","",IF(LEN(UPPER(SUBSTITUTE(SUBSTITUTE(SUBSTITUTE(SUBSTITUTE(TRIM(C178),".",""),"/",""),"-","")," ","")))&lt;14,RIGHT(REPT("0",14)&amp;UPPER(SUBSTITUTE(SUBSTITUTE(SUBSTITUTE(SUBSTITUTE(TRIM(C178),".",""),"/",""),"-","")," ","")),14),UPPER(SUBSTITUTE(SUBSTITUTE(SUBSTITUTE(SUBSTITUTE(TRIM(C178),".",""),"/",""),"-","")," ",""))))</f>
        <v/>
      </c>
      <c r="E178" s="25" t="str">
        <f aca="false">IF(D178="","",IFERROR(INDEX(Empresas!$C:$C,MATCH(D178,Empresas!$B:$B,0)),"cadastre o CNPJ em Empresas"))</f>
        <v/>
      </c>
      <c r="F178" s="23"/>
      <c r="G178" s="35"/>
      <c r="H178" s="24"/>
      <c r="I178" s="11"/>
      <c r="J178" s="27" t="str">
        <f aca="false">IF(A178="","",YEAR(A178))</f>
        <v/>
      </c>
      <c r="K178" s="24"/>
      <c r="L178" s="11"/>
    </row>
    <row r="179" customFormat="false" ht="15" hidden="false" customHeight="false" outlineLevel="0" collapsed="false">
      <c r="A179" s="22"/>
      <c r="B179" s="11"/>
      <c r="C179" s="24"/>
      <c r="D179" s="31" t="str">
        <f aca="false">IF(C179="","",IF(LEN(UPPER(SUBSTITUTE(SUBSTITUTE(SUBSTITUTE(SUBSTITUTE(TRIM(C179),".",""),"/",""),"-","")," ","")))&lt;14,RIGHT(REPT("0",14)&amp;UPPER(SUBSTITUTE(SUBSTITUTE(SUBSTITUTE(SUBSTITUTE(TRIM(C179),".",""),"/",""),"-","")," ","")),14),UPPER(SUBSTITUTE(SUBSTITUTE(SUBSTITUTE(SUBSTITUTE(TRIM(C179),".",""),"/",""),"-","")," ",""))))</f>
        <v/>
      </c>
      <c r="E179" s="25" t="str">
        <f aca="false">IF(D179="","",IFERROR(INDEX(Empresas!$C:$C,MATCH(D179,Empresas!$B:$B,0)),"cadastre o CNPJ em Empresas"))</f>
        <v/>
      </c>
      <c r="F179" s="23"/>
      <c r="G179" s="35"/>
      <c r="H179" s="24"/>
      <c r="I179" s="11"/>
      <c r="J179" s="27" t="str">
        <f aca="false">IF(A179="","",YEAR(A179))</f>
        <v/>
      </c>
      <c r="K179" s="24"/>
      <c r="L179" s="11"/>
    </row>
    <row r="180" customFormat="false" ht="15" hidden="false" customHeight="false" outlineLevel="0" collapsed="false">
      <c r="A180" s="22"/>
      <c r="B180" s="11"/>
      <c r="C180" s="24"/>
      <c r="D180" s="31" t="str">
        <f aca="false">IF(C180="","",IF(LEN(UPPER(SUBSTITUTE(SUBSTITUTE(SUBSTITUTE(SUBSTITUTE(TRIM(C180),".",""),"/",""),"-","")," ","")))&lt;14,RIGHT(REPT("0",14)&amp;UPPER(SUBSTITUTE(SUBSTITUTE(SUBSTITUTE(SUBSTITUTE(TRIM(C180),".",""),"/",""),"-","")," ","")),14),UPPER(SUBSTITUTE(SUBSTITUTE(SUBSTITUTE(SUBSTITUTE(TRIM(C180),".",""),"/",""),"-","")," ",""))))</f>
        <v/>
      </c>
      <c r="E180" s="25" t="str">
        <f aca="false">IF(D180="","",IFERROR(INDEX(Empresas!$C:$C,MATCH(D180,Empresas!$B:$B,0)),"cadastre o CNPJ em Empresas"))</f>
        <v/>
      </c>
      <c r="F180" s="23"/>
      <c r="G180" s="35"/>
      <c r="H180" s="24"/>
      <c r="I180" s="11"/>
      <c r="J180" s="27" t="str">
        <f aca="false">IF(A180="","",YEAR(A180))</f>
        <v/>
      </c>
      <c r="K180" s="24"/>
      <c r="L180" s="11"/>
    </row>
    <row r="181" customFormat="false" ht="15" hidden="false" customHeight="false" outlineLevel="0" collapsed="false">
      <c r="A181" s="22"/>
      <c r="B181" s="11"/>
      <c r="C181" s="24"/>
      <c r="D181" s="31" t="str">
        <f aca="false">IF(C181="","",IF(LEN(UPPER(SUBSTITUTE(SUBSTITUTE(SUBSTITUTE(SUBSTITUTE(TRIM(C181),".",""),"/",""),"-","")," ","")))&lt;14,RIGHT(REPT("0",14)&amp;UPPER(SUBSTITUTE(SUBSTITUTE(SUBSTITUTE(SUBSTITUTE(TRIM(C181),".",""),"/",""),"-","")," ","")),14),UPPER(SUBSTITUTE(SUBSTITUTE(SUBSTITUTE(SUBSTITUTE(TRIM(C181),".",""),"/",""),"-","")," ",""))))</f>
        <v/>
      </c>
      <c r="E181" s="25" t="str">
        <f aca="false">IF(D181="","",IFERROR(INDEX(Empresas!$C:$C,MATCH(D181,Empresas!$B:$B,0)),"cadastre o CNPJ em Empresas"))</f>
        <v/>
      </c>
      <c r="F181" s="23"/>
      <c r="G181" s="35"/>
      <c r="H181" s="24"/>
      <c r="I181" s="11"/>
      <c r="J181" s="27" t="str">
        <f aca="false">IF(A181="","",YEAR(A181))</f>
        <v/>
      </c>
      <c r="K181" s="24"/>
      <c r="L181" s="11"/>
    </row>
    <row r="182" customFormat="false" ht="15" hidden="false" customHeight="false" outlineLevel="0" collapsed="false">
      <c r="A182" s="22"/>
      <c r="B182" s="11"/>
      <c r="C182" s="24"/>
      <c r="D182" s="31" t="str">
        <f aca="false">IF(C182="","",IF(LEN(UPPER(SUBSTITUTE(SUBSTITUTE(SUBSTITUTE(SUBSTITUTE(TRIM(C182),".",""),"/",""),"-","")," ","")))&lt;14,RIGHT(REPT("0",14)&amp;UPPER(SUBSTITUTE(SUBSTITUTE(SUBSTITUTE(SUBSTITUTE(TRIM(C182),".",""),"/",""),"-","")," ","")),14),UPPER(SUBSTITUTE(SUBSTITUTE(SUBSTITUTE(SUBSTITUTE(TRIM(C182),".",""),"/",""),"-","")," ",""))))</f>
        <v/>
      </c>
      <c r="E182" s="25" t="str">
        <f aca="false">IF(D182="","",IFERROR(INDEX(Empresas!$C:$C,MATCH(D182,Empresas!$B:$B,0)),"cadastre o CNPJ em Empresas"))</f>
        <v/>
      </c>
      <c r="F182" s="23"/>
      <c r="G182" s="35"/>
      <c r="H182" s="24"/>
      <c r="I182" s="11"/>
      <c r="J182" s="27" t="str">
        <f aca="false">IF(A182="","",YEAR(A182))</f>
        <v/>
      </c>
      <c r="K182" s="24"/>
      <c r="L182" s="11"/>
    </row>
    <row r="183" customFormat="false" ht="15" hidden="false" customHeight="false" outlineLevel="0" collapsed="false">
      <c r="A183" s="22"/>
      <c r="B183" s="11"/>
      <c r="C183" s="24"/>
      <c r="D183" s="31" t="str">
        <f aca="false">IF(C183="","",IF(LEN(UPPER(SUBSTITUTE(SUBSTITUTE(SUBSTITUTE(SUBSTITUTE(TRIM(C183),".",""),"/",""),"-","")," ","")))&lt;14,RIGHT(REPT("0",14)&amp;UPPER(SUBSTITUTE(SUBSTITUTE(SUBSTITUTE(SUBSTITUTE(TRIM(C183),".",""),"/",""),"-","")," ","")),14),UPPER(SUBSTITUTE(SUBSTITUTE(SUBSTITUTE(SUBSTITUTE(TRIM(C183),".",""),"/",""),"-","")," ",""))))</f>
        <v/>
      </c>
      <c r="E183" s="25" t="str">
        <f aca="false">IF(D183="","",IFERROR(INDEX(Empresas!$C:$C,MATCH(D183,Empresas!$B:$B,0)),"cadastre o CNPJ em Empresas"))</f>
        <v/>
      </c>
      <c r="F183" s="23"/>
      <c r="G183" s="35"/>
      <c r="H183" s="24"/>
      <c r="I183" s="11"/>
      <c r="J183" s="27" t="str">
        <f aca="false">IF(A183="","",YEAR(A183))</f>
        <v/>
      </c>
      <c r="K183" s="24"/>
      <c r="L183" s="11"/>
    </row>
    <row r="184" customFormat="false" ht="15" hidden="false" customHeight="false" outlineLevel="0" collapsed="false">
      <c r="A184" s="22"/>
      <c r="B184" s="11"/>
      <c r="C184" s="24"/>
      <c r="D184" s="31" t="str">
        <f aca="false">IF(C184="","",IF(LEN(UPPER(SUBSTITUTE(SUBSTITUTE(SUBSTITUTE(SUBSTITUTE(TRIM(C184),".",""),"/",""),"-","")," ","")))&lt;14,RIGHT(REPT("0",14)&amp;UPPER(SUBSTITUTE(SUBSTITUTE(SUBSTITUTE(SUBSTITUTE(TRIM(C184),".",""),"/",""),"-","")," ","")),14),UPPER(SUBSTITUTE(SUBSTITUTE(SUBSTITUTE(SUBSTITUTE(TRIM(C184),".",""),"/",""),"-","")," ",""))))</f>
        <v/>
      </c>
      <c r="E184" s="25" t="str">
        <f aca="false">IF(D184="","",IFERROR(INDEX(Empresas!$C:$C,MATCH(D184,Empresas!$B:$B,0)),"cadastre o CNPJ em Empresas"))</f>
        <v/>
      </c>
      <c r="F184" s="23"/>
      <c r="G184" s="35"/>
      <c r="H184" s="24"/>
      <c r="I184" s="11"/>
      <c r="J184" s="27" t="str">
        <f aca="false">IF(A184="","",YEAR(A184))</f>
        <v/>
      </c>
      <c r="K184" s="24"/>
      <c r="L184" s="11"/>
    </row>
    <row r="185" customFormat="false" ht="15" hidden="false" customHeight="false" outlineLevel="0" collapsed="false">
      <c r="A185" s="22"/>
      <c r="B185" s="11"/>
      <c r="C185" s="24"/>
      <c r="D185" s="31" t="str">
        <f aca="false">IF(C185="","",IF(LEN(UPPER(SUBSTITUTE(SUBSTITUTE(SUBSTITUTE(SUBSTITUTE(TRIM(C185),".",""),"/",""),"-","")," ","")))&lt;14,RIGHT(REPT("0",14)&amp;UPPER(SUBSTITUTE(SUBSTITUTE(SUBSTITUTE(SUBSTITUTE(TRIM(C185),".",""),"/",""),"-","")," ","")),14),UPPER(SUBSTITUTE(SUBSTITUTE(SUBSTITUTE(SUBSTITUTE(TRIM(C185),".",""),"/",""),"-","")," ",""))))</f>
        <v/>
      </c>
      <c r="E185" s="25" t="str">
        <f aca="false">IF(D185="","",IFERROR(INDEX(Empresas!$C:$C,MATCH(D185,Empresas!$B:$B,0)),"cadastre o CNPJ em Empresas"))</f>
        <v/>
      </c>
      <c r="F185" s="23"/>
      <c r="G185" s="35"/>
      <c r="H185" s="24"/>
      <c r="I185" s="11"/>
      <c r="J185" s="27" t="str">
        <f aca="false">IF(A185="","",YEAR(A185))</f>
        <v/>
      </c>
      <c r="K185" s="24"/>
      <c r="L185" s="11"/>
    </row>
    <row r="186" customFormat="false" ht="15" hidden="false" customHeight="false" outlineLevel="0" collapsed="false">
      <c r="A186" s="22"/>
      <c r="B186" s="11"/>
      <c r="C186" s="24"/>
      <c r="D186" s="31" t="str">
        <f aca="false">IF(C186="","",IF(LEN(UPPER(SUBSTITUTE(SUBSTITUTE(SUBSTITUTE(SUBSTITUTE(TRIM(C186),".",""),"/",""),"-","")," ","")))&lt;14,RIGHT(REPT("0",14)&amp;UPPER(SUBSTITUTE(SUBSTITUTE(SUBSTITUTE(SUBSTITUTE(TRIM(C186),".",""),"/",""),"-","")," ","")),14),UPPER(SUBSTITUTE(SUBSTITUTE(SUBSTITUTE(SUBSTITUTE(TRIM(C186),".",""),"/",""),"-","")," ",""))))</f>
        <v/>
      </c>
      <c r="E186" s="25" t="str">
        <f aca="false">IF(D186="","",IFERROR(INDEX(Empresas!$C:$C,MATCH(D186,Empresas!$B:$B,0)),"cadastre o CNPJ em Empresas"))</f>
        <v/>
      </c>
      <c r="F186" s="23"/>
      <c r="G186" s="35"/>
      <c r="H186" s="24"/>
      <c r="I186" s="11"/>
      <c r="J186" s="27" t="str">
        <f aca="false">IF(A186="","",YEAR(A186))</f>
        <v/>
      </c>
      <c r="K186" s="24"/>
      <c r="L186" s="11"/>
    </row>
    <row r="187" customFormat="false" ht="15" hidden="false" customHeight="false" outlineLevel="0" collapsed="false">
      <c r="A187" s="22"/>
      <c r="B187" s="11"/>
      <c r="C187" s="24"/>
      <c r="D187" s="31" t="str">
        <f aca="false">IF(C187="","",IF(LEN(UPPER(SUBSTITUTE(SUBSTITUTE(SUBSTITUTE(SUBSTITUTE(TRIM(C187),".",""),"/",""),"-","")," ","")))&lt;14,RIGHT(REPT("0",14)&amp;UPPER(SUBSTITUTE(SUBSTITUTE(SUBSTITUTE(SUBSTITUTE(TRIM(C187),".",""),"/",""),"-","")," ","")),14),UPPER(SUBSTITUTE(SUBSTITUTE(SUBSTITUTE(SUBSTITUTE(TRIM(C187),".",""),"/",""),"-","")," ",""))))</f>
        <v/>
      </c>
      <c r="E187" s="25" t="str">
        <f aca="false">IF(D187="","",IFERROR(INDEX(Empresas!$C:$C,MATCH(D187,Empresas!$B:$B,0)),"cadastre o CNPJ em Empresas"))</f>
        <v/>
      </c>
      <c r="F187" s="23"/>
      <c r="G187" s="35"/>
      <c r="H187" s="24"/>
      <c r="I187" s="11"/>
      <c r="J187" s="27" t="str">
        <f aca="false">IF(A187="","",YEAR(A187))</f>
        <v/>
      </c>
      <c r="K187" s="24"/>
      <c r="L187" s="11"/>
    </row>
    <row r="188" customFormat="false" ht="15" hidden="false" customHeight="false" outlineLevel="0" collapsed="false">
      <c r="A188" s="22"/>
      <c r="B188" s="11"/>
      <c r="C188" s="24"/>
      <c r="D188" s="31" t="str">
        <f aca="false">IF(C188="","",IF(LEN(UPPER(SUBSTITUTE(SUBSTITUTE(SUBSTITUTE(SUBSTITUTE(TRIM(C188),".",""),"/",""),"-","")," ","")))&lt;14,RIGHT(REPT("0",14)&amp;UPPER(SUBSTITUTE(SUBSTITUTE(SUBSTITUTE(SUBSTITUTE(TRIM(C188),".",""),"/",""),"-","")," ","")),14),UPPER(SUBSTITUTE(SUBSTITUTE(SUBSTITUTE(SUBSTITUTE(TRIM(C188),".",""),"/",""),"-","")," ",""))))</f>
        <v/>
      </c>
      <c r="E188" s="25" t="str">
        <f aca="false">IF(D188="","",IFERROR(INDEX(Empresas!$C:$C,MATCH(D188,Empresas!$B:$B,0)),"cadastre o CNPJ em Empresas"))</f>
        <v/>
      </c>
      <c r="F188" s="23"/>
      <c r="G188" s="35"/>
      <c r="H188" s="24"/>
      <c r="I188" s="11"/>
      <c r="J188" s="27" t="str">
        <f aca="false">IF(A188="","",YEAR(A188))</f>
        <v/>
      </c>
      <c r="K188" s="24"/>
      <c r="L188" s="11"/>
    </row>
    <row r="189" customFormat="false" ht="15" hidden="false" customHeight="false" outlineLevel="0" collapsed="false">
      <c r="A189" s="22"/>
      <c r="B189" s="11"/>
      <c r="C189" s="24"/>
      <c r="D189" s="31" t="str">
        <f aca="false">IF(C189="","",IF(LEN(UPPER(SUBSTITUTE(SUBSTITUTE(SUBSTITUTE(SUBSTITUTE(TRIM(C189),".",""),"/",""),"-","")," ","")))&lt;14,RIGHT(REPT("0",14)&amp;UPPER(SUBSTITUTE(SUBSTITUTE(SUBSTITUTE(SUBSTITUTE(TRIM(C189),".",""),"/",""),"-","")," ","")),14),UPPER(SUBSTITUTE(SUBSTITUTE(SUBSTITUTE(SUBSTITUTE(TRIM(C189),".",""),"/",""),"-","")," ",""))))</f>
        <v/>
      </c>
      <c r="E189" s="25" t="str">
        <f aca="false">IF(D189="","",IFERROR(INDEX(Empresas!$C:$C,MATCH(D189,Empresas!$B:$B,0)),"cadastre o CNPJ em Empresas"))</f>
        <v/>
      </c>
      <c r="F189" s="23"/>
      <c r="G189" s="35"/>
      <c r="H189" s="24"/>
      <c r="I189" s="11"/>
      <c r="J189" s="27" t="str">
        <f aca="false">IF(A189="","",YEAR(A189))</f>
        <v/>
      </c>
      <c r="K189" s="24"/>
      <c r="L189" s="11"/>
    </row>
    <row r="190" customFormat="false" ht="15" hidden="false" customHeight="false" outlineLevel="0" collapsed="false">
      <c r="A190" s="22"/>
      <c r="B190" s="11"/>
      <c r="C190" s="24"/>
      <c r="D190" s="31" t="str">
        <f aca="false">IF(C190="","",IF(LEN(UPPER(SUBSTITUTE(SUBSTITUTE(SUBSTITUTE(SUBSTITUTE(TRIM(C190),".",""),"/",""),"-","")," ","")))&lt;14,RIGHT(REPT("0",14)&amp;UPPER(SUBSTITUTE(SUBSTITUTE(SUBSTITUTE(SUBSTITUTE(TRIM(C190),".",""),"/",""),"-","")," ","")),14),UPPER(SUBSTITUTE(SUBSTITUTE(SUBSTITUTE(SUBSTITUTE(TRIM(C190),".",""),"/",""),"-","")," ",""))))</f>
        <v/>
      </c>
      <c r="E190" s="25" t="str">
        <f aca="false">IF(D190="","",IFERROR(INDEX(Empresas!$C:$C,MATCH(D190,Empresas!$B:$B,0)),"cadastre o CNPJ em Empresas"))</f>
        <v/>
      </c>
      <c r="F190" s="23"/>
      <c r="G190" s="35"/>
      <c r="H190" s="24"/>
      <c r="I190" s="11"/>
      <c r="J190" s="27" t="str">
        <f aca="false">IF(A190="","",YEAR(A190))</f>
        <v/>
      </c>
      <c r="K190" s="24"/>
      <c r="L190" s="11"/>
    </row>
    <row r="191" customFormat="false" ht="15" hidden="false" customHeight="false" outlineLevel="0" collapsed="false">
      <c r="A191" s="22"/>
      <c r="B191" s="11"/>
      <c r="C191" s="24"/>
      <c r="D191" s="31" t="str">
        <f aca="false">IF(C191="","",IF(LEN(UPPER(SUBSTITUTE(SUBSTITUTE(SUBSTITUTE(SUBSTITUTE(TRIM(C191),".",""),"/",""),"-","")," ","")))&lt;14,RIGHT(REPT("0",14)&amp;UPPER(SUBSTITUTE(SUBSTITUTE(SUBSTITUTE(SUBSTITUTE(TRIM(C191),".",""),"/",""),"-","")," ","")),14),UPPER(SUBSTITUTE(SUBSTITUTE(SUBSTITUTE(SUBSTITUTE(TRIM(C191),".",""),"/",""),"-","")," ",""))))</f>
        <v/>
      </c>
      <c r="E191" s="25" t="str">
        <f aca="false">IF(D191="","",IFERROR(INDEX(Empresas!$C:$C,MATCH(D191,Empresas!$B:$B,0)),"cadastre o CNPJ em Empresas"))</f>
        <v/>
      </c>
      <c r="F191" s="23"/>
      <c r="G191" s="35"/>
      <c r="H191" s="24"/>
      <c r="I191" s="11"/>
      <c r="J191" s="27" t="str">
        <f aca="false">IF(A191="","",YEAR(A191))</f>
        <v/>
      </c>
      <c r="K191" s="24"/>
      <c r="L191" s="11"/>
    </row>
    <row r="192" customFormat="false" ht="15" hidden="false" customHeight="false" outlineLevel="0" collapsed="false">
      <c r="A192" s="22"/>
      <c r="B192" s="11"/>
      <c r="C192" s="24"/>
      <c r="D192" s="31" t="str">
        <f aca="false">IF(C192="","",IF(LEN(UPPER(SUBSTITUTE(SUBSTITUTE(SUBSTITUTE(SUBSTITUTE(TRIM(C192),".",""),"/",""),"-","")," ","")))&lt;14,RIGHT(REPT("0",14)&amp;UPPER(SUBSTITUTE(SUBSTITUTE(SUBSTITUTE(SUBSTITUTE(TRIM(C192),".",""),"/",""),"-","")," ","")),14),UPPER(SUBSTITUTE(SUBSTITUTE(SUBSTITUTE(SUBSTITUTE(TRIM(C192),".",""),"/",""),"-","")," ",""))))</f>
        <v/>
      </c>
      <c r="E192" s="25" t="str">
        <f aca="false">IF(D192="","",IFERROR(INDEX(Empresas!$C:$C,MATCH(D192,Empresas!$B:$B,0)),"cadastre o CNPJ em Empresas"))</f>
        <v/>
      </c>
      <c r="F192" s="23"/>
      <c r="G192" s="35"/>
      <c r="H192" s="24"/>
      <c r="I192" s="11"/>
      <c r="J192" s="27" t="str">
        <f aca="false">IF(A192="","",YEAR(A192))</f>
        <v/>
      </c>
      <c r="K192" s="24"/>
      <c r="L192" s="11"/>
    </row>
    <row r="193" customFormat="false" ht="15" hidden="false" customHeight="false" outlineLevel="0" collapsed="false">
      <c r="A193" s="22"/>
      <c r="B193" s="11"/>
      <c r="C193" s="24"/>
      <c r="D193" s="31" t="str">
        <f aca="false">IF(C193="","",IF(LEN(UPPER(SUBSTITUTE(SUBSTITUTE(SUBSTITUTE(SUBSTITUTE(TRIM(C193),".",""),"/",""),"-","")," ","")))&lt;14,RIGHT(REPT("0",14)&amp;UPPER(SUBSTITUTE(SUBSTITUTE(SUBSTITUTE(SUBSTITUTE(TRIM(C193),".",""),"/",""),"-","")," ","")),14),UPPER(SUBSTITUTE(SUBSTITUTE(SUBSTITUTE(SUBSTITUTE(TRIM(C193),".",""),"/",""),"-","")," ",""))))</f>
        <v/>
      </c>
      <c r="E193" s="25" t="str">
        <f aca="false">IF(D193="","",IFERROR(INDEX(Empresas!$C:$C,MATCH(D193,Empresas!$B:$B,0)),"cadastre o CNPJ em Empresas"))</f>
        <v/>
      </c>
      <c r="F193" s="23"/>
      <c r="G193" s="35"/>
      <c r="H193" s="24"/>
      <c r="I193" s="11"/>
      <c r="J193" s="27" t="str">
        <f aca="false">IF(A193="","",YEAR(A193))</f>
        <v/>
      </c>
      <c r="K193" s="24"/>
      <c r="L193" s="11"/>
    </row>
    <row r="194" customFormat="false" ht="15" hidden="false" customHeight="false" outlineLevel="0" collapsed="false">
      <c r="A194" s="22"/>
      <c r="B194" s="11"/>
      <c r="C194" s="24"/>
      <c r="D194" s="31" t="str">
        <f aca="false">IF(C194="","",IF(LEN(UPPER(SUBSTITUTE(SUBSTITUTE(SUBSTITUTE(SUBSTITUTE(TRIM(C194),".",""),"/",""),"-","")," ","")))&lt;14,RIGHT(REPT("0",14)&amp;UPPER(SUBSTITUTE(SUBSTITUTE(SUBSTITUTE(SUBSTITUTE(TRIM(C194),".",""),"/",""),"-","")," ","")),14),UPPER(SUBSTITUTE(SUBSTITUTE(SUBSTITUTE(SUBSTITUTE(TRIM(C194),".",""),"/",""),"-","")," ",""))))</f>
        <v/>
      </c>
      <c r="E194" s="25" t="str">
        <f aca="false">IF(D194="","",IFERROR(INDEX(Empresas!$C:$C,MATCH(D194,Empresas!$B:$B,0)),"cadastre o CNPJ em Empresas"))</f>
        <v/>
      </c>
      <c r="F194" s="23"/>
      <c r="G194" s="35"/>
      <c r="H194" s="24"/>
      <c r="I194" s="11"/>
      <c r="J194" s="27" t="str">
        <f aca="false">IF(A194="","",YEAR(A194))</f>
        <v/>
      </c>
      <c r="K194" s="24"/>
      <c r="L194" s="11"/>
    </row>
    <row r="195" customFormat="false" ht="15" hidden="false" customHeight="false" outlineLevel="0" collapsed="false">
      <c r="A195" s="22"/>
      <c r="B195" s="11"/>
      <c r="C195" s="24"/>
      <c r="D195" s="31" t="str">
        <f aca="false">IF(C195="","",IF(LEN(UPPER(SUBSTITUTE(SUBSTITUTE(SUBSTITUTE(SUBSTITUTE(TRIM(C195),".",""),"/",""),"-","")," ","")))&lt;14,RIGHT(REPT("0",14)&amp;UPPER(SUBSTITUTE(SUBSTITUTE(SUBSTITUTE(SUBSTITUTE(TRIM(C195),".",""),"/",""),"-","")," ","")),14),UPPER(SUBSTITUTE(SUBSTITUTE(SUBSTITUTE(SUBSTITUTE(TRIM(C195),".",""),"/",""),"-","")," ",""))))</f>
        <v/>
      </c>
      <c r="E195" s="25" t="str">
        <f aca="false">IF(D195="","",IFERROR(INDEX(Empresas!$C:$C,MATCH(D195,Empresas!$B:$B,0)),"cadastre o CNPJ em Empresas"))</f>
        <v/>
      </c>
      <c r="F195" s="23"/>
      <c r="G195" s="35"/>
      <c r="H195" s="24"/>
      <c r="I195" s="11"/>
      <c r="J195" s="27" t="str">
        <f aca="false">IF(A195="","",YEAR(A195))</f>
        <v/>
      </c>
      <c r="K195" s="24"/>
      <c r="L195" s="11"/>
    </row>
    <row r="196" customFormat="false" ht="15" hidden="false" customHeight="false" outlineLevel="0" collapsed="false">
      <c r="A196" s="22"/>
      <c r="B196" s="11"/>
      <c r="C196" s="24"/>
      <c r="D196" s="31" t="str">
        <f aca="false">IF(C196="","",IF(LEN(UPPER(SUBSTITUTE(SUBSTITUTE(SUBSTITUTE(SUBSTITUTE(TRIM(C196),".",""),"/",""),"-","")," ","")))&lt;14,RIGHT(REPT("0",14)&amp;UPPER(SUBSTITUTE(SUBSTITUTE(SUBSTITUTE(SUBSTITUTE(TRIM(C196),".",""),"/",""),"-","")," ","")),14),UPPER(SUBSTITUTE(SUBSTITUTE(SUBSTITUTE(SUBSTITUTE(TRIM(C196),".",""),"/",""),"-","")," ",""))))</f>
        <v/>
      </c>
      <c r="E196" s="25" t="str">
        <f aca="false">IF(D196="","",IFERROR(INDEX(Empresas!$C:$C,MATCH(D196,Empresas!$B:$B,0)),"cadastre o CNPJ em Empresas"))</f>
        <v/>
      </c>
      <c r="F196" s="23"/>
      <c r="G196" s="35"/>
      <c r="H196" s="24"/>
      <c r="I196" s="11"/>
      <c r="J196" s="27" t="str">
        <f aca="false">IF(A196="","",YEAR(A196))</f>
        <v/>
      </c>
      <c r="K196" s="24"/>
      <c r="L196" s="11"/>
    </row>
    <row r="197" customFormat="false" ht="15" hidden="false" customHeight="false" outlineLevel="0" collapsed="false">
      <c r="A197" s="22"/>
      <c r="B197" s="11"/>
      <c r="C197" s="24"/>
      <c r="D197" s="31" t="str">
        <f aca="false">IF(C197="","",IF(LEN(UPPER(SUBSTITUTE(SUBSTITUTE(SUBSTITUTE(SUBSTITUTE(TRIM(C197),".",""),"/",""),"-","")," ","")))&lt;14,RIGHT(REPT("0",14)&amp;UPPER(SUBSTITUTE(SUBSTITUTE(SUBSTITUTE(SUBSTITUTE(TRIM(C197),".",""),"/",""),"-","")," ","")),14),UPPER(SUBSTITUTE(SUBSTITUTE(SUBSTITUTE(SUBSTITUTE(TRIM(C197),".",""),"/",""),"-","")," ",""))))</f>
        <v/>
      </c>
      <c r="E197" s="25" t="str">
        <f aca="false">IF(D197="","",IFERROR(INDEX(Empresas!$C:$C,MATCH(D197,Empresas!$B:$B,0)),"cadastre o CNPJ em Empresas"))</f>
        <v/>
      </c>
      <c r="F197" s="23"/>
      <c r="G197" s="35"/>
      <c r="H197" s="24"/>
      <c r="I197" s="11"/>
      <c r="J197" s="27" t="str">
        <f aca="false">IF(A197="","",YEAR(A197))</f>
        <v/>
      </c>
      <c r="K197" s="24"/>
      <c r="L197" s="11"/>
    </row>
    <row r="198" customFormat="false" ht="15" hidden="false" customHeight="false" outlineLevel="0" collapsed="false">
      <c r="A198" s="22"/>
      <c r="B198" s="11"/>
      <c r="C198" s="24"/>
      <c r="D198" s="31" t="str">
        <f aca="false">IF(C198="","",IF(LEN(UPPER(SUBSTITUTE(SUBSTITUTE(SUBSTITUTE(SUBSTITUTE(TRIM(C198),".",""),"/",""),"-","")," ","")))&lt;14,RIGHT(REPT("0",14)&amp;UPPER(SUBSTITUTE(SUBSTITUTE(SUBSTITUTE(SUBSTITUTE(TRIM(C198),".",""),"/",""),"-","")," ","")),14),UPPER(SUBSTITUTE(SUBSTITUTE(SUBSTITUTE(SUBSTITUTE(TRIM(C198),".",""),"/",""),"-","")," ",""))))</f>
        <v/>
      </c>
      <c r="E198" s="25" t="str">
        <f aca="false">IF(D198="","",IFERROR(INDEX(Empresas!$C:$C,MATCH(D198,Empresas!$B:$B,0)),"cadastre o CNPJ em Empresas"))</f>
        <v/>
      </c>
      <c r="F198" s="23"/>
      <c r="G198" s="35"/>
      <c r="H198" s="24"/>
      <c r="I198" s="11"/>
      <c r="J198" s="27" t="str">
        <f aca="false">IF(A198="","",YEAR(A198))</f>
        <v/>
      </c>
      <c r="K198" s="24"/>
      <c r="L198" s="11"/>
    </row>
    <row r="199" customFormat="false" ht="15" hidden="false" customHeight="false" outlineLevel="0" collapsed="false">
      <c r="A199" s="22"/>
      <c r="B199" s="11"/>
      <c r="C199" s="24"/>
      <c r="D199" s="31" t="str">
        <f aca="false">IF(C199="","",IF(LEN(UPPER(SUBSTITUTE(SUBSTITUTE(SUBSTITUTE(SUBSTITUTE(TRIM(C199),".",""),"/",""),"-","")," ","")))&lt;14,RIGHT(REPT("0",14)&amp;UPPER(SUBSTITUTE(SUBSTITUTE(SUBSTITUTE(SUBSTITUTE(TRIM(C199),".",""),"/",""),"-","")," ","")),14),UPPER(SUBSTITUTE(SUBSTITUTE(SUBSTITUTE(SUBSTITUTE(TRIM(C199),".",""),"/",""),"-","")," ",""))))</f>
        <v/>
      </c>
      <c r="E199" s="25" t="str">
        <f aca="false">IF(D199="","",IFERROR(INDEX(Empresas!$C:$C,MATCH(D199,Empresas!$B:$B,0)),"cadastre o CNPJ em Empresas"))</f>
        <v/>
      </c>
      <c r="F199" s="23"/>
      <c r="G199" s="35"/>
      <c r="H199" s="24"/>
      <c r="I199" s="11"/>
      <c r="J199" s="27" t="str">
        <f aca="false">IF(A199="","",YEAR(A199))</f>
        <v/>
      </c>
      <c r="K199" s="24"/>
      <c r="L199" s="11"/>
    </row>
    <row r="200" customFormat="false" ht="15" hidden="false" customHeight="false" outlineLevel="0" collapsed="false">
      <c r="A200" s="22"/>
      <c r="B200" s="11"/>
      <c r="C200" s="24"/>
      <c r="D200" s="31" t="str">
        <f aca="false">IF(C200="","",IF(LEN(UPPER(SUBSTITUTE(SUBSTITUTE(SUBSTITUTE(SUBSTITUTE(TRIM(C200),".",""),"/",""),"-","")," ","")))&lt;14,RIGHT(REPT("0",14)&amp;UPPER(SUBSTITUTE(SUBSTITUTE(SUBSTITUTE(SUBSTITUTE(TRIM(C200),".",""),"/",""),"-","")," ","")),14),UPPER(SUBSTITUTE(SUBSTITUTE(SUBSTITUTE(SUBSTITUTE(TRIM(C200),".",""),"/",""),"-","")," ",""))))</f>
        <v/>
      </c>
      <c r="E200" s="25" t="str">
        <f aca="false">IF(D200="","",IFERROR(INDEX(Empresas!$C:$C,MATCH(D200,Empresas!$B:$B,0)),"cadastre o CNPJ em Empresas"))</f>
        <v/>
      </c>
      <c r="F200" s="23"/>
      <c r="G200" s="35"/>
      <c r="H200" s="24"/>
      <c r="I200" s="11"/>
      <c r="J200" s="27" t="str">
        <f aca="false">IF(A200="","",YEAR(A200))</f>
        <v/>
      </c>
      <c r="K200" s="24"/>
      <c r="L200" s="11"/>
    </row>
    <row r="201" customFormat="false" ht="15" hidden="false" customHeight="false" outlineLevel="0" collapsed="false">
      <c r="A201" s="22"/>
      <c r="B201" s="11"/>
      <c r="C201" s="24"/>
      <c r="D201" s="31" t="str">
        <f aca="false">IF(C201="","",IF(LEN(UPPER(SUBSTITUTE(SUBSTITUTE(SUBSTITUTE(SUBSTITUTE(TRIM(C201),".",""),"/",""),"-","")," ","")))&lt;14,RIGHT(REPT("0",14)&amp;UPPER(SUBSTITUTE(SUBSTITUTE(SUBSTITUTE(SUBSTITUTE(TRIM(C201),".",""),"/",""),"-","")," ","")),14),UPPER(SUBSTITUTE(SUBSTITUTE(SUBSTITUTE(SUBSTITUTE(TRIM(C201),".",""),"/",""),"-","")," ",""))))</f>
        <v/>
      </c>
      <c r="E201" s="25" t="str">
        <f aca="false">IF(D201="","",IFERROR(INDEX(Empresas!$C:$C,MATCH(D201,Empresas!$B:$B,0)),"cadastre o CNPJ em Empresas"))</f>
        <v/>
      </c>
      <c r="F201" s="23"/>
      <c r="G201" s="35"/>
      <c r="H201" s="24"/>
      <c r="I201" s="11"/>
      <c r="J201" s="27" t="str">
        <f aca="false">IF(A201="","",YEAR(A201))</f>
        <v/>
      </c>
      <c r="K201" s="24"/>
      <c r="L201" s="11"/>
    </row>
    <row r="202" customFormat="false" ht="15" hidden="false" customHeight="false" outlineLevel="0" collapsed="false">
      <c r="A202" s="22"/>
      <c r="B202" s="11"/>
      <c r="C202" s="24"/>
      <c r="D202" s="31" t="str">
        <f aca="false">IF(C202="","",IF(LEN(UPPER(SUBSTITUTE(SUBSTITUTE(SUBSTITUTE(SUBSTITUTE(TRIM(C202),".",""),"/",""),"-","")," ","")))&lt;14,RIGHT(REPT("0",14)&amp;UPPER(SUBSTITUTE(SUBSTITUTE(SUBSTITUTE(SUBSTITUTE(TRIM(C202),".",""),"/",""),"-","")," ","")),14),UPPER(SUBSTITUTE(SUBSTITUTE(SUBSTITUTE(SUBSTITUTE(TRIM(C202),".",""),"/",""),"-","")," ",""))))</f>
        <v/>
      </c>
      <c r="E202" s="25" t="str">
        <f aca="false">IF(D202="","",IFERROR(INDEX(Empresas!$C:$C,MATCH(D202,Empresas!$B:$B,0)),"cadastre o CNPJ em Empresas"))</f>
        <v/>
      </c>
      <c r="F202" s="23"/>
      <c r="G202" s="35"/>
      <c r="H202" s="24"/>
      <c r="I202" s="11"/>
      <c r="J202" s="27" t="str">
        <f aca="false">IF(A202="","",YEAR(A202))</f>
        <v/>
      </c>
      <c r="K202" s="24"/>
      <c r="L202" s="11"/>
    </row>
    <row r="203" customFormat="false" ht="15" hidden="false" customHeight="false" outlineLevel="0" collapsed="false">
      <c r="A203" s="22"/>
      <c r="B203" s="11"/>
      <c r="C203" s="24"/>
      <c r="D203" s="31" t="str">
        <f aca="false">IF(C203="","",IF(LEN(UPPER(SUBSTITUTE(SUBSTITUTE(SUBSTITUTE(SUBSTITUTE(TRIM(C203),".",""),"/",""),"-","")," ","")))&lt;14,RIGHT(REPT("0",14)&amp;UPPER(SUBSTITUTE(SUBSTITUTE(SUBSTITUTE(SUBSTITUTE(TRIM(C203),".",""),"/",""),"-","")," ","")),14),UPPER(SUBSTITUTE(SUBSTITUTE(SUBSTITUTE(SUBSTITUTE(TRIM(C203),".",""),"/",""),"-","")," ",""))))</f>
        <v/>
      </c>
      <c r="E203" s="25" t="str">
        <f aca="false">IF(D203="","",IFERROR(INDEX(Empresas!$C:$C,MATCH(D203,Empresas!$B:$B,0)),"cadastre o CNPJ em Empresas"))</f>
        <v/>
      </c>
      <c r="F203" s="23"/>
      <c r="G203" s="35"/>
      <c r="H203" s="24"/>
      <c r="I203" s="11"/>
      <c r="J203" s="27" t="str">
        <f aca="false">IF(A203="","",YEAR(A203))</f>
        <v/>
      </c>
      <c r="K203" s="24"/>
      <c r="L203" s="11"/>
    </row>
    <row r="204" customFormat="false" ht="15" hidden="false" customHeight="false" outlineLevel="0" collapsed="false">
      <c r="A204" s="22"/>
      <c r="B204" s="11"/>
      <c r="C204" s="24"/>
      <c r="D204" s="31" t="str">
        <f aca="false">IF(C204="","",IF(LEN(UPPER(SUBSTITUTE(SUBSTITUTE(SUBSTITUTE(SUBSTITUTE(TRIM(C204),".",""),"/",""),"-","")," ","")))&lt;14,RIGHT(REPT("0",14)&amp;UPPER(SUBSTITUTE(SUBSTITUTE(SUBSTITUTE(SUBSTITUTE(TRIM(C204),".",""),"/",""),"-","")," ","")),14),UPPER(SUBSTITUTE(SUBSTITUTE(SUBSTITUTE(SUBSTITUTE(TRIM(C204),".",""),"/",""),"-","")," ",""))))</f>
        <v/>
      </c>
      <c r="E204" s="25" t="str">
        <f aca="false">IF(D204="","",IFERROR(INDEX(Empresas!$C:$C,MATCH(D204,Empresas!$B:$B,0)),"cadastre o CNPJ em Empresas"))</f>
        <v/>
      </c>
      <c r="F204" s="23"/>
      <c r="G204" s="35"/>
      <c r="H204" s="24"/>
      <c r="I204" s="11"/>
      <c r="J204" s="27" t="str">
        <f aca="false">IF(A204="","",YEAR(A204))</f>
        <v/>
      </c>
      <c r="K204" s="24"/>
      <c r="L204" s="11"/>
    </row>
    <row r="205" customFormat="false" ht="15" hidden="false" customHeight="false" outlineLevel="0" collapsed="false">
      <c r="A205" s="22"/>
      <c r="B205" s="11"/>
      <c r="C205" s="24"/>
      <c r="D205" s="31" t="str">
        <f aca="false">IF(C205="","",IF(LEN(UPPER(SUBSTITUTE(SUBSTITUTE(SUBSTITUTE(SUBSTITUTE(TRIM(C205),".",""),"/",""),"-","")," ","")))&lt;14,RIGHT(REPT("0",14)&amp;UPPER(SUBSTITUTE(SUBSTITUTE(SUBSTITUTE(SUBSTITUTE(TRIM(C205),".",""),"/",""),"-","")," ","")),14),UPPER(SUBSTITUTE(SUBSTITUTE(SUBSTITUTE(SUBSTITUTE(TRIM(C205),".",""),"/",""),"-","")," ",""))))</f>
        <v/>
      </c>
      <c r="E205" s="25" t="str">
        <f aca="false">IF(D205="","",IFERROR(INDEX(Empresas!$C:$C,MATCH(D205,Empresas!$B:$B,0)),"cadastre o CNPJ em Empresas"))</f>
        <v/>
      </c>
      <c r="F205" s="23"/>
      <c r="G205" s="35"/>
      <c r="H205" s="24"/>
      <c r="I205" s="11"/>
      <c r="J205" s="27" t="str">
        <f aca="false">IF(A205="","",YEAR(A205))</f>
        <v/>
      </c>
      <c r="K205" s="24"/>
      <c r="L205" s="11"/>
    </row>
    <row r="206" customFormat="false" ht="15" hidden="false" customHeight="false" outlineLevel="0" collapsed="false">
      <c r="A206" s="22"/>
      <c r="B206" s="11"/>
      <c r="C206" s="24"/>
      <c r="D206" s="31" t="str">
        <f aca="false">IF(C206="","",IF(LEN(UPPER(SUBSTITUTE(SUBSTITUTE(SUBSTITUTE(SUBSTITUTE(TRIM(C206),".",""),"/",""),"-","")," ","")))&lt;14,RIGHT(REPT("0",14)&amp;UPPER(SUBSTITUTE(SUBSTITUTE(SUBSTITUTE(SUBSTITUTE(TRIM(C206),".",""),"/",""),"-","")," ","")),14),UPPER(SUBSTITUTE(SUBSTITUTE(SUBSTITUTE(SUBSTITUTE(TRIM(C206),".",""),"/",""),"-","")," ",""))))</f>
        <v/>
      </c>
      <c r="E206" s="25" t="str">
        <f aca="false">IF(D206="","",IFERROR(INDEX(Empresas!$C:$C,MATCH(D206,Empresas!$B:$B,0)),"cadastre o CNPJ em Empresas"))</f>
        <v/>
      </c>
      <c r="F206" s="23"/>
      <c r="G206" s="35"/>
      <c r="H206" s="24"/>
      <c r="I206" s="11"/>
      <c r="J206" s="27" t="str">
        <f aca="false">IF(A206="","",YEAR(A206))</f>
        <v/>
      </c>
      <c r="K206" s="24"/>
      <c r="L206" s="11"/>
    </row>
    <row r="207" customFormat="false" ht="15" hidden="false" customHeight="false" outlineLevel="0" collapsed="false">
      <c r="A207" s="22"/>
      <c r="B207" s="11"/>
      <c r="C207" s="24"/>
      <c r="D207" s="31" t="str">
        <f aca="false">IF(C207="","",IF(LEN(UPPER(SUBSTITUTE(SUBSTITUTE(SUBSTITUTE(SUBSTITUTE(TRIM(C207),".",""),"/",""),"-","")," ","")))&lt;14,RIGHT(REPT("0",14)&amp;UPPER(SUBSTITUTE(SUBSTITUTE(SUBSTITUTE(SUBSTITUTE(TRIM(C207),".",""),"/",""),"-","")," ","")),14),UPPER(SUBSTITUTE(SUBSTITUTE(SUBSTITUTE(SUBSTITUTE(TRIM(C207),".",""),"/",""),"-","")," ",""))))</f>
        <v/>
      </c>
      <c r="E207" s="25" t="str">
        <f aca="false">IF(D207="","",IFERROR(INDEX(Empresas!$C:$C,MATCH(D207,Empresas!$B:$B,0)),"cadastre o CNPJ em Empresas"))</f>
        <v/>
      </c>
      <c r="F207" s="23"/>
      <c r="G207" s="35"/>
      <c r="H207" s="24"/>
      <c r="I207" s="11"/>
      <c r="J207" s="27" t="str">
        <f aca="false">IF(A207="","",YEAR(A207))</f>
        <v/>
      </c>
      <c r="K207" s="24"/>
      <c r="L207" s="11"/>
    </row>
    <row r="208" customFormat="false" ht="15" hidden="false" customHeight="false" outlineLevel="0" collapsed="false">
      <c r="A208" s="22"/>
      <c r="B208" s="11"/>
      <c r="C208" s="24"/>
      <c r="D208" s="31" t="str">
        <f aca="false">IF(C208="","",IF(LEN(UPPER(SUBSTITUTE(SUBSTITUTE(SUBSTITUTE(SUBSTITUTE(TRIM(C208),".",""),"/",""),"-","")," ","")))&lt;14,RIGHT(REPT("0",14)&amp;UPPER(SUBSTITUTE(SUBSTITUTE(SUBSTITUTE(SUBSTITUTE(TRIM(C208),".",""),"/",""),"-","")," ","")),14),UPPER(SUBSTITUTE(SUBSTITUTE(SUBSTITUTE(SUBSTITUTE(TRIM(C208),".",""),"/",""),"-","")," ",""))))</f>
        <v/>
      </c>
      <c r="E208" s="25" t="str">
        <f aca="false">IF(D208="","",IFERROR(INDEX(Empresas!$C:$C,MATCH(D208,Empresas!$B:$B,0)),"cadastre o CNPJ em Empresas"))</f>
        <v/>
      </c>
      <c r="F208" s="23"/>
      <c r="G208" s="35"/>
      <c r="H208" s="24"/>
      <c r="I208" s="11"/>
      <c r="J208" s="27" t="str">
        <f aca="false">IF(A208="","",YEAR(A208))</f>
        <v/>
      </c>
      <c r="K208" s="24"/>
      <c r="L208" s="11"/>
    </row>
    <row r="209" customFormat="false" ht="15" hidden="false" customHeight="false" outlineLevel="0" collapsed="false">
      <c r="A209" s="22"/>
      <c r="B209" s="11"/>
      <c r="C209" s="24"/>
      <c r="D209" s="31" t="str">
        <f aca="false">IF(C209="","",IF(LEN(UPPER(SUBSTITUTE(SUBSTITUTE(SUBSTITUTE(SUBSTITUTE(TRIM(C209),".",""),"/",""),"-","")," ","")))&lt;14,RIGHT(REPT("0",14)&amp;UPPER(SUBSTITUTE(SUBSTITUTE(SUBSTITUTE(SUBSTITUTE(TRIM(C209),".",""),"/",""),"-","")," ","")),14),UPPER(SUBSTITUTE(SUBSTITUTE(SUBSTITUTE(SUBSTITUTE(TRIM(C209),".",""),"/",""),"-","")," ",""))))</f>
        <v/>
      </c>
      <c r="E209" s="25" t="str">
        <f aca="false">IF(D209="","",IFERROR(INDEX(Empresas!$C:$C,MATCH(D209,Empresas!$B:$B,0)),"cadastre o CNPJ em Empresas"))</f>
        <v/>
      </c>
      <c r="F209" s="23"/>
      <c r="G209" s="35"/>
      <c r="H209" s="24"/>
      <c r="I209" s="11"/>
      <c r="J209" s="27" t="str">
        <f aca="false">IF(A209="","",YEAR(A209))</f>
        <v/>
      </c>
      <c r="K209" s="24"/>
      <c r="L209" s="11"/>
    </row>
    <row r="210" customFormat="false" ht="15" hidden="false" customHeight="false" outlineLevel="0" collapsed="false">
      <c r="A210" s="22"/>
      <c r="B210" s="11"/>
      <c r="C210" s="24"/>
      <c r="D210" s="31" t="str">
        <f aca="false">IF(C210="","",IF(LEN(UPPER(SUBSTITUTE(SUBSTITUTE(SUBSTITUTE(SUBSTITUTE(TRIM(C210),".",""),"/",""),"-","")," ","")))&lt;14,RIGHT(REPT("0",14)&amp;UPPER(SUBSTITUTE(SUBSTITUTE(SUBSTITUTE(SUBSTITUTE(TRIM(C210),".",""),"/",""),"-","")," ","")),14),UPPER(SUBSTITUTE(SUBSTITUTE(SUBSTITUTE(SUBSTITUTE(TRIM(C210),".",""),"/",""),"-","")," ",""))))</f>
        <v/>
      </c>
      <c r="E210" s="25" t="str">
        <f aca="false">IF(D210="","",IFERROR(INDEX(Empresas!$C:$C,MATCH(D210,Empresas!$B:$B,0)),"cadastre o CNPJ em Empresas"))</f>
        <v/>
      </c>
      <c r="F210" s="23"/>
      <c r="G210" s="35"/>
      <c r="H210" s="24"/>
      <c r="I210" s="11"/>
      <c r="J210" s="27" t="str">
        <f aca="false">IF(A210="","",YEAR(A210))</f>
        <v/>
      </c>
      <c r="K210" s="24"/>
      <c r="L210" s="11"/>
    </row>
    <row r="211" customFormat="false" ht="15" hidden="false" customHeight="false" outlineLevel="0" collapsed="false">
      <c r="A211" s="22"/>
      <c r="B211" s="11"/>
      <c r="C211" s="24"/>
      <c r="D211" s="31" t="str">
        <f aca="false">IF(C211="","",IF(LEN(UPPER(SUBSTITUTE(SUBSTITUTE(SUBSTITUTE(SUBSTITUTE(TRIM(C211),".",""),"/",""),"-","")," ","")))&lt;14,RIGHT(REPT("0",14)&amp;UPPER(SUBSTITUTE(SUBSTITUTE(SUBSTITUTE(SUBSTITUTE(TRIM(C211),".",""),"/",""),"-","")," ","")),14),UPPER(SUBSTITUTE(SUBSTITUTE(SUBSTITUTE(SUBSTITUTE(TRIM(C211),".",""),"/",""),"-","")," ",""))))</f>
        <v/>
      </c>
      <c r="E211" s="25" t="str">
        <f aca="false">IF(D211="","",IFERROR(INDEX(Empresas!$C:$C,MATCH(D211,Empresas!$B:$B,0)),"cadastre o CNPJ em Empresas"))</f>
        <v/>
      </c>
      <c r="F211" s="23"/>
      <c r="G211" s="35"/>
      <c r="H211" s="24"/>
      <c r="I211" s="11"/>
      <c r="J211" s="27" t="str">
        <f aca="false">IF(A211="","",YEAR(A211))</f>
        <v/>
      </c>
      <c r="K211" s="24"/>
      <c r="L211" s="11"/>
    </row>
    <row r="212" customFormat="false" ht="15" hidden="false" customHeight="false" outlineLevel="0" collapsed="false">
      <c r="A212" s="22"/>
      <c r="B212" s="11"/>
      <c r="C212" s="24"/>
      <c r="D212" s="31" t="str">
        <f aca="false">IF(C212="","",IF(LEN(UPPER(SUBSTITUTE(SUBSTITUTE(SUBSTITUTE(SUBSTITUTE(TRIM(C212),".",""),"/",""),"-","")," ","")))&lt;14,RIGHT(REPT("0",14)&amp;UPPER(SUBSTITUTE(SUBSTITUTE(SUBSTITUTE(SUBSTITUTE(TRIM(C212),".",""),"/",""),"-","")," ","")),14),UPPER(SUBSTITUTE(SUBSTITUTE(SUBSTITUTE(SUBSTITUTE(TRIM(C212),".",""),"/",""),"-","")," ",""))))</f>
        <v/>
      </c>
      <c r="E212" s="25" t="str">
        <f aca="false">IF(D212="","",IFERROR(INDEX(Empresas!$C:$C,MATCH(D212,Empresas!$B:$B,0)),"cadastre o CNPJ em Empresas"))</f>
        <v/>
      </c>
      <c r="F212" s="23"/>
      <c r="G212" s="35"/>
      <c r="H212" s="24"/>
      <c r="I212" s="11"/>
      <c r="J212" s="27" t="str">
        <f aca="false">IF(A212="","",YEAR(A212))</f>
        <v/>
      </c>
      <c r="K212" s="24"/>
      <c r="L212" s="11"/>
    </row>
    <row r="213" customFormat="false" ht="15" hidden="false" customHeight="false" outlineLevel="0" collapsed="false">
      <c r="A213" s="22"/>
      <c r="B213" s="11"/>
      <c r="C213" s="24"/>
      <c r="D213" s="31" t="str">
        <f aca="false">IF(C213="","",IF(LEN(UPPER(SUBSTITUTE(SUBSTITUTE(SUBSTITUTE(SUBSTITUTE(TRIM(C213),".",""),"/",""),"-","")," ","")))&lt;14,RIGHT(REPT("0",14)&amp;UPPER(SUBSTITUTE(SUBSTITUTE(SUBSTITUTE(SUBSTITUTE(TRIM(C213),".",""),"/",""),"-","")," ","")),14),UPPER(SUBSTITUTE(SUBSTITUTE(SUBSTITUTE(SUBSTITUTE(TRIM(C213),".",""),"/",""),"-","")," ",""))))</f>
        <v/>
      </c>
      <c r="E213" s="25" t="str">
        <f aca="false">IF(D213="","",IFERROR(INDEX(Empresas!$C:$C,MATCH(D213,Empresas!$B:$B,0)),"cadastre o CNPJ em Empresas"))</f>
        <v/>
      </c>
      <c r="F213" s="23"/>
      <c r="G213" s="35"/>
      <c r="H213" s="24"/>
      <c r="I213" s="11"/>
      <c r="J213" s="27" t="str">
        <f aca="false">IF(A213="","",YEAR(A213))</f>
        <v/>
      </c>
      <c r="K213" s="24"/>
      <c r="L213" s="11"/>
    </row>
    <row r="214" customFormat="false" ht="15" hidden="false" customHeight="false" outlineLevel="0" collapsed="false">
      <c r="A214" s="22"/>
      <c r="B214" s="11"/>
      <c r="C214" s="24"/>
      <c r="D214" s="31" t="str">
        <f aca="false">IF(C214="","",IF(LEN(UPPER(SUBSTITUTE(SUBSTITUTE(SUBSTITUTE(SUBSTITUTE(TRIM(C214),".",""),"/",""),"-","")," ","")))&lt;14,RIGHT(REPT("0",14)&amp;UPPER(SUBSTITUTE(SUBSTITUTE(SUBSTITUTE(SUBSTITUTE(TRIM(C214),".",""),"/",""),"-","")," ","")),14),UPPER(SUBSTITUTE(SUBSTITUTE(SUBSTITUTE(SUBSTITUTE(TRIM(C214),".",""),"/",""),"-","")," ",""))))</f>
        <v/>
      </c>
      <c r="E214" s="25" t="str">
        <f aca="false">IF(D214="","",IFERROR(INDEX(Empresas!$C:$C,MATCH(D214,Empresas!$B:$B,0)),"cadastre o CNPJ em Empresas"))</f>
        <v/>
      </c>
      <c r="F214" s="23"/>
      <c r="G214" s="35"/>
      <c r="H214" s="24"/>
      <c r="I214" s="11"/>
      <c r="J214" s="27" t="str">
        <f aca="false">IF(A214="","",YEAR(A214))</f>
        <v/>
      </c>
      <c r="K214" s="24"/>
      <c r="L214" s="11"/>
    </row>
    <row r="215" customFormat="false" ht="15" hidden="false" customHeight="false" outlineLevel="0" collapsed="false">
      <c r="A215" s="22"/>
      <c r="B215" s="11"/>
      <c r="C215" s="24"/>
      <c r="D215" s="31" t="str">
        <f aca="false">IF(C215="","",IF(LEN(UPPER(SUBSTITUTE(SUBSTITUTE(SUBSTITUTE(SUBSTITUTE(TRIM(C215),".",""),"/",""),"-","")," ","")))&lt;14,RIGHT(REPT("0",14)&amp;UPPER(SUBSTITUTE(SUBSTITUTE(SUBSTITUTE(SUBSTITUTE(TRIM(C215),".",""),"/",""),"-","")," ","")),14),UPPER(SUBSTITUTE(SUBSTITUTE(SUBSTITUTE(SUBSTITUTE(TRIM(C215),".",""),"/",""),"-","")," ",""))))</f>
        <v/>
      </c>
      <c r="E215" s="25" t="str">
        <f aca="false">IF(D215="","",IFERROR(INDEX(Empresas!$C:$C,MATCH(D215,Empresas!$B:$B,0)),"cadastre o CNPJ em Empresas"))</f>
        <v/>
      </c>
      <c r="F215" s="23"/>
      <c r="G215" s="35"/>
      <c r="H215" s="24"/>
      <c r="I215" s="11"/>
      <c r="J215" s="27" t="str">
        <f aca="false">IF(A215="","",YEAR(A215))</f>
        <v/>
      </c>
      <c r="K215" s="24"/>
      <c r="L215" s="11"/>
    </row>
    <row r="216" customFormat="false" ht="15" hidden="false" customHeight="false" outlineLevel="0" collapsed="false">
      <c r="A216" s="22"/>
      <c r="B216" s="11"/>
      <c r="C216" s="24"/>
      <c r="D216" s="31" t="str">
        <f aca="false">IF(C216="","",IF(LEN(UPPER(SUBSTITUTE(SUBSTITUTE(SUBSTITUTE(SUBSTITUTE(TRIM(C216),".",""),"/",""),"-","")," ","")))&lt;14,RIGHT(REPT("0",14)&amp;UPPER(SUBSTITUTE(SUBSTITUTE(SUBSTITUTE(SUBSTITUTE(TRIM(C216),".",""),"/",""),"-","")," ","")),14),UPPER(SUBSTITUTE(SUBSTITUTE(SUBSTITUTE(SUBSTITUTE(TRIM(C216),".",""),"/",""),"-","")," ",""))))</f>
        <v/>
      </c>
      <c r="E216" s="25" t="str">
        <f aca="false">IF(D216="","",IFERROR(INDEX(Empresas!$C:$C,MATCH(D216,Empresas!$B:$B,0)),"cadastre o CNPJ em Empresas"))</f>
        <v/>
      </c>
      <c r="F216" s="23"/>
      <c r="G216" s="35"/>
      <c r="H216" s="24"/>
      <c r="I216" s="11"/>
      <c r="J216" s="27" t="str">
        <f aca="false">IF(A216="","",YEAR(A216))</f>
        <v/>
      </c>
      <c r="K216" s="24"/>
      <c r="L216" s="11"/>
    </row>
    <row r="217" customFormat="false" ht="15" hidden="false" customHeight="false" outlineLevel="0" collapsed="false">
      <c r="A217" s="22"/>
      <c r="B217" s="11"/>
      <c r="C217" s="24"/>
      <c r="D217" s="31" t="str">
        <f aca="false">IF(C217="","",IF(LEN(UPPER(SUBSTITUTE(SUBSTITUTE(SUBSTITUTE(SUBSTITUTE(TRIM(C217),".",""),"/",""),"-","")," ","")))&lt;14,RIGHT(REPT("0",14)&amp;UPPER(SUBSTITUTE(SUBSTITUTE(SUBSTITUTE(SUBSTITUTE(TRIM(C217),".",""),"/",""),"-","")," ","")),14),UPPER(SUBSTITUTE(SUBSTITUTE(SUBSTITUTE(SUBSTITUTE(TRIM(C217),".",""),"/",""),"-","")," ",""))))</f>
        <v/>
      </c>
      <c r="E217" s="25" t="str">
        <f aca="false">IF(D217="","",IFERROR(INDEX(Empresas!$C:$C,MATCH(D217,Empresas!$B:$B,0)),"cadastre o CNPJ em Empresas"))</f>
        <v/>
      </c>
      <c r="F217" s="23"/>
      <c r="G217" s="35"/>
      <c r="H217" s="24"/>
      <c r="I217" s="11"/>
      <c r="J217" s="27" t="str">
        <f aca="false">IF(A217="","",YEAR(A217))</f>
        <v/>
      </c>
      <c r="K217" s="24"/>
      <c r="L217" s="11"/>
    </row>
    <row r="218" customFormat="false" ht="15" hidden="false" customHeight="false" outlineLevel="0" collapsed="false">
      <c r="A218" s="22"/>
      <c r="B218" s="11"/>
      <c r="C218" s="24"/>
      <c r="D218" s="31" t="str">
        <f aca="false">IF(C218="","",IF(LEN(UPPER(SUBSTITUTE(SUBSTITUTE(SUBSTITUTE(SUBSTITUTE(TRIM(C218),".",""),"/",""),"-","")," ","")))&lt;14,RIGHT(REPT("0",14)&amp;UPPER(SUBSTITUTE(SUBSTITUTE(SUBSTITUTE(SUBSTITUTE(TRIM(C218),".",""),"/",""),"-","")," ","")),14),UPPER(SUBSTITUTE(SUBSTITUTE(SUBSTITUTE(SUBSTITUTE(TRIM(C218),".",""),"/",""),"-","")," ",""))))</f>
        <v/>
      </c>
      <c r="E218" s="25" t="str">
        <f aca="false">IF(D218="","",IFERROR(INDEX(Empresas!$C:$C,MATCH(D218,Empresas!$B:$B,0)),"cadastre o CNPJ em Empresas"))</f>
        <v/>
      </c>
      <c r="F218" s="23"/>
      <c r="G218" s="35"/>
      <c r="H218" s="24"/>
      <c r="I218" s="11"/>
      <c r="J218" s="27" t="str">
        <f aca="false">IF(A218="","",YEAR(A218))</f>
        <v/>
      </c>
      <c r="K218" s="24"/>
      <c r="L218" s="11"/>
    </row>
    <row r="219" customFormat="false" ht="15" hidden="false" customHeight="false" outlineLevel="0" collapsed="false">
      <c r="A219" s="22"/>
      <c r="B219" s="11"/>
      <c r="C219" s="24"/>
      <c r="D219" s="31" t="str">
        <f aca="false">IF(C219="","",IF(LEN(UPPER(SUBSTITUTE(SUBSTITUTE(SUBSTITUTE(SUBSTITUTE(TRIM(C219),".",""),"/",""),"-","")," ","")))&lt;14,RIGHT(REPT("0",14)&amp;UPPER(SUBSTITUTE(SUBSTITUTE(SUBSTITUTE(SUBSTITUTE(TRIM(C219),".",""),"/",""),"-","")," ","")),14),UPPER(SUBSTITUTE(SUBSTITUTE(SUBSTITUTE(SUBSTITUTE(TRIM(C219),".",""),"/",""),"-","")," ",""))))</f>
        <v/>
      </c>
      <c r="E219" s="25" t="str">
        <f aca="false">IF(D219="","",IFERROR(INDEX(Empresas!$C:$C,MATCH(D219,Empresas!$B:$B,0)),"cadastre o CNPJ em Empresas"))</f>
        <v/>
      </c>
      <c r="F219" s="23"/>
      <c r="G219" s="35"/>
      <c r="H219" s="24"/>
      <c r="I219" s="11"/>
      <c r="J219" s="27" t="str">
        <f aca="false">IF(A219="","",YEAR(A219))</f>
        <v/>
      </c>
      <c r="K219" s="24"/>
      <c r="L219" s="11"/>
    </row>
    <row r="220" customFormat="false" ht="15" hidden="false" customHeight="false" outlineLevel="0" collapsed="false">
      <c r="A220" s="22"/>
      <c r="B220" s="11"/>
      <c r="C220" s="24"/>
      <c r="D220" s="31" t="str">
        <f aca="false">IF(C220="","",IF(LEN(UPPER(SUBSTITUTE(SUBSTITUTE(SUBSTITUTE(SUBSTITUTE(TRIM(C220),".",""),"/",""),"-","")," ","")))&lt;14,RIGHT(REPT("0",14)&amp;UPPER(SUBSTITUTE(SUBSTITUTE(SUBSTITUTE(SUBSTITUTE(TRIM(C220),".",""),"/",""),"-","")," ","")),14),UPPER(SUBSTITUTE(SUBSTITUTE(SUBSTITUTE(SUBSTITUTE(TRIM(C220),".",""),"/",""),"-","")," ",""))))</f>
        <v/>
      </c>
      <c r="E220" s="25" t="str">
        <f aca="false">IF(D220="","",IFERROR(INDEX(Empresas!$C:$C,MATCH(D220,Empresas!$B:$B,0)),"cadastre o CNPJ em Empresas"))</f>
        <v/>
      </c>
      <c r="F220" s="23"/>
      <c r="G220" s="35"/>
      <c r="H220" s="24"/>
      <c r="I220" s="11"/>
      <c r="J220" s="27" t="str">
        <f aca="false">IF(A220="","",YEAR(A220))</f>
        <v/>
      </c>
      <c r="K220" s="24"/>
      <c r="L220" s="11"/>
    </row>
    <row r="221" customFormat="false" ht="15" hidden="false" customHeight="false" outlineLevel="0" collapsed="false">
      <c r="A221" s="22"/>
      <c r="B221" s="11"/>
      <c r="C221" s="24"/>
      <c r="D221" s="31" t="str">
        <f aca="false">IF(C221="","",IF(LEN(UPPER(SUBSTITUTE(SUBSTITUTE(SUBSTITUTE(SUBSTITUTE(TRIM(C221),".",""),"/",""),"-","")," ","")))&lt;14,RIGHT(REPT("0",14)&amp;UPPER(SUBSTITUTE(SUBSTITUTE(SUBSTITUTE(SUBSTITUTE(TRIM(C221),".",""),"/",""),"-","")," ","")),14),UPPER(SUBSTITUTE(SUBSTITUTE(SUBSTITUTE(SUBSTITUTE(TRIM(C221),".",""),"/",""),"-","")," ",""))))</f>
        <v/>
      </c>
      <c r="E221" s="25" t="str">
        <f aca="false">IF(D221="","",IFERROR(INDEX(Empresas!$C:$C,MATCH(D221,Empresas!$B:$B,0)),"cadastre o CNPJ em Empresas"))</f>
        <v/>
      </c>
      <c r="F221" s="23"/>
      <c r="G221" s="35"/>
      <c r="H221" s="24"/>
      <c r="I221" s="11"/>
      <c r="J221" s="27" t="str">
        <f aca="false">IF(A221="","",YEAR(A221))</f>
        <v/>
      </c>
      <c r="K221" s="24"/>
      <c r="L221" s="11"/>
    </row>
    <row r="222" customFormat="false" ht="15" hidden="false" customHeight="false" outlineLevel="0" collapsed="false">
      <c r="A222" s="22"/>
      <c r="B222" s="11"/>
      <c r="C222" s="24"/>
      <c r="D222" s="31" t="str">
        <f aca="false">IF(C222="","",IF(LEN(UPPER(SUBSTITUTE(SUBSTITUTE(SUBSTITUTE(SUBSTITUTE(TRIM(C222),".",""),"/",""),"-","")," ","")))&lt;14,RIGHT(REPT("0",14)&amp;UPPER(SUBSTITUTE(SUBSTITUTE(SUBSTITUTE(SUBSTITUTE(TRIM(C222),".",""),"/",""),"-","")," ","")),14),UPPER(SUBSTITUTE(SUBSTITUTE(SUBSTITUTE(SUBSTITUTE(TRIM(C222),".",""),"/",""),"-","")," ",""))))</f>
        <v/>
      </c>
      <c r="E222" s="25" t="str">
        <f aca="false">IF(D222="","",IFERROR(INDEX(Empresas!$C:$C,MATCH(D222,Empresas!$B:$B,0)),"cadastre o CNPJ em Empresas"))</f>
        <v/>
      </c>
      <c r="F222" s="23"/>
      <c r="G222" s="35"/>
      <c r="H222" s="24"/>
      <c r="I222" s="11"/>
      <c r="J222" s="27" t="str">
        <f aca="false">IF(A222="","",YEAR(A222))</f>
        <v/>
      </c>
      <c r="K222" s="24"/>
      <c r="L222" s="11"/>
    </row>
    <row r="223" customFormat="false" ht="15" hidden="false" customHeight="false" outlineLevel="0" collapsed="false">
      <c r="A223" s="22"/>
      <c r="B223" s="11"/>
      <c r="C223" s="24"/>
      <c r="D223" s="31" t="str">
        <f aca="false">IF(C223="","",IF(LEN(UPPER(SUBSTITUTE(SUBSTITUTE(SUBSTITUTE(SUBSTITUTE(TRIM(C223),".",""),"/",""),"-","")," ","")))&lt;14,RIGHT(REPT("0",14)&amp;UPPER(SUBSTITUTE(SUBSTITUTE(SUBSTITUTE(SUBSTITUTE(TRIM(C223),".",""),"/",""),"-","")," ","")),14),UPPER(SUBSTITUTE(SUBSTITUTE(SUBSTITUTE(SUBSTITUTE(TRIM(C223),".",""),"/",""),"-","")," ",""))))</f>
        <v/>
      </c>
      <c r="E223" s="25" t="str">
        <f aca="false">IF(D223="","",IFERROR(INDEX(Empresas!$C:$C,MATCH(D223,Empresas!$B:$B,0)),"cadastre o CNPJ em Empresas"))</f>
        <v/>
      </c>
      <c r="F223" s="23"/>
      <c r="G223" s="35"/>
      <c r="H223" s="24"/>
      <c r="I223" s="11"/>
      <c r="J223" s="27" t="str">
        <f aca="false">IF(A223="","",YEAR(A223))</f>
        <v/>
      </c>
      <c r="K223" s="24"/>
      <c r="L223" s="11"/>
    </row>
    <row r="224" customFormat="false" ht="15" hidden="false" customHeight="false" outlineLevel="0" collapsed="false">
      <c r="A224" s="22"/>
      <c r="B224" s="11"/>
      <c r="C224" s="24"/>
      <c r="D224" s="31" t="str">
        <f aca="false">IF(C224="","",IF(LEN(UPPER(SUBSTITUTE(SUBSTITUTE(SUBSTITUTE(SUBSTITUTE(TRIM(C224),".",""),"/",""),"-","")," ","")))&lt;14,RIGHT(REPT("0",14)&amp;UPPER(SUBSTITUTE(SUBSTITUTE(SUBSTITUTE(SUBSTITUTE(TRIM(C224),".",""),"/",""),"-","")," ","")),14),UPPER(SUBSTITUTE(SUBSTITUTE(SUBSTITUTE(SUBSTITUTE(TRIM(C224),".",""),"/",""),"-","")," ",""))))</f>
        <v/>
      </c>
      <c r="E224" s="25" t="str">
        <f aca="false">IF(D224="","",IFERROR(INDEX(Empresas!$C:$C,MATCH(D224,Empresas!$B:$B,0)),"cadastre o CNPJ em Empresas"))</f>
        <v/>
      </c>
      <c r="F224" s="23"/>
      <c r="G224" s="35"/>
      <c r="H224" s="24"/>
      <c r="I224" s="11"/>
      <c r="J224" s="27" t="str">
        <f aca="false">IF(A224="","",YEAR(A224))</f>
        <v/>
      </c>
      <c r="K224" s="24"/>
      <c r="L224" s="11"/>
    </row>
    <row r="225" customFormat="false" ht="15" hidden="false" customHeight="false" outlineLevel="0" collapsed="false">
      <c r="A225" s="22"/>
      <c r="B225" s="11"/>
      <c r="C225" s="24"/>
      <c r="D225" s="31" t="str">
        <f aca="false">IF(C225="","",IF(LEN(UPPER(SUBSTITUTE(SUBSTITUTE(SUBSTITUTE(SUBSTITUTE(TRIM(C225),".",""),"/",""),"-","")," ","")))&lt;14,RIGHT(REPT("0",14)&amp;UPPER(SUBSTITUTE(SUBSTITUTE(SUBSTITUTE(SUBSTITUTE(TRIM(C225),".",""),"/",""),"-","")," ","")),14),UPPER(SUBSTITUTE(SUBSTITUTE(SUBSTITUTE(SUBSTITUTE(TRIM(C225),".",""),"/",""),"-","")," ",""))))</f>
        <v/>
      </c>
      <c r="E225" s="25" t="str">
        <f aca="false">IF(D225="","",IFERROR(INDEX(Empresas!$C:$C,MATCH(D225,Empresas!$B:$B,0)),"cadastre o CNPJ em Empresas"))</f>
        <v/>
      </c>
      <c r="F225" s="23"/>
      <c r="G225" s="35"/>
      <c r="H225" s="24"/>
      <c r="I225" s="11"/>
      <c r="J225" s="27" t="str">
        <f aca="false">IF(A225="","",YEAR(A225))</f>
        <v/>
      </c>
      <c r="K225" s="24"/>
      <c r="L225" s="11"/>
    </row>
    <row r="226" customFormat="false" ht="15" hidden="false" customHeight="false" outlineLevel="0" collapsed="false">
      <c r="A226" s="22"/>
      <c r="B226" s="11"/>
      <c r="C226" s="24"/>
      <c r="D226" s="31" t="str">
        <f aca="false">IF(C226="","",IF(LEN(UPPER(SUBSTITUTE(SUBSTITUTE(SUBSTITUTE(SUBSTITUTE(TRIM(C226),".",""),"/",""),"-","")," ","")))&lt;14,RIGHT(REPT("0",14)&amp;UPPER(SUBSTITUTE(SUBSTITUTE(SUBSTITUTE(SUBSTITUTE(TRIM(C226),".",""),"/",""),"-","")," ","")),14),UPPER(SUBSTITUTE(SUBSTITUTE(SUBSTITUTE(SUBSTITUTE(TRIM(C226),".",""),"/",""),"-","")," ",""))))</f>
        <v/>
      </c>
      <c r="E226" s="25" t="str">
        <f aca="false">IF(D226="","",IFERROR(INDEX(Empresas!$C:$C,MATCH(D226,Empresas!$B:$B,0)),"cadastre o CNPJ em Empresas"))</f>
        <v/>
      </c>
      <c r="F226" s="23"/>
      <c r="G226" s="35"/>
      <c r="H226" s="24"/>
      <c r="I226" s="11"/>
      <c r="J226" s="27" t="str">
        <f aca="false">IF(A226="","",YEAR(A226))</f>
        <v/>
      </c>
      <c r="K226" s="24"/>
      <c r="L226" s="11"/>
    </row>
    <row r="227" customFormat="false" ht="15" hidden="false" customHeight="false" outlineLevel="0" collapsed="false">
      <c r="A227" s="22"/>
      <c r="B227" s="11"/>
      <c r="C227" s="24"/>
      <c r="D227" s="31" t="str">
        <f aca="false">IF(C227="","",IF(LEN(UPPER(SUBSTITUTE(SUBSTITUTE(SUBSTITUTE(SUBSTITUTE(TRIM(C227),".",""),"/",""),"-","")," ","")))&lt;14,RIGHT(REPT("0",14)&amp;UPPER(SUBSTITUTE(SUBSTITUTE(SUBSTITUTE(SUBSTITUTE(TRIM(C227),".",""),"/",""),"-","")," ","")),14),UPPER(SUBSTITUTE(SUBSTITUTE(SUBSTITUTE(SUBSTITUTE(TRIM(C227),".",""),"/",""),"-","")," ",""))))</f>
        <v/>
      </c>
      <c r="E227" s="25" t="str">
        <f aca="false">IF(D227="","",IFERROR(INDEX(Empresas!$C:$C,MATCH(D227,Empresas!$B:$B,0)),"cadastre o CNPJ em Empresas"))</f>
        <v/>
      </c>
      <c r="F227" s="23"/>
      <c r="G227" s="35"/>
      <c r="H227" s="24"/>
      <c r="I227" s="11"/>
      <c r="J227" s="27" t="str">
        <f aca="false">IF(A227="","",YEAR(A227))</f>
        <v/>
      </c>
      <c r="K227" s="24"/>
      <c r="L227" s="11"/>
    </row>
    <row r="228" customFormat="false" ht="15" hidden="false" customHeight="false" outlineLevel="0" collapsed="false">
      <c r="A228" s="22"/>
      <c r="B228" s="11"/>
      <c r="C228" s="24"/>
      <c r="D228" s="31" t="str">
        <f aca="false">IF(C228="","",IF(LEN(UPPER(SUBSTITUTE(SUBSTITUTE(SUBSTITUTE(SUBSTITUTE(TRIM(C228),".",""),"/",""),"-","")," ","")))&lt;14,RIGHT(REPT("0",14)&amp;UPPER(SUBSTITUTE(SUBSTITUTE(SUBSTITUTE(SUBSTITUTE(TRIM(C228),".",""),"/",""),"-","")," ","")),14),UPPER(SUBSTITUTE(SUBSTITUTE(SUBSTITUTE(SUBSTITUTE(TRIM(C228),".",""),"/",""),"-","")," ",""))))</f>
        <v/>
      </c>
      <c r="E228" s="25" t="str">
        <f aca="false">IF(D228="","",IFERROR(INDEX(Empresas!$C:$C,MATCH(D228,Empresas!$B:$B,0)),"cadastre o CNPJ em Empresas"))</f>
        <v/>
      </c>
      <c r="F228" s="23"/>
      <c r="G228" s="35"/>
      <c r="H228" s="24"/>
      <c r="I228" s="11"/>
      <c r="J228" s="27" t="str">
        <f aca="false">IF(A228="","",YEAR(A228))</f>
        <v/>
      </c>
      <c r="K228" s="24"/>
      <c r="L228" s="11"/>
    </row>
    <row r="229" customFormat="false" ht="15" hidden="false" customHeight="false" outlineLevel="0" collapsed="false">
      <c r="A229" s="22"/>
      <c r="B229" s="11"/>
      <c r="C229" s="24"/>
      <c r="D229" s="31" t="str">
        <f aca="false">IF(C229="","",IF(LEN(UPPER(SUBSTITUTE(SUBSTITUTE(SUBSTITUTE(SUBSTITUTE(TRIM(C229),".",""),"/",""),"-","")," ","")))&lt;14,RIGHT(REPT("0",14)&amp;UPPER(SUBSTITUTE(SUBSTITUTE(SUBSTITUTE(SUBSTITUTE(TRIM(C229),".",""),"/",""),"-","")," ","")),14),UPPER(SUBSTITUTE(SUBSTITUTE(SUBSTITUTE(SUBSTITUTE(TRIM(C229),".",""),"/",""),"-","")," ",""))))</f>
        <v/>
      </c>
      <c r="E229" s="25" t="str">
        <f aca="false">IF(D229="","",IFERROR(INDEX(Empresas!$C:$C,MATCH(D229,Empresas!$B:$B,0)),"cadastre o CNPJ em Empresas"))</f>
        <v/>
      </c>
      <c r="F229" s="23"/>
      <c r="G229" s="35"/>
      <c r="H229" s="24"/>
      <c r="I229" s="11"/>
      <c r="J229" s="27" t="str">
        <f aca="false">IF(A229="","",YEAR(A229))</f>
        <v/>
      </c>
      <c r="K229" s="24"/>
      <c r="L229" s="11"/>
    </row>
    <row r="230" customFormat="false" ht="15" hidden="false" customHeight="false" outlineLevel="0" collapsed="false">
      <c r="A230" s="22"/>
      <c r="B230" s="11"/>
      <c r="C230" s="24"/>
      <c r="D230" s="31" t="str">
        <f aca="false">IF(C230="","",IF(LEN(UPPER(SUBSTITUTE(SUBSTITUTE(SUBSTITUTE(SUBSTITUTE(TRIM(C230),".",""),"/",""),"-","")," ","")))&lt;14,RIGHT(REPT("0",14)&amp;UPPER(SUBSTITUTE(SUBSTITUTE(SUBSTITUTE(SUBSTITUTE(TRIM(C230),".",""),"/",""),"-","")," ","")),14),UPPER(SUBSTITUTE(SUBSTITUTE(SUBSTITUTE(SUBSTITUTE(TRIM(C230),".",""),"/",""),"-","")," ",""))))</f>
        <v/>
      </c>
      <c r="E230" s="25" t="str">
        <f aca="false">IF(D230="","",IFERROR(INDEX(Empresas!$C:$C,MATCH(D230,Empresas!$B:$B,0)),"cadastre o CNPJ em Empresas"))</f>
        <v/>
      </c>
      <c r="F230" s="23"/>
      <c r="G230" s="35"/>
      <c r="H230" s="24"/>
      <c r="I230" s="11"/>
      <c r="J230" s="27" t="str">
        <f aca="false">IF(A230="","",YEAR(A230))</f>
        <v/>
      </c>
      <c r="K230" s="24"/>
      <c r="L230" s="11"/>
    </row>
    <row r="231" customFormat="false" ht="15" hidden="false" customHeight="false" outlineLevel="0" collapsed="false">
      <c r="A231" s="22"/>
      <c r="B231" s="11"/>
      <c r="C231" s="24"/>
      <c r="D231" s="31" t="str">
        <f aca="false">IF(C231="","",IF(LEN(UPPER(SUBSTITUTE(SUBSTITUTE(SUBSTITUTE(SUBSTITUTE(TRIM(C231),".",""),"/",""),"-","")," ","")))&lt;14,RIGHT(REPT("0",14)&amp;UPPER(SUBSTITUTE(SUBSTITUTE(SUBSTITUTE(SUBSTITUTE(TRIM(C231),".",""),"/",""),"-","")," ","")),14),UPPER(SUBSTITUTE(SUBSTITUTE(SUBSTITUTE(SUBSTITUTE(TRIM(C231),".",""),"/",""),"-","")," ",""))))</f>
        <v/>
      </c>
      <c r="E231" s="25" t="str">
        <f aca="false">IF(D231="","",IFERROR(INDEX(Empresas!$C:$C,MATCH(D231,Empresas!$B:$B,0)),"cadastre o CNPJ em Empresas"))</f>
        <v/>
      </c>
      <c r="F231" s="23"/>
      <c r="G231" s="35"/>
      <c r="H231" s="24"/>
      <c r="I231" s="11"/>
      <c r="J231" s="27" t="str">
        <f aca="false">IF(A231="","",YEAR(A231))</f>
        <v/>
      </c>
      <c r="K231" s="24"/>
      <c r="L231" s="11"/>
    </row>
    <row r="232" customFormat="false" ht="15" hidden="false" customHeight="false" outlineLevel="0" collapsed="false">
      <c r="A232" s="22"/>
      <c r="B232" s="11"/>
      <c r="C232" s="24"/>
      <c r="D232" s="31" t="str">
        <f aca="false">IF(C232="","",IF(LEN(UPPER(SUBSTITUTE(SUBSTITUTE(SUBSTITUTE(SUBSTITUTE(TRIM(C232),".",""),"/",""),"-","")," ","")))&lt;14,RIGHT(REPT("0",14)&amp;UPPER(SUBSTITUTE(SUBSTITUTE(SUBSTITUTE(SUBSTITUTE(TRIM(C232),".",""),"/",""),"-","")," ","")),14),UPPER(SUBSTITUTE(SUBSTITUTE(SUBSTITUTE(SUBSTITUTE(TRIM(C232),".",""),"/",""),"-","")," ",""))))</f>
        <v/>
      </c>
      <c r="E232" s="25" t="str">
        <f aca="false">IF(D232="","",IFERROR(INDEX(Empresas!$C:$C,MATCH(D232,Empresas!$B:$B,0)),"cadastre o CNPJ em Empresas"))</f>
        <v/>
      </c>
      <c r="F232" s="23"/>
      <c r="G232" s="35"/>
      <c r="H232" s="24"/>
      <c r="I232" s="11"/>
      <c r="J232" s="27" t="str">
        <f aca="false">IF(A232="","",YEAR(A232))</f>
        <v/>
      </c>
      <c r="K232" s="24"/>
      <c r="L232" s="11"/>
    </row>
    <row r="233" customFormat="false" ht="15" hidden="false" customHeight="false" outlineLevel="0" collapsed="false">
      <c r="A233" s="22"/>
      <c r="B233" s="11"/>
      <c r="C233" s="24"/>
      <c r="D233" s="31" t="str">
        <f aca="false">IF(C233="","",IF(LEN(UPPER(SUBSTITUTE(SUBSTITUTE(SUBSTITUTE(SUBSTITUTE(TRIM(C233),".",""),"/",""),"-","")," ","")))&lt;14,RIGHT(REPT("0",14)&amp;UPPER(SUBSTITUTE(SUBSTITUTE(SUBSTITUTE(SUBSTITUTE(TRIM(C233),".",""),"/",""),"-","")," ","")),14),UPPER(SUBSTITUTE(SUBSTITUTE(SUBSTITUTE(SUBSTITUTE(TRIM(C233),".",""),"/",""),"-","")," ",""))))</f>
        <v/>
      </c>
      <c r="E233" s="25" t="str">
        <f aca="false">IF(D233="","",IFERROR(INDEX(Empresas!$C:$C,MATCH(D233,Empresas!$B:$B,0)),"cadastre o CNPJ em Empresas"))</f>
        <v/>
      </c>
      <c r="F233" s="23"/>
      <c r="G233" s="35"/>
      <c r="H233" s="24"/>
      <c r="I233" s="11"/>
      <c r="J233" s="27" t="str">
        <f aca="false">IF(A233="","",YEAR(A233))</f>
        <v/>
      </c>
      <c r="K233" s="24"/>
      <c r="L233" s="11"/>
    </row>
    <row r="234" customFormat="false" ht="15" hidden="false" customHeight="false" outlineLevel="0" collapsed="false">
      <c r="A234" s="22"/>
      <c r="B234" s="11"/>
      <c r="C234" s="24"/>
      <c r="D234" s="31" t="str">
        <f aca="false">IF(C234="","",IF(LEN(UPPER(SUBSTITUTE(SUBSTITUTE(SUBSTITUTE(SUBSTITUTE(TRIM(C234),".",""),"/",""),"-","")," ","")))&lt;14,RIGHT(REPT("0",14)&amp;UPPER(SUBSTITUTE(SUBSTITUTE(SUBSTITUTE(SUBSTITUTE(TRIM(C234),".",""),"/",""),"-","")," ","")),14),UPPER(SUBSTITUTE(SUBSTITUTE(SUBSTITUTE(SUBSTITUTE(TRIM(C234),".",""),"/",""),"-","")," ",""))))</f>
        <v/>
      </c>
      <c r="E234" s="25" t="str">
        <f aca="false">IF(D234="","",IFERROR(INDEX(Empresas!$C:$C,MATCH(D234,Empresas!$B:$B,0)),"cadastre o CNPJ em Empresas"))</f>
        <v/>
      </c>
      <c r="F234" s="23"/>
      <c r="G234" s="35"/>
      <c r="H234" s="24"/>
      <c r="I234" s="11"/>
      <c r="J234" s="27" t="str">
        <f aca="false">IF(A234="","",YEAR(A234))</f>
        <v/>
      </c>
      <c r="K234" s="24"/>
      <c r="L234" s="11"/>
    </row>
    <row r="235" customFormat="false" ht="15" hidden="false" customHeight="false" outlineLevel="0" collapsed="false">
      <c r="A235" s="22"/>
      <c r="B235" s="11"/>
      <c r="C235" s="24"/>
      <c r="D235" s="31" t="str">
        <f aca="false">IF(C235="","",IF(LEN(UPPER(SUBSTITUTE(SUBSTITUTE(SUBSTITUTE(SUBSTITUTE(TRIM(C235),".",""),"/",""),"-","")," ","")))&lt;14,RIGHT(REPT("0",14)&amp;UPPER(SUBSTITUTE(SUBSTITUTE(SUBSTITUTE(SUBSTITUTE(TRIM(C235),".",""),"/",""),"-","")," ","")),14),UPPER(SUBSTITUTE(SUBSTITUTE(SUBSTITUTE(SUBSTITUTE(TRIM(C235),".",""),"/",""),"-","")," ",""))))</f>
        <v/>
      </c>
      <c r="E235" s="25" t="str">
        <f aca="false">IF(D235="","",IFERROR(INDEX(Empresas!$C:$C,MATCH(D235,Empresas!$B:$B,0)),"cadastre o CNPJ em Empresas"))</f>
        <v/>
      </c>
      <c r="F235" s="23"/>
      <c r="G235" s="35"/>
      <c r="H235" s="24"/>
      <c r="I235" s="11"/>
      <c r="J235" s="27" t="str">
        <f aca="false">IF(A235="","",YEAR(A235))</f>
        <v/>
      </c>
      <c r="K235" s="24"/>
      <c r="L235" s="11"/>
    </row>
    <row r="236" customFormat="false" ht="15" hidden="false" customHeight="false" outlineLevel="0" collapsed="false">
      <c r="A236" s="22"/>
      <c r="B236" s="11"/>
      <c r="C236" s="24"/>
      <c r="D236" s="31" t="str">
        <f aca="false">IF(C236="","",IF(LEN(UPPER(SUBSTITUTE(SUBSTITUTE(SUBSTITUTE(SUBSTITUTE(TRIM(C236),".",""),"/",""),"-","")," ","")))&lt;14,RIGHT(REPT("0",14)&amp;UPPER(SUBSTITUTE(SUBSTITUTE(SUBSTITUTE(SUBSTITUTE(TRIM(C236),".",""),"/",""),"-","")," ","")),14),UPPER(SUBSTITUTE(SUBSTITUTE(SUBSTITUTE(SUBSTITUTE(TRIM(C236),".",""),"/",""),"-","")," ",""))))</f>
        <v/>
      </c>
      <c r="E236" s="25" t="str">
        <f aca="false">IF(D236="","",IFERROR(INDEX(Empresas!$C:$C,MATCH(D236,Empresas!$B:$B,0)),"cadastre o CNPJ em Empresas"))</f>
        <v/>
      </c>
      <c r="F236" s="23"/>
      <c r="G236" s="35"/>
      <c r="H236" s="24"/>
      <c r="I236" s="11"/>
      <c r="J236" s="27" t="str">
        <f aca="false">IF(A236="","",YEAR(A236))</f>
        <v/>
      </c>
      <c r="K236" s="24"/>
      <c r="L236" s="11"/>
    </row>
    <row r="237" customFormat="false" ht="15" hidden="false" customHeight="false" outlineLevel="0" collapsed="false">
      <c r="A237" s="22"/>
      <c r="B237" s="11"/>
      <c r="C237" s="24"/>
      <c r="D237" s="31" t="str">
        <f aca="false">IF(C237="","",IF(LEN(UPPER(SUBSTITUTE(SUBSTITUTE(SUBSTITUTE(SUBSTITUTE(TRIM(C237),".",""),"/",""),"-","")," ","")))&lt;14,RIGHT(REPT("0",14)&amp;UPPER(SUBSTITUTE(SUBSTITUTE(SUBSTITUTE(SUBSTITUTE(TRIM(C237),".",""),"/",""),"-","")," ","")),14),UPPER(SUBSTITUTE(SUBSTITUTE(SUBSTITUTE(SUBSTITUTE(TRIM(C237),".",""),"/",""),"-","")," ",""))))</f>
        <v/>
      </c>
      <c r="E237" s="25" t="str">
        <f aca="false">IF(D237="","",IFERROR(INDEX(Empresas!$C:$C,MATCH(D237,Empresas!$B:$B,0)),"cadastre o CNPJ em Empresas"))</f>
        <v/>
      </c>
      <c r="F237" s="23"/>
      <c r="G237" s="35"/>
      <c r="H237" s="24"/>
      <c r="I237" s="11"/>
      <c r="J237" s="27" t="str">
        <f aca="false">IF(A237="","",YEAR(A237))</f>
        <v/>
      </c>
      <c r="K237" s="24"/>
      <c r="L237" s="11"/>
    </row>
    <row r="238" customFormat="false" ht="15" hidden="false" customHeight="false" outlineLevel="0" collapsed="false">
      <c r="A238" s="22"/>
      <c r="B238" s="11"/>
      <c r="C238" s="24"/>
      <c r="D238" s="31" t="str">
        <f aca="false">IF(C238="","",IF(LEN(UPPER(SUBSTITUTE(SUBSTITUTE(SUBSTITUTE(SUBSTITUTE(TRIM(C238),".",""),"/",""),"-","")," ","")))&lt;14,RIGHT(REPT("0",14)&amp;UPPER(SUBSTITUTE(SUBSTITUTE(SUBSTITUTE(SUBSTITUTE(TRIM(C238),".",""),"/",""),"-","")," ","")),14),UPPER(SUBSTITUTE(SUBSTITUTE(SUBSTITUTE(SUBSTITUTE(TRIM(C238),".",""),"/",""),"-","")," ",""))))</f>
        <v/>
      </c>
      <c r="E238" s="25" t="str">
        <f aca="false">IF(D238="","",IFERROR(INDEX(Empresas!$C:$C,MATCH(D238,Empresas!$B:$B,0)),"cadastre o CNPJ em Empresas"))</f>
        <v/>
      </c>
      <c r="F238" s="23"/>
      <c r="G238" s="35"/>
      <c r="H238" s="24"/>
      <c r="I238" s="11"/>
      <c r="J238" s="27" t="str">
        <f aca="false">IF(A238="","",YEAR(A238))</f>
        <v/>
      </c>
      <c r="K238" s="24"/>
      <c r="L238" s="11"/>
    </row>
    <row r="239" customFormat="false" ht="15" hidden="false" customHeight="false" outlineLevel="0" collapsed="false">
      <c r="A239" s="22"/>
      <c r="B239" s="11"/>
      <c r="C239" s="24"/>
      <c r="D239" s="31" t="str">
        <f aca="false">IF(C239="","",IF(LEN(UPPER(SUBSTITUTE(SUBSTITUTE(SUBSTITUTE(SUBSTITUTE(TRIM(C239),".",""),"/",""),"-","")," ","")))&lt;14,RIGHT(REPT("0",14)&amp;UPPER(SUBSTITUTE(SUBSTITUTE(SUBSTITUTE(SUBSTITUTE(TRIM(C239),".",""),"/",""),"-","")," ","")),14),UPPER(SUBSTITUTE(SUBSTITUTE(SUBSTITUTE(SUBSTITUTE(TRIM(C239),".",""),"/",""),"-","")," ",""))))</f>
        <v/>
      </c>
      <c r="E239" s="25" t="str">
        <f aca="false">IF(D239="","",IFERROR(INDEX(Empresas!$C:$C,MATCH(D239,Empresas!$B:$B,0)),"cadastre o CNPJ em Empresas"))</f>
        <v/>
      </c>
      <c r="F239" s="23"/>
      <c r="G239" s="35"/>
      <c r="H239" s="24"/>
      <c r="I239" s="11"/>
      <c r="J239" s="27" t="str">
        <f aca="false">IF(A239="","",YEAR(A239))</f>
        <v/>
      </c>
      <c r="K239" s="24"/>
      <c r="L239" s="11"/>
    </row>
    <row r="240" customFormat="false" ht="15" hidden="false" customHeight="false" outlineLevel="0" collapsed="false">
      <c r="A240" s="22"/>
      <c r="B240" s="11"/>
      <c r="C240" s="24"/>
      <c r="D240" s="31" t="str">
        <f aca="false">IF(C240="","",IF(LEN(UPPER(SUBSTITUTE(SUBSTITUTE(SUBSTITUTE(SUBSTITUTE(TRIM(C240),".",""),"/",""),"-","")," ","")))&lt;14,RIGHT(REPT("0",14)&amp;UPPER(SUBSTITUTE(SUBSTITUTE(SUBSTITUTE(SUBSTITUTE(TRIM(C240),".",""),"/",""),"-","")," ","")),14),UPPER(SUBSTITUTE(SUBSTITUTE(SUBSTITUTE(SUBSTITUTE(TRIM(C240),".",""),"/",""),"-","")," ",""))))</f>
        <v/>
      </c>
      <c r="E240" s="25" t="str">
        <f aca="false">IF(D240="","",IFERROR(INDEX(Empresas!$C:$C,MATCH(D240,Empresas!$B:$B,0)),"cadastre o CNPJ em Empresas"))</f>
        <v/>
      </c>
      <c r="F240" s="23"/>
      <c r="G240" s="35"/>
      <c r="H240" s="24"/>
      <c r="I240" s="11"/>
      <c r="J240" s="27" t="str">
        <f aca="false">IF(A240="","",YEAR(A240))</f>
        <v/>
      </c>
      <c r="K240" s="24"/>
      <c r="L240" s="11"/>
    </row>
    <row r="241" customFormat="false" ht="15" hidden="false" customHeight="false" outlineLevel="0" collapsed="false">
      <c r="A241" s="22"/>
      <c r="B241" s="11"/>
      <c r="C241" s="24"/>
      <c r="D241" s="31" t="str">
        <f aca="false">IF(C241="","",IF(LEN(UPPER(SUBSTITUTE(SUBSTITUTE(SUBSTITUTE(SUBSTITUTE(TRIM(C241),".",""),"/",""),"-","")," ","")))&lt;14,RIGHT(REPT("0",14)&amp;UPPER(SUBSTITUTE(SUBSTITUTE(SUBSTITUTE(SUBSTITUTE(TRIM(C241),".",""),"/",""),"-","")," ","")),14),UPPER(SUBSTITUTE(SUBSTITUTE(SUBSTITUTE(SUBSTITUTE(TRIM(C241),".",""),"/",""),"-","")," ",""))))</f>
        <v/>
      </c>
      <c r="E241" s="25" t="str">
        <f aca="false">IF(D241="","",IFERROR(INDEX(Empresas!$C:$C,MATCH(D241,Empresas!$B:$B,0)),"cadastre o CNPJ em Empresas"))</f>
        <v/>
      </c>
      <c r="F241" s="23"/>
      <c r="G241" s="35"/>
      <c r="H241" s="24"/>
      <c r="I241" s="11"/>
      <c r="J241" s="27" t="str">
        <f aca="false">IF(A241="","",YEAR(A241))</f>
        <v/>
      </c>
      <c r="K241" s="24"/>
      <c r="L241" s="11"/>
    </row>
    <row r="242" customFormat="false" ht="15" hidden="false" customHeight="false" outlineLevel="0" collapsed="false">
      <c r="A242" s="22"/>
      <c r="B242" s="11"/>
      <c r="C242" s="24"/>
      <c r="D242" s="31" t="str">
        <f aca="false">IF(C242="","",IF(LEN(UPPER(SUBSTITUTE(SUBSTITUTE(SUBSTITUTE(SUBSTITUTE(TRIM(C242),".",""),"/",""),"-","")," ","")))&lt;14,RIGHT(REPT("0",14)&amp;UPPER(SUBSTITUTE(SUBSTITUTE(SUBSTITUTE(SUBSTITUTE(TRIM(C242),".",""),"/",""),"-","")," ","")),14),UPPER(SUBSTITUTE(SUBSTITUTE(SUBSTITUTE(SUBSTITUTE(TRIM(C242),".",""),"/",""),"-","")," ",""))))</f>
        <v/>
      </c>
      <c r="E242" s="25" t="str">
        <f aca="false">IF(D242="","",IFERROR(INDEX(Empresas!$C:$C,MATCH(D242,Empresas!$B:$B,0)),"cadastre o CNPJ em Empresas"))</f>
        <v/>
      </c>
      <c r="F242" s="23"/>
      <c r="G242" s="35"/>
      <c r="H242" s="24"/>
      <c r="I242" s="11"/>
      <c r="J242" s="27" t="str">
        <f aca="false">IF(A242="","",YEAR(A242))</f>
        <v/>
      </c>
      <c r="K242" s="24"/>
      <c r="L242" s="11"/>
    </row>
    <row r="243" customFormat="false" ht="15" hidden="false" customHeight="false" outlineLevel="0" collapsed="false">
      <c r="A243" s="22"/>
      <c r="B243" s="11"/>
      <c r="C243" s="24"/>
      <c r="D243" s="31" t="str">
        <f aca="false">IF(C243="","",IF(LEN(UPPER(SUBSTITUTE(SUBSTITUTE(SUBSTITUTE(SUBSTITUTE(TRIM(C243),".",""),"/",""),"-","")," ","")))&lt;14,RIGHT(REPT("0",14)&amp;UPPER(SUBSTITUTE(SUBSTITUTE(SUBSTITUTE(SUBSTITUTE(TRIM(C243),".",""),"/",""),"-","")," ","")),14),UPPER(SUBSTITUTE(SUBSTITUTE(SUBSTITUTE(SUBSTITUTE(TRIM(C243),".",""),"/",""),"-","")," ",""))))</f>
        <v/>
      </c>
      <c r="E243" s="25" t="str">
        <f aca="false">IF(D243="","",IFERROR(INDEX(Empresas!$C:$C,MATCH(D243,Empresas!$B:$B,0)),"cadastre o CNPJ em Empresas"))</f>
        <v/>
      </c>
      <c r="F243" s="23"/>
      <c r="G243" s="35"/>
      <c r="H243" s="24"/>
      <c r="I243" s="11"/>
      <c r="J243" s="27" t="str">
        <f aca="false">IF(A243="","",YEAR(A243))</f>
        <v/>
      </c>
      <c r="K243" s="24"/>
      <c r="L243" s="11"/>
    </row>
    <row r="244" customFormat="false" ht="15" hidden="false" customHeight="false" outlineLevel="0" collapsed="false">
      <c r="A244" s="22"/>
      <c r="B244" s="11"/>
      <c r="C244" s="24"/>
      <c r="D244" s="31" t="str">
        <f aca="false">IF(C244="","",IF(LEN(UPPER(SUBSTITUTE(SUBSTITUTE(SUBSTITUTE(SUBSTITUTE(TRIM(C244),".",""),"/",""),"-","")," ","")))&lt;14,RIGHT(REPT("0",14)&amp;UPPER(SUBSTITUTE(SUBSTITUTE(SUBSTITUTE(SUBSTITUTE(TRIM(C244),".",""),"/",""),"-","")," ","")),14),UPPER(SUBSTITUTE(SUBSTITUTE(SUBSTITUTE(SUBSTITUTE(TRIM(C244),".",""),"/",""),"-","")," ",""))))</f>
        <v/>
      </c>
      <c r="E244" s="25" t="str">
        <f aca="false">IF(D244="","",IFERROR(INDEX(Empresas!$C:$C,MATCH(D244,Empresas!$B:$B,0)),"cadastre o CNPJ em Empresas"))</f>
        <v/>
      </c>
      <c r="F244" s="23"/>
      <c r="G244" s="35"/>
      <c r="H244" s="24"/>
      <c r="I244" s="11"/>
      <c r="J244" s="27" t="str">
        <f aca="false">IF(A244="","",YEAR(A244))</f>
        <v/>
      </c>
      <c r="K244" s="24"/>
      <c r="L244" s="11"/>
    </row>
    <row r="245" customFormat="false" ht="15" hidden="false" customHeight="false" outlineLevel="0" collapsed="false">
      <c r="A245" s="22"/>
      <c r="B245" s="11"/>
      <c r="C245" s="24"/>
      <c r="D245" s="31" t="str">
        <f aca="false">IF(C245="","",IF(LEN(UPPER(SUBSTITUTE(SUBSTITUTE(SUBSTITUTE(SUBSTITUTE(TRIM(C245),".",""),"/",""),"-","")," ","")))&lt;14,RIGHT(REPT("0",14)&amp;UPPER(SUBSTITUTE(SUBSTITUTE(SUBSTITUTE(SUBSTITUTE(TRIM(C245),".",""),"/",""),"-","")," ","")),14),UPPER(SUBSTITUTE(SUBSTITUTE(SUBSTITUTE(SUBSTITUTE(TRIM(C245),".",""),"/",""),"-","")," ",""))))</f>
        <v/>
      </c>
      <c r="E245" s="25" t="str">
        <f aca="false">IF(D245="","",IFERROR(INDEX(Empresas!$C:$C,MATCH(D245,Empresas!$B:$B,0)),"cadastre o CNPJ em Empresas"))</f>
        <v/>
      </c>
      <c r="F245" s="23"/>
      <c r="G245" s="35"/>
      <c r="H245" s="24"/>
      <c r="I245" s="11"/>
      <c r="J245" s="27" t="str">
        <f aca="false">IF(A245="","",YEAR(A245))</f>
        <v/>
      </c>
      <c r="K245" s="24"/>
      <c r="L245" s="11"/>
    </row>
    <row r="246" customFormat="false" ht="15" hidden="false" customHeight="false" outlineLevel="0" collapsed="false">
      <c r="A246" s="22"/>
      <c r="B246" s="11"/>
      <c r="C246" s="24"/>
      <c r="D246" s="31" t="str">
        <f aca="false">IF(C246="","",IF(LEN(UPPER(SUBSTITUTE(SUBSTITUTE(SUBSTITUTE(SUBSTITUTE(TRIM(C246),".",""),"/",""),"-","")," ","")))&lt;14,RIGHT(REPT("0",14)&amp;UPPER(SUBSTITUTE(SUBSTITUTE(SUBSTITUTE(SUBSTITUTE(TRIM(C246),".",""),"/",""),"-","")," ","")),14),UPPER(SUBSTITUTE(SUBSTITUTE(SUBSTITUTE(SUBSTITUTE(TRIM(C246),".",""),"/",""),"-","")," ",""))))</f>
        <v/>
      </c>
      <c r="E246" s="25" t="str">
        <f aca="false">IF(D246="","",IFERROR(INDEX(Empresas!$C:$C,MATCH(D246,Empresas!$B:$B,0)),"cadastre o CNPJ em Empresas"))</f>
        <v/>
      </c>
      <c r="F246" s="23"/>
      <c r="G246" s="35"/>
      <c r="H246" s="24"/>
      <c r="I246" s="11"/>
      <c r="J246" s="27" t="str">
        <f aca="false">IF(A246="","",YEAR(A246))</f>
        <v/>
      </c>
      <c r="K246" s="24"/>
      <c r="L246" s="11"/>
    </row>
    <row r="247" customFormat="false" ht="15" hidden="false" customHeight="false" outlineLevel="0" collapsed="false">
      <c r="A247" s="22"/>
      <c r="B247" s="11"/>
      <c r="C247" s="24"/>
      <c r="D247" s="31" t="str">
        <f aca="false">IF(C247="","",IF(LEN(UPPER(SUBSTITUTE(SUBSTITUTE(SUBSTITUTE(SUBSTITUTE(TRIM(C247),".",""),"/",""),"-","")," ","")))&lt;14,RIGHT(REPT("0",14)&amp;UPPER(SUBSTITUTE(SUBSTITUTE(SUBSTITUTE(SUBSTITUTE(TRIM(C247),".",""),"/",""),"-","")," ","")),14),UPPER(SUBSTITUTE(SUBSTITUTE(SUBSTITUTE(SUBSTITUTE(TRIM(C247),".",""),"/",""),"-","")," ",""))))</f>
        <v/>
      </c>
      <c r="E247" s="25" t="str">
        <f aca="false">IF(D247="","",IFERROR(INDEX(Empresas!$C:$C,MATCH(D247,Empresas!$B:$B,0)),"cadastre o CNPJ em Empresas"))</f>
        <v/>
      </c>
      <c r="F247" s="23"/>
      <c r="G247" s="35"/>
      <c r="H247" s="24"/>
      <c r="I247" s="11"/>
      <c r="J247" s="27" t="str">
        <f aca="false">IF(A247="","",YEAR(A247))</f>
        <v/>
      </c>
      <c r="K247" s="24"/>
      <c r="L247" s="11"/>
    </row>
    <row r="248" customFormat="false" ht="15" hidden="false" customHeight="false" outlineLevel="0" collapsed="false">
      <c r="A248" s="22"/>
      <c r="B248" s="11"/>
      <c r="C248" s="24"/>
      <c r="D248" s="31" t="str">
        <f aca="false">IF(C248="","",IF(LEN(UPPER(SUBSTITUTE(SUBSTITUTE(SUBSTITUTE(SUBSTITUTE(TRIM(C248),".",""),"/",""),"-","")," ","")))&lt;14,RIGHT(REPT("0",14)&amp;UPPER(SUBSTITUTE(SUBSTITUTE(SUBSTITUTE(SUBSTITUTE(TRIM(C248),".",""),"/",""),"-","")," ","")),14),UPPER(SUBSTITUTE(SUBSTITUTE(SUBSTITUTE(SUBSTITUTE(TRIM(C248),".",""),"/",""),"-","")," ",""))))</f>
        <v/>
      </c>
      <c r="E248" s="25" t="str">
        <f aca="false">IF(D248="","",IFERROR(INDEX(Empresas!$C:$C,MATCH(D248,Empresas!$B:$B,0)),"cadastre o CNPJ em Empresas"))</f>
        <v/>
      </c>
      <c r="F248" s="23"/>
      <c r="G248" s="35"/>
      <c r="H248" s="24"/>
      <c r="I248" s="11"/>
      <c r="J248" s="27" t="str">
        <f aca="false">IF(A248="","",YEAR(A248))</f>
        <v/>
      </c>
      <c r="K248" s="24"/>
      <c r="L248" s="11"/>
    </row>
    <row r="249" customFormat="false" ht="15" hidden="false" customHeight="false" outlineLevel="0" collapsed="false">
      <c r="A249" s="22"/>
      <c r="B249" s="11"/>
      <c r="C249" s="24"/>
      <c r="D249" s="31" t="str">
        <f aca="false">IF(C249="","",IF(LEN(UPPER(SUBSTITUTE(SUBSTITUTE(SUBSTITUTE(SUBSTITUTE(TRIM(C249),".",""),"/",""),"-","")," ","")))&lt;14,RIGHT(REPT("0",14)&amp;UPPER(SUBSTITUTE(SUBSTITUTE(SUBSTITUTE(SUBSTITUTE(TRIM(C249),".",""),"/",""),"-","")," ","")),14),UPPER(SUBSTITUTE(SUBSTITUTE(SUBSTITUTE(SUBSTITUTE(TRIM(C249),".",""),"/",""),"-","")," ",""))))</f>
        <v/>
      </c>
      <c r="E249" s="25" t="str">
        <f aca="false">IF(D249="","",IFERROR(INDEX(Empresas!$C:$C,MATCH(D249,Empresas!$B:$B,0)),"cadastre o CNPJ em Empresas"))</f>
        <v/>
      </c>
      <c r="F249" s="23"/>
      <c r="G249" s="35"/>
      <c r="H249" s="24"/>
      <c r="I249" s="11"/>
      <c r="J249" s="27" t="str">
        <f aca="false">IF(A249="","",YEAR(A249))</f>
        <v/>
      </c>
      <c r="K249" s="24"/>
      <c r="L249" s="11"/>
    </row>
    <row r="250" customFormat="false" ht="15" hidden="false" customHeight="false" outlineLevel="0" collapsed="false">
      <c r="A250" s="22"/>
      <c r="B250" s="11"/>
      <c r="C250" s="24"/>
      <c r="D250" s="31" t="str">
        <f aca="false">IF(C250="","",IF(LEN(UPPER(SUBSTITUTE(SUBSTITUTE(SUBSTITUTE(SUBSTITUTE(TRIM(C250),".",""),"/",""),"-","")," ","")))&lt;14,RIGHT(REPT("0",14)&amp;UPPER(SUBSTITUTE(SUBSTITUTE(SUBSTITUTE(SUBSTITUTE(TRIM(C250),".",""),"/",""),"-","")," ","")),14),UPPER(SUBSTITUTE(SUBSTITUTE(SUBSTITUTE(SUBSTITUTE(TRIM(C250),".",""),"/",""),"-","")," ",""))))</f>
        <v/>
      </c>
      <c r="E250" s="25" t="str">
        <f aca="false">IF(D250="","",IFERROR(INDEX(Empresas!$C:$C,MATCH(D250,Empresas!$B:$B,0)),"cadastre o CNPJ em Empresas"))</f>
        <v/>
      </c>
      <c r="F250" s="23"/>
      <c r="G250" s="35"/>
      <c r="H250" s="24"/>
      <c r="I250" s="11"/>
      <c r="J250" s="27" t="str">
        <f aca="false">IF(A250="","",YEAR(A250))</f>
        <v/>
      </c>
      <c r="K250" s="24"/>
      <c r="L250" s="11"/>
    </row>
    <row r="251" customFormat="false" ht="15" hidden="false" customHeight="false" outlineLevel="0" collapsed="false">
      <c r="A251" s="22"/>
      <c r="B251" s="11"/>
      <c r="C251" s="24"/>
      <c r="D251" s="31" t="str">
        <f aca="false">IF(C251="","",IF(LEN(UPPER(SUBSTITUTE(SUBSTITUTE(SUBSTITUTE(SUBSTITUTE(TRIM(C251),".",""),"/",""),"-","")," ","")))&lt;14,RIGHT(REPT("0",14)&amp;UPPER(SUBSTITUTE(SUBSTITUTE(SUBSTITUTE(SUBSTITUTE(TRIM(C251),".",""),"/",""),"-","")," ","")),14),UPPER(SUBSTITUTE(SUBSTITUTE(SUBSTITUTE(SUBSTITUTE(TRIM(C251),".",""),"/",""),"-","")," ",""))))</f>
        <v/>
      </c>
      <c r="E251" s="25" t="str">
        <f aca="false">IF(D251="","",IFERROR(INDEX(Empresas!$C:$C,MATCH(D251,Empresas!$B:$B,0)),"cadastre o CNPJ em Empresas"))</f>
        <v/>
      </c>
      <c r="F251" s="23"/>
      <c r="G251" s="35"/>
      <c r="H251" s="24"/>
      <c r="I251" s="11"/>
      <c r="J251" s="27" t="str">
        <f aca="false">IF(A251="","",YEAR(A251))</f>
        <v/>
      </c>
      <c r="K251" s="24"/>
      <c r="L251" s="11"/>
    </row>
    <row r="252" customFormat="false" ht="15" hidden="false" customHeight="false" outlineLevel="0" collapsed="false">
      <c r="A252" s="22"/>
      <c r="B252" s="11"/>
      <c r="C252" s="24"/>
      <c r="D252" s="31" t="str">
        <f aca="false">IF(C252="","",IF(LEN(UPPER(SUBSTITUTE(SUBSTITUTE(SUBSTITUTE(SUBSTITUTE(TRIM(C252),".",""),"/",""),"-","")," ","")))&lt;14,RIGHT(REPT("0",14)&amp;UPPER(SUBSTITUTE(SUBSTITUTE(SUBSTITUTE(SUBSTITUTE(TRIM(C252),".",""),"/",""),"-","")," ","")),14),UPPER(SUBSTITUTE(SUBSTITUTE(SUBSTITUTE(SUBSTITUTE(TRIM(C252),".",""),"/",""),"-","")," ",""))))</f>
        <v/>
      </c>
      <c r="E252" s="25" t="str">
        <f aca="false">IF(D252="","",IFERROR(INDEX(Empresas!$C:$C,MATCH(D252,Empresas!$B:$B,0)),"cadastre o CNPJ em Empresas"))</f>
        <v/>
      </c>
      <c r="F252" s="23"/>
      <c r="G252" s="35"/>
      <c r="H252" s="24"/>
      <c r="I252" s="11"/>
      <c r="J252" s="27" t="str">
        <f aca="false">IF(A252="","",YEAR(A252))</f>
        <v/>
      </c>
      <c r="K252" s="24"/>
      <c r="L252" s="11"/>
    </row>
    <row r="253" customFormat="false" ht="15" hidden="false" customHeight="false" outlineLevel="0" collapsed="false">
      <c r="A253" s="22"/>
      <c r="B253" s="11"/>
      <c r="C253" s="24"/>
      <c r="D253" s="31" t="str">
        <f aca="false">IF(C253="","",IF(LEN(UPPER(SUBSTITUTE(SUBSTITUTE(SUBSTITUTE(SUBSTITUTE(TRIM(C253),".",""),"/",""),"-","")," ","")))&lt;14,RIGHT(REPT("0",14)&amp;UPPER(SUBSTITUTE(SUBSTITUTE(SUBSTITUTE(SUBSTITUTE(TRIM(C253),".",""),"/",""),"-","")," ","")),14),UPPER(SUBSTITUTE(SUBSTITUTE(SUBSTITUTE(SUBSTITUTE(TRIM(C253),".",""),"/",""),"-","")," ",""))))</f>
        <v/>
      </c>
      <c r="E253" s="25" t="str">
        <f aca="false">IF(D253="","",IFERROR(INDEX(Empresas!$C:$C,MATCH(D253,Empresas!$B:$B,0)),"cadastre o CNPJ em Empresas"))</f>
        <v/>
      </c>
      <c r="F253" s="23"/>
      <c r="G253" s="35"/>
      <c r="H253" s="24"/>
      <c r="I253" s="11"/>
      <c r="J253" s="27" t="str">
        <f aca="false">IF(A253="","",YEAR(A253))</f>
        <v/>
      </c>
      <c r="K253" s="24"/>
      <c r="L253" s="11"/>
    </row>
    <row r="254" customFormat="false" ht="15" hidden="false" customHeight="false" outlineLevel="0" collapsed="false">
      <c r="A254" s="22"/>
      <c r="B254" s="11"/>
      <c r="C254" s="24"/>
      <c r="D254" s="31" t="str">
        <f aca="false">IF(C254="","",IF(LEN(UPPER(SUBSTITUTE(SUBSTITUTE(SUBSTITUTE(SUBSTITUTE(TRIM(C254),".",""),"/",""),"-","")," ","")))&lt;14,RIGHT(REPT("0",14)&amp;UPPER(SUBSTITUTE(SUBSTITUTE(SUBSTITUTE(SUBSTITUTE(TRIM(C254),".",""),"/",""),"-","")," ","")),14),UPPER(SUBSTITUTE(SUBSTITUTE(SUBSTITUTE(SUBSTITUTE(TRIM(C254),".",""),"/",""),"-","")," ",""))))</f>
        <v/>
      </c>
      <c r="E254" s="25" t="str">
        <f aca="false">IF(D254="","",IFERROR(INDEX(Empresas!$C:$C,MATCH(D254,Empresas!$B:$B,0)),"cadastre o CNPJ em Empresas"))</f>
        <v/>
      </c>
      <c r="F254" s="23"/>
      <c r="G254" s="35"/>
      <c r="H254" s="24"/>
      <c r="I254" s="11"/>
      <c r="J254" s="27" t="str">
        <f aca="false">IF(A254="","",YEAR(A254))</f>
        <v/>
      </c>
      <c r="K254" s="24"/>
      <c r="L254" s="11"/>
    </row>
    <row r="255" customFormat="false" ht="15" hidden="false" customHeight="false" outlineLevel="0" collapsed="false">
      <c r="A255" s="22"/>
      <c r="B255" s="11"/>
      <c r="C255" s="24"/>
      <c r="D255" s="31" t="str">
        <f aca="false">IF(C255="","",IF(LEN(UPPER(SUBSTITUTE(SUBSTITUTE(SUBSTITUTE(SUBSTITUTE(TRIM(C255),".",""),"/",""),"-","")," ","")))&lt;14,RIGHT(REPT("0",14)&amp;UPPER(SUBSTITUTE(SUBSTITUTE(SUBSTITUTE(SUBSTITUTE(TRIM(C255),".",""),"/",""),"-","")," ","")),14),UPPER(SUBSTITUTE(SUBSTITUTE(SUBSTITUTE(SUBSTITUTE(TRIM(C255),".",""),"/",""),"-","")," ",""))))</f>
        <v/>
      </c>
      <c r="E255" s="25" t="str">
        <f aca="false">IF(D255="","",IFERROR(INDEX(Empresas!$C:$C,MATCH(D255,Empresas!$B:$B,0)),"cadastre o CNPJ em Empresas"))</f>
        <v/>
      </c>
      <c r="F255" s="23"/>
      <c r="G255" s="35"/>
      <c r="H255" s="24"/>
      <c r="I255" s="11"/>
      <c r="J255" s="27" t="str">
        <f aca="false">IF(A255="","",YEAR(A255))</f>
        <v/>
      </c>
      <c r="K255" s="24"/>
      <c r="L255" s="11"/>
    </row>
    <row r="256" customFormat="false" ht="15" hidden="false" customHeight="false" outlineLevel="0" collapsed="false">
      <c r="A256" s="22"/>
      <c r="B256" s="11"/>
      <c r="C256" s="24"/>
      <c r="D256" s="31" t="str">
        <f aca="false">IF(C256="","",IF(LEN(UPPER(SUBSTITUTE(SUBSTITUTE(SUBSTITUTE(SUBSTITUTE(TRIM(C256),".",""),"/",""),"-","")," ","")))&lt;14,RIGHT(REPT("0",14)&amp;UPPER(SUBSTITUTE(SUBSTITUTE(SUBSTITUTE(SUBSTITUTE(TRIM(C256),".",""),"/",""),"-","")," ","")),14),UPPER(SUBSTITUTE(SUBSTITUTE(SUBSTITUTE(SUBSTITUTE(TRIM(C256),".",""),"/",""),"-","")," ",""))))</f>
        <v/>
      </c>
      <c r="E256" s="25" t="str">
        <f aca="false">IF(D256="","",IFERROR(INDEX(Empresas!$C:$C,MATCH(D256,Empresas!$B:$B,0)),"cadastre o CNPJ em Empresas"))</f>
        <v/>
      </c>
      <c r="F256" s="23"/>
      <c r="G256" s="35"/>
      <c r="H256" s="24"/>
      <c r="I256" s="11"/>
      <c r="J256" s="27" t="str">
        <f aca="false">IF(A256="","",YEAR(A256))</f>
        <v/>
      </c>
      <c r="K256" s="24"/>
      <c r="L256" s="11"/>
    </row>
    <row r="257" customFormat="false" ht="15" hidden="false" customHeight="false" outlineLevel="0" collapsed="false">
      <c r="A257" s="22"/>
      <c r="B257" s="11"/>
      <c r="C257" s="24"/>
      <c r="D257" s="31" t="str">
        <f aca="false">IF(C257="","",IF(LEN(UPPER(SUBSTITUTE(SUBSTITUTE(SUBSTITUTE(SUBSTITUTE(TRIM(C257),".",""),"/",""),"-","")," ","")))&lt;14,RIGHT(REPT("0",14)&amp;UPPER(SUBSTITUTE(SUBSTITUTE(SUBSTITUTE(SUBSTITUTE(TRIM(C257),".",""),"/",""),"-","")," ","")),14),UPPER(SUBSTITUTE(SUBSTITUTE(SUBSTITUTE(SUBSTITUTE(TRIM(C257),".",""),"/",""),"-","")," ",""))))</f>
        <v/>
      </c>
      <c r="E257" s="25" t="str">
        <f aca="false">IF(D257="","",IFERROR(INDEX(Empresas!$C:$C,MATCH(D257,Empresas!$B:$B,0)),"cadastre o CNPJ em Empresas"))</f>
        <v/>
      </c>
      <c r="F257" s="23"/>
      <c r="G257" s="35"/>
      <c r="H257" s="24"/>
      <c r="I257" s="11"/>
      <c r="J257" s="27" t="str">
        <f aca="false">IF(A257="","",YEAR(A257))</f>
        <v/>
      </c>
      <c r="K257" s="24"/>
      <c r="L257" s="11"/>
    </row>
    <row r="258" customFormat="false" ht="15" hidden="false" customHeight="false" outlineLevel="0" collapsed="false">
      <c r="A258" s="22"/>
      <c r="B258" s="11"/>
      <c r="C258" s="24"/>
      <c r="D258" s="31" t="str">
        <f aca="false">IF(C258="","",IF(LEN(UPPER(SUBSTITUTE(SUBSTITUTE(SUBSTITUTE(SUBSTITUTE(TRIM(C258),".",""),"/",""),"-","")," ","")))&lt;14,RIGHT(REPT("0",14)&amp;UPPER(SUBSTITUTE(SUBSTITUTE(SUBSTITUTE(SUBSTITUTE(TRIM(C258),".",""),"/",""),"-","")," ","")),14),UPPER(SUBSTITUTE(SUBSTITUTE(SUBSTITUTE(SUBSTITUTE(TRIM(C258),".",""),"/",""),"-","")," ",""))))</f>
        <v/>
      </c>
      <c r="E258" s="25" t="str">
        <f aca="false">IF(D258="","",IFERROR(INDEX(Empresas!$C:$C,MATCH(D258,Empresas!$B:$B,0)),"cadastre o CNPJ em Empresas"))</f>
        <v/>
      </c>
      <c r="F258" s="23"/>
      <c r="G258" s="35"/>
      <c r="H258" s="24"/>
      <c r="I258" s="11"/>
      <c r="J258" s="27" t="str">
        <f aca="false">IF(A258="","",YEAR(A258))</f>
        <v/>
      </c>
      <c r="K258" s="24"/>
      <c r="L258" s="11"/>
    </row>
    <row r="259" customFormat="false" ht="15" hidden="false" customHeight="false" outlineLevel="0" collapsed="false">
      <c r="A259" s="22"/>
      <c r="B259" s="11"/>
      <c r="C259" s="24"/>
      <c r="D259" s="31" t="str">
        <f aca="false">IF(C259="","",IF(LEN(UPPER(SUBSTITUTE(SUBSTITUTE(SUBSTITUTE(SUBSTITUTE(TRIM(C259),".",""),"/",""),"-","")," ","")))&lt;14,RIGHT(REPT("0",14)&amp;UPPER(SUBSTITUTE(SUBSTITUTE(SUBSTITUTE(SUBSTITUTE(TRIM(C259),".",""),"/",""),"-","")," ","")),14),UPPER(SUBSTITUTE(SUBSTITUTE(SUBSTITUTE(SUBSTITUTE(TRIM(C259),".",""),"/",""),"-","")," ",""))))</f>
        <v/>
      </c>
      <c r="E259" s="25" t="str">
        <f aca="false">IF(D259="","",IFERROR(INDEX(Empresas!$C:$C,MATCH(D259,Empresas!$B:$B,0)),"cadastre o CNPJ em Empresas"))</f>
        <v/>
      </c>
      <c r="F259" s="23"/>
      <c r="G259" s="35"/>
      <c r="H259" s="24"/>
      <c r="I259" s="11"/>
      <c r="J259" s="27" t="str">
        <f aca="false">IF(A259="","",YEAR(A259))</f>
        <v/>
      </c>
      <c r="K259" s="24"/>
      <c r="L259" s="11"/>
    </row>
    <row r="260" customFormat="false" ht="15" hidden="false" customHeight="false" outlineLevel="0" collapsed="false">
      <c r="A260" s="22"/>
      <c r="B260" s="11"/>
      <c r="C260" s="24"/>
      <c r="D260" s="31" t="str">
        <f aca="false">IF(C260="","",IF(LEN(UPPER(SUBSTITUTE(SUBSTITUTE(SUBSTITUTE(SUBSTITUTE(TRIM(C260),".",""),"/",""),"-","")," ","")))&lt;14,RIGHT(REPT("0",14)&amp;UPPER(SUBSTITUTE(SUBSTITUTE(SUBSTITUTE(SUBSTITUTE(TRIM(C260),".",""),"/",""),"-","")," ","")),14),UPPER(SUBSTITUTE(SUBSTITUTE(SUBSTITUTE(SUBSTITUTE(TRIM(C260),".",""),"/",""),"-","")," ",""))))</f>
        <v/>
      </c>
      <c r="E260" s="25" t="str">
        <f aca="false">IF(D260="","",IFERROR(INDEX(Empresas!$C:$C,MATCH(D260,Empresas!$B:$B,0)),"cadastre o CNPJ em Empresas"))</f>
        <v/>
      </c>
      <c r="F260" s="23"/>
      <c r="G260" s="35"/>
      <c r="H260" s="24"/>
      <c r="I260" s="11"/>
      <c r="J260" s="27" t="str">
        <f aca="false">IF(A260="","",YEAR(A260))</f>
        <v/>
      </c>
      <c r="K260" s="24"/>
      <c r="L260" s="11"/>
    </row>
    <row r="261" customFormat="false" ht="15" hidden="false" customHeight="false" outlineLevel="0" collapsed="false">
      <c r="A261" s="22"/>
      <c r="B261" s="11"/>
      <c r="C261" s="24"/>
      <c r="D261" s="31" t="str">
        <f aca="false">IF(C261="","",IF(LEN(UPPER(SUBSTITUTE(SUBSTITUTE(SUBSTITUTE(SUBSTITUTE(TRIM(C261),".",""),"/",""),"-","")," ","")))&lt;14,RIGHT(REPT("0",14)&amp;UPPER(SUBSTITUTE(SUBSTITUTE(SUBSTITUTE(SUBSTITUTE(TRIM(C261),".",""),"/",""),"-","")," ","")),14),UPPER(SUBSTITUTE(SUBSTITUTE(SUBSTITUTE(SUBSTITUTE(TRIM(C261),".",""),"/",""),"-","")," ",""))))</f>
        <v/>
      </c>
      <c r="E261" s="25" t="str">
        <f aca="false">IF(D261="","",IFERROR(INDEX(Empresas!$C:$C,MATCH(D261,Empresas!$B:$B,0)),"cadastre o CNPJ em Empresas"))</f>
        <v/>
      </c>
      <c r="F261" s="23"/>
      <c r="G261" s="35"/>
      <c r="H261" s="24"/>
      <c r="I261" s="11"/>
      <c r="J261" s="27" t="str">
        <f aca="false">IF(A261="","",YEAR(A261))</f>
        <v/>
      </c>
      <c r="K261" s="24"/>
      <c r="L261" s="11"/>
    </row>
    <row r="262" customFormat="false" ht="15" hidden="false" customHeight="false" outlineLevel="0" collapsed="false">
      <c r="A262" s="22"/>
      <c r="B262" s="11"/>
      <c r="C262" s="24"/>
      <c r="D262" s="31" t="str">
        <f aca="false">IF(C262="","",IF(LEN(UPPER(SUBSTITUTE(SUBSTITUTE(SUBSTITUTE(SUBSTITUTE(TRIM(C262),".",""),"/",""),"-","")," ","")))&lt;14,RIGHT(REPT("0",14)&amp;UPPER(SUBSTITUTE(SUBSTITUTE(SUBSTITUTE(SUBSTITUTE(TRIM(C262),".",""),"/",""),"-","")," ","")),14),UPPER(SUBSTITUTE(SUBSTITUTE(SUBSTITUTE(SUBSTITUTE(TRIM(C262),".",""),"/",""),"-","")," ",""))))</f>
        <v/>
      </c>
      <c r="E262" s="25" t="str">
        <f aca="false">IF(D262="","",IFERROR(INDEX(Empresas!$C:$C,MATCH(D262,Empresas!$B:$B,0)),"cadastre o CNPJ em Empresas"))</f>
        <v/>
      </c>
      <c r="F262" s="23"/>
      <c r="G262" s="35"/>
      <c r="H262" s="24"/>
      <c r="I262" s="11"/>
      <c r="J262" s="27" t="str">
        <f aca="false">IF(A262="","",YEAR(A262))</f>
        <v/>
      </c>
      <c r="K262" s="24"/>
      <c r="L262" s="11"/>
    </row>
    <row r="263" customFormat="false" ht="15" hidden="false" customHeight="false" outlineLevel="0" collapsed="false">
      <c r="A263" s="22"/>
      <c r="B263" s="11"/>
      <c r="C263" s="24"/>
      <c r="D263" s="31" t="str">
        <f aca="false">IF(C263="","",IF(LEN(UPPER(SUBSTITUTE(SUBSTITUTE(SUBSTITUTE(SUBSTITUTE(TRIM(C263),".",""),"/",""),"-","")," ","")))&lt;14,RIGHT(REPT("0",14)&amp;UPPER(SUBSTITUTE(SUBSTITUTE(SUBSTITUTE(SUBSTITUTE(TRIM(C263),".",""),"/",""),"-","")," ","")),14),UPPER(SUBSTITUTE(SUBSTITUTE(SUBSTITUTE(SUBSTITUTE(TRIM(C263),".",""),"/",""),"-","")," ",""))))</f>
        <v/>
      </c>
      <c r="E263" s="25" t="str">
        <f aca="false">IF(D263="","",IFERROR(INDEX(Empresas!$C:$C,MATCH(D263,Empresas!$B:$B,0)),"cadastre o CNPJ em Empresas"))</f>
        <v/>
      </c>
      <c r="F263" s="23"/>
      <c r="G263" s="35"/>
      <c r="H263" s="24"/>
      <c r="I263" s="11"/>
      <c r="J263" s="27" t="str">
        <f aca="false">IF(A263="","",YEAR(A263))</f>
        <v/>
      </c>
      <c r="K263" s="24"/>
      <c r="L263" s="11"/>
    </row>
    <row r="264" customFormat="false" ht="15" hidden="false" customHeight="false" outlineLevel="0" collapsed="false">
      <c r="A264" s="22"/>
      <c r="B264" s="11"/>
      <c r="C264" s="24"/>
      <c r="D264" s="31" t="str">
        <f aca="false">IF(C264="","",IF(LEN(UPPER(SUBSTITUTE(SUBSTITUTE(SUBSTITUTE(SUBSTITUTE(TRIM(C264),".",""),"/",""),"-","")," ","")))&lt;14,RIGHT(REPT("0",14)&amp;UPPER(SUBSTITUTE(SUBSTITUTE(SUBSTITUTE(SUBSTITUTE(TRIM(C264),".",""),"/",""),"-","")," ","")),14),UPPER(SUBSTITUTE(SUBSTITUTE(SUBSTITUTE(SUBSTITUTE(TRIM(C264),".",""),"/",""),"-","")," ",""))))</f>
        <v/>
      </c>
      <c r="E264" s="25" t="str">
        <f aca="false">IF(D264="","",IFERROR(INDEX(Empresas!$C:$C,MATCH(D264,Empresas!$B:$B,0)),"cadastre o CNPJ em Empresas"))</f>
        <v/>
      </c>
      <c r="F264" s="23"/>
      <c r="G264" s="35"/>
      <c r="H264" s="24"/>
      <c r="I264" s="11"/>
      <c r="J264" s="27" t="str">
        <f aca="false">IF(A264="","",YEAR(A264))</f>
        <v/>
      </c>
      <c r="K264" s="24"/>
      <c r="L264" s="11"/>
    </row>
    <row r="265" customFormat="false" ht="15" hidden="false" customHeight="false" outlineLevel="0" collapsed="false">
      <c r="A265" s="22"/>
      <c r="B265" s="11"/>
      <c r="C265" s="24"/>
      <c r="D265" s="31" t="str">
        <f aca="false">IF(C265="","",IF(LEN(UPPER(SUBSTITUTE(SUBSTITUTE(SUBSTITUTE(SUBSTITUTE(TRIM(C265),".",""),"/",""),"-","")," ","")))&lt;14,RIGHT(REPT("0",14)&amp;UPPER(SUBSTITUTE(SUBSTITUTE(SUBSTITUTE(SUBSTITUTE(TRIM(C265),".",""),"/",""),"-","")," ","")),14),UPPER(SUBSTITUTE(SUBSTITUTE(SUBSTITUTE(SUBSTITUTE(TRIM(C265),".",""),"/",""),"-","")," ",""))))</f>
        <v/>
      </c>
      <c r="E265" s="25" t="str">
        <f aca="false">IF(D265="","",IFERROR(INDEX(Empresas!$C:$C,MATCH(D265,Empresas!$B:$B,0)),"cadastre o CNPJ em Empresas"))</f>
        <v/>
      </c>
      <c r="F265" s="23"/>
      <c r="G265" s="35"/>
      <c r="H265" s="24"/>
      <c r="I265" s="11"/>
      <c r="J265" s="27" t="str">
        <f aca="false">IF(A265="","",YEAR(A265))</f>
        <v/>
      </c>
      <c r="K265" s="24"/>
      <c r="L265" s="11"/>
    </row>
    <row r="266" customFormat="false" ht="15" hidden="false" customHeight="false" outlineLevel="0" collapsed="false">
      <c r="A266" s="22"/>
      <c r="B266" s="11"/>
      <c r="C266" s="24"/>
      <c r="D266" s="31" t="str">
        <f aca="false">IF(C266="","",IF(LEN(UPPER(SUBSTITUTE(SUBSTITUTE(SUBSTITUTE(SUBSTITUTE(TRIM(C266),".",""),"/",""),"-","")," ","")))&lt;14,RIGHT(REPT("0",14)&amp;UPPER(SUBSTITUTE(SUBSTITUTE(SUBSTITUTE(SUBSTITUTE(TRIM(C266),".",""),"/",""),"-","")," ","")),14),UPPER(SUBSTITUTE(SUBSTITUTE(SUBSTITUTE(SUBSTITUTE(TRIM(C266),".",""),"/",""),"-","")," ",""))))</f>
        <v/>
      </c>
      <c r="E266" s="25" t="str">
        <f aca="false">IF(D266="","",IFERROR(INDEX(Empresas!$C:$C,MATCH(D266,Empresas!$B:$B,0)),"cadastre o CNPJ em Empresas"))</f>
        <v/>
      </c>
      <c r="F266" s="23"/>
      <c r="G266" s="35"/>
      <c r="H266" s="24"/>
      <c r="I266" s="11"/>
      <c r="J266" s="27" t="str">
        <f aca="false">IF(A266="","",YEAR(A266))</f>
        <v/>
      </c>
      <c r="K266" s="24"/>
      <c r="L266" s="11"/>
    </row>
    <row r="267" customFormat="false" ht="15" hidden="false" customHeight="false" outlineLevel="0" collapsed="false">
      <c r="A267" s="22"/>
      <c r="B267" s="11"/>
      <c r="C267" s="24"/>
      <c r="D267" s="31" t="str">
        <f aca="false">IF(C267="","",IF(LEN(UPPER(SUBSTITUTE(SUBSTITUTE(SUBSTITUTE(SUBSTITUTE(TRIM(C267),".",""),"/",""),"-","")," ","")))&lt;14,RIGHT(REPT("0",14)&amp;UPPER(SUBSTITUTE(SUBSTITUTE(SUBSTITUTE(SUBSTITUTE(TRIM(C267),".",""),"/",""),"-","")," ","")),14),UPPER(SUBSTITUTE(SUBSTITUTE(SUBSTITUTE(SUBSTITUTE(TRIM(C267),".",""),"/",""),"-","")," ",""))))</f>
        <v/>
      </c>
      <c r="E267" s="25" t="str">
        <f aca="false">IF(D267="","",IFERROR(INDEX(Empresas!$C:$C,MATCH(D267,Empresas!$B:$B,0)),"cadastre o CNPJ em Empresas"))</f>
        <v/>
      </c>
      <c r="F267" s="23"/>
      <c r="G267" s="35"/>
      <c r="H267" s="24"/>
      <c r="I267" s="11"/>
      <c r="J267" s="27" t="str">
        <f aca="false">IF(A267="","",YEAR(A267))</f>
        <v/>
      </c>
      <c r="K267" s="24"/>
      <c r="L267" s="11"/>
    </row>
    <row r="268" customFormat="false" ht="15" hidden="false" customHeight="false" outlineLevel="0" collapsed="false">
      <c r="A268" s="22"/>
      <c r="B268" s="11"/>
      <c r="C268" s="24"/>
      <c r="D268" s="31" t="str">
        <f aca="false">IF(C268="","",IF(LEN(UPPER(SUBSTITUTE(SUBSTITUTE(SUBSTITUTE(SUBSTITUTE(TRIM(C268),".",""),"/",""),"-","")," ","")))&lt;14,RIGHT(REPT("0",14)&amp;UPPER(SUBSTITUTE(SUBSTITUTE(SUBSTITUTE(SUBSTITUTE(TRIM(C268),".",""),"/",""),"-","")," ","")),14),UPPER(SUBSTITUTE(SUBSTITUTE(SUBSTITUTE(SUBSTITUTE(TRIM(C268),".",""),"/",""),"-","")," ",""))))</f>
        <v/>
      </c>
      <c r="E268" s="25" t="str">
        <f aca="false">IF(D268="","",IFERROR(INDEX(Empresas!$C:$C,MATCH(D268,Empresas!$B:$B,0)),"cadastre o CNPJ em Empresas"))</f>
        <v/>
      </c>
      <c r="F268" s="23"/>
      <c r="G268" s="35"/>
      <c r="H268" s="24"/>
      <c r="I268" s="11"/>
      <c r="J268" s="27" t="str">
        <f aca="false">IF(A268="","",YEAR(A268))</f>
        <v/>
      </c>
      <c r="K268" s="24"/>
      <c r="L268" s="11"/>
    </row>
    <row r="269" customFormat="false" ht="15" hidden="false" customHeight="false" outlineLevel="0" collapsed="false">
      <c r="A269" s="22"/>
      <c r="B269" s="11"/>
      <c r="C269" s="24"/>
      <c r="D269" s="31" t="str">
        <f aca="false">IF(C269="","",IF(LEN(UPPER(SUBSTITUTE(SUBSTITUTE(SUBSTITUTE(SUBSTITUTE(TRIM(C269),".",""),"/",""),"-","")," ","")))&lt;14,RIGHT(REPT("0",14)&amp;UPPER(SUBSTITUTE(SUBSTITUTE(SUBSTITUTE(SUBSTITUTE(TRIM(C269),".",""),"/",""),"-","")," ","")),14),UPPER(SUBSTITUTE(SUBSTITUTE(SUBSTITUTE(SUBSTITUTE(TRIM(C269),".",""),"/",""),"-","")," ",""))))</f>
        <v/>
      </c>
      <c r="E269" s="25" t="str">
        <f aca="false">IF(D269="","",IFERROR(INDEX(Empresas!$C:$C,MATCH(D269,Empresas!$B:$B,0)),"cadastre o CNPJ em Empresas"))</f>
        <v/>
      </c>
      <c r="F269" s="23"/>
      <c r="G269" s="35"/>
      <c r="H269" s="24"/>
      <c r="I269" s="11"/>
      <c r="J269" s="27" t="str">
        <f aca="false">IF(A269="","",YEAR(A269))</f>
        <v/>
      </c>
      <c r="K269" s="24"/>
      <c r="L269" s="11"/>
    </row>
    <row r="270" customFormat="false" ht="15" hidden="false" customHeight="false" outlineLevel="0" collapsed="false">
      <c r="A270" s="22"/>
      <c r="B270" s="11"/>
      <c r="C270" s="24"/>
      <c r="D270" s="31" t="str">
        <f aca="false">IF(C270="","",IF(LEN(UPPER(SUBSTITUTE(SUBSTITUTE(SUBSTITUTE(SUBSTITUTE(TRIM(C270),".",""),"/",""),"-","")," ","")))&lt;14,RIGHT(REPT("0",14)&amp;UPPER(SUBSTITUTE(SUBSTITUTE(SUBSTITUTE(SUBSTITUTE(TRIM(C270),".",""),"/",""),"-","")," ","")),14),UPPER(SUBSTITUTE(SUBSTITUTE(SUBSTITUTE(SUBSTITUTE(TRIM(C270),".",""),"/",""),"-","")," ",""))))</f>
        <v/>
      </c>
      <c r="E270" s="25" t="str">
        <f aca="false">IF(D270="","",IFERROR(INDEX(Empresas!$C:$C,MATCH(D270,Empresas!$B:$B,0)),"cadastre o CNPJ em Empresas"))</f>
        <v/>
      </c>
      <c r="F270" s="23"/>
      <c r="G270" s="35"/>
      <c r="H270" s="24"/>
      <c r="I270" s="11"/>
      <c r="J270" s="27" t="str">
        <f aca="false">IF(A270="","",YEAR(A270))</f>
        <v/>
      </c>
      <c r="K270" s="24"/>
      <c r="L270" s="11"/>
    </row>
    <row r="271" customFormat="false" ht="15" hidden="false" customHeight="false" outlineLevel="0" collapsed="false">
      <c r="A271" s="22"/>
      <c r="B271" s="11"/>
      <c r="C271" s="24"/>
      <c r="D271" s="31" t="str">
        <f aca="false">IF(C271="","",IF(LEN(UPPER(SUBSTITUTE(SUBSTITUTE(SUBSTITUTE(SUBSTITUTE(TRIM(C271),".",""),"/",""),"-","")," ","")))&lt;14,RIGHT(REPT("0",14)&amp;UPPER(SUBSTITUTE(SUBSTITUTE(SUBSTITUTE(SUBSTITUTE(TRIM(C271),".",""),"/",""),"-","")," ","")),14),UPPER(SUBSTITUTE(SUBSTITUTE(SUBSTITUTE(SUBSTITUTE(TRIM(C271),".",""),"/",""),"-","")," ",""))))</f>
        <v/>
      </c>
      <c r="E271" s="25" t="str">
        <f aca="false">IF(D271="","",IFERROR(INDEX(Empresas!$C:$C,MATCH(D271,Empresas!$B:$B,0)),"cadastre o CNPJ em Empresas"))</f>
        <v/>
      </c>
      <c r="F271" s="23"/>
      <c r="G271" s="35"/>
      <c r="H271" s="24"/>
      <c r="I271" s="11"/>
      <c r="J271" s="27" t="str">
        <f aca="false">IF(A271="","",YEAR(A271))</f>
        <v/>
      </c>
      <c r="K271" s="24"/>
      <c r="L271" s="11"/>
    </row>
    <row r="272" customFormat="false" ht="15" hidden="false" customHeight="false" outlineLevel="0" collapsed="false">
      <c r="A272" s="22"/>
      <c r="B272" s="11"/>
      <c r="C272" s="24"/>
      <c r="D272" s="31" t="str">
        <f aca="false">IF(C272="","",IF(LEN(UPPER(SUBSTITUTE(SUBSTITUTE(SUBSTITUTE(SUBSTITUTE(TRIM(C272),".",""),"/",""),"-","")," ","")))&lt;14,RIGHT(REPT("0",14)&amp;UPPER(SUBSTITUTE(SUBSTITUTE(SUBSTITUTE(SUBSTITUTE(TRIM(C272),".",""),"/",""),"-","")," ","")),14),UPPER(SUBSTITUTE(SUBSTITUTE(SUBSTITUTE(SUBSTITUTE(TRIM(C272),".",""),"/",""),"-","")," ",""))))</f>
        <v/>
      </c>
      <c r="E272" s="25" t="str">
        <f aca="false">IF(D272="","",IFERROR(INDEX(Empresas!$C:$C,MATCH(D272,Empresas!$B:$B,0)),"cadastre o CNPJ em Empresas"))</f>
        <v/>
      </c>
      <c r="F272" s="23"/>
      <c r="G272" s="35"/>
      <c r="H272" s="24"/>
      <c r="I272" s="11"/>
      <c r="J272" s="27" t="str">
        <f aca="false">IF(A272="","",YEAR(A272))</f>
        <v/>
      </c>
      <c r="K272" s="24"/>
      <c r="L272" s="11"/>
    </row>
    <row r="273" customFormat="false" ht="15" hidden="false" customHeight="false" outlineLevel="0" collapsed="false">
      <c r="A273" s="22"/>
      <c r="B273" s="11"/>
      <c r="C273" s="24"/>
      <c r="D273" s="31" t="str">
        <f aca="false">IF(C273="","",IF(LEN(UPPER(SUBSTITUTE(SUBSTITUTE(SUBSTITUTE(SUBSTITUTE(TRIM(C273),".",""),"/",""),"-","")," ","")))&lt;14,RIGHT(REPT("0",14)&amp;UPPER(SUBSTITUTE(SUBSTITUTE(SUBSTITUTE(SUBSTITUTE(TRIM(C273),".",""),"/",""),"-","")," ","")),14),UPPER(SUBSTITUTE(SUBSTITUTE(SUBSTITUTE(SUBSTITUTE(TRIM(C273),".",""),"/",""),"-","")," ",""))))</f>
        <v/>
      </c>
      <c r="E273" s="25" t="str">
        <f aca="false">IF(D273="","",IFERROR(INDEX(Empresas!$C:$C,MATCH(D273,Empresas!$B:$B,0)),"cadastre o CNPJ em Empresas"))</f>
        <v/>
      </c>
      <c r="F273" s="23"/>
      <c r="G273" s="35"/>
      <c r="H273" s="24"/>
      <c r="I273" s="11"/>
      <c r="J273" s="27" t="str">
        <f aca="false">IF(A273="","",YEAR(A273))</f>
        <v/>
      </c>
      <c r="K273" s="24"/>
      <c r="L273" s="11"/>
    </row>
    <row r="274" customFormat="false" ht="15" hidden="false" customHeight="false" outlineLevel="0" collapsed="false">
      <c r="A274" s="22"/>
      <c r="B274" s="11"/>
      <c r="C274" s="24"/>
      <c r="D274" s="31" t="str">
        <f aca="false">IF(C274="","",IF(LEN(UPPER(SUBSTITUTE(SUBSTITUTE(SUBSTITUTE(SUBSTITUTE(TRIM(C274),".",""),"/",""),"-","")," ","")))&lt;14,RIGHT(REPT("0",14)&amp;UPPER(SUBSTITUTE(SUBSTITUTE(SUBSTITUTE(SUBSTITUTE(TRIM(C274),".",""),"/",""),"-","")," ","")),14),UPPER(SUBSTITUTE(SUBSTITUTE(SUBSTITUTE(SUBSTITUTE(TRIM(C274),".",""),"/",""),"-","")," ",""))))</f>
        <v/>
      </c>
      <c r="E274" s="25" t="str">
        <f aca="false">IF(D274="","",IFERROR(INDEX(Empresas!$C:$C,MATCH(D274,Empresas!$B:$B,0)),"cadastre o CNPJ em Empresas"))</f>
        <v/>
      </c>
      <c r="F274" s="23"/>
      <c r="G274" s="35"/>
      <c r="H274" s="24"/>
      <c r="I274" s="11"/>
      <c r="J274" s="27" t="str">
        <f aca="false">IF(A274="","",YEAR(A274))</f>
        <v/>
      </c>
      <c r="K274" s="24"/>
      <c r="L274" s="11"/>
    </row>
    <row r="275" customFormat="false" ht="15" hidden="false" customHeight="false" outlineLevel="0" collapsed="false">
      <c r="A275" s="22"/>
      <c r="B275" s="11"/>
      <c r="C275" s="24"/>
      <c r="D275" s="31" t="str">
        <f aca="false">IF(C275="","",IF(LEN(UPPER(SUBSTITUTE(SUBSTITUTE(SUBSTITUTE(SUBSTITUTE(TRIM(C275),".",""),"/",""),"-","")," ","")))&lt;14,RIGHT(REPT("0",14)&amp;UPPER(SUBSTITUTE(SUBSTITUTE(SUBSTITUTE(SUBSTITUTE(TRIM(C275),".",""),"/",""),"-","")," ","")),14),UPPER(SUBSTITUTE(SUBSTITUTE(SUBSTITUTE(SUBSTITUTE(TRIM(C275),".",""),"/",""),"-","")," ",""))))</f>
        <v/>
      </c>
      <c r="E275" s="25" t="str">
        <f aca="false">IF(D275="","",IFERROR(INDEX(Empresas!$C:$C,MATCH(D275,Empresas!$B:$B,0)),"cadastre o CNPJ em Empresas"))</f>
        <v/>
      </c>
      <c r="F275" s="23"/>
      <c r="G275" s="35"/>
      <c r="H275" s="24"/>
      <c r="I275" s="11"/>
      <c r="J275" s="27" t="str">
        <f aca="false">IF(A275="","",YEAR(A275))</f>
        <v/>
      </c>
      <c r="K275" s="24"/>
      <c r="L275" s="11"/>
    </row>
    <row r="276" customFormat="false" ht="15" hidden="false" customHeight="false" outlineLevel="0" collapsed="false">
      <c r="A276" s="22"/>
      <c r="B276" s="11"/>
      <c r="C276" s="24"/>
      <c r="D276" s="31" t="str">
        <f aca="false">IF(C276="","",IF(LEN(UPPER(SUBSTITUTE(SUBSTITUTE(SUBSTITUTE(SUBSTITUTE(TRIM(C276),".",""),"/",""),"-","")," ","")))&lt;14,RIGHT(REPT("0",14)&amp;UPPER(SUBSTITUTE(SUBSTITUTE(SUBSTITUTE(SUBSTITUTE(TRIM(C276),".",""),"/",""),"-","")," ","")),14),UPPER(SUBSTITUTE(SUBSTITUTE(SUBSTITUTE(SUBSTITUTE(TRIM(C276),".",""),"/",""),"-","")," ",""))))</f>
        <v/>
      </c>
      <c r="E276" s="25" t="str">
        <f aca="false">IF(D276="","",IFERROR(INDEX(Empresas!$C:$C,MATCH(D276,Empresas!$B:$B,0)),"cadastre o CNPJ em Empresas"))</f>
        <v/>
      </c>
      <c r="F276" s="23"/>
      <c r="G276" s="35"/>
      <c r="H276" s="24"/>
      <c r="I276" s="11"/>
      <c r="J276" s="27" t="str">
        <f aca="false">IF(A276="","",YEAR(A276))</f>
        <v/>
      </c>
      <c r="K276" s="24"/>
      <c r="L276" s="11"/>
    </row>
    <row r="277" customFormat="false" ht="15" hidden="false" customHeight="false" outlineLevel="0" collapsed="false">
      <c r="A277" s="22"/>
      <c r="B277" s="11"/>
      <c r="C277" s="24"/>
      <c r="D277" s="31" t="str">
        <f aca="false">IF(C277="","",IF(LEN(UPPER(SUBSTITUTE(SUBSTITUTE(SUBSTITUTE(SUBSTITUTE(TRIM(C277),".",""),"/",""),"-","")," ","")))&lt;14,RIGHT(REPT("0",14)&amp;UPPER(SUBSTITUTE(SUBSTITUTE(SUBSTITUTE(SUBSTITUTE(TRIM(C277),".",""),"/",""),"-","")," ","")),14),UPPER(SUBSTITUTE(SUBSTITUTE(SUBSTITUTE(SUBSTITUTE(TRIM(C277),".",""),"/",""),"-","")," ",""))))</f>
        <v/>
      </c>
      <c r="E277" s="25" t="str">
        <f aca="false">IF(D277="","",IFERROR(INDEX(Empresas!$C:$C,MATCH(D277,Empresas!$B:$B,0)),"cadastre o CNPJ em Empresas"))</f>
        <v/>
      </c>
      <c r="F277" s="23"/>
      <c r="G277" s="35"/>
      <c r="H277" s="24"/>
      <c r="I277" s="11"/>
      <c r="J277" s="27" t="str">
        <f aca="false">IF(A277="","",YEAR(A277))</f>
        <v/>
      </c>
      <c r="K277" s="24"/>
      <c r="L277" s="11"/>
    </row>
    <row r="278" customFormat="false" ht="15" hidden="false" customHeight="false" outlineLevel="0" collapsed="false">
      <c r="A278" s="22"/>
      <c r="B278" s="11"/>
      <c r="C278" s="24"/>
      <c r="D278" s="31" t="str">
        <f aca="false">IF(C278="","",IF(LEN(UPPER(SUBSTITUTE(SUBSTITUTE(SUBSTITUTE(SUBSTITUTE(TRIM(C278),".",""),"/",""),"-","")," ","")))&lt;14,RIGHT(REPT("0",14)&amp;UPPER(SUBSTITUTE(SUBSTITUTE(SUBSTITUTE(SUBSTITUTE(TRIM(C278),".",""),"/",""),"-","")," ","")),14),UPPER(SUBSTITUTE(SUBSTITUTE(SUBSTITUTE(SUBSTITUTE(TRIM(C278),".",""),"/",""),"-","")," ",""))))</f>
        <v/>
      </c>
      <c r="E278" s="25" t="str">
        <f aca="false">IF(D278="","",IFERROR(INDEX(Empresas!$C:$C,MATCH(D278,Empresas!$B:$B,0)),"cadastre o CNPJ em Empresas"))</f>
        <v/>
      </c>
      <c r="F278" s="23"/>
      <c r="G278" s="35"/>
      <c r="H278" s="24"/>
      <c r="I278" s="11"/>
      <c r="J278" s="27" t="str">
        <f aca="false">IF(A278="","",YEAR(A278))</f>
        <v/>
      </c>
      <c r="K278" s="24"/>
      <c r="L278" s="11"/>
    </row>
    <row r="279" customFormat="false" ht="15" hidden="false" customHeight="false" outlineLevel="0" collapsed="false">
      <c r="A279" s="22"/>
      <c r="B279" s="11"/>
      <c r="C279" s="24"/>
      <c r="D279" s="31" t="str">
        <f aca="false">IF(C279="","",IF(LEN(UPPER(SUBSTITUTE(SUBSTITUTE(SUBSTITUTE(SUBSTITUTE(TRIM(C279),".",""),"/",""),"-","")," ","")))&lt;14,RIGHT(REPT("0",14)&amp;UPPER(SUBSTITUTE(SUBSTITUTE(SUBSTITUTE(SUBSTITUTE(TRIM(C279),".",""),"/",""),"-","")," ","")),14),UPPER(SUBSTITUTE(SUBSTITUTE(SUBSTITUTE(SUBSTITUTE(TRIM(C279),".",""),"/",""),"-","")," ",""))))</f>
        <v/>
      </c>
      <c r="E279" s="25" t="str">
        <f aca="false">IF(D279="","",IFERROR(INDEX(Empresas!$C:$C,MATCH(D279,Empresas!$B:$B,0)),"cadastre o CNPJ em Empresas"))</f>
        <v/>
      </c>
      <c r="F279" s="23"/>
      <c r="G279" s="35"/>
      <c r="H279" s="24"/>
      <c r="I279" s="11"/>
      <c r="J279" s="27" t="str">
        <f aca="false">IF(A279="","",YEAR(A279))</f>
        <v/>
      </c>
      <c r="K279" s="24"/>
      <c r="L279" s="11"/>
    </row>
    <row r="280" customFormat="false" ht="15" hidden="false" customHeight="false" outlineLevel="0" collapsed="false">
      <c r="A280" s="22"/>
      <c r="B280" s="11"/>
      <c r="C280" s="24"/>
      <c r="D280" s="31" t="str">
        <f aca="false">IF(C280="","",IF(LEN(UPPER(SUBSTITUTE(SUBSTITUTE(SUBSTITUTE(SUBSTITUTE(TRIM(C280),".",""),"/",""),"-","")," ","")))&lt;14,RIGHT(REPT("0",14)&amp;UPPER(SUBSTITUTE(SUBSTITUTE(SUBSTITUTE(SUBSTITUTE(TRIM(C280),".",""),"/",""),"-","")," ","")),14),UPPER(SUBSTITUTE(SUBSTITUTE(SUBSTITUTE(SUBSTITUTE(TRIM(C280),".",""),"/",""),"-","")," ",""))))</f>
        <v/>
      </c>
      <c r="E280" s="25" t="str">
        <f aca="false">IF(D280="","",IFERROR(INDEX(Empresas!$C:$C,MATCH(D280,Empresas!$B:$B,0)),"cadastre o CNPJ em Empresas"))</f>
        <v/>
      </c>
      <c r="F280" s="23"/>
      <c r="G280" s="35"/>
      <c r="H280" s="24"/>
      <c r="I280" s="11"/>
      <c r="J280" s="27" t="str">
        <f aca="false">IF(A280="","",YEAR(A280))</f>
        <v/>
      </c>
      <c r="K280" s="24"/>
      <c r="L280" s="11"/>
    </row>
    <row r="281" customFormat="false" ht="15" hidden="false" customHeight="false" outlineLevel="0" collapsed="false">
      <c r="A281" s="22"/>
      <c r="B281" s="11"/>
      <c r="C281" s="24"/>
      <c r="D281" s="31" t="str">
        <f aca="false">IF(C281="","",IF(LEN(UPPER(SUBSTITUTE(SUBSTITUTE(SUBSTITUTE(SUBSTITUTE(TRIM(C281),".",""),"/",""),"-","")," ","")))&lt;14,RIGHT(REPT("0",14)&amp;UPPER(SUBSTITUTE(SUBSTITUTE(SUBSTITUTE(SUBSTITUTE(TRIM(C281),".",""),"/",""),"-","")," ","")),14),UPPER(SUBSTITUTE(SUBSTITUTE(SUBSTITUTE(SUBSTITUTE(TRIM(C281),".",""),"/",""),"-","")," ",""))))</f>
        <v/>
      </c>
      <c r="E281" s="25" t="str">
        <f aca="false">IF(D281="","",IFERROR(INDEX(Empresas!$C:$C,MATCH(D281,Empresas!$B:$B,0)),"cadastre o CNPJ em Empresas"))</f>
        <v/>
      </c>
      <c r="F281" s="23"/>
      <c r="G281" s="35"/>
      <c r="H281" s="24"/>
      <c r="I281" s="11"/>
      <c r="J281" s="27" t="str">
        <f aca="false">IF(A281="","",YEAR(A281))</f>
        <v/>
      </c>
      <c r="K281" s="24"/>
      <c r="L281" s="11"/>
    </row>
    <row r="282" customFormat="false" ht="15" hidden="false" customHeight="false" outlineLevel="0" collapsed="false">
      <c r="A282" s="22"/>
      <c r="B282" s="11"/>
      <c r="C282" s="24"/>
      <c r="D282" s="31" t="str">
        <f aca="false">IF(C282="","",IF(LEN(UPPER(SUBSTITUTE(SUBSTITUTE(SUBSTITUTE(SUBSTITUTE(TRIM(C282),".",""),"/",""),"-","")," ","")))&lt;14,RIGHT(REPT("0",14)&amp;UPPER(SUBSTITUTE(SUBSTITUTE(SUBSTITUTE(SUBSTITUTE(TRIM(C282),".",""),"/",""),"-","")," ","")),14),UPPER(SUBSTITUTE(SUBSTITUTE(SUBSTITUTE(SUBSTITUTE(TRIM(C282),".",""),"/",""),"-","")," ",""))))</f>
        <v/>
      </c>
      <c r="E282" s="25" t="str">
        <f aca="false">IF(D282="","",IFERROR(INDEX(Empresas!$C:$C,MATCH(D282,Empresas!$B:$B,0)),"cadastre o CNPJ em Empresas"))</f>
        <v/>
      </c>
      <c r="F282" s="23"/>
      <c r="G282" s="35"/>
      <c r="H282" s="24"/>
      <c r="I282" s="11"/>
      <c r="J282" s="27" t="str">
        <f aca="false">IF(A282="","",YEAR(A282))</f>
        <v/>
      </c>
      <c r="K282" s="24"/>
      <c r="L282" s="11"/>
    </row>
    <row r="283" customFormat="false" ht="15" hidden="false" customHeight="false" outlineLevel="0" collapsed="false">
      <c r="A283" s="22"/>
      <c r="B283" s="11"/>
      <c r="C283" s="24"/>
      <c r="D283" s="31" t="str">
        <f aca="false">IF(C283="","",IF(LEN(UPPER(SUBSTITUTE(SUBSTITUTE(SUBSTITUTE(SUBSTITUTE(TRIM(C283),".",""),"/",""),"-","")," ","")))&lt;14,RIGHT(REPT("0",14)&amp;UPPER(SUBSTITUTE(SUBSTITUTE(SUBSTITUTE(SUBSTITUTE(TRIM(C283),".",""),"/",""),"-","")," ","")),14),UPPER(SUBSTITUTE(SUBSTITUTE(SUBSTITUTE(SUBSTITUTE(TRIM(C283),".",""),"/",""),"-","")," ",""))))</f>
        <v/>
      </c>
      <c r="E283" s="25" t="str">
        <f aca="false">IF(D283="","",IFERROR(INDEX(Empresas!$C:$C,MATCH(D283,Empresas!$B:$B,0)),"cadastre o CNPJ em Empresas"))</f>
        <v/>
      </c>
      <c r="F283" s="23"/>
      <c r="G283" s="35"/>
      <c r="H283" s="24"/>
      <c r="I283" s="11"/>
      <c r="J283" s="27" t="str">
        <f aca="false">IF(A283="","",YEAR(A283))</f>
        <v/>
      </c>
      <c r="K283" s="24"/>
      <c r="L283" s="11"/>
    </row>
    <row r="284" customFormat="false" ht="15" hidden="false" customHeight="false" outlineLevel="0" collapsed="false">
      <c r="A284" s="22"/>
      <c r="B284" s="11"/>
      <c r="C284" s="24"/>
      <c r="D284" s="31" t="str">
        <f aca="false">IF(C284="","",IF(LEN(UPPER(SUBSTITUTE(SUBSTITUTE(SUBSTITUTE(SUBSTITUTE(TRIM(C284),".",""),"/",""),"-","")," ","")))&lt;14,RIGHT(REPT("0",14)&amp;UPPER(SUBSTITUTE(SUBSTITUTE(SUBSTITUTE(SUBSTITUTE(TRIM(C284),".",""),"/",""),"-","")," ","")),14),UPPER(SUBSTITUTE(SUBSTITUTE(SUBSTITUTE(SUBSTITUTE(TRIM(C284),".",""),"/",""),"-","")," ",""))))</f>
        <v/>
      </c>
      <c r="E284" s="25" t="str">
        <f aca="false">IF(D284="","",IFERROR(INDEX(Empresas!$C:$C,MATCH(D284,Empresas!$B:$B,0)),"cadastre o CNPJ em Empresas"))</f>
        <v/>
      </c>
      <c r="F284" s="23"/>
      <c r="G284" s="35"/>
      <c r="H284" s="24"/>
      <c r="I284" s="11"/>
      <c r="J284" s="27" t="str">
        <f aca="false">IF(A284="","",YEAR(A284))</f>
        <v/>
      </c>
      <c r="K284" s="24"/>
      <c r="L284" s="11"/>
    </row>
    <row r="285" customFormat="false" ht="15" hidden="false" customHeight="false" outlineLevel="0" collapsed="false">
      <c r="A285" s="22"/>
      <c r="B285" s="11"/>
      <c r="C285" s="24"/>
      <c r="D285" s="31" t="str">
        <f aca="false">IF(C285="","",IF(LEN(UPPER(SUBSTITUTE(SUBSTITUTE(SUBSTITUTE(SUBSTITUTE(TRIM(C285),".",""),"/",""),"-","")," ","")))&lt;14,RIGHT(REPT("0",14)&amp;UPPER(SUBSTITUTE(SUBSTITUTE(SUBSTITUTE(SUBSTITUTE(TRIM(C285),".",""),"/",""),"-","")," ","")),14),UPPER(SUBSTITUTE(SUBSTITUTE(SUBSTITUTE(SUBSTITUTE(TRIM(C285),".",""),"/",""),"-","")," ",""))))</f>
        <v/>
      </c>
      <c r="E285" s="25" t="str">
        <f aca="false">IF(D285="","",IFERROR(INDEX(Empresas!$C:$C,MATCH(D285,Empresas!$B:$B,0)),"cadastre o CNPJ em Empresas"))</f>
        <v/>
      </c>
      <c r="F285" s="23"/>
      <c r="G285" s="35"/>
      <c r="H285" s="24"/>
      <c r="I285" s="11"/>
      <c r="J285" s="27" t="str">
        <f aca="false">IF(A285="","",YEAR(A285))</f>
        <v/>
      </c>
      <c r="K285" s="24"/>
      <c r="L285" s="11"/>
    </row>
    <row r="286" customFormat="false" ht="15" hidden="false" customHeight="false" outlineLevel="0" collapsed="false">
      <c r="A286" s="22"/>
      <c r="B286" s="11"/>
      <c r="C286" s="24"/>
      <c r="D286" s="31" t="str">
        <f aca="false">IF(C286="","",IF(LEN(UPPER(SUBSTITUTE(SUBSTITUTE(SUBSTITUTE(SUBSTITUTE(TRIM(C286),".",""),"/",""),"-","")," ","")))&lt;14,RIGHT(REPT("0",14)&amp;UPPER(SUBSTITUTE(SUBSTITUTE(SUBSTITUTE(SUBSTITUTE(TRIM(C286),".",""),"/",""),"-","")," ","")),14),UPPER(SUBSTITUTE(SUBSTITUTE(SUBSTITUTE(SUBSTITUTE(TRIM(C286),".",""),"/",""),"-","")," ",""))))</f>
        <v/>
      </c>
      <c r="E286" s="25" t="str">
        <f aca="false">IF(D286="","",IFERROR(INDEX(Empresas!$C:$C,MATCH(D286,Empresas!$B:$B,0)),"cadastre o CNPJ em Empresas"))</f>
        <v/>
      </c>
      <c r="F286" s="23"/>
      <c r="G286" s="35"/>
      <c r="H286" s="24"/>
      <c r="I286" s="11"/>
      <c r="J286" s="27" t="str">
        <f aca="false">IF(A286="","",YEAR(A286))</f>
        <v/>
      </c>
      <c r="K286" s="24"/>
      <c r="L286" s="11"/>
    </row>
    <row r="287" customFormat="false" ht="15" hidden="false" customHeight="false" outlineLevel="0" collapsed="false">
      <c r="A287" s="22"/>
      <c r="B287" s="11"/>
      <c r="C287" s="24"/>
      <c r="D287" s="31" t="str">
        <f aca="false">IF(C287="","",IF(LEN(UPPER(SUBSTITUTE(SUBSTITUTE(SUBSTITUTE(SUBSTITUTE(TRIM(C287),".",""),"/",""),"-","")," ","")))&lt;14,RIGHT(REPT("0",14)&amp;UPPER(SUBSTITUTE(SUBSTITUTE(SUBSTITUTE(SUBSTITUTE(TRIM(C287),".",""),"/",""),"-","")," ","")),14),UPPER(SUBSTITUTE(SUBSTITUTE(SUBSTITUTE(SUBSTITUTE(TRIM(C287),".",""),"/",""),"-","")," ",""))))</f>
        <v/>
      </c>
      <c r="E287" s="25" t="str">
        <f aca="false">IF(D287="","",IFERROR(INDEX(Empresas!$C:$C,MATCH(D287,Empresas!$B:$B,0)),"cadastre o CNPJ em Empresas"))</f>
        <v/>
      </c>
      <c r="F287" s="23"/>
      <c r="G287" s="35"/>
      <c r="H287" s="24"/>
      <c r="I287" s="11"/>
      <c r="J287" s="27" t="str">
        <f aca="false">IF(A287="","",YEAR(A287))</f>
        <v/>
      </c>
      <c r="K287" s="24"/>
      <c r="L287" s="11"/>
    </row>
    <row r="288" customFormat="false" ht="15" hidden="false" customHeight="false" outlineLevel="0" collapsed="false">
      <c r="A288" s="22"/>
      <c r="B288" s="11"/>
      <c r="C288" s="24"/>
      <c r="D288" s="31" t="str">
        <f aca="false">IF(C288="","",IF(LEN(UPPER(SUBSTITUTE(SUBSTITUTE(SUBSTITUTE(SUBSTITUTE(TRIM(C288),".",""),"/",""),"-","")," ","")))&lt;14,RIGHT(REPT("0",14)&amp;UPPER(SUBSTITUTE(SUBSTITUTE(SUBSTITUTE(SUBSTITUTE(TRIM(C288),".",""),"/",""),"-","")," ","")),14),UPPER(SUBSTITUTE(SUBSTITUTE(SUBSTITUTE(SUBSTITUTE(TRIM(C288),".",""),"/",""),"-","")," ",""))))</f>
        <v/>
      </c>
      <c r="E288" s="25" t="str">
        <f aca="false">IF(D288="","",IFERROR(INDEX(Empresas!$C:$C,MATCH(D288,Empresas!$B:$B,0)),"cadastre o CNPJ em Empresas"))</f>
        <v/>
      </c>
      <c r="F288" s="23"/>
      <c r="G288" s="35"/>
      <c r="H288" s="24"/>
      <c r="I288" s="11"/>
      <c r="J288" s="27" t="str">
        <f aca="false">IF(A288="","",YEAR(A288))</f>
        <v/>
      </c>
      <c r="K288" s="24"/>
      <c r="L288" s="11"/>
    </row>
    <row r="289" customFormat="false" ht="15" hidden="false" customHeight="false" outlineLevel="0" collapsed="false">
      <c r="A289" s="22"/>
      <c r="B289" s="11"/>
      <c r="C289" s="24"/>
      <c r="D289" s="31" t="str">
        <f aca="false">IF(C289="","",IF(LEN(UPPER(SUBSTITUTE(SUBSTITUTE(SUBSTITUTE(SUBSTITUTE(TRIM(C289),".",""),"/",""),"-","")," ","")))&lt;14,RIGHT(REPT("0",14)&amp;UPPER(SUBSTITUTE(SUBSTITUTE(SUBSTITUTE(SUBSTITUTE(TRIM(C289),".",""),"/",""),"-","")," ","")),14),UPPER(SUBSTITUTE(SUBSTITUTE(SUBSTITUTE(SUBSTITUTE(TRIM(C289),".",""),"/",""),"-","")," ",""))))</f>
        <v/>
      </c>
      <c r="E289" s="25" t="str">
        <f aca="false">IF(D289="","",IFERROR(INDEX(Empresas!$C:$C,MATCH(D289,Empresas!$B:$B,0)),"cadastre o CNPJ em Empresas"))</f>
        <v/>
      </c>
      <c r="F289" s="23"/>
      <c r="G289" s="35"/>
      <c r="H289" s="24"/>
      <c r="I289" s="11"/>
      <c r="J289" s="27" t="str">
        <f aca="false">IF(A289="","",YEAR(A289))</f>
        <v/>
      </c>
      <c r="K289" s="24"/>
      <c r="L289" s="11"/>
    </row>
    <row r="290" customFormat="false" ht="15" hidden="false" customHeight="false" outlineLevel="0" collapsed="false">
      <c r="A290" s="22"/>
      <c r="B290" s="11"/>
      <c r="C290" s="24"/>
      <c r="D290" s="31" t="str">
        <f aca="false">IF(C290="","",IF(LEN(UPPER(SUBSTITUTE(SUBSTITUTE(SUBSTITUTE(SUBSTITUTE(TRIM(C290),".",""),"/",""),"-","")," ","")))&lt;14,RIGHT(REPT("0",14)&amp;UPPER(SUBSTITUTE(SUBSTITUTE(SUBSTITUTE(SUBSTITUTE(TRIM(C290),".",""),"/",""),"-","")," ","")),14),UPPER(SUBSTITUTE(SUBSTITUTE(SUBSTITUTE(SUBSTITUTE(TRIM(C290),".",""),"/",""),"-","")," ",""))))</f>
        <v/>
      </c>
      <c r="E290" s="25" t="str">
        <f aca="false">IF(D290="","",IFERROR(INDEX(Empresas!$C:$C,MATCH(D290,Empresas!$B:$B,0)),"cadastre o CNPJ em Empresas"))</f>
        <v/>
      </c>
      <c r="F290" s="23"/>
      <c r="G290" s="35"/>
      <c r="H290" s="24"/>
      <c r="I290" s="11"/>
      <c r="J290" s="27" t="str">
        <f aca="false">IF(A290="","",YEAR(A290))</f>
        <v/>
      </c>
      <c r="K290" s="24"/>
      <c r="L290" s="11"/>
    </row>
    <row r="291" customFormat="false" ht="15" hidden="false" customHeight="false" outlineLevel="0" collapsed="false">
      <c r="A291" s="22"/>
      <c r="B291" s="11"/>
      <c r="C291" s="24"/>
      <c r="D291" s="31" t="str">
        <f aca="false">IF(C291="","",IF(LEN(UPPER(SUBSTITUTE(SUBSTITUTE(SUBSTITUTE(SUBSTITUTE(TRIM(C291),".",""),"/",""),"-","")," ","")))&lt;14,RIGHT(REPT("0",14)&amp;UPPER(SUBSTITUTE(SUBSTITUTE(SUBSTITUTE(SUBSTITUTE(TRIM(C291),".",""),"/",""),"-","")," ","")),14),UPPER(SUBSTITUTE(SUBSTITUTE(SUBSTITUTE(SUBSTITUTE(TRIM(C291),".",""),"/",""),"-","")," ",""))))</f>
        <v/>
      </c>
      <c r="E291" s="25" t="str">
        <f aca="false">IF(D291="","",IFERROR(INDEX(Empresas!$C:$C,MATCH(D291,Empresas!$B:$B,0)),"cadastre o CNPJ em Empresas"))</f>
        <v/>
      </c>
      <c r="F291" s="23"/>
      <c r="G291" s="35"/>
      <c r="H291" s="24"/>
      <c r="I291" s="11"/>
      <c r="J291" s="27" t="str">
        <f aca="false">IF(A291="","",YEAR(A291))</f>
        <v/>
      </c>
      <c r="K291" s="24"/>
      <c r="L291" s="11"/>
    </row>
    <row r="292" customFormat="false" ht="15" hidden="false" customHeight="false" outlineLevel="0" collapsed="false">
      <c r="A292" s="22"/>
      <c r="B292" s="11"/>
      <c r="C292" s="24"/>
      <c r="D292" s="31" t="str">
        <f aca="false">IF(C292="","",IF(LEN(UPPER(SUBSTITUTE(SUBSTITUTE(SUBSTITUTE(SUBSTITUTE(TRIM(C292),".",""),"/",""),"-","")," ","")))&lt;14,RIGHT(REPT("0",14)&amp;UPPER(SUBSTITUTE(SUBSTITUTE(SUBSTITUTE(SUBSTITUTE(TRIM(C292),".",""),"/",""),"-","")," ","")),14),UPPER(SUBSTITUTE(SUBSTITUTE(SUBSTITUTE(SUBSTITUTE(TRIM(C292),".",""),"/",""),"-","")," ",""))))</f>
        <v/>
      </c>
      <c r="E292" s="25" t="str">
        <f aca="false">IF(D292="","",IFERROR(INDEX(Empresas!$C:$C,MATCH(D292,Empresas!$B:$B,0)),"cadastre o CNPJ em Empresas"))</f>
        <v/>
      </c>
      <c r="F292" s="23"/>
      <c r="G292" s="35"/>
      <c r="H292" s="24"/>
      <c r="I292" s="11"/>
      <c r="J292" s="27" t="str">
        <f aca="false">IF(A292="","",YEAR(A292))</f>
        <v/>
      </c>
      <c r="K292" s="24"/>
      <c r="L292" s="11"/>
    </row>
    <row r="293" customFormat="false" ht="15" hidden="false" customHeight="false" outlineLevel="0" collapsed="false">
      <c r="A293" s="22"/>
      <c r="B293" s="11"/>
      <c r="C293" s="24"/>
      <c r="D293" s="31" t="str">
        <f aca="false">IF(C293="","",IF(LEN(UPPER(SUBSTITUTE(SUBSTITUTE(SUBSTITUTE(SUBSTITUTE(TRIM(C293),".",""),"/",""),"-","")," ","")))&lt;14,RIGHT(REPT("0",14)&amp;UPPER(SUBSTITUTE(SUBSTITUTE(SUBSTITUTE(SUBSTITUTE(TRIM(C293),".",""),"/",""),"-","")," ","")),14),UPPER(SUBSTITUTE(SUBSTITUTE(SUBSTITUTE(SUBSTITUTE(TRIM(C293),".",""),"/",""),"-","")," ",""))))</f>
        <v/>
      </c>
      <c r="E293" s="25" t="str">
        <f aca="false">IF(D293="","",IFERROR(INDEX(Empresas!$C:$C,MATCH(D293,Empresas!$B:$B,0)),"cadastre o CNPJ em Empresas"))</f>
        <v/>
      </c>
      <c r="F293" s="23"/>
      <c r="G293" s="35"/>
      <c r="H293" s="24"/>
      <c r="I293" s="11"/>
      <c r="J293" s="27" t="str">
        <f aca="false">IF(A293="","",YEAR(A293))</f>
        <v/>
      </c>
      <c r="K293" s="24"/>
      <c r="L293" s="11"/>
    </row>
    <row r="294" customFormat="false" ht="15" hidden="false" customHeight="false" outlineLevel="0" collapsed="false">
      <c r="A294" s="22"/>
      <c r="B294" s="11"/>
      <c r="C294" s="24"/>
      <c r="D294" s="31" t="str">
        <f aca="false">IF(C294="","",IF(LEN(UPPER(SUBSTITUTE(SUBSTITUTE(SUBSTITUTE(SUBSTITUTE(TRIM(C294),".",""),"/",""),"-","")," ","")))&lt;14,RIGHT(REPT("0",14)&amp;UPPER(SUBSTITUTE(SUBSTITUTE(SUBSTITUTE(SUBSTITUTE(TRIM(C294),".",""),"/",""),"-","")," ","")),14),UPPER(SUBSTITUTE(SUBSTITUTE(SUBSTITUTE(SUBSTITUTE(TRIM(C294),".",""),"/",""),"-","")," ",""))))</f>
        <v/>
      </c>
      <c r="E294" s="25" t="str">
        <f aca="false">IF(D294="","",IFERROR(INDEX(Empresas!$C:$C,MATCH(D294,Empresas!$B:$B,0)),"cadastre o CNPJ em Empresas"))</f>
        <v/>
      </c>
      <c r="F294" s="23"/>
      <c r="G294" s="35"/>
      <c r="H294" s="24"/>
      <c r="I294" s="11"/>
      <c r="J294" s="27" t="str">
        <f aca="false">IF(A294="","",YEAR(A294))</f>
        <v/>
      </c>
      <c r="K294" s="24"/>
      <c r="L294" s="11"/>
    </row>
    <row r="295" customFormat="false" ht="15" hidden="false" customHeight="false" outlineLevel="0" collapsed="false">
      <c r="A295" s="22"/>
      <c r="B295" s="11"/>
      <c r="C295" s="24"/>
      <c r="D295" s="31" t="str">
        <f aca="false">IF(C295="","",IF(LEN(UPPER(SUBSTITUTE(SUBSTITUTE(SUBSTITUTE(SUBSTITUTE(TRIM(C295),".",""),"/",""),"-","")," ","")))&lt;14,RIGHT(REPT("0",14)&amp;UPPER(SUBSTITUTE(SUBSTITUTE(SUBSTITUTE(SUBSTITUTE(TRIM(C295),".",""),"/",""),"-","")," ","")),14),UPPER(SUBSTITUTE(SUBSTITUTE(SUBSTITUTE(SUBSTITUTE(TRIM(C295),".",""),"/",""),"-","")," ",""))))</f>
        <v/>
      </c>
      <c r="E295" s="25" t="str">
        <f aca="false">IF(D295="","",IFERROR(INDEX(Empresas!$C:$C,MATCH(D295,Empresas!$B:$B,0)),"cadastre o CNPJ em Empresas"))</f>
        <v/>
      </c>
      <c r="F295" s="23"/>
      <c r="G295" s="35"/>
      <c r="H295" s="24"/>
      <c r="I295" s="11"/>
      <c r="J295" s="27" t="str">
        <f aca="false">IF(A295="","",YEAR(A295))</f>
        <v/>
      </c>
      <c r="K295" s="24"/>
      <c r="L295" s="11"/>
    </row>
    <row r="296" customFormat="false" ht="15" hidden="false" customHeight="false" outlineLevel="0" collapsed="false">
      <c r="A296" s="22"/>
      <c r="B296" s="11"/>
      <c r="C296" s="24"/>
      <c r="D296" s="31" t="str">
        <f aca="false">IF(C296="","",IF(LEN(UPPER(SUBSTITUTE(SUBSTITUTE(SUBSTITUTE(SUBSTITUTE(TRIM(C296),".",""),"/",""),"-","")," ","")))&lt;14,RIGHT(REPT("0",14)&amp;UPPER(SUBSTITUTE(SUBSTITUTE(SUBSTITUTE(SUBSTITUTE(TRIM(C296),".",""),"/",""),"-","")," ","")),14),UPPER(SUBSTITUTE(SUBSTITUTE(SUBSTITUTE(SUBSTITUTE(TRIM(C296),".",""),"/",""),"-","")," ",""))))</f>
        <v/>
      </c>
      <c r="E296" s="25" t="str">
        <f aca="false">IF(D296="","",IFERROR(INDEX(Empresas!$C:$C,MATCH(D296,Empresas!$B:$B,0)),"cadastre o CNPJ em Empresas"))</f>
        <v/>
      </c>
      <c r="F296" s="23"/>
      <c r="G296" s="35"/>
      <c r="H296" s="24"/>
      <c r="I296" s="11"/>
      <c r="J296" s="27" t="str">
        <f aca="false">IF(A296="","",YEAR(A296))</f>
        <v/>
      </c>
      <c r="K296" s="24"/>
      <c r="L296" s="11"/>
    </row>
    <row r="297" customFormat="false" ht="15" hidden="false" customHeight="false" outlineLevel="0" collapsed="false">
      <c r="A297" s="22"/>
      <c r="B297" s="11"/>
      <c r="C297" s="24"/>
      <c r="D297" s="31" t="str">
        <f aca="false">IF(C297="","",IF(LEN(UPPER(SUBSTITUTE(SUBSTITUTE(SUBSTITUTE(SUBSTITUTE(TRIM(C297),".",""),"/",""),"-","")," ","")))&lt;14,RIGHT(REPT("0",14)&amp;UPPER(SUBSTITUTE(SUBSTITUTE(SUBSTITUTE(SUBSTITUTE(TRIM(C297),".",""),"/",""),"-","")," ","")),14),UPPER(SUBSTITUTE(SUBSTITUTE(SUBSTITUTE(SUBSTITUTE(TRIM(C297),".",""),"/",""),"-","")," ",""))))</f>
        <v/>
      </c>
      <c r="E297" s="25" t="str">
        <f aca="false">IF(D297="","",IFERROR(INDEX(Empresas!$C:$C,MATCH(D297,Empresas!$B:$B,0)),"cadastre o CNPJ em Empresas"))</f>
        <v/>
      </c>
      <c r="F297" s="23"/>
      <c r="G297" s="35"/>
      <c r="H297" s="24"/>
      <c r="I297" s="11"/>
      <c r="J297" s="27" t="str">
        <f aca="false">IF(A297="","",YEAR(A297))</f>
        <v/>
      </c>
      <c r="K297" s="24"/>
      <c r="L297" s="11"/>
    </row>
    <row r="298" customFormat="false" ht="15" hidden="false" customHeight="false" outlineLevel="0" collapsed="false">
      <c r="A298" s="22"/>
      <c r="B298" s="11"/>
      <c r="C298" s="24"/>
      <c r="D298" s="31" t="str">
        <f aca="false">IF(C298="","",IF(LEN(UPPER(SUBSTITUTE(SUBSTITUTE(SUBSTITUTE(SUBSTITUTE(TRIM(C298),".",""),"/",""),"-","")," ","")))&lt;14,RIGHT(REPT("0",14)&amp;UPPER(SUBSTITUTE(SUBSTITUTE(SUBSTITUTE(SUBSTITUTE(TRIM(C298),".",""),"/",""),"-","")," ","")),14),UPPER(SUBSTITUTE(SUBSTITUTE(SUBSTITUTE(SUBSTITUTE(TRIM(C298),".",""),"/",""),"-","")," ",""))))</f>
        <v/>
      </c>
      <c r="E298" s="25" t="str">
        <f aca="false">IF(D298="","",IFERROR(INDEX(Empresas!$C:$C,MATCH(D298,Empresas!$B:$B,0)),"cadastre o CNPJ em Empresas"))</f>
        <v/>
      </c>
      <c r="F298" s="23"/>
      <c r="G298" s="35"/>
      <c r="H298" s="24"/>
      <c r="I298" s="11"/>
      <c r="J298" s="27" t="str">
        <f aca="false">IF(A298="","",YEAR(A298))</f>
        <v/>
      </c>
      <c r="K298" s="24"/>
      <c r="L298" s="11"/>
    </row>
    <row r="299" customFormat="false" ht="15" hidden="false" customHeight="false" outlineLevel="0" collapsed="false">
      <c r="A299" s="22"/>
      <c r="B299" s="11"/>
      <c r="C299" s="24"/>
      <c r="D299" s="31" t="str">
        <f aca="false">IF(C299="","",IF(LEN(UPPER(SUBSTITUTE(SUBSTITUTE(SUBSTITUTE(SUBSTITUTE(TRIM(C299),".",""),"/",""),"-","")," ","")))&lt;14,RIGHT(REPT("0",14)&amp;UPPER(SUBSTITUTE(SUBSTITUTE(SUBSTITUTE(SUBSTITUTE(TRIM(C299),".",""),"/",""),"-","")," ","")),14),UPPER(SUBSTITUTE(SUBSTITUTE(SUBSTITUTE(SUBSTITUTE(TRIM(C299),".",""),"/",""),"-","")," ",""))))</f>
        <v/>
      </c>
      <c r="E299" s="25" t="str">
        <f aca="false">IF(D299="","",IFERROR(INDEX(Empresas!$C:$C,MATCH(D299,Empresas!$B:$B,0)),"cadastre o CNPJ em Empresas"))</f>
        <v/>
      </c>
      <c r="F299" s="23"/>
      <c r="G299" s="35"/>
      <c r="H299" s="24"/>
      <c r="I299" s="11"/>
      <c r="J299" s="27" t="str">
        <f aca="false">IF(A299="","",YEAR(A299))</f>
        <v/>
      </c>
      <c r="K299" s="24"/>
      <c r="L299" s="11"/>
    </row>
    <row r="300" customFormat="false" ht="15" hidden="false" customHeight="false" outlineLevel="0" collapsed="false">
      <c r="A300" s="22"/>
      <c r="B300" s="11"/>
      <c r="C300" s="24"/>
      <c r="D300" s="31" t="str">
        <f aca="false">IF(C300="","",IF(LEN(UPPER(SUBSTITUTE(SUBSTITUTE(SUBSTITUTE(SUBSTITUTE(TRIM(C300),".",""),"/",""),"-","")," ","")))&lt;14,RIGHT(REPT("0",14)&amp;UPPER(SUBSTITUTE(SUBSTITUTE(SUBSTITUTE(SUBSTITUTE(TRIM(C300),".",""),"/",""),"-","")," ","")),14),UPPER(SUBSTITUTE(SUBSTITUTE(SUBSTITUTE(SUBSTITUTE(TRIM(C300),".",""),"/",""),"-","")," ",""))))</f>
        <v/>
      </c>
      <c r="E300" s="25" t="str">
        <f aca="false">IF(D300="","",IFERROR(INDEX(Empresas!$C:$C,MATCH(D300,Empresas!$B:$B,0)),"cadastre o CNPJ em Empresas"))</f>
        <v/>
      </c>
      <c r="F300" s="23"/>
      <c r="G300" s="35"/>
      <c r="H300" s="24"/>
      <c r="I300" s="11"/>
      <c r="J300" s="27" t="str">
        <f aca="false">IF(A300="","",YEAR(A300))</f>
        <v/>
      </c>
      <c r="K300" s="24"/>
      <c r="L300" s="11"/>
    </row>
    <row r="301" customFormat="false" ht="15" hidden="false" customHeight="false" outlineLevel="0" collapsed="false">
      <c r="A301" s="22"/>
      <c r="B301" s="11"/>
      <c r="C301" s="24"/>
      <c r="D301" s="31" t="str">
        <f aca="false">IF(C301="","",IF(LEN(UPPER(SUBSTITUTE(SUBSTITUTE(SUBSTITUTE(SUBSTITUTE(TRIM(C301),".",""),"/",""),"-","")," ","")))&lt;14,RIGHT(REPT("0",14)&amp;UPPER(SUBSTITUTE(SUBSTITUTE(SUBSTITUTE(SUBSTITUTE(TRIM(C301),".",""),"/",""),"-","")," ","")),14),UPPER(SUBSTITUTE(SUBSTITUTE(SUBSTITUTE(SUBSTITUTE(TRIM(C301),".",""),"/",""),"-","")," ",""))))</f>
        <v/>
      </c>
      <c r="E301" s="25" t="str">
        <f aca="false">IF(D301="","",IFERROR(INDEX(Empresas!$C:$C,MATCH(D301,Empresas!$B:$B,0)),"cadastre o CNPJ em Empresas"))</f>
        <v/>
      </c>
      <c r="F301" s="23"/>
      <c r="G301" s="35"/>
      <c r="H301" s="24"/>
      <c r="I301" s="11"/>
      <c r="J301" s="27" t="str">
        <f aca="false">IF(A301="","",YEAR(A301))</f>
        <v/>
      </c>
      <c r="K301" s="24"/>
      <c r="L301" s="11"/>
    </row>
    <row r="302" customFormat="false" ht="15" hidden="false" customHeight="false" outlineLevel="0" collapsed="false">
      <c r="A302" s="22"/>
      <c r="B302" s="11"/>
      <c r="C302" s="24"/>
      <c r="D302" s="31" t="str">
        <f aca="false">IF(C302="","",IF(LEN(UPPER(SUBSTITUTE(SUBSTITUTE(SUBSTITUTE(SUBSTITUTE(TRIM(C302),".",""),"/",""),"-","")," ","")))&lt;14,RIGHT(REPT("0",14)&amp;UPPER(SUBSTITUTE(SUBSTITUTE(SUBSTITUTE(SUBSTITUTE(TRIM(C302),".",""),"/",""),"-","")," ","")),14),UPPER(SUBSTITUTE(SUBSTITUTE(SUBSTITUTE(SUBSTITUTE(TRIM(C302),".",""),"/",""),"-","")," ",""))))</f>
        <v/>
      </c>
      <c r="E302" s="25" t="str">
        <f aca="false">IF(D302="","",IFERROR(INDEX(Empresas!$C:$C,MATCH(D302,Empresas!$B:$B,0)),"cadastre o CNPJ em Empresas"))</f>
        <v/>
      </c>
      <c r="F302" s="23"/>
      <c r="G302" s="35"/>
      <c r="H302" s="24"/>
      <c r="I302" s="11"/>
      <c r="J302" s="27" t="str">
        <f aca="false">IF(A302="","",YEAR(A302))</f>
        <v/>
      </c>
      <c r="K302" s="24"/>
      <c r="L302" s="11"/>
    </row>
    <row r="303" customFormat="false" ht="15" hidden="false" customHeight="false" outlineLevel="0" collapsed="false">
      <c r="A303" s="22"/>
      <c r="B303" s="11"/>
      <c r="C303" s="24"/>
      <c r="D303" s="31" t="str">
        <f aca="false">IF(C303="","",IF(LEN(UPPER(SUBSTITUTE(SUBSTITUTE(SUBSTITUTE(SUBSTITUTE(TRIM(C303),".",""),"/",""),"-","")," ","")))&lt;14,RIGHT(REPT("0",14)&amp;UPPER(SUBSTITUTE(SUBSTITUTE(SUBSTITUTE(SUBSTITUTE(TRIM(C303),".",""),"/",""),"-","")," ","")),14),UPPER(SUBSTITUTE(SUBSTITUTE(SUBSTITUTE(SUBSTITUTE(TRIM(C303),".",""),"/",""),"-","")," ",""))))</f>
        <v/>
      </c>
      <c r="E303" s="25" t="str">
        <f aca="false">IF(D303="","",IFERROR(INDEX(Empresas!$C:$C,MATCH(D303,Empresas!$B:$B,0)),"cadastre o CNPJ em Empresas"))</f>
        <v/>
      </c>
      <c r="F303" s="23"/>
      <c r="G303" s="35"/>
      <c r="H303" s="24"/>
      <c r="I303" s="11"/>
      <c r="J303" s="27" t="str">
        <f aca="false">IF(A303="","",YEAR(A303))</f>
        <v/>
      </c>
      <c r="K303" s="24"/>
      <c r="L303" s="11"/>
    </row>
    <row r="304" customFormat="false" ht="15" hidden="false" customHeight="false" outlineLevel="0" collapsed="false">
      <c r="A304" s="22"/>
      <c r="B304" s="11"/>
      <c r="C304" s="24"/>
      <c r="D304" s="31" t="str">
        <f aca="false">IF(C304="","",IF(LEN(UPPER(SUBSTITUTE(SUBSTITUTE(SUBSTITUTE(SUBSTITUTE(TRIM(C304),".",""),"/",""),"-","")," ","")))&lt;14,RIGHT(REPT("0",14)&amp;UPPER(SUBSTITUTE(SUBSTITUTE(SUBSTITUTE(SUBSTITUTE(TRIM(C304),".",""),"/",""),"-","")," ","")),14),UPPER(SUBSTITUTE(SUBSTITUTE(SUBSTITUTE(SUBSTITUTE(TRIM(C304),".",""),"/",""),"-","")," ",""))))</f>
        <v/>
      </c>
      <c r="E304" s="25" t="str">
        <f aca="false">IF(D304="","",IFERROR(INDEX(Empresas!$C:$C,MATCH(D304,Empresas!$B:$B,0)),"cadastre o CNPJ em Empresas"))</f>
        <v/>
      </c>
      <c r="F304" s="23"/>
      <c r="G304" s="35"/>
      <c r="H304" s="24"/>
      <c r="I304" s="11"/>
      <c r="J304" s="27" t="str">
        <f aca="false">IF(A304="","",YEAR(A304))</f>
        <v/>
      </c>
      <c r="K304" s="24"/>
      <c r="L304" s="11"/>
    </row>
    <row r="305" customFormat="false" ht="15" hidden="false" customHeight="false" outlineLevel="0" collapsed="false">
      <c r="A305" s="22"/>
      <c r="B305" s="11"/>
      <c r="C305" s="24"/>
      <c r="D305" s="31" t="str">
        <f aca="false">IF(C305="","",IF(LEN(UPPER(SUBSTITUTE(SUBSTITUTE(SUBSTITUTE(SUBSTITUTE(TRIM(C305),".",""),"/",""),"-","")," ","")))&lt;14,RIGHT(REPT("0",14)&amp;UPPER(SUBSTITUTE(SUBSTITUTE(SUBSTITUTE(SUBSTITUTE(TRIM(C305),".",""),"/",""),"-","")," ","")),14),UPPER(SUBSTITUTE(SUBSTITUTE(SUBSTITUTE(SUBSTITUTE(TRIM(C305),".",""),"/",""),"-","")," ",""))))</f>
        <v/>
      </c>
      <c r="E305" s="25" t="str">
        <f aca="false">IF(D305="","",IFERROR(INDEX(Empresas!$C:$C,MATCH(D305,Empresas!$B:$B,0)),"cadastre o CNPJ em Empresas"))</f>
        <v/>
      </c>
      <c r="F305" s="23"/>
      <c r="G305" s="35"/>
      <c r="H305" s="24"/>
      <c r="I305" s="11"/>
      <c r="J305" s="27" t="str">
        <f aca="false">IF(A305="","",YEAR(A305))</f>
        <v/>
      </c>
      <c r="K305" s="24"/>
      <c r="L305" s="11"/>
    </row>
    <row r="306" customFormat="false" ht="15" hidden="false" customHeight="false" outlineLevel="0" collapsed="false">
      <c r="A306" s="22"/>
      <c r="B306" s="11"/>
      <c r="C306" s="24"/>
      <c r="D306" s="31" t="str">
        <f aca="false">IF(C306="","",IF(LEN(UPPER(SUBSTITUTE(SUBSTITUTE(SUBSTITUTE(SUBSTITUTE(TRIM(C306),".",""),"/",""),"-","")," ","")))&lt;14,RIGHT(REPT("0",14)&amp;UPPER(SUBSTITUTE(SUBSTITUTE(SUBSTITUTE(SUBSTITUTE(TRIM(C306),".",""),"/",""),"-","")," ","")),14),UPPER(SUBSTITUTE(SUBSTITUTE(SUBSTITUTE(SUBSTITUTE(TRIM(C306),".",""),"/",""),"-","")," ",""))))</f>
        <v/>
      </c>
      <c r="E306" s="25" t="str">
        <f aca="false">IF(D306="","",IFERROR(INDEX(Empresas!$C:$C,MATCH(D306,Empresas!$B:$B,0)),"cadastre o CNPJ em Empresas"))</f>
        <v/>
      </c>
      <c r="F306" s="23"/>
      <c r="G306" s="35"/>
      <c r="H306" s="24"/>
      <c r="I306" s="11"/>
      <c r="J306" s="27" t="str">
        <f aca="false">IF(A306="","",YEAR(A306))</f>
        <v/>
      </c>
      <c r="K306" s="24"/>
      <c r="L306" s="11"/>
    </row>
    <row r="307" customFormat="false" ht="15" hidden="false" customHeight="false" outlineLevel="0" collapsed="false">
      <c r="A307" s="22"/>
      <c r="B307" s="11"/>
      <c r="C307" s="24"/>
      <c r="D307" s="31" t="str">
        <f aca="false">IF(C307="","",IF(LEN(UPPER(SUBSTITUTE(SUBSTITUTE(SUBSTITUTE(SUBSTITUTE(TRIM(C307),".",""),"/",""),"-","")," ","")))&lt;14,RIGHT(REPT("0",14)&amp;UPPER(SUBSTITUTE(SUBSTITUTE(SUBSTITUTE(SUBSTITUTE(TRIM(C307),".",""),"/",""),"-","")," ","")),14),UPPER(SUBSTITUTE(SUBSTITUTE(SUBSTITUTE(SUBSTITUTE(TRIM(C307),".",""),"/",""),"-","")," ",""))))</f>
        <v/>
      </c>
      <c r="E307" s="25" t="str">
        <f aca="false">IF(D307="","",IFERROR(INDEX(Empresas!$C:$C,MATCH(D307,Empresas!$B:$B,0)),"cadastre o CNPJ em Empresas"))</f>
        <v/>
      </c>
      <c r="F307" s="23"/>
      <c r="G307" s="35"/>
      <c r="H307" s="24"/>
      <c r="I307" s="11"/>
      <c r="J307" s="27" t="str">
        <f aca="false">IF(A307="","",YEAR(A307))</f>
        <v/>
      </c>
      <c r="K307" s="24"/>
      <c r="L307" s="11"/>
    </row>
    <row r="308" customFormat="false" ht="15" hidden="false" customHeight="false" outlineLevel="0" collapsed="false">
      <c r="A308" s="22"/>
      <c r="B308" s="11"/>
      <c r="C308" s="24"/>
      <c r="D308" s="31" t="str">
        <f aca="false">IF(C308="","",IF(LEN(UPPER(SUBSTITUTE(SUBSTITUTE(SUBSTITUTE(SUBSTITUTE(TRIM(C308),".",""),"/",""),"-","")," ","")))&lt;14,RIGHT(REPT("0",14)&amp;UPPER(SUBSTITUTE(SUBSTITUTE(SUBSTITUTE(SUBSTITUTE(TRIM(C308),".",""),"/",""),"-","")," ","")),14),UPPER(SUBSTITUTE(SUBSTITUTE(SUBSTITUTE(SUBSTITUTE(TRIM(C308),".",""),"/",""),"-","")," ",""))))</f>
        <v/>
      </c>
      <c r="E308" s="25" t="str">
        <f aca="false">IF(D308="","",IFERROR(INDEX(Empresas!$C:$C,MATCH(D308,Empresas!$B:$B,0)),"cadastre o CNPJ em Empresas"))</f>
        <v/>
      </c>
      <c r="F308" s="23"/>
      <c r="G308" s="35"/>
      <c r="H308" s="24"/>
      <c r="I308" s="11"/>
      <c r="J308" s="27" t="str">
        <f aca="false">IF(A308="","",YEAR(A308))</f>
        <v/>
      </c>
      <c r="K308" s="24"/>
      <c r="L308" s="11"/>
    </row>
    <row r="309" customFormat="false" ht="15" hidden="false" customHeight="false" outlineLevel="0" collapsed="false">
      <c r="A309" s="22"/>
      <c r="B309" s="11"/>
      <c r="C309" s="24"/>
      <c r="D309" s="31" t="str">
        <f aca="false">IF(C309="","",IF(LEN(UPPER(SUBSTITUTE(SUBSTITUTE(SUBSTITUTE(SUBSTITUTE(TRIM(C309),".",""),"/",""),"-","")," ","")))&lt;14,RIGHT(REPT("0",14)&amp;UPPER(SUBSTITUTE(SUBSTITUTE(SUBSTITUTE(SUBSTITUTE(TRIM(C309),".",""),"/",""),"-","")," ","")),14),UPPER(SUBSTITUTE(SUBSTITUTE(SUBSTITUTE(SUBSTITUTE(TRIM(C309),".",""),"/",""),"-","")," ",""))))</f>
        <v/>
      </c>
      <c r="E309" s="25" t="str">
        <f aca="false">IF(D309="","",IFERROR(INDEX(Empresas!$C:$C,MATCH(D309,Empresas!$B:$B,0)),"cadastre o CNPJ em Empresas"))</f>
        <v/>
      </c>
      <c r="F309" s="23"/>
      <c r="G309" s="35"/>
      <c r="H309" s="24"/>
      <c r="I309" s="11"/>
      <c r="J309" s="27" t="str">
        <f aca="false">IF(A309="","",YEAR(A309))</f>
        <v/>
      </c>
      <c r="K309" s="24"/>
      <c r="L309" s="11"/>
    </row>
    <row r="310" customFormat="false" ht="15" hidden="false" customHeight="false" outlineLevel="0" collapsed="false">
      <c r="A310" s="22"/>
      <c r="B310" s="11"/>
      <c r="C310" s="24"/>
      <c r="D310" s="31" t="str">
        <f aca="false">IF(C310="","",IF(LEN(UPPER(SUBSTITUTE(SUBSTITUTE(SUBSTITUTE(SUBSTITUTE(TRIM(C310),".",""),"/",""),"-","")," ","")))&lt;14,RIGHT(REPT("0",14)&amp;UPPER(SUBSTITUTE(SUBSTITUTE(SUBSTITUTE(SUBSTITUTE(TRIM(C310),".",""),"/",""),"-","")," ","")),14),UPPER(SUBSTITUTE(SUBSTITUTE(SUBSTITUTE(SUBSTITUTE(TRIM(C310),".",""),"/",""),"-","")," ",""))))</f>
        <v/>
      </c>
      <c r="E310" s="25" t="str">
        <f aca="false">IF(D310="","",IFERROR(INDEX(Empresas!$C:$C,MATCH(D310,Empresas!$B:$B,0)),"cadastre o CNPJ em Empresas"))</f>
        <v/>
      </c>
      <c r="F310" s="23"/>
      <c r="G310" s="35"/>
      <c r="H310" s="24"/>
      <c r="I310" s="11"/>
      <c r="J310" s="27" t="str">
        <f aca="false">IF(A310="","",YEAR(A310))</f>
        <v/>
      </c>
      <c r="K310" s="24"/>
      <c r="L310" s="11"/>
    </row>
    <row r="311" customFormat="false" ht="15" hidden="false" customHeight="false" outlineLevel="0" collapsed="false">
      <c r="A311" s="22"/>
      <c r="B311" s="11"/>
      <c r="C311" s="24"/>
      <c r="D311" s="31" t="str">
        <f aca="false">IF(C311="","",IF(LEN(UPPER(SUBSTITUTE(SUBSTITUTE(SUBSTITUTE(SUBSTITUTE(TRIM(C311),".",""),"/",""),"-","")," ","")))&lt;14,RIGHT(REPT("0",14)&amp;UPPER(SUBSTITUTE(SUBSTITUTE(SUBSTITUTE(SUBSTITUTE(TRIM(C311),".",""),"/",""),"-","")," ","")),14),UPPER(SUBSTITUTE(SUBSTITUTE(SUBSTITUTE(SUBSTITUTE(TRIM(C311),".",""),"/",""),"-","")," ",""))))</f>
        <v/>
      </c>
      <c r="E311" s="25" t="str">
        <f aca="false">IF(D311="","",IFERROR(INDEX(Empresas!$C:$C,MATCH(D311,Empresas!$B:$B,0)),"cadastre o CNPJ em Empresas"))</f>
        <v/>
      </c>
      <c r="F311" s="23"/>
      <c r="G311" s="35"/>
      <c r="H311" s="24"/>
      <c r="I311" s="11"/>
      <c r="J311" s="27" t="str">
        <f aca="false">IF(A311="","",YEAR(A311))</f>
        <v/>
      </c>
      <c r="K311" s="24"/>
      <c r="L311" s="11"/>
    </row>
    <row r="312" customFormat="false" ht="15" hidden="false" customHeight="false" outlineLevel="0" collapsed="false">
      <c r="A312" s="22"/>
      <c r="B312" s="11"/>
      <c r="C312" s="24"/>
      <c r="D312" s="31" t="str">
        <f aca="false">IF(C312="","",IF(LEN(UPPER(SUBSTITUTE(SUBSTITUTE(SUBSTITUTE(SUBSTITUTE(TRIM(C312),".",""),"/",""),"-","")," ","")))&lt;14,RIGHT(REPT("0",14)&amp;UPPER(SUBSTITUTE(SUBSTITUTE(SUBSTITUTE(SUBSTITUTE(TRIM(C312),".",""),"/",""),"-","")," ","")),14),UPPER(SUBSTITUTE(SUBSTITUTE(SUBSTITUTE(SUBSTITUTE(TRIM(C312),".",""),"/",""),"-","")," ",""))))</f>
        <v/>
      </c>
      <c r="E312" s="25" t="str">
        <f aca="false">IF(D312="","",IFERROR(INDEX(Empresas!$C:$C,MATCH(D312,Empresas!$B:$B,0)),"cadastre o CNPJ em Empresas"))</f>
        <v/>
      </c>
      <c r="F312" s="23"/>
      <c r="G312" s="35"/>
      <c r="H312" s="24"/>
      <c r="I312" s="11"/>
      <c r="J312" s="27" t="str">
        <f aca="false">IF(A312="","",YEAR(A312))</f>
        <v/>
      </c>
      <c r="K312" s="24"/>
      <c r="L312" s="11"/>
    </row>
    <row r="313" customFormat="false" ht="15" hidden="false" customHeight="false" outlineLevel="0" collapsed="false">
      <c r="A313" s="22"/>
      <c r="B313" s="11"/>
      <c r="C313" s="24"/>
      <c r="D313" s="31" t="str">
        <f aca="false">IF(C313="","",IF(LEN(UPPER(SUBSTITUTE(SUBSTITUTE(SUBSTITUTE(SUBSTITUTE(TRIM(C313),".",""),"/",""),"-","")," ","")))&lt;14,RIGHT(REPT("0",14)&amp;UPPER(SUBSTITUTE(SUBSTITUTE(SUBSTITUTE(SUBSTITUTE(TRIM(C313),".",""),"/",""),"-","")," ","")),14),UPPER(SUBSTITUTE(SUBSTITUTE(SUBSTITUTE(SUBSTITUTE(TRIM(C313),".",""),"/",""),"-","")," ",""))))</f>
        <v/>
      </c>
      <c r="E313" s="25" t="str">
        <f aca="false">IF(D313="","",IFERROR(INDEX(Empresas!$C:$C,MATCH(D313,Empresas!$B:$B,0)),"cadastre o CNPJ em Empresas"))</f>
        <v/>
      </c>
      <c r="F313" s="23"/>
      <c r="G313" s="35"/>
      <c r="H313" s="24"/>
      <c r="I313" s="11"/>
      <c r="J313" s="27" t="str">
        <f aca="false">IF(A313="","",YEAR(A313))</f>
        <v/>
      </c>
      <c r="K313" s="24"/>
      <c r="L313" s="11"/>
    </row>
    <row r="314" customFormat="false" ht="15" hidden="false" customHeight="false" outlineLevel="0" collapsed="false">
      <c r="A314" s="22"/>
      <c r="B314" s="11"/>
      <c r="C314" s="24"/>
      <c r="D314" s="31" t="str">
        <f aca="false">IF(C314="","",IF(LEN(UPPER(SUBSTITUTE(SUBSTITUTE(SUBSTITUTE(SUBSTITUTE(TRIM(C314),".",""),"/",""),"-","")," ","")))&lt;14,RIGHT(REPT("0",14)&amp;UPPER(SUBSTITUTE(SUBSTITUTE(SUBSTITUTE(SUBSTITUTE(TRIM(C314),".",""),"/",""),"-","")," ","")),14),UPPER(SUBSTITUTE(SUBSTITUTE(SUBSTITUTE(SUBSTITUTE(TRIM(C314),".",""),"/",""),"-","")," ",""))))</f>
        <v/>
      </c>
      <c r="E314" s="25" t="str">
        <f aca="false">IF(D314="","",IFERROR(INDEX(Empresas!$C:$C,MATCH(D314,Empresas!$B:$B,0)),"cadastre o CNPJ em Empresas"))</f>
        <v/>
      </c>
      <c r="F314" s="23"/>
      <c r="G314" s="35"/>
      <c r="H314" s="24"/>
      <c r="I314" s="11"/>
      <c r="J314" s="27" t="str">
        <f aca="false">IF(A314="","",YEAR(A314))</f>
        <v/>
      </c>
      <c r="K314" s="24"/>
      <c r="L314" s="11"/>
    </row>
    <row r="315" customFormat="false" ht="15" hidden="false" customHeight="false" outlineLevel="0" collapsed="false">
      <c r="A315" s="22"/>
      <c r="B315" s="11"/>
      <c r="C315" s="24"/>
      <c r="D315" s="31" t="str">
        <f aca="false">IF(C315="","",IF(LEN(UPPER(SUBSTITUTE(SUBSTITUTE(SUBSTITUTE(SUBSTITUTE(TRIM(C315),".",""),"/",""),"-","")," ","")))&lt;14,RIGHT(REPT("0",14)&amp;UPPER(SUBSTITUTE(SUBSTITUTE(SUBSTITUTE(SUBSTITUTE(TRIM(C315),".",""),"/",""),"-","")," ","")),14),UPPER(SUBSTITUTE(SUBSTITUTE(SUBSTITUTE(SUBSTITUTE(TRIM(C315),".",""),"/",""),"-","")," ",""))))</f>
        <v/>
      </c>
      <c r="E315" s="25" t="str">
        <f aca="false">IF(D315="","",IFERROR(INDEX(Empresas!$C:$C,MATCH(D315,Empresas!$B:$B,0)),"cadastre o CNPJ em Empresas"))</f>
        <v/>
      </c>
      <c r="F315" s="23"/>
      <c r="G315" s="35"/>
      <c r="H315" s="24"/>
      <c r="I315" s="11"/>
      <c r="J315" s="27" t="str">
        <f aca="false">IF(A315="","",YEAR(A315))</f>
        <v/>
      </c>
      <c r="K315" s="24"/>
      <c r="L315" s="11"/>
    </row>
    <row r="316" customFormat="false" ht="15" hidden="false" customHeight="false" outlineLevel="0" collapsed="false">
      <c r="A316" s="22"/>
      <c r="B316" s="11"/>
      <c r="C316" s="24"/>
      <c r="D316" s="31" t="str">
        <f aca="false">IF(C316="","",IF(LEN(UPPER(SUBSTITUTE(SUBSTITUTE(SUBSTITUTE(SUBSTITUTE(TRIM(C316),".",""),"/",""),"-","")," ","")))&lt;14,RIGHT(REPT("0",14)&amp;UPPER(SUBSTITUTE(SUBSTITUTE(SUBSTITUTE(SUBSTITUTE(TRIM(C316),".",""),"/",""),"-","")," ","")),14),UPPER(SUBSTITUTE(SUBSTITUTE(SUBSTITUTE(SUBSTITUTE(TRIM(C316),".",""),"/",""),"-","")," ",""))))</f>
        <v/>
      </c>
      <c r="E316" s="25" t="str">
        <f aca="false">IF(D316="","",IFERROR(INDEX(Empresas!$C:$C,MATCH(D316,Empresas!$B:$B,0)),"cadastre o CNPJ em Empresas"))</f>
        <v/>
      </c>
      <c r="F316" s="23"/>
      <c r="G316" s="35"/>
      <c r="H316" s="24"/>
      <c r="I316" s="11"/>
      <c r="J316" s="27" t="str">
        <f aca="false">IF(A316="","",YEAR(A316))</f>
        <v/>
      </c>
      <c r="K316" s="24"/>
      <c r="L316" s="11"/>
    </row>
    <row r="317" customFormat="false" ht="15" hidden="false" customHeight="false" outlineLevel="0" collapsed="false">
      <c r="A317" s="22"/>
      <c r="B317" s="11"/>
      <c r="C317" s="24"/>
      <c r="D317" s="31" t="str">
        <f aca="false">IF(C317="","",IF(LEN(UPPER(SUBSTITUTE(SUBSTITUTE(SUBSTITUTE(SUBSTITUTE(TRIM(C317),".",""),"/",""),"-","")," ","")))&lt;14,RIGHT(REPT("0",14)&amp;UPPER(SUBSTITUTE(SUBSTITUTE(SUBSTITUTE(SUBSTITUTE(TRIM(C317),".",""),"/",""),"-","")," ","")),14),UPPER(SUBSTITUTE(SUBSTITUTE(SUBSTITUTE(SUBSTITUTE(TRIM(C317),".",""),"/",""),"-","")," ",""))))</f>
        <v/>
      </c>
      <c r="E317" s="25" t="str">
        <f aca="false">IF(D317="","",IFERROR(INDEX(Empresas!$C:$C,MATCH(D317,Empresas!$B:$B,0)),"cadastre o CNPJ em Empresas"))</f>
        <v/>
      </c>
      <c r="F317" s="23"/>
      <c r="G317" s="35"/>
      <c r="H317" s="24"/>
      <c r="I317" s="11"/>
      <c r="J317" s="27" t="str">
        <f aca="false">IF(A317="","",YEAR(A317))</f>
        <v/>
      </c>
      <c r="K317" s="24"/>
      <c r="L317" s="11"/>
    </row>
    <row r="318" customFormat="false" ht="15" hidden="false" customHeight="false" outlineLevel="0" collapsed="false">
      <c r="A318" s="22"/>
      <c r="B318" s="11"/>
      <c r="C318" s="24"/>
      <c r="D318" s="31" t="str">
        <f aca="false">IF(C318="","",IF(LEN(UPPER(SUBSTITUTE(SUBSTITUTE(SUBSTITUTE(SUBSTITUTE(TRIM(C318),".",""),"/",""),"-","")," ","")))&lt;14,RIGHT(REPT("0",14)&amp;UPPER(SUBSTITUTE(SUBSTITUTE(SUBSTITUTE(SUBSTITUTE(TRIM(C318),".",""),"/",""),"-","")," ","")),14),UPPER(SUBSTITUTE(SUBSTITUTE(SUBSTITUTE(SUBSTITUTE(TRIM(C318),".",""),"/",""),"-","")," ",""))))</f>
        <v/>
      </c>
      <c r="E318" s="25" t="str">
        <f aca="false">IF(D318="","",IFERROR(INDEX(Empresas!$C:$C,MATCH(D318,Empresas!$B:$B,0)),"cadastre o CNPJ em Empresas"))</f>
        <v/>
      </c>
      <c r="F318" s="23"/>
      <c r="G318" s="35"/>
      <c r="H318" s="24"/>
      <c r="I318" s="11"/>
      <c r="J318" s="27" t="str">
        <f aca="false">IF(A318="","",YEAR(A318))</f>
        <v/>
      </c>
      <c r="K318" s="24"/>
      <c r="L318" s="11"/>
    </row>
    <row r="319" customFormat="false" ht="15" hidden="false" customHeight="false" outlineLevel="0" collapsed="false">
      <c r="A319" s="22"/>
      <c r="B319" s="11"/>
      <c r="C319" s="24"/>
      <c r="D319" s="31" t="str">
        <f aca="false">IF(C319="","",IF(LEN(UPPER(SUBSTITUTE(SUBSTITUTE(SUBSTITUTE(SUBSTITUTE(TRIM(C319),".",""),"/",""),"-","")," ","")))&lt;14,RIGHT(REPT("0",14)&amp;UPPER(SUBSTITUTE(SUBSTITUTE(SUBSTITUTE(SUBSTITUTE(TRIM(C319),".",""),"/",""),"-","")," ","")),14),UPPER(SUBSTITUTE(SUBSTITUTE(SUBSTITUTE(SUBSTITUTE(TRIM(C319),".",""),"/",""),"-","")," ",""))))</f>
        <v/>
      </c>
      <c r="E319" s="25" t="str">
        <f aca="false">IF(D319="","",IFERROR(INDEX(Empresas!$C:$C,MATCH(D319,Empresas!$B:$B,0)),"cadastre o CNPJ em Empresas"))</f>
        <v/>
      </c>
      <c r="F319" s="23"/>
      <c r="G319" s="35"/>
      <c r="H319" s="24"/>
      <c r="I319" s="11"/>
      <c r="J319" s="27" t="str">
        <f aca="false">IF(A319="","",YEAR(A319))</f>
        <v/>
      </c>
      <c r="K319" s="24"/>
      <c r="L319" s="11"/>
    </row>
    <row r="320" customFormat="false" ht="15" hidden="false" customHeight="false" outlineLevel="0" collapsed="false">
      <c r="A320" s="22"/>
      <c r="B320" s="11"/>
      <c r="C320" s="24"/>
      <c r="D320" s="31" t="str">
        <f aca="false">IF(C320="","",IF(LEN(UPPER(SUBSTITUTE(SUBSTITUTE(SUBSTITUTE(SUBSTITUTE(TRIM(C320),".",""),"/",""),"-","")," ","")))&lt;14,RIGHT(REPT("0",14)&amp;UPPER(SUBSTITUTE(SUBSTITUTE(SUBSTITUTE(SUBSTITUTE(TRIM(C320),".",""),"/",""),"-","")," ","")),14),UPPER(SUBSTITUTE(SUBSTITUTE(SUBSTITUTE(SUBSTITUTE(TRIM(C320),".",""),"/",""),"-","")," ",""))))</f>
        <v/>
      </c>
      <c r="E320" s="25" t="str">
        <f aca="false">IF(D320="","",IFERROR(INDEX(Empresas!$C:$C,MATCH(D320,Empresas!$B:$B,0)),"cadastre o CNPJ em Empresas"))</f>
        <v/>
      </c>
      <c r="F320" s="23"/>
      <c r="G320" s="35"/>
      <c r="H320" s="24"/>
      <c r="I320" s="11"/>
      <c r="J320" s="27" t="str">
        <f aca="false">IF(A320="","",YEAR(A320))</f>
        <v/>
      </c>
      <c r="K320" s="24"/>
      <c r="L320" s="11"/>
    </row>
    <row r="321" customFormat="false" ht="15" hidden="false" customHeight="false" outlineLevel="0" collapsed="false">
      <c r="A321" s="22"/>
      <c r="B321" s="11"/>
      <c r="C321" s="24"/>
      <c r="D321" s="31" t="str">
        <f aca="false">IF(C321="","",IF(LEN(UPPER(SUBSTITUTE(SUBSTITUTE(SUBSTITUTE(SUBSTITUTE(TRIM(C321),".",""),"/",""),"-","")," ","")))&lt;14,RIGHT(REPT("0",14)&amp;UPPER(SUBSTITUTE(SUBSTITUTE(SUBSTITUTE(SUBSTITUTE(TRIM(C321),".",""),"/",""),"-","")," ","")),14),UPPER(SUBSTITUTE(SUBSTITUTE(SUBSTITUTE(SUBSTITUTE(TRIM(C321),".",""),"/",""),"-","")," ",""))))</f>
        <v/>
      </c>
      <c r="E321" s="25" t="str">
        <f aca="false">IF(D321="","",IFERROR(INDEX(Empresas!$C:$C,MATCH(D321,Empresas!$B:$B,0)),"cadastre o CNPJ em Empresas"))</f>
        <v/>
      </c>
      <c r="F321" s="23"/>
      <c r="G321" s="35"/>
      <c r="H321" s="24"/>
      <c r="I321" s="11"/>
      <c r="J321" s="27" t="str">
        <f aca="false">IF(A321="","",YEAR(A321))</f>
        <v/>
      </c>
      <c r="K321" s="24"/>
      <c r="L321" s="11"/>
    </row>
    <row r="322" customFormat="false" ht="15" hidden="false" customHeight="false" outlineLevel="0" collapsed="false">
      <c r="A322" s="22"/>
      <c r="B322" s="11"/>
      <c r="C322" s="24"/>
      <c r="D322" s="31" t="str">
        <f aca="false">IF(C322="","",IF(LEN(UPPER(SUBSTITUTE(SUBSTITUTE(SUBSTITUTE(SUBSTITUTE(TRIM(C322),".",""),"/",""),"-","")," ","")))&lt;14,RIGHT(REPT("0",14)&amp;UPPER(SUBSTITUTE(SUBSTITUTE(SUBSTITUTE(SUBSTITUTE(TRIM(C322),".",""),"/",""),"-","")," ","")),14),UPPER(SUBSTITUTE(SUBSTITUTE(SUBSTITUTE(SUBSTITUTE(TRIM(C322),".",""),"/",""),"-","")," ",""))))</f>
        <v/>
      </c>
      <c r="E322" s="25" t="str">
        <f aca="false">IF(D322="","",IFERROR(INDEX(Empresas!$C:$C,MATCH(D322,Empresas!$B:$B,0)),"cadastre o CNPJ em Empresas"))</f>
        <v/>
      </c>
      <c r="F322" s="23"/>
      <c r="G322" s="35"/>
      <c r="H322" s="24"/>
      <c r="I322" s="11"/>
      <c r="J322" s="27" t="str">
        <f aca="false">IF(A322="","",YEAR(A322))</f>
        <v/>
      </c>
      <c r="K322" s="24"/>
      <c r="L322" s="11"/>
    </row>
    <row r="323" customFormat="false" ht="15" hidden="false" customHeight="false" outlineLevel="0" collapsed="false">
      <c r="A323" s="22"/>
      <c r="B323" s="11"/>
      <c r="C323" s="24"/>
      <c r="D323" s="31" t="str">
        <f aca="false">IF(C323="","",IF(LEN(UPPER(SUBSTITUTE(SUBSTITUTE(SUBSTITUTE(SUBSTITUTE(TRIM(C323),".",""),"/",""),"-","")," ","")))&lt;14,RIGHT(REPT("0",14)&amp;UPPER(SUBSTITUTE(SUBSTITUTE(SUBSTITUTE(SUBSTITUTE(TRIM(C323),".",""),"/",""),"-","")," ","")),14),UPPER(SUBSTITUTE(SUBSTITUTE(SUBSTITUTE(SUBSTITUTE(TRIM(C323),".",""),"/",""),"-","")," ",""))))</f>
        <v/>
      </c>
      <c r="E323" s="25" t="str">
        <f aca="false">IF(D323="","",IFERROR(INDEX(Empresas!$C:$C,MATCH(D323,Empresas!$B:$B,0)),"cadastre o CNPJ em Empresas"))</f>
        <v/>
      </c>
      <c r="F323" s="23"/>
      <c r="G323" s="35"/>
      <c r="H323" s="24"/>
      <c r="I323" s="11"/>
      <c r="J323" s="27" t="str">
        <f aca="false">IF(A323="","",YEAR(A323))</f>
        <v/>
      </c>
      <c r="K323" s="24"/>
      <c r="L323" s="11"/>
    </row>
    <row r="324" customFormat="false" ht="15" hidden="false" customHeight="false" outlineLevel="0" collapsed="false">
      <c r="A324" s="22"/>
      <c r="B324" s="11"/>
      <c r="C324" s="24"/>
      <c r="D324" s="31" t="str">
        <f aca="false">IF(C324="","",IF(LEN(UPPER(SUBSTITUTE(SUBSTITUTE(SUBSTITUTE(SUBSTITUTE(TRIM(C324),".",""),"/",""),"-","")," ","")))&lt;14,RIGHT(REPT("0",14)&amp;UPPER(SUBSTITUTE(SUBSTITUTE(SUBSTITUTE(SUBSTITUTE(TRIM(C324),".",""),"/",""),"-","")," ","")),14),UPPER(SUBSTITUTE(SUBSTITUTE(SUBSTITUTE(SUBSTITUTE(TRIM(C324),".",""),"/",""),"-","")," ",""))))</f>
        <v/>
      </c>
      <c r="E324" s="25" t="str">
        <f aca="false">IF(D324="","",IFERROR(INDEX(Empresas!$C:$C,MATCH(D324,Empresas!$B:$B,0)),"cadastre o CNPJ em Empresas"))</f>
        <v/>
      </c>
      <c r="F324" s="23"/>
      <c r="G324" s="35"/>
      <c r="H324" s="24"/>
      <c r="I324" s="11"/>
      <c r="J324" s="27" t="str">
        <f aca="false">IF(A324="","",YEAR(A324))</f>
        <v/>
      </c>
      <c r="K324" s="24"/>
      <c r="L324" s="11"/>
    </row>
    <row r="325" customFormat="false" ht="15" hidden="false" customHeight="false" outlineLevel="0" collapsed="false">
      <c r="A325" s="22"/>
      <c r="B325" s="11"/>
      <c r="C325" s="24"/>
      <c r="D325" s="31" t="str">
        <f aca="false">IF(C325="","",IF(LEN(UPPER(SUBSTITUTE(SUBSTITUTE(SUBSTITUTE(SUBSTITUTE(TRIM(C325),".",""),"/",""),"-","")," ","")))&lt;14,RIGHT(REPT("0",14)&amp;UPPER(SUBSTITUTE(SUBSTITUTE(SUBSTITUTE(SUBSTITUTE(TRIM(C325),".",""),"/",""),"-","")," ","")),14),UPPER(SUBSTITUTE(SUBSTITUTE(SUBSTITUTE(SUBSTITUTE(TRIM(C325),".",""),"/",""),"-","")," ",""))))</f>
        <v/>
      </c>
      <c r="E325" s="25" t="str">
        <f aca="false">IF(D325="","",IFERROR(INDEX(Empresas!$C:$C,MATCH(D325,Empresas!$B:$B,0)),"cadastre o CNPJ em Empresas"))</f>
        <v/>
      </c>
      <c r="F325" s="23"/>
      <c r="G325" s="35"/>
      <c r="H325" s="24"/>
      <c r="I325" s="11"/>
      <c r="J325" s="27" t="str">
        <f aca="false">IF(A325="","",YEAR(A325))</f>
        <v/>
      </c>
      <c r="K325" s="24"/>
      <c r="L325" s="11"/>
    </row>
    <row r="326" customFormat="false" ht="15" hidden="false" customHeight="false" outlineLevel="0" collapsed="false">
      <c r="A326" s="22"/>
      <c r="B326" s="11"/>
      <c r="C326" s="24"/>
      <c r="D326" s="31" t="str">
        <f aca="false">IF(C326="","",IF(LEN(UPPER(SUBSTITUTE(SUBSTITUTE(SUBSTITUTE(SUBSTITUTE(TRIM(C326),".",""),"/",""),"-","")," ","")))&lt;14,RIGHT(REPT("0",14)&amp;UPPER(SUBSTITUTE(SUBSTITUTE(SUBSTITUTE(SUBSTITUTE(TRIM(C326),".",""),"/",""),"-","")," ","")),14),UPPER(SUBSTITUTE(SUBSTITUTE(SUBSTITUTE(SUBSTITUTE(TRIM(C326),".",""),"/",""),"-","")," ",""))))</f>
        <v/>
      </c>
      <c r="E326" s="25" t="str">
        <f aca="false">IF(D326="","",IFERROR(INDEX(Empresas!$C:$C,MATCH(D326,Empresas!$B:$B,0)),"cadastre o CNPJ em Empresas"))</f>
        <v/>
      </c>
      <c r="F326" s="23"/>
      <c r="G326" s="35"/>
      <c r="H326" s="24"/>
      <c r="I326" s="11"/>
      <c r="J326" s="27" t="str">
        <f aca="false">IF(A326="","",YEAR(A326))</f>
        <v/>
      </c>
      <c r="K326" s="24"/>
      <c r="L326" s="11"/>
    </row>
    <row r="327" customFormat="false" ht="15" hidden="false" customHeight="false" outlineLevel="0" collapsed="false">
      <c r="A327" s="22"/>
      <c r="B327" s="11"/>
      <c r="C327" s="24"/>
      <c r="D327" s="31" t="str">
        <f aca="false">IF(C327="","",IF(LEN(UPPER(SUBSTITUTE(SUBSTITUTE(SUBSTITUTE(SUBSTITUTE(TRIM(C327),".",""),"/",""),"-","")," ","")))&lt;14,RIGHT(REPT("0",14)&amp;UPPER(SUBSTITUTE(SUBSTITUTE(SUBSTITUTE(SUBSTITUTE(TRIM(C327),".",""),"/",""),"-","")," ","")),14),UPPER(SUBSTITUTE(SUBSTITUTE(SUBSTITUTE(SUBSTITUTE(TRIM(C327),".",""),"/",""),"-","")," ",""))))</f>
        <v/>
      </c>
      <c r="E327" s="25" t="str">
        <f aca="false">IF(D327="","",IFERROR(INDEX(Empresas!$C:$C,MATCH(D327,Empresas!$B:$B,0)),"cadastre o CNPJ em Empresas"))</f>
        <v/>
      </c>
      <c r="F327" s="23"/>
      <c r="G327" s="35"/>
      <c r="H327" s="24"/>
      <c r="I327" s="11"/>
      <c r="J327" s="27" t="str">
        <f aca="false">IF(A327="","",YEAR(A327))</f>
        <v/>
      </c>
      <c r="K327" s="24"/>
      <c r="L327" s="11"/>
    </row>
    <row r="328" customFormat="false" ht="15" hidden="false" customHeight="false" outlineLevel="0" collapsed="false">
      <c r="A328" s="22"/>
      <c r="B328" s="11"/>
      <c r="C328" s="24"/>
      <c r="D328" s="31" t="str">
        <f aca="false">IF(C328="","",IF(LEN(UPPER(SUBSTITUTE(SUBSTITUTE(SUBSTITUTE(SUBSTITUTE(TRIM(C328),".",""),"/",""),"-","")," ","")))&lt;14,RIGHT(REPT("0",14)&amp;UPPER(SUBSTITUTE(SUBSTITUTE(SUBSTITUTE(SUBSTITUTE(TRIM(C328),".",""),"/",""),"-","")," ","")),14),UPPER(SUBSTITUTE(SUBSTITUTE(SUBSTITUTE(SUBSTITUTE(TRIM(C328),".",""),"/",""),"-","")," ",""))))</f>
        <v/>
      </c>
      <c r="E328" s="25" t="str">
        <f aca="false">IF(D328="","",IFERROR(INDEX(Empresas!$C:$C,MATCH(D328,Empresas!$B:$B,0)),"cadastre o CNPJ em Empresas"))</f>
        <v/>
      </c>
      <c r="F328" s="23"/>
      <c r="G328" s="35"/>
      <c r="H328" s="24"/>
      <c r="I328" s="11"/>
      <c r="J328" s="27" t="str">
        <f aca="false">IF(A328="","",YEAR(A328))</f>
        <v/>
      </c>
      <c r="K328" s="24"/>
      <c r="L328" s="11"/>
    </row>
    <row r="329" customFormat="false" ht="15" hidden="false" customHeight="false" outlineLevel="0" collapsed="false">
      <c r="A329" s="22"/>
      <c r="B329" s="11"/>
      <c r="C329" s="24"/>
      <c r="D329" s="31" t="str">
        <f aca="false">IF(C329="","",IF(LEN(UPPER(SUBSTITUTE(SUBSTITUTE(SUBSTITUTE(SUBSTITUTE(TRIM(C329),".",""),"/",""),"-","")," ","")))&lt;14,RIGHT(REPT("0",14)&amp;UPPER(SUBSTITUTE(SUBSTITUTE(SUBSTITUTE(SUBSTITUTE(TRIM(C329),".",""),"/",""),"-","")," ","")),14),UPPER(SUBSTITUTE(SUBSTITUTE(SUBSTITUTE(SUBSTITUTE(TRIM(C329),".",""),"/",""),"-","")," ",""))))</f>
        <v/>
      </c>
      <c r="E329" s="25" t="str">
        <f aca="false">IF(D329="","",IFERROR(INDEX(Empresas!$C:$C,MATCH(D329,Empresas!$B:$B,0)),"cadastre o CNPJ em Empresas"))</f>
        <v/>
      </c>
      <c r="F329" s="23"/>
      <c r="G329" s="35"/>
      <c r="H329" s="24"/>
      <c r="I329" s="11"/>
      <c r="J329" s="27" t="str">
        <f aca="false">IF(A329="","",YEAR(A329))</f>
        <v/>
      </c>
      <c r="K329" s="24"/>
      <c r="L329" s="11"/>
    </row>
    <row r="330" customFormat="false" ht="15" hidden="false" customHeight="false" outlineLevel="0" collapsed="false">
      <c r="A330" s="22"/>
      <c r="B330" s="11"/>
      <c r="C330" s="24"/>
      <c r="D330" s="31" t="str">
        <f aca="false">IF(C330="","",IF(LEN(UPPER(SUBSTITUTE(SUBSTITUTE(SUBSTITUTE(SUBSTITUTE(TRIM(C330),".",""),"/",""),"-","")," ","")))&lt;14,RIGHT(REPT("0",14)&amp;UPPER(SUBSTITUTE(SUBSTITUTE(SUBSTITUTE(SUBSTITUTE(TRIM(C330),".",""),"/",""),"-","")," ","")),14),UPPER(SUBSTITUTE(SUBSTITUTE(SUBSTITUTE(SUBSTITUTE(TRIM(C330),".",""),"/",""),"-","")," ",""))))</f>
        <v/>
      </c>
      <c r="E330" s="25" t="str">
        <f aca="false">IF(D330="","",IFERROR(INDEX(Empresas!$C:$C,MATCH(D330,Empresas!$B:$B,0)),"cadastre o CNPJ em Empresas"))</f>
        <v/>
      </c>
      <c r="F330" s="23"/>
      <c r="G330" s="35"/>
      <c r="H330" s="24"/>
      <c r="I330" s="11"/>
      <c r="J330" s="27" t="str">
        <f aca="false">IF(A330="","",YEAR(A330))</f>
        <v/>
      </c>
      <c r="K330" s="24"/>
      <c r="L330" s="11"/>
    </row>
    <row r="331" customFormat="false" ht="15" hidden="false" customHeight="false" outlineLevel="0" collapsed="false">
      <c r="A331" s="22"/>
      <c r="B331" s="11"/>
      <c r="C331" s="24"/>
      <c r="D331" s="31" t="str">
        <f aca="false">IF(C331="","",IF(LEN(UPPER(SUBSTITUTE(SUBSTITUTE(SUBSTITUTE(SUBSTITUTE(TRIM(C331),".",""),"/",""),"-","")," ","")))&lt;14,RIGHT(REPT("0",14)&amp;UPPER(SUBSTITUTE(SUBSTITUTE(SUBSTITUTE(SUBSTITUTE(TRIM(C331),".",""),"/",""),"-","")," ","")),14),UPPER(SUBSTITUTE(SUBSTITUTE(SUBSTITUTE(SUBSTITUTE(TRIM(C331),".",""),"/",""),"-","")," ",""))))</f>
        <v/>
      </c>
      <c r="E331" s="25" t="str">
        <f aca="false">IF(D331="","",IFERROR(INDEX(Empresas!$C:$C,MATCH(D331,Empresas!$B:$B,0)),"cadastre o CNPJ em Empresas"))</f>
        <v/>
      </c>
      <c r="F331" s="23"/>
      <c r="G331" s="35"/>
      <c r="H331" s="24"/>
      <c r="I331" s="11"/>
      <c r="J331" s="27" t="str">
        <f aca="false">IF(A331="","",YEAR(A331))</f>
        <v/>
      </c>
      <c r="K331" s="24"/>
      <c r="L331" s="11"/>
    </row>
    <row r="332" customFormat="false" ht="15" hidden="false" customHeight="false" outlineLevel="0" collapsed="false">
      <c r="A332" s="22"/>
      <c r="B332" s="11"/>
      <c r="C332" s="24"/>
      <c r="D332" s="31" t="str">
        <f aca="false">IF(C332="","",IF(LEN(UPPER(SUBSTITUTE(SUBSTITUTE(SUBSTITUTE(SUBSTITUTE(TRIM(C332),".",""),"/",""),"-","")," ","")))&lt;14,RIGHT(REPT("0",14)&amp;UPPER(SUBSTITUTE(SUBSTITUTE(SUBSTITUTE(SUBSTITUTE(TRIM(C332),".",""),"/",""),"-","")," ","")),14),UPPER(SUBSTITUTE(SUBSTITUTE(SUBSTITUTE(SUBSTITUTE(TRIM(C332),".",""),"/",""),"-","")," ",""))))</f>
        <v/>
      </c>
      <c r="E332" s="25" t="str">
        <f aca="false">IF(D332="","",IFERROR(INDEX(Empresas!$C:$C,MATCH(D332,Empresas!$B:$B,0)),"cadastre o CNPJ em Empresas"))</f>
        <v/>
      </c>
      <c r="F332" s="23"/>
      <c r="G332" s="35"/>
      <c r="H332" s="24"/>
      <c r="I332" s="11"/>
      <c r="J332" s="27" t="str">
        <f aca="false">IF(A332="","",YEAR(A332))</f>
        <v/>
      </c>
      <c r="K332" s="24"/>
      <c r="L332" s="11"/>
    </row>
    <row r="333" customFormat="false" ht="15" hidden="false" customHeight="false" outlineLevel="0" collapsed="false">
      <c r="A333" s="22"/>
      <c r="B333" s="11"/>
      <c r="C333" s="24"/>
      <c r="D333" s="31" t="str">
        <f aca="false">IF(C333="","",IF(LEN(UPPER(SUBSTITUTE(SUBSTITUTE(SUBSTITUTE(SUBSTITUTE(TRIM(C333),".",""),"/",""),"-","")," ","")))&lt;14,RIGHT(REPT("0",14)&amp;UPPER(SUBSTITUTE(SUBSTITUTE(SUBSTITUTE(SUBSTITUTE(TRIM(C333),".",""),"/",""),"-","")," ","")),14),UPPER(SUBSTITUTE(SUBSTITUTE(SUBSTITUTE(SUBSTITUTE(TRIM(C333),".",""),"/",""),"-","")," ",""))))</f>
        <v/>
      </c>
      <c r="E333" s="25" t="str">
        <f aca="false">IF(D333="","",IFERROR(INDEX(Empresas!$C:$C,MATCH(D333,Empresas!$B:$B,0)),"cadastre o CNPJ em Empresas"))</f>
        <v/>
      </c>
      <c r="F333" s="23"/>
      <c r="G333" s="35"/>
      <c r="H333" s="24"/>
      <c r="I333" s="11"/>
      <c r="J333" s="27" t="str">
        <f aca="false">IF(A333="","",YEAR(A333))</f>
        <v/>
      </c>
      <c r="K333" s="24"/>
      <c r="L333" s="11"/>
    </row>
    <row r="334" customFormat="false" ht="15" hidden="false" customHeight="false" outlineLevel="0" collapsed="false">
      <c r="A334" s="22"/>
      <c r="B334" s="11"/>
      <c r="C334" s="24"/>
      <c r="D334" s="31" t="str">
        <f aca="false">IF(C334="","",IF(LEN(UPPER(SUBSTITUTE(SUBSTITUTE(SUBSTITUTE(SUBSTITUTE(TRIM(C334),".",""),"/",""),"-","")," ","")))&lt;14,RIGHT(REPT("0",14)&amp;UPPER(SUBSTITUTE(SUBSTITUTE(SUBSTITUTE(SUBSTITUTE(TRIM(C334),".",""),"/",""),"-","")," ","")),14),UPPER(SUBSTITUTE(SUBSTITUTE(SUBSTITUTE(SUBSTITUTE(TRIM(C334),".",""),"/",""),"-","")," ",""))))</f>
        <v/>
      </c>
      <c r="E334" s="25" t="str">
        <f aca="false">IF(D334="","",IFERROR(INDEX(Empresas!$C:$C,MATCH(D334,Empresas!$B:$B,0)),"cadastre o CNPJ em Empresas"))</f>
        <v/>
      </c>
      <c r="F334" s="23"/>
      <c r="G334" s="35"/>
      <c r="H334" s="24"/>
      <c r="I334" s="11"/>
      <c r="J334" s="27" t="str">
        <f aca="false">IF(A334="","",YEAR(A334))</f>
        <v/>
      </c>
      <c r="K334" s="24"/>
      <c r="L334" s="11"/>
    </row>
    <row r="335" customFormat="false" ht="15" hidden="false" customHeight="false" outlineLevel="0" collapsed="false">
      <c r="A335" s="22"/>
      <c r="B335" s="11"/>
      <c r="C335" s="24"/>
      <c r="D335" s="31" t="str">
        <f aca="false">IF(C335="","",IF(LEN(UPPER(SUBSTITUTE(SUBSTITUTE(SUBSTITUTE(SUBSTITUTE(TRIM(C335),".",""),"/",""),"-","")," ","")))&lt;14,RIGHT(REPT("0",14)&amp;UPPER(SUBSTITUTE(SUBSTITUTE(SUBSTITUTE(SUBSTITUTE(TRIM(C335),".",""),"/",""),"-","")," ","")),14),UPPER(SUBSTITUTE(SUBSTITUTE(SUBSTITUTE(SUBSTITUTE(TRIM(C335),".",""),"/",""),"-","")," ",""))))</f>
        <v/>
      </c>
      <c r="E335" s="25" t="str">
        <f aca="false">IF(D335="","",IFERROR(INDEX(Empresas!$C:$C,MATCH(D335,Empresas!$B:$B,0)),"cadastre o CNPJ em Empresas"))</f>
        <v/>
      </c>
      <c r="F335" s="23"/>
      <c r="G335" s="35"/>
      <c r="H335" s="24"/>
      <c r="I335" s="11"/>
      <c r="J335" s="27" t="str">
        <f aca="false">IF(A335="","",YEAR(A335))</f>
        <v/>
      </c>
      <c r="K335" s="24"/>
      <c r="L335" s="11"/>
    </row>
    <row r="336" customFormat="false" ht="15" hidden="false" customHeight="false" outlineLevel="0" collapsed="false">
      <c r="A336" s="22"/>
      <c r="B336" s="11"/>
      <c r="C336" s="24"/>
      <c r="D336" s="31" t="str">
        <f aca="false">IF(C336="","",IF(LEN(UPPER(SUBSTITUTE(SUBSTITUTE(SUBSTITUTE(SUBSTITUTE(TRIM(C336),".",""),"/",""),"-","")," ","")))&lt;14,RIGHT(REPT("0",14)&amp;UPPER(SUBSTITUTE(SUBSTITUTE(SUBSTITUTE(SUBSTITUTE(TRIM(C336),".",""),"/",""),"-","")," ","")),14),UPPER(SUBSTITUTE(SUBSTITUTE(SUBSTITUTE(SUBSTITUTE(TRIM(C336),".",""),"/",""),"-","")," ",""))))</f>
        <v/>
      </c>
      <c r="E336" s="25" t="str">
        <f aca="false">IF(D336="","",IFERROR(INDEX(Empresas!$C:$C,MATCH(D336,Empresas!$B:$B,0)),"cadastre o CNPJ em Empresas"))</f>
        <v/>
      </c>
      <c r="F336" s="23"/>
      <c r="G336" s="35"/>
      <c r="H336" s="24"/>
      <c r="I336" s="11"/>
      <c r="J336" s="27" t="str">
        <f aca="false">IF(A336="","",YEAR(A336))</f>
        <v/>
      </c>
      <c r="K336" s="24"/>
      <c r="L336" s="11"/>
    </row>
    <row r="337" customFormat="false" ht="15" hidden="false" customHeight="false" outlineLevel="0" collapsed="false">
      <c r="A337" s="22"/>
      <c r="B337" s="11"/>
      <c r="C337" s="24"/>
      <c r="D337" s="31" t="str">
        <f aca="false">IF(C337="","",IF(LEN(UPPER(SUBSTITUTE(SUBSTITUTE(SUBSTITUTE(SUBSTITUTE(TRIM(C337),".",""),"/",""),"-","")," ","")))&lt;14,RIGHT(REPT("0",14)&amp;UPPER(SUBSTITUTE(SUBSTITUTE(SUBSTITUTE(SUBSTITUTE(TRIM(C337),".",""),"/",""),"-","")," ","")),14),UPPER(SUBSTITUTE(SUBSTITUTE(SUBSTITUTE(SUBSTITUTE(TRIM(C337),".",""),"/",""),"-","")," ",""))))</f>
        <v/>
      </c>
      <c r="E337" s="25" t="str">
        <f aca="false">IF(D337="","",IFERROR(INDEX(Empresas!$C:$C,MATCH(D337,Empresas!$B:$B,0)),"cadastre o CNPJ em Empresas"))</f>
        <v/>
      </c>
      <c r="F337" s="23"/>
      <c r="G337" s="35"/>
      <c r="H337" s="24"/>
      <c r="I337" s="11"/>
      <c r="J337" s="27" t="str">
        <f aca="false">IF(A337="","",YEAR(A337))</f>
        <v/>
      </c>
      <c r="K337" s="24"/>
      <c r="L337" s="11"/>
    </row>
    <row r="338" customFormat="false" ht="15" hidden="false" customHeight="false" outlineLevel="0" collapsed="false">
      <c r="A338" s="22"/>
      <c r="B338" s="11"/>
      <c r="C338" s="24"/>
      <c r="D338" s="31" t="str">
        <f aca="false">IF(C338="","",IF(LEN(UPPER(SUBSTITUTE(SUBSTITUTE(SUBSTITUTE(SUBSTITUTE(TRIM(C338),".",""),"/",""),"-","")," ","")))&lt;14,RIGHT(REPT("0",14)&amp;UPPER(SUBSTITUTE(SUBSTITUTE(SUBSTITUTE(SUBSTITUTE(TRIM(C338),".",""),"/",""),"-","")," ","")),14),UPPER(SUBSTITUTE(SUBSTITUTE(SUBSTITUTE(SUBSTITUTE(TRIM(C338),".",""),"/",""),"-","")," ",""))))</f>
        <v/>
      </c>
      <c r="E338" s="25" t="str">
        <f aca="false">IF(D338="","",IFERROR(INDEX(Empresas!$C:$C,MATCH(D338,Empresas!$B:$B,0)),"cadastre o CNPJ em Empresas"))</f>
        <v/>
      </c>
      <c r="F338" s="23"/>
      <c r="G338" s="35"/>
      <c r="H338" s="24"/>
      <c r="I338" s="11"/>
      <c r="J338" s="27" t="str">
        <f aca="false">IF(A338="","",YEAR(A338))</f>
        <v/>
      </c>
      <c r="K338" s="24"/>
      <c r="L338" s="11"/>
    </row>
    <row r="339" customFormat="false" ht="15" hidden="false" customHeight="false" outlineLevel="0" collapsed="false">
      <c r="A339" s="22"/>
      <c r="B339" s="11"/>
      <c r="C339" s="24"/>
      <c r="D339" s="31" t="str">
        <f aca="false">IF(C339="","",IF(LEN(UPPER(SUBSTITUTE(SUBSTITUTE(SUBSTITUTE(SUBSTITUTE(TRIM(C339),".",""),"/",""),"-","")," ","")))&lt;14,RIGHT(REPT("0",14)&amp;UPPER(SUBSTITUTE(SUBSTITUTE(SUBSTITUTE(SUBSTITUTE(TRIM(C339),".",""),"/",""),"-","")," ","")),14),UPPER(SUBSTITUTE(SUBSTITUTE(SUBSTITUTE(SUBSTITUTE(TRIM(C339),".",""),"/",""),"-","")," ",""))))</f>
        <v/>
      </c>
      <c r="E339" s="25" t="str">
        <f aca="false">IF(D339="","",IFERROR(INDEX(Empresas!$C:$C,MATCH(D339,Empresas!$B:$B,0)),"cadastre o CNPJ em Empresas"))</f>
        <v/>
      </c>
      <c r="F339" s="23"/>
      <c r="G339" s="35"/>
      <c r="H339" s="24"/>
      <c r="I339" s="11"/>
      <c r="J339" s="27" t="str">
        <f aca="false">IF(A339="","",YEAR(A339))</f>
        <v/>
      </c>
      <c r="K339" s="24"/>
      <c r="L339" s="11"/>
    </row>
    <row r="340" customFormat="false" ht="15" hidden="false" customHeight="false" outlineLevel="0" collapsed="false">
      <c r="A340" s="22"/>
      <c r="B340" s="11"/>
      <c r="C340" s="24"/>
      <c r="D340" s="31" t="str">
        <f aca="false">IF(C340="","",IF(LEN(UPPER(SUBSTITUTE(SUBSTITUTE(SUBSTITUTE(SUBSTITUTE(TRIM(C340),".",""),"/",""),"-","")," ","")))&lt;14,RIGHT(REPT("0",14)&amp;UPPER(SUBSTITUTE(SUBSTITUTE(SUBSTITUTE(SUBSTITUTE(TRIM(C340),".",""),"/",""),"-","")," ","")),14),UPPER(SUBSTITUTE(SUBSTITUTE(SUBSTITUTE(SUBSTITUTE(TRIM(C340),".",""),"/",""),"-","")," ",""))))</f>
        <v/>
      </c>
      <c r="E340" s="25" t="str">
        <f aca="false">IF(D340="","",IFERROR(INDEX(Empresas!$C:$C,MATCH(D340,Empresas!$B:$B,0)),"cadastre o CNPJ em Empresas"))</f>
        <v/>
      </c>
      <c r="F340" s="23"/>
      <c r="G340" s="35"/>
      <c r="H340" s="24"/>
      <c r="I340" s="11"/>
      <c r="J340" s="27" t="str">
        <f aca="false">IF(A340="","",YEAR(A340))</f>
        <v/>
      </c>
      <c r="K340" s="24"/>
      <c r="L340" s="11"/>
    </row>
    <row r="341" customFormat="false" ht="15" hidden="false" customHeight="false" outlineLevel="0" collapsed="false">
      <c r="A341" s="22"/>
      <c r="B341" s="11"/>
      <c r="C341" s="24"/>
      <c r="D341" s="31" t="str">
        <f aca="false">IF(C341="","",IF(LEN(UPPER(SUBSTITUTE(SUBSTITUTE(SUBSTITUTE(SUBSTITUTE(TRIM(C341),".",""),"/",""),"-","")," ","")))&lt;14,RIGHT(REPT("0",14)&amp;UPPER(SUBSTITUTE(SUBSTITUTE(SUBSTITUTE(SUBSTITUTE(TRIM(C341),".",""),"/",""),"-","")," ","")),14),UPPER(SUBSTITUTE(SUBSTITUTE(SUBSTITUTE(SUBSTITUTE(TRIM(C341),".",""),"/",""),"-","")," ",""))))</f>
        <v/>
      </c>
      <c r="E341" s="25" t="str">
        <f aca="false">IF(D341="","",IFERROR(INDEX(Empresas!$C:$C,MATCH(D341,Empresas!$B:$B,0)),"cadastre o CNPJ em Empresas"))</f>
        <v/>
      </c>
      <c r="F341" s="23"/>
      <c r="G341" s="35"/>
      <c r="H341" s="24"/>
      <c r="I341" s="11"/>
      <c r="J341" s="27" t="str">
        <f aca="false">IF(A341="","",YEAR(A341))</f>
        <v/>
      </c>
      <c r="K341" s="24"/>
      <c r="L341" s="11"/>
    </row>
    <row r="342" customFormat="false" ht="15" hidden="false" customHeight="false" outlineLevel="0" collapsed="false">
      <c r="A342" s="22"/>
      <c r="B342" s="11"/>
      <c r="C342" s="24"/>
      <c r="D342" s="31" t="str">
        <f aca="false">IF(C342="","",IF(LEN(UPPER(SUBSTITUTE(SUBSTITUTE(SUBSTITUTE(SUBSTITUTE(TRIM(C342),".",""),"/",""),"-","")," ","")))&lt;14,RIGHT(REPT("0",14)&amp;UPPER(SUBSTITUTE(SUBSTITUTE(SUBSTITUTE(SUBSTITUTE(TRIM(C342),".",""),"/",""),"-","")," ","")),14),UPPER(SUBSTITUTE(SUBSTITUTE(SUBSTITUTE(SUBSTITUTE(TRIM(C342),".",""),"/",""),"-","")," ",""))))</f>
        <v/>
      </c>
      <c r="E342" s="25" t="str">
        <f aca="false">IF(D342="","",IFERROR(INDEX(Empresas!$C:$C,MATCH(D342,Empresas!$B:$B,0)),"cadastre o CNPJ em Empresas"))</f>
        <v/>
      </c>
      <c r="F342" s="23"/>
      <c r="G342" s="35"/>
      <c r="H342" s="24"/>
      <c r="I342" s="11"/>
      <c r="J342" s="27" t="str">
        <f aca="false">IF(A342="","",YEAR(A342))</f>
        <v/>
      </c>
      <c r="K342" s="24"/>
      <c r="L342" s="11"/>
    </row>
    <row r="343" customFormat="false" ht="15" hidden="false" customHeight="false" outlineLevel="0" collapsed="false">
      <c r="A343" s="22"/>
      <c r="B343" s="11"/>
      <c r="C343" s="24"/>
      <c r="D343" s="31" t="str">
        <f aca="false">IF(C343="","",IF(LEN(UPPER(SUBSTITUTE(SUBSTITUTE(SUBSTITUTE(SUBSTITUTE(TRIM(C343),".",""),"/",""),"-","")," ","")))&lt;14,RIGHT(REPT("0",14)&amp;UPPER(SUBSTITUTE(SUBSTITUTE(SUBSTITUTE(SUBSTITUTE(TRIM(C343),".",""),"/",""),"-","")," ","")),14),UPPER(SUBSTITUTE(SUBSTITUTE(SUBSTITUTE(SUBSTITUTE(TRIM(C343),".",""),"/",""),"-","")," ",""))))</f>
        <v/>
      </c>
      <c r="E343" s="25" t="str">
        <f aca="false">IF(D343="","",IFERROR(INDEX(Empresas!$C:$C,MATCH(D343,Empresas!$B:$B,0)),"cadastre o CNPJ em Empresas"))</f>
        <v/>
      </c>
      <c r="F343" s="23"/>
      <c r="G343" s="35"/>
      <c r="H343" s="24"/>
      <c r="I343" s="11"/>
      <c r="J343" s="27" t="str">
        <f aca="false">IF(A343="","",YEAR(A343))</f>
        <v/>
      </c>
      <c r="K343" s="24"/>
      <c r="L343" s="11"/>
    </row>
    <row r="344" customFormat="false" ht="15" hidden="false" customHeight="false" outlineLevel="0" collapsed="false">
      <c r="A344" s="22"/>
      <c r="B344" s="11"/>
      <c r="C344" s="24"/>
      <c r="D344" s="31" t="str">
        <f aca="false">IF(C344="","",IF(LEN(UPPER(SUBSTITUTE(SUBSTITUTE(SUBSTITUTE(SUBSTITUTE(TRIM(C344),".",""),"/",""),"-","")," ","")))&lt;14,RIGHT(REPT("0",14)&amp;UPPER(SUBSTITUTE(SUBSTITUTE(SUBSTITUTE(SUBSTITUTE(TRIM(C344),".",""),"/",""),"-","")," ","")),14),UPPER(SUBSTITUTE(SUBSTITUTE(SUBSTITUTE(SUBSTITUTE(TRIM(C344),".",""),"/",""),"-","")," ",""))))</f>
        <v/>
      </c>
      <c r="E344" s="25" t="str">
        <f aca="false">IF(D344="","",IFERROR(INDEX(Empresas!$C:$C,MATCH(D344,Empresas!$B:$B,0)),"cadastre o CNPJ em Empresas"))</f>
        <v/>
      </c>
      <c r="F344" s="23"/>
      <c r="G344" s="35"/>
      <c r="H344" s="24"/>
      <c r="I344" s="11"/>
      <c r="J344" s="27" t="str">
        <f aca="false">IF(A344="","",YEAR(A344))</f>
        <v/>
      </c>
      <c r="K344" s="24"/>
      <c r="L344" s="11"/>
    </row>
    <row r="345" customFormat="false" ht="15" hidden="false" customHeight="false" outlineLevel="0" collapsed="false">
      <c r="A345" s="22"/>
      <c r="B345" s="11"/>
      <c r="C345" s="24"/>
      <c r="D345" s="31" t="str">
        <f aca="false">IF(C345="","",IF(LEN(UPPER(SUBSTITUTE(SUBSTITUTE(SUBSTITUTE(SUBSTITUTE(TRIM(C345),".",""),"/",""),"-","")," ","")))&lt;14,RIGHT(REPT("0",14)&amp;UPPER(SUBSTITUTE(SUBSTITUTE(SUBSTITUTE(SUBSTITUTE(TRIM(C345),".",""),"/",""),"-","")," ","")),14),UPPER(SUBSTITUTE(SUBSTITUTE(SUBSTITUTE(SUBSTITUTE(TRIM(C345),".",""),"/",""),"-","")," ",""))))</f>
        <v/>
      </c>
      <c r="E345" s="25" t="str">
        <f aca="false">IF(D345="","",IFERROR(INDEX(Empresas!$C:$C,MATCH(D345,Empresas!$B:$B,0)),"cadastre o CNPJ em Empresas"))</f>
        <v/>
      </c>
      <c r="F345" s="23"/>
      <c r="G345" s="35"/>
      <c r="H345" s="24"/>
      <c r="I345" s="11"/>
      <c r="J345" s="27" t="str">
        <f aca="false">IF(A345="","",YEAR(A345))</f>
        <v/>
      </c>
      <c r="K345" s="24"/>
      <c r="L345" s="11"/>
    </row>
    <row r="346" customFormat="false" ht="15" hidden="false" customHeight="false" outlineLevel="0" collapsed="false">
      <c r="A346" s="22"/>
      <c r="B346" s="11"/>
      <c r="C346" s="24"/>
      <c r="D346" s="31" t="str">
        <f aca="false">IF(C346="","",IF(LEN(UPPER(SUBSTITUTE(SUBSTITUTE(SUBSTITUTE(SUBSTITUTE(TRIM(C346),".",""),"/",""),"-","")," ","")))&lt;14,RIGHT(REPT("0",14)&amp;UPPER(SUBSTITUTE(SUBSTITUTE(SUBSTITUTE(SUBSTITUTE(TRIM(C346),".",""),"/",""),"-","")," ","")),14),UPPER(SUBSTITUTE(SUBSTITUTE(SUBSTITUTE(SUBSTITUTE(TRIM(C346),".",""),"/",""),"-","")," ",""))))</f>
        <v/>
      </c>
      <c r="E346" s="25" t="str">
        <f aca="false">IF(D346="","",IFERROR(INDEX(Empresas!$C:$C,MATCH(D346,Empresas!$B:$B,0)),"cadastre o CNPJ em Empresas"))</f>
        <v/>
      </c>
      <c r="F346" s="23"/>
      <c r="G346" s="35"/>
      <c r="H346" s="24"/>
      <c r="I346" s="11"/>
      <c r="J346" s="27" t="str">
        <f aca="false">IF(A346="","",YEAR(A346))</f>
        <v/>
      </c>
      <c r="K346" s="24"/>
      <c r="L346" s="11"/>
    </row>
    <row r="347" customFormat="false" ht="15" hidden="false" customHeight="false" outlineLevel="0" collapsed="false">
      <c r="A347" s="22"/>
      <c r="B347" s="11"/>
      <c r="C347" s="24"/>
      <c r="D347" s="31" t="str">
        <f aca="false">IF(C347="","",IF(LEN(UPPER(SUBSTITUTE(SUBSTITUTE(SUBSTITUTE(SUBSTITUTE(TRIM(C347),".",""),"/",""),"-","")," ","")))&lt;14,RIGHT(REPT("0",14)&amp;UPPER(SUBSTITUTE(SUBSTITUTE(SUBSTITUTE(SUBSTITUTE(TRIM(C347),".",""),"/",""),"-","")," ","")),14),UPPER(SUBSTITUTE(SUBSTITUTE(SUBSTITUTE(SUBSTITUTE(TRIM(C347),".",""),"/",""),"-","")," ",""))))</f>
        <v/>
      </c>
      <c r="E347" s="25" t="str">
        <f aca="false">IF(D347="","",IFERROR(INDEX(Empresas!$C:$C,MATCH(D347,Empresas!$B:$B,0)),"cadastre o CNPJ em Empresas"))</f>
        <v/>
      </c>
      <c r="F347" s="23"/>
      <c r="G347" s="35"/>
      <c r="H347" s="24"/>
      <c r="I347" s="11"/>
      <c r="J347" s="27" t="str">
        <f aca="false">IF(A347="","",YEAR(A347))</f>
        <v/>
      </c>
      <c r="K347" s="24"/>
      <c r="L347" s="11"/>
    </row>
    <row r="348" customFormat="false" ht="15" hidden="false" customHeight="false" outlineLevel="0" collapsed="false">
      <c r="A348" s="22"/>
      <c r="B348" s="11"/>
      <c r="C348" s="24"/>
      <c r="D348" s="31" t="str">
        <f aca="false">IF(C348="","",IF(LEN(UPPER(SUBSTITUTE(SUBSTITUTE(SUBSTITUTE(SUBSTITUTE(TRIM(C348),".",""),"/",""),"-","")," ","")))&lt;14,RIGHT(REPT("0",14)&amp;UPPER(SUBSTITUTE(SUBSTITUTE(SUBSTITUTE(SUBSTITUTE(TRIM(C348),".",""),"/",""),"-","")," ","")),14),UPPER(SUBSTITUTE(SUBSTITUTE(SUBSTITUTE(SUBSTITUTE(TRIM(C348),".",""),"/",""),"-","")," ",""))))</f>
        <v/>
      </c>
      <c r="E348" s="25" t="str">
        <f aca="false">IF(D348="","",IFERROR(INDEX(Empresas!$C:$C,MATCH(D348,Empresas!$B:$B,0)),"cadastre o CNPJ em Empresas"))</f>
        <v/>
      </c>
      <c r="F348" s="23"/>
      <c r="G348" s="35"/>
      <c r="H348" s="24"/>
      <c r="I348" s="11"/>
      <c r="J348" s="27" t="str">
        <f aca="false">IF(A348="","",YEAR(A348))</f>
        <v/>
      </c>
      <c r="K348" s="24"/>
      <c r="L348" s="11"/>
    </row>
    <row r="349" customFormat="false" ht="15" hidden="false" customHeight="false" outlineLevel="0" collapsed="false">
      <c r="A349" s="22"/>
      <c r="B349" s="11"/>
      <c r="C349" s="24"/>
      <c r="D349" s="31" t="str">
        <f aca="false">IF(C349="","",IF(LEN(UPPER(SUBSTITUTE(SUBSTITUTE(SUBSTITUTE(SUBSTITUTE(TRIM(C349),".",""),"/",""),"-","")," ","")))&lt;14,RIGHT(REPT("0",14)&amp;UPPER(SUBSTITUTE(SUBSTITUTE(SUBSTITUTE(SUBSTITUTE(TRIM(C349),".",""),"/",""),"-","")," ","")),14),UPPER(SUBSTITUTE(SUBSTITUTE(SUBSTITUTE(SUBSTITUTE(TRIM(C349),".",""),"/",""),"-","")," ",""))))</f>
        <v/>
      </c>
      <c r="E349" s="25" t="str">
        <f aca="false">IF(D349="","",IFERROR(INDEX(Empresas!$C:$C,MATCH(D349,Empresas!$B:$B,0)),"cadastre o CNPJ em Empresas"))</f>
        <v/>
      </c>
      <c r="F349" s="23"/>
      <c r="G349" s="35"/>
      <c r="H349" s="24"/>
      <c r="I349" s="11"/>
      <c r="J349" s="27" t="str">
        <f aca="false">IF(A349="","",YEAR(A349))</f>
        <v/>
      </c>
      <c r="K349" s="24"/>
      <c r="L349" s="11"/>
    </row>
    <row r="350" customFormat="false" ht="15" hidden="false" customHeight="false" outlineLevel="0" collapsed="false">
      <c r="A350" s="22"/>
      <c r="B350" s="11"/>
      <c r="C350" s="24"/>
      <c r="D350" s="31" t="str">
        <f aca="false">IF(C350="","",IF(LEN(UPPER(SUBSTITUTE(SUBSTITUTE(SUBSTITUTE(SUBSTITUTE(TRIM(C350),".",""),"/",""),"-","")," ","")))&lt;14,RIGHT(REPT("0",14)&amp;UPPER(SUBSTITUTE(SUBSTITUTE(SUBSTITUTE(SUBSTITUTE(TRIM(C350),".",""),"/",""),"-","")," ","")),14),UPPER(SUBSTITUTE(SUBSTITUTE(SUBSTITUTE(SUBSTITUTE(TRIM(C350),".",""),"/",""),"-","")," ",""))))</f>
        <v/>
      </c>
      <c r="E350" s="25" t="str">
        <f aca="false">IF(D350="","",IFERROR(INDEX(Empresas!$C:$C,MATCH(D350,Empresas!$B:$B,0)),"cadastre o CNPJ em Empresas"))</f>
        <v/>
      </c>
      <c r="F350" s="23"/>
      <c r="G350" s="35"/>
      <c r="H350" s="24"/>
      <c r="I350" s="11"/>
      <c r="J350" s="27" t="str">
        <f aca="false">IF(A350="","",YEAR(A350))</f>
        <v/>
      </c>
      <c r="K350" s="24"/>
      <c r="L350" s="11"/>
    </row>
    <row r="351" customFormat="false" ht="15" hidden="false" customHeight="false" outlineLevel="0" collapsed="false">
      <c r="A351" s="22"/>
      <c r="B351" s="11"/>
      <c r="C351" s="24"/>
      <c r="D351" s="31" t="str">
        <f aca="false">IF(C351="","",IF(LEN(UPPER(SUBSTITUTE(SUBSTITUTE(SUBSTITUTE(SUBSTITUTE(TRIM(C351),".",""),"/",""),"-","")," ","")))&lt;14,RIGHT(REPT("0",14)&amp;UPPER(SUBSTITUTE(SUBSTITUTE(SUBSTITUTE(SUBSTITUTE(TRIM(C351),".",""),"/",""),"-","")," ","")),14),UPPER(SUBSTITUTE(SUBSTITUTE(SUBSTITUTE(SUBSTITUTE(TRIM(C351),".",""),"/",""),"-","")," ",""))))</f>
        <v/>
      </c>
      <c r="E351" s="25" t="str">
        <f aca="false">IF(D351="","",IFERROR(INDEX(Empresas!$C:$C,MATCH(D351,Empresas!$B:$B,0)),"cadastre o CNPJ em Empresas"))</f>
        <v/>
      </c>
      <c r="F351" s="23"/>
      <c r="G351" s="35"/>
      <c r="H351" s="24"/>
      <c r="I351" s="11"/>
      <c r="J351" s="27" t="str">
        <f aca="false">IF(A351="","",YEAR(A351))</f>
        <v/>
      </c>
      <c r="K351" s="24"/>
      <c r="L351" s="11"/>
    </row>
    <row r="352" customFormat="false" ht="15" hidden="false" customHeight="false" outlineLevel="0" collapsed="false">
      <c r="A352" s="22"/>
      <c r="B352" s="11"/>
      <c r="C352" s="24"/>
      <c r="D352" s="31" t="str">
        <f aca="false">IF(C352="","",IF(LEN(UPPER(SUBSTITUTE(SUBSTITUTE(SUBSTITUTE(SUBSTITUTE(TRIM(C352),".",""),"/",""),"-","")," ","")))&lt;14,RIGHT(REPT("0",14)&amp;UPPER(SUBSTITUTE(SUBSTITUTE(SUBSTITUTE(SUBSTITUTE(TRIM(C352),".",""),"/",""),"-","")," ","")),14),UPPER(SUBSTITUTE(SUBSTITUTE(SUBSTITUTE(SUBSTITUTE(TRIM(C352),".",""),"/",""),"-","")," ",""))))</f>
        <v/>
      </c>
      <c r="E352" s="25" t="str">
        <f aca="false">IF(D352="","",IFERROR(INDEX(Empresas!$C:$C,MATCH(D352,Empresas!$B:$B,0)),"cadastre o CNPJ em Empresas"))</f>
        <v/>
      </c>
      <c r="F352" s="23"/>
      <c r="G352" s="35"/>
      <c r="H352" s="24"/>
      <c r="I352" s="11"/>
      <c r="J352" s="27" t="str">
        <f aca="false">IF(A352="","",YEAR(A352))</f>
        <v/>
      </c>
      <c r="K352" s="24"/>
      <c r="L352" s="11"/>
    </row>
    <row r="353" customFormat="false" ht="15" hidden="false" customHeight="false" outlineLevel="0" collapsed="false">
      <c r="A353" s="22"/>
      <c r="B353" s="11"/>
      <c r="C353" s="24"/>
      <c r="D353" s="31" t="str">
        <f aca="false">IF(C353="","",IF(LEN(UPPER(SUBSTITUTE(SUBSTITUTE(SUBSTITUTE(SUBSTITUTE(TRIM(C353),".",""),"/",""),"-","")," ","")))&lt;14,RIGHT(REPT("0",14)&amp;UPPER(SUBSTITUTE(SUBSTITUTE(SUBSTITUTE(SUBSTITUTE(TRIM(C353),".",""),"/",""),"-","")," ","")),14),UPPER(SUBSTITUTE(SUBSTITUTE(SUBSTITUTE(SUBSTITUTE(TRIM(C353),".",""),"/",""),"-","")," ",""))))</f>
        <v/>
      </c>
      <c r="E353" s="25" t="str">
        <f aca="false">IF(D353="","",IFERROR(INDEX(Empresas!$C:$C,MATCH(D353,Empresas!$B:$B,0)),"cadastre o CNPJ em Empresas"))</f>
        <v/>
      </c>
      <c r="F353" s="23"/>
      <c r="G353" s="35"/>
      <c r="H353" s="24"/>
      <c r="I353" s="11"/>
      <c r="J353" s="27" t="str">
        <f aca="false">IF(A353="","",YEAR(A353))</f>
        <v/>
      </c>
      <c r="K353" s="24"/>
      <c r="L353" s="11"/>
    </row>
    <row r="354" customFormat="false" ht="15" hidden="false" customHeight="false" outlineLevel="0" collapsed="false">
      <c r="A354" s="22"/>
      <c r="B354" s="11"/>
      <c r="C354" s="24"/>
      <c r="D354" s="31" t="str">
        <f aca="false">IF(C354="","",IF(LEN(UPPER(SUBSTITUTE(SUBSTITUTE(SUBSTITUTE(SUBSTITUTE(TRIM(C354),".",""),"/",""),"-","")," ","")))&lt;14,RIGHT(REPT("0",14)&amp;UPPER(SUBSTITUTE(SUBSTITUTE(SUBSTITUTE(SUBSTITUTE(TRIM(C354),".",""),"/",""),"-","")," ","")),14),UPPER(SUBSTITUTE(SUBSTITUTE(SUBSTITUTE(SUBSTITUTE(TRIM(C354),".",""),"/",""),"-","")," ",""))))</f>
        <v/>
      </c>
      <c r="E354" s="25" t="str">
        <f aca="false">IF(D354="","",IFERROR(INDEX(Empresas!$C:$C,MATCH(D354,Empresas!$B:$B,0)),"cadastre o CNPJ em Empresas"))</f>
        <v/>
      </c>
      <c r="F354" s="23"/>
      <c r="G354" s="35"/>
      <c r="H354" s="24"/>
      <c r="I354" s="11"/>
      <c r="J354" s="27" t="str">
        <f aca="false">IF(A354="","",YEAR(A354))</f>
        <v/>
      </c>
      <c r="K354" s="24"/>
      <c r="L354" s="11"/>
    </row>
    <row r="355" customFormat="false" ht="15" hidden="false" customHeight="false" outlineLevel="0" collapsed="false">
      <c r="A355" s="22"/>
      <c r="B355" s="11"/>
      <c r="C355" s="24"/>
      <c r="D355" s="31" t="str">
        <f aca="false">IF(C355="","",IF(LEN(UPPER(SUBSTITUTE(SUBSTITUTE(SUBSTITUTE(SUBSTITUTE(TRIM(C355),".",""),"/",""),"-","")," ","")))&lt;14,RIGHT(REPT("0",14)&amp;UPPER(SUBSTITUTE(SUBSTITUTE(SUBSTITUTE(SUBSTITUTE(TRIM(C355),".",""),"/",""),"-","")," ","")),14),UPPER(SUBSTITUTE(SUBSTITUTE(SUBSTITUTE(SUBSTITUTE(TRIM(C355),".",""),"/",""),"-","")," ",""))))</f>
        <v/>
      </c>
      <c r="E355" s="25" t="str">
        <f aca="false">IF(D355="","",IFERROR(INDEX(Empresas!$C:$C,MATCH(D355,Empresas!$B:$B,0)),"cadastre o CNPJ em Empresas"))</f>
        <v/>
      </c>
      <c r="F355" s="23"/>
      <c r="G355" s="35"/>
      <c r="H355" s="24"/>
      <c r="I355" s="11"/>
      <c r="J355" s="27" t="str">
        <f aca="false">IF(A355="","",YEAR(A355))</f>
        <v/>
      </c>
      <c r="K355" s="24"/>
      <c r="L355" s="11"/>
    </row>
    <row r="356" customFormat="false" ht="15" hidden="false" customHeight="false" outlineLevel="0" collapsed="false">
      <c r="A356" s="22"/>
      <c r="B356" s="11"/>
      <c r="C356" s="24"/>
      <c r="D356" s="31" t="str">
        <f aca="false">IF(C356="","",IF(LEN(UPPER(SUBSTITUTE(SUBSTITUTE(SUBSTITUTE(SUBSTITUTE(TRIM(C356),".",""),"/",""),"-","")," ","")))&lt;14,RIGHT(REPT("0",14)&amp;UPPER(SUBSTITUTE(SUBSTITUTE(SUBSTITUTE(SUBSTITUTE(TRIM(C356),".",""),"/",""),"-","")," ","")),14),UPPER(SUBSTITUTE(SUBSTITUTE(SUBSTITUTE(SUBSTITUTE(TRIM(C356),".",""),"/",""),"-","")," ",""))))</f>
        <v/>
      </c>
      <c r="E356" s="25" t="str">
        <f aca="false">IF(D356="","",IFERROR(INDEX(Empresas!$C:$C,MATCH(D356,Empresas!$B:$B,0)),"cadastre o CNPJ em Empresas"))</f>
        <v/>
      </c>
      <c r="F356" s="23"/>
      <c r="G356" s="35"/>
      <c r="H356" s="24"/>
      <c r="I356" s="11"/>
      <c r="J356" s="27" t="str">
        <f aca="false">IF(A356="","",YEAR(A356))</f>
        <v/>
      </c>
      <c r="K356" s="24"/>
      <c r="L356" s="11"/>
    </row>
    <row r="357" customFormat="false" ht="15" hidden="false" customHeight="false" outlineLevel="0" collapsed="false">
      <c r="A357" s="22"/>
      <c r="B357" s="11"/>
      <c r="C357" s="24"/>
      <c r="D357" s="31" t="str">
        <f aca="false">IF(C357="","",IF(LEN(UPPER(SUBSTITUTE(SUBSTITUTE(SUBSTITUTE(SUBSTITUTE(TRIM(C357),".",""),"/",""),"-","")," ","")))&lt;14,RIGHT(REPT("0",14)&amp;UPPER(SUBSTITUTE(SUBSTITUTE(SUBSTITUTE(SUBSTITUTE(TRIM(C357),".",""),"/",""),"-","")," ","")),14),UPPER(SUBSTITUTE(SUBSTITUTE(SUBSTITUTE(SUBSTITUTE(TRIM(C357),".",""),"/",""),"-","")," ",""))))</f>
        <v/>
      </c>
      <c r="E357" s="25" t="str">
        <f aca="false">IF(D357="","",IFERROR(INDEX(Empresas!$C:$C,MATCH(D357,Empresas!$B:$B,0)),"cadastre o CNPJ em Empresas"))</f>
        <v/>
      </c>
      <c r="F357" s="23"/>
      <c r="G357" s="35"/>
      <c r="H357" s="24"/>
      <c r="I357" s="11"/>
      <c r="J357" s="27" t="str">
        <f aca="false">IF(A357="","",YEAR(A357))</f>
        <v/>
      </c>
      <c r="K357" s="24"/>
      <c r="L357" s="11"/>
    </row>
    <row r="358" customFormat="false" ht="15" hidden="false" customHeight="false" outlineLevel="0" collapsed="false">
      <c r="A358" s="22"/>
      <c r="B358" s="11"/>
      <c r="C358" s="24"/>
      <c r="D358" s="31" t="str">
        <f aca="false">IF(C358="","",IF(LEN(UPPER(SUBSTITUTE(SUBSTITUTE(SUBSTITUTE(SUBSTITUTE(TRIM(C358),".",""),"/",""),"-","")," ","")))&lt;14,RIGHT(REPT("0",14)&amp;UPPER(SUBSTITUTE(SUBSTITUTE(SUBSTITUTE(SUBSTITUTE(TRIM(C358),".",""),"/",""),"-","")," ","")),14),UPPER(SUBSTITUTE(SUBSTITUTE(SUBSTITUTE(SUBSTITUTE(TRIM(C358),".",""),"/",""),"-","")," ",""))))</f>
        <v/>
      </c>
      <c r="E358" s="25" t="str">
        <f aca="false">IF(D358="","",IFERROR(INDEX(Empresas!$C:$C,MATCH(D358,Empresas!$B:$B,0)),"cadastre o CNPJ em Empresas"))</f>
        <v/>
      </c>
      <c r="F358" s="23"/>
      <c r="G358" s="35"/>
      <c r="H358" s="24"/>
      <c r="I358" s="11"/>
      <c r="J358" s="27" t="str">
        <f aca="false">IF(A358="","",YEAR(A358))</f>
        <v/>
      </c>
      <c r="K358" s="24"/>
      <c r="L358" s="11"/>
    </row>
    <row r="359" customFormat="false" ht="15" hidden="false" customHeight="false" outlineLevel="0" collapsed="false">
      <c r="A359" s="22"/>
      <c r="B359" s="11"/>
      <c r="C359" s="24"/>
      <c r="D359" s="31" t="str">
        <f aca="false">IF(C359="","",IF(LEN(UPPER(SUBSTITUTE(SUBSTITUTE(SUBSTITUTE(SUBSTITUTE(TRIM(C359),".",""),"/",""),"-","")," ","")))&lt;14,RIGHT(REPT("0",14)&amp;UPPER(SUBSTITUTE(SUBSTITUTE(SUBSTITUTE(SUBSTITUTE(TRIM(C359),".",""),"/",""),"-","")," ","")),14),UPPER(SUBSTITUTE(SUBSTITUTE(SUBSTITUTE(SUBSTITUTE(TRIM(C359),".",""),"/",""),"-","")," ",""))))</f>
        <v/>
      </c>
      <c r="E359" s="25" t="str">
        <f aca="false">IF(D359="","",IFERROR(INDEX(Empresas!$C:$C,MATCH(D359,Empresas!$B:$B,0)),"cadastre o CNPJ em Empresas"))</f>
        <v/>
      </c>
      <c r="F359" s="23"/>
      <c r="G359" s="35"/>
      <c r="H359" s="24"/>
      <c r="I359" s="11"/>
      <c r="J359" s="27" t="str">
        <f aca="false">IF(A359="","",YEAR(A359))</f>
        <v/>
      </c>
      <c r="K359" s="24"/>
      <c r="L359" s="11"/>
    </row>
    <row r="360" customFormat="false" ht="15" hidden="false" customHeight="false" outlineLevel="0" collapsed="false">
      <c r="A360" s="22"/>
      <c r="B360" s="11"/>
      <c r="C360" s="24"/>
      <c r="D360" s="31" t="str">
        <f aca="false">IF(C360="","",IF(LEN(UPPER(SUBSTITUTE(SUBSTITUTE(SUBSTITUTE(SUBSTITUTE(TRIM(C360),".",""),"/",""),"-","")," ","")))&lt;14,RIGHT(REPT("0",14)&amp;UPPER(SUBSTITUTE(SUBSTITUTE(SUBSTITUTE(SUBSTITUTE(TRIM(C360),".",""),"/",""),"-","")," ","")),14),UPPER(SUBSTITUTE(SUBSTITUTE(SUBSTITUTE(SUBSTITUTE(TRIM(C360),".",""),"/",""),"-","")," ",""))))</f>
        <v/>
      </c>
      <c r="E360" s="25" t="str">
        <f aca="false">IF(D360="","",IFERROR(INDEX(Empresas!$C:$C,MATCH(D360,Empresas!$B:$B,0)),"cadastre o CNPJ em Empresas"))</f>
        <v/>
      </c>
      <c r="F360" s="23"/>
      <c r="G360" s="35"/>
      <c r="H360" s="24"/>
      <c r="I360" s="11"/>
      <c r="J360" s="27" t="str">
        <f aca="false">IF(A360="","",YEAR(A360))</f>
        <v/>
      </c>
      <c r="K360" s="24"/>
      <c r="L360" s="11"/>
    </row>
    <row r="361" customFormat="false" ht="15" hidden="false" customHeight="false" outlineLevel="0" collapsed="false">
      <c r="A361" s="22"/>
      <c r="B361" s="11"/>
      <c r="C361" s="24"/>
      <c r="D361" s="31" t="str">
        <f aca="false">IF(C361="","",IF(LEN(UPPER(SUBSTITUTE(SUBSTITUTE(SUBSTITUTE(SUBSTITUTE(TRIM(C361),".",""),"/",""),"-","")," ","")))&lt;14,RIGHT(REPT("0",14)&amp;UPPER(SUBSTITUTE(SUBSTITUTE(SUBSTITUTE(SUBSTITUTE(TRIM(C361),".",""),"/",""),"-","")," ","")),14),UPPER(SUBSTITUTE(SUBSTITUTE(SUBSTITUTE(SUBSTITUTE(TRIM(C361),".",""),"/",""),"-","")," ",""))))</f>
        <v/>
      </c>
      <c r="E361" s="25" t="str">
        <f aca="false">IF(D361="","",IFERROR(INDEX(Empresas!$C:$C,MATCH(D361,Empresas!$B:$B,0)),"cadastre o CNPJ em Empresas"))</f>
        <v/>
      </c>
      <c r="F361" s="23"/>
      <c r="G361" s="35"/>
      <c r="H361" s="24"/>
      <c r="I361" s="11"/>
      <c r="J361" s="27" t="str">
        <f aca="false">IF(A361="","",YEAR(A361))</f>
        <v/>
      </c>
      <c r="K361" s="24"/>
      <c r="L361" s="11"/>
    </row>
    <row r="362" customFormat="false" ht="15" hidden="false" customHeight="false" outlineLevel="0" collapsed="false">
      <c r="A362" s="22"/>
      <c r="B362" s="11"/>
      <c r="C362" s="24"/>
      <c r="D362" s="31" t="str">
        <f aca="false">IF(C362="","",IF(LEN(UPPER(SUBSTITUTE(SUBSTITUTE(SUBSTITUTE(SUBSTITUTE(TRIM(C362),".",""),"/",""),"-","")," ","")))&lt;14,RIGHT(REPT("0",14)&amp;UPPER(SUBSTITUTE(SUBSTITUTE(SUBSTITUTE(SUBSTITUTE(TRIM(C362),".",""),"/",""),"-","")," ","")),14),UPPER(SUBSTITUTE(SUBSTITUTE(SUBSTITUTE(SUBSTITUTE(TRIM(C362),".",""),"/",""),"-","")," ",""))))</f>
        <v/>
      </c>
      <c r="E362" s="25" t="str">
        <f aca="false">IF(D362="","",IFERROR(INDEX(Empresas!$C:$C,MATCH(D362,Empresas!$B:$B,0)),"cadastre o CNPJ em Empresas"))</f>
        <v/>
      </c>
      <c r="F362" s="23"/>
      <c r="G362" s="35"/>
      <c r="H362" s="24"/>
      <c r="I362" s="11"/>
      <c r="J362" s="27" t="str">
        <f aca="false">IF(A362="","",YEAR(A362))</f>
        <v/>
      </c>
      <c r="K362" s="24"/>
      <c r="L362" s="11"/>
    </row>
    <row r="363" customFormat="false" ht="15" hidden="false" customHeight="false" outlineLevel="0" collapsed="false">
      <c r="A363" s="22"/>
      <c r="B363" s="11"/>
      <c r="C363" s="24"/>
      <c r="D363" s="31" t="str">
        <f aca="false">IF(C363="","",IF(LEN(UPPER(SUBSTITUTE(SUBSTITUTE(SUBSTITUTE(SUBSTITUTE(TRIM(C363),".",""),"/",""),"-","")," ","")))&lt;14,RIGHT(REPT("0",14)&amp;UPPER(SUBSTITUTE(SUBSTITUTE(SUBSTITUTE(SUBSTITUTE(TRIM(C363),".",""),"/",""),"-","")," ","")),14),UPPER(SUBSTITUTE(SUBSTITUTE(SUBSTITUTE(SUBSTITUTE(TRIM(C363),".",""),"/",""),"-","")," ",""))))</f>
        <v/>
      </c>
      <c r="E363" s="25" t="str">
        <f aca="false">IF(D363="","",IFERROR(INDEX(Empresas!$C:$C,MATCH(D363,Empresas!$B:$B,0)),"cadastre o CNPJ em Empresas"))</f>
        <v/>
      </c>
      <c r="F363" s="23"/>
      <c r="G363" s="35"/>
      <c r="H363" s="24"/>
      <c r="I363" s="11"/>
      <c r="J363" s="27" t="str">
        <f aca="false">IF(A363="","",YEAR(A363))</f>
        <v/>
      </c>
      <c r="K363" s="24"/>
      <c r="L363" s="11"/>
    </row>
    <row r="364" customFormat="false" ht="15" hidden="false" customHeight="false" outlineLevel="0" collapsed="false">
      <c r="A364" s="22"/>
      <c r="B364" s="11"/>
      <c r="C364" s="24"/>
      <c r="D364" s="31" t="str">
        <f aca="false">IF(C364="","",IF(LEN(UPPER(SUBSTITUTE(SUBSTITUTE(SUBSTITUTE(SUBSTITUTE(TRIM(C364),".",""),"/",""),"-","")," ","")))&lt;14,RIGHT(REPT("0",14)&amp;UPPER(SUBSTITUTE(SUBSTITUTE(SUBSTITUTE(SUBSTITUTE(TRIM(C364),".",""),"/",""),"-","")," ","")),14),UPPER(SUBSTITUTE(SUBSTITUTE(SUBSTITUTE(SUBSTITUTE(TRIM(C364),".",""),"/",""),"-","")," ",""))))</f>
        <v/>
      </c>
      <c r="E364" s="25" t="str">
        <f aca="false">IF(D364="","",IFERROR(INDEX(Empresas!$C:$C,MATCH(D364,Empresas!$B:$B,0)),"cadastre o CNPJ em Empresas"))</f>
        <v/>
      </c>
      <c r="F364" s="23"/>
      <c r="G364" s="35"/>
      <c r="H364" s="24"/>
      <c r="I364" s="11"/>
      <c r="J364" s="27" t="str">
        <f aca="false">IF(A364="","",YEAR(A364))</f>
        <v/>
      </c>
      <c r="K364" s="24"/>
      <c r="L364" s="11"/>
    </row>
    <row r="365" customFormat="false" ht="15" hidden="false" customHeight="false" outlineLevel="0" collapsed="false">
      <c r="A365" s="22"/>
      <c r="B365" s="11"/>
      <c r="C365" s="24"/>
      <c r="D365" s="31" t="str">
        <f aca="false">IF(C365="","",IF(LEN(UPPER(SUBSTITUTE(SUBSTITUTE(SUBSTITUTE(SUBSTITUTE(TRIM(C365),".",""),"/",""),"-","")," ","")))&lt;14,RIGHT(REPT("0",14)&amp;UPPER(SUBSTITUTE(SUBSTITUTE(SUBSTITUTE(SUBSTITUTE(TRIM(C365),".",""),"/",""),"-","")," ","")),14),UPPER(SUBSTITUTE(SUBSTITUTE(SUBSTITUTE(SUBSTITUTE(TRIM(C365),".",""),"/",""),"-","")," ",""))))</f>
        <v/>
      </c>
      <c r="E365" s="25" t="str">
        <f aca="false">IF(D365="","",IFERROR(INDEX(Empresas!$C:$C,MATCH(D365,Empresas!$B:$B,0)),"cadastre o CNPJ em Empresas"))</f>
        <v/>
      </c>
      <c r="F365" s="23"/>
      <c r="G365" s="35"/>
      <c r="H365" s="24"/>
      <c r="I365" s="11"/>
      <c r="J365" s="27" t="str">
        <f aca="false">IF(A365="","",YEAR(A365))</f>
        <v/>
      </c>
      <c r="K365" s="24"/>
      <c r="L365" s="11"/>
    </row>
    <row r="366" customFormat="false" ht="15" hidden="false" customHeight="false" outlineLevel="0" collapsed="false">
      <c r="A366" s="22"/>
      <c r="B366" s="11"/>
      <c r="C366" s="24"/>
      <c r="D366" s="31" t="str">
        <f aca="false">IF(C366="","",IF(LEN(UPPER(SUBSTITUTE(SUBSTITUTE(SUBSTITUTE(SUBSTITUTE(TRIM(C366),".",""),"/",""),"-","")," ","")))&lt;14,RIGHT(REPT("0",14)&amp;UPPER(SUBSTITUTE(SUBSTITUTE(SUBSTITUTE(SUBSTITUTE(TRIM(C366),".",""),"/",""),"-","")," ","")),14),UPPER(SUBSTITUTE(SUBSTITUTE(SUBSTITUTE(SUBSTITUTE(TRIM(C366),".",""),"/",""),"-","")," ",""))))</f>
        <v/>
      </c>
      <c r="E366" s="25" t="str">
        <f aca="false">IF(D366="","",IFERROR(INDEX(Empresas!$C:$C,MATCH(D366,Empresas!$B:$B,0)),"cadastre o CNPJ em Empresas"))</f>
        <v/>
      </c>
      <c r="F366" s="23"/>
      <c r="G366" s="35"/>
      <c r="H366" s="24"/>
      <c r="I366" s="11"/>
      <c r="J366" s="27" t="str">
        <f aca="false">IF(A366="","",YEAR(A366))</f>
        <v/>
      </c>
      <c r="K366" s="24"/>
      <c r="L366" s="11"/>
    </row>
    <row r="367" customFormat="false" ht="15" hidden="false" customHeight="false" outlineLevel="0" collapsed="false">
      <c r="A367" s="22"/>
      <c r="B367" s="11"/>
      <c r="C367" s="24"/>
      <c r="D367" s="31" t="str">
        <f aca="false">IF(C367="","",IF(LEN(UPPER(SUBSTITUTE(SUBSTITUTE(SUBSTITUTE(SUBSTITUTE(TRIM(C367),".",""),"/",""),"-","")," ","")))&lt;14,RIGHT(REPT("0",14)&amp;UPPER(SUBSTITUTE(SUBSTITUTE(SUBSTITUTE(SUBSTITUTE(TRIM(C367),".",""),"/",""),"-","")," ","")),14),UPPER(SUBSTITUTE(SUBSTITUTE(SUBSTITUTE(SUBSTITUTE(TRIM(C367),".",""),"/",""),"-","")," ",""))))</f>
        <v/>
      </c>
      <c r="E367" s="25" t="str">
        <f aca="false">IF(D367="","",IFERROR(INDEX(Empresas!$C:$C,MATCH(D367,Empresas!$B:$B,0)),"cadastre o CNPJ em Empresas"))</f>
        <v/>
      </c>
      <c r="F367" s="23"/>
      <c r="G367" s="35"/>
      <c r="H367" s="24"/>
      <c r="I367" s="11"/>
      <c r="J367" s="27" t="str">
        <f aca="false">IF(A367="","",YEAR(A367))</f>
        <v/>
      </c>
      <c r="K367" s="24"/>
      <c r="L367" s="11"/>
    </row>
    <row r="368" customFormat="false" ht="15" hidden="false" customHeight="false" outlineLevel="0" collapsed="false">
      <c r="A368" s="22"/>
      <c r="B368" s="11"/>
      <c r="C368" s="24"/>
      <c r="D368" s="31" t="str">
        <f aca="false">IF(C368="","",IF(LEN(UPPER(SUBSTITUTE(SUBSTITUTE(SUBSTITUTE(SUBSTITUTE(TRIM(C368),".",""),"/",""),"-","")," ","")))&lt;14,RIGHT(REPT("0",14)&amp;UPPER(SUBSTITUTE(SUBSTITUTE(SUBSTITUTE(SUBSTITUTE(TRIM(C368),".",""),"/",""),"-","")," ","")),14),UPPER(SUBSTITUTE(SUBSTITUTE(SUBSTITUTE(SUBSTITUTE(TRIM(C368),".",""),"/",""),"-","")," ",""))))</f>
        <v/>
      </c>
      <c r="E368" s="25" t="str">
        <f aca="false">IF(D368="","",IFERROR(INDEX(Empresas!$C:$C,MATCH(D368,Empresas!$B:$B,0)),"cadastre o CNPJ em Empresas"))</f>
        <v/>
      </c>
      <c r="F368" s="23"/>
      <c r="G368" s="35"/>
      <c r="H368" s="24"/>
      <c r="I368" s="11"/>
      <c r="J368" s="27" t="str">
        <f aca="false">IF(A368="","",YEAR(A368))</f>
        <v/>
      </c>
      <c r="K368" s="24"/>
      <c r="L368" s="11"/>
    </row>
    <row r="369" customFormat="false" ht="15" hidden="false" customHeight="false" outlineLevel="0" collapsed="false">
      <c r="A369" s="22"/>
      <c r="B369" s="11"/>
      <c r="C369" s="24"/>
      <c r="D369" s="31" t="str">
        <f aca="false">IF(C369="","",IF(LEN(UPPER(SUBSTITUTE(SUBSTITUTE(SUBSTITUTE(SUBSTITUTE(TRIM(C369),".",""),"/",""),"-","")," ","")))&lt;14,RIGHT(REPT("0",14)&amp;UPPER(SUBSTITUTE(SUBSTITUTE(SUBSTITUTE(SUBSTITUTE(TRIM(C369),".",""),"/",""),"-","")," ","")),14),UPPER(SUBSTITUTE(SUBSTITUTE(SUBSTITUTE(SUBSTITUTE(TRIM(C369),".",""),"/",""),"-","")," ",""))))</f>
        <v/>
      </c>
      <c r="E369" s="25" t="str">
        <f aca="false">IF(D369="","",IFERROR(INDEX(Empresas!$C:$C,MATCH(D369,Empresas!$B:$B,0)),"cadastre o CNPJ em Empresas"))</f>
        <v/>
      </c>
      <c r="F369" s="23"/>
      <c r="G369" s="35"/>
      <c r="H369" s="24"/>
      <c r="I369" s="11"/>
      <c r="J369" s="27" t="str">
        <f aca="false">IF(A369="","",YEAR(A369))</f>
        <v/>
      </c>
      <c r="K369" s="24"/>
      <c r="L369" s="11"/>
    </row>
    <row r="370" customFormat="false" ht="15" hidden="false" customHeight="false" outlineLevel="0" collapsed="false">
      <c r="A370" s="22"/>
      <c r="B370" s="11"/>
      <c r="C370" s="24"/>
      <c r="D370" s="31" t="str">
        <f aca="false">IF(C370="","",IF(LEN(UPPER(SUBSTITUTE(SUBSTITUTE(SUBSTITUTE(SUBSTITUTE(TRIM(C370),".",""),"/",""),"-","")," ","")))&lt;14,RIGHT(REPT("0",14)&amp;UPPER(SUBSTITUTE(SUBSTITUTE(SUBSTITUTE(SUBSTITUTE(TRIM(C370),".",""),"/",""),"-","")," ","")),14),UPPER(SUBSTITUTE(SUBSTITUTE(SUBSTITUTE(SUBSTITUTE(TRIM(C370),".",""),"/",""),"-","")," ",""))))</f>
        <v/>
      </c>
      <c r="E370" s="25" t="str">
        <f aca="false">IF(D370="","",IFERROR(INDEX(Empresas!$C:$C,MATCH(D370,Empresas!$B:$B,0)),"cadastre o CNPJ em Empresas"))</f>
        <v/>
      </c>
      <c r="F370" s="23"/>
      <c r="G370" s="35"/>
      <c r="H370" s="24"/>
      <c r="I370" s="11"/>
      <c r="J370" s="27" t="str">
        <f aca="false">IF(A370="","",YEAR(A370))</f>
        <v/>
      </c>
      <c r="K370" s="24"/>
      <c r="L370" s="11"/>
    </row>
    <row r="371" customFormat="false" ht="15" hidden="false" customHeight="false" outlineLevel="0" collapsed="false">
      <c r="A371" s="22"/>
      <c r="B371" s="11"/>
      <c r="C371" s="24"/>
      <c r="D371" s="31" t="str">
        <f aca="false">IF(C371="","",IF(LEN(UPPER(SUBSTITUTE(SUBSTITUTE(SUBSTITUTE(SUBSTITUTE(TRIM(C371),".",""),"/",""),"-","")," ","")))&lt;14,RIGHT(REPT("0",14)&amp;UPPER(SUBSTITUTE(SUBSTITUTE(SUBSTITUTE(SUBSTITUTE(TRIM(C371),".",""),"/",""),"-","")," ","")),14),UPPER(SUBSTITUTE(SUBSTITUTE(SUBSTITUTE(SUBSTITUTE(TRIM(C371),".",""),"/",""),"-","")," ",""))))</f>
        <v/>
      </c>
      <c r="E371" s="25" t="str">
        <f aca="false">IF(D371="","",IFERROR(INDEX(Empresas!$C:$C,MATCH(D371,Empresas!$B:$B,0)),"cadastre o CNPJ em Empresas"))</f>
        <v/>
      </c>
      <c r="F371" s="23"/>
      <c r="G371" s="35"/>
      <c r="H371" s="24"/>
      <c r="I371" s="11"/>
      <c r="J371" s="27" t="str">
        <f aca="false">IF(A371="","",YEAR(A371))</f>
        <v/>
      </c>
      <c r="K371" s="24"/>
      <c r="L371" s="11"/>
    </row>
    <row r="372" customFormat="false" ht="15" hidden="false" customHeight="false" outlineLevel="0" collapsed="false">
      <c r="A372" s="22"/>
      <c r="B372" s="11"/>
      <c r="C372" s="24"/>
      <c r="D372" s="31" t="str">
        <f aca="false">IF(C372="","",IF(LEN(UPPER(SUBSTITUTE(SUBSTITUTE(SUBSTITUTE(SUBSTITUTE(TRIM(C372),".",""),"/",""),"-","")," ","")))&lt;14,RIGHT(REPT("0",14)&amp;UPPER(SUBSTITUTE(SUBSTITUTE(SUBSTITUTE(SUBSTITUTE(TRIM(C372),".",""),"/",""),"-","")," ","")),14),UPPER(SUBSTITUTE(SUBSTITUTE(SUBSTITUTE(SUBSTITUTE(TRIM(C372),".",""),"/",""),"-","")," ",""))))</f>
        <v/>
      </c>
      <c r="E372" s="25" t="str">
        <f aca="false">IF(D372="","",IFERROR(INDEX(Empresas!$C:$C,MATCH(D372,Empresas!$B:$B,0)),"cadastre o CNPJ em Empresas"))</f>
        <v/>
      </c>
      <c r="F372" s="23"/>
      <c r="G372" s="35"/>
      <c r="H372" s="24"/>
      <c r="I372" s="11"/>
      <c r="J372" s="27" t="str">
        <f aca="false">IF(A372="","",YEAR(A372))</f>
        <v/>
      </c>
      <c r="K372" s="24"/>
      <c r="L372" s="11"/>
    </row>
    <row r="373" customFormat="false" ht="15" hidden="false" customHeight="false" outlineLevel="0" collapsed="false">
      <c r="A373" s="22"/>
      <c r="B373" s="11"/>
      <c r="C373" s="24"/>
      <c r="D373" s="31" t="str">
        <f aca="false">IF(C373="","",IF(LEN(UPPER(SUBSTITUTE(SUBSTITUTE(SUBSTITUTE(SUBSTITUTE(TRIM(C373),".",""),"/",""),"-","")," ","")))&lt;14,RIGHT(REPT("0",14)&amp;UPPER(SUBSTITUTE(SUBSTITUTE(SUBSTITUTE(SUBSTITUTE(TRIM(C373),".",""),"/",""),"-","")," ","")),14),UPPER(SUBSTITUTE(SUBSTITUTE(SUBSTITUTE(SUBSTITUTE(TRIM(C373),".",""),"/",""),"-","")," ",""))))</f>
        <v/>
      </c>
      <c r="E373" s="25" t="str">
        <f aca="false">IF(D373="","",IFERROR(INDEX(Empresas!$C:$C,MATCH(D373,Empresas!$B:$B,0)),"cadastre o CNPJ em Empresas"))</f>
        <v/>
      </c>
      <c r="F373" s="23"/>
      <c r="G373" s="35"/>
      <c r="H373" s="24"/>
      <c r="I373" s="11"/>
      <c r="J373" s="27" t="str">
        <f aca="false">IF(A373="","",YEAR(A373))</f>
        <v/>
      </c>
      <c r="K373" s="24"/>
      <c r="L373" s="11"/>
    </row>
    <row r="374" customFormat="false" ht="15" hidden="false" customHeight="false" outlineLevel="0" collapsed="false">
      <c r="A374" s="22"/>
      <c r="B374" s="11"/>
      <c r="C374" s="24"/>
      <c r="D374" s="31" t="str">
        <f aca="false">IF(C374="","",IF(LEN(UPPER(SUBSTITUTE(SUBSTITUTE(SUBSTITUTE(SUBSTITUTE(TRIM(C374),".",""),"/",""),"-","")," ","")))&lt;14,RIGHT(REPT("0",14)&amp;UPPER(SUBSTITUTE(SUBSTITUTE(SUBSTITUTE(SUBSTITUTE(TRIM(C374),".",""),"/",""),"-","")," ","")),14),UPPER(SUBSTITUTE(SUBSTITUTE(SUBSTITUTE(SUBSTITUTE(TRIM(C374),".",""),"/",""),"-","")," ",""))))</f>
        <v/>
      </c>
      <c r="E374" s="25" t="str">
        <f aca="false">IF(D374="","",IFERROR(INDEX(Empresas!$C:$C,MATCH(D374,Empresas!$B:$B,0)),"cadastre o CNPJ em Empresas"))</f>
        <v/>
      </c>
      <c r="F374" s="23"/>
      <c r="G374" s="35"/>
      <c r="H374" s="24"/>
      <c r="I374" s="11"/>
      <c r="J374" s="27" t="str">
        <f aca="false">IF(A374="","",YEAR(A374))</f>
        <v/>
      </c>
      <c r="K374" s="24"/>
      <c r="L374" s="11"/>
    </row>
    <row r="375" customFormat="false" ht="15" hidden="false" customHeight="false" outlineLevel="0" collapsed="false">
      <c r="A375" s="22"/>
      <c r="B375" s="11"/>
      <c r="C375" s="24"/>
      <c r="D375" s="31" t="str">
        <f aca="false">IF(C375="","",IF(LEN(UPPER(SUBSTITUTE(SUBSTITUTE(SUBSTITUTE(SUBSTITUTE(TRIM(C375),".",""),"/",""),"-","")," ","")))&lt;14,RIGHT(REPT("0",14)&amp;UPPER(SUBSTITUTE(SUBSTITUTE(SUBSTITUTE(SUBSTITUTE(TRIM(C375),".",""),"/",""),"-","")," ","")),14),UPPER(SUBSTITUTE(SUBSTITUTE(SUBSTITUTE(SUBSTITUTE(TRIM(C375),".",""),"/",""),"-","")," ",""))))</f>
        <v/>
      </c>
      <c r="E375" s="25" t="str">
        <f aca="false">IF(D375="","",IFERROR(INDEX(Empresas!$C:$C,MATCH(D375,Empresas!$B:$B,0)),"cadastre o CNPJ em Empresas"))</f>
        <v/>
      </c>
      <c r="F375" s="23"/>
      <c r="G375" s="35"/>
      <c r="H375" s="24"/>
      <c r="I375" s="11"/>
      <c r="J375" s="27" t="str">
        <f aca="false">IF(A375="","",YEAR(A375))</f>
        <v/>
      </c>
      <c r="K375" s="24"/>
      <c r="L375" s="11"/>
    </row>
    <row r="376" customFormat="false" ht="15" hidden="false" customHeight="false" outlineLevel="0" collapsed="false">
      <c r="A376" s="22"/>
      <c r="B376" s="11"/>
      <c r="C376" s="24"/>
      <c r="D376" s="31" t="str">
        <f aca="false">IF(C376="","",IF(LEN(UPPER(SUBSTITUTE(SUBSTITUTE(SUBSTITUTE(SUBSTITUTE(TRIM(C376),".",""),"/",""),"-","")," ","")))&lt;14,RIGHT(REPT("0",14)&amp;UPPER(SUBSTITUTE(SUBSTITUTE(SUBSTITUTE(SUBSTITUTE(TRIM(C376),".",""),"/",""),"-","")," ","")),14),UPPER(SUBSTITUTE(SUBSTITUTE(SUBSTITUTE(SUBSTITUTE(TRIM(C376),".",""),"/",""),"-","")," ",""))))</f>
        <v/>
      </c>
      <c r="E376" s="25" t="str">
        <f aca="false">IF(D376="","",IFERROR(INDEX(Empresas!$C:$C,MATCH(D376,Empresas!$B:$B,0)),"cadastre o CNPJ em Empresas"))</f>
        <v/>
      </c>
      <c r="F376" s="23"/>
      <c r="G376" s="35"/>
      <c r="H376" s="24"/>
      <c r="I376" s="11"/>
      <c r="J376" s="27" t="str">
        <f aca="false">IF(A376="","",YEAR(A376))</f>
        <v/>
      </c>
      <c r="K376" s="24"/>
      <c r="L376" s="11"/>
    </row>
    <row r="377" customFormat="false" ht="15" hidden="false" customHeight="false" outlineLevel="0" collapsed="false">
      <c r="A377" s="22"/>
      <c r="B377" s="11"/>
      <c r="C377" s="24"/>
      <c r="D377" s="31" t="str">
        <f aca="false">IF(C377="","",IF(LEN(UPPER(SUBSTITUTE(SUBSTITUTE(SUBSTITUTE(SUBSTITUTE(TRIM(C377),".",""),"/",""),"-","")," ","")))&lt;14,RIGHT(REPT("0",14)&amp;UPPER(SUBSTITUTE(SUBSTITUTE(SUBSTITUTE(SUBSTITUTE(TRIM(C377),".",""),"/",""),"-","")," ","")),14),UPPER(SUBSTITUTE(SUBSTITUTE(SUBSTITUTE(SUBSTITUTE(TRIM(C377),".",""),"/",""),"-","")," ",""))))</f>
        <v/>
      </c>
      <c r="E377" s="25" t="str">
        <f aca="false">IF(D377="","",IFERROR(INDEX(Empresas!$C:$C,MATCH(D377,Empresas!$B:$B,0)),"cadastre o CNPJ em Empresas"))</f>
        <v/>
      </c>
      <c r="F377" s="23"/>
      <c r="G377" s="35"/>
      <c r="H377" s="24"/>
      <c r="I377" s="11"/>
      <c r="J377" s="27" t="str">
        <f aca="false">IF(A377="","",YEAR(A377))</f>
        <v/>
      </c>
      <c r="K377" s="24"/>
      <c r="L377" s="11"/>
    </row>
    <row r="378" customFormat="false" ht="15" hidden="false" customHeight="false" outlineLevel="0" collapsed="false">
      <c r="A378" s="22"/>
      <c r="B378" s="11"/>
      <c r="C378" s="24"/>
      <c r="D378" s="31" t="str">
        <f aca="false">IF(C378="","",IF(LEN(UPPER(SUBSTITUTE(SUBSTITUTE(SUBSTITUTE(SUBSTITUTE(TRIM(C378),".",""),"/",""),"-","")," ","")))&lt;14,RIGHT(REPT("0",14)&amp;UPPER(SUBSTITUTE(SUBSTITUTE(SUBSTITUTE(SUBSTITUTE(TRIM(C378),".",""),"/",""),"-","")," ","")),14),UPPER(SUBSTITUTE(SUBSTITUTE(SUBSTITUTE(SUBSTITUTE(TRIM(C378),".",""),"/",""),"-","")," ",""))))</f>
        <v/>
      </c>
      <c r="E378" s="25" t="str">
        <f aca="false">IF(D378="","",IFERROR(INDEX(Empresas!$C:$C,MATCH(D378,Empresas!$B:$B,0)),"cadastre o CNPJ em Empresas"))</f>
        <v/>
      </c>
      <c r="F378" s="23"/>
      <c r="G378" s="35"/>
      <c r="H378" s="24"/>
      <c r="I378" s="11"/>
      <c r="J378" s="27" t="str">
        <f aca="false">IF(A378="","",YEAR(A378))</f>
        <v/>
      </c>
      <c r="K378" s="24"/>
      <c r="L378" s="11"/>
    </row>
    <row r="379" customFormat="false" ht="15" hidden="false" customHeight="false" outlineLevel="0" collapsed="false">
      <c r="A379" s="22"/>
      <c r="B379" s="11"/>
      <c r="C379" s="24"/>
      <c r="D379" s="31" t="str">
        <f aca="false">IF(C379="","",IF(LEN(UPPER(SUBSTITUTE(SUBSTITUTE(SUBSTITUTE(SUBSTITUTE(TRIM(C379),".",""),"/",""),"-","")," ","")))&lt;14,RIGHT(REPT("0",14)&amp;UPPER(SUBSTITUTE(SUBSTITUTE(SUBSTITUTE(SUBSTITUTE(TRIM(C379),".",""),"/",""),"-","")," ","")),14),UPPER(SUBSTITUTE(SUBSTITUTE(SUBSTITUTE(SUBSTITUTE(TRIM(C379),".",""),"/",""),"-","")," ",""))))</f>
        <v/>
      </c>
      <c r="E379" s="25" t="str">
        <f aca="false">IF(D379="","",IFERROR(INDEX(Empresas!$C:$C,MATCH(D379,Empresas!$B:$B,0)),"cadastre o CNPJ em Empresas"))</f>
        <v/>
      </c>
      <c r="F379" s="23"/>
      <c r="G379" s="35"/>
      <c r="H379" s="24"/>
      <c r="I379" s="11"/>
      <c r="J379" s="27" t="str">
        <f aca="false">IF(A379="","",YEAR(A379))</f>
        <v/>
      </c>
      <c r="K379" s="24"/>
      <c r="L379" s="11"/>
    </row>
    <row r="380" customFormat="false" ht="15" hidden="false" customHeight="false" outlineLevel="0" collapsed="false">
      <c r="A380" s="22"/>
      <c r="B380" s="11"/>
      <c r="C380" s="24"/>
      <c r="D380" s="31" t="str">
        <f aca="false">IF(C380="","",IF(LEN(UPPER(SUBSTITUTE(SUBSTITUTE(SUBSTITUTE(SUBSTITUTE(TRIM(C380),".",""),"/",""),"-","")," ","")))&lt;14,RIGHT(REPT("0",14)&amp;UPPER(SUBSTITUTE(SUBSTITUTE(SUBSTITUTE(SUBSTITUTE(TRIM(C380),".",""),"/",""),"-","")," ","")),14),UPPER(SUBSTITUTE(SUBSTITUTE(SUBSTITUTE(SUBSTITUTE(TRIM(C380),".",""),"/",""),"-","")," ",""))))</f>
        <v/>
      </c>
      <c r="E380" s="25" t="str">
        <f aca="false">IF(D380="","",IFERROR(INDEX(Empresas!$C:$C,MATCH(D380,Empresas!$B:$B,0)),"cadastre o CNPJ em Empresas"))</f>
        <v/>
      </c>
      <c r="F380" s="23"/>
      <c r="G380" s="35"/>
      <c r="H380" s="24"/>
      <c r="I380" s="11"/>
      <c r="J380" s="27" t="str">
        <f aca="false">IF(A380="","",YEAR(A380))</f>
        <v/>
      </c>
      <c r="K380" s="24"/>
      <c r="L380" s="11"/>
    </row>
    <row r="381" customFormat="false" ht="15" hidden="false" customHeight="false" outlineLevel="0" collapsed="false">
      <c r="A381" s="22"/>
      <c r="B381" s="11"/>
      <c r="C381" s="24"/>
      <c r="D381" s="31" t="str">
        <f aca="false">IF(C381="","",IF(LEN(UPPER(SUBSTITUTE(SUBSTITUTE(SUBSTITUTE(SUBSTITUTE(TRIM(C381),".",""),"/",""),"-","")," ","")))&lt;14,RIGHT(REPT("0",14)&amp;UPPER(SUBSTITUTE(SUBSTITUTE(SUBSTITUTE(SUBSTITUTE(TRIM(C381),".",""),"/",""),"-","")," ","")),14),UPPER(SUBSTITUTE(SUBSTITUTE(SUBSTITUTE(SUBSTITUTE(TRIM(C381),".",""),"/",""),"-","")," ",""))))</f>
        <v/>
      </c>
      <c r="E381" s="25" t="str">
        <f aca="false">IF(D381="","",IFERROR(INDEX(Empresas!$C:$C,MATCH(D381,Empresas!$B:$B,0)),"cadastre o CNPJ em Empresas"))</f>
        <v/>
      </c>
      <c r="F381" s="23"/>
      <c r="G381" s="35"/>
      <c r="H381" s="24"/>
      <c r="I381" s="11"/>
      <c r="J381" s="27" t="str">
        <f aca="false">IF(A381="","",YEAR(A381))</f>
        <v/>
      </c>
      <c r="K381" s="24"/>
      <c r="L381" s="11"/>
    </row>
    <row r="382" customFormat="false" ht="15" hidden="false" customHeight="false" outlineLevel="0" collapsed="false">
      <c r="A382" s="22"/>
      <c r="B382" s="11"/>
      <c r="C382" s="24"/>
      <c r="D382" s="31" t="str">
        <f aca="false">IF(C382="","",IF(LEN(UPPER(SUBSTITUTE(SUBSTITUTE(SUBSTITUTE(SUBSTITUTE(TRIM(C382),".",""),"/",""),"-","")," ","")))&lt;14,RIGHT(REPT("0",14)&amp;UPPER(SUBSTITUTE(SUBSTITUTE(SUBSTITUTE(SUBSTITUTE(TRIM(C382),".",""),"/",""),"-","")," ","")),14),UPPER(SUBSTITUTE(SUBSTITUTE(SUBSTITUTE(SUBSTITUTE(TRIM(C382),".",""),"/",""),"-","")," ",""))))</f>
        <v/>
      </c>
      <c r="E382" s="25" t="str">
        <f aca="false">IF(D382="","",IFERROR(INDEX(Empresas!$C:$C,MATCH(D382,Empresas!$B:$B,0)),"cadastre o CNPJ em Empresas"))</f>
        <v/>
      </c>
      <c r="F382" s="23"/>
      <c r="G382" s="35"/>
      <c r="H382" s="24"/>
      <c r="I382" s="11"/>
      <c r="J382" s="27" t="str">
        <f aca="false">IF(A382="","",YEAR(A382))</f>
        <v/>
      </c>
      <c r="K382" s="24"/>
      <c r="L382" s="11"/>
    </row>
    <row r="383" customFormat="false" ht="15" hidden="false" customHeight="false" outlineLevel="0" collapsed="false">
      <c r="A383" s="22"/>
      <c r="B383" s="11"/>
      <c r="C383" s="24"/>
      <c r="D383" s="31" t="str">
        <f aca="false">IF(C383="","",IF(LEN(UPPER(SUBSTITUTE(SUBSTITUTE(SUBSTITUTE(SUBSTITUTE(TRIM(C383),".",""),"/",""),"-","")," ","")))&lt;14,RIGHT(REPT("0",14)&amp;UPPER(SUBSTITUTE(SUBSTITUTE(SUBSTITUTE(SUBSTITUTE(TRIM(C383),".",""),"/",""),"-","")," ","")),14),UPPER(SUBSTITUTE(SUBSTITUTE(SUBSTITUTE(SUBSTITUTE(TRIM(C383),".",""),"/",""),"-","")," ",""))))</f>
        <v/>
      </c>
      <c r="E383" s="25" t="str">
        <f aca="false">IF(D383="","",IFERROR(INDEX(Empresas!$C:$C,MATCH(D383,Empresas!$B:$B,0)),"cadastre o CNPJ em Empresas"))</f>
        <v/>
      </c>
      <c r="F383" s="23"/>
      <c r="G383" s="35"/>
      <c r="H383" s="24"/>
      <c r="I383" s="11"/>
      <c r="J383" s="27" t="str">
        <f aca="false">IF(A383="","",YEAR(A383))</f>
        <v/>
      </c>
      <c r="K383" s="24"/>
      <c r="L383" s="11"/>
    </row>
    <row r="384" customFormat="false" ht="15" hidden="false" customHeight="false" outlineLevel="0" collapsed="false">
      <c r="A384" s="22"/>
      <c r="B384" s="11"/>
      <c r="C384" s="24"/>
      <c r="D384" s="31" t="str">
        <f aca="false">IF(C384="","",IF(LEN(UPPER(SUBSTITUTE(SUBSTITUTE(SUBSTITUTE(SUBSTITUTE(TRIM(C384),".",""),"/",""),"-","")," ","")))&lt;14,RIGHT(REPT("0",14)&amp;UPPER(SUBSTITUTE(SUBSTITUTE(SUBSTITUTE(SUBSTITUTE(TRIM(C384),".",""),"/",""),"-","")," ","")),14),UPPER(SUBSTITUTE(SUBSTITUTE(SUBSTITUTE(SUBSTITUTE(TRIM(C384),".",""),"/",""),"-","")," ",""))))</f>
        <v/>
      </c>
      <c r="E384" s="25" t="str">
        <f aca="false">IF(D384="","",IFERROR(INDEX(Empresas!$C:$C,MATCH(D384,Empresas!$B:$B,0)),"cadastre o CNPJ em Empresas"))</f>
        <v/>
      </c>
      <c r="F384" s="23"/>
      <c r="G384" s="35"/>
      <c r="H384" s="24"/>
      <c r="I384" s="11"/>
      <c r="J384" s="27" t="str">
        <f aca="false">IF(A384="","",YEAR(A384))</f>
        <v/>
      </c>
      <c r="K384" s="24"/>
      <c r="L384" s="11"/>
    </row>
    <row r="385" customFormat="false" ht="15" hidden="false" customHeight="false" outlineLevel="0" collapsed="false">
      <c r="A385" s="22"/>
      <c r="B385" s="11"/>
      <c r="C385" s="24"/>
      <c r="D385" s="31" t="str">
        <f aca="false">IF(C385="","",IF(LEN(UPPER(SUBSTITUTE(SUBSTITUTE(SUBSTITUTE(SUBSTITUTE(TRIM(C385),".",""),"/",""),"-","")," ","")))&lt;14,RIGHT(REPT("0",14)&amp;UPPER(SUBSTITUTE(SUBSTITUTE(SUBSTITUTE(SUBSTITUTE(TRIM(C385),".",""),"/",""),"-","")," ","")),14),UPPER(SUBSTITUTE(SUBSTITUTE(SUBSTITUTE(SUBSTITUTE(TRIM(C385),".",""),"/",""),"-","")," ",""))))</f>
        <v/>
      </c>
      <c r="E385" s="25" t="str">
        <f aca="false">IF(D385="","",IFERROR(INDEX(Empresas!$C:$C,MATCH(D385,Empresas!$B:$B,0)),"cadastre o CNPJ em Empresas"))</f>
        <v/>
      </c>
      <c r="F385" s="23"/>
      <c r="G385" s="35"/>
      <c r="H385" s="24"/>
      <c r="I385" s="11"/>
      <c r="J385" s="27" t="str">
        <f aca="false">IF(A385="","",YEAR(A385))</f>
        <v/>
      </c>
      <c r="K385" s="24"/>
      <c r="L385" s="11"/>
    </row>
    <row r="386" customFormat="false" ht="15" hidden="false" customHeight="false" outlineLevel="0" collapsed="false">
      <c r="A386" s="22"/>
      <c r="B386" s="11"/>
      <c r="C386" s="24"/>
      <c r="D386" s="31" t="str">
        <f aca="false">IF(C386="","",IF(LEN(UPPER(SUBSTITUTE(SUBSTITUTE(SUBSTITUTE(SUBSTITUTE(TRIM(C386),".",""),"/",""),"-","")," ","")))&lt;14,RIGHT(REPT("0",14)&amp;UPPER(SUBSTITUTE(SUBSTITUTE(SUBSTITUTE(SUBSTITUTE(TRIM(C386),".",""),"/",""),"-","")," ","")),14),UPPER(SUBSTITUTE(SUBSTITUTE(SUBSTITUTE(SUBSTITUTE(TRIM(C386),".",""),"/",""),"-","")," ",""))))</f>
        <v/>
      </c>
      <c r="E386" s="25" t="str">
        <f aca="false">IF(D386="","",IFERROR(INDEX(Empresas!$C:$C,MATCH(D386,Empresas!$B:$B,0)),"cadastre o CNPJ em Empresas"))</f>
        <v/>
      </c>
      <c r="F386" s="23"/>
      <c r="G386" s="35"/>
      <c r="H386" s="24"/>
      <c r="I386" s="11"/>
      <c r="J386" s="27" t="str">
        <f aca="false">IF(A386="","",YEAR(A386))</f>
        <v/>
      </c>
      <c r="K386" s="24"/>
      <c r="L386" s="11"/>
    </row>
    <row r="387" customFormat="false" ht="15" hidden="false" customHeight="false" outlineLevel="0" collapsed="false">
      <c r="A387" s="22"/>
      <c r="B387" s="11"/>
      <c r="C387" s="24"/>
      <c r="D387" s="31" t="str">
        <f aca="false">IF(C387="","",IF(LEN(UPPER(SUBSTITUTE(SUBSTITUTE(SUBSTITUTE(SUBSTITUTE(TRIM(C387),".",""),"/",""),"-","")," ","")))&lt;14,RIGHT(REPT("0",14)&amp;UPPER(SUBSTITUTE(SUBSTITUTE(SUBSTITUTE(SUBSTITUTE(TRIM(C387),".",""),"/",""),"-","")," ","")),14),UPPER(SUBSTITUTE(SUBSTITUTE(SUBSTITUTE(SUBSTITUTE(TRIM(C387),".",""),"/",""),"-","")," ",""))))</f>
        <v/>
      </c>
      <c r="E387" s="25" t="str">
        <f aca="false">IF(D387="","",IFERROR(INDEX(Empresas!$C:$C,MATCH(D387,Empresas!$B:$B,0)),"cadastre o CNPJ em Empresas"))</f>
        <v/>
      </c>
      <c r="F387" s="23"/>
      <c r="G387" s="35"/>
      <c r="H387" s="24"/>
      <c r="I387" s="11"/>
      <c r="J387" s="27" t="str">
        <f aca="false">IF(A387="","",YEAR(A387))</f>
        <v/>
      </c>
      <c r="K387" s="24"/>
      <c r="L387" s="11"/>
    </row>
    <row r="388" customFormat="false" ht="15" hidden="false" customHeight="false" outlineLevel="0" collapsed="false">
      <c r="A388" s="22"/>
      <c r="B388" s="11"/>
      <c r="C388" s="24"/>
      <c r="D388" s="31" t="str">
        <f aca="false">IF(C388="","",IF(LEN(UPPER(SUBSTITUTE(SUBSTITUTE(SUBSTITUTE(SUBSTITUTE(TRIM(C388),".",""),"/",""),"-","")," ","")))&lt;14,RIGHT(REPT("0",14)&amp;UPPER(SUBSTITUTE(SUBSTITUTE(SUBSTITUTE(SUBSTITUTE(TRIM(C388),".",""),"/",""),"-","")," ","")),14),UPPER(SUBSTITUTE(SUBSTITUTE(SUBSTITUTE(SUBSTITUTE(TRIM(C388),".",""),"/",""),"-","")," ",""))))</f>
        <v/>
      </c>
      <c r="E388" s="25" t="str">
        <f aca="false">IF(D388="","",IFERROR(INDEX(Empresas!$C:$C,MATCH(D388,Empresas!$B:$B,0)),"cadastre o CNPJ em Empresas"))</f>
        <v/>
      </c>
      <c r="F388" s="23"/>
      <c r="G388" s="35"/>
      <c r="H388" s="24"/>
      <c r="I388" s="11"/>
      <c r="J388" s="27" t="str">
        <f aca="false">IF(A388="","",YEAR(A388))</f>
        <v/>
      </c>
      <c r="K388" s="24"/>
      <c r="L388" s="11"/>
    </row>
    <row r="389" customFormat="false" ht="15" hidden="false" customHeight="false" outlineLevel="0" collapsed="false">
      <c r="A389" s="22"/>
      <c r="B389" s="11"/>
      <c r="C389" s="24"/>
      <c r="D389" s="31" t="str">
        <f aca="false">IF(C389="","",IF(LEN(UPPER(SUBSTITUTE(SUBSTITUTE(SUBSTITUTE(SUBSTITUTE(TRIM(C389),".",""),"/",""),"-","")," ","")))&lt;14,RIGHT(REPT("0",14)&amp;UPPER(SUBSTITUTE(SUBSTITUTE(SUBSTITUTE(SUBSTITUTE(TRIM(C389),".",""),"/",""),"-","")," ","")),14),UPPER(SUBSTITUTE(SUBSTITUTE(SUBSTITUTE(SUBSTITUTE(TRIM(C389),".",""),"/",""),"-","")," ",""))))</f>
        <v/>
      </c>
      <c r="E389" s="25" t="str">
        <f aca="false">IF(D389="","",IFERROR(INDEX(Empresas!$C:$C,MATCH(D389,Empresas!$B:$B,0)),"cadastre o CNPJ em Empresas"))</f>
        <v/>
      </c>
      <c r="F389" s="23"/>
      <c r="G389" s="35"/>
      <c r="H389" s="24"/>
      <c r="I389" s="11"/>
      <c r="J389" s="27" t="str">
        <f aca="false">IF(A389="","",YEAR(A389))</f>
        <v/>
      </c>
      <c r="K389" s="24"/>
      <c r="L389" s="11"/>
    </row>
    <row r="390" customFormat="false" ht="15" hidden="false" customHeight="false" outlineLevel="0" collapsed="false">
      <c r="A390" s="22"/>
      <c r="B390" s="11"/>
      <c r="C390" s="24"/>
      <c r="D390" s="31" t="str">
        <f aca="false">IF(C390="","",IF(LEN(UPPER(SUBSTITUTE(SUBSTITUTE(SUBSTITUTE(SUBSTITUTE(TRIM(C390),".",""),"/",""),"-","")," ","")))&lt;14,RIGHT(REPT("0",14)&amp;UPPER(SUBSTITUTE(SUBSTITUTE(SUBSTITUTE(SUBSTITUTE(TRIM(C390),".",""),"/",""),"-","")," ","")),14),UPPER(SUBSTITUTE(SUBSTITUTE(SUBSTITUTE(SUBSTITUTE(TRIM(C390),".",""),"/",""),"-","")," ",""))))</f>
        <v/>
      </c>
      <c r="E390" s="25" t="str">
        <f aca="false">IF(D390="","",IFERROR(INDEX(Empresas!$C:$C,MATCH(D390,Empresas!$B:$B,0)),"cadastre o CNPJ em Empresas"))</f>
        <v/>
      </c>
      <c r="F390" s="23"/>
      <c r="G390" s="35"/>
      <c r="H390" s="24"/>
      <c r="I390" s="11"/>
      <c r="J390" s="27" t="str">
        <f aca="false">IF(A390="","",YEAR(A390))</f>
        <v/>
      </c>
      <c r="K390" s="24"/>
      <c r="L390" s="11"/>
    </row>
    <row r="391" customFormat="false" ht="15" hidden="false" customHeight="false" outlineLevel="0" collapsed="false">
      <c r="A391" s="22"/>
      <c r="B391" s="11"/>
      <c r="C391" s="24"/>
      <c r="D391" s="31" t="str">
        <f aca="false">IF(C391="","",IF(LEN(UPPER(SUBSTITUTE(SUBSTITUTE(SUBSTITUTE(SUBSTITUTE(TRIM(C391),".",""),"/",""),"-","")," ","")))&lt;14,RIGHT(REPT("0",14)&amp;UPPER(SUBSTITUTE(SUBSTITUTE(SUBSTITUTE(SUBSTITUTE(TRIM(C391),".",""),"/",""),"-","")," ","")),14),UPPER(SUBSTITUTE(SUBSTITUTE(SUBSTITUTE(SUBSTITUTE(TRIM(C391),".",""),"/",""),"-","")," ",""))))</f>
        <v/>
      </c>
      <c r="E391" s="25" t="str">
        <f aca="false">IF(D391="","",IFERROR(INDEX(Empresas!$C:$C,MATCH(D391,Empresas!$B:$B,0)),"cadastre o CNPJ em Empresas"))</f>
        <v/>
      </c>
      <c r="F391" s="23"/>
      <c r="G391" s="35"/>
      <c r="H391" s="24"/>
      <c r="I391" s="11"/>
      <c r="J391" s="27" t="str">
        <f aca="false">IF(A391="","",YEAR(A391))</f>
        <v/>
      </c>
      <c r="K391" s="24"/>
      <c r="L391" s="11"/>
    </row>
    <row r="392" customFormat="false" ht="15" hidden="false" customHeight="false" outlineLevel="0" collapsed="false">
      <c r="A392" s="22"/>
      <c r="B392" s="11"/>
      <c r="C392" s="24"/>
      <c r="D392" s="31" t="str">
        <f aca="false">IF(C392="","",IF(LEN(UPPER(SUBSTITUTE(SUBSTITUTE(SUBSTITUTE(SUBSTITUTE(TRIM(C392),".",""),"/",""),"-","")," ","")))&lt;14,RIGHT(REPT("0",14)&amp;UPPER(SUBSTITUTE(SUBSTITUTE(SUBSTITUTE(SUBSTITUTE(TRIM(C392),".",""),"/",""),"-","")," ","")),14),UPPER(SUBSTITUTE(SUBSTITUTE(SUBSTITUTE(SUBSTITUTE(TRIM(C392),".",""),"/",""),"-","")," ",""))))</f>
        <v/>
      </c>
      <c r="E392" s="25" t="str">
        <f aca="false">IF(D392="","",IFERROR(INDEX(Empresas!$C:$C,MATCH(D392,Empresas!$B:$B,0)),"cadastre o CNPJ em Empresas"))</f>
        <v/>
      </c>
      <c r="F392" s="23"/>
      <c r="G392" s="35"/>
      <c r="H392" s="24"/>
      <c r="I392" s="11"/>
      <c r="J392" s="27" t="str">
        <f aca="false">IF(A392="","",YEAR(A392))</f>
        <v/>
      </c>
      <c r="K392" s="24"/>
      <c r="L392" s="11"/>
    </row>
    <row r="393" customFormat="false" ht="15" hidden="false" customHeight="false" outlineLevel="0" collapsed="false">
      <c r="A393" s="22"/>
      <c r="B393" s="11"/>
      <c r="C393" s="24"/>
      <c r="D393" s="31" t="str">
        <f aca="false">IF(C393="","",IF(LEN(UPPER(SUBSTITUTE(SUBSTITUTE(SUBSTITUTE(SUBSTITUTE(TRIM(C393),".",""),"/",""),"-","")," ","")))&lt;14,RIGHT(REPT("0",14)&amp;UPPER(SUBSTITUTE(SUBSTITUTE(SUBSTITUTE(SUBSTITUTE(TRIM(C393),".",""),"/",""),"-","")," ","")),14),UPPER(SUBSTITUTE(SUBSTITUTE(SUBSTITUTE(SUBSTITUTE(TRIM(C393),".",""),"/",""),"-","")," ",""))))</f>
        <v/>
      </c>
      <c r="E393" s="25" t="str">
        <f aca="false">IF(D393="","",IFERROR(INDEX(Empresas!$C:$C,MATCH(D393,Empresas!$B:$B,0)),"cadastre o CNPJ em Empresas"))</f>
        <v/>
      </c>
      <c r="F393" s="23"/>
      <c r="G393" s="35"/>
      <c r="H393" s="24"/>
      <c r="I393" s="11"/>
      <c r="J393" s="27" t="str">
        <f aca="false">IF(A393="","",YEAR(A393))</f>
        <v/>
      </c>
      <c r="K393" s="24"/>
      <c r="L393" s="11"/>
    </row>
    <row r="394" customFormat="false" ht="15" hidden="false" customHeight="false" outlineLevel="0" collapsed="false">
      <c r="A394" s="22"/>
      <c r="B394" s="11"/>
      <c r="C394" s="24"/>
      <c r="D394" s="31" t="str">
        <f aca="false">IF(C394="","",IF(LEN(UPPER(SUBSTITUTE(SUBSTITUTE(SUBSTITUTE(SUBSTITUTE(TRIM(C394),".",""),"/",""),"-","")," ","")))&lt;14,RIGHT(REPT("0",14)&amp;UPPER(SUBSTITUTE(SUBSTITUTE(SUBSTITUTE(SUBSTITUTE(TRIM(C394),".",""),"/",""),"-","")," ","")),14),UPPER(SUBSTITUTE(SUBSTITUTE(SUBSTITUTE(SUBSTITUTE(TRIM(C394),".",""),"/",""),"-","")," ",""))))</f>
        <v/>
      </c>
      <c r="E394" s="25" t="str">
        <f aca="false">IF(D394="","",IFERROR(INDEX(Empresas!$C:$C,MATCH(D394,Empresas!$B:$B,0)),"cadastre o CNPJ em Empresas"))</f>
        <v/>
      </c>
      <c r="F394" s="23"/>
      <c r="G394" s="35"/>
      <c r="H394" s="24"/>
      <c r="I394" s="11"/>
      <c r="J394" s="27" t="str">
        <f aca="false">IF(A394="","",YEAR(A394))</f>
        <v/>
      </c>
      <c r="K394" s="24"/>
      <c r="L394" s="11"/>
    </row>
    <row r="395" customFormat="false" ht="15" hidden="false" customHeight="false" outlineLevel="0" collapsed="false">
      <c r="A395" s="22"/>
      <c r="B395" s="11"/>
      <c r="C395" s="24"/>
      <c r="D395" s="31" t="str">
        <f aca="false">IF(C395="","",IF(LEN(UPPER(SUBSTITUTE(SUBSTITUTE(SUBSTITUTE(SUBSTITUTE(TRIM(C395),".",""),"/",""),"-","")," ","")))&lt;14,RIGHT(REPT("0",14)&amp;UPPER(SUBSTITUTE(SUBSTITUTE(SUBSTITUTE(SUBSTITUTE(TRIM(C395),".",""),"/",""),"-","")," ","")),14),UPPER(SUBSTITUTE(SUBSTITUTE(SUBSTITUTE(SUBSTITUTE(TRIM(C395),".",""),"/",""),"-","")," ",""))))</f>
        <v/>
      </c>
      <c r="E395" s="25" t="str">
        <f aca="false">IF(D395="","",IFERROR(INDEX(Empresas!$C:$C,MATCH(D395,Empresas!$B:$B,0)),"cadastre o CNPJ em Empresas"))</f>
        <v/>
      </c>
      <c r="F395" s="23"/>
      <c r="G395" s="35"/>
      <c r="H395" s="24"/>
      <c r="I395" s="11"/>
      <c r="J395" s="27" t="str">
        <f aca="false">IF(A395="","",YEAR(A395))</f>
        <v/>
      </c>
      <c r="K395" s="24"/>
      <c r="L395" s="11"/>
    </row>
    <row r="396" customFormat="false" ht="15" hidden="false" customHeight="false" outlineLevel="0" collapsed="false">
      <c r="A396" s="22"/>
      <c r="B396" s="11"/>
      <c r="C396" s="24"/>
      <c r="D396" s="31" t="str">
        <f aca="false">IF(C396="","",IF(LEN(UPPER(SUBSTITUTE(SUBSTITUTE(SUBSTITUTE(SUBSTITUTE(TRIM(C396),".",""),"/",""),"-","")," ","")))&lt;14,RIGHT(REPT("0",14)&amp;UPPER(SUBSTITUTE(SUBSTITUTE(SUBSTITUTE(SUBSTITUTE(TRIM(C396),".",""),"/",""),"-","")," ","")),14),UPPER(SUBSTITUTE(SUBSTITUTE(SUBSTITUTE(SUBSTITUTE(TRIM(C396),".",""),"/",""),"-","")," ",""))))</f>
        <v/>
      </c>
      <c r="E396" s="25" t="str">
        <f aca="false">IF(D396="","",IFERROR(INDEX(Empresas!$C:$C,MATCH(D396,Empresas!$B:$B,0)),"cadastre o CNPJ em Empresas"))</f>
        <v/>
      </c>
      <c r="F396" s="23"/>
      <c r="G396" s="35"/>
      <c r="H396" s="24"/>
      <c r="I396" s="11"/>
      <c r="J396" s="27" t="str">
        <f aca="false">IF(A396="","",YEAR(A396))</f>
        <v/>
      </c>
      <c r="K396" s="24"/>
      <c r="L396" s="11"/>
    </row>
    <row r="397" customFormat="false" ht="15" hidden="false" customHeight="false" outlineLevel="0" collapsed="false">
      <c r="A397" s="22"/>
      <c r="B397" s="11"/>
      <c r="C397" s="24"/>
      <c r="D397" s="31" t="str">
        <f aca="false">IF(C397="","",IF(LEN(UPPER(SUBSTITUTE(SUBSTITUTE(SUBSTITUTE(SUBSTITUTE(TRIM(C397),".",""),"/",""),"-","")," ","")))&lt;14,RIGHT(REPT("0",14)&amp;UPPER(SUBSTITUTE(SUBSTITUTE(SUBSTITUTE(SUBSTITUTE(TRIM(C397),".",""),"/",""),"-","")," ","")),14),UPPER(SUBSTITUTE(SUBSTITUTE(SUBSTITUTE(SUBSTITUTE(TRIM(C397),".",""),"/",""),"-","")," ",""))))</f>
        <v/>
      </c>
      <c r="E397" s="25" t="str">
        <f aca="false">IF(D397="","",IFERROR(INDEX(Empresas!$C:$C,MATCH(D397,Empresas!$B:$B,0)),"cadastre o CNPJ em Empresas"))</f>
        <v/>
      </c>
      <c r="F397" s="23"/>
      <c r="G397" s="35"/>
      <c r="H397" s="24"/>
      <c r="I397" s="11"/>
      <c r="J397" s="27" t="str">
        <f aca="false">IF(A397="","",YEAR(A397))</f>
        <v/>
      </c>
      <c r="K397" s="24"/>
      <c r="L397" s="11"/>
    </row>
    <row r="398" customFormat="false" ht="15" hidden="false" customHeight="false" outlineLevel="0" collapsed="false">
      <c r="A398" s="22"/>
      <c r="B398" s="11"/>
      <c r="C398" s="24"/>
      <c r="D398" s="31" t="str">
        <f aca="false">IF(C398="","",IF(LEN(UPPER(SUBSTITUTE(SUBSTITUTE(SUBSTITUTE(SUBSTITUTE(TRIM(C398),".",""),"/",""),"-","")," ","")))&lt;14,RIGHT(REPT("0",14)&amp;UPPER(SUBSTITUTE(SUBSTITUTE(SUBSTITUTE(SUBSTITUTE(TRIM(C398),".",""),"/",""),"-","")," ","")),14),UPPER(SUBSTITUTE(SUBSTITUTE(SUBSTITUTE(SUBSTITUTE(TRIM(C398),".",""),"/",""),"-","")," ",""))))</f>
        <v/>
      </c>
      <c r="E398" s="25" t="str">
        <f aca="false">IF(D398="","",IFERROR(INDEX(Empresas!$C:$C,MATCH(D398,Empresas!$B:$B,0)),"cadastre o CNPJ em Empresas"))</f>
        <v/>
      </c>
      <c r="F398" s="23"/>
      <c r="G398" s="35"/>
      <c r="H398" s="24"/>
      <c r="I398" s="11"/>
      <c r="J398" s="27" t="str">
        <f aca="false">IF(A398="","",YEAR(A398))</f>
        <v/>
      </c>
      <c r="K398" s="24"/>
      <c r="L398" s="11"/>
    </row>
    <row r="399" customFormat="false" ht="15" hidden="false" customHeight="false" outlineLevel="0" collapsed="false">
      <c r="A399" s="22"/>
      <c r="B399" s="11"/>
      <c r="C399" s="24"/>
      <c r="D399" s="31" t="str">
        <f aca="false">IF(C399="","",IF(LEN(UPPER(SUBSTITUTE(SUBSTITUTE(SUBSTITUTE(SUBSTITUTE(TRIM(C399),".",""),"/",""),"-","")," ","")))&lt;14,RIGHT(REPT("0",14)&amp;UPPER(SUBSTITUTE(SUBSTITUTE(SUBSTITUTE(SUBSTITUTE(TRIM(C399),".",""),"/",""),"-","")," ","")),14),UPPER(SUBSTITUTE(SUBSTITUTE(SUBSTITUTE(SUBSTITUTE(TRIM(C399),".",""),"/",""),"-","")," ",""))))</f>
        <v/>
      </c>
      <c r="E399" s="25" t="str">
        <f aca="false">IF(D399="","",IFERROR(INDEX(Empresas!$C:$C,MATCH(D399,Empresas!$B:$B,0)),"cadastre o CNPJ em Empresas"))</f>
        <v/>
      </c>
      <c r="F399" s="23"/>
      <c r="G399" s="35"/>
      <c r="H399" s="24"/>
      <c r="I399" s="11"/>
      <c r="J399" s="27" t="str">
        <f aca="false">IF(A399="","",YEAR(A399))</f>
        <v/>
      </c>
      <c r="K399" s="24"/>
      <c r="L399" s="11"/>
    </row>
    <row r="400" customFormat="false" ht="15" hidden="false" customHeight="false" outlineLevel="0" collapsed="false">
      <c r="A400" s="22"/>
      <c r="B400" s="11"/>
      <c r="C400" s="24"/>
      <c r="D400" s="31" t="str">
        <f aca="false">IF(C400="","",IF(LEN(UPPER(SUBSTITUTE(SUBSTITUTE(SUBSTITUTE(SUBSTITUTE(TRIM(C400),".",""),"/",""),"-","")," ","")))&lt;14,RIGHT(REPT("0",14)&amp;UPPER(SUBSTITUTE(SUBSTITUTE(SUBSTITUTE(SUBSTITUTE(TRIM(C400),".",""),"/",""),"-","")," ","")),14),UPPER(SUBSTITUTE(SUBSTITUTE(SUBSTITUTE(SUBSTITUTE(TRIM(C400),".",""),"/",""),"-","")," ",""))))</f>
        <v/>
      </c>
      <c r="E400" s="25" t="str">
        <f aca="false">IF(D400="","",IFERROR(INDEX(Empresas!$C:$C,MATCH(D400,Empresas!$B:$B,0)),"cadastre o CNPJ em Empresas"))</f>
        <v/>
      </c>
      <c r="F400" s="23"/>
      <c r="G400" s="35"/>
      <c r="H400" s="24"/>
      <c r="I400" s="11"/>
      <c r="J400" s="27" t="str">
        <f aca="false">IF(A400="","",YEAR(A400))</f>
        <v/>
      </c>
      <c r="K400" s="24"/>
      <c r="L400" s="11"/>
    </row>
    <row r="401" customFormat="false" ht="15" hidden="false" customHeight="false" outlineLevel="0" collapsed="false">
      <c r="A401" s="22"/>
      <c r="B401" s="11"/>
      <c r="C401" s="24"/>
      <c r="D401" s="31" t="str">
        <f aca="false">IF(C401="","",IF(LEN(UPPER(SUBSTITUTE(SUBSTITUTE(SUBSTITUTE(SUBSTITUTE(TRIM(C401),".",""),"/",""),"-","")," ","")))&lt;14,RIGHT(REPT("0",14)&amp;UPPER(SUBSTITUTE(SUBSTITUTE(SUBSTITUTE(SUBSTITUTE(TRIM(C401),".",""),"/",""),"-","")," ","")),14),UPPER(SUBSTITUTE(SUBSTITUTE(SUBSTITUTE(SUBSTITUTE(TRIM(C401),".",""),"/",""),"-","")," ",""))))</f>
        <v/>
      </c>
      <c r="E401" s="25" t="str">
        <f aca="false">IF(D401="","",IFERROR(INDEX(Empresas!$C:$C,MATCH(D401,Empresas!$B:$B,0)),"cadastre o CNPJ em Empresas"))</f>
        <v/>
      </c>
      <c r="F401" s="23"/>
      <c r="G401" s="35"/>
      <c r="H401" s="24"/>
      <c r="I401" s="11"/>
      <c r="J401" s="27" t="str">
        <f aca="false">IF(A401="","",YEAR(A401))</f>
        <v/>
      </c>
      <c r="K401" s="24"/>
      <c r="L401" s="11"/>
    </row>
    <row r="402" customFormat="false" ht="15" hidden="false" customHeight="false" outlineLevel="0" collapsed="false">
      <c r="A402" s="22"/>
      <c r="B402" s="11"/>
      <c r="C402" s="24"/>
      <c r="D402" s="31" t="str">
        <f aca="false">IF(C402="","",IF(LEN(UPPER(SUBSTITUTE(SUBSTITUTE(SUBSTITUTE(SUBSTITUTE(TRIM(C402),".",""),"/",""),"-","")," ","")))&lt;14,RIGHT(REPT("0",14)&amp;UPPER(SUBSTITUTE(SUBSTITUTE(SUBSTITUTE(SUBSTITUTE(TRIM(C402),".",""),"/",""),"-","")," ","")),14),UPPER(SUBSTITUTE(SUBSTITUTE(SUBSTITUTE(SUBSTITUTE(TRIM(C402),".",""),"/",""),"-","")," ",""))))</f>
        <v/>
      </c>
      <c r="E402" s="25" t="str">
        <f aca="false">IF(D402="","",IFERROR(INDEX(Empresas!$C:$C,MATCH(D402,Empresas!$B:$B,0)),"cadastre o CNPJ em Empresas"))</f>
        <v/>
      </c>
      <c r="F402" s="23"/>
      <c r="G402" s="35"/>
      <c r="H402" s="24"/>
      <c r="I402" s="11"/>
      <c r="J402" s="27" t="str">
        <f aca="false">IF(A402="","",YEAR(A402))</f>
        <v/>
      </c>
      <c r="K402" s="24"/>
      <c r="L402" s="11"/>
    </row>
    <row r="403" customFormat="false" ht="15" hidden="false" customHeight="false" outlineLevel="0" collapsed="false">
      <c r="A403" s="22"/>
      <c r="B403" s="11"/>
      <c r="C403" s="24"/>
      <c r="D403" s="31" t="str">
        <f aca="false">IF(C403="","",IF(LEN(UPPER(SUBSTITUTE(SUBSTITUTE(SUBSTITUTE(SUBSTITUTE(TRIM(C403),".",""),"/",""),"-","")," ","")))&lt;14,RIGHT(REPT("0",14)&amp;UPPER(SUBSTITUTE(SUBSTITUTE(SUBSTITUTE(SUBSTITUTE(TRIM(C403),".",""),"/",""),"-","")," ","")),14),UPPER(SUBSTITUTE(SUBSTITUTE(SUBSTITUTE(SUBSTITUTE(TRIM(C403),".",""),"/",""),"-","")," ",""))))</f>
        <v/>
      </c>
      <c r="E403" s="25" t="str">
        <f aca="false">IF(D403="","",IFERROR(INDEX(Empresas!$C:$C,MATCH(D403,Empresas!$B:$B,0)),"cadastre o CNPJ em Empresas"))</f>
        <v/>
      </c>
      <c r="F403" s="23"/>
      <c r="G403" s="35"/>
      <c r="H403" s="24"/>
      <c r="I403" s="11"/>
      <c r="J403" s="27" t="str">
        <f aca="false">IF(A403="","",YEAR(A403))</f>
        <v/>
      </c>
      <c r="K403" s="24"/>
      <c r="L403" s="11"/>
    </row>
    <row r="404" customFormat="false" ht="15" hidden="false" customHeight="false" outlineLevel="0" collapsed="false">
      <c r="A404" s="22"/>
      <c r="B404" s="11"/>
      <c r="C404" s="24"/>
      <c r="D404" s="31" t="str">
        <f aca="false">IF(C404="","",IF(LEN(UPPER(SUBSTITUTE(SUBSTITUTE(SUBSTITUTE(SUBSTITUTE(TRIM(C404),".",""),"/",""),"-","")," ","")))&lt;14,RIGHT(REPT("0",14)&amp;UPPER(SUBSTITUTE(SUBSTITUTE(SUBSTITUTE(SUBSTITUTE(TRIM(C404),".",""),"/",""),"-","")," ","")),14),UPPER(SUBSTITUTE(SUBSTITUTE(SUBSTITUTE(SUBSTITUTE(TRIM(C404),".",""),"/",""),"-","")," ",""))))</f>
        <v/>
      </c>
      <c r="E404" s="25" t="str">
        <f aca="false">IF(D404="","",IFERROR(INDEX(Empresas!$C:$C,MATCH(D404,Empresas!$B:$B,0)),"cadastre o CNPJ em Empresas"))</f>
        <v/>
      </c>
      <c r="F404" s="23"/>
      <c r="G404" s="35"/>
      <c r="H404" s="24"/>
      <c r="I404" s="11"/>
      <c r="J404" s="27" t="str">
        <f aca="false">IF(A404="","",YEAR(A404))</f>
        <v/>
      </c>
      <c r="K404" s="24"/>
      <c r="L404" s="11"/>
    </row>
    <row r="405" customFormat="false" ht="15" hidden="false" customHeight="false" outlineLevel="0" collapsed="false">
      <c r="A405" s="22"/>
      <c r="B405" s="11"/>
      <c r="C405" s="24"/>
      <c r="D405" s="31" t="str">
        <f aca="false">IF(C405="","",IF(LEN(UPPER(SUBSTITUTE(SUBSTITUTE(SUBSTITUTE(SUBSTITUTE(TRIM(C405),".",""),"/",""),"-","")," ","")))&lt;14,RIGHT(REPT("0",14)&amp;UPPER(SUBSTITUTE(SUBSTITUTE(SUBSTITUTE(SUBSTITUTE(TRIM(C405),".",""),"/",""),"-","")," ","")),14),UPPER(SUBSTITUTE(SUBSTITUTE(SUBSTITUTE(SUBSTITUTE(TRIM(C405),".",""),"/",""),"-","")," ",""))))</f>
        <v/>
      </c>
      <c r="E405" s="25" t="str">
        <f aca="false">IF(D405="","",IFERROR(INDEX(Empresas!$C:$C,MATCH(D405,Empresas!$B:$B,0)),"cadastre o CNPJ em Empresas"))</f>
        <v/>
      </c>
      <c r="F405" s="23"/>
      <c r="G405" s="35"/>
      <c r="H405" s="24"/>
      <c r="I405" s="11"/>
      <c r="J405" s="27" t="str">
        <f aca="false">IF(A405="","",YEAR(A405))</f>
        <v/>
      </c>
      <c r="K405" s="24"/>
      <c r="L405" s="11"/>
    </row>
    <row r="406" customFormat="false" ht="15" hidden="false" customHeight="false" outlineLevel="0" collapsed="false">
      <c r="A406" s="22"/>
      <c r="B406" s="11"/>
      <c r="C406" s="24"/>
      <c r="D406" s="31" t="str">
        <f aca="false">IF(C406="","",IF(LEN(UPPER(SUBSTITUTE(SUBSTITUTE(SUBSTITUTE(SUBSTITUTE(TRIM(C406),".",""),"/",""),"-","")," ","")))&lt;14,RIGHT(REPT("0",14)&amp;UPPER(SUBSTITUTE(SUBSTITUTE(SUBSTITUTE(SUBSTITUTE(TRIM(C406),".",""),"/",""),"-","")," ","")),14),UPPER(SUBSTITUTE(SUBSTITUTE(SUBSTITUTE(SUBSTITUTE(TRIM(C406),".",""),"/",""),"-","")," ",""))))</f>
        <v/>
      </c>
      <c r="E406" s="25" t="str">
        <f aca="false">IF(D406="","",IFERROR(INDEX(Empresas!$C:$C,MATCH(D406,Empresas!$B:$B,0)),"cadastre o CNPJ em Empresas"))</f>
        <v/>
      </c>
      <c r="F406" s="23"/>
      <c r="G406" s="35"/>
      <c r="H406" s="24"/>
      <c r="I406" s="11"/>
      <c r="J406" s="27" t="str">
        <f aca="false">IF(A406="","",YEAR(A406))</f>
        <v/>
      </c>
      <c r="K406" s="24"/>
      <c r="L406" s="11"/>
    </row>
    <row r="407" customFormat="false" ht="15" hidden="false" customHeight="false" outlineLevel="0" collapsed="false">
      <c r="A407" s="22"/>
      <c r="B407" s="11"/>
      <c r="C407" s="24"/>
      <c r="D407" s="31" t="str">
        <f aca="false">IF(C407="","",IF(LEN(UPPER(SUBSTITUTE(SUBSTITUTE(SUBSTITUTE(SUBSTITUTE(TRIM(C407),".",""),"/",""),"-","")," ","")))&lt;14,RIGHT(REPT("0",14)&amp;UPPER(SUBSTITUTE(SUBSTITUTE(SUBSTITUTE(SUBSTITUTE(TRIM(C407),".",""),"/",""),"-","")," ","")),14),UPPER(SUBSTITUTE(SUBSTITUTE(SUBSTITUTE(SUBSTITUTE(TRIM(C407),".",""),"/",""),"-","")," ",""))))</f>
        <v/>
      </c>
      <c r="E407" s="25" t="str">
        <f aca="false">IF(D407="","",IFERROR(INDEX(Empresas!$C:$C,MATCH(D407,Empresas!$B:$B,0)),"cadastre o CNPJ em Empresas"))</f>
        <v/>
      </c>
      <c r="F407" s="23"/>
      <c r="G407" s="35"/>
      <c r="H407" s="24"/>
      <c r="I407" s="11"/>
      <c r="J407" s="27" t="str">
        <f aca="false">IF(A407="","",YEAR(A407))</f>
        <v/>
      </c>
      <c r="K407" s="24"/>
      <c r="L407" s="11"/>
    </row>
    <row r="408" customFormat="false" ht="15" hidden="false" customHeight="false" outlineLevel="0" collapsed="false">
      <c r="A408" s="22"/>
      <c r="B408" s="11"/>
      <c r="C408" s="24"/>
      <c r="D408" s="31" t="str">
        <f aca="false">IF(C408="","",IF(LEN(UPPER(SUBSTITUTE(SUBSTITUTE(SUBSTITUTE(SUBSTITUTE(TRIM(C408),".",""),"/",""),"-","")," ","")))&lt;14,RIGHT(REPT("0",14)&amp;UPPER(SUBSTITUTE(SUBSTITUTE(SUBSTITUTE(SUBSTITUTE(TRIM(C408),".",""),"/",""),"-","")," ","")),14),UPPER(SUBSTITUTE(SUBSTITUTE(SUBSTITUTE(SUBSTITUTE(TRIM(C408),".",""),"/",""),"-","")," ",""))))</f>
        <v/>
      </c>
      <c r="E408" s="25" t="str">
        <f aca="false">IF(D408="","",IFERROR(INDEX(Empresas!$C:$C,MATCH(D408,Empresas!$B:$B,0)),"cadastre o CNPJ em Empresas"))</f>
        <v/>
      </c>
      <c r="F408" s="23"/>
      <c r="G408" s="35"/>
      <c r="H408" s="24"/>
      <c r="I408" s="11"/>
      <c r="J408" s="27" t="str">
        <f aca="false">IF(A408="","",YEAR(A408))</f>
        <v/>
      </c>
      <c r="K408" s="24"/>
      <c r="L408" s="11"/>
    </row>
    <row r="409" customFormat="false" ht="15" hidden="false" customHeight="false" outlineLevel="0" collapsed="false">
      <c r="A409" s="22"/>
      <c r="B409" s="11"/>
      <c r="C409" s="24"/>
      <c r="D409" s="31" t="str">
        <f aca="false">IF(C409="","",IF(LEN(UPPER(SUBSTITUTE(SUBSTITUTE(SUBSTITUTE(SUBSTITUTE(TRIM(C409),".",""),"/",""),"-","")," ","")))&lt;14,RIGHT(REPT("0",14)&amp;UPPER(SUBSTITUTE(SUBSTITUTE(SUBSTITUTE(SUBSTITUTE(TRIM(C409),".",""),"/",""),"-","")," ","")),14),UPPER(SUBSTITUTE(SUBSTITUTE(SUBSTITUTE(SUBSTITUTE(TRIM(C409),".",""),"/",""),"-","")," ",""))))</f>
        <v/>
      </c>
      <c r="E409" s="25" t="str">
        <f aca="false">IF(D409="","",IFERROR(INDEX(Empresas!$C:$C,MATCH(D409,Empresas!$B:$B,0)),"cadastre o CNPJ em Empresas"))</f>
        <v/>
      </c>
      <c r="F409" s="23"/>
      <c r="G409" s="35"/>
      <c r="H409" s="24"/>
      <c r="I409" s="11"/>
      <c r="J409" s="27" t="str">
        <f aca="false">IF(A409="","",YEAR(A409))</f>
        <v/>
      </c>
      <c r="K409" s="24"/>
      <c r="L409" s="11"/>
    </row>
    <row r="410" customFormat="false" ht="15" hidden="false" customHeight="false" outlineLevel="0" collapsed="false">
      <c r="A410" s="22"/>
      <c r="B410" s="11"/>
      <c r="C410" s="24"/>
      <c r="D410" s="31" t="str">
        <f aca="false">IF(C410="","",IF(LEN(UPPER(SUBSTITUTE(SUBSTITUTE(SUBSTITUTE(SUBSTITUTE(TRIM(C410),".",""),"/",""),"-","")," ","")))&lt;14,RIGHT(REPT("0",14)&amp;UPPER(SUBSTITUTE(SUBSTITUTE(SUBSTITUTE(SUBSTITUTE(TRIM(C410),".",""),"/",""),"-","")," ","")),14),UPPER(SUBSTITUTE(SUBSTITUTE(SUBSTITUTE(SUBSTITUTE(TRIM(C410),".",""),"/",""),"-","")," ",""))))</f>
        <v/>
      </c>
      <c r="E410" s="25" t="str">
        <f aca="false">IF(D410="","",IFERROR(INDEX(Empresas!$C:$C,MATCH(D410,Empresas!$B:$B,0)),"cadastre o CNPJ em Empresas"))</f>
        <v/>
      </c>
      <c r="F410" s="23"/>
      <c r="G410" s="35"/>
      <c r="H410" s="24"/>
      <c r="I410" s="11"/>
      <c r="J410" s="27" t="str">
        <f aca="false">IF(A410="","",YEAR(A410))</f>
        <v/>
      </c>
      <c r="K410" s="24"/>
      <c r="L410" s="11"/>
    </row>
    <row r="411" customFormat="false" ht="15" hidden="false" customHeight="false" outlineLevel="0" collapsed="false">
      <c r="A411" s="22"/>
      <c r="B411" s="11"/>
      <c r="C411" s="24"/>
      <c r="D411" s="31" t="str">
        <f aca="false">IF(C411="","",IF(LEN(UPPER(SUBSTITUTE(SUBSTITUTE(SUBSTITUTE(SUBSTITUTE(TRIM(C411),".",""),"/",""),"-","")," ","")))&lt;14,RIGHT(REPT("0",14)&amp;UPPER(SUBSTITUTE(SUBSTITUTE(SUBSTITUTE(SUBSTITUTE(TRIM(C411),".",""),"/",""),"-","")," ","")),14),UPPER(SUBSTITUTE(SUBSTITUTE(SUBSTITUTE(SUBSTITUTE(TRIM(C411),".",""),"/",""),"-","")," ",""))))</f>
        <v/>
      </c>
      <c r="E411" s="25" t="str">
        <f aca="false">IF(D411="","",IFERROR(INDEX(Empresas!$C:$C,MATCH(D411,Empresas!$B:$B,0)),"cadastre o CNPJ em Empresas"))</f>
        <v/>
      </c>
      <c r="F411" s="23"/>
      <c r="G411" s="35"/>
      <c r="H411" s="24"/>
      <c r="I411" s="11"/>
      <c r="J411" s="27" t="str">
        <f aca="false">IF(A411="","",YEAR(A411))</f>
        <v/>
      </c>
      <c r="K411" s="24"/>
      <c r="L411" s="11"/>
    </row>
    <row r="412" customFormat="false" ht="15" hidden="false" customHeight="false" outlineLevel="0" collapsed="false">
      <c r="A412" s="22"/>
      <c r="B412" s="11"/>
      <c r="C412" s="24"/>
      <c r="D412" s="31" t="str">
        <f aca="false">IF(C412="","",IF(LEN(UPPER(SUBSTITUTE(SUBSTITUTE(SUBSTITUTE(SUBSTITUTE(TRIM(C412),".",""),"/",""),"-","")," ","")))&lt;14,RIGHT(REPT("0",14)&amp;UPPER(SUBSTITUTE(SUBSTITUTE(SUBSTITUTE(SUBSTITUTE(TRIM(C412),".",""),"/",""),"-","")," ","")),14),UPPER(SUBSTITUTE(SUBSTITUTE(SUBSTITUTE(SUBSTITUTE(TRIM(C412),".",""),"/",""),"-","")," ",""))))</f>
        <v/>
      </c>
      <c r="E412" s="25" t="str">
        <f aca="false">IF(D412="","",IFERROR(INDEX(Empresas!$C:$C,MATCH(D412,Empresas!$B:$B,0)),"cadastre o CNPJ em Empresas"))</f>
        <v/>
      </c>
      <c r="F412" s="23"/>
      <c r="G412" s="35"/>
      <c r="H412" s="24"/>
      <c r="I412" s="11"/>
      <c r="J412" s="27" t="str">
        <f aca="false">IF(A412="","",YEAR(A412))</f>
        <v/>
      </c>
      <c r="K412" s="24"/>
      <c r="L412" s="11"/>
    </row>
    <row r="413" customFormat="false" ht="15" hidden="false" customHeight="false" outlineLevel="0" collapsed="false">
      <c r="A413" s="22"/>
      <c r="B413" s="11"/>
      <c r="C413" s="24"/>
      <c r="D413" s="31" t="str">
        <f aca="false">IF(C413="","",IF(LEN(UPPER(SUBSTITUTE(SUBSTITUTE(SUBSTITUTE(SUBSTITUTE(TRIM(C413),".",""),"/",""),"-","")," ","")))&lt;14,RIGHT(REPT("0",14)&amp;UPPER(SUBSTITUTE(SUBSTITUTE(SUBSTITUTE(SUBSTITUTE(TRIM(C413),".",""),"/",""),"-","")," ","")),14),UPPER(SUBSTITUTE(SUBSTITUTE(SUBSTITUTE(SUBSTITUTE(TRIM(C413),".",""),"/",""),"-","")," ",""))))</f>
        <v/>
      </c>
      <c r="E413" s="25" t="str">
        <f aca="false">IF(D413="","",IFERROR(INDEX(Empresas!$C:$C,MATCH(D413,Empresas!$B:$B,0)),"cadastre o CNPJ em Empresas"))</f>
        <v/>
      </c>
      <c r="F413" s="23"/>
      <c r="G413" s="35"/>
      <c r="H413" s="24"/>
      <c r="I413" s="11"/>
      <c r="J413" s="27" t="str">
        <f aca="false">IF(A413="","",YEAR(A413))</f>
        <v/>
      </c>
      <c r="K413" s="24"/>
      <c r="L413" s="11"/>
    </row>
    <row r="414" customFormat="false" ht="15" hidden="false" customHeight="false" outlineLevel="0" collapsed="false">
      <c r="A414" s="22"/>
      <c r="B414" s="11"/>
      <c r="C414" s="24"/>
      <c r="D414" s="31" t="str">
        <f aca="false">IF(C414="","",IF(LEN(UPPER(SUBSTITUTE(SUBSTITUTE(SUBSTITUTE(SUBSTITUTE(TRIM(C414),".",""),"/",""),"-","")," ","")))&lt;14,RIGHT(REPT("0",14)&amp;UPPER(SUBSTITUTE(SUBSTITUTE(SUBSTITUTE(SUBSTITUTE(TRIM(C414),".",""),"/",""),"-","")," ","")),14),UPPER(SUBSTITUTE(SUBSTITUTE(SUBSTITUTE(SUBSTITUTE(TRIM(C414),".",""),"/",""),"-","")," ",""))))</f>
        <v/>
      </c>
      <c r="E414" s="25" t="str">
        <f aca="false">IF(D414="","",IFERROR(INDEX(Empresas!$C:$C,MATCH(D414,Empresas!$B:$B,0)),"cadastre o CNPJ em Empresas"))</f>
        <v/>
      </c>
      <c r="F414" s="23"/>
      <c r="G414" s="35"/>
      <c r="H414" s="24"/>
      <c r="I414" s="11"/>
      <c r="J414" s="27" t="str">
        <f aca="false">IF(A414="","",YEAR(A414))</f>
        <v/>
      </c>
      <c r="K414" s="24"/>
      <c r="L414" s="11"/>
    </row>
    <row r="415" customFormat="false" ht="15" hidden="false" customHeight="false" outlineLevel="0" collapsed="false">
      <c r="A415" s="22"/>
      <c r="B415" s="11"/>
      <c r="C415" s="24"/>
      <c r="D415" s="31" t="str">
        <f aca="false">IF(C415="","",IF(LEN(UPPER(SUBSTITUTE(SUBSTITUTE(SUBSTITUTE(SUBSTITUTE(TRIM(C415),".",""),"/",""),"-","")," ","")))&lt;14,RIGHT(REPT("0",14)&amp;UPPER(SUBSTITUTE(SUBSTITUTE(SUBSTITUTE(SUBSTITUTE(TRIM(C415),".",""),"/",""),"-","")," ","")),14),UPPER(SUBSTITUTE(SUBSTITUTE(SUBSTITUTE(SUBSTITUTE(TRIM(C415),".",""),"/",""),"-","")," ",""))))</f>
        <v/>
      </c>
      <c r="E415" s="25" t="str">
        <f aca="false">IF(D415="","",IFERROR(INDEX(Empresas!$C:$C,MATCH(D415,Empresas!$B:$B,0)),"cadastre o CNPJ em Empresas"))</f>
        <v/>
      </c>
      <c r="F415" s="23"/>
      <c r="G415" s="35"/>
      <c r="H415" s="24"/>
      <c r="I415" s="11"/>
      <c r="J415" s="27" t="str">
        <f aca="false">IF(A415="","",YEAR(A415))</f>
        <v/>
      </c>
      <c r="K415" s="24"/>
      <c r="L415" s="11"/>
    </row>
    <row r="416" customFormat="false" ht="15" hidden="false" customHeight="false" outlineLevel="0" collapsed="false">
      <c r="A416" s="22"/>
      <c r="B416" s="11"/>
      <c r="C416" s="24"/>
      <c r="D416" s="31" t="str">
        <f aca="false">IF(C416="","",IF(LEN(UPPER(SUBSTITUTE(SUBSTITUTE(SUBSTITUTE(SUBSTITUTE(TRIM(C416),".",""),"/",""),"-","")," ","")))&lt;14,RIGHT(REPT("0",14)&amp;UPPER(SUBSTITUTE(SUBSTITUTE(SUBSTITUTE(SUBSTITUTE(TRIM(C416),".",""),"/",""),"-","")," ","")),14),UPPER(SUBSTITUTE(SUBSTITUTE(SUBSTITUTE(SUBSTITUTE(TRIM(C416),".",""),"/",""),"-","")," ",""))))</f>
        <v/>
      </c>
      <c r="E416" s="25" t="str">
        <f aca="false">IF(D416="","",IFERROR(INDEX(Empresas!$C:$C,MATCH(D416,Empresas!$B:$B,0)),"cadastre o CNPJ em Empresas"))</f>
        <v/>
      </c>
      <c r="F416" s="23"/>
      <c r="G416" s="35"/>
      <c r="H416" s="24"/>
      <c r="I416" s="11"/>
      <c r="J416" s="27" t="str">
        <f aca="false">IF(A416="","",YEAR(A416))</f>
        <v/>
      </c>
      <c r="K416" s="24"/>
      <c r="L416" s="11"/>
    </row>
    <row r="417" customFormat="false" ht="15" hidden="false" customHeight="false" outlineLevel="0" collapsed="false">
      <c r="A417" s="22"/>
      <c r="B417" s="11"/>
      <c r="C417" s="24"/>
      <c r="D417" s="31" t="str">
        <f aca="false">IF(C417="","",IF(LEN(UPPER(SUBSTITUTE(SUBSTITUTE(SUBSTITUTE(SUBSTITUTE(TRIM(C417),".",""),"/",""),"-","")," ","")))&lt;14,RIGHT(REPT("0",14)&amp;UPPER(SUBSTITUTE(SUBSTITUTE(SUBSTITUTE(SUBSTITUTE(TRIM(C417),".",""),"/",""),"-","")," ","")),14),UPPER(SUBSTITUTE(SUBSTITUTE(SUBSTITUTE(SUBSTITUTE(TRIM(C417),".",""),"/",""),"-","")," ",""))))</f>
        <v/>
      </c>
      <c r="E417" s="25" t="str">
        <f aca="false">IF(D417="","",IFERROR(INDEX(Empresas!$C:$C,MATCH(D417,Empresas!$B:$B,0)),"cadastre o CNPJ em Empresas"))</f>
        <v/>
      </c>
      <c r="F417" s="23"/>
      <c r="G417" s="35"/>
      <c r="H417" s="24"/>
      <c r="I417" s="11"/>
      <c r="J417" s="27" t="str">
        <f aca="false">IF(A417="","",YEAR(A417))</f>
        <v/>
      </c>
      <c r="K417" s="24"/>
      <c r="L417" s="11"/>
    </row>
    <row r="418" customFormat="false" ht="15" hidden="false" customHeight="false" outlineLevel="0" collapsed="false">
      <c r="A418" s="22"/>
      <c r="B418" s="11"/>
      <c r="C418" s="24"/>
      <c r="D418" s="31" t="str">
        <f aca="false">IF(C418="","",IF(LEN(UPPER(SUBSTITUTE(SUBSTITUTE(SUBSTITUTE(SUBSTITUTE(TRIM(C418),".",""),"/",""),"-","")," ","")))&lt;14,RIGHT(REPT("0",14)&amp;UPPER(SUBSTITUTE(SUBSTITUTE(SUBSTITUTE(SUBSTITUTE(TRIM(C418),".",""),"/",""),"-","")," ","")),14),UPPER(SUBSTITUTE(SUBSTITUTE(SUBSTITUTE(SUBSTITUTE(TRIM(C418),".",""),"/",""),"-","")," ",""))))</f>
        <v/>
      </c>
      <c r="E418" s="25" t="str">
        <f aca="false">IF(D418="","",IFERROR(INDEX(Empresas!$C:$C,MATCH(D418,Empresas!$B:$B,0)),"cadastre o CNPJ em Empresas"))</f>
        <v/>
      </c>
      <c r="F418" s="23"/>
      <c r="G418" s="35"/>
      <c r="H418" s="24"/>
      <c r="I418" s="11"/>
      <c r="J418" s="27" t="str">
        <f aca="false">IF(A418="","",YEAR(A418))</f>
        <v/>
      </c>
      <c r="K418" s="24"/>
      <c r="L418" s="11"/>
    </row>
    <row r="419" customFormat="false" ht="15" hidden="false" customHeight="false" outlineLevel="0" collapsed="false">
      <c r="A419" s="22"/>
      <c r="B419" s="11"/>
      <c r="C419" s="24"/>
      <c r="D419" s="31" t="str">
        <f aca="false">IF(C419="","",IF(LEN(UPPER(SUBSTITUTE(SUBSTITUTE(SUBSTITUTE(SUBSTITUTE(TRIM(C419),".",""),"/",""),"-","")," ","")))&lt;14,RIGHT(REPT("0",14)&amp;UPPER(SUBSTITUTE(SUBSTITUTE(SUBSTITUTE(SUBSTITUTE(TRIM(C419),".",""),"/",""),"-","")," ","")),14),UPPER(SUBSTITUTE(SUBSTITUTE(SUBSTITUTE(SUBSTITUTE(TRIM(C419),".",""),"/",""),"-","")," ",""))))</f>
        <v/>
      </c>
      <c r="E419" s="25" t="str">
        <f aca="false">IF(D419="","",IFERROR(INDEX(Empresas!$C:$C,MATCH(D419,Empresas!$B:$B,0)),"cadastre o CNPJ em Empresas"))</f>
        <v/>
      </c>
      <c r="F419" s="23"/>
      <c r="G419" s="35"/>
      <c r="H419" s="24"/>
      <c r="I419" s="11"/>
      <c r="J419" s="27" t="str">
        <f aca="false">IF(A419="","",YEAR(A419))</f>
        <v/>
      </c>
      <c r="K419" s="24"/>
      <c r="L419" s="11"/>
    </row>
    <row r="420" customFormat="false" ht="15" hidden="false" customHeight="false" outlineLevel="0" collapsed="false">
      <c r="A420" s="22"/>
      <c r="B420" s="11"/>
      <c r="C420" s="24"/>
      <c r="D420" s="31" t="str">
        <f aca="false">IF(C420="","",IF(LEN(UPPER(SUBSTITUTE(SUBSTITUTE(SUBSTITUTE(SUBSTITUTE(TRIM(C420),".",""),"/",""),"-","")," ","")))&lt;14,RIGHT(REPT("0",14)&amp;UPPER(SUBSTITUTE(SUBSTITUTE(SUBSTITUTE(SUBSTITUTE(TRIM(C420),".",""),"/",""),"-","")," ","")),14),UPPER(SUBSTITUTE(SUBSTITUTE(SUBSTITUTE(SUBSTITUTE(TRIM(C420),".",""),"/",""),"-","")," ",""))))</f>
        <v/>
      </c>
      <c r="E420" s="25" t="str">
        <f aca="false">IF(D420="","",IFERROR(INDEX(Empresas!$C:$C,MATCH(D420,Empresas!$B:$B,0)),"cadastre o CNPJ em Empresas"))</f>
        <v/>
      </c>
      <c r="F420" s="23"/>
      <c r="G420" s="35"/>
      <c r="H420" s="24"/>
      <c r="I420" s="11"/>
      <c r="J420" s="27" t="str">
        <f aca="false">IF(A420="","",YEAR(A420))</f>
        <v/>
      </c>
      <c r="K420" s="24"/>
      <c r="L420" s="11"/>
    </row>
    <row r="421" customFormat="false" ht="15" hidden="false" customHeight="false" outlineLevel="0" collapsed="false">
      <c r="A421" s="22"/>
      <c r="B421" s="11"/>
      <c r="C421" s="24"/>
      <c r="D421" s="31" t="str">
        <f aca="false">IF(C421="","",IF(LEN(UPPER(SUBSTITUTE(SUBSTITUTE(SUBSTITUTE(SUBSTITUTE(TRIM(C421),".",""),"/",""),"-","")," ","")))&lt;14,RIGHT(REPT("0",14)&amp;UPPER(SUBSTITUTE(SUBSTITUTE(SUBSTITUTE(SUBSTITUTE(TRIM(C421),".",""),"/",""),"-","")," ","")),14),UPPER(SUBSTITUTE(SUBSTITUTE(SUBSTITUTE(SUBSTITUTE(TRIM(C421),".",""),"/",""),"-","")," ",""))))</f>
        <v/>
      </c>
      <c r="E421" s="25" t="str">
        <f aca="false">IF(D421="","",IFERROR(INDEX(Empresas!$C:$C,MATCH(D421,Empresas!$B:$B,0)),"cadastre o CNPJ em Empresas"))</f>
        <v/>
      </c>
      <c r="F421" s="23"/>
      <c r="G421" s="35"/>
      <c r="H421" s="24"/>
      <c r="I421" s="11"/>
      <c r="J421" s="27" t="str">
        <f aca="false">IF(A421="","",YEAR(A421))</f>
        <v/>
      </c>
      <c r="K421" s="24"/>
      <c r="L421" s="11"/>
    </row>
    <row r="422" customFormat="false" ht="15" hidden="false" customHeight="false" outlineLevel="0" collapsed="false">
      <c r="A422" s="22"/>
      <c r="B422" s="11"/>
      <c r="C422" s="24"/>
      <c r="D422" s="31" t="str">
        <f aca="false">IF(C422="","",IF(LEN(UPPER(SUBSTITUTE(SUBSTITUTE(SUBSTITUTE(SUBSTITUTE(TRIM(C422),".",""),"/",""),"-","")," ","")))&lt;14,RIGHT(REPT("0",14)&amp;UPPER(SUBSTITUTE(SUBSTITUTE(SUBSTITUTE(SUBSTITUTE(TRIM(C422),".",""),"/",""),"-","")," ","")),14),UPPER(SUBSTITUTE(SUBSTITUTE(SUBSTITUTE(SUBSTITUTE(TRIM(C422),".",""),"/",""),"-","")," ",""))))</f>
        <v/>
      </c>
      <c r="E422" s="25" t="str">
        <f aca="false">IF(D422="","",IFERROR(INDEX(Empresas!$C:$C,MATCH(D422,Empresas!$B:$B,0)),"cadastre o CNPJ em Empresas"))</f>
        <v/>
      </c>
      <c r="F422" s="23"/>
      <c r="G422" s="35"/>
      <c r="H422" s="24"/>
      <c r="I422" s="11"/>
      <c r="J422" s="27" t="str">
        <f aca="false">IF(A422="","",YEAR(A422))</f>
        <v/>
      </c>
      <c r="K422" s="24"/>
      <c r="L422" s="11"/>
    </row>
    <row r="423" customFormat="false" ht="15" hidden="false" customHeight="false" outlineLevel="0" collapsed="false">
      <c r="A423" s="22"/>
      <c r="B423" s="11"/>
      <c r="C423" s="24"/>
      <c r="D423" s="31" t="str">
        <f aca="false">IF(C423="","",IF(LEN(UPPER(SUBSTITUTE(SUBSTITUTE(SUBSTITUTE(SUBSTITUTE(TRIM(C423),".",""),"/",""),"-","")," ","")))&lt;14,RIGHT(REPT("0",14)&amp;UPPER(SUBSTITUTE(SUBSTITUTE(SUBSTITUTE(SUBSTITUTE(TRIM(C423),".",""),"/",""),"-","")," ","")),14),UPPER(SUBSTITUTE(SUBSTITUTE(SUBSTITUTE(SUBSTITUTE(TRIM(C423),".",""),"/",""),"-","")," ",""))))</f>
        <v/>
      </c>
      <c r="E423" s="25" t="str">
        <f aca="false">IF(D423="","",IFERROR(INDEX(Empresas!$C:$C,MATCH(D423,Empresas!$B:$B,0)),"cadastre o CNPJ em Empresas"))</f>
        <v/>
      </c>
      <c r="F423" s="23"/>
      <c r="G423" s="35"/>
      <c r="H423" s="24"/>
      <c r="I423" s="11"/>
      <c r="J423" s="27" t="str">
        <f aca="false">IF(A423="","",YEAR(A423))</f>
        <v/>
      </c>
      <c r="K423" s="24"/>
      <c r="L423" s="11"/>
    </row>
    <row r="424" customFormat="false" ht="15" hidden="false" customHeight="false" outlineLevel="0" collapsed="false">
      <c r="A424" s="22"/>
      <c r="B424" s="11"/>
      <c r="C424" s="24"/>
      <c r="D424" s="31" t="str">
        <f aca="false">IF(C424="","",IF(LEN(UPPER(SUBSTITUTE(SUBSTITUTE(SUBSTITUTE(SUBSTITUTE(TRIM(C424),".",""),"/",""),"-","")," ","")))&lt;14,RIGHT(REPT("0",14)&amp;UPPER(SUBSTITUTE(SUBSTITUTE(SUBSTITUTE(SUBSTITUTE(TRIM(C424),".",""),"/",""),"-","")," ","")),14),UPPER(SUBSTITUTE(SUBSTITUTE(SUBSTITUTE(SUBSTITUTE(TRIM(C424),".",""),"/",""),"-","")," ",""))))</f>
        <v/>
      </c>
      <c r="E424" s="25" t="str">
        <f aca="false">IF(D424="","",IFERROR(INDEX(Empresas!$C:$C,MATCH(D424,Empresas!$B:$B,0)),"cadastre o CNPJ em Empresas"))</f>
        <v/>
      </c>
      <c r="F424" s="23"/>
      <c r="G424" s="35"/>
      <c r="H424" s="24"/>
      <c r="I424" s="11"/>
      <c r="J424" s="27" t="str">
        <f aca="false">IF(A424="","",YEAR(A424))</f>
        <v/>
      </c>
      <c r="K424" s="24"/>
      <c r="L424" s="11"/>
    </row>
    <row r="425" customFormat="false" ht="15" hidden="false" customHeight="false" outlineLevel="0" collapsed="false">
      <c r="A425" s="22"/>
      <c r="B425" s="11"/>
      <c r="C425" s="24"/>
      <c r="D425" s="31" t="str">
        <f aca="false">IF(C425="","",IF(LEN(UPPER(SUBSTITUTE(SUBSTITUTE(SUBSTITUTE(SUBSTITUTE(TRIM(C425),".",""),"/",""),"-","")," ","")))&lt;14,RIGHT(REPT("0",14)&amp;UPPER(SUBSTITUTE(SUBSTITUTE(SUBSTITUTE(SUBSTITUTE(TRIM(C425),".",""),"/",""),"-","")," ","")),14),UPPER(SUBSTITUTE(SUBSTITUTE(SUBSTITUTE(SUBSTITUTE(TRIM(C425),".",""),"/",""),"-","")," ",""))))</f>
        <v/>
      </c>
      <c r="E425" s="25" t="str">
        <f aca="false">IF(D425="","",IFERROR(INDEX(Empresas!$C:$C,MATCH(D425,Empresas!$B:$B,0)),"cadastre o CNPJ em Empresas"))</f>
        <v/>
      </c>
      <c r="F425" s="23"/>
      <c r="G425" s="35"/>
      <c r="H425" s="24"/>
      <c r="I425" s="11"/>
      <c r="J425" s="27" t="str">
        <f aca="false">IF(A425="","",YEAR(A425))</f>
        <v/>
      </c>
      <c r="K425" s="24"/>
      <c r="L425" s="11"/>
    </row>
    <row r="426" customFormat="false" ht="15" hidden="false" customHeight="false" outlineLevel="0" collapsed="false">
      <c r="A426" s="22"/>
      <c r="B426" s="11"/>
      <c r="C426" s="24"/>
      <c r="D426" s="31" t="str">
        <f aca="false">IF(C426="","",IF(LEN(UPPER(SUBSTITUTE(SUBSTITUTE(SUBSTITUTE(SUBSTITUTE(TRIM(C426),".",""),"/",""),"-","")," ","")))&lt;14,RIGHT(REPT("0",14)&amp;UPPER(SUBSTITUTE(SUBSTITUTE(SUBSTITUTE(SUBSTITUTE(TRIM(C426),".",""),"/",""),"-","")," ","")),14),UPPER(SUBSTITUTE(SUBSTITUTE(SUBSTITUTE(SUBSTITUTE(TRIM(C426),".",""),"/",""),"-","")," ",""))))</f>
        <v/>
      </c>
      <c r="E426" s="25" t="str">
        <f aca="false">IF(D426="","",IFERROR(INDEX(Empresas!$C:$C,MATCH(D426,Empresas!$B:$B,0)),"cadastre o CNPJ em Empresas"))</f>
        <v/>
      </c>
      <c r="F426" s="23"/>
      <c r="G426" s="35"/>
      <c r="H426" s="24"/>
      <c r="I426" s="11"/>
      <c r="J426" s="27" t="str">
        <f aca="false">IF(A426="","",YEAR(A426))</f>
        <v/>
      </c>
      <c r="K426" s="24"/>
      <c r="L426" s="11"/>
    </row>
    <row r="427" customFormat="false" ht="15" hidden="false" customHeight="false" outlineLevel="0" collapsed="false">
      <c r="A427" s="22"/>
      <c r="B427" s="11"/>
      <c r="C427" s="24"/>
      <c r="D427" s="31" t="str">
        <f aca="false">IF(C427="","",IF(LEN(UPPER(SUBSTITUTE(SUBSTITUTE(SUBSTITUTE(SUBSTITUTE(TRIM(C427),".",""),"/",""),"-","")," ","")))&lt;14,RIGHT(REPT("0",14)&amp;UPPER(SUBSTITUTE(SUBSTITUTE(SUBSTITUTE(SUBSTITUTE(TRIM(C427),".",""),"/",""),"-","")," ","")),14),UPPER(SUBSTITUTE(SUBSTITUTE(SUBSTITUTE(SUBSTITUTE(TRIM(C427),".",""),"/",""),"-","")," ",""))))</f>
        <v/>
      </c>
      <c r="E427" s="25" t="str">
        <f aca="false">IF(D427="","",IFERROR(INDEX(Empresas!$C:$C,MATCH(D427,Empresas!$B:$B,0)),"cadastre o CNPJ em Empresas"))</f>
        <v/>
      </c>
      <c r="F427" s="23"/>
      <c r="G427" s="35"/>
      <c r="H427" s="24"/>
      <c r="I427" s="11"/>
      <c r="J427" s="27" t="str">
        <f aca="false">IF(A427="","",YEAR(A427))</f>
        <v/>
      </c>
      <c r="K427" s="24"/>
      <c r="L427" s="11"/>
    </row>
    <row r="428" customFormat="false" ht="15" hidden="false" customHeight="false" outlineLevel="0" collapsed="false">
      <c r="A428" s="22"/>
      <c r="B428" s="11"/>
      <c r="C428" s="24"/>
      <c r="D428" s="31" t="str">
        <f aca="false">IF(C428="","",IF(LEN(UPPER(SUBSTITUTE(SUBSTITUTE(SUBSTITUTE(SUBSTITUTE(TRIM(C428),".",""),"/",""),"-","")," ","")))&lt;14,RIGHT(REPT("0",14)&amp;UPPER(SUBSTITUTE(SUBSTITUTE(SUBSTITUTE(SUBSTITUTE(TRIM(C428),".",""),"/",""),"-","")," ","")),14),UPPER(SUBSTITUTE(SUBSTITUTE(SUBSTITUTE(SUBSTITUTE(TRIM(C428),".",""),"/",""),"-","")," ",""))))</f>
        <v/>
      </c>
      <c r="E428" s="25" t="str">
        <f aca="false">IF(D428="","",IFERROR(INDEX(Empresas!$C:$C,MATCH(D428,Empresas!$B:$B,0)),"cadastre o CNPJ em Empresas"))</f>
        <v/>
      </c>
      <c r="F428" s="23"/>
      <c r="G428" s="35"/>
      <c r="H428" s="24"/>
      <c r="I428" s="11"/>
      <c r="J428" s="27" t="str">
        <f aca="false">IF(A428="","",YEAR(A428))</f>
        <v/>
      </c>
      <c r="K428" s="24"/>
      <c r="L428" s="11"/>
    </row>
    <row r="429" customFormat="false" ht="15" hidden="false" customHeight="false" outlineLevel="0" collapsed="false">
      <c r="A429" s="22"/>
      <c r="B429" s="11"/>
      <c r="C429" s="24"/>
      <c r="D429" s="31" t="str">
        <f aca="false">IF(C429="","",IF(LEN(UPPER(SUBSTITUTE(SUBSTITUTE(SUBSTITUTE(SUBSTITUTE(TRIM(C429),".",""),"/",""),"-","")," ","")))&lt;14,RIGHT(REPT("0",14)&amp;UPPER(SUBSTITUTE(SUBSTITUTE(SUBSTITUTE(SUBSTITUTE(TRIM(C429),".",""),"/",""),"-","")," ","")),14),UPPER(SUBSTITUTE(SUBSTITUTE(SUBSTITUTE(SUBSTITUTE(TRIM(C429),".",""),"/",""),"-","")," ",""))))</f>
        <v/>
      </c>
      <c r="E429" s="25" t="str">
        <f aca="false">IF(D429="","",IFERROR(INDEX(Empresas!$C:$C,MATCH(D429,Empresas!$B:$B,0)),"cadastre o CNPJ em Empresas"))</f>
        <v/>
      </c>
      <c r="F429" s="23"/>
      <c r="G429" s="35"/>
      <c r="H429" s="24"/>
      <c r="I429" s="11"/>
      <c r="J429" s="27" t="str">
        <f aca="false">IF(A429="","",YEAR(A429))</f>
        <v/>
      </c>
      <c r="K429" s="24"/>
      <c r="L429" s="11"/>
    </row>
    <row r="430" customFormat="false" ht="15" hidden="false" customHeight="false" outlineLevel="0" collapsed="false">
      <c r="A430" s="22"/>
      <c r="B430" s="11"/>
      <c r="C430" s="24"/>
      <c r="D430" s="31" t="str">
        <f aca="false">IF(C430="","",IF(LEN(UPPER(SUBSTITUTE(SUBSTITUTE(SUBSTITUTE(SUBSTITUTE(TRIM(C430),".",""),"/",""),"-","")," ","")))&lt;14,RIGHT(REPT("0",14)&amp;UPPER(SUBSTITUTE(SUBSTITUTE(SUBSTITUTE(SUBSTITUTE(TRIM(C430),".",""),"/",""),"-","")," ","")),14),UPPER(SUBSTITUTE(SUBSTITUTE(SUBSTITUTE(SUBSTITUTE(TRIM(C430),".",""),"/",""),"-","")," ",""))))</f>
        <v/>
      </c>
      <c r="E430" s="25" t="str">
        <f aca="false">IF(D430="","",IFERROR(INDEX(Empresas!$C:$C,MATCH(D430,Empresas!$B:$B,0)),"cadastre o CNPJ em Empresas"))</f>
        <v/>
      </c>
      <c r="F430" s="23"/>
      <c r="G430" s="35"/>
      <c r="H430" s="24"/>
      <c r="I430" s="11"/>
      <c r="J430" s="27" t="str">
        <f aca="false">IF(A430="","",YEAR(A430))</f>
        <v/>
      </c>
      <c r="K430" s="24"/>
      <c r="L430" s="11"/>
    </row>
    <row r="431" customFormat="false" ht="15" hidden="false" customHeight="false" outlineLevel="0" collapsed="false">
      <c r="A431" s="22"/>
      <c r="B431" s="11"/>
      <c r="C431" s="24"/>
      <c r="D431" s="31" t="str">
        <f aca="false">IF(C431="","",IF(LEN(UPPER(SUBSTITUTE(SUBSTITUTE(SUBSTITUTE(SUBSTITUTE(TRIM(C431),".",""),"/",""),"-","")," ","")))&lt;14,RIGHT(REPT("0",14)&amp;UPPER(SUBSTITUTE(SUBSTITUTE(SUBSTITUTE(SUBSTITUTE(TRIM(C431),".",""),"/",""),"-","")," ","")),14),UPPER(SUBSTITUTE(SUBSTITUTE(SUBSTITUTE(SUBSTITUTE(TRIM(C431),".",""),"/",""),"-","")," ",""))))</f>
        <v/>
      </c>
      <c r="E431" s="25" t="str">
        <f aca="false">IF(D431="","",IFERROR(INDEX(Empresas!$C:$C,MATCH(D431,Empresas!$B:$B,0)),"cadastre o CNPJ em Empresas"))</f>
        <v/>
      </c>
      <c r="F431" s="23"/>
      <c r="G431" s="35"/>
      <c r="H431" s="24"/>
      <c r="I431" s="11"/>
      <c r="J431" s="27" t="str">
        <f aca="false">IF(A431="","",YEAR(A431))</f>
        <v/>
      </c>
      <c r="K431" s="24"/>
      <c r="L431" s="11"/>
    </row>
    <row r="432" customFormat="false" ht="15" hidden="false" customHeight="false" outlineLevel="0" collapsed="false">
      <c r="A432" s="22"/>
      <c r="B432" s="11"/>
      <c r="C432" s="24"/>
      <c r="D432" s="31" t="str">
        <f aca="false">IF(C432="","",IF(LEN(UPPER(SUBSTITUTE(SUBSTITUTE(SUBSTITUTE(SUBSTITUTE(TRIM(C432),".",""),"/",""),"-","")," ","")))&lt;14,RIGHT(REPT("0",14)&amp;UPPER(SUBSTITUTE(SUBSTITUTE(SUBSTITUTE(SUBSTITUTE(TRIM(C432),".",""),"/",""),"-","")," ","")),14),UPPER(SUBSTITUTE(SUBSTITUTE(SUBSTITUTE(SUBSTITUTE(TRIM(C432),".",""),"/",""),"-","")," ",""))))</f>
        <v/>
      </c>
      <c r="E432" s="25" t="str">
        <f aca="false">IF(D432="","",IFERROR(INDEX(Empresas!$C:$C,MATCH(D432,Empresas!$B:$B,0)),"cadastre o CNPJ em Empresas"))</f>
        <v/>
      </c>
      <c r="F432" s="23"/>
      <c r="G432" s="35"/>
      <c r="H432" s="24"/>
      <c r="I432" s="11"/>
      <c r="J432" s="27" t="str">
        <f aca="false">IF(A432="","",YEAR(A432))</f>
        <v/>
      </c>
      <c r="K432" s="24"/>
      <c r="L432" s="11"/>
    </row>
    <row r="433" customFormat="false" ht="15" hidden="false" customHeight="false" outlineLevel="0" collapsed="false">
      <c r="A433" s="22"/>
      <c r="B433" s="11"/>
      <c r="C433" s="24"/>
      <c r="D433" s="31" t="str">
        <f aca="false">IF(C433="","",IF(LEN(UPPER(SUBSTITUTE(SUBSTITUTE(SUBSTITUTE(SUBSTITUTE(TRIM(C433),".",""),"/",""),"-","")," ","")))&lt;14,RIGHT(REPT("0",14)&amp;UPPER(SUBSTITUTE(SUBSTITUTE(SUBSTITUTE(SUBSTITUTE(TRIM(C433),".",""),"/",""),"-","")," ","")),14),UPPER(SUBSTITUTE(SUBSTITUTE(SUBSTITUTE(SUBSTITUTE(TRIM(C433),".",""),"/",""),"-","")," ",""))))</f>
        <v/>
      </c>
      <c r="E433" s="25" t="str">
        <f aca="false">IF(D433="","",IFERROR(INDEX(Empresas!$C:$C,MATCH(D433,Empresas!$B:$B,0)),"cadastre o CNPJ em Empresas"))</f>
        <v/>
      </c>
      <c r="F433" s="23"/>
      <c r="G433" s="35"/>
      <c r="H433" s="24"/>
      <c r="I433" s="11"/>
      <c r="J433" s="27" t="str">
        <f aca="false">IF(A433="","",YEAR(A433))</f>
        <v/>
      </c>
      <c r="K433" s="24"/>
      <c r="L433" s="11"/>
    </row>
    <row r="434" customFormat="false" ht="15" hidden="false" customHeight="false" outlineLevel="0" collapsed="false">
      <c r="A434" s="22"/>
      <c r="B434" s="11"/>
      <c r="C434" s="24"/>
      <c r="D434" s="31" t="str">
        <f aca="false">IF(C434="","",IF(LEN(UPPER(SUBSTITUTE(SUBSTITUTE(SUBSTITUTE(SUBSTITUTE(TRIM(C434),".",""),"/",""),"-","")," ","")))&lt;14,RIGHT(REPT("0",14)&amp;UPPER(SUBSTITUTE(SUBSTITUTE(SUBSTITUTE(SUBSTITUTE(TRIM(C434),".",""),"/",""),"-","")," ","")),14),UPPER(SUBSTITUTE(SUBSTITUTE(SUBSTITUTE(SUBSTITUTE(TRIM(C434),".",""),"/",""),"-","")," ",""))))</f>
        <v/>
      </c>
      <c r="E434" s="25" t="str">
        <f aca="false">IF(D434="","",IFERROR(INDEX(Empresas!$C:$C,MATCH(D434,Empresas!$B:$B,0)),"cadastre o CNPJ em Empresas"))</f>
        <v/>
      </c>
      <c r="F434" s="23"/>
      <c r="G434" s="35"/>
      <c r="H434" s="24"/>
      <c r="I434" s="11"/>
      <c r="J434" s="27" t="str">
        <f aca="false">IF(A434="","",YEAR(A434))</f>
        <v/>
      </c>
      <c r="K434" s="24"/>
      <c r="L434" s="11"/>
    </row>
    <row r="435" customFormat="false" ht="15" hidden="false" customHeight="false" outlineLevel="0" collapsed="false">
      <c r="A435" s="22"/>
      <c r="B435" s="11"/>
      <c r="C435" s="24"/>
      <c r="D435" s="31" t="str">
        <f aca="false">IF(C435="","",IF(LEN(UPPER(SUBSTITUTE(SUBSTITUTE(SUBSTITUTE(SUBSTITUTE(TRIM(C435),".",""),"/",""),"-","")," ","")))&lt;14,RIGHT(REPT("0",14)&amp;UPPER(SUBSTITUTE(SUBSTITUTE(SUBSTITUTE(SUBSTITUTE(TRIM(C435),".",""),"/",""),"-","")," ","")),14),UPPER(SUBSTITUTE(SUBSTITUTE(SUBSTITUTE(SUBSTITUTE(TRIM(C435),".",""),"/",""),"-","")," ",""))))</f>
        <v/>
      </c>
      <c r="E435" s="25" t="str">
        <f aca="false">IF(D435="","",IFERROR(INDEX(Empresas!$C:$C,MATCH(D435,Empresas!$B:$B,0)),"cadastre o CNPJ em Empresas"))</f>
        <v/>
      </c>
      <c r="F435" s="23"/>
      <c r="G435" s="35"/>
      <c r="H435" s="24"/>
      <c r="I435" s="11"/>
      <c r="J435" s="27" t="str">
        <f aca="false">IF(A435="","",YEAR(A435))</f>
        <v/>
      </c>
      <c r="K435" s="24"/>
      <c r="L435" s="11"/>
    </row>
    <row r="436" customFormat="false" ht="15" hidden="false" customHeight="false" outlineLevel="0" collapsed="false">
      <c r="A436" s="22"/>
      <c r="B436" s="11"/>
      <c r="C436" s="24"/>
      <c r="D436" s="31" t="str">
        <f aca="false">IF(C436="","",IF(LEN(UPPER(SUBSTITUTE(SUBSTITUTE(SUBSTITUTE(SUBSTITUTE(TRIM(C436),".",""),"/",""),"-","")," ","")))&lt;14,RIGHT(REPT("0",14)&amp;UPPER(SUBSTITUTE(SUBSTITUTE(SUBSTITUTE(SUBSTITUTE(TRIM(C436),".",""),"/",""),"-","")," ","")),14),UPPER(SUBSTITUTE(SUBSTITUTE(SUBSTITUTE(SUBSTITUTE(TRIM(C436),".",""),"/",""),"-","")," ",""))))</f>
        <v/>
      </c>
      <c r="E436" s="25" t="str">
        <f aca="false">IF(D436="","",IFERROR(INDEX(Empresas!$C:$C,MATCH(D436,Empresas!$B:$B,0)),"cadastre o CNPJ em Empresas"))</f>
        <v/>
      </c>
      <c r="F436" s="23"/>
      <c r="G436" s="35"/>
      <c r="H436" s="24"/>
      <c r="I436" s="11"/>
      <c r="J436" s="27" t="str">
        <f aca="false">IF(A436="","",YEAR(A436))</f>
        <v/>
      </c>
      <c r="K436" s="24"/>
      <c r="L436" s="11"/>
    </row>
    <row r="437" customFormat="false" ht="15" hidden="false" customHeight="false" outlineLevel="0" collapsed="false">
      <c r="A437" s="22"/>
      <c r="B437" s="11"/>
      <c r="C437" s="24"/>
      <c r="D437" s="31" t="str">
        <f aca="false">IF(C437="","",IF(LEN(UPPER(SUBSTITUTE(SUBSTITUTE(SUBSTITUTE(SUBSTITUTE(TRIM(C437),".",""),"/",""),"-","")," ","")))&lt;14,RIGHT(REPT("0",14)&amp;UPPER(SUBSTITUTE(SUBSTITUTE(SUBSTITUTE(SUBSTITUTE(TRIM(C437),".",""),"/",""),"-","")," ","")),14),UPPER(SUBSTITUTE(SUBSTITUTE(SUBSTITUTE(SUBSTITUTE(TRIM(C437),".",""),"/",""),"-","")," ",""))))</f>
        <v/>
      </c>
      <c r="E437" s="25" t="str">
        <f aca="false">IF(D437="","",IFERROR(INDEX(Empresas!$C:$C,MATCH(D437,Empresas!$B:$B,0)),"cadastre o CNPJ em Empresas"))</f>
        <v/>
      </c>
      <c r="F437" s="23"/>
      <c r="G437" s="35"/>
      <c r="H437" s="24"/>
      <c r="I437" s="11"/>
      <c r="J437" s="27" t="str">
        <f aca="false">IF(A437="","",YEAR(A437))</f>
        <v/>
      </c>
      <c r="K437" s="24"/>
      <c r="L437" s="11"/>
    </row>
    <row r="438" customFormat="false" ht="15" hidden="false" customHeight="false" outlineLevel="0" collapsed="false">
      <c r="A438" s="22"/>
      <c r="B438" s="11"/>
      <c r="C438" s="24"/>
      <c r="D438" s="31" t="str">
        <f aca="false">IF(C438="","",IF(LEN(UPPER(SUBSTITUTE(SUBSTITUTE(SUBSTITUTE(SUBSTITUTE(TRIM(C438),".",""),"/",""),"-","")," ","")))&lt;14,RIGHT(REPT("0",14)&amp;UPPER(SUBSTITUTE(SUBSTITUTE(SUBSTITUTE(SUBSTITUTE(TRIM(C438),".",""),"/",""),"-","")," ","")),14),UPPER(SUBSTITUTE(SUBSTITUTE(SUBSTITUTE(SUBSTITUTE(TRIM(C438),".",""),"/",""),"-","")," ",""))))</f>
        <v/>
      </c>
      <c r="E438" s="25" t="str">
        <f aca="false">IF(D438="","",IFERROR(INDEX(Empresas!$C:$C,MATCH(D438,Empresas!$B:$B,0)),"cadastre o CNPJ em Empresas"))</f>
        <v/>
      </c>
      <c r="F438" s="23"/>
      <c r="G438" s="35"/>
      <c r="H438" s="24"/>
      <c r="I438" s="11"/>
      <c r="J438" s="27" t="str">
        <f aca="false">IF(A438="","",YEAR(A438))</f>
        <v/>
      </c>
      <c r="K438" s="24"/>
      <c r="L438" s="11"/>
    </row>
    <row r="439" customFormat="false" ht="15" hidden="false" customHeight="false" outlineLevel="0" collapsed="false">
      <c r="A439" s="22"/>
      <c r="B439" s="11"/>
      <c r="C439" s="24"/>
      <c r="D439" s="31" t="str">
        <f aca="false">IF(C439="","",IF(LEN(UPPER(SUBSTITUTE(SUBSTITUTE(SUBSTITUTE(SUBSTITUTE(TRIM(C439),".",""),"/",""),"-","")," ","")))&lt;14,RIGHT(REPT("0",14)&amp;UPPER(SUBSTITUTE(SUBSTITUTE(SUBSTITUTE(SUBSTITUTE(TRIM(C439),".",""),"/",""),"-","")," ","")),14),UPPER(SUBSTITUTE(SUBSTITUTE(SUBSTITUTE(SUBSTITUTE(TRIM(C439),".",""),"/",""),"-","")," ",""))))</f>
        <v/>
      </c>
      <c r="E439" s="25" t="str">
        <f aca="false">IF(D439="","",IFERROR(INDEX(Empresas!$C:$C,MATCH(D439,Empresas!$B:$B,0)),"cadastre o CNPJ em Empresas"))</f>
        <v/>
      </c>
      <c r="F439" s="23"/>
      <c r="G439" s="35"/>
      <c r="H439" s="24"/>
      <c r="I439" s="11"/>
      <c r="J439" s="27" t="str">
        <f aca="false">IF(A439="","",YEAR(A439))</f>
        <v/>
      </c>
      <c r="K439" s="24"/>
      <c r="L439" s="11"/>
    </row>
    <row r="440" customFormat="false" ht="15" hidden="false" customHeight="false" outlineLevel="0" collapsed="false">
      <c r="A440" s="22"/>
      <c r="B440" s="11"/>
      <c r="C440" s="24"/>
      <c r="D440" s="31" t="str">
        <f aca="false">IF(C440="","",IF(LEN(UPPER(SUBSTITUTE(SUBSTITUTE(SUBSTITUTE(SUBSTITUTE(TRIM(C440),".",""),"/",""),"-","")," ","")))&lt;14,RIGHT(REPT("0",14)&amp;UPPER(SUBSTITUTE(SUBSTITUTE(SUBSTITUTE(SUBSTITUTE(TRIM(C440),".",""),"/",""),"-","")," ","")),14),UPPER(SUBSTITUTE(SUBSTITUTE(SUBSTITUTE(SUBSTITUTE(TRIM(C440),".",""),"/",""),"-","")," ",""))))</f>
        <v/>
      </c>
      <c r="E440" s="25" t="str">
        <f aca="false">IF(D440="","",IFERROR(INDEX(Empresas!$C:$C,MATCH(D440,Empresas!$B:$B,0)),"cadastre o CNPJ em Empresas"))</f>
        <v/>
      </c>
      <c r="F440" s="23"/>
      <c r="G440" s="35"/>
      <c r="H440" s="24"/>
      <c r="I440" s="11"/>
      <c r="J440" s="27" t="str">
        <f aca="false">IF(A440="","",YEAR(A440))</f>
        <v/>
      </c>
      <c r="K440" s="24"/>
      <c r="L440" s="11"/>
    </row>
    <row r="441" customFormat="false" ht="15" hidden="false" customHeight="false" outlineLevel="0" collapsed="false">
      <c r="A441" s="22"/>
      <c r="B441" s="11"/>
      <c r="C441" s="24"/>
      <c r="D441" s="31" t="str">
        <f aca="false">IF(C441="","",IF(LEN(UPPER(SUBSTITUTE(SUBSTITUTE(SUBSTITUTE(SUBSTITUTE(TRIM(C441),".",""),"/",""),"-","")," ","")))&lt;14,RIGHT(REPT("0",14)&amp;UPPER(SUBSTITUTE(SUBSTITUTE(SUBSTITUTE(SUBSTITUTE(TRIM(C441),".",""),"/",""),"-","")," ","")),14),UPPER(SUBSTITUTE(SUBSTITUTE(SUBSTITUTE(SUBSTITUTE(TRIM(C441),".",""),"/",""),"-","")," ",""))))</f>
        <v/>
      </c>
      <c r="E441" s="25" t="str">
        <f aca="false">IF(D441="","",IFERROR(INDEX(Empresas!$C:$C,MATCH(D441,Empresas!$B:$B,0)),"cadastre o CNPJ em Empresas"))</f>
        <v/>
      </c>
      <c r="F441" s="23"/>
      <c r="G441" s="35"/>
      <c r="H441" s="24"/>
      <c r="I441" s="11"/>
      <c r="J441" s="27" t="str">
        <f aca="false">IF(A441="","",YEAR(A441))</f>
        <v/>
      </c>
      <c r="K441" s="24"/>
      <c r="L441" s="11"/>
    </row>
    <row r="442" customFormat="false" ht="15" hidden="false" customHeight="false" outlineLevel="0" collapsed="false">
      <c r="A442" s="22"/>
      <c r="B442" s="11"/>
      <c r="C442" s="24"/>
      <c r="D442" s="31" t="str">
        <f aca="false">IF(C442="","",IF(LEN(UPPER(SUBSTITUTE(SUBSTITUTE(SUBSTITUTE(SUBSTITUTE(TRIM(C442),".",""),"/",""),"-","")," ","")))&lt;14,RIGHT(REPT("0",14)&amp;UPPER(SUBSTITUTE(SUBSTITUTE(SUBSTITUTE(SUBSTITUTE(TRIM(C442),".",""),"/",""),"-","")," ","")),14),UPPER(SUBSTITUTE(SUBSTITUTE(SUBSTITUTE(SUBSTITUTE(TRIM(C442),".",""),"/",""),"-","")," ",""))))</f>
        <v/>
      </c>
      <c r="E442" s="25" t="str">
        <f aca="false">IF(D442="","",IFERROR(INDEX(Empresas!$C:$C,MATCH(D442,Empresas!$B:$B,0)),"cadastre o CNPJ em Empresas"))</f>
        <v/>
      </c>
      <c r="F442" s="23"/>
      <c r="G442" s="35"/>
      <c r="H442" s="24"/>
      <c r="I442" s="11"/>
      <c r="J442" s="27" t="str">
        <f aca="false">IF(A442="","",YEAR(A442))</f>
        <v/>
      </c>
      <c r="K442" s="24"/>
      <c r="L442" s="11"/>
    </row>
    <row r="443" customFormat="false" ht="15" hidden="false" customHeight="false" outlineLevel="0" collapsed="false">
      <c r="A443" s="22"/>
      <c r="B443" s="11"/>
      <c r="C443" s="24"/>
      <c r="D443" s="31" t="str">
        <f aca="false">IF(C443="","",IF(LEN(UPPER(SUBSTITUTE(SUBSTITUTE(SUBSTITUTE(SUBSTITUTE(TRIM(C443),".",""),"/",""),"-","")," ","")))&lt;14,RIGHT(REPT("0",14)&amp;UPPER(SUBSTITUTE(SUBSTITUTE(SUBSTITUTE(SUBSTITUTE(TRIM(C443),".",""),"/",""),"-","")," ","")),14),UPPER(SUBSTITUTE(SUBSTITUTE(SUBSTITUTE(SUBSTITUTE(TRIM(C443),".",""),"/",""),"-","")," ",""))))</f>
        <v/>
      </c>
      <c r="E443" s="25" t="str">
        <f aca="false">IF(D443="","",IFERROR(INDEX(Empresas!$C:$C,MATCH(D443,Empresas!$B:$B,0)),"cadastre o CNPJ em Empresas"))</f>
        <v/>
      </c>
      <c r="F443" s="23"/>
      <c r="G443" s="35"/>
      <c r="H443" s="24"/>
      <c r="I443" s="11"/>
      <c r="J443" s="27" t="str">
        <f aca="false">IF(A443="","",YEAR(A443))</f>
        <v/>
      </c>
      <c r="K443" s="24"/>
      <c r="L443" s="11"/>
    </row>
    <row r="444" customFormat="false" ht="15" hidden="false" customHeight="false" outlineLevel="0" collapsed="false">
      <c r="A444" s="22"/>
      <c r="B444" s="11"/>
      <c r="C444" s="24"/>
      <c r="D444" s="31" t="str">
        <f aca="false">IF(C444="","",IF(LEN(UPPER(SUBSTITUTE(SUBSTITUTE(SUBSTITUTE(SUBSTITUTE(TRIM(C444),".",""),"/",""),"-","")," ","")))&lt;14,RIGHT(REPT("0",14)&amp;UPPER(SUBSTITUTE(SUBSTITUTE(SUBSTITUTE(SUBSTITUTE(TRIM(C444),".",""),"/",""),"-","")," ","")),14),UPPER(SUBSTITUTE(SUBSTITUTE(SUBSTITUTE(SUBSTITUTE(TRIM(C444),".",""),"/",""),"-","")," ",""))))</f>
        <v/>
      </c>
      <c r="E444" s="25" t="str">
        <f aca="false">IF(D444="","",IFERROR(INDEX(Empresas!$C:$C,MATCH(D444,Empresas!$B:$B,0)),"cadastre o CNPJ em Empresas"))</f>
        <v/>
      </c>
      <c r="F444" s="23"/>
      <c r="G444" s="35"/>
      <c r="H444" s="24"/>
      <c r="I444" s="11"/>
      <c r="J444" s="27" t="str">
        <f aca="false">IF(A444="","",YEAR(A444))</f>
        <v/>
      </c>
      <c r="K444" s="24"/>
      <c r="L444" s="11"/>
    </row>
    <row r="445" customFormat="false" ht="15" hidden="false" customHeight="false" outlineLevel="0" collapsed="false">
      <c r="A445" s="22"/>
      <c r="B445" s="11"/>
      <c r="C445" s="24"/>
      <c r="D445" s="31" t="str">
        <f aca="false">IF(C445="","",IF(LEN(UPPER(SUBSTITUTE(SUBSTITUTE(SUBSTITUTE(SUBSTITUTE(TRIM(C445),".",""),"/",""),"-","")," ","")))&lt;14,RIGHT(REPT("0",14)&amp;UPPER(SUBSTITUTE(SUBSTITUTE(SUBSTITUTE(SUBSTITUTE(TRIM(C445),".",""),"/",""),"-","")," ","")),14),UPPER(SUBSTITUTE(SUBSTITUTE(SUBSTITUTE(SUBSTITUTE(TRIM(C445),".",""),"/",""),"-","")," ",""))))</f>
        <v/>
      </c>
      <c r="E445" s="25" t="str">
        <f aca="false">IF(D445="","",IFERROR(INDEX(Empresas!$C:$C,MATCH(D445,Empresas!$B:$B,0)),"cadastre o CNPJ em Empresas"))</f>
        <v/>
      </c>
      <c r="F445" s="23"/>
      <c r="G445" s="35"/>
      <c r="H445" s="24"/>
      <c r="I445" s="11"/>
      <c r="J445" s="27" t="str">
        <f aca="false">IF(A445="","",YEAR(A445))</f>
        <v/>
      </c>
      <c r="K445" s="24"/>
      <c r="L445" s="11"/>
    </row>
    <row r="446" customFormat="false" ht="15" hidden="false" customHeight="false" outlineLevel="0" collapsed="false">
      <c r="A446" s="22"/>
      <c r="B446" s="11"/>
      <c r="C446" s="24"/>
      <c r="D446" s="31" t="str">
        <f aca="false">IF(C446="","",IF(LEN(UPPER(SUBSTITUTE(SUBSTITUTE(SUBSTITUTE(SUBSTITUTE(TRIM(C446),".",""),"/",""),"-","")," ","")))&lt;14,RIGHT(REPT("0",14)&amp;UPPER(SUBSTITUTE(SUBSTITUTE(SUBSTITUTE(SUBSTITUTE(TRIM(C446),".",""),"/",""),"-","")," ","")),14),UPPER(SUBSTITUTE(SUBSTITUTE(SUBSTITUTE(SUBSTITUTE(TRIM(C446),".",""),"/",""),"-","")," ",""))))</f>
        <v/>
      </c>
      <c r="E446" s="25" t="str">
        <f aca="false">IF(D446="","",IFERROR(INDEX(Empresas!$C:$C,MATCH(D446,Empresas!$B:$B,0)),"cadastre o CNPJ em Empresas"))</f>
        <v/>
      </c>
      <c r="F446" s="23"/>
      <c r="G446" s="35"/>
      <c r="H446" s="24"/>
      <c r="I446" s="11"/>
      <c r="J446" s="27" t="str">
        <f aca="false">IF(A446="","",YEAR(A446))</f>
        <v/>
      </c>
      <c r="K446" s="24"/>
      <c r="L446" s="11"/>
    </row>
    <row r="447" customFormat="false" ht="15" hidden="false" customHeight="false" outlineLevel="0" collapsed="false">
      <c r="A447" s="22"/>
      <c r="B447" s="11"/>
      <c r="C447" s="24"/>
      <c r="D447" s="31" t="str">
        <f aca="false">IF(C447="","",IF(LEN(UPPER(SUBSTITUTE(SUBSTITUTE(SUBSTITUTE(SUBSTITUTE(TRIM(C447),".",""),"/",""),"-","")," ","")))&lt;14,RIGHT(REPT("0",14)&amp;UPPER(SUBSTITUTE(SUBSTITUTE(SUBSTITUTE(SUBSTITUTE(TRIM(C447),".",""),"/",""),"-","")," ","")),14),UPPER(SUBSTITUTE(SUBSTITUTE(SUBSTITUTE(SUBSTITUTE(TRIM(C447),".",""),"/",""),"-","")," ",""))))</f>
        <v/>
      </c>
      <c r="E447" s="25" t="str">
        <f aca="false">IF(D447="","",IFERROR(INDEX(Empresas!$C:$C,MATCH(D447,Empresas!$B:$B,0)),"cadastre o CNPJ em Empresas"))</f>
        <v/>
      </c>
      <c r="F447" s="23"/>
      <c r="G447" s="35"/>
      <c r="H447" s="24"/>
      <c r="I447" s="11"/>
      <c r="J447" s="27" t="str">
        <f aca="false">IF(A447="","",YEAR(A447))</f>
        <v/>
      </c>
      <c r="K447" s="24"/>
      <c r="L447" s="11"/>
    </row>
    <row r="448" customFormat="false" ht="15" hidden="false" customHeight="false" outlineLevel="0" collapsed="false">
      <c r="A448" s="22"/>
      <c r="B448" s="11"/>
      <c r="C448" s="24"/>
      <c r="D448" s="31" t="str">
        <f aca="false">IF(C448="","",IF(LEN(UPPER(SUBSTITUTE(SUBSTITUTE(SUBSTITUTE(SUBSTITUTE(TRIM(C448),".",""),"/",""),"-","")," ","")))&lt;14,RIGHT(REPT("0",14)&amp;UPPER(SUBSTITUTE(SUBSTITUTE(SUBSTITUTE(SUBSTITUTE(TRIM(C448),".",""),"/",""),"-","")," ","")),14),UPPER(SUBSTITUTE(SUBSTITUTE(SUBSTITUTE(SUBSTITUTE(TRIM(C448),".",""),"/",""),"-","")," ",""))))</f>
        <v/>
      </c>
      <c r="E448" s="25" t="str">
        <f aca="false">IF(D448="","",IFERROR(INDEX(Empresas!$C:$C,MATCH(D448,Empresas!$B:$B,0)),"cadastre o CNPJ em Empresas"))</f>
        <v/>
      </c>
      <c r="F448" s="23"/>
      <c r="G448" s="35"/>
      <c r="H448" s="24"/>
      <c r="I448" s="11"/>
      <c r="J448" s="27" t="str">
        <f aca="false">IF(A448="","",YEAR(A448))</f>
        <v/>
      </c>
      <c r="K448" s="24"/>
      <c r="L448" s="11"/>
    </row>
    <row r="449" customFormat="false" ht="15" hidden="false" customHeight="false" outlineLevel="0" collapsed="false">
      <c r="A449" s="22"/>
      <c r="B449" s="11"/>
      <c r="C449" s="24"/>
      <c r="D449" s="31" t="str">
        <f aca="false">IF(C449="","",IF(LEN(UPPER(SUBSTITUTE(SUBSTITUTE(SUBSTITUTE(SUBSTITUTE(TRIM(C449),".",""),"/",""),"-","")," ","")))&lt;14,RIGHT(REPT("0",14)&amp;UPPER(SUBSTITUTE(SUBSTITUTE(SUBSTITUTE(SUBSTITUTE(TRIM(C449),".",""),"/",""),"-","")," ","")),14),UPPER(SUBSTITUTE(SUBSTITUTE(SUBSTITUTE(SUBSTITUTE(TRIM(C449),".",""),"/",""),"-","")," ",""))))</f>
        <v/>
      </c>
      <c r="E449" s="25" t="str">
        <f aca="false">IF(D449="","",IFERROR(INDEX(Empresas!$C:$C,MATCH(D449,Empresas!$B:$B,0)),"cadastre o CNPJ em Empresas"))</f>
        <v/>
      </c>
      <c r="F449" s="23"/>
      <c r="G449" s="35"/>
      <c r="H449" s="24"/>
      <c r="I449" s="11"/>
      <c r="J449" s="27" t="str">
        <f aca="false">IF(A449="","",YEAR(A449))</f>
        <v/>
      </c>
      <c r="K449" s="24"/>
      <c r="L449" s="11"/>
    </row>
    <row r="450" customFormat="false" ht="15" hidden="false" customHeight="false" outlineLevel="0" collapsed="false">
      <c r="A450" s="22"/>
      <c r="B450" s="11"/>
      <c r="C450" s="24"/>
      <c r="D450" s="31" t="str">
        <f aca="false">IF(C450="","",IF(LEN(UPPER(SUBSTITUTE(SUBSTITUTE(SUBSTITUTE(SUBSTITUTE(TRIM(C450),".",""),"/",""),"-","")," ","")))&lt;14,RIGHT(REPT("0",14)&amp;UPPER(SUBSTITUTE(SUBSTITUTE(SUBSTITUTE(SUBSTITUTE(TRIM(C450),".",""),"/",""),"-","")," ","")),14),UPPER(SUBSTITUTE(SUBSTITUTE(SUBSTITUTE(SUBSTITUTE(TRIM(C450),".",""),"/",""),"-","")," ",""))))</f>
        <v/>
      </c>
      <c r="E450" s="25" t="str">
        <f aca="false">IF(D450="","",IFERROR(INDEX(Empresas!$C:$C,MATCH(D450,Empresas!$B:$B,0)),"cadastre o CNPJ em Empresas"))</f>
        <v/>
      </c>
      <c r="F450" s="23"/>
      <c r="G450" s="35"/>
      <c r="H450" s="24"/>
      <c r="I450" s="11"/>
      <c r="J450" s="27" t="str">
        <f aca="false">IF(A450="","",YEAR(A450))</f>
        <v/>
      </c>
      <c r="K450" s="24"/>
      <c r="L450" s="11"/>
    </row>
    <row r="451" customFormat="false" ht="15" hidden="false" customHeight="false" outlineLevel="0" collapsed="false">
      <c r="A451" s="22"/>
      <c r="B451" s="11"/>
      <c r="C451" s="24"/>
      <c r="D451" s="31" t="str">
        <f aca="false">IF(C451="","",IF(LEN(UPPER(SUBSTITUTE(SUBSTITUTE(SUBSTITUTE(SUBSTITUTE(TRIM(C451),".",""),"/",""),"-","")," ","")))&lt;14,RIGHT(REPT("0",14)&amp;UPPER(SUBSTITUTE(SUBSTITUTE(SUBSTITUTE(SUBSTITUTE(TRIM(C451),".",""),"/",""),"-","")," ","")),14),UPPER(SUBSTITUTE(SUBSTITUTE(SUBSTITUTE(SUBSTITUTE(TRIM(C451),".",""),"/",""),"-","")," ",""))))</f>
        <v/>
      </c>
      <c r="E451" s="25" t="str">
        <f aca="false">IF(D451="","",IFERROR(INDEX(Empresas!$C:$C,MATCH(D451,Empresas!$B:$B,0)),"cadastre o CNPJ em Empresas"))</f>
        <v/>
      </c>
      <c r="F451" s="23"/>
      <c r="G451" s="35"/>
      <c r="H451" s="24"/>
      <c r="I451" s="11"/>
      <c r="J451" s="27" t="str">
        <f aca="false">IF(A451="","",YEAR(A451))</f>
        <v/>
      </c>
      <c r="K451" s="24"/>
      <c r="L451" s="11"/>
    </row>
    <row r="452" customFormat="false" ht="15" hidden="false" customHeight="false" outlineLevel="0" collapsed="false">
      <c r="A452" s="22"/>
      <c r="B452" s="11"/>
      <c r="C452" s="24"/>
      <c r="D452" s="31" t="str">
        <f aca="false">IF(C452="","",IF(LEN(UPPER(SUBSTITUTE(SUBSTITUTE(SUBSTITUTE(SUBSTITUTE(TRIM(C452),".",""),"/",""),"-","")," ","")))&lt;14,RIGHT(REPT("0",14)&amp;UPPER(SUBSTITUTE(SUBSTITUTE(SUBSTITUTE(SUBSTITUTE(TRIM(C452),".",""),"/",""),"-","")," ","")),14),UPPER(SUBSTITUTE(SUBSTITUTE(SUBSTITUTE(SUBSTITUTE(TRIM(C452),".",""),"/",""),"-","")," ",""))))</f>
        <v/>
      </c>
      <c r="E452" s="25" t="str">
        <f aca="false">IF(D452="","",IFERROR(INDEX(Empresas!$C:$C,MATCH(D452,Empresas!$B:$B,0)),"cadastre o CNPJ em Empresas"))</f>
        <v/>
      </c>
      <c r="F452" s="23"/>
      <c r="G452" s="35"/>
      <c r="H452" s="24"/>
      <c r="I452" s="11"/>
      <c r="J452" s="27" t="str">
        <f aca="false">IF(A452="","",YEAR(A452))</f>
        <v/>
      </c>
      <c r="K452" s="24"/>
      <c r="L452" s="11"/>
    </row>
    <row r="453" customFormat="false" ht="15" hidden="false" customHeight="false" outlineLevel="0" collapsed="false">
      <c r="A453" s="22"/>
      <c r="B453" s="11"/>
      <c r="C453" s="24"/>
      <c r="D453" s="31" t="str">
        <f aca="false">IF(C453="","",IF(LEN(UPPER(SUBSTITUTE(SUBSTITUTE(SUBSTITUTE(SUBSTITUTE(TRIM(C453),".",""),"/",""),"-","")," ","")))&lt;14,RIGHT(REPT("0",14)&amp;UPPER(SUBSTITUTE(SUBSTITUTE(SUBSTITUTE(SUBSTITUTE(TRIM(C453),".",""),"/",""),"-","")," ","")),14),UPPER(SUBSTITUTE(SUBSTITUTE(SUBSTITUTE(SUBSTITUTE(TRIM(C453),".",""),"/",""),"-","")," ",""))))</f>
        <v/>
      </c>
      <c r="E453" s="25" t="str">
        <f aca="false">IF(D453="","",IFERROR(INDEX(Empresas!$C:$C,MATCH(D453,Empresas!$B:$B,0)),"cadastre o CNPJ em Empresas"))</f>
        <v/>
      </c>
      <c r="F453" s="23"/>
      <c r="G453" s="35"/>
      <c r="H453" s="24"/>
      <c r="I453" s="11"/>
      <c r="J453" s="27" t="str">
        <f aca="false">IF(A453="","",YEAR(A453))</f>
        <v/>
      </c>
      <c r="K453" s="24"/>
      <c r="L453" s="11"/>
    </row>
    <row r="454" customFormat="false" ht="15" hidden="false" customHeight="false" outlineLevel="0" collapsed="false">
      <c r="A454" s="22"/>
      <c r="B454" s="11"/>
      <c r="C454" s="24"/>
      <c r="D454" s="31" t="str">
        <f aca="false">IF(C454="","",IF(LEN(UPPER(SUBSTITUTE(SUBSTITUTE(SUBSTITUTE(SUBSTITUTE(TRIM(C454),".",""),"/",""),"-","")," ","")))&lt;14,RIGHT(REPT("0",14)&amp;UPPER(SUBSTITUTE(SUBSTITUTE(SUBSTITUTE(SUBSTITUTE(TRIM(C454),".",""),"/",""),"-","")," ","")),14),UPPER(SUBSTITUTE(SUBSTITUTE(SUBSTITUTE(SUBSTITUTE(TRIM(C454),".",""),"/",""),"-","")," ",""))))</f>
        <v/>
      </c>
      <c r="E454" s="25" t="str">
        <f aca="false">IF(D454="","",IFERROR(INDEX(Empresas!$C:$C,MATCH(D454,Empresas!$B:$B,0)),"cadastre o CNPJ em Empresas"))</f>
        <v/>
      </c>
      <c r="F454" s="23"/>
      <c r="G454" s="35"/>
      <c r="H454" s="24"/>
      <c r="I454" s="11"/>
      <c r="J454" s="27" t="str">
        <f aca="false">IF(A454="","",YEAR(A454))</f>
        <v/>
      </c>
      <c r="K454" s="24"/>
      <c r="L454" s="11"/>
    </row>
    <row r="455" customFormat="false" ht="15" hidden="false" customHeight="false" outlineLevel="0" collapsed="false">
      <c r="A455" s="22"/>
      <c r="B455" s="11"/>
      <c r="C455" s="24"/>
      <c r="D455" s="31" t="str">
        <f aca="false">IF(C455="","",IF(LEN(UPPER(SUBSTITUTE(SUBSTITUTE(SUBSTITUTE(SUBSTITUTE(TRIM(C455),".",""),"/",""),"-","")," ","")))&lt;14,RIGHT(REPT("0",14)&amp;UPPER(SUBSTITUTE(SUBSTITUTE(SUBSTITUTE(SUBSTITUTE(TRIM(C455),".",""),"/",""),"-","")," ","")),14),UPPER(SUBSTITUTE(SUBSTITUTE(SUBSTITUTE(SUBSTITUTE(TRIM(C455),".",""),"/",""),"-","")," ",""))))</f>
        <v/>
      </c>
      <c r="E455" s="25" t="str">
        <f aca="false">IF(D455="","",IFERROR(INDEX(Empresas!$C:$C,MATCH(D455,Empresas!$B:$B,0)),"cadastre o CNPJ em Empresas"))</f>
        <v/>
      </c>
      <c r="F455" s="23"/>
      <c r="G455" s="35"/>
      <c r="H455" s="24"/>
      <c r="I455" s="11"/>
      <c r="J455" s="27" t="str">
        <f aca="false">IF(A455="","",YEAR(A455))</f>
        <v/>
      </c>
      <c r="K455" s="24"/>
      <c r="L455" s="11"/>
    </row>
    <row r="456" customFormat="false" ht="15" hidden="false" customHeight="false" outlineLevel="0" collapsed="false">
      <c r="A456" s="22"/>
      <c r="B456" s="11"/>
      <c r="C456" s="24"/>
      <c r="D456" s="31" t="str">
        <f aca="false">IF(C456="","",IF(LEN(UPPER(SUBSTITUTE(SUBSTITUTE(SUBSTITUTE(SUBSTITUTE(TRIM(C456),".",""),"/",""),"-","")," ","")))&lt;14,RIGHT(REPT("0",14)&amp;UPPER(SUBSTITUTE(SUBSTITUTE(SUBSTITUTE(SUBSTITUTE(TRIM(C456),".",""),"/",""),"-","")," ","")),14),UPPER(SUBSTITUTE(SUBSTITUTE(SUBSTITUTE(SUBSTITUTE(TRIM(C456),".",""),"/",""),"-","")," ",""))))</f>
        <v/>
      </c>
      <c r="E456" s="25" t="str">
        <f aca="false">IF(D456="","",IFERROR(INDEX(Empresas!$C:$C,MATCH(D456,Empresas!$B:$B,0)),"cadastre o CNPJ em Empresas"))</f>
        <v/>
      </c>
      <c r="F456" s="23"/>
      <c r="G456" s="35"/>
      <c r="H456" s="24"/>
      <c r="I456" s="11"/>
      <c r="J456" s="27" t="str">
        <f aca="false">IF(A456="","",YEAR(A456))</f>
        <v/>
      </c>
      <c r="K456" s="24"/>
      <c r="L456" s="11"/>
    </row>
    <row r="457" customFormat="false" ht="15" hidden="false" customHeight="false" outlineLevel="0" collapsed="false">
      <c r="A457" s="22"/>
      <c r="B457" s="11"/>
      <c r="C457" s="24"/>
      <c r="D457" s="31" t="str">
        <f aca="false">IF(C457="","",IF(LEN(UPPER(SUBSTITUTE(SUBSTITUTE(SUBSTITUTE(SUBSTITUTE(TRIM(C457),".",""),"/",""),"-","")," ","")))&lt;14,RIGHT(REPT("0",14)&amp;UPPER(SUBSTITUTE(SUBSTITUTE(SUBSTITUTE(SUBSTITUTE(TRIM(C457),".",""),"/",""),"-","")," ","")),14),UPPER(SUBSTITUTE(SUBSTITUTE(SUBSTITUTE(SUBSTITUTE(TRIM(C457),".",""),"/",""),"-","")," ",""))))</f>
        <v/>
      </c>
      <c r="E457" s="25" t="str">
        <f aca="false">IF(D457="","",IFERROR(INDEX(Empresas!$C:$C,MATCH(D457,Empresas!$B:$B,0)),"cadastre o CNPJ em Empresas"))</f>
        <v/>
      </c>
      <c r="F457" s="23"/>
      <c r="G457" s="35"/>
      <c r="H457" s="24"/>
      <c r="I457" s="11"/>
      <c r="J457" s="27" t="str">
        <f aca="false">IF(A457="","",YEAR(A457))</f>
        <v/>
      </c>
      <c r="K457" s="24"/>
      <c r="L457" s="11"/>
    </row>
    <row r="458" customFormat="false" ht="15" hidden="false" customHeight="false" outlineLevel="0" collapsed="false">
      <c r="A458" s="22"/>
      <c r="B458" s="11"/>
      <c r="C458" s="24"/>
      <c r="D458" s="31" t="str">
        <f aca="false">IF(C458="","",IF(LEN(UPPER(SUBSTITUTE(SUBSTITUTE(SUBSTITUTE(SUBSTITUTE(TRIM(C458),".",""),"/",""),"-","")," ","")))&lt;14,RIGHT(REPT("0",14)&amp;UPPER(SUBSTITUTE(SUBSTITUTE(SUBSTITUTE(SUBSTITUTE(TRIM(C458),".",""),"/",""),"-","")," ","")),14),UPPER(SUBSTITUTE(SUBSTITUTE(SUBSTITUTE(SUBSTITUTE(TRIM(C458),".",""),"/",""),"-","")," ",""))))</f>
        <v/>
      </c>
      <c r="E458" s="25" t="str">
        <f aca="false">IF(D458="","",IFERROR(INDEX(Empresas!$C:$C,MATCH(D458,Empresas!$B:$B,0)),"cadastre o CNPJ em Empresas"))</f>
        <v/>
      </c>
      <c r="F458" s="23"/>
      <c r="G458" s="35"/>
      <c r="H458" s="24"/>
      <c r="I458" s="11"/>
      <c r="J458" s="27" t="str">
        <f aca="false">IF(A458="","",YEAR(A458))</f>
        <v/>
      </c>
      <c r="K458" s="24"/>
      <c r="L458" s="11"/>
    </row>
    <row r="459" customFormat="false" ht="15" hidden="false" customHeight="false" outlineLevel="0" collapsed="false">
      <c r="A459" s="22"/>
      <c r="B459" s="11"/>
      <c r="C459" s="24"/>
      <c r="D459" s="31" t="str">
        <f aca="false">IF(C459="","",IF(LEN(UPPER(SUBSTITUTE(SUBSTITUTE(SUBSTITUTE(SUBSTITUTE(TRIM(C459),".",""),"/",""),"-","")," ","")))&lt;14,RIGHT(REPT("0",14)&amp;UPPER(SUBSTITUTE(SUBSTITUTE(SUBSTITUTE(SUBSTITUTE(TRIM(C459),".",""),"/",""),"-","")," ","")),14),UPPER(SUBSTITUTE(SUBSTITUTE(SUBSTITUTE(SUBSTITUTE(TRIM(C459),".",""),"/",""),"-","")," ",""))))</f>
        <v/>
      </c>
      <c r="E459" s="25" t="str">
        <f aca="false">IF(D459="","",IFERROR(INDEX(Empresas!$C:$C,MATCH(D459,Empresas!$B:$B,0)),"cadastre o CNPJ em Empresas"))</f>
        <v/>
      </c>
      <c r="F459" s="23"/>
      <c r="G459" s="35"/>
      <c r="H459" s="24"/>
      <c r="I459" s="11"/>
      <c r="J459" s="27" t="str">
        <f aca="false">IF(A459="","",YEAR(A459))</f>
        <v/>
      </c>
      <c r="K459" s="24"/>
      <c r="L459" s="11"/>
    </row>
    <row r="460" customFormat="false" ht="15" hidden="false" customHeight="false" outlineLevel="0" collapsed="false">
      <c r="A460" s="22"/>
      <c r="B460" s="11"/>
      <c r="C460" s="24"/>
      <c r="D460" s="31" t="str">
        <f aca="false">IF(C460="","",IF(LEN(UPPER(SUBSTITUTE(SUBSTITUTE(SUBSTITUTE(SUBSTITUTE(TRIM(C460),".",""),"/",""),"-","")," ","")))&lt;14,RIGHT(REPT("0",14)&amp;UPPER(SUBSTITUTE(SUBSTITUTE(SUBSTITUTE(SUBSTITUTE(TRIM(C460),".",""),"/",""),"-","")," ","")),14),UPPER(SUBSTITUTE(SUBSTITUTE(SUBSTITUTE(SUBSTITUTE(TRIM(C460),".",""),"/",""),"-","")," ",""))))</f>
        <v/>
      </c>
      <c r="E460" s="25" t="str">
        <f aca="false">IF(D460="","",IFERROR(INDEX(Empresas!$C:$C,MATCH(D460,Empresas!$B:$B,0)),"cadastre o CNPJ em Empresas"))</f>
        <v/>
      </c>
      <c r="F460" s="23"/>
      <c r="G460" s="35"/>
      <c r="H460" s="24"/>
      <c r="I460" s="11"/>
      <c r="J460" s="27" t="str">
        <f aca="false">IF(A460="","",YEAR(A460))</f>
        <v/>
      </c>
      <c r="K460" s="24"/>
      <c r="L460" s="11"/>
    </row>
    <row r="461" customFormat="false" ht="15" hidden="false" customHeight="false" outlineLevel="0" collapsed="false">
      <c r="A461" s="22"/>
      <c r="B461" s="11"/>
      <c r="C461" s="24"/>
      <c r="D461" s="31" t="str">
        <f aca="false">IF(C461="","",IF(LEN(UPPER(SUBSTITUTE(SUBSTITUTE(SUBSTITUTE(SUBSTITUTE(TRIM(C461),".",""),"/",""),"-","")," ","")))&lt;14,RIGHT(REPT("0",14)&amp;UPPER(SUBSTITUTE(SUBSTITUTE(SUBSTITUTE(SUBSTITUTE(TRIM(C461),".",""),"/",""),"-","")," ","")),14),UPPER(SUBSTITUTE(SUBSTITUTE(SUBSTITUTE(SUBSTITUTE(TRIM(C461),".",""),"/",""),"-","")," ",""))))</f>
        <v/>
      </c>
      <c r="E461" s="25" t="str">
        <f aca="false">IF(D461="","",IFERROR(INDEX(Empresas!$C:$C,MATCH(D461,Empresas!$B:$B,0)),"cadastre o CNPJ em Empresas"))</f>
        <v/>
      </c>
      <c r="F461" s="23"/>
      <c r="G461" s="35"/>
      <c r="H461" s="24"/>
      <c r="I461" s="11"/>
      <c r="J461" s="27" t="str">
        <f aca="false">IF(A461="","",YEAR(A461))</f>
        <v/>
      </c>
      <c r="K461" s="24"/>
      <c r="L461" s="11"/>
    </row>
    <row r="462" customFormat="false" ht="15" hidden="false" customHeight="false" outlineLevel="0" collapsed="false">
      <c r="A462" s="22"/>
      <c r="B462" s="11"/>
      <c r="C462" s="24"/>
      <c r="D462" s="31" t="str">
        <f aca="false">IF(C462="","",IF(LEN(UPPER(SUBSTITUTE(SUBSTITUTE(SUBSTITUTE(SUBSTITUTE(TRIM(C462),".",""),"/",""),"-","")," ","")))&lt;14,RIGHT(REPT("0",14)&amp;UPPER(SUBSTITUTE(SUBSTITUTE(SUBSTITUTE(SUBSTITUTE(TRIM(C462),".",""),"/",""),"-","")," ","")),14),UPPER(SUBSTITUTE(SUBSTITUTE(SUBSTITUTE(SUBSTITUTE(TRIM(C462),".",""),"/",""),"-","")," ",""))))</f>
        <v/>
      </c>
      <c r="E462" s="25" t="str">
        <f aca="false">IF(D462="","",IFERROR(INDEX(Empresas!$C:$C,MATCH(D462,Empresas!$B:$B,0)),"cadastre o CNPJ em Empresas"))</f>
        <v/>
      </c>
      <c r="F462" s="23"/>
      <c r="G462" s="35"/>
      <c r="H462" s="24"/>
      <c r="I462" s="11"/>
      <c r="J462" s="27" t="str">
        <f aca="false">IF(A462="","",YEAR(A462))</f>
        <v/>
      </c>
      <c r="K462" s="24"/>
      <c r="L462" s="11"/>
    </row>
    <row r="463" customFormat="false" ht="15" hidden="false" customHeight="false" outlineLevel="0" collapsed="false">
      <c r="A463" s="22"/>
      <c r="B463" s="11"/>
      <c r="C463" s="24"/>
      <c r="D463" s="31" t="str">
        <f aca="false">IF(C463="","",IF(LEN(UPPER(SUBSTITUTE(SUBSTITUTE(SUBSTITUTE(SUBSTITUTE(TRIM(C463),".",""),"/",""),"-","")," ","")))&lt;14,RIGHT(REPT("0",14)&amp;UPPER(SUBSTITUTE(SUBSTITUTE(SUBSTITUTE(SUBSTITUTE(TRIM(C463),".",""),"/",""),"-","")," ","")),14),UPPER(SUBSTITUTE(SUBSTITUTE(SUBSTITUTE(SUBSTITUTE(TRIM(C463),".",""),"/",""),"-","")," ",""))))</f>
        <v/>
      </c>
      <c r="E463" s="25" t="str">
        <f aca="false">IF(D463="","",IFERROR(INDEX(Empresas!$C:$C,MATCH(D463,Empresas!$B:$B,0)),"cadastre o CNPJ em Empresas"))</f>
        <v/>
      </c>
      <c r="F463" s="23"/>
      <c r="G463" s="35"/>
      <c r="H463" s="24"/>
      <c r="I463" s="11"/>
      <c r="J463" s="27" t="str">
        <f aca="false">IF(A463="","",YEAR(A463))</f>
        <v/>
      </c>
      <c r="K463" s="24"/>
      <c r="L463" s="11"/>
    </row>
    <row r="464" customFormat="false" ht="15" hidden="false" customHeight="false" outlineLevel="0" collapsed="false">
      <c r="A464" s="22"/>
      <c r="B464" s="11"/>
      <c r="C464" s="24"/>
      <c r="D464" s="31" t="str">
        <f aca="false">IF(C464="","",IF(LEN(UPPER(SUBSTITUTE(SUBSTITUTE(SUBSTITUTE(SUBSTITUTE(TRIM(C464),".",""),"/",""),"-","")," ","")))&lt;14,RIGHT(REPT("0",14)&amp;UPPER(SUBSTITUTE(SUBSTITUTE(SUBSTITUTE(SUBSTITUTE(TRIM(C464),".",""),"/",""),"-","")," ","")),14),UPPER(SUBSTITUTE(SUBSTITUTE(SUBSTITUTE(SUBSTITUTE(TRIM(C464),".",""),"/",""),"-","")," ",""))))</f>
        <v/>
      </c>
      <c r="E464" s="25" t="str">
        <f aca="false">IF(D464="","",IFERROR(INDEX(Empresas!$C:$C,MATCH(D464,Empresas!$B:$B,0)),"cadastre o CNPJ em Empresas"))</f>
        <v/>
      </c>
      <c r="F464" s="23"/>
      <c r="G464" s="35"/>
      <c r="H464" s="24"/>
      <c r="I464" s="11"/>
      <c r="J464" s="27" t="str">
        <f aca="false">IF(A464="","",YEAR(A464))</f>
        <v/>
      </c>
      <c r="K464" s="24"/>
      <c r="L464" s="11"/>
    </row>
    <row r="465" customFormat="false" ht="15" hidden="false" customHeight="false" outlineLevel="0" collapsed="false">
      <c r="A465" s="22"/>
      <c r="B465" s="11"/>
      <c r="C465" s="24"/>
      <c r="D465" s="31" t="str">
        <f aca="false">IF(C465="","",IF(LEN(UPPER(SUBSTITUTE(SUBSTITUTE(SUBSTITUTE(SUBSTITUTE(TRIM(C465),".",""),"/",""),"-","")," ","")))&lt;14,RIGHT(REPT("0",14)&amp;UPPER(SUBSTITUTE(SUBSTITUTE(SUBSTITUTE(SUBSTITUTE(TRIM(C465),".",""),"/",""),"-","")," ","")),14),UPPER(SUBSTITUTE(SUBSTITUTE(SUBSTITUTE(SUBSTITUTE(TRIM(C465),".",""),"/",""),"-","")," ",""))))</f>
        <v/>
      </c>
      <c r="E465" s="25" t="str">
        <f aca="false">IF(D465="","",IFERROR(INDEX(Empresas!$C:$C,MATCH(D465,Empresas!$B:$B,0)),"cadastre o CNPJ em Empresas"))</f>
        <v/>
      </c>
      <c r="F465" s="23"/>
      <c r="G465" s="35"/>
      <c r="H465" s="24"/>
      <c r="I465" s="11"/>
      <c r="J465" s="27" t="str">
        <f aca="false">IF(A465="","",YEAR(A465))</f>
        <v/>
      </c>
      <c r="K465" s="24"/>
      <c r="L465" s="11"/>
    </row>
    <row r="466" customFormat="false" ht="15" hidden="false" customHeight="false" outlineLevel="0" collapsed="false">
      <c r="A466" s="22"/>
      <c r="B466" s="11"/>
      <c r="C466" s="24"/>
      <c r="D466" s="31" t="str">
        <f aca="false">IF(C466="","",IF(LEN(UPPER(SUBSTITUTE(SUBSTITUTE(SUBSTITUTE(SUBSTITUTE(TRIM(C466),".",""),"/",""),"-","")," ","")))&lt;14,RIGHT(REPT("0",14)&amp;UPPER(SUBSTITUTE(SUBSTITUTE(SUBSTITUTE(SUBSTITUTE(TRIM(C466),".",""),"/",""),"-","")," ","")),14),UPPER(SUBSTITUTE(SUBSTITUTE(SUBSTITUTE(SUBSTITUTE(TRIM(C466),".",""),"/",""),"-","")," ",""))))</f>
        <v/>
      </c>
      <c r="E466" s="25" t="str">
        <f aca="false">IF(D466="","",IFERROR(INDEX(Empresas!$C:$C,MATCH(D466,Empresas!$B:$B,0)),"cadastre o CNPJ em Empresas"))</f>
        <v/>
      </c>
      <c r="F466" s="23"/>
      <c r="G466" s="35"/>
      <c r="H466" s="24"/>
      <c r="I466" s="11"/>
      <c r="J466" s="27" t="str">
        <f aca="false">IF(A466="","",YEAR(A466))</f>
        <v/>
      </c>
      <c r="K466" s="24"/>
      <c r="L466" s="11"/>
    </row>
    <row r="467" customFormat="false" ht="15" hidden="false" customHeight="false" outlineLevel="0" collapsed="false">
      <c r="A467" s="22"/>
      <c r="B467" s="11"/>
      <c r="C467" s="24"/>
      <c r="D467" s="31" t="str">
        <f aca="false">IF(C467="","",IF(LEN(UPPER(SUBSTITUTE(SUBSTITUTE(SUBSTITUTE(SUBSTITUTE(TRIM(C467),".",""),"/",""),"-","")," ","")))&lt;14,RIGHT(REPT("0",14)&amp;UPPER(SUBSTITUTE(SUBSTITUTE(SUBSTITUTE(SUBSTITUTE(TRIM(C467),".",""),"/",""),"-","")," ","")),14),UPPER(SUBSTITUTE(SUBSTITUTE(SUBSTITUTE(SUBSTITUTE(TRIM(C467),".",""),"/",""),"-","")," ",""))))</f>
        <v/>
      </c>
      <c r="E467" s="25" t="str">
        <f aca="false">IF(D467="","",IFERROR(INDEX(Empresas!$C:$C,MATCH(D467,Empresas!$B:$B,0)),"cadastre o CNPJ em Empresas"))</f>
        <v/>
      </c>
      <c r="F467" s="23"/>
      <c r="G467" s="35"/>
      <c r="H467" s="24"/>
      <c r="I467" s="11"/>
      <c r="J467" s="27" t="str">
        <f aca="false">IF(A467="","",YEAR(A467))</f>
        <v/>
      </c>
      <c r="K467" s="24"/>
      <c r="L467" s="11"/>
    </row>
    <row r="468" customFormat="false" ht="15" hidden="false" customHeight="false" outlineLevel="0" collapsed="false">
      <c r="A468" s="22"/>
      <c r="B468" s="11"/>
      <c r="C468" s="24"/>
      <c r="D468" s="31" t="str">
        <f aca="false">IF(C468="","",IF(LEN(UPPER(SUBSTITUTE(SUBSTITUTE(SUBSTITUTE(SUBSTITUTE(TRIM(C468),".",""),"/",""),"-","")," ","")))&lt;14,RIGHT(REPT("0",14)&amp;UPPER(SUBSTITUTE(SUBSTITUTE(SUBSTITUTE(SUBSTITUTE(TRIM(C468),".",""),"/",""),"-","")," ","")),14),UPPER(SUBSTITUTE(SUBSTITUTE(SUBSTITUTE(SUBSTITUTE(TRIM(C468),".",""),"/",""),"-","")," ",""))))</f>
        <v/>
      </c>
      <c r="E468" s="25" t="str">
        <f aca="false">IF(D468="","",IFERROR(INDEX(Empresas!$C:$C,MATCH(D468,Empresas!$B:$B,0)),"cadastre o CNPJ em Empresas"))</f>
        <v/>
      </c>
      <c r="F468" s="23"/>
      <c r="G468" s="35"/>
      <c r="H468" s="24"/>
      <c r="I468" s="11"/>
      <c r="J468" s="27" t="str">
        <f aca="false">IF(A468="","",YEAR(A468))</f>
        <v/>
      </c>
      <c r="K468" s="24"/>
      <c r="L468" s="11"/>
    </row>
    <row r="469" customFormat="false" ht="15" hidden="false" customHeight="false" outlineLevel="0" collapsed="false">
      <c r="A469" s="22"/>
      <c r="B469" s="11"/>
      <c r="C469" s="24"/>
      <c r="D469" s="31" t="str">
        <f aca="false">IF(C469="","",IF(LEN(UPPER(SUBSTITUTE(SUBSTITUTE(SUBSTITUTE(SUBSTITUTE(TRIM(C469),".",""),"/",""),"-","")," ","")))&lt;14,RIGHT(REPT("0",14)&amp;UPPER(SUBSTITUTE(SUBSTITUTE(SUBSTITUTE(SUBSTITUTE(TRIM(C469),".",""),"/",""),"-","")," ","")),14),UPPER(SUBSTITUTE(SUBSTITUTE(SUBSTITUTE(SUBSTITUTE(TRIM(C469),".",""),"/",""),"-","")," ",""))))</f>
        <v/>
      </c>
      <c r="E469" s="25" t="str">
        <f aca="false">IF(D469="","",IFERROR(INDEX(Empresas!$C:$C,MATCH(D469,Empresas!$B:$B,0)),"cadastre o CNPJ em Empresas"))</f>
        <v/>
      </c>
      <c r="F469" s="23"/>
      <c r="G469" s="35"/>
      <c r="H469" s="24"/>
      <c r="I469" s="11"/>
      <c r="J469" s="27" t="str">
        <f aca="false">IF(A469="","",YEAR(A469))</f>
        <v/>
      </c>
      <c r="K469" s="24"/>
      <c r="L469" s="11"/>
    </row>
    <row r="470" customFormat="false" ht="15" hidden="false" customHeight="false" outlineLevel="0" collapsed="false">
      <c r="A470" s="22"/>
      <c r="B470" s="11"/>
      <c r="C470" s="24"/>
      <c r="D470" s="31" t="str">
        <f aca="false">IF(C470="","",IF(LEN(UPPER(SUBSTITUTE(SUBSTITUTE(SUBSTITUTE(SUBSTITUTE(TRIM(C470),".",""),"/",""),"-","")," ","")))&lt;14,RIGHT(REPT("0",14)&amp;UPPER(SUBSTITUTE(SUBSTITUTE(SUBSTITUTE(SUBSTITUTE(TRIM(C470),".",""),"/",""),"-","")," ","")),14),UPPER(SUBSTITUTE(SUBSTITUTE(SUBSTITUTE(SUBSTITUTE(TRIM(C470),".",""),"/",""),"-","")," ",""))))</f>
        <v/>
      </c>
      <c r="E470" s="25" t="str">
        <f aca="false">IF(D470="","",IFERROR(INDEX(Empresas!$C:$C,MATCH(D470,Empresas!$B:$B,0)),"cadastre o CNPJ em Empresas"))</f>
        <v/>
      </c>
      <c r="F470" s="23"/>
      <c r="G470" s="35"/>
      <c r="H470" s="24"/>
      <c r="I470" s="11"/>
      <c r="J470" s="27" t="str">
        <f aca="false">IF(A470="","",YEAR(A470))</f>
        <v/>
      </c>
      <c r="K470" s="24"/>
      <c r="L470" s="11"/>
    </row>
    <row r="471" customFormat="false" ht="15" hidden="false" customHeight="false" outlineLevel="0" collapsed="false">
      <c r="A471" s="22"/>
      <c r="B471" s="11"/>
      <c r="C471" s="24"/>
      <c r="D471" s="31" t="str">
        <f aca="false">IF(C471="","",IF(LEN(UPPER(SUBSTITUTE(SUBSTITUTE(SUBSTITUTE(SUBSTITUTE(TRIM(C471),".",""),"/",""),"-","")," ","")))&lt;14,RIGHT(REPT("0",14)&amp;UPPER(SUBSTITUTE(SUBSTITUTE(SUBSTITUTE(SUBSTITUTE(TRIM(C471),".",""),"/",""),"-","")," ","")),14),UPPER(SUBSTITUTE(SUBSTITUTE(SUBSTITUTE(SUBSTITUTE(TRIM(C471),".",""),"/",""),"-","")," ",""))))</f>
        <v/>
      </c>
      <c r="E471" s="25" t="str">
        <f aca="false">IF(D471="","",IFERROR(INDEX(Empresas!$C:$C,MATCH(D471,Empresas!$B:$B,0)),"cadastre o CNPJ em Empresas"))</f>
        <v/>
      </c>
      <c r="F471" s="23"/>
      <c r="G471" s="35"/>
      <c r="H471" s="24"/>
      <c r="I471" s="11"/>
      <c r="J471" s="27" t="str">
        <f aca="false">IF(A471="","",YEAR(A471))</f>
        <v/>
      </c>
      <c r="K471" s="24"/>
      <c r="L471" s="11"/>
    </row>
    <row r="472" customFormat="false" ht="15" hidden="false" customHeight="false" outlineLevel="0" collapsed="false">
      <c r="A472" s="22"/>
      <c r="B472" s="11"/>
      <c r="C472" s="24"/>
      <c r="D472" s="31" t="str">
        <f aca="false">IF(C472="","",IF(LEN(UPPER(SUBSTITUTE(SUBSTITUTE(SUBSTITUTE(SUBSTITUTE(TRIM(C472),".",""),"/",""),"-","")," ","")))&lt;14,RIGHT(REPT("0",14)&amp;UPPER(SUBSTITUTE(SUBSTITUTE(SUBSTITUTE(SUBSTITUTE(TRIM(C472),".",""),"/",""),"-","")," ","")),14),UPPER(SUBSTITUTE(SUBSTITUTE(SUBSTITUTE(SUBSTITUTE(TRIM(C472),".",""),"/",""),"-","")," ",""))))</f>
        <v/>
      </c>
      <c r="E472" s="25" t="str">
        <f aca="false">IF(D472="","",IFERROR(INDEX(Empresas!$C:$C,MATCH(D472,Empresas!$B:$B,0)),"cadastre o CNPJ em Empresas"))</f>
        <v/>
      </c>
      <c r="F472" s="23"/>
      <c r="G472" s="35"/>
      <c r="H472" s="24"/>
      <c r="I472" s="11"/>
      <c r="J472" s="27" t="str">
        <f aca="false">IF(A472="","",YEAR(A472))</f>
        <v/>
      </c>
      <c r="K472" s="24"/>
      <c r="L472" s="11"/>
    </row>
    <row r="473" customFormat="false" ht="15" hidden="false" customHeight="false" outlineLevel="0" collapsed="false">
      <c r="A473" s="22"/>
      <c r="B473" s="11"/>
      <c r="C473" s="24"/>
      <c r="D473" s="31" t="str">
        <f aca="false">IF(C473="","",IF(LEN(UPPER(SUBSTITUTE(SUBSTITUTE(SUBSTITUTE(SUBSTITUTE(TRIM(C473),".",""),"/",""),"-","")," ","")))&lt;14,RIGHT(REPT("0",14)&amp;UPPER(SUBSTITUTE(SUBSTITUTE(SUBSTITUTE(SUBSTITUTE(TRIM(C473),".",""),"/",""),"-","")," ","")),14),UPPER(SUBSTITUTE(SUBSTITUTE(SUBSTITUTE(SUBSTITUTE(TRIM(C473),".",""),"/",""),"-","")," ",""))))</f>
        <v/>
      </c>
      <c r="E473" s="25" t="str">
        <f aca="false">IF(D473="","",IFERROR(INDEX(Empresas!$C:$C,MATCH(D473,Empresas!$B:$B,0)),"cadastre o CNPJ em Empresas"))</f>
        <v/>
      </c>
      <c r="F473" s="23"/>
      <c r="G473" s="35"/>
      <c r="H473" s="24"/>
      <c r="I473" s="11"/>
      <c r="J473" s="27" t="str">
        <f aca="false">IF(A473="","",YEAR(A473))</f>
        <v/>
      </c>
      <c r="K473" s="24"/>
      <c r="L473" s="11"/>
    </row>
    <row r="474" customFormat="false" ht="15" hidden="false" customHeight="false" outlineLevel="0" collapsed="false">
      <c r="A474" s="22"/>
      <c r="B474" s="11"/>
      <c r="C474" s="24"/>
      <c r="D474" s="31" t="str">
        <f aca="false">IF(C474="","",IF(LEN(UPPER(SUBSTITUTE(SUBSTITUTE(SUBSTITUTE(SUBSTITUTE(TRIM(C474),".",""),"/",""),"-","")," ","")))&lt;14,RIGHT(REPT("0",14)&amp;UPPER(SUBSTITUTE(SUBSTITUTE(SUBSTITUTE(SUBSTITUTE(TRIM(C474),".",""),"/",""),"-","")," ","")),14),UPPER(SUBSTITUTE(SUBSTITUTE(SUBSTITUTE(SUBSTITUTE(TRIM(C474),".",""),"/",""),"-","")," ",""))))</f>
        <v/>
      </c>
      <c r="E474" s="25" t="str">
        <f aca="false">IF(D474="","",IFERROR(INDEX(Empresas!$C:$C,MATCH(D474,Empresas!$B:$B,0)),"cadastre o CNPJ em Empresas"))</f>
        <v/>
      </c>
      <c r="F474" s="23"/>
      <c r="G474" s="35"/>
      <c r="H474" s="24"/>
      <c r="I474" s="11"/>
      <c r="J474" s="27" t="str">
        <f aca="false">IF(A474="","",YEAR(A474))</f>
        <v/>
      </c>
      <c r="K474" s="24"/>
      <c r="L474" s="11"/>
    </row>
    <row r="475" customFormat="false" ht="15" hidden="false" customHeight="false" outlineLevel="0" collapsed="false">
      <c r="A475" s="22"/>
      <c r="B475" s="11"/>
      <c r="C475" s="24"/>
      <c r="D475" s="31" t="str">
        <f aca="false">IF(C475="","",IF(LEN(UPPER(SUBSTITUTE(SUBSTITUTE(SUBSTITUTE(SUBSTITUTE(TRIM(C475),".",""),"/",""),"-","")," ","")))&lt;14,RIGHT(REPT("0",14)&amp;UPPER(SUBSTITUTE(SUBSTITUTE(SUBSTITUTE(SUBSTITUTE(TRIM(C475),".",""),"/",""),"-","")," ","")),14),UPPER(SUBSTITUTE(SUBSTITUTE(SUBSTITUTE(SUBSTITUTE(TRIM(C475),".",""),"/",""),"-","")," ",""))))</f>
        <v/>
      </c>
      <c r="E475" s="25" t="str">
        <f aca="false">IF(D475="","",IFERROR(INDEX(Empresas!$C:$C,MATCH(D475,Empresas!$B:$B,0)),"cadastre o CNPJ em Empresas"))</f>
        <v/>
      </c>
      <c r="F475" s="23"/>
      <c r="G475" s="35"/>
      <c r="H475" s="24"/>
      <c r="I475" s="11"/>
      <c r="J475" s="27" t="str">
        <f aca="false">IF(A475="","",YEAR(A475))</f>
        <v/>
      </c>
      <c r="K475" s="24"/>
      <c r="L475" s="11"/>
    </row>
    <row r="476" customFormat="false" ht="15" hidden="false" customHeight="false" outlineLevel="0" collapsed="false">
      <c r="A476" s="22"/>
      <c r="B476" s="11"/>
      <c r="C476" s="24"/>
      <c r="D476" s="31" t="str">
        <f aca="false">IF(C476="","",IF(LEN(UPPER(SUBSTITUTE(SUBSTITUTE(SUBSTITUTE(SUBSTITUTE(TRIM(C476),".",""),"/",""),"-","")," ","")))&lt;14,RIGHT(REPT("0",14)&amp;UPPER(SUBSTITUTE(SUBSTITUTE(SUBSTITUTE(SUBSTITUTE(TRIM(C476),".",""),"/",""),"-","")," ","")),14),UPPER(SUBSTITUTE(SUBSTITUTE(SUBSTITUTE(SUBSTITUTE(TRIM(C476),".",""),"/",""),"-","")," ",""))))</f>
        <v/>
      </c>
      <c r="E476" s="25" t="str">
        <f aca="false">IF(D476="","",IFERROR(INDEX(Empresas!$C:$C,MATCH(D476,Empresas!$B:$B,0)),"cadastre o CNPJ em Empresas"))</f>
        <v/>
      </c>
      <c r="F476" s="23"/>
      <c r="G476" s="35"/>
      <c r="H476" s="24"/>
      <c r="I476" s="11"/>
      <c r="J476" s="27" t="str">
        <f aca="false">IF(A476="","",YEAR(A476))</f>
        <v/>
      </c>
      <c r="K476" s="24"/>
      <c r="L476" s="11"/>
    </row>
    <row r="477" customFormat="false" ht="15" hidden="false" customHeight="false" outlineLevel="0" collapsed="false">
      <c r="A477" s="22"/>
      <c r="B477" s="11"/>
      <c r="C477" s="24"/>
      <c r="D477" s="31" t="str">
        <f aca="false">IF(C477="","",IF(LEN(UPPER(SUBSTITUTE(SUBSTITUTE(SUBSTITUTE(SUBSTITUTE(TRIM(C477),".",""),"/",""),"-","")," ","")))&lt;14,RIGHT(REPT("0",14)&amp;UPPER(SUBSTITUTE(SUBSTITUTE(SUBSTITUTE(SUBSTITUTE(TRIM(C477),".",""),"/",""),"-","")," ","")),14),UPPER(SUBSTITUTE(SUBSTITUTE(SUBSTITUTE(SUBSTITUTE(TRIM(C477),".",""),"/",""),"-","")," ",""))))</f>
        <v/>
      </c>
      <c r="E477" s="25" t="str">
        <f aca="false">IF(D477="","",IFERROR(INDEX(Empresas!$C:$C,MATCH(D477,Empresas!$B:$B,0)),"cadastre o CNPJ em Empresas"))</f>
        <v/>
      </c>
      <c r="F477" s="23"/>
      <c r="G477" s="35"/>
      <c r="H477" s="24"/>
      <c r="I477" s="11"/>
      <c r="J477" s="27" t="str">
        <f aca="false">IF(A477="","",YEAR(A477))</f>
        <v/>
      </c>
      <c r="K477" s="24"/>
      <c r="L477" s="11"/>
    </row>
    <row r="478" customFormat="false" ht="15" hidden="false" customHeight="false" outlineLevel="0" collapsed="false">
      <c r="A478" s="22"/>
      <c r="B478" s="11"/>
      <c r="C478" s="24"/>
      <c r="D478" s="31" t="str">
        <f aca="false">IF(C478="","",IF(LEN(UPPER(SUBSTITUTE(SUBSTITUTE(SUBSTITUTE(SUBSTITUTE(TRIM(C478),".",""),"/",""),"-","")," ","")))&lt;14,RIGHT(REPT("0",14)&amp;UPPER(SUBSTITUTE(SUBSTITUTE(SUBSTITUTE(SUBSTITUTE(TRIM(C478),".",""),"/",""),"-","")," ","")),14),UPPER(SUBSTITUTE(SUBSTITUTE(SUBSTITUTE(SUBSTITUTE(TRIM(C478),".",""),"/",""),"-","")," ",""))))</f>
        <v/>
      </c>
      <c r="E478" s="25" t="str">
        <f aca="false">IF(D478="","",IFERROR(INDEX(Empresas!$C:$C,MATCH(D478,Empresas!$B:$B,0)),"cadastre o CNPJ em Empresas"))</f>
        <v/>
      </c>
      <c r="F478" s="23"/>
      <c r="G478" s="35"/>
      <c r="H478" s="24"/>
      <c r="I478" s="11"/>
      <c r="J478" s="27" t="str">
        <f aca="false">IF(A478="","",YEAR(A478))</f>
        <v/>
      </c>
      <c r="K478" s="24"/>
      <c r="L478" s="11"/>
    </row>
    <row r="479" customFormat="false" ht="15" hidden="false" customHeight="false" outlineLevel="0" collapsed="false">
      <c r="A479" s="22"/>
      <c r="B479" s="11"/>
      <c r="C479" s="24"/>
      <c r="D479" s="31" t="str">
        <f aca="false">IF(C479="","",IF(LEN(UPPER(SUBSTITUTE(SUBSTITUTE(SUBSTITUTE(SUBSTITUTE(TRIM(C479),".",""),"/",""),"-","")," ","")))&lt;14,RIGHT(REPT("0",14)&amp;UPPER(SUBSTITUTE(SUBSTITUTE(SUBSTITUTE(SUBSTITUTE(TRIM(C479),".",""),"/",""),"-","")," ","")),14),UPPER(SUBSTITUTE(SUBSTITUTE(SUBSTITUTE(SUBSTITUTE(TRIM(C479),".",""),"/",""),"-","")," ",""))))</f>
        <v/>
      </c>
      <c r="E479" s="25" t="str">
        <f aca="false">IF(D479="","",IFERROR(INDEX(Empresas!$C:$C,MATCH(D479,Empresas!$B:$B,0)),"cadastre o CNPJ em Empresas"))</f>
        <v/>
      </c>
      <c r="F479" s="23"/>
      <c r="G479" s="35"/>
      <c r="H479" s="24"/>
      <c r="I479" s="11"/>
      <c r="J479" s="27" t="str">
        <f aca="false">IF(A479="","",YEAR(A479))</f>
        <v/>
      </c>
      <c r="K479" s="24"/>
      <c r="L479" s="11"/>
    </row>
    <row r="480" customFormat="false" ht="15" hidden="false" customHeight="false" outlineLevel="0" collapsed="false">
      <c r="A480" s="22"/>
      <c r="B480" s="11"/>
      <c r="C480" s="24"/>
      <c r="D480" s="31" t="str">
        <f aca="false">IF(C480="","",IF(LEN(UPPER(SUBSTITUTE(SUBSTITUTE(SUBSTITUTE(SUBSTITUTE(TRIM(C480),".",""),"/",""),"-","")," ","")))&lt;14,RIGHT(REPT("0",14)&amp;UPPER(SUBSTITUTE(SUBSTITUTE(SUBSTITUTE(SUBSTITUTE(TRIM(C480),".",""),"/",""),"-","")," ","")),14),UPPER(SUBSTITUTE(SUBSTITUTE(SUBSTITUTE(SUBSTITUTE(TRIM(C480),".",""),"/",""),"-","")," ",""))))</f>
        <v/>
      </c>
      <c r="E480" s="25" t="str">
        <f aca="false">IF(D480="","",IFERROR(INDEX(Empresas!$C:$C,MATCH(D480,Empresas!$B:$B,0)),"cadastre o CNPJ em Empresas"))</f>
        <v/>
      </c>
      <c r="F480" s="23"/>
      <c r="G480" s="35"/>
      <c r="H480" s="24"/>
      <c r="I480" s="11"/>
      <c r="J480" s="27" t="str">
        <f aca="false">IF(A480="","",YEAR(A480))</f>
        <v/>
      </c>
      <c r="K480" s="24"/>
      <c r="L480" s="11"/>
    </row>
    <row r="481" customFormat="false" ht="15" hidden="false" customHeight="false" outlineLevel="0" collapsed="false">
      <c r="A481" s="22"/>
      <c r="B481" s="11"/>
      <c r="C481" s="24"/>
      <c r="D481" s="31" t="str">
        <f aca="false">IF(C481="","",IF(LEN(UPPER(SUBSTITUTE(SUBSTITUTE(SUBSTITUTE(SUBSTITUTE(TRIM(C481),".",""),"/",""),"-","")," ","")))&lt;14,RIGHT(REPT("0",14)&amp;UPPER(SUBSTITUTE(SUBSTITUTE(SUBSTITUTE(SUBSTITUTE(TRIM(C481),".",""),"/",""),"-","")," ","")),14),UPPER(SUBSTITUTE(SUBSTITUTE(SUBSTITUTE(SUBSTITUTE(TRIM(C481),".",""),"/",""),"-","")," ",""))))</f>
        <v/>
      </c>
      <c r="E481" s="25" t="str">
        <f aca="false">IF(D481="","",IFERROR(INDEX(Empresas!$C:$C,MATCH(D481,Empresas!$B:$B,0)),"cadastre o CNPJ em Empresas"))</f>
        <v/>
      </c>
      <c r="F481" s="23"/>
      <c r="G481" s="35"/>
      <c r="H481" s="24"/>
      <c r="I481" s="11"/>
      <c r="J481" s="27" t="str">
        <f aca="false">IF(A481="","",YEAR(A481))</f>
        <v/>
      </c>
      <c r="K481" s="24"/>
      <c r="L481" s="11"/>
    </row>
    <row r="482" customFormat="false" ht="15" hidden="false" customHeight="false" outlineLevel="0" collapsed="false">
      <c r="A482" s="22"/>
      <c r="B482" s="11"/>
      <c r="C482" s="24"/>
      <c r="D482" s="31" t="str">
        <f aca="false">IF(C482="","",IF(LEN(UPPER(SUBSTITUTE(SUBSTITUTE(SUBSTITUTE(SUBSTITUTE(TRIM(C482),".",""),"/",""),"-","")," ","")))&lt;14,RIGHT(REPT("0",14)&amp;UPPER(SUBSTITUTE(SUBSTITUTE(SUBSTITUTE(SUBSTITUTE(TRIM(C482),".",""),"/",""),"-","")," ","")),14),UPPER(SUBSTITUTE(SUBSTITUTE(SUBSTITUTE(SUBSTITUTE(TRIM(C482),".",""),"/",""),"-","")," ",""))))</f>
        <v/>
      </c>
      <c r="E482" s="25" t="str">
        <f aca="false">IF(D482="","",IFERROR(INDEX(Empresas!$C:$C,MATCH(D482,Empresas!$B:$B,0)),"cadastre o CNPJ em Empresas"))</f>
        <v/>
      </c>
      <c r="F482" s="23"/>
      <c r="G482" s="35"/>
      <c r="H482" s="24"/>
      <c r="I482" s="11"/>
      <c r="J482" s="27" t="str">
        <f aca="false">IF(A482="","",YEAR(A482))</f>
        <v/>
      </c>
      <c r="K482" s="24"/>
      <c r="L482" s="11"/>
    </row>
    <row r="483" customFormat="false" ht="15" hidden="false" customHeight="false" outlineLevel="0" collapsed="false">
      <c r="A483" s="22"/>
      <c r="B483" s="11"/>
      <c r="C483" s="24"/>
      <c r="D483" s="31" t="str">
        <f aca="false">IF(C483="","",IF(LEN(UPPER(SUBSTITUTE(SUBSTITUTE(SUBSTITUTE(SUBSTITUTE(TRIM(C483),".",""),"/",""),"-","")," ","")))&lt;14,RIGHT(REPT("0",14)&amp;UPPER(SUBSTITUTE(SUBSTITUTE(SUBSTITUTE(SUBSTITUTE(TRIM(C483),".",""),"/",""),"-","")," ","")),14),UPPER(SUBSTITUTE(SUBSTITUTE(SUBSTITUTE(SUBSTITUTE(TRIM(C483),".",""),"/",""),"-","")," ",""))))</f>
        <v/>
      </c>
      <c r="E483" s="25" t="str">
        <f aca="false">IF(D483="","",IFERROR(INDEX(Empresas!$C:$C,MATCH(D483,Empresas!$B:$B,0)),"cadastre o CNPJ em Empresas"))</f>
        <v/>
      </c>
      <c r="F483" s="23"/>
      <c r="G483" s="35"/>
      <c r="H483" s="24"/>
      <c r="I483" s="11"/>
      <c r="J483" s="27" t="str">
        <f aca="false">IF(A483="","",YEAR(A483))</f>
        <v/>
      </c>
      <c r="K483" s="24"/>
      <c r="L483" s="11"/>
    </row>
    <row r="484" customFormat="false" ht="15" hidden="false" customHeight="false" outlineLevel="0" collapsed="false">
      <c r="A484" s="22"/>
      <c r="B484" s="11"/>
      <c r="C484" s="24"/>
      <c r="D484" s="31" t="str">
        <f aca="false">IF(C484="","",IF(LEN(UPPER(SUBSTITUTE(SUBSTITUTE(SUBSTITUTE(SUBSTITUTE(TRIM(C484),".",""),"/",""),"-","")," ","")))&lt;14,RIGHT(REPT("0",14)&amp;UPPER(SUBSTITUTE(SUBSTITUTE(SUBSTITUTE(SUBSTITUTE(TRIM(C484),".",""),"/",""),"-","")," ","")),14),UPPER(SUBSTITUTE(SUBSTITUTE(SUBSTITUTE(SUBSTITUTE(TRIM(C484),".",""),"/",""),"-","")," ",""))))</f>
        <v/>
      </c>
      <c r="E484" s="25" t="str">
        <f aca="false">IF(D484="","",IFERROR(INDEX(Empresas!$C:$C,MATCH(D484,Empresas!$B:$B,0)),"cadastre o CNPJ em Empresas"))</f>
        <v/>
      </c>
      <c r="F484" s="23"/>
      <c r="G484" s="35"/>
      <c r="H484" s="24"/>
      <c r="I484" s="11"/>
      <c r="J484" s="27" t="str">
        <f aca="false">IF(A484="","",YEAR(A484))</f>
        <v/>
      </c>
      <c r="K484" s="24"/>
      <c r="L484" s="11"/>
    </row>
    <row r="485" customFormat="false" ht="15" hidden="false" customHeight="false" outlineLevel="0" collapsed="false">
      <c r="A485" s="22"/>
      <c r="B485" s="11"/>
      <c r="C485" s="24"/>
      <c r="D485" s="31" t="str">
        <f aca="false">IF(C485="","",IF(LEN(UPPER(SUBSTITUTE(SUBSTITUTE(SUBSTITUTE(SUBSTITUTE(TRIM(C485),".",""),"/",""),"-","")," ","")))&lt;14,RIGHT(REPT("0",14)&amp;UPPER(SUBSTITUTE(SUBSTITUTE(SUBSTITUTE(SUBSTITUTE(TRIM(C485),".",""),"/",""),"-","")," ","")),14),UPPER(SUBSTITUTE(SUBSTITUTE(SUBSTITUTE(SUBSTITUTE(TRIM(C485),".",""),"/",""),"-","")," ",""))))</f>
        <v/>
      </c>
      <c r="E485" s="25" t="str">
        <f aca="false">IF(D485="","",IFERROR(INDEX(Empresas!$C:$C,MATCH(D485,Empresas!$B:$B,0)),"cadastre o CNPJ em Empresas"))</f>
        <v/>
      </c>
      <c r="F485" s="23"/>
      <c r="G485" s="35"/>
      <c r="H485" s="24"/>
      <c r="I485" s="11"/>
      <c r="J485" s="27" t="str">
        <f aca="false">IF(A485="","",YEAR(A485))</f>
        <v/>
      </c>
      <c r="K485" s="24"/>
      <c r="L485" s="11"/>
    </row>
    <row r="486" customFormat="false" ht="15" hidden="false" customHeight="false" outlineLevel="0" collapsed="false">
      <c r="A486" s="22"/>
      <c r="B486" s="11"/>
      <c r="C486" s="24"/>
      <c r="D486" s="31" t="str">
        <f aca="false">IF(C486="","",IF(LEN(UPPER(SUBSTITUTE(SUBSTITUTE(SUBSTITUTE(SUBSTITUTE(TRIM(C486),".",""),"/",""),"-","")," ","")))&lt;14,RIGHT(REPT("0",14)&amp;UPPER(SUBSTITUTE(SUBSTITUTE(SUBSTITUTE(SUBSTITUTE(TRIM(C486),".",""),"/",""),"-","")," ","")),14),UPPER(SUBSTITUTE(SUBSTITUTE(SUBSTITUTE(SUBSTITUTE(TRIM(C486),".",""),"/",""),"-","")," ",""))))</f>
        <v/>
      </c>
      <c r="E486" s="25" t="str">
        <f aca="false">IF(D486="","",IFERROR(INDEX(Empresas!$C:$C,MATCH(D486,Empresas!$B:$B,0)),"cadastre o CNPJ em Empresas"))</f>
        <v/>
      </c>
      <c r="F486" s="23"/>
      <c r="G486" s="35"/>
      <c r="H486" s="24"/>
      <c r="I486" s="11"/>
      <c r="J486" s="27" t="str">
        <f aca="false">IF(A486="","",YEAR(A486))</f>
        <v/>
      </c>
      <c r="K486" s="24"/>
      <c r="L486" s="11"/>
    </row>
    <row r="487" customFormat="false" ht="15" hidden="false" customHeight="false" outlineLevel="0" collapsed="false">
      <c r="A487" s="22"/>
      <c r="B487" s="11"/>
      <c r="C487" s="24"/>
      <c r="D487" s="31" t="str">
        <f aca="false">IF(C487="","",IF(LEN(UPPER(SUBSTITUTE(SUBSTITUTE(SUBSTITUTE(SUBSTITUTE(TRIM(C487),".",""),"/",""),"-","")," ","")))&lt;14,RIGHT(REPT("0",14)&amp;UPPER(SUBSTITUTE(SUBSTITUTE(SUBSTITUTE(SUBSTITUTE(TRIM(C487),".",""),"/",""),"-","")," ","")),14),UPPER(SUBSTITUTE(SUBSTITUTE(SUBSTITUTE(SUBSTITUTE(TRIM(C487),".",""),"/",""),"-","")," ",""))))</f>
        <v/>
      </c>
      <c r="E487" s="25" t="str">
        <f aca="false">IF(D487="","",IFERROR(INDEX(Empresas!$C:$C,MATCH(D487,Empresas!$B:$B,0)),"cadastre o CNPJ em Empresas"))</f>
        <v/>
      </c>
      <c r="F487" s="23"/>
      <c r="G487" s="35"/>
      <c r="H487" s="24"/>
      <c r="I487" s="11"/>
      <c r="J487" s="27" t="str">
        <f aca="false">IF(A487="","",YEAR(A487))</f>
        <v/>
      </c>
      <c r="K487" s="24"/>
      <c r="L487" s="11"/>
    </row>
    <row r="488" customFormat="false" ht="15" hidden="false" customHeight="false" outlineLevel="0" collapsed="false">
      <c r="A488" s="22"/>
      <c r="B488" s="11"/>
      <c r="C488" s="24"/>
      <c r="D488" s="31" t="str">
        <f aca="false">IF(C488="","",IF(LEN(UPPER(SUBSTITUTE(SUBSTITUTE(SUBSTITUTE(SUBSTITUTE(TRIM(C488),".",""),"/",""),"-","")," ","")))&lt;14,RIGHT(REPT("0",14)&amp;UPPER(SUBSTITUTE(SUBSTITUTE(SUBSTITUTE(SUBSTITUTE(TRIM(C488),".",""),"/",""),"-","")," ","")),14),UPPER(SUBSTITUTE(SUBSTITUTE(SUBSTITUTE(SUBSTITUTE(TRIM(C488),".",""),"/",""),"-","")," ",""))))</f>
        <v/>
      </c>
      <c r="E488" s="25" t="str">
        <f aca="false">IF(D488="","",IFERROR(INDEX(Empresas!$C:$C,MATCH(D488,Empresas!$B:$B,0)),"cadastre o CNPJ em Empresas"))</f>
        <v/>
      </c>
      <c r="F488" s="23"/>
      <c r="G488" s="35"/>
      <c r="H488" s="24"/>
      <c r="I488" s="11"/>
      <c r="J488" s="27" t="str">
        <f aca="false">IF(A488="","",YEAR(A488))</f>
        <v/>
      </c>
      <c r="K488" s="24"/>
      <c r="L488" s="11"/>
    </row>
    <row r="489" customFormat="false" ht="15" hidden="false" customHeight="false" outlineLevel="0" collapsed="false">
      <c r="A489" s="22"/>
      <c r="B489" s="11"/>
      <c r="C489" s="24"/>
      <c r="D489" s="31" t="str">
        <f aca="false">IF(C489="","",IF(LEN(UPPER(SUBSTITUTE(SUBSTITUTE(SUBSTITUTE(SUBSTITUTE(TRIM(C489),".",""),"/",""),"-","")," ","")))&lt;14,RIGHT(REPT("0",14)&amp;UPPER(SUBSTITUTE(SUBSTITUTE(SUBSTITUTE(SUBSTITUTE(TRIM(C489),".",""),"/",""),"-","")," ","")),14),UPPER(SUBSTITUTE(SUBSTITUTE(SUBSTITUTE(SUBSTITUTE(TRIM(C489),".",""),"/",""),"-","")," ",""))))</f>
        <v/>
      </c>
      <c r="E489" s="25" t="str">
        <f aca="false">IF(D489="","",IFERROR(INDEX(Empresas!$C:$C,MATCH(D489,Empresas!$B:$B,0)),"cadastre o CNPJ em Empresas"))</f>
        <v/>
      </c>
      <c r="F489" s="23"/>
      <c r="G489" s="35"/>
      <c r="H489" s="24"/>
      <c r="I489" s="11"/>
      <c r="J489" s="27" t="str">
        <f aca="false">IF(A489="","",YEAR(A489))</f>
        <v/>
      </c>
      <c r="K489" s="24"/>
      <c r="L489" s="11"/>
    </row>
    <row r="490" customFormat="false" ht="15" hidden="false" customHeight="false" outlineLevel="0" collapsed="false">
      <c r="A490" s="22"/>
      <c r="B490" s="11"/>
      <c r="C490" s="24"/>
      <c r="D490" s="31" t="str">
        <f aca="false">IF(C490="","",IF(LEN(UPPER(SUBSTITUTE(SUBSTITUTE(SUBSTITUTE(SUBSTITUTE(TRIM(C490),".",""),"/",""),"-","")," ","")))&lt;14,RIGHT(REPT("0",14)&amp;UPPER(SUBSTITUTE(SUBSTITUTE(SUBSTITUTE(SUBSTITUTE(TRIM(C490),".",""),"/",""),"-","")," ","")),14),UPPER(SUBSTITUTE(SUBSTITUTE(SUBSTITUTE(SUBSTITUTE(TRIM(C490),".",""),"/",""),"-","")," ",""))))</f>
        <v/>
      </c>
      <c r="E490" s="25" t="str">
        <f aca="false">IF(D490="","",IFERROR(INDEX(Empresas!$C:$C,MATCH(D490,Empresas!$B:$B,0)),"cadastre o CNPJ em Empresas"))</f>
        <v/>
      </c>
      <c r="F490" s="23"/>
      <c r="G490" s="35"/>
      <c r="H490" s="24"/>
      <c r="I490" s="11"/>
      <c r="J490" s="27" t="str">
        <f aca="false">IF(A490="","",YEAR(A490))</f>
        <v/>
      </c>
      <c r="K490" s="24"/>
      <c r="L490" s="11"/>
    </row>
    <row r="491" customFormat="false" ht="15" hidden="false" customHeight="false" outlineLevel="0" collapsed="false">
      <c r="A491" s="22"/>
      <c r="B491" s="11"/>
      <c r="C491" s="24"/>
      <c r="D491" s="31" t="str">
        <f aca="false">IF(C491="","",IF(LEN(UPPER(SUBSTITUTE(SUBSTITUTE(SUBSTITUTE(SUBSTITUTE(TRIM(C491),".",""),"/",""),"-","")," ","")))&lt;14,RIGHT(REPT("0",14)&amp;UPPER(SUBSTITUTE(SUBSTITUTE(SUBSTITUTE(SUBSTITUTE(TRIM(C491),".",""),"/",""),"-","")," ","")),14),UPPER(SUBSTITUTE(SUBSTITUTE(SUBSTITUTE(SUBSTITUTE(TRIM(C491),".",""),"/",""),"-","")," ",""))))</f>
        <v/>
      </c>
      <c r="E491" s="25" t="str">
        <f aca="false">IF(D491="","",IFERROR(INDEX(Empresas!$C:$C,MATCH(D491,Empresas!$B:$B,0)),"cadastre o CNPJ em Empresas"))</f>
        <v/>
      </c>
      <c r="F491" s="23"/>
      <c r="G491" s="35"/>
      <c r="H491" s="24"/>
      <c r="I491" s="11"/>
      <c r="J491" s="27" t="str">
        <f aca="false">IF(A491="","",YEAR(A491))</f>
        <v/>
      </c>
      <c r="K491" s="24"/>
      <c r="L491" s="11"/>
    </row>
    <row r="492" customFormat="false" ht="15" hidden="false" customHeight="false" outlineLevel="0" collapsed="false">
      <c r="A492" s="22"/>
      <c r="B492" s="11"/>
      <c r="C492" s="24"/>
      <c r="D492" s="31" t="str">
        <f aca="false">IF(C492="","",IF(LEN(UPPER(SUBSTITUTE(SUBSTITUTE(SUBSTITUTE(SUBSTITUTE(TRIM(C492),".",""),"/",""),"-","")," ","")))&lt;14,RIGHT(REPT("0",14)&amp;UPPER(SUBSTITUTE(SUBSTITUTE(SUBSTITUTE(SUBSTITUTE(TRIM(C492),".",""),"/",""),"-","")," ","")),14),UPPER(SUBSTITUTE(SUBSTITUTE(SUBSTITUTE(SUBSTITUTE(TRIM(C492),".",""),"/",""),"-","")," ",""))))</f>
        <v/>
      </c>
      <c r="E492" s="25" t="str">
        <f aca="false">IF(D492="","",IFERROR(INDEX(Empresas!$C:$C,MATCH(D492,Empresas!$B:$B,0)),"cadastre o CNPJ em Empresas"))</f>
        <v/>
      </c>
      <c r="F492" s="23"/>
      <c r="G492" s="35"/>
      <c r="H492" s="24"/>
      <c r="I492" s="11"/>
      <c r="J492" s="27" t="str">
        <f aca="false">IF(A492="","",YEAR(A492))</f>
        <v/>
      </c>
      <c r="K492" s="24"/>
      <c r="L492" s="11"/>
    </row>
    <row r="493" customFormat="false" ht="15" hidden="false" customHeight="false" outlineLevel="0" collapsed="false">
      <c r="A493" s="22"/>
      <c r="B493" s="11"/>
      <c r="C493" s="24"/>
      <c r="D493" s="31" t="str">
        <f aca="false">IF(C493="","",IF(LEN(UPPER(SUBSTITUTE(SUBSTITUTE(SUBSTITUTE(SUBSTITUTE(TRIM(C493),".",""),"/",""),"-","")," ","")))&lt;14,RIGHT(REPT("0",14)&amp;UPPER(SUBSTITUTE(SUBSTITUTE(SUBSTITUTE(SUBSTITUTE(TRIM(C493),".",""),"/",""),"-","")," ","")),14),UPPER(SUBSTITUTE(SUBSTITUTE(SUBSTITUTE(SUBSTITUTE(TRIM(C493),".",""),"/",""),"-","")," ",""))))</f>
        <v/>
      </c>
      <c r="E493" s="25" t="str">
        <f aca="false">IF(D493="","",IFERROR(INDEX(Empresas!$C:$C,MATCH(D493,Empresas!$B:$B,0)),"cadastre o CNPJ em Empresas"))</f>
        <v/>
      </c>
      <c r="F493" s="23"/>
      <c r="G493" s="35"/>
      <c r="H493" s="24"/>
      <c r="I493" s="11"/>
      <c r="J493" s="27" t="str">
        <f aca="false">IF(A493="","",YEAR(A493))</f>
        <v/>
      </c>
      <c r="K493" s="24"/>
      <c r="L493" s="11"/>
    </row>
    <row r="494" customFormat="false" ht="15" hidden="false" customHeight="false" outlineLevel="0" collapsed="false">
      <c r="A494" s="22"/>
      <c r="B494" s="11"/>
      <c r="C494" s="24"/>
      <c r="D494" s="31" t="str">
        <f aca="false">IF(C494="","",IF(LEN(UPPER(SUBSTITUTE(SUBSTITUTE(SUBSTITUTE(SUBSTITUTE(TRIM(C494),".",""),"/",""),"-","")," ","")))&lt;14,RIGHT(REPT("0",14)&amp;UPPER(SUBSTITUTE(SUBSTITUTE(SUBSTITUTE(SUBSTITUTE(TRIM(C494),".",""),"/",""),"-","")," ","")),14),UPPER(SUBSTITUTE(SUBSTITUTE(SUBSTITUTE(SUBSTITUTE(TRIM(C494),".",""),"/",""),"-","")," ",""))))</f>
        <v/>
      </c>
      <c r="E494" s="25" t="str">
        <f aca="false">IF(D494="","",IFERROR(INDEX(Empresas!$C:$C,MATCH(D494,Empresas!$B:$B,0)),"cadastre o CNPJ em Empresas"))</f>
        <v/>
      </c>
      <c r="F494" s="23"/>
      <c r="G494" s="35"/>
      <c r="H494" s="24"/>
      <c r="I494" s="11"/>
      <c r="J494" s="27" t="str">
        <f aca="false">IF(A494="","",YEAR(A494))</f>
        <v/>
      </c>
      <c r="K494" s="24"/>
      <c r="L494" s="11"/>
    </row>
    <row r="495" customFormat="false" ht="15" hidden="false" customHeight="false" outlineLevel="0" collapsed="false">
      <c r="A495" s="22"/>
      <c r="B495" s="11"/>
      <c r="C495" s="24"/>
      <c r="D495" s="31" t="str">
        <f aca="false">IF(C495="","",IF(LEN(UPPER(SUBSTITUTE(SUBSTITUTE(SUBSTITUTE(SUBSTITUTE(TRIM(C495),".",""),"/",""),"-","")," ","")))&lt;14,RIGHT(REPT("0",14)&amp;UPPER(SUBSTITUTE(SUBSTITUTE(SUBSTITUTE(SUBSTITUTE(TRIM(C495),".",""),"/",""),"-","")," ","")),14),UPPER(SUBSTITUTE(SUBSTITUTE(SUBSTITUTE(SUBSTITUTE(TRIM(C495),".",""),"/",""),"-","")," ",""))))</f>
        <v/>
      </c>
      <c r="E495" s="25" t="str">
        <f aca="false">IF(D495="","",IFERROR(INDEX(Empresas!$C:$C,MATCH(D495,Empresas!$B:$B,0)),"cadastre o CNPJ em Empresas"))</f>
        <v/>
      </c>
      <c r="F495" s="23"/>
      <c r="G495" s="35"/>
      <c r="H495" s="24"/>
      <c r="I495" s="11"/>
      <c r="J495" s="27" t="str">
        <f aca="false">IF(A495="","",YEAR(A495))</f>
        <v/>
      </c>
      <c r="K495" s="24"/>
      <c r="L495" s="11"/>
    </row>
    <row r="496" customFormat="false" ht="15" hidden="false" customHeight="false" outlineLevel="0" collapsed="false">
      <c r="A496" s="22"/>
      <c r="B496" s="11"/>
      <c r="C496" s="24"/>
      <c r="D496" s="31" t="str">
        <f aca="false">IF(C496="","",IF(LEN(UPPER(SUBSTITUTE(SUBSTITUTE(SUBSTITUTE(SUBSTITUTE(TRIM(C496),".",""),"/",""),"-","")," ","")))&lt;14,RIGHT(REPT("0",14)&amp;UPPER(SUBSTITUTE(SUBSTITUTE(SUBSTITUTE(SUBSTITUTE(TRIM(C496),".",""),"/",""),"-","")," ","")),14),UPPER(SUBSTITUTE(SUBSTITUTE(SUBSTITUTE(SUBSTITUTE(TRIM(C496),".",""),"/",""),"-","")," ",""))))</f>
        <v/>
      </c>
      <c r="E496" s="25" t="str">
        <f aca="false">IF(D496="","",IFERROR(INDEX(Empresas!$C:$C,MATCH(D496,Empresas!$B:$B,0)),"cadastre o CNPJ em Empresas"))</f>
        <v/>
      </c>
      <c r="F496" s="23"/>
      <c r="G496" s="35"/>
      <c r="H496" s="24"/>
      <c r="I496" s="11"/>
      <c r="J496" s="27" t="str">
        <f aca="false">IF(A496="","",YEAR(A496))</f>
        <v/>
      </c>
      <c r="K496" s="24"/>
      <c r="L496" s="11"/>
    </row>
    <row r="497" customFormat="false" ht="15" hidden="false" customHeight="false" outlineLevel="0" collapsed="false">
      <c r="A497" s="22"/>
      <c r="B497" s="11"/>
      <c r="C497" s="24"/>
      <c r="D497" s="31" t="str">
        <f aca="false">IF(C497="","",IF(LEN(UPPER(SUBSTITUTE(SUBSTITUTE(SUBSTITUTE(SUBSTITUTE(TRIM(C497),".",""),"/",""),"-","")," ","")))&lt;14,RIGHT(REPT("0",14)&amp;UPPER(SUBSTITUTE(SUBSTITUTE(SUBSTITUTE(SUBSTITUTE(TRIM(C497),".",""),"/",""),"-","")," ","")),14),UPPER(SUBSTITUTE(SUBSTITUTE(SUBSTITUTE(SUBSTITUTE(TRIM(C497),".",""),"/",""),"-","")," ",""))))</f>
        <v/>
      </c>
      <c r="E497" s="25" t="str">
        <f aca="false">IF(D497="","",IFERROR(INDEX(Empresas!$C:$C,MATCH(D497,Empresas!$B:$B,0)),"cadastre o CNPJ em Empresas"))</f>
        <v/>
      </c>
      <c r="F497" s="23"/>
      <c r="G497" s="35"/>
      <c r="H497" s="24"/>
      <c r="I497" s="11"/>
      <c r="J497" s="27" t="str">
        <f aca="false">IF(A497="","",YEAR(A497))</f>
        <v/>
      </c>
      <c r="K497" s="24"/>
      <c r="L497" s="11"/>
    </row>
    <row r="498" customFormat="false" ht="15" hidden="false" customHeight="false" outlineLevel="0" collapsed="false">
      <c r="A498" s="22"/>
      <c r="B498" s="11"/>
      <c r="C498" s="24"/>
      <c r="D498" s="31" t="str">
        <f aca="false">IF(C498="","",IF(LEN(UPPER(SUBSTITUTE(SUBSTITUTE(SUBSTITUTE(SUBSTITUTE(TRIM(C498),".",""),"/",""),"-","")," ","")))&lt;14,RIGHT(REPT("0",14)&amp;UPPER(SUBSTITUTE(SUBSTITUTE(SUBSTITUTE(SUBSTITUTE(TRIM(C498),".",""),"/",""),"-","")," ","")),14),UPPER(SUBSTITUTE(SUBSTITUTE(SUBSTITUTE(SUBSTITUTE(TRIM(C498),".",""),"/",""),"-","")," ",""))))</f>
        <v/>
      </c>
      <c r="E498" s="25" t="str">
        <f aca="false">IF(D498="","",IFERROR(INDEX(Empresas!$C:$C,MATCH(D498,Empresas!$B:$B,0)),"cadastre o CNPJ em Empresas"))</f>
        <v/>
      </c>
      <c r="F498" s="23"/>
      <c r="G498" s="35"/>
      <c r="H498" s="24"/>
      <c r="I498" s="11"/>
      <c r="J498" s="27" t="str">
        <f aca="false">IF(A498="","",YEAR(A498))</f>
        <v/>
      </c>
      <c r="K498" s="24"/>
      <c r="L498" s="11"/>
    </row>
    <row r="499" customFormat="false" ht="15" hidden="false" customHeight="false" outlineLevel="0" collapsed="false">
      <c r="A499" s="22"/>
      <c r="B499" s="11"/>
      <c r="C499" s="24"/>
      <c r="D499" s="31" t="str">
        <f aca="false">IF(C499="","",IF(LEN(UPPER(SUBSTITUTE(SUBSTITUTE(SUBSTITUTE(SUBSTITUTE(TRIM(C499),".",""),"/",""),"-","")," ","")))&lt;14,RIGHT(REPT("0",14)&amp;UPPER(SUBSTITUTE(SUBSTITUTE(SUBSTITUTE(SUBSTITUTE(TRIM(C499),".",""),"/",""),"-","")," ","")),14),UPPER(SUBSTITUTE(SUBSTITUTE(SUBSTITUTE(SUBSTITUTE(TRIM(C499),".",""),"/",""),"-","")," ",""))))</f>
        <v/>
      </c>
      <c r="E499" s="25" t="str">
        <f aca="false">IF(D499="","",IFERROR(INDEX(Empresas!$C:$C,MATCH(D499,Empresas!$B:$B,0)),"cadastre o CNPJ em Empresas"))</f>
        <v/>
      </c>
      <c r="F499" s="23"/>
      <c r="G499" s="35"/>
      <c r="H499" s="24"/>
      <c r="I499" s="11"/>
      <c r="J499" s="27" t="str">
        <f aca="false">IF(A499="","",YEAR(A499))</f>
        <v/>
      </c>
      <c r="K499" s="24"/>
      <c r="L499" s="11"/>
    </row>
    <row r="500" customFormat="false" ht="15" hidden="false" customHeight="false" outlineLevel="0" collapsed="false">
      <c r="A500" s="22"/>
      <c r="B500" s="11"/>
      <c r="C500" s="24"/>
      <c r="D500" s="31" t="str">
        <f aca="false">IF(C500="","",IF(LEN(UPPER(SUBSTITUTE(SUBSTITUTE(SUBSTITUTE(SUBSTITUTE(TRIM(C500),".",""),"/",""),"-","")," ","")))&lt;14,RIGHT(REPT("0",14)&amp;UPPER(SUBSTITUTE(SUBSTITUTE(SUBSTITUTE(SUBSTITUTE(TRIM(C500),".",""),"/",""),"-","")," ","")),14),UPPER(SUBSTITUTE(SUBSTITUTE(SUBSTITUTE(SUBSTITUTE(TRIM(C500),".",""),"/",""),"-","")," ",""))))</f>
        <v/>
      </c>
      <c r="E500" s="25" t="str">
        <f aca="false">IF(D500="","",IFERROR(INDEX(Empresas!$C:$C,MATCH(D500,Empresas!$B:$B,0)),"cadastre o CNPJ em Empresas"))</f>
        <v/>
      </c>
      <c r="F500" s="23"/>
      <c r="G500" s="35"/>
      <c r="H500" s="24"/>
      <c r="I500" s="11"/>
      <c r="J500" s="27" t="str">
        <f aca="false">IF(A500="","",YEAR(A500))</f>
        <v/>
      </c>
      <c r="K500" s="24"/>
      <c r="L500" s="11"/>
    </row>
    <row r="501" customFormat="false" ht="15" hidden="false" customHeight="false" outlineLevel="0" collapsed="false">
      <c r="A501" s="22"/>
      <c r="B501" s="11"/>
      <c r="C501" s="24"/>
      <c r="D501" s="31" t="str">
        <f aca="false">IF(C501="","",IF(LEN(UPPER(SUBSTITUTE(SUBSTITUTE(SUBSTITUTE(SUBSTITUTE(TRIM(C501),".",""),"/",""),"-","")," ","")))&lt;14,RIGHT(REPT("0",14)&amp;UPPER(SUBSTITUTE(SUBSTITUTE(SUBSTITUTE(SUBSTITUTE(TRIM(C501),".",""),"/",""),"-","")," ","")),14),UPPER(SUBSTITUTE(SUBSTITUTE(SUBSTITUTE(SUBSTITUTE(TRIM(C501),".",""),"/",""),"-","")," ",""))))</f>
        <v/>
      </c>
      <c r="E501" s="25" t="str">
        <f aca="false">IF(D501="","",IFERROR(INDEX(Empresas!$C:$C,MATCH(D501,Empresas!$B:$B,0)),"cadastre o CNPJ em Empresas"))</f>
        <v/>
      </c>
      <c r="F501" s="23"/>
      <c r="G501" s="35"/>
      <c r="H501" s="24"/>
      <c r="I501" s="11"/>
      <c r="J501" s="27" t="str">
        <f aca="false">IF(A501="","",YEAR(A501))</f>
        <v/>
      </c>
      <c r="K501" s="24"/>
      <c r="L501" s="11"/>
    </row>
    <row r="502" customFormat="false" ht="15" hidden="false" customHeight="false" outlineLevel="0" collapsed="false">
      <c r="A502" s="22"/>
      <c r="B502" s="11"/>
      <c r="C502" s="24"/>
      <c r="D502" s="31" t="str">
        <f aca="false">IF(C502="","",IF(LEN(UPPER(SUBSTITUTE(SUBSTITUTE(SUBSTITUTE(SUBSTITUTE(TRIM(C502),".",""),"/",""),"-","")," ","")))&lt;14,RIGHT(REPT("0",14)&amp;UPPER(SUBSTITUTE(SUBSTITUTE(SUBSTITUTE(SUBSTITUTE(TRIM(C502),".",""),"/",""),"-","")," ","")),14),UPPER(SUBSTITUTE(SUBSTITUTE(SUBSTITUTE(SUBSTITUTE(TRIM(C502),".",""),"/",""),"-","")," ",""))))</f>
        <v/>
      </c>
      <c r="E502" s="25" t="str">
        <f aca="false">IF(D502="","",IFERROR(INDEX(Empresas!$C:$C,MATCH(D502,Empresas!$B:$B,0)),"cadastre o CNPJ em Empresas"))</f>
        <v/>
      </c>
      <c r="F502" s="23"/>
      <c r="G502" s="35"/>
      <c r="H502" s="24"/>
      <c r="I502" s="11"/>
      <c r="J502" s="27" t="str">
        <f aca="false">IF(A502="","",YEAR(A502))</f>
        <v/>
      </c>
      <c r="K502" s="24"/>
      <c r="L502" s="11"/>
    </row>
    <row r="503" customFormat="false" ht="15" hidden="false" customHeight="false" outlineLevel="0" collapsed="false">
      <c r="A503" s="22"/>
      <c r="B503" s="11"/>
      <c r="C503" s="24"/>
      <c r="D503" s="31" t="str">
        <f aca="false">IF(C503="","",IF(LEN(UPPER(SUBSTITUTE(SUBSTITUTE(SUBSTITUTE(SUBSTITUTE(TRIM(C503),".",""),"/",""),"-","")," ","")))&lt;14,RIGHT(REPT("0",14)&amp;UPPER(SUBSTITUTE(SUBSTITUTE(SUBSTITUTE(SUBSTITUTE(TRIM(C503),".",""),"/",""),"-","")," ","")),14),UPPER(SUBSTITUTE(SUBSTITUTE(SUBSTITUTE(SUBSTITUTE(TRIM(C503),".",""),"/",""),"-","")," ",""))))</f>
        <v/>
      </c>
      <c r="E503" s="25" t="str">
        <f aca="false">IF(D503="","",IFERROR(INDEX(Empresas!$C:$C,MATCH(D503,Empresas!$B:$B,0)),"cadastre o CNPJ em Empresas"))</f>
        <v/>
      </c>
      <c r="F503" s="23"/>
      <c r="G503" s="35"/>
      <c r="H503" s="24"/>
      <c r="I503" s="11"/>
      <c r="J503" s="27" t="str">
        <f aca="false">IF(A503="","",YEAR(A503))</f>
        <v/>
      </c>
      <c r="K503" s="24"/>
      <c r="L503" s="11"/>
    </row>
    <row r="504" customFormat="false" ht="15" hidden="false" customHeight="false" outlineLevel="0" collapsed="false">
      <c r="A504" s="22"/>
      <c r="B504" s="11"/>
      <c r="C504" s="24"/>
      <c r="D504" s="31" t="str">
        <f aca="false">IF(C504="","",IF(LEN(UPPER(SUBSTITUTE(SUBSTITUTE(SUBSTITUTE(SUBSTITUTE(TRIM(C504),".",""),"/",""),"-","")," ","")))&lt;14,RIGHT(REPT("0",14)&amp;UPPER(SUBSTITUTE(SUBSTITUTE(SUBSTITUTE(SUBSTITUTE(TRIM(C504),".",""),"/",""),"-","")," ","")),14),UPPER(SUBSTITUTE(SUBSTITUTE(SUBSTITUTE(SUBSTITUTE(TRIM(C504),".",""),"/",""),"-","")," ",""))))</f>
        <v/>
      </c>
      <c r="E504" s="25" t="str">
        <f aca="false">IF(D504="","",IFERROR(INDEX(Empresas!$C:$C,MATCH(D504,Empresas!$B:$B,0)),"cadastre o CNPJ em Empresas"))</f>
        <v/>
      </c>
      <c r="F504" s="23"/>
      <c r="G504" s="35"/>
      <c r="H504" s="24"/>
      <c r="I504" s="11"/>
      <c r="J504" s="27" t="str">
        <f aca="false">IF(A504="","",YEAR(A504))</f>
        <v/>
      </c>
      <c r="K504" s="24"/>
      <c r="L504" s="11"/>
    </row>
    <row r="505" customFormat="false" ht="15" hidden="false" customHeight="false" outlineLevel="0" collapsed="false">
      <c r="A505" s="22"/>
      <c r="B505" s="11"/>
      <c r="C505" s="24"/>
      <c r="D505" s="31" t="str">
        <f aca="false">IF(C505="","",IF(LEN(UPPER(SUBSTITUTE(SUBSTITUTE(SUBSTITUTE(SUBSTITUTE(TRIM(C505),".",""),"/",""),"-","")," ","")))&lt;14,RIGHT(REPT("0",14)&amp;UPPER(SUBSTITUTE(SUBSTITUTE(SUBSTITUTE(SUBSTITUTE(TRIM(C505),".",""),"/",""),"-","")," ","")),14),UPPER(SUBSTITUTE(SUBSTITUTE(SUBSTITUTE(SUBSTITUTE(TRIM(C505),".",""),"/",""),"-","")," ",""))))</f>
        <v/>
      </c>
      <c r="E505" s="25" t="str">
        <f aca="false">IF(D505="","",IFERROR(INDEX(Empresas!$C:$C,MATCH(D505,Empresas!$B:$B,0)),"cadastre o CNPJ em Empresas"))</f>
        <v/>
      </c>
      <c r="F505" s="23"/>
      <c r="G505" s="35"/>
      <c r="H505" s="24"/>
      <c r="I505" s="11"/>
      <c r="J505" s="27" t="str">
        <f aca="false">IF(A505="","",YEAR(A505))</f>
        <v/>
      </c>
      <c r="K505" s="24"/>
      <c r="L505" s="11"/>
    </row>
    <row r="506" customFormat="false" ht="15" hidden="false" customHeight="false" outlineLevel="0" collapsed="false">
      <c r="A506" s="22"/>
      <c r="B506" s="11"/>
      <c r="C506" s="24"/>
      <c r="D506" s="31" t="str">
        <f aca="false">IF(C506="","",IF(LEN(UPPER(SUBSTITUTE(SUBSTITUTE(SUBSTITUTE(SUBSTITUTE(TRIM(C506),".",""),"/",""),"-","")," ","")))&lt;14,RIGHT(REPT("0",14)&amp;UPPER(SUBSTITUTE(SUBSTITUTE(SUBSTITUTE(SUBSTITUTE(TRIM(C506),".",""),"/",""),"-","")," ","")),14),UPPER(SUBSTITUTE(SUBSTITUTE(SUBSTITUTE(SUBSTITUTE(TRIM(C506),".",""),"/",""),"-","")," ",""))))</f>
        <v/>
      </c>
      <c r="E506" s="25" t="str">
        <f aca="false">IF(D506="","",IFERROR(INDEX(Empresas!$C:$C,MATCH(D506,Empresas!$B:$B,0)),"cadastre o CNPJ em Empresas"))</f>
        <v/>
      </c>
      <c r="F506" s="23"/>
      <c r="G506" s="35"/>
      <c r="H506" s="24"/>
      <c r="I506" s="11"/>
      <c r="J506" s="27" t="str">
        <f aca="false">IF(A506="","",YEAR(A506))</f>
        <v/>
      </c>
      <c r="K506" s="24"/>
      <c r="L506" s="11"/>
    </row>
    <row r="507" customFormat="false" ht="15" hidden="false" customHeight="false" outlineLevel="0" collapsed="false">
      <c r="A507" s="22"/>
      <c r="B507" s="11"/>
      <c r="C507" s="24"/>
      <c r="D507" s="31" t="str">
        <f aca="false">IF(C507="","",IF(LEN(UPPER(SUBSTITUTE(SUBSTITUTE(SUBSTITUTE(SUBSTITUTE(TRIM(C507),".",""),"/",""),"-","")," ","")))&lt;14,RIGHT(REPT("0",14)&amp;UPPER(SUBSTITUTE(SUBSTITUTE(SUBSTITUTE(SUBSTITUTE(TRIM(C507),".",""),"/",""),"-","")," ","")),14),UPPER(SUBSTITUTE(SUBSTITUTE(SUBSTITUTE(SUBSTITUTE(TRIM(C507),".",""),"/",""),"-","")," ",""))))</f>
        <v/>
      </c>
      <c r="E507" s="25" t="str">
        <f aca="false">IF(D507="","",IFERROR(INDEX(Empresas!$C:$C,MATCH(D507,Empresas!$B:$B,0)),"cadastre o CNPJ em Empresas"))</f>
        <v/>
      </c>
      <c r="F507" s="23"/>
      <c r="G507" s="35"/>
      <c r="H507" s="24"/>
      <c r="I507" s="11"/>
      <c r="J507" s="27" t="str">
        <f aca="false">IF(A507="","",YEAR(A507))</f>
        <v/>
      </c>
      <c r="K507" s="24"/>
      <c r="L507" s="11"/>
    </row>
    <row r="508" customFormat="false" ht="15" hidden="false" customHeight="false" outlineLevel="0" collapsed="false">
      <c r="A508" s="22"/>
      <c r="B508" s="11"/>
      <c r="C508" s="24"/>
      <c r="D508" s="31" t="str">
        <f aca="false">IF(C508="","",IF(LEN(UPPER(SUBSTITUTE(SUBSTITUTE(SUBSTITUTE(SUBSTITUTE(TRIM(C508),".",""),"/",""),"-","")," ","")))&lt;14,RIGHT(REPT("0",14)&amp;UPPER(SUBSTITUTE(SUBSTITUTE(SUBSTITUTE(SUBSTITUTE(TRIM(C508),".",""),"/",""),"-","")," ","")),14),UPPER(SUBSTITUTE(SUBSTITUTE(SUBSTITUTE(SUBSTITUTE(TRIM(C508),".",""),"/",""),"-","")," ",""))))</f>
        <v/>
      </c>
      <c r="E508" s="25" t="str">
        <f aca="false">IF(D508="","",IFERROR(INDEX(Empresas!$C:$C,MATCH(D508,Empresas!$B:$B,0)),"cadastre o CNPJ em Empresas"))</f>
        <v/>
      </c>
      <c r="F508" s="23"/>
      <c r="G508" s="35"/>
      <c r="H508" s="24"/>
      <c r="I508" s="11"/>
      <c r="J508" s="27" t="str">
        <f aca="false">IF(A508="","",YEAR(A508))</f>
        <v/>
      </c>
      <c r="K508" s="24"/>
      <c r="L508" s="11"/>
    </row>
    <row r="509" customFormat="false" ht="15" hidden="false" customHeight="false" outlineLevel="0" collapsed="false">
      <c r="A509" s="22"/>
      <c r="B509" s="11"/>
      <c r="C509" s="24"/>
      <c r="D509" s="31" t="str">
        <f aca="false">IF(C509="","",IF(LEN(UPPER(SUBSTITUTE(SUBSTITUTE(SUBSTITUTE(SUBSTITUTE(TRIM(C509),".",""),"/",""),"-","")," ","")))&lt;14,RIGHT(REPT("0",14)&amp;UPPER(SUBSTITUTE(SUBSTITUTE(SUBSTITUTE(SUBSTITUTE(TRIM(C509),".",""),"/",""),"-","")," ","")),14),UPPER(SUBSTITUTE(SUBSTITUTE(SUBSTITUTE(SUBSTITUTE(TRIM(C509),".",""),"/",""),"-","")," ",""))))</f>
        <v/>
      </c>
      <c r="E509" s="25" t="str">
        <f aca="false">IF(D509="","",IFERROR(INDEX(Empresas!$C:$C,MATCH(D509,Empresas!$B:$B,0)),"cadastre o CNPJ em Empresas"))</f>
        <v/>
      </c>
      <c r="F509" s="23"/>
      <c r="G509" s="35"/>
      <c r="H509" s="24"/>
      <c r="I509" s="11"/>
      <c r="J509" s="27" t="str">
        <f aca="false">IF(A509="","",YEAR(A509))</f>
        <v/>
      </c>
      <c r="K509" s="24"/>
      <c r="L509" s="11"/>
    </row>
    <row r="510" customFormat="false" ht="15" hidden="false" customHeight="false" outlineLevel="0" collapsed="false">
      <c r="A510" s="22"/>
      <c r="B510" s="11"/>
      <c r="C510" s="24"/>
      <c r="D510" s="31" t="str">
        <f aca="false">IF(C510="","",IF(LEN(UPPER(SUBSTITUTE(SUBSTITUTE(SUBSTITUTE(SUBSTITUTE(TRIM(C510),".",""),"/",""),"-","")," ","")))&lt;14,RIGHT(REPT("0",14)&amp;UPPER(SUBSTITUTE(SUBSTITUTE(SUBSTITUTE(SUBSTITUTE(TRIM(C510),".",""),"/",""),"-","")," ","")),14),UPPER(SUBSTITUTE(SUBSTITUTE(SUBSTITUTE(SUBSTITUTE(TRIM(C510),".",""),"/",""),"-","")," ",""))))</f>
        <v/>
      </c>
      <c r="E510" s="25" t="str">
        <f aca="false">IF(D510="","",IFERROR(INDEX(Empresas!$C:$C,MATCH(D510,Empresas!$B:$B,0)),"cadastre o CNPJ em Empresas"))</f>
        <v/>
      </c>
      <c r="F510" s="23"/>
      <c r="G510" s="35"/>
      <c r="H510" s="24"/>
      <c r="I510" s="11"/>
      <c r="J510" s="27" t="str">
        <f aca="false">IF(A510="","",YEAR(A510))</f>
        <v/>
      </c>
      <c r="K510" s="24"/>
      <c r="L510" s="11"/>
    </row>
    <row r="511" customFormat="false" ht="15" hidden="false" customHeight="false" outlineLevel="0" collapsed="false">
      <c r="A511" s="22"/>
      <c r="B511" s="11"/>
      <c r="C511" s="24"/>
      <c r="D511" s="31" t="str">
        <f aca="false">IF(C511="","",IF(LEN(UPPER(SUBSTITUTE(SUBSTITUTE(SUBSTITUTE(SUBSTITUTE(TRIM(C511),".",""),"/",""),"-","")," ","")))&lt;14,RIGHT(REPT("0",14)&amp;UPPER(SUBSTITUTE(SUBSTITUTE(SUBSTITUTE(SUBSTITUTE(TRIM(C511),".",""),"/",""),"-","")," ","")),14),UPPER(SUBSTITUTE(SUBSTITUTE(SUBSTITUTE(SUBSTITUTE(TRIM(C511),".",""),"/",""),"-","")," ",""))))</f>
        <v/>
      </c>
      <c r="E511" s="25" t="str">
        <f aca="false">IF(D511="","",IFERROR(INDEX(Empresas!$C:$C,MATCH(D511,Empresas!$B:$B,0)),"cadastre o CNPJ em Empresas"))</f>
        <v/>
      </c>
      <c r="F511" s="23"/>
      <c r="G511" s="35"/>
      <c r="H511" s="24"/>
      <c r="I511" s="11"/>
      <c r="J511" s="27" t="str">
        <f aca="false">IF(A511="","",YEAR(A511))</f>
        <v/>
      </c>
      <c r="K511" s="24"/>
      <c r="L511" s="11"/>
    </row>
    <row r="512" customFormat="false" ht="15" hidden="false" customHeight="false" outlineLevel="0" collapsed="false">
      <c r="A512" s="22"/>
      <c r="B512" s="11"/>
      <c r="C512" s="24"/>
      <c r="D512" s="31" t="str">
        <f aca="false">IF(C512="","",IF(LEN(UPPER(SUBSTITUTE(SUBSTITUTE(SUBSTITUTE(SUBSTITUTE(TRIM(C512),".",""),"/",""),"-","")," ","")))&lt;14,RIGHT(REPT("0",14)&amp;UPPER(SUBSTITUTE(SUBSTITUTE(SUBSTITUTE(SUBSTITUTE(TRIM(C512),".",""),"/",""),"-","")," ","")),14),UPPER(SUBSTITUTE(SUBSTITUTE(SUBSTITUTE(SUBSTITUTE(TRIM(C512),".",""),"/",""),"-","")," ",""))))</f>
        <v/>
      </c>
      <c r="E512" s="25" t="str">
        <f aca="false">IF(D512="","",IFERROR(INDEX(Empresas!$C:$C,MATCH(D512,Empresas!$B:$B,0)),"cadastre o CNPJ em Empresas"))</f>
        <v/>
      </c>
      <c r="F512" s="23"/>
      <c r="G512" s="35"/>
      <c r="H512" s="24"/>
      <c r="I512" s="11"/>
      <c r="J512" s="27" t="str">
        <f aca="false">IF(A512="","",YEAR(A512))</f>
        <v/>
      </c>
      <c r="K512" s="24"/>
      <c r="L512" s="11"/>
    </row>
    <row r="513" customFormat="false" ht="15" hidden="false" customHeight="false" outlineLevel="0" collapsed="false">
      <c r="A513" s="22"/>
      <c r="B513" s="11"/>
      <c r="C513" s="24"/>
      <c r="D513" s="31" t="str">
        <f aca="false">IF(C513="","",IF(LEN(UPPER(SUBSTITUTE(SUBSTITUTE(SUBSTITUTE(SUBSTITUTE(TRIM(C513),".",""),"/",""),"-","")," ","")))&lt;14,RIGHT(REPT("0",14)&amp;UPPER(SUBSTITUTE(SUBSTITUTE(SUBSTITUTE(SUBSTITUTE(TRIM(C513),".",""),"/",""),"-","")," ","")),14),UPPER(SUBSTITUTE(SUBSTITUTE(SUBSTITUTE(SUBSTITUTE(TRIM(C513),".",""),"/",""),"-","")," ",""))))</f>
        <v/>
      </c>
      <c r="E513" s="25" t="str">
        <f aca="false">IF(D513="","",IFERROR(INDEX(Empresas!$C:$C,MATCH(D513,Empresas!$B:$B,0)),"cadastre o CNPJ em Empresas"))</f>
        <v/>
      </c>
      <c r="F513" s="23"/>
      <c r="G513" s="35"/>
      <c r="H513" s="24"/>
      <c r="I513" s="11"/>
      <c r="J513" s="27" t="str">
        <f aca="false">IF(A513="","",YEAR(A513))</f>
        <v/>
      </c>
      <c r="K513" s="24"/>
      <c r="L513" s="11"/>
    </row>
    <row r="514" customFormat="false" ht="15" hidden="false" customHeight="false" outlineLevel="0" collapsed="false">
      <c r="A514" s="22"/>
      <c r="B514" s="11"/>
      <c r="C514" s="24"/>
      <c r="D514" s="31" t="str">
        <f aca="false">IF(C514="","",IF(LEN(UPPER(SUBSTITUTE(SUBSTITUTE(SUBSTITUTE(SUBSTITUTE(TRIM(C514),".",""),"/",""),"-","")," ","")))&lt;14,RIGHT(REPT("0",14)&amp;UPPER(SUBSTITUTE(SUBSTITUTE(SUBSTITUTE(SUBSTITUTE(TRIM(C514),".",""),"/",""),"-","")," ","")),14),UPPER(SUBSTITUTE(SUBSTITUTE(SUBSTITUTE(SUBSTITUTE(TRIM(C514),".",""),"/",""),"-","")," ",""))))</f>
        <v/>
      </c>
      <c r="E514" s="25" t="str">
        <f aca="false">IF(D514="","",IFERROR(INDEX(Empresas!$C:$C,MATCH(D514,Empresas!$B:$B,0)),"cadastre o CNPJ em Empresas"))</f>
        <v/>
      </c>
      <c r="F514" s="23"/>
      <c r="G514" s="35"/>
      <c r="H514" s="24"/>
      <c r="I514" s="11"/>
      <c r="J514" s="27" t="str">
        <f aca="false">IF(A514="","",YEAR(A514))</f>
        <v/>
      </c>
      <c r="K514" s="24"/>
      <c r="L514" s="11"/>
    </row>
    <row r="515" customFormat="false" ht="15" hidden="false" customHeight="false" outlineLevel="0" collapsed="false">
      <c r="A515" s="22"/>
      <c r="B515" s="11"/>
      <c r="C515" s="24"/>
      <c r="D515" s="31" t="str">
        <f aca="false">IF(C515="","",IF(LEN(UPPER(SUBSTITUTE(SUBSTITUTE(SUBSTITUTE(SUBSTITUTE(TRIM(C515),".",""),"/",""),"-","")," ","")))&lt;14,RIGHT(REPT("0",14)&amp;UPPER(SUBSTITUTE(SUBSTITUTE(SUBSTITUTE(SUBSTITUTE(TRIM(C515),".",""),"/",""),"-","")," ","")),14),UPPER(SUBSTITUTE(SUBSTITUTE(SUBSTITUTE(SUBSTITUTE(TRIM(C515),".",""),"/",""),"-","")," ",""))))</f>
        <v/>
      </c>
      <c r="E515" s="25" t="str">
        <f aca="false">IF(D515="","",IFERROR(INDEX(Empresas!$C:$C,MATCH(D515,Empresas!$B:$B,0)),"cadastre o CNPJ em Empresas"))</f>
        <v/>
      </c>
      <c r="F515" s="23"/>
      <c r="G515" s="35"/>
      <c r="H515" s="24"/>
      <c r="I515" s="11"/>
      <c r="J515" s="27" t="str">
        <f aca="false">IF(A515="","",YEAR(A515))</f>
        <v/>
      </c>
      <c r="K515" s="24"/>
      <c r="L515" s="11"/>
    </row>
    <row r="516" customFormat="false" ht="15" hidden="false" customHeight="false" outlineLevel="0" collapsed="false">
      <c r="A516" s="22"/>
      <c r="B516" s="11"/>
      <c r="C516" s="24"/>
      <c r="D516" s="31" t="str">
        <f aca="false">IF(C516="","",IF(LEN(UPPER(SUBSTITUTE(SUBSTITUTE(SUBSTITUTE(SUBSTITUTE(TRIM(C516),".",""),"/",""),"-","")," ","")))&lt;14,RIGHT(REPT("0",14)&amp;UPPER(SUBSTITUTE(SUBSTITUTE(SUBSTITUTE(SUBSTITUTE(TRIM(C516),".",""),"/",""),"-","")," ","")),14),UPPER(SUBSTITUTE(SUBSTITUTE(SUBSTITUTE(SUBSTITUTE(TRIM(C516),".",""),"/",""),"-","")," ",""))))</f>
        <v/>
      </c>
      <c r="E516" s="25" t="str">
        <f aca="false">IF(D516="","",IFERROR(INDEX(Empresas!$C:$C,MATCH(D516,Empresas!$B:$B,0)),"cadastre o CNPJ em Empresas"))</f>
        <v/>
      </c>
      <c r="F516" s="23"/>
      <c r="G516" s="35"/>
      <c r="H516" s="24"/>
      <c r="I516" s="11"/>
      <c r="J516" s="27" t="str">
        <f aca="false">IF(A516="","",YEAR(A516))</f>
        <v/>
      </c>
      <c r="K516" s="24"/>
      <c r="L516" s="11"/>
    </row>
    <row r="517" customFormat="false" ht="15" hidden="false" customHeight="false" outlineLevel="0" collapsed="false">
      <c r="A517" s="22"/>
      <c r="B517" s="11"/>
      <c r="C517" s="24"/>
      <c r="D517" s="31" t="str">
        <f aca="false">IF(C517="","",IF(LEN(UPPER(SUBSTITUTE(SUBSTITUTE(SUBSTITUTE(SUBSTITUTE(TRIM(C517),".",""),"/",""),"-","")," ","")))&lt;14,RIGHT(REPT("0",14)&amp;UPPER(SUBSTITUTE(SUBSTITUTE(SUBSTITUTE(SUBSTITUTE(TRIM(C517),".",""),"/",""),"-","")," ","")),14),UPPER(SUBSTITUTE(SUBSTITUTE(SUBSTITUTE(SUBSTITUTE(TRIM(C517),".",""),"/",""),"-","")," ",""))))</f>
        <v/>
      </c>
      <c r="E517" s="25" t="str">
        <f aca="false">IF(D517="","",IFERROR(INDEX(Empresas!$C:$C,MATCH(D517,Empresas!$B:$B,0)),"cadastre o CNPJ em Empresas"))</f>
        <v/>
      </c>
      <c r="F517" s="23"/>
      <c r="G517" s="35"/>
      <c r="H517" s="24"/>
      <c r="I517" s="11"/>
      <c r="J517" s="27" t="str">
        <f aca="false">IF(A517="","",YEAR(A517))</f>
        <v/>
      </c>
      <c r="K517" s="24"/>
      <c r="L517" s="11"/>
    </row>
    <row r="518" customFormat="false" ht="15" hidden="false" customHeight="false" outlineLevel="0" collapsed="false">
      <c r="A518" s="22"/>
      <c r="B518" s="11"/>
      <c r="C518" s="24"/>
      <c r="D518" s="31" t="str">
        <f aca="false">IF(C518="","",IF(LEN(UPPER(SUBSTITUTE(SUBSTITUTE(SUBSTITUTE(SUBSTITUTE(TRIM(C518),".",""),"/",""),"-","")," ","")))&lt;14,RIGHT(REPT("0",14)&amp;UPPER(SUBSTITUTE(SUBSTITUTE(SUBSTITUTE(SUBSTITUTE(TRIM(C518),".",""),"/",""),"-","")," ","")),14),UPPER(SUBSTITUTE(SUBSTITUTE(SUBSTITUTE(SUBSTITUTE(TRIM(C518),".",""),"/",""),"-","")," ",""))))</f>
        <v/>
      </c>
      <c r="E518" s="25" t="str">
        <f aca="false">IF(D518="","",IFERROR(INDEX(Empresas!$C:$C,MATCH(D518,Empresas!$B:$B,0)),"cadastre o CNPJ em Empresas"))</f>
        <v/>
      </c>
      <c r="F518" s="23"/>
      <c r="G518" s="35"/>
      <c r="H518" s="24"/>
      <c r="I518" s="11"/>
      <c r="J518" s="27" t="str">
        <f aca="false">IF(A518="","",YEAR(A518))</f>
        <v/>
      </c>
      <c r="K518" s="24"/>
      <c r="L518" s="11"/>
    </row>
    <row r="519" customFormat="false" ht="15" hidden="false" customHeight="false" outlineLevel="0" collapsed="false">
      <c r="A519" s="22"/>
      <c r="B519" s="11"/>
      <c r="C519" s="24"/>
      <c r="D519" s="31" t="str">
        <f aca="false">IF(C519="","",IF(LEN(UPPER(SUBSTITUTE(SUBSTITUTE(SUBSTITUTE(SUBSTITUTE(TRIM(C519),".",""),"/",""),"-","")," ","")))&lt;14,RIGHT(REPT("0",14)&amp;UPPER(SUBSTITUTE(SUBSTITUTE(SUBSTITUTE(SUBSTITUTE(TRIM(C519),".",""),"/",""),"-","")," ","")),14),UPPER(SUBSTITUTE(SUBSTITUTE(SUBSTITUTE(SUBSTITUTE(TRIM(C519),".",""),"/",""),"-","")," ",""))))</f>
        <v/>
      </c>
      <c r="E519" s="25" t="str">
        <f aca="false">IF(D519="","",IFERROR(INDEX(Empresas!$C:$C,MATCH(D519,Empresas!$B:$B,0)),"cadastre o CNPJ em Empresas"))</f>
        <v/>
      </c>
      <c r="F519" s="23"/>
      <c r="G519" s="35"/>
      <c r="H519" s="24"/>
      <c r="I519" s="11"/>
      <c r="J519" s="27" t="str">
        <f aca="false">IF(A519="","",YEAR(A519))</f>
        <v/>
      </c>
      <c r="K519" s="24"/>
      <c r="L519" s="11"/>
    </row>
    <row r="520" customFormat="false" ht="15" hidden="false" customHeight="false" outlineLevel="0" collapsed="false">
      <c r="A520" s="22"/>
      <c r="B520" s="11"/>
      <c r="C520" s="24"/>
      <c r="D520" s="31" t="str">
        <f aca="false">IF(C520="","",IF(LEN(UPPER(SUBSTITUTE(SUBSTITUTE(SUBSTITUTE(SUBSTITUTE(TRIM(C520),".",""),"/",""),"-","")," ","")))&lt;14,RIGHT(REPT("0",14)&amp;UPPER(SUBSTITUTE(SUBSTITUTE(SUBSTITUTE(SUBSTITUTE(TRIM(C520),".",""),"/",""),"-","")," ","")),14),UPPER(SUBSTITUTE(SUBSTITUTE(SUBSTITUTE(SUBSTITUTE(TRIM(C520),".",""),"/",""),"-","")," ",""))))</f>
        <v/>
      </c>
      <c r="E520" s="25" t="str">
        <f aca="false">IF(D520="","",IFERROR(INDEX(Empresas!$C:$C,MATCH(D520,Empresas!$B:$B,0)),"cadastre o CNPJ em Empresas"))</f>
        <v/>
      </c>
      <c r="F520" s="23"/>
      <c r="G520" s="35"/>
      <c r="H520" s="24"/>
      <c r="I520" s="11"/>
      <c r="J520" s="27" t="str">
        <f aca="false">IF(A520="","",YEAR(A520))</f>
        <v/>
      </c>
      <c r="K520" s="24"/>
      <c r="L520" s="11"/>
    </row>
    <row r="521" customFormat="false" ht="15" hidden="false" customHeight="false" outlineLevel="0" collapsed="false">
      <c r="A521" s="22"/>
      <c r="B521" s="11"/>
      <c r="C521" s="24"/>
      <c r="D521" s="31" t="str">
        <f aca="false">IF(C521="","",IF(LEN(UPPER(SUBSTITUTE(SUBSTITUTE(SUBSTITUTE(SUBSTITUTE(TRIM(C521),".",""),"/",""),"-","")," ","")))&lt;14,RIGHT(REPT("0",14)&amp;UPPER(SUBSTITUTE(SUBSTITUTE(SUBSTITUTE(SUBSTITUTE(TRIM(C521),".",""),"/",""),"-","")," ","")),14),UPPER(SUBSTITUTE(SUBSTITUTE(SUBSTITUTE(SUBSTITUTE(TRIM(C521),".",""),"/",""),"-","")," ",""))))</f>
        <v/>
      </c>
      <c r="E521" s="25" t="str">
        <f aca="false">IF(D521="","",IFERROR(INDEX(Empresas!$C:$C,MATCH(D521,Empresas!$B:$B,0)),"cadastre o CNPJ em Empresas"))</f>
        <v/>
      </c>
      <c r="F521" s="23"/>
      <c r="G521" s="35"/>
      <c r="H521" s="24"/>
      <c r="I521" s="11"/>
      <c r="J521" s="27" t="str">
        <f aca="false">IF(A521="","",YEAR(A521))</f>
        <v/>
      </c>
      <c r="K521" s="24"/>
      <c r="L521" s="11"/>
    </row>
    <row r="522" customFormat="false" ht="15" hidden="false" customHeight="false" outlineLevel="0" collapsed="false">
      <c r="A522" s="22"/>
      <c r="B522" s="11"/>
      <c r="C522" s="24"/>
      <c r="D522" s="31" t="str">
        <f aca="false">IF(C522="","",IF(LEN(UPPER(SUBSTITUTE(SUBSTITUTE(SUBSTITUTE(SUBSTITUTE(TRIM(C522),".",""),"/",""),"-","")," ","")))&lt;14,RIGHT(REPT("0",14)&amp;UPPER(SUBSTITUTE(SUBSTITUTE(SUBSTITUTE(SUBSTITUTE(TRIM(C522),".",""),"/",""),"-","")," ","")),14),UPPER(SUBSTITUTE(SUBSTITUTE(SUBSTITUTE(SUBSTITUTE(TRIM(C522),".",""),"/",""),"-","")," ",""))))</f>
        <v/>
      </c>
      <c r="E522" s="25" t="str">
        <f aca="false">IF(D522="","",IFERROR(INDEX(Empresas!$C:$C,MATCH(D522,Empresas!$B:$B,0)),"cadastre o CNPJ em Empresas"))</f>
        <v/>
      </c>
      <c r="F522" s="23"/>
      <c r="G522" s="35"/>
      <c r="H522" s="24"/>
      <c r="I522" s="11"/>
      <c r="J522" s="27" t="str">
        <f aca="false">IF(A522="","",YEAR(A522))</f>
        <v/>
      </c>
      <c r="K522" s="24"/>
      <c r="L522" s="11"/>
    </row>
    <row r="523" customFormat="false" ht="15" hidden="false" customHeight="false" outlineLevel="0" collapsed="false">
      <c r="A523" s="22"/>
      <c r="B523" s="11"/>
      <c r="C523" s="24"/>
      <c r="D523" s="31" t="str">
        <f aca="false">IF(C523="","",IF(LEN(UPPER(SUBSTITUTE(SUBSTITUTE(SUBSTITUTE(SUBSTITUTE(TRIM(C523),".",""),"/",""),"-","")," ","")))&lt;14,RIGHT(REPT("0",14)&amp;UPPER(SUBSTITUTE(SUBSTITUTE(SUBSTITUTE(SUBSTITUTE(TRIM(C523),".",""),"/",""),"-","")," ","")),14),UPPER(SUBSTITUTE(SUBSTITUTE(SUBSTITUTE(SUBSTITUTE(TRIM(C523),".",""),"/",""),"-","")," ",""))))</f>
        <v/>
      </c>
      <c r="E523" s="25" t="str">
        <f aca="false">IF(D523="","",IFERROR(INDEX(Empresas!$C:$C,MATCH(D523,Empresas!$B:$B,0)),"cadastre o CNPJ em Empresas"))</f>
        <v/>
      </c>
      <c r="F523" s="23"/>
      <c r="G523" s="35"/>
      <c r="H523" s="24"/>
      <c r="I523" s="11"/>
      <c r="J523" s="27" t="str">
        <f aca="false">IF(A523="","",YEAR(A523))</f>
        <v/>
      </c>
      <c r="K523" s="24"/>
      <c r="L523" s="11"/>
    </row>
    <row r="524" customFormat="false" ht="15" hidden="false" customHeight="false" outlineLevel="0" collapsed="false">
      <c r="A524" s="22"/>
      <c r="B524" s="11"/>
      <c r="C524" s="24"/>
      <c r="D524" s="31" t="str">
        <f aca="false">IF(C524="","",IF(LEN(UPPER(SUBSTITUTE(SUBSTITUTE(SUBSTITUTE(SUBSTITUTE(TRIM(C524),".",""),"/",""),"-","")," ","")))&lt;14,RIGHT(REPT("0",14)&amp;UPPER(SUBSTITUTE(SUBSTITUTE(SUBSTITUTE(SUBSTITUTE(TRIM(C524),".",""),"/",""),"-","")," ","")),14),UPPER(SUBSTITUTE(SUBSTITUTE(SUBSTITUTE(SUBSTITUTE(TRIM(C524),".",""),"/",""),"-","")," ",""))))</f>
        <v/>
      </c>
      <c r="E524" s="25" t="str">
        <f aca="false">IF(D524="","",IFERROR(INDEX(Empresas!$C:$C,MATCH(D524,Empresas!$B:$B,0)),"cadastre o CNPJ em Empresas"))</f>
        <v/>
      </c>
      <c r="F524" s="23"/>
      <c r="G524" s="35"/>
      <c r="H524" s="24"/>
      <c r="I524" s="11"/>
      <c r="J524" s="27" t="str">
        <f aca="false">IF(A524="","",YEAR(A524))</f>
        <v/>
      </c>
      <c r="K524" s="24"/>
      <c r="L524" s="11"/>
    </row>
    <row r="525" customFormat="false" ht="15" hidden="false" customHeight="false" outlineLevel="0" collapsed="false">
      <c r="A525" s="22"/>
      <c r="B525" s="11"/>
      <c r="C525" s="24"/>
      <c r="D525" s="31" t="str">
        <f aca="false">IF(C525="","",IF(LEN(UPPER(SUBSTITUTE(SUBSTITUTE(SUBSTITUTE(SUBSTITUTE(TRIM(C525),".",""),"/",""),"-","")," ","")))&lt;14,RIGHT(REPT("0",14)&amp;UPPER(SUBSTITUTE(SUBSTITUTE(SUBSTITUTE(SUBSTITUTE(TRIM(C525),".",""),"/",""),"-","")," ","")),14),UPPER(SUBSTITUTE(SUBSTITUTE(SUBSTITUTE(SUBSTITUTE(TRIM(C525),".",""),"/",""),"-","")," ",""))))</f>
        <v/>
      </c>
      <c r="E525" s="25" t="str">
        <f aca="false">IF(D525="","",IFERROR(INDEX(Empresas!$C:$C,MATCH(D525,Empresas!$B:$B,0)),"cadastre o CNPJ em Empresas"))</f>
        <v/>
      </c>
      <c r="F525" s="23"/>
      <c r="G525" s="35"/>
      <c r="H525" s="24"/>
      <c r="I525" s="11"/>
      <c r="J525" s="27" t="str">
        <f aca="false">IF(A525="","",YEAR(A525))</f>
        <v/>
      </c>
      <c r="K525" s="24"/>
      <c r="L525" s="11"/>
    </row>
    <row r="526" customFormat="false" ht="15" hidden="false" customHeight="false" outlineLevel="0" collapsed="false">
      <c r="A526" s="22"/>
      <c r="B526" s="11"/>
      <c r="C526" s="24"/>
      <c r="D526" s="31" t="str">
        <f aca="false">IF(C526="","",IF(LEN(UPPER(SUBSTITUTE(SUBSTITUTE(SUBSTITUTE(SUBSTITUTE(TRIM(C526),".",""),"/",""),"-","")," ","")))&lt;14,RIGHT(REPT("0",14)&amp;UPPER(SUBSTITUTE(SUBSTITUTE(SUBSTITUTE(SUBSTITUTE(TRIM(C526),".",""),"/",""),"-","")," ","")),14),UPPER(SUBSTITUTE(SUBSTITUTE(SUBSTITUTE(SUBSTITUTE(TRIM(C526),".",""),"/",""),"-","")," ",""))))</f>
        <v/>
      </c>
      <c r="E526" s="25" t="str">
        <f aca="false">IF(D526="","",IFERROR(INDEX(Empresas!$C:$C,MATCH(D526,Empresas!$B:$B,0)),"cadastre o CNPJ em Empresas"))</f>
        <v/>
      </c>
      <c r="F526" s="23"/>
      <c r="G526" s="35"/>
      <c r="H526" s="24"/>
      <c r="I526" s="11"/>
      <c r="J526" s="27" t="str">
        <f aca="false">IF(A526="","",YEAR(A526))</f>
        <v/>
      </c>
      <c r="K526" s="24"/>
      <c r="L526" s="11"/>
    </row>
    <row r="527" customFormat="false" ht="15" hidden="false" customHeight="false" outlineLevel="0" collapsed="false">
      <c r="A527" s="22"/>
      <c r="B527" s="11"/>
      <c r="C527" s="24"/>
      <c r="D527" s="31" t="str">
        <f aca="false">IF(C527="","",IF(LEN(UPPER(SUBSTITUTE(SUBSTITUTE(SUBSTITUTE(SUBSTITUTE(TRIM(C527),".",""),"/",""),"-","")," ","")))&lt;14,RIGHT(REPT("0",14)&amp;UPPER(SUBSTITUTE(SUBSTITUTE(SUBSTITUTE(SUBSTITUTE(TRIM(C527),".",""),"/",""),"-","")," ","")),14),UPPER(SUBSTITUTE(SUBSTITUTE(SUBSTITUTE(SUBSTITUTE(TRIM(C527),".",""),"/",""),"-","")," ",""))))</f>
        <v/>
      </c>
      <c r="E527" s="25" t="str">
        <f aca="false">IF(D527="","",IFERROR(INDEX(Empresas!$C:$C,MATCH(D527,Empresas!$B:$B,0)),"cadastre o CNPJ em Empresas"))</f>
        <v/>
      </c>
      <c r="F527" s="23"/>
      <c r="G527" s="35"/>
      <c r="H527" s="24"/>
      <c r="I527" s="11"/>
      <c r="J527" s="27" t="str">
        <f aca="false">IF(A527="","",YEAR(A527))</f>
        <v/>
      </c>
      <c r="K527" s="24"/>
      <c r="L527" s="11"/>
    </row>
    <row r="528" customFormat="false" ht="15" hidden="false" customHeight="false" outlineLevel="0" collapsed="false">
      <c r="A528" s="22"/>
      <c r="B528" s="11"/>
      <c r="C528" s="24"/>
      <c r="D528" s="31" t="str">
        <f aca="false">IF(C528="","",IF(LEN(UPPER(SUBSTITUTE(SUBSTITUTE(SUBSTITUTE(SUBSTITUTE(TRIM(C528),".",""),"/",""),"-","")," ","")))&lt;14,RIGHT(REPT("0",14)&amp;UPPER(SUBSTITUTE(SUBSTITUTE(SUBSTITUTE(SUBSTITUTE(TRIM(C528),".",""),"/",""),"-","")," ","")),14),UPPER(SUBSTITUTE(SUBSTITUTE(SUBSTITUTE(SUBSTITUTE(TRIM(C528),".",""),"/",""),"-","")," ",""))))</f>
        <v/>
      </c>
      <c r="E528" s="25" t="str">
        <f aca="false">IF(D528="","",IFERROR(INDEX(Empresas!$C:$C,MATCH(D528,Empresas!$B:$B,0)),"cadastre o CNPJ em Empresas"))</f>
        <v/>
      </c>
      <c r="F528" s="23"/>
      <c r="G528" s="35"/>
      <c r="H528" s="24"/>
      <c r="I528" s="11"/>
      <c r="J528" s="27" t="str">
        <f aca="false">IF(A528="","",YEAR(A528))</f>
        <v/>
      </c>
      <c r="K528" s="24"/>
      <c r="L528" s="11"/>
    </row>
    <row r="529" customFormat="false" ht="15" hidden="false" customHeight="false" outlineLevel="0" collapsed="false">
      <c r="A529" s="22"/>
      <c r="B529" s="11"/>
      <c r="C529" s="24"/>
      <c r="D529" s="31" t="str">
        <f aca="false">IF(C529="","",IF(LEN(UPPER(SUBSTITUTE(SUBSTITUTE(SUBSTITUTE(SUBSTITUTE(TRIM(C529),".",""),"/",""),"-","")," ","")))&lt;14,RIGHT(REPT("0",14)&amp;UPPER(SUBSTITUTE(SUBSTITUTE(SUBSTITUTE(SUBSTITUTE(TRIM(C529),".",""),"/",""),"-","")," ","")),14),UPPER(SUBSTITUTE(SUBSTITUTE(SUBSTITUTE(SUBSTITUTE(TRIM(C529),".",""),"/",""),"-","")," ",""))))</f>
        <v/>
      </c>
      <c r="E529" s="25" t="str">
        <f aca="false">IF(D529="","",IFERROR(INDEX(Empresas!$C:$C,MATCH(D529,Empresas!$B:$B,0)),"cadastre o CNPJ em Empresas"))</f>
        <v/>
      </c>
      <c r="F529" s="23"/>
      <c r="G529" s="35"/>
      <c r="H529" s="24"/>
      <c r="I529" s="11"/>
      <c r="J529" s="27" t="str">
        <f aca="false">IF(A529="","",YEAR(A529))</f>
        <v/>
      </c>
      <c r="K529" s="24"/>
      <c r="L529" s="11"/>
    </row>
    <row r="530" customFormat="false" ht="15" hidden="false" customHeight="false" outlineLevel="0" collapsed="false">
      <c r="A530" s="22"/>
      <c r="B530" s="11"/>
      <c r="C530" s="24"/>
      <c r="D530" s="31" t="str">
        <f aca="false">IF(C530="","",IF(LEN(UPPER(SUBSTITUTE(SUBSTITUTE(SUBSTITUTE(SUBSTITUTE(TRIM(C530),".",""),"/",""),"-","")," ","")))&lt;14,RIGHT(REPT("0",14)&amp;UPPER(SUBSTITUTE(SUBSTITUTE(SUBSTITUTE(SUBSTITUTE(TRIM(C530),".",""),"/",""),"-","")," ","")),14),UPPER(SUBSTITUTE(SUBSTITUTE(SUBSTITUTE(SUBSTITUTE(TRIM(C530),".",""),"/",""),"-","")," ",""))))</f>
        <v/>
      </c>
      <c r="E530" s="25" t="str">
        <f aca="false">IF(D530="","",IFERROR(INDEX(Empresas!$C:$C,MATCH(D530,Empresas!$B:$B,0)),"cadastre o CNPJ em Empresas"))</f>
        <v/>
      </c>
      <c r="F530" s="23"/>
      <c r="G530" s="35"/>
      <c r="H530" s="24"/>
      <c r="I530" s="11"/>
      <c r="J530" s="27" t="str">
        <f aca="false">IF(A530="","",YEAR(A530))</f>
        <v/>
      </c>
      <c r="K530" s="24"/>
      <c r="L530" s="11"/>
    </row>
    <row r="531" customFormat="false" ht="15" hidden="false" customHeight="false" outlineLevel="0" collapsed="false">
      <c r="A531" s="22"/>
      <c r="B531" s="11"/>
      <c r="C531" s="24"/>
      <c r="D531" s="31" t="str">
        <f aca="false">IF(C531="","",IF(LEN(UPPER(SUBSTITUTE(SUBSTITUTE(SUBSTITUTE(SUBSTITUTE(TRIM(C531),".",""),"/",""),"-","")," ","")))&lt;14,RIGHT(REPT("0",14)&amp;UPPER(SUBSTITUTE(SUBSTITUTE(SUBSTITUTE(SUBSTITUTE(TRIM(C531),".",""),"/",""),"-","")," ","")),14),UPPER(SUBSTITUTE(SUBSTITUTE(SUBSTITUTE(SUBSTITUTE(TRIM(C531),".",""),"/",""),"-","")," ",""))))</f>
        <v/>
      </c>
      <c r="E531" s="25" t="str">
        <f aca="false">IF(D531="","",IFERROR(INDEX(Empresas!$C:$C,MATCH(D531,Empresas!$B:$B,0)),"cadastre o CNPJ em Empresas"))</f>
        <v/>
      </c>
      <c r="F531" s="23"/>
      <c r="G531" s="35"/>
      <c r="H531" s="24"/>
      <c r="I531" s="11"/>
      <c r="J531" s="27" t="str">
        <f aca="false">IF(A531="","",YEAR(A531))</f>
        <v/>
      </c>
      <c r="K531" s="24"/>
      <c r="L531" s="11"/>
    </row>
    <row r="532" customFormat="false" ht="15" hidden="false" customHeight="false" outlineLevel="0" collapsed="false">
      <c r="A532" s="22"/>
      <c r="B532" s="11"/>
      <c r="C532" s="24"/>
      <c r="D532" s="31" t="str">
        <f aca="false">IF(C532="","",IF(LEN(UPPER(SUBSTITUTE(SUBSTITUTE(SUBSTITUTE(SUBSTITUTE(TRIM(C532),".",""),"/",""),"-","")," ","")))&lt;14,RIGHT(REPT("0",14)&amp;UPPER(SUBSTITUTE(SUBSTITUTE(SUBSTITUTE(SUBSTITUTE(TRIM(C532),".",""),"/",""),"-","")," ","")),14),UPPER(SUBSTITUTE(SUBSTITUTE(SUBSTITUTE(SUBSTITUTE(TRIM(C532),".",""),"/",""),"-","")," ",""))))</f>
        <v/>
      </c>
      <c r="E532" s="25" t="str">
        <f aca="false">IF(D532="","",IFERROR(INDEX(Empresas!$C:$C,MATCH(D532,Empresas!$B:$B,0)),"cadastre o CNPJ em Empresas"))</f>
        <v/>
      </c>
      <c r="F532" s="23"/>
      <c r="G532" s="35"/>
      <c r="H532" s="24"/>
      <c r="I532" s="11"/>
      <c r="J532" s="27" t="str">
        <f aca="false">IF(A532="","",YEAR(A532))</f>
        <v/>
      </c>
      <c r="K532" s="24"/>
      <c r="L532" s="11"/>
    </row>
    <row r="533" customFormat="false" ht="15" hidden="false" customHeight="false" outlineLevel="0" collapsed="false">
      <c r="A533" s="22"/>
      <c r="B533" s="11"/>
      <c r="C533" s="24"/>
      <c r="D533" s="31" t="str">
        <f aca="false">IF(C533="","",IF(LEN(UPPER(SUBSTITUTE(SUBSTITUTE(SUBSTITUTE(SUBSTITUTE(TRIM(C533),".",""),"/",""),"-","")," ","")))&lt;14,RIGHT(REPT("0",14)&amp;UPPER(SUBSTITUTE(SUBSTITUTE(SUBSTITUTE(SUBSTITUTE(TRIM(C533),".",""),"/",""),"-","")," ","")),14),UPPER(SUBSTITUTE(SUBSTITUTE(SUBSTITUTE(SUBSTITUTE(TRIM(C533),".",""),"/",""),"-","")," ",""))))</f>
        <v/>
      </c>
      <c r="E533" s="25" t="str">
        <f aca="false">IF(D533="","",IFERROR(INDEX(Empresas!$C:$C,MATCH(D533,Empresas!$B:$B,0)),"cadastre o CNPJ em Empresas"))</f>
        <v/>
      </c>
      <c r="F533" s="23"/>
      <c r="G533" s="35"/>
      <c r="H533" s="24"/>
      <c r="I533" s="11"/>
      <c r="J533" s="27" t="str">
        <f aca="false">IF(A533="","",YEAR(A533))</f>
        <v/>
      </c>
      <c r="K533" s="24"/>
      <c r="L533" s="11"/>
    </row>
    <row r="534" customFormat="false" ht="15" hidden="false" customHeight="false" outlineLevel="0" collapsed="false">
      <c r="A534" s="22"/>
      <c r="B534" s="11"/>
      <c r="C534" s="24"/>
      <c r="D534" s="31" t="str">
        <f aca="false">IF(C534="","",IF(LEN(UPPER(SUBSTITUTE(SUBSTITUTE(SUBSTITUTE(SUBSTITUTE(TRIM(C534),".",""),"/",""),"-","")," ","")))&lt;14,RIGHT(REPT("0",14)&amp;UPPER(SUBSTITUTE(SUBSTITUTE(SUBSTITUTE(SUBSTITUTE(TRIM(C534),".",""),"/",""),"-","")," ","")),14),UPPER(SUBSTITUTE(SUBSTITUTE(SUBSTITUTE(SUBSTITUTE(TRIM(C534),".",""),"/",""),"-","")," ",""))))</f>
        <v/>
      </c>
      <c r="E534" s="25" t="str">
        <f aca="false">IF(D534="","",IFERROR(INDEX(Empresas!$C:$C,MATCH(D534,Empresas!$B:$B,0)),"cadastre o CNPJ em Empresas"))</f>
        <v/>
      </c>
      <c r="F534" s="23"/>
      <c r="G534" s="35"/>
      <c r="H534" s="24"/>
      <c r="I534" s="11"/>
      <c r="J534" s="27" t="str">
        <f aca="false">IF(A534="","",YEAR(A534))</f>
        <v/>
      </c>
      <c r="K534" s="24"/>
      <c r="L534" s="11"/>
    </row>
    <row r="535" customFormat="false" ht="15" hidden="false" customHeight="false" outlineLevel="0" collapsed="false">
      <c r="A535" s="22"/>
      <c r="B535" s="11"/>
      <c r="C535" s="24"/>
      <c r="D535" s="31" t="str">
        <f aca="false">IF(C535="","",IF(LEN(UPPER(SUBSTITUTE(SUBSTITUTE(SUBSTITUTE(SUBSTITUTE(TRIM(C535),".",""),"/",""),"-","")," ","")))&lt;14,RIGHT(REPT("0",14)&amp;UPPER(SUBSTITUTE(SUBSTITUTE(SUBSTITUTE(SUBSTITUTE(TRIM(C535),".",""),"/",""),"-","")," ","")),14),UPPER(SUBSTITUTE(SUBSTITUTE(SUBSTITUTE(SUBSTITUTE(TRIM(C535),".",""),"/",""),"-","")," ",""))))</f>
        <v/>
      </c>
      <c r="E535" s="25" t="str">
        <f aca="false">IF(D535="","",IFERROR(INDEX(Empresas!$C:$C,MATCH(D535,Empresas!$B:$B,0)),"cadastre o CNPJ em Empresas"))</f>
        <v/>
      </c>
      <c r="F535" s="23"/>
      <c r="G535" s="35"/>
      <c r="H535" s="24"/>
      <c r="I535" s="11"/>
      <c r="J535" s="27" t="str">
        <f aca="false">IF(A535="","",YEAR(A535))</f>
        <v/>
      </c>
      <c r="K535" s="24"/>
      <c r="L535" s="11"/>
    </row>
    <row r="536" customFormat="false" ht="15" hidden="false" customHeight="false" outlineLevel="0" collapsed="false">
      <c r="A536" s="22"/>
      <c r="B536" s="11"/>
      <c r="C536" s="24"/>
      <c r="D536" s="31" t="str">
        <f aca="false">IF(C536="","",IF(LEN(UPPER(SUBSTITUTE(SUBSTITUTE(SUBSTITUTE(SUBSTITUTE(TRIM(C536),".",""),"/",""),"-","")," ","")))&lt;14,RIGHT(REPT("0",14)&amp;UPPER(SUBSTITUTE(SUBSTITUTE(SUBSTITUTE(SUBSTITUTE(TRIM(C536),".",""),"/",""),"-","")," ","")),14),UPPER(SUBSTITUTE(SUBSTITUTE(SUBSTITUTE(SUBSTITUTE(TRIM(C536),".",""),"/",""),"-","")," ",""))))</f>
        <v/>
      </c>
      <c r="E536" s="25" t="str">
        <f aca="false">IF(D536="","",IFERROR(INDEX(Empresas!$C:$C,MATCH(D536,Empresas!$B:$B,0)),"cadastre o CNPJ em Empresas"))</f>
        <v/>
      </c>
      <c r="F536" s="23"/>
      <c r="G536" s="35"/>
      <c r="H536" s="24"/>
      <c r="I536" s="11"/>
      <c r="J536" s="27" t="str">
        <f aca="false">IF(A536="","",YEAR(A536))</f>
        <v/>
      </c>
      <c r="K536" s="24"/>
      <c r="L536" s="11"/>
    </row>
    <row r="537" customFormat="false" ht="15" hidden="false" customHeight="false" outlineLevel="0" collapsed="false">
      <c r="A537" s="22"/>
      <c r="B537" s="11"/>
      <c r="C537" s="24"/>
      <c r="D537" s="31" t="str">
        <f aca="false">IF(C537="","",IF(LEN(UPPER(SUBSTITUTE(SUBSTITUTE(SUBSTITUTE(SUBSTITUTE(TRIM(C537),".",""),"/",""),"-","")," ","")))&lt;14,RIGHT(REPT("0",14)&amp;UPPER(SUBSTITUTE(SUBSTITUTE(SUBSTITUTE(SUBSTITUTE(TRIM(C537),".",""),"/",""),"-","")," ","")),14),UPPER(SUBSTITUTE(SUBSTITUTE(SUBSTITUTE(SUBSTITUTE(TRIM(C537),".",""),"/",""),"-","")," ",""))))</f>
        <v/>
      </c>
      <c r="E537" s="25" t="str">
        <f aca="false">IF(D537="","",IFERROR(INDEX(Empresas!$C:$C,MATCH(D537,Empresas!$B:$B,0)),"cadastre o CNPJ em Empresas"))</f>
        <v/>
      </c>
      <c r="F537" s="23"/>
      <c r="G537" s="35"/>
      <c r="H537" s="24"/>
      <c r="I537" s="11"/>
      <c r="J537" s="27" t="str">
        <f aca="false">IF(A537="","",YEAR(A537))</f>
        <v/>
      </c>
      <c r="K537" s="24"/>
      <c r="L537" s="11"/>
    </row>
    <row r="538" customFormat="false" ht="15" hidden="false" customHeight="false" outlineLevel="0" collapsed="false">
      <c r="A538" s="22"/>
      <c r="B538" s="11"/>
      <c r="C538" s="24"/>
      <c r="D538" s="31" t="str">
        <f aca="false">IF(C538="","",IF(LEN(UPPER(SUBSTITUTE(SUBSTITUTE(SUBSTITUTE(SUBSTITUTE(TRIM(C538),".",""),"/",""),"-","")," ","")))&lt;14,RIGHT(REPT("0",14)&amp;UPPER(SUBSTITUTE(SUBSTITUTE(SUBSTITUTE(SUBSTITUTE(TRIM(C538),".",""),"/",""),"-","")," ","")),14),UPPER(SUBSTITUTE(SUBSTITUTE(SUBSTITUTE(SUBSTITUTE(TRIM(C538),".",""),"/",""),"-","")," ",""))))</f>
        <v/>
      </c>
      <c r="E538" s="25" t="str">
        <f aca="false">IF(D538="","",IFERROR(INDEX(Empresas!$C:$C,MATCH(D538,Empresas!$B:$B,0)),"cadastre o CNPJ em Empresas"))</f>
        <v/>
      </c>
      <c r="F538" s="23"/>
      <c r="G538" s="35"/>
      <c r="H538" s="24"/>
      <c r="I538" s="11"/>
      <c r="J538" s="27" t="str">
        <f aca="false">IF(A538="","",YEAR(A538))</f>
        <v/>
      </c>
      <c r="K538" s="24"/>
      <c r="L538" s="11"/>
    </row>
    <row r="539" customFormat="false" ht="15" hidden="false" customHeight="false" outlineLevel="0" collapsed="false">
      <c r="A539" s="22"/>
      <c r="B539" s="11"/>
      <c r="C539" s="24"/>
      <c r="D539" s="31" t="str">
        <f aca="false">IF(C539="","",IF(LEN(UPPER(SUBSTITUTE(SUBSTITUTE(SUBSTITUTE(SUBSTITUTE(TRIM(C539),".",""),"/",""),"-","")," ","")))&lt;14,RIGHT(REPT("0",14)&amp;UPPER(SUBSTITUTE(SUBSTITUTE(SUBSTITUTE(SUBSTITUTE(TRIM(C539),".",""),"/",""),"-","")," ","")),14),UPPER(SUBSTITUTE(SUBSTITUTE(SUBSTITUTE(SUBSTITUTE(TRIM(C539),".",""),"/",""),"-","")," ",""))))</f>
        <v/>
      </c>
      <c r="E539" s="25" t="str">
        <f aca="false">IF(D539="","",IFERROR(INDEX(Empresas!$C:$C,MATCH(D539,Empresas!$B:$B,0)),"cadastre o CNPJ em Empresas"))</f>
        <v/>
      </c>
      <c r="F539" s="23"/>
      <c r="G539" s="35"/>
      <c r="H539" s="24"/>
      <c r="I539" s="11"/>
      <c r="J539" s="27" t="str">
        <f aca="false">IF(A539="","",YEAR(A539))</f>
        <v/>
      </c>
      <c r="K539" s="24"/>
      <c r="L539" s="11"/>
    </row>
    <row r="540" customFormat="false" ht="15" hidden="false" customHeight="false" outlineLevel="0" collapsed="false">
      <c r="A540" s="22"/>
      <c r="B540" s="11"/>
      <c r="C540" s="24"/>
      <c r="D540" s="31" t="str">
        <f aca="false">IF(C540="","",IF(LEN(UPPER(SUBSTITUTE(SUBSTITUTE(SUBSTITUTE(SUBSTITUTE(TRIM(C540),".",""),"/",""),"-","")," ","")))&lt;14,RIGHT(REPT("0",14)&amp;UPPER(SUBSTITUTE(SUBSTITUTE(SUBSTITUTE(SUBSTITUTE(TRIM(C540),".",""),"/",""),"-","")," ","")),14),UPPER(SUBSTITUTE(SUBSTITUTE(SUBSTITUTE(SUBSTITUTE(TRIM(C540),".",""),"/",""),"-","")," ",""))))</f>
        <v/>
      </c>
      <c r="E540" s="25" t="str">
        <f aca="false">IF(D540="","",IFERROR(INDEX(Empresas!$C:$C,MATCH(D540,Empresas!$B:$B,0)),"cadastre o CNPJ em Empresas"))</f>
        <v/>
      </c>
      <c r="F540" s="23"/>
      <c r="G540" s="35"/>
      <c r="H540" s="24"/>
      <c r="I540" s="11"/>
      <c r="J540" s="27" t="str">
        <f aca="false">IF(A540="","",YEAR(A540))</f>
        <v/>
      </c>
      <c r="K540" s="24"/>
      <c r="L540" s="11"/>
    </row>
    <row r="541" customFormat="false" ht="15" hidden="false" customHeight="false" outlineLevel="0" collapsed="false">
      <c r="A541" s="22"/>
      <c r="B541" s="11"/>
      <c r="C541" s="24"/>
      <c r="D541" s="31" t="str">
        <f aca="false">IF(C541="","",IF(LEN(UPPER(SUBSTITUTE(SUBSTITUTE(SUBSTITUTE(SUBSTITUTE(TRIM(C541),".",""),"/",""),"-","")," ","")))&lt;14,RIGHT(REPT("0",14)&amp;UPPER(SUBSTITUTE(SUBSTITUTE(SUBSTITUTE(SUBSTITUTE(TRIM(C541),".",""),"/",""),"-","")," ","")),14),UPPER(SUBSTITUTE(SUBSTITUTE(SUBSTITUTE(SUBSTITUTE(TRIM(C541),".",""),"/",""),"-","")," ",""))))</f>
        <v/>
      </c>
      <c r="E541" s="25" t="str">
        <f aca="false">IF(D541="","",IFERROR(INDEX(Empresas!$C:$C,MATCH(D541,Empresas!$B:$B,0)),"cadastre o CNPJ em Empresas"))</f>
        <v/>
      </c>
      <c r="F541" s="23"/>
      <c r="G541" s="35"/>
      <c r="H541" s="24"/>
      <c r="I541" s="11"/>
      <c r="J541" s="27" t="str">
        <f aca="false">IF(A541="","",YEAR(A541))</f>
        <v/>
      </c>
      <c r="K541" s="24"/>
      <c r="L541" s="11"/>
    </row>
    <row r="542" customFormat="false" ht="15" hidden="false" customHeight="false" outlineLevel="0" collapsed="false">
      <c r="A542" s="22"/>
      <c r="B542" s="11"/>
      <c r="C542" s="24"/>
      <c r="D542" s="31" t="str">
        <f aca="false">IF(C542="","",IF(LEN(UPPER(SUBSTITUTE(SUBSTITUTE(SUBSTITUTE(SUBSTITUTE(TRIM(C542),".",""),"/",""),"-","")," ","")))&lt;14,RIGHT(REPT("0",14)&amp;UPPER(SUBSTITUTE(SUBSTITUTE(SUBSTITUTE(SUBSTITUTE(TRIM(C542),".",""),"/",""),"-","")," ","")),14),UPPER(SUBSTITUTE(SUBSTITUTE(SUBSTITUTE(SUBSTITUTE(TRIM(C542),".",""),"/",""),"-","")," ",""))))</f>
        <v/>
      </c>
      <c r="E542" s="25" t="str">
        <f aca="false">IF(D542="","",IFERROR(INDEX(Empresas!$C:$C,MATCH(D542,Empresas!$B:$B,0)),"cadastre o CNPJ em Empresas"))</f>
        <v/>
      </c>
      <c r="F542" s="23"/>
      <c r="G542" s="35"/>
      <c r="H542" s="24"/>
      <c r="I542" s="11"/>
      <c r="J542" s="27" t="str">
        <f aca="false">IF(A542="","",YEAR(A542))</f>
        <v/>
      </c>
      <c r="K542" s="24"/>
      <c r="L542" s="11"/>
    </row>
    <row r="543" customFormat="false" ht="15" hidden="false" customHeight="false" outlineLevel="0" collapsed="false">
      <c r="A543" s="22"/>
      <c r="B543" s="11"/>
      <c r="C543" s="24"/>
      <c r="D543" s="31" t="str">
        <f aca="false">IF(C543="","",IF(LEN(UPPER(SUBSTITUTE(SUBSTITUTE(SUBSTITUTE(SUBSTITUTE(TRIM(C543),".",""),"/",""),"-","")," ","")))&lt;14,RIGHT(REPT("0",14)&amp;UPPER(SUBSTITUTE(SUBSTITUTE(SUBSTITUTE(SUBSTITUTE(TRIM(C543),".",""),"/",""),"-","")," ","")),14),UPPER(SUBSTITUTE(SUBSTITUTE(SUBSTITUTE(SUBSTITUTE(TRIM(C543),".",""),"/",""),"-","")," ",""))))</f>
        <v/>
      </c>
      <c r="E543" s="25" t="str">
        <f aca="false">IF(D543="","",IFERROR(INDEX(Empresas!$C:$C,MATCH(D543,Empresas!$B:$B,0)),"cadastre o CNPJ em Empresas"))</f>
        <v/>
      </c>
      <c r="F543" s="23"/>
      <c r="G543" s="35"/>
      <c r="H543" s="24"/>
      <c r="I543" s="11"/>
      <c r="J543" s="27" t="str">
        <f aca="false">IF(A543="","",YEAR(A543))</f>
        <v/>
      </c>
      <c r="K543" s="24"/>
      <c r="L543" s="11"/>
    </row>
    <row r="544" customFormat="false" ht="15" hidden="false" customHeight="false" outlineLevel="0" collapsed="false">
      <c r="A544" s="22"/>
      <c r="B544" s="11"/>
      <c r="C544" s="24"/>
      <c r="D544" s="31" t="str">
        <f aca="false">IF(C544="","",IF(LEN(UPPER(SUBSTITUTE(SUBSTITUTE(SUBSTITUTE(SUBSTITUTE(TRIM(C544),".",""),"/",""),"-","")," ","")))&lt;14,RIGHT(REPT("0",14)&amp;UPPER(SUBSTITUTE(SUBSTITUTE(SUBSTITUTE(SUBSTITUTE(TRIM(C544),".",""),"/",""),"-","")," ","")),14),UPPER(SUBSTITUTE(SUBSTITUTE(SUBSTITUTE(SUBSTITUTE(TRIM(C544),".",""),"/",""),"-","")," ",""))))</f>
        <v/>
      </c>
      <c r="E544" s="25" t="str">
        <f aca="false">IF(D544="","",IFERROR(INDEX(Empresas!$C:$C,MATCH(D544,Empresas!$B:$B,0)),"cadastre o CNPJ em Empresas"))</f>
        <v/>
      </c>
      <c r="F544" s="23"/>
      <c r="G544" s="35"/>
      <c r="H544" s="24"/>
      <c r="I544" s="11"/>
      <c r="J544" s="27" t="str">
        <f aca="false">IF(A544="","",YEAR(A544))</f>
        <v/>
      </c>
      <c r="K544" s="24"/>
      <c r="L544" s="11"/>
    </row>
    <row r="545" customFormat="false" ht="15" hidden="false" customHeight="false" outlineLevel="0" collapsed="false">
      <c r="A545" s="22"/>
      <c r="B545" s="11"/>
      <c r="C545" s="24"/>
      <c r="D545" s="31" t="str">
        <f aca="false">IF(C545="","",IF(LEN(UPPER(SUBSTITUTE(SUBSTITUTE(SUBSTITUTE(SUBSTITUTE(TRIM(C545),".",""),"/",""),"-","")," ","")))&lt;14,RIGHT(REPT("0",14)&amp;UPPER(SUBSTITUTE(SUBSTITUTE(SUBSTITUTE(SUBSTITUTE(TRIM(C545),".",""),"/",""),"-","")," ","")),14),UPPER(SUBSTITUTE(SUBSTITUTE(SUBSTITUTE(SUBSTITUTE(TRIM(C545),".",""),"/",""),"-","")," ",""))))</f>
        <v/>
      </c>
      <c r="E545" s="25" t="str">
        <f aca="false">IF(D545="","",IFERROR(INDEX(Empresas!$C:$C,MATCH(D545,Empresas!$B:$B,0)),"cadastre o CNPJ em Empresas"))</f>
        <v/>
      </c>
      <c r="F545" s="23"/>
      <c r="G545" s="35"/>
      <c r="H545" s="24"/>
      <c r="I545" s="11"/>
      <c r="J545" s="27" t="str">
        <f aca="false">IF(A545="","",YEAR(A545))</f>
        <v/>
      </c>
      <c r="K545" s="24"/>
      <c r="L545" s="11"/>
    </row>
    <row r="546" customFormat="false" ht="15" hidden="false" customHeight="false" outlineLevel="0" collapsed="false">
      <c r="A546" s="22"/>
      <c r="B546" s="11"/>
      <c r="C546" s="24"/>
      <c r="D546" s="31" t="str">
        <f aca="false">IF(C546="","",IF(LEN(UPPER(SUBSTITUTE(SUBSTITUTE(SUBSTITUTE(SUBSTITUTE(TRIM(C546),".",""),"/",""),"-","")," ","")))&lt;14,RIGHT(REPT("0",14)&amp;UPPER(SUBSTITUTE(SUBSTITUTE(SUBSTITUTE(SUBSTITUTE(TRIM(C546),".",""),"/",""),"-","")," ","")),14),UPPER(SUBSTITUTE(SUBSTITUTE(SUBSTITUTE(SUBSTITUTE(TRIM(C546),".",""),"/",""),"-","")," ",""))))</f>
        <v/>
      </c>
      <c r="E546" s="25" t="str">
        <f aca="false">IF(D546="","",IFERROR(INDEX(Empresas!$C:$C,MATCH(D546,Empresas!$B:$B,0)),"cadastre o CNPJ em Empresas"))</f>
        <v/>
      </c>
      <c r="F546" s="23"/>
      <c r="G546" s="35"/>
      <c r="H546" s="24"/>
      <c r="I546" s="11"/>
      <c r="J546" s="27" t="str">
        <f aca="false">IF(A546="","",YEAR(A546))</f>
        <v/>
      </c>
      <c r="K546" s="24"/>
      <c r="L546" s="11"/>
    </row>
    <row r="547" customFormat="false" ht="15" hidden="false" customHeight="false" outlineLevel="0" collapsed="false">
      <c r="A547" s="22"/>
      <c r="B547" s="11"/>
      <c r="C547" s="24"/>
      <c r="D547" s="31" t="str">
        <f aca="false">IF(C547="","",IF(LEN(UPPER(SUBSTITUTE(SUBSTITUTE(SUBSTITUTE(SUBSTITUTE(TRIM(C547),".",""),"/",""),"-","")," ","")))&lt;14,RIGHT(REPT("0",14)&amp;UPPER(SUBSTITUTE(SUBSTITUTE(SUBSTITUTE(SUBSTITUTE(TRIM(C547),".",""),"/",""),"-","")," ","")),14),UPPER(SUBSTITUTE(SUBSTITUTE(SUBSTITUTE(SUBSTITUTE(TRIM(C547),".",""),"/",""),"-","")," ",""))))</f>
        <v/>
      </c>
      <c r="E547" s="25" t="str">
        <f aca="false">IF(D547="","",IFERROR(INDEX(Empresas!$C:$C,MATCH(D547,Empresas!$B:$B,0)),"cadastre o CNPJ em Empresas"))</f>
        <v/>
      </c>
      <c r="F547" s="23"/>
      <c r="G547" s="35"/>
      <c r="H547" s="24"/>
      <c r="I547" s="11"/>
      <c r="J547" s="27" t="str">
        <f aca="false">IF(A547="","",YEAR(A547))</f>
        <v/>
      </c>
      <c r="K547" s="24"/>
      <c r="L547" s="11"/>
    </row>
    <row r="548" customFormat="false" ht="15" hidden="false" customHeight="false" outlineLevel="0" collapsed="false">
      <c r="A548" s="22"/>
      <c r="B548" s="11"/>
      <c r="C548" s="24"/>
      <c r="D548" s="31" t="str">
        <f aca="false">IF(C548="","",IF(LEN(UPPER(SUBSTITUTE(SUBSTITUTE(SUBSTITUTE(SUBSTITUTE(TRIM(C548),".",""),"/",""),"-","")," ","")))&lt;14,RIGHT(REPT("0",14)&amp;UPPER(SUBSTITUTE(SUBSTITUTE(SUBSTITUTE(SUBSTITUTE(TRIM(C548),".",""),"/",""),"-","")," ","")),14),UPPER(SUBSTITUTE(SUBSTITUTE(SUBSTITUTE(SUBSTITUTE(TRIM(C548),".",""),"/",""),"-","")," ",""))))</f>
        <v/>
      </c>
      <c r="E548" s="25" t="str">
        <f aca="false">IF(D548="","",IFERROR(INDEX(Empresas!$C:$C,MATCH(D548,Empresas!$B:$B,0)),"cadastre o CNPJ em Empresas"))</f>
        <v/>
      </c>
      <c r="F548" s="23"/>
      <c r="G548" s="35"/>
      <c r="H548" s="24"/>
      <c r="I548" s="11"/>
      <c r="J548" s="27" t="str">
        <f aca="false">IF(A548="","",YEAR(A548))</f>
        <v/>
      </c>
      <c r="K548" s="24"/>
      <c r="L548" s="11"/>
    </row>
    <row r="549" customFormat="false" ht="15" hidden="false" customHeight="false" outlineLevel="0" collapsed="false">
      <c r="A549" s="22"/>
      <c r="B549" s="11"/>
      <c r="C549" s="24"/>
      <c r="D549" s="31" t="str">
        <f aca="false">IF(C549="","",IF(LEN(UPPER(SUBSTITUTE(SUBSTITUTE(SUBSTITUTE(SUBSTITUTE(TRIM(C549),".",""),"/",""),"-","")," ","")))&lt;14,RIGHT(REPT("0",14)&amp;UPPER(SUBSTITUTE(SUBSTITUTE(SUBSTITUTE(SUBSTITUTE(TRIM(C549),".",""),"/",""),"-","")," ","")),14),UPPER(SUBSTITUTE(SUBSTITUTE(SUBSTITUTE(SUBSTITUTE(TRIM(C549),".",""),"/",""),"-","")," ",""))))</f>
        <v/>
      </c>
      <c r="E549" s="25" t="str">
        <f aca="false">IF(D549="","",IFERROR(INDEX(Empresas!$C:$C,MATCH(D549,Empresas!$B:$B,0)),"cadastre o CNPJ em Empresas"))</f>
        <v/>
      </c>
      <c r="F549" s="23"/>
      <c r="G549" s="35"/>
      <c r="H549" s="24"/>
      <c r="I549" s="11"/>
      <c r="J549" s="27" t="str">
        <f aca="false">IF(A549="","",YEAR(A549))</f>
        <v/>
      </c>
      <c r="K549" s="24"/>
      <c r="L549" s="11"/>
    </row>
    <row r="550" customFormat="false" ht="15" hidden="false" customHeight="false" outlineLevel="0" collapsed="false">
      <c r="A550" s="22"/>
      <c r="B550" s="11"/>
      <c r="C550" s="24"/>
      <c r="D550" s="31" t="str">
        <f aca="false">IF(C550="","",IF(LEN(UPPER(SUBSTITUTE(SUBSTITUTE(SUBSTITUTE(SUBSTITUTE(TRIM(C550),".",""),"/",""),"-","")," ","")))&lt;14,RIGHT(REPT("0",14)&amp;UPPER(SUBSTITUTE(SUBSTITUTE(SUBSTITUTE(SUBSTITUTE(TRIM(C550),".",""),"/",""),"-","")," ","")),14),UPPER(SUBSTITUTE(SUBSTITUTE(SUBSTITUTE(SUBSTITUTE(TRIM(C550),".",""),"/",""),"-","")," ",""))))</f>
        <v/>
      </c>
      <c r="E550" s="25" t="str">
        <f aca="false">IF(D550="","",IFERROR(INDEX(Empresas!$C:$C,MATCH(D550,Empresas!$B:$B,0)),"cadastre o CNPJ em Empresas"))</f>
        <v/>
      </c>
      <c r="F550" s="23"/>
      <c r="G550" s="35"/>
      <c r="H550" s="24"/>
      <c r="I550" s="11"/>
      <c r="J550" s="27" t="str">
        <f aca="false">IF(A550="","",YEAR(A550))</f>
        <v/>
      </c>
      <c r="K550" s="24"/>
      <c r="L550" s="11"/>
    </row>
    <row r="551" customFormat="false" ht="15" hidden="false" customHeight="false" outlineLevel="0" collapsed="false">
      <c r="A551" s="22"/>
      <c r="B551" s="11"/>
      <c r="C551" s="24"/>
      <c r="D551" s="31" t="str">
        <f aca="false">IF(C551="","",IF(LEN(UPPER(SUBSTITUTE(SUBSTITUTE(SUBSTITUTE(SUBSTITUTE(TRIM(C551),".",""),"/",""),"-","")," ","")))&lt;14,RIGHT(REPT("0",14)&amp;UPPER(SUBSTITUTE(SUBSTITUTE(SUBSTITUTE(SUBSTITUTE(TRIM(C551),".",""),"/",""),"-","")," ","")),14),UPPER(SUBSTITUTE(SUBSTITUTE(SUBSTITUTE(SUBSTITUTE(TRIM(C551),".",""),"/",""),"-","")," ",""))))</f>
        <v/>
      </c>
      <c r="E551" s="25" t="str">
        <f aca="false">IF(D551="","",IFERROR(INDEX(Empresas!$C:$C,MATCH(D551,Empresas!$B:$B,0)),"cadastre o CNPJ em Empresas"))</f>
        <v/>
      </c>
      <c r="F551" s="23"/>
      <c r="G551" s="35"/>
      <c r="H551" s="24"/>
      <c r="I551" s="11"/>
      <c r="J551" s="27" t="str">
        <f aca="false">IF(A551="","",YEAR(A551))</f>
        <v/>
      </c>
      <c r="K551" s="24"/>
      <c r="L551" s="11"/>
    </row>
    <row r="552" customFormat="false" ht="15" hidden="false" customHeight="false" outlineLevel="0" collapsed="false">
      <c r="A552" s="22"/>
      <c r="B552" s="11"/>
      <c r="C552" s="24"/>
      <c r="D552" s="31" t="str">
        <f aca="false">IF(C552="","",IF(LEN(UPPER(SUBSTITUTE(SUBSTITUTE(SUBSTITUTE(SUBSTITUTE(TRIM(C552),".",""),"/",""),"-","")," ","")))&lt;14,RIGHT(REPT("0",14)&amp;UPPER(SUBSTITUTE(SUBSTITUTE(SUBSTITUTE(SUBSTITUTE(TRIM(C552),".",""),"/",""),"-","")," ","")),14),UPPER(SUBSTITUTE(SUBSTITUTE(SUBSTITUTE(SUBSTITUTE(TRIM(C552),".",""),"/",""),"-","")," ",""))))</f>
        <v/>
      </c>
      <c r="E552" s="25" t="str">
        <f aca="false">IF(D552="","",IFERROR(INDEX(Empresas!$C:$C,MATCH(D552,Empresas!$B:$B,0)),"cadastre o CNPJ em Empresas"))</f>
        <v/>
      </c>
      <c r="F552" s="23"/>
      <c r="G552" s="35"/>
      <c r="H552" s="24"/>
      <c r="I552" s="11"/>
      <c r="J552" s="27" t="str">
        <f aca="false">IF(A552="","",YEAR(A552))</f>
        <v/>
      </c>
      <c r="K552" s="24"/>
      <c r="L552" s="11"/>
    </row>
    <row r="553" customFormat="false" ht="15" hidden="false" customHeight="false" outlineLevel="0" collapsed="false">
      <c r="A553" s="22"/>
      <c r="B553" s="11"/>
      <c r="C553" s="24"/>
      <c r="D553" s="31" t="str">
        <f aca="false">IF(C553="","",IF(LEN(UPPER(SUBSTITUTE(SUBSTITUTE(SUBSTITUTE(SUBSTITUTE(TRIM(C553),".",""),"/",""),"-","")," ","")))&lt;14,RIGHT(REPT("0",14)&amp;UPPER(SUBSTITUTE(SUBSTITUTE(SUBSTITUTE(SUBSTITUTE(TRIM(C553),".",""),"/",""),"-","")," ","")),14),UPPER(SUBSTITUTE(SUBSTITUTE(SUBSTITUTE(SUBSTITUTE(TRIM(C553),".",""),"/",""),"-","")," ",""))))</f>
        <v/>
      </c>
      <c r="E553" s="25" t="str">
        <f aca="false">IF(D553="","",IFERROR(INDEX(Empresas!$C:$C,MATCH(D553,Empresas!$B:$B,0)),"cadastre o CNPJ em Empresas"))</f>
        <v/>
      </c>
      <c r="F553" s="23"/>
      <c r="G553" s="35"/>
      <c r="H553" s="24"/>
      <c r="I553" s="11"/>
      <c r="J553" s="27" t="str">
        <f aca="false">IF(A553="","",YEAR(A553))</f>
        <v/>
      </c>
      <c r="K553" s="24"/>
      <c r="L553" s="11"/>
    </row>
    <row r="554" customFormat="false" ht="15" hidden="false" customHeight="false" outlineLevel="0" collapsed="false">
      <c r="A554" s="22"/>
      <c r="B554" s="11"/>
      <c r="C554" s="24"/>
      <c r="D554" s="31" t="str">
        <f aca="false">IF(C554="","",IF(LEN(UPPER(SUBSTITUTE(SUBSTITUTE(SUBSTITUTE(SUBSTITUTE(TRIM(C554),".",""),"/",""),"-","")," ","")))&lt;14,RIGHT(REPT("0",14)&amp;UPPER(SUBSTITUTE(SUBSTITUTE(SUBSTITUTE(SUBSTITUTE(TRIM(C554),".",""),"/",""),"-","")," ","")),14),UPPER(SUBSTITUTE(SUBSTITUTE(SUBSTITUTE(SUBSTITUTE(TRIM(C554),".",""),"/",""),"-","")," ",""))))</f>
        <v/>
      </c>
      <c r="E554" s="25" t="str">
        <f aca="false">IF(D554="","",IFERROR(INDEX(Empresas!$C:$C,MATCH(D554,Empresas!$B:$B,0)),"cadastre o CNPJ em Empresas"))</f>
        <v/>
      </c>
      <c r="F554" s="23"/>
      <c r="G554" s="35"/>
      <c r="H554" s="24"/>
      <c r="I554" s="11"/>
      <c r="J554" s="27" t="str">
        <f aca="false">IF(A554="","",YEAR(A554))</f>
        <v/>
      </c>
      <c r="K554" s="24"/>
      <c r="L554" s="11"/>
    </row>
    <row r="555" customFormat="false" ht="15" hidden="false" customHeight="false" outlineLevel="0" collapsed="false">
      <c r="A555" s="22"/>
      <c r="B555" s="11"/>
      <c r="C555" s="24"/>
      <c r="D555" s="31" t="str">
        <f aca="false">IF(C555="","",IF(LEN(UPPER(SUBSTITUTE(SUBSTITUTE(SUBSTITUTE(SUBSTITUTE(TRIM(C555),".",""),"/",""),"-","")," ","")))&lt;14,RIGHT(REPT("0",14)&amp;UPPER(SUBSTITUTE(SUBSTITUTE(SUBSTITUTE(SUBSTITUTE(TRIM(C555),".",""),"/",""),"-","")," ","")),14),UPPER(SUBSTITUTE(SUBSTITUTE(SUBSTITUTE(SUBSTITUTE(TRIM(C555),".",""),"/",""),"-","")," ",""))))</f>
        <v/>
      </c>
      <c r="E555" s="25" t="str">
        <f aca="false">IF(D555="","",IFERROR(INDEX(Empresas!$C:$C,MATCH(D555,Empresas!$B:$B,0)),"cadastre o CNPJ em Empresas"))</f>
        <v/>
      </c>
      <c r="F555" s="23"/>
      <c r="G555" s="35"/>
      <c r="H555" s="24"/>
      <c r="I555" s="11"/>
      <c r="J555" s="27" t="str">
        <f aca="false">IF(A555="","",YEAR(A555))</f>
        <v/>
      </c>
      <c r="K555" s="24"/>
      <c r="L555" s="11"/>
    </row>
    <row r="556" customFormat="false" ht="15" hidden="false" customHeight="false" outlineLevel="0" collapsed="false">
      <c r="A556" s="22"/>
      <c r="B556" s="11"/>
      <c r="C556" s="24"/>
      <c r="D556" s="31" t="str">
        <f aca="false">IF(C556="","",IF(LEN(UPPER(SUBSTITUTE(SUBSTITUTE(SUBSTITUTE(SUBSTITUTE(TRIM(C556),".",""),"/",""),"-","")," ","")))&lt;14,RIGHT(REPT("0",14)&amp;UPPER(SUBSTITUTE(SUBSTITUTE(SUBSTITUTE(SUBSTITUTE(TRIM(C556),".",""),"/",""),"-","")," ","")),14),UPPER(SUBSTITUTE(SUBSTITUTE(SUBSTITUTE(SUBSTITUTE(TRIM(C556),".",""),"/",""),"-","")," ",""))))</f>
        <v/>
      </c>
      <c r="E556" s="25" t="str">
        <f aca="false">IF(D556="","",IFERROR(INDEX(Empresas!$C:$C,MATCH(D556,Empresas!$B:$B,0)),"cadastre o CNPJ em Empresas"))</f>
        <v/>
      </c>
      <c r="F556" s="23"/>
      <c r="G556" s="35"/>
      <c r="H556" s="24"/>
      <c r="I556" s="11"/>
      <c r="J556" s="27" t="str">
        <f aca="false">IF(A556="","",YEAR(A556))</f>
        <v/>
      </c>
      <c r="K556" s="24"/>
      <c r="L556" s="11"/>
    </row>
    <row r="557" customFormat="false" ht="15" hidden="false" customHeight="false" outlineLevel="0" collapsed="false">
      <c r="A557" s="22"/>
      <c r="B557" s="11"/>
      <c r="C557" s="24"/>
      <c r="D557" s="31" t="str">
        <f aca="false">IF(C557="","",IF(LEN(UPPER(SUBSTITUTE(SUBSTITUTE(SUBSTITUTE(SUBSTITUTE(TRIM(C557),".",""),"/",""),"-","")," ","")))&lt;14,RIGHT(REPT("0",14)&amp;UPPER(SUBSTITUTE(SUBSTITUTE(SUBSTITUTE(SUBSTITUTE(TRIM(C557),".",""),"/",""),"-","")," ","")),14),UPPER(SUBSTITUTE(SUBSTITUTE(SUBSTITUTE(SUBSTITUTE(TRIM(C557),".",""),"/",""),"-","")," ",""))))</f>
        <v/>
      </c>
      <c r="E557" s="25" t="str">
        <f aca="false">IF(D557="","",IFERROR(INDEX(Empresas!$C:$C,MATCH(D557,Empresas!$B:$B,0)),"cadastre o CNPJ em Empresas"))</f>
        <v/>
      </c>
      <c r="F557" s="23"/>
      <c r="G557" s="35"/>
      <c r="H557" s="24"/>
      <c r="I557" s="11"/>
      <c r="J557" s="27" t="str">
        <f aca="false">IF(A557="","",YEAR(A557))</f>
        <v/>
      </c>
      <c r="K557" s="24"/>
      <c r="L557" s="11"/>
    </row>
    <row r="558" customFormat="false" ht="15" hidden="false" customHeight="false" outlineLevel="0" collapsed="false">
      <c r="A558" s="22"/>
      <c r="B558" s="11"/>
      <c r="C558" s="24"/>
      <c r="D558" s="31" t="str">
        <f aca="false">IF(C558="","",IF(LEN(UPPER(SUBSTITUTE(SUBSTITUTE(SUBSTITUTE(SUBSTITUTE(TRIM(C558),".",""),"/",""),"-","")," ","")))&lt;14,RIGHT(REPT("0",14)&amp;UPPER(SUBSTITUTE(SUBSTITUTE(SUBSTITUTE(SUBSTITUTE(TRIM(C558),".",""),"/",""),"-","")," ","")),14),UPPER(SUBSTITUTE(SUBSTITUTE(SUBSTITUTE(SUBSTITUTE(TRIM(C558),".",""),"/",""),"-","")," ",""))))</f>
        <v/>
      </c>
      <c r="E558" s="25" t="str">
        <f aca="false">IF(D558="","",IFERROR(INDEX(Empresas!$C:$C,MATCH(D558,Empresas!$B:$B,0)),"cadastre o CNPJ em Empresas"))</f>
        <v/>
      </c>
      <c r="F558" s="23"/>
      <c r="G558" s="35"/>
      <c r="H558" s="24"/>
      <c r="I558" s="11"/>
      <c r="J558" s="27" t="str">
        <f aca="false">IF(A558="","",YEAR(A558))</f>
        <v/>
      </c>
      <c r="K558" s="24"/>
      <c r="L558" s="11"/>
    </row>
    <row r="559" customFormat="false" ht="15" hidden="false" customHeight="false" outlineLevel="0" collapsed="false">
      <c r="A559" s="22"/>
      <c r="B559" s="11"/>
      <c r="C559" s="24"/>
      <c r="D559" s="31" t="str">
        <f aca="false">IF(C559="","",IF(LEN(UPPER(SUBSTITUTE(SUBSTITUTE(SUBSTITUTE(SUBSTITUTE(TRIM(C559),".",""),"/",""),"-","")," ","")))&lt;14,RIGHT(REPT("0",14)&amp;UPPER(SUBSTITUTE(SUBSTITUTE(SUBSTITUTE(SUBSTITUTE(TRIM(C559),".",""),"/",""),"-","")," ","")),14),UPPER(SUBSTITUTE(SUBSTITUTE(SUBSTITUTE(SUBSTITUTE(TRIM(C559),".",""),"/",""),"-","")," ",""))))</f>
        <v/>
      </c>
      <c r="E559" s="25" t="str">
        <f aca="false">IF(D559="","",IFERROR(INDEX(Empresas!$C:$C,MATCH(D559,Empresas!$B:$B,0)),"cadastre o CNPJ em Empresas"))</f>
        <v/>
      </c>
      <c r="F559" s="23"/>
      <c r="G559" s="35"/>
      <c r="H559" s="24"/>
      <c r="I559" s="11"/>
      <c r="J559" s="27" t="str">
        <f aca="false">IF(A559="","",YEAR(A559))</f>
        <v/>
      </c>
      <c r="K559" s="24"/>
      <c r="L559" s="11"/>
    </row>
    <row r="560" customFormat="false" ht="15" hidden="false" customHeight="false" outlineLevel="0" collapsed="false">
      <c r="A560" s="22"/>
      <c r="B560" s="11"/>
      <c r="C560" s="24"/>
      <c r="D560" s="31" t="str">
        <f aca="false">IF(C560="","",IF(LEN(UPPER(SUBSTITUTE(SUBSTITUTE(SUBSTITUTE(SUBSTITUTE(TRIM(C560),".",""),"/",""),"-","")," ","")))&lt;14,RIGHT(REPT("0",14)&amp;UPPER(SUBSTITUTE(SUBSTITUTE(SUBSTITUTE(SUBSTITUTE(TRIM(C560),".",""),"/",""),"-","")," ","")),14),UPPER(SUBSTITUTE(SUBSTITUTE(SUBSTITUTE(SUBSTITUTE(TRIM(C560),".",""),"/",""),"-","")," ",""))))</f>
        <v/>
      </c>
      <c r="E560" s="25" t="str">
        <f aca="false">IF(D560="","",IFERROR(INDEX(Empresas!$C:$C,MATCH(D560,Empresas!$B:$B,0)),"cadastre o CNPJ em Empresas"))</f>
        <v/>
      </c>
      <c r="F560" s="23"/>
      <c r="G560" s="35"/>
      <c r="H560" s="24"/>
      <c r="I560" s="11"/>
      <c r="J560" s="27" t="str">
        <f aca="false">IF(A560="","",YEAR(A560))</f>
        <v/>
      </c>
      <c r="K560" s="24"/>
      <c r="L560" s="11"/>
    </row>
    <row r="561" customFormat="false" ht="15" hidden="false" customHeight="false" outlineLevel="0" collapsed="false">
      <c r="A561" s="22"/>
      <c r="B561" s="11"/>
      <c r="C561" s="24"/>
      <c r="D561" s="31" t="str">
        <f aca="false">IF(C561="","",IF(LEN(UPPER(SUBSTITUTE(SUBSTITUTE(SUBSTITUTE(SUBSTITUTE(TRIM(C561),".",""),"/",""),"-","")," ","")))&lt;14,RIGHT(REPT("0",14)&amp;UPPER(SUBSTITUTE(SUBSTITUTE(SUBSTITUTE(SUBSTITUTE(TRIM(C561),".",""),"/",""),"-","")," ","")),14),UPPER(SUBSTITUTE(SUBSTITUTE(SUBSTITUTE(SUBSTITUTE(TRIM(C561),".",""),"/",""),"-","")," ",""))))</f>
        <v/>
      </c>
      <c r="E561" s="25" t="str">
        <f aca="false">IF(D561="","",IFERROR(INDEX(Empresas!$C:$C,MATCH(D561,Empresas!$B:$B,0)),"cadastre o CNPJ em Empresas"))</f>
        <v/>
      </c>
      <c r="F561" s="23"/>
      <c r="G561" s="35"/>
      <c r="H561" s="24"/>
      <c r="I561" s="11"/>
      <c r="J561" s="27" t="str">
        <f aca="false">IF(A561="","",YEAR(A561))</f>
        <v/>
      </c>
      <c r="K561" s="24"/>
      <c r="L561" s="11"/>
    </row>
    <row r="562" customFormat="false" ht="15" hidden="false" customHeight="false" outlineLevel="0" collapsed="false">
      <c r="A562" s="22"/>
      <c r="B562" s="11"/>
      <c r="C562" s="24"/>
      <c r="D562" s="31" t="str">
        <f aca="false">IF(C562="","",IF(LEN(UPPER(SUBSTITUTE(SUBSTITUTE(SUBSTITUTE(SUBSTITUTE(TRIM(C562),".",""),"/",""),"-","")," ","")))&lt;14,RIGHT(REPT("0",14)&amp;UPPER(SUBSTITUTE(SUBSTITUTE(SUBSTITUTE(SUBSTITUTE(TRIM(C562),".",""),"/",""),"-","")," ","")),14),UPPER(SUBSTITUTE(SUBSTITUTE(SUBSTITUTE(SUBSTITUTE(TRIM(C562),".",""),"/",""),"-","")," ",""))))</f>
        <v/>
      </c>
      <c r="E562" s="25" t="str">
        <f aca="false">IF(D562="","",IFERROR(INDEX(Empresas!$C:$C,MATCH(D562,Empresas!$B:$B,0)),"cadastre o CNPJ em Empresas"))</f>
        <v/>
      </c>
      <c r="F562" s="23"/>
      <c r="G562" s="35"/>
      <c r="H562" s="24"/>
      <c r="I562" s="11"/>
      <c r="J562" s="27" t="str">
        <f aca="false">IF(A562="","",YEAR(A562))</f>
        <v/>
      </c>
      <c r="K562" s="24"/>
      <c r="L562" s="11"/>
    </row>
    <row r="563" customFormat="false" ht="15" hidden="false" customHeight="false" outlineLevel="0" collapsed="false">
      <c r="A563" s="22"/>
      <c r="B563" s="11"/>
      <c r="C563" s="24"/>
      <c r="D563" s="31" t="str">
        <f aca="false">IF(C563="","",IF(LEN(UPPER(SUBSTITUTE(SUBSTITUTE(SUBSTITUTE(SUBSTITUTE(TRIM(C563),".",""),"/",""),"-","")," ","")))&lt;14,RIGHT(REPT("0",14)&amp;UPPER(SUBSTITUTE(SUBSTITUTE(SUBSTITUTE(SUBSTITUTE(TRIM(C563),".",""),"/",""),"-","")," ","")),14),UPPER(SUBSTITUTE(SUBSTITUTE(SUBSTITUTE(SUBSTITUTE(TRIM(C563),".",""),"/",""),"-","")," ",""))))</f>
        <v/>
      </c>
      <c r="E563" s="25" t="str">
        <f aca="false">IF(D563="","",IFERROR(INDEX(Empresas!$C:$C,MATCH(D563,Empresas!$B:$B,0)),"cadastre o CNPJ em Empresas"))</f>
        <v/>
      </c>
      <c r="F563" s="23"/>
      <c r="G563" s="35"/>
      <c r="H563" s="24"/>
      <c r="I563" s="11"/>
      <c r="J563" s="27" t="str">
        <f aca="false">IF(A563="","",YEAR(A563))</f>
        <v/>
      </c>
      <c r="K563" s="24"/>
      <c r="L563" s="11"/>
    </row>
    <row r="564" customFormat="false" ht="15" hidden="false" customHeight="false" outlineLevel="0" collapsed="false">
      <c r="A564" s="22"/>
      <c r="B564" s="11"/>
      <c r="C564" s="24"/>
      <c r="D564" s="31" t="str">
        <f aca="false">IF(C564="","",IF(LEN(UPPER(SUBSTITUTE(SUBSTITUTE(SUBSTITUTE(SUBSTITUTE(TRIM(C564),".",""),"/",""),"-","")," ","")))&lt;14,RIGHT(REPT("0",14)&amp;UPPER(SUBSTITUTE(SUBSTITUTE(SUBSTITUTE(SUBSTITUTE(TRIM(C564),".",""),"/",""),"-","")," ","")),14),UPPER(SUBSTITUTE(SUBSTITUTE(SUBSTITUTE(SUBSTITUTE(TRIM(C564),".",""),"/",""),"-","")," ",""))))</f>
        <v/>
      </c>
      <c r="E564" s="25" t="str">
        <f aca="false">IF(D564="","",IFERROR(INDEX(Empresas!$C:$C,MATCH(D564,Empresas!$B:$B,0)),"cadastre o CNPJ em Empresas"))</f>
        <v/>
      </c>
      <c r="F564" s="23"/>
      <c r="G564" s="35"/>
      <c r="H564" s="24"/>
      <c r="I564" s="11"/>
      <c r="J564" s="27" t="str">
        <f aca="false">IF(A564="","",YEAR(A564))</f>
        <v/>
      </c>
      <c r="K564" s="24"/>
      <c r="L564" s="11"/>
    </row>
    <row r="565" customFormat="false" ht="15" hidden="false" customHeight="false" outlineLevel="0" collapsed="false">
      <c r="A565" s="22"/>
      <c r="B565" s="11"/>
      <c r="C565" s="24"/>
      <c r="D565" s="31" t="str">
        <f aca="false">IF(C565="","",IF(LEN(UPPER(SUBSTITUTE(SUBSTITUTE(SUBSTITUTE(SUBSTITUTE(TRIM(C565),".",""),"/",""),"-","")," ","")))&lt;14,RIGHT(REPT("0",14)&amp;UPPER(SUBSTITUTE(SUBSTITUTE(SUBSTITUTE(SUBSTITUTE(TRIM(C565),".",""),"/",""),"-","")," ","")),14),UPPER(SUBSTITUTE(SUBSTITUTE(SUBSTITUTE(SUBSTITUTE(TRIM(C565),".",""),"/",""),"-","")," ",""))))</f>
        <v/>
      </c>
      <c r="E565" s="25" t="str">
        <f aca="false">IF(D565="","",IFERROR(INDEX(Empresas!$C:$C,MATCH(D565,Empresas!$B:$B,0)),"cadastre o CNPJ em Empresas"))</f>
        <v/>
      </c>
      <c r="F565" s="23"/>
      <c r="G565" s="35"/>
      <c r="H565" s="24"/>
      <c r="I565" s="11"/>
      <c r="J565" s="27" t="str">
        <f aca="false">IF(A565="","",YEAR(A565))</f>
        <v/>
      </c>
      <c r="K565" s="24"/>
      <c r="L565" s="11"/>
    </row>
    <row r="566" customFormat="false" ht="15" hidden="false" customHeight="false" outlineLevel="0" collapsed="false">
      <c r="A566" s="22"/>
      <c r="B566" s="11"/>
      <c r="C566" s="24"/>
      <c r="D566" s="31" t="str">
        <f aca="false">IF(C566="","",IF(LEN(UPPER(SUBSTITUTE(SUBSTITUTE(SUBSTITUTE(SUBSTITUTE(TRIM(C566),".",""),"/",""),"-","")," ","")))&lt;14,RIGHT(REPT("0",14)&amp;UPPER(SUBSTITUTE(SUBSTITUTE(SUBSTITUTE(SUBSTITUTE(TRIM(C566),".",""),"/",""),"-","")," ","")),14),UPPER(SUBSTITUTE(SUBSTITUTE(SUBSTITUTE(SUBSTITUTE(TRIM(C566),".",""),"/",""),"-","")," ",""))))</f>
        <v/>
      </c>
      <c r="E566" s="25" t="str">
        <f aca="false">IF(D566="","",IFERROR(INDEX(Empresas!$C:$C,MATCH(D566,Empresas!$B:$B,0)),"cadastre o CNPJ em Empresas"))</f>
        <v/>
      </c>
      <c r="F566" s="23"/>
      <c r="G566" s="35"/>
      <c r="H566" s="24"/>
      <c r="I566" s="11"/>
      <c r="J566" s="27" t="str">
        <f aca="false">IF(A566="","",YEAR(A566))</f>
        <v/>
      </c>
      <c r="K566" s="24"/>
      <c r="L566" s="11"/>
    </row>
    <row r="567" customFormat="false" ht="15" hidden="false" customHeight="false" outlineLevel="0" collapsed="false">
      <c r="A567" s="22"/>
      <c r="B567" s="11"/>
      <c r="C567" s="24"/>
      <c r="D567" s="31" t="str">
        <f aca="false">IF(C567="","",IF(LEN(UPPER(SUBSTITUTE(SUBSTITUTE(SUBSTITUTE(SUBSTITUTE(TRIM(C567),".",""),"/",""),"-","")," ","")))&lt;14,RIGHT(REPT("0",14)&amp;UPPER(SUBSTITUTE(SUBSTITUTE(SUBSTITUTE(SUBSTITUTE(TRIM(C567),".",""),"/",""),"-","")," ","")),14),UPPER(SUBSTITUTE(SUBSTITUTE(SUBSTITUTE(SUBSTITUTE(TRIM(C567),".",""),"/",""),"-","")," ",""))))</f>
        <v/>
      </c>
      <c r="E567" s="25" t="str">
        <f aca="false">IF(D567="","",IFERROR(INDEX(Empresas!$C:$C,MATCH(D567,Empresas!$B:$B,0)),"cadastre o CNPJ em Empresas"))</f>
        <v/>
      </c>
      <c r="F567" s="23"/>
      <c r="G567" s="35"/>
      <c r="H567" s="24"/>
      <c r="I567" s="11"/>
      <c r="J567" s="27" t="str">
        <f aca="false">IF(A567="","",YEAR(A567))</f>
        <v/>
      </c>
      <c r="K567" s="24"/>
      <c r="L567" s="11"/>
    </row>
    <row r="568" customFormat="false" ht="15" hidden="false" customHeight="false" outlineLevel="0" collapsed="false">
      <c r="A568" s="22"/>
      <c r="B568" s="11"/>
      <c r="C568" s="24"/>
      <c r="D568" s="31" t="str">
        <f aca="false">IF(C568="","",IF(LEN(UPPER(SUBSTITUTE(SUBSTITUTE(SUBSTITUTE(SUBSTITUTE(TRIM(C568),".",""),"/",""),"-","")," ","")))&lt;14,RIGHT(REPT("0",14)&amp;UPPER(SUBSTITUTE(SUBSTITUTE(SUBSTITUTE(SUBSTITUTE(TRIM(C568),".",""),"/",""),"-","")," ","")),14),UPPER(SUBSTITUTE(SUBSTITUTE(SUBSTITUTE(SUBSTITUTE(TRIM(C568),".",""),"/",""),"-","")," ",""))))</f>
        <v/>
      </c>
      <c r="E568" s="25" t="str">
        <f aca="false">IF(D568="","",IFERROR(INDEX(Empresas!$C:$C,MATCH(D568,Empresas!$B:$B,0)),"cadastre o CNPJ em Empresas"))</f>
        <v/>
      </c>
      <c r="F568" s="23"/>
      <c r="G568" s="35"/>
      <c r="H568" s="24"/>
      <c r="I568" s="11"/>
      <c r="J568" s="27" t="str">
        <f aca="false">IF(A568="","",YEAR(A568))</f>
        <v/>
      </c>
      <c r="K568" s="24"/>
      <c r="L568" s="11"/>
    </row>
    <row r="569" customFormat="false" ht="15" hidden="false" customHeight="false" outlineLevel="0" collapsed="false">
      <c r="A569" s="22"/>
      <c r="B569" s="11"/>
      <c r="C569" s="24"/>
      <c r="D569" s="31" t="str">
        <f aca="false">IF(C569="","",IF(LEN(UPPER(SUBSTITUTE(SUBSTITUTE(SUBSTITUTE(SUBSTITUTE(TRIM(C569),".",""),"/",""),"-","")," ","")))&lt;14,RIGHT(REPT("0",14)&amp;UPPER(SUBSTITUTE(SUBSTITUTE(SUBSTITUTE(SUBSTITUTE(TRIM(C569),".",""),"/",""),"-","")," ","")),14),UPPER(SUBSTITUTE(SUBSTITUTE(SUBSTITUTE(SUBSTITUTE(TRIM(C569),".",""),"/",""),"-","")," ",""))))</f>
        <v/>
      </c>
      <c r="E569" s="25" t="str">
        <f aca="false">IF(D569="","",IFERROR(INDEX(Empresas!$C:$C,MATCH(D569,Empresas!$B:$B,0)),"cadastre o CNPJ em Empresas"))</f>
        <v/>
      </c>
      <c r="F569" s="23"/>
      <c r="G569" s="35"/>
      <c r="H569" s="24"/>
      <c r="I569" s="11"/>
      <c r="J569" s="27" t="str">
        <f aca="false">IF(A569="","",YEAR(A569))</f>
        <v/>
      </c>
      <c r="K569" s="24"/>
      <c r="L569" s="11"/>
    </row>
    <row r="570" customFormat="false" ht="15" hidden="false" customHeight="false" outlineLevel="0" collapsed="false">
      <c r="A570" s="22"/>
      <c r="B570" s="11"/>
      <c r="C570" s="24"/>
      <c r="D570" s="31" t="str">
        <f aca="false">IF(C570="","",IF(LEN(UPPER(SUBSTITUTE(SUBSTITUTE(SUBSTITUTE(SUBSTITUTE(TRIM(C570),".",""),"/",""),"-","")," ","")))&lt;14,RIGHT(REPT("0",14)&amp;UPPER(SUBSTITUTE(SUBSTITUTE(SUBSTITUTE(SUBSTITUTE(TRIM(C570),".",""),"/",""),"-","")," ","")),14),UPPER(SUBSTITUTE(SUBSTITUTE(SUBSTITUTE(SUBSTITUTE(TRIM(C570),".",""),"/",""),"-","")," ",""))))</f>
        <v/>
      </c>
      <c r="E570" s="25" t="str">
        <f aca="false">IF(D570="","",IFERROR(INDEX(Empresas!$C:$C,MATCH(D570,Empresas!$B:$B,0)),"cadastre o CNPJ em Empresas"))</f>
        <v/>
      </c>
      <c r="F570" s="23"/>
      <c r="G570" s="35"/>
      <c r="H570" s="24"/>
      <c r="I570" s="11"/>
      <c r="J570" s="27" t="str">
        <f aca="false">IF(A570="","",YEAR(A570))</f>
        <v/>
      </c>
      <c r="K570" s="24"/>
      <c r="L570" s="11"/>
    </row>
    <row r="571" customFormat="false" ht="15" hidden="false" customHeight="false" outlineLevel="0" collapsed="false">
      <c r="A571" s="22"/>
      <c r="B571" s="11"/>
      <c r="C571" s="24"/>
      <c r="D571" s="31" t="str">
        <f aca="false">IF(C571="","",IF(LEN(UPPER(SUBSTITUTE(SUBSTITUTE(SUBSTITUTE(SUBSTITUTE(TRIM(C571),".",""),"/",""),"-","")," ","")))&lt;14,RIGHT(REPT("0",14)&amp;UPPER(SUBSTITUTE(SUBSTITUTE(SUBSTITUTE(SUBSTITUTE(TRIM(C571),".",""),"/",""),"-","")," ","")),14),UPPER(SUBSTITUTE(SUBSTITUTE(SUBSTITUTE(SUBSTITUTE(TRIM(C571),".",""),"/",""),"-","")," ",""))))</f>
        <v/>
      </c>
      <c r="E571" s="25" t="str">
        <f aca="false">IF(D571="","",IFERROR(INDEX(Empresas!$C:$C,MATCH(D571,Empresas!$B:$B,0)),"cadastre o CNPJ em Empresas"))</f>
        <v/>
      </c>
      <c r="F571" s="23"/>
      <c r="G571" s="35"/>
      <c r="H571" s="24"/>
      <c r="I571" s="11"/>
      <c r="J571" s="27" t="str">
        <f aca="false">IF(A571="","",YEAR(A571))</f>
        <v/>
      </c>
      <c r="K571" s="24"/>
      <c r="L571" s="11"/>
    </row>
    <row r="572" customFormat="false" ht="15" hidden="false" customHeight="false" outlineLevel="0" collapsed="false">
      <c r="A572" s="22"/>
      <c r="B572" s="11"/>
      <c r="C572" s="24"/>
      <c r="D572" s="31" t="str">
        <f aca="false">IF(C572="","",IF(LEN(UPPER(SUBSTITUTE(SUBSTITUTE(SUBSTITUTE(SUBSTITUTE(TRIM(C572),".",""),"/",""),"-","")," ","")))&lt;14,RIGHT(REPT("0",14)&amp;UPPER(SUBSTITUTE(SUBSTITUTE(SUBSTITUTE(SUBSTITUTE(TRIM(C572),".",""),"/",""),"-","")," ","")),14),UPPER(SUBSTITUTE(SUBSTITUTE(SUBSTITUTE(SUBSTITUTE(TRIM(C572),".",""),"/",""),"-","")," ",""))))</f>
        <v/>
      </c>
      <c r="E572" s="25" t="str">
        <f aca="false">IF(D572="","",IFERROR(INDEX(Empresas!$C:$C,MATCH(D572,Empresas!$B:$B,0)),"cadastre o CNPJ em Empresas"))</f>
        <v/>
      </c>
      <c r="F572" s="23"/>
      <c r="G572" s="35"/>
      <c r="H572" s="24"/>
      <c r="I572" s="11"/>
      <c r="J572" s="27" t="str">
        <f aca="false">IF(A572="","",YEAR(A572))</f>
        <v/>
      </c>
      <c r="K572" s="24"/>
      <c r="L572" s="11"/>
    </row>
    <row r="573" customFormat="false" ht="15" hidden="false" customHeight="false" outlineLevel="0" collapsed="false">
      <c r="A573" s="22"/>
      <c r="B573" s="11"/>
      <c r="C573" s="24"/>
      <c r="D573" s="31" t="str">
        <f aca="false">IF(C573="","",IF(LEN(UPPER(SUBSTITUTE(SUBSTITUTE(SUBSTITUTE(SUBSTITUTE(TRIM(C573),".",""),"/",""),"-","")," ","")))&lt;14,RIGHT(REPT("0",14)&amp;UPPER(SUBSTITUTE(SUBSTITUTE(SUBSTITUTE(SUBSTITUTE(TRIM(C573),".",""),"/",""),"-","")," ","")),14),UPPER(SUBSTITUTE(SUBSTITUTE(SUBSTITUTE(SUBSTITUTE(TRIM(C573),".",""),"/",""),"-","")," ",""))))</f>
        <v/>
      </c>
      <c r="E573" s="25" t="str">
        <f aca="false">IF(D573="","",IFERROR(INDEX(Empresas!$C:$C,MATCH(D573,Empresas!$B:$B,0)),"cadastre o CNPJ em Empresas"))</f>
        <v/>
      </c>
      <c r="F573" s="23"/>
      <c r="G573" s="35"/>
      <c r="H573" s="24"/>
      <c r="I573" s="11"/>
      <c r="J573" s="27" t="str">
        <f aca="false">IF(A573="","",YEAR(A573))</f>
        <v/>
      </c>
      <c r="K573" s="24"/>
      <c r="L573" s="11"/>
    </row>
    <row r="574" customFormat="false" ht="15" hidden="false" customHeight="false" outlineLevel="0" collapsed="false">
      <c r="A574" s="22"/>
      <c r="B574" s="11"/>
      <c r="C574" s="24"/>
      <c r="D574" s="31" t="str">
        <f aca="false">IF(C574="","",IF(LEN(UPPER(SUBSTITUTE(SUBSTITUTE(SUBSTITUTE(SUBSTITUTE(TRIM(C574),".",""),"/",""),"-","")," ","")))&lt;14,RIGHT(REPT("0",14)&amp;UPPER(SUBSTITUTE(SUBSTITUTE(SUBSTITUTE(SUBSTITUTE(TRIM(C574),".",""),"/",""),"-","")," ","")),14),UPPER(SUBSTITUTE(SUBSTITUTE(SUBSTITUTE(SUBSTITUTE(TRIM(C574),".",""),"/",""),"-","")," ",""))))</f>
        <v/>
      </c>
      <c r="E574" s="25" t="str">
        <f aca="false">IF(D574="","",IFERROR(INDEX(Empresas!$C:$C,MATCH(D574,Empresas!$B:$B,0)),"cadastre o CNPJ em Empresas"))</f>
        <v/>
      </c>
      <c r="F574" s="23"/>
      <c r="G574" s="35"/>
      <c r="H574" s="24"/>
      <c r="I574" s="11"/>
      <c r="J574" s="27" t="str">
        <f aca="false">IF(A574="","",YEAR(A574))</f>
        <v/>
      </c>
      <c r="K574" s="24"/>
      <c r="L574" s="11"/>
    </row>
    <row r="575" customFormat="false" ht="15" hidden="false" customHeight="false" outlineLevel="0" collapsed="false">
      <c r="A575" s="22"/>
      <c r="B575" s="11"/>
      <c r="C575" s="24"/>
      <c r="D575" s="31" t="str">
        <f aca="false">IF(C575="","",IF(LEN(UPPER(SUBSTITUTE(SUBSTITUTE(SUBSTITUTE(SUBSTITUTE(TRIM(C575),".",""),"/",""),"-","")," ","")))&lt;14,RIGHT(REPT("0",14)&amp;UPPER(SUBSTITUTE(SUBSTITUTE(SUBSTITUTE(SUBSTITUTE(TRIM(C575),".",""),"/",""),"-","")," ","")),14),UPPER(SUBSTITUTE(SUBSTITUTE(SUBSTITUTE(SUBSTITUTE(TRIM(C575),".",""),"/",""),"-","")," ",""))))</f>
        <v/>
      </c>
      <c r="E575" s="25" t="str">
        <f aca="false">IF(D575="","",IFERROR(INDEX(Empresas!$C:$C,MATCH(D575,Empresas!$B:$B,0)),"cadastre o CNPJ em Empresas"))</f>
        <v/>
      </c>
      <c r="F575" s="23"/>
      <c r="G575" s="35"/>
      <c r="H575" s="24"/>
      <c r="I575" s="11"/>
      <c r="J575" s="27" t="str">
        <f aca="false">IF(A575="","",YEAR(A575))</f>
        <v/>
      </c>
      <c r="K575" s="24"/>
      <c r="L575" s="11"/>
    </row>
    <row r="576" customFormat="false" ht="15" hidden="false" customHeight="false" outlineLevel="0" collapsed="false">
      <c r="A576" s="22"/>
      <c r="B576" s="11"/>
      <c r="C576" s="24"/>
      <c r="D576" s="31" t="str">
        <f aca="false">IF(C576="","",IF(LEN(UPPER(SUBSTITUTE(SUBSTITUTE(SUBSTITUTE(SUBSTITUTE(TRIM(C576),".",""),"/",""),"-","")," ","")))&lt;14,RIGHT(REPT("0",14)&amp;UPPER(SUBSTITUTE(SUBSTITUTE(SUBSTITUTE(SUBSTITUTE(TRIM(C576),".",""),"/",""),"-","")," ","")),14),UPPER(SUBSTITUTE(SUBSTITUTE(SUBSTITUTE(SUBSTITUTE(TRIM(C576),".",""),"/",""),"-","")," ",""))))</f>
        <v/>
      </c>
      <c r="E576" s="25" t="str">
        <f aca="false">IF(D576="","",IFERROR(INDEX(Empresas!$C:$C,MATCH(D576,Empresas!$B:$B,0)),"cadastre o CNPJ em Empresas"))</f>
        <v/>
      </c>
      <c r="F576" s="23"/>
      <c r="G576" s="35"/>
      <c r="H576" s="24"/>
      <c r="I576" s="11"/>
      <c r="J576" s="27" t="str">
        <f aca="false">IF(A576="","",YEAR(A576))</f>
        <v/>
      </c>
      <c r="K576" s="24"/>
      <c r="L576" s="11"/>
    </row>
    <row r="577" customFormat="false" ht="15" hidden="false" customHeight="false" outlineLevel="0" collapsed="false">
      <c r="A577" s="22"/>
      <c r="B577" s="11"/>
      <c r="C577" s="24"/>
      <c r="D577" s="31" t="str">
        <f aca="false">IF(C577="","",IF(LEN(UPPER(SUBSTITUTE(SUBSTITUTE(SUBSTITUTE(SUBSTITUTE(TRIM(C577),".",""),"/",""),"-","")," ","")))&lt;14,RIGHT(REPT("0",14)&amp;UPPER(SUBSTITUTE(SUBSTITUTE(SUBSTITUTE(SUBSTITUTE(TRIM(C577),".",""),"/",""),"-","")," ","")),14),UPPER(SUBSTITUTE(SUBSTITUTE(SUBSTITUTE(SUBSTITUTE(TRIM(C577),".",""),"/",""),"-","")," ",""))))</f>
        <v/>
      </c>
      <c r="E577" s="25" t="str">
        <f aca="false">IF(D577="","",IFERROR(INDEX(Empresas!$C:$C,MATCH(D577,Empresas!$B:$B,0)),"cadastre o CNPJ em Empresas"))</f>
        <v/>
      </c>
      <c r="F577" s="23"/>
      <c r="G577" s="35"/>
      <c r="H577" s="24"/>
      <c r="I577" s="11"/>
      <c r="J577" s="27" t="str">
        <f aca="false">IF(A577="","",YEAR(A577))</f>
        <v/>
      </c>
      <c r="K577" s="24"/>
      <c r="L577" s="11"/>
    </row>
    <row r="578" customFormat="false" ht="15" hidden="false" customHeight="false" outlineLevel="0" collapsed="false">
      <c r="A578" s="22"/>
      <c r="B578" s="11"/>
      <c r="C578" s="24"/>
      <c r="D578" s="31" t="str">
        <f aca="false">IF(C578="","",IF(LEN(UPPER(SUBSTITUTE(SUBSTITUTE(SUBSTITUTE(SUBSTITUTE(TRIM(C578),".",""),"/",""),"-","")," ","")))&lt;14,RIGHT(REPT("0",14)&amp;UPPER(SUBSTITUTE(SUBSTITUTE(SUBSTITUTE(SUBSTITUTE(TRIM(C578),".",""),"/",""),"-","")," ","")),14),UPPER(SUBSTITUTE(SUBSTITUTE(SUBSTITUTE(SUBSTITUTE(TRIM(C578),".",""),"/",""),"-","")," ",""))))</f>
        <v/>
      </c>
      <c r="E578" s="25" t="str">
        <f aca="false">IF(D578="","",IFERROR(INDEX(Empresas!$C:$C,MATCH(D578,Empresas!$B:$B,0)),"cadastre o CNPJ em Empresas"))</f>
        <v/>
      </c>
      <c r="F578" s="23"/>
      <c r="G578" s="35"/>
      <c r="H578" s="24"/>
      <c r="I578" s="11"/>
      <c r="J578" s="27" t="str">
        <f aca="false">IF(A578="","",YEAR(A578))</f>
        <v/>
      </c>
      <c r="K578" s="24"/>
      <c r="L578" s="11"/>
    </row>
    <row r="579" customFormat="false" ht="15" hidden="false" customHeight="false" outlineLevel="0" collapsed="false">
      <c r="A579" s="22"/>
      <c r="B579" s="11"/>
      <c r="C579" s="24"/>
      <c r="D579" s="31" t="str">
        <f aca="false">IF(C579="","",IF(LEN(UPPER(SUBSTITUTE(SUBSTITUTE(SUBSTITUTE(SUBSTITUTE(TRIM(C579),".",""),"/",""),"-","")," ","")))&lt;14,RIGHT(REPT("0",14)&amp;UPPER(SUBSTITUTE(SUBSTITUTE(SUBSTITUTE(SUBSTITUTE(TRIM(C579),".",""),"/",""),"-","")," ","")),14),UPPER(SUBSTITUTE(SUBSTITUTE(SUBSTITUTE(SUBSTITUTE(TRIM(C579),".",""),"/",""),"-","")," ",""))))</f>
        <v/>
      </c>
      <c r="E579" s="25" t="str">
        <f aca="false">IF(D579="","",IFERROR(INDEX(Empresas!$C:$C,MATCH(D579,Empresas!$B:$B,0)),"cadastre o CNPJ em Empresas"))</f>
        <v/>
      </c>
      <c r="F579" s="23"/>
      <c r="G579" s="35"/>
      <c r="H579" s="24"/>
      <c r="I579" s="11"/>
      <c r="J579" s="27" t="str">
        <f aca="false">IF(A579="","",YEAR(A579))</f>
        <v/>
      </c>
      <c r="K579" s="24"/>
      <c r="L579" s="11"/>
    </row>
    <row r="580" customFormat="false" ht="15" hidden="false" customHeight="false" outlineLevel="0" collapsed="false">
      <c r="A580" s="22"/>
      <c r="B580" s="11"/>
      <c r="C580" s="24"/>
      <c r="D580" s="31" t="str">
        <f aca="false">IF(C580="","",IF(LEN(UPPER(SUBSTITUTE(SUBSTITUTE(SUBSTITUTE(SUBSTITUTE(TRIM(C580),".",""),"/",""),"-","")," ","")))&lt;14,RIGHT(REPT("0",14)&amp;UPPER(SUBSTITUTE(SUBSTITUTE(SUBSTITUTE(SUBSTITUTE(TRIM(C580),".",""),"/",""),"-","")," ","")),14),UPPER(SUBSTITUTE(SUBSTITUTE(SUBSTITUTE(SUBSTITUTE(TRIM(C580),".",""),"/",""),"-","")," ",""))))</f>
        <v/>
      </c>
      <c r="E580" s="25" t="str">
        <f aca="false">IF(D580="","",IFERROR(INDEX(Empresas!$C:$C,MATCH(D580,Empresas!$B:$B,0)),"cadastre o CNPJ em Empresas"))</f>
        <v/>
      </c>
      <c r="F580" s="23"/>
      <c r="G580" s="35"/>
      <c r="H580" s="24"/>
      <c r="I580" s="11"/>
      <c r="J580" s="27" t="str">
        <f aca="false">IF(A580="","",YEAR(A580))</f>
        <v/>
      </c>
      <c r="K580" s="24"/>
      <c r="L580" s="11"/>
    </row>
    <row r="581" customFormat="false" ht="15" hidden="false" customHeight="false" outlineLevel="0" collapsed="false">
      <c r="A581" s="22"/>
      <c r="B581" s="11"/>
      <c r="C581" s="24"/>
      <c r="D581" s="31" t="str">
        <f aca="false">IF(C581="","",IF(LEN(UPPER(SUBSTITUTE(SUBSTITUTE(SUBSTITUTE(SUBSTITUTE(TRIM(C581),".",""),"/",""),"-","")," ","")))&lt;14,RIGHT(REPT("0",14)&amp;UPPER(SUBSTITUTE(SUBSTITUTE(SUBSTITUTE(SUBSTITUTE(TRIM(C581),".",""),"/",""),"-","")," ","")),14),UPPER(SUBSTITUTE(SUBSTITUTE(SUBSTITUTE(SUBSTITUTE(TRIM(C581),".",""),"/",""),"-","")," ",""))))</f>
        <v/>
      </c>
      <c r="E581" s="25" t="str">
        <f aca="false">IF(D581="","",IFERROR(INDEX(Empresas!$C:$C,MATCH(D581,Empresas!$B:$B,0)),"cadastre o CNPJ em Empresas"))</f>
        <v/>
      </c>
      <c r="F581" s="23"/>
      <c r="G581" s="35"/>
      <c r="H581" s="24"/>
      <c r="I581" s="11"/>
      <c r="J581" s="27" t="str">
        <f aca="false">IF(A581="","",YEAR(A581))</f>
        <v/>
      </c>
      <c r="K581" s="24"/>
      <c r="L581" s="11"/>
    </row>
    <row r="582" customFormat="false" ht="15" hidden="false" customHeight="false" outlineLevel="0" collapsed="false">
      <c r="A582" s="22"/>
      <c r="B582" s="11"/>
      <c r="C582" s="24"/>
      <c r="D582" s="31" t="str">
        <f aca="false">IF(C582="","",IF(LEN(UPPER(SUBSTITUTE(SUBSTITUTE(SUBSTITUTE(SUBSTITUTE(TRIM(C582),".",""),"/",""),"-","")," ","")))&lt;14,RIGHT(REPT("0",14)&amp;UPPER(SUBSTITUTE(SUBSTITUTE(SUBSTITUTE(SUBSTITUTE(TRIM(C582),".",""),"/",""),"-","")," ","")),14),UPPER(SUBSTITUTE(SUBSTITUTE(SUBSTITUTE(SUBSTITUTE(TRIM(C582),".",""),"/",""),"-","")," ",""))))</f>
        <v/>
      </c>
      <c r="E582" s="25" t="str">
        <f aca="false">IF(D582="","",IFERROR(INDEX(Empresas!$C:$C,MATCH(D582,Empresas!$B:$B,0)),"cadastre o CNPJ em Empresas"))</f>
        <v/>
      </c>
      <c r="F582" s="23"/>
      <c r="G582" s="35"/>
      <c r="H582" s="24"/>
      <c r="I582" s="11"/>
      <c r="J582" s="27" t="str">
        <f aca="false">IF(A582="","",YEAR(A582))</f>
        <v/>
      </c>
      <c r="K582" s="24"/>
      <c r="L582" s="11"/>
    </row>
    <row r="583" customFormat="false" ht="15" hidden="false" customHeight="false" outlineLevel="0" collapsed="false">
      <c r="A583" s="22"/>
      <c r="B583" s="11"/>
      <c r="C583" s="24"/>
      <c r="D583" s="31" t="str">
        <f aca="false">IF(C583="","",IF(LEN(UPPER(SUBSTITUTE(SUBSTITUTE(SUBSTITUTE(SUBSTITUTE(TRIM(C583),".",""),"/",""),"-","")," ","")))&lt;14,RIGHT(REPT("0",14)&amp;UPPER(SUBSTITUTE(SUBSTITUTE(SUBSTITUTE(SUBSTITUTE(TRIM(C583),".",""),"/",""),"-","")," ","")),14),UPPER(SUBSTITUTE(SUBSTITUTE(SUBSTITUTE(SUBSTITUTE(TRIM(C583),".",""),"/",""),"-","")," ",""))))</f>
        <v/>
      </c>
      <c r="E583" s="25" t="str">
        <f aca="false">IF(D583="","",IFERROR(INDEX(Empresas!$C:$C,MATCH(D583,Empresas!$B:$B,0)),"cadastre o CNPJ em Empresas"))</f>
        <v/>
      </c>
      <c r="F583" s="23"/>
      <c r="G583" s="35"/>
      <c r="H583" s="24"/>
      <c r="I583" s="11"/>
      <c r="J583" s="27" t="str">
        <f aca="false">IF(A583="","",YEAR(A583))</f>
        <v/>
      </c>
      <c r="K583" s="24"/>
      <c r="L583" s="11"/>
    </row>
    <row r="584" customFormat="false" ht="15" hidden="false" customHeight="false" outlineLevel="0" collapsed="false">
      <c r="A584" s="22"/>
      <c r="B584" s="11"/>
      <c r="C584" s="24"/>
      <c r="D584" s="31" t="str">
        <f aca="false">IF(C584="","",IF(LEN(UPPER(SUBSTITUTE(SUBSTITUTE(SUBSTITUTE(SUBSTITUTE(TRIM(C584),".",""),"/",""),"-","")," ","")))&lt;14,RIGHT(REPT("0",14)&amp;UPPER(SUBSTITUTE(SUBSTITUTE(SUBSTITUTE(SUBSTITUTE(TRIM(C584),".",""),"/",""),"-","")," ","")),14),UPPER(SUBSTITUTE(SUBSTITUTE(SUBSTITUTE(SUBSTITUTE(TRIM(C584),".",""),"/",""),"-","")," ",""))))</f>
        <v/>
      </c>
      <c r="E584" s="25" t="str">
        <f aca="false">IF(D584="","",IFERROR(INDEX(Empresas!$C:$C,MATCH(D584,Empresas!$B:$B,0)),"cadastre o CNPJ em Empresas"))</f>
        <v/>
      </c>
      <c r="F584" s="23"/>
      <c r="G584" s="35"/>
      <c r="H584" s="24"/>
      <c r="I584" s="11"/>
      <c r="J584" s="27" t="str">
        <f aca="false">IF(A584="","",YEAR(A584))</f>
        <v/>
      </c>
      <c r="K584" s="24"/>
      <c r="L584" s="11"/>
    </row>
    <row r="585" customFormat="false" ht="15" hidden="false" customHeight="false" outlineLevel="0" collapsed="false">
      <c r="A585" s="22"/>
      <c r="B585" s="11"/>
      <c r="C585" s="24"/>
      <c r="D585" s="31" t="str">
        <f aca="false">IF(C585="","",IF(LEN(UPPER(SUBSTITUTE(SUBSTITUTE(SUBSTITUTE(SUBSTITUTE(TRIM(C585),".",""),"/",""),"-","")," ","")))&lt;14,RIGHT(REPT("0",14)&amp;UPPER(SUBSTITUTE(SUBSTITUTE(SUBSTITUTE(SUBSTITUTE(TRIM(C585),".",""),"/",""),"-","")," ","")),14),UPPER(SUBSTITUTE(SUBSTITUTE(SUBSTITUTE(SUBSTITUTE(TRIM(C585),".",""),"/",""),"-","")," ",""))))</f>
        <v/>
      </c>
      <c r="E585" s="25" t="str">
        <f aca="false">IF(D585="","",IFERROR(INDEX(Empresas!$C:$C,MATCH(D585,Empresas!$B:$B,0)),"cadastre o CNPJ em Empresas"))</f>
        <v/>
      </c>
      <c r="F585" s="23"/>
      <c r="G585" s="35"/>
      <c r="H585" s="24"/>
      <c r="I585" s="11"/>
      <c r="J585" s="27" t="str">
        <f aca="false">IF(A585="","",YEAR(A585))</f>
        <v/>
      </c>
      <c r="K585" s="24"/>
      <c r="L585" s="11"/>
    </row>
    <row r="586" customFormat="false" ht="15" hidden="false" customHeight="false" outlineLevel="0" collapsed="false">
      <c r="A586" s="22"/>
      <c r="B586" s="11"/>
      <c r="C586" s="24"/>
      <c r="D586" s="31" t="str">
        <f aca="false">IF(C586="","",IF(LEN(UPPER(SUBSTITUTE(SUBSTITUTE(SUBSTITUTE(SUBSTITUTE(TRIM(C586),".",""),"/",""),"-","")," ","")))&lt;14,RIGHT(REPT("0",14)&amp;UPPER(SUBSTITUTE(SUBSTITUTE(SUBSTITUTE(SUBSTITUTE(TRIM(C586),".",""),"/",""),"-","")," ","")),14),UPPER(SUBSTITUTE(SUBSTITUTE(SUBSTITUTE(SUBSTITUTE(TRIM(C586),".",""),"/",""),"-","")," ",""))))</f>
        <v/>
      </c>
      <c r="E586" s="25" t="str">
        <f aca="false">IF(D586="","",IFERROR(INDEX(Empresas!$C:$C,MATCH(D586,Empresas!$B:$B,0)),"cadastre o CNPJ em Empresas"))</f>
        <v/>
      </c>
      <c r="F586" s="23"/>
      <c r="G586" s="35"/>
      <c r="H586" s="24"/>
      <c r="I586" s="11"/>
      <c r="J586" s="27" t="str">
        <f aca="false">IF(A586="","",YEAR(A586))</f>
        <v/>
      </c>
      <c r="K586" s="24"/>
      <c r="L586" s="11"/>
    </row>
    <row r="587" customFormat="false" ht="15" hidden="false" customHeight="false" outlineLevel="0" collapsed="false">
      <c r="A587" s="22"/>
      <c r="B587" s="11"/>
      <c r="C587" s="24"/>
      <c r="D587" s="31" t="str">
        <f aca="false">IF(C587="","",IF(LEN(UPPER(SUBSTITUTE(SUBSTITUTE(SUBSTITUTE(SUBSTITUTE(TRIM(C587),".",""),"/",""),"-","")," ","")))&lt;14,RIGHT(REPT("0",14)&amp;UPPER(SUBSTITUTE(SUBSTITUTE(SUBSTITUTE(SUBSTITUTE(TRIM(C587),".",""),"/",""),"-","")," ","")),14),UPPER(SUBSTITUTE(SUBSTITUTE(SUBSTITUTE(SUBSTITUTE(TRIM(C587),".",""),"/",""),"-","")," ",""))))</f>
        <v/>
      </c>
      <c r="E587" s="25" t="str">
        <f aca="false">IF(D587="","",IFERROR(INDEX(Empresas!$C:$C,MATCH(D587,Empresas!$B:$B,0)),"cadastre o CNPJ em Empresas"))</f>
        <v/>
      </c>
      <c r="F587" s="23"/>
      <c r="G587" s="35"/>
      <c r="H587" s="24"/>
      <c r="I587" s="11"/>
      <c r="J587" s="27" t="str">
        <f aca="false">IF(A587="","",YEAR(A587))</f>
        <v/>
      </c>
      <c r="K587" s="24"/>
      <c r="L587" s="11"/>
    </row>
    <row r="588" customFormat="false" ht="15" hidden="false" customHeight="false" outlineLevel="0" collapsed="false">
      <c r="A588" s="22"/>
      <c r="B588" s="11"/>
      <c r="C588" s="24"/>
      <c r="D588" s="31" t="str">
        <f aca="false">IF(C588="","",IF(LEN(UPPER(SUBSTITUTE(SUBSTITUTE(SUBSTITUTE(SUBSTITUTE(TRIM(C588),".",""),"/",""),"-","")," ","")))&lt;14,RIGHT(REPT("0",14)&amp;UPPER(SUBSTITUTE(SUBSTITUTE(SUBSTITUTE(SUBSTITUTE(TRIM(C588),".",""),"/",""),"-","")," ","")),14),UPPER(SUBSTITUTE(SUBSTITUTE(SUBSTITUTE(SUBSTITUTE(TRIM(C588),".",""),"/",""),"-","")," ",""))))</f>
        <v/>
      </c>
      <c r="E588" s="25" t="str">
        <f aca="false">IF(D588="","",IFERROR(INDEX(Empresas!$C:$C,MATCH(D588,Empresas!$B:$B,0)),"cadastre o CNPJ em Empresas"))</f>
        <v/>
      </c>
      <c r="F588" s="23"/>
      <c r="G588" s="35"/>
      <c r="H588" s="24"/>
      <c r="I588" s="11"/>
      <c r="J588" s="27" t="str">
        <f aca="false">IF(A588="","",YEAR(A588))</f>
        <v/>
      </c>
      <c r="K588" s="24"/>
      <c r="L588" s="11"/>
    </row>
    <row r="589" customFormat="false" ht="15" hidden="false" customHeight="false" outlineLevel="0" collapsed="false">
      <c r="A589" s="22"/>
      <c r="B589" s="11"/>
      <c r="C589" s="24"/>
      <c r="D589" s="31" t="str">
        <f aca="false">IF(C589="","",IF(LEN(UPPER(SUBSTITUTE(SUBSTITUTE(SUBSTITUTE(SUBSTITUTE(TRIM(C589),".",""),"/",""),"-","")," ","")))&lt;14,RIGHT(REPT("0",14)&amp;UPPER(SUBSTITUTE(SUBSTITUTE(SUBSTITUTE(SUBSTITUTE(TRIM(C589),".",""),"/",""),"-","")," ","")),14),UPPER(SUBSTITUTE(SUBSTITUTE(SUBSTITUTE(SUBSTITUTE(TRIM(C589),".",""),"/",""),"-","")," ",""))))</f>
        <v/>
      </c>
      <c r="E589" s="25" t="str">
        <f aca="false">IF(D589="","",IFERROR(INDEX(Empresas!$C:$C,MATCH(D589,Empresas!$B:$B,0)),"cadastre o CNPJ em Empresas"))</f>
        <v/>
      </c>
      <c r="F589" s="23"/>
      <c r="G589" s="35"/>
      <c r="H589" s="24"/>
      <c r="I589" s="11"/>
      <c r="J589" s="27" t="str">
        <f aca="false">IF(A589="","",YEAR(A589))</f>
        <v/>
      </c>
      <c r="K589" s="24"/>
      <c r="L589" s="11"/>
    </row>
    <row r="590" customFormat="false" ht="15" hidden="false" customHeight="false" outlineLevel="0" collapsed="false">
      <c r="A590" s="22"/>
      <c r="B590" s="11"/>
      <c r="C590" s="24"/>
      <c r="D590" s="31" t="str">
        <f aca="false">IF(C590="","",IF(LEN(UPPER(SUBSTITUTE(SUBSTITUTE(SUBSTITUTE(SUBSTITUTE(TRIM(C590),".",""),"/",""),"-","")," ","")))&lt;14,RIGHT(REPT("0",14)&amp;UPPER(SUBSTITUTE(SUBSTITUTE(SUBSTITUTE(SUBSTITUTE(TRIM(C590),".",""),"/",""),"-","")," ","")),14),UPPER(SUBSTITUTE(SUBSTITUTE(SUBSTITUTE(SUBSTITUTE(TRIM(C590),".",""),"/",""),"-","")," ",""))))</f>
        <v/>
      </c>
      <c r="E590" s="25" t="str">
        <f aca="false">IF(D590="","",IFERROR(INDEX(Empresas!$C:$C,MATCH(D590,Empresas!$B:$B,0)),"cadastre o CNPJ em Empresas"))</f>
        <v/>
      </c>
      <c r="F590" s="23"/>
      <c r="G590" s="35"/>
      <c r="H590" s="24"/>
      <c r="I590" s="11"/>
      <c r="J590" s="27" t="str">
        <f aca="false">IF(A590="","",YEAR(A590))</f>
        <v/>
      </c>
      <c r="K590" s="24"/>
      <c r="L590" s="11"/>
    </row>
    <row r="591" customFormat="false" ht="15" hidden="false" customHeight="false" outlineLevel="0" collapsed="false">
      <c r="A591" s="22"/>
      <c r="B591" s="11"/>
      <c r="C591" s="24"/>
      <c r="D591" s="31" t="str">
        <f aca="false">IF(C591="","",IF(LEN(UPPER(SUBSTITUTE(SUBSTITUTE(SUBSTITUTE(SUBSTITUTE(TRIM(C591),".",""),"/",""),"-","")," ","")))&lt;14,RIGHT(REPT("0",14)&amp;UPPER(SUBSTITUTE(SUBSTITUTE(SUBSTITUTE(SUBSTITUTE(TRIM(C591),".",""),"/",""),"-","")," ","")),14),UPPER(SUBSTITUTE(SUBSTITUTE(SUBSTITUTE(SUBSTITUTE(TRIM(C591),".",""),"/",""),"-","")," ",""))))</f>
        <v/>
      </c>
      <c r="E591" s="25" t="str">
        <f aca="false">IF(D591="","",IFERROR(INDEX(Empresas!$C:$C,MATCH(D591,Empresas!$B:$B,0)),"cadastre o CNPJ em Empresas"))</f>
        <v/>
      </c>
      <c r="F591" s="23"/>
      <c r="G591" s="35"/>
      <c r="H591" s="24"/>
      <c r="I591" s="11"/>
      <c r="J591" s="27" t="str">
        <f aca="false">IF(A591="","",YEAR(A591))</f>
        <v/>
      </c>
      <c r="K591" s="24"/>
      <c r="L591" s="11"/>
    </row>
    <row r="592" customFormat="false" ht="15" hidden="false" customHeight="false" outlineLevel="0" collapsed="false">
      <c r="A592" s="22"/>
      <c r="B592" s="11"/>
      <c r="C592" s="24"/>
      <c r="D592" s="31" t="str">
        <f aca="false">IF(C592="","",IF(LEN(UPPER(SUBSTITUTE(SUBSTITUTE(SUBSTITUTE(SUBSTITUTE(TRIM(C592),".",""),"/",""),"-","")," ","")))&lt;14,RIGHT(REPT("0",14)&amp;UPPER(SUBSTITUTE(SUBSTITUTE(SUBSTITUTE(SUBSTITUTE(TRIM(C592),".",""),"/",""),"-","")," ","")),14),UPPER(SUBSTITUTE(SUBSTITUTE(SUBSTITUTE(SUBSTITUTE(TRIM(C592),".",""),"/",""),"-","")," ",""))))</f>
        <v/>
      </c>
      <c r="E592" s="25" t="str">
        <f aca="false">IF(D592="","",IFERROR(INDEX(Empresas!$C:$C,MATCH(D592,Empresas!$B:$B,0)),"cadastre o CNPJ em Empresas"))</f>
        <v/>
      </c>
      <c r="F592" s="23"/>
      <c r="G592" s="35"/>
      <c r="H592" s="24"/>
      <c r="I592" s="11"/>
      <c r="J592" s="27" t="str">
        <f aca="false">IF(A592="","",YEAR(A592))</f>
        <v/>
      </c>
      <c r="K592" s="24"/>
      <c r="L592" s="11"/>
    </row>
    <row r="593" customFormat="false" ht="15" hidden="false" customHeight="false" outlineLevel="0" collapsed="false">
      <c r="A593" s="22"/>
      <c r="B593" s="11"/>
      <c r="C593" s="24"/>
      <c r="D593" s="31" t="str">
        <f aca="false">IF(C593="","",IF(LEN(UPPER(SUBSTITUTE(SUBSTITUTE(SUBSTITUTE(SUBSTITUTE(TRIM(C593),".",""),"/",""),"-","")," ","")))&lt;14,RIGHT(REPT("0",14)&amp;UPPER(SUBSTITUTE(SUBSTITUTE(SUBSTITUTE(SUBSTITUTE(TRIM(C593),".",""),"/",""),"-","")," ","")),14),UPPER(SUBSTITUTE(SUBSTITUTE(SUBSTITUTE(SUBSTITUTE(TRIM(C593),".",""),"/",""),"-","")," ",""))))</f>
        <v/>
      </c>
      <c r="E593" s="25" t="str">
        <f aca="false">IF(D593="","",IFERROR(INDEX(Empresas!$C:$C,MATCH(D593,Empresas!$B:$B,0)),"cadastre o CNPJ em Empresas"))</f>
        <v/>
      </c>
      <c r="F593" s="23"/>
      <c r="G593" s="35"/>
      <c r="H593" s="24"/>
      <c r="I593" s="11"/>
      <c r="J593" s="27" t="str">
        <f aca="false">IF(A593="","",YEAR(A593))</f>
        <v/>
      </c>
      <c r="K593" s="24"/>
      <c r="L593" s="11"/>
    </row>
    <row r="594" customFormat="false" ht="15" hidden="false" customHeight="false" outlineLevel="0" collapsed="false">
      <c r="A594" s="22"/>
      <c r="B594" s="11"/>
      <c r="C594" s="24"/>
      <c r="D594" s="31" t="str">
        <f aca="false">IF(C594="","",IF(LEN(UPPER(SUBSTITUTE(SUBSTITUTE(SUBSTITUTE(SUBSTITUTE(TRIM(C594),".",""),"/",""),"-","")," ","")))&lt;14,RIGHT(REPT("0",14)&amp;UPPER(SUBSTITUTE(SUBSTITUTE(SUBSTITUTE(SUBSTITUTE(TRIM(C594),".",""),"/",""),"-","")," ","")),14),UPPER(SUBSTITUTE(SUBSTITUTE(SUBSTITUTE(SUBSTITUTE(TRIM(C594),".",""),"/",""),"-","")," ",""))))</f>
        <v/>
      </c>
      <c r="E594" s="25" t="str">
        <f aca="false">IF(D594="","",IFERROR(INDEX(Empresas!$C:$C,MATCH(D594,Empresas!$B:$B,0)),"cadastre o CNPJ em Empresas"))</f>
        <v/>
      </c>
      <c r="F594" s="23"/>
      <c r="G594" s="35"/>
      <c r="H594" s="24"/>
      <c r="I594" s="11"/>
      <c r="J594" s="27" t="str">
        <f aca="false">IF(A594="","",YEAR(A594))</f>
        <v/>
      </c>
      <c r="K594" s="24"/>
      <c r="L594" s="11"/>
    </row>
    <row r="595" customFormat="false" ht="15" hidden="false" customHeight="false" outlineLevel="0" collapsed="false">
      <c r="A595" s="22"/>
      <c r="B595" s="11"/>
      <c r="C595" s="24"/>
      <c r="D595" s="31" t="str">
        <f aca="false">IF(C595="","",IF(LEN(UPPER(SUBSTITUTE(SUBSTITUTE(SUBSTITUTE(SUBSTITUTE(TRIM(C595),".",""),"/",""),"-","")," ","")))&lt;14,RIGHT(REPT("0",14)&amp;UPPER(SUBSTITUTE(SUBSTITUTE(SUBSTITUTE(SUBSTITUTE(TRIM(C595),".",""),"/",""),"-","")," ","")),14),UPPER(SUBSTITUTE(SUBSTITUTE(SUBSTITUTE(SUBSTITUTE(TRIM(C595),".",""),"/",""),"-","")," ",""))))</f>
        <v/>
      </c>
      <c r="E595" s="25" t="str">
        <f aca="false">IF(D595="","",IFERROR(INDEX(Empresas!$C:$C,MATCH(D595,Empresas!$B:$B,0)),"cadastre o CNPJ em Empresas"))</f>
        <v/>
      </c>
      <c r="F595" s="23"/>
      <c r="G595" s="35"/>
      <c r="H595" s="24"/>
      <c r="I595" s="11"/>
      <c r="J595" s="27" t="str">
        <f aca="false">IF(A595="","",YEAR(A595))</f>
        <v/>
      </c>
      <c r="K595" s="24"/>
      <c r="L595" s="11"/>
    </row>
    <row r="596" customFormat="false" ht="15" hidden="false" customHeight="false" outlineLevel="0" collapsed="false">
      <c r="A596" s="22"/>
      <c r="B596" s="11"/>
      <c r="C596" s="24"/>
      <c r="D596" s="31" t="str">
        <f aca="false">IF(C596="","",IF(LEN(UPPER(SUBSTITUTE(SUBSTITUTE(SUBSTITUTE(SUBSTITUTE(TRIM(C596),".",""),"/",""),"-","")," ","")))&lt;14,RIGHT(REPT("0",14)&amp;UPPER(SUBSTITUTE(SUBSTITUTE(SUBSTITUTE(SUBSTITUTE(TRIM(C596),".",""),"/",""),"-","")," ","")),14),UPPER(SUBSTITUTE(SUBSTITUTE(SUBSTITUTE(SUBSTITUTE(TRIM(C596),".",""),"/",""),"-","")," ",""))))</f>
        <v/>
      </c>
      <c r="E596" s="25" t="str">
        <f aca="false">IF(D596="","",IFERROR(INDEX(Empresas!$C:$C,MATCH(D596,Empresas!$B:$B,0)),"cadastre o CNPJ em Empresas"))</f>
        <v/>
      </c>
      <c r="F596" s="23"/>
      <c r="G596" s="35"/>
      <c r="H596" s="24"/>
      <c r="I596" s="11"/>
      <c r="J596" s="27" t="str">
        <f aca="false">IF(A596="","",YEAR(A596))</f>
        <v/>
      </c>
      <c r="K596" s="24"/>
      <c r="L596" s="11"/>
    </row>
    <row r="597" customFormat="false" ht="15" hidden="false" customHeight="false" outlineLevel="0" collapsed="false">
      <c r="A597" s="22"/>
      <c r="B597" s="11"/>
      <c r="C597" s="24"/>
      <c r="D597" s="31" t="str">
        <f aca="false">IF(C597="","",IF(LEN(UPPER(SUBSTITUTE(SUBSTITUTE(SUBSTITUTE(SUBSTITUTE(TRIM(C597),".",""),"/",""),"-","")," ","")))&lt;14,RIGHT(REPT("0",14)&amp;UPPER(SUBSTITUTE(SUBSTITUTE(SUBSTITUTE(SUBSTITUTE(TRIM(C597),".",""),"/",""),"-","")," ","")),14),UPPER(SUBSTITUTE(SUBSTITUTE(SUBSTITUTE(SUBSTITUTE(TRIM(C597),".",""),"/",""),"-","")," ",""))))</f>
        <v/>
      </c>
      <c r="E597" s="25" t="str">
        <f aca="false">IF(D597="","",IFERROR(INDEX(Empresas!$C:$C,MATCH(D597,Empresas!$B:$B,0)),"cadastre o CNPJ em Empresas"))</f>
        <v/>
      </c>
      <c r="F597" s="23"/>
      <c r="G597" s="35"/>
      <c r="H597" s="24"/>
      <c r="I597" s="11"/>
      <c r="J597" s="27" t="str">
        <f aca="false">IF(A597="","",YEAR(A597))</f>
        <v/>
      </c>
      <c r="K597" s="24"/>
      <c r="L597" s="11"/>
    </row>
    <row r="598" customFormat="false" ht="15" hidden="false" customHeight="false" outlineLevel="0" collapsed="false">
      <c r="A598" s="22"/>
      <c r="B598" s="11"/>
      <c r="C598" s="24"/>
      <c r="D598" s="31" t="str">
        <f aca="false">IF(C598="","",IF(LEN(UPPER(SUBSTITUTE(SUBSTITUTE(SUBSTITUTE(SUBSTITUTE(TRIM(C598),".",""),"/",""),"-","")," ","")))&lt;14,RIGHT(REPT("0",14)&amp;UPPER(SUBSTITUTE(SUBSTITUTE(SUBSTITUTE(SUBSTITUTE(TRIM(C598),".",""),"/",""),"-","")," ","")),14),UPPER(SUBSTITUTE(SUBSTITUTE(SUBSTITUTE(SUBSTITUTE(TRIM(C598),".",""),"/",""),"-","")," ",""))))</f>
        <v/>
      </c>
      <c r="E598" s="25" t="str">
        <f aca="false">IF(D598="","",IFERROR(INDEX(Empresas!$C:$C,MATCH(D598,Empresas!$B:$B,0)),"cadastre o CNPJ em Empresas"))</f>
        <v/>
      </c>
      <c r="F598" s="23"/>
      <c r="G598" s="35"/>
      <c r="H598" s="24"/>
      <c r="I598" s="11"/>
      <c r="J598" s="27" t="str">
        <f aca="false">IF(A598="","",YEAR(A598))</f>
        <v/>
      </c>
      <c r="K598" s="24"/>
      <c r="L598" s="11"/>
    </row>
    <row r="599" customFormat="false" ht="15" hidden="false" customHeight="false" outlineLevel="0" collapsed="false">
      <c r="A599" s="22"/>
      <c r="B599" s="11"/>
      <c r="C599" s="24"/>
      <c r="D599" s="31" t="str">
        <f aca="false">IF(C599="","",IF(LEN(UPPER(SUBSTITUTE(SUBSTITUTE(SUBSTITUTE(SUBSTITUTE(TRIM(C599),".",""),"/",""),"-","")," ","")))&lt;14,RIGHT(REPT("0",14)&amp;UPPER(SUBSTITUTE(SUBSTITUTE(SUBSTITUTE(SUBSTITUTE(TRIM(C599),".",""),"/",""),"-","")," ","")),14),UPPER(SUBSTITUTE(SUBSTITUTE(SUBSTITUTE(SUBSTITUTE(TRIM(C599),".",""),"/",""),"-","")," ",""))))</f>
        <v/>
      </c>
      <c r="E599" s="25" t="str">
        <f aca="false">IF(D599="","",IFERROR(INDEX(Empresas!$C:$C,MATCH(D599,Empresas!$B:$B,0)),"cadastre o CNPJ em Empresas"))</f>
        <v/>
      </c>
      <c r="F599" s="23"/>
      <c r="G599" s="35"/>
      <c r="H599" s="24"/>
      <c r="I599" s="11"/>
      <c r="J599" s="27" t="str">
        <f aca="false">IF(A599="","",YEAR(A599))</f>
        <v/>
      </c>
      <c r="K599" s="24"/>
      <c r="L599" s="11"/>
    </row>
    <row r="600" customFormat="false" ht="15" hidden="false" customHeight="false" outlineLevel="0" collapsed="false">
      <c r="A600" s="22"/>
      <c r="B600" s="11"/>
      <c r="C600" s="24"/>
      <c r="D600" s="31" t="str">
        <f aca="false">IF(C600="","",IF(LEN(UPPER(SUBSTITUTE(SUBSTITUTE(SUBSTITUTE(SUBSTITUTE(TRIM(C600),".",""),"/",""),"-","")," ","")))&lt;14,RIGHT(REPT("0",14)&amp;UPPER(SUBSTITUTE(SUBSTITUTE(SUBSTITUTE(SUBSTITUTE(TRIM(C600),".",""),"/",""),"-","")," ","")),14),UPPER(SUBSTITUTE(SUBSTITUTE(SUBSTITUTE(SUBSTITUTE(TRIM(C600),".",""),"/",""),"-","")," ",""))))</f>
        <v/>
      </c>
      <c r="E600" s="25" t="str">
        <f aca="false">IF(D600="","",IFERROR(INDEX(Empresas!$C:$C,MATCH(D600,Empresas!$B:$B,0)),"cadastre o CNPJ em Empresas"))</f>
        <v/>
      </c>
      <c r="F600" s="23"/>
      <c r="G600" s="35"/>
      <c r="H600" s="24"/>
      <c r="I600" s="11"/>
      <c r="J600" s="27" t="str">
        <f aca="false">IF(A600="","",YEAR(A600))</f>
        <v/>
      </c>
      <c r="K600" s="24"/>
      <c r="L600" s="11"/>
    </row>
    <row r="601" customFormat="false" ht="15" hidden="false" customHeight="false" outlineLevel="0" collapsed="false">
      <c r="A601" s="22"/>
      <c r="B601" s="11"/>
      <c r="C601" s="24"/>
      <c r="D601" s="31" t="str">
        <f aca="false">IF(C601="","",IF(LEN(UPPER(SUBSTITUTE(SUBSTITUTE(SUBSTITUTE(SUBSTITUTE(TRIM(C601),".",""),"/",""),"-","")," ","")))&lt;14,RIGHT(REPT("0",14)&amp;UPPER(SUBSTITUTE(SUBSTITUTE(SUBSTITUTE(SUBSTITUTE(TRIM(C601),".",""),"/",""),"-","")," ","")),14),UPPER(SUBSTITUTE(SUBSTITUTE(SUBSTITUTE(SUBSTITUTE(TRIM(C601),".",""),"/",""),"-","")," ",""))))</f>
        <v/>
      </c>
      <c r="E601" s="25" t="str">
        <f aca="false">IF(D601="","",IFERROR(INDEX(Empresas!$C:$C,MATCH(D601,Empresas!$B:$B,0)),"cadastre o CNPJ em Empresas"))</f>
        <v/>
      </c>
      <c r="F601" s="23"/>
      <c r="G601" s="35"/>
      <c r="H601" s="24"/>
      <c r="I601" s="11"/>
      <c r="J601" s="27" t="str">
        <f aca="false">IF(A601="","",YEAR(A601))</f>
        <v/>
      </c>
      <c r="K601" s="24"/>
      <c r="L601" s="11"/>
    </row>
    <row r="602" customFormat="false" ht="15" hidden="false" customHeight="false" outlineLevel="0" collapsed="false">
      <c r="A602" s="22"/>
      <c r="B602" s="11"/>
      <c r="C602" s="24"/>
      <c r="D602" s="31" t="str">
        <f aca="false">IF(C602="","",IF(LEN(UPPER(SUBSTITUTE(SUBSTITUTE(SUBSTITUTE(SUBSTITUTE(TRIM(C602),".",""),"/",""),"-","")," ","")))&lt;14,RIGHT(REPT("0",14)&amp;UPPER(SUBSTITUTE(SUBSTITUTE(SUBSTITUTE(SUBSTITUTE(TRIM(C602),".",""),"/",""),"-","")," ","")),14),UPPER(SUBSTITUTE(SUBSTITUTE(SUBSTITUTE(SUBSTITUTE(TRIM(C602),".",""),"/",""),"-","")," ",""))))</f>
        <v/>
      </c>
      <c r="E602" s="25" t="str">
        <f aca="false">IF(D602="","",IFERROR(INDEX(Empresas!$C:$C,MATCH(D602,Empresas!$B:$B,0)),"cadastre o CNPJ em Empresas"))</f>
        <v/>
      </c>
      <c r="F602" s="23"/>
      <c r="G602" s="35"/>
      <c r="H602" s="24"/>
      <c r="I602" s="11"/>
      <c r="J602" s="27" t="str">
        <f aca="false">IF(A602="","",YEAR(A602))</f>
        <v/>
      </c>
      <c r="K602" s="24"/>
      <c r="L602" s="11"/>
    </row>
    <row r="603" customFormat="false" ht="15" hidden="false" customHeight="false" outlineLevel="0" collapsed="false">
      <c r="A603" s="22"/>
      <c r="B603" s="11"/>
      <c r="C603" s="24"/>
      <c r="D603" s="31" t="str">
        <f aca="false">IF(C603="","",IF(LEN(UPPER(SUBSTITUTE(SUBSTITUTE(SUBSTITUTE(SUBSTITUTE(TRIM(C603),".",""),"/",""),"-","")," ","")))&lt;14,RIGHT(REPT("0",14)&amp;UPPER(SUBSTITUTE(SUBSTITUTE(SUBSTITUTE(SUBSTITUTE(TRIM(C603),".",""),"/",""),"-","")," ","")),14),UPPER(SUBSTITUTE(SUBSTITUTE(SUBSTITUTE(SUBSTITUTE(TRIM(C603),".",""),"/",""),"-","")," ",""))))</f>
        <v/>
      </c>
      <c r="E603" s="25" t="str">
        <f aca="false">IF(D603="","",IFERROR(INDEX(Empresas!$C:$C,MATCH(D603,Empresas!$B:$B,0)),"cadastre o CNPJ em Empresas"))</f>
        <v/>
      </c>
      <c r="F603" s="23"/>
      <c r="G603" s="35"/>
      <c r="H603" s="24"/>
      <c r="I603" s="11"/>
      <c r="J603" s="27" t="str">
        <f aca="false">IF(A603="","",YEAR(A603))</f>
        <v/>
      </c>
      <c r="K603" s="24"/>
      <c r="L603" s="11"/>
    </row>
    <row r="604" customFormat="false" ht="15" hidden="false" customHeight="false" outlineLevel="0" collapsed="false">
      <c r="A604" s="22"/>
      <c r="B604" s="11"/>
      <c r="C604" s="24"/>
      <c r="D604" s="31" t="str">
        <f aca="false">IF(C604="","",IF(LEN(UPPER(SUBSTITUTE(SUBSTITUTE(SUBSTITUTE(SUBSTITUTE(TRIM(C604),".",""),"/",""),"-","")," ","")))&lt;14,RIGHT(REPT("0",14)&amp;UPPER(SUBSTITUTE(SUBSTITUTE(SUBSTITUTE(SUBSTITUTE(TRIM(C604),".",""),"/",""),"-","")," ","")),14),UPPER(SUBSTITUTE(SUBSTITUTE(SUBSTITUTE(SUBSTITUTE(TRIM(C604),".",""),"/",""),"-","")," ",""))))</f>
        <v/>
      </c>
      <c r="E604" s="25" t="str">
        <f aca="false">IF(D604="","",IFERROR(INDEX(Empresas!$C:$C,MATCH(D604,Empresas!$B:$B,0)),"cadastre o CNPJ em Empresas"))</f>
        <v/>
      </c>
      <c r="F604" s="23"/>
      <c r="G604" s="35"/>
      <c r="H604" s="24"/>
      <c r="I604" s="11"/>
      <c r="J604" s="27" t="str">
        <f aca="false">IF(A604="","",YEAR(A604))</f>
        <v/>
      </c>
      <c r="K604" s="24"/>
      <c r="L604" s="11"/>
    </row>
    <row r="605" customFormat="false" ht="15" hidden="false" customHeight="false" outlineLevel="0" collapsed="false">
      <c r="A605" s="22"/>
      <c r="B605" s="11"/>
      <c r="C605" s="24"/>
      <c r="D605" s="31" t="str">
        <f aca="false">IF(C605="","",IF(LEN(UPPER(SUBSTITUTE(SUBSTITUTE(SUBSTITUTE(SUBSTITUTE(TRIM(C605),".",""),"/",""),"-","")," ","")))&lt;14,RIGHT(REPT("0",14)&amp;UPPER(SUBSTITUTE(SUBSTITUTE(SUBSTITUTE(SUBSTITUTE(TRIM(C605),".",""),"/",""),"-","")," ","")),14),UPPER(SUBSTITUTE(SUBSTITUTE(SUBSTITUTE(SUBSTITUTE(TRIM(C605),".",""),"/",""),"-","")," ",""))))</f>
        <v/>
      </c>
      <c r="E605" s="25" t="str">
        <f aca="false">IF(D605="","",IFERROR(INDEX(Empresas!$C:$C,MATCH(D605,Empresas!$B:$B,0)),"cadastre o CNPJ em Empresas"))</f>
        <v/>
      </c>
      <c r="F605" s="23"/>
      <c r="G605" s="35"/>
      <c r="H605" s="24"/>
      <c r="I605" s="11"/>
      <c r="J605" s="27" t="str">
        <f aca="false">IF(A605="","",YEAR(A605))</f>
        <v/>
      </c>
      <c r="K605" s="24"/>
      <c r="L605" s="11"/>
    </row>
    <row r="606" customFormat="false" ht="15" hidden="false" customHeight="false" outlineLevel="0" collapsed="false">
      <c r="A606" s="22"/>
      <c r="B606" s="11"/>
      <c r="C606" s="24"/>
      <c r="D606" s="31" t="str">
        <f aca="false">IF(C606="","",IF(LEN(UPPER(SUBSTITUTE(SUBSTITUTE(SUBSTITUTE(SUBSTITUTE(TRIM(C606),".",""),"/",""),"-","")," ","")))&lt;14,RIGHT(REPT("0",14)&amp;UPPER(SUBSTITUTE(SUBSTITUTE(SUBSTITUTE(SUBSTITUTE(TRIM(C606),".",""),"/",""),"-","")," ","")),14),UPPER(SUBSTITUTE(SUBSTITUTE(SUBSTITUTE(SUBSTITUTE(TRIM(C606),".",""),"/",""),"-","")," ",""))))</f>
        <v/>
      </c>
      <c r="E606" s="25" t="str">
        <f aca="false">IF(D606="","",IFERROR(INDEX(Empresas!$C:$C,MATCH(D606,Empresas!$B:$B,0)),"cadastre o CNPJ em Empresas"))</f>
        <v/>
      </c>
      <c r="F606" s="23"/>
      <c r="G606" s="35"/>
      <c r="H606" s="24"/>
      <c r="I606" s="11"/>
      <c r="J606" s="27" t="str">
        <f aca="false">IF(A606="","",YEAR(A606))</f>
        <v/>
      </c>
      <c r="K606" s="24"/>
      <c r="L606" s="11"/>
    </row>
    <row r="607" customFormat="false" ht="15" hidden="false" customHeight="false" outlineLevel="0" collapsed="false">
      <c r="A607" s="22"/>
      <c r="B607" s="11"/>
      <c r="C607" s="24"/>
      <c r="D607" s="31" t="str">
        <f aca="false">IF(C607="","",IF(LEN(UPPER(SUBSTITUTE(SUBSTITUTE(SUBSTITUTE(SUBSTITUTE(TRIM(C607),".",""),"/",""),"-","")," ","")))&lt;14,RIGHT(REPT("0",14)&amp;UPPER(SUBSTITUTE(SUBSTITUTE(SUBSTITUTE(SUBSTITUTE(TRIM(C607),".",""),"/",""),"-","")," ","")),14),UPPER(SUBSTITUTE(SUBSTITUTE(SUBSTITUTE(SUBSTITUTE(TRIM(C607),".",""),"/",""),"-","")," ",""))))</f>
        <v/>
      </c>
      <c r="E607" s="25" t="str">
        <f aca="false">IF(D607="","",IFERROR(INDEX(Empresas!$C:$C,MATCH(D607,Empresas!$B:$B,0)),"cadastre o CNPJ em Empresas"))</f>
        <v/>
      </c>
      <c r="F607" s="23"/>
      <c r="G607" s="35"/>
      <c r="H607" s="24"/>
      <c r="I607" s="11"/>
      <c r="J607" s="27" t="str">
        <f aca="false">IF(A607="","",YEAR(A607))</f>
        <v/>
      </c>
      <c r="K607" s="24"/>
      <c r="L607" s="11"/>
    </row>
    <row r="608" customFormat="false" ht="15" hidden="false" customHeight="false" outlineLevel="0" collapsed="false">
      <c r="A608" s="22"/>
      <c r="B608" s="11"/>
      <c r="C608" s="24"/>
      <c r="D608" s="31" t="str">
        <f aca="false">IF(C608="","",IF(LEN(UPPER(SUBSTITUTE(SUBSTITUTE(SUBSTITUTE(SUBSTITUTE(TRIM(C608),".",""),"/",""),"-","")," ","")))&lt;14,RIGHT(REPT("0",14)&amp;UPPER(SUBSTITUTE(SUBSTITUTE(SUBSTITUTE(SUBSTITUTE(TRIM(C608),".",""),"/",""),"-","")," ","")),14),UPPER(SUBSTITUTE(SUBSTITUTE(SUBSTITUTE(SUBSTITUTE(TRIM(C608),".",""),"/",""),"-","")," ",""))))</f>
        <v/>
      </c>
      <c r="E608" s="25" t="str">
        <f aca="false">IF(D608="","",IFERROR(INDEX(Empresas!$C:$C,MATCH(D608,Empresas!$B:$B,0)),"cadastre o CNPJ em Empresas"))</f>
        <v/>
      </c>
      <c r="F608" s="23"/>
      <c r="G608" s="35"/>
      <c r="H608" s="24"/>
      <c r="I608" s="11"/>
      <c r="J608" s="27" t="str">
        <f aca="false">IF(A608="","",YEAR(A608))</f>
        <v/>
      </c>
      <c r="K608" s="24"/>
      <c r="L608" s="11"/>
    </row>
    <row r="609" customFormat="false" ht="15" hidden="false" customHeight="false" outlineLevel="0" collapsed="false">
      <c r="A609" s="22"/>
      <c r="B609" s="11"/>
      <c r="C609" s="24"/>
      <c r="D609" s="31" t="str">
        <f aca="false">IF(C609="","",IF(LEN(UPPER(SUBSTITUTE(SUBSTITUTE(SUBSTITUTE(SUBSTITUTE(TRIM(C609),".",""),"/",""),"-","")," ","")))&lt;14,RIGHT(REPT("0",14)&amp;UPPER(SUBSTITUTE(SUBSTITUTE(SUBSTITUTE(SUBSTITUTE(TRIM(C609),".",""),"/",""),"-","")," ","")),14),UPPER(SUBSTITUTE(SUBSTITUTE(SUBSTITUTE(SUBSTITUTE(TRIM(C609),".",""),"/",""),"-","")," ",""))))</f>
        <v/>
      </c>
      <c r="E609" s="25" t="str">
        <f aca="false">IF(D609="","",IFERROR(INDEX(Empresas!$C:$C,MATCH(D609,Empresas!$B:$B,0)),"cadastre o CNPJ em Empresas"))</f>
        <v/>
      </c>
      <c r="F609" s="23"/>
      <c r="G609" s="35"/>
      <c r="H609" s="24"/>
      <c r="I609" s="11"/>
      <c r="J609" s="27" t="str">
        <f aca="false">IF(A609="","",YEAR(A609))</f>
        <v/>
      </c>
      <c r="K609" s="24"/>
      <c r="L609" s="11"/>
    </row>
    <row r="610" customFormat="false" ht="15" hidden="false" customHeight="false" outlineLevel="0" collapsed="false">
      <c r="A610" s="22"/>
      <c r="B610" s="11"/>
      <c r="C610" s="24"/>
      <c r="D610" s="31" t="str">
        <f aca="false">IF(C610="","",IF(LEN(UPPER(SUBSTITUTE(SUBSTITUTE(SUBSTITUTE(SUBSTITUTE(TRIM(C610),".",""),"/",""),"-","")," ","")))&lt;14,RIGHT(REPT("0",14)&amp;UPPER(SUBSTITUTE(SUBSTITUTE(SUBSTITUTE(SUBSTITUTE(TRIM(C610),".",""),"/",""),"-","")," ","")),14),UPPER(SUBSTITUTE(SUBSTITUTE(SUBSTITUTE(SUBSTITUTE(TRIM(C610),".",""),"/",""),"-","")," ",""))))</f>
        <v/>
      </c>
      <c r="E610" s="25" t="str">
        <f aca="false">IF(D610="","",IFERROR(INDEX(Empresas!$C:$C,MATCH(D610,Empresas!$B:$B,0)),"cadastre o CNPJ em Empresas"))</f>
        <v/>
      </c>
      <c r="F610" s="23"/>
      <c r="G610" s="35"/>
      <c r="H610" s="24"/>
      <c r="I610" s="11"/>
      <c r="J610" s="27" t="str">
        <f aca="false">IF(A610="","",YEAR(A610))</f>
        <v/>
      </c>
      <c r="K610" s="24"/>
      <c r="L610" s="11"/>
    </row>
    <row r="611" customFormat="false" ht="15" hidden="false" customHeight="false" outlineLevel="0" collapsed="false">
      <c r="A611" s="22"/>
      <c r="B611" s="11"/>
      <c r="C611" s="24"/>
      <c r="D611" s="31" t="str">
        <f aca="false">IF(C611="","",IF(LEN(UPPER(SUBSTITUTE(SUBSTITUTE(SUBSTITUTE(SUBSTITUTE(TRIM(C611),".",""),"/",""),"-","")," ","")))&lt;14,RIGHT(REPT("0",14)&amp;UPPER(SUBSTITUTE(SUBSTITUTE(SUBSTITUTE(SUBSTITUTE(TRIM(C611),".",""),"/",""),"-","")," ","")),14),UPPER(SUBSTITUTE(SUBSTITUTE(SUBSTITUTE(SUBSTITUTE(TRIM(C611),".",""),"/",""),"-","")," ",""))))</f>
        <v/>
      </c>
      <c r="E611" s="25" t="str">
        <f aca="false">IF(D611="","",IFERROR(INDEX(Empresas!$C:$C,MATCH(D611,Empresas!$B:$B,0)),"cadastre o CNPJ em Empresas"))</f>
        <v/>
      </c>
      <c r="F611" s="23"/>
      <c r="G611" s="35"/>
      <c r="H611" s="24"/>
      <c r="I611" s="11"/>
      <c r="J611" s="27" t="str">
        <f aca="false">IF(A611="","",YEAR(A611))</f>
        <v/>
      </c>
      <c r="K611" s="24"/>
      <c r="L611" s="11"/>
    </row>
    <row r="612" customFormat="false" ht="15" hidden="false" customHeight="false" outlineLevel="0" collapsed="false">
      <c r="A612" s="22"/>
      <c r="B612" s="11"/>
      <c r="C612" s="24"/>
      <c r="D612" s="31" t="str">
        <f aca="false">IF(C612="","",IF(LEN(UPPER(SUBSTITUTE(SUBSTITUTE(SUBSTITUTE(SUBSTITUTE(TRIM(C612),".",""),"/",""),"-","")," ","")))&lt;14,RIGHT(REPT("0",14)&amp;UPPER(SUBSTITUTE(SUBSTITUTE(SUBSTITUTE(SUBSTITUTE(TRIM(C612),".",""),"/",""),"-","")," ","")),14),UPPER(SUBSTITUTE(SUBSTITUTE(SUBSTITUTE(SUBSTITUTE(TRIM(C612),".",""),"/",""),"-","")," ",""))))</f>
        <v/>
      </c>
      <c r="E612" s="25" t="str">
        <f aca="false">IF(D612="","",IFERROR(INDEX(Empresas!$C:$C,MATCH(D612,Empresas!$B:$B,0)),"cadastre o CNPJ em Empresas"))</f>
        <v/>
      </c>
      <c r="F612" s="23"/>
      <c r="G612" s="35"/>
      <c r="H612" s="24"/>
      <c r="I612" s="11"/>
      <c r="J612" s="27" t="str">
        <f aca="false">IF(A612="","",YEAR(A612))</f>
        <v/>
      </c>
      <c r="K612" s="24"/>
      <c r="L612" s="11"/>
    </row>
    <row r="613" customFormat="false" ht="15" hidden="false" customHeight="false" outlineLevel="0" collapsed="false">
      <c r="A613" s="22"/>
      <c r="B613" s="11"/>
      <c r="C613" s="24"/>
      <c r="D613" s="31" t="str">
        <f aca="false">IF(C613="","",IF(LEN(UPPER(SUBSTITUTE(SUBSTITUTE(SUBSTITUTE(SUBSTITUTE(TRIM(C613),".",""),"/",""),"-","")," ","")))&lt;14,RIGHT(REPT("0",14)&amp;UPPER(SUBSTITUTE(SUBSTITUTE(SUBSTITUTE(SUBSTITUTE(TRIM(C613),".",""),"/",""),"-","")," ","")),14),UPPER(SUBSTITUTE(SUBSTITUTE(SUBSTITUTE(SUBSTITUTE(TRIM(C613),".",""),"/",""),"-","")," ",""))))</f>
        <v/>
      </c>
      <c r="E613" s="25" t="str">
        <f aca="false">IF(D613="","",IFERROR(INDEX(Empresas!$C:$C,MATCH(D613,Empresas!$B:$B,0)),"cadastre o CNPJ em Empresas"))</f>
        <v/>
      </c>
      <c r="F613" s="23"/>
      <c r="G613" s="35"/>
      <c r="H613" s="24"/>
      <c r="I613" s="11"/>
      <c r="J613" s="27" t="str">
        <f aca="false">IF(A613="","",YEAR(A613))</f>
        <v/>
      </c>
      <c r="K613" s="24"/>
      <c r="L613" s="11"/>
    </row>
    <row r="614" customFormat="false" ht="15" hidden="false" customHeight="false" outlineLevel="0" collapsed="false">
      <c r="A614" s="22"/>
      <c r="B614" s="11"/>
      <c r="C614" s="24"/>
      <c r="D614" s="31" t="str">
        <f aca="false">IF(C614="","",IF(LEN(UPPER(SUBSTITUTE(SUBSTITUTE(SUBSTITUTE(SUBSTITUTE(TRIM(C614),".",""),"/",""),"-","")," ","")))&lt;14,RIGHT(REPT("0",14)&amp;UPPER(SUBSTITUTE(SUBSTITUTE(SUBSTITUTE(SUBSTITUTE(TRIM(C614),".",""),"/",""),"-","")," ","")),14),UPPER(SUBSTITUTE(SUBSTITUTE(SUBSTITUTE(SUBSTITUTE(TRIM(C614),".",""),"/",""),"-","")," ",""))))</f>
        <v/>
      </c>
      <c r="E614" s="25" t="str">
        <f aca="false">IF(D614="","",IFERROR(INDEX(Empresas!$C:$C,MATCH(D614,Empresas!$B:$B,0)),"cadastre o CNPJ em Empresas"))</f>
        <v/>
      </c>
      <c r="F614" s="23"/>
      <c r="G614" s="35"/>
      <c r="H614" s="24"/>
      <c r="I614" s="11"/>
      <c r="J614" s="27" t="str">
        <f aca="false">IF(A614="","",YEAR(A614))</f>
        <v/>
      </c>
      <c r="K614" s="24"/>
      <c r="L614" s="11"/>
    </row>
    <row r="615" customFormat="false" ht="15" hidden="false" customHeight="false" outlineLevel="0" collapsed="false">
      <c r="A615" s="22"/>
      <c r="B615" s="11"/>
      <c r="C615" s="24"/>
      <c r="D615" s="31" t="str">
        <f aca="false">IF(C615="","",IF(LEN(UPPER(SUBSTITUTE(SUBSTITUTE(SUBSTITUTE(SUBSTITUTE(TRIM(C615),".",""),"/",""),"-","")," ","")))&lt;14,RIGHT(REPT("0",14)&amp;UPPER(SUBSTITUTE(SUBSTITUTE(SUBSTITUTE(SUBSTITUTE(TRIM(C615),".",""),"/",""),"-","")," ","")),14),UPPER(SUBSTITUTE(SUBSTITUTE(SUBSTITUTE(SUBSTITUTE(TRIM(C615),".",""),"/",""),"-","")," ",""))))</f>
        <v/>
      </c>
      <c r="E615" s="25" t="str">
        <f aca="false">IF(D615="","",IFERROR(INDEX(Empresas!$C:$C,MATCH(D615,Empresas!$B:$B,0)),"cadastre o CNPJ em Empresas"))</f>
        <v/>
      </c>
      <c r="F615" s="23"/>
      <c r="G615" s="35"/>
      <c r="H615" s="24"/>
      <c r="I615" s="11"/>
      <c r="J615" s="27" t="str">
        <f aca="false">IF(A615="","",YEAR(A615))</f>
        <v/>
      </c>
      <c r="K615" s="24"/>
      <c r="L615" s="11"/>
    </row>
    <row r="616" customFormat="false" ht="15" hidden="false" customHeight="false" outlineLevel="0" collapsed="false">
      <c r="A616" s="22"/>
      <c r="B616" s="11"/>
      <c r="C616" s="24"/>
      <c r="D616" s="31" t="str">
        <f aca="false">IF(C616="","",IF(LEN(UPPER(SUBSTITUTE(SUBSTITUTE(SUBSTITUTE(SUBSTITUTE(TRIM(C616),".",""),"/",""),"-","")," ","")))&lt;14,RIGHT(REPT("0",14)&amp;UPPER(SUBSTITUTE(SUBSTITUTE(SUBSTITUTE(SUBSTITUTE(TRIM(C616),".",""),"/",""),"-","")," ","")),14),UPPER(SUBSTITUTE(SUBSTITUTE(SUBSTITUTE(SUBSTITUTE(TRIM(C616),".",""),"/",""),"-","")," ",""))))</f>
        <v/>
      </c>
      <c r="E616" s="25" t="str">
        <f aca="false">IF(D616="","",IFERROR(INDEX(Empresas!$C:$C,MATCH(D616,Empresas!$B:$B,0)),"cadastre o CNPJ em Empresas"))</f>
        <v/>
      </c>
      <c r="F616" s="23"/>
      <c r="G616" s="35"/>
      <c r="H616" s="24"/>
      <c r="I616" s="11"/>
      <c r="J616" s="27" t="str">
        <f aca="false">IF(A616="","",YEAR(A616))</f>
        <v/>
      </c>
      <c r="K616" s="24"/>
      <c r="L616" s="11"/>
    </row>
    <row r="617" customFormat="false" ht="15" hidden="false" customHeight="false" outlineLevel="0" collapsed="false">
      <c r="A617" s="22"/>
      <c r="B617" s="11"/>
      <c r="C617" s="24"/>
      <c r="D617" s="31" t="str">
        <f aca="false">IF(C617="","",IF(LEN(UPPER(SUBSTITUTE(SUBSTITUTE(SUBSTITUTE(SUBSTITUTE(TRIM(C617),".",""),"/",""),"-","")," ","")))&lt;14,RIGHT(REPT("0",14)&amp;UPPER(SUBSTITUTE(SUBSTITUTE(SUBSTITUTE(SUBSTITUTE(TRIM(C617),".",""),"/",""),"-","")," ","")),14),UPPER(SUBSTITUTE(SUBSTITUTE(SUBSTITUTE(SUBSTITUTE(TRIM(C617),".",""),"/",""),"-","")," ",""))))</f>
        <v/>
      </c>
      <c r="E617" s="25" t="str">
        <f aca="false">IF(D617="","",IFERROR(INDEX(Empresas!$C:$C,MATCH(D617,Empresas!$B:$B,0)),"cadastre o CNPJ em Empresas"))</f>
        <v/>
      </c>
      <c r="F617" s="23"/>
      <c r="G617" s="35"/>
      <c r="H617" s="24"/>
      <c r="I617" s="11"/>
      <c r="J617" s="27" t="str">
        <f aca="false">IF(A617="","",YEAR(A617))</f>
        <v/>
      </c>
      <c r="K617" s="24"/>
      <c r="L617" s="11"/>
    </row>
    <row r="618" customFormat="false" ht="15" hidden="false" customHeight="false" outlineLevel="0" collapsed="false">
      <c r="A618" s="22"/>
      <c r="B618" s="11"/>
      <c r="C618" s="24"/>
      <c r="D618" s="31" t="str">
        <f aca="false">IF(C618="","",IF(LEN(UPPER(SUBSTITUTE(SUBSTITUTE(SUBSTITUTE(SUBSTITUTE(TRIM(C618),".",""),"/",""),"-","")," ","")))&lt;14,RIGHT(REPT("0",14)&amp;UPPER(SUBSTITUTE(SUBSTITUTE(SUBSTITUTE(SUBSTITUTE(TRIM(C618),".",""),"/",""),"-","")," ","")),14),UPPER(SUBSTITUTE(SUBSTITUTE(SUBSTITUTE(SUBSTITUTE(TRIM(C618),".",""),"/",""),"-","")," ",""))))</f>
        <v/>
      </c>
      <c r="E618" s="25" t="str">
        <f aca="false">IF(D618="","",IFERROR(INDEX(Empresas!$C:$C,MATCH(D618,Empresas!$B:$B,0)),"cadastre o CNPJ em Empresas"))</f>
        <v/>
      </c>
      <c r="F618" s="23"/>
      <c r="G618" s="35"/>
      <c r="H618" s="24"/>
      <c r="I618" s="11"/>
      <c r="J618" s="27" t="str">
        <f aca="false">IF(A618="","",YEAR(A618))</f>
        <v/>
      </c>
      <c r="K618" s="24"/>
      <c r="L618" s="11"/>
    </row>
    <row r="619" customFormat="false" ht="15" hidden="false" customHeight="false" outlineLevel="0" collapsed="false">
      <c r="A619" s="22"/>
      <c r="B619" s="11"/>
      <c r="C619" s="24"/>
      <c r="D619" s="31" t="str">
        <f aca="false">IF(C619="","",IF(LEN(UPPER(SUBSTITUTE(SUBSTITUTE(SUBSTITUTE(SUBSTITUTE(TRIM(C619),".",""),"/",""),"-","")," ","")))&lt;14,RIGHT(REPT("0",14)&amp;UPPER(SUBSTITUTE(SUBSTITUTE(SUBSTITUTE(SUBSTITUTE(TRIM(C619),".",""),"/",""),"-","")," ","")),14),UPPER(SUBSTITUTE(SUBSTITUTE(SUBSTITUTE(SUBSTITUTE(TRIM(C619),".",""),"/",""),"-","")," ",""))))</f>
        <v/>
      </c>
      <c r="E619" s="25" t="str">
        <f aca="false">IF(D619="","",IFERROR(INDEX(Empresas!$C:$C,MATCH(D619,Empresas!$B:$B,0)),"cadastre o CNPJ em Empresas"))</f>
        <v/>
      </c>
      <c r="F619" s="23"/>
      <c r="G619" s="35"/>
      <c r="H619" s="24"/>
      <c r="I619" s="11"/>
      <c r="J619" s="27" t="str">
        <f aca="false">IF(A619="","",YEAR(A619))</f>
        <v/>
      </c>
      <c r="K619" s="24"/>
      <c r="L619" s="11"/>
    </row>
    <row r="620" customFormat="false" ht="15" hidden="false" customHeight="false" outlineLevel="0" collapsed="false">
      <c r="A620" s="22"/>
      <c r="B620" s="11"/>
      <c r="C620" s="24"/>
      <c r="D620" s="31" t="str">
        <f aca="false">IF(C620="","",IF(LEN(UPPER(SUBSTITUTE(SUBSTITUTE(SUBSTITUTE(SUBSTITUTE(TRIM(C620),".",""),"/",""),"-","")," ","")))&lt;14,RIGHT(REPT("0",14)&amp;UPPER(SUBSTITUTE(SUBSTITUTE(SUBSTITUTE(SUBSTITUTE(TRIM(C620),".",""),"/",""),"-","")," ","")),14),UPPER(SUBSTITUTE(SUBSTITUTE(SUBSTITUTE(SUBSTITUTE(TRIM(C620),".",""),"/",""),"-","")," ",""))))</f>
        <v/>
      </c>
      <c r="E620" s="25" t="str">
        <f aca="false">IF(D620="","",IFERROR(INDEX(Empresas!$C:$C,MATCH(D620,Empresas!$B:$B,0)),"cadastre o CNPJ em Empresas"))</f>
        <v/>
      </c>
      <c r="F620" s="23"/>
      <c r="G620" s="35"/>
      <c r="H620" s="24"/>
      <c r="I620" s="11"/>
      <c r="J620" s="27" t="str">
        <f aca="false">IF(A620="","",YEAR(A620))</f>
        <v/>
      </c>
      <c r="K620" s="24"/>
      <c r="L620" s="11"/>
    </row>
    <row r="621" customFormat="false" ht="15" hidden="false" customHeight="false" outlineLevel="0" collapsed="false">
      <c r="A621" s="22"/>
      <c r="B621" s="11"/>
      <c r="C621" s="24"/>
      <c r="D621" s="31" t="str">
        <f aca="false">IF(C621="","",IF(LEN(UPPER(SUBSTITUTE(SUBSTITUTE(SUBSTITUTE(SUBSTITUTE(TRIM(C621),".",""),"/",""),"-","")," ","")))&lt;14,RIGHT(REPT("0",14)&amp;UPPER(SUBSTITUTE(SUBSTITUTE(SUBSTITUTE(SUBSTITUTE(TRIM(C621),".",""),"/",""),"-","")," ","")),14),UPPER(SUBSTITUTE(SUBSTITUTE(SUBSTITUTE(SUBSTITUTE(TRIM(C621),".",""),"/",""),"-","")," ",""))))</f>
        <v/>
      </c>
      <c r="E621" s="25" t="str">
        <f aca="false">IF(D621="","",IFERROR(INDEX(Empresas!$C:$C,MATCH(D621,Empresas!$B:$B,0)),"cadastre o CNPJ em Empresas"))</f>
        <v/>
      </c>
      <c r="F621" s="23"/>
      <c r="G621" s="35"/>
      <c r="H621" s="24"/>
      <c r="I621" s="11"/>
      <c r="J621" s="27" t="str">
        <f aca="false">IF(A621="","",YEAR(A621))</f>
        <v/>
      </c>
      <c r="K621" s="24"/>
      <c r="L621" s="11"/>
    </row>
    <row r="622" customFormat="false" ht="15" hidden="false" customHeight="false" outlineLevel="0" collapsed="false">
      <c r="A622" s="22"/>
      <c r="B622" s="11"/>
      <c r="C622" s="24"/>
      <c r="D622" s="31" t="str">
        <f aca="false">IF(C622="","",IF(LEN(UPPER(SUBSTITUTE(SUBSTITUTE(SUBSTITUTE(SUBSTITUTE(TRIM(C622),".",""),"/",""),"-","")," ","")))&lt;14,RIGHT(REPT("0",14)&amp;UPPER(SUBSTITUTE(SUBSTITUTE(SUBSTITUTE(SUBSTITUTE(TRIM(C622),".",""),"/",""),"-","")," ","")),14),UPPER(SUBSTITUTE(SUBSTITUTE(SUBSTITUTE(SUBSTITUTE(TRIM(C622),".",""),"/",""),"-","")," ",""))))</f>
        <v/>
      </c>
      <c r="E622" s="25" t="str">
        <f aca="false">IF(D622="","",IFERROR(INDEX(Empresas!$C:$C,MATCH(D622,Empresas!$B:$B,0)),"cadastre o CNPJ em Empresas"))</f>
        <v/>
      </c>
      <c r="F622" s="23"/>
      <c r="G622" s="35"/>
      <c r="H622" s="24"/>
      <c r="I622" s="11"/>
      <c r="J622" s="27" t="str">
        <f aca="false">IF(A622="","",YEAR(A622))</f>
        <v/>
      </c>
      <c r="K622" s="24"/>
      <c r="L622" s="11"/>
    </row>
    <row r="623" customFormat="false" ht="15" hidden="false" customHeight="false" outlineLevel="0" collapsed="false">
      <c r="A623" s="22"/>
      <c r="B623" s="11"/>
      <c r="C623" s="24"/>
      <c r="D623" s="31" t="str">
        <f aca="false">IF(C623="","",IF(LEN(UPPER(SUBSTITUTE(SUBSTITUTE(SUBSTITUTE(SUBSTITUTE(TRIM(C623),".",""),"/",""),"-","")," ","")))&lt;14,RIGHT(REPT("0",14)&amp;UPPER(SUBSTITUTE(SUBSTITUTE(SUBSTITUTE(SUBSTITUTE(TRIM(C623),".",""),"/",""),"-","")," ","")),14),UPPER(SUBSTITUTE(SUBSTITUTE(SUBSTITUTE(SUBSTITUTE(TRIM(C623),".",""),"/",""),"-","")," ",""))))</f>
        <v/>
      </c>
      <c r="E623" s="25" t="str">
        <f aca="false">IF(D623="","",IFERROR(INDEX(Empresas!$C:$C,MATCH(D623,Empresas!$B:$B,0)),"cadastre o CNPJ em Empresas"))</f>
        <v/>
      </c>
      <c r="F623" s="23"/>
      <c r="G623" s="35"/>
      <c r="H623" s="24"/>
      <c r="I623" s="11"/>
      <c r="J623" s="27" t="str">
        <f aca="false">IF(A623="","",YEAR(A623))</f>
        <v/>
      </c>
      <c r="K623" s="24"/>
      <c r="L623" s="11"/>
    </row>
    <row r="624" customFormat="false" ht="15" hidden="false" customHeight="false" outlineLevel="0" collapsed="false">
      <c r="A624" s="22"/>
      <c r="B624" s="11"/>
      <c r="C624" s="24"/>
      <c r="D624" s="31" t="str">
        <f aca="false">IF(C624="","",IF(LEN(UPPER(SUBSTITUTE(SUBSTITUTE(SUBSTITUTE(SUBSTITUTE(TRIM(C624),".",""),"/",""),"-","")," ","")))&lt;14,RIGHT(REPT("0",14)&amp;UPPER(SUBSTITUTE(SUBSTITUTE(SUBSTITUTE(SUBSTITUTE(TRIM(C624),".",""),"/",""),"-","")," ","")),14),UPPER(SUBSTITUTE(SUBSTITUTE(SUBSTITUTE(SUBSTITUTE(TRIM(C624),".",""),"/",""),"-","")," ",""))))</f>
        <v/>
      </c>
      <c r="E624" s="25" t="str">
        <f aca="false">IF(D624="","",IFERROR(INDEX(Empresas!$C:$C,MATCH(D624,Empresas!$B:$B,0)),"cadastre o CNPJ em Empresas"))</f>
        <v/>
      </c>
      <c r="F624" s="23"/>
      <c r="G624" s="35"/>
      <c r="H624" s="24"/>
      <c r="I624" s="11"/>
      <c r="J624" s="27" t="str">
        <f aca="false">IF(A624="","",YEAR(A624))</f>
        <v/>
      </c>
      <c r="K624" s="24"/>
      <c r="L624" s="11"/>
    </row>
    <row r="625" customFormat="false" ht="15" hidden="false" customHeight="false" outlineLevel="0" collapsed="false">
      <c r="A625" s="22"/>
      <c r="B625" s="11"/>
      <c r="C625" s="24"/>
      <c r="D625" s="31" t="str">
        <f aca="false">IF(C625="","",IF(LEN(UPPER(SUBSTITUTE(SUBSTITUTE(SUBSTITUTE(SUBSTITUTE(TRIM(C625),".",""),"/",""),"-","")," ","")))&lt;14,RIGHT(REPT("0",14)&amp;UPPER(SUBSTITUTE(SUBSTITUTE(SUBSTITUTE(SUBSTITUTE(TRIM(C625),".",""),"/",""),"-","")," ","")),14),UPPER(SUBSTITUTE(SUBSTITUTE(SUBSTITUTE(SUBSTITUTE(TRIM(C625),".",""),"/",""),"-","")," ",""))))</f>
        <v/>
      </c>
      <c r="E625" s="25" t="str">
        <f aca="false">IF(D625="","",IFERROR(INDEX(Empresas!$C:$C,MATCH(D625,Empresas!$B:$B,0)),"cadastre o CNPJ em Empresas"))</f>
        <v/>
      </c>
      <c r="F625" s="23"/>
      <c r="G625" s="35"/>
      <c r="H625" s="24"/>
      <c r="I625" s="11"/>
      <c r="J625" s="27" t="str">
        <f aca="false">IF(A625="","",YEAR(A625))</f>
        <v/>
      </c>
      <c r="K625" s="24"/>
      <c r="L625" s="11"/>
    </row>
    <row r="626" customFormat="false" ht="15" hidden="false" customHeight="false" outlineLevel="0" collapsed="false">
      <c r="A626" s="22"/>
      <c r="B626" s="11"/>
      <c r="C626" s="24"/>
      <c r="D626" s="31" t="str">
        <f aca="false">IF(C626="","",IF(LEN(UPPER(SUBSTITUTE(SUBSTITUTE(SUBSTITUTE(SUBSTITUTE(TRIM(C626),".",""),"/",""),"-","")," ","")))&lt;14,RIGHT(REPT("0",14)&amp;UPPER(SUBSTITUTE(SUBSTITUTE(SUBSTITUTE(SUBSTITUTE(TRIM(C626),".",""),"/",""),"-","")," ","")),14),UPPER(SUBSTITUTE(SUBSTITUTE(SUBSTITUTE(SUBSTITUTE(TRIM(C626),".",""),"/",""),"-","")," ",""))))</f>
        <v/>
      </c>
      <c r="E626" s="25" t="str">
        <f aca="false">IF(D626="","",IFERROR(INDEX(Empresas!$C:$C,MATCH(D626,Empresas!$B:$B,0)),"cadastre o CNPJ em Empresas"))</f>
        <v/>
      </c>
      <c r="F626" s="23"/>
      <c r="G626" s="35"/>
      <c r="H626" s="24"/>
      <c r="I626" s="11"/>
      <c r="J626" s="27" t="str">
        <f aca="false">IF(A626="","",YEAR(A626))</f>
        <v/>
      </c>
      <c r="K626" s="24"/>
      <c r="L626" s="11"/>
    </row>
    <row r="627" customFormat="false" ht="15" hidden="false" customHeight="false" outlineLevel="0" collapsed="false">
      <c r="A627" s="22"/>
      <c r="B627" s="11"/>
      <c r="C627" s="24"/>
      <c r="D627" s="31" t="str">
        <f aca="false">IF(C627="","",IF(LEN(UPPER(SUBSTITUTE(SUBSTITUTE(SUBSTITUTE(SUBSTITUTE(TRIM(C627),".",""),"/",""),"-","")," ","")))&lt;14,RIGHT(REPT("0",14)&amp;UPPER(SUBSTITUTE(SUBSTITUTE(SUBSTITUTE(SUBSTITUTE(TRIM(C627),".",""),"/",""),"-","")," ","")),14),UPPER(SUBSTITUTE(SUBSTITUTE(SUBSTITUTE(SUBSTITUTE(TRIM(C627),".",""),"/",""),"-","")," ",""))))</f>
        <v/>
      </c>
      <c r="E627" s="25" t="str">
        <f aca="false">IF(D627="","",IFERROR(INDEX(Empresas!$C:$C,MATCH(D627,Empresas!$B:$B,0)),"cadastre o CNPJ em Empresas"))</f>
        <v/>
      </c>
      <c r="F627" s="23"/>
      <c r="G627" s="35"/>
      <c r="H627" s="24"/>
      <c r="I627" s="11"/>
      <c r="J627" s="27" t="str">
        <f aca="false">IF(A627="","",YEAR(A627))</f>
        <v/>
      </c>
      <c r="K627" s="24"/>
      <c r="L627" s="11"/>
    </row>
    <row r="628" customFormat="false" ht="15" hidden="false" customHeight="false" outlineLevel="0" collapsed="false">
      <c r="A628" s="22"/>
      <c r="B628" s="11"/>
      <c r="C628" s="24"/>
      <c r="D628" s="31" t="str">
        <f aca="false">IF(C628="","",IF(LEN(UPPER(SUBSTITUTE(SUBSTITUTE(SUBSTITUTE(SUBSTITUTE(TRIM(C628),".",""),"/",""),"-","")," ","")))&lt;14,RIGHT(REPT("0",14)&amp;UPPER(SUBSTITUTE(SUBSTITUTE(SUBSTITUTE(SUBSTITUTE(TRIM(C628),".",""),"/",""),"-","")," ","")),14),UPPER(SUBSTITUTE(SUBSTITUTE(SUBSTITUTE(SUBSTITUTE(TRIM(C628),".",""),"/",""),"-","")," ",""))))</f>
        <v/>
      </c>
      <c r="E628" s="25" t="str">
        <f aca="false">IF(D628="","",IFERROR(INDEX(Empresas!$C:$C,MATCH(D628,Empresas!$B:$B,0)),"cadastre o CNPJ em Empresas"))</f>
        <v/>
      </c>
      <c r="F628" s="23"/>
      <c r="G628" s="35"/>
      <c r="H628" s="24"/>
      <c r="I628" s="11"/>
      <c r="J628" s="27" t="str">
        <f aca="false">IF(A628="","",YEAR(A628))</f>
        <v/>
      </c>
      <c r="K628" s="24"/>
      <c r="L628" s="11"/>
    </row>
    <row r="629" customFormat="false" ht="15" hidden="false" customHeight="false" outlineLevel="0" collapsed="false">
      <c r="A629" s="22"/>
      <c r="B629" s="11"/>
      <c r="C629" s="24"/>
      <c r="D629" s="31" t="str">
        <f aca="false">IF(C629="","",IF(LEN(UPPER(SUBSTITUTE(SUBSTITUTE(SUBSTITUTE(SUBSTITUTE(TRIM(C629),".",""),"/",""),"-","")," ","")))&lt;14,RIGHT(REPT("0",14)&amp;UPPER(SUBSTITUTE(SUBSTITUTE(SUBSTITUTE(SUBSTITUTE(TRIM(C629),".",""),"/",""),"-","")," ","")),14),UPPER(SUBSTITUTE(SUBSTITUTE(SUBSTITUTE(SUBSTITUTE(TRIM(C629),".",""),"/",""),"-","")," ",""))))</f>
        <v/>
      </c>
      <c r="E629" s="25" t="str">
        <f aca="false">IF(D629="","",IFERROR(INDEX(Empresas!$C:$C,MATCH(D629,Empresas!$B:$B,0)),"cadastre o CNPJ em Empresas"))</f>
        <v/>
      </c>
      <c r="F629" s="23"/>
      <c r="G629" s="35"/>
      <c r="H629" s="24"/>
      <c r="I629" s="11"/>
      <c r="J629" s="27" t="str">
        <f aca="false">IF(A629="","",YEAR(A629))</f>
        <v/>
      </c>
      <c r="K629" s="24"/>
      <c r="L629" s="11"/>
    </row>
    <row r="630" customFormat="false" ht="15" hidden="false" customHeight="false" outlineLevel="0" collapsed="false">
      <c r="A630" s="22"/>
      <c r="B630" s="11"/>
      <c r="C630" s="24"/>
      <c r="D630" s="31" t="str">
        <f aca="false">IF(C630="","",IF(LEN(UPPER(SUBSTITUTE(SUBSTITUTE(SUBSTITUTE(SUBSTITUTE(TRIM(C630),".",""),"/",""),"-","")," ","")))&lt;14,RIGHT(REPT("0",14)&amp;UPPER(SUBSTITUTE(SUBSTITUTE(SUBSTITUTE(SUBSTITUTE(TRIM(C630),".",""),"/",""),"-","")," ","")),14),UPPER(SUBSTITUTE(SUBSTITUTE(SUBSTITUTE(SUBSTITUTE(TRIM(C630),".",""),"/",""),"-","")," ",""))))</f>
        <v/>
      </c>
      <c r="E630" s="25" t="str">
        <f aca="false">IF(D630="","",IFERROR(INDEX(Empresas!$C:$C,MATCH(D630,Empresas!$B:$B,0)),"cadastre o CNPJ em Empresas"))</f>
        <v/>
      </c>
      <c r="F630" s="23"/>
      <c r="G630" s="35"/>
      <c r="H630" s="24"/>
      <c r="I630" s="11"/>
      <c r="J630" s="27" t="str">
        <f aca="false">IF(A630="","",YEAR(A630))</f>
        <v/>
      </c>
      <c r="K630" s="24"/>
      <c r="L630" s="11"/>
    </row>
    <row r="631" customFormat="false" ht="15" hidden="false" customHeight="false" outlineLevel="0" collapsed="false">
      <c r="A631" s="22"/>
      <c r="B631" s="11"/>
      <c r="C631" s="24"/>
      <c r="D631" s="31" t="str">
        <f aca="false">IF(C631="","",IF(LEN(UPPER(SUBSTITUTE(SUBSTITUTE(SUBSTITUTE(SUBSTITUTE(TRIM(C631),".",""),"/",""),"-","")," ","")))&lt;14,RIGHT(REPT("0",14)&amp;UPPER(SUBSTITUTE(SUBSTITUTE(SUBSTITUTE(SUBSTITUTE(TRIM(C631),".",""),"/",""),"-","")," ","")),14),UPPER(SUBSTITUTE(SUBSTITUTE(SUBSTITUTE(SUBSTITUTE(TRIM(C631),".",""),"/",""),"-","")," ",""))))</f>
        <v/>
      </c>
      <c r="E631" s="25" t="str">
        <f aca="false">IF(D631="","",IFERROR(INDEX(Empresas!$C:$C,MATCH(D631,Empresas!$B:$B,0)),"cadastre o CNPJ em Empresas"))</f>
        <v/>
      </c>
      <c r="F631" s="23"/>
      <c r="G631" s="35"/>
      <c r="H631" s="24"/>
      <c r="I631" s="11"/>
      <c r="J631" s="27" t="str">
        <f aca="false">IF(A631="","",YEAR(A631))</f>
        <v/>
      </c>
      <c r="K631" s="24"/>
      <c r="L631" s="11"/>
    </row>
    <row r="632" customFormat="false" ht="15" hidden="false" customHeight="false" outlineLevel="0" collapsed="false">
      <c r="A632" s="22"/>
      <c r="B632" s="11"/>
      <c r="C632" s="24"/>
      <c r="D632" s="31" t="str">
        <f aca="false">IF(C632="","",IF(LEN(UPPER(SUBSTITUTE(SUBSTITUTE(SUBSTITUTE(SUBSTITUTE(TRIM(C632),".",""),"/",""),"-","")," ","")))&lt;14,RIGHT(REPT("0",14)&amp;UPPER(SUBSTITUTE(SUBSTITUTE(SUBSTITUTE(SUBSTITUTE(TRIM(C632),".",""),"/",""),"-","")," ","")),14),UPPER(SUBSTITUTE(SUBSTITUTE(SUBSTITUTE(SUBSTITUTE(TRIM(C632),".",""),"/",""),"-","")," ",""))))</f>
        <v/>
      </c>
      <c r="E632" s="25" t="str">
        <f aca="false">IF(D632="","",IFERROR(INDEX(Empresas!$C:$C,MATCH(D632,Empresas!$B:$B,0)),"cadastre o CNPJ em Empresas"))</f>
        <v/>
      </c>
      <c r="F632" s="23"/>
      <c r="G632" s="35"/>
      <c r="H632" s="24"/>
      <c r="I632" s="11"/>
      <c r="J632" s="27" t="str">
        <f aca="false">IF(A632="","",YEAR(A632))</f>
        <v/>
      </c>
      <c r="K632" s="24"/>
      <c r="L632" s="11"/>
    </row>
    <row r="633" customFormat="false" ht="15" hidden="false" customHeight="false" outlineLevel="0" collapsed="false">
      <c r="A633" s="22"/>
      <c r="B633" s="11"/>
      <c r="C633" s="24"/>
      <c r="D633" s="31" t="str">
        <f aca="false">IF(C633="","",IF(LEN(UPPER(SUBSTITUTE(SUBSTITUTE(SUBSTITUTE(SUBSTITUTE(TRIM(C633),".",""),"/",""),"-","")," ","")))&lt;14,RIGHT(REPT("0",14)&amp;UPPER(SUBSTITUTE(SUBSTITUTE(SUBSTITUTE(SUBSTITUTE(TRIM(C633),".",""),"/",""),"-","")," ","")),14),UPPER(SUBSTITUTE(SUBSTITUTE(SUBSTITUTE(SUBSTITUTE(TRIM(C633),".",""),"/",""),"-","")," ",""))))</f>
        <v/>
      </c>
      <c r="E633" s="25" t="str">
        <f aca="false">IF(D633="","",IFERROR(INDEX(Empresas!$C:$C,MATCH(D633,Empresas!$B:$B,0)),"cadastre o CNPJ em Empresas"))</f>
        <v/>
      </c>
      <c r="F633" s="23"/>
      <c r="G633" s="35"/>
      <c r="H633" s="24"/>
      <c r="I633" s="11"/>
      <c r="J633" s="27" t="str">
        <f aca="false">IF(A633="","",YEAR(A633))</f>
        <v/>
      </c>
      <c r="K633" s="24"/>
      <c r="L633" s="11"/>
    </row>
    <row r="634" customFormat="false" ht="15" hidden="false" customHeight="false" outlineLevel="0" collapsed="false">
      <c r="A634" s="22"/>
      <c r="B634" s="11"/>
      <c r="C634" s="24"/>
      <c r="D634" s="31" t="str">
        <f aca="false">IF(C634="","",IF(LEN(UPPER(SUBSTITUTE(SUBSTITUTE(SUBSTITUTE(SUBSTITUTE(TRIM(C634),".",""),"/",""),"-","")," ","")))&lt;14,RIGHT(REPT("0",14)&amp;UPPER(SUBSTITUTE(SUBSTITUTE(SUBSTITUTE(SUBSTITUTE(TRIM(C634),".",""),"/",""),"-","")," ","")),14),UPPER(SUBSTITUTE(SUBSTITUTE(SUBSTITUTE(SUBSTITUTE(TRIM(C634),".",""),"/",""),"-","")," ",""))))</f>
        <v/>
      </c>
      <c r="E634" s="25" t="str">
        <f aca="false">IF(D634="","",IFERROR(INDEX(Empresas!$C:$C,MATCH(D634,Empresas!$B:$B,0)),"cadastre o CNPJ em Empresas"))</f>
        <v/>
      </c>
      <c r="F634" s="23"/>
      <c r="G634" s="35"/>
      <c r="H634" s="24"/>
      <c r="I634" s="11"/>
      <c r="J634" s="27" t="str">
        <f aca="false">IF(A634="","",YEAR(A634))</f>
        <v/>
      </c>
      <c r="K634" s="24"/>
      <c r="L634" s="11"/>
    </row>
    <row r="635" customFormat="false" ht="15" hidden="false" customHeight="false" outlineLevel="0" collapsed="false">
      <c r="A635" s="22"/>
      <c r="B635" s="11"/>
      <c r="C635" s="24"/>
      <c r="D635" s="31" t="str">
        <f aca="false">IF(C635="","",IF(LEN(UPPER(SUBSTITUTE(SUBSTITUTE(SUBSTITUTE(SUBSTITUTE(TRIM(C635),".",""),"/",""),"-","")," ","")))&lt;14,RIGHT(REPT("0",14)&amp;UPPER(SUBSTITUTE(SUBSTITUTE(SUBSTITUTE(SUBSTITUTE(TRIM(C635),".",""),"/",""),"-","")," ","")),14),UPPER(SUBSTITUTE(SUBSTITUTE(SUBSTITUTE(SUBSTITUTE(TRIM(C635),".",""),"/",""),"-","")," ",""))))</f>
        <v/>
      </c>
      <c r="E635" s="25" t="str">
        <f aca="false">IF(D635="","",IFERROR(INDEX(Empresas!$C:$C,MATCH(D635,Empresas!$B:$B,0)),"cadastre o CNPJ em Empresas"))</f>
        <v/>
      </c>
      <c r="F635" s="23"/>
      <c r="G635" s="35"/>
      <c r="H635" s="24"/>
      <c r="I635" s="11"/>
      <c r="J635" s="27" t="str">
        <f aca="false">IF(A635="","",YEAR(A635))</f>
        <v/>
      </c>
      <c r="K635" s="24"/>
      <c r="L635" s="11"/>
    </row>
    <row r="636" customFormat="false" ht="15" hidden="false" customHeight="false" outlineLevel="0" collapsed="false">
      <c r="A636" s="22"/>
      <c r="B636" s="11"/>
      <c r="C636" s="24"/>
      <c r="D636" s="31" t="str">
        <f aca="false">IF(C636="","",IF(LEN(UPPER(SUBSTITUTE(SUBSTITUTE(SUBSTITUTE(SUBSTITUTE(TRIM(C636),".",""),"/",""),"-","")," ","")))&lt;14,RIGHT(REPT("0",14)&amp;UPPER(SUBSTITUTE(SUBSTITUTE(SUBSTITUTE(SUBSTITUTE(TRIM(C636),".",""),"/",""),"-","")," ","")),14),UPPER(SUBSTITUTE(SUBSTITUTE(SUBSTITUTE(SUBSTITUTE(TRIM(C636),".",""),"/",""),"-","")," ",""))))</f>
        <v/>
      </c>
      <c r="E636" s="25" t="str">
        <f aca="false">IF(D636="","",IFERROR(INDEX(Empresas!$C:$C,MATCH(D636,Empresas!$B:$B,0)),"cadastre o CNPJ em Empresas"))</f>
        <v/>
      </c>
      <c r="F636" s="23"/>
      <c r="G636" s="35"/>
      <c r="H636" s="24"/>
      <c r="I636" s="11"/>
      <c r="J636" s="27" t="str">
        <f aca="false">IF(A636="","",YEAR(A636))</f>
        <v/>
      </c>
      <c r="K636" s="24"/>
      <c r="L636" s="11"/>
    </row>
    <row r="637" customFormat="false" ht="15" hidden="false" customHeight="false" outlineLevel="0" collapsed="false">
      <c r="A637" s="22"/>
      <c r="B637" s="11"/>
      <c r="C637" s="24"/>
      <c r="D637" s="31" t="str">
        <f aca="false">IF(C637="","",IF(LEN(UPPER(SUBSTITUTE(SUBSTITUTE(SUBSTITUTE(SUBSTITUTE(TRIM(C637),".",""),"/",""),"-","")," ","")))&lt;14,RIGHT(REPT("0",14)&amp;UPPER(SUBSTITUTE(SUBSTITUTE(SUBSTITUTE(SUBSTITUTE(TRIM(C637),".",""),"/",""),"-","")," ","")),14),UPPER(SUBSTITUTE(SUBSTITUTE(SUBSTITUTE(SUBSTITUTE(TRIM(C637),".",""),"/",""),"-","")," ",""))))</f>
        <v/>
      </c>
      <c r="E637" s="25" t="str">
        <f aca="false">IF(D637="","",IFERROR(INDEX(Empresas!$C:$C,MATCH(D637,Empresas!$B:$B,0)),"cadastre o CNPJ em Empresas"))</f>
        <v/>
      </c>
      <c r="F637" s="23"/>
      <c r="G637" s="35"/>
      <c r="H637" s="24"/>
      <c r="I637" s="11"/>
      <c r="J637" s="27" t="str">
        <f aca="false">IF(A637="","",YEAR(A637))</f>
        <v/>
      </c>
      <c r="K637" s="24"/>
      <c r="L637" s="11"/>
    </row>
    <row r="638" customFormat="false" ht="15" hidden="false" customHeight="false" outlineLevel="0" collapsed="false">
      <c r="A638" s="22"/>
      <c r="B638" s="11"/>
      <c r="C638" s="24"/>
      <c r="D638" s="31" t="str">
        <f aca="false">IF(C638="","",IF(LEN(UPPER(SUBSTITUTE(SUBSTITUTE(SUBSTITUTE(SUBSTITUTE(TRIM(C638),".",""),"/",""),"-","")," ","")))&lt;14,RIGHT(REPT("0",14)&amp;UPPER(SUBSTITUTE(SUBSTITUTE(SUBSTITUTE(SUBSTITUTE(TRIM(C638),".",""),"/",""),"-","")," ","")),14),UPPER(SUBSTITUTE(SUBSTITUTE(SUBSTITUTE(SUBSTITUTE(TRIM(C638),".",""),"/",""),"-","")," ",""))))</f>
        <v/>
      </c>
      <c r="E638" s="25" t="str">
        <f aca="false">IF(D638="","",IFERROR(INDEX(Empresas!$C:$C,MATCH(D638,Empresas!$B:$B,0)),"cadastre o CNPJ em Empresas"))</f>
        <v/>
      </c>
      <c r="F638" s="23"/>
      <c r="G638" s="35"/>
      <c r="H638" s="24"/>
      <c r="I638" s="11"/>
      <c r="J638" s="27" t="str">
        <f aca="false">IF(A638="","",YEAR(A638))</f>
        <v/>
      </c>
      <c r="K638" s="24"/>
      <c r="L638" s="11"/>
    </row>
    <row r="639" customFormat="false" ht="15" hidden="false" customHeight="false" outlineLevel="0" collapsed="false">
      <c r="A639" s="22"/>
      <c r="B639" s="11"/>
      <c r="C639" s="24"/>
      <c r="D639" s="31" t="str">
        <f aca="false">IF(C639="","",IF(LEN(UPPER(SUBSTITUTE(SUBSTITUTE(SUBSTITUTE(SUBSTITUTE(TRIM(C639),".",""),"/",""),"-","")," ","")))&lt;14,RIGHT(REPT("0",14)&amp;UPPER(SUBSTITUTE(SUBSTITUTE(SUBSTITUTE(SUBSTITUTE(TRIM(C639),".",""),"/",""),"-","")," ","")),14),UPPER(SUBSTITUTE(SUBSTITUTE(SUBSTITUTE(SUBSTITUTE(TRIM(C639),".",""),"/",""),"-","")," ",""))))</f>
        <v/>
      </c>
      <c r="E639" s="25" t="str">
        <f aca="false">IF(D639="","",IFERROR(INDEX(Empresas!$C:$C,MATCH(D639,Empresas!$B:$B,0)),"cadastre o CNPJ em Empresas"))</f>
        <v/>
      </c>
      <c r="F639" s="23"/>
      <c r="G639" s="35"/>
      <c r="H639" s="24"/>
      <c r="I639" s="11"/>
      <c r="J639" s="27" t="str">
        <f aca="false">IF(A639="","",YEAR(A639))</f>
        <v/>
      </c>
      <c r="K639" s="24"/>
      <c r="L639" s="11"/>
    </row>
    <row r="640" customFormat="false" ht="15" hidden="false" customHeight="false" outlineLevel="0" collapsed="false">
      <c r="A640" s="22"/>
      <c r="B640" s="11"/>
      <c r="C640" s="24"/>
      <c r="D640" s="31" t="str">
        <f aca="false">IF(C640="","",IF(LEN(UPPER(SUBSTITUTE(SUBSTITUTE(SUBSTITUTE(SUBSTITUTE(TRIM(C640),".",""),"/",""),"-","")," ","")))&lt;14,RIGHT(REPT("0",14)&amp;UPPER(SUBSTITUTE(SUBSTITUTE(SUBSTITUTE(SUBSTITUTE(TRIM(C640),".",""),"/",""),"-","")," ","")),14),UPPER(SUBSTITUTE(SUBSTITUTE(SUBSTITUTE(SUBSTITUTE(TRIM(C640),".",""),"/",""),"-","")," ",""))))</f>
        <v/>
      </c>
      <c r="E640" s="25" t="str">
        <f aca="false">IF(D640="","",IFERROR(INDEX(Empresas!$C:$C,MATCH(D640,Empresas!$B:$B,0)),"cadastre o CNPJ em Empresas"))</f>
        <v/>
      </c>
      <c r="F640" s="23"/>
      <c r="G640" s="35"/>
      <c r="H640" s="24"/>
      <c r="I640" s="11"/>
      <c r="J640" s="27" t="str">
        <f aca="false">IF(A640="","",YEAR(A640))</f>
        <v/>
      </c>
      <c r="K640" s="24"/>
      <c r="L640" s="11"/>
    </row>
    <row r="641" customFormat="false" ht="15" hidden="false" customHeight="false" outlineLevel="0" collapsed="false">
      <c r="A641" s="22"/>
      <c r="B641" s="11"/>
      <c r="C641" s="24"/>
      <c r="D641" s="31" t="str">
        <f aca="false">IF(C641="","",IF(LEN(UPPER(SUBSTITUTE(SUBSTITUTE(SUBSTITUTE(SUBSTITUTE(TRIM(C641),".",""),"/",""),"-","")," ","")))&lt;14,RIGHT(REPT("0",14)&amp;UPPER(SUBSTITUTE(SUBSTITUTE(SUBSTITUTE(SUBSTITUTE(TRIM(C641),".",""),"/",""),"-","")," ","")),14),UPPER(SUBSTITUTE(SUBSTITUTE(SUBSTITUTE(SUBSTITUTE(TRIM(C641),".",""),"/",""),"-","")," ",""))))</f>
        <v/>
      </c>
      <c r="E641" s="25" t="str">
        <f aca="false">IF(D641="","",IFERROR(INDEX(Empresas!$C:$C,MATCH(D641,Empresas!$B:$B,0)),"cadastre o CNPJ em Empresas"))</f>
        <v/>
      </c>
      <c r="F641" s="23"/>
      <c r="G641" s="35"/>
      <c r="H641" s="24"/>
      <c r="I641" s="11"/>
      <c r="J641" s="27" t="str">
        <f aca="false">IF(A641="","",YEAR(A641))</f>
        <v/>
      </c>
      <c r="K641" s="24"/>
      <c r="L641" s="11"/>
    </row>
    <row r="642" customFormat="false" ht="15" hidden="false" customHeight="false" outlineLevel="0" collapsed="false">
      <c r="A642" s="22"/>
      <c r="B642" s="11"/>
      <c r="C642" s="24"/>
      <c r="D642" s="31" t="str">
        <f aca="false">IF(C642="","",IF(LEN(UPPER(SUBSTITUTE(SUBSTITUTE(SUBSTITUTE(SUBSTITUTE(TRIM(C642),".",""),"/",""),"-","")," ","")))&lt;14,RIGHT(REPT("0",14)&amp;UPPER(SUBSTITUTE(SUBSTITUTE(SUBSTITUTE(SUBSTITUTE(TRIM(C642),".",""),"/",""),"-","")," ","")),14),UPPER(SUBSTITUTE(SUBSTITUTE(SUBSTITUTE(SUBSTITUTE(TRIM(C642),".",""),"/",""),"-","")," ",""))))</f>
        <v/>
      </c>
      <c r="E642" s="25" t="str">
        <f aca="false">IF(D642="","",IFERROR(INDEX(Empresas!$C:$C,MATCH(D642,Empresas!$B:$B,0)),"cadastre o CNPJ em Empresas"))</f>
        <v/>
      </c>
      <c r="F642" s="23"/>
      <c r="G642" s="35"/>
      <c r="H642" s="24"/>
      <c r="I642" s="11"/>
      <c r="J642" s="27" t="str">
        <f aca="false">IF(A642="","",YEAR(A642))</f>
        <v/>
      </c>
      <c r="K642" s="24"/>
      <c r="L642" s="11"/>
    </row>
    <row r="643" customFormat="false" ht="15" hidden="false" customHeight="false" outlineLevel="0" collapsed="false">
      <c r="A643" s="22"/>
      <c r="B643" s="11"/>
      <c r="C643" s="24"/>
      <c r="D643" s="31" t="str">
        <f aca="false">IF(C643="","",IF(LEN(UPPER(SUBSTITUTE(SUBSTITUTE(SUBSTITUTE(SUBSTITUTE(TRIM(C643),".",""),"/",""),"-","")," ","")))&lt;14,RIGHT(REPT("0",14)&amp;UPPER(SUBSTITUTE(SUBSTITUTE(SUBSTITUTE(SUBSTITUTE(TRIM(C643),".",""),"/",""),"-","")," ","")),14),UPPER(SUBSTITUTE(SUBSTITUTE(SUBSTITUTE(SUBSTITUTE(TRIM(C643),".",""),"/",""),"-","")," ",""))))</f>
        <v/>
      </c>
      <c r="E643" s="25" t="str">
        <f aca="false">IF(D643="","",IFERROR(INDEX(Empresas!$C:$C,MATCH(D643,Empresas!$B:$B,0)),"cadastre o CNPJ em Empresas"))</f>
        <v/>
      </c>
      <c r="F643" s="23"/>
      <c r="G643" s="35"/>
      <c r="H643" s="24"/>
      <c r="I643" s="11"/>
      <c r="J643" s="27" t="str">
        <f aca="false">IF(A643="","",YEAR(A643))</f>
        <v/>
      </c>
      <c r="K643" s="24"/>
      <c r="L643" s="11"/>
    </row>
    <row r="644" customFormat="false" ht="15" hidden="false" customHeight="false" outlineLevel="0" collapsed="false">
      <c r="A644" s="22"/>
      <c r="B644" s="11"/>
      <c r="C644" s="24"/>
      <c r="D644" s="31" t="str">
        <f aca="false">IF(C644="","",IF(LEN(UPPER(SUBSTITUTE(SUBSTITUTE(SUBSTITUTE(SUBSTITUTE(TRIM(C644),".",""),"/",""),"-","")," ","")))&lt;14,RIGHT(REPT("0",14)&amp;UPPER(SUBSTITUTE(SUBSTITUTE(SUBSTITUTE(SUBSTITUTE(TRIM(C644),".",""),"/",""),"-","")," ","")),14),UPPER(SUBSTITUTE(SUBSTITUTE(SUBSTITUTE(SUBSTITUTE(TRIM(C644),".",""),"/",""),"-","")," ",""))))</f>
        <v/>
      </c>
      <c r="E644" s="25" t="str">
        <f aca="false">IF(D644="","",IFERROR(INDEX(Empresas!$C:$C,MATCH(D644,Empresas!$B:$B,0)),"cadastre o CNPJ em Empresas"))</f>
        <v/>
      </c>
      <c r="F644" s="23"/>
      <c r="G644" s="35"/>
      <c r="H644" s="24"/>
      <c r="I644" s="11"/>
      <c r="J644" s="27" t="str">
        <f aca="false">IF(A644="","",YEAR(A644))</f>
        <v/>
      </c>
      <c r="K644" s="24"/>
      <c r="L644" s="11"/>
    </row>
    <row r="645" customFormat="false" ht="15" hidden="false" customHeight="false" outlineLevel="0" collapsed="false">
      <c r="A645" s="22"/>
      <c r="B645" s="11"/>
      <c r="C645" s="24"/>
      <c r="D645" s="31" t="str">
        <f aca="false">IF(C645="","",IF(LEN(UPPER(SUBSTITUTE(SUBSTITUTE(SUBSTITUTE(SUBSTITUTE(TRIM(C645),".",""),"/",""),"-","")," ","")))&lt;14,RIGHT(REPT("0",14)&amp;UPPER(SUBSTITUTE(SUBSTITUTE(SUBSTITUTE(SUBSTITUTE(TRIM(C645),".",""),"/",""),"-","")," ","")),14),UPPER(SUBSTITUTE(SUBSTITUTE(SUBSTITUTE(SUBSTITUTE(TRIM(C645),".",""),"/",""),"-","")," ",""))))</f>
        <v/>
      </c>
      <c r="E645" s="25" t="str">
        <f aca="false">IF(D645="","",IFERROR(INDEX(Empresas!$C:$C,MATCH(D645,Empresas!$B:$B,0)),"cadastre o CNPJ em Empresas"))</f>
        <v/>
      </c>
      <c r="F645" s="23"/>
      <c r="G645" s="35"/>
      <c r="H645" s="24"/>
      <c r="I645" s="11"/>
      <c r="J645" s="27" t="str">
        <f aca="false">IF(A645="","",YEAR(A645))</f>
        <v/>
      </c>
      <c r="K645" s="24"/>
      <c r="L645" s="11"/>
    </row>
    <row r="646" customFormat="false" ht="15" hidden="false" customHeight="false" outlineLevel="0" collapsed="false">
      <c r="A646" s="22"/>
      <c r="B646" s="11"/>
      <c r="C646" s="24"/>
      <c r="D646" s="31" t="str">
        <f aca="false">IF(C646="","",IF(LEN(UPPER(SUBSTITUTE(SUBSTITUTE(SUBSTITUTE(SUBSTITUTE(TRIM(C646),".",""),"/",""),"-","")," ","")))&lt;14,RIGHT(REPT("0",14)&amp;UPPER(SUBSTITUTE(SUBSTITUTE(SUBSTITUTE(SUBSTITUTE(TRIM(C646),".",""),"/",""),"-","")," ","")),14),UPPER(SUBSTITUTE(SUBSTITUTE(SUBSTITUTE(SUBSTITUTE(TRIM(C646),".",""),"/",""),"-","")," ",""))))</f>
        <v/>
      </c>
      <c r="E646" s="25" t="str">
        <f aca="false">IF(D646="","",IFERROR(INDEX(Empresas!$C:$C,MATCH(D646,Empresas!$B:$B,0)),"cadastre o CNPJ em Empresas"))</f>
        <v/>
      </c>
      <c r="F646" s="23"/>
      <c r="G646" s="35"/>
      <c r="H646" s="24"/>
      <c r="I646" s="11"/>
      <c r="J646" s="27" t="str">
        <f aca="false">IF(A646="","",YEAR(A646))</f>
        <v/>
      </c>
      <c r="K646" s="24"/>
      <c r="L646" s="11"/>
    </row>
    <row r="647" customFormat="false" ht="15" hidden="false" customHeight="false" outlineLevel="0" collapsed="false">
      <c r="A647" s="22"/>
      <c r="B647" s="11"/>
      <c r="C647" s="24"/>
      <c r="D647" s="31" t="str">
        <f aca="false">IF(C647="","",IF(LEN(UPPER(SUBSTITUTE(SUBSTITUTE(SUBSTITUTE(SUBSTITUTE(TRIM(C647),".",""),"/",""),"-","")," ","")))&lt;14,RIGHT(REPT("0",14)&amp;UPPER(SUBSTITUTE(SUBSTITUTE(SUBSTITUTE(SUBSTITUTE(TRIM(C647),".",""),"/",""),"-","")," ","")),14),UPPER(SUBSTITUTE(SUBSTITUTE(SUBSTITUTE(SUBSTITUTE(TRIM(C647),".",""),"/",""),"-","")," ",""))))</f>
        <v/>
      </c>
      <c r="E647" s="25" t="str">
        <f aca="false">IF(D647="","",IFERROR(INDEX(Empresas!$C:$C,MATCH(D647,Empresas!$B:$B,0)),"cadastre o CNPJ em Empresas"))</f>
        <v/>
      </c>
      <c r="F647" s="23"/>
      <c r="G647" s="35"/>
      <c r="H647" s="24"/>
      <c r="I647" s="11"/>
      <c r="J647" s="27" t="str">
        <f aca="false">IF(A647="","",YEAR(A647))</f>
        <v/>
      </c>
      <c r="K647" s="24"/>
      <c r="L647" s="11"/>
    </row>
    <row r="648" customFormat="false" ht="15" hidden="false" customHeight="false" outlineLevel="0" collapsed="false">
      <c r="A648" s="22"/>
      <c r="B648" s="11"/>
      <c r="C648" s="24"/>
      <c r="D648" s="31" t="str">
        <f aca="false">IF(C648="","",IF(LEN(UPPER(SUBSTITUTE(SUBSTITUTE(SUBSTITUTE(SUBSTITUTE(TRIM(C648),".",""),"/",""),"-","")," ","")))&lt;14,RIGHT(REPT("0",14)&amp;UPPER(SUBSTITUTE(SUBSTITUTE(SUBSTITUTE(SUBSTITUTE(TRIM(C648),".",""),"/",""),"-","")," ","")),14),UPPER(SUBSTITUTE(SUBSTITUTE(SUBSTITUTE(SUBSTITUTE(TRIM(C648),".",""),"/",""),"-","")," ",""))))</f>
        <v/>
      </c>
      <c r="E648" s="25" t="str">
        <f aca="false">IF(D648="","",IFERROR(INDEX(Empresas!$C:$C,MATCH(D648,Empresas!$B:$B,0)),"cadastre o CNPJ em Empresas"))</f>
        <v/>
      </c>
      <c r="F648" s="23"/>
      <c r="G648" s="35"/>
      <c r="H648" s="24"/>
      <c r="I648" s="11"/>
      <c r="J648" s="27" t="str">
        <f aca="false">IF(A648="","",YEAR(A648))</f>
        <v/>
      </c>
      <c r="K648" s="24"/>
      <c r="L648" s="11"/>
    </row>
    <row r="649" customFormat="false" ht="15" hidden="false" customHeight="false" outlineLevel="0" collapsed="false">
      <c r="A649" s="22"/>
      <c r="B649" s="11"/>
      <c r="C649" s="24"/>
      <c r="D649" s="31" t="str">
        <f aca="false">IF(C649="","",IF(LEN(UPPER(SUBSTITUTE(SUBSTITUTE(SUBSTITUTE(SUBSTITUTE(TRIM(C649),".",""),"/",""),"-","")," ","")))&lt;14,RIGHT(REPT("0",14)&amp;UPPER(SUBSTITUTE(SUBSTITUTE(SUBSTITUTE(SUBSTITUTE(TRIM(C649),".",""),"/",""),"-","")," ","")),14),UPPER(SUBSTITUTE(SUBSTITUTE(SUBSTITUTE(SUBSTITUTE(TRIM(C649),".",""),"/",""),"-","")," ",""))))</f>
        <v/>
      </c>
      <c r="E649" s="25" t="str">
        <f aca="false">IF(D649="","",IFERROR(INDEX(Empresas!$C:$C,MATCH(D649,Empresas!$B:$B,0)),"cadastre o CNPJ em Empresas"))</f>
        <v/>
      </c>
      <c r="F649" s="23"/>
      <c r="G649" s="35"/>
      <c r="H649" s="24"/>
      <c r="I649" s="11"/>
      <c r="J649" s="27" t="str">
        <f aca="false">IF(A649="","",YEAR(A649))</f>
        <v/>
      </c>
      <c r="K649" s="24"/>
      <c r="L649" s="11"/>
    </row>
    <row r="650" customFormat="false" ht="15" hidden="false" customHeight="false" outlineLevel="0" collapsed="false">
      <c r="A650" s="22"/>
      <c r="B650" s="11"/>
      <c r="C650" s="24"/>
      <c r="D650" s="31" t="str">
        <f aca="false">IF(C650="","",IF(LEN(UPPER(SUBSTITUTE(SUBSTITUTE(SUBSTITUTE(SUBSTITUTE(TRIM(C650),".",""),"/",""),"-","")," ","")))&lt;14,RIGHT(REPT("0",14)&amp;UPPER(SUBSTITUTE(SUBSTITUTE(SUBSTITUTE(SUBSTITUTE(TRIM(C650),".",""),"/",""),"-","")," ","")),14),UPPER(SUBSTITUTE(SUBSTITUTE(SUBSTITUTE(SUBSTITUTE(TRIM(C650),".",""),"/",""),"-","")," ",""))))</f>
        <v/>
      </c>
      <c r="E650" s="25" t="str">
        <f aca="false">IF(D650="","",IFERROR(INDEX(Empresas!$C:$C,MATCH(D650,Empresas!$B:$B,0)),"cadastre o CNPJ em Empresas"))</f>
        <v/>
      </c>
      <c r="F650" s="23"/>
      <c r="G650" s="35"/>
      <c r="H650" s="24"/>
      <c r="I650" s="11"/>
      <c r="J650" s="27" t="str">
        <f aca="false">IF(A650="","",YEAR(A650))</f>
        <v/>
      </c>
      <c r="K650" s="24"/>
      <c r="L650" s="11"/>
    </row>
    <row r="651" customFormat="false" ht="15" hidden="false" customHeight="false" outlineLevel="0" collapsed="false">
      <c r="A651" s="22"/>
      <c r="B651" s="11"/>
      <c r="C651" s="24"/>
      <c r="D651" s="31" t="str">
        <f aca="false">IF(C651="","",IF(LEN(UPPER(SUBSTITUTE(SUBSTITUTE(SUBSTITUTE(SUBSTITUTE(TRIM(C651),".",""),"/",""),"-","")," ","")))&lt;14,RIGHT(REPT("0",14)&amp;UPPER(SUBSTITUTE(SUBSTITUTE(SUBSTITUTE(SUBSTITUTE(TRIM(C651),".",""),"/",""),"-","")," ","")),14),UPPER(SUBSTITUTE(SUBSTITUTE(SUBSTITUTE(SUBSTITUTE(TRIM(C651),".",""),"/",""),"-","")," ",""))))</f>
        <v/>
      </c>
      <c r="E651" s="25" t="str">
        <f aca="false">IF(D651="","",IFERROR(INDEX(Empresas!$C:$C,MATCH(D651,Empresas!$B:$B,0)),"cadastre o CNPJ em Empresas"))</f>
        <v/>
      </c>
      <c r="F651" s="23"/>
      <c r="G651" s="35"/>
      <c r="H651" s="24"/>
      <c r="I651" s="11"/>
      <c r="J651" s="27" t="str">
        <f aca="false">IF(A651="","",YEAR(A651))</f>
        <v/>
      </c>
      <c r="K651" s="24"/>
      <c r="L651" s="11"/>
    </row>
    <row r="652" customFormat="false" ht="15" hidden="false" customHeight="false" outlineLevel="0" collapsed="false">
      <c r="A652" s="22"/>
      <c r="B652" s="11"/>
      <c r="C652" s="24"/>
      <c r="D652" s="31" t="str">
        <f aca="false">IF(C652="","",IF(LEN(UPPER(SUBSTITUTE(SUBSTITUTE(SUBSTITUTE(SUBSTITUTE(TRIM(C652),".",""),"/",""),"-","")," ","")))&lt;14,RIGHT(REPT("0",14)&amp;UPPER(SUBSTITUTE(SUBSTITUTE(SUBSTITUTE(SUBSTITUTE(TRIM(C652),".",""),"/",""),"-","")," ","")),14),UPPER(SUBSTITUTE(SUBSTITUTE(SUBSTITUTE(SUBSTITUTE(TRIM(C652),".",""),"/",""),"-","")," ",""))))</f>
        <v/>
      </c>
      <c r="E652" s="25" t="str">
        <f aca="false">IF(D652="","",IFERROR(INDEX(Empresas!$C:$C,MATCH(D652,Empresas!$B:$B,0)),"cadastre o CNPJ em Empresas"))</f>
        <v/>
      </c>
      <c r="F652" s="23"/>
      <c r="G652" s="35"/>
      <c r="H652" s="24"/>
      <c r="I652" s="11"/>
      <c r="J652" s="27" t="str">
        <f aca="false">IF(A652="","",YEAR(A652))</f>
        <v/>
      </c>
      <c r="K652" s="24"/>
      <c r="L652" s="11"/>
    </row>
    <row r="653" customFormat="false" ht="15" hidden="false" customHeight="false" outlineLevel="0" collapsed="false">
      <c r="A653" s="22"/>
      <c r="B653" s="11"/>
      <c r="C653" s="24"/>
      <c r="D653" s="31" t="str">
        <f aca="false">IF(C653="","",IF(LEN(UPPER(SUBSTITUTE(SUBSTITUTE(SUBSTITUTE(SUBSTITUTE(TRIM(C653),".",""),"/",""),"-","")," ","")))&lt;14,RIGHT(REPT("0",14)&amp;UPPER(SUBSTITUTE(SUBSTITUTE(SUBSTITUTE(SUBSTITUTE(TRIM(C653),".",""),"/",""),"-","")," ","")),14),UPPER(SUBSTITUTE(SUBSTITUTE(SUBSTITUTE(SUBSTITUTE(TRIM(C653),".",""),"/",""),"-","")," ",""))))</f>
        <v/>
      </c>
      <c r="E653" s="25" t="str">
        <f aca="false">IF(D653="","",IFERROR(INDEX(Empresas!$C:$C,MATCH(D653,Empresas!$B:$B,0)),"cadastre o CNPJ em Empresas"))</f>
        <v/>
      </c>
      <c r="F653" s="23"/>
      <c r="G653" s="35"/>
      <c r="H653" s="24"/>
      <c r="I653" s="11"/>
      <c r="J653" s="27" t="str">
        <f aca="false">IF(A653="","",YEAR(A653))</f>
        <v/>
      </c>
      <c r="K653" s="24"/>
      <c r="L653" s="11"/>
    </row>
    <row r="654" customFormat="false" ht="15" hidden="false" customHeight="false" outlineLevel="0" collapsed="false">
      <c r="A654" s="22"/>
      <c r="B654" s="11"/>
      <c r="C654" s="24"/>
      <c r="D654" s="31" t="str">
        <f aca="false">IF(C654="","",IF(LEN(UPPER(SUBSTITUTE(SUBSTITUTE(SUBSTITUTE(SUBSTITUTE(TRIM(C654),".",""),"/",""),"-","")," ","")))&lt;14,RIGHT(REPT("0",14)&amp;UPPER(SUBSTITUTE(SUBSTITUTE(SUBSTITUTE(SUBSTITUTE(TRIM(C654),".",""),"/",""),"-","")," ","")),14),UPPER(SUBSTITUTE(SUBSTITUTE(SUBSTITUTE(SUBSTITUTE(TRIM(C654),".",""),"/",""),"-","")," ",""))))</f>
        <v/>
      </c>
      <c r="E654" s="25" t="str">
        <f aca="false">IF(D654="","",IFERROR(INDEX(Empresas!$C:$C,MATCH(D654,Empresas!$B:$B,0)),"cadastre o CNPJ em Empresas"))</f>
        <v/>
      </c>
      <c r="F654" s="23"/>
      <c r="G654" s="35"/>
      <c r="H654" s="24"/>
      <c r="I654" s="11"/>
      <c r="J654" s="27" t="str">
        <f aca="false">IF(A654="","",YEAR(A654))</f>
        <v/>
      </c>
      <c r="K654" s="24"/>
      <c r="L654" s="11"/>
    </row>
    <row r="655" customFormat="false" ht="15" hidden="false" customHeight="false" outlineLevel="0" collapsed="false">
      <c r="A655" s="22"/>
      <c r="B655" s="11"/>
      <c r="C655" s="24"/>
      <c r="D655" s="31" t="str">
        <f aca="false">IF(C655="","",IF(LEN(UPPER(SUBSTITUTE(SUBSTITUTE(SUBSTITUTE(SUBSTITUTE(TRIM(C655),".",""),"/",""),"-","")," ","")))&lt;14,RIGHT(REPT("0",14)&amp;UPPER(SUBSTITUTE(SUBSTITUTE(SUBSTITUTE(SUBSTITUTE(TRIM(C655),".",""),"/",""),"-","")," ","")),14),UPPER(SUBSTITUTE(SUBSTITUTE(SUBSTITUTE(SUBSTITUTE(TRIM(C655),".",""),"/",""),"-","")," ",""))))</f>
        <v/>
      </c>
      <c r="E655" s="25" t="str">
        <f aca="false">IF(D655="","",IFERROR(INDEX(Empresas!$C:$C,MATCH(D655,Empresas!$B:$B,0)),"cadastre o CNPJ em Empresas"))</f>
        <v/>
      </c>
      <c r="F655" s="23"/>
      <c r="G655" s="35"/>
      <c r="H655" s="24"/>
      <c r="I655" s="11"/>
      <c r="J655" s="27" t="str">
        <f aca="false">IF(A655="","",YEAR(A655))</f>
        <v/>
      </c>
      <c r="K655" s="24"/>
      <c r="L655" s="11"/>
    </row>
    <row r="656" customFormat="false" ht="15" hidden="false" customHeight="false" outlineLevel="0" collapsed="false">
      <c r="A656" s="22"/>
      <c r="B656" s="11"/>
      <c r="C656" s="24"/>
      <c r="D656" s="31" t="str">
        <f aca="false">IF(C656="","",IF(LEN(UPPER(SUBSTITUTE(SUBSTITUTE(SUBSTITUTE(SUBSTITUTE(TRIM(C656),".",""),"/",""),"-","")," ","")))&lt;14,RIGHT(REPT("0",14)&amp;UPPER(SUBSTITUTE(SUBSTITUTE(SUBSTITUTE(SUBSTITUTE(TRIM(C656),".",""),"/",""),"-","")," ","")),14),UPPER(SUBSTITUTE(SUBSTITUTE(SUBSTITUTE(SUBSTITUTE(TRIM(C656),".",""),"/",""),"-","")," ",""))))</f>
        <v/>
      </c>
      <c r="E656" s="25" t="str">
        <f aca="false">IF(D656="","",IFERROR(INDEX(Empresas!$C:$C,MATCH(D656,Empresas!$B:$B,0)),"cadastre o CNPJ em Empresas"))</f>
        <v/>
      </c>
      <c r="F656" s="23"/>
      <c r="G656" s="35"/>
      <c r="H656" s="24"/>
      <c r="I656" s="11"/>
      <c r="J656" s="27" t="str">
        <f aca="false">IF(A656="","",YEAR(A656))</f>
        <v/>
      </c>
      <c r="K656" s="24"/>
      <c r="L656" s="11"/>
    </row>
    <row r="657" customFormat="false" ht="15" hidden="false" customHeight="false" outlineLevel="0" collapsed="false">
      <c r="A657" s="22"/>
      <c r="B657" s="11"/>
      <c r="C657" s="24"/>
      <c r="D657" s="31" t="str">
        <f aca="false">IF(C657="","",IF(LEN(UPPER(SUBSTITUTE(SUBSTITUTE(SUBSTITUTE(SUBSTITUTE(TRIM(C657),".",""),"/",""),"-","")," ","")))&lt;14,RIGHT(REPT("0",14)&amp;UPPER(SUBSTITUTE(SUBSTITUTE(SUBSTITUTE(SUBSTITUTE(TRIM(C657),".",""),"/",""),"-","")," ","")),14),UPPER(SUBSTITUTE(SUBSTITUTE(SUBSTITUTE(SUBSTITUTE(TRIM(C657),".",""),"/",""),"-","")," ",""))))</f>
        <v/>
      </c>
      <c r="E657" s="25" t="str">
        <f aca="false">IF(D657="","",IFERROR(INDEX(Empresas!$C:$C,MATCH(D657,Empresas!$B:$B,0)),"cadastre o CNPJ em Empresas"))</f>
        <v/>
      </c>
      <c r="F657" s="23"/>
      <c r="G657" s="35"/>
      <c r="H657" s="24"/>
      <c r="I657" s="11"/>
      <c r="J657" s="27" t="str">
        <f aca="false">IF(A657="","",YEAR(A657))</f>
        <v/>
      </c>
      <c r="K657" s="24"/>
      <c r="L657" s="11"/>
    </row>
    <row r="658" customFormat="false" ht="15" hidden="false" customHeight="false" outlineLevel="0" collapsed="false">
      <c r="A658" s="22"/>
      <c r="B658" s="11"/>
      <c r="C658" s="24"/>
      <c r="D658" s="31" t="str">
        <f aca="false">IF(C658="","",IF(LEN(UPPER(SUBSTITUTE(SUBSTITUTE(SUBSTITUTE(SUBSTITUTE(TRIM(C658),".",""),"/",""),"-","")," ","")))&lt;14,RIGHT(REPT("0",14)&amp;UPPER(SUBSTITUTE(SUBSTITUTE(SUBSTITUTE(SUBSTITUTE(TRIM(C658),".",""),"/",""),"-","")," ","")),14),UPPER(SUBSTITUTE(SUBSTITUTE(SUBSTITUTE(SUBSTITUTE(TRIM(C658),".",""),"/",""),"-","")," ",""))))</f>
        <v/>
      </c>
      <c r="E658" s="25" t="str">
        <f aca="false">IF(D658="","",IFERROR(INDEX(Empresas!$C:$C,MATCH(D658,Empresas!$B:$B,0)),"cadastre o CNPJ em Empresas"))</f>
        <v/>
      </c>
      <c r="F658" s="23"/>
      <c r="G658" s="35"/>
      <c r="H658" s="24"/>
      <c r="I658" s="11"/>
      <c r="J658" s="27" t="str">
        <f aca="false">IF(A658="","",YEAR(A658))</f>
        <v/>
      </c>
      <c r="K658" s="24"/>
      <c r="L658" s="11"/>
    </row>
    <row r="659" customFormat="false" ht="15" hidden="false" customHeight="false" outlineLevel="0" collapsed="false">
      <c r="A659" s="22"/>
      <c r="B659" s="11"/>
      <c r="C659" s="24"/>
      <c r="D659" s="31" t="str">
        <f aca="false">IF(C659="","",IF(LEN(UPPER(SUBSTITUTE(SUBSTITUTE(SUBSTITUTE(SUBSTITUTE(TRIM(C659),".",""),"/",""),"-","")," ","")))&lt;14,RIGHT(REPT("0",14)&amp;UPPER(SUBSTITUTE(SUBSTITUTE(SUBSTITUTE(SUBSTITUTE(TRIM(C659),".",""),"/",""),"-","")," ","")),14),UPPER(SUBSTITUTE(SUBSTITUTE(SUBSTITUTE(SUBSTITUTE(TRIM(C659),".",""),"/",""),"-","")," ",""))))</f>
        <v/>
      </c>
      <c r="E659" s="25" t="str">
        <f aca="false">IF(D659="","",IFERROR(INDEX(Empresas!$C:$C,MATCH(D659,Empresas!$B:$B,0)),"cadastre o CNPJ em Empresas"))</f>
        <v/>
      </c>
      <c r="F659" s="23"/>
      <c r="G659" s="35"/>
      <c r="H659" s="24"/>
      <c r="I659" s="11"/>
      <c r="J659" s="27" t="str">
        <f aca="false">IF(A659="","",YEAR(A659))</f>
        <v/>
      </c>
      <c r="K659" s="24"/>
      <c r="L659" s="11"/>
    </row>
    <row r="660" customFormat="false" ht="15" hidden="false" customHeight="false" outlineLevel="0" collapsed="false">
      <c r="A660" s="22"/>
      <c r="B660" s="11"/>
      <c r="C660" s="24"/>
      <c r="D660" s="31" t="str">
        <f aca="false">IF(C660="","",IF(LEN(UPPER(SUBSTITUTE(SUBSTITUTE(SUBSTITUTE(SUBSTITUTE(TRIM(C660),".",""),"/",""),"-","")," ","")))&lt;14,RIGHT(REPT("0",14)&amp;UPPER(SUBSTITUTE(SUBSTITUTE(SUBSTITUTE(SUBSTITUTE(TRIM(C660),".",""),"/",""),"-","")," ","")),14),UPPER(SUBSTITUTE(SUBSTITUTE(SUBSTITUTE(SUBSTITUTE(TRIM(C660),".",""),"/",""),"-","")," ",""))))</f>
        <v/>
      </c>
      <c r="E660" s="25" t="str">
        <f aca="false">IF(D660="","",IFERROR(INDEX(Empresas!$C:$C,MATCH(D660,Empresas!$B:$B,0)),"cadastre o CNPJ em Empresas"))</f>
        <v/>
      </c>
      <c r="F660" s="23"/>
      <c r="G660" s="35"/>
      <c r="H660" s="24"/>
      <c r="I660" s="11"/>
      <c r="J660" s="27" t="str">
        <f aca="false">IF(A660="","",YEAR(A660))</f>
        <v/>
      </c>
      <c r="K660" s="24"/>
      <c r="L660" s="11"/>
    </row>
    <row r="661" customFormat="false" ht="15" hidden="false" customHeight="false" outlineLevel="0" collapsed="false">
      <c r="A661" s="22"/>
      <c r="B661" s="11"/>
      <c r="C661" s="24"/>
      <c r="D661" s="31" t="str">
        <f aca="false">IF(C661="","",IF(LEN(UPPER(SUBSTITUTE(SUBSTITUTE(SUBSTITUTE(SUBSTITUTE(TRIM(C661),".",""),"/",""),"-","")," ","")))&lt;14,RIGHT(REPT("0",14)&amp;UPPER(SUBSTITUTE(SUBSTITUTE(SUBSTITUTE(SUBSTITUTE(TRIM(C661),".",""),"/",""),"-","")," ","")),14),UPPER(SUBSTITUTE(SUBSTITUTE(SUBSTITUTE(SUBSTITUTE(TRIM(C661),".",""),"/",""),"-","")," ",""))))</f>
        <v/>
      </c>
      <c r="E661" s="25" t="str">
        <f aca="false">IF(D661="","",IFERROR(INDEX(Empresas!$C:$C,MATCH(D661,Empresas!$B:$B,0)),"cadastre o CNPJ em Empresas"))</f>
        <v/>
      </c>
      <c r="F661" s="23"/>
      <c r="G661" s="35"/>
      <c r="H661" s="24"/>
      <c r="I661" s="11"/>
      <c r="J661" s="27" t="str">
        <f aca="false">IF(A661="","",YEAR(A661))</f>
        <v/>
      </c>
      <c r="K661" s="24"/>
      <c r="L661" s="11"/>
    </row>
    <row r="662" customFormat="false" ht="15" hidden="false" customHeight="false" outlineLevel="0" collapsed="false">
      <c r="A662" s="22"/>
      <c r="B662" s="11"/>
      <c r="C662" s="24"/>
      <c r="D662" s="31" t="str">
        <f aca="false">IF(C662="","",IF(LEN(UPPER(SUBSTITUTE(SUBSTITUTE(SUBSTITUTE(SUBSTITUTE(TRIM(C662),".",""),"/",""),"-","")," ","")))&lt;14,RIGHT(REPT("0",14)&amp;UPPER(SUBSTITUTE(SUBSTITUTE(SUBSTITUTE(SUBSTITUTE(TRIM(C662),".",""),"/",""),"-","")," ","")),14),UPPER(SUBSTITUTE(SUBSTITUTE(SUBSTITUTE(SUBSTITUTE(TRIM(C662),".",""),"/",""),"-","")," ",""))))</f>
        <v/>
      </c>
      <c r="E662" s="25" t="str">
        <f aca="false">IF(D662="","",IFERROR(INDEX(Empresas!$C:$C,MATCH(D662,Empresas!$B:$B,0)),"cadastre o CNPJ em Empresas"))</f>
        <v/>
      </c>
      <c r="F662" s="23"/>
      <c r="G662" s="35"/>
      <c r="H662" s="24"/>
      <c r="I662" s="11"/>
      <c r="J662" s="27" t="str">
        <f aca="false">IF(A662="","",YEAR(A662))</f>
        <v/>
      </c>
      <c r="K662" s="24"/>
      <c r="L662" s="11"/>
    </row>
    <row r="663" customFormat="false" ht="15" hidden="false" customHeight="false" outlineLevel="0" collapsed="false">
      <c r="A663" s="22"/>
      <c r="B663" s="11"/>
      <c r="C663" s="24"/>
      <c r="D663" s="31" t="str">
        <f aca="false">IF(C663="","",IF(LEN(UPPER(SUBSTITUTE(SUBSTITUTE(SUBSTITUTE(SUBSTITUTE(TRIM(C663),".",""),"/",""),"-","")," ","")))&lt;14,RIGHT(REPT("0",14)&amp;UPPER(SUBSTITUTE(SUBSTITUTE(SUBSTITUTE(SUBSTITUTE(TRIM(C663),".",""),"/",""),"-","")," ","")),14),UPPER(SUBSTITUTE(SUBSTITUTE(SUBSTITUTE(SUBSTITUTE(TRIM(C663),".",""),"/",""),"-","")," ",""))))</f>
        <v/>
      </c>
      <c r="E663" s="25" t="str">
        <f aca="false">IF(D663="","",IFERROR(INDEX(Empresas!$C:$C,MATCH(D663,Empresas!$B:$B,0)),"cadastre o CNPJ em Empresas"))</f>
        <v/>
      </c>
      <c r="F663" s="23"/>
      <c r="G663" s="35"/>
      <c r="H663" s="24"/>
      <c r="I663" s="11"/>
      <c r="J663" s="27" t="str">
        <f aca="false">IF(A663="","",YEAR(A663))</f>
        <v/>
      </c>
      <c r="K663" s="24"/>
      <c r="L663" s="11"/>
    </row>
    <row r="664" customFormat="false" ht="15" hidden="false" customHeight="false" outlineLevel="0" collapsed="false">
      <c r="A664" s="22"/>
      <c r="B664" s="11"/>
      <c r="C664" s="24"/>
      <c r="D664" s="31" t="str">
        <f aca="false">IF(C664="","",IF(LEN(UPPER(SUBSTITUTE(SUBSTITUTE(SUBSTITUTE(SUBSTITUTE(TRIM(C664),".",""),"/",""),"-","")," ","")))&lt;14,RIGHT(REPT("0",14)&amp;UPPER(SUBSTITUTE(SUBSTITUTE(SUBSTITUTE(SUBSTITUTE(TRIM(C664),".",""),"/",""),"-","")," ","")),14),UPPER(SUBSTITUTE(SUBSTITUTE(SUBSTITUTE(SUBSTITUTE(TRIM(C664),".",""),"/",""),"-","")," ",""))))</f>
        <v/>
      </c>
      <c r="E664" s="25" t="str">
        <f aca="false">IF(D664="","",IFERROR(INDEX(Empresas!$C:$C,MATCH(D664,Empresas!$B:$B,0)),"cadastre o CNPJ em Empresas"))</f>
        <v/>
      </c>
      <c r="F664" s="23"/>
      <c r="G664" s="35"/>
      <c r="H664" s="24"/>
      <c r="I664" s="11"/>
      <c r="J664" s="27" t="str">
        <f aca="false">IF(A664="","",YEAR(A664))</f>
        <v/>
      </c>
      <c r="K664" s="24"/>
      <c r="L664" s="11"/>
    </row>
    <row r="665" customFormat="false" ht="15" hidden="false" customHeight="false" outlineLevel="0" collapsed="false">
      <c r="A665" s="22"/>
      <c r="B665" s="11"/>
      <c r="C665" s="24"/>
      <c r="D665" s="31" t="str">
        <f aca="false">IF(C665="","",IF(LEN(UPPER(SUBSTITUTE(SUBSTITUTE(SUBSTITUTE(SUBSTITUTE(TRIM(C665),".",""),"/",""),"-","")," ","")))&lt;14,RIGHT(REPT("0",14)&amp;UPPER(SUBSTITUTE(SUBSTITUTE(SUBSTITUTE(SUBSTITUTE(TRIM(C665),".",""),"/",""),"-","")," ","")),14),UPPER(SUBSTITUTE(SUBSTITUTE(SUBSTITUTE(SUBSTITUTE(TRIM(C665),".",""),"/",""),"-","")," ",""))))</f>
        <v/>
      </c>
      <c r="E665" s="25" t="str">
        <f aca="false">IF(D665="","",IFERROR(INDEX(Empresas!$C:$C,MATCH(D665,Empresas!$B:$B,0)),"cadastre o CNPJ em Empresas"))</f>
        <v/>
      </c>
      <c r="F665" s="23"/>
      <c r="G665" s="35"/>
      <c r="H665" s="24"/>
      <c r="I665" s="11"/>
      <c r="J665" s="27" t="str">
        <f aca="false">IF(A665="","",YEAR(A665))</f>
        <v/>
      </c>
      <c r="K665" s="24"/>
      <c r="L665" s="11"/>
    </row>
    <row r="666" customFormat="false" ht="15" hidden="false" customHeight="false" outlineLevel="0" collapsed="false">
      <c r="A666" s="22"/>
      <c r="B666" s="11"/>
      <c r="C666" s="24"/>
      <c r="D666" s="31" t="str">
        <f aca="false">IF(C666="","",IF(LEN(UPPER(SUBSTITUTE(SUBSTITUTE(SUBSTITUTE(SUBSTITUTE(TRIM(C666),".",""),"/",""),"-","")," ","")))&lt;14,RIGHT(REPT("0",14)&amp;UPPER(SUBSTITUTE(SUBSTITUTE(SUBSTITUTE(SUBSTITUTE(TRIM(C666),".",""),"/",""),"-","")," ","")),14),UPPER(SUBSTITUTE(SUBSTITUTE(SUBSTITUTE(SUBSTITUTE(TRIM(C666),".",""),"/",""),"-","")," ",""))))</f>
        <v/>
      </c>
      <c r="E666" s="25" t="str">
        <f aca="false">IF(D666="","",IFERROR(INDEX(Empresas!$C:$C,MATCH(D666,Empresas!$B:$B,0)),"cadastre o CNPJ em Empresas"))</f>
        <v/>
      </c>
      <c r="F666" s="23"/>
      <c r="G666" s="35"/>
      <c r="H666" s="24"/>
      <c r="I666" s="11"/>
      <c r="J666" s="27" t="str">
        <f aca="false">IF(A666="","",YEAR(A666))</f>
        <v/>
      </c>
      <c r="K666" s="24"/>
      <c r="L666" s="11"/>
    </row>
    <row r="667" customFormat="false" ht="15" hidden="false" customHeight="false" outlineLevel="0" collapsed="false">
      <c r="A667" s="22"/>
      <c r="B667" s="11"/>
      <c r="C667" s="24"/>
      <c r="D667" s="31" t="str">
        <f aca="false">IF(C667="","",IF(LEN(UPPER(SUBSTITUTE(SUBSTITUTE(SUBSTITUTE(SUBSTITUTE(TRIM(C667),".",""),"/",""),"-","")," ","")))&lt;14,RIGHT(REPT("0",14)&amp;UPPER(SUBSTITUTE(SUBSTITUTE(SUBSTITUTE(SUBSTITUTE(TRIM(C667),".",""),"/",""),"-","")," ","")),14),UPPER(SUBSTITUTE(SUBSTITUTE(SUBSTITUTE(SUBSTITUTE(TRIM(C667),".",""),"/",""),"-","")," ",""))))</f>
        <v/>
      </c>
      <c r="E667" s="25" t="str">
        <f aca="false">IF(D667="","",IFERROR(INDEX(Empresas!$C:$C,MATCH(D667,Empresas!$B:$B,0)),"cadastre o CNPJ em Empresas"))</f>
        <v/>
      </c>
      <c r="F667" s="23"/>
      <c r="G667" s="35"/>
      <c r="H667" s="24"/>
      <c r="I667" s="11"/>
      <c r="J667" s="27" t="str">
        <f aca="false">IF(A667="","",YEAR(A667))</f>
        <v/>
      </c>
      <c r="K667" s="24"/>
      <c r="L667" s="11"/>
    </row>
    <row r="668" customFormat="false" ht="15" hidden="false" customHeight="false" outlineLevel="0" collapsed="false">
      <c r="A668" s="22"/>
      <c r="B668" s="11"/>
      <c r="C668" s="24"/>
      <c r="D668" s="31" t="str">
        <f aca="false">IF(C668="","",IF(LEN(UPPER(SUBSTITUTE(SUBSTITUTE(SUBSTITUTE(SUBSTITUTE(TRIM(C668),".",""),"/",""),"-","")," ","")))&lt;14,RIGHT(REPT("0",14)&amp;UPPER(SUBSTITUTE(SUBSTITUTE(SUBSTITUTE(SUBSTITUTE(TRIM(C668),".",""),"/",""),"-","")," ","")),14),UPPER(SUBSTITUTE(SUBSTITUTE(SUBSTITUTE(SUBSTITUTE(TRIM(C668),".",""),"/",""),"-","")," ",""))))</f>
        <v/>
      </c>
      <c r="E668" s="25" t="str">
        <f aca="false">IF(D668="","",IFERROR(INDEX(Empresas!$C:$C,MATCH(D668,Empresas!$B:$B,0)),"cadastre o CNPJ em Empresas"))</f>
        <v/>
      </c>
      <c r="F668" s="23"/>
      <c r="G668" s="35"/>
      <c r="H668" s="24"/>
      <c r="I668" s="11"/>
      <c r="J668" s="27" t="str">
        <f aca="false">IF(A668="","",YEAR(A668))</f>
        <v/>
      </c>
      <c r="K668" s="24"/>
      <c r="L668" s="11"/>
    </row>
    <row r="669" customFormat="false" ht="15" hidden="false" customHeight="false" outlineLevel="0" collapsed="false">
      <c r="A669" s="22"/>
      <c r="B669" s="11"/>
      <c r="C669" s="24"/>
      <c r="D669" s="31" t="str">
        <f aca="false">IF(C669="","",IF(LEN(UPPER(SUBSTITUTE(SUBSTITUTE(SUBSTITUTE(SUBSTITUTE(TRIM(C669),".",""),"/",""),"-","")," ","")))&lt;14,RIGHT(REPT("0",14)&amp;UPPER(SUBSTITUTE(SUBSTITUTE(SUBSTITUTE(SUBSTITUTE(TRIM(C669),".",""),"/",""),"-","")," ","")),14),UPPER(SUBSTITUTE(SUBSTITUTE(SUBSTITUTE(SUBSTITUTE(TRIM(C669),".",""),"/",""),"-","")," ",""))))</f>
        <v/>
      </c>
      <c r="E669" s="25" t="str">
        <f aca="false">IF(D669="","",IFERROR(INDEX(Empresas!$C:$C,MATCH(D669,Empresas!$B:$B,0)),"cadastre o CNPJ em Empresas"))</f>
        <v/>
      </c>
      <c r="F669" s="23"/>
      <c r="G669" s="35"/>
      <c r="H669" s="24"/>
      <c r="I669" s="11"/>
      <c r="J669" s="27" t="str">
        <f aca="false">IF(A669="","",YEAR(A669))</f>
        <v/>
      </c>
      <c r="K669" s="24"/>
      <c r="L669" s="11"/>
    </row>
    <row r="670" customFormat="false" ht="15" hidden="false" customHeight="false" outlineLevel="0" collapsed="false">
      <c r="A670" s="22"/>
      <c r="B670" s="11"/>
      <c r="C670" s="24"/>
      <c r="D670" s="31" t="str">
        <f aca="false">IF(C670="","",IF(LEN(UPPER(SUBSTITUTE(SUBSTITUTE(SUBSTITUTE(SUBSTITUTE(TRIM(C670),".",""),"/",""),"-","")," ","")))&lt;14,RIGHT(REPT("0",14)&amp;UPPER(SUBSTITUTE(SUBSTITUTE(SUBSTITUTE(SUBSTITUTE(TRIM(C670),".",""),"/",""),"-","")," ","")),14),UPPER(SUBSTITUTE(SUBSTITUTE(SUBSTITUTE(SUBSTITUTE(TRIM(C670),".",""),"/",""),"-","")," ",""))))</f>
        <v/>
      </c>
      <c r="E670" s="25" t="str">
        <f aca="false">IF(D670="","",IFERROR(INDEX(Empresas!$C:$C,MATCH(D670,Empresas!$B:$B,0)),"cadastre o CNPJ em Empresas"))</f>
        <v/>
      </c>
      <c r="F670" s="23"/>
      <c r="G670" s="35"/>
      <c r="H670" s="24"/>
      <c r="I670" s="11"/>
      <c r="J670" s="27" t="str">
        <f aca="false">IF(A670="","",YEAR(A670))</f>
        <v/>
      </c>
      <c r="K670" s="24"/>
      <c r="L670" s="11"/>
    </row>
    <row r="671" customFormat="false" ht="15" hidden="false" customHeight="false" outlineLevel="0" collapsed="false">
      <c r="A671" s="22"/>
      <c r="B671" s="11"/>
      <c r="C671" s="24"/>
      <c r="D671" s="31" t="str">
        <f aca="false">IF(C671="","",IF(LEN(UPPER(SUBSTITUTE(SUBSTITUTE(SUBSTITUTE(SUBSTITUTE(TRIM(C671),".",""),"/",""),"-","")," ","")))&lt;14,RIGHT(REPT("0",14)&amp;UPPER(SUBSTITUTE(SUBSTITUTE(SUBSTITUTE(SUBSTITUTE(TRIM(C671),".",""),"/",""),"-","")," ","")),14),UPPER(SUBSTITUTE(SUBSTITUTE(SUBSTITUTE(SUBSTITUTE(TRIM(C671),".",""),"/",""),"-","")," ",""))))</f>
        <v/>
      </c>
      <c r="E671" s="25" t="str">
        <f aca="false">IF(D671="","",IFERROR(INDEX(Empresas!$C:$C,MATCH(D671,Empresas!$B:$B,0)),"cadastre o CNPJ em Empresas"))</f>
        <v/>
      </c>
      <c r="F671" s="23"/>
      <c r="G671" s="35"/>
      <c r="H671" s="24"/>
      <c r="I671" s="11"/>
      <c r="J671" s="27" t="str">
        <f aca="false">IF(A671="","",YEAR(A671))</f>
        <v/>
      </c>
      <c r="K671" s="24"/>
      <c r="L671" s="11"/>
    </row>
    <row r="672" customFormat="false" ht="15" hidden="false" customHeight="false" outlineLevel="0" collapsed="false">
      <c r="A672" s="22"/>
      <c r="B672" s="11"/>
      <c r="C672" s="24"/>
      <c r="D672" s="31" t="str">
        <f aca="false">IF(C672="","",IF(LEN(UPPER(SUBSTITUTE(SUBSTITUTE(SUBSTITUTE(SUBSTITUTE(TRIM(C672),".",""),"/",""),"-","")," ","")))&lt;14,RIGHT(REPT("0",14)&amp;UPPER(SUBSTITUTE(SUBSTITUTE(SUBSTITUTE(SUBSTITUTE(TRIM(C672),".",""),"/",""),"-","")," ","")),14),UPPER(SUBSTITUTE(SUBSTITUTE(SUBSTITUTE(SUBSTITUTE(TRIM(C672),".",""),"/",""),"-","")," ",""))))</f>
        <v/>
      </c>
      <c r="E672" s="25" t="str">
        <f aca="false">IF(D672="","",IFERROR(INDEX(Empresas!$C:$C,MATCH(D672,Empresas!$B:$B,0)),"cadastre o CNPJ em Empresas"))</f>
        <v/>
      </c>
      <c r="F672" s="23"/>
      <c r="G672" s="35"/>
      <c r="H672" s="24"/>
      <c r="I672" s="11"/>
      <c r="J672" s="27" t="str">
        <f aca="false">IF(A672="","",YEAR(A672))</f>
        <v/>
      </c>
      <c r="K672" s="24"/>
      <c r="L672" s="11"/>
    </row>
    <row r="673" customFormat="false" ht="15" hidden="false" customHeight="false" outlineLevel="0" collapsed="false">
      <c r="A673" s="22"/>
      <c r="B673" s="11"/>
      <c r="C673" s="24"/>
      <c r="D673" s="31" t="str">
        <f aca="false">IF(C673="","",IF(LEN(UPPER(SUBSTITUTE(SUBSTITUTE(SUBSTITUTE(SUBSTITUTE(TRIM(C673),".",""),"/",""),"-","")," ","")))&lt;14,RIGHT(REPT("0",14)&amp;UPPER(SUBSTITUTE(SUBSTITUTE(SUBSTITUTE(SUBSTITUTE(TRIM(C673),".",""),"/",""),"-","")," ","")),14),UPPER(SUBSTITUTE(SUBSTITUTE(SUBSTITUTE(SUBSTITUTE(TRIM(C673),".",""),"/",""),"-","")," ",""))))</f>
        <v/>
      </c>
      <c r="E673" s="25" t="str">
        <f aca="false">IF(D673="","",IFERROR(INDEX(Empresas!$C:$C,MATCH(D673,Empresas!$B:$B,0)),"cadastre o CNPJ em Empresas"))</f>
        <v/>
      </c>
      <c r="F673" s="23"/>
      <c r="G673" s="35"/>
      <c r="H673" s="24"/>
      <c r="I673" s="11"/>
      <c r="J673" s="27" t="str">
        <f aca="false">IF(A673="","",YEAR(A673))</f>
        <v/>
      </c>
      <c r="K673" s="24"/>
      <c r="L673" s="11"/>
    </row>
    <row r="674" customFormat="false" ht="15" hidden="false" customHeight="false" outlineLevel="0" collapsed="false">
      <c r="A674" s="22"/>
      <c r="B674" s="11"/>
      <c r="C674" s="24"/>
      <c r="D674" s="31" t="str">
        <f aca="false">IF(C674="","",IF(LEN(UPPER(SUBSTITUTE(SUBSTITUTE(SUBSTITUTE(SUBSTITUTE(TRIM(C674),".",""),"/",""),"-","")," ","")))&lt;14,RIGHT(REPT("0",14)&amp;UPPER(SUBSTITUTE(SUBSTITUTE(SUBSTITUTE(SUBSTITUTE(TRIM(C674),".",""),"/",""),"-","")," ","")),14),UPPER(SUBSTITUTE(SUBSTITUTE(SUBSTITUTE(SUBSTITUTE(TRIM(C674),".",""),"/",""),"-","")," ",""))))</f>
        <v/>
      </c>
      <c r="E674" s="25" t="str">
        <f aca="false">IF(D674="","",IFERROR(INDEX(Empresas!$C:$C,MATCH(D674,Empresas!$B:$B,0)),"cadastre o CNPJ em Empresas"))</f>
        <v/>
      </c>
      <c r="F674" s="23"/>
      <c r="G674" s="35"/>
      <c r="H674" s="24"/>
      <c r="I674" s="11"/>
      <c r="J674" s="27" t="str">
        <f aca="false">IF(A674="","",YEAR(A674))</f>
        <v/>
      </c>
      <c r="K674" s="24"/>
      <c r="L674" s="11"/>
    </row>
    <row r="675" customFormat="false" ht="15" hidden="false" customHeight="false" outlineLevel="0" collapsed="false">
      <c r="A675" s="22"/>
      <c r="B675" s="11"/>
      <c r="C675" s="24"/>
      <c r="D675" s="31" t="str">
        <f aca="false">IF(C675="","",IF(LEN(UPPER(SUBSTITUTE(SUBSTITUTE(SUBSTITUTE(SUBSTITUTE(TRIM(C675),".",""),"/",""),"-","")," ","")))&lt;14,RIGHT(REPT("0",14)&amp;UPPER(SUBSTITUTE(SUBSTITUTE(SUBSTITUTE(SUBSTITUTE(TRIM(C675),".",""),"/",""),"-","")," ","")),14),UPPER(SUBSTITUTE(SUBSTITUTE(SUBSTITUTE(SUBSTITUTE(TRIM(C675),".",""),"/",""),"-","")," ",""))))</f>
        <v/>
      </c>
      <c r="E675" s="25" t="str">
        <f aca="false">IF(D675="","",IFERROR(INDEX(Empresas!$C:$C,MATCH(D675,Empresas!$B:$B,0)),"cadastre o CNPJ em Empresas"))</f>
        <v/>
      </c>
      <c r="F675" s="23"/>
      <c r="G675" s="35"/>
      <c r="H675" s="24"/>
      <c r="I675" s="11"/>
      <c r="J675" s="27" t="str">
        <f aca="false">IF(A675="","",YEAR(A675))</f>
        <v/>
      </c>
      <c r="K675" s="24"/>
      <c r="L675" s="11"/>
    </row>
    <row r="676" customFormat="false" ht="15" hidden="false" customHeight="false" outlineLevel="0" collapsed="false">
      <c r="A676" s="22"/>
      <c r="B676" s="11"/>
      <c r="C676" s="24"/>
      <c r="D676" s="31" t="str">
        <f aca="false">IF(C676="","",IF(LEN(UPPER(SUBSTITUTE(SUBSTITUTE(SUBSTITUTE(SUBSTITUTE(TRIM(C676),".",""),"/",""),"-","")," ","")))&lt;14,RIGHT(REPT("0",14)&amp;UPPER(SUBSTITUTE(SUBSTITUTE(SUBSTITUTE(SUBSTITUTE(TRIM(C676),".",""),"/",""),"-","")," ","")),14),UPPER(SUBSTITUTE(SUBSTITUTE(SUBSTITUTE(SUBSTITUTE(TRIM(C676),".",""),"/",""),"-","")," ",""))))</f>
        <v/>
      </c>
      <c r="E676" s="25" t="str">
        <f aca="false">IF(D676="","",IFERROR(INDEX(Empresas!$C:$C,MATCH(D676,Empresas!$B:$B,0)),"cadastre o CNPJ em Empresas"))</f>
        <v/>
      </c>
      <c r="F676" s="23"/>
      <c r="G676" s="35"/>
      <c r="H676" s="24"/>
      <c r="I676" s="11"/>
      <c r="J676" s="27" t="str">
        <f aca="false">IF(A676="","",YEAR(A676))</f>
        <v/>
      </c>
      <c r="K676" s="24"/>
      <c r="L676" s="11"/>
    </row>
    <row r="677" customFormat="false" ht="15" hidden="false" customHeight="false" outlineLevel="0" collapsed="false">
      <c r="A677" s="22"/>
      <c r="B677" s="11"/>
      <c r="C677" s="24"/>
      <c r="D677" s="31" t="str">
        <f aca="false">IF(C677="","",IF(LEN(UPPER(SUBSTITUTE(SUBSTITUTE(SUBSTITUTE(SUBSTITUTE(TRIM(C677),".",""),"/",""),"-","")," ","")))&lt;14,RIGHT(REPT("0",14)&amp;UPPER(SUBSTITUTE(SUBSTITUTE(SUBSTITUTE(SUBSTITUTE(TRIM(C677),".",""),"/",""),"-","")," ","")),14),UPPER(SUBSTITUTE(SUBSTITUTE(SUBSTITUTE(SUBSTITUTE(TRIM(C677),".",""),"/",""),"-","")," ",""))))</f>
        <v/>
      </c>
      <c r="E677" s="25" t="str">
        <f aca="false">IF(D677="","",IFERROR(INDEX(Empresas!$C:$C,MATCH(D677,Empresas!$B:$B,0)),"cadastre o CNPJ em Empresas"))</f>
        <v/>
      </c>
      <c r="F677" s="23"/>
      <c r="G677" s="35"/>
      <c r="H677" s="24"/>
      <c r="I677" s="11"/>
      <c r="J677" s="27" t="str">
        <f aca="false">IF(A677="","",YEAR(A677))</f>
        <v/>
      </c>
      <c r="K677" s="24"/>
      <c r="L677" s="11"/>
    </row>
    <row r="678" customFormat="false" ht="15" hidden="false" customHeight="false" outlineLevel="0" collapsed="false">
      <c r="A678" s="22"/>
      <c r="B678" s="11"/>
      <c r="C678" s="24"/>
      <c r="D678" s="31" t="str">
        <f aca="false">IF(C678="","",IF(LEN(UPPER(SUBSTITUTE(SUBSTITUTE(SUBSTITUTE(SUBSTITUTE(TRIM(C678),".",""),"/",""),"-","")," ","")))&lt;14,RIGHT(REPT("0",14)&amp;UPPER(SUBSTITUTE(SUBSTITUTE(SUBSTITUTE(SUBSTITUTE(TRIM(C678),".",""),"/",""),"-","")," ","")),14),UPPER(SUBSTITUTE(SUBSTITUTE(SUBSTITUTE(SUBSTITUTE(TRIM(C678),".",""),"/",""),"-","")," ",""))))</f>
        <v/>
      </c>
      <c r="E678" s="25" t="str">
        <f aca="false">IF(D678="","",IFERROR(INDEX(Empresas!$C:$C,MATCH(D678,Empresas!$B:$B,0)),"cadastre o CNPJ em Empresas"))</f>
        <v/>
      </c>
      <c r="F678" s="23"/>
      <c r="G678" s="35"/>
      <c r="H678" s="24"/>
      <c r="I678" s="11"/>
      <c r="J678" s="27" t="str">
        <f aca="false">IF(A678="","",YEAR(A678))</f>
        <v/>
      </c>
      <c r="K678" s="24"/>
      <c r="L678" s="11"/>
    </row>
    <row r="679" customFormat="false" ht="15" hidden="false" customHeight="false" outlineLevel="0" collapsed="false">
      <c r="A679" s="22"/>
      <c r="B679" s="11"/>
      <c r="C679" s="24"/>
      <c r="D679" s="31" t="str">
        <f aca="false">IF(C679="","",IF(LEN(UPPER(SUBSTITUTE(SUBSTITUTE(SUBSTITUTE(SUBSTITUTE(TRIM(C679),".",""),"/",""),"-","")," ","")))&lt;14,RIGHT(REPT("0",14)&amp;UPPER(SUBSTITUTE(SUBSTITUTE(SUBSTITUTE(SUBSTITUTE(TRIM(C679),".",""),"/",""),"-","")," ","")),14),UPPER(SUBSTITUTE(SUBSTITUTE(SUBSTITUTE(SUBSTITUTE(TRIM(C679),".",""),"/",""),"-","")," ",""))))</f>
        <v/>
      </c>
      <c r="E679" s="25" t="str">
        <f aca="false">IF(D679="","",IFERROR(INDEX(Empresas!$C:$C,MATCH(D679,Empresas!$B:$B,0)),"cadastre o CNPJ em Empresas"))</f>
        <v/>
      </c>
      <c r="F679" s="23"/>
      <c r="G679" s="35"/>
      <c r="H679" s="24"/>
      <c r="I679" s="11"/>
      <c r="J679" s="27" t="str">
        <f aca="false">IF(A679="","",YEAR(A679))</f>
        <v/>
      </c>
      <c r="K679" s="24"/>
      <c r="L679" s="11"/>
    </row>
    <row r="680" customFormat="false" ht="15" hidden="false" customHeight="false" outlineLevel="0" collapsed="false">
      <c r="A680" s="22"/>
      <c r="B680" s="11"/>
      <c r="C680" s="24"/>
      <c r="D680" s="31" t="str">
        <f aca="false">IF(C680="","",IF(LEN(UPPER(SUBSTITUTE(SUBSTITUTE(SUBSTITUTE(SUBSTITUTE(TRIM(C680),".",""),"/",""),"-","")," ","")))&lt;14,RIGHT(REPT("0",14)&amp;UPPER(SUBSTITUTE(SUBSTITUTE(SUBSTITUTE(SUBSTITUTE(TRIM(C680),".",""),"/",""),"-","")," ","")),14),UPPER(SUBSTITUTE(SUBSTITUTE(SUBSTITUTE(SUBSTITUTE(TRIM(C680),".",""),"/",""),"-","")," ",""))))</f>
        <v/>
      </c>
      <c r="E680" s="25" t="str">
        <f aca="false">IF(D680="","",IFERROR(INDEX(Empresas!$C:$C,MATCH(D680,Empresas!$B:$B,0)),"cadastre o CNPJ em Empresas"))</f>
        <v/>
      </c>
      <c r="F680" s="23"/>
      <c r="G680" s="35"/>
      <c r="H680" s="24"/>
      <c r="I680" s="11"/>
      <c r="J680" s="27" t="str">
        <f aca="false">IF(A680="","",YEAR(A680))</f>
        <v/>
      </c>
      <c r="K680" s="24"/>
      <c r="L680" s="11"/>
    </row>
    <row r="681" customFormat="false" ht="15" hidden="false" customHeight="false" outlineLevel="0" collapsed="false">
      <c r="A681" s="22"/>
      <c r="B681" s="11"/>
      <c r="C681" s="24"/>
      <c r="D681" s="31" t="str">
        <f aca="false">IF(C681="","",IF(LEN(UPPER(SUBSTITUTE(SUBSTITUTE(SUBSTITUTE(SUBSTITUTE(TRIM(C681),".",""),"/",""),"-","")," ","")))&lt;14,RIGHT(REPT("0",14)&amp;UPPER(SUBSTITUTE(SUBSTITUTE(SUBSTITUTE(SUBSTITUTE(TRIM(C681),".",""),"/",""),"-","")," ","")),14),UPPER(SUBSTITUTE(SUBSTITUTE(SUBSTITUTE(SUBSTITUTE(TRIM(C681),".",""),"/",""),"-","")," ",""))))</f>
        <v/>
      </c>
      <c r="E681" s="25" t="str">
        <f aca="false">IF(D681="","",IFERROR(INDEX(Empresas!$C:$C,MATCH(D681,Empresas!$B:$B,0)),"cadastre o CNPJ em Empresas"))</f>
        <v/>
      </c>
      <c r="F681" s="23"/>
      <c r="G681" s="35"/>
      <c r="H681" s="24"/>
      <c r="I681" s="11"/>
      <c r="J681" s="27" t="str">
        <f aca="false">IF(A681="","",YEAR(A681))</f>
        <v/>
      </c>
      <c r="K681" s="24"/>
      <c r="L681" s="11"/>
    </row>
    <row r="682" customFormat="false" ht="15" hidden="false" customHeight="false" outlineLevel="0" collapsed="false">
      <c r="A682" s="22"/>
      <c r="B682" s="11"/>
      <c r="C682" s="24"/>
      <c r="D682" s="31" t="str">
        <f aca="false">IF(C682="","",IF(LEN(UPPER(SUBSTITUTE(SUBSTITUTE(SUBSTITUTE(SUBSTITUTE(TRIM(C682),".",""),"/",""),"-","")," ","")))&lt;14,RIGHT(REPT("0",14)&amp;UPPER(SUBSTITUTE(SUBSTITUTE(SUBSTITUTE(SUBSTITUTE(TRIM(C682),".",""),"/",""),"-","")," ","")),14),UPPER(SUBSTITUTE(SUBSTITUTE(SUBSTITUTE(SUBSTITUTE(TRIM(C682),".",""),"/",""),"-","")," ",""))))</f>
        <v/>
      </c>
      <c r="E682" s="25" t="str">
        <f aca="false">IF(D682="","",IFERROR(INDEX(Empresas!$C:$C,MATCH(D682,Empresas!$B:$B,0)),"cadastre o CNPJ em Empresas"))</f>
        <v/>
      </c>
      <c r="F682" s="23"/>
      <c r="G682" s="35"/>
      <c r="H682" s="24"/>
      <c r="I682" s="11"/>
      <c r="J682" s="27" t="str">
        <f aca="false">IF(A682="","",YEAR(A682))</f>
        <v/>
      </c>
      <c r="K682" s="24"/>
      <c r="L682" s="11"/>
    </row>
    <row r="683" customFormat="false" ht="15" hidden="false" customHeight="false" outlineLevel="0" collapsed="false">
      <c r="A683" s="22"/>
      <c r="B683" s="11"/>
      <c r="C683" s="24"/>
      <c r="D683" s="31" t="str">
        <f aca="false">IF(C683="","",IF(LEN(UPPER(SUBSTITUTE(SUBSTITUTE(SUBSTITUTE(SUBSTITUTE(TRIM(C683),".",""),"/",""),"-","")," ","")))&lt;14,RIGHT(REPT("0",14)&amp;UPPER(SUBSTITUTE(SUBSTITUTE(SUBSTITUTE(SUBSTITUTE(TRIM(C683),".",""),"/",""),"-","")," ","")),14),UPPER(SUBSTITUTE(SUBSTITUTE(SUBSTITUTE(SUBSTITUTE(TRIM(C683),".",""),"/",""),"-","")," ",""))))</f>
        <v/>
      </c>
      <c r="E683" s="25" t="str">
        <f aca="false">IF(D683="","",IFERROR(INDEX(Empresas!$C:$C,MATCH(D683,Empresas!$B:$B,0)),"cadastre o CNPJ em Empresas"))</f>
        <v/>
      </c>
      <c r="F683" s="23"/>
      <c r="G683" s="35"/>
      <c r="H683" s="24"/>
      <c r="I683" s="11"/>
      <c r="J683" s="27" t="str">
        <f aca="false">IF(A683="","",YEAR(A683))</f>
        <v/>
      </c>
      <c r="K683" s="24"/>
      <c r="L683" s="11"/>
    </row>
    <row r="684" customFormat="false" ht="15" hidden="false" customHeight="false" outlineLevel="0" collapsed="false">
      <c r="A684" s="22"/>
      <c r="B684" s="11"/>
      <c r="C684" s="24"/>
      <c r="D684" s="31" t="str">
        <f aca="false">IF(C684="","",IF(LEN(UPPER(SUBSTITUTE(SUBSTITUTE(SUBSTITUTE(SUBSTITUTE(TRIM(C684),".",""),"/",""),"-","")," ","")))&lt;14,RIGHT(REPT("0",14)&amp;UPPER(SUBSTITUTE(SUBSTITUTE(SUBSTITUTE(SUBSTITUTE(TRIM(C684),".",""),"/",""),"-","")," ","")),14),UPPER(SUBSTITUTE(SUBSTITUTE(SUBSTITUTE(SUBSTITUTE(TRIM(C684),".",""),"/",""),"-","")," ",""))))</f>
        <v/>
      </c>
      <c r="E684" s="25" t="str">
        <f aca="false">IF(D684="","",IFERROR(INDEX(Empresas!$C:$C,MATCH(D684,Empresas!$B:$B,0)),"cadastre o CNPJ em Empresas"))</f>
        <v/>
      </c>
      <c r="F684" s="23"/>
      <c r="G684" s="35"/>
      <c r="H684" s="24"/>
      <c r="I684" s="11"/>
      <c r="J684" s="27" t="str">
        <f aca="false">IF(A684="","",YEAR(A684))</f>
        <v/>
      </c>
      <c r="K684" s="24"/>
      <c r="L684" s="11"/>
    </row>
    <row r="685" customFormat="false" ht="15" hidden="false" customHeight="false" outlineLevel="0" collapsed="false">
      <c r="A685" s="22"/>
      <c r="B685" s="11"/>
      <c r="C685" s="24"/>
      <c r="D685" s="31" t="str">
        <f aca="false">IF(C685="","",IF(LEN(UPPER(SUBSTITUTE(SUBSTITUTE(SUBSTITUTE(SUBSTITUTE(TRIM(C685),".",""),"/",""),"-","")," ","")))&lt;14,RIGHT(REPT("0",14)&amp;UPPER(SUBSTITUTE(SUBSTITUTE(SUBSTITUTE(SUBSTITUTE(TRIM(C685),".",""),"/",""),"-","")," ","")),14),UPPER(SUBSTITUTE(SUBSTITUTE(SUBSTITUTE(SUBSTITUTE(TRIM(C685),".",""),"/",""),"-","")," ",""))))</f>
        <v/>
      </c>
      <c r="E685" s="25" t="str">
        <f aca="false">IF(D685="","",IFERROR(INDEX(Empresas!$C:$C,MATCH(D685,Empresas!$B:$B,0)),"cadastre o CNPJ em Empresas"))</f>
        <v/>
      </c>
      <c r="F685" s="23"/>
      <c r="G685" s="35"/>
      <c r="H685" s="24"/>
      <c r="I685" s="11"/>
      <c r="J685" s="27" t="str">
        <f aca="false">IF(A685="","",YEAR(A685))</f>
        <v/>
      </c>
      <c r="K685" s="24"/>
      <c r="L685" s="11"/>
    </row>
    <row r="686" customFormat="false" ht="15" hidden="false" customHeight="false" outlineLevel="0" collapsed="false">
      <c r="A686" s="22"/>
      <c r="B686" s="11"/>
      <c r="C686" s="24"/>
      <c r="D686" s="31" t="str">
        <f aca="false">IF(C686="","",IF(LEN(UPPER(SUBSTITUTE(SUBSTITUTE(SUBSTITUTE(SUBSTITUTE(TRIM(C686),".",""),"/",""),"-","")," ","")))&lt;14,RIGHT(REPT("0",14)&amp;UPPER(SUBSTITUTE(SUBSTITUTE(SUBSTITUTE(SUBSTITUTE(TRIM(C686),".",""),"/",""),"-","")," ","")),14),UPPER(SUBSTITUTE(SUBSTITUTE(SUBSTITUTE(SUBSTITUTE(TRIM(C686),".",""),"/",""),"-","")," ",""))))</f>
        <v/>
      </c>
      <c r="E686" s="25" t="str">
        <f aca="false">IF(D686="","",IFERROR(INDEX(Empresas!$C:$C,MATCH(D686,Empresas!$B:$B,0)),"cadastre o CNPJ em Empresas"))</f>
        <v/>
      </c>
      <c r="F686" s="23"/>
      <c r="G686" s="35"/>
      <c r="H686" s="24"/>
      <c r="I686" s="11"/>
      <c r="J686" s="27" t="str">
        <f aca="false">IF(A686="","",YEAR(A686))</f>
        <v/>
      </c>
      <c r="K686" s="24"/>
      <c r="L686" s="11"/>
    </row>
    <row r="687" customFormat="false" ht="15" hidden="false" customHeight="false" outlineLevel="0" collapsed="false">
      <c r="A687" s="22"/>
      <c r="B687" s="11"/>
      <c r="C687" s="24"/>
      <c r="D687" s="31" t="str">
        <f aca="false">IF(C687="","",IF(LEN(UPPER(SUBSTITUTE(SUBSTITUTE(SUBSTITUTE(SUBSTITUTE(TRIM(C687),".",""),"/",""),"-","")," ","")))&lt;14,RIGHT(REPT("0",14)&amp;UPPER(SUBSTITUTE(SUBSTITUTE(SUBSTITUTE(SUBSTITUTE(TRIM(C687),".",""),"/",""),"-","")," ","")),14),UPPER(SUBSTITUTE(SUBSTITUTE(SUBSTITUTE(SUBSTITUTE(TRIM(C687),".",""),"/",""),"-","")," ",""))))</f>
        <v/>
      </c>
      <c r="E687" s="25" t="str">
        <f aca="false">IF(D687="","",IFERROR(INDEX(Empresas!$C:$C,MATCH(D687,Empresas!$B:$B,0)),"cadastre o CNPJ em Empresas"))</f>
        <v/>
      </c>
      <c r="F687" s="23"/>
      <c r="G687" s="35"/>
      <c r="H687" s="24"/>
      <c r="I687" s="11"/>
      <c r="J687" s="27" t="str">
        <f aca="false">IF(A687="","",YEAR(A687))</f>
        <v/>
      </c>
      <c r="K687" s="24"/>
      <c r="L687" s="11"/>
    </row>
    <row r="688" customFormat="false" ht="15" hidden="false" customHeight="false" outlineLevel="0" collapsed="false">
      <c r="A688" s="22"/>
      <c r="B688" s="11"/>
      <c r="C688" s="24"/>
      <c r="D688" s="31" t="str">
        <f aca="false">IF(C688="","",IF(LEN(UPPER(SUBSTITUTE(SUBSTITUTE(SUBSTITUTE(SUBSTITUTE(TRIM(C688),".",""),"/",""),"-","")," ","")))&lt;14,RIGHT(REPT("0",14)&amp;UPPER(SUBSTITUTE(SUBSTITUTE(SUBSTITUTE(SUBSTITUTE(TRIM(C688),".",""),"/",""),"-","")," ","")),14),UPPER(SUBSTITUTE(SUBSTITUTE(SUBSTITUTE(SUBSTITUTE(TRIM(C688),".",""),"/",""),"-","")," ",""))))</f>
        <v/>
      </c>
      <c r="E688" s="25" t="str">
        <f aca="false">IF(D688="","",IFERROR(INDEX(Empresas!$C:$C,MATCH(D688,Empresas!$B:$B,0)),"cadastre o CNPJ em Empresas"))</f>
        <v/>
      </c>
      <c r="F688" s="23"/>
      <c r="G688" s="35"/>
      <c r="H688" s="24"/>
      <c r="I688" s="11"/>
      <c r="J688" s="27" t="str">
        <f aca="false">IF(A688="","",YEAR(A688))</f>
        <v/>
      </c>
      <c r="K688" s="24"/>
      <c r="L688" s="11"/>
    </row>
    <row r="689" customFormat="false" ht="15" hidden="false" customHeight="false" outlineLevel="0" collapsed="false">
      <c r="A689" s="22"/>
      <c r="B689" s="11"/>
      <c r="C689" s="24"/>
      <c r="D689" s="31" t="str">
        <f aca="false">IF(C689="","",IF(LEN(UPPER(SUBSTITUTE(SUBSTITUTE(SUBSTITUTE(SUBSTITUTE(TRIM(C689),".",""),"/",""),"-","")," ","")))&lt;14,RIGHT(REPT("0",14)&amp;UPPER(SUBSTITUTE(SUBSTITUTE(SUBSTITUTE(SUBSTITUTE(TRIM(C689),".",""),"/",""),"-","")," ","")),14),UPPER(SUBSTITUTE(SUBSTITUTE(SUBSTITUTE(SUBSTITUTE(TRIM(C689),".",""),"/",""),"-","")," ",""))))</f>
        <v/>
      </c>
      <c r="E689" s="25" t="str">
        <f aca="false">IF(D689="","",IFERROR(INDEX(Empresas!$C:$C,MATCH(D689,Empresas!$B:$B,0)),"cadastre o CNPJ em Empresas"))</f>
        <v/>
      </c>
      <c r="F689" s="23"/>
      <c r="G689" s="35"/>
      <c r="H689" s="24"/>
      <c r="I689" s="11"/>
      <c r="J689" s="27" t="str">
        <f aca="false">IF(A689="","",YEAR(A689))</f>
        <v/>
      </c>
      <c r="K689" s="24"/>
      <c r="L689" s="11"/>
    </row>
    <row r="690" customFormat="false" ht="15" hidden="false" customHeight="false" outlineLevel="0" collapsed="false">
      <c r="A690" s="22"/>
      <c r="B690" s="11"/>
      <c r="C690" s="24"/>
      <c r="D690" s="31" t="str">
        <f aca="false">IF(C690="","",IF(LEN(UPPER(SUBSTITUTE(SUBSTITUTE(SUBSTITUTE(SUBSTITUTE(TRIM(C690),".",""),"/",""),"-","")," ","")))&lt;14,RIGHT(REPT("0",14)&amp;UPPER(SUBSTITUTE(SUBSTITUTE(SUBSTITUTE(SUBSTITUTE(TRIM(C690),".",""),"/",""),"-","")," ","")),14),UPPER(SUBSTITUTE(SUBSTITUTE(SUBSTITUTE(SUBSTITUTE(TRIM(C690),".",""),"/",""),"-","")," ",""))))</f>
        <v/>
      </c>
      <c r="E690" s="25" t="str">
        <f aca="false">IF(D690="","",IFERROR(INDEX(Empresas!$C:$C,MATCH(D690,Empresas!$B:$B,0)),"cadastre o CNPJ em Empresas"))</f>
        <v/>
      </c>
      <c r="F690" s="23"/>
      <c r="G690" s="35"/>
      <c r="H690" s="24"/>
      <c r="I690" s="11"/>
      <c r="J690" s="27" t="str">
        <f aca="false">IF(A690="","",YEAR(A690))</f>
        <v/>
      </c>
      <c r="K690" s="24"/>
      <c r="L690" s="11"/>
    </row>
    <row r="691" customFormat="false" ht="15" hidden="false" customHeight="false" outlineLevel="0" collapsed="false">
      <c r="A691" s="22"/>
      <c r="B691" s="11"/>
      <c r="C691" s="24"/>
      <c r="D691" s="31" t="str">
        <f aca="false">IF(C691="","",IF(LEN(UPPER(SUBSTITUTE(SUBSTITUTE(SUBSTITUTE(SUBSTITUTE(TRIM(C691),".",""),"/",""),"-","")," ","")))&lt;14,RIGHT(REPT("0",14)&amp;UPPER(SUBSTITUTE(SUBSTITUTE(SUBSTITUTE(SUBSTITUTE(TRIM(C691),".",""),"/",""),"-","")," ","")),14),UPPER(SUBSTITUTE(SUBSTITUTE(SUBSTITUTE(SUBSTITUTE(TRIM(C691),".",""),"/",""),"-","")," ",""))))</f>
        <v/>
      </c>
      <c r="E691" s="25" t="str">
        <f aca="false">IF(D691="","",IFERROR(INDEX(Empresas!$C:$C,MATCH(D691,Empresas!$B:$B,0)),"cadastre o CNPJ em Empresas"))</f>
        <v/>
      </c>
      <c r="F691" s="23"/>
      <c r="G691" s="35"/>
      <c r="H691" s="24"/>
      <c r="I691" s="11"/>
      <c r="J691" s="27" t="str">
        <f aca="false">IF(A691="","",YEAR(A691))</f>
        <v/>
      </c>
      <c r="K691" s="24"/>
      <c r="L691" s="11"/>
    </row>
    <row r="692" customFormat="false" ht="15" hidden="false" customHeight="false" outlineLevel="0" collapsed="false">
      <c r="A692" s="22"/>
      <c r="B692" s="11"/>
      <c r="C692" s="24"/>
      <c r="D692" s="31" t="str">
        <f aca="false">IF(C692="","",IF(LEN(UPPER(SUBSTITUTE(SUBSTITUTE(SUBSTITUTE(SUBSTITUTE(TRIM(C692),".",""),"/",""),"-","")," ","")))&lt;14,RIGHT(REPT("0",14)&amp;UPPER(SUBSTITUTE(SUBSTITUTE(SUBSTITUTE(SUBSTITUTE(TRIM(C692),".",""),"/",""),"-","")," ","")),14),UPPER(SUBSTITUTE(SUBSTITUTE(SUBSTITUTE(SUBSTITUTE(TRIM(C692),".",""),"/",""),"-","")," ",""))))</f>
        <v/>
      </c>
      <c r="E692" s="25" t="str">
        <f aca="false">IF(D692="","",IFERROR(INDEX(Empresas!$C:$C,MATCH(D692,Empresas!$B:$B,0)),"cadastre o CNPJ em Empresas"))</f>
        <v/>
      </c>
      <c r="F692" s="23"/>
      <c r="G692" s="35"/>
      <c r="H692" s="24"/>
      <c r="I692" s="11"/>
      <c r="J692" s="27" t="str">
        <f aca="false">IF(A692="","",YEAR(A692))</f>
        <v/>
      </c>
      <c r="K692" s="24"/>
      <c r="L692" s="11"/>
    </row>
    <row r="693" customFormat="false" ht="15" hidden="false" customHeight="false" outlineLevel="0" collapsed="false">
      <c r="A693" s="22"/>
      <c r="B693" s="11"/>
      <c r="C693" s="24"/>
      <c r="D693" s="31" t="str">
        <f aca="false">IF(C693="","",IF(LEN(UPPER(SUBSTITUTE(SUBSTITUTE(SUBSTITUTE(SUBSTITUTE(TRIM(C693),".",""),"/",""),"-","")," ","")))&lt;14,RIGHT(REPT("0",14)&amp;UPPER(SUBSTITUTE(SUBSTITUTE(SUBSTITUTE(SUBSTITUTE(TRIM(C693),".",""),"/",""),"-","")," ","")),14),UPPER(SUBSTITUTE(SUBSTITUTE(SUBSTITUTE(SUBSTITUTE(TRIM(C693),".",""),"/",""),"-","")," ",""))))</f>
        <v/>
      </c>
      <c r="E693" s="25" t="str">
        <f aca="false">IF(D693="","",IFERROR(INDEX(Empresas!$C:$C,MATCH(D693,Empresas!$B:$B,0)),"cadastre o CNPJ em Empresas"))</f>
        <v/>
      </c>
      <c r="F693" s="23"/>
      <c r="G693" s="35"/>
      <c r="H693" s="24"/>
      <c r="I693" s="11"/>
      <c r="J693" s="27" t="str">
        <f aca="false">IF(A693="","",YEAR(A693))</f>
        <v/>
      </c>
      <c r="K693" s="24"/>
      <c r="L693" s="11"/>
    </row>
    <row r="694" customFormat="false" ht="15" hidden="false" customHeight="false" outlineLevel="0" collapsed="false">
      <c r="A694" s="22"/>
      <c r="B694" s="11"/>
      <c r="C694" s="24"/>
      <c r="D694" s="31" t="str">
        <f aca="false">IF(C694="","",IF(LEN(UPPER(SUBSTITUTE(SUBSTITUTE(SUBSTITUTE(SUBSTITUTE(TRIM(C694),".",""),"/",""),"-","")," ","")))&lt;14,RIGHT(REPT("0",14)&amp;UPPER(SUBSTITUTE(SUBSTITUTE(SUBSTITUTE(SUBSTITUTE(TRIM(C694),".",""),"/",""),"-","")," ","")),14),UPPER(SUBSTITUTE(SUBSTITUTE(SUBSTITUTE(SUBSTITUTE(TRIM(C694),".",""),"/",""),"-","")," ",""))))</f>
        <v/>
      </c>
      <c r="E694" s="25" t="str">
        <f aca="false">IF(D694="","",IFERROR(INDEX(Empresas!$C:$C,MATCH(D694,Empresas!$B:$B,0)),"cadastre o CNPJ em Empresas"))</f>
        <v/>
      </c>
      <c r="F694" s="23"/>
      <c r="G694" s="35"/>
      <c r="H694" s="24"/>
      <c r="I694" s="11"/>
      <c r="J694" s="27" t="str">
        <f aca="false">IF(A694="","",YEAR(A694))</f>
        <v/>
      </c>
      <c r="K694" s="24"/>
      <c r="L694" s="11"/>
    </row>
    <row r="695" customFormat="false" ht="15" hidden="false" customHeight="false" outlineLevel="0" collapsed="false">
      <c r="A695" s="22"/>
      <c r="B695" s="11"/>
      <c r="C695" s="24"/>
      <c r="D695" s="31" t="str">
        <f aca="false">IF(C695="","",IF(LEN(UPPER(SUBSTITUTE(SUBSTITUTE(SUBSTITUTE(SUBSTITUTE(TRIM(C695),".",""),"/",""),"-","")," ","")))&lt;14,RIGHT(REPT("0",14)&amp;UPPER(SUBSTITUTE(SUBSTITUTE(SUBSTITUTE(SUBSTITUTE(TRIM(C695),".",""),"/",""),"-","")," ","")),14),UPPER(SUBSTITUTE(SUBSTITUTE(SUBSTITUTE(SUBSTITUTE(TRIM(C695),".",""),"/",""),"-","")," ",""))))</f>
        <v/>
      </c>
      <c r="E695" s="25" t="str">
        <f aca="false">IF(D695="","",IFERROR(INDEX(Empresas!$C:$C,MATCH(D695,Empresas!$B:$B,0)),"cadastre o CNPJ em Empresas"))</f>
        <v/>
      </c>
      <c r="F695" s="23"/>
      <c r="G695" s="35"/>
      <c r="H695" s="24"/>
      <c r="I695" s="11"/>
      <c r="J695" s="27" t="str">
        <f aca="false">IF(A695="","",YEAR(A695))</f>
        <v/>
      </c>
      <c r="K695" s="24"/>
      <c r="L695" s="11"/>
    </row>
    <row r="696" customFormat="false" ht="15" hidden="false" customHeight="false" outlineLevel="0" collapsed="false">
      <c r="A696" s="22"/>
      <c r="B696" s="11"/>
      <c r="C696" s="24"/>
      <c r="D696" s="31" t="str">
        <f aca="false">IF(C696="","",IF(LEN(UPPER(SUBSTITUTE(SUBSTITUTE(SUBSTITUTE(SUBSTITUTE(TRIM(C696),".",""),"/",""),"-","")," ","")))&lt;14,RIGHT(REPT("0",14)&amp;UPPER(SUBSTITUTE(SUBSTITUTE(SUBSTITUTE(SUBSTITUTE(TRIM(C696),".",""),"/",""),"-","")," ","")),14),UPPER(SUBSTITUTE(SUBSTITUTE(SUBSTITUTE(SUBSTITUTE(TRIM(C696),".",""),"/",""),"-","")," ",""))))</f>
        <v/>
      </c>
      <c r="E696" s="25" t="str">
        <f aca="false">IF(D696="","",IFERROR(INDEX(Empresas!$C:$C,MATCH(D696,Empresas!$B:$B,0)),"cadastre o CNPJ em Empresas"))</f>
        <v/>
      </c>
      <c r="F696" s="23"/>
      <c r="G696" s="35"/>
      <c r="H696" s="24"/>
      <c r="I696" s="11"/>
      <c r="J696" s="27" t="str">
        <f aca="false">IF(A696="","",YEAR(A696))</f>
        <v/>
      </c>
      <c r="K696" s="24"/>
      <c r="L696" s="11"/>
    </row>
    <row r="697" customFormat="false" ht="15" hidden="false" customHeight="false" outlineLevel="0" collapsed="false">
      <c r="A697" s="22"/>
      <c r="B697" s="11"/>
      <c r="C697" s="24"/>
      <c r="D697" s="31" t="str">
        <f aca="false">IF(C697="","",IF(LEN(UPPER(SUBSTITUTE(SUBSTITUTE(SUBSTITUTE(SUBSTITUTE(TRIM(C697),".",""),"/",""),"-","")," ","")))&lt;14,RIGHT(REPT("0",14)&amp;UPPER(SUBSTITUTE(SUBSTITUTE(SUBSTITUTE(SUBSTITUTE(TRIM(C697),".",""),"/",""),"-","")," ","")),14),UPPER(SUBSTITUTE(SUBSTITUTE(SUBSTITUTE(SUBSTITUTE(TRIM(C697),".",""),"/",""),"-","")," ",""))))</f>
        <v/>
      </c>
      <c r="E697" s="25" t="str">
        <f aca="false">IF(D697="","",IFERROR(INDEX(Empresas!$C:$C,MATCH(D697,Empresas!$B:$B,0)),"cadastre o CNPJ em Empresas"))</f>
        <v/>
      </c>
      <c r="F697" s="23"/>
      <c r="G697" s="35"/>
      <c r="H697" s="24"/>
      <c r="I697" s="11"/>
      <c r="J697" s="27" t="str">
        <f aca="false">IF(A697="","",YEAR(A697))</f>
        <v/>
      </c>
      <c r="K697" s="24"/>
      <c r="L697" s="11"/>
    </row>
    <row r="698" customFormat="false" ht="15" hidden="false" customHeight="false" outlineLevel="0" collapsed="false">
      <c r="A698" s="22"/>
      <c r="B698" s="11"/>
      <c r="C698" s="24"/>
      <c r="D698" s="31" t="str">
        <f aca="false">IF(C698="","",IF(LEN(UPPER(SUBSTITUTE(SUBSTITUTE(SUBSTITUTE(SUBSTITUTE(TRIM(C698),".",""),"/",""),"-","")," ","")))&lt;14,RIGHT(REPT("0",14)&amp;UPPER(SUBSTITUTE(SUBSTITUTE(SUBSTITUTE(SUBSTITUTE(TRIM(C698),".",""),"/",""),"-","")," ","")),14),UPPER(SUBSTITUTE(SUBSTITUTE(SUBSTITUTE(SUBSTITUTE(TRIM(C698),".",""),"/",""),"-","")," ",""))))</f>
        <v/>
      </c>
      <c r="E698" s="25" t="str">
        <f aca="false">IF(D698="","",IFERROR(INDEX(Empresas!$C:$C,MATCH(D698,Empresas!$B:$B,0)),"cadastre o CNPJ em Empresas"))</f>
        <v/>
      </c>
      <c r="F698" s="23"/>
      <c r="G698" s="35"/>
      <c r="H698" s="24"/>
      <c r="I698" s="11"/>
      <c r="J698" s="27" t="str">
        <f aca="false">IF(A698="","",YEAR(A698))</f>
        <v/>
      </c>
      <c r="K698" s="24"/>
      <c r="L698" s="11"/>
    </row>
    <row r="699" customFormat="false" ht="15" hidden="false" customHeight="false" outlineLevel="0" collapsed="false">
      <c r="A699" s="22"/>
      <c r="B699" s="11"/>
      <c r="C699" s="24"/>
      <c r="D699" s="31" t="str">
        <f aca="false">IF(C699="","",IF(LEN(UPPER(SUBSTITUTE(SUBSTITUTE(SUBSTITUTE(SUBSTITUTE(TRIM(C699),".",""),"/",""),"-","")," ","")))&lt;14,RIGHT(REPT("0",14)&amp;UPPER(SUBSTITUTE(SUBSTITUTE(SUBSTITUTE(SUBSTITUTE(TRIM(C699),".",""),"/",""),"-","")," ","")),14),UPPER(SUBSTITUTE(SUBSTITUTE(SUBSTITUTE(SUBSTITUTE(TRIM(C699),".",""),"/",""),"-","")," ",""))))</f>
        <v/>
      </c>
      <c r="E699" s="25" t="str">
        <f aca="false">IF(D699="","",IFERROR(INDEX(Empresas!$C:$C,MATCH(D699,Empresas!$B:$B,0)),"cadastre o CNPJ em Empresas"))</f>
        <v/>
      </c>
      <c r="F699" s="23"/>
      <c r="G699" s="35"/>
      <c r="H699" s="24"/>
      <c r="I699" s="11"/>
      <c r="J699" s="27" t="str">
        <f aca="false">IF(A699="","",YEAR(A699))</f>
        <v/>
      </c>
      <c r="K699" s="24"/>
      <c r="L699" s="11"/>
    </row>
    <row r="700" customFormat="false" ht="15" hidden="false" customHeight="false" outlineLevel="0" collapsed="false">
      <c r="A700" s="22"/>
      <c r="B700" s="11"/>
      <c r="C700" s="24"/>
      <c r="D700" s="31" t="str">
        <f aca="false">IF(C700="","",IF(LEN(UPPER(SUBSTITUTE(SUBSTITUTE(SUBSTITUTE(SUBSTITUTE(TRIM(C700),".",""),"/",""),"-","")," ","")))&lt;14,RIGHT(REPT("0",14)&amp;UPPER(SUBSTITUTE(SUBSTITUTE(SUBSTITUTE(SUBSTITUTE(TRIM(C700),".",""),"/",""),"-","")," ","")),14),UPPER(SUBSTITUTE(SUBSTITUTE(SUBSTITUTE(SUBSTITUTE(TRIM(C700),".",""),"/",""),"-","")," ",""))))</f>
        <v/>
      </c>
      <c r="E700" s="25" t="str">
        <f aca="false">IF(D700="","",IFERROR(INDEX(Empresas!$C:$C,MATCH(D700,Empresas!$B:$B,0)),"cadastre o CNPJ em Empresas"))</f>
        <v/>
      </c>
      <c r="F700" s="23"/>
      <c r="G700" s="35"/>
      <c r="H700" s="24"/>
      <c r="I700" s="11"/>
      <c r="J700" s="27" t="str">
        <f aca="false">IF(A700="","",YEAR(A700))</f>
        <v/>
      </c>
      <c r="K700" s="24"/>
      <c r="L700" s="11"/>
    </row>
    <row r="701" customFormat="false" ht="15" hidden="false" customHeight="false" outlineLevel="0" collapsed="false">
      <c r="A701" s="22"/>
      <c r="B701" s="11"/>
      <c r="C701" s="24"/>
      <c r="D701" s="31" t="str">
        <f aca="false">IF(C701="","",IF(LEN(UPPER(SUBSTITUTE(SUBSTITUTE(SUBSTITUTE(SUBSTITUTE(TRIM(C701),".",""),"/",""),"-","")," ","")))&lt;14,RIGHT(REPT("0",14)&amp;UPPER(SUBSTITUTE(SUBSTITUTE(SUBSTITUTE(SUBSTITUTE(TRIM(C701),".",""),"/",""),"-","")," ","")),14),UPPER(SUBSTITUTE(SUBSTITUTE(SUBSTITUTE(SUBSTITUTE(TRIM(C701),".",""),"/",""),"-","")," ",""))))</f>
        <v/>
      </c>
      <c r="E701" s="25" t="str">
        <f aca="false">IF(D701="","",IFERROR(INDEX(Empresas!$C:$C,MATCH(D701,Empresas!$B:$B,0)),"cadastre o CNPJ em Empresas"))</f>
        <v/>
      </c>
      <c r="F701" s="23"/>
      <c r="G701" s="35"/>
      <c r="H701" s="24"/>
      <c r="I701" s="11"/>
      <c r="J701" s="27" t="str">
        <f aca="false">IF(A701="","",YEAR(A701))</f>
        <v/>
      </c>
      <c r="K701" s="24"/>
      <c r="L701" s="11"/>
    </row>
    <row r="702" customFormat="false" ht="15" hidden="false" customHeight="false" outlineLevel="0" collapsed="false">
      <c r="A702" s="22"/>
      <c r="B702" s="11"/>
      <c r="C702" s="24"/>
      <c r="D702" s="31" t="str">
        <f aca="false">IF(C702="","",IF(LEN(UPPER(SUBSTITUTE(SUBSTITUTE(SUBSTITUTE(SUBSTITUTE(TRIM(C702),".",""),"/",""),"-","")," ","")))&lt;14,RIGHT(REPT("0",14)&amp;UPPER(SUBSTITUTE(SUBSTITUTE(SUBSTITUTE(SUBSTITUTE(TRIM(C702),".",""),"/",""),"-","")," ","")),14),UPPER(SUBSTITUTE(SUBSTITUTE(SUBSTITUTE(SUBSTITUTE(TRIM(C702),".",""),"/",""),"-","")," ",""))))</f>
        <v/>
      </c>
      <c r="E702" s="25" t="str">
        <f aca="false">IF(D702="","",IFERROR(INDEX(Empresas!$C:$C,MATCH(D702,Empresas!$B:$B,0)),"cadastre o CNPJ em Empresas"))</f>
        <v/>
      </c>
      <c r="F702" s="23"/>
      <c r="G702" s="35"/>
      <c r="H702" s="24"/>
      <c r="I702" s="11"/>
      <c r="J702" s="27" t="str">
        <f aca="false">IF(A702="","",YEAR(A702))</f>
        <v/>
      </c>
      <c r="K702" s="24"/>
      <c r="L702" s="11"/>
    </row>
    <row r="703" customFormat="false" ht="15" hidden="false" customHeight="false" outlineLevel="0" collapsed="false">
      <c r="A703" s="22"/>
      <c r="B703" s="11"/>
      <c r="C703" s="24"/>
      <c r="D703" s="31" t="str">
        <f aca="false">IF(C703="","",IF(LEN(UPPER(SUBSTITUTE(SUBSTITUTE(SUBSTITUTE(SUBSTITUTE(TRIM(C703),".",""),"/",""),"-","")," ","")))&lt;14,RIGHT(REPT("0",14)&amp;UPPER(SUBSTITUTE(SUBSTITUTE(SUBSTITUTE(SUBSTITUTE(TRIM(C703),".",""),"/",""),"-","")," ","")),14),UPPER(SUBSTITUTE(SUBSTITUTE(SUBSTITUTE(SUBSTITUTE(TRIM(C703),".",""),"/",""),"-","")," ",""))))</f>
        <v/>
      </c>
      <c r="E703" s="25" t="str">
        <f aca="false">IF(D703="","",IFERROR(INDEX(Empresas!$C:$C,MATCH(D703,Empresas!$B:$B,0)),"cadastre o CNPJ em Empresas"))</f>
        <v/>
      </c>
      <c r="F703" s="23"/>
      <c r="G703" s="35"/>
      <c r="H703" s="24"/>
      <c r="I703" s="11"/>
      <c r="J703" s="27" t="str">
        <f aca="false">IF(A703="","",YEAR(A703))</f>
        <v/>
      </c>
      <c r="K703" s="24"/>
      <c r="L703" s="11"/>
    </row>
    <row r="704" customFormat="false" ht="15" hidden="false" customHeight="false" outlineLevel="0" collapsed="false">
      <c r="A704" s="22"/>
      <c r="B704" s="11"/>
      <c r="C704" s="24"/>
      <c r="D704" s="31" t="str">
        <f aca="false">IF(C704="","",IF(LEN(UPPER(SUBSTITUTE(SUBSTITUTE(SUBSTITUTE(SUBSTITUTE(TRIM(C704),".",""),"/",""),"-","")," ","")))&lt;14,RIGHT(REPT("0",14)&amp;UPPER(SUBSTITUTE(SUBSTITUTE(SUBSTITUTE(SUBSTITUTE(TRIM(C704),".",""),"/",""),"-","")," ","")),14),UPPER(SUBSTITUTE(SUBSTITUTE(SUBSTITUTE(SUBSTITUTE(TRIM(C704),".",""),"/",""),"-","")," ",""))))</f>
        <v/>
      </c>
      <c r="E704" s="25" t="str">
        <f aca="false">IF(D704="","",IFERROR(INDEX(Empresas!$C:$C,MATCH(D704,Empresas!$B:$B,0)),"cadastre o CNPJ em Empresas"))</f>
        <v/>
      </c>
      <c r="F704" s="23"/>
      <c r="G704" s="35"/>
      <c r="H704" s="24"/>
      <c r="I704" s="11"/>
      <c r="J704" s="27" t="str">
        <f aca="false">IF(A704="","",YEAR(A704))</f>
        <v/>
      </c>
      <c r="K704" s="24"/>
      <c r="L704" s="11"/>
    </row>
    <row r="705" customFormat="false" ht="15" hidden="false" customHeight="false" outlineLevel="0" collapsed="false">
      <c r="A705" s="22"/>
      <c r="B705" s="11"/>
      <c r="C705" s="24"/>
      <c r="D705" s="31" t="str">
        <f aca="false">IF(C705="","",IF(LEN(UPPER(SUBSTITUTE(SUBSTITUTE(SUBSTITUTE(SUBSTITUTE(TRIM(C705),".",""),"/",""),"-","")," ","")))&lt;14,RIGHT(REPT("0",14)&amp;UPPER(SUBSTITUTE(SUBSTITUTE(SUBSTITUTE(SUBSTITUTE(TRIM(C705),".",""),"/",""),"-","")," ","")),14),UPPER(SUBSTITUTE(SUBSTITUTE(SUBSTITUTE(SUBSTITUTE(TRIM(C705),".",""),"/",""),"-","")," ",""))))</f>
        <v/>
      </c>
      <c r="E705" s="25" t="str">
        <f aca="false">IF(D705="","",IFERROR(INDEX(Empresas!$C:$C,MATCH(D705,Empresas!$B:$B,0)),"cadastre o CNPJ em Empresas"))</f>
        <v/>
      </c>
      <c r="F705" s="23"/>
      <c r="G705" s="35"/>
      <c r="H705" s="24"/>
      <c r="I705" s="11"/>
      <c r="J705" s="27" t="str">
        <f aca="false">IF(A705="","",YEAR(A705))</f>
        <v/>
      </c>
      <c r="K705" s="24"/>
      <c r="L705" s="11"/>
    </row>
    <row r="706" customFormat="false" ht="15" hidden="false" customHeight="false" outlineLevel="0" collapsed="false">
      <c r="A706" s="22"/>
      <c r="B706" s="11"/>
      <c r="C706" s="24"/>
      <c r="D706" s="31" t="str">
        <f aca="false">IF(C706="","",IF(LEN(UPPER(SUBSTITUTE(SUBSTITUTE(SUBSTITUTE(SUBSTITUTE(TRIM(C706),".",""),"/",""),"-","")," ","")))&lt;14,RIGHT(REPT("0",14)&amp;UPPER(SUBSTITUTE(SUBSTITUTE(SUBSTITUTE(SUBSTITUTE(TRIM(C706),".",""),"/",""),"-","")," ","")),14),UPPER(SUBSTITUTE(SUBSTITUTE(SUBSTITUTE(SUBSTITUTE(TRIM(C706),".",""),"/",""),"-","")," ",""))))</f>
        <v/>
      </c>
      <c r="E706" s="25" t="str">
        <f aca="false">IF(D706="","",IFERROR(INDEX(Empresas!$C:$C,MATCH(D706,Empresas!$B:$B,0)),"cadastre o CNPJ em Empresas"))</f>
        <v/>
      </c>
      <c r="F706" s="23"/>
      <c r="G706" s="35"/>
      <c r="H706" s="24"/>
      <c r="I706" s="11"/>
      <c r="J706" s="27" t="str">
        <f aca="false">IF(A706="","",YEAR(A706))</f>
        <v/>
      </c>
      <c r="K706" s="24"/>
      <c r="L706" s="11"/>
    </row>
    <row r="707" customFormat="false" ht="15" hidden="false" customHeight="false" outlineLevel="0" collapsed="false">
      <c r="A707" s="22"/>
      <c r="B707" s="11"/>
      <c r="C707" s="24"/>
      <c r="D707" s="31" t="str">
        <f aca="false">IF(C707="","",IF(LEN(UPPER(SUBSTITUTE(SUBSTITUTE(SUBSTITUTE(SUBSTITUTE(TRIM(C707),".",""),"/",""),"-","")," ","")))&lt;14,RIGHT(REPT("0",14)&amp;UPPER(SUBSTITUTE(SUBSTITUTE(SUBSTITUTE(SUBSTITUTE(TRIM(C707),".",""),"/",""),"-","")," ","")),14),UPPER(SUBSTITUTE(SUBSTITUTE(SUBSTITUTE(SUBSTITUTE(TRIM(C707),".",""),"/",""),"-","")," ",""))))</f>
        <v/>
      </c>
      <c r="E707" s="25" t="str">
        <f aca="false">IF(D707="","",IFERROR(INDEX(Empresas!$C:$C,MATCH(D707,Empresas!$B:$B,0)),"cadastre o CNPJ em Empresas"))</f>
        <v/>
      </c>
      <c r="F707" s="23"/>
      <c r="G707" s="35"/>
      <c r="H707" s="24"/>
      <c r="I707" s="11"/>
      <c r="J707" s="27" t="str">
        <f aca="false">IF(A707="","",YEAR(A707))</f>
        <v/>
      </c>
      <c r="K707" s="24"/>
      <c r="L707" s="11"/>
    </row>
    <row r="708" customFormat="false" ht="15" hidden="false" customHeight="false" outlineLevel="0" collapsed="false">
      <c r="A708" s="22"/>
      <c r="B708" s="11"/>
      <c r="C708" s="24"/>
      <c r="D708" s="31" t="str">
        <f aca="false">IF(C708="","",IF(LEN(UPPER(SUBSTITUTE(SUBSTITUTE(SUBSTITUTE(SUBSTITUTE(TRIM(C708),".",""),"/",""),"-","")," ","")))&lt;14,RIGHT(REPT("0",14)&amp;UPPER(SUBSTITUTE(SUBSTITUTE(SUBSTITUTE(SUBSTITUTE(TRIM(C708),".",""),"/",""),"-","")," ","")),14),UPPER(SUBSTITUTE(SUBSTITUTE(SUBSTITUTE(SUBSTITUTE(TRIM(C708),".",""),"/",""),"-","")," ",""))))</f>
        <v/>
      </c>
      <c r="E708" s="25" t="str">
        <f aca="false">IF(D708="","",IFERROR(INDEX(Empresas!$C:$C,MATCH(D708,Empresas!$B:$B,0)),"cadastre o CNPJ em Empresas"))</f>
        <v/>
      </c>
      <c r="F708" s="23"/>
      <c r="G708" s="35"/>
      <c r="H708" s="24"/>
      <c r="I708" s="11"/>
      <c r="J708" s="27" t="str">
        <f aca="false">IF(A708="","",YEAR(A708))</f>
        <v/>
      </c>
      <c r="K708" s="24"/>
      <c r="L708" s="11"/>
    </row>
    <row r="709" customFormat="false" ht="15" hidden="false" customHeight="false" outlineLevel="0" collapsed="false">
      <c r="A709" s="22"/>
      <c r="B709" s="11"/>
      <c r="C709" s="24"/>
      <c r="D709" s="31" t="str">
        <f aca="false">IF(C709="","",IF(LEN(UPPER(SUBSTITUTE(SUBSTITUTE(SUBSTITUTE(SUBSTITUTE(TRIM(C709),".",""),"/",""),"-","")," ","")))&lt;14,RIGHT(REPT("0",14)&amp;UPPER(SUBSTITUTE(SUBSTITUTE(SUBSTITUTE(SUBSTITUTE(TRIM(C709),".",""),"/",""),"-","")," ","")),14),UPPER(SUBSTITUTE(SUBSTITUTE(SUBSTITUTE(SUBSTITUTE(TRIM(C709),".",""),"/",""),"-","")," ",""))))</f>
        <v/>
      </c>
      <c r="E709" s="25" t="str">
        <f aca="false">IF(D709="","",IFERROR(INDEX(Empresas!$C:$C,MATCH(D709,Empresas!$B:$B,0)),"cadastre o CNPJ em Empresas"))</f>
        <v/>
      </c>
      <c r="F709" s="23"/>
      <c r="G709" s="35"/>
      <c r="H709" s="24"/>
      <c r="I709" s="11"/>
      <c r="J709" s="27" t="str">
        <f aca="false">IF(A709="","",YEAR(A709))</f>
        <v/>
      </c>
      <c r="K709" s="24"/>
      <c r="L709" s="11"/>
    </row>
    <row r="710" customFormat="false" ht="15" hidden="false" customHeight="false" outlineLevel="0" collapsed="false">
      <c r="A710" s="22"/>
      <c r="B710" s="11"/>
      <c r="C710" s="24"/>
      <c r="D710" s="31" t="str">
        <f aca="false">IF(C710="","",IF(LEN(UPPER(SUBSTITUTE(SUBSTITUTE(SUBSTITUTE(SUBSTITUTE(TRIM(C710),".",""),"/",""),"-","")," ","")))&lt;14,RIGHT(REPT("0",14)&amp;UPPER(SUBSTITUTE(SUBSTITUTE(SUBSTITUTE(SUBSTITUTE(TRIM(C710),".",""),"/",""),"-","")," ","")),14),UPPER(SUBSTITUTE(SUBSTITUTE(SUBSTITUTE(SUBSTITUTE(TRIM(C710),".",""),"/",""),"-","")," ",""))))</f>
        <v/>
      </c>
      <c r="E710" s="25" t="str">
        <f aca="false">IF(D710="","",IFERROR(INDEX(Empresas!$C:$C,MATCH(D710,Empresas!$B:$B,0)),"cadastre o CNPJ em Empresas"))</f>
        <v/>
      </c>
      <c r="F710" s="23"/>
      <c r="G710" s="35"/>
      <c r="H710" s="24"/>
      <c r="I710" s="11"/>
      <c r="J710" s="27" t="str">
        <f aca="false">IF(A710="","",YEAR(A710))</f>
        <v/>
      </c>
      <c r="K710" s="24"/>
      <c r="L710" s="11"/>
    </row>
    <row r="711" customFormat="false" ht="15" hidden="false" customHeight="false" outlineLevel="0" collapsed="false">
      <c r="A711" s="22"/>
      <c r="B711" s="11"/>
      <c r="C711" s="24"/>
      <c r="D711" s="31" t="str">
        <f aca="false">IF(C711="","",IF(LEN(UPPER(SUBSTITUTE(SUBSTITUTE(SUBSTITUTE(SUBSTITUTE(TRIM(C711),".",""),"/",""),"-","")," ","")))&lt;14,RIGHT(REPT("0",14)&amp;UPPER(SUBSTITUTE(SUBSTITUTE(SUBSTITUTE(SUBSTITUTE(TRIM(C711),".",""),"/",""),"-","")," ","")),14),UPPER(SUBSTITUTE(SUBSTITUTE(SUBSTITUTE(SUBSTITUTE(TRIM(C711),".",""),"/",""),"-","")," ",""))))</f>
        <v/>
      </c>
      <c r="E711" s="25" t="str">
        <f aca="false">IF(D711="","",IFERROR(INDEX(Empresas!$C:$C,MATCH(D711,Empresas!$B:$B,0)),"cadastre o CNPJ em Empresas"))</f>
        <v/>
      </c>
      <c r="F711" s="23"/>
      <c r="G711" s="35"/>
      <c r="H711" s="24"/>
      <c r="I711" s="11"/>
      <c r="J711" s="27" t="str">
        <f aca="false">IF(A711="","",YEAR(A711))</f>
        <v/>
      </c>
      <c r="K711" s="24"/>
      <c r="L711" s="11"/>
    </row>
    <row r="712" customFormat="false" ht="15" hidden="false" customHeight="false" outlineLevel="0" collapsed="false">
      <c r="A712" s="22"/>
      <c r="B712" s="11"/>
      <c r="C712" s="24"/>
      <c r="D712" s="31" t="str">
        <f aca="false">IF(C712="","",IF(LEN(UPPER(SUBSTITUTE(SUBSTITUTE(SUBSTITUTE(SUBSTITUTE(TRIM(C712),".",""),"/",""),"-","")," ","")))&lt;14,RIGHT(REPT("0",14)&amp;UPPER(SUBSTITUTE(SUBSTITUTE(SUBSTITUTE(SUBSTITUTE(TRIM(C712),".",""),"/",""),"-","")," ","")),14),UPPER(SUBSTITUTE(SUBSTITUTE(SUBSTITUTE(SUBSTITUTE(TRIM(C712),".",""),"/",""),"-","")," ",""))))</f>
        <v/>
      </c>
      <c r="E712" s="25" t="str">
        <f aca="false">IF(D712="","",IFERROR(INDEX(Empresas!$C:$C,MATCH(D712,Empresas!$B:$B,0)),"cadastre o CNPJ em Empresas"))</f>
        <v/>
      </c>
      <c r="F712" s="23"/>
      <c r="G712" s="35"/>
      <c r="H712" s="24"/>
      <c r="I712" s="11"/>
      <c r="J712" s="27" t="str">
        <f aca="false">IF(A712="","",YEAR(A712))</f>
        <v/>
      </c>
      <c r="K712" s="24"/>
      <c r="L712" s="11"/>
    </row>
    <row r="713" customFormat="false" ht="15" hidden="false" customHeight="false" outlineLevel="0" collapsed="false">
      <c r="A713" s="22"/>
      <c r="B713" s="11"/>
      <c r="C713" s="24"/>
      <c r="D713" s="31" t="str">
        <f aca="false">IF(C713="","",IF(LEN(UPPER(SUBSTITUTE(SUBSTITUTE(SUBSTITUTE(SUBSTITUTE(TRIM(C713),".",""),"/",""),"-","")," ","")))&lt;14,RIGHT(REPT("0",14)&amp;UPPER(SUBSTITUTE(SUBSTITUTE(SUBSTITUTE(SUBSTITUTE(TRIM(C713),".",""),"/",""),"-","")," ","")),14),UPPER(SUBSTITUTE(SUBSTITUTE(SUBSTITUTE(SUBSTITUTE(TRIM(C713),".",""),"/",""),"-","")," ",""))))</f>
        <v/>
      </c>
      <c r="E713" s="25" t="str">
        <f aca="false">IF(D713="","",IFERROR(INDEX(Empresas!$C:$C,MATCH(D713,Empresas!$B:$B,0)),"cadastre o CNPJ em Empresas"))</f>
        <v/>
      </c>
      <c r="F713" s="23"/>
      <c r="G713" s="35"/>
      <c r="H713" s="24"/>
      <c r="I713" s="11"/>
      <c r="J713" s="27" t="str">
        <f aca="false">IF(A713="","",YEAR(A713))</f>
        <v/>
      </c>
      <c r="K713" s="24"/>
      <c r="L713" s="11"/>
    </row>
    <row r="714" customFormat="false" ht="15" hidden="false" customHeight="false" outlineLevel="0" collapsed="false">
      <c r="A714" s="22"/>
      <c r="B714" s="11"/>
      <c r="C714" s="24"/>
      <c r="D714" s="31" t="str">
        <f aca="false">IF(C714="","",IF(LEN(UPPER(SUBSTITUTE(SUBSTITUTE(SUBSTITUTE(SUBSTITUTE(TRIM(C714),".",""),"/",""),"-","")," ","")))&lt;14,RIGHT(REPT("0",14)&amp;UPPER(SUBSTITUTE(SUBSTITUTE(SUBSTITUTE(SUBSTITUTE(TRIM(C714),".",""),"/",""),"-","")," ","")),14),UPPER(SUBSTITUTE(SUBSTITUTE(SUBSTITUTE(SUBSTITUTE(TRIM(C714),".",""),"/",""),"-","")," ",""))))</f>
        <v/>
      </c>
      <c r="E714" s="25" t="str">
        <f aca="false">IF(D714="","",IFERROR(INDEX(Empresas!$C:$C,MATCH(D714,Empresas!$B:$B,0)),"cadastre o CNPJ em Empresas"))</f>
        <v/>
      </c>
      <c r="F714" s="23"/>
      <c r="G714" s="35"/>
      <c r="H714" s="24"/>
      <c r="I714" s="11"/>
      <c r="J714" s="27" t="str">
        <f aca="false">IF(A714="","",YEAR(A714))</f>
        <v/>
      </c>
      <c r="K714" s="24"/>
      <c r="L714" s="11"/>
    </row>
    <row r="715" customFormat="false" ht="15" hidden="false" customHeight="false" outlineLevel="0" collapsed="false">
      <c r="A715" s="22"/>
      <c r="B715" s="11"/>
      <c r="C715" s="24"/>
      <c r="D715" s="31" t="str">
        <f aca="false">IF(C715="","",IF(LEN(UPPER(SUBSTITUTE(SUBSTITUTE(SUBSTITUTE(SUBSTITUTE(TRIM(C715),".",""),"/",""),"-","")," ","")))&lt;14,RIGHT(REPT("0",14)&amp;UPPER(SUBSTITUTE(SUBSTITUTE(SUBSTITUTE(SUBSTITUTE(TRIM(C715),".",""),"/",""),"-","")," ","")),14),UPPER(SUBSTITUTE(SUBSTITUTE(SUBSTITUTE(SUBSTITUTE(TRIM(C715),".",""),"/",""),"-","")," ",""))))</f>
        <v/>
      </c>
      <c r="E715" s="25" t="str">
        <f aca="false">IF(D715="","",IFERROR(INDEX(Empresas!$C:$C,MATCH(D715,Empresas!$B:$B,0)),"cadastre o CNPJ em Empresas"))</f>
        <v/>
      </c>
      <c r="F715" s="23"/>
      <c r="G715" s="35"/>
      <c r="H715" s="24"/>
      <c r="I715" s="11"/>
      <c r="J715" s="27" t="str">
        <f aca="false">IF(A715="","",YEAR(A715))</f>
        <v/>
      </c>
      <c r="K715" s="24"/>
      <c r="L715" s="11"/>
    </row>
    <row r="716" customFormat="false" ht="15" hidden="false" customHeight="false" outlineLevel="0" collapsed="false">
      <c r="A716" s="22"/>
      <c r="B716" s="11"/>
      <c r="C716" s="24"/>
      <c r="D716" s="31" t="str">
        <f aca="false">IF(C716="","",IF(LEN(UPPER(SUBSTITUTE(SUBSTITUTE(SUBSTITUTE(SUBSTITUTE(TRIM(C716),".",""),"/",""),"-","")," ","")))&lt;14,RIGHT(REPT("0",14)&amp;UPPER(SUBSTITUTE(SUBSTITUTE(SUBSTITUTE(SUBSTITUTE(TRIM(C716),".",""),"/",""),"-","")," ","")),14),UPPER(SUBSTITUTE(SUBSTITUTE(SUBSTITUTE(SUBSTITUTE(TRIM(C716),".",""),"/",""),"-","")," ",""))))</f>
        <v/>
      </c>
      <c r="E716" s="25" t="str">
        <f aca="false">IF(D716="","",IFERROR(INDEX(Empresas!$C:$C,MATCH(D716,Empresas!$B:$B,0)),"cadastre o CNPJ em Empresas"))</f>
        <v/>
      </c>
      <c r="F716" s="23"/>
      <c r="G716" s="35"/>
      <c r="H716" s="24"/>
      <c r="I716" s="11"/>
      <c r="J716" s="27" t="str">
        <f aca="false">IF(A716="","",YEAR(A716))</f>
        <v/>
      </c>
      <c r="K716" s="24"/>
      <c r="L716" s="11"/>
    </row>
    <row r="717" customFormat="false" ht="15" hidden="false" customHeight="false" outlineLevel="0" collapsed="false">
      <c r="A717" s="22"/>
      <c r="B717" s="11"/>
      <c r="C717" s="24"/>
      <c r="D717" s="31" t="str">
        <f aca="false">IF(C717="","",IF(LEN(UPPER(SUBSTITUTE(SUBSTITUTE(SUBSTITUTE(SUBSTITUTE(TRIM(C717),".",""),"/",""),"-","")," ","")))&lt;14,RIGHT(REPT("0",14)&amp;UPPER(SUBSTITUTE(SUBSTITUTE(SUBSTITUTE(SUBSTITUTE(TRIM(C717),".",""),"/",""),"-","")," ","")),14),UPPER(SUBSTITUTE(SUBSTITUTE(SUBSTITUTE(SUBSTITUTE(TRIM(C717),".",""),"/",""),"-","")," ",""))))</f>
        <v/>
      </c>
      <c r="E717" s="25" t="str">
        <f aca="false">IF(D717="","",IFERROR(INDEX(Empresas!$C:$C,MATCH(D717,Empresas!$B:$B,0)),"cadastre o CNPJ em Empresas"))</f>
        <v/>
      </c>
      <c r="F717" s="23"/>
      <c r="G717" s="35"/>
      <c r="H717" s="24"/>
      <c r="I717" s="11"/>
      <c r="J717" s="27" t="str">
        <f aca="false">IF(A717="","",YEAR(A717))</f>
        <v/>
      </c>
      <c r="K717" s="24"/>
      <c r="L717" s="11"/>
    </row>
    <row r="718" customFormat="false" ht="15" hidden="false" customHeight="false" outlineLevel="0" collapsed="false">
      <c r="A718" s="22"/>
      <c r="B718" s="11"/>
      <c r="C718" s="24"/>
      <c r="D718" s="31" t="str">
        <f aca="false">IF(C718="","",IF(LEN(UPPER(SUBSTITUTE(SUBSTITUTE(SUBSTITUTE(SUBSTITUTE(TRIM(C718),".",""),"/",""),"-","")," ","")))&lt;14,RIGHT(REPT("0",14)&amp;UPPER(SUBSTITUTE(SUBSTITUTE(SUBSTITUTE(SUBSTITUTE(TRIM(C718),".",""),"/",""),"-","")," ","")),14),UPPER(SUBSTITUTE(SUBSTITUTE(SUBSTITUTE(SUBSTITUTE(TRIM(C718),".",""),"/",""),"-","")," ",""))))</f>
        <v/>
      </c>
      <c r="E718" s="25" t="str">
        <f aca="false">IF(D718="","",IFERROR(INDEX(Empresas!$C:$C,MATCH(D718,Empresas!$B:$B,0)),"cadastre o CNPJ em Empresas"))</f>
        <v/>
      </c>
      <c r="F718" s="23"/>
      <c r="G718" s="35"/>
      <c r="H718" s="24"/>
      <c r="I718" s="11"/>
      <c r="J718" s="27" t="str">
        <f aca="false">IF(A718="","",YEAR(A718))</f>
        <v/>
      </c>
      <c r="K718" s="24"/>
      <c r="L718" s="11"/>
    </row>
    <row r="719" customFormat="false" ht="15" hidden="false" customHeight="false" outlineLevel="0" collapsed="false">
      <c r="A719" s="22"/>
      <c r="B719" s="11"/>
      <c r="C719" s="24"/>
      <c r="D719" s="31" t="str">
        <f aca="false">IF(C719="","",IF(LEN(UPPER(SUBSTITUTE(SUBSTITUTE(SUBSTITUTE(SUBSTITUTE(TRIM(C719),".",""),"/",""),"-","")," ","")))&lt;14,RIGHT(REPT("0",14)&amp;UPPER(SUBSTITUTE(SUBSTITUTE(SUBSTITUTE(SUBSTITUTE(TRIM(C719),".",""),"/",""),"-","")," ","")),14),UPPER(SUBSTITUTE(SUBSTITUTE(SUBSTITUTE(SUBSTITUTE(TRIM(C719),".",""),"/",""),"-","")," ",""))))</f>
        <v/>
      </c>
      <c r="E719" s="25" t="str">
        <f aca="false">IF(D719="","",IFERROR(INDEX(Empresas!$C:$C,MATCH(D719,Empresas!$B:$B,0)),"cadastre o CNPJ em Empresas"))</f>
        <v/>
      </c>
      <c r="F719" s="23"/>
      <c r="G719" s="35"/>
      <c r="H719" s="24"/>
      <c r="I719" s="11"/>
      <c r="J719" s="27" t="str">
        <f aca="false">IF(A719="","",YEAR(A719))</f>
        <v/>
      </c>
      <c r="K719" s="24"/>
      <c r="L719" s="11"/>
    </row>
    <row r="720" customFormat="false" ht="15" hidden="false" customHeight="false" outlineLevel="0" collapsed="false">
      <c r="A720" s="22"/>
      <c r="B720" s="11"/>
      <c r="C720" s="24"/>
      <c r="D720" s="31" t="str">
        <f aca="false">IF(C720="","",IF(LEN(UPPER(SUBSTITUTE(SUBSTITUTE(SUBSTITUTE(SUBSTITUTE(TRIM(C720),".",""),"/",""),"-","")," ","")))&lt;14,RIGHT(REPT("0",14)&amp;UPPER(SUBSTITUTE(SUBSTITUTE(SUBSTITUTE(SUBSTITUTE(TRIM(C720),".",""),"/",""),"-","")," ","")),14),UPPER(SUBSTITUTE(SUBSTITUTE(SUBSTITUTE(SUBSTITUTE(TRIM(C720),".",""),"/",""),"-","")," ",""))))</f>
        <v/>
      </c>
      <c r="E720" s="25" t="str">
        <f aca="false">IF(D720="","",IFERROR(INDEX(Empresas!$C:$C,MATCH(D720,Empresas!$B:$B,0)),"cadastre o CNPJ em Empresas"))</f>
        <v/>
      </c>
      <c r="F720" s="23"/>
      <c r="G720" s="35"/>
      <c r="H720" s="24"/>
      <c r="I720" s="11"/>
      <c r="J720" s="27" t="str">
        <f aca="false">IF(A720="","",YEAR(A720))</f>
        <v/>
      </c>
      <c r="K720" s="24"/>
      <c r="L720" s="11"/>
    </row>
    <row r="721" customFormat="false" ht="15" hidden="false" customHeight="false" outlineLevel="0" collapsed="false">
      <c r="A721" s="22"/>
      <c r="B721" s="11"/>
      <c r="C721" s="24"/>
      <c r="D721" s="31" t="str">
        <f aca="false">IF(C721="","",IF(LEN(UPPER(SUBSTITUTE(SUBSTITUTE(SUBSTITUTE(SUBSTITUTE(TRIM(C721),".",""),"/",""),"-","")," ","")))&lt;14,RIGHT(REPT("0",14)&amp;UPPER(SUBSTITUTE(SUBSTITUTE(SUBSTITUTE(SUBSTITUTE(TRIM(C721),".",""),"/",""),"-","")," ","")),14),UPPER(SUBSTITUTE(SUBSTITUTE(SUBSTITUTE(SUBSTITUTE(TRIM(C721),".",""),"/",""),"-","")," ",""))))</f>
        <v/>
      </c>
      <c r="E721" s="25" t="str">
        <f aca="false">IF(D721="","",IFERROR(INDEX(Empresas!$C:$C,MATCH(D721,Empresas!$B:$B,0)),"cadastre o CNPJ em Empresas"))</f>
        <v/>
      </c>
      <c r="F721" s="23"/>
      <c r="G721" s="35"/>
      <c r="H721" s="24"/>
      <c r="I721" s="11"/>
      <c r="J721" s="27" t="str">
        <f aca="false">IF(A721="","",YEAR(A721))</f>
        <v/>
      </c>
      <c r="K721" s="24"/>
      <c r="L721" s="11"/>
    </row>
    <row r="722" customFormat="false" ht="15" hidden="false" customHeight="false" outlineLevel="0" collapsed="false">
      <c r="A722" s="22"/>
      <c r="B722" s="11"/>
      <c r="C722" s="24"/>
      <c r="D722" s="31" t="str">
        <f aca="false">IF(C722="","",IF(LEN(UPPER(SUBSTITUTE(SUBSTITUTE(SUBSTITUTE(SUBSTITUTE(TRIM(C722),".",""),"/",""),"-","")," ","")))&lt;14,RIGHT(REPT("0",14)&amp;UPPER(SUBSTITUTE(SUBSTITUTE(SUBSTITUTE(SUBSTITUTE(TRIM(C722),".",""),"/",""),"-","")," ","")),14),UPPER(SUBSTITUTE(SUBSTITUTE(SUBSTITUTE(SUBSTITUTE(TRIM(C722),".",""),"/",""),"-","")," ",""))))</f>
        <v/>
      </c>
      <c r="E722" s="25" t="str">
        <f aca="false">IF(D722="","",IFERROR(INDEX(Empresas!$C:$C,MATCH(D722,Empresas!$B:$B,0)),"cadastre o CNPJ em Empresas"))</f>
        <v/>
      </c>
      <c r="F722" s="23"/>
      <c r="G722" s="35"/>
      <c r="H722" s="24"/>
      <c r="I722" s="11"/>
      <c r="J722" s="27" t="str">
        <f aca="false">IF(A722="","",YEAR(A722))</f>
        <v/>
      </c>
      <c r="K722" s="24"/>
      <c r="L722" s="11"/>
    </row>
    <row r="723" customFormat="false" ht="15" hidden="false" customHeight="false" outlineLevel="0" collapsed="false">
      <c r="A723" s="22"/>
      <c r="B723" s="11"/>
      <c r="C723" s="24"/>
      <c r="D723" s="31" t="str">
        <f aca="false">IF(C723="","",IF(LEN(UPPER(SUBSTITUTE(SUBSTITUTE(SUBSTITUTE(SUBSTITUTE(TRIM(C723),".",""),"/",""),"-","")," ","")))&lt;14,RIGHT(REPT("0",14)&amp;UPPER(SUBSTITUTE(SUBSTITUTE(SUBSTITUTE(SUBSTITUTE(TRIM(C723),".",""),"/",""),"-","")," ","")),14),UPPER(SUBSTITUTE(SUBSTITUTE(SUBSTITUTE(SUBSTITUTE(TRIM(C723),".",""),"/",""),"-","")," ",""))))</f>
        <v/>
      </c>
      <c r="E723" s="25" t="str">
        <f aca="false">IF(D723="","",IFERROR(INDEX(Empresas!$C:$C,MATCH(D723,Empresas!$B:$B,0)),"cadastre o CNPJ em Empresas"))</f>
        <v/>
      </c>
      <c r="F723" s="23"/>
      <c r="G723" s="35"/>
      <c r="H723" s="24"/>
      <c r="I723" s="11"/>
      <c r="J723" s="27" t="str">
        <f aca="false">IF(A723="","",YEAR(A723))</f>
        <v/>
      </c>
      <c r="K723" s="24"/>
      <c r="L723" s="11"/>
    </row>
    <row r="724" customFormat="false" ht="15" hidden="false" customHeight="false" outlineLevel="0" collapsed="false">
      <c r="A724" s="22"/>
      <c r="B724" s="11"/>
      <c r="C724" s="24"/>
      <c r="D724" s="31" t="str">
        <f aca="false">IF(C724="","",IF(LEN(UPPER(SUBSTITUTE(SUBSTITUTE(SUBSTITUTE(SUBSTITUTE(TRIM(C724),".",""),"/",""),"-","")," ","")))&lt;14,RIGHT(REPT("0",14)&amp;UPPER(SUBSTITUTE(SUBSTITUTE(SUBSTITUTE(SUBSTITUTE(TRIM(C724),".",""),"/",""),"-","")," ","")),14),UPPER(SUBSTITUTE(SUBSTITUTE(SUBSTITUTE(SUBSTITUTE(TRIM(C724),".",""),"/",""),"-","")," ",""))))</f>
        <v/>
      </c>
      <c r="E724" s="25" t="str">
        <f aca="false">IF(D724="","",IFERROR(INDEX(Empresas!$C:$C,MATCH(D724,Empresas!$B:$B,0)),"cadastre o CNPJ em Empresas"))</f>
        <v/>
      </c>
      <c r="F724" s="23"/>
      <c r="G724" s="35"/>
      <c r="H724" s="24"/>
      <c r="I724" s="11"/>
      <c r="J724" s="27" t="str">
        <f aca="false">IF(A724="","",YEAR(A724))</f>
        <v/>
      </c>
      <c r="K724" s="24"/>
      <c r="L724" s="11"/>
    </row>
    <row r="725" customFormat="false" ht="15" hidden="false" customHeight="false" outlineLevel="0" collapsed="false">
      <c r="A725" s="22"/>
      <c r="B725" s="11"/>
      <c r="C725" s="24"/>
      <c r="D725" s="31" t="str">
        <f aca="false">IF(C725="","",IF(LEN(UPPER(SUBSTITUTE(SUBSTITUTE(SUBSTITUTE(SUBSTITUTE(TRIM(C725),".",""),"/",""),"-","")," ","")))&lt;14,RIGHT(REPT("0",14)&amp;UPPER(SUBSTITUTE(SUBSTITUTE(SUBSTITUTE(SUBSTITUTE(TRIM(C725),".",""),"/",""),"-","")," ","")),14),UPPER(SUBSTITUTE(SUBSTITUTE(SUBSTITUTE(SUBSTITUTE(TRIM(C725),".",""),"/",""),"-","")," ",""))))</f>
        <v/>
      </c>
      <c r="E725" s="25" t="str">
        <f aca="false">IF(D725="","",IFERROR(INDEX(Empresas!$C:$C,MATCH(D725,Empresas!$B:$B,0)),"cadastre o CNPJ em Empresas"))</f>
        <v/>
      </c>
      <c r="F725" s="23"/>
      <c r="G725" s="35"/>
      <c r="H725" s="24"/>
      <c r="I725" s="11"/>
      <c r="J725" s="27" t="str">
        <f aca="false">IF(A725="","",YEAR(A725))</f>
        <v/>
      </c>
      <c r="K725" s="24"/>
      <c r="L725" s="11"/>
    </row>
    <row r="726" customFormat="false" ht="15" hidden="false" customHeight="false" outlineLevel="0" collapsed="false">
      <c r="A726" s="22"/>
      <c r="B726" s="11"/>
      <c r="C726" s="24"/>
      <c r="D726" s="31" t="str">
        <f aca="false">IF(C726="","",IF(LEN(UPPER(SUBSTITUTE(SUBSTITUTE(SUBSTITUTE(SUBSTITUTE(TRIM(C726),".",""),"/",""),"-","")," ","")))&lt;14,RIGHT(REPT("0",14)&amp;UPPER(SUBSTITUTE(SUBSTITUTE(SUBSTITUTE(SUBSTITUTE(TRIM(C726),".",""),"/",""),"-","")," ","")),14),UPPER(SUBSTITUTE(SUBSTITUTE(SUBSTITUTE(SUBSTITUTE(TRIM(C726),".",""),"/",""),"-","")," ",""))))</f>
        <v/>
      </c>
      <c r="E726" s="25" t="str">
        <f aca="false">IF(D726="","",IFERROR(INDEX(Empresas!$C:$C,MATCH(D726,Empresas!$B:$B,0)),"cadastre o CNPJ em Empresas"))</f>
        <v/>
      </c>
      <c r="F726" s="23"/>
      <c r="G726" s="35"/>
      <c r="H726" s="24"/>
      <c r="I726" s="11"/>
      <c r="J726" s="27" t="str">
        <f aca="false">IF(A726="","",YEAR(A726))</f>
        <v/>
      </c>
      <c r="K726" s="24"/>
      <c r="L726" s="11"/>
    </row>
    <row r="727" customFormat="false" ht="15" hidden="false" customHeight="false" outlineLevel="0" collapsed="false">
      <c r="A727" s="22"/>
      <c r="B727" s="11"/>
      <c r="C727" s="24"/>
      <c r="D727" s="31" t="str">
        <f aca="false">IF(C727="","",IF(LEN(UPPER(SUBSTITUTE(SUBSTITUTE(SUBSTITUTE(SUBSTITUTE(TRIM(C727),".",""),"/",""),"-","")," ","")))&lt;14,RIGHT(REPT("0",14)&amp;UPPER(SUBSTITUTE(SUBSTITUTE(SUBSTITUTE(SUBSTITUTE(TRIM(C727),".",""),"/",""),"-","")," ","")),14),UPPER(SUBSTITUTE(SUBSTITUTE(SUBSTITUTE(SUBSTITUTE(TRIM(C727),".",""),"/",""),"-","")," ",""))))</f>
        <v/>
      </c>
      <c r="E727" s="25" t="str">
        <f aca="false">IF(D727="","",IFERROR(INDEX(Empresas!$C:$C,MATCH(D727,Empresas!$B:$B,0)),"cadastre o CNPJ em Empresas"))</f>
        <v/>
      </c>
      <c r="F727" s="23"/>
      <c r="G727" s="35"/>
      <c r="H727" s="24"/>
      <c r="I727" s="11"/>
      <c r="J727" s="27" t="str">
        <f aca="false">IF(A727="","",YEAR(A727))</f>
        <v/>
      </c>
      <c r="K727" s="24"/>
      <c r="L727" s="11"/>
    </row>
    <row r="728" customFormat="false" ht="15" hidden="false" customHeight="false" outlineLevel="0" collapsed="false">
      <c r="A728" s="22"/>
      <c r="B728" s="11"/>
      <c r="C728" s="24"/>
      <c r="D728" s="31" t="str">
        <f aca="false">IF(C728="","",IF(LEN(UPPER(SUBSTITUTE(SUBSTITUTE(SUBSTITUTE(SUBSTITUTE(TRIM(C728),".",""),"/",""),"-","")," ","")))&lt;14,RIGHT(REPT("0",14)&amp;UPPER(SUBSTITUTE(SUBSTITUTE(SUBSTITUTE(SUBSTITUTE(TRIM(C728),".",""),"/",""),"-","")," ","")),14),UPPER(SUBSTITUTE(SUBSTITUTE(SUBSTITUTE(SUBSTITUTE(TRIM(C728),".",""),"/",""),"-","")," ",""))))</f>
        <v/>
      </c>
      <c r="E728" s="25" t="str">
        <f aca="false">IF(D728="","",IFERROR(INDEX(Empresas!$C:$C,MATCH(D728,Empresas!$B:$B,0)),"cadastre o CNPJ em Empresas"))</f>
        <v/>
      </c>
      <c r="F728" s="23"/>
      <c r="G728" s="35"/>
      <c r="H728" s="24"/>
      <c r="I728" s="11"/>
      <c r="J728" s="27" t="str">
        <f aca="false">IF(A728="","",YEAR(A728))</f>
        <v/>
      </c>
      <c r="K728" s="24"/>
      <c r="L728" s="11"/>
    </row>
    <row r="729" customFormat="false" ht="15" hidden="false" customHeight="false" outlineLevel="0" collapsed="false">
      <c r="A729" s="22"/>
      <c r="B729" s="11"/>
      <c r="C729" s="24"/>
      <c r="D729" s="31" t="str">
        <f aca="false">IF(C729="","",IF(LEN(UPPER(SUBSTITUTE(SUBSTITUTE(SUBSTITUTE(SUBSTITUTE(TRIM(C729),".",""),"/",""),"-","")," ","")))&lt;14,RIGHT(REPT("0",14)&amp;UPPER(SUBSTITUTE(SUBSTITUTE(SUBSTITUTE(SUBSTITUTE(TRIM(C729),".",""),"/",""),"-","")," ","")),14),UPPER(SUBSTITUTE(SUBSTITUTE(SUBSTITUTE(SUBSTITUTE(TRIM(C729),".",""),"/",""),"-","")," ",""))))</f>
        <v/>
      </c>
      <c r="E729" s="25" t="str">
        <f aca="false">IF(D729="","",IFERROR(INDEX(Empresas!$C:$C,MATCH(D729,Empresas!$B:$B,0)),"cadastre o CNPJ em Empresas"))</f>
        <v/>
      </c>
      <c r="F729" s="23"/>
      <c r="G729" s="35"/>
      <c r="H729" s="24"/>
      <c r="I729" s="11"/>
      <c r="J729" s="27" t="str">
        <f aca="false">IF(A729="","",YEAR(A729))</f>
        <v/>
      </c>
      <c r="K729" s="24"/>
      <c r="L729" s="11"/>
    </row>
    <row r="730" customFormat="false" ht="15" hidden="false" customHeight="false" outlineLevel="0" collapsed="false">
      <c r="A730" s="22"/>
      <c r="B730" s="11"/>
      <c r="C730" s="24"/>
      <c r="D730" s="31" t="str">
        <f aca="false">IF(C730="","",IF(LEN(UPPER(SUBSTITUTE(SUBSTITUTE(SUBSTITUTE(SUBSTITUTE(TRIM(C730),".",""),"/",""),"-","")," ","")))&lt;14,RIGHT(REPT("0",14)&amp;UPPER(SUBSTITUTE(SUBSTITUTE(SUBSTITUTE(SUBSTITUTE(TRIM(C730),".",""),"/",""),"-","")," ","")),14),UPPER(SUBSTITUTE(SUBSTITUTE(SUBSTITUTE(SUBSTITUTE(TRIM(C730),".",""),"/",""),"-","")," ",""))))</f>
        <v/>
      </c>
      <c r="E730" s="25" t="str">
        <f aca="false">IF(D730="","",IFERROR(INDEX(Empresas!$C:$C,MATCH(D730,Empresas!$B:$B,0)),"cadastre o CNPJ em Empresas"))</f>
        <v/>
      </c>
      <c r="F730" s="23"/>
      <c r="G730" s="35"/>
      <c r="H730" s="24"/>
      <c r="I730" s="11"/>
      <c r="J730" s="27" t="str">
        <f aca="false">IF(A730="","",YEAR(A730))</f>
        <v/>
      </c>
      <c r="K730" s="24"/>
      <c r="L730" s="11"/>
    </row>
    <row r="731" customFormat="false" ht="15" hidden="false" customHeight="false" outlineLevel="0" collapsed="false">
      <c r="A731" s="22"/>
      <c r="B731" s="11"/>
      <c r="C731" s="24"/>
      <c r="D731" s="31" t="str">
        <f aca="false">IF(C731="","",IF(LEN(UPPER(SUBSTITUTE(SUBSTITUTE(SUBSTITUTE(SUBSTITUTE(TRIM(C731),".",""),"/",""),"-","")," ","")))&lt;14,RIGHT(REPT("0",14)&amp;UPPER(SUBSTITUTE(SUBSTITUTE(SUBSTITUTE(SUBSTITUTE(TRIM(C731),".",""),"/",""),"-","")," ","")),14),UPPER(SUBSTITUTE(SUBSTITUTE(SUBSTITUTE(SUBSTITUTE(TRIM(C731),".",""),"/",""),"-","")," ",""))))</f>
        <v/>
      </c>
      <c r="E731" s="25" t="str">
        <f aca="false">IF(D731="","",IFERROR(INDEX(Empresas!$C:$C,MATCH(D731,Empresas!$B:$B,0)),"cadastre o CNPJ em Empresas"))</f>
        <v/>
      </c>
      <c r="F731" s="23"/>
      <c r="G731" s="35"/>
      <c r="H731" s="24"/>
      <c r="I731" s="11"/>
      <c r="J731" s="27" t="str">
        <f aca="false">IF(A731="","",YEAR(A731))</f>
        <v/>
      </c>
      <c r="K731" s="24"/>
      <c r="L731" s="11"/>
    </row>
    <row r="732" customFormat="false" ht="15" hidden="false" customHeight="false" outlineLevel="0" collapsed="false">
      <c r="A732" s="22"/>
      <c r="B732" s="11"/>
      <c r="C732" s="24"/>
      <c r="D732" s="31" t="str">
        <f aca="false">IF(C732="","",IF(LEN(UPPER(SUBSTITUTE(SUBSTITUTE(SUBSTITUTE(SUBSTITUTE(TRIM(C732),".",""),"/",""),"-","")," ","")))&lt;14,RIGHT(REPT("0",14)&amp;UPPER(SUBSTITUTE(SUBSTITUTE(SUBSTITUTE(SUBSTITUTE(TRIM(C732),".",""),"/",""),"-","")," ","")),14),UPPER(SUBSTITUTE(SUBSTITUTE(SUBSTITUTE(SUBSTITUTE(TRIM(C732),".",""),"/",""),"-","")," ",""))))</f>
        <v/>
      </c>
      <c r="E732" s="25" t="str">
        <f aca="false">IF(D732="","",IFERROR(INDEX(Empresas!$C:$C,MATCH(D732,Empresas!$B:$B,0)),"cadastre o CNPJ em Empresas"))</f>
        <v/>
      </c>
      <c r="F732" s="23"/>
      <c r="G732" s="35"/>
      <c r="H732" s="24"/>
      <c r="I732" s="11"/>
      <c r="J732" s="27" t="str">
        <f aca="false">IF(A732="","",YEAR(A732))</f>
        <v/>
      </c>
      <c r="K732" s="24"/>
      <c r="L732" s="11"/>
    </row>
    <row r="733" customFormat="false" ht="15" hidden="false" customHeight="false" outlineLevel="0" collapsed="false">
      <c r="A733" s="22"/>
      <c r="B733" s="11"/>
      <c r="C733" s="24"/>
      <c r="D733" s="31" t="str">
        <f aca="false">IF(C733="","",IF(LEN(UPPER(SUBSTITUTE(SUBSTITUTE(SUBSTITUTE(SUBSTITUTE(TRIM(C733),".",""),"/",""),"-","")," ","")))&lt;14,RIGHT(REPT("0",14)&amp;UPPER(SUBSTITUTE(SUBSTITUTE(SUBSTITUTE(SUBSTITUTE(TRIM(C733),".",""),"/",""),"-","")," ","")),14),UPPER(SUBSTITUTE(SUBSTITUTE(SUBSTITUTE(SUBSTITUTE(TRIM(C733),".",""),"/",""),"-","")," ",""))))</f>
        <v/>
      </c>
      <c r="E733" s="25" t="str">
        <f aca="false">IF(D733="","",IFERROR(INDEX(Empresas!$C:$C,MATCH(D733,Empresas!$B:$B,0)),"cadastre o CNPJ em Empresas"))</f>
        <v/>
      </c>
      <c r="F733" s="23"/>
      <c r="G733" s="35"/>
      <c r="H733" s="24"/>
      <c r="I733" s="11"/>
      <c r="J733" s="27" t="str">
        <f aca="false">IF(A733="","",YEAR(A733))</f>
        <v/>
      </c>
      <c r="K733" s="24"/>
      <c r="L733" s="11"/>
    </row>
    <row r="734" customFormat="false" ht="15" hidden="false" customHeight="false" outlineLevel="0" collapsed="false">
      <c r="A734" s="22"/>
      <c r="B734" s="11"/>
      <c r="C734" s="24"/>
      <c r="D734" s="31" t="str">
        <f aca="false">IF(C734="","",IF(LEN(UPPER(SUBSTITUTE(SUBSTITUTE(SUBSTITUTE(SUBSTITUTE(TRIM(C734),".",""),"/",""),"-","")," ","")))&lt;14,RIGHT(REPT("0",14)&amp;UPPER(SUBSTITUTE(SUBSTITUTE(SUBSTITUTE(SUBSTITUTE(TRIM(C734),".",""),"/",""),"-","")," ","")),14),UPPER(SUBSTITUTE(SUBSTITUTE(SUBSTITUTE(SUBSTITUTE(TRIM(C734),".",""),"/",""),"-","")," ",""))))</f>
        <v/>
      </c>
      <c r="E734" s="25" t="str">
        <f aca="false">IF(D734="","",IFERROR(INDEX(Empresas!$C:$C,MATCH(D734,Empresas!$B:$B,0)),"cadastre o CNPJ em Empresas"))</f>
        <v/>
      </c>
      <c r="F734" s="23"/>
      <c r="G734" s="35"/>
      <c r="H734" s="24"/>
      <c r="I734" s="11"/>
      <c r="J734" s="27" t="str">
        <f aca="false">IF(A734="","",YEAR(A734))</f>
        <v/>
      </c>
      <c r="K734" s="24"/>
      <c r="L734" s="11"/>
    </row>
    <row r="735" customFormat="false" ht="15" hidden="false" customHeight="false" outlineLevel="0" collapsed="false">
      <c r="A735" s="22"/>
      <c r="B735" s="11"/>
      <c r="C735" s="24"/>
      <c r="D735" s="31" t="str">
        <f aca="false">IF(C735="","",IF(LEN(UPPER(SUBSTITUTE(SUBSTITUTE(SUBSTITUTE(SUBSTITUTE(TRIM(C735),".",""),"/",""),"-","")," ","")))&lt;14,RIGHT(REPT("0",14)&amp;UPPER(SUBSTITUTE(SUBSTITUTE(SUBSTITUTE(SUBSTITUTE(TRIM(C735),".",""),"/",""),"-","")," ","")),14),UPPER(SUBSTITUTE(SUBSTITUTE(SUBSTITUTE(SUBSTITUTE(TRIM(C735),".",""),"/",""),"-","")," ",""))))</f>
        <v/>
      </c>
      <c r="E735" s="25" t="str">
        <f aca="false">IF(D735="","",IFERROR(INDEX(Empresas!$C:$C,MATCH(D735,Empresas!$B:$B,0)),"cadastre o CNPJ em Empresas"))</f>
        <v/>
      </c>
      <c r="F735" s="23"/>
      <c r="G735" s="35"/>
      <c r="H735" s="24"/>
      <c r="I735" s="11"/>
      <c r="J735" s="27" t="str">
        <f aca="false">IF(A735="","",YEAR(A735))</f>
        <v/>
      </c>
      <c r="K735" s="24"/>
      <c r="L735" s="11"/>
    </row>
    <row r="736" customFormat="false" ht="15" hidden="false" customHeight="false" outlineLevel="0" collapsed="false">
      <c r="A736" s="22"/>
      <c r="B736" s="11"/>
      <c r="C736" s="24"/>
      <c r="D736" s="31" t="str">
        <f aca="false">IF(C736="","",IF(LEN(UPPER(SUBSTITUTE(SUBSTITUTE(SUBSTITUTE(SUBSTITUTE(TRIM(C736),".",""),"/",""),"-","")," ","")))&lt;14,RIGHT(REPT("0",14)&amp;UPPER(SUBSTITUTE(SUBSTITUTE(SUBSTITUTE(SUBSTITUTE(TRIM(C736),".",""),"/",""),"-","")," ","")),14),UPPER(SUBSTITUTE(SUBSTITUTE(SUBSTITUTE(SUBSTITUTE(TRIM(C736),".",""),"/",""),"-","")," ",""))))</f>
        <v/>
      </c>
      <c r="E736" s="25" t="str">
        <f aca="false">IF(D736="","",IFERROR(INDEX(Empresas!$C:$C,MATCH(D736,Empresas!$B:$B,0)),"cadastre o CNPJ em Empresas"))</f>
        <v/>
      </c>
      <c r="F736" s="23"/>
      <c r="G736" s="35"/>
      <c r="H736" s="24"/>
      <c r="I736" s="11"/>
      <c r="J736" s="27" t="str">
        <f aca="false">IF(A736="","",YEAR(A736))</f>
        <v/>
      </c>
      <c r="K736" s="24"/>
      <c r="L736" s="11"/>
    </row>
    <row r="737" customFormat="false" ht="15" hidden="false" customHeight="false" outlineLevel="0" collapsed="false">
      <c r="A737" s="22"/>
      <c r="B737" s="11"/>
      <c r="C737" s="24"/>
      <c r="D737" s="31" t="str">
        <f aca="false">IF(C737="","",IF(LEN(UPPER(SUBSTITUTE(SUBSTITUTE(SUBSTITUTE(SUBSTITUTE(TRIM(C737),".",""),"/",""),"-","")," ","")))&lt;14,RIGHT(REPT("0",14)&amp;UPPER(SUBSTITUTE(SUBSTITUTE(SUBSTITUTE(SUBSTITUTE(TRIM(C737),".",""),"/",""),"-","")," ","")),14),UPPER(SUBSTITUTE(SUBSTITUTE(SUBSTITUTE(SUBSTITUTE(TRIM(C737),".",""),"/",""),"-","")," ",""))))</f>
        <v/>
      </c>
      <c r="E737" s="25" t="str">
        <f aca="false">IF(D737="","",IFERROR(INDEX(Empresas!$C:$C,MATCH(D737,Empresas!$B:$B,0)),"cadastre o CNPJ em Empresas"))</f>
        <v/>
      </c>
      <c r="F737" s="23"/>
      <c r="G737" s="35"/>
      <c r="H737" s="24"/>
      <c r="I737" s="11"/>
      <c r="J737" s="27" t="str">
        <f aca="false">IF(A737="","",YEAR(A737))</f>
        <v/>
      </c>
      <c r="K737" s="24"/>
      <c r="L737" s="11"/>
    </row>
    <row r="738" customFormat="false" ht="15" hidden="false" customHeight="false" outlineLevel="0" collapsed="false">
      <c r="A738" s="22"/>
      <c r="B738" s="11"/>
      <c r="C738" s="24"/>
      <c r="D738" s="31" t="str">
        <f aca="false">IF(C738="","",IF(LEN(UPPER(SUBSTITUTE(SUBSTITUTE(SUBSTITUTE(SUBSTITUTE(TRIM(C738),".",""),"/",""),"-","")," ","")))&lt;14,RIGHT(REPT("0",14)&amp;UPPER(SUBSTITUTE(SUBSTITUTE(SUBSTITUTE(SUBSTITUTE(TRIM(C738),".",""),"/",""),"-","")," ","")),14),UPPER(SUBSTITUTE(SUBSTITUTE(SUBSTITUTE(SUBSTITUTE(TRIM(C738),".",""),"/",""),"-","")," ",""))))</f>
        <v/>
      </c>
      <c r="E738" s="25" t="str">
        <f aca="false">IF(D738="","",IFERROR(INDEX(Empresas!$C:$C,MATCH(D738,Empresas!$B:$B,0)),"cadastre o CNPJ em Empresas"))</f>
        <v/>
      </c>
      <c r="F738" s="23"/>
      <c r="G738" s="35"/>
      <c r="H738" s="24"/>
      <c r="I738" s="11"/>
      <c r="J738" s="27" t="str">
        <f aca="false">IF(A738="","",YEAR(A738))</f>
        <v/>
      </c>
      <c r="K738" s="24"/>
      <c r="L738" s="11"/>
    </row>
    <row r="739" customFormat="false" ht="15" hidden="false" customHeight="false" outlineLevel="0" collapsed="false">
      <c r="A739" s="22"/>
      <c r="B739" s="11"/>
      <c r="C739" s="24"/>
      <c r="D739" s="31" t="str">
        <f aca="false">IF(C739="","",IF(LEN(UPPER(SUBSTITUTE(SUBSTITUTE(SUBSTITUTE(SUBSTITUTE(TRIM(C739),".",""),"/",""),"-","")," ","")))&lt;14,RIGHT(REPT("0",14)&amp;UPPER(SUBSTITUTE(SUBSTITUTE(SUBSTITUTE(SUBSTITUTE(TRIM(C739),".",""),"/",""),"-","")," ","")),14),UPPER(SUBSTITUTE(SUBSTITUTE(SUBSTITUTE(SUBSTITUTE(TRIM(C739),".",""),"/",""),"-","")," ",""))))</f>
        <v/>
      </c>
      <c r="E739" s="25" t="str">
        <f aca="false">IF(D739="","",IFERROR(INDEX(Empresas!$C:$C,MATCH(D739,Empresas!$B:$B,0)),"cadastre o CNPJ em Empresas"))</f>
        <v/>
      </c>
      <c r="F739" s="23"/>
      <c r="G739" s="35"/>
      <c r="H739" s="24"/>
      <c r="I739" s="11"/>
      <c r="J739" s="27" t="str">
        <f aca="false">IF(A739="","",YEAR(A739))</f>
        <v/>
      </c>
      <c r="K739" s="24"/>
      <c r="L739" s="11"/>
    </row>
    <row r="740" customFormat="false" ht="15" hidden="false" customHeight="false" outlineLevel="0" collapsed="false">
      <c r="A740" s="22"/>
      <c r="B740" s="11"/>
      <c r="C740" s="24"/>
      <c r="D740" s="31" t="str">
        <f aca="false">IF(C740="","",IF(LEN(UPPER(SUBSTITUTE(SUBSTITUTE(SUBSTITUTE(SUBSTITUTE(TRIM(C740),".",""),"/",""),"-","")," ","")))&lt;14,RIGHT(REPT("0",14)&amp;UPPER(SUBSTITUTE(SUBSTITUTE(SUBSTITUTE(SUBSTITUTE(TRIM(C740),".",""),"/",""),"-","")," ","")),14),UPPER(SUBSTITUTE(SUBSTITUTE(SUBSTITUTE(SUBSTITUTE(TRIM(C740),".",""),"/",""),"-","")," ",""))))</f>
        <v/>
      </c>
      <c r="E740" s="25" t="str">
        <f aca="false">IF(D740="","",IFERROR(INDEX(Empresas!$C:$C,MATCH(D740,Empresas!$B:$B,0)),"cadastre o CNPJ em Empresas"))</f>
        <v/>
      </c>
      <c r="F740" s="23"/>
      <c r="G740" s="35"/>
      <c r="H740" s="24"/>
      <c r="I740" s="11"/>
      <c r="J740" s="27" t="str">
        <f aca="false">IF(A740="","",YEAR(A740))</f>
        <v/>
      </c>
      <c r="K740" s="24"/>
      <c r="L740" s="11"/>
    </row>
    <row r="741" customFormat="false" ht="15" hidden="false" customHeight="false" outlineLevel="0" collapsed="false">
      <c r="A741" s="22"/>
      <c r="B741" s="11"/>
      <c r="C741" s="24"/>
      <c r="D741" s="31" t="str">
        <f aca="false">IF(C741="","",IF(LEN(UPPER(SUBSTITUTE(SUBSTITUTE(SUBSTITUTE(SUBSTITUTE(TRIM(C741),".",""),"/",""),"-","")," ","")))&lt;14,RIGHT(REPT("0",14)&amp;UPPER(SUBSTITUTE(SUBSTITUTE(SUBSTITUTE(SUBSTITUTE(TRIM(C741),".",""),"/",""),"-","")," ","")),14),UPPER(SUBSTITUTE(SUBSTITUTE(SUBSTITUTE(SUBSTITUTE(TRIM(C741),".",""),"/",""),"-","")," ",""))))</f>
        <v/>
      </c>
      <c r="E741" s="25" t="str">
        <f aca="false">IF(D741="","",IFERROR(INDEX(Empresas!$C:$C,MATCH(D741,Empresas!$B:$B,0)),"cadastre o CNPJ em Empresas"))</f>
        <v/>
      </c>
      <c r="F741" s="23"/>
      <c r="G741" s="35"/>
      <c r="H741" s="24"/>
      <c r="I741" s="11"/>
      <c r="J741" s="27" t="str">
        <f aca="false">IF(A741="","",YEAR(A741))</f>
        <v/>
      </c>
      <c r="K741" s="24"/>
      <c r="L741" s="11"/>
    </row>
    <row r="742" customFormat="false" ht="15" hidden="false" customHeight="false" outlineLevel="0" collapsed="false">
      <c r="A742" s="22"/>
      <c r="B742" s="11"/>
      <c r="C742" s="24"/>
      <c r="D742" s="31" t="str">
        <f aca="false">IF(C742="","",IF(LEN(UPPER(SUBSTITUTE(SUBSTITUTE(SUBSTITUTE(SUBSTITUTE(TRIM(C742),".",""),"/",""),"-","")," ","")))&lt;14,RIGHT(REPT("0",14)&amp;UPPER(SUBSTITUTE(SUBSTITUTE(SUBSTITUTE(SUBSTITUTE(TRIM(C742),".",""),"/",""),"-","")," ","")),14),UPPER(SUBSTITUTE(SUBSTITUTE(SUBSTITUTE(SUBSTITUTE(TRIM(C742),".",""),"/",""),"-","")," ",""))))</f>
        <v/>
      </c>
      <c r="E742" s="25" t="str">
        <f aca="false">IF(D742="","",IFERROR(INDEX(Empresas!$C:$C,MATCH(D742,Empresas!$B:$B,0)),"cadastre o CNPJ em Empresas"))</f>
        <v/>
      </c>
      <c r="F742" s="23"/>
      <c r="G742" s="35"/>
      <c r="H742" s="24"/>
      <c r="I742" s="11"/>
      <c r="J742" s="27" t="str">
        <f aca="false">IF(A742="","",YEAR(A742))</f>
        <v/>
      </c>
      <c r="K742" s="24"/>
      <c r="L742" s="11"/>
    </row>
    <row r="743" customFormat="false" ht="15" hidden="false" customHeight="false" outlineLevel="0" collapsed="false">
      <c r="A743" s="22"/>
      <c r="B743" s="11"/>
      <c r="C743" s="24"/>
      <c r="D743" s="31" t="str">
        <f aca="false">IF(C743="","",IF(LEN(UPPER(SUBSTITUTE(SUBSTITUTE(SUBSTITUTE(SUBSTITUTE(TRIM(C743),".",""),"/",""),"-","")," ","")))&lt;14,RIGHT(REPT("0",14)&amp;UPPER(SUBSTITUTE(SUBSTITUTE(SUBSTITUTE(SUBSTITUTE(TRIM(C743),".",""),"/",""),"-","")," ","")),14),UPPER(SUBSTITUTE(SUBSTITUTE(SUBSTITUTE(SUBSTITUTE(TRIM(C743),".",""),"/",""),"-","")," ",""))))</f>
        <v/>
      </c>
      <c r="E743" s="25" t="str">
        <f aca="false">IF(D743="","",IFERROR(INDEX(Empresas!$C:$C,MATCH(D743,Empresas!$B:$B,0)),"cadastre o CNPJ em Empresas"))</f>
        <v/>
      </c>
      <c r="F743" s="23"/>
      <c r="G743" s="35"/>
      <c r="H743" s="24"/>
      <c r="I743" s="11"/>
      <c r="J743" s="27" t="str">
        <f aca="false">IF(A743="","",YEAR(A743))</f>
        <v/>
      </c>
      <c r="K743" s="24"/>
      <c r="L743" s="11"/>
    </row>
    <row r="744" customFormat="false" ht="15" hidden="false" customHeight="false" outlineLevel="0" collapsed="false">
      <c r="A744" s="22"/>
      <c r="B744" s="11"/>
      <c r="C744" s="24"/>
      <c r="D744" s="31" t="str">
        <f aca="false">IF(C744="","",IF(LEN(UPPER(SUBSTITUTE(SUBSTITUTE(SUBSTITUTE(SUBSTITUTE(TRIM(C744),".",""),"/",""),"-","")," ","")))&lt;14,RIGHT(REPT("0",14)&amp;UPPER(SUBSTITUTE(SUBSTITUTE(SUBSTITUTE(SUBSTITUTE(TRIM(C744),".",""),"/",""),"-","")," ","")),14),UPPER(SUBSTITUTE(SUBSTITUTE(SUBSTITUTE(SUBSTITUTE(TRIM(C744),".",""),"/",""),"-","")," ",""))))</f>
        <v/>
      </c>
      <c r="E744" s="25" t="str">
        <f aca="false">IF(D744="","",IFERROR(INDEX(Empresas!$C:$C,MATCH(D744,Empresas!$B:$B,0)),"cadastre o CNPJ em Empresas"))</f>
        <v/>
      </c>
      <c r="F744" s="23"/>
      <c r="G744" s="35"/>
      <c r="H744" s="24"/>
      <c r="I744" s="11"/>
      <c r="J744" s="27" t="str">
        <f aca="false">IF(A744="","",YEAR(A744))</f>
        <v/>
      </c>
      <c r="K744" s="24"/>
      <c r="L744" s="11"/>
    </row>
    <row r="745" customFormat="false" ht="15" hidden="false" customHeight="false" outlineLevel="0" collapsed="false">
      <c r="A745" s="22"/>
      <c r="B745" s="11"/>
      <c r="C745" s="24"/>
      <c r="D745" s="31" t="str">
        <f aca="false">IF(C745="","",IF(LEN(UPPER(SUBSTITUTE(SUBSTITUTE(SUBSTITUTE(SUBSTITUTE(TRIM(C745),".",""),"/",""),"-","")," ","")))&lt;14,RIGHT(REPT("0",14)&amp;UPPER(SUBSTITUTE(SUBSTITUTE(SUBSTITUTE(SUBSTITUTE(TRIM(C745),".",""),"/",""),"-","")," ","")),14),UPPER(SUBSTITUTE(SUBSTITUTE(SUBSTITUTE(SUBSTITUTE(TRIM(C745),".",""),"/",""),"-","")," ",""))))</f>
        <v/>
      </c>
      <c r="E745" s="25" t="str">
        <f aca="false">IF(D745="","",IFERROR(INDEX(Empresas!$C:$C,MATCH(D745,Empresas!$B:$B,0)),"cadastre o CNPJ em Empresas"))</f>
        <v/>
      </c>
      <c r="F745" s="23"/>
      <c r="G745" s="35"/>
      <c r="H745" s="24"/>
      <c r="I745" s="11"/>
      <c r="J745" s="27" t="str">
        <f aca="false">IF(A745="","",YEAR(A745))</f>
        <v/>
      </c>
      <c r="K745" s="24"/>
      <c r="L745" s="11"/>
    </row>
    <row r="746" customFormat="false" ht="15" hidden="false" customHeight="false" outlineLevel="0" collapsed="false">
      <c r="A746" s="22"/>
      <c r="B746" s="11"/>
      <c r="C746" s="24"/>
      <c r="D746" s="31" t="str">
        <f aca="false">IF(C746="","",IF(LEN(UPPER(SUBSTITUTE(SUBSTITUTE(SUBSTITUTE(SUBSTITUTE(TRIM(C746),".",""),"/",""),"-","")," ","")))&lt;14,RIGHT(REPT("0",14)&amp;UPPER(SUBSTITUTE(SUBSTITUTE(SUBSTITUTE(SUBSTITUTE(TRIM(C746),".",""),"/",""),"-","")," ","")),14),UPPER(SUBSTITUTE(SUBSTITUTE(SUBSTITUTE(SUBSTITUTE(TRIM(C746),".",""),"/",""),"-","")," ",""))))</f>
        <v/>
      </c>
      <c r="E746" s="25" t="str">
        <f aca="false">IF(D746="","",IFERROR(INDEX(Empresas!$C:$C,MATCH(D746,Empresas!$B:$B,0)),"cadastre o CNPJ em Empresas"))</f>
        <v/>
      </c>
      <c r="F746" s="23"/>
      <c r="G746" s="35"/>
      <c r="H746" s="24"/>
      <c r="I746" s="11"/>
      <c r="J746" s="27" t="str">
        <f aca="false">IF(A746="","",YEAR(A746))</f>
        <v/>
      </c>
      <c r="K746" s="24"/>
      <c r="L746" s="11"/>
    </row>
    <row r="747" customFormat="false" ht="15" hidden="false" customHeight="false" outlineLevel="0" collapsed="false">
      <c r="A747" s="22"/>
      <c r="B747" s="11"/>
      <c r="C747" s="24"/>
      <c r="D747" s="31" t="str">
        <f aca="false">IF(C747="","",IF(LEN(UPPER(SUBSTITUTE(SUBSTITUTE(SUBSTITUTE(SUBSTITUTE(TRIM(C747),".",""),"/",""),"-","")," ","")))&lt;14,RIGHT(REPT("0",14)&amp;UPPER(SUBSTITUTE(SUBSTITUTE(SUBSTITUTE(SUBSTITUTE(TRIM(C747),".",""),"/",""),"-","")," ","")),14),UPPER(SUBSTITUTE(SUBSTITUTE(SUBSTITUTE(SUBSTITUTE(TRIM(C747),".",""),"/",""),"-","")," ",""))))</f>
        <v/>
      </c>
      <c r="E747" s="25" t="str">
        <f aca="false">IF(D747="","",IFERROR(INDEX(Empresas!$C:$C,MATCH(D747,Empresas!$B:$B,0)),"cadastre o CNPJ em Empresas"))</f>
        <v/>
      </c>
      <c r="F747" s="23"/>
      <c r="G747" s="35"/>
      <c r="H747" s="24"/>
      <c r="I747" s="11"/>
      <c r="J747" s="27" t="str">
        <f aca="false">IF(A747="","",YEAR(A747))</f>
        <v/>
      </c>
      <c r="K747" s="24"/>
      <c r="L747" s="11"/>
    </row>
    <row r="748" customFormat="false" ht="15" hidden="false" customHeight="false" outlineLevel="0" collapsed="false">
      <c r="A748" s="22"/>
      <c r="B748" s="11"/>
      <c r="C748" s="24"/>
      <c r="D748" s="31" t="str">
        <f aca="false">IF(C748="","",IF(LEN(UPPER(SUBSTITUTE(SUBSTITUTE(SUBSTITUTE(SUBSTITUTE(TRIM(C748),".",""),"/",""),"-","")," ","")))&lt;14,RIGHT(REPT("0",14)&amp;UPPER(SUBSTITUTE(SUBSTITUTE(SUBSTITUTE(SUBSTITUTE(TRIM(C748),".",""),"/",""),"-","")," ","")),14),UPPER(SUBSTITUTE(SUBSTITUTE(SUBSTITUTE(SUBSTITUTE(TRIM(C748),".",""),"/",""),"-","")," ",""))))</f>
        <v/>
      </c>
      <c r="E748" s="25" t="str">
        <f aca="false">IF(D748="","",IFERROR(INDEX(Empresas!$C:$C,MATCH(D748,Empresas!$B:$B,0)),"cadastre o CNPJ em Empresas"))</f>
        <v/>
      </c>
      <c r="F748" s="23"/>
      <c r="G748" s="35"/>
      <c r="H748" s="24"/>
      <c r="I748" s="11"/>
      <c r="J748" s="27" t="str">
        <f aca="false">IF(A748="","",YEAR(A748))</f>
        <v/>
      </c>
      <c r="K748" s="24"/>
      <c r="L748" s="11"/>
    </row>
    <row r="749" customFormat="false" ht="15" hidden="false" customHeight="false" outlineLevel="0" collapsed="false">
      <c r="A749" s="22"/>
      <c r="B749" s="11"/>
      <c r="C749" s="24"/>
      <c r="D749" s="31" t="str">
        <f aca="false">IF(C749="","",IF(LEN(UPPER(SUBSTITUTE(SUBSTITUTE(SUBSTITUTE(SUBSTITUTE(TRIM(C749),".",""),"/",""),"-","")," ","")))&lt;14,RIGHT(REPT("0",14)&amp;UPPER(SUBSTITUTE(SUBSTITUTE(SUBSTITUTE(SUBSTITUTE(TRIM(C749),".",""),"/",""),"-","")," ","")),14),UPPER(SUBSTITUTE(SUBSTITUTE(SUBSTITUTE(SUBSTITUTE(TRIM(C749),".",""),"/",""),"-","")," ",""))))</f>
        <v/>
      </c>
      <c r="E749" s="25" t="str">
        <f aca="false">IF(D749="","",IFERROR(INDEX(Empresas!$C:$C,MATCH(D749,Empresas!$B:$B,0)),"cadastre o CNPJ em Empresas"))</f>
        <v/>
      </c>
      <c r="F749" s="23"/>
      <c r="G749" s="35"/>
      <c r="H749" s="24"/>
      <c r="I749" s="11"/>
      <c r="J749" s="27" t="str">
        <f aca="false">IF(A749="","",YEAR(A749))</f>
        <v/>
      </c>
      <c r="K749" s="24"/>
      <c r="L749" s="11"/>
    </row>
    <row r="750" customFormat="false" ht="15" hidden="false" customHeight="false" outlineLevel="0" collapsed="false">
      <c r="A750" s="22"/>
      <c r="B750" s="11"/>
      <c r="C750" s="24"/>
      <c r="D750" s="31" t="str">
        <f aca="false">IF(C750="","",IF(LEN(UPPER(SUBSTITUTE(SUBSTITUTE(SUBSTITUTE(SUBSTITUTE(TRIM(C750),".",""),"/",""),"-","")," ","")))&lt;14,RIGHT(REPT("0",14)&amp;UPPER(SUBSTITUTE(SUBSTITUTE(SUBSTITUTE(SUBSTITUTE(TRIM(C750),".",""),"/",""),"-","")," ","")),14),UPPER(SUBSTITUTE(SUBSTITUTE(SUBSTITUTE(SUBSTITUTE(TRIM(C750),".",""),"/",""),"-","")," ",""))))</f>
        <v/>
      </c>
      <c r="E750" s="25" t="str">
        <f aca="false">IF(D750="","",IFERROR(INDEX(Empresas!$C:$C,MATCH(D750,Empresas!$B:$B,0)),"cadastre o CNPJ em Empresas"))</f>
        <v/>
      </c>
      <c r="F750" s="23"/>
      <c r="G750" s="35"/>
      <c r="H750" s="24"/>
      <c r="I750" s="11"/>
      <c r="J750" s="27" t="str">
        <f aca="false">IF(A750="","",YEAR(A750))</f>
        <v/>
      </c>
      <c r="K750" s="24"/>
      <c r="L750" s="11"/>
    </row>
    <row r="751" customFormat="false" ht="15" hidden="false" customHeight="false" outlineLevel="0" collapsed="false">
      <c r="A751" s="22"/>
      <c r="B751" s="11"/>
      <c r="C751" s="24"/>
      <c r="D751" s="31" t="str">
        <f aca="false">IF(C751="","",IF(LEN(UPPER(SUBSTITUTE(SUBSTITUTE(SUBSTITUTE(SUBSTITUTE(TRIM(C751),".",""),"/",""),"-","")," ","")))&lt;14,RIGHT(REPT("0",14)&amp;UPPER(SUBSTITUTE(SUBSTITUTE(SUBSTITUTE(SUBSTITUTE(TRIM(C751),".",""),"/",""),"-","")," ","")),14),UPPER(SUBSTITUTE(SUBSTITUTE(SUBSTITUTE(SUBSTITUTE(TRIM(C751),".",""),"/",""),"-","")," ",""))))</f>
        <v/>
      </c>
      <c r="E751" s="25" t="str">
        <f aca="false">IF(D751="","",IFERROR(INDEX(Empresas!$C:$C,MATCH(D751,Empresas!$B:$B,0)),"cadastre o CNPJ em Empresas"))</f>
        <v/>
      </c>
      <c r="F751" s="23"/>
      <c r="G751" s="35"/>
      <c r="H751" s="24"/>
      <c r="I751" s="11"/>
      <c r="J751" s="27" t="str">
        <f aca="false">IF(A751="","",YEAR(A751))</f>
        <v/>
      </c>
      <c r="K751" s="24"/>
      <c r="L751" s="11"/>
    </row>
    <row r="752" customFormat="false" ht="15" hidden="false" customHeight="false" outlineLevel="0" collapsed="false">
      <c r="A752" s="22"/>
      <c r="B752" s="11"/>
      <c r="C752" s="24"/>
      <c r="D752" s="31" t="str">
        <f aca="false">IF(C752="","",IF(LEN(UPPER(SUBSTITUTE(SUBSTITUTE(SUBSTITUTE(SUBSTITUTE(TRIM(C752),".",""),"/",""),"-","")," ","")))&lt;14,RIGHT(REPT("0",14)&amp;UPPER(SUBSTITUTE(SUBSTITUTE(SUBSTITUTE(SUBSTITUTE(TRIM(C752),".",""),"/",""),"-","")," ","")),14),UPPER(SUBSTITUTE(SUBSTITUTE(SUBSTITUTE(SUBSTITUTE(TRIM(C752),".",""),"/",""),"-","")," ",""))))</f>
        <v/>
      </c>
      <c r="E752" s="25" t="str">
        <f aca="false">IF(D752="","",IFERROR(INDEX(Empresas!$C:$C,MATCH(D752,Empresas!$B:$B,0)),"cadastre o CNPJ em Empresas"))</f>
        <v/>
      </c>
      <c r="F752" s="23"/>
      <c r="G752" s="35"/>
      <c r="H752" s="24"/>
      <c r="I752" s="11"/>
      <c r="J752" s="27" t="str">
        <f aca="false">IF(A752="","",YEAR(A752))</f>
        <v/>
      </c>
      <c r="K752" s="24"/>
      <c r="L752" s="11"/>
    </row>
    <row r="753" customFormat="false" ht="15" hidden="false" customHeight="false" outlineLevel="0" collapsed="false">
      <c r="A753" s="22"/>
      <c r="B753" s="11"/>
      <c r="C753" s="24"/>
      <c r="D753" s="31" t="str">
        <f aca="false">IF(C753="","",IF(LEN(UPPER(SUBSTITUTE(SUBSTITUTE(SUBSTITUTE(SUBSTITUTE(TRIM(C753),".",""),"/",""),"-","")," ","")))&lt;14,RIGHT(REPT("0",14)&amp;UPPER(SUBSTITUTE(SUBSTITUTE(SUBSTITUTE(SUBSTITUTE(TRIM(C753),".",""),"/",""),"-","")," ","")),14),UPPER(SUBSTITUTE(SUBSTITUTE(SUBSTITUTE(SUBSTITUTE(TRIM(C753),".",""),"/",""),"-","")," ",""))))</f>
        <v/>
      </c>
      <c r="E753" s="25" t="str">
        <f aca="false">IF(D753="","",IFERROR(INDEX(Empresas!$C:$C,MATCH(D753,Empresas!$B:$B,0)),"cadastre o CNPJ em Empresas"))</f>
        <v/>
      </c>
      <c r="F753" s="23"/>
      <c r="G753" s="35"/>
      <c r="H753" s="24"/>
      <c r="I753" s="11"/>
      <c r="J753" s="27" t="str">
        <f aca="false">IF(A753="","",YEAR(A753))</f>
        <v/>
      </c>
      <c r="K753" s="24"/>
      <c r="L753" s="11"/>
    </row>
    <row r="754" customFormat="false" ht="15" hidden="false" customHeight="false" outlineLevel="0" collapsed="false">
      <c r="A754" s="22"/>
      <c r="B754" s="11"/>
      <c r="C754" s="24"/>
      <c r="D754" s="31" t="str">
        <f aca="false">IF(C754="","",IF(LEN(UPPER(SUBSTITUTE(SUBSTITUTE(SUBSTITUTE(SUBSTITUTE(TRIM(C754),".",""),"/",""),"-","")," ","")))&lt;14,RIGHT(REPT("0",14)&amp;UPPER(SUBSTITUTE(SUBSTITUTE(SUBSTITUTE(SUBSTITUTE(TRIM(C754),".",""),"/",""),"-","")," ","")),14),UPPER(SUBSTITUTE(SUBSTITUTE(SUBSTITUTE(SUBSTITUTE(TRIM(C754),".",""),"/",""),"-","")," ",""))))</f>
        <v/>
      </c>
      <c r="E754" s="25" t="str">
        <f aca="false">IF(D754="","",IFERROR(INDEX(Empresas!$C:$C,MATCH(D754,Empresas!$B:$B,0)),"cadastre o CNPJ em Empresas"))</f>
        <v/>
      </c>
      <c r="F754" s="23"/>
      <c r="G754" s="35"/>
      <c r="H754" s="24"/>
      <c r="I754" s="11"/>
      <c r="J754" s="27" t="str">
        <f aca="false">IF(A754="","",YEAR(A754))</f>
        <v/>
      </c>
      <c r="K754" s="24"/>
      <c r="L754" s="11"/>
    </row>
    <row r="755" customFormat="false" ht="15" hidden="false" customHeight="false" outlineLevel="0" collapsed="false">
      <c r="A755" s="22"/>
      <c r="B755" s="11"/>
      <c r="C755" s="24"/>
      <c r="D755" s="31" t="str">
        <f aca="false">IF(C755="","",IF(LEN(UPPER(SUBSTITUTE(SUBSTITUTE(SUBSTITUTE(SUBSTITUTE(TRIM(C755),".",""),"/",""),"-","")," ","")))&lt;14,RIGHT(REPT("0",14)&amp;UPPER(SUBSTITUTE(SUBSTITUTE(SUBSTITUTE(SUBSTITUTE(TRIM(C755),".",""),"/",""),"-","")," ","")),14),UPPER(SUBSTITUTE(SUBSTITUTE(SUBSTITUTE(SUBSTITUTE(TRIM(C755),".",""),"/",""),"-","")," ",""))))</f>
        <v/>
      </c>
      <c r="E755" s="25" t="str">
        <f aca="false">IF(D755="","",IFERROR(INDEX(Empresas!$C:$C,MATCH(D755,Empresas!$B:$B,0)),"cadastre o CNPJ em Empresas"))</f>
        <v/>
      </c>
      <c r="F755" s="23"/>
      <c r="G755" s="35"/>
      <c r="H755" s="24"/>
      <c r="I755" s="11"/>
      <c r="J755" s="27" t="str">
        <f aca="false">IF(A755="","",YEAR(A755))</f>
        <v/>
      </c>
      <c r="K755" s="24"/>
      <c r="L755" s="11"/>
    </row>
    <row r="756" customFormat="false" ht="15" hidden="false" customHeight="false" outlineLevel="0" collapsed="false">
      <c r="A756" s="22"/>
      <c r="B756" s="11"/>
      <c r="C756" s="24"/>
      <c r="D756" s="31" t="str">
        <f aca="false">IF(C756="","",IF(LEN(UPPER(SUBSTITUTE(SUBSTITUTE(SUBSTITUTE(SUBSTITUTE(TRIM(C756),".",""),"/",""),"-","")," ","")))&lt;14,RIGHT(REPT("0",14)&amp;UPPER(SUBSTITUTE(SUBSTITUTE(SUBSTITUTE(SUBSTITUTE(TRIM(C756),".",""),"/",""),"-","")," ","")),14),UPPER(SUBSTITUTE(SUBSTITUTE(SUBSTITUTE(SUBSTITUTE(TRIM(C756),".",""),"/",""),"-","")," ",""))))</f>
        <v/>
      </c>
      <c r="E756" s="25" t="str">
        <f aca="false">IF(D756="","",IFERROR(INDEX(Empresas!$C:$C,MATCH(D756,Empresas!$B:$B,0)),"cadastre o CNPJ em Empresas"))</f>
        <v/>
      </c>
      <c r="F756" s="23"/>
      <c r="G756" s="35"/>
      <c r="H756" s="24"/>
      <c r="I756" s="11"/>
      <c r="J756" s="27" t="str">
        <f aca="false">IF(A756="","",YEAR(A756))</f>
        <v/>
      </c>
      <c r="K756" s="24"/>
      <c r="L756" s="11"/>
    </row>
    <row r="757" customFormat="false" ht="15" hidden="false" customHeight="false" outlineLevel="0" collapsed="false">
      <c r="A757" s="22"/>
      <c r="B757" s="11"/>
      <c r="C757" s="24"/>
      <c r="D757" s="31" t="str">
        <f aca="false">IF(C757="","",IF(LEN(UPPER(SUBSTITUTE(SUBSTITUTE(SUBSTITUTE(SUBSTITUTE(TRIM(C757),".",""),"/",""),"-","")," ","")))&lt;14,RIGHT(REPT("0",14)&amp;UPPER(SUBSTITUTE(SUBSTITUTE(SUBSTITUTE(SUBSTITUTE(TRIM(C757),".",""),"/",""),"-","")," ","")),14),UPPER(SUBSTITUTE(SUBSTITUTE(SUBSTITUTE(SUBSTITUTE(TRIM(C757),".",""),"/",""),"-","")," ",""))))</f>
        <v/>
      </c>
      <c r="E757" s="25" t="str">
        <f aca="false">IF(D757="","",IFERROR(INDEX(Empresas!$C:$C,MATCH(D757,Empresas!$B:$B,0)),"cadastre o CNPJ em Empresas"))</f>
        <v/>
      </c>
      <c r="F757" s="23"/>
      <c r="G757" s="35"/>
      <c r="H757" s="24"/>
      <c r="I757" s="11"/>
      <c r="J757" s="27" t="str">
        <f aca="false">IF(A757="","",YEAR(A757))</f>
        <v/>
      </c>
      <c r="K757" s="24"/>
      <c r="L757" s="11"/>
    </row>
    <row r="758" customFormat="false" ht="15" hidden="false" customHeight="false" outlineLevel="0" collapsed="false">
      <c r="A758" s="22"/>
      <c r="B758" s="11"/>
      <c r="C758" s="24"/>
      <c r="D758" s="31" t="str">
        <f aca="false">IF(C758="","",IF(LEN(UPPER(SUBSTITUTE(SUBSTITUTE(SUBSTITUTE(SUBSTITUTE(TRIM(C758),".",""),"/",""),"-","")," ","")))&lt;14,RIGHT(REPT("0",14)&amp;UPPER(SUBSTITUTE(SUBSTITUTE(SUBSTITUTE(SUBSTITUTE(TRIM(C758),".",""),"/",""),"-","")," ","")),14),UPPER(SUBSTITUTE(SUBSTITUTE(SUBSTITUTE(SUBSTITUTE(TRIM(C758),".",""),"/",""),"-","")," ",""))))</f>
        <v/>
      </c>
      <c r="E758" s="25" t="str">
        <f aca="false">IF(D758="","",IFERROR(INDEX(Empresas!$C:$C,MATCH(D758,Empresas!$B:$B,0)),"cadastre o CNPJ em Empresas"))</f>
        <v/>
      </c>
      <c r="F758" s="23"/>
      <c r="G758" s="35"/>
      <c r="H758" s="24"/>
      <c r="I758" s="11"/>
      <c r="J758" s="27" t="str">
        <f aca="false">IF(A758="","",YEAR(A758))</f>
        <v/>
      </c>
      <c r="K758" s="24"/>
      <c r="L758" s="11"/>
    </row>
    <row r="759" customFormat="false" ht="15" hidden="false" customHeight="false" outlineLevel="0" collapsed="false">
      <c r="A759" s="22"/>
      <c r="B759" s="11"/>
      <c r="C759" s="24"/>
      <c r="D759" s="31" t="str">
        <f aca="false">IF(C759="","",IF(LEN(UPPER(SUBSTITUTE(SUBSTITUTE(SUBSTITUTE(SUBSTITUTE(TRIM(C759),".",""),"/",""),"-","")," ","")))&lt;14,RIGHT(REPT("0",14)&amp;UPPER(SUBSTITUTE(SUBSTITUTE(SUBSTITUTE(SUBSTITUTE(TRIM(C759),".",""),"/",""),"-","")," ","")),14),UPPER(SUBSTITUTE(SUBSTITUTE(SUBSTITUTE(SUBSTITUTE(TRIM(C759),".",""),"/",""),"-","")," ",""))))</f>
        <v/>
      </c>
      <c r="E759" s="25" t="str">
        <f aca="false">IF(D759="","",IFERROR(INDEX(Empresas!$C:$C,MATCH(D759,Empresas!$B:$B,0)),"cadastre o CNPJ em Empresas"))</f>
        <v/>
      </c>
      <c r="F759" s="23"/>
      <c r="G759" s="35"/>
      <c r="H759" s="24"/>
      <c r="I759" s="11"/>
      <c r="J759" s="27" t="str">
        <f aca="false">IF(A759="","",YEAR(A759))</f>
        <v/>
      </c>
      <c r="K759" s="24"/>
      <c r="L759" s="11"/>
    </row>
    <row r="760" customFormat="false" ht="15" hidden="false" customHeight="false" outlineLevel="0" collapsed="false">
      <c r="A760" s="22"/>
      <c r="B760" s="11"/>
      <c r="C760" s="24"/>
      <c r="D760" s="31" t="str">
        <f aca="false">IF(C760="","",IF(LEN(UPPER(SUBSTITUTE(SUBSTITUTE(SUBSTITUTE(SUBSTITUTE(TRIM(C760),".",""),"/",""),"-","")," ","")))&lt;14,RIGHT(REPT("0",14)&amp;UPPER(SUBSTITUTE(SUBSTITUTE(SUBSTITUTE(SUBSTITUTE(TRIM(C760),".",""),"/",""),"-","")," ","")),14),UPPER(SUBSTITUTE(SUBSTITUTE(SUBSTITUTE(SUBSTITUTE(TRIM(C760),".",""),"/",""),"-","")," ",""))))</f>
        <v/>
      </c>
      <c r="E760" s="25" t="str">
        <f aca="false">IF(D760="","",IFERROR(INDEX(Empresas!$C:$C,MATCH(D760,Empresas!$B:$B,0)),"cadastre o CNPJ em Empresas"))</f>
        <v/>
      </c>
      <c r="F760" s="23"/>
      <c r="G760" s="35"/>
      <c r="H760" s="24"/>
      <c r="I760" s="11"/>
      <c r="J760" s="27" t="str">
        <f aca="false">IF(A760="","",YEAR(A760))</f>
        <v/>
      </c>
      <c r="K760" s="24"/>
      <c r="L760" s="11"/>
    </row>
    <row r="761" customFormat="false" ht="15" hidden="false" customHeight="false" outlineLevel="0" collapsed="false">
      <c r="A761" s="22"/>
      <c r="B761" s="11"/>
      <c r="C761" s="24"/>
      <c r="D761" s="31" t="str">
        <f aca="false">IF(C761="","",IF(LEN(UPPER(SUBSTITUTE(SUBSTITUTE(SUBSTITUTE(SUBSTITUTE(TRIM(C761),".",""),"/",""),"-","")," ","")))&lt;14,RIGHT(REPT("0",14)&amp;UPPER(SUBSTITUTE(SUBSTITUTE(SUBSTITUTE(SUBSTITUTE(TRIM(C761),".",""),"/",""),"-","")," ","")),14),UPPER(SUBSTITUTE(SUBSTITUTE(SUBSTITUTE(SUBSTITUTE(TRIM(C761),".",""),"/",""),"-","")," ",""))))</f>
        <v/>
      </c>
      <c r="E761" s="25" t="str">
        <f aca="false">IF(D761="","",IFERROR(INDEX(Empresas!$C:$C,MATCH(D761,Empresas!$B:$B,0)),"cadastre o CNPJ em Empresas"))</f>
        <v/>
      </c>
      <c r="F761" s="23"/>
      <c r="G761" s="35"/>
      <c r="H761" s="24"/>
      <c r="I761" s="11"/>
      <c r="J761" s="27" t="str">
        <f aca="false">IF(A761="","",YEAR(A761))</f>
        <v/>
      </c>
      <c r="K761" s="24"/>
      <c r="L761" s="11"/>
    </row>
    <row r="762" customFormat="false" ht="15" hidden="false" customHeight="false" outlineLevel="0" collapsed="false">
      <c r="A762" s="22"/>
      <c r="B762" s="11"/>
      <c r="C762" s="24"/>
      <c r="D762" s="31" t="str">
        <f aca="false">IF(C762="","",IF(LEN(UPPER(SUBSTITUTE(SUBSTITUTE(SUBSTITUTE(SUBSTITUTE(TRIM(C762),".",""),"/",""),"-","")," ","")))&lt;14,RIGHT(REPT("0",14)&amp;UPPER(SUBSTITUTE(SUBSTITUTE(SUBSTITUTE(SUBSTITUTE(TRIM(C762),".",""),"/",""),"-","")," ","")),14),UPPER(SUBSTITUTE(SUBSTITUTE(SUBSTITUTE(SUBSTITUTE(TRIM(C762),".",""),"/",""),"-","")," ",""))))</f>
        <v/>
      </c>
      <c r="E762" s="25" t="str">
        <f aca="false">IF(D762="","",IFERROR(INDEX(Empresas!$C:$C,MATCH(D762,Empresas!$B:$B,0)),"cadastre o CNPJ em Empresas"))</f>
        <v/>
      </c>
      <c r="F762" s="23"/>
      <c r="G762" s="35"/>
      <c r="H762" s="24"/>
      <c r="I762" s="11"/>
      <c r="J762" s="27" t="str">
        <f aca="false">IF(A762="","",YEAR(A762))</f>
        <v/>
      </c>
      <c r="K762" s="24"/>
      <c r="L762" s="11"/>
    </row>
    <row r="763" customFormat="false" ht="15" hidden="false" customHeight="false" outlineLevel="0" collapsed="false">
      <c r="A763" s="22"/>
      <c r="B763" s="11"/>
      <c r="C763" s="24"/>
      <c r="D763" s="31" t="str">
        <f aca="false">IF(C763="","",IF(LEN(UPPER(SUBSTITUTE(SUBSTITUTE(SUBSTITUTE(SUBSTITUTE(TRIM(C763),".",""),"/",""),"-","")," ","")))&lt;14,RIGHT(REPT("0",14)&amp;UPPER(SUBSTITUTE(SUBSTITUTE(SUBSTITUTE(SUBSTITUTE(TRIM(C763),".",""),"/",""),"-","")," ","")),14),UPPER(SUBSTITUTE(SUBSTITUTE(SUBSTITUTE(SUBSTITUTE(TRIM(C763),".",""),"/",""),"-","")," ",""))))</f>
        <v/>
      </c>
      <c r="E763" s="25" t="str">
        <f aca="false">IF(D763="","",IFERROR(INDEX(Empresas!$C:$C,MATCH(D763,Empresas!$B:$B,0)),"cadastre o CNPJ em Empresas"))</f>
        <v/>
      </c>
      <c r="F763" s="23"/>
      <c r="G763" s="35"/>
      <c r="H763" s="24"/>
      <c r="I763" s="11"/>
      <c r="J763" s="27" t="str">
        <f aca="false">IF(A763="","",YEAR(A763))</f>
        <v/>
      </c>
      <c r="K763" s="24"/>
      <c r="L763" s="11"/>
    </row>
    <row r="764" customFormat="false" ht="15" hidden="false" customHeight="false" outlineLevel="0" collapsed="false">
      <c r="A764" s="22"/>
      <c r="B764" s="11"/>
      <c r="C764" s="24"/>
      <c r="D764" s="31" t="str">
        <f aca="false">IF(C764="","",IF(LEN(UPPER(SUBSTITUTE(SUBSTITUTE(SUBSTITUTE(SUBSTITUTE(TRIM(C764),".",""),"/",""),"-","")," ","")))&lt;14,RIGHT(REPT("0",14)&amp;UPPER(SUBSTITUTE(SUBSTITUTE(SUBSTITUTE(SUBSTITUTE(TRIM(C764),".",""),"/",""),"-","")," ","")),14),UPPER(SUBSTITUTE(SUBSTITUTE(SUBSTITUTE(SUBSTITUTE(TRIM(C764),".",""),"/",""),"-","")," ",""))))</f>
        <v/>
      </c>
      <c r="E764" s="25" t="str">
        <f aca="false">IF(D764="","",IFERROR(INDEX(Empresas!$C:$C,MATCH(D764,Empresas!$B:$B,0)),"cadastre o CNPJ em Empresas"))</f>
        <v/>
      </c>
      <c r="F764" s="23"/>
      <c r="G764" s="35"/>
      <c r="H764" s="24"/>
      <c r="I764" s="11"/>
      <c r="J764" s="27" t="str">
        <f aca="false">IF(A764="","",YEAR(A764))</f>
        <v/>
      </c>
      <c r="K764" s="24"/>
      <c r="L764" s="11"/>
    </row>
    <row r="765" customFormat="false" ht="15" hidden="false" customHeight="false" outlineLevel="0" collapsed="false">
      <c r="A765" s="22"/>
      <c r="B765" s="11"/>
      <c r="C765" s="24"/>
      <c r="D765" s="31" t="str">
        <f aca="false">IF(C765="","",IF(LEN(UPPER(SUBSTITUTE(SUBSTITUTE(SUBSTITUTE(SUBSTITUTE(TRIM(C765),".",""),"/",""),"-","")," ","")))&lt;14,RIGHT(REPT("0",14)&amp;UPPER(SUBSTITUTE(SUBSTITUTE(SUBSTITUTE(SUBSTITUTE(TRIM(C765),".",""),"/",""),"-","")," ","")),14),UPPER(SUBSTITUTE(SUBSTITUTE(SUBSTITUTE(SUBSTITUTE(TRIM(C765),".",""),"/",""),"-","")," ",""))))</f>
        <v/>
      </c>
      <c r="E765" s="25" t="str">
        <f aca="false">IF(D765="","",IFERROR(INDEX(Empresas!$C:$C,MATCH(D765,Empresas!$B:$B,0)),"cadastre o CNPJ em Empresas"))</f>
        <v/>
      </c>
      <c r="F765" s="23"/>
      <c r="G765" s="35"/>
      <c r="H765" s="24"/>
      <c r="I765" s="11"/>
      <c r="J765" s="27" t="str">
        <f aca="false">IF(A765="","",YEAR(A765))</f>
        <v/>
      </c>
      <c r="K765" s="24"/>
      <c r="L765" s="11"/>
    </row>
    <row r="766" customFormat="false" ht="15" hidden="false" customHeight="false" outlineLevel="0" collapsed="false">
      <c r="A766" s="22"/>
      <c r="B766" s="11"/>
      <c r="C766" s="24"/>
      <c r="D766" s="31" t="str">
        <f aca="false">IF(C766="","",IF(LEN(UPPER(SUBSTITUTE(SUBSTITUTE(SUBSTITUTE(SUBSTITUTE(TRIM(C766),".",""),"/",""),"-","")," ","")))&lt;14,RIGHT(REPT("0",14)&amp;UPPER(SUBSTITUTE(SUBSTITUTE(SUBSTITUTE(SUBSTITUTE(TRIM(C766),".",""),"/",""),"-","")," ","")),14),UPPER(SUBSTITUTE(SUBSTITUTE(SUBSTITUTE(SUBSTITUTE(TRIM(C766),".",""),"/",""),"-","")," ",""))))</f>
        <v/>
      </c>
      <c r="E766" s="25" t="str">
        <f aca="false">IF(D766="","",IFERROR(INDEX(Empresas!$C:$C,MATCH(D766,Empresas!$B:$B,0)),"cadastre o CNPJ em Empresas"))</f>
        <v/>
      </c>
      <c r="F766" s="23"/>
      <c r="G766" s="35"/>
      <c r="H766" s="24"/>
      <c r="I766" s="11"/>
      <c r="J766" s="27" t="str">
        <f aca="false">IF(A766="","",YEAR(A766))</f>
        <v/>
      </c>
      <c r="K766" s="24"/>
      <c r="L766" s="11"/>
    </row>
    <row r="767" customFormat="false" ht="15" hidden="false" customHeight="false" outlineLevel="0" collapsed="false">
      <c r="A767" s="22"/>
      <c r="B767" s="11"/>
      <c r="C767" s="24"/>
      <c r="D767" s="31" t="str">
        <f aca="false">IF(C767="","",IF(LEN(UPPER(SUBSTITUTE(SUBSTITUTE(SUBSTITUTE(SUBSTITUTE(TRIM(C767),".",""),"/",""),"-","")," ","")))&lt;14,RIGHT(REPT("0",14)&amp;UPPER(SUBSTITUTE(SUBSTITUTE(SUBSTITUTE(SUBSTITUTE(TRIM(C767),".",""),"/",""),"-","")," ","")),14),UPPER(SUBSTITUTE(SUBSTITUTE(SUBSTITUTE(SUBSTITUTE(TRIM(C767),".",""),"/",""),"-","")," ",""))))</f>
        <v/>
      </c>
      <c r="E767" s="25" t="str">
        <f aca="false">IF(D767="","",IFERROR(INDEX(Empresas!$C:$C,MATCH(D767,Empresas!$B:$B,0)),"cadastre o CNPJ em Empresas"))</f>
        <v/>
      </c>
      <c r="F767" s="23"/>
      <c r="G767" s="35"/>
      <c r="H767" s="24"/>
      <c r="I767" s="11"/>
      <c r="J767" s="27" t="str">
        <f aca="false">IF(A767="","",YEAR(A767))</f>
        <v/>
      </c>
      <c r="K767" s="24"/>
      <c r="L767" s="11"/>
    </row>
    <row r="768" customFormat="false" ht="15" hidden="false" customHeight="false" outlineLevel="0" collapsed="false">
      <c r="A768" s="22"/>
      <c r="B768" s="11"/>
      <c r="C768" s="24"/>
      <c r="D768" s="31" t="str">
        <f aca="false">IF(C768="","",IF(LEN(UPPER(SUBSTITUTE(SUBSTITUTE(SUBSTITUTE(SUBSTITUTE(TRIM(C768),".",""),"/",""),"-","")," ","")))&lt;14,RIGHT(REPT("0",14)&amp;UPPER(SUBSTITUTE(SUBSTITUTE(SUBSTITUTE(SUBSTITUTE(TRIM(C768),".",""),"/",""),"-","")," ","")),14),UPPER(SUBSTITUTE(SUBSTITUTE(SUBSTITUTE(SUBSTITUTE(TRIM(C768),".",""),"/",""),"-","")," ",""))))</f>
        <v/>
      </c>
      <c r="E768" s="25" t="str">
        <f aca="false">IF(D768="","",IFERROR(INDEX(Empresas!$C:$C,MATCH(D768,Empresas!$B:$B,0)),"cadastre o CNPJ em Empresas"))</f>
        <v/>
      </c>
      <c r="F768" s="23"/>
      <c r="G768" s="35"/>
      <c r="H768" s="24"/>
      <c r="I768" s="11"/>
      <c r="J768" s="27" t="str">
        <f aca="false">IF(A768="","",YEAR(A768))</f>
        <v/>
      </c>
      <c r="K768" s="24"/>
      <c r="L768" s="11"/>
    </row>
    <row r="769" customFormat="false" ht="15" hidden="false" customHeight="false" outlineLevel="0" collapsed="false">
      <c r="A769" s="22"/>
      <c r="B769" s="11"/>
      <c r="C769" s="24"/>
      <c r="D769" s="31" t="str">
        <f aca="false">IF(C769="","",IF(LEN(UPPER(SUBSTITUTE(SUBSTITUTE(SUBSTITUTE(SUBSTITUTE(TRIM(C769),".",""),"/",""),"-","")," ","")))&lt;14,RIGHT(REPT("0",14)&amp;UPPER(SUBSTITUTE(SUBSTITUTE(SUBSTITUTE(SUBSTITUTE(TRIM(C769),".",""),"/",""),"-","")," ","")),14),UPPER(SUBSTITUTE(SUBSTITUTE(SUBSTITUTE(SUBSTITUTE(TRIM(C769),".",""),"/",""),"-","")," ",""))))</f>
        <v/>
      </c>
      <c r="E769" s="25" t="str">
        <f aca="false">IF(D769="","",IFERROR(INDEX(Empresas!$C:$C,MATCH(D769,Empresas!$B:$B,0)),"cadastre o CNPJ em Empresas"))</f>
        <v/>
      </c>
      <c r="F769" s="23"/>
      <c r="G769" s="35"/>
      <c r="H769" s="24"/>
      <c r="I769" s="11"/>
      <c r="J769" s="27" t="str">
        <f aca="false">IF(A769="","",YEAR(A769))</f>
        <v/>
      </c>
      <c r="K769" s="24"/>
      <c r="L769" s="11"/>
    </row>
    <row r="770" customFormat="false" ht="15" hidden="false" customHeight="false" outlineLevel="0" collapsed="false">
      <c r="A770" s="22"/>
      <c r="B770" s="11"/>
      <c r="C770" s="24"/>
      <c r="D770" s="31" t="str">
        <f aca="false">IF(C770="","",IF(LEN(UPPER(SUBSTITUTE(SUBSTITUTE(SUBSTITUTE(SUBSTITUTE(TRIM(C770),".",""),"/",""),"-","")," ","")))&lt;14,RIGHT(REPT("0",14)&amp;UPPER(SUBSTITUTE(SUBSTITUTE(SUBSTITUTE(SUBSTITUTE(TRIM(C770),".",""),"/",""),"-","")," ","")),14),UPPER(SUBSTITUTE(SUBSTITUTE(SUBSTITUTE(SUBSTITUTE(TRIM(C770),".",""),"/",""),"-","")," ",""))))</f>
        <v/>
      </c>
      <c r="E770" s="25" t="str">
        <f aca="false">IF(D770="","",IFERROR(INDEX(Empresas!$C:$C,MATCH(D770,Empresas!$B:$B,0)),"cadastre o CNPJ em Empresas"))</f>
        <v/>
      </c>
      <c r="F770" s="23"/>
      <c r="G770" s="35"/>
      <c r="H770" s="24"/>
      <c r="I770" s="11"/>
      <c r="J770" s="27" t="str">
        <f aca="false">IF(A770="","",YEAR(A770))</f>
        <v/>
      </c>
      <c r="K770" s="24"/>
      <c r="L770" s="11"/>
    </row>
    <row r="771" customFormat="false" ht="15" hidden="false" customHeight="false" outlineLevel="0" collapsed="false">
      <c r="A771" s="22"/>
      <c r="B771" s="11"/>
      <c r="C771" s="24"/>
      <c r="D771" s="31" t="str">
        <f aca="false">IF(C771="","",IF(LEN(UPPER(SUBSTITUTE(SUBSTITUTE(SUBSTITUTE(SUBSTITUTE(TRIM(C771),".",""),"/",""),"-","")," ","")))&lt;14,RIGHT(REPT("0",14)&amp;UPPER(SUBSTITUTE(SUBSTITUTE(SUBSTITUTE(SUBSTITUTE(TRIM(C771),".",""),"/",""),"-","")," ","")),14),UPPER(SUBSTITUTE(SUBSTITUTE(SUBSTITUTE(SUBSTITUTE(TRIM(C771),".",""),"/",""),"-","")," ",""))))</f>
        <v/>
      </c>
      <c r="E771" s="25" t="str">
        <f aca="false">IF(D771="","",IFERROR(INDEX(Empresas!$C:$C,MATCH(D771,Empresas!$B:$B,0)),"cadastre o CNPJ em Empresas"))</f>
        <v/>
      </c>
      <c r="F771" s="23"/>
      <c r="G771" s="35"/>
      <c r="H771" s="24"/>
      <c r="I771" s="11"/>
      <c r="J771" s="27" t="str">
        <f aca="false">IF(A771="","",YEAR(A771))</f>
        <v/>
      </c>
      <c r="K771" s="24"/>
      <c r="L771" s="11"/>
    </row>
    <row r="772" customFormat="false" ht="15" hidden="false" customHeight="false" outlineLevel="0" collapsed="false">
      <c r="A772" s="22"/>
      <c r="B772" s="11"/>
      <c r="C772" s="24"/>
      <c r="D772" s="31" t="str">
        <f aca="false">IF(C772="","",IF(LEN(UPPER(SUBSTITUTE(SUBSTITUTE(SUBSTITUTE(SUBSTITUTE(TRIM(C772),".",""),"/",""),"-","")," ","")))&lt;14,RIGHT(REPT("0",14)&amp;UPPER(SUBSTITUTE(SUBSTITUTE(SUBSTITUTE(SUBSTITUTE(TRIM(C772),".",""),"/",""),"-","")," ","")),14),UPPER(SUBSTITUTE(SUBSTITUTE(SUBSTITUTE(SUBSTITUTE(TRIM(C772),".",""),"/",""),"-","")," ",""))))</f>
        <v/>
      </c>
      <c r="E772" s="25" t="str">
        <f aca="false">IF(D772="","",IFERROR(INDEX(Empresas!$C:$C,MATCH(D772,Empresas!$B:$B,0)),"cadastre o CNPJ em Empresas"))</f>
        <v/>
      </c>
      <c r="F772" s="23"/>
      <c r="G772" s="35"/>
      <c r="H772" s="24"/>
      <c r="I772" s="11"/>
      <c r="J772" s="27" t="str">
        <f aca="false">IF(A772="","",YEAR(A772))</f>
        <v/>
      </c>
      <c r="K772" s="24"/>
      <c r="L772" s="11"/>
    </row>
    <row r="773" customFormat="false" ht="15" hidden="false" customHeight="false" outlineLevel="0" collapsed="false">
      <c r="A773" s="22"/>
      <c r="B773" s="11"/>
      <c r="C773" s="24"/>
      <c r="D773" s="31" t="str">
        <f aca="false">IF(C773="","",IF(LEN(UPPER(SUBSTITUTE(SUBSTITUTE(SUBSTITUTE(SUBSTITUTE(TRIM(C773),".",""),"/",""),"-","")," ","")))&lt;14,RIGHT(REPT("0",14)&amp;UPPER(SUBSTITUTE(SUBSTITUTE(SUBSTITUTE(SUBSTITUTE(TRIM(C773),".",""),"/",""),"-","")," ","")),14),UPPER(SUBSTITUTE(SUBSTITUTE(SUBSTITUTE(SUBSTITUTE(TRIM(C773),".",""),"/",""),"-","")," ",""))))</f>
        <v/>
      </c>
      <c r="E773" s="25" t="str">
        <f aca="false">IF(D773="","",IFERROR(INDEX(Empresas!$C:$C,MATCH(D773,Empresas!$B:$B,0)),"cadastre o CNPJ em Empresas"))</f>
        <v/>
      </c>
      <c r="F773" s="23"/>
      <c r="G773" s="35"/>
      <c r="H773" s="24"/>
      <c r="I773" s="11"/>
      <c r="J773" s="27" t="str">
        <f aca="false">IF(A773="","",YEAR(A773))</f>
        <v/>
      </c>
      <c r="K773" s="24"/>
      <c r="L773" s="11"/>
    </row>
    <row r="774" customFormat="false" ht="15" hidden="false" customHeight="false" outlineLevel="0" collapsed="false">
      <c r="A774" s="22"/>
      <c r="B774" s="11"/>
      <c r="C774" s="24"/>
      <c r="D774" s="31" t="str">
        <f aca="false">IF(C774="","",IF(LEN(UPPER(SUBSTITUTE(SUBSTITUTE(SUBSTITUTE(SUBSTITUTE(TRIM(C774),".",""),"/",""),"-","")," ","")))&lt;14,RIGHT(REPT("0",14)&amp;UPPER(SUBSTITUTE(SUBSTITUTE(SUBSTITUTE(SUBSTITUTE(TRIM(C774),".",""),"/",""),"-","")," ","")),14),UPPER(SUBSTITUTE(SUBSTITUTE(SUBSTITUTE(SUBSTITUTE(TRIM(C774),".",""),"/",""),"-","")," ",""))))</f>
        <v/>
      </c>
      <c r="E774" s="25" t="str">
        <f aca="false">IF(D774="","",IFERROR(INDEX(Empresas!$C:$C,MATCH(D774,Empresas!$B:$B,0)),"cadastre o CNPJ em Empresas"))</f>
        <v/>
      </c>
      <c r="F774" s="23"/>
      <c r="G774" s="35"/>
      <c r="H774" s="24"/>
      <c r="I774" s="11"/>
      <c r="J774" s="27" t="str">
        <f aca="false">IF(A774="","",YEAR(A774))</f>
        <v/>
      </c>
      <c r="K774" s="24"/>
      <c r="L774" s="11"/>
    </row>
    <row r="775" customFormat="false" ht="15" hidden="false" customHeight="false" outlineLevel="0" collapsed="false">
      <c r="A775" s="22"/>
      <c r="B775" s="11"/>
      <c r="C775" s="24"/>
      <c r="D775" s="31" t="str">
        <f aca="false">IF(C775="","",IF(LEN(UPPER(SUBSTITUTE(SUBSTITUTE(SUBSTITUTE(SUBSTITUTE(TRIM(C775),".",""),"/",""),"-","")," ","")))&lt;14,RIGHT(REPT("0",14)&amp;UPPER(SUBSTITUTE(SUBSTITUTE(SUBSTITUTE(SUBSTITUTE(TRIM(C775),".",""),"/",""),"-","")," ","")),14),UPPER(SUBSTITUTE(SUBSTITUTE(SUBSTITUTE(SUBSTITUTE(TRIM(C775),".",""),"/",""),"-","")," ",""))))</f>
        <v/>
      </c>
      <c r="E775" s="25" t="str">
        <f aca="false">IF(D775="","",IFERROR(INDEX(Empresas!$C:$C,MATCH(D775,Empresas!$B:$B,0)),"cadastre o CNPJ em Empresas"))</f>
        <v/>
      </c>
      <c r="F775" s="23"/>
      <c r="G775" s="35"/>
      <c r="H775" s="24"/>
      <c r="I775" s="11"/>
      <c r="J775" s="27" t="str">
        <f aca="false">IF(A775="","",YEAR(A775))</f>
        <v/>
      </c>
      <c r="K775" s="24"/>
      <c r="L775" s="11"/>
    </row>
    <row r="776" customFormat="false" ht="15" hidden="false" customHeight="false" outlineLevel="0" collapsed="false">
      <c r="A776" s="22"/>
      <c r="B776" s="11"/>
      <c r="C776" s="24"/>
      <c r="D776" s="31" t="str">
        <f aca="false">IF(C776="","",IF(LEN(UPPER(SUBSTITUTE(SUBSTITUTE(SUBSTITUTE(SUBSTITUTE(TRIM(C776),".",""),"/",""),"-","")," ","")))&lt;14,RIGHT(REPT("0",14)&amp;UPPER(SUBSTITUTE(SUBSTITUTE(SUBSTITUTE(SUBSTITUTE(TRIM(C776),".",""),"/",""),"-","")," ","")),14),UPPER(SUBSTITUTE(SUBSTITUTE(SUBSTITUTE(SUBSTITUTE(TRIM(C776),".",""),"/",""),"-","")," ",""))))</f>
        <v/>
      </c>
      <c r="E776" s="25" t="str">
        <f aca="false">IF(D776="","",IFERROR(INDEX(Empresas!$C:$C,MATCH(D776,Empresas!$B:$B,0)),"cadastre o CNPJ em Empresas"))</f>
        <v/>
      </c>
      <c r="F776" s="23"/>
      <c r="G776" s="35"/>
      <c r="H776" s="24"/>
      <c r="I776" s="11"/>
      <c r="J776" s="27" t="str">
        <f aca="false">IF(A776="","",YEAR(A776))</f>
        <v/>
      </c>
      <c r="K776" s="24"/>
      <c r="L776" s="11"/>
    </row>
    <row r="777" customFormat="false" ht="15" hidden="false" customHeight="false" outlineLevel="0" collapsed="false">
      <c r="A777" s="22"/>
      <c r="B777" s="11"/>
      <c r="C777" s="24"/>
      <c r="D777" s="31" t="str">
        <f aca="false">IF(C777="","",IF(LEN(UPPER(SUBSTITUTE(SUBSTITUTE(SUBSTITUTE(SUBSTITUTE(TRIM(C777),".",""),"/",""),"-","")," ","")))&lt;14,RIGHT(REPT("0",14)&amp;UPPER(SUBSTITUTE(SUBSTITUTE(SUBSTITUTE(SUBSTITUTE(TRIM(C777),".",""),"/",""),"-","")," ","")),14),UPPER(SUBSTITUTE(SUBSTITUTE(SUBSTITUTE(SUBSTITUTE(TRIM(C777),".",""),"/",""),"-","")," ",""))))</f>
        <v/>
      </c>
      <c r="E777" s="25" t="str">
        <f aca="false">IF(D777="","",IFERROR(INDEX(Empresas!$C:$C,MATCH(D777,Empresas!$B:$B,0)),"cadastre o CNPJ em Empresas"))</f>
        <v/>
      </c>
      <c r="F777" s="23"/>
      <c r="G777" s="35"/>
      <c r="H777" s="24"/>
      <c r="I777" s="11"/>
      <c r="J777" s="27" t="str">
        <f aca="false">IF(A777="","",YEAR(A777))</f>
        <v/>
      </c>
      <c r="K777" s="24"/>
      <c r="L777" s="11"/>
    </row>
    <row r="778" customFormat="false" ht="15" hidden="false" customHeight="false" outlineLevel="0" collapsed="false">
      <c r="A778" s="22"/>
      <c r="B778" s="11"/>
      <c r="C778" s="24"/>
      <c r="D778" s="31" t="str">
        <f aca="false">IF(C778="","",IF(LEN(UPPER(SUBSTITUTE(SUBSTITUTE(SUBSTITUTE(SUBSTITUTE(TRIM(C778),".",""),"/",""),"-","")," ","")))&lt;14,RIGHT(REPT("0",14)&amp;UPPER(SUBSTITUTE(SUBSTITUTE(SUBSTITUTE(SUBSTITUTE(TRIM(C778),".",""),"/",""),"-","")," ","")),14),UPPER(SUBSTITUTE(SUBSTITUTE(SUBSTITUTE(SUBSTITUTE(TRIM(C778),".",""),"/",""),"-","")," ",""))))</f>
        <v/>
      </c>
      <c r="E778" s="25" t="str">
        <f aca="false">IF(D778="","",IFERROR(INDEX(Empresas!$C:$C,MATCH(D778,Empresas!$B:$B,0)),"cadastre o CNPJ em Empresas"))</f>
        <v/>
      </c>
      <c r="F778" s="23"/>
      <c r="G778" s="35"/>
      <c r="H778" s="24"/>
      <c r="I778" s="11"/>
      <c r="J778" s="27" t="str">
        <f aca="false">IF(A778="","",YEAR(A778))</f>
        <v/>
      </c>
      <c r="K778" s="24"/>
      <c r="L778" s="11"/>
    </row>
    <row r="779" customFormat="false" ht="15" hidden="false" customHeight="false" outlineLevel="0" collapsed="false">
      <c r="A779" s="22"/>
      <c r="B779" s="11"/>
      <c r="C779" s="24"/>
      <c r="D779" s="31" t="str">
        <f aca="false">IF(C779="","",IF(LEN(UPPER(SUBSTITUTE(SUBSTITUTE(SUBSTITUTE(SUBSTITUTE(TRIM(C779),".",""),"/",""),"-","")," ","")))&lt;14,RIGHT(REPT("0",14)&amp;UPPER(SUBSTITUTE(SUBSTITUTE(SUBSTITUTE(SUBSTITUTE(TRIM(C779),".",""),"/",""),"-","")," ","")),14),UPPER(SUBSTITUTE(SUBSTITUTE(SUBSTITUTE(SUBSTITUTE(TRIM(C779),".",""),"/",""),"-","")," ",""))))</f>
        <v/>
      </c>
      <c r="E779" s="25" t="str">
        <f aca="false">IF(D779="","",IFERROR(INDEX(Empresas!$C:$C,MATCH(D779,Empresas!$B:$B,0)),"cadastre o CNPJ em Empresas"))</f>
        <v/>
      </c>
      <c r="F779" s="23"/>
      <c r="G779" s="35"/>
      <c r="H779" s="24"/>
      <c r="I779" s="11"/>
      <c r="J779" s="27" t="str">
        <f aca="false">IF(A779="","",YEAR(A779))</f>
        <v/>
      </c>
      <c r="K779" s="24"/>
      <c r="L779" s="11"/>
    </row>
    <row r="780" customFormat="false" ht="15" hidden="false" customHeight="false" outlineLevel="0" collapsed="false">
      <c r="A780" s="22"/>
      <c r="B780" s="11"/>
      <c r="C780" s="24"/>
      <c r="D780" s="31" t="str">
        <f aca="false">IF(C780="","",IF(LEN(UPPER(SUBSTITUTE(SUBSTITUTE(SUBSTITUTE(SUBSTITUTE(TRIM(C780),".",""),"/",""),"-","")," ","")))&lt;14,RIGHT(REPT("0",14)&amp;UPPER(SUBSTITUTE(SUBSTITUTE(SUBSTITUTE(SUBSTITUTE(TRIM(C780),".",""),"/",""),"-","")," ","")),14),UPPER(SUBSTITUTE(SUBSTITUTE(SUBSTITUTE(SUBSTITUTE(TRIM(C780),".",""),"/",""),"-","")," ",""))))</f>
        <v/>
      </c>
      <c r="E780" s="25" t="str">
        <f aca="false">IF(D780="","",IFERROR(INDEX(Empresas!$C:$C,MATCH(D780,Empresas!$B:$B,0)),"cadastre o CNPJ em Empresas"))</f>
        <v/>
      </c>
      <c r="F780" s="23"/>
      <c r="G780" s="35"/>
      <c r="H780" s="24"/>
      <c r="I780" s="11"/>
      <c r="J780" s="27" t="str">
        <f aca="false">IF(A780="","",YEAR(A780))</f>
        <v/>
      </c>
      <c r="K780" s="24"/>
      <c r="L780" s="11"/>
    </row>
    <row r="781" customFormat="false" ht="15" hidden="false" customHeight="false" outlineLevel="0" collapsed="false">
      <c r="A781" s="22"/>
      <c r="B781" s="11"/>
      <c r="C781" s="24"/>
      <c r="D781" s="31" t="str">
        <f aca="false">IF(C781="","",IF(LEN(UPPER(SUBSTITUTE(SUBSTITUTE(SUBSTITUTE(SUBSTITUTE(TRIM(C781),".",""),"/",""),"-","")," ","")))&lt;14,RIGHT(REPT("0",14)&amp;UPPER(SUBSTITUTE(SUBSTITUTE(SUBSTITUTE(SUBSTITUTE(TRIM(C781),".",""),"/",""),"-","")," ","")),14),UPPER(SUBSTITUTE(SUBSTITUTE(SUBSTITUTE(SUBSTITUTE(TRIM(C781),".",""),"/",""),"-","")," ",""))))</f>
        <v/>
      </c>
      <c r="E781" s="25" t="str">
        <f aca="false">IF(D781="","",IFERROR(INDEX(Empresas!$C:$C,MATCH(D781,Empresas!$B:$B,0)),"cadastre o CNPJ em Empresas"))</f>
        <v/>
      </c>
      <c r="F781" s="23"/>
      <c r="G781" s="35"/>
      <c r="H781" s="24"/>
      <c r="I781" s="11"/>
      <c r="J781" s="27" t="str">
        <f aca="false">IF(A781="","",YEAR(A781))</f>
        <v/>
      </c>
      <c r="K781" s="24"/>
      <c r="L781" s="11"/>
    </row>
    <row r="782" customFormat="false" ht="15" hidden="false" customHeight="false" outlineLevel="0" collapsed="false">
      <c r="A782" s="22"/>
      <c r="B782" s="11"/>
      <c r="C782" s="24"/>
      <c r="D782" s="31" t="str">
        <f aca="false">IF(C782="","",IF(LEN(UPPER(SUBSTITUTE(SUBSTITUTE(SUBSTITUTE(SUBSTITUTE(TRIM(C782),".",""),"/",""),"-","")," ","")))&lt;14,RIGHT(REPT("0",14)&amp;UPPER(SUBSTITUTE(SUBSTITUTE(SUBSTITUTE(SUBSTITUTE(TRIM(C782),".",""),"/",""),"-","")," ","")),14),UPPER(SUBSTITUTE(SUBSTITUTE(SUBSTITUTE(SUBSTITUTE(TRIM(C782),".",""),"/",""),"-","")," ",""))))</f>
        <v/>
      </c>
      <c r="E782" s="25" t="str">
        <f aca="false">IF(D782="","",IFERROR(INDEX(Empresas!$C:$C,MATCH(D782,Empresas!$B:$B,0)),"cadastre o CNPJ em Empresas"))</f>
        <v/>
      </c>
      <c r="F782" s="23"/>
      <c r="G782" s="35"/>
      <c r="H782" s="24"/>
      <c r="I782" s="11"/>
      <c r="J782" s="27" t="str">
        <f aca="false">IF(A782="","",YEAR(A782))</f>
        <v/>
      </c>
      <c r="K782" s="24"/>
      <c r="L782" s="11"/>
    </row>
    <row r="783" customFormat="false" ht="15" hidden="false" customHeight="false" outlineLevel="0" collapsed="false">
      <c r="A783" s="22"/>
      <c r="B783" s="11"/>
      <c r="C783" s="24"/>
      <c r="D783" s="31" t="str">
        <f aca="false">IF(C783="","",IF(LEN(UPPER(SUBSTITUTE(SUBSTITUTE(SUBSTITUTE(SUBSTITUTE(TRIM(C783),".",""),"/",""),"-","")," ","")))&lt;14,RIGHT(REPT("0",14)&amp;UPPER(SUBSTITUTE(SUBSTITUTE(SUBSTITUTE(SUBSTITUTE(TRIM(C783),".",""),"/",""),"-","")," ","")),14),UPPER(SUBSTITUTE(SUBSTITUTE(SUBSTITUTE(SUBSTITUTE(TRIM(C783),".",""),"/",""),"-","")," ",""))))</f>
        <v/>
      </c>
      <c r="E783" s="25" t="str">
        <f aca="false">IF(D783="","",IFERROR(INDEX(Empresas!$C:$C,MATCH(D783,Empresas!$B:$B,0)),"cadastre o CNPJ em Empresas"))</f>
        <v/>
      </c>
      <c r="F783" s="23"/>
      <c r="G783" s="35"/>
      <c r="H783" s="24"/>
      <c r="I783" s="11"/>
      <c r="J783" s="27" t="str">
        <f aca="false">IF(A783="","",YEAR(A783))</f>
        <v/>
      </c>
      <c r="K783" s="24"/>
      <c r="L783" s="11"/>
    </row>
    <row r="784" customFormat="false" ht="15" hidden="false" customHeight="false" outlineLevel="0" collapsed="false">
      <c r="A784" s="22"/>
      <c r="B784" s="11"/>
      <c r="C784" s="24"/>
      <c r="D784" s="31" t="str">
        <f aca="false">IF(C784="","",IF(LEN(UPPER(SUBSTITUTE(SUBSTITUTE(SUBSTITUTE(SUBSTITUTE(TRIM(C784),".",""),"/",""),"-","")," ","")))&lt;14,RIGHT(REPT("0",14)&amp;UPPER(SUBSTITUTE(SUBSTITUTE(SUBSTITUTE(SUBSTITUTE(TRIM(C784),".",""),"/",""),"-","")," ","")),14),UPPER(SUBSTITUTE(SUBSTITUTE(SUBSTITUTE(SUBSTITUTE(TRIM(C784),".",""),"/",""),"-","")," ",""))))</f>
        <v/>
      </c>
      <c r="E784" s="25" t="str">
        <f aca="false">IF(D784="","",IFERROR(INDEX(Empresas!$C:$C,MATCH(D784,Empresas!$B:$B,0)),"cadastre o CNPJ em Empresas"))</f>
        <v/>
      </c>
      <c r="F784" s="23"/>
      <c r="G784" s="35"/>
      <c r="H784" s="24"/>
      <c r="I784" s="11"/>
      <c r="J784" s="27" t="str">
        <f aca="false">IF(A784="","",YEAR(A784))</f>
        <v/>
      </c>
      <c r="K784" s="24"/>
      <c r="L784" s="11"/>
    </row>
    <row r="785" customFormat="false" ht="15" hidden="false" customHeight="false" outlineLevel="0" collapsed="false">
      <c r="A785" s="22"/>
      <c r="B785" s="11"/>
      <c r="C785" s="24"/>
      <c r="D785" s="31" t="str">
        <f aca="false">IF(C785="","",IF(LEN(UPPER(SUBSTITUTE(SUBSTITUTE(SUBSTITUTE(SUBSTITUTE(TRIM(C785),".",""),"/",""),"-","")," ","")))&lt;14,RIGHT(REPT("0",14)&amp;UPPER(SUBSTITUTE(SUBSTITUTE(SUBSTITUTE(SUBSTITUTE(TRIM(C785),".",""),"/",""),"-","")," ","")),14),UPPER(SUBSTITUTE(SUBSTITUTE(SUBSTITUTE(SUBSTITUTE(TRIM(C785),".",""),"/",""),"-","")," ",""))))</f>
        <v/>
      </c>
      <c r="E785" s="25" t="str">
        <f aca="false">IF(D785="","",IFERROR(INDEX(Empresas!$C:$C,MATCH(D785,Empresas!$B:$B,0)),"cadastre o CNPJ em Empresas"))</f>
        <v/>
      </c>
      <c r="F785" s="23"/>
      <c r="G785" s="35"/>
      <c r="H785" s="24"/>
      <c r="I785" s="11"/>
      <c r="J785" s="27" t="str">
        <f aca="false">IF(A785="","",YEAR(A785))</f>
        <v/>
      </c>
      <c r="K785" s="24"/>
      <c r="L785" s="11"/>
    </row>
    <row r="786" customFormat="false" ht="15" hidden="false" customHeight="false" outlineLevel="0" collapsed="false">
      <c r="A786" s="22"/>
      <c r="B786" s="11"/>
      <c r="C786" s="24"/>
      <c r="D786" s="31" t="str">
        <f aca="false">IF(C786="","",IF(LEN(UPPER(SUBSTITUTE(SUBSTITUTE(SUBSTITUTE(SUBSTITUTE(TRIM(C786),".",""),"/",""),"-","")," ","")))&lt;14,RIGHT(REPT("0",14)&amp;UPPER(SUBSTITUTE(SUBSTITUTE(SUBSTITUTE(SUBSTITUTE(TRIM(C786),".",""),"/",""),"-","")," ","")),14),UPPER(SUBSTITUTE(SUBSTITUTE(SUBSTITUTE(SUBSTITUTE(TRIM(C786),".",""),"/",""),"-","")," ",""))))</f>
        <v/>
      </c>
      <c r="E786" s="25" t="str">
        <f aca="false">IF(D786="","",IFERROR(INDEX(Empresas!$C:$C,MATCH(D786,Empresas!$B:$B,0)),"cadastre o CNPJ em Empresas"))</f>
        <v/>
      </c>
      <c r="F786" s="23"/>
      <c r="G786" s="35"/>
      <c r="H786" s="24"/>
      <c r="I786" s="11"/>
      <c r="J786" s="27" t="str">
        <f aca="false">IF(A786="","",YEAR(A786))</f>
        <v/>
      </c>
      <c r="K786" s="24"/>
      <c r="L786" s="11"/>
    </row>
    <row r="787" customFormat="false" ht="15" hidden="false" customHeight="false" outlineLevel="0" collapsed="false">
      <c r="A787" s="22"/>
      <c r="B787" s="11"/>
      <c r="C787" s="24"/>
      <c r="D787" s="31" t="str">
        <f aca="false">IF(C787="","",IF(LEN(UPPER(SUBSTITUTE(SUBSTITUTE(SUBSTITUTE(SUBSTITUTE(TRIM(C787),".",""),"/",""),"-","")," ","")))&lt;14,RIGHT(REPT("0",14)&amp;UPPER(SUBSTITUTE(SUBSTITUTE(SUBSTITUTE(SUBSTITUTE(TRIM(C787),".",""),"/",""),"-","")," ","")),14),UPPER(SUBSTITUTE(SUBSTITUTE(SUBSTITUTE(SUBSTITUTE(TRIM(C787),".",""),"/",""),"-","")," ",""))))</f>
        <v/>
      </c>
      <c r="E787" s="25" t="str">
        <f aca="false">IF(D787="","",IFERROR(INDEX(Empresas!$C:$C,MATCH(D787,Empresas!$B:$B,0)),"cadastre o CNPJ em Empresas"))</f>
        <v/>
      </c>
      <c r="F787" s="23"/>
      <c r="G787" s="35"/>
      <c r="H787" s="24"/>
      <c r="I787" s="11"/>
      <c r="J787" s="27" t="str">
        <f aca="false">IF(A787="","",YEAR(A787))</f>
        <v/>
      </c>
      <c r="K787" s="24"/>
      <c r="L787" s="11"/>
    </row>
    <row r="788" customFormat="false" ht="15" hidden="false" customHeight="false" outlineLevel="0" collapsed="false">
      <c r="A788" s="22"/>
      <c r="B788" s="11"/>
      <c r="C788" s="24"/>
      <c r="D788" s="31" t="str">
        <f aca="false">IF(C788="","",IF(LEN(UPPER(SUBSTITUTE(SUBSTITUTE(SUBSTITUTE(SUBSTITUTE(TRIM(C788),".",""),"/",""),"-","")," ","")))&lt;14,RIGHT(REPT("0",14)&amp;UPPER(SUBSTITUTE(SUBSTITUTE(SUBSTITUTE(SUBSTITUTE(TRIM(C788),".",""),"/",""),"-","")," ","")),14),UPPER(SUBSTITUTE(SUBSTITUTE(SUBSTITUTE(SUBSTITUTE(TRIM(C788),".",""),"/",""),"-","")," ",""))))</f>
        <v/>
      </c>
      <c r="E788" s="25" t="str">
        <f aca="false">IF(D788="","",IFERROR(INDEX(Empresas!$C:$C,MATCH(D788,Empresas!$B:$B,0)),"cadastre o CNPJ em Empresas"))</f>
        <v/>
      </c>
      <c r="F788" s="23"/>
      <c r="G788" s="35"/>
      <c r="H788" s="24"/>
      <c r="I788" s="11"/>
      <c r="J788" s="27" t="str">
        <f aca="false">IF(A788="","",YEAR(A788))</f>
        <v/>
      </c>
      <c r="K788" s="24"/>
      <c r="L788" s="11"/>
    </row>
    <row r="789" customFormat="false" ht="15" hidden="false" customHeight="false" outlineLevel="0" collapsed="false">
      <c r="A789" s="22"/>
      <c r="B789" s="11"/>
      <c r="C789" s="24"/>
      <c r="D789" s="31" t="str">
        <f aca="false">IF(C789="","",IF(LEN(UPPER(SUBSTITUTE(SUBSTITUTE(SUBSTITUTE(SUBSTITUTE(TRIM(C789),".",""),"/",""),"-","")," ","")))&lt;14,RIGHT(REPT("0",14)&amp;UPPER(SUBSTITUTE(SUBSTITUTE(SUBSTITUTE(SUBSTITUTE(TRIM(C789),".",""),"/",""),"-","")," ","")),14),UPPER(SUBSTITUTE(SUBSTITUTE(SUBSTITUTE(SUBSTITUTE(TRIM(C789),".",""),"/",""),"-","")," ",""))))</f>
        <v/>
      </c>
      <c r="E789" s="25" t="str">
        <f aca="false">IF(D789="","",IFERROR(INDEX(Empresas!$C:$C,MATCH(D789,Empresas!$B:$B,0)),"cadastre o CNPJ em Empresas"))</f>
        <v/>
      </c>
      <c r="F789" s="23"/>
      <c r="G789" s="35"/>
      <c r="H789" s="24"/>
      <c r="I789" s="11"/>
      <c r="J789" s="27" t="str">
        <f aca="false">IF(A789="","",YEAR(A789))</f>
        <v/>
      </c>
      <c r="K789" s="24"/>
      <c r="L789" s="11"/>
    </row>
    <row r="790" customFormat="false" ht="15" hidden="false" customHeight="false" outlineLevel="0" collapsed="false">
      <c r="A790" s="22"/>
      <c r="B790" s="11"/>
      <c r="C790" s="24"/>
      <c r="D790" s="31" t="str">
        <f aca="false">IF(C790="","",IF(LEN(UPPER(SUBSTITUTE(SUBSTITUTE(SUBSTITUTE(SUBSTITUTE(TRIM(C790),".",""),"/",""),"-","")," ","")))&lt;14,RIGHT(REPT("0",14)&amp;UPPER(SUBSTITUTE(SUBSTITUTE(SUBSTITUTE(SUBSTITUTE(TRIM(C790),".",""),"/",""),"-","")," ","")),14),UPPER(SUBSTITUTE(SUBSTITUTE(SUBSTITUTE(SUBSTITUTE(TRIM(C790),".",""),"/",""),"-","")," ",""))))</f>
        <v/>
      </c>
      <c r="E790" s="25" t="str">
        <f aca="false">IF(D790="","",IFERROR(INDEX(Empresas!$C:$C,MATCH(D790,Empresas!$B:$B,0)),"cadastre o CNPJ em Empresas"))</f>
        <v/>
      </c>
      <c r="F790" s="23"/>
      <c r="G790" s="35"/>
      <c r="H790" s="24"/>
      <c r="I790" s="11"/>
      <c r="J790" s="27" t="str">
        <f aca="false">IF(A790="","",YEAR(A790))</f>
        <v/>
      </c>
      <c r="K790" s="24"/>
      <c r="L790" s="11"/>
    </row>
    <row r="791" customFormat="false" ht="15" hidden="false" customHeight="false" outlineLevel="0" collapsed="false">
      <c r="A791" s="22"/>
      <c r="B791" s="11"/>
      <c r="C791" s="24"/>
      <c r="D791" s="31" t="str">
        <f aca="false">IF(C791="","",IF(LEN(UPPER(SUBSTITUTE(SUBSTITUTE(SUBSTITUTE(SUBSTITUTE(TRIM(C791),".",""),"/",""),"-","")," ","")))&lt;14,RIGHT(REPT("0",14)&amp;UPPER(SUBSTITUTE(SUBSTITUTE(SUBSTITUTE(SUBSTITUTE(TRIM(C791),".",""),"/",""),"-","")," ","")),14),UPPER(SUBSTITUTE(SUBSTITUTE(SUBSTITUTE(SUBSTITUTE(TRIM(C791),".",""),"/",""),"-","")," ",""))))</f>
        <v/>
      </c>
      <c r="E791" s="25" t="str">
        <f aca="false">IF(D791="","",IFERROR(INDEX(Empresas!$C:$C,MATCH(D791,Empresas!$B:$B,0)),"cadastre o CNPJ em Empresas"))</f>
        <v/>
      </c>
      <c r="F791" s="23"/>
      <c r="G791" s="35"/>
      <c r="H791" s="24"/>
      <c r="I791" s="11"/>
      <c r="J791" s="27" t="str">
        <f aca="false">IF(A791="","",YEAR(A791))</f>
        <v/>
      </c>
      <c r="K791" s="24"/>
      <c r="L791" s="11"/>
    </row>
    <row r="792" customFormat="false" ht="15" hidden="false" customHeight="false" outlineLevel="0" collapsed="false">
      <c r="A792" s="22"/>
      <c r="B792" s="11"/>
      <c r="C792" s="24"/>
      <c r="D792" s="31" t="str">
        <f aca="false">IF(C792="","",IF(LEN(UPPER(SUBSTITUTE(SUBSTITUTE(SUBSTITUTE(SUBSTITUTE(TRIM(C792),".",""),"/",""),"-","")," ","")))&lt;14,RIGHT(REPT("0",14)&amp;UPPER(SUBSTITUTE(SUBSTITUTE(SUBSTITUTE(SUBSTITUTE(TRIM(C792),".",""),"/",""),"-","")," ","")),14),UPPER(SUBSTITUTE(SUBSTITUTE(SUBSTITUTE(SUBSTITUTE(TRIM(C792),".",""),"/",""),"-","")," ",""))))</f>
        <v/>
      </c>
      <c r="E792" s="25" t="str">
        <f aca="false">IF(D792="","",IFERROR(INDEX(Empresas!$C:$C,MATCH(D792,Empresas!$B:$B,0)),"cadastre o CNPJ em Empresas"))</f>
        <v/>
      </c>
      <c r="F792" s="23"/>
      <c r="G792" s="35"/>
      <c r="H792" s="24"/>
      <c r="I792" s="11"/>
      <c r="J792" s="27" t="str">
        <f aca="false">IF(A792="","",YEAR(A792))</f>
        <v/>
      </c>
      <c r="K792" s="24"/>
      <c r="L792" s="11"/>
    </row>
    <row r="793" customFormat="false" ht="15" hidden="false" customHeight="false" outlineLevel="0" collapsed="false">
      <c r="A793" s="22"/>
      <c r="B793" s="11"/>
      <c r="C793" s="24"/>
      <c r="D793" s="31" t="str">
        <f aca="false">IF(C793="","",IF(LEN(UPPER(SUBSTITUTE(SUBSTITUTE(SUBSTITUTE(SUBSTITUTE(TRIM(C793),".",""),"/",""),"-","")," ","")))&lt;14,RIGHT(REPT("0",14)&amp;UPPER(SUBSTITUTE(SUBSTITUTE(SUBSTITUTE(SUBSTITUTE(TRIM(C793),".",""),"/",""),"-","")," ","")),14),UPPER(SUBSTITUTE(SUBSTITUTE(SUBSTITUTE(SUBSTITUTE(TRIM(C793),".",""),"/",""),"-","")," ",""))))</f>
        <v/>
      </c>
      <c r="E793" s="25" t="str">
        <f aca="false">IF(D793="","",IFERROR(INDEX(Empresas!$C:$C,MATCH(D793,Empresas!$B:$B,0)),"cadastre o CNPJ em Empresas"))</f>
        <v/>
      </c>
      <c r="F793" s="23"/>
      <c r="G793" s="35"/>
      <c r="H793" s="24"/>
      <c r="I793" s="11"/>
      <c r="J793" s="27" t="str">
        <f aca="false">IF(A793="","",YEAR(A793))</f>
        <v/>
      </c>
      <c r="K793" s="24"/>
      <c r="L793" s="11"/>
    </row>
    <row r="794" customFormat="false" ht="15" hidden="false" customHeight="false" outlineLevel="0" collapsed="false">
      <c r="A794" s="22"/>
      <c r="B794" s="11"/>
      <c r="C794" s="24"/>
      <c r="D794" s="31" t="str">
        <f aca="false">IF(C794="","",IF(LEN(UPPER(SUBSTITUTE(SUBSTITUTE(SUBSTITUTE(SUBSTITUTE(TRIM(C794),".",""),"/",""),"-","")," ","")))&lt;14,RIGHT(REPT("0",14)&amp;UPPER(SUBSTITUTE(SUBSTITUTE(SUBSTITUTE(SUBSTITUTE(TRIM(C794),".",""),"/",""),"-","")," ","")),14),UPPER(SUBSTITUTE(SUBSTITUTE(SUBSTITUTE(SUBSTITUTE(TRIM(C794),".",""),"/",""),"-","")," ",""))))</f>
        <v/>
      </c>
      <c r="E794" s="25" t="str">
        <f aca="false">IF(D794="","",IFERROR(INDEX(Empresas!$C:$C,MATCH(D794,Empresas!$B:$B,0)),"cadastre o CNPJ em Empresas"))</f>
        <v/>
      </c>
      <c r="F794" s="23"/>
      <c r="G794" s="35"/>
      <c r="H794" s="24"/>
      <c r="I794" s="11"/>
      <c r="J794" s="27" t="str">
        <f aca="false">IF(A794="","",YEAR(A794))</f>
        <v/>
      </c>
      <c r="K794" s="24"/>
      <c r="L794" s="11"/>
    </row>
    <row r="795" customFormat="false" ht="15" hidden="false" customHeight="false" outlineLevel="0" collapsed="false">
      <c r="A795" s="22"/>
      <c r="B795" s="11"/>
      <c r="C795" s="24"/>
      <c r="D795" s="31" t="str">
        <f aca="false">IF(C795="","",IF(LEN(UPPER(SUBSTITUTE(SUBSTITUTE(SUBSTITUTE(SUBSTITUTE(TRIM(C795),".",""),"/",""),"-","")," ","")))&lt;14,RIGHT(REPT("0",14)&amp;UPPER(SUBSTITUTE(SUBSTITUTE(SUBSTITUTE(SUBSTITUTE(TRIM(C795),".",""),"/",""),"-","")," ","")),14),UPPER(SUBSTITUTE(SUBSTITUTE(SUBSTITUTE(SUBSTITUTE(TRIM(C795),".",""),"/",""),"-","")," ",""))))</f>
        <v/>
      </c>
      <c r="E795" s="25" t="str">
        <f aca="false">IF(D795="","",IFERROR(INDEX(Empresas!$C:$C,MATCH(D795,Empresas!$B:$B,0)),"cadastre o CNPJ em Empresas"))</f>
        <v/>
      </c>
      <c r="F795" s="23"/>
      <c r="G795" s="35"/>
      <c r="H795" s="24"/>
      <c r="I795" s="11"/>
      <c r="J795" s="27" t="str">
        <f aca="false">IF(A795="","",YEAR(A795))</f>
        <v/>
      </c>
      <c r="K795" s="24"/>
      <c r="L795" s="11"/>
    </row>
    <row r="796" customFormat="false" ht="15" hidden="false" customHeight="false" outlineLevel="0" collapsed="false">
      <c r="A796" s="22"/>
      <c r="B796" s="11"/>
      <c r="C796" s="24"/>
      <c r="D796" s="31" t="str">
        <f aca="false">IF(C796="","",IF(LEN(UPPER(SUBSTITUTE(SUBSTITUTE(SUBSTITUTE(SUBSTITUTE(TRIM(C796),".",""),"/",""),"-","")," ","")))&lt;14,RIGHT(REPT("0",14)&amp;UPPER(SUBSTITUTE(SUBSTITUTE(SUBSTITUTE(SUBSTITUTE(TRIM(C796),".",""),"/",""),"-","")," ","")),14),UPPER(SUBSTITUTE(SUBSTITUTE(SUBSTITUTE(SUBSTITUTE(TRIM(C796),".",""),"/",""),"-","")," ",""))))</f>
        <v/>
      </c>
      <c r="E796" s="25" t="str">
        <f aca="false">IF(D796="","",IFERROR(INDEX(Empresas!$C:$C,MATCH(D796,Empresas!$B:$B,0)),"cadastre o CNPJ em Empresas"))</f>
        <v/>
      </c>
      <c r="F796" s="23"/>
      <c r="G796" s="35"/>
      <c r="H796" s="24"/>
      <c r="I796" s="11"/>
      <c r="J796" s="27" t="str">
        <f aca="false">IF(A796="","",YEAR(A796))</f>
        <v/>
      </c>
      <c r="K796" s="24"/>
      <c r="L796" s="11"/>
    </row>
    <row r="797" customFormat="false" ht="15" hidden="false" customHeight="false" outlineLevel="0" collapsed="false">
      <c r="A797" s="22"/>
      <c r="B797" s="11"/>
      <c r="C797" s="24"/>
      <c r="D797" s="31" t="str">
        <f aca="false">IF(C797="","",IF(LEN(UPPER(SUBSTITUTE(SUBSTITUTE(SUBSTITUTE(SUBSTITUTE(TRIM(C797),".",""),"/",""),"-","")," ","")))&lt;14,RIGHT(REPT("0",14)&amp;UPPER(SUBSTITUTE(SUBSTITUTE(SUBSTITUTE(SUBSTITUTE(TRIM(C797),".",""),"/",""),"-","")," ","")),14),UPPER(SUBSTITUTE(SUBSTITUTE(SUBSTITUTE(SUBSTITUTE(TRIM(C797),".",""),"/",""),"-","")," ",""))))</f>
        <v/>
      </c>
      <c r="E797" s="25" t="str">
        <f aca="false">IF(D797="","",IFERROR(INDEX(Empresas!$C:$C,MATCH(D797,Empresas!$B:$B,0)),"cadastre o CNPJ em Empresas"))</f>
        <v/>
      </c>
      <c r="F797" s="23"/>
      <c r="G797" s="35"/>
      <c r="H797" s="24"/>
      <c r="I797" s="11"/>
      <c r="J797" s="27" t="str">
        <f aca="false">IF(A797="","",YEAR(A797))</f>
        <v/>
      </c>
      <c r="K797" s="24"/>
      <c r="L797" s="11"/>
    </row>
    <row r="798" customFormat="false" ht="15" hidden="false" customHeight="false" outlineLevel="0" collapsed="false">
      <c r="A798" s="22"/>
      <c r="B798" s="11"/>
      <c r="C798" s="24"/>
      <c r="D798" s="31" t="str">
        <f aca="false">IF(C798="","",IF(LEN(UPPER(SUBSTITUTE(SUBSTITUTE(SUBSTITUTE(SUBSTITUTE(TRIM(C798),".",""),"/",""),"-","")," ","")))&lt;14,RIGHT(REPT("0",14)&amp;UPPER(SUBSTITUTE(SUBSTITUTE(SUBSTITUTE(SUBSTITUTE(TRIM(C798),".",""),"/",""),"-","")," ","")),14),UPPER(SUBSTITUTE(SUBSTITUTE(SUBSTITUTE(SUBSTITUTE(TRIM(C798),".",""),"/",""),"-","")," ",""))))</f>
        <v/>
      </c>
      <c r="E798" s="25" t="str">
        <f aca="false">IF(D798="","",IFERROR(INDEX(Empresas!$C:$C,MATCH(D798,Empresas!$B:$B,0)),"cadastre o CNPJ em Empresas"))</f>
        <v/>
      </c>
      <c r="F798" s="23"/>
      <c r="G798" s="35"/>
      <c r="H798" s="24"/>
      <c r="I798" s="11"/>
      <c r="J798" s="27" t="str">
        <f aca="false">IF(A798="","",YEAR(A798))</f>
        <v/>
      </c>
      <c r="K798" s="24"/>
      <c r="L798" s="11"/>
    </row>
    <row r="799" customFormat="false" ht="15" hidden="false" customHeight="false" outlineLevel="0" collapsed="false">
      <c r="A799" s="22"/>
      <c r="B799" s="11"/>
      <c r="C799" s="24"/>
      <c r="D799" s="31" t="str">
        <f aca="false">IF(C799="","",IF(LEN(UPPER(SUBSTITUTE(SUBSTITUTE(SUBSTITUTE(SUBSTITUTE(TRIM(C799),".",""),"/",""),"-","")," ","")))&lt;14,RIGHT(REPT("0",14)&amp;UPPER(SUBSTITUTE(SUBSTITUTE(SUBSTITUTE(SUBSTITUTE(TRIM(C799),".",""),"/",""),"-","")," ","")),14),UPPER(SUBSTITUTE(SUBSTITUTE(SUBSTITUTE(SUBSTITUTE(TRIM(C799),".",""),"/",""),"-","")," ",""))))</f>
        <v/>
      </c>
      <c r="E799" s="25" t="str">
        <f aca="false">IF(D799="","",IFERROR(INDEX(Empresas!$C:$C,MATCH(D799,Empresas!$B:$B,0)),"cadastre o CNPJ em Empresas"))</f>
        <v/>
      </c>
      <c r="F799" s="23"/>
      <c r="G799" s="35"/>
      <c r="H799" s="24"/>
      <c r="I799" s="11"/>
      <c r="J799" s="27" t="str">
        <f aca="false">IF(A799="","",YEAR(A799))</f>
        <v/>
      </c>
      <c r="K799" s="24"/>
      <c r="L799" s="11"/>
    </row>
    <row r="800" customFormat="false" ht="15" hidden="false" customHeight="false" outlineLevel="0" collapsed="false">
      <c r="A800" s="22"/>
      <c r="B800" s="11"/>
      <c r="C800" s="24"/>
      <c r="D800" s="31" t="str">
        <f aca="false">IF(C800="","",IF(LEN(UPPER(SUBSTITUTE(SUBSTITUTE(SUBSTITUTE(SUBSTITUTE(TRIM(C800),".",""),"/",""),"-","")," ","")))&lt;14,RIGHT(REPT("0",14)&amp;UPPER(SUBSTITUTE(SUBSTITUTE(SUBSTITUTE(SUBSTITUTE(TRIM(C800),".",""),"/",""),"-","")," ","")),14),UPPER(SUBSTITUTE(SUBSTITUTE(SUBSTITUTE(SUBSTITUTE(TRIM(C800),".",""),"/",""),"-","")," ",""))))</f>
        <v/>
      </c>
      <c r="E800" s="25" t="str">
        <f aca="false">IF(D800="","",IFERROR(INDEX(Empresas!$C:$C,MATCH(D800,Empresas!$B:$B,0)),"cadastre o CNPJ em Empresas"))</f>
        <v/>
      </c>
      <c r="F800" s="23"/>
      <c r="G800" s="35"/>
      <c r="H800" s="24"/>
      <c r="I800" s="11"/>
      <c r="J800" s="27" t="str">
        <f aca="false">IF(A800="","",YEAR(A800))</f>
        <v/>
      </c>
      <c r="K800" s="24"/>
      <c r="L800" s="11"/>
    </row>
    <row r="801" customFormat="false" ht="15" hidden="false" customHeight="false" outlineLevel="0" collapsed="false">
      <c r="A801" s="22"/>
      <c r="B801" s="11"/>
      <c r="C801" s="24"/>
      <c r="D801" s="31" t="str">
        <f aca="false">IF(C801="","",IF(LEN(UPPER(SUBSTITUTE(SUBSTITUTE(SUBSTITUTE(SUBSTITUTE(TRIM(C801),".",""),"/",""),"-","")," ","")))&lt;14,RIGHT(REPT("0",14)&amp;UPPER(SUBSTITUTE(SUBSTITUTE(SUBSTITUTE(SUBSTITUTE(TRIM(C801),".",""),"/",""),"-","")," ","")),14),UPPER(SUBSTITUTE(SUBSTITUTE(SUBSTITUTE(SUBSTITUTE(TRIM(C801),".",""),"/",""),"-","")," ",""))))</f>
        <v/>
      </c>
      <c r="E801" s="25" t="str">
        <f aca="false">IF(D801="","",IFERROR(INDEX(Empresas!$C:$C,MATCH(D801,Empresas!$B:$B,0)),"cadastre o CNPJ em Empresas"))</f>
        <v/>
      </c>
      <c r="F801" s="23"/>
      <c r="G801" s="35"/>
      <c r="H801" s="24"/>
      <c r="I801" s="11"/>
      <c r="J801" s="27" t="str">
        <f aca="false">IF(A801="","",YEAR(A801))</f>
        <v/>
      </c>
      <c r="K801" s="24"/>
      <c r="L801" s="11"/>
    </row>
    <row r="802" customFormat="false" ht="15" hidden="false" customHeight="false" outlineLevel="0" collapsed="false">
      <c r="A802" s="22"/>
      <c r="B802" s="11"/>
      <c r="C802" s="24"/>
      <c r="D802" s="31" t="str">
        <f aca="false">IF(C802="","",IF(LEN(UPPER(SUBSTITUTE(SUBSTITUTE(SUBSTITUTE(SUBSTITUTE(TRIM(C802),".",""),"/",""),"-","")," ","")))&lt;14,RIGHT(REPT("0",14)&amp;UPPER(SUBSTITUTE(SUBSTITUTE(SUBSTITUTE(SUBSTITUTE(TRIM(C802),".",""),"/",""),"-","")," ","")),14),UPPER(SUBSTITUTE(SUBSTITUTE(SUBSTITUTE(SUBSTITUTE(TRIM(C802),".",""),"/",""),"-","")," ",""))))</f>
        <v/>
      </c>
      <c r="E802" s="25" t="str">
        <f aca="false">IF(D802="","",IFERROR(INDEX(Empresas!$C:$C,MATCH(D802,Empresas!$B:$B,0)),"cadastre o CNPJ em Empresas"))</f>
        <v/>
      </c>
      <c r="F802" s="23"/>
      <c r="G802" s="35"/>
      <c r="H802" s="24"/>
      <c r="I802" s="11"/>
      <c r="J802" s="27" t="str">
        <f aca="false">IF(A802="","",YEAR(A802))</f>
        <v/>
      </c>
      <c r="K802" s="24"/>
      <c r="L802" s="11"/>
    </row>
    <row r="803" customFormat="false" ht="15" hidden="false" customHeight="false" outlineLevel="0" collapsed="false">
      <c r="A803" s="22"/>
      <c r="B803" s="11"/>
      <c r="C803" s="24"/>
      <c r="D803" s="31" t="str">
        <f aca="false">IF(C803="","",IF(LEN(UPPER(SUBSTITUTE(SUBSTITUTE(SUBSTITUTE(SUBSTITUTE(TRIM(C803),".",""),"/",""),"-","")," ","")))&lt;14,RIGHT(REPT("0",14)&amp;UPPER(SUBSTITUTE(SUBSTITUTE(SUBSTITUTE(SUBSTITUTE(TRIM(C803),".",""),"/",""),"-","")," ","")),14),UPPER(SUBSTITUTE(SUBSTITUTE(SUBSTITUTE(SUBSTITUTE(TRIM(C803),".",""),"/",""),"-","")," ",""))))</f>
        <v/>
      </c>
      <c r="E803" s="25" t="str">
        <f aca="false">IF(D803="","",IFERROR(INDEX(Empresas!$C:$C,MATCH(D803,Empresas!$B:$B,0)),"cadastre o CNPJ em Empresas"))</f>
        <v/>
      </c>
      <c r="F803" s="23"/>
      <c r="G803" s="35"/>
      <c r="H803" s="24"/>
      <c r="I803" s="11"/>
      <c r="J803" s="27" t="str">
        <f aca="false">IF(A803="","",YEAR(A803))</f>
        <v/>
      </c>
      <c r="K803" s="24"/>
      <c r="L803" s="11"/>
    </row>
    <row r="804" customFormat="false" ht="15" hidden="false" customHeight="false" outlineLevel="0" collapsed="false">
      <c r="A804" s="22"/>
      <c r="B804" s="11"/>
      <c r="C804" s="24"/>
      <c r="D804" s="31" t="str">
        <f aca="false">IF(C804="","",IF(LEN(UPPER(SUBSTITUTE(SUBSTITUTE(SUBSTITUTE(SUBSTITUTE(TRIM(C804),".",""),"/",""),"-","")," ","")))&lt;14,RIGHT(REPT("0",14)&amp;UPPER(SUBSTITUTE(SUBSTITUTE(SUBSTITUTE(SUBSTITUTE(TRIM(C804),".",""),"/",""),"-","")," ","")),14),UPPER(SUBSTITUTE(SUBSTITUTE(SUBSTITUTE(SUBSTITUTE(TRIM(C804),".",""),"/",""),"-","")," ",""))))</f>
        <v/>
      </c>
      <c r="E804" s="25" t="str">
        <f aca="false">IF(D804="","",IFERROR(INDEX(Empresas!$C:$C,MATCH(D804,Empresas!$B:$B,0)),"cadastre o CNPJ em Empresas"))</f>
        <v/>
      </c>
      <c r="F804" s="23"/>
      <c r="G804" s="35"/>
      <c r="H804" s="24"/>
      <c r="I804" s="11"/>
      <c r="J804" s="27" t="str">
        <f aca="false">IF(A804="","",YEAR(A804))</f>
        <v/>
      </c>
      <c r="K804" s="24"/>
      <c r="L804" s="11"/>
    </row>
    <row r="805" customFormat="false" ht="15" hidden="false" customHeight="false" outlineLevel="0" collapsed="false">
      <c r="A805" s="22"/>
      <c r="B805" s="11"/>
      <c r="C805" s="24"/>
      <c r="D805" s="31" t="str">
        <f aca="false">IF(C805="","",IF(LEN(UPPER(SUBSTITUTE(SUBSTITUTE(SUBSTITUTE(SUBSTITUTE(TRIM(C805),".",""),"/",""),"-","")," ","")))&lt;14,RIGHT(REPT("0",14)&amp;UPPER(SUBSTITUTE(SUBSTITUTE(SUBSTITUTE(SUBSTITUTE(TRIM(C805),".",""),"/",""),"-","")," ","")),14),UPPER(SUBSTITUTE(SUBSTITUTE(SUBSTITUTE(SUBSTITUTE(TRIM(C805),".",""),"/",""),"-","")," ",""))))</f>
        <v/>
      </c>
      <c r="E805" s="25" t="str">
        <f aca="false">IF(D805="","",IFERROR(INDEX(Empresas!$C:$C,MATCH(D805,Empresas!$B:$B,0)),"cadastre o CNPJ em Empresas"))</f>
        <v/>
      </c>
      <c r="F805" s="23"/>
      <c r="G805" s="35"/>
      <c r="H805" s="24"/>
      <c r="I805" s="11"/>
      <c r="J805" s="27" t="str">
        <f aca="false">IF(A805="","",YEAR(A805))</f>
        <v/>
      </c>
      <c r="K805" s="24"/>
      <c r="L805" s="11"/>
    </row>
    <row r="806" customFormat="false" ht="15" hidden="false" customHeight="false" outlineLevel="0" collapsed="false">
      <c r="A806" s="22"/>
      <c r="B806" s="11"/>
      <c r="C806" s="24"/>
      <c r="D806" s="31" t="str">
        <f aca="false">IF(C806="","",IF(LEN(UPPER(SUBSTITUTE(SUBSTITUTE(SUBSTITUTE(SUBSTITUTE(TRIM(C806),".",""),"/",""),"-","")," ","")))&lt;14,RIGHT(REPT("0",14)&amp;UPPER(SUBSTITUTE(SUBSTITUTE(SUBSTITUTE(SUBSTITUTE(TRIM(C806),".",""),"/",""),"-","")," ","")),14),UPPER(SUBSTITUTE(SUBSTITUTE(SUBSTITUTE(SUBSTITUTE(TRIM(C806),".",""),"/",""),"-","")," ",""))))</f>
        <v/>
      </c>
      <c r="E806" s="25" t="str">
        <f aca="false">IF(D806="","",IFERROR(INDEX(Empresas!$C:$C,MATCH(D806,Empresas!$B:$B,0)),"cadastre o CNPJ em Empresas"))</f>
        <v/>
      </c>
      <c r="F806" s="23"/>
      <c r="G806" s="35"/>
      <c r="H806" s="24"/>
      <c r="I806" s="11"/>
      <c r="J806" s="27" t="str">
        <f aca="false">IF(A806="","",YEAR(A806))</f>
        <v/>
      </c>
      <c r="K806" s="24"/>
      <c r="L806" s="11"/>
    </row>
    <row r="807" customFormat="false" ht="15" hidden="false" customHeight="false" outlineLevel="0" collapsed="false">
      <c r="A807" s="22"/>
      <c r="B807" s="11"/>
      <c r="C807" s="24"/>
      <c r="D807" s="31" t="str">
        <f aca="false">IF(C807="","",IF(LEN(UPPER(SUBSTITUTE(SUBSTITUTE(SUBSTITUTE(SUBSTITUTE(TRIM(C807),".",""),"/",""),"-","")," ","")))&lt;14,RIGHT(REPT("0",14)&amp;UPPER(SUBSTITUTE(SUBSTITUTE(SUBSTITUTE(SUBSTITUTE(TRIM(C807),".",""),"/",""),"-","")," ","")),14),UPPER(SUBSTITUTE(SUBSTITUTE(SUBSTITUTE(SUBSTITUTE(TRIM(C807),".",""),"/",""),"-","")," ",""))))</f>
        <v/>
      </c>
      <c r="E807" s="25" t="str">
        <f aca="false">IF(D807="","",IFERROR(INDEX(Empresas!$C:$C,MATCH(D807,Empresas!$B:$B,0)),"cadastre o CNPJ em Empresas"))</f>
        <v/>
      </c>
      <c r="F807" s="23"/>
      <c r="G807" s="35"/>
      <c r="H807" s="24"/>
      <c r="I807" s="11"/>
      <c r="J807" s="27" t="str">
        <f aca="false">IF(A807="","",YEAR(A807))</f>
        <v/>
      </c>
      <c r="K807" s="24"/>
      <c r="L807" s="11"/>
    </row>
    <row r="808" customFormat="false" ht="15" hidden="false" customHeight="false" outlineLevel="0" collapsed="false">
      <c r="A808" s="22"/>
      <c r="B808" s="11"/>
      <c r="C808" s="24"/>
      <c r="D808" s="31" t="str">
        <f aca="false">IF(C808="","",IF(LEN(UPPER(SUBSTITUTE(SUBSTITUTE(SUBSTITUTE(SUBSTITUTE(TRIM(C808),".",""),"/",""),"-","")," ","")))&lt;14,RIGHT(REPT("0",14)&amp;UPPER(SUBSTITUTE(SUBSTITUTE(SUBSTITUTE(SUBSTITUTE(TRIM(C808),".",""),"/",""),"-","")," ","")),14),UPPER(SUBSTITUTE(SUBSTITUTE(SUBSTITUTE(SUBSTITUTE(TRIM(C808),".",""),"/",""),"-","")," ",""))))</f>
        <v/>
      </c>
      <c r="E808" s="25" t="str">
        <f aca="false">IF(D808="","",IFERROR(INDEX(Empresas!$C:$C,MATCH(D808,Empresas!$B:$B,0)),"cadastre o CNPJ em Empresas"))</f>
        <v/>
      </c>
      <c r="F808" s="23"/>
      <c r="G808" s="35"/>
      <c r="H808" s="24"/>
      <c r="I808" s="11"/>
      <c r="J808" s="27" t="str">
        <f aca="false">IF(A808="","",YEAR(A808))</f>
        <v/>
      </c>
      <c r="K808" s="24"/>
      <c r="L808" s="11"/>
    </row>
    <row r="809" customFormat="false" ht="15" hidden="false" customHeight="false" outlineLevel="0" collapsed="false">
      <c r="A809" s="22"/>
      <c r="B809" s="11"/>
      <c r="C809" s="24"/>
      <c r="D809" s="31" t="str">
        <f aca="false">IF(C809="","",IF(LEN(UPPER(SUBSTITUTE(SUBSTITUTE(SUBSTITUTE(SUBSTITUTE(TRIM(C809),".",""),"/",""),"-","")," ","")))&lt;14,RIGHT(REPT("0",14)&amp;UPPER(SUBSTITUTE(SUBSTITUTE(SUBSTITUTE(SUBSTITUTE(TRIM(C809),".",""),"/",""),"-","")," ","")),14),UPPER(SUBSTITUTE(SUBSTITUTE(SUBSTITUTE(SUBSTITUTE(TRIM(C809),".",""),"/",""),"-","")," ",""))))</f>
        <v/>
      </c>
      <c r="E809" s="25" t="str">
        <f aca="false">IF(D809="","",IFERROR(INDEX(Empresas!$C:$C,MATCH(D809,Empresas!$B:$B,0)),"cadastre o CNPJ em Empresas"))</f>
        <v/>
      </c>
      <c r="F809" s="23"/>
      <c r="G809" s="35"/>
      <c r="H809" s="24"/>
      <c r="I809" s="11"/>
      <c r="J809" s="27" t="str">
        <f aca="false">IF(A809="","",YEAR(A809))</f>
        <v/>
      </c>
      <c r="K809" s="24"/>
      <c r="L809" s="11"/>
    </row>
    <row r="810" customFormat="false" ht="15" hidden="false" customHeight="false" outlineLevel="0" collapsed="false">
      <c r="A810" s="22"/>
      <c r="B810" s="11"/>
      <c r="C810" s="24"/>
      <c r="D810" s="31" t="str">
        <f aca="false">IF(C810="","",IF(LEN(UPPER(SUBSTITUTE(SUBSTITUTE(SUBSTITUTE(SUBSTITUTE(TRIM(C810),".",""),"/",""),"-","")," ","")))&lt;14,RIGHT(REPT("0",14)&amp;UPPER(SUBSTITUTE(SUBSTITUTE(SUBSTITUTE(SUBSTITUTE(TRIM(C810),".",""),"/",""),"-","")," ","")),14),UPPER(SUBSTITUTE(SUBSTITUTE(SUBSTITUTE(SUBSTITUTE(TRIM(C810),".",""),"/",""),"-","")," ",""))))</f>
        <v/>
      </c>
      <c r="E810" s="25" t="str">
        <f aca="false">IF(D810="","",IFERROR(INDEX(Empresas!$C:$C,MATCH(D810,Empresas!$B:$B,0)),"cadastre o CNPJ em Empresas"))</f>
        <v/>
      </c>
      <c r="F810" s="23"/>
      <c r="G810" s="35"/>
      <c r="H810" s="24"/>
      <c r="I810" s="11"/>
      <c r="J810" s="27" t="str">
        <f aca="false">IF(A810="","",YEAR(A810))</f>
        <v/>
      </c>
      <c r="K810" s="24"/>
      <c r="L810" s="11"/>
    </row>
    <row r="811" customFormat="false" ht="15" hidden="false" customHeight="false" outlineLevel="0" collapsed="false">
      <c r="A811" s="22"/>
      <c r="B811" s="11"/>
      <c r="C811" s="24"/>
      <c r="D811" s="31" t="str">
        <f aca="false">IF(C811="","",IF(LEN(UPPER(SUBSTITUTE(SUBSTITUTE(SUBSTITUTE(SUBSTITUTE(TRIM(C811),".",""),"/",""),"-","")," ","")))&lt;14,RIGHT(REPT("0",14)&amp;UPPER(SUBSTITUTE(SUBSTITUTE(SUBSTITUTE(SUBSTITUTE(TRIM(C811),".",""),"/",""),"-","")," ","")),14),UPPER(SUBSTITUTE(SUBSTITUTE(SUBSTITUTE(SUBSTITUTE(TRIM(C811),".",""),"/",""),"-","")," ",""))))</f>
        <v/>
      </c>
      <c r="E811" s="25" t="str">
        <f aca="false">IF(D811="","",IFERROR(INDEX(Empresas!$C:$C,MATCH(D811,Empresas!$B:$B,0)),"cadastre o CNPJ em Empresas"))</f>
        <v/>
      </c>
      <c r="F811" s="23"/>
      <c r="G811" s="35"/>
      <c r="H811" s="24"/>
      <c r="I811" s="11"/>
      <c r="J811" s="27" t="str">
        <f aca="false">IF(A811="","",YEAR(A811))</f>
        <v/>
      </c>
      <c r="K811" s="24"/>
      <c r="L811" s="11"/>
    </row>
    <row r="812" customFormat="false" ht="15" hidden="false" customHeight="false" outlineLevel="0" collapsed="false">
      <c r="A812" s="22"/>
      <c r="B812" s="11"/>
      <c r="C812" s="24"/>
      <c r="D812" s="31" t="str">
        <f aca="false">IF(C812="","",IF(LEN(UPPER(SUBSTITUTE(SUBSTITUTE(SUBSTITUTE(SUBSTITUTE(TRIM(C812),".",""),"/",""),"-","")," ","")))&lt;14,RIGHT(REPT("0",14)&amp;UPPER(SUBSTITUTE(SUBSTITUTE(SUBSTITUTE(SUBSTITUTE(TRIM(C812),".",""),"/",""),"-","")," ","")),14),UPPER(SUBSTITUTE(SUBSTITUTE(SUBSTITUTE(SUBSTITUTE(TRIM(C812),".",""),"/",""),"-","")," ",""))))</f>
        <v/>
      </c>
      <c r="E812" s="25" t="str">
        <f aca="false">IF(D812="","",IFERROR(INDEX(Empresas!$C:$C,MATCH(D812,Empresas!$B:$B,0)),"cadastre o CNPJ em Empresas"))</f>
        <v/>
      </c>
      <c r="F812" s="23"/>
      <c r="G812" s="35"/>
      <c r="H812" s="24"/>
      <c r="I812" s="11"/>
      <c r="J812" s="27" t="str">
        <f aca="false">IF(A812="","",YEAR(A812))</f>
        <v/>
      </c>
      <c r="K812" s="24"/>
      <c r="L812" s="11"/>
    </row>
    <row r="813" customFormat="false" ht="15" hidden="false" customHeight="false" outlineLevel="0" collapsed="false">
      <c r="A813" s="22"/>
      <c r="B813" s="11"/>
      <c r="C813" s="24"/>
      <c r="D813" s="31" t="str">
        <f aca="false">IF(C813="","",IF(LEN(UPPER(SUBSTITUTE(SUBSTITUTE(SUBSTITUTE(SUBSTITUTE(TRIM(C813),".",""),"/",""),"-","")," ","")))&lt;14,RIGHT(REPT("0",14)&amp;UPPER(SUBSTITUTE(SUBSTITUTE(SUBSTITUTE(SUBSTITUTE(TRIM(C813),".",""),"/",""),"-","")," ","")),14),UPPER(SUBSTITUTE(SUBSTITUTE(SUBSTITUTE(SUBSTITUTE(TRIM(C813),".",""),"/",""),"-","")," ",""))))</f>
        <v/>
      </c>
      <c r="E813" s="25" t="str">
        <f aca="false">IF(D813="","",IFERROR(INDEX(Empresas!$C:$C,MATCH(D813,Empresas!$B:$B,0)),"cadastre o CNPJ em Empresas"))</f>
        <v/>
      </c>
      <c r="F813" s="23"/>
      <c r="G813" s="35"/>
      <c r="H813" s="24"/>
      <c r="I813" s="11"/>
      <c r="J813" s="27" t="str">
        <f aca="false">IF(A813="","",YEAR(A813))</f>
        <v/>
      </c>
      <c r="K813" s="24"/>
      <c r="L813" s="11"/>
    </row>
    <row r="814" customFormat="false" ht="15" hidden="false" customHeight="false" outlineLevel="0" collapsed="false">
      <c r="A814" s="22"/>
      <c r="B814" s="11"/>
      <c r="C814" s="24"/>
      <c r="D814" s="31" t="str">
        <f aca="false">IF(C814="","",IF(LEN(UPPER(SUBSTITUTE(SUBSTITUTE(SUBSTITUTE(SUBSTITUTE(TRIM(C814),".",""),"/",""),"-","")," ","")))&lt;14,RIGHT(REPT("0",14)&amp;UPPER(SUBSTITUTE(SUBSTITUTE(SUBSTITUTE(SUBSTITUTE(TRIM(C814),".",""),"/",""),"-","")," ","")),14),UPPER(SUBSTITUTE(SUBSTITUTE(SUBSTITUTE(SUBSTITUTE(TRIM(C814),".",""),"/",""),"-","")," ",""))))</f>
        <v/>
      </c>
      <c r="E814" s="25" t="str">
        <f aca="false">IF(D814="","",IFERROR(INDEX(Empresas!$C:$C,MATCH(D814,Empresas!$B:$B,0)),"cadastre o CNPJ em Empresas"))</f>
        <v/>
      </c>
      <c r="F814" s="23"/>
      <c r="G814" s="35"/>
      <c r="H814" s="24"/>
      <c r="I814" s="11"/>
      <c r="J814" s="27" t="str">
        <f aca="false">IF(A814="","",YEAR(A814))</f>
        <v/>
      </c>
      <c r="K814" s="24"/>
      <c r="L814" s="11"/>
    </row>
    <row r="815" customFormat="false" ht="15" hidden="false" customHeight="false" outlineLevel="0" collapsed="false">
      <c r="A815" s="22"/>
      <c r="B815" s="11"/>
      <c r="C815" s="24"/>
      <c r="D815" s="31" t="str">
        <f aca="false">IF(C815="","",IF(LEN(UPPER(SUBSTITUTE(SUBSTITUTE(SUBSTITUTE(SUBSTITUTE(TRIM(C815),".",""),"/",""),"-","")," ","")))&lt;14,RIGHT(REPT("0",14)&amp;UPPER(SUBSTITUTE(SUBSTITUTE(SUBSTITUTE(SUBSTITUTE(TRIM(C815),".",""),"/",""),"-","")," ","")),14),UPPER(SUBSTITUTE(SUBSTITUTE(SUBSTITUTE(SUBSTITUTE(TRIM(C815),".",""),"/",""),"-","")," ",""))))</f>
        <v/>
      </c>
      <c r="E815" s="25" t="str">
        <f aca="false">IF(D815="","",IFERROR(INDEX(Empresas!$C:$C,MATCH(D815,Empresas!$B:$B,0)),"cadastre o CNPJ em Empresas"))</f>
        <v/>
      </c>
      <c r="F815" s="23"/>
      <c r="G815" s="35"/>
      <c r="H815" s="24"/>
      <c r="I815" s="11"/>
      <c r="J815" s="27" t="str">
        <f aca="false">IF(A815="","",YEAR(A815))</f>
        <v/>
      </c>
      <c r="K815" s="24"/>
      <c r="L815" s="11"/>
    </row>
    <row r="816" customFormat="false" ht="15" hidden="false" customHeight="false" outlineLevel="0" collapsed="false">
      <c r="A816" s="22"/>
      <c r="B816" s="11"/>
      <c r="C816" s="24"/>
      <c r="D816" s="31" t="str">
        <f aca="false">IF(C816="","",IF(LEN(UPPER(SUBSTITUTE(SUBSTITUTE(SUBSTITUTE(SUBSTITUTE(TRIM(C816),".",""),"/",""),"-","")," ","")))&lt;14,RIGHT(REPT("0",14)&amp;UPPER(SUBSTITUTE(SUBSTITUTE(SUBSTITUTE(SUBSTITUTE(TRIM(C816),".",""),"/",""),"-","")," ","")),14),UPPER(SUBSTITUTE(SUBSTITUTE(SUBSTITUTE(SUBSTITUTE(TRIM(C816),".",""),"/",""),"-","")," ",""))))</f>
        <v/>
      </c>
      <c r="E816" s="25" t="str">
        <f aca="false">IF(D816="","",IFERROR(INDEX(Empresas!$C:$C,MATCH(D816,Empresas!$B:$B,0)),"cadastre o CNPJ em Empresas"))</f>
        <v/>
      </c>
      <c r="F816" s="23"/>
      <c r="G816" s="35"/>
      <c r="H816" s="24"/>
      <c r="I816" s="11"/>
      <c r="J816" s="27" t="str">
        <f aca="false">IF(A816="","",YEAR(A816))</f>
        <v/>
      </c>
      <c r="K816" s="24"/>
      <c r="L816" s="11"/>
    </row>
    <row r="817" customFormat="false" ht="15" hidden="false" customHeight="false" outlineLevel="0" collapsed="false">
      <c r="A817" s="22"/>
      <c r="B817" s="11"/>
      <c r="C817" s="24"/>
      <c r="D817" s="31" t="str">
        <f aca="false">IF(C817="","",IF(LEN(UPPER(SUBSTITUTE(SUBSTITUTE(SUBSTITUTE(SUBSTITUTE(TRIM(C817),".",""),"/",""),"-","")," ","")))&lt;14,RIGHT(REPT("0",14)&amp;UPPER(SUBSTITUTE(SUBSTITUTE(SUBSTITUTE(SUBSTITUTE(TRIM(C817),".",""),"/",""),"-","")," ","")),14),UPPER(SUBSTITUTE(SUBSTITUTE(SUBSTITUTE(SUBSTITUTE(TRIM(C817),".",""),"/",""),"-","")," ",""))))</f>
        <v/>
      </c>
      <c r="E817" s="25" t="str">
        <f aca="false">IF(D817="","",IFERROR(INDEX(Empresas!$C:$C,MATCH(D817,Empresas!$B:$B,0)),"cadastre o CNPJ em Empresas"))</f>
        <v/>
      </c>
      <c r="F817" s="23"/>
      <c r="G817" s="35"/>
      <c r="H817" s="24"/>
      <c r="I817" s="11"/>
      <c r="J817" s="27" t="str">
        <f aca="false">IF(A817="","",YEAR(A817))</f>
        <v/>
      </c>
      <c r="K817" s="24"/>
      <c r="L817" s="11"/>
    </row>
    <row r="818" customFormat="false" ht="15" hidden="false" customHeight="false" outlineLevel="0" collapsed="false">
      <c r="A818" s="22"/>
      <c r="B818" s="11"/>
      <c r="C818" s="24"/>
      <c r="D818" s="31" t="str">
        <f aca="false">IF(C818="","",IF(LEN(UPPER(SUBSTITUTE(SUBSTITUTE(SUBSTITUTE(SUBSTITUTE(TRIM(C818),".",""),"/",""),"-","")," ","")))&lt;14,RIGHT(REPT("0",14)&amp;UPPER(SUBSTITUTE(SUBSTITUTE(SUBSTITUTE(SUBSTITUTE(TRIM(C818),".",""),"/",""),"-","")," ","")),14),UPPER(SUBSTITUTE(SUBSTITUTE(SUBSTITUTE(SUBSTITUTE(TRIM(C818),".",""),"/",""),"-","")," ",""))))</f>
        <v/>
      </c>
      <c r="E818" s="25" t="str">
        <f aca="false">IF(D818="","",IFERROR(INDEX(Empresas!$C:$C,MATCH(D818,Empresas!$B:$B,0)),"cadastre o CNPJ em Empresas"))</f>
        <v/>
      </c>
      <c r="F818" s="23"/>
      <c r="G818" s="35"/>
      <c r="H818" s="24"/>
      <c r="I818" s="11"/>
      <c r="J818" s="27" t="str">
        <f aca="false">IF(A818="","",YEAR(A818))</f>
        <v/>
      </c>
      <c r="K818" s="24"/>
      <c r="L818" s="11"/>
    </row>
    <row r="819" customFormat="false" ht="15" hidden="false" customHeight="false" outlineLevel="0" collapsed="false">
      <c r="A819" s="22"/>
      <c r="B819" s="11"/>
      <c r="C819" s="24"/>
      <c r="D819" s="31" t="str">
        <f aca="false">IF(C819="","",IF(LEN(UPPER(SUBSTITUTE(SUBSTITUTE(SUBSTITUTE(SUBSTITUTE(TRIM(C819),".",""),"/",""),"-","")," ","")))&lt;14,RIGHT(REPT("0",14)&amp;UPPER(SUBSTITUTE(SUBSTITUTE(SUBSTITUTE(SUBSTITUTE(TRIM(C819),".",""),"/",""),"-","")," ","")),14),UPPER(SUBSTITUTE(SUBSTITUTE(SUBSTITUTE(SUBSTITUTE(TRIM(C819),".",""),"/",""),"-","")," ",""))))</f>
        <v/>
      </c>
      <c r="E819" s="25" t="str">
        <f aca="false">IF(D819="","",IFERROR(INDEX(Empresas!$C:$C,MATCH(D819,Empresas!$B:$B,0)),"cadastre o CNPJ em Empresas"))</f>
        <v/>
      </c>
      <c r="F819" s="23"/>
      <c r="G819" s="35"/>
      <c r="H819" s="24"/>
      <c r="I819" s="11"/>
      <c r="J819" s="27" t="str">
        <f aca="false">IF(A819="","",YEAR(A819))</f>
        <v/>
      </c>
      <c r="K819" s="24"/>
      <c r="L819" s="11"/>
    </row>
    <row r="820" customFormat="false" ht="15" hidden="false" customHeight="false" outlineLevel="0" collapsed="false">
      <c r="A820" s="22"/>
      <c r="B820" s="11"/>
      <c r="C820" s="24"/>
      <c r="D820" s="31" t="str">
        <f aca="false">IF(C820="","",IF(LEN(UPPER(SUBSTITUTE(SUBSTITUTE(SUBSTITUTE(SUBSTITUTE(TRIM(C820),".",""),"/",""),"-","")," ","")))&lt;14,RIGHT(REPT("0",14)&amp;UPPER(SUBSTITUTE(SUBSTITUTE(SUBSTITUTE(SUBSTITUTE(TRIM(C820),".",""),"/",""),"-","")," ","")),14),UPPER(SUBSTITUTE(SUBSTITUTE(SUBSTITUTE(SUBSTITUTE(TRIM(C820),".",""),"/",""),"-","")," ",""))))</f>
        <v/>
      </c>
      <c r="E820" s="25" t="str">
        <f aca="false">IF(D820="","",IFERROR(INDEX(Empresas!$C:$C,MATCH(D820,Empresas!$B:$B,0)),"cadastre o CNPJ em Empresas"))</f>
        <v/>
      </c>
      <c r="F820" s="23"/>
      <c r="G820" s="35"/>
      <c r="H820" s="24"/>
      <c r="I820" s="11"/>
      <c r="J820" s="27" t="str">
        <f aca="false">IF(A820="","",YEAR(A820))</f>
        <v/>
      </c>
      <c r="K820" s="24"/>
      <c r="L820" s="11"/>
    </row>
    <row r="821" customFormat="false" ht="15" hidden="false" customHeight="false" outlineLevel="0" collapsed="false">
      <c r="A821" s="22"/>
      <c r="B821" s="11"/>
      <c r="C821" s="24"/>
      <c r="D821" s="31" t="str">
        <f aca="false">IF(C821="","",IF(LEN(UPPER(SUBSTITUTE(SUBSTITUTE(SUBSTITUTE(SUBSTITUTE(TRIM(C821),".",""),"/",""),"-","")," ","")))&lt;14,RIGHT(REPT("0",14)&amp;UPPER(SUBSTITUTE(SUBSTITUTE(SUBSTITUTE(SUBSTITUTE(TRIM(C821),".",""),"/",""),"-","")," ","")),14),UPPER(SUBSTITUTE(SUBSTITUTE(SUBSTITUTE(SUBSTITUTE(TRIM(C821),".",""),"/",""),"-","")," ",""))))</f>
        <v/>
      </c>
      <c r="E821" s="25" t="str">
        <f aca="false">IF(D821="","",IFERROR(INDEX(Empresas!$C:$C,MATCH(D821,Empresas!$B:$B,0)),"cadastre o CNPJ em Empresas"))</f>
        <v/>
      </c>
      <c r="F821" s="23"/>
      <c r="G821" s="35"/>
      <c r="H821" s="24"/>
      <c r="I821" s="11"/>
      <c r="J821" s="27" t="str">
        <f aca="false">IF(A821="","",YEAR(A821))</f>
        <v/>
      </c>
      <c r="K821" s="24"/>
      <c r="L821" s="11"/>
    </row>
    <row r="822" customFormat="false" ht="15" hidden="false" customHeight="false" outlineLevel="0" collapsed="false">
      <c r="A822" s="22"/>
      <c r="B822" s="11"/>
      <c r="C822" s="24"/>
      <c r="D822" s="31" t="str">
        <f aca="false">IF(C822="","",IF(LEN(UPPER(SUBSTITUTE(SUBSTITUTE(SUBSTITUTE(SUBSTITUTE(TRIM(C822),".",""),"/",""),"-","")," ","")))&lt;14,RIGHT(REPT("0",14)&amp;UPPER(SUBSTITUTE(SUBSTITUTE(SUBSTITUTE(SUBSTITUTE(TRIM(C822),".",""),"/",""),"-","")," ","")),14),UPPER(SUBSTITUTE(SUBSTITUTE(SUBSTITUTE(SUBSTITUTE(TRIM(C822),".",""),"/",""),"-","")," ",""))))</f>
        <v/>
      </c>
      <c r="E822" s="25" t="str">
        <f aca="false">IF(D822="","",IFERROR(INDEX(Empresas!$C:$C,MATCH(D822,Empresas!$B:$B,0)),"cadastre o CNPJ em Empresas"))</f>
        <v/>
      </c>
      <c r="F822" s="23"/>
      <c r="G822" s="35"/>
      <c r="H822" s="24"/>
      <c r="I822" s="11"/>
      <c r="J822" s="27" t="str">
        <f aca="false">IF(A822="","",YEAR(A822))</f>
        <v/>
      </c>
      <c r="K822" s="24"/>
      <c r="L822" s="11"/>
    </row>
    <row r="823" customFormat="false" ht="15" hidden="false" customHeight="false" outlineLevel="0" collapsed="false">
      <c r="A823" s="22"/>
      <c r="B823" s="11"/>
      <c r="C823" s="24"/>
      <c r="D823" s="31" t="str">
        <f aca="false">IF(C823="","",IF(LEN(UPPER(SUBSTITUTE(SUBSTITUTE(SUBSTITUTE(SUBSTITUTE(TRIM(C823),".",""),"/",""),"-","")," ","")))&lt;14,RIGHT(REPT("0",14)&amp;UPPER(SUBSTITUTE(SUBSTITUTE(SUBSTITUTE(SUBSTITUTE(TRIM(C823),".",""),"/",""),"-","")," ","")),14),UPPER(SUBSTITUTE(SUBSTITUTE(SUBSTITUTE(SUBSTITUTE(TRIM(C823),".",""),"/",""),"-","")," ",""))))</f>
        <v/>
      </c>
      <c r="E823" s="25" t="str">
        <f aca="false">IF(D823="","",IFERROR(INDEX(Empresas!$C:$C,MATCH(D823,Empresas!$B:$B,0)),"cadastre o CNPJ em Empresas"))</f>
        <v/>
      </c>
      <c r="F823" s="23"/>
      <c r="G823" s="35"/>
      <c r="H823" s="24"/>
      <c r="I823" s="11"/>
      <c r="J823" s="27" t="str">
        <f aca="false">IF(A823="","",YEAR(A823))</f>
        <v/>
      </c>
      <c r="K823" s="24"/>
      <c r="L823" s="11"/>
    </row>
    <row r="824" customFormat="false" ht="15" hidden="false" customHeight="false" outlineLevel="0" collapsed="false">
      <c r="A824" s="22"/>
      <c r="B824" s="11"/>
      <c r="C824" s="24"/>
      <c r="D824" s="31" t="str">
        <f aca="false">IF(C824="","",IF(LEN(UPPER(SUBSTITUTE(SUBSTITUTE(SUBSTITUTE(SUBSTITUTE(TRIM(C824),".",""),"/",""),"-","")," ","")))&lt;14,RIGHT(REPT("0",14)&amp;UPPER(SUBSTITUTE(SUBSTITUTE(SUBSTITUTE(SUBSTITUTE(TRIM(C824),".",""),"/",""),"-","")," ","")),14),UPPER(SUBSTITUTE(SUBSTITUTE(SUBSTITUTE(SUBSTITUTE(TRIM(C824),".",""),"/",""),"-","")," ",""))))</f>
        <v/>
      </c>
      <c r="E824" s="25" t="str">
        <f aca="false">IF(D824="","",IFERROR(INDEX(Empresas!$C:$C,MATCH(D824,Empresas!$B:$B,0)),"cadastre o CNPJ em Empresas"))</f>
        <v/>
      </c>
      <c r="F824" s="23"/>
      <c r="G824" s="35"/>
      <c r="H824" s="24"/>
      <c r="I824" s="11"/>
      <c r="J824" s="27" t="str">
        <f aca="false">IF(A824="","",YEAR(A824))</f>
        <v/>
      </c>
      <c r="K824" s="24"/>
      <c r="L824" s="11"/>
    </row>
    <row r="825" customFormat="false" ht="15" hidden="false" customHeight="false" outlineLevel="0" collapsed="false">
      <c r="A825" s="22"/>
      <c r="B825" s="11"/>
      <c r="C825" s="24"/>
      <c r="D825" s="31" t="str">
        <f aca="false">IF(C825="","",IF(LEN(UPPER(SUBSTITUTE(SUBSTITUTE(SUBSTITUTE(SUBSTITUTE(TRIM(C825),".",""),"/",""),"-","")," ","")))&lt;14,RIGHT(REPT("0",14)&amp;UPPER(SUBSTITUTE(SUBSTITUTE(SUBSTITUTE(SUBSTITUTE(TRIM(C825),".",""),"/",""),"-","")," ","")),14),UPPER(SUBSTITUTE(SUBSTITUTE(SUBSTITUTE(SUBSTITUTE(TRIM(C825),".",""),"/",""),"-","")," ",""))))</f>
        <v/>
      </c>
      <c r="E825" s="25" t="str">
        <f aca="false">IF(D825="","",IFERROR(INDEX(Empresas!$C:$C,MATCH(D825,Empresas!$B:$B,0)),"cadastre o CNPJ em Empresas"))</f>
        <v/>
      </c>
      <c r="F825" s="23"/>
      <c r="G825" s="35"/>
      <c r="H825" s="24"/>
      <c r="I825" s="11"/>
      <c r="J825" s="27" t="str">
        <f aca="false">IF(A825="","",YEAR(A825))</f>
        <v/>
      </c>
      <c r="K825" s="24"/>
      <c r="L825" s="11"/>
    </row>
    <row r="826" customFormat="false" ht="15" hidden="false" customHeight="false" outlineLevel="0" collapsed="false">
      <c r="A826" s="22"/>
      <c r="B826" s="11"/>
      <c r="C826" s="24"/>
      <c r="D826" s="31" t="str">
        <f aca="false">IF(C826="","",IF(LEN(UPPER(SUBSTITUTE(SUBSTITUTE(SUBSTITUTE(SUBSTITUTE(TRIM(C826),".",""),"/",""),"-","")," ","")))&lt;14,RIGHT(REPT("0",14)&amp;UPPER(SUBSTITUTE(SUBSTITUTE(SUBSTITUTE(SUBSTITUTE(TRIM(C826),".",""),"/",""),"-","")," ","")),14),UPPER(SUBSTITUTE(SUBSTITUTE(SUBSTITUTE(SUBSTITUTE(TRIM(C826),".",""),"/",""),"-","")," ",""))))</f>
        <v/>
      </c>
      <c r="E826" s="25" t="str">
        <f aca="false">IF(D826="","",IFERROR(INDEX(Empresas!$C:$C,MATCH(D826,Empresas!$B:$B,0)),"cadastre o CNPJ em Empresas"))</f>
        <v/>
      </c>
      <c r="F826" s="23"/>
      <c r="G826" s="35"/>
      <c r="H826" s="24"/>
      <c r="I826" s="11"/>
      <c r="J826" s="27" t="str">
        <f aca="false">IF(A826="","",YEAR(A826))</f>
        <v/>
      </c>
      <c r="K826" s="24"/>
      <c r="L826" s="11"/>
    </row>
    <row r="827" customFormat="false" ht="15" hidden="false" customHeight="false" outlineLevel="0" collapsed="false">
      <c r="A827" s="22"/>
      <c r="B827" s="11"/>
      <c r="C827" s="24"/>
      <c r="D827" s="31" t="str">
        <f aca="false">IF(C827="","",IF(LEN(UPPER(SUBSTITUTE(SUBSTITUTE(SUBSTITUTE(SUBSTITUTE(TRIM(C827),".",""),"/",""),"-","")," ","")))&lt;14,RIGHT(REPT("0",14)&amp;UPPER(SUBSTITUTE(SUBSTITUTE(SUBSTITUTE(SUBSTITUTE(TRIM(C827),".",""),"/",""),"-","")," ","")),14),UPPER(SUBSTITUTE(SUBSTITUTE(SUBSTITUTE(SUBSTITUTE(TRIM(C827),".",""),"/",""),"-","")," ",""))))</f>
        <v/>
      </c>
      <c r="E827" s="25" t="str">
        <f aca="false">IF(D827="","",IFERROR(INDEX(Empresas!$C:$C,MATCH(D827,Empresas!$B:$B,0)),"cadastre o CNPJ em Empresas"))</f>
        <v/>
      </c>
      <c r="F827" s="23"/>
      <c r="G827" s="35"/>
      <c r="H827" s="24"/>
      <c r="I827" s="11"/>
      <c r="J827" s="27" t="str">
        <f aca="false">IF(A827="","",YEAR(A827))</f>
        <v/>
      </c>
      <c r="K827" s="24"/>
      <c r="L827" s="11"/>
    </row>
    <row r="828" customFormat="false" ht="15" hidden="false" customHeight="false" outlineLevel="0" collapsed="false">
      <c r="A828" s="22"/>
      <c r="B828" s="11"/>
      <c r="C828" s="24"/>
      <c r="D828" s="31" t="str">
        <f aca="false">IF(C828="","",IF(LEN(UPPER(SUBSTITUTE(SUBSTITUTE(SUBSTITUTE(SUBSTITUTE(TRIM(C828),".",""),"/",""),"-","")," ","")))&lt;14,RIGHT(REPT("0",14)&amp;UPPER(SUBSTITUTE(SUBSTITUTE(SUBSTITUTE(SUBSTITUTE(TRIM(C828),".",""),"/",""),"-","")," ","")),14),UPPER(SUBSTITUTE(SUBSTITUTE(SUBSTITUTE(SUBSTITUTE(TRIM(C828),".",""),"/",""),"-","")," ",""))))</f>
        <v/>
      </c>
      <c r="E828" s="25" t="str">
        <f aca="false">IF(D828="","",IFERROR(INDEX(Empresas!$C:$C,MATCH(D828,Empresas!$B:$B,0)),"cadastre o CNPJ em Empresas"))</f>
        <v/>
      </c>
      <c r="F828" s="23"/>
      <c r="G828" s="35"/>
      <c r="H828" s="24"/>
      <c r="I828" s="11"/>
      <c r="J828" s="27" t="str">
        <f aca="false">IF(A828="","",YEAR(A828))</f>
        <v/>
      </c>
      <c r="K828" s="24"/>
      <c r="L828" s="11"/>
    </row>
    <row r="829" customFormat="false" ht="15" hidden="false" customHeight="false" outlineLevel="0" collapsed="false">
      <c r="A829" s="22"/>
      <c r="B829" s="11"/>
      <c r="C829" s="24"/>
      <c r="D829" s="31" t="str">
        <f aca="false">IF(C829="","",IF(LEN(UPPER(SUBSTITUTE(SUBSTITUTE(SUBSTITUTE(SUBSTITUTE(TRIM(C829),".",""),"/",""),"-","")," ","")))&lt;14,RIGHT(REPT("0",14)&amp;UPPER(SUBSTITUTE(SUBSTITUTE(SUBSTITUTE(SUBSTITUTE(TRIM(C829),".",""),"/",""),"-","")," ","")),14),UPPER(SUBSTITUTE(SUBSTITUTE(SUBSTITUTE(SUBSTITUTE(TRIM(C829),".",""),"/",""),"-","")," ",""))))</f>
        <v/>
      </c>
      <c r="E829" s="25" t="str">
        <f aca="false">IF(D829="","",IFERROR(INDEX(Empresas!$C:$C,MATCH(D829,Empresas!$B:$B,0)),"cadastre o CNPJ em Empresas"))</f>
        <v/>
      </c>
      <c r="F829" s="23"/>
      <c r="G829" s="35"/>
      <c r="H829" s="24"/>
      <c r="I829" s="11"/>
      <c r="J829" s="27" t="str">
        <f aca="false">IF(A829="","",YEAR(A829))</f>
        <v/>
      </c>
      <c r="K829" s="24"/>
      <c r="L829" s="11"/>
    </row>
    <row r="830" customFormat="false" ht="15" hidden="false" customHeight="false" outlineLevel="0" collapsed="false">
      <c r="A830" s="22"/>
      <c r="B830" s="11"/>
      <c r="C830" s="24"/>
      <c r="D830" s="31" t="str">
        <f aca="false">IF(C830="","",IF(LEN(UPPER(SUBSTITUTE(SUBSTITUTE(SUBSTITUTE(SUBSTITUTE(TRIM(C830),".",""),"/",""),"-","")," ","")))&lt;14,RIGHT(REPT("0",14)&amp;UPPER(SUBSTITUTE(SUBSTITUTE(SUBSTITUTE(SUBSTITUTE(TRIM(C830),".",""),"/",""),"-","")," ","")),14),UPPER(SUBSTITUTE(SUBSTITUTE(SUBSTITUTE(SUBSTITUTE(TRIM(C830),".",""),"/",""),"-","")," ",""))))</f>
        <v/>
      </c>
      <c r="E830" s="25" t="str">
        <f aca="false">IF(D830="","",IFERROR(INDEX(Empresas!$C:$C,MATCH(D830,Empresas!$B:$B,0)),"cadastre o CNPJ em Empresas"))</f>
        <v/>
      </c>
      <c r="F830" s="23"/>
      <c r="G830" s="35"/>
      <c r="H830" s="24"/>
      <c r="I830" s="11"/>
      <c r="J830" s="27" t="str">
        <f aca="false">IF(A830="","",YEAR(A830))</f>
        <v/>
      </c>
      <c r="K830" s="24"/>
      <c r="L830" s="11"/>
    </row>
    <row r="831" customFormat="false" ht="15" hidden="false" customHeight="false" outlineLevel="0" collapsed="false">
      <c r="A831" s="22"/>
      <c r="B831" s="11"/>
      <c r="C831" s="24"/>
      <c r="D831" s="31" t="str">
        <f aca="false">IF(C831="","",IF(LEN(UPPER(SUBSTITUTE(SUBSTITUTE(SUBSTITUTE(SUBSTITUTE(TRIM(C831),".",""),"/",""),"-","")," ","")))&lt;14,RIGHT(REPT("0",14)&amp;UPPER(SUBSTITUTE(SUBSTITUTE(SUBSTITUTE(SUBSTITUTE(TRIM(C831),".",""),"/",""),"-","")," ","")),14),UPPER(SUBSTITUTE(SUBSTITUTE(SUBSTITUTE(SUBSTITUTE(TRIM(C831),".",""),"/",""),"-","")," ",""))))</f>
        <v/>
      </c>
      <c r="E831" s="25" t="str">
        <f aca="false">IF(D831="","",IFERROR(INDEX(Empresas!$C:$C,MATCH(D831,Empresas!$B:$B,0)),"cadastre o CNPJ em Empresas"))</f>
        <v/>
      </c>
      <c r="F831" s="23"/>
      <c r="G831" s="35"/>
      <c r="H831" s="24"/>
      <c r="I831" s="11"/>
      <c r="J831" s="27" t="str">
        <f aca="false">IF(A831="","",YEAR(A831))</f>
        <v/>
      </c>
      <c r="K831" s="24"/>
      <c r="L831" s="11"/>
    </row>
    <row r="832" customFormat="false" ht="15" hidden="false" customHeight="false" outlineLevel="0" collapsed="false">
      <c r="A832" s="22"/>
      <c r="B832" s="11"/>
      <c r="C832" s="24"/>
      <c r="D832" s="31" t="str">
        <f aca="false">IF(C832="","",IF(LEN(UPPER(SUBSTITUTE(SUBSTITUTE(SUBSTITUTE(SUBSTITUTE(TRIM(C832),".",""),"/",""),"-","")," ","")))&lt;14,RIGHT(REPT("0",14)&amp;UPPER(SUBSTITUTE(SUBSTITUTE(SUBSTITUTE(SUBSTITUTE(TRIM(C832),".",""),"/",""),"-","")," ","")),14),UPPER(SUBSTITUTE(SUBSTITUTE(SUBSTITUTE(SUBSTITUTE(TRIM(C832),".",""),"/",""),"-","")," ",""))))</f>
        <v/>
      </c>
      <c r="E832" s="25" t="str">
        <f aca="false">IF(D832="","",IFERROR(INDEX(Empresas!$C:$C,MATCH(D832,Empresas!$B:$B,0)),"cadastre o CNPJ em Empresas"))</f>
        <v/>
      </c>
      <c r="F832" s="23"/>
      <c r="G832" s="35"/>
      <c r="H832" s="24"/>
      <c r="I832" s="11"/>
      <c r="J832" s="27" t="str">
        <f aca="false">IF(A832="","",YEAR(A832))</f>
        <v/>
      </c>
      <c r="K832" s="24"/>
      <c r="L832" s="11"/>
    </row>
    <row r="833" customFormat="false" ht="15" hidden="false" customHeight="false" outlineLevel="0" collapsed="false">
      <c r="A833" s="22"/>
      <c r="B833" s="11"/>
      <c r="C833" s="24"/>
      <c r="D833" s="31" t="str">
        <f aca="false">IF(C833="","",IF(LEN(UPPER(SUBSTITUTE(SUBSTITUTE(SUBSTITUTE(SUBSTITUTE(TRIM(C833),".",""),"/",""),"-","")," ","")))&lt;14,RIGHT(REPT("0",14)&amp;UPPER(SUBSTITUTE(SUBSTITUTE(SUBSTITUTE(SUBSTITUTE(TRIM(C833),".",""),"/",""),"-","")," ","")),14),UPPER(SUBSTITUTE(SUBSTITUTE(SUBSTITUTE(SUBSTITUTE(TRIM(C833),".",""),"/",""),"-","")," ",""))))</f>
        <v/>
      </c>
      <c r="E833" s="25" t="str">
        <f aca="false">IF(D833="","",IFERROR(INDEX(Empresas!$C:$C,MATCH(D833,Empresas!$B:$B,0)),"cadastre o CNPJ em Empresas"))</f>
        <v/>
      </c>
      <c r="F833" s="23"/>
      <c r="G833" s="35"/>
      <c r="H833" s="24"/>
      <c r="I833" s="11"/>
      <c r="J833" s="27" t="str">
        <f aca="false">IF(A833="","",YEAR(A833))</f>
        <v/>
      </c>
      <c r="K833" s="24"/>
      <c r="L833" s="11"/>
    </row>
    <row r="834" customFormat="false" ht="15" hidden="false" customHeight="false" outlineLevel="0" collapsed="false">
      <c r="A834" s="22"/>
      <c r="B834" s="11"/>
      <c r="C834" s="24"/>
      <c r="D834" s="31" t="str">
        <f aca="false">IF(C834="","",IF(LEN(UPPER(SUBSTITUTE(SUBSTITUTE(SUBSTITUTE(SUBSTITUTE(TRIM(C834),".",""),"/",""),"-","")," ","")))&lt;14,RIGHT(REPT("0",14)&amp;UPPER(SUBSTITUTE(SUBSTITUTE(SUBSTITUTE(SUBSTITUTE(TRIM(C834),".",""),"/",""),"-","")," ","")),14),UPPER(SUBSTITUTE(SUBSTITUTE(SUBSTITUTE(SUBSTITUTE(TRIM(C834),".",""),"/",""),"-","")," ",""))))</f>
        <v/>
      </c>
      <c r="E834" s="25" t="str">
        <f aca="false">IF(D834="","",IFERROR(INDEX(Empresas!$C:$C,MATCH(D834,Empresas!$B:$B,0)),"cadastre o CNPJ em Empresas"))</f>
        <v/>
      </c>
      <c r="F834" s="23"/>
      <c r="G834" s="35"/>
      <c r="H834" s="24"/>
      <c r="I834" s="11"/>
      <c r="J834" s="27" t="str">
        <f aca="false">IF(A834="","",YEAR(A834))</f>
        <v/>
      </c>
      <c r="K834" s="24"/>
      <c r="L834" s="11"/>
    </row>
    <row r="835" customFormat="false" ht="15" hidden="false" customHeight="false" outlineLevel="0" collapsed="false">
      <c r="A835" s="22"/>
      <c r="B835" s="11"/>
      <c r="C835" s="24"/>
      <c r="D835" s="31" t="str">
        <f aca="false">IF(C835="","",IF(LEN(UPPER(SUBSTITUTE(SUBSTITUTE(SUBSTITUTE(SUBSTITUTE(TRIM(C835),".",""),"/",""),"-","")," ","")))&lt;14,RIGHT(REPT("0",14)&amp;UPPER(SUBSTITUTE(SUBSTITUTE(SUBSTITUTE(SUBSTITUTE(TRIM(C835),".",""),"/",""),"-","")," ","")),14),UPPER(SUBSTITUTE(SUBSTITUTE(SUBSTITUTE(SUBSTITUTE(TRIM(C835),".",""),"/",""),"-","")," ",""))))</f>
        <v/>
      </c>
      <c r="E835" s="25" t="str">
        <f aca="false">IF(D835="","",IFERROR(INDEX(Empresas!$C:$C,MATCH(D835,Empresas!$B:$B,0)),"cadastre o CNPJ em Empresas"))</f>
        <v/>
      </c>
      <c r="F835" s="23"/>
      <c r="G835" s="35"/>
      <c r="H835" s="24"/>
      <c r="I835" s="11"/>
      <c r="J835" s="27" t="str">
        <f aca="false">IF(A835="","",YEAR(A835))</f>
        <v/>
      </c>
      <c r="K835" s="24"/>
      <c r="L835" s="11"/>
    </row>
    <row r="836" customFormat="false" ht="15" hidden="false" customHeight="false" outlineLevel="0" collapsed="false">
      <c r="A836" s="22"/>
      <c r="B836" s="11"/>
      <c r="C836" s="24"/>
      <c r="D836" s="31" t="str">
        <f aca="false">IF(C836="","",IF(LEN(UPPER(SUBSTITUTE(SUBSTITUTE(SUBSTITUTE(SUBSTITUTE(TRIM(C836),".",""),"/",""),"-","")," ","")))&lt;14,RIGHT(REPT("0",14)&amp;UPPER(SUBSTITUTE(SUBSTITUTE(SUBSTITUTE(SUBSTITUTE(TRIM(C836),".",""),"/",""),"-","")," ","")),14),UPPER(SUBSTITUTE(SUBSTITUTE(SUBSTITUTE(SUBSTITUTE(TRIM(C836),".",""),"/",""),"-","")," ",""))))</f>
        <v/>
      </c>
      <c r="E836" s="25" t="str">
        <f aca="false">IF(D836="","",IFERROR(INDEX(Empresas!$C:$C,MATCH(D836,Empresas!$B:$B,0)),"cadastre o CNPJ em Empresas"))</f>
        <v/>
      </c>
      <c r="F836" s="23"/>
      <c r="G836" s="35"/>
      <c r="H836" s="24"/>
      <c r="I836" s="11"/>
      <c r="J836" s="27" t="str">
        <f aca="false">IF(A836="","",YEAR(A836))</f>
        <v/>
      </c>
      <c r="K836" s="24"/>
      <c r="L836" s="11"/>
    </row>
    <row r="837" customFormat="false" ht="15" hidden="false" customHeight="false" outlineLevel="0" collapsed="false">
      <c r="A837" s="22"/>
      <c r="B837" s="11"/>
      <c r="C837" s="24"/>
      <c r="D837" s="31" t="str">
        <f aca="false">IF(C837="","",IF(LEN(UPPER(SUBSTITUTE(SUBSTITUTE(SUBSTITUTE(SUBSTITUTE(TRIM(C837),".",""),"/",""),"-","")," ","")))&lt;14,RIGHT(REPT("0",14)&amp;UPPER(SUBSTITUTE(SUBSTITUTE(SUBSTITUTE(SUBSTITUTE(TRIM(C837),".",""),"/",""),"-","")," ","")),14),UPPER(SUBSTITUTE(SUBSTITUTE(SUBSTITUTE(SUBSTITUTE(TRIM(C837),".",""),"/",""),"-","")," ",""))))</f>
        <v/>
      </c>
      <c r="E837" s="25" t="str">
        <f aca="false">IF(D837="","",IFERROR(INDEX(Empresas!$C:$C,MATCH(D837,Empresas!$B:$B,0)),"cadastre o CNPJ em Empresas"))</f>
        <v/>
      </c>
      <c r="F837" s="23"/>
      <c r="G837" s="35"/>
      <c r="H837" s="24"/>
      <c r="I837" s="11"/>
      <c r="J837" s="27" t="str">
        <f aca="false">IF(A837="","",YEAR(A837))</f>
        <v/>
      </c>
      <c r="K837" s="24"/>
      <c r="L837" s="11"/>
    </row>
    <row r="838" customFormat="false" ht="15" hidden="false" customHeight="false" outlineLevel="0" collapsed="false">
      <c r="A838" s="22"/>
      <c r="B838" s="11"/>
      <c r="C838" s="24"/>
      <c r="D838" s="31" t="str">
        <f aca="false">IF(C838="","",IF(LEN(UPPER(SUBSTITUTE(SUBSTITUTE(SUBSTITUTE(SUBSTITUTE(TRIM(C838),".",""),"/",""),"-","")," ","")))&lt;14,RIGHT(REPT("0",14)&amp;UPPER(SUBSTITUTE(SUBSTITUTE(SUBSTITUTE(SUBSTITUTE(TRIM(C838),".",""),"/",""),"-","")," ","")),14),UPPER(SUBSTITUTE(SUBSTITUTE(SUBSTITUTE(SUBSTITUTE(TRIM(C838),".",""),"/",""),"-","")," ",""))))</f>
        <v/>
      </c>
      <c r="E838" s="25" t="str">
        <f aca="false">IF(D838="","",IFERROR(INDEX(Empresas!$C:$C,MATCH(D838,Empresas!$B:$B,0)),"cadastre o CNPJ em Empresas"))</f>
        <v/>
      </c>
      <c r="F838" s="23"/>
      <c r="G838" s="35"/>
      <c r="H838" s="24"/>
      <c r="I838" s="11"/>
      <c r="J838" s="27" t="str">
        <f aca="false">IF(A838="","",YEAR(A838))</f>
        <v/>
      </c>
      <c r="K838" s="24"/>
      <c r="L838" s="11"/>
    </row>
    <row r="839" customFormat="false" ht="15" hidden="false" customHeight="false" outlineLevel="0" collapsed="false">
      <c r="A839" s="22"/>
      <c r="B839" s="11"/>
      <c r="C839" s="24"/>
      <c r="D839" s="31" t="str">
        <f aca="false">IF(C839="","",IF(LEN(UPPER(SUBSTITUTE(SUBSTITUTE(SUBSTITUTE(SUBSTITUTE(TRIM(C839),".",""),"/",""),"-","")," ","")))&lt;14,RIGHT(REPT("0",14)&amp;UPPER(SUBSTITUTE(SUBSTITUTE(SUBSTITUTE(SUBSTITUTE(TRIM(C839),".",""),"/",""),"-","")," ","")),14),UPPER(SUBSTITUTE(SUBSTITUTE(SUBSTITUTE(SUBSTITUTE(TRIM(C839),".",""),"/",""),"-","")," ",""))))</f>
        <v/>
      </c>
      <c r="E839" s="25" t="str">
        <f aca="false">IF(D839="","",IFERROR(INDEX(Empresas!$C:$C,MATCH(D839,Empresas!$B:$B,0)),"cadastre o CNPJ em Empresas"))</f>
        <v/>
      </c>
      <c r="F839" s="23"/>
      <c r="G839" s="35"/>
      <c r="H839" s="24"/>
      <c r="I839" s="11"/>
      <c r="J839" s="27" t="str">
        <f aca="false">IF(A839="","",YEAR(A839))</f>
        <v/>
      </c>
      <c r="K839" s="24"/>
      <c r="L839" s="11"/>
    </row>
    <row r="840" customFormat="false" ht="15" hidden="false" customHeight="false" outlineLevel="0" collapsed="false">
      <c r="A840" s="22"/>
      <c r="B840" s="11"/>
      <c r="C840" s="24"/>
      <c r="D840" s="31" t="str">
        <f aca="false">IF(C840="","",IF(LEN(UPPER(SUBSTITUTE(SUBSTITUTE(SUBSTITUTE(SUBSTITUTE(TRIM(C840),".",""),"/",""),"-","")," ","")))&lt;14,RIGHT(REPT("0",14)&amp;UPPER(SUBSTITUTE(SUBSTITUTE(SUBSTITUTE(SUBSTITUTE(TRIM(C840),".",""),"/",""),"-","")," ","")),14),UPPER(SUBSTITUTE(SUBSTITUTE(SUBSTITUTE(SUBSTITUTE(TRIM(C840),".",""),"/",""),"-","")," ",""))))</f>
        <v/>
      </c>
      <c r="E840" s="25" t="str">
        <f aca="false">IF(D840="","",IFERROR(INDEX(Empresas!$C:$C,MATCH(D840,Empresas!$B:$B,0)),"cadastre o CNPJ em Empresas"))</f>
        <v/>
      </c>
      <c r="F840" s="23"/>
      <c r="G840" s="35"/>
      <c r="H840" s="24"/>
      <c r="I840" s="11"/>
      <c r="J840" s="27" t="str">
        <f aca="false">IF(A840="","",YEAR(A840))</f>
        <v/>
      </c>
      <c r="K840" s="24"/>
      <c r="L840" s="11"/>
    </row>
    <row r="841" customFormat="false" ht="15" hidden="false" customHeight="false" outlineLevel="0" collapsed="false">
      <c r="A841" s="22"/>
      <c r="B841" s="11"/>
      <c r="C841" s="24"/>
      <c r="D841" s="31" t="str">
        <f aca="false">IF(C841="","",IF(LEN(UPPER(SUBSTITUTE(SUBSTITUTE(SUBSTITUTE(SUBSTITUTE(TRIM(C841),".",""),"/",""),"-","")," ","")))&lt;14,RIGHT(REPT("0",14)&amp;UPPER(SUBSTITUTE(SUBSTITUTE(SUBSTITUTE(SUBSTITUTE(TRIM(C841),".",""),"/",""),"-","")," ","")),14),UPPER(SUBSTITUTE(SUBSTITUTE(SUBSTITUTE(SUBSTITUTE(TRIM(C841),".",""),"/",""),"-","")," ",""))))</f>
        <v/>
      </c>
      <c r="E841" s="25" t="str">
        <f aca="false">IF(D841="","",IFERROR(INDEX(Empresas!$C:$C,MATCH(D841,Empresas!$B:$B,0)),"cadastre o CNPJ em Empresas"))</f>
        <v/>
      </c>
      <c r="F841" s="23"/>
      <c r="G841" s="35"/>
      <c r="H841" s="24"/>
      <c r="I841" s="11"/>
      <c r="J841" s="27" t="str">
        <f aca="false">IF(A841="","",YEAR(A841))</f>
        <v/>
      </c>
      <c r="K841" s="24"/>
      <c r="L841" s="11"/>
    </row>
    <row r="842" customFormat="false" ht="15" hidden="false" customHeight="false" outlineLevel="0" collapsed="false">
      <c r="A842" s="22"/>
      <c r="B842" s="11"/>
      <c r="C842" s="24"/>
      <c r="D842" s="31" t="str">
        <f aca="false">IF(C842="","",IF(LEN(UPPER(SUBSTITUTE(SUBSTITUTE(SUBSTITUTE(SUBSTITUTE(TRIM(C842),".",""),"/",""),"-","")," ","")))&lt;14,RIGHT(REPT("0",14)&amp;UPPER(SUBSTITUTE(SUBSTITUTE(SUBSTITUTE(SUBSTITUTE(TRIM(C842),".",""),"/",""),"-","")," ","")),14),UPPER(SUBSTITUTE(SUBSTITUTE(SUBSTITUTE(SUBSTITUTE(TRIM(C842),".",""),"/",""),"-","")," ",""))))</f>
        <v/>
      </c>
      <c r="E842" s="25" t="str">
        <f aca="false">IF(D842="","",IFERROR(INDEX(Empresas!$C:$C,MATCH(D842,Empresas!$B:$B,0)),"cadastre o CNPJ em Empresas"))</f>
        <v/>
      </c>
      <c r="F842" s="23"/>
      <c r="G842" s="35"/>
      <c r="H842" s="24"/>
      <c r="I842" s="11"/>
      <c r="J842" s="27" t="str">
        <f aca="false">IF(A842="","",YEAR(A842))</f>
        <v/>
      </c>
      <c r="K842" s="24"/>
      <c r="L842" s="11"/>
    </row>
    <row r="843" customFormat="false" ht="15" hidden="false" customHeight="false" outlineLevel="0" collapsed="false">
      <c r="A843" s="22"/>
      <c r="B843" s="11"/>
      <c r="C843" s="24"/>
      <c r="D843" s="31" t="str">
        <f aca="false">IF(C843="","",IF(LEN(UPPER(SUBSTITUTE(SUBSTITUTE(SUBSTITUTE(SUBSTITUTE(TRIM(C843),".",""),"/",""),"-","")," ","")))&lt;14,RIGHT(REPT("0",14)&amp;UPPER(SUBSTITUTE(SUBSTITUTE(SUBSTITUTE(SUBSTITUTE(TRIM(C843),".",""),"/",""),"-","")," ","")),14),UPPER(SUBSTITUTE(SUBSTITUTE(SUBSTITUTE(SUBSTITUTE(TRIM(C843),".",""),"/",""),"-","")," ",""))))</f>
        <v/>
      </c>
      <c r="E843" s="25" t="str">
        <f aca="false">IF(D843="","",IFERROR(INDEX(Empresas!$C:$C,MATCH(D843,Empresas!$B:$B,0)),"cadastre o CNPJ em Empresas"))</f>
        <v/>
      </c>
      <c r="F843" s="23"/>
      <c r="G843" s="35"/>
      <c r="H843" s="24"/>
      <c r="I843" s="11"/>
      <c r="J843" s="27" t="str">
        <f aca="false">IF(A843="","",YEAR(A843))</f>
        <v/>
      </c>
      <c r="K843" s="24"/>
      <c r="L843" s="11"/>
    </row>
    <row r="844" customFormat="false" ht="15" hidden="false" customHeight="false" outlineLevel="0" collapsed="false">
      <c r="A844" s="22"/>
      <c r="B844" s="11"/>
      <c r="C844" s="24"/>
      <c r="D844" s="31" t="str">
        <f aca="false">IF(C844="","",IF(LEN(UPPER(SUBSTITUTE(SUBSTITUTE(SUBSTITUTE(SUBSTITUTE(TRIM(C844),".",""),"/",""),"-","")," ","")))&lt;14,RIGHT(REPT("0",14)&amp;UPPER(SUBSTITUTE(SUBSTITUTE(SUBSTITUTE(SUBSTITUTE(TRIM(C844),".",""),"/",""),"-","")," ","")),14),UPPER(SUBSTITUTE(SUBSTITUTE(SUBSTITUTE(SUBSTITUTE(TRIM(C844),".",""),"/",""),"-","")," ",""))))</f>
        <v/>
      </c>
      <c r="E844" s="25" t="str">
        <f aca="false">IF(D844="","",IFERROR(INDEX(Empresas!$C:$C,MATCH(D844,Empresas!$B:$B,0)),"cadastre o CNPJ em Empresas"))</f>
        <v/>
      </c>
      <c r="F844" s="23"/>
      <c r="G844" s="35"/>
      <c r="H844" s="24"/>
      <c r="I844" s="11"/>
      <c r="J844" s="27" t="str">
        <f aca="false">IF(A844="","",YEAR(A844))</f>
        <v/>
      </c>
      <c r="K844" s="24"/>
      <c r="L844" s="11"/>
    </row>
    <row r="845" customFormat="false" ht="15" hidden="false" customHeight="false" outlineLevel="0" collapsed="false">
      <c r="A845" s="22"/>
      <c r="B845" s="11"/>
      <c r="C845" s="24"/>
      <c r="D845" s="31" t="str">
        <f aca="false">IF(C845="","",IF(LEN(UPPER(SUBSTITUTE(SUBSTITUTE(SUBSTITUTE(SUBSTITUTE(TRIM(C845),".",""),"/",""),"-","")," ","")))&lt;14,RIGHT(REPT("0",14)&amp;UPPER(SUBSTITUTE(SUBSTITUTE(SUBSTITUTE(SUBSTITUTE(TRIM(C845),".",""),"/",""),"-","")," ","")),14),UPPER(SUBSTITUTE(SUBSTITUTE(SUBSTITUTE(SUBSTITUTE(TRIM(C845),".",""),"/",""),"-","")," ",""))))</f>
        <v/>
      </c>
      <c r="E845" s="25" t="str">
        <f aca="false">IF(D845="","",IFERROR(INDEX(Empresas!$C:$C,MATCH(D845,Empresas!$B:$B,0)),"cadastre o CNPJ em Empresas"))</f>
        <v/>
      </c>
      <c r="F845" s="23"/>
      <c r="G845" s="35"/>
      <c r="H845" s="24"/>
      <c r="I845" s="11"/>
      <c r="J845" s="27" t="str">
        <f aca="false">IF(A845="","",YEAR(A845))</f>
        <v/>
      </c>
      <c r="K845" s="24"/>
      <c r="L845" s="11"/>
    </row>
    <row r="846" customFormat="false" ht="15" hidden="false" customHeight="false" outlineLevel="0" collapsed="false">
      <c r="A846" s="22"/>
      <c r="B846" s="11"/>
      <c r="C846" s="24"/>
      <c r="D846" s="31" t="str">
        <f aca="false">IF(C846="","",IF(LEN(UPPER(SUBSTITUTE(SUBSTITUTE(SUBSTITUTE(SUBSTITUTE(TRIM(C846),".",""),"/",""),"-","")," ","")))&lt;14,RIGHT(REPT("0",14)&amp;UPPER(SUBSTITUTE(SUBSTITUTE(SUBSTITUTE(SUBSTITUTE(TRIM(C846),".",""),"/",""),"-","")," ","")),14),UPPER(SUBSTITUTE(SUBSTITUTE(SUBSTITUTE(SUBSTITUTE(TRIM(C846),".",""),"/",""),"-","")," ",""))))</f>
        <v/>
      </c>
      <c r="E846" s="25" t="str">
        <f aca="false">IF(D846="","",IFERROR(INDEX(Empresas!$C:$C,MATCH(D846,Empresas!$B:$B,0)),"cadastre o CNPJ em Empresas"))</f>
        <v/>
      </c>
      <c r="F846" s="23"/>
      <c r="G846" s="35"/>
      <c r="H846" s="24"/>
      <c r="I846" s="11"/>
      <c r="J846" s="27" t="str">
        <f aca="false">IF(A846="","",YEAR(A846))</f>
        <v/>
      </c>
      <c r="K846" s="24"/>
      <c r="L846" s="11"/>
    </row>
    <row r="847" customFormat="false" ht="15" hidden="false" customHeight="false" outlineLevel="0" collapsed="false">
      <c r="A847" s="22"/>
      <c r="B847" s="11"/>
      <c r="C847" s="24"/>
      <c r="D847" s="31" t="str">
        <f aca="false">IF(C847="","",IF(LEN(UPPER(SUBSTITUTE(SUBSTITUTE(SUBSTITUTE(SUBSTITUTE(TRIM(C847),".",""),"/",""),"-","")," ","")))&lt;14,RIGHT(REPT("0",14)&amp;UPPER(SUBSTITUTE(SUBSTITUTE(SUBSTITUTE(SUBSTITUTE(TRIM(C847),".",""),"/",""),"-","")," ","")),14),UPPER(SUBSTITUTE(SUBSTITUTE(SUBSTITUTE(SUBSTITUTE(TRIM(C847),".",""),"/",""),"-","")," ",""))))</f>
        <v/>
      </c>
      <c r="E847" s="25" t="str">
        <f aca="false">IF(D847="","",IFERROR(INDEX(Empresas!$C:$C,MATCH(D847,Empresas!$B:$B,0)),"cadastre o CNPJ em Empresas"))</f>
        <v/>
      </c>
      <c r="F847" s="23"/>
      <c r="G847" s="35"/>
      <c r="H847" s="24"/>
      <c r="I847" s="11"/>
      <c r="J847" s="27" t="str">
        <f aca="false">IF(A847="","",YEAR(A847))</f>
        <v/>
      </c>
      <c r="K847" s="24"/>
      <c r="L847" s="11"/>
    </row>
    <row r="848" customFormat="false" ht="15" hidden="false" customHeight="false" outlineLevel="0" collapsed="false">
      <c r="A848" s="22"/>
      <c r="B848" s="11"/>
      <c r="C848" s="24"/>
      <c r="D848" s="31" t="str">
        <f aca="false">IF(C848="","",IF(LEN(UPPER(SUBSTITUTE(SUBSTITUTE(SUBSTITUTE(SUBSTITUTE(TRIM(C848),".",""),"/",""),"-","")," ","")))&lt;14,RIGHT(REPT("0",14)&amp;UPPER(SUBSTITUTE(SUBSTITUTE(SUBSTITUTE(SUBSTITUTE(TRIM(C848),".",""),"/",""),"-","")," ","")),14),UPPER(SUBSTITUTE(SUBSTITUTE(SUBSTITUTE(SUBSTITUTE(TRIM(C848),".",""),"/",""),"-","")," ",""))))</f>
        <v/>
      </c>
      <c r="E848" s="25" t="str">
        <f aca="false">IF(D848="","",IFERROR(INDEX(Empresas!$C:$C,MATCH(D848,Empresas!$B:$B,0)),"cadastre o CNPJ em Empresas"))</f>
        <v/>
      </c>
      <c r="F848" s="23"/>
      <c r="G848" s="35"/>
      <c r="H848" s="24"/>
      <c r="I848" s="11"/>
      <c r="J848" s="27" t="str">
        <f aca="false">IF(A848="","",YEAR(A848))</f>
        <v/>
      </c>
      <c r="K848" s="24"/>
      <c r="L848" s="11"/>
    </row>
    <row r="849" customFormat="false" ht="15" hidden="false" customHeight="false" outlineLevel="0" collapsed="false">
      <c r="A849" s="22"/>
      <c r="B849" s="11"/>
      <c r="C849" s="24"/>
      <c r="D849" s="31" t="str">
        <f aca="false">IF(C849="","",IF(LEN(UPPER(SUBSTITUTE(SUBSTITUTE(SUBSTITUTE(SUBSTITUTE(TRIM(C849),".",""),"/",""),"-","")," ","")))&lt;14,RIGHT(REPT("0",14)&amp;UPPER(SUBSTITUTE(SUBSTITUTE(SUBSTITUTE(SUBSTITUTE(TRIM(C849),".",""),"/",""),"-","")," ","")),14),UPPER(SUBSTITUTE(SUBSTITUTE(SUBSTITUTE(SUBSTITUTE(TRIM(C849),".",""),"/",""),"-","")," ",""))))</f>
        <v/>
      </c>
      <c r="E849" s="25" t="str">
        <f aca="false">IF(D849="","",IFERROR(INDEX(Empresas!$C:$C,MATCH(D849,Empresas!$B:$B,0)),"cadastre o CNPJ em Empresas"))</f>
        <v/>
      </c>
      <c r="F849" s="23"/>
      <c r="G849" s="35"/>
      <c r="H849" s="24"/>
      <c r="I849" s="11"/>
      <c r="J849" s="27" t="str">
        <f aca="false">IF(A849="","",YEAR(A849))</f>
        <v/>
      </c>
      <c r="K849" s="24"/>
      <c r="L849" s="11"/>
    </row>
    <row r="850" customFormat="false" ht="15" hidden="false" customHeight="false" outlineLevel="0" collapsed="false">
      <c r="A850" s="22"/>
      <c r="B850" s="11"/>
      <c r="C850" s="24"/>
      <c r="D850" s="31" t="str">
        <f aca="false">IF(C850="","",IF(LEN(UPPER(SUBSTITUTE(SUBSTITUTE(SUBSTITUTE(SUBSTITUTE(TRIM(C850),".",""),"/",""),"-","")," ","")))&lt;14,RIGHT(REPT("0",14)&amp;UPPER(SUBSTITUTE(SUBSTITUTE(SUBSTITUTE(SUBSTITUTE(TRIM(C850),".",""),"/",""),"-","")," ","")),14),UPPER(SUBSTITUTE(SUBSTITUTE(SUBSTITUTE(SUBSTITUTE(TRIM(C850),".",""),"/",""),"-","")," ",""))))</f>
        <v/>
      </c>
      <c r="E850" s="25" t="str">
        <f aca="false">IF(D850="","",IFERROR(INDEX(Empresas!$C:$C,MATCH(D850,Empresas!$B:$B,0)),"cadastre o CNPJ em Empresas"))</f>
        <v/>
      </c>
      <c r="F850" s="23"/>
      <c r="G850" s="35"/>
      <c r="H850" s="24"/>
      <c r="I850" s="11"/>
      <c r="J850" s="27" t="str">
        <f aca="false">IF(A850="","",YEAR(A850))</f>
        <v/>
      </c>
      <c r="K850" s="24"/>
      <c r="L850" s="11"/>
    </row>
    <row r="851" customFormat="false" ht="15" hidden="false" customHeight="false" outlineLevel="0" collapsed="false">
      <c r="A851" s="22"/>
      <c r="B851" s="11"/>
      <c r="C851" s="24"/>
      <c r="D851" s="31" t="str">
        <f aca="false">IF(C851="","",IF(LEN(UPPER(SUBSTITUTE(SUBSTITUTE(SUBSTITUTE(SUBSTITUTE(TRIM(C851),".",""),"/",""),"-","")," ","")))&lt;14,RIGHT(REPT("0",14)&amp;UPPER(SUBSTITUTE(SUBSTITUTE(SUBSTITUTE(SUBSTITUTE(TRIM(C851),".",""),"/",""),"-","")," ","")),14),UPPER(SUBSTITUTE(SUBSTITUTE(SUBSTITUTE(SUBSTITUTE(TRIM(C851),".",""),"/",""),"-","")," ",""))))</f>
        <v/>
      </c>
      <c r="E851" s="25" t="str">
        <f aca="false">IF(D851="","",IFERROR(INDEX(Empresas!$C:$C,MATCH(D851,Empresas!$B:$B,0)),"cadastre o CNPJ em Empresas"))</f>
        <v/>
      </c>
      <c r="F851" s="23"/>
      <c r="G851" s="35"/>
      <c r="H851" s="24"/>
      <c r="I851" s="11"/>
      <c r="J851" s="27" t="str">
        <f aca="false">IF(A851="","",YEAR(A851))</f>
        <v/>
      </c>
      <c r="K851" s="24"/>
      <c r="L851" s="11"/>
    </row>
    <row r="852" customFormat="false" ht="15" hidden="false" customHeight="false" outlineLevel="0" collapsed="false">
      <c r="A852" s="22"/>
      <c r="B852" s="11"/>
      <c r="C852" s="24"/>
      <c r="D852" s="31" t="str">
        <f aca="false">IF(C852="","",IF(LEN(UPPER(SUBSTITUTE(SUBSTITUTE(SUBSTITUTE(SUBSTITUTE(TRIM(C852),".",""),"/",""),"-","")," ","")))&lt;14,RIGHT(REPT("0",14)&amp;UPPER(SUBSTITUTE(SUBSTITUTE(SUBSTITUTE(SUBSTITUTE(TRIM(C852),".",""),"/",""),"-","")," ","")),14),UPPER(SUBSTITUTE(SUBSTITUTE(SUBSTITUTE(SUBSTITUTE(TRIM(C852),".",""),"/",""),"-","")," ",""))))</f>
        <v/>
      </c>
      <c r="E852" s="25" t="str">
        <f aca="false">IF(D852="","",IFERROR(INDEX(Empresas!$C:$C,MATCH(D852,Empresas!$B:$B,0)),"cadastre o CNPJ em Empresas"))</f>
        <v/>
      </c>
      <c r="F852" s="23"/>
      <c r="G852" s="35"/>
      <c r="H852" s="24"/>
      <c r="I852" s="11"/>
      <c r="J852" s="27" t="str">
        <f aca="false">IF(A852="","",YEAR(A852))</f>
        <v/>
      </c>
      <c r="K852" s="24"/>
      <c r="L852" s="11"/>
    </row>
    <row r="853" customFormat="false" ht="15" hidden="false" customHeight="false" outlineLevel="0" collapsed="false">
      <c r="A853" s="22"/>
      <c r="B853" s="11"/>
      <c r="C853" s="24"/>
      <c r="D853" s="31" t="str">
        <f aca="false">IF(C853="","",IF(LEN(UPPER(SUBSTITUTE(SUBSTITUTE(SUBSTITUTE(SUBSTITUTE(TRIM(C853),".",""),"/",""),"-","")," ","")))&lt;14,RIGHT(REPT("0",14)&amp;UPPER(SUBSTITUTE(SUBSTITUTE(SUBSTITUTE(SUBSTITUTE(TRIM(C853),".",""),"/",""),"-","")," ","")),14),UPPER(SUBSTITUTE(SUBSTITUTE(SUBSTITUTE(SUBSTITUTE(TRIM(C853),".",""),"/",""),"-","")," ",""))))</f>
        <v/>
      </c>
      <c r="E853" s="25" t="str">
        <f aca="false">IF(D853="","",IFERROR(INDEX(Empresas!$C:$C,MATCH(D853,Empresas!$B:$B,0)),"cadastre o CNPJ em Empresas"))</f>
        <v/>
      </c>
      <c r="F853" s="23"/>
      <c r="G853" s="35"/>
      <c r="H853" s="24"/>
      <c r="I853" s="11"/>
      <c r="J853" s="27" t="str">
        <f aca="false">IF(A853="","",YEAR(A853))</f>
        <v/>
      </c>
      <c r="K853" s="24"/>
      <c r="L853" s="11"/>
    </row>
    <row r="854" customFormat="false" ht="15" hidden="false" customHeight="false" outlineLevel="0" collapsed="false">
      <c r="A854" s="22"/>
      <c r="B854" s="11"/>
      <c r="C854" s="24"/>
      <c r="D854" s="31" t="str">
        <f aca="false">IF(C854="","",IF(LEN(UPPER(SUBSTITUTE(SUBSTITUTE(SUBSTITUTE(SUBSTITUTE(TRIM(C854),".",""),"/",""),"-","")," ","")))&lt;14,RIGHT(REPT("0",14)&amp;UPPER(SUBSTITUTE(SUBSTITUTE(SUBSTITUTE(SUBSTITUTE(TRIM(C854),".",""),"/",""),"-","")," ","")),14),UPPER(SUBSTITUTE(SUBSTITUTE(SUBSTITUTE(SUBSTITUTE(TRIM(C854),".",""),"/",""),"-","")," ",""))))</f>
        <v/>
      </c>
      <c r="E854" s="25" t="str">
        <f aca="false">IF(D854="","",IFERROR(INDEX(Empresas!$C:$C,MATCH(D854,Empresas!$B:$B,0)),"cadastre o CNPJ em Empresas"))</f>
        <v/>
      </c>
      <c r="F854" s="23"/>
      <c r="G854" s="35"/>
      <c r="H854" s="24"/>
      <c r="I854" s="11"/>
      <c r="J854" s="27" t="str">
        <f aca="false">IF(A854="","",YEAR(A854))</f>
        <v/>
      </c>
      <c r="K854" s="24"/>
      <c r="L854" s="11"/>
    </row>
    <row r="855" customFormat="false" ht="15" hidden="false" customHeight="false" outlineLevel="0" collapsed="false">
      <c r="A855" s="22"/>
      <c r="B855" s="11"/>
      <c r="C855" s="24"/>
      <c r="D855" s="31" t="str">
        <f aca="false">IF(C855="","",IF(LEN(UPPER(SUBSTITUTE(SUBSTITUTE(SUBSTITUTE(SUBSTITUTE(TRIM(C855),".",""),"/",""),"-","")," ","")))&lt;14,RIGHT(REPT("0",14)&amp;UPPER(SUBSTITUTE(SUBSTITUTE(SUBSTITUTE(SUBSTITUTE(TRIM(C855),".",""),"/",""),"-","")," ","")),14),UPPER(SUBSTITUTE(SUBSTITUTE(SUBSTITUTE(SUBSTITUTE(TRIM(C855),".",""),"/",""),"-","")," ",""))))</f>
        <v/>
      </c>
      <c r="E855" s="25" t="str">
        <f aca="false">IF(D855="","",IFERROR(INDEX(Empresas!$C:$C,MATCH(D855,Empresas!$B:$B,0)),"cadastre o CNPJ em Empresas"))</f>
        <v/>
      </c>
      <c r="F855" s="23"/>
      <c r="G855" s="35"/>
      <c r="H855" s="24"/>
      <c r="I855" s="11"/>
      <c r="J855" s="27" t="str">
        <f aca="false">IF(A855="","",YEAR(A855))</f>
        <v/>
      </c>
      <c r="K855" s="24"/>
      <c r="L855" s="11"/>
    </row>
    <row r="856" customFormat="false" ht="15" hidden="false" customHeight="false" outlineLevel="0" collapsed="false">
      <c r="A856" s="22"/>
      <c r="B856" s="11"/>
      <c r="C856" s="24"/>
      <c r="D856" s="31" t="str">
        <f aca="false">IF(C856="","",IF(LEN(UPPER(SUBSTITUTE(SUBSTITUTE(SUBSTITUTE(SUBSTITUTE(TRIM(C856),".",""),"/",""),"-","")," ","")))&lt;14,RIGHT(REPT("0",14)&amp;UPPER(SUBSTITUTE(SUBSTITUTE(SUBSTITUTE(SUBSTITUTE(TRIM(C856),".",""),"/",""),"-","")," ","")),14),UPPER(SUBSTITUTE(SUBSTITUTE(SUBSTITUTE(SUBSTITUTE(TRIM(C856),".",""),"/",""),"-","")," ",""))))</f>
        <v/>
      </c>
      <c r="E856" s="25" t="str">
        <f aca="false">IF(D856="","",IFERROR(INDEX(Empresas!$C:$C,MATCH(D856,Empresas!$B:$B,0)),"cadastre o CNPJ em Empresas"))</f>
        <v/>
      </c>
      <c r="F856" s="23"/>
      <c r="G856" s="35"/>
      <c r="H856" s="24"/>
      <c r="I856" s="11"/>
      <c r="J856" s="27" t="str">
        <f aca="false">IF(A856="","",YEAR(A856))</f>
        <v/>
      </c>
      <c r="K856" s="24"/>
      <c r="L856" s="11"/>
    </row>
    <row r="857" customFormat="false" ht="15" hidden="false" customHeight="false" outlineLevel="0" collapsed="false">
      <c r="A857" s="22"/>
      <c r="B857" s="11"/>
      <c r="C857" s="24"/>
      <c r="D857" s="31" t="str">
        <f aca="false">IF(C857="","",IF(LEN(UPPER(SUBSTITUTE(SUBSTITUTE(SUBSTITUTE(SUBSTITUTE(TRIM(C857),".",""),"/",""),"-","")," ","")))&lt;14,RIGHT(REPT("0",14)&amp;UPPER(SUBSTITUTE(SUBSTITUTE(SUBSTITUTE(SUBSTITUTE(TRIM(C857),".",""),"/",""),"-","")," ","")),14),UPPER(SUBSTITUTE(SUBSTITUTE(SUBSTITUTE(SUBSTITUTE(TRIM(C857),".",""),"/",""),"-","")," ",""))))</f>
        <v/>
      </c>
      <c r="E857" s="25" t="str">
        <f aca="false">IF(D857="","",IFERROR(INDEX(Empresas!$C:$C,MATCH(D857,Empresas!$B:$B,0)),"cadastre o CNPJ em Empresas"))</f>
        <v/>
      </c>
      <c r="F857" s="23"/>
      <c r="G857" s="35"/>
      <c r="H857" s="24"/>
      <c r="I857" s="11"/>
      <c r="J857" s="27" t="str">
        <f aca="false">IF(A857="","",YEAR(A857))</f>
        <v/>
      </c>
      <c r="K857" s="24"/>
      <c r="L857" s="11"/>
    </row>
    <row r="858" customFormat="false" ht="15" hidden="false" customHeight="false" outlineLevel="0" collapsed="false">
      <c r="A858" s="22"/>
      <c r="B858" s="11"/>
      <c r="C858" s="24"/>
      <c r="D858" s="31" t="str">
        <f aca="false">IF(C858="","",IF(LEN(UPPER(SUBSTITUTE(SUBSTITUTE(SUBSTITUTE(SUBSTITUTE(TRIM(C858),".",""),"/",""),"-","")," ","")))&lt;14,RIGHT(REPT("0",14)&amp;UPPER(SUBSTITUTE(SUBSTITUTE(SUBSTITUTE(SUBSTITUTE(TRIM(C858),".",""),"/",""),"-","")," ","")),14),UPPER(SUBSTITUTE(SUBSTITUTE(SUBSTITUTE(SUBSTITUTE(TRIM(C858),".",""),"/",""),"-","")," ",""))))</f>
        <v/>
      </c>
      <c r="E858" s="25" t="str">
        <f aca="false">IF(D858="","",IFERROR(INDEX(Empresas!$C:$C,MATCH(D858,Empresas!$B:$B,0)),"cadastre o CNPJ em Empresas"))</f>
        <v/>
      </c>
      <c r="F858" s="23"/>
      <c r="G858" s="35"/>
      <c r="H858" s="24"/>
      <c r="I858" s="11"/>
      <c r="J858" s="27" t="str">
        <f aca="false">IF(A858="","",YEAR(A858))</f>
        <v/>
      </c>
      <c r="K858" s="24"/>
      <c r="L858" s="11"/>
    </row>
    <row r="859" customFormat="false" ht="15" hidden="false" customHeight="false" outlineLevel="0" collapsed="false">
      <c r="A859" s="22"/>
      <c r="B859" s="11"/>
      <c r="C859" s="24"/>
      <c r="D859" s="31" t="str">
        <f aca="false">IF(C859="","",IF(LEN(UPPER(SUBSTITUTE(SUBSTITUTE(SUBSTITUTE(SUBSTITUTE(TRIM(C859),".",""),"/",""),"-","")," ","")))&lt;14,RIGHT(REPT("0",14)&amp;UPPER(SUBSTITUTE(SUBSTITUTE(SUBSTITUTE(SUBSTITUTE(TRIM(C859),".",""),"/",""),"-","")," ","")),14),UPPER(SUBSTITUTE(SUBSTITUTE(SUBSTITUTE(SUBSTITUTE(TRIM(C859),".",""),"/",""),"-","")," ",""))))</f>
        <v/>
      </c>
      <c r="E859" s="25" t="str">
        <f aca="false">IF(D859="","",IFERROR(INDEX(Empresas!$C:$C,MATCH(D859,Empresas!$B:$B,0)),"cadastre o CNPJ em Empresas"))</f>
        <v/>
      </c>
      <c r="F859" s="23"/>
      <c r="G859" s="35"/>
      <c r="H859" s="24"/>
      <c r="I859" s="11"/>
      <c r="J859" s="27" t="str">
        <f aca="false">IF(A859="","",YEAR(A859))</f>
        <v/>
      </c>
      <c r="K859" s="24"/>
      <c r="L859" s="11"/>
    </row>
    <row r="860" customFormat="false" ht="15" hidden="false" customHeight="false" outlineLevel="0" collapsed="false">
      <c r="A860" s="22"/>
      <c r="B860" s="11"/>
      <c r="C860" s="24"/>
      <c r="D860" s="31" t="str">
        <f aca="false">IF(C860="","",IF(LEN(UPPER(SUBSTITUTE(SUBSTITUTE(SUBSTITUTE(SUBSTITUTE(TRIM(C860),".",""),"/",""),"-","")," ","")))&lt;14,RIGHT(REPT("0",14)&amp;UPPER(SUBSTITUTE(SUBSTITUTE(SUBSTITUTE(SUBSTITUTE(TRIM(C860),".",""),"/",""),"-","")," ","")),14),UPPER(SUBSTITUTE(SUBSTITUTE(SUBSTITUTE(SUBSTITUTE(TRIM(C860),".",""),"/",""),"-","")," ",""))))</f>
        <v/>
      </c>
      <c r="E860" s="25" t="str">
        <f aca="false">IF(D860="","",IFERROR(INDEX(Empresas!$C:$C,MATCH(D860,Empresas!$B:$B,0)),"cadastre o CNPJ em Empresas"))</f>
        <v/>
      </c>
      <c r="F860" s="23"/>
      <c r="G860" s="35"/>
      <c r="H860" s="24"/>
      <c r="I860" s="11"/>
      <c r="J860" s="27" t="str">
        <f aca="false">IF(A860="","",YEAR(A860))</f>
        <v/>
      </c>
      <c r="K860" s="24"/>
      <c r="L860" s="11"/>
    </row>
    <row r="861" customFormat="false" ht="15" hidden="false" customHeight="false" outlineLevel="0" collapsed="false">
      <c r="A861" s="22"/>
      <c r="B861" s="11"/>
      <c r="C861" s="24"/>
      <c r="D861" s="31" t="str">
        <f aca="false">IF(C861="","",IF(LEN(UPPER(SUBSTITUTE(SUBSTITUTE(SUBSTITUTE(SUBSTITUTE(TRIM(C861),".",""),"/",""),"-","")," ","")))&lt;14,RIGHT(REPT("0",14)&amp;UPPER(SUBSTITUTE(SUBSTITUTE(SUBSTITUTE(SUBSTITUTE(TRIM(C861),".",""),"/",""),"-","")," ","")),14),UPPER(SUBSTITUTE(SUBSTITUTE(SUBSTITUTE(SUBSTITUTE(TRIM(C861),".",""),"/",""),"-","")," ",""))))</f>
        <v/>
      </c>
      <c r="E861" s="25" t="str">
        <f aca="false">IF(D861="","",IFERROR(INDEX(Empresas!$C:$C,MATCH(D861,Empresas!$B:$B,0)),"cadastre o CNPJ em Empresas"))</f>
        <v/>
      </c>
      <c r="F861" s="23"/>
      <c r="G861" s="35"/>
      <c r="H861" s="24"/>
      <c r="I861" s="11"/>
      <c r="J861" s="27" t="str">
        <f aca="false">IF(A861="","",YEAR(A861))</f>
        <v/>
      </c>
      <c r="K861" s="24"/>
      <c r="L861" s="11"/>
    </row>
    <row r="862" customFormat="false" ht="15" hidden="false" customHeight="false" outlineLevel="0" collapsed="false">
      <c r="A862" s="22"/>
      <c r="B862" s="11"/>
      <c r="C862" s="24"/>
      <c r="D862" s="31" t="str">
        <f aca="false">IF(C862="","",IF(LEN(UPPER(SUBSTITUTE(SUBSTITUTE(SUBSTITUTE(SUBSTITUTE(TRIM(C862),".",""),"/",""),"-","")," ","")))&lt;14,RIGHT(REPT("0",14)&amp;UPPER(SUBSTITUTE(SUBSTITUTE(SUBSTITUTE(SUBSTITUTE(TRIM(C862),".",""),"/",""),"-","")," ","")),14),UPPER(SUBSTITUTE(SUBSTITUTE(SUBSTITUTE(SUBSTITUTE(TRIM(C862),".",""),"/",""),"-","")," ",""))))</f>
        <v/>
      </c>
      <c r="E862" s="25" t="str">
        <f aca="false">IF(D862="","",IFERROR(INDEX(Empresas!$C:$C,MATCH(D862,Empresas!$B:$B,0)),"cadastre o CNPJ em Empresas"))</f>
        <v/>
      </c>
      <c r="F862" s="23"/>
      <c r="G862" s="35"/>
      <c r="H862" s="24"/>
      <c r="I862" s="11"/>
      <c r="J862" s="27" t="str">
        <f aca="false">IF(A862="","",YEAR(A862))</f>
        <v/>
      </c>
      <c r="K862" s="24"/>
      <c r="L862" s="11"/>
    </row>
    <row r="863" customFormat="false" ht="15" hidden="false" customHeight="false" outlineLevel="0" collapsed="false">
      <c r="A863" s="22"/>
      <c r="B863" s="11"/>
      <c r="C863" s="24"/>
      <c r="D863" s="31" t="str">
        <f aca="false">IF(C863="","",IF(LEN(UPPER(SUBSTITUTE(SUBSTITUTE(SUBSTITUTE(SUBSTITUTE(TRIM(C863),".",""),"/",""),"-","")," ","")))&lt;14,RIGHT(REPT("0",14)&amp;UPPER(SUBSTITUTE(SUBSTITUTE(SUBSTITUTE(SUBSTITUTE(TRIM(C863),".",""),"/",""),"-","")," ","")),14),UPPER(SUBSTITUTE(SUBSTITUTE(SUBSTITUTE(SUBSTITUTE(TRIM(C863),".",""),"/",""),"-","")," ",""))))</f>
        <v/>
      </c>
      <c r="E863" s="25" t="str">
        <f aca="false">IF(D863="","",IFERROR(INDEX(Empresas!$C:$C,MATCH(D863,Empresas!$B:$B,0)),"cadastre o CNPJ em Empresas"))</f>
        <v/>
      </c>
      <c r="F863" s="23"/>
      <c r="G863" s="35"/>
      <c r="H863" s="24"/>
      <c r="I863" s="11"/>
      <c r="J863" s="27" t="str">
        <f aca="false">IF(A863="","",YEAR(A863))</f>
        <v/>
      </c>
      <c r="K863" s="24"/>
      <c r="L863" s="11"/>
    </row>
    <row r="864" customFormat="false" ht="15" hidden="false" customHeight="false" outlineLevel="0" collapsed="false">
      <c r="A864" s="22"/>
      <c r="B864" s="11"/>
      <c r="C864" s="24"/>
      <c r="D864" s="31" t="str">
        <f aca="false">IF(C864="","",IF(LEN(UPPER(SUBSTITUTE(SUBSTITUTE(SUBSTITUTE(SUBSTITUTE(TRIM(C864),".",""),"/",""),"-","")," ","")))&lt;14,RIGHT(REPT("0",14)&amp;UPPER(SUBSTITUTE(SUBSTITUTE(SUBSTITUTE(SUBSTITUTE(TRIM(C864),".",""),"/",""),"-","")," ","")),14),UPPER(SUBSTITUTE(SUBSTITUTE(SUBSTITUTE(SUBSTITUTE(TRIM(C864),".",""),"/",""),"-","")," ",""))))</f>
        <v/>
      </c>
      <c r="E864" s="25" t="str">
        <f aca="false">IF(D864="","",IFERROR(INDEX(Empresas!$C:$C,MATCH(D864,Empresas!$B:$B,0)),"cadastre o CNPJ em Empresas"))</f>
        <v/>
      </c>
      <c r="F864" s="23"/>
      <c r="G864" s="35"/>
      <c r="H864" s="24"/>
      <c r="I864" s="11"/>
      <c r="J864" s="27" t="str">
        <f aca="false">IF(A864="","",YEAR(A864))</f>
        <v/>
      </c>
      <c r="K864" s="24"/>
      <c r="L864" s="11"/>
    </row>
    <row r="865" customFormat="false" ht="15" hidden="false" customHeight="false" outlineLevel="0" collapsed="false">
      <c r="A865" s="22"/>
      <c r="B865" s="11"/>
      <c r="C865" s="24"/>
      <c r="D865" s="31" t="str">
        <f aca="false">IF(C865="","",IF(LEN(UPPER(SUBSTITUTE(SUBSTITUTE(SUBSTITUTE(SUBSTITUTE(TRIM(C865),".",""),"/",""),"-","")," ","")))&lt;14,RIGHT(REPT("0",14)&amp;UPPER(SUBSTITUTE(SUBSTITUTE(SUBSTITUTE(SUBSTITUTE(TRIM(C865),".",""),"/",""),"-","")," ","")),14),UPPER(SUBSTITUTE(SUBSTITUTE(SUBSTITUTE(SUBSTITUTE(TRIM(C865),".",""),"/",""),"-","")," ",""))))</f>
        <v/>
      </c>
      <c r="E865" s="25" t="str">
        <f aca="false">IF(D865="","",IFERROR(INDEX(Empresas!$C:$C,MATCH(D865,Empresas!$B:$B,0)),"cadastre o CNPJ em Empresas"))</f>
        <v/>
      </c>
      <c r="F865" s="23"/>
      <c r="G865" s="35"/>
      <c r="H865" s="24"/>
      <c r="I865" s="11"/>
      <c r="J865" s="27" t="str">
        <f aca="false">IF(A865="","",YEAR(A865))</f>
        <v/>
      </c>
      <c r="K865" s="24"/>
      <c r="L865" s="11"/>
    </row>
    <row r="866" customFormat="false" ht="15" hidden="false" customHeight="false" outlineLevel="0" collapsed="false">
      <c r="A866" s="22"/>
      <c r="B866" s="11"/>
      <c r="C866" s="24"/>
      <c r="D866" s="31" t="str">
        <f aca="false">IF(C866="","",IF(LEN(UPPER(SUBSTITUTE(SUBSTITUTE(SUBSTITUTE(SUBSTITUTE(TRIM(C866),".",""),"/",""),"-","")," ","")))&lt;14,RIGHT(REPT("0",14)&amp;UPPER(SUBSTITUTE(SUBSTITUTE(SUBSTITUTE(SUBSTITUTE(TRIM(C866),".",""),"/",""),"-","")," ","")),14),UPPER(SUBSTITUTE(SUBSTITUTE(SUBSTITUTE(SUBSTITUTE(TRIM(C866),".",""),"/",""),"-","")," ",""))))</f>
        <v/>
      </c>
      <c r="E866" s="25" t="str">
        <f aca="false">IF(D866="","",IFERROR(INDEX(Empresas!$C:$C,MATCH(D866,Empresas!$B:$B,0)),"cadastre o CNPJ em Empresas"))</f>
        <v/>
      </c>
      <c r="F866" s="23"/>
      <c r="G866" s="35"/>
      <c r="H866" s="24"/>
      <c r="I866" s="11"/>
      <c r="J866" s="27" t="str">
        <f aca="false">IF(A866="","",YEAR(A866))</f>
        <v/>
      </c>
      <c r="K866" s="24"/>
      <c r="L866" s="11"/>
    </row>
    <row r="867" customFormat="false" ht="15" hidden="false" customHeight="false" outlineLevel="0" collapsed="false">
      <c r="A867" s="22"/>
      <c r="B867" s="11"/>
      <c r="C867" s="24"/>
      <c r="D867" s="31" t="str">
        <f aca="false">IF(C867="","",IF(LEN(UPPER(SUBSTITUTE(SUBSTITUTE(SUBSTITUTE(SUBSTITUTE(TRIM(C867),".",""),"/",""),"-","")," ","")))&lt;14,RIGHT(REPT("0",14)&amp;UPPER(SUBSTITUTE(SUBSTITUTE(SUBSTITUTE(SUBSTITUTE(TRIM(C867),".",""),"/",""),"-","")," ","")),14),UPPER(SUBSTITUTE(SUBSTITUTE(SUBSTITUTE(SUBSTITUTE(TRIM(C867),".",""),"/",""),"-","")," ",""))))</f>
        <v/>
      </c>
      <c r="E867" s="25" t="str">
        <f aca="false">IF(D867="","",IFERROR(INDEX(Empresas!$C:$C,MATCH(D867,Empresas!$B:$B,0)),"cadastre o CNPJ em Empresas"))</f>
        <v/>
      </c>
      <c r="F867" s="23"/>
      <c r="G867" s="35"/>
      <c r="H867" s="24"/>
      <c r="I867" s="11"/>
      <c r="J867" s="27" t="str">
        <f aca="false">IF(A867="","",YEAR(A867))</f>
        <v/>
      </c>
      <c r="K867" s="24"/>
      <c r="L867" s="11"/>
    </row>
    <row r="868" customFormat="false" ht="15" hidden="false" customHeight="false" outlineLevel="0" collapsed="false">
      <c r="A868" s="22"/>
      <c r="B868" s="11"/>
      <c r="C868" s="24"/>
      <c r="D868" s="31" t="str">
        <f aca="false">IF(C868="","",IF(LEN(UPPER(SUBSTITUTE(SUBSTITUTE(SUBSTITUTE(SUBSTITUTE(TRIM(C868),".",""),"/",""),"-","")," ","")))&lt;14,RIGHT(REPT("0",14)&amp;UPPER(SUBSTITUTE(SUBSTITUTE(SUBSTITUTE(SUBSTITUTE(TRIM(C868),".",""),"/",""),"-","")," ","")),14),UPPER(SUBSTITUTE(SUBSTITUTE(SUBSTITUTE(SUBSTITUTE(TRIM(C868),".",""),"/",""),"-","")," ",""))))</f>
        <v/>
      </c>
      <c r="E868" s="25" t="str">
        <f aca="false">IF(D868="","",IFERROR(INDEX(Empresas!$C:$C,MATCH(D868,Empresas!$B:$B,0)),"cadastre o CNPJ em Empresas"))</f>
        <v/>
      </c>
      <c r="F868" s="23"/>
      <c r="G868" s="35"/>
      <c r="H868" s="24"/>
      <c r="I868" s="11"/>
      <c r="J868" s="27" t="str">
        <f aca="false">IF(A868="","",YEAR(A868))</f>
        <v/>
      </c>
      <c r="K868" s="24"/>
      <c r="L868" s="11"/>
    </row>
    <row r="869" customFormat="false" ht="15" hidden="false" customHeight="false" outlineLevel="0" collapsed="false">
      <c r="A869" s="22"/>
      <c r="B869" s="11"/>
      <c r="C869" s="24"/>
      <c r="D869" s="31" t="str">
        <f aca="false">IF(C869="","",IF(LEN(UPPER(SUBSTITUTE(SUBSTITUTE(SUBSTITUTE(SUBSTITUTE(TRIM(C869),".",""),"/",""),"-","")," ","")))&lt;14,RIGHT(REPT("0",14)&amp;UPPER(SUBSTITUTE(SUBSTITUTE(SUBSTITUTE(SUBSTITUTE(TRIM(C869),".",""),"/",""),"-","")," ","")),14),UPPER(SUBSTITUTE(SUBSTITUTE(SUBSTITUTE(SUBSTITUTE(TRIM(C869),".",""),"/",""),"-","")," ",""))))</f>
        <v/>
      </c>
      <c r="E869" s="25" t="str">
        <f aca="false">IF(D869="","",IFERROR(INDEX(Empresas!$C:$C,MATCH(D869,Empresas!$B:$B,0)),"cadastre o CNPJ em Empresas"))</f>
        <v/>
      </c>
      <c r="F869" s="23"/>
      <c r="G869" s="35"/>
      <c r="H869" s="24"/>
      <c r="I869" s="11"/>
      <c r="J869" s="27" t="str">
        <f aca="false">IF(A869="","",YEAR(A869))</f>
        <v/>
      </c>
      <c r="K869" s="24"/>
      <c r="L869" s="11"/>
    </row>
    <row r="870" customFormat="false" ht="15" hidden="false" customHeight="false" outlineLevel="0" collapsed="false">
      <c r="A870" s="22"/>
      <c r="B870" s="11"/>
      <c r="C870" s="24"/>
      <c r="D870" s="31" t="str">
        <f aca="false">IF(C870="","",IF(LEN(UPPER(SUBSTITUTE(SUBSTITUTE(SUBSTITUTE(SUBSTITUTE(TRIM(C870),".",""),"/",""),"-","")," ","")))&lt;14,RIGHT(REPT("0",14)&amp;UPPER(SUBSTITUTE(SUBSTITUTE(SUBSTITUTE(SUBSTITUTE(TRIM(C870),".",""),"/",""),"-","")," ","")),14),UPPER(SUBSTITUTE(SUBSTITUTE(SUBSTITUTE(SUBSTITUTE(TRIM(C870),".",""),"/",""),"-","")," ",""))))</f>
        <v/>
      </c>
      <c r="E870" s="25" t="str">
        <f aca="false">IF(D870="","",IFERROR(INDEX(Empresas!$C:$C,MATCH(D870,Empresas!$B:$B,0)),"cadastre o CNPJ em Empresas"))</f>
        <v/>
      </c>
      <c r="F870" s="23"/>
      <c r="G870" s="35"/>
      <c r="H870" s="24"/>
      <c r="I870" s="11"/>
      <c r="J870" s="27" t="str">
        <f aca="false">IF(A870="","",YEAR(A870))</f>
        <v/>
      </c>
      <c r="K870" s="24"/>
      <c r="L870" s="11"/>
    </row>
    <row r="871" customFormat="false" ht="15" hidden="false" customHeight="false" outlineLevel="0" collapsed="false">
      <c r="A871" s="22"/>
      <c r="B871" s="11"/>
      <c r="C871" s="24"/>
      <c r="D871" s="31" t="str">
        <f aca="false">IF(C871="","",IF(LEN(UPPER(SUBSTITUTE(SUBSTITUTE(SUBSTITUTE(SUBSTITUTE(TRIM(C871),".",""),"/",""),"-","")," ","")))&lt;14,RIGHT(REPT("0",14)&amp;UPPER(SUBSTITUTE(SUBSTITUTE(SUBSTITUTE(SUBSTITUTE(TRIM(C871),".",""),"/",""),"-","")," ","")),14),UPPER(SUBSTITUTE(SUBSTITUTE(SUBSTITUTE(SUBSTITUTE(TRIM(C871),".",""),"/",""),"-","")," ",""))))</f>
        <v/>
      </c>
      <c r="E871" s="25" t="str">
        <f aca="false">IF(D871="","",IFERROR(INDEX(Empresas!$C:$C,MATCH(D871,Empresas!$B:$B,0)),"cadastre o CNPJ em Empresas"))</f>
        <v/>
      </c>
      <c r="F871" s="23"/>
      <c r="G871" s="35"/>
      <c r="H871" s="24"/>
      <c r="I871" s="11"/>
      <c r="J871" s="27" t="str">
        <f aca="false">IF(A871="","",YEAR(A871))</f>
        <v/>
      </c>
      <c r="K871" s="24"/>
      <c r="L871" s="11"/>
    </row>
    <row r="872" customFormat="false" ht="15" hidden="false" customHeight="false" outlineLevel="0" collapsed="false">
      <c r="A872" s="22"/>
      <c r="B872" s="11"/>
      <c r="C872" s="24"/>
      <c r="D872" s="31" t="str">
        <f aca="false">IF(C872="","",IF(LEN(UPPER(SUBSTITUTE(SUBSTITUTE(SUBSTITUTE(SUBSTITUTE(TRIM(C872),".",""),"/",""),"-","")," ","")))&lt;14,RIGHT(REPT("0",14)&amp;UPPER(SUBSTITUTE(SUBSTITUTE(SUBSTITUTE(SUBSTITUTE(TRIM(C872),".",""),"/",""),"-","")," ","")),14),UPPER(SUBSTITUTE(SUBSTITUTE(SUBSTITUTE(SUBSTITUTE(TRIM(C872),".",""),"/",""),"-","")," ",""))))</f>
        <v/>
      </c>
      <c r="E872" s="25" t="str">
        <f aca="false">IF(D872="","",IFERROR(INDEX(Empresas!$C:$C,MATCH(D872,Empresas!$B:$B,0)),"cadastre o CNPJ em Empresas"))</f>
        <v/>
      </c>
      <c r="F872" s="23"/>
      <c r="G872" s="35"/>
      <c r="H872" s="24"/>
      <c r="I872" s="11"/>
      <c r="J872" s="27" t="str">
        <f aca="false">IF(A872="","",YEAR(A872))</f>
        <v/>
      </c>
      <c r="K872" s="24"/>
      <c r="L872" s="11"/>
    </row>
    <row r="873" customFormat="false" ht="15" hidden="false" customHeight="false" outlineLevel="0" collapsed="false">
      <c r="A873" s="22"/>
      <c r="B873" s="11"/>
      <c r="C873" s="24"/>
      <c r="D873" s="31" t="str">
        <f aca="false">IF(C873="","",IF(LEN(UPPER(SUBSTITUTE(SUBSTITUTE(SUBSTITUTE(SUBSTITUTE(TRIM(C873),".",""),"/",""),"-","")," ","")))&lt;14,RIGHT(REPT("0",14)&amp;UPPER(SUBSTITUTE(SUBSTITUTE(SUBSTITUTE(SUBSTITUTE(TRIM(C873),".",""),"/",""),"-","")," ","")),14),UPPER(SUBSTITUTE(SUBSTITUTE(SUBSTITUTE(SUBSTITUTE(TRIM(C873),".",""),"/",""),"-","")," ",""))))</f>
        <v/>
      </c>
      <c r="E873" s="25" t="str">
        <f aca="false">IF(D873="","",IFERROR(INDEX(Empresas!$C:$C,MATCH(D873,Empresas!$B:$B,0)),"cadastre o CNPJ em Empresas"))</f>
        <v/>
      </c>
      <c r="F873" s="23"/>
      <c r="G873" s="35"/>
      <c r="H873" s="24"/>
      <c r="I873" s="11"/>
      <c r="J873" s="27" t="str">
        <f aca="false">IF(A873="","",YEAR(A873))</f>
        <v/>
      </c>
      <c r="K873" s="24"/>
      <c r="L873" s="11"/>
    </row>
    <row r="874" customFormat="false" ht="15" hidden="false" customHeight="false" outlineLevel="0" collapsed="false">
      <c r="A874" s="22"/>
      <c r="B874" s="11"/>
      <c r="C874" s="24"/>
      <c r="D874" s="31" t="str">
        <f aca="false">IF(C874="","",IF(LEN(UPPER(SUBSTITUTE(SUBSTITUTE(SUBSTITUTE(SUBSTITUTE(TRIM(C874),".",""),"/",""),"-","")," ","")))&lt;14,RIGHT(REPT("0",14)&amp;UPPER(SUBSTITUTE(SUBSTITUTE(SUBSTITUTE(SUBSTITUTE(TRIM(C874),".",""),"/",""),"-","")," ","")),14),UPPER(SUBSTITUTE(SUBSTITUTE(SUBSTITUTE(SUBSTITUTE(TRIM(C874),".",""),"/",""),"-","")," ",""))))</f>
        <v/>
      </c>
      <c r="E874" s="25" t="str">
        <f aca="false">IF(D874="","",IFERROR(INDEX(Empresas!$C:$C,MATCH(D874,Empresas!$B:$B,0)),"cadastre o CNPJ em Empresas"))</f>
        <v/>
      </c>
      <c r="F874" s="23"/>
      <c r="G874" s="35"/>
      <c r="H874" s="24"/>
      <c r="I874" s="11"/>
      <c r="J874" s="27" t="str">
        <f aca="false">IF(A874="","",YEAR(A874))</f>
        <v/>
      </c>
      <c r="K874" s="24"/>
      <c r="L874" s="11"/>
    </row>
    <row r="875" customFormat="false" ht="15" hidden="false" customHeight="false" outlineLevel="0" collapsed="false">
      <c r="A875" s="22"/>
      <c r="B875" s="11"/>
      <c r="C875" s="24"/>
      <c r="D875" s="31" t="str">
        <f aca="false">IF(C875="","",IF(LEN(UPPER(SUBSTITUTE(SUBSTITUTE(SUBSTITUTE(SUBSTITUTE(TRIM(C875),".",""),"/",""),"-","")," ","")))&lt;14,RIGHT(REPT("0",14)&amp;UPPER(SUBSTITUTE(SUBSTITUTE(SUBSTITUTE(SUBSTITUTE(TRIM(C875),".",""),"/",""),"-","")," ","")),14),UPPER(SUBSTITUTE(SUBSTITUTE(SUBSTITUTE(SUBSTITUTE(TRIM(C875),".",""),"/",""),"-","")," ",""))))</f>
        <v/>
      </c>
      <c r="E875" s="25" t="str">
        <f aca="false">IF(D875="","",IFERROR(INDEX(Empresas!$C:$C,MATCH(D875,Empresas!$B:$B,0)),"cadastre o CNPJ em Empresas"))</f>
        <v/>
      </c>
      <c r="F875" s="23"/>
      <c r="G875" s="35"/>
      <c r="H875" s="24"/>
      <c r="I875" s="11"/>
      <c r="J875" s="27" t="str">
        <f aca="false">IF(A875="","",YEAR(A875))</f>
        <v/>
      </c>
      <c r="K875" s="24"/>
      <c r="L875" s="11"/>
    </row>
    <row r="876" customFormat="false" ht="15" hidden="false" customHeight="false" outlineLevel="0" collapsed="false">
      <c r="A876" s="22"/>
      <c r="B876" s="11"/>
      <c r="C876" s="24"/>
      <c r="D876" s="31" t="str">
        <f aca="false">IF(C876="","",IF(LEN(UPPER(SUBSTITUTE(SUBSTITUTE(SUBSTITUTE(SUBSTITUTE(TRIM(C876),".",""),"/",""),"-","")," ","")))&lt;14,RIGHT(REPT("0",14)&amp;UPPER(SUBSTITUTE(SUBSTITUTE(SUBSTITUTE(SUBSTITUTE(TRIM(C876),".",""),"/",""),"-","")," ","")),14),UPPER(SUBSTITUTE(SUBSTITUTE(SUBSTITUTE(SUBSTITUTE(TRIM(C876),".",""),"/",""),"-","")," ",""))))</f>
        <v/>
      </c>
      <c r="E876" s="25" t="str">
        <f aca="false">IF(D876="","",IFERROR(INDEX(Empresas!$C:$C,MATCH(D876,Empresas!$B:$B,0)),"cadastre o CNPJ em Empresas"))</f>
        <v/>
      </c>
      <c r="F876" s="23"/>
      <c r="G876" s="35"/>
      <c r="H876" s="24"/>
      <c r="I876" s="11"/>
      <c r="J876" s="27" t="str">
        <f aca="false">IF(A876="","",YEAR(A876))</f>
        <v/>
      </c>
      <c r="K876" s="24"/>
      <c r="L876" s="11"/>
    </row>
    <row r="877" customFormat="false" ht="15" hidden="false" customHeight="false" outlineLevel="0" collapsed="false">
      <c r="A877" s="22"/>
      <c r="B877" s="11"/>
      <c r="C877" s="24"/>
      <c r="D877" s="31" t="str">
        <f aca="false">IF(C877="","",IF(LEN(UPPER(SUBSTITUTE(SUBSTITUTE(SUBSTITUTE(SUBSTITUTE(TRIM(C877),".",""),"/",""),"-","")," ","")))&lt;14,RIGHT(REPT("0",14)&amp;UPPER(SUBSTITUTE(SUBSTITUTE(SUBSTITUTE(SUBSTITUTE(TRIM(C877),".",""),"/",""),"-","")," ","")),14),UPPER(SUBSTITUTE(SUBSTITUTE(SUBSTITUTE(SUBSTITUTE(TRIM(C877),".",""),"/",""),"-","")," ",""))))</f>
        <v/>
      </c>
      <c r="E877" s="25" t="str">
        <f aca="false">IF(D877="","",IFERROR(INDEX(Empresas!$C:$C,MATCH(D877,Empresas!$B:$B,0)),"cadastre o CNPJ em Empresas"))</f>
        <v/>
      </c>
      <c r="F877" s="23"/>
      <c r="G877" s="35"/>
      <c r="H877" s="24"/>
      <c r="I877" s="11"/>
      <c r="J877" s="27" t="str">
        <f aca="false">IF(A877="","",YEAR(A877))</f>
        <v/>
      </c>
      <c r="K877" s="24"/>
      <c r="L877" s="11"/>
    </row>
    <row r="878" customFormat="false" ht="15" hidden="false" customHeight="false" outlineLevel="0" collapsed="false">
      <c r="A878" s="22"/>
      <c r="B878" s="11"/>
      <c r="C878" s="24"/>
      <c r="D878" s="31" t="str">
        <f aca="false">IF(C878="","",IF(LEN(UPPER(SUBSTITUTE(SUBSTITUTE(SUBSTITUTE(SUBSTITUTE(TRIM(C878),".",""),"/",""),"-","")," ","")))&lt;14,RIGHT(REPT("0",14)&amp;UPPER(SUBSTITUTE(SUBSTITUTE(SUBSTITUTE(SUBSTITUTE(TRIM(C878),".",""),"/",""),"-","")," ","")),14),UPPER(SUBSTITUTE(SUBSTITUTE(SUBSTITUTE(SUBSTITUTE(TRIM(C878),".",""),"/",""),"-","")," ",""))))</f>
        <v/>
      </c>
      <c r="E878" s="25" t="str">
        <f aca="false">IF(D878="","",IFERROR(INDEX(Empresas!$C:$C,MATCH(D878,Empresas!$B:$B,0)),"cadastre o CNPJ em Empresas"))</f>
        <v/>
      </c>
      <c r="F878" s="23"/>
      <c r="G878" s="35"/>
      <c r="H878" s="24"/>
      <c r="I878" s="11"/>
      <c r="J878" s="27" t="str">
        <f aca="false">IF(A878="","",YEAR(A878))</f>
        <v/>
      </c>
      <c r="K878" s="24"/>
      <c r="L878" s="11"/>
    </row>
    <row r="879" customFormat="false" ht="15" hidden="false" customHeight="false" outlineLevel="0" collapsed="false">
      <c r="A879" s="22"/>
      <c r="B879" s="11"/>
      <c r="C879" s="24"/>
      <c r="D879" s="31" t="str">
        <f aca="false">IF(C879="","",IF(LEN(UPPER(SUBSTITUTE(SUBSTITUTE(SUBSTITUTE(SUBSTITUTE(TRIM(C879),".",""),"/",""),"-","")," ","")))&lt;14,RIGHT(REPT("0",14)&amp;UPPER(SUBSTITUTE(SUBSTITUTE(SUBSTITUTE(SUBSTITUTE(TRIM(C879),".",""),"/",""),"-","")," ","")),14),UPPER(SUBSTITUTE(SUBSTITUTE(SUBSTITUTE(SUBSTITUTE(TRIM(C879),".",""),"/",""),"-","")," ",""))))</f>
        <v/>
      </c>
      <c r="E879" s="25" t="str">
        <f aca="false">IF(D879="","",IFERROR(INDEX(Empresas!$C:$C,MATCH(D879,Empresas!$B:$B,0)),"cadastre o CNPJ em Empresas"))</f>
        <v/>
      </c>
      <c r="F879" s="23"/>
      <c r="G879" s="35"/>
      <c r="H879" s="24"/>
      <c r="I879" s="11"/>
      <c r="J879" s="27" t="str">
        <f aca="false">IF(A879="","",YEAR(A879))</f>
        <v/>
      </c>
      <c r="K879" s="24"/>
      <c r="L879" s="11"/>
    </row>
    <row r="880" customFormat="false" ht="15" hidden="false" customHeight="false" outlineLevel="0" collapsed="false">
      <c r="A880" s="22"/>
      <c r="B880" s="11"/>
      <c r="C880" s="24"/>
      <c r="D880" s="31" t="str">
        <f aca="false">IF(C880="","",IF(LEN(UPPER(SUBSTITUTE(SUBSTITUTE(SUBSTITUTE(SUBSTITUTE(TRIM(C880),".",""),"/",""),"-","")," ","")))&lt;14,RIGHT(REPT("0",14)&amp;UPPER(SUBSTITUTE(SUBSTITUTE(SUBSTITUTE(SUBSTITUTE(TRIM(C880),".",""),"/",""),"-","")," ","")),14),UPPER(SUBSTITUTE(SUBSTITUTE(SUBSTITUTE(SUBSTITUTE(TRIM(C880),".",""),"/",""),"-","")," ",""))))</f>
        <v/>
      </c>
      <c r="E880" s="25" t="str">
        <f aca="false">IF(D880="","",IFERROR(INDEX(Empresas!$C:$C,MATCH(D880,Empresas!$B:$B,0)),"cadastre o CNPJ em Empresas"))</f>
        <v/>
      </c>
      <c r="F880" s="23"/>
      <c r="G880" s="35"/>
      <c r="H880" s="24"/>
      <c r="I880" s="11"/>
      <c r="J880" s="27" t="str">
        <f aca="false">IF(A880="","",YEAR(A880))</f>
        <v/>
      </c>
      <c r="K880" s="24"/>
      <c r="L880" s="11"/>
    </row>
    <row r="881" customFormat="false" ht="15" hidden="false" customHeight="false" outlineLevel="0" collapsed="false">
      <c r="A881" s="22"/>
      <c r="B881" s="11"/>
      <c r="C881" s="24"/>
      <c r="D881" s="31" t="str">
        <f aca="false">IF(C881="","",IF(LEN(UPPER(SUBSTITUTE(SUBSTITUTE(SUBSTITUTE(SUBSTITUTE(TRIM(C881),".",""),"/",""),"-","")," ","")))&lt;14,RIGHT(REPT("0",14)&amp;UPPER(SUBSTITUTE(SUBSTITUTE(SUBSTITUTE(SUBSTITUTE(TRIM(C881),".",""),"/",""),"-","")," ","")),14),UPPER(SUBSTITUTE(SUBSTITUTE(SUBSTITUTE(SUBSTITUTE(TRIM(C881),".",""),"/",""),"-","")," ",""))))</f>
        <v/>
      </c>
      <c r="E881" s="25" t="str">
        <f aca="false">IF(D881="","",IFERROR(INDEX(Empresas!$C:$C,MATCH(D881,Empresas!$B:$B,0)),"cadastre o CNPJ em Empresas"))</f>
        <v/>
      </c>
      <c r="F881" s="23"/>
      <c r="G881" s="35"/>
      <c r="H881" s="24"/>
      <c r="I881" s="11"/>
      <c r="J881" s="27" t="str">
        <f aca="false">IF(A881="","",YEAR(A881))</f>
        <v/>
      </c>
      <c r="K881" s="24"/>
      <c r="L881" s="11"/>
    </row>
    <row r="882" customFormat="false" ht="15" hidden="false" customHeight="false" outlineLevel="0" collapsed="false">
      <c r="A882" s="22"/>
      <c r="B882" s="11"/>
      <c r="C882" s="24"/>
      <c r="D882" s="31" t="str">
        <f aca="false">IF(C882="","",IF(LEN(UPPER(SUBSTITUTE(SUBSTITUTE(SUBSTITUTE(SUBSTITUTE(TRIM(C882),".",""),"/",""),"-","")," ","")))&lt;14,RIGHT(REPT("0",14)&amp;UPPER(SUBSTITUTE(SUBSTITUTE(SUBSTITUTE(SUBSTITUTE(TRIM(C882),".",""),"/",""),"-","")," ","")),14),UPPER(SUBSTITUTE(SUBSTITUTE(SUBSTITUTE(SUBSTITUTE(TRIM(C882),".",""),"/",""),"-","")," ",""))))</f>
        <v/>
      </c>
      <c r="E882" s="25" t="str">
        <f aca="false">IF(D882="","",IFERROR(INDEX(Empresas!$C:$C,MATCH(D882,Empresas!$B:$B,0)),"cadastre o CNPJ em Empresas"))</f>
        <v/>
      </c>
      <c r="F882" s="23"/>
      <c r="G882" s="35"/>
      <c r="H882" s="24"/>
      <c r="I882" s="11"/>
      <c r="J882" s="27" t="str">
        <f aca="false">IF(A882="","",YEAR(A882))</f>
        <v/>
      </c>
      <c r="K882" s="24"/>
      <c r="L882" s="11"/>
    </row>
    <row r="883" customFormat="false" ht="15" hidden="false" customHeight="false" outlineLevel="0" collapsed="false">
      <c r="A883" s="22"/>
      <c r="B883" s="11"/>
      <c r="C883" s="24"/>
      <c r="D883" s="31" t="str">
        <f aca="false">IF(C883="","",IF(LEN(UPPER(SUBSTITUTE(SUBSTITUTE(SUBSTITUTE(SUBSTITUTE(TRIM(C883),".",""),"/",""),"-","")," ","")))&lt;14,RIGHT(REPT("0",14)&amp;UPPER(SUBSTITUTE(SUBSTITUTE(SUBSTITUTE(SUBSTITUTE(TRIM(C883),".",""),"/",""),"-","")," ","")),14),UPPER(SUBSTITUTE(SUBSTITUTE(SUBSTITUTE(SUBSTITUTE(TRIM(C883),".",""),"/",""),"-","")," ",""))))</f>
        <v/>
      </c>
      <c r="E883" s="25" t="str">
        <f aca="false">IF(D883="","",IFERROR(INDEX(Empresas!$C:$C,MATCH(D883,Empresas!$B:$B,0)),"cadastre o CNPJ em Empresas"))</f>
        <v/>
      </c>
      <c r="F883" s="23"/>
      <c r="G883" s="35"/>
      <c r="H883" s="24"/>
      <c r="I883" s="11"/>
      <c r="J883" s="27" t="str">
        <f aca="false">IF(A883="","",YEAR(A883))</f>
        <v/>
      </c>
      <c r="K883" s="24"/>
      <c r="L883" s="11"/>
    </row>
    <row r="884" customFormat="false" ht="15" hidden="false" customHeight="false" outlineLevel="0" collapsed="false">
      <c r="A884" s="22"/>
      <c r="B884" s="11"/>
      <c r="C884" s="24"/>
      <c r="D884" s="31" t="str">
        <f aca="false">IF(C884="","",IF(LEN(UPPER(SUBSTITUTE(SUBSTITUTE(SUBSTITUTE(SUBSTITUTE(TRIM(C884),".",""),"/",""),"-","")," ","")))&lt;14,RIGHT(REPT("0",14)&amp;UPPER(SUBSTITUTE(SUBSTITUTE(SUBSTITUTE(SUBSTITUTE(TRIM(C884),".",""),"/",""),"-","")," ","")),14),UPPER(SUBSTITUTE(SUBSTITUTE(SUBSTITUTE(SUBSTITUTE(TRIM(C884),".",""),"/",""),"-","")," ",""))))</f>
        <v/>
      </c>
      <c r="E884" s="25" t="str">
        <f aca="false">IF(D884="","",IFERROR(INDEX(Empresas!$C:$C,MATCH(D884,Empresas!$B:$B,0)),"cadastre o CNPJ em Empresas"))</f>
        <v/>
      </c>
      <c r="F884" s="23"/>
      <c r="G884" s="35"/>
      <c r="H884" s="24"/>
      <c r="I884" s="11"/>
      <c r="J884" s="27" t="str">
        <f aca="false">IF(A884="","",YEAR(A884))</f>
        <v/>
      </c>
      <c r="K884" s="24"/>
      <c r="L884" s="11"/>
    </row>
    <row r="885" customFormat="false" ht="15" hidden="false" customHeight="false" outlineLevel="0" collapsed="false">
      <c r="A885" s="22"/>
      <c r="B885" s="11"/>
      <c r="C885" s="24"/>
      <c r="D885" s="31" t="str">
        <f aca="false">IF(C885="","",IF(LEN(UPPER(SUBSTITUTE(SUBSTITUTE(SUBSTITUTE(SUBSTITUTE(TRIM(C885),".",""),"/",""),"-","")," ","")))&lt;14,RIGHT(REPT("0",14)&amp;UPPER(SUBSTITUTE(SUBSTITUTE(SUBSTITUTE(SUBSTITUTE(TRIM(C885),".",""),"/",""),"-","")," ","")),14),UPPER(SUBSTITUTE(SUBSTITUTE(SUBSTITUTE(SUBSTITUTE(TRIM(C885),".",""),"/",""),"-","")," ",""))))</f>
        <v/>
      </c>
      <c r="E885" s="25" t="str">
        <f aca="false">IF(D885="","",IFERROR(INDEX(Empresas!$C:$C,MATCH(D885,Empresas!$B:$B,0)),"cadastre o CNPJ em Empresas"))</f>
        <v/>
      </c>
      <c r="F885" s="23"/>
      <c r="G885" s="35"/>
      <c r="H885" s="24"/>
      <c r="I885" s="11"/>
      <c r="J885" s="27" t="str">
        <f aca="false">IF(A885="","",YEAR(A885))</f>
        <v/>
      </c>
      <c r="K885" s="24"/>
      <c r="L885" s="11"/>
    </row>
    <row r="886" customFormat="false" ht="15" hidden="false" customHeight="false" outlineLevel="0" collapsed="false">
      <c r="A886" s="22"/>
      <c r="B886" s="11"/>
      <c r="C886" s="24"/>
      <c r="D886" s="31" t="str">
        <f aca="false">IF(C886="","",IF(LEN(UPPER(SUBSTITUTE(SUBSTITUTE(SUBSTITUTE(SUBSTITUTE(TRIM(C886),".",""),"/",""),"-","")," ","")))&lt;14,RIGHT(REPT("0",14)&amp;UPPER(SUBSTITUTE(SUBSTITUTE(SUBSTITUTE(SUBSTITUTE(TRIM(C886),".",""),"/",""),"-","")," ","")),14),UPPER(SUBSTITUTE(SUBSTITUTE(SUBSTITUTE(SUBSTITUTE(TRIM(C886),".",""),"/",""),"-","")," ",""))))</f>
        <v/>
      </c>
      <c r="E886" s="25" t="str">
        <f aca="false">IF(D886="","",IFERROR(INDEX(Empresas!$C:$C,MATCH(D886,Empresas!$B:$B,0)),"cadastre o CNPJ em Empresas"))</f>
        <v/>
      </c>
      <c r="F886" s="23"/>
      <c r="G886" s="35"/>
      <c r="H886" s="24"/>
      <c r="I886" s="11"/>
      <c r="J886" s="27" t="str">
        <f aca="false">IF(A886="","",YEAR(A886))</f>
        <v/>
      </c>
      <c r="K886" s="24"/>
      <c r="L886" s="11"/>
    </row>
    <row r="887" customFormat="false" ht="15" hidden="false" customHeight="false" outlineLevel="0" collapsed="false">
      <c r="A887" s="22"/>
      <c r="B887" s="11"/>
      <c r="C887" s="24"/>
      <c r="D887" s="31" t="str">
        <f aca="false">IF(C887="","",IF(LEN(UPPER(SUBSTITUTE(SUBSTITUTE(SUBSTITUTE(SUBSTITUTE(TRIM(C887),".",""),"/",""),"-","")," ","")))&lt;14,RIGHT(REPT("0",14)&amp;UPPER(SUBSTITUTE(SUBSTITUTE(SUBSTITUTE(SUBSTITUTE(TRIM(C887),".",""),"/",""),"-","")," ","")),14),UPPER(SUBSTITUTE(SUBSTITUTE(SUBSTITUTE(SUBSTITUTE(TRIM(C887),".",""),"/",""),"-","")," ",""))))</f>
        <v/>
      </c>
      <c r="E887" s="25" t="str">
        <f aca="false">IF(D887="","",IFERROR(INDEX(Empresas!$C:$C,MATCH(D887,Empresas!$B:$B,0)),"cadastre o CNPJ em Empresas"))</f>
        <v/>
      </c>
      <c r="F887" s="23"/>
      <c r="G887" s="35"/>
      <c r="H887" s="24"/>
      <c r="I887" s="11"/>
      <c r="J887" s="27" t="str">
        <f aca="false">IF(A887="","",YEAR(A887))</f>
        <v/>
      </c>
      <c r="K887" s="24"/>
      <c r="L887" s="11"/>
    </row>
    <row r="888" customFormat="false" ht="15" hidden="false" customHeight="false" outlineLevel="0" collapsed="false">
      <c r="A888" s="22"/>
      <c r="B888" s="11"/>
      <c r="C888" s="24"/>
      <c r="D888" s="31" t="str">
        <f aca="false">IF(C888="","",IF(LEN(UPPER(SUBSTITUTE(SUBSTITUTE(SUBSTITUTE(SUBSTITUTE(TRIM(C888),".",""),"/",""),"-","")," ","")))&lt;14,RIGHT(REPT("0",14)&amp;UPPER(SUBSTITUTE(SUBSTITUTE(SUBSTITUTE(SUBSTITUTE(TRIM(C888),".",""),"/",""),"-","")," ","")),14),UPPER(SUBSTITUTE(SUBSTITUTE(SUBSTITUTE(SUBSTITUTE(TRIM(C888),".",""),"/",""),"-","")," ",""))))</f>
        <v/>
      </c>
      <c r="E888" s="25" t="str">
        <f aca="false">IF(D888="","",IFERROR(INDEX(Empresas!$C:$C,MATCH(D888,Empresas!$B:$B,0)),"cadastre o CNPJ em Empresas"))</f>
        <v/>
      </c>
      <c r="F888" s="23"/>
      <c r="G888" s="35"/>
      <c r="H888" s="24"/>
      <c r="I888" s="11"/>
      <c r="J888" s="27" t="str">
        <f aca="false">IF(A888="","",YEAR(A888))</f>
        <v/>
      </c>
      <c r="K888" s="24"/>
      <c r="L888" s="11"/>
    </row>
    <row r="889" customFormat="false" ht="15" hidden="false" customHeight="false" outlineLevel="0" collapsed="false">
      <c r="A889" s="22"/>
      <c r="B889" s="11"/>
      <c r="C889" s="24"/>
      <c r="D889" s="31" t="str">
        <f aca="false">IF(C889="","",IF(LEN(UPPER(SUBSTITUTE(SUBSTITUTE(SUBSTITUTE(SUBSTITUTE(TRIM(C889),".",""),"/",""),"-","")," ","")))&lt;14,RIGHT(REPT("0",14)&amp;UPPER(SUBSTITUTE(SUBSTITUTE(SUBSTITUTE(SUBSTITUTE(TRIM(C889),".",""),"/",""),"-","")," ","")),14),UPPER(SUBSTITUTE(SUBSTITUTE(SUBSTITUTE(SUBSTITUTE(TRIM(C889),".",""),"/",""),"-","")," ",""))))</f>
        <v/>
      </c>
      <c r="E889" s="25" t="str">
        <f aca="false">IF(D889="","",IFERROR(INDEX(Empresas!$C:$C,MATCH(D889,Empresas!$B:$B,0)),"cadastre o CNPJ em Empresas"))</f>
        <v/>
      </c>
      <c r="F889" s="23"/>
      <c r="G889" s="35"/>
      <c r="H889" s="24"/>
      <c r="I889" s="11"/>
      <c r="J889" s="27" t="str">
        <f aca="false">IF(A889="","",YEAR(A889))</f>
        <v/>
      </c>
      <c r="K889" s="24"/>
      <c r="L889" s="11"/>
    </row>
    <row r="890" customFormat="false" ht="15" hidden="false" customHeight="false" outlineLevel="0" collapsed="false">
      <c r="A890" s="22"/>
      <c r="B890" s="11"/>
      <c r="C890" s="24"/>
      <c r="D890" s="31" t="str">
        <f aca="false">IF(C890="","",IF(LEN(UPPER(SUBSTITUTE(SUBSTITUTE(SUBSTITUTE(SUBSTITUTE(TRIM(C890),".",""),"/",""),"-","")," ","")))&lt;14,RIGHT(REPT("0",14)&amp;UPPER(SUBSTITUTE(SUBSTITUTE(SUBSTITUTE(SUBSTITUTE(TRIM(C890),".",""),"/",""),"-","")," ","")),14),UPPER(SUBSTITUTE(SUBSTITUTE(SUBSTITUTE(SUBSTITUTE(TRIM(C890),".",""),"/",""),"-","")," ",""))))</f>
        <v/>
      </c>
      <c r="E890" s="25" t="str">
        <f aca="false">IF(D890="","",IFERROR(INDEX(Empresas!$C:$C,MATCH(D890,Empresas!$B:$B,0)),"cadastre o CNPJ em Empresas"))</f>
        <v/>
      </c>
      <c r="F890" s="23"/>
      <c r="G890" s="35"/>
      <c r="H890" s="24"/>
      <c r="I890" s="11"/>
      <c r="J890" s="27" t="str">
        <f aca="false">IF(A890="","",YEAR(A890))</f>
        <v/>
      </c>
      <c r="K890" s="24"/>
      <c r="L890" s="11"/>
    </row>
    <row r="891" customFormat="false" ht="15" hidden="false" customHeight="false" outlineLevel="0" collapsed="false">
      <c r="A891" s="22"/>
      <c r="B891" s="11"/>
      <c r="C891" s="24"/>
      <c r="D891" s="31" t="str">
        <f aca="false">IF(C891="","",IF(LEN(UPPER(SUBSTITUTE(SUBSTITUTE(SUBSTITUTE(SUBSTITUTE(TRIM(C891),".",""),"/",""),"-","")," ","")))&lt;14,RIGHT(REPT("0",14)&amp;UPPER(SUBSTITUTE(SUBSTITUTE(SUBSTITUTE(SUBSTITUTE(TRIM(C891),".",""),"/",""),"-","")," ","")),14),UPPER(SUBSTITUTE(SUBSTITUTE(SUBSTITUTE(SUBSTITUTE(TRIM(C891),".",""),"/",""),"-","")," ",""))))</f>
        <v/>
      </c>
      <c r="E891" s="25" t="str">
        <f aca="false">IF(D891="","",IFERROR(INDEX(Empresas!$C:$C,MATCH(D891,Empresas!$B:$B,0)),"cadastre o CNPJ em Empresas"))</f>
        <v/>
      </c>
      <c r="F891" s="23"/>
      <c r="G891" s="35"/>
      <c r="H891" s="24"/>
      <c r="I891" s="11"/>
      <c r="J891" s="27" t="str">
        <f aca="false">IF(A891="","",YEAR(A891))</f>
        <v/>
      </c>
      <c r="K891" s="24"/>
      <c r="L891" s="11"/>
    </row>
    <row r="892" customFormat="false" ht="15" hidden="false" customHeight="false" outlineLevel="0" collapsed="false">
      <c r="A892" s="22"/>
      <c r="B892" s="11"/>
      <c r="C892" s="24"/>
      <c r="D892" s="31" t="str">
        <f aca="false">IF(C892="","",IF(LEN(UPPER(SUBSTITUTE(SUBSTITUTE(SUBSTITUTE(SUBSTITUTE(TRIM(C892),".",""),"/",""),"-","")," ","")))&lt;14,RIGHT(REPT("0",14)&amp;UPPER(SUBSTITUTE(SUBSTITUTE(SUBSTITUTE(SUBSTITUTE(TRIM(C892),".",""),"/",""),"-","")," ","")),14),UPPER(SUBSTITUTE(SUBSTITUTE(SUBSTITUTE(SUBSTITUTE(TRIM(C892),".",""),"/",""),"-","")," ",""))))</f>
        <v/>
      </c>
      <c r="E892" s="25" t="str">
        <f aca="false">IF(D892="","",IFERROR(INDEX(Empresas!$C:$C,MATCH(D892,Empresas!$B:$B,0)),"cadastre o CNPJ em Empresas"))</f>
        <v/>
      </c>
      <c r="F892" s="23"/>
      <c r="G892" s="35"/>
      <c r="H892" s="24"/>
      <c r="I892" s="11"/>
      <c r="J892" s="27" t="str">
        <f aca="false">IF(A892="","",YEAR(A892))</f>
        <v/>
      </c>
      <c r="K892" s="24"/>
      <c r="L892" s="11"/>
    </row>
    <row r="893" customFormat="false" ht="15" hidden="false" customHeight="false" outlineLevel="0" collapsed="false">
      <c r="A893" s="22"/>
      <c r="B893" s="11"/>
      <c r="C893" s="24"/>
      <c r="D893" s="31" t="str">
        <f aca="false">IF(C893="","",IF(LEN(UPPER(SUBSTITUTE(SUBSTITUTE(SUBSTITUTE(SUBSTITUTE(TRIM(C893),".",""),"/",""),"-","")," ","")))&lt;14,RIGHT(REPT("0",14)&amp;UPPER(SUBSTITUTE(SUBSTITUTE(SUBSTITUTE(SUBSTITUTE(TRIM(C893),".",""),"/",""),"-","")," ","")),14),UPPER(SUBSTITUTE(SUBSTITUTE(SUBSTITUTE(SUBSTITUTE(TRIM(C893),".",""),"/",""),"-","")," ",""))))</f>
        <v/>
      </c>
      <c r="E893" s="25" t="str">
        <f aca="false">IF(D893="","",IFERROR(INDEX(Empresas!$C:$C,MATCH(D893,Empresas!$B:$B,0)),"cadastre o CNPJ em Empresas"))</f>
        <v/>
      </c>
      <c r="F893" s="23"/>
      <c r="G893" s="35"/>
      <c r="H893" s="24"/>
      <c r="I893" s="11"/>
      <c r="J893" s="27" t="str">
        <f aca="false">IF(A893="","",YEAR(A893))</f>
        <v/>
      </c>
      <c r="K893" s="24"/>
      <c r="L893" s="11"/>
    </row>
    <row r="894" customFormat="false" ht="15" hidden="false" customHeight="false" outlineLevel="0" collapsed="false">
      <c r="A894" s="22"/>
      <c r="B894" s="11"/>
      <c r="C894" s="24"/>
      <c r="D894" s="31" t="str">
        <f aca="false">IF(C894="","",IF(LEN(UPPER(SUBSTITUTE(SUBSTITUTE(SUBSTITUTE(SUBSTITUTE(TRIM(C894),".",""),"/",""),"-","")," ","")))&lt;14,RIGHT(REPT("0",14)&amp;UPPER(SUBSTITUTE(SUBSTITUTE(SUBSTITUTE(SUBSTITUTE(TRIM(C894),".",""),"/",""),"-","")," ","")),14),UPPER(SUBSTITUTE(SUBSTITUTE(SUBSTITUTE(SUBSTITUTE(TRIM(C894),".",""),"/",""),"-","")," ",""))))</f>
        <v/>
      </c>
      <c r="E894" s="25" t="str">
        <f aca="false">IF(D894="","",IFERROR(INDEX(Empresas!$C:$C,MATCH(D894,Empresas!$B:$B,0)),"cadastre o CNPJ em Empresas"))</f>
        <v/>
      </c>
      <c r="F894" s="23"/>
      <c r="G894" s="35"/>
      <c r="H894" s="24"/>
      <c r="I894" s="11"/>
      <c r="J894" s="27" t="str">
        <f aca="false">IF(A894="","",YEAR(A894))</f>
        <v/>
      </c>
      <c r="K894" s="24"/>
      <c r="L894" s="11"/>
    </row>
    <row r="895" customFormat="false" ht="15" hidden="false" customHeight="false" outlineLevel="0" collapsed="false">
      <c r="A895" s="22"/>
      <c r="B895" s="11"/>
      <c r="C895" s="24"/>
      <c r="D895" s="31" t="str">
        <f aca="false">IF(C895="","",IF(LEN(UPPER(SUBSTITUTE(SUBSTITUTE(SUBSTITUTE(SUBSTITUTE(TRIM(C895),".",""),"/",""),"-","")," ","")))&lt;14,RIGHT(REPT("0",14)&amp;UPPER(SUBSTITUTE(SUBSTITUTE(SUBSTITUTE(SUBSTITUTE(TRIM(C895),".",""),"/",""),"-","")," ","")),14),UPPER(SUBSTITUTE(SUBSTITUTE(SUBSTITUTE(SUBSTITUTE(TRIM(C895),".",""),"/",""),"-","")," ",""))))</f>
        <v/>
      </c>
      <c r="E895" s="25" t="str">
        <f aca="false">IF(D895="","",IFERROR(INDEX(Empresas!$C:$C,MATCH(D895,Empresas!$B:$B,0)),"cadastre o CNPJ em Empresas"))</f>
        <v/>
      </c>
      <c r="F895" s="23"/>
      <c r="G895" s="35"/>
      <c r="H895" s="24"/>
      <c r="I895" s="11"/>
      <c r="J895" s="27" t="str">
        <f aca="false">IF(A895="","",YEAR(A895))</f>
        <v/>
      </c>
      <c r="K895" s="24"/>
      <c r="L895" s="11"/>
    </row>
    <row r="896" customFormat="false" ht="15" hidden="false" customHeight="false" outlineLevel="0" collapsed="false">
      <c r="A896" s="22"/>
      <c r="B896" s="11"/>
      <c r="C896" s="24"/>
      <c r="D896" s="31" t="str">
        <f aca="false">IF(C896="","",IF(LEN(UPPER(SUBSTITUTE(SUBSTITUTE(SUBSTITUTE(SUBSTITUTE(TRIM(C896),".",""),"/",""),"-","")," ","")))&lt;14,RIGHT(REPT("0",14)&amp;UPPER(SUBSTITUTE(SUBSTITUTE(SUBSTITUTE(SUBSTITUTE(TRIM(C896),".",""),"/",""),"-","")," ","")),14),UPPER(SUBSTITUTE(SUBSTITUTE(SUBSTITUTE(SUBSTITUTE(TRIM(C896),".",""),"/",""),"-","")," ",""))))</f>
        <v/>
      </c>
      <c r="E896" s="25" t="str">
        <f aca="false">IF(D896="","",IFERROR(INDEX(Empresas!$C:$C,MATCH(D896,Empresas!$B:$B,0)),"cadastre o CNPJ em Empresas"))</f>
        <v/>
      </c>
      <c r="F896" s="23"/>
      <c r="G896" s="35"/>
      <c r="H896" s="24"/>
      <c r="I896" s="11"/>
      <c r="J896" s="27" t="str">
        <f aca="false">IF(A896="","",YEAR(A896))</f>
        <v/>
      </c>
      <c r="K896" s="24"/>
      <c r="L896" s="11"/>
    </row>
    <row r="897" customFormat="false" ht="15" hidden="false" customHeight="false" outlineLevel="0" collapsed="false">
      <c r="A897" s="22"/>
      <c r="B897" s="11"/>
      <c r="C897" s="24"/>
      <c r="D897" s="31" t="str">
        <f aca="false">IF(C897="","",IF(LEN(UPPER(SUBSTITUTE(SUBSTITUTE(SUBSTITUTE(SUBSTITUTE(TRIM(C897),".",""),"/",""),"-","")," ","")))&lt;14,RIGHT(REPT("0",14)&amp;UPPER(SUBSTITUTE(SUBSTITUTE(SUBSTITUTE(SUBSTITUTE(TRIM(C897),".",""),"/",""),"-","")," ","")),14),UPPER(SUBSTITUTE(SUBSTITUTE(SUBSTITUTE(SUBSTITUTE(TRIM(C897),".",""),"/",""),"-","")," ",""))))</f>
        <v/>
      </c>
      <c r="E897" s="25" t="str">
        <f aca="false">IF(D897="","",IFERROR(INDEX(Empresas!$C:$C,MATCH(D897,Empresas!$B:$B,0)),"cadastre o CNPJ em Empresas"))</f>
        <v/>
      </c>
      <c r="F897" s="23"/>
      <c r="G897" s="35"/>
      <c r="H897" s="24"/>
      <c r="I897" s="11"/>
      <c r="J897" s="27" t="str">
        <f aca="false">IF(A897="","",YEAR(A897))</f>
        <v/>
      </c>
      <c r="K897" s="24"/>
      <c r="L897" s="11"/>
    </row>
    <row r="898" customFormat="false" ht="15" hidden="false" customHeight="false" outlineLevel="0" collapsed="false">
      <c r="A898" s="22"/>
      <c r="B898" s="11"/>
      <c r="C898" s="24"/>
      <c r="D898" s="31" t="str">
        <f aca="false">IF(C898="","",IF(LEN(UPPER(SUBSTITUTE(SUBSTITUTE(SUBSTITUTE(SUBSTITUTE(TRIM(C898),".",""),"/",""),"-","")," ","")))&lt;14,RIGHT(REPT("0",14)&amp;UPPER(SUBSTITUTE(SUBSTITUTE(SUBSTITUTE(SUBSTITUTE(TRIM(C898),".",""),"/",""),"-","")," ","")),14),UPPER(SUBSTITUTE(SUBSTITUTE(SUBSTITUTE(SUBSTITUTE(TRIM(C898),".",""),"/",""),"-","")," ",""))))</f>
        <v/>
      </c>
      <c r="E898" s="25" t="str">
        <f aca="false">IF(D898="","",IFERROR(INDEX(Empresas!$C:$C,MATCH(D898,Empresas!$B:$B,0)),"cadastre o CNPJ em Empresas"))</f>
        <v/>
      </c>
      <c r="F898" s="23"/>
      <c r="G898" s="35"/>
      <c r="H898" s="24"/>
      <c r="I898" s="11"/>
      <c r="J898" s="27" t="str">
        <f aca="false">IF(A898="","",YEAR(A898))</f>
        <v/>
      </c>
      <c r="K898" s="24"/>
      <c r="L898" s="11"/>
    </row>
    <row r="899" customFormat="false" ht="15" hidden="false" customHeight="false" outlineLevel="0" collapsed="false">
      <c r="A899" s="22"/>
      <c r="B899" s="11"/>
      <c r="C899" s="24"/>
      <c r="D899" s="31" t="str">
        <f aca="false">IF(C899="","",IF(LEN(UPPER(SUBSTITUTE(SUBSTITUTE(SUBSTITUTE(SUBSTITUTE(TRIM(C899),".",""),"/",""),"-","")," ","")))&lt;14,RIGHT(REPT("0",14)&amp;UPPER(SUBSTITUTE(SUBSTITUTE(SUBSTITUTE(SUBSTITUTE(TRIM(C899),".",""),"/",""),"-","")," ","")),14),UPPER(SUBSTITUTE(SUBSTITUTE(SUBSTITUTE(SUBSTITUTE(TRIM(C899),".",""),"/",""),"-","")," ",""))))</f>
        <v/>
      </c>
      <c r="E899" s="25" t="str">
        <f aca="false">IF(D899="","",IFERROR(INDEX(Empresas!$C:$C,MATCH(D899,Empresas!$B:$B,0)),"cadastre o CNPJ em Empresas"))</f>
        <v/>
      </c>
      <c r="F899" s="23"/>
      <c r="G899" s="35"/>
      <c r="H899" s="24"/>
      <c r="I899" s="11"/>
      <c r="J899" s="27" t="str">
        <f aca="false">IF(A899="","",YEAR(A899))</f>
        <v/>
      </c>
      <c r="K899" s="24"/>
      <c r="L899" s="11"/>
    </row>
    <row r="900" customFormat="false" ht="15" hidden="false" customHeight="false" outlineLevel="0" collapsed="false">
      <c r="A900" s="22"/>
      <c r="B900" s="11"/>
      <c r="C900" s="24"/>
      <c r="D900" s="31" t="str">
        <f aca="false">IF(C900="","",IF(LEN(UPPER(SUBSTITUTE(SUBSTITUTE(SUBSTITUTE(SUBSTITUTE(TRIM(C900),".",""),"/",""),"-","")," ","")))&lt;14,RIGHT(REPT("0",14)&amp;UPPER(SUBSTITUTE(SUBSTITUTE(SUBSTITUTE(SUBSTITUTE(TRIM(C900),".",""),"/",""),"-","")," ","")),14),UPPER(SUBSTITUTE(SUBSTITUTE(SUBSTITUTE(SUBSTITUTE(TRIM(C900),".",""),"/",""),"-","")," ",""))))</f>
        <v/>
      </c>
      <c r="E900" s="25" t="str">
        <f aca="false">IF(D900="","",IFERROR(INDEX(Empresas!$C:$C,MATCH(D900,Empresas!$B:$B,0)),"cadastre o CNPJ em Empresas"))</f>
        <v/>
      </c>
      <c r="F900" s="23"/>
      <c r="G900" s="35"/>
      <c r="H900" s="24"/>
      <c r="I900" s="11"/>
      <c r="J900" s="27" t="str">
        <f aca="false">IF(A900="","",YEAR(A900))</f>
        <v/>
      </c>
      <c r="K900" s="24"/>
      <c r="L900" s="11"/>
    </row>
    <row r="901" customFormat="false" ht="15" hidden="false" customHeight="false" outlineLevel="0" collapsed="false">
      <c r="A901" s="22"/>
      <c r="B901" s="11"/>
      <c r="C901" s="24"/>
      <c r="D901" s="31" t="str">
        <f aca="false">IF(C901="","",IF(LEN(UPPER(SUBSTITUTE(SUBSTITUTE(SUBSTITUTE(SUBSTITUTE(TRIM(C901),".",""),"/",""),"-","")," ","")))&lt;14,RIGHT(REPT("0",14)&amp;UPPER(SUBSTITUTE(SUBSTITUTE(SUBSTITUTE(SUBSTITUTE(TRIM(C901),".",""),"/",""),"-","")," ","")),14),UPPER(SUBSTITUTE(SUBSTITUTE(SUBSTITUTE(SUBSTITUTE(TRIM(C901),".",""),"/",""),"-","")," ",""))))</f>
        <v/>
      </c>
      <c r="E901" s="25" t="str">
        <f aca="false">IF(D901="","",IFERROR(INDEX(Empresas!$C:$C,MATCH(D901,Empresas!$B:$B,0)),"cadastre o CNPJ em Empresas"))</f>
        <v/>
      </c>
      <c r="F901" s="23"/>
      <c r="G901" s="35"/>
      <c r="H901" s="24"/>
      <c r="I901" s="11"/>
      <c r="J901" s="27" t="str">
        <f aca="false">IF(A901="","",YEAR(A901))</f>
        <v/>
      </c>
      <c r="K901" s="24"/>
      <c r="L901" s="11"/>
    </row>
    <row r="902" customFormat="false" ht="15" hidden="false" customHeight="false" outlineLevel="0" collapsed="false">
      <c r="A902" s="22"/>
      <c r="B902" s="11"/>
      <c r="C902" s="24"/>
      <c r="D902" s="31" t="str">
        <f aca="false">IF(C902="","",IF(LEN(UPPER(SUBSTITUTE(SUBSTITUTE(SUBSTITUTE(SUBSTITUTE(TRIM(C902),".",""),"/",""),"-","")," ","")))&lt;14,RIGHT(REPT("0",14)&amp;UPPER(SUBSTITUTE(SUBSTITUTE(SUBSTITUTE(SUBSTITUTE(TRIM(C902),".",""),"/",""),"-","")," ","")),14),UPPER(SUBSTITUTE(SUBSTITUTE(SUBSTITUTE(SUBSTITUTE(TRIM(C902),".",""),"/",""),"-","")," ",""))))</f>
        <v/>
      </c>
      <c r="E902" s="25" t="str">
        <f aca="false">IF(D902="","",IFERROR(INDEX(Empresas!$C:$C,MATCH(D902,Empresas!$B:$B,0)),"cadastre o CNPJ em Empresas"))</f>
        <v/>
      </c>
      <c r="F902" s="23"/>
      <c r="G902" s="35"/>
      <c r="H902" s="24"/>
      <c r="I902" s="11"/>
      <c r="J902" s="27" t="str">
        <f aca="false">IF(A902="","",YEAR(A902))</f>
        <v/>
      </c>
      <c r="K902" s="24"/>
      <c r="L902" s="11"/>
    </row>
    <row r="903" customFormat="false" ht="15" hidden="false" customHeight="false" outlineLevel="0" collapsed="false">
      <c r="A903" s="22"/>
      <c r="B903" s="11"/>
      <c r="C903" s="24"/>
      <c r="D903" s="31" t="str">
        <f aca="false">IF(C903="","",IF(LEN(UPPER(SUBSTITUTE(SUBSTITUTE(SUBSTITUTE(SUBSTITUTE(TRIM(C903),".",""),"/",""),"-","")," ","")))&lt;14,RIGHT(REPT("0",14)&amp;UPPER(SUBSTITUTE(SUBSTITUTE(SUBSTITUTE(SUBSTITUTE(TRIM(C903),".",""),"/",""),"-","")," ","")),14),UPPER(SUBSTITUTE(SUBSTITUTE(SUBSTITUTE(SUBSTITUTE(TRIM(C903),".",""),"/",""),"-","")," ",""))))</f>
        <v/>
      </c>
      <c r="E903" s="25" t="str">
        <f aca="false">IF(D903="","",IFERROR(INDEX(Empresas!$C:$C,MATCH(D903,Empresas!$B:$B,0)),"cadastre o CNPJ em Empresas"))</f>
        <v/>
      </c>
      <c r="F903" s="23"/>
      <c r="G903" s="35"/>
      <c r="H903" s="24"/>
      <c r="I903" s="11"/>
      <c r="J903" s="27" t="str">
        <f aca="false">IF(A903="","",YEAR(A903))</f>
        <v/>
      </c>
      <c r="K903" s="24"/>
      <c r="L903" s="11"/>
    </row>
    <row r="904" customFormat="false" ht="15" hidden="false" customHeight="false" outlineLevel="0" collapsed="false">
      <c r="A904" s="22"/>
      <c r="B904" s="11"/>
      <c r="C904" s="24"/>
      <c r="D904" s="31" t="str">
        <f aca="false">IF(C904="","",IF(LEN(UPPER(SUBSTITUTE(SUBSTITUTE(SUBSTITUTE(SUBSTITUTE(TRIM(C904),".",""),"/",""),"-","")," ","")))&lt;14,RIGHT(REPT("0",14)&amp;UPPER(SUBSTITUTE(SUBSTITUTE(SUBSTITUTE(SUBSTITUTE(TRIM(C904),".",""),"/",""),"-","")," ","")),14),UPPER(SUBSTITUTE(SUBSTITUTE(SUBSTITUTE(SUBSTITUTE(TRIM(C904),".",""),"/",""),"-","")," ",""))))</f>
        <v/>
      </c>
      <c r="E904" s="25" t="str">
        <f aca="false">IF(D904="","",IFERROR(INDEX(Empresas!$C:$C,MATCH(D904,Empresas!$B:$B,0)),"cadastre o CNPJ em Empresas"))</f>
        <v/>
      </c>
      <c r="F904" s="23"/>
      <c r="G904" s="35"/>
      <c r="H904" s="24"/>
      <c r="I904" s="11"/>
      <c r="J904" s="27" t="str">
        <f aca="false">IF(A904="","",YEAR(A904))</f>
        <v/>
      </c>
      <c r="K904" s="24"/>
      <c r="L904" s="11"/>
    </row>
    <row r="905" customFormat="false" ht="15" hidden="false" customHeight="false" outlineLevel="0" collapsed="false">
      <c r="A905" s="22"/>
      <c r="B905" s="11"/>
      <c r="C905" s="24"/>
      <c r="D905" s="31" t="str">
        <f aca="false">IF(C905="","",IF(LEN(UPPER(SUBSTITUTE(SUBSTITUTE(SUBSTITUTE(SUBSTITUTE(TRIM(C905),".",""),"/",""),"-","")," ","")))&lt;14,RIGHT(REPT("0",14)&amp;UPPER(SUBSTITUTE(SUBSTITUTE(SUBSTITUTE(SUBSTITUTE(TRIM(C905),".",""),"/",""),"-","")," ","")),14),UPPER(SUBSTITUTE(SUBSTITUTE(SUBSTITUTE(SUBSTITUTE(TRIM(C905),".",""),"/",""),"-","")," ",""))))</f>
        <v/>
      </c>
      <c r="E905" s="25" t="str">
        <f aca="false">IF(D905="","",IFERROR(INDEX(Empresas!$C:$C,MATCH(D905,Empresas!$B:$B,0)),"cadastre o CNPJ em Empresas"))</f>
        <v/>
      </c>
      <c r="F905" s="23"/>
      <c r="G905" s="35"/>
      <c r="H905" s="24"/>
      <c r="I905" s="11"/>
      <c r="J905" s="27" t="str">
        <f aca="false">IF(A905="","",YEAR(A905))</f>
        <v/>
      </c>
      <c r="K905" s="24"/>
      <c r="L905" s="11"/>
    </row>
    <row r="906" customFormat="false" ht="15" hidden="false" customHeight="false" outlineLevel="0" collapsed="false">
      <c r="A906" s="22"/>
      <c r="B906" s="11"/>
      <c r="C906" s="24"/>
      <c r="D906" s="31" t="str">
        <f aca="false">IF(C906="","",IF(LEN(UPPER(SUBSTITUTE(SUBSTITUTE(SUBSTITUTE(SUBSTITUTE(TRIM(C906),".",""),"/",""),"-","")," ","")))&lt;14,RIGHT(REPT("0",14)&amp;UPPER(SUBSTITUTE(SUBSTITUTE(SUBSTITUTE(SUBSTITUTE(TRIM(C906),".",""),"/",""),"-","")," ","")),14),UPPER(SUBSTITUTE(SUBSTITUTE(SUBSTITUTE(SUBSTITUTE(TRIM(C906),".",""),"/",""),"-","")," ",""))))</f>
        <v/>
      </c>
      <c r="E906" s="25" t="str">
        <f aca="false">IF(D906="","",IFERROR(INDEX(Empresas!$C:$C,MATCH(D906,Empresas!$B:$B,0)),"cadastre o CNPJ em Empresas"))</f>
        <v/>
      </c>
      <c r="F906" s="23"/>
      <c r="G906" s="35"/>
      <c r="H906" s="24"/>
      <c r="I906" s="11"/>
      <c r="J906" s="27" t="str">
        <f aca="false">IF(A906="","",YEAR(A906))</f>
        <v/>
      </c>
      <c r="K906" s="24"/>
      <c r="L906" s="11"/>
    </row>
    <row r="907" customFormat="false" ht="15" hidden="false" customHeight="false" outlineLevel="0" collapsed="false">
      <c r="A907" s="22"/>
      <c r="B907" s="11"/>
      <c r="C907" s="24"/>
      <c r="D907" s="31" t="str">
        <f aca="false">IF(C907="","",IF(LEN(UPPER(SUBSTITUTE(SUBSTITUTE(SUBSTITUTE(SUBSTITUTE(TRIM(C907),".",""),"/",""),"-","")," ","")))&lt;14,RIGHT(REPT("0",14)&amp;UPPER(SUBSTITUTE(SUBSTITUTE(SUBSTITUTE(SUBSTITUTE(TRIM(C907),".",""),"/",""),"-","")," ","")),14),UPPER(SUBSTITUTE(SUBSTITUTE(SUBSTITUTE(SUBSTITUTE(TRIM(C907),".",""),"/",""),"-","")," ",""))))</f>
        <v/>
      </c>
      <c r="E907" s="25" t="str">
        <f aca="false">IF(D907="","",IFERROR(INDEX(Empresas!$C:$C,MATCH(D907,Empresas!$B:$B,0)),"cadastre o CNPJ em Empresas"))</f>
        <v/>
      </c>
      <c r="F907" s="23"/>
      <c r="G907" s="35"/>
      <c r="H907" s="24"/>
      <c r="I907" s="11"/>
      <c r="J907" s="27" t="str">
        <f aca="false">IF(A907="","",YEAR(A907))</f>
        <v/>
      </c>
      <c r="K907" s="24"/>
      <c r="L907" s="11"/>
    </row>
    <row r="908" customFormat="false" ht="15" hidden="false" customHeight="false" outlineLevel="0" collapsed="false">
      <c r="A908" s="22"/>
      <c r="B908" s="11"/>
      <c r="C908" s="24"/>
      <c r="D908" s="31" t="str">
        <f aca="false">IF(C908="","",IF(LEN(UPPER(SUBSTITUTE(SUBSTITUTE(SUBSTITUTE(SUBSTITUTE(TRIM(C908),".",""),"/",""),"-","")," ","")))&lt;14,RIGHT(REPT("0",14)&amp;UPPER(SUBSTITUTE(SUBSTITUTE(SUBSTITUTE(SUBSTITUTE(TRIM(C908),".",""),"/",""),"-","")," ","")),14),UPPER(SUBSTITUTE(SUBSTITUTE(SUBSTITUTE(SUBSTITUTE(TRIM(C908),".",""),"/",""),"-","")," ",""))))</f>
        <v/>
      </c>
      <c r="E908" s="25" t="str">
        <f aca="false">IF(D908="","",IFERROR(INDEX(Empresas!$C:$C,MATCH(D908,Empresas!$B:$B,0)),"cadastre o CNPJ em Empresas"))</f>
        <v/>
      </c>
      <c r="F908" s="23"/>
      <c r="G908" s="35"/>
      <c r="H908" s="24"/>
      <c r="I908" s="11"/>
      <c r="J908" s="27" t="str">
        <f aca="false">IF(A908="","",YEAR(A908))</f>
        <v/>
      </c>
      <c r="K908" s="24"/>
      <c r="L908" s="11"/>
    </row>
    <row r="909" customFormat="false" ht="15" hidden="false" customHeight="false" outlineLevel="0" collapsed="false">
      <c r="A909" s="22"/>
      <c r="B909" s="11"/>
      <c r="C909" s="24"/>
      <c r="D909" s="31" t="str">
        <f aca="false">IF(C909="","",IF(LEN(UPPER(SUBSTITUTE(SUBSTITUTE(SUBSTITUTE(SUBSTITUTE(TRIM(C909),".",""),"/",""),"-","")," ","")))&lt;14,RIGHT(REPT("0",14)&amp;UPPER(SUBSTITUTE(SUBSTITUTE(SUBSTITUTE(SUBSTITUTE(TRIM(C909),".",""),"/",""),"-","")," ","")),14),UPPER(SUBSTITUTE(SUBSTITUTE(SUBSTITUTE(SUBSTITUTE(TRIM(C909),".",""),"/",""),"-","")," ",""))))</f>
        <v/>
      </c>
      <c r="E909" s="25" t="str">
        <f aca="false">IF(D909="","",IFERROR(INDEX(Empresas!$C:$C,MATCH(D909,Empresas!$B:$B,0)),"cadastre o CNPJ em Empresas"))</f>
        <v/>
      </c>
      <c r="F909" s="23"/>
      <c r="G909" s="35"/>
      <c r="H909" s="24"/>
      <c r="I909" s="11"/>
      <c r="J909" s="27" t="str">
        <f aca="false">IF(A909="","",YEAR(A909))</f>
        <v/>
      </c>
      <c r="K909" s="24"/>
      <c r="L909" s="11"/>
    </row>
    <row r="910" customFormat="false" ht="15" hidden="false" customHeight="false" outlineLevel="0" collapsed="false">
      <c r="A910" s="22"/>
      <c r="B910" s="11"/>
      <c r="C910" s="24"/>
      <c r="D910" s="31" t="str">
        <f aca="false">IF(C910="","",IF(LEN(UPPER(SUBSTITUTE(SUBSTITUTE(SUBSTITUTE(SUBSTITUTE(TRIM(C910),".",""),"/",""),"-","")," ","")))&lt;14,RIGHT(REPT("0",14)&amp;UPPER(SUBSTITUTE(SUBSTITUTE(SUBSTITUTE(SUBSTITUTE(TRIM(C910),".",""),"/",""),"-","")," ","")),14),UPPER(SUBSTITUTE(SUBSTITUTE(SUBSTITUTE(SUBSTITUTE(TRIM(C910),".",""),"/",""),"-","")," ",""))))</f>
        <v/>
      </c>
      <c r="E910" s="25" t="str">
        <f aca="false">IF(D910="","",IFERROR(INDEX(Empresas!$C:$C,MATCH(D910,Empresas!$B:$B,0)),"cadastre o CNPJ em Empresas"))</f>
        <v/>
      </c>
      <c r="F910" s="23"/>
      <c r="G910" s="35"/>
      <c r="H910" s="24"/>
      <c r="I910" s="11"/>
      <c r="J910" s="27" t="str">
        <f aca="false">IF(A910="","",YEAR(A910))</f>
        <v/>
      </c>
      <c r="K910" s="24"/>
      <c r="L910" s="11"/>
    </row>
    <row r="911" customFormat="false" ht="15" hidden="false" customHeight="false" outlineLevel="0" collapsed="false">
      <c r="A911" s="22"/>
      <c r="B911" s="11"/>
      <c r="C911" s="24"/>
      <c r="D911" s="31" t="str">
        <f aca="false">IF(C911="","",IF(LEN(UPPER(SUBSTITUTE(SUBSTITUTE(SUBSTITUTE(SUBSTITUTE(TRIM(C911),".",""),"/",""),"-","")," ","")))&lt;14,RIGHT(REPT("0",14)&amp;UPPER(SUBSTITUTE(SUBSTITUTE(SUBSTITUTE(SUBSTITUTE(TRIM(C911),".",""),"/",""),"-","")," ","")),14),UPPER(SUBSTITUTE(SUBSTITUTE(SUBSTITUTE(SUBSTITUTE(TRIM(C911),".",""),"/",""),"-","")," ",""))))</f>
        <v/>
      </c>
      <c r="E911" s="25" t="str">
        <f aca="false">IF(D911="","",IFERROR(INDEX(Empresas!$C:$C,MATCH(D911,Empresas!$B:$B,0)),"cadastre o CNPJ em Empresas"))</f>
        <v/>
      </c>
      <c r="F911" s="23"/>
      <c r="G911" s="35"/>
      <c r="H911" s="24"/>
      <c r="I911" s="11"/>
      <c r="J911" s="27" t="str">
        <f aca="false">IF(A911="","",YEAR(A911))</f>
        <v/>
      </c>
      <c r="K911" s="24"/>
      <c r="L911" s="11"/>
    </row>
    <row r="912" customFormat="false" ht="15" hidden="false" customHeight="false" outlineLevel="0" collapsed="false">
      <c r="A912" s="22"/>
      <c r="B912" s="11"/>
      <c r="C912" s="24"/>
      <c r="D912" s="31" t="str">
        <f aca="false">IF(C912="","",IF(LEN(UPPER(SUBSTITUTE(SUBSTITUTE(SUBSTITUTE(SUBSTITUTE(TRIM(C912),".",""),"/",""),"-","")," ","")))&lt;14,RIGHT(REPT("0",14)&amp;UPPER(SUBSTITUTE(SUBSTITUTE(SUBSTITUTE(SUBSTITUTE(TRIM(C912),".",""),"/",""),"-","")," ","")),14),UPPER(SUBSTITUTE(SUBSTITUTE(SUBSTITUTE(SUBSTITUTE(TRIM(C912),".",""),"/",""),"-","")," ",""))))</f>
        <v/>
      </c>
      <c r="E912" s="25" t="str">
        <f aca="false">IF(D912="","",IFERROR(INDEX(Empresas!$C:$C,MATCH(D912,Empresas!$B:$B,0)),"cadastre o CNPJ em Empresas"))</f>
        <v/>
      </c>
      <c r="F912" s="23"/>
      <c r="G912" s="35"/>
      <c r="H912" s="24"/>
      <c r="I912" s="11"/>
      <c r="J912" s="27" t="str">
        <f aca="false">IF(A912="","",YEAR(A912))</f>
        <v/>
      </c>
      <c r="K912" s="24"/>
      <c r="L912" s="11"/>
    </row>
    <row r="913" customFormat="false" ht="15" hidden="false" customHeight="false" outlineLevel="0" collapsed="false">
      <c r="A913" s="22"/>
      <c r="B913" s="11"/>
      <c r="C913" s="24"/>
      <c r="D913" s="31" t="str">
        <f aca="false">IF(C913="","",IF(LEN(UPPER(SUBSTITUTE(SUBSTITUTE(SUBSTITUTE(SUBSTITUTE(TRIM(C913),".",""),"/",""),"-","")," ","")))&lt;14,RIGHT(REPT("0",14)&amp;UPPER(SUBSTITUTE(SUBSTITUTE(SUBSTITUTE(SUBSTITUTE(TRIM(C913),".",""),"/",""),"-","")," ","")),14),UPPER(SUBSTITUTE(SUBSTITUTE(SUBSTITUTE(SUBSTITUTE(TRIM(C913),".",""),"/",""),"-","")," ",""))))</f>
        <v/>
      </c>
      <c r="E913" s="25" t="str">
        <f aca="false">IF(D913="","",IFERROR(INDEX(Empresas!$C:$C,MATCH(D913,Empresas!$B:$B,0)),"cadastre o CNPJ em Empresas"))</f>
        <v/>
      </c>
      <c r="F913" s="23"/>
      <c r="G913" s="35"/>
      <c r="H913" s="24"/>
      <c r="I913" s="11"/>
      <c r="J913" s="27" t="str">
        <f aca="false">IF(A913="","",YEAR(A913))</f>
        <v/>
      </c>
      <c r="K913" s="24"/>
      <c r="L913" s="11"/>
    </row>
    <row r="914" customFormat="false" ht="15" hidden="false" customHeight="false" outlineLevel="0" collapsed="false">
      <c r="A914" s="22"/>
      <c r="B914" s="11"/>
      <c r="C914" s="24"/>
      <c r="D914" s="31" t="str">
        <f aca="false">IF(C914="","",IF(LEN(UPPER(SUBSTITUTE(SUBSTITUTE(SUBSTITUTE(SUBSTITUTE(TRIM(C914),".",""),"/",""),"-","")," ","")))&lt;14,RIGHT(REPT("0",14)&amp;UPPER(SUBSTITUTE(SUBSTITUTE(SUBSTITUTE(SUBSTITUTE(TRIM(C914),".",""),"/",""),"-","")," ","")),14),UPPER(SUBSTITUTE(SUBSTITUTE(SUBSTITUTE(SUBSTITUTE(TRIM(C914),".",""),"/",""),"-","")," ",""))))</f>
        <v/>
      </c>
      <c r="E914" s="25" t="str">
        <f aca="false">IF(D914="","",IFERROR(INDEX(Empresas!$C:$C,MATCH(D914,Empresas!$B:$B,0)),"cadastre o CNPJ em Empresas"))</f>
        <v/>
      </c>
      <c r="F914" s="23"/>
      <c r="G914" s="35"/>
      <c r="H914" s="24"/>
      <c r="I914" s="11"/>
      <c r="J914" s="27" t="str">
        <f aca="false">IF(A914="","",YEAR(A914))</f>
        <v/>
      </c>
      <c r="K914" s="24"/>
      <c r="L914" s="11"/>
    </row>
    <row r="915" customFormat="false" ht="15" hidden="false" customHeight="false" outlineLevel="0" collapsed="false">
      <c r="A915" s="22"/>
      <c r="B915" s="11"/>
      <c r="C915" s="24"/>
      <c r="D915" s="31" t="str">
        <f aca="false">IF(C915="","",IF(LEN(UPPER(SUBSTITUTE(SUBSTITUTE(SUBSTITUTE(SUBSTITUTE(TRIM(C915),".",""),"/",""),"-","")," ","")))&lt;14,RIGHT(REPT("0",14)&amp;UPPER(SUBSTITUTE(SUBSTITUTE(SUBSTITUTE(SUBSTITUTE(TRIM(C915),".",""),"/",""),"-","")," ","")),14),UPPER(SUBSTITUTE(SUBSTITUTE(SUBSTITUTE(SUBSTITUTE(TRIM(C915),".",""),"/",""),"-","")," ",""))))</f>
        <v/>
      </c>
      <c r="E915" s="25" t="str">
        <f aca="false">IF(D915="","",IFERROR(INDEX(Empresas!$C:$C,MATCH(D915,Empresas!$B:$B,0)),"cadastre o CNPJ em Empresas"))</f>
        <v/>
      </c>
      <c r="F915" s="23"/>
      <c r="G915" s="35"/>
      <c r="H915" s="24"/>
      <c r="I915" s="11"/>
      <c r="J915" s="27" t="str">
        <f aca="false">IF(A915="","",YEAR(A915))</f>
        <v/>
      </c>
      <c r="K915" s="24"/>
      <c r="L915" s="11"/>
    </row>
    <row r="916" customFormat="false" ht="15" hidden="false" customHeight="false" outlineLevel="0" collapsed="false">
      <c r="A916" s="22"/>
      <c r="B916" s="11"/>
      <c r="C916" s="24"/>
      <c r="D916" s="31" t="str">
        <f aca="false">IF(C916="","",IF(LEN(UPPER(SUBSTITUTE(SUBSTITUTE(SUBSTITUTE(SUBSTITUTE(TRIM(C916),".",""),"/",""),"-","")," ","")))&lt;14,RIGHT(REPT("0",14)&amp;UPPER(SUBSTITUTE(SUBSTITUTE(SUBSTITUTE(SUBSTITUTE(TRIM(C916),".",""),"/",""),"-","")," ","")),14),UPPER(SUBSTITUTE(SUBSTITUTE(SUBSTITUTE(SUBSTITUTE(TRIM(C916),".",""),"/",""),"-","")," ",""))))</f>
        <v/>
      </c>
      <c r="E916" s="25" t="str">
        <f aca="false">IF(D916="","",IFERROR(INDEX(Empresas!$C:$C,MATCH(D916,Empresas!$B:$B,0)),"cadastre o CNPJ em Empresas"))</f>
        <v/>
      </c>
      <c r="F916" s="23"/>
      <c r="G916" s="35"/>
      <c r="H916" s="24"/>
      <c r="I916" s="11"/>
      <c r="J916" s="27" t="str">
        <f aca="false">IF(A916="","",YEAR(A916))</f>
        <v/>
      </c>
      <c r="K916" s="24"/>
      <c r="L916" s="11"/>
    </row>
    <row r="917" customFormat="false" ht="15" hidden="false" customHeight="false" outlineLevel="0" collapsed="false">
      <c r="A917" s="22"/>
      <c r="B917" s="11"/>
      <c r="C917" s="24"/>
      <c r="D917" s="31" t="str">
        <f aca="false">IF(C917="","",IF(LEN(UPPER(SUBSTITUTE(SUBSTITUTE(SUBSTITUTE(SUBSTITUTE(TRIM(C917),".",""),"/",""),"-","")," ","")))&lt;14,RIGHT(REPT("0",14)&amp;UPPER(SUBSTITUTE(SUBSTITUTE(SUBSTITUTE(SUBSTITUTE(TRIM(C917),".",""),"/",""),"-","")," ","")),14),UPPER(SUBSTITUTE(SUBSTITUTE(SUBSTITUTE(SUBSTITUTE(TRIM(C917),".",""),"/",""),"-","")," ",""))))</f>
        <v/>
      </c>
      <c r="E917" s="25" t="str">
        <f aca="false">IF(D917="","",IFERROR(INDEX(Empresas!$C:$C,MATCH(D917,Empresas!$B:$B,0)),"cadastre o CNPJ em Empresas"))</f>
        <v/>
      </c>
      <c r="F917" s="23"/>
      <c r="G917" s="35"/>
      <c r="H917" s="24"/>
      <c r="I917" s="11"/>
      <c r="J917" s="27" t="str">
        <f aca="false">IF(A917="","",YEAR(A917))</f>
        <v/>
      </c>
      <c r="K917" s="24"/>
      <c r="L917" s="11"/>
    </row>
    <row r="918" customFormat="false" ht="15" hidden="false" customHeight="false" outlineLevel="0" collapsed="false">
      <c r="A918" s="22"/>
      <c r="B918" s="11"/>
      <c r="C918" s="24"/>
      <c r="D918" s="31" t="str">
        <f aca="false">IF(C918="","",IF(LEN(UPPER(SUBSTITUTE(SUBSTITUTE(SUBSTITUTE(SUBSTITUTE(TRIM(C918),".",""),"/",""),"-","")," ","")))&lt;14,RIGHT(REPT("0",14)&amp;UPPER(SUBSTITUTE(SUBSTITUTE(SUBSTITUTE(SUBSTITUTE(TRIM(C918),".",""),"/",""),"-","")," ","")),14),UPPER(SUBSTITUTE(SUBSTITUTE(SUBSTITUTE(SUBSTITUTE(TRIM(C918),".",""),"/",""),"-","")," ",""))))</f>
        <v/>
      </c>
      <c r="E918" s="25" t="str">
        <f aca="false">IF(D918="","",IFERROR(INDEX(Empresas!$C:$C,MATCH(D918,Empresas!$B:$B,0)),"cadastre o CNPJ em Empresas"))</f>
        <v/>
      </c>
      <c r="F918" s="23"/>
      <c r="G918" s="35"/>
      <c r="H918" s="24"/>
      <c r="I918" s="11"/>
      <c r="J918" s="27" t="str">
        <f aca="false">IF(A918="","",YEAR(A918))</f>
        <v/>
      </c>
      <c r="K918" s="24"/>
      <c r="L918" s="11"/>
    </row>
    <row r="919" customFormat="false" ht="15" hidden="false" customHeight="false" outlineLevel="0" collapsed="false">
      <c r="A919" s="22"/>
      <c r="B919" s="11"/>
      <c r="C919" s="24"/>
      <c r="D919" s="31" t="str">
        <f aca="false">IF(C919="","",IF(LEN(UPPER(SUBSTITUTE(SUBSTITUTE(SUBSTITUTE(SUBSTITUTE(TRIM(C919),".",""),"/",""),"-","")," ","")))&lt;14,RIGHT(REPT("0",14)&amp;UPPER(SUBSTITUTE(SUBSTITUTE(SUBSTITUTE(SUBSTITUTE(TRIM(C919),".",""),"/",""),"-","")," ","")),14),UPPER(SUBSTITUTE(SUBSTITUTE(SUBSTITUTE(SUBSTITUTE(TRIM(C919),".",""),"/",""),"-","")," ",""))))</f>
        <v/>
      </c>
      <c r="E919" s="25" t="str">
        <f aca="false">IF(D919="","",IFERROR(INDEX(Empresas!$C:$C,MATCH(D919,Empresas!$B:$B,0)),"cadastre o CNPJ em Empresas"))</f>
        <v/>
      </c>
      <c r="F919" s="23"/>
      <c r="G919" s="35"/>
      <c r="H919" s="24"/>
      <c r="I919" s="11"/>
      <c r="J919" s="27" t="str">
        <f aca="false">IF(A919="","",YEAR(A919))</f>
        <v/>
      </c>
      <c r="K919" s="24"/>
      <c r="L919" s="11"/>
    </row>
    <row r="920" customFormat="false" ht="15" hidden="false" customHeight="false" outlineLevel="0" collapsed="false">
      <c r="A920" s="22"/>
      <c r="B920" s="11"/>
      <c r="C920" s="24"/>
      <c r="D920" s="31" t="str">
        <f aca="false">IF(C920="","",IF(LEN(UPPER(SUBSTITUTE(SUBSTITUTE(SUBSTITUTE(SUBSTITUTE(TRIM(C920),".",""),"/",""),"-","")," ","")))&lt;14,RIGHT(REPT("0",14)&amp;UPPER(SUBSTITUTE(SUBSTITUTE(SUBSTITUTE(SUBSTITUTE(TRIM(C920),".",""),"/",""),"-","")," ","")),14),UPPER(SUBSTITUTE(SUBSTITUTE(SUBSTITUTE(SUBSTITUTE(TRIM(C920),".",""),"/",""),"-","")," ",""))))</f>
        <v/>
      </c>
      <c r="E920" s="25" t="str">
        <f aca="false">IF(D920="","",IFERROR(INDEX(Empresas!$C:$C,MATCH(D920,Empresas!$B:$B,0)),"cadastre o CNPJ em Empresas"))</f>
        <v/>
      </c>
      <c r="F920" s="23"/>
      <c r="G920" s="35"/>
      <c r="H920" s="24"/>
      <c r="I920" s="11"/>
      <c r="J920" s="27" t="str">
        <f aca="false">IF(A920="","",YEAR(A920))</f>
        <v/>
      </c>
      <c r="K920" s="24"/>
      <c r="L920" s="11"/>
    </row>
    <row r="921" customFormat="false" ht="15" hidden="false" customHeight="false" outlineLevel="0" collapsed="false">
      <c r="A921" s="22"/>
      <c r="B921" s="11"/>
      <c r="C921" s="24"/>
      <c r="D921" s="31" t="str">
        <f aca="false">IF(C921="","",IF(LEN(UPPER(SUBSTITUTE(SUBSTITUTE(SUBSTITUTE(SUBSTITUTE(TRIM(C921),".",""),"/",""),"-","")," ","")))&lt;14,RIGHT(REPT("0",14)&amp;UPPER(SUBSTITUTE(SUBSTITUTE(SUBSTITUTE(SUBSTITUTE(TRIM(C921),".",""),"/",""),"-","")," ","")),14),UPPER(SUBSTITUTE(SUBSTITUTE(SUBSTITUTE(SUBSTITUTE(TRIM(C921),".",""),"/",""),"-","")," ",""))))</f>
        <v/>
      </c>
      <c r="E921" s="25" t="str">
        <f aca="false">IF(D921="","",IFERROR(INDEX(Empresas!$C:$C,MATCH(D921,Empresas!$B:$B,0)),"cadastre o CNPJ em Empresas"))</f>
        <v/>
      </c>
      <c r="F921" s="23"/>
      <c r="G921" s="35"/>
      <c r="H921" s="24"/>
      <c r="I921" s="11"/>
      <c r="J921" s="27" t="str">
        <f aca="false">IF(A921="","",YEAR(A921))</f>
        <v/>
      </c>
      <c r="K921" s="24"/>
      <c r="L921" s="11"/>
    </row>
    <row r="922" customFormat="false" ht="15" hidden="false" customHeight="false" outlineLevel="0" collapsed="false">
      <c r="A922" s="22"/>
      <c r="B922" s="11"/>
      <c r="C922" s="24"/>
      <c r="D922" s="31" t="str">
        <f aca="false">IF(C922="","",IF(LEN(UPPER(SUBSTITUTE(SUBSTITUTE(SUBSTITUTE(SUBSTITUTE(TRIM(C922),".",""),"/",""),"-","")," ","")))&lt;14,RIGHT(REPT("0",14)&amp;UPPER(SUBSTITUTE(SUBSTITUTE(SUBSTITUTE(SUBSTITUTE(TRIM(C922),".",""),"/",""),"-","")," ","")),14),UPPER(SUBSTITUTE(SUBSTITUTE(SUBSTITUTE(SUBSTITUTE(TRIM(C922),".",""),"/",""),"-","")," ",""))))</f>
        <v/>
      </c>
      <c r="E922" s="25" t="str">
        <f aca="false">IF(D922="","",IFERROR(INDEX(Empresas!$C:$C,MATCH(D922,Empresas!$B:$B,0)),"cadastre o CNPJ em Empresas"))</f>
        <v/>
      </c>
      <c r="F922" s="23"/>
      <c r="G922" s="35"/>
      <c r="H922" s="24"/>
      <c r="I922" s="11"/>
      <c r="J922" s="27" t="str">
        <f aca="false">IF(A922="","",YEAR(A922))</f>
        <v/>
      </c>
      <c r="K922" s="24"/>
      <c r="L922" s="11"/>
    </row>
    <row r="923" customFormat="false" ht="15" hidden="false" customHeight="false" outlineLevel="0" collapsed="false">
      <c r="A923" s="22"/>
      <c r="B923" s="11"/>
      <c r="C923" s="24"/>
      <c r="D923" s="31" t="str">
        <f aca="false">IF(C923="","",IF(LEN(UPPER(SUBSTITUTE(SUBSTITUTE(SUBSTITUTE(SUBSTITUTE(TRIM(C923),".",""),"/",""),"-","")," ","")))&lt;14,RIGHT(REPT("0",14)&amp;UPPER(SUBSTITUTE(SUBSTITUTE(SUBSTITUTE(SUBSTITUTE(TRIM(C923),".",""),"/",""),"-","")," ","")),14),UPPER(SUBSTITUTE(SUBSTITUTE(SUBSTITUTE(SUBSTITUTE(TRIM(C923),".",""),"/",""),"-","")," ",""))))</f>
        <v/>
      </c>
      <c r="E923" s="25" t="str">
        <f aca="false">IF(D923="","",IFERROR(INDEX(Empresas!$C:$C,MATCH(D923,Empresas!$B:$B,0)),"cadastre o CNPJ em Empresas"))</f>
        <v/>
      </c>
      <c r="F923" s="23"/>
      <c r="G923" s="35"/>
      <c r="H923" s="24"/>
      <c r="I923" s="11"/>
      <c r="J923" s="27" t="str">
        <f aca="false">IF(A923="","",YEAR(A923))</f>
        <v/>
      </c>
      <c r="K923" s="24"/>
      <c r="L923" s="11"/>
    </row>
    <row r="924" customFormat="false" ht="15" hidden="false" customHeight="false" outlineLevel="0" collapsed="false">
      <c r="A924" s="22"/>
      <c r="B924" s="11"/>
      <c r="C924" s="24"/>
      <c r="D924" s="31" t="str">
        <f aca="false">IF(C924="","",IF(LEN(UPPER(SUBSTITUTE(SUBSTITUTE(SUBSTITUTE(SUBSTITUTE(TRIM(C924),".",""),"/",""),"-","")," ","")))&lt;14,RIGHT(REPT("0",14)&amp;UPPER(SUBSTITUTE(SUBSTITUTE(SUBSTITUTE(SUBSTITUTE(TRIM(C924),".",""),"/",""),"-","")," ","")),14),UPPER(SUBSTITUTE(SUBSTITUTE(SUBSTITUTE(SUBSTITUTE(TRIM(C924),".",""),"/",""),"-","")," ",""))))</f>
        <v/>
      </c>
      <c r="E924" s="25" t="str">
        <f aca="false">IF(D924="","",IFERROR(INDEX(Empresas!$C:$C,MATCH(D924,Empresas!$B:$B,0)),"cadastre o CNPJ em Empresas"))</f>
        <v/>
      </c>
      <c r="F924" s="23"/>
      <c r="G924" s="35"/>
      <c r="H924" s="24"/>
      <c r="I924" s="11"/>
      <c r="J924" s="27" t="str">
        <f aca="false">IF(A924="","",YEAR(A924))</f>
        <v/>
      </c>
      <c r="K924" s="24"/>
      <c r="L924" s="11"/>
    </row>
    <row r="925" customFormat="false" ht="15" hidden="false" customHeight="false" outlineLevel="0" collapsed="false">
      <c r="A925" s="22"/>
      <c r="B925" s="11"/>
      <c r="C925" s="24"/>
      <c r="D925" s="31" t="str">
        <f aca="false">IF(C925="","",IF(LEN(UPPER(SUBSTITUTE(SUBSTITUTE(SUBSTITUTE(SUBSTITUTE(TRIM(C925),".",""),"/",""),"-","")," ","")))&lt;14,RIGHT(REPT("0",14)&amp;UPPER(SUBSTITUTE(SUBSTITUTE(SUBSTITUTE(SUBSTITUTE(TRIM(C925),".",""),"/",""),"-","")," ","")),14),UPPER(SUBSTITUTE(SUBSTITUTE(SUBSTITUTE(SUBSTITUTE(TRIM(C925),".",""),"/",""),"-","")," ",""))))</f>
        <v/>
      </c>
      <c r="E925" s="25" t="str">
        <f aca="false">IF(D925="","",IFERROR(INDEX(Empresas!$C:$C,MATCH(D925,Empresas!$B:$B,0)),"cadastre o CNPJ em Empresas"))</f>
        <v/>
      </c>
      <c r="F925" s="23"/>
      <c r="G925" s="35"/>
      <c r="H925" s="24"/>
      <c r="I925" s="11"/>
      <c r="J925" s="27" t="str">
        <f aca="false">IF(A925="","",YEAR(A925))</f>
        <v/>
      </c>
      <c r="K925" s="24"/>
      <c r="L925" s="11"/>
    </row>
    <row r="926" customFormat="false" ht="15" hidden="false" customHeight="false" outlineLevel="0" collapsed="false">
      <c r="A926" s="22"/>
      <c r="B926" s="11"/>
      <c r="C926" s="24"/>
      <c r="D926" s="31" t="str">
        <f aca="false">IF(C926="","",IF(LEN(UPPER(SUBSTITUTE(SUBSTITUTE(SUBSTITUTE(SUBSTITUTE(TRIM(C926),".",""),"/",""),"-","")," ","")))&lt;14,RIGHT(REPT("0",14)&amp;UPPER(SUBSTITUTE(SUBSTITUTE(SUBSTITUTE(SUBSTITUTE(TRIM(C926),".",""),"/",""),"-","")," ","")),14),UPPER(SUBSTITUTE(SUBSTITUTE(SUBSTITUTE(SUBSTITUTE(TRIM(C926),".",""),"/",""),"-","")," ",""))))</f>
        <v/>
      </c>
      <c r="E926" s="25" t="str">
        <f aca="false">IF(D926="","",IFERROR(INDEX(Empresas!$C:$C,MATCH(D926,Empresas!$B:$B,0)),"cadastre o CNPJ em Empresas"))</f>
        <v/>
      </c>
      <c r="F926" s="23"/>
      <c r="G926" s="35"/>
      <c r="H926" s="24"/>
      <c r="I926" s="11"/>
      <c r="J926" s="27" t="str">
        <f aca="false">IF(A926="","",YEAR(A926))</f>
        <v/>
      </c>
      <c r="K926" s="24"/>
      <c r="L926" s="11"/>
    </row>
    <row r="927" customFormat="false" ht="15" hidden="false" customHeight="false" outlineLevel="0" collapsed="false">
      <c r="A927" s="22"/>
      <c r="B927" s="11"/>
      <c r="C927" s="24"/>
      <c r="D927" s="31" t="str">
        <f aca="false">IF(C927="","",IF(LEN(UPPER(SUBSTITUTE(SUBSTITUTE(SUBSTITUTE(SUBSTITUTE(TRIM(C927),".",""),"/",""),"-","")," ","")))&lt;14,RIGHT(REPT("0",14)&amp;UPPER(SUBSTITUTE(SUBSTITUTE(SUBSTITUTE(SUBSTITUTE(TRIM(C927),".",""),"/",""),"-","")," ","")),14),UPPER(SUBSTITUTE(SUBSTITUTE(SUBSTITUTE(SUBSTITUTE(TRIM(C927),".",""),"/",""),"-","")," ",""))))</f>
        <v/>
      </c>
      <c r="E927" s="25" t="str">
        <f aca="false">IF(D927="","",IFERROR(INDEX(Empresas!$C:$C,MATCH(D927,Empresas!$B:$B,0)),"cadastre o CNPJ em Empresas"))</f>
        <v/>
      </c>
      <c r="F927" s="23"/>
      <c r="G927" s="35"/>
      <c r="H927" s="24"/>
      <c r="I927" s="11"/>
      <c r="J927" s="27" t="str">
        <f aca="false">IF(A927="","",YEAR(A927))</f>
        <v/>
      </c>
      <c r="K927" s="24"/>
      <c r="L927" s="11"/>
    </row>
    <row r="928" customFormat="false" ht="15" hidden="false" customHeight="false" outlineLevel="0" collapsed="false">
      <c r="A928" s="22"/>
      <c r="B928" s="11"/>
      <c r="C928" s="24"/>
      <c r="D928" s="31" t="str">
        <f aca="false">IF(C928="","",IF(LEN(UPPER(SUBSTITUTE(SUBSTITUTE(SUBSTITUTE(SUBSTITUTE(TRIM(C928),".",""),"/",""),"-","")," ","")))&lt;14,RIGHT(REPT("0",14)&amp;UPPER(SUBSTITUTE(SUBSTITUTE(SUBSTITUTE(SUBSTITUTE(TRIM(C928),".",""),"/",""),"-","")," ","")),14),UPPER(SUBSTITUTE(SUBSTITUTE(SUBSTITUTE(SUBSTITUTE(TRIM(C928),".",""),"/",""),"-","")," ",""))))</f>
        <v/>
      </c>
      <c r="E928" s="25" t="str">
        <f aca="false">IF(D928="","",IFERROR(INDEX(Empresas!$C:$C,MATCH(D928,Empresas!$B:$B,0)),"cadastre o CNPJ em Empresas"))</f>
        <v/>
      </c>
      <c r="F928" s="23"/>
      <c r="G928" s="35"/>
      <c r="H928" s="24"/>
      <c r="I928" s="11"/>
      <c r="J928" s="27" t="str">
        <f aca="false">IF(A928="","",YEAR(A928))</f>
        <v/>
      </c>
      <c r="K928" s="24"/>
      <c r="L928" s="11"/>
    </row>
    <row r="929" customFormat="false" ht="15" hidden="false" customHeight="false" outlineLevel="0" collapsed="false">
      <c r="A929" s="22"/>
      <c r="B929" s="11"/>
      <c r="C929" s="24"/>
      <c r="D929" s="31" t="str">
        <f aca="false">IF(C929="","",IF(LEN(UPPER(SUBSTITUTE(SUBSTITUTE(SUBSTITUTE(SUBSTITUTE(TRIM(C929),".",""),"/",""),"-","")," ","")))&lt;14,RIGHT(REPT("0",14)&amp;UPPER(SUBSTITUTE(SUBSTITUTE(SUBSTITUTE(SUBSTITUTE(TRIM(C929),".",""),"/",""),"-","")," ","")),14),UPPER(SUBSTITUTE(SUBSTITUTE(SUBSTITUTE(SUBSTITUTE(TRIM(C929),".",""),"/",""),"-","")," ",""))))</f>
        <v/>
      </c>
      <c r="E929" s="25" t="str">
        <f aca="false">IF(D929="","",IFERROR(INDEX(Empresas!$C:$C,MATCH(D929,Empresas!$B:$B,0)),"cadastre o CNPJ em Empresas"))</f>
        <v/>
      </c>
      <c r="F929" s="23"/>
      <c r="G929" s="35"/>
      <c r="H929" s="24"/>
      <c r="I929" s="11"/>
      <c r="J929" s="27" t="str">
        <f aca="false">IF(A929="","",YEAR(A929))</f>
        <v/>
      </c>
      <c r="K929" s="24"/>
      <c r="L929" s="11"/>
    </row>
    <row r="930" customFormat="false" ht="15" hidden="false" customHeight="false" outlineLevel="0" collapsed="false">
      <c r="A930" s="22"/>
      <c r="B930" s="11"/>
      <c r="C930" s="24"/>
      <c r="D930" s="31" t="str">
        <f aca="false">IF(C930="","",IF(LEN(UPPER(SUBSTITUTE(SUBSTITUTE(SUBSTITUTE(SUBSTITUTE(TRIM(C930),".",""),"/",""),"-","")," ","")))&lt;14,RIGHT(REPT("0",14)&amp;UPPER(SUBSTITUTE(SUBSTITUTE(SUBSTITUTE(SUBSTITUTE(TRIM(C930),".",""),"/",""),"-","")," ","")),14),UPPER(SUBSTITUTE(SUBSTITUTE(SUBSTITUTE(SUBSTITUTE(TRIM(C930),".",""),"/",""),"-","")," ",""))))</f>
        <v/>
      </c>
      <c r="E930" s="25" t="str">
        <f aca="false">IF(D930="","",IFERROR(INDEX(Empresas!$C:$C,MATCH(D930,Empresas!$B:$B,0)),"cadastre o CNPJ em Empresas"))</f>
        <v/>
      </c>
      <c r="F930" s="23"/>
      <c r="G930" s="35"/>
      <c r="H930" s="24"/>
      <c r="I930" s="11"/>
      <c r="J930" s="27" t="str">
        <f aca="false">IF(A930="","",YEAR(A930))</f>
        <v/>
      </c>
      <c r="K930" s="24"/>
      <c r="L930" s="11"/>
    </row>
    <row r="931" customFormat="false" ht="15" hidden="false" customHeight="false" outlineLevel="0" collapsed="false">
      <c r="A931" s="22"/>
      <c r="B931" s="11"/>
      <c r="C931" s="24"/>
      <c r="D931" s="31" t="str">
        <f aca="false">IF(C931="","",IF(LEN(UPPER(SUBSTITUTE(SUBSTITUTE(SUBSTITUTE(SUBSTITUTE(TRIM(C931),".",""),"/",""),"-","")," ","")))&lt;14,RIGHT(REPT("0",14)&amp;UPPER(SUBSTITUTE(SUBSTITUTE(SUBSTITUTE(SUBSTITUTE(TRIM(C931),".",""),"/",""),"-","")," ","")),14),UPPER(SUBSTITUTE(SUBSTITUTE(SUBSTITUTE(SUBSTITUTE(TRIM(C931),".",""),"/",""),"-","")," ",""))))</f>
        <v/>
      </c>
      <c r="E931" s="25" t="str">
        <f aca="false">IF(D931="","",IFERROR(INDEX(Empresas!$C:$C,MATCH(D931,Empresas!$B:$B,0)),"cadastre o CNPJ em Empresas"))</f>
        <v/>
      </c>
      <c r="F931" s="23"/>
      <c r="G931" s="35"/>
      <c r="H931" s="24"/>
      <c r="I931" s="11"/>
      <c r="J931" s="27" t="str">
        <f aca="false">IF(A931="","",YEAR(A931))</f>
        <v/>
      </c>
      <c r="K931" s="24"/>
      <c r="L931" s="11"/>
    </row>
    <row r="932" customFormat="false" ht="15" hidden="false" customHeight="false" outlineLevel="0" collapsed="false">
      <c r="A932" s="22"/>
      <c r="B932" s="11"/>
      <c r="C932" s="24"/>
      <c r="D932" s="31" t="str">
        <f aca="false">IF(C932="","",IF(LEN(UPPER(SUBSTITUTE(SUBSTITUTE(SUBSTITUTE(SUBSTITUTE(TRIM(C932),".",""),"/",""),"-","")," ","")))&lt;14,RIGHT(REPT("0",14)&amp;UPPER(SUBSTITUTE(SUBSTITUTE(SUBSTITUTE(SUBSTITUTE(TRIM(C932),".",""),"/",""),"-","")," ","")),14),UPPER(SUBSTITUTE(SUBSTITUTE(SUBSTITUTE(SUBSTITUTE(TRIM(C932),".",""),"/",""),"-","")," ",""))))</f>
        <v/>
      </c>
      <c r="E932" s="25" t="str">
        <f aca="false">IF(D932="","",IFERROR(INDEX(Empresas!$C:$C,MATCH(D932,Empresas!$B:$B,0)),"cadastre o CNPJ em Empresas"))</f>
        <v/>
      </c>
      <c r="F932" s="23"/>
      <c r="G932" s="35"/>
      <c r="H932" s="24"/>
      <c r="I932" s="11"/>
      <c r="J932" s="27" t="str">
        <f aca="false">IF(A932="","",YEAR(A932))</f>
        <v/>
      </c>
      <c r="K932" s="24"/>
      <c r="L932" s="11"/>
    </row>
    <row r="933" customFormat="false" ht="15" hidden="false" customHeight="false" outlineLevel="0" collapsed="false">
      <c r="A933" s="22"/>
      <c r="B933" s="11"/>
      <c r="C933" s="24"/>
      <c r="D933" s="31" t="str">
        <f aca="false">IF(C933="","",IF(LEN(UPPER(SUBSTITUTE(SUBSTITUTE(SUBSTITUTE(SUBSTITUTE(TRIM(C933),".",""),"/",""),"-","")," ","")))&lt;14,RIGHT(REPT("0",14)&amp;UPPER(SUBSTITUTE(SUBSTITUTE(SUBSTITUTE(SUBSTITUTE(TRIM(C933),".",""),"/",""),"-","")," ","")),14),UPPER(SUBSTITUTE(SUBSTITUTE(SUBSTITUTE(SUBSTITUTE(TRIM(C933),".",""),"/",""),"-","")," ",""))))</f>
        <v/>
      </c>
      <c r="E933" s="25" t="str">
        <f aca="false">IF(D933="","",IFERROR(INDEX(Empresas!$C:$C,MATCH(D933,Empresas!$B:$B,0)),"cadastre o CNPJ em Empresas"))</f>
        <v/>
      </c>
      <c r="F933" s="23"/>
      <c r="G933" s="35"/>
      <c r="H933" s="24"/>
      <c r="I933" s="11"/>
      <c r="J933" s="27" t="str">
        <f aca="false">IF(A933="","",YEAR(A933))</f>
        <v/>
      </c>
      <c r="K933" s="24"/>
      <c r="L933" s="11"/>
    </row>
    <row r="934" customFormat="false" ht="15" hidden="false" customHeight="false" outlineLevel="0" collapsed="false">
      <c r="A934" s="22"/>
      <c r="B934" s="11"/>
      <c r="C934" s="24"/>
      <c r="D934" s="31" t="str">
        <f aca="false">IF(C934="","",IF(LEN(UPPER(SUBSTITUTE(SUBSTITUTE(SUBSTITUTE(SUBSTITUTE(TRIM(C934),".",""),"/",""),"-","")," ","")))&lt;14,RIGHT(REPT("0",14)&amp;UPPER(SUBSTITUTE(SUBSTITUTE(SUBSTITUTE(SUBSTITUTE(TRIM(C934),".",""),"/",""),"-","")," ","")),14),UPPER(SUBSTITUTE(SUBSTITUTE(SUBSTITUTE(SUBSTITUTE(TRIM(C934),".",""),"/",""),"-","")," ",""))))</f>
        <v/>
      </c>
      <c r="E934" s="25" t="str">
        <f aca="false">IF(D934="","",IFERROR(INDEX(Empresas!$C:$C,MATCH(D934,Empresas!$B:$B,0)),"cadastre o CNPJ em Empresas"))</f>
        <v/>
      </c>
      <c r="F934" s="23"/>
      <c r="G934" s="35"/>
      <c r="H934" s="24"/>
      <c r="I934" s="11"/>
      <c r="J934" s="27" t="str">
        <f aca="false">IF(A934="","",YEAR(A934))</f>
        <v/>
      </c>
      <c r="K934" s="24"/>
      <c r="L934" s="11"/>
    </row>
    <row r="935" customFormat="false" ht="15" hidden="false" customHeight="false" outlineLevel="0" collapsed="false">
      <c r="A935" s="22"/>
      <c r="B935" s="11"/>
      <c r="C935" s="24"/>
      <c r="D935" s="31" t="str">
        <f aca="false">IF(C935="","",IF(LEN(UPPER(SUBSTITUTE(SUBSTITUTE(SUBSTITUTE(SUBSTITUTE(TRIM(C935),".",""),"/",""),"-","")," ","")))&lt;14,RIGHT(REPT("0",14)&amp;UPPER(SUBSTITUTE(SUBSTITUTE(SUBSTITUTE(SUBSTITUTE(TRIM(C935),".",""),"/",""),"-","")," ","")),14),UPPER(SUBSTITUTE(SUBSTITUTE(SUBSTITUTE(SUBSTITUTE(TRIM(C935),".",""),"/",""),"-","")," ",""))))</f>
        <v/>
      </c>
      <c r="E935" s="25" t="str">
        <f aca="false">IF(D935="","",IFERROR(INDEX(Empresas!$C:$C,MATCH(D935,Empresas!$B:$B,0)),"cadastre o CNPJ em Empresas"))</f>
        <v/>
      </c>
      <c r="F935" s="23"/>
      <c r="G935" s="35"/>
      <c r="H935" s="24"/>
      <c r="I935" s="11"/>
      <c r="J935" s="27" t="str">
        <f aca="false">IF(A935="","",YEAR(A935))</f>
        <v/>
      </c>
      <c r="K935" s="24"/>
      <c r="L935" s="11"/>
    </row>
    <row r="936" customFormat="false" ht="15" hidden="false" customHeight="false" outlineLevel="0" collapsed="false">
      <c r="A936" s="22"/>
      <c r="B936" s="11"/>
      <c r="C936" s="24"/>
      <c r="D936" s="31" t="str">
        <f aca="false">IF(C936="","",IF(LEN(UPPER(SUBSTITUTE(SUBSTITUTE(SUBSTITUTE(SUBSTITUTE(TRIM(C936),".",""),"/",""),"-","")," ","")))&lt;14,RIGHT(REPT("0",14)&amp;UPPER(SUBSTITUTE(SUBSTITUTE(SUBSTITUTE(SUBSTITUTE(TRIM(C936),".",""),"/",""),"-","")," ","")),14),UPPER(SUBSTITUTE(SUBSTITUTE(SUBSTITUTE(SUBSTITUTE(TRIM(C936),".",""),"/",""),"-","")," ",""))))</f>
        <v/>
      </c>
      <c r="E936" s="25" t="str">
        <f aca="false">IF(D936="","",IFERROR(INDEX(Empresas!$C:$C,MATCH(D936,Empresas!$B:$B,0)),"cadastre o CNPJ em Empresas"))</f>
        <v/>
      </c>
      <c r="F936" s="23"/>
      <c r="G936" s="35"/>
      <c r="H936" s="24"/>
      <c r="I936" s="11"/>
      <c r="J936" s="27" t="str">
        <f aca="false">IF(A936="","",YEAR(A936))</f>
        <v/>
      </c>
      <c r="K936" s="24"/>
      <c r="L936" s="11"/>
    </row>
    <row r="937" customFormat="false" ht="15" hidden="false" customHeight="false" outlineLevel="0" collapsed="false">
      <c r="A937" s="22"/>
      <c r="B937" s="11"/>
      <c r="C937" s="24"/>
      <c r="D937" s="31" t="str">
        <f aca="false">IF(C937="","",IF(LEN(UPPER(SUBSTITUTE(SUBSTITUTE(SUBSTITUTE(SUBSTITUTE(TRIM(C937),".",""),"/",""),"-","")," ","")))&lt;14,RIGHT(REPT("0",14)&amp;UPPER(SUBSTITUTE(SUBSTITUTE(SUBSTITUTE(SUBSTITUTE(TRIM(C937),".",""),"/",""),"-","")," ","")),14),UPPER(SUBSTITUTE(SUBSTITUTE(SUBSTITUTE(SUBSTITUTE(TRIM(C937),".",""),"/",""),"-","")," ",""))))</f>
        <v/>
      </c>
      <c r="E937" s="25" t="str">
        <f aca="false">IF(D937="","",IFERROR(INDEX(Empresas!$C:$C,MATCH(D937,Empresas!$B:$B,0)),"cadastre o CNPJ em Empresas"))</f>
        <v/>
      </c>
      <c r="F937" s="23"/>
      <c r="G937" s="35"/>
      <c r="H937" s="24"/>
      <c r="I937" s="11"/>
      <c r="J937" s="27" t="str">
        <f aca="false">IF(A937="","",YEAR(A937))</f>
        <v/>
      </c>
      <c r="K937" s="24"/>
      <c r="L937" s="11"/>
    </row>
    <row r="938" customFormat="false" ht="15" hidden="false" customHeight="false" outlineLevel="0" collapsed="false">
      <c r="A938" s="22"/>
      <c r="B938" s="11"/>
      <c r="C938" s="24"/>
      <c r="D938" s="31" t="str">
        <f aca="false">IF(C938="","",IF(LEN(UPPER(SUBSTITUTE(SUBSTITUTE(SUBSTITUTE(SUBSTITUTE(TRIM(C938),".",""),"/",""),"-","")," ","")))&lt;14,RIGHT(REPT("0",14)&amp;UPPER(SUBSTITUTE(SUBSTITUTE(SUBSTITUTE(SUBSTITUTE(TRIM(C938),".",""),"/",""),"-","")," ","")),14),UPPER(SUBSTITUTE(SUBSTITUTE(SUBSTITUTE(SUBSTITUTE(TRIM(C938),".",""),"/",""),"-","")," ",""))))</f>
        <v/>
      </c>
      <c r="E938" s="25" t="str">
        <f aca="false">IF(D938="","",IFERROR(INDEX(Empresas!$C:$C,MATCH(D938,Empresas!$B:$B,0)),"cadastre o CNPJ em Empresas"))</f>
        <v/>
      </c>
      <c r="F938" s="23"/>
      <c r="G938" s="35"/>
      <c r="H938" s="24"/>
      <c r="I938" s="11"/>
      <c r="J938" s="27" t="str">
        <f aca="false">IF(A938="","",YEAR(A938))</f>
        <v/>
      </c>
      <c r="K938" s="24"/>
      <c r="L938" s="11"/>
    </row>
    <row r="939" customFormat="false" ht="15" hidden="false" customHeight="false" outlineLevel="0" collapsed="false">
      <c r="A939" s="22"/>
      <c r="B939" s="11"/>
      <c r="C939" s="24"/>
      <c r="D939" s="31" t="str">
        <f aca="false">IF(C939="","",IF(LEN(UPPER(SUBSTITUTE(SUBSTITUTE(SUBSTITUTE(SUBSTITUTE(TRIM(C939),".",""),"/",""),"-","")," ","")))&lt;14,RIGHT(REPT("0",14)&amp;UPPER(SUBSTITUTE(SUBSTITUTE(SUBSTITUTE(SUBSTITUTE(TRIM(C939),".",""),"/",""),"-","")," ","")),14),UPPER(SUBSTITUTE(SUBSTITUTE(SUBSTITUTE(SUBSTITUTE(TRIM(C939),".",""),"/",""),"-","")," ",""))))</f>
        <v/>
      </c>
      <c r="E939" s="25" t="str">
        <f aca="false">IF(D939="","",IFERROR(INDEX(Empresas!$C:$C,MATCH(D939,Empresas!$B:$B,0)),"cadastre o CNPJ em Empresas"))</f>
        <v/>
      </c>
      <c r="F939" s="23"/>
      <c r="G939" s="35"/>
      <c r="H939" s="24"/>
      <c r="I939" s="11"/>
      <c r="J939" s="27" t="str">
        <f aca="false">IF(A939="","",YEAR(A939))</f>
        <v/>
      </c>
      <c r="K939" s="24"/>
      <c r="L939" s="11"/>
    </row>
    <row r="940" customFormat="false" ht="15" hidden="false" customHeight="false" outlineLevel="0" collapsed="false">
      <c r="A940" s="22"/>
      <c r="B940" s="11"/>
      <c r="C940" s="24"/>
      <c r="D940" s="31" t="str">
        <f aca="false">IF(C940="","",IF(LEN(UPPER(SUBSTITUTE(SUBSTITUTE(SUBSTITUTE(SUBSTITUTE(TRIM(C940),".",""),"/",""),"-","")," ","")))&lt;14,RIGHT(REPT("0",14)&amp;UPPER(SUBSTITUTE(SUBSTITUTE(SUBSTITUTE(SUBSTITUTE(TRIM(C940),".",""),"/",""),"-","")," ","")),14),UPPER(SUBSTITUTE(SUBSTITUTE(SUBSTITUTE(SUBSTITUTE(TRIM(C940),".",""),"/",""),"-","")," ",""))))</f>
        <v/>
      </c>
      <c r="E940" s="25" t="str">
        <f aca="false">IF(D940="","",IFERROR(INDEX(Empresas!$C:$C,MATCH(D940,Empresas!$B:$B,0)),"cadastre o CNPJ em Empresas"))</f>
        <v/>
      </c>
      <c r="F940" s="23"/>
      <c r="G940" s="35"/>
      <c r="H940" s="24"/>
      <c r="I940" s="11"/>
      <c r="J940" s="27" t="str">
        <f aca="false">IF(A940="","",YEAR(A940))</f>
        <v/>
      </c>
      <c r="K940" s="24"/>
      <c r="L940" s="11"/>
    </row>
    <row r="941" customFormat="false" ht="15" hidden="false" customHeight="false" outlineLevel="0" collapsed="false">
      <c r="A941" s="22"/>
      <c r="B941" s="11"/>
      <c r="C941" s="24"/>
      <c r="D941" s="31" t="str">
        <f aca="false">IF(C941="","",IF(LEN(UPPER(SUBSTITUTE(SUBSTITUTE(SUBSTITUTE(SUBSTITUTE(TRIM(C941),".",""),"/",""),"-","")," ","")))&lt;14,RIGHT(REPT("0",14)&amp;UPPER(SUBSTITUTE(SUBSTITUTE(SUBSTITUTE(SUBSTITUTE(TRIM(C941),".",""),"/",""),"-","")," ","")),14),UPPER(SUBSTITUTE(SUBSTITUTE(SUBSTITUTE(SUBSTITUTE(TRIM(C941),".",""),"/",""),"-","")," ",""))))</f>
        <v/>
      </c>
      <c r="E941" s="25" t="str">
        <f aca="false">IF(D941="","",IFERROR(INDEX(Empresas!$C:$C,MATCH(D941,Empresas!$B:$B,0)),"cadastre o CNPJ em Empresas"))</f>
        <v/>
      </c>
      <c r="F941" s="23"/>
      <c r="G941" s="35"/>
      <c r="H941" s="24"/>
      <c r="I941" s="11"/>
      <c r="J941" s="27" t="str">
        <f aca="false">IF(A941="","",YEAR(A941))</f>
        <v/>
      </c>
      <c r="K941" s="24"/>
      <c r="L941" s="11"/>
    </row>
    <row r="942" customFormat="false" ht="15" hidden="false" customHeight="false" outlineLevel="0" collapsed="false">
      <c r="A942" s="22"/>
      <c r="B942" s="11"/>
      <c r="C942" s="24"/>
      <c r="D942" s="31" t="str">
        <f aca="false">IF(C942="","",IF(LEN(UPPER(SUBSTITUTE(SUBSTITUTE(SUBSTITUTE(SUBSTITUTE(TRIM(C942),".",""),"/",""),"-","")," ","")))&lt;14,RIGHT(REPT("0",14)&amp;UPPER(SUBSTITUTE(SUBSTITUTE(SUBSTITUTE(SUBSTITUTE(TRIM(C942),".",""),"/",""),"-","")," ","")),14),UPPER(SUBSTITUTE(SUBSTITUTE(SUBSTITUTE(SUBSTITUTE(TRIM(C942),".",""),"/",""),"-","")," ",""))))</f>
        <v/>
      </c>
      <c r="E942" s="25" t="str">
        <f aca="false">IF(D942="","",IFERROR(INDEX(Empresas!$C:$C,MATCH(D942,Empresas!$B:$B,0)),"cadastre o CNPJ em Empresas"))</f>
        <v/>
      </c>
      <c r="F942" s="23"/>
      <c r="G942" s="35"/>
      <c r="H942" s="24"/>
      <c r="I942" s="11"/>
      <c r="J942" s="27" t="str">
        <f aca="false">IF(A942="","",YEAR(A942))</f>
        <v/>
      </c>
      <c r="K942" s="24"/>
      <c r="L942" s="11"/>
    </row>
    <row r="943" customFormat="false" ht="15" hidden="false" customHeight="false" outlineLevel="0" collapsed="false">
      <c r="A943" s="22"/>
      <c r="B943" s="11"/>
      <c r="C943" s="24"/>
      <c r="D943" s="31" t="str">
        <f aca="false">IF(C943="","",IF(LEN(UPPER(SUBSTITUTE(SUBSTITUTE(SUBSTITUTE(SUBSTITUTE(TRIM(C943),".",""),"/",""),"-","")," ","")))&lt;14,RIGHT(REPT("0",14)&amp;UPPER(SUBSTITUTE(SUBSTITUTE(SUBSTITUTE(SUBSTITUTE(TRIM(C943),".",""),"/",""),"-","")," ","")),14),UPPER(SUBSTITUTE(SUBSTITUTE(SUBSTITUTE(SUBSTITUTE(TRIM(C943),".",""),"/",""),"-","")," ",""))))</f>
        <v/>
      </c>
      <c r="E943" s="25" t="str">
        <f aca="false">IF(D943="","",IFERROR(INDEX(Empresas!$C:$C,MATCH(D943,Empresas!$B:$B,0)),"cadastre o CNPJ em Empresas"))</f>
        <v/>
      </c>
      <c r="F943" s="23"/>
      <c r="G943" s="35"/>
      <c r="H943" s="24"/>
      <c r="I943" s="11"/>
      <c r="J943" s="27" t="str">
        <f aca="false">IF(A943="","",YEAR(A943))</f>
        <v/>
      </c>
      <c r="K943" s="24"/>
      <c r="L943" s="11"/>
    </row>
    <row r="944" customFormat="false" ht="15" hidden="false" customHeight="false" outlineLevel="0" collapsed="false">
      <c r="A944" s="22"/>
      <c r="B944" s="11"/>
      <c r="C944" s="24"/>
      <c r="D944" s="31" t="str">
        <f aca="false">IF(C944="","",IF(LEN(UPPER(SUBSTITUTE(SUBSTITUTE(SUBSTITUTE(SUBSTITUTE(TRIM(C944),".",""),"/",""),"-","")," ","")))&lt;14,RIGHT(REPT("0",14)&amp;UPPER(SUBSTITUTE(SUBSTITUTE(SUBSTITUTE(SUBSTITUTE(TRIM(C944),".",""),"/",""),"-","")," ","")),14),UPPER(SUBSTITUTE(SUBSTITUTE(SUBSTITUTE(SUBSTITUTE(TRIM(C944),".",""),"/",""),"-","")," ",""))))</f>
        <v/>
      </c>
      <c r="E944" s="25" t="str">
        <f aca="false">IF(D944="","",IFERROR(INDEX(Empresas!$C:$C,MATCH(D944,Empresas!$B:$B,0)),"cadastre o CNPJ em Empresas"))</f>
        <v/>
      </c>
      <c r="F944" s="23"/>
      <c r="G944" s="35"/>
      <c r="H944" s="24"/>
      <c r="I944" s="11"/>
      <c r="J944" s="27" t="str">
        <f aca="false">IF(A944="","",YEAR(A944))</f>
        <v/>
      </c>
      <c r="K944" s="24"/>
      <c r="L944" s="11"/>
    </row>
    <row r="945" customFormat="false" ht="15" hidden="false" customHeight="false" outlineLevel="0" collapsed="false">
      <c r="A945" s="22"/>
      <c r="B945" s="11"/>
      <c r="C945" s="24"/>
      <c r="D945" s="31" t="str">
        <f aca="false">IF(C945="","",IF(LEN(UPPER(SUBSTITUTE(SUBSTITUTE(SUBSTITUTE(SUBSTITUTE(TRIM(C945),".",""),"/",""),"-","")," ","")))&lt;14,RIGHT(REPT("0",14)&amp;UPPER(SUBSTITUTE(SUBSTITUTE(SUBSTITUTE(SUBSTITUTE(TRIM(C945),".",""),"/",""),"-","")," ","")),14),UPPER(SUBSTITUTE(SUBSTITUTE(SUBSTITUTE(SUBSTITUTE(TRIM(C945),".",""),"/",""),"-","")," ",""))))</f>
        <v/>
      </c>
      <c r="E945" s="25" t="str">
        <f aca="false">IF(D945="","",IFERROR(INDEX(Empresas!$C:$C,MATCH(D945,Empresas!$B:$B,0)),"cadastre o CNPJ em Empresas"))</f>
        <v/>
      </c>
      <c r="F945" s="23"/>
      <c r="G945" s="35"/>
      <c r="H945" s="24"/>
      <c r="I945" s="11"/>
      <c r="J945" s="27" t="str">
        <f aca="false">IF(A945="","",YEAR(A945))</f>
        <v/>
      </c>
      <c r="K945" s="24"/>
      <c r="L945" s="11"/>
    </row>
    <row r="946" customFormat="false" ht="15" hidden="false" customHeight="false" outlineLevel="0" collapsed="false">
      <c r="A946" s="22"/>
      <c r="B946" s="11"/>
      <c r="C946" s="24"/>
      <c r="D946" s="31" t="str">
        <f aca="false">IF(C946="","",IF(LEN(UPPER(SUBSTITUTE(SUBSTITUTE(SUBSTITUTE(SUBSTITUTE(TRIM(C946),".",""),"/",""),"-","")," ","")))&lt;14,RIGHT(REPT("0",14)&amp;UPPER(SUBSTITUTE(SUBSTITUTE(SUBSTITUTE(SUBSTITUTE(TRIM(C946),".",""),"/",""),"-","")," ","")),14),UPPER(SUBSTITUTE(SUBSTITUTE(SUBSTITUTE(SUBSTITUTE(TRIM(C946),".",""),"/",""),"-","")," ",""))))</f>
        <v/>
      </c>
      <c r="E946" s="25" t="str">
        <f aca="false">IF(D946="","",IFERROR(INDEX(Empresas!$C:$C,MATCH(D946,Empresas!$B:$B,0)),"cadastre o CNPJ em Empresas"))</f>
        <v/>
      </c>
      <c r="F946" s="23"/>
      <c r="G946" s="35"/>
      <c r="H946" s="24"/>
      <c r="I946" s="11"/>
      <c r="J946" s="27" t="str">
        <f aca="false">IF(A946="","",YEAR(A946))</f>
        <v/>
      </c>
      <c r="K946" s="24"/>
      <c r="L946" s="11"/>
    </row>
    <row r="947" customFormat="false" ht="15" hidden="false" customHeight="false" outlineLevel="0" collapsed="false">
      <c r="A947" s="22"/>
      <c r="B947" s="11"/>
      <c r="C947" s="24"/>
      <c r="D947" s="31" t="str">
        <f aca="false">IF(C947="","",IF(LEN(UPPER(SUBSTITUTE(SUBSTITUTE(SUBSTITUTE(SUBSTITUTE(TRIM(C947),".",""),"/",""),"-","")," ","")))&lt;14,RIGHT(REPT("0",14)&amp;UPPER(SUBSTITUTE(SUBSTITUTE(SUBSTITUTE(SUBSTITUTE(TRIM(C947),".",""),"/",""),"-","")," ","")),14),UPPER(SUBSTITUTE(SUBSTITUTE(SUBSTITUTE(SUBSTITUTE(TRIM(C947),".",""),"/",""),"-","")," ",""))))</f>
        <v/>
      </c>
      <c r="E947" s="25" t="str">
        <f aca="false">IF(D947="","",IFERROR(INDEX(Empresas!$C:$C,MATCH(D947,Empresas!$B:$B,0)),"cadastre o CNPJ em Empresas"))</f>
        <v/>
      </c>
      <c r="F947" s="23"/>
      <c r="G947" s="35"/>
      <c r="H947" s="24"/>
      <c r="I947" s="11"/>
      <c r="J947" s="27" t="str">
        <f aca="false">IF(A947="","",YEAR(A947))</f>
        <v/>
      </c>
      <c r="K947" s="24"/>
      <c r="L947" s="11"/>
    </row>
    <row r="948" customFormat="false" ht="15" hidden="false" customHeight="false" outlineLevel="0" collapsed="false">
      <c r="A948" s="22"/>
      <c r="B948" s="11"/>
      <c r="C948" s="24"/>
      <c r="D948" s="31" t="str">
        <f aca="false">IF(C948="","",IF(LEN(UPPER(SUBSTITUTE(SUBSTITUTE(SUBSTITUTE(SUBSTITUTE(TRIM(C948),".",""),"/",""),"-","")," ","")))&lt;14,RIGHT(REPT("0",14)&amp;UPPER(SUBSTITUTE(SUBSTITUTE(SUBSTITUTE(SUBSTITUTE(TRIM(C948),".",""),"/",""),"-","")," ","")),14),UPPER(SUBSTITUTE(SUBSTITUTE(SUBSTITUTE(SUBSTITUTE(TRIM(C948),".",""),"/",""),"-","")," ",""))))</f>
        <v/>
      </c>
      <c r="E948" s="25" t="str">
        <f aca="false">IF(D948="","",IFERROR(INDEX(Empresas!$C:$C,MATCH(D948,Empresas!$B:$B,0)),"cadastre o CNPJ em Empresas"))</f>
        <v/>
      </c>
      <c r="F948" s="23"/>
      <c r="G948" s="35"/>
      <c r="H948" s="24"/>
      <c r="I948" s="11"/>
      <c r="J948" s="27" t="str">
        <f aca="false">IF(A948="","",YEAR(A948))</f>
        <v/>
      </c>
      <c r="K948" s="24"/>
      <c r="L948" s="11"/>
    </row>
    <row r="949" customFormat="false" ht="15" hidden="false" customHeight="false" outlineLevel="0" collapsed="false">
      <c r="A949" s="22"/>
      <c r="B949" s="11"/>
      <c r="C949" s="24"/>
      <c r="D949" s="31" t="str">
        <f aca="false">IF(C949="","",IF(LEN(UPPER(SUBSTITUTE(SUBSTITUTE(SUBSTITUTE(SUBSTITUTE(TRIM(C949),".",""),"/",""),"-","")," ","")))&lt;14,RIGHT(REPT("0",14)&amp;UPPER(SUBSTITUTE(SUBSTITUTE(SUBSTITUTE(SUBSTITUTE(TRIM(C949),".",""),"/",""),"-","")," ","")),14),UPPER(SUBSTITUTE(SUBSTITUTE(SUBSTITUTE(SUBSTITUTE(TRIM(C949),".",""),"/",""),"-","")," ",""))))</f>
        <v/>
      </c>
      <c r="E949" s="25" t="str">
        <f aca="false">IF(D949="","",IFERROR(INDEX(Empresas!$C:$C,MATCH(D949,Empresas!$B:$B,0)),"cadastre o CNPJ em Empresas"))</f>
        <v/>
      </c>
      <c r="F949" s="23"/>
      <c r="G949" s="35"/>
      <c r="H949" s="24"/>
      <c r="I949" s="11"/>
      <c r="J949" s="27" t="str">
        <f aca="false">IF(A949="","",YEAR(A949))</f>
        <v/>
      </c>
      <c r="K949" s="24"/>
      <c r="L949" s="11"/>
    </row>
    <row r="950" customFormat="false" ht="15" hidden="false" customHeight="false" outlineLevel="0" collapsed="false">
      <c r="A950" s="22"/>
      <c r="B950" s="11"/>
      <c r="C950" s="24"/>
      <c r="D950" s="31" t="str">
        <f aca="false">IF(C950="","",IF(LEN(UPPER(SUBSTITUTE(SUBSTITUTE(SUBSTITUTE(SUBSTITUTE(TRIM(C950),".",""),"/",""),"-","")," ","")))&lt;14,RIGHT(REPT("0",14)&amp;UPPER(SUBSTITUTE(SUBSTITUTE(SUBSTITUTE(SUBSTITUTE(TRIM(C950),".",""),"/",""),"-","")," ","")),14),UPPER(SUBSTITUTE(SUBSTITUTE(SUBSTITUTE(SUBSTITUTE(TRIM(C950),".",""),"/",""),"-","")," ",""))))</f>
        <v/>
      </c>
      <c r="E950" s="25" t="str">
        <f aca="false">IF(D950="","",IFERROR(INDEX(Empresas!$C:$C,MATCH(D950,Empresas!$B:$B,0)),"cadastre o CNPJ em Empresas"))</f>
        <v/>
      </c>
      <c r="F950" s="23"/>
      <c r="G950" s="35"/>
      <c r="H950" s="24"/>
      <c r="I950" s="11"/>
      <c r="J950" s="27" t="str">
        <f aca="false">IF(A950="","",YEAR(A950))</f>
        <v/>
      </c>
      <c r="K950" s="24"/>
      <c r="L950" s="11"/>
    </row>
    <row r="951" customFormat="false" ht="15" hidden="false" customHeight="false" outlineLevel="0" collapsed="false">
      <c r="A951" s="22"/>
      <c r="B951" s="11"/>
      <c r="C951" s="24"/>
      <c r="D951" s="31" t="str">
        <f aca="false">IF(C951="","",IF(LEN(UPPER(SUBSTITUTE(SUBSTITUTE(SUBSTITUTE(SUBSTITUTE(TRIM(C951),".",""),"/",""),"-","")," ","")))&lt;14,RIGHT(REPT("0",14)&amp;UPPER(SUBSTITUTE(SUBSTITUTE(SUBSTITUTE(SUBSTITUTE(TRIM(C951),".",""),"/",""),"-","")," ","")),14),UPPER(SUBSTITUTE(SUBSTITUTE(SUBSTITUTE(SUBSTITUTE(TRIM(C951),".",""),"/",""),"-","")," ",""))))</f>
        <v/>
      </c>
      <c r="E951" s="25" t="str">
        <f aca="false">IF(D951="","",IFERROR(INDEX(Empresas!$C:$C,MATCH(D951,Empresas!$B:$B,0)),"cadastre o CNPJ em Empresas"))</f>
        <v/>
      </c>
      <c r="F951" s="23"/>
      <c r="G951" s="35"/>
      <c r="H951" s="24"/>
      <c r="I951" s="11"/>
      <c r="J951" s="27" t="str">
        <f aca="false">IF(A951="","",YEAR(A951))</f>
        <v/>
      </c>
      <c r="K951" s="24"/>
      <c r="L951" s="11"/>
    </row>
    <row r="952" customFormat="false" ht="15" hidden="false" customHeight="false" outlineLevel="0" collapsed="false">
      <c r="A952" s="22"/>
      <c r="B952" s="11"/>
      <c r="C952" s="24"/>
      <c r="D952" s="31" t="str">
        <f aca="false">IF(C952="","",IF(LEN(UPPER(SUBSTITUTE(SUBSTITUTE(SUBSTITUTE(SUBSTITUTE(TRIM(C952),".",""),"/",""),"-","")," ","")))&lt;14,RIGHT(REPT("0",14)&amp;UPPER(SUBSTITUTE(SUBSTITUTE(SUBSTITUTE(SUBSTITUTE(TRIM(C952),".",""),"/",""),"-","")," ","")),14),UPPER(SUBSTITUTE(SUBSTITUTE(SUBSTITUTE(SUBSTITUTE(TRIM(C952),".",""),"/",""),"-","")," ",""))))</f>
        <v/>
      </c>
      <c r="E952" s="25" t="str">
        <f aca="false">IF(D952="","",IFERROR(INDEX(Empresas!$C:$C,MATCH(D952,Empresas!$B:$B,0)),"cadastre o CNPJ em Empresas"))</f>
        <v/>
      </c>
      <c r="F952" s="23"/>
      <c r="G952" s="35"/>
      <c r="H952" s="24"/>
      <c r="I952" s="11"/>
      <c r="J952" s="27" t="str">
        <f aca="false">IF(A952="","",YEAR(A952))</f>
        <v/>
      </c>
      <c r="K952" s="24"/>
      <c r="L952" s="11"/>
    </row>
    <row r="953" customFormat="false" ht="15" hidden="false" customHeight="false" outlineLevel="0" collapsed="false">
      <c r="A953" s="22"/>
      <c r="B953" s="11"/>
      <c r="C953" s="24"/>
      <c r="D953" s="31" t="str">
        <f aca="false">IF(C953="","",IF(LEN(UPPER(SUBSTITUTE(SUBSTITUTE(SUBSTITUTE(SUBSTITUTE(TRIM(C953),".",""),"/",""),"-","")," ","")))&lt;14,RIGHT(REPT("0",14)&amp;UPPER(SUBSTITUTE(SUBSTITUTE(SUBSTITUTE(SUBSTITUTE(TRIM(C953),".",""),"/",""),"-","")," ","")),14),UPPER(SUBSTITUTE(SUBSTITUTE(SUBSTITUTE(SUBSTITUTE(TRIM(C953),".",""),"/",""),"-","")," ",""))))</f>
        <v/>
      </c>
      <c r="E953" s="25" t="str">
        <f aca="false">IF(D953="","",IFERROR(INDEX(Empresas!$C:$C,MATCH(D953,Empresas!$B:$B,0)),"cadastre o CNPJ em Empresas"))</f>
        <v/>
      </c>
      <c r="F953" s="23"/>
      <c r="G953" s="35"/>
      <c r="H953" s="24"/>
      <c r="I953" s="11"/>
      <c r="J953" s="27" t="str">
        <f aca="false">IF(A953="","",YEAR(A953))</f>
        <v/>
      </c>
      <c r="K953" s="24"/>
      <c r="L953" s="11"/>
    </row>
    <row r="954" customFormat="false" ht="15" hidden="false" customHeight="false" outlineLevel="0" collapsed="false">
      <c r="A954" s="22"/>
      <c r="B954" s="11"/>
      <c r="C954" s="24"/>
      <c r="D954" s="31" t="str">
        <f aca="false">IF(C954="","",IF(LEN(UPPER(SUBSTITUTE(SUBSTITUTE(SUBSTITUTE(SUBSTITUTE(TRIM(C954),".",""),"/",""),"-","")," ","")))&lt;14,RIGHT(REPT("0",14)&amp;UPPER(SUBSTITUTE(SUBSTITUTE(SUBSTITUTE(SUBSTITUTE(TRIM(C954),".",""),"/",""),"-","")," ","")),14),UPPER(SUBSTITUTE(SUBSTITUTE(SUBSTITUTE(SUBSTITUTE(TRIM(C954),".",""),"/",""),"-","")," ",""))))</f>
        <v/>
      </c>
      <c r="E954" s="25" t="str">
        <f aca="false">IF(D954="","",IFERROR(INDEX(Empresas!$C:$C,MATCH(D954,Empresas!$B:$B,0)),"cadastre o CNPJ em Empresas"))</f>
        <v/>
      </c>
      <c r="F954" s="23"/>
      <c r="G954" s="35"/>
      <c r="H954" s="24"/>
      <c r="I954" s="11"/>
      <c r="J954" s="27" t="str">
        <f aca="false">IF(A954="","",YEAR(A954))</f>
        <v/>
      </c>
      <c r="K954" s="24"/>
      <c r="L954" s="11"/>
    </row>
    <row r="955" customFormat="false" ht="15" hidden="false" customHeight="false" outlineLevel="0" collapsed="false">
      <c r="A955" s="22"/>
      <c r="B955" s="11"/>
      <c r="C955" s="24"/>
      <c r="D955" s="31" t="str">
        <f aca="false">IF(C955="","",IF(LEN(UPPER(SUBSTITUTE(SUBSTITUTE(SUBSTITUTE(SUBSTITUTE(TRIM(C955),".",""),"/",""),"-","")," ","")))&lt;14,RIGHT(REPT("0",14)&amp;UPPER(SUBSTITUTE(SUBSTITUTE(SUBSTITUTE(SUBSTITUTE(TRIM(C955),".",""),"/",""),"-","")," ","")),14),UPPER(SUBSTITUTE(SUBSTITUTE(SUBSTITUTE(SUBSTITUTE(TRIM(C955),".",""),"/",""),"-","")," ",""))))</f>
        <v/>
      </c>
      <c r="E955" s="25" t="str">
        <f aca="false">IF(D955="","",IFERROR(INDEX(Empresas!$C:$C,MATCH(D955,Empresas!$B:$B,0)),"cadastre o CNPJ em Empresas"))</f>
        <v/>
      </c>
      <c r="F955" s="23"/>
      <c r="G955" s="35"/>
      <c r="H955" s="24"/>
      <c r="I955" s="11"/>
      <c r="J955" s="27" t="str">
        <f aca="false">IF(A955="","",YEAR(A955))</f>
        <v/>
      </c>
      <c r="K955" s="24"/>
      <c r="L955" s="11"/>
    </row>
    <row r="956" customFormat="false" ht="15" hidden="false" customHeight="false" outlineLevel="0" collapsed="false">
      <c r="A956" s="22"/>
      <c r="B956" s="11"/>
      <c r="C956" s="24"/>
      <c r="D956" s="31" t="str">
        <f aca="false">IF(C956="","",IF(LEN(UPPER(SUBSTITUTE(SUBSTITUTE(SUBSTITUTE(SUBSTITUTE(TRIM(C956),".",""),"/",""),"-","")," ","")))&lt;14,RIGHT(REPT("0",14)&amp;UPPER(SUBSTITUTE(SUBSTITUTE(SUBSTITUTE(SUBSTITUTE(TRIM(C956),".",""),"/",""),"-","")," ","")),14),UPPER(SUBSTITUTE(SUBSTITUTE(SUBSTITUTE(SUBSTITUTE(TRIM(C956),".",""),"/",""),"-","")," ",""))))</f>
        <v/>
      </c>
      <c r="E956" s="25" t="str">
        <f aca="false">IF(D956="","",IFERROR(INDEX(Empresas!$C:$C,MATCH(D956,Empresas!$B:$B,0)),"cadastre o CNPJ em Empresas"))</f>
        <v/>
      </c>
      <c r="F956" s="23"/>
      <c r="G956" s="35"/>
      <c r="H956" s="24"/>
      <c r="I956" s="11"/>
      <c r="J956" s="27" t="str">
        <f aca="false">IF(A956="","",YEAR(A956))</f>
        <v/>
      </c>
      <c r="K956" s="24"/>
      <c r="L956" s="11"/>
    </row>
    <row r="957" customFormat="false" ht="15" hidden="false" customHeight="false" outlineLevel="0" collapsed="false">
      <c r="A957" s="22"/>
      <c r="B957" s="11"/>
      <c r="C957" s="24"/>
      <c r="D957" s="31" t="str">
        <f aca="false">IF(C957="","",IF(LEN(UPPER(SUBSTITUTE(SUBSTITUTE(SUBSTITUTE(SUBSTITUTE(TRIM(C957),".",""),"/",""),"-","")," ","")))&lt;14,RIGHT(REPT("0",14)&amp;UPPER(SUBSTITUTE(SUBSTITUTE(SUBSTITUTE(SUBSTITUTE(TRIM(C957),".",""),"/",""),"-","")," ","")),14),UPPER(SUBSTITUTE(SUBSTITUTE(SUBSTITUTE(SUBSTITUTE(TRIM(C957),".",""),"/",""),"-","")," ",""))))</f>
        <v/>
      </c>
      <c r="E957" s="25" t="str">
        <f aca="false">IF(D957="","",IFERROR(INDEX(Empresas!$C:$C,MATCH(D957,Empresas!$B:$B,0)),"cadastre o CNPJ em Empresas"))</f>
        <v/>
      </c>
      <c r="F957" s="23"/>
      <c r="G957" s="35"/>
      <c r="H957" s="24"/>
      <c r="I957" s="11"/>
      <c r="J957" s="27" t="str">
        <f aca="false">IF(A957="","",YEAR(A957))</f>
        <v/>
      </c>
      <c r="K957" s="24"/>
      <c r="L957" s="11"/>
    </row>
    <row r="958" customFormat="false" ht="15" hidden="false" customHeight="false" outlineLevel="0" collapsed="false">
      <c r="A958" s="22"/>
      <c r="B958" s="11"/>
      <c r="C958" s="24"/>
      <c r="D958" s="31" t="str">
        <f aca="false">IF(C958="","",IF(LEN(UPPER(SUBSTITUTE(SUBSTITUTE(SUBSTITUTE(SUBSTITUTE(TRIM(C958),".",""),"/",""),"-","")," ","")))&lt;14,RIGHT(REPT("0",14)&amp;UPPER(SUBSTITUTE(SUBSTITUTE(SUBSTITUTE(SUBSTITUTE(TRIM(C958),".",""),"/",""),"-","")," ","")),14),UPPER(SUBSTITUTE(SUBSTITUTE(SUBSTITUTE(SUBSTITUTE(TRIM(C958),".",""),"/",""),"-","")," ",""))))</f>
        <v/>
      </c>
      <c r="E958" s="25" t="str">
        <f aca="false">IF(D958="","",IFERROR(INDEX(Empresas!$C:$C,MATCH(D958,Empresas!$B:$B,0)),"cadastre o CNPJ em Empresas"))</f>
        <v/>
      </c>
      <c r="F958" s="23"/>
      <c r="G958" s="35"/>
      <c r="H958" s="24"/>
      <c r="I958" s="11"/>
      <c r="J958" s="27" t="str">
        <f aca="false">IF(A958="","",YEAR(A958))</f>
        <v/>
      </c>
      <c r="K958" s="24"/>
      <c r="L958" s="11"/>
    </row>
    <row r="959" customFormat="false" ht="15" hidden="false" customHeight="false" outlineLevel="0" collapsed="false">
      <c r="A959" s="22"/>
      <c r="B959" s="11"/>
      <c r="C959" s="24"/>
      <c r="D959" s="31" t="str">
        <f aca="false">IF(C959="","",IF(LEN(UPPER(SUBSTITUTE(SUBSTITUTE(SUBSTITUTE(SUBSTITUTE(TRIM(C959),".",""),"/",""),"-","")," ","")))&lt;14,RIGHT(REPT("0",14)&amp;UPPER(SUBSTITUTE(SUBSTITUTE(SUBSTITUTE(SUBSTITUTE(TRIM(C959),".",""),"/",""),"-","")," ","")),14),UPPER(SUBSTITUTE(SUBSTITUTE(SUBSTITUTE(SUBSTITUTE(TRIM(C959),".",""),"/",""),"-","")," ",""))))</f>
        <v/>
      </c>
      <c r="E959" s="25" t="str">
        <f aca="false">IF(D959="","",IFERROR(INDEX(Empresas!$C:$C,MATCH(D959,Empresas!$B:$B,0)),"cadastre o CNPJ em Empresas"))</f>
        <v/>
      </c>
      <c r="F959" s="23"/>
      <c r="G959" s="35"/>
      <c r="H959" s="24"/>
      <c r="I959" s="11"/>
      <c r="J959" s="27" t="str">
        <f aca="false">IF(A959="","",YEAR(A959))</f>
        <v/>
      </c>
      <c r="K959" s="24"/>
      <c r="L959" s="11"/>
    </row>
    <row r="960" customFormat="false" ht="15" hidden="false" customHeight="false" outlineLevel="0" collapsed="false">
      <c r="A960" s="22"/>
      <c r="B960" s="11"/>
      <c r="C960" s="24"/>
      <c r="D960" s="31" t="str">
        <f aca="false">IF(C960="","",IF(LEN(UPPER(SUBSTITUTE(SUBSTITUTE(SUBSTITUTE(SUBSTITUTE(TRIM(C960),".",""),"/",""),"-","")," ","")))&lt;14,RIGHT(REPT("0",14)&amp;UPPER(SUBSTITUTE(SUBSTITUTE(SUBSTITUTE(SUBSTITUTE(TRIM(C960),".",""),"/",""),"-","")," ","")),14),UPPER(SUBSTITUTE(SUBSTITUTE(SUBSTITUTE(SUBSTITUTE(TRIM(C960),".",""),"/",""),"-","")," ",""))))</f>
        <v/>
      </c>
      <c r="E960" s="25" t="str">
        <f aca="false">IF(D960="","",IFERROR(INDEX(Empresas!$C:$C,MATCH(D960,Empresas!$B:$B,0)),"cadastre o CNPJ em Empresas"))</f>
        <v/>
      </c>
      <c r="F960" s="23"/>
      <c r="G960" s="35"/>
      <c r="H960" s="24"/>
      <c r="I960" s="11"/>
      <c r="J960" s="27" t="str">
        <f aca="false">IF(A960="","",YEAR(A960))</f>
        <v/>
      </c>
      <c r="K960" s="24"/>
      <c r="L960" s="11"/>
    </row>
    <row r="961" customFormat="false" ht="15" hidden="false" customHeight="false" outlineLevel="0" collapsed="false">
      <c r="A961" s="22"/>
      <c r="B961" s="11"/>
      <c r="C961" s="24"/>
      <c r="D961" s="31" t="str">
        <f aca="false">IF(C961="","",IF(LEN(UPPER(SUBSTITUTE(SUBSTITUTE(SUBSTITUTE(SUBSTITUTE(TRIM(C961),".",""),"/",""),"-","")," ","")))&lt;14,RIGHT(REPT("0",14)&amp;UPPER(SUBSTITUTE(SUBSTITUTE(SUBSTITUTE(SUBSTITUTE(TRIM(C961),".",""),"/",""),"-","")," ","")),14),UPPER(SUBSTITUTE(SUBSTITUTE(SUBSTITUTE(SUBSTITUTE(TRIM(C961),".",""),"/",""),"-","")," ",""))))</f>
        <v/>
      </c>
      <c r="E961" s="25" t="str">
        <f aca="false">IF(D961="","",IFERROR(INDEX(Empresas!$C:$C,MATCH(D961,Empresas!$B:$B,0)),"cadastre o CNPJ em Empresas"))</f>
        <v/>
      </c>
      <c r="F961" s="23"/>
      <c r="G961" s="35"/>
      <c r="H961" s="24"/>
      <c r="I961" s="11"/>
      <c r="J961" s="27" t="str">
        <f aca="false">IF(A961="","",YEAR(A961))</f>
        <v/>
      </c>
      <c r="K961" s="24"/>
      <c r="L961" s="11"/>
    </row>
    <row r="962" customFormat="false" ht="15" hidden="false" customHeight="false" outlineLevel="0" collapsed="false">
      <c r="A962" s="22"/>
      <c r="B962" s="11"/>
      <c r="C962" s="24"/>
      <c r="D962" s="31" t="str">
        <f aca="false">IF(C962="","",IF(LEN(UPPER(SUBSTITUTE(SUBSTITUTE(SUBSTITUTE(SUBSTITUTE(TRIM(C962),".",""),"/",""),"-","")," ","")))&lt;14,RIGHT(REPT("0",14)&amp;UPPER(SUBSTITUTE(SUBSTITUTE(SUBSTITUTE(SUBSTITUTE(TRIM(C962),".",""),"/",""),"-","")," ","")),14),UPPER(SUBSTITUTE(SUBSTITUTE(SUBSTITUTE(SUBSTITUTE(TRIM(C962),".",""),"/",""),"-","")," ",""))))</f>
        <v/>
      </c>
      <c r="E962" s="25" t="str">
        <f aca="false">IF(D962="","",IFERROR(INDEX(Empresas!$C:$C,MATCH(D962,Empresas!$B:$B,0)),"cadastre o CNPJ em Empresas"))</f>
        <v/>
      </c>
      <c r="F962" s="23"/>
      <c r="G962" s="35"/>
      <c r="H962" s="24"/>
      <c r="I962" s="11"/>
      <c r="J962" s="27" t="str">
        <f aca="false">IF(A962="","",YEAR(A962))</f>
        <v/>
      </c>
      <c r="K962" s="24"/>
      <c r="L962" s="11"/>
    </row>
    <row r="963" customFormat="false" ht="15" hidden="false" customHeight="false" outlineLevel="0" collapsed="false">
      <c r="A963" s="22"/>
      <c r="B963" s="11"/>
      <c r="C963" s="24"/>
      <c r="D963" s="31" t="str">
        <f aca="false">IF(C963="","",IF(LEN(UPPER(SUBSTITUTE(SUBSTITUTE(SUBSTITUTE(SUBSTITUTE(TRIM(C963),".",""),"/",""),"-","")," ","")))&lt;14,RIGHT(REPT("0",14)&amp;UPPER(SUBSTITUTE(SUBSTITUTE(SUBSTITUTE(SUBSTITUTE(TRIM(C963),".",""),"/",""),"-","")," ","")),14),UPPER(SUBSTITUTE(SUBSTITUTE(SUBSTITUTE(SUBSTITUTE(TRIM(C963),".",""),"/",""),"-","")," ",""))))</f>
        <v/>
      </c>
      <c r="E963" s="25" t="str">
        <f aca="false">IF(D963="","",IFERROR(INDEX(Empresas!$C:$C,MATCH(D963,Empresas!$B:$B,0)),"cadastre o CNPJ em Empresas"))</f>
        <v/>
      </c>
      <c r="F963" s="23"/>
      <c r="G963" s="35"/>
      <c r="H963" s="24"/>
      <c r="I963" s="11"/>
      <c r="J963" s="27" t="str">
        <f aca="false">IF(A963="","",YEAR(A963))</f>
        <v/>
      </c>
      <c r="K963" s="24"/>
      <c r="L963" s="11"/>
    </row>
    <row r="964" customFormat="false" ht="15" hidden="false" customHeight="false" outlineLevel="0" collapsed="false">
      <c r="A964" s="22"/>
      <c r="B964" s="11"/>
      <c r="C964" s="24"/>
      <c r="D964" s="31" t="str">
        <f aca="false">IF(C964="","",IF(LEN(UPPER(SUBSTITUTE(SUBSTITUTE(SUBSTITUTE(SUBSTITUTE(TRIM(C964),".",""),"/",""),"-","")," ","")))&lt;14,RIGHT(REPT("0",14)&amp;UPPER(SUBSTITUTE(SUBSTITUTE(SUBSTITUTE(SUBSTITUTE(TRIM(C964),".",""),"/",""),"-","")," ","")),14),UPPER(SUBSTITUTE(SUBSTITUTE(SUBSTITUTE(SUBSTITUTE(TRIM(C964),".",""),"/",""),"-","")," ",""))))</f>
        <v/>
      </c>
      <c r="E964" s="25" t="str">
        <f aca="false">IF(D964="","",IFERROR(INDEX(Empresas!$C:$C,MATCH(D964,Empresas!$B:$B,0)),"cadastre o CNPJ em Empresas"))</f>
        <v/>
      </c>
      <c r="F964" s="23"/>
      <c r="G964" s="35"/>
      <c r="H964" s="24"/>
      <c r="I964" s="11"/>
      <c r="J964" s="27" t="str">
        <f aca="false">IF(A964="","",YEAR(A964))</f>
        <v/>
      </c>
      <c r="K964" s="24"/>
      <c r="L964" s="11"/>
    </row>
    <row r="965" customFormat="false" ht="15" hidden="false" customHeight="false" outlineLevel="0" collapsed="false">
      <c r="A965" s="22"/>
      <c r="B965" s="11"/>
      <c r="C965" s="24"/>
      <c r="D965" s="31" t="str">
        <f aca="false">IF(C965="","",IF(LEN(UPPER(SUBSTITUTE(SUBSTITUTE(SUBSTITUTE(SUBSTITUTE(TRIM(C965),".",""),"/",""),"-","")," ","")))&lt;14,RIGHT(REPT("0",14)&amp;UPPER(SUBSTITUTE(SUBSTITUTE(SUBSTITUTE(SUBSTITUTE(TRIM(C965),".",""),"/",""),"-","")," ","")),14),UPPER(SUBSTITUTE(SUBSTITUTE(SUBSTITUTE(SUBSTITUTE(TRIM(C965),".",""),"/",""),"-","")," ",""))))</f>
        <v/>
      </c>
      <c r="E965" s="25" t="str">
        <f aca="false">IF(D965="","",IFERROR(INDEX(Empresas!$C:$C,MATCH(D965,Empresas!$B:$B,0)),"cadastre o CNPJ em Empresas"))</f>
        <v/>
      </c>
      <c r="F965" s="23"/>
      <c r="G965" s="35"/>
      <c r="H965" s="24"/>
      <c r="I965" s="11"/>
      <c r="J965" s="27" t="str">
        <f aca="false">IF(A965="","",YEAR(A965))</f>
        <v/>
      </c>
      <c r="K965" s="24"/>
      <c r="L965" s="11"/>
    </row>
    <row r="966" customFormat="false" ht="15" hidden="false" customHeight="false" outlineLevel="0" collapsed="false">
      <c r="A966" s="22"/>
      <c r="B966" s="11"/>
      <c r="C966" s="24"/>
      <c r="D966" s="31" t="str">
        <f aca="false">IF(C966="","",IF(LEN(UPPER(SUBSTITUTE(SUBSTITUTE(SUBSTITUTE(SUBSTITUTE(TRIM(C966),".",""),"/",""),"-","")," ","")))&lt;14,RIGHT(REPT("0",14)&amp;UPPER(SUBSTITUTE(SUBSTITUTE(SUBSTITUTE(SUBSTITUTE(TRIM(C966),".",""),"/",""),"-","")," ","")),14),UPPER(SUBSTITUTE(SUBSTITUTE(SUBSTITUTE(SUBSTITUTE(TRIM(C966),".",""),"/",""),"-","")," ",""))))</f>
        <v/>
      </c>
      <c r="E966" s="25" t="str">
        <f aca="false">IF(D966="","",IFERROR(INDEX(Empresas!$C:$C,MATCH(D966,Empresas!$B:$B,0)),"cadastre o CNPJ em Empresas"))</f>
        <v/>
      </c>
      <c r="F966" s="23"/>
      <c r="G966" s="35"/>
      <c r="H966" s="24"/>
      <c r="I966" s="11"/>
      <c r="J966" s="27" t="str">
        <f aca="false">IF(A966="","",YEAR(A966))</f>
        <v/>
      </c>
      <c r="K966" s="24"/>
      <c r="L966" s="11"/>
    </row>
    <row r="967" customFormat="false" ht="15" hidden="false" customHeight="false" outlineLevel="0" collapsed="false">
      <c r="A967" s="22"/>
      <c r="B967" s="11"/>
      <c r="C967" s="24"/>
      <c r="D967" s="31" t="str">
        <f aca="false">IF(C967="","",IF(LEN(UPPER(SUBSTITUTE(SUBSTITUTE(SUBSTITUTE(SUBSTITUTE(TRIM(C967),".",""),"/",""),"-","")," ","")))&lt;14,RIGHT(REPT("0",14)&amp;UPPER(SUBSTITUTE(SUBSTITUTE(SUBSTITUTE(SUBSTITUTE(TRIM(C967),".",""),"/",""),"-","")," ","")),14),UPPER(SUBSTITUTE(SUBSTITUTE(SUBSTITUTE(SUBSTITUTE(TRIM(C967),".",""),"/",""),"-","")," ",""))))</f>
        <v/>
      </c>
      <c r="E967" s="25" t="str">
        <f aca="false">IF(D967="","",IFERROR(INDEX(Empresas!$C:$C,MATCH(D967,Empresas!$B:$B,0)),"cadastre o CNPJ em Empresas"))</f>
        <v/>
      </c>
      <c r="F967" s="23"/>
      <c r="G967" s="35"/>
      <c r="H967" s="24"/>
      <c r="I967" s="11"/>
      <c r="J967" s="27" t="str">
        <f aca="false">IF(A967="","",YEAR(A967))</f>
        <v/>
      </c>
      <c r="K967" s="24"/>
      <c r="L967" s="11"/>
    </row>
    <row r="968" customFormat="false" ht="15" hidden="false" customHeight="false" outlineLevel="0" collapsed="false">
      <c r="A968" s="22"/>
      <c r="B968" s="11"/>
      <c r="C968" s="24"/>
      <c r="D968" s="31" t="str">
        <f aca="false">IF(C968="","",IF(LEN(UPPER(SUBSTITUTE(SUBSTITUTE(SUBSTITUTE(SUBSTITUTE(TRIM(C968),".",""),"/",""),"-","")," ","")))&lt;14,RIGHT(REPT("0",14)&amp;UPPER(SUBSTITUTE(SUBSTITUTE(SUBSTITUTE(SUBSTITUTE(TRIM(C968),".",""),"/",""),"-","")," ","")),14),UPPER(SUBSTITUTE(SUBSTITUTE(SUBSTITUTE(SUBSTITUTE(TRIM(C968),".",""),"/",""),"-","")," ",""))))</f>
        <v/>
      </c>
      <c r="E968" s="25" t="str">
        <f aca="false">IF(D968="","",IFERROR(INDEX(Empresas!$C:$C,MATCH(D968,Empresas!$B:$B,0)),"cadastre o CNPJ em Empresas"))</f>
        <v/>
      </c>
      <c r="F968" s="23"/>
      <c r="G968" s="35"/>
      <c r="H968" s="24"/>
      <c r="I968" s="11"/>
      <c r="J968" s="27" t="str">
        <f aca="false">IF(A968="","",YEAR(A968))</f>
        <v/>
      </c>
      <c r="K968" s="24"/>
      <c r="L968" s="11"/>
    </row>
    <row r="969" customFormat="false" ht="15" hidden="false" customHeight="false" outlineLevel="0" collapsed="false">
      <c r="A969" s="22"/>
      <c r="B969" s="11"/>
      <c r="C969" s="24"/>
      <c r="D969" s="31" t="str">
        <f aca="false">IF(C969="","",IF(LEN(UPPER(SUBSTITUTE(SUBSTITUTE(SUBSTITUTE(SUBSTITUTE(TRIM(C969),".",""),"/",""),"-","")," ","")))&lt;14,RIGHT(REPT("0",14)&amp;UPPER(SUBSTITUTE(SUBSTITUTE(SUBSTITUTE(SUBSTITUTE(TRIM(C969),".",""),"/",""),"-","")," ","")),14),UPPER(SUBSTITUTE(SUBSTITUTE(SUBSTITUTE(SUBSTITUTE(TRIM(C969),".",""),"/",""),"-","")," ",""))))</f>
        <v/>
      </c>
      <c r="E969" s="25" t="str">
        <f aca="false">IF(D969="","",IFERROR(INDEX(Empresas!$C:$C,MATCH(D969,Empresas!$B:$B,0)),"cadastre o CNPJ em Empresas"))</f>
        <v/>
      </c>
      <c r="F969" s="23"/>
      <c r="G969" s="35"/>
      <c r="H969" s="24"/>
      <c r="I969" s="11"/>
      <c r="J969" s="27" t="str">
        <f aca="false">IF(A969="","",YEAR(A969))</f>
        <v/>
      </c>
      <c r="K969" s="24"/>
      <c r="L969" s="11"/>
    </row>
    <row r="970" customFormat="false" ht="15" hidden="false" customHeight="false" outlineLevel="0" collapsed="false">
      <c r="A970" s="22"/>
      <c r="B970" s="11"/>
      <c r="C970" s="24"/>
      <c r="D970" s="31" t="str">
        <f aca="false">IF(C970="","",IF(LEN(UPPER(SUBSTITUTE(SUBSTITUTE(SUBSTITUTE(SUBSTITUTE(TRIM(C970),".",""),"/",""),"-","")," ","")))&lt;14,RIGHT(REPT("0",14)&amp;UPPER(SUBSTITUTE(SUBSTITUTE(SUBSTITUTE(SUBSTITUTE(TRIM(C970),".",""),"/",""),"-","")," ","")),14),UPPER(SUBSTITUTE(SUBSTITUTE(SUBSTITUTE(SUBSTITUTE(TRIM(C970),".",""),"/",""),"-","")," ",""))))</f>
        <v/>
      </c>
      <c r="E970" s="25" t="str">
        <f aca="false">IF(D970="","",IFERROR(INDEX(Empresas!$C:$C,MATCH(D970,Empresas!$B:$B,0)),"cadastre o CNPJ em Empresas"))</f>
        <v/>
      </c>
      <c r="F970" s="23"/>
      <c r="G970" s="35"/>
      <c r="H970" s="24"/>
      <c r="I970" s="11"/>
      <c r="J970" s="27" t="str">
        <f aca="false">IF(A970="","",YEAR(A970))</f>
        <v/>
      </c>
      <c r="K970" s="24"/>
      <c r="L970" s="11"/>
    </row>
    <row r="971" customFormat="false" ht="15" hidden="false" customHeight="false" outlineLevel="0" collapsed="false">
      <c r="A971" s="22"/>
      <c r="B971" s="11"/>
      <c r="C971" s="24"/>
      <c r="D971" s="31" t="str">
        <f aca="false">IF(C971="","",IF(LEN(UPPER(SUBSTITUTE(SUBSTITUTE(SUBSTITUTE(SUBSTITUTE(TRIM(C971),".",""),"/",""),"-","")," ","")))&lt;14,RIGHT(REPT("0",14)&amp;UPPER(SUBSTITUTE(SUBSTITUTE(SUBSTITUTE(SUBSTITUTE(TRIM(C971),".",""),"/",""),"-","")," ","")),14),UPPER(SUBSTITUTE(SUBSTITUTE(SUBSTITUTE(SUBSTITUTE(TRIM(C971),".",""),"/",""),"-","")," ",""))))</f>
        <v/>
      </c>
      <c r="E971" s="25" t="str">
        <f aca="false">IF(D971="","",IFERROR(INDEX(Empresas!$C:$C,MATCH(D971,Empresas!$B:$B,0)),"cadastre o CNPJ em Empresas"))</f>
        <v/>
      </c>
      <c r="F971" s="23"/>
      <c r="G971" s="35"/>
      <c r="H971" s="24"/>
      <c r="I971" s="11"/>
      <c r="J971" s="27" t="str">
        <f aca="false">IF(A971="","",YEAR(A971))</f>
        <v/>
      </c>
      <c r="K971" s="24"/>
      <c r="L971" s="11"/>
    </row>
    <row r="972" customFormat="false" ht="15" hidden="false" customHeight="false" outlineLevel="0" collapsed="false">
      <c r="A972" s="22"/>
      <c r="B972" s="11"/>
      <c r="C972" s="24"/>
      <c r="D972" s="31" t="str">
        <f aca="false">IF(C972="","",IF(LEN(UPPER(SUBSTITUTE(SUBSTITUTE(SUBSTITUTE(SUBSTITUTE(TRIM(C972),".",""),"/",""),"-","")," ","")))&lt;14,RIGHT(REPT("0",14)&amp;UPPER(SUBSTITUTE(SUBSTITUTE(SUBSTITUTE(SUBSTITUTE(TRIM(C972),".",""),"/",""),"-","")," ","")),14),UPPER(SUBSTITUTE(SUBSTITUTE(SUBSTITUTE(SUBSTITUTE(TRIM(C972),".",""),"/",""),"-","")," ",""))))</f>
        <v/>
      </c>
      <c r="E972" s="25" t="str">
        <f aca="false">IF(D972="","",IFERROR(INDEX(Empresas!$C:$C,MATCH(D972,Empresas!$B:$B,0)),"cadastre o CNPJ em Empresas"))</f>
        <v/>
      </c>
      <c r="F972" s="23"/>
      <c r="G972" s="35"/>
      <c r="H972" s="24"/>
      <c r="I972" s="11"/>
      <c r="J972" s="27" t="str">
        <f aca="false">IF(A972="","",YEAR(A972))</f>
        <v/>
      </c>
      <c r="K972" s="24"/>
      <c r="L972" s="11"/>
    </row>
    <row r="973" customFormat="false" ht="15" hidden="false" customHeight="false" outlineLevel="0" collapsed="false">
      <c r="A973" s="22"/>
      <c r="B973" s="11"/>
      <c r="C973" s="24"/>
      <c r="D973" s="31" t="str">
        <f aca="false">IF(C973="","",IF(LEN(UPPER(SUBSTITUTE(SUBSTITUTE(SUBSTITUTE(SUBSTITUTE(TRIM(C973),".",""),"/",""),"-","")," ","")))&lt;14,RIGHT(REPT("0",14)&amp;UPPER(SUBSTITUTE(SUBSTITUTE(SUBSTITUTE(SUBSTITUTE(TRIM(C973),".",""),"/",""),"-","")," ","")),14),UPPER(SUBSTITUTE(SUBSTITUTE(SUBSTITUTE(SUBSTITUTE(TRIM(C973),".",""),"/",""),"-","")," ",""))))</f>
        <v/>
      </c>
      <c r="E973" s="25" t="str">
        <f aca="false">IF(D973="","",IFERROR(INDEX(Empresas!$C:$C,MATCH(D973,Empresas!$B:$B,0)),"cadastre o CNPJ em Empresas"))</f>
        <v/>
      </c>
      <c r="F973" s="23"/>
      <c r="G973" s="35"/>
      <c r="H973" s="24"/>
      <c r="I973" s="11"/>
      <c r="J973" s="27" t="str">
        <f aca="false">IF(A973="","",YEAR(A973))</f>
        <v/>
      </c>
      <c r="K973" s="24"/>
      <c r="L973" s="11"/>
    </row>
    <row r="974" customFormat="false" ht="15" hidden="false" customHeight="false" outlineLevel="0" collapsed="false">
      <c r="A974" s="22"/>
      <c r="B974" s="11"/>
      <c r="C974" s="24"/>
      <c r="D974" s="31" t="str">
        <f aca="false">IF(C974="","",IF(LEN(UPPER(SUBSTITUTE(SUBSTITUTE(SUBSTITUTE(SUBSTITUTE(TRIM(C974),".",""),"/",""),"-","")," ","")))&lt;14,RIGHT(REPT("0",14)&amp;UPPER(SUBSTITUTE(SUBSTITUTE(SUBSTITUTE(SUBSTITUTE(TRIM(C974),".",""),"/",""),"-","")," ","")),14),UPPER(SUBSTITUTE(SUBSTITUTE(SUBSTITUTE(SUBSTITUTE(TRIM(C974),".",""),"/",""),"-","")," ",""))))</f>
        <v/>
      </c>
      <c r="E974" s="25" t="str">
        <f aca="false">IF(D974="","",IFERROR(INDEX(Empresas!$C:$C,MATCH(D974,Empresas!$B:$B,0)),"cadastre o CNPJ em Empresas"))</f>
        <v/>
      </c>
      <c r="F974" s="23"/>
      <c r="G974" s="35"/>
      <c r="H974" s="24"/>
      <c r="I974" s="11"/>
      <c r="J974" s="27" t="str">
        <f aca="false">IF(A974="","",YEAR(A974))</f>
        <v/>
      </c>
      <c r="K974" s="24"/>
      <c r="L974" s="11"/>
    </row>
    <row r="975" customFormat="false" ht="15" hidden="false" customHeight="false" outlineLevel="0" collapsed="false">
      <c r="A975" s="22"/>
      <c r="B975" s="11"/>
      <c r="C975" s="24"/>
      <c r="D975" s="31" t="str">
        <f aca="false">IF(C975="","",IF(LEN(UPPER(SUBSTITUTE(SUBSTITUTE(SUBSTITUTE(SUBSTITUTE(TRIM(C975),".",""),"/",""),"-","")," ","")))&lt;14,RIGHT(REPT("0",14)&amp;UPPER(SUBSTITUTE(SUBSTITUTE(SUBSTITUTE(SUBSTITUTE(TRIM(C975),".",""),"/",""),"-","")," ","")),14),UPPER(SUBSTITUTE(SUBSTITUTE(SUBSTITUTE(SUBSTITUTE(TRIM(C975),".",""),"/",""),"-","")," ",""))))</f>
        <v/>
      </c>
      <c r="E975" s="25" t="str">
        <f aca="false">IF(D975="","",IFERROR(INDEX(Empresas!$C:$C,MATCH(D975,Empresas!$B:$B,0)),"cadastre o CNPJ em Empresas"))</f>
        <v/>
      </c>
      <c r="F975" s="23"/>
      <c r="G975" s="35"/>
      <c r="H975" s="24"/>
      <c r="I975" s="11"/>
      <c r="J975" s="27" t="str">
        <f aca="false">IF(A975="","",YEAR(A975))</f>
        <v/>
      </c>
      <c r="K975" s="24"/>
      <c r="L975" s="11"/>
    </row>
    <row r="976" customFormat="false" ht="15" hidden="false" customHeight="false" outlineLevel="0" collapsed="false">
      <c r="A976" s="22"/>
      <c r="B976" s="11"/>
      <c r="C976" s="24"/>
      <c r="D976" s="31" t="str">
        <f aca="false">IF(C976="","",IF(LEN(UPPER(SUBSTITUTE(SUBSTITUTE(SUBSTITUTE(SUBSTITUTE(TRIM(C976),".",""),"/",""),"-","")," ","")))&lt;14,RIGHT(REPT("0",14)&amp;UPPER(SUBSTITUTE(SUBSTITUTE(SUBSTITUTE(SUBSTITUTE(TRIM(C976),".",""),"/",""),"-","")," ","")),14),UPPER(SUBSTITUTE(SUBSTITUTE(SUBSTITUTE(SUBSTITUTE(TRIM(C976),".",""),"/",""),"-","")," ",""))))</f>
        <v/>
      </c>
      <c r="E976" s="25" t="str">
        <f aca="false">IF(D976="","",IFERROR(INDEX(Empresas!$C:$C,MATCH(D976,Empresas!$B:$B,0)),"cadastre o CNPJ em Empresas"))</f>
        <v/>
      </c>
      <c r="F976" s="23"/>
      <c r="G976" s="35"/>
      <c r="H976" s="24"/>
      <c r="I976" s="11"/>
      <c r="J976" s="27" t="str">
        <f aca="false">IF(A976="","",YEAR(A976))</f>
        <v/>
      </c>
      <c r="K976" s="24"/>
      <c r="L976" s="11"/>
    </row>
    <row r="977" customFormat="false" ht="15" hidden="false" customHeight="false" outlineLevel="0" collapsed="false">
      <c r="A977" s="22"/>
      <c r="B977" s="11"/>
      <c r="C977" s="24"/>
      <c r="D977" s="31" t="str">
        <f aca="false">IF(C977="","",IF(LEN(UPPER(SUBSTITUTE(SUBSTITUTE(SUBSTITUTE(SUBSTITUTE(TRIM(C977),".",""),"/",""),"-","")," ","")))&lt;14,RIGHT(REPT("0",14)&amp;UPPER(SUBSTITUTE(SUBSTITUTE(SUBSTITUTE(SUBSTITUTE(TRIM(C977),".",""),"/",""),"-","")," ","")),14),UPPER(SUBSTITUTE(SUBSTITUTE(SUBSTITUTE(SUBSTITUTE(TRIM(C977),".",""),"/",""),"-","")," ",""))))</f>
        <v/>
      </c>
      <c r="E977" s="25" t="str">
        <f aca="false">IF(D977="","",IFERROR(INDEX(Empresas!$C:$C,MATCH(D977,Empresas!$B:$B,0)),"cadastre o CNPJ em Empresas"))</f>
        <v/>
      </c>
      <c r="F977" s="23"/>
      <c r="G977" s="35"/>
      <c r="H977" s="24"/>
      <c r="I977" s="11"/>
      <c r="J977" s="27" t="str">
        <f aca="false">IF(A977="","",YEAR(A977))</f>
        <v/>
      </c>
      <c r="K977" s="24"/>
      <c r="L977" s="11"/>
    </row>
    <row r="978" customFormat="false" ht="15" hidden="false" customHeight="false" outlineLevel="0" collapsed="false">
      <c r="A978" s="22"/>
      <c r="B978" s="11"/>
      <c r="C978" s="24"/>
      <c r="D978" s="31" t="str">
        <f aca="false">IF(C978="","",IF(LEN(UPPER(SUBSTITUTE(SUBSTITUTE(SUBSTITUTE(SUBSTITUTE(TRIM(C978),".",""),"/",""),"-","")," ","")))&lt;14,RIGHT(REPT("0",14)&amp;UPPER(SUBSTITUTE(SUBSTITUTE(SUBSTITUTE(SUBSTITUTE(TRIM(C978),".",""),"/",""),"-","")," ","")),14),UPPER(SUBSTITUTE(SUBSTITUTE(SUBSTITUTE(SUBSTITUTE(TRIM(C978),".",""),"/",""),"-","")," ",""))))</f>
        <v/>
      </c>
      <c r="E978" s="25" t="str">
        <f aca="false">IF(D978="","",IFERROR(INDEX(Empresas!$C:$C,MATCH(D978,Empresas!$B:$B,0)),"cadastre o CNPJ em Empresas"))</f>
        <v/>
      </c>
      <c r="F978" s="23"/>
      <c r="G978" s="35"/>
      <c r="H978" s="24"/>
      <c r="I978" s="11"/>
      <c r="J978" s="27" t="str">
        <f aca="false">IF(A978="","",YEAR(A978))</f>
        <v/>
      </c>
      <c r="K978" s="24"/>
      <c r="L978" s="11"/>
    </row>
    <row r="979" customFormat="false" ht="15" hidden="false" customHeight="false" outlineLevel="0" collapsed="false">
      <c r="A979" s="22"/>
      <c r="B979" s="11"/>
      <c r="C979" s="24"/>
      <c r="D979" s="31" t="str">
        <f aca="false">IF(C979="","",IF(LEN(UPPER(SUBSTITUTE(SUBSTITUTE(SUBSTITUTE(SUBSTITUTE(TRIM(C979),".",""),"/",""),"-","")," ","")))&lt;14,RIGHT(REPT("0",14)&amp;UPPER(SUBSTITUTE(SUBSTITUTE(SUBSTITUTE(SUBSTITUTE(TRIM(C979),".",""),"/",""),"-","")," ","")),14),UPPER(SUBSTITUTE(SUBSTITUTE(SUBSTITUTE(SUBSTITUTE(TRIM(C979),".",""),"/",""),"-","")," ",""))))</f>
        <v/>
      </c>
      <c r="E979" s="25" t="str">
        <f aca="false">IF(D979="","",IFERROR(INDEX(Empresas!$C:$C,MATCH(D979,Empresas!$B:$B,0)),"cadastre o CNPJ em Empresas"))</f>
        <v/>
      </c>
      <c r="F979" s="23"/>
      <c r="G979" s="35"/>
      <c r="H979" s="24"/>
      <c r="I979" s="11"/>
      <c r="J979" s="27" t="str">
        <f aca="false">IF(A979="","",YEAR(A979))</f>
        <v/>
      </c>
      <c r="K979" s="24"/>
      <c r="L979" s="11"/>
    </row>
    <row r="980" customFormat="false" ht="15" hidden="false" customHeight="false" outlineLevel="0" collapsed="false">
      <c r="A980" s="22"/>
      <c r="B980" s="11"/>
      <c r="C980" s="24"/>
      <c r="D980" s="31" t="str">
        <f aca="false">IF(C980="","",IF(LEN(UPPER(SUBSTITUTE(SUBSTITUTE(SUBSTITUTE(SUBSTITUTE(TRIM(C980),".",""),"/",""),"-","")," ","")))&lt;14,RIGHT(REPT("0",14)&amp;UPPER(SUBSTITUTE(SUBSTITUTE(SUBSTITUTE(SUBSTITUTE(TRIM(C980),".",""),"/",""),"-","")," ","")),14),UPPER(SUBSTITUTE(SUBSTITUTE(SUBSTITUTE(SUBSTITUTE(TRIM(C980),".",""),"/",""),"-","")," ",""))))</f>
        <v/>
      </c>
      <c r="E980" s="25" t="str">
        <f aca="false">IF(D980="","",IFERROR(INDEX(Empresas!$C:$C,MATCH(D980,Empresas!$B:$B,0)),"cadastre o CNPJ em Empresas"))</f>
        <v/>
      </c>
      <c r="F980" s="23"/>
      <c r="G980" s="35"/>
      <c r="H980" s="24"/>
      <c r="I980" s="11"/>
      <c r="J980" s="27" t="str">
        <f aca="false">IF(A980="","",YEAR(A980))</f>
        <v/>
      </c>
      <c r="K980" s="24"/>
      <c r="L980" s="11"/>
    </row>
    <row r="981" customFormat="false" ht="15" hidden="false" customHeight="false" outlineLevel="0" collapsed="false">
      <c r="A981" s="22"/>
      <c r="B981" s="11"/>
      <c r="C981" s="24"/>
      <c r="D981" s="31" t="str">
        <f aca="false">IF(C981="","",IF(LEN(UPPER(SUBSTITUTE(SUBSTITUTE(SUBSTITUTE(SUBSTITUTE(TRIM(C981),".",""),"/",""),"-","")," ","")))&lt;14,RIGHT(REPT("0",14)&amp;UPPER(SUBSTITUTE(SUBSTITUTE(SUBSTITUTE(SUBSTITUTE(TRIM(C981),".",""),"/",""),"-","")," ","")),14),UPPER(SUBSTITUTE(SUBSTITUTE(SUBSTITUTE(SUBSTITUTE(TRIM(C981),".",""),"/",""),"-","")," ",""))))</f>
        <v/>
      </c>
      <c r="E981" s="25" t="str">
        <f aca="false">IF(D981="","",IFERROR(INDEX(Empresas!$C:$C,MATCH(D981,Empresas!$B:$B,0)),"cadastre o CNPJ em Empresas"))</f>
        <v/>
      </c>
      <c r="F981" s="23"/>
      <c r="G981" s="35"/>
      <c r="H981" s="24"/>
      <c r="I981" s="11"/>
      <c r="J981" s="27" t="str">
        <f aca="false">IF(A981="","",YEAR(A981))</f>
        <v/>
      </c>
      <c r="K981" s="24"/>
      <c r="L981" s="11"/>
    </row>
    <row r="982" customFormat="false" ht="15" hidden="false" customHeight="false" outlineLevel="0" collapsed="false">
      <c r="A982" s="22"/>
      <c r="B982" s="11"/>
      <c r="C982" s="24"/>
      <c r="D982" s="31" t="str">
        <f aca="false">IF(C982="","",IF(LEN(UPPER(SUBSTITUTE(SUBSTITUTE(SUBSTITUTE(SUBSTITUTE(TRIM(C982),".",""),"/",""),"-","")," ","")))&lt;14,RIGHT(REPT("0",14)&amp;UPPER(SUBSTITUTE(SUBSTITUTE(SUBSTITUTE(SUBSTITUTE(TRIM(C982),".",""),"/",""),"-","")," ","")),14),UPPER(SUBSTITUTE(SUBSTITUTE(SUBSTITUTE(SUBSTITUTE(TRIM(C982),".",""),"/",""),"-","")," ",""))))</f>
        <v/>
      </c>
      <c r="E982" s="25" t="str">
        <f aca="false">IF(D982="","",IFERROR(INDEX(Empresas!$C:$C,MATCH(D982,Empresas!$B:$B,0)),"cadastre o CNPJ em Empresas"))</f>
        <v/>
      </c>
      <c r="F982" s="23"/>
      <c r="G982" s="35"/>
      <c r="H982" s="24"/>
      <c r="I982" s="11"/>
      <c r="J982" s="27" t="str">
        <f aca="false">IF(A982="","",YEAR(A982))</f>
        <v/>
      </c>
      <c r="K982" s="24"/>
      <c r="L982" s="11"/>
    </row>
    <row r="983" customFormat="false" ht="15" hidden="false" customHeight="false" outlineLevel="0" collapsed="false">
      <c r="A983" s="22"/>
      <c r="B983" s="11"/>
      <c r="C983" s="24"/>
      <c r="D983" s="31" t="str">
        <f aca="false">IF(C983="","",IF(LEN(UPPER(SUBSTITUTE(SUBSTITUTE(SUBSTITUTE(SUBSTITUTE(TRIM(C983),".",""),"/",""),"-","")," ","")))&lt;14,RIGHT(REPT("0",14)&amp;UPPER(SUBSTITUTE(SUBSTITUTE(SUBSTITUTE(SUBSTITUTE(TRIM(C983),".",""),"/",""),"-","")," ","")),14),UPPER(SUBSTITUTE(SUBSTITUTE(SUBSTITUTE(SUBSTITUTE(TRIM(C983),".",""),"/",""),"-","")," ",""))))</f>
        <v/>
      </c>
      <c r="E983" s="25" t="str">
        <f aca="false">IF(D983="","",IFERROR(INDEX(Empresas!$C:$C,MATCH(D983,Empresas!$B:$B,0)),"cadastre o CNPJ em Empresas"))</f>
        <v/>
      </c>
      <c r="F983" s="23"/>
      <c r="G983" s="35"/>
      <c r="H983" s="24"/>
      <c r="I983" s="11"/>
      <c r="J983" s="27" t="str">
        <f aca="false">IF(A983="","",YEAR(A983))</f>
        <v/>
      </c>
      <c r="K983" s="24"/>
      <c r="L983" s="11"/>
    </row>
    <row r="984" customFormat="false" ht="15" hidden="false" customHeight="false" outlineLevel="0" collapsed="false">
      <c r="A984" s="22"/>
      <c r="B984" s="11"/>
      <c r="C984" s="24"/>
      <c r="D984" s="31" t="str">
        <f aca="false">IF(C984="","",IF(LEN(UPPER(SUBSTITUTE(SUBSTITUTE(SUBSTITUTE(SUBSTITUTE(TRIM(C984),".",""),"/",""),"-","")," ","")))&lt;14,RIGHT(REPT("0",14)&amp;UPPER(SUBSTITUTE(SUBSTITUTE(SUBSTITUTE(SUBSTITUTE(TRIM(C984),".",""),"/",""),"-","")," ","")),14),UPPER(SUBSTITUTE(SUBSTITUTE(SUBSTITUTE(SUBSTITUTE(TRIM(C984),".",""),"/",""),"-","")," ",""))))</f>
        <v/>
      </c>
      <c r="E984" s="25" t="str">
        <f aca="false">IF(D984="","",IFERROR(INDEX(Empresas!$C:$C,MATCH(D984,Empresas!$B:$B,0)),"cadastre o CNPJ em Empresas"))</f>
        <v/>
      </c>
      <c r="F984" s="23"/>
      <c r="G984" s="35"/>
      <c r="H984" s="24"/>
      <c r="I984" s="11"/>
      <c r="J984" s="27" t="str">
        <f aca="false">IF(A984="","",YEAR(A984))</f>
        <v/>
      </c>
      <c r="K984" s="24"/>
      <c r="L984" s="11"/>
    </row>
    <row r="985" customFormat="false" ht="15" hidden="false" customHeight="false" outlineLevel="0" collapsed="false">
      <c r="A985" s="22"/>
      <c r="B985" s="11"/>
      <c r="C985" s="24"/>
      <c r="D985" s="31" t="str">
        <f aca="false">IF(C985="","",IF(LEN(UPPER(SUBSTITUTE(SUBSTITUTE(SUBSTITUTE(SUBSTITUTE(TRIM(C985),".",""),"/",""),"-","")," ","")))&lt;14,RIGHT(REPT("0",14)&amp;UPPER(SUBSTITUTE(SUBSTITUTE(SUBSTITUTE(SUBSTITUTE(TRIM(C985),".",""),"/",""),"-","")," ","")),14),UPPER(SUBSTITUTE(SUBSTITUTE(SUBSTITUTE(SUBSTITUTE(TRIM(C985),".",""),"/",""),"-","")," ",""))))</f>
        <v/>
      </c>
      <c r="E985" s="25" t="str">
        <f aca="false">IF(D985="","",IFERROR(INDEX(Empresas!$C:$C,MATCH(D985,Empresas!$B:$B,0)),"cadastre o CNPJ em Empresas"))</f>
        <v/>
      </c>
      <c r="F985" s="23"/>
      <c r="G985" s="35"/>
      <c r="H985" s="24"/>
      <c r="I985" s="11"/>
      <c r="J985" s="27" t="str">
        <f aca="false">IF(A985="","",YEAR(A985))</f>
        <v/>
      </c>
      <c r="K985" s="24"/>
      <c r="L985" s="11"/>
    </row>
    <row r="986" customFormat="false" ht="15" hidden="false" customHeight="false" outlineLevel="0" collapsed="false">
      <c r="A986" s="22"/>
      <c r="B986" s="11"/>
      <c r="C986" s="24"/>
      <c r="D986" s="31" t="str">
        <f aca="false">IF(C986="","",IF(LEN(UPPER(SUBSTITUTE(SUBSTITUTE(SUBSTITUTE(SUBSTITUTE(TRIM(C986),".",""),"/",""),"-","")," ","")))&lt;14,RIGHT(REPT("0",14)&amp;UPPER(SUBSTITUTE(SUBSTITUTE(SUBSTITUTE(SUBSTITUTE(TRIM(C986),".",""),"/",""),"-","")," ","")),14),UPPER(SUBSTITUTE(SUBSTITUTE(SUBSTITUTE(SUBSTITUTE(TRIM(C986),".",""),"/",""),"-","")," ",""))))</f>
        <v/>
      </c>
      <c r="E986" s="25" t="str">
        <f aca="false">IF(D986="","",IFERROR(INDEX(Empresas!$C:$C,MATCH(D986,Empresas!$B:$B,0)),"cadastre o CNPJ em Empresas"))</f>
        <v/>
      </c>
      <c r="F986" s="23"/>
      <c r="G986" s="35"/>
      <c r="H986" s="24"/>
      <c r="I986" s="11"/>
      <c r="J986" s="27" t="str">
        <f aca="false">IF(A986="","",YEAR(A986))</f>
        <v/>
      </c>
      <c r="K986" s="24"/>
      <c r="L986" s="11"/>
    </row>
    <row r="987" customFormat="false" ht="15" hidden="false" customHeight="false" outlineLevel="0" collapsed="false">
      <c r="A987" s="22"/>
      <c r="B987" s="11"/>
      <c r="C987" s="24"/>
      <c r="D987" s="31" t="str">
        <f aca="false">IF(C987="","",IF(LEN(UPPER(SUBSTITUTE(SUBSTITUTE(SUBSTITUTE(SUBSTITUTE(TRIM(C987),".",""),"/",""),"-","")," ","")))&lt;14,RIGHT(REPT("0",14)&amp;UPPER(SUBSTITUTE(SUBSTITUTE(SUBSTITUTE(SUBSTITUTE(TRIM(C987),".",""),"/",""),"-","")," ","")),14),UPPER(SUBSTITUTE(SUBSTITUTE(SUBSTITUTE(SUBSTITUTE(TRIM(C987),".",""),"/",""),"-","")," ",""))))</f>
        <v/>
      </c>
      <c r="E987" s="25" t="str">
        <f aca="false">IF(D987="","",IFERROR(INDEX(Empresas!$C:$C,MATCH(D987,Empresas!$B:$B,0)),"cadastre o CNPJ em Empresas"))</f>
        <v/>
      </c>
      <c r="F987" s="23"/>
      <c r="G987" s="35"/>
      <c r="H987" s="24"/>
      <c r="I987" s="11"/>
      <c r="J987" s="27" t="str">
        <f aca="false">IF(A987="","",YEAR(A987))</f>
        <v/>
      </c>
      <c r="K987" s="24"/>
      <c r="L987" s="11"/>
    </row>
    <row r="988" customFormat="false" ht="15" hidden="false" customHeight="false" outlineLevel="0" collapsed="false">
      <c r="A988" s="22"/>
      <c r="B988" s="11"/>
      <c r="C988" s="24"/>
      <c r="D988" s="31" t="str">
        <f aca="false">IF(C988="","",IF(LEN(UPPER(SUBSTITUTE(SUBSTITUTE(SUBSTITUTE(SUBSTITUTE(TRIM(C988),".",""),"/",""),"-","")," ","")))&lt;14,RIGHT(REPT("0",14)&amp;UPPER(SUBSTITUTE(SUBSTITUTE(SUBSTITUTE(SUBSTITUTE(TRIM(C988),".",""),"/",""),"-","")," ","")),14),UPPER(SUBSTITUTE(SUBSTITUTE(SUBSTITUTE(SUBSTITUTE(TRIM(C988),".",""),"/",""),"-","")," ",""))))</f>
        <v/>
      </c>
      <c r="E988" s="25" t="str">
        <f aca="false">IF(D988="","",IFERROR(INDEX(Empresas!$C:$C,MATCH(D988,Empresas!$B:$B,0)),"cadastre o CNPJ em Empresas"))</f>
        <v/>
      </c>
      <c r="F988" s="23"/>
      <c r="G988" s="35"/>
      <c r="H988" s="24"/>
      <c r="I988" s="11"/>
      <c r="J988" s="27" t="str">
        <f aca="false">IF(A988="","",YEAR(A988))</f>
        <v/>
      </c>
      <c r="K988" s="24"/>
      <c r="L988" s="11"/>
    </row>
    <row r="989" customFormat="false" ht="15" hidden="false" customHeight="false" outlineLevel="0" collapsed="false">
      <c r="A989" s="22"/>
      <c r="B989" s="11"/>
      <c r="C989" s="24"/>
      <c r="D989" s="31" t="str">
        <f aca="false">IF(C989="","",IF(LEN(UPPER(SUBSTITUTE(SUBSTITUTE(SUBSTITUTE(SUBSTITUTE(TRIM(C989),".",""),"/",""),"-","")," ","")))&lt;14,RIGHT(REPT("0",14)&amp;UPPER(SUBSTITUTE(SUBSTITUTE(SUBSTITUTE(SUBSTITUTE(TRIM(C989),".",""),"/",""),"-","")," ","")),14),UPPER(SUBSTITUTE(SUBSTITUTE(SUBSTITUTE(SUBSTITUTE(TRIM(C989),".",""),"/",""),"-","")," ",""))))</f>
        <v/>
      </c>
      <c r="E989" s="25" t="str">
        <f aca="false">IF(D989="","",IFERROR(INDEX(Empresas!$C:$C,MATCH(D989,Empresas!$B:$B,0)),"cadastre o CNPJ em Empresas"))</f>
        <v/>
      </c>
      <c r="F989" s="23"/>
      <c r="G989" s="35"/>
      <c r="H989" s="24"/>
      <c r="I989" s="11"/>
      <c r="J989" s="27" t="str">
        <f aca="false">IF(A989="","",YEAR(A989))</f>
        <v/>
      </c>
      <c r="K989" s="24"/>
      <c r="L989" s="11"/>
    </row>
    <row r="990" customFormat="false" ht="15" hidden="false" customHeight="false" outlineLevel="0" collapsed="false">
      <c r="A990" s="22"/>
      <c r="B990" s="11"/>
      <c r="C990" s="24"/>
      <c r="D990" s="31" t="str">
        <f aca="false">IF(C990="","",IF(LEN(UPPER(SUBSTITUTE(SUBSTITUTE(SUBSTITUTE(SUBSTITUTE(TRIM(C990),".",""),"/",""),"-","")," ","")))&lt;14,RIGHT(REPT("0",14)&amp;UPPER(SUBSTITUTE(SUBSTITUTE(SUBSTITUTE(SUBSTITUTE(TRIM(C990),".",""),"/",""),"-","")," ","")),14),UPPER(SUBSTITUTE(SUBSTITUTE(SUBSTITUTE(SUBSTITUTE(TRIM(C990),".",""),"/",""),"-","")," ",""))))</f>
        <v/>
      </c>
      <c r="E990" s="25" t="str">
        <f aca="false">IF(D990="","",IFERROR(INDEX(Empresas!$C:$C,MATCH(D990,Empresas!$B:$B,0)),"cadastre o CNPJ em Empresas"))</f>
        <v/>
      </c>
      <c r="F990" s="23"/>
      <c r="G990" s="35"/>
      <c r="H990" s="24"/>
      <c r="I990" s="11"/>
      <c r="J990" s="27" t="str">
        <f aca="false">IF(A990="","",YEAR(A990))</f>
        <v/>
      </c>
      <c r="K990" s="24"/>
      <c r="L990" s="11"/>
    </row>
    <row r="991" customFormat="false" ht="15" hidden="false" customHeight="false" outlineLevel="0" collapsed="false">
      <c r="A991" s="22"/>
      <c r="B991" s="11"/>
      <c r="C991" s="24"/>
      <c r="D991" s="31" t="str">
        <f aca="false">IF(C991="","",IF(LEN(UPPER(SUBSTITUTE(SUBSTITUTE(SUBSTITUTE(SUBSTITUTE(TRIM(C991),".",""),"/",""),"-","")," ","")))&lt;14,RIGHT(REPT("0",14)&amp;UPPER(SUBSTITUTE(SUBSTITUTE(SUBSTITUTE(SUBSTITUTE(TRIM(C991),".",""),"/",""),"-","")," ","")),14),UPPER(SUBSTITUTE(SUBSTITUTE(SUBSTITUTE(SUBSTITUTE(TRIM(C991),".",""),"/",""),"-","")," ",""))))</f>
        <v/>
      </c>
      <c r="E991" s="25" t="str">
        <f aca="false">IF(D991="","",IFERROR(INDEX(Empresas!$C:$C,MATCH(D991,Empresas!$B:$B,0)),"cadastre o CNPJ em Empresas"))</f>
        <v/>
      </c>
      <c r="F991" s="23"/>
      <c r="G991" s="35"/>
      <c r="H991" s="24"/>
      <c r="I991" s="11"/>
      <c r="J991" s="27" t="str">
        <f aca="false">IF(A991="","",YEAR(A991))</f>
        <v/>
      </c>
      <c r="K991" s="24"/>
      <c r="L991" s="11"/>
    </row>
    <row r="992" customFormat="false" ht="15" hidden="false" customHeight="false" outlineLevel="0" collapsed="false">
      <c r="A992" s="22"/>
      <c r="B992" s="11"/>
      <c r="C992" s="24"/>
      <c r="D992" s="31" t="str">
        <f aca="false">IF(C992="","",IF(LEN(UPPER(SUBSTITUTE(SUBSTITUTE(SUBSTITUTE(SUBSTITUTE(TRIM(C992),".",""),"/",""),"-","")," ","")))&lt;14,RIGHT(REPT("0",14)&amp;UPPER(SUBSTITUTE(SUBSTITUTE(SUBSTITUTE(SUBSTITUTE(TRIM(C992),".",""),"/",""),"-","")," ","")),14),UPPER(SUBSTITUTE(SUBSTITUTE(SUBSTITUTE(SUBSTITUTE(TRIM(C992),".",""),"/",""),"-","")," ",""))))</f>
        <v/>
      </c>
      <c r="E992" s="25" t="str">
        <f aca="false">IF(D992="","",IFERROR(INDEX(Empresas!$C:$C,MATCH(D992,Empresas!$B:$B,0)),"cadastre o CNPJ em Empresas"))</f>
        <v/>
      </c>
      <c r="F992" s="23"/>
      <c r="G992" s="35"/>
      <c r="H992" s="24"/>
      <c r="I992" s="11"/>
      <c r="J992" s="27" t="str">
        <f aca="false">IF(A992="","",YEAR(A992))</f>
        <v/>
      </c>
      <c r="K992" s="24"/>
      <c r="L992" s="11"/>
    </row>
    <row r="993" customFormat="false" ht="15" hidden="false" customHeight="false" outlineLevel="0" collapsed="false">
      <c r="A993" s="22"/>
      <c r="B993" s="11"/>
      <c r="C993" s="24"/>
      <c r="D993" s="31" t="str">
        <f aca="false">IF(C993="","",IF(LEN(UPPER(SUBSTITUTE(SUBSTITUTE(SUBSTITUTE(SUBSTITUTE(TRIM(C993),".",""),"/",""),"-","")," ","")))&lt;14,RIGHT(REPT("0",14)&amp;UPPER(SUBSTITUTE(SUBSTITUTE(SUBSTITUTE(SUBSTITUTE(TRIM(C993),".",""),"/",""),"-","")," ","")),14),UPPER(SUBSTITUTE(SUBSTITUTE(SUBSTITUTE(SUBSTITUTE(TRIM(C993),".",""),"/",""),"-","")," ",""))))</f>
        <v/>
      </c>
      <c r="E993" s="25" t="str">
        <f aca="false">IF(D993="","",IFERROR(INDEX(Empresas!$C:$C,MATCH(D993,Empresas!$B:$B,0)),"cadastre o CNPJ em Empresas"))</f>
        <v/>
      </c>
      <c r="F993" s="23"/>
      <c r="G993" s="35"/>
      <c r="H993" s="24"/>
      <c r="I993" s="11"/>
      <c r="J993" s="27" t="str">
        <f aca="false">IF(A993="","",YEAR(A993))</f>
        <v/>
      </c>
      <c r="K993" s="24"/>
      <c r="L993" s="11"/>
    </row>
    <row r="994" customFormat="false" ht="15" hidden="false" customHeight="false" outlineLevel="0" collapsed="false">
      <c r="A994" s="22"/>
      <c r="B994" s="11"/>
      <c r="C994" s="24"/>
      <c r="D994" s="31" t="str">
        <f aca="false">IF(C994="","",IF(LEN(UPPER(SUBSTITUTE(SUBSTITUTE(SUBSTITUTE(SUBSTITUTE(TRIM(C994),".",""),"/",""),"-","")," ","")))&lt;14,RIGHT(REPT("0",14)&amp;UPPER(SUBSTITUTE(SUBSTITUTE(SUBSTITUTE(SUBSTITUTE(TRIM(C994),".",""),"/",""),"-","")," ","")),14),UPPER(SUBSTITUTE(SUBSTITUTE(SUBSTITUTE(SUBSTITUTE(TRIM(C994),".",""),"/",""),"-","")," ",""))))</f>
        <v/>
      </c>
      <c r="E994" s="25" t="str">
        <f aca="false">IF(D994="","",IFERROR(INDEX(Empresas!$C:$C,MATCH(D994,Empresas!$B:$B,0)),"cadastre o CNPJ em Empresas"))</f>
        <v/>
      </c>
      <c r="F994" s="23"/>
      <c r="G994" s="35"/>
      <c r="H994" s="24"/>
      <c r="I994" s="11"/>
      <c r="J994" s="27" t="str">
        <f aca="false">IF(A994="","",YEAR(A994))</f>
        <v/>
      </c>
      <c r="K994" s="24"/>
      <c r="L994" s="11"/>
    </row>
    <row r="995" customFormat="false" ht="15" hidden="false" customHeight="false" outlineLevel="0" collapsed="false">
      <c r="A995" s="22"/>
      <c r="B995" s="11"/>
      <c r="C995" s="24"/>
      <c r="D995" s="31" t="str">
        <f aca="false">IF(C995="","",IF(LEN(UPPER(SUBSTITUTE(SUBSTITUTE(SUBSTITUTE(SUBSTITUTE(TRIM(C995),".",""),"/",""),"-","")," ","")))&lt;14,RIGHT(REPT("0",14)&amp;UPPER(SUBSTITUTE(SUBSTITUTE(SUBSTITUTE(SUBSTITUTE(TRIM(C995),".",""),"/",""),"-","")," ","")),14),UPPER(SUBSTITUTE(SUBSTITUTE(SUBSTITUTE(SUBSTITUTE(TRIM(C995),".",""),"/",""),"-","")," ",""))))</f>
        <v/>
      </c>
      <c r="E995" s="25" t="str">
        <f aca="false">IF(D995="","",IFERROR(INDEX(Empresas!$C:$C,MATCH(D995,Empresas!$B:$B,0)),"cadastre o CNPJ em Empresas"))</f>
        <v/>
      </c>
      <c r="F995" s="23"/>
      <c r="G995" s="35"/>
      <c r="H995" s="24"/>
      <c r="I995" s="11"/>
      <c r="J995" s="27" t="str">
        <f aca="false">IF(A995="","",YEAR(A995))</f>
        <v/>
      </c>
      <c r="K995" s="24"/>
      <c r="L995" s="11"/>
    </row>
    <row r="996" customFormat="false" ht="15" hidden="false" customHeight="false" outlineLevel="0" collapsed="false">
      <c r="A996" s="22"/>
      <c r="B996" s="11"/>
      <c r="C996" s="24"/>
      <c r="D996" s="31" t="str">
        <f aca="false">IF(C996="","",IF(LEN(UPPER(SUBSTITUTE(SUBSTITUTE(SUBSTITUTE(SUBSTITUTE(TRIM(C996),".",""),"/",""),"-","")," ","")))&lt;14,RIGHT(REPT("0",14)&amp;UPPER(SUBSTITUTE(SUBSTITUTE(SUBSTITUTE(SUBSTITUTE(TRIM(C996),".",""),"/",""),"-","")," ","")),14),UPPER(SUBSTITUTE(SUBSTITUTE(SUBSTITUTE(SUBSTITUTE(TRIM(C996),".",""),"/",""),"-","")," ",""))))</f>
        <v/>
      </c>
      <c r="E996" s="25" t="str">
        <f aca="false">IF(D996="","",IFERROR(INDEX(Empresas!$C:$C,MATCH(D996,Empresas!$B:$B,0)),"cadastre o CNPJ em Empresas"))</f>
        <v/>
      </c>
      <c r="F996" s="23"/>
      <c r="G996" s="35"/>
      <c r="H996" s="24"/>
      <c r="I996" s="11"/>
      <c r="J996" s="27" t="str">
        <f aca="false">IF(A996="","",YEAR(A996))</f>
        <v/>
      </c>
      <c r="K996" s="24"/>
      <c r="L996" s="11"/>
    </row>
    <row r="997" customFormat="false" ht="15" hidden="false" customHeight="false" outlineLevel="0" collapsed="false">
      <c r="A997" s="22"/>
      <c r="B997" s="11"/>
      <c r="C997" s="24"/>
      <c r="D997" s="31" t="str">
        <f aca="false">IF(C997="","",IF(LEN(UPPER(SUBSTITUTE(SUBSTITUTE(SUBSTITUTE(SUBSTITUTE(TRIM(C997),".",""),"/",""),"-","")," ","")))&lt;14,RIGHT(REPT("0",14)&amp;UPPER(SUBSTITUTE(SUBSTITUTE(SUBSTITUTE(SUBSTITUTE(TRIM(C997),".",""),"/",""),"-","")," ","")),14),UPPER(SUBSTITUTE(SUBSTITUTE(SUBSTITUTE(SUBSTITUTE(TRIM(C997),".",""),"/",""),"-","")," ",""))))</f>
        <v/>
      </c>
      <c r="E997" s="25" t="str">
        <f aca="false">IF(D997="","",IFERROR(INDEX(Empresas!$C:$C,MATCH(D997,Empresas!$B:$B,0)),"cadastre o CNPJ em Empresas"))</f>
        <v/>
      </c>
      <c r="F997" s="23"/>
      <c r="G997" s="35"/>
      <c r="H997" s="24"/>
      <c r="I997" s="11"/>
      <c r="J997" s="27" t="str">
        <f aca="false">IF(A997="","",YEAR(A997))</f>
        <v/>
      </c>
      <c r="K997" s="24"/>
      <c r="L997" s="11"/>
    </row>
    <row r="998" customFormat="false" ht="15" hidden="false" customHeight="false" outlineLevel="0" collapsed="false">
      <c r="A998" s="22"/>
      <c r="B998" s="11"/>
      <c r="C998" s="24"/>
      <c r="D998" s="31" t="str">
        <f aca="false">IF(C998="","",IF(LEN(UPPER(SUBSTITUTE(SUBSTITUTE(SUBSTITUTE(SUBSTITUTE(TRIM(C998),".",""),"/",""),"-","")," ","")))&lt;14,RIGHT(REPT("0",14)&amp;UPPER(SUBSTITUTE(SUBSTITUTE(SUBSTITUTE(SUBSTITUTE(TRIM(C998),".",""),"/",""),"-","")," ","")),14),UPPER(SUBSTITUTE(SUBSTITUTE(SUBSTITUTE(SUBSTITUTE(TRIM(C998),".",""),"/",""),"-","")," ",""))))</f>
        <v/>
      </c>
      <c r="E998" s="25" t="str">
        <f aca="false">IF(D998="","",IFERROR(INDEX(Empresas!$C:$C,MATCH(D998,Empresas!$B:$B,0)),"cadastre o CNPJ em Empresas"))</f>
        <v/>
      </c>
      <c r="F998" s="23"/>
      <c r="G998" s="35"/>
      <c r="H998" s="24"/>
      <c r="I998" s="11"/>
      <c r="J998" s="27" t="str">
        <f aca="false">IF(A998="","",YEAR(A998))</f>
        <v/>
      </c>
      <c r="K998" s="24"/>
      <c r="L998" s="11"/>
    </row>
    <row r="999" customFormat="false" ht="15" hidden="false" customHeight="false" outlineLevel="0" collapsed="false">
      <c r="A999" s="22"/>
      <c r="B999" s="11"/>
      <c r="C999" s="24"/>
      <c r="D999" s="31" t="str">
        <f aca="false">IF(C999="","",IF(LEN(UPPER(SUBSTITUTE(SUBSTITUTE(SUBSTITUTE(SUBSTITUTE(TRIM(C999),".",""),"/",""),"-","")," ","")))&lt;14,RIGHT(REPT("0",14)&amp;UPPER(SUBSTITUTE(SUBSTITUTE(SUBSTITUTE(SUBSTITUTE(TRIM(C999),".",""),"/",""),"-","")," ","")),14),UPPER(SUBSTITUTE(SUBSTITUTE(SUBSTITUTE(SUBSTITUTE(TRIM(C999),".",""),"/",""),"-","")," ",""))))</f>
        <v/>
      </c>
      <c r="E999" s="25" t="str">
        <f aca="false">IF(D999="","",IFERROR(INDEX(Empresas!$C:$C,MATCH(D999,Empresas!$B:$B,0)),"cadastre o CNPJ em Empresas"))</f>
        <v/>
      </c>
      <c r="F999" s="23"/>
      <c r="G999" s="35"/>
      <c r="H999" s="24"/>
      <c r="I999" s="11"/>
      <c r="J999" s="27" t="str">
        <f aca="false">IF(A999="","",YEAR(A999))</f>
        <v/>
      </c>
      <c r="K999" s="24"/>
      <c r="L999" s="11"/>
    </row>
    <row r="1000" customFormat="false" ht="15" hidden="false" customHeight="false" outlineLevel="0" collapsed="false">
      <c r="A1000" s="22"/>
      <c r="B1000" s="11"/>
      <c r="C1000" s="24"/>
      <c r="D1000" s="31" t="str">
        <f aca="false">IF(C1000="","",IF(LEN(UPPER(SUBSTITUTE(SUBSTITUTE(SUBSTITUTE(SUBSTITUTE(TRIM(C1000),".",""),"/",""),"-","")," ","")))&lt;14,RIGHT(REPT("0",14)&amp;UPPER(SUBSTITUTE(SUBSTITUTE(SUBSTITUTE(SUBSTITUTE(TRIM(C1000),".",""),"/",""),"-","")," ","")),14),UPPER(SUBSTITUTE(SUBSTITUTE(SUBSTITUTE(SUBSTITUTE(TRIM(C1000),".",""),"/",""),"-","")," ",""))))</f>
        <v/>
      </c>
      <c r="E1000" s="25" t="str">
        <f aca="false">IF(D1000="","",IFERROR(INDEX(Empresas!$C:$C,MATCH(D1000,Empresas!$B:$B,0)),"cadastre o CNPJ em Empresas"))</f>
        <v/>
      </c>
      <c r="F1000" s="23"/>
      <c r="G1000" s="35"/>
      <c r="H1000" s="24"/>
      <c r="I1000" s="11"/>
      <c r="J1000" s="27" t="str">
        <f aca="false">IF(A1000="","",YEAR(A1000))</f>
        <v/>
      </c>
      <c r="K1000" s="24"/>
      <c r="L1000" s="11"/>
    </row>
    <row r="1001" customFormat="false" ht="15" hidden="false" customHeight="false" outlineLevel="0" collapsed="false">
      <c r="A1001" s="22"/>
      <c r="B1001" s="11"/>
      <c r="C1001" s="24"/>
      <c r="D1001" s="31" t="str">
        <f aca="false">IF(C1001="","",IF(LEN(UPPER(SUBSTITUTE(SUBSTITUTE(SUBSTITUTE(SUBSTITUTE(TRIM(C1001),".",""),"/",""),"-","")," ","")))&lt;14,RIGHT(REPT("0",14)&amp;UPPER(SUBSTITUTE(SUBSTITUTE(SUBSTITUTE(SUBSTITUTE(TRIM(C1001),".",""),"/",""),"-","")," ","")),14),UPPER(SUBSTITUTE(SUBSTITUTE(SUBSTITUTE(SUBSTITUTE(TRIM(C1001),".",""),"/",""),"-","")," ",""))))</f>
        <v/>
      </c>
      <c r="E1001" s="25" t="str">
        <f aca="false">IF(D1001="","",IFERROR(INDEX(Empresas!$C:$C,MATCH(D1001,Empresas!$B:$B,0)),"cadastre o CNPJ em Empresas"))</f>
        <v/>
      </c>
      <c r="F1001" s="23"/>
      <c r="G1001" s="35"/>
      <c r="H1001" s="24"/>
      <c r="I1001" s="11"/>
      <c r="J1001" s="27" t="str">
        <f aca="false">IF(A1001="","",YEAR(A1001))</f>
        <v/>
      </c>
      <c r="K1001" s="24"/>
      <c r="L1001" s="11"/>
    </row>
    <row r="1002" customFormat="false" ht="15" hidden="false" customHeight="false" outlineLevel="0" collapsed="false">
      <c r="A1002" s="22"/>
      <c r="B1002" s="11"/>
      <c r="C1002" s="24"/>
      <c r="D1002" s="31" t="str">
        <f aca="false">IF(C1002="","",IF(LEN(UPPER(SUBSTITUTE(SUBSTITUTE(SUBSTITUTE(SUBSTITUTE(TRIM(C1002),".",""),"/",""),"-","")," ","")))&lt;14,RIGHT(REPT("0",14)&amp;UPPER(SUBSTITUTE(SUBSTITUTE(SUBSTITUTE(SUBSTITUTE(TRIM(C1002),".",""),"/",""),"-","")," ","")),14),UPPER(SUBSTITUTE(SUBSTITUTE(SUBSTITUTE(SUBSTITUTE(TRIM(C1002),".",""),"/",""),"-","")," ",""))))</f>
        <v/>
      </c>
      <c r="E1002" s="25" t="str">
        <f aca="false">IF(D1002="","",IFERROR(INDEX(Empresas!$C:$C,MATCH(D1002,Empresas!$B:$B,0)),"cadastre o CNPJ em Empresas"))</f>
        <v/>
      </c>
      <c r="F1002" s="23"/>
      <c r="G1002" s="35"/>
      <c r="H1002" s="24"/>
      <c r="I1002" s="11"/>
      <c r="J1002" s="27" t="str">
        <f aca="false">IF(A1002="","",YEAR(A1002))</f>
        <v/>
      </c>
      <c r="K1002" s="24"/>
      <c r="L1002" s="11"/>
    </row>
    <row r="1003" customFormat="false" ht="15" hidden="false" customHeight="false" outlineLevel="0" collapsed="false">
      <c r="A1003" s="22"/>
      <c r="B1003" s="11"/>
      <c r="C1003" s="24"/>
      <c r="D1003" s="31" t="str">
        <f aca="false">IF(C1003="","",IF(LEN(UPPER(SUBSTITUTE(SUBSTITUTE(SUBSTITUTE(SUBSTITUTE(TRIM(C1003),".",""),"/",""),"-","")," ","")))&lt;14,RIGHT(REPT("0",14)&amp;UPPER(SUBSTITUTE(SUBSTITUTE(SUBSTITUTE(SUBSTITUTE(TRIM(C1003),".",""),"/",""),"-","")," ","")),14),UPPER(SUBSTITUTE(SUBSTITUTE(SUBSTITUTE(SUBSTITUTE(TRIM(C1003),".",""),"/",""),"-","")," ",""))))</f>
        <v/>
      </c>
      <c r="E1003" s="25" t="str">
        <f aca="false">IF(D1003="","",IFERROR(INDEX(Empresas!$C:$C,MATCH(D1003,Empresas!$B:$B,0)),"cadastre o CNPJ em Empresas"))</f>
        <v/>
      </c>
      <c r="F1003" s="23"/>
      <c r="G1003" s="35"/>
      <c r="H1003" s="24"/>
      <c r="I1003" s="11"/>
      <c r="J1003" s="27" t="str">
        <f aca="false">IF(A1003="","",YEAR(A1003))</f>
        <v/>
      </c>
      <c r="K1003" s="24"/>
      <c r="L1003" s="11"/>
    </row>
    <row r="1004" customFormat="false" ht="15" hidden="false" customHeight="false" outlineLevel="0" collapsed="false">
      <c r="A1004" s="22"/>
      <c r="B1004" s="11"/>
      <c r="C1004" s="24"/>
      <c r="D1004" s="31" t="str">
        <f aca="false">IF(C1004="","",IF(LEN(UPPER(SUBSTITUTE(SUBSTITUTE(SUBSTITUTE(SUBSTITUTE(TRIM(C1004),".",""),"/",""),"-","")," ","")))&lt;14,RIGHT(REPT("0",14)&amp;UPPER(SUBSTITUTE(SUBSTITUTE(SUBSTITUTE(SUBSTITUTE(TRIM(C1004),".",""),"/",""),"-","")," ","")),14),UPPER(SUBSTITUTE(SUBSTITUTE(SUBSTITUTE(SUBSTITUTE(TRIM(C1004),".",""),"/",""),"-","")," ",""))))</f>
        <v/>
      </c>
      <c r="E1004" s="25" t="str">
        <f aca="false">IF(D1004="","",IFERROR(INDEX(Empresas!$C:$C,MATCH(D1004,Empresas!$B:$B,0)),"cadastre o CNPJ em Empresas"))</f>
        <v/>
      </c>
      <c r="F1004" s="23"/>
      <c r="G1004" s="35"/>
      <c r="H1004" s="24"/>
      <c r="I1004" s="11"/>
      <c r="J1004" s="27" t="str">
        <f aca="false">IF(A1004="","",YEAR(A1004))</f>
        <v/>
      </c>
      <c r="K1004" s="24"/>
      <c r="L1004" s="11"/>
    </row>
    <row r="1005" customFormat="false" ht="15" hidden="false" customHeight="false" outlineLevel="0" collapsed="false">
      <c r="A1005" s="22"/>
      <c r="B1005" s="11"/>
      <c r="C1005" s="24"/>
      <c r="D1005" s="31" t="str">
        <f aca="false">IF(C1005="","",IF(LEN(UPPER(SUBSTITUTE(SUBSTITUTE(SUBSTITUTE(SUBSTITUTE(TRIM(C1005),".",""),"/",""),"-","")," ","")))&lt;14,RIGHT(REPT("0",14)&amp;UPPER(SUBSTITUTE(SUBSTITUTE(SUBSTITUTE(SUBSTITUTE(TRIM(C1005),".",""),"/",""),"-","")," ","")),14),UPPER(SUBSTITUTE(SUBSTITUTE(SUBSTITUTE(SUBSTITUTE(TRIM(C1005),".",""),"/",""),"-","")," ",""))))</f>
        <v/>
      </c>
      <c r="E1005" s="25" t="str">
        <f aca="false">IF(D1005="","",IFERROR(INDEX(Empresas!$C:$C,MATCH(D1005,Empresas!$B:$B,0)),"cadastre o CNPJ em Empresas"))</f>
        <v/>
      </c>
      <c r="F1005" s="23"/>
      <c r="G1005" s="35"/>
      <c r="H1005" s="24"/>
      <c r="I1005" s="11"/>
      <c r="J1005" s="27" t="str">
        <f aca="false">IF(A1005="","",YEAR(A1005))</f>
        <v/>
      </c>
      <c r="K1005" s="24"/>
      <c r="L1005" s="11"/>
    </row>
    <row r="1006" customFormat="false" ht="15" hidden="false" customHeight="false" outlineLevel="0" collapsed="false">
      <c r="A1006" s="22"/>
      <c r="B1006" s="11"/>
      <c r="C1006" s="24"/>
      <c r="D1006" s="31" t="str">
        <f aca="false">IF(C1006="","",IF(LEN(UPPER(SUBSTITUTE(SUBSTITUTE(SUBSTITUTE(SUBSTITUTE(TRIM(C1006),".",""),"/",""),"-","")," ","")))&lt;14,RIGHT(REPT("0",14)&amp;UPPER(SUBSTITUTE(SUBSTITUTE(SUBSTITUTE(SUBSTITUTE(TRIM(C1006),".",""),"/",""),"-","")," ","")),14),UPPER(SUBSTITUTE(SUBSTITUTE(SUBSTITUTE(SUBSTITUTE(TRIM(C1006),".",""),"/",""),"-","")," ",""))))</f>
        <v/>
      </c>
      <c r="E1006" s="25" t="str">
        <f aca="false">IF(D1006="","",IFERROR(INDEX(Empresas!$C:$C,MATCH(D1006,Empresas!$B:$B,0)),"cadastre o CNPJ em Empresas"))</f>
        <v/>
      </c>
      <c r="F1006" s="23"/>
      <c r="G1006" s="35"/>
      <c r="H1006" s="24"/>
      <c r="I1006" s="11"/>
      <c r="J1006" s="27" t="str">
        <f aca="false">IF(A1006="","",YEAR(A1006))</f>
        <v/>
      </c>
      <c r="K1006" s="24"/>
      <c r="L1006" s="11"/>
    </row>
    <row r="1007" customFormat="false" ht="15" hidden="false" customHeight="false" outlineLevel="0" collapsed="false">
      <c r="A1007" s="22"/>
      <c r="B1007" s="11"/>
      <c r="C1007" s="24"/>
      <c r="D1007" s="31" t="str">
        <f aca="false">IF(C1007="","",IF(LEN(UPPER(SUBSTITUTE(SUBSTITUTE(SUBSTITUTE(SUBSTITUTE(TRIM(C1007),".",""),"/",""),"-","")," ","")))&lt;14,RIGHT(REPT("0",14)&amp;UPPER(SUBSTITUTE(SUBSTITUTE(SUBSTITUTE(SUBSTITUTE(TRIM(C1007),".",""),"/",""),"-","")," ","")),14),UPPER(SUBSTITUTE(SUBSTITUTE(SUBSTITUTE(SUBSTITUTE(TRIM(C1007),".",""),"/",""),"-","")," ",""))))</f>
        <v/>
      </c>
      <c r="E1007" s="25" t="str">
        <f aca="false">IF(D1007="","",IFERROR(INDEX(Empresas!$C:$C,MATCH(D1007,Empresas!$B:$B,0)),"cadastre o CNPJ em Empresas"))</f>
        <v/>
      </c>
      <c r="F1007" s="23"/>
      <c r="G1007" s="35"/>
      <c r="H1007" s="24"/>
      <c r="I1007" s="11"/>
      <c r="J1007" s="27" t="str">
        <f aca="false">IF(A1007="","",YEAR(A1007))</f>
        <v/>
      </c>
      <c r="K1007" s="24"/>
      <c r="L1007" s="11"/>
    </row>
    <row r="1008" customFormat="false" ht="15" hidden="false" customHeight="false" outlineLevel="0" collapsed="false">
      <c r="A1008" s="22"/>
      <c r="B1008" s="11"/>
      <c r="C1008" s="24"/>
      <c r="D1008" s="31" t="str">
        <f aca="false">IF(C1008="","",IF(LEN(UPPER(SUBSTITUTE(SUBSTITUTE(SUBSTITUTE(SUBSTITUTE(TRIM(C1008),".",""),"/",""),"-","")," ","")))&lt;14,RIGHT(REPT("0",14)&amp;UPPER(SUBSTITUTE(SUBSTITUTE(SUBSTITUTE(SUBSTITUTE(TRIM(C1008),".",""),"/",""),"-","")," ","")),14),UPPER(SUBSTITUTE(SUBSTITUTE(SUBSTITUTE(SUBSTITUTE(TRIM(C1008),".",""),"/",""),"-","")," ",""))))</f>
        <v/>
      </c>
      <c r="E1008" s="25" t="str">
        <f aca="false">IF(D1008="","",IFERROR(INDEX(Empresas!$C:$C,MATCH(D1008,Empresas!$B:$B,0)),"cadastre o CNPJ em Empresas"))</f>
        <v/>
      </c>
      <c r="F1008" s="23"/>
      <c r="G1008" s="35"/>
      <c r="H1008" s="24"/>
      <c r="I1008" s="11"/>
      <c r="J1008" s="27" t="str">
        <f aca="false">IF(A1008="","",YEAR(A1008))</f>
        <v/>
      </c>
      <c r="K1008" s="24"/>
      <c r="L1008" s="11"/>
    </row>
    <row r="1009" customFormat="false" ht="15" hidden="false" customHeight="false" outlineLevel="0" collapsed="false">
      <c r="A1009" s="22"/>
      <c r="B1009" s="11"/>
      <c r="C1009" s="24"/>
      <c r="D1009" s="31" t="str">
        <f aca="false">IF(C1009="","",IF(LEN(UPPER(SUBSTITUTE(SUBSTITUTE(SUBSTITUTE(SUBSTITUTE(TRIM(C1009),".",""),"/",""),"-","")," ","")))&lt;14,RIGHT(REPT("0",14)&amp;UPPER(SUBSTITUTE(SUBSTITUTE(SUBSTITUTE(SUBSTITUTE(TRIM(C1009),".",""),"/",""),"-","")," ","")),14),UPPER(SUBSTITUTE(SUBSTITUTE(SUBSTITUTE(SUBSTITUTE(TRIM(C1009),".",""),"/",""),"-","")," ",""))))</f>
        <v/>
      </c>
      <c r="E1009" s="25" t="str">
        <f aca="false">IF(D1009="","",IFERROR(INDEX(Empresas!$C:$C,MATCH(D1009,Empresas!$B:$B,0)),"cadastre o CNPJ em Empresas"))</f>
        <v/>
      </c>
      <c r="F1009" s="23"/>
      <c r="G1009" s="35"/>
      <c r="H1009" s="24"/>
      <c r="I1009" s="11"/>
      <c r="J1009" s="27" t="str">
        <f aca="false">IF(A1009="","",YEAR(A1009))</f>
        <v/>
      </c>
      <c r="K1009" s="24"/>
      <c r="L1009" s="11"/>
    </row>
    <row r="1010" customFormat="false" ht="15" hidden="false" customHeight="false" outlineLevel="0" collapsed="false">
      <c r="A1010" s="22"/>
      <c r="B1010" s="11"/>
      <c r="C1010" s="24"/>
      <c r="D1010" s="31" t="str">
        <f aca="false">IF(C1010="","",IF(LEN(UPPER(SUBSTITUTE(SUBSTITUTE(SUBSTITUTE(SUBSTITUTE(TRIM(C1010),".",""),"/",""),"-","")," ","")))&lt;14,RIGHT(REPT("0",14)&amp;UPPER(SUBSTITUTE(SUBSTITUTE(SUBSTITUTE(SUBSTITUTE(TRIM(C1010),".",""),"/",""),"-","")," ","")),14),UPPER(SUBSTITUTE(SUBSTITUTE(SUBSTITUTE(SUBSTITUTE(TRIM(C1010),".",""),"/",""),"-","")," ",""))))</f>
        <v/>
      </c>
      <c r="E1010" s="25" t="str">
        <f aca="false">IF(D1010="","",IFERROR(INDEX(Empresas!$C:$C,MATCH(D1010,Empresas!$B:$B,0)),"cadastre o CNPJ em Empresas"))</f>
        <v/>
      </c>
      <c r="F1010" s="23"/>
      <c r="G1010" s="35"/>
      <c r="H1010" s="24"/>
      <c r="I1010" s="11"/>
      <c r="J1010" s="27" t="str">
        <f aca="false">IF(A1010="","",YEAR(A1010))</f>
        <v/>
      </c>
      <c r="K1010" s="24"/>
      <c r="L1010" s="11"/>
    </row>
    <row r="1011" customFormat="false" ht="15" hidden="false" customHeight="false" outlineLevel="0" collapsed="false">
      <c r="A1011" s="22"/>
      <c r="B1011" s="11"/>
      <c r="C1011" s="24"/>
      <c r="D1011" s="31" t="str">
        <f aca="false">IF(C1011="","",IF(LEN(UPPER(SUBSTITUTE(SUBSTITUTE(SUBSTITUTE(SUBSTITUTE(TRIM(C1011),".",""),"/",""),"-","")," ","")))&lt;14,RIGHT(REPT("0",14)&amp;UPPER(SUBSTITUTE(SUBSTITUTE(SUBSTITUTE(SUBSTITUTE(TRIM(C1011),".",""),"/",""),"-","")," ","")),14),UPPER(SUBSTITUTE(SUBSTITUTE(SUBSTITUTE(SUBSTITUTE(TRIM(C1011),".",""),"/",""),"-","")," ",""))))</f>
        <v/>
      </c>
      <c r="E1011" s="25" t="str">
        <f aca="false">IF(D1011="","",IFERROR(INDEX(Empresas!$C:$C,MATCH(D1011,Empresas!$B:$B,0)),"cadastre o CNPJ em Empresas"))</f>
        <v/>
      </c>
      <c r="F1011" s="23"/>
      <c r="G1011" s="35"/>
      <c r="H1011" s="24"/>
      <c r="I1011" s="11"/>
      <c r="J1011" s="27" t="str">
        <f aca="false">IF(A1011="","",YEAR(A1011))</f>
        <v/>
      </c>
      <c r="K1011" s="24"/>
      <c r="L1011" s="11"/>
    </row>
    <row r="1012" customFormat="false" ht="15" hidden="false" customHeight="false" outlineLevel="0" collapsed="false">
      <c r="A1012" s="22"/>
      <c r="B1012" s="11"/>
      <c r="C1012" s="24"/>
      <c r="D1012" s="31" t="str">
        <f aca="false">IF(C1012="","",IF(LEN(UPPER(SUBSTITUTE(SUBSTITUTE(SUBSTITUTE(SUBSTITUTE(TRIM(C1012),".",""),"/",""),"-","")," ","")))&lt;14,RIGHT(REPT("0",14)&amp;UPPER(SUBSTITUTE(SUBSTITUTE(SUBSTITUTE(SUBSTITUTE(TRIM(C1012),".",""),"/",""),"-","")," ","")),14),UPPER(SUBSTITUTE(SUBSTITUTE(SUBSTITUTE(SUBSTITUTE(TRIM(C1012),".",""),"/",""),"-","")," ",""))))</f>
        <v/>
      </c>
      <c r="E1012" s="25" t="str">
        <f aca="false">IF(D1012="","",IFERROR(INDEX(Empresas!$C:$C,MATCH(D1012,Empresas!$B:$B,0)),"cadastre o CNPJ em Empresas"))</f>
        <v/>
      </c>
      <c r="F1012" s="23"/>
      <c r="G1012" s="35"/>
      <c r="H1012" s="24"/>
      <c r="I1012" s="11"/>
      <c r="J1012" s="27" t="str">
        <f aca="false">IF(A1012="","",YEAR(A1012))</f>
        <v/>
      </c>
      <c r="K1012" s="24"/>
      <c r="L1012" s="11"/>
    </row>
    <row r="1013" customFormat="false" ht="15" hidden="false" customHeight="false" outlineLevel="0" collapsed="false">
      <c r="A1013" s="22"/>
      <c r="B1013" s="11"/>
      <c r="C1013" s="24"/>
      <c r="D1013" s="31" t="str">
        <f aca="false">IF(C1013="","",IF(LEN(UPPER(SUBSTITUTE(SUBSTITUTE(SUBSTITUTE(SUBSTITUTE(TRIM(C1013),".",""),"/",""),"-","")," ","")))&lt;14,RIGHT(REPT("0",14)&amp;UPPER(SUBSTITUTE(SUBSTITUTE(SUBSTITUTE(SUBSTITUTE(TRIM(C1013),".",""),"/",""),"-","")," ","")),14),UPPER(SUBSTITUTE(SUBSTITUTE(SUBSTITUTE(SUBSTITUTE(TRIM(C1013),".",""),"/",""),"-","")," ",""))))</f>
        <v/>
      </c>
      <c r="E1013" s="25" t="str">
        <f aca="false">IF(D1013="","",IFERROR(INDEX(Empresas!$C:$C,MATCH(D1013,Empresas!$B:$B,0)),"cadastre o CNPJ em Empresas"))</f>
        <v/>
      </c>
      <c r="F1013" s="23"/>
      <c r="G1013" s="35"/>
      <c r="H1013" s="24"/>
      <c r="I1013" s="11"/>
      <c r="J1013" s="27" t="str">
        <f aca="false">IF(A1013="","",YEAR(A1013))</f>
        <v/>
      </c>
      <c r="K1013" s="24"/>
      <c r="L1013" s="11"/>
    </row>
    <row r="1014" customFormat="false" ht="15" hidden="false" customHeight="false" outlineLevel="0" collapsed="false">
      <c r="A1014" s="22"/>
      <c r="B1014" s="11"/>
      <c r="C1014" s="24"/>
      <c r="D1014" s="31" t="str">
        <f aca="false">IF(C1014="","",IF(LEN(UPPER(SUBSTITUTE(SUBSTITUTE(SUBSTITUTE(SUBSTITUTE(TRIM(C1014),".",""),"/",""),"-","")," ","")))&lt;14,RIGHT(REPT("0",14)&amp;UPPER(SUBSTITUTE(SUBSTITUTE(SUBSTITUTE(SUBSTITUTE(TRIM(C1014),".",""),"/",""),"-","")," ","")),14),UPPER(SUBSTITUTE(SUBSTITUTE(SUBSTITUTE(SUBSTITUTE(TRIM(C1014),".",""),"/",""),"-","")," ",""))))</f>
        <v/>
      </c>
      <c r="E1014" s="25" t="str">
        <f aca="false">IF(D1014="","",IFERROR(INDEX(Empresas!$C:$C,MATCH(D1014,Empresas!$B:$B,0)),"cadastre o CNPJ em Empresas"))</f>
        <v/>
      </c>
      <c r="F1014" s="23"/>
      <c r="G1014" s="35"/>
      <c r="H1014" s="24"/>
      <c r="I1014" s="11"/>
      <c r="J1014" s="27" t="str">
        <f aca="false">IF(A1014="","",YEAR(A1014))</f>
        <v/>
      </c>
      <c r="K1014" s="24"/>
      <c r="L1014" s="11"/>
    </row>
    <row r="1015" customFormat="false" ht="15" hidden="false" customHeight="false" outlineLevel="0" collapsed="false">
      <c r="A1015" s="22"/>
      <c r="B1015" s="11"/>
      <c r="C1015" s="24"/>
      <c r="D1015" s="31" t="str">
        <f aca="false">IF(C1015="","",IF(LEN(UPPER(SUBSTITUTE(SUBSTITUTE(SUBSTITUTE(SUBSTITUTE(TRIM(C1015),".",""),"/",""),"-","")," ","")))&lt;14,RIGHT(REPT("0",14)&amp;UPPER(SUBSTITUTE(SUBSTITUTE(SUBSTITUTE(SUBSTITUTE(TRIM(C1015),".",""),"/",""),"-","")," ","")),14),UPPER(SUBSTITUTE(SUBSTITUTE(SUBSTITUTE(SUBSTITUTE(TRIM(C1015),".",""),"/",""),"-","")," ",""))))</f>
        <v/>
      </c>
      <c r="E1015" s="25" t="str">
        <f aca="false">IF(D1015="","",IFERROR(INDEX(Empresas!$C:$C,MATCH(D1015,Empresas!$B:$B,0)),"cadastre o CNPJ em Empresas"))</f>
        <v/>
      </c>
      <c r="F1015" s="23"/>
      <c r="G1015" s="35"/>
      <c r="H1015" s="24"/>
      <c r="I1015" s="11"/>
      <c r="J1015" s="27" t="str">
        <f aca="false">IF(A1015="","",YEAR(A1015))</f>
        <v/>
      </c>
      <c r="K1015" s="24"/>
      <c r="L1015" s="11"/>
    </row>
    <row r="1016" customFormat="false" ht="15" hidden="false" customHeight="false" outlineLevel="0" collapsed="false">
      <c r="A1016" s="22"/>
      <c r="B1016" s="11"/>
      <c r="C1016" s="24"/>
      <c r="D1016" s="31" t="str">
        <f aca="false">IF(C1016="","",IF(LEN(UPPER(SUBSTITUTE(SUBSTITUTE(SUBSTITUTE(SUBSTITUTE(TRIM(C1016),".",""),"/",""),"-","")," ","")))&lt;14,RIGHT(REPT("0",14)&amp;UPPER(SUBSTITUTE(SUBSTITUTE(SUBSTITUTE(SUBSTITUTE(TRIM(C1016),".",""),"/",""),"-","")," ","")),14),UPPER(SUBSTITUTE(SUBSTITUTE(SUBSTITUTE(SUBSTITUTE(TRIM(C1016),".",""),"/",""),"-","")," ",""))))</f>
        <v/>
      </c>
      <c r="E1016" s="25" t="str">
        <f aca="false">IF(D1016="","",IFERROR(INDEX(Empresas!$C:$C,MATCH(D1016,Empresas!$B:$B,0)),"cadastre o CNPJ em Empresas"))</f>
        <v/>
      </c>
      <c r="F1016" s="23"/>
      <c r="G1016" s="35"/>
      <c r="H1016" s="24"/>
      <c r="I1016" s="11"/>
      <c r="J1016" s="27" t="str">
        <f aca="false">IF(A1016="","",YEAR(A1016))</f>
        <v/>
      </c>
      <c r="K1016" s="24"/>
      <c r="L1016" s="11"/>
    </row>
    <row r="1017" customFormat="false" ht="15" hidden="false" customHeight="false" outlineLevel="0" collapsed="false">
      <c r="A1017" s="22"/>
      <c r="B1017" s="11"/>
      <c r="C1017" s="24"/>
      <c r="D1017" s="31" t="str">
        <f aca="false">IF(C1017="","",IF(LEN(UPPER(SUBSTITUTE(SUBSTITUTE(SUBSTITUTE(SUBSTITUTE(TRIM(C1017),".",""),"/",""),"-","")," ","")))&lt;14,RIGHT(REPT("0",14)&amp;UPPER(SUBSTITUTE(SUBSTITUTE(SUBSTITUTE(SUBSTITUTE(TRIM(C1017),".",""),"/",""),"-","")," ","")),14),UPPER(SUBSTITUTE(SUBSTITUTE(SUBSTITUTE(SUBSTITUTE(TRIM(C1017),".",""),"/",""),"-","")," ",""))))</f>
        <v/>
      </c>
      <c r="E1017" s="25" t="str">
        <f aca="false">IF(D1017="","",IFERROR(INDEX(Empresas!$C:$C,MATCH(D1017,Empresas!$B:$B,0)),"cadastre o CNPJ em Empresas"))</f>
        <v/>
      </c>
      <c r="F1017" s="23"/>
      <c r="G1017" s="35"/>
      <c r="H1017" s="24"/>
      <c r="I1017" s="11"/>
      <c r="J1017" s="27" t="str">
        <f aca="false">IF(A1017="","",YEAR(A1017))</f>
        <v/>
      </c>
      <c r="K1017" s="24"/>
      <c r="L1017" s="11"/>
    </row>
    <row r="1018" customFormat="false" ht="15" hidden="false" customHeight="false" outlineLevel="0" collapsed="false">
      <c r="A1018" s="22"/>
      <c r="B1018" s="11"/>
      <c r="C1018" s="24"/>
      <c r="D1018" s="31" t="str">
        <f aca="false">IF(C1018="","",IF(LEN(UPPER(SUBSTITUTE(SUBSTITUTE(SUBSTITUTE(SUBSTITUTE(TRIM(C1018),".",""),"/",""),"-","")," ","")))&lt;14,RIGHT(REPT("0",14)&amp;UPPER(SUBSTITUTE(SUBSTITUTE(SUBSTITUTE(SUBSTITUTE(TRIM(C1018),".",""),"/",""),"-","")," ","")),14),UPPER(SUBSTITUTE(SUBSTITUTE(SUBSTITUTE(SUBSTITUTE(TRIM(C1018),".",""),"/",""),"-","")," ",""))))</f>
        <v/>
      </c>
      <c r="E1018" s="25" t="str">
        <f aca="false">IF(D1018="","",IFERROR(INDEX(Empresas!$C:$C,MATCH(D1018,Empresas!$B:$B,0)),"cadastre o CNPJ em Empresas"))</f>
        <v/>
      </c>
      <c r="F1018" s="23"/>
      <c r="G1018" s="35"/>
      <c r="H1018" s="24"/>
      <c r="I1018" s="11"/>
      <c r="J1018" s="27" t="str">
        <f aca="false">IF(A1018="","",YEAR(A1018))</f>
        <v/>
      </c>
      <c r="K1018" s="24"/>
      <c r="L1018" s="11"/>
    </row>
    <row r="1019" customFormat="false" ht="15" hidden="false" customHeight="false" outlineLevel="0" collapsed="false">
      <c r="A1019" s="22"/>
      <c r="B1019" s="11"/>
      <c r="C1019" s="24"/>
      <c r="D1019" s="31" t="str">
        <f aca="false">IF(C1019="","",IF(LEN(UPPER(SUBSTITUTE(SUBSTITUTE(SUBSTITUTE(SUBSTITUTE(TRIM(C1019),".",""),"/",""),"-","")," ","")))&lt;14,RIGHT(REPT("0",14)&amp;UPPER(SUBSTITUTE(SUBSTITUTE(SUBSTITUTE(SUBSTITUTE(TRIM(C1019),".",""),"/",""),"-","")," ","")),14),UPPER(SUBSTITUTE(SUBSTITUTE(SUBSTITUTE(SUBSTITUTE(TRIM(C1019),".",""),"/",""),"-","")," ",""))))</f>
        <v/>
      </c>
      <c r="E1019" s="25" t="str">
        <f aca="false">IF(D1019="","",IFERROR(INDEX(Empresas!$C:$C,MATCH(D1019,Empresas!$B:$B,0)),"cadastre o CNPJ em Empresas"))</f>
        <v/>
      </c>
      <c r="F1019" s="23"/>
      <c r="G1019" s="35"/>
      <c r="H1019" s="24"/>
      <c r="I1019" s="11"/>
      <c r="J1019" s="27" t="str">
        <f aca="false">IF(A1019="","",YEAR(A1019))</f>
        <v/>
      </c>
      <c r="K1019" s="24"/>
      <c r="L1019" s="11"/>
    </row>
    <row r="1020" customFormat="false" ht="15" hidden="false" customHeight="false" outlineLevel="0" collapsed="false">
      <c r="A1020" s="22"/>
      <c r="B1020" s="11"/>
      <c r="C1020" s="24"/>
      <c r="D1020" s="31" t="str">
        <f aca="false">IF(C1020="","",IF(LEN(UPPER(SUBSTITUTE(SUBSTITUTE(SUBSTITUTE(SUBSTITUTE(TRIM(C1020),".",""),"/",""),"-","")," ","")))&lt;14,RIGHT(REPT("0",14)&amp;UPPER(SUBSTITUTE(SUBSTITUTE(SUBSTITUTE(SUBSTITUTE(TRIM(C1020),".",""),"/",""),"-","")," ","")),14),UPPER(SUBSTITUTE(SUBSTITUTE(SUBSTITUTE(SUBSTITUTE(TRIM(C1020),".",""),"/",""),"-","")," ",""))))</f>
        <v/>
      </c>
      <c r="E1020" s="25" t="str">
        <f aca="false">IF(D1020="","",IFERROR(INDEX(Empresas!$C:$C,MATCH(D1020,Empresas!$B:$B,0)),"cadastre o CNPJ em Empresas"))</f>
        <v/>
      </c>
      <c r="F1020" s="23"/>
      <c r="G1020" s="35"/>
      <c r="H1020" s="24"/>
      <c r="I1020" s="11"/>
      <c r="J1020" s="27" t="str">
        <f aca="false">IF(A1020="","",YEAR(A1020))</f>
        <v/>
      </c>
      <c r="K1020" s="24"/>
      <c r="L1020" s="11"/>
    </row>
    <row r="1021" customFormat="false" ht="15" hidden="false" customHeight="false" outlineLevel="0" collapsed="false">
      <c r="A1021" s="22"/>
      <c r="B1021" s="11"/>
      <c r="C1021" s="24"/>
      <c r="D1021" s="31" t="str">
        <f aca="false">IF(C1021="","",IF(LEN(UPPER(SUBSTITUTE(SUBSTITUTE(SUBSTITUTE(SUBSTITUTE(TRIM(C1021),".",""),"/",""),"-","")," ","")))&lt;14,RIGHT(REPT("0",14)&amp;UPPER(SUBSTITUTE(SUBSTITUTE(SUBSTITUTE(SUBSTITUTE(TRIM(C1021),".",""),"/",""),"-","")," ","")),14),UPPER(SUBSTITUTE(SUBSTITUTE(SUBSTITUTE(SUBSTITUTE(TRIM(C1021),".",""),"/",""),"-","")," ",""))))</f>
        <v/>
      </c>
      <c r="E1021" s="25" t="str">
        <f aca="false">IF(D1021="","",IFERROR(INDEX(Empresas!$C:$C,MATCH(D1021,Empresas!$B:$B,0)),"cadastre o CNPJ em Empresas"))</f>
        <v/>
      </c>
      <c r="F1021" s="23"/>
      <c r="G1021" s="35"/>
      <c r="H1021" s="24"/>
      <c r="I1021" s="11"/>
      <c r="J1021" s="27" t="str">
        <f aca="false">IF(A1021="","",YEAR(A1021))</f>
        <v/>
      </c>
      <c r="K1021" s="24"/>
      <c r="L1021" s="11"/>
    </row>
    <row r="1022" customFormat="false" ht="15" hidden="false" customHeight="false" outlineLevel="0" collapsed="false">
      <c r="A1022" s="22"/>
      <c r="B1022" s="11"/>
      <c r="C1022" s="24"/>
      <c r="D1022" s="31" t="str">
        <f aca="false">IF(C1022="","",IF(LEN(UPPER(SUBSTITUTE(SUBSTITUTE(SUBSTITUTE(SUBSTITUTE(TRIM(C1022),".",""),"/",""),"-","")," ","")))&lt;14,RIGHT(REPT("0",14)&amp;UPPER(SUBSTITUTE(SUBSTITUTE(SUBSTITUTE(SUBSTITUTE(TRIM(C1022),".",""),"/",""),"-","")," ","")),14),UPPER(SUBSTITUTE(SUBSTITUTE(SUBSTITUTE(SUBSTITUTE(TRIM(C1022),".",""),"/",""),"-","")," ",""))))</f>
        <v/>
      </c>
      <c r="E1022" s="25" t="str">
        <f aca="false">IF(D1022="","",IFERROR(INDEX(Empresas!$C:$C,MATCH(D1022,Empresas!$B:$B,0)),"cadastre o CNPJ em Empresas"))</f>
        <v/>
      </c>
      <c r="F1022" s="23"/>
      <c r="G1022" s="35"/>
      <c r="H1022" s="24"/>
      <c r="I1022" s="11"/>
      <c r="J1022" s="27" t="str">
        <f aca="false">IF(A1022="","",YEAR(A1022))</f>
        <v/>
      </c>
      <c r="K1022" s="24"/>
      <c r="L1022" s="11"/>
    </row>
    <row r="1023" customFormat="false" ht="15" hidden="false" customHeight="false" outlineLevel="0" collapsed="false">
      <c r="A1023" s="22"/>
      <c r="B1023" s="11"/>
      <c r="C1023" s="24"/>
      <c r="D1023" s="31" t="str">
        <f aca="false">IF(C1023="","",IF(LEN(UPPER(SUBSTITUTE(SUBSTITUTE(SUBSTITUTE(SUBSTITUTE(TRIM(C1023),".",""),"/",""),"-","")," ","")))&lt;14,RIGHT(REPT("0",14)&amp;UPPER(SUBSTITUTE(SUBSTITUTE(SUBSTITUTE(SUBSTITUTE(TRIM(C1023),".",""),"/",""),"-","")," ","")),14),UPPER(SUBSTITUTE(SUBSTITUTE(SUBSTITUTE(SUBSTITUTE(TRIM(C1023),".",""),"/",""),"-","")," ",""))))</f>
        <v/>
      </c>
      <c r="E1023" s="25" t="str">
        <f aca="false">IF(D1023="","",IFERROR(INDEX(Empresas!$C:$C,MATCH(D1023,Empresas!$B:$B,0)),"cadastre o CNPJ em Empresas"))</f>
        <v/>
      </c>
      <c r="F1023" s="23"/>
      <c r="G1023" s="35"/>
      <c r="H1023" s="24"/>
      <c r="I1023" s="11"/>
      <c r="J1023" s="27" t="str">
        <f aca="false">IF(A1023="","",YEAR(A1023))</f>
        <v/>
      </c>
      <c r="K1023" s="24"/>
      <c r="L1023" s="11"/>
    </row>
    <row r="1024" customFormat="false" ht="15" hidden="false" customHeight="false" outlineLevel="0" collapsed="false">
      <c r="A1024" s="22"/>
      <c r="B1024" s="11"/>
      <c r="C1024" s="24"/>
      <c r="D1024" s="31" t="str">
        <f aca="false">IF(C1024="","",IF(LEN(UPPER(SUBSTITUTE(SUBSTITUTE(SUBSTITUTE(SUBSTITUTE(TRIM(C1024),".",""),"/",""),"-","")," ","")))&lt;14,RIGHT(REPT("0",14)&amp;UPPER(SUBSTITUTE(SUBSTITUTE(SUBSTITUTE(SUBSTITUTE(TRIM(C1024),".",""),"/",""),"-","")," ","")),14),UPPER(SUBSTITUTE(SUBSTITUTE(SUBSTITUTE(SUBSTITUTE(TRIM(C1024),".",""),"/",""),"-","")," ",""))))</f>
        <v/>
      </c>
      <c r="E1024" s="25" t="str">
        <f aca="false">IF(D1024="","",IFERROR(INDEX(Empresas!$C:$C,MATCH(D1024,Empresas!$B:$B,0)),"cadastre o CNPJ em Empresas"))</f>
        <v/>
      </c>
      <c r="F1024" s="23"/>
      <c r="G1024" s="35"/>
      <c r="H1024" s="24"/>
      <c r="I1024" s="11"/>
      <c r="J1024" s="27" t="str">
        <f aca="false">IF(A1024="","",YEAR(A1024))</f>
        <v/>
      </c>
      <c r="K1024" s="24"/>
      <c r="L1024" s="11"/>
    </row>
    <row r="1025" customFormat="false" ht="15" hidden="false" customHeight="false" outlineLevel="0" collapsed="false">
      <c r="A1025" s="22"/>
      <c r="B1025" s="11"/>
      <c r="C1025" s="24"/>
      <c r="D1025" s="31" t="str">
        <f aca="false">IF(C1025="","",IF(LEN(UPPER(SUBSTITUTE(SUBSTITUTE(SUBSTITUTE(SUBSTITUTE(TRIM(C1025),".",""),"/",""),"-","")," ","")))&lt;14,RIGHT(REPT("0",14)&amp;UPPER(SUBSTITUTE(SUBSTITUTE(SUBSTITUTE(SUBSTITUTE(TRIM(C1025),".",""),"/",""),"-","")," ","")),14),UPPER(SUBSTITUTE(SUBSTITUTE(SUBSTITUTE(SUBSTITUTE(TRIM(C1025),".",""),"/",""),"-","")," ",""))))</f>
        <v/>
      </c>
      <c r="E1025" s="25" t="str">
        <f aca="false">IF(D1025="","",IFERROR(INDEX(Empresas!$C:$C,MATCH(D1025,Empresas!$B:$B,0)),"cadastre o CNPJ em Empresas"))</f>
        <v/>
      </c>
      <c r="F1025" s="23"/>
      <c r="G1025" s="35"/>
      <c r="H1025" s="24"/>
      <c r="I1025" s="11"/>
      <c r="J1025" s="27" t="str">
        <f aca="false">IF(A1025="","",YEAR(A1025))</f>
        <v/>
      </c>
      <c r="K1025" s="24"/>
      <c r="L1025" s="11"/>
    </row>
    <row r="1026" customFormat="false" ht="15" hidden="false" customHeight="false" outlineLevel="0" collapsed="false">
      <c r="A1026" s="22"/>
      <c r="B1026" s="11"/>
      <c r="C1026" s="24"/>
      <c r="D1026" s="31" t="str">
        <f aca="false">IF(C1026="","",IF(LEN(UPPER(SUBSTITUTE(SUBSTITUTE(SUBSTITUTE(SUBSTITUTE(TRIM(C1026),".",""),"/",""),"-","")," ","")))&lt;14,RIGHT(REPT("0",14)&amp;UPPER(SUBSTITUTE(SUBSTITUTE(SUBSTITUTE(SUBSTITUTE(TRIM(C1026),".",""),"/",""),"-","")," ","")),14),UPPER(SUBSTITUTE(SUBSTITUTE(SUBSTITUTE(SUBSTITUTE(TRIM(C1026),".",""),"/",""),"-","")," ",""))))</f>
        <v/>
      </c>
      <c r="E1026" s="25" t="str">
        <f aca="false">IF(D1026="","",IFERROR(INDEX(Empresas!$C:$C,MATCH(D1026,Empresas!$B:$B,0)),"cadastre o CNPJ em Empresas"))</f>
        <v/>
      </c>
      <c r="F1026" s="23"/>
      <c r="G1026" s="35"/>
      <c r="H1026" s="24"/>
      <c r="I1026" s="11"/>
      <c r="J1026" s="27" t="str">
        <f aca="false">IF(A1026="","",YEAR(A1026))</f>
        <v/>
      </c>
      <c r="K1026" s="24"/>
      <c r="L1026" s="11"/>
    </row>
    <row r="1027" customFormat="false" ht="15" hidden="false" customHeight="false" outlineLevel="0" collapsed="false">
      <c r="A1027" s="22"/>
      <c r="B1027" s="11"/>
      <c r="C1027" s="24"/>
      <c r="D1027" s="31" t="str">
        <f aca="false">IF(C1027="","",IF(LEN(UPPER(SUBSTITUTE(SUBSTITUTE(SUBSTITUTE(SUBSTITUTE(TRIM(C1027),".",""),"/",""),"-","")," ","")))&lt;14,RIGHT(REPT("0",14)&amp;UPPER(SUBSTITUTE(SUBSTITUTE(SUBSTITUTE(SUBSTITUTE(TRIM(C1027),".",""),"/",""),"-","")," ","")),14),UPPER(SUBSTITUTE(SUBSTITUTE(SUBSTITUTE(SUBSTITUTE(TRIM(C1027),".",""),"/",""),"-","")," ",""))))</f>
        <v/>
      </c>
      <c r="E1027" s="25" t="str">
        <f aca="false">IF(D1027="","",IFERROR(INDEX(Empresas!$C:$C,MATCH(D1027,Empresas!$B:$B,0)),"cadastre o CNPJ em Empresas"))</f>
        <v/>
      </c>
      <c r="F1027" s="23"/>
      <c r="G1027" s="35"/>
      <c r="H1027" s="24"/>
      <c r="I1027" s="11"/>
      <c r="J1027" s="27" t="str">
        <f aca="false">IF(A1027="","",YEAR(A1027))</f>
        <v/>
      </c>
      <c r="K1027" s="24"/>
      <c r="L1027" s="11"/>
    </row>
    <row r="1028" customFormat="false" ht="15" hidden="false" customHeight="false" outlineLevel="0" collapsed="false">
      <c r="A1028" s="22"/>
      <c r="B1028" s="11"/>
      <c r="C1028" s="24"/>
      <c r="D1028" s="31" t="str">
        <f aca="false">IF(C1028="","",IF(LEN(UPPER(SUBSTITUTE(SUBSTITUTE(SUBSTITUTE(SUBSTITUTE(TRIM(C1028),".",""),"/",""),"-","")," ","")))&lt;14,RIGHT(REPT("0",14)&amp;UPPER(SUBSTITUTE(SUBSTITUTE(SUBSTITUTE(SUBSTITUTE(TRIM(C1028),".",""),"/",""),"-","")," ","")),14),UPPER(SUBSTITUTE(SUBSTITUTE(SUBSTITUTE(SUBSTITUTE(TRIM(C1028),".",""),"/",""),"-","")," ",""))))</f>
        <v/>
      </c>
      <c r="E1028" s="25" t="str">
        <f aca="false">IF(D1028="","",IFERROR(INDEX(Empresas!$C:$C,MATCH(D1028,Empresas!$B:$B,0)),"cadastre o CNPJ em Empresas"))</f>
        <v/>
      </c>
      <c r="F1028" s="23"/>
      <c r="G1028" s="35"/>
      <c r="H1028" s="24"/>
      <c r="I1028" s="11"/>
      <c r="J1028" s="27" t="str">
        <f aca="false">IF(A1028="","",YEAR(A1028))</f>
        <v/>
      </c>
      <c r="K1028" s="24"/>
      <c r="L1028" s="11"/>
    </row>
    <row r="1029" customFormat="false" ht="15" hidden="false" customHeight="false" outlineLevel="0" collapsed="false">
      <c r="A1029" s="22"/>
      <c r="B1029" s="11"/>
      <c r="C1029" s="24"/>
      <c r="D1029" s="31" t="str">
        <f aca="false">IF(C1029="","",IF(LEN(UPPER(SUBSTITUTE(SUBSTITUTE(SUBSTITUTE(SUBSTITUTE(TRIM(C1029),".",""),"/",""),"-","")," ","")))&lt;14,RIGHT(REPT("0",14)&amp;UPPER(SUBSTITUTE(SUBSTITUTE(SUBSTITUTE(SUBSTITUTE(TRIM(C1029),".",""),"/",""),"-","")," ","")),14),UPPER(SUBSTITUTE(SUBSTITUTE(SUBSTITUTE(SUBSTITUTE(TRIM(C1029),".",""),"/",""),"-","")," ",""))))</f>
        <v/>
      </c>
      <c r="E1029" s="25" t="str">
        <f aca="false">IF(D1029="","",IFERROR(INDEX(Empresas!$C:$C,MATCH(D1029,Empresas!$B:$B,0)),"cadastre o CNPJ em Empresas"))</f>
        <v/>
      </c>
      <c r="F1029" s="23"/>
      <c r="G1029" s="35"/>
      <c r="H1029" s="24"/>
      <c r="I1029" s="11"/>
      <c r="J1029" s="27" t="str">
        <f aca="false">IF(A1029="","",YEAR(A1029))</f>
        <v/>
      </c>
      <c r="K1029" s="24"/>
      <c r="L1029" s="11"/>
    </row>
    <row r="1030" customFormat="false" ht="15" hidden="false" customHeight="false" outlineLevel="0" collapsed="false">
      <c r="A1030" s="22"/>
      <c r="B1030" s="11"/>
      <c r="C1030" s="24"/>
      <c r="D1030" s="31" t="str">
        <f aca="false">IF(C1030="","",IF(LEN(UPPER(SUBSTITUTE(SUBSTITUTE(SUBSTITUTE(SUBSTITUTE(TRIM(C1030),".",""),"/",""),"-","")," ","")))&lt;14,RIGHT(REPT("0",14)&amp;UPPER(SUBSTITUTE(SUBSTITUTE(SUBSTITUTE(SUBSTITUTE(TRIM(C1030),".",""),"/",""),"-","")," ","")),14),UPPER(SUBSTITUTE(SUBSTITUTE(SUBSTITUTE(SUBSTITUTE(TRIM(C1030),".",""),"/",""),"-","")," ",""))))</f>
        <v/>
      </c>
      <c r="E1030" s="25" t="str">
        <f aca="false">IF(D1030="","",IFERROR(INDEX(Empresas!$C:$C,MATCH(D1030,Empresas!$B:$B,0)),"cadastre o CNPJ em Empresas"))</f>
        <v/>
      </c>
      <c r="F1030" s="23"/>
      <c r="G1030" s="35"/>
      <c r="H1030" s="24"/>
      <c r="I1030" s="11"/>
      <c r="J1030" s="27" t="str">
        <f aca="false">IF(A1030="","",YEAR(A1030))</f>
        <v/>
      </c>
      <c r="K1030" s="24"/>
      <c r="L1030" s="11"/>
    </row>
    <row r="1031" customFormat="false" ht="15" hidden="false" customHeight="false" outlineLevel="0" collapsed="false">
      <c r="A1031" s="22"/>
      <c r="B1031" s="11"/>
      <c r="C1031" s="24"/>
      <c r="D1031" s="31" t="str">
        <f aca="false">IF(C1031="","",IF(LEN(UPPER(SUBSTITUTE(SUBSTITUTE(SUBSTITUTE(SUBSTITUTE(TRIM(C1031),".",""),"/",""),"-","")," ","")))&lt;14,RIGHT(REPT("0",14)&amp;UPPER(SUBSTITUTE(SUBSTITUTE(SUBSTITUTE(SUBSTITUTE(TRIM(C1031),".",""),"/",""),"-","")," ","")),14),UPPER(SUBSTITUTE(SUBSTITUTE(SUBSTITUTE(SUBSTITUTE(TRIM(C1031),".",""),"/",""),"-","")," ",""))))</f>
        <v/>
      </c>
      <c r="E1031" s="25" t="str">
        <f aca="false">IF(D1031="","",IFERROR(INDEX(Empresas!$C:$C,MATCH(D1031,Empresas!$B:$B,0)),"cadastre o CNPJ em Empresas"))</f>
        <v/>
      </c>
      <c r="F1031" s="23"/>
      <c r="G1031" s="35"/>
      <c r="H1031" s="24"/>
      <c r="I1031" s="11"/>
      <c r="J1031" s="27" t="str">
        <f aca="false">IF(A1031="","",YEAR(A1031))</f>
        <v/>
      </c>
      <c r="K1031" s="24"/>
      <c r="L1031" s="11"/>
    </row>
    <row r="1032" customFormat="false" ht="15" hidden="false" customHeight="false" outlineLevel="0" collapsed="false">
      <c r="A1032" s="22"/>
      <c r="B1032" s="11"/>
      <c r="C1032" s="24"/>
      <c r="D1032" s="31" t="str">
        <f aca="false">IF(C1032="","",IF(LEN(UPPER(SUBSTITUTE(SUBSTITUTE(SUBSTITUTE(SUBSTITUTE(TRIM(C1032),".",""),"/",""),"-","")," ","")))&lt;14,RIGHT(REPT("0",14)&amp;UPPER(SUBSTITUTE(SUBSTITUTE(SUBSTITUTE(SUBSTITUTE(TRIM(C1032),".",""),"/",""),"-","")," ","")),14),UPPER(SUBSTITUTE(SUBSTITUTE(SUBSTITUTE(SUBSTITUTE(TRIM(C1032),".",""),"/",""),"-","")," ",""))))</f>
        <v/>
      </c>
      <c r="E1032" s="25" t="str">
        <f aca="false">IF(D1032="","",IFERROR(INDEX(Empresas!$C:$C,MATCH(D1032,Empresas!$B:$B,0)),"cadastre o CNPJ em Empresas"))</f>
        <v/>
      </c>
      <c r="F1032" s="23"/>
      <c r="G1032" s="35"/>
      <c r="H1032" s="24"/>
      <c r="I1032" s="11"/>
      <c r="J1032" s="27" t="str">
        <f aca="false">IF(A1032="","",YEAR(A1032))</f>
        <v/>
      </c>
      <c r="K1032" s="24"/>
      <c r="L1032" s="11"/>
    </row>
    <row r="1033" customFormat="false" ht="15" hidden="false" customHeight="false" outlineLevel="0" collapsed="false">
      <c r="A1033" s="22"/>
      <c r="B1033" s="11"/>
      <c r="C1033" s="24"/>
      <c r="D1033" s="31" t="str">
        <f aca="false">IF(C1033="","",IF(LEN(UPPER(SUBSTITUTE(SUBSTITUTE(SUBSTITUTE(SUBSTITUTE(TRIM(C1033),".",""),"/",""),"-","")," ","")))&lt;14,RIGHT(REPT("0",14)&amp;UPPER(SUBSTITUTE(SUBSTITUTE(SUBSTITUTE(SUBSTITUTE(TRIM(C1033),".",""),"/",""),"-","")," ","")),14),UPPER(SUBSTITUTE(SUBSTITUTE(SUBSTITUTE(SUBSTITUTE(TRIM(C1033),".",""),"/",""),"-","")," ",""))))</f>
        <v/>
      </c>
      <c r="E1033" s="25" t="str">
        <f aca="false">IF(D1033="","",IFERROR(INDEX(Empresas!$C:$C,MATCH(D1033,Empresas!$B:$B,0)),"cadastre o CNPJ em Empresas"))</f>
        <v/>
      </c>
      <c r="F1033" s="23"/>
      <c r="G1033" s="35"/>
      <c r="H1033" s="24"/>
      <c r="I1033" s="11"/>
      <c r="J1033" s="27" t="str">
        <f aca="false">IF(A1033="","",YEAR(A1033))</f>
        <v/>
      </c>
      <c r="K1033" s="24"/>
      <c r="L1033" s="11"/>
    </row>
    <row r="1034" customFormat="false" ht="15" hidden="false" customHeight="false" outlineLevel="0" collapsed="false">
      <c r="A1034" s="22"/>
      <c r="B1034" s="11"/>
      <c r="C1034" s="24"/>
      <c r="D1034" s="31" t="str">
        <f aca="false">IF(C1034="","",IF(LEN(UPPER(SUBSTITUTE(SUBSTITUTE(SUBSTITUTE(SUBSTITUTE(TRIM(C1034),".",""),"/",""),"-","")," ","")))&lt;14,RIGHT(REPT("0",14)&amp;UPPER(SUBSTITUTE(SUBSTITUTE(SUBSTITUTE(SUBSTITUTE(TRIM(C1034),".",""),"/",""),"-","")," ","")),14),UPPER(SUBSTITUTE(SUBSTITUTE(SUBSTITUTE(SUBSTITUTE(TRIM(C1034),".",""),"/",""),"-","")," ",""))))</f>
        <v/>
      </c>
      <c r="E1034" s="25" t="str">
        <f aca="false">IF(D1034="","",IFERROR(INDEX(Empresas!$C:$C,MATCH(D1034,Empresas!$B:$B,0)),"cadastre o CNPJ em Empresas"))</f>
        <v/>
      </c>
      <c r="F1034" s="23"/>
      <c r="G1034" s="35"/>
      <c r="H1034" s="24"/>
      <c r="I1034" s="11"/>
      <c r="J1034" s="27" t="str">
        <f aca="false">IF(A1034="","",YEAR(A1034))</f>
        <v/>
      </c>
      <c r="K1034" s="24"/>
      <c r="L1034" s="11"/>
    </row>
    <row r="1035" customFormat="false" ht="15" hidden="false" customHeight="false" outlineLevel="0" collapsed="false">
      <c r="A1035" s="22"/>
      <c r="B1035" s="11"/>
      <c r="C1035" s="24"/>
      <c r="D1035" s="31" t="str">
        <f aca="false">IF(C1035="","",IF(LEN(UPPER(SUBSTITUTE(SUBSTITUTE(SUBSTITUTE(SUBSTITUTE(TRIM(C1035),".",""),"/",""),"-","")," ","")))&lt;14,RIGHT(REPT("0",14)&amp;UPPER(SUBSTITUTE(SUBSTITUTE(SUBSTITUTE(SUBSTITUTE(TRIM(C1035),".",""),"/",""),"-","")," ","")),14),UPPER(SUBSTITUTE(SUBSTITUTE(SUBSTITUTE(SUBSTITUTE(TRIM(C1035),".",""),"/",""),"-","")," ",""))))</f>
        <v/>
      </c>
      <c r="E1035" s="25" t="str">
        <f aca="false">IF(D1035="","",IFERROR(INDEX(Empresas!$C:$C,MATCH(D1035,Empresas!$B:$B,0)),"cadastre o CNPJ em Empresas"))</f>
        <v/>
      </c>
      <c r="F1035" s="23"/>
      <c r="G1035" s="35"/>
      <c r="H1035" s="24"/>
      <c r="I1035" s="11"/>
      <c r="J1035" s="27" t="str">
        <f aca="false">IF(A1035="","",YEAR(A1035))</f>
        <v/>
      </c>
      <c r="K1035" s="24"/>
      <c r="L1035" s="11"/>
    </row>
    <row r="1036" customFormat="false" ht="15" hidden="false" customHeight="false" outlineLevel="0" collapsed="false">
      <c r="A1036" s="22"/>
      <c r="B1036" s="11"/>
      <c r="C1036" s="24"/>
      <c r="D1036" s="31" t="str">
        <f aca="false">IF(C1036="","",IF(LEN(UPPER(SUBSTITUTE(SUBSTITUTE(SUBSTITUTE(SUBSTITUTE(TRIM(C1036),".",""),"/",""),"-","")," ","")))&lt;14,RIGHT(REPT("0",14)&amp;UPPER(SUBSTITUTE(SUBSTITUTE(SUBSTITUTE(SUBSTITUTE(TRIM(C1036),".",""),"/",""),"-","")," ","")),14),UPPER(SUBSTITUTE(SUBSTITUTE(SUBSTITUTE(SUBSTITUTE(TRIM(C1036),".",""),"/",""),"-","")," ",""))))</f>
        <v/>
      </c>
      <c r="E1036" s="25" t="str">
        <f aca="false">IF(D1036="","",IFERROR(INDEX(Empresas!$C:$C,MATCH(D1036,Empresas!$B:$B,0)),"cadastre o CNPJ em Empresas"))</f>
        <v/>
      </c>
      <c r="F1036" s="23"/>
      <c r="G1036" s="35"/>
      <c r="H1036" s="24"/>
      <c r="I1036" s="11"/>
      <c r="J1036" s="27" t="str">
        <f aca="false">IF(A1036="","",YEAR(A1036))</f>
        <v/>
      </c>
      <c r="K1036" s="24"/>
      <c r="L1036" s="11"/>
    </row>
    <row r="1037" customFormat="false" ht="15" hidden="false" customHeight="false" outlineLevel="0" collapsed="false">
      <c r="A1037" s="22"/>
      <c r="B1037" s="11"/>
      <c r="C1037" s="24"/>
      <c r="D1037" s="31" t="str">
        <f aca="false">IF(C1037="","",IF(LEN(UPPER(SUBSTITUTE(SUBSTITUTE(SUBSTITUTE(SUBSTITUTE(TRIM(C1037),".",""),"/",""),"-","")," ","")))&lt;14,RIGHT(REPT("0",14)&amp;UPPER(SUBSTITUTE(SUBSTITUTE(SUBSTITUTE(SUBSTITUTE(TRIM(C1037),".",""),"/",""),"-","")," ","")),14),UPPER(SUBSTITUTE(SUBSTITUTE(SUBSTITUTE(SUBSTITUTE(TRIM(C1037),".",""),"/",""),"-","")," ",""))))</f>
        <v/>
      </c>
      <c r="E1037" s="25" t="str">
        <f aca="false">IF(D1037="","",IFERROR(INDEX(Empresas!$C:$C,MATCH(D1037,Empresas!$B:$B,0)),"cadastre o CNPJ em Empresas"))</f>
        <v/>
      </c>
      <c r="F1037" s="23"/>
      <c r="G1037" s="35"/>
      <c r="H1037" s="24"/>
      <c r="I1037" s="11"/>
      <c r="J1037" s="27" t="str">
        <f aca="false">IF(A1037="","",YEAR(A1037))</f>
        <v/>
      </c>
      <c r="K1037" s="24"/>
      <c r="L1037" s="11"/>
    </row>
    <row r="1038" customFormat="false" ht="15" hidden="false" customHeight="false" outlineLevel="0" collapsed="false">
      <c r="A1038" s="22"/>
      <c r="B1038" s="11"/>
      <c r="C1038" s="24"/>
      <c r="D1038" s="31" t="str">
        <f aca="false">IF(C1038="","",IF(LEN(UPPER(SUBSTITUTE(SUBSTITUTE(SUBSTITUTE(SUBSTITUTE(TRIM(C1038),".",""),"/",""),"-","")," ","")))&lt;14,RIGHT(REPT("0",14)&amp;UPPER(SUBSTITUTE(SUBSTITUTE(SUBSTITUTE(SUBSTITUTE(TRIM(C1038),".",""),"/",""),"-","")," ","")),14),UPPER(SUBSTITUTE(SUBSTITUTE(SUBSTITUTE(SUBSTITUTE(TRIM(C1038),".",""),"/",""),"-","")," ",""))))</f>
        <v/>
      </c>
      <c r="E1038" s="25" t="str">
        <f aca="false">IF(D1038="","",IFERROR(INDEX(Empresas!$C:$C,MATCH(D1038,Empresas!$B:$B,0)),"cadastre o CNPJ em Empresas"))</f>
        <v/>
      </c>
      <c r="F1038" s="23"/>
      <c r="G1038" s="35"/>
      <c r="H1038" s="24"/>
      <c r="I1038" s="11"/>
      <c r="J1038" s="27" t="str">
        <f aca="false">IF(A1038="","",YEAR(A1038))</f>
        <v/>
      </c>
      <c r="K1038" s="24"/>
      <c r="L1038" s="11"/>
    </row>
    <row r="1039" customFormat="false" ht="15" hidden="false" customHeight="false" outlineLevel="0" collapsed="false">
      <c r="A1039" s="22"/>
      <c r="B1039" s="11"/>
      <c r="C1039" s="24"/>
      <c r="D1039" s="31" t="str">
        <f aca="false">IF(C1039="","",IF(LEN(UPPER(SUBSTITUTE(SUBSTITUTE(SUBSTITUTE(SUBSTITUTE(TRIM(C1039),".",""),"/",""),"-","")," ","")))&lt;14,RIGHT(REPT("0",14)&amp;UPPER(SUBSTITUTE(SUBSTITUTE(SUBSTITUTE(SUBSTITUTE(TRIM(C1039),".",""),"/",""),"-","")," ","")),14),UPPER(SUBSTITUTE(SUBSTITUTE(SUBSTITUTE(SUBSTITUTE(TRIM(C1039),".",""),"/",""),"-","")," ",""))))</f>
        <v/>
      </c>
      <c r="E1039" s="25" t="str">
        <f aca="false">IF(D1039="","",IFERROR(INDEX(Empresas!$C:$C,MATCH(D1039,Empresas!$B:$B,0)),"cadastre o CNPJ em Empresas"))</f>
        <v/>
      </c>
      <c r="F1039" s="23"/>
      <c r="G1039" s="35"/>
      <c r="H1039" s="24"/>
      <c r="I1039" s="11"/>
      <c r="J1039" s="27" t="str">
        <f aca="false">IF(A1039="","",YEAR(A1039))</f>
        <v/>
      </c>
      <c r="K1039" s="24"/>
      <c r="L1039" s="11"/>
    </row>
    <row r="1040" customFormat="false" ht="15" hidden="false" customHeight="false" outlineLevel="0" collapsed="false">
      <c r="A1040" s="22"/>
      <c r="B1040" s="11"/>
      <c r="C1040" s="24"/>
      <c r="D1040" s="31" t="str">
        <f aca="false">IF(C1040="","",IF(LEN(UPPER(SUBSTITUTE(SUBSTITUTE(SUBSTITUTE(SUBSTITUTE(TRIM(C1040),".",""),"/",""),"-","")," ","")))&lt;14,RIGHT(REPT("0",14)&amp;UPPER(SUBSTITUTE(SUBSTITUTE(SUBSTITUTE(SUBSTITUTE(TRIM(C1040),".",""),"/",""),"-","")," ","")),14),UPPER(SUBSTITUTE(SUBSTITUTE(SUBSTITUTE(SUBSTITUTE(TRIM(C1040),".",""),"/",""),"-","")," ",""))))</f>
        <v/>
      </c>
      <c r="E1040" s="25" t="str">
        <f aca="false">IF(D1040="","",IFERROR(INDEX(Empresas!$C:$C,MATCH(D1040,Empresas!$B:$B,0)),"cadastre o CNPJ em Empresas"))</f>
        <v/>
      </c>
      <c r="F1040" s="23"/>
      <c r="G1040" s="35"/>
      <c r="H1040" s="24"/>
      <c r="I1040" s="11"/>
      <c r="J1040" s="27" t="str">
        <f aca="false">IF(A1040="","",YEAR(A1040))</f>
        <v/>
      </c>
      <c r="K1040" s="24"/>
      <c r="L1040" s="11"/>
    </row>
    <row r="1041" customFormat="false" ht="15" hidden="false" customHeight="false" outlineLevel="0" collapsed="false">
      <c r="A1041" s="22"/>
      <c r="B1041" s="11"/>
      <c r="C1041" s="24"/>
      <c r="D1041" s="31" t="str">
        <f aca="false">IF(C1041="","",IF(LEN(UPPER(SUBSTITUTE(SUBSTITUTE(SUBSTITUTE(SUBSTITUTE(TRIM(C1041),".",""),"/",""),"-","")," ","")))&lt;14,RIGHT(REPT("0",14)&amp;UPPER(SUBSTITUTE(SUBSTITUTE(SUBSTITUTE(SUBSTITUTE(TRIM(C1041),".",""),"/",""),"-","")," ","")),14),UPPER(SUBSTITUTE(SUBSTITUTE(SUBSTITUTE(SUBSTITUTE(TRIM(C1041),".",""),"/",""),"-","")," ",""))))</f>
        <v/>
      </c>
      <c r="E1041" s="25" t="str">
        <f aca="false">IF(D1041="","",IFERROR(INDEX(Empresas!$C:$C,MATCH(D1041,Empresas!$B:$B,0)),"cadastre o CNPJ em Empresas"))</f>
        <v/>
      </c>
      <c r="F1041" s="23"/>
      <c r="G1041" s="35"/>
      <c r="H1041" s="24"/>
      <c r="I1041" s="11"/>
      <c r="J1041" s="27" t="str">
        <f aca="false">IF(A1041="","",YEAR(A1041))</f>
        <v/>
      </c>
      <c r="K1041" s="24"/>
      <c r="L1041" s="11"/>
    </row>
    <row r="1042" customFormat="false" ht="15" hidden="false" customHeight="false" outlineLevel="0" collapsed="false">
      <c r="A1042" s="22"/>
      <c r="B1042" s="11"/>
      <c r="C1042" s="24"/>
      <c r="D1042" s="31" t="str">
        <f aca="false">IF(C1042="","",IF(LEN(UPPER(SUBSTITUTE(SUBSTITUTE(SUBSTITUTE(SUBSTITUTE(TRIM(C1042),".",""),"/",""),"-","")," ","")))&lt;14,RIGHT(REPT("0",14)&amp;UPPER(SUBSTITUTE(SUBSTITUTE(SUBSTITUTE(SUBSTITUTE(TRIM(C1042),".",""),"/",""),"-","")," ","")),14),UPPER(SUBSTITUTE(SUBSTITUTE(SUBSTITUTE(SUBSTITUTE(TRIM(C1042),".",""),"/",""),"-","")," ",""))))</f>
        <v/>
      </c>
      <c r="E1042" s="25" t="str">
        <f aca="false">IF(D1042="","",IFERROR(INDEX(Empresas!$C:$C,MATCH(D1042,Empresas!$B:$B,0)),"cadastre o CNPJ em Empresas"))</f>
        <v/>
      </c>
      <c r="F1042" s="23"/>
      <c r="G1042" s="35"/>
      <c r="H1042" s="24"/>
      <c r="I1042" s="11"/>
      <c r="J1042" s="27" t="str">
        <f aca="false">IF(A1042="","",YEAR(A1042))</f>
        <v/>
      </c>
      <c r="K1042" s="24"/>
      <c r="L1042" s="11"/>
    </row>
    <row r="1043" customFormat="false" ht="15" hidden="false" customHeight="false" outlineLevel="0" collapsed="false">
      <c r="A1043" s="22"/>
      <c r="B1043" s="11"/>
      <c r="C1043" s="24"/>
      <c r="D1043" s="31" t="str">
        <f aca="false">IF(C1043="","",IF(LEN(UPPER(SUBSTITUTE(SUBSTITUTE(SUBSTITUTE(SUBSTITUTE(TRIM(C1043),".",""),"/",""),"-","")," ","")))&lt;14,RIGHT(REPT("0",14)&amp;UPPER(SUBSTITUTE(SUBSTITUTE(SUBSTITUTE(SUBSTITUTE(TRIM(C1043),".",""),"/",""),"-","")," ","")),14),UPPER(SUBSTITUTE(SUBSTITUTE(SUBSTITUTE(SUBSTITUTE(TRIM(C1043),".",""),"/",""),"-","")," ",""))))</f>
        <v/>
      </c>
      <c r="E1043" s="25" t="str">
        <f aca="false">IF(D1043="","",IFERROR(INDEX(Empresas!$C:$C,MATCH(D1043,Empresas!$B:$B,0)),"cadastre o CNPJ em Empresas"))</f>
        <v/>
      </c>
      <c r="F1043" s="23"/>
      <c r="G1043" s="35"/>
      <c r="H1043" s="24"/>
      <c r="I1043" s="11"/>
      <c r="J1043" s="27" t="str">
        <f aca="false">IF(A1043="","",YEAR(A1043))</f>
        <v/>
      </c>
      <c r="K1043" s="24"/>
      <c r="L1043" s="11"/>
    </row>
    <row r="1044" customFormat="false" ht="15" hidden="false" customHeight="false" outlineLevel="0" collapsed="false">
      <c r="A1044" s="22"/>
      <c r="B1044" s="11"/>
      <c r="C1044" s="24"/>
      <c r="D1044" s="31" t="str">
        <f aca="false">IF(C1044="","",IF(LEN(UPPER(SUBSTITUTE(SUBSTITUTE(SUBSTITUTE(SUBSTITUTE(TRIM(C1044),".",""),"/",""),"-","")," ","")))&lt;14,RIGHT(REPT("0",14)&amp;UPPER(SUBSTITUTE(SUBSTITUTE(SUBSTITUTE(SUBSTITUTE(TRIM(C1044),".",""),"/",""),"-","")," ","")),14),UPPER(SUBSTITUTE(SUBSTITUTE(SUBSTITUTE(SUBSTITUTE(TRIM(C1044),".",""),"/",""),"-","")," ",""))))</f>
        <v/>
      </c>
      <c r="E1044" s="25" t="str">
        <f aca="false">IF(D1044="","",IFERROR(INDEX(Empresas!$C:$C,MATCH(D1044,Empresas!$B:$B,0)),"cadastre o CNPJ em Empresas"))</f>
        <v/>
      </c>
      <c r="F1044" s="23"/>
      <c r="G1044" s="35"/>
      <c r="H1044" s="24"/>
      <c r="I1044" s="11"/>
      <c r="J1044" s="27" t="str">
        <f aca="false">IF(A1044="","",YEAR(A1044))</f>
        <v/>
      </c>
      <c r="K1044" s="24"/>
      <c r="L1044" s="11"/>
    </row>
    <row r="1045" customFormat="false" ht="15" hidden="false" customHeight="false" outlineLevel="0" collapsed="false">
      <c r="A1045" s="22"/>
      <c r="B1045" s="11"/>
      <c r="C1045" s="24"/>
      <c r="D1045" s="31" t="str">
        <f aca="false">IF(C1045="","",IF(LEN(UPPER(SUBSTITUTE(SUBSTITUTE(SUBSTITUTE(SUBSTITUTE(TRIM(C1045),".",""),"/",""),"-","")," ","")))&lt;14,RIGHT(REPT("0",14)&amp;UPPER(SUBSTITUTE(SUBSTITUTE(SUBSTITUTE(SUBSTITUTE(TRIM(C1045),".",""),"/",""),"-","")," ","")),14),UPPER(SUBSTITUTE(SUBSTITUTE(SUBSTITUTE(SUBSTITUTE(TRIM(C1045),".",""),"/",""),"-","")," ",""))))</f>
        <v/>
      </c>
      <c r="E1045" s="25" t="str">
        <f aca="false">IF(D1045="","",IFERROR(INDEX(Empresas!$C:$C,MATCH(D1045,Empresas!$B:$B,0)),"cadastre o CNPJ em Empresas"))</f>
        <v/>
      </c>
      <c r="F1045" s="23"/>
      <c r="G1045" s="35"/>
      <c r="H1045" s="24"/>
      <c r="I1045" s="11"/>
      <c r="J1045" s="27" t="str">
        <f aca="false">IF(A1045="","",YEAR(A1045))</f>
        <v/>
      </c>
      <c r="K1045" s="24"/>
      <c r="L1045" s="11"/>
    </row>
    <row r="1046" customFormat="false" ht="15" hidden="false" customHeight="false" outlineLevel="0" collapsed="false">
      <c r="A1046" s="22"/>
      <c r="B1046" s="11"/>
      <c r="C1046" s="24"/>
      <c r="D1046" s="31" t="str">
        <f aca="false">IF(C1046="","",IF(LEN(UPPER(SUBSTITUTE(SUBSTITUTE(SUBSTITUTE(SUBSTITUTE(TRIM(C1046),".",""),"/",""),"-","")," ","")))&lt;14,RIGHT(REPT("0",14)&amp;UPPER(SUBSTITUTE(SUBSTITUTE(SUBSTITUTE(SUBSTITUTE(TRIM(C1046),".",""),"/",""),"-","")," ","")),14),UPPER(SUBSTITUTE(SUBSTITUTE(SUBSTITUTE(SUBSTITUTE(TRIM(C1046),".",""),"/",""),"-","")," ",""))))</f>
        <v/>
      </c>
      <c r="E1046" s="25" t="str">
        <f aca="false">IF(D1046="","",IFERROR(INDEX(Empresas!$C:$C,MATCH(D1046,Empresas!$B:$B,0)),"cadastre o CNPJ em Empresas"))</f>
        <v/>
      </c>
      <c r="F1046" s="23"/>
      <c r="G1046" s="35"/>
      <c r="H1046" s="24"/>
      <c r="I1046" s="11"/>
      <c r="J1046" s="27" t="str">
        <f aca="false">IF(A1046="","",YEAR(A1046))</f>
        <v/>
      </c>
      <c r="K1046" s="24"/>
      <c r="L1046" s="11"/>
    </row>
    <row r="1047" customFormat="false" ht="15" hidden="false" customHeight="false" outlineLevel="0" collapsed="false">
      <c r="A1047" s="22"/>
      <c r="B1047" s="11"/>
      <c r="C1047" s="24"/>
      <c r="D1047" s="31" t="str">
        <f aca="false">IF(C1047="","",IF(LEN(UPPER(SUBSTITUTE(SUBSTITUTE(SUBSTITUTE(SUBSTITUTE(TRIM(C1047),".",""),"/",""),"-","")," ","")))&lt;14,RIGHT(REPT("0",14)&amp;UPPER(SUBSTITUTE(SUBSTITUTE(SUBSTITUTE(SUBSTITUTE(TRIM(C1047),".",""),"/",""),"-","")," ","")),14),UPPER(SUBSTITUTE(SUBSTITUTE(SUBSTITUTE(SUBSTITUTE(TRIM(C1047),".",""),"/",""),"-","")," ",""))))</f>
        <v/>
      </c>
      <c r="E1047" s="25" t="str">
        <f aca="false">IF(D1047="","",IFERROR(INDEX(Empresas!$C:$C,MATCH(D1047,Empresas!$B:$B,0)),"cadastre o CNPJ em Empresas"))</f>
        <v/>
      </c>
      <c r="F1047" s="23"/>
      <c r="G1047" s="35"/>
      <c r="H1047" s="24"/>
      <c r="I1047" s="11"/>
      <c r="J1047" s="27" t="str">
        <f aca="false">IF(A1047="","",YEAR(A1047))</f>
        <v/>
      </c>
      <c r="K1047" s="24"/>
      <c r="L1047" s="11"/>
    </row>
    <row r="1048" customFormat="false" ht="15" hidden="false" customHeight="false" outlineLevel="0" collapsed="false">
      <c r="A1048" s="22"/>
      <c r="B1048" s="11"/>
      <c r="C1048" s="24"/>
      <c r="D1048" s="31" t="str">
        <f aca="false">IF(C1048="","",IF(LEN(UPPER(SUBSTITUTE(SUBSTITUTE(SUBSTITUTE(SUBSTITUTE(TRIM(C1048),".",""),"/",""),"-","")," ","")))&lt;14,RIGHT(REPT("0",14)&amp;UPPER(SUBSTITUTE(SUBSTITUTE(SUBSTITUTE(SUBSTITUTE(TRIM(C1048),".",""),"/",""),"-","")," ","")),14),UPPER(SUBSTITUTE(SUBSTITUTE(SUBSTITUTE(SUBSTITUTE(TRIM(C1048),".",""),"/",""),"-","")," ",""))))</f>
        <v/>
      </c>
      <c r="E1048" s="25" t="str">
        <f aca="false">IF(D1048="","",IFERROR(INDEX(Empresas!$C:$C,MATCH(D1048,Empresas!$B:$B,0)),"cadastre o CNPJ em Empresas"))</f>
        <v/>
      </c>
      <c r="F1048" s="23"/>
      <c r="G1048" s="35"/>
      <c r="H1048" s="24"/>
      <c r="I1048" s="11"/>
      <c r="J1048" s="27" t="str">
        <f aca="false">IF(A1048="","",YEAR(A1048))</f>
        <v/>
      </c>
      <c r="K1048" s="24"/>
      <c r="L1048" s="11"/>
    </row>
    <row r="1049" customFormat="false" ht="15" hidden="false" customHeight="false" outlineLevel="0" collapsed="false">
      <c r="A1049" s="22"/>
      <c r="B1049" s="11"/>
      <c r="C1049" s="24"/>
      <c r="D1049" s="31" t="str">
        <f aca="false">IF(C1049="","",IF(LEN(UPPER(SUBSTITUTE(SUBSTITUTE(SUBSTITUTE(SUBSTITUTE(TRIM(C1049),".",""),"/",""),"-","")," ","")))&lt;14,RIGHT(REPT("0",14)&amp;UPPER(SUBSTITUTE(SUBSTITUTE(SUBSTITUTE(SUBSTITUTE(TRIM(C1049),".",""),"/",""),"-","")," ","")),14),UPPER(SUBSTITUTE(SUBSTITUTE(SUBSTITUTE(SUBSTITUTE(TRIM(C1049),".",""),"/",""),"-","")," ",""))))</f>
        <v/>
      </c>
      <c r="E1049" s="25" t="str">
        <f aca="false">IF(D1049="","",IFERROR(INDEX(Empresas!$C:$C,MATCH(D1049,Empresas!$B:$B,0)),"cadastre o CNPJ em Empresas"))</f>
        <v/>
      </c>
      <c r="F1049" s="23"/>
      <c r="G1049" s="35"/>
      <c r="H1049" s="24"/>
      <c r="I1049" s="11"/>
      <c r="J1049" s="27" t="str">
        <f aca="false">IF(A1049="","",YEAR(A1049))</f>
        <v/>
      </c>
      <c r="K1049" s="24"/>
      <c r="L1049" s="11"/>
    </row>
    <row r="1050" customFormat="false" ht="15" hidden="false" customHeight="false" outlineLevel="0" collapsed="false">
      <c r="A1050" s="22"/>
      <c r="B1050" s="11"/>
      <c r="C1050" s="24"/>
      <c r="D1050" s="31" t="str">
        <f aca="false">IF(C1050="","",IF(LEN(UPPER(SUBSTITUTE(SUBSTITUTE(SUBSTITUTE(SUBSTITUTE(TRIM(C1050),".",""),"/",""),"-","")," ","")))&lt;14,RIGHT(REPT("0",14)&amp;UPPER(SUBSTITUTE(SUBSTITUTE(SUBSTITUTE(SUBSTITUTE(TRIM(C1050),".",""),"/",""),"-","")," ","")),14),UPPER(SUBSTITUTE(SUBSTITUTE(SUBSTITUTE(SUBSTITUTE(TRIM(C1050),".",""),"/",""),"-","")," ",""))))</f>
        <v/>
      </c>
      <c r="E1050" s="25" t="str">
        <f aca="false">IF(D1050="","",IFERROR(INDEX(Empresas!$C:$C,MATCH(D1050,Empresas!$B:$B,0)),"cadastre o CNPJ em Empresas"))</f>
        <v/>
      </c>
      <c r="F1050" s="23"/>
      <c r="G1050" s="35"/>
      <c r="H1050" s="24"/>
      <c r="I1050" s="11"/>
      <c r="J1050" s="27" t="str">
        <f aca="false">IF(A1050="","",YEAR(A1050))</f>
        <v/>
      </c>
      <c r="K1050" s="24"/>
      <c r="L1050" s="11"/>
    </row>
    <row r="1051" customFormat="false" ht="15" hidden="false" customHeight="false" outlineLevel="0" collapsed="false">
      <c r="A1051" s="22"/>
      <c r="B1051" s="11"/>
      <c r="C1051" s="24"/>
      <c r="D1051" s="31" t="str">
        <f aca="false">IF(C1051="","",IF(LEN(UPPER(SUBSTITUTE(SUBSTITUTE(SUBSTITUTE(SUBSTITUTE(TRIM(C1051),".",""),"/",""),"-","")," ","")))&lt;14,RIGHT(REPT("0",14)&amp;UPPER(SUBSTITUTE(SUBSTITUTE(SUBSTITUTE(SUBSTITUTE(TRIM(C1051),".",""),"/",""),"-","")," ","")),14),UPPER(SUBSTITUTE(SUBSTITUTE(SUBSTITUTE(SUBSTITUTE(TRIM(C1051),".",""),"/",""),"-","")," ",""))))</f>
        <v/>
      </c>
      <c r="E1051" s="25" t="str">
        <f aca="false">IF(D1051="","",IFERROR(INDEX(Empresas!$C:$C,MATCH(D1051,Empresas!$B:$B,0)),"cadastre o CNPJ em Empresas"))</f>
        <v/>
      </c>
      <c r="F1051" s="23"/>
      <c r="G1051" s="35"/>
      <c r="H1051" s="24"/>
      <c r="I1051" s="11"/>
      <c r="J1051" s="27" t="str">
        <f aca="false">IF(A1051="","",YEAR(A1051))</f>
        <v/>
      </c>
      <c r="K1051" s="24"/>
      <c r="L1051" s="11"/>
    </row>
    <row r="1052" customFormat="false" ht="15" hidden="false" customHeight="false" outlineLevel="0" collapsed="false">
      <c r="A1052" s="22"/>
      <c r="B1052" s="11"/>
      <c r="C1052" s="24"/>
      <c r="D1052" s="31" t="str">
        <f aca="false">IF(C1052="","",IF(LEN(UPPER(SUBSTITUTE(SUBSTITUTE(SUBSTITUTE(SUBSTITUTE(TRIM(C1052),".",""),"/",""),"-","")," ","")))&lt;14,RIGHT(REPT("0",14)&amp;UPPER(SUBSTITUTE(SUBSTITUTE(SUBSTITUTE(SUBSTITUTE(TRIM(C1052),".",""),"/",""),"-","")," ","")),14),UPPER(SUBSTITUTE(SUBSTITUTE(SUBSTITUTE(SUBSTITUTE(TRIM(C1052),".",""),"/",""),"-","")," ",""))))</f>
        <v/>
      </c>
      <c r="E1052" s="25" t="str">
        <f aca="false">IF(D1052="","",IFERROR(INDEX(Empresas!$C:$C,MATCH(D1052,Empresas!$B:$B,0)),"cadastre o CNPJ em Empresas"))</f>
        <v/>
      </c>
      <c r="F1052" s="23"/>
      <c r="G1052" s="35"/>
      <c r="H1052" s="24"/>
      <c r="I1052" s="11"/>
      <c r="J1052" s="27" t="str">
        <f aca="false">IF(A1052="","",YEAR(A1052))</f>
        <v/>
      </c>
      <c r="K1052" s="24"/>
      <c r="L1052" s="11"/>
    </row>
    <row r="1053" customFormat="false" ht="15" hidden="false" customHeight="false" outlineLevel="0" collapsed="false">
      <c r="A1053" s="22"/>
      <c r="B1053" s="11"/>
      <c r="C1053" s="24"/>
      <c r="D1053" s="31" t="str">
        <f aca="false">IF(C1053="","",IF(LEN(UPPER(SUBSTITUTE(SUBSTITUTE(SUBSTITUTE(SUBSTITUTE(TRIM(C1053),".",""),"/",""),"-","")," ","")))&lt;14,RIGHT(REPT("0",14)&amp;UPPER(SUBSTITUTE(SUBSTITUTE(SUBSTITUTE(SUBSTITUTE(TRIM(C1053),".",""),"/",""),"-","")," ","")),14),UPPER(SUBSTITUTE(SUBSTITUTE(SUBSTITUTE(SUBSTITUTE(TRIM(C1053),".",""),"/",""),"-","")," ",""))))</f>
        <v/>
      </c>
      <c r="E1053" s="25" t="str">
        <f aca="false">IF(D1053="","",IFERROR(INDEX(Empresas!$C:$C,MATCH(D1053,Empresas!$B:$B,0)),"cadastre o CNPJ em Empresas"))</f>
        <v/>
      </c>
      <c r="F1053" s="23"/>
      <c r="G1053" s="35"/>
      <c r="H1053" s="24"/>
      <c r="I1053" s="11"/>
      <c r="J1053" s="27" t="str">
        <f aca="false">IF(A1053="","",YEAR(A1053))</f>
        <v/>
      </c>
      <c r="K1053" s="24"/>
      <c r="L1053" s="11"/>
    </row>
    <row r="1054" customFormat="false" ht="15" hidden="false" customHeight="false" outlineLevel="0" collapsed="false">
      <c r="A1054" s="22"/>
      <c r="B1054" s="11"/>
      <c r="C1054" s="24"/>
      <c r="D1054" s="31" t="str">
        <f aca="false">IF(C1054="","",IF(LEN(UPPER(SUBSTITUTE(SUBSTITUTE(SUBSTITUTE(SUBSTITUTE(TRIM(C1054),".",""),"/",""),"-","")," ","")))&lt;14,RIGHT(REPT("0",14)&amp;UPPER(SUBSTITUTE(SUBSTITUTE(SUBSTITUTE(SUBSTITUTE(TRIM(C1054),".",""),"/",""),"-","")," ","")),14),UPPER(SUBSTITUTE(SUBSTITUTE(SUBSTITUTE(SUBSTITUTE(TRIM(C1054),".",""),"/",""),"-","")," ",""))))</f>
        <v/>
      </c>
      <c r="E1054" s="25" t="str">
        <f aca="false">IF(D1054="","",IFERROR(INDEX(Empresas!$C:$C,MATCH(D1054,Empresas!$B:$B,0)),"cadastre o CNPJ em Empresas"))</f>
        <v/>
      </c>
      <c r="F1054" s="23"/>
      <c r="G1054" s="35"/>
      <c r="H1054" s="24"/>
      <c r="I1054" s="11"/>
      <c r="J1054" s="27" t="str">
        <f aca="false">IF(A1054="","",YEAR(A1054))</f>
        <v/>
      </c>
      <c r="K1054" s="24"/>
      <c r="L1054" s="11"/>
    </row>
    <row r="1055" customFormat="false" ht="15" hidden="false" customHeight="false" outlineLevel="0" collapsed="false">
      <c r="A1055" s="22"/>
      <c r="B1055" s="11"/>
      <c r="C1055" s="24"/>
      <c r="D1055" s="31" t="str">
        <f aca="false">IF(C1055="","",IF(LEN(UPPER(SUBSTITUTE(SUBSTITUTE(SUBSTITUTE(SUBSTITUTE(TRIM(C1055),".",""),"/",""),"-","")," ","")))&lt;14,RIGHT(REPT("0",14)&amp;UPPER(SUBSTITUTE(SUBSTITUTE(SUBSTITUTE(SUBSTITUTE(TRIM(C1055),".",""),"/",""),"-","")," ","")),14),UPPER(SUBSTITUTE(SUBSTITUTE(SUBSTITUTE(SUBSTITUTE(TRIM(C1055),".",""),"/",""),"-","")," ",""))))</f>
        <v/>
      </c>
      <c r="E1055" s="25" t="str">
        <f aca="false">IF(D1055="","",IFERROR(INDEX(Empresas!$C:$C,MATCH(D1055,Empresas!$B:$B,0)),"cadastre o CNPJ em Empresas"))</f>
        <v/>
      </c>
      <c r="F1055" s="23"/>
      <c r="G1055" s="35"/>
      <c r="H1055" s="24"/>
      <c r="I1055" s="11"/>
      <c r="J1055" s="27" t="str">
        <f aca="false">IF(A1055="","",YEAR(A1055))</f>
        <v/>
      </c>
      <c r="K1055" s="24"/>
      <c r="L1055" s="11"/>
    </row>
    <row r="1056" customFormat="false" ht="15" hidden="false" customHeight="false" outlineLevel="0" collapsed="false">
      <c r="A1056" s="22"/>
      <c r="B1056" s="11"/>
      <c r="C1056" s="24"/>
      <c r="D1056" s="31" t="str">
        <f aca="false">IF(C1056="","",IF(LEN(UPPER(SUBSTITUTE(SUBSTITUTE(SUBSTITUTE(SUBSTITUTE(TRIM(C1056),".",""),"/",""),"-","")," ","")))&lt;14,RIGHT(REPT("0",14)&amp;UPPER(SUBSTITUTE(SUBSTITUTE(SUBSTITUTE(SUBSTITUTE(TRIM(C1056),".",""),"/",""),"-","")," ","")),14),UPPER(SUBSTITUTE(SUBSTITUTE(SUBSTITUTE(SUBSTITUTE(TRIM(C1056),".",""),"/",""),"-","")," ",""))))</f>
        <v/>
      </c>
      <c r="E1056" s="25" t="str">
        <f aca="false">IF(D1056="","",IFERROR(INDEX(Empresas!$C:$C,MATCH(D1056,Empresas!$B:$B,0)),"cadastre o CNPJ em Empresas"))</f>
        <v/>
      </c>
      <c r="F1056" s="23"/>
      <c r="G1056" s="35"/>
      <c r="H1056" s="24"/>
      <c r="I1056" s="11"/>
      <c r="J1056" s="27" t="str">
        <f aca="false">IF(A1056="","",YEAR(A1056))</f>
        <v/>
      </c>
      <c r="K1056" s="24"/>
      <c r="L1056" s="11"/>
    </row>
    <row r="1057" customFormat="false" ht="15" hidden="false" customHeight="false" outlineLevel="0" collapsed="false">
      <c r="A1057" s="22"/>
      <c r="B1057" s="11"/>
      <c r="C1057" s="24"/>
      <c r="D1057" s="31" t="str">
        <f aca="false">IF(C1057="","",IF(LEN(UPPER(SUBSTITUTE(SUBSTITUTE(SUBSTITUTE(SUBSTITUTE(TRIM(C1057),".",""),"/",""),"-","")," ","")))&lt;14,RIGHT(REPT("0",14)&amp;UPPER(SUBSTITUTE(SUBSTITUTE(SUBSTITUTE(SUBSTITUTE(TRIM(C1057),".",""),"/",""),"-","")," ","")),14),UPPER(SUBSTITUTE(SUBSTITUTE(SUBSTITUTE(SUBSTITUTE(TRIM(C1057),".",""),"/",""),"-","")," ",""))))</f>
        <v/>
      </c>
      <c r="E1057" s="25" t="str">
        <f aca="false">IF(D1057="","",IFERROR(INDEX(Empresas!$C:$C,MATCH(D1057,Empresas!$B:$B,0)),"cadastre o CNPJ em Empresas"))</f>
        <v/>
      </c>
      <c r="F1057" s="23"/>
      <c r="G1057" s="35"/>
      <c r="H1057" s="24"/>
      <c r="I1057" s="11"/>
      <c r="J1057" s="27" t="str">
        <f aca="false">IF(A1057="","",YEAR(A1057))</f>
        <v/>
      </c>
      <c r="K1057" s="24"/>
      <c r="L1057" s="11"/>
    </row>
    <row r="1058" customFormat="false" ht="15" hidden="false" customHeight="false" outlineLevel="0" collapsed="false">
      <c r="A1058" s="22"/>
      <c r="B1058" s="11"/>
      <c r="C1058" s="24"/>
      <c r="D1058" s="31" t="str">
        <f aca="false">IF(C1058="","",IF(LEN(UPPER(SUBSTITUTE(SUBSTITUTE(SUBSTITUTE(SUBSTITUTE(TRIM(C1058),".",""),"/",""),"-","")," ","")))&lt;14,RIGHT(REPT("0",14)&amp;UPPER(SUBSTITUTE(SUBSTITUTE(SUBSTITUTE(SUBSTITUTE(TRIM(C1058),".",""),"/",""),"-","")," ","")),14),UPPER(SUBSTITUTE(SUBSTITUTE(SUBSTITUTE(SUBSTITUTE(TRIM(C1058),".",""),"/",""),"-","")," ",""))))</f>
        <v/>
      </c>
      <c r="E1058" s="25" t="str">
        <f aca="false">IF(D1058="","",IFERROR(INDEX(Empresas!$C:$C,MATCH(D1058,Empresas!$B:$B,0)),"cadastre o CNPJ em Empresas"))</f>
        <v/>
      </c>
      <c r="F1058" s="23"/>
      <c r="G1058" s="35"/>
      <c r="H1058" s="24"/>
      <c r="I1058" s="11"/>
      <c r="J1058" s="27" t="str">
        <f aca="false">IF(A1058="","",YEAR(A1058))</f>
        <v/>
      </c>
      <c r="K1058" s="24"/>
      <c r="L1058" s="11"/>
    </row>
    <row r="1059" customFormat="false" ht="15" hidden="false" customHeight="false" outlineLevel="0" collapsed="false">
      <c r="A1059" s="22"/>
      <c r="B1059" s="11"/>
      <c r="C1059" s="24"/>
      <c r="D1059" s="31" t="str">
        <f aca="false">IF(C1059="","",IF(LEN(UPPER(SUBSTITUTE(SUBSTITUTE(SUBSTITUTE(SUBSTITUTE(TRIM(C1059),".",""),"/",""),"-","")," ","")))&lt;14,RIGHT(REPT("0",14)&amp;UPPER(SUBSTITUTE(SUBSTITUTE(SUBSTITUTE(SUBSTITUTE(TRIM(C1059),".",""),"/",""),"-","")," ","")),14),UPPER(SUBSTITUTE(SUBSTITUTE(SUBSTITUTE(SUBSTITUTE(TRIM(C1059),".",""),"/",""),"-","")," ",""))))</f>
        <v/>
      </c>
      <c r="E1059" s="25" t="str">
        <f aca="false">IF(D1059="","",IFERROR(INDEX(Empresas!$C:$C,MATCH(D1059,Empresas!$B:$B,0)),"cadastre o CNPJ em Empresas"))</f>
        <v/>
      </c>
      <c r="F1059" s="23"/>
      <c r="G1059" s="35"/>
      <c r="H1059" s="24"/>
      <c r="I1059" s="11"/>
      <c r="J1059" s="27" t="str">
        <f aca="false">IF(A1059="","",YEAR(A1059))</f>
        <v/>
      </c>
      <c r="K1059" s="24"/>
      <c r="L1059" s="11"/>
    </row>
    <row r="1060" customFormat="false" ht="15" hidden="false" customHeight="false" outlineLevel="0" collapsed="false">
      <c r="A1060" s="22"/>
      <c r="B1060" s="11"/>
      <c r="C1060" s="24"/>
      <c r="D1060" s="31" t="str">
        <f aca="false">IF(C1060="","",IF(LEN(UPPER(SUBSTITUTE(SUBSTITUTE(SUBSTITUTE(SUBSTITUTE(TRIM(C1060),".",""),"/",""),"-","")," ","")))&lt;14,RIGHT(REPT("0",14)&amp;UPPER(SUBSTITUTE(SUBSTITUTE(SUBSTITUTE(SUBSTITUTE(TRIM(C1060),".",""),"/",""),"-","")," ","")),14),UPPER(SUBSTITUTE(SUBSTITUTE(SUBSTITUTE(SUBSTITUTE(TRIM(C1060),".",""),"/",""),"-","")," ",""))))</f>
        <v/>
      </c>
      <c r="E1060" s="25" t="str">
        <f aca="false">IF(D1060="","",IFERROR(INDEX(Empresas!$C:$C,MATCH(D1060,Empresas!$B:$B,0)),"cadastre o CNPJ em Empresas"))</f>
        <v/>
      </c>
      <c r="F1060" s="23"/>
      <c r="G1060" s="35"/>
      <c r="H1060" s="24"/>
      <c r="I1060" s="11"/>
      <c r="J1060" s="27" t="str">
        <f aca="false">IF(A1060="","",YEAR(A1060))</f>
        <v/>
      </c>
      <c r="K1060" s="24"/>
      <c r="L1060" s="11"/>
    </row>
    <row r="1061" customFormat="false" ht="15" hidden="false" customHeight="false" outlineLevel="0" collapsed="false">
      <c r="A1061" s="22"/>
      <c r="B1061" s="11"/>
      <c r="C1061" s="24"/>
      <c r="D1061" s="31" t="str">
        <f aca="false">IF(C1061="","",IF(LEN(UPPER(SUBSTITUTE(SUBSTITUTE(SUBSTITUTE(SUBSTITUTE(TRIM(C1061),".",""),"/",""),"-","")," ","")))&lt;14,RIGHT(REPT("0",14)&amp;UPPER(SUBSTITUTE(SUBSTITUTE(SUBSTITUTE(SUBSTITUTE(TRIM(C1061),".",""),"/",""),"-","")," ","")),14),UPPER(SUBSTITUTE(SUBSTITUTE(SUBSTITUTE(SUBSTITUTE(TRIM(C1061),".",""),"/",""),"-","")," ",""))))</f>
        <v/>
      </c>
      <c r="E1061" s="25" t="str">
        <f aca="false">IF(D1061="","",IFERROR(INDEX(Empresas!$C:$C,MATCH(D1061,Empresas!$B:$B,0)),"cadastre o CNPJ em Empresas"))</f>
        <v/>
      </c>
      <c r="F1061" s="23"/>
      <c r="G1061" s="35"/>
      <c r="H1061" s="24"/>
      <c r="I1061" s="11"/>
      <c r="J1061" s="27" t="str">
        <f aca="false">IF(A1061="","",YEAR(A1061))</f>
        <v/>
      </c>
      <c r="K1061" s="24"/>
      <c r="L1061" s="11"/>
    </row>
    <row r="1062" customFormat="false" ht="15" hidden="false" customHeight="false" outlineLevel="0" collapsed="false">
      <c r="A1062" s="22"/>
      <c r="B1062" s="11"/>
      <c r="C1062" s="24"/>
      <c r="D1062" s="31" t="str">
        <f aca="false">IF(C1062="","",IF(LEN(UPPER(SUBSTITUTE(SUBSTITUTE(SUBSTITUTE(SUBSTITUTE(TRIM(C1062),".",""),"/",""),"-","")," ","")))&lt;14,RIGHT(REPT("0",14)&amp;UPPER(SUBSTITUTE(SUBSTITUTE(SUBSTITUTE(SUBSTITUTE(TRIM(C1062),".",""),"/",""),"-","")," ","")),14),UPPER(SUBSTITUTE(SUBSTITUTE(SUBSTITUTE(SUBSTITUTE(TRIM(C1062),".",""),"/",""),"-","")," ",""))))</f>
        <v/>
      </c>
      <c r="E1062" s="25" t="str">
        <f aca="false">IF(D1062="","",IFERROR(INDEX(Empresas!$C:$C,MATCH(D1062,Empresas!$B:$B,0)),"cadastre o CNPJ em Empresas"))</f>
        <v/>
      </c>
      <c r="F1062" s="23"/>
      <c r="G1062" s="35"/>
      <c r="H1062" s="24"/>
      <c r="I1062" s="11"/>
      <c r="J1062" s="27" t="str">
        <f aca="false">IF(A1062="","",YEAR(A1062))</f>
        <v/>
      </c>
      <c r="K1062" s="24"/>
      <c r="L1062" s="11"/>
    </row>
    <row r="1063" customFormat="false" ht="15" hidden="false" customHeight="false" outlineLevel="0" collapsed="false">
      <c r="A1063" s="22"/>
      <c r="B1063" s="11"/>
      <c r="C1063" s="24"/>
      <c r="D1063" s="31" t="str">
        <f aca="false">IF(C1063="","",IF(LEN(UPPER(SUBSTITUTE(SUBSTITUTE(SUBSTITUTE(SUBSTITUTE(TRIM(C1063),".",""),"/",""),"-","")," ","")))&lt;14,RIGHT(REPT("0",14)&amp;UPPER(SUBSTITUTE(SUBSTITUTE(SUBSTITUTE(SUBSTITUTE(TRIM(C1063),".",""),"/",""),"-","")," ","")),14),UPPER(SUBSTITUTE(SUBSTITUTE(SUBSTITUTE(SUBSTITUTE(TRIM(C1063),".",""),"/",""),"-","")," ",""))))</f>
        <v/>
      </c>
      <c r="E1063" s="25" t="str">
        <f aca="false">IF(D1063="","",IFERROR(INDEX(Empresas!$C:$C,MATCH(D1063,Empresas!$B:$B,0)),"cadastre o CNPJ em Empresas"))</f>
        <v/>
      </c>
      <c r="F1063" s="23"/>
      <c r="G1063" s="35"/>
      <c r="H1063" s="24"/>
      <c r="I1063" s="11"/>
      <c r="J1063" s="27" t="str">
        <f aca="false">IF(A1063="","",YEAR(A1063))</f>
        <v/>
      </c>
      <c r="K1063" s="24"/>
      <c r="L1063" s="11"/>
    </row>
    <row r="1064" customFormat="false" ht="15" hidden="false" customHeight="false" outlineLevel="0" collapsed="false">
      <c r="A1064" s="22"/>
      <c r="B1064" s="11"/>
      <c r="C1064" s="24"/>
      <c r="D1064" s="31" t="str">
        <f aca="false">IF(C1064="","",IF(LEN(UPPER(SUBSTITUTE(SUBSTITUTE(SUBSTITUTE(SUBSTITUTE(TRIM(C1064),".",""),"/",""),"-","")," ","")))&lt;14,RIGHT(REPT("0",14)&amp;UPPER(SUBSTITUTE(SUBSTITUTE(SUBSTITUTE(SUBSTITUTE(TRIM(C1064),".",""),"/",""),"-","")," ","")),14),UPPER(SUBSTITUTE(SUBSTITUTE(SUBSTITUTE(SUBSTITUTE(TRIM(C1064),".",""),"/",""),"-","")," ",""))))</f>
        <v/>
      </c>
      <c r="E1064" s="25" t="str">
        <f aca="false">IF(D1064="","",IFERROR(INDEX(Empresas!$C:$C,MATCH(D1064,Empresas!$B:$B,0)),"cadastre o CNPJ em Empresas"))</f>
        <v/>
      </c>
      <c r="F1064" s="23"/>
      <c r="G1064" s="35"/>
      <c r="H1064" s="24"/>
      <c r="I1064" s="11"/>
      <c r="J1064" s="27" t="str">
        <f aca="false">IF(A1064="","",YEAR(A1064))</f>
        <v/>
      </c>
      <c r="K1064" s="24"/>
      <c r="L1064" s="11"/>
    </row>
    <row r="1065" customFormat="false" ht="15" hidden="false" customHeight="false" outlineLevel="0" collapsed="false">
      <c r="A1065" s="22"/>
      <c r="B1065" s="11"/>
      <c r="C1065" s="24"/>
      <c r="D1065" s="31" t="str">
        <f aca="false">IF(C1065="","",IF(LEN(UPPER(SUBSTITUTE(SUBSTITUTE(SUBSTITUTE(SUBSTITUTE(TRIM(C1065),".",""),"/",""),"-","")," ","")))&lt;14,RIGHT(REPT("0",14)&amp;UPPER(SUBSTITUTE(SUBSTITUTE(SUBSTITUTE(SUBSTITUTE(TRIM(C1065),".",""),"/",""),"-","")," ","")),14),UPPER(SUBSTITUTE(SUBSTITUTE(SUBSTITUTE(SUBSTITUTE(TRIM(C1065),".",""),"/",""),"-","")," ",""))))</f>
        <v/>
      </c>
      <c r="E1065" s="25" t="str">
        <f aca="false">IF(D1065="","",IFERROR(INDEX(Empresas!$C:$C,MATCH(D1065,Empresas!$B:$B,0)),"cadastre o CNPJ em Empresas"))</f>
        <v/>
      </c>
      <c r="F1065" s="23"/>
      <c r="G1065" s="35"/>
      <c r="H1065" s="24"/>
      <c r="I1065" s="11"/>
      <c r="J1065" s="27" t="str">
        <f aca="false">IF(A1065="","",YEAR(A1065))</f>
        <v/>
      </c>
      <c r="K1065" s="24"/>
      <c r="L1065" s="11"/>
    </row>
    <row r="1066" customFormat="false" ht="15" hidden="false" customHeight="false" outlineLevel="0" collapsed="false">
      <c r="A1066" s="22"/>
      <c r="B1066" s="11"/>
      <c r="C1066" s="24"/>
      <c r="D1066" s="31" t="str">
        <f aca="false">IF(C1066="","",IF(LEN(UPPER(SUBSTITUTE(SUBSTITUTE(SUBSTITUTE(SUBSTITUTE(TRIM(C1066),".",""),"/",""),"-","")," ","")))&lt;14,RIGHT(REPT("0",14)&amp;UPPER(SUBSTITUTE(SUBSTITUTE(SUBSTITUTE(SUBSTITUTE(TRIM(C1066),".",""),"/",""),"-","")," ","")),14),UPPER(SUBSTITUTE(SUBSTITUTE(SUBSTITUTE(SUBSTITUTE(TRIM(C1066),".",""),"/",""),"-","")," ",""))))</f>
        <v/>
      </c>
      <c r="E1066" s="25" t="str">
        <f aca="false">IF(D1066="","",IFERROR(INDEX(Empresas!$C:$C,MATCH(D1066,Empresas!$B:$B,0)),"cadastre o CNPJ em Empresas"))</f>
        <v/>
      </c>
      <c r="F1066" s="23"/>
      <c r="G1066" s="35"/>
      <c r="H1066" s="24"/>
      <c r="I1066" s="11"/>
      <c r="J1066" s="27" t="str">
        <f aca="false">IF(A1066="","",YEAR(A1066))</f>
        <v/>
      </c>
      <c r="K1066" s="24"/>
      <c r="L1066" s="11"/>
    </row>
    <row r="1067" customFormat="false" ht="15" hidden="false" customHeight="false" outlineLevel="0" collapsed="false">
      <c r="A1067" s="22"/>
      <c r="B1067" s="11"/>
      <c r="C1067" s="24"/>
      <c r="D1067" s="31" t="str">
        <f aca="false">IF(C1067="","",IF(LEN(UPPER(SUBSTITUTE(SUBSTITUTE(SUBSTITUTE(SUBSTITUTE(TRIM(C1067),".",""),"/",""),"-","")," ","")))&lt;14,RIGHT(REPT("0",14)&amp;UPPER(SUBSTITUTE(SUBSTITUTE(SUBSTITUTE(SUBSTITUTE(TRIM(C1067),".",""),"/",""),"-","")," ","")),14),UPPER(SUBSTITUTE(SUBSTITUTE(SUBSTITUTE(SUBSTITUTE(TRIM(C1067),".",""),"/",""),"-","")," ",""))))</f>
        <v/>
      </c>
      <c r="E1067" s="25" t="str">
        <f aca="false">IF(D1067="","",IFERROR(INDEX(Empresas!$C:$C,MATCH(D1067,Empresas!$B:$B,0)),"cadastre o CNPJ em Empresas"))</f>
        <v/>
      </c>
      <c r="F1067" s="23"/>
      <c r="G1067" s="35"/>
      <c r="H1067" s="24"/>
      <c r="I1067" s="11"/>
      <c r="J1067" s="27" t="str">
        <f aca="false">IF(A1067="","",YEAR(A1067))</f>
        <v/>
      </c>
      <c r="K1067" s="24"/>
      <c r="L1067" s="11"/>
    </row>
    <row r="1068" customFormat="false" ht="15" hidden="false" customHeight="false" outlineLevel="0" collapsed="false">
      <c r="A1068" s="22"/>
      <c r="B1068" s="11"/>
      <c r="C1068" s="24"/>
      <c r="D1068" s="31" t="str">
        <f aca="false">IF(C1068="","",IF(LEN(UPPER(SUBSTITUTE(SUBSTITUTE(SUBSTITUTE(SUBSTITUTE(TRIM(C1068),".",""),"/",""),"-","")," ","")))&lt;14,RIGHT(REPT("0",14)&amp;UPPER(SUBSTITUTE(SUBSTITUTE(SUBSTITUTE(SUBSTITUTE(TRIM(C1068),".",""),"/",""),"-","")," ","")),14),UPPER(SUBSTITUTE(SUBSTITUTE(SUBSTITUTE(SUBSTITUTE(TRIM(C1068),".",""),"/",""),"-","")," ",""))))</f>
        <v/>
      </c>
      <c r="E1068" s="25" t="str">
        <f aca="false">IF(D1068="","",IFERROR(INDEX(Empresas!$C:$C,MATCH(D1068,Empresas!$B:$B,0)),"cadastre o CNPJ em Empresas"))</f>
        <v/>
      </c>
      <c r="F1068" s="23"/>
      <c r="G1068" s="35"/>
      <c r="H1068" s="24"/>
      <c r="I1068" s="11"/>
      <c r="J1068" s="27" t="str">
        <f aca="false">IF(A1068="","",YEAR(A1068))</f>
        <v/>
      </c>
      <c r="K1068" s="24"/>
      <c r="L1068" s="11"/>
    </row>
    <row r="1069" customFormat="false" ht="15" hidden="false" customHeight="false" outlineLevel="0" collapsed="false">
      <c r="A1069" s="22"/>
      <c r="B1069" s="11"/>
      <c r="C1069" s="24"/>
      <c r="D1069" s="31" t="str">
        <f aca="false">IF(C1069="","",IF(LEN(UPPER(SUBSTITUTE(SUBSTITUTE(SUBSTITUTE(SUBSTITUTE(TRIM(C1069),".",""),"/",""),"-","")," ","")))&lt;14,RIGHT(REPT("0",14)&amp;UPPER(SUBSTITUTE(SUBSTITUTE(SUBSTITUTE(SUBSTITUTE(TRIM(C1069),".",""),"/",""),"-","")," ","")),14),UPPER(SUBSTITUTE(SUBSTITUTE(SUBSTITUTE(SUBSTITUTE(TRIM(C1069),".",""),"/",""),"-","")," ",""))))</f>
        <v/>
      </c>
      <c r="E1069" s="25" t="str">
        <f aca="false">IF(D1069="","",IFERROR(INDEX(Empresas!$C:$C,MATCH(D1069,Empresas!$B:$B,0)),"cadastre o CNPJ em Empresas"))</f>
        <v/>
      </c>
      <c r="F1069" s="23"/>
      <c r="G1069" s="35"/>
      <c r="H1069" s="24"/>
      <c r="I1069" s="11"/>
      <c r="J1069" s="27" t="str">
        <f aca="false">IF(A1069="","",YEAR(A1069))</f>
        <v/>
      </c>
      <c r="K1069" s="24"/>
      <c r="L1069" s="11"/>
    </row>
    <row r="1070" customFormat="false" ht="15" hidden="false" customHeight="false" outlineLevel="0" collapsed="false">
      <c r="A1070" s="22"/>
      <c r="B1070" s="11"/>
      <c r="C1070" s="24"/>
      <c r="D1070" s="31" t="str">
        <f aca="false">IF(C1070="","",IF(LEN(UPPER(SUBSTITUTE(SUBSTITUTE(SUBSTITUTE(SUBSTITUTE(TRIM(C1070),".",""),"/",""),"-","")," ","")))&lt;14,RIGHT(REPT("0",14)&amp;UPPER(SUBSTITUTE(SUBSTITUTE(SUBSTITUTE(SUBSTITUTE(TRIM(C1070),".",""),"/",""),"-","")," ","")),14),UPPER(SUBSTITUTE(SUBSTITUTE(SUBSTITUTE(SUBSTITUTE(TRIM(C1070),".",""),"/",""),"-","")," ",""))))</f>
        <v/>
      </c>
      <c r="E1070" s="25" t="str">
        <f aca="false">IF(D1070="","",IFERROR(INDEX(Empresas!$C:$C,MATCH(D1070,Empresas!$B:$B,0)),"cadastre o CNPJ em Empresas"))</f>
        <v/>
      </c>
      <c r="F1070" s="23"/>
      <c r="G1070" s="35"/>
      <c r="H1070" s="24"/>
      <c r="I1070" s="11"/>
      <c r="J1070" s="27" t="str">
        <f aca="false">IF(A1070="","",YEAR(A1070))</f>
        <v/>
      </c>
      <c r="K1070" s="24"/>
      <c r="L1070" s="11"/>
    </row>
    <row r="1071" customFormat="false" ht="15" hidden="false" customHeight="false" outlineLevel="0" collapsed="false">
      <c r="A1071" s="22"/>
      <c r="B1071" s="11"/>
      <c r="C1071" s="24"/>
      <c r="D1071" s="31" t="str">
        <f aca="false">IF(C1071="","",IF(LEN(UPPER(SUBSTITUTE(SUBSTITUTE(SUBSTITUTE(SUBSTITUTE(TRIM(C1071),".",""),"/",""),"-","")," ","")))&lt;14,RIGHT(REPT("0",14)&amp;UPPER(SUBSTITUTE(SUBSTITUTE(SUBSTITUTE(SUBSTITUTE(TRIM(C1071),".",""),"/",""),"-","")," ","")),14),UPPER(SUBSTITUTE(SUBSTITUTE(SUBSTITUTE(SUBSTITUTE(TRIM(C1071),".",""),"/",""),"-","")," ",""))))</f>
        <v/>
      </c>
      <c r="E1071" s="25" t="str">
        <f aca="false">IF(D1071="","",IFERROR(INDEX(Empresas!$C:$C,MATCH(D1071,Empresas!$B:$B,0)),"cadastre o CNPJ em Empresas"))</f>
        <v/>
      </c>
      <c r="F1071" s="23"/>
      <c r="G1071" s="35"/>
      <c r="H1071" s="24"/>
      <c r="I1071" s="11"/>
      <c r="J1071" s="27" t="str">
        <f aca="false">IF(A1071="","",YEAR(A1071))</f>
        <v/>
      </c>
      <c r="K1071" s="24"/>
      <c r="L1071" s="11"/>
    </row>
    <row r="1072" customFormat="false" ht="15" hidden="false" customHeight="false" outlineLevel="0" collapsed="false">
      <c r="A1072" s="22"/>
      <c r="B1072" s="11"/>
      <c r="C1072" s="24"/>
      <c r="D1072" s="31" t="str">
        <f aca="false">IF(C1072="","",IF(LEN(UPPER(SUBSTITUTE(SUBSTITUTE(SUBSTITUTE(SUBSTITUTE(TRIM(C1072),".",""),"/",""),"-","")," ","")))&lt;14,RIGHT(REPT("0",14)&amp;UPPER(SUBSTITUTE(SUBSTITUTE(SUBSTITUTE(SUBSTITUTE(TRIM(C1072),".",""),"/",""),"-","")," ","")),14),UPPER(SUBSTITUTE(SUBSTITUTE(SUBSTITUTE(SUBSTITUTE(TRIM(C1072),".",""),"/",""),"-","")," ",""))))</f>
        <v/>
      </c>
      <c r="E1072" s="25" t="str">
        <f aca="false">IF(D1072="","",IFERROR(INDEX(Empresas!$C:$C,MATCH(D1072,Empresas!$B:$B,0)),"cadastre o CNPJ em Empresas"))</f>
        <v/>
      </c>
      <c r="F1072" s="23"/>
      <c r="G1072" s="35"/>
      <c r="H1072" s="24"/>
      <c r="I1072" s="11"/>
      <c r="J1072" s="27" t="str">
        <f aca="false">IF(A1072="","",YEAR(A1072))</f>
        <v/>
      </c>
      <c r="K1072" s="24"/>
      <c r="L1072" s="11"/>
    </row>
    <row r="1073" customFormat="false" ht="15" hidden="false" customHeight="false" outlineLevel="0" collapsed="false">
      <c r="A1073" s="22"/>
      <c r="B1073" s="11"/>
      <c r="C1073" s="24"/>
      <c r="D1073" s="31" t="str">
        <f aca="false">IF(C1073="","",IF(LEN(UPPER(SUBSTITUTE(SUBSTITUTE(SUBSTITUTE(SUBSTITUTE(TRIM(C1073),".",""),"/",""),"-","")," ","")))&lt;14,RIGHT(REPT("0",14)&amp;UPPER(SUBSTITUTE(SUBSTITUTE(SUBSTITUTE(SUBSTITUTE(TRIM(C1073),".",""),"/",""),"-","")," ","")),14),UPPER(SUBSTITUTE(SUBSTITUTE(SUBSTITUTE(SUBSTITUTE(TRIM(C1073),".",""),"/",""),"-","")," ",""))))</f>
        <v/>
      </c>
      <c r="E1073" s="25" t="str">
        <f aca="false">IF(D1073="","",IFERROR(INDEX(Empresas!$C:$C,MATCH(D1073,Empresas!$B:$B,0)),"cadastre o CNPJ em Empresas"))</f>
        <v/>
      </c>
      <c r="F1073" s="23"/>
      <c r="G1073" s="35"/>
      <c r="H1073" s="24"/>
      <c r="I1073" s="11"/>
      <c r="J1073" s="27" t="str">
        <f aca="false">IF(A1073="","",YEAR(A1073))</f>
        <v/>
      </c>
      <c r="K1073" s="24"/>
      <c r="L1073" s="11"/>
    </row>
    <row r="1074" customFormat="false" ht="15" hidden="false" customHeight="false" outlineLevel="0" collapsed="false">
      <c r="A1074" s="22"/>
      <c r="B1074" s="11"/>
      <c r="C1074" s="24"/>
      <c r="D1074" s="31" t="str">
        <f aca="false">IF(C1074="","",IF(LEN(UPPER(SUBSTITUTE(SUBSTITUTE(SUBSTITUTE(SUBSTITUTE(TRIM(C1074),".",""),"/",""),"-","")," ","")))&lt;14,RIGHT(REPT("0",14)&amp;UPPER(SUBSTITUTE(SUBSTITUTE(SUBSTITUTE(SUBSTITUTE(TRIM(C1074),".",""),"/",""),"-","")," ","")),14),UPPER(SUBSTITUTE(SUBSTITUTE(SUBSTITUTE(SUBSTITUTE(TRIM(C1074),".",""),"/",""),"-","")," ",""))))</f>
        <v/>
      </c>
      <c r="E1074" s="25" t="str">
        <f aca="false">IF(D1074="","",IFERROR(INDEX(Empresas!$C:$C,MATCH(D1074,Empresas!$B:$B,0)),"cadastre o CNPJ em Empresas"))</f>
        <v/>
      </c>
      <c r="F1074" s="23"/>
      <c r="G1074" s="35"/>
      <c r="H1074" s="24"/>
      <c r="I1074" s="11"/>
      <c r="J1074" s="27" t="str">
        <f aca="false">IF(A1074="","",YEAR(A1074))</f>
        <v/>
      </c>
      <c r="K1074" s="24"/>
      <c r="L1074" s="11"/>
    </row>
    <row r="1075" customFormat="false" ht="15" hidden="false" customHeight="false" outlineLevel="0" collapsed="false">
      <c r="A1075" s="22"/>
      <c r="B1075" s="11"/>
      <c r="C1075" s="24"/>
      <c r="D1075" s="31" t="str">
        <f aca="false">IF(C1075="","",IF(LEN(UPPER(SUBSTITUTE(SUBSTITUTE(SUBSTITUTE(SUBSTITUTE(TRIM(C1075),".",""),"/",""),"-","")," ","")))&lt;14,RIGHT(REPT("0",14)&amp;UPPER(SUBSTITUTE(SUBSTITUTE(SUBSTITUTE(SUBSTITUTE(TRIM(C1075),".",""),"/",""),"-","")," ","")),14),UPPER(SUBSTITUTE(SUBSTITUTE(SUBSTITUTE(SUBSTITUTE(TRIM(C1075),".",""),"/",""),"-","")," ",""))))</f>
        <v/>
      </c>
      <c r="E1075" s="25" t="str">
        <f aca="false">IF(D1075="","",IFERROR(INDEX(Empresas!$C:$C,MATCH(D1075,Empresas!$B:$B,0)),"cadastre o CNPJ em Empresas"))</f>
        <v/>
      </c>
      <c r="F1075" s="23"/>
      <c r="G1075" s="35"/>
      <c r="H1075" s="24"/>
      <c r="I1075" s="11"/>
      <c r="J1075" s="27" t="str">
        <f aca="false">IF(A1075="","",YEAR(A1075))</f>
        <v/>
      </c>
      <c r="K1075" s="24"/>
      <c r="L1075" s="11"/>
    </row>
    <row r="1076" customFormat="false" ht="15" hidden="false" customHeight="false" outlineLevel="0" collapsed="false">
      <c r="A1076" s="22"/>
      <c r="B1076" s="11"/>
      <c r="C1076" s="24"/>
      <c r="D1076" s="31" t="str">
        <f aca="false">IF(C1076="","",IF(LEN(UPPER(SUBSTITUTE(SUBSTITUTE(SUBSTITUTE(SUBSTITUTE(TRIM(C1076),".",""),"/",""),"-","")," ","")))&lt;14,RIGHT(REPT("0",14)&amp;UPPER(SUBSTITUTE(SUBSTITUTE(SUBSTITUTE(SUBSTITUTE(TRIM(C1076),".",""),"/",""),"-","")," ","")),14),UPPER(SUBSTITUTE(SUBSTITUTE(SUBSTITUTE(SUBSTITUTE(TRIM(C1076),".",""),"/",""),"-","")," ",""))))</f>
        <v/>
      </c>
      <c r="E1076" s="25" t="str">
        <f aca="false">IF(D1076="","",IFERROR(INDEX(Empresas!$C:$C,MATCH(D1076,Empresas!$B:$B,0)),"cadastre o CNPJ em Empresas"))</f>
        <v/>
      </c>
      <c r="F1076" s="23"/>
      <c r="G1076" s="35"/>
      <c r="H1076" s="24"/>
      <c r="I1076" s="11"/>
      <c r="J1076" s="27" t="str">
        <f aca="false">IF(A1076="","",YEAR(A1076))</f>
        <v/>
      </c>
      <c r="K1076" s="24"/>
      <c r="L1076" s="11"/>
    </row>
    <row r="1077" customFormat="false" ht="15" hidden="false" customHeight="false" outlineLevel="0" collapsed="false">
      <c r="A1077" s="22"/>
      <c r="B1077" s="11"/>
      <c r="C1077" s="24"/>
      <c r="D1077" s="31" t="str">
        <f aca="false">IF(C1077="","",IF(LEN(UPPER(SUBSTITUTE(SUBSTITUTE(SUBSTITUTE(SUBSTITUTE(TRIM(C1077),".",""),"/",""),"-","")," ","")))&lt;14,RIGHT(REPT("0",14)&amp;UPPER(SUBSTITUTE(SUBSTITUTE(SUBSTITUTE(SUBSTITUTE(TRIM(C1077),".",""),"/",""),"-","")," ","")),14),UPPER(SUBSTITUTE(SUBSTITUTE(SUBSTITUTE(SUBSTITUTE(TRIM(C1077),".",""),"/",""),"-","")," ",""))))</f>
        <v/>
      </c>
      <c r="E1077" s="25" t="str">
        <f aca="false">IF(D1077="","",IFERROR(INDEX(Empresas!$C:$C,MATCH(D1077,Empresas!$B:$B,0)),"cadastre o CNPJ em Empresas"))</f>
        <v/>
      </c>
      <c r="F1077" s="23"/>
      <c r="G1077" s="35"/>
      <c r="H1077" s="24"/>
      <c r="I1077" s="11"/>
      <c r="J1077" s="27" t="str">
        <f aca="false">IF(A1077="","",YEAR(A1077))</f>
        <v/>
      </c>
      <c r="K1077" s="24"/>
      <c r="L1077" s="11"/>
    </row>
    <row r="1078" customFormat="false" ht="15" hidden="false" customHeight="false" outlineLevel="0" collapsed="false">
      <c r="A1078" s="22"/>
      <c r="B1078" s="11"/>
      <c r="C1078" s="24"/>
      <c r="D1078" s="31" t="str">
        <f aca="false">IF(C1078="","",IF(LEN(UPPER(SUBSTITUTE(SUBSTITUTE(SUBSTITUTE(SUBSTITUTE(TRIM(C1078),".",""),"/",""),"-","")," ","")))&lt;14,RIGHT(REPT("0",14)&amp;UPPER(SUBSTITUTE(SUBSTITUTE(SUBSTITUTE(SUBSTITUTE(TRIM(C1078),".",""),"/",""),"-","")," ","")),14),UPPER(SUBSTITUTE(SUBSTITUTE(SUBSTITUTE(SUBSTITUTE(TRIM(C1078),".",""),"/",""),"-","")," ",""))))</f>
        <v/>
      </c>
      <c r="E1078" s="25" t="str">
        <f aca="false">IF(D1078="","",IFERROR(INDEX(Empresas!$C:$C,MATCH(D1078,Empresas!$B:$B,0)),"cadastre o CNPJ em Empresas"))</f>
        <v/>
      </c>
      <c r="F1078" s="23"/>
      <c r="G1078" s="35"/>
      <c r="H1078" s="24"/>
      <c r="I1078" s="11"/>
      <c r="J1078" s="27" t="str">
        <f aca="false">IF(A1078="","",YEAR(A1078))</f>
        <v/>
      </c>
      <c r="K1078" s="24"/>
      <c r="L1078" s="11"/>
    </row>
    <row r="1079" customFormat="false" ht="15" hidden="false" customHeight="false" outlineLevel="0" collapsed="false">
      <c r="A1079" s="22"/>
      <c r="B1079" s="11"/>
      <c r="C1079" s="24"/>
      <c r="D1079" s="31" t="str">
        <f aca="false">IF(C1079="","",IF(LEN(UPPER(SUBSTITUTE(SUBSTITUTE(SUBSTITUTE(SUBSTITUTE(TRIM(C1079),".",""),"/",""),"-","")," ","")))&lt;14,RIGHT(REPT("0",14)&amp;UPPER(SUBSTITUTE(SUBSTITUTE(SUBSTITUTE(SUBSTITUTE(TRIM(C1079),".",""),"/",""),"-","")," ","")),14),UPPER(SUBSTITUTE(SUBSTITUTE(SUBSTITUTE(SUBSTITUTE(TRIM(C1079),".",""),"/",""),"-","")," ",""))))</f>
        <v/>
      </c>
      <c r="E1079" s="25" t="str">
        <f aca="false">IF(D1079="","",IFERROR(INDEX(Empresas!$C:$C,MATCH(D1079,Empresas!$B:$B,0)),"cadastre o CNPJ em Empresas"))</f>
        <v/>
      </c>
      <c r="F1079" s="23"/>
      <c r="G1079" s="35"/>
      <c r="H1079" s="24"/>
      <c r="I1079" s="11"/>
      <c r="J1079" s="27" t="str">
        <f aca="false">IF(A1079="","",YEAR(A1079))</f>
        <v/>
      </c>
      <c r="K1079" s="24"/>
      <c r="L1079" s="11"/>
    </row>
    <row r="1080" customFormat="false" ht="15" hidden="false" customHeight="false" outlineLevel="0" collapsed="false">
      <c r="A1080" s="22"/>
      <c r="B1080" s="11"/>
      <c r="C1080" s="24"/>
      <c r="D1080" s="31" t="str">
        <f aca="false">IF(C1080="","",IF(LEN(UPPER(SUBSTITUTE(SUBSTITUTE(SUBSTITUTE(SUBSTITUTE(TRIM(C1080),".",""),"/",""),"-","")," ","")))&lt;14,RIGHT(REPT("0",14)&amp;UPPER(SUBSTITUTE(SUBSTITUTE(SUBSTITUTE(SUBSTITUTE(TRIM(C1080),".",""),"/",""),"-","")," ","")),14),UPPER(SUBSTITUTE(SUBSTITUTE(SUBSTITUTE(SUBSTITUTE(TRIM(C1080),".",""),"/",""),"-","")," ",""))))</f>
        <v/>
      </c>
      <c r="E1080" s="25" t="str">
        <f aca="false">IF(D1080="","",IFERROR(INDEX(Empresas!$C:$C,MATCH(D1080,Empresas!$B:$B,0)),"cadastre o CNPJ em Empresas"))</f>
        <v/>
      </c>
      <c r="F1080" s="23"/>
      <c r="G1080" s="35"/>
      <c r="H1080" s="24"/>
      <c r="I1080" s="11"/>
      <c r="J1080" s="27" t="str">
        <f aca="false">IF(A1080="","",YEAR(A1080))</f>
        <v/>
      </c>
      <c r="K1080" s="24"/>
      <c r="L1080" s="11"/>
    </row>
    <row r="1081" customFormat="false" ht="15" hidden="false" customHeight="false" outlineLevel="0" collapsed="false">
      <c r="A1081" s="22"/>
      <c r="B1081" s="11"/>
      <c r="C1081" s="24"/>
      <c r="D1081" s="31" t="str">
        <f aca="false">IF(C1081="","",IF(LEN(UPPER(SUBSTITUTE(SUBSTITUTE(SUBSTITUTE(SUBSTITUTE(TRIM(C1081),".",""),"/",""),"-","")," ","")))&lt;14,RIGHT(REPT("0",14)&amp;UPPER(SUBSTITUTE(SUBSTITUTE(SUBSTITUTE(SUBSTITUTE(TRIM(C1081),".",""),"/",""),"-","")," ","")),14),UPPER(SUBSTITUTE(SUBSTITUTE(SUBSTITUTE(SUBSTITUTE(TRIM(C1081),".",""),"/",""),"-","")," ",""))))</f>
        <v/>
      </c>
      <c r="E1081" s="25" t="str">
        <f aca="false">IF(D1081="","",IFERROR(INDEX(Empresas!$C:$C,MATCH(D1081,Empresas!$B:$B,0)),"cadastre o CNPJ em Empresas"))</f>
        <v/>
      </c>
      <c r="F1081" s="23"/>
      <c r="G1081" s="35"/>
      <c r="H1081" s="24"/>
      <c r="I1081" s="11"/>
      <c r="J1081" s="27" t="str">
        <f aca="false">IF(A1081="","",YEAR(A1081))</f>
        <v/>
      </c>
      <c r="K1081" s="24"/>
      <c r="L1081" s="11"/>
    </row>
    <row r="1082" customFormat="false" ht="15" hidden="false" customHeight="false" outlineLevel="0" collapsed="false">
      <c r="A1082" s="22"/>
      <c r="B1082" s="11"/>
      <c r="C1082" s="24"/>
      <c r="D1082" s="31" t="str">
        <f aca="false">IF(C1082="","",IF(LEN(UPPER(SUBSTITUTE(SUBSTITUTE(SUBSTITUTE(SUBSTITUTE(TRIM(C1082),".",""),"/",""),"-","")," ","")))&lt;14,RIGHT(REPT("0",14)&amp;UPPER(SUBSTITUTE(SUBSTITUTE(SUBSTITUTE(SUBSTITUTE(TRIM(C1082),".",""),"/",""),"-","")," ","")),14),UPPER(SUBSTITUTE(SUBSTITUTE(SUBSTITUTE(SUBSTITUTE(TRIM(C1082),".",""),"/",""),"-","")," ",""))))</f>
        <v/>
      </c>
      <c r="E1082" s="25" t="str">
        <f aca="false">IF(D1082="","",IFERROR(INDEX(Empresas!$C:$C,MATCH(D1082,Empresas!$B:$B,0)),"cadastre o CNPJ em Empresas"))</f>
        <v/>
      </c>
      <c r="F1082" s="23"/>
      <c r="G1082" s="35"/>
      <c r="H1082" s="24"/>
      <c r="I1082" s="11"/>
      <c r="J1082" s="27" t="str">
        <f aca="false">IF(A1082="","",YEAR(A1082))</f>
        <v/>
      </c>
      <c r="K1082" s="24"/>
      <c r="L1082" s="11"/>
    </row>
    <row r="1083" customFormat="false" ht="15" hidden="false" customHeight="false" outlineLevel="0" collapsed="false">
      <c r="A1083" s="22"/>
      <c r="B1083" s="11"/>
      <c r="C1083" s="24"/>
      <c r="D1083" s="31" t="str">
        <f aca="false">IF(C1083="","",IF(LEN(UPPER(SUBSTITUTE(SUBSTITUTE(SUBSTITUTE(SUBSTITUTE(TRIM(C1083),".",""),"/",""),"-","")," ","")))&lt;14,RIGHT(REPT("0",14)&amp;UPPER(SUBSTITUTE(SUBSTITUTE(SUBSTITUTE(SUBSTITUTE(TRIM(C1083),".",""),"/",""),"-","")," ","")),14),UPPER(SUBSTITUTE(SUBSTITUTE(SUBSTITUTE(SUBSTITUTE(TRIM(C1083),".",""),"/",""),"-","")," ",""))))</f>
        <v/>
      </c>
      <c r="E1083" s="25" t="str">
        <f aca="false">IF(D1083="","",IFERROR(INDEX(Empresas!$C:$C,MATCH(D1083,Empresas!$B:$B,0)),"cadastre o CNPJ em Empresas"))</f>
        <v/>
      </c>
      <c r="F1083" s="23"/>
      <c r="G1083" s="35"/>
      <c r="H1083" s="24"/>
      <c r="I1083" s="11"/>
      <c r="J1083" s="27" t="str">
        <f aca="false">IF(A1083="","",YEAR(A1083))</f>
        <v/>
      </c>
      <c r="K1083" s="24"/>
      <c r="L1083" s="11"/>
    </row>
    <row r="1084" customFormat="false" ht="15" hidden="false" customHeight="false" outlineLevel="0" collapsed="false">
      <c r="A1084" s="22"/>
      <c r="B1084" s="11"/>
      <c r="C1084" s="24"/>
      <c r="D1084" s="31" t="str">
        <f aca="false">IF(C1084="","",IF(LEN(UPPER(SUBSTITUTE(SUBSTITUTE(SUBSTITUTE(SUBSTITUTE(TRIM(C1084),".",""),"/",""),"-","")," ","")))&lt;14,RIGHT(REPT("0",14)&amp;UPPER(SUBSTITUTE(SUBSTITUTE(SUBSTITUTE(SUBSTITUTE(TRIM(C1084),".",""),"/",""),"-","")," ","")),14),UPPER(SUBSTITUTE(SUBSTITUTE(SUBSTITUTE(SUBSTITUTE(TRIM(C1084),".",""),"/",""),"-","")," ",""))))</f>
        <v/>
      </c>
      <c r="E1084" s="25" t="str">
        <f aca="false">IF(D1084="","",IFERROR(INDEX(Empresas!$C:$C,MATCH(D1084,Empresas!$B:$B,0)),"cadastre o CNPJ em Empresas"))</f>
        <v/>
      </c>
      <c r="F1084" s="23"/>
      <c r="G1084" s="35"/>
      <c r="H1084" s="24"/>
      <c r="I1084" s="11"/>
      <c r="J1084" s="27" t="str">
        <f aca="false">IF(A1084="","",YEAR(A1084))</f>
        <v/>
      </c>
      <c r="K1084" s="24"/>
      <c r="L1084" s="11"/>
    </row>
    <row r="1085" customFormat="false" ht="15" hidden="false" customHeight="false" outlineLevel="0" collapsed="false">
      <c r="A1085" s="22"/>
      <c r="B1085" s="11"/>
      <c r="C1085" s="24"/>
      <c r="D1085" s="31" t="str">
        <f aca="false">IF(C1085="","",IF(LEN(UPPER(SUBSTITUTE(SUBSTITUTE(SUBSTITUTE(SUBSTITUTE(TRIM(C1085),".",""),"/",""),"-","")," ","")))&lt;14,RIGHT(REPT("0",14)&amp;UPPER(SUBSTITUTE(SUBSTITUTE(SUBSTITUTE(SUBSTITUTE(TRIM(C1085),".",""),"/",""),"-","")," ","")),14),UPPER(SUBSTITUTE(SUBSTITUTE(SUBSTITUTE(SUBSTITUTE(TRIM(C1085),".",""),"/",""),"-","")," ",""))))</f>
        <v/>
      </c>
      <c r="E1085" s="25" t="str">
        <f aca="false">IF(D1085="","",IFERROR(INDEX(Empresas!$C:$C,MATCH(D1085,Empresas!$B:$B,0)),"cadastre o CNPJ em Empresas"))</f>
        <v/>
      </c>
      <c r="F1085" s="23"/>
      <c r="G1085" s="35"/>
      <c r="H1085" s="24"/>
      <c r="I1085" s="11"/>
      <c r="J1085" s="27" t="str">
        <f aca="false">IF(A1085="","",YEAR(A1085))</f>
        <v/>
      </c>
      <c r="K1085" s="24"/>
      <c r="L1085" s="11"/>
    </row>
    <row r="1086" customFormat="false" ht="15" hidden="false" customHeight="false" outlineLevel="0" collapsed="false">
      <c r="A1086" s="22"/>
      <c r="B1086" s="11"/>
      <c r="C1086" s="24"/>
      <c r="D1086" s="31" t="str">
        <f aca="false">IF(C1086="","",IF(LEN(UPPER(SUBSTITUTE(SUBSTITUTE(SUBSTITUTE(SUBSTITUTE(TRIM(C1086),".",""),"/",""),"-","")," ","")))&lt;14,RIGHT(REPT("0",14)&amp;UPPER(SUBSTITUTE(SUBSTITUTE(SUBSTITUTE(SUBSTITUTE(TRIM(C1086),".",""),"/",""),"-","")," ","")),14),UPPER(SUBSTITUTE(SUBSTITUTE(SUBSTITUTE(SUBSTITUTE(TRIM(C1086),".",""),"/",""),"-","")," ",""))))</f>
        <v/>
      </c>
      <c r="E1086" s="25" t="str">
        <f aca="false">IF(D1086="","",IFERROR(INDEX(Empresas!$C:$C,MATCH(D1086,Empresas!$B:$B,0)),"cadastre o CNPJ em Empresas"))</f>
        <v/>
      </c>
      <c r="F1086" s="23"/>
      <c r="G1086" s="35"/>
      <c r="H1086" s="24"/>
      <c r="I1086" s="11"/>
      <c r="J1086" s="27" t="str">
        <f aca="false">IF(A1086="","",YEAR(A1086))</f>
        <v/>
      </c>
      <c r="K1086" s="24"/>
      <c r="L1086" s="11"/>
    </row>
    <row r="1087" customFormat="false" ht="15" hidden="false" customHeight="false" outlineLevel="0" collapsed="false">
      <c r="A1087" s="22"/>
      <c r="B1087" s="11"/>
      <c r="C1087" s="24"/>
      <c r="D1087" s="31" t="str">
        <f aca="false">IF(C1087="","",IF(LEN(UPPER(SUBSTITUTE(SUBSTITUTE(SUBSTITUTE(SUBSTITUTE(TRIM(C1087),".",""),"/",""),"-","")," ","")))&lt;14,RIGHT(REPT("0",14)&amp;UPPER(SUBSTITUTE(SUBSTITUTE(SUBSTITUTE(SUBSTITUTE(TRIM(C1087),".",""),"/",""),"-","")," ","")),14),UPPER(SUBSTITUTE(SUBSTITUTE(SUBSTITUTE(SUBSTITUTE(TRIM(C1087),".",""),"/",""),"-","")," ",""))))</f>
        <v/>
      </c>
      <c r="E1087" s="25" t="str">
        <f aca="false">IF(D1087="","",IFERROR(INDEX(Empresas!$C:$C,MATCH(D1087,Empresas!$B:$B,0)),"cadastre o CNPJ em Empresas"))</f>
        <v/>
      </c>
      <c r="F1087" s="23"/>
      <c r="G1087" s="35"/>
      <c r="H1087" s="24"/>
      <c r="I1087" s="11"/>
      <c r="J1087" s="27" t="str">
        <f aca="false">IF(A1087="","",YEAR(A1087))</f>
        <v/>
      </c>
      <c r="K1087" s="24"/>
      <c r="L1087" s="11"/>
    </row>
    <row r="1088" customFormat="false" ht="15" hidden="false" customHeight="false" outlineLevel="0" collapsed="false">
      <c r="A1088" s="22"/>
      <c r="B1088" s="11"/>
      <c r="C1088" s="24"/>
      <c r="D1088" s="31" t="str">
        <f aca="false">IF(C1088="","",IF(LEN(UPPER(SUBSTITUTE(SUBSTITUTE(SUBSTITUTE(SUBSTITUTE(TRIM(C1088),".",""),"/",""),"-","")," ","")))&lt;14,RIGHT(REPT("0",14)&amp;UPPER(SUBSTITUTE(SUBSTITUTE(SUBSTITUTE(SUBSTITUTE(TRIM(C1088),".",""),"/",""),"-","")," ","")),14),UPPER(SUBSTITUTE(SUBSTITUTE(SUBSTITUTE(SUBSTITUTE(TRIM(C1088),".",""),"/",""),"-","")," ",""))))</f>
        <v/>
      </c>
      <c r="E1088" s="25" t="str">
        <f aca="false">IF(D1088="","",IFERROR(INDEX(Empresas!$C:$C,MATCH(D1088,Empresas!$B:$B,0)),"cadastre o CNPJ em Empresas"))</f>
        <v/>
      </c>
      <c r="F1088" s="23"/>
      <c r="G1088" s="35"/>
      <c r="H1088" s="24"/>
      <c r="I1088" s="11"/>
      <c r="J1088" s="27" t="str">
        <f aca="false">IF(A1088="","",YEAR(A1088))</f>
        <v/>
      </c>
      <c r="K1088" s="24"/>
      <c r="L1088" s="11"/>
    </row>
    <row r="1089" customFormat="false" ht="15" hidden="false" customHeight="false" outlineLevel="0" collapsed="false">
      <c r="A1089" s="22"/>
      <c r="B1089" s="11"/>
      <c r="C1089" s="24"/>
      <c r="D1089" s="31" t="str">
        <f aca="false">IF(C1089="","",IF(LEN(UPPER(SUBSTITUTE(SUBSTITUTE(SUBSTITUTE(SUBSTITUTE(TRIM(C1089),".",""),"/",""),"-","")," ","")))&lt;14,RIGHT(REPT("0",14)&amp;UPPER(SUBSTITUTE(SUBSTITUTE(SUBSTITUTE(SUBSTITUTE(TRIM(C1089),".",""),"/",""),"-","")," ","")),14),UPPER(SUBSTITUTE(SUBSTITUTE(SUBSTITUTE(SUBSTITUTE(TRIM(C1089),".",""),"/",""),"-","")," ",""))))</f>
        <v/>
      </c>
      <c r="E1089" s="25" t="str">
        <f aca="false">IF(D1089="","",IFERROR(INDEX(Empresas!$C:$C,MATCH(D1089,Empresas!$B:$B,0)),"cadastre o CNPJ em Empresas"))</f>
        <v/>
      </c>
      <c r="F1089" s="23"/>
      <c r="G1089" s="35"/>
      <c r="H1089" s="24"/>
      <c r="I1089" s="11"/>
      <c r="J1089" s="27" t="str">
        <f aca="false">IF(A1089="","",YEAR(A1089))</f>
        <v/>
      </c>
      <c r="K1089" s="24"/>
      <c r="L1089" s="11"/>
    </row>
    <row r="1090" customFormat="false" ht="15" hidden="false" customHeight="false" outlineLevel="0" collapsed="false">
      <c r="A1090" s="22"/>
      <c r="B1090" s="11"/>
      <c r="C1090" s="24"/>
      <c r="D1090" s="31" t="str">
        <f aca="false">IF(C1090="","",IF(LEN(UPPER(SUBSTITUTE(SUBSTITUTE(SUBSTITUTE(SUBSTITUTE(TRIM(C1090),".",""),"/",""),"-","")," ","")))&lt;14,RIGHT(REPT("0",14)&amp;UPPER(SUBSTITUTE(SUBSTITUTE(SUBSTITUTE(SUBSTITUTE(TRIM(C1090),".",""),"/",""),"-","")," ","")),14),UPPER(SUBSTITUTE(SUBSTITUTE(SUBSTITUTE(SUBSTITUTE(TRIM(C1090),".",""),"/",""),"-","")," ",""))))</f>
        <v/>
      </c>
      <c r="E1090" s="25" t="str">
        <f aca="false">IF(D1090="","",IFERROR(INDEX(Empresas!$C:$C,MATCH(D1090,Empresas!$B:$B,0)),"cadastre o CNPJ em Empresas"))</f>
        <v/>
      </c>
      <c r="F1090" s="23"/>
      <c r="G1090" s="35"/>
      <c r="H1090" s="24"/>
      <c r="I1090" s="11"/>
      <c r="J1090" s="27" t="str">
        <f aca="false">IF(A1090="","",YEAR(A1090))</f>
        <v/>
      </c>
      <c r="K1090" s="24"/>
      <c r="L1090" s="11"/>
    </row>
    <row r="1091" customFormat="false" ht="15" hidden="false" customHeight="false" outlineLevel="0" collapsed="false">
      <c r="A1091" s="22"/>
      <c r="B1091" s="11"/>
      <c r="C1091" s="24"/>
      <c r="D1091" s="31" t="str">
        <f aca="false">IF(C1091="","",IF(LEN(UPPER(SUBSTITUTE(SUBSTITUTE(SUBSTITUTE(SUBSTITUTE(TRIM(C1091),".",""),"/",""),"-","")," ","")))&lt;14,RIGHT(REPT("0",14)&amp;UPPER(SUBSTITUTE(SUBSTITUTE(SUBSTITUTE(SUBSTITUTE(TRIM(C1091),".",""),"/",""),"-","")," ","")),14),UPPER(SUBSTITUTE(SUBSTITUTE(SUBSTITUTE(SUBSTITUTE(TRIM(C1091),".",""),"/",""),"-","")," ",""))))</f>
        <v/>
      </c>
      <c r="E1091" s="25" t="str">
        <f aca="false">IF(D1091="","",IFERROR(INDEX(Empresas!$C:$C,MATCH(D1091,Empresas!$B:$B,0)),"cadastre o CNPJ em Empresas"))</f>
        <v/>
      </c>
      <c r="F1091" s="23"/>
      <c r="G1091" s="35"/>
      <c r="H1091" s="24"/>
      <c r="I1091" s="11"/>
      <c r="J1091" s="27" t="str">
        <f aca="false">IF(A1091="","",YEAR(A1091))</f>
        <v/>
      </c>
      <c r="K1091" s="24"/>
      <c r="L1091" s="11"/>
    </row>
    <row r="1092" customFormat="false" ht="15" hidden="false" customHeight="false" outlineLevel="0" collapsed="false">
      <c r="A1092" s="22"/>
      <c r="B1092" s="11"/>
      <c r="C1092" s="24"/>
      <c r="D1092" s="31" t="str">
        <f aca="false">IF(C1092="","",IF(LEN(UPPER(SUBSTITUTE(SUBSTITUTE(SUBSTITUTE(SUBSTITUTE(TRIM(C1092),".",""),"/",""),"-","")," ","")))&lt;14,RIGHT(REPT("0",14)&amp;UPPER(SUBSTITUTE(SUBSTITUTE(SUBSTITUTE(SUBSTITUTE(TRIM(C1092),".",""),"/",""),"-","")," ","")),14),UPPER(SUBSTITUTE(SUBSTITUTE(SUBSTITUTE(SUBSTITUTE(TRIM(C1092),".",""),"/",""),"-","")," ",""))))</f>
        <v/>
      </c>
      <c r="E1092" s="25" t="str">
        <f aca="false">IF(D1092="","",IFERROR(INDEX(Empresas!$C:$C,MATCH(D1092,Empresas!$B:$B,0)),"cadastre o CNPJ em Empresas"))</f>
        <v/>
      </c>
      <c r="F1092" s="23"/>
      <c r="G1092" s="35"/>
      <c r="H1092" s="24"/>
      <c r="I1092" s="11"/>
      <c r="J1092" s="27" t="str">
        <f aca="false">IF(A1092="","",YEAR(A1092))</f>
        <v/>
      </c>
      <c r="K1092" s="24"/>
      <c r="L1092" s="11"/>
    </row>
    <row r="1093" customFormat="false" ht="15" hidden="false" customHeight="false" outlineLevel="0" collapsed="false">
      <c r="A1093" s="22"/>
      <c r="B1093" s="11"/>
      <c r="C1093" s="24"/>
      <c r="D1093" s="31" t="str">
        <f aca="false">IF(C1093="","",IF(LEN(UPPER(SUBSTITUTE(SUBSTITUTE(SUBSTITUTE(SUBSTITUTE(TRIM(C1093),".",""),"/",""),"-","")," ","")))&lt;14,RIGHT(REPT("0",14)&amp;UPPER(SUBSTITUTE(SUBSTITUTE(SUBSTITUTE(SUBSTITUTE(TRIM(C1093),".",""),"/",""),"-","")," ","")),14),UPPER(SUBSTITUTE(SUBSTITUTE(SUBSTITUTE(SUBSTITUTE(TRIM(C1093),".",""),"/",""),"-","")," ",""))))</f>
        <v/>
      </c>
      <c r="E1093" s="25" t="str">
        <f aca="false">IF(D1093="","",IFERROR(INDEX(Empresas!$C:$C,MATCH(D1093,Empresas!$B:$B,0)),"cadastre o CNPJ em Empresas"))</f>
        <v/>
      </c>
      <c r="F1093" s="23"/>
      <c r="G1093" s="35"/>
      <c r="H1093" s="24"/>
      <c r="I1093" s="11"/>
      <c r="J1093" s="27" t="str">
        <f aca="false">IF(A1093="","",YEAR(A1093))</f>
        <v/>
      </c>
      <c r="K1093" s="24"/>
      <c r="L1093" s="11"/>
    </row>
    <row r="1094" customFormat="false" ht="15" hidden="false" customHeight="false" outlineLevel="0" collapsed="false">
      <c r="A1094" s="22"/>
      <c r="B1094" s="11"/>
      <c r="C1094" s="24"/>
      <c r="D1094" s="31" t="str">
        <f aca="false">IF(C1094="","",IF(LEN(UPPER(SUBSTITUTE(SUBSTITUTE(SUBSTITUTE(SUBSTITUTE(TRIM(C1094),".",""),"/",""),"-","")," ","")))&lt;14,RIGHT(REPT("0",14)&amp;UPPER(SUBSTITUTE(SUBSTITUTE(SUBSTITUTE(SUBSTITUTE(TRIM(C1094),".",""),"/",""),"-","")," ","")),14),UPPER(SUBSTITUTE(SUBSTITUTE(SUBSTITUTE(SUBSTITUTE(TRIM(C1094),".",""),"/",""),"-","")," ",""))))</f>
        <v/>
      </c>
      <c r="E1094" s="25" t="str">
        <f aca="false">IF(D1094="","",IFERROR(INDEX(Empresas!$C:$C,MATCH(D1094,Empresas!$B:$B,0)),"cadastre o CNPJ em Empresas"))</f>
        <v/>
      </c>
      <c r="F1094" s="23"/>
      <c r="G1094" s="35"/>
      <c r="H1094" s="24"/>
      <c r="I1094" s="11"/>
      <c r="J1094" s="27" t="str">
        <f aca="false">IF(A1094="","",YEAR(A1094))</f>
        <v/>
      </c>
      <c r="K1094" s="24"/>
      <c r="L1094" s="11"/>
    </row>
    <row r="1095" customFormat="false" ht="15" hidden="false" customHeight="false" outlineLevel="0" collapsed="false">
      <c r="A1095" s="22"/>
      <c r="B1095" s="11"/>
      <c r="C1095" s="24"/>
      <c r="D1095" s="31" t="str">
        <f aca="false">IF(C1095="","",IF(LEN(UPPER(SUBSTITUTE(SUBSTITUTE(SUBSTITUTE(SUBSTITUTE(TRIM(C1095),".",""),"/",""),"-","")," ","")))&lt;14,RIGHT(REPT("0",14)&amp;UPPER(SUBSTITUTE(SUBSTITUTE(SUBSTITUTE(SUBSTITUTE(TRIM(C1095),".",""),"/",""),"-","")," ","")),14),UPPER(SUBSTITUTE(SUBSTITUTE(SUBSTITUTE(SUBSTITUTE(TRIM(C1095),".",""),"/",""),"-","")," ",""))))</f>
        <v/>
      </c>
      <c r="E1095" s="25" t="str">
        <f aca="false">IF(D1095="","",IFERROR(INDEX(Empresas!$C:$C,MATCH(D1095,Empresas!$B:$B,0)),"cadastre o CNPJ em Empresas"))</f>
        <v/>
      </c>
      <c r="F1095" s="23"/>
      <c r="G1095" s="35"/>
      <c r="H1095" s="24"/>
      <c r="I1095" s="11"/>
      <c r="J1095" s="27" t="str">
        <f aca="false">IF(A1095="","",YEAR(A1095))</f>
        <v/>
      </c>
      <c r="K1095" s="24"/>
      <c r="L1095" s="11"/>
    </row>
    <row r="1096" customFormat="false" ht="15" hidden="false" customHeight="false" outlineLevel="0" collapsed="false">
      <c r="A1096" s="22"/>
      <c r="B1096" s="11"/>
      <c r="C1096" s="24"/>
      <c r="D1096" s="31" t="str">
        <f aca="false">IF(C1096="","",IF(LEN(UPPER(SUBSTITUTE(SUBSTITUTE(SUBSTITUTE(SUBSTITUTE(TRIM(C1096),".",""),"/",""),"-","")," ","")))&lt;14,RIGHT(REPT("0",14)&amp;UPPER(SUBSTITUTE(SUBSTITUTE(SUBSTITUTE(SUBSTITUTE(TRIM(C1096),".",""),"/",""),"-","")," ","")),14),UPPER(SUBSTITUTE(SUBSTITUTE(SUBSTITUTE(SUBSTITUTE(TRIM(C1096),".",""),"/",""),"-","")," ",""))))</f>
        <v/>
      </c>
      <c r="E1096" s="25" t="str">
        <f aca="false">IF(D1096="","",IFERROR(INDEX(Empresas!$C:$C,MATCH(D1096,Empresas!$B:$B,0)),"cadastre o CNPJ em Empresas"))</f>
        <v/>
      </c>
      <c r="F1096" s="23"/>
      <c r="G1096" s="35"/>
      <c r="H1096" s="24"/>
      <c r="I1096" s="11"/>
      <c r="J1096" s="27" t="str">
        <f aca="false">IF(A1096="","",YEAR(A1096))</f>
        <v/>
      </c>
      <c r="K1096" s="24"/>
      <c r="L1096" s="11"/>
    </row>
    <row r="1097" customFormat="false" ht="15" hidden="false" customHeight="false" outlineLevel="0" collapsed="false">
      <c r="A1097" s="22"/>
      <c r="B1097" s="11"/>
      <c r="C1097" s="24"/>
      <c r="D1097" s="31" t="str">
        <f aca="false">IF(C1097="","",IF(LEN(UPPER(SUBSTITUTE(SUBSTITUTE(SUBSTITUTE(SUBSTITUTE(TRIM(C1097),".",""),"/",""),"-","")," ","")))&lt;14,RIGHT(REPT("0",14)&amp;UPPER(SUBSTITUTE(SUBSTITUTE(SUBSTITUTE(SUBSTITUTE(TRIM(C1097),".",""),"/",""),"-","")," ","")),14),UPPER(SUBSTITUTE(SUBSTITUTE(SUBSTITUTE(SUBSTITUTE(TRIM(C1097),".",""),"/",""),"-","")," ",""))))</f>
        <v/>
      </c>
      <c r="E1097" s="25" t="str">
        <f aca="false">IF(D1097="","",IFERROR(INDEX(Empresas!$C:$C,MATCH(D1097,Empresas!$B:$B,0)),"cadastre o CNPJ em Empresas"))</f>
        <v/>
      </c>
      <c r="F1097" s="23"/>
      <c r="G1097" s="35"/>
      <c r="H1097" s="24"/>
      <c r="I1097" s="11"/>
      <c r="J1097" s="27" t="str">
        <f aca="false">IF(A1097="","",YEAR(A1097))</f>
        <v/>
      </c>
      <c r="K1097" s="24"/>
      <c r="L1097" s="11"/>
    </row>
    <row r="1098" customFormat="false" ht="15" hidden="false" customHeight="false" outlineLevel="0" collapsed="false">
      <c r="A1098" s="22"/>
      <c r="B1098" s="11"/>
      <c r="C1098" s="24"/>
      <c r="D1098" s="31" t="str">
        <f aca="false">IF(C1098="","",IF(LEN(UPPER(SUBSTITUTE(SUBSTITUTE(SUBSTITUTE(SUBSTITUTE(TRIM(C1098),".",""),"/",""),"-","")," ","")))&lt;14,RIGHT(REPT("0",14)&amp;UPPER(SUBSTITUTE(SUBSTITUTE(SUBSTITUTE(SUBSTITUTE(TRIM(C1098),".",""),"/",""),"-","")," ","")),14),UPPER(SUBSTITUTE(SUBSTITUTE(SUBSTITUTE(SUBSTITUTE(TRIM(C1098),".",""),"/",""),"-","")," ",""))))</f>
        <v/>
      </c>
      <c r="E1098" s="25" t="str">
        <f aca="false">IF(D1098="","",IFERROR(INDEX(Empresas!$C:$C,MATCH(D1098,Empresas!$B:$B,0)),"cadastre o CNPJ em Empresas"))</f>
        <v/>
      </c>
      <c r="F1098" s="23"/>
      <c r="G1098" s="35"/>
      <c r="H1098" s="24"/>
      <c r="I1098" s="11"/>
      <c r="J1098" s="27" t="str">
        <f aca="false">IF(A1098="","",YEAR(A1098))</f>
        <v/>
      </c>
      <c r="K1098" s="24"/>
      <c r="L1098" s="11"/>
    </row>
    <row r="1099" customFormat="false" ht="15" hidden="false" customHeight="false" outlineLevel="0" collapsed="false">
      <c r="A1099" s="22"/>
      <c r="B1099" s="11"/>
      <c r="C1099" s="24"/>
      <c r="D1099" s="31" t="str">
        <f aca="false">IF(C1099="","",IF(LEN(UPPER(SUBSTITUTE(SUBSTITUTE(SUBSTITUTE(SUBSTITUTE(TRIM(C1099),".",""),"/",""),"-","")," ","")))&lt;14,RIGHT(REPT("0",14)&amp;UPPER(SUBSTITUTE(SUBSTITUTE(SUBSTITUTE(SUBSTITUTE(TRIM(C1099),".",""),"/",""),"-","")," ","")),14),UPPER(SUBSTITUTE(SUBSTITUTE(SUBSTITUTE(SUBSTITUTE(TRIM(C1099),".",""),"/",""),"-","")," ",""))))</f>
        <v/>
      </c>
      <c r="E1099" s="25" t="str">
        <f aca="false">IF(D1099="","",IFERROR(INDEX(Empresas!$C:$C,MATCH(D1099,Empresas!$B:$B,0)),"cadastre o CNPJ em Empresas"))</f>
        <v/>
      </c>
      <c r="F1099" s="23"/>
      <c r="G1099" s="35"/>
      <c r="H1099" s="24"/>
      <c r="I1099" s="11"/>
      <c r="J1099" s="27" t="str">
        <f aca="false">IF(A1099="","",YEAR(A1099))</f>
        <v/>
      </c>
      <c r="K1099" s="24"/>
      <c r="L1099" s="11"/>
    </row>
    <row r="1100" customFormat="false" ht="15" hidden="false" customHeight="false" outlineLevel="0" collapsed="false">
      <c r="A1100" s="22"/>
      <c r="B1100" s="11"/>
      <c r="C1100" s="24"/>
      <c r="D1100" s="31" t="str">
        <f aca="false">IF(C1100="","",IF(LEN(UPPER(SUBSTITUTE(SUBSTITUTE(SUBSTITUTE(SUBSTITUTE(TRIM(C1100),".",""),"/",""),"-","")," ","")))&lt;14,RIGHT(REPT("0",14)&amp;UPPER(SUBSTITUTE(SUBSTITUTE(SUBSTITUTE(SUBSTITUTE(TRIM(C1100),".",""),"/",""),"-","")," ","")),14),UPPER(SUBSTITUTE(SUBSTITUTE(SUBSTITUTE(SUBSTITUTE(TRIM(C1100),".",""),"/",""),"-","")," ",""))))</f>
        <v/>
      </c>
      <c r="E1100" s="25" t="str">
        <f aca="false">IF(D1100="","",IFERROR(INDEX(Empresas!$C:$C,MATCH(D1100,Empresas!$B:$B,0)),"cadastre o CNPJ em Empresas"))</f>
        <v/>
      </c>
      <c r="F1100" s="23"/>
      <c r="G1100" s="35"/>
      <c r="H1100" s="24"/>
      <c r="I1100" s="11"/>
      <c r="J1100" s="27" t="str">
        <f aca="false">IF(A1100="","",YEAR(A1100))</f>
        <v/>
      </c>
      <c r="K1100" s="24"/>
      <c r="L1100" s="11"/>
    </row>
    <row r="1101" customFormat="false" ht="15" hidden="false" customHeight="false" outlineLevel="0" collapsed="false">
      <c r="A1101" s="22"/>
      <c r="B1101" s="11"/>
      <c r="C1101" s="24"/>
      <c r="D1101" s="31" t="str">
        <f aca="false">IF(C1101="","",IF(LEN(UPPER(SUBSTITUTE(SUBSTITUTE(SUBSTITUTE(SUBSTITUTE(TRIM(C1101),".",""),"/",""),"-","")," ","")))&lt;14,RIGHT(REPT("0",14)&amp;UPPER(SUBSTITUTE(SUBSTITUTE(SUBSTITUTE(SUBSTITUTE(TRIM(C1101),".",""),"/",""),"-","")," ","")),14),UPPER(SUBSTITUTE(SUBSTITUTE(SUBSTITUTE(SUBSTITUTE(TRIM(C1101),".",""),"/",""),"-","")," ",""))))</f>
        <v/>
      </c>
      <c r="E1101" s="25" t="str">
        <f aca="false">IF(D1101="","",IFERROR(INDEX(Empresas!$C:$C,MATCH(D1101,Empresas!$B:$B,0)),"cadastre o CNPJ em Empresas"))</f>
        <v/>
      </c>
      <c r="F1101" s="23"/>
      <c r="G1101" s="35"/>
      <c r="H1101" s="24"/>
      <c r="I1101" s="11"/>
      <c r="J1101" s="27" t="str">
        <f aca="false">IF(A1101="","",YEAR(A1101))</f>
        <v/>
      </c>
      <c r="K1101" s="24"/>
      <c r="L1101" s="11"/>
    </row>
    <row r="1102" customFormat="false" ht="15" hidden="false" customHeight="false" outlineLevel="0" collapsed="false">
      <c r="A1102" s="22"/>
      <c r="B1102" s="11"/>
      <c r="C1102" s="24"/>
      <c r="D1102" s="31" t="str">
        <f aca="false">IF(C1102="","",IF(LEN(UPPER(SUBSTITUTE(SUBSTITUTE(SUBSTITUTE(SUBSTITUTE(TRIM(C1102),".",""),"/",""),"-","")," ","")))&lt;14,RIGHT(REPT("0",14)&amp;UPPER(SUBSTITUTE(SUBSTITUTE(SUBSTITUTE(SUBSTITUTE(TRIM(C1102),".",""),"/",""),"-","")," ","")),14),UPPER(SUBSTITUTE(SUBSTITUTE(SUBSTITUTE(SUBSTITUTE(TRIM(C1102),".",""),"/",""),"-","")," ",""))))</f>
        <v/>
      </c>
      <c r="E1102" s="25" t="str">
        <f aca="false">IF(D1102="","",IFERROR(INDEX(Empresas!$C:$C,MATCH(D1102,Empresas!$B:$B,0)),"cadastre o CNPJ em Empresas"))</f>
        <v/>
      </c>
      <c r="F1102" s="23"/>
      <c r="G1102" s="35"/>
      <c r="H1102" s="24"/>
      <c r="I1102" s="11"/>
      <c r="J1102" s="27" t="str">
        <f aca="false">IF(A1102="","",YEAR(A1102))</f>
        <v/>
      </c>
      <c r="K1102" s="24"/>
      <c r="L1102" s="11"/>
    </row>
    <row r="1103" customFormat="false" ht="15" hidden="false" customHeight="false" outlineLevel="0" collapsed="false">
      <c r="A1103" s="22"/>
      <c r="B1103" s="11"/>
      <c r="C1103" s="24"/>
      <c r="D1103" s="31" t="str">
        <f aca="false">IF(C1103="","",IF(LEN(UPPER(SUBSTITUTE(SUBSTITUTE(SUBSTITUTE(SUBSTITUTE(TRIM(C1103),".",""),"/",""),"-","")," ","")))&lt;14,RIGHT(REPT("0",14)&amp;UPPER(SUBSTITUTE(SUBSTITUTE(SUBSTITUTE(SUBSTITUTE(TRIM(C1103),".",""),"/",""),"-","")," ","")),14),UPPER(SUBSTITUTE(SUBSTITUTE(SUBSTITUTE(SUBSTITUTE(TRIM(C1103),".",""),"/",""),"-","")," ",""))))</f>
        <v/>
      </c>
      <c r="E1103" s="25" t="str">
        <f aca="false">IF(D1103="","",IFERROR(INDEX(Empresas!$C:$C,MATCH(D1103,Empresas!$B:$B,0)),"cadastre o CNPJ em Empresas"))</f>
        <v/>
      </c>
      <c r="F1103" s="23"/>
      <c r="G1103" s="35"/>
      <c r="H1103" s="24"/>
      <c r="I1103" s="11"/>
      <c r="J1103" s="27" t="str">
        <f aca="false">IF(A1103="","",YEAR(A1103))</f>
        <v/>
      </c>
      <c r="K1103" s="24"/>
      <c r="L1103" s="11"/>
    </row>
    <row r="1104" customFormat="false" ht="15" hidden="false" customHeight="false" outlineLevel="0" collapsed="false">
      <c r="A1104" s="22"/>
      <c r="B1104" s="11"/>
      <c r="C1104" s="24"/>
      <c r="D1104" s="31" t="str">
        <f aca="false">IF(C1104="","",IF(LEN(UPPER(SUBSTITUTE(SUBSTITUTE(SUBSTITUTE(SUBSTITUTE(TRIM(C1104),".",""),"/",""),"-","")," ","")))&lt;14,RIGHT(REPT("0",14)&amp;UPPER(SUBSTITUTE(SUBSTITUTE(SUBSTITUTE(SUBSTITUTE(TRIM(C1104),".",""),"/",""),"-","")," ","")),14),UPPER(SUBSTITUTE(SUBSTITUTE(SUBSTITUTE(SUBSTITUTE(TRIM(C1104),".",""),"/",""),"-","")," ",""))))</f>
        <v/>
      </c>
      <c r="E1104" s="25" t="str">
        <f aca="false">IF(D1104="","",IFERROR(INDEX(Empresas!$C:$C,MATCH(D1104,Empresas!$B:$B,0)),"cadastre o CNPJ em Empresas"))</f>
        <v/>
      </c>
      <c r="F1104" s="23"/>
      <c r="G1104" s="35"/>
      <c r="H1104" s="24"/>
      <c r="I1104" s="11"/>
      <c r="J1104" s="27" t="str">
        <f aca="false">IF(A1104="","",YEAR(A1104))</f>
        <v/>
      </c>
      <c r="K1104" s="24"/>
      <c r="L1104" s="11"/>
    </row>
    <row r="1105" customFormat="false" ht="15" hidden="false" customHeight="false" outlineLevel="0" collapsed="false">
      <c r="A1105" s="22"/>
      <c r="B1105" s="11"/>
      <c r="C1105" s="24"/>
      <c r="D1105" s="31" t="str">
        <f aca="false">IF(C1105="","",IF(LEN(UPPER(SUBSTITUTE(SUBSTITUTE(SUBSTITUTE(SUBSTITUTE(TRIM(C1105),".",""),"/",""),"-","")," ","")))&lt;14,RIGHT(REPT("0",14)&amp;UPPER(SUBSTITUTE(SUBSTITUTE(SUBSTITUTE(SUBSTITUTE(TRIM(C1105),".",""),"/",""),"-","")," ","")),14),UPPER(SUBSTITUTE(SUBSTITUTE(SUBSTITUTE(SUBSTITUTE(TRIM(C1105),".",""),"/",""),"-","")," ",""))))</f>
        <v/>
      </c>
      <c r="E1105" s="25" t="str">
        <f aca="false">IF(D1105="","",IFERROR(INDEX(Empresas!$C:$C,MATCH(D1105,Empresas!$B:$B,0)),"cadastre o CNPJ em Empresas"))</f>
        <v/>
      </c>
      <c r="F1105" s="23"/>
      <c r="G1105" s="35"/>
      <c r="H1105" s="24"/>
      <c r="I1105" s="11"/>
      <c r="J1105" s="27" t="str">
        <f aca="false">IF(A1105="","",YEAR(A1105))</f>
        <v/>
      </c>
      <c r="K1105" s="24"/>
      <c r="L1105" s="11"/>
    </row>
    <row r="1106" customFormat="false" ht="15" hidden="false" customHeight="false" outlineLevel="0" collapsed="false">
      <c r="A1106" s="22"/>
      <c r="B1106" s="11"/>
      <c r="C1106" s="24"/>
      <c r="D1106" s="31" t="str">
        <f aca="false">IF(C1106="","",IF(LEN(UPPER(SUBSTITUTE(SUBSTITUTE(SUBSTITUTE(SUBSTITUTE(TRIM(C1106),".",""),"/",""),"-","")," ","")))&lt;14,RIGHT(REPT("0",14)&amp;UPPER(SUBSTITUTE(SUBSTITUTE(SUBSTITUTE(SUBSTITUTE(TRIM(C1106),".",""),"/",""),"-","")," ","")),14),UPPER(SUBSTITUTE(SUBSTITUTE(SUBSTITUTE(SUBSTITUTE(TRIM(C1106),".",""),"/",""),"-","")," ",""))))</f>
        <v/>
      </c>
      <c r="E1106" s="25" t="str">
        <f aca="false">IF(D1106="","",IFERROR(INDEX(Empresas!$C:$C,MATCH(D1106,Empresas!$B:$B,0)),"cadastre o CNPJ em Empresas"))</f>
        <v/>
      </c>
      <c r="F1106" s="23"/>
      <c r="G1106" s="35"/>
      <c r="H1106" s="24"/>
      <c r="I1106" s="11"/>
      <c r="J1106" s="27" t="str">
        <f aca="false">IF(A1106="","",YEAR(A1106))</f>
        <v/>
      </c>
      <c r="K1106" s="24"/>
      <c r="L1106" s="11"/>
    </row>
    <row r="1107" customFormat="false" ht="15" hidden="false" customHeight="false" outlineLevel="0" collapsed="false">
      <c r="A1107" s="22"/>
      <c r="B1107" s="11"/>
      <c r="C1107" s="24"/>
      <c r="D1107" s="31" t="str">
        <f aca="false">IF(C1107="","",IF(LEN(UPPER(SUBSTITUTE(SUBSTITUTE(SUBSTITUTE(SUBSTITUTE(TRIM(C1107),".",""),"/",""),"-","")," ","")))&lt;14,RIGHT(REPT("0",14)&amp;UPPER(SUBSTITUTE(SUBSTITUTE(SUBSTITUTE(SUBSTITUTE(TRIM(C1107),".",""),"/",""),"-","")," ","")),14),UPPER(SUBSTITUTE(SUBSTITUTE(SUBSTITUTE(SUBSTITUTE(TRIM(C1107),".",""),"/",""),"-","")," ",""))))</f>
        <v/>
      </c>
      <c r="E1107" s="25" t="str">
        <f aca="false">IF(D1107="","",IFERROR(INDEX(Empresas!$C:$C,MATCH(D1107,Empresas!$B:$B,0)),"cadastre o CNPJ em Empresas"))</f>
        <v/>
      </c>
      <c r="F1107" s="23"/>
      <c r="G1107" s="35"/>
      <c r="H1107" s="24"/>
      <c r="I1107" s="11"/>
      <c r="J1107" s="27" t="str">
        <f aca="false">IF(A1107="","",YEAR(A1107))</f>
        <v/>
      </c>
      <c r="K1107" s="24"/>
      <c r="L1107" s="11"/>
    </row>
    <row r="1108" customFormat="false" ht="15" hidden="false" customHeight="false" outlineLevel="0" collapsed="false">
      <c r="A1108" s="22"/>
      <c r="B1108" s="11"/>
      <c r="C1108" s="24"/>
      <c r="D1108" s="31" t="str">
        <f aca="false">IF(C1108="","",IF(LEN(UPPER(SUBSTITUTE(SUBSTITUTE(SUBSTITUTE(SUBSTITUTE(TRIM(C1108),".",""),"/",""),"-","")," ","")))&lt;14,RIGHT(REPT("0",14)&amp;UPPER(SUBSTITUTE(SUBSTITUTE(SUBSTITUTE(SUBSTITUTE(TRIM(C1108),".",""),"/",""),"-","")," ","")),14),UPPER(SUBSTITUTE(SUBSTITUTE(SUBSTITUTE(SUBSTITUTE(TRIM(C1108),".",""),"/",""),"-","")," ",""))))</f>
        <v/>
      </c>
      <c r="E1108" s="25" t="str">
        <f aca="false">IF(D1108="","",IFERROR(INDEX(Empresas!$C:$C,MATCH(D1108,Empresas!$B:$B,0)),"cadastre o CNPJ em Empresas"))</f>
        <v/>
      </c>
      <c r="F1108" s="23"/>
      <c r="G1108" s="35"/>
      <c r="H1108" s="24"/>
      <c r="I1108" s="11"/>
      <c r="J1108" s="27" t="str">
        <f aca="false">IF(A1108="","",YEAR(A1108))</f>
        <v/>
      </c>
      <c r="K1108" s="24"/>
      <c r="L1108" s="11"/>
    </row>
    <row r="1109" customFormat="false" ht="15" hidden="false" customHeight="false" outlineLevel="0" collapsed="false">
      <c r="A1109" s="22"/>
      <c r="B1109" s="11"/>
      <c r="C1109" s="24"/>
      <c r="D1109" s="31" t="str">
        <f aca="false">IF(C1109="","",IF(LEN(UPPER(SUBSTITUTE(SUBSTITUTE(SUBSTITUTE(SUBSTITUTE(TRIM(C1109),".",""),"/",""),"-","")," ","")))&lt;14,RIGHT(REPT("0",14)&amp;UPPER(SUBSTITUTE(SUBSTITUTE(SUBSTITUTE(SUBSTITUTE(TRIM(C1109),".",""),"/",""),"-","")," ","")),14),UPPER(SUBSTITUTE(SUBSTITUTE(SUBSTITUTE(SUBSTITUTE(TRIM(C1109),".",""),"/",""),"-","")," ",""))))</f>
        <v/>
      </c>
      <c r="E1109" s="25" t="str">
        <f aca="false">IF(D1109="","",IFERROR(INDEX(Empresas!$C:$C,MATCH(D1109,Empresas!$B:$B,0)),"cadastre o CNPJ em Empresas"))</f>
        <v/>
      </c>
      <c r="F1109" s="23"/>
      <c r="G1109" s="35"/>
      <c r="H1109" s="24"/>
      <c r="I1109" s="11"/>
      <c r="J1109" s="27" t="str">
        <f aca="false">IF(A1109="","",YEAR(A1109))</f>
        <v/>
      </c>
      <c r="K1109" s="24"/>
      <c r="L1109" s="11"/>
    </row>
    <row r="1110" customFormat="false" ht="15" hidden="false" customHeight="false" outlineLevel="0" collapsed="false">
      <c r="A1110" s="22"/>
      <c r="B1110" s="11"/>
      <c r="C1110" s="24"/>
      <c r="D1110" s="31" t="str">
        <f aca="false">IF(C1110="","",IF(LEN(UPPER(SUBSTITUTE(SUBSTITUTE(SUBSTITUTE(SUBSTITUTE(TRIM(C1110),".",""),"/",""),"-","")," ","")))&lt;14,RIGHT(REPT("0",14)&amp;UPPER(SUBSTITUTE(SUBSTITUTE(SUBSTITUTE(SUBSTITUTE(TRIM(C1110),".",""),"/",""),"-","")," ","")),14),UPPER(SUBSTITUTE(SUBSTITUTE(SUBSTITUTE(SUBSTITUTE(TRIM(C1110),".",""),"/",""),"-","")," ",""))))</f>
        <v/>
      </c>
      <c r="E1110" s="25" t="str">
        <f aca="false">IF(D1110="","",IFERROR(INDEX(Empresas!$C:$C,MATCH(D1110,Empresas!$B:$B,0)),"cadastre o CNPJ em Empresas"))</f>
        <v/>
      </c>
      <c r="F1110" s="23"/>
      <c r="G1110" s="35"/>
      <c r="H1110" s="24"/>
      <c r="I1110" s="11"/>
      <c r="J1110" s="27" t="str">
        <f aca="false">IF(A1110="","",YEAR(A1110))</f>
        <v/>
      </c>
      <c r="K1110" s="24"/>
      <c r="L1110" s="11"/>
    </row>
    <row r="1111" customFormat="false" ht="15" hidden="false" customHeight="false" outlineLevel="0" collapsed="false">
      <c r="A1111" s="22"/>
      <c r="B1111" s="11"/>
      <c r="C1111" s="24"/>
      <c r="D1111" s="31" t="str">
        <f aca="false">IF(C1111="","",IF(LEN(UPPER(SUBSTITUTE(SUBSTITUTE(SUBSTITUTE(SUBSTITUTE(TRIM(C1111),".",""),"/",""),"-","")," ","")))&lt;14,RIGHT(REPT("0",14)&amp;UPPER(SUBSTITUTE(SUBSTITUTE(SUBSTITUTE(SUBSTITUTE(TRIM(C1111),".",""),"/",""),"-","")," ","")),14),UPPER(SUBSTITUTE(SUBSTITUTE(SUBSTITUTE(SUBSTITUTE(TRIM(C1111),".",""),"/",""),"-","")," ",""))))</f>
        <v/>
      </c>
      <c r="E1111" s="25" t="str">
        <f aca="false">IF(D1111="","",IFERROR(INDEX(Empresas!$C:$C,MATCH(D1111,Empresas!$B:$B,0)),"cadastre o CNPJ em Empresas"))</f>
        <v/>
      </c>
      <c r="F1111" s="23"/>
      <c r="G1111" s="35"/>
      <c r="H1111" s="24"/>
      <c r="I1111" s="11"/>
      <c r="J1111" s="27" t="str">
        <f aca="false">IF(A1111="","",YEAR(A1111))</f>
        <v/>
      </c>
      <c r="K1111" s="24"/>
      <c r="L1111" s="11"/>
    </row>
    <row r="1112" customFormat="false" ht="15" hidden="false" customHeight="false" outlineLevel="0" collapsed="false">
      <c r="A1112" s="22"/>
      <c r="B1112" s="11"/>
      <c r="C1112" s="24"/>
      <c r="D1112" s="31" t="str">
        <f aca="false">IF(C1112="","",IF(LEN(UPPER(SUBSTITUTE(SUBSTITUTE(SUBSTITUTE(SUBSTITUTE(TRIM(C1112),".",""),"/",""),"-","")," ","")))&lt;14,RIGHT(REPT("0",14)&amp;UPPER(SUBSTITUTE(SUBSTITUTE(SUBSTITUTE(SUBSTITUTE(TRIM(C1112),".",""),"/",""),"-","")," ","")),14),UPPER(SUBSTITUTE(SUBSTITUTE(SUBSTITUTE(SUBSTITUTE(TRIM(C1112),".",""),"/",""),"-","")," ",""))))</f>
        <v/>
      </c>
      <c r="E1112" s="25" t="str">
        <f aca="false">IF(D1112="","",IFERROR(INDEX(Empresas!$C:$C,MATCH(D1112,Empresas!$B:$B,0)),"cadastre o CNPJ em Empresas"))</f>
        <v/>
      </c>
      <c r="F1112" s="23"/>
      <c r="G1112" s="35"/>
      <c r="H1112" s="24"/>
      <c r="I1112" s="11"/>
      <c r="J1112" s="27" t="str">
        <f aca="false">IF(A1112="","",YEAR(A1112))</f>
        <v/>
      </c>
      <c r="K1112" s="24"/>
      <c r="L1112" s="11"/>
    </row>
    <row r="1113" customFormat="false" ht="15" hidden="false" customHeight="false" outlineLevel="0" collapsed="false">
      <c r="A1113" s="22"/>
      <c r="B1113" s="11"/>
      <c r="C1113" s="24"/>
      <c r="D1113" s="31" t="str">
        <f aca="false">IF(C1113="","",IF(LEN(UPPER(SUBSTITUTE(SUBSTITUTE(SUBSTITUTE(SUBSTITUTE(TRIM(C1113),".",""),"/",""),"-","")," ","")))&lt;14,RIGHT(REPT("0",14)&amp;UPPER(SUBSTITUTE(SUBSTITUTE(SUBSTITUTE(SUBSTITUTE(TRIM(C1113),".",""),"/",""),"-","")," ","")),14),UPPER(SUBSTITUTE(SUBSTITUTE(SUBSTITUTE(SUBSTITUTE(TRIM(C1113),".",""),"/",""),"-","")," ",""))))</f>
        <v/>
      </c>
      <c r="E1113" s="25" t="str">
        <f aca="false">IF(D1113="","",IFERROR(INDEX(Empresas!$C:$C,MATCH(D1113,Empresas!$B:$B,0)),"cadastre o CNPJ em Empresas"))</f>
        <v/>
      </c>
      <c r="F1113" s="23"/>
      <c r="G1113" s="35"/>
      <c r="H1113" s="24"/>
      <c r="I1113" s="11"/>
      <c r="J1113" s="27" t="str">
        <f aca="false">IF(A1113="","",YEAR(A1113))</f>
        <v/>
      </c>
      <c r="K1113" s="24"/>
      <c r="L1113" s="11"/>
    </row>
    <row r="1114" customFormat="false" ht="15" hidden="false" customHeight="false" outlineLevel="0" collapsed="false">
      <c r="A1114" s="22"/>
      <c r="B1114" s="11"/>
      <c r="C1114" s="24"/>
      <c r="D1114" s="31" t="str">
        <f aca="false">IF(C1114="","",IF(LEN(UPPER(SUBSTITUTE(SUBSTITUTE(SUBSTITUTE(SUBSTITUTE(TRIM(C1114),".",""),"/",""),"-","")," ","")))&lt;14,RIGHT(REPT("0",14)&amp;UPPER(SUBSTITUTE(SUBSTITUTE(SUBSTITUTE(SUBSTITUTE(TRIM(C1114),".",""),"/",""),"-","")," ","")),14),UPPER(SUBSTITUTE(SUBSTITUTE(SUBSTITUTE(SUBSTITUTE(TRIM(C1114),".",""),"/",""),"-","")," ",""))))</f>
        <v/>
      </c>
      <c r="E1114" s="25" t="str">
        <f aca="false">IF(D1114="","",IFERROR(INDEX(Empresas!$C:$C,MATCH(D1114,Empresas!$B:$B,0)),"cadastre o CNPJ em Empresas"))</f>
        <v/>
      </c>
      <c r="F1114" s="23"/>
      <c r="G1114" s="35"/>
      <c r="H1114" s="24"/>
      <c r="I1114" s="11"/>
      <c r="J1114" s="27" t="str">
        <f aca="false">IF(A1114="","",YEAR(A1114))</f>
        <v/>
      </c>
      <c r="K1114" s="24"/>
      <c r="L1114" s="11"/>
    </row>
    <row r="1115" customFormat="false" ht="15" hidden="false" customHeight="false" outlineLevel="0" collapsed="false">
      <c r="A1115" s="22"/>
      <c r="B1115" s="11"/>
      <c r="C1115" s="24"/>
      <c r="D1115" s="31" t="str">
        <f aca="false">IF(C1115="","",IF(LEN(UPPER(SUBSTITUTE(SUBSTITUTE(SUBSTITUTE(SUBSTITUTE(TRIM(C1115),".",""),"/",""),"-","")," ","")))&lt;14,RIGHT(REPT("0",14)&amp;UPPER(SUBSTITUTE(SUBSTITUTE(SUBSTITUTE(SUBSTITUTE(TRIM(C1115),".",""),"/",""),"-","")," ","")),14),UPPER(SUBSTITUTE(SUBSTITUTE(SUBSTITUTE(SUBSTITUTE(TRIM(C1115),".",""),"/",""),"-","")," ",""))))</f>
        <v/>
      </c>
      <c r="E1115" s="25" t="str">
        <f aca="false">IF(D1115="","",IFERROR(INDEX(Empresas!$C:$C,MATCH(D1115,Empresas!$B:$B,0)),"cadastre o CNPJ em Empresas"))</f>
        <v/>
      </c>
      <c r="F1115" s="23"/>
      <c r="G1115" s="35"/>
      <c r="H1115" s="24"/>
      <c r="I1115" s="11"/>
      <c r="J1115" s="27" t="str">
        <f aca="false">IF(A1115="","",YEAR(A1115))</f>
        <v/>
      </c>
      <c r="K1115" s="24"/>
      <c r="L1115" s="11"/>
    </row>
    <row r="1116" customFormat="false" ht="15" hidden="false" customHeight="false" outlineLevel="0" collapsed="false">
      <c r="A1116" s="22"/>
      <c r="B1116" s="11"/>
      <c r="C1116" s="24"/>
      <c r="D1116" s="31" t="str">
        <f aca="false">IF(C1116="","",IF(LEN(UPPER(SUBSTITUTE(SUBSTITUTE(SUBSTITUTE(SUBSTITUTE(TRIM(C1116),".",""),"/",""),"-","")," ","")))&lt;14,RIGHT(REPT("0",14)&amp;UPPER(SUBSTITUTE(SUBSTITUTE(SUBSTITUTE(SUBSTITUTE(TRIM(C1116),".",""),"/",""),"-","")," ","")),14),UPPER(SUBSTITUTE(SUBSTITUTE(SUBSTITUTE(SUBSTITUTE(TRIM(C1116),".",""),"/",""),"-","")," ",""))))</f>
        <v/>
      </c>
      <c r="E1116" s="25" t="str">
        <f aca="false">IF(D1116="","",IFERROR(INDEX(Empresas!$C:$C,MATCH(D1116,Empresas!$B:$B,0)),"cadastre o CNPJ em Empresas"))</f>
        <v/>
      </c>
      <c r="F1116" s="23"/>
      <c r="G1116" s="35"/>
      <c r="H1116" s="24"/>
      <c r="I1116" s="11"/>
      <c r="J1116" s="27" t="str">
        <f aca="false">IF(A1116="","",YEAR(A1116))</f>
        <v/>
      </c>
      <c r="K1116" s="24"/>
      <c r="L1116" s="11"/>
    </row>
    <row r="1117" customFormat="false" ht="15" hidden="false" customHeight="false" outlineLevel="0" collapsed="false">
      <c r="A1117" s="22"/>
      <c r="B1117" s="11"/>
      <c r="C1117" s="24"/>
      <c r="D1117" s="31" t="str">
        <f aca="false">IF(C1117="","",IF(LEN(UPPER(SUBSTITUTE(SUBSTITUTE(SUBSTITUTE(SUBSTITUTE(TRIM(C1117),".",""),"/",""),"-","")," ","")))&lt;14,RIGHT(REPT("0",14)&amp;UPPER(SUBSTITUTE(SUBSTITUTE(SUBSTITUTE(SUBSTITUTE(TRIM(C1117),".",""),"/",""),"-","")," ","")),14),UPPER(SUBSTITUTE(SUBSTITUTE(SUBSTITUTE(SUBSTITUTE(TRIM(C1117),".",""),"/",""),"-","")," ",""))))</f>
        <v/>
      </c>
      <c r="E1117" s="25" t="str">
        <f aca="false">IF(D1117="","",IFERROR(INDEX(Empresas!$C:$C,MATCH(D1117,Empresas!$B:$B,0)),"cadastre o CNPJ em Empresas"))</f>
        <v/>
      </c>
      <c r="F1117" s="23"/>
      <c r="G1117" s="35"/>
      <c r="H1117" s="24"/>
      <c r="I1117" s="11"/>
      <c r="J1117" s="27" t="str">
        <f aca="false">IF(A1117="","",YEAR(A1117))</f>
        <v/>
      </c>
      <c r="K1117" s="24"/>
      <c r="L1117" s="11"/>
    </row>
    <row r="1118" customFormat="false" ht="15" hidden="false" customHeight="false" outlineLevel="0" collapsed="false">
      <c r="A1118" s="22"/>
      <c r="B1118" s="11"/>
      <c r="C1118" s="24"/>
      <c r="D1118" s="31" t="str">
        <f aca="false">IF(C1118="","",IF(LEN(UPPER(SUBSTITUTE(SUBSTITUTE(SUBSTITUTE(SUBSTITUTE(TRIM(C1118),".",""),"/",""),"-","")," ","")))&lt;14,RIGHT(REPT("0",14)&amp;UPPER(SUBSTITUTE(SUBSTITUTE(SUBSTITUTE(SUBSTITUTE(TRIM(C1118),".",""),"/",""),"-","")," ","")),14),UPPER(SUBSTITUTE(SUBSTITUTE(SUBSTITUTE(SUBSTITUTE(TRIM(C1118),".",""),"/",""),"-","")," ",""))))</f>
        <v/>
      </c>
      <c r="E1118" s="25" t="str">
        <f aca="false">IF(D1118="","",IFERROR(INDEX(Empresas!$C:$C,MATCH(D1118,Empresas!$B:$B,0)),"cadastre o CNPJ em Empresas"))</f>
        <v/>
      </c>
      <c r="F1118" s="23"/>
      <c r="G1118" s="35"/>
      <c r="H1118" s="24"/>
      <c r="I1118" s="11"/>
      <c r="J1118" s="27" t="str">
        <f aca="false">IF(A1118="","",YEAR(A1118))</f>
        <v/>
      </c>
      <c r="K1118" s="24"/>
      <c r="L1118" s="11"/>
    </row>
    <row r="1119" customFormat="false" ht="15" hidden="false" customHeight="false" outlineLevel="0" collapsed="false">
      <c r="A1119" s="22"/>
      <c r="B1119" s="11"/>
      <c r="C1119" s="24"/>
      <c r="D1119" s="31" t="str">
        <f aca="false">IF(C1119="","",IF(LEN(UPPER(SUBSTITUTE(SUBSTITUTE(SUBSTITUTE(SUBSTITUTE(TRIM(C1119),".",""),"/",""),"-","")," ","")))&lt;14,RIGHT(REPT("0",14)&amp;UPPER(SUBSTITUTE(SUBSTITUTE(SUBSTITUTE(SUBSTITUTE(TRIM(C1119),".",""),"/",""),"-","")," ","")),14),UPPER(SUBSTITUTE(SUBSTITUTE(SUBSTITUTE(SUBSTITUTE(TRIM(C1119),".",""),"/",""),"-","")," ",""))))</f>
        <v/>
      </c>
      <c r="E1119" s="25" t="str">
        <f aca="false">IF(D1119="","",IFERROR(INDEX(Empresas!$C:$C,MATCH(D1119,Empresas!$B:$B,0)),"cadastre o CNPJ em Empresas"))</f>
        <v/>
      </c>
      <c r="F1119" s="23"/>
      <c r="G1119" s="35"/>
      <c r="H1119" s="24"/>
      <c r="I1119" s="11"/>
      <c r="J1119" s="27" t="str">
        <f aca="false">IF(A1119="","",YEAR(A1119))</f>
        <v/>
      </c>
      <c r="K1119" s="24"/>
      <c r="L1119" s="11"/>
    </row>
    <row r="1120" customFormat="false" ht="15" hidden="false" customHeight="false" outlineLevel="0" collapsed="false">
      <c r="A1120" s="22"/>
      <c r="B1120" s="11"/>
      <c r="C1120" s="24"/>
      <c r="D1120" s="31" t="str">
        <f aca="false">IF(C1120="","",IF(LEN(UPPER(SUBSTITUTE(SUBSTITUTE(SUBSTITUTE(SUBSTITUTE(TRIM(C1120),".",""),"/",""),"-","")," ","")))&lt;14,RIGHT(REPT("0",14)&amp;UPPER(SUBSTITUTE(SUBSTITUTE(SUBSTITUTE(SUBSTITUTE(TRIM(C1120),".",""),"/",""),"-","")," ","")),14),UPPER(SUBSTITUTE(SUBSTITUTE(SUBSTITUTE(SUBSTITUTE(TRIM(C1120),".",""),"/",""),"-","")," ",""))))</f>
        <v/>
      </c>
      <c r="E1120" s="25" t="str">
        <f aca="false">IF(D1120="","",IFERROR(INDEX(Empresas!$C:$C,MATCH(D1120,Empresas!$B:$B,0)),"cadastre o CNPJ em Empresas"))</f>
        <v/>
      </c>
      <c r="F1120" s="23"/>
      <c r="G1120" s="35"/>
      <c r="H1120" s="24"/>
      <c r="I1120" s="11"/>
      <c r="J1120" s="27" t="str">
        <f aca="false">IF(A1120="","",YEAR(A1120))</f>
        <v/>
      </c>
      <c r="K1120" s="24"/>
      <c r="L1120" s="11"/>
    </row>
    <row r="1121" customFormat="false" ht="15" hidden="false" customHeight="false" outlineLevel="0" collapsed="false">
      <c r="A1121" s="22"/>
      <c r="B1121" s="11"/>
      <c r="C1121" s="24"/>
      <c r="D1121" s="31" t="str">
        <f aca="false">IF(C1121="","",IF(LEN(UPPER(SUBSTITUTE(SUBSTITUTE(SUBSTITUTE(SUBSTITUTE(TRIM(C1121),".",""),"/",""),"-","")," ","")))&lt;14,RIGHT(REPT("0",14)&amp;UPPER(SUBSTITUTE(SUBSTITUTE(SUBSTITUTE(SUBSTITUTE(TRIM(C1121),".",""),"/",""),"-","")," ","")),14),UPPER(SUBSTITUTE(SUBSTITUTE(SUBSTITUTE(SUBSTITUTE(TRIM(C1121),".",""),"/",""),"-","")," ",""))))</f>
        <v/>
      </c>
      <c r="E1121" s="25" t="str">
        <f aca="false">IF(D1121="","",IFERROR(INDEX(Empresas!$C:$C,MATCH(D1121,Empresas!$B:$B,0)),"cadastre o CNPJ em Empresas"))</f>
        <v/>
      </c>
      <c r="F1121" s="23"/>
      <c r="G1121" s="35"/>
      <c r="H1121" s="24"/>
      <c r="I1121" s="11"/>
      <c r="J1121" s="27" t="str">
        <f aca="false">IF(A1121="","",YEAR(A1121))</f>
        <v/>
      </c>
      <c r="K1121" s="24"/>
      <c r="L1121" s="11"/>
    </row>
    <row r="1122" customFormat="false" ht="15" hidden="false" customHeight="false" outlineLevel="0" collapsed="false">
      <c r="A1122" s="22"/>
      <c r="B1122" s="11"/>
      <c r="C1122" s="24"/>
      <c r="D1122" s="31" t="str">
        <f aca="false">IF(C1122="","",IF(LEN(UPPER(SUBSTITUTE(SUBSTITUTE(SUBSTITUTE(SUBSTITUTE(TRIM(C1122),".",""),"/",""),"-","")," ","")))&lt;14,RIGHT(REPT("0",14)&amp;UPPER(SUBSTITUTE(SUBSTITUTE(SUBSTITUTE(SUBSTITUTE(TRIM(C1122),".",""),"/",""),"-","")," ","")),14),UPPER(SUBSTITUTE(SUBSTITUTE(SUBSTITUTE(SUBSTITUTE(TRIM(C1122),".",""),"/",""),"-","")," ",""))))</f>
        <v/>
      </c>
      <c r="E1122" s="25" t="str">
        <f aca="false">IF(D1122="","",IFERROR(INDEX(Empresas!$C:$C,MATCH(D1122,Empresas!$B:$B,0)),"cadastre o CNPJ em Empresas"))</f>
        <v/>
      </c>
      <c r="F1122" s="23"/>
      <c r="G1122" s="35"/>
      <c r="H1122" s="24"/>
      <c r="I1122" s="11"/>
      <c r="J1122" s="27" t="str">
        <f aca="false">IF(A1122="","",YEAR(A1122))</f>
        <v/>
      </c>
      <c r="K1122" s="24"/>
      <c r="L1122" s="11"/>
    </row>
    <row r="1123" customFormat="false" ht="15" hidden="false" customHeight="false" outlineLevel="0" collapsed="false">
      <c r="A1123" s="22"/>
      <c r="B1123" s="11"/>
      <c r="C1123" s="24"/>
      <c r="D1123" s="31" t="str">
        <f aca="false">IF(C1123="","",IF(LEN(UPPER(SUBSTITUTE(SUBSTITUTE(SUBSTITUTE(SUBSTITUTE(TRIM(C1123),".",""),"/",""),"-","")," ","")))&lt;14,RIGHT(REPT("0",14)&amp;UPPER(SUBSTITUTE(SUBSTITUTE(SUBSTITUTE(SUBSTITUTE(TRIM(C1123),".",""),"/",""),"-","")," ","")),14),UPPER(SUBSTITUTE(SUBSTITUTE(SUBSTITUTE(SUBSTITUTE(TRIM(C1123),".",""),"/",""),"-","")," ",""))))</f>
        <v/>
      </c>
      <c r="E1123" s="25" t="str">
        <f aca="false">IF(D1123="","",IFERROR(INDEX(Empresas!$C:$C,MATCH(D1123,Empresas!$B:$B,0)),"cadastre o CNPJ em Empresas"))</f>
        <v/>
      </c>
      <c r="F1123" s="23"/>
      <c r="G1123" s="35"/>
      <c r="H1123" s="24"/>
      <c r="I1123" s="11"/>
      <c r="J1123" s="27" t="str">
        <f aca="false">IF(A1123="","",YEAR(A1123))</f>
        <v/>
      </c>
      <c r="K1123" s="24"/>
      <c r="L1123" s="11"/>
    </row>
    <row r="1124" customFormat="false" ht="15" hidden="false" customHeight="false" outlineLevel="0" collapsed="false">
      <c r="A1124" s="22"/>
      <c r="B1124" s="11"/>
      <c r="C1124" s="24"/>
      <c r="D1124" s="31" t="str">
        <f aca="false">IF(C1124="","",IF(LEN(UPPER(SUBSTITUTE(SUBSTITUTE(SUBSTITUTE(SUBSTITUTE(TRIM(C1124),".",""),"/",""),"-","")," ","")))&lt;14,RIGHT(REPT("0",14)&amp;UPPER(SUBSTITUTE(SUBSTITUTE(SUBSTITUTE(SUBSTITUTE(TRIM(C1124),".",""),"/",""),"-","")," ","")),14),UPPER(SUBSTITUTE(SUBSTITUTE(SUBSTITUTE(SUBSTITUTE(TRIM(C1124),".",""),"/",""),"-","")," ",""))))</f>
        <v/>
      </c>
      <c r="E1124" s="25" t="str">
        <f aca="false">IF(D1124="","",IFERROR(INDEX(Empresas!$C:$C,MATCH(D1124,Empresas!$B:$B,0)),"cadastre o CNPJ em Empresas"))</f>
        <v/>
      </c>
      <c r="F1124" s="23"/>
      <c r="G1124" s="35"/>
      <c r="H1124" s="24"/>
      <c r="I1124" s="11"/>
      <c r="J1124" s="27" t="str">
        <f aca="false">IF(A1124="","",YEAR(A1124))</f>
        <v/>
      </c>
      <c r="K1124" s="24"/>
      <c r="L1124" s="11"/>
    </row>
    <row r="1125" customFormat="false" ht="15" hidden="false" customHeight="false" outlineLevel="0" collapsed="false">
      <c r="A1125" s="22"/>
      <c r="B1125" s="11"/>
      <c r="C1125" s="24"/>
      <c r="D1125" s="31" t="str">
        <f aca="false">IF(C1125="","",IF(LEN(UPPER(SUBSTITUTE(SUBSTITUTE(SUBSTITUTE(SUBSTITUTE(TRIM(C1125),".",""),"/",""),"-","")," ","")))&lt;14,RIGHT(REPT("0",14)&amp;UPPER(SUBSTITUTE(SUBSTITUTE(SUBSTITUTE(SUBSTITUTE(TRIM(C1125),".",""),"/",""),"-","")," ","")),14),UPPER(SUBSTITUTE(SUBSTITUTE(SUBSTITUTE(SUBSTITUTE(TRIM(C1125),".",""),"/",""),"-","")," ",""))))</f>
        <v/>
      </c>
      <c r="E1125" s="25" t="str">
        <f aca="false">IF(D1125="","",IFERROR(INDEX(Empresas!$C:$C,MATCH(D1125,Empresas!$B:$B,0)),"cadastre o CNPJ em Empresas"))</f>
        <v/>
      </c>
      <c r="F1125" s="23"/>
      <c r="G1125" s="35"/>
      <c r="H1125" s="24"/>
      <c r="I1125" s="11"/>
      <c r="J1125" s="27" t="str">
        <f aca="false">IF(A1125="","",YEAR(A1125))</f>
        <v/>
      </c>
      <c r="K1125" s="24"/>
      <c r="L1125" s="11"/>
    </row>
    <row r="1126" customFormat="false" ht="15" hidden="false" customHeight="false" outlineLevel="0" collapsed="false">
      <c r="A1126" s="22"/>
      <c r="B1126" s="11"/>
      <c r="C1126" s="24"/>
      <c r="D1126" s="31" t="str">
        <f aca="false">IF(C1126="","",IF(LEN(UPPER(SUBSTITUTE(SUBSTITUTE(SUBSTITUTE(SUBSTITUTE(TRIM(C1126),".",""),"/",""),"-","")," ","")))&lt;14,RIGHT(REPT("0",14)&amp;UPPER(SUBSTITUTE(SUBSTITUTE(SUBSTITUTE(SUBSTITUTE(TRIM(C1126),".",""),"/",""),"-","")," ","")),14),UPPER(SUBSTITUTE(SUBSTITUTE(SUBSTITUTE(SUBSTITUTE(TRIM(C1126),".",""),"/",""),"-","")," ",""))))</f>
        <v/>
      </c>
      <c r="E1126" s="25" t="str">
        <f aca="false">IF(D1126="","",IFERROR(INDEX(Empresas!$C:$C,MATCH(D1126,Empresas!$B:$B,0)),"cadastre o CNPJ em Empresas"))</f>
        <v/>
      </c>
      <c r="F1126" s="23"/>
      <c r="G1126" s="35"/>
      <c r="H1126" s="24"/>
      <c r="I1126" s="11"/>
      <c r="J1126" s="27" t="str">
        <f aca="false">IF(A1126="","",YEAR(A1126))</f>
        <v/>
      </c>
      <c r="K1126" s="24"/>
      <c r="L1126" s="11"/>
    </row>
    <row r="1127" customFormat="false" ht="15" hidden="false" customHeight="false" outlineLevel="0" collapsed="false">
      <c r="A1127" s="22"/>
      <c r="B1127" s="11"/>
      <c r="C1127" s="24"/>
      <c r="D1127" s="31" t="str">
        <f aca="false">IF(C1127="","",IF(LEN(UPPER(SUBSTITUTE(SUBSTITUTE(SUBSTITUTE(SUBSTITUTE(TRIM(C1127),".",""),"/",""),"-","")," ","")))&lt;14,RIGHT(REPT("0",14)&amp;UPPER(SUBSTITUTE(SUBSTITUTE(SUBSTITUTE(SUBSTITUTE(TRIM(C1127),".",""),"/",""),"-","")," ","")),14),UPPER(SUBSTITUTE(SUBSTITUTE(SUBSTITUTE(SUBSTITUTE(TRIM(C1127),".",""),"/",""),"-","")," ",""))))</f>
        <v/>
      </c>
      <c r="E1127" s="25" t="str">
        <f aca="false">IF(D1127="","",IFERROR(INDEX(Empresas!$C:$C,MATCH(D1127,Empresas!$B:$B,0)),"cadastre o CNPJ em Empresas"))</f>
        <v/>
      </c>
      <c r="F1127" s="23"/>
      <c r="G1127" s="35"/>
      <c r="H1127" s="24"/>
      <c r="I1127" s="11"/>
      <c r="J1127" s="27" t="str">
        <f aca="false">IF(A1127="","",YEAR(A1127))</f>
        <v/>
      </c>
      <c r="K1127" s="24"/>
      <c r="L1127" s="11"/>
    </row>
    <row r="1128" customFormat="false" ht="15" hidden="false" customHeight="false" outlineLevel="0" collapsed="false">
      <c r="A1128" s="22"/>
      <c r="B1128" s="11"/>
      <c r="C1128" s="24"/>
      <c r="D1128" s="31" t="str">
        <f aca="false">IF(C1128="","",IF(LEN(UPPER(SUBSTITUTE(SUBSTITUTE(SUBSTITUTE(SUBSTITUTE(TRIM(C1128),".",""),"/",""),"-","")," ","")))&lt;14,RIGHT(REPT("0",14)&amp;UPPER(SUBSTITUTE(SUBSTITUTE(SUBSTITUTE(SUBSTITUTE(TRIM(C1128),".",""),"/",""),"-","")," ","")),14),UPPER(SUBSTITUTE(SUBSTITUTE(SUBSTITUTE(SUBSTITUTE(TRIM(C1128),".",""),"/",""),"-","")," ",""))))</f>
        <v/>
      </c>
      <c r="E1128" s="25" t="str">
        <f aca="false">IF(D1128="","",IFERROR(INDEX(Empresas!$C:$C,MATCH(D1128,Empresas!$B:$B,0)),"cadastre o CNPJ em Empresas"))</f>
        <v/>
      </c>
      <c r="F1128" s="23"/>
      <c r="G1128" s="35"/>
      <c r="H1128" s="24"/>
      <c r="I1128" s="11"/>
      <c r="J1128" s="27" t="str">
        <f aca="false">IF(A1128="","",YEAR(A1128))</f>
        <v/>
      </c>
      <c r="K1128" s="24"/>
      <c r="L1128" s="11"/>
    </row>
    <row r="1129" customFormat="false" ht="15" hidden="false" customHeight="false" outlineLevel="0" collapsed="false">
      <c r="A1129" s="22"/>
      <c r="B1129" s="11"/>
      <c r="C1129" s="24"/>
      <c r="D1129" s="31" t="str">
        <f aca="false">IF(C1129="","",IF(LEN(UPPER(SUBSTITUTE(SUBSTITUTE(SUBSTITUTE(SUBSTITUTE(TRIM(C1129),".",""),"/",""),"-","")," ","")))&lt;14,RIGHT(REPT("0",14)&amp;UPPER(SUBSTITUTE(SUBSTITUTE(SUBSTITUTE(SUBSTITUTE(TRIM(C1129),".",""),"/",""),"-","")," ","")),14),UPPER(SUBSTITUTE(SUBSTITUTE(SUBSTITUTE(SUBSTITUTE(TRIM(C1129),".",""),"/",""),"-","")," ",""))))</f>
        <v/>
      </c>
      <c r="E1129" s="25" t="str">
        <f aca="false">IF(D1129="","",IFERROR(INDEX(Empresas!$C:$C,MATCH(D1129,Empresas!$B:$B,0)),"cadastre o CNPJ em Empresas"))</f>
        <v/>
      </c>
      <c r="F1129" s="23"/>
      <c r="G1129" s="35"/>
      <c r="H1129" s="24"/>
      <c r="I1129" s="11"/>
      <c r="J1129" s="27" t="str">
        <f aca="false">IF(A1129="","",YEAR(A1129))</f>
        <v/>
      </c>
      <c r="K1129" s="24"/>
      <c r="L1129" s="11"/>
    </row>
    <row r="1130" customFormat="false" ht="15" hidden="false" customHeight="false" outlineLevel="0" collapsed="false">
      <c r="A1130" s="22"/>
      <c r="B1130" s="11"/>
      <c r="C1130" s="24"/>
      <c r="D1130" s="31" t="str">
        <f aca="false">IF(C1130="","",IF(LEN(UPPER(SUBSTITUTE(SUBSTITUTE(SUBSTITUTE(SUBSTITUTE(TRIM(C1130),".",""),"/",""),"-","")," ","")))&lt;14,RIGHT(REPT("0",14)&amp;UPPER(SUBSTITUTE(SUBSTITUTE(SUBSTITUTE(SUBSTITUTE(TRIM(C1130),".",""),"/",""),"-","")," ","")),14),UPPER(SUBSTITUTE(SUBSTITUTE(SUBSTITUTE(SUBSTITUTE(TRIM(C1130),".",""),"/",""),"-","")," ",""))))</f>
        <v/>
      </c>
      <c r="E1130" s="25" t="str">
        <f aca="false">IF(D1130="","",IFERROR(INDEX(Empresas!$C:$C,MATCH(D1130,Empresas!$B:$B,0)),"cadastre o CNPJ em Empresas"))</f>
        <v/>
      </c>
      <c r="F1130" s="23"/>
      <c r="G1130" s="35"/>
      <c r="H1130" s="24"/>
      <c r="I1130" s="11"/>
      <c r="J1130" s="27" t="str">
        <f aca="false">IF(A1130="","",YEAR(A1130))</f>
        <v/>
      </c>
      <c r="K1130" s="24"/>
      <c r="L1130" s="11"/>
    </row>
    <row r="1131" customFormat="false" ht="15" hidden="false" customHeight="false" outlineLevel="0" collapsed="false">
      <c r="A1131" s="22"/>
      <c r="B1131" s="11"/>
      <c r="C1131" s="24"/>
      <c r="D1131" s="31" t="str">
        <f aca="false">IF(C1131="","",IF(LEN(UPPER(SUBSTITUTE(SUBSTITUTE(SUBSTITUTE(SUBSTITUTE(TRIM(C1131),".",""),"/",""),"-","")," ","")))&lt;14,RIGHT(REPT("0",14)&amp;UPPER(SUBSTITUTE(SUBSTITUTE(SUBSTITUTE(SUBSTITUTE(TRIM(C1131),".",""),"/",""),"-","")," ","")),14),UPPER(SUBSTITUTE(SUBSTITUTE(SUBSTITUTE(SUBSTITUTE(TRIM(C1131),".",""),"/",""),"-","")," ",""))))</f>
        <v/>
      </c>
      <c r="E1131" s="25" t="str">
        <f aca="false">IF(D1131="","",IFERROR(INDEX(Empresas!$C:$C,MATCH(D1131,Empresas!$B:$B,0)),"cadastre o CNPJ em Empresas"))</f>
        <v/>
      </c>
      <c r="F1131" s="23"/>
      <c r="G1131" s="35"/>
      <c r="H1131" s="24"/>
      <c r="I1131" s="11"/>
      <c r="J1131" s="27" t="str">
        <f aca="false">IF(A1131="","",YEAR(A1131))</f>
        <v/>
      </c>
      <c r="K1131" s="24"/>
      <c r="L1131" s="11"/>
    </row>
    <row r="1132" customFormat="false" ht="15" hidden="false" customHeight="false" outlineLevel="0" collapsed="false">
      <c r="A1132" s="22"/>
      <c r="B1132" s="11"/>
      <c r="C1132" s="24"/>
      <c r="D1132" s="31" t="str">
        <f aca="false">IF(C1132="","",IF(LEN(UPPER(SUBSTITUTE(SUBSTITUTE(SUBSTITUTE(SUBSTITUTE(TRIM(C1132),".",""),"/",""),"-","")," ","")))&lt;14,RIGHT(REPT("0",14)&amp;UPPER(SUBSTITUTE(SUBSTITUTE(SUBSTITUTE(SUBSTITUTE(TRIM(C1132),".",""),"/",""),"-","")," ","")),14),UPPER(SUBSTITUTE(SUBSTITUTE(SUBSTITUTE(SUBSTITUTE(TRIM(C1132),".",""),"/",""),"-","")," ",""))))</f>
        <v/>
      </c>
      <c r="E1132" s="25" t="str">
        <f aca="false">IF(D1132="","",IFERROR(INDEX(Empresas!$C:$C,MATCH(D1132,Empresas!$B:$B,0)),"cadastre o CNPJ em Empresas"))</f>
        <v/>
      </c>
      <c r="F1132" s="23"/>
      <c r="G1132" s="35"/>
      <c r="H1132" s="24"/>
      <c r="I1132" s="11"/>
      <c r="J1132" s="27" t="str">
        <f aca="false">IF(A1132="","",YEAR(A1132))</f>
        <v/>
      </c>
      <c r="K1132" s="24"/>
      <c r="L1132" s="11"/>
    </row>
    <row r="1133" customFormat="false" ht="15" hidden="false" customHeight="false" outlineLevel="0" collapsed="false">
      <c r="A1133" s="22"/>
      <c r="B1133" s="11"/>
      <c r="C1133" s="24"/>
      <c r="D1133" s="31" t="str">
        <f aca="false">IF(C1133="","",IF(LEN(UPPER(SUBSTITUTE(SUBSTITUTE(SUBSTITUTE(SUBSTITUTE(TRIM(C1133),".",""),"/",""),"-","")," ","")))&lt;14,RIGHT(REPT("0",14)&amp;UPPER(SUBSTITUTE(SUBSTITUTE(SUBSTITUTE(SUBSTITUTE(TRIM(C1133),".",""),"/",""),"-","")," ","")),14),UPPER(SUBSTITUTE(SUBSTITUTE(SUBSTITUTE(SUBSTITUTE(TRIM(C1133),".",""),"/",""),"-","")," ",""))))</f>
        <v/>
      </c>
      <c r="E1133" s="25" t="str">
        <f aca="false">IF(D1133="","",IFERROR(INDEX(Empresas!$C:$C,MATCH(D1133,Empresas!$B:$B,0)),"cadastre o CNPJ em Empresas"))</f>
        <v/>
      </c>
      <c r="F1133" s="23"/>
      <c r="G1133" s="35"/>
      <c r="H1133" s="24"/>
      <c r="I1133" s="11"/>
      <c r="J1133" s="27" t="str">
        <f aca="false">IF(A1133="","",YEAR(A1133))</f>
        <v/>
      </c>
      <c r="K1133" s="24"/>
      <c r="L1133" s="11"/>
    </row>
    <row r="1134" customFormat="false" ht="15" hidden="false" customHeight="false" outlineLevel="0" collapsed="false">
      <c r="A1134" s="22"/>
      <c r="B1134" s="11"/>
      <c r="C1134" s="24"/>
      <c r="D1134" s="31" t="str">
        <f aca="false">IF(C1134="","",IF(LEN(UPPER(SUBSTITUTE(SUBSTITUTE(SUBSTITUTE(SUBSTITUTE(TRIM(C1134),".",""),"/",""),"-","")," ","")))&lt;14,RIGHT(REPT("0",14)&amp;UPPER(SUBSTITUTE(SUBSTITUTE(SUBSTITUTE(SUBSTITUTE(TRIM(C1134),".",""),"/",""),"-","")," ","")),14),UPPER(SUBSTITUTE(SUBSTITUTE(SUBSTITUTE(SUBSTITUTE(TRIM(C1134),".",""),"/",""),"-","")," ",""))))</f>
        <v/>
      </c>
      <c r="E1134" s="25" t="str">
        <f aca="false">IF(D1134="","",IFERROR(INDEX(Empresas!$C:$C,MATCH(D1134,Empresas!$B:$B,0)),"cadastre o CNPJ em Empresas"))</f>
        <v/>
      </c>
      <c r="F1134" s="23"/>
      <c r="G1134" s="35"/>
      <c r="H1134" s="24"/>
      <c r="I1134" s="11"/>
      <c r="J1134" s="27" t="str">
        <f aca="false">IF(A1134="","",YEAR(A1134))</f>
        <v/>
      </c>
      <c r="K1134" s="24"/>
      <c r="L1134" s="11"/>
    </row>
    <row r="1135" customFormat="false" ht="15" hidden="false" customHeight="false" outlineLevel="0" collapsed="false">
      <c r="A1135" s="22"/>
      <c r="B1135" s="11"/>
      <c r="C1135" s="24"/>
      <c r="D1135" s="31" t="str">
        <f aca="false">IF(C1135="","",IF(LEN(UPPER(SUBSTITUTE(SUBSTITUTE(SUBSTITUTE(SUBSTITUTE(TRIM(C1135),".",""),"/",""),"-","")," ","")))&lt;14,RIGHT(REPT("0",14)&amp;UPPER(SUBSTITUTE(SUBSTITUTE(SUBSTITUTE(SUBSTITUTE(TRIM(C1135),".",""),"/",""),"-","")," ","")),14),UPPER(SUBSTITUTE(SUBSTITUTE(SUBSTITUTE(SUBSTITUTE(TRIM(C1135),".",""),"/",""),"-","")," ",""))))</f>
        <v/>
      </c>
      <c r="E1135" s="25" t="str">
        <f aca="false">IF(D1135="","",IFERROR(INDEX(Empresas!$C:$C,MATCH(D1135,Empresas!$B:$B,0)),"cadastre o CNPJ em Empresas"))</f>
        <v/>
      </c>
      <c r="F1135" s="23"/>
      <c r="G1135" s="35"/>
      <c r="H1135" s="24"/>
      <c r="I1135" s="11"/>
      <c r="J1135" s="27" t="str">
        <f aca="false">IF(A1135="","",YEAR(A1135))</f>
        <v/>
      </c>
      <c r="K1135" s="24"/>
      <c r="L1135" s="11"/>
    </row>
    <row r="1136" customFormat="false" ht="15" hidden="false" customHeight="false" outlineLevel="0" collapsed="false">
      <c r="A1136" s="22"/>
      <c r="B1136" s="11"/>
      <c r="C1136" s="24"/>
      <c r="D1136" s="31" t="str">
        <f aca="false">IF(C1136="","",IF(LEN(UPPER(SUBSTITUTE(SUBSTITUTE(SUBSTITUTE(SUBSTITUTE(TRIM(C1136),".",""),"/",""),"-","")," ","")))&lt;14,RIGHT(REPT("0",14)&amp;UPPER(SUBSTITUTE(SUBSTITUTE(SUBSTITUTE(SUBSTITUTE(TRIM(C1136),".",""),"/",""),"-","")," ","")),14),UPPER(SUBSTITUTE(SUBSTITUTE(SUBSTITUTE(SUBSTITUTE(TRIM(C1136),".",""),"/",""),"-","")," ",""))))</f>
        <v/>
      </c>
      <c r="E1136" s="25" t="str">
        <f aca="false">IF(D1136="","",IFERROR(INDEX(Empresas!$C:$C,MATCH(D1136,Empresas!$B:$B,0)),"cadastre o CNPJ em Empresas"))</f>
        <v/>
      </c>
      <c r="F1136" s="23"/>
      <c r="G1136" s="35"/>
      <c r="H1136" s="24"/>
      <c r="I1136" s="11"/>
      <c r="J1136" s="27" t="str">
        <f aca="false">IF(A1136="","",YEAR(A1136))</f>
        <v/>
      </c>
      <c r="K1136" s="24"/>
      <c r="L1136" s="11"/>
    </row>
    <row r="1137" customFormat="false" ht="15" hidden="false" customHeight="false" outlineLevel="0" collapsed="false">
      <c r="A1137" s="22"/>
      <c r="B1137" s="11"/>
      <c r="C1137" s="24"/>
      <c r="D1137" s="31" t="str">
        <f aca="false">IF(C1137="","",IF(LEN(UPPER(SUBSTITUTE(SUBSTITUTE(SUBSTITUTE(SUBSTITUTE(TRIM(C1137),".",""),"/",""),"-","")," ","")))&lt;14,RIGHT(REPT("0",14)&amp;UPPER(SUBSTITUTE(SUBSTITUTE(SUBSTITUTE(SUBSTITUTE(TRIM(C1137),".",""),"/",""),"-","")," ","")),14),UPPER(SUBSTITUTE(SUBSTITUTE(SUBSTITUTE(SUBSTITUTE(TRIM(C1137),".",""),"/",""),"-","")," ",""))))</f>
        <v/>
      </c>
      <c r="E1137" s="25" t="str">
        <f aca="false">IF(D1137="","",IFERROR(INDEX(Empresas!$C:$C,MATCH(D1137,Empresas!$B:$B,0)),"cadastre o CNPJ em Empresas"))</f>
        <v/>
      </c>
      <c r="F1137" s="23"/>
      <c r="G1137" s="35"/>
      <c r="H1137" s="24"/>
      <c r="I1137" s="11"/>
      <c r="J1137" s="27" t="str">
        <f aca="false">IF(A1137="","",YEAR(A1137))</f>
        <v/>
      </c>
      <c r="K1137" s="24"/>
      <c r="L1137" s="11"/>
    </row>
    <row r="1138" customFormat="false" ht="15" hidden="false" customHeight="false" outlineLevel="0" collapsed="false">
      <c r="A1138" s="22"/>
      <c r="B1138" s="11"/>
      <c r="C1138" s="24"/>
      <c r="D1138" s="31" t="str">
        <f aca="false">IF(C1138="","",IF(LEN(UPPER(SUBSTITUTE(SUBSTITUTE(SUBSTITUTE(SUBSTITUTE(TRIM(C1138),".",""),"/",""),"-","")," ","")))&lt;14,RIGHT(REPT("0",14)&amp;UPPER(SUBSTITUTE(SUBSTITUTE(SUBSTITUTE(SUBSTITUTE(TRIM(C1138),".",""),"/",""),"-","")," ","")),14),UPPER(SUBSTITUTE(SUBSTITUTE(SUBSTITUTE(SUBSTITUTE(TRIM(C1138),".",""),"/",""),"-","")," ",""))))</f>
        <v/>
      </c>
      <c r="E1138" s="25" t="str">
        <f aca="false">IF(D1138="","",IFERROR(INDEX(Empresas!$C:$C,MATCH(D1138,Empresas!$B:$B,0)),"cadastre o CNPJ em Empresas"))</f>
        <v/>
      </c>
      <c r="F1138" s="23"/>
      <c r="G1138" s="35"/>
      <c r="H1138" s="24"/>
      <c r="I1138" s="11"/>
      <c r="J1138" s="27" t="str">
        <f aca="false">IF(A1138="","",YEAR(A1138))</f>
        <v/>
      </c>
      <c r="K1138" s="24"/>
      <c r="L1138" s="11"/>
    </row>
    <row r="1139" customFormat="false" ht="15" hidden="false" customHeight="false" outlineLevel="0" collapsed="false">
      <c r="A1139" s="22"/>
      <c r="B1139" s="11"/>
      <c r="C1139" s="24"/>
      <c r="D1139" s="31" t="str">
        <f aca="false">IF(C1139="","",IF(LEN(UPPER(SUBSTITUTE(SUBSTITUTE(SUBSTITUTE(SUBSTITUTE(TRIM(C1139),".",""),"/",""),"-","")," ","")))&lt;14,RIGHT(REPT("0",14)&amp;UPPER(SUBSTITUTE(SUBSTITUTE(SUBSTITUTE(SUBSTITUTE(TRIM(C1139),".",""),"/",""),"-","")," ","")),14),UPPER(SUBSTITUTE(SUBSTITUTE(SUBSTITUTE(SUBSTITUTE(TRIM(C1139),".",""),"/",""),"-","")," ",""))))</f>
        <v/>
      </c>
      <c r="E1139" s="25" t="str">
        <f aca="false">IF(D1139="","",IFERROR(INDEX(Empresas!$C:$C,MATCH(D1139,Empresas!$B:$B,0)),"cadastre o CNPJ em Empresas"))</f>
        <v/>
      </c>
      <c r="F1139" s="23"/>
      <c r="G1139" s="35"/>
      <c r="H1139" s="24"/>
      <c r="I1139" s="11"/>
      <c r="J1139" s="27" t="str">
        <f aca="false">IF(A1139="","",YEAR(A1139))</f>
        <v/>
      </c>
      <c r="K1139" s="24"/>
      <c r="L1139" s="11"/>
    </row>
    <row r="1140" customFormat="false" ht="15" hidden="false" customHeight="false" outlineLevel="0" collapsed="false">
      <c r="A1140" s="22"/>
      <c r="B1140" s="11"/>
      <c r="C1140" s="24"/>
      <c r="D1140" s="31" t="str">
        <f aca="false">IF(C1140="","",IF(LEN(UPPER(SUBSTITUTE(SUBSTITUTE(SUBSTITUTE(SUBSTITUTE(TRIM(C1140),".",""),"/",""),"-","")," ","")))&lt;14,RIGHT(REPT("0",14)&amp;UPPER(SUBSTITUTE(SUBSTITUTE(SUBSTITUTE(SUBSTITUTE(TRIM(C1140),".",""),"/",""),"-","")," ","")),14),UPPER(SUBSTITUTE(SUBSTITUTE(SUBSTITUTE(SUBSTITUTE(TRIM(C1140),".",""),"/",""),"-","")," ",""))))</f>
        <v/>
      </c>
      <c r="E1140" s="25" t="str">
        <f aca="false">IF(D1140="","",IFERROR(INDEX(Empresas!$C:$C,MATCH(D1140,Empresas!$B:$B,0)),"cadastre o CNPJ em Empresas"))</f>
        <v/>
      </c>
      <c r="F1140" s="23"/>
      <c r="G1140" s="35"/>
      <c r="H1140" s="24"/>
      <c r="I1140" s="11"/>
      <c r="J1140" s="27" t="str">
        <f aca="false">IF(A1140="","",YEAR(A1140))</f>
        <v/>
      </c>
      <c r="K1140" s="24"/>
      <c r="L1140" s="11"/>
    </row>
    <row r="1141" customFormat="false" ht="15" hidden="false" customHeight="false" outlineLevel="0" collapsed="false">
      <c r="A1141" s="22"/>
      <c r="B1141" s="11"/>
      <c r="C1141" s="24"/>
      <c r="D1141" s="31" t="str">
        <f aca="false">IF(C1141="","",IF(LEN(UPPER(SUBSTITUTE(SUBSTITUTE(SUBSTITUTE(SUBSTITUTE(TRIM(C1141),".",""),"/",""),"-","")," ","")))&lt;14,RIGHT(REPT("0",14)&amp;UPPER(SUBSTITUTE(SUBSTITUTE(SUBSTITUTE(SUBSTITUTE(TRIM(C1141),".",""),"/",""),"-","")," ","")),14),UPPER(SUBSTITUTE(SUBSTITUTE(SUBSTITUTE(SUBSTITUTE(TRIM(C1141),".",""),"/",""),"-","")," ",""))))</f>
        <v/>
      </c>
      <c r="E1141" s="25" t="str">
        <f aca="false">IF(D1141="","",IFERROR(INDEX(Empresas!$C:$C,MATCH(D1141,Empresas!$B:$B,0)),"cadastre o CNPJ em Empresas"))</f>
        <v/>
      </c>
      <c r="F1141" s="23"/>
      <c r="G1141" s="35"/>
      <c r="H1141" s="24"/>
      <c r="I1141" s="11"/>
      <c r="J1141" s="27" t="str">
        <f aca="false">IF(A1141="","",YEAR(A1141))</f>
        <v/>
      </c>
      <c r="K1141" s="24"/>
      <c r="L1141" s="11"/>
    </row>
    <row r="1142" customFormat="false" ht="15" hidden="false" customHeight="false" outlineLevel="0" collapsed="false">
      <c r="A1142" s="22"/>
      <c r="B1142" s="11"/>
      <c r="C1142" s="24"/>
      <c r="D1142" s="31" t="str">
        <f aca="false">IF(C1142="","",IF(LEN(UPPER(SUBSTITUTE(SUBSTITUTE(SUBSTITUTE(SUBSTITUTE(TRIM(C1142),".",""),"/",""),"-","")," ","")))&lt;14,RIGHT(REPT("0",14)&amp;UPPER(SUBSTITUTE(SUBSTITUTE(SUBSTITUTE(SUBSTITUTE(TRIM(C1142),".",""),"/",""),"-","")," ","")),14),UPPER(SUBSTITUTE(SUBSTITUTE(SUBSTITUTE(SUBSTITUTE(TRIM(C1142),".",""),"/",""),"-","")," ",""))))</f>
        <v/>
      </c>
      <c r="E1142" s="25" t="str">
        <f aca="false">IF(D1142="","",IFERROR(INDEX(Empresas!$C:$C,MATCH(D1142,Empresas!$B:$B,0)),"cadastre o CNPJ em Empresas"))</f>
        <v/>
      </c>
      <c r="F1142" s="23"/>
      <c r="G1142" s="35"/>
      <c r="H1142" s="24"/>
      <c r="I1142" s="11"/>
      <c r="J1142" s="27" t="str">
        <f aca="false">IF(A1142="","",YEAR(A1142))</f>
        <v/>
      </c>
      <c r="K1142" s="24"/>
      <c r="L1142" s="11"/>
    </row>
    <row r="1143" customFormat="false" ht="15" hidden="false" customHeight="false" outlineLevel="0" collapsed="false">
      <c r="A1143" s="22"/>
      <c r="B1143" s="11"/>
      <c r="C1143" s="24"/>
      <c r="D1143" s="31" t="str">
        <f aca="false">IF(C1143="","",IF(LEN(UPPER(SUBSTITUTE(SUBSTITUTE(SUBSTITUTE(SUBSTITUTE(TRIM(C1143),".",""),"/",""),"-","")," ","")))&lt;14,RIGHT(REPT("0",14)&amp;UPPER(SUBSTITUTE(SUBSTITUTE(SUBSTITUTE(SUBSTITUTE(TRIM(C1143),".",""),"/",""),"-","")," ","")),14),UPPER(SUBSTITUTE(SUBSTITUTE(SUBSTITUTE(SUBSTITUTE(TRIM(C1143),".",""),"/",""),"-","")," ",""))))</f>
        <v/>
      </c>
      <c r="E1143" s="25" t="str">
        <f aca="false">IF(D1143="","",IFERROR(INDEX(Empresas!$C:$C,MATCH(D1143,Empresas!$B:$B,0)),"cadastre o CNPJ em Empresas"))</f>
        <v/>
      </c>
      <c r="F1143" s="23"/>
      <c r="G1143" s="35"/>
      <c r="H1143" s="24"/>
      <c r="I1143" s="11"/>
      <c r="J1143" s="27" t="str">
        <f aca="false">IF(A1143="","",YEAR(A1143))</f>
        <v/>
      </c>
      <c r="K1143" s="24"/>
      <c r="L1143" s="11"/>
    </row>
    <row r="1144" customFormat="false" ht="15" hidden="false" customHeight="false" outlineLevel="0" collapsed="false">
      <c r="A1144" s="22"/>
      <c r="B1144" s="11"/>
      <c r="C1144" s="24"/>
      <c r="D1144" s="31" t="str">
        <f aca="false">IF(C1144="","",IF(LEN(UPPER(SUBSTITUTE(SUBSTITUTE(SUBSTITUTE(SUBSTITUTE(TRIM(C1144),".",""),"/",""),"-","")," ","")))&lt;14,RIGHT(REPT("0",14)&amp;UPPER(SUBSTITUTE(SUBSTITUTE(SUBSTITUTE(SUBSTITUTE(TRIM(C1144),".",""),"/",""),"-","")," ","")),14),UPPER(SUBSTITUTE(SUBSTITUTE(SUBSTITUTE(SUBSTITUTE(TRIM(C1144),".",""),"/",""),"-","")," ",""))))</f>
        <v/>
      </c>
      <c r="E1144" s="25" t="str">
        <f aca="false">IF(D1144="","",IFERROR(INDEX(Empresas!$C:$C,MATCH(D1144,Empresas!$B:$B,0)),"cadastre o CNPJ em Empresas"))</f>
        <v/>
      </c>
      <c r="F1144" s="23"/>
      <c r="G1144" s="35"/>
      <c r="H1144" s="24"/>
      <c r="I1144" s="11"/>
      <c r="J1144" s="27" t="str">
        <f aca="false">IF(A1144="","",YEAR(A1144))</f>
        <v/>
      </c>
      <c r="K1144" s="24"/>
      <c r="L1144" s="11"/>
    </row>
    <row r="1145" customFormat="false" ht="15" hidden="false" customHeight="false" outlineLevel="0" collapsed="false">
      <c r="A1145" s="22"/>
      <c r="B1145" s="11"/>
      <c r="C1145" s="24"/>
      <c r="D1145" s="31" t="str">
        <f aca="false">IF(C1145="","",IF(LEN(UPPER(SUBSTITUTE(SUBSTITUTE(SUBSTITUTE(SUBSTITUTE(TRIM(C1145),".",""),"/",""),"-","")," ","")))&lt;14,RIGHT(REPT("0",14)&amp;UPPER(SUBSTITUTE(SUBSTITUTE(SUBSTITUTE(SUBSTITUTE(TRIM(C1145),".",""),"/",""),"-","")," ","")),14),UPPER(SUBSTITUTE(SUBSTITUTE(SUBSTITUTE(SUBSTITUTE(TRIM(C1145),".",""),"/",""),"-","")," ",""))))</f>
        <v/>
      </c>
      <c r="E1145" s="25" t="str">
        <f aca="false">IF(D1145="","",IFERROR(INDEX(Empresas!$C:$C,MATCH(D1145,Empresas!$B:$B,0)),"cadastre o CNPJ em Empresas"))</f>
        <v/>
      </c>
      <c r="F1145" s="23"/>
      <c r="G1145" s="35"/>
      <c r="H1145" s="24"/>
      <c r="I1145" s="11"/>
      <c r="J1145" s="27" t="str">
        <f aca="false">IF(A1145="","",YEAR(A1145))</f>
        <v/>
      </c>
      <c r="K1145" s="24"/>
      <c r="L1145" s="11"/>
    </row>
    <row r="1146" customFormat="false" ht="15" hidden="false" customHeight="false" outlineLevel="0" collapsed="false">
      <c r="A1146" s="22"/>
      <c r="B1146" s="11"/>
      <c r="C1146" s="24"/>
      <c r="D1146" s="31" t="str">
        <f aca="false">IF(C1146="","",IF(LEN(UPPER(SUBSTITUTE(SUBSTITUTE(SUBSTITUTE(SUBSTITUTE(TRIM(C1146),".",""),"/",""),"-","")," ","")))&lt;14,RIGHT(REPT("0",14)&amp;UPPER(SUBSTITUTE(SUBSTITUTE(SUBSTITUTE(SUBSTITUTE(TRIM(C1146),".",""),"/",""),"-","")," ","")),14),UPPER(SUBSTITUTE(SUBSTITUTE(SUBSTITUTE(SUBSTITUTE(TRIM(C1146),".",""),"/",""),"-","")," ",""))))</f>
        <v/>
      </c>
      <c r="E1146" s="25" t="str">
        <f aca="false">IF(D1146="","",IFERROR(INDEX(Empresas!$C:$C,MATCH(D1146,Empresas!$B:$B,0)),"cadastre o CNPJ em Empresas"))</f>
        <v/>
      </c>
      <c r="F1146" s="23"/>
      <c r="G1146" s="35"/>
      <c r="H1146" s="24"/>
      <c r="I1146" s="11"/>
      <c r="J1146" s="27" t="str">
        <f aca="false">IF(A1146="","",YEAR(A1146))</f>
        <v/>
      </c>
      <c r="K1146" s="24"/>
      <c r="L1146" s="11"/>
    </row>
    <row r="1147" customFormat="false" ht="15" hidden="false" customHeight="false" outlineLevel="0" collapsed="false">
      <c r="A1147" s="22"/>
      <c r="B1147" s="11"/>
      <c r="C1147" s="24"/>
      <c r="D1147" s="31" t="str">
        <f aca="false">IF(C1147="","",IF(LEN(UPPER(SUBSTITUTE(SUBSTITUTE(SUBSTITUTE(SUBSTITUTE(TRIM(C1147),".",""),"/",""),"-","")," ","")))&lt;14,RIGHT(REPT("0",14)&amp;UPPER(SUBSTITUTE(SUBSTITUTE(SUBSTITUTE(SUBSTITUTE(TRIM(C1147),".",""),"/",""),"-","")," ","")),14),UPPER(SUBSTITUTE(SUBSTITUTE(SUBSTITUTE(SUBSTITUTE(TRIM(C1147),".",""),"/",""),"-","")," ",""))))</f>
        <v/>
      </c>
      <c r="E1147" s="25" t="str">
        <f aca="false">IF(D1147="","",IFERROR(INDEX(Empresas!$C:$C,MATCH(D1147,Empresas!$B:$B,0)),"cadastre o CNPJ em Empresas"))</f>
        <v/>
      </c>
      <c r="F1147" s="23"/>
      <c r="G1147" s="35"/>
      <c r="H1147" s="24"/>
      <c r="I1147" s="11"/>
      <c r="J1147" s="27" t="str">
        <f aca="false">IF(A1147="","",YEAR(A1147))</f>
        <v/>
      </c>
      <c r="K1147" s="24"/>
      <c r="L1147" s="11"/>
    </row>
    <row r="1148" customFormat="false" ht="15" hidden="false" customHeight="false" outlineLevel="0" collapsed="false">
      <c r="A1148" s="22"/>
      <c r="B1148" s="11"/>
      <c r="C1148" s="24"/>
      <c r="D1148" s="31" t="str">
        <f aca="false">IF(C1148="","",IF(LEN(UPPER(SUBSTITUTE(SUBSTITUTE(SUBSTITUTE(SUBSTITUTE(TRIM(C1148),".",""),"/",""),"-","")," ","")))&lt;14,RIGHT(REPT("0",14)&amp;UPPER(SUBSTITUTE(SUBSTITUTE(SUBSTITUTE(SUBSTITUTE(TRIM(C1148),".",""),"/",""),"-","")," ","")),14),UPPER(SUBSTITUTE(SUBSTITUTE(SUBSTITUTE(SUBSTITUTE(TRIM(C1148),".",""),"/",""),"-","")," ",""))))</f>
        <v/>
      </c>
      <c r="E1148" s="25" t="str">
        <f aca="false">IF(D1148="","",IFERROR(INDEX(Empresas!$C:$C,MATCH(D1148,Empresas!$B:$B,0)),"cadastre o CNPJ em Empresas"))</f>
        <v/>
      </c>
      <c r="F1148" s="23"/>
      <c r="G1148" s="35"/>
      <c r="H1148" s="24"/>
      <c r="I1148" s="11"/>
      <c r="J1148" s="27" t="str">
        <f aca="false">IF(A1148="","",YEAR(A1148))</f>
        <v/>
      </c>
      <c r="K1148" s="24"/>
      <c r="L1148" s="11"/>
    </row>
    <row r="1149" customFormat="false" ht="15" hidden="false" customHeight="false" outlineLevel="0" collapsed="false">
      <c r="A1149" s="22"/>
      <c r="B1149" s="11"/>
      <c r="C1149" s="24"/>
      <c r="D1149" s="31" t="str">
        <f aca="false">IF(C1149="","",IF(LEN(UPPER(SUBSTITUTE(SUBSTITUTE(SUBSTITUTE(SUBSTITUTE(TRIM(C1149),".",""),"/",""),"-","")," ","")))&lt;14,RIGHT(REPT("0",14)&amp;UPPER(SUBSTITUTE(SUBSTITUTE(SUBSTITUTE(SUBSTITUTE(TRIM(C1149),".",""),"/",""),"-","")," ","")),14),UPPER(SUBSTITUTE(SUBSTITUTE(SUBSTITUTE(SUBSTITUTE(TRIM(C1149),".",""),"/",""),"-","")," ",""))))</f>
        <v/>
      </c>
      <c r="E1149" s="25" t="str">
        <f aca="false">IF(D1149="","",IFERROR(INDEX(Empresas!$C:$C,MATCH(D1149,Empresas!$B:$B,0)),"cadastre o CNPJ em Empresas"))</f>
        <v/>
      </c>
      <c r="F1149" s="23"/>
      <c r="G1149" s="35"/>
      <c r="H1149" s="24"/>
      <c r="I1149" s="11"/>
      <c r="J1149" s="27" t="str">
        <f aca="false">IF(A1149="","",YEAR(A1149))</f>
        <v/>
      </c>
      <c r="K1149" s="24"/>
      <c r="L1149" s="11"/>
    </row>
    <row r="1150" customFormat="false" ht="15" hidden="false" customHeight="false" outlineLevel="0" collapsed="false">
      <c r="A1150" s="22"/>
      <c r="B1150" s="11"/>
      <c r="C1150" s="24"/>
      <c r="D1150" s="31" t="str">
        <f aca="false">IF(C1150="","",IF(LEN(UPPER(SUBSTITUTE(SUBSTITUTE(SUBSTITUTE(SUBSTITUTE(TRIM(C1150),".",""),"/",""),"-","")," ","")))&lt;14,RIGHT(REPT("0",14)&amp;UPPER(SUBSTITUTE(SUBSTITUTE(SUBSTITUTE(SUBSTITUTE(TRIM(C1150),".",""),"/",""),"-","")," ","")),14),UPPER(SUBSTITUTE(SUBSTITUTE(SUBSTITUTE(SUBSTITUTE(TRIM(C1150),".",""),"/",""),"-","")," ",""))))</f>
        <v/>
      </c>
      <c r="E1150" s="25" t="str">
        <f aca="false">IF(D1150="","",IFERROR(INDEX(Empresas!$C:$C,MATCH(D1150,Empresas!$B:$B,0)),"cadastre o CNPJ em Empresas"))</f>
        <v/>
      </c>
      <c r="F1150" s="23"/>
      <c r="G1150" s="35"/>
      <c r="H1150" s="24"/>
      <c r="I1150" s="11"/>
      <c r="J1150" s="27" t="str">
        <f aca="false">IF(A1150="","",YEAR(A1150))</f>
        <v/>
      </c>
      <c r="K1150" s="24"/>
      <c r="L1150" s="11"/>
    </row>
    <row r="1151" customFormat="false" ht="15" hidden="false" customHeight="false" outlineLevel="0" collapsed="false">
      <c r="A1151" s="22"/>
      <c r="B1151" s="11"/>
      <c r="C1151" s="24"/>
      <c r="D1151" s="31" t="str">
        <f aca="false">IF(C1151="","",IF(LEN(UPPER(SUBSTITUTE(SUBSTITUTE(SUBSTITUTE(SUBSTITUTE(TRIM(C1151),".",""),"/",""),"-","")," ","")))&lt;14,RIGHT(REPT("0",14)&amp;UPPER(SUBSTITUTE(SUBSTITUTE(SUBSTITUTE(SUBSTITUTE(TRIM(C1151),".",""),"/",""),"-","")," ","")),14),UPPER(SUBSTITUTE(SUBSTITUTE(SUBSTITUTE(SUBSTITUTE(TRIM(C1151),".",""),"/",""),"-","")," ",""))))</f>
        <v/>
      </c>
      <c r="E1151" s="25" t="str">
        <f aca="false">IF(D1151="","",IFERROR(INDEX(Empresas!$C:$C,MATCH(D1151,Empresas!$B:$B,0)),"cadastre o CNPJ em Empresas"))</f>
        <v/>
      </c>
      <c r="F1151" s="23"/>
      <c r="G1151" s="35"/>
      <c r="H1151" s="24"/>
      <c r="I1151" s="11"/>
      <c r="J1151" s="27" t="str">
        <f aca="false">IF(A1151="","",YEAR(A1151))</f>
        <v/>
      </c>
      <c r="K1151" s="24"/>
      <c r="L1151" s="11"/>
    </row>
    <row r="1152" customFormat="false" ht="15" hidden="false" customHeight="false" outlineLevel="0" collapsed="false">
      <c r="A1152" s="22"/>
      <c r="B1152" s="11"/>
      <c r="C1152" s="24"/>
      <c r="D1152" s="31" t="str">
        <f aca="false">IF(C1152="","",IF(LEN(UPPER(SUBSTITUTE(SUBSTITUTE(SUBSTITUTE(SUBSTITUTE(TRIM(C1152),".",""),"/",""),"-","")," ","")))&lt;14,RIGHT(REPT("0",14)&amp;UPPER(SUBSTITUTE(SUBSTITUTE(SUBSTITUTE(SUBSTITUTE(TRIM(C1152),".",""),"/",""),"-","")," ","")),14),UPPER(SUBSTITUTE(SUBSTITUTE(SUBSTITUTE(SUBSTITUTE(TRIM(C1152),".",""),"/",""),"-","")," ",""))))</f>
        <v/>
      </c>
      <c r="E1152" s="25" t="str">
        <f aca="false">IF(D1152="","",IFERROR(INDEX(Empresas!$C:$C,MATCH(D1152,Empresas!$B:$B,0)),"cadastre o CNPJ em Empresas"))</f>
        <v/>
      </c>
      <c r="F1152" s="23"/>
      <c r="G1152" s="35"/>
      <c r="H1152" s="24"/>
      <c r="I1152" s="11"/>
      <c r="J1152" s="27" t="str">
        <f aca="false">IF(A1152="","",YEAR(A1152))</f>
        <v/>
      </c>
      <c r="K1152" s="24"/>
      <c r="L1152" s="11"/>
    </row>
    <row r="1153" customFormat="false" ht="15" hidden="false" customHeight="false" outlineLevel="0" collapsed="false">
      <c r="A1153" s="22"/>
      <c r="B1153" s="11"/>
      <c r="C1153" s="24"/>
      <c r="D1153" s="31" t="str">
        <f aca="false">IF(C1153="","",IF(LEN(UPPER(SUBSTITUTE(SUBSTITUTE(SUBSTITUTE(SUBSTITUTE(TRIM(C1153),".",""),"/",""),"-","")," ","")))&lt;14,RIGHT(REPT("0",14)&amp;UPPER(SUBSTITUTE(SUBSTITUTE(SUBSTITUTE(SUBSTITUTE(TRIM(C1153),".",""),"/",""),"-","")," ","")),14),UPPER(SUBSTITUTE(SUBSTITUTE(SUBSTITUTE(SUBSTITUTE(TRIM(C1153),".",""),"/",""),"-","")," ",""))))</f>
        <v/>
      </c>
      <c r="E1153" s="25" t="str">
        <f aca="false">IF(D1153="","",IFERROR(INDEX(Empresas!$C:$C,MATCH(D1153,Empresas!$B:$B,0)),"cadastre o CNPJ em Empresas"))</f>
        <v/>
      </c>
      <c r="F1153" s="23"/>
      <c r="G1153" s="35"/>
      <c r="H1153" s="24"/>
      <c r="I1153" s="11"/>
      <c r="J1153" s="27" t="str">
        <f aca="false">IF(A1153="","",YEAR(A1153))</f>
        <v/>
      </c>
      <c r="K1153" s="24"/>
      <c r="L1153" s="11"/>
    </row>
    <row r="1154" customFormat="false" ht="15" hidden="false" customHeight="false" outlineLevel="0" collapsed="false">
      <c r="A1154" s="22"/>
      <c r="B1154" s="11"/>
      <c r="C1154" s="24"/>
      <c r="D1154" s="31" t="str">
        <f aca="false">IF(C1154="","",IF(LEN(UPPER(SUBSTITUTE(SUBSTITUTE(SUBSTITUTE(SUBSTITUTE(TRIM(C1154),".",""),"/",""),"-","")," ","")))&lt;14,RIGHT(REPT("0",14)&amp;UPPER(SUBSTITUTE(SUBSTITUTE(SUBSTITUTE(SUBSTITUTE(TRIM(C1154),".",""),"/",""),"-","")," ","")),14),UPPER(SUBSTITUTE(SUBSTITUTE(SUBSTITUTE(SUBSTITUTE(TRIM(C1154),".",""),"/",""),"-","")," ",""))))</f>
        <v/>
      </c>
      <c r="E1154" s="25" t="str">
        <f aca="false">IF(D1154="","",IFERROR(INDEX(Empresas!$C:$C,MATCH(D1154,Empresas!$B:$B,0)),"cadastre o CNPJ em Empresas"))</f>
        <v/>
      </c>
      <c r="F1154" s="23"/>
      <c r="G1154" s="35"/>
      <c r="H1154" s="24"/>
      <c r="I1154" s="11"/>
      <c r="J1154" s="27" t="str">
        <f aca="false">IF(A1154="","",YEAR(A1154))</f>
        <v/>
      </c>
      <c r="K1154" s="24"/>
      <c r="L1154" s="11"/>
    </row>
    <row r="1155" customFormat="false" ht="15" hidden="false" customHeight="false" outlineLevel="0" collapsed="false">
      <c r="A1155" s="22"/>
      <c r="B1155" s="11"/>
      <c r="C1155" s="24"/>
      <c r="D1155" s="31" t="str">
        <f aca="false">IF(C1155="","",IF(LEN(UPPER(SUBSTITUTE(SUBSTITUTE(SUBSTITUTE(SUBSTITUTE(TRIM(C1155),".",""),"/",""),"-","")," ","")))&lt;14,RIGHT(REPT("0",14)&amp;UPPER(SUBSTITUTE(SUBSTITUTE(SUBSTITUTE(SUBSTITUTE(TRIM(C1155),".",""),"/",""),"-","")," ","")),14),UPPER(SUBSTITUTE(SUBSTITUTE(SUBSTITUTE(SUBSTITUTE(TRIM(C1155),".",""),"/",""),"-","")," ",""))))</f>
        <v/>
      </c>
      <c r="E1155" s="25" t="str">
        <f aca="false">IF(D1155="","",IFERROR(INDEX(Empresas!$C:$C,MATCH(D1155,Empresas!$B:$B,0)),"cadastre o CNPJ em Empresas"))</f>
        <v/>
      </c>
      <c r="F1155" s="23"/>
      <c r="G1155" s="35"/>
      <c r="H1155" s="24"/>
      <c r="I1155" s="11"/>
      <c r="J1155" s="27" t="str">
        <f aca="false">IF(A1155="","",YEAR(A1155))</f>
        <v/>
      </c>
      <c r="K1155" s="24"/>
      <c r="L1155" s="11"/>
    </row>
    <row r="1156" customFormat="false" ht="15" hidden="false" customHeight="false" outlineLevel="0" collapsed="false">
      <c r="A1156" s="22"/>
      <c r="B1156" s="11"/>
      <c r="C1156" s="24"/>
      <c r="D1156" s="31" t="str">
        <f aca="false">IF(C1156="","",IF(LEN(UPPER(SUBSTITUTE(SUBSTITUTE(SUBSTITUTE(SUBSTITUTE(TRIM(C1156),".",""),"/",""),"-","")," ","")))&lt;14,RIGHT(REPT("0",14)&amp;UPPER(SUBSTITUTE(SUBSTITUTE(SUBSTITUTE(SUBSTITUTE(TRIM(C1156),".",""),"/",""),"-","")," ","")),14),UPPER(SUBSTITUTE(SUBSTITUTE(SUBSTITUTE(SUBSTITUTE(TRIM(C1156),".",""),"/",""),"-","")," ",""))))</f>
        <v/>
      </c>
      <c r="E1156" s="25" t="str">
        <f aca="false">IF(D1156="","",IFERROR(INDEX(Empresas!$C:$C,MATCH(D1156,Empresas!$B:$B,0)),"cadastre o CNPJ em Empresas"))</f>
        <v/>
      </c>
      <c r="F1156" s="23"/>
      <c r="G1156" s="35"/>
      <c r="H1156" s="24"/>
      <c r="I1156" s="11"/>
      <c r="J1156" s="27" t="str">
        <f aca="false">IF(A1156="","",YEAR(A1156))</f>
        <v/>
      </c>
      <c r="K1156" s="24"/>
      <c r="L1156" s="11"/>
    </row>
    <row r="1157" customFormat="false" ht="15" hidden="false" customHeight="false" outlineLevel="0" collapsed="false">
      <c r="A1157" s="22"/>
      <c r="B1157" s="11"/>
      <c r="C1157" s="24"/>
      <c r="D1157" s="31" t="str">
        <f aca="false">IF(C1157="","",IF(LEN(UPPER(SUBSTITUTE(SUBSTITUTE(SUBSTITUTE(SUBSTITUTE(TRIM(C1157),".",""),"/",""),"-","")," ","")))&lt;14,RIGHT(REPT("0",14)&amp;UPPER(SUBSTITUTE(SUBSTITUTE(SUBSTITUTE(SUBSTITUTE(TRIM(C1157),".",""),"/",""),"-","")," ","")),14),UPPER(SUBSTITUTE(SUBSTITUTE(SUBSTITUTE(SUBSTITUTE(TRIM(C1157),".",""),"/",""),"-","")," ",""))))</f>
        <v/>
      </c>
      <c r="E1157" s="25" t="str">
        <f aca="false">IF(D1157="","",IFERROR(INDEX(Empresas!$C:$C,MATCH(D1157,Empresas!$B:$B,0)),"cadastre o CNPJ em Empresas"))</f>
        <v/>
      </c>
      <c r="F1157" s="23"/>
      <c r="G1157" s="35"/>
      <c r="H1157" s="24"/>
      <c r="I1157" s="11"/>
      <c r="J1157" s="27" t="str">
        <f aca="false">IF(A1157="","",YEAR(A1157))</f>
        <v/>
      </c>
      <c r="K1157" s="24"/>
      <c r="L1157" s="11"/>
    </row>
    <row r="1158" customFormat="false" ht="15" hidden="false" customHeight="false" outlineLevel="0" collapsed="false">
      <c r="A1158" s="22"/>
      <c r="B1158" s="11"/>
      <c r="C1158" s="24"/>
      <c r="D1158" s="31" t="str">
        <f aca="false">IF(C1158="","",IF(LEN(UPPER(SUBSTITUTE(SUBSTITUTE(SUBSTITUTE(SUBSTITUTE(TRIM(C1158),".",""),"/",""),"-","")," ","")))&lt;14,RIGHT(REPT("0",14)&amp;UPPER(SUBSTITUTE(SUBSTITUTE(SUBSTITUTE(SUBSTITUTE(TRIM(C1158),".",""),"/",""),"-","")," ","")),14),UPPER(SUBSTITUTE(SUBSTITUTE(SUBSTITUTE(SUBSTITUTE(TRIM(C1158),".",""),"/",""),"-","")," ",""))))</f>
        <v/>
      </c>
      <c r="E1158" s="25" t="str">
        <f aca="false">IF(D1158="","",IFERROR(INDEX(Empresas!$C:$C,MATCH(D1158,Empresas!$B:$B,0)),"cadastre o CNPJ em Empresas"))</f>
        <v/>
      </c>
      <c r="F1158" s="23"/>
      <c r="G1158" s="35"/>
      <c r="H1158" s="24"/>
      <c r="I1158" s="11"/>
      <c r="J1158" s="27" t="str">
        <f aca="false">IF(A1158="","",YEAR(A1158))</f>
        <v/>
      </c>
      <c r="K1158" s="24"/>
      <c r="L1158" s="11"/>
    </row>
    <row r="1159" customFormat="false" ht="15" hidden="false" customHeight="false" outlineLevel="0" collapsed="false">
      <c r="A1159" s="22"/>
      <c r="B1159" s="11"/>
      <c r="C1159" s="24"/>
      <c r="D1159" s="31" t="str">
        <f aca="false">IF(C1159="","",IF(LEN(UPPER(SUBSTITUTE(SUBSTITUTE(SUBSTITUTE(SUBSTITUTE(TRIM(C1159),".",""),"/",""),"-","")," ","")))&lt;14,RIGHT(REPT("0",14)&amp;UPPER(SUBSTITUTE(SUBSTITUTE(SUBSTITUTE(SUBSTITUTE(TRIM(C1159),".",""),"/",""),"-","")," ","")),14),UPPER(SUBSTITUTE(SUBSTITUTE(SUBSTITUTE(SUBSTITUTE(TRIM(C1159),".",""),"/",""),"-","")," ",""))))</f>
        <v/>
      </c>
      <c r="E1159" s="25" t="str">
        <f aca="false">IF(D1159="","",IFERROR(INDEX(Empresas!$C:$C,MATCH(D1159,Empresas!$B:$B,0)),"cadastre o CNPJ em Empresas"))</f>
        <v/>
      </c>
      <c r="F1159" s="23"/>
      <c r="G1159" s="35"/>
      <c r="H1159" s="24"/>
      <c r="I1159" s="11"/>
      <c r="J1159" s="27" t="str">
        <f aca="false">IF(A1159="","",YEAR(A1159))</f>
        <v/>
      </c>
      <c r="K1159" s="24"/>
      <c r="L1159" s="11"/>
    </row>
    <row r="1160" customFormat="false" ht="15" hidden="false" customHeight="false" outlineLevel="0" collapsed="false">
      <c r="A1160" s="22"/>
      <c r="B1160" s="11"/>
      <c r="C1160" s="24"/>
      <c r="D1160" s="31" t="str">
        <f aca="false">IF(C1160="","",IF(LEN(UPPER(SUBSTITUTE(SUBSTITUTE(SUBSTITUTE(SUBSTITUTE(TRIM(C1160),".",""),"/",""),"-","")," ","")))&lt;14,RIGHT(REPT("0",14)&amp;UPPER(SUBSTITUTE(SUBSTITUTE(SUBSTITUTE(SUBSTITUTE(TRIM(C1160),".",""),"/",""),"-","")," ","")),14),UPPER(SUBSTITUTE(SUBSTITUTE(SUBSTITUTE(SUBSTITUTE(TRIM(C1160),".",""),"/",""),"-","")," ",""))))</f>
        <v/>
      </c>
      <c r="E1160" s="25" t="str">
        <f aca="false">IF(D1160="","",IFERROR(INDEX(Empresas!$C:$C,MATCH(D1160,Empresas!$B:$B,0)),"cadastre o CNPJ em Empresas"))</f>
        <v/>
      </c>
      <c r="F1160" s="23"/>
      <c r="G1160" s="35"/>
      <c r="H1160" s="24"/>
      <c r="I1160" s="11"/>
      <c r="J1160" s="27" t="str">
        <f aca="false">IF(A1160="","",YEAR(A1160))</f>
        <v/>
      </c>
      <c r="K1160" s="24"/>
      <c r="L1160" s="11"/>
    </row>
    <row r="1161" customFormat="false" ht="15" hidden="false" customHeight="false" outlineLevel="0" collapsed="false">
      <c r="A1161" s="22"/>
      <c r="B1161" s="11"/>
      <c r="C1161" s="24"/>
      <c r="D1161" s="31" t="str">
        <f aca="false">IF(C1161="","",IF(LEN(UPPER(SUBSTITUTE(SUBSTITUTE(SUBSTITUTE(SUBSTITUTE(TRIM(C1161),".",""),"/",""),"-","")," ","")))&lt;14,RIGHT(REPT("0",14)&amp;UPPER(SUBSTITUTE(SUBSTITUTE(SUBSTITUTE(SUBSTITUTE(TRIM(C1161),".",""),"/",""),"-","")," ","")),14),UPPER(SUBSTITUTE(SUBSTITUTE(SUBSTITUTE(SUBSTITUTE(TRIM(C1161),".",""),"/",""),"-","")," ",""))))</f>
        <v/>
      </c>
      <c r="E1161" s="25" t="str">
        <f aca="false">IF(D1161="","",IFERROR(INDEX(Empresas!$C:$C,MATCH(D1161,Empresas!$B:$B,0)),"cadastre o CNPJ em Empresas"))</f>
        <v/>
      </c>
      <c r="F1161" s="23"/>
      <c r="G1161" s="35"/>
      <c r="H1161" s="24"/>
      <c r="I1161" s="11"/>
      <c r="J1161" s="27" t="str">
        <f aca="false">IF(A1161="","",YEAR(A1161))</f>
        <v/>
      </c>
      <c r="K1161" s="24"/>
      <c r="L1161" s="11"/>
    </row>
    <row r="1162" customFormat="false" ht="15" hidden="false" customHeight="false" outlineLevel="0" collapsed="false">
      <c r="A1162" s="22"/>
      <c r="B1162" s="11"/>
      <c r="C1162" s="24"/>
      <c r="D1162" s="31" t="str">
        <f aca="false">IF(C1162="","",IF(LEN(UPPER(SUBSTITUTE(SUBSTITUTE(SUBSTITUTE(SUBSTITUTE(TRIM(C1162),".",""),"/",""),"-","")," ","")))&lt;14,RIGHT(REPT("0",14)&amp;UPPER(SUBSTITUTE(SUBSTITUTE(SUBSTITUTE(SUBSTITUTE(TRIM(C1162),".",""),"/",""),"-","")," ","")),14),UPPER(SUBSTITUTE(SUBSTITUTE(SUBSTITUTE(SUBSTITUTE(TRIM(C1162),".",""),"/",""),"-","")," ",""))))</f>
        <v/>
      </c>
      <c r="E1162" s="25" t="str">
        <f aca="false">IF(D1162="","",IFERROR(INDEX(Empresas!$C:$C,MATCH(D1162,Empresas!$B:$B,0)),"cadastre o CNPJ em Empresas"))</f>
        <v/>
      </c>
      <c r="F1162" s="23"/>
      <c r="G1162" s="35"/>
      <c r="H1162" s="24"/>
      <c r="I1162" s="11"/>
      <c r="J1162" s="27" t="str">
        <f aca="false">IF(A1162="","",YEAR(A1162))</f>
        <v/>
      </c>
      <c r="K1162" s="24"/>
      <c r="L1162" s="11"/>
    </row>
    <row r="1163" customFormat="false" ht="15" hidden="false" customHeight="false" outlineLevel="0" collapsed="false">
      <c r="A1163" s="22"/>
      <c r="B1163" s="11"/>
      <c r="C1163" s="24"/>
      <c r="D1163" s="31" t="str">
        <f aca="false">IF(C1163="","",IF(LEN(UPPER(SUBSTITUTE(SUBSTITUTE(SUBSTITUTE(SUBSTITUTE(TRIM(C1163),".",""),"/",""),"-","")," ","")))&lt;14,RIGHT(REPT("0",14)&amp;UPPER(SUBSTITUTE(SUBSTITUTE(SUBSTITUTE(SUBSTITUTE(TRIM(C1163),".",""),"/",""),"-","")," ","")),14),UPPER(SUBSTITUTE(SUBSTITUTE(SUBSTITUTE(SUBSTITUTE(TRIM(C1163),".",""),"/",""),"-","")," ",""))))</f>
        <v/>
      </c>
      <c r="E1163" s="25" t="str">
        <f aca="false">IF(D1163="","",IFERROR(INDEX(Empresas!$C:$C,MATCH(D1163,Empresas!$B:$B,0)),"cadastre o CNPJ em Empresas"))</f>
        <v/>
      </c>
      <c r="F1163" s="23"/>
      <c r="G1163" s="35"/>
      <c r="H1163" s="24"/>
      <c r="I1163" s="11"/>
      <c r="J1163" s="27" t="str">
        <f aca="false">IF(A1163="","",YEAR(A1163))</f>
        <v/>
      </c>
      <c r="K1163" s="24"/>
      <c r="L1163" s="11"/>
    </row>
    <row r="1164" customFormat="false" ht="15" hidden="false" customHeight="false" outlineLevel="0" collapsed="false">
      <c r="A1164" s="22"/>
      <c r="B1164" s="11"/>
      <c r="C1164" s="24"/>
      <c r="D1164" s="31" t="str">
        <f aca="false">IF(C1164="","",IF(LEN(UPPER(SUBSTITUTE(SUBSTITUTE(SUBSTITUTE(SUBSTITUTE(TRIM(C1164),".",""),"/",""),"-","")," ","")))&lt;14,RIGHT(REPT("0",14)&amp;UPPER(SUBSTITUTE(SUBSTITUTE(SUBSTITUTE(SUBSTITUTE(TRIM(C1164),".",""),"/",""),"-","")," ","")),14),UPPER(SUBSTITUTE(SUBSTITUTE(SUBSTITUTE(SUBSTITUTE(TRIM(C1164),".",""),"/",""),"-","")," ",""))))</f>
        <v/>
      </c>
      <c r="E1164" s="25" t="str">
        <f aca="false">IF(D1164="","",IFERROR(INDEX(Empresas!$C:$C,MATCH(D1164,Empresas!$B:$B,0)),"cadastre o CNPJ em Empresas"))</f>
        <v/>
      </c>
      <c r="F1164" s="23"/>
      <c r="G1164" s="35"/>
      <c r="H1164" s="24"/>
      <c r="I1164" s="11"/>
      <c r="J1164" s="27" t="str">
        <f aca="false">IF(A1164="","",YEAR(A1164))</f>
        <v/>
      </c>
      <c r="K1164" s="24"/>
      <c r="L1164" s="11"/>
    </row>
    <row r="1165" customFormat="false" ht="15" hidden="false" customHeight="false" outlineLevel="0" collapsed="false">
      <c r="A1165" s="22"/>
      <c r="B1165" s="11"/>
      <c r="C1165" s="24"/>
      <c r="D1165" s="31" t="str">
        <f aca="false">IF(C1165="","",IF(LEN(UPPER(SUBSTITUTE(SUBSTITUTE(SUBSTITUTE(SUBSTITUTE(TRIM(C1165),".",""),"/",""),"-","")," ","")))&lt;14,RIGHT(REPT("0",14)&amp;UPPER(SUBSTITUTE(SUBSTITUTE(SUBSTITUTE(SUBSTITUTE(TRIM(C1165),".",""),"/",""),"-","")," ","")),14),UPPER(SUBSTITUTE(SUBSTITUTE(SUBSTITUTE(SUBSTITUTE(TRIM(C1165),".",""),"/",""),"-","")," ",""))))</f>
        <v/>
      </c>
      <c r="E1165" s="25" t="str">
        <f aca="false">IF(D1165="","",IFERROR(INDEX(Empresas!$C:$C,MATCH(D1165,Empresas!$B:$B,0)),"cadastre o CNPJ em Empresas"))</f>
        <v/>
      </c>
      <c r="F1165" s="23"/>
      <c r="G1165" s="35"/>
      <c r="H1165" s="24"/>
      <c r="I1165" s="11"/>
      <c r="J1165" s="27" t="str">
        <f aca="false">IF(A1165="","",YEAR(A1165))</f>
        <v/>
      </c>
      <c r="K1165" s="24"/>
      <c r="L1165" s="11"/>
    </row>
    <row r="1166" customFormat="false" ht="15" hidden="false" customHeight="false" outlineLevel="0" collapsed="false">
      <c r="A1166" s="22"/>
      <c r="B1166" s="11"/>
      <c r="C1166" s="24"/>
      <c r="D1166" s="31" t="str">
        <f aca="false">IF(C1166="","",IF(LEN(UPPER(SUBSTITUTE(SUBSTITUTE(SUBSTITUTE(SUBSTITUTE(TRIM(C1166),".",""),"/",""),"-","")," ","")))&lt;14,RIGHT(REPT("0",14)&amp;UPPER(SUBSTITUTE(SUBSTITUTE(SUBSTITUTE(SUBSTITUTE(TRIM(C1166),".",""),"/",""),"-","")," ","")),14),UPPER(SUBSTITUTE(SUBSTITUTE(SUBSTITUTE(SUBSTITUTE(TRIM(C1166),".",""),"/",""),"-","")," ",""))))</f>
        <v/>
      </c>
      <c r="E1166" s="25" t="str">
        <f aca="false">IF(D1166="","",IFERROR(INDEX(Empresas!$C:$C,MATCH(D1166,Empresas!$B:$B,0)),"cadastre o CNPJ em Empresas"))</f>
        <v/>
      </c>
      <c r="F1166" s="23"/>
      <c r="G1166" s="35"/>
      <c r="H1166" s="24"/>
      <c r="I1166" s="11"/>
      <c r="J1166" s="27" t="str">
        <f aca="false">IF(A1166="","",YEAR(A1166))</f>
        <v/>
      </c>
      <c r="K1166" s="24"/>
      <c r="L1166" s="11"/>
    </row>
    <row r="1167" customFormat="false" ht="15" hidden="false" customHeight="false" outlineLevel="0" collapsed="false">
      <c r="A1167" s="22"/>
      <c r="B1167" s="11"/>
      <c r="C1167" s="24"/>
      <c r="D1167" s="31" t="str">
        <f aca="false">IF(C1167="","",IF(LEN(UPPER(SUBSTITUTE(SUBSTITUTE(SUBSTITUTE(SUBSTITUTE(TRIM(C1167),".",""),"/",""),"-","")," ","")))&lt;14,RIGHT(REPT("0",14)&amp;UPPER(SUBSTITUTE(SUBSTITUTE(SUBSTITUTE(SUBSTITUTE(TRIM(C1167),".",""),"/",""),"-","")," ","")),14),UPPER(SUBSTITUTE(SUBSTITUTE(SUBSTITUTE(SUBSTITUTE(TRIM(C1167),".",""),"/",""),"-","")," ",""))))</f>
        <v/>
      </c>
      <c r="E1167" s="25" t="str">
        <f aca="false">IF(D1167="","",IFERROR(INDEX(Empresas!$C:$C,MATCH(D1167,Empresas!$B:$B,0)),"cadastre o CNPJ em Empresas"))</f>
        <v/>
      </c>
      <c r="F1167" s="23"/>
      <c r="G1167" s="35"/>
      <c r="H1167" s="24"/>
      <c r="I1167" s="11"/>
      <c r="J1167" s="27" t="str">
        <f aca="false">IF(A1167="","",YEAR(A1167))</f>
        <v/>
      </c>
      <c r="K1167" s="24"/>
      <c r="L1167" s="11"/>
    </row>
    <row r="1168" customFormat="false" ht="15" hidden="false" customHeight="false" outlineLevel="0" collapsed="false">
      <c r="A1168" s="22"/>
      <c r="B1168" s="11"/>
      <c r="C1168" s="24"/>
      <c r="D1168" s="31" t="str">
        <f aca="false">IF(C1168="","",IF(LEN(UPPER(SUBSTITUTE(SUBSTITUTE(SUBSTITUTE(SUBSTITUTE(TRIM(C1168),".",""),"/",""),"-","")," ","")))&lt;14,RIGHT(REPT("0",14)&amp;UPPER(SUBSTITUTE(SUBSTITUTE(SUBSTITUTE(SUBSTITUTE(TRIM(C1168),".",""),"/",""),"-","")," ","")),14),UPPER(SUBSTITUTE(SUBSTITUTE(SUBSTITUTE(SUBSTITUTE(TRIM(C1168),".",""),"/",""),"-","")," ",""))))</f>
        <v/>
      </c>
      <c r="E1168" s="25" t="str">
        <f aca="false">IF(D1168="","",IFERROR(INDEX(Empresas!$C:$C,MATCH(D1168,Empresas!$B:$B,0)),"cadastre o CNPJ em Empresas"))</f>
        <v/>
      </c>
      <c r="F1168" s="23"/>
      <c r="G1168" s="35"/>
      <c r="H1168" s="24"/>
      <c r="I1168" s="11"/>
      <c r="J1168" s="27" t="str">
        <f aca="false">IF(A1168="","",YEAR(A1168))</f>
        <v/>
      </c>
      <c r="K1168" s="24"/>
      <c r="L1168" s="11"/>
    </row>
    <row r="1169" customFormat="false" ht="15" hidden="false" customHeight="false" outlineLevel="0" collapsed="false">
      <c r="A1169" s="22"/>
      <c r="B1169" s="11"/>
      <c r="C1169" s="24"/>
      <c r="D1169" s="31" t="str">
        <f aca="false">IF(C1169="","",IF(LEN(UPPER(SUBSTITUTE(SUBSTITUTE(SUBSTITUTE(SUBSTITUTE(TRIM(C1169),".",""),"/",""),"-","")," ","")))&lt;14,RIGHT(REPT("0",14)&amp;UPPER(SUBSTITUTE(SUBSTITUTE(SUBSTITUTE(SUBSTITUTE(TRIM(C1169),".",""),"/",""),"-","")," ","")),14),UPPER(SUBSTITUTE(SUBSTITUTE(SUBSTITUTE(SUBSTITUTE(TRIM(C1169),".",""),"/",""),"-","")," ",""))))</f>
        <v/>
      </c>
      <c r="E1169" s="25" t="str">
        <f aca="false">IF(D1169="","",IFERROR(INDEX(Empresas!$C:$C,MATCH(D1169,Empresas!$B:$B,0)),"cadastre o CNPJ em Empresas"))</f>
        <v/>
      </c>
      <c r="F1169" s="23"/>
      <c r="G1169" s="35"/>
      <c r="H1169" s="24"/>
      <c r="I1169" s="11"/>
      <c r="J1169" s="27" t="str">
        <f aca="false">IF(A1169="","",YEAR(A1169))</f>
        <v/>
      </c>
      <c r="K1169" s="24"/>
      <c r="L1169" s="11"/>
    </row>
    <row r="1170" customFormat="false" ht="15" hidden="false" customHeight="false" outlineLevel="0" collapsed="false">
      <c r="A1170" s="22"/>
      <c r="B1170" s="11"/>
      <c r="C1170" s="24"/>
      <c r="D1170" s="31" t="str">
        <f aca="false">IF(C1170="","",IF(LEN(UPPER(SUBSTITUTE(SUBSTITUTE(SUBSTITUTE(SUBSTITUTE(TRIM(C1170),".",""),"/",""),"-","")," ","")))&lt;14,RIGHT(REPT("0",14)&amp;UPPER(SUBSTITUTE(SUBSTITUTE(SUBSTITUTE(SUBSTITUTE(TRIM(C1170),".",""),"/",""),"-","")," ","")),14),UPPER(SUBSTITUTE(SUBSTITUTE(SUBSTITUTE(SUBSTITUTE(TRIM(C1170),".",""),"/",""),"-","")," ",""))))</f>
        <v/>
      </c>
      <c r="E1170" s="25" t="str">
        <f aca="false">IF(D1170="","",IFERROR(INDEX(Empresas!$C:$C,MATCH(D1170,Empresas!$B:$B,0)),"cadastre o CNPJ em Empresas"))</f>
        <v/>
      </c>
      <c r="F1170" s="23"/>
      <c r="G1170" s="35"/>
      <c r="H1170" s="24"/>
      <c r="I1170" s="11"/>
      <c r="J1170" s="27" t="str">
        <f aca="false">IF(A1170="","",YEAR(A1170))</f>
        <v/>
      </c>
      <c r="K1170" s="24"/>
      <c r="L1170" s="11"/>
    </row>
    <row r="1171" customFormat="false" ht="15" hidden="false" customHeight="false" outlineLevel="0" collapsed="false">
      <c r="A1171" s="22"/>
      <c r="B1171" s="11"/>
      <c r="C1171" s="24"/>
      <c r="D1171" s="31" t="str">
        <f aca="false">IF(C1171="","",IF(LEN(UPPER(SUBSTITUTE(SUBSTITUTE(SUBSTITUTE(SUBSTITUTE(TRIM(C1171),".",""),"/",""),"-","")," ","")))&lt;14,RIGHT(REPT("0",14)&amp;UPPER(SUBSTITUTE(SUBSTITUTE(SUBSTITUTE(SUBSTITUTE(TRIM(C1171),".",""),"/",""),"-","")," ","")),14),UPPER(SUBSTITUTE(SUBSTITUTE(SUBSTITUTE(SUBSTITUTE(TRIM(C1171),".",""),"/",""),"-","")," ",""))))</f>
        <v/>
      </c>
      <c r="E1171" s="25" t="str">
        <f aca="false">IF(D1171="","",IFERROR(INDEX(Empresas!$C:$C,MATCH(D1171,Empresas!$B:$B,0)),"cadastre o CNPJ em Empresas"))</f>
        <v/>
      </c>
      <c r="F1171" s="23"/>
      <c r="G1171" s="35"/>
      <c r="H1171" s="24"/>
      <c r="I1171" s="11"/>
      <c r="J1171" s="27" t="str">
        <f aca="false">IF(A1171="","",YEAR(A1171))</f>
        <v/>
      </c>
      <c r="K1171" s="24"/>
      <c r="L1171" s="11"/>
    </row>
    <row r="1172" customFormat="false" ht="15" hidden="false" customHeight="false" outlineLevel="0" collapsed="false">
      <c r="A1172" s="22"/>
      <c r="B1172" s="11"/>
      <c r="C1172" s="24"/>
      <c r="D1172" s="31" t="str">
        <f aca="false">IF(C1172="","",IF(LEN(UPPER(SUBSTITUTE(SUBSTITUTE(SUBSTITUTE(SUBSTITUTE(TRIM(C1172),".",""),"/",""),"-","")," ","")))&lt;14,RIGHT(REPT("0",14)&amp;UPPER(SUBSTITUTE(SUBSTITUTE(SUBSTITUTE(SUBSTITUTE(TRIM(C1172),".",""),"/",""),"-","")," ","")),14),UPPER(SUBSTITUTE(SUBSTITUTE(SUBSTITUTE(SUBSTITUTE(TRIM(C1172),".",""),"/",""),"-","")," ",""))))</f>
        <v/>
      </c>
      <c r="E1172" s="25" t="str">
        <f aca="false">IF(D1172="","",IFERROR(INDEX(Empresas!$C:$C,MATCH(D1172,Empresas!$B:$B,0)),"cadastre o CNPJ em Empresas"))</f>
        <v/>
      </c>
      <c r="F1172" s="23"/>
      <c r="G1172" s="35"/>
      <c r="H1172" s="24"/>
      <c r="I1172" s="11"/>
      <c r="J1172" s="27" t="str">
        <f aca="false">IF(A1172="","",YEAR(A1172))</f>
        <v/>
      </c>
      <c r="K1172" s="24"/>
      <c r="L1172" s="11"/>
    </row>
    <row r="1173" customFormat="false" ht="15" hidden="false" customHeight="false" outlineLevel="0" collapsed="false">
      <c r="A1173" s="22"/>
      <c r="B1173" s="11"/>
      <c r="C1173" s="24"/>
      <c r="D1173" s="31" t="str">
        <f aca="false">IF(C1173="","",IF(LEN(UPPER(SUBSTITUTE(SUBSTITUTE(SUBSTITUTE(SUBSTITUTE(TRIM(C1173),".",""),"/",""),"-","")," ","")))&lt;14,RIGHT(REPT("0",14)&amp;UPPER(SUBSTITUTE(SUBSTITUTE(SUBSTITUTE(SUBSTITUTE(TRIM(C1173),".",""),"/",""),"-","")," ","")),14),UPPER(SUBSTITUTE(SUBSTITUTE(SUBSTITUTE(SUBSTITUTE(TRIM(C1173),".",""),"/",""),"-","")," ",""))))</f>
        <v/>
      </c>
      <c r="E1173" s="25" t="str">
        <f aca="false">IF(D1173="","",IFERROR(INDEX(Empresas!$C:$C,MATCH(D1173,Empresas!$B:$B,0)),"cadastre o CNPJ em Empresas"))</f>
        <v/>
      </c>
      <c r="F1173" s="23"/>
      <c r="G1173" s="35"/>
      <c r="H1173" s="24"/>
      <c r="I1173" s="11"/>
      <c r="J1173" s="27" t="str">
        <f aca="false">IF(A1173="","",YEAR(A1173))</f>
        <v/>
      </c>
      <c r="K1173" s="24"/>
      <c r="L1173" s="11"/>
    </row>
    <row r="1174" customFormat="false" ht="15" hidden="false" customHeight="false" outlineLevel="0" collapsed="false">
      <c r="A1174" s="22"/>
      <c r="B1174" s="11"/>
      <c r="C1174" s="24"/>
      <c r="D1174" s="31" t="str">
        <f aca="false">IF(C1174="","",IF(LEN(UPPER(SUBSTITUTE(SUBSTITUTE(SUBSTITUTE(SUBSTITUTE(TRIM(C1174),".",""),"/",""),"-","")," ","")))&lt;14,RIGHT(REPT("0",14)&amp;UPPER(SUBSTITUTE(SUBSTITUTE(SUBSTITUTE(SUBSTITUTE(TRIM(C1174),".",""),"/",""),"-","")," ","")),14),UPPER(SUBSTITUTE(SUBSTITUTE(SUBSTITUTE(SUBSTITUTE(TRIM(C1174),".",""),"/",""),"-","")," ",""))))</f>
        <v/>
      </c>
      <c r="E1174" s="25" t="str">
        <f aca="false">IF(D1174="","",IFERROR(INDEX(Empresas!$C:$C,MATCH(D1174,Empresas!$B:$B,0)),"cadastre o CNPJ em Empresas"))</f>
        <v/>
      </c>
      <c r="F1174" s="23"/>
      <c r="G1174" s="35"/>
      <c r="H1174" s="24"/>
      <c r="I1174" s="11"/>
      <c r="J1174" s="27" t="str">
        <f aca="false">IF(A1174="","",YEAR(A1174))</f>
        <v/>
      </c>
      <c r="K1174" s="24"/>
      <c r="L1174" s="11"/>
    </row>
    <row r="1175" customFormat="false" ht="15" hidden="false" customHeight="false" outlineLevel="0" collapsed="false">
      <c r="A1175" s="22"/>
      <c r="B1175" s="11"/>
      <c r="C1175" s="24"/>
      <c r="D1175" s="31" t="str">
        <f aca="false">IF(C1175="","",IF(LEN(UPPER(SUBSTITUTE(SUBSTITUTE(SUBSTITUTE(SUBSTITUTE(TRIM(C1175),".",""),"/",""),"-","")," ","")))&lt;14,RIGHT(REPT("0",14)&amp;UPPER(SUBSTITUTE(SUBSTITUTE(SUBSTITUTE(SUBSTITUTE(TRIM(C1175),".",""),"/",""),"-","")," ","")),14),UPPER(SUBSTITUTE(SUBSTITUTE(SUBSTITUTE(SUBSTITUTE(TRIM(C1175),".",""),"/",""),"-","")," ",""))))</f>
        <v/>
      </c>
      <c r="E1175" s="25" t="str">
        <f aca="false">IF(D1175="","",IFERROR(INDEX(Empresas!$C:$C,MATCH(D1175,Empresas!$B:$B,0)),"cadastre o CNPJ em Empresas"))</f>
        <v/>
      </c>
      <c r="F1175" s="23"/>
      <c r="G1175" s="35"/>
      <c r="H1175" s="24"/>
      <c r="I1175" s="11"/>
      <c r="J1175" s="27" t="str">
        <f aca="false">IF(A1175="","",YEAR(A1175))</f>
        <v/>
      </c>
      <c r="K1175" s="24"/>
      <c r="L1175" s="11"/>
    </row>
    <row r="1176" customFormat="false" ht="15" hidden="false" customHeight="false" outlineLevel="0" collapsed="false">
      <c r="A1176" s="22"/>
      <c r="B1176" s="11"/>
      <c r="C1176" s="24"/>
      <c r="D1176" s="31" t="str">
        <f aca="false">IF(C1176="","",IF(LEN(UPPER(SUBSTITUTE(SUBSTITUTE(SUBSTITUTE(SUBSTITUTE(TRIM(C1176),".",""),"/",""),"-","")," ","")))&lt;14,RIGHT(REPT("0",14)&amp;UPPER(SUBSTITUTE(SUBSTITUTE(SUBSTITUTE(SUBSTITUTE(TRIM(C1176),".",""),"/",""),"-","")," ","")),14),UPPER(SUBSTITUTE(SUBSTITUTE(SUBSTITUTE(SUBSTITUTE(TRIM(C1176),".",""),"/",""),"-","")," ",""))))</f>
        <v/>
      </c>
      <c r="E1176" s="25" t="str">
        <f aca="false">IF(D1176="","",IFERROR(INDEX(Empresas!$C:$C,MATCH(D1176,Empresas!$B:$B,0)),"cadastre o CNPJ em Empresas"))</f>
        <v/>
      </c>
      <c r="F1176" s="23"/>
      <c r="G1176" s="35"/>
      <c r="H1176" s="24"/>
      <c r="I1176" s="11"/>
      <c r="J1176" s="27" t="str">
        <f aca="false">IF(A1176="","",YEAR(A1176))</f>
        <v/>
      </c>
      <c r="K1176" s="24"/>
      <c r="L1176" s="11"/>
    </row>
    <row r="1177" customFormat="false" ht="15" hidden="false" customHeight="false" outlineLevel="0" collapsed="false">
      <c r="A1177" s="22"/>
      <c r="B1177" s="11"/>
      <c r="C1177" s="24"/>
      <c r="D1177" s="31" t="str">
        <f aca="false">IF(C1177="","",IF(LEN(UPPER(SUBSTITUTE(SUBSTITUTE(SUBSTITUTE(SUBSTITUTE(TRIM(C1177),".",""),"/",""),"-","")," ","")))&lt;14,RIGHT(REPT("0",14)&amp;UPPER(SUBSTITUTE(SUBSTITUTE(SUBSTITUTE(SUBSTITUTE(TRIM(C1177),".",""),"/",""),"-","")," ","")),14),UPPER(SUBSTITUTE(SUBSTITUTE(SUBSTITUTE(SUBSTITUTE(TRIM(C1177),".",""),"/",""),"-","")," ",""))))</f>
        <v/>
      </c>
      <c r="E1177" s="25" t="str">
        <f aca="false">IF(D1177="","",IFERROR(INDEX(Empresas!$C:$C,MATCH(D1177,Empresas!$B:$B,0)),"cadastre o CNPJ em Empresas"))</f>
        <v/>
      </c>
      <c r="F1177" s="23"/>
      <c r="G1177" s="35"/>
      <c r="H1177" s="24"/>
      <c r="I1177" s="11"/>
      <c r="J1177" s="27" t="str">
        <f aca="false">IF(A1177="","",YEAR(A1177))</f>
        <v/>
      </c>
      <c r="K1177" s="24"/>
      <c r="L1177" s="11"/>
    </row>
    <row r="1178" customFormat="false" ht="15" hidden="false" customHeight="false" outlineLevel="0" collapsed="false">
      <c r="A1178" s="22"/>
      <c r="B1178" s="11"/>
      <c r="C1178" s="24"/>
      <c r="D1178" s="31" t="str">
        <f aca="false">IF(C1178="","",IF(LEN(UPPER(SUBSTITUTE(SUBSTITUTE(SUBSTITUTE(SUBSTITUTE(TRIM(C1178),".",""),"/",""),"-","")," ","")))&lt;14,RIGHT(REPT("0",14)&amp;UPPER(SUBSTITUTE(SUBSTITUTE(SUBSTITUTE(SUBSTITUTE(TRIM(C1178),".",""),"/",""),"-","")," ","")),14),UPPER(SUBSTITUTE(SUBSTITUTE(SUBSTITUTE(SUBSTITUTE(TRIM(C1178),".",""),"/",""),"-","")," ",""))))</f>
        <v/>
      </c>
      <c r="E1178" s="25" t="str">
        <f aca="false">IF(D1178="","",IFERROR(INDEX(Empresas!$C:$C,MATCH(D1178,Empresas!$B:$B,0)),"cadastre o CNPJ em Empresas"))</f>
        <v/>
      </c>
      <c r="F1178" s="23"/>
      <c r="G1178" s="35"/>
      <c r="H1178" s="24"/>
      <c r="I1178" s="11"/>
      <c r="J1178" s="27" t="str">
        <f aca="false">IF(A1178="","",YEAR(A1178))</f>
        <v/>
      </c>
      <c r="K1178" s="24"/>
      <c r="L1178" s="11"/>
    </row>
    <row r="1179" customFormat="false" ht="15" hidden="false" customHeight="false" outlineLevel="0" collapsed="false">
      <c r="A1179" s="22"/>
      <c r="B1179" s="11"/>
      <c r="C1179" s="24"/>
      <c r="D1179" s="31" t="str">
        <f aca="false">IF(C1179="","",IF(LEN(UPPER(SUBSTITUTE(SUBSTITUTE(SUBSTITUTE(SUBSTITUTE(TRIM(C1179),".",""),"/",""),"-","")," ","")))&lt;14,RIGHT(REPT("0",14)&amp;UPPER(SUBSTITUTE(SUBSTITUTE(SUBSTITUTE(SUBSTITUTE(TRIM(C1179),".",""),"/",""),"-","")," ","")),14),UPPER(SUBSTITUTE(SUBSTITUTE(SUBSTITUTE(SUBSTITUTE(TRIM(C1179),".",""),"/",""),"-","")," ",""))))</f>
        <v/>
      </c>
      <c r="E1179" s="25" t="str">
        <f aca="false">IF(D1179="","",IFERROR(INDEX(Empresas!$C:$C,MATCH(D1179,Empresas!$B:$B,0)),"cadastre o CNPJ em Empresas"))</f>
        <v/>
      </c>
      <c r="F1179" s="23"/>
      <c r="G1179" s="35"/>
      <c r="H1179" s="24"/>
      <c r="I1179" s="11"/>
      <c r="J1179" s="27" t="str">
        <f aca="false">IF(A1179="","",YEAR(A1179))</f>
        <v/>
      </c>
      <c r="K1179" s="24"/>
      <c r="L1179" s="11"/>
    </row>
    <row r="1180" customFormat="false" ht="15" hidden="false" customHeight="false" outlineLevel="0" collapsed="false">
      <c r="A1180" s="22"/>
      <c r="B1180" s="11"/>
      <c r="C1180" s="24"/>
      <c r="D1180" s="31" t="str">
        <f aca="false">IF(C1180="","",IF(LEN(UPPER(SUBSTITUTE(SUBSTITUTE(SUBSTITUTE(SUBSTITUTE(TRIM(C1180),".",""),"/",""),"-","")," ","")))&lt;14,RIGHT(REPT("0",14)&amp;UPPER(SUBSTITUTE(SUBSTITUTE(SUBSTITUTE(SUBSTITUTE(TRIM(C1180),".",""),"/",""),"-","")," ","")),14),UPPER(SUBSTITUTE(SUBSTITUTE(SUBSTITUTE(SUBSTITUTE(TRIM(C1180),".",""),"/",""),"-","")," ",""))))</f>
        <v/>
      </c>
      <c r="E1180" s="25" t="str">
        <f aca="false">IF(D1180="","",IFERROR(INDEX(Empresas!$C:$C,MATCH(D1180,Empresas!$B:$B,0)),"cadastre o CNPJ em Empresas"))</f>
        <v/>
      </c>
      <c r="F1180" s="23"/>
      <c r="G1180" s="35"/>
      <c r="H1180" s="24"/>
      <c r="I1180" s="11"/>
      <c r="J1180" s="27" t="str">
        <f aca="false">IF(A1180="","",YEAR(A1180))</f>
        <v/>
      </c>
      <c r="K1180" s="24"/>
      <c r="L1180" s="11"/>
    </row>
    <row r="1181" customFormat="false" ht="15" hidden="false" customHeight="false" outlineLevel="0" collapsed="false">
      <c r="A1181" s="22"/>
      <c r="B1181" s="11"/>
      <c r="C1181" s="24"/>
      <c r="D1181" s="31" t="str">
        <f aca="false">IF(C1181="","",IF(LEN(UPPER(SUBSTITUTE(SUBSTITUTE(SUBSTITUTE(SUBSTITUTE(TRIM(C1181),".",""),"/",""),"-","")," ","")))&lt;14,RIGHT(REPT("0",14)&amp;UPPER(SUBSTITUTE(SUBSTITUTE(SUBSTITUTE(SUBSTITUTE(TRIM(C1181),".",""),"/",""),"-","")," ","")),14),UPPER(SUBSTITUTE(SUBSTITUTE(SUBSTITUTE(SUBSTITUTE(TRIM(C1181),".",""),"/",""),"-","")," ",""))))</f>
        <v/>
      </c>
      <c r="E1181" s="25" t="str">
        <f aca="false">IF(D1181="","",IFERROR(INDEX(Empresas!$C:$C,MATCH(D1181,Empresas!$B:$B,0)),"cadastre o CNPJ em Empresas"))</f>
        <v/>
      </c>
      <c r="F1181" s="23"/>
      <c r="G1181" s="35"/>
      <c r="H1181" s="24"/>
      <c r="I1181" s="11"/>
      <c r="J1181" s="27" t="str">
        <f aca="false">IF(A1181="","",YEAR(A1181))</f>
        <v/>
      </c>
      <c r="K1181" s="24"/>
      <c r="L1181" s="11"/>
    </row>
    <row r="1182" customFormat="false" ht="15" hidden="false" customHeight="false" outlineLevel="0" collapsed="false">
      <c r="A1182" s="22"/>
      <c r="B1182" s="11"/>
      <c r="C1182" s="24"/>
      <c r="D1182" s="31" t="str">
        <f aca="false">IF(C1182="","",IF(LEN(UPPER(SUBSTITUTE(SUBSTITUTE(SUBSTITUTE(SUBSTITUTE(TRIM(C1182),".",""),"/",""),"-","")," ","")))&lt;14,RIGHT(REPT("0",14)&amp;UPPER(SUBSTITUTE(SUBSTITUTE(SUBSTITUTE(SUBSTITUTE(TRIM(C1182),".",""),"/",""),"-","")," ","")),14),UPPER(SUBSTITUTE(SUBSTITUTE(SUBSTITUTE(SUBSTITUTE(TRIM(C1182),".",""),"/",""),"-","")," ",""))))</f>
        <v/>
      </c>
      <c r="E1182" s="25" t="str">
        <f aca="false">IF(D1182="","",IFERROR(INDEX(Empresas!$C:$C,MATCH(D1182,Empresas!$B:$B,0)),"cadastre o CNPJ em Empresas"))</f>
        <v/>
      </c>
      <c r="F1182" s="23"/>
      <c r="G1182" s="35"/>
      <c r="H1182" s="24"/>
      <c r="I1182" s="11"/>
      <c r="J1182" s="27" t="str">
        <f aca="false">IF(A1182="","",YEAR(A1182))</f>
        <v/>
      </c>
      <c r="K1182" s="24"/>
      <c r="L1182" s="11"/>
    </row>
    <row r="1183" customFormat="false" ht="15" hidden="false" customHeight="false" outlineLevel="0" collapsed="false">
      <c r="A1183" s="22"/>
      <c r="B1183" s="11"/>
      <c r="C1183" s="24"/>
      <c r="D1183" s="31" t="str">
        <f aca="false">IF(C1183="","",IF(LEN(UPPER(SUBSTITUTE(SUBSTITUTE(SUBSTITUTE(SUBSTITUTE(TRIM(C1183),".",""),"/",""),"-","")," ","")))&lt;14,RIGHT(REPT("0",14)&amp;UPPER(SUBSTITUTE(SUBSTITUTE(SUBSTITUTE(SUBSTITUTE(TRIM(C1183),".",""),"/",""),"-","")," ","")),14),UPPER(SUBSTITUTE(SUBSTITUTE(SUBSTITUTE(SUBSTITUTE(TRIM(C1183),".",""),"/",""),"-","")," ",""))))</f>
        <v/>
      </c>
      <c r="E1183" s="25" t="str">
        <f aca="false">IF(D1183="","",IFERROR(INDEX(Empresas!$C:$C,MATCH(D1183,Empresas!$B:$B,0)),"cadastre o CNPJ em Empresas"))</f>
        <v/>
      </c>
      <c r="F1183" s="23"/>
      <c r="G1183" s="35"/>
      <c r="H1183" s="24"/>
      <c r="I1183" s="11"/>
      <c r="J1183" s="27" t="str">
        <f aca="false">IF(A1183="","",YEAR(A1183))</f>
        <v/>
      </c>
      <c r="K1183" s="24"/>
      <c r="L1183" s="11"/>
    </row>
    <row r="1184" customFormat="false" ht="15" hidden="false" customHeight="false" outlineLevel="0" collapsed="false">
      <c r="A1184" s="22"/>
      <c r="B1184" s="11"/>
      <c r="C1184" s="24"/>
      <c r="D1184" s="31" t="str">
        <f aca="false">IF(C1184="","",IF(LEN(UPPER(SUBSTITUTE(SUBSTITUTE(SUBSTITUTE(SUBSTITUTE(TRIM(C1184),".",""),"/",""),"-","")," ","")))&lt;14,RIGHT(REPT("0",14)&amp;UPPER(SUBSTITUTE(SUBSTITUTE(SUBSTITUTE(SUBSTITUTE(TRIM(C1184),".",""),"/",""),"-","")," ","")),14),UPPER(SUBSTITUTE(SUBSTITUTE(SUBSTITUTE(SUBSTITUTE(TRIM(C1184),".",""),"/",""),"-","")," ",""))))</f>
        <v/>
      </c>
      <c r="E1184" s="25" t="str">
        <f aca="false">IF(D1184="","",IFERROR(INDEX(Empresas!$C:$C,MATCH(D1184,Empresas!$B:$B,0)),"cadastre o CNPJ em Empresas"))</f>
        <v/>
      </c>
      <c r="F1184" s="23"/>
      <c r="G1184" s="35"/>
      <c r="H1184" s="24"/>
      <c r="I1184" s="11"/>
      <c r="J1184" s="27" t="str">
        <f aca="false">IF(A1184="","",YEAR(A1184))</f>
        <v/>
      </c>
      <c r="K1184" s="24"/>
      <c r="L1184" s="11"/>
    </row>
    <row r="1185" customFormat="false" ht="15" hidden="false" customHeight="false" outlineLevel="0" collapsed="false">
      <c r="A1185" s="22"/>
      <c r="B1185" s="11"/>
      <c r="C1185" s="24"/>
      <c r="D1185" s="31" t="str">
        <f aca="false">IF(C1185="","",IF(LEN(UPPER(SUBSTITUTE(SUBSTITUTE(SUBSTITUTE(SUBSTITUTE(TRIM(C1185),".",""),"/",""),"-","")," ","")))&lt;14,RIGHT(REPT("0",14)&amp;UPPER(SUBSTITUTE(SUBSTITUTE(SUBSTITUTE(SUBSTITUTE(TRIM(C1185),".",""),"/",""),"-","")," ","")),14),UPPER(SUBSTITUTE(SUBSTITUTE(SUBSTITUTE(SUBSTITUTE(TRIM(C1185),".",""),"/",""),"-","")," ",""))))</f>
        <v/>
      </c>
      <c r="E1185" s="25" t="str">
        <f aca="false">IF(D1185="","",IFERROR(INDEX(Empresas!$C:$C,MATCH(D1185,Empresas!$B:$B,0)),"cadastre o CNPJ em Empresas"))</f>
        <v/>
      </c>
      <c r="F1185" s="23"/>
      <c r="G1185" s="35"/>
      <c r="H1185" s="24"/>
      <c r="I1185" s="11"/>
      <c r="J1185" s="27" t="str">
        <f aca="false">IF(A1185="","",YEAR(A1185))</f>
        <v/>
      </c>
      <c r="K1185" s="24"/>
      <c r="L1185" s="11"/>
    </row>
    <row r="1186" customFormat="false" ht="15" hidden="false" customHeight="false" outlineLevel="0" collapsed="false">
      <c r="A1186" s="22"/>
      <c r="B1186" s="11"/>
      <c r="C1186" s="24"/>
      <c r="D1186" s="31" t="str">
        <f aca="false">IF(C1186="","",IF(LEN(UPPER(SUBSTITUTE(SUBSTITUTE(SUBSTITUTE(SUBSTITUTE(TRIM(C1186),".",""),"/",""),"-","")," ","")))&lt;14,RIGHT(REPT("0",14)&amp;UPPER(SUBSTITUTE(SUBSTITUTE(SUBSTITUTE(SUBSTITUTE(TRIM(C1186),".",""),"/",""),"-","")," ","")),14),UPPER(SUBSTITUTE(SUBSTITUTE(SUBSTITUTE(SUBSTITUTE(TRIM(C1186),".",""),"/",""),"-","")," ",""))))</f>
        <v/>
      </c>
      <c r="E1186" s="25" t="str">
        <f aca="false">IF(D1186="","",IFERROR(INDEX(Empresas!$C:$C,MATCH(D1186,Empresas!$B:$B,0)),"cadastre o CNPJ em Empresas"))</f>
        <v/>
      </c>
      <c r="F1186" s="23"/>
      <c r="G1186" s="35"/>
      <c r="H1186" s="24"/>
      <c r="I1186" s="11"/>
      <c r="J1186" s="27" t="str">
        <f aca="false">IF(A1186="","",YEAR(A1186))</f>
        <v/>
      </c>
      <c r="K1186" s="24"/>
      <c r="L1186" s="11"/>
    </row>
    <row r="1187" customFormat="false" ht="15" hidden="false" customHeight="false" outlineLevel="0" collapsed="false">
      <c r="A1187" s="22"/>
      <c r="B1187" s="11"/>
      <c r="C1187" s="24"/>
      <c r="D1187" s="31" t="str">
        <f aca="false">IF(C1187="","",IF(LEN(UPPER(SUBSTITUTE(SUBSTITUTE(SUBSTITUTE(SUBSTITUTE(TRIM(C1187),".",""),"/",""),"-","")," ","")))&lt;14,RIGHT(REPT("0",14)&amp;UPPER(SUBSTITUTE(SUBSTITUTE(SUBSTITUTE(SUBSTITUTE(TRIM(C1187),".",""),"/",""),"-","")," ","")),14),UPPER(SUBSTITUTE(SUBSTITUTE(SUBSTITUTE(SUBSTITUTE(TRIM(C1187),".",""),"/",""),"-","")," ",""))))</f>
        <v/>
      </c>
      <c r="E1187" s="25" t="str">
        <f aca="false">IF(D1187="","",IFERROR(INDEX(Empresas!$C:$C,MATCH(D1187,Empresas!$B:$B,0)),"cadastre o CNPJ em Empresas"))</f>
        <v/>
      </c>
      <c r="F1187" s="23"/>
      <c r="G1187" s="35"/>
      <c r="H1187" s="24"/>
      <c r="I1187" s="11"/>
      <c r="J1187" s="27" t="str">
        <f aca="false">IF(A1187="","",YEAR(A1187))</f>
        <v/>
      </c>
      <c r="K1187" s="24"/>
      <c r="L1187" s="11"/>
    </row>
    <row r="1188" customFormat="false" ht="15" hidden="false" customHeight="false" outlineLevel="0" collapsed="false">
      <c r="A1188" s="22"/>
      <c r="B1188" s="11"/>
      <c r="C1188" s="24"/>
      <c r="D1188" s="31" t="str">
        <f aca="false">IF(C1188="","",IF(LEN(UPPER(SUBSTITUTE(SUBSTITUTE(SUBSTITUTE(SUBSTITUTE(TRIM(C1188),".",""),"/",""),"-","")," ","")))&lt;14,RIGHT(REPT("0",14)&amp;UPPER(SUBSTITUTE(SUBSTITUTE(SUBSTITUTE(SUBSTITUTE(TRIM(C1188),".",""),"/",""),"-","")," ","")),14),UPPER(SUBSTITUTE(SUBSTITUTE(SUBSTITUTE(SUBSTITUTE(TRIM(C1188),".",""),"/",""),"-","")," ",""))))</f>
        <v/>
      </c>
      <c r="E1188" s="25" t="str">
        <f aca="false">IF(D1188="","",IFERROR(INDEX(Empresas!$C:$C,MATCH(D1188,Empresas!$B:$B,0)),"cadastre o CNPJ em Empresas"))</f>
        <v/>
      </c>
      <c r="F1188" s="23"/>
      <c r="G1188" s="35"/>
      <c r="H1188" s="24"/>
      <c r="I1188" s="11"/>
      <c r="J1188" s="27" t="str">
        <f aca="false">IF(A1188="","",YEAR(A1188))</f>
        <v/>
      </c>
      <c r="K1188" s="24"/>
      <c r="L1188" s="11"/>
    </row>
    <row r="1189" customFormat="false" ht="15" hidden="false" customHeight="false" outlineLevel="0" collapsed="false">
      <c r="A1189" s="22"/>
      <c r="B1189" s="11"/>
      <c r="C1189" s="24"/>
      <c r="D1189" s="31" t="str">
        <f aca="false">IF(C1189="","",IF(LEN(UPPER(SUBSTITUTE(SUBSTITUTE(SUBSTITUTE(SUBSTITUTE(TRIM(C1189),".",""),"/",""),"-","")," ","")))&lt;14,RIGHT(REPT("0",14)&amp;UPPER(SUBSTITUTE(SUBSTITUTE(SUBSTITUTE(SUBSTITUTE(TRIM(C1189),".",""),"/",""),"-","")," ","")),14),UPPER(SUBSTITUTE(SUBSTITUTE(SUBSTITUTE(SUBSTITUTE(TRIM(C1189),".",""),"/",""),"-","")," ",""))))</f>
        <v/>
      </c>
      <c r="E1189" s="25" t="str">
        <f aca="false">IF(D1189="","",IFERROR(INDEX(Empresas!$C:$C,MATCH(D1189,Empresas!$B:$B,0)),"cadastre o CNPJ em Empresas"))</f>
        <v/>
      </c>
      <c r="F1189" s="23"/>
      <c r="G1189" s="35"/>
      <c r="H1189" s="24"/>
      <c r="I1189" s="11"/>
      <c r="J1189" s="27" t="str">
        <f aca="false">IF(A1189="","",YEAR(A1189))</f>
        <v/>
      </c>
      <c r="K1189" s="24"/>
      <c r="L1189" s="11"/>
    </row>
    <row r="1190" customFormat="false" ht="15" hidden="false" customHeight="false" outlineLevel="0" collapsed="false">
      <c r="A1190" s="22"/>
      <c r="B1190" s="11"/>
      <c r="C1190" s="24"/>
      <c r="D1190" s="31" t="str">
        <f aca="false">IF(C1190="","",IF(LEN(UPPER(SUBSTITUTE(SUBSTITUTE(SUBSTITUTE(SUBSTITUTE(TRIM(C1190),".",""),"/",""),"-","")," ","")))&lt;14,RIGHT(REPT("0",14)&amp;UPPER(SUBSTITUTE(SUBSTITUTE(SUBSTITUTE(SUBSTITUTE(TRIM(C1190),".",""),"/",""),"-","")," ","")),14),UPPER(SUBSTITUTE(SUBSTITUTE(SUBSTITUTE(SUBSTITUTE(TRIM(C1190),".",""),"/",""),"-","")," ",""))))</f>
        <v/>
      </c>
      <c r="E1190" s="25" t="str">
        <f aca="false">IF(D1190="","",IFERROR(INDEX(Empresas!$C:$C,MATCH(D1190,Empresas!$B:$B,0)),"cadastre o CNPJ em Empresas"))</f>
        <v/>
      </c>
      <c r="F1190" s="23"/>
      <c r="G1190" s="35"/>
      <c r="H1190" s="24"/>
      <c r="I1190" s="11"/>
      <c r="J1190" s="27" t="str">
        <f aca="false">IF(A1190="","",YEAR(A1190))</f>
        <v/>
      </c>
      <c r="K1190" s="24"/>
      <c r="L1190" s="11"/>
    </row>
    <row r="1191" customFormat="false" ht="15" hidden="false" customHeight="false" outlineLevel="0" collapsed="false">
      <c r="A1191" s="22"/>
      <c r="B1191" s="11"/>
      <c r="C1191" s="24"/>
      <c r="D1191" s="31" t="str">
        <f aca="false">IF(C1191="","",IF(LEN(UPPER(SUBSTITUTE(SUBSTITUTE(SUBSTITUTE(SUBSTITUTE(TRIM(C1191),".",""),"/",""),"-","")," ","")))&lt;14,RIGHT(REPT("0",14)&amp;UPPER(SUBSTITUTE(SUBSTITUTE(SUBSTITUTE(SUBSTITUTE(TRIM(C1191),".",""),"/",""),"-","")," ","")),14),UPPER(SUBSTITUTE(SUBSTITUTE(SUBSTITUTE(SUBSTITUTE(TRIM(C1191),".",""),"/",""),"-","")," ",""))))</f>
        <v/>
      </c>
      <c r="E1191" s="25" t="str">
        <f aca="false">IF(D1191="","",IFERROR(INDEX(Empresas!$C:$C,MATCH(D1191,Empresas!$B:$B,0)),"cadastre o CNPJ em Empresas"))</f>
        <v/>
      </c>
      <c r="F1191" s="23"/>
      <c r="G1191" s="35"/>
      <c r="H1191" s="24"/>
      <c r="I1191" s="11"/>
      <c r="J1191" s="27" t="str">
        <f aca="false">IF(A1191="","",YEAR(A1191))</f>
        <v/>
      </c>
      <c r="K1191" s="24"/>
      <c r="L1191" s="11"/>
    </row>
    <row r="1192" customFormat="false" ht="15" hidden="false" customHeight="false" outlineLevel="0" collapsed="false">
      <c r="A1192" s="22"/>
      <c r="B1192" s="11"/>
      <c r="C1192" s="24"/>
      <c r="D1192" s="31" t="str">
        <f aca="false">IF(C1192="","",IF(LEN(UPPER(SUBSTITUTE(SUBSTITUTE(SUBSTITUTE(SUBSTITUTE(TRIM(C1192),".",""),"/",""),"-","")," ","")))&lt;14,RIGHT(REPT("0",14)&amp;UPPER(SUBSTITUTE(SUBSTITUTE(SUBSTITUTE(SUBSTITUTE(TRIM(C1192),".",""),"/",""),"-","")," ","")),14),UPPER(SUBSTITUTE(SUBSTITUTE(SUBSTITUTE(SUBSTITUTE(TRIM(C1192),".",""),"/",""),"-","")," ",""))))</f>
        <v/>
      </c>
      <c r="E1192" s="25" t="str">
        <f aca="false">IF(D1192="","",IFERROR(INDEX(Empresas!$C:$C,MATCH(D1192,Empresas!$B:$B,0)),"cadastre o CNPJ em Empresas"))</f>
        <v/>
      </c>
      <c r="F1192" s="23"/>
      <c r="G1192" s="35"/>
      <c r="H1192" s="24"/>
      <c r="I1192" s="11"/>
      <c r="J1192" s="27" t="str">
        <f aca="false">IF(A1192="","",YEAR(A1192))</f>
        <v/>
      </c>
      <c r="K1192" s="24"/>
      <c r="L1192" s="11"/>
    </row>
    <row r="1193" customFormat="false" ht="15" hidden="false" customHeight="false" outlineLevel="0" collapsed="false">
      <c r="A1193" s="22"/>
      <c r="B1193" s="11"/>
      <c r="C1193" s="24"/>
      <c r="D1193" s="31" t="str">
        <f aca="false">IF(C1193="","",IF(LEN(UPPER(SUBSTITUTE(SUBSTITUTE(SUBSTITUTE(SUBSTITUTE(TRIM(C1193),".",""),"/",""),"-","")," ","")))&lt;14,RIGHT(REPT("0",14)&amp;UPPER(SUBSTITUTE(SUBSTITUTE(SUBSTITUTE(SUBSTITUTE(TRIM(C1193),".",""),"/",""),"-","")," ","")),14),UPPER(SUBSTITUTE(SUBSTITUTE(SUBSTITUTE(SUBSTITUTE(TRIM(C1193),".",""),"/",""),"-","")," ",""))))</f>
        <v/>
      </c>
      <c r="E1193" s="25" t="str">
        <f aca="false">IF(D1193="","",IFERROR(INDEX(Empresas!$C:$C,MATCH(D1193,Empresas!$B:$B,0)),"cadastre o CNPJ em Empresas"))</f>
        <v/>
      </c>
      <c r="F1193" s="23"/>
      <c r="G1193" s="35"/>
      <c r="H1193" s="24"/>
      <c r="I1193" s="11"/>
      <c r="J1193" s="27" t="str">
        <f aca="false">IF(A1193="","",YEAR(A1193))</f>
        <v/>
      </c>
      <c r="K1193" s="24"/>
      <c r="L1193" s="11"/>
    </row>
    <row r="1194" customFormat="false" ht="15" hidden="false" customHeight="false" outlineLevel="0" collapsed="false">
      <c r="A1194" s="22"/>
      <c r="B1194" s="11"/>
      <c r="C1194" s="24"/>
      <c r="D1194" s="31" t="str">
        <f aca="false">IF(C1194="","",IF(LEN(UPPER(SUBSTITUTE(SUBSTITUTE(SUBSTITUTE(SUBSTITUTE(TRIM(C1194),".",""),"/",""),"-","")," ","")))&lt;14,RIGHT(REPT("0",14)&amp;UPPER(SUBSTITUTE(SUBSTITUTE(SUBSTITUTE(SUBSTITUTE(TRIM(C1194),".",""),"/",""),"-","")," ","")),14),UPPER(SUBSTITUTE(SUBSTITUTE(SUBSTITUTE(SUBSTITUTE(TRIM(C1194),".",""),"/",""),"-","")," ",""))))</f>
        <v/>
      </c>
      <c r="E1194" s="25" t="str">
        <f aca="false">IF(D1194="","",IFERROR(INDEX(Empresas!$C:$C,MATCH(D1194,Empresas!$B:$B,0)),"cadastre o CNPJ em Empresas"))</f>
        <v/>
      </c>
      <c r="F1194" s="23"/>
      <c r="G1194" s="35"/>
      <c r="H1194" s="24"/>
      <c r="I1194" s="11"/>
      <c r="J1194" s="27" t="str">
        <f aca="false">IF(A1194="","",YEAR(A1194))</f>
        <v/>
      </c>
      <c r="K1194" s="24"/>
      <c r="L1194" s="11"/>
    </row>
    <row r="1195" customFormat="false" ht="15" hidden="false" customHeight="false" outlineLevel="0" collapsed="false">
      <c r="A1195" s="22"/>
      <c r="B1195" s="11"/>
      <c r="C1195" s="24"/>
      <c r="D1195" s="31" t="str">
        <f aca="false">IF(C1195="","",IF(LEN(UPPER(SUBSTITUTE(SUBSTITUTE(SUBSTITUTE(SUBSTITUTE(TRIM(C1195),".",""),"/",""),"-","")," ","")))&lt;14,RIGHT(REPT("0",14)&amp;UPPER(SUBSTITUTE(SUBSTITUTE(SUBSTITUTE(SUBSTITUTE(TRIM(C1195),".",""),"/",""),"-","")," ","")),14),UPPER(SUBSTITUTE(SUBSTITUTE(SUBSTITUTE(SUBSTITUTE(TRIM(C1195),".",""),"/",""),"-","")," ",""))))</f>
        <v/>
      </c>
      <c r="E1195" s="25" t="str">
        <f aca="false">IF(D1195="","",IFERROR(INDEX(Empresas!$C:$C,MATCH(D1195,Empresas!$B:$B,0)),"cadastre o CNPJ em Empresas"))</f>
        <v/>
      </c>
      <c r="F1195" s="23"/>
      <c r="G1195" s="35"/>
      <c r="H1195" s="24"/>
      <c r="I1195" s="11"/>
      <c r="J1195" s="27" t="str">
        <f aca="false">IF(A1195="","",YEAR(A1195))</f>
        <v/>
      </c>
      <c r="K1195" s="24"/>
      <c r="L1195" s="11"/>
    </row>
    <row r="1196" customFormat="false" ht="15" hidden="false" customHeight="false" outlineLevel="0" collapsed="false">
      <c r="A1196" s="22"/>
      <c r="B1196" s="11"/>
      <c r="C1196" s="24"/>
      <c r="D1196" s="31" t="str">
        <f aca="false">IF(C1196="","",IF(LEN(UPPER(SUBSTITUTE(SUBSTITUTE(SUBSTITUTE(SUBSTITUTE(TRIM(C1196),".",""),"/",""),"-","")," ","")))&lt;14,RIGHT(REPT("0",14)&amp;UPPER(SUBSTITUTE(SUBSTITUTE(SUBSTITUTE(SUBSTITUTE(TRIM(C1196),".",""),"/",""),"-","")," ","")),14),UPPER(SUBSTITUTE(SUBSTITUTE(SUBSTITUTE(SUBSTITUTE(TRIM(C1196),".",""),"/",""),"-","")," ",""))))</f>
        <v/>
      </c>
      <c r="E1196" s="25" t="str">
        <f aca="false">IF(D1196="","",IFERROR(INDEX(Empresas!$C:$C,MATCH(D1196,Empresas!$B:$B,0)),"cadastre o CNPJ em Empresas"))</f>
        <v/>
      </c>
      <c r="F1196" s="23"/>
      <c r="G1196" s="35"/>
      <c r="H1196" s="24"/>
      <c r="I1196" s="11"/>
      <c r="J1196" s="27" t="str">
        <f aca="false">IF(A1196="","",YEAR(A1196))</f>
        <v/>
      </c>
      <c r="K1196" s="24"/>
      <c r="L1196" s="11"/>
    </row>
    <row r="1197" customFormat="false" ht="15" hidden="false" customHeight="false" outlineLevel="0" collapsed="false">
      <c r="A1197" s="22"/>
      <c r="B1197" s="11"/>
      <c r="C1197" s="24"/>
      <c r="D1197" s="31" t="str">
        <f aca="false">IF(C1197="","",IF(LEN(UPPER(SUBSTITUTE(SUBSTITUTE(SUBSTITUTE(SUBSTITUTE(TRIM(C1197),".",""),"/",""),"-","")," ","")))&lt;14,RIGHT(REPT("0",14)&amp;UPPER(SUBSTITUTE(SUBSTITUTE(SUBSTITUTE(SUBSTITUTE(TRIM(C1197),".",""),"/",""),"-","")," ","")),14),UPPER(SUBSTITUTE(SUBSTITUTE(SUBSTITUTE(SUBSTITUTE(TRIM(C1197),".",""),"/",""),"-","")," ",""))))</f>
        <v/>
      </c>
      <c r="E1197" s="25" t="str">
        <f aca="false">IF(D1197="","",IFERROR(INDEX(Empresas!$C:$C,MATCH(D1197,Empresas!$B:$B,0)),"cadastre o CNPJ em Empresas"))</f>
        <v/>
      </c>
      <c r="F1197" s="23"/>
      <c r="G1197" s="35"/>
      <c r="H1197" s="24"/>
      <c r="I1197" s="11"/>
      <c r="J1197" s="27" t="str">
        <f aca="false">IF(A1197="","",YEAR(A1197))</f>
        <v/>
      </c>
      <c r="K1197" s="24"/>
      <c r="L1197" s="11"/>
    </row>
    <row r="1198" customFormat="false" ht="15" hidden="false" customHeight="false" outlineLevel="0" collapsed="false">
      <c r="A1198" s="22"/>
      <c r="B1198" s="11"/>
      <c r="C1198" s="24"/>
      <c r="D1198" s="31" t="str">
        <f aca="false">IF(C1198="","",IF(LEN(UPPER(SUBSTITUTE(SUBSTITUTE(SUBSTITUTE(SUBSTITUTE(TRIM(C1198),".",""),"/",""),"-","")," ","")))&lt;14,RIGHT(REPT("0",14)&amp;UPPER(SUBSTITUTE(SUBSTITUTE(SUBSTITUTE(SUBSTITUTE(TRIM(C1198),".",""),"/",""),"-","")," ","")),14),UPPER(SUBSTITUTE(SUBSTITUTE(SUBSTITUTE(SUBSTITUTE(TRIM(C1198),".",""),"/",""),"-","")," ",""))))</f>
        <v/>
      </c>
      <c r="E1198" s="25" t="str">
        <f aca="false">IF(D1198="","",IFERROR(INDEX(Empresas!$C:$C,MATCH(D1198,Empresas!$B:$B,0)),"cadastre o CNPJ em Empresas"))</f>
        <v/>
      </c>
      <c r="F1198" s="23"/>
      <c r="G1198" s="35"/>
      <c r="H1198" s="24"/>
      <c r="I1198" s="11"/>
      <c r="J1198" s="27" t="str">
        <f aca="false">IF(A1198="","",YEAR(A1198))</f>
        <v/>
      </c>
      <c r="K1198" s="24"/>
      <c r="L1198" s="11"/>
    </row>
    <row r="1199" customFormat="false" ht="15" hidden="false" customHeight="false" outlineLevel="0" collapsed="false">
      <c r="A1199" s="22"/>
      <c r="B1199" s="11"/>
      <c r="C1199" s="24"/>
      <c r="D1199" s="31" t="str">
        <f aca="false">IF(C1199="","",IF(LEN(UPPER(SUBSTITUTE(SUBSTITUTE(SUBSTITUTE(SUBSTITUTE(TRIM(C1199),".",""),"/",""),"-","")," ","")))&lt;14,RIGHT(REPT("0",14)&amp;UPPER(SUBSTITUTE(SUBSTITUTE(SUBSTITUTE(SUBSTITUTE(TRIM(C1199),".",""),"/",""),"-","")," ","")),14),UPPER(SUBSTITUTE(SUBSTITUTE(SUBSTITUTE(SUBSTITUTE(TRIM(C1199),".",""),"/",""),"-","")," ",""))))</f>
        <v/>
      </c>
      <c r="E1199" s="25" t="str">
        <f aca="false">IF(D1199="","",IFERROR(INDEX(Empresas!$C:$C,MATCH(D1199,Empresas!$B:$B,0)),"cadastre o CNPJ em Empresas"))</f>
        <v/>
      </c>
      <c r="F1199" s="23"/>
      <c r="G1199" s="35"/>
      <c r="H1199" s="24"/>
      <c r="I1199" s="11"/>
      <c r="J1199" s="27" t="str">
        <f aca="false">IF(A1199="","",YEAR(A1199))</f>
        <v/>
      </c>
      <c r="K1199" s="24"/>
      <c r="L1199" s="11"/>
    </row>
    <row r="1200" customFormat="false" ht="15" hidden="false" customHeight="false" outlineLevel="0" collapsed="false">
      <c r="A1200" s="22"/>
      <c r="B1200" s="11"/>
      <c r="C1200" s="24"/>
      <c r="D1200" s="31" t="str">
        <f aca="false">IF(C1200="","",IF(LEN(UPPER(SUBSTITUTE(SUBSTITUTE(SUBSTITUTE(SUBSTITUTE(TRIM(C1200),".",""),"/",""),"-","")," ","")))&lt;14,RIGHT(REPT("0",14)&amp;UPPER(SUBSTITUTE(SUBSTITUTE(SUBSTITUTE(SUBSTITUTE(TRIM(C1200),".",""),"/",""),"-","")," ","")),14),UPPER(SUBSTITUTE(SUBSTITUTE(SUBSTITUTE(SUBSTITUTE(TRIM(C1200),".",""),"/",""),"-","")," ",""))))</f>
        <v/>
      </c>
      <c r="E1200" s="25" t="str">
        <f aca="false">IF(D1200="","",IFERROR(INDEX(Empresas!$C:$C,MATCH(D1200,Empresas!$B:$B,0)),"cadastre o CNPJ em Empresas"))</f>
        <v/>
      </c>
      <c r="F1200" s="23"/>
      <c r="G1200" s="35"/>
      <c r="H1200" s="24"/>
      <c r="I1200" s="11"/>
      <c r="J1200" s="27" t="str">
        <f aca="false">IF(A1200="","",YEAR(A1200))</f>
        <v/>
      </c>
      <c r="K1200" s="24"/>
      <c r="L1200" s="11"/>
    </row>
    <row r="1201" customFormat="false" ht="15" hidden="false" customHeight="false" outlineLevel="0" collapsed="false">
      <c r="A1201" s="22"/>
      <c r="B1201" s="11"/>
      <c r="C1201" s="24"/>
      <c r="D1201" s="31" t="str">
        <f aca="false">IF(C1201="","",IF(LEN(UPPER(SUBSTITUTE(SUBSTITUTE(SUBSTITUTE(SUBSTITUTE(TRIM(C1201),".",""),"/",""),"-","")," ","")))&lt;14,RIGHT(REPT("0",14)&amp;UPPER(SUBSTITUTE(SUBSTITUTE(SUBSTITUTE(SUBSTITUTE(TRIM(C1201),".",""),"/",""),"-","")," ","")),14),UPPER(SUBSTITUTE(SUBSTITUTE(SUBSTITUTE(SUBSTITUTE(TRIM(C1201),".",""),"/",""),"-","")," ",""))))</f>
        <v/>
      </c>
      <c r="E1201" s="25" t="str">
        <f aca="false">IF(D1201="","",IFERROR(INDEX(Empresas!$C:$C,MATCH(D1201,Empresas!$B:$B,0)),"cadastre o CNPJ em Empresas"))</f>
        <v/>
      </c>
      <c r="F1201" s="23"/>
      <c r="G1201" s="35"/>
      <c r="H1201" s="24"/>
      <c r="I1201" s="11"/>
      <c r="J1201" s="27" t="str">
        <f aca="false">IF(A1201="","",YEAR(A1201))</f>
        <v/>
      </c>
      <c r="K1201" s="24"/>
      <c r="L1201" s="11"/>
    </row>
    <row r="1202" customFormat="false" ht="15" hidden="false" customHeight="false" outlineLevel="0" collapsed="false">
      <c r="A1202" s="22"/>
      <c r="B1202" s="11"/>
      <c r="C1202" s="24"/>
      <c r="D1202" s="31" t="str">
        <f aca="false">IF(C1202="","",IF(LEN(UPPER(SUBSTITUTE(SUBSTITUTE(SUBSTITUTE(SUBSTITUTE(TRIM(C1202),".",""),"/",""),"-","")," ","")))&lt;14,RIGHT(REPT("0",14)&amp;UPPER(SUBSTITUTE(SUBSTITUTE(SUBSTITUTE(SUBSTITUTE(TRIM(C1202),".",""),"/",""),"-","")," ","")),14),UPPER(SUBSTITUTE(SUBSTITUTE(SUBSTITUTE(SUBSTITUTE(TRIM(C1202),".",""),"/",""),"-","")," ",""))))</f>
        <v/>
      </c>
      <c r="E1202" s="25" t="str">
        <f aca="false">IF(D1202="","",IFERROR(INDEX(Empresas!$C:$C,MATCH(D1202,Empresas!$B:$B,0)),"cadastre o CNPJ em Empresas"))</f>
        <v/>
      </c>
      <c r="F1202" s="23"/>
      <c r="G1202" s="35"/>
      <c r="H1202" s="24"/>
      <c r="I1202" s="11"/>
      <c r="J1202" s="27" t="str">
        <f aca="false">IF(A1202="","",YEAR(A1202))</f>
        <v/>
      </c>
      <c r="K1202" s="24"/>
      <c r="L1202" s="11"/>
    </row>
    <row r="1203" customFormat="false" ht="15" hidden="false" customHeight="false" outlineLevel="0" collapsed="false">
      <c r="A1203" s="22"/>
      <c r="B1203" s="11"/>
      <c r="C1203" s="24"/>
      <c r="D1203" s="31" t="str">
        <f aca="false">IF(C1203="","",IF(LEN(UPPER(SUBSTITUTE(SUBSTITUTE(SUBSTITUTE(SUBSTITUTE(TRIM(C1203),".",""),"/",""),"-","")," ","")))&lt;14,RIGHT(REPT("0",14)&amp;UPPER(SUBSTITUTE(SUBSTITUTE(SUBSTITUTE(SUBSTITUTE(TRIM(C1203),".",""),"/",""),"-","")," ","")),14),UPPER(SUBSTITUTE(SUBSTITUTE(SUBSTITUTE(SUBSTITUTE(TRIM(C1203),".",""),"/",""),"-","")," ",""))))</f>
        <v/>
      </c>
      <c r="E1203" s="25" t="str">
        <f aca="false">IF(D1203="","",IFERROR(INDEX(Empresas!$C:$C,MATCH(D1203,Empresas!$B:$B,0)),"cadastre o CNPJ em Empresas"))</f>
        <v/>
      </c>
      <c r="F1203" s="23"/>
      <c r="G1203" s="35"/>
      <c r="H1203" s="24"/>
      <c r="I1203" s="11"/>
      <c r="J1203" s="27" t="str">
        <f aca="false">IF(A1203="","",YEAR(A1203))</f>
        <v/>
      </c>
      <c r="K1203" s="24"/>
      <c r="L1203" s="11"/>
    </row>
    <row r="1204" customFormat="false" ht="15" hidden="false" customHeight="false" outlineLevel="0" collapsed="false">
      <c r="A1204" s="22"/>
      <c r="B1204" s="11"/>
      <c r="C1204" s="24"/>
      <c r="D1204" s="31" t="str">
        <f aca="false">IF(C1204="","",IF(LEN(UPPER(SUBSTITUTE(SUBSTITUTE(SUBSTITUTE(SUBSTITUTE(TRIM(C1204),".",""),"/",""),"-","")," ","")))&lt;14,RIGHT(REPT("0",14)&amp;UPPER(SUBSTITUTE(SUBSTITUTE(SUBSTITUTE(SUBSTITUTE(TRIM(C1204),".",""),"/",""),"-","")," ","")),14),UPPER(SUBSTITUTE(SUBSTITUTE(SUBSTITUTE(SUBSTITUTE(TRIM(C1204),".",""),"/",""),"-","")," ",""))))</f>
        <v/>
      </c>
      <c r="E1204" s="25" t="str">
        <f aca="false">IF(D1204="","",IFERROR(INDEX(Empresas!$C:$C,MATCH(D1204,Empresas!$B:$B,0)),"cadastre o CNPJ em Empresas"))</f>
        <v/>
      </c>
      <c r="F1204" s="23"/>
      <c r="G1204" s="35"/>
      <c r="H1204" s="24"/>
      <c r="I1204" s="11"/>
      <c r="J1204" s="27" t="str">
        <f aca="false">IF(A1204="","",YEAR(A1204))</f>
        <v/>
      </c>
      <c r="K1204" s="24"/>
      <c r="L1204" s="11"/>
    </row>
    <row r="1205" customFormat="false" ht="15" hidden="false" customHeight="false" outlineLevel="0" collapsed="false">
      <c r="A1205" s="22"/>
      <c r="B1205" s="11"/>
      <c r="C1205" s="24"/>
      <c r="D1205" s="31" t="str">
        <f aca="false">IF(C1205="","",IF(LEN(UPPER(SUBSTITUTE(SUBSTITUTE(SUBSTITUTE(SUBSTITUTE(TRIM(C1205),".",""),"/",""),"-","")," ","")))&lt;14,RIGHT(REPT("0",14)&amp;UPPER(SUBSTITUTE(SUBSTITUTE(SUBSTITUTE(SUBSTITUTE(TRIM(C1205),".",""),"/",""),"-","")," ","")),14),UPPER(SUBSTITUTE(SUBSTITUTE(SUBSTITUTE(SUBSTITUTE(TRIM(C1205),".",""),"/",""),"-","")," ",""))))</f>
        <v/>
      </c>
      <c r="E1205" s="25" t="str">
        <f aca="false">IF(D1205="","",IFERROR(INDEX(Empresas!$C:$C,MATCH(D1205,Empresas!$B:$B,0)),"cadastre o CNPJ em Empresas"))</f>
        <v/>
      </c>
      <c r="F1205" s="23"/>
      <c r="G1205" s="35"/>
      <c r="H1205" s="24"/>
      <c r="I1205" s="11"/>
      <c r="J1205" s="27" t="str">
        <f aca="false">IF(A1205="","",YEAR(A1205))</f>
        <v/>
      </c>
      <c r="K1205" s="24"/>
      <c r="L1205" s="11"/>
    </row>
    <row r="1206" customFormat="false" ht="15" hidden="false" customHeight="false" outlineLevel="0" collapsed="false">
      <c r="A1206" s="22"/>
      <c r="B1206" s="11"/>
      <c r="C1206" s="24"/>
      <c r="D1206" s="31" t="str">
        <f aca="false">IF(C1206="","",IF(LEN(UPPER(SUBSTITUTE(SUBSTITUTE(SUBSTITUTE(SUBSTITUTE(TRIM(C1206),".",""),"/",""),"-","")," ","")))&lt;14,RIGHT(REPT("0",14)&amp;UPPER(SUBSTITUTE(SUBSTITUTE(SUBSTITUTE(SUBSTITUTE(TRIM(C1206),".",""),"/",""),"-","")," ","")),14),UPPER(SUBSTITUTE(SUBSTITUTE(SUBSTITUTE(SUBSTITUTE(TRIM(C1206),".",""),"/",""),"-","")," ",""))))</f>
        <v/>
      </c>
      <c r="E1206" s="25" t="str">
        <f aca="false">IF(D1206="","",IFERROR(INDEX(Empresas!$C:$C,MATCH(D1206,Empresas!$B:$B,0)),"cadastre o CNPJ em Empresas"))</f>
        <v/>
      </c>
      <c r="F1206" s="23"/>
      <c r="G1206" s="35"/>
      <c r="H1206" s="24"/>
      <c r="I1206" s="11"/>
      <c r="J1206" s="27" t="str">
        <f aca="false">IF(A1206="","",YEAR(A1206))</f>
        <v/>
      </c>
      <c r="K1206" s="24"/>
      <c r="L1206" s="11"/>
    </row>
    <row r="1207" customFormat="false" ht="15" hidden="false" customHeight="false" outlineLevel="0" collapsed="false">
      <c r="A1207" s="22"/>
      <c r="B1207" s="11"/>
      <c r="C1207" s="24"/>
      <c r="D1207" s="31" t="str">
        <f aca="false">IF(C1207="","",IF(LEN(UPPER(SUBSTITUTE(SUBSTITUTE(SUBSTITUTE(SUBSTITUTE(TRIM(C1207),".",""),"/",""),"-","")," ","")))&lt;14,RIGHT(REPT("0",14)&amp;UPPER(SUBSTITUTE(SUBSTITUTE(SUBSTITUTE(SUBSTITUTE(TRIM(C1207),".",""),"/",""),"-","")," ","")),14),UPPER(SUBSTITUTE(SUBSTITUTE(SUBSTITUTE(SUBSTITUTE(TRIM(C1207),".",""),"/",""),"-","")," ",""))))</f>
        <v/>
      </c>
      <c r="E1207" s="25" t="str">
        <f aca="false">IF(D1207="","",IFERROR(INDEX(Empresas!$C:$C,MATCH(D1207,Empresas!$B:$B,0)),"cadastre o CNPJ em Empresas"))</f>
        <v/>
      </c>
      <c r="F1207" s="23"/>
      <c r="G1207" s="35"/>
      <c r="H1207" s="24"/>
      <c r="I1207" s="11"/>
      <c r="J1207" s="27" t="str">
        <f aca="false">IF(A1207="","",YEAR(A1207))</f>
        <v/>
      </c>
      <c r="K1207" s="24"/>
      <c r="L1207" s="11"/>
    </row>
    <row r="1208" customFormat="false" ht="15" hidden="false" customHeight="false" outlineLevel="0" collapsed="false">
      <c r="A1208" s="22"/>
      <c r="B1208" s="11"/>
      <c r="C1208" s="24"/>
      <c r="D1208" s="31" t="str">
        <f aca="false">IF(C1208="","",IF(LEN(UPPER(SUBSTITUTE(SUBSTITUTE(SUBSTITUTE(SUBSTITUTE(TRIM(C1208),".",""),"/",""),"-","")," ","")))&lt;14,RIGHT(REPT("0",14)&amp;UPPER(SUBSTITUTE(SUBSTITUTE(SUBSTITUTE(SUBSTITUTE(TRIM(C1208),".",""),"/",""),"-","")," ","")),14),UPPER(SUBSTITUTE(SUBSTITUTE(SUBSTITUTE(SUBSTITUTE(TRIM(C1208),".",""),"/",""),"-","")," ",""))))</f>
        <v/>
      </c>
      <c r="E1208" s="25" t="str">
        <f aca="false">IF(D1208="","",IFERROR(INDEX(Empresas!$C:$C,MATCH(D1208,Empresas!$B:$B,0)),"cadastre o CNPJ em Empresas"))</f>
        <v/>
      </c>
      <c r="F1208" s="23"/>
      <c r="G1208" s="35"/>
      <c r="H1208" s="24"/>
      <c r="I1208" s="11"/>
      <c r="J1208" s="27" t="str">
        <f aca="false">IF(A1208="","",YEAR(A1208))</f>
        <v/>
      </c>
      <c r="K1208" s="24"/>
      <c r="L1208" s="11"/>
    </row>
    <row r="1209" customFormat="false" ht="15" hidden="false" customHeight="false" outlineLevel="0" collapsed="false">
      <c r="A1209" s="22"/>
      <c r="B1209" s="11"/>
      <c r="C1209" s="24"/>
      <c r="D1209" s="31" t="str">
        <f aca="false">IF(C1209="","",IF(LEN(UPPER(SUBSTITUTE(SUBSTITUTE(SUBSTITUTE(SUBSTITUTE(TRIM(C1209),".",""),"/",""),"-","")," ","")))&lt;14,RIGHT(REPT("0",14)&amp;UPPER(SUBSTITUTE(SUBSTITUTE(SUBSTITUTE(SUBSTITUTE(TRIM(C1209),".",""),"/",""),"-","")," ","")),14),UPPER(SUBSTITUTE(SUBSTITUTE(SUBSTITUTE(SUBSTITUTE(TRIM(C1209),".",""),"/",""),"-","")," ",""))))</f>
        <v/>
      </c>
      <c r="E1209" s="25" t="str">
        <f aca="false">IF(D1209="","",IFERROR(INDEX(Empresas!$C:$C,MATCH(D1209,Empresas!$B:$B,0)),"cadastre o CNPJ em Empresas"))</f>
        <v/>
      </c>
      <c r="F1209" s="23"/>
      <c r="G1209" s="35"/>
      <c r="H1209" s="24"/>
      <c r="I1209" s="11"/>
      <c r="J1209" s="27" t="str">
        <f aca="false">IF(A1209="","",YEAR(A1209))</f>
        <v/>
      </c>
      <c r="K1209" s="24"/>
      <c r="L1209" s="11"/>
    </row>
    <row r="1210" customFormat="false" ht="15" hidden="false" customHeight="false" outlineLevel="0" collapsed="false">
      <c r="A1210" s="22"/>
      <c r="B1210" s="11"/>
      <c r="C1210" s="24"/>
      <c r="D1210" s="31" t="str">
        <f aca="false">IF(C1210="","",IF(LEN(UPPER(SUBSTITUTE(SUBSTITUTE(SUBSTITUTE(SUBSTITUTE(TRIM(C1210),".",""),"/",""),"-","")," ","")))&lt;14,RIGHT(REPT("0",14)&amp;UPPER(SUBSTITUTE(SUBSTITUTE(SUBSTITUTE(SUBSTITUTE(TRIM(C1210),".",""),"/",""),"-","")," ","")),14),UPPER(SUBSTITUTE(SUBSTITUTE(SUBSTITUTE(SUBSTITUTE(TRIM(C1210),".",""),"/",""),"-","")," ",""))))</f>
        <v/>
      </c>
      <c r="E1210" s="25" t="str">
        <f aca="false">IF(D1210="","",IFERROR(INDEX(Empresas!$C:$C,MATCH(D1210,Empresas!$B:$B,0)),"cadastre o CNPJ em Empresas"))</f>
        <v/>
      </c>
      <c r="F1210" s="23"/>
      <c r="G1210" s="35"/>
      <c r="H1210" s="24"/>
      <c r="I1210" s="11"/>
      <c r="J1210" s="27" t="str">
        <f aca="false">IF(A1210="","",YEAR(A1210))</f>
        <v/>
      </c>
      <c r="K1210" s="24"/>
      <c r="L1210" s="11"/>
    </row>
    <row r="1211" customFormat="false" ht="15" hidden="false" customHeight="false" outlineLevel="0" collapsed="false">
      <c r="A1211" s="22"/>
      <c r="B1211" s="11"/>
      <c r="C1211" s="24"/>
      <c r="D1211" s="31" t="str">
        <f aca="false">IF(C1211="","",IF(LEN(UPPER(SUBSTITUTE(SUBSTITUTE(SUBSTITUTE(SUBSTITUTE(TRIM(C1211),".",""),"/",""),"-","")," ","")))&lt;14,RIGHT(REPT("0",14)&amp;UPPER(SUBSTITUTE(SUBSTITUTE(SUBSTITUTE(SUBSTITUTE(TRIM(C1211),".",""),"/",""),"-","")," ","")),14),UPPER(SUBSTITUTE(SUBSTITUTE(SUBSTITUTE(SUBSTITUTE(TRIM(C1211),".",""),"/",""),"-","")," ",""))))</f>
        <v/>
      </c>
      <c r="E1211" s="25" t="str">
        <f aca="false">IF(D1211="","",IFERROR(INDEX(Empresas!$C:$C,MATCH(D1211,Empresas!$B:$B,0)),"cadastre o CNPJ em Empresas"))</f>
        <v/>
      </c>
      <c r="F1211" s="23"/>
      <c r="G1211" s="35"/>
      <c r="H1211" s="24"/>
      <c r="I1211" s="11"/>
      <c r="J1211" s="27" t="str">
        <f aca="false">IF(A1211="","",YEAR(A1211))</f>
        <v/>
      </c>
      <c r="K1211" s="24"/>
      <c r="L1211" s="11"/>
    </row>
    <row r="1212" customFormat="false" ht="15" hidden="false" customHeight="false" outlineLevel="0" collapsed="false">
      <c r="A1212" s="22"/>
      <c r="B1212" s="11"/>
      <c r="C1212" s="24"/>
      <c r="D1212" s="31" t="str">
        <f aca="false">IF(C1212="","",IF(LEN(UPPER(SUBSTITUTE(SUBSTITUTE(SUBSTITUTE(SUBSTITUTE(TRIM(C1212),".",""),"/",""),"-","")," ","")))&lt;14,RIGHT(REPT("0",14)&amp;UPPER(SUBSTITUTE(SUBSTITUTE(SUBSTITUTE(SUBSTITUTE(TRIM(C1212),".",""),"/",""),"-","")," ","")),14),UPPER(SUBSTITUTE(SUBSTITUTE(SUBSTITUTE(SUBSTITUTE(TRIM(C1212),".",""),"/",""),"-","")," ",""))))</f>
        <v/>
      </c>
      <c r="E1212" s="25" t="str">
        <f aca="false">IF(D1212="","",IFERROR(INDEX(Empresas!$C:$C,MATCH(D1212,Empresas!$B:$B,0)),"cadastre o CNPJ em Empresas"))</f>
        <v/>
      </c>
      <c r="F1212" s="23"/>
      <c r="G1212" s="35"/>
      <c r="H1212" s="24"/>
      <c r="I1212" s="11"/>
      <c r="J1212" s="27" t="str">
        <f aca="false">IF(A1212="","",YEAR(A1212))</f>
        <v/>
      </c>
      <c r="K1212" s="24"/>
      <c r="L1212" s="11"/>
    </row>
    <row r="1213" customFormat="false" ht="15" hidden="false" customHeight="false" outlineLevel="0" collapsed="false">
      <c r="A1213" s="22"/>
      <c r="B1213" s="11"/>
      <c r="C1213" s="24"/>
      <c r="D1213" s="31" t="str">
        <f aca="false">IF(C1213="","",IF(LEN(UPPER(SUBSTITUTE(SUBSTITUTE(SUBSTITUTE(SUBSTITUTE(TRIM(C1213),".",""),"/",""),"-","")," ","")))&lt;14,RIGHT(REPT("0",14)&amp;UPPER(SUBSTITUTE(SUBSTITUTE(SUBSTITUTE(SUBSTITUTE(TRIM(C1213),".",""),"/",""),"-","")," ","")),14),UPPER(SUBSTITUTE(SUBSTITUTE(SUBSTITUTE(SUBSTITUTE(TRIM(C1213),".",""),"/",""),"-","")," ",""))))</f>
        <v/>
      </c>
      <c r="E1213" s="25" t="str">
        <f aca="false">IF(D1213="","",IFERROR(INDEX(Empresas!$C:$C,MATCH(D1213,Empresas!$B:$B,0)),"cadastre o CNPJ em Empresas"))</f>
        <v/>
      </c>
      <c r="F1213" s="23"/>
      <c r="G1213" s="35"/>
      <c r="H1213" s="24"/>
      <c r="I1213" s="11"/>
      <c r="J1213" s="27" t="str">
        <f aca="false">IF(A1213="","",YEAR(A1213))</f>
        <v/>
      </c>
      <c r="K1213" s="24"/>
      <c r="L1213" s="11"/>
    </row>
    <row r="1214" customFormat="false" ht="15" hidden="false" customHeight="false" outlineLevel="0" collapsed="false">
      <c r="A1214" s="22"/>
      <c r="B1214" s="11"/>
      <c r="C1214" s="24"/>
      <c r="D1214" s="31" t="str">
        <f aca="false">IF(C1214="","",IF(LEN(UPPER(SUBSTITUTE(SUBSTITUTE(SUBSTITUTE(SUBSTITUTE(TRIM(C1214),".",""),"/",""),"-","")," ","")))&lt;14,RIGHT(REPT("0",14)&amp;UPPER(SUBSTITUTE(SUBSTITUTE(SUBSTITUTE(SUBSTITUTE(TRIM(C1214),".",""),"/",""),"-","")," ","")),14),UPPER(SUBSTITUTE(SUBSTITUTE(SUBSTITUTE(SUBSTITUTE(TRIM(C1214),".",""),"/",""),"-","")," ",""))))</f>
        <v/>
      </c>
      <c r="E1214" s="25" t="str">
        <f aca="false">IF(D1214="","",IFERROR(INDEX(Empresas!$C:$C,MATCH(D1214,Empresas!$B:$B,0)),"cadastre o CNPJ em Empresas"))</f>
        <v/>
      </c>
      <c r="F1214" s="23"/>
      <c r="G1214" s="35"/>
      <c r="H1214" s="24"/>
      <c r="I1214" s="11"/>
      <c r="J1214" s="27" t="str">
        <f aca="false">IF(A1214="","",YEAR(A1214))</f>
        <v/>
      </c>
      <c r="K1214" s="24"/>
      <c r="L1214" s="11"/>
    </row>
    <row r="1215" customFormat="false" ht="15" hidden="false" customHeight="false" outlineLevel="0" collapsed="false">
      <c r="A1215" s="22"/>
      <c r="B1215" s="11"/>
      <c r="C1215" s="24"/>
      <c r="D1215" s="31" t="str">
        <f aca="false">IF(C1215="","",IF(LEN(UPPER(SUBSTITUTE(SUBSTITUTE(SUBSTITUTE(SUBSTITUTE(TRIM(C1215),".",""),"/",""),"-","")," ","")))&lt;14,RIGHT(REPT("0",14)&amp;UPPER(SUBSTITUTE(SUBSTITUTE(SUBSTITUTE(SUBSTITUTE(TRIM(C1215),".",""),"/",""),"-","")," ","")),14),UPPER(SUBSTITUTE(SUBSTITUTE(SUBSTITUTE(SUBSTITUTE(TRIM(C1215),".",""),"/",""),"-","")," ",""))))</f>
        <v/>
      </c>
      <c r="E1215" s="25" t="str">
        <f aca="false">IF(D1215="","",IFERROR(INDEX(Empresas!$C:$C,MATCH(D1215,Empresas!$B:$B,0)),"cadastre o CNPJ em Empresas"))</f>
        <v/>
      </c>
      <c r="F1215" s="23"/>
      <c r="G1215" s="35"/>
      <c r="H1215" s="24"/>
      <c r="I1215" s="11"/>
      <c r="J1215" s="27" t="str">
        <f aca="false">IF(A1215="","",YEAR(A1215))</f>
        <v/>
      </c>
      <c r="K1215" s="24"/>
      <c r="L1215" s="11"/>
    </row>
    <row r="1216" customFormat="false" ht="15" hidden="false" customHeight="false" outlineLevel="0" collapsed="false">
      <c r="A1216" s="22"/>
      <c r="B1216" s="11"/>
      <c r="C1216" s="24"/>
      <c r="D1216" s="31" t="str">
        <f aca="false">IF(C1216="","",IF(LEN(UPPER(SUBSTITUTE(SUBSTITUTE(SUBSTITUTE(SUBSTITUTE(TRIM(C1216),".",""),"/",""),"-","")," ","")))&lt;14,RIGHT(REPT("0",14)&amp;UPPER(SUBSTITUTE(SUBSTITUTE(SUBSTITUTE(SUBSTITUTE(TRIM(C1216),".",""),"/",""),"-","")," ","")),14),UPPER(SUBSTITUTE(SUBSTITUTE(SUBSTITUTE(SUBSTITUTE(TRIM(C1216),".",""),"/",""),"-","")," ",""))))</f>
        <v/>
      </c>
      <c r="E1216" s="25" t="str">
        <f aca="false">IF(D1216="","",IFERROR(INDEX(Empresas!$C:$C,MATCH(D1216,Empresas!$B:$B,0)),"cadastre o CNPJ em Empresas"))</f>
        <v/>
      </c>
      <c r="F1216" s="23"/>
      <c r="G1216" s="35"/>
      <c r="H1216" s="24"/>
      <c r="I1216" s="11"/>
      <c r="J1216" s="27" t="str">
        <f aca="false">IF(A1216="","",YEAR(A1216))</f>
        <v/>
      </c>
      <c r="K1216" s="24"/>
      <c r="L1216" s="11"/>
    </row>
    <row r="1217" customFormat="false" ht="15" hidden="false" customHeight="false" outlineLevel="0" collapsed="false">
      <c r="A1217" s="22"/>
      <c r="B1217" s="11"/>
      <c r="C1217" s="24"/>
      <c r="D1217" s="31" t="str">
        <f aca="false">IF(C1217="","",IF(LEN(UPPER(SUBSTITUTE(SUBSTITUTE(SUBSTITUTE(SUBSTITUTE(TRIM(C1217),".",""),"/",""),"-","")," ","")))&lt;14,RIGHT(REPT("0",14)&amp;UPPER(SUBSTITUTE(SUBSTITUTE(SUBSTITUTE(SUBSTITUTE(TRIM(C1217),".",""),"/",""),"-","")," ","")),14),UPPER(SUBSTITUTE(SUBSTITUTE(SUBSTITUTE(SUBSTITUTE(TRIM(C1217),".",""),"/",""),"-","")," ",""))))</f>
        <v/>
      </c>
      <c r="E1217" s="25" t="str">
        <f aca="false">IF(D1217="","",IFERROR(INDEX(Empresas!$C:$C,MATCH(D1217,Empresas!$B:$B,0)),"cadastre o CNPJ em Empresas"))</f>
        <v/>
      </c>
      <c r="F1217" s="23"/>
      <c r="G1217" s="35"/>
      <c r="H1217" s="24"/>
      <c r="I1217" s="11"/>
      <c r="J1217" s="27" t="str">
        <f aca="false">IF(A1217="","",YEAR(A1217))</f>
        <v/>
      </c>
      <c r="K1217" s="24"/>
      <c r="L1217" s="11"/>
    </row>
    <row r="1218" customFormat="false" ht="15" hidden="false" customHeight="false" outlineLevel="0" collapsed="false">
      <c r="A1218" s="22"/>
      <c r="B1218" s="11"/>
      <c r="C1218" s="24"/>
      <c r="D1218" s="31" t="str">
        <f aca="false">IF(C1218="","",IF(LEN(UPPER(SUBSTITUTE(SUBSTITUTE(SUBSTITUTE(SUBSTITUTE(TRIM(C1218),".",""),"/",""),"-","")," ","")))&lt;14,RIGHT(REPT("0",14)&amp;UPPER(SUBSTITUTE(SUBSTITUTE(SUBSTITUTE(SUBSTITUTE(TRIM(C1218),".",""),"/",""),"-","")," ","")),14),UPPER(SUBSTITUTE(SUBSTITUTE(SUBSTITUTE(SUBSTITUTE(TRIM(C1218),".",""),"/",""),"-","")," ",""))))</f>
        <v/>
      </c>
      <c r="E1218" s="25" t="str">
        <f aca="false">IF(D1218="","",IFERROR(INDEX(Empresas!$C:$C,MATCH(D1218,Empresas!$B:$B,0)),"cadastre o CNPJ em Empresas"))</f>
        <v/>
      </c>
      <c r="F1218" s="23"/>
      <c r="G1218" s="35"/>
      <c r="H1218" s="24"/>
      <c r="I1218" s="11"/>
      <c r="J1218" s="27" t="str">
        <f aca="false">IF(A1218="","",YEAR(A1218))</f>
        <v/>
      </c>
      <c r="K1218" s="24"/>
      <c r="L1218" s="11"/>
    </row>
    <row r="1219" customFormat="false" ht="15" hidden="false" customHeight="false" outlineLevel="0" collapsed="false">
      <c r="A1219" s="22"/>
      <c r="B1219" s="11"/>
      <c r="C1219" s="24"/>
      <c r="D1219" s="31" t="str">
        <f aca="false">IF(C1219="","",IF(LEN(UPPER(SUBSTITUTE(SUBSTITUTE(SUBSTITUTE(SUBSTITUTE(TRIM(C1219),".",""),"/",""),"-","")," ","")))&lt;14,RIGHT(REPT("0",14)&amp;UPPER(SUBSTITUTE(SUBSTITUTE(SUBSTITUTE(SUBSTITUTE(TRIM(C1219),".",""),"/",""),"-","")," ","")),14),UPPER(SUBSTITUTE(SUBSTITUTE(SUBSTITUTE(SUBSTITUTE(TRIM(C1219),".",""),"/",""),"-","")," ",""))))</f>
        <v/>
      </c>
      <c r="E1219" s="25" t="str">
        <f aca="false">IF(D1219="","",IFERROR(INDEX(Empresas!$C:$C,MATCH(D1219,Empresas!$B:$B,0)),"cadastre o CNPJ em Empresas"))</f>
        <v/>
      </c>
      <c r="F1219" s="23"/>
      <c r="G1219" s="35"/>
      <c r="H1219" s="24"/>
      <c r="I1219" s="11"/>
      <c r="J1219" s="27" t="str">
        <f aca="false">IF(A1219="","",YEAR(A1219))</f>
        <v/>
      </c>
      <c r="K1219" s="24"/>
      <c r="L1219" s="11"/>
    </row>
    <row r="1220" customFormat="false" ht="15" hidden="false" customHeight="false" outlineLevel="0" collapsed="false">
      <c r="A1220" s="22"/>
      <c r="B1220" s="11"/>
      <c r="C1220" s="24"/>
      <c r="D1220" s="31" t="str">
        <f aca="false">IF(C1220="","",IF(LEN(UPPER(SUBSTITUTE(SUBSTITUTE(SUBSTITUTE(SUBSTITUTE(TRIM(C1220),".",""),"/",""),"-","")," ","")))&lt;14,RIGHT(REPT("0",14)&amp;UPPER(SUBSTITUTE(SUBSTITUTE(SUBSTITUTE(SUBSTITUTE(TRIM(C1220),".",""),"/",""),"-","")," ","")),14),UPPER(SUBSTITUTE(SUBSTITUTE(SUBSTITUTE(SUBSTITUTE(TRIM(C1220),".",""),"/",""),"-","")," ",""))))</f>
        <v/>
      </c>
      <c r="E1220" s="25" t="str">
        <f aca="false">IF(D1220="","",IFERROR(INDEX(Empresas!$C:$C,MATCH(D1220,Empresas!$B:$B,0)),"cadastre o CNPJ em Empresas"))</f>
        <v/>
      </c>
      <c r="F1220" s="23"/>
      <c r="G1220" s="35"/>
      <c r="H1220" s="24"/>
      <c r="I1220" s="11"/>
      <c r="J1220" s="27" t="str">
        <f aca="false">IF(A1220="","",YEAR(A1220))</f>
        <v/>
      </c>
      <c r="K1220" s="24"/>
      <c r="L1220" s="11"/>
    </row>
    <row r="1221" customFormat="false" ht="15" hidden="false" customHeight="false" outlineLevel="0" collapsed="false">
      <c r="A1221" s="22"/>
      <c r="B1221" s="11"/>
      <c r="C1221" s="24"/>
      <c r="D1221" s="31" t="str">
        <f aca="false">IF(C1221="","",IF(LEN(UPPER(SUBSTITUTE(SUBSTITUTE(SUBSTITUTE(SUBSTITUTE(TRIM(C1221),".",""),"/",""),"-","")," ","")))&lt;14,RIGHT(REPT("0",14)&amp;UPPER(SUBSTITUTE(SUBSTITUTE(SUBSTITUTE(SUBSTITUTE(TRIM(C1221),".",""),"/",""),"-","")," ","")),14),UPPER(SUBSTITUTE(SUBSTITUTE(SUBSTITUTE(SUBSTITUTE(TRIM(C1221),".",""),"/",""),"-","")," ",""))))</f>
        <v/>
      </c>
      <c r="E1221" s="25" t="str">
        <f aca="false">IF(D1221="","",IFERROR(INDEX(Empresas!$C:$C,MATCH(D1221,Empresas!$B:$B,0)),"cadastre o CNPJ em Empresas"))</f>
        <v/>
      </c>
      <c r="F1221" s="23"/>
      <c r="G1221" s="35"/>
      <c r="H1221" s="24"/>
      <c r="I1221" s="11"/>
      <c r="J1221" s="27" t="str">
        <f aca="false">IF(A1221="","",YEAR(A1221))</f>
        <v/>
      </c>
      <c r="K1221" s="24"/>
      <c r="L1221" s="11"/>
    </row>
    <row r="1222" customFormat="false" ht="15" hidden="false" customHeight="false" outlineLevel="0" collapsed="false">
      <c r="A1222" s="22"/>
      <c r="B1222" s="11"/>
      <c r="C1222" s="24"/>
      <c r="D1222" s="31" t="str">
        <f aca="false">IF(C1222="","",IF(LEN(UPPER(SUBSTITUTE(SUBSTITUTE(SUBSTITUTE(SUBSTITUTE(TRIM(C1222),".",""),"/",""),"-","")," ","")))&lt;14,RIGHT(REPT("0",14)&amp;UPPER(SUBSTITUTE(SUBSTITUTE(SUBSTITUTE(SUBSTITUTE(TRIM(C1222),".",""),"/",""),"-","")," ","")),14),UPPER(SUBSTITUTE(SUBSTITUTE(SUBSTITUTE(SUBSTITUTE(TRIM(C1222),".",""),"/",""),"-","")," ",""))))</f>
        <v/>
      </c>
      <c r="E1222" s="25" t="str">
        <f aca="false">IF(D1222="","",IFERROR(INDEX(Empresas!$C:$C,MATCH(D1222,Empresas!$B:$B,0)),"cadastre o CNPJ em Empresas"))</f>
        <v/>
      </c>
      <c r="F1222" s="23"/>
      <c r="G1222" s="35"/>
      <c r="H1222" s="24"/>
      <c r="I1222" s="11"/>
      <c r="J1222" s="27" t="str">
        <f aca="false">IF(A1222="","",YEAR(A1222))</f>
        <v/>
      </c>
      <c r="K1222" s="24"/>
      <c r="L1222" s="11"/>
    </row>
    <row r="1223" customFormat="false" ht="15" hidden="false" customHeight="false" outlineLevel="0" collapsed="false">
      <c r="A1223" s="22"/>
      <c r="B1223" s="11"/>
      <c r="C1223" s="24"/>
      <c r="D1223" s="31" t="str">
        <f aca="false">IF(C1223="","",IF(LEN(UPPER(SUBSTITUTE(SUBSTITUTE(SUBSTITUTE(SUBSTITUTE(TRIM(C1223),".",""),"/",""),"-","")," ","")))&lt;14,RIGHT(REPT("0",14)&amp;UPPER(SUBSTITUTE(SUBSTITUTE(SUBSTITUTE(SUBSTITUTE(TRIM(C1223),".",""),"/",""),"-","")," ","")),14),UPPER(SUBSTITUTE(SUBSTITUTE(SUBSTITUTE(SUBSTITUTE(TRIM(C1223),".",""),"/",""),"-","")," ",""))))</f>
        <v/>
      </c>
      <c r="E1223" s="25" t="str">
        <f aca="false">IF(D1223="","",IFERROR(INDEX(Empresas!$C:$C,MATCH(D1223,Empresas!$B:$B,0)),"cadastre o CNPJ em Empresas"))</f>
        <v/>
      </c>
      <c r="F1223" s="23"/>
      <c r="G1223" s="35"/>
      <c r="H1223" s="24"/>
      <c r="I1223" s="11"/>
      <c r="J1223" s="27" t="str">
        <f aca="false">IF(A1223="","",YEAR(A1223))</f>
        <v/>
      </c>
      <c r="K1223" s="24"/>
      <c r="L1223" s="11"/>
    </row>
    <row r="1224" customFormat="false" ht="15" hidden="false" customHeight="false" outlineLevel="0" collapsed="false">
      <c r="A1224" s="22"/>
      <c r="B1224" s="11"/>
      <c r="C1224" s="24"/>
      <c r="D1224" s="31" t="str">
        <f aca="false">IF(C1224="","",IF(LEN(UPPER(SUBSTITUTE(SUBSTITUTE(SUBSTITUTE(SUBSTITUTE(TRIM(C1224),".",""),"/",""),"-","")," ","")))&lt;14,RIGHT(REPT("0",14)&amp;UPPER(SUBSTITUTE(SUBSTITUTE(SUBSTITUTE(SUBSTITUTE(TRIM(C1224),".",""),"/",""),"-","")," ","")),14),UPPER(SUBSTITUTE(SUBSTITUTE(SUBSTITUTE(SUBSTITUTE(TRIM(C1224),".",""),"/",""),"-","")," ",""))))</f>
        <v/>
      </c>
      <c r="E1224" s="25" t="str">
        <f aca="false">IF(D1224="","",IFERROR(INDEX(Empresas!$C:$C,MATCH(D1224,Empresas!$B:$B,0)),"cadastre o CNPJ em Empresas"))</f>
        <v/>
      </c>
      <c r="F1224" s="23"/>
      <c r="G1224" s="35"/>
      <c r="H1224" s="24"/>
      <c r="I1224" s="11"/>
      <c r="J1224" s="27" t="str">
        <f aca="false">IF(A1224="","",YEAR(A1224))</f>
        <v/>
      </c>
      <c r="K1224" s="24"/>
      <c r="L1224" s="11"/>
    </row>
    <row r="1225" customFormat="false" ht="15" hidden="false" customHeight="false" outlineLevel="0" collapsed="false">
      <c r="A1225" s="22"/>
      <c r="B1225" s="11"/>
      <c r="C1225" s="24"/>
      <c r="D1225" s="31" t="str">
        <f aca="false">IF(C1225="","",IF(LEN(UPPER(SUBSTITUTE(SUBSTITUTE(SUBSTITUTE(SUBSTITUTE(TRIM(C1225),".",""),"/",""),"-","")," ","")))&lt;14,RIGHT(REPT("0",14)&amp;UPPER(SUBSTITUTE(SUBSTITUTE(SUBSTITUTE(SUBSTITUTE(TRIM(C1225),".",""),"/",""),"-","")," ","")),14),UPPER(SUBSTITUTE(SUBSTITUTE(SUBSTITUTE(SUBSTITUTE(TRIM(C1225),".",""),"/",""),"-","")," ",""))))</f>
        <v/>
      </c>
      <c r="E1225" s="25" t="str">
        <f aca="false">IF(D1225="","",IFERROR(INDEX(Empresas!$C:$C,MATCH(D1225,Empresas!$B:$B,0)),"cadastre o CNPJ em Empresas"))</f>
        <v/>
      </c>
      <c r="F1225" s="23"/>
      <c r="G1225" s="35"/>
      <c r="H1225" s="24"/>
      <c r="I1225" s="11"/>
      <c r="J1225" s="27" t="str">
        <f aca="false">IF(A1225="","",YEAR(A1225))</f>
        <v/>
      </c>
      <c r="K1225" s="24"/>
      <c r="L1225" s="11"/>
    </row>
    <row r="1226" customFormat="false" ht="15" hidden="false" customHeight="false" outlineLevel="0" collapsed="false">
      <c r="A1226" s="22"/>
      <c r="B1226" s="11"/>
      <c r="C1226" s="24"/>
      <c r="D1226" s="31" t="str">
        <f aca="false">IF(C1226="","",IF(LEN(UPPER(SUBSTITUTE(SUBSTITUTE(SUBSTITUTE(SUBSTITUTE(TRIM(C1226),".",""),"/",""),"-","")," ","")))&lt;14,RIGHT(REPT("0",14)&amp;UPPER(SUBSTITUTE(SUBSTITUTE(SUBSTITUTE(SUBSTITUTE(TRIM(C1226),".",""),"/",""),"-","")," ","")),14),UPPER(SUBSTITUTE(SUBSTITUTE(SUBSTITUTE(SUBSTITUTE(TRIM(C1226),".",""),"/",""),"-","")," ",""))))</f>
        <v/>
      </c>
      <c r="E1226" s="25" t="str">
        <f aca="false">IF(D1226="","",IFERROR(INDEX(Empresas!$C:$C,MATCH(D1226,Empresas!$B:$B,0)),"cadastre o CNPJ em Empresas"))</f>
        <v/>
      </c>
      <c r="F1226" s="23"/>
      <c r="G1226" s="35"/>
      <c r="H1226" s="24"/>
      <c r="I1226" s="11"/>
      <c r="J1226" s="27" t="str">
        <f aca="false">IF(A1226="","",YEAR(A1226))</f>
        <v/>
      </c>
      <c r="K1226" s="24"/>
      <c r="L1226" s="11"/>
    </row>
    <row r="1227" customFormat="false" ht="15" hidden="false" customHeight="false" outlineLevel="0" collapsed="false">
      <c r="A1227" s="22"/>
      <c r="B1227" s="11"/>
      <c r="C1227" s="24"/>
      <c r="D1227" s="31" t="str">
        <f aca="false">IF(C1227="","",IF(LEN(UPPER(SUBSTITUTE(SUBSTITUTE(SUBSTITUTE(SUBSTITUTE(TRIM(C1227),".",""),"/",""),"-","")," ","")))&lt;14,RIGHT(REPT("0",14)&amp;UPPER(SUBSTITUTE(SUBSTITUTE(SUBSTITUTE(SUBSTITUTE(TRIM(C1227),".",""),"/",""),"-","")," ","")),14),UPPER(SUBSTITUTE(SUBSTITUTE(SUBSTITUTE(SUBSTITUTE(TRIM(C1227),".",""),"/",""),"-","")," ",""))))</f>
        <v/>
      </c>
      <c r="E1227" s="25" t="str">
        <f aca="false">IF(D1227="","",IFERROR(INDEX(Empresas!$C:$C,MATCH(D1227,Empresas!$B:$B,0)),"cadastre o CNPJ em Empresas"))</f>
        <v/>
      </c>
      <c r="F1227" s="23"/>
      <c r="G1227" s="35"/>
      <c r="H1227" s="24"/>
      <c r="I1227" s="11"/>
      <c r="J1227" s="27" t="str">
        <f aca="false">IF(A1227="","",YEAR(A1227))</f>
        <v/>
      </c>
      <c r="K1227" s="24"/>
      <c r="L1227" s="11"/>
    </row>
    <row r="1228" customFormat="false" ht="15" hidden="false" customHeight="false" outlineLevel="0" collapsed="false">
      <c r="A1228" s="22"/>
      <c r="B1228" s="11"/>
      <c r="C1228" s="24"/>
      <c r="D1228" s="31" t="str">
        <f aca="false">IF(C1228="","",IF(LEN(UPPER(SUBSTITUTE(SUBSTITUTE(SUBSTITUTE(SUBSTITUTE(TRIM(C1228),".",""),"/",""),"-","")," ","")))&lt;14,RIGHT(REPT("0",14)&amp;UPPER(SUBSTITUTE(SUBSTITUTE(SUBSTITUTE(SUBSTITUTE(TRIM(C1228),".",""),"/",""),"-","")," ","")),14),UPPER(SUBSTITUTE(SUBSTITUTE(SUBSTITUTE(SUBSTITUTE(TRIM(C1228),".",""),"/",""),"-","")," ",""))))</f>
        <v/>
      </c>
      <c r="E1228" s="25" t="str">
        <f aca="false">IF(D1228="","",IFERROR(INDEX(Empresas!$C:$C,MATCH(D1228,Empresas!$B:$B,0)),"cadastre o CNPJ em Empresas"))</f>
        <v/>
      </c>
      <c r="F1228" s="23"/>
      <c r="G1228" s="35"/>
      <c r="H1228" s="24"/>
      <c r="I1228" s="11"/>
      <c r="J1228" s="27" t="str">
        <f aca="false">IF(A1228="","",YEAR(A1228))</f>
        <v/>
      </c>
      <c r="K1228" s="24"/>
      <c r="L1228" s="11"/>
    </row>
    <row r="1229" customFormat="false" ht="15" hidden="false" customHeight="false" outlineLevel="0" collapsed="false">
      <c r="A1229" s="22"/>
      <c r="B1229" s="11"/>
      <c r="C1229" s="24"/>
      <c r="D1229" s="31" t="str">
        <f aca="false">IF(C1229="","",IF(LEN(UPPER(SUBSTITUTE(SUBSTITUTE(SUBSTITUTE(SUBSTITUTE(TRIM(C1229),".",""),"/",""),"-","")," ","")))&lt;14,RIGHT(REPT("0",14)&amp;UPPER(SUBSTITUTE(SUBSTITUTE(SUBSTITUTE(SUBSTITUTE(TRIM(C1229),".",""),"/",""),"-","")," ","")),14),UPPER(SUBSTITUTE(SUBSTITUTE(SUBSTITUTE(SUBSTITUTE(TRIM(C1229),".",""),"/",""),"-","")," ",""))))</f>
        <v/>
      </c>
      <c r="E1229" s="25" t="str">
        <f aca="false">IF(D1229="","",IFERROR(INDEX(Empresas!$C:$C,MATCH(D1229,Empresas!$B:$B,0)),"cadastre o CNPJ em Empresas"))</f>
        <v/>
      </c>
      <c r="F1229" s="23"/>
      <c r="G1229" s="35"/>
      <c r="H1229" s="24"/>
      <c r="I1229" s="11"/>
      <c r="J1229" s="27" t="str">
        <f aca="false">IF(A1229="","",YEAR(A1229))</f>
        <v/>
      </c>
      <c r="K1229" s="24"/>
      <c r="L1229" s="11"/>
    </row>
    <row r="1230" customFormat="false" ht="15" hidden="false" customHeight="false" outlineLevel="0" collapsed="false">
      <c r="A1230" s="22"/>
      <c r="B1230" s="11"/>
      <c r="C1230" s="24"/>
      <c r="D1230" s="31" t="str">
        <f aca="false">IF(C1230="","",IF(LEN(UPPER(SUBSTITUTE(SUBSTITUTE(SUBSTITUTE(SUBSTITUTE(TRIM(C1230),".",""),"/",""),"-","")," ","")))&lt;14,RIGHT(REPT("0",14)&amp;UPPER(SUBSTITUTE(SUBSTITUTE(SUBSTITUTE(SUBSTITUTE(TRIM(C1230),".",""),"/",""),"-","")," ","")),14),UPPER(SUBSTITUTE(SUBSTITUTE(SUBSTITUTE(SUBSTITUTE(TRIM(C1230),".",""),"/",""),"-","")," ",""))))</f>
        <v/>
      </c>
      <c r="E1230" s="25" t="str">
        <f aca="false">IF(D1230="","",IFERROR(INDEX(Empresas!$C:$C,MATCH(D1230,Empresas!$B:$B,0)),"cadastre o CNPJ em Empresas"))</f>
        <v/>
      </c>
      <c r="F1230" s="23"/>
      <c r="G1230" s="35"/>
      <c r="H1230" s="24"/>
      <c r="I1230" s="11"/>
      <c r="J1230" s="27" t="str">
        <f aca="false">IF(A1230="","",YEAR(A1230))</f>
        <v/>
      </c>
      <c r="K1230" s="24"/>
      <c r="L1230" s="11"/>
    </row>
    <row r="1231" customFormat="false" ht="15" hidden="false" customHeight="false" outlineLevel="0" collapsed="false">
      <c r="A1231" s="22"/>
      <c r="B1231" s="11"/>
      <c r="C1231" s="24"/>
      <c r="D1231" s="31" t="str">
        <f aca="false">IF(C1231="","",IF(LEN(UPPER(SUBSTITUTE(SUBSTITUTE(SUBSTITUTE(SUBSTITUTE(TRIM(C1231),".",""),"/",""),"-","")," ","")))&lt;14,RIGHT(REPT("0",14)&amp;UPPER(SUBSTITUTE(SUBSTITUTE(SUBSTITUTE(SUBSTITUTE(TRIM(C1231),".",""),"/",""),"-","")," ","")),14),UPPER(SUBSTITUTE(SUBSTITUTE(SUBSTITUTE(SUBSTITUTE(TRIM(C1231),".",""),"/",""),"-","")," ",""))))</f>
        <v/>
      </c>
      <c r="E1231" s="25" t="str">
        <f aca="false">IF(D1231="","",IFERROR(INDEX(Empresas!$C:$C,MATCH(D1231,Empresas!$B:$B,0)),"cadastre o CNPJ em Empresas"))</f>
        <v/>
      </c>
      <c r="F1231" s="23"/>
      <c r="G1231" s="35"/>
      <c r="H1231" s="24"/>
      <c r="I1231" s="11"/>
      <c r="J1231" s="27" t="str">
        <f aca="false">IF(A1231="","",YEAR(A1231))</f>
        <v/>
      </c>
      <c r="K1231" s="24"/>
      <c r="L1231" s="11"/>
    </row>
    <row r="1232" customFormat="false" ht="15" hidden="false" customHeight="false" outlineLevel="0" collapsed="false">
      <c r="A1232" s="22"/>
      <c r="B1232" s="11"/>
      <c r="C1232" s="24"/>
      <c r="D1232" s="31" t="str">
        <f aca="false">IF(C1232="","",IF(LEN(UPPER(SUBSTITUTE(SUBSTITUTE(SUBSTITUTE(SUBSTITUTE(TRIM(C1232),".",""),"/",""),"-","")," ","")))&lt;14,RIGHT(REPT("0",14)&amp;UPPER(SUBSTITUTE(SUBSTITUTE(SUBSTITUTE(SUBSTITUTE(TRIM(C1232),".",""),"/",""),"-","")," ","")),14),UPPER(SUBSTITUTE(SUBSTITUTE(SUBSTITUTE(SUBSTITUTE(TRIM(C1232),".",""),"/",""),"-","")," ",""))))</f>
        <v/>
      </c>
      <c r="E1232" s="25" t="str">
        <f aca="false">IF(D1232="","",IFERROR(INDEX(Empresas!$C:$C,MATCH(D1232,Empresas!$B:$B,0)),"cadastre o CNPJ em Empresas"))</f>
        <v/>
      </c>
      <c r="F1232" s="23"/>
      <c r="G1232" s="35"/>
      <c r="H1232" s="24"/>
      <c r="I1232" s="11"/>
      <c r="J1232" s="27" t="str">
        <f aca="false">IF(A1232="","",YEAR(A1232))</f>
        <v/>
      </c>
      <c r="K1232" s="24"/>
      <c r="L1232" s="11"/>
    </row>
    <row r="1233" customFormat="false" ht="15" hidden="false" customHeight="false" outlineLevel="0" collapsed="false">
      <c r="A1233" s="22"/>
      <c r="B1233" s="11"/>
      <c r="C1233" s="24"/>
      <c r="D1233" s="31" t="str">
        <f aca="false">IF(C1233="","",IF(LEN(UPPER(SUBSTITUTE(SUBSTITUTE(SUBSTITUTE(SUBSTITUTE(TRIM(C1233),".",""),"/",""),"-","")," ","")))&lt;14,RIGHT(REPT("0",14)&amp;UPPER(SUBSTITUTE(SUBSTITUTE(SUBSTITUTE(SUBSTITUTE(TRIM(C1233),".",""),"/",""),"-","")," ","")),14),UPPER(SUBSTITUTE(SUBSTITUTE(SUBSTITUTE(SUBSTITUTE(TRIM(C1233),".",""),"/",""),"-","")," ",""))))</f>
        <v/>
      </c>
      <c r="E1233" s="25" t="str">
        <f aca="false">IF(D1233="","",IFERROR(INDEX(Empresas!$C:$C,MATCH(D1233,Empresas!$B:$B,0)),"cadastre o CNPJ em Empresas"))</f>
        <v/>
      </c>
      <c r="F1233" s="23"/>
      <c r="G1233" s="35"/>
      <c r="H1233" s="24"/>
      <c r="I1233" s="11"/>
      <c r="J1233" s="27" t="str">
        <f aca="false">IF(A1233="","",YEAR(A1233))</f>
        <v/>
      </c>
      <c r="K1233" s="24"/>
      <c r="L1233" s="11"/>
    </row>
    <row r="1234" customFormat="false" ht="15" hidden="false" customHeight="false" outlineLevel="0" collapsed="false">
      <c r="A1234" s="22"/>
      <c r="B1234" s="11"/>
      <c r="C1234" s="24"/>
      <c r="D1234" s="31" t="str">
        <f aca="false">IF(C1234="","",IF(LEN(UPPER(SUBSTITUTE(SUBSTITUTE(SUBSTITUTE(SUBSTITUTE(TRIM(C1234),".",""),"/",""),"-","")," ","")))&lt;14,RIGHT(REPT("0",14)&amp;UPPER(SUBSTITUTE(SUBSTITUTE(SUBSTITUTE(SUBSTITUTE(TRIM(C1234),".",""),"/",""),"-","")," ","")),14),UPPER(SUBSTITUTE(SUBSTITUTE(SUBSTITUTE(SUBSTITUTE(TRIM(C1234),".",""),"/",""),"-","")," ",""))))</f>
        <v/>
      </c>
      <c r="E1234" s="25" t="str">
        <f aca="false">IF(D1234="","",IFERROR(INDEX(Empresas!$C:$C,MATCH(D1234,Empresas!$B:$B,0)),"cadastre o CNPJ em Empresas"))</f>
        <v/>
      </c>
      <c r="F1234" s="23"/>
      <c r="G1234" s="35"/>
      <c r="H1234" s="24"/>
      <c r="I1234" s="11"/>
      <c r="J1234" s="27" t="str">
        <f aca="false">IF(A1234="","",YEAR(A1234))</f>
        <v/>
      </c>
      <c r="K1234" s="24"/>
      <c r="L1234" s="11"/>
    </row>
    <row r="1235" customFormat="false" ht="15" hidden="false" customHeight="false" outlineLevel="0" collapsed="false">
      <c r="A1235" s="22"/>
      <c r="B1235" s="11"/>
      <c r="C1235" s="24"/>
      <c r="D1235" s="31" t="str">
        <f aca="false">IF(C1235="","",IF(LEN(UPPER(SUBSTITUTE(SUBSTITUTE(SUBSTITUTE(SUBSTITUTE(TRIM(C1235),".",""),"/",""),"-","")," ","")))&lt;14,RIGHT(REPT("0",14)&amp;UPPER(SUBSTITUTE(SUBSTITUTE(SUBSTITUTE(SUBSTITUTE(TRIM(C1235),".",""),"/",""),"-","")," ","")),14),UPPER(SUBSTITUTE(SUBSTITUTE(SUBSTITUTE(SUBSTITUTE(TRIM(C1235),".",""),"/",""),"-","")," ",""))))</f>
        <v/>
      </c>
      <c r="E1235" s="25" t="str">
        <f aca="false">IF(D1235="","",IFERROR(INDEX(Empresas!$C:$C,MATCH(D1235,Empresas!$B:$B,0)),"cadastre o CNPJ em Empresas"))</f>
        <v/>
      </c>
      <c r="F1235" s="23"/>
      <c r="G1235" s="35"/>
      <c r="H1235" s="24"/>
      <c r="I1235" s="11"/>
      <c r="J1235" s="27" t="str">
        <f aca="false">IF(A1235="","",YEAR(A1235))</f>
        <v/>
      </c>
      <c r="K1235" s="24"/>
      <c r="L1235" s="11"/>
    </row>
    <row r="1236" customFormat="false" ht="15" hidden="false" customHeight="false" outlineLevel="0" collapsed="false">
      <c r="A1236" s="22"/>
      <c r="B1236" s="11"/>
      <c r="C1236" s="24"/>
      <c r="D1236" s="31" t="str">
        <f aca="false">IF(C1236="","",IF(LEN(UPPER(SUBSTITUTE(SUBSTITUTE(SUBSTITUTE(SUBSTITUTE(TRIM(C1236),".",""),"/",""),"-","")," ","")))&lt;14,RIGHT(REPT("0",14)&amp;UPPER(SUBSTITUTE(SUBSTITUTE(SUBSTITUTE(SUBSTITUTE(TRIM(C1236),".",""),"/",""),"-","")," ","")),14),UPPER(SUBSTITUTE(SUBSTITUTE(SUBSTITUTE(SUBSTITUTE(TRIM(C1236),".",""),"/",""),"-","")," ",""))))</f>
        <v/>
      </c>
      <c r="E1236" s="25" t="str">
        <f aca="false">IF(D1236="","",IFERROR(INDEX(Empresas!$C:$C,MATCH(D1236,Empresas!$B:$B,0)),"cadastre o CNPJ em Empresas"))</f>
        <v/>
      </c>
      <c r="F1236" s="23"/>
      <c r="G1236" s="35"/>
      <c r="H1236" s="24"/>
      <c r="I1236" s="11"/>
      <c r="J1236" s="27" t="str">
        <f aca="false">IF(A1236="","",YEAR(A1236))</f>
        <v/>
      </c>
      <c r="K1236" s="24"/>
      <c r="L1236" s="11"/>
    </row>
    <row r="1237" customFormat="false" ht="15" hidden="false" customHeight="false" outlineLevel="0" collapsed="false">
      <c r="A1237" s="22"/>
      <c r="B1237" s="11"/>
      <c r="C1237" s="24"/>
      <c r="D1237" s="31" t="str">
        <f aca="false">IF(C1237="","",IF(LEN(UPPER(SUBSTITUTE(SUBSTITUTE(SUBSTITUTE(SUBSTITUTE(TRIM(C1237),".",""),"/",""),"-","")," ","")))&lt;14,RIGHT(REPT("0",14)&amp;UPPER(SUBSTITUTE(SUBSTITUTE(SUBSTITUTE(SUBSTITUTE(TRIM(C1237),".",""),"/",""),"-","")," ","")),14),UPPER(SUBSTITUTE(SUBSTITUTE(SUBSTITUTE(SUBSTITUTE(TRIM(C1237),".",""),"/",""),"-","")," ",""))))</f>
        <v/>
      </c>
      <c r="E1237" s="25" t="str">
        <f aca="false">IF(D1237="","",IFERROR(INDEX(Empresas!$C:$C,MATCH(D1237,Empresas!$B:$B,0)),"cadastre o CNPJ em Empresas"))</f>
        <v/>
      </c>
      <c r="F1237" s="23"/>
      <c r="G1237" s="35"/>
      <c r="H1237" s="24"/>
      <c r="I1237" s="11"/>
      <c r="J1237" s="27" t="str">
        <f aca="false">IF(A1237="","",YEAR(A1237))</f>
        <v/>
      </c>
      <c r="K1237" s="24"/>
      <c r="L1237" s="11"/>
    </row>
    <row r="1238" customFormat="false" ht="15" hidden="false" customHeight="false" outlineLevel="0" collapsed="false">
      <c r="A1238" s="22"/>
      <c r="B1238" s="11"/>
      <c r="C1238" s="24"/>
      <c r="D1238" s="31" t="str">
        <f aca="false">IF(C1238="","",IF(LEN(UPPER(SUBSTITUTE(SUBSTITUTE(SUBSTITUTE(SUBSTITUTE(TRIM(C1238),".",""),"/",""),"-","")," ","")))&lt;14,RIGHT(REPT("0",14)&amp;UPPER(SUBSTITUTE(SUBSTITUTE(SUBSTITUTE(SUBSTITUTE(TRIM(C1238),".",""),"/",""),"-","")," ","")),14),UPPER(SUBSTITUTE(SUBSTITUTE(SUBSTITUTE(SUBSTITUTE(TRIM(C1238),".",""),"/",""),"-","")," ",""))))</f>
        <v/>
      </c>
      <c r="E1238" s="25" t="str">
        <f aca="false">IF(D1238="","",IFERROR(INDEX(Empresas!$C:$C,MATCH(D1238,Empresas!$B:$B,0)),"cadastre o CNPJ em Empresas"))</f>
        <v/>
      </c>
      <c r="F1238" s="23"/>
      <c r="G1238" s="35"/>
      <c r="H1238" s="24"/>
      <c r="I1238" s="11"/>
      <c r="J1238" s="27" t="str">
        <f aca="false">IF(A1238="","",YEAR(A1238))</f>
        <v/>
      </c>
      <c r="K1238" s="24"/>
      <c r="L1238" s="11"/>
    </row>
    <row r="1239" customFormat="false" ht="15" hidden="false" customHeight="false" outlineLevel="0" collapsed="false">
      <c r="A1239" s="22"/>
      <c r="B1239" s="11"/>
      <c r="C1239" s="24"/>
      <c r="D1239" s="31" t="str">
        <f aca="false">IF(C1239="","",IF(LEN(UPPER(SUBSTITUTE(SUBSTITUTE(SUBSTITUTE(SUBSTITUTE(TRIM(C1239),".",""),"/",""),"-","")," ","")))&lt;14,RIGHT(REPT("0",14)&amp;UPPER(SUBSTITUTE(SUBSTITUTE(SUBSTITUTE(SUBSTITUTE(TRIM(C1239),".",""),"/",""),"-","")," ","")),14),UPPER(SUBSTITUTE(SUBSTITUTE(SUBSTITUTE(SUBSTITUTE(TRIM(C1239),".",""),"/",""),"-","")," ",""))))</f>
        <v/>
      </c>
      <c r="E1239" s="25" t="str">
        <f aca="false">IF(D1239="","",IFERROR(INDEX(Empresas!$C:$C,MATCH(D1239,Empresas!$B:$B,0)),"cadastre o CNPJ em Empresas"))</f>
        <v/>
      </c>
      <c r="F1239" s="23"/>
      <c r="G1239" s="35"/>
      <c r="H1239" s="24"/>
      <c r="I1239" s="11"/>
      <c r="J1239" s="27" t="str">
        <f aca="false">IF(A1239="","",YEAR(A1239))</f>
        <v/>
      </c>
      <c r="K1239" s="24"/>
      <c r="L1239" s="11"/>
    </row>
    <row r="1240" customFormat="false" ht="15" hidden="false" customHeight="false" outlineLevel="0" collapsed="false">
      <c r="A1240" s="22"/>
      <c r="B1240" s="11"/>
      <c r="C1240" s="24"/>
      <c r="D1240" s="31" t="str">
        <f aca="false">IF(C1240="","",IF(LEN(UPPER(SUBSTITUTE(SUBSTITUTE(SUBSTITUTE(SUBSTITUTE(TRIM(C1240),".",""),"/",""),"-","")," ","")))&lt;14,RIGHT(REPT("0",14)&amp;UPPER(SUBSTITUTE(SUBSTITUTE(SUBSTITUTE(SUBSTITUTE(TRIM(C1240),".",""),"/",""),"-","")," ","")),14),UPPER(SUBSTITUTE(SUBSTITUTE(SUBSTITUTE(SUBSTITUTE(TRIM(C1240),".",""),"/",""),"-","")," ",""))))</f>
        <v/>
      </c>
      <c r="E1240" s="25" t="str">
        <f aca="false">IF(D1240="","",IFERROR(INDEX(Empresas!$C:$C,MATCH(D1240,Empresas!$B:$B,0)),"cadastre o CNPJ em Empresas"))</f>
        <v/>
      </c>
      <c r="F1240" s="23"/>
      <c r="G1240" s="35"/>
      <c r="H1240" s="24"/>
      <c r="I1240" s="11"/>
      <c r="J1240" s="27" t="str">
        <f aca="false">IF(A1240="","",YEAR(A1240))</f>
        <v/>
      </c>
      <c r="K1240" s="24"/>
      <c r="L1240" s="11"/>
    </row>
    <row r="1241" customFormat="false" ht="15" hidden="false" customHeight="false" outlineLevel="0" collapsed="false">
      <c r="A1241" s="22"/>
      <c r="B1241" s="11"/>
      <c r="C1241" s="24"/>
      <c r="D1241" s="31" t="str">
        <f aca="false">IF(C1241="","",IF(LEN(UPPER(SUBSTITUTE(SUBSTITUTE(SUBSTITUTE(SUBSTITUTE(TRIM(C1241),".",""),"/",""),"-","")," ","")))&lt;14,RIGHT(REPT("0",14)&amp;UPPER(SUBSTITUTE(SUBSTITUTE(SUBSTITUTE(SUBSTITUTE(TRIM(C1241),".",""),"/",""),"-","")," ","")),14),UPPER(SUBSTITUTE(SUBSTITUTE(SUBSTITUTE(SUBSTITUTE(TRIM(C1241),".",""),"/",""),"-","")," ",""))))</f>
        <v/>
      </c>
      <c r="E1241" s="25" t="str">
        <f aca="false">IF(D1241="","",IFERROR(INDEX(Empresas!$C:$C,MATCH(D1241,Empresas!$B:$B,0)),"cadastre o CNPJ em Empresas"))</f>
        <v/>
      </c>
      <c r="F1241" s="23"/>
      <c r="G1241" s="35"/>
      <c r="H1241" s="24"/>
      <c r="I1241" s="11"/>
      <c r="J1241" s="27" t="str">
        <f aca="false">IF(A1241="","",YEAR(A1241))</f>
        <v/>
      </c>
      <c r="K1241" s="24"/>
      <c r="L1241" s="11"/>
    </row>
    <row r="1242" customFormat="false" ht="15" hidden="false" customHeight="false" outlineLevel="0" collapsed="false">
      <c r="A1242" s="22"/>
      <c r="B1242" s="11"/>
      <c r="C1242" s="24"/>
      <c r="D1242" s="31" t="str">
        <f aca="false">IF(C1242="","",IF(LEN(UPPER(SUBSTITUTE(SUBSTITUTE(SUBSTITUTE(SUBSTITUTE(TRIM(C1242),".",""),"/",""),"-","")," ","")))&lt;14,RIGHT(REPT("0",14)&amp;UPPER(SUBSTITUTE(SUBSTITUTE(SUBSTITUTE(SUBSTITUTE(TRIM(C1242),".",""),"/",""),"-","")," ","")),14),UPPER(SUBSTITUTE(SUBSTITUTE(SUBSTITUTE(SUBSTITUTE(TRIM(C1242),".",""),"/",""),"-","")," ",""))))</f>
        <v/>
      </c>
      <c r="E1242" s="25" t="str">
        <f aca="false">IF(D1242="","",IFERROR(INDEX(Empresas!$C:$C,MATCH(D1242,Empresas!$B:$B,0)),"cadastre o CNPJ em Empresas"))</f>
        <v/>
      </c>
      <c r="F1242" s="23"/>
      <c r="G1242" s="35"/>
      <c r="H1242" s="24"/>
      <c r="I1242" s="11"/>
      <c r="J1242" s="27" t="str">
        <f aca="false">IF(A1242="","",YEAR(A1242))</f>
        <v/>
      </c>
      <c r="K1242" s="24"/>
      <c r="L1242" s="11"/>
    </row>
    <row r="1243" customFormat="false" ht="15" hidden="false" customHeight="false" outlineLevel="0" collapsed="false">
      <c r="A1243" s="22"/>
      <c r="B1243" s="11"/>
      <c r="C1243" s="24"/>
      <c r="D1243" s="31" t="str">
        <f aca="false">IF(C1243="","",IF(LEN(UPPER(SUBSTITUTE(SUBSTITUTE(SUBSTITUTE(SUBSTITUTE(TRIM(C1243),".",""),"/",""),"-","")," ","")))&lt;14,RIGHT(REPT("0",14)&amp;UPPER(SUBSTITUTE(SUBSTITUTE(SUBSTITUTE(SUBSTITUTE(TRIM(C1243),".",""),"/",""),"-","")," ","")),14),UPPER(SUBSTITUTE(SUBSTITUTE(SUBSTITUTE(SUBSTITUTE(TRIM(C1243),".",""),"/",""),"-","")," ",""))))</f>
        <v/>
      </c>
      <c r="E1243" s="25" t="str">
        <f aca="false">IF(D1243="","",IFERROR(INDEX(Empresas!$C:$C,MATCH(D1243,Empresas!$B:$B,0)),"cadastre o CNPJ em Empresas"))</f>
        <v/>
      </c>
      <c r="F1243" s="23"/>
      <c r="G1243" s="35"/>
      <c r="H1243" s="24"/>
      <c r="I1243" s="11"/>
      <c r="J1243" s="27" t="str">
        <f aca="false">IF(A1243="","",YEAR(A1243))</f>
        <v/>
      </c>
      <c r="K1243" s="24"/>
      <c r="L1243" s="11"/>
    </row>
    <row r="1244" customFormat="false" ht="15" hidden="false" customHeight="false" outlineLevel="0" collapsed="false">
      <c r="A1244" s="22"/>
      <c r="B1244" s="11"/>
      <c r="C1244" s="24"/>
      <c r="D1244" s="31" t="str">
        <f aca="false">IF(C1244="","",IF(LEN(UPPER(SUBSTITUTE(SUBSTITUTE(SUBSTITUTE(SUBSTITUTE(TRIM(C1244),".",""),"/",""),"-","")," ","")))&lt;14,RIGHT(REPT("0",14)&amp;UPPER(SUBSTITUTE(SUBSTITUTE(SUBSTITUTE(SUBSTITUTE(TRIM(C1244),".",""),"/",""),"-","")," ","")),14),UPPER(SUBSTITUTE(SUBSTITUTE(SUBSTITUTE(SUBSTITUTE(TRIM(C1244),".",""),"/",""),"-","")," ",""))))</f>
        <v/>
      </c>
      <c r="E1244" s="25" t="str">
        <f aca="false">IF(D1244="","",IFERROR(INDEX(Empresas!$C:$C,MATCH(D1244,Empresas!$B:$B,0)),"cadastre o CNPJ em Empresas"))</f>
        <v/>
      </c>
      <c r="F1244" s="23"/>
      <c r="G1244" s="35"/>
      <c r="H1244" s="24"/>
      <c r="I1244" s="11"/>
      <c r="J1244" s="27" t="str">
        <f aca="false">IF(A1244="","",YEAR(A1244))</f>
        <v/>
      </c>
      <c r="K1244" s="24"/>
      <c r="L1244" s="11"/>
    </row>
    <row r="1245" customFormat="false" ht="15" hidden="false" customHeight="false" outlineLevel="0" collapsed="false">
      <c r="A1245" s="22"/>
      <c r="B1245" s="11"/>
      <c r="C1245" s="24"/>
      <c r="D1245" s="31" t="str">
        <f aca="false">IF(C1245="","",IF(LEN(UPPER(SUBSTITUTE(SUBSTITUTE(SUBSTITUTE(SUBSTITUTE(TRIM(C1245),".",""),"/",""),"-","")," ","")))&lt;14,RIGHT(REPT("0",14)&amp;UPPER(SUBSTITUTE(SUBSTITUTE(SUBSTITUTE(SUBSTITUTE(TRIM(C1245),".",""),"/",""),"-","")," ","")),14),UPPER(SUBSTITUTE(SUBSTITUTE(SUBSTITUTE(SUBSTITUTE(TRIM(C1245),".",""),"/",""),"-","")," ",""))))</f>
        <v/>
      </c>
      <c r="E1245" s="25" t="str">
        <f aca="false">IF(D1245="","",IFERROR(INDEX(Empresas!$C:$C,MATCH(D1245,Empresas!$B:$B,0)),"cadastre o CNPJ em Empresas"))</f>
        <v/>
      </c>
      <c r="F1245" s="23"/>
      <c r="G1245" s="35"/>
      <c r="H1245" s="24"/>
      <c r="I1245" s="11"/>
      <c r="J1245" s="27" t="str">
        <f aca="false">IF(A1245="","",YEAR(A1245))</f>
        <v/>
      </c>
      <c r="K1245" s="24"/>
      <c r="L1245" s="11"/>
    </row>
    <row r="1246" customFormat="false" ht="15" hidden="false" customHeight="false" outlineLevel="0" collapsed="false">
      <c r="A1246" s="22"/>
      <c r="B1246" s="11"/>
      <c r="C1246" s="24"/>
      <c r="D1246" s="31" t="str">
        <f aca="false">IF(C1246="","",IF(LEN(UPPER(SUBSTITUTE(SUBSTITUTE(SUBSTITUTE(SUBSTITUTE(TRIM(C1246),".",""),"/",""),"-","")," ","")))&lt;14,RIGHT(REPT("0",14)&amp;UPPER(SUBSTITUTE(SUBSTITUTE(SUBSTITUTE(SUBSTITUTE(TRIM(C1246),".",""),"/",""),"-","")," ","")),14),UPPER(SUBSTITUTE(SUBSTITUTE(SUBSTITUTE(SUBSTITUTE(TRIM(C1246),".",""),"/",""),"-","")," ",""))))</f>
        <v/>
      </c>
      <c r="E1246" s="25" t="str">
        <f aca="false">IF(D1246="","",IFERROR(INDEX(Empresas!$C:$C,MATCH(D1246,Empresas!$B:$B,0)),"cadastre o CNPJ em Empresas"))</f>
        <v/>
      </c>
      <c r="F1246" s="23"/>
      <c r="G1246" s="35"/>
      <c r="H1246" s="24"/>
      <c r="I1246" s="11"/>
      <c r="J1246" s="27" t="str">
        <f aca="false">IF(A1246="","",YEAR(A1246))</f>
        <v/>
      </c>
      <c r="K1246" s="24"/>
      <c r="L1246" s="11"/>
    </row>
    <row r="1247" customFormat="false" ht="15" hidden="false" customHeight="false" outlineLevel="0" collapsed="false">
      <c r="A1247" s="22"/>
      <c r="B1247" s="11"/>
      <c r="C1247" s="24"/>
      <c r="D1247" s="31" t="str">
        <f aca="false">IF(C1247="","",IF(LEN(UPPER(SUBSTITUTE(SUBSTITUTE(SUBSTITUTE(SUBSTITUTE(TRIM(C1247),".",""),"/",""),"-","")," ","")))&lt;14,RIGHT(REPT("0",14)&amp;UPPER(SUBSTITUTE(SUBSTITUTE(SUBSTITUTE(SUBSTITUTE(TRIM(C1247),".",""),"/",""),"-","")," ","")),14),UPPER(SUBSTITUTE(SUBSTITUTE(SUBSTITUTE(SUBSTITUTE(TRIM(C1247),".",""),"/",""),"-","")," ",""))))</f>
        <v/>
      </c>
      <c r="E1247" s="25" t="str">
        <f aca="false">IF(D1247="","",IFERROR(INDEX(Empresas!$C:$C,MATCH(D1247,Empresas!$B:$B,0)),"cadastre o CNPJ em Empresas"))</f>
        <v/>
      </c>
      <c r="F1247" s="23"/>
      <c r="G1247" s="35"/>
      <c r="H1247" s="24"/>
      <c r="I1247" s="11"/>
      <c r="J1247" s="27" t="str">
        <f aca="false">IF(A1247="","",YEAR(A1247))</f>
        <v/>
      </c>
      <c r="K1247" s="24"/>
      <c r="L1247" s="11"/>
    </row>
    <row r="1248" customFormat="false" ht="15" hidden="false" customHeight="false" outlineLevel="0" collapsed="false">
      <c r="A1248" s="22"/>
      <c r="B1248" s="11"/>
      <c r="C1248" s="24"/>
      <c r="D1248" s="31" t="str">
        <f aca="false">IF(C1248="","",IF(LEN(UPPER(SUBSTITUTE(SUBSTITUTE(SUBSTITUTE(SUBSTITUTE(TRIM(C1248),".",""),"/",""),"-","")," ","")))&lt;14,RIGHT(REPT("0",14)&amp;UPPER(SUBSTITUTE(SUBSTITUTE(SUBSTITUTE(SUBSTITUTE(TRIM(C1248),".",""),"/",""),"-","")," ","")),14),UPPER(SUBSTITUTE(SUBSTITUTE(SUBSTITUTE(SUBSTITUTE(TRIM(C1248),".",""),"/",""),"-","")," ",""))))</f>
        <v/>
      </c>
      <c r="E1248" s="25" t="str">
        <f aca="false">IF(D1248="","",IFERROR(INDEX(Empresas!$C:$C,MATCH(D1248,Empresas!$B:$B,0)),"cadastre o CNPJ em Empresas"))</f>
        <v/>
      </c>
      <c r="F1248" s="23"/>
      <c r="G1248" s="35"/>
      <c r="H1248" s="24"/>
      <c r="I1248" s="11"/>
      <c r="J1248" s="27" t="str">
        <f aca="false">IF(A1248="","",YEAR(A1248))</f>
        <v/>
      </c>
      <c r="K1248" s="24"/>
      <c r="L1248" s="11"/>
    </row>
    <row r="1249" customFormat="false" ht="15" hidden="false" customHeight="false" outlineLevel="0" collapsed="false">
      <c r="A1249" s="22"/>
      <c r="B1249" s="11"/>
      <c r="C1249" s="24"/>
      <c r="D1249" s="31" t="str">
        <f aca="false">IF(C1249="","",IF(LEN(UPPER(SUBSTITUTE(SUBSTITUTE(SUBSTITUTE(SUBSTITUTE(TRIM(C1249),".",""),"/",""),"-","")," ","")))&lt;14,RIGHT(REPT("0",14)&amp;UPPER(SUBSTITUTE(SUBSTITUTE(SUBSTITUTE(SUBSTITUTE(TRIM(C1249),".",""),"/",""),"-","")," ","")),14),UPPER(SUBSTITUTE(SUBSTITUTE(SUBSTITUTE(SUBSTITUTE(TRIM(C1249),".",""),"/",""),"-","")," ",""))))</f>
        <v/>
      </c>
      <c r="E1249" s="25" t="str">
        <f aca="false">IF(D1249="","",IFERROR(INDEX(Empresas!$C:$C,MATCH(D1249,Empresas!$B:$B,0)),"cadastre o CNPJ em Empresas"))</f>
        <v/>
      </c>
      <c r="F1249" s="23"/>
      <c r="G1249" s="35"/>
      <c r="H1249" s="24"/>
      <c r="I1249" s="11"/>
      <c r="J1249" s="27" t="str">
        <f aca="false">IF(A1249="","",YEAR(A1249))</f>
        <v/>
      </c>
      <c r="K1249" s="24"/>
      <c r="L1249" s="11"/>
    </row>
    <row r="1250" customFormat="false" ht="15" hidden="false" customHeight="false" outlineLevel="0" collapsed="false">
      <c r="A1250" s="22"/>
      <c r="B1250" s="11"/>
      <c r="C1250" s="24"/>
      <c r="D1250" s="31" t="str">
        <f aca="false">IF(C1250="","",IF(LEN(UPPER(SUBSTITUTE(SUBSTITUTE(SUBSTITUTE(SUBSTITUTE(TRIM(C1250),".",""),"/",""),"-","")," ","")))&lt;14,RIGHT(REPT("0",14)&amp;UPPER(SUBSTITUTE(SUBSTITUTE(SUBSTITUTE(SUBSTITUTE(TRIM(C1250),".",""),"/",""),"-","")," ","")),14),UPPER(SUBSTITUTE(SUBSTITUTE(SUBSTITUTE(SUBSTITUTE(TRIM(C1250),".",""),"/",""),"-","")," ",""))))</f>
        <v/>
      </c>
      <c r="E1250" s="25" t="str">
        <f aca="false">IF(D1250="","",IFERROR(INDEX(Empresas!$C:$C,MATCH(D1250,Empresas!$B:$B,0)),"cadastre o CNPJ em Empresas"))</f>
        <v/>
      </c>
      <c r="F1250" s="23"/>
      <c r="G1250" s="35"/>
      <c r="H1250" s="24"/>
      <c r="I1250" s="11"/>
      <c r="J1250" s="27" t="str">
        <f aca="false">IF(A1250="","",YEAR(A1250))</f>
        <v/>
      </c>
      <c r="K1250" s="24"/>
      <c r="L1250" s="11"/>
    </row>
    <row r="1251" customFormat="false" ht="15" hidden="false" customHeight="false" outlineLevel="0" collapsed="false">
      <c r="A1251" s="22"/>
      <c r="B1251" s="11"/>
      <c r="C1251" s="24"/>
      <c r="D1251" s="31" t="str">
        <f aca="false">IF(C1251="","",IF(LEN(UPPER(SUBSTITUTE(SUBSTITUTE(SUBSTITUTE(SUBSTITUTE(TRIM(C1251),".",""),"/",""),"-","")," ","")))&lt;14,RIGHT(REPT("0",14)&amp;UPPER(SUBSTITUTE(SUBSTITUTE(SUBSTITUTE(SUBSTITUTE(TRIM(C1251),".",""),"/",""),"-","")," ","")),14),UPPER(SUBSTITUTE(SUBSTITUTE(SUBSTITUTE(SUBSTITUTE(TRIM(C1251),".",""),"/",""),"-","")," ",""))))</f>
        <v/>
      </c>
      <c r="E1251" s="25" t="str">
        <f aca="false">IF(D1251="","",IFERROR(INDEX(Empresas!$C:$C,MATCH(D1251,Empresas!$B:$B,0)),"cadastre o CNPJ em Empresas"))</f>
        <v/>
      </c>
      <c r="F1251" s="23"/>
      <c r="G1251" s="35"/>
      <c r="H1251" s="24"/>
      <c r="I1251" s="11"/>
      <c r="J1251" s="27" t="str">
        <f aca="false">IF(A1251="","",YEAR(A1251))</f>
        <v/>
      </c>
      <c r="K1251" s="24"/>
      <c r="L1251" s="11"/>
    </row>
    <row r="1252" customFormat="false" ht="15" hidden="false" customHeight="false" outlineLevel="0" collapsed="false">
      <c r="A1252" s="22"/>
      <c r="B1252" s="11"/>
      <c r="C1252" s="24"/>
      <c r="D1252" s="31" t="str">
        <f aca="false">IF(C1252="","",IF(LEN(UPPER(SUBSTITUTE(SUBSTITUTE(SUBSTITUTE(SUBSTITUTE(TRIM(C1252),".",""),"/",""),"-","")," ","")))&lt;14,RIGHT(REPT("0",14)&amp;UPPER(SUBSTITUTE(SUBSTITUTE(SUBSTITUTE(SUBSTITUTE(TRIM(C1252),".",""),"/",""),"-","")," ","")),14),UPPER(SUBSTITUTE(SUBSTITUTE(SUBSTITUTE(SUBSTITUTE(TRIM(C1252),".",""),"/",""),"-","")," ",""))))</f>
        <v/>
      </c>
      <c r="E1252" s="25" t="str">
        <f aca="false">IF(D1252="","",IFERROR(INDEX(Empresas!$C:$C,MATCH(D1252,Empresas!$B:$B,0)),"cadastre o CNPJ em Empresas"))</f>
        <v/>
      </c>
      <c r="F1252" s="23"/>
      <c r="G1252" s="35"/>
      <c r="H1252" s="24"/>
      <c r="I1252" s="11"/>
      <c r="J1252" s="27" t="str">
        <f aca="false">IF(A1252="","",YEAR(A1252))</f>
        <v/>
      </c>
      <c r="K1252" s="24"/>
      <c r="L1252" s="11"/>
    </row>
    <row r="1253" customFormat="false" ht="15" hidden="false" customHeight="false" outlineLevel="0" collapsed="false">
      <c r="A1253" s="22"/>
      <c r="B1253" s="11"/>
      <c r="C1253" s="24"/>
      <c r="D1253" s="31" t="str">
        <f aca="false">IF(C1253="","",IF(LEN(UPPER(SUBSTITUTE(SUBSTITUTE(SUBSTITUTE(SUBSTITUTE(TRIM(C1253),".",""),"/",""),"-","")," ","")))&lt;14,RIGHT(REPT("0",14)&amp;UPPER(SUBSTITUTE(SUBSTITUTE(SUBSTITUTE(SUBSTITUTE(TRIM(C1253),".",""),"/",""),"-","")," ","")),14),UPPER(SUBSTITUTE(SUBSTITUTE(SUBSTITUTE(SUBSTITUTE(TRIM(C1253),".",""),"/",""),"-","")," ",""))))</f>
        <v/>
      </c>
      <c r="E1253" s="25" t="str">
        <f aca="false">IF(D1253="","",IFERROR(INDEX(Empresas!$C:$C,MATCH(D1253,Empresas!$B:$B,0)),"cadastre o CNPJ em Empresas"))</f>
        <v/>
      </c>
      <c r="F1253" s="23"/>
      <c r="G1253" s="35"/>
      <c r="H1253" s="24"/>
      <c r="I1253" s="11"/>
      <c r="J1253" s="27" t="str">
        <f aca="false">IF(A1253="","",YEAR(A1253))</f>
        <v/>
      </c>
      <c r="K1253" s="24"/>
      <c r="L1253" s="11"/>
    </row>
    <row r="1254" customFormat="false" ht="15" hidden="false" customHeight="false" outlineLevel="0" collapsed="false">
      <c r="A1254" s="22"/>
      <c r="B1254" s="11"/>
      <c r="C1254" s="24"/>
      <c r="D1254" s="31" t="str">
        <f aca="false">IF(C1254="","",IF(LEN(UPPER(SUBSTITUTE(SUBSTITUTE(SUBSTITUTE(SUBSTITUTE(TRIM(C1254),".",""),"/",""),"-","")," ","")))&lt;14,RIGHT(REPT("0",14)&amp;UPPER(SUBSTITUTE(SUBSTITUTE(SUBSTITUTE(SUBSTITUTE(TRIM(C1254),".",""),"/",""),"-","")," ","")),14),UPPER(SUBSTITUTE(SUBSTITUTE(SUBSTITUTE(SUBSTITUTE(TRIM(C1254),".",""),"/",""),"-","")," ",""))))</f>
        <v/>
      </c>
      <c r="E1254" s="25" t="str">
        <f aca="false">IF(D1254="","",IFERROR(INDEX(Empresas!$C:$C,MATCH(D1254,Empresas!$B:$B,0)),"cadastre o CNPJ em Empresas"))</f>
        <v/>
      </c>
      <c r="F1254" s="23"/>
      <c r="G1254" s="35"/>
      <c r="H1254" s="24"/>
      <c r="I1254" s="11"/>
      <c r="J1254" s="27" t="str">
        <f aca="false">IF(A1254="","",YEAR(A1254))</f>
        <v/>
      </c>
      <c r="K1254" s="24"/>
      <c r="L1254" s="11"/>
    </row>
    <row r="1255" customFormat="false" ht="15" hidden="false" customHeight="false" outlineLevel="0" collapsed="false">
      <c r="A1255" s="22"/>
      <c r="B1255" s="11"/>
      <c r="C1255" s="24"/>
      <c r="D1255" s="31" t="str">
        <f aca="false">IF(C1255="","",IF(LEN(UPPER(SUBSTITUTE(SUBSTITUTE(SUBSTITUTE(SUBSTITUTE(TRIM(C1255),".",""),"/",""),"-","")," ","")))&lt;14,RIGHT(REPT("0",14)&amp;UPPER(SUBSTITUTE(SUBSTITUTE(SUBSTITUTE(SUBSTITUTE(TRIM(C1255),".",""),"/",""),"-","")," ","")),14),UPPER(SUBSTITUTE(SUBSTITUTE(SUBSTITUTE(SUBSTITUTE(TRIM(C1255),".",""),"/",""),"-","")," ",""))))</f>
        <v/>
      </c>
      <c r="E1255" s="25" t="str">
        <f aca="false">IF(D1255="","",IFERROR(INDEX(Empresas!$C:$C,MATCH(D1255,Empresas!$B:$B,0)),"cadastre o CNPJ em Empresas"))</f>
        <v/>
      </c>
      <c r="F1255" s="23"/>
      <c r="G1255" s="35"/>
      <c r="H1255" s="24"/>
      <c r="I1255" s="11"/>
      <c r="J1255" s="27" t="str">
        <f aca="false">IF(A1255="","",YEAR(A1255))</f>
        <v/>
      </c>
      <c r="K1255" s="24"/>
      <c r="L1255" s="11"/>
    </row>
    <row r="1256" customFormat="false" ht="15" hidden="false" customHeight="false" outlineLevel="0" collapsed="false">
      <c r="A1256" s="22"/>
      <c r="B1256" s="11"/>
      <c r="C1256" s="24"/>
      <c r="D1256" s="31" t="str">
        <f aca="false">IF(C1256="","",IF(LEN(UPPER(SUBSTITUTE(SUBSTITUTE(SUBSTITUTE(SUBSTITUTE(TRIM(C1256),".",""),"/",""),"-","")," ","")))&lt;14,RIGHT(REPT("0",14)&amp;UPPER(SUBSTITUTE(SUBSTITUTE(SUBSTITUTE(SUBSTITUTE(TRIM(C1256),".",""),"/",""),"-","")," ","")),14),UPPER(SUBSTITUTE(SUBSTITUTE(SUBSTITUTE(SUBSTITUTE(TRIM(C1256),".",""),"/",""),"-","")," ",""))))</f>
        <v/>
      </c>
      <c r="E1256" s="25" t="str">
        <f aca="false">IF(D1256="","",IFERROR(INDEX(Empresas!$C:$C,MATCH(D1256,Empresas!$B:$B,0)),"cadastre o CNPJ em Empresas"))</f>
        <v/>
      </c>
      <c r="F1256" s="23"/>
      <c r="G1256" s="35"/>
      <c r="H1256" s="24"/>
      <c r="I1256" s="11"/>
      <c r="J1256" s="27" t="str">
        <f aca="false">IF(A1256="","",YEAR(A1256))</f>
        <v/>
      </c>
      <c r="K1256" s="24"/>
      <c r="L1256" s="11"/>
    </row>
    <row r="1257" customFormat="false" ht="15" hidden="false" customHeight="false" outlineLevel="0" collapsed="false">
      <c r="A1257" s="22"/>
      <c r="B1257" s="11"/>
      <c r="C1257" s="24"/>
      <c r="D1257" s="31" t="str">
        <f aca="false">IF(C1257="","",IF(LEN(UPPER(SUBSTITUTE(SUBSTITUTE(SUBSTITUTE(SUBSTITUTE(TRIM(C1257),".",""),"/",""),"-","")," ","")))&lt;14,RIGHT(REPT("0",14)&amp;UPPER(SUBSTITUTE(SUBSTITUTE(SUBSTITUTE(SUBSTITUTE(TRIM(C1257),".",""),"/",""),"-","")," ","")),14),UPPER(SUBSTITUTE(SUBSTITUTE(SUBSTITUTE(SUBSTITUTE(TRIM(C1257),".",""),"/",""),"-","")," ",""))))</f>
        <v/>
      </c>
      <c r="E1257" s="25" t="str">
        <f aca="false">IF(D1257="","",IFERROR(INDEX(Empresas!$C:$C,MATCH(D1257,Empresas!$B:$B,0)),"cadastre o CNPJ em Empresas"))</f>
        <v/>
      </c>
      <c r="F1257" s="23"/>
      <c r="G1257" s="35"/>
      <c r="H1257" s="24"/>
      <c r="I1257" s="11"/>
      <c r="J1257" s="27" t="str">
        <f aca="false">IF(A1257="","",YEAR(A1257))</f>
        <v/>
      </c>
      <c r="K1257" s="24"/>
      <c r="L1257" s="11"/>
    </row>
    <row r="1258" customFormat="false" ht="15" hidden="false" customHeight="false" outlineLevel="0" collapsed="false">
      <c r="A1258" s="22"/>
      <c r="B1258" s="11"/>
      <c r="C1258" s="24"/>
      <c r="D1258" s="31" t="str">
        <f aca="false">IF(C1258="","",IF(LEN(UPPER(SUBSTITUTE(SUBSTITUTE(SUBSTITUTE(SUBSTITUTE(TRIM(C1258),".",""),"/",""),"-","")," ","")))&lt;14,RIGHT(REPT("0",14)&amp;UPPER(SUBSTITUTE(SUBSTITUTE(SUBSTITUTE(SUBSTITUTE(TRIM(C1258),".",""),"/",""),"-","")," ","")),14),UPPER(SUBSTITUTE(SUBSTITUTE(SUBSTITUTE(SUBSTITUTE(TRIM(C1258),".",""),"/",""),"-","")," ",""))))</f>
        <v/>
      </c>
      <c r="E1258" s="25" t="str">
        <f aca="false">IF(D1258="","",IFERROR(INDEX(Empresas!$C:$C,MATCH(D1258,Empresas!$B:$B,0)),"cadastre o CNPJ em Empresas"))</f>
        <v/>
      </c>
      <c r="F1258" s="23"/>
      <c r="G1258" s="35"/>
      <c r="H1258" s="24"/>
      <c r="I1258" s="11"/>
      <c r="J1258" s="27" t="str">
        <f aca="false">IF(A1258="","",YEAR(A1258))</f>
        <v/>
      </c>
      <c r="K1258" s="24"/>
      <c r="L1258" s="11"/>
    </row>
    <row r="1259" customFormat="false" ht="15" hidden="false" customHeight="false" outlineLevel="0" collapsed="false">
      <c r="A1259" s="22"/>
      <c r="B1259" s="11"/>
      <c r="C1259" s="24"/>
      <c r="D1259" s="31" t="str">
        <f aca="false">IF(C1259="","",IF(LEN(UPPER(SUBSTITUTE(SUBSTITUTE(SUBSTITUTE(SUBSTITUTE(TRIM(C1259),".",""),"/",""),"-","")," ","")))&lt;14,RIGHT(REPT("0",14)&amp;UPPER(SUBSTITUTE(SUBSTITUTE(SUBSTITUTE(SUBSTITUTE(TRIM(C1259),".",""),"/",""),"-","")," ","")),14),UPPER(SUBSTITUTE(SUBSTITUTE(SUBSTITUTE(SUBSTITUTE(TRIM(C1259),".",""),"/",""),"-","")," ",""))))</f>
        <v/>
      </c>
      <c r="E1259" s="25" t="str">
        <f aca="false">IF(D1259="","",IFERROR(INDEX(Empresas!$C:$C,MATCH(D1259,Empresas!$B:$B,0)),"cadastre o CNPJ em Empresas"))</f>
        <v/>
      </c>
      <c r="F1259" s="23"/>
      <c r="G1259" s="35"/>
      <c r="H1259" s="24"/>
      <c r="I1259" s="11"/>
      <c r="J1259" s="27" t="str">
        <f aca="false">IF(A1259="","",YEAR(A1259))</f>
        <v/>
      </c>
      <c r="K1259" s="24"/>
      <c r="L1259" s="11"/>
    </row>
    <row r="1260" customFormat="false" ht="15" hidden="false" customHeight="false" outlineLevel="0" collapsed="false">
      <c r="A1260" s="22"/>
      <c r="B1260" s="11"/>
      <c r="C1260" s="24"/>
      <c r="D1260" s="31" t="str">
        <f aca="false">IF(C1260="","",IF(LEN(UPPER(SUBSTITUTE(SUBSTITUTE(SUBSTITUTE(SUBSTITUTE(TRIM(C1260),".",""),"/",""),"-","")," ","")))&lt;14,RIGHT(REPT("0",14)&amp;UPPER(SUBSTITUTE(SUBSTITUTE(SUBSTITUTE(SUBSTITUTE(TRIM(C1260),".",""),"/",""),"-","")," ","")),14),UPPER(SUBSTITUTE(SUBSTITUTE(SUBSTITUTE(SUBSTITUTE(TRIM(C1260),".",""),"/",""),"-","")," ",""))))</f>
        <v/>
      </c>
      <c r="E1260" s="25" t="str">
        <f aca="false">IF(D1260="","",IFERROR(INDEX(Empresas!$C:$C,MATCH(D1260,Empresas!$B:$B,0)),"cadastre o CNPJ em Empresas"))</f>
        <v/>
      </c>
      <c r="F1260" s="23"/>
      <c r="G1260" s="35"/>
      <c r="H1260" s="24"/>
      <c r="I1260" s="11"/>
      <c r="J1260" s="27" t="str">
        <f aca="false">IF(A1260="","",YEAR(A1260))</f>
        <v/>
      </c>
      <c r="K1260" s="24"/>
      <c r="L1260" s="11"/>
    </row>
    <row r="1261" customFormat="false" ht="15" hidden="false" customHeight="false" outlineLevel="0" collapsed="false">
      <c r="A1261" s="22"/>
      <c r="B1261" s="11"/>
      <c r="C1261" s="24"/>
      <c r="D1261" s="31" t="str">
        <f aca="false">IF(C1261="","",IF(LEN(UPPER(SUBSTITUTE(SUBSTITUTE(SUBSTITUTE(SUBSTITUTE(TRIM(C1261),".",""),"/",""),"-","")," ","")))&lt;14,RIGHT(REPT("0",14)&amp;UPPER(SUBSTITUTE(SUBSTITUTE(SUBSTITUTE(SUBSTITUTE(TRIM(C1261),".",""),"/",""),"-","")," ","")),14),UPPER(SUBSTITUTE(SUBSTITUTE(SUBSTITUTE(SUBSTITUTE(TRIM(C1261),".",""),"/",""),"-","")," ",""))))</f>
        <v/>
      </c>
      <c r="E1261" s="25" t="str">
        <f aca="false">IF(D1261="","",IFERROR(INDEX(Empresas!$C:$C,MATCH(D1261,Empresas!$B:$B,0)),"cadastre o CNPJ em Empresas"))</f>
        <v/>
      </c>
      <c r="F1261" s="23"/>
      <c r="G1261" s="35"/>
      <c r="H1261" s="24"/>
      <c r="I1261" s="11"/>
      <c r="J1261" s="27" t="str">
        <f aca="false">IF(A1261="","",YEAR(A1261))</f>
        <v/>
      </c>
      <c r="K1261" s="24"/>
      <c r="L1261" s="11"/>
    </row>
    <row r="1262" customFormat="false" ht="15" hidden="false" customHeight="false" outlineLevel="0" collapsed="false">
      <c r="A1262" s="22"/>
      <c r="B1262" s="11"/>
      <c r="C1262" s="24"/>
      <c r="D1262" s="31" t="str">
        <f aca="false">IF(C1262="","",IF(LEN(UPPER(SUBSTITUTE(SUBSTITUTE(SUBSTITUTE(SUBSTITUTE(TRIM(C1262),".",""),"/",""),"-","")," ","")))&lt;14,RIGHT(REPT("0",14)&amp;UPPER(SUBSTITUTE(SUBSTITUTE(SUBSTITUTE(SUBSTITUTE(TRIM(C1262),".",""),"/",""),"-","")," ","")),14),UPPER(SUBSTITUTE(SUBSTITUTE(SUBSTITUTE(SUBSTITUTE(TRIM(C1262),".",""),"/",""),"-","")," ",""))))</f>
        <v/>
      </c>
      <c r="E1262" s="25" t="str">
        <f aca="false">IF(D1262="","",IFERROR(INDEX(Empresas!$C:$C,MATCH(D1262,Empresas!$B:$B,0)),"cadastre o CNPJ em Empresas"))</f>
        <v/>
      </c>
      <c r="F1262" s="23"/>
      <c r="G1262" s="35"/>
      <c r="H1262" s="24"/>
      <c r="I1262" s="11"/>
      <c r="J1262" s="27" t="str">
        <f aca="false">IF(A1262="","",YEAR(A1262))</f>
        <v/>
      </c>
      <c r="K1262" s="24"/>
      <c r="L1262" s="11"/>
    </row>
    <row r="1263" customFormat="false" ht="15" hidden="false" customHeight="false" outlineLevel="0" collapsed="false">
      <c r="A1263" s="22"/>
      <c r="B1263" s="11"/>
      <c r="C1263" s="24"/>
      <c r="D1263" s="31" t="str">
        <f aca="false">IF(C1263="","",IF(LEN(UPPER(SUBSTITUTE(SUBSTITUTE(SUBSTITUTE(SUBSTITUTE(TRIM(C1263),".",""),"/",""),"-","")," ","")))&lt;14,RIGHT(REPT("0",14)&amp;UPPER(SUBSTITUTE(SUBSTITUTE(SUBSTITUTE(SUBSTITUTE(TRIM(C1263),".",""),"/",""),"-","")," ","")),14),UPPER(SUBSTITUTE(SUBSTITUTE(SUBSTITUTE(SUBSTITUTE(TRIM(C1263),".",""),"/",""),"-","")," ",""))))</f>
        <v/>
      </c>
      <c r="E1263" s="25" t="str">
        <f aca="false">IF(D1263="","",IFERROR(INDEX(Empresas!$C:$C,MATCH(D1263,Empresas!$B:$B,0)),"cadastre o CNPJ em Empresas"))</f>
        <v/>
      </c>
      <c r="F1263" s="23"/>
      <c r="G1263" s="35"/>
      <c r="H1263" s="24"/>
      <c r="I1263" s="11"/>
      <c r="J1263" s="27" t="str">
        <f aca="false">IF(A1263="","",YEAR(A1263))</f>
        <v/>
      </c>
      <c r="K1263" s="24"/>
      <c r="L1263" s="11"/>
    </row>
    <row r="1264" customFormat="false" ht="15" hidden="false" customHeight="false" outlineLevel="0" collapsed="false">
      <c r="A1264" s="22"/>
      <c r="B1264" s="11"/>
      <c r="C1264" s="24"/>
      <c r="D1264" s="31" t="str">
        <f aca="false">IF(C1264="","",IF(LEN(UPPER(SUBSTITUTE(SUBSTITUTE(SUBSTITUTE(SUBSTITUTE(TRIM(C1264),".",""),"/",""),"-","")," ","")))&lt;14,RIGHT(REPT("0",14)&amp;UPPER(SUBSTITUTE(SUBSTITUTE(SUBSTITUTE(SUBSTITUTE(TRIM(C1264),".",""),"/",""),"-","")," ","")),14),UPPER(SUBSTITUTE(SUBSTITUTE(SUBSTITUTE(SUBSTITUTE(TRIM(C1264),".",""),"/",""),"-","")," ",""))))</f>
        <v/>
      </c>
      <c r="E1264" s="25" t="str">
        <f aca="false">IF(D1264="","",IFERROR(INDEX(Empresas!$C:$C,MATCH(D1264,Empresas!$B:$B,0)),"cadastre o CNPJ em Empresas"))</f>
        <v/>
      </c>
      <c r="F1264" s="23"/>
      <c r="G1264" s="35"/>
      <c r="H1264" s="24"/>
      <c r="I1264" s="11"/>
      <c r="J1264" s="27" t="str">
        <f aca="false">IF(A1264="","",YEAR(A1264))</f>
        <v/>
      </c>
      <c r="K1264" s="24"/>
      <c r="L1264" s="11"/>
    </row>
    <row r="1265" customFormat="false" ht="15" hidden="false" customHeight="false" outlineLevel="0" collapsed="false">
      <c r="A1265" s="22"/>
      <c r="B1265" s="11"/>
      <c r="C1265" s="24"/>
      <c r="D1265" s="31" t="str">
        <f aca="false">IF(C1265="","",IF(LEN(UPPER(SUBSTITUTE(SUBSTITUTE(SUBSTITUTE(SUBSTITUTE(TRIM(C1265),".",""),"/",""),"-","")," ","")))&lt;14,RIGHT(REPT("0",14)&amp;UPPER(SUBSTITUTE(SUBSTITUTE(SUBSTITUTE(SUBSTITUTE(TRIM(C1265),".",""),"/",""),"-","")," ","")),14),UPPER(SUBSTITUTE(SUBSTITUTE(SUBSTITUTE(SUBSTITUTE(TRIM(C1265),".",""),"/",""),"-","")," ",""))))</f>
        <v/>
      </c>
      <c r="E1265" s="25" t="str">
        <f aca="false">IF(D1265="","",IFERROR(INDEX(Empresas!$C:$C,MATCH(D1265,Empresas!$B:$B,0)),"cadastre o CNPJ em Empresas"))</f>
        <v/>
      </c>
      <c r="F1265" s="23"/>
      <c r="G1265" s="35"/>
      <c r="H1265" s="24"/>
      <c r="I1265" s="11"/>
      <c r="J1265" s="27" t="str">
        <f aca="false">IF(A1265="","",YEAR(A1265))</f>
        <v/>
      </c>
      <c r="K1265" s="24"/>
      <c r="L1265" s="11"/>
    </row>
    <row r="1266" customFormat="false" ht="15" hidden="false" customHeight="false" outlineLevel="0" collapsed="false">
      <c r="A1266" s="22"/>
      <c r="B1266" s="11"/>
      <c r="C1266" s="24"/>
      <c r="D1266" s="31" t="str">
        <f aca="false">IF(C1266="","",IF(LEN(UPPER(SUBSTITUTE(SUBSTITUTE(SUBSTITUTE(SUBSTITUTE(TRIM(C1266),".",""),"/",""),"-","")," ","")))&lt;14,RIGHT(REPT("0",14)&amp;UPPER(SUBSTITUTE(SUBSTITUTE(SUBSTITUTE(SUBSTITUTE(TRIM(C1266),".",""),"/",""),"-","")," ","")),14),UPPER(SUBSTITUTE(SUBSTITUTE(SUBSTITUTE(SUBSTITUTE(TRIM(C1266),".",""),"/",""),"-","")," ",""))))</f>
        <v/>
      </c>
      <c r="E1266" s="25" t="str">
        <f aca="false">IF(D1266="","",IFERROR(INDEX(Empresas!$C:$C,MATCH(D1266,Empresas!$B:$B,0)),"cadastre o CNPJ em Empresas"))</f>
        <v/>
      </c>
      <c r="F1266" s="23"/>
      <c r="G1266" s="35"/>
      <c r="H1266" s="24"/>
      <c r="I1266" s="11"/>
      <c r="J1266" s="27" t="str">
        <f aca="false">IF(A1266="","",YEAR(A1266))</f>
        <v/>
      </c>
      <c r="K1266" s="24"/>
      <c r="L1266" s="11"/>
    </row>
    <row r="1267" customFormat="false" ht="15" hidden="false" customHeight="false" outlineLevel="0" collapsed="false">
      <c r="A1267" s="22"/>
      <c r="B1267" s="11"/>
      <c r="C1267" s="24"/>
      <c r="D1267" s="31" t="str">
        <f aca="false">IF(C1267="","",IF(LEN(UPPER(SUBSTITUTE(SUBSTITUTE(SUBSTITUTE(SUBSTITUTE(TRIM(C1267),".",""),"/",""),"-","")," ","")))&lt;14,RIGHT(REPT("0",14)&amp;UPPER(SUBSTITUTE(SUBSTITUTE(SUBSTITUTE(SUBSTITUTE(TRIM(C1267),".",""),"/",""),"-","")," ","")),14),UPPER(SUBSTITUTE(SUBSTITUTE(SUBSTITUTE(SUBSTITUTE(TRIM(C1267),".",""),"/",""),"-","")," ",""))))</f>
        <v/>
      </c>
      <c r="E1267" s="25" t="str">
        <f aca="false">IF(D1267="","",IFERROR(INDEX(Empresas!$C:$C,MATCH(D1267,Empresas!$B:$B,0)),"cadastre o CNPJ em Empresas"))</f>
        <v/>
      </c>
      <c r="F1267" s="23"/>
      <c r="G1267" s="35"/>
      <c r="H1267" s="24"/>
      <c r="I1267" s="11"/>
      <c r="J1267" s="27" t="str">
        <f aca="false">IF(A1267="","",YEAR(A1267))</f>
        <v/>
      </c>
      <c r="K1267" s="24"/>
      <c r="L1267" s="11"/>
    </row>
    <row r="1268" customFormat="false" ht="15" hidden="false" customHeight="false" outlineLevel="0" collapsed="false">
      <c r="A1268" s="22"/>
      <c r="B1268" s="11"/>
      <c r="C1268" s="24"/>
      <c r="D1268" s="31" t="str">
        <f aca="false">IF(C1268="","",IF(LEN(UPPER(SUBSTITUTE(SUBSTITUTE(SUBSTITUTE(SUBSTITUTE(TRIM(C1268),".",""),"/",""),"-","")," ","")))&lt;14,RIGHT(REPT("0",14)&amp;UPPER(SUBSTITUTE(SUBSTITUTE(SUBSTITUTE(SUBSTITUTE(TRIM(C1268),".",""),"/",""),"-","")," ","")),14),UPPER(SUBSTITUTE(SUBSTITUTE(SUBSTITUTE(SUBSTITUTE(TRIM(C1268),".",""),"/",""),"-","")," ",""))))</f>
        <v/>
      </c>
      <c r="E1268" s="25" t="str">
        <f aca="false">IF(D1268="","",IFERROR(INDEX(Empresas!$C:$C,MATCH(D1268,Empresas!$B:$B,0)),"cadastre o CNPJ em Empresas"))</f>
        <v/>
      </c>
      <c r="F1268" s="23"/>
      <c r="G1268" s="35"/>
      <c r="H1268" s="24"/>
      <c r="I1268" s="11"/>
      <c r="J1268" s="27" t="str">
        <f aca="false">IF(A1268="","",YEAR(A1268))</f>
        <v/>
      </c>
      <c r="K1268" s="24"/>
      <c r="L1268" s="11"/>
    </row>
    <row r="1269" customFormat="false" ht="15" hidden="false" customHeight="false" outlineLevel="0" collapsed="false">
      <c r="A1269" s="22"/>
      <c r="B1269" s="11"/>
      <c r="C1269" s="24"/>
      <c r="D1269" s="31" t="str">
        <f aca="false">IF(C1269="","",IF(LEN(UPPER(SUBSTITUTE(SUBSTITUTE(SUBSTITUTE(SUBSTITUTE(TRIM(C1269),".",""),"/",""),"-","")," ","")))&lt;14,RIGHT(REPT("0",14)&amp;UPPER(SUBSTITUTE(SUBSTITUTE(SUBSTITUTE(SUBSTITUTE(TRIM(C1269),".",""),"/",""),"-","")," ","")),14),UPPER(SUBSTITUTE(SUBSTITUTE(SUBSTITUTE(SUBSTITUTE(TRIM(C1269),".",""),"/",""),"-","")," ",""))))</f>
        <v/>
      </c>
      <c r="E1269" s="25" t="str">
        <f aca="false">IF(D1269="","",IFERROR(INDEX(Empresas!$C:$C,MATCH(D1269,Empresas!$B:$B,0)),"cadastre o CNPJ em Empresas"))</f>
        <v/>
      </c>
      <c r="F1269" s="23"/>
      <c r="G1269" s="35"/>
      <c r="H1269" s="24"/>
      <c r="I1269" s="11"/>
      <c r="J1269" s="27" t="str">
        <f aca="false">IF(A1269="","",YEAR(A1269))</f>
        <v/>
      </c>
      <c r="K1269" s="24"/>
      <c r="L1269" s="11"/>
    </row>
    <row r="1270" customFormat="false" ht="15" hidden="false" customHeight="false" outlineLevel="0" collapsed="false">
      <c r="A1270" s="22"/>
      <c r="B1270" s="11"/>
      <c r="C1270" s="24"/>
      <c r="D1270" s="31" t="str">
        <f aca="false">IF(C1270="","",IF(LEN(UPPER(SUBSTITUTE(SUBSTITUTE(SUBSTITUTE(SUBSTITUTE(TRIM(C1270),".",""),"/",""),"-","")," ","")))&lt;14,RIGHT(REPT("0",14)&amp;UPPER(SUBSTITUTE(SUBSTITUTE(SUBSTITUTE(SUBSTITUTE(TRIM(C1270),".",""),"/",""),"-","")," ","")),14),UPPER(SUBSTITUTE(SUBSTITUTE(SUBSTITUTE(SUBSTITUTE(TRIM(C1270),".",""),"/",""),"-","")," ",""))))</f>
        <v/>
      </c>
      <c r="E1270" s="25" t="str">
        <f aca="false">IF(D1270="","",IFERROR(INDEX(Empresas!$C:$C,MATCH(D1270,Empresas!$B:$B,0)),"cadastre o CNPJ em Empresas"))</f>
        <v/>
      </c>
      <c r="F1270" s="23"/>
      <c r="G1270" s="35"/>
      <c r="H1270" s="24"/>
      <c r="I1270" s="11"/>
      <c r="J1270" s="27" t="str">
        <f aca="false">IF(A1270="","",YEAR(A1270))</f>
        <v/>
      </c>
      <c r="K1270" s="24"/>
      <c r="L1270" s="11"/>
    </row>
    <row r="1271" customFormat="false" ht="15" hidden="false" customHeight="false" outlineLevel="0" collapsed="false">
      <c r="A1271" s="22"/>
      <c r="B1271" s="11"/>
      <c r="C1271" s="24"/>
      <c r="D1271" s="31" t="str">
        <f aca="false">IF(C1271="","",IF(LEN(UPPER(SUBSTITUTE(SUBSTITUTE(SUBSTITUTE(SUBSTITUTE(TRIM(C1271),".",""),"/",""),"-","")," ","")))&lt;14,RIGHT(REPT("0",14)&amp;UPPER(SUBSTITUTE(SUBSTITUTE(SUBSTITUTE(SUBSTITUTE(TRIM(C1271),".",""),"/",""),"-","")," ","")),14),UPPER(SUBSTITUTE(SUBSTITUTE(SUBSTITUTE(SUBSTITUTE(TRIM(C1271),".",""),"/",""),"-","")," ",""))))</f>
        <v/>
      </c>
      <c r="E1271" s="25" t="str">
        <f aca="false">IF(D1271="","",IFERROR(INDEX(Empresas!$C:$C,MATCH(D1271,Empresas!$B:$B,0)),"cadastre o CNPJ em Empresas"))</f>
        <v/>
      </c>
      <c r="F1271" s="23"/>
      <c r="G1271" s="35"/>
      <c r="H1271" s="24"/>
      <c r="I1271" s="11"/>
      <c r="J1271" s="27" t="str">
        <f aca="false">IF(A1271="","",YEAR(A1271))</f>
        <v/>
      </c>
      <c r="K1271" s="24"/>
      <c r="L1271" s="11"/>
    </row>
    <row r="1272" customFormat="false" ht="15" hidden="false" customHeight="false" outlineLevel="0" collapsed="false">
      <c r="A1272" s="22"/>
      <c r="B1272" s="11"/>
      <c r="C1272" s="24"/>
      <c r="D1272" s="31" t="str">
        <f aca="false">IF(C1272="","",IF(LEN(UPPER(SUBSTITUTE(SUBSTITUTE(SUBSTITUTE(SUBSTITUTE(TRIM(C1272),".",""),"/",""),"-","")," ","")))&lt;14,RIGHT(REPT("0",14)&amp;UPPER(SUBSTITUTE(SUBSTITUTE(SUBSTITUTE(SUBSTITUTE(TRIM(C1272),".",""),"/",""),"-","")," ","")),14),UPPER(SUBSTITUTE(SUBSTITUTE(SUBSTITUTE(SUBSTITUTE(TRIM(C1272),".",""),"/",""),"-","")," ",""))))</f>
        <v/>
      </c>
      <c r="E1272" s="25" t="str">
        <f aca="false">IF(D1272="","",IFERROR(INDEX(Empresas!$C:$C,MATCH(D1272,Empresas!$B:$B,0)),"cadastre o CNPJ em Empresas"))</f>
        <v/>
      </c>
      <c r="F1272" s="23"/>
      <c r="G1272" s="35"/>
      <c r="H1272" s="24"/>
      <c r="I1272" s="11"/>
      <c r="J1272" s="27" t="str">
        <f aca="false">IF(A1272="","",YEAR(A1272))</f>
        <v/>
      </c>
      <c r="K1272" s="24"/>
      <c r="L1272" s="11"/>
    </row>
    <row r="1273" customFormat="false" ht="15" hidden="false" customHeight="false" outlineLevel="0" collapsed="false">
      <c r="A1273" s="22"/>
      <c r="B1273" s="11"/>
      <c r="C1273" s="24"/>
      <c r="D1273" s="31" t="str">
        <f aca="false">IF(C1273="","",IF(LEN(UPPER(SUBSTITUTE(SUBSTITUTE(SUBSTITUTE(SUBSTITUTE(TRIM(C1273),".",""),"/",""),"-","")," ","")))&lt;14,RIGHT(REPT("0",14)&amp;UPPER(SUBSTITUTE(SUBSTITUTE(SUBSTITUTE(SUBSTITUTE(TRIM(C1273),".",""),"/",""),"-","")," ","")),14),UPPER(SUBSTITUTE(SUBSTITUTE(SUBSTITUTE(SUBSTITUTE(TRIM(C1273),".",""),"/",""),"-","")," ",""))))</f>
        <v/>
      </c>
      <c r="E1273" s="25" t="str">
        <f aca="false">IF(D1273="","",IFERROR(INDEX(Empresas!$C:$C,MATCH(D1273,Empresas!$B:$B,0)),"cadastre o CNPJ em Empresas"))</f>
        <v/>
      </c>
      <c r="F1273" s="23"/>
      <c r="G1273" s="35"/>
      <c r="H1273" s="24"/>
      <c r="I1273" s="11"/>
      <c r="J1273" s="27" t="str">
        <f aca="false">IF(A1273="","",YEAR(A1273))</f>
        <v/>
      </c>
      <c r="K1273" s="24"/>
      <c r="L1273" s="11"/>
    </row>
    <row r="1274" customFormat="false" ht="15" hidden="false" customHeight="false" outlineLevel="0" collapsed="false">
      <c r="A1274" s="22"/>
      <c r="B1274" s="11"/>
      <c r="C1274" s="24"/>
      <c r="D1274" s="31" t="str">
        <f aca="false">IF(C1274="","",IF(LEN(UPPER(SUBSTITUTE(SUBSTITUTE(SUBSTITUTE(SUBSTITUTE(TRIM(C1274),".",""),"/",""),"-","")," ","")))&lt;14,RIGHT(REPT("0",14)&amp;UPPER(SUBSTITUTE(SUBSTITUTE(SUBSTITUTE(SUBSTITUTE(TRIM(C1274),".",""),"/",""),"-","")," ","")),14),UPPER(SUBSTITUTE(SUBSTITUTE(SUBSTITUTE(SUBSTITUTE(TRIM(C1274),".",""),"/",""),"-","")," ",""))))</f>
        <v/>
      </c>
      <c r="E1274" s="25" t="str">
        <f aca="false">IF(D1274="","",IFERROR(INDEX(Empresas!$C:$C,MATCH(D1274,Empresas!$B:$B,0)),"cadastre o CNPJ em Empresas"))</f>
        <v/>
      </c>
      <c r="F1274" s="23"/>
      <c r="G1274" s="35"/>
      <c r="H1274" s="24"/>
      <c r="I1274" s="11"/>
      <c r="J1274" s="27" t="str">
        <f aca="false">IF(A1274="","",YEAR(A1274))</f>
        <v/>
      </c>
      <c r="K1274" s="24"/>
      <c r="L1274" s="11"/>
    </row>
    <row r="1275" customFormat="false" ht="15" hidden="false" customHeight="false" outlineLevel="0" collapsed="false">
      <c r="A1275" s="22"/>
      <c r="B1275" s="11"/>
      <c r="C1275" s="24"/>
      <c r="D1275" s="31" t="str">
        <f aca="false">IF(C1275="","",IF(LEN(UPPER(SUBSTITUTE(SUBSTITUTE(SUBSTITUTE(SUBSTITUTE(TRIM(C1275),".",""),"/",""),"-","")," ","")))&lt;14,RIGHT(REPT("0",14)&amp;UPPER(SUBSTITUTE(SUBSTITUTE(SUBSTITUTE(SUBSTITUTE(TRIM(C1275),".",""),"/",""),"-","")," ","")),14),UPPER(SUBSTITUTE(SUBSTITUTE(SUBSTITUTE(SUBSTITUTE(TRIM(C1275),".",""),"/",""),"-","")," ",""))))</f>
        <v/>
      </c>
      <c r="E1275" s="25" t="str">
        <f aca="false">IF(D1275="","",IFERROR(INDEX(Empresas!$C:$C,MATCH(D1275,Empresas!$B:$B,0)),"cadastre o CNPJ em Empresas"))</f>
        <v/>
      </c>
      <c r="F1275" s="23"/>
      <c r="G1275" s="35"/>
      <c r="H1275" s="24"/>
      <c r="I1275" s="11"/>
      <c r="J1275" s="27" t="str">
        <f aca="false">IF(A1275="","",YEAR(A1275))</f>
        <v/>
      </c>
      <c r="K1275" s="24"/>
      <c r="L1275" s="11"/>
    </row>
    <row r="1276" customFormat="false" ht="15" hidden="false" customHeight="false" outlineLevel="0" collapsed="false">
      <c r="A1276" s="22"/>
      <c r="B1276" s="11"/>
      <c r="C1276" s="24"/>
      <c r="D1276" s="31" t="str">
        <f aca="false">IF(C1276="","",IF(LEN(UPPER(SUBSTITUTE(SUBSTITUTE(SUBSTITUTE(SUBSTITUTE(TRIM(C1276),".",""),"/",""),"-","")," ","")))&lt;14,RIGHT(REPT("0",14)&amp;UPPER(SUBSTITUTE(SUBSTITUTE(SUBSTITUTE(SUBSTITUTE(TRIM(C1276),".",""),"/",""),"-","")," ","")),14),UPPER(SUBSTITUTE(SUBSTITUTE(SUBSTITUTE(SUBSTITUTE(TRIM(C1276),".",""),"/",""),"-","")," ",""))))</f>
        <v/>
      </c>
      <c r="E1276" s="25" t="str">
        <f aca="false">IF(D1276="","",IFERROR(INDEX(Empresas!$C:$C,MATCH(D1276,Empresas!$B:$B,0)),"cadastre o CNPJ em Empresas"))</f>
        <v/>
      </c>
      <c r="F1276" s="23"/>
      <c r="G1276" s="35"/>
      <c r="H1276" s="24"/>
      <c r="I1276" s="11"/>
      <c r="J1276" s="27" t="str">
        <f aca="false">IF(A1276="","",YEAR(A1276))</f>
        <v/>
      </c>
      <c r="K1276" s="24"/>
      <c r="L1276" s="11"/>
    </row>
    <row r="1277" customFormat="false" ht="15" hidden="false" customHeight="false" outlineLevel="0" collapsed="false">
      <c r="A1277" s="22"/>
      <c r="B1277" s="11"/>
      <c r="C1277" s="24"/>
      <c r="D1277" s="31" t="str">
        <f aca="false">IF(C1277="","",IF(LEN(UPPER(SUBSTITUTE(SUBSTITUTE(SUBSTITUTE(SUBSTITUTE(TRIM(C1277),".",""),"/",""),"-","")," ","")))&lt;14,RIGHT(REPT("0",14)&amp;UPPER(SUBSTITUTE(SUBSTITUTE(SUBSTITUTE(SUBSTITUTE(TRIM(C1277),".",""),"/",""),"-","")," ","")),14),UPPER(SUBSTITUTE(SUBSTITUTE(SUBSTITUTE(SUBSTITUTE(TRIM(C1277),".",""),"/",""),"-","")," ",""))))</f>
        <v/>
      </c>
      <c r="E1277" s="25" t="str">
        <f aca="false">IF(D1277="","",IFERROR(INDEX(Empresas!$C:$C,MATCH(D1277,Empresas!$B:$B,0)),"cadastre o CNPJ em Empresas"))</f>
        <v/>
      </c>
      <c r="F1277" s="23"/>
      <c r="G1277" s="35"/>
      <c r="H1277" s="24"/>
      <c r="I1277" s="11"/>
      <c r="J1277" s="27" t="str">
        <f aca="false">IF(A1277="","",YEAR(A1277))</f>
        <v/>
      </c>
      <c r="K1277" s="24"/>
      <c r="L1277" s="11"/>
    </row>
    <row r="1278" customFormat="false" ht="15" hidden="false" customHeight="false" outlineLevel="0" collapsed="false">
      <c r="A1278" s="22"/>
      <c r="B1278" s="11"/>
      <c r="C1278" s="24"/>
      <c r="D1278" s="31" t="str">
        <f aca="false">IF(C1278="","",IF(LEN(UPPER(SUBSTITUTE(SUBSTITUTE(SUBSTITUTE(SUBSTITUTE(TRIM(C1278),".",""),"/",""),"-","")," ","")))&lt;14,RIGHT(REPT("0",14)&amp;UPPER(SUBSTITUTE(SUBSTITUTE(SUBSTITUTE(SUBSTITUTE(TRIM(C1278),".",""),"/",""),"-","")," ","")),14),UPPER(SUBSTITUTE(SUBSTITUTE(SUBSTITUTE(SUBSTITUTE(TRIM(C1278),".",""),"/",""),"-","")," ",""))))</f>
        <v/>
      </c>
      <c r="E1278" s="25" t="str">
        <f aca="false">IF(D1278="","",IFERROR(INDEX(Empresas!$C:$C,MATCH(D1278,Empresas!$B:$B,0)),"cadastre o CNPJ em Empresas"))</f>
        <v/>
      </c>
      <c r="F1278" s="23"/>
      <c r="G1278" s="35"/>
      <c r="H1278" s="24"/>
      <c r="I1278" s="11"/>
      <c r="J1278" s="27" t="str">
        <f aca="false">IF(A1278="","",YEAR(A1278))</f>
        <v/>
      </c>
      <c r="K1278" s="24"/>
      <c r="L1278" s="11"/>
    </row>
    <row r="1279" customFormat="false" ht="15" hidden="false" customHeight="false" outlineLevel="0" collapsed="false">
      <c r="A1279" s="22"/>
      <c r="B1279" s="11"/>
      <c r="C1279" s="24"/>
      <c r="D1279" s="31" t="str">
        <f aca="false">IF(C1279="","",IF(LEN(UPPER(SUBSTITUTE(SUBSTITUTE(SUBSTITUTE(SUBSTITUTE(TRIM(C1279),".",""),"/",""),"-","")," ","")))&lt;14,RIGHT(REPT("0",14)&amp;UPPER(SUBSTITUTE(SUBSTITUTE(SUBSTITUTE(SUBSTITUTE(TRIM(C1279),".",""),"/",""),"-","")," ","")),14),UPPER(SUBSTITUTE(SUBSTITUTE(SUBSTITUTE(SUBSTITUTE(TRIM(C1279),".",""),"/",""),"-","")," ",""))))</f>
        <v/>
      </c>
      <c r="E1279" s="25" t="str">
        <f aca="false">IF(D1279="","",IFERROR(INDEX(Empresas!$C:$C,MATCH(D1279,Empresas!$B:$B,0)),"cadastre o CNPJ em Empresas"))</f>
        <v/>
      </c>
      <c r="F1279" s="23"/>
      <c r="G1279" s="35"/>
      <c r="H1279" s="24"/>
      <c r="I1279" s="11"/>
      <c r="J1279" s="27" t="str">
        <f aca="false">IF(A1279="","",YEAR(A1279))</f>
        <v/>
      </c>
      <c r="K1279" s="24"/>
      <c r="L1279" s="11"/>
    </row>
    <row r="1280" customFormat="false" ht="15" hidden="false" customHeight="false" outlineLevel="0" collapsed="false">
      <c r="A1280" s="22"/>
      <c r="B1280" s="11"/>
      <c r="C1280" s="24"/>
      <c r="D1280" s="31" t="str">
        <f aca="false">IF(C1280="","",IF(LEN(UPPER(SUBSTITUTE(SUBSTITUTE(SUBSTITUTE(SUBSTITUTE(TRIM(C1280),".",""),"/",""),"-","")," ","")))&lt;14,RIGHT(REPT("0",14)&amp;UPPER(SUBSTITUTE(SUBSTITUTE(SUBSTITUTE(SUBSTITUTE(TRIM(C1280),".",""),"/",""),"-","")," ","")),14),UPPER(SUBSTITUTE(SUBSTITUTE(SUBSTITUTE(SUBSTITUTE(TRIM(C1280),".",""),"/",""),"-","")," ",""))))</f>
        <v/>
      </c>
      <c r="E1280" s="25" t="str">
        <f aca="false">IF(D1280="","",IFERROR(INDEX(Empresas!$C:$C,MATCH(D1280,Empresas!$B:$B,0)),"cadastre o CNPJ em Empresas"))</f>
        <v/>
      </c>
      <c r="F1280" s="23"/>
      <c r="G1280" s="35"/>
      <c r="H1280" s="24"/>
      <c r="I1280" s="11"/>
      <c r="J1280" s="27" t="str">
        <f aca="false">IF(A1280="","",YEAR(A1280))</f>
        <v/>
      </c>
      <c r="K1280" s="24"/>
      <c r="L1280" s="11"/>
    </row>
    <row r="1281" customFormat="false" ht="15" hidden="false" customHeight="false" outlineLevel="0" collapsed="false">
      <c r="A1281" s="22"/>
      <c r="B1281" s="11"/>
      <c r="C1281" s="24"/>
      <c r="D1281" s="31" t="str">
        <f aca="false">IF(C1281="","",IF(LEN(UPPER(SUBSTITUTE(SUBSTITUTE(SUBSTITUTE(SUBSTITUTE(TRIM(C1281),".",""),"/",""),"-","")," ","")))&lt;14,RIGHT(REPT("0",14)&amp;UPPER(SUBSTITUTE(SUBSTITUTE(SUBSTITUTE(SUBSTITUTE(TRIM(C1281),".",""),"/",""),"-","")," ","")),14),UPPER(SUBSTITUTE(SUBSTITUTE(SUBSTITUTE(SUBSTITUTE(TRIM(C1281),".",""),"/",""),"-","")," ",""))))</f>
        <v/>
      </c>
      <c r="E1281" s="25" t="str">
        <f aca="false">IF(D1281="","",IFERROR(INDEX(Empresas!$C:$C,MATCH(D1281,Empresas!$B:$B,0)),"cadastre o CNPJ em Empresas"))</f>
        <v/>
      </c>
      <c r="F1281" s="23"/>
      <c r="G1281" s="35"/>
      <c r="H1281" s="24"/>
      <c r="I1281" s="11"/>
      <c r="J1281" s="27" t="str">
        <f aca="false">IF(A1281="","",YEAR(A1281))</f>
        <v/>
      </c>
      <c r="K1281" s="24"/>
      <c r="L1281" s="11"/>
    </row>
    <row r="1282" customFormat="false" ht="15" hidden="false" customHeight="false" outlineLevel="0" collapsed="false">
      <c r="A1282" s="22"/>
      <c r="B1282" s="11"/>
      <c r="C1282" s="24"/>
      <c r="D1282" s="31" t="str">
        <f aca="false">IF(C1282="","",IF(LEN(UPPER(SUBSTITUTE(SUBSTITUTE(SUBSTITUTE(SUBSTITUTE(TRIM(C1282),".",""),"/",""),"-","")," ","")))&lt;14,RIGHT(REPT("0",14)&amp;UPPER(SUBSTITUTE(SUBSTITUTE(SUBSTITUTE(SUBSTITUTE(TRIM(C1282),".",""),"/",""),"-","")," ","")),14),UPPER(SUBSTITUTE(SUBSTITUTE(SUBSTITUTE(SUBSTITUTE(TRIM(C1282),".",""),"/",""),"-","")," ",""))))</f>
        <v/>
      </c>
      <c r="E1282" s="25" t="str">
        <f aca="false">IF(D1282="","",IFERROR(INDEX(Empresas!$C:$C,MATCH(D1282,Empresas!$B:$B,0)),"cadastre o CNPJ em Empresas"))</f>
        <v/>
      </c>
      <c r="F1282" s="23"/>
      <c r="G1282" s="35"/>
      <c r="H1282" s="24"/>
      <c r="I1282" s="11"/>
      <c r="J1282" s="27" t="str">
        <f aca="false">IF(A1282="","",YEAR(A1282))</f>
        <v/>
      </c>
      <c r="K1282" s="24"/>
      <c r="L1282" s="11"/>
    </row>
    <row r="1283" customFormat="false" ht="15" hidden="false" customHeight="false" outlineLevel="0" collapsed="false">
      <c r="A1283" s="22"/>
      <c r="B1283" s="11"/>
      <c r="C1283" s="24"/>
      <c r="D1283" s="31" t="str">
        <f aca="false">IF(C1283="","",IF(LEN(UPPER(SUBSTITUTE(SUBSTITUTE(SUBSTITUTE(SUBSTITUTE(TRIM(C1283),".",""),"/",""),"-","")," ","")))&lt;14,RIGHT(REPT("0",14)&amp;UPPER(SUBSTITUTE(SUBSTITUTE(SUBSTITUTE(SUBSTITUTE(TRIM(C1283),".",""),"/",""),"-","")," ","")),14),UPPER(SUBSTITUTE(SUBSTITUTE(SUBSTITUTE(SUBSTITUTE(TRIM(C1283),".",""),"/",""),"-","")," ",""))))</f>
        <v/>
      </c>
      <c r="E1283" s="25" t="str">
        <f aca="false">IF(D1283="","",IFERROR(INDEX(Empresas!$C:$C,MATCH(D1283,Empresas!$B:$B,0)),"cadastre o CNPJ em Empresas"))</f>
        <v/>
      </c>
      <c r="F1283" s="23"/>
      <c r="G1283" s="35"/>
      <c r="H1283" s="24"/>
      <c r="I1283" s="11"/>
      <c r="J1283" s="27" t="str">
        <f aca="false">IF(A1283="","",YEAR(A1283))</f>
        <v/>
      </c>
      <c r="K1283" s="24"/>
      <c r="L1283" s="11"/>
    </row>
    <row r="1284" customFormat="false" ht="15" hidden="false" customHeight="false" outlineLevel="0" collapsed="false">
      <c r="A1284" s="22"/>
      <c r="B1284" s="11"/>
      <c r="C1284" s="24"/>
      <c r="D1284" s="31" t="str">
        <f aca="false">IF(C1284="","",IF(LEN(UPPER(SUBSTITUTE(SUBSTITUTE(SUBSTITUTE(SUBSTITUTE(TRIM(C1284),".",""),"/",""),"-","")," ","")))&lt;14,RIGHT(REPT("0",14)&amp;UPPER(SUBSTITUTE(SUBSTITUTE(SUBSTITUTE(SUBSTITUTE(TRIM(C1284),".",""),"/",""),"-","")," ","")),14),UPPER(SUBSTITUTE(SUBSTITUTE(SUBSTITUTE(SUBSTITUTE(TRIM(C1284),".",""),"/",""),"-","")," ",""))))</f>
        <v/>
      </c>
      <c r="E1284" s="25" t="str">
        <f aca="false">IF(D1284="","",IFERROR(INDEX(Empresas!$C:$C,MATCH(D1284,Empresas!$B:$B,0)),"cadastre o CNPJ em Empresas"))</f>
        <v/>
      </c>
      <c r="F1284" s="23"/>
      <c r="G1284" s="35"/>
      <c r="H1284" s="24"/>
      <c r="I1284" s="11"/>
      <c r="J1284" s="27" t="str">
        <f aca="false">IF(A1284="","",YEAR(A1284))</f>
        <v/>
      </c>
      <c r="K1284" s="24"/>
      <c r="L1284" s="11"/>
    </row>
    <row r="1285" customFormat="false" ht="15" hidden="false" customHeight="false" outlineLevel="0" collapsed="false">
      <c r="A1285" s="22"/>
      <c r="B1285" s="11"/>
      <c r="C1285" s="24"/>
      <c r="D1285" s="31" t="str">
        <f aca="false">IF(C1285="","",IF(LEN(UPPER(SUBSTITUTE(SUBSTITUTE(SUBSTITUTE(SUBSTITUTE(TRIM(C1285),".",""),"/",""),"-","")," ","")))&lt;14,RIGHT(REPT("0",14)&amp;UPPER(SUBSTITUTE(SUBSTITUTE(SUBSTITUTE(SUBSTITUTE(TRIM(C1285),".",""),"/",""),"-","")," ","")),14),UPPER(SUBSTITUTE(SUBSTITUTE(SUBSTITUTE(SUBSTITUTE(TRIM(C1285),".",""),"/",""),"-","")," ",""))))</f>
        <v/>
      </c>
      <c r="E1285" s="25" t="str">
        <f aca="false">IF(D1285="","",IFERROR(INDEX(Empresas!$C:$C,MATCH(D1285,Empresas!$B:$B,0)),"cadastre o CNPJ em Empresas"))</f>
        <v/>
      </c>
      <c r="F1285" s="23"/>
      <c r="G1285" s="35"/>
      <c r="H1285" s="24"/>
      <c r="I1285" s="11"/>
      <c r="J1285" s="27" t="str">
        <f aca="false">IF(A1285="","",YEAR(A1285))</f>
        <v/>
      </c>
      <c r="K1285" s="24"/>
      <c r="L1285" s="11"/>
    </row>
    <row r="1286" customFormat="false" ht="15" hidden="false" customHeight="false" outlineLevel="0" collapsed="false">
      <c r="A1286" s="22"/>
      <c r="B1286" s="11"/>
      <c r="C1286" s="24"/>
      <c r="D1286" s="31" t="str">
        <f aca="false">IF(C1286="","",IF(LEN(UPPER(SUBSTITUTE(SUBSTITUTE(SUBSTITUTE(SUBSTITUTE(TRIM(C1286),".",""),"/",""),"-","")," ","")))&lt;14,RIGHT(REPT("0",14)&amp;UPPER(SUBSTITUTE(SUBSTITUTE(SUBSTITUTE(SUBSTITUTE(TRIM(C1286),".",""),"/",""),"-","")," ","")),14),UPPER(SUBSTITUTE(SUBSTITUTE(SUBSTITUTE(SUBSTITUTE(TRIM(C1286),".",""),"/",""),"-","")," ",""))))</f>
        <v/>
      </c>
      <c r="E1286" s="25" t="str">
        <f aca="false">IF(D1286="","",IFERROR(INDEX(Empresas!$C:$C,MATCH(D1286,Empresas!$B:$B,0)),"cadastre o CNPJ em Empresas"))</f>
        <v/>
      </c>
      <c r="F1286" s="23"/>
      <c r="G1286" s="35"/>
      <c r="H1286" s="24"/>
      <c r="I1286" s="11"/>
      <c r="J1286" s="27" t="str">
        <f aca="false">IF(A1286="","",YEAR(A1286))</f>
        <v/>
      </c>
      <c r="K1286" s="24"/>
      <c r="L1286" s="11"/>
    </row>
    <row r="1287" customFormat="false" ht="15" hidden="false" customHeight="false" outlineLevel="0" collapsed="false">
      <c r="A1287" s="22"/>
      <c r="B1287" s="11"/>
      <c r="C1287" s="24"/>
      <c r="D1287" s="31" t="str">
        <f aca="false">IF(C1287="","",IF(LEN(UPPER(SUBSTITUTE(SUBSTITUTE(SUBSTITUTE(SUBSTITUTE(TRIM(C1287),".",""),"/",""),"-","")," ","")))&lt;14,RIGHT(REPT("0",14)&amp;UPPER(SUBSTITUTE(SUBSTITUTE(SUBSTITUTE(SUBSTITUTE(TRIM(C1287),".",""),"/",""),"-","")," ","")),14),UPPER(SUBSTITUTE(SUBSTITUTE(SUBSTITUTE(SUBSTITUTE(TRIM(C1287),".",""),"/",""),"-","")," ",""))))</f>
        <v/>
      </c>
      <c r="E1287" s="25" t="str">
        <f aca="false">IF(D1287="","",IFERROR(INDEX(Empresas!$C:$C,MATCH(D1287,Empresas!$B:$B,0)),"cadastre o CNPJ em Empresas"))</f>
        <v/>
      </c>
      <c r="F1287" s="23"/>
      <c r="G1287" s="35"/>
      <c r="H1287" s="24"/>
      <c r="I1287" s="11"/>
      <c r="J1287" s="27" t="str">
        <f aca="false">IF(A1287="","",YEAR(A1287))</f>
        <v/>
      </c>
      <c r="K1287" s="24"/>
      <c r="L1287" s="11"/>
    </row>
    <row r="1288" customFormat="false" ht="15" hidden="false" customHeight="false" outlineLevel="0" collapsed="false">
      <c r="A1288" s="22"/>
      <c r="B1288" s="11"/>
      <c r="C1288" s="24"/>
      <c r="D1288" s="31" t="str">
        <f aca="false">IF(C1288="","",IF(LEN(UPPER(SUBSTITUTE(SUBSTITUTE(SUBSTITUTE(SUBSTITUTE(TRIM(C1288),".",""),"/",""),"-","")," ","")))&lt;14,RIGHT(REPT("0",14)&amp;UPPER(SUBSTITUTE(SUBSTITUTE(SUBSTITUTE(SUBSTITUTE(TRIM(C1288),".",""),"/",""),"-","")," ","")),14),UPPER(SUBSTITUTE(SUBSTITUTE(SUBSTITUTE(SUBSTITUTE(TRIM(C1288),".",""),"/",""),"-","")," ",""))))</f>
        <v/>
      </c>
      <c r="E1288" s="25" t="str">
        <f aca="false">IF(D1288="","",IFERROR(INDEX(Empresas!$C:$C,MATCH(D1288,Empresas!$B:$B,0)),"cadastre o CNPJ em Empresas"))</f>
        <v/>
      </c>
      <c r="F1288" s="23"/>
      <c r="G1288" s="35"/>
      <c r="H1288" s="24"/>
      <c r="I1288" s="11"/>
      <c r="J1288" s="27" t="str">
        <f aca="false">IF(A1288="","",YEAR(A1288))</f>
        <v/>
      </c>
      <c r="K1288" s="24"/>
      <c r="L1288" s="11"/>
    </row>
    <row r="1289" customFormat="false" ht="15" hidden="false" customHeight="false" outlineLevel="0" collapsed="false">
      <c r="A1289" s="22"/>
      <c r="B1289" s="11"/>
      <c r="C1289" s="24"/>
      <c r="D1289" s="31" t="str">
        <f aca="false">IF(C1289="","",IF(LEN(UPPER(SUBSTITUTE(SUBSTITUTE(SUBSTITUTE(SUBSTITUTE(TRIM(C1289),".",""),"/",""),"-","")," ","")))&lt;14,RIGHT(REPT("0",14)&amp;UPPER(SUBSTITUTE(SUBSTITUTE(SUBSTITUTE(SUBSTITUTE(TRIM(C1289),".",""),"/",""),"-","")," ","")),14),UPPER(SUBSTITUTE(SUBSTITUTE(SUBSTITUTE(SUBSTITUTE(TRIM(C1289),".",""),"/",""),"-","")," ",""))))</f>
        <v/>
      </c>
      <c r="E1289" s="25" t="str">
        <f aca="false">IF(D1289="","",IFERROR(INDEX(Empresas!$C:$C,MATCH(D1289,Empresas!$B:$B,0)),"cadastre o CNPJ em Empresas"))</f>
        <v/>
      </c>
      <c r="F1289" s="23"/>
      <c r="G1289" s="35"/>
      <c r="H1289" s="24"/>
      <c r="I1289" s="11"/>
      <c r="J1289" s="27" t="str">
        <f aca="false">IF(A1289="","",YEAR(A1289))</f>
        <v/>
      </c>
      <c r="K1289" s="24"/>
      <c r="L1289" s="11"/>
    </row>
    <row r="1290" customFormat="false" ht="15" hidden="false" customHeight="false" outlineLevel="0" collapsed="false">
      <c r="A1290" s="22"/>
      <c r="B1290" s="11"/>
      <c r="C1290" s="24"/>
      <c r="D1290" s="31" t="str">
        <f aca="false">IF(C1290="","",IF(LEN(UPPER(SUBSTITUTE(SUBSTITUTE(SUBSTITUTE(SUBSTITUTE(TRIM(C1290),".",""),"/",""),"-","")," ","")))&lt;14,RIGHT(REPT("0",14)&amp;UPPER(SUBSTITUTE(SUBSTITUTE(SUBSTITUTE(SUBSTITUTE(TRIM(C1290),".",""),"/",""),"-","")," ","")),14),UPPER(SUBSTITUTE(SUBSTITUTE(SUBSTITUTE(SUBSTITUTE(TRIM(C1290),".",""),"/",""),"-","")," ",""))))</f>
        <v/>
      </c>
      <c r="E1290" s="25" t="str">
        <f aca="false">IF(D1290="","",IFERROR(INDEX(Empresas!$C:$C,MATCH(D1290,Empresas!$B:$B,0)),"cadastre o CNPJ em Empresas"))</f>
        <v/>
      </c>
      <c r="F1290" s="23"/>
      <c r="G1290" s="35"/>
      <c r="H1290" s="24"/>
      <c r="I1290" s="11"/>
      <c r="J1290" s="27" t="str">
        <f aca="false">IF(A1290="","",YEAR(A1290))</f>
        <v/>
      </c>
      <c r="K1290" s="24"/>
      <c r="L1290" s="11"/>
    </row>
    <row r="1291" customFormat="false" ht="15" hidden="false" customHeight="false" outlineLevel="0" collapsed="false">
      <c r="A1291" s="22"/>
      <c r="B1291" s="11"/>
      <c r="C1291" s="24"/>
      <c r="D1291" s="31" t="str">
        <f aca="false">IF(C1291="","",IF(LEN(UPPER(SUBSTITUTE(SUBSTITUTE(SUBSTITUTE(SUBSTITUTE(TRIM(C1291),".",""),"/",""),"-","")," ","")))&lt;14,RIGHT(REPT("0",14)&amp;UPPER(SUBSTITUTE(SUBSTITUTE(SUBSTITUTE(SUBSTITUTE(TRIM(C1291),".",""),"/",""),"-","")," ","")),14),UPPER(SUBSTITUTE(SUBSTITUTE(SUBSTITUTE(SUBSTITUTE(TRIM(C1291),".",""),"/",""),"-","")," ",""))))</f>
        <v/>
      </c>
      <c r="E1291" s="25" t="str">
        <f aca="false">IF(D1291="","",IFERROR(INDEX(Empresas!$C:$C,MATCH(D1291,Empresas!$B:$B,0)),"cadastre o CNPJ em Empresas"))</f>
        <v/>
      </c>
      <c r="F1291" s="23"/>
      <c r="G1291" s="35"/>
      <c r="H1291" s="24"/>
      <c r="I1291" s="11"/>
      <c r="J1291" s="27" t="str">
        <f aca="false">IF(A1291="","",YEAR(A1291))</f>
        <v/>
      </c>
      <c r="K1291" s="24"/>
      <c r="L1291" s="11"/>
    </row>
    <row r="1292" customFormat="false" ht="15" hidden="false" customHeight="false" outlineLevel="0" collapsed="false">
      <c r="A1292" s="22"/>
      <c r="B1292" s="11"/>
      <c r="C1292" s="24"/>
      <c r="D1292" s="31" t="str">
        <f aca="false">IF(C1292="","",IF(LEN(UPPER(SUBSTITUTE(SUBSTITUTE(SUBSTITUTE(SUBSTITUTE(TRIM(C1292),".",""),"/",""),"-","")," ","")))&lt;14,RIGHT(REPT("0",14)&amp;UPPER(SUBSTITUTE(SUBSTITUTE(SUBSTITUTE(SUBSTITUTE(TRIM(C1292),".",""),"/",""),"-","")," ","")),14),UPPER(SUBSTITUTE(SUBSTITUTE(SUBSTITUTE(SUBSTITUTE(TRIM(C1292),".",""),"/",""),"-","")," ",""))))</f>
        <v/>
      </c>
      <c r="E1292" s="25" t="str">
        <f aca="false">IF(D1292="","",IFERROR(INDEX(Empresas!$C:$C,MATCH(D1292,Empresas!$B:$B,0)),"cadastre o CNPJ em Empresas"))</f>
        <v/>
      </c>
      <c r="F1292" s="23"/>
      <c r="G1292" s="35"/>
      <c r="H1292" s="24"/>
      <c r="I1292" s="11"/>
      <c r="J1292" s="27" t="str">
        <f aca="false">IF(A1292="","",YEAR(A1292))</f>
        <v/>
      </c>
      <c r="K1292" s="24"/>
      <c r="L1292" s="11"/>
    </row>
    <row r="1293" customFormat="false" ht="15" hidden="false" customHeight="false" outlineLevel="0" collapsed="false">
      <c r="A1293" s="22"/>
      <c r="B1293" s="11"/>
      <c r="C1293" s="24"/>
      <c r="D1293" s="31" t="str">
        <f aca="false">IF(C1293="","",IF(LEN(UPPER(SUBSTITUTE(SUBSTITUTE(SUBSTITUTE(SUBSTITUTE(TRIM(C1293),".",""),"/",""),"-","")," ","")))&lt;14,RIGHT(REPT("0",14)&amp;UPPER(SUBSTITUTE(SUBSTITUTE(SUBSTITUTE(SUBSTITUTE(TRIM(C1293),".",""),"/",""),"-","")," ","")),14),UPPER(SUBSTITUTE(SUBSTITUTE(SUBSTITUTE(SUBSTITUTE(TRIM(C1293),".",""),"/",""),"-","")," ",""))))</f>
        <v/>
      </c>
      <c r="E1293" s="25" t="str">
        <f aca="false">IF(D1293="","",IFERROR(INDEX(Empresas!$C:$C,MATCH(D1293,Empresas!$B:$B,0)),"cadastre o CNPJ em Empresas"))</f>
        <v/>
      </c>
      <c r="F1293" s="23"/>
      <c r="G1293" s="35"/>
      <c r="H1293" s="24"/>
      <c r="I1293" s="11"/>
      <c r="J1293" s="27" t="str">
        <f aca="false">IF(A1293="","",YEAR(A1293))</f>
        <v/>
      </c>
      <c r="K1293" s="24"/>
      <c r="L1293" s="11"/>
    </row>
    <row r="1294" customFormat="false" ht="15" hidden="false" customHeight="false" outlineLevel="0" collapsed="false">
      <c r="A1294" s="22"/>
      <c r="B1294" s="11"/>
      <c r="C1294" s="24"/>
      <c r="D1294" s="31" t="str">
        <f aca="false">IF(C1294="","",IF(LEN(UPPER(SUBSTITUTE(SUBSTITUTE(SUBSTITUTE(SUBSTITUTE(TRIM(C1294),".",""),"/",""),"-","")," ","")))&lt;14,RIGHT(REPT("0",14)&amp;UPPER(SUBSTITUTE(SUBSTITUTE(SUBSTITUTE(SUBSTITUTE(TRIM(C1294),".",""),"/",""),"-","")," ","")),14),UPPER(SUBSTITUTE(SUBSTITUTE(SUBSTITUTE(SUBSTITUTE(TRIM(C1294),".",""),"/",""),"-","")," ",""))))</f>
        <v/>
      </c>
      <c r="E1294" s="25" t="str">
        <f aca="false">IF(D1294="","",IFERROR(INDEX(Empresas!$C:$C,MATCH(D1294,Empresas!$B:$B,0)),"cadastre o CNPJ em Empresas"))</f>
        <v/>
      </c>
      <c r="F1294" s="23"/>
      <c r="G1294" s="35"/>
      <c r="H1294" s="24"/>
      <c r="I1294" s="11"/>
      <c r="J1294" s="27" t="str">
        <f aca="false">IF(A1294="","",YEAR(A1294))</f>
        <v/>
      </c>
      <c r="K1294" s="24"/>
      <c r="L1294" s="11"/>
    </row>
    <row r="1295" customFormat="false" ht="15" hidden="false" customHeight="false" outlineLevel="0" collapsed="false">
      <c r="A1295" s="22"/>
      <c r="B1295" s="11"/>
      <c r="C1295" s="24"/>
      <c r="D1295" s="31" t="str">
        <f aca="false">IF(C1295="","",IF(LEN(UPPER(SUBSTITUTE(SUBSTITUTE(SUBSTITUTE(SUBSTITUTE(TRIM(C1295),".",""),"/",""),"-","")," ","")))&lt;14,RIGHT(REPT("0",14)&amp;UPPER(SUBSTITUTE(SUBSTITUTE(SUBSTITUTE(SUBSTITUTE(TRIM(C1295),".",""),"/",""),"-","")," ","")),14),UPPER(SUBSTITUTE(SUBSTITUTE(SUBSTITUTE(SUBSTITUTE(TRIM(C1295),".",""),"/",""),"-","")," ",""))))</f>
        <v/>
      </c>
      <c r="E1295" s="25" t="str">
        <f aca="false">IF(D1295="","",IFERROR(INDEX(Empresas!$C:$C,MATCH(D1295,Empresas!$B:$B,0)),"cadastre o CNPJ em Empresas"))</f>
        <v/>
      </c>
      <c r="F1295" s="23"/>
      <c r="G1295" s="35"/>
      <c r="H1295" s="24"/>
      <c r="I1295" s="11"/>
      <c r="J1295" s="27" t="str">
        <f aca="false">IF(A1295="","",YEAR(A1295))</f>
        <v/>
      </c>
      <c r="K1295" s="24"/>
      <c r="L1295" s="11"/>
    </row>
    <row r="1296" customFormat="false" ht="15" hidden="false" customHeight="false" outlineLevel="0" collapsed="false">
      <c r="A1296" s="22"/>
      <c r="B1296" s="11"/>
      <c r="C1296" s="24"/>
      <c r="D1296" s="31" t="str">
        <f aca="false">IF(C1296="","",IF(LEN(UPPER(SUBSTITUTE(SUBSTITUTE(SUBSTITUTE(SUBSTITUTE(TRIM(C1296),".",""),"/",""),"-","")," ","")))&lt;14,RIGHT(REPT("0",14)&amp;UPPER(SUBSTITUTE(SUBSTITUTE(SUBSTITUTE(SUBSTITUTE(TRIM(C1296),".",""),"/",""),"-","")," ","")),14),UPPER(SUBSTITUTE(SUBSTITUTE(SUBSTITUTE(SUBSTITUTE(TRIM(C1296),".",""),"/",""),"-","")," ",""))))</f>
        <v/>
      </c>
      <c r="E1296" s="25" t="str">
        <f aca="false">IF(D1296="","",IFERROR(INDEX(Empresas!$C:$C,MATCH(D1296,Empresas!$B:$B,0)),"cadastre o CNPJ em Empresas"))</f>
        <v/>
      </c>
      <c r="F1296" s="23"/>
      <c r="G1296" s="35"/>
      <c r="H1296" s="24"/>
      <c r="I1296" s="11"/>
      <c r="J1296" s="27" t="str">
        <f aca="false">IF(A1296="","",YEAR(A1296))</f>
        <v/>
      </c>
      <c r="K1296" s="24"/>
      <c r="L1296" s="11"/>
    </row>
    <row r="1297" customFormat="false" ht="15" hidden="false" customHeight="false" outlineLevel="0" collapsed="false">
      <c r="A1297" s="22"/>
      <c r="B1297" s="11"/>
      <c r="C1297" s="24"/>
      <c r="D1297" s="31" t="str">
        <f aca="false">IF(C1297="","",IF(LEN(UPPER(SUBSTITUTE(SUBSTITUTE(SUBSTITUTE(SUBSTITUTE(TRIM(C1297),".",""),"/",""),"-","")," ","")))&lt;14,RIGHT(REPT("0",14)&amp;UPPER(SUBSTITUTE(SUBSTITUTE(SUBSTITUTE(SUBSTITUTE(TRIM(C1297),".",""),"/",""),"-","")," ","")),14),UPPER(SUBSTITUTE(SUBSTITUTE(SUBSTITUTE(SUBSTITUTE(TRIM(C1297),".",""),"/",""),"-","")," ",""))))</f>
        <v/>
      </c>
      <c r="E1297" s="25" t="str">
        <f aca="false">IF(D1297="","",IFERROR(INDEX(Empresas!$C:$C,MATCH(D1297,Empresas!$B:$B,0)),"cadastre o CNPJ em Empresas"))</f>
        <v/>
      </c>
      <c r="F1297" s="23"/>
      <c r="G1297" s="35"/>
      <c r="H1297" s="24"/>
      <c r="I1297" s="11"/>
      <c r="J1297" s="27" t="str">
        <f aca="false">IF(A1297="","",YEAR(A1297))</f>
        <v/>
      </c>
      <c r="K1297" s="24"/>
      <c r="L1297" s="11"/>
    </row>
    <row r="1298" customFormat="false" ht="15" hidden="false" customHeight="false" outlineLevel="0" collapsed="false">
      <c r="A1298" s="22"/>
      <c r="B1298" s="11"/>
      <c r="C1298" s="24"/>
      <c r="D1298" s="31" t="str">
        <f aca="false">IF(C1298="","",IF(LEN(UPPER(SUBSTITUTE(SUBSTITUTE(SUBSTITUTE(SUBSTITUTE(TRIM(C1298),".",""),"/",""),"-","")," ","")))&lt;14,RIGHT(REPT("0",14)&amp;UPPER(SUBSTITUTE(SUBSTITUTE(SUBSTITUTE(SUBSTITUTE(TRIM(C1298),".",""),"/",""),"-","")," ","")),14),UPPER(SUBSTITUTE(SUBSTITUTE(SUBSTITUTE(SUBSTITUTE(TRIM(C1298),".",""),"/",""),"-","")," ",""))))</f>
        <v/>
      </c>
      <c r="E1298" s="25" t="str">
        <f aca="false">IF(D1298="","",IFERROR(INDEX(Empresas!$C:$C,MATCH(D1298,Empresas!$B:$B,0)),"cadastre o CNPJ em Empresas"))</f>
        <v/>
      </c>
      <c r="F1298" s="23"/>
      <c r="G1298" s="35"/>
      <c r="H1298" s="24"/>
      <c r="I1298" s="11"/>
      <c r="J1298" s="27" t="str">
        <f aca="false">IF(A1298="","",YEAR(A1298))</f>
        <v/>
      </c>
      <c r="K1298" s="24"/>
      <c r="L1298" s="11"/>
    </row>
    <row r="1299" customFormat="false" ht="15" hidden="false" customHeight="false" outlineLevel="0" collapsed="false">
      <c r="A1299" s="22"/>
      <c r="B1299" s="11"/>
      <c r="C1299" s="24"/>
      <c r="D1299" s="31" t="str">
        <f aca="false">IF(C1299="","",IF(LEN(UPPER(SUBSTITUTE(SUBSTITUTE(SUBSTITUTE(SUBSTITUTE(TRIM(C1299),".",""),"/",""),"-","")," ","")))&lt;14,RIGHT(REPT("0",14)&amp;UPPER(SUBSTITUTE(SUBSTITUTE(SUBSTITUTE(SUBSTITUTE(TRIM(C1299),".",""),"/",""),"-","")," ","")),14),UPPER(SUBSTITUTE(SUBSTITUTE(SUBSTITUTE(SUBSTITUTE(TRIM(C1299),".",""),"/",""),"-","")," ",""))))</f>
        <v/>
      </c>
      <c r="E1299" s="25" t="str">
        <f aca="false">IF(D1299="","",IFERROR(INDEX(Empresas!$C:$C,MATCH(D1299,Empresas!$B:$B,0)),"cadastre o CNPJ em Empresas"))</f>
        <v/>
      </c>
      <c r="F1299" s="23"/>
      <c r="G1299" s="35"/>
      <c r="H1299" s="24"/>
      <c r="I1299" s="11"/>
      <c r="J1299" s="27" t="str">
        <f aca="false">IF(A1299="","",YEAR(A1299))</f>
        <v/>
      </c>
      <c r="K1299" s="24"/>
      <c r="L1299" s="11"/>
    </row>
    <row r="1300" customFormat="false" ht="15" hidden="false" customHeight="false" outlineLevel="0" collapsed="false">
      <c r="A1300" s="22"/>
      <c r="B1300" s="11"/>
      <c r="C1300" s="24"/>
      <c r="D1300" s="31" t="str">
        <f aca="false">IF(C1300="","",IF(LEN(UPPER(SUBSTITUTE(SUBSTITUTE(SUBSTITUTE(SUBSTITUTE(TRIM(C1300),".",""),"/",""),"-","")," ","")))&lt;14,RIGHT(REPT("0",14)&amp;UPPER(SUBSTITUTE(SUBSTITUTE(SUBSTITUTE(SUBSTITUTE(TRIM(C1300),".",""),"/",""),"-","")," ","")),14),UPPER(SUBSTITUTE(SUBSTITUTE(SUBSTITUTE(SUBSTITUTE(TRIM(C1300),".",""),"/",""),"-","")," ",""))))</f>
        <v/>
      </c>
      <c r="E1300" s="25" t="str">
        <f aca="false">IF(D1300="","",IFERROR(INDEX(Empresas!$C:$C,MATCH(D1300,Empresas!$B:$B,0)),"cadastre o CNPJ em Empresas"))</f>
        <v/>
      </c>
      <c r="F1300" s="23"/>
      <c r="G1300" s="35"/>
      <c r="H1300" s="24"/>
      <c r="I1300" s="11"/>
      <c r="J1300" s="27" t="str">
        <f aca="false">IF(A1300="","",YEAR(A1300))</f>
        <v/>
      </c>
      <c r="K1300" s="24"/>
      <c r="L1300" s="11"/>
    </row>
    <row r="1301" customFormat="false" ht="15" hidden="false" customHeight="false" outlineLevel="0" collapsed="false">
      <c r="A1301" s="22"/>
      <c r="B1301" s="11"/>
      <c r="C1301" s="24"/>
      <c r="D1301" s="31" t="str">
        <f aca="false">IF(C1301="","",IF(LEN(UPPER(SUBSTITUTE(SUBSTITUTE(SUBSTITUTE(SUBSTITUTE(TRIM(C1301),".",""),"/",""),"-","")," ","")))&lt;14,RIGHT(REPT("0",14)&amp;UPPER(SUBSTITUTE(SUBSTITUTE(SUBSTITUTE(SUBSTITUTE(TRIM(C1301),".",""),"/",""),"-","")," ","")),14),UPPER(SUBSTITUTE(SUBSTITUTE(SUBSTITUTE(SUBSTITUTE(TRIM(C1301),".",""),"/",""),"-","")," ",""))))</f>
        <v/>
      </c>
      <c r="E1301" s="25" t="str">
        <f aca="false">IF(D1301="","",IFERROR(INDEX(Empresas!$C:$C,MATCH(D1301,Empresas!$B:$B,0)),"cadastre o CNPJ em Empresas"))</f>
        <v/>
      </c>
      <c r="F1301" s="23"/>
      <c r="G1301" s="35"/>
      <c r="H1301" s="24"/>
      <c r="I1301" s="11"/>
      <c r="J1301" s="27" t="str">
        <f aca="false">IF(A1301="","",YEAR(A1301))</f>
        <v/>
      </c>
      <c r="K1301" s="24"/>
      <c r="L1301" s="11"/>
    </row>
    <row r="1302" customFormat="false" ht="15" hidden="false" customHeight="false" outlineLevel="0" collapsed="false">
      <c r="A1302" s="22"/>
      <c r="B1302" s="11"/>
      <c r="C1302" s="24"/>
      <c r="D1302" s="31" t="str">
        <f aca="false">IF(C1302="","",IF(LEN(UPPER(SUBSTITUTE(SUBSTITUTE(SUBSTITUTE(SUBSTITUTE(TRIM(C1302),".",""),"/",""),"-","")," ","")))&lt;14,RIGHT(REPT("0",14)&amp;UPPER(SUBSTITUTE(SUBSTITUTE(SUBSTITUTE(SUBSTITUTE(TRIM(C1302),".",""),"/",""),"-","")," ","")),14),UPPER(SUBSTITUTE(SUBSTITUTE(SUBSTITUTE(SUBSTITUTE(TRIM(C1302),".",""),"/",""),"-","")," ",""))))</f>
        <v/>
      </c>
      <c r="E1302" s="25" t="str">
        <f aca="false">IF(D1302="","",IFERROR(INDEX(Empresas!$C:$C,MATCH(D1302,Empresas!$B:$B,0)),"cadastre o CNPJ em Empresas"))</f>
        <v/>
      </c>
      <c r="F1302" s="23"/>
      <c r="G1302" s="35"/>
      <c r="H1302" s="24"/>
      <c r="I1302" s="11"/>
      <c r="J1302" s="27" t="str">
        <f aca="false">IF(A1302="","",YEAR(A1302))</f>
        <v/>
      </c>
      <c r="K1302" s="24"/>
      <c r="L1302" s="11"/>
    </row>
    <row r="1303" customFormat="false" ht="15" hidden="false" customHeight="false" outlineLevel="0" collapsed="false">
      <c r="A1303" s="22"/>
      <c r="B1303" s="11"/>
      <c r="C1303" s="24"/>
      <c r="D1303" s="31" t="str">
        <f aca="false">IF(C1303="","",IF(LEN(UPPER(SUBSTITUTE(SUBSTITUTE(SUBSTITUTE(SUBSTITUTE(TRIM(C1303),".",""),"/",""),"-","")," ","")))&lt;14,RIGHT(REPT("0",14)&amp;UPPER(SUBSTITUTE(SUBSTITUTE(SUBSTITUTE(SUBSTITUTE(TRIM(C1303),".",""),"/",""),"-","")," ","")),14),UPPER(SUBSTITUTE(SUBSTITUTE(SUBSTITUTE(SUBSTITUTE(TRIM(C1303),".",""),"/",""),"-","")," ",""))))</f>
        <v/>
      </c>
      <c r="E1303" s="25" t="str">
        <f aca="false">IF(D1303="","",IFERROR(INDEX(Empresas!$C:$C,MATCH(D1303,Empresas!$B:$B,0)),"cadastre o CNPJ em Empresas"))</f>
        <v/>
      </c>
      <c r="F1303" s="23"/>
      <c r="G1303" s="35"/>
      <c r="H1303" s="24"/>
      <c r="I1303" s="11"/>
      <c r="J1303" s="27" t="str">
        <f aca="false">IF(A1303="","",YEAR(A1303))</f>
        <v/>
      </c>
      <c r="K1303" s="24"/>
      <c r="L1303" s="11"/>
    </row>
    <row r="1304" customFormat="false" ht="15" hidden="false" customHeight="false" outlineLevel="0" collapsed="false">
      <c r="A1304" s="22"/>
      <c r="B1304" s="11"/>
      <c r="C1304" s="24"/>
      <c r="D1304" s="31" t="str">
        <f aca="false">IF(C1304="","",IF(LEN(UPPER(SUBSTITUTE(SUBSTITUTE(SUBSTITUTE(SUBSTITUTE(TRIM(C1304),".",""),"/",""),"-","")," ","")))&lt;14,RIGHT(REPT("0",14)&amp;UPPER(SUBSTITUTE(SUBSTITUTE(SUBSTITUTE(SUBSTITUTE(TRIM(C1304),".",""),"/",""),"-","")," ","")),14),UPPER(SUBSTITUTE(SUBSTITUTE(SUBSTITUTE(SUBSTITUTE(TRIM(C1304),".",""),"/",""),"-","")," ",""))))</f>
        <v/>
      </c>
      <c r="E1304" s="25" t="str">
        <f aca="false">IF(D1304="","",IFERROR(INDEX(Empresas!$C:$C,MATCH(D1304,Empresas!$B:$B,0)),"cadastre o CNPJ em Empresas"))</f>
        <v/>
      </c>
      <c r="F1304" s="23"/>
      <c r="G1304" s="35"/>
      <c r="H1304" s="24"/>
      <c r="I1304" s="11"/>
      <c r="J1304" s="27" t="str">
        <f aca="false">IF(A1304="","",YEAR(A1304))</f>
        <v/>
      </c>
      <c r="K1304" s="24"/>
      <c r="L1304" s="11"/>
    </row>
    <row r="1305" customFormat="false" ht="15" hidden="false" customHeight="false" outlineLevel="0" collapsed="false">
      <c r="A1305" s="22"/>
      <c r="B1305" s="11"/>
      <c r="C1305" s="24"/>
      <c r="D1305" s="31" t="str">
        <f aca="false">IF(C1305="","",IF(LEN(UPPER(SUBSTITUTE(SUBSTITUTE(SUBSTITUTE(SUBSTITUTE(TRIM(C1305),".",""),"/",""),"-","")," ","")))&lt;14,RIGHT(REPT("0",14)&amp;UPPER(SUBSTITUTE(SUBSTITUTE(SUBSTITUTE(SUBSTITUTE(TRIM(C1305),".",""),"/",""),"-","")," ","")),14),UPPER(SUBSTITUTE(SUBSTITUTE(SUBSTITUTE(SUBSTITUTE(TRIM(C1305),".",""),"/",""),"-","")," ",""))))</f>
        <v/>
      </c>
      <c r="E1305" s="25" t="str">
        <f aca="false">IF(D1305="","",IFERROR(INDEX(Empresas!$C:$C,MATCH(D1305,Empresas!$B:$B,0)),"cadastre o CNPJ em Empresas"))</f>
        <v/>
      </c>
      <c r="F1305" s="23"/>
      <c r="G1305" s="35"/>
      <c r="H1305" s="24"/>
      <c r="I1305" s="11"/>
      <c r="J1305" s="27" t="str">
        <f aca="false">IF(A1305="","",YEAR(A1305))</f>
        <v/>
      </c>
      <c r="K1305" s="24"/>
      <c r="L1305" s="11"/>
    </row>
    <row r="1306" customFormat="false" ht="15" hidden="false" customHeight="false" outlineLevel="0" collapsed="false">
      <c r="A1306" s="22"/>
      <c r="B1306" s="11"/>
      <c r="C1306" s="24"/>
      <c r="D1306" s="31" t="str">
        <f aca="false">IF(C1306="","",IF(LEN(UPPER(SUBSTITUTE(SUBSTITUTE(SUBSTITUTE(SUBSTITUTE(TRIM(C1306),".",""),"/",""),"-","")," ","")))&lt;14,RIGHT(REPT("0",14)&amp;UPPER(SUBSTITUTE(SUBSTITUTE(SUBSTITUTE(SUBSTITUTE(TRIM(C1306),".",""),"/",""),"-","")," ","")),14),UPPER(SUBSTITUTE(SUBSTITUTE(SUBSTITUTE(SUBSTITUTE(TRIM(C1306),".",""),"/",""),"-","")," ",""))))</f>
        <v/>
      </c>
      <c r="E1306" s="25" t="str">
        <f aca="false">IF(D1306="","",IFERROR(INDEX(Empresas!$C:$C,MATCH(D1306,Empresas!$B:$B,0)),"cadastre o CNPJ em Empresas"))</f>
        <v/>
      </c>
      <c r="F1306" s="23"/>
      <c r="G1306" s="35"/>
      <c r="H1306" s="24"/>
      <c r="I1306" s="11"/>
      <c r="J1306" s="27" t="str">
        <f aca="false">IF(A1306="","",YEAR(A1306))</f>
        <v/>
      </c>
      <c r="K1306" s="24"/>
      <c r="L1306" s="11"/>
    </row>
    <row r="1307" customFormat="false" ht="15" hidden="false" customHeight="false" outlineLevel="0" collapsed="false">
      <c r="A1307" s="22"/>
      <c r="B1307" s="11"/>
      <c r="C1307" s="24"/>
      <c r="D1307" s="31" t="str">
        <f aca="false">IF(C1307="","",IF(LEN(UPPER(SUBSTITUTE(SUBSTITUTE(SUBSTITUTE(SUBSTITUTE(TRIM(C1307),".",""),"/",""),"-","")," ","")))&lt;14,RIGHT(REPT("0",14)&amp;UPPER(SUBSTITUTE(SUBSTITUTE(SUBSTITUTE(SUBSTITUTE(TRIM(C1307),".",""),"/",""),"-","")," ","")),14),UPPER(SUBSTITUTE(SUBSTITUTE(SUBSTITUTE(SUBSTITUTE(TRIM(C1307),".",""),"/",""),"-","")," ",""))))</f>
        <v/>
      </c>
      <c r="E1307" s="25" t="str">
        <f aca="false">IF(D1307="","",IFERROR(INDEX(Empresas!$C:$C,MATCH(D1307,Empresas!$B:$B,0)),"cadastre o CNPJ em Empresas"))</f>
        <v/>
      </c>
      <c r="F1307" s="23"/>
      <c r="G1307" s="35"/>
      <c r="H1307" s="24"/>
      <c r="I1307" s="11"/>
      <c r="J1307" s="27" t="str">
        <f aca="false">IF(A1307="","",YEAR(A1307))</f>
        <v/>
      </c>
      <c r="K1307" s="24"/>
      <c r="L1307" s="11"/>
    </row>
    <row r="1308" customFormat="false" ht="15" hidden="false" customHeight="false" outlineLevel="0" collapsed="false">
      <c r="A1308" s="22"/>
      <c r="B1308" s="11"/>
      <c r="C1308" s="24"/>
      <c r="D1308" s="31" t="str">
        <f aca="false">IF(C1308="","",IF(LEN(UPPER(SUBSTITUTE(SUBSTITUTE(SUBSTITUTE(SUBSTITUTE(TRIM(C1308),".",""),"/",""),"-","")," ","")))&lt;14,RIGHT(REPT("0",14)&amp;UPPER(SUBSTITUTE(SUBSTITUTE(SUBSTITUTE(SUBSTITUTE(TRIM(C1308),".",""),"/",""),"-","")," ","")),14),UPPER(SUBSTITUTE(SUBSTITUTE(SUBSTITUTE(SUBSTITUTE(TRIM(C1308),".",""),"/",""),"-","")," ",""))))</f>
        <v/>
      </c>
      <c r="E1308" s="25" t="str">
        <f aca="false">IF(D1308="","",IFERROR(INDEX(Empresas!$C:$C,MATCH(D1308,Empresas!$B:$B,0)),"cadastre o CNPJ em Empresas"))</f>
        <v/>
      </c>
      <c r="F1308" s="23"/>
      <c r="G1308" s="35"/>
      <c r="H1308" s="24"/>
      <c r="I1308" s="11"/>
      <c r="J1308" s="27" t="str">
        <f aca="false">IF(A1308="","",YEAR(A1308))</f>
        <v/>
      </c>
      <c r="K1308" s="24"/>
      <c r="L1308" s="11"/>
    </row>
    <row r="1309" customFormat="false" ht="15" hidden="false" customHeight="false" outlineLevel="0" collapsed="false">
      <c r="A1309" s="22"/>
      <c r="B1309" s="11"/>
      <c r="C1309" s="24"/>
      <c r="D1309" s="31" t="str">
        <f aca="false">IF(C1309="","",IF(LEN(UPPER(SUBSTITUTE(SUBSTITUTE(SUBSTITUTE(SUBSTITUTE(TRIM(C1309),".",""),"/",""),"-","")," ","")))&lt;14,RIGHT(REPT("0",14)&amp;UPPER(SUBSTITUTE(SUBSTITUTE(SUBSTITUTE(SUBSTITUTE(TRIM(C1309),".",""),"/",""),"-","")," ","")),14),UPPER(SUBSTITUTE(SUBSTITUTE(SUBSTITUTE(SUBSTITUTE(TRIM(C1309),".",""),"/",""),"-","")," ",""))))</f>
        <v/>
      </c>
      <c r="E1309" s="25" t="str">
        <f aca="false">IF(D1309="","",IFERROR(INDEX(Empresas!$C:$C,MATCH(D1309,Empresas!$B:$B,0)),"cadastre o CNPJ em Empresas"))</f>
        <v/>
      </c>
      <c r="F1309" s="23"/>
      <c r="G1309" s="35"/>
      <c r="H1309" s="24"/>
      <c r="I1309" s="11"/>
      <c r="J1309" s="27" t="str">
        <f aca="false">IF(A1309="","",YEAR(A1309))</f>
        <v/>
      </c>
      <c r="K1309" s="24"/>
      <c r="L1309" s="11"/>
    </row>
    <row r="1310" customFormat="false" ht="15" hidden="false" customHeight="false" outlineLevel="0" collapsed="false">
      <c r="A1310" s="22"/>
      <c r="B1310" s="11"/>
      <c r="C1310" s="24"/>
      <c r="D1310" s="31" t="str">
        <f aca="false">IF(C1310="","",IF(LEN(UPPER(SUBSTITUTE(SUBSTITUTE(SUBSTITUTE(SUBSTITUTE(TRIM(C1310),".",""),"/",""),"-","")," ","")))&lt;14,RIGHT(REPT("0",14)&amp;UPPER(SUBSTITUTE(SUBSTITUTE(SUBSTITUTE(SUBSTITUTE(TRIM(C1310),".",""),"/",""),"-","")," ","")),14),UPPER(SUBSTITUTE(SUBSTITUTE(SUBSTITUTE(SUBSTITUTE(TRIM(C1310),".",""),"/",""),"-","")," ",""))))</f>
        <v/>
      </c>
      <c r="E1310" s="25" t="str">
        <f aca="false">IF(D1310="","",IFERROR(INDEX(Empresas!$C:$C,MATCH(D1310,Empresas!$B:$B,0)),"cadastre o CNPJ em Empresas"))</f>
        <v/>
      </c>
      <c r="F1310" s="23"/>
      <c r="G1310" s="35"/>
      <c r="H1310" s="24"/>
      <c r="I1310" s="11"/>
      <c r="J1310" s="27" t="str">
        <f aca="false">IF(A1310="","",YEAR(A1310))</f>
        <v/>
      </c>
      <c r="K1310" s="24"/>
      <c r="L1310" s="11"/>
    </row>
    <row r="1311" customFormat="false" ht="15" hidden="false" customHeight="false" outlineLevel="0" collapsed="false">
      <c r="A1311" s="22"/>
      <c r="B1311" s="11"/>
      <c r="C1311" s="24"/>
      <c r="D1311" s="31" t="str">
        <f aca="false">IF(C1311="","",IF(LEN(UPPER(SUBSTITUTE(SUBSTITUTE(SUBSTITUTE(SUBSTITUTE(TRIM(C1311),".",""),"/",""),"-","")," ","")))&lt;14,RIGHT(REPT("0",14)&amp;UPPER(SUBSTITUTE(SUBSTITUTE(SUBSTITUTE(SUBSTITUTE(TRIM(C1311),".",""),"/",""),"-","")," ","")),14),UPPER(SUBSTITUTE(SUBSTITUTE(SUBSTITUTE(SUBSTITUTE(TRIM(C1311),".",""),"/",""),"-","")," ",""))))</f>
        <v/>
      </c>
      <c r="E1311" s="25" t="str">
        <f aca="false">IF(D1311="","",IFERROR(INDEX(Empresas!$C:$C,MATCH(D1311,Empresas!$B:$B,0)),"cadastre o CNPJ em Empresas"))</f>
        <v/>
      </c>
      <c r="F1311" s="23"/>
      <c r="G1311" s="35"/>
      <c r="H1311" s="24"/>
      <c r="I1311" s="11"/>
      <c r="J1311" s="27" t="str">
        <f aca="false">IF(A1311="","",YEAR(A1311))</f>
        <v/>
      </c>
      <c r="K1311" s="24"/>
      <c r="L1311" s="11"/>
    </row>
    <row r="1312" customFormat="false" ht="15" hidden="false" customHeight="false" outlineLevel="0" collapsed="false">
      <c r="A1312" s="22"/>
      <c r="B1312" s="11"/>
      <c r="C1312" s="24"/>
      <c r="D1312" s="31" t="str">
        <f aca="false">IF(C1312="","",IF(LEN(UPPER(SUBSTITUTE(SUBSTITUTE(SUBSTITUTE(SUBSTITUTE(TRIM(C1312),".",""),"/",""),"-","")," ","")))&lt;14,RIGHT(REPT("0",14)&amp;UPPER(SUBSTITUTE(SUBSTITUTE(SUBSTITUTE(SUBSTITUTE(TRIM(C1312),".",""),"/",""),"-","")," ","")),14),UPPER(SUBSTITUTE(SUBSTITUTE(SUBSTITUTE(SUBSTITUTE(TRIM(C1312),".",""),"/",""),"-","")," ",""))))</f>
        <v/>
      </c>
      <c r="E1312" s="25" t="str">
        <f aca="false">IF(D1312="","",IFERROR(INDEX(Empresas!$C:$C,MATCH(D1312,Empresas!$B:$B,0)),"cadastre o CNPJ em Empresas"))</f>
        <v/>
      </c>
      <c r="F1312" s="23"/>
      <c r="G1312" s="35"/>
      <c r="H1312" s="24"/>
      <c r="I1312" s="11"/>
      <c r="J1312" s="27" t="str">
        <f aca="false">IF(A1312="","",YEAR(A1312))</f>
        <v/>
      </c>
      <c r="K1312" s="24"/>
      <c r="L1312" s="11"/>
    </row>
    <row r="1313" customFormat="false" ht="15" hidden="false" customHeight="false" outlineLevel="0" collapsed="false">
      <c r="A1313" s="22"/>
      <c r="B1313" s="11"/>
      <c r="C1313" s="24"/>
      <c r="D1313" s="31" t="str">
        <f aca="false">IF(C1313="","",IF(LEN(UPPER(SUBSTITUTE(SUBSTITUTE(SUBSTITUTE(SUBSTITUTE(TRIM(C1313),".",""),"/",""),"-","")," ","")))&lt;14,RIGHT(REPT("0",14)&amp;UPPER(SUBSTITUTE(SUBSTITUTE(SUBSTITUTE(SUBSTITUTE(TRIM(C1313),".",""),"/",""),"-","")," ","")),14),UPPER(SUBSTITUTE(SUBSTITUTE(SUBSTITUTE(SUBSTITUTE(TRIM(C1313),".",""),"/",""),"-","")," ",""))))</f>
        <v/>
      </c>
      <c r="E1313" s="25" t="str">
        <f aca="false">IF(D1313="","",IFERROR(INDEX(Empresas!$C:$C,MATCH(D1313,Empresas!$B:$B,0)),"cadastre o CNPJ em Empresas"))</f>
        <v/>
      </c>
      <c r="F1313" s="23"/>
      <c r="G1313" s="35"/>
      <c r="H1313" s="24"/>
      <c r="I1313" s="11"/>
      <c r="J1313" s="27" t="str">
        <f aca="false">IF(A1313="","",YEAR(A1313))</f>
        <v/>
      </c>
      <c r="K1313" s="24"/>
      <c r="L1313" s="11"/>
    </row>
    <row r="1314" customFormat="false" ht="15" hidden="false" customHeight="false" outlineLevel="0" collapsed="false">
      <c r="A1314" s="22"/>
      <c r="B1314" s="11"/>
      <c r="C1314" s="24"/>
      <c r="D1314" s="31" t="str">
        <f aca="false">IF(C1314="","",IF(LEN(UPPER(SUBSTITUTE(SUBSTITUTE(SUBSTITUTE(SUBSTITUTE(TRIM(C1314),".",""),"/",""),"-","")," ","")))&lt;14,RIGHT(REPT("0",14)&amp;UPPER(SUBSTITUTE(SUBSTITUTE(SUBSTITUTE(SUBSTITUTE(TRIM(C1314),".",""),"/",""),"-","")," ","")),14),UPPER(SUBSTITUTE(SUBSTITUTE(SUBSTITUTE(SUBSTITUTE(TRIM(C1314),".",""),"/",""),"-","")," ",""))))</f>
        <v/>
      </c>
      <c r="E1314" s="25" t="str">
        <f aca="false">IF(D1314="","",IFERROR(INDEX(Empresas!$C:$C,MATCH(D1314,Empresas!$B:$B,0)),"cadastre o CNPJ em Empresas"))</f>
        <v/>
      </c>
      <c r="F1314" s="23"/>
      <c r="G1314" s="35"/>
      <c r="H1314" s="24"/>
      <c r="I1314" s="11"/>
      <c r="J1314" s="27" t="str">
        <f aca="false">IF(A1314="","",YEAR(A1314))</f>
        <v/>
      </c>
      <c r="K1314" s="24"/>
      <c r="L1314" s="11"/>
    </row>
    <row r="1315" customFormat="false" ht="15" hidden="false" customHeight="false" outlineLevel="0" collapsed="false">
      <c r="A1315" s="22"/>
      <c r="B1315" s="11"/>
      <c r="C1315" s="24"/>
      <c r="D1315" s="31" t="str">
        <f aca="false">IF(C1315="","",IF(LEN(UPPER(SUBSTITUTE(SUBSTITUTE(SUBSTITUTE(SUBSTITUTE(TRIM(C1315),".",""),"/",""),"-","")," ","")))&lt;14,RIGHT(REPT("0",14)&amp;UPPER(SUBSTITUTE(SUBSTITUTE(SUBSTITUTE(SUBSTITUTE(TRIM(C1315),".",""),"/",""),"-","")," ","")),14),UPPER(SUBSTITUTE(SUBSTITUTE(SUBSTITUTE(SUBSTITUTE(TRIM(C1315),".",""),"/",""),"-","")," ",""))))</f>
        <v/>
      </c>
      <c r="E1315" s="25" t="str">
        <f aca="false">IF(D1315="","",IFERROR(INDEX(Empresas!$C:$C,MATCH(D1315,Empresas!$B:$B,0)),"cadastre o CNPJ em Empresas"))</f>
        <v/>
      </c>
      <c r="F1315" s="23"/>
      <c r="G1315" s="35"/>
      <c r="H1315" s="24"/>
      <c r="I1315" s="11"/>
      <c r="J1315" s="27" t="str">
        <f aca="false">IF(A1315="","",YEAR(A1315))</f>
        <v/>
      </c>
      <c r="K1315" s="24"/>
      <c r="L1315" s="11"/>
    </row>
    <row r="1316" customFormat="false" ht="15" hidden="false" customHeight="false" outlineLevel="0" collapsed="false">
      <c r="A1316" s="22"/>
      <c r="B1316" s="11"/>
      <c r="C1316" s="24"/>
      <c r="D1316" s="31" t="str">
        <f aca="false">IF(C1316="","",IF(LEN(UPPER(SUBSTITUTE(SUBSTITUTE(SUBSTITUTE(SUBSTITUTE(TRIM(C1316),".",""),"/",""),"-","")," ","")))&lt;14,RIGHT(REPT("0",14)&amp;UPPER(SUBSTITUTE(SUBSTITUTE(SUBSTITUTE(SUBSTITUTE(TRIM(C1316),".",""),"/",""),"-","")," ","")),14),UPPER(SUBSTITUTE(SUBSTITUTE(SUBSTITUTE(SUBSTITUTE(TRIM(C1316),".",""),"/",""),"-","")," ",""))))</f>
        <v/>
      </c>
      <c r="E1316" s="25" t="str">
        <f aca="false">IF(D1316="","",IFERROR(INDEX(Empresas!$C:$C,MATCH(D1316,Empresas!$B:$B,0)),"cadastre o CNPJ em Empresas"))</f>
        <v/>
      </c>
      <c r="F1316" s="23"/>
      <c r="G1316" s="35"/>
      <c r="H1316" s="24"/>
      <c r="I1316" s="11"/>
      <c r="J1316" s="27" t="str">
        <f aca="false">IF(A1316="","",YEAR(A1316))</f>
        <v/>
      </c>
      <c r="K1316" s="24"/>
      <c r="L1316" s="11"/>
    </row>
    <row r="1317" customFormat="false" ht="15" hidden="false" customHeight="false" outlineLevel="0" collapsed="false">
      <c r="A1317" s="22"/>
      <c r="B1317" s="11"/>
      <c r="C1317" s="24"/>
      <c r="D1317" s="31" t="str">
        <f aca="false">IF(C1317="","",IF(LEN(UPPER(SUBSTITUTE(SUBSTITUTE(SUBSTITUTE(SUBSTITUTE(TRIM(C1317),".",""),"/",""),"-","")," ","")))&lt;14,RIGHT(REPT("0",14)&amp;UPPER(SUBSTITUTE(SUBSTITUTE(SUBSTITUTE(SUBSTITUTE(TRIM(C1317),".",""),"/",""),"-","")," ","")),14),UPPER(SUBSTITUTE(SUBSTITUTE(SUBSTITUTE(SUBSTITUTE(TRIM(C1317),".",""),"/",""),"-","")," ",""))))</f>
        <v/>
      </c>
      <c r="E1317" s="25" t="str">
        <f aca="false">IF(D1317="","",IFERROR(INDEX(Empresas!$C:$C,MATCH(D1317,Empresas!$B:$B,0)),"cadastre o CNPJ em Empresas"))</f>
        <v/>
      </c>
      <c r="F1317" s="23"/>
      <c r="G1317" s="35"/>
      <c r="H1317" s="24"/>
      <c r="I1317" s="11"/>
      <c r="J1317" s="27" t="str">
        <f aca="false">IF(A1317="","",YEAR(A1317))</f>
        <v/>
      </c>
      <c r="K1317" s="24"/>
      <c r="L1317" s="11"/>
    </row>
    <row r="1318" customFormat="false" ht="15" hidden="false" customHeight="false" outlineLevel="0" collapsed="false">
      <c r="A1318" s="22"/>
      <c r="B1318" s="11"/>
      <c r="C1318" s="24"/>
      <c r="D1318" s="31" t="str">
        <f aca="false">IF(C1318="","",IF(LEN(UPPER(SUBSTITUTE(SUBSTITUTE(SUBSTITUTE(SUBSTITUTE(TRIM(C1318),".",""),"/",""),"-","")," ","")))&lt;14,RIGHT(REPT("0",14)&amp;UPPER(SUBSTITUTE(SUBSTITUTE(SUBSTITUTE(SUBSTITUTE(TRIM(C1318),".",""),"/",""),"-","")," ","")),14),UPPER(SUBSTITUTE(SUBSTITUTE(SUBSTITUTE(SUBSTITUTE(TRIM(C1318),".",""),"/",""),"-","")," ",""))))</f>
        <v/>
      </c>
      <c r="E1318" s="25" t="str">
        <f aca="false">IF(D1318="","",IFERROR(INDEX(Empresas!$C:$C,MATCH(D1318,Empresas!$B:$B,0)),"cadastre o CNPJ em Empresas"))</f>
        <v/>
      </c>
      <c r="F1318" s="23"/>
      <c r="G1318" s="35"/>
      <c r="H1318" s="24"/>
      <c r="I1318" s="11"/>
      <c r="J1318" s="27" t="str">
        <f aca="false">IF(A1318="","",YEAR(A1318))</f>
        <v/>
      </c>
      <c r="K1318" s="24"/>
      <c r="L1318" s="11"/>
    </row>
    <row r="1319" customFormat="false" ht="15" hidden="false" customHeight="false" outlineLevel="0" collapsed="false">
      <c r="A1319" s="22"/>
      <c r="B1319" s="11"/>
      <c r="C1319" s="24"/>
      <c r="D1319" s="31" t="str">
        <f aca="false">IF(C1319="","",IF(LEN(UPPER(SUBSTITUTE(SUBSTITUTE(SUBSTITUTE(SUBSTITUTE(TRIM(C1319),".",""),"/",""),"-","")," ","")))&lt;14,RIGHT(REPT("0",14)&amp;UPPER(SUBSTITUTE(SUBSTITUTE(SUBSTITUTE(SUBSTITUTE(TRIM(C1319),".",""),"/",""),"-","")," ","")),14),UPPER(SUBSTITUTE(SUBSTITUTE(SUBSTITUTE(SUBSTITUTE(TRIM(C1319),".",""),"/",""),"-","")," ",""))))</f>
        <v/>
      </c>
      <c r="E1319" s="25" t="str">
        <f aca="false">IF(D1319="","",IFERROR(INDEX(Empresas!$C:$C,MATCH(D1319,Empresas!$B:$B,0)),"cadastre o CNPJ em Empresas"))</f>
        <v/>
      </c>
      <c r="F1319" s="23"/>
      <c r="G1319" s="35"/>
      <c r="H1319" s="24"/>
      <c r="I1319" s="11"/>
      <c r="J1319" s="27" t="str">
        <f aca="false">IF(A1319="","",YEAR(A1319))</f>
        <v/>
      </c>
      <c r="K1319" s="24"/>
      <c r="L1319" s="11"/>
    </row>
    <row r="1320" customFormat="false" ht="15" hidden="false" customHeight="false" outlineLevel="0" collapsed="false">
      <c r="A1320" s="22"/>
      <c r="B1320" s="11"/>
      <c r="C1320" s="24"/>
      <c r="D1320" s="31" t="str">
        <f aca="false">IF(C1320="","",IF(LEN(UPPER(SUBSTITUTE(SUBSTITUTE(SUBSTITUTE(SUBSTITUTE(TRIM(C1320),".",""),"/",""),"-","")," ","")))&lt;14,RIGHT(REPT("0",14)&amp;UPPER(SUBSTITUTE(SUBSTITUTE(SUBSTITUTE(SUBSTITUTE(TRIM(C1320),".",""),"/",""),"-","")," ","")),14),UPPER(SUBSTITUTE(SUBSTITUTE(SUBSTITUTE(SUBSTITUTE(TRIM(C1320),".",""),"/",""),"-","")," ",""))))</f>
        <v/>
      </c>
      <c r="E1320" s="25" t="str">
        <f aca="false">IF(D1320="","",IFERROR(INDEX(Empresas!$C:$C,MATCH(D1320,Empresas!$B:$B,0)),"cadastre o CNPJ em Empresas"))</f>
        <v/>
      </c>
      <c r="F1320" s="23"/>
      <c r="G1320" s="35"/>
      <c r="H1320" s="24"/>
      <c r="I1320" s="11"/>
      <c r="J1320" s="27" t="str">
        <f aca="false">IF(A1320="","",YEAR(A1320))</f>
        <v/>
      </c>
      <c r="K1320" s="24"/>
      <c r="L1320" s="11"/>
    </row>
    <row r="1321" customFormat="false" ht="15" hidden="false" customHeight="false" outlineLevel="0" collapsed="false">
      <c r="A1321" s="22"/>
      <c r="B1321" s="11"/>
      <c r="C1321" s="24"/>
      <c r="D1321" s="31" t="str">
        <f aca="false">IF(C1321="","",IF(LEN(UPPER(SUBSTITUTE(SUBSTITUTE(SUBSTITUTE(SUBSTITUTE(TRIM(C1321),".",""),"/",""),"-","")," ","")))&lt;14,RIGHT(REPT("0",14)&amp;UPPER(SUBSTITUTE(SUBSTITUTE(SUBSTITUTE(SUBSTITUTE(TRIM(C1321),".",""),"/",""),"-","")," ","")),14),UPPER(SUBSTITUTE(SUBSTITUTE(SUBSTITUTE(SUBSTITUTE(TRIM(C1321),".",""),"/",""),"-","")," ",""))))</f>
        <v/>
      </c>
      <c r="E1321" s="25" t="str">
        <f aca="false">IF(D1321="","",IFERROR(INDEX(Empresas!$C:$C,MATCH(D1321,Empresas!$B:$B,0)),"cadastre o CNPJ em Empresas"))</f>
        <v/>
      </c>
      <c r="F1321" s="23"/>
      <c r="G1321" s="35"/>
      <c r="H1321" s="24"/>
      <c r="I1321" s="11"/>
      <c r="J1321" s="27" t="str">
        <f aca="false">IF(A1321="","",YEAR(A1321))</f>
        <v/>
      </c>
      <c r="K1321" s="24"/>
      <c r="L1321" s="11"/>
    </row>
    <row r="1322" customFormat="false" ht="15" hidden="false" customHeight="false" outlineLevel="0" collapsed="false">
      <c r="A1322" s="22"/>
      <c r="B1322" s="11"/>
      <c r="C1322" s="24"/>
      <c r="D1322" s="31" t="str">
        <f aca="false">IF(C1322="","",IF(LEN(UPPER(SUBSTITUTE(SUBSTITUTE(SUBSTITUTE(SUBSTITUTE(TRIM(C1322),".",""),"/",""),"-","")," ","")))&lt;14,RIGHT(REPT("0",14)&amp;UPPER(SUBSTITUTE(SUBSTITUTE(SUBSTITUTE(SUBSTITUTE(TRIM(C1322),".",""),"/",""),"-","")," ","")),14),UPPER(SUBSTITUTE(SUBSTITUTE(SUBSTITUTE(SUBSTITUTE(TRIM(C1322),".",""),"/",""),"-","")," ",""))))</f>
        <v/>
      </c>
      <c r="E1322" s="25" t="str">
        <f aca="false">IF(D1322="","",IFERROR(INDEX(Empresas!$C:$C,MATCH(D1322,Empresas!$B:$B,0)),"cadastre o CNPJ em Empresas"))</f>
        <v/>
      </c>
      <c r="F1322" s="23"/>
      <c r="G1322" s="35"/>
      <c r="H1322" s="24"/>
      <c r="I1322" s="11"/>
      <c r="J1322" s="27" t="str">
        <f aca="false">IF(A1322="","",YEAR(A1322))</f>
        <v/>
      </c>
      <c r="K1322" s="24"/>
      <c r="L1322" s="11"/>
    </row>
    <row r="1323" customFormat="false" ht="15" hidden="false" customHeight="false" outlineLevel="0" collapsed="false">
      <c r="A1323" s="22"/>
      <c r="B1323" s="11"/>
      <c r="C1323" s="24"/>
      <c r="D1323" s="31" t="str">
        <f aca="false">IF(C1323="","",IF(LEN(UPPER(SUBSTITUTE(SUBSTITUTE(SUBSTITUTE(SUBSTITUTE(TRIM(C1323),".",""),"/",""),"-","")," ","")))&lt;14,RIGHT(REPT("0",14)&amp;UPPER(SUBSTITUTE(SUBSTITUTE(SUBSTITUTE(SUBSTITUTE(TRIM(C1323),".",""),"/",""),"-","")," ","")),14),UPPER(SUBSTITUTE(SUBSTITUTE(SUBSTITUTE(SUBSTITUTE(TRIM(C1323),".",""),"/",""),"-","")," ",""))))</f>
        <v/>
      </c>
      <c r="E1323" s="25" t="str">
        <f aca="false">IF(D1323="","",IFERROR(INDEX(Empresas!$C:$C,MATCH(D1323,Empresas!$B:$B,0)),"cadastre o CNPJ em Empresas"))</f>
        <v/>
      </c>
      <c r="F1323" s="23"/>
      <c r="G1323" s="35"/>
      <c r="H1323" s="24"/>
      <c r="I1323" s="11"/>
      <c r="J1323" s="27" t="str">
        <f aca="false">IF(A1323="","",YEAR(A1323))</f>
        <v/>
      </c>
      <c r="K1323" s="24"/>
      <c r="L1323" s="11"/>
    </row>
    <row r="1324" customFormat="false" ht="15" hidden="false" customHeight="false" outlineLevel="0" collapsed="false">
      <c r="A1324" s="22"/>
      <c r="B1324" s="11"/>
      <c r="C1324" s="24"/>
      <c r="D1324" s="31" t="str">
        <f aca="false">IF(C1324="","",IF(LEN(UPPER(SUBSTITUTE(SUBSTITUTE(SUBSTITUTE(SUBSTITUTE(TRIM(C1324),".",""),"/",""),"-","")," ","")))&lt;14,RIGHT(REPT("0",14)&amp;UPPER(SUBSTITUTE(SUBSTITUTE(SUBSTITUTE(SUBSTITUTE(TRIM(C1324),".",""),"/",""),"-","")," ","")),14),UPPER(SUBSTITUTE(SUBSTITUTE(SUBSTITUTE(SUBSTITUTE(TRIM(C1324),".",""),"/",""),"-","")," ",""))))</f>
        <v/>
      </c>
      <c r="E1324" s="25" t="str">
        <f aca="false">IF(D1324="","",IFERROR(INDEX(Empresas!$C:$C,MATCH(D1324,Empresas!$B:$B,0)),"cadastre o CNPJ em Empresas"))</f>
        <v/>
      </c>
      <c r="F1324" s="23"/>
      <c r="G1324" s="35"/>
      <c r="H1324" s="24"/>
      <c r="I1324" s="11"/>
      <c r="J1324" s="27" t="str">
        <f aca="false">IF(A1324="","",YEAR(A1324))</f>
        <v/>
      </c>
      <c r="K1324" s="24"/>
      <c r="L1324" s="11"/>
    </row>
    <row r="1325" customFormat="false" ht="15" hidden="false" customHeight="false" outlineLevel="0" collapsed="false">
      <c r="A1325" s="22"/>
      <c r="B1325" s="11"/>
      <c r="C1325" s="24"/>
      <c r="D1325" s="31" t="str">
        <f aca="false">IF(C1325="","",IF(LEN(UPPER(SUBSTITUTE(SUBSTITUTE(SUBSTITUTE(SUBSTITUTE(TRIM(C1325),".",""),"/",""),"-","")," ","")))&lt;14,RIGHT(REPT("0",14)&amp;UPPER(SUBSTITUTE(SUBSTITUTE(SUBSTITUTE(SUBSTITUTE(TRIM(C1325),".",""),"/",""),"-","")," ","")),14),UPPER(SUBSTITUTE(SUBSTITUTE(SUBSTITUTE(SUBSTITUTE(TRIM(C1325),".",""),"/",""),"-","")," ",""))))</f>
        <v/>
      </c>
      <c r="E1325" s="25" t="str">
        <f aca="false">IF(D1325="","",IFERROR(INDEX(Empresas!$C:$C,MATCH(D1325,Empresas!$B:$B,0)),"cadastre o CNPJ em Empresas"))</f>
        <v/>
      </c>
      <c r="F1325" s="23"/>
      <c r="G1325" s="35"/>
      <c r="H1325" s="24"/>
      <c r="I1325" s="11"/>
      <c r="J1325" s="27" t="str">
        <f aca="false">IF(A1325="","",YEAR(A1325))</f>
        <v/>
      </c>
      <c r="K1325" s="24"/>
      <c r="L1325" s="11"/>
    </row>
    <row r="1326" customFormat="false" ht="15" hidden="false" customHeight="false" outlineLevel="0" collapsed="false">
      <c r="A1326" s="22"/>
      <c r="B1326" s="11"/>
      <c r="C1326" s="24"/>
      <c r="D1326" s="31" t="str">
        <f aca="false">IF(C1326="","",IF(LEN(UPPER(SUBSTITUTE(SUBSTITUTE(SUBSTITUTE(SUBSTITUTE(TRIM(C1326),".",""),"/",""),"-","")," ","")))&lt;14,RIGHT(REPT("0",14)&amp;UPPER(SUBSTITUTE(SUBSTITUTE(SUBSTITUTE(SUBSTITUTE(TRIM(C1326),".",""),"/",""),"-","")," ","")),14),UPPER(SUBSTITUTE(SUBSTITUTE(SUBSTITUTE(SUBSTITUTE(TRIM(C1326),".",""),"/",""),"-","")," ",""))))</f>
        <v/>
      </c>
      <c r="E1326" s="25" t="str">
        <f aca="false">IF(D1326="","",IFERROR(INDEX(Empresas!$C:$C,MATCH(D1326,Empresas!$B:$B,0)),"cadastre o CNPJ em Empresas"))</f>
        <v/>
      </c>
      <c r="F1326" s="23"/>
      <c r="G1326" s="35"/>
      <c r="H1326" s="24"/>
      <c r="I1326" s="11"/>
      <c r="J1326" s="27" t="str">
        <f aca="false">IF(A1326="","",YEAR(A1326))</f>
        <v/>
      </c>
      <c r="K1326" s="24"/>
      <c r="L1326" s="11"/>
    </row>
    <row r="1327" customFormat="false" ht="15" hidden="false" customHeight="false" outlineLevel="0" collapsed="false">
      <c r="A1327" s="22"/>
      <c r="B1327" s="11"/>
      <c r="C1327" s="24"/>
      <c r="D1327" s="31" t="str">
        <f aca="false">IF(C1327="","",IF(LEN(UPPER(SUBSTITUTE(SUBSTITUTE(SUBSTITUTE(SUBSTITUTE(TRIM(C1327),".",""),"/",""),"-","")," ","")))&lt;14,RIGHT(REPT("0",14)&amp;UPPER(SUBSTITUTE(SUBSTITUTE(SUBSTITUTE(SUBSTITUTE(TRIM(C1327),".",""),"/",""),"-","")," ","")),14),UPPER(SUBSTITUTE(SUBSTITUTE(SUBSTITUTE(SUBSTITUTE(TRIM(C1327),".",""),"/",""),"-","")," ",""))))</f>
        <v/>
      </c>
      <c r="E1327" s="25" t="str">
        <f aca="false">IF(D1327="","",IFERROR(INDEX(Empresas!$C:$C,MATCH(D1327,Empresas!$B:$B,0)),"cadastre o CNPJ em Empresas"))</f>
        <v/>
      </c>
      <c r="F1327" s="23"/>
      <c r="G1327" s="35"/>
      <c r="H1327" s="24"/>
      <c r="I1327" s="11"/>
      <c r="J1327" s="27" t="str">
        <f aca="false">IF(A1327="","",YEAR(A1327))</f>
        <v/>
      </c>
      <c r="K1327" s="24"/>
      <c r="L1327" s="11"/>
    </row>
    <row r="1328" customFormat="false" ht="15" hidden="false" customHeight="false" outlineLevel="0" collapsed="false">
      <c r="A1328" s="22"/>
      <c r="B1328" s="11"/>
      <c r="C1328" s="24"/>
      <c r="D1328" s="31" t="str">
        <f aca="false">IF(C1328="","",IF(LEN(UPPER(SUBSTITUTE(SUBSTITUTE(SUBSTITUTE(SUBSTITUTE(TRIM(C1328),".",""),"/",""),"-","")," ","")))&lt;14,RIGHT(REPT("0",14)&amp;UPPER(SUBSTITUTE(SUBSTITUTE(SUBSTITUTE(SUBSTITUTE(TRIM(C1328),".",""),"/",""),"-","")," ","")),14),UPPER(SUBSTITUTE(SUBSTITUTE(SUBSTITUTE(SUBSTITUTE(TRIM(C1328),".",""),"/",""),"-","")," ",""))))</f>
        <v/>
      </c>
      <c r="E1328" s="25" t="str">
        <f aca="false">IF(D1328="","",IFERROR(INDEX(Empresas!$C:$C,MATCH(D1328,Empresas!$B:$B,0)),"cadastre o CNPJ em Empresas"))</f>
        <v/>
      </c>
      <c r="F1328" s="23"/>
      <c r="G1328" s="35"/>
      <c r="H1328" s="24"/>
      <c r="I1328" s="11"/>
      <c r="J1328" s="27" t="str">
        <f aca="false">IF(A1328="","",YEAR(A1328))</f>
        <v/>
      </c>
      <c r="K1328" s="24"/>
      <c r="L1328" s="11"/>
    </row>
    <row r="1329" customFormat="false" ht="15" hidden="false" customHeight="false" outlineLevel="0" collapsed="false">
      <c r="A1329" s="22"/>
      <c r="B1329" s="11"/>
      <c r="C1329" s="24"/>
      <c r="D1329" s="31" t="str">
        <f aca="false">IF(C1329="","",IF(LEN(UPPER(SUBSTITUTE(SUBSTITUTE(SUBSTITUTE(SUBSTITUTE(TRIM(C1329),".",""),"/",""),"-","")," ","")))&lt;14,RIGHT(REPT("0",14)&amp;UPPER(SUBSTITUTE(SUBSTITUTE(SUBSTITUTE(SUBSTITUTE(TRIM(C1329),".",""),"/",""),"-","")," ","")),14),UPPER(SUBSTITUTE(SUBSTITUTE(SUBSTITUTE(SUBSTITUTE(TRIM(C1329),".",""),"/",""),"-","")," ",""))))</f>
        <v/>
      </c>
      <c r="E1329" s="25" t="str">
        <f aca="false">IF(D1329="","",IFERROR(INDEX(Empresas!$C:$C,MATCH(D1329,Empresas!$B:$B,0)),"cadastre o CNPJ em Empresas"))</f>
        <v/>
      </c>
      <c r="F1329" s="23"/>
      <c r="G1329" s="35"/>
      <c r="H1329" s="24"/>
      <c r="I1329" s="11"/>
      <c r="J1329" s="27" t="str">
        <f aca="false">IF(A1329="","",YEAR(A1329))</f>
        <v/>
      </c>
      <c r="K1329" s="24"/>
      <c r="L1329" s="11"/>
    </row>
    <row r="1330" customFormat="false" ht="15" hidden="false" customHeight="false" outlineLevel="0" collapsed="false">
      <c r="A1330" s="22"/>
      <c r="B1330" s="11"/>
      <c r="C1330" s="24"/>
      <c r="D1330" s="31" t="str">
        <f aca="false">IF(C1330="","",IF(LEN(UPPER(SUBSTITUTE(SUBSTITUTE(SUBSTITUTE(SUBSTITUTE(TRIM(C1330),".",""),"/",""),"-","")," ","")))&lt;14,RIGHT(REPT("0",14)&amp;UPPER(SUBSTITUTE(SUBSTITUTE(SUBSTITUTE(SUBSTITUTE(TRIM(C1330),".",""),"/",""),"-","")," ","")),14),UPPER(SUBSTITUTE(SUBSTITUTE(SUBSTITUTE(SUBSTITUTE(TRIM(C1330),".",""),"/",""),"-","")," ",""))))</f>
        <v/>
      </c>
      <c r="E1330" s="25" t="str">
        <f aca="false">IF(D1330="","",IFERROR(INDEX(Empresas!$C:$C,MATCH(D1330,Empresas!$B:$B,0)),"cadastre o CNPJ em Empresas"))</f>
        <v/>
      </c>
      <c r="F1330" s="23"/>
      <c r="G1330" s="35"/>
      <c r="H1330" s="24"/>
      <c r="I1330" s="11"/>
      <c r="J1330" s="27" t="str">
        <f aca="false">IF(A1330="","",YEAR(A1330))</f>
        <v/>
      </c>
      <c r="K1330" s="24"/>
      <c r="L1330" s="11"/>
    </row>
    <row r="1331" customFormat="false" ht="15" hidden="false" customHeight="false" outlineLevel="0" collapsed="false">
      <c r="A1331" s="22"/>
      <c r="B1331" s="11"/>
      <c r="C1331" s="24"/>
      <c r="D1331" s="31" t="str">
        <f aca="false">IF(C1331="","",IF(LEN(UPPER(SUBSTITUTE(SUBSTITUTE(SUBSTITUTE(SUBSTITUTE(TRIM(C1331),".",""),"/",""),"-","")," ","")))&lt;14,RIGHT(REPT("0",14)&amp;UPPER(SUBSTITUTE(SUBSTITUTE(SUBSTITUTE(SUBSTITUTE(TRIM(C1331),".",""),"/",""),"-","")," ","")),14),UPPER(SUBSTITUTE(SUBSTITUTE(SUBSTITUTE(SUBSTITUTE(TRIM(C1331),".",""),"/",""),"-","")," ",""))))</f>
        <v/>
      </c>
      <c r="E1331" s="25" t="str">
        <f aca="false">IF(D1331="","",IFERROR(INDEX(Empresas!$C:$C,MATCH(D1331,Empresas!$B:$B,0)),"cadastre o CNPJ em Empresas"))</f>
        <v/>
      </c>
      <c r="F1331" s="23"/>
      <c r="G1331" s="35"/>
      <c r="H1331" s="24"/>
      <c r="I1331" s="11"/>
      <c r="J1331" s="27" t="str">
        <f aca="false">IF(A1331="","",YEAR(A1331))</f>
        <v/>
      </c>
      <c r="K1331" s="24"/>
      <c r="L1331" s="11"/>
    </row>
    <row r="1332" customFormat="false" ht="15" hidden="false" customHeight="false" outlineLevel="0" collapsed="false">
      <c r="A1332" s="22"/>
      <c r="B1332" s="11"/>
      <c r="C1332" s="24"/>
      <c r="D1332" s="31" t="str">
        <f aca="false">IF(C1332="","",IF(LEN(UPPER(SUBSTITUTE(SUBSTITUTE(SUBSTITUTE(SUBSTITUTE(TRIM(C1332),".",""),"/",""),"-","")," ","")))&lt;14,RIGHT(REPT("0",14)&amp;UPPER(SUBSTITUTE(SUBSTITUTE(SUBSTITUTE(SUBSTITUTE(TRIM(C1332),".",""),"/",""),"-","")," ","")),14),UPPER(SUBSTITUTE(SUBSTITUTE(SUBSTITUTE(SUBSTITUTE(TRIM(C1332),".",""),"/",""),"-","")," ",""))))</f>
        <v/>
      </c>
      <c r="E1332" s="25" t="str">
        <f aca="false">IF(D1332="","",IFERROR(INDEX(Empresas!$C:$C,MATCH(D1332,Empresas!$B:$B,0)),"cadastre o CNPJ em Empresas"))</f>
        <v/>
      </c>
      <c r="F1332" s="23"/>
      <c r="G1332" s="35"/>
      <c r="H1332" s="24"/>
      <c r="I1332" s="11"/>
      <c r="J1332" s="27" t="str">
        <f aca="false">IF(A1332="","",YEAR(A1332))</f>
        <v/>
      </c>
      <c r="K1332" s="24"/>
      <c r="L1332" s="11"/>
    </row>
    <row r="1333" customFormat="false" ht="15" hidden="false" customHeight="false" outlineLevel="0" collapsed="false">
      <c r="A1333" s="22"/>
      <c r="B1333" s="11"/>
      <c r="C1333" s="24"/>
      <c r="D1333" s="31" t="str">
        <f aca="false">IF(C1333="","",IF(LEN(UPPER(SUBSTITUTE(SUBSTITUTE(SUBSTITUTE(SUBSTITUTE(TRIM(C1333),".",""),"/",""),"-","")," ","")))&lt;14,RIGHT(REPT("0",14)&amp;UPPER(SUBSTITUTE(SUBSTITUTE(SUBSTITUTE(SUBSTITUTE(TRIM(C1333),".",""),"/",""),"-","")," ","")),14),UPPER(SUBSTITUTE(SUBSTITUTE(SUBSTITUTE(SUBSTITUTE(TRIM(C1333),".",""),"/",""),"-","")," ",""))))</f>
        <v/>
      </c>
      <c r="E1333" s="25" t="str">
        <f aca="false">IF(D1333="","",IFERROR(INDEX(Empresas!$C:$C,MATCH(D1333,Empresas!$B:$B,0)),"cadastre o CNPJ em Empresas"))</f>
        <v/>
      </c>
      <c r="F1333" s="23"/>
      <c r="G1333" s="35"/>
      <c r="H1333" s="24"/>
      <c r="I1333" s="11"/>
      <c r="J1333" s="27" t="str">
        <f aca="false">IF(A1333="","",YEAR(A1333))</f>
        <v/>
      </c>
      <c r="K1333" s="24"/>
      <c r="L1333" s="11"/>
    </row>
    <row r="1334" customFormat="false" ht="15" hidden="false" customHeight="false" outlineLevel="0" collapsed="false">
      <c r="A1334" s="22"/>
      <c r="B1334" s="11"/>
      <c r="C1334" s="24"/>
      <c r="D1334" s="31" t="str">
        <f aca="false">IF(C1334="","",IF(LEN(UPPER(SUBSTITUTE(SUBSTITUTE(SUBSTITUTE(SUBSTITUTE(TRIM(C1334),".",""),"/",""),"-","")," ","")))&lt;14,RIGHT(REPT("0",14)&amp;UPPER(SUBSTITUTE(SUBSTITUTE(SUBSTITUTE(SUBSTITUTE(TRIM(C1334),".",""),"/",""),"-","")," ","")),14),UPPER(SUBSTITUTE(SUBSTITUTE(SUBSTITUTE(SUBSTITUTE(TRIM(C1334),".",""),"/",""),"-","")," ",""))))</f>
        <v/>
      </c>
      <c r="E1334" s="25" t="str">
        <f aca="false">IF(D1334="","",IFERROR(INDEX(Empresas!$C:$C,MATCH(D1334,Empresas!$B:$B,0)),"cadastre o CNPJ em Empresas"))</f>
        <v/>
      </c>
      <c r="F1334" s="23"/>
      <c r="G1334" s="35"/>
      <c r="H1334" s="24"/>
      <c r="I1334" s="11"/>
      <c r="J1334" s="27" t="str">
        <f aca="false">IF(A1334="","",YEAR(A1334))</f>
        <v/>
      </c>
      <c r="K1334" s="24"/>
      <c r="L1334" s="11"/>
    </row>
    <row r="1335" customFormat="false" ht="15" hidden="false" customHeight="false" outlineLevel="0" collapsed="false">
      <c r="A1335" s="22"/>
      <c r="B1335" s="11"/>
      <c r="C1335" s="24"/>
      <c r="D1335" s="31" t="str">
        <f aca="false">IF(C1335="","",IF(LEN(UPPER(SUBSTITUTE(SUBSTITUTE(SUBSTITUTE(SUBSTITUTE(TRIM(C1335),".",""),"/",""),"-","")," ","")))&lt;14,RIGHT(REPT("0",14)&amp;UPPER(SUBSTITUTE(SUBSTITUTE(SUBSTITUTE(SUBSTITUTE(TRIM(C1335),".",""),"/",""),"-","")," ","")),14),UPPER(SUBSTITUTE(SUBSTITUTE(SUBSTITUTE(SUBSTITUTE(TRIM(C1335),".",""),"/",""),"-","")," ",""))))</f>
        <v/>
      </c>
      <c r="E1335" s="25" t="str">
        <f aca="false">IF(D1335="","",IFERROR(INDEX(Empresas!$C:$C,MATCH(D1335,Empresas!$B:$B,0)),"cadastre o CNPJ em Empresas"))</f>
        <v/>
      </c>
      <c r="F1335" s="23"/>
      <c r="G1335" s="35"/>
      <c r="H1335" s="24"/>
      <c r="I1335" s="11"/>
      <c r="J1335" s="27" t="str">
        <f aca="false">IF(A1335="","",YEAR(A1335))</f>
        <v/>
      </c>
      <c r="K1335" s="24"/>
      <c r="L1335" s="11"/>
    </row>
    <row r="1336" customFormat="false" ht="15" hidden="false" customHeight="false" outlineLevel="0" collapsed="false">
      <c r="A1336" s="22"/>
      <c r="B1336" s="11"/>
      <c r="C1336" s="24"/>
      <c r="D1336" s="31" t="str">
        <f aca="false">IF(C1336="","",IF(LEN(UPPER(SUBSTITUTE(SUBSTITUTE(SUBSTITUTE(SUBSTITUTE(TRIM(C1336),".",""),"/",""),"-","")," ","")))&lt;14,RIGHT(REPT("0",14)&amp;UPPER(SUBSTITUTE(SUBSTITUTE(SUBSTITUTE(SUBSTITUTE(TRIM(C1336),".",""),"/",""),"-","")," ","")),14),UPPER(SUBSTITUTE(SUBSTITUTE(SUBSTITUTE(SUBSTITUTE(TRIM(C1336),".",""),"/",""),"-","")," ",""))))</f>
        <v/>
      </c>
      <c r="E1336" s="25" t="str">
        <f aca="false">IF(D1336="","",IFERROR(INDEX(Empresas!$C:$C,MATCH(D1336,Empresas!$B:$B,0)),"cadastre o CNPJ em Empresas"))</f>
        <v/>
      </c>
      <c r="F1336" s="23"/>
      <c r="G1336" s="35"/>
      <c r="H1336" s="24"/>
      <c r="I1336" s="11"/>
      <c r="J1336" s="27" t="str">
        <f aca="false">IF(A1336="","",YEAR(A1336))</f>
        <v/>
      </c>
      <c r="K1336" s="24"/>
      <c r="L1336" s="11"/>
    </row>
    <row r="1337" customFormat="false" ht="15" hidden="false" customHeight="false" outlineLevel="0" collapsed="false">
      <c r="A1337" s="22"/>
      <c r="B1337" s="11"/>
      <c r="C1337" s="24"/>
      <c r="D1337" s="31" t="str">
        <f aca="false">IF(C1337="","",IF(LEN(UPPER(SUBSTITUTE(SUBSTITUTE(SUBSTITUTE(SUBSTITUTE(TRIM(C1337),".",""),"/",""),"-","")," ","")))&lt;14,RIGHT(REPT("0",14)&amp;UPPER(SUBSTITUTE(SUBSTITUTE(SUBSTITUTE(SUBSTITUTE(TRIM(C1337),".",""),"/",""),"-","")," ","")),14),UPPER(SUBSTITUTE(SUBSTITUTE(SUBSTITUTE(SUBSTITUTE(TRIM(C1337),".",""),"/",""),"-","")," ",""))))</f>
        <v/>
      </c>
      <c r="E1337" s="25" t="str">
        <f aca="false">IF(D1337="","",IFERROR(INDEX(Empresas!$C:$C,MATCH(D1337,Empresas!$B:$B,0)),"cadastre o CNPJ em Empresas"))</f>
        <v/>
      </c>
      <c r="F1337" s="23"/>
      <c r="G1337" s="35"/>
      <c r="H1337" s="24"/>
      <c r="I1337" s="11"/>
      <c r="J1337" s="27" t="str">
        <f aca="false">IF(A1337="","",YEAR(A1337))</f>
        <v/>
      </c>
      <c r="K1337" s="24"/>
      <c r="L1337" s="11"/>
    </row>
    <row r="1338" customFormat="false" ht="15" hidden="false" customHeight="false" outlineLevel="0" collapsed="false">
      <c r="A1338" s="22"/>
      <c r="B1338" s="11"/>
      <c r="C1338" s="24"/>
      <c r="D1338" s="31" t="str">
        <f aca="false">IF(C1338="","",IF(LEN(UPPER(SUBSTITUTE(SUBSTITUTE(SUBSTITUTE(SUBSTITUTE(TRIM(C1338),".",""),"/",""),"-","")," ","")))&lt;14,RIGHT(REPT("0",14)&amp;UPPER(SUBSTITUTE(SUBSTITUTE(SUBSTITUTE(SUBSTITUTE(TRIM(C1338),".",""),"/",""),"-","")," ","")),14),UPPER(SUBSTITUTE(SUBSTITUTE(SUBSTITUTE(SUBSTITUTE(TRIM(C1338),".",""),"/",""),"-","")," ",""))))</f>
        <v/>
      </c>
      <c r="E1338" s="25" t="str">
        <f aca="false">IF(D1338="","",IFERROR(INDEX(Empresas!$C:$C,MATCH(D1338,Empresas!$B:$B,0)),"cadastre o CNPJ em Empresas"))</f>
        <v/>
      </c>
      <c r="F1338" s="23"/>
      <c r="G1338" s="35"/>
      <c r="H1338" s="24"/>
      <c r="I1338" s="11"/>
      <c r="J1338" s="27" t="str">
        <f aca="false">IF(A1338="","",YEAR(A1338))</f>
        <v/>
      </c>
      <c r="K1338" s="24"/>
      <c r="L1338" s="11"/>
    </row>
    <row r="1339" customFormat="false" ht="15" hidden="false" customHeight="false" outlineLevel="0" collapsed="false">
      <c r="A1339" s="22"/>
      <c r="B1339" s="11"/>
      <c r="C1339" s="24"/>
      <c r="D1339" s="31" t="str">
        <f aca="false">IF(C1339="","",IF(LEN(UPPER(SUBSTITUTE(SUBSTITUTE(SUBSTITUTE(SUBSTITUTE(TRIM(C1339),".",""),"/",""),"-","")," ","")))&lt;14,RIGHT(REPT("0",14)&amp;UPPER(SUBSTITUTE(SUBSTITUTE(SUBSTITUTE(SUBSTITUTE(TRIM(C1339),".",""),"/",""),"-","")," ","")),14),UPPER(SUBSTITUTE(SUBSTITUTE(SUBSTITUTE(SUBSTITUTE(TRIM(C1339),".",""),"/",""),"-","")," ",""))))</f>
        <v/>
      </c>
      <c r="E1339" s="25" t="str">
        <f aca="false">IF(D1339="","",IFERROR(INDEX(Empresas!$C:$C,MATCH(D1339,Empresas!$B:$B,0)),"cadastre o CNPJ em Empresas"))</f>
        <v/>
      </c>
      <c r="F1339" s="23"/>
      <c r="G1339" s="35"/>
      <c r="H1339" s="24"/>
      <c r="I1339" s="11"/>
      <c r="J1339" s="27" t="str">
        <f aca="false">IF(A1339="","",YEAR(A1339))</f>
        <v/>
      </c>
      <c r="K1339" s="24"/>
      <c r="L1339" s="11"/>
    </row>
    <row r="1340" customFormat="false" ht="15" hidden="false" customHeight="false" outlineLevel="0" collapsed="false">
      <c r="A1340" s="22"/>
      <c r="B1340" s="11"/>
      <c r="C1340" s="24"/>
      <c r="D1340" s="31" t="str">
        <f aca="false">IF(C1340="","",IF(LEN(UPPER(SUBSTITUTE(SUBSTITUTE(SUBSTITUTE(SUBSTITUTE(TRIM(C1340),".",""),"/",""),"-","")," ","")))&lt;14,RIGHT(REPT("0",14)&amp;UPPER(SUBSTITUTE(SUBSTITUTE(SUBSTITUTE(SUBSTITUTE(TRIM(C1340),".",""),"/",""),"-","")," ","")),14),UPPER(SUBSTITUTE(SUBSTITUTE(SUBSTITUTE(SUBSTITUTE(TRIM(C1340),".",""),"/",""),"-","")," ",""))))</f>
        <v/>
      </c>
      <c r="E1340" s="25" t="str">
        <f aca="false">IF(D1340="","",IFERROR(INDEX(Empresas!$C:$C,MATCH(D1340,Empresas!$B:$B,0)),"cadastre o CNPJ em Empresas"))</f>
        <v/>
      </c>
      <c r="F1340" s="23"/>
      <c r="G1340" s="35"/>
      <c r="H1340" s="24"/>
      <c r="I1340" s="11"/>
      <c r="J1340" s="27" t="str">
        <f aca="false">IF(A1340="","",YEAR(A1340))</f>
        <v/>
      </c>
      <c r="K1340" s="24"/>
      <c r="L1340" s="11"/>
    </row>
    <row r="1341" customFormat="false" ht="15" hidden="false" customHeight="false" outlineLevel="0" collapsed="false">
      <c r="A1341" s="22"/>
      <c r="B1341" s="11"/>
      <c r="C1341" s="24"/>
      <c r="D1341" s="31" t="str">
        <f aca="false">IF(C1341="","",IF(LEN(UPPER(SUBSTITUTE(SUBSTITUTE(SUBSTITUTE(SUBSTITUTE(TRIM(C1341),".",""),"/",""),"-","")," ","")))&lt;14,RIGHT(REPT("0",14)&amp;UPPER(SUBSTITUTE(SUBSTITUTE(SUBSTITUTE(SUBSTITUTE(TRIM(C1341),".",""),"/",""),"-","")," ","")),14),UPPER(SUBSTITUTE(SUBSTITUTE(SUBSTITUTE(SUBSTITUTE(TRIM(C1341),".",""),"/",""),"-","")," ",""))))</f>
        <v/>
      </c>
      <c r="E1341" s="25" t="str">
        <f aca="false">IF(D1341="","",IFERROR(INDEX(Empresas!$C:$C,MATCH(D1341,Empresas!$B:$B,0)),"cadastre o CNPJ em Empresas"))</f>
        <v/>
      </c>
      <c r="F1341" s="23"/>
      <c r="G1341" s="35"/>
      <c r="H1341" s="24"/>
      <c r="I1341" s="11"/>
      <c r="J1341" s="27" t="str">
        <f aca="false">IF(A1341="","",YEAR(A1341))</f>
        <v/>
      </c>
      <c r="K1341" s="24"/>
      <c r="L1341" s="11"/>
    </row>
    <row r="1342" customFormat="false" ht="15" hidden="false" customHeight="false" outlineLevel="0" collapsed="false">
      <c r="A1342" s="22"/>
      <c r="B1342" s="11"/>
      <c r="C1342" s="24"/>
      <c r="D1342" s="31" t="str">
        <f aca="false">IF(C1342="","",IF(LEN(UPPER(SUBSTITUTE(SUBSTITUTE(SUBSTITUTE(SUBSTITUTE(TRIM(C1342),".",""),"/",""),"-","")," ","")))&lt;14,RIGHT(REPT("0",14)&amp;UPPER(SUBSTITUTE(SUBSTITUTE(SUBSTITUTE(SUBSTITUTE(TRIM(C1342),".",""),"/",""),"-","")," ","")),14),UPPER(SUBSTITUTE(SUBSTITUTE(SUBSTITUTE(SUBSTITUTE(TRIM(C1342),".",""),"/",""),"-","")," ",""))))</f>
        <v/>
      </c>
      <c r="E1342" s="25" t="str">
        <f aca="false">IF(D1342="","",IFERROR(INDEX(Empresas!$C:$C,MATCH(D1342,Empresas!$B:$B,0)),"cadastre o CNPJ em Empresas"))</f>
        <v/>
      </c>
      <c r="F1342" s="23"/>
      <c r="G1342" s="35"/>
      <c r="H1342" s="24"/>
      <c r="I1342" s="11"/>
      <c r="J1342" s="27" t="str">
        <f aca="false">IF(A1342="","",YEAR(A1342))</f>
        <v/>
      </c>
      <c r="K1342" s="24"/>
      <c r="L1342" s="11"/>
    </row>
    <row r="1343" customFormat="false" ht="15" hidden="false" customHeight="false" outlineLevel="0" collapsed="false">
      <c r="A1343" s="22"/>
      <c r="B1343" s="11"/>
      <c r="C1343" s="24"/>
      <c r="D1343" s="31" t="str">
        <f aca="false">IF(C1343="","",IF(LEN(UPPER(SUBSTITUTE(SUBSTITUTE(SUBSTITUTE(SUBSTITUTE(TRIM(C1343),".",""),"/",""),"-","")," ","")))&lt;14,RIGHT(REPT("0",14)&amp;UPPER(SUBSTITUTE(SUBSTITUTE(SUBSTITUTE(SUBSTITUTE(TRIM(C1343),".",""),"/",""),"-","")," ","")),14),UPPER(SUBSTITUTE(SUBSTITUTE(SUBSTITUTE(SUBSTITUTE(TRIM(C1343),".",""),"/",""),"-","")," ",""))))</f>
        <v/>
      </c>
      <c r="E1343" s="25" t="str">
        <f aca="false">IF(D1343="","",IFERROR(INDEX(Empresas!$C:$C,MATCH(D1343,Empresas!$B:$B,0)),"cadastre o CNPJ em Empresas"))</f>
        <v/>
      </c>
      <c r="F1343" s="23"/>
      <c r="G1343" s="35"/>
      <c r="H1343" s="24"/>
      <c r="I1343" s="11"/>
      <c r="J1343" s="27" t="str">
        <f aca="false">IF(A1343="","",YEAR(A1343))</f>
        <v/>
      </c>
      <c r="K1343" s="24"/>
      <c r="L1343" s="11"/>
    </row>
    <row r="1344" customFormat="false" ht="15" hidden="false" customHeight="false" outlineLevel="0" collapsed="false">
      <c r="A1344" s="22"/>
      <c r="B1344" s="11"/>
      <c r="C1344" s="24"/>
      <c r="D1344" s="31" t="str">
        <f aca="false">IF(C1344="","",IF(LEN(UPPER(SUBSTITUTE(SUBSTITUTE(SUBSTITUTE(SUBSTITUTE(TRIM(C1344),".",""),"/",""),"-","")," ","")))&lt;14,RIGHT(REPT("0",14)&amp;UPPER(SUBSTITUTE(SUBSTITUTE(SUBSTITUTE(SUBSTITUTE(TRIM(C1344),".",""),"/",""),"-","")," ","")),14),UPPER(SUBSTITUTE(SUBSTITUTE(SUBSTITUTE(SUBSTITUTE(TRIM(C1344),".",""),"/",""),"-","")," ",""))))</f>
        <v/>
      </c>
      <c r="E1344" s="25" t="str">
        <f aca="false">IF(D1344="","",IFERROR(INDEX(Empresas!$C:$C,MATCH(D1344,Empresas!$B:$B,0)),"cadastre o CNPJ em Empresas"))</f>
        <v/>
      </c>
      <c r="F1344" s="23"/>
      <c r="G1344" s="35"/>
      <c r="H1344" s="24"/>
      <c r="I1344" s="11"/>
      <c r="J1344" s="27" t="str">
        <f aca="false">IF(A1344="","",YEAR(A1344))</f>
        <v/>
      </c>
      <c r="K1344" s="24"/>
      <c r="L1344" s="11"/>
    </row>
    <row r="1345" customFormat="false" ht="15" hidden="false" customHeight="false" outlineLevel="0" collapsed="false">
      <c r="A1345" s="22"/>
      <c r="B1345" s="11"/>
      <c r="C1345" s="24"/>
      <c r="D1345" s="31" t="str">
        <f aca="false">IF(C1345="","",IF(LEN(UPPER(SUBSTITUTE(SUBSTITUTE(SUBSTITUTE(SUBSTITUTE(TRIM(C1345),".",""),"/",""),"-","")," ","")))&lt;14,RIGHT(REPT("0",14)&amp;UPPER(SUBSTITUTE(SUBSTITUTE(SUBSTITUTE(SUBSTITUTE(TRIM(C1345),".",""),"/",""),"-","")," ","")),14),UPPER(SUBSTITUTE(SUBSTITUTE(SUBSTITUTE(SUBSTITUTE(TRIM(C1345),".",""),"/",""),"-","")," ",""))))</f>
        <v/>
      </c>
      <c r="E1345" s="25" t="str">
        <f aca="false">IF(D1345="","",IFERROR(INDEX(Empresas!$C:$C,MATCH(D1345,Empresas!$B:$B,0)),"cadastre o CNPJ em Empresas"))</f>
        <v/>
      </c>
      <c r="F1345" s="23"/>
      <c r="G1345" s="35"/>
      <c r="H1345" s="24"/>
      <c r="I1345" s="11"/>
      <c r="J1345" s="27" t="str">
        <f aca="false">IF(A1345="","",YEAR(A1345))</f>
        <v/>
      </c>
      <c r="K1345" s="24"/>
      <c r="L1345" s="11"/>
    </row>
    <row r="1346" customFormat="false" ht="15" hidden="false" customHeight="false" outlineLevel="0" collapsed="false">
      <c r="A1346" s="22"/>
      <c r="B1346" s="11"/>
      <c r="C1346" s="24"/>
      <c r="D1346" s="31" t="str">
        <f aca="false">IF(C1346="","",IF(LEN(UPPER(SUBSTITUTE(SUBSTITUTE(SUBSTITUTE(SUBSTITUTE(TRIM(C1346),".",""),"/",""),"-","")," ","")))&lt;14,RIGHT(REPT("0",14)&amp;UPPER(SUBSTITUTE(SUBSTITUTE(SUBSTITUTE(SUBSTITUTE(TRIM(C1346),".",""),"/",""),"-","")," ","")),14),UPPER(SUBSTITUTE(SUBSTITUTE(SUBSTITUTE(SUBSTITUTE(TRIM(C1346),".",""),"/",""),"-","")," ",""))))</f>
        <v/>
      </c>
      <c r="E1346" s="25" t="str">
        <f aca="false">IF(D1346="","",IFERROR(INDEX(Empresas!$C:$C,MATCH(D1346,Empresas!$B:$B,0)),"cadastre o CNPJ em Empresas"))</f>
        <v/>
      </c>
      <c r="F1346" s="23"/>
      <c r="G1346" s="35"/>
      <c r="H1346" s="24"/>
      <c r="I1346" s="11"/>
      <c r="J1346" s="27" t="str">
        <f aca="false">IF(A1346="","",YEAR(A1346))</f>
        <v/>
      </c>
      <c r="K1346" s="24"/>
      <c r="L1346" s="11"/>
    </row>
    <row r="1347" customFormat="false" ht="15" hidden="false" customHeight="false" outlineLevel="0" collapsed="false">
      <c r="A1347" s="22"/>
      <c r="B1347" s="11"/>
      <c r="C1347" s="24"/>
      <c r="D1347" s="31" t="str">
        <f aca="false">IF(C1347="","",IF(LEN(UPPER(SUBSTITUTE(SUBSTITUTE(SUBSTITUTE(SUBSTITUTE(TRIM(C1347),".",""),"/",""),"-","")," ","")))&lt;14,RIGHT(REPT("0",14)&amp;UPPER(SUBSTITUTE(SUBSTITUTE(SUBSTITUTE(SUBSTITUTE(TRIM(C1347),".",""),"/",""),"-","")," ","")),14),UPPER(SUBSTITUTE(SUBSTITUTE(SUBSTITUTE(SUBSTITUTE(TRIM(C1347),".",""),"/",""),"-","")," ",""))))</f>
        <v/>
      </c>
      <c r="E1347" s="25" t="str">
        <f aca="false">IF(D1347="","",IFERROR(INDEX(Empresas!$C:$C,MATCH(D1347,Empresas!$B:$B,0)),"cadastre o CNPJ em Empresas"))</f>
        <v/>
      </c>
      <c r="F1347" s="23"/>
      <c r="G1347" s="35"/>
      <c r="H1347" s="24"/>
      <c r="I1347" s="11"/>
      <c r="J1347" s="27" t="str">
        <f aca="false">IF(A1347="","",YEAR(A1347))</f>
        <v/>
      </c>
      <c r="K1347" s="24"/>
      <c r="L1347" s="11"/>
    </row>
    <row r="1348" customFormat="false" ht="15" hidden="false" customHeight="false" outlineLevel="0" collapsed="false">
      <c r="A1348" s="22"/>
      <c r="B1348" s="11"/>
      <c r="C1348" s="24"/>
      <c r="D1348" s="31" t="str">
        <f aca="false">IF(C1348="","",IF(LEN(UPPER(SUBSTITUTE(SUBSTITUTE(SUBSTITUTE(SUBSTITUTE(TRIM(C1348),".",""),"/",""),"-","")," ","")))&lt;14,RIGHT(REPT("0",14)&amp;UPPER(SUBSTITUTE(SUBSTITUTE(SUBSTITUTE(SUBSTITUTE(TRIM(C1348),".",""),"/",""),"-","")," ","")),14),UPPER(SUBSTITUTE(SUBSTITUTE(SUBSTITUTE(SUBSTITUTE(TRIM(C1348),".",""),"/",""),"-","")," ",""))))</f>
        <v/>
      </c>
      <c r="E1348" s="25" t="str">
        <f aca="false">IF(D1348="","",IFERROR(INDEX(Empresas!$C:$C,MATCH(D1348,Empresas!$B:$B,0)),"cadastre o CNPJ em Empresas"))</f>
        <v/>
      </c>
      <c r="F1348" s="23"/>
      <c r="G1348" s="35"/>
      <c r="H1348" s="24"/>
      <c r="I1348" s="11"/>
      <c r="J1348" s="27" t="str">
        <f aca="false">IF(A1348="","",YEAR(A1348))</f>
        <v/>
      </c>
      <c r="K1348" s="24"/>
      <c r="L1348" s="11"/>
    </row>
    <row r="1349" customFormat="false" ht="15" hidden="false" customHeight="false" outlineLevel="0" collapsed="false">
      <c r="A1349" s="22"/>
      <c r="B1349" s="11"/>
      <c r="C1349" s="24"/>
      <c r="D1349" s="31" t="str">
        <f aca="false">IF(C1349="","",IF(LEN(UPPER(SUBSTITUTE(SUBSTITUTE(SUBSTITUTE(SUBSTITUTE(TRIM(C1349),".",""),"/",""),"-","")," ","")))&lt;14,RIGHT(REPT("0",14)&amp;UPPER(SUBSTITUTE(SUBSTITUTE(SUBSTITUTE(SUBSTITUTE(TRIM(C1349),".",""),"/",""),"-","")," ","")),14),UPPER(SUBSTITUTE(SUBSTITUTE(SUBSTITUTE(SUBSTITUTE(TRIM(C1349),".",""),"/",""),"-","")," ",""))))</f>
        <v/>
      </c>
      <c r="E1349" s="25" t="str">
        <f aca="false">IF(D1349="","",IFERROR(INDEX(Empresas!$C:$C,MATCH(D1349,Empresas!$B:$B,0)),"cadastre o CNPJ em Empresas"))</f>
        <v/>
      </c>
      <c r="F1349" s="23"/>
      <c r="G1349" s="35"/>
      <c r="H1349" s="24"/>
      <c r="I1349" s="11"/>
      <c r="J1349" s="27" t="str">
        <f aca="false">IF(A1349="","",YEAR(A1349))</f>
        <v/>
      </c>
      <c r="K1349" s="24"/>
      <c r="L1349" s="11"/>
    </row>
    <row r="1350" customFormat="false" ht="15" hidden="false" customHeight="false" outlineLevel="0" collapsed="false">
      <c r="A1350" s="22"/>
      <c r="B1350" s="11"/>
      <c r="C1350" s="24"/>
      <c r="D1350" s="31" t="str">
        <f aca="false">IF(C1350="","",IF(LEN(UPPER(SUBSTITUTE(SUBSTITUTE(SUBSTITUTE(SUBSTITUTE(TRIM(C1350),".",""),"/",""),"-","")," ","")))&lt;14,RIGHT(REPT("0",14)&amp;UPPER(SUBSTITUTE(SUBSTITUTE(SUBSTITUTE(SUBSTITUTE(TRIM(C1350),".",""),"/",""),"-","")," ","")),14),UPPER(SUBSTITUTE(SUBSTITUTE(SUBSTITUTE(SUBSTITUTE(TRIM(C1350),".",""),"/",""),"-","")," ",""))))</f>
        <v/>
      </c>
      <c r="E1350" s="25" t="str">
        <f aca="false">IF(D1350="","",IFERROR(INDEX(Empresas!$C:$C,MATCH(D1350,Empresas!$B:$B,0)),"cadastre o CNPJ em Empresas"))</f>
        <v/>
      </c>
      <c r="F1350" s="23"/>
      <c r="G1350" s="35"/>
      <c r="H1350" s="24"/>
      <c r="I1350" s="11"/>
      <c r="J1350" s="27" t="str">
        <f aca="false">IF(A1350="","",YEAR(A1350))</f>
        <v/>
      </c>
      <c r="K1350" s="24"/>
      <c r="L1350" s="11"/>
    </row>
    <row r="1351" customFormat="false" ht="15" hidden="false" customHeight="false" outlineLevel="0" collapsed="false">
      <c r="A1351" s="22"/>
      <c r="B1351" s="11"/>
      <c r="C1351" s="24"/>
      <c r="D1351" s="31" t="str">
        <f aca="false">IF(C1351="","",IF(LEN(UPPER(SUBSTITUTE(SUBSTITUTE(SUBSTITUTE(SUBSTITUTE(TRIM(C1351),".",""),"/",""),"-","")," ","")))&lt;14,RIGHT(REPT("0",14)&amp;UPPER(SUBSTITUTE(SUBSTITUTE(SUBSTITUTE(SUBSTITUTE(TRIM(C1351),".",""),"/",""),"-","")," ","")),14),UPPER(SUBSTITUTE(SUBSTITUTE(SUBSTITUTE(SUBSTITUTE(TRIM(C1351),".",""),"/",""),"-","")," ",""))))</f>
        <v/>
      </c>
      <c r="E1351" s="25" t="str">
        <f aca="false">IF(D1351="","",IFERROR(INDEX(Empresas!$C:$C,MATCH(D1351,Empresas!$B:$B,0)),"cadastre o CNPJ em Empresas"))</f>
        <v/>
      </c>
      <c r="F1351" s="23"/>
      <c r="G1351" s="35"/>
      <c r="H1351" s="24"/>
      <c r="I1351" s="11"/>
      <c r="J1351" s="27" t="str">
        <f aca="false">IF(A1351="","",YEAR(A1351))</f>
        <v/>
      </c>
      <c r="K1351" s="24"/>
      <c r="L1351" s="11"/>
    </row>
    <row r="1352" customFormat="false" ht="15" hidden="false" customHeight="false" outlineLevel="0" collapsed="false">
      <c r="A1352" s="22"/>
      <c r="B1352" s="11"/>
      <c r="C1352" s="24"/>
      <c r="D1352" s="31" t="str">
        <f aca="false">IF(C1352="","",IF(LEN(UPPER(SUBSTITUTE(SUBSTITUTE(SUBSTITUTE(SUBSTITUTE(TRIM(C1352),".",""),"/",""),"-","")," ","")))&lt;14,RIGHT(REPT("0",14)&amp;UPPER(SUBSTITUTE(SUBSTITUTE(SUBSTITUTE(SUBSTITUTE(TRIM(C1352),".",""),"/",""),"-","")," ","")),14),UPPER(SUBSTITUTE(SUBSTITUTE(SUBSTITUTE(SUBSTITUTE(TRIM(C1352),".",""),"/",""),"-","")," ",""))))</f>
        <v/>
      </c>
      <c r="E1352" s="25" t="str">
        <f aca="false">IF(D1352="","",IFERROR(INDEX(Empresas!$C:$C,MATCH(D1352,Empresas!$B:$B,0)),"cadastre o CNPJ em Empresas"))</f>
        <v/>
      </c>
      <c r="F1352" s="23"/>
      <c r="G1352" s="35"/>
      <c r="H1352" s="24"/>
      <c r="I1352" s="11"/>
      <c r="J1352" s="27" t="str">
        <f aca="false">IF(A1352="","",YEAR(A1352))</f>
        <v/>
      </c>
      <c r="K1352" s="24"/>
      <c r="L1352" s="11"/>
    </row>
    <row r="1353" customFormat="false" ht="15" hidden="false" customHeight="false" outlineLevel="0" collapsed="false">
      <c r="A1353" s="22"/>
      <c r="B1353" s="11"/>
      <c r="C1353" s="24"/>
      <c r="D1353" s="31" t="str">
        <f aca="false">IF(C1353="","",IF(LEN(UPPER(SUBSTITUTE(SUBSTITUTE(SUBSTITUTE(SUBSTITUTE(TRIM(C1353),".",""),"/",""),"-","")," ","")))&lt;14,RIGHT(REPT("0",14)&amp;UPPER(SUBSTITUTE(SUBSTITUTE(SUBSTITUTE(SUBSTITUTE(TRIM(C1353),".",""),"/",""),"-","")," ","")),14),UPPER(SUBSTITUTE(SUBSTITUTE(SUBSTITUTE(SUBSTITUTE(TRIM(C1353),".",""),"/",""),"-","")," ",""))))</f>
        <v/>
      </c>
      <c r="E1353" s="25" t="str">
        <f aca="false">IF(D1353="","",IFERROR(INDEX(Empresas!$C:$C,MATCH(D1353,Empresas!$B:$B,0)),"cadastre o CNPJ em Empresas"))</f>
        <v/>
      </c>
      <c r="F1353" s="23"/>
      <c r="G1353" s="35"/>
      <c r="H1353" s="24"/>
      <c r="I1353" s="11"/>
      <c r="J1353" s="27" t="str">
        <f aca="false">IF(A1353="","",YEAR(A1353))</f>
        <v/>
      </c>
      <c r="K1353" s="24"/>
      <c r="L1353" s="11"/>
    </row>
    <row r="1354" customFormat="false" ht="15" hidden="false" customHeight="false" outlineLevel="0" collapsed="false">
      <c r="A1354" s="22"/>
      <c r="B1354" s="11"/>
      <c r="C1354" s="24"/>
      <c r="D1354" s="31" t="str">
        <f aca="false">IF(C1354="","",IF(LEN(UPPER(SUBSTITUTE(SUBSTITUTE(SUBSTITUTE(SUBSTITUTE(TRIM(C1354),".",""),"/",""),"-","")," ","")))&lt;14,RIGHT(REPT("0",14)&amp;UPPER(SUBSTITUTE(SUBSTITUTE(SUBSTITUTE(SUBSTITUTE(TRIM(C1354),".",""),"/",""),"-","")," ","")),14),UPPER(SUBSTITUTE(SUBSTITUTE(SUBSTITUTE(SUBSTITUTE(TRIM(C1354),".",""),"/",""),"-","")," ",""))))</f>
        <v/>
      </c>
      <c r="E1354" s="25" t="str">
        <f aca="false">IF(D1354="","",IFERROR(INDEX(Empresas!$C:$C,MATCH(D1354,Empresas!$B:$B,0)),"cadastre o CNPJ em Empresas"))</f>
        <v/>
      </c>
      <c r="F1354" s="23"/>
      <c r="G1354" s="35"/>
      <c r="H1354" s="24"/>
      <c r="I1354" s="11"/>
      <c r="J1354" s="27" t="str">
        <f aca="false">IF(A1354="","",YEAR(A1354))</f>
        <v/>
      </c>
      <c r="K1354" s="24"/>
      <c r="L1354" s="11"/>
    </row>
    <row r="1355" customFormat="false" ht="15" hidden="false" customHeight="false" outlineLevel="0" collapsed="false">
      <c r="A1355" s="22"/>
      <c r="B1355" s="11"/>
      <c r="C1355" s="24"/>
      <c r="D1355" s="31" t="str">
        <f aca="false">IF(C1355="","",IF(LEN(UPPER(SUBSTITUTE(SUBSTITUTE(SUBSTITUTE(SUBSTITUTE(TRIM(C1355),".",""),"/",""),"-","")," ","")))&lt;14,RIGHT(REPT("0",14)&amp;UPPER(SUBSTITUTE(SUBSTITUTE(SUBSTITUTE(SUBSTITUTE(TRIM(C1355),".",""),"/",""),"-","")," ","")),14),UPPER(SUBSTITUTE(SUBSTITUTE(SUBSTITUTE(SUBSTITUTE(TRIM(C1355),".",""),"/",""),"-","")," ",""))))</f>
        <v/>
      </c>
      <c r="E1355" s="25" t="str">
        <f aca="false">IF(D1355="","",IFERROR(INDEX(Empresas!$C:$C,MATCH(D1355,Empresas!$B:$B,0)),"cadastre o CNPJ em Empresas"))</f>
        <v/>
      </c>
      <c r="F1355" s="23"/>
      <c r="G1355" s="35"/>
      <c r="H1355" s="24"/>
      <c r="I1355" s="11"/>
      <c r="J1355" s="27" t="str">
        <f aca="false">IF(A1355="","",YEAR(A1355))</f>
        <v/>
      </c>
      <c r="K1355" s="24"/>
      <c r="L1355" s="11"/>
    </row>
    <row r="1356" customFormat="false" ht="15" hidden="false" customHeight="false" outlineLevel="0" collapsed="false">
      <c r="A1356" s="22"/>
      <c r="B1356" s="11"/>
      <c r="C1356" s="24"/>
      <c r="D1356" s="31" t="str">
        <f aca="false">IF(C1356="","",IF(LEN(UPPER(SUBSTITUTE(SUBSTITUTE(SUBSTITUTE(SUBSTITUTE(TRIM(C1356),".",""),"/",""),"-","")," ","")))&lt;14,RIGHT(REPT("0",14)&amp;UPPER(SUBSTITUTE(SUBSTITUTE(SUBSTITUTE(SUBSTITUTE(TRIM(C1356),".",""),"/",""),"-","")," ","")),14),UPPER(SUBSTITUTE(SUBSTITUTE(SUBSTITUTE(SUBSTITUTE(TRIM(C1356),".",""),"/",""),"-","")," ",""))))</f>
        <v/>
      </c>
      <c r="E1356" s="25" t="str">
        <f aca="false">IF(D1356="","",IFERROR(INDEX(Empresas!$C:$C,MATCH(D1356,Empresas!$B:$B,0)),"cadastre o CNPJ em Empresas"))</f>
        <v/>
      </c>
      <c r="F1356" s="23"/>
      <c r="G1356" s="35"/>
      <c r="H1356" s="24"/>
      <c r="I1356" s="11"/>
      <c r="J1356" s="27" t="str">
        <f aca="false">IF(A1356="","",YEAR(A1356))</f>
        <v/>
      </c>
      <c r="K1356" s="24"/>
      <c r="L1356" s="11"/>
    </row>
    <row r="1357" customFormat="false" ht="15" hidden="false" customHeight="false" outlineLevel="0" collapsed="false">
      <c r="A1357" s="22"/>
      <c r="B1357" s="11"/>
      <c r="C1357" s="24"/>
      <c r="D1357" s="31" t="str">
        <f aca="false">IF(C1357="","",IF(LEN(UPPER(SUBSTITUTE(SUBSTITUTE(SUBSTITUTE(SUBSTITUTE(TRIM(C1357),".",""),"/",""),"-","")," ","")))&lt;14,RIGHT(REPT("0",14)&amp;UPPER(SUBSTITUTE(SUBSTITUTE(SUBSTITUTE(SUBSTITUTE(TRIM(C1357),".",""),"/",""),"-","")," ","")),14),UPPER(SUBSTITUTE(SUBSTITUTE(SUBSTITUTE(SUBSTITUTE(TRIM(C1357),".",""),"/",""),"-","")," ",""))))</f>
        <v/>
      </c>
      <c r="E1357" s="25" t="str">
        <f aca="false">IF(D1357="","",IFERROR(INDEX(Empresas!$C:$C,MATCH(D1357,Empresas!$B:$B,0)),"cadastre o CNPJ em Empresas"))</f>
        <v/>
      </c>
      <c r="F1357" s="23"/>
      <c r="G1357" s="35"/>
      <c r="H1357" s="24"/>
      <c r="I1357" s="11"/>
      <c r="J1357" s="27" t="str">
        <f aca="false">IF(A1357="","",YEAR(A1357))</f>
        <v/>
      </c>
      <c r="K1357" s="24"/>
      <c r="L1357" s="11"/>
    </row>
    <row r="1358" customFormat="false" ht="15" hidden="false" customHeight="false" outlineLevel="0" collapsed="false">
      <c r="A1358" s="22"/>
      <c r="B1358" s="11"/>
      <c r="C1358" s="24"/>
      <c r="D1358" s="31" t="str">
        <f aca="false">IF(C1358="","",IF(LEN(UPPER(SUBSTITUTE(SUBSTITUTE(SUBSTITUTE(SUBSTITUTE(TRIM(C1358),".",""),"/",""),"-","")," ","")))&lt;14,RIGHT(REPT("0",14)&amp;UPPER(SUBSTITUTE(SUBSTITUTE(SUBSTITUTE(SUBSTITUTE(TRIM(C1358),".",""),"/",""),"-","")," ","")),14),UPPER(SUBSTITUTE(SUBSTITUTE(SUBSTITUTE(SUBSTITUTE(TRIM(C1358),".",""),"/",""),"-","")," ",""))))</f>
        <v/>
      </c>
      <c r="E1358" s="25" t="str">
        <f aca="false">IF(D1358="","",IFERROR(INDEX(Empresas!$C:$C,MATCH(D1358,Empresas!$B:$B,0)),"cadastre o CNPJ em Empresas"))</f>
        <v/>
      </c>
      <c r="F1358" s="23"/>
      <c r="G1358" s="35"/>
      <c r="H1358" s="24"/>
      <c r="I1358" s="11"/>
      <c r="J1358" s="27" t="str">
        <f aca="false">IF(A1358="","",YEAR(A1358))</f>
        <v/>
      </c>
      <c r="K1358" s="24"/>
      <c r="L1358" s="11"/>
    </row>
    <row r="1359" customFormat="false" ht="15" hidden="false" customHeight="false" outlineLevel="0" collapsed="false">
      <c r="A1359" s="22"/>
      <c r="B1359" s="11"/>
      <c r="C1359" s="24"/>
      <c r="D1359" s="31" t="str">
        <f aca="false">IF(C1359="","",IF(LEN(UPPER(SUBSTITUTE(SUBSTITUTE(SUBSTITUTE(SUBSTITUTE(TRIM(C1359),".",""),"/",""),"-","")," ","")))&lt;14,RIGHT(REPT("0",14)&amp;UPPER(SUBSTITUTE(SUBSTITUTE(SUBSTITUTE(SUBSTITUTE(TRIM(C1359),".",""),"/",""),"-","")," ","")),14),UPPER(SUBSTITUTE(SUBSTITUTE(SUBSTITUTE(SUBSTITUTE(TRIM(C1359),".",""),"/",""),"-","")," ",""))))</f>
        <v/>
      </c>
      <c r="E1359" s="25" t="str">
        <f aca="false">IF(D1359="","",IFERROR(INDEX(Empresas!$C:$C,MATCH(D1359,Empresas!$B:$B,0)),"cadastre o CNPJ em Empresas"))</f>
        <v/>
      </c>
      <c r="F1359" s="23"/>
      <c r="G1359" s="35"/>
      <c r="H1359" s="24"/>
      <c r="I1359" s="11"/>
      <c r="J1359" s="27" t="str">
        <f aca="false">IF(A1359="","",YEAR(A1359))</f>
        <v/>
      </c>
      <c r="K1359" s="24"/>
      <c r="L1359" s="11"/>
    </row>
    <row r="1360" customFormat="false" ht="15" hidden="false" customHeight="false" outlineLevel="0" collapsed="false">
      <c r="A1360" s="22"/>
      <c r="B1360" s="11"/>
      <c r="C1360" s="24"/>
      <c r="D1360" s="31" t="str">
        <f aca="false">IF(C1360="","",IF(LEN(UPPER(SUBSTITUTE(SUBSTITUTE(SUBSTITUTE(SUBSTITUTE(TRIM(C1360),".",""),"/",""),"-","")," ","")))&lt;14,RIGHT(REPT("0",14)&amp;UPPER(SUBSTITUTE(SUBSTITUTE(SUBSTITUTE(SUBSTITUTE(TRIM(C1360),".",""),"/",""),"-","")," ","")),14),UPPER(SUBSTITUTE(SUBSTITUTE(SUBSTITUTE(SUBSTITUTE(TRIM(C1360),".",""),"/",""),"-","")," ",""))))</f>
        <v/>
      </c>
      <c r="E1360" s="25" t="str">
        <f aca="false">IF(D1360="","",IFERROR(INDEX(Empresas!$C:$C,MATCH(D1360,Empresas!$B:$B,0)),"cadastre o CNPJ em Empresas"))</f>
        <v/>
      </c>
      <c r="F1360" s="23"/>
      <c r="G1360" s="35"/>
      <c r="H1360" s="24"/>
      <c r="I1360" s="11"/>
      <c r="J1360" s="27" t="str">
        <f aca="false">IF(A1360="","",YEAR(A1360))</f>
        <v/>
      </c>
      <c r="K1360" s="24"/>
      <c r="L1360" s="11"/>
    </row>
    <row r="1361" customFormat="false" ht="15" hidden="false" customHeight="false" outlineLevel="0" collapsed="false">
      <c r="A1361" s="22"/>
      <c r="B1361" s="11"/>
      <c r="C1361" s="24"/>
      <c r="D1361" s="31" t="str">
        <f aca="false">IF(C1361="","",IF(LEN(UPPER(SUBSTITUTE(SUBSTITUTE(SUBSTITUTE(SUBSTITUTE(TRIM(C1361),".",""),"/",""),"-","")," ","")))&lt;14,RIGHT(REPT("0",14)&amp;UPPER(SUBSTITUTE(SUBSTITUTE(SUBSTITUTE(SUBSTITUTE(TRIM(C1361),".",""),"/",""),"-","")," ","")),14),UPPER(SUBSTITUTE(SUBSTITUTE(SUBSTITUTE(SUBSTITUTE(TRIM(C1361),".",""),"/",""),"-","")," ",""))))</f>
        <v/>
      </c>
      <c r="E1361" s="25" t="str">
        <f aca="false">IF(D1361="","",IFERROR(INDEX(Empresas!$C:$C,MATCH(D1361,Empresas!$B:$B,0)),"cadastre o CNPJ em Empresas"))</f>
        <v/>
      </c>
      <c r="F1361" s="23"/>
      <c r="G1361" s="35"/>
      <c r="H1361" s="24"/>
      <c r="I1361" s="11"/>
      <c r="J1361" s="27" t="str">
        <f aca="false">IF(A1361="","",YEAR(A1361))</f>
        <v/>
      </c>
      <c r="K1361" s="24"/>
      <c r="L1361" s="11"/>
    </row>
    <row r="1362" customFormat="false" ht="15" hidden="false" customHeight="false" outlineLevel="0" collapsed="false">
      <c r="A1362" s="22"/>
      <c r="B1362" s="11"/>
      <c r="C1362" s="24"/>
      <c r="D1362" s="31" t="str">
        <f aca="false">IF(C1362="","",IF(LEN(UPPER(SUBSTITUTE(SUBSTITUTE(SUBSTITUTE(SUBSTITUTE(TRIM(C1362),".",""),"/",""),"-","")," ","")))&lt;14,RIGHT(REPT("0",14)&amp;UPPER(SUBSTITUTE(SUBSTITUTE(SUBSTITUTE(SUBSTITUTE(TRIM(C1362),".",""),"/",""),"-","")," ","")),14),UPPER(SUBSTITUTE(SUBSTITUTE(SUBSTITUTE(SUBSTITUTE(TRIM(C1362),".",""),"/",""),"-","")," ",""))))</f>
        <v/>
      </c>
      <c r="E1362" s="25" t="str">
        <f aca="false">IF(D1362="","",IFERROR(INDEX(Empresas!$C:$C,MATCH(D1362,Empresas!$B:$B,0)),"cadastre o CNPJ em Empresas"))</f>
        <v/>
      </c>
      <c r="F1362" s="23"/>
      <c r="G1362" s="35"/>
      <c r="H1362" s="24"/>
      <c r="I1362" s="11"/>
      <c r="J1362" s="27" t="str">
        <f aca="false">IF(A1362="","",YEAR(A1362))</f>
        <v/>
      </c>
      <c r="K1362" s="24"/>
      <c r="L1362" s="11"/>
    </row>
    <row r="1363" customFormat="false" ht="15" hidden="false" customHeight="false" outlineLevel="0" collapsed="false">
      <c r="A1363" s="22"/>
      <c r="B1363" s="11"/>
      <c r="C1363" s="24"/>
      <c r="D1363" s="31" t="str">
        <f aca="false">IF(C1363="","",IF(LEN(UPPER(SUBSTITUTE(SUBSTITUTE(SUBSTITUTE(SUBSTITUTE(TRIM(C1363),".",""),"/",""),"-","")," ","")))&lt;14,RIGHT(REPT("0",14)&amp;UPPER(SUBSTITUTE(SUBSTITUTE(SUBSTITUTE(SUBSTITUTE(TRIM(C1363),".",""),"/",""),"-","")," ","")),14),UPPER(SUBSTITUTE(SUBSTITUTE(SUBSTITUTE(SUBSTITUTE(TRIM(C1363),".",""),"/",""),"-","")," ",""))))</f>
        <v/>
      </c>
      <c r="E1363" s="25" t="str">
        <f aca="false">IF(D1363="","",IFERROR(INDEX(Empresas!$C:$C,MATCH(D1363,Empresas!$B:$B,0)),"cadastre o CNPJ em Empresas"))</f>
        <v/>
      </c>
      <c r="F1363" s="23"/>
      <c r="G1363" s="35"/>
      <c r="H1363" s="24"/>
      <c r="I1363" s="11"/>
      <c r="J1363" s="27" t="str">
        <f aca="false">IF(A1363="","",YEAR(A1363))</f>
        <v/>
      </c>
      <c r="K1363" s="24"/>
      <c r="L1363" s="11"/>
    </row>
    <row r="1364" customFormat="false" ht="15" hidden="false" customHeight="false" outlineLevel="0" collapsed="false">
      <c r="A1364" s="22"/>
      <c r="B1364" s="11"/>
      <c r="C1364" s="24"/>
      <c r="D1364" s="31" t="str">
        <f aca="false">IF(C1364="","",IF(LEN(UPPER(SUBSTITUTE(SUBSTITUTE(SUBSTITUTE(SUBSTITUTE(TRIM(C1364),".",""),"/",""),"-","")," ","")))&lt;14,RIGHT(REPT("0",14)&amp;UPPER(SUBSTITUTE(SUBSTITUTE(SUBSTITUTE(SUBSTITUTE(TRIM(C1364),".",""),"/",""),"-","")," ","")),14),UPPER(SUBSTITUTE(SUBSTITUTE(SUBSTITUTE(SUBSTITUTE(TRIM(C1364),".",""),"/",""),"-","")," ",""))))</f>
        <v/>
      </c>
      <c r="E1364" s="25" t="str">
        <f aca="false">IF(D1364="","",IFERROR(INDEX(Empresas!$C:$C,MATCH(D1364,Empresas!$B:$B,0)),"cadastre o CNPJ em Empresas"))</f>
        <v/>
      </c>
      <c r="F1364" s="23"/>
      <c r="G1364" s="35"/>
      <c r="H1364" s="24"/>
      <c r="I1364" s="11"/>
      <c r="J1364" s="27" t="str">
        <f aca="false">IF(A1364="","",YEAR(A1364))</f>
        <v/>
      </c>
      <c r="K1364" s="24"/>
      <c r="L1364" s="11"/>
    </row>
    <row r="1365" customFormat="false" ht="15" hidden="false" customHeight="false" outlineLevel="0" collapsed="false">
      <c r="A1365" s="22"/>
      <c r="B1365" s="11"/>
      <c r="C1365" s="24"/>
      <c r="D1365" s="31" t="str">
        <f aca="false">IF(C1365="","",IF(LEN(UPPER(SUBSTITUTE(SUBSTITUTE(SUBSTITUTE(SUBSTITUTE(TRIM(C1365),".",""),"/",""),"-","")," ","")))&lt;14,RIGHT(REPT("0",14)&amp;UPPER(SUBSTITUTE(SUBSTITUTE(SUBSTITUTE(SUBSTITUTE(TRIM(C1365),".",""),"/",""),"-","")," ","")),14),UPPER(SUBSTITUTE(SUBSTITUTE(SUBSTITUTE(SUBSTITUTE(TRIM(C1365),".",""),"/",""),"-","")," ",""))))</f>
        <v/>
      </c>
      <c r="E1365" s="25" t="str">
        <f aca="false">IF(D1365="","",IFERROR(INDEX(Empresas!$C:$C,MATCH(D1365,Empresas!$B:$B,0)),"cadastre o CNPJ em Empresas"))</f>
        <v/>
      </c>
      <c r="F1365" s="23"/>
      <c r="G1365" s="35"/>
      <c r="H1365" s="24"/>
      <c r="I1365" s="11"/>
      <c r="J1365" s="27" t="str">
        <f aca="false">IF(A1365="","",YEAR(A1365))</f>
        <v/>
      </c>
      <c r="K1365" s="24"/>
      <c r="L1365" s="11"/>
    </row>
    <row r="1366" customFormat="false" ht="15" hidden="false" customHeight="false" outlineLevel="0" collapsed="false">
      <c r="A1366" s="22"/>
      <c r="B1366" s="11"/>
      <c r="C1366" s="24"/>
      <c r="D1366" s="31" t="str">
        <f aca="false">IF(C1366="","",IF(LEN(UPPER(SUBSTITUTE(SUBSTITUTE(SUBSTITUTE(SUBSTITUTE(TRIM(C1366),".",""),"/",""),"-","")," ","")))&lt;14,RIGHT(REPT("0",14)&amp;UPPER(SUBSTITUTE(SUBSTITUTE(SUBSTITUTE(SUBSTITUTE(TRIM(C1366),".",""),"/",""),"-","")," ","")),14),UPPER(SUBSTITUTE(SUBSTITUTE(SUBSTITUTE(SUBSTITUTE(TRIM(C1366),".",""),"/",""),"-","")," ",""))))</f>
        <v/>
      </c>
      <c r="E1366" s="25" t="str">
        <f aca="false">IF(D1366="","",IFERROR(INDEX(Empresas!$C:$C,MATCH(D1366,Empresas!$B:$B,0)),"cadastre o CNPJ em Empresas"))</f>
        <v/>
      </c>
      <c r="F1366" s="23"/>
      <c r="G1366" s="35"/>
      <c r="H1366" s="24"/>
      <c r="I1366" s="11"/>
      <c r="J1366" s="27" t="str">
        <f aca="false">IF(A1366="","",YEAR(A1366))</f>
        <v/>
      </c>
      <c r="K1366" s="24"/>
      <c r="L1366" s="11"/>
    </row>
    <row r="1367" customFormat="false" ht="15" hidden="false" customHeight="false" outlineLevel="0" collapsed="false">
      <c r="A1367" s="22"/>
      <c r="B1367" s="11"/>
      <c r="C1367" s="24"/>
      <c r="D1367" s="31" t="str">
        <f aca="false">IF(C1367="","",IF(LEN(UPPER(SUBSTITUTE(SUBSTITUTE(SUBSTITUTE(SUBSTITUTE(TRIM(C1367),".",""),"/",""),"-","")," ","")))&lt;14,RIGHT(REPT("0",14)&amp;UPPER(SUBSTITUTE(SUBSTITUTE(SUBSTITUTE(SUBSTITUTE(TRIM(C1367),".",""),"/",""),"-","")," ","")),14),UPPER(SUBSTITUTE(SUBSTITUTE(SUBSTITUTE(SUBSTITUTE(TRIM(C1367),".",""),"/",""),"-","")," ",""))))</f>
        <v/>
      </c>
      <c r="E1367" s="25" t="str">
        <f aca="false">IF(D1367="","",IFERROR(INDEX(Empresas!$C:$C,MATCH(D1367,Empresas!$B:$B,0)),"cadastre o CNPJ em Empresas"))</f>
        <v/>
      </c>
      <c r="F1367" s="23"/>
      <c r="G1367" s="35"/>
      <c r="H1367" s="24"/>
      <c r="I1367" s="11"/>
      <c r="J1367" s="27" t="str">
        <f aca="false">IF(A1367="","",YEAR(A1367))</f>
        <v/>
      </c>
      <c r="K1367" s="24"/>
      <c r="L1367" s="11"/>
    </row>
    <row r="1368" customFormat="false" ht="15" hidden="false" customHeight="false" outlineLevel="0" collapsed="false">
      <c r="A1368" s="22"/>
      <c r="B1368" s="11"/>
      <c r="C1368" s="24"/>
      <c r="D1368" s="31" t="str">
        <f aca="false">IF(C1368="","",IF(LEN(UPPER(SUBSTITUTE(SUBSTITUTE(SUBSTITUTE(SUBSTITUTE(TRIM(C1368),".",""),"/",""),"-","")," ","")))&lt;14,RIGHT(REPT("0",14)&amp;UPPER(SUBSTITUTE(SUBSTITUTE(SUBSTITUTE(SUBSTITUTE(TRIM(C1368),".",""),"/",""),"-","")," ","")),14),UPPER(SUBSTITUTE(SUBSTITUTE(SUBSTITUTE(SUBSTITUTE(TRIM(C1368),".",""),"/",""),"-","")," ",""))))</f>
        <v/>
      </c>
      <c r="E1368" s="25" t="str">
        <f aca="false">IF(D1368="","",IFERROR(INDEX(Empresas!$C:$C,MATCH(D1368,Empresas!$B:$B,0)),"cadastre o CNPJ em Empresas"))</f>
        <v/>
      </c>
      <c r="F1368" s="23"/>
      <c r="G1368" s="35"/>
      <c r="H1368" s="24"/>
      <c r="I1368" s="11"/>
      <c r="J1368" s="27" t="str">
        <f aca="false">IF(A1368="","",YEAR(A1368))</f>
        <v/>
      </c>
      <c r="K1368" s="24"/>
      <c r="L1368" s="11"/>
    </row>
    <row r="1369" customFormat="false" ht="15" hidden="false" customHeight="false" outlineLevel="0" collapsed="false">
      <c r="A1369" s="22"/>
      <c r="B1369" s="11"/>
      <c r="C1369" s="24"/>
      <c r="D1369" s="31" t="str">
        <f aca="false">IF(C1369="","",IF(LEN(UPPER(SUBSTITUTE(SUBSTITUTE(SUBSTITUTE(SUBSTITUTE(TRIM(C1369),".",""),"/",""),"-","")," ","")))&lt;14,RIGHT(REPT("0",14)&amp;UPPER(SUBSTITUTE(SUBSTITUTE(SUBSTITUTE(SUBSTITUTE(TRIM(C1369),".",""),"/",""),"-","")," ","")),14),UPPER(SUBSTITUTE(SUBSTITUTE(SUBSTITUTE(SUBSTITUTE(TRIM(C1369),".",""),"/",""),"-","")," ",""))))</f>
        <v/>
      </c>
      <c r="E1369" s="25" t="str">
        <f aca="false">IF(D1369="","",IFERROR(INDEX(Empresas!$C:$C,MATCH(D1369,Empresas!$B:$B,0)),"cadastre o CNPJ em Empresas"))</f>
        <v/>
      </c>
      <c r="F1369" s="23"/>
      <c r="G1369" s="35"/>
      <c r="H1369" s="24"/>
      <c r="I1369" s="11"/>
      <c r="J1369" s="27" t="str">
        <f aca="false">IF(A1369="","",YEAR(A1369))</f>
        <v/>
      </c>
      <c r="K1369" s="24"/>
      <c r="L1369" s="11"/>
    </row>
    <row r="1370" customFormat="false" ht="15" hidden="false" customHeight="false" outlineLevel="0" collapsed="false">
      <c r="A1370" s="22"/>
      <c r="B1370" s="11"/>
      <c r="C1370" s="24"/>
      <c r="D1370" s="31" t="str">
        <f aca="false">IF(C1370="","",IF(LEN(UPPER(SUBSTITUTE(SUBSTITUTE(SUBSTITUTE(SUBSTITUTE(TRIM(C1370),".",""),"/",""),"-","")," ","")))&lt;14,RIGHT(REPT("0",14)&amp;UPPER(SUBSTITUTE(SUBSTITUTE(SUBSTITUTE(SUBSTITUTE(TRIM(C1370),".",""),"/",""),"-","")," ","")),14),UPPER(SUBSTITUTE(SUBSTITUTE(SUBSTITUTE(SUBSTITUTE(TRIM(C1370),".",""),"/",""),"-","")," ",""))))</f>
        <v/>
      </c>
      <c r="E1370" s="25" t="str">
        <f aca="false">IF(D1370="","",IFERROR(INDEX(Empresas!$C:$C,MATCH(D1370,Empresas!$B:$B,0)),"cadastre o CNPJ em Empresas"))</f>
        <v/>
      </c>
      <c r="F1370" s="23"/>
      <c r="G1370" s="35"/>
      <c r="H1370" s="24"/>
      <c r="I1370" s="11"/>
      <c r="J1370" s="27" t="str">
        <f aca="false">IF(A1370="","",YEAR(A1370))</f>
        <v/>
      </c>
      <c r="K1370" s="24"/>
      <c r="L1370" s="11"/>
    </row>
    <row r="1371" customFormat="false" ht="15" hidden="false" customHeight="false" outlineLevel="0" collapsed="false">
      <c r="A1371" s="22"/>
      <c r="B1371" s="11"/>
      <c r="C1371" s="24"/>
      <c r="D1371" s="31" t="str">
        <f aca="false">IF(C1371="","",IF(LEN(UPPER(SUBSTITUTE(SUBSTITUTE(SUBSTITUTE(SUBSTITUTE(TRIM(C1371),".",""),"/",""),"-","")," ","")))&lt;14,RIGHT(REPT("0",14)&amp;UPPER(SUBSTITUTE(SUBSTITUTE(SUBSTITUTE(SUBSTITUTE(TRIM(C1371),".",""),"/",""),"-","")," ","")),14),UPPER(SUBSTITUTE(SUBSTITUTE(SUBSTITUTE(SUBSTITUTE(TRIM(C1371),".",""),"/",""),"-","")," ",""))))</f>
        <v/>
      </c>
      <c r="E1371" s="25" t="str">
        <f aca="false">IF(D1371="","",IFERROR(INDEX(Empresas!$C:$C,MATCH(D1371,Empresas!$B:$B,0)),"cadastre o CNPJ em Empresas"))</f>
        <v/>
      </c>
      <c r="F1371" s="23"/>
      <c r="G1371" s="35"/>
      <c r="H1371" s="24"/>
      <c r="I1371" s="11"/>
      <c r="J1371" s="27" t="str">
        <f aca="false">IF(A1371="","",YEAR(A1371))</f>
        <v/>
      </c>
      <c r="K1371" s="24"/>
      <c r="L1371" s="11"/>
    </row>
    <row r="1372" customFormat="false" ht="15" hidden="false" customHeight="false" outlineLevel="0" collapsed="false">
      <c r="A1372" s="22"/>
      <c r="B1372" s="11"/>
      <c r="C1372" s="24"/>
      <c r="D1372" s="31" t="str">
        <f aca="false">IF(C1372="","",IF(LEN(UPPER(SUBSTITUTE(SUBSTITUTE(SUBSTITUTE(SUBSTITUTE(TRIM(C1372),".",""),"/",""),"-","")," ","")))&lt;14,RIGHT(REPT("0",14)&amp;UPPER(SUBSTITUTE(SUBSTITUTE(SUBSTITUTE(SUBSTITUTE(TRIM(C1372),".",""),"/",""),"-","")," ","")),14),UPPER(SUBSTITUTE(SUBSTITUTE(SUBSTITUTE(SUBSTITUTE(TRIM(C1372),".",""),"/",""),"-","")," ",""))))</f>
        <v/>
      </c>
      <c r="E1372" s="25" t="str">
        <f aca="false">IF(D1372="","",IFERROR(INDEX(Empresas!$C:$C,MATCH(D1372,Empresas!$B:$B,0)),"cadastre o CNPJ em Empresas"))</f>
        <v/>
      </c>
      <c r="F1372" s="23"/>
      <c r="G1372" s="35"/>
      <c r="H1372" s="24"/>
      <c r="I1372" s="11"/>
      <c r="J1372" s="27" t="str">
        <f aca="false">IF(A1372="","",YEAR(A1372))</f>
        <v/>
      </c>
      <c r="K1372" s="24"/>
      <c r="L1372" s="11"/>
    </row>
    <row r="1373" customFormat="false" ht="15" hidden="false" customHeight="false" outlineLevel="0" collapsed="false">
      <c r="A1373" s="22"/>
      <c r="B1373" s="11"/>
      <c r="C1373" s="24"/>
      <c r="D1373" s="31" t="str">
        <f aca="false">IF(C1373="","",IF(LEN(UPPER(SUBSTITUTE(SUBSTITUTE(SUBSTITUTE(SUBSTITUTE(TRIM(C1373),".",""),"/",""),"-","")," ","")))&lt;14,RIGHT(REPT("0",14)&amp;UPPER(SUBSTITUTE(SUBSTITUTE(SUBSTITUTE(SUBSTITUTE(TRIM(C1373),".",""),"/",""),"-","")," ","")),14),UPPER(SUBSTITUTE(SUBSTITUTE(SUBSTITUTE(SUBSTITUTE(TRIM(C1373),".",""),"/",""),"-","")," ",""))))</f>
        <v/>
      </c>
      <c r="E1373" s="25" t="str">
        <f aca="false">IF(D1373="","",IFERROR(INDEX(Empresas!$C:$C,MATCH(D1373,Empresas!$B:$B,0)),"cadastre o CNPJ em Empresas"))</f>
        <v/>
      </c>
      <c r="F1373" s="23"/>
      <c r="G1373" s="35"/>
      <c r="H1373" s="24"/>
      <c r="I1373" s="11"/>
      <c r="J1373" s="27" t="str">
        <f aca="false">IF(A1373="","",YEAR(A1373))</f>
        <v/>
      </c>
      <c r="K1373" s="24"/>
      <c r="L1373" s="11"/>
    </row>
    <row r="1374" customFormat="false" ht="15" hidden="false" customHeight="false" outlineLevel="0" collapsed="false">
      <c r="A1374" s="22"/>
      <c r="B1374" s="11"/>
      <c r="C1374" s="24"/>
      <c r="D1374" s="31" t="str">
        <f aca="false">IF(C1374="","",IF(LEN(UPPER(SUBSTITUTE(SUBSTITUTE(SUBSTITUTE(SUBSTITUTE(TRIM(C1374),".",""),"/",""),"-","")," ","")))&lt;14,RIGHT(REPT("0",14)&amp;UPPER(SUBSTITUTE(SUBSTITUTE(SUBSTITUTE(SUBSTITUTE(TRIM(C1374),".",""),"/",""),"-","")," ","")),14),UPPER(SUBSTITUTE(SUBSTITUTE(SUBSTITUTE(SUBSTITUTE(TRIM(C1374),".",""),"/",""),"-","")," ",""))))</f>
        <v/>
      </c>
      <c r="E1374" s="25" t="str">
        <f aca="false">IF(D1374="","",IFERROR(INDEX(Empresas!$C:$C,MATCH(D1374,Empresas!$B:$B,0)),"cadastre o CNPJ em Empresas"))</f>
        <v/>
      </c>
      <c r="F1374" s="23"/>
      <c r="G1374" s="35"/>
      <c r="H1374" s="24"/>
      <c r="I1374" s="11"/>
      <c r="J1374" s="27" t="str">
        <f aca="false">IF(A1374="","",YEAR(A1374))</f>
        <v/>
      </c>
      <c r="K1374" s="24"/>
      <c r="L1374" s="11"/>
    </row>
    <row r="1375" customFormat="false" ht="15" hidden="false" customHeight="false" outlineLevel="0" collapsed="false">
      <c r="A1375" s="22"/>
      <c r="B1375" s="11"/>
      <c r="C1375" s="24"/>
      <c r="D1375" s="31" t="str">
        <f aca="false">IF(C1375="","",IF(LEN(UPPER(SUBSTITUTE(SUBSTITUTE(SUBSTITUTE(SUBSTITUTE(TRIM(C1375),".",""),"/",""),"-","")," ","")))&lt;14,RIGHT(REPT("0",14)&amp;UPPER(SUBSTITUTE(SUBSTITUTE(SUBSTITUTE(SUBSTITUTE(TRIM(C1375),".",""),"/",""),"-","")," ","")),14),UPPER(SUBSTITUTE(SUBSTITUTE(SUBSTITUTE(SUBSTITUTE(TRIM(C1375),".",""),"/",""),"-","")," ",""))))</f>
        <v/>
      </c>
      <c r="E1375" s="25" t="str">
        <f aca="false">IF(D1375="","",IFERROR(INDEX(Empresas!$C:$C,MATCH(D1375,Empresas!$B:$B,0)),"cadastre o CNPJ em Empresas"))</f>
        <v/>
      </c>
      <c r="F1375" s="23"/>
      <c r="G1375" s="35"/>
      <c r="H1375" s="24"/>
      <c r="I1375" s="11"/>
      <c r="J1375" s="27" t="str">
        <f aca="false">IF(A1375="","",YEAR(A1375))</f>
        <v/>
      </c>
      <c r="K1375" s="24"/>
      <c r="L1375" s="11"/>
    </row>
    <row r="1376" customFormat="false" ht="15" hidden="false" customHeight="false" outlineLevel="0" collapsed="false">
      <c r="A1376" s="22"/>
      <c r="B1376" s="11"/>
      <c r="C1376" s="24"/>
      <c r="D1376" s="31" t="str">
        <f aca="false">IF(C1376="","",IF(LEN(UPPER(SUBSTITUTE(SUBSTITUTE(SUBSTITUTE(SUBSTITUTE(TRIM(C1376),".",""),"/",""),"-","")," ","")))&lt;14,RIGHT(REPT("0",14)&amp;UPPER(SUBSTITUTE(SUBSTITUTE(SUBSTITUTE(SUBSTITUTE(TRIM(C1376),".",""),"/",""),"-","")," ","")),14),UPPER(SUBSTITUTE(SUBSTITUTE(SUBSTITUTE(SUBSTITUTE(TRIM(C1376),".",""),"/",""),"-","")," ",""))))</f>
        <v/>
      </c>
      <c r="E1376" s="25" t="str">
        <f aca="false">IF(D1376="","",IFERROR(INDEX(Empresas!$C:$C,MATCH(D1376,Empresas!$B:$B,0)),"cadastre o CNPJ em Empresas"))</f>
        <v/>
      </c>
      <c r="F1376" s="23"/>
      <c r="G1376" s="35"/>
      <c r="H1376" s="24"/>
      <c r="I1376" s="11"/>
      <c r="J1376" s="27" t="str">
        <f aca="false">IF(A1376="","",YEAR(A1376))</f>
        <v/>
      </c>
      <c r="K1376" s="24"/>
      <c r="L1376" s="11"/>
    </row>
    <row r="1377" customFormat="false" ht="15" hidden="false" customHeight="false" outlineLevel="0" collapsed="false">
      <c r="A1377" s="22"/>
      <c r="B1377" s="11"/>
      <c r="C1377" s="24"/>
      <c r="D1377" s="31" t="str">
        <f aca="false">IF(C1377="","",IF(LEN(UPPER(SUBSTITUTE(SUBSTITUTE(SUBSTITUTE(SUBSTITUTE(TRIM(C1377),".",""),"/",""),"-","")," ","")))&lt;14,RIGHT(REPT("0",14)&amp;UPPER(SUBSTITUTE(SUBSTITUTE(SUBSTITUTE(SUBSTITUTE(TRIM(C1377),".",""),"/",""),"-","")," ","")),14),UPPER(SUBSTITUTE(SUBSTITUTE(SUBSTITUTE(SUBSTITUTE(TRIM(C1377),".",""),"/",""),"-","")," ",""))))</f>
        <v/>
      </c>
      <c r="E1377" s="25" t="str">
        <f aca="false">IF(D1377="","",IFERROR(INDEX(Empresas!$C:$C,MATCH(D1377,Empresas!$B:$B,0)),"cadastre o CNPJ em Empresas"))</f>
        <v/>
      </c>
      <c r="F1377" s="23"/>
      <c r="G1377" s="35"/>
      <c r="H1377" s="24"/>
      <c r="I1377" s="11"/>
      <c r="J1377" s="27" t="str">
        <f aca="false">IF(A1377="","",YEAR(A1377))</f>
        <v/>
      </c>
      <c r="K1377" s="24"/>
      <c r="L1377" s="11"/>
    </row>
    <row r="1378" customFormat="false" ht="15" hidden="false" customHeight="false" outlineLevel="0" collapsed="false">
      <c r="A1378" s="22"/>
      <c r="B1378" s="11"/>
      <c r="C1378" s="24"/>
      <c r="D1378" s="31" t="str">
        <f aca="false">IF(C1378="","",IF(LEN(UPPER(SUBSTITUTE(SUBSTITUTE(SUBSTITUTE(SUBSTITUTE(TRIM(C1378),".",""),"/",""),"-","")," ","")))&lt;14,RIGHT(REPT("0",14)&amp;UPPER(SUBSTITUTE(SUBSTITUTE(SUBSTITUTE(SUBSTITUTE(TRIM(C1378),".",""),"/",""),"-","")," ","")),14),UPPER(SUBSTITUTE(SUBSTITUTE(SUBSTITUTE(SUBSTITUTE(TRIM(C1378),".",""),"/",""),"-","")," ",""))))</f>
        <v/>
      </c>
      <c r="E1378" s="25" t="str">
        <f aca="false">IF(D1378="","",IFERROR(INDEX(Empresas!$C:$C,MATCH(D1378,Empresas!$B:$B,0)),"cadastre o CNPJ em Empresas"))</f>
        <v/>
      </c>
      <c r="F1378" s="23"/>
      <c r="G1378" s="35"/>
      <c r="H1378" s="24"/>
      <c r="I1378" s="11"/>
      <c r="J1378" s="27" t="str">
        <f aca="false">IF(A1378="","",YEAR(A1378))</f>
        <v/>
      </c>
      <c r="K1378" s="24"/>
      <c r="L1378" s="11"/>
    </row>
    <row r="1379" customFormat="false" ht="15" hidden="false" customHeight="false" outlineLevel="0" collapsed="false">
      <c r="A1379" s="22"/>
      <c r="B1379" s="11"/>
      <c r="C1379" s="24"/>
      <c r="D1379" s="31" t="str">
        <f aca="false">IF(C1379="","",IF(LEN(UPPER(SUBSTITUTE(SUBSTITUTE(SUBSTITUTE(SUBSTITUTE(TRIM(C1379),".",""),"/",""),"-","")," ","")))&lt;14,RIGHT(REPT("0",14)&amp;UPPER(SUBSTITUTE(SUBSTITUTE(SUBSTITUTE(SUBSTITUTE(TRIM(C1379),".",""),"/",""),"-","")," ","")),14),UPPER(SUBSTITUTE(SUBSTITUTE(SUBSTITUTE(SUBSTITUTE(TRIM(C1379),".",""),"/",""),"-","")," ",""))))</f>
        <v/>
      </c>
      <c r="E1379" s="25" t="str">
        <f aca="false">IF(D1379="","",IFERROR(INDEX(Empresas!$C:$C,MATCH(D1379,Empresas!$B:$B,0)),"cadastre o CNPJ em Empresas"))</f>
        <v/>
      </c>
      <c r="F1379" s="23"/>
      <c r="G1379" s="35"/>
      <c r="H1379" s="24"/>
      <c r="I1379" s="11"/>
      <c r="J1379" s="27" t="str">
        <f aca="false">IF(A1379="","",YEAR(A1379))</f>
        <v/>
      </c>
      <c r="K1379" s="24"/>
      <c r="L1379" s="11"/>
    </row>
    <row r="1380" customFormat="false" ht="15" hidden="false" customHeight="false" outlineLevel="0" collapsed="false">
      <c r="A1380" s="22"/>
      <c r="B1380" s="11"/>
      <c r="C1380" s="24"/>
      <c r="D1380" s="31" t="str">
        <f aca="false">IF(C1380="","",IF(LEN(UPPER(SUBSTITUTE(SUBSTITUTE(SUBSTITUTE(SUBSTITUTE(TRIM(C1380),".",""),"/",""),"-","")," ","")))&lt;14,RIGHT(REPT("0",14)&amp;UPPER(SUBSTITUTE(SUBSTITUTE(SUBSTITUTE(SUBSTITUTE(TRIM(C1380),".",""),"/",""),"-","")," ","")),14),UPPER(SUBSTITUTE(SUBSTITUTE(SUBSTITUTE(SUBSTITUTE(TRIM(C1380),".",""),"/",""),"-","")," ",""))))</f>
        <v/>
      </c>
      <c r="E1380" s="25" t="str">
        <f aca="false">IF(D1380="","",IFERROR(INDEX(Empresas!$C:$C,MATCH(D1380,Empresas!$B:$B,0)),"cadastre o CNPJ em Empresas"))</f>
        <v/>
      </c>
      <c r="F1380" s="23"/>
      <c r="G1380" s="35"/>
      <c r="H1380" s="24"/>
      <c r="I1380" s="11"/>
      <c r="J1380" s="27" t="str">
        <f aca="false">IF(A1380="","",YEAR(A1380))</f>
        <v/>
      </c>
      <c r="K1380" s="24"/>
      <c r="L1380" s="11"/>
    </row>
    <row r="1381" customFormat="false" ht="15" hidden="false" customHeight="false" outlineLevel="0" collapsed="false">
      <c r="A1381" s="22"/>
      <c r="B1381" s="11"/>
      <c r="C1381" s="24"/>
      <c r="D1381" s="31" t="str">
        <f aca="false">IF(C1381="","",IF(LEN(UPPER(SUBSTITUTE(SUBSTITUTE(SUBSTITUTE(SUBSTITUTE(TRIM(C1381),".",""),"/",""),"-","")," ","")))&lt;14,RIGHT(REPT("0",14)&amp;UPPER(SUBSTITUTE(SUBSTITUTE(SUBSTITUTE(SUBSTITUTE(TRIM(C1381),".",""),"/",""),"-","")," ","")),14),UPPER(SUBSTITUTE(SUBSTITUTE(SUBSTITUTE(SUBSTITUTE(TRIM(C1381),".",""),"/",""),"-","")," ",""))))</f>
        <v/>
      </c>
      <c r="E1381" s="25" t="str">
        <f aca="false">IF(D1381="","",IFERROR(INDEX(Empresas!$C:$C,MATCH(D1381,Empresas!$B:$B,0)),"cadastre o CNPJ em Empresas"))</f>
        <v/>
      </c>
      <c r="F1381" s="23"/>
      <c r="G1381" s="35"/>
      <c r="H1381" s="24"/>
      <c r="I1381" s="11"/>
      <c r="J1381" s="27" t="str">
        <f aca="false">IF(A1381="","",YEAR(A1381))</f>
        <v/>
      </c>
      <c r="K1381" s="24"/>
      <c r="L1381" s="11"/>
    </row>
    <row r="1382" customFormat="false" ht="15" hidden="false" customHeight="false" outlineLevel="0" collapsed="false">
      <c r="A1382" s="22"/>
      <c r="B1382" s="11"/>
      <c r="C1382" s="24"/>
      <c r="D1382" s="31" t="str">
        <f aca="false">IF(C1382="","",IF(LEN(UPPER(SUBSTITUTE(SUBSTITUTE(SUBSTITUTE(SUBSTITUTE(TRIM(C1382),".",""),"/",""),"-","")," ","")))&lt;14,RIGHT(REPT("0",14)&amp;UPPER(SUBSTITUTE(SUBSTITUTE(SUBSTITUTE(SUBSTITUTE(TRIM(C1382),".",""),"/",""),"-","")," ","")),14),UPPER(SUBSTITUTE(SUBSTITUTE(SUBSTITUTE(SUBSTITUTE(TRIM(C1382),".",""),"/",""),"-","")," ",""))))</f>
        <v/>
      </c>
      <c r="E1382" s="25" t="str">
        <f aca="false">IF(D1382="","",IFERROR(INDEX(Empresas!$C:$C,MATCH(D1382,Empresas!$B:$B,0)),"cadastre o CNPJ em Empresas"))</f>
        <v/>
      </c>
      <c r="F1382" s="23"/>
      <c r="G1382" s="35"/>
      <c r="H1382" s="24"/>
      <c r="I1382" s="11"/>
      <c r="J1382" s="27" t="str">
        <f aca="false">IF(A1382="","",YEAR(A1382))</f>
        <v/>
      </c>
      <c r="K1382" s="24"/>
      <c r="L1382" s="11"/>
    </row>
    <row r="1383" customFormat="false" ht="15" hidden="false" customHeight="false" outlineLevel="0" collapsed="false">
      <c r="A1383" s="22"/>
      <c r="B1383" s="11"/>
      <c r="C1383" s="24"/>
      <c r="D1383" s="31" t="str">
        <f aca="false">IF(C1383="","",IF(LEN(UPPER(SUBSTITUTE(SUBSTITUTE(SUBSTITUTE(SUBSTITUTE(TRIM(C1383),".",""),"/",""),"-","")," ","")))&lt;14,RIGHT(REPT("0",14)&amp;UPPER(SUBSTITUTE(SUBSTITUTE(SUBSTITUTE(SUBSTITUTE(TRIM(C1383),".",""),"/",""),"-","")," ","")),14),UPPER(SUBSTITUTE(SUBSTITUTE(SUBSTITUTE(SUBSTITUTE(TRIM(C1383),".",""),"/",""),"-","")," ",""))))</f>
        <v/>
      </c>
      <c r="E1383" s="25" t="str">
        <f aca="false">IF(D1383="","",IFERROR(INDEX(Empresas!$C:$C,MATCH(D1383,Empresas!$B:$B,0)),"cadastre o CNPJ em Empresas"))</f>
        <v/>
      </c>
      <c r="F1383" s="23"/>
      <c r="G1383" s="35"/>
      <c r="H1383" s="24"/>
      <c r="I1383" s="11"/>
      <c r="J1383" s="27" t="str">
        <f aca="false">IF(A1383="","",YEAR(A1383))</f>
        <v/>
      </c>
      <c r="K1383" s="24"/>
      <c r="L1383" s="11"/>
    </row>
    <row r="1384" customFormat="false" ht="15" hidden="false" customHeight="false" outlineLevel="0" collapsed="false">
      <c r="A1384" s="22"/>
      <c r="B1384" s="11"/>
      <c r="C1384" s="24"/>
      <c r="D1384" s="31" t="str">
        <f aca="false">IF(C1384="","",IF(LEN(UPPER(SUBSTITUTE(SUBSTITUTE(SUBSTITUTE(SUBSTITUTE(TRIM(C1384),".",""),"/",""),"-","")," ","")))&lt;14,RIGHT(REPT("0",14)&amp;UPPER(SUBSTITUTE(SUBSTITUTE(SUBSTITUTE(SUBSTITUTE(TRIM(C1384),".",""),"/",""),"-","")," ","")),14),UPPER(SUBSTITUTE(SUBSTITUTE(SUBSTITUTE(SUBSTITUTE(TRIM(C1384),".",""),"/",""),"-","")," ",""))))</f>
        <v/>
      </c>
      <c r="E1384" s="25" t="str">
        <f aca="false">IF(D1384="","",IFERROR(INDEX(Empresas!$C:$C,MATCH(D1384,Empresas!$B:$B,0)),"cadastre o CNPJ em Empresas"))</f>
        <v/>
      </c>
      <c r="F1384" s="23"/>
      <c r="G1384" s="35"/>
      <c r="H1384" s="24"/>
      <c r="I1384" s="11"/>
      <c r="J1384" s="27" t="str">
        <f aca="false">IF(A1384="","",YEAR(A1384))</f>
        <v/>
      </c>
      <c r="K1384" s="24"/>
      <c r="L1384" s="11"/>
    </row>
    <row r="1385" customFormat="false" ht="15" hidden="false" customHeight="false" outlineLevel="0" collapsed="false">
      <c r="A1385" s="22"/>
      <c r="B1385" s="11"/>
      <c r="C1385" s="24"/>
      <c r="D1385" s="31" t="str">
        <f aca="false">IF(C1385="","",IF(LEN(UPPER(SUBSTITUTE(SUBSTITUTE(SUBSTITUTE(SUBSTITUTE(TRIM(C1385),".",""),"/",""),"-","")," ","")))&lt;14,RIGHT(REPT("0",14)&amp;UPPER(SUBSTITUTE(SUBSTITUTE(SUBSTITUTE(SUBSTITUTE(TRIM(C1385),".",""),"/",""),"-","")," ","")),14),UPPER(SUBSTITUTE(SUBSTITUTE(SUBSTITUTE(SUBSTITUTE(TRIM(C1385),".",""),"/",""),"-","")," ",""))))</f>
        <v/>
      </c>
      <c r="E1385" s="25" t="str">
        <f aca="false">IF(D1385="","",IFERROR(INDEX(Empresas!$C:$C,MATCH(D1385,Empresas!$B:$B,0)),"cadastre o CNPJ em Empresas"))</f>
        <v/>
      </c>
      <c r="F1385" s="23"/>
      <c r="G1385" s="35"/>
      <c r="H1385" s="24"/>
      <c r="I1385" s="11"/>
      <c r="J1385" s="27" t="str">
        <f aca="false">IF(A1385="","",YEAR(A1385))</f>
        <v/>
      </c>
      <c r="K1385" s="24"/>
      <c r="L1385" s="11"/>
    </row>
    <row r="1386" customFormat="false" ht="15" hidden="false" customHeight="false" outlineLevel="0" collapsed="false">
      <c r="A1386" s="22"/>
      <c r="B1386" s="11"/>
      <c r="C1386" s="24"/>
      <c r="D1386" s="31" t="str">
        <f aca="false">IF(C1386="","",IF(LEN(UPPER(SUBSTITUTE(SUBSTITUTE(SUBSTITUTE(SUBSTITUTE(TRIM(C1386),".",""),"/",""),"-","")," ","")))&lt;14,RIGHT(REPT("0",14)&amp;UPPER(SUBSTITUTE(SUBSTITUTE(SUBSTITUTE(SUBSTITUTE(TRIM(C1386),".",""),"/",""),"-","")," ","")),14),UPPER(SUBSTITUTE(SUBSTITUTE(SUBSTITUTE(SUBSTITUTE(TRIM(C1386),".",""),"/",""),"-","")," ",""))))</f>
        <v/>
      </c>
      <c r="E1386" s="25" t="str">
        <f aca="false">IF(D1386="","",IFERROR(INDEX(Empresas!$C:$C,MATCH(D1386,Empresas!$B:$B,0)),"cadastre o CNPJ em Empresas"))</f>
        <v/>
      </c>
      <c r="F1386" s="23"/>
      <c r="G1386" s="35"/>
      <c r="H1386" s="24"/>
      <c r="I1386" s="11"/>
      <c r="J1386" s="27" t="str">
        <f aca="false">IF(A1386="","",YEAR(A1386))</f>
        <v/>
      </c>
      <c r="K1386" s="24"/>
      <c r="L1386" s="11"/>
    </row>
    <row r="1387" customFormat="false" ht="15" hidden="false" customHeight="false" outlineLevel="0" collapsed="false">
      <c r="A1387" s="22"/>
      <c r="B1387" s="11"/>
      <c r="C1387" s="24"/>
      <c r="D1387" s="31" t="str">
        <f aca="false">IF(C1387="","",IF(LEN(UPPER(SUBSTITUTE(SUBSTITUTE(SUBSTITUTE(SUBSTITUTE(TRIM(C1387),".",""),"/",""),"-","")," ","")))&lt;14,RIGHT(REPT("0",14)&amp;UPPER(SUBSTITUTE(SUBSTITUTE(SUBSTITUTE(SUBSTITUTE(TRIM(C1387),".",""),"/",""),"-","")," ","")),14),UPPER(SUBSTITUTE(SUBSTITUTE(SUBSTITUTE(SUBSTITUTE(TRIM(C1387),".",""),"/",""),"-","")," ",""))))</f>
        <v/>
      </c>
      <c r="E1387" s="25" t="str">
        <f aca="false">IF(D1387="","",IFERROR(INDEX(Empresas!$C:$C,MATCH(D1387,Empresas!$B:$B,0)),"cadastre o CNPJ em Empresas"))</f>
        <v/>
      </c>
      <c r="F1387" s="23"/>
      <c r="G1387" s="35"/>
      <c r="H1387" s="24"/>
      <c r="I1387" s="11"/>
      <c r="J1387" s="27" t="str">
        <f aca="false">IF(A1387="","",YEAR(A1387))</f>
        <v/>
      </c>
      <c r="K1387" s="24"/>
      <c r="L1387" s="11"/>
    </row>
    <row r="1388" customFormat="false" ht="15" hidden="false" customHeight="false" outlineLevel="0" collapsed="false">
      <c r="A1388" s="22"/>
      <c r="B1388" s="11"/>
      <c r="C1388" s="24"/>
      <c r="D1388" s="31" t="str">
        <f aca="false">IF(C1388="","",IF(LEN(UPPER(SUBSTITUTE(SUBSTITUTE(SUBSTITUTE(SUBSTITUTE(TRIM(C1388),".",""),"/",""),"-","")," ","")))&lt;14,RIGHT(REPT("0",14)&amp;UPPER(SUBSTITUTE(SUBSTITUTE(SUBSTITUTE(SUBSTITUTE(TRIM(C1388),".",""),"/",""),"-","")," ","")),14),UPPER(SUBSTITUTE(SUBSTITUTE(SUBSTITUTE(SUBSTITUTE(TRIM(C1388),".",""),"/",""),"-","")," ",""))))</f>
        <v/>
      </c>
      <c r="E1388" s="25" t="str">
        <f aca="false">IF(D1388="","",IFERROR(INDEX(Empresas!$C:$C,MATCH(D1388,Empresas!$B:$B,0)),"cadastre o CNPJ em Empresas"))</f>
        <v/>
      </c>
      <c r="F1388" s="23"/>
      <c r="G1388" s="35"/>
      <c r="H1388" s="24"/>
      <c r="I1388" s="11"/>
      <c r="J1388" s="27" t="str">
        <f aca="false">IF(A1388="","",YEAR(A1388))</f>
        <v/>
      </c>
      <c r="K1388" s="24"/>
      <c r="L1388" s="11"/>
    </row>
    <row r="1389" customFormat="false" ht="15" hidden="false" customHeight="false" outlineLevel="0" collapsed="false">
      <c r="A1389" s="22"/>
      <c r="B1389" s="11"/>
      <c r="C1389" s="24"/>
      <c r="D1389" s="31" t="str">
        <f aca="false">IF(C1389="","",IF(LEN(UPPER(SUBSTITUTE(SUBSTITUTE(SUBSTITUTE(SUBSTITUTE(TRIM(C1389),".",""),"/",""),"-","")," ","")))&lt;14,RIGHT(REPT("0",14)&amp;UPPER(SUBSTITUTE(SUBSTITUTE(SUBSTITUTE(SUBSTITUTE(TRIM(C1389),".",""),"/",""),"-","")," ","")),14),UPPER(SUBSTITUTE(SUBSTITUTE(SUBSTITUTE(SUBSTITUTE(TRIM(C1389),".",""),"/",""),"-","")," ",""))))</f>
        <v/>
      </c>
      <c r="E1389" s="25" t="str">
        <f aca="false">IF(D1389="","",IFERROR(INDEX(Empresas!$C:$C,MATCH(D1389,Empresas!$B:$B,0)),"cadastre o CNPJ em Empresas"))</f>
        <v/>
      </c>
      <c r="F1389" s="23"/>
      <c r="G1389" s="35"/>
      <c r="H1389" s="24"/>
      <c r="I1389" s="11"/>
      <c r="J1389" s="27" t="str">
        <f aca="false">IF(A1389="","",YEAR(A1389))</f>
        <v/>
      </c>
      <c r="K1389" s="24"/>
      <c r="L1389" s="11"/>
    </row>
    <row r="1390" customFormat="false" ht="15" hidden="false" customHeight="false" outlineLevel="0" collapsed="false">
      <c r="A1390" s="22"/>
      <c r="B1390" s="11"/>
      <c r="C1390" s="24"/>
      <c r="D1390" s="31" t="str">
        <f aca="false">IF(C1390="","",IF(LEN(UPPER(SUBSTITUTE(SUBSTITUTE(SUBSTITUTE(SUBSTITUTE(TRIM(C1390),".",""),"/",""),"-","")," ","")))&lt;14,RIGHT(REPT("0",14)&amp;UPPER(SUBSTITUTE(SUBSTITUTE(SUBSTITUTE(SUBSTITUTE(TRIM(C1390),".",""),"/",""),"-","")," ","")),14),UPPER(SUBSTITUTE(SUBSTITUTE(SUBSTITUTE(SUBSTITUTE(TRIM(C1390),".",""),"/",""),"-","")," ",""))))</f>
        <v/>
      </c>
      <c r="E1390" s="25" t="str">
        <f aca="false">IF(D1390="","",IFERROR(INDEX(Empresas!$C:$C,MATCH(D1390,Empresas!$B:$B,0)),"cadastre o CNPJ em Empresas"))</f>
        <v/>
      </c>
      <c r="F1390" s="23"/>
      <c r="G1390" s="35"/>
      <c r="H1390" s="24"/>
      <c r="I1390" s="11"/>
      <c r="J1390" s="27" t="str">
        <f aca="false">IF(A1390="","",YEAR(A1390))</f>
        <v/>
      </c>
      <c r="K1390" s="24"/>
      <c r="L1390" s="11"/>
    </row>
    <row r="1391" customFormat="false" ht="15" hidden="false" customHeight="false" outlineLevel="0" collapsed="false">
      <c r="A1391" s="22"/>
      <c r="B1391" s="11"/>
      <c r="C1391" s="24"/>
      <c r="D1391" s="31" t="str">
        <f aca="false">IF(C1391="","",IF(LEN(UPPER(SUBSTITUTE(SUBSTITUTE(SUBSTITUTE(SUBSTITUTE(TRIM(C1391),".",""),"/",""),"-","")," ","")))&lt;14,RIGHT(REPT("0",14)&amp;UPPER(SUBSTITUTE(SUBSTITUTE(SUBSTITUTE(SUBSTITUTE(TRIM(C1391),".",""),"/",""),"-","")," ","")),14),UPPER(SUBSTITUTE(SUBSTITUTE(SUBSTITUTE(SUBSTITUTE(TRIM(C1391),".",""),"/",""),"-","")," ",""))))</f>
        <v/>
      </c>
      <c r="E1391" s="25" t="str">
        <f aca="false">IF(D1391="","",IFERROR(INDEX(Empresas!$C:$C,MATCH(D1391,Empresas!$B:$B,0)),"cadastre o CNPJ em Empresas"))</f>
        <v/>
      </c>
      <c r="F1391" s="23"/>
      <c r="G1391" s="35"/>
      <c r="H1391" s="24"/>
      <c r="I1391" s="11"/>
      <c r="J1391" s="27" t="str">
        <f aca="false">IF(A1391="","",YEAR(A1391))</f>
        <v/>
      </c>
      <c r="K1391" s="24"/>
      <c r="L1391" s="11"/>
    </row>
    <row r="1392" customFormat="false" ht="15" hidden="false" customHeight="false" outlineLevel="0" collapsed="false">
      <c r="A1392" s="22"/>
      <c r="B1392" s="11"/>
      <c r="C1392" s="24"/>
      <c r="D1392" s="31" t="str">
        <f aca="false">IF(C1392="","",IF(LEN(UPPER(SUBSTITUTE(SUBSTITUTE(SUBSTITUTE(SUBSTITUTE(TRIM(C1392),".",""),"/",""),"-","")," ","")))&lt;14,RIGHT(REPT("0",14)&amp;UPPER(SUBSTITUTE(SUBSTITUTE(SUBSTITUTE(SUBSTITUTE(TRIM(C1392),".",""),"/",""),"-","")," ","")),14),UPPER(SUBSTITUTE(SUBSTITUTE(SUBSTITUTE(SUBSTITUTE(TRIM(C1392),".",""),"/",""),"-","")," ",""))))</f>
        <v/>
      </c>
      <c r="E1392" s="25" t="str">
        <f aca="false">IF(D1392="","",IFERROR(INDEX(Empresas!$C:$C,MATCH(D1392,Empresas!$B:$B,0)),"cadastre o CNPJ em Empresas"))</f>
        <v/>
      </c>
      <c r="F1392" s="23"/>
      <c r="G1392" s="35"/>
      <c r="H1392" s="24"/>
      <c r="I1392" s="11"/>
      <c r="J1392" s="27" t="str">
        <f aca="false">IF(A1392="","",YEAR(A1392))</f>
        <v/>
      </c>
      <c r="K1392" s="24"/>
      <c r="L1392" s="11"/>
    </row>
    <row r="1393" customFormat="false" ht="15" hidden="false" customHeight="false" outlineLevel="0" collapsed="false">
      <c r="A1393" s="22"/>
      <c r="B1393" s="11"/>
      <c r="C1393" s="24"/>
      <c r="D1393" s="31" t="str">
        <f aca="false">IF(C1393="","",IF(LEN(UPPER(SUBSTITUTE(SUBSTITUTE(SUBSTITUTE(SUBSTITUTE(TRIM(C1393),".",""),"/",""),"-","")," ","")))&lt;14,RIGHT(REPT("0",14)&amp;UPPER(SUBSTITUTE(SUBSTITUTE(SUBSTITUTE(SUBSTITUTE(TRIM(C1393),".",""),"/",""),"-","")," ","")),14),UPPER(SUBSTITUTE(SUBSTITUTE(SUBSTITUTE(SUBSTITUTE(TRIM(C1393),".",""),"/",""),"-","")," ",""))))</f>
        <v/>
      </c>
      <c r="E1393" s="25" t="str">
        <f aca="false">IF(D1393="","",IFERROR(INDEX(Empresas!$C:$C,MATCH(D1393,Empresas!$B:$B,0)),"cadastre o CNPJ em Empresas"))</f>
        <v/>
      </c>
      <c r="F1393" s="23"/>
      <c r="G1393" s="35"/>
      <c r="H1393" s="24"/>
      <c r="I1393" s="11"/>
      <c r="J1393" s="27" t="str">
        <f aca="false">IF(A1393="","",YEAR(A1393))</f>
        <v/>
      </c>
      <c r="K1393" s="24"/>
      <c r="L1393" s="11"/>
    </row>
    <row r="1394" customFormat="false" ht="15" hidden="false" customHeight="false" outlineLevel="0" collapsed="false">
      <c r="A1394" s="22"/>
      <c r="B1394" s="11"/>
      <c r="C1394" s="24"/>
      <c r="D1394" s="31" t="str">
        <f aca="false">IF(C1394="","",IF(LEN(UPPER(SUBSTITUTE(SUBSTITUTE(SUBSTITUTE(SUBSTITUTE(TRIM(C1394),".",""),"/",""),"-","")," ","")))&lt;14,RIGHT(REPT("0",14)&amp;UPPER(SUBSTITUTE(SUBSTITUTE(SUBSTITUTE(SUBSTITUTE(TRIM(C1394),".",""),"/",""),"-","")," ","")),14),UPPER(SUBSTITUTE(SUBSTITUTE(SUBSTITUTE(SUBSTITUTE(TRIM(C1394),".",""),"/",""),"-","")," ",""))))</f>
        <v/>
      </c>
      <c r="E1394" s="25" t="str">
        <f aca="false">IF(D1394="","",IFERROR(INDEX(Empresas!$C:$C,MATCH(D1394,Empresas!$B:$B,0)),"cadastre o CNPJ em Empresas"))</f>
        <v/>
      </c>
      <c r="F1394" s="23"/>
      <c r="G1394" s="35"/>
      <c r="H1394" s="24"/>
      <c r="I1394" s="11"/>
      <c r="J1394" s="27" t="str">
        <f aca="false">IF(A1394="","",YEAR(A1394))</f>
        <v/>
      </c>
      <c r="K1394" s="24"/>
      <c r="L1394" s="11"/>
    </row>
    <row r="1395" customFormat="false" ht="15" hidden="false" customHeight="false" outlineLevel="0" collapsed="false">
      <c r="A1395" s="22"/>
      <c r="B1395" s="11"/>
      <c r="C1395" s="24"/>
      <c r="D1395" s="31" t="str">
        <f aca="false">IF(C1395="","",IF(LEN(UPPER(SUBSTITUTE(SUBSTITUTE(SUBSTITUTE(SUBSTITUTE(TRIM(C1395),".",""),"/",""),"-","")," ","")))&lt;14,RIGHT(REPT("0",14)&amp;UPPER(SUBSTITUTE(SUBSTITUTE(SUBSTITUTE(SUBSTITUTE(TRIM(C1395),".",""),"/",""),"-","")," ","")),14),UPPER(SUBSTITUTE(SUBSTITUTE(SUBSTITUTE(SUBSTITUTE(TRIM(C1395),".",""),"/",""),"-","")," ",""))))</f>
        <v/>
      </c>
      <c r="E1395" s="25" t="str">
        <f aca="false">IF(D1395="","",IFERROR(INDEX(Empresas!$C:$C,MATCH(D1395,Empresas!$B:$B,0)),"cadastre o CNPJ em Empresas"))</f>
        <v/>
      </c>
      <c r="F1395" s="23"/>
      <c r="G1395" s="35"/>
      <c r="H1395" s="24"/>
      <c r="I1395" s="11"/>
      <c r="J1395" s="27" t="str">
        <f aca="false">IF(A1395="","",YEAR(A1395))</f>
        <v/>
      </c>
      <c r="K1395" s="24"/>
      <c r="L1395" s="11"/>
    </row>
    <row r="1396" customFormat="false" ht="15" hidden="false" customHeight="false" outlineLevel="0" collapsed="false">
      <c r="A1396" s="22"/>
      <c r="B1396" s="11"/>
      <c r="C1396" s="24"/>
      <c r="D1396" s="31" t="str">
        <f aca="false">IF(C1396="","",IF(LEN(UPPER(SUBSTITUTE(SUBSTITUTE(SUBSTITUTE(SUBSTITUTE(TRIM(C1396),".",""),"/",""),"-","")," ","")))&lt;14,RIGHT(REPT("0",14)&amp;UPPER(SUBSTITUTE(SUBSTITUTE(SUBSTITUTE(SUBSTITUTE(TRIM(C1396),".",""),"/",""),"-","")," ","")),14),UPPER(SUBSTITUTE(SUBSTITUTE(SUBSTITUTE(SUBSTITUTE(TRIM(C1396),".",""),"/",""),"-","")," ",""))))</f>
        <v/>
      </c>
      <c r="E1396" s="25" t="str">
        <f aca="false">IF(D1396="","",IFERROR(INDEX(Empresas!$C:$C,MATCH(D1396,Empresas!$B:$B,0)),"cadastre o CNPJ em Empresas"))</f>
        <v/>
      </c>
      <c r="F1396" s="23"/>
      <c r="G1396" s="35"/>
      <c r="H1396" s="24"/>
      <c r="I1396" s="11"/>
      <c r="J1396" s="27" t="str">
        <f aca="false">IF(A1396="","",YEAR(A1396))</f>
        <v/>
      </c>
      <c r="K1396" s="24"/>
      <c r="L1396" s="11"/>
    </row>
    <row r="1397" customFormat="false" ht="15" hidden="false" customHeight="false" outlineLevel="0" collapsed="false">
      <c r="A1397" s="22"/>
      <c r="B1397" s="11"/>
      <c r="C1397" s="24"/>
      <c r="D1397" s="31" t="str">
        <f aca="false">IF(C1397="","",IF(LEN(UPPER(SUBSTITUTE(SUBSTITUTE(SUBSTITUTE(SUBSTITUTE(TRIM(C1397),".",""),"/",""),"-","")," ","")))&lt;14,RIGHT(REPT("0",14)&amp;UPPER(SUBSTITUTE(SUBSTITUTE(SUBSTITUTE(SUBSTITUTE(TRIM(C1397),".",""),"/",""),"-","")," ","")),14),UPPER(SUBSTITUTE(SUBSTITUTE(SUBSTITUTE(SUBSTITUTE(TRIM(C1397),".",""),"/",""),"-","")," ",""))))</f>
        <v/>
      </c>
      <c r="E1397" s="25" t="str">
        <f aca="false">IF(D1397="","",IFERROR(INDEX(Empresas!$C:$C,MATCH(D1397,Empresas!$B:$B,0)),"cadastre o CNPJ em Empresas"))</f>
        <v/>
      </c>
      <c r="F1397" s="23"/>
      <c r="G1397" s="35"/>
      <c r="H1397" s="24"/>
      <c r="I1397" s="11"/>
      <c r="J1397" s="27" t="str">
        <f aca="false">IF(A1397="","",YEAR(A1397))</f>
        <v/>
      </c>
      <c r="K1397" s="24"/>
      <c r="L1397" s="11"/>
    </row>
    <row r="1398" customFormat="false" ht="15" hidden="false" customHeight="false" outlineLevel="0" collapsed="false">
      <c r="A1398" s="22"/>
      <c r="B1398" s="11"/>
      <c r="C1398" s="24"/>
      <c r="D1398" s="31" t="str">
        <f aca="false">IF(C1398="","",IF(LEN(UPPER(SUBSTITUTE(SUBSTITUTE(SUBSTITUTE(SUBSTITUTE(TRIM(C1398),".",""),"/",""),"-","")," ","")))&lt;14,RIGHT(REPT("0",14)&amp;UPPER(SUBSTITUTE(SUBSTITUTE(SUBSTITUTE(SUBSTITUTE(TRIM(C1398),".",""),"/",""),"-","")," ","")),14),UPPER(SUBSTITUTE(SUBSTITUTE(SUBSTITUTE(SUBSTITUTE(TRIM(C1398),".",""),"/",""),"-","")," ",""))))</f>
        <v/>
      </c>
      <c r="E1398" s="25" t="str">
        <f aca="false">IF(D1398="","",IFERROR(INDEX(Empresas!$C:$C,MATCH(D1398,Empresas!$B:$B,0)),"cadastre o CNPJ em Empresas"))</f>
        <v/>
      </c>
      <c r="F1398" s="23"/>
      <c r="G1398" s="35"/>
      <c r="H1398" s="24"/>
      <c r="I1398" s="11"/>
      <c r="J1398" s="27" t="str">
        <f aca="false">IF(A1398="","",YEAR(A1398))</f>
        <v/>
      </c>
      <c r="K1398" s="24"/>
      <c r="L1398" s="11"/>
    </row>
    <row r="1399" customFormat="false" ht="15" hidden="false" customHeight="false" outlineLevel="0" collapsed="false">
      <c r="A1399" s="22"/>
      <c r="B1399" s="11"/>
      <c r="C1399" s="24"/>
      <c r="D1399" s="31" t="str">
        <f aca="false">IF(C1399="","",IF(LEN(UPPER(SUBSTITUTE(SUBSTITUTE(SUBSTITUTE(SUBSTITUTE(TRIM(C1399),".",""),"/",""),"-","")," ","")))&lt;14,RIGHT(REPT("0",14)&amp;UPPER(SUBSTITUTE(SUBSTITUTE(SUBSTITUTE(SUBSTITUTE(TRIM(C1399),".",""),"/",""),"-","")," ","")),14),UPPER(SUBSTITUTE(SUBSTITUTE(SUBSTITUTE(SUBSTITUTE(TRIM(C1399),".",""),"/",""),"-","")," ",""))))</f>
        <v/>
      </c>
      <c r="E1399" s="25" t="str">
        <f aca="false">IF(D1399="","",IFERROR(INDEX(Empresas!$C:$C,MATCH(D1399,Empresas!$B:$B,0)),"cadastre o CNPJ em Empresas"))</f>
        <v/>
      </c>
      <c r="F1399" s="23"/>
      <c r="G1399" s="35"/>
      <c r="H1399" s="24"/>
      <c r="I1399" s="11"/>
      <c r="J1399" s="27" t="str">
        <f aca="false">IF(A1399="","",YEAR(A1399))</f>
        <v/>
      </c>
      <c r="K1399" s="24"/>
      <c r="L1399" s="11"/>
    </row>
    <row r="1400" customFormat="false" ht="15" hidden="false" customHeight="false" outlineLevel="0" collapsed="false">
      <c r="A1400" s="22"/>
      <c r="B1400" s="11"/>
      <c r="C1400" s="24"/>
      <c r="D1400" s="31" t="str">
        <f aca="false">IF(C1400="","",IF(LEN(UPPER(SUBSTITUTE(SUBSTITUTE(SUBSTITUTE(SUBSTITUTE(TRIM(C1400),".",""),"/",""),"-","")," ","")))&lt;14,RIGHT(REPT("0",14)&amp;UPPER(SUBSTITUTE(SUBSTITUTE(SUBSTITUTE(SUBSTITUTE(TRIM(C1400),".",""),"/",""),"-","")," ","")),14),UPPER(SUBSTITUTE(SUBSTITUTE(SUBSTITUTE(SUBSTITUTE(TRIM(C1400),".",""),"/",""),"-","")," ",""))))</f>
        <v/>
      </c>
      <c r="E1400" s="25" t="str">
        <f aca="false">IF(D1400="","",IFERROR(INDEX(Empresas!$C:$C,MATCH(D1400,Empresas!$B:$B,0)),"cadastre o CNPJ em Empresas"))</f>
        <v/>
      </c>
      <c r="F1400" s="23"/>
      <c r="G1400" s="35"/>
      <c r="H1400" s="24"/>
      <c r="I1400" s="11"/>
      <c r="J1400" s="27" t="str">
        <f aca="false">IF(A1400="","",YEAR(A1400))</f>
        <v/>
      </c>
      <c r="K1400" s="24"/>
      <c r="L1400" s="11"/>
    </row>
    <row r="1401" customFormat="false" ht="15" hidden="false" customHeight="false" outlineLevel="0" collapsed="false">
      <c r="A1401" s="22"/>
      <c r="B1401" s="11"/>
      <c r="C1401" s="24"/>
      <c r="D1401" s="31" t="str">
        <f aca="false">IF(C1401="","",IF(LEN(UPPER(SUBSTITUTE(SUBSTITUTE(SUBSTITUTE(SUBSTITUTE(TRIM(C1401),".",""),"/",""),"-","")," ","")))&lt;14,RIGHT(REPT("0",14)&amp;UPPER(SUBSTITUTE(SUBSTITUTE(SUBSTITUTE(SUBSTITUTE(TRIM(C1401),".",""),"/",""),"-","")," ","")),14),UPPER(SUBSTITUTE(SUBSTITUTE(SUBSTITUTE(SUBSTITUTE(TRIM(C1401),".",""),"/",""),"-","")," ",""))))</f>
        <v/>
      </c>
      <c r="E1401" s="25" t="str">
        <f aca="false">IF(D1401="","",IFERROR(INDEX(Empresas!$C:$C,MATCH(D1401,Empresas!$B:$B,0)),"cadastre o CNPJ em Empresas"))</f>
        <v/>
      </c>
      <c r="F1401" s="23"/>
      <c r="G1401" s="35"/>
      <c r="H1401" s="24"/>
      <c r="I1401" s="11"/>
      <c r="J1401" s="27" t="str">
        <f aca="false">IF(A1401="","",YEAR(A1401))</f>
        <v/>
      </c>
      <c r="K1401" s="24"/>
      <c r="L1401" s="11"/>
    </row>
    <row r="1402" customFormat="false" ht="15" hidden="false" customHeight="false" outlineLevel="0" collapsed="false">
      <c r="A1402" s="22"/>
      <c r="B1402" s="11"/>
      <c r="C1402" s="24"/>
      <c r="D1402" s="31" t="str">
        <f aca="false">IF(C1402="","",IF(LEN(UPPER(SUBSTITUTE(SUBSTITUTE(SUBSTITUTE(SUBSTITUTE(TRIM(C1402),".",""),"/",""),"-","")," ","")))&lt;14,RIGHT(REPT("0",14)&amp;UPPER(SUBSTITUTE(SUBSTITUTE(SUBSTITUTE(SUBSTITUTE(TRIM(C1402),".",""),"/",""),"-","")," ","")),14),UPPER(SUBSTITUTE(SUBSTITUTE(SUBSTITUTE(SUBSTITUTE(TRIM(C1402),".",""),"/",""),"-","")," ",""))))</f>
        <v/>
      </c>
      <c r="E1402" s="25" t="str">
        <f aca="false">IF(D1402="","",IFERROR(INDEX(Empresas!$C:$C,MATCH(D1402,Empresas!$B:$B,0)),"cadastre o CNPJ em Empresas"))</f>
        <v/>
      </c>
      <c r="F1402" s="23"/>
      <c r="G1402" s="35"/>
      <c r="H1402" s="24"/>
      <c r="I1402" s="11"/>
      <c r="J1402" s="27" t="str">
        <f aca="false">IF(A1402="","",YEAR(A1402))</f>
        <v/>
      </c>
      <c r="K1402" s="24"/>
      <c r="L1402" s="11"/>
    </row>
    <row r="1403" customFormat="false" ht="15" hidden="false" customHeight="false" outlineLevel="0" collapsed="false">
      <c r="A1403" s="22"/>
      <c r="B1403" s="11"/>
      <c r="C1403" s="24"/>
      <c r="D1403" s="31" t="str">
        <f aca="false">IF(C1403="","",IF(LEN(UPPER(SUBSTITUTE(SUBSTITUTE(SUBSTITUTE(SUBSTITUTE(TRIM(C1403),".",""),"/",""),"-","")," ","")))&lt;14,RIGHT(REPT("0",14)&amp;UPPER(SUBSTITUTE(SUBSTITUTE(SUBSTITUTE(SUBSTITUTE(TRIM(C1403),".",""),"/",""),"-","")," ","")),14),UPPER(SUBSTITUTE(SUBSTITUTE(SUBSTITUTE(SUBSTITUTE(TRIM(C1403),".",""),"/",""),"-","")," ",""))))</f>
        <v/>
      </c>
      <c r="E1403" s="25" t="str">
        <f aca="false">IF(D1403="","",IFERROR(INDEX(Empresas!$C:$C,MATCH(D1403,Empresas!$B:$B,0)),"cadastre o CNPJ em Empresas"))</f>
        <v/>
      </c>
      <c r="F1403" s="23"/>
      <c r="G1403" s="35"/>
      <c r="H1403" s="24"/>
      <c r="I1403" s="11"/>
      <c r="J1403" s="27" t="str">
        <f aca="false">IF(A1403="","",YEAR(A1403))</f>
        <v/>
      </c>
      <c r="K1403" s="24"/>
      <c r="L1403" s="11"/>
    </row>
    <row r="1404" customFormat="false" ht="15" hidden="false" customHeight="false" outlineLevel="0" collapsed="false">
      <c r="A1404" s="22"/>
      <c r="B1404" s="11"/>
      <c r="C1404" s="24"/>
      <c r="D1404" s="31" t="str">
        <f aca="false">IF(C1404="","",IF(LEN(UPPER(SUBSTITUTE(SUBSTITUTE(SUBSTITUTE(SUBSTITUTE(TRIM(C1404),".",""),"/",""),"-","")," ","")))&lt;14,RIGHT(REPT("0",14)&amp;UPPER(SUBSTITUTE(SUBSTITUTE(SUBSTITUTE(SUBSTITUTE(TRIM(C1404),".",""),"/",""),"-","")," ","")),14),UPPER(SUBSTITUTE(SUBSTITUTE(SUBSTITUTE(SUBSTITUTE(TRIM(C1404),".",""),"/",""),"-","")," ",""))))</f>
        <v/>
      </c>
      <c r="E1404" s="25" t="str">
        <f aca="false">IF(D1404="","",IFERROR(INDEX(Empresas!$C:$C,MATCH(D1404,Empresas!$B:$B,0)),"cadastre o CNPJ em Empresas"))</f>
        <v/>
      </c>
      <c r="F1404" s="23"/>
      <c r="G1404" s="35"/>
      <c r="H1404" s="24"/>
      <c r="I1404" s="11"/>
      <c r="J1404" s="27" t="str">
        <f aca="false">IF(A1404="","",YEAR(A1404))</f>
        <v/>
      </c>
      <c r="K1404" s="24"/>
      <c r="L1404" s="11"/>
    </row>
    <row r="1405" customFormat="false" ht="15" hidden="false" customHeight="false" outlineLevel="0" collapsed="false">
      <c r="A1405" s="22"/>
      <c r="B1405" s="11"/>
      <c r="C1405" s="24"/>
      <c r="D1405" s="31" t="str">
        <f aca="false">IF(C1405="","",IF(LEN(UPPER(SUBSTITUTE(SUBSTITUTE(SUBSTITUTE(SUBSTITUTE(TRIM(C1405),".",""),"/",""),"-","")," ","")))&lt;14,RIGHT(REPT("0",14)&amp;UPPER(SUBSTITUTE(SUBSTITUTE(SUBSTITUTE(SUBSTITUTE(TRIM(C1405),".",""),"/",""),"-","")," ","")),14),UPPER(SUBSTITUTE(SUBSTITUTE(SUBSTITUTE(SUBSTITUTE(TRIM(C1405),".",""),"/",""),"-","")," ",""))))</f>
        <v/>
      </c>
      <c r="E1405" s="25" t="str">
        <f aca="false">IF(D1405="","",IFERROR(INDEX(Empresas!$C:$C,MATCH(D1405,Empresas!$B:$B,0)),"cadastre o CNPJ em Empresas"))</f>
        <v/>
      </c>
      <c r="F1405" s="23"/>
      <c r="G1405" s="35"/>
      <c r="H1405" s="24"/>
      <c r="I1405" s="11"/>
      <c r="J1405" s="27" t="str">
        <f aca="false">IF(A1405="","",YEAR(A1405))</f>
        <v/>
      </c>
      <c r="K1405" s="24"/>
      <c r="L1405" s="11"/>
    </row>
    <row r="1406" customFormat="false" ht="15" hidden="false" customHeight="false" outlineLevel="0" collapsed="false">
      <c r="A1406" s="22"/>
      <c r="B1406" s="11"/>
      <c r="C1406" s="24"/>
      <c r="D1406" s="31" t="str">
        <f aca="false">IF(C1406="","",IF(LEN(UPPER(SUBSTITUTE(SUBSTITUTE(SUBSTITUTE(SUBSTITUTE(TRIM(C1406),".",""),"/",""),"-","")," ","")))&lt;14,RIGHT(REPT("0",14)&amp;UPPER(SUBSTITUTE(SUBSTITUTE(SUBSTITUTE(SUBSTITUTE(TRIM(C1406),".",""),"/",""),"-","")," ","")),14),UPPER(SUBSTITUTE(SUBSTITUTE(SUBSTITUTE(SUBSTITUTE(TRIM(C1406),".",""),"/",""),"-","")," ",""))))</f>
        <v/>
      </c>
      <c r="E1406" s="25" t="str">
        <f aca="false">IF(D1406="","",IFERROR(INDEX(Empresas!$C:$C,MATCH(D1406,Empresas!$B:$B,0)),"cadastre o CNPJ em Empresas"))</f>
        <v/>
      </c>
      <c r="F1406" s="23"/>
      <c r="G1406" s="35"/>
      <c r="H1406" s="24"/>
      <c r="I1406" s="11"/>
      <c r="J1406" s="27" t="str">
        <f aca="false">IF(A1406="","",YEAR(A1406))</f>
        <v/>
      </c>
      <c r="K1406" s="24"/>
      <c r="L1406" s="11"/>
    </row>
    <row r="1407" customFormat="false" ht="15" hidden="false" customHeight="false" outlineLevel="0" collapsed="false">
      <c r="A1407" s="22"/>
      <c r="B1407" s="11"/>
      <c r="C1407" s="24"/>
      <c r="D1407" s="31" t="str">
        <f aca="false">IF(C1407="","",IF(LEN(UPPER(SUBSTITUTE(SUBSTITUTE(SUBSTITUTE(SUBSTITUTE(TRIM(C1407),".",""),"/",""),"-","")," ","")))&lt;14,RIGHT(REPT("0",14)&amp;UPPER(SUBSTITUTE(SUBSTITUTE(SUBSTITUTE(SUBSTITUTE(TRIM(C1407),".",""),"/",""),"-","")," ","")),14),UPPER(SUBSTITUTE(SUBSTITUTE(SUBSTITUTE(SUBSTITUTE(TRIM(C1407),".",""),"/",""),"-","")," ",""))))</f>
        <v/>
      </c>
      <c r="E1407" s="25" t="str">
        <f aca="false">IF(D1407="","",IFERROR(INDEX(Empresas!$C:$C,MATCH(D1407,Empresas!$B:$B,0)),"cadastre o CNPJ em Empresas"))</f>
        <v/>
      </c>
      <c r="F1407" s="23"/>
      <c r="G1407" s="35"/>
      <c r="H1407" s="24"/>
      <c r="I1407" s="11"/>
      <c r="J1407" s="27" t="str">
        <f aca="false">IF(A1407="","",YEAR(A1407))</f>
        <v/>
      </c>
      <c r="K1407" s="24"/>
      <c r="L1407" s="11"/>
    </row>
    <row r="1408" customFormat="false" ht="15" hidden="false" customHeight="false" outlineLevel="0" collapsed="false">
      <c r="A1408" s="22"/>
      <c r="B1408" s="11"/>
      <c r="C1408" s="24"/>
      <c r="D1408" s="31" t="str">
        <f aca="false">IF(C1408="","",IF(LEN(UPPER(SUBSTITUTE(SUBSTITUTE(SUBSTITUTE(SUBSTITUTE(TRIM(C1408),".",""),"/",""),"-","")," ","")))&lt;14,RIGHT(REPT("0",14)&amp;UPPER(SUBSTITUTE(SUBSTITUTE(SUBSTITUTE(SUBSTITUTE(TRIM(C1408),".",""),"/",""),"-","")," ","")),14),UPPER(SUBSTITUTE(SUBSTITUTE(SUBSTITUTE(SUBSTITUTE(TRIM(C1408),".",""),"/",""),"-","")," ",""))))</f>
        <v/>
      </c>
      <c r="E1408" s="25" t="str">
        <f aca="false">IF(D1408="","",IFERROR(INDEX(Empresas!$C:$C,MATCH(D1408,Empresas!$B:$B,0)),"cadastre o CNPJ em Empresas"))</f>
        <v/>
      </c>
      <c r="F1408" s="23"/>
      <c r="G1408" s="35"/>
      <c r="H1408" s="24"/>
      <c r="I1408" s="11"/>
      <c r="J1408" s="27" t="str">
        <f aca="false">IF(A1408="","",YEAR(A1408))</f>
        <v/>
      </c>
      <c r="K1408" s="24"/>
      <c r="L1408" s="11"/>
    </row>
    <row r="1409" customFormat="false" ht="15" hidden="false" customHeight="false" outlineLevel="0" collapsed="false">
      <c r="A1409" s="22"/>
      <c r="B1409" s="11"/>
      <c r="C1409" s="24"/>
      <c r="D1409" s="31" t="str">
        <f aca="false">IF(C1409="","",IF(LEN(UPPER(SUBSTITUTE(SUBSTITUTE(SUBSTITUTE(SUBSTITUTE(TRIM(C1409),".",""),"/",""),"-","")," ","")))&lt;14,RIGHT(REPT("0",14)&amp;UPPER(SUBSTITUTE(SUBSTITUTE(SUBSTITUTE(SUBSTITUTE(TRIM(C1409),".",""),"/",""),"-","")," ","")),14),UPPER(SUBSTITUTE(SUBSTITUTE(SUBSTITUTE(SUBSTITUTE(TRIM(C1409),".",""),"/",""),"-","")," ",""))))</f>
        <v/>
      </c>
      <c r="E1409" s="25" t="str">
        <f aca="false">IF(D1409="","",IFERROR(INDEX(Empresas!$C:$C,MATCH(D1409,Empresas!$B:$B,0)),"cadastre o CNPJ em Empresas"))</f>
        <v/>
      </c>
      <c r="F1409" s="23"/>
      <c r="G1409" s="35"/>
      <c r="H1409" s="24"/>
      <c r="I1409" s="11"/>
      <c r="J1409" s="27" t="str">
        <f aca="false">IF(A1409="","",YEAR(A1409))</f>
        <v/>
      </c>
      <c r="K1409" s="24"/>
      <c r="L1409" s="11"/>
    </row>
    <row r="1410" customFormat="false" ht="15" hidden="false" customHeight="false" outlineLevel="0" collapsed="false">
      <c r="A1410" s="22"/>
      <c r="B1410" s="11"/>
      <c r="C1410" s="24"/>
      <c r="D1410" s="31" t="str">
        <f aca="false">IF(C1410="","",IF(LEN(UPPER(SUBSTITUTE(SUBSTITUTE(SUBSTITUTE(SUBSTITUTE(TRIM(C1410),".",""),"/",""),"-","")," ","")))&lt;14,RIGHT(REPT("0",14)&amp;UPPER(SUBSTITUTE(SUBSTITUTE(SUBSTITUTE(SUBSTITUTE(TRIM(C1410),".",""),"/",""),"-","")," ","")),14),UPPER(SUBSTITUTE(SUBSTITUTE(SUBSTITUTE(SUBSTITUTE(TRIM(C1410),".",""),"/",""),"-","")," ",""))))</f>
        <v/>
      </c>
      <c r="E1410" s="25" t="str">
        <f aca="false">IF(D1410="","",IFERROR(INDEX(Empresas!$C:$C,MATCH(D1410,Empresas!$B:$B,0)),"cadastre o CNPJ em Empresas"))</f>
        <v/>
      </c>
      <c r="F1410" s="23"/>
      <c r="G1410" s="35"/>
      <c r="H1410" s="24"/>
      <c r="I1410" s="11"/>
      <c r="J1410" s="27" t="str">
        <f aca="false">IF(A1410="","",YEAR(A1410))</f>
        <v/>
      </c>
      <c r="K1410" s="24"/>
      <c r="L1410" s="11"/>
    </row>
    <row r="1411" customFormat="false" ht="15" hidden="false" customHeight="false" outlineLevel="0" collapsed="false">
      <c r="A1411" s="22"/>
      <c r="B1411" s="11"/>
      <c r="C1411" s="24"/>
      <c r="D1411" s="31" t="str">
        <f aca="false">IF(C1411="","",IF(LEN(UPPER(SUBSTITUTE(SUBSTITUTE(SUBSTITUTE(SUBSTITUTE(TRIM(C1411),".",""),"/",""),"-","")," ","")))&lt;14,RIGHT(REPT("0",14)&amp;UPPER(SUBSTITUTE(SUBSTITUTE(SUBSTITUTE(SUBSTITUTE(TRIM(C1411),".",""),"/",""),"-","")," ","")),14),UPPER(SUBSTITUTE(SUBSTITUTE(SUBSTITUTE(SUBSTITUTE(TRIM(C1411),".",""),"/",""),"-","")," ",""))))</f>
        <v/>
      </c>
      <c r="E1411" s="25" t="str">
        <f aca="false">IF(D1411="","",IFERROR(INDEX(Empresas!$C:$C,MATCH(D1411,Empresas!$B:$B,0)),"cadastre o CNPJ em Empresas"))</f>
        <v/>
      </c>
      <c r="F1411" s="23"/>
      <c r="G1411" s="35"/>
      <c r="H1411" s="24"/>
      <c r="I1411" s="11"/>
      <c r="J1411" s="27" t="str">
        <f aca="false">IF(A1411="","",YEAR(A1411))</f>
        <v/>
      </c>
      <c r="K1411" s="24"/>
      <c r="L1411" s="11"/>
    </row>
    <row r="1412" customFormat="false" ht="15" hidden="false" customHeight="false" outlineLevel="0" collapsed="false">
      <c r="A1412" s="22"/>
      <c r="B1412" s="11"/>
      <c r="C1412" s="24"/>
      <c r="D1412" s="31" t="str">
        <f aca="false">IF(C1412="","",IF(LEN(UPPER(SUBSTITUTE(SUBSTITUTE(SUBSTITUTE(SUBSTITUTE(TRIM(C1412),".",""),"/",""),"-","")," ","")))&lt;14,RIGHT(REPT("0",14)&amp;UPPER(SUBSTITUTE(SUBSTITUTE(SUBSTITUTE(SUBSTITUTE(TRIM(C1412),".",""),"/",""),"-","")," ","")),14),UPPER(SUBSTITUTE(SUBSTITUTE(SUBSTITUTE(SUBSTITUTE(TRIM(C1412),".",""),"/",""),"-","")," ",""))))</f>
        <v/>
      </c>
      <c r="E1412" s="25" t="str">
        <f aca="false">IF(D1412="","",IFERROR(INDEX(Empresas!$C:$C,MATCH(D1412,Empresas!$B:$B,0)),"cadastre o CNPJ em Empresas"))</f>
        <v/>
      </c>
      <c r="F1412" s="23"/>
      <c r="G1412" s="35"/>
      <c r="H1412" s="24"/>
      <c r="I1412" s="11"/>
      <c r="J1412" s="27" t="str">
        <f aca="false">IF(A1412="","",YEAR(A1412))</f>
        <v/>
      </c>
      <c r="K1412" s="24"/>
      <c r="L1412" s="11"/>
    </row>
    <row r="1413" customFormat="false" ht="15" hidden="false" customHeight="false" outlineLevel="0" collapsed="false">
      <c r="A1413" s="22"/>
      <c r="B1413" s="11"/>
      <c r="C1413" s="24"/>
      <c r="D1413" s="31" t="str">
        <f aca="false">IF(C1413="","",IF(LEN(UPPER(SUBSTITUTE(SUBSTITUTE(SUBSTITUTE(SUBSTITUTE(TRIM(C1413),".",""),"/",""),"-","")," ","")))&lt;14,RIGHT(REPT("0",14)&amp;UPPER(SUBSTITUTE(SUBSTITUTE(SUBSTITUTE(SUBSTITUTE(TRIM(C1413),".",""),"/",""),"-","")," ","")),14),UPPER(SUBSTITUTE(SUBSTITUTE(SUBSTITUTE(SUBSTITUTE(TRIM(C1413),".",""),"/",""),"-","")," ",""))))</f>
        <v/>
      </c>
      <c r="E1413" s="25" t="str">
        <f aca="false">IF(D1413="","",IFERROR(INDEX(Empresas!$C:$C,MATCH(D1413,Empresas!$B:$B,0)),"cadastre o CNPJ em Empresas"))</f>
        <v/>
      </c>
      <c r="F1413" s="23"/>
      <c r="G1413" s="35"/>
      <c r="H1413" s="24"/>
      <c r="I1413" s="11"/>
      <c r="J1413" s="27" t="str">
        <f aca="false">IF(A1413="","",YEAR(A1413))</f>
        <v/>
      </c>
      <c r="K1413" s="24"/>
      <c r="L1413" s="11"/>
    </row>
    <row r="1414" customFormat="false" ht="15" hidden="false" customHeight="false" outlineLevel="0" collapsed="false">
      <c r="A1414" s="22"/>
      <c r="B1414" s="11"/>
      <c r="C1414" s="24"/>
      <c r="D1414" s="31" t="str">
        <f aca="false">IF(C1414="","",IF(LEN(UPPER(SUBSTITUTE(SUBSTITUTE(SUBSTITUTE(SUBSTITUTE(TRIM(C1414),".",""),"/",""),"-","")," ","")))&lt;14,RIGHT(REPT("0",14)&amp;UPPER(SUBSTITUTE(SUBSTITUTE(SUBSTITUTE(SUBSTITUTE(TRIM(C1414),".",""),"/",""),"-","")," ","")),14),UPPER(SUBSTITUTE(SUBSTITUTE(SUBSTITUTE(SUBSTITUTE(TRIM(C1414),".",""),"/",""),"-","")," ",""))))</f>
        <v/>
      </c>
      <c r="E1414" s="25" t="str">
        <f aca="false">IF(D1414="","",IFERROR(INDEX(Empresas!$C:$C,MATCH(D1414,Empresas!$B:$B,0)),"cadastre o CNPJ em Empresas"))</f>
        <v/>
      </c>
      <c r="F1414" s="23"/>
      <c r="G1414" s="35"/>
      <c r="H1414" s="24"/>
      <c r="I1414" s="11"/>
      <c r="J1414" s="27" t="str">
        <f aca="false">IF(A1414="","",YEAR(A1414))</f>
        <v/>
      </c>
      <c r="K1414" s="24"/>
      <c r="L1414" s="11"/>
    </row>
    <row r="1415" customFormat="false" ht="15" hidden="false" customHeight="false" outlineLevel="0" collapsed="false">
      <c r="A1415" s="22"/>
      <c r="B1415" s="11"/>
      <c r="C1415" s="24"/>
      <c r="D1415" s="31" t="str">
        <f aca="false">IF(C1415="","",IF(LEN(UPPER(SUBSTITUTE(SUBSTITUTE(SUBSTITUTE(SUBSTITUTE(TRIM(C1415),".",""),"/",""),"-","")," ","")))&lt;14,RIGHT(REPT("0",14)&amp;UPPER(SUBSTITUTE(SUBSTITUTE(SUBSTITUTE(SUBSTITUTE(TRIM(C1415),".",""),"/",""),"-","")," ","")),14),UPPER(SUBSTITUTE(SUBSTITUTE(SUBSTITUTE(SUBSTITUTE(TRIM(C1415),".",""),"/",""),"-","")," ",""))))</f>
        <v/>
      </c>
      <c r="E1415" s="25" t="str">
        <f aca="false">IF(D1415="","",IFERROR(INDEX(Empresas!$C:$C,MATCH(D1415,Empresas!$B:$B,0)),"cadastre o CNPJ em Empresas"))</f>
        <v/>
      </c>
      <c r="F1415" s="23"/>
      <c r="G1415" s="35"/>
      <c r="H1415" s="24"/>
      <c r="I1415" s="11"/>
      <c r="J1415" s="27" t="str">
        <f aca="false">IF(A1415="","",YEAR(A1415))</f>
        <v/>
      </c>
      <c r="K1415" s="24"/>
      <c r="L1415" s="11"/>
    </row>
    <row r="1416" customFormat="false" ht="15" hidden="false" customHeight="false" outlineLevel="0" collapsed="false">
      <c r="A1416" s="22"/>
      <c r="B1416" s="11"/>
      <c r="C1416" s="24"/>
      <c r="D1416" s="31" t="str">
        <f aca="false">IF(C1416="","",IF(LEN(UPPER(SUBSTITUTE(SUBSTITUTE(SUBSTITUTE(SUBSTITUTE(TRIM(C1416),".",""),"/",""),"-","")," ","")))&lt;14,RIGHT(REPT("0",14)&amp;UPPER(SUBSTITUTE(SUBSTITUTE(SUBSTITUTE(SUBSTITUTE(TRIM(C1416),".",""),"/",""),"-","")," ","")),14),UPPER(SUBSTITUTE(SUBSTITUTE(SUBSTITUTE(SUBSTITUTE(TRIM(C1416),".",""),"/",""),"-","")," ",""))))</f>
        <v/>
      </c>
      <c r="E1416" s="25" t="str">
        <f aca="false">IF(D1416="","",IFERROR(INDEX(Empresas!$C:$C,MATCH(D1416,Empresas!$B:$B,0)),"cadastre o CNPJ em Empresas"))</f>
        <v/>
      </c>
      <c r="F1416" s="23"/>
      <c r="G1416" s="35"/>
      <c r="H1416" s="24"/>
      <c r="I1416" s="11"/>
      <c r="J1416" s="27" t="str">
        <f aca="false">IF(A1416="","",YEAR(A1416))</f>
        <v/>
      </c>
      <c r="K1416" s="24"/>
      <c r="L1416" s="11"/>
    </row>
    <row r="1417" customFormat="false" ht="15" hidden="false" customHeight="false" outlineLevel="0" collapsed="false">
      <c r="A1417" s="22"/>
      <c r="B1417" s="11"/>
      <c r="C1417" s="24"/>
      <c r="D1417" s="31" t="str">
        <f aca="false">IF(C1417="","",IF(LEN(UPPER(SUBSTITUTE(SUBSTITUTE(SUBSTITUTE(SUBSTITUTE(TRIM(C1417),".",""),"/",""),"-","")," ","")))&lt;14,RIGHT(REPT("0",14)&amp;UPPER(SUBSTITUTE(SUBSTITUTE(SUBSTITUTE(SUBSTITUTE(TRIM(C1417),".",""),"/",""),"-","")," ","")),14),UPPER(SUBSTITUTE(SUBSTITUTE(SUBSTITUTE(SUBSTITUTE(TRIM(C1417),".",""),"/",""),"-","")," ",""))))</f>
        <v/>
      </c>
      <c r="E1417" s="25" t="str">
        <f aca="false">IF(D1417="","",IFERROR(INDEX(Empresas!$C:$C,MATCH(D1417,Empresas!$B:$B,0)),"cadastre o CNPJ em Empresas"))</f>
        <v/>
      </c>
      <c r="F1417" s="23"/>
      <c r="G1417" s="35"/>
      <c r="H1417" s="24"/>
      <c r="I1417" s="11"/>
      <c r="J1417" s="27" t="str">
        <f aca="false">IF(A1417="","",YEAR(A1417))</f>
        <v/>
      </c>
      <c r="K1417" s="24"/>
      <c r="L1417" s="11"/>
    </row>
    <row r="1418" customFormat="false" ht="15" hidden="false" customHeight="false" outlineLevel="0" collapsed="false">
      <c r="A1418" s="22"/>
      <c r="B1418" s="11"/>
      <c r="C1418" s="24"/>
      <c r="D1418" s="31" t="str">
        <f aca="false">IF(C1418="","",IF(LEN(UPPER(SUBSTITUTE(SUBSTITUTE(SUBSTITUTE(SUBSTITUTE(TRIM(C1418),".",""),"/",""),"-","")," ","")))&lt;14,RIGHT(REPT("0",14)&amp;UPPER(SUBSTITUTE(SUBSTITUTE(SUBSTITUTE(SUBSTITUTE(TRIM(C1418),".",""),"/",""),"-","")," ","")),14),UPPER(SUBSTITUTE(SUBSTITUTE(SUBSTITUTE(SUBSTITUTE(TRIM(C1418),".",""),"/",""),"-","")," ",""))))</f>
        <v/>
      </c>
      <c r="E1418" s="25" t="str">
        <f aca="false">IF(D1418="","",IFERROR(INDEX(Empresas!$C:$C,MATCH(D1418,Empresas!$B:$B,0)),"cadastre o CNPJ em Empresas"))</f>
        <v/>
      </c>
      <c r="F1418" s="23"/>
      <c r="G1418" s="35"/>
      <c r="H1418" s="24"/>
      <c r="I1418" s="11"/>
      <c r="J1418" s="27" t="str">
        <f aca="false">IF(A1418="","",YEAR(A1418))</f>
        <v/>
      </c>
      <c r="K1418" s="24"/>
      <c r="L1418" s="11"/>
    </row>
    <row r="1419" customFormat="false" ht="15" hidden="false" customHeight="false" outlineLevel="0" collapsed="false">
      <c r="A1419" s="22"/>
      <c r="B1419" s="11"/>
      <c r="C1419" s="24"/>
      <c r="D1419" s="31" t="str">
        <f aca="false">IF(C1419="","",IF(LEN(UPPER(SUBSTITUTE(SUBSTITUTE(SUBSTITUTE(SUBSTITUTE(TRIM(C1419),".",""),"/",""),"-","")," ","")))&lt;14,RIGHT(REPT("0",14)&amp;UPPER(SUBSTITUTE(SUBSTITUTE(SUBSTITUTE(SUBSTITUTE(TRIM(C1419),".",""),"/",""),"-","")," ","")),14),UPPER(SUBSTITUTE(SUBSTITUTE(SUBSTITUTE(SUBSTITUTE(TRIM(C1419),".",""),"/",""),"-","")," ",""))))</f>
        <v/>
      </c>
      <c r="E1419" s="25" t="str">
        <f aca="false">IF(D1419="","",IFERROR(INDEX(Empresas!$C:$C,MATCH(D1419,Empresas!$B:$B,0)),"cadastre o CNPJ em Empresas"))</f>
        <v/>
      </c>
      <c r="F1419" s="23"/>
      <c r="G1419" s="35"/>
      <c r="H1419" s="24"/>
      <c r="I1419" s="11"/>
      <c r="J1419" s="27" t="str">
        <f aca="false">IF(A1419="","",YEAR(A1419))</f>
        <v/>
      </c>
      <c r="K1419" s="24"/>
      <c r="L1419" s="11"/>
    </row>
    <row r="1420" customFormat="false" ht="15" hidden="false" customHeight="false" outlineLevel="0" collapsed="false">
      <c r="A1420" s="22"/>
      <c r="B1420" s="11"/>
      <c r="C1420" s="24"/>
      <c r="D1420" s="31" t="str">
        <f aca="false">IF(C1420="","",IF(LEN(UPPER(SUBSTITUTE(SUBSTITUTE(SUBSTITUTE(SUBSTITUTE(TRIM(C1420),".",""),"/",""),"-","")," ","")))&lt;14,RIGHT(REPT("0",14)&amp;UPPER(SUBSTITUTE(SUBSTITUTE(SUBSTITUTE(SUBSTITUTE(TRIM(C1420),".",""),"/",""),"-","")," ","")),14),UPPER(SUBSTITUTE(SUBSTITUTE(SUBSTITUTE(SUBSTITUTE(TRIM(C1420),".",""),"/",""),"-","")," ",""))))</f>
        <v/>
      </c>
      <c r="E1420" s="25" t="str">
        <f aca="false">IF(D1420="","",IFERROR(INDEX(Empresas!$C:$C,MATCH(D1420,Empresas!$B:$B,0)),"cadastre o CNPJ em Empresas"))</f>
        <v/>
      </c>
      <c r="F1420" s="23"/>
      <c r="G1420" s="35"/>
      <c r="H1420" s="24"/>
      <c r="I1420" s="11"/>
      <c r="J1420" s="27" t="str">
        <f aca="false">IF(A1420="","",YEAR(A1420))</f>
        <v/>
      </c>
      <c r="K1420" s="24"/>
      <c r="L1420" s="11"/>
    </row>
    <row r="1421" customFormat="false" ht="15" hidden="false" customHeight="false" outlineLevel="0" collapsed="false">
      <c r="A1421" s="22"/>
      <c r="B1421" s="11"/>
      <c r="C1421" s="24"/>
      <c r="D1421" s="31" t="str">
        <f aca="false">IF(C1421="","",IF(LEN(UPPER(SUBSTITUTE(SUBSTITUTE(SUBSTITUTE(SUBSTITUTE(TRIM(C1421),".",""),"/",""),"-","")," ","")))&lt;14,RIGHT(REPT("0",14)&amp;UPPER(SUBSTITUTE(SUBSTITUTE(SUBSTITUTE(SUBSTITUTE(TRIM(C1421),".",""),"/",""),"-","")," ","")),14),UPPER(SUBSTITUTE(SUBSTITUTE(SUBSTITUTE(SUBSTITUTE(TRIM(C1421),".",""),"/",""),"-","")," ",""))))</f>
        <v/>
      </c>
      <c r="E1421" s="25" t="str">
        <f aca="false">IF(D1421="","",IFERROR(INDEX(Empresas!$C:$C,MATCH(D1421,Empresas!$B:$B,0)),"cadastre o CNPJ em Empresas"))</f>
        <v/>
      </c>
      <c r="F1421" s="23"/>
      <c r="G1421" s="35"/>
      <c r="H1421" s="24"/>
      <c r="I1421" s="11"/>
      <c r="J1421" s="27" t="str">
        <f aca="false">IF(A1421="","",YEAR(A1421))</f>
        <v/>
      </c>
      <c r="K1421" s="24"/>
      <c r="L1421" s="11"/>
    </row>
    <row r="1422" customFormat="false" ht="15" hidden="false" customHeight="false" outlineLevel="0" collapsed="false">
      <c r="A1422" s="22"/>
      <c r="B1422" s="11"/>
      <c r="C1422" s="24"/>
      <c r="D1422" s="31" t="str">
        <f aca="false">IF(C1422="","",IF(LEN(UPPER(SUBSTITUTE(SUBSTITUTE(SUBSTITUTE(SUBSTITUTE(TRIM(C1422),".",""),"/",""),"-","")," ","")))&lt;14,RIGHT(REPT("0",14)&amp;UPPER(SUBSTITUTE(SUBSTITUTE(SUBSTITUTE(SUBSTITUTE(TRIM(C1422),".",""),"/",""),"-","")," ","")),14),UPPER(SUBSTITUTE(SUBSTITUTE(SUBSTITUTE(SUBSTITUTE(TRIM(C1422),".",""),"/",""),"-","")," ",""))))</f>
        <v/>
      </c>
      <c r="E1422" s="25" t="str">
        <f aca="false">IF(D1422="","",IFERROR(INDEX(Empresas!$C:$C,MATCH(D1422,Empresas!$B:$B,0)),"cadastre o CNPJ em Empresas"))</f>
        <v/>
      </c>
      <c r="F1422" s="23"/>
      <c r="G1422" s="35"/>
      <c r="H1422" s="24"/>
      <c r="I1422" s="11"/>
      <c r="J1422" s="27" t="str">
        <f aca="false">IF(A1422="","",YEAR(A1422))</f>
        <v/>
      </c>
      <c r="K1422" s="24"/>
      <c r="L1422" s="11"/>
    </row>
    <row r="1423" customFormat="false" ht="15" hidden="false" customHeight="false" outlineLevel="0" collapsed="false">
      <c r="A1423" s="22"/>
      <c r="B1423" s="11"/>
      <c r="C1423" s="24"/>
      <c r="D1423" s="31" t="str">
        <f aca="false">IF(C1423="","",IF(LEN(UPPER(SUBSTITUTE(SUBSTITUTE(SUBSTITUTE(SUBSTITUTE(TRIM(C1423),".",""),"/",""),"-","")," ","")))&lt;14,RIGHT(REPT("0",14)&amp;UPPER(SUBSTITUTE(SUBSTITUTE(SUBSTITUTE(SUBSTITUTE(TRIM(C1423),".",""),"/",""),"-","")," ","")),14),UPPER(SUBSTITUTE(SUBSTITUTE(SUBSTITUTE(SUBSTITUTE(TRIM(C1423),".",""),"/",""),"-","")," ",""))))</f>
        <v/>
      </c>
      <c r="E1423" s="25" t="str">
        <f aca="false">IF(D1423="","",IFERROR(INDEX(Empresas!$C:$C,MATCH(D1423,Empresas!$B:$B,0)),"cadastre o CNPJ em Empresas"))</f>
        <v/>
      </c>
      <c r="F1423" s="23"/>
      <c r="G1423" s="35"/>
      <c r="H1423" s="24"/>
      <c r="I1423" s="11"/>
      <c r="J1423" s="27" t="str">
        <f aca="false">IF(A1423="","",YEAR(A1423))</f>
        <v/>
      </c>
      <c r="K1423" s="24"/>
      <c r="L1423" s="11"/>
    </row>
    <row r="1424" customFormat="false" ht="15" hidden="false" customHeight="false" outlineLevel="0" collapsed="false">
      <c r="A1424" s="22"/>
      <c r="B1424" s="11"/>
      <c r="C1424" s="24"/>
      <c r="D1424" s="31" t="str">
        <f aca="false">IF(C1424="","",IF(LEN(UPPER(SUBSTITUTE(SUBSTITUTE(SUBSTITUTE(SUBSTITUTE(TRIM(C1424),".",""),"/",""),"-","")," ","")))&lt;14,RIGHT(REPT("0",14)&amp;UPPER(SUBSTITUTE(SUBSTITUTE(SUBSTITUTE(SUBSTITUTE(TRIM(C1424),".",""),"/",""),"-","")," ","")),14),UPPER(SUBSTITUTE(SUBSTITUTE(SUBSTITUTE(SUBSTITUTE(TRIM(C1424),".",""),"/",""),"-","")," ",""))))</f>
        <v/>
      </c>
      <c r="E1424" s="25" t="str">
        <f aca="false">IF(D1424="","",IFERROR(INDEX(Empresas!$C:$C,MATCH(D1424,Empresas!$B:$B,0)),"cadastre o CNPJ em Empresas"))</f>
        <v/>
      </c>
      <c r="F1424" s="23"/>
      <c r="G1424" s="35"/>
      <c r="H1424" s="24"/>
      <c r="I1424" s="11"/>
      <c r="J1424" s="27" t="str">
        <f aca="false">IF(A1424="","",YEAR(A1424))</f>
        <v/>
      </c>
      <c r="K1424" s="24"/>
      <c r="L1424" s="11"/>
    </row>
    <row r="1425" customFormat="false" ht="15" hidden="false" customHeight="false" outlineLevel="0" collapsed="false">
      <c r="A1425" s="22"/>
      <c r="B1425" s="11"/>
      <c r="C1425" s="24"/>
      <c r="D1425" s="31" t="str">
        <f aca="false">IF(C1425="","",IF(LEN(UPPER(SUBSTITUTE(SUBSTITUTE(SUBSTITUTE(SUBSTITUTE(TRIM(C1425),".",""),"/",""),"-","")," ","")))&lt;14,RIGHT(REPT("0",14)&amp;UPPER(SUBSTITUTE(SUBSTITUTE(SUBSTITUTE(SUBSTITUTE(TRIM(C1425),".",""),"/",""),"-","")," ","")),14),UPPER(SUBSTITUTE(SUBSTITUTE(SUBSTITUTE(SUBSTITUTE(TRIM(C1425),".",""),"/",""),"-","")," ",""))))</f>
        <v/>
      </c>
      <c r="E1425" s="25" t="str">
        <f aca="false">IF(D1425="","",IFERROR(INDEX(Empresas!$C:$C,MATCH(D1425,Empresas!$B:$B,0)),"cadastre o CNPJ em Empresas"))</f>
        <v/>
      </c>
      <c r="F1425" s="23"/>
      <c r="G1425" s="35"/>
      <c r="H1425" s="24"/>
      <c r="I1425" s="11"/>
      <c r="J1425" s="27" t="str">
        <f aca="false">IF(A1425="","",YEAR(A1425))</f>
        <v/>
      </c>
      <c r="K1425" s="24"/>
      <c r="L1425" s="11"/>
    </row>
    <row r="1426" customFormat="false" ht="15" hidden="false" customHeight="false" outlineLevel="0" collapsed="false">
      <c r="A1426" s="22"/>
      <c r="B1426" s="11"/>
      <c r="C1426" s="24"/>
      <c r="D1426" s="31" t="str">
        <f aca="false">IF(C1426="","",IF(LEN(UPPER(SUBSTITUTE(SUBSTITUTE(SUBSTITUTE(SUBSTITUTE(TRIM(C1426),".",""),"/",""),"-","")," ","")))&lt;14,RIGHT(REPT("0",14)&amp;UPPER(SUBSTITUTE(SUBSTITUTE(SUBSTITUTE(SUBSTITUTE(TRIM(C1426),".",""),"/",""),"-","")," ","")),14),UPPER(SUBSTITUTE(SUBSTITUTE(SUBSTITUTE(SUBSTITUTE(TRIM(C1426),".",""),"/",""),"-","")," ",""))))</f>
        <v/>
      </c>
      <c r="E1426" s="25" t="str">
        <f aca="false">IF(D1426="","",IFERROR(INDEX(Empresas!$C:$C,MATCH(D1426,Empresas!$B:$B,0)),"cadastre o CNPJ em Empresas"))</f>
        <v/>
      </c>
      <c r="F1426" s="23"/>
      <c r="G1426" s="35"/>
      <c r="H1426" s="24"/>
      <c r="I1426" s="11"/>
      <c r="J1426" s="27" t="str">
        <f aca="false">IF(A1426="","",YEAR(A1426))</f>
        <v/>
      </c>
      <c r="K1426" s="24"/>
      <c r="L1426" s="11"/>
    </row>
    <row r="1427" customFormat="false" ht="15" hidden="false" customHeight="false" outlineLevel="0" collapsed="false">
      <c r="A1427" s="22"/>
      <c r="B1427" s="11"/>
      <c r="C1427" s="24"/>
      <c r="D1427" s="31" t="str">
        <f aca="false">IF(C1427="","",IF(LEN(UPPER(SUBSTITUTE(SUBSTITUTE(SUBSTITUTE(SUBSTITUTE(TRIM(C1427),".",""),"/",""),"-","")," ","")))&lt;14,RIGHT(REPT("0",14)&amp;UPPER(SUBSTITUTE(SUBSTITUTE(SUBSTITUTE(SUBSTITUTE(TRIM(C1427),".",""),"/",""),"-","")," ","")),14),UPPER(SUBSTITUTE(SUBSTITUTE(SUBSTITUTE(SUBSTITUTE(TRIM(C1427),".",""),"/",""),"-","")," ",""))))</f>
        <v/>
      </c>
      <c r="E1427" s="25" t="str">
        <f aca="false">IF(D1427="","",IFERROR(INDEX(Empresas!$C:$C,MATCH(D1427,Empresas!$B:$B,0)),"cadastre o CNPJ em Empresas"))</f>
        <v/>
      </c>
      <c r="F1427" s="23"/>
      <c r="G1427" s="35"/>
      <c r="H1427" s="24"/>
      <c r="I1427" s="11"/>
      <c r="J1427" s="27" t="str">
        <f aca="false">IF(A1427="","",YEAR(A1427))</f>
        <v/>
      </c>
      <c r="K1427" s="24"/>
      <c r="L1427" s="11"/>
    </row>
    <row r="1428" customFormat="false" ht="15" hidden="false" customHeight="false" outlineLevel="0" collapsed="false">
      <c r="A1428" s="22"/>
      <c r="B1428" s="11"/>
      <c r="C1428" s="24"/>
      <c r="D1428" s="31" t="str">
        <f aca="false">IF(C1428="","",IF(LEN(UPPER(SUBSTITUTE(SUBSTITUTE(SUBSTITUTE(SUBSTITUTE(TRIM(C1428),".",""),"/",""),"-","")," ","")))&lt;14,RIGHT(REPT("0",14)&amp;UPPER(SUBSTITUTE(SUBSTITUTE(SUBSTITUTE(SUBSTITUTE(TRIM(C1428),".",""),"/",""),"-","")," ","")),14),UPPER(SUBSTITUTE(SUBSTITUTE(SUBSTITUTE(SUBSTITUTE(TRIM(C1428),".",""),"/",""),"-","")," ",""))))</f>
        <v/>
      </c>
      <c r="E1428" s="25" t="str">
        <f aca="false">IF(D1428="","",IFERROR(INDEX(Empresas!$C:$C,MATCH(D1428,Empresas!$B:$B,0)),"cadastre o CNPJ em Empresas"))</f>
        <v/>
      </c>
      <c r="F1428" s="23"/>
      <c r="G1428" s="35"/>
      <c r="H1428" s="24"/>
      <c r="I1428" s="11"/>
      <c r="J1428" s="27" t="str">
        <f aca="false">IF(A1428="","",YEAR(A1428))</f>
        <v/>
      </c>
      <c r="K1428" s="24"/>
      <c r="L1428" s="11"/>
    </row>
    <row r="1429" customFormat="false" ht="15" hidden="false" customHeight="false" outlineLevel="0" collapsed="false">
      <c r="A1429" s="22"/>
      <c r="B1429" s="11"/>
      <c r="C1429" s="24"/>
      <c r="D1429" s="31" t="str">
        <f aca="false">IF(C1429="","",IF(LEN(UPPER(SUBSTITUTE(SUBSTITUTE(SUBSTITUTE(SUBSTITUTE(TRIM(C1429),".",""),"/",""),"-","")," ","")))&lt;14,RIGHT(REPT("0",14)&amp;UPPER(SUBSTITUTE(SUBSTITUTE(SUBSTITUTE(SUBSTITUTE(TRIM(C1429),".",""),"/",""),"-","")," ","")),14),UPPER(SUBSTITUTE(SUBSTITUTE(SUBSTITUTE(SUBSTITUTE(TRIM(C1429),".",""),"/",""),"-","")," ",""))))</f>
        <v/>
      </c>
      <c r="E1429" s="25" t="str">
        <f aca="false">IF(D1429="","",IFERROR(INDEX(Empresas!$C:$C,MATCH(D1429,Empresas!$B:$B,0)),"cadastre o CNPJ em Empresas"))</f>
        <v/>
      </c>
      <c r="F1429" s="23"/>
      <c r="G1429" s="35"/>
      <c r="H1429" s="24"/>
      <c r="I1429" s="11"/>
      <c r="J1429" s="27" t="str">
        <f aca="false">IF(A1429="","",YEAR(A1429))</f>
        <v/>
      </c>
      <c r="K1429" s="24"/>
      <c r="L1429" s="11"/>
    </row>
    <row r="1430" customFormat="false" ht="15" hidden="false" customHeight="false" outlineLevel="0" collapsed="false">
      <c r="A1430" s="22"/>
      <c r="B1430" s="11"/>
      <c r="C1430" s="24"/>
      <c r="D1430" s="31" t="str">
        <f aca="false">IF(C1430="","",IF(LEN(UPPER(SUBSTITUTE(SUBSTITUTE(SUBSTITUTE(SUBSTITUTE(TRIM(C1430),".",""),"/",""),"-","")," ","")))&lt;14,RIGHT(REPT("0",14)&amp;UPPER(SUBSTITUTE(SUBSTITUTE(SUBSTITUTE(SUBSTITUTE(TRIM(C1430),".",""),"/",""),"-","")," ","")),14),UPPER(SUBSTITUTE(SUBSTITUTE(SUBSTITUTE(SUBSTITUTE(TRIM(C1430),".",""),"/",""),"-","")," ",""))))</f>
        <v/>
      </c>
      <c r="E1430" s="25" t="str">
        <f aca="false">IF(D1430="","",IFERROR(INDEX(Empresas!$C:$C,MATCH(D1430,Empresas!$B:$B,0)),"cadastre o CNPJ em Empresas"))</f>
        <v/>
      </c>
      <c r="F1430" s="23"/>
      <c r="G1430" s="35"/>
      <c r="H1430" s="24"/>
      <c r="I1430" s="11"/>
      <c r="J1430" s="27" t="str">
        <f aca="false">IF(A1430="","",YEAR(A1430))</f>
        <v/>
      </c>
      <c r="K1430" s="24"/>
      <c r="L1430" s="11"/>
    </row>
    <row r="1431" customFormat="false" ht="15" hidden="false" customHeight="false" outlineLevel="0" collapsed="false">
      <c r="A1431" s="22"/>
      <c r="B1431" s="11"/>
      <c r="C1431" s="24"/>
      <c r="D1431" s="31" t="str">
        <f aca="false">IF(C1431="","",IF(LEN(UPPER(SUBSTITUTE(SUBSTITUTE(SUBSTITUTE(SUBSTITUTE(TRIM(C1431),".",""),"/",""),"-","")," ","")))&lt;14,RIGHT(REPT("0",14)&amp;UPPER(SUBSTITUTE(SUBSTITUTE(SUBSTITUTE(SUBSTITUTE(TRIM(C1431),".",""),"/",""),"-","")," ","")),14),UPPER(SUBSTITUTE(SUBSTITUTE(SUBSTITUTE(SUBSTITUTE(TRIM(C1431),".",""),"/",""),"-","")," ",""))))</f>
        <v/>
      </c>
      <c r="E1431" s="25" t="str">
        <f aca="false">IF(D1431="","",IFERROR(INDEX(Empresas!$C:$C,MATCH(D1431,Empresas!$B:$B,0)),"cadastre o CNPJ em Empresas"))</f>
        <v/>
      </c>
      <c r="F1431" s="23"/>
      <c r="G1431" s="35"/>
      <c r="H1431" s="24"/>
      <c r="I1431" s="11"/>
      <c r="J1431" s="27" t="str">
        <f aca="false">IF(A1431="","",YEAR(A1431))</f>
        <v/>
      </c>
      <c r="K1431" s="24"/>
      <c r="L1431" s="11"/>
    </row>
    <row r="1432" customFormat="false" ht="15" hidden="false" customHeight="false" outlineLevel="0" collapsed="false">
      <c r="A1432" s="22"/>
      <c r="B1432" s="11"/>
      <c r="C1432" s="24"/>
      <c r="D1432" s="31" t="str">
        <f aca="false">IF(C1432="","",IF(LEN(UPPER(SUBSTITUTE(SUBSTITUTE(SUBSTITUTE(SUBSTITUTE(TRIM(C1432),".",""),"/",""),"-","")," ","")))&lt;14,RIGHT(REPT("0",14)&amp;UPPER(SUBSTITUTE(SUBSTITUTE(SUBSTITUTE(SUBSTITUTE(TRIM(C1432),".",""),"/",""),"-","")," ","")),14),UPPER(SUBSTITUTE(SUBSTITUTE(SUBSTITUTE(SUBSTITUTE(TRIM(C1432),".",""),"/",""),"-","")," ",""))))</f>
        <v/>
      </c>
      <c r="E1432" s="25" t="str">
        <f aca="false">IF(D1432="","",IFERROR(INDEX(Empresas!$C:$C,MATCH(D1432,Empresas!$B:$B,0)),"cadastre o CNPJ em Empresas"))</f>
        <v/>
      </c>
      <c r="F1432" s="23"/>
      <c r="G1432" s="35"/>
      <c r="H1432" s="24"/>
      <c r="I1432" s="11"/>
      <c r="J1432" s="27" t="str">
        <f aca="false">IF(A1432="","",YEAR(A1432))</f>
        <v/>
      </c>
      <c r="K1432" s="24"/>
      <c r="L1432" s="11"/>
    </row>
    <row r="1433" customFormat="false" ht="15" hidden="false" customHeight="false" outlineLevel="0" collapsed="false">
      <c r="A1433" s="22"/>
      <c r="B1433" s="11"/>
      <c r="C1433" s="24"/>
      <c r="D1433" s="31" t="str">
        <f aca="false">IF(C1433="","",IF(LEN(UPPER(SUBSTITUTE(SUBSTITUTE(SUBSTITUTE(SUBSTITUTE(TRIM(C1433),".",""),"/",""),"-","")," ","")))&lt;14,RIGHT(REPT("0",14)&amp;UPPER(SUBSTITUTE(SUBSTITUTE(SUBSTITUTE(SUBSTITUTE(TRIM(C1433),".",""),"/",""),"-","")," ","")),14),UPPER(SUBSTITUTE(SUBSTITUTE(SUBSTITUTE(SUBSTITUTE(TRIM(C1433),".",""),"/",""),"-","")," ",""))))</f>
        <v/>
      </c>
      <c r="E1433" s="25" t="str">
        <f aca="false">IF(D1433="","",IFERROR(INDEX(Empresas!$C:$C,MATCH(D1433,Empresas!$B:$B,0)),"cadastre o CNPJ em Empresas"))</f>
        <v/>
      </c>
      <c r="F1433" s="23"/>
      <c r="G1433" s="35"/>
      <c r="H1433" s="24"/>
      <c r="I1433" s="11"/>
      <c r="J1433" s="27" t="str">
        <f aca="false">IF(A1433="","",YEAR(A1433))</f>
        <v/>
      </c>
      <c r="K1433" s="24"/>
      <c r="L1433" s="11"/>
    </row>
    <row r="1434" customFormat="false" ht="15" hidden="false" customHeight="false" outlineLevel="0" collapsed="false">
      <c r="A1434" s="22"/>
      <c r="B1434" s="11"/>
      <c r="C1434" s="24"/>
      <c r="D1434" s="31" t="str">
        <f aca="false">IF(C1434="","",IF(LEN(UPPER(SUBSTITUTE(SUBSTITUTE(SUBSTITUTE(SUBSTITUTE(TRIM(C1434),".",""),"/",""),"-","")," ","")))&lt;14,RIGHT(REPT("0",14)&amp;UPPER(SUBSTITUTE(SUBSTITUTE(SUBSTITUTE(SUBSTITUTE(TRIM(C1434),".",""),"/",""),"-","")," ","")),14),UPPER(SUBSTITUTE(SUBSTITUTE(SUBSTITUTE(SUBSTITUTE(TRIM(C1434),".",""),"/",""),"-","")," ",""))))</f>
        <v/>
      </c>
      <c r="E1434" s="25" t="str">
        <f aca="false">IF(D1434="","",IFERROR(INDEX(Empresas!$C:$C,MATCH(D1434,Empresas!$B:$B,0)),"cadastre o CNPJ em Empresas"))</f>
        <v/>
      </c>
      <c r="F1434" s="23"/>
      <c r="G1434" s="35"/>
      <c r="H1434" s="24"/>
      <c r="I1434" s="11"/>
      <c r="J1434" s="27" t="str">
        <f aca="false">IF(A1434="","",YEAR(A1434))</f>
        <v/>
      </c>
      <c r="K1434" s="24"/>
      <c r="L1434" s="11"/>
    </row>
    <row r="1435" customFormat="false" ht="15" hidden="false" customHeight="false" outlineLevel="0" collapsed="false">
      <c r="A1435" s="22"/>
      <c r="B1435" s="11"/>
      <c r="C1435" s="24"/>
      <c r="D1435" s="31" t="str">
        <f aca="false">IF(C1435="","",IF(LEN(UPPER(SUBSTITUTE(SUBSTITUTE(SUBSTITUTE(SUBSTITUTE(TRIM(C1435),".",""),"/",""),"-","")," ","")))&lt;14,RIGHT(REPT("0",14)&amp;UPPER(SUBSTITUTE(SUBSTITUTE(SUBSTITUTE(SUBSTITUTE(TRIM(C1435),".",""),"/",""),"-","")," ","")),14),UPPER(SUBSTITUTE(SUBSTITUTE(SUBSTITUTE(SUBSTITUTE(TRIM(C1435),".",""),"/",""),"-","")," ",""))))</f>
        <v/>
      </c>
      <c r="E1435" s="25" t="str">
        <f aca="false">IF(D1435="","",IFERROR(INDEX(Empresas!$C:$C,MATCH(D1435,Empresas!$B:$B,0)),"cadastre o CNPJ em Empresas"))</f>
        <v/>
      </c>
      <c r="F1435" s="23"/>
      <c r="G1435" s="35"/>
      <c r="H1435" s="24"/>
      <c r="I1435" s="11"/>
      <c r="J1435" s="27" t="str">
        <f aca="false">IF(A1435="","",YEAR(A1435))</f>
        <v/>
      </c>
      <c r="K1435" s="24"/>
      <c r="L1435" s="11"/>
    </row>
    <row r="1436" customFormat="false" ht="15" hidden="false" customHeight="false" outlineLevel="0" collapsed="false">
      <c r="A1436" s="22"/>
      <c r="B1436" s="11"/>
      <c r="C1436" s="24"/>
      <c r="D1436" s="31" t="str">
        <f aca="false">IF(C1436="","",IF(LEN(UPPER(SUBSTITUTE(SUBSTITUTE(SUBSTITUTE(SUBSTITUTE(TRIM(C1436),".",""),"/",""),"-","")," ","")))&lt;14,RIGHT(REPT("0",14)&amp;UPPER(SUBSTITUTE(SUBSTITUTE(SUBSTITUTE(SUBSTITUTE(TRIM(C1436),".",""),"/",""),"-","")," ","")),14),UPPER(SUBSTITUTE(SUBSTITUTE(SUBSTITUTE(SUBSTITUTE(TRIM(C1436),".",""),"/",""),"-","")," ",""))))</f>
        <v/>
      </c>
      <c r="E1436" s="25" t="str">
        <f aca="false">IF(D1436="","",IFERROR(INDEX(Empresas!$C:$C,MATCH(D1436,Empresas!$B:$B,0)),"cadastre o CNPJ em Empresas"))</f>
        <v/>
      </c>
      <c r="F1436" s="23"/>
      <c r="G1436" s="35"/>
      <c r="H1436" s="24"/>
      <c r="I1436" s="11"/>
      <c r="J1436" s="27" t="str">
        <f aca="false">IF(A1436="","",YEAR(A1436))</f>
        <v/>
      </c>
      <c r="K1436" s="24"/>
      <c r="L1436" s="11"/>
    </row>
    <row r="1437" customFormat="false" ht="15" hidden="false" customHeight="false" outlineLevel="0" collapsed="false">
      <c r="A1437" s="22"/>
      <c r="B1437" s="11"/>
      <c r="C1437" s="24"/>
      <c r="D1437" s="31" t="str">
        <f aca="false">IF(C1437="","",IF(LEN(UPPER(SUBSTITUTE(SUBSTITUTE(SUBSTITUTE(SUBSTITUTE(TRIM(C1437),".",""),"/",""),"-","")," ","")))&lt;14,RIGHT(REPT("0",14)&amp;UPPER(SUBSTITUTE(SUBSTITUTE(SUBSTITUTE(SUBSTITUTE(TRIM(C1437),".",""),"/",""),"-","")," ","")),14),UPPER(SUBSTITUTE(SUBSTITUTE(SUBSTITUTE(SUBSTITUTE(TRIM(C1437),".",""),"/",""),"-","")," ",""))))</f>
        <v/>
      </c>
      <c r="E1437" s="25" t="str">
        <f aca="false">IF(D1437="","",IFERROR(INDEX(Empresas!$C:$C,MATCH(D1437,Empresas!$B:$B,0)),"cadastre o CNPJ em Empresas"))</f>
        <v/>
      </c>
      <c r="F1437" s="23"/>
      <c r="G1437" s="35"/>
      <c r="H1437" s="24"/>
      <c r="I1437" s="11"/>
      <c r="J1437" s="27" t="str">
        <f aca="false">IF(A1437="","",YEAR(A1437))</f>
        <v/>
      </c>
      <c r="K1437" s="24"/>
      <c r="L1437" s="11"/>
    </row>
    <row r="1438" customFormat="false" ht="15" hidden="false" customHeight="false" outlineLevel="0" collapsed="false">
      <c r="A1438" s="22"/>
      <c r="B1438" s="11"/>
      <c r="C1438" s="24"/>
      <c r="D1438" s="31" t="str">
        <f aca="false">IF(C1438="","",IF(LEN(UPPER(SUBSTITUTE(SUBSTITUTE(SUBSTITUTE(SUBSTITUTE(TRIM(C1438),".",""),"/",""),"-","")," ","")))&lt;14,RIGHT(REPT("0",14)&amp;UPPER(SUBSTITUTE(SUBSTITUTE(SUBSTITUTE(SUBSTITUTE(TRIM(C1438),".",""),"/",""),"-","")," ","")),14),UPPER(SUBSTITUTE(SUBSTITUTE(SUBSTITUTE(SUBSTITUTE(TRIM(C1438),".",""),"/",""),"-","")," ",""))))</f>
        <v/>
      </c>
      <c r="E1438" s="25" t="str">
        <f aca="false">IF(D1438="","",IFERROR(INDEX(Empresas!$C:$C,MATCH(D1438,Empresas!$B:$B,0)),"cadastre o CNPJ em Empresas"))</f>
        <v/>
      </c>
      <c r="F1438" s="23"/>
      <c r="G1438" s="35"/>
      <c r="H1438" s="24"/>
      <c r="I1438" s="11"/>
      <c r="J1438" s="27" t="str">
        <f aca="false">IF(A1438="","",YEAR(A1438))</f>
        <v/>
      </c>
      <c r="K1438" s="24"/>
      <c r="L1438" s="11"/>
    </row>
    <row r="1439" customFormat="false" ht="15" hidden="false" customHeight="false" outlineLevel="0" collapsed="false">
      <c r="A1439" s="22"/>
      <c r="B1439" s="11"/>
      <c r="C1439" s="24"/>
      <c r="D1439" s="31" t="str">
        <f aca="false">IF(C1439="","",IF(LEN(UPPER(SUBSTITUTE(SUBSTITUTE(SUBSTITUTE(SUBSTITUTE(TRIM(C1439),".",""),"/",""),"-","")," ","")))&lt;14,RIGHT(REPT("0",14)&amp;UPPER(SUBSTITUTE(SUBSTITUTE(SUBSTITUTE(SUBSTITUTE(TRIM(C1439),".",""),"/",""),"-","")," ","")),14),UPPER(SUBSTITUTE(SUBSTITUTE(SUBSTITUTE(SUBSTITUTE(TRIM(C1439),".",""),"/",""),"-","")," ",""))))</f>
        <v/>
      </c>
      <c r="E1439" s="25" t="str">
        <f aca="false">IF(D1439="","",IFERROR(INDEX(Empresas!$C:$C,MATCH(D1439,Empresas!$B:$B,0)),"cadastre o CNPJ em Empresas"))</f>
        <v/>
      </c>
      <c r="F1439" s="23"/>
      <c r="G1439" s="35"/>
      <c r="H1439" s="24"/>
      <c r="I1439" s="11"/>
      <c r="J1439" s="27" t="str">
        <f aca="false">IF(A1439="","",YEAR(A1439))</f>
        <v/>
      </c>
      <c r="K1439" s="24"/>
      <c r="L1439" s="11"/>
    </row>
    <row r="1440" customFormat="false" ht="15" hidden="false" customHeight="false" outlineLevel="0" collapsed="false">
      <c r="A1440" s="22"/>
      <c r="B1440" s="11"/>
      <c r="C1440" s="24"/>
      <c r="D1440" s="31" t="str">
        <f aca="false">IF(C1440="","",IF(LEN(UPPER(SUBSTITUTE(SUBSTITUTE(SUBSTITUTE(SUBSTITUTE(TRIM(C1440),".",""),"/",""),"-","")," ","")))&lt;14,RIGHT(REPT("0",14)&amp;UPPER(SUBSTITUTE(SUBSTITUTE(SUBSTITUTE(SUBSTITUTE(TRIM(C1440),".",""),"/",""),"-","")," ","")),14),UPPER(SUBSTITUTE(SUBSTITUTE(SUBSTITUTE(SUBSTITUTE(TRIM(C1440),".",""),"/",""),"-","")," ",""))))</f>
        <v/>
      </c>
      <c r="E1440" s="25" t="str">
        <f aca="false">IF(D1440="","",IFERROR(INDEX(Empresas!$C:$C,MATCH(D1440,Empresas!$B:$B,0)),"cadastre o CNPJ em Empresas"))</f>
        <v/>
      </c>
      <c r="F1440" s="23"/>
      <c r="G1440" s="35"/>
      <c r="H1440" s="24"/>
      <c r="I1440" s="11"/>
      <c r="J1440" s="27" t="str">
        <f aca="false">IF(A1440="","",YEAR(A1440))</f>
        <v/>
      </c>
      <c r="K1440" s="24"/>
      <c r="L1440" s="11"/>
    </row>
    <row r="1441" customFormat="false" ht="15" hidden="false" customHeight="false" outlineLevel="0" collapsed="false">
      <c r="A1441" s="22"/>
      <c r="B1441" s="11"/>
      <c r="C1441" s="24"/>
      <c r="D1441" s="31" t="str">
        <f aca="false">IF(C1441="","",IF(LEN(UPPER(SUBSTITUTE(SUBSTITUTE(SUBSTITUTE(SUBSTITUTE(TRIM(C1441),".",""),"/",""),"-","")," ","")))&lt;14,RIGHT(REPT("0",14)&amp;UPPER(SUBSTITUTE(SUBSTITUTE(SUBSTITUTE(SUBSTITUTE(TRIM(C1441),".",""),"/",""),"-","")," ","")),14),UPPER(SUBSTITUTE(SUBSTITUTE(SUBSTITUTE(SUBSTITUTE(TRIM(C1441),".",""),"/",""),"-","")," ",""))))</f>
        <v/>
      </c>
      <c r="E1441" s="25" t="str">
        <f aca="false">IF(D1441="","",IFERROR(INDEX(Empresas!$C:$C,MATCH(D1441,Empresas!$B:$B,0)),"cadastre o CNPJ em Empresas"))</f>
        <v/>
      </c>
      <c r="F1441" s="23"/>
      <c r="G1441" s="35"/>
      <c r="H1441" s="24"/>
      <c r="I1441" s="11"/>
      <c r="J1441" s="27" t="str">
        <f aca="false">IF(A1441="","",YEAR(A1441))</f>
        <v/>
      </c>
      <c r="K1441" s="24"/>
      <c r="L1441" s="11"/>
    </row>
    <row r="1442" customFormat="false" ht="15" hidden="false" customHeight="false" outlineLevel="0" collapsed="false">
      <c r="A1442" s="22"/>
      <c r="B1442" s="11"/>
      <c r="C1442" s="24"/>
      <c r="D1442" s="31" t="str">
        <f aca="false">IF(C1442="","",IF(LEN(UPPER(SUBSTITUTE(SUBSTITUTE(SUBSTITUTE(SUBSTITUTE(TRIM(C1442),".",""),"/",""),"-","")," ","")))&lt;14,RIGHT(REPT("0",14)&amp;UPPER(SUBSTITUTE(SUBSTITUTE(SUBSTITUTE(SUBSTITUTE(TRIM(C1442),".",""),"/",""),"-","")," ","")),14),UPPER(SUBSTITUTE(SUBSTITUTE(SUBSTITUTE(SUBSTITUTE(TRIM(C1442),".",""),"/",""),"-","")," ",""))))</f>
        <v/>
      </c>
      <c r="E1442" s="25" t="str">
        <f aca="false">IF(D1442="","",IFERROR(INDEX(Empresas!$C:$C,MATCH(D1442,Empresas!$B:$B,0)),"cadastre o CNPJ em Empresas"))</f>
        <v/>
      </c>
      <c r="F1442" s="23"/>
      <c r="G1442" s="35"/>
      <c r="H1442" s="24"/>
      <c r="I1442" s="11"/>
      <c r="J1442" s="27" t="str">
        <f aca="false">IF(A1442="","",YEAR(A1442))</f>
        <v/>
      </c>
      <c r="K1442" s="24"/>
      <c r="L1442" s="11"/>
    </row>
    <row r="1443" customFormat="false" ht="15" hidden="false" customHeight="false" outlineLevel="0" collapsed="false">
      <c r="A1443" s="22"/>
      <c r="B1443" s="11"/>
      <c r="C1443" s="24"/>
      <c r="D1443" s="31" t="str">
        <f aca="false">IF(C1443="","",IF(LEN(UPPER(SUBSTITUTE(SUBSTITUTE(SUBSTITUTE(SUBSTITUTE(TRIM(C1443),".",""),"/",""),"-","")," ","")))&lt;14,RIGHT(REPT("0",14)&amp;UPPER(SUBSTITUTE(SUBSTITUTE(SUBSTITUTE(SUBSTITUTE(TRIM(C1443),".",""),"/",""),"-","")," ","")),14),UPPER(SUBSTITUTE(SUBSTITUTE(SUBSTITUTE(SUBSTITUTE(TRIM(C1443),".",""),"/",""),"-","")," ",""))))</f>
        <v/>
      </c>
      <c r="E1443" s="25" t="str">
        <f aca="false">IF(D1443="","",IFERROR(INDEX(Empresas!$C:$C,MATCH(D1443,Empresas!$B:$B,0)),"cadastre o CNPJ em Empresas"))</f>
        <v/>
      </c>
      <c r="F1443" s="23"/>
      <c r="G1443" s="35"/>
      <c r="H1443" s="24"/>
      <c r="I1443" s="11"/>
      <c r="J1443" s="27" t="str">
        <f aca="false">IF(A1443="","",YEAR(A1443))</f>
        <v/>
      </c>
      <c r="K1443" s="24"/>
      <c r="L1443" s="11"/>
    </row>
    <row r="1444" customFormat="false" ht="15" hidden="false" customHeight="false" outlineLevel="0" collapsed="false">
      <c r="A1444" s="22"/>
      <c r="B1444" s="11"/>
      <c r="C1444" s="24"/>
      <c r="D1444" s="31" t="str">
        <f aca="false">IF(C1444="","",IF(LEN(UPPER(SUBSTITUTE(SUBSTITUTE(SUBSTITUTE(SUBSTITUTE(TRIM(C1444),".",""),"/",""),"-","")," ","")))&lt;14,RIGHT(REPT("0",14)&amp;UPPER(SUBSTITUTE(SUBSTITUTE(SUBSTITUTE(SUBSTITUTE(TRIM(C1444),".",""),"/",""),"-","")," ","")),14),UPPER(SUBSTITUTE(SUBSTITUTE(SUBSTITUTE(SUBSTITUTE(TRIM(C1444),".",""),"/",""),"-","")," ",""))))</f>
        <v/>
      </c>
      <c r="E1444" s="25" t="str">
        <f aca="false">IF(D1444="","",IFERROR(INDEX(Empresas!$C:$C,MATCH(D1444,Empresas!$B:$B,0)),"cadastre o CNPJ em Empresas"))</f>
        <v/>
      </c>
      <c r="F1444" s="23"/>
      <c r="G1444" s="35"/>
      <c r="H1444" s="24"/>
      <c r="I1444" s="11"/>
      <c r="J1444" s="27" t="str">
        <f aca="false">IF(A1444="","",YEAR(A1444))</f>
        <v/>
      </c>
      <c r="K1444" s="24"/>
      <c r="L1444" s="11"/>
    </row>
    <row r="1445" customFormat="false" ht="15" hidden="false" customHeight="false" outlineLevel="0" collapsed="false">
      <c r="A1445" s="22"/>
      <c r="B1445" s="11"/>
      <c r="C1445" s="24"/>
      <c r="D1445" s="31" t="str">
        <f aca="false">IF(C1445="","",IF(LEN(UPPER(SUBSTITUTE(SUBSTITUTE(SUBSTITUTE(SUBSTITUTE(TRIM(C1445),".",""),"/",""),"-","")," ","")))&lt;14,RIGHT(REPT("0",14)&amp;UPPER(SUBSTITUTE(SUBSTITUTE(SUBSTITUTE(SUBSTITUTE(TRIM(C1445),".",""),"/",""),"-","")," ","")),14),UPPER(SUBSTITUTE(SUBSTITUTE(SUBSTITUTE(SUBSTITUTE(TRIM(C1445),".",""),"/",""),"-","")," ",""))))</f>
        <v/>
      </c>
      <c r="E1445" s="25" t="str">
        <f aca="false">IF(D1445="","",IFERROR(INDEX(Empresas!$C:$C,MATCH(D1445,Empresas!$B:$B,0)),"cadastre o CNPJ em Empresas"))</f>
        <v/>
      </c>
      <c r="F1445" s="23"/>
      <c r="G1445" s="35"/>
      <c r="H1445" s="24"/>
      <c r="I1445" s="11"/>
      <c r="J1445" s="27" t="str">
        <f aca="false">IF(A1445="","",YEAR(A1445))</f>
        <v/>
      </c>
      <c r="K1445" s="24"/>
      <c r="L1445" s="11"/>
    </row>
    <row r="1446" customFormat="false" ht="15" hidden="false" customHeight="false" outlineLevel="0" collapsed="false">
      <c r="A1446" s="22"/>
      <c r="B1446" s="11"/>
      <c r="C1446" s="24"/>
      <c r="D1446" s="31" t="str">
        <f aca="false">IF(C1446="","",IF(LEN(UPPER(SUBSTITUTE(SUBSTITUTE(SUBSTITUTE(SUBSTITUTE(TRIM(C1446),".",""),"/",""),"-","")," ","")))&lt;14,RIGHT(REPT("0",14)&amp;UPPER(SUBSTITUTE(SUBSTITUTE(SUBSTITUTE(SUBSTITUTE(TRIM(C1446),".",""),"/",""),"-","")," ","")),14),UPPER(SUBSTITUTE(SUBSTITUTE(SUBSTITUTE(SUBSTITUTE(TRIM(C1446),".",""),"/",""),"-","")," ",""))))</f>
        <v/>
      </c>
      <c r="E1446" s="25" t="str">
        <f aca="false">IF(D1446="","",IFERROR(INDEX(Empresas!$C:$C,MATCH(D1446,Empresas!$B:$B,0)),"cadastre o CNPJ em Empresas"))</f>
        <v/>
      </c>
      <c r="F1446" s="23"/>
      <c r="G1446" s="35"/>
      <c r="H1446" s="24"/>
      <c r="I1446" s="11"/>
      <c r="J1446" s="27" t="str">
        <f aca="false">IF(A1446="","",YEAR(A1446))</f>
        <v/>
      </c>
      <c r="K1446" s="24"/>
      <c r="L1446" s="11"/>
    </row>
    <row r="1447" customFormat="false" ht="15" hidden="false" customHeight="false" outlineLevel="0" collapsed="false">
      <c r="A1447" s="22"/>
      <c r="B1447" s="11"/>
      <c r="C1447" s="24"/>
      <c r="D1447" s="31" t="str">
        <f aca="false">IF(C1447="","",IF(LEN(UPPER(SUBSTITUTE(SUBSTITUTE(SUBSTITUTE(SUBSTITUTE(TRIM(C1447),".",""),"/",""),"-","")," ","")))&lt;14,RIGHT(REPT("0",14)&amp;UPPER(SUBSTITUTE(SUBSTITUTE(SUBSTITUTE(SUBSTITUTE(TRIM(C1447),".",""),"/",""),"-","")," ","")),14),UPPER(SUBSTITUTE(SUBSTITUTE(SUBSTITUTE(SUBSTITUTE(TRIM(C1447),".",""),"/",""),"-","")," ",""))))</f>
        <v/>
      </c>
      <c r="E1447" s="25" t="str">
        <f aca="false">IF(D1447="","",IFERROR(INDEX(Empresas!$C:$C,MATCH(D1447,Empresas!$B:$B,0)),"cadastre o CNPJ em Empresas"))</f>
        <v/>
      </c>
      <c r="F1447" s="23"/>
      <c r="G1447" s="35"/>
      <c r="H1447" s="24"/>
      <c r="I1447" s="11"/>
      <c r="J1447" s="27" t="str">
        <f aca="false">IF(A1447="","",YEAR(A1447))</f>
        <v/>
      </c>
      <c r="K1447" s="24"/>
      <c r="L1447" s="11"/>
    </row>
    <row r="1448" customFormat="false" ht="15" hidden="false" customHeight="false" outlineLevel="0" collapsed="false">
      <c r="A1448" s="22"/>
      <c r="B1448" s="11"/>
      <c r="C1448" s="24"/>
      <c r="D1448" s="31" t="str">
        <f aca="false">IF(C1448="","",IF(LEN(UPPER(SUBSTITUTE(SUBSTITUTE(SUBSTITUTE(SUBSTITUTE(TRIM(C1448),".",""),"/",""),"-","")," ","")))&lt;14,RIGHT(REPT("0",14)&amp;UPPER(SUBSTITUTE(SUBSTITUTE(SUBSTITUTE(SUBSTITUTE(TRIM(C1448),".",""),"/",""),"-","")," ","")),14),UPPER(SUBSTITUTE(SUBSTITUTE(SUBSTITUTE(SUBSTITUTE(TRIM(C1448),".",""),"/",""),"-","")," ",""))))</f>
        <v/>
      </c>
      <c r="E1448" s="25" t="str">
        <f aca="false">IF(D1448="","",IFERROR(INDEX(Empresas!$C:$C,MATCH(D1448,Empresas!$B:$B,0)),"cadastre o CNPJ em Empresas"))</f>
        <v/>
      </c>
      <c r="F1448" s="23"/>
      <c r="G1448" s="35"/>
      <c r="H1448" s="24"/>
      <c r="I1448" s="11"/>
      <c r="J1448" s="27" t="str">
        <f aca="false">IF(A1448="","",YEAR(A1448))</f>
        <v/>
      </c>
      <c r="K1448" s="24"/>
      <c r="L1448" s="11"/>
    </row>
    <row r="1449" customFormat="false" ht="15" hidden="false" customHeight="false" outlineLevel="0" collapsed="false">
      <c r="A1449" s="22"/>
      <c r="B1449" s="11"/>
      <c r="C1449" s="24"/>
      <c r="D1449" s="31" t="str">
        <f aca="false">IF(C1449="","",IF(LEN(UPPER(SUBSTITUTE(SUBSTITUTE(SUBSTITUTE(SUBSTITUTE(TRIM(C1449),".",""),"/",""),"-","")," ","")))&lt;14,RIGHT(REPT("0",14)&amp;UPPER(SUBSTITUTE(SUBSTITUTE(SUBSTITUTE(SUBSTITUTE(TRIM(C1449),".",""),"/",""),"-","")," ","")),14),UPPER(SUBSTITUTE(SUBSTITUTE(SUBSTITUTE(SUBSTITUTE(TRIM(C1449),".",""),"/",""),"-","")," ",""))))</f>
        <v/>
      </c>
      <c r="E1449" s="25" t="str">
        <f aca="false">IF(D1449="","",IFERROR(INDEX(Empresas!$C:$C,MATCH(D1449,Empresas!$B:$B,0)),"cadastre o CNPJ em Empresas"))</f>
        <v/>
      </c>
      <c r="F1449" s="23"/>
      <c r="G1449" s="35"/>
      <c r="H1449" s="24"/>
      <c r="I1449" s="11"/>
      <c r="J1449" s="27" t="str">
        <f aca="false">IF(A1449="","",YEAR(A1449))</f>
        <v/>
      </c>
      <c r="K1449" s="24"/>
      <c r="L1449" s="11"/>
    </row>
    <row r="1450" customFormat="false" ht="15" hidden="false" customHeight="false" outlineLevel="0" collapsed="false">
      <c r="A1450" s="22"/>
      <c r="B1450" s="11"/>
      <c r="C1450" s="24"/>
      <c r="D1450" s="31" t="str">
        <f aca="false">IF(C1450="","",IF(LEN(UPPER(SUBSTITUTE(SUBSTITUTE(SUBSTITUTE(SUBSTITUTE(TRIM(C1450),".",""),"/",""),"-","")," ","")))&lt;14,RIGHT(REPT("0",14)&amp;UPPER(SUBSTITUTE(SUBSTITUTE(SUBSTITUTE(SUBSTITUTE(TRIM(C1450),".",""),"/",""),"-","")," ","")),14),UPPER(SUBSTITUTE(SUBSTITUTE(SUBSTITUTE(SUBSTITUTE(TRIM(C1450),".",""),"/",""),"-","")," ",""))))</f>
        <v/>
      </c>
      <c r="E1450" s="25" t="str">
        <f aca="false">IF(D1450="","",IFERROR(INDEX(Empresas!$C:$C,MATCH(D1450,Empresas!$B:$B,0)),"cadastre o CNPJ em Empresas"))</f>
        <v/>
      </c>
      <c r="F1450" s="23"/>
      <c r="G1450" s="35"/>
      <c r="H1450" s="24"/>
      <c r="I1450" s="11"/>
      <c r="J1450" s="27" t="str">
        <f aca="false">IF(A1450="","",YEAR(A1450))</f>
        <v/>
      </c>
      <c r="K1450" s="24"/>
      <c r="L1450" s="11"/>
    </row>
    <row r="1451" customFormat="false" ht="15" hidden="false" customHeight="false" outlineLevel="0" collapsed="false">
      <c r="A1451" s="22"/>
      <c r="B1451" s="11"/>
      <c r="C1451" s="24"/>
      <c r="D1451" s="31" t="str">
        <f aca="false">IF(C1451="","",IF(LEN(UPPER(SUBSTITUTE(SUBSTITUTE(SUBSTITUTE(SUBSTITUTE(TRIM(C1451),".",""),"/",""),"-","")," ","")))&lt;14,RIGHT(REPT("0",14)&amp;UPPER(SUBSTITUTE(SUBSTITUTE(SUBSTITUTE(SUBSTITUTE(TRIM(C1451),".",""),"/",""),"-","")," ","")),14),UPPER(SUBSTITUTE(SUBSTITUTE(SUBSTITUTE(SUBSTITUTE(TRIM(C1451),".",""),"/",""),"-","")," ",""))))</f>
        <v/>
      </c>
      <c r="E1451" s="25" t="str">
        <f aca="false">IF(D1451="","",IFERROR(INDEX(Empresas!$C:$C,MATCH(D1451,Empresas!$B:$B,0)),"cadastre o CNPJ em Empresas"))</f>
        <v/>
      </c>
      <c r="F1451" s="23"/>
      <c r="G1451" s="35"/>
      <c r="H1451" s="24"/>
      <c r="I1451" s="11"/>
      <c r="J1451" s="27" t="str">
        <f aca="false">IF(A1451="","",YEAR(A1451))</f>
        <v/>
      </c>
      <c r="K1451" s="24"/>
      <c r="L1451" s="11"/>
    </row>
    <row r="1452" customFormat="false" ht="15" hidden="false" customHeight="false" outlineLevel="0" collapsed="false">
      <c r="A1452" s="22"/>
      <c r="B1452" s="11"/>
      <c r="C1452" s="24"/>
      <c r="D1452" s="31" t="str">
        <f aca="false">IF(C1452="","",IF(LEN(UPPER(SUBSTITUTE(SUBSTITUTE(SUBSTITUTE(SUBSTITUTE(TRIM(C1452),".",""),"/",""),"-","")," ","")))&lt;14,RIGHT(REPT("0",14)&amp;UPPER(SUBSTITUTE(SUBSTITUTE(SUBSTITUTE(SUBSTITUTE(TRIM(C1452),".",""),"/",""),"-","")," ","")),14),UPPER(SUBSTITUTE(SUBSTITUTE(SUBSTITUTE(SUBSTITUTE(TRIM(C1452),".",""),"/",""),"-","")," ",""))))</f>
        <v/>
      </c>
      <c r="E1452" s="25" t="str">
        <f aca="false">IF(D1452="","",IFERROR(INDEX(Empresas!$C:$C,MATCH(D1452,Empresas!$B:$B,0)),"cadastre o CNPJ em Empresas"))</f>
        <v/>
      </c>
      <c r="F1452" s="23"/>
      <c r="G1452" s="35"/>
      <c r="H1452" s="24"/>
      <c r="I1452" s="11"/>
      <c r="J1452" s="27" t="str">
        <f aca="false">IF(A1452="","",YEAR(A1452))</f>
        <v/>
      </c>
      <c r="K1452" s="24"/>
      <c r="L1452" s="11"/>
    </row>
    <row r="1453" customFormat="false" ht="15" hidden="false" customHeight="false" outlineLevel="0" collapsed="false">
      <c r="A1453" s="22"/>
      <c r="B1453" s="11"/>
      <c r="C1453" s="24"/>
      <c r="D1453" s="31" t="str">
        <f aca="false">IF(C1453="","",IF(LEN(UPPER(SUBSTITUTE(SUBSTITUTE(SUBSTITUTE(SUBSTITUTE(TRIM(C1453),".",""),"/",""),"-","")," ","")))&lt;14,RIGHT(REPT("0",14)&amp;UPPER(SUBSTITUTE(SUBSTITUTE(SUBSTITUTE(SUBSTITUTE(TRIM(C1453),".",""),"/",""),"-","")," ","")),14),UPPER(SUBSTITUTE(SUBSTITUTE(SUBSTITUTE(SUBSTITUTE(TRIM(C1453),".",""),"/",""),"-","")," ",""))))</f>
        <v/>
      </c>
      <c r="E1453" s="25" t="str">
        <f aca="false">IF(D1453="","",IFERROR(INDEX(Empresas!$C:$C,MATCH(D1453,Empresas!$B:$B,0)),"cadastre o CNPJ em Empresas"))</f>
        <v/>
      </c>
      <c r="F1453" s="23"/>
      <c r="G1453" s="35"/>
      <c r="H1453" s="24"/>
      <c r="I1453" s="11"/>
      <c r="J1453" s="27" t="str">
        <f aca="false">IF(A1453="","",YEAR(A1453))</f>
        <v/>
      </c>
      <c r="K1453" s="24"/>
      <c r="L1453" s="11"/>
    </row>
    <row r="1454" customFormat="false" ht="15" hidden="false" customHeight="false" outlineLevel="0" collapsed="false">
      <c r="A1454" s="22"/>
      <c r="B1454" s="11"/>
      <c r="C1454" s="24"/>
      <c r="D1454" s="31" t="str">
        <f aca="false">IF(C1454="","",IF(LEN(UPPER(SUBSTITUTE(SUBSTITUTE(SUBSTITUTE(SUBSTITUTE(TRIM(C1454),".",""),"/",""),"-","")," ","")))&lt;14,RIGHT(REPT("0",14)&amp;UPPER(SUBSTITUTE(SUBSTITUTE(SUBSTITUTE(SUBSTITUTE(TRIM(C1454),".",""),"/",""),"-","")," ","")),14),UPPER(SUBSTITUTE(SUBSTITUTE(SUBSTITUTE(SUBSTITUTE(TRIM(C1454),".",""),"/",""),"-","")," ",""))))</f>
        <v/>
      </c>
      <c r="E1454" s="25" t="str">
        <f aca="false">IF(D1454="","",IFERROR(INDEX(Empresas!$C:$C,MATCH(D1454,Empresas!$B:$B,0)),"cadastre o CNPJ em Empresas"))</f>
        <v/>
      </c>
      <c r="F1454" s="23"/>
      <c r="G1454" s="35"/>
      <c r="H1454" s="24"/>
      <c r="I1454" s="11"/>
      <c r="J1454" s="27" t="str">
        <f aca="false">IF(A1454="","",YEAR(A1454))</f>
        <v/>
      </c>
      <c r="K1454" s="24"/>
      <c r="L1454" s="11"/>
    </row>
    <row r="1455" customFormat="false" ht="15" hidden="false" customHeight="false" outlineLevel="0" collapsed="false">
      <c r="A1455" s="22"/>
      <c r="B1455" s="11"/>
      <c r="C1455" s="24"/>
      <c r="D1455" s="31" t="str">
        <f aca="false">IF(C1455="","",IF(LEN(UPPER(SUBSTITUTE(SUBSTITUTE(SUBSTITUTE(SUBSTITUTE(TRIM(C1455),".",""),"/",""),"-","")," ","")))&lt;14,RIGHT(REPT("0",14)&amp;UPPER(SUBSTITUTE(SUBSTITUTE(SUBSTITUTE(SUBSTITUTE(TRIM(C1455),".",""),"/",""),"-","")," ","")),14),UPPER(SUBSTITUTE(SUBSTITUTE(SUBSTITUTE(SUBSTITUTE(TRIM(C1455),".",""),"/",""),"-","")," ",""))))</f>
        <v/>
      </c>
      <c r="E1455" s="25" t="str">
        <f aca="false">IF(D1455="","",IFERROR(INDEX(Empresas!$C:$C,MATCH(D1455,Empresas!$B:$B,0)),"cadastre o CNPJ em Empresas"))</f>
        <v/>
      </c>
      <c r="F1455" s="23"/>
      <c r="G1455" s="35"/>
      <c r="H1455" s="24"/>
      <c r="I1455" s="11"/>
      <c r="J1455" s="27" t="str">
        <f aca="false">IF(A1455="","",YEAR(A1455))</f>
        <v/>
      </c>
      <c r="K1455" s="24"/>
      <c r="L1455" s="11"/>
    </row>
    <row r="1456" customFormat="false" ht="15" hidden="false" customHeight="false" outlineLevel="0" collapsed="false">
      <c r="A1456" s="22"/>
      <c r="B1456" s="11"/>
      <c r="C1456" s="24"/>
      <c r="D1456" s="31" t="str">
        <f aca="false">IF(C1456="","",IF(LEN(UPPER(SUBSTITUTE(SUBSTITUTE(SUBSTITUTE(SUBSTITUTE(TRIM(C1456),".",""),"/",""),"-","")," ","")))&lt;14,RIGHT(REPT("0",14)&amp;UPPER(SUBSTITUTE(SUBSTITUTE(SUBSTITUTE(SUBSTITUTE(TRIM(C1456),".",""),"/",""),"-","")," ","")),14),UPPER(SUBSTITUTE(SUBSTITUTE(SUBSTITUTE(SUBSTITUTE(TRIM(C1456),".",""),"/",""),"-","")," ",""))))</f>
        <v/>
      </c>
      <c r="E1456" s="25" t="str">
        <f aca="false">IF(D1456="","",IFERROR(INDEX(Empresas!$C:$C,MATCH(D1456,Empresas!$B:$B,0)),"cadastre o CNPJ em Empresas"))</f>
        <v/>
      </c>
      <c r="F1456" s="23"/>
      <c r="G1456" s="35"/>
      <c r="H1456" s="24"/>
      <c r="I1456" s="11"/>
      <c r="J1456" s="27" t="str">
        <f aca="false">IF(A1456="","",YEAR(A1456))</f>
        <v/>
      </c>
      <c r="K1456" s="24"/>
      <c r="L1456" s="11"/>
    </row>
    <row r="1457" customFormat="false" ht="15" hidden="false" customHeight="false" outlineLevel="0" collapsed="false">
      <c r="A1457" s="22"/>
      <c r="B1457" s="11"/>
      <c r="C1457" s="24"/>
      <c r="D1457" s="31" t="str">
        <f aca="false">IF(C1457="","",IF(LEN(UPPER(SUBSTITUTE(SUBSTITUTE(SUBSTITUTE(SUBSTITUTE(TRIM(C1457),".",""),"/",""),"-","")," ","")))&lt;14,RIGHT(REPT("0",14)&amp;UPPER(SUBSTITUTE(SUBSTITUTE(SUBSTITUTE(SUBSTITUTE(TRIM(C1457),".",""),"/",""),"-","")," ","")),14),UPPER(SUBSTITUTE(SUBSTITUTE(SUBSTITUTE(SUBSTITUTE(TRIM(C1457),".",""),"/",""),"-","")," ",""))))</f>
        <v/>
      </c>
      <c r="E1457" s="25" t="str">
        <f aca="false">IF(D1457="","",IFERROR(INDEX(Empresas!$C:$C,MATCH(D1457,Empresas!$B:$B,0)),"cadastre o CNPJ em Empresas"))</f>
        <v/>
      </c>
      <c r="F1457" s="23"/>
      <c r="G1457" s="35"/>
      <c r="H1457" s="24"/>
      <c r="I1457" s="11"/>
      <c r="J1457" s="27" t="str">
        <f aca="false">IF(A1457="","",YEAR(A1457))</f>
        <v/>
      </c>
      <c r="K1457" s="24"/>
      <c r="L1457" s="11"/>
    </row>
    <row r="1458" customFormat="false" ht="15" hidden="false" customHeight="false" outlineLevel="0" collapsed="false">
      <c r="A1458" s="22"/>
      <c r="B1458" s="11"/>
      <c r="C1458" s="24"/>
      <c r="D1458" s="31" t="str">
        <f aca="false">IF(C1458="","",IF(LEN(UPPER(SUBSTITUTE(SUBSTITUTE(SUBSTITUTE(SUBSTITUTE(TRIM(C1458),".",""),"/",""),"-","")," ","")))&lt;14,RIGHT(REPT("0",14)&amp;UPPER(SUBSTITUTE(SUBSTITUTE(SUBSTITUTE(SUBSTITUTE(TRIM(C1458),".",""),"/",""),"-","")," ","")),14),UPPER(SUBSTITUTE(SUBSTITUTE(SUBSTITUTE(SUBSTITUTE(TRIM(C1458),".",""),"/",""),"-","")," ",""))))</f>
        <v/>
      </c>
      <c r="E1458" s="25" t="str">
        <f aca="false">IF(D1458="","",IFERROR(INDEX(Empresas!$C:$C,MATCH(D1458,Empresas!$B:$B,0)),"cadastre o CNPJ em Empresas"))</f>
        <v/>
      </c>
      <c r="F1458" s="23"/>
      <c r="G1458" s="35"/>
      <c r="H1458" s="24"/>
      <c r="I1458" s="11"/>
      <c r="J1458" s="27" t="str">
        <f aca="false">IF(A1458="","",YEAR(A1458))</f>
        <v/>
      </c>
      <c r="K1458" s="24"/>
      <c r="L1458" s="11"/>
    </row>
    <row r="1459" customFormat="false" ht="15" hidden="false" customHeight="false" outlineLevel="0" collapsed="false">
      <c r="A1459" s="22"/>
      <c r="B1459" s="11"/>
      <c r="C1459" s="24"/>
      <c r="D1459" s="31" t="str">
        <f aca="false">IF(C1459="","",IF(LEN(UPPER(SUBSTITUTE(SUBSTITUTE(SUBSTITUTE(SUBSTITUTE(TRIM(C1459),".",""),"/",""),"-","")," ","")))&lt;14,RIGHT(REPT("0",14)&amp;UPPER(SUBSTITUTE(SUBSTITUTE(SUBSTITUTE(SUBSTITUTE(TRIM(C1459),".",""),"/",""),"-","")," ","")),14),UPPER(SUBSTITUTE(SUBSTITUTE(SUBSTITUTE(SUBSTITUTE(TRIM(C1459),".",""),"/",""),"-","")," ",""))))</f>
        <v/>
      </c>
      <c r="E1459" s="25" t="str">
        <f aca="false">IF(D1459="","",IFERROR(INDEX(Empresas!$C:$C,MATCH(D1459,Empresas!$B:$B,0)),"cadastre o CNPJ em Empresas"))</f>
        <v/>
      </c>
      <c r="F1459" s="23"/>
      <c r="G1459" s="35"/>
      <c r="H1459" s="24"/>
      <c r="I1459" s="11"/>
      <c r="J1459" s="27" t="str">
        <f aca="false">IF(A1459="","",YEAR(A1459))</f>
        <v/>
      </c>
      <c r="K1459" s="24"/>
      <c r="L1459" s="11"/>
    </row>
    <row r="1460" customFormat="false" ht="15" hidden="false" customHeight="false" outlineLevel="0" collapsed="false">
      <c r="A1460" s="22"/>
      <c r="B1460" s="11"/>
      <c r="C1460" s="24"/>
      <c r="D1460" s="31" t="str">
        <f aca="false">IF(C1460="","",IF(LEN(UPPER(SUBSTITUTE(SUBSTITUTE(SUBSTITUTE(SUBSTITUTE(TRIM(C1460),".",""),"/",""),"-","")," ","")))&lt;14,RIGHT(REPT("0",14)&amp;UPPER(SUBSTITUTE(SUBSTITUTE(SUBSTITUTE(SUBSTITUTE(TRIM(C1460),".",""),"/",""),"-","")," ","")),14),UPPER(SUBSTITUTE(SUBSTITUTE(SUBSTITUTE(SUBSTITUTE(TRIM(C1460),".",""),"/",""),"-","")," ",""))))</f>
        <v/>
      </c>
      <c r="E1460" s="25" t="str">
        <f aca="false">IF(D1460="","",IFERROR(INDEX(Empresas!$C:$C,MATCH(D1460,Empresas!$B:$B,0)),"cadastre o CNPJ em Empresas"))</f>
        <v/>
      </c>
      <c r="F1460" s="23"/>
      <c r="G1460" s="35"/>
      <c r="H1460" s="24"/>
      <c r="I1460" s="11"/>
      <c r="J1460" s="27" t="str">
        <f aca="false">IF(A1460="","",YEAR(A1460))</f>
        <v/>
      </c>
      <c r="K1460" s="24"/>
      <c r="L1460" s="11"/>
    </row>
    <row r="1461" customFormat="false" ht="15" hidden="false" customHeight="false" outlineLevel="0" collapsed="false">
      <c r="A1461" s="22"/>
      <c r="B1461" s="11"/>
      <c r="C1461" s="24"/>
      <c r="D1461" s="31" t="str">
        <f aca="false">IF(C1461="","",IF(LEN(UPPER(SUBSTITUTE(SUBSTITUTE(SUBSTITUTE(SUBSTITUTE(TRIM(C1461),".",""),"/",""),"-","")," ","")))&lt;14,RIGHT(REPT("0",14)&amp;UPPER(SUBSTITUTE(SUBSTITUTE(SUBSTITUTE(SUBSTITUTE(TRIM(C1461),".",""),"/",""),"-","")," ","")),14),UPPER(SUBSTITUTE(SUBSTITUTE(SUBSTITUTE(SUBSTITUTE(TRIM(C1461),".",""),"/",""),"-","")," ",""))))</f>
        <v/>
      </c>
      <c r="E1461" s="25" t="str">
        <f aca="false">IF(D1461="","",IFERROR(INDEX(Empresas!$C:$C,MATCH(D1461,Empresas!$B:$B,0)),"cadastre o CNPJ em Empresas"))</f>
        <v/>
      </c>
      <c r="F1461" s="23"/>
      <c r="G1461" s="35"/>
      <c r="H1461" s="24"/>
      <c r="I1461" s="11"/>
      <c r="J1461" s="27" t="str">
        <f aca="false">IF(A1461="","",YEAR(A1461))</f>
        <v/>
      </c>
      <c r="K1461" s="24"/>
      <c r="L1461" s="11"/>
    </row>
    <row r="1462" customFormat="false" ht="15" hidden="false" customHeight="false" outlineLevel="0" collapsed="false">
      <c r="A1462" s="22"/>
      <c r="B1462" s="11"/>
      <c r="C1462" s="24"/>
      <c r="D1462" s="31" t="str">
        <f aca="false">IF(C1462="","",IF(LEN(UPPER(SUBSTITUTE(SUBSTITUTE(SUBSTITUTE(SUBSTITUTE(TRIM(C1462),".",""),"/",""),"-","")," ","")))&lt;14,RIGHT(REPT("0",14)&amp;UPPER(SUBSTITUTE(SUBSTITUTE(SUBSTITUTE(SUBSTITUTE(TRIM(C1462),".",""),"/",""),"-","")," ","")),14),UPPER(SUBSTITUTE(SUBSTITUTE(SUBSTITUTE(SUBSTITUTE(TRIM(C1462),".",""),"/",""),"-","")," ",""))))</f>
        <v/>
      </c>
      <c r="E1462" s="25" t="str">
        <f aca="false">IF(D1462="","",IFERROR(INDEX(Empresas!$C:$C,MATCH(D1462,Empresas!$B:$B,0)),"cadastre o CNPJ em Empresas"))</f>
        <v/>
      </c>
      <c r="F1462" s="23"/>
      <c r="G1462" s="35"/>
      <c r="H1462" s="24"/>
      <c r="I1462" s="11"/>
      <c r="J1462" s="27" t="str">
        <f aca="false">IF(A1462="","",YEAR(A1462))</f>
        <v/>
      </c>
      <c r="K1462" s="24"/>
      <c r="L1462" s="11"/>
    </row>
    <row r="1463" customFormat="false" ht="15" hidden="false" customHeight="false" outlineLevel="0" collapsed="false">
      <c r="A1463" s="22"/>
      <c r="B1463" s="11"/>
      <c r="C1463" s="24"/>
      <c r="D1463" s="31" t="str">
        <f aca="false">IF(C1463="","",IF(LEN(UPPER(SUBSTITUTE(SUBSTITUTE(SUBSTITUTE(SUBSTITUTE(TRIM(C1463),".",""),"/",""),"-","")," ","")))&lt;14,RIGHT(REPT("0",14)&amp;UPPER(SUBSTITUTE(SUBSTITUTE(SUBSTITUTE(SUBSTITUTE(TRIM(C1463),".",""),"/",""),"-","")," ","")),14),UPPER(SUBSTITUTE(SUBSTITUTE(SUBSTITUTE(SUBSTITUTE(TRIM(C1463),".",""),"/",""),"-","")," ",""))))</f>
        <v/>
      </c>
      <c r="E1463" s="25" t="str">
        <f aca="false">IF(D1463="","",IFERROR(INDEX(Empresas!$C:$C,MATCH(D1463,Empresas!$B:$B,0)),"cadastre o CNPJ em Empresas"))</f>
        <v/>
      </c>
      <c r="F1463" s="23"/>
      <c r="G1463" s="35"/>
      <c r="H1463" s="24"/>
      <c r="I1463" s="11"/>
      <c r="J1463" s="27" t="str">
        <f aca="false">IF(A1463="","",YEAR(A1463))</f>
        <v/>
      </c>
      <c r="K1463" s="24"/>
      <c r="L1463" s="11"/>
    </row>
    <row r="1464" customFormat="false" ht="15" hidden="false" customHeight="false" outlineLevel="0" collapsed="false">
      <c r="A1464" s="22"/>
      <c r="B1464" s="11"/>
      <c r="C1464" s="24"/>
      <c r="D1464" s="31" t="str">
        <f aca="false">IF(C1464="","",IF(LEN(UPPER(SUBSTITUTE(SUBSTITUTE(SUBSTITUTE(SUBSTITUTE(TRIM(C1464),".",""),"/",""),"-","")," ","")))&lt;14,RIGHT(REPT("0",14)&amp;UPPER(SUBSTITUTE(SUBSTITUTE(SUBSTITUTE(SUBSTITUTE(TRIM(C1464),".",""),"/",""),"-","")," ","")),14),UPPER(SUBSTITUTE(SUBSTITUTE(SUBSTITUTE(SUBSTITUTE(TRIM(C1464),".",""),"/",""),"-","")," ",""))))</f>
        <v/>
      </c>
      <c r="E1464" s="25" t="str">
        <f aca="false">IF(D1464="","",IFERROR(INDEX(Empresas!$C:$C,MATCH(D1464,Empresas!$B:$B,0)),"cadastre o CNPJ em Empresas"))</f>
        <v/>
      </c>
      <c r="F1464" s="23"/>
      <c r="G1464" s="35"/>
      <c r="H1464" s="24"/>
      <c r="I1464" s="11"/>
      <c r="J1464" s="27" t="str">
        <f aca="false">IF(A1464="","",YEAR(A1464))</f>
        <v/>
      </c>
      <c r="K1464" s="24"/>
      <c r="L1464" s="11"/>
    </row>
    <row r="1465" customFormat="false" ht="15" hidden="false" customHeight="false" outlineLevel="0" collapsed="false">
      <c r="A1465" s="22"/>
      <c r="B1465" s="11"/>
      <c r="C1465" s="24"/>
      <c r="D1465" s="31" t="str">
        <f aca="false">IF(C1465="","",IF(LEN(UPPER(SUBSTITUTE(SUBSTITUTE(SUBSTITUTE(SUBSTITUTE(TRIM(C1465),".",""),"/",""),"-","")," ","")))&lt;14,RIGHT(REPT("0",14)&amp;UPPER(SUBSTITUTE(SUBSTITUTE(SUBSTITUTE(SUBSTITUTE(TRIM(C1465),".",""),"/",""),"-","")," ","")),14),UPPER(SUBSTITUTE(SUBSTITUTE(SUBSTITUTE(SUBSTITUTE(TRIM(C1465),".",""),"/",""),"-","")," ",""))))</f>
        <v/>
      </c>
      <c r="E1465" s="25" t="str">
        <f aca="false">IF(D1465="","",IFERROR(INDEX(Empresas!$C:$C,MATCH(D1465,Empresas!$B:$B,0)),"cadastre o CNPJ em Empresas"))</f>
        <v/>
      </c>
      <c r="F1465" s="23"/>
      <c r="G1465" s="35"/>
      <c r="H1465" s="24"/>
      <c r="I1465" s="11"/>
      <c r="J1465" s="27" t="str">
        <f aca="false">IF(A1465="","",YEAR(A1465))</f>
        <v/>
      </c>
      <c r="K1465" s="24"/>
      <c r="L1465" s="11"/>
    </row>
    <row r="1466" customFormat="false" ht="15" hidden="false" customHeight="false" outlineLevel="0" collapsed="false">
      <c r="A1466" s="22"/>
      <c r="B1466" s="11"/>
      <c r="C1466" s="24"/>
      <c r="D1466" s="31" t="str">
        <f aca="false">IF(C1466="","",IF(LEN(UPPER(SUBSTITUTE(SUBSTITUTE(SUBSTITUTE(SUBSTITUTE(TRIM(C1466),".",""),"/",""),"-","")," ","")))&lt;14,RIGHT(REPT("0",14)&amp;UPPER(SUBSTITUTE(SUBSTITUTE(SUBSTITUTE(SUBSTITUTE(TRIM(C1466),".",""),"/",""),"-","")," ","")),14),UPPER(SUBSTITUTE(SUBSTITUTE(SUBSTITUTE(SUBSTITUTE(TRIM(C1466),".",""),"/",""),"-","")," ",""))))</f>
        <v/>
      </c>
      <c r="E1466" s="25" t="str">
        <f aca="false">IF(D1466="","",IFERROR(INDEX(Empresas!$C:$C,MATCH(D1466,Empresas!$B:$B,0)),"cadastre o CNPJ em Empresas"))</f>
        <v/>
      </c>
      <c r="F1466" s="23"/>
      <c r="G1466" s="35"/>
      <c r="H1466" s="24"/>
      <c r="I1466" s="11"/>
      <c r="J1466" s="27" t="str">
        <f aca="false">IF(A1466="","",YEAR(A1466))</f>
        <v/>
      </c>
      <c r="K1466" s="24"/>
      <c r="L1466" s="11"/>
    </row>
    <row r="1467" customFormat="false" ht="15" hidden="false" customHeight="false" outlineLevel="0" collapsed="false">
      <c r="A1467" s="22"/>
      <c r="B1467" s="11"/>
      <c r="C1467" s="24"/>
      <c r="D1467" s="31" t="str">
        <f aca="false">IF(C1467="","",IF(LEN(UPPER(SUBSTITUTE(SUBSTITUTE(SUBSTITUTE(SUBSTITUTE(TRIM(C1467),".",""),"/",""),"-","")," ","")))&lt;14,RIGHT(REPT("0",14)&amp;UPPER(SUBSTITUTE(SUBSTITUTE(SUBSTITUTE(SUBSTITUTE(TRIM(C1467),".",""),"/",""),"-","")," ","")),14),UPPER(SUBSTITUTE(SUBSTITUTE(SUBSTITUTE(SUBSTITUTE(TRIM(C1467),".",""),"/",""),"-","")," ",""))))</f>
        <v/>
      </c>
      <c r="E1467" s="25" t="str">
        <f aca="false">IF(D1467="","",IFERROR(INDEX(Empresas!$C:$C,MATCH(D1467,Empresas!$B:$B,0)),"cadastre o CNPJ em Empresas"))</f>
        <v/>
      </c>
      <c r="F1467" s="23"/>
      <c r="G1467" s="35"/>
      <c r="H1467" s="24"/>
      <c r="I1467" s="11"/>
      <c r="J1467" s="27" t="str">
        <f aca="false">IF(A1467="","",YEAR(A1467))</f>
        <v/>
      </c>
      <c r="K1467" s="24"/>
      <c r="L1467" s="11"/>
    </row>
    <row r="1468" customFormat="false" ht="15" hidden="false" customHeight="false" outlineLevel="0" collapsed="false">
      <c r="A1468" s="22"/>
      <c r="B1468" s="11"/>
      <c r="C1468" s="24"/>
      <c r="D1468" s="31" t="str">
        <f aca="false">IF(C1468="","",IF(LEN(UPPER(SUBSTITUTE(SUBSTITUTE(SUBSTITUTE(SUBSTITUTE(TRIM(C1468),".",""),"/",""),"-","")," ","")))&lt;14,RIGHT(REPT("0",14)&amp;UPPER(SUBSTITUTE(SUBSTITUTE(SUBSTITUTE(SUBSTITUTE(TRIM(C1468),".",""),"/",""),"-","")," ","")),14),UPPER(SUBSTITUTE(SUBSTITUTE(SUBSTITUTE(SUBSTITUTE(TRIM(C1468),".",""),"/",""),"-","")," ",""))))</f>
        <v/>
      </c>
      <c r="E1468" s="25" t="str">
        <f aca="false">IF(D1468="","",IFERROR(INDEX(Empresas!$C:$C,MATCH(D1468,Empresas!$B:$B,0)),"cadastre o CNPJ em Empresas"))</f>
        <v/>
      </c>
      <c r="F1468" s="23"/>
      <c r="G1468" s="35"/>
      <c r="H1468" s="24"/>
      <c r="I1468" s="11"/>
      <c r="J1468" s="27" t="str">
        <f aca="false">IF(A1468="","",YEAR(A1468))</f>
        <v/>
      </c>
      <c r="K1468" s="24"/>
      <c r="L1468" s="11"/>
    </row>
    <row r="1469" customFormat="false" ht="15" hidden="false" customHeight="false" outlineLevel="0" collapsed="false">
      <c r="A1469" s="22"/>
      <c r="B1469" s="11"/>
      <c r="C1469" s="24"/>
      <c r="D1469" s="31" t="str">
        <f aca="false">IF(C1469="","",IF(LEN(UPPER(SUBSTITUTE(SUBSTITUTE(SUBSTITUTE(SUBSTITUTE(TRIM(C1469),".",""),"/",""),"-","")," ","")))&lt;14,RIGHT(REPT("0",14)&amp;UPPER(SUBSTITUTE(SUBSTITUTE(SUBSTITUTE(SUBSTITUTE(TRIM(C1469),".",""),"/",""),"-","")," ","")),14),UPPER(SUBSTITUTE(SUBSTITUTE(SUBSTITUTE(SUBSTITUTE(TRIM(C1469),".",""),"/",""),"-","")," ",""))))</f>
        <v/>
      </c>
      <c r="E1469" s="25" t="str">
        <f aca="false">IF(D1469="","",IFERROR(INDEX(Empresas!$C:$C,MATCH(D1469,Empresas!$B:$B,0)),"cadastre o CNPJ em Empresas"))</f>
        <v/>
      </c>
      <c r="F1469" s="23"/>
      <c r="G1469" s="35"/>
      <c r="H1469" s="24"/>
      <c r="I1469" s="11"/>
      <c r="J1469" s="27" t="str">
        <f aca="false">IF(A1469="","",YEAR(A1469))</f>
        <v/>
      </c>
      <c r="K1469" s="24"/>
      <c r="L1469" s="11"/>
    </row>
    <row r="1470" customFormat="false" ht="15" hidden="false" customHeight="false" outlineLevel="0" collapsed="false">
      <c r="A1470" s="22"/>
      <c r="B1470" s="11"/>
      <c r="C1470" s="24"/>
      <c r="D1470" s="31" t="str">
        <f aca="false">IF(C1470="","",IF(LEN(UPPER(SUBSTITUTE(SUBSTITUTE(SUBSTITUTE(SUBSTITUTE(TRIM(C1470),".",""),"/",""),"-","")," ","")))&lt;14,RIGHT(REPT("0",14)&amp;UPPER(SUBSTITUTE(SUBSTITUTE(SUBSTITUTE(SUBSTITUTE(TRIM(C1470),".",""),"/",""),"-","")," ","")),14),UPPER(SUBSTITUTE(SUBSTITUTE(SUBSTITUTE(SUBSTITUTE(TRIM(C1470),".",""),"/",""),"-","")," ",""))))</f>
        <v/>
      </c>
      <c r="E1470" s="25" t="str">
        <f aca="false">IF(D1470="","",IFERROR(INDEX(Empresas!$C:$C,MATCH(D1470,Empresas!$B:$B,0)),"cadastre o CNPJ em Empresas"))</f>
        <v/>
      </c>
      <c r="F1470" s="23"/>
      <c r="G1470" s="35"/>
      <c r="H1470" s="24"/>
      <c r="I1470" s="11"/>
      <c r="J1470" s="27" t="str">
        <f aca="false">IF(A1470="","",YEAR(A1470))</f>
        <v/>
      </c>
      <c r="K1470" s="24"/>
      <c r="L1470" s="11"/>
    </row>
    <row r="1471" customFormat="false" ht="15" hidden="false" customHeight="false" outlineLevel="0" collapsed="false">
      <c r="A1471" s="22"/>
      <c r="B1471" s="11"/>
      <c r="C1471" s="24"/>
      <c r="D1471" s="31" t="str">
        <f aca="false">IF(C1471="","",IF(LEN(UPPER(SUBSTITUTE(SUBSTITUTE(SUBSTITUTE(SUBSTITUTE(TRIM(C1471),".",""),"/",""),"-","")," ","")))&lt;14,RIGHT(REPT("0",14)&amp;UPPER(SUBSTITUTE(SUBSTITUTE(SUBSTITUTE(SUBSTITUTE(TRIM(C1471),".",""),"/",""),"-","")," ","")),14),UPPER(SUBSTITUTE(SUBSTITUTE(SUBSTITUTE(SUBSTITUTE(TRIM(C1471),".",""),"/",""),"-","")," ",""))))</f>
        <v/>
      </c>
      <c r="E1471" s="25" t="str">
        <f aca="false">IF(D1471="","",IFERROR(INDEX(Empresas!$C:$C,MATCH(D1471,Empresas!$B:$B,0)),"cadastre o CNPJ em Empresas"))</f>
        <v/>
      </c>
      <c r="F1471" s="23"/>
      <c r="G1471" s="35"/>
      <c r="H1471" s="24"/>
      <c r="I1471" s="11"/>
      <c r="J1471" s="27" t="str">
        <f aca="false">IF(A1471="","",YEAR(A1471))</f>
        <v/>
      </c>
      <c r="K1471" s="24"/>
      <c r="L1471" s="11"/>
    </row>
    <row r="1472" customFormat="false" ht="15" hidden="false" customHeight="false" outlineLevel="0" collapsed="false">
      <c r="A1472" s="22"/>
      <c r="B1472" s="11"/>
      <c r="C1472" s="24"/>
      <c r="D1472" s="31" t="str">
        <f aca="false">IF(C1472="","",IF(LEN(UPPER(SUBSTITUTE(SUBSTITUTE(SUBSTITUTE(SUBSTITUTE(TRIM(C1472),".",""),"/",""),"-","")," ","")))&lt;14,RIGHT(REPT("0",14)&amp;UPPER(SUBSTITUTE(SUBSTITUTE(SUBSTITUTE(SUBSTITUTE(TRIM(C1472),".",""),"/",""),"-","")," ","")),14),UPPER(SUBSTITUTE(SUBSTITUTE(SUBSTITUTE(SUBSTITUTE(TRIM(C1472),".",""),"/",""),"-","")," ",""))))</f>
        <v/>
      </c>
      <c r="E1472" s="25" t="str">
        <f aca="false">IF(D1472="","",IFERROR(INDEX(Empresas!$C:$C,MATCH(D1472,Empresas!$B:$B,0)),"cadastre o CNPJ em Empresas"))</f>
        <v/>
      </c>
      <c r="F1472" s="23"/>
      <c r="G1472" s="35"/>
      <c r="H1472" s="24"/>
      <c r="I1472" s="11"/>
      <c r="J1472" s="27" t="str">
        <f aca="false">IF(A1472="","",YEAR(A1472))</f>
        <v/>
      </c>
      <c r="K1472" s="24"/>
      <c r="L1472" s="11"/>
    </row>
    <row r="1473" customFormat="false" ht="15" hidden="false" customHeight="false" outlineLevel="0" collapsed="false">
      <c r="A1473" s="22"/>
      <c r="B1473" s="11"/>
      <c r="C1473" s="24"/>
      <c r="D1473" s="31" t="str">
        <f aca="false">IF(C1473="","",IF(LEN(UPPER(SUBSTITUTE(SUBSTITUTE(SUBSTITUTE(SUBSTITUTE(TRIM(C1473),".",""),"/",""),"-","")," ","")))&lt;14,RIGHT(REPT("0",14)&amp;UPPER(SUBSTITUTE(SUBSTITUTE(SUBSTITUTE(SUBSTITUTE(TRIM(C1473),".",""),"/",""),"-","")," ","")),14),UPPER(SUBSTITUTE(SUBSTITUTE(SUBSTITUTE(SUBSTITUTE(TRIM(C1473),".",""),"/",""),"-","")," ",""))))</f>
        <v/>
      </c>
      <c r="E1473" s="25" t="str">
        <f aca="false">IF(D1473="","",IFERROR(INDEX(Empresas!$C:$C,MATCH(D1473,Empresas!$B:$B,0)),"cadastre o CNPJ em Empresas"))</f>
        <v/>
      </c>
      <c r="F1473" s="23"/>
      <c r="G1473" s="35"/>
      <c r="H1473" s="24"/>
      <c r="I1473" s="11"/>
      <c r="J1473" s="27" t="str">
        <f aca="false">IF(A1473="","",YEAR(A1473))</f>
        <v/>
      </c>
      <c r="K1473" s="24"/>
      <c r="L1473" s="11"/>
    </row>
    <row r="1474" customFormat="false" ht="15" hidden="false" customHeight="false" outlineLevel="0" collapsed="false">
      <c r="A1474" s="22"/>
      <c r="B1474" s="11"/>
      <c r="C1474" s="24"/>
      <c r="D1474" s="31" t="str">
        <f aca="false">IF(C1474="","",IF(LEN(UPPER(SUBSTITUTE(SUBSTITUTE(SUBSTITUTE(SUBSTITUTE(TRIM(C1474),".",""),"/",""),"-","")," ","")))&lt;14,RIGHT(REPT("0",14)&amp;UPPER(SUBSTITUTE(SUBSTITUTE(SUBSTITUTE(SUBSTITUTE(TRIM(C1474),".",""),"/",""),"-","")," ","")),14),UPPER(SUBSTITUTE(SUBSTITUTE(SUBSTITUTE(SUBSTITUTE(TRIM(C1474),".",""),"/",""),"-","")," ",""))))</f>
        <v/>
      </c>
      <c r="E1474" s="25" t="str">
        <f aca="false">IF(D1474="","",IFERROR(INDEX(Empresas!$C:$C,MATCH(D1474,Empresas!$B:$B,0)),"cadastre o CNPJ em Empresas"))</f>
        <v/>
      </c>
      <c r="F1474" s="23"/>
      <c r="G1474" s="35"/>
      <c r="H1474" s="24"/>
      <c r="I1474" s="11"/>
      <c r="J1474" s="27" t="str">
        <f aca="false">IF(A1474="","",YEAR(A1474))</f>
        <v/>
      </c>
      <c r="K1474" s="24"/>
      <c r="L1474" s="11"/>
    </row>
    <row r="1475" customFormat="false" ht="15" hidden="false" customHeight="false" outlineLevel="0" collapsed="false">
      <c r="A1475" s="22"/>
      <c r="B1475" s="11"/>
      <c r="C1475" s="24"/>
      <c r="D1475" s="31" t="str">
        <f aca="false">IF(C1475="","",IF(LEN(UPPER(SUBSTITUTE(SUBSTITUTE(SUBSTITUTE(SUBSTITUTE(TRIM(C1475),".",""),"/",""),"-","")," ","")))&lt;14,RIGHT(REPT("0",14)&amp;UPPER(SUBSTITUTE(SUBSTITUTE(SUBSTITUTE(SUBSTITUTE(TRIM(C1475),".",""),"/",""),"-","")," ","")),14),UPPER(SUBSTITUTE(SUBSTITUTE(SUBSTITUTE(SUBSTITUTE(TRIM(C1475),".",""),"/",""),"-","")," ",""))))</f>
        <v/>
      </c>
      <c r="E1475" s="25" t="str">
        <f aca="false">IF(D1475="","",IFERROR(INDEX(Empresas!$C:$C,MATCH(D1475,Empresas!$B:$B,0)),"cadastre o CNPJ em Empresas"))</f>
        <v/>
      </c>
      <c r="F1475" s="23"/>
      <c r="G1475" s="35"/>
      <c r="H1475" s="24"/>
      <c r="I1475" s="11"/>
      <c r="J1475" s="27" t="str">
        <f aca="false">IF(A1475="","",YEAR(A1475))</f>
        <v/>
      </c>
      <c r="K1475" s="24"/>
      <c r="L1475" s="11"/>
    </row>
    <row r="1476" customFormat="false" ht="15" hidden="false" customHeight="false" outlineLevel="0" collapsed="false">
      <c r="A1476" s="22"/>
      <c r="B1476" s="11"/>
      <c r="C1476" s="24"/>
      <c r="D1476" s="31" t="str">
        <f aca="false">IF(C1476="","",IF(LEN(UPPER(SUBSTITUTE(SUBSTITUTE(SUBSTITUTE(SUBSTITUTE(TRIM(C1476),".",""),"/",""),"-","")," ","")))&lt;14,RIGHT(REPT("0",14)&amp;UPPER(SUBSTITUTE(SUBSTITUTE(SUBSTITUTE(SUBSTITUTE(TRIM(C1476),".",""),"/",""),"-","")," ","")),14),UPPER(SUBSTITUTE(SUBSTITUTE(SUBSTITUTE(SUBSTITUTE(TRIM(C1476),".",""),"/",""),"-","")," ",""))))</f>
        <v/>
      </c>
      <c r="E1476" s="25" t="str">
        <f aca="false">IF(D1476="","",IFERROR(INDEX(Empresas!$C:$C,MATCH(D1476,Empresas!$B:$B,0)),"cadastre o CNPJ em Empresas"))</f>
        <v/>
      </c>
      <c r="F1476" s="23"/>
      <c r="G1476" s="35"/>
      <c r="H1476" s="24"/>
      <c r="I1476" s="11"/>
      <c r="J1476" s="27" t="str">
        <f aca="false">IF(A1476="","",YEAR(A1476))</f>
        <v/>
      </c>
      <c r="K1476" s="24"/>
      <c r="L1476" s="11"/>
    </row>
    <row r="1477" customFormat="false" ht="15" hidden="false" customHeight="false" outlineLevel="0" collapsed="false">
      <c r="A1477" s="22"/>
      <c r="B1477" s="11"/>
      <c r="C1477" s="24"/>
      <c r="D1477" s="31" t="str">
        <f aca="false">IF(C1477="","",IF(LEN(UPPER(SUBSTITUTE(SUBSTITUTE(SUBSTITUTE(SUBSTITUTE(TRIM(C1477),".",""),"/",""),"-","")," ","")))&lt;14,RIGHT(REPT("0",14)&amp;UPPER(SUBSTITUTE(SUBSTITUTE(SUBSTITUTE(SUBSTITUTE(TRIM(C1477),".",""),"/",""),"-","")," ","")),14),UPPER(SUBSTITUTE(SUBSTITUTE(SUBSTITUTE(SUBSTITUTE(TRIM(C1477),".",""),"/",""),"-","")," ",""))))</f>
        <v/>
      </c>
      <c r="E1477" s="25" t="str">
        <f aca="false">IF(D1477="","",IFERROR(INDEX(Empresas!$C:$C,MATCH(D1477,Empresas!$B:$B,0)),"cadastre o CNPJ em Empresas"))</f>
        <v/>
      </c>
      <c r="F1477" s="23"/>
      <c r="G1477" s="35"/>
      <c r="H1477" s="24"/>
      <c r="I1477" s="11"/>
      <c r="J1477" s="27" t="str">
        <f aca="false">IF(A1477="","",YEAR(A1477))</f>
        <v/>
      </c>
      <c r="K1477" s="24"/>
      <c r="L1477" s="11"/>
    </row>
    <row r="1478" customFormat="false" ht="15" hidden="false" customHeight="false" outlineLevel="0" collapsed="false">
      <c r="A1478" s="22"/>
      <c r="B1478" s="11"/>
      <c r="C1478" s="24"/>
      <c r="D1478" s="31" t="str">
        <f aca="false">IF(C1478="","",IF(LEN(UPPER(SUBSTITUTE(SUBSTITUTE(SUBSTITUTE(SUBSTITUTE(TRIM(C1478),".",""),"/",""),"-","")," ","")))&lt;14,RIGHT(REPT("0",14)&amp;UPPER(SUBSTITUTE(SUBSTITUTE(SUBSTITUTE(SUBSTITUTE(TRIM(C1478),".",""),"/",""),"-","")," ","")),14),UPPER(SUBSTITUTE(SUBSTITUTE(SUBSTITUTE(SUBSTITUTE(TRIM(C1478),".",""),"/",""),"-","")," ",""))))</f>
        <v/>
      </c>
      <c r="E1478" s="25" t="str">
        <f aca="false">IF(D1478="","",IFERROR(INDEX(Empresas!$C:$C,MATCH(D1478,Empresas!$B:$B,0)),"cadastre o CNPJ em Empresas"))</f>
        <v/>
      </c>
      <c r="F1478" s="23"/>
      <c r="G1478" s="35"/>
      <c r="H1478" s="24"/>
      <c r="I1478" s="11"/>
      <c r="J1478" s="27" t="str">
        <f aca="false">IF(A1478="","",YEAR(A1478))</f>
        <v/>
      </c>
      <c r="K1478" s="24"/>
      <c r="L1478" s="11"/>
    </row>
    <row r="1479" customFormat="false" ht="15" hidden="false" customHeight="false" outlineLevel="0" collapsed="false">
      <c r="A1479" s="22"/>
      <c r="B1479" s="11"/>
      <c r="C1479" s="24"/>
      <c r="D1479" s="31" t="str">
        <f aca="false">IF(C1479="","",IF(LEN(UPPER(SUBSTITUTE(SUBSTITUTE(SUBSTITUTE(SUBSTITUTE(TRIM(C1479),".",""),"/",""),"-","")," ","")))&lt;14,RIGHT(REPT("0",14)&amp;UPPER(SUBSTITUTE(SUBSTITUTE(SUBSTITUTE(SUBSTITUTE(TRIM(C1479),".",""),"/",""),"-","")," ","")),14),UPPER(SUBSTITUTE(SUBSTITUTE(SUBSTITUTE(SUBSTITUTE(TRIM(C1479),".",""),"/",""),"-","")," ",""))))</f>
        <v/>
      </c>
      <c r="E1479" s="25" t="str">
        <f aca="false">IF(D1479="","",IFERROR(INDEX(Empresas!$C:$C,MATCH(D1479,Empresas!$B:$B,0)),"cadastre o CNPJ em Empresas"))</f>
        <v/>
      </c>
      <c r="F1479" s="23"/>
      <c r="G1479" s="35"/>
      <c r="H1479" s="24"/>
      <c r="I1479" s="11"/>
      <c r="J1479" s="27" t="str">
        <f aca="false">IF(A1479="","",YEAR(A1479))</f>
        <v/>
      </c>
      <c r="K1479" s="24"/>
      <c r="L1479" s="11"/>
    </row>
    <row r="1480" customFormat="false" ht="15" hidden="false" customHeight="false" outlineLevel="0" collapsed="false">
      <c r="A1480" s="22"/>
      <c r="B1480" s="11"/>
      <c r="C1480" s="24"/>
      <c r="D1480" s="31" t="str">
        <f aca="false">IF(C1480="","",IF(LEN(UPPER(SUBSTITUTE(SUBSTITUTE(SUBSTITUTE(SUBSTITUTE(TRIM(C1480),".",""),"/",""),"-","")," ","")))&lt;14,RIGHT(REPT("0",14)&amp;UPPER(SUBSTITUTE(SUBSTITUTE(SUBSTITUTE(SUBSTITUTE(TRIM(C1480),".",""),"/",""),"-","")," ","")),14),UPPER(SUBSTITUTE(SUBSTITUTE(SUBSTITUTE(SUBSTITUTE(TRIM(C1480),".",""),"/",""),"-","")," ",""))))</f>
        <v/>
      </c>
      <c r="E1480" s="25" t="str">
        <f aca="false">IF(D1480="","",IFERROR(INDEX(Empresas!$C:$C,MATCH(D1480,Empresas!$B:$B,0)),"cadastre o CNPJ em Empresas"))</f>
        <v/>
      </c>
      <c r="F1480" s="23"/>
      <c r="G1480" s="35"/>
      <c r="H1480" s="24"/>
      <c r="I1480" s="11"/>
      <c r="J1480" s="27" t="str">
        <f aca="false">IF(A1480="","",YEAR(A1480))</f>
        <v/>
      </c>
      <c r="K1480" s="24"/>
      <c r="L1480" s="11"/>
    </row>
    <row r="1481" customFormat="false" ht="15" hidden="false" customHeight="false" outlineLevel="0" collapsed="false">
      <c r="A1481" s="22"/>
      <c r="B1481" s="11"/>
      <c r="C1481" s="24"/>
      <c r="D1481" s="31" t="str">
        <f aca="false">IF(C1481="","",IF(LEN(UPPER(SUBSTITUTE(SUBSTITUTE(SUBSTITUTE(SUBSTITUTE(TRIM(C1481),".",""),"/",""),"-","")," ","")))&lt;14,RIGHT(REPT("0",14)&amp;UPPER(SUBSTITUTE(SUBSTITUTE(SUBSTITUTE(SUBSTITUTE(TRIM(C1481),".",""),"/",""),"-","")," ","")),14),UPPER(SUBSTITUTE(SUBSTITUTE(SUBSTITUTE(SUBSTITUTE(TRIM(C1481),".",""),"/",""),"-","")," ",""))))</f>
        <v/>
      </c>
      <c r="E1481" s="25" t="str">
        <f aca="false">IF(D1481="","",IFERROR(INDEX(Empresas!$C:$C,MATCH(D1481,Empresas!$B:$B,0)),"cadastre o CNPJ em Empresas"))</f>
        <v/>
      </c>
      <c r="F1481" s="23"/>
      <c r="G1481" s="35"/>
      <c r="H1481" s="24"/>
      <c r="I1481" s="11"/>
      <c r="J1481" s="27" t="str">
        <f aca="false">IF(A1481="","",YEAR(A1481))</f>
        <v/>
      </c>
      <c r="K1481" s="24"/>
      <c r="L1481" s="11"/>
    </row>
    <row r="1482" customFormat="false" ht="15" hidden="false" customHeight="false" outlineLevel="0" collapsed="false">
      <c r="A1482" s="22"/>
      <c r="B1482" s="11"/>
      <c r="C1482" s="24"/>
      <c r="D1482" s="31" t="str">
        <f aca="false">IF(C1482="","",IF(LEN(UPPER(SUBSTITUTE(SUBSTITUTE(SUBSTITUTE(SUBSTITUTE(TRIM(C1482),".",""),"/",""),"-","")," ","")))&lt;14,RIGHT(REPT("0",14)&amp;UPPER(SUBSTITUTE(SUBSTITUTE(SUBSTITUTE(SUBSTITUTE(TRIM(C1482),".",""),"/",""),"-","")," ","")),14),UPPER(SUBSTITUTE(SUBSTITUTE(SUBSTITUTE(SUBSTITUTE(TRIM(C1482),".",""),"/",""),"-","")," ",""))))</f>
        <v/>
      </c>
      <c r="E1482" s="25" t="str">
        <f aca="false">IF(D1482="","",IFERROR(INDEX(Empresas!$C:$C,MATCH(D1482,Empresas!$B:$B,0)),"cadastre o CNPJ em Empresas"))</f>
        <v/>
      </c>
      <c r="F1482" s="23"/>
      <c r="G1482" s="35"/>
      <c r="H1482" s="24"/>
      <c r="I1482" s="11"/>
      <c r="J1482" s="27" t="str">
        <f aca="false">IF(A1482="","",YEAR(A1482))</f>
        <v/>
      </c>
      <c r="K1482" s="24"/>
      <c r="L1482" s="11"/>
    </row>
    <row r="1483" customFormat="false" ht="15" hidden="false" customHeight="false" outlineLevel="0" collapsed="false">
      <c r="A1483" s="22"/>
      <c r="B1483" s="11"/>
      <c r="C1483" s="24"/>
      <c r="D1483" s="31" t="str">
        <f aca="false">IF(C1483="","",IF(LEN(UPPER(SUBSTITUTE(SUBSTITUTE(SUBSTITUTE(SUBSTITUTE(TRIM(C1483),".",""),"/",""),"-","")," ","")))&lt;14,RIGHT(REPT("0",14)&amp;UPPER(SUBSTITUTE(SUBSTITUTE(SUBSTITUTE(SUBSTITUTE(TRIM(C1483),".",""),"/",""),"-","")," ","")),14),UPPER(SUBSTITUTE(SUBSTITUTE(SUBSTITUTE(SUBSTITUTE(TRIM(C1483),".",""),"/",""),"-","")," ",""))))</f>
        <v/>
      </c>
      <c r="E1483" s="25" t="str">
        <f aca="false">IF(D1483="","",IFERROR(INDEX(Empresas!$C:$C,MATCH(D1483,Empresas!$B:$B,0)),"cadastre o CNPJ em Empresas"))</f>
        <v/>
      </c>
      <c r="F1483" s="23"/>
      <c r="G1483" s="35"/>
      <c r="H1483" s="24"/>
      <c r="I1483" s="11"/>
      <c r="J1483" s="27" t="str">
        <f aca="false">IF(A1483="","",YEAR(A1483))</f>
        <v/>
      </c>
      <c r="K1483" s="24"/>
      <c r="L1483" s="11"/>
    </row>
    <row r="1484" customFormat="false" ht="15" hidden="false" customHeight="false" outlineLevel="0" collapsed="false">
      <c r="A1484" s="22"/>
      <c r="B1484" s="11"/>
      <c r="C1484" s="24"/>
      <c r="D1484" s="31" t="str">
        <f aca="false">IF(C1484="","",IF(LEN(UPPER(SUBSTITUTE(SUBSTITUTE(SUBSTITUTE(SUBSTITUTE(TRIM(C1484),".",""),"/",""),"-","")," ","")))&lt;14,RIGHT(REPT("0",14)&amp;UPPER(SUBSTITUTE(SUBSTITUTE(SUBSTITUTE(SUBSTITUTE(TRIM(C1484),".",""),"/",""),"-","")," ","")),14),UPPER(SUBSTITUTE(SUBSTITUTE(SUBSTITUTE(SUBSTITUTE(TRIM(C1484),".",""),"/",""),"-","")," ",""))))</f>
        <v/>
      </c>
      <c r="E1484" s="25" t="str">
        <f aca="false">IF(D1484="","",IFERROR(INDEX(Empresas!$C:$C,MATCH(D1484,Empresas!$B:$B,0)),"cadastre o CNPJ em Empresas"))</f>
        <v/>
      </c>
      <c r="F1484" s="23"/>
      <c r="G1484" s="35"/>
      <c r="H1484" s="24"/>
      <c r="I1484" s="11"/>
      <c r="J1484" s="27" t="str">
        <f aca="false">IF(A1484="","",YEAR(A1484))</f>
        <v/>
      </c>
      <c r="K1484" s="24"/>
      <c r="L1484" s="11"/>
    </row>
    <row r="1485" customFormat="false" ht="15" hidden="false" customHeight="false" outlineLevel="0" collapsed="false">
      <c r="A1485" s="22"/>
      <c r="B1485" s="11"/>
      <c r="C1485" s="24"/>
      <c r="D1485" s="31" t="str">
        <f aca="false">IF(C1485="","",IF(LEN(UPPER(SUBSTITUTE(SUBSTITUTE(SUBSTITUTE(SUBSTITUTE(TRIM(C1485),".",""),"/",""),"-","")," ","")))&lt;14,RIGHT(REPT("0",14)&amp;UPPER(SUBSTITUTE(SUBSTITUTE(SUBSTITUTE(SUBSTITUTE(TRIM(C1485),".",""),"/",""),"-","")," ","")),14),UPPER(SUBSTITUTE(SUBSTITUTE(SUBSTITUTE(SUBSTITUTE(TRIM(C1485),".",""),"/",""),"-","")," ",""))))</f>
        <v/>
      </c>
      <c r="E1485" s="25" t="str">
        <f aca="false">IF(D1485="","",IFERROR(INDEX(Empresas!$C:$C,MATCH(D1485,Empresas!$B:$B,0)),"cadastre o CNPJ em Empresas"))</f>
        <v/>
      </c>
      <c r="F1485" s="23"/>
      <c r="G1485" s="35"/>
      <c r="H1485" s="24"/>
      <c r="I1485" s="11"/>
      <c r="J1485" s="27" t="str">
        <f aca="false">IF(A1485="","",YEAR(A1485))</f>
        <v/>
      </c>
      <c r="K1485" s="24"/>
      <c r="L1485" s="11"/>
    </row>
    <row r="1486" customFormat="false" ht="15" hidden="false" customHeight="false" outlineLevel="0" collapsed="false">
      <c r="A1486" s="22"/>
      <c r="B1486" s="11"/>
      <c r="C1486" s="24"/>
      <c r="D1486" s="31" t="str">
        <f aca="false">IF(C1486="","",IF(LEN(UPPER(SUBSTITUTE(SUBSTITUTE(SUBSTITUTE(SUBSTITUTE(TRIM(C1486),".",""),"/",""),"-","")," ","")))&lt;14,RIGHT(REPT("0",14)&amp;UPPER(SUBSTITUTE(SUBSTITUTE(SUBSTITUTE(SUBSTITUTE(TRIM(C1486),".",""),"/",""),"-","")," ","")),14),UPPER(SUBSTITUTE(SUBSTITUTE(SUBSTITUTE(SUBSTITUTE(TRIM(C1486),".",""),"/",""),"-","")," ",""))))</f>
        <v/>
      </c>
      <c r="E1486" s="25" t="str">
        <f aca="false">IF(D1486="","",IFERROR(INDEX(Empresas!$C:$C,MATCH(D1486,Empresas!$B:$B,0)),"cadastre o CNPJ em Empresas"))</f>
        <v/>
      </c>
      <c r="F1486" s="23"/>
      <c r="G1486" s="35"/>
      <c r="H1486" s="24"/>
      <c r="I1486" s="11"/>
      <c r="J1486" s="27" t="str">
        <f aca="false">IF(A1486="","",YEAR(A1486))</f>
        <v/>
      </c>
      <c r="K1486" s="24"/>
      <c r="L1486" s="11"/>
    </row>
    <row r="1487" customFormat="false" ht="15" hidden="false" customHeight="false" outlineLevel="0" collapsed="false">
      <c r="A1487" s="22"/>
      <c r="B1487" s="11"/>
      <c r="C1487" s="24"/>
      <c r="D1487" s="31" t="str">
        <f aca="false">IF(C1487="","",IF(LEN(UPPER(SUBSTITUTE(SUBSTITUTE(SUBSTITUTE(SUBSTITUTE(TRIM(C1487),".",""),"/",""),"-","")," ","")))&lt;14,RIGHT(REPT("0",14)&amp;UPPER(SUBSTITUTE(SUBSTITUTE(SUBSTITUTE(SUBSTITUTE(TRIM(C1487),".",""),"/",""),"-","")," ","")),14),UPPER(SUBSTITUTE(SUBSTITUTE(SUBSTITUTE(SUBSTITUTE(TRIM(C1487),".",""),"/",""),"-","")," ",""))))</f>
        <v/>
      </c>
      <c r="E1487" s="25" t="str">
        <f aca="false">IF(D1487="","",IFERROR(INDEX(Empresas!$C:$C,MATCH(D1487,Empresas!$B:$B,0)),"cadastre o CNPJ em Empresas"))</f>
        <v/>
      </c>
      <c r="F1487" s="23"/>
      <c r="G1487" s="35"/>
      <c r="H1487" s="24"/>
      <c r="I1487" s="11"/>
      <c r="J1487" s="27" t="str">
        <f aca="false">IF(A1487="","",YEAR(A1487))</f>
        <v/>
      </c>
      <c r="K1487" s="24"/>
      <c r="L1487" s="11"/>
    </row>
    <row r="1488" customFormat="false" ht="15" hidden="false" customHeight="false" outlineLevel="0" collapsed="false">
      <c r="A1488" s="22"/>
      <c r="B1488" s="11"/>
      <c r="C1488" s="24"/>
      <c r="D1488" s="31" t="str">
        <f aca="false">IF(C1488="","",IF(LEN(UPPER(SUBSTITUTE(SUBSTITUTE(SUBSTITUTE(SUBSTITUTE(TRIM(C1488),".",""),"/",""),"-","")," ","")))&lt;14,RIGHT(REPT("0",14)&amp;UPPER(SUBSTITUTE(SUBSTITUTE(SUBSTITUTE(SUBSTITUTE(TRIM(C1488),".",""),"/",""),"-","")," ","")),14),UPPER(SUBSTITUTE(SUBSTITUTE(SUBSTITUTE(SUBSTITUTE(TRIM(C1488),".",""),"/",""),"-","")," ",""))))</f>
        <v/>
      </c>
      <c r="E1488" s="25" t="str">
        <f aca="false">IF(D1488="","",IFERROR(INDEX(Empresas!$C:$C,MATCH(D1488,Empresas!$B:$B,0)),"cadastre o CNPJ em Empresas"))</f>
        <v/>
      </c>
      <c r="F1488" s="23"/>
      <c r="G1488" s="35"/>
      <c r="H1488" s="24"/>
      <c r="I1488" s="11"/>
      <c r="J1488" s="27" t="str">
        <f aca="false">IF(A1488="","",YEAR(A1488))</f>
        <v/>
      </c>
      <c r="K1488" s="24"/>
      <c r="L1488" s="11"/>
    </row>
    <row r="1489" customFormat="false" ht="15" hidden="false" customHeight="false" outlineLevel="0" collapsed="false">
      <c r="A1489" s="22"/>
      <c r="B1489" s="11"/>
      <c r="C1489" s="24"/>
      <c r="D1489" s="31" t="str">
        <f aca="false">IF(C1489="","",IF(LEN(UPPER(SUBSTITUTE(SUBSTITUTE(SUBSTITUTE(SUBSTITUTE(TRIM(C1489),".",""),"/",""),"-","")," ","")))&lt;14,RIGHT(REPT("0",14)&amp;UPPER(SUBSTITUTE(SUBSTITUTE(SUBSTITUTE(SUBSTITUTE(TRIM(C1489),".",""),"/",""),"-","")," ","")),14),UPPER(SUBSTITUTE(SUBSTITUTE(SUBSTITUTE(SUBSTITUTE(TRIM(C1489),".",""),"/",""),"-","")," ",""))))</f>
        <v/>
      </c>
      <c r="E1489" s="25" t="str">
        <f aca="false">IF(D1489="","",IFERROR(INDEX(Empresas!$C:$C,MATCH(D1489,Empresas!$B:$B,0)),"cadastre o CNPJ em Empresas"))</f>
        <v/>
      </c>
      <c r="F1489" s="23"/>
      <c r="G1489" s="35"/>
      <c r="H1489" s="24"/>
      <c r="I1489" s="11"/>
      <c r="J1489" s="27" t="str">
        <f aca="false">IF(A1489="","",YEAR(A1489))</f>
        <v/>
      </c>
      <c r="K1489" s="24"/>
      <c r="L1489" s="11"/>
    </row>
    <row r="1490" customFormat="false" ht="15" hidden="false" customHeight="false" outlineLevel="0" collapsed="false">
      <c r="A1490" s="22"/>
      <c r="B1490" s="11"/>
      <c r="C1490" s="24"/>
      <c r="D1490" s="31" t="str">
        <f aca="false">IF(C1490="","",IF(LEN(UPPER(SUBSTITUTE(SUBSTITUTE(SUBSTITUTE(SUBSTITUTE(TRIM(C1490),".",""),"/",""),"-","")," ","")))&lt;14,RIGHT(REPT("0",14)&amp;UPPER(SUBSTITUTE(SUBSTITUTE(SUBSTITUTE(SUBSTITUTE(TRIM(C1490),".",""),"/",""),"-","")," ","")),14),UPPER(SUBSTITUTE(SUBSTITUTE(SUBSTITUTE(SUBSTITUTE(TRIM(C1490),".",""),"/",""),"-","")," ",""))))</f>
        <v/>
      </c>
      <c r="E1490" s="25" t="str">
        <f aca="false">IF(D1490="","",IFERROR(INDEX(Empresas!$C:$C,MATCH(D1490,Empresas!$B:$B,0)),"cadastre o CNPJ em Empresas"))</f>
        <v/>
      </c>
      <c r="F1490" s="23"/>
      <c r="G1490" s="35"/>
      <c r="H1490" s="24"/>
      <c r="I1490" s="11"/>
      <c r="J1490" s="27" t="str">
        <f aca="false">IF(A1490="","",YEAR(A1490))</f>
        <v/>
      </c>
      <c r="K1490" s="24"/>
      <c r="L1490" s="11"/>
    </row>
    <row r="1491" customFormat="false" ht="15" hidden="false" customHeight="false" outlineLevel="0" collapsed="false">
      <c r="A1491" s="22"/>
      <c r="B1491" s="11"/>
      <c r="C1491" s="24"/>
      <c r="D1491" s="31" t="str">
        <f aca="false">IF(C1491="","",IF(LEN(UPPER(SUBSTITUTE(SUBSTITUTE(SUBSTITUTE(SUBSTITUTE(TRIM(C1491),".",""),"/",""),"-","")," ","")))&lt;14,RIGHT(REPT("0",14)&amp;UPPER(SUBSTITUTE(SUBSTITUTE(SUBSTITUTE(SUBSTITUTE(TRIM(C1491),".",""),"/",""),"-","")," ","")),14),UPPER(SUBSTITUTE(SUBSTITUTE(SUBSTITUTE(SUBSTITUTE(TRIM(C1491),".",""),"/",""),"-","")," ",""))))</f>
        <v/>
      </c>
      <c r="E1491" s="25" t="str">
        <f aca="false">IF(D1491="","",IFERROR(INDEX(Empresas!$C:$C,MATCH(D1491,Empresas!$B:$B,0)),"cadastre o CNPJ em Empresas"))</f>
        <v/>
      </c>
      <c r="F1491" s="23"/>
      <c r="G1491" s="35"/>
      <c r="H1491" s="24"/>
      <c r="I1491" s="11"/>
      <c r="J1491" s="27" t="str">
        <f aca="false">IF(A1491="","",YEAR(A1491))</f>
        <v/>
      </c>
      <c r="K1491" s="24"/>
      <c r="L1491" s="11"/>
    </row>
    <row r="1492" customFormat="false" ht="15" hidden="false" customHeight="false" outlineLevel="0" collapsed="false">
      <c r="A1492" s="22"/>
      <c r="B1492" s="11"/>
      <c r="C1492" s="24"/>
      <c r="D1492" s="31" t="str">
        <f aca="false">IF(C1492="","",IF(LEN(UPPER(SUBSTITUTE(SUBSTITUTE(SUBSTITUTE(SUBSTITUTE(TRIM(C1492),".",""),"/",""),"-","")," ","")))&lt;14,RIGHT(REPT("0",14)&amp;UPPER(SUBSTITUTE(SUBSTITUTE(SUBSTITUTE(SUBSTITUTE(TRIM(C1492),".",""),"/",""),"-","")," ","")),14),UPPER(SUBSTITUTE(SUBSTITUTE(SUBSTITUTE(SUBSTITUTE(TRIM(C1492),".",""),"/",""),"-","")," ",""))))</f>
        <v/>
      </c>
      <c r="E1492" s="25" t="str">
        <f aca="false">IF(D1492="","",IFERROR(INDEX(Empresas!$C:$C,MATCH(D1492,Empresas!$B:$B,0)),"cadastre o CNPJ em Empresas"))</f>
        <v/>
      </c>
      <c r="F1492" s="23"/>
      <c r="G1492" s="35"/>
      <c r="H1492" s="24"/>
      <c r="I1492" s="11"/>
      <c r="J1492" s="27" t="str">
        <f aca="false">IF(A1492="","",YEAR(A1492))</f>
        <v/>
      </c>
      <c r="K1492" s="24"/>
      <c r="L1492" s="11"/>
    </row>
    <row r="1493" customFormat="false" ht="15" hidden="false" customHeight="false" outlineLevel="0" collapsed="false">
      <c r="A1493" s="22"/>
      <c r="B1493" s="11"/>
      <c r="C1493" s="24"/>
      <c r="D1493" s="31" t="str">
        <f aca="false">IF(C1493="","",IF(LEN(UPPER(SUBSTITUTE(SUBSTITUTE(SUBSTITUTE(SUBSTITUTE(TRIM(C1493),".",""),"/",""),"-","")," ","")))&lt;14,RIGHT(REPT("0",14)&amp;UPPER(SUBSTITUTE(SUBSTITUTE(SUBSTITUTE(SUBSTITUTE(TRIM(C1493),".",""),"/",""),"-","")," ","")),14),UPPER(SUBSTITUTE(SUBSTITUTE(SUBSTITUTE(SUBSTITUTE(TRIM(C1493),".",""),"/",""),"-","")," ",""))))</f>
        <v/>
      </c>
      <c r="E1493" s="25" t="str">
        <f aca="false">IF(D1493="","",IFERROR(INDEX(Empresas!$C:$C,MATCH(D1493,Empresas!$B:$B,0)),"cadastre o CNPJ em Empresas"))</f>
        <v/>
      </c>
      <c r="F1493" s="23"/>
      <c r="G1493" s="35"/>
      <c r="H1493" s="24"/>
      <c r="I1493" s="11"/>
      <c r="J1493" s="27" t="str">
        <f aca="false">IF(A1493="","",YEAR(A1493))</f>
        <v/>
      </c>
      <c r="K1493" s="24"/>
      <c r="L1493" s="11"/>
    </row>
    <row r="1494" customFormat="false" ht="15" hidden="false" customHeight="false" outlineLevel="0" collapsed="false">
      <c r="A1494" s="22"/>
      <c r="B1494" s="11"/>
      <c r="C1494" s="24"/>
      <c r="D1494" s="31" t="str">
        <f aca="false">IF(C1494="","",IF(LEN(UPPER(SUBSTITUTE(SUBSTITUTE(SUBSTITUTE(SUBSTITUTE(TRIM(C1494),".",""),"/",""),"-","")," ","")))&lt;14,RIGHT(REPT("0",14)&amp;UPPER(SUBSTITUTE(SUBSTITUTE(SUBSTITUTE(SUBSTITUTE(TRIM(C1494),".",""),"/",""),"-","")," ","")),14),UPPER(SUBSTITUTE(SUBSTITUTE(SUBSTITUTE(SUBSTITUTE(TRIM(C1494),".",""),"/",""),"-","")," ",""))))</f>
        <v/>
      </c>
      <c r="E1494" s="25" t="str">
        <f aca="false">IF(D1494="","",IFERROR(INDEX(Empresas!$C:$C,MATCH(D1494,Empresas!$B:$B,0)),"cadastre o CNPJ em Empresas"))</f>
        <v/>
      </c>
      <c r="F1494" s="23"/>
      <c r="G1494" s="35"/>
      <c r="H1494" s="24"/>
      <c r="I1494" s="11"/>
      <c r="J1494" s="27" t="str">
        <f aca="false">IF(A1494="","",YEAR(A1494))</f>
        <v/>
      </c>
      <c r="K1494" s="24"/>
      <c r="L1494" s="11"/>
    </row>
    <row r="1495" customFormat="false" ht="15" hidden="false" customHeight="false" outlineLevel="0" collapsed="false">
      <c r="A1495" s="22"/>
      <c r="B1495" s="11"/>
      <c r="C1495" s="24"/>
      <c r="D1495" s="31" t="str">
        <f aca="false">IF(C1495="","",IF(LEN(UPPER(SUBSTITUTE(SUBSTITUTE(SUBSTITUTE(SUBSTITUTE(TRIM(C1495),".",""),"/",""),"-","")," ","")))&lt;14,RIGHT(REPT("0",14)&amp;UPPER(SUBSTITUTE(SUBSTITUTE(SUBSTITUTE(SUBSTITUTE(TRIM(C1495),".",""),"/",""),"-","")," ","")),14),UPPER(SUBSTITUTE(SUBSTITUTE(SUBSTITUTE(SUBSTITUTE(TRIM(C1495),".",""),"/",""),"-","")," ",""))))</f>
        <v/>
      </c>
      <c r="E1495" s="25" t="str">
        <f aca="false">IF(D1495="","",IFERROR(INDEX(Empresas!$C:$C,MATCH(D1495,Empresas!$B:$B,0)),"cadastre o CNPJ em Empresas"))</f>
        <v/>
      </c>
      <c r="F1495" s="23"/>
      <c r="G1495" s="35"/>
      <c r="H1495" s="24"/>
      <c r="I1495" s="11"/>
      <c r="J1495" s="27" t="str">
        <f aca="false">IF(A1495="","",YEAR(A1495))</f>
        <v/>
      </c>
      <c r="K1495" s="24"/>
      <c r="L1495" s="11"/>
    </row>
    <row r="1496" customFormat="false" ht="15" hidden="false" customHeight="false" outlineLevel="0" collapsed="false">
      <c r="A1496" s="22"/>
      <c r="B1496" s="11"/>
      <c r="C1496" s="24"/>
      <c r="D1496" s="31" t="str">
        <f aca="false">IF(C1496="","",IF(LEN(UPPER(SUBSTITUTE(SUBSTITUTE(SUBSTITUTE(SUBSTITUTE(TRIM(C1496),".",""),"/",""),"-","")," ","")))&lt;14,RIGHT(REPT("0",14)&amp;UPPER(SUBSTITUTE(SUBSTITUTE(SUBSTITUTE(SUBSTITUTE(TRIM(C1496),".",""),"/",""),"-","")," ","")),14),UPPER(SUBSTITUTE(SUBSTITUTE(SUBSTITUTE(SUBSTITUTE(TRIM(C1496),".",""),"/",""),"-","")," ",""))))</f>
        <v/>
      </c>
      <c r="E1496" s="25" t="str">
        <f aca="false">IF(D1496="","",IFERROR(INDEX(Empresas!$C:$C,MATCH(D1496,Empresas!$B:$B,0)),"cadastre o CNPJ em Empresas"))</f>
        <v/>
      </c>
      <c r="F1496" s="23"/>
      <c r="G1496" s="35"/>
      <c r="H1496" s="24"/>
      <c r="I1496" s="11"/>
      <c r="J1496" s="27" t="str">
        <f aca="false">IF(A1496="","",YEAR(A1496))</f>
        <v/>
      </c>
      <c r="K1496" s="24"/>
      <c r="L1496" s="11"/>
    </row>
    <row r="1497" customFormat="false" ht="15" hidden="false" customHeight="false" outlineLevel="0" collapsed="false">
      <c r="A1497" s="22"/>
      <c r="B1497" s="11"/>
      <c r="C1497" s="24"/>
      <c r="D1497" s="31" t="str">
        <f aca="false">IF(C1497="","",IF(LEN(UPPER(SUBSTITUTE(SUBSTITUTE(SUBSTITUTE(SUBSTITUTE(TRIM(C1497),".",""),"/",""),"-","")," ","")))&lt;14,RIGHT(REPT("0",14)&amp;UPPER(SUBSTITUTE(SUBSTITUTE(SUBSTITUTE(SUBSTITUTE(TRIM(C1497),".",""),"/",""),"-","")," ","")),14),UPPER(SUBSTITUTE(SUBSTITUTE(SUBSTITUTE(SUBSTITUTE(TRIM(C1497),".",""),"/",""),"-","")," ",""))))</f>
        <v/>
      </c>
      <c r="E1497" s="25" t="str">
        <f aca="false">IF(D1497="","",IFERROR(INDEX(Empresas!$C:$C,MATCH(D1497,Empresas!$B:$B,0)),"cadastre o CNPJ em Empresas"))</f>
        <v/>
      </c>
      <c r="F1497" s="23"/>
      <c r="G1497" s="35"/>
      <c r="H1497" s="24"/>
      <c r="I1497" s="11"/>
      <c r="J1497" s="27" t="str">
        <f aca="false">IF(A1497="","",YEAR(A1497))</f>
        <v/>
      </c>
      <c r="K1497" s="24"/>
      <c r="L1497" s="11"/>
    </row>
    <row r="1498" customFormat="false" ht="15" hidden="false" customHeight="false" outlineLevel="0" collapsed="false">
      <c r="A1498" s="22"/>
      <c r="B1498" s="11"/>
      <c r="C1498" s="24"/>
      <c r="D1498" s="31" t="str">
        <f aca="false">IF(C1498="","",IF(LEN(UPPER(SUBSTITUTE(SUBSTITUTE(SUBSTITUTE(SUBSTITUTE(TRIM(C1498),".",""),"/",""),"-","")," ","")))&lt;14,RIGHT(REPT("0",14)&amp;UPPER(SUBSTITUTE(SUBSTITUTE(SUBSTITUTE(SUBSTITUTE(TRIM(C1498),".",""),"/",""),"-","")," ","")),14),UPPER(SUBSTITUTE(SUBSTITUTE(SUBSTITUTE(SUBSTITUTE(TRIM(C1498),".",""),"/",""),"-","")," ",""))))</f>
        <v/>
      </c>
      <c r="E1498" s="25" t="str">
        <f aca="false">IF(D1498="","",IFERROR(INDEX(Empresas!$C:$C,MATCH(D1498,Empresas!$B:$B,0)),"cadastre o CNPJ em Empresas"))</f>
        <v/>
      </c>
      <c r="F1498" s="23"/>
      <c r="G1498" s="35"/>
      <c r="H1498" s="24"/>
      <c r="I1498" s="11"/>
      <c r="J1498" s="27" t="str">
        <f aca="false">IF(A1498="","",YEAR(A1498))</f>
        <v/>
      </c>
      <c r="K1498" s="24"/>
      <c r="L1498" s="11"/>
    </row>
    <row r="1499" customFormat="false" ht="15" hidden="false" customHeight="false" outlineLevel="0" collapsed="false">
      <c r="A1499" s="22"/>
      <c r="B1499" s="11"/>
      <c r="C1499" s="24"/>
      <c r="D1499" s="31" t="str">
        <f aca="false">IF(C1499="","",IF(LEN(UPPER(SUBSTITUTE(SUBSTITUTE(SUBSTITUTE(SUBSTITUTE(TRIM(C1499),".",""),"/",""),"-","")," ","")))&lt;14,RIGHT(REPT("0",14)&amp;UPPER(SUBSTITUTE(SUBSTITUTE(SUBSTITUTE(SUBSTITUTE(TRIM(C1499),".",""),"/",""),"-","")," ","")),14),UPPER(SUBSTITUTE(SUBSTITUTE(SUBSTITUTE(SUBSTITUTE(TRIM(C1499),".",""),"/",""),"-","")," ",""))))</f>
        <v/>
      </c>
      <c r="E1499" s="25" t="str">
        <f aca="false">IF(D1499="","",IFERROR(INDEX(Empresas!$C:$C,MATCH(D1499,Empresas!$B:$B,0)),"cadastre o CNPJ em Empresas"))</f>
        <v/>
      </c>
      <c r="F1499" s="23"/>
      <c r="G1499" s="35"/>
      <c r="H1499" s="24"/>
      <c r="I1499" s="11"/>
      <c r="J1499" s="27" t="str">
        <f aca="false">IF(A1499="","",YEAR(A1499))</f>
        <v/>
      </c>
      <c r="K1499" s="24"/>
      <c r="L1499" s="11"/>
    </row>
    <row r="1500" customFormat="false" ht="15" hidden="false" customHeight="false" outlineLevel="0" collapsed="false">
      <c r="A1500" s="22"/>
      <c r="B1500" s="11"/>
      <c r="C1500" s="24"/>
      <c r="D1500" s="31" t="str">
        <f aca="false">IF(C1500="","",IF(LEN(UPPER(SUBSTITUTE(SUBSTITUTE(SUBSTITUTE(SUBSTITUTE(TRIM(C1500),".",""),"/",""),"-","")," ","")))&lt;14,RIGHT(REPT("0",14)&amp;UPPER(SUBSTITUTE(SUBSTITUTE(SUBSTITUTE(SUBSTITUTE(TRIM(C1500),".",""),"/",""),"-","")," ","")),14),UPPER(SUBSTITUTE(SUBSTITUTE(SUBSTITUTE(SUBSTITUTE(TRIM(C1500),".",""),"/",""),"-","")," ",""))))</f>
        <v/>
      </c>
      <c r="E1500" s="25" t="str">
        <f aca="false">IF(D1500="","",IFERROR(INDEX(Empresas!$C:$C,MATCH(D1500,Empresas!$B:$B,0)),"cadastre o CNPJ em Empresas"))</f>
        <v/>
      </c>
      <c r="F1500" s="23"/>
      <c r="G1500" s="35"/>
      <c r="H1500" s="24"/>
      <c r="I1500" s="11"/>
      <c r="J1500" s="27" t="str">
        <f aca="false">IF(A1500="","",YEAR(A1500))</f>
        <v/>
      </c>
      <c r="K1500" s="24"/>
      <c r="L1500" s="11"/>
    </row>
    <row r="1501" customFormat="false" ht="15" hidden="false" customHeight="false" outlineLevel="0" collapsed="false">
      <c r="A1501" s="22"/>
      <c r="B1501" s="11"/>
      <c r="C1501" s="24"/>
      <c r="D1501" s="31" t="str">
        <f aca="false">IF(C1501="","",IF(LEN(UPPER(SUBSTITUTE(SUBSTITUTE(SUBSTITUTE(SUBSTITUTE(TRIM(C1501),".",""),"/",""),"-","")," ","")))&lt;14,RIGHT(REPT("0",14)&amp;UPPER(SUBSTITUTE(SUBSTITUTE(SUBSTITUTE(SUBSTITUTE(TRIM(C1501),".",""),"/",""),"-","")," ","")),14),UPPER(SUBSTITUTE(SUBSTITUTE(SUBSTITUTE(SUBSTITUTE(TRIM(C1501),".",""),"/",""),"-","")," ",""))))</f>
        <v/>
      </c>
      <c r="E1501" s="25" t="str">
        <f aca="false">IF(D1501="","",IFERROR(INDEX(Empresas!$C:$C,MATCH(D1501,Empresas!$B:$B,0)),"cadastre o CNPJ em Empresas"))</f>
        <v/>
      </c>
      <c r="F1501" s="23"/>
      <c r="G1501" s="35"/>
      <c r="H1501" s="24"/>
      <c r="I1501" s="11"/>
      <c r="J1501" s="27" t="str">
        <f aca="false">IF(A1501="","",YEAR(A1501))</f>
        <v/>
      </c>
      <c r="K1501" s="24"/>
      <c r="L1501" s="11"/>
    </row>
    <row r="1502" customFormat="false" ht="15" hidden="false" customHeight="false" outlineLevel="0" collapsed="false">
      <c r="A1502" s="22"/>
      <c r="B1502" s="11"/>
      <c r="C1502" s="24"/>
      <c r="D1502" s="31" t="str">
        <f aca="false">IF(C1502="","",IF(LEN(UPPER(SUBSTITUTE(SUBSTITUTE(SUBSTITUTE(SUBSTITUTE(TRIM(C1502),".",""),"/",""),"-","")," ","")))&lt;14,RIGHT(REPT("0",14)&amp;UPPER(SUBSTITUTE(SUBSTITUTE(SUBSTITUTE(SUBSTITUTE(TRIM(C1502),".",""),"/",""),"-","")," ","")),14),UPPER(SUBSTITUTE(SUBSTITUTE(SUBSTITUTE(SUBSTITUTE(TRIM(C1502),".",""),"/",""),"-","")," ",""))))</f>
        <v/>
      </c>
      <c r="E1502" s="25" t="str">
        <f aca="false">IF(D1502="","",IFERROR(INDEX(Empresas!$C:$C,MATCH(D1502,Empresas!$B:$B,0)),"cadastre o CNPJ em Empresas"))</f>
        <v/>
      </c>
      <c r="F1502" s="23"/>
      <c r="G1502" s="35"/>
      <c r="H1502" s="24"/>
      <c r="I1502" s="11"/>
      <c r="J1502" s="27" t="str">
        <f aca="false">IF(A1502="","",YEAR(A1502))</f>
        <v/>
      </c>
      <c r="K1502" s="24"/>
      <c r="L1502" s="11"/>
    </row>
    <row r="1503" customFormat="false" ht="15" hidden="false" customHeight="false" outlineLevel="0" collapsed="false">
      <c r="A1503" s="22"/>
      <c r="B1503" s="11"/>
      <c r="C1503" s="24"/>
      <c r="D1503" s="31" t="str">
        <f aca="false">IF(C1503="","",IF(LEN(UPPER(SUBSTITUTE(SUBSTITUTE(SUBSTITUTE(SUBSTITUTE(TRIM(C1503),".",""),"/",""),"-","")," ","")))&lt;14,RIGHT(REPT("0",14)&amp;UPPER(SUBSTITUTE(SUBSTITUTE(SUBSTITUTE(SUBSTITUTE(TRIM(C1503),".",""),"/",""),"-","")," ","")),14),UPPER(SUBSTITUTE(SUBSTITUTE(SUBSTITUTE(SUBSTITUTE(TRIM(C1503),".",""),"/",""),"-","")," ",""))))</f>
        <v/>
      </c>
      <c r="E1503" s="25" t="str">
        <f aca="false">IF(D1503="","",IFERROR(INDEX(Empresas!$C:$C,MATCH(D1503,Empresas!$B:$B,0)),"cadastre o CNPJ em Empresas"))</f>
        <v/>
      </c>
      <c r="F1503" s="23"/>
      <c r="G1503" s="35"/>
      <c r="H1503" s="24"/>
      <c r="I1503" s="11"/>
      <c r="J1503" s="27" t="str">
        <f aca="false">IF(A1503="","",YEAR(A1503))</f>
        <v/>
      </c>
      <c r="K1503" s="24"/>
      <c r="L1503" s="11"/>
    </row>
    <row r="1504" customFormat="false" ht="15" hidden="false" customHeight="false" outlineLevel="0" collapsed="false">
      <c r="A1504" s="22"/>
      <c r="B1504" s="11"/>
      <c r="C1504" s="24"/>
      <c r="D1504" s="31" t="str">
        <f aca="false">IF(C1504="","",IF(LEN(UPPER(SUBSTITUTE(SUBSTITUTE(SUBSTITUTE(SUBSTITUTE(TRIM(C1504),".",""),"/",""),"-","")," ","")))&lt;14,RIGHT(REPT("0",14)&amp;UPPER(SUBSTITUTE(SUBSTITUTE(SUBSTITUTE(SUBSTITUTE(TRIM(C1504),".",""),"/",""),"-","")," ","")),14),UPPER(SUBSTITUTE(SUBSTITUTE(SUBSTITUTE(SUBSTITUTE(TRIM(C1504),".",""),"/",""),"-","")," ",""))))</f>
        <v/>
      </c>
      <c r="E1504" s="25" t="str">
        <f aca="false">IF(D1504="","",IFERROR(INDEX(Empresas!$C:$C,MATCH(D1504,Empresas!$B:$B,0)),"cadastre o CNPJ em Empresas"))</f>
        <v/>
      </c>
      <c r="F1504" s="23"/>
      <c r="G1504" s="35"/>
      <c r="H1504" s="24"/>
      <c r="I1504" s="11"/>
      <c r="J1504" s="27" t="str">
        <f aca="false">IF(A1504="","",YEAR(A1504))</f>
        <v/>
      </c>
      <c r="K1504" s="24"/>
      <c r="L1504" s="11"/>
    </row>
    <row r="1505" customFormat="false" ht="15" hidden="false" customHeight="false" outlineLevel="0" collapsed="false">
      <c r="A1505" s="22"/>
      <c r="B1505" s="11"/>
      <c r="C1505" s="24"/>
      <c r="D1505" s="31" t="str">
        <f aca="false">IF(C1505="","",IF(LEN(UPPER(SUBSTITUTE(SUBSTITUTE(SUBSTITUTE(SUBSTITUTE(TRIM(C1505),".",""),"/",""),"-","")," ","")))&lt;14,RIGHT(REPT("0",14)&amp;UPPER(SUBSTITUTE(SUBSTITUTE(SUBSTITUTE(SUBSTITUTE(TRIM(C1505),".",""),"/",""),"-","")," ","")),14),UPPER(SUBSTITUTE(SUBSTITUTE(SUBSTITUTE(SUBSTITUTE(TRIM(C1505),".",""),"/",""),"-","")," ",""))))</f>
        <v/>
      </c>
      <c r="E1505" s="25" t="str">
        <f aca="false">IF(D1505="","",IFERROR(INDEX(Empresas!$C:$C,MATCH(D1505,Empresas!$B:$B,0)),"cadastre o CNPJ em Empresas"))</f>
        <v/>
      </c>
      <c r="F1505" s="23"/>
      <c r="G1505" s="35"/>
      <c r="H1505" s="24"/>
      <c r="I1505" s="11"/>
      <c r="J1505" s="27" t="str">
        <f aca="false">IF(A1505="","",YEAR(A1505))</f>
        <v/>
      </c>
      <c r="K1505" s="24"/>
      <c r="L1505" s="11"/>
    </row>
    <row r="1506" customFormat="false" ht="15" hidden="false" customHeight="false" outlineLevel="0" collapsed="false">
      <c r="A1506" s="22"/>
      <c r="B1506" s="11"/>
      <c r="C1506" s="24"/>
      <c r="D1506" s="31" t="str">
        <f aca="false">IF(C1506="","",IF(LEN(UPPER(SUBSTITUTE(SUBSTITUTE(SUBSTITUTE(SUBSTITUTE(TRIM(C1506),".",""),"/",""),"-","")," ","")))&lt;14,RIGHT(REPT("0",14)&amp;UPPER(SUBSTITUTE(SUBSTITUTE(SUBSTITUTE(SUBSTITUTE(TRIM(C1506),".",""),"/",""),"-","")," ","")),14),UPPER(SUBSTITUTE(SUBSTITUTE(SUBSTITUTE(SUBSTITUTE(TRIM(C1506),".",""),"/",""),"-","")," ",""))))</f>
        <v/>
      </c>
      <c r="E1506" s="25" t="str">
        <f aca="false">IF(D1506="","",IFERROR(INDEX(Empresas!$C:$C,MATCH(D1506,Empresas!$B:$B,0)),"cadastre o CNPJ em Empresas"))</f>
        <v/>
      </c>
      <c r="F1506" s="23"/>
      <c r="G1506" s="35"/>
      <c r="H1506" s="24"/>
      <c r="I1506" s="11"/>
      <c r="J1506" s="27" t="str">
        <f aca="false">IF(A1506="","",YEAR(A1506))</f>
        <v/>
      </c>
      <c r="K1506" s="24"/>
      <c r="L1506" s="11"/>
    </row>
    <row r="1507" customFormat="false" ht="15" hidden="false" customHeight="false" outlineLevel="0" collapsed="false">
      <c r="A1507" s="22"/>
      <c r="B1507" s="11"/>
      <c r="C1507" s="24"/>
      <c r="D1507" s="31" t="str">
        <f aca="false">IF(C1507="","",IF(LEN(UPPER(SUBSTITUTE(SUBSTITUTE(SUBSTITUTE(SUBSTITUTE(TRIM(C1507),".",""),"/",""),"-","")," ","")))&lt;14,RIGHT(REPT("0",14)&amp;UPPER(SUBSTITUTE(SUBSTITUTE(SUBSTITUTE(SUBSTITUTE(TRIM(C1507),".",""),"/",""),"-","")," ","")),14),UPPER(SUBSTITUTE(SUBSTITUTE(SUBSTITUTE(SUBSTITUTE(TRIM(C1507),".",""),"/",""),"-","")," ",""))))</f>
        <v/>
      </c>
      <c r="E1507" s="25" t="str">
        <f aca="false">IF(D1507="","",IFERROR(INDEX(Empresas!$C:$C,MATCH(D1507,Empresas!$B:$B,0)),"cadastre o CNPJ em Empresas"))</f>
        <v/>
      </c>
      <c r="F1507" s="23"/>
      <c r="G1507" s="35"/>
      <c r="H1507" s="24"/>
      <c r="I1507" s="11"/>
      <c r="J1507" s="27" t="str">
        <f aca="false">IF(A1507="","",YEAR(A1507))</f>
        <v/>
      </c>
      <c r="K1507" s="24"/>
      <c r="L1507" s="11"/>
    </row>
    <row r="1508" customFormat="false" ht="15" hidden="false" customHeight="false" outlineLevel="0" collapsed="false">
      <c r="A1508" s="22"/>
      <c r="B1508" s="11"/>
      <c r="C1508" s="24"/>
      <c r="D1508" s="31" t="str">
        <f aca="false">IF(C1508="","",IF(LEN(UPPER(SUBSTITUTE(SUBSTITUTE(SUBSTITUTE(SUBSTITUTE(TRIM(C1508),".",""),"/",""),"-","")," ","")))&lt;14,RIGHT(REPT("0",14)&amp;UPPER(SUBSTITUTE(SUBSTITUTE(SUBSTITUTE(SUBSTITUTE(TRIM(C1508),".",""),"/",""),"-","")," ","")),14),UPPER(SUBSTITUTE(SUBSTITUTE(SUBSTITUTE(SUBSTITUTE(TRIM(C1508),".",""),"/",""),"-","")," ",""))))</f>
        <v/>
      </c>
      <c r="E1508" s="25" t="str">
        <f aca="false">IF(D1508="","",IFERROR(INDEX(Empresas!$C:$C,MATCH(D1508,Empresas!$B:$B,0)),"cadastre o CNPJ em Empresas"))</f>
        <v/>
      </c>
      <c r="F1508" s="23"/>
      <c r="G1508" s="35"/>
      <c r="H1508" s="24"/>
      <c r="I1508" s="11"/>
      <c r="J1508" s="27" t="str">
        <f aca="false">IF(A1508="","",YEAR(A1508))</f>
        <v/>
      </c>
      <c r="K1508" s="24"/>
      <c r="L1508" s="11"/>
    </row>
    <row r="1509" customFormat="false" ht="15" hidden="false" customHeight="false" outlineLevel="0" collapsed="false">
      <c r="A1509" s="22"/>
      <c r="B1509" s="11"/>
      <c r="C1509" s="24"/>
      <c r="D1509" s="31" t="str">
        <f aca="false">IF(C1509="","",IF(LEN(UPPER(SUBSTITUTE(SUBSTITUTE(SUBSTITUTE(SUBSTITUTE(TRIM(C1509),".",""),"/",""),"-","")," ","")))&lt;14,RIGHT(REPT("0",14)&amp;UPPER(SUBSTITUTE(SUBSTITUTE(SUBSTITUTE(SUBSTITUTE(TRIM(C1509),".",""),"/",""),"-","")," ","")),14),UPPER(SUBSTITUTE(SUBSTITUTE(SUBSTITUTE(SUBSTITUTE(TRIM(C1509),".",""),"/",""),"-","")," ",""))))</f>
        <v/>
      </c>
      <c r="E1509" s="25" t="str">
        <f aca="false">IF(D1509="","",IFERROR(INDEX(Empresas!$C:$C,MATCH(D1509,Empresas!$B:$B,0)),"cadastre o CNPJ em Empresas"))</f>
        <v/>
      </c>
      <c r="F1509" s="23"/>
      <c r="G1509" s="35"/>
      <c r="H1509" s="24"/>
      <c r="I1509" s="11"/>
      <c r="J1509" s="27" t="str">
        <f aca="false">IF(A1509="","",YEAR(A1509))</f>
        <v/>
      </c>
      <c r="K1509" s="24"/>
      <c r="L1509" s="11"/>
    </row>
    <row r="1510" customFormat="false" ht="15" hidden="false" customHeight="false" outlineLevel="0" collapsed="false">
      <c r="A1510" s="22"/>
      <c r="B1510" s="11"/>
      <c r="C1510" s="24"/>
      <c r="D1510" s="31" t="str">
        <f aca="false">IF(C1510="","",IF(LEN(UPPER(SUBSTITUTE(SUBSTITUTE(SUBSTITUTE(SUBSTITUTE(TRIM(C1510),".",""),"/",""),"-","")," ","")))&lt;14,RIGHT(REPT("0",14)&amp;UPPER(SUBSTITUTE(SUBSTITUTE(SUBSTITUTE(SUBSTITUTE(TRIM(C1510),".",""),"/",""),"-","")," ","")),14),UPPER(SUBSTITUTE(SUBSTITUTE(SUBSTITUTE(SUBSTITUTE(TRIM(C1510),".",""),"/",""),"-","")," ",""))))</f>
        <v/>
      </c>
      <c r="E1510" s="25" t="str">
        <f aca="false">IF(D1510="","",IFERROR(INDEX(Empresas!$C:$C,MATCH(D1510,Empresas!$B:$B,0)),"cadastre o CNPJ em Empresas"))</f>
        <v/>
      </c>
      <c r="F1510" s="23"/>
      <c r="G1510" s="35"/>
      <c r="H1510" s="24"/>
      <c r="I1510" s="11"/>
      <c r="J1510" s="27" t="str">
        <f aca="false">IF(A1510="","",YEAR(A1510))</f>
        <v/>
      </c>
      <c r="K1510" s="24"/>
      <c r="L1510" s="11"/>
    </row>
    <row r="1511" customFormat="false" ht="15" hidden="false" customHeight="false" outlineLevel="0" collapsed="false">
      <c r="A1511" s="22"/>
      <c r="B1511" s="11"/>
      <c r="C1511" s="24"/>
      <c r="D1511" s="31" t="str">
        <f aca="false">IF(C1511="","",IF(LEN(UPPER(SUBSTITUTE(SUBSTITUTE(SUBSTITUTE(SUBSTITUTE(TRIM(C1511),".",""),"/",""),"-","")," ","")))&lt;14,RIGHT(REPT("0",14)&amp;UPPER(SUBSTITUTE(SUBSTITUTE(SUBSTITUTE(SUBSTITUTE(TRIM(C1511),".",""),"/",""),"-","")," ","")),14),UPPER(SUBSTITUTE(SUBSTITUTE(SUBSTITUTE(SUBSTITUTE(TRIM(C1511),".",""),"/",""),"-","")," ",""))))</f>
        <v/>
      </c>
      <c r="E1511" s="25" t="str">
        <f aca="false">IF(D1511="","",IFERROR(INDEX(Empresas!$C:$C,MATCH(D1511,Empresas!$B:$B,0)),"cadastre o CNPJ em Empresas"))</f>
        <v/>
      </c>
      <c r="F1511" s="23"/>
      <c r="G1511" s="35"/>
      <c r="H1511" s="24"/>
      <c r="I1511" s="11"/>
      <c r="J1511" s="27" t="str">
        <f aca="false">IF(A1511="","",YEAR(A1511))</f>
        <v/>
      </c>
      <c r="K1511" s="24"/>
      <c r="L1511" s="11"/>
    </row>
    <row r="1512" customFormat="false" ht="15" hidden="false" customHeight="false" outlineLevel="0" collapsed="false">
      <c r="A1512" s="22"/>
      <c r="B1512" s="11"/>
      <c r="C1512" s="24"/>
      <c r="D1512" s="31" t="str">
        <f aca="false">IF(C1512="","",IF(LEN(UPPER(SUBSTITUTE(SUBSTITUTE(SUBSTITUTE(SUBSTITUTE(TRIM(C1512),".",""),"/",""),"-","")," ","")))&lt;14,RIGHT(REPT("0",14)&amp;UPPER(SUBSTITUTE(SUBSTITUTE(SUBSTITUTE(SUBSTITUTE(TRIM(C1512),".",""),"/",""),"-","")," ","")),14),UPPER(SUBSTITUTE(SUBSTITUTE(SUBSTITUTE(SUBSTITUTE(TRIM(C1512),".",""),"/",""),"-","")," ",""))))</f>
        <v/>
      </c>
      <c r="E1512" s="25" t="str">
        <f aca="false">IF(D1512="","",IFERROR(INDEX(Empresas!$C:$C,MATCH(D1512,Empresas!$B:$B,0)),"cadastre o CNPJ em Empresas"))</f>
        <v/>
      </c>
      <c r="F1512" s="23"/>
      <c r="G1512" s="35"/>
      <c r="H1512" s="24"/>
      <c r="I1512" s="11"/>
      <c r="J1512" s="27" t="str">
        <f aca="false">IF(A1512="","",YEAR(A1512))</f>
        <v/>
      </c>
      <c r="K1512" s="24"/>
      <c r="L1512" s="11"/>
    </row>
    <row r="1513" customFormat="false" ht="15" hidden="false" customHeight="false" outlineLevel="0" collapsed="false">
      <c r="A1513" s="22"/>
      <c r="B1513" s="11"/>
      <c r="C1513" s="24"/>
      <c r="D1513" s="31" t="str">
        <f aca="false">IF(C1513="","",IF(LEN(UPPER(SUBSTITUTE(SUBSTITUTE(SUBSTITUTE(SUBSTITUTE(TRIM(C1513),".",""),"/",""),"-","")," ","")))&lt;14,RIGHT(REPT("0",14)&amp;UPPER(SUBSTITUTE(SUBSTITUTE(SUBSTITUTE(SUBSTITUTE(TRIM(C1513),".",""),"/",""),"-","")," ","")),14),UPPER(SUBSTITUTE(SUBSTITUTE(SUBSTITUTE(SUBSTITUTE(TRIM(C1513),".",""),"/",""),"-","")," ",""))))</f>
        <v/>
      </c>
      <c r="E1513" s="25" t="str">
        <f aca="false">IF(D1513="","",IFERROR(INDEX(Empresas!$C:$C,MATCH(D1513,Empresas!$B:$B,0)),"cadastre o CNPJ em Empresas"))</f>
        <v/>
      </c>
      <c r="F1513" s="23"/>
      <c r="G1513" s="35"/>
      <c r="H1513" s="24"/>
      <c r="I1513" s="11"/>
      <c r="J1513" s="27" t="str">
        <f aca="false">IF(A1513="","",YEAR(A1513))</f>
        <v/>
      </c>
      <c r="K1513" s="24"/>
      <c r="L1513" s="11"/>
    </row>
    <row r="1514" customFormat="false" ht="15" hidden="false" customHeight="false" outlineLevel="0" collapsed="false">
      <c r="A1514" s="22"/>
      <c r="B1514" s="11"/>
      <c r="C1514" s="24"/>
      <c r="D1514" s="31" t="str">
        <f aca="false">IF(C1514="","",IF(LEN(UPPER(SUBSTITUTE(SUBSTITUTE(SUBSTITUTE(SUBSTITUTE(TRIM(C1514),".",""),"/",""),"-","")," ","")))&lt;14,RIGHT(REPT("0",14)&amp;UPPER(SUBSTITUTE(SUBSTITUTE(SUBSTITUTE(SUBSTITUTE(TRIM(C1514),".",""),"/",""),"-","")," ","")),14),UPPER(SUBSTITUTE(SUBSTITUTE(SUBSTITUTE(SUBSTITUTE(TRIM(C1514),".",""),"/",""),"-","")," ",""))))</f>
        <v/>
      </c>
      <c r="E1514" s="25" t="str">
        <f aca="false">IF(D1514="","",IFERROR(INDEX(Empresas!$C:$C,MATCH(D1514,Empresas!$B:$B,0)),"cadastre o CNPJ em Empresas"))</f>
        <v/>
      </c>
      <c r="F1514" s="23"/>
      <c r="G1514" s="35"/>
      <c r="H1514" s="24"/>
      <c r="I1514" s="11"/>
      <c r="J1514" s="27" t="str">
        <f aca="false">IF(A1514="","",YEAR(A1514))</f>
        <v/>
      </c>
      <c r="K1514" s="24"/>
      <c r="L1514" s="11"/>
    </row>
    <row r="1515" customFormat="false" ht="15" hidden="false" customHeight="false" outlineLevel="0" collapsed="false">
      <c r="A1515" s="22"/>
      <c r="B1515" s="11"/>
      <c r="C1515" s="24"/>
      <c r="D1515" s="31" t="str">
        <f aca="false">IF(C1515="","",IF(LEN(UPPER(SUBSTITUTE(SUBSTITUTE(SUBSTITUTE(SUBSTITUTE(TRIM(C1515),".",""),"/",""),"-","")," ","")))&lt;14,RIGHT(REPT("0",14)&amp;UPPER(SUBSTITUTE(SUBSTITUTE(SUBSTITUTE(SUBSTITUTE(TRIM(C1515),".",""),"/",""),"-","")," ","")),14),UPPER(SUBSTITUTE(SUBSTITUTE(SUBSTITUTE(SUBSTITUTE(TRIM(C1515),".",""),"/",""),"-","")," ",""))))</f>
        <v/>
      </c>
      <c r="E1515" s="25" t="str">
        <f aca="false">IF(D1515="","",IFERROR(INDEX(Empresas!$C:$C,MATCH(D1515,Empresas!$B:$B,0)),"cadastre o CNPJ em Empresas"))</f>
        <v/>
      </c>
      <c r="F1515" s="23"/>
      <c r="G1515" s="35"/>
      <c r="H1515" s="24"/>
      <c r="I1515" s="11"/>
      <c r="J1515" s="27" t="str">
        <f aca="false">IF(A1515="","",YEAR(A1515))</f>
        <v/>
      </c>
      <c r="K1515" s="24"/>
      <c r="L1515" s="11"/>
    </row>
    <row r="1516" customFormat="false" ht="15" hidden="false" customHeight="false" outlineLevel="0" collapsed="false">
      <c r="A1516" s="22"/>
      <c r="B1516" s="11"/>
      <c r="C1516" s="24"/>
      <c r="D1516" s="31" t="str">
        <f aca="false">IF(C1516="","",IF(LEN(UPPER(SUBSTITUTE(SUBSTITUTE(SUBSTITUTE(SUBSTITUTE(TRIM(C1516),".",""),"/",""),"-","")," ","")))&lt;14,RIGHT(REPT("0",14)&amp;UPPER(SUBSTITUTE(SUBSTITUTE(SUBSTITUTE(SUBSTITUTE(TRIM(C1516),".",""),"/",""),"-","")," ","")),14),UPPER(SUBSTITUTE(SUBSTITUTE(SUBSTITUTE(SUBSTITUTE(TRIM(C1516),".",""),"/",""),"-","")," ",""))))</f>
        <v/>
      </c>
      <c r="E1516" s="25" t="str">
        <f aca="false">IF(D1516="","",IFERROR(INDEX(Empresas!$C:$C,MATCH(D1516,Empresas!$B:$B,0)),"cadastre o CNPJ em Empresas"))</f>
        <v/>
      </c>
      <c r="F1516" s="23"/>
      <c r="G1516" s="35"/>
      <c r="H1516" s="24"/>
      <c r="I1516" s="11"/>
      <c r="J1516" s="27" t="str">
        <f aca="false">IF(A1516="","",YEAR(A1516))</f>
        <v/>
      </c>
      <c r="K1516" s="24"/>
      <c r="L1516" s="11"/>
    </row>
    <row r="1517" customFormat="false" ht="15" hidden="false" customHeight="false" outlineLevel="0" collapsed="false">
      <c r="A1517" s="22"/>
      <c r="B1517" s="11"/>
      <c r="C1517" s="24"/>
      <c r="D1517" s="31" t="str">
        <f aca="false">IF(C1517="","",IF(LEN(UPPER(SUBSTITUTE(SUBSTITUTE(SUBSTITUTE(SUBSTITUTE(TRIM(C1517),".",""),"/",""),"-","")," ","")))&lt;14,RIGHT(REPT("0",14)&amp;UPPER(SUBSTITUTE(SUBSTITUTE(SUBSTITUTE(SUBSTITUTE(TRIM(C1517),".",""),"/",""),"-","")," ","")),14),UPPER(SUBSTITUTE(SUBSTITUTE(SUBSTITUTE(SUBSTITUTE(TRIM(C1517),".",""),"/",""),"-","")," ",""))))</f>
        <v/>
      </c>
      <c r="E1517" s="25" t="str">
        <f aca="false">IF(D1517="","",IFERROR(INDEX(Empresas!$C:$C,MATCH(D1517,Empresas!$B:$B,0)),"cadastre o CNPJ em Empresas"))</f>
        <v/>
      </c>
      <c r="F1517" s="23"/>
      <c r="G1517" s="35"/>
      <c r="H1517" s="24"/>
      <c r="I1517" s="11"/>
      <c r="J1517" s="27" t="str">
        <f aca="false">IF(A1517="","",YEAR(A1517))</f>
        <v/>
      </c>
      <c r="K1517" s="24"/>
      <c r="L1517" s="11"/>
    </row>
    <row r="1518" customFormat="false" ht="15" hidden="false" customHeight="false" outlineLevel="0" collapsed="false">
      <c r="A1518" s="22"/>
      <c r="B1518" s="11"/>
      <c r="C1518" s="24"/>
      <c r="D1518" s="31" t="str">
        <f aca="false">IF(C1518="","",IF(LEN(UPPER(SUBSTITUTE(SUBSTITUTE(SUBSTITUTE(SUBSTITUTE(TRIM(C1518),".",""),"/",""),"-","")," ","")))&lt;14,RIGHT(REPT("0",14)&amp;UPPER(SUBSTITUTE(SUBSTITUTE(SUBSTITUTE(SUBSTITUTE(TRIM(C1518),".",""),"/",""),"-","")," ","")),14),UPPER(SUBSTITUTE(SUBSTITUTE(SUBSTITUTE(SUBSTITUTE(TRIM(C1518),".",""),"/",""),"-","")," ",""))))</f>
        <v/>
      </c>
      <c r="E1518" s="25" t="str">
        <f aca="false">IF(D1518="","",IFERROR(INDEX(Empresas!$C:$C,MATCH(D1518,Empresas!$B:$B,0)),"cadastre o CNPJ em Empresas"))</f>
        <v/>
      </c>
      <c r="F1518" s="23"/>
      <c r="G1518" s="35"/>
      <c r="H1518" s="24"/>
      <c r="I1518" s="11"/>
      <c r="J1518" s="27" t="str">
        <f aca="false">IF(A1518="","",YEAR(A1518))</f>
        <v/>
      </c>
      <c r="K1518" s="24"/>
      <c r="L1518" s="11"/>
    </row>
    <row r="1519" customFormat="false" ht="15" hidden="false" customHeight="false" outlineLevel="0" collapsed="false">
      <c r="A1519" s="22"/>
      <c r="B1519" s="11"/>
      <c r="C1519" s="24"/>
      <c r="D1519" s="31" t="str">
        <f aca="false">IF(C1519="","",IF(LEN(UPPER(SUBSTITUTE(SUBSTITUTE(SUBSTITUTE(SUBSTITUTE(TRIM(C1519),".",""),"/",""),"-","")," ","")))&lt;14,RIGHT(REPT("0",14)&amp;UPPER(SUBSTITUTE(SUBSTITUTE(SUBSTITUTE(SUBSTITUTE(TRIM(C1519),".",""),"/",""),"-","")," ","")),14),UPPER(SUBSTITUTE(SUBSTITUTE(SUBSTITUTE(SUBSTITUTE(TRIM(C1519),".",""),"/",""),"-","")," ",""))))</f>
        <v/>
      </c>
      <c r="E1519" s="25" t="str">
        <f aca="false">IF(D1519="","",IFERROR(INDEX(Empresas!$C:$C,MATCH(D1519,Empresas!$B:$B,0)),"cadastre o CNPJ em Empresas"))</f>
        <v/>
      </c>
      <c r="F1519" s="23"/>
      <c r="G1519" s="35"/>
      <c r="H1519" s="24"/>
      <c r="I1519" s="11"/>
      <c r="J1519" s="27" t="str">
        <f aca="false">IF(A1519="","",YEAR(A1519))</f>
        <v/>
      </c>
      <c r="K1519" s="24"/>
      <c r="L1519" s="11"/>
    </row>
    <row r="1520" customFormat="false" ht="15" hidden="false" customHeight="false" outlineLevel="0" collapsed="false">
      <c r="A1520" s="22"/>
      <c r="B1520" s="11"/>
      <c r="C1520" s="24"/>
      <c r="D1520" s="31" t="str">
        <f aca="false">IF(C1520="","",IF(LEN(UPPER(SUBSTITUTE(SUBSTITUTE(SUBSTITUTE(SUBSTITUTE(TRIM(C1520),".",""),"/",""),"-","")," ","")))&lt;14,RIGHT(REPT("0",14)&amp;UPPER(SUBSTITUTE(SUBSTITUTE(SUBSTITUTE(SUBSTITUTE(TRIM(C1520),".",""),"/",""),"-","")," ","")),14),UPPER(SUBSTITUTE(SUBSTITUTE(SUBSTITUTE(SUBSTITUTE(TRIM(C1520),".",""),"/",""),"-","")," ",""))))</f>
        <v/>
      </c>
      <c r="E1520" s="25" t="str">
        <f aca="false">IF(D1520="","",IFERROR(INDEX(Empresas!$C:$C,MATCH(D1520,Empresas!$B:$B,0)),"cadastre o CNPJ em Empresas"))</f>
        <v/>
      </c>
      <c r="F1520" s="23"/>
      <c r="G1520" s="35"/>
      <c r="H1520" s="24"/>
      <c r="I1520" s="11"/>
      <c r="J1520" s="27" t="str">
        <f aca="false">IF(A1520="","",YEAR(A1520))</f>
        <v/>
      </c>
      <c r="K1520" s="24"/>
      <c r="L1520" s="11"/>
    </row>
    <row r="1521" customFormat="false" ht="15" hidden="false" customHeight="false" outlineLevel="0" collapsed="false">
      <c r="A1521" s="22"/>
      <c r="B1521" s="11"/>
      <c r="C1521" s="24"/>
      <c r="D1521" s="31" t="str">
        <f aca="false">IF(C1521="","",IF(LEN(UPPER(SUBSTITUTE(SUBSTITUTE(SUBSTITUTE(SUBSTITUTE(TRIM(C1521),".",""),"/",""),"-","")," ","")))&lt;14,RIGHT(REPT("0",14)&amp;UPPER(SUBSTITUTE(SUBSTITUTE(SUBSTITUTE(SUBSTITUTE(TRIM(C1521),".",""),"/",""),"-","")," ","")),14),UPPER(SUBSTITUTE(SUBSTITUTE(SUBSTITUTE(SUBSTITUTE(TRIM(C1521),".",""),"/",""),"-","")," ",""))))</f>
        <v/>
      </c>
      <c r="E1521" s="25" t="str">
        <f aca="false">IF(D1521="","",IFERROR(INDEX(Empresas!$C:$C,MATCH(D1521,Empresas!$B:$B,0)),"cadastre o CNPJ em Empresas"))</f>
        <v/>
      </c>
      <c r="F1521" s="23"/>
      <c r="G1521" s="35"/>
      <c r="H1521" s="24"/>
      <c r="I1521" s="11"/>
      <c r="J1521" s="27" t="str">
        <f aca="false">IF(A1521="","",YEAR(A1521))</f>
        <v/>
      </c>
      <c r="K1521" s="24"/>
      <c r="L1521" s="11"/>
    </row>
    <row r="1522" customFormat="false" ht="15" hidden="false" customHeight="false" outlineLevel="0" collapsed="false">
      <c r="A1522" s="22"/>
      <c r="B1522" s="11"/>
      <c r="C1522" s="24"/>
      <c r="D1522" s="31" t="str">
        <f aca="false">IF(C1522="","",IF(LEN(UPPER(SUBSTITUTE(SUBSTITUTE(SUBSTITUTE(SUBSTITUTE(TRIM(C1522),".",""),"/",""),"-","")," ","")))&lt;14,RIGHT(REPT("0",14)&amp;UPPER(SUBSTITUTE(SUBSTITUTE(SUBSTITUTE(SUBSTITUTE(TRIM(C1522),".",""),"/",""),"-","")," ","")),14),UPPER(SUBSTITUTE(SUBSTITUTE(SUBSTITUTE(SUBSTITUTE(TRIM(C1522),".",""),"/",""),"-","")," ",""))))</f>
        <v/>
      </c>
      <c r="E1522" s="25" t="str">
        <f aca="false">IF(D1522="","",IFERROR(INDEX(Empresas!$C:$C,MATCH(D1522,Empresas!$B:$B,0)),"cadastre o CNPJ em Empresas"))</f>
        <v/>
      </c>
      <c r="F1522" s="23"/>
      <c r="G1522" s="35"/>
      <c r="H1522" s="24"/>
      <c r="I1522" s="11"/>
      <c r="J1522" s="27" t="str">
        <f aca="false">IF(A1522="","",YEAR(A1522))</f>
        <v/>
      </c>
      <c r="K1522" s="24"/>
      <c r="L1522" s="11"/>
    </row>
    <row r="1523" customFormat="false" ht="15" hidden="false" customHeight="false" outlineLevel="0" collapsed="false">
      <c r="A1523" s="22"/>
      <c r="B1523" s="11"/>
      <c r="C1523" s="24"/>
      <c r="D1523" s="31" t="str">
        <f aca="false">IF(C1523="","",IF(LEN(UPPER(SUBSTITUTE(SUBSTITUTE(SUBSTITUTE(SUBSTITUTE(TRIM(C1523),".",""),"/",""),"-","")," ","")))&lt;14,RIGHT(REPT("0",14)&amp;UPPER(SUBSTITUTE(SUBSTITUTE(SUBSTITUTE(SUBSTITUTE(TRIM(C1523),".",""),"/",""),"-","")," ","")),14),UPPER(SUBSTITUTE(SUBSTITUTE(SUBSTITUTE(SUBSTITUTE(TRIM(C1523),".",""),"/",""),"-","")," ",""))))</f>
        <v/>
      </c>
      <c r="E1523" s="25" t="str">
        <f aca="false">IF(D1523="","",IFERROR(INDEX(Empresas!$C:$C,MATCH(D1523,Empresas!$B:$B,0)),"cadastre o CNPJ em Empresas"))</f>
        <v/>
      </c>
      <c r="F1523" s="23"/>
      <c r="G1523" s="35"/>
      <c r="H1523" s="24"/>
      <c r="I1523" s="11"/>
      <c r="J1523" s="27" t="str">
        <f aca="false">IF(A1523="","",YEAR(A1523))</f>
        <v/>
      </c>
      <c r="K1523" s="24"/>
      <c r="L1523" s="11"/>
    </row>
    <row r="1524" customFormat="false" ht="15" hidden="false" customHeight="false" outlineLevel="0" collapsed="false">
      <c r="A1524" s="22"/>
      <c r="B1524" s="11"/>
      <c r="C1524" s="24"/>
      <c r="D1524" s="31" t="str">
        <f aca="false">IF(C1524="","",IF(LEN(UPPER(SUBSTITUTE(SUBSTITUTE(SUBSTITUTE(SUBSTITUTE(TRIM(C1524),".",""),"/",""),"-","")," ","")))&lt;14,RIGHT(REPT("0",14)&amp;UPPER(SUBSTITUTE(SUBSTITUTE(SUBSTITUTE(SUBSTITUTE(TRIM(C1524),".",""),"/",""),"-","")," ","")),14),UPPER(SUBSTITUTE(SUBSTITUTE(SUBSTITUTE(SUBSTITUTE(TRIM(C1524),".",""),"/",""),"-","")," ",""))))</f>
        <v/>
      </c>
      <c r="E1524" s="25" t="str">
        <f aca="false">IF(D1524="","",IFERROR(INDEX(Empresas!$C:$C,MATCH(D1524,Empresas!$B:$B,0)),"cadastre o CNPJ em Empresas"))</f>
        <v/>
      </c>
      <c r="F1524" s="23"/>
      <c r="G1524" s="35"/>
      <c r="H1524" s="24"/>
      <c r="I1524" s="11"/>
      <c r="J1524" s="27" t="str">
        <f aca="false">IF(A1524="","",YEAR(A1524))</f>
        <v/>
      </c>
      <c r="K1524" s="24"/>
      <c r="L1524" s="11"/>
    </row>
    <row r="1525" customFormat="false" ht="15" hidden="false" customHeight="false" outlineLevel="0" collapsed="false">
      <c r="A1525" s="22"/>
      <c r="B1525" s="11"/>
      <c r="C1525" s="24"/>
      <c r="D1525" s="31" t="str">
        <f aca="false">IF(C1525="","",IF(LEN(UPPER(SUBSTITUTE(SUBSTITUTE(SUBSTITUTE(SUBSTITUTE(TRIM(C1525),".",""),"/",""),"-","")," ","")))&lt;14,RIGHT(REPT("0",14)&amp;UPPER(SUBSTITUTE(SUBSTITUTE(SUBSTITUTE(SUBSTITUTE(TRIM(C1525),".",""),"/",""),"-","")," ","")),14),UPPER(SUBSTITUTE(SUBSTITUTE(SUBSTITUTE(SUBSTITUTE(TRIM(C1525),".",""),"/",""),"-","")," ",""))))</f>
        <v/>
      </c>
      <c r="E1525" s="25" t="str">
        <f aca="false">IF(D1525="","",IFERROR(INDEX(Empresas!$C:$C,MATCH(D1525,Empresas!$B:$B,0)),"cadastre o CNPJ em Empresas"))</f>
        <v/>
      </c>
      <c r="F1525" s="23"/>
      <c r="G1525" s="35"/>
      <c r="H1525" s="24"/>
      <c r="I1525" s="11"/>
      <c r="J1525" s="27" t="str">
        <f aca="false">IF(A1525="","",YEAR(A1525))</f>
        <v/>
      </c>
      <c r="K1525" s="24"/>
      <c r="L1525" s="11"/>
    </row>
    <row r="1526" customFormat="false" ht="15" hidden="false" customHeight="false" outlineLevel="0" collapsed="false">
      <c r="A1526" s="22"/>
      <c r="B1526" s="11"/>
      <c r="C1526" s="24"/>
      <c r="D1526" s="31" t="str">
        <f aca="false">IF(C1526="","",IF(LEN(UPPER(SUBSTITUTE(SUBSTITUTE(SUBSTITUTE(SUBSTITUTE(TRIM(C1526),".",""),"/",""),"-","")," ","")))&lt;14,RIGHT(REPT("0",14)&amp;UPPER(SUBSTITUTE(SUBSTITUTE(SUBSTITUTE(SUBSTITUTE(TRIM(C1526),".",""),"/",""),"-","")," ","")),14),UPPER(SUBSTITUTE(SUBSTITUTE(SUBSTITUTE(SUBSTITUTE(TRIM(C1526),".",""),"/",""),"-","")," ",""))))</f>
        <v/>
      </c>
      <c r="E1526" s="25" t="str">
        <f aca="false">IF(D1526="","",IFERROR(INDEX(Empresas!$C:$C,MATCH(D1526,Empresas!$B:$B,0)),"cadastre o CNPJ em Empresas"))</f>
        <v/>
      </c>
      <c r="F1526" s="23"/>
      <c r="G1526" s="35"/>
      <c r="H1526" s="24"/>
      <c r="I1526" s="11"/>
      <c r="J1526" s="27" t="str">
        <f aca="false">IF(A1526="","",YEAR(A1526))</f>
        <v/>
      </c>
      <c r="K1526" s="24"/>
      <c r="L1526" s="11"/>
    </row>
    <row r="1527" customFormat="false" ht="15" hidden="false" customHeight="false" outlineLevel="0" collapsed="false">
      <c r="A1527" s="22"/>
      <c r="B1527" s="11"/>
      <c r="C1527" s="24"/>
      <c r="D1527" s="31" t="str">
        <f aca="false">IF(C1527="","",IF(LEN(UPPER(SUBSTITUTE(SUBSTITUTE(SUBSTITUTE(SUBSTITUTE(TRIM(C1527),".",""),"/",""),"-","")," ","")))&lt;14,RIGHT(REPT("0",14)&amp;UPPER(SUBSTITUTE(SUBSTITUTE(SUBSTITUTE(SUBSTITUTE(TRIM(C1527),".",""),"/",""),"-","")," ","")),14),UPPER(SUBSTITUTE(SUBSTITUTE(SUBSTITUTE(SUBSTITUTE(TRIM(C1527),".",""),"/",""),"-","")," ",""))))</f>
        <v/>
      </c>
      <c r="E1527" s="25" t="str">
        <f aca="false">IF(D1527="","",IFERROR(INDEX(Empresas!$C:$C,MATCH(D1527,Empresas!$B:$B,0)),"cadastre o CNPJ em Empresas"))</f>
        <v/>
      </c>
      <c r="F1527" s="23"/>
      <c r="G1527" s="35"/>
      <c r="H1527" s="24"/>
      <c r="I1527" s="11"/>
      <c r="J1527" s="27" t="str">
        <f aca="false">IF(A1527="","",YEAR(A1527))</f>
        <v/>
      </c>
      <c r="K1527" s="24"/>
      <c r="L1527" s="11"/>
    </row>
    <row r="1528" customFormat="false" ht="15" hidden="false" customHeight="false" outlineLevel="0" collapsed="false">
      <c r="A1528" s="22"/>
      <c r="B1528" s="11"/>
      <c r="C1528" s="24"/>
      <c r="D1528" s="31" t="str">
        <f aca="false">IF(C1528="","",IF(LEN(UPPER(SUBSTITUTE(SUBSTITUTE(SUBSTITUTE(SUBSTITUTE(TRIM(C1528),".",""),"/",""),"-","")," ","")))&lt;14,RIGHT(REPT("0",14)&amp;UPPER(SUBSTITUTE(SUBSTITUTE(SUBSTITUTE(SUBSTITUTE(TRIM(C1528),".",""),"/",""),"-","")," ","")),14),UPPER(SUBSTITUTE(SUBSTITUTE(SUBSTITUTE(SUBSTITUTE(TRIM(C1528),".",""),"/",""),"-","")," ",""))))</f>
        <v/>
      </c>
      <c r="E1528" s="25" t="str">
        <f aca="false">IF(D1528="","",IFERROR(INDEX(Empresas!$C:$C,MATCH(D1528,Empresas!$B:$B,0)),"cadastre o CNPJ em Empresas"))</f>
        <v/>
      </c>
      <c r="F1528" s="23"/>
      <c r="G1528" s="35"/>
      <c r="H1528" s="24"/>
      <c r="I1528" s="11"/>
      <c r="J1528" s="27" t="str">
        <f aca="false">IF(A1528="","",YEAR(A1528))</f>
        <v/>
      </c>
      <c r="K1528" s="24"/>
      <c r="L1528" s="11"/>
    </row>
    <row r="1529" customFormat="false" ht="15" hidden="false" customHeight="false" outlineLevel="0" collapsed="false">
      <c r="A1529" s="22"/>
      <c r="B1529" s="11"/>
      <c r="C1529" s="24"/>
      <c r="D1529" s="31" t="str">
        <f aca="false">IF(C1529="","",IF(LEN(UPPER(SUBSTITUTE(SUBSTITUTE(SUBSTITUTE(SUBSTITUTE(TRIM(C1529),".",""),"/",""),"-","")," ","")))&lt;14,RIGHT(REPT("0",14)&amp;UPPER(SUBSTITUTE(SUBSTITUTE(SUBSTITUTE(SUBSTITUTE(TRIM(C1529),".",""),"/",""),"-","")," ","")),14),UPPER(SUBSTITUTE(SUBSTITUTE(SUBSTITUTE(SUBSTITUTE(TRIM(C1529),".",""),"/",""),"-","")," ",""))))</f>
        <v/>
      </c>
      <c r="E1529" s="25" t="str">
        <f aca="false">IF(D1529="","",IFERROR(INDEX(Empresas!$C:$C,MATCH(D1529,Empresas!$B:$B,0)),"cadastre o CNPJ em Empresas"))</f>
        <v/>
      </c>
      <c r="F1529" s="23"/>
      <c r="G1529" s="35"/>
      <c r="H1529" s="24"/>
      <c r="I1529" s="11"/>
      <c r="J1529" s="27" t="str">
        <f aca="false">IF(A1529="","",YEAR(A1529))</f>
        <v/>
      </c>
      <c r="K1529" s="24"/>
      <c r="L1529" s="11"/>
    </row>
    <row r="1530" customFormat="false" ht="15" hidden="false" customHeight="false" outlineLevel="0" collapsed="false">
      <c r="A1530" s="22"/>
      <c r="B1530" s="11"/>
      <c r="C1530" s="24"/>
      <c r="D1530" s="31" t="str">
        <f aca="false">IF(C1530="","",IF(LEN(UPPER(SUBSTITUTE(SUBSTITUTE(SUBSTITUTE(SUBSTITUTE(TRIM(C1530),".",""),"/",""),"-","")," ","")))&lt;14,RIGHT(REPT("0",14)&amp;UPPER(SUBSTITUTE(SUBSTITUTE(SUBSTITUTE(SUBSTITUTE(TRIM(C1530),".",""),"/",""),"-","")," ","")),14),UPPER(SUBSTITUTE(SUBSTITUTE(SUBSTITUTE(SUBSTITUTE(TRIM(C1530),".",""),"/",""),"-","")," ",""))))</f>
        <v/>
      </c>
      <c r="E1530" s="25" t="str">
        <f aca="false">IF(D1530="","",IFERROR(INDEX(Empresas!$C:$C,MATCH(D1530,Empresas!$B:$B,0)),"cadastre o CNPJ em Empresas"))</f>
        <v/>
      </c>
      <c r="F1530" s="23"/>
      <c r="G1530" s="35"/>
      <c r="H1530" s="24"/>
      <c r="I1530" s="11"/>
      <c r="J1530" s="27" t="str">
        <f aca="false">IF(A1530="","",YEAR(A1530))</f>
        <v/>
      </c>
      <c r="K1530" s="24"/>
      <c r="L1530" s="11"/>
    </row>
    <row r="1531" customFormat="false" ht="15" hidden="false" customHeight="false" outlineLevel="0" collapsed="false">
      <c r="A1531" s="22"/>
      <c r="B1531" s="11"/>
      <c r="C1531" s="24"/>
      <c r="D1531" s="31" t="str">
        <f aca="false">IF(C1531="","",IF(LEN(UPPER(SUBSTITUTE(SUBSTITUTE(SUBSTITUTE(SUBSTITUTE(TRIM(C1531),".",""),"/",""),"-","")," ","")))&lt;14,RIGHT(REPT("0",14)&amp;UPPER(SUBSTITUTE(SUBSTITUTE(SUBSTITUTE(SUBSTITUTE(TRIM(C1531),".",""),"/",""),"-","")," ","")),14),UPPER(SUBSTITUTE(SUBSTITUTE(SUBSTITUTE(SUBSTITUTE(TRIM(C1531),".",""),"/",""),"-","")," ",""))))</f>
        <v/>
      </c>
      <c r="E1531" s="25" t="str">
        <f aca="false">IF(D1531="","",IFERROR(INDEX(Empresas!$C:$C,MATCH(D1531,Empresas!$B:$B,0)),"cadastre o CNPJ em Empresas"))</f>
        <v/>
      </c>
      <c r="F1531" s="23"/>
      <c r="G1531" s="35"/>
      <c r="H1531" s="24"/>
      <c r="I1531" s="11"/>
      <c r="J1531" s="27" t="str">
        <f aca="false">IF(A1531="","",YEAR(A1531))</f>
        <v/>
      </c>
      <c r="K1531" s="24"/>
      <c r="L1531" s="11"/>
    </row>
    <row r="1532" customFormat="false" ht="15" hidden="false" customHeight="false" outlineLevel="0" collapsed="false">
      <c r="A1532" s="22"/>
      <c r="B1532" s="11"/>
      <c r="C1532" s="24"/>
      <c r="D1532" s="31" t="str">
        <f aca="false">IF(C1532="","",IF(LEN(UPPER(SUBSTITUTE(SUBSTITUTE(SUBSTITUTE(SUBSTITUTE(TRIM(C1532),".",""),"/",""),"-","")," ","")))&lt;14,RIGHT(REPT("0",14)&amp;UPPER(SUBSTITUTE(SUBSTITUTE(SUBSTITUTE(SUBSTITUTE(TRIM(C1532),".",""),"/",""),"-","")," ","")),14),UPPER(SUBSTITUTE(SUBSTITUTE(SUBSTITUTE(SUBSTITUTE(TRIM(C1532),".",""),"/",""),"-","")," ",""))))</f>
        <v/>
      </c>
      <c r="E1532" s="25" t="str">
        <f aca="false">IF(D1532="","",IFERROR(INDEX(Empresas!$C:$C,MATCH(D1532,Empresas!$B:$B,0)),"cadastre o CNPJ em Empresas"))</f>
        <v/>
      </c>
      <c r="F1532" s="23"/>
      <c r="G1532" s="35"/>
      <c r="H1532" s="24"/>
      <c r="I1532" s="11"/>
      <c r="J1532" s="27" t="str">
        <f aca="false">IF(A1532="","",YEAR(A1532))</f>
        <v/>
      </c>
      <c r="K1532" s="24"/>
      <c r="L1532" s="11"/>
    </row>
    <row r="1533" customFormat="false" ht="15" hidden="false" customHeight="false" outlineLevel="0" collapsed="false">
      <c r="A1533" s="22"/>
      <c r="B1533" s="11"/>
      <c r="C1533" s="24"/>
      <c r="D1533" s="31" t="str">
        <f aca="false">IF(C1533="","",IF(LEN(UPPER(SUBSTITUTE(SUBSTITUTE(SUBSTITUTE(SUBSTITUTE(TRIM(C1533),".",""),"/",""),"-","")," ","")))&lt;14,RIGHT(REPT("0",14)&amp;UPPER(SUBSTITUTE(SUBSTITUTE(SUBSTITUTE(SUBSTITUTE(TRIM(C1533),".",""),"/",""),"-","")," ","")),14),UPPER(SUBSTITUTE(SUBSTITUTE(SUBSTITUTE(SUBSTITUTE(TRIM(C1533),".",""),"/",""),"-","")," ",""))))</f>
        <v/>
      </c>
      <c r="E1533" s="25" t="str">
        <f aca="false">IF(D1533="","",IFERROR(INDEX(Empresas!$C:$C,MATCH(D1533,Empresas!$B:$B,0)),"cadastre o CNPJ em Empresas"))</f>
        <v/>
      </c>
      <c r="F1533" s="23"/>
      <c r="G1533" s="35"/>
      <c r="H1533" s="24"/>
      <c r="I1533" s="11"/>
      <c r="J1533" s="27" t="str">
        <f aca="false">IF(A1533="","",YEAR(A1533))</f>
        <v/>
      </c>
      <c r="K1533" s="24"/>
      <c r="L1533" s="11"/>
    </row>
    <row r="1534" customFormat="false" ht="15" hidden="false" customHeight="false" outlineLevel="0" collapsed="false">
      <c r="A1534" s="22"/>
      <c r="B1534" s="11"/>
      <c r="C1534" s="24"/>
      <c r="D1534" s="31" t="str">
        <f aca="false">IF(C1534="","",IF(LEN(UPPER(SUBSTITUTE(SUBSTITUTE(SUBSTITUTE(SUBSTITUTE(TRIM(C1534),".",""),"/",""),"-","")," ","")))&lt;14,RIGHT(REPT("0",14)&amp;UPPER(SUBSTITUTE(SUBSTITUTE(SUBSTITUTE(SUBSTITUTE(TRIM(C1534),".",""),"/",""),"-","")," ","")),14),UPPER(SUBSTITUTE(SUBSTITUTE(SUBSTITUTE(SUBSTITUTE(TRIM(C1534),".",""),"/",""),"-","")," ",""))))</f>
        <v/>
      </c>
      <c r="E1534" s="25" t="str">
        <f aca="false">IF(D1534="","",IFERROR(INDEX(Empresas!$C:$C,MATCH(D1534,Empresas!$B:$B,0)),"cadastre o CNPJ em Empresas"))</f>
        <v/>
      </c>
      <c r="F1534" s="23"/>
      <c r="G1534" s="35"/>
      <c r="H1534" s="24"/>
      <c r="I1534" s="11"/>
      <c r="J1534" s="27" t="str">
        <f aca="false">IF(A1534="","",YEAR(A1534))</f>
        <v/>
      </c>
      <c r="K1534" s="24"/>
      <c r="L1534" s="11"/>
    </row>
    <row r="1535" customFormat="false" ht="15" hidden="false" customHeight="false" outlineLevel="0" collapsed="false">
      <c r="A1535" s="22"/>
      <c r="B1535" s="11"/>
      <c r="C1535" s="24"/>
      <c r="D1535" s="31" t="str">
        <f aca="false">IF(C1535="","",IF(LEN(UPPER(SUBSTITUTE(SUBSTITUTE(SUBSTITUTE(SUBSTITUTE(TRIM(C1535),".",""),"/",""),"-","")," ","")))&lt;14,RIGHT(REPT("0",14)&amp;UPPER(SUBSTITUTE(SUBSTITUTE(SUBSTITUTE(SUBSTITUTE(TRIM(C1535),".",""),"/",""),"-","")," ","")),14),UPPER(SUBSTITUTE(SUBSTITUTE(SUBSTITUTE(SUBSTITUTE(TRIM(C1535),".",""),"/",""),"-","")," ",""))))</f>
        <v/>
      </c>
      <c r="E1535" s="25" t="str">
        <f aca="false">IF(D1535="","",IFERROR(INDEX(Empresas!$C:$C,MATCH(D1535,Empresas!$B:$B,0)),"cadastre o CNPJ em Empresas"))</f>
        <v/>
      </c>
      <c r="F1535" s="23"/>
      <c r="G1535" s="35"/>
      <c r="H1535" s="24"/>
      <c r="I1535" s="11"/>
      <c r="J1535" s="27" t="str">
        <f aca="false">IF(A1535="","",YEAR(A1535))</f>
        <v/>
      </c>
      <c r="K1535" s="24"/>
      <c r="L1535" s="11"/>
    </row>
    <row r="1536" customFormat="false" ht="15" hidden="false" customHeight="false" outlineLevel="0" collapsed="false">
      <c r="A1536" s="22"/>
      <c r="B1536" s="11"/>
      <c r="C1536" s="24"/>
      <c r="D1536" s="31" t="str">
        <f aca="false">IF(C1536="","",IF(LEN(UPPER(SUBSTITUTE(SUBSTITUTE(SUBSTITUTE(SUBSTITUTE(TRIM(C1536),".",""),"/",""),"-","")," ","")))&lt;14,RIGHT(REPT("0",14)&amp;UPPER(SUBSTITUTE(SUBSTITUTE(SUBSTITUTE(SUBSTITUTE(TRIM(C1536),".",""),"/",""),"-","")," ","")),14),UPPER(SUBSTITUTE(SUBSTITUTE(SUBSTITUTE(SUBSTITUTE(TRIM(C1536),".",""),"/",""),"-","")," ",""))))</f>
        <v/>
      </c>
      <c r="E1536" s="25" t="str">
        <f aca="false">IF(D1536="","",IFERROR(INDEX(Empresas!$C:$C,MATCH(D1536,Empresas!$B:$B,0)),"cadastre o CNPJ em Empresas"))</f>
        <v/>
      </c>
      <c r="F1536" s="23"/>
      <c r="G1536" s="35"/>
      <c r="H1536" s="24"/>
      <c r="I1536" s="11"/>
      <c r="J1536" s="27" t="str">
        <f aca="false">IF(A1536="","",YEAR(A1536))</f>
        <v/>
      </c>
      <c r="K1536" s="24"/>
      <c r="L1536" s="11"/>
    </row>
    <row r="1537" customFormat="false" ht="15" hidden="false" customHeight="false" outlineLevel="0" collapsed="false">
      <c r="A1537" s="22"/>
      <c r="B1537" s="11"/>
      <c r="C1537" s="24"/>
      <c r="D1537" s="31" t="str">
        <f aca="false">IF(C1537="","",IF(LEN(UPPER(SUBSTITUTE(SUBSTITUTE(SUBSTITUTE(SUBSTITUTE(TRIM(C1537),".",""),"/",""),"-","")," ","")))&lt;14,RIGHT(REPT("0",14)&amp;UPPER(SUBSTITUTE(SUBSTITUTE(SUBSTITUTE(SUBSTITUTE(TRIM(C1537),".",""),"/",""),"-","")," ","")),14),UPPER(SUBSTITUTE(SUBSTITUTE(SUBSTITUTE(SUBSTITUTE(TRIM(C1537),".",""),"/",""),"-","")," ",""))))</f>
        <v/>
      </c>
      <c r="E1537" s="25" t="str">
        <f aca="false">IF(D1537="","",IFERROR(INDEX(Empresas!$C:$C,MATCH(D1537,Empresas!$B:$B,0)),"cadastre o CNPJ em Empresas"))</f>
        <v/>
      </c>
      <c r="F1537" s="23"/>
      <c r="G1537" s="35"/>
      <c r="H1537" s="24"/>
      <c r="I1537" s="11"/>
      <c r="J1537" s="27" t="str">
        <f aca="false">IF(A1537="","",YEAR(A1537))</f>
        <v/>
      </c>
      <c r="K1537" s="24"/>
      <c r="L1537" s="11"/>
    </row>
    <row r="1538" customFormat="false" ht="15" hidden="false" customHeight="false" outlineLevel="0" collapsed="false">
      <c r="A1538" s="22"/>
      <c r="B1538" s="11"/>
      <c r="C1538" s="24"/>
      <c r="D1538" s="31" t="str">
        <f aca="false">IF(C1538="","",IF(LEN(UPPER(SUBSTITUTE(SUBSTITUTE(SUBSTITUTE(SUBSTITUTE(TRIM(C1538),".",""),"/",""),"-","")," ","")))&lt;14,RIGHT(REPT("0",14)&amp;UPPER(SUBSTITUTE(SUBSTITUTE(SUBSTITUTE(SUBSTITUTE(TRIM(C1538),".",""),"/",""),"-","")," ","")),14),UPPER(SUBSTITUTE(SUBSTITUTE(SUBSTITUTE(SUBSTITUTE(TRIM(C1538),".",""),"/",""),"-","")," ",""))))</f>
        <v/>
      </c>
      <c r="E1538" s="25" t="str">
        <f aca="false">IF(D1538="","",IFERROR(INDEX(Empresas!$C:$C,MATCH(D1538,Empresas!$B:$B,0)),"cadastre o CNPJ em Empresas"))</f>
        <v/>
      </c>
      <c r="F1538" s="23"/>
      <c r="G1538" s="35"/>
      <c r="H1538" s="24"/>
      <c r="I1538" s="11"/>
      <c r="J1538" s="27" t="str">
        <f aca="false">IF(A1538="","",YEAR(A1538))</f>
        <v/>
      </c>
      <c r="K1538" s="24"/>
      <c r="L1538" s="11"/>
    </row>
    <row r="1539" customFormat="false" ht="15" hidden="false" customHeight="false" outlineLevel="0" collapsed="false">
      <c r="A1539" s="22"/>
      <c r="B1539" s="11"/>
      <c r="C1539" s="24"/>
      <c r="D1539" s="31" t="str">
        <f aca="false">IF(C1539="","",IF(LEN(UPPER(SUBSTITUTE(SUBSTITUTE(SUBSTITUTE(SUBSTITUTE(TRIM(C1539),".",""),"/",""),"-","")," ","")))&lt;14,RIGHT(REPT("0",14)&amp;UPPER(SUBSTITUTE(SUBSTITUTE(SUBSTITUTE(SUBSTITUTE(TRIM(C1539),".",""),"/",""),"-","")," ","")),14),UPPER(SUBSTITUTE(SUBSTITUTE(SUBSTITUTE(SUBSTITUTE(TRIM(C1539),".",""),"/",""),"-","")," ",""))))</f>
        <v/>
      </c>
      <c r="E1539" s="25" t="str">
        <f aca="false">IF(D1539="","",IFERROR(INDEX(Empresas!$C:$C,MATCH(D1539,Empresas!$B:$B,0)),"cadastre o CNPJ em Empresas"))</f>
        <v/>
      </c>
      <c r="F1539" s="23"/>
      <c r="G1539" s="35"/>
      <c r="H1539" s="24"/>
      <c r="I1539" s="11"/>
      <c r="J1539" s="27" t="str">
        <f aca="false">IF(A1539="","",YEAR(A1539))</f>
        <v/>
      </c>
      <c r="K1539" s="24"/>
      <c r="L1539" s="11"/>
    </row>
    <row r="1540" customFormat="false" ht="15" hidden="false" customHeight="false" outlineLevel="0" collapsed="false">
      <c r="A1540" s="22"/>
      <c r="B1540" s="11"/>
      <c r="C1540" s="24"/>
      <c r="D1540" s="31" t="str">
        <f aca="false">IF(C1540="","",IF(LEN(UPPER(SUBSTITUTE(SUBSTITUTE(SUBSTITUTE(SUBSTITUTE(TRIM(C1540),".",""),"/",""),"-","")," ","")))&lt;14,RIGHT(REPT("0",14)&amp;UPPER(SUBSTITUTE(SUBSTITUTE(SUBSTITUTE(SUBSTITUTE(TRIM(C1540),".",""),"/",""),"-","")," ","")),14),UPPER(SUBSTITUTE(SUBSTITUTE(SUBSTITUTE(SUBSTITUTE(TRIM(C1540),".",""),"/",""),"-","")," ",""))))</f>
        <v/>
      </c>
      <c r="E1540" s="25" t="str">
        <f aca="false">IF(D1540="","",IFERROR(INDEX(Empresas!$C:$C,MATCH(D1540,Empresas!$B:$B,0)),"cadastre o CNPJ em Empresas"))</f>
        <v/>
      </c>
      <c r="F1540" s="23"/>
      <c r="G1540" s="35"/>
      <c r="H1540" s="24"/>
      <c r="I1540" s="11"/>
      <c r="J1540" s="27" t="str">
        <f aca="false">IF(A1540="","",YEAR(A1540))</f>
        <v/>
      </c>
      <c r="K1540" s="24"/>
      <c r="L1540" s="11"/>
    </row>
    <row r="1541" customFormat="false" ht="15" hidden="false" customHeight="false" outlineLevel="0" collapsed="false">
      <c r="A1541" s="22"/>
      <c r="B1541" s="11"/>
      <c r="C1541" s="24"/>
      <c r="D1541" s="31" t="str">
        <f aca="false">IF(C1541="","",IF(LEN(UPPER(SUBSTITUTE(SUBSTITUTE(SUBSTITUTE(SUBSTITUTE(TRIM(C1541),".",""),"/",""),"-","")," ","")))&lt;14,RIGHT(REPT("0",14)&amp;UPPER(SUBSTITUTE(SUBSTITUTE(SUBSTITUTE(SUBSTITUTE(TRIM(C1541),".",""),"/",""),"-","")," ","")),14),UPPER(SUBSTITUTE(SUBSTITUTE(SUBSTITUTE(SUBSTITUTE(TRIM(C1541),".",""),"/",""),"-","")," ",""))))</f>
        <v/>
      </c>
      <c r="E1541" s="25" t="str">
        <f aca="false">IF(D1541="","",IFERROR(INDEX(Empresas!$C:$C,MATCH(D1541,Empresas!$B:$B,0)),"cadastre o CNPJ em Empresas"))</f>
        <v/>
      </c>
      <c r="F1541" s="23"/>
      <c r="G1541" s="35"/>
      <c r="H1541" s="24"/>
      <c r="I1541" s="11"/>
      <c r="J1541" s="27" t="str">
        <f aca="false">IF(A1541="","",YEAR(A1541))</f>
        <v/>
      </c>
      <c r="K1541" s="24"/>
      <c r="L1541" s="11"/>
    </row>
    <row r="1542" customFormat="false" ht="15" hidden="false" customHeight="false" outlineLevel="0" collapsed="false">
      <c r="A1542" s="22"/>
      <c r="B1542" s="11"/>
      <c r="C1542" s="24"/>
      <c r="D1542" s="31" t="str">
        <f aca="false">IF(C1542="","",IF(LEN(UPPER(SUBSTITUTE(SUBSTITUTE(SUBSTITUTE(SUBSTITUTE(TRIM(C1542),".",""),"/",""),"-","")," ","")))&lt;14,RIGHT(REPT("0",14)&amp;UPPER(SUBSTITUTE(SUBSTITUTE(SUBSTITUTE(SUBSTITUTE(TRIM(C1542),".",""),"/",""),"-","")," ","")),14),UPPER(SUBSTITUTE(SUBSTITUTE(SUBSTITUTE(SUBSTITUTE(TRIM(C1542),".",""),"/",""),"-","")," ",""))))</f>
        <v/>
      </c>
      <c r="E1542" s="25" t="str">
        <f aca="false">IF(D1542="","",IFERROR(INDEX(Empresas!$C:$C,MATCH(D1542,Empresas!$B:$B,0)),"cadastre o CNPJ em Empresas"))</f>
        <v/>
      </c>
      <c r="F1542" s="23"/>
      <c r="G1542" s="35"/>
      <c r="H1542" s="24"/>
      <c r="I1542" s="11"/>
      <c r="J1542" s="27" t="str">
        <f aca="false">IF(A1542="","",YEAR(A1542))</f>
        <v/>
      </c>
      <c r="K1542" s="24"/>
      <c r="L1542" s="11"/>
    </row>
    <row r="1543" customFormat="false" ht="15" hidden="false" customHeight="false" outlineLevel="0" collapsed="false">
      <c r="A1543" s="22"/>
      <c r="B1543" s="11"/>
      <c r="C1543" s="24"/>
      <c r="D1543" s="31" t="str">
        <f aca="false">IF(C1543="","",IF(LEN(UPPER(SUBSTITUTE(SUBSTITUTE(SUBSTITUTE(SUBSTITUTE(TRIM(C1543),".",""),"/",""),"-","")," ","")))&lt;14,RIGHT(REPT("0",14)&amp;UPPER(SUBSTITUTE(SUBSTITUTE(SUBSTITUTE(SUBSTITUTE(TRIM(C1543),".",""),"/",""),"-","")," ","")),14),UPPER(SUBSTITUTE(SUBSTITUTE(SUBSTITUTE(SUBSTITUTE(TRIM(C1543),".",""),"/",""),"-","")," ",""))))</f>
        <v/>
      </c>
      <c r="E1543" s="25" t="str">
        <f aca="false">IF(D1543="","",IFERROR(INDEX(Empresas!$C:$C,MATCH(D1543,Empresas!$B:$B,0)),"cadastre o CNPJ em Empresas"))</f>
        <v/>
      </c>
      <c r="F1543" s="23"/>
      <c r="G1543" s="35"/>
      <c r="H1543" s="24"/>
      <c r="I1543" s="11"/>
      <c r="J1543" s="27" t="str">
        <f aca="false">IF(A1543="","",YEAR(A1543))</f>
        <v/>
      </c>
      <c r="K1543" s="24"/>
      <c r="L1543" s="11"/>
    </row>
    <row r="1544" customFormat="false" ht="15" hidden="false" customHeight="false" outlineLevel="0" collapsed="false">
      <c r="A1544" s="22"/>
      <c r="B1544" s="11"/>
      <c r="C1544" s="24"/>
      <c r="D1544" s="31" t="str">
        <f aca="false">IF(C1544="","",IF(LEN(UPPER(SUBSTITUTE(SUBSTITUTE(SUBSTITUTE(SUBSTITUTE(TRIM(C1544),".",""),"/",""),"-","")," ","")))&lt;14,RIGHT(REPT("0",14)&amp;UPPER(SUBSTITUTE(SUBSTITUTE(SUBSTITUTE(SUBSTITUTE(TRIM(C1544),".",""),"/",""),"-","")," ","")),14),UPPER(SUBSTITUTE(SUBSTITUTE(SUBSTITUTE(SUBSTITUTE(TRIM(C1544),".",""),"/",""),"-","")," ",""))))</f>
        <v/>
      </c>
      <c r="E1544" s="25" t="str">
        <f aca="false">IF(D1544="","",IFERROR(INDEX(Empresas!$C:$C,MATCH(D1544,Empresas!$B:$B,0)),"cadastre o CNPJ em Empresas"))</f>
        <v/>
      </c>
      <c r="F1544" s="23"/>
      <c r="G1544" s="35"/>
      <c r="H1544" s="24"/>
      <c r="I1544" s="11"/>
      <c r="J1544" s="27" t="str">
        <f aca="false">IF(A1544="","",YEAR(A1544))</f>
        <v/>
      </c>
      <c r="K1544" s="24"/>
      <c r="L1544" s="11"/>
    </row>
    <row r="1545" customFormat="false" ht="15" hidden="false" customHeight="false" outlineLevel="0" collapsed="false">
      <c r="A1545" s="22"/>
      <c r="B1545" s="11"/>
      <c r="C1545" s="24"/>
      <c r="D1545" s="31" t="str">
        <f aca="false">IF(C1545="","",IF(LEN(UPPER(SUBSTITUTE(SUBSTITUTE(SUBSTITUTE(SUBSTITUTE(TRIM(C1545),".",""),"/",""),"-","")," ","")))&lt;14,RIGHT(REPT("0",14)&amp;UPPER(SUBSTITUTE(SUBSTITUTE(SUBSTITUTE(SUBSTITUTE(TRIM(C1545),".",""),"/",""),"-","")," ","")),14),UPPER(SUBSTITUTE(SUBSTITUTE(SUBSTITUTE(SUBSTITUTE(TRIM(C1545),".",""),"/",""),"-","")," ",""))))</f>
        <v/>
      </c>
      <c r="E1545" s="25" t="str">
        <f aca="false">IF(D1545="","",IFERROR(INDEX(Empresas!$C:$C,MATCH(D1545,Empresas!$B:$B,0)),"cadastre o CNPJ em Empresas"))</f>
        <v/>
      </c>
      <c r="F1545" s="23"/>
      <c r="G1545" s="35"/>
      <c r="H1545" s="24"/>
      <c r="I1545" s="11"/>
      <c r="J1545" s="27" t="str">
        <f aca="false">IF(A1545="","",YEAR(A1545))</f>
        <v/>
      </c>
      <c r="K1545" s="24"/>
      <c r="L1545" s="11"/>
    </row>
    <row r="1546" customFormat="false" ht="15" hidden="false" customHeight="false" outlineLevel="0" collapsed="false">
      <c r="A1546" s="22"/>
      <c r="B1546" s="11"/>
      <c r="C1546" s="24"/>
      <c r="D1546" s="31" t="str">
        <f aca="false">IF(C1546="","",IF(LEN(UPPER(SUBSTITUTE(SUBSTITUTE(SUBSTITUTE(SUBSTITUTE(TRIM(C1546),".",""),"/",""),"-","")," ","")))&lt;14,RIGHT(REPT("0",14)&amp;UPPER(SUBSTITUTE(SUBSTITUTE(SUBSTITUTE(SUBSTITUTE(TRIM(C1546),".",""),"/",""),"-","")," ","")),14),UPPER(SUBSTITUTE(SUBSTITUTE(SUBSTITUTE(SUBSTITUTE(TRIM(C1546),".",""),"/",""),"-","")," ",""))))</f>
        <v/>
      </c>
      <c r="E1546" s="25" t="str">
        <f aca="false">IF(D1546="","",IFERROR(INDEX(Empresas!$C:$C,MATCH(D1546,Empresas!$B:$B,0)),"cadastre o CNPJ em Empresas"))</f>
        <v/>
      </c>
      <c r="F1546" s="23"/>
      <c r="G1546" s="35"/>
      <c r="H1546" s="24"/>
      <c r="I1546" s="11"/>
      <c r="J1546" s="27" t="str">
        <f aca="false">IF(A1546="","",YEAR(A1546))</f>
        <v/>
      </c>
      <c r="K1546" s="24"/>
      <c r="L1546" s="11"/>
    </row>
    <row r="1547" customFormat="false" ht="15" hidden="false" customHeight="false" outlineLevel="0" collapsed="false">
      <c r="A1547" s="22"/>
      <c r="B1547" s="11"/>
      <c r="C1547" s="24"/>
      <c r="D1547" s="31" t="str">
        <f aca="false">IF(C1547="","",IF(LEN(UPPER(SUBSTITUTE(SUBSTITUTE(SUBSTITUTE(SUBSTITUTE(TRIM(C1547),".",""),"/",""),"-","")," ","")))&lt;14,RIGHT(REPT("0",14)&amp;UPPER(SUBSTITUTE(SUBSTITUTE(SUBSTITUTE(SUBSTITUTE(TRIM(C1547),".",""),"/",""),"-","")," ","")),14),UPPER(SUBSTITUTE(SUBSTITUTE(SUBSTITUTE(SUBSTITUTE(TRIM(C1547),".",""),"/",""),"-","")," ",""))))</f>
        <v/>
      </c>
      <c r="E1547" s="25" t="str">
        <f aca="false">IF(D1547="","",IFERROR(INDEX(Empresas!$C:$C,MATCH(D1547,Empresas!$B:$B,0)),"cadastre o CNPJ em Empresas"))</f>
        <v/>
      </c>
      <c r="F1547" s="23"/>
      <c r="G1547" s="35"/>
      <c r="H1547" s="24"/>
      <c r="I1547" s="11"/>
      <c r="J1547" s="27" t="str">
        <f aca="false">IF(A1547="","",YEAR(A1547))</f>
        <v/>
      </c>
      <c r="K1547" s="24"/>
      <c r="L1547" s="11"/>
    </row>
    <row r="1548" customFormat="false" ht="15" hidden="false" customHeight="false" outlineLevel="0" collapsed="false">
      <c r="A1548" s="22"/>
      <c r="B1548" s="11"/>
      <c r="C1548" s="24"/>
      <c r="D1548" s="31" t="str">
        <f aca="false">IF(C1548="","",IF(LEN(UPPER(SUBSTITUTE(SUBSTITUTE(SUBSTITUTE(SUBSTITUTE(TRIM(C1548),".",""),"/",""),"-","")," ","")))&lt;14,RIGHT(REPT("0",14)&amp;UPPER(SUBSTITUTE(SUBSTITUTE(SUBSTITUTE(SUBSTITUTE(TRIM(C1548),".",""),"/",""),"-","")," ","")),14),UPPER(SUBSTITUTE(SUBSTITUTE(SUBSTITUTE(SUBSTITUTE(TRIM(C1548),".",""),"/",""),"-","")," ",""))))</f>
        <v/>
      </c>
      <c r="E1548" s="25" t="str">
        <f aca="false">IF(D1548="","",IFERROR(INDEX(Empresas!$C:$C,MATCH(D1548,Empresas!$B:$B,0)),"cadastre o CNPJ em Empresas"))</f>
        <v/>
      </c>
      <c r="F1548" s="23"/>
      <c r="G1548" s="35"/>
      <c r="H1548" s="24"/>
      <c r="I1548" s="11"/>
      <c r="J1548" s="27" t="str">
        <f aca="false">IF(A1548="","",YEAR(A1548))</f>
        <v/>
      </c>
      <c r="K1548" s="24"/>
      <c r="L1548" s="11"/>
    </row>
    <row r="1549" customFormat="false" ht="15" hidden="false" customHeight="false" outlineLevel="0" collapsed="false">
      <c r="A1549" s="22"/>
      <c r="B1549" s="11"/>
      <c r="C1549" s="24"/>
      <c r="D1549" s="31" t="str">
        <f aca="false">IF(C1549="","",IF(LEN(UPPER(SUBSTITUTE(SUBSTITUTE(SUBSTITUTE(SUBSTITUTE(TRIM(C1549),".",""),"/",""),"-","")," ","")))&lt;14,RIGHT(REPT("0",14)&amp;UPPER(SUBSTITUTE(SUBSTITUTE(SUBSTITUTE(SUBSTITUTE(TRIM(C1549),".",""),"/",""),"-","")," ","")),14),UPPER(SUBSTITUTE(SUBSTITUTE(SUBSTITUTE(SUBSTITUTE(TRIM(C1549),".",""),"/",""),"-","")," ",""))))</f>
        <v/>
      </c>
      <c r="E1549" s="25" t="str">
        <f aca="false">IF(D1549="","",IFERROR(INDEX(Empresas!$C:$C,MATCH(D1549,Empresas!$B:$B,0)),"cadastre o CNPJ em Empresas"))</f>
        <v/>
      </c>
      <c r="F1549" s="23"/>
      <c r="G1549" s="35"/>
      <c r="H1549" s="24"/>
      <c r="I1549" s="11"/>
      <c r="J1549" s="27" t="str">
        <f aca="false">IF(A1549="","",YEAR(A1549))</f>
        <v/>
      </c>
      <c r="K1549" s="24"/>
      <c r="L1549" s="11"/>
    </row>
    <row r="1550" customFormat="false" ht="15" hidden="false" customHeight="false" outlineLevel="0" collapsed="false">
      <c r="A1550" s="22"/>
      <c r="B1550" s="11"/>
      <c r="C1550" s="24"/>
      <c r="D1550" s="31" t="str">
        <f aca="false">IF(C1550="","",IF(LEN(UPPER(SUBSTITUTE(SUBSTITUTE(SUBSTITUTE(SUBSTITUTE(TRIM(C1550),".",""),"/",""),"-","")," ","")))&lt;14,RIGHT(REPT("0",14)&amp;UPPER(SUBSTITUTE(SUBSTITUTE(SUBSTITUTE(SUBSTITUTE(TRIM(C1550),".",""),"/",""),"-","")," ","")),14),UPPER(SUBSTITUTE(SUBSTITUTE(SUBSTITUTE(SUBSTITUTE(TRIM(C1550),".",""),"/",""),"-","")," ",""))))</f>
        <v/>
      </c>
      <c r="E1550" s="25" t="str">
        <f aca="false">IF(D1550="","",IFERROR(INDEX(Empresas!$C:$C,MATCH(D1550,Empresas!$B:$B,0)),"cadastre o CNPJ em Empresas"))</f>
        <v/>
      </c>
      <c r="F1550" s="23"/>
      <c r="G1550" s="35"/>
      <c r="H1550" s="24"/>
      <c r="I1550" s="11"/>
      <c r="J1550" s="27" t="str">
        <f aca="false">IF(A1550="","",YEAR(A1550))</f>
        <v/>
      </c>
      <c r="K1550" s="24"/>
      <c r="L1550" s="11"/>
    </row>
    <row r="1551" customFormat="false" ht="15" hidden="false" customHeight="false" outlineLevel="0" collapsed="false">
      <c r="A1551" s="22"/>
      <c r="B1551" s="11"/>
      <c r="C1551" s="24"/>
      <c r="D1551" s="31" t="str">
        <f aca="false">IF(C1551="","",IF(LEN(UPPER(SUBSTITUTE(SUBSTITUTE(SUBSTITUTE(SUBSTITUTE(TRIM(C1551),".",""),"/",""),"-","")," ","")))&lt;14,RIGHT(REPT("0",14)&amp;UPPER(SUBSTITUTE(SUBSTITUTE(SUBSTITUTE(SUBSTITUTE(TRIM(C1551),".",""),"/",""),"-","")," ","")),14),UPPER(SUBSTITUTE(SUBSTITUTE(SUBSTITUTE(SUBSTITUTE(TRIM(C1551),".",""),"/",""),"-","")," ",""))))</f>
        <v/>
      </c>
      <c r="E1551" s="25" t="str">
        <f aca="false">IF(D1551="","",IFERROR(INDEX(Empresas!$C:$C,MATCH(D1551,Empresas!$B:$B,0)),"cadastre o CNPJ em Empresas"))</f>
        <v/>
      </c>
      <c r="F1551" s="23"/>
      <c r="G1551" s="35"/>
      <c r="H1551" s="24"/>
      <c r="I1551" s="11"/>
      <c r="J1551" s="27" t="str">
        <f aca="false">IF(A1551="","",YEAR(A1551))</f>
        <v/>
      </c>
      <c r="K1551" s="24"/>
      <c r="L1551" s="11"/>
    </row>
    <row r="1552" customFormat="false" ht="15" hidden="false" customHeight="false" outlineLevel="0" collapsed="false">
      <c r="A1552" s="22"/>
      <c r="B1552" s="11"/>
      <c r="C1552" s="24"/>
      <c r="D1552" s="31" t="str">
        <f aca="false">IF(C1552="","",IF(LEN(UPPER(SUBSTITUTE(SUBSTITUTE(SUBSTITUTE(SUBSTITUTE(TRIM(C1552),".",""),"/",""),"-","")," ","")))&lt;14,RIGHT(REPT("0",14)&amp;UPPER(SUBSTITUTE(SUBSTITUTE(SUBSTITUTE(SUBSTITUTE(TRIM(C1552),".",""),"/",""),"-","")," ","")),14),UPPER(SUBSTITUTE(SUBSTITUTE(SUBSTITUTE(SUBSTITUTE(TRIM(C1552),".",""),"/",""),"-","")," ",""))))</f>
        <v/>
      </c>
      <c r="E1552" s="25" t="str">
        <f aca="false">IF(D1552="","",IFERROR(INDEX(Empresas!$C:$C,MATCH(D1552,Empresas!$B:$B,0)),"cadastre o CNPJ em Empresas"))</f>
        <v/>
      </c>
      <c r="F1552" s="23"/>
      <c r="G1552" s="35"/>
      <c r="H1552" s="24"/>
      <c r="I1552" s="11"/>
      <c r="J1552" s="27" t="str">
        <f aca="false">IF(A1552="","",YEAR(A1552))</f>
        <v/>
      </c>
      <c r="K1552" s="24"/>
      <c r="L1552" s="11"/>
    </row>
    <row r="1553" customFormat="false" ht="15" hidden="false" customHeight="false" outlineLevel="0" collapsed="false">
      <c r="A1553" s="22"/>
      <c r="B1553" s="11"/>
      <c r="C1553" s="24"/>
      <c r="D1553" s="31" t="str">
        <f aca="false">IF(C1553="","",IF(LEN(UPPER(SUBSTITUTE(SUBSTITUTE(SUBSTITUTE(SUBSTITUTE(TRIM(C1553),".",""),"/",""),"-","")," ","")))&lt;14,RIGHT(REPT("0",14)&amp;UPPER(SUBSTITUTE(SUBSTITUTE(SUBSTITUTE(SUBSTITUTE(TRIM(C1553),".",""),"/",""),"-","")," ","")),14),UPPER(SUBSTITUTE(SUBSTITUTE(SUBSTITUTE(SUBSTITUTE(TRIM(C1553),".",""),"/",""),"-","")," ",""))))</f>
        <v/>
      </c>
      <c r="E1553" s="25" t="str">
        <f aca="false">IF(D1553="","",IFERROR(INDEX(Empresas!$C:$C,MATCH(D1553,Empresas!$B:$B,0)),"cadastre o CNPJ em Empresas"))</f>
        <v/>
      </c>
      <c r="F1553" s="23"/>
      <c r="G1553" s="35"/>
      <c r="H1553" s="24"/>
      <c r="I1553" s="11"/>
      <c r="J1553" s="27" t="str">
        <f aca="false">IF(A1553="","",YEAR(A1553))</f>
        <v/>
      </c>
      <c r="K1553" s="24"/>
      <c r="L1553" s="11"/>
    </row>
    <row r="1554" customFormat="false" ht="15" hidden="false" customHeight="false" outlineLevel="0" collapsed="false">
      <c r="A1554" s="22"/>
      <c r="B1554" s="11"/>
      <c r="C1554" s="24"/>
      <c r="D1554" s="31" t="str">
        <f aca="false">IF(C1554="","",IF(LEN(UPPER(SUBSTITUTE(SUBSTITUTE(SUBSTITUTE(SUBSTITUTE(TRIM(C1554),".",""),"/",""),"-","")," ","")))&lt;14,RIGHT(REPT("0",14)&amp;UPPER(SUBSTITUTE(SUBSTITUTE(SUBSTITUTE(SUBSTITUTE(TRIM(C1554),".",""),"/",""),"-","")," ","")),14),UPPER(SUBSTITUTE(SUBSTITUTE(SUBSTITUTE(SUBSTITUTE(TRIM(C1554),".",""),"/",""),"-","")," ",""))))</f>
        <v/>
      </c>
      <c r="E1554" s="25" t="str">
        <f aca="false">IF(D1554="","",IFERROR(INDEX(Empresas!$C:$C,MATCH(D1554,Empresas!$B:$B,0)),"cadastre o CNPJ em Empresas"))</f>
        <v/>
      </c>
      <c r="F1554" s="23"/>
      <c r="G1554" s="35"/>
      <c r="H1554" s="24"/>
      <c r="I1554" s="11"/>
      <c r="J1554" s="27" t="str">
        <f aca="false">IF(A1554="","",YEAR(A1554))</f>
        <v/>
      </c>
      <c r="K1554" s="24"/>
      <c r="L1554" s="11"/>
    </row>
    <row r="1555" customFormat="false" ht="15" hidden="false" customHeight="false" outlineLevel="0" collapsed="false">
      <c r="A1555" s="22"/>
      <c r="B1555" s="11"/>
      <c r="C1555" s="24"/>
      <c r="D1555" s="31" t="str">
        <f aca="false">IF(C1555="","",IF(LEN(UPPER(SUBSTITUTE(SUBSTITUTE(SUBSTITUTE(SUBSTITUTE(TRIM(C1555),".",""),"/",""),"-","")," ","")))&lt;14,RIGHT(REPT("0",14)&amp;UPPER(SUBSTITUTE(SUBSTITUTE(SUBSTITUTE(SUBSTITUTE(TRIM(C1555),".",""),"/",""),"-","")," ","")),14),UPPER(SUBSTITUTE(SUBSTITUTE(SUBSTITUTE(SUBSTITUTE(TRIM(C1555),".",""),"/",""),"-","")," ",""))))</f>
        <v/>
      </c>
      <c r="E1555" s="25" t="str">
        <f aca="false">IF(D1555="","",IFERROR(INDEX(Empresas!$C:$C,MATCH(D1555,Empresas!$B:$B,0)),"cadastre o CNPJ em Empresas"))</f>
        <v/>
      </c>
      <c r="F1555" s="23"/>
      <c r="G1555" s="35"/>
      <c r="H1555" s="24"/>
      <c r="I1555" s="11"/>
      <c r="J1555" s="27" t="str">
        <f aca="false">IF(A1555="","",YEAR(A1555))</f>
        <v/>
      </c>
      <c r="K1555" s="24"/>
      <c r="L1555" s="11"/>
    </row>
    <row r="1556" customFormat="false" ht="15" hidden="false" customHeight="false" outlineLevel="0" collapsed="false">
      <c r="A1556" s="22"/>
      <c r="B1556" s="11"/>
      <c r="C1556" s="24"/>
      <c r="D1556" s="31" t="str">
        <f aca="false">IF(C1556="","",IF(LEN(UPPER(SUBSTITUTE(SUBSTITUTE(SUBSTITUTE(SUBSTITUTE(TRIM(C1556),".",""),"/",""),"-","")," ","")))&lt;14,RIGHT(REPT("0",14)&amp;UPPER(SUBSTITUTE(SUBSTITUTE(SUBSTITUTE(SUBSTITUTE(TRIM(C1556),".",""),"/",""),"-","")," ","")),14),UPPER(SUBSTITUTE(SUBSTITUTE(SUBSTITUTE(SUBSTITUTE(TRIM(C1556),".",""),"/",""),"-","")," ",""))))</f>
        <v/>
      </c>
      <c r="E1556" s="25" t="str">
        <f aca="false">IF(D1556="","",IFERROR(INDEX(Empresas!$C:$C,MATCH(D1556,Empresas!$B:$B,0)),"cadastre o CNPJ em Empresas"))</f>
        <v/>
      </c>
      <c r="F1556" s="23"/>
      <c r="G1556" s="35"/>
      <c r="H1556" s="24"/>
      <c r="I1556" s="11"/>
      <c r="J1556" s="27" t="str">
        <f aca="false">IF(A1556="","",YEAR(A1556))</f>
        <v/>
      </c>
      <c r="K1556" s="24"/>
      <c r="L1556" s="11"/>
    </row>
    <row r="1557" customFormat="false" ht="15" hidden="false" customHeight="false" outlineLevel="0" collapsed="false">
      <c r="A1557" s="22"/>
      <c r="B1557" s="11"/>
      <c r="C1557" s="24"/>
      <c r="D1557" s="31" t="str">
        <f aca="false">IF(C1557="","",IF(LEN(UPPER(SUBSTITUTE(SUBSTITUTE(SUBSTITUTE(SUBSTITUTE(TRIM(C1557),".",""),"/",""),"-","")," ","")))&lt;14,RIGHT(REPT("0",14)&amp;UPPER(SUBSTITUTE(SUBSTITUTE(SUBSTITUTE(SUBSTITUTE(TRIM(C1557),".",""),"/",""),"-","")," ","")),14),UPPER(SUBSTITUTE(SUBSTITUTE(SUBSTITUTE(SUBSTITUTE(TRIM(C1557),".",""),"/",""),"-","")," ",""))))</f>
        <v/>
      </c>
      <c r="E1557" s="25" t="str">
        <f aca="false">IF(D1557="","",IFERROR(INDEX(Empresas!$C:$C,MATCH(D1557,Empresas!$B:$B,0)),"cadastre o CNPJ em Empresas"))</f>
        <v/>
      </c>
      <c r="F1557" s="23"/>
      <c r="G1557" s="35"/>
      <c r="H1557" s="24"/>
      <c r="I1557" s="11"/>
      <c r="J1557" s="27" t="str">
        <f aca="false">IF(A1557="","",YEAR(A1557))</f>
        <v/>
      </c>
      <c r="K1557" s="24"/>
      <c r="L1557" s="11"/>
    </row>
    <row r="1558" customFormat="false" ht="15" hidden="false" customHeight="false" outlineLevel="0" collapsed="false">
      <c r="A1558" s="22"/>
      <c r="B1558" s="11"/>
      <c r="C1558" s="24"/>
      <c r="D1558" s="31" t="str">
        <f aca="false">IF(C1558="","",IF(LEN(UPPER(SUBSTITUTE(SUBSTITUTE(SUBSTITUTE(SUBSTITUTE(TRIM(C1558),".",""),"/",""),"-","")," ","")))&lt;14,RIGHT(REPT("0",14)&amp;UPPER(SUBSTITUTE(SUBSTITUTE(SUBSTITUTE(SUBSTITUTE(TRIM(C1558),".",""),"/",""),"-","")," ","")),14),UPPER(SUBSTITUTE(SUBSTITUTE(SUBSTITUTE(SUBSTITUTE(TRIM(C1558),".",""),"/",""),"-","")," ",""))))</f>
        <v/>
      </c>
      <c r="E1558" s="25" t="str">
        <f aca="false">IF(D1558="","",IFERROR(INDEX(Empresas!$C:$C,MATCH(D1558,Empresas!$B:$B,0)),"cadastre o CNPJ em Empresas"))</f>
        <v/>
      </c>
      <c r="F1558" s="23"/>
      <c r="G1558" s="35"/>
      <c r="H1558" s="24"/>
      <c r="I1558" s="11"/>
      <c r="J1558" s="27" t="str">
        <f aca="false">IF(A1558="","",YEAR(A1558))</f>
        <v/>
      </c>
      <c r="K1558" s="24"/>
      <c r="L1558" s="11"/>
    </row>
    <row r="1559" customFormat="false" ht="15" hidden="false" customHeight="false" outlineLevel="0" collapsed="false">
      <c r="A1559" s="22"/>
      <c r="B1559" s="11"/>
      <c r="C1559" s="24"/>
      <c r="D1559" s="31" t="str">
        <f aca="false">IF(C1559="","",IF(LEN(UPPER(SUBSTITUTE(SUBSTITUTE(SUBSTITUTE(SUBSTITUTE(TRIM(C1559),".",""),"/",""),"-","")," ","")))&lt;14,RIGHT(REPT("0",14)&amp;UPPER(SUBSTITUTE(SUBSTITUTE(SUBSTITUTE(SUBSTITUTE(TRIM(C1559),".",""),"/",""),"-","")," ","")),14),UPPER(SUBSTITUTE(SUBSTITUTE(SUBSTITUTE(SUBSTITUTE(TRIM(C1559),".",""),"/",""),"-","")," ",""))))</f>
        <v/>
      </c>
      <c r="E1559" s="25" t="str">
        <f aca="false">IF(D1559="","",IFERROR(INDEX(Empresas!$C:$C,MATCH(D1559,Empresas!$B:$B,0)),"cadastre o CNPJ em Empresas"))</f>
        <v/>
      </c>
      <c r="F1559" s="23"/>
      <c r="G1559" s="35"/>
      <c r="H1559" s="24"/>
      <c r="I1559" s="11"/>
      <c r="J1559" s="27" t="str">
        <f aca="false">IF(A1559="","",YEAR(A1559))</f>
        <v/>
      </c>
      <c r="K1559" s="24"/>
      <c r="L1559" s="11"/>
    </row>
    <row r="1560" customFormat="false" ht="15" hidden="false" customHeight="false" outlineLevel="0" collapsed="false">
      <c r="A1560" s="22"/>
      <c r="B1560" s="11"/>
      <c r="C1560" s="24"/>
      <c r="D1560" s="31" t="str">
        <f aca="false">IF(C1560="","",IF(LEN(UPPER(SUBSTITUTE(SUBSTITUTE(SUBSTITUTE(SUBSTITUTE(TRIM(C1560),".",""),"/",""),"-","")," ","")))&lt;14,RIGHT(REPT("0",14)&amp;UPPER(SUBSTITUTE(SUBSTITUTE(SUBSTITUTE(SUBSTITUTE(TRIM(C1560),".",""),"/",""),"-","")," ","")),14),UPPER(SUBSTITUTE(SUBSTITUTE(SUBSTITUTE(SUBSTITUTE(TRIM(C1560),".",""),"/",""),"-","")," ",""))))</f>
        <v/>
      </c>
      <c r="E1560" s="25" t="str">
        <f aca="false">IF(D1560="","",IFERROR(INDEX(Empresas!$C:$C,MATCH(D1560,Empresas!$B:$B,0)),"cadastre o CNPJ em Empresas"))</f>
        <v/>
      </c>
      <c r="F1560" s="23"/>
      <c r="G1560" s="35"/>
      <c r="H1560" s="24"/>
      <c r="I1560" s="11"/>
      <c r="J1560" s="27" t="str">
        <f aca="false">IF(A1560="","",YEAR(A1560))</f>
        <v/>
      </c>
      <c r="K1560" s="24"/>
      <c r="L1560" s="11"/>
    </row>
    <row r="1561" customFormat="false" ht="15" hidden="false" customHeight="false" outlineLevel="0" collapsed="false">
      <c r="A1561" s="22"/>
      <c r="B1561" s="11"/>
      <c r="C1561" s="24"/>
      <c r="D1561" s="31" t="str">
        <f aca="false">IF(C1561="","",IF(LEN(UPPER(SUBSTITUTE(SUBSTITUTE(SUBSTITUTE(SUBSTITUTE(TRIM(C1561),".",""),"/",""),"-","")," ","")))&lt;14,RIGHT(REPT("0",14)&amp;UPPER(SUBSTITUTE(SUBSTITUTE(SUBSTITUTE(SUBSTITUTE(TRIM(C1561),".",""),"/",""),"-","")," ","")),14),UPPER(SUBSTITUTE(SUBSTITUTE(SUBSTITUTE(SUBSTITUTE(TRIM(C1561),".",""),"/",""),"-","")," ",""))))</f>
        <v/>
      </c>
      <c r="E1561" s="25" t="str">
        <f aca="false">IF(D1561="","",IFERROR(INDEX(Empresas!$C:$C,MATCH(D1561,Empresas!$B:$B,0)),"cadastre o CNPJ em Empresas"))</f>
        <v/>
      </c>
      <c r="F1561" s="23"/>
      <c r="G1561" s="35"/>
      <c r="H1561" s="24"/>
      <c r="I1561" s="11"/>
      <c r="J1561" s="27" t="str">
        <f aca="false">IF(A1561="","",YEAR(A1561))</f>
        <v/>
      </c>
      <c r="K1561" s="24"/>
      <c r="L1561" s="11"/>
    </row>
    <row r="1562" customFormat="false" ht="15" hidden="false" customHeight="false" outlineLevel="0" collapsed="false">
      <c r="A1562" s="22"/>
      <c r="B1562" s="11"/>
      <c r="C1562" s="24"/>
      <c r="D1562" s="31" t="str">
        <f aca="false">IF(C1562="","",IF(LEN(UPPER(SUBSTITUTE(SUBSTITUTE(SUBSTITUTE(SUBSTITUTE(TRIM(C1562),".",""),"/",""),"-","")," ","")))&lt;14,RIGHT(REPT("0",14)&amp;UPPER(SUBSTITUTE(SUBSTITUTE(SUBSTITUTE(SUBSTITUTE(TRIM(C1562),".",""),"/",""),"-","")," ","")),14),UPPER(SUBSTITUTE(SUBSTITUTE(SUBSTITUTE(SUBSTITUTE(TRIM(C1562),".",""),"/",""),"-","")," ",""))))</f>
        <v/>
      </c>
      <c r="E1562" s="25" t="str">
        <f aca="false">IF(D1562="","",IFERROR(INDEX(Empresas!$C:$C,MATCH(D1562,Empresas!$B:$B,0)),"cadastre o CNPJ em Empresas"))</f>
        <v/>
      </c>
      <c r="F1562" s="23"/>
      <c r="G1562" s="35"/>
      <c r="H1562" s="24"/>
      <c r="I1562" s="11"/>
      <c r="J1562" s="27" t="str">
        <f aca="false">IF(A1562="","",YEAR(A1562))</f>
        <v/>
      </c>
      <c r="K1562" s="24"/>
      <c r="L1562" s="11"/>
    </row>
    <row r="1563" customFormat="false" ht="15" hidden="false" customHeight="false" outlineLevel="0" collapsed="false">
      <c r="A1563" s="22"/>
      <c r="B1563" s="11"/>
      <c r="C1563" s="24"/>
      <c r="D1563" s="31" t="str">
        <f aca="false">IF(C1563="","",IF(LEN(UPPER(SUBSTITUTE(SUBSTITUTE(SUBSTITUTE(SUBSTITUTE(TRIM(C1563),".",""),"/",""),"-","")," ","")))&lt;14,RIGHT(REPT("0",14)&amp;UPPER(SUBSTITUTE(SUBSTITUTE(SUBSTITUTE(SUBSTITUTE(TRIM(C1563),".",""),"/",""),"-","")," ","")),14),UPPER(SUBSTITUTE(SUBSTITUTE(SUBSTITUTE(SUBSTITUTE(TRIM(C1563),".",""),"/",""),"-","")," ",""))))</f>
        <v/>
      </c>
      <c r="E1563" s="25" t="str">
        <f aca="false">IF(D1563="","",IFERROR(INDEX(Empresas!$C:$C,MATCH(D1563,Empresas!$B:$B,0)),"cadastre o CNPJ em Empresas"))</f>
        <v/>
      </c>
      <c r="F1563" s="23"/>
      <c r="G1563" s="35"/>
      <c r="H1563" s="24"/>
      <c r="I1563" s="11"/>
      <c r="J1563" s="27" t="str">
        <f aca="false">IF(A1563="","",YEAR(A1563))</f>
        <v/>
      </c>
      <c r="K1563" s="24"/>
      <c r="L1563" s="11"/>
    </row>
    <row r="1564" customFormat="false" ht="15" hidden="false" customHeight="false" outlineLevel="0" collapsed="false">
      <c r="A1564" s="22"/>
      <c r="B1564" s="11"/>
      <c r="C1564" s="24"/>
      <c r="D1564" s="31" t="str">
        <f aca="false">IF(C1564="","",IF(LEN(UPPER(SUBSTITUTE(SUBSTITUTE(SUBSTITUTE(SUBSTITUTE(TRIM(C1564),".",""),"/",""),"-","")," ","")))&lt;14,RIGHT(REPT("0",14)&amp;UPPER(SUBSTITUTE(SUBSTITUTE(SUBSTITUTE(SUBSTITUTE(TRIM(C1564),".",""),"/",""),"-","")," ","")),14),UPPER(SUBSTITUTE(SUBSTITUTE(SUBSTITUTE(SUBSTITUTE(TRIM(C1564),".",""),"/",""),"-","")," ",""))))</f>
        <v/>
      </c>
      <c r="E1564" s="25" t="str">
        <f aca="false">IF(D1564="","",IFERROR(INDEX(Empresas!$C:$C,MATCH(D1564,Empresas!$B:$B,0)),"cadastre o CNPJ em Empresas"))</f>
        <v/>
      </c>
      <c r="F1564" s="23"/>
      <c r="G1564" s="35"/>
      <c r="H1564" s="24"/>
      <c r="I1564" s="11"/>
      <c r="J1564" s="27" t="str">
        <f aca="false">IF(A1564="","",YEAR(A1564))</f>
        <v/>
      </c>
      <c r="K1564" s="24"/>
      <c r="L1564" s="11"/>
    </row>
    <row r="1565" customFormat="false" ht="15" hidden="false" customHeight="false" outlineLevel="0" collapsed="false">
      <c r="A1565" s="22"/>
      <c r="B1565" s="11"/>
      <c r="C1565" s="24"/>
      <c r="D1565" s="31" t="str">
        <f aca="false">IF(C1565="","",IF(LEN(UPPER(SUBSTITUTE(SUBSTITUTE(SUBSTITUTE(SUBSTITUTE(TRIM(C1565),".",""),"/",""),"-","")," ","")))&lt;14,RIGHT(REPT("0",14)&amp;UPPER(SUBSTITUTE(SUBSTITUTE(SUBSTITUTE(SUBSTITUTE(TRIM(C1565),".",""),"/",""),"-","")," ","")),14),UPPER(SUBSTITUTE(SUBSTITUTE(SUBSTITUTE(SUBSTITUTE(TRIM(C1565),".",""),"/",""),"-","")," ",""))))</f>
        <v/>
      </c>
      <c r="E1565" s="25" t="str">
        <f aca="false">IF(D1565="","",IFERROR(INDEX(Empresas!$C:$C,MATCH(D1565,Empresas!$B:$B,0)),"cadastre o CNPJ em Empresas"))</f>
        <v/>
      </c>
      <c r="F1565" s="23"/>
      <c r="G1565" s="35"/>
      <c r="H1565" s="24"/>
      <c r="I1565" s="11"/>
      <c r="J1565" s="27" t="str">
        <f aca="false">IF(A1565="","",YEAR(A1565))</f>
        <v/>
      </c>
      <c r="K1565" s="24"/>
      <c r="L1565" s="11"/>
    </row>
    <row r="1566" customFormat="false" ht="15" hidden="false" customHeight="false" outlineLevel="0" collapsed="false">
      <c r="A1566" s="22"/>
      <c r="B1566" s="11"/>
      <c r="C1566" s="24"/>
      <c r="D1566" s="31" t="str">
        <f aca="false">IF(C1566="","",IF(LEN(UPPER(SUBSTITUTE(SUBSTITUTE(SUBSTITUTE(SUBSTITUTE(TRIM(C1566),".",""),"/",""),"-","")," ","")))&lt;14,RIGHT(REPT("0",14)&amp;UPPER(SUBSTITUTE(SUBSTITUTE(SUBSTITUTE(SUBSTITUTE(TRIM(C1566),".",""),"/",""),"-","")," ","")),14),UPPER(SUBSTITUTE(SUBSTITUTE(SUBSTITUTE(SUBSTITUTE(TRIM(C1566),".",""),"/",""),"-","")," ",""))))</f>
        <v/>
      </c>
      <c r="E1566" s="25" t="str">
        <f aca="false">IF(D1566="","",IFERROR(INDEX(Empresas!$C:$C,MATCH(D1566,Empresas!$B:$B,0)),"cadastre o CNPJ em Empresas"))</f>
        <v/>
      </c>
      <c r="F1566" s="23"/>
      <c r="G1566" s="35"/>
      <c r="H1566" s="24"/>
      <c r="I1566" s="11"/>
      <c r="J1566" s="27" t="str">
        <f aca="false">IF(A1566="","",YEAR(A1566))</f>
        <v/>
      </c>
      <c r="K1566" s="24"/>
      <c r="L1566" s="11"/>
    </row>
    <row r="1567" customFormat="false" ht="15" hidden="false" customHeight="false" outlineLevel="0" collapsed="false">
      <c r="A1567" s="22"/>
      <c r="B1567" s="11"/>
      <c r="C1567" s="24"/>
      <c r="D1567" s="31" t="str">
        <f aca="false">IF(C1567="","",IF(LEN(UPPER(SUBSTITUTE(SUBSTITUTE(SUBSTITUTE(SUBSTITUTE(TRIM(C1567),".",""),"/",""),"-","")," ","")))&lt;14,RIGHT(REPT("0",14)&amp;UPPER(SUBSTITUTE(SUBSTITUTE(SUBSTITUTE(SUBSTITUTE(TRIM(C1567),".",""),"/",""),"-","")," ","")),14),UPPER(SUBSTITUTE(SUBSTITUTE(SUBSTITUTE(SUBSTITUTE(TRIM(C1567),".",""),"/",""),"-","")," ",""))))</f>
        <v/>
      </c>
      <c r="E1567" s="25" t="str">
        <f aca="false">IF(D1567="","",IFERROR(INDEX(Empresas!$C:$C,MATCH(D1567,Empresas!$B:$B,0)),"cadastre o CNPJ em Empresas"))</f>
        <v/>
      </c>
      <c r="F1567" s="23"/>
      <c r="G1567" s="35"/>
      <c r="H1567" s="24"/>
      <c r="I1567" s="11"/>
      <c r="J1567" s="27" t="str">
        <f aca="false">IF(A1567="","",YEAR(A1567))</f>
        <v/>
      </c>
      <c r="K1567" s="24"/>
      <c r="L1567" s="11"/>
    </row>
    <row r="1568" customFormat="false" ht="15" hidden="false" customHeight="false" outlineLevel="0" collapsed="false">
      <c r="A1568" s="22"/>
      <c r="B1568" s="11"/>
      <c r="C1568" s="24"/>
      <c r="D1568" s="31" t="str">
        <f aca="false">IF(C1568="","",IF(LEN(UPPER(SUBSTITUTE(SUBSTITUTE(SUBSTITUTE(SUBSTITUTE(TRIM(C1568),".",""),"/",""),"-","")," ","")))&lt;14,RIGHT(REPT("0",14)&amp;UPPER(SUBSTITUTE(SUBSTITUTE(SUBSTITUTE(SUBSTITUTE(TRIM(C1568),".",""),"/",""),"-","")," ","")),14),UPPER(SUBSTITUTE(SUBSTITUTE(SUBSTITUTE(SUBSTITUTE(TRIM(C1568),".",""),"/",""),"-","")," ",""))))</f>
        <v/>
      </c>
      <c r="E1568" s="25" t="str">
        <f aca="false">IF(D1568="","",IFERROR(INDEX(Empresas!$C:$C,MATCH(D1568,Empresas!$B:$B,0)),"cadastre o CNPJ em Empresas"))</f>
        <v/>
      </c>
      <c r="F1568" s="23"/>
      <c r="G1568" s="35"/>
      <c r="H1568" s="24"/>
      <c r="I1568" s="11"/>
      <c r="J1568" s="27" t="str">
        <f aca="false">IF(A1568="","",YEAR(A1568))</f>
        <v/>
      </c>
      <c r="K1568" s="24"/>
      <c r="L1568" s="11"/>
    </row>
    <row r="1569" customFormat="false" ht="15" hidden="false" customHeight="false" outlineLevel="0" collapsed="false">
      <c r="A1569" s="22"/>
      <c r="B1569" s="11"/>
      <c r="C1569" s="24"/>
      <c r="D1569" s="31" t="str">
        <f aca="false">IF(C1569="","",IF(LEN(UPPER(SUBSTITUTE(SUBSTITUTE(SUBSTITUTE(SUBSTITUTE(TRIM(C1569),".",""),"/",""),"-","")," ","")))&lt;14,RIGHT(REPT("0",14)&amp;UPPER(SUBSTITUTE(SUBSTITUTE(SUBSTITUTE(SUBSTITUTE(TRIM(C1569),".",""),"/",""),"-","")," ","")),14),UPPER(SUBSTITUTE(SUBSTITUTE(SUBSTITUTE(SUBSTITUTE(TRIM(C1569),".",""),"/",""),"-","")," ",""))))</f>
        <v/>
      </c>
      <c r="E1569" s="25" t="str">
        <f aca="false">IF(D1569="","",IFERROR(INDEX(Empresas!$C:$C,MATCH(D1569,Empresas!$B:$B,0)),"cadastre o CNPJ em Empresas"))</f>
        <v/>
      </c>
      <c r="F1569" s="23"/>
      <c r="G1569" s="35"/>
      <c r="H1569" s="24"/>
      <c r="I1569" s="11"/>
      <c r="J1569" s="27" t="str">
        <f aca="false">IF(A1569="","",YEAR(A1569))</f>
        <v/>
      </c>
      <c r="K1569" s="24"/>
      <c r="L1569" s="11"/>
    </row>
    <row r="1570" customFormat="false" ht="15" hidden="false" customHeight="false" outlineLevel="0" collapsed="false">
      <c r="A1570" s="22"/>
      <c r="B1570" s="11"/>
      <c r="C1570" s="24"/>
      <c r="D1570" s="31" t="str">
        <f aca="false">IF(C1570="","",IF(LEN(UPPER(SUBSTITUTE(SUBSTITUTE(SUBSTITUTE(SUBSTITUTE(TRIM(C1570),".",""),"/",""),"-","")," ","")))&lt;14,RIGHT(REPT("0",14)&amp;UPPER(SUBSTITUTE(SUBSTITUTE(SUBSTITUTE(SUBSTITUTE(TRIM(C1570),".",""),"/",""),"-","")," ","")),14),UPPER(SUBSTITUTE(SUBSTITUTE(SUBSTITUTE(SUBSTITUTE(TRIM(C1570),".",""),"/",""),"-","")," ",""))))</f>
        <v/>
      </c>
      <c r="E1570" s="25" t="str">
        <f aca="false">IF(D1570="","",IFERROR(INDEX(Empresas!$C:$C,MATCH(D1570,Empresas!$B:$B,0)),"cadastre o CNPJ em Empresas"))</f>
        <v/>
      </c>
      <c r="F1570" s="23"/>
      <c r="G1570" s="35"/>
      <c r="H1570" s="24"/>
      <c r="I1570" s="11"/>
      <c r="J1570" s="27" t="str">
        <f aca="false">IF(A1570="","",YEAR(A1570))</f>
        <v/>
      </c>
      <c r="K1570" s="24"/>
      <c r="L1570" s="11"/>
    </row>
    <row r="1571" customFormat="false" ht="15" hidden="false" customHeight="false" outlineLevel="0" collapsed="false">
      <c r="A1571" s="22"/>
      <c r="B1571" s="11"/>
      <c r="C1571" s="24"/>
      <c r="D1571" s="31" t="str">
        <f aca="false">IF(C1571="","",IF(LEN(UPPER(SUBSTITUTE(SUBSTITUTE(SUBSTITUTE(SUBSTITUTE(TRIM(C1571),".",""),"/",""),"-","")," ","")))&lt;14,RIGHT(REPT("0",14)&amp;UPPER(SUBSTITUTE(SUBSTITUTE(SUBSTITUTE(SUBSTITUTE(TRIM(C1571),".",""),"/",""),"-","")," ","")),14),UPPER(SUBSTITUTE(SUBSTITUTE(SUBSTITUTE(SUBSTITUTE(TRIM(C1571),".",""),"/",""),"-","")," ",""))))</f>
        <v/>
      </c>
      <c r="E1571" s="25" t="str">
        <f aca="false">IF(D1571="","",IFERROR(INDEX(Empresas!$C:$C,MATCH(D1571,Empresas!$B:$B,0)),"cadastre o CNPJ em Empresas"))</f>
        <v/>
      </c>
      <c r="F1571" s="23"/>
      <c r="G1571" s="35"/>
      <c r="H1571" s="24"/>
      <c r="I1571" s="11"/>
      <c r="J1571" s="27" t="str">
        <f aca="false">IF(A1571="","",YEAR(A1571))</f>
        <v/>
      </c>
      <c r="K1571" s="24"/>
      <c r="L1571" s="11"/>
    </row>
    <row r="1572" customFormat="false" ht="15" hidden="false" customHeight="false" outlineLevel="0" collapsed="false">
      <c r="A1572" s="22"/>
      <c r="B1572" s="11"/>
      <c r="C1572" s="24"/>
      <c r="D1572" s="31" t="str">
        <f aca="false">IF(C1572="","",IF(LEN(UPPER(SUBSTITUTE(SUBSTITUTE(SUBSTITUTE(SUBSTITUTE(TRIM(C1572),".",""),"/",""),"-","")," ","")))&lt;14,RIGHT(REPT("0",14)&amp;UPPER(SUBSTITUTE(SUBSTITUTE(SUBSTITUTE(SUBSTITUTE(TRIM(C1572),".",""),"/",""),"-","")," ","")),14),UPPER(SUBSTITUTE(SUBSTITUTE(SUBSTITUTE(SUBSTITUTE(TRIM(C1572),".",""),"/",""),"-","")," ",""))))</f>
        <v/>
      </c>
      <c r="E1572" s="25" t="str">
        <f aca="false">IF(D1572="","",IFERROR(INDEX(Empresas!$C:$C,MATCH(D1572,Empresas!$B:$B,0)),"cadastre o CNPJ em Empresas"))</f>
        <v/>
      </c>
      <c r="F1572" s="23"/>
      <c r="G1572" s="35"/>
      <c r="H1572" s="24"/>
      <c r="I1572" s="11"/>
      <c r="J1572" s="27" t="str">
        <f aca="false">IF(A1572="","",YEAR(A1572))</f>
        <v/>
      </c>
      <c r="K1572" s="24"/>
      <c r="L1572" s="11"/>
    </row>
    <row r="1573" customFormat="false" ht="15" hidden="false" customHeight="false" outlineLevel="0" collapsed="false">
      <c r="A1573" s="22"/>
      <c r="B1573" s="11"/>
      <c r="C1573" s="24"/>
      <c r="D1573" s="31" t="str">
        <f aca="false">IF(C1573="","",IF(LEN(UPPER(SUBSTITUTE(SUBSTITUTE(SUBSTITUTE(SUBSTITUTE(TRIM(C1573),".",""),"/",""),"-","")," ","")))&lt;14,RIGHT(REPT("0",14)&amp;UPPER(SUBSTITUTE(SUBSTITUTE(SUBSTITUTE(SUBSTITUTE(TRIM(C1573),".",""),"/",""),"-","")," ","")),14),UPPER(SUBSTITUTE(SUBSTITUTE(SUBSTITUTE(SUBSTITUTE(TRIM(C1573),".",""),"/",""),"-","")," ",""))))</f>
        <v/>
      </c>
      <c r="E1573" s="25" t="str">
        <f aca="false">IF(D1573="","",IFERROR(INDEX(Empresas!$C:$C,MATCH(D1573,Empresas!$B:$B,0)),"cadastre o CNPJ em Empresas"))</f>
        <v/>
      </c>
      <c r="F1573" s="23"/>
      <c r="G1573" s="35"/>
      <c r="H1573" s="24"/>
      <c r="I1573" s="11"/>
      <c r="J1573" s="27" t="str">
        <f aca="false">IF(A1573="","",YEAR(A1573))</f>
        <v/>
      </c>
      <c r="K1573" s="24"/>
      <c r="L1573" s="11"/>
    </row>
    <row r="1574" customFormat="false" ht="15" hidden="false" customHeight="false" outlineLevel="0" collapsed="false">
      <c r="A1574" s="22"/>
      <c r="B1574" s="11"/>
      <c r="C1574" s="24"/>
      <c r="D1574" s="31" t="str">
        <f aca="false">IF(C1574="","",IF(LEN(UPPER(SUBSTITUTE(SUBSTITUTE(SUBSTITUTE(SUBSTITUTE(TRIM(C1574),".",""),"/",""),"-","")," ","")))&lt;14,RIGHT(REPT("0",14)&amp;UPPER(SUBSTITUTE(SUBSTITUTE(SUBSTITUTE(SUBSTITUTE(TRIM(C1574),".",""),"/",""),"-","")," ","")),14),UPPER(SUBSTITUTE(SUBSTITUTE(SUBSTITUTE(SUBSTITUTE(TRIM(C1574),".",""),"/",""),"-","")," ",""))))</f>
        <v/>
      </c>
      <c r="E1574" s="25" t="str">
        <f aca="false">IF(D1574="","",IFERROR(INDEX(Empresas!$C:$C,MATCH(D1574,Empresas!$B:$B,0)),"cadastre o CNPJ em Empresas"))</f>
        <v/>
      </c>
      <c r="F1574" s="23"/>
      <c r="G1574" s="35"/>
      <c r="H1574" s="24"/>
      <c r="I1574" s="11"/>
      <c r="J1574" s="27" t="str">
        <f aca="false">IF(A1574="","",YEAR(A1574))</f>
        <v/>
      </c>
      <c r="K1574" s="24"/>
      <c r="L1574" s="11"/>
    </row>
    <row r="1575" customFormat="false" ht="15" hidden="false" customHeight="false" outlineLevel="0" collapsed="false">
      <c r="A1575" s="22"/>
      <c r="B1575" s="11"/>
      <c r="C1575" s="24"/>
      <c r="D1575" s="31" t="str">
        <f aca="false">IF(C1575="","",IF(LEN(UPPER(SUBSTITUTE(SUBSTITUTE(SUBSTITUTE(SUBSTITUTE(TRIM(C1575),".",""),"/",""),"-","")," ","")))&lt;14,RIGHT(REPT("0",14)&amp;UPPER(SUBSTITUTE(SUBSTITUTE(SUBSTITUTE(SUBSTITUTE(TRIM(C1575),".",""),"/",""),"-","")," ","")),14),UPPER(SUBSTITUTE(SUBSTITUTE(SUBSTITUTE(SUBSTITUTE(TRIM(C1575),".",""),"/",""),"-","")," ",""))))</f>
        <v/>
      </c>
      <c r="E1575" s="25" t="str">
        <f aca="false">IF(D1575="","",IFERROR(INDEX(Empresas!$C:$C,MATCH(D1575,Empresas!$B:$B,0)),"cadastre o CNPJ em Empresas"))</f>
        <v/>
      </c>
      <c r="F1575" s="23"/>
      <c r="G1575" s="35"/>
      <c r="H1575" s="24"/>
      <c r="I1575" s="11"/>
      <c r="J1575" s="27" t="str">
        <f aca="false">IF(A1575="","",YEAR(A1575))</f>
        <v/>
      </c>
      <c r="K1575" s="24"/>
      <c r="L1575" s="11"/>
    </row>
    <row r="1576" customFormat="false" ht="15" hidden="false" customHeight="false" outlineLevel="0" collapsed="false">
      <c r="A1576" s="22"/>
      <c r="B1576" s="11"/>
      <c r="C1576" s="24"/>
      <c r="D1576" s="31" t="str">
        <f aca="false">IF(C1576="","",IF(LEN(UPPER(SUBSTITUTE(SUBSTITUTE(SUBSTITUTE(SUBSTITUTE(TRIM(C1576),".",""),"/",""),"-","")," ","")))&lt;14,RIGHT(REPT("0",14)&amp;UPPER(SUBSTITUTE(SUBSTITUTE(SUBSTITUTE(SUBSTITUTE(TRIM(C1576),".",""),"/",""),"-","")," ","")),14),UPPER(SUBSTITUTE(SUBSTITUTE(SUBSTITUTE(SUBSTITUTE(TRIM(C1576),".",""),"/",""),"-","")," ",""))))</f>
        <v/>
      </c>
      <c r="E1576" s="25" t="str">
        <f aca="false">IF(D1576="","",IFERROR(INDEX(Empresas!$C:$C,MATCH(D1576,Empresas!$B:$B,0)),"cadastre o CNPJ em Empresas"))</f>
        <v/>
      </c>
      <c r="F1576" s="23"/>
      <c r="G1576" s="35"/>
      <c r="H1576" s="24"/>
      <c r="I1576" s="11"/>
      <c r="J1576" s="27" t="str">
        <f aca="false">IF(A1576="","",YEAR(A1576))</f>
        <v/>
      </c>
      <c r="K1576" s="24"/>
      <c r="L1576" s="11"/>
    </row>
    <row r="1577" customFormat="false" ht="15" hidden="false" customHeight="false" outlineLevel="0" collapsed="false">
      <c r="A1577" s="22"/>
      <c r="B1577" s="11"/>
      <c r="C1577" s="24"/>
      <c r="D1577" s="31" t="str">
        <f aca="false">IF(C1577="","",IF(LEN(UPPER(SUBSTITUTE(SUBSTITUTE(SUBSTITUTE(SUBSTITUTE(TRIM(C1577),".",""),"/",""),"-","")," ","")))&lt;14,RIGHT(REPT("0",14)&amp;UPPER(SUBSTITUTE(SUBSTITUTE(SUBSTITUTE(SUBSTITUTE(TRIM(C1577),".",""),"/",""),"-","")," ","")),14),UPPER(SUBSTITUTE(SUBSTITUTE(SUBSTITUTE(SUBSTITUTE(TRIM(C1577),".",""),"/",""),"-","")," ",""))))</f>
        <v/>
      </c>
      <c r="E1577" s="25" t="str">
        <f aca="false">IF(D1577="","",IFERROR(INDEX(Empresas!$C:$C,MATCH(D1577,Empresas!$B:$B,0)),"cadastre o CNPJ em Empresas"))</f>
        <v/>
      </c>
      <c r="F1577" s="23"/>
      <c r="G1577" s="35"/>
      <c r="H1577" s="24"/>
      <c r="I1577" s="11"/>
      <c r="J1577" s="27" t="str">
        <f aca="false">IF(A1577="","",YEAR(A1577))</f>
        <v/>
      </c>
      <c r="K1577" s="24"/>
      <c r="L1577" s="11"/>
    </row>
    <row r="1578" customFormat="false" ht="15" hidden="false" customHeight="false" outlineLevel="0" collapsed="false">
      <c r="A1578" s="22"/>
      <c r="B1578" s="11"/>
      <c r="C1578" s="24"/>
      <c r="D1578" s="31" t="str">
        <f aca="false">IF(C1578="","",IF(LEN(UPPER(SUBSTITUTE(SUBSTITUTE(SUBSTITUTE(SUBSTITUTE(TRIM(C1578),".",""),"/",""),"-","")," ","")))&lt;14,RIGHT(REPT("0",14)&amp;UPPER(SUBSTITUTE(SUBSTITUTE(SUBSTITUTE(SUBSTITUTE(TRIM(C1578),".",""),"/",""),"-","")," ","")),14),UPPER(SUBSTITUTE(SUBSTITUTE(SUBSTITUTE(SUBSTITUTE(TRIM(C1578),".",""),"/",""),"-","")," ",""))))</f>
        <v/>
      </c>
      <c r="E1578" s="25" t="str">
        <f aca="false">IF(D1578="","",IFERROR(INDEX(Empresas!$C:$C,MATCH(D1578,Empresas!$B:$B,0)),"cadastre o CNPJ em Empresas"))</f>
        <v/>
      </c>
      <c r="F1578" s="23"/>
      <c r="G1578" s="35"/>
      <c r="H1578" s="24"/>
      <c r="I1578" s="11"/>
      <c r="J1578" s="27" t="str">
        <f aca="false">IF(A1578="","",YEAR(A1578))</f>
        <v/>
      </c>
      <c r="K1578" s="24"/>
      <c r="L1578" s="11"/>
    </row>
    <row r="1579" customFormat="false" ht="15" hidden="false" customHeight="false" outlineLevel="0" collapsed="false">
      <c r="A1579" s="22"/>
      <c r="B1579" s="11"/>
      <c r="C1579" s="24"/>
      <c r="D1579" s="31" t="str">
        <f aca="false">IF(C1579="","",IF(LEN(UPPER(SUBSTITUTE(SUBSTITUTE(SUBSTITUTE(SUBSTITUTE(TRIM(C1579),".",""),"/",""),"-","")," ","")))&lt;14,RIGHT(REPT("0",14)&amp;UPPER(SUBSTITUTE(SUBSTITUTE(SUBSTITUTE(SUBSTITUTE(TRIM(C1579),".",""),"/",""),"-","")," ","")),14),UPPER(SUBSTITUTE(SUBSTITUTE(SUBSTITUTE(SUBSTITUTE(TRIM(C1579),".",""),"/",""),"-","")," ",""))))</f>
        <v/>
      </c>
      <c r="E1579" s="25" t="str">
        <f aca="false">IF(D1579="","",IFERROR(INDEX(Empresas!$C:$C,MATCH(D1579,Empresas!$B:$B,0)),"cadastre o CNPJ em Empresas"))</f>
        <v/>
      </c>
      <c r="F1579" s="23"/>
      <c r="G1579" s="35"/>
      <c r="H1579" s="24"/>
      <c r="I1579" s="11"/>
      <c r="J1579" s="27" t="str">
        <f aca="false">IF(A1579="","",YEAR(A1579))</f>
        <v/>
      </c>
      <c r="K1579" s="24"/>
      <c r="L1579" s="11"/>
    </row>
    <row r="1580" customFormat="false" ht="15" hidden="false" customHeight="false" outlineLevel="0" collapsed="false">
      <c r="A1580" s="22"/>
      <c r="B1580" s="11"/>
      <c r="C1580" s="24"/>
      <c r="D1580" s="31" t="str">
        <f aca="false">IF(C1580="","",IF(LEN(UPPER(SUBSTITUTE(SUBSTITUTE(SUBSTITUTE(SUBSTITUTE(TRIM(C1580),".",""),"/",""),"-","")," ","")))&lt;14,RIGHT(REPT("0",14)&amp;UPPER(SUBSTITUTE(SUBSTITUTE(SUBSTITUTE(SUBSTITUTE(TRIM(C1580),".",""),"/",""),"-","")," ","")),14),UPPER(SUBSTITUTE(SUBSTITUTE(SUBSTITUTE(SUBSTITUTE(TRIM(C1580),".",""),"/",""),"-","")," ",""))))</f>
        <v/>
      </c>
      <c r="E1580" s="25" t="str">
        <f aca="false">IF(D1580="","",IFERROR(INDEX(Empresas!$C:$C,MATCH(D1580,Empresas!$B:$B,0)),"cadastre o CNPJ em Empresas"))</f>
        <v/>
      </c>
      <c r="F1580" s="23"/>
      <c r="G1580" s="35"/>
      <c r="H1580" s="24"/>
      <c r="I1580" s="11"/>
      <c r="J1580" s="27" t="str">
        <f aca="false">IF(A1580="","",YEAR(A1580))</f>
        <v/>
      </c>
      <c r="K1580" s="24"/>
      <c r="L1580" s="11"/>
    </row>
    <row r="1581" customFormat="false" ht="15" hidden="false" customHeight="false" outlineLevel="0" collapsed="false">
      <c r="A1581" s="22"/>
      <c r="B1581" s="11"/>
      <c r="C1581" s="24"/>
      <c r="D1581" s="31" t="str">
        <f aca="false">IF(C1581="","",IF(LEN(UPPER(SUBSTITUTE(SUBSTITUTE(SUBSTITUTE(SUBSTITUTE(TRIM(C1581),".",""),"/",""),"-","")," ","")))&lt;14,RIGHT(REPT("0",14)&amp;UPPER(SUBSTITUTE(SUBSTITUTE(SUBSTITUTE(SUBSTITUTE(TRIM(C1581),".",""),"/",""),"-","")," ","")),14),UPPER(SUBSTITUTE(SUBSTITUTE(SUBSTITUTE(SUBSTITUTE(TRIM(C1581),".",""),"/",""),"-","")," ",""))))</f>
        <v/>
      </c>
      <c r="E1581" s="25" t="str">
        <f aca="false">IF(D1581="","",IFERROR(INDEX(Empresas!$C:$C,MATCH(D1581,Empresas!$B:$B,0)),"cadastre o CNPJ em Empresas"))</f>
        <v/>
      </c>
      <c r="F1581" s="23"/>
      <c r="G1581" s="35"/>
      <c r="H1581" s="24"/>
      <c r="I1581" s="11"/>
      <c r="J1581" s="27" t="str">
        <f aca="false">IF(A1581="","",YEAR(A1581))</f>
        <v/>
      </c>
      <c r="K1581" s="24"/>
      <c r="L1581" s="11"/>
    </row>
    <row r="1582" customFormat="false" ht="15" hidden="false" customHeight="false" outlineLevel="0" collapsed="false">
      <c r="A1582" s="22"/>
      <c r="B1582" s="11"/>
      <c r="C1582" s="24"/>
      <c r="D1582" s="31" t="str">
        <f aca="false">IF(C1582="","",IF(LEN(UPPER(SUBSTITUTE(SUBSTITUTE(SUBSTITUTE(SUBSTITUTE(TRIM(C1582),".",""),"/",""),"-","")," ","")))&lt;14,RIGHT(REPT("0",14)&amp;UPPER(SUBSTITUTE(SUBSTITUTE(SUBSTITUTE(SUBSTITUTE(TRIM(C1582),".",""),"/",""),"-","")," ","")),14),UPPER(SUBSTITUTE(SUBSTITUTE(SUBSTITUTE(SUBSTITUTE(TRIM(C1582),".",""),"/",""),"-","")," ",""))))</f>
        <v/>
      </c>
      <c r="E1582" s="25" t="str">
        <f aca="false">IF(D1582="","",IFERROR(INDEX(Empresas!$C:$C,MATCH(D1582,Empresas!$B:$B,0)),"cadastre o CNPJ em Empresas"))</f>
        <v/>
      </c>
      <c r="F1582" s="23"/>
      <c r="G1582" s="35"/>
      <c r="H1582" s="24"/>
      <c r="I1582" s="11"/>
      <c r="J1582" s="27" t="str">
        <f aca="false">IF(A1582="","",YEAR(A1582))</f>
        <v/>
      </c>
      <c r="K1582" s="24"/>
      <c r="L1582" s="11"/>
    </row>
    <row r="1583" customFormat="false" ht="15" hidden="false" customHeight="false" outlineLevel="0" collapsed="false">
      <c r="A1583" s="22"/>
      <c r="B1583" s="11"/>
      <c r="C1583" s="24"/>
      <c r="D1583" s="31" t="str">
        <f aca="false">IF(C1583="","",IF(LEN(UPPER(SUBSTITUTE(SUBSTITUTE(SUBSTITUTE(SUBSTITUTE(TRIM(C1583),".",""),"/",""),"-","")," ","")))&lt;14,RIGHT(REPT("0",14)&amp;UPPER(SUBSTITUTE(SUBSTITUTE(SUBSTITUTE(SUBSTITUTE(TRIM(C1583),".",""),"/",""),"-","")," ","")),14),UPPER(SUBSTITUTE(SUBSTITUTE(SUBSTITUTE(SUBSTITUTE(TRIM(C1583),".",""),"/",""),"-","")," ",""))))</f>
        <v/>
      </c>
      <c r="E1583" s="25" t="str">
        <f aca="false">IF(D1583="","",IFERROR(INDEX(Empresas!$C:$C,MATCH(D1583,Empresas!$B:$B,0)),"cadastre o CNPJ em Empresas"))</f>
        <v/>
      </c>
      <c r="F1583" s="23"/>
      <c r="G1583" s="35"/>
      <c r="H1583" s="24"/>
      <c r="I1583" s="11"/>
      <c r="J1583" s="27" t="str">
        <f aca="false">IF(A1583="","",YEAR(A1583))</f>
        <v/>
      </c>
      <c r="K1583" s="24"/>
      <c r="L1583" s="11"/>
    </row>
    <row r="1584" customFormat="false" ht="15" hidden="false" customHeight="false" outlineLevel="0" collapsed="false">
      <c r="A1584" s="22"/>
      <c r="B1584" s="11"/>
      <c r="C1584" s="24"/>
      <c r="D1584" s="31" t="str">
        <f aca="false">IF(C1584="","",IF(LEN(UPPER(SUBSTITUTE(SUBSTITUTE(SUBSTITUTE(SUBSTITUTE(TRIM(C1584),".",""),"/",""),"-","")," ","")))&lt;14,RIGHT(REPT("0",14)&amp;UPPER(SUBSTITUTE(SUBSTITUTE(SUBSTITUTE(SUBSTITUTE(TRIM(C1584),".",""),"/",""),"-","")," ","")),14),UPPER(SUBSTITUTE(SUBSTITUTE(SUBSTITUTE(SUBSTITUTE(TRIM(C1584),".",""),"/",""),"-","")," ",""))))</f>
        <v/>
      </c>
      <c r="E1584" s="25" t="str">
        <f aca="false">IF(D1584="","",IFERROR(INDEX(Empresas!$C:$C,MATCH(D1584,Empresas!$B:$B,0)),"cadastre o CNPJ em Empresas"))</f>
        <v/>
      </c>
      <c r="F1584" s="23"/>
      <c r="G1584" s="35"/>
      <c r="H1584" s="24"/>
      <c r="I1584" s="11"/>
      <c r="J1584" s="27" t="str">
        <f aca="false">IF(A1584="","",YEAR(A1584))</f>
        <v/>
      </c>
      <c r="K1584" s="24"/>
      <c r="L1584" s="11"/>
    </row>
    <row r="1585" customFormat="false" ht="15" hidden="false" customHeight="false" outlineLevel="0" collapsed="false">
      <c r="A1585" s="22"/>
      <c r="B1585" s="11"/>
      <c r="C1585" s="24"/>
      <c r="D1585" s="31" t="str">
        <f aca="false">IF(C1585="","",IF(LEN(UPPER(SUBSTITUTE(SUBSTITUTE(SUBSTITUTE(SUBSTITUTE(TRIM(C1585),".",""),"/",""),"-","")," ","")))&lt;14,RIGHT(REPT("0",14)&amp;UPPER(SUBSTITUTE(SUBSTITUTE(SUBSTITUTE(SUBSTITUTE(TRIM(C1585),".",""),"/",""),"-","")," ","")),14),UPPER(SUBSTITUTE(SUBSTITUTE(SUBSTITUTE(SUBSTITUTE(TRIM(C1585),".",""),"/",""),"-","")," ",""))))</f>
        <v/>
      </c>
      <c r="E1585" s="25" t="str">
        <f aca="false">IF(D1585="","",IFERROR(INDEX(Empresas!$C:$C,MATCH(D1585,Empresas!$B:$B,0)),"cadastre o CNPJ em Empresas"))</f>
        <v/>
      </c>
      <c r="F1585" s="23"/>
      <c r="G1585" s="35"/>
      <c r="H1585" s="24"/>
      <c r="I1585" s="11"/>
      <c r="J1585" s="27" t="str">
        <f aca="false">IF(A1585="","",YEAR(A1585))</f>
        <v/>
      </c>
      <c r="K1585" s="24"/>
      <c r="L1585" s="11"/>
    </row>
    <row r="1586" customFormat="false" ht="15" hidden="false" customHeight="false" outlineLevel="0" collapsed="false">
      <c r="A1586" s="22"/>
      <c r="B1586" s="11"/>
      <c r="C1586" s="24"/>
      <c r="D1586" s="31" t="str">
        <f aca="false">IF(C1586="","",IF(LEN(UPPER(SUBSTITUTE(SUBSTITUTE(SUBSTITUTE(SUBSTITUTE(TRIM(C1586),".",""),"/",""),"-","")," ","")))&lt;14,RIGHT(REPT("0",14)&amp;UPPER(SUBSTITUTE(SUBSTITUTE(SUBSTITUTE(SUBSTITUTE(TRIM(C1586),".",""),"/",""),"-","")," ","")),14),UPPER(SUBSTITUTE(SUBSTITUTE(SUBSTITUTE(SUBSTITUTE(TRIM(C1586),".",""),"/",""),"-","")," ",""))))</f>
        <v/>
      </c>
      <c r="E1586" s="25" t="str">
        <f aca="false">IF(D1586="","",IFERROR(INDEX(Empresas!$C:$C,MATCH(D1586,Empresas!$B:$B,0)),"cadastre o CNPJ em Empresas"))</f>
        <v/>
      </c>
      <c r="F1586" s="23"/>
      <c r="G1586" s="35"/>
      <c r="H1586" s="24"/>
      <c r="I1586" s="11"/>
      <c r="J1586" s="27" t="str">
        <f aca="false">IF(A1586="","",YEAR(A1586))</f>
        <v/>
      </c>
      <c r="K1586" s="24"/>
      <c r="L1586" s="11"/>
    </row>
    <row r="1587" customFormat="false" ht="15" hidden="false" customHeight="false" outlineLevel="0" collapsed="false">
      <c r="A1587" s="22"/>
      <c r="B1587" s="11"/>
      <c r="C1587" s="24"/>
      <c r="D1587" s="31" t="str">
        <f aca="false">IF(C1587="","",IF(LEN(UPPER(SUBSTITUTE(SUBSTITUTE(SUBSTITUTE(SUBSTITUTE(TRIM(C1587),".",""),"/",""),"-","")," ","")))&lt;14,RIGHT(REPT("0",14)&amp;UPPER(SUBSTITUTE(SUBSTITUTE(SUBSTITUTE(SUBSTITUTE(TRIM(C1587),".",""),"/",""),"-","")," ","")),14),UPPER(SUBSTITUTE(SUBSTITUTE(SUBSTITUTE(SUBSTITUTE(TRIM(C1587),".",""),"/",""),"-","")," ",""))))</f>
        <v/>
      </c>
      <c r="E1587" s="25" t="str">
        <f aca="false">IF(D1587="","",IFERROR(INDEX(Empresas!$C:$C,MATCH(D1587,Empresas!$B:$B,0)),"cadastre o CNPJ em Empresas"))</f>
        <v/>
      </c>
      <c r="F1587" s="23"/>
      <c r="G1587" s="35"/>
      <c r="H1587" s="24"/>
      <c r="I1587" s="11"/>
      <c r="J1587" s="27" t="str">
        <f aca="false">IF(A1587="","",YEAR(A1587))</f>
        <v/>
      </c>
      <c r="K1587" s="24"/>
      <c r="L1587" s="11"/>
    </row>
    <row r="1588" customFormat="false" ht="15" hidden="false" customHeight="false" outlineLevel="0" collapsed="false">
      <c r="A1588" s="22"/>
      <c r="B1588" s="11"/>
      <c r="C1588" s="24"/>
      <c r="D1588" s="31" t="str">
        <f aca="false">IF(C1588="","",IF(LEN(UPPER(SUBSTITUTE(SUBSTITUTE(SUBSTITUTE(SUBSTITUTE(TRIM(C1588),".",""),"/",""),"-","")," ","")))&lt;14,RIGHT(REPT("0",14)&amp;UPPER(SUBSTITUTE(SUBSTITUTE(SUBSTITUTE(SUBSTITUTE(TRIM(C1588),".",""),"/",""),"-","")," ","")),14),UPPER(SUBSTITUTE(SUBSTITUTE(SUBSTITUTE(SUBSTITUTE(TRIM(C1588),".",""),"/",""),"-","")," ",""))))</f>
        <v/>
      </c>
      <c r="E1588" s="25" t="str">
        <f aca="false">IF(D1588="","",IFERROR(INDEX(Empresas!$C:$C,MATCH(D1588,Empresas!$B:$B,0)),"cadastre o CNPJ em Empresas"))</f>
        <v/>
      </c>
      <c r="F1588" s="23"/>
      <c r="G1588" s="35"/>
      <c r="H1588" s="24"/>
      <c r="I1588" s="11"/>
      <c r="J1588" s="27" t="str">
        <f aca="false">IF(A1588="","",YEAR(A1588))</f>
        <v/>
      </c>
      <c r="K1588" s="24"/>
      <c r="L1588" s="11"/>
    </row>
    <row r="1589" customFormat="false" ht="15" hidden="false" customHeight="false" outlineLevel="0" collapsed="false">
      <c r="A1589" s="22"/>
      <c r="B1589" s="11"/>
      <c r="C1589" s="24"/>
      <c r="D1589" s="31" t="str">
        <f aca="false">IF(C1589="","",IF(LEN(UPPER(SUBSTITUTE(SUBSTITUTE(SUBSTITUTE(SUBSTITUTE(TRIM(C1589),".",""),"/",""),"-","")," ","")))&lt;14,RIGHT(REPT("0",14)&amp;UPPER(SUBSTITUTE(SUBSTITUTE(SUBSTITUTE(SUBSTITUTE(TRIM(C1589),".",""),"/",""),"-","")," ","")),14),UPPER(SUBSTITUTE(SUBSTITUTE(SUBSTITUTE(SUBSTITUTE(TRIM(C1589),".",""),"/",""),"-","")," ",""))))</f>
        <v/>
      </c>
      <c r="E1589" s="25" t="str">
        <f aca="false">IF(D1589="","",IFERROR(INDEX(Empresas!$C:$C,MATCH(D1589,Empresas!$B:$B,0)),"cadastre o CNPJ em Empresas"))</f>
        <v/>
      </c>
      <c r="F1589" s="23"/>
      <c r="G1589" s="35"/>
      <c r="H1589" s="24"/>
      <c r="I1589" s="11"/>
      <c r="J1589" s="27" t="str">
        <f aca="false">IF(A1589="","",YEAR(A1589))</f>
        <v/>
      </c>
      <c r="K1589" s="24"/>
      <c r="L1589" s="11"/>
    </row>
    <row r="1590" customFormat="false" ht="15" hidden="false" customHeight="false" outlineLevel="0" collapsed="false">
      <c r="A1590" s="22"/>
      <c r="B1590" s="11"/>
      <c r="C1590" s="24"/>
      <c r="D1590" s="31" t="str">
        <f aca="false">IF(C1590="","",IF(LEN(UPPER(SUBSTITUTE(SUBSTITUTE(SUBSTITUTE(SUBSTITUTE(TRIM(C1590),".",""),"/",""),"-","")," ","")))&lt;14,RIGHT(REPT("0",14)&amp;UPPER(SUBSTITUTE(SUBSTITUTE(SUBSTITUTE(SUBSTITUTE(TRIM(C1590),".",""),"/",""),"-","")," ","")),14),UPPER(SUBSTITUTE(SUBSTITUTE(SUBSTITUTE(SUBSTITUTE(TRIM(C1590),".",""),"/",""),"-","")," ",""))))</f>
        <v/>
      </c>
      <c r="E1590" s="25" t="str">
        <f aca="false">IF(D1590="","",IFERROR(INDEX(Empresas!$C:$C,MATCH(D1590,Empresas!$B:$B,0)),"cadastre o CNPJ em Empresas"))</f>
        <v/>
      </c>
      <c r="F1590" s="23"/>
      <c r="G1590" s="35"/>
      <c r="H1590" s="24"/>
      <c r="I1590" s="11"/>
      <c r="J1590" s="27" t="str">
        <f aca="false">IF(A1590="","",YEAR(A1590))</f>
        <v/>
      </c>
      <c r="K1590" s="24"/>
      <c r="L1590" s="11"/>
    </row>
    <row r="1591" customFormat="false" ht="15" hidden="false" customHeight="false" outlineLevel="0" collapsed="false">
      <c r="A1591" s="22"/>
      <c r="B1591" s="11"/>
      <c r="C1591" s="24"/>
      <c r="D1591" s="31" t="str">
        <f aca="false">IF(C1591="","",IF(LEN(UPPER(SUBSTITUTE(SUBSTITUTE(SUBSTITUTE(SUBSTITUTE(TRIM(C1591),".",""),"/",""),"-","")," ","")))&lt;14,RIGHT(REPT("0",14)&amp;UPPER(SUBSTITUTE(SUBSTITUTE(SUBSTITUTE(SUBSTITUTE(TRIM(C1591),".",""),"/",""),"-","")," ","")),14),UPPER(SUBSTITUTE(SUBSTITUTE(SUBSTITUTE(SUBSTITUTE(TRIM(C1591),".",""),"/",""),"-","")," ",""))))</f>
        <v/>
      </c>
      <c r="E1591" s="25" t="str">
        <f aca="false">IF(D1591="","",IFERROR(INDEX(Empresas!$C:$C,MATCH(D1591,Empresas!$B:$B,0)),"cadastre o CNPJ em Empresas"))</f>
        <v/>
      </c>
      <c r="F1591" s="23"/>
      <c r="G1591" s="35"/>
      <c r="H1591" s="24"/>
      <c r="I1591" s="11"/>
      <c r="J1591" s="27" t="str">
        <f aca="false">IF(A1591="","",YEAR(A1591))</f>
        <v/>
      </c>
      <c r="K1591" s="24"/>
      <c r="L1591" s="11"/>
    </row>
    <row r="1592" customFormat="false" ht="15" hidden="false" customHeight="false" outlineLevel="0" collapsed="false">
      <c r="A1592" s="22"/>
      <c r="B1592" s="11"/>
      <c r="C1592" s="24"/>
      <c r="D1592" s="31" t="str">
        <f aca="false">IF(C1592="","",IF(LEN(UPPER(SUBSTITUTE(SUBSTITUTE(SUBSTITUTE(SUBSTITUTE(TRIM(C1592),".",""),"/",""),"-","")," ","")))&lt;14,RIGHT(REPT("0",14)&amp;UPPER(SUBSTITUTE(SUBSTITUTE(SUBSTITUTE(SUBSTITUTE(TRIM(C1592),".",""),"/",""),"-","")," ","")),14),UPPER(SUBSTITUTE(SUBSTITUTE(SUBSTITUTE(SUBSTITUTE(TRIM(C1592),".",""),"/",""),"-","")," ",""))))</f>
        <v/>
      </c>
      <c r="E1592" s="25" t="str">
        <f aca="false">IF(D1592="","",IFERROR(INDEX(Empresas!$C:$C,MATCH(D1592,Empresas!$B:$B,0)),"cadastre o CNPJ em Empresas"))</f>
        <v/>
      </c>
      <c r="F1592" s="23"/>
      <c r="G1592" s="35"/>
      <c r="H1592" s="24"/>
      <c r="I1592" s="11"/>
      <c r="J1592" s="27" t="str">
        <f aca="false">IF(A1592="","",YEAR(A1592))</f>
        <v/>
      </c>
      <c r="K1592" s="24"/>
      <c r="L1592" s="11"/>
    </row>
    <row r="1593" customFormat="false" ht="15" hidden="false" customHeight="false" outlineLevel="0" collapsed="false">
      <c r="A1593" s="22"/>
      <c r="B1593" s="11"/>
      <c r="C1593" s="24"/>
      <c r="D1593" s="31" t="str">
        <f aca="false">IF(C1593="","",IF(LEN(UPPER(SUBSTITUTE(SUBSTITUTE(SUBSTITUTE(SUBSTITUTE(TRIM(C1593),".",""),"/",""),"-","")," ","")))&lt;14,RIGHT(REPT("0",14)&amp;UPPER(SUBSTITUTE(SUBSTITUTE(SUBSTITUTE(SUBSTITUTE(TRIM(C1593),".",""),"/",""),"-","")," ","")),14),UPPER(SUBSTITUTE(SUBSTITUTE(SUBSTITUTE(SUBSTITUTE(TRIM(C1593),".",""),"/",""),"-","")," ",""))))</f>
        <v/>
      </c>
      <c r="E1593" s="25" t="str">
        <f aca="false">IF(D1593="","",IFERROR(INDEX(Empresas!$C:$C,MATCH(D1593,Empresas!$B:$B,0)),"cadastre o CNPJ em Empresas"))</f>
        <v/>
      </c>
      <c r="F1593" s="23"/>
      <c r="G1593" s="35"/>
      <c r="H1593" s="24"/>
      <c r="I1593" s="11"/>
      <c r="J1593" s="27" t="str">
        <f aca="false">IF(A1593="","",YEAR(A1593))</f>
        <v/>
      </c>
      <c r="K1593" s="24"/>
      <c r="L1593" s="11"/>
    </row>
    <row r="1594" customFormat="false" ht="15" hidden="false" customHeight="false" outlineLevel="0" collapsed="false">
      <c r="A1594" s="22"/>
      <c r="B1594" s="11"/>
      <c r="C1594" s="24"/>
      <c r="D1594" s="31" t="str">
        <f aca="false">IF(C1594="","",IF(LEN(UPPER(SUBSTITUTE(SUBSTITUTE(SUBSTITUTE(SUBSTITUTE(TRIM(C1594),".",""),"/",""),"-","")," ","")))&lt;14,RIGHT(REPT("0",14)&amp;UPPER(SUBSTITUTE(SUBSTITUTE(SUBSTITUTE(SUBSTITUTE(TRIM(C1594),".",""),"/",""),"-","")," ","")),14),UPPER(SUBSTITUTE(SUBSTITUTE(SUBSTITUTE(SUBSTITUTE(TRIM(C1594),".",""),"/",""),"-","")," ",""))))</f>
        <v/>
      </c>
      <c r="E1594" s="25" t="str">
        <f aca="false">IF(D1594="","",IFERROR(INDEX(Empresas!$C:$C,MATCH(D1594,Empresas!$B:$B,0)),"cadastre o CNPJ em Empresas"))</f>
        <v/>
      </c>
      <c r="F1594" s="23"/>
      <c r="G1594" s="35"/>
      <c r="H1594" s="24"/>
      <c r="I1594" s="11"/>
      <c r="J1594" s="27" t="str">
        <f aca="false">IF(A1594="","",YEAR(A1594))</f>
        <v/>
      </c>
      <c r="K1594" s="24"/>
      <c r="L1594" s="11"/>
    </row>
    <row r="1595" customFormat="false" ht="15" hidden="false" customHeight="false" outlineLevel="0" collapsed="false">
      <c r="A1595" s="22"/>
      <c r="B1595" s="11"/>
      <c r="C1595" s="24"/>
      <c r="D1595" s="31" t="str">
        <f aca="false">IF(C1595="","",IF(LEN(UPPER(SUBSTITUTE(SUBSTITUTE(SUBSTITUTE(SUBSTITUTE(TRIM(C1595),".",""),"/",""),"-","")," ","")))&lt;14,RIGHT(REPT("0",14)&amp;UPPER(SUBSTITUTE(SUBSTITUTE(SUBSTITUTE(SUBSTITUTE(TRIM(C1595),".",""),"/",""),"-","")," ","")),14),UPPER(SUBSTITUTE(SUBSTITUTE(SUBSTITUTE(SUBSTITUTE(TRIM(C1595),".",""),"/",""),"-","")," ",""))))</f>
        <v/>
      </c>
      <c r="E1595" s="25" t="str">
        <f aca="false">IF(D1595="","",IFERROR(INDEX(Empresas!$C:$C,MATCH(D1595,Empresas!$B:$B,0)),"cadastre o CNPJ em Empresas"))</f>
        <v/>
      </c>
      <c r="F1595" s="23"/>
      <c r="G1595" s="35"/>
      <c r="H1595" s="24"/>
      <c r="I1595" s="11"/>
      <c r="J1595" s="27" t="str">
        <f aca="false">IF(A1595="","",YEAR(A1595))</f>
        <v/>
      </c>
      <c r="K1595" s="24"/>
      <c r="L1595" s="11"/>
    </row>
    <row r="1596" customFormat="false" ht="15" hidden="false" customHeight="false" outlineLevel="0" collapsed="false">
      <c r="A1596" s="22"/>
      <c r="B1596" s="11"/>
      <c r="C1596" s="24"/>
      <c r="D1596" s="31" t="str">
        <f aca="false">IF(C1596="","",IF(LEN(UPPER(SUBSTITUTE(SUBSTITUTE(SUBSTITUTE(SUBSTITUTE(TRIM(C1596),".",""),"/",""),"-","")," ","")))&lt;14,RIGHT(REPT("0",14)&amp;UPPER(SUBSTITUTE(SUBSTITUTE(SUBSTITUTE(SUBSTITUTE(TRIM(C1596),".",""),"/",""),"-","")," ","")),14),UPPER(SUBSTITUTE(SUBSTITUTE(SUBSTITUTE(SUBSTITUTE(TRIM(C1596),".",""),"/",""),"-","")," ",""))))</f>
        <v/>
      </c>
      <c r="E1596" s="25" t="str">
        <f aca="false">IF(D1596="","",IFERROR(INDEX(Empresas!$C:$C,MATCH(D1596,Empresas!$B:$B,0)),"cadastre o CNPJ em Empresas"))</f>
        <v/>
      </c>
      <c r="F1596" s="23"/>
      <c r="G1596" s="35"/>
      <c r="H1596" s="24"/>
      <c r="I1596" s="11"/>
      <c r="J1596" s="27" t="str">
        <f aca="false">IF(A1596="","",YEAR(A1596))</f>
        <v/>
      </c>
      <c r="K1596" s="24"/>
      <c r="L1596" s="11"/>
    </row>
    <row r="1597" customFormat="false" ht="15" hidden="false" customHeight="false" outlineLevel="0" collapsed="false">
      <c r="A1597" s="22"/>
      <c r="B1597" s="11"/>
      <c r="C1597" s="24"/>
      <c r="D1597" s="31" t="str">
        <f aca="false">IF(C1597="","",IF(LEN(UPPER(SUBSTITUTE(SUBSTITUTE(SUBSTITUTE(SUBSTITUTE(TRIM(C1597),".",""),"/",""),"-","")," ","")))&lt;14,RIGHT(REPT("0",14)&amp;UPPER(SUBSTITUTE(SUBSTITUTE(SUBSTITUTE(SUBSTITUTE(TRIM(C1597),".",""),"/",""),"-","")," ","")),14),UPPER(SUBSTITUTE(SUBSTITUTE(SUBSTITUTE(SUBSTITUTE(TRIM(C1597),".",""),"/",""),"-","")," ",""))))</f>
        <v/>
      </c>
      <c r="E1597" s="25" t="str">
        <f aca="false">IF(D1597="","",IFERROR(INDEX(Empresas!$C:$C,MATCH(D1597,Empresas!$B:$B,0)),"cadastre o CNPJ em Empresas"))</f>
        <v/>
      </c>
      <c r="F1597" s="23"/>
      <c r="G1597" s="35"/>
      <c r="H1597" s="24"/>
      <c r="I1597" s="11"/>
      <c r="J1597" s="27" t="str">
        <f aca="false">IF(A1597="","",YEAR(A1597))</f>
        <v/>
      </c>
      <c r="K1597" s="24"/>
      <c r="L1597" s="11"/>
    </row>
    <row r="1598" customFormat="false" ht="15" hidden="false" customHeight="false" outlineLevel="0" collapsed="false">
      <c r="A1598" s="22"/>
      <c r="B1598" s="11"/>
      <c r="C1598" s="24"/>
      <c r="D1598" s="31" t="str">
        <f aca="false">IF(C1598="","",IF(LEN(UPPER(SUBSTITUTE(SUBSTITUTE(SUBSTITUTE(SUBSTITUTE(TRIM(C1598),".",""),"/",""),"-","")," ","")))&lt;14,RIGHT(REPT("0",14)&amp;UPPER(SUBSTITUTE(SUBSTITUTE(SUBSTITUTE(SUBSTITUTE(TRIM(C1598),".",""),"/",""),"-","")," ","")),14),UPPER(SUBSTITUTE(SUBSTITUTE(SUBSTITUTE(SUBSTITUTE(TRIM(C1598),".",""),"/",""),"-","")," ",""))))</f>
        <v/>
      </c>
      <c r="E1598" s="25" t="str">
        <f aca="false">IF(D1598="","",IFERROR(INDEX(Empresas!$C:$C,MATCH(D1598,Empresas!$B:$B,0)),"cadastre o CNPJ em Empresas"))</f>
        <v/>
      </c>
      <c r="F1598" s="23"/>
      <c r="G1598" s="35"/>
      <c r="H1598" s="24"/>
      <c r="I1598" s="11"/>
      <c r="J1598" s="27" t="str">
        <f aca="false">IF(A1598="","",YEAR(A1598))</f>
        <v/>
      </c>
      <c r="K1598" s="24"/>
      <c r="L1598" s="11"/>
    </row>
    <row r="1599" customFormat="false" ht="15" hidden="false" customHeight="false" outlineLevel="0" collapsed="false">
      <c r="A1599" s="22"/>
      <c r="B1599" s="11"/>
      <c r="C1599" s="24"/>
      <c r="D1599" s="31" t="str">
        <f aca="false">IF(C1599="","",IF(LEN(UPPER(SUBSTITUTE(SUBSTITUTE(SUBSTITUTE(SUBSTITUTE(TRIM(C1599),".",""),"/",""),"-","")," ","")))&lt;14,RIGHT(REPT("0",14)&amp;UPPER(SUBSTITUTE(SUBSTITUTE(SUBSTITUTE(SUBSTITUTE(TRIM(C1599),".",""),"/",""),"-","")," ","")),14),UPPER(SUBSTITUTE(SUBSTITUTE(SUBSTITUTE(SUBSTITUTE(TRIM(C1599),".",""),"/",""),"-","")," ",""))))</f>
        <v/>
      </c>
      <c r="E1599" s="25" t="str">
        <f aca="false">IF(D1599="","",IFERROR(INDEX(Empresas!$C:$C,MATCH(D1599,Empresas!$B:$B,0)),"cadastre o CNPJ em Empresas"))</f>
        <v/>
      </c>
      <c r="F1599" s="23"/>
      <c r="G1599" s="35"/>
      <c r="H1599" s="24"/>
      <c r="I1599" s="11"/>
      <c r="J1599" s="27" t="str">
        <f aca="false">IF(A1599="","",YEAR(A1599))</f>
        <v/>
      </c>
      <c r="K1599" s="24"/>
      <c r="L1599" s="11"/>
    </row>
    <row r="1600" customFormat="false" ht="15" hidden="false" customHeight="false" outlineLevel="0" collapsed="false">
      <c r="A1600" s="22"/>
      <c r="B1600" s="11"/>
      <c r="C1600" s="24"/>
      <c r="D1600" s="31" t="str">
        <f aca="false">IF(C1600="","",IF(LEN(UPPER(SUBSTITUTE(SUBSTITUTE(SUBSTITUTE(SUBSTITUTE(TRIM(C1600),".",""),"/",""),"-","")," ","")))&lt;14,RIGHT(REPT("0",14)&amp;UPPER(SUBSTITUTE(SUBSTITUTE(SUBSTITUTE(SUBSTITUTE(TRIM(C1600),".",""),"/",""),"-","")," ","")),14),UPPER(SUBSTITUTE(SUBSTITUTE(SUBSTITUTE(SUBSTITUTE(TRIM(C1600),".",""),"/",""),"-","")," ",""))))</f>
        <v/>
      </c>
      <c r="E1600" s="25" t="str">
        <f aca="false">IF(D1600="","",IFERROR(INDEX(Empresas!$C:$C,MATCH(D1600,Empresas!$B:$B,0)),"cadastre o CNPJ em Empresas"))</f>
        <v/>
      </c>
      <c r="F1600" s="23"/>
      <c r="G1600" s="35"/>
      <c r="H1600" s="24"/>
      <c r="I1600" s="11"/>
      <c r="J1600" s="27" t="str">
        <f aca="false">IF(A1600="","",YEAR(A1600))</f>
        <v/>
      </c>
      <c r="K1600" s="24"/>
      <c r="L1600" s="11"/>
    </row>
    <row r="1601" customFormat="false" ht="15" hidden="false" customHeight="false" outlineLevel="0" collapsed="false">
      <c r="A1601" s="22"/>
      <c r="B1601" s="11"/>
      <c r="C1601" s="24"/>
      <c r="D1601" s="31" t="str">
        <f aca="false">IF(C1601="","",IF(LEN(UPPER(SUBSTITUTE(SUBSTITUTE(SUBSTITUTE(SUBSTITUTE(TRIM(C1601),".",""),"/",""),"-","")," ","")))&lt;14,RIGHT(REPT("0",14)&amp;UPPER(SUBSTITUTE(SUBSTITUTE(SUBSTITUTE(SUBSTITUTE(TRIM(C1601),".",""),"/",""),"-","")," ","")),14),UPPER(SUBSTITUTE(SUBSTITUTE(SUBSTITUTE(SUBSTITUTE(TRIM(C1601),".",""),"/",""),"-","")," ",""))))</f>
        <v/>
      </c>
      <c r="E1601" s="25" t="str">
        <f aca="false">IF(D1601="","",IFERROR(INDEX(Empresas!$C:$C,MATCH(D1601,Empresas!$B:$B,0)),"cadastre o CNPJ em Empresas"))</f>
        <v/>
      </c>
      <c r="F1601" s="23"/>
      <c r="G1601" s="35"/>
      <c r="H1601" s="24"/>
      <c r="I1601" s="11"/>
      <c r="J1601" s="27" t="str">
        <f aca="false">IF(A1601="","",YEAR(A1601))</f>
        <v/>
      </c>
      <c r="K1601" s="24"/>
      <c r="L1601" s="11"/>
    </row>
    <row r="1602" customFormat="false" ht="15" hidden="false" customHeight="false" outlineLevel="0" collapsed="false">
      <c r="A1602" s="22"/>
      <c r="B1602" s="11"/>
      <c r="C1602" s="24"/>
      <c r="D1602" s="31" t="str">
        <f aca="false">IF(C1602="","",IF(LEN(UPPER(SUBSTITUTE(SUBSTITUTE(SUBSTITUTE(SUBSTITUTE(TRIM(C1602),".",""),"/",""),"-","")," ","")))&lt;14,RIGHT(REPT("0",14)&amp;UPPER(SUBSTITUTE(SUBSTITUTE(SUBSTITUTE(SUBSTITUTE(TRIM(C1602),".",""),"/",""),"-","")," ","")),14),UPPER(SUBSTITUTE(SUBSTITUTE(SUBSTITUTE(SUBSTITUTE(TRIM(C1602),".",""),"/",""),"-","")," ",""))))</f>
        <v/>
      </c>
      <c r="E1602" s="25" t="str">
        <f aca="false">IF(D1602="","",IFERROR(INDEX(Empresas!$C:$C,MATCH(D1602,Empresas!$B:$B,0)),"cadastre o CNPJ em Empresas"))</f>
        <v/>
      </c>
      <c r="F1602" s="23"/>
      <c r="G1602" s="35"/>
      <c r="H1602" s="24"/>
      <c r="I1602" s="11"/>
      <c r="J1602" s="27" t="str">
        <f aca="false">IF(A1602="","",YEAR(A1602))</f>
        <v/>
      </c>
      <c r="K1602" s="24"/>
      <c r="L1602" s="11"/>
    </row>
    <row r="1603" customFormat="false" ht="15" hidden="false" customHeight="false" outlineLevel="0" collapsed="false">
      <c r="A1603" s="22"/>
      <c r="B1603" s="11"/>
      <c r="C1603" s="24"/>
      <c r="D1603" s="31" t="str">
        <f aca="false">IF(C1603="","",IF(LEN(UPPER(SUBSTITUTE(SUBSTITUTE(SUBSTITUTE(SUBSTITUTE(TRIM(C1603),".",""),"/",""),"-","")," ","")))&lt;14,RIGHT(REPT("0",14)&amp;UPPER(SUBSTITUTE(SUBSTITUTE(SUBSTITUTE(SUBSTITUTE(TRIM(C1603),".",""),"/",""),"-","")," ","")),14),UPPER(SUBSTITUTE(SUBSTITUTE(SUBSTITUTE(SUBSTITUTE(TRIM(C1603),".",""),"/",""),"-","")," ",""))))</f>
        <v/>
      </c>
      <c r="E1603" s="25" t="str">
        <f aca="false">IF(D1603="","",IFERROR(INDEX(Empresas!$C:$C,MATCH(D1603,Empresas!$B:$B,0)),"cadastre o CNPJ em Empresas"))</f>
        <v/>
      </c>
      <c r="F1603" s="23"/>
      <c r="G1603" s="35"/>
      <c r="H1603" s="24"/>
      <c r="I1603" s="11"/>
      <c r="J1603" s="27" t="str">
        <f aca="false">IF(A1603="","",YEAR(A1603))</f>
        <v/>
      </c>
      <c r="K1603" s="24"/>
      <c r="L1603" s="11"/>
    </row>
    <row r="1604" customFormat="false" ht="15" hidden="false" customHeight="false" outlineLevel="0" collapsed="false">
      <c r="A1604" s="22"/>
      <c r="B1604" s="11"/>
      <c r="C1604" s="24"/>
      <c r="D1604" s="31" t="str">
        <f aca="false">IF(C1604="","",IF(LEN(UPPER(SUBSTITUTE(SUBSTITUTE(SUBSTITUTE(SUBSTITUTE(TRIM(C1604),".",""),"/",""),"-","")," ","")))&lt;14,RIGHT(REPT("0",14)&amp;UPPER(SUBSTITUTE(SUBSTITUTE(SUBSTITUTE(SUBSTITUTE(TRIM(C1604),".",""),"/",""),"-","")," ","")),14),UPPER(SUBSTITUTE(SUBSTITUTE(SUBSTITUTE(SUBSTITUTE(TRIM(C1604),".",""),"/",""),"-","")," ",""))))</f>
        <v/>
      </c>
      <c r="E1604" s="25" t="str">
        <f aca="false">IF(D1604="","",IFERROR(INDEX(Empresas!$C:$C,MATCH(D1604,Empresas!$B:$B,0)),"cadastre o CNPJ em Empresas"))</f>
        <v/>
      </c>
      <c r="F1604" s="23"/>
      <c r="G1604" s="35"/>
      <c r="H1604" s="24"/>
      <c r="I1604" s="11"/>
      <c r="J1604" s="27" t="str">
        <f aca="false">IF(A1604="","",YEAR(A1604))</f>
        <v/>
      </c>
      <c r="K1604" s="24"/>
      <c r="L1604" s="11"/>
    </row>
    <row r="1605" customFormat="false" ht="15" hidden="false" customHeight="false" outlineLevel="0" collapsed="false">
      <c r="A1605" s="22"/>
      <c r="B1605" s="11"/>
      <c r="C1605" s="24"/>
      <c r="D1605" s="31" t="str">
        <f aca="false">IF(C1605="","",IF(LEN(UPPER(SUBSTITUTE(SUBSTITUTE(SUBSTITUTE(SUBSTITUTE(TRIM(C1605),".",""),"/",""),"-","")," ","")))&lt;14,RIGHT(REPT("0",14)&amp;UPPER(SUBSTITUTE(SUBSTITUTE(SUBSTITUTE(SUBSTITUTE(TRIM(C1605),".",""),"/",""),"-","")," ","")),14),UPPER(SUBSTITUTE(SUBSTITUTE(SUBSTITUTE(SUBSTITUTE(TRIM(C1605),".",""),"/",""),"-","")," ",""))))</f>
        <v/>
      </c>
      <c r="E1605" s="25" t="str">
        <f aca="false">IF(D1605="","",IFERROR(INDEX(Empresas!$C:$C,MATCH(D1605,Empresas!$B:$B,0)),"cadastre o CNPJ em Empresas"))</f>
        <v/>
      </c>
      <c r="F1605" s="23"/>
      <c r="G1605" s="35"/>
      <c r="H1605" s="24"/>
      <c r="I1605" s="11"/>
      <c r="J1605" s="27" t="str">
        <f aca="false">IF(A1605="","",YEAR(A1605))</f>
        <v/>
      </c>
      <c r="K1605" s="24"/>
      <c r="L1605" s="11"/>
    </row>
    <row r="1606" customFormat="false" ht="15" hidden="false" customHeight="false" outlineLevel="0" collapsed="false">
      <c r="A1606" s="22"/>
      <c r="B1606" s="11"/>
      <c r="C1606" s="24"/>
      <c r="D1606" s="31" t="str">
        <f aca="false">IF(C1606="","",IF(LEN(UPPER(SUBSTITUTE(SUBSTITUTE(SUBSTITUTE(SUBSTITUTE(TRIM(C1606),".",""),"/",""),"-","")," ","")))&lt;14,RIGHT(REPT("0",14)&amp;UPPER(SUBSTITUTE(SUBSTITUTE(SUBSTITUTE(SUBSTITUTE(TRIM(C1606),".",""),"/",""),"-","")," ","")),14),UPPER(SUBSTITUTE(SUBSTITUTE(SUBSTITUTE(SUBSTITUTE(TRIM(C1606),".",""),"/",""),"-","")," ",""))))</f>
        <v/>
      </c>
      <c r="E1606" s="25" t="str">
        <f aca="false">IF(D1606="","",IFERROR(INDEX(Empresas!$C:$C,MATCH(D1606,Empresas!$B:$B,0)),"cadastre o CNPJ em Empresas"))</f>
        <v/>
      </c>
      <c r="F1606" s="23"/>
      <c r="G1606" s="35"/>
      <c r="H1606" s="24"/>
      <c r="I1606" s="11"/>
      <c r="J1606" s="27" t="str">
        <f aca="false">IF(A1606="","",YEAR(A1606))</f>
        <v/>
      </c>
      <c r="K1606" s="24"/>
      <c r="L1606" s="11"/>
    </row>
    <row r="1607" customFormat="false" ht="15" hidden="false" customHeight="false" outlineLevel="0" collapsed="false">
      <c r="A1607" s="22"/>
      <c r="B1607" s="11"/>
      <c r="C1607" s="24"/>
      <c r="D1607" s="31" t="str">
        <f aca="false">IF(C1607="","",IF(LEN(UPPER(SUBSTITUTE(SUBSTITUTE(SUBSTITUTE(SUBSTITUTE(TRIM(C1607),".",""),"/",""),"-","")," ","")))&lt;14,RIGHT(REPT("0",14)&amp;UPPER(SUBSTITUTE(SUBSTITUTE(SUBSTITUTE(SUBSTITUTE(TRIM(C1607),".",""),"/",""),"-","")," ","")),14),UPPER(SUBSTITUTE(SUBSTITUTE(SUBSTITUTE(SUBSTITUTE(TRIM(C1607),".",""),"/",""),"-","")," ",""))))</f>
        <v/>
      </c>
      <c r="E1607" s="25" t="str">
        <f aca="false">IF(D1607="","",IFERROR(INDEX(Empresas!$C:$C,MATCH(D1607,Empresas!$B:$B,0)),"cadastre o CNPJ em Empresas"))</f>
        <v/>
      </c>
      <c r="F1607" s="23"/>
      <c r="G1607" s="35"/>
      <c r="H1607" s="24"/>
      <c r="I1607" s="11"/>
      <c r="J1607" s="27" t="str">
        <f aca="false">IF(A1607="","",YEAR(A1607))</f>
        <v/>
      </c>
      <c r="K1607" s="24"/>
      <c r="L1607" s="11"/>
    </row>
    <row r="1608" customFormat="false" ht="15" hidden="false" customHeight="false" outlineLevel="0" collapsed="false">
      <c r="A1608" s="22"/>
      <c r="B1608" s="11"/>
      <c r="C1608" s="24"/>
      <c r="D1608" s="31" t="str">
        <f aca="false">IF(C1608="","",IF(LEN(UPPER(SUBSTITUTE(SUBSTITUTE(SUBSTITUTE(SUBSTITUTE(TRIM(C1608),".",""),"/",""),"-","")," ","")))&lt;14,RIGHT(REPT("0",14)&amp;UPPER(SUBSTITUTE(SUBSTITUTE(SUBSTITUTE(SUBSTITUTE(TRIM(C1608),".",""),"/",""),"-","")," ","")),14),UPPER(SUBSTITUTE(SUBSTITUTE(SUBSTITUTE(SUBSTITUTE(TRIM(C1608),".",""),"/",""),"-","")," ",""))))</f>
        <v/>
      </c>
      <c r="E1608" s="25" t="str">
        <f aca="false">IF(D1608="","",IFERROR(INDEX(Empresas!$C:$C,MATCH(D1608,Empresas!$B:$B,0)),"cadastre o CNPJ em Empresas"))</f>
        <v/>
      </c>
      <c r="F1608" s="23"/>
      <c r="G1608" s="35"/>
      <c r="H1608" s="24"/>
      <c r="I1608" s="11"/>
      <c r="J1608" s="27" t="str">
        <f aca="false">IF(A1608="","",YEAR(A1608))</f>
        <v/>
      </c>
      <c r="K1608" s="24"/>
      <c r="L1608" s="11"/>
    </row>
    <row r="1609" customFormat="false" ht="15" hidden="false" customHeight="false" outlineLevel="0" collapsed="false">
      <c r="A1609" s="22"/>
      <c r="B1609" s="11"/>
      <c r="C1609" s="24"/>
      <c r="D1609" s="31" t="str">
        <f aca="false">IF(C1609="","",IF(LEN(UPPER(SUBSTITUTE(SUBSTITUTE(SUBSTITUTE(SUBSTITUTE(TRIM(C1609),".",""),"/",""),"-","")," ","")))&lt;14,RIGHT(REPT("0",14)&amp;UPPER(SUBSTITUTE(SUBSTITUTE(SUBSTITUTE(SUBSTITUTE(TRIM(C1609),".",""),"/",""),"-","")," ","")),14),UPPER(SUBSTITUTE(SUBSTITUTE(SUBSTITUTE(SUBSTITUTE(TRIM(C1609),".",""),"/",""),"-","")," ",""))))</f>
        <v/>
      </c>
      <c r="E1609" s="25" t="str">
        <f aca="false">IF(D1609="","",IFERROR(INDEX(Empresas!$C:$C,MATCH(D1609,Empresas!$B:$B,0)),"cadastre o CNPJ em Empresas"))</f>
        <v/>
      </c>
      <c r="F1609" s="23"/>
      <c r="G1609" s="35"/>
      <c r="H1609" s="24"/>
      <c r="I1609" s="11"/>
      <c r="J1609" s="27" t="str">
        <f aca="false">IF(A1609="","",YEAR(A1609))</f>
        <v/>
      </c>
      <c r="K1609" s="24"/>
      <c r="L1609" s="11"/>
    </row>
    <row r="1610" customFormat="false" ht="15" hidden="false" customHeight="false" outlineLevel="0" collapsed="false">
      <c r="A1610" s="22"/>
      <c r="B1610" s="11"/>
      <c r="C1610" s="24"/>
      <c r="D1610" s="31" t="str">
        <f aca="false">IF(C1610="","",IF(LEN(UPPER(SUBSTITUTE(SUBSTITUTE(SUBSTITUTE(SUBSTITUTE(TRIM(C1610),".",""),"/",""),"-","")," ","")))&lt;14,RIGHT(REPT("0",14)&amp;UPPER(SUBSTITUTE(SUBSTITUTE(SUBSTITUTE(SUBSTITUTE(TRIM(C1610),".",""),"/",""),"-","")," ","")),14),UPPER(SUBSTITUTE(SUBSTITUTE(SUBSTITUTE(SUBSTITUTE(TRIM(C1610),".",""),"/",""),"-","")," ",""))))</f>
        <v/>
      </c>
      <c r="E1610" s="25" t="str">
        <f aca="false">IF(D1610="","",IFERROR(INDEX(Empresas!$C:$C,MATCH(D1610,Empresas!$B:$B,0)),"cadastre o CNPJ em Empresas"))</f>
        <v/>
      </c>
      <c r="F1610" s="23"/>
      <c r="G1610" s="35"/>
      <c r="H1610" s="24"/>
      <c r="I1610" s="11"/>
      <c r="J1610" s="27" t="str">
        <f aca="false">IF(A1610="","",YEAR(A1610))</f>
        <v/>
      </c>
      <c r="K1610" s="24"/>
      <c r="L1610" s="11"/>
    </row>
    <row r="1611" customFormat="false" ht="15" hidden="false" customHeight="false" outlineLevel="0" collapsed="false">
      <c r="A1611" s="22"/>
      <c r="B1611" s="11"/>
      <c r="C1611" s="24"/>
      <c r="D1611" s="31" t="str">
        <f aca="false">IF(C1611="","",IF(LEN(UPPER(SUBSTITUTE(SUBSTITUTE(SUBSTITUTE(SUBSTITUTE(TRIM(C1611),".",""),"/",""),"-","")," ","")))&lt;14,RIGHT(REPT("0",14)&amp;UPPER(SUBSTITUTE(SUBSTITUTE(SUBSTITUTE(SUBSTITUTE(TRIM(C1611),".",""),"/",""),"-","")," ","")),14),UPPER(SUBSTITUTE(SUBSTITUTE(SUBSTITUTE(SUBSTITUTE(TRIM(C1611),".",""),"/",""),"-","")," ",""))))</f>
        <v/>
      </c>
      <c r="E1611" s="25" t="str">
        <f aca="false">IF(D1611="","",IFERROR(INDEX(Empresas!$C:$C,MATCH(D1611,Empresas!$B:$B,0)),"cadastre o CNPJ em Empresas"))</f>
        <v/>
      </c>
      <c r="F1611" s="23"/>
      <c r="G1611" s="35"/>
      <c r="H1611" s="24"/>
      <c r="I1611" s="11"/>
      <c r="J1611" s="27" t="str">
        <f aca="false">IF(A1611="","",YEAR(A1611))</f>
        <v/>
      </c>
      <c r="K1611" s="24"/>
      <c r="L1611" s="11"/>
    </row>
    <row r="1612" customFormat="false" ht="15" hidden="false" customHeight="false" outlineLevel="0" collapsed="false">
      <c r="A1612" s="22"/>
      <c r="B1612" s="11"/>
      <c r="C1612" s="24"/>
      <c r="D1612" s="31" t="str">
        <f aca="false">IF(C1612="","",IF(LEN(UPPER(SUBSTITUTE(SUBSTITUTE(SUBSTITUTE(SUBSTITUTE(TRIM(C1612),".",""),"/",""),"-","")," ","")))&lt;14,RIGHT(REPT("0",14)&amp;UPPER(SUBSTITUTE(SUBSTITUTE(SUBSTITUTE(SUBSTITUTE(TRIM(C1612),".",""),"/",""),"-","")," ","")),14),UPPER(SUBSTITUTE(SUBSTITUTE(SUBSTITUTE(SUBSTITUTE(TRIM(C1612),".",""),"/",""),"-","")," ",""))))</f>
        <v/>
      </c>
      <c r="E1612" s="25" t="str">
        <f aca="false">IF(D1612="","",IFERROR(INDEX(Empresas!$C:$C,MATCH(D1612,Empresas!$B:$B,0)),"cadastre o CNPJ em Empresas"))</f>
        <v/>
      </c>
      <c r="F1612" s="23"/>
      <c r="G1612" s="35"/>
      <c r="H1612" s="24"/>
      <c r="I1612" s="11"/>
      <c r="J1612" s="27" t="str">
        <f aca="false">IF(A1612="","",YEAR(A1612))</f>
        <v/>
      </c>
      <c r="K1612" s="24"/>
      <c r="L1612" s="11"/>
    </row>
    <row r="1613" customFormat="false" ht="15" hidden="false" customHeight="false" outlineLevel="0" collapsed="false">
      <c r="A1613" s="22"/>
      <c r="B1613" s="11"/>
      <c r="C1613" s="24"/>
      <c r="D1613" s="31" t="str">
        <f aca="false">IF(C1613="","",IF(LEN(UPPER(SUBSTITUTE(SUBSTITUTE(SUBSTITUTE(SUBSTITUTE(TRIM(C1613),".",""),"/",""),"-","")," ","")))&lt;14,RIGHT(REPT("0",14)&amp;UPPER(SUBSTITUTE(SUBSTITUTE(SUBSTITUTE(SUBSTITUTE(TRIM(C1613),".",""),"/",""),"-","")," ","")),14),UPPER(SUBSTITUTE(SUBSTITUTE(SUBSTITUTE(SUBSTITUTE(TRIM(C1613),".",""),"/",""),"-","")," ",""))))</f>
        <v/>
      </c>
      <c r="E1613" s="25" t="str">
        <f aca="false">IF(D1613="","",IFERROR(INDEX(Empresas!$C:$C,MATCH(D1613,Empresas!$B:$B,0)),"cadastre o CNPJ em Empresas"))</f>
        <v/>
      </c>
      <c r="F1613" s="23"/>
      <c r="G1613" s="35"/>
      <c r="H1613" s="24"/>
      <c r="I1613" s="11"/>
      <c r="J1613" s="27" t="str">
        <f aca="false">IF(A1613="","",YEAR(A1613))</f>
        <v/>
      </c>
      <c r="K1613" s="24"/>
      <c r="L1613" s="11"/>
    </row>
    <row r="1614" customFormat="false" ht="15" hidden="false" customHeight="false" outlineLevel="0" collapsed="false">
      <c r="A1614" s="22"/>
      <c r="B1614" s="11"/>
      <c r="C1614" s="24"/>
      <c r="D1614" s="31" t="str">
        <f aca="false">IF(C1614="","",IF(LEN(UPPER(SUBSTITUTE(SUBSTITUTE(SUBSTITUTE(SUBSTITUTE(TRIM(C1614),".",""),"/",""),"-","")," ","")))&lt;14,RIGHT(REPT("0",14)&amp;UPPER(SUBSTITUTE(SUBSTITUTE(SUBSTITUTE(SUBSTITUTE(TRIM(C1614),".",""),"/",""),"-","")," ","")),14),UPPER(SUBSTITUTE(SUBSTITUTE(SUBSTITUTE(SUBSTITUTE(TRIM(C1614),".",""),"/",""),"-","")," ",""))))</f>
        <v/>
      </c>
      <c r="E1614" s="25" t="str">
        <f aca="false">IF(D1614="","",IFERROR(INDEX(Empresas!$C:$C,MATCH(D1614,Empresas!$B:$B,0)),"cadastre o CNPJ em Empresas"))</f>
        <v/>
      </c>
      <c r="F1614" s="23"/>
      <c r="G1614" s="35"/>
      <c r="H1614" s="24"/>
      <c r="I1614" s="11"/>
      <c r="J1614" s="27" t="str">
        <f aca="false">IF(A1614="","",YEAR(A1614))</f>
        <v/>
      </c>
      <c r="K1614" s="24"/>
      <c r="L1614" s="11"/>
    </row>
    <row r="1615" customFormat="false" ht="15" hidden="false" customHeight="false" outlineLevel="0" collapsed="false">
      <c r="A1615" s="22"/>
      <c r="B1615" s="11"/>
      <c r="C1615" s="24"/>
      <c r="D1615" s="31" t="str">
        <f aca="false">IF(C1615="","",IF(LEN(UPPER(SUBSTITUTE(SUBSTITUTE(SUBSTITUTE(SUBSTITUTE(TRIM(C1615),".",""),"/",""),"-","")," ","")))&lt;14,RIGHT(REPT("0",14)&amp;UPPER(SUBSTITUTE(SUBSTITUTE(SUBSTITUTE(SUBSTITUTE(TRIM(C1615),".",""),"/",""),"-","")," ","")),14),UPPER(SUBSTITUTE(SUBSTITUTE(SUBSTITUTE(SUBSTITUTE(TRIM(C1615),".",""),"/",""),"-","")," ",""))))</f>
        <v/>
      </c>
      <c r="E1615" s="25" t="str">
        <f aca="false">IF(D1615="","",IFERROR(INDEX(Empresas!$C:$C,MATCH(D1615,Empresas!$B:$B,0)),"cadastre o CNPJ em Empresas"))</f>
        <v/>
      </c>
      <c r="F1615" s="23"/>
      <c r="G1615" s="35"/>
      <c r="H1615" s="24"/>
      <c r="I1615" s="11"/>
      <c r="J1615" s="27" t="str">
        <f aca="false">IF(A1615="","",YEAR(A1615))</f>
        <v/>
      </c>
      <c r="K1615" s="24"/>
      <c r="L1615" s="11"/>
    </row>
    <row r="1616" customFormat="false" ht="15" hidden="false" customHeight="false" outlineLevel="0" collapsed="false">
      <c r="A1616" s="22"/>
      <c r="B1616" s="11"/>
      <c r="C1616" s="24"/>
      <c r="D1616" s="31" t="str">
        <f aca="false">IF(C1616="","",IF(LEN(UPPER(SUBSTITUTE(SUBSTITUTE(SUBSTITUTE(SUBSTITUTE(TRIM(C1616),".",""),"/",""),"-","")," ","")))&lt;14,RIGHT(REPT("0",14)&amp;UPPER(SUBSTITUTE(SUBSTITUTE(SUBSTITUTE(SUBSTITUTE(TRIM(C1616),".",""),"/",""),"-","")," ","")),14),UPPER(SUBSTITUTE(SUBSTITUTE(SUBSTITUTE(SUBSTITUTE(TRIM(C1616),".",""),"/",""),"-","")," ",""))))</f>
        <v/>
      </c>
      <c r="E1616" s="25" t="str">
        <f aca="false">IF(D1616="","",IFERROR(INDEX(Empresas!$C:$C,MATCH(D1616,Empresas!$B:$B,0)),"cadastre o CNPJ em Empresas"))</f>
        <v/>
      </c>
      <c r="F1616" s="23"/>
      <c r="G1616" s="35"/>
      <c r="H1616" s="24"/>
      <c r="I1616" s="11"/>
      <c r="J1616" s="27" t="str">
        <f aca="false">IF(A1616="","",YEAR(A1616))</f>
        <v/>
      </c>
      <c r="K1616" s="24"/>
      <c r="L1616" s="11"/>
    </row>
    <row r="1617" customFormat="false" ht="15" hidden="false" customHeight="false" outlineLevel="0" collapsed="false">
      <c r="A1617" s="22"/>
      <c r="B1617" s="11"/>
      <c r="C1617" s="24"/>
      <c r="D1617" s="31" t="str">
        <f aca="false">IF(C1617="","",IF(LEN(UPPER(SUBSTITUTE(SUBSTITUTE(SUBSTITUTE(SUBSTITUTE(TRIM(C1617),".",""),"/",""),"-","")," ","")))&lt;14,RIGHT(REPT("0",14)&amp;UPPER(SUBSTITUTE(SUBSTITUTE(SUBSTITUTE(SUBSTITUTE(TRIM(C1617),".",""),"/",""),"-","")," ","")),14),UPPER(SUBSTITUTE(SUBSTITUTE(SUBSTITUTE(SUBSTITUTE(TRIM(C1617),".",""),"/",""),"-","")," ",""))))</f>
        <v/>
      </c>
      <c r="E1617" s="25" t="str">
        <f aca="false">IF(D1617="","",IFERROR(INDEX(Empresas!$C:$C,MATCH(D1617,Empresas!$B:$B,0)),"cadastre o CNPJ em Empresas"))</f>
        <v/>
      </c>
      <c r="F1617" s="23"/>
      <c r="G1617" s="35"/>
      <c r="H1617" s="24"/>
      <c r="I1617" s="11"/>
      <c r="J1617" s="27" t="str">
        <f aca="false">IF(A1617="","",YEAR(A1617))</f>
        <v/>
      </c>
      <c r="K1617" s="24"/>
      <c r="L1617" s="11"/>
    </row>
    <row r="1618" customFormat="false" ht="15" hidden="false" customHeight="false" outlineLevel="0" collapsed="false">
      <c r="A1618" s="22"/>
      <c r="B1618" s="11"/>
      <c r="C1618" s="24"/>
      <c r="D1618" s="31" t="str">
        <f aca="false">IF(C1618="","",IF(LEN(UPPER(SUBSTITUTE(SUBSTITUTE(SUBSTITUTE(SUBSTITUTE(TRIM(C1618),".",""),"/",""),"-","")," ","")))&lt;14,RIGHT(REPT("0",14)&amp;UPPER(SUBSTITUTE(SUBSTITUTE(SUBSTITUTE(SUBSTITUTE(TRIM(C1618),".",""),"/",""),"-","")," ","")),14),UPPER(SUBSTITUTE(SUBSTITUTE(SUBSTITUTE(SUBSTITUTE(TRIM(C1618),".",""),"/",""),"-","")," ",""))))</f>
        <v/>
      </c>
      <c r="E1618" s="25" t="str">
        <f aca="false">IF(D1618="","",IFERROR(INDEX(Empresas!$C:$C,MATCH(D1618,Empresas!$B:$B,0)),"cadastre o CNPJ em Empresas"))</f>
        <v/>
      </c>
      <c r="F1618" s="23"/>
      <c r="G1618" s="35"/>
      <c r="H1618" s="24"/>
      <c r="I1618" s="11"/>
      <c r="J1618" s="27" t="str">
        <f aca="false">IF(A1618="","",YEAR(A1618))</f>
        <v/>
      </c>
      <c r="K1618" s="24"/>
      <c r="L1618" s="11"/>
    </row>
    <row r="1619" customFormat="false" ht="15" hidden="false" customHeight="false" outlineLevel="0" collapsed="false">
      <c r="A1619" s="22"/>
      <c r="B1619" s="11"/>
      <c r="C1619" s="24"/>
      <c r="D1619" s="31" t="str">
        <f aca="false">IF(C1619="","",IF(LEN(UPPER(SUBSTITUTE(SUBSTITUTE(SUBSTITUTE(SUBSTITUTE(TRIM(C1619),".",""),"/",""),"-","")," ","")))&lt;14,RIGHT(REPT("0",14)&amp;UPPER(SUBSTITUTE(SUBSTITUTE(SUBSTITUTE(SUBSTITUTE(TRIM(C1619),".",""),"/",""),"-","")," ","")),14),UPPER(SUBSTITUTE(SUBSTITUTE(SUBSTITUTE(SUBSTITUTE(TRIM(C1619),".",""),"/",""),"-","")," ",""))))</f>
        <v/>
      </c>
      <c r="E1619" s="25" t="str">
        <f aca="false">IF(D1619="","",IFERROR(INDEX(Empresas!$C:$C,MATCH(D1619,Empresas!$B:$B,0)),"cadastre o CNPJ em Empresas"))</f>
        <v/>
      </c>
      <c r="F1619" s="23"/>
      <c r="G1619" s="35"/>
      <c r="H1619" s="24"/>
      <c r="I1619" s="11"/>
      <c r="J1619" s="27" t="str">
        <f aca="false">IF(A1619="","",YEAR(A1619))</f>
        <v/>
      </c>
      <c r="K1619" s="24"/>
      <c r="L1619" s="11"/>
    </row>
    <row r="1620" customFormat="false" ht="15" hidden="false" customHeight="false" outlineLevel="0" collapsed="false">
      <c r="A1620" s="22"/>
      <c r="B1620" s="11"/>
      <c r="C1620" s="24"/>
      <c r="D1620" s="31" t="str">
        <f aca="false">IF(C1620="","",IF(LEN(UPPER(SUBSTITUTE(SUBSTITUTE(SUBSTITUTE(SUBSTITUTE(TRIM(C1620),".",""),"/",""),"-","")," ","")))&lt;14,RIGHT(REPT("0",14)&amp;UPPER(SUBSTITUTE(SUBSTITUTE(SUBSTITUTE(SUBSTITUTE(TRIM(C1620),".",""),"/",""),"-","")," ","")),14),UPPER(SUBSTITUTE(SUBSTITUTE(SUBSTITUTE(SUBSTITUTE(TRIM(C1620),".",""),"/",""),"-","")," ",""))))</f>
        <v/>
      </c>
      <c r="E1620" s="25" t="str">
        <f aca="false">IF(D1620="","",IFERROR(INDEX(Empresas!$C:$C,MATCH(D1620,Empresas!$B:$B,0)),"cadastre o CNPJ em Empresas"))</f>
        <v/>
      </c>
      <c r="F1620" s="23"/>
      <c r="G1620" s="35"/>
      <c r="H1620" s="24"/>
      <c r="I1620" s="11"/>
      <c r="J1620" s="27" t="str">
        <f aca="false">IF(A1620="","",YEAR(A1620))</f>
        <v/>
      </c>
      <c r="K1620" s="24"/>
      <c r="L1620" s="11"/>
    </row>
    <row r="1621" customFormat="false" ht="15" hidden="false" customHeight="false" outlineLevel="0" collapsed="false">
      <c r="A1621" s="22"/>
      <c r="B1621" s="11"/>
      <c r="C1621" s="24"/>
      <c r="D1621" s="31" t="str">
        <f aca="false">IF(C1621="","",IF(LEN(UPPER(SUBSTITUTE(SUBSTITUTE(SUBSTITUTE(SUBSTITUTE(TRIM(C1621),".",""),"/",""),"-","")," ","")))&lt;14,RIGHT(REPT("0",14)&amp;UPPER(SUBSTITUTE(SUBSTITUTE(SUBSTITUTE(SUBSTITUTE(TRIM(C1621),".",""),"/",""),"-","")," ","")),14),UPPER(SUBSTITUTE(SUBSTITUTE(SUBSTITUTE(SUBSTITUTE(TRIM(C1621),".",""),"/",""),"-","")," ",""))))</f>
        <v/>
      </c>
      <c r="E1621" s="25" t="str">
        <f aca="false">IF(D1621="","",IFERROR(INDEX(Empresas!$C:$C,MATCH(D1621,Empresas!$B:$B,0)),"cadastre o CNPJ em Empresas"))</f>
        <v/>
      </c>
      <c r="F1621" s="23"/>
      <c r="G1621" s="35"/>
      <c r="H1621" s="24"/>
      <c r="I1621" s="11"/>
      <c r="J1621" s="27" t="str">
        <f aca="false">IF(A1621="","",YEAR(A1621))</f>
        <v/>
      </c>
      <c r="K1621" s="24"/>
      <c r="L1621" s="11"/>
    </row>
    <row r="1622" customFormat="false" ht="15" hidden="false" customHeight="false" outlineLevel="0" collapsed="false">
      <c r="A1622" s="22"/>
      <c r="B1622" s="11"/>
      <c r="C1622" s="24"/>
      <c r="D1622" s="31" t="str">
        <f aca="false">IF(C1622="","",IF(LEN(UPPER(SUBSTITUTE(SUBSTITUTE(SUBSTITUTE(SUBSTITUTE(TRIM(C1622),".",""),"/",""),"-","")," ","")))&lt;14,RIGHT(REPT("0",14)&amp;UPPER(SUBSTITUTE(SUBSTITUTE(SUBSTITUTE(SUBSTITUTE(TRIM(C1622),".",""),"/",""),"-","")," ","")),14),UPPER(SUBSTITUTE(SUBSTITUTE(SUBSTITUTE(SUBSTITUTE(TRIM(C1622),".",""),"/",""),"-","")," ",""))))</f>
        <v/>
      </c>
      <c r="E1622" s="25" t="str">
        <f aca="false">IF(D1622="","",IFERROR(INDEX(Empresas!$C:$C,MATCH(D1622,Empresas!$B:$B,0)),"cadastre o CNPJ em Empresas"))</f>
        <v/>
      </c>
      <c r="F1622" s="23"/>
      <c r="G1622" s="35"/>
      <c r="H1622" s="24"/>
      <c r="I1622" s="11"/>
      <c r="J1622" s="27" t="str">
        <f aca="false">IF(A1622="","",YEAR(A1622))</f>
        <v/>
      </c>
      <c r="K1622" s="24"/>
      <c r="L1622" s="11"/>
    </row>
    <row r="1623" customFormat="false" ht="15" hidden="false" customHeight="false" outlineLevel="0" collapsed="false">
      <c r="A1623" s="22"/>
      <c r="B1623" s="11"/>
      <c r="C1623" s="24"/>
      <c r="D1623" s="31" t="str">
        <f aca="false">IF(C1623="","",IF(LEN(UPPER(SUBSTITUTE(SUBSTITUTE(SUBSTITUTE(SUBSTITUTE(TRIM(C1623),".",""),"/",""),"-","")," ","")))&lt;14,RIGHT(REPT("0",14)&amp;UPPER(SUBSTITUTE(SUBSTITUTE(SUBSTITUTE(SUBSTITUTE(TRIM(C1623),".",""),"/",""),"-","")," ","")),14),UPPER(SUBSTITUTE(SUBSTITUTE(SUBSTITUTE(SUBSTITUTE(TRIM(C1623),".",""),"/",""),"-","")," ",""))))</f>
        <v/>
      </c>
      <c r="E1623" s="25" t="str">
        <f aca="false">IF(D1623="","",IFERROR(INDEX(Empresas!$C:$C,MATCH(D1623,Empresas!$B:$B,0)),"cadastre o CNPJ em Empresas"))</f>
        <v/>
      </c>
      <c r="F1623" s="23"/>
      <c r="G1623" s="35"/>
      <c r="H1623" s="24"/>
      <c r="I1623" s="11"/>
      <c r="J1623" s="27" t="str">
        <f aca="false">IF(A1623="","",YEAR(A1623))</f>
        <v/>
      </c>
      <c r="K1623" s="24"/>
      <c r="L1623" s="11"/>
    </row>
    <row r="1624" customFormat="false" ht="15" hidden="false" customHeight="false" outlineLevel="0" collapsed="false">
      <c r="A1624" s="22"/>
      <c r="B1624" s="11"/>
      <c r="C1624" s="24"/>
      <c r="D1624" s="31" t="str">
        <f aca="false">IF(C1624="","",IF(LEN(UPPER(SUBSTITUTE(SUBSTITUTE(SUBSTITUTE(SUBSTITUTE(TRIM(C1624),".",""),"/",""),"-","")," ","")))&lt;14,RIGHT(REPT("0",14)&amp;UPPER(SUBSTITUTE(SUBSTITUTE(SUBSTITUTE(SUBSTITUTE(TRIM(C1624),".",""),"/",""),"-","")," ","")),14),UPPER(SUBSTITUTE(SUBSTITUTE(SUBSTITUTE(SUBSTITUTE(TRIM(C1624),".",""),"/",""),"-","")," ",""))))</f>
        <v/>
      </c>
      <c r="E1624" s="25" t="str">
        <f aca="false">IF(D1624="","",IFERROR(INDEX(Empresas!$C:$C,MATCH(D1624,Empresas!$B:$B,0)),"cadastre o CNPJ em Empresas"))</f>
        <v/>
      </c>
      <c r="F1624" s="23"/>
      <c r="G1624" s="35"/>
      <c r="H1624" s="24"/>
      <c r="I1624" s="11"/>
      <c r="J1624" s="27" t="str">
        <f aca="false">IF(A1624="","",YEAR(A1624))</f>
        <v/>
      </c>
      <c r="K1624" s="24"/>
      <c r="L1624" s="11"/>
    </row>
    <row r="1625" customFormat="false" ht="15" hidden="false" customHeight="false" outlineLevel="0" collapsed="false">
      <c r="A1625" s="22"/>
      <c r="B1625" s="11"/>
      <c r="C1625" s="24"/>
      <c r="D1625" s="31" t="str">
        <f aca="false">IF(C1625="","",IF(LEN(UPPER(SUBSTITUTE(SUBSTITUTE(SUBSTITUTE(SUBSTITUTE(TRIM(C1625),".",""),"/",""),"-","")," ","")))&lt;14,RIGHT(REPT("0",14)&amp;UPPER(SUBSTITUTE(SUBSTITUTE(SUBSTITUTE(SUBSTITUTE(TRIM(C1625),".",""),"/",""),"-","")," ","")),14),UPPER(SUBSTITUTE(SUBSTITUTE(SUBSTITUTE(SUBSTITUTE(TRIM(C1625),".",""),"/",""),"-","")," ",""))))</f>
        <v/>
      </c>
      <c r="E1625" s="25" t="str">
        <f aca="false">IF(D1625="","",IFERROR(INDEX(Empresas!$C:$C,MATCH(D1625,Empresas!$B:$B,0)),"cadastre o CNPJ em Empresas"))</f>
        <v/>
      </c>
      <c r="F1625" s="23"/>
      <c r="G1625" s="35"/>
      <c r="H1625" s="24"/>
      <c r="I1625" s="11"/>
      <c r="J1625" s="27" t="str">
        <f aca="false">IF(A1625="","",YEAR(A1625))</f>
        <v/>
      </c>
      <c r="K1625" s="24"/>
      <c r="L1625" s="11"/>
    </row>
    <row r="1626" customFormat="false" ht="15" hidden="false" customHeight="false" outlineLevel="0" collapsed="false">
      <c r="A1626" s="22"/>
      <c r="B1626" s="11"/>
      <c r="C1626" s="24"/>
      <c r="D1626" s="31" t="str">
        <f aca="false">IF(C1626="","",IF(LEN(UPPER(SUBSTITUTE(SUBSTITUTE(SUBSTITUTE(SUBSTITUTE(TRIM(C1626),".",""),"/",""),"-","")," ","")))&lt;14,RIGHT(REPT("0",14)&amp;UPPER(SUBSTITUTE(SUBSTITUTE(SUBSTITUTE(SUBSTITUTE(TRIM(C1626),".",""),"/",""),"-","")," ","")),14),UPPER(SUBSTITUTE(SUBSTITUTE(SUBSTITUTE(SUBSTITUTE(TRIM(C1626),".",""),"/",""),"-","")," ",""))))</f>
        <v/>
      </c>
      <c r="E1626" s="25" t="str">
        <f aca="false">IF(D1626="","",IFERROR(INDEX(Empresas!$C:$C,MATCH(D1626,Empresas!$B:$B,0)),"cadastre o CNPJ em Empresas"))</f>
        <v/>
      </c>
      <c r="F1626" s="23"/>
      <c r="G1626" s="35"/>
      <c r="H1626" s="24"/>
      <c r="I1626" s="11"/>
      <c r="J1626" s="27" t="str">
        <f aca="false">IF(A1626="","",YEAR(A1626))</f>
        <v/>
      </c>
      <c r="K1626" s="24"/>
      <c r="L1626" s="11"/>
    </row>
    <row r="1627" customFormat="false" ht="15" hidden="false" customHeight="false" outlineLevel="0" collapsed="false">
      <c r="A1627" s="22"/>
      <c r="B1627" s="11"/>
      <c r="C1627" s="24"/>
      <c r="D1627" s="31" t="str">
        <f aca="false">IF(C1627="","",IF(LEN(UPPER(SUBSTITUTE(SUBSTITUTE(SUBSTITUTE(SUBSTITUTE(TRIM(C1627),".",""),"/",""),"-","")," ","")))&lt;14,RIGHT(REPT("0",14)&amp;UPPER(SUBSTITUTE(SUBSTITUTE(SUBSTITUTE(SUBSTITUTE(TRIM(C1627),".",""),"/",""),"-","")," ","")),14),UPPER(SUBSTITUTE(SUBSTITUTE(SUBSTITUTE(SUBSTITUTE(TRIM(C1627),".",""),"/",""),"-","")," ",""))))</f>
        <v/>
      </c>
      <c r="E1627" s="25" t="str">
        <f aca="false">IF(D1627="","",IFERROR(INDEX(Empresas!$C:$C,MATCH(D1627,Empresas!$B:$B,0)),"cadastre o CNPJ em Empresas"))</f>
        <v/>
      </c>
      <c r="F1627" s="23"/>
      <c r="G1627" s="35"/>
      <c r="H1627" s="24"/>
      <c r="I1627" s="11"/>
      <c r="J1627" s="27" t="str">
        <f aca="false">IF(A1627="","",YEAR(A1627))</f>
        <v/>
      </c>
      <c r="K1627" s="24"/>
      <c r="L1627" s="11"/>
    </row>
    <row r="1628" customFormat="false" ht="15" hidden="false" customHeight="false" outlineLevel="0" collapsed="false">
      <c r="A1628" s="22"/>
      <c r="B1628" s="11"/>
      <c r="C1628" s="24"/>
      <c r="D1628" s="31" t="str">
        <f aca="false">IF(C1628="","",IF(LEN(UPPER(SUBSTITUTE(SUBSTITUTE(SUBSTITUTE(SUBSTITUTE(TRIM(C1628),".",""),"/",""),"-","")," ","")))&lt;14,RIGHT(REPT("0",14)&amp;UPPER(SUBSTITUTE(SUBSTITUTE(SUBSTITUTE(SUBSTITUTE(TRIM(C1628),".",""),"/",""),"-","")," ","")),14),UPPER(SUBSTITUTE(SUBSTITUTE(SUBSTITUTE(SUBSTITUTE(TRIM(C1628),".",""),"/",""),"-","")," ",""))))</f>
        <v/>
      </c>
      <c r="E1628" s="25" t="str">
        <f aca="false">IF(D1628="","",IFERROR(INDEX(Empresas!$C:$C,MATCH(D1628,Empresas!$B:$B,0)),"cadastre o CNPJ em Empresas"))</f>
        <v/>
      </c>
      <c r="F1628" s="23"/>
      <c r="G1628" s="35"/>
      <c r="H1628" s="24"/>
      <c r="I1628" s="11"/>
      <c r="J1628" s="27" t="str">
        <f aca="false">IF(A1628="","",YEAR(A1628))</f>
        <v/>
      </c>
      <c r="K1628" s="24"/>
      <c r="L1628" s="11"/>
    </row>
    <row r="1629" customFormat="false" ht="15" hidden="false" customHeight="false" outlineLevel="0" collapsed="false">
      <c r="A1629" s="22"/>
      <c r="B1629" s="11"/>
      <c r="C1629" s="24"/>
      <c r="D1629" s="31" t="str">
        <f aca="false">IF(C1629="","",IF(LEN(UPPER(SUBSTITUTE(SUBSTITUTE(SUBSTITUTE(SUBSTITUTE(TRIM(C1629),".",""),"/",""),"-","")," ","")))&lt;14,RIGHT(REPT("0",14)&amp;UPPER(SUBSTITUTE(SUBSTITUTE(SUBSTITUTE(SUBSTITUTE(TRIM(C1629),".",""),"/",""),"-","")," ","")),14),UPPER(SUBSTITUTE(SUBSTITUTE(SUBSTITUTE(SUBSTITUTE(TRIM(C1629),".",""),"/",""),"-","")," ",""))))</f>
        <v/>
      </c>
      <c r="E1629" s="25" t="str">
        <f aca="false">IF(D1629="","",IFERROR(INDEX(Empresas!$C:$C,MATCH(D1629,Empresas!$B:$B,0)),"cadastre o CNPJ em Empresas"))</f>
        <v/>
      </c>
      <c r="F1629" s="23"/>
      <c r="G1629" s="35"/>
      <c r="H1629" s="24"/>
      <c r="I1629" s="11"/>
      <c r="J1629" s="27" t="str">
        <f aca="false">IF(A1629="","",YEAR(A1629))</f>
        <v/>
      </c>
      <c r="K1629" s="24"/>
      <c r="L1629" s="11"/>
    </row>
    <row r="1630" customFormat="false" ht="15" hidden="false" customHeight="false" outlineLevel="0" collapsed="false">
      <c r="A1630" s="22"/>
      <c r="B1630" s="11"/>
      <c r="C1630" s="24"/>
      <c r="D1630" s="31" t="str">
        <f aca="false">IF(C1630="","",IF(LEN(UPPER(SUBSTITUTE(SUBSTITUTE(SUBSTITUTE(SUBSTITUTE(TRIM(C1630),".",""),"/",""),"-","")," ","")))&lt;14,RIGHT(REPT("0",14)&amp;UPPER(SUBSTITUTE(SUBSTITUTE(SUBSTITUTE(SUBSTITUTE(TRIM(C1630),".",""),"/",""),"-","")," ","")),14),UPPER(SUBSTITUTE(SUBSTITUTE(SUBSTITUTE(SUBSTITUTE(TRIM(C1630),".",""),"/",""),"-","")," ",""))))</f>
        <v/>
      </c>
      <c r="E1630" s="25" t="str">
        <f aca="false">IF(D1630="","",IFERROR(INDEX(Empresas!$C:$C,MATCH(D1630,Empresas!$B:$B,0)),"cadastre o CNPJ em Empresas"))</f>
        <v/>
      </c>
      <c r="F1630" s="23"/>
      <c r="G1630" s="35"/>
      <c r="H1630" s="24"/>
      <c r="I1630" s="11"/>
      <c r="J1630" s="27" t="str">
        <f aca="false">IF(A1630="","",YEAR(A1630))</f>
        <v/>
      </c>
      <c r="K1630" s="24"/>
      <c r="L1630" s="11"/>
    </row>
    <row r="1631" customFormat="false" ht="15" hidden="false" customHeight="false" outlineLevel="0" collapsed="false">
      <c r="A1631" s="22"/>
      <c r="B1631" s="11"/>
      <c r="C1631" s="24"/>
      <c r="D1631" s="31" t="str">
        <f aca="false">IF(C1631="","",IF(LEN(UPPER(SUBSTITUTE(SUBSTITUTE(SUBSTITUTE(SUBSTITUTE(TRIM(C1631),".",""),"/",""),"-","")," ","")))&lt;14,RIGHT(REPT("0",14)&amp;UPPER(SUBSTITUTE(SUBSTITUTE(SUBSTITUTE(SUBSTITUTE(TRIM(C1631),".",""),"/",""),"-","")," ","")),14),UPPER(SUBSTITUTE(SUBSTITUTE(SUBSTITUTE(SUBSTITUTE(TRIM(C1631),".",""),"/",""),"-","")," ",""))))</f>
        <v/>
      </c>
      <c r="E1631" s="25" t="str">
        <f aca="false">IF(D1631="","",IFERROR(INDEX(Empresas!$C:$C,MATCH(D1631,Empresas!$B:$B,0)),"cadastre o CNPJ em Empresas"))</f>
        <v/>
      </c>
      <c r="F1631" s="23"/>
      <c r="G1631" s="35"/>
      <c r="H1631" s="24"/>
      <c r="I1631" s="11"/>
      <c r="J1631" s="27" t="str">
        <f aca="false">IF(A1631="","",YEAR(A1631))</f>
        <v/>
      </c>
      <c r="K1631" s="24"/>
      <c r="L1631" s="11"/>
    </row>
    <row r="1632" customFormat="false" ht="15" hidden="false" customHeight="false" outlineLevel="0" collapsed="false">
      <c r="A1632" s="22"/>
      <c r="B1632" s="11"/>
      <c r="C1632" s="24"/>
      <c r="D1632" s="31" t="str">
        <f aca="false">IF(C1632="","",IF(LEN(UPPER(SUBSTITUTE(SUBSTITUTE(SUBSTITUTE(SUBSTITUTE(TRIM(C1632),".",""),"/",""),"-","")," ","")))&lt;14,RIGHT(REPT("0",14)&amp;UPPER(SUBSTITUTE(SUBSTITUTE(SUBSTITUTE(SUBSTITUTE(TRIM(C1632),".",""),"/",""),"-","")," ","")),14),UPPER(SUBSTITUTE(SUBSTITUTE(SUBSTITUTE(SUBSTITUTE(TRIM(C1632),".",""),"/",""),"-","")," ",""))))</f>
        <v/>
      </c>
      <c r="E1632" s="25" t="str">
        <f aca="false">IF(D1632="","",IFERROR(INDEX(Empresas!$C:$C,MATCH(D1632,Empresas!$B:$B,0)),"cadastre o CNPJ em Empresas"))</f>
        <v/>
      </c>
      <c r="F1632" s="23"/>
      <c r="G1632" s="35"/>
      <c r="H1632" s="24"/>
      <c r="I1632" s="11"/>
      <c r="J1632" s="27" t="str">
        <f aca="false">IF(A1632="","",YEAR(A1632))</f>
        <v/>
      </c>
      <c r="K1632" s="24"/>
      <c r="L1632" s="11"/>
    </row>
    <row r="1633" customFormat="false" ht="15" hidden="false" customHeight="false" outlineLevel="0" collapsed="false">
      <c r="A1633" s="22"/>
      <c r="B1633" s="11"/>
      <c r="C1633" s="24"/>
      <c r="D1633" s="31" t="str">
        <f aca="false">IF(C1633="","",IF(LEN(UPPER(SUBSTITUTE(SUBSTITUTE(SUBSTITUTE(SUBSTITUTE(TRIM(C1633),".",""),"/",""),"-","")," ","")))&lt;14,RIGHT(REPT("0",14)&amp;UPPER(SUBSTITUTE(SUBSTITUTE(SUBSTITUTE(SUBSTITUTE(TRIM(C1633),".",""),"/",""),"-","")," ","")),14),UPPER(SUBSTITUTE(SUBSTITUTE(SUBSTITUTE(SUBSTITUTE(TRIM(C1633),".",""),"/",""),"-","")," ",""))))</f>
        <v/>
      </c>
      <c r="E1633" s="25" t="str">
        <f aca="false">IF(D1633="","",IFERROR(INDEX(Empresas!$C:$C,MATCH(D1633,Empresas!$B:$B,0)),"cadastre o CNPJ em Empresas"))</f>
        <v/>
      </c>
      <c r="F1633" s="23"/>
      <c r="G1633" s="35"/>
      <c r="H1633" s="24"/>
      <c r="I1633" s="11"/>
      <c r="J1633" s="27" t="str">
        <f aca="false">IF(A1633="","",YEAR(A1633))</f>
        <v/>
      </c>
      <c r="K1633" s="24"/>
      <c r="L1633" s="11"/>
    </row>
    <row r="1634" customFormat="false" ht="15" hidden="false" customHeight="false" outlineLevel="0" collapsed="false">
      <c r="A1634" s="22"/>
      <c r="B1634" s="11"/>
      <c r="C1634" s="24"/>
      <c r="D1634" s="31" t="str">
        <f aca="false">IF(C1634="","",IF(LEN(UPPER(SUBSTITUTE(SUBSTITUTE(SUBSTITUTE(SUBSTITUTE(TRIM(C1634),".",""),"/",""),"-","")," ","")))&lt;14,RIGHT(REPT("0",14)&amp;UPPER(SUBSTITUTE(SUBSTITUTE(SUBSTITUTE(SUBSTITUTE(TRIM(C1634),".",""),"/",""),"-","")," ","")),14),UPPER(SUBSTITUTE(SUBSTITUTE(SUBSTITUTE(SUBSTITUTE(TRIM(C1634),".",""),"/",""),"-","")," ",""))))</f>
        <v/>
      </c>
      <c r="E1634" s="25" t="str">
        <f aca="false">IF(D1634="","",IFERROR(INDEX(Empresas!$C:$C,MATCH(D1634,Empresas!$B:$B,0)),"cadastre o CNPJ em Empresas"))</f>
        <v/>
      </c>
      <c r="F1634" s="23"/>
      <c r="G1634" s="35"/>
      <c r="H1634" s="24"/>
      <c r="I1634" s="11"/>
      <c r="J1634" s="27" t="str">
        <f aca="false">IF(A1634="","",YEAR(A1634))</f>
        <v/>
      </c>
      <c r="K1634" s="24"/>
      <c r="L1634" s="11"/>
    </row>
    <row r="1635" customFormat="false" ht="15" hidden="false" customHeight="false" outlineLevel="0" collapsed="false">
      <c r="A1635" s="22"/>
      <c r="B1635" s="11"/>
      <c r="C1635" s="24"/>
      <c r="D1635" s="31" t="str">
        <f aca="false">IF(C1635="","",IF(LEN(UPPER(SUBSTITUTE(SUBSTITUTE(SUBSTITUTE(SUBSTITUTE(TRIM(C1635),".",""),"/",""),"-","")," ","")))&lt;14,RIGHT(REPT("0",14)&amp;UPPER(SUBSTITUTE(SUBSTITUTE(SUBSTITUTE(SUBSTITUTE(TRIM(C1635),".",""),"/",""),"-","")," ","")),14),UPPER(SUBSTITUTE(SUBSTITUTE(SUBSTITUTE(SUBSTITUTE(TRIM(C1635),".",""),"/",""),"-","")," ",""))))</f>
        <v/>
      </c>
      <c r="E1635" s="25" t="str">
        <f aca="false">IF(D1635="","",IFERROR(INDEX(Empresas!$C:$C,MATCH(D1635,Empresas!$B:$B,0)),"cadastre o CNPJ em Empresas"))</f>
        <v/>
      </c>
      <c r="F1635" s="23"/>
      <c r="G1635" s="35"/>
      <c r="H1635" s="24"/>
      <c r="I1635" s="11"/>
      <c r="J1635" s="27" t="str">
        <f aca="false">IF(A1635="","",YEAR(A1635))</f>
        <v/>
      </c>
      <c r="K1635" s="24"/>
      <c r="L1635" s="11"/>
    </row>
    <row r="1636" customFormat="false" ht="15" hidden="false" customHeight="false" outlineLevel="0" collapsed="false">
      <c r="A1636" s="22"/>
      <c r="B1636" s="11"/>
      <c r="C1636" s="24"/>
      <c r="D1636" s="31" t="str">
        <f aca="false">IF(C1636="","",IF(LEN(UPPER(SUBSTITUTE(SUBSTITUTE(SUBSTITUTE(SUBSTITUTE(TRIM(C1636),".",""),"/",""),"-","")," ","")))&lt;14,RIGHT(REPT("0",14)&amp;UPPER(SUBSTITUTE(SUBSTITUTE(SUBSTITUTE(SUBSTITUTE(TRIM(C1636),".",""),"/",""),"-","")," ","")),14),UPPER(SUBSTITUTE(SUBSTITUTE(SUBSTITUTE(SUBSTITUTE(TRIM(C1636),".",""),"/",""),"-","")," ",""))))</f>
        <v/>
      </c>
      <c r="E1636" s="25" t="str">
        <f aca="false">IF(D1636="","",IFERROR(INDEX(Empresas!$C:$C,MATCH(D1636,Empresas!$B:$B,0)),"cadastre o CNPJ em Empresas"))</f>
        <v/>
      </c>
      <c r="F1636" s="23"/>
      <c r="G1636" s="35"/>
      <c r="H1636" s="24"/>
      <c r="I1636" s="11"/>
      <c r="J1636" s="27" t="str">
        <f aca="false">IF(A1636="","",YEAR(A1636))</f>
        <v/>
      </c>
      <c r="K1636" s="24"/>
      <c r="L1636" s="11"/>
    </row>
    <row r="1637" customFormat="false" ht="15" hidden="false" customHeight="false" outlineLevel="0" collapsed="false">
      <c r="A1637" s="22"/>
      <c r="B1637" s="11"/>
      <c r="C1637" s="24"/>
      <c r="D1637" s="31" t="str">
        <f aca="false">IF(C1637="","",IF(LEN(UPPER(SUBSTITUTE(SUBSTITUTE(SUBSTITUTE(SUBSTITUTE(TRIM(C1637),".",""),"/",""),"-","")," ","")))&lt;14,RIGHT(REPT("0",14)&amp;UPPER(SUBSTITUTE(SUBSTITUTE(SUBSTITUTE(SUBSTITUTE(TRIM(C1637),".",""),"/",""),"-","")," ","")),14),UPPER(SUBSTITUTE(SUBSTITUTE(SUBSTITUTE(SUBSTITUTE(TRIM(C1637),".",""),"/",""),"-","")," ",""))))</f>
        <v/>
      </c>
      <c r="E1637" s="25" t="str">
        <f aca="false">IF(D1637="","",IFERROR(INDEX(Empresas!$C:$C,MATCH(D1637,Empresas!$B:$B,0)),"cadastre o CNPJ em Empresas"))</f>
        <v/>
      </c>
      <c r="F1637" s="23"/>
      <c r="G1637" s="35"/>
      <c r="H1637" s="24"/>
      <c r="I1637" s="11"/>
      <c r="J1637" s="27" t="str">
        <f aca="false">IF(A1637="","",YEAR(A1637))</f>
        <v/>
      </c>
      <c r="K1637" s="24"/>
      <c r="L1637" s="11"/>
    </row>
    <row r="1638" customFormat="false" ht="15" hidden="false" customHeight="false" outlineLevel="0" collapsed="false">
      <c r="A1638" s="22"/>
      <c r="B1638" s="11"/>
      <c r="C1638" s="24"/>
      <c r="D1638" s="31" t="str">
        <f aca="false">IF(C1638="","",IF(LEN(UPPER(SUBSTITUTE(SUBSTITUTE(SUBSTITUTE(SUBSTITUTE(TRIM(C1638),".",""),"/",""),"-","")," ","")))&lt;14,RIGHT(REPT("0",14)&amp;UPPER(SUBSTITUTE(SUBSTITUTE(SUBSTITUTE(SUBSTITUTE(TRIM(C1638),".",""),"/",""),"-","")," ","")),14),UPPER(SUBSTITUTE(SUBSTITUTE(SUBSTITUTE(SUBSTITUTE(TRIM(C1638),".",""),"/",""),"-","")," ",""))))</f>
        <v/>
      </c>
      <c r="E1638" s="25" t="str">
        <f aca="false">IF(D1638="","",IFERROR(INDEX(Empresas!$C:$C,MATCH(D1638,Empresas!$B:$B,0)),"cadastre o CNPJ em Empresas"))</f>
        <v/>
      </c>
      <c r="F1638" s="23"/>
      <c r="G1638" s="35"/>
      <c r="H1638" s="24"/>
      <c r="I1638" s="11"/>
      <c r="J1638" s="27" t="str">
        <f aca="false">IF(A1638="","",YEAR(A1638))</f>
        <v/>
      </c>
      <c r="K1638" s="24"/>
      <c r="L1638" s="11"/>
    </row>
    <row r="1639" customFormat="false" ht="15" hidden="false" customHeight="false" outlineLevel="0" collapsed="false">
      <c r="A1639" s="22"/>
      <c r="B1639" s="11"/>
      <c r="C1639" s="24"/>
      <c r="D1639" s="31" t="str">
        <f aca="false">IF(C1639="","",IF(LEN(UPPER(SUBSTITUTE(SUBSTITUTE(SUBSTITUTE(SUBSTITUTE(TRIM(C1639),".",""),"/",""),"-","")," ","")))&lt;14,RIGHT(REPT("0",14)&amp;UPPER(SUBSTITUTE(SUBSTITUTE(SUBSTITUTE(SUBSTITUTE(TRIM(C1639),".",""),"/",""),"-","")," ","")),14),UPPER(SUBSTITUTE(SUBSTITUTE(SUBSTITUTE(SUBSTITUTE(TRIM(C1639),".",""),"/",""),"-","")," ",""))))</f>
        <v/>
      </c>
      <c r="E1639" s="25" t="str">
        <f aca="false">IF(D1639="","",IFERROR(INDEX(Empresas!$C:$C,MATCH(D1639,Empresas!$B:$B,0)),"cadastre o CNPJ em Empresas"))</f>
        <v/>
      </c>
      <c r="F1639" s="23"/>
      <c r="G1639" s="35"/>
      <c r="H1639" s="24"/>
      <c r="I1639" s="11"/>
      <c r="J1639" s="27" t="str">
        <f aca="false">IF(A1639="","",YEAR(A1639))</f>
        <v/>
      </c>
      <c r="K1639" s="24"/>
      <c r="L1639" s="11"/>
    </row>
    <row r="1640" customFormat="false" ht="15" hidden="false" customHeight="false" outlineLevel="0" collapsed="false">
      <c r="A1640" s="22"/>
      <c r="B1640" s="11"/>
      <c r="C1640" s="24"/>
      <c r="D1640" s="31" t="str">
        <f aca="false">IF(C1640="","",IF(LEN(UPPER(SUBSTITUTE(SUBSTITUTE(SUBSTITUTE(SUBSTITUTE(TRIM(C1640),".",""),"/",""),"-","")," ","")))&lt;14,RIGHT(REPT("0",14)&amp;UPPER(SUBSTITUTE(SUBSTITUTE(SUBSTITUTE(SUBSTITUTE(TRIM(C1640),".",""),"/",""),"-","")," ","")),14),UPPER(SUBSTITUTE(SUBSTITUTE(SUBSTITUTE(SUBSTITUTE(TRIM(C1640),".",""),"/",""),"-","")," ",""))))</f>
        <v/>
      </c>
      <c r="E1640" s="25" t="str">
        <f aca="false">IF(D1640="","",IFERROR(INDEX(Empresas!$C:$C,MATCH(D1640,Empresas!$B:$B,0)),"cadastre o CNPJ em Empresas"))</f>
        <v/>
      </c>
      <c r="F1640" s="23"/>
      <c r="G1640" s="35"/>
      <c r="H1640" s="24"/>
      <c r="I1640" s="11"/>
      <c r="J1640" s="27" t="str">
        <f aca="false">IF(A1640="","",YEAR(A1640))</f>
        <v/>
      </c>
      <c r="K1640" s="24"/>
      <c r="L1640" s="11"/>
    </row>
    <row r="1641" customFormat="false" ht="15" hidden="false" customHeight="false" outlineLevel="0" collapsed="false">
      <c r="A1641" s="22"/>
      <c r="B1641" s="11"/>
      <c r="C1641" s="24"/>
      <c r="D1641" s="31" t="str">
        <f aca="false">IF(C1641="","",IF(LEN(UPPER(SUBSTITUTE(SUBSTITUTE(SUBSTITUTE(SUBSTITUTE(TRIM(C1641),".",""),"/",""),"-","")," ","")))&lt;14,RIGHT(REPT("0",14)&amp;UPPER(SUBSTITUTE(SUBSTITUTE(SUBSTITUTE(SUBSTITUTE(TRIM(C1641),".",""),"/",""),"-","")," ","")),14),UPPER(SUBSTITUTE(SUBSTITUTE(SUBSTITUTE(SUBSTITUTE(TRIM(C1641),".",""),"/",""),"-","")," ",""))))</f>
        <v/>
      </c>
      <c r="E1641" s="25" t="str">
        <f aca="false">IF(D1641="","",IFERROR(INDEX(Empresas!$C:$C,MATCH(D1641,Empresas!$B:$B,0)),"cadastre o CNPJ em Empresas"))</f>
        <v/>
      </c>
      <c r="F1641" s="23"/>
      <c r="G1641" s="35"/>
      <c r="H1641" s="24"/>
      <c r="I1641" s="11"/>
      <c r="J1641" s="27" t="str">
        <f aca="false">IF(A1641="","",YEAR(A1641))</f>
        <v/>
      </c>
      <c r="K1641" s="24"/>
      <c r="L1641" s="11"/>
    </row>
    <row r="1642" customFormat="false" ht="15" hidden="false" customHeight="false" outlineLevel="0" collapsed="false">
      <c r="A1642" s="22"/>
      <c r="B1642" s="11"/>
      <c r="C1642" s="24"/>
      <c r="D1642" s="31" t="str">
        <f aca="false">IF(C1642="","",IF(LEN(UPPER(SUBSTITUTE(SUBSTITUTE(SUBSTITUTE(SUBSTITUTE(TRIM(C1642),".",""),"/",""),"-","")," ","")))&lt;14,RIGHT(REPT("0",14)&amp;UPPER(SUBSTITUTE(SUBSTITUTE(SUBSTITUTE(SUBSTITUTE(TRIM(C1642),".",""),"/",""),"-","")," ","")),14),UPPER(SUBSTITUTE(SUBSTITUTE(SUBSTITUTE(SUBSTITUTE(TRIM(C1642),".",""),"/",""),"-","")," ",""))))</f>
        <v/>
      </c>
      <c r="E1642" s="25" t="str">
        <f aca="false">IF(D1642="","",IFERROR(INDEX(Empresas!$C:$C,MATCH(D1642,Empresas!$B:$B,0)),"cadastre o CNPJ em Empresas"))</f>
        <v/>
      </c>
      <c r="F1642" s="23"/>
      <c r="G1642" s="35"/>
      <c r="H1642" s="24"/>
      <c r="I1642" s="11"/>
      <c r="J1642" s="27" t="str">
        <f aca="false">IF(A1642="","",YEAR(A1642))</f>
        <v/>
      </c>
      <c r="K1642" s="24"/>
      <c r="L1642" s="11"/>
    </row>
    <row r="1643" customFormat="false" ht="15" hidden="false" customHeight="false" outlineLevel="0" collapsed="false">
      <c r="A1643" s="22"/>
      <c r="B1643" s="11"/>
      <c r="C1643" s="24"/>
      <c r="D1643" s="31" t="str">
        <f aca="false">IF(C1643="","",IF(LEN(UPPER(SUBSTITUTE(SUBSTITUTE(SUBSTITUTE(SUBSTITUTE(TRIM(C1643),".",""),"/",""),"-","")," ","")))&lt;14,RIGHT(REPT("0",14)&amp;UPPER(SUBSTITUTE(SUBSTITUTE(SUBSTITUTE(SUBSTITUTE(TRIM(C1643),".",""),"/",""),"-","")," ","")),14),UPPER(SUBSTITUTE(SUBSTITUTE(SUBSTITUTE(SUBSTITUTE(TRIM(C1643),".",""),"/",""),"-","")," ",""))))</f>
        <v/>
      </c>
      <c r="E1643" s="25" t="str">
        <f aca="false">IF(D1643="","",IFERROR(INDEX(Empresas!$C:$C,MATCH(D1643,Empresas!$B:$B,0)),"cadastre o CNPJ em Empresas"))</f>
        <v/>
      </c>
      <c r="F1643" s="23"/>
      <c r="G1643" s="35"/>
      <c r="H1643" s="24"/>
      <c r="I1643" s="11"/>
      <c r="J1643" s="27" t="str">
        <f aca="false">IF(A1643="","",YEAR(A1643))</f>
        <v/>
      </c>
      <c r="K1643" s="24"/>
      <c r="L1643" s="11"/>
    </row>
    <row r="1644" customFormat="false" ht="15" hidden="false" customHeight="false" outlineLevel="0" collapsed="false">
      <c r="A1644" s="22"/>
      <c r="B1644" s="11"/>
      <c r="C1644" s="24"/>
      <c r="D1644" s="31" t="str">
        <f aca="false">IF(C1644="","",IF(LEN(UPPER(SUBSTITUTE(SUBSTITUTE(SUBSTITUTE(SUBSTITUTE(TRIM(C1644),".",""),"/",""),"-","")," ","")))&lt;14,RIGHT(REPT("0",14)&amp;UPPER(SUBSTITUTE(SUBSTITUTE(SUBSTITUTE(SUBSTITUTE(TRIM(C1644),".",""),"/",""),"-","")," ","")),14),UPPER(SUBSTITUTE(SUBSTITUTE(SUBSTITUTE(SUBSTITUTE(TRIM(C1644),".",""),"/",""),"-","")," ",""))))</f>
        <v/>
      </c>
      <c r="E1644" s="25" t="str">
        <f aca="false">IF(D1644="","",IFERROR(INDEX(Empresas!$C:$C,MATCH(D1644,Empresas!$B:$B,0)),"cadastre o CNPJ em Empresas"))</f>
        <v/>
      </c>
      <c r="F1644" s="23"/>
      <c r="G1644" s="35"/>
      <c r="H1644" s="24"/>
      <c r="I1644" s="11"/>
      <c r="J1644" s="27" t="str">
        <f aca="false">IF(A1644="","",YEAR(A1644))</f>
        <v/>
      </c>
      <c r="K1644" s="24"/>
      <c r="L1644" s="11"/>
    </row>
    <row r="1645" customFormat="false" ht="15" hidden="false" customHeight="false" outlineLevel="0" collapsed="false">
      <c r="A1645" s="22"/>
      <c r="B1645" s="11"/>
      <c r="C1645" s="24"/>
      <c r="D1645" s="31" t="str">
        <f aca="false">IF(C1645="","",IF(LEN(UPPER(SUBSTITUTE(SUBSTITUTE(SUBSTITUTE(SUBSTITUTE(TRIM(C1645),".",""),"/",""),"-","")," ","")))&lt;14,RIGHT(REPT("0",14)&amp;UPPER(SUBSTITUTE(SUBSTITUTE(SUBSTITUTE(SUBSTITUTE(TRIM(C1645),".",""),"/",""),"-","")," ","")),14),UPPER(SUBSTITUTE(SUBSTITUTE(SUBSTITUTE(SUBSTITUTE(TRIM(C1645),".",""),"/",""),"-","")," ",""))))</f>
        <v/>
      </c>
      <c r="E1645" s="25" t="str">
        <f aca="false">IF(D1645="","",IFERROR(INDEX(Empresas!$C:$C,MATCH(D1645,Empresas!$B:$B,0)),"cadastre o CNPJ em Empresas"))</f>
        <v/>
      </c>
      <c r="F1645" s="23"/>
      <c r="G1645" s="35"/>
      <c r="H1645" s="24"/>
      <c r="I1645" s="11"/>
      <c r="J1645" s="27" t="str">
        <f aca="false">IF(A1645="","",YEAR(A1645))</f>
        <v/>
      </c>
      <c r="K1645" s="24"/>
      <c r="L1645" s="11"/>
    </row>
    <row r="1646" customFormat="false" ht="15" hidden="false" customHeight="false" outlineLevel="0" collapsed="false">
      <c r="A1646" s="22"/>
      <c r="B1646" s="11"/>
      <c r="C1646" s="24"/>
      <c r="D1646" s="31" t="str">
        <f aca="false">IF(C1646="","",IF(LEN(UPPER(SUBSTITUTE(SUBSTITUTE(SUBSTITUTE(SUBSTITUTE(TRIM(C1646),".",""),"/",""),"-","")," ","")))&lt;14,RIGHT(REPT("0",14)&amp;UPPER(SUBSTITUTE(SUBSTITUTE(SUBSTITUTE(SUBSTITUTE(TRIM(C1646),".",""),"/",""),"-","")," ","")),14),UPPER(SUBSTITUTE(SUBSTITUTE(SUBSTITUTE(SUBSTITUTE(TRIM(C1646),".",""),"/",""),"-","")," ",""))))</f>
        <v/>
      </c>
      <c r="E1646" s="25" t="str">
        <f aca="false">IF(D1646="","",IFERROR(INDEX(Empresas!$C:$C,MATCH(D1646,Empresas!$B:$B,0)),"cadastre o CNPJ em Empresas"))</f>
        <v/>
      </c>
      <c r="F1646" s="23"/>
      <c r="G1646" s="35"/>
      <c r="H1646" s="24"/>
      <c r="I1646" s="11"/>
      <c r="J1646" s="27" t="str">
        <f aca="false">IF(A1646="","",YEAR(A1646))</f>
        <v/>
      </c>
      <c r="K1646" s="24"/>
      <c r="L1646" s="11"/>
    </row>
    <row r="1647" customFormat="false" ht="15" hidden="false" customHeight="false" outlineLevel="0" collapsed="false">
      <c r="A1647" s="22"/>
      <c r="B1647" s="11"/>
      <c r="C1647" s="24"/>
      <c r="D1647" s="31" t="str">
        <f aca="false">IF(C1647="","",IF(LEN(UPPER(SUBSTITUTE(SUBSTITUTE(SUBSTITUTE(SUBSTITUTE(TRIM(C1647),".",""),"/",""),"-","")," ","")))&lt;14,RIGHT(REPT("0",14)&amp;UPPER(SUBSTITUTE(SUBSTITUTE(SUBSTITUTE(SUBSTITUTE(TRIM(C1647),".",""),"/",""),"-","")," ","")),14),UPPER(SUBSTITUTE(SUBSTITUTE(SUBSTITUTE(SUBSTITUTE(TRIM(C1647),".",""),"/",""),"-","")," ",""))))</f>
        <v/>
      </c>
      <c r="E1647" s="25" t="str">
        <f aca="false">IF(D1647="","",IFERROR(INDEX(Empresas!$C:$C,MATCH(D1647,Empresas!$B:$B,0)),"cadastre o CNPJ em Empresas"))</f>
        <v/>
      </c>
      <c r="F1647" s="23"/>
      <c r="G1647" s="35"/>
      <c r="H1647" s="24"/>
      <c r="I1647" s="11"/>
      <c r="J1647" s="27" t="str">
        <f aca="false">IF(A1647="","",YEAR(A1647))</f>
        <v/>
      </c>
      <c r="K1647" s="24"/>
      <c r="L1647" s="11"/>
    </row>
    <row r="1648" customFormat="false" ht="15" hidden="false" customHeight="false" outlineLevel="0" collapsed="false">
      <c r="A1648" s="22"/>
      <c r="B1648" s="11"/>
      <c r="C1648" s="24"/>
      <c r="D1648" s="31" t="str">
        <f aca="false">IF(C1648="","",IF(LEN(UPPER(SUBSTITUTE(SUBSTITUTE(SUBSTITUTE(SUBSTITUTE(TRIM(C1648),".",""),"/",""),"-","")," ","")))&lt;14,RIGHT(REPT("0",14)&amp;UPPER(SUBSTITUTE(SUBSTITUTE(SUBSTITUTE(SUBSTITUTE(TRIM(C1648),".",""),"/",""),"-","")," ","")),14),UPPER(SUBSTITUTE(SUBSTITUTE(SUBSTITUTE(SUBSTITUTE(TRIM(C1648),".",""),"/",""),"-","")," ",""))))</f>
        <v/>
      </c>
      <c r="E1648" s="25" t="str">
        <f aca="false">IF(D1648="","",IFERROR(INDEX(Empresas!$C:$C,MATCH(D1648,Empresas!$B:$B,0)),"cadastre o CNPJ em Empresas"))</f>
        <v/>
      </c>
      <c r="F1648" s="23"/>
      <c r="G1648" s="35"/>
      <c r="H1648" s="24"/>
      <c r="I1648" s="11"/>
      <c r="J1648" s="27" t="str">
        <f aca="false">IF(A1648="","",YEAR(A1648))</f>
        <v/>
      </c>
      <c r="K1648" s="24"/>
      <c r="L1648" s="11"/>
    </row>
    <row r="1649" customFormat="false" ht="15" hidden="false" customHeight="false" outlineLevel="0" collapsed="false">
      <c r="A1649" s="22"/>
      <c r="B1649" s="11"/>
      <c r="C1649" s="24"/>
      <c r="D1649" s="31" t="str">
        <f aca="false">IF(C1649="","",IF(LEN(UPPER(SUBSTITUTE(SUBSTITUTE(SUBSTITUTE(SUBSTITUTE(TRIM(C1649),".",""),"/",""),"-","")," ","")))&lt;14,RIGHT(REPT("0",14)&amp;UPPER(SUBSTITUTE(SUBSTITUTE(SUBSTITUTE(SUBSTITUTE(TRIM(C1649),".",""),"/",""),"-","")," ","")),14),UPPER(SUBSTITUTE(SUBSTITUTE(SUBSTITUTE(SUBSTITUTE(TRIM(C1649),".",""),"/",""),"-","")," ",""))))</f>
        <v/>
      </c>
      <c r="E1649" s="25" t="str">
        <f aca="false">IF(D1649="","",IFERROR(INDEX(Empresas!$C:$C,MATCH(D1649,Empresas!$B:$B,0)),"cadastre o CNPJ em Empresas"))</f>
        <v/>
      </c>
      <c r="F1649" s="23"/>
      <c r="G1649" s="35"/>
      <c r="H1649" s="24"/>
      <c r="I1649" s="11"/>
      <c r="J1649" s="27" t="str">
        <f aca="false">IF(A1649="","",YEAR(A1649))</f>
        <v/>
      </c>
      <c r="K1649" s="24"/>
      <c r="L1649" s="11"/>
    </row>
    <row r="1650" customFormat="false" ht="15" hidden="false" customHeight="false" outlineLevel="0" collapsed="false">
      <c r="A1650" s="22"/>
      <c r="B1650" s="11"/>
      <c r="C1650" s="24"/>
      <c r="D1650" s="31" t="str">
        <f aca="false">IF(C1650="","",IF(LEN(UPPER(SUBSTITUTE(SUBSTITUTE(SUBSTITUTE(SUBSTITUTE(TRIM(C1650),".",""),"/",""),"-","")," ","")))&lt;14,RIGHT(REPT("0",14)&amp;UPPER(SUBSTITUTE(SUBSTITUTE(SUBSTITUTE(SUBSTITUTE(TRIM(C1650),".",""),"/",""),"-","")," ","")),14),UPPER(SUBSTITUTE(SUBSTITUTE(SUBSTITUTE(SUBSTITUTE(TRIM(C1650),".",""),"/",""),"-","")," ",""))))</f>
        <v/>
      </c>
      <c r="E1650" s="25" t="str">
        <f aca="false">IF(D1650="","",IFERROR(INDEX(Empresas!$C:$C,MATCH(D1650,Empresas!$B:$B,0)),"cadastre o CNPJ em Empresas"))</f>
        <v/>
      </c>
      <c r="F1650" s="23"/>
      <c r="G1650" s="35"/>
      <c r="H1650" s="24"/>
      <c r="I1650" s="11"/>
      <c r="J1650" s="27" t="str">
        <f aca="false">IF(A1650="","",YEAR(A1650))</f>
        <v/>
      </c>
      <c r="K1650" s="24"/>
      <c r="L1650" s="11"/>
    </row>
    <row r="1651" customFormat="false" ht="15" hidden="false" customHeight="false" outlineLevel="0" collapsed="false">
      <c r="A1651" s="22"/>
      <c r="B1651" s="11"/>
      <c r="C1651" s="24"/>
      <c r="D1651" s="31" t="str">
        <f aca="false">IF(C1651="","",IF(LEN(UPPER(SUBSTITUTE(SUBSTITUTE(SUBSTITUTE(SUBSTITUTE(TRIM(C1651),".",""),"/",""),"-","")," ","")))&lt;14,RIGHT(REPT("0",14)&amp;UPPER(SUBSTITUTE(SUBSTITUTE(SUBSTITUTE(SUBSTITUTE(TRIM(C1651),".",""),"/",""),"-","")," ","")),14),UPPER(SUBSTITUTE(SUBSTITUTE(SUBSTITUTE(SUBSTITUTE(TRIM(C1651),".",""),"/",""),"-","")," ",""))))</f>
        <v/>
      </c>
      <c r="E1651" s="25" t="str">
        <f aca="false">IF(D1651="","",IFERROR(INDEX(Empresas!$C:$C,MATCH(D1651,Empresas!$B:$B,0)),"cadastre o CNPJ em Empresas"))</f>
        <v/>
      </c>
      <c r="F1651" s="23"/>
      <c r="G1651" s="35"/>
      <c r="H1651" s="24"/>
      <c r="I1651" s="11"/>
      <c r="J1651" s="27" t="str">
        <f aca="false">IF(A1651="","",YEAR(A1651))</f>
        <v/>
      </c>
      <c r="K1651" s="24"/>
      <c r="L1651" s="11"/>
    </row>
    <row r="1652" customFormat="false" ht="15" hidden="false" customHeight="false" outlineLevel="0" collapsed="false">
      <c r="A1652" s="22"/>
      <c r="B1652" s="11"/>
      <c r="C1652" s="24"/>
      <c r="D1652" s="31" t="str">
        <f aca="false">IF(C1652="","",IF(LEN(UPPER(SUBSTITUTE(SUBSTITUTE(SUBSTITUTE(SUBSTITUTE(TRIM(C1652),".",""),"/",""),"-","")," ","")))&lt;14,RIGHT(REPT("0",14)&amp;UPPER(SUBSTITUTE(SUBSTITUTE(SUBSTITUTE(SUBSTITUTE(TRIM(C1652),".",""),"/",""),"-","")," ","")),14),UPPER(SUBSTITUTE(SUBSTITUTE(SUBSTITUTE(SUBSTITUTE(TRIM(C1652),".",""),"/",""),"-","")," ",""))))</f>
        <v/>
      </c>
      <c r="E1652" s="25" t="str">
        <f aca="false">IF(D1652="","",IFERROR(INDEX(Empresas!$C:$C,MATCH(D1652,Empresas!$B:$B,0)),"cadastre o CNPJ em Empresas"))</f>
        <v/>
      </c>
      <c r="F1652" s="23"/>
      <c r="G1652" s="35"/>
      <c r="H1652" s="24"/>
      <c r="I1652" s="11"/>
      <c r="J1652" s="27" t="str">
        <f aca="false">IF(A1652="","",YEAR(A1652))</f>
        <v/>
      </c>
      <c r="K1652" s="24"/>
      <c r="L1652" s="11"/>
    </row>
    <row r="1653" customFormat="false" ht="15" hidden="false" customHeight="false" outlineLevel="0" collapsed="false">
      <c r="A1653" s="22"/>
      <c r="B1653" s="11"/>
      <c r="C1653" s="24"/>
      <c r="D1653" s="31" t="str">
        <f aca="false">IF(C1653="","",IF(LEN(UPPER(SUBSTITUTE(SUBSTITUTE(SUBSTITUTE(SUBSTITUTE(TRIM(C1653),".",""),"/",""),"-","")," ","")))&lt;14,RIGHT(REPT("0",14)&amp;UPPER(SUBSTITUTE(SUBSTITUTE(SUBSTITUTE(SUBSTITUTE(TRIM(C1653),".",""),"/",""),"-","")," ","")),14),UPPER(SUBSTITUTE(SUBSTITUTE(SUBSTITUTE(SUBSTITUTE(TRIM(C1653),".",""),"/",""),"-","")," ",""))))</f>
        <v/>
      </c>
      <c r="E1653" s="25" t="str">
        <f aca="false">IF(D1653="","",IFERROR(INDEX(Empresas!$C:$C,MATCH(D1653,Empresas!$B:$B,0)),"cadastre o CNPJ em Empresas"))</f>
        <v/>
      </c>
      <c r="F1653" s="23"/>
      <c r="G1653" s="35"/>
      <c r="H1653" s="24"/>
      <c r="I1653" s="11"/>
      <c r="J1653" s="27" t="str">
        <f aca="false">IF(A1653="","",YEAR(A1653))</f>
        <v/>
      </c>
      <c r="K1653" s="24"/>
      <c r="L1653" s="11"/>
    </row>
    <row r="1654" customFormat="false" ht="15" hidden="false" customHeight="false" outlineLevel="0" collapsed="false">
      <c r="A1654" s="22"/>
      <c r="B1654" s="11"/>
      <c r="C1654" s="24"/>
      <c r="D1654" s="31" t="str">
        <f aca="false">IF(C1654="","",IF(LEN(UPPER(SUBSTITUTE(SUBSTITUTE(SUBSTITUTE(SUBSTITUTE(TRIM(C1654),".",""),"/",""),"-","")," ","")))&lt;14,RIGHT(REPT("0",14)&amp;UPPER(SUBSTITUTE(SUBSTITUTE(SUBSTITUTE(SUBSTITUTE(TRIM(C1654),".",""),"/",""),"-","")," ","")),14),UPPER(SUBSTITUTE(SUBSTITUTE(SUBSTITUTE(SUBSTITUTE(TRIM(C1654),".",""),"/",""),"-","")," ",""))))</f>
        <v/>
      </c>
      <c r="E1654" s="25" t="str">
        <f aca="false">IF(D1654="","",IFERROR(INDEX(Empresas!$C:$C,MATCH(D1654,Empresas!$B:$B,0)),"cadastre o CNPJ em Empresas"))</f>
        <v/>
      </c>
      <c r="F1654" s="23"/>
      <c r="G1654" s="35"/>
      <c r="H1654" s="24"/>
      <c r="I1654" s="11"/>
      <c r="J1654" s="27" t="str">
        <f aca="false">IF(A1654="","",YEAR(A1654))</f>
        <v/>
      </c>
      <c r="K1654" s="24"/>
      <c r="L1654" s="11"/>
    </row>
    <row r="1655" customFormat="false" ht="15" hidden="false" customHeight="false" outlineLevel="0" collapsed="false">
      <c r="A1655" s="22"/>
      <c r="B1655" s="11"/>
      <c r="C1655" s="24"/>
      <c r="D1655" s="31" t="str">
        <f aca="false">IF(C1655="","",IF(LEN(UPPER(SUBSTITUTE(SUBSTITUTE(SUBSTITUTE(SUBSTITUTE(TRIM(C1655),".",""),"/",""),"-","")," ","")))&lt;14,RIGHT(REPT("0",14)&amp;UPPER(SUBSTITUTE(SUBSTITUTE(SUBSTITUTE(SUBSTITUTE(TRIM(C1655),".",""),"/",""),"-","")," ","")),14),UPPER(SUBSTITUTE(SUBSTITUTE(SUBSTITUTE(SUBSTITUTE(TRIM(C1655),".",""),"/",""),"-","")," ",""))))</f>
        <v/>
      </c>
      <c r="E1655" s="25" t="str">
        <f aca="false">IF(D1655="","",IFERROR(INDEX(Empresas!$C:$C,MATCH(D1655,Empresas!$B:$B,0)),"cadastre o CNPJ em Empresas"))</f>
        <v/>
      </c>
      <c r="F1655" s="23"/>
      <c r="G1655" s="35"/>
      <c r="H1655" s="24"/>
      <c r="I1655" s="11"/>
      <c r="J1655" s="27" t="str">
        <f aca="false">IF(A1655="","",YEAR(A1655))</f>
        <v/>
      </c>
      <c r="K1655" s="24"/>
      <c r="L1655" s="11"/>
    </row>
    <row r="1656" customFormat="false" ht="15" hidden="false" customHeight="false" outlineLevel="0" collapsed="false">
      <c r="A1656" s="22"/>
      <c r="B1656" s="11"/>
      <c r="C1656" s="24"/>
      <c r="D1656" s="31" t="str">
        <f aca="false">IF(C1656="","",IF(LEN(UPPER(SUBSTITUTE(SUBSTITUTE(SUBSTITUTE(SUBSTITUTE(TRIM(C1656),".",""),"/",""),"-","")," ","")))&lt;14,RIGHT(REPT("0",14)&amp;UPPER(SUBSTITUTE(SUBSTITUTE(SUBSTITUTE(SUBSTITUTE(TRIM(C1656),".",""),"/",""),"-","")," ","")),14),UPPER(SUBSTITUTE(SUBSTITUTE(SUBSTITUTE(SUBSTITUTE(TRIM(C1656),".",""),"/",""),"-","")," ",""))))</f>
        <v/>
      </c>
      <c r="E1656" s="25" t="str">
        <f aca="false">IF(D1656="","",IFERROR(INDEX(Empresas!$C:$C,MATCH(D1656,Empresas!$B:$B,0)),"cadastre o CNPJ em Empresas"))</f>
        <v/>
      </c>
      <c r="F1656" s="23"/>
      <c r="G1656" s="35"/>
      <c r="H1656" s="24"/>
      <c r="I1656" s="11"/>
      <c r="J1656" s="27" t="str">
        <f aca="false">IF(A1656="","",YEAR(A1656))</f>
        <v/>
      </c>
      <c r="K1656" s="24"/>
      <c r="L1656" s="11"/>
    </row>
    <row r="1657" customFormat="false" ht="15" hidden="false" customHeight="false" outlineLevel="0" collapsed="false">
      <c r="A1657" s="22"/>
      <c r="B1657" s="11"/>
      <c r="C1657" s="24"/>
      <c r="D1657" s="31" t="str">
        <f aca="false">IF(C1657="","",IF(LEN(UPPER(SUBSTITUTE(SUBSTITUTE(SUBSTITUTE(SUBSTITUTE(TRIM(C1657),".",""),"/",""),"-","")," ","")))&lt;14,RIGHT(REPT("0",14)&amp;UPPER(SUBSTITUTE(SUBSTITUTE(SUBSTITUTE(SUBSTITUTE(TRIM(C1657),".",""),"/",""),"-","")," ","")),14),UPPER(SUBSTITUTE(SUBSTITUTE(SUBSTITUTE(SUBSTITUTE(TRIM(C1657),".",""),"/",""),"-","")," ",""))))</f>
        <v/>
      </c>
      <c r="E1657" s="25" t="str">
        <f aca="false">IF(D1657="","",IFERROR(INDEX(Empresas!$C:$C,MATCH(D1657,Empresas!$B:$B,0)),"cadastre o CNPJ em Empresas"))</f>
        <v/>
      </c>
      <c r="F1657" s="23"/>
      <c r="G1657" s="35"/>
      <c r="H1657" s="24"/>
      <c r="I1657" s="11"/>
      <c r="J1657" s="27" t="str">
        <f aca="false">IF(A1657="","",YEAR(A1657))</f>
        <v/>
      </c>
      <c r="K1657" s="24"/>
      <c r="L1657" s="11"/>
    </row>
    <row r="1658" customFormat="false" ht="15" hidden="false" customHeight="false" outlineLevel="0" collapsed="false">
      <c r="A1658" s="22"/>
      <c r="B1658" s="11"/>
      <c r="C1658" s="24"/>
      <c r="D1658" s="31" t="str">
        <f aca="false">IF(C1658="","",IF(LEN(UPPER(SUBSTITUTE(SUBSTITUTE(SUBSTITUTE(SUBSTITUTE(TRIM(C1658),".",""),"/",""),"-","")," ","")))&lt;14,RIGHT(REPT("0",14)&amp;UPPER(SUBSTITUTE(SUBSTITUTE(SUBSTITUTE(SUBSTITUTE(TRIM(C1658),".",""),"/",""),"-","")," ","")),14),UPPER(SUBSTITUTE(SUBSTITUTE(SUBSTITUTE(SUBSTITUTE(TRIM(C1658),".",""),"/",""),"-","")," ",""))))</f>
        <v/>
      </c>
      <c r="E1658" s="25" t="str">
        <f aca="false">IF(D1658="","",IFERROR(INDEX(Empresas!$C:$C,MATCH(D1658,Empresas!$B:$B,0)),"cadastre o CNPJ em Empresas"))</f>
        <v/>
      </c>
      <c r="F1658" s="23"/>
      <c r="G1658" s="35"/>
      <c r="H1658" s="24"/>
      <c r="I1658" s="11"/>
      <c r="J1658" s="27" t="str">
        <f aca="false">IF(A1658="","",YEAR(A1658))</f>
        <v/>
      </c>
      <c r="K1658" s="24"/>
      <c r="L1658" s="11"/>
    </row>
    <row r="1659" customFormat="false" ht="15" hidden="false" customHeight="false" outlineLevel="0" collapsed="false">
      <c r="A1659" s="22"/>
      <c r="B1659" s="11"/>
      <c r="C1659" s="24"/>
      <c r="D1659" s="31" t="str">
        <f aca="false">IF(C1659="","",IF(LEN(UPPER(SUBSTITUTE(SUBSTITUTE(SUBSTITUTE(SUBSTITUTE(TRIM(C1659),".",""),"/",""),"-","")," ","")))&lt;14,RIGHT(REPT("0",14)&amp;UPPER(SUBSTITUTE(SUBSTITUTE(SUBSTITUTE(SUBSTITUTE(TRIM(C1659),".",""),"/",""),"-","")," ","")),14),UPPER(SUBSTITUTE(SUBSTITUTE(SUBSTITUTE(SUBSTITUTE(TRIM(C1659),".",""),"/",""),"-","")," ",""))))</f>
        <v/>
      </c>
      <c r="E1659" s="25" t="str">
        <f aca="false">IF(D1659="","",IFERROR(INDEX(Empresas!$C:$C,MATCH(D1659,Empresas!$B:$B,0)),"cadastre o CNPJ em Empresas"))</f>
        <v/>
      </c>
      <c r="F1659" s="23"/>
      <c r="G1659" s="35"/>
      <c r="H1659" s="24"/>
      <c r="I1659" s="11"/>
      <c r="J1659" s="27" t="str">
        <f aca="false">IF(A1659="","",YEAR(A1659))</f>
        <v/>
      </c>
      <c r="K1659" s="24"/>
      <c r="L1659" s="11"/>
    </row>
    <row r="1660" customFormat="false" ht="15" hidden="false" customHeight="false" outlineLevel="0" collapsed="false">
      <c r="A1660" s="22"/>
      <c r="B1660" s="11"/>
      <c r="C1660" s="24"/>
      <c r="D1660" s="31" t="str">
        <f aca="false">IF(C1660="","",IF(LEN(UPPER(SUBSTITUTE(SUBSTITUTE(SUBSTITUTE(SUBSTITUTE(TRIM(C1660),".",""),"/",""),"-","")," ","")))&lt;14,RIGHT(REPT("0",14)&amp;UPPER(SUBSTITUTE(SUBSTITUTE(SUBSTITUTE(SUBSTITUTE(TRIM(C1660),".",""),"/",""),"-","")," ","")),14),UPPER(SUBSTITUTE(SUBSTITUTE(SUBSTITUTE(SUBSTITUTE(TRIM(C1660),".",""),"/",""),"-","")," ",""))))</f>
        <v/>
      </c>
      <c r="E1660" s="25" t="str">
        <f aca="false">IF(D1660="","",IFERROR(INDEX(Empresas!$C:$C,MATCH(D1660,Empresas!$B:$B,0)),"cadastre o CNPJ em Empresas"))</f>
        <v/>
      </c>
      <c r="F1660" s="23"/>
      <c r="G1660" s="35"/>
      <c r="H1660" s="24"/>
      <c r="I1660" s="11"/>
      <c r="J1660" s="27" t="str">
        <f aca="false">IF(A1660="","",YEAR(A1660))</f>
        <v/>
      </c>
      <c r="K1660" s="24"/>
      <c r="L1660" s="11"/>
    </row>
    <row r="1661" customFormat="false" ht="15" hidden="false" customHeight="false" outlineLevel="0" collapsed="false">
      <c r="A1661" s="22"/>
      <c r="B1661" s="11"/>
      <c r="C1661" s="24"/>
      <c r="D1661" s="31" t="str">
        <f aca="false">IF(C1661="","",IF(LEN(UPPER(SUBSTITUTE(SUBSTITUTE(SUBSTITUTE(SUBSTITUTE(TRIM(C1661),".",""),"/",""),"-","")," ","")))&lt;14,RIGHT(REPT("0",14)&amp;UPPER(SUBSTITUTE(SUBSTITUTE(SUBSTITUTE(SUBSTITUTE(TRIM(C1661),".",""),"/",""),"-","")," ","")),14),UPPER(SUBSTITUTE(SUBSTITUTE(SUBSTITUTE(SUBSTITUTE(TRIM(C1661),".",""),"/",""),"-","")," ",""))))</f>
        <v/>
      </c>
      <c r="E1661" s="25" t="str">
        <f aca="false">IF(D1661="","",IFERROR(INDEX(Empresas!$C:$C,MATCH(D1661,Empresas!$B:$B,0)),"cadastre o CNPJ em Empresas"))</f>
        <v/>
      </c>
      <c r="F1661" s="23"/>
      <c r="G1661" s="35"/>
      <c r="H1661" s="24"/>
      <c r="I1661" s="11"/>
      <c r="J1661" s="27" t="str">
        <f aca="false">IF(A1661="","",YEAR(A1661))</f>
        <v/>
      </c>
      <c r="K1661" s="24"/>
      <c r="L1661" s="11"/>
    </row>
    <row r="1662" customFormat="false" ht="15" hidden="false" customHeight="false" outlineLevel="0" collapsed="false">
      <c r="A1662" s="22"/>
      <c r="B1662" s="11"/>
      <c r="C1662" s="24"/>
      <c r="D1662" s="31" t="str">
        <f aca="false">IF(C1662="","",IF(LEN(UPPER(SUBSTITUTE(SUBSTITUTE(SUBSTITUTE(SUBSTITUTE(TRIM(C1662),".",""),"/",""),"-","")," ","")))&lt;14,RIGHT(REPT("0",14)&amp;UPPER(SUBSTITUTE(SUBSTITUTE(SUBSTITUTE(SUBSTITUTE(TRIM(C1662),".",""),"/",""),"-","")," ","")),14),UPPER(SUBSTITUTE(SUBSTITUTE(SUBSTITUTE(SUBSTITUTE(TRIM(C1662),".",""),"/",""),"-","")," ",""))))</f>
        <v/>
      </c>
      <c r="E1662" s="25" t="str">
        <f aca="false">IF(D1662="","",IFERROR(INDEX(Empresas!$C:$C,MATCH(D1662,Empresas!$B:$B,0)),"cadastre o CNPJ em Empresas"))</f>
        <v/>
      </c>
      <c r="F1662" s="23"/>
      <c r="G1662" s="35"/>
      <c r="H1662" s="24"/>
      <c r="I1662" s="11"/>
      <c r="J1662" s="27" t="str">
        <f aca="false">IF(A1662="","",YEAR(A1662))</f>
        <v/>
      </c>
      <c r="K1662" s="24"/>
      <c r="L1662" s="11"/>
    </row>
    <row r="1663" customFormat="false" ht="15" hidden="false" customHeight="false" outlineLevel="0" collapsed="false">
      <c r="A1663" s="22"/>
      <c r="B1663" s="11"/>
      <c r="C1663" s="24"/>
      <c r="D1663" s="31" t="str">
        <f aca="false">IF(C1663="","",IF(LEN(UPPER(SUBSTITUTE(SUBSTITUTE(SUBSTITUTE(SUBSTITUTE(TRIM(C1663),".",""),"/",""),"-","")," ","")))&lt;14,RIGHT(REPT("0",14)&amp;UPPER(SUBSTITUTE(SUBSTITUTE(SUBSTITUTE(SUBSTITUTE(TRIM(C1663),".",""),"/",""),"-","")," ","")),14),UPPER(SUBSTITUTE(SUBSTITUTE(SUBSTITUTE(SUBSTITUTE(TRIM(C1663),".",""),"/",""),"-","")," ",""))))</f>
        <v/>
      </c>
      <c r="E1663" s="25" t="str">
        <f aca="false">IF(D1663="","",IFERROR(INDEX(Empresas!$C:$C,MATCH(D1663,Empresas!$B:$B,0)),"cadastre o CNPJ em Empresas"))</f>
        <v/>
      </c>
      <c r="F1663" s="23"/>
      <c r="G1663" s="35"/>
      <c r="H1663" s="24"/>
      <c r="I1663" s="11"/>
      <c r="J1663" s="27" t="str">
        <f aca="false">IF(A1663="","",YEAR(A1663))</f>
        <v/>
      </c>
      <c r="K1663" s="24"/>
      <c r="L1663" s="11"/>
    </row>
    <row r="1664" customFormat="false" ht="15" hidden="false" customHeight="false" outlineLevel="0" collapsed="false">
      <c r="A1664" s="22"/>
      <c r="B1664" s="11"/>
      <c r="C1664" s="24"/>
      <c r="D1664" s="31" t="str">
        <f aca="false">IF(C1664="","",IF(LEN(UPPER(SUBSTITUTE(SUBSTITUTE(SUBSTITUTE(SUBSTITUTE(TRIM(C1664),".",""),"/",""),"-","")," ","")))&lt;14,RIGHT(REPT("0",14)&amp;UPPER(SUBSTITUTE(SUBSTITUTE(SUBSTITUTE(SUBSTITUTE(TRIM(C1664),".",""),"/",""),"-","")," ","")),14),UPPER(SUBSTITUTE(SUBSTITUTE(SUBSTITUTE(SUBSTITUTE(TRIM(C1664),".",""),"/",""),"-","")," ",""))))</f>
        <v/>
      </c>
      <c r="E1664" s="25" t="str">
        <f aca="false">IF(D1664="","",IFERROR(INDEX(Empresas!$C:$C,MATCH(D1664,Empresas!$B:$B,0)),"cadastre o CNPJ em Empresas"))</f>
        <v/>
      </c>
      <c r="F1664" s="23"/>
      <c r="G1664" s="35"/>
      <c r="H1664" s="24"/>
      <c r="I1664" s="11"/>
      <c r="J1664" s="27" t="str">
        <f aca="false">IF(A1664="","",YEAR(A1664))</f>
        <v/>
      </c>
      <c r="K1664" s="24"/>
      <c r="L1664" s="11"/>
    </row>
    <row r="1665" customFormat="false" ht="15" hidden="false" customHeight="false" outlineLevel="0" collapsed="false">
      <c r="A1665" s="22"/>
      <c r="B1665" s="11"/>
      <c r="C1665" s="24"/>
      <c r="D1665" s="31" t="str">
        <f aca="false">IF(C1665="","",IF(LEN(UPPER(SUBSTITUTE(SUBSTITUTE(SUBSTITUTE(SUBSTITUTE(TRIM(C1665),".",""),"/",""),"-","")," ","")))&lt;14,RIGHT(REPT("0",14)&amp;UPPER(SUBSTITUTE(SUBSTITUTE(SUBSTITUTE(SUBSTITUTE(TRIM(C1665),".",""),"/",""),"-","")," ","")),14),UPPER(SUBSTITUTE(SUBSTITUTE(SUBSTITUTE(SUBSTITUTE(TRIM(C1665),".",""),"/",""),"-","")," ",""))))</f>
        <v/>
      </c>
      <c r="E1665" s="25" t="str">
        <f aca="false">IF(D1665="","",IFERROR(INDEX(Empresas!$C:$C,MATCH(D1665,Empresas!$B:$B,0)),"cadastre o CNPJ em Empresas"))</f>
        <v/>
      </c>
      <c r="F1665" s="23"/>
      <c r="G1665" s="35"/>
      <c r="H1665" s="24"/>
      <c r="I1665" s="11"/>
      <c r="J1665" s="27" t="str">
        <f aca="false">IF(A1665="","",YEAR(A1665))</f>
        <v/>
      </c>
      <c r="K1665" s="24"/>
      <c r="L1665" s="11"/>
    </row>
    <row r="1666" customFormat="false" ht="15" hidden="false" customHeight="false" outlineLevel="0" collapsed="false">
      <c r="A1666" s="22"/>
      <c r="B1666" s="11"/>
      <c r="C1666" s="24"/>
      <c r="D1666" s="31" t="str">
        <f aca="false">IF(C1666="","",IF(LEN(UPPER(SUBSTITUTE(SUBSTITUTE(SUBSTITUTE(SUBSTITUTE(TRIM(C1666),".",""),"/",""),"-","")," ","")))&lt;14,RIGHT(REPT("0",14)&amp;UPPER(SUBSTITUTE(SUBSTITUTE(SUBSTITUTE(SUBSTITUTE(TRIM(C1666),".",""),"/",""),"-","")," ","")),14),UPPER(SUBSTITUTE(SUBSTITUTE(SUBSTITUTE(SUBSTITUTE(TRIM(C1666),".",""),"/",""),"-","")," ",""))))</f>
        <v/>
      </c>
      <c r="E1666" s="25" t="str">
        <f aca="false">IF(D1666="","",IFERROR(INDEX(Empresas!$C:$C,MATCH(D1666,Empresas!$B:$B,0)),"cadastre o CNPJ em Empresas"))</f>
        <v/>
      </c>
      <c r="F1666" s="23"/>
      <c r="G1666" s="35"/>
      <c r="H1666" s="24"/>
      <c r="I1666" s="11"/>
      <c r="J1666" s="27" t="str">
        <f aca="false">IF(A1666="","",YEAR(A1666))</f>
        <v/>
      </c>
      <c r="K1666" s="24"/>
      <c r="L1666" s="11"/>
    </row>
    <row r="1667" customFormat="false" ht="15" hidden="false" customHeight="false" outlineLevel="0" collapsed="false">
      <c r="A1667" s="22"/>
      <c r="B1667" s="11"/>
      <c r="C1667" s="24"/>
      <c r="D1667" s="31" t="str">
        <f aca="false">IF(C1667="","",IF(LEN(UPPER(SUBSTITUTE(SUBSTITUTE(SUBSTITUTE(SUBSTITUTE(TRIM(C1667),".",""),"/",""),"-","")," ","")))&lt;14,RIGHT(REPT("0",14)&amp;UPPER(SUBSTITUTE(SUBSTITUTE(SUBSTITUTE(SUBSTITUTE(TRIM(C1667),".",""),"/",""),"-","")," ","")),14),UPPER(SUBSTITUTE(SUBSTITUTE(SUBSTITUTE(SUBSTITUTE(TRIM(C1667),".",""),"/",""),"-","")," ",""))))</f>
        <v/>
      </c>
      <c r="E1667" s="25" t="str">
        <f aca="false">IF(D1667="","",IFERROR(INDEX(Empresas!$C:$C,MATCH(D1667,Empresas!$B:$B,0)),"cadastre o CNPJ em Empresas"))</f>
        <v/>
      </c>
      <c r="F1667" s="23"/>
      <c r="G1667" s="35"/>
      <c r="H1667" s="24"/>
      <c r="I1667" s="11"/>
      <c r="J1667" s="27" t="str">
        <f aca="false">IF(A1667="","",YEAR(A1667))</f>
        <v/>
      </c>
      <c r="K1667" s="24"/>
      <c r="L1667" s="11"/>
    </row>
    <row r="1668" customFormat="false" ht="15" hidden="false" customHeight="false" outlineLevel="0" collapsed="false">
      <c r="A1668" s="22"/>
      <c r="B1668" s="11"/>
      <c r="C1668" s="24"/>
      <c r="D1668" s="31" t="str">
        <f aca="false">IF(C1668="","",IF(LEN(UPPER(SUBSTITUTE(SUBSTITUTE(SUBSTITUTE(SUBSTITUTE(TRIM(C1668),".",""),"/",""),"-","")," ","")))&lt;14,RIGHT(REPT("0",14)&amp;UPPER(SUBSTITUTE(SUBSTITUTE(SUBSTITUTE(SUBSTITUTE(TRIM(C1668),".",""),"/",""),"-","")," ","")),14),UPPER(SUBSTITUTE(SUBSTITUTE(SUBSTITUTE(SUBSTITUTE(TRIM(C1668),".",""),"/",""),"-","")," ",""))))</f>
        <v/>
      </c>
      <c r="E1668" s="25" t="str">
        <f aca="false">IF(D1668="","",IFERROR(INDEX(Empresas!$C:$C,MATCH(D1668,Empresas!$B:$B,0)),"cadastre o CNPJ em Empresas"))</f>
        <v/>
      </c>
      <c r="F1668" s="23"/>
      <c r="G1668" s="35"/>
      <c r="H1668" s="24"/>
      <c r="I1668" s="11"/>
      <c r="J1668" s="27" t="str">
        <f aca="false">IF(A1668="","",YEAR(A1668))</f>
        <v/>
      </c>
      <c r="K1668" s="24"/>
      <c r="L1668" s="11"/>
    </row>
    <row r="1669" customFormat="false" ht="15" hidden="false" customHeight="false" outlineLevel="0" collapsed="false">
      <c r="A1669" s="22"/>
      <c r="B1669" s="11"/>
      <c r="C1669" s="24"/>
      <c r="D1669" s="31" t="str">
        <f aca="false">IF(C1669="","",IF(LEN(UPPER(SUBSTITUTE(SUBSTITUTE(SUBSTITUTE(SUBSTITUTE(TRIM(C1669),".",""),"/",""),"-","")," ","")))&lt;14,RIGHT(REPT("0",14)&amp;UPPER(SUBSTITUTE(SUBSTITUTE(SUBSTITUTE(SUBSTITUTE(TRIM(C1669),".",""),"/",""),"-","")," ","")),14),UPPER(SUBSTITUTE(SUBSTITUTE(SUBSTITUTE(SUBSTITUTE(TRIM(C1669),".",""),"/",""),"-","")," ",""))))</f>
        <v/>
      </c>
      <c r="E1669" s="25" t="str">
        <f aca="false">IF(D1669="","",IFERROR(INDEX(Empresas!$C:$C,MATCH(D1669,Empresas!$B:$B,0)),"cadastre o CNPJ em Empresas"))</f>
        <v/>
      </c>
      <c r="F1669" s="23"/>
      <c r="G1669" s="35"/>
      <c r="H1669" s="24"/>
      <c r="I1669" s="11"/>
      <c r="J1669" s="27" t="str">
        <f aca="false">IF(A1669="","",YEAR(A1669))</f>
        <v/>
      </c>
      <c r="K1669" s="24"/>
      <c r="L1669" s="11"/>
    </row>
    <row r="1670" customFormat="false" ht="15" hidden="false" customHeight="false" outlineLevel="0" collapsed="false">
      <c r="A1670" s="22"/>
      <c r="B1670" s="11"/>
      <c r="C1670" s="24"/>
      <c r="D1670" s="31" t="str">
        <f aca="false">IF(C1670="","",IF(LEN(UPPER(SUBSTITUTE(SUBSTITUTE(SUBSTITUTE(SUBSTITUTE(TRIM(C1670),".",""),"/",""),"-","")," ","")))&lt;14,RIGHT(REPT("0",14)&amp;UPPER(SUBSTITUTE(SUBSTITUTE(SUBSTITUTE(SUBSTITUTE(TRIM(C1670),".",""),"/",""),"-","")," ","")),14),UPPER(SUBSTITUTE(SUBSTITUTE(SUBSTITUTE(SUBSTITUTE(TRIM(C1670),".",""),"/",""),"-","")," ",""))))</f>
        <v/>
      </c>
      <c r="E1670" s="25" t="str">
        <f aca="false">IF(D1670="","",IFERROR(INDEX(Empresas!$C:$C,MATCH(D1670,Empresas!$B:$B,0)),"cadastre o CNPJ em Empresas"))</f>
        <v/>
      </c>
      <c r="F1670" s="23"/>
      <c r="G1670" s="35"/>
      <c r="H1670" s="24"/>
      <c r="I1670" s="11"/>
      <c r="J1670" s="27" t="str">
        <f aca="false">IF(A1670="","",YEAR(A1670))</f>
        <v/>
      </c>
      <c r="K1670" s="24"/>
      <c r="L1670" s="11"/>
    </row>
    <row r="1671" customFormat="false" ht="15" hidden="false" customHeight="false" outlineLevel="0" collapsed="false">
      <c r="A1671" s="22"/>
      <c r="B1671" s="11"/>
      <c r="C1671" s="24"/>
      <c r="D1671" s="31" t="str">
        <f aca="false">IF(C1671="","",IF(LEN(UPPER(SUBSTITUTE(SUBSTITUTE(SUBSTITUTE(SUBSTITUTE(TRIM(C1671),".",""),"/",""),"-","")," ","")))&lt;14,RIGHT(REPT("0",14)&amp;UPPER(SUBSTITUTE(SUBSTITUTE(SUBSTITUTE(SUBSTITUTE(TRIM(C1671),".",""),"/",""),"-","")," ","")),14),UPPER(SUBSTITUTE(SUBSTITUTE(SUBSTITUTE(SUBSTITUTE(TRIM(C1671),".",""),"/",""),"-","")," ",""))))</f>
        <v/>
      </c>
      <c r="E1671" s="25" t="str">
        <f aca="false">IF(D1671="","",IFERROR(INDEX(Empresas!$C:$C,MATCH(D1671,Empresas!$B:$B,0)),"cadastre o CNPJ em Empresas"))</f>
        <v/>
      </c>
      <c r="F1671" s="23"/>
      <c r="G1671" s="35"/>
      <c r="H1671" s="24"/>
      <c r="I1671" s="11"/>
      <c r="J1671" s="27" t="str">
        <f aca="false">IF(A1671="","",YEAR(A1671))</f>
        <v/>
      </c>
      <c r="K1671" s="24"/>
      <c r="L1671" s="11"/>
    </row>
    <row r="1672" customFormat="false" ht="15" hidden="false" customHeight="false" outlineLevel="0" collapsed="false">
      <c r="A1672" s="22"/>
      <c r="B1672" s="11"/>
      <c r="C1672" s="24"/>
      <c r="D1672" s="31" t="str">
        <f aca="false">IF(C1672="","",IF(LEN(UPPER(SUBSTITUTE(SUBSTITUTE(SUBSTITUTE(SUBSTITUTE(TRIM(C1672),".",""),"/",""),"-","")," ","")))&lt;14,RIGHT(REPT("0",14)&amp;UPPER(SUBSTITUTE(SUBSTITUTE(SUBSTITUTE(SUBSTITUTE(TRIM(C1672),".",""),"/",""),"-","")," ","")),14),UPPER(SUBSTITUTE(SUBSTITUTE(SUBSTITUTE(SUBSTITUTE(TRIM(C1672),".",""),"/",""),"-","")," ",""))))</f>
        <v/>
      </c>
      <c r="E1672" s="25" t="str">
        <f aca="false">IF(D1672="","",IFERROR(INDEX(Empresas!$C:$C,MATCH(D1672,Empresas!$B:$B,0)),"cadastre o CNPJ em Empresas"))</f>
        <v/>
      </c>
      <c r="F1672" s="23"/>
      <c r="G1672" s="35"/>
      <c r="H1672" s="24"/>
      <c r="I1672" s="11"/>
      <c r="J1672" s="27" t="str">
        <f aca="false">IF(A1672="","",YEAR(A1672))</f>
        <v/>
      </c>
      <c r="K1672" s="24"/>
      <c r="L1672" s="11"/>
    </row>
    <row r="1673" customFormat="false" ht="15" hidden="false" customHeight="false" outlineLevel="0" collapsed="false">
      <c r="A1673" s="22"/>
      <c r="B1673" s="11"/>
      <c r="C1673" s="24"/>
      <c r="D1673" s="31" t="str">
        <f aca="false">IF(C1673="","",IF(LEN(UPPER(SUBSTITUTE(SUBSTITUTE(SUBSTITUTE(SUBSTITUTE(TRIM(C1673),".",""),"/",""),"-","")," ","")))&lt;14,RIGHT(REPT("0",14)&amp;UPPER(SUBSTITUTE(SUBSTITUTE(SUBSTITUTE(SUBSTITUTE(TRIM(C1673),".",""),"/",""),"-","")," ","")),14),UPPER(SUBSTITUTE(SUBSTITUTE(SUBSTITUTE(SUBSTITUTE(TRIM(C1673),".",""),"/",""),"-","")," ",""))))</f>
        <v/>
      </c>
      <c r="E1673" s="25" t="str">
        <f aca="false">IF(D1673="","",IFERROR(INDEX(Empresas!$C:$C,MATCH(D1673,Empresas!$B:$B,0)),"cadastre o CNPJ em Empresas"))</f>
        <v/>
      </c>
      <c r="F1673" s="23"/>
      <c r="G1673" s="35"/>
      <c r="H1673" s="24"/>
      <c r="I1673" s="11"/>
      <c r="J1673" s="27" t="str">
        <f aca="false">IF(A1673="","",YEAR(A1673))</f>
        <v/>
      </c>
      <c r="K1673" s="24"/>
      <c r="L1673" s="11"/>
    </row>
    <row r="1674" customFormat="false" ht="15" hidden="false" customHeight="false" outlineLevel="0" collapsed="false">
      <c r="A1674" s="22"/>
      <c r="B1674" s="11"/>
      <c r="C1674" s="24"/>
      <c r="D1674" s="31" t="str">
        <f aca="false">IF(C1674="","",IF(LEN(UPPER(SUBSTITUTE(SUBSTITUTE(SUBSTITUTE(SUBSTITUTE(TRIM(C1674),".",""),"/",""),"-","")," ","")))&lt;14,RIGHT(REPT("0",14)&amp;UPPER(SUBSTITUTE(SUBSTITUTE(SUBSTITUTE(SUBSTITUTE(TRIM(C1674),".",""),"/",""),"-","")," ","")),14),UPPER(SUBSTITUTE(SUBSTITUTE(SUBSTITUTE(SUBSTITUTE(TRIM(C1674),".",""),"/",""),"-","")," ",""))))</f>
        <v/>
      </c>
      <c r="E1674" s="25" t="str">
        <f aca="false">IF(D1674="","",IFERROR(INDEX(Empresas!$C:$C,MATCH(D1674,Empresas!$B:$B,0)),"cadastre o CNPJ em Empresas"))</f>
        <v/>
      </c>
      <c r="F1674" s="23"/>
      <c r="G1674" s="35"/>
      <c r="H1674" s="24"/>
      <c r="I1674" s="11"/>
      <c r="J1674" s="27" t="str">
        <f aca="false">IF(A1674="","",YEAR(A1674))</f>
        <v/>
      </c>
      <c r="K1674" s="24"/>
      <c r="L1674" s="11"/>
    </row>
    <row r="1675" customFormat="false" ht="15" hidden="false" customHeight="false" outlineLevel="0" collapsed="false">
      <c r="A1675" s="22"/>
      <c r="B1675" s="11"/>
      <c r="C1675" s="24"/>
      <c r="D1675" s="31" t="str">
        <f aca="false">IF(C1675="","",IF(LEN(UPPER(SUBSTITUTE(SUBSTITUTE(SUBSTITUTE(SUBSTITUTE(TRIM(C1675),".",""),"/",""),"-","")," ","")))&lt;14,RIGHT(REPT("0",14)&amp;UPPER(SUBSTITUTE(SUBSTITUTE(SUBSTITUTE(SUBSTITUTE(TRIM(C1675),".",""),"/",""),"-","")," ","")),14),UPPER(SUBSTITUTE(SUBSTITUTE(SUBSTITUTE(SUBSTITUTE(TRIM(C1675),".",""),"/",""),"-","")," ",""))))</f>
        <v/>
      </c>
      <c r="E1675" s="25" t="str">
        <f aca="false">IF(D1675="","",IFERROR(INDEX(Empresas!$C:$C,MATCH(D1675,Empresas!$B:$B,0)),"cadastre o CNPJ em Empresas"))</f>
        <v/>
      </c>
      <c r="F1675" s="23"/>
      <c r="G1675" s="35"/>
      <c r="H1675" s="24"/>
      <c r="I1675" s="11"/>
      <c r="J1675" s="27" t="str">
        <f aca="false">IF(A1675="","",YEAR(A1675))</f>
        <v/>
      </c>
      <c r="K1675" s="24"/>
      <c r="L1675" s="11"/>
    </row>
    <row r="1676" customFormat="false" ht="15" hidden="false" customHeight="false" outlineLevel="0" collapsed="false">
      <c r="A1676" s="22"/>
      <c r="B1676" s="11"/>
      <c r="C1676" s="24"/>
      <c r="D1676" s="31" t="str">
        <f aca="false">IF(C1676="","",IF(LEN(UPPER(SUBSTITUTE(SUBSTITUTE(SUBSTITUTE(SUBSTITUTE(TRIM(C1676),".",""),"/",""),"-","")," ","")))&lt;14,RIGHT(REPT("0",14)&amp;UPPER(SUBSTITUTE(SUBSTITUTE(SUBSTITUTE(SUBSTITUTE(TRIM(C1676),".",""),"/",""),"-","")," ","")),14),UPPER(SUBSTITUTE(SUBSTITUTE(SUBSTITUTE(SUBSTITUTE(TRIM(C1676),".",""),"/",""),"-","")," ",""))))</f>
        <v/>
      </c>
      <c r="E1676" s="25" t="str">
        <f aca="false">IF(D1676="","",IFERROR(INDEX(Empresas!$C:$C,MATCH(D1676,Empresas!$B:$B,0)),"cadastre o CNPJ em Empresas"))</f>
        <v/>
      </c>
      <c r="F1676" s="23"/>
      <c r="G1676" s="35"/>
      <c r="H1676" s="24"/>
      <c r="I1676" s="11"/>
      <c r="J1676" s="27" t="str">
        <f aca="false">IF(A1676="","",YEAR(A1676))</f>
        <v/>
      </c>
      <c r="K1676" s="24"/>
      <c r="L1676" s="11"/>
    </row>
    <row r="1677" customFormat="false" ht="15" hidden="false" customHeight="false" outlineLevel="0" collapsed="false">
      <c r="A1677" s="22"/>
      <c r="B1677" s="11"/>
      <c r="C1677" s="24"/>
      <c r="D1677" s="31" t="str">
        <f aca="false">IF(C1677="","",IF(LEN(UPPER(SUBSTITUTE(SUBSTITUTE(SUBSTITUTE(SUBSTITUTE(TRIM(C1677),".",""),"/",""),"-","")," ","")))&lt;14,RIGHT(REPT("0",14)&amp;UPPER(SUBSTITUTE(SUBSTITUTE(SUBSTITUTE(SUBSTITUTE(TRIM(C1677),".",""),"/",""),"-","")," ","")),14),UPPER(SUBSTITUTE(SUBSTITUTE(SUBSTITUTE(SUBSTITUTE(TRIM(C1677),".",""),"/",""),"-","")," ",""))))</f>
        <v/>
      </c>
      <c r="E1677" s="25" t="str">
        <f aca="false">IF(D1677="","",IFERROR(INDEX(Empresas!$C:$C,MATCH(D1677,Empresas!$B:$B,0)),"cadastre o CNPJ em Empresas"))</f>
        <v/>
      </c>
      <c r="F1677" s="23"/>
      <c r="G1677" s="35"/>
      <c r="H1677" s="24"/>
      <c r="I1677" s="11"/>
      <c r="J1677" s="27" t="str">
        <f aca="false">IF(A1677="","",YEAR(A1677))</f>
        <v/>
      </c>
      <c r="K1677" s="24"/>
      <c r="L1677" s="11"/>
    </row>
    <row r="1678" customFormat="false" ht="15" hidden="false" customHeight="false" outlineLevel="0" collapsed="false">
      <c r="A1678" s="22"/>
      <c r="B1678" s="11"/>
      <c r="C1678" s="24"/>
      <c r="D1678" s="31" t="str">
        <f aca="false">IF(C1678="","",IF(LEN(UPPER(SUBSTITUTE(SUBSTITUTE(SUBSTITUTE(SUBSTITUTE(TRIM(C1678),".",""),"/",""),"-","")," ","")))&lt;14,RIGHT(REPT("0",14)&amp;UPPER(SUBSTITUTE(SUBSTITUTE(SUBSTITUTE(SUBSTITUTE(TRIM(C1678),".",""),"/",""),"-","")," ","")),14),UPPER(SUBSTITUTE(SUBSTITUTE(SUBSTITUTE(SUBSTITUTE(TRIM(C1678),".",""),"/",""),"-","")," ",""))))</f>
        <v/>
      </c>
      <c r="E1678" s="25" t="str">
        <f aca="false">IF(D1678="","",IFERROR(INDEX(Empresas!$C:$C,MATCH(D1678,Empresas!$B:$B,0)),"cadastre o CNPJ em Empresas"))</f>
        <v/>
      </c>
      <c r="F1678" s="23"/>
      <c r="G1678" s="35"/>
      <c r="H1678" s="24"/>
      <c r="I1678" s="11"/>
      <c r="J1678" s="27" t="str">
        <f aca="false">IF(A1678="","",YEAR(A1678))</f>
        <v/>
      </c>
      <c r="K1678" s="24"/>
      <c r="L1678" s="11"/>
    </row>
    <row r="1679" customFormat="false" ht="15" hidden="false" customHeight="false" outlineLevel="0" collapsed="false">
      <c r="A1679" s="22"/>
      <c r="B1679" s="11"/>
      <c r="C1679" s="24"/>
      <c r="D1679" s="31" t="str">
        <f aca="false">IF(C1679="","",IF(LEN(UPPER(SUBSTITUTE(SUBSTITUTE(SUBSTITUTE(SUBSTITUTE(TRIM(C1679),".",""),"/",""),"-","")," ","")))&lt;14,RIGHT(REPT("0",14)&amp;UPPER(SUBSTITUTE(SUBSTITUTE(SUBSTITUTE(SUBSTITUTE(TRIM(C1679),".",""),"/",""),"-","")," ","")),14),UPPER(SUBSTITUTE(SUBSTITUTE(SUBSTITUTE(SUBSTITUTE(TRIM(C1679),".",""),"/",""),"-","")," ",""))))</f>
        <v/>
      </c>
      <c r="E1679" s="25" t="str">
        <f aca="false">IF(D1679="","",IFERROR(INDEX(Empresas!$C:$C,MATCH(D1679,Empresas!$B:$B,0)),"cadastre o CNPJ em Empresas"))</f>
        <v/>
      </c>
      <c r="F1679" s="23"/>
      <c r="G1679" s="35"/>
      <c r="H1679" s="24"/>
      <c r="I1679" s="11"/>
      <c r="J1679" s="27" t="str">
        <f aca="false">IF(A1679="","",YEAR(A1679))</f>
        <v/>
      </c>
      <c r="K1679" s="24"/>
      <c r="L1679" s="11"/>
    </row>
    <row r="1680" customFormat="false" ht="15" hidden="false" customHeight="false" outlineLevel="0" collapsed="false">
      <c r="A1680" s="22"/>
      <c r="B1680" s="11"/>
      <c r="C1680" s="24"/>
      <c r="D1680" s="31" t="str">
        <f aca="false">IF(C1680="","",IF(LEN(UPPER(SUBSTITUTE(SUBSTITUTE(SUBSTITUTE(SUBSTITUTE(TRIM(C1680),".",""),"/",""),"-","")," ","")))&lt;14,RIGHT(REPT("0",14)&amp;UPPER(SUBSTITUTE(SUBSTITUTE(SUBSTITUTE(SUBSTITUTE(TRIM(C1680),".",""),"/",""),"-","")," ","")),14),UPPER(SUBSTITUTE(SUBSTITUTE(SUBSTITUTE(SUBSTITUTE(TRIM(C1680),".",""),"/",""),"-","")," ",""))))</f>
        <v/>
      </c>
      <c r="E1680" s="25" t="str">
        <f aca="false">IF(D1680="","",IFERROR(INDEX(Empresas!$C:$C,MATCH(D1680,Empresas!$B:$B,0)),"cadastre o CNPJ em Empresas"))</f>
        <v/>
      </c>
      <c r="F1680" s="23"/>
      <c r="G1680" s="35"/>
      <c r="H1680" s="24"/>
      <c r="I1680" s="11"/>
      <c r="J1680" s="27" t="str">
        <f aca="false">IF(A1680="","",YEAR(A1680))</f>
        <v/>
      </c>
      <c r="K1680" s="24"/>
      <c r="L1680" s="11"/>
    </row>
    <row r="1681" customFormat="false" ht="15" hidden="false" customHeight="false" outlineLevel="0" collapsed="false">
      <c r="A1681" s="22"/>
      <c r="B1681" s="11"/>
      <c r="C1681" s="24"/>
      <c r="D1681" s="31" t="str">
        <f aca="false">IF(C1681="","",IF(LEN(UPPER(SUBSTITUTE(SUBSTITUTE(SUBSTITUTE(SUBSTITUTE(TRIM(C1681),".",""),"/",""),"-","")," ","")))&lt;14,RIGHT(REPT("0",14)&amp;UPPER(SUBSTITUTE(SUBSTITUTE(SUBSTITUTE(SUBSTITUTE(TRIM(C1681),".",""),"/",""),"-","")," ","")),14),UPPER(SUBSTITUTE(SUBSTITUTE(SUBSTITUTE(SUBSTITUTE(TRIM(C1681),".",""),"/",""),"-","")," ",""))))</f>
        <v/>
      </c>
      <c r="E1681" s="25" t="str">
        <f aca="false">IF(D1681="","",IFERROR(INDEX(Empresas!$C:$C,MATCH(D1681,Empresas!$B:$B,0)),"cadastre o CNPJ em Empresas"))</f>
        <v/>
      </c>
      <c r="F1681" s="23"/>
      <c r="G1681" s="35"/>
      <c r="H1681" s="24"/>
      <c r="I1681" s="11"/>
      <c r="J1681" s="27" t="str">
        <f aca="false">IF(A1681="","",YEAR(A1681))</f>
        <v/>
      </c>
      <c r="K1681" s="24"/>
      <c r="L1681" s="11"/>
    </row>
    <row r="1682" customFormat="false" ht="15" hidden="false" customHeight="false" outlineLevel="0" collapsed="false">
      <c r="A1682" s="22"/>
      <c r="B1682" s="11"/>
      <c r="C1682" s="24"/>
      <c r="D1682" s="31" t="str">
        <f aca="false">IF(C1682="","",IF(LEN(UPPER(SUBSTITUTE(SUBSTITUTE(SUBSTITUTE(SUBSTITUTE(TRIM(C1682),".",""),"/",""),"-","")," ","")))&lt;14,RIGHT(REPT("0",14)&amp;UPPER(SUBSTITUTE(SUBSTITUTE(SUBSTITUTE(SUBSTITUTE(TRIM(C1682),".",""),"/",""),"-","")," ","")),14),UPPER(SUBSTITUTE(SUBSTITUTE(SUBSTITUTE(SUBSTITUTE(TRIM(C1682),".",""),"/",""),"-","")," ",""))))</f>
        <v/>
      </c>
      <c r="E1682" s="25" t="str">
        <f aca="false">IF(D1682="","",IFERROR(INDEX(Empresas!$C:$C,MATCH(D1682,Empresas!$B:$B,0)),"cadastre o CNPJ em Empresas"))</f>
        <v/>
      </c>
      <c r="F1682" s="23"/>
      <c r="G1682" s="35"/>
      <c r="H1682" s="24"/>
      <c r="I1682" s="11"/>
      <c r="J1682" s="27" t="str">
        <f aca="false">IF(A1682="","",YEAR(A1682))</f>
        <v/>
      </c>
      <c r="K1682" s="24"/>
      <c r="L1682" s="11"/>
    </row>
    <row r="1683" customFormat="false" ht="15" hidden="false" customHeight="false" outlineLevel="0" collapsed="false">
      <c r="A1683" s="22"/>
      <c r="B1683" s="11"/>
      <c r="C1683" s="24"/>
      <c r="D1683" s="31" t="str">
        <f aca="false">IF(C1683="","",IF(LEN(UPPER(SUBSTITUTE(SUBSTITUTE(SUBSTITUTE(SUBSTITUTE(TRIM(C1683),".",""),"/",""),"-","")," ","")))&lt;14,RIGHT(REPT("0",14)&amp;UPPER(SUBSTITUTE(SUBSTITUTE(SUBSTITUTE(SUBSTITUTE(TRIM(C1683),".",""),"/",""),"-","")," ","")),14),UPPER(SUBSTITUTE(SUBSTITUTE(SUBSTITUTE(SUBSTITUTE(TRIM(C1683),".",""),"/",""),"-","")," ",""))))</f>
        <v/>
      </c>
      <c r="E1683" s="25" t="str">
        <f aca="false">IF(D1683="","",IFERROR(INDEX(Empresas!$C:$C,MATCH(D1683,Empresas!$B:$B,0)),"cadastre o CNPJ em Empresas"))</f>
        <v/>
      </c>
      <c r="F1683" s="23"/>
      <c r="G1683" s="35"/>
      <c r="H1683" s="24"/>
      <c r="I1683" s="11"/>
      <c r="J1683" s="27" t="str">
        <f aca="false">IF(A1683="","",YEAR(A1683))</f>
        <v/>
      </c>
      <c r="K1683" s="24"/>
      <c r="L1683" s="11"/>
    </row>
    <row r="1684" customFormat="false" ht="15" hidden="false" customHeight="false" outlineLevel="0" collapsed="false">
      <c r="A1684" s="22"/>
      <c r="B1684" s="11"/>
      <c r="C1684" s="24"/>
      <c r="D1684" s="31" t="str">
        <f aca="false">IF(C1684="","",IF(LEN(UPPER(SUBSTITUTE(SUBSTITUTE(SUBSTITUTE(SUBSTITUTE(TRIM(C1684),".",""),"/",""),"-","")," ","")))&lt;14,RIGHT(REPT("0",14)&amp;UPPER(SUBSTITUTE(SUBSTITUTE(SUBSTITUTE(SUBSTITUTE(TRIM(C1684),".",""),"/",""),"-","")," ","")),14),UPPER(SUBSTITUTE(SUBSTITUTE(SUBSTITUTE(SUBSTITUTE(TRIM(C1684),".",""),"/",""),"-","")," ",""))))</f>
        <v/>
      </c>
      <c r="E1684" s="25" t="str">
        <f aca="false">IF(D1684="","",IFERROR(INDEX(Empresas!$C:$C,MATCH(D1684,Empresas!$B:$B,0)),"cadastre o CNPJ em Empresas"))</f>
        <v/>
      </c>
      <c r="F1684" s="23"/>
      <c r="G1684" s="35"/>
      <c r="H1684" s="24"/>
      <c r="I1684" s="11"/>
      <c r="J1684" s="27" t="str">
        <f aca="false">IF(A1684="","",YEAR(A1684))</f>
        <v/>
      </c>
      <c r="K1684" s="24"/>
      <c r="L1684" s="11"/>
    </row>
    <row r="1685" customFormat="false" ht="15" hidden="false" customHeight="false" outlineLevel="0" collapsed="false">
      <c r="A1685" s="22"/>
      <c r="B1685" s="11"/>
      <c r="C1685" s="24"/>
      <c r="D1685" s="31" t="str">
        <f aca="false">IF(C1685="","",IF(LEN(UPPER(SUBSTITUTE(SUBSTITUTE(SUBSTITUTE(SUBSTITUTE(TRIM(C1685),".",""),"/",""),"-","")," ","")))&lt;14,RIGHT(REPT("0",14)&amp;UPPER(SUBSTITUTE(SUBSTITUTE(SUBSTITUTE(SUBSTITUTE(TRIM(C1685),".",""),"/",""),"-","")," ","")),14),UPPER(SUBSTITUTE(SUBSTITUTE(SUBSTITUTE(SUBSTITUTE(TRIM(C1685),".",""),"/",""),"-","")," ",""))))</f>
        <v/>
      </c>
      <c r="E1685" s="25" t="str">
        <f aca="false">IF(D1685="","",IFERROR(INDEX(Empresas!$C:$C,MATCH(D1685,Empresas!$B:$B,0)),"cadastre o CNPJ em Empresas"))</f>
        <v/>
      </c>
      <c r="F1685" s="23"/>
      <c r="G1685" s="35"/>
      <c r="H1685" s="24"/>
      <c r="I1685" s="11"/>
      <c r="J1685" s="27" t="str">
        <f aca="false">IF(A1685="","",YEAR(A1685))</f>
        <v/>
      </c>
      <c r="K1685" s="24"/>
      <c r="L1685" s="11"/>
    </row>
    <row r="1686" customFormat="false" ht="15" hidden="false" customHeight="false" outlineLevel="0" collapsed="false">
      <c r="A1686" s="22"/>
      <c r="B1686" s="11"/>
      <c r="C1686" s="24"/>
      <c r="D1686" s="31" t="str">
        <f aca="false">IF(C1686="","",IF(LEN(UPPER(SUBSTITUTE(SUBSTITUTE(SUBSTITUTE(SUBSTITUTE(TRIM(C1686),".",""),"/",""),"-","")," ","")))&lt;14,RIGHT(REPT("0",14)&amp;UPPER(SUBSTITUTE(SUBSTITUTE(SUBSTITUTE(SUBSTITUTE(TRIM(C1686),".",""),"/",""),"-","")," ","")),14),UPPER(SUBSTITUTE(SUBSTITUTE(SUBSTITUTE(SUBSTITUTE(TRIM(C1686),".",""),"/",""),"-","")," ",""))))</f>
        <v/>
      </c>
      <c r="E1686" s="25" t="str">
        <f aca="false">IF(D1686="","",IFERROR(INDEX(Empresas!$C:$C,MATCH(D1686,Empresas!$B:$B,0)),"cadastre o CNPJ em Empresas"))</f>
        <v/>
      </c>
      <c r="F1686" s="23"/>
      <c r="G1686" s="35"/>
      <c r="H1686" s="24"/>
      <c r="I1686" s="11"/>
      <c r="J1686" s="27" t="str">
        <f aca="false">IF(A1686="","",YEAR(A1686))</f>
        <v/>
      </c>
      <c r="K1686" s="24"/>
      <c r="L1686" s="11"/>
    </row>
    <row r="1687" customFormat="false" ht="15" hidden="false" customHeight="false" outlineLevel="0" collapsed="false">
      <c r="A1687" s="22"/>
      <c r="B1687" s="11"/>
      <c r="C1687" s="24"/>
      <c r="D1687" s="31" t="str">
        <f aca="false">IF(C1687="","",IF(LEN(UPPER(SUBSTITUTE(SUBSTITUTE(SUBSTITUTE(SUBSTITUTE(TRIM(C1687),".",""),"/",""),"-","")," ","")))&lt;14,RIGHT(REPT("0",14)&amp;UPPER(SUBSTITUTE(SUBSTITUTE(SUBSTITUTE(SUBSTITUTE(TRIM(C1687),".",""),"/",""),"-","")," ","")),14),UPPER(SUBSTITUTE(SUBSTITUTE(SUBSTITUTE(SUBSTITUTE(TRIM(C1687),".",""),"/",""),"-","")," ",""))))</f>
        <v/>
      </c>
      <c r="E1687" s="25" t="str">
        <f aca="false">IF(D1687="","",IFERROR(INDEX(Empresas!$C:$C,MATCH(D1687,Empresas!$B:$B,0)),"cadastre o CNPJ em Empresas"))</f>
        <v/>
      </c>
      <c r="F1687" s="23"/>
      <c r="G1687" s="35"/>
      <c r="H1687" s="24"/>
      <c r="I1687" s="11"/>
      <c r="J1687" s="27" t="str">
        <f aca="false">IF(A1687="","",YEAR(A1687))</f>
        <v/>
      </c>
      <c r="K1687" s="24"/>
      <c r="L1687" s="11"/>
    </row>
    <row r="1688" customFormat="false" ht="15" hidden="false" customHeight="false" outlineLevel="0" collapsed="false">
      <c r="A1688" s="22"/>
      <c r="B1688" s="11"/>
      <c r="C1688" s="24"/>
      <c r="D1688" s="31" t="str">
        <f aca="false">IF(C1688="","",IF(LEN(UPPER(SUBSTITUTE(SUBSTITUTE(SUBSTITUTE(SUBSTITUTE(TRIM(C1688),".",""),"/",""),"-","")," ","")))&lt;14,RIGHT(REPT("0",14)&amp;UPPER(SUBSTITUTE(SUBSTITUTE(SUBSTITUTE(SUBSTITUTE(TRIM(C1688),".",""),"/",""),"-","")," ","")),14),UPPER(SUBSTITUTE(SUBSTITUTE(SUBSTITUTE(SUBSTITUTE(TRIM(C1688),".",""),"/",""),"-","")," ",""))))</f>
        <v/>
      </c>
      <c r="E1688" s="25" t="str">
        <f aca="false">IF(D1688="","",IFERROR(INDEX(Empresas!$C:$C,MATCH(D1688,Empresas!$B:$B,0)),"cadastre o CNPJ em Empresas"))</f>
        <v/>
      </c>
      <c r="F1688" s="23"/>
      <c r="G1688" s="35"/>
      <c r="H1688" s="24"/>
      <c r="I1688" s="11"/>
      <c r="J1688" s="27" t="str">
        <f aca="false">IF(A1688="","",YEAR(A1688))</f>
        <v/>
      </c>
      <c r="K1688" s="24"/>
      <c r="L1688" s="11"/>
    </row>
    <row r="1689" customFormat="false" ht="15" hidden="false" customHeight="false" outlineLevel="0" collapsed="false">
      <c r="A1689" s="22"/>
      <c r="B1689" s="11"/>
      <c r="C1689" s="24"/>
      <c r="D1689" s="31" t="str">
        <f aca="false">IF(C1689="","",IF(LEN(UPPER(SUBSTITUTE(SUBSTITUTE(SUBSTITUTE(SUBSTITUTE(TRIM(C1689),".",""),"/",""),"-","")," ","")))&lt;14,RIGHT(REPT("0",14)&amp;UPPER(SUBSTITUTE(SUBSTITUTE(SUBSTITUTE(SUBSTITUTE(TRIM(C1689),".",""),"/",""),"-","")," ","")),14),UPPER(SUBSTITUTE(SUBSTITUTE(SUBSTITUTE(SUBSTITUTE(TRIM(C1689),".",""),"/",""),"-","")," ",""))))</f>
        <v/>
      </c>
      <c r="E1689" s="25" t="str">
        <f aca="false">IF(D1689="","",IFERROR(INDEX(Empresas!$C:$C,MATCH(D1689,Empresas!$B:$B,0)),"cadastre o CNPJ em Empresas"))</f>
        <v/>
      </c>
      <c r="F1689" s="23"/>
      <c r="G1689" s="35"/>
      <c r="H1689" s="24"/>
      <c r="I1689" s="11"/>
      <c r="J1689" s="27" t="str">
        <f aca="false">IF(A1689="","",YEAR(A1689))</f>
        <v/>
      </c>
      <c r="K1689" s="24"/>
      <c r="L1689" s="11"/>
    </row>
    <row r="1690" customFormat="false" ht="15" hidden="false" customHeight="false" outlineLevel="0" collapsed="false">
      <c r="A1690" s="22"/>
      <c r="B1690" s="11"/>
      <c r="C1690" s="24"/>
      <c r="D1690" s="31" t="str">
        <f aca="false">IF(C1690="","",IF(LEN(UPPER(SUBSTITUTE(SUBSTITUTE(SUBSTITUTE(SUBSTITUTE(TRIM(C1690),".",""),"/",""),"-","")," ","")))&lt;14,RIGHT(REPT("0",14)&amp;UPPER(SUBSTITUTE(SUBSTITUTE(SUBSTITUTE(SUBSTITUTE(TRIM(C1690),".",""),"/",""),"-","")," ","")),14),UPPER(SUBSTITUTE(SUBSTITUTE(SUBSTITUTE(SUBSTITUTE(TRIM(C1690),".",""),"/",""),"-","")," ",""))))</f>
        <v/>
      </c>
      <c r="E1690" s="25" t="str">
        <f aca="false">IF(D1690="","",IFERROR(INDEX(Empresas!$C:$C,MATCH(D1690,Empresas!$B:$B,0)),"cadastre o CNPJ em Empresas"))</f>
        <v/>
      </c>
      <c r="F1690" s="23"/>
      <c r="G1690" s="35"/>
      <c r="H1690" s="24"/>
      <c r="I1690" s="11"/>
      <c r="J1690" s="27" t="str">
        <f aca="false">IF(A1690="","",YEAR(A1690))</f>
        <v/>
      </c>
      <c r="K1690" s="24"/>
      <c r="L1690" s="11"/>
    </row>
    <row r="1691" customFormat="false" ht="15" hidden="false" customHeight="false" outlineLevel="0" collapsed="false">
      <c r="A1691" s="22"/>
      <c r="B1691" s="11"/>
      <c r="C1691" s="24"/>
      <c r="D1691" s="31" t="str">
        <f aca="false">IF(C1691="","",IF(LEN(UPPER(SUBSTITUTE(SUBSTITUTE(SUBSTITUTE(SUBSTITUTE(TRIM(C1691),".",""),"/",""),"-","")," ","")))&lt;14,RIGHT(REPT("0",14)&amp;UPPER(SUBSTITUTE(SUBSTITUTE(SUBSTITUTE(SUBSTITUTE(TRIM(C1691),".",""),"/",""),"-","")," ","")),14),UPPER(SUBSTITUTE(SUBSTITUTE(SUBSTITUTE(SUBSTITUTE(TRIM(C1691),".",""),"/",""),"-","")," ",""))))</f>
        <v/>
      </c>
      <c r="E1691" s="25" t="str">
        <f aca="false">IF(D1691="","",IFERROR(INDEX(Empresas!$C:$C,MATCH(D1691,Empresas!$B:$B,0)),"cadastre o CNPJ em Empresas"))</f>
        <v/>
      </c>
      <c r="F1691" s="23"/>
      <c r="G1691" s="35"/>
      <c r="H1691" s="24"/>
      <c r="I1691" s="11"/>
      <c r="J1691" s="27" t="str">
        <f aca="false">IF(A1691="","",YEAR(A1691))</f>
        <v/>
      </c>
      <c r="K1691" s="24"/>
      <c r="L1691" s="11"/>
    </row>
    <row r="1692" customFormat="false" ht="15" hidden="false" customHeight="false" outlineLevel="0" collapsed="false">
      <c r="A1692" s="22"/>
      <c r="B1692" s="11"/>
      <c r="C1692" s="24"/>
      <c r="D1692" s="31" t="str">
        <f aca="false">IF(C1692="","",IF(LEN(UPPER(SUBSTITUTE(SUBSTITUTE(SUBSTITUTE(SUBSTITUTE(TRIM(C1692),".",""),"/",""),"-","")," ","")))&lt;14,RIGHT(REPT("0",14)&amp;UPPER(SUBSTITUTE(SUBSTITUTE(SUBSTITUTE(SUBSTITUTE(TRIM(C1692),".",""),"/",""),"-","")," ","")),14),UPPER(SUBSTITUTE(SUBSTITUTE(SUBSTITUTE(SUBSTITUTE(TRIM(C1692),".",""),"/",""),"-","")," ",""))))</f>
        <v/>
      </c>
      <c r="E1692" s="25" t="str">
        <f aca="false">IF(D1692="","",IFERROR(INDEX(Empresas!$C:$C,MATCH(D1692,Empresas!$B:$B,0)),"cadastre o CNPJ em Empresas"))</f>
        <v/>
      </c>
      <c r="F1692" s="23"/>
      <c r="G1692" s="35"/>
      <c r="H1692" s="24"/>
      <c r="I1692" s="11"/>
      <c r="J1692" s="27" t="str">
        <f aca="false">IF(A1692="","",YEAR(A1692))</f>
        <v/>
      </c>
      <c r="K1692" s="24"/>
      <c r="L1692" s="11"/>
    </row>
    <row r="1693" customFormat="false" ht="15" hidden="false" customHeight="false" outlineLevel="0" collapsed="false">
      <c r="A1693" s="22"/>
      <c r="B1693" s="11"/>
      <c r="C1693" s="24"/>
      <c r="D1693" s="31" t="str">
        <f aca="false">IF(C1693="","",IF(LEN(UPPER(SUBSTITUTE(SUBSTITUTE(SUBSTITUTE(SUBSTITUTE(TRIM(C1693),".",""),"/",""),"-","")," ","")))&lt;14,RIGHT(REPT("0",14)&amp;UPPER(SUBSTITUTE(SUBSTITUTE(SUBSTITUTE(SUBSTITUTE(TRIM(C1693),".",""),"/",""),"-","")," ","")),14),UPPER(SUBSTITUTE(SUBSTITUTE(SUBSTITUTE(SUBSTITUTE(TRIM(C1693),".",""),"/",""),"-","")," ",""))))</f>
        <v/>
      </c>
      <c r="E1693" s="25" t="str">
        <f aca="false">IF(D1693="","",IFERROR(INDEX(Empresas!$C:$C,MATCH(D1693,Empresas!$B:$B,0)),"cadastre o CNPJ em Empresas"))</f>
        <v/>
      </c>
      <c r="F1693" s="23"/>
      <c r="G1693" s="35"/>
      <c r="H1693" s="24"/>
      <c r="I1693" s="11"/>
      <c r="J1693" s="27" t="str">
        <f aca="false">IF(A1693="","",YEAR(A1693))</f>
        <v/>
      </c>
      <c r="K1693" s="24"/>
      <c r="L1693" s="11"/>
    </row>
    <row r="1694" customFormat="false" ht="15" hidden="false" customHeight="false" outlineLevel="0" collapsed="false">
      <c r="A1694" s="22"/>
      <c r="B1694" s="11"/>
      <c r="C1694" s="24"/>
      <c r="D1694" s="31" t="str">
        <f aca="false">IF(C1694="","",IF(LEN(UPPER(SUBSTITUTE(SUBSTITUTE(SUBSTITUTE(SUBSTITUTE(TRIM(C1694),".",""),"/",""),"-","")," ","")))&lt;14,RIGHT(REPT("0",14)&amp;UPPER(SUBSTITUTE(SUBSTITUTE(SUBSTITUTE(SUBSTITUTE(TRIM(C1694),".",""),"/",""),"-","")," ","")),14),UPPER(SUBSTITUTE(SUBSTITUTE(SUBSTITUTE(SUBSTITUTE(TRIM(C1694),".",""),"/",""),"-","")," ",""))))</f>
        <v/>
      </c>
      <c r="E1694" s="25" t="str">
        <f aca="false">IF(D1694="","",IFERROR(INDEX(Empresas!$C:$C,MATCH(D1694,Empresas!$B:$B,0)),"cadastre o CNPJ em Empresas"))</f>
        <v/>
      </c>
      <c r="F1694" s="23"/>
      <c r="G1694" s="35"/>
      <c r="H1694" s="24"/>
      <c r="I1694" s="11"/>
      <c r="J1694" s="27" t="str">
        <f aca="false">IF(A1694="","",YEAR(A1694))</f>
        <v/>
      </c>
      <c r="K1694" s="24"/>
      <c r="L1694" s="11"/>
    </row>
    <row r="1695" customFormat="false" ht="15" hidden="false" customHeight="false" outlineLevel="0" collapsed="false">
      <c r="A1695" s="22"/>
      <c r="B1695" s="11"/>
      <c r="C1695" s="24"/>
      <c r="D1695" s="31" t="str">
        <f aca="false">IF(C1695="","",IF(LEN(UPPER(SUBSTITUTE(SUBSTITUTE(SUBSTITUTE(SUBSTITUTE(TRIM(C1695),".",""),"/",""),"-","")," ","")))&lt;14,RIGHT(REPT("0",14)&amp;UPPER(SUBSTITUTE(SUBSTITUTE(SUBSTITUTE(SUBSTITUTE(TRIM(C1695),".",""),"/",""),"-","")," ","")),14),UPPER(SUBSTITUTE(SUBSTITUTE(SUBSTITUTE(SUBSTITUTE(TRIM(C1695),".",""),"/",""),"-","")," ",""))))</f>
        <v/>
      </c>
      <c r="E1695" s="25" t="str">
        <f aca="false">IF(D1695="","",IFERROR(INDEX(Empresas!$C:$C,MATCH(D1695,Empresas!$B:$B,0)),"cadastre o CNPJ em Empresas"))</f>
        <v/>
      </c>
      <c r="F1695" s="23"/>
      <c r="G1695" s="35"/>
      <c r="H1695" s="24"/>
      <c r="I1695" s="11"/>
      <c r="J1695" s="27" t="str">
        <f aca="false">IF(A1695="","",YEAR(A1695))</f>
        <v/>
      </c>
      <c r="K1695" s="24"/>
      <c r="L1695" s="11"/>
    </row>
    <row r="1696" customFormat="false" ht="15" hidden="false" customHeight="false" outlineLevel="0" collapsed="false">
      <c r="A1696" s="22"/>
      <c r="B1696" s="11"/>
      <c r="C1696" s="24"/>
      <c r="D1696" s="31" t="str">
        <f aca="false">IF(C1696="","",IF(LEN(UPPER(SUBSTITUTE(SUBSTITUTE(SUBSTITUTE(SUBSTITUTE(TRIM(C1696),".",""),"/",""),"-","")," ","")))&lt;14,RIGHT(REPT("0",14)&amp;UPPER(SUBSTITUTE(SUBSTITUTE(SUBSTITUTE(SUBSTITUTE(TRIM(C1696),".",""),"/",""),"-","")," ","")),14),UPPER(SUBSTITUTE(SUBSTITUTE(SUBSTITUTE(SUBSTITUTE(TRIM(C1696),".",""),"/",""),"-","")," ",""))))</f>
        <v/>
      </c>
      <c r="E1696" s="25" t="str">
        <f aca="false">IF(D1696="","",IFERROR(INDEX(Empresas!$C:$C,MATCH(D1696,Empresas!$B:$B,0)),"cadastre o CNPJ em Empresas"))</f>
        <v/>
      </c>
      <c r="F1696" s="23"/>
      <c r="G1696" s="35"/>
      <c r="H1696" s="24"/>
      <c r="I1696" s="11"/>
      <c r="J1696" s="27" t="str">
        <f aca="false">IF(A1696="","",YEAR(A1696))</f>
        <v/>
      </c>
      <c r="K1696" s="24"/>
      <c r="L1696" s="11"/>
    </row>
    <row r="1697" customFormat="false" ht="15" hidden="false" customHeight="false" outlineLevel="0" collapsed="false">
      <c r="A1697" s="22"/>
      <c r="B1697" s="11"/>
      <c r="C1697" s="24"/>
      <c r="D1697" s="31" t="str">
        <f aca="false">IF(C1697="","",IF(LEN(UPPER(SUBSTITUTE(SUBSTITUTE(SUBSTITUTE(SUBSTITUTE(TRIM(C1697),".",""),"/",""),"-","")," ","")))&lt;14,RIGHT(REPT("0",14)&amp;UPPER(SUBSTITUTE(SUBSTITUTE(SUBSTITUTE(SUBSTITUTE(TRIM(C1697),".",""),"/",""),"-","")," ","")),14),UPPER(SUBSTITUTE(SUBSTITUTE(SUBSTITUTE(SUBSTITUTE(TRIM(C1697),".",""),"/",""),"-","")," ",""))))</f>
        <v/>
      </c>
      <c r="E1697" s="25" t="str">
        <f aca="false">IF(D1697="","",IFERROR(INDEX(Empresas!$C:$C,MATCH(D1697,Empresas!$B:$B,0)),"cadastre o CNPJ em Empresas"))</f>
        <v/>
      </c>
      <c r="F1697" s="23"/>
      <c r="G1697" s="35"/>
      <c r="H1697" s="24"/>
      <c r="I1697" s="11"/>
      <c r="J1697" s="27" t="str">
        <f aca="false">IF(A1697="","",YEAR(A1697))</f>
        <v/>
      </c>
      <c r="K1697" s="24"/>
      <c r="L1697" s="11"/>
    </row>
    <row r="1698" customFormat="false" ht="15" hidden="false" customHeight="false" outlineLevel="0" collapsed="false">
      <c r="A1698" s="22"/>
      <c r="B1698" s="11"/>
      <c r="C1698" s="24"/>
      <c r="D1698" s="31" t="str">
        <f aca="false">IF(C1698="","",IF(LEN(UPPER(SUBSTITUTE(SUBSTITUTE(SUBSTITUTE(SUBSTITUTE(TRIM(C1698),".",""),"/",""),"-","")," ","")))&lt;14,RIGHT(REPT("0",14)&amp;UPPER(SUBSTITUTE(SUBSTITUTE(SUBSTITUTE(SUBSTITUTE(TRIM(C1698),".",""),"/",""),"-","")," ","")),14),UPPER(SUBSTITUTE(SUBSTITUTE(SUBSTITUTE(SUBSTITUTE(TRIM(C1698),".",""),"/",""),"-","")," ",""))))</f>
        <v/>
      </c>
      <c r="E1698" s="25" t="str">
        <f aca="false">IF(D1698="","",IFERROR(INDEX(Empresas!$C:$C,MATCH(D1698,Empresas!$B:$B,0)),"cadastre o CNPJ em Empresas"))</f>
        <v/>
      </c>
      <c r="F1698" s="23"/>
      <c r="G1698" s="35"/>
      <c r="H1698" s="24"/>
      <c r="I1698" s="11"/>
      <c r="J1698" s="27" t="str">
        <f aca="false">IF(A1698="","",YEAR(A1698))</f>
        <v/>
      </c>
      <c r="K1698" s="24"/>
      <c r="L1698" s="11"/>
    </row>
    <row r="1699" customFormat="false" ht="15" hidden="false" customHeight="false" outlineLevel="0" collapsed="false">
      <c r="A1699" s="22"/>
      <c r="B1699" s="11"/>
      <c r="C1699" s="24"/>
      <c r="D1699" s="31" t="str">
        <f aca="false">IF(C1699="","",IF(LEN(UPPER(SUBSTITUTE(SUBSTITUTE(SUBSTITUTE(SUBSTITUTE(TRIM(C1699),".",""),"/",""),"-","")," ","")))&lt;14,RIGHT(REPT("0",14)&amp;UPPER(SUBSTITUTE(SUBSTITUTE(SUBSTITUTE(SUBSTITUTE(TRIM(C1699),".",""),"/",""),"-","")," ","")),14),UPPER(SUBSTITUTE(SUBSTITUTE(SUBSTITUTE(SUBSTITUTE(TRIM(C1699),".",""),"/",""),"-","")," ",""))))</f>
        <v/>
      </c>
      <c r="E1699" s="25" t="str">
        <f aca="false">IF(D1699="","",IFERROR(INDEX(Empresas!$C:$C,MATCH(D1699,Empresas!$B:$B,0)),"cadastre o CNPJ em Empresas"))</f>
        <v/>
      </c>
      <c r="F1699" s="23"/>
      <c r="G1699" s="35"/>
      <c r="H1699" s="24"/>
      <c r="I1699" s="11"/>
      <c r="J1699" s="27" t="str">
        <f aca="false">IF(A1699="","",YEAR(A1699))</f>
        <v/>
      </c>
      <c r="K1699" s="24"/>
      <c r="L1699" s="11"/>
    </row>
    <row r="1700" customFormat="false" ht="15" hidden="false" customHeight="false" outlineLevel="0" collapsed="false">
      <c r="A1700" s="22"/>
      <c r="B1700" s="11"/>
      <c r="C1700" s="24"/>
      <c r="D1700" s="31" t="str">
        <f aca="false">IF(C1700="","",IF(LEN(UPPER(SUBSTITUTE(SUBSTITUTE(SUBSTITUTE(SUBSTITUTE(TRIM(C1700),".",""),"/",""),"-","")," ","")))&lt;14,RIGHT(REPT("0",14)&amp;UPPER(SUBSTITUTE(SUBSTITUTE(SUBSTITUTE(SUBSTITUTE(TRIM(C1700),".",""),"/",""),"-","")," ","")),14),UPPER(SUBSTITUTE(SUBSTITUTE(SUBSTITUTE(SUBSTITUTE(TRIM(C1700),".",""),"/",""),"-","")," ",""))))</f>
        <v/>
      </c>
      <c r="E1700" s="25" t="str">
        <f aca="false">IF(D1700="","",IFERROR(INDEX(Empresas!$C:$C,MATCH(D1700,Empresas!$B:$B,0)),"cadastre o CNPJ em Empresas"))</f>
        <v/>
      </c>
      <c r="F1700" s="23"/>
      <c r="G1700" s="35"/>
      <c r="H1700" s="24"/>
      <c r="I1700" s="11"/>
      <c r="J1700" s="27" t="str">
        <f aca="false">IF(A1700="","",YEAR(A1700))</f>
        <v/>
      </c>
      <c r="K1700" s="24"/>
      <c r="L1700" s="11"/>
    </row>
    <row r="1701" customFormat="false" ht="15" hidden="false" customHeight="false" outlineLevel="0" collapsed="false">
      <c r="A1701" s="22"/>
      <c r="B1701" s="11"/>
      <c r="C1701" s="24"/>
      <c r="D1701" s="31" t="str">
        <f aca="false">IF(C1701="","",IF(LEN(UPPER(SUBSTITUTE(SUBSTITUTE(SUBSTITUTE(SUBSTITUTE(TRIM(C1701),".",""),"/",""),"-","")," ","")))&lt;14,RIGHT(REPT("0",14)&amp;UPPER(SUBSTITUTE(SUBSTITUTE(SUBSTITUTE(SUBSTITUTE(TRIM(C1701),".",""),"/",""),"-","")," ","")),14),UPPER(SUBSTITUTE(SUBSTITUTE(SUBSTITUTE(SUBSTITUTE(TRIM(C1701),".",""),"/",""),"-","")," ",""))))</f>
        <v/>
      </c>
      <c r="E1701" s="25" t="str">
        <f aca="false">IF(D1701="","",IFERROR(INDEX(Empresas!$C:$C,MATCH(D1701,Empresas!$B:$B,0)),"cadastre o CNPJ em Empresas"))</f>
        <v/>
      </c>
      <c r="F1701" s="23"/>
      <c r="G1701" s="35"/>
      <c r="H1701" s="24"/>
      <c r="I1701" s="11"/>
      <c r="J1701" s="27" t="str">
        <f aca="false">IF(A1701="","",YEAR(A1701))</f>
        <v/>
      </c>
      <c r="K1701" s="24"/>
      <c r="L1701" s="11"/>
    </row>
    <row r="1702" customFormat="false" ht="15" hidden="false" customHeight="false" outlineLevel="0" collapsed="false">
      <c r="A1702" s="22"/>
      <c r="B1702" s="11"/>
      <c r="C1702" s="24"/>
      <c r="D1702" s="31" t="str">
        <f aca="false">IF(C1702="","",IF(LEN(UPPER(SUBSTITUTE(SUBSTITUTE(SUBSTITUTE(SUBSTITUTE(TRIM(C1702),".",""),"/",""),"-","")," ","")))&lt;14,RIGHT(REPT("0",14)&amp;UPPER(SUBSTITUTE(SUBSTITUTE(SUBSTITUTE(SUBSTITUTE(TRIM(C1702),".",""),"/",""),"-","")," ","")),14),UPPER(SUBSTITUTE(SUBSTITUTE(SUBSTITUTE(SUBSTITUTE(TRIM(C1702),".",""),"/",""),"-","")," ",""))))</f>
        <v/>
      </c>
      <c r="E1702" s="25" t="str">
        <f aca="false">IF(D1702="","",IFERROR(INDEX(Empresas!$C:$C,MATCH(D1702,Empresas!$B:$B,0)),"cadastre o CNPJ em Empresas"))</f>
        <v/>
      </c>
      <c r="F1702" s="23"/>
      <c r="G1702" s="35"/>
      <c r="H1702" s="24"/>
      <c r="I1702" s="11"/>
      <c r="J1702" s="27" t="str">
        <f aca="false">IF(A1702="","",YEAR(A1702))</f>
        <v/>
      </c>
      <c r="K1702" s="24"/>
      <c r="L1702" s="11"/>
    </row>
    <row r="1703" customFormat="false" ht="15" hidden="false" customHeight="false" outlineLevel="0" collapsed="false">
      <c r="A1703" s="22"/>
      <c r="B1703" s="11"/>
      <c r="C1703" s="24"/>
      <c r="D1703" s="31" t="str">
        <f aca="false">IF(C1703="","",IF(LEN(UPPER(SUBSTITUTE(SUBSTITUTE(SUBSTITUTE(SUBSTITUTE(TRIM(C1703),".",""),"/",""),"-","")," ","")))&lt;14,RIGHT(REPT("0",14)&amp;UPPER(SUBSTITUTE(SUBSTITUTE(SUBSTITUTE(SUBSTITUTE(TRIM(C1703),".",""),"/",""),"-","")," ","")),14),UPPER(SUBSTITUTE(SUBSTITUTE(SUBSTITUTE(SUBSTITUTE(TRIM(C1703),".",""),"/",""),"-","")," ",""))))</f>
        <v/>
      </c>
      <c r="E1703" s="25" t="str">
        <f aca="false">IF(D1703="","",IFERROR(INDEX(Empresas!$C:$C,MATCH(D1703,Empresas!$B:$B,0)),"cadastre o CNPJ em Empresas"))</f>
        <v/>
      </c>
      <c r="F1703" s="23"/>
      <c r="G1703" s="35"/>
      <c r="H1703" s="24"/>
      <c r="I1703" s="11"/>
      <c r="J1703" s="27" t="str">
        <f aca="false">IF(A1703="","",YEAR(A1703))</f>
        <v/>
      </c>
      <c r="K1703" s="24"/>
      <c r="L1703" s="11"/>
    </row>
    <row r="1704" customFormat="false" ht="15" hidden="false" customHeight="false" outlineLevel="0" collapsed="false">
      <c r="A1704" s="22"/>
      <c r="B1704" s="11"/>
      <c r="C1704" s="24"/>
      <c r="D1704" s="31" t="str">
        <f aca="false">IF(C1704="","",IF(LEN(UPPER(SUBSTITUTE(SUBSTITUTE(SUBSTITUTE(SUBSTITUTE(TRIM(C1704),".",""),"/",""),"-","")," ","")))&lt;14,RIGHT(REPT("0",14)&amp;UPPER(SUBSTITUTE(SUBSTITUTE(SUBSTITUTE(SUBSTITUTE(TRIM(C1704),".",""),"/",""),"-","")," ","")),14),UPPER(SUBSTITUTE(SUBSTITUTE(SUBSTITUTE(SUBSTITUTE(TRIM(C1704),".",""),"/",""),"-","")," ",""))))</f>
        <v/>
      </c>
      <c r="E1704" s="25" t="str">
        <f aca="false">IF(D1704="","",IFERROR(INDEX(Empresas!$C:$C,MATCH(D1704,Empresas!$B:$B,0)),"cadastre o CNPJ em Empresas"))</f>
        <v/>
      </c>
      <c r="F1704" s="23"/>
      <c r="G1704" s="35"/>
      <c r="H1704" s="24"/>
      <c r="I1704" s="11"/>
      <c r="J1704" s="27" t="str">
        <f aca="false">IF(A1704="","",YEAR(A1704))</f>
        <v/>
      </c>
      <c r="K1704" s="24"/>
      <c r="L1704" s="11"/>
    </row>
    <row r="1705" customFormat="false" ht="15" hidden="false" customHeight="false" outlineLevel="0" collapsed="false">
      <c r="A1705" s="22"/>
      <c r="B1705" s="11"/>
      <c r="C1705" s="24"/>
      <c r="D1705" s="31" t="str">
        <f aca="false">IF(C1705="","",IF(LEN(UPPER(SUBSTITUTE(SUBSTITUTE(SUBSTITUTE(SUBSTITUTE(TRIM(C1705),".",""),"/",""),"-","")," ","")))&lt;14,RIGHT(REPT("0",14)&amp;UPPER(SUBSTITUTE(SUBSTITUTE(SUBSTITUTE(SUBSTITUTE(TRIM(C1705),".",""),"/",""),"-","")," ","")),14),UPPER(SUBSTITUTE(SUBSTITUTE(SUBSTITUTE(SUBSTITUTE(TRIM(C1705),".",""),"/",""),"-","")," ",""))))</f>
        <v/>
      </c>
      <c r="E1705" s="25" t="str">
        <f aca="false">IF(D1705="","",IFERROR(INDEX(Empresas!$C:$C,MATCH(D1705,Empresas!$B:$B,0)),"cadastre o CNPJ em Empresas"))</f>
        <v/>
      </c>
      <c r="F1705" s="23"/>
      <c r="G1705" s="35"/>
      <c r="H1705" s="24"/>
      <c r="I1705" s="11"/>
      <c r="J1705" s="27" t="str">
        <f aca="false">IF(A1705="","",YEAR(A1705))</f>
        <v/>
      </c>
      <c r="K1705" s="24"/>
      <c r="L1705" s="11"/>
    </row>
    <row r="1706" customFormat="false" ht="15" hidden="false" customHeight="false" outlineLevel="0" collapsed="false">
      <c r="A1706" s="22"/>
      <c r="B1706" s="11"/>
      <c r="C1706" s="24"/>
      <c r="D1706" s="31" t="str">
        <f aca="false">IF(C1706="","",IF(LEN(UPPER(SUBSTITUTE(SUBSTITUTE(SUBSTITUTE(SUBSTITUTE(TRIM(C1706),".",""),"/",""),"-","")," ","")))&lt;14,RIGHT(REPT("0",14)&amp;UPPER(SUBSTITUTE(SUBSTITUTE(SUBSTITUTE(SUBSTITUTE(TRIM(C1706),".",""),"/",""),"-","")," ","")),14),UPPER(SUBSTITUTE(SUBSTITUTE(SUBSTITUTE(SUBSTITUTE(TRIM(C1706),".",""),"/",""),"-","")," ",""))))</f>
        <v/>
      </c>
      <c r="E1706" s="25" t="str">
        <f aca="false">IF(D1706="","",IFERROR(INDEX(Empresas!$C:$C,MATCH(D1706,Empresas!$B:$B,0)),"cadastre o CNPJ em Empresas"))</f>
        <v/>
      </c>
      <c r="F1706" s="23"/>
      <c r="G1706" s="35"/>
      <c r="H1706" s="24"/>
      <c r="I1706" s="11"/>
      <c r="J1706" s="27" t="str">
        <f aca="false">IF(A1706="","",YEAR(A1706))</f>
        <v/>
      </c>
      <c r="K1706" s="24"/>
      <c r="L1706" s="11"/>
    </row>
    <row r="1707" customFormat="false" ht="15" hidden="false" customHeight="false" outlineLevel="0" collapsed="false">
      <c r="A1707" s="22"/>
      <c r="B1707" s="11"/>
      <c r="C1707" s="24"/>
      <c r="D1707" s="31" t="str">
        <f aca="false">IF(C1707="","",IF(LEN(UPPER(SUBSTITUTE(SUBSTITUTE(SUBSTITUTE(SUBSTITUTE(TRIM(C1707),".",""),"/",""),"-","")," ","")))&lt;14,RIGHT(REPT("0",14)&amp;UPPER(SUBSTITUTE(SUBSTITUTE(SUBSTITUTE(SUBSTITUTE(TRIM(C1707),".",""),"/",""),"-","")," ","")),14),UPPER(SUBSTITUTE(SUBSTITUTE(SUBSTITUTE(SUBSTITUTE(TRIM(C1707),".",""),"/",""),"-","")," ",""))))</f>
        <v/>
      </c>
      <c r="E1707" s="25" t="str">
        <f aca="false">IF(D1707="","",IFERROR(INDEX(Empresas!$C:$C,MATCH(D1707,Empresas!$B:$B,0)),"cadastre o CNPJ em Empresas"))</f>
        <v/>
      </c>
      <c r="F1707" s="23"/>
      <c r="G1707" s="35"/>
      <c r="H1707" s="24"/>
      <c r="I1707" s="11"/>
      <c r="J1707" s="27" t="str">
        <f aca="false">IF(A1707="","",YEAR(A1707))</f>
        <v/>
      </c>
      <c r="K1707" s="24"/>
      <c r="L1707" s="11"/>
    </row>
    <row r="1708" customFormat="false" ht="15" hidden="false" customHeight="false" outlineLevel="0" collapsed="false">
      <c r="A1708" s="22"/>
      <c r="B1708" s="11"/>
      <c r="C1708" s="24"/>
      <c r="D1708" s="31" t="str">
        <f aca="false">IF(C1708="","",IF(LEN(UPPER(SUBSTITUTE(SUBSTITUTE(SUBSTITUTE(SUBSTITUTE(TRIM(C1708),".",""),"/",""),"-","")," ","")))&lt;14,RIGHT(REPT("0",14)&amp;UPPER(SUBSTITUTE(SUBSTITUTE(SUBSTITUTE(SUBSTITUTE(TRIM(C1708),".",""),"/",""),"-","")," ","")),14),UPPER(SUBSTITUTE(SUBSTITUTE(SUBSTITUTE(SUBSTITUTE(TRIM(C1708),".",""),"/",""),"-","")," ",""))))</f>
        <v/>
      </c>
      <c r="E1708" s="25" t="str">
        <f aca="false">IF(D1708="","",IFERROR(INDEX(Empresas!$C:$C,MATCH(D1708,Empresas!$B:$B,0)),"cadastre o CNPJ em Empresas"))</f>
        <v/>
      </c>
      <c r="F1708" s="23"/>
      <c r="G1708" s="35"/>
      <c r="H1708" s="24"/>
      <c r="I1708" s="11"/>
      <c r="J1708" s="27" t="str">
        <f aca="false">IF(A1708="","",YEAR(A1708))</f>
        <v/>
      </c>
      <c r="K1708" s="24"/>
      <c r="L1708" s="11"/>
    </row>
    <row r="1709" customFormat="false" ht="15" hidden="false" customHeight="false" outlineLevel="0" collapsed="false">
      <c r="A1709" s="22"/>
      <c r="B1709" s="11"/>
      <c r="C1709" s="24"/>
      <c r="D1709" s="31" t="str">
        <f aca="false">IF(C1709="","",IF(LEN(UPPER(SUBSTITUTE(SUBSTITUTE(SUBSTITUTE(SUBSTITUTE(TRIM(C1709),".",""),"/",""),"-","")," ","")))&lt;14,RIGHT(REPT("0",14)&amp;UPPER(SUBSTITUTE(SUBSTITUTE(SUBSTITUTE(SUBSTITUTE(TRIM(C1709),".",""),"/",""),"-","")," ","")),14),UPPER(SUBSTITUTE(SUBSTITUTE(SUBSTITUTE(SUBSTITUTE(TRIM(C1709),".",""),"/",""),"-","")," ",""))))</f>
        <v/>
      </c>
      <c r="E1709" s="25" t="str">
        <f aca="false">IF(D1709="","",IFERROR(INDEX(Empresas!$C:$C,MATCH(D1709,Empresas!$B:$B,0)),"cadastre o CNPJ em Empresas"))</f>
        <v/>
      </c>
      <c r="F1709" s="23"/>
      <c r="G1709" s="35"/>
      <c r="H1709" s="24"/>
      <c r="I1709" s="11"/>
      <c r="J1709" s="27" t="str">
        <f aca="false">IF(A1709="","",YEAR(A1709))</f>
        <v/>
      </c>
      <c r="K1709" s="24"/>
      <c r="L1709" s="11"/>
    </row>
    <row r="1710" customFormat="false" ht="15" hidden="false" customHeight="false" outlineLevel="0" collapsed="false">
      <c r="A1710" s="22"/>
      <c r="B1710" s="11"/>
      <c r="C1710" s="24"/>
      <c r="D1710" s="31" t="str">
        <f aca="false">IF(C1710="","",IF(LEN(UPPER(SUBSTITUTE(SUBSTITUTE(SUBSTITUTE(SUBSTITUTE(TRIM(C1710),".",""),"/",""),"-","")," ","")))&lt;14,RIGHT(REPT("0",14)&amp;UPPER(SUBSTITUTE(SUBSTITUTE(SUBSTITUTE(SUBSTITUTE(TRIM(C1710),".",""),"/",""),"-","")," ","")),14),UPPER(SUBSTITUTE(SUBSTITUTE(SUBSTITUTE(SUBSTITUTE(TRIM(C1710),".",""),"/",""),"-","")," ",""))))</f>
        <v/>
      </c>
      <c r="E1710" s="25" t="str">
        <f aca="false">IF(D1710="","",IFERROR(INDEX(Empresas!$C:$C,MATCH(D1710,Empresas!$B:$B,0)),"cadastre o CNPJ em Empresas"))</f>
        <v/>
      </c>
      <c r="F1710" s="23"/>
      <c r="G1710" s="35"/>
      <c r="H1710" s="24"/>
      <c r="I1710" s="11"/>
      <c r="J1710" s="27" t="str">
        <f aca="false">IF(A1710="","",YEAR(A1710))</f>
        <v/>
      </c>
      <c r="K1710" s="24"/>
      <c r="L1710" s="11"/>
    </row>
    <row r="1711" customFormat="false" ht="15" hidden="false" customHeight="false" outlineLevel="0" collapsed="false">
      <c r="A1711" s="22"/>
      <c r="B1711" s="11"/>
      <c r="C1711" s="24"/>
      <c r="D1711" s="31" t="str">
        <f aca="false">IF(C1711="","",IF(LEN(UPPER(SUBSTITUTE(SUBSTITUTE(SUBSTITUTE(SUBSTITUTE(TRIM(C1711),".",""),"/",""),"-","")," ","")))&lt;14,RIGHT(REPT("0",14)&amp;UPPER(SUBSTITUTE(SUBSTITUTE(SUBSTITUTE(SUBSTITUTE(TRIM(C1711),".",""),"/",""),"-","")," ","")),14),UPPER(SUBSTITUTE(SUBSTITUTE(SUBSTITUTE(SUBSTITUTE(TRIM(C1711),".",""),"/",""),"-","")," ",""))))</f>
        <v/>
      </c>
      <c r="E1711" s="25" t="str">
        <f aca="false">IF(D1711="","",IFERROR(INDEX(Empresas!$C:$C,MATCH(D1711,Empresas!$B:$B,0)),"cadastre o CNPJ em Empresas"))</f>
        <v/>
      </c>
      <c r="F1711" s="23"/>
      <c r="G1711" s="35"/>
      <c r="H1711" s="24"/>
      <c r="I1711" s="11"/>
      <c r="J1711" s="27" t="str">
        <f aca="false">IF(A1711="","",YEAR(A1711))</f>
        <v/>
      </c>
      <c r="K1711" s="24"/>
      <c r="L1711" s="11"/>
    </row>
    <row r="1712" customFormat="false" ht="15" hidden="false" customHeight="false" outlineLevel="0" collapsed="false">
      <c r="A1712" s="22"/>
      <c r="B1712" s="11"/>
      <c r="C1712" s="24"/>
      <c r="D1712" s="31" t="str">
        <f aca="false">IF(C1712="","",IF(LEN(UPPER(SUBSTITUTE(SUBSTITUTE(SUBSTITUTE(SUBSTITUTE(TRIM(C1712),".",""),"/",""),"-","")," ","")))&lt;14,RIGHT(REPT("0",14)&amp;UPPER(SUBSTITUTE(SUBSTITUTE(SUBSTITUTE(SUBSTITUTE(TRIM(C1712),".",""),"/",""),"-","")," ","")),14),UPPER(SUBSTITUTE(SUBSTITUTE(SUBSTITUTE(SUBSTITUTE(TRIM(C1712),".",""),"/",""),"-","")," ",""))))</f>
        <v/>
      </c>
      <c r="E1712" s="25" t="str">
        <f aca="false">IF(D1712="","",IFERROR(INDEX(Empresas!$C:$C,MATCH(D1712,Empresas!$B:$B,0)),"cadastre o CNPJ em Empresas"))</f>
        <v/>
      </c>
      <c r="F1712" s="23"/>
      <c r="G1712" s="35"/>
      <c r="H1712" s="24"/>
      <c r="I1712" s="11"/>
      <c r="J1712" s="27" t="str">
        <f aca="false">IF(A1712="","",YEAR(A1712))</f>
        <v/>
      </c>
      <c r="K1712" s="24"/>
      <c r="L1712" s="11"/>
    </row>
    <row r="1713" customFormat="false" ht="15" hidden="false" customHeight="false" outlineLevel="0" collapsed="false">
      <c r="A1713" s="22"/>
      <c r="B1713" s="11"/>
      <c r="C1713" s="24"/>
      <c r="D1713" s="31" t="str">
        <f aca="false">IF(C1713="","",IF(LEN(UPPER(SUBSTITUTE(SUBSTITUTE(SUBSTITUTE(SUBSTITUTE(TRIM(C1713),".",""),"/",""),"-","")," ","")))&lt;14,RIGHT(REPT("0",14)&amp;UPPER(SUBSTITUTE(SUBSTITUTE(SUBSTITUTE(SUBSTITUTE(TRIM(C1713),".",""),"/",""),"-","")," ","")),14),UPPER(SUBSTITUTE(SUBSTITUTE(SUBSTITUTE(SUBSTITUTE(TRIM(C1713),".",""),"/",""),"-","")," ",""))))</f>
        <v/>
      </c>
      <c r="E1713" s="25" t="str">
        <f aca="false">IF(D1713="","",IFERROR(INDEX(Empresas!$C:$C,MATCH(D1713,Empresas!$B:$B,0)),"cadastre o CNPJ em Empresas"))</f>
        <v/>
      </c>
      <c r="F1713" s="23"/>
      <c r="G1713" s="35"/>
      <c r="H1713" s="24"/>
      <c r="I1713" s="11"/>
      <c r="J1713" s="27" t="str">
        <f aca="false">IF(A1713="","",YEAR(A1713))</f>
        <v/>
      </c>
      <c r="K1713" s="24"/>
      <c r="L1713" s="11"/>
    </row>
    <row r="1714" customFormat="false" ht="15" hidden="false" customHeight="false" outlineLevel="0" collapsed="false">
      <c r="A1714" s="22"/>
      <c r="B1714" s="11"/>
      <c r="C1714" s="24"/>
      <c r="D1714" s="31" t="str">
        <f aca="false">IF(C1714="","",IF(LEN(UPPER(SUBSTITUTE(SUBSTITUTE(SUBSTITUTE(SUBSTITUTE(TRIM(C1714),".",""),"/",""),"-","")," ","")))&lt;14,RIGHT(REPT("0",14)&amp;UPPER(SUBSTITUTE(SUBSTITUTE(SUBSTITUTE(SUBSTITUTE(TRIM(C1714),".",""),"/",""),"-","")," ","")),14),UPPER(SUBSTITUTE(SUBSTITUTE(SUBSTITUTE(SUBSTITUTE(TRIM(C1714),".",""),"/",""),"-","")," ",""))))</f>
        <v/>
      </c>
      <c r="E1714" s="25" t="str">
        <f aca="false">IF(D1714="","",IFERROR(INDEX(Empresas!$C:$C,MATCH(D1714,Empresas!$B:$B,0)),"cadastre o CNPJ em Empresas"))</f>
        <v/>
      </c>
      <c r="F1714" s="23"/>
      <c r="G1714" s="35"/>
      <c r="H1714" s="24"/>
      <c r="I1714" s="11"/>
      <c r="J1714" s="27" t="str">
        <f aca="false">IF(A1714="","",YEAR(A1714))</f>
        <v/>
      </c>
      <c r="K1714" s="24"/>
      <c r="L1714" s="11"/>
    </row>
    <row r="1715" customFormat="false" ht="15" hidden="false" customHeight="false" outlineLevel="0" collapsed="false">
      <c r="A1715" s="22"/>
      <c r="B1715" s="11"/>
      <c r="C1715" s="24"/>
      <c r="D1715" s="31" t="str">
        <f aca="false">IF(C1715="","",IF(LEN(UPPER(SUBSTITUTE(SUBSTITUTE(SUBSTITUTE(SUBSTITUTE(TRIM(C1715),".",""),"/",""),"-","")," ","")))&lt;14,RIGHT(REPT("0",14)&amp;UPPER(SUBSTITUTE(SUBSTITUTE(SUBSTITUTE(SUBSTITUTE(TRIM(C1715),".",""),"/",""),"-","")," ","")),14),UPPER(SUBSTITUTE(SUBSTITUTE(SUBSTITUTE(SUBSTITUTE(TRIM(C1715),".",""),"/",""),"-","")," ",""))))</f>
        <v/>
      </c>
      <c r="E1715" s="25" t="str">
        <f aca="false">IF(D1715="","",IFERROR(INDEX(Empresas!$C:$C,MATCH(D1715,Empresas!$B:$B,0)),"cadastre o CNPJ em Empresas"))</f>
        <v/>
      </c>
      <c r="F1715" s="23"/>
      <c r="G1715" s="35"/>
      <c r="H1715" s="24"/>
      <c r="I1715" s="11"/>
      <c r="J1715" s="27" t="str">
        <f aca="false">IF(A1715="","",YEAR(A1715))</f>
        <v/>
      </c>
      <c r="K1715" s="24"/>
      <c r="L1715" s="11"/>
    </row>
    <row r="1716" customFormat="false" ht="15" hidden="false" customHeight="false" outlineLevel="0" collapsed="false">
      <c r="A1716" s="22"/>
      <c r="B1716" s="11"/>
      <c r="C1716" s="24"/>
      <c r="D1716" s="31" t="str">
        <f aca="false">IF(C1716="","",IF(LEN(UPPER(SUBSTITUTE(SUBSTITUTE(SUBSTITUTE(SUBSTITUTE(TRIM(C1716),".",""),"/",""),"-","")," ","")))&lt;14,RIGHT(REPT("0",14)&amp;UPPER(SUBSTITUTE(SUBSTITUTE(SUBSTITUTE(SUBSTITUTE(TRIM(C1716),".",""),"/",""),"-","")," ","")),14),UPPER(SUBSTITUTE(SUBSTITUTE(SUBSTITUTE(SUBSTITUTE(TRIM(C1716),".",""),"/",""),"-","")," ",""))))</f>
        <v/>
      </c>
      <c r="E1716" s="25" t="str">
        <f aca="false">IF(D1716="","",IFERROR(INDEX(Empresas!$C:$C,MATCH(D1716,Empresas!$B:$B,0)),"cadastre o CNPJ em Empresas"))</f>
        <v/>
      </c>
      <c r="F1716" s="23"/>
      <c r="G1716" s="35"/>
      <c r="H1716" s="24"/>
      <c r="I1716" s="11"/>
      <c r="J1716" s="27" t="str">
        <f aca="false">IF(A1716="","",YEAR(A1716))</f>
        <v/>
      </c>
      <c r="K1716" s="24"/>
      <c r="L1716" s="11"/>
    </row>
    <row r="1717" customFormat="false" ht="15" hidden="false" customHeight="false" outlineLevel="0" collapsed="false">
      <c r="A1717" s="22"/>
      <c r="B1717" s="11"/>
      <c r="C1717" s="24"/>
      <c r="D1717" s="31" t="str">
        <f aca="false">IF(C1717="","",IF(LEN(UPPER(SUBSTITUTE(SUBSTITUTE(SUBSTITUTE(SUBSTITUTE(TRIM(C1717),".",""),"/",""),"-","")," ","")))&lt;14,RIGHT(REPT("0",14)&amp;UPPER(SUBSTITUTE(SUBSTITUTE(SUBSTITUTE(SUBSTITUTE(TRIM(C1717),".",""),"/",""),"-","")," ","")),14),UPPER(SUBSTITUTE(SUBSTITUTE(SUBSTITUTE(SUBSTITUTE(TRIM(C1717),".",""),"/",""),"-","")," ",""))))</f>
        <v/>
      </c>
      <c r="E1717" s="25" t="str">
        <f aca="false">IF(D1717="","",IFERROR(INDEX(Empresas!$C:$C,MATCH(D1717,Empresas!$B:$B,0)),"cadastre o CNPJ em Empresas"))</f>
        <v/>
      </c>
      <c r="F1717" s="23"/>
      <c r="G1717" s="35"/>
      <c r="H1717" s="24"/>
      <c r="I1717" s="11"/>
      <c r="J1717" s="27" t="str">
        <f aca="false">IF(A1717="","",YEAR(A1717))</f>
        <v/>
      </c>
      <c r="K1717" s="24"/>
      <c r="L1717" s="11"/>
    </row>
    <row r="1718" customFormat="false" ht="15" hidden="false" customHeight="false" outlineLevel="0" collapsed="false">
      <c r="A1718" s="22"/>
      <c r="B1718" s="11"/>
      <c r="C1718" s="24"/>
      <c r="D1718" s="31" t="str">
        <f aca="false">IF(C1718="","",IF(LEN(UPPER(SUBSTITUTE(SUBSTITUTE(SUBSTITUTE(SUBSTITUTE(TRIM(C1718),".",""),"/",""),"-","")," ","")))&lt;14,RIGHT(REPT("0",14)&amp;UPPER(SUBSTITUTE(SUBSTITUTE(SUBSTITUTE(SUBSTITUTE(TRIM(C1718),".",""),"/",""),"-","")," ","")),14),UPPER(SUBSTITUTE(SUBSTITUTE(SUBSTITUTE(SUBSTITUTE(TRIM(C1718),".",""),"/",""),"-","")," ",""))))</f>
        <v/>
      </c>
      <c r="E1718" s="25" t="str">
        <f aca="false">IF(D1718="","",IFERROR(INDEX(Empresas!$C:$C,MATCH(D1718,Empresas!$B:$B,0)),"cadastre o CNPJ em Empresas"))</f>
        <v/>
      </c>
      <c r="F1718" s="23"/>
      <c r="G1718" s="35"/>
      <c r="H1718" s="24"/>
      <c r="I1718" s="11"/>
      <c r="J1718" s="27" t="str">
        <f aca="false">IF(A1718="","",YEAR(A1718))</f>
        <v/>
      </c>
      <c r="K1718" s="24"/>
      <c r="L1718" s="11"/>
    </row>
    <row r="1719" customFormat="false" ht="15" hidden="false" customHeight="false" outlineLevel="0" collapsed="false">
      <c r="A1719" s="22"/>
      <c r="B1719" s="11"/>
      <c r="C1719" s="24"/>
      <c r="D1719" s="31" t="str">
        <f aca="false">IF(C1719="","",IF(LEN(UPPER(SUBSTITUTE(SUBSTITUTE(SUBSTITUTE(SUBSTITUTE(TRIM(C1719),".",""),"/",""),"-","")," ","")))&lt;14,RIGHT(REPT("0",14)&amp;UPPER(SUBSTITUTE(SUBSTITUTE(SUBSTITUTE(SUBSTITUTE(TRIM(C1719),".",""),"/",""),"-","")," ","")),14),UPPER(SUBSTITUTE(SUBSTITUTE(SUBSTITUTE(SUBSTITUTE(TRIM(C1719),".",""),"/",""),"-","")," ",""))))</f>
        <v/>
      </c>
      <c r="E1719" s="25" t="str">
        <f aca="false">IF(D1719="","",IFERROR(INDEX(Empresas!$C:$C,MATCH(D1719,Empresas!$B:$B,0)),"cadastre o CNPJ em Empresas"))</f>
        <v/>
      </c>
      <c r="F1719" s="23"/>
      <c r="G1719" s="35"/>
      <c r="H1719" s="24"/>
      <c r="I1719" s="11"/>
      <c r="J1719" s="27" t="str">
        <f aca="false">IF(A1719="","",YEAR(A1719))</f>
        <v/>
      </c>
      <c r="K1719" s="24"/>
      <c r="L1719" s="11"/>
    </row>
    <row r="1720" customFormat="false" ht="15" hidden="false" customHeight="false" outlineLevel="0" collapsed="false">
      <c r="A1720" s="22"/>
      <c r="B1720" s="11"/>
      <c r="C1720" s="24"/>
      <c r="D1720" s="31" t="str">
        <f aca="false">IF(C1720="","",IF(LEN(UPPER(SUBSTITUTE(SUBSTITUTE(SUBSTITUTE(SUBSTITUTE(TRIM(C1720),".",""),"/",""),"-","")," ","")))&lt;14,RIGHT(REPT("0",14)&amp;UPPER(SUBSTITUTE(SUBSTITUTE(SUBSTITUTE(SUBSTITUTE(TRIM(C1720),".",""),"/",""),"-","")," ","")),14),UPPER(SUBSTITUTE(SUBSTITUTE(SUBSTITUTE(SUBSTITUTE(TRIM(C1720),".",""),"/",""),"-","")," ",""))))</f>
        <v/>
      </c>
      <c r="E1720" s="25" t="str">
        <f aca="false">IF(D1720="","",IFERROR(INDEX(Empresas!$C:$C,MATCH(D1720,Empresas!$B:$B,0)),"cadastre o CNPJ em Empresas"))</f>
        <v/>
      </c>
      <c r="F1720" s="23"/>
      <c r="G1720" s="35"/>
      <c r="H1720" s="24"/>
      <c r="I1720" s="11"/>
      <c r="J1720" s="27" t="str">
        <f aca="false">IF(A1720="","",YEAR(A1720))</f>
        <v/>
      </c>
      <c r="K1720" s="24"/>
      <c r="L1720" s="11"/>
    </row>
    <row r="1721" customFormat="false" ht="15" hidden="false" customHeight="false" outlineLevel="0" collapsed="false">
      <c r="A1721" s="22"/>
      <c r="B1721" s="11"/>
      <c r="C1721" s="24"/>
      <c r="D1721" s="31" t="str">
        <f aca="false">IF(C1721="","",IF(LEN(UPPER(SUBSTITUTE(SUBSTITUTE(SUBSTITUTE(SUBSTITUTE(TRIM(C1721),".",""),"/",""),"-","")," ","")))&lt;14,RIGHT(REPT("0",14)&amp;UPPER(SUBSTITUTE(SUBSTITUTE(SUBSTITUTE(SUBSTITUTE(TRIM(C1721),".",""),"/",""),"-","")," ","")),14),UPPER(SUBSTITUTE(SUBSTITUTE(SUBSTITUTE(SUBSTITUTE(TRIM(C1721),".",""),"/",""),"-","")," ",""))))</f>
        <v/>
      </c>
      <c r="E1721" s="25" t="str">
        <f aca="false">IF(D1721="","",IFERROR(INDEX(Empresas!$C:$C,MATCH(D1721,Empresas!$B:$B,0)),"cadastre o CNPJ em Empresas"))</f>
        <v/>
      </c>
      <c r="F1721" s="23"/>
      <c r="G1721" s="35"/>
      <c r="H1721" s="24"/>
      <c r="I1721" s="11"/>
      <c r="J1721" s="27" t="str">
        <f aca="false">IF(A1721="","",YEAR(A1721))</f>
        <v/>
      </c>
      <c r="K1721" s="24"/>
      <c r="L1721" s="11"/>
    </row>
    <row r="1722" customFormat="false" ht="15" hidden="false" customHeight="false" outlineLevel="0" collapsed="false">
      <c r="A1722" s="22"/>
      <c r="B1722" s="11"/>
      <c r="C1722" s="24"/>
      <c r="D1722" s="31" t="str">
        <f aca="false">IF(C1722="","",IF(LEN(UPPER(SUBSTITUTE(SUBSTITUTE(SUBSTITUTE(SUBSTITUTE(TRIM(C1722),".",""),"/",""),"-","")," ","")))&lt;14,RIGHT(REPT("0",14)&amp;UPPER(SUBSTITUTE(SUBSTITUTE(SUBSTITUTE(SUBSTITUTE(TRIM(C1722),".",""),"/",""),"-","")," ","")),14),UPPER(SUBSTITUTE(SUBSTITUTE(SUBSTITUTE(SUBSTITUTE(TRIM(C1722),".",""),"/",""),"-","")," ",""))))</f>
        <v/>
      </c>
      <c r="E1722" s="25" t="str">
        <f aca="false">IF(D1722="","",IFERROR(INDEX(Empresas!$C:$C,MATCH(D1722,Empresas!$B:$B,0)),"cadastre o CNPJ em Empresas"))</f>
        <v/>
      </c>
      <c r="F1722" s="23"/>
      <c r="G1722" s="35"/>
      <c r="H1722" s="24"/>
      <c r="I1722" s="11"/>
      <c r="J1722" s="27" t="str">
        <f aca="false">IF(A1722="","",YEAR(A1722))</f>
        <v/>
      </c>
      <c r="K1722" s="24"/>
      <c r="L1722" s="11"/>
    </row>
    <row r="1723" customFormat="false" ht="15" hidden="false" customHeight="false" outlineLevel="0" collapsed="false">
      <c r="A1723" s="22"/>
      <c r="B1723" s="11"/>
      <c r="C1723" s="24"/>
      <c r="D1723" s="31" t="str">
        <f aca="false">IF(C1723="","",IF(LEN(UPPER(SUBSTITUTE(SUBSTITUTE(SUBSTITUTE(SUBSTITUTE(TRIM(C1723),".",""),"/",""),"-","")," ","")))&lt;14,RIGHT(REPT("0",14)&amp;UPPER(SUBSTITUTE(SUBSTITUTE(SUBSTITUTE(SUBSTITUTE(TRIM(C1723),".",""),"/",""),"-","")," ","")),14),UPPER(SUBSTITUTE(SUBSTITUTE(SUBSTITUTE(SUBSTITUTE(TRIM(C1723),".",""),"/",""),"-","")," ",""))))</f>
        <v/>
      </c>
      <c r="E1723" s="25" t="str">
        <f aca="false">IF(D1723="","",IFERROR(INDEX(Empresas!$C:$C,MATCH(D1723,Empresas!$B:$B,0)),"cadastre o CNPJ em Empresas"))</f>
        <v/>
      </c>
      <c r="F1723" s="23"/>
      <c r="G1723" s="35"/>
      <c r="H1723" s="24"/>
      <c r="I1723" s="11"/>
      <c r="J1723" s="27" t="str">
        <f aca="false">IF(A1723="","",YEAR(A1723))</f>
        <v/>
      </c>
      <c r="K1723" s="24"/>
      <c r="L1723" s="11"/>
    </row>
    <row r="1724" customFormat="false" ht="15" hidden="false" customHeight="false" outlineLevel="0" collapsed="false">
      <c r="A1724" s="22"/>
      <c r="B1724" s="11"/>
      <c r="C1724" s="24"/>
      <c r="D1724" s="31" t="str">
        <f aca="false">IF(C1724="","",IF(LEN(UPPER(SUBSTITUTE(SUBSTITUTE(SUBSTITUTE(SUBSTITUTE(TRIM(C1724),".",""),"/",""),"-","")," ","")))&lt;14,RIGHT(REPT("0",14)&amp;UPPER(SUBSTITUTE(SUBSTITUTE(SUBSTITUTE(SUBSTITUTE(TRIM(C1724),".",""),"/",""),"-","")," ","")),14),UPPER(SUBSTITUTE(SUBSTITUTE(SUBSTITUTE(SUBSTITUTE(TRIM(C1724),".",""),"/",""),"-","")," ",""))))</f>
        <v/>
      </c>
      <c r="E1724" s="25" t="str">
        <f aca="false">IF(D1724="","",IFERROR(INDEX(Empresas!$C:$C,MATCH(D1724,Empresas!$B:$B,0)),"cadastre o CNPJ em Empresas"))</f>
        <v/>
      </c>
      <c r="F1724" s="23"/>
      <c r="G1724" s="35"/>
      <c r="H1724" s="24"/>
      <c r="I1724" s="11"/>
      <c r="J1724" s="27" t="str">
        <f aca="false">IF(A1724="","",YEAR(A1724))</f>
        <v/>
      </c>
      <c r="K1724" s="24"/>
      <c r="L1724" s="11"/>
    </row>
    <row r="1725" customFormat="false" ht="15" hidden="false" customHeight="false" outlineLevel="0" collapsed="false">
      <c r="A1725" s="22"/>
      <c r="B1725" s="11"/>
      <c r="C1725" s="24"/>
      <c r="D1725" s="31" t="str">
        <f aca="false">IF(C1725="","",IF(LEN(UPPER(SUBSTITUTE(SUBSTITUTE(SUBSTITUTE(SUBSTITUTE(TRIM(C1725),".",""),"/",""),"-","")," ","")))&lt;14,RIGHT(REPT("0",14)&amp;UPPER(SUBSTITUTE(SUBSTITUTE(SUBSTITUTE(SUBSTITUTE(TRIM(C1725),".",""),"/",""),"-","")," ","")),14),UPPER(SUBSTITUTE(SUBSTITUTE(SUBSTITUTE(SUBSTITUTE(TRIM(C1725),".",""),"/",""),"-","")," ",""))))</f>
        <v/>
      </c>
      <c r="E1725" s="25" t="str">
        <f aca="false">IF(D1725="","",IFERROR(INDEX(Empresas!$C:$C,MATCH(D1725,Empresas!$B:$B,0)),"cadastre o CNPJ em Empresas"))</f>
        <v/>
      </c>
      <c r="F1725" s="23"/>
      <c r="G1725" s="35"/>
      <c r="H1725" s="24"/>
      <c r="I1725" s="11"/>
      <c r="J1725" s="27" t="str">
        <f aca="false">IF(A1725="","",YEAR(A1725))</f>
        <v/>
      </c>
      <c r="K1725" s="24"/>
      <c r="L1725" s="11"/>
    </row>
    <row r="1726" customFormat="false" ht="15" hidden="false" customHeight="false" outlineLevel="0" collapsed="false">
      <c r="A1726" s="22"/>
      <c r="B1726" s="11"/>
      <c r="C1726" s="24"/>
      <c r="D1726" s="31" t="str">
        <f aca="false">IF(C1726="","",IF(LEN(UPPER(SUBSTITUTE(SUBSTITUTE(SUBSTITUTE(SUBSTITUTE(TRIM(C1726),".",""),"/",""),"-","")," ","")))&lt;14,RIGHT(REPT("0",14)&amp;UPPER(SUBSTITUTE(SUBSTITUTE(SUBSTITUTE(SUBSTITUTE(TRIM(C1726),".",""),"/",""),"-","")," ","")),14),UPPER(SUBSTITUTE(SUBSTITUTE(SUBSTITUTE(SUBSTITUTE(TRIM(C1726),".",""),"/",""),"-","")," ",""))))</f>
        <v/>
      </c>
      <c r="E1726" s="25" t="str">
        <f aca="false">IF(D1726="","",IFERROR(INDEX(Empresas!$C:$C,MATCH(D1726,Empresas!$B:$B,0)),"cadastre o CNPJ em Empresas"))</f>
        <v/>
      </c>
      <c r="F1726" s="23"/>
      <c r="G1726" s="35"/>
      <c r="H1726" s="24"/>
      <c r="I1726" s="11"/>
      <c r="J1726" s="27" t="str">
        <f aca="false">IF(A1726="","",YEAR(A1726))</f>
        <v/>
      </c>
      <c r="K1726" s="24"/>
      <c r="L1726" s="11"/>
    </row>
    <row r="1727" customFormat="false" ht="15" hidden="false" customHeight="false" outlineLevel="0" collapsed="false">
      <c r="A1727" s="22"/>
      <c r="B1727" s="11"/>
      <c r="C1727" s="24"/>
      <c r="D1727" s="31" t="str">
        <f aca="false">IF(C1727="","",IF(LEN(UPPER(SUBSTITUTE(SUBSTITUTE(SUBSTITUTE(SUBSTITUTE(TRIM(C1727),".",""),"/",""),"-","")," ","")))&lt;14,RIGHT(REPT("0",14)&amp;UPPER(SUBSTITUTE(SUBSTITUTE(SUBSTITUTE(SUBSTITUTE(TRIM(C1727),".",""),"/",""),"-","")," ","")),14),UPPER(SUBSTITUTE(SUBSTITUTE(SUBSTITUTE(SUBSTITUTE(TRIM(C1727),".",""),"/",""),"-","")," ",""))))</f>
        <v/>
      </c>
      <c r="E1727" s="25" t="str">
        <f aca="false">IF(D1727="","",IFERROR(INDEX(Empresas!$C:$C,MATCH(D1727,Empresas!$B:$B,0)),"cadastre o CNPJ em Empresas"))</f>
        <v/>
      </c>
      <c r="F1727" s="23"/>
      <c r="G1727" s="35"/>
      <c r="H1727" s="24"/>
      <c r="I1727" s="11"/>
      <c r="J1727" s="27" t="str">
        <f aca="false">IF(A1727="","",YEAR(A1727))</f>
        <v/>
      </c>
      <c r="K1727" s="24"/>
      <c r="L1727" s="11"/>
    </row>
    <row r="1728" customFormat="false" ht="15" hidden="false" customHeight="false" outlineLevel="0" collapsed="false">
      <c r="A1728" s="22"/>
      <c r="B1728" s="11"/>
      <c r="C1728" s="24"/>
      <c r="D1728" s="31" t="str">
        <f aca="false">IF(C1728="","",IF(LEN(UPPER(SUBSTITUTE(SUBSTITUTE(SUBSTITUTE(SUBSTITUTE(TRIM(C1728),".",""),"/",""),"-","")," ","")))&lt;14,RIGHT(REPT("0",14)&amp;UPPER(SUBSTITUTE(SUBSTITUTE(SUBSTITUTE(SUBSTITUTE(TRIM(C1728),".",""),"/",""),"-","")," ","")),14),UPPER(SUBSTITUTE(SUBSTITUTE(SUBSTITUTE(SUBSTITUTE(TRIM(C1728),".",""),"/",""),"-","")," ",""))))</f>
        <v/>
      </c>
      <c r="E1728" s="25" t="str">
        <f aca="false">IF(D1728="","",IFERROR(INDEX(Empresas!$C:$C,MATCH(D1728,Empresas!$B:$B,0)),"cadastre o CNPJ em Empresas"))</f>
        <v/>
      </c>
      <c r="F1728" s="23"/>
      <c r="G1728" s="35"/>
      <c r="H1728" s="24"/>
      <c r="I1728" s="11"/>
      <c r="J1728" s="27" t="str">
        <f aca="false">IF(A1728="","",YEAR(A1728))</f>
        <v/>
      </c>
      <c r="K1728" s="24"/>
      <c r="L1728" s="11"/>
    </row>
    <row r="1729" customFormat="false" ht="15" hidden="false" customHeight="false" outlineLevel="0" collapsed="false">
      <c r="A1729" s="22"/>
      <c r="B1729" s="11"/>
      <c r="C1729" s="24"/>
      <c r="D1729" s="31" t="str">
        <f aca="false">IF(C1729="","",IF(LEN(UPPER(SUBSTITUTE(SUBSTITUTE(SUBSTITUTE(SUBSTITUTE(TRIM(C1729),".",""),"/",""),"-","")," ","")))&lt;14,RIGHT(REPT("0",14)&amp;UPPER(SUBSTITUTE(SUBSTITUTE(SUBSTITUTE(SUBSTITUTE(TRIM(C1729),".",""),"/",""),"-","")," ","")),14),UPPER(SUBSTITUTE(SUBSTITUTE(SUBSTITUTE(SUBSTITUTE(TRIM(C1729),".",""),"/",""),"-","")," ",""))))</f>
        <v/>
      </c>
      <c r="E1729" s="25" t="str">
        <f aca="false">IF(D1729="","",IFERROR(INDEX(Empresas!$C:$C,MATCH(D1729,Empresas!$B:$B,0)),"cadastre o CNPJ em Empresas"))</f>
        <v/>
      </c>
      <c r="F1729" s="23"/>
      <c r="G1729" s="35"/>
      <c r="H1729" s="24"/>
      <c r="I1729" s="11"/>
      <c r="J1729" s="27" t="str">
        <f aca="false">IF(A1729="","",YEAR(A1729))</f>
        <v/>
      </c>
      <c r="K1729" s="24"/>
      <c r="L1729" s="11"/>
    </row>
    <row r="1730" customFormat="false" ht="15" hidden="false" customHeight="false" outlineLevel="0" collapsed="false">
      <c r="A1730" s="22"/>
      <c r="B1730" s="11"/>
      <c r="C1730" s="24"/>
      <c r="D1730" s="31" t="str">
        <f aca="false">IF(C1730="","",IF(LEN(UPPER(SUBSTITUTE(SUBSTITUTE(SUBSTITUTE(SUBSTITUTE(TRIM(C1730),".",""),"/",""),"-","")," ","")))&lt;14,RIGHT(REPT("0",14)&amp;UPPER(SUBSTITUTE(SUBSTITUTE(SUBSTITUTE(SUBSTITUTE(TRIM(C1730),".",""),"/",""),"-","")," ","")),14),UPPER(SUBSTITUTE(SUBSTITUTE(SUBSTITUTE(SUBSTITUTE(TRIM(C1730),".",""),"/",""),"-","")," ",""))))</f>
        <v/>
      </c>
      <c r="E1730" s="25" t="str">
        <f aca="false">IF(D1730="","",IFERROR(INDEX(Empresas!$C:$C,MATCH(D1730,Empresas!$B:$B,0)),"cadastre o CNPJ em Empresas"))</f>
        <v/>
      </c>
      <c r="F1730" s="23"/>
      <c r="G1730" s="35"/>
      <c r="H1730" s="24"/>
      <c r="I1730" s="11"/>
      <c r="J1730" s="27" t="str">
        <f aca="false">IF(A1730="","",YEAR(A1730))</f>
        <v/>
      </c>
      <c r="K1730" s="24"/>
      <c r="L1730" s="11"/>
    </row>
    <row r="1731" customFormat="false" ht="15" hidden="false" customHeight="false" outlineLevel="0" collapsed="false">
      <c r="A1731" s="22"/>
      <c r="B1731" s="11"/>
      <c r="C1731" s="24"/>
      <c r="D1731" s="31" t="str">
        <f aca="false">IF(C1731="","",IF(LEN(UPPER(SUBSTITUTE(SUBSTITUTE(SUBSTITUTE(SUBSTITUTE(TRIM(C1731),".",""),"/",""),"-","")," ","")))&lt;14,RIGHT(REPT("0",14)&amp;UPPER(SUBSTITUTE(SUBSTITUTE(SUBSTITUTE(SUBSTITUTE(TRIM(C1731),".",""),"/",""),"-","")," ","")),14),UPPER(SUBSTITUTE(SUBSTITUTE(SUBSTITUTE(SUBSTITUTE(TRIM(C1731),".",""),"/",""),"-","")," ",""))))</f>
        <v/>
      </c>
      <c r="E1731" s="25" t="str">
        <f aca="false">IF(D1731="","",IFERROR(INDEX(Empresas!$C:$C,MATCH(D1731,Empresas!$B:$B,0)),"cadastre o CNPJ em Empresas"))</f>
        <v/>
      </c>
      <c r="F1731" s="23"/>
      <c r="G1731" s="35"/>
      <c r="H1731" s="24"/>
      <c r="I1731" s="11"/>
      <c r="J1731" s="27" t="str">
        <f aca="false">IF(A1731="","",YEAR(A1731))</f>
        <v/>
      </c>
      <c r="K1731" s="24"/>
      <c r="L1731" s="11"/>
    </row>
    <row r="1732" customFormat="false" ht="15" hidden="false" customHeight="false" outlineLevel="0" collapsed="false">
      <c r="A1732" s="22"/>
      <c r="B1732" s="11"/>
      <c r="C1732" s="24"/>
      <c r="D1732" s="31" t="str">
        <f aca="false">IF(C1732="","",IF(LEN(UPPER(SUBSTITUTE(SUBSTITUTE(SUBSTITUTE(SUBSTITUTE(TRIM(C1732),".",""),"/",""),"-","")," ","")))&lt;14,RIGHT(REPT("0",14)&amp;UPPER(SUBSTITUTE(SUBSTITUTE(SUBSTITUTE(SUBSTITUTE(TRIM(C1732),".",""),"/",""),"-","")," ","")),14),UPPER(SUBSTITUTE(SUBSTITUTE(SUBSTITUTE(SUBSTITUTE(TRIM(C1732),".",""),"/",""),"-","")," ",""))))</f>
        <v/>
      </c>
      <c r="E1732" s="25" t="str">
        <f aca="false">IF(D1732="","",IFERROR(INDEX(Empresas!$C:$C,MATCH(D1732,Empresas!$B:$B,0)),"cadastre o CNPJ em Empresas"))</f>
        <v/>
      </c>
      <c r="F1732" s="23"/>
      <c r="G1732" s="35"/>
      <c r="H1732" s="24"/>
      <c r="I1732" s="11"/>
      <c r="J1732" s="27" t="str">
        <f aca="false">IF(A1732="","",YEAR(A1732))</f>
        <v/>
      </c>
      <c r="K1732" s="24"/>
      <c r="L1732" s="11"/>
    </row>
    <row r="1733" customFormat="false" ht="15" hidden="false" customHeight="false" outlineLevel="0" collapsed="false">
      <c r="A1733" s="22"/>
      <c r="B1733" s="11"/>
      <c r="C1733" s="24"/>
      <c r="D1733" s="31" t="str">
        <f aca="false">IF(C1733="","",IF(LEN(UPPER(SUBSTITUTE(SUBSTITUTE(SUBSTITUTE(SUBSTITUTE(TRIM(C1733),".",""),"/",""),"-","")," ","")))&lt;14,RIGHT(REPT("0",14)&amp;UPPER(SUBSTITUTE(SUBSTITUTE(SUBSTITUTE(SUBSTITUTE(TRIM(C1733),".",""),"/",""),"-","")," ","")),14),UPPER(SUBSTITUTE(SUBSTITUTE(SUBSTITUTE(SUBSTITUTE(TRIM(C1733),".",""),"/",""),"-","")," ",""))))</f>
        <v/>
      </c>
      <c r="E1733" s="25" t="str">
        <f aca="false">IF(D1733="","",IFERROR(INDEX(Empresas!$C:$C,MATCH(D1733,Empresas!$B:$B,0)),"cadastre o CNPJ em Empresas"))</f>
        <v/>
      </c>
      <c r="F1733" s="23"/>
      <c r="G1733" s="35"/>
      <c r="H1733" s="24"/>
      <c r="I1733" s="11"/>
      <c r="J1733" s="27" t="str">
        <f aca="false">IF(A1733="","",YEAR(A1733))</f>
        <v/>
      </c>
      <c r="K1733" s="24"/>
      <c r="L1733" s="11"/>
    </row>
    <row r="1734" customFormat="false" ht="15" hidden="false" customHeight="false" outlineLevel="0" collapsed="false">
      <c r="A1734" s="22"/>
      <c r="B1734" s="11"/>
      <c r="C1734" s="24"/>
      <c r="D1734" s="31" t="str">
        <f aca="false">IF(C1734="","",IF(LEN(UPPER(SUBSTITUTE(SUBSTITUTE(SUBSTITUTE(SUBSTITUTE(TRIM(C1734),".",""),"/",""),"-","")," ","")))&lt;14,RIGHT(REPT("0",14)&amp;UPPER(SUBSTITUTE(SUBSTITUTE(SUBSTITUTE(SUBSTITUTE(TRIM(C1734),".",""),"/",""),"-","")," ","")),14),UPPER(SUBSTITUTE(SUBSTITUTE(SUBSTITUTE(SUBSTITUTE(TRIM(C1734),".",""),"/",""),"-","")," ",""))))</f>
        <v/>
      </c>
      <c r="E1734" s="25" t="str">
        <f aca="false">IF(D1734="","",IFERROR(INDEX(Empresas!$C:$C,MATCH(D1734,Empresas!$B:$B,0)),"cadastre o CNPJ em Empresas"))</f>
        <v/>
      </c>
      <c r="F1734" s="23"/>
      <c r="G1734" s="35"/>
      <c r="H1734" s="24"/>
      <c r="I1734" s="11"/>
      <c r="J1734" s="27" t="str">
        <f aca="false">IF(A1734="","",YEAR(A1734))</f>
        <v/>
      </c>
      <c r="K1734" s="24"/>
      <c r="L1734" s="11"/>
    </row>
    <row r="1735" customFormat="false" ht="15" hidden="false" customHeight="false" outlineLevel="0" collapsed="false">
      <c r="A1735" s="22"/>
      <c r="B1735" s="11"/>
      <c r="C1735" s="24"/>
      <c r="D1735" s="31" t="str">
        <f aca="false">IF(C1735="","",IF(LEN(UPPER(SUBSTITUTE(SUBSTITUTE(SUBSTITUTE(SUBSTITUTE(TRIM(C1735),".",""),"/",""),"-","")," ","")))&lt;14,RIGHT(REPT("0",14)&amp;UPPER(SUBSTITUTE(SUBSTITUTE(SUBSTITUTE(SUBSTITUTE(TRIM(C1735),".",""),"/",""),"-","")," ","")),14),UPPER(SUBSTITUTE(SUBSTITUTE(SUBSTITUTE(SUBSTITUTE(TRIM(C1735),".",""),"/",""),"-","")," ",""))))</f>
        <v/>
      </c>
      <c r="E1735" s="25" t="str">
        <f aca="false">IF(D1735="","",IFERROR(INDEX(Empresas!$C:$C,MATCH(D1735,Empresas!$B:$B,0)),"cadastre o CNPJ em Empresas"))</f>
        <v/>
      </c>
      <c r="F1735" s="23"/>
      <c r="G1735" s="35"/>
      <c r="H1735" s="24"/>
      <c r="I1735" s="11"/>
      <c r="J1735" s="27" t="str">
        <f aca="false">IF(A1735="","",YEAR(A1735))</f>
        <v/>
      </c>
      <c r="K1735" s="24"/>
      <c r="L1735" s="11"/>
    </row>
    <row r="1736" customFormat="false" ht="15" hidden="false" customHeight="false" outlineLevel="0" collapsed="false">
      <c r="A1736" s="22"/>
      <c r="B1736" s="11"/>
      <c r="C1736" s="24"/>
      <c r="D1736" s="31" t="str">
        <f aca="false">IF(C1736="","",IF(LEN(UPPER(SUBSTITUTE(SUBSTITUTE(SUBSTITUTE(SUBSTITUTE(TRIM(C1736),".",""),"/",""),"-","")," ","")))&lt;14,RIGHT(REPT("0",14)&amp;UPPER(SUBSTITUTE(SUBSTITUTE(SUBSTITUTE(SUBSTITUTE(TRIM(C1736),".",""),"/",""),"-","")," ","")),14),UPPER(SUBSTITUTE(SUBSTITUTE(SUBSTITUTE(SUBSTITUTE(TRIM(C1736),".",""),"/",""),"-","")," ",""))))</f>
        <v/>
      </c>
      <c r="E1736" s="25" t="str">
        <f aca="false">IF(D1736="","",IFERROR(INDEX(Empresas!$C:$C,MATCH(D1736,Empresas!$B:$B,0)),"cadastre o CNPJ em Empresas"))</f>
        <v/>
      </c>
      <c r="F1736" s="23"/>
      <c r="G1736" s="35"/>
      <c r="H1736" s="24"/>
      <c r="I1736" s="11"/>
      <c r="J1736" s="27" t="str">
        <f aca="false">IF(A1736="","",YEAR(A1736))</f>
        <v/>
      </c>
      <c r="K1736" s="24"/>
      <c r="L1736" s="11"/>
    </row>
    <row r="1737" customFormat="false" ht="15" hidden="false" customHeight="false" outlineLevel="0" collapsed="false">
      <c r="A1737" s="22"/>
      <c r="B1737" s="11"/>
      <c r="C1737" s="24"/>
      <c r="D1737" s="31" t="str">
        <f aca="false">IF(C1737="","",IF(LEN(UPPER(SUBSTITUTE(SUBSTITUTE(SUBSTITUTE(SUBSTITUTE(TRIM(C1737),".",""),"/",""),"-","")," ","")))&lt;14,RIGHT(REPT("0",14)&amp;UPPER(SUBSTITUTE(SUBSTITUTE(SUBSTITUTE(SUBSTITUTE(TRIM(C1737),".",""),"/",""),"-","")," ","")),14),UPPER(SUBSTITUTE(SUBSTITUTE(SUBSTITUTE(SUBSTITUTE(TRIM(C1737),".",""),"/",""),"-","")," ",""))))</f>
        <v/>
      </c>
      <c r="E1737" s="25" t="str">
        <f aca="false">IF(D1737="","",IFERROR(INDEX(Empresas!$C:$C,MATCH(D1737,Empresas!$B:$B,0)),"cadastre o CNPJ em Empresas"))</f>
        <v/>
      </c>
      <c r="F1737" s="23"/>
      <c r="G1737" s="35"/>
      <c r="H1737" s="24"/>
      <c r="I1737" s="11"/>
      <c r="J1737" s="27" t="str">
        <f aca="false">IF(A1737="","",YEAR(A1737))</f>
        <v/>
      </c>
      <c r="K1737" s="24"/>
      <c r="L1737" s="11"/>
    </row>
    <row r="1738" customFormat="false" ht="15" hidden="false" customHeight="false" outlineLevel="0" collapsed="false">
      <c r="A1738" s="22"/>
      <c r="B1738" s="11"/>
      <c r="C1738" s="24"/>
      <c r="D1738" s="31" t="str">
        <f aca="false">IF(C1738="","",IF(LEN(UPPER(SUBSTITUTE(SUBSTITUTE(SUBSTITUTE(SUBSTITUTE(TRIM(C1738),".",""),"/",""),"-","")," ","")))&lt;14,RIGHT(REPT("0",14)&amp;UPPER(SUBSTITUTE(SUBSTITUTE(SUBSTITUTE(SUBSTITUTE(TRIM(C1738),".",""),"/",""),"-","")," ","")),14),UPPER(SUBSTITUTE(SUBSTITUTE(SUBSTITUTE(SUBSTITUTE(TRIM(C1738),".",""),"/",""),"-","")," ",""))))</f>
        <v/>
      </c>
      <c r="E1738" s="25" t="str">
        <f aca="false">IF(D1738="","",IFERROR(INDEX(Empresas!$C:$C,MATCH(D1738,Empresas!$B:$B,0)),"cadastre o CNPJ em Empresas"))</f>
        <v/>
      </c>
      <c r="F1738" s="23"/>
      <c r="G1738" s="35"/>
      <c r="H1738" s="24"/>
      <c r="I1738" s="11"/>
      <c r="J1738" s="27" t="str">
        <f aca="false">IF(A1738="","",YEAR(A1738))</f>
        <v/>
      </c>
      <c r="K1738" s="24"/>
      <c r="L1738" s="11"/>
    </row>
    <row r="1739" customFormat="false" ht="15" hidden="false" customHeight="false" outlineLevel="0" collapsed="false">
      <c r="A1739" s="22"/>
      <c r="B1739" s="11"/>
      <c r="C1739" s="24"/>
      <c r="D1739" s="31" t="str">
        <f aca="false">IF(C1739="","",IF(LEN(UPPER(SUBSTITUTE(SUBSTITUTE(SUBSTITUTE(SUBSTITUTE(TRIM(C1739),".",""),"/",""),"-","")," ","")))&lt;14,RIGHT(REPT("0",14)&amp;UPPER(SUBSTITUTE(SUBSTITUTE(SUBSTITUTE(SUBSTITUTE(TRIM(C1739),".",""),"/",""),"-","")," ","")),14),UPPER(SUBSTITUTE(SUBSTITUTE(SUBSTITUTE(SUBSTITUTE(TRIM(C1739),".",""),"/",""),"-","")," ",""))))</f>
        <v/>
      </c>
      <c r="E1739" s="25" t="str">
        <f aca="false">IF(D1739="","",IFERROR(INDEX(Empresas!$C:$C,MATCH(D1739,Empresas!$B:$B,0)),"cadastre o CNPJ em Empresas"))</f>
        <v/>
      </c>
      <c r="F1739" s="23"/>
      <c r="G1739" s="35"/>
      <c r="H1739" s="24"/>
      <c r="I1739" s="11"/>
      <c r="J1739" s="27" t="str">
        <f aca="false">IF(A1739="","",YEAR(A1739))</f>
        <v/>
      </c>
      <c r="K1739" s="24"/>
      <c r="L1739" s="11"/>
    </row>
    <row r="1740" customFormat="false" ht="15" hidden="false" customHeight="false" outlineLevel="0" collapsed="false">
      <c r="A1740" s="22"/>
      <c r="B1740" s="11"/>
      <c r="C1740" s="24"/>
      <c r="D1740" s="31" t="str">
        <f aca="false">IF(C1740="","",IF(LEN(UPPER(SUBSTITUTE(SUBSTITUTE(SUBSTITUTE(SUBSTITUTE(TRIM(C1740),".",""),"/",""),"-","")," ","")))&lt;14,RIGHT(REPT("0",14)&amp;UPPER(SUBSTITUTE(SUBSTITUTE(SUBSTITUTE(SUBSTITUTE(TRIM(C1740),".",""),"/",""),"-","")," ","")),14),UPPER(SUBSTITUTE(SUBSTITUTE(SUBSTITUTE(SUBSTITUTE(TRIM(C1740),".",""),"/",""),"-","")," ",""))))</f>
        <v/>
      </c>
      <c r="E1740" s="25" t="str">
        <f aca="false">IF(D1740="","",IFERROR(INDEX(Empresas!$C:$C,MATCH(D1740,Empresas!$B:$B,0)),"cadastre o CNPJ em Empresas"))</f>
        <v/>
      </c>
      <c r="F1740" s="23"/>
      <c r="G1740" s="35"/>
      <c r="H1740" s="24"/>
      <c r="I1740" s="11"/>
      <c r="J1740" s="27" t="str">
        <f aca="false">IF(A1740="","",YEAR(A1740))</f>
        <v/>
      </c>
      <c r="K1740" s="24"/>
      <c r="L1740" s="11"/>
    </row>
    <row r="1741" customFormat="false" ht="15" hidden="false" customHeight="false" outlineLevel="0" collapsed="false">
      <c r="A1741" s="22"/>
      <c r="B1741" s="11"/>
      <c r="C1741" s="24"/>
      <c r="D1741" s="31" t="str">
        <f aca="false">IF(C1741="","",IF(LEN(UPPER(SUBSTITUTE(SUBSTITUTE(SUBSTITUTE(SUBSTITUTE(TRIM(C1741),".",""),"/",""),"-","")," ","")))&lt;14,RIGHT(REPT("0",14)&amp;UPPER(SUBSTITUTE(SUBSTITUTE(SUBSTITUTE(SUBSTITUTE(TRIM(C1741),".",""),"/",""),"-","")," ","")),14),UPPER(SUBSTITUTE(SUBSTITUTE(SUBSTITUTE(SUBSTITUTE(TRIM(C1741),".",""),"/",""),"-","")," ",""))))</f>
        <v/>
      </c>
      <c r="E1741" s="25" t="str">
        <f aca="false">IF(D1741="","",IFERROR(INDEX(Empresas!$C:$C,MATCH(D1741,Empresas!$B:$B,0)),"cadastre o CNPJ em Empresas"))</f>
        <v/>
      </c>
      <c r="F1741" s="23"/>
      <c r="G1741" s="35"/>
      <c r="H1741" s="24"/>
      <c r="I1741" s="11"/>
      <c r="J1741" s="27" t="str">
        <f aca="false">IF(A1741="","",YEAR(A1741))</f>
        <v/>
      </c>
      <c r="K1741" s="24"/>
      <c r="L1741" s="11"/>
    </row>
    <row r="1742" customFormat="false" ht="15" hidden="false" customHeight="false" outlineLevel="0" collapsed="false">
      <c r="A1742" s="22"/>
      <c r="B1742" s="11"/>
      <c r="C1742" s="24"/>
      <c r="D1742" s="31" t="str">
        <f aca="false">IF(C1742="","",IF(LEN(UPPER(SUBSTITUTE(SUBSTITUTE(SUBSTITUTE(SUBSTITUTE(TRIM(C1742),".",""),"/",""),"-","")," ","")))&lt;14,RIGHT(REPT("0",14)&amp;UPPER(SUBSTITUTE(SUBSTITUTE(SUBSTITUTE(SUBSTITUTE(TRIM(C1742),".",""),"/",""),"-","")," ","")),14),UPPER(SUBSTITUTE(SUBSTITUTE(SUBSTITUTE(SUBSTITUTE(TRIM(C1742),".",""),"/",""),"-","")," ",""))))</f>
        <v/>
      </c>
      <c r="E1742" s="25" t="str">
        <f aca="false">IF(D1742="","",IFERROR(INDEX(Empresas!$C:$C,MATCH(D1742,Empresas!$B:$B,0)),"cadastre o CNPJ em Empresas"))</f>
        <v/>
      </c>
      <c r="F1742" s="23"/>
      <c r="G1742" s="35"/>
      <c r="H1742" s="24"/>
      <c r="I1742" s="11"/>
      <c r="J1742" s="27" t="str">
        <f aca="false">IF(A1742="","",YEAR(A1742))</f>
        <v/>
      </c>
      <c r="K1742" s="24"/>
      <c r="L1742" s="11"/>
    </row>
    <row r="1743" customFormat="false" ht="15" hidden="false" customHeight="false" outlineLevel="0" collapsed="false">
      <c r="A1743" s="22"/>
      <c r="B1743" s="11"/>
      <c r="C1743" s="24"/>
      <c r="D1743" s="31" t="str">
        <f aca="false">IF(C1743="","",IF(LEN(UPPER(SUBSTITUTE(SUBSTITUTE(SUBSTITUTE(SUBSTITUTE(TRIM(C1743),".",""),"/",""),"-","")," ","")))&lt;14,RIGHT(REPT("0",14)&amp;UPPER(SUBSTITUTE(SUBSTITUTE(SUBSTITUTE(SUBSTITUTE(TRIM(C1743),".",""),"/",""),"-","")," ","")),14),UPPER(SUBSTITUTE(SUBSTITUTE(SUBSTITUTE(SUBSTITUTE(TRIM(C1743),".",""),"/",""),"-","")," ",""))))</f>
        <v/>
      </c>
      <c r="E1743" s="25" t="str">
        <f aca="false">IF(D1743="","",IFERROR(INDEX(Empresas!$C:$C,MATCH(D1743,Empresas!$B:$B,0)),"cadastre o CNPJ em Empresas"))</f>
        <v/>
      </c>
      <c r="F1743" s="23"/>
      <c r="G1743" s="35"/>
      <c r="H1743" s="24"/>
      <c r="I1743" s="11"/>
      <c r="J1743" s="27" t="str">
        <f aca="false">IF(A1743="","",YEAR(A1743))</f>
        <v/>
      </c>
      <c r="K1743" s="24"/>
      <c r="L1743" s="11"/>
    </row>
    <row r="1744" customFormat="false" ht="15" hidden="false" customHeight="false" outlineLevel="0" collapsed="false">
      <c r="A1744" s="22"/>
      <c r="B1744" s="11"/>
      <c r="C1744" s="24"/>
      <c r="D1744" s="31" t="str">
        <f aca="false">IF(C1744="","",IF(LEN(UPPER(SUBSTITUTE(SUBSTITUTE(SUBSTITUTE(SUBSTITUTE(TRIM(C1744),".",""),"/",""),"-","")," ","")))&lt;14,RIGHT(REPT("0",14)&amp;UPPER(SUBSTITUTE(SUBSTITUTE(SUBSTITUTE(SUBSTITUTE(TRIM(C1744),".",""),"/",""),"-","")," ","")),14),UPPER(SUBSTITUTE(SUBSTITUTE(SUBSTITUTE(SUBSTITUTE(TRIM(C1744),".",""),"/",""),"-","")," ",""))))</f>
        <v/>
      </c>
      <c r="E1744" s="25" t="str">
        <f aca="false">IF(D1744="","",IFERROR(INDEX(Empresas!$C:$C,MATCH(D1744,Empresas!$B:$B,0)),"cadastre o CNPJ em Empresas"))</f>
        <v/>
      </c>
      <c r="F1744" s="23"/>
      <c r="G1744" s="35"/>
      <c r="H1744" s="24"/>
      <c r="I1744" s="11"/>
      <c r="J1744" s="27" t="str">
        <f aca="false">IF(A1744="","",YEAR(A1744))</f>
        <v/>
      </c>
      <c r="K1744" s="24"/>
      <c r="L1744" s="11"/>
    </row>
    <row r="1745" customFormat="false" ht="15" hidden="false" customHeight="false" outlineLevel="0" collapsed="false">
      <c r="A1745" s="22"/>
      <c r="B1745" s="11"/>
      <c r="C1745" s="24"/>
      <c r="D1745" s="31" t="str">
        <f aca="false">IF(C1745="","",IF(LEN(UPPER(SUBSTITUTE(SUBSTITUTE(SUBSTITUTE(SUBSTITUTE(TRIM(C1745),".",""),"/",""),"-","")," ","")))&lt;14,RIGHT(REPT("0",14)&amp;UPPER(SUBSTITUTE(SUBSTITUTE(SUBSTITUTE(SUBSTITUTE(TRIM(C1745),".",""),"/",""),"-","")," ","")),14),UPPER(SUBSTITUTE(SUBSTITUTE(SUBSTITUTE(SUBSTITUTE(TRIM(C1745),".",""),"/",""),"-","")," ",""))))</f>
        <v/>
      </c>
      <c r="E1745" s="25" t="str">
        <f aca="false">IF(D1745="","",IFERROR(INDEX(Empresas!$C:$C,MATCH(D1745,Empresas!$B:$B,0)),"cadastre o CNPJ em Empresas"))</f>
        <v/>
      </c>
      <c r="F1745" s="23"/>
      <c r="G1745" s="35"/>
      <c r="H1745" s="24"/>
      <c r="I1745" s="11"/>
      <c r="J1745" s="27" t="str">
        <f aca="false">IF(A1745="","",YEAR(A1745))</f>
        <v/>
      </c>
      <c r="K1745" s="24"/>
      <c r="L1745" s="11"/>
    </row>
    <row r="1746" customFormat="false" ht="15" hidden="false" customHeight="false" outlineLevel="0" collapsed="false">
      <c r="A1746" s="22"/>
      <c r="B1746" s="11"/>
      <c r="C1746" s="24"/>
      <c r="D1746" s="31" t="str">
        <f aca="false">IF(C1746="","",IF(LEN(UPPER(SUBSTITUTE(SUBSTITUTE(SUBSTITUTE(SUBSTITUTE(TRIM(C1746),".",""),"/",""),"-","")," ","")))&lt;14,RIGHT(REPT("0",14)&amp;UPPER(SUBSTITUTE(SUBSTITUTE(SUBSTITUTE(SUBSTITUTE(TRIM(C1746),".",""),"/",""),"-","")," ","")),14),UPPER(SUBSTITUTE(SUBSTITUTE(SUBSTITUTE(SUBSTITUTE(TRIM(C1746),".",""),"/",""),"-","")," ",""))))</f>
        <v/>
      </c>
      <c r="E1746" s="25" t="str">
        <f aca="false">IF(D1746="","",IFERROR(INDEX(Empresas!$C:$C,MATCH(D1746,Empresas!$B:$B,0)),"cadastre o CNPJ em Empresas"))</f>
        <v/>
      </c>
      <c r="F1746" s="23"/>
      <c r="G1746" s="35"/>
      <c r="H1746" s="24"/>
      <c r="I1746" s="11"/>
      <c r="J1746" s="27" t="str">
        <f aca="false">IF(A1746="","",YEAR(A1746))</f>
        <v/>
      </c>
      <c r="K1746" s="24"/>
      <c r="L1746" s="11"/>
    </row>
    <row r="1747" customFormat="false" ht="15" hidden="false" customHeight="false" outlineLevel="0" collapsed="false">
      <c r="A1747" s="22"/>
      <c r="B1747" s="11"/>
      <c r="C1747" s="24"/>
      <c r="D1747" s="31" t="str">
        <f aca="false">IF(C1747="","",IF(LEN(UPPER(SUBSTITUTE(SUBSTITUTE(SUBSTITUTE(SUBSTITUTE(TRIM(C1747),".",""),"/",""),"-","")," ","")))&lt;14,RIGHT(REPT("0",14)&amp;UPPER(SUBSTITUTE(SUBSTITUTE(SUBSTITUTE(SUBSTITUTE(TRIM(C1747),".",""),"/",""),"-","")," ","")),14),UPPER(SUBSTITUTE(SUBSTITUTE(SUBSTITUTE(SUBSTITUTE(TRIM(C1747),".",""),"/",""),"-","")," ",""))))</f>
        <v/>
      </c>
      <c r="E1747" s="25" t="str">
        <f aca="false">IF(D1747="","",IFERROR(INDEX(Empresas!$C:$C,MATCH(D1747,Empresas!$B:$B,0)),"cadastre o CNPJ em Empresas"))</f>
        <v/>
      </c>
      <c r="F1747" s="23"/>
      <c r="G1747" s="35"/>
      <c r="H1747" s="24"/>
      <c r="I1747" s="11"/>
      <c r="J1747" s="27" t="str">
        <f aca="false">IF(A1747="","",YEAR(A1747))</f>
        <v/>
      </c>
      <c r="K1747" s="24"/>
      <c r="L1747" s="11"/>
    </row>
    <row r="1748" customFormat="false" ht="15" hidden="false" customHeight="false" outlineLevel="0" collapsed="false">
      <c r="A1748" s="22"/>
      <c r="B1748" s="11"/>
      <c r="C1748" s="24"/>
      <c r="D1748" s="31" t="str">
        <f aca="false">IF(C1748="","",IF(LEN(UPPER(SUBSTITUTE(SUBSTITUTE(SUBSTITUTE(SUBSTITUTE(TRIM(C1748),".",""),"/",""),"-","")," ","")))&lt;14,RIGHT(REPT("0",14)&amp;UPPER(SUBSTITUTE(SUBSTITUTE(SUBSTITUTE(SUBSTITUTE(TRIM(C1748),".",""),"/",""),"-","")," ","")),14),UPPER(SUBSTITUTE(SUBSTITUTE(SUBSTITUTE(SUBSTITUTE(TRIM(C1748),".",""),"/",""),"-","")," ",""))))</f>
        <v/>
      </c>
      <c r="E1748" s="25" t="str">
        <f aca="false">IF(D1748="","",IFERROR(INDEX(Empresas!$C:$C,MATCH(D1748,Empresas!$B:$B,0)),"cadastre o CNPJ em Empresas"))</f>
        <v/>
      </c>
      <c r="F1748" s="23"/>
      <c r="G1748" s="35"/>
      <c r="H1748" s="24"/>
      <c r="I1748" s="11"/>
      <c r="J1748" s="27" t="str">
        <f aca="false">IF(A1748="","",YEAR(A1748))</f>
        <v/>
      </c>
      <c r="K1748" s="24"/>
      <c r="L1748" s="11"/>
    </row>
    <row r="1749" customFormat="false" ht="15" hidden="false" customHeight="false" outlineLevel="0" collapsed="false">
      <c r="A1749" s="22"/>
      <c r="B1749" s="11"/>
      <c r="C1749" s="24"/>
      <c r="D1749" s="31" t="str">
        <f aca="false">IF(C1749="","",IF(LEN(UPPER(SUBSTITUTE(SUBSTITUTE(SUBSTITUTE(SUBSTITUTE(TRIM(C1749),".",""),"/",""),"-","")," ","")))&lt;14,RIGHT(REPT("0",14)&amp;UPPER(SUBSTITUTE(SUBSTITUTE(SUBSTITUTE(SUBSTITUTE(TRIM(C1749),".",""),"/",""),"-","")," ","")),14),UPPER(SUBSTITUTE(SUBSTITUTE(SUBSTITUTE(SUBSTITUTE(TRIM(C1749),".",""),"/",""),"-","")," ",""))))</f>
        <v/>
      </c>
      <c r="E1749" s="25" t="str">
        <f aca="false">IF(D1749="","",IFERROR(INDEX(Empresas!$C:$C,MATCH(D1749,Empresas!$B:$B,0)),"cadastre o CNPJ em Empresas"))</f>
        <v/>
      </c>
      <c r="F1749" s="23"/>
      <c r="G1749" s="35"/>
      <c r="H1749" s="24"/>
      <c r="I1749" s="11"/>
      <c r="J1749" s="27" t="str">
        <f aca="false">IF(A1749="","",YEAR(A1749))</f>
        <v/>
      </c>
      <c r="K1749" s="24"/>
      <c r="L1749" s="11"/>
    </row>
    <row r="1750" customFormat="false" ht="15" hidden="false" customHeight="false" outlineLevel="0" collapsed="false">
      <c r="A1750" s="22"/>
      <c r="B1750" s="11"/>
      <c r="C1750" s="24"/>
      <c r="D1750" s="31" t="str">
        <f aca="false">IF(C1750="","",IF(LEN(UPPER(SUBSTITUTE(SUBSTITUTE(SUBSTITUTE(SUBSTITUTE(TRIM(C1750),".",""),"/",""),"-","")," ","")))&lt;14,RIGHT(REPT("0",14)&amp;UPPER(SUBSTITUTE(SUBSTITUTE(SUBSTITUTE(SUBSTITUTE(TRIM(C1750),".",""),"/",""),"-","")," ","")),14),UPPER(SUBSTITUTE(SUBSTITUTE(SUBSTITUTE(SUBSTITUTE(TRIM(C1750),".",""),"/",""),"-","")," ",""))))</f>
        <v/>
      </c>
      <c r="E1750" s="25" t="str">
        <f aca="false">IF(D1750="","",IFERROR(INDEX(Empresas!$C:$C,MATCH(D1750,Empresas!$B:$B,0)),"cadastre o CNPJ em Empresas"))</f>
        <v/>
      </c>
      <c r="F1750" s="23"/>
      <c r="G1750" s="35"/>
      <c r="H1750" s="24"/>
      <c r="I1750" s="11"/>
      <c r="J1750" s="27" t="str">
        <f aca="false">IF(A1750="","",YEAR(A1750))</f>
        <v/>
      </c>
      <c r="K1750" s="24"/>
      <c r="L1750" s="11"/>
    </row>
    <row r="1751" customFormat="false" ht="15" hidden="false" customHeight="false" outlineLevel="0" collapsed="false">
      <c r="A1751" s="22"/>
      <c r="B1751" s="11"/>
      <c r="C1751" s="24"/>
      <c r="D1751" s="31" t="str">
        <f aca="false">IF(C1751="","",IF(LEN(UPPER(SUBSTITUTE(SUBSTITUTE(SUBSTITUTE(SUBSTITUTE(TRIM(C1751),".",""),"/",""),"-","")," ","")))&lt;14,RIGHT(REPT("0",14)&amp;UPPER(SUBSTITUTE(SUBSTITUTE(SUBSTITUTE(SUBSTITUTE(TRIM(C1751),".",""),"/",""),"-","")," ","")),14),UPPER(SUBSTITUTE(SUBSTITUTE(SUBSTITUTE(SUBSTITUTE(TRIM(C1751),".",""),"/",""),"-","")," ",""))))</f>
        <v/>
      </c>
      <c r="E1751" s="25" t="str">
        <f aca="false">IF(D1751="","",IFERROR(INDEX(Empresas!$C:$C,MATCH(D1751,Empresas!$B:$B,0)),"cadastre o CNPJ em Empresas"))</f>
        <v/>
      </c>
      <c r="F1751" s="23"/>
      <c r="G1751" s="35"/>
      <c r="H1751" s="24"/>
      <c r="I1751" s="11"/>
      <c r="J1751" s="27" t="str">
        <f aca="false">IF(A1751="","",YEAR(A1751))</f>
        <v/>
      </c>
      <c r="K1751" s="24"/>
      <c r="L1751" s="11"/>
    </row>
    <row r="1752" customFormat="false" ht="15" hidden="false" customHeight="false" outlineLevel="0" collapsed="false">
      <c r="A1752" s="22"/>
      <c r="B1752" s="11"/>
      <c r="C1752" s="24"/>
      <c r="D1752" s="31" t="str">
        <f aca="false">IF(C1752="","",IF(LEN(UPPER(SUBSTITUTE(SUBSTITUTE(SUBSTITUTE(SUBSTITUTE(TRIM(C1752),".",""),"/",""),"-","")," ","")))&lt;14,RIGHT(REPT("0",14)&amp;UPPER(SUBSTITUTE(SUBSTITUTE(SUBSTITUTE(SUBSTITUTE(TRIM(C1752),".",""),"/",""),"-","")," ","")),14),UPPER(SUBSTITUTE(SUBSTITUTE(SUBSTITUTE(SUBSTITUTE(TRIM(C1752),".",""),"/",""),"-","")," ",""))))</f>
        <v/>
      </c>
      <c r="E1752" s="25" t="str">
        <f aca="false">IF(D1752="","",IFERROR(INDEX(Empresas!$C:$C,MATCH(D1752,Empresas!$B:$B,0)),"cadastre o CNPJ em Empresas"))</f>
        <v/>
      </c>
      <c r="F1752" s="23"/>
      <c r="G1752" s="35"/>
      <c r="H1752" s="24"/>
      <c r="I1752" s="11"/>
      <c r="J1752" s="27" t="str">
        <f aca="false">IF(A1752="","",YEAR(A1752))</f>
        <v/>
      </c>
      <c r="K1752" s="24"/>
      <c r="L1752" s="11"/>
    </row>
    <row r="1753" customFormat="false" ht="15" hidden="false" customHeight="false" outlineLevel="0" collapsed="false">
      <c r="A1753" s="22"/>
      <c r="B1753" s="11"/>
      <c r="C1753" s="24"/>
      <c r="D1753" s="31" t="str">
        <f aca="false">IF(C1753="","",IF(LEN(UPPER(SUBSTITUTE(SUBSTITUTE(SUBSTITUTE(SUBSTITUTE(TRIM(C1753),".",""),"/",""),"-","")," ","")))&lt;14,RIGHT(REPT("0",14)&amp;UPPER(SUBSTITUTE(SUBSTITUTE(SUBSTITUTE(SUBSTITUTE(TRIM(C1753),".",""),"/",""),"-","")," ","")),14),UPPER(SUBSTITUTE(SUBSTITUTE(SUBSTITUTE(SUBSTITUTE(TRIM(C1753),".",""),"/",""),"-","")," ",""))))</f>
        <v/>
      </c>
      <c r="E1753" s="25" t="str">
        <f aca="false">IF(D1753="","",IFERROR(INDEX(Empresas!$C:$C,MATCH(D1753,Empresas!$B:$B,0)),"cadastre o CNPJ em Empresas"))</f>
        <v/>
      </c>
      <c r="F1753" s="23"/>
      <c r="G1753" s="35"/>
      <c r="H1753" s="24"/>
      <c r="I1753" s="11"/>
      <c r="J1753" s="27" t="str">
        <f aca="false">IF(A1753="","",YEAR(A1753))</f>
        <v/>
      </c>
      <c r="K1753" s="24"/>
      <c r="L1753" s="11"/>
    </row>
    <row r="1754" customFormat="false" ht="15" hidden="false" customHeight="false" outlineLevel="0" collapsed="false">
      <c r="A1754" s="22"/>
      <c r="B1754" s="11"/>
      <c r="C1754" s="24"/>
      <c r="D1754" s="31" t="str">
        <f aca="false">IF(C1754="","",IF(LEN(UPPER(SUBSTITUTE(SUBSTITUTE(SUBSTITUTE(SUBSTITUTE(TRIM(C1754),".",""),"/",""),"-","")," ","")))&lt;14,RIGHT(REPT("0",14)&amp;UPPER(SUBSTITUTE(SUBSTITUTE(SUBSTITUTE(SUBSTITUTE(TRIM(C1754),".",""),"/",""),"-","")," ","")),14),UPPER(SUBSTITUTE(SUBSTITUTE(SUBSTITUTE(SUBSTITUTE(TRIM(C1754),".",""),"/",""),"-","")," ",""))))</f>
        <v/>
      </c>
      <c r="E1754" s="25" t="str">
        <f aca="false">IF(D1754="","",IFERROR(INDEX(Empresas!$C:$C,MATCH(D1754,Empresas!$B:$B,0)),"cadastre o CNPJ em Empresas"))</f>
        <v/>
      </c>
      <c r="F1754" s="23"/>
      <c r="G1754" s="35"/>
      <c r="H1754" s="24"/>
      <c r="I1754" s="11"/>
      <c r="J1754" s="27" t="str">
        <f aca="false">IF(A1754="","",YEAR(A1754))</f>
        <v/>
      </c>
      <c r="K1754" s="24"/>
      <c r="L1754" s="11"/>
    </row>
    <row r="1755" customFormat="false" ht="15" hidden="false" customHeight="false" outlineLevel="0" collapsed="false">
      <c r="A1755" s="22"/>
      <c r="B1755" s="11"/>
      <c r="C1755" s="24"/>
      <c r="D1755" s="31" t="str">
        <f aca="false">IF(C1755="","",IF(LEN(UPPER(SUBSTITUTE(SUBSTITUTE(SUBSTITUTE(SUBSTITUTE(TRIM(C1755),".",""),"/",""),"-","")," ","")))&lt;14,RIGHT(REPT("0",14)&amp;UPPER(SUBSTITUTE(SUBSTITUTE(SUBSTITUTE(SUBSTITUTE(TRIM(C1755),".",""),"/",""),"-","")," ","")),14),UPPER(SUBSTITUTE(SUBSTITUTE(SUBSTITUTE(SUBSTITUTE(TRIM(C1755),".",""),"/",""),"-","")," ",""))))</f>
        <v/>
      </c>
      <c r="E1755" s="25" t="str">
        <f aca="false">IF(D1755="","",IFERROR(INDEX(Empresas!$C:$C,MATCH(D1755,Empresas!$B:$B,0)),"cadastre o CNPJ em Empresas"))</f>
        <v/>
      </c>
      <c r="F1755" s="23"/>
      <c r="G1755" s="35"/>
      <c r="H1755" s="24"/>
      <c r="I1755" s="11"/>
      <c r="J1755" s="27" t="str">
        <f aca="false">IF(A1755="","",YEAR(A1755))</f>
        <v/>
      </c>
      <c r="K1755" s="24"/>
      <c r="L1755" s="11"/>
    </row>
    <row r="1756" customFormat="false" ht="15" hidden="false" customHeight="false" outlineLevel="0" collapsed="false">
      <c r="A1756" s="22"/>
      <c r="B1756" s="11"/>
      <c r="C1756" s="24"/>
      <c r="D1756" s="31" t="str">
        <f aca="false">IF(C1756="","",IF(LEN(UPPER(SUBSTITUTE(SUBSTITUTE(SUBSTITUTE(SUBSTITUTE(TRIM(C1756),".",""),"/",""),"-","")," ","")))&lt;14,RIGHT(REPT("0",14)&amp;UPPER(SUBSTITUTE(SUBSTITUTE(SUBSTITUTE(SUBSTITUTE(TRIM(C1756),".",""),"/",""),"-","")," ","")),14),UPPER(SUBSTITUTE(SUBSTITUTE(SUBSTITUTE(SUBSTITUTE(TRIM(C1756),".",""),"/",""),"-","")," ",""))))</f>
        <v/>
      </c>
      <c r="E1756" s="25" t="str">
        <f aca="false">IF(D1756="","",IFERROR(INDEX(Empresas!$C:$C,MATCH(D1756,Empresas!$B:$B,0)),"cadastre o CNPJ em Empresas"))</f>
        <v/>
      </c>
      <c r="F1756" s="23"/>
      <c r="G1756" s="35"/>
      <c r="H1756" s="24"/>
      <c r="I1756" s="11"/>
      <c r="J1756" s="27" t="str">
        <f aca="false">IF(A1756="","",YEAR(A1756))</f>
        <v/>
      </c>
      <c r="K1756" s="24"/>
      <c r="L1756" s="11"/>
    </row>
    <row r="1757" customFormat="false" ht="15" hidden="false" customHeight="false" outlineLevel="0" collapsed="false">
      <c r="A1757" s="22"/>
      <c r="B1757" s="11"/>
      <c r="C1757" s="24"/>
      <c r="D1757" s="31" t="str">
        <f aca="false">IF(C1757="","",IF(LEN(UPPER(SUBSTITUTE(SUBSTITUTE(SUBSTITUTE(SUBSTITUTE(TRIM(C1757),".",""),"/",""),"-","")," ","")))&lt;14,RIGHT(REPT("0",14)&amp;UPPER(SUBSTITUTE(SUBSTITUTE(SUBSTITUTE(SUBSTITUTE(TRIM(C1757),".",""),"/",""),"-","")," ","")),14),UPPER(SUBSTITUTE(SUBSTITUTE(SUBSTITUTE(SUBSTITUTE(TRIM(C1757),".",""),"/",""),"-","")," ",""))))</f>
        <v/>
      </c>
      <c r="E1757" s="25" t="str">
        <f aca="false">IF(D1757="","",IFERROR(INDEX(Empresas!$C:$C,MATCH(D1757,Empresas!$B:$B,0)),"cadastre o CNPJ em Empresas"))</f>
        <v/>
      </c>
      <c r="F1757" s="23"/>
      <c r="G1757" s="35"/>
      <c r="H1757" s="24"/>
      <c r="I1757" s="11"/>
      <c r="J1757" s="27" t="str">
        <f aca="false">IF(A1757="","",YEAR(A1757))</f>
        <v/>
      </c>
      <c r="K1757" s="24"/>
      <c r="L1757" s="11"/>
    </row>
    <row r="1758" customFormat="false" ht="15" hidden="false" customHeight="false" outlineLevel="0" collapsed="false">
      <c r="A1758" s="22"/>
      <c r="B1758" s="11"/>
      <c r="C1758" s="24"/>
      <c r="D1758" s="31" t="str">
        <f aca="false">IF(C1758="","",IF(LEN(UPPER(SUBSTITUTE(SUBSTITUTE(SUBSTITUTE(SUBSTITUTE(TRIM(C1758),".",""),"/",""),"-","")," ","")))&lt;14,RIGHT(REPT("0",14)&amp;UPPER(SUBSTITUTE(SUBSTITUTE(SUBSTITUTE(SUBSTITUTE(TRIM(C1758),".",""),"/",""),"-","")," ","")),14),UPPER(SUBSTITUTE(SUBSTITUTE(SUBSTITUTE(SUBSTITUTE(TRIM(C1758),".",""),"/",""),"-","")," ",""))))</f>
        <v/>
      </c>
      <c r="E1758" s="25" t="str">
        <f aca="false">IF(D1758="","",IFERROR(INDEX(Empresas!$C:$C,MATCH(D1758,Empresas!$B:$B,0)),"cadastre o CNPJ em Empresas"))</f>
        <v/>
      </c>
      <c r="F1758" s="23"/>
      <c r="G1758" s="35"/>
      <c r="H1758" s="24"/>
      <c r="I1758" s="11"/>
      <c r="J1758" s="27" t="str">
        <f aca="false">IF(A1758="","",YEAR(A1758))</f>
        <v/>
      </c>
      <c r="K1758" s="24"/>
      <c r="L1758" s="11"/>
    </row>
    <row r="1759" customFormat="false" ht="15" hidden="false" customHeight="false" outlineLevel="0" collapsed="false">
      <c r="A1759" s="22"/>
      <c r="B1759" s="11"/>
      <c r="C1759" s="24"/>
      <c r="D1759" s="31" t="str">
        <f aca="false">IF(C1759="","",IF(LEN(UPPER(SUBSTITUTE(SUBSTITUTE(SUBSTITUTE(SUBSTITUTE(TRIM(C1759),".",""),"/",""),"-","")," ","")))&lt;14,RIGHT(REPT("0",14)&amp;UPPER(SUBSTITUTE(SUBSTITUTE(SUBSTITUTE(SUBSTITUTE(TRIM(C1759),".",""),"/",""),"-","")," ","")),14),UPPER(SUBSTITUTE(SUBSTITUTE(SUBSTITUTE(SUBSTITUTE(TRIM(C1759),".",""),"/",""),"-","")," ",""))))</f>
        <v/>
      </c>
      <c r="E1759" s="25" t="str">
        <f aca="false">IF(D1759="","",IFERROR(INDEX(Empresas!$C:$C,MATCH(D1759,Empresas!$B:$B,0)),"cadastre o CNPJ em Empresas"))</f>
        <v/>
      </c>
      <c r="F1759" s="23"/>
      <c r="G1759" s="35"/>
      <c r="H1759" s="24"/>
      <c r="I1759" s="11"/>
      <c r="J1759" s="27" t="str">
        <f aca="false">IF(A1759="","",YEAR(A1759))</f>
        <v/>
      </c>
      <c r="K1759" s="24"/>
      <c r="L1759" s="11"/>
    </row>
    <row r="1760" customFormat="false" ht="15" hidden="false" customHeight="false" outlineLevel="0" collapsed="false">
      <c r="A1760" s="22"/>
      <c r="B1760" s="11"/>
      <c r="C1760" s="24"/>
      <c r="D1760" s="31" t="str">
        <f aca="false">IF(C1760="","",IF(LEN(UPPER(SUBSTITUTE(SUBSTITUTE(SUBSTITUTE(SUBSTITUTE(TRIM(C1760),".",""),"/",""),"-","")," ","")))&lt;14,RIGHT(REPT("0",14)&amp;UPPER(SUBSTITUTE(SUBSTITUTE(SUBSTITUTE(SUBSTITUTE(TRIM(C1760),".",""),"/",""),"-","")," ","")),14),UPPER(SUBSTITUTE(SUBSTITUTE(SUBSTITUTE(SUBSTITUTE(TRIM(C1760),".",""),"/",""),"-","")," ",""))))</f>
        <v/>
      </c>
      <c r="E1760" s="25" t="str">
        <f aca="false">IF(D1760="","",IFERROR(INDEX(Empresas!$C:$C,MATCH(D1760,Empresas!$B:$B,0)),"cadastre o CNPJ em Empresas"))</f>
        <v/>
      </c>
      <c r="F1760" s="23"/>
      <c r="G1760" s="35"/>
      <c r="H1760" s="24"/>
      <c r="I1760" s="11"/>
      <c r="J1760" s="27" t="str">
        <f aca="false">IF(A1760="","",YEAR(A1760))</f>
        <v/>
      </c>
      <c r="K1760" s="24"/>
      <c r="L1760" s="11"/>
    </row>
    <row r="1761" customFormat="false" ht="15" hidden="false" customHeight="false" outlineLevel="0" collapsed="false">
      <c r="A1761" s="22"/>
      <c r="B1761" s="11"/>
      <c r="C1761" s="24"/>
      <c r="D1761" s="31" t="str">
        <f aca="false">IF(C1761="","",IF(LEN(UPPER(SUBSTITUTE(SUBSTITUTE(SUBSTITUTE(SUBSTITUTE(TRIM(C1761),".",""),"/",""),"-","")," ","")))&lt;14,RIGHT(REPT("0",14)&amp;UPPER(SUBSTITUTE(SUBSTITUTE(SUBSTITUTE(SUBSTITUTE(TRIM(C1761),".",""),"/",""),"-","")," ","")),14),UPPER(SUBSTITUTE(SUBSTITUTE(SUBSTITUTE(SUBSTITUTE(TRIM(C1761),".",""),"/",""),"-","")," ",""))))</f>
        <v/>
      </c>
      <c r="E1761" s="25" t="str">
        <f aca="false">IF(D1761="","",IFERROR(INDEX(Empresas!$C:$C,MATCH(D1761,Empresas!$B:$B,0)),"cadastre o CNPJ em Empresas"))</f>
        <v/>
      </c>
      <c r="F1761" s="23"/>
      <c r="G1761" s="35"/>
      <c r="H1761" s="24"/>
      <c r="I1761" s="11"/>
      <c r="J1761" s="27" t="str">
        <f aca="false">IF(A1761="","",YEAR(A1761))</f>
        <v/>
      </c>
      <c r="K1761" s="24"/>
      <c r="L1761" s="11"/>
    </row>
    <row r="1762" customFormat="false" ht="15" hidden="false" customHeight="false" outlineLevel="0" collapsed="false">
      <c r="A1762" s="22"/>
      <c r="B1762" s="11"/>
      <c r="C1762" s="24"/>
      <c r="D1762" s="31" t="str">
        <f aca="false">IF(C1762="","",IF(LEN(UPPER(SUBSTITUTE(SUBSTITUTE(SUBSTITUTE(SUBSTITUTE(TRIM(C1762),".",""),"/",""),"-","")," ","")))&lt;14,RIGHT(REPT("0",14)&amp;UPPER(SUBSTITUTE(SUBSTITUTE(SUBSTITUTE(SUBSTITUTE(TRIM(C1762),".",""),"/",""),"-","")," ","")),14),UPPER(SUBSTITUTE(SUBSTITUTE(SUBSTITUTE(SUBSTITUTE(TRIM(C1762),".",""),"/",""),"-","")," ",""))))</f>
        <v/>
      </c>
      <c r="E1762" s="25" t="str">
        <f aca="false">IF(D1762="","",IFERROR(INDEX(Empresas!$C:$C,MATCH(D1762,Empresas!$B:$B,0)),"cadastre o CNPJ em Empresas"))</f>
        <v/>
      </c>
      <c r="F1762" s="23"/>
      <c r="G1762" s="35"/>
      <c r="H1762" s="24"/>
      <c r="I1762" s="11"/>
      <c r="J1762" s="27" t="str">
        <f aca="false">IF(A1762="","",YEAR(A1762))</f>
        <v/>
      </c>
      <c r="K1762" s="24"/>
      <c r="L1762" s="11"/>
    </row>
    <row r="1763" customFormat="false" ht="15" hidden="false" customHeight="false" outlineLevel="0" collapsed="false">
      <c r="A1763" s="22"/>
      <c r="B1763" s="11"/>
      <c r="C1763" s="24"/>
      <c r="D1763" s="31" t="str">
        <f aca="false">IF(C1763="","",IF(LEN(UPPER(SUBSTITUTE(SUBSTITUTE(SUBSTITUTE(SUBSTITUTE(TRIM(C1763),".",""),"/",""),"-","")," ","")))&lt;14,RIGHT(REPT("0",14)&amp;UPPER(SUBSTITUTE(SUBSTITUTE(SUBSTITUTE(SUBSTITUTE(TRIM(C1763),".",""),"/",""),"-","")," ","")),14),UPPER(SUBSTITUTE(SUBSTITUTE(SUBSTITUTE(SUBSTITUTE(TRIM(C1763),".",""),"/",""),"-","")," ",""))))</f>
        <v/>
      </c>
      <c r="E1763" s="25" t="str">
        <f aca="false">IF(D1763="","",IFERROR(INDEX(Empresas!$C:$C,MATCH(D1763,Empresas!$B:$B,0)),"cadastre o CNPJ em Empresas"))</f>
        <v/>
      </c>
      <c r="F1763" s="23"/>
      <c r="G1763" s="35"/>
      <c r="H1763" s="24"/>
      <c r="I1763" s="11"/>
      <c r="J1763" s="27" t="str">
        <f aca="false">IF(A1763="","",YEAR(A1763))</f>
        <v/>
      </c>
      <c r="K1763" s="24"/>
      <c r="L1763" s="11"/>
    </row>
    <row r="1764" customFormat="false" ht="15" hidden="false" customHeight="false" outlineLevel="0" collapsed="false">
      <c r="A1764" s="22"/>
      <c r="B1764" s="11"/>
      <c r="C1764" s="24"/>
      <c r="D1764" s="31" t="str">
        <f aca="false">IF(C1764="","",IF(LEN(UPPER(SUBSTITUTE(SUBSTITUTE(SUBSTITUTE(SUBSTITUTE(TRIM(C1764),".",""),"/",""),"-","")," ","")))&lt;14,RIGHT(REPT("0",14)&amp;UPPER(SUBSTITUTE(SUBSTITUTE(SUBSTITUTE(SUBSTITUTE(TRIM(C1764),".",""),"/",""),"-","")," ","")),14),UPPER(SUBSTITUTE(SUBSTITUTE(SUBSTITUTE(SUBSTITUTE(TRIM(C1764),".",""),"/",""),"-","")," ",""))))</f>
        <v/>
      </c>
      <c r="E1764" s="25" t="str">
        <f aca="false">IF(D1764="","",IFERROR(INDEX(Empresas!$C:$C,MATCH(D1764,Empresas!$B:$B,0)),"cadastre o CNPJ em Empresas"))</f>
        <v/>
      </c>
      <c r="F1764" s="23"/>
      <c r="G1764" s="35"/>
      <c r="H1764" s="24"/>
      <c r="I1764" s="11"/>
      <c r="J1764" s="27" t="str">
        <f aca="false">IF(A1764="","",YEAR(A1764))</f>
        <v/>
      </c>
      <c r="K1764" s="24"/>
      <c r="L1764" s="11"/>
    </row>
    <row r="1765" customFormat="false" ht="15" hidden="false" customHeight="false" outlineLevel="0" collapsed="false">
      <c r="A1765" s="22"/>
      <c r="B1765" s="11"/>
      <c r="C1765" s="24"/>
      <c r="D1765" s="31" t="str">
        <f aca="false">IF(C1765="","",IF(LEN(UPPER(SUBSTITUTE(SUBSTITUTE(SUBSTITUTE(SUBSTITUTE(TRIM(C1765),".",""),"/",""),"-","")," ","")))&lt;14,RIGHT(REPT("0",14)&amp;UPPER(SUBSTITUTE(SUBSTITUTE(SUBSTITUTE(SUBSTITUTE(TRIM(C1765),".",""),"/",""),"-","")," ","")),14),UPPER(SUBSTITUTE(SUBSTITUTE(SUBSTITUTE(SUBSTITUTE(TRIM(C1765),".",""),"/",""),"-","")," ",""))))</f>
        <v/>
      </c>
      <c r="E1765" s="25" t="str">
        <f aca="false">IF(D1765="","",IFERROR(INDEX(Empresas!$C:$C,MATCH(D1765,Empresas!$B:$B,0)),"cadastre o CNPJ em Empresas"))</f>
        <v/>
      </c>
      <c r="F1765" s="23"/>
      <c r="G1765" s="35"/>
      <c r="H1765" s="24"/>
      <c r="I1765" s="11"/>
      <c r="J1765" s="27" t="str">
        <f aca="false">IF(A1765="","",YEAR(A1765))</f>
        <v/>
      </c>
      <c r="K1765" s="24"/>
      <c r="L1765" s="11"/>
    </row>
    <row r="1766" customFormat="false" ht="15" hidden="false" customHeight="false" outlineLevel="0" collapsed="false">
      <c r="A1766" s="22"/>
      <c r="B1766" s="11"/>
      <c r="C1766" s="24"/>
      <c r="D1766" s="31" t="str">
        <f aca="false">IF(C1766="","",IF(LEN(UPPER(SUBSTITUTE(SUBSTITUTE(SUBSTITUTE(SUBSTITUTE(TRIM(C1766),".",""),"/",""),"-","")," ","")))&lt;14,RIGHT(REPT("0",14)&amp;UPPER(SUBSTITUTE(SUBSTITUTE(SUBSTITUTE(SUBSTITUTE(TRIM(C1766),".",""),"/",""),"-","")," ","")),14),UPPER(SUBSTITUTE(SUBSTITUTE(SUBSTITUTE(SUBSTITUTE(TRIM(C1766),".",""),"/",""),"-","")," ",""))))</f>
        <v/>
      </c>
      <c r="E1766" s="25" t="str">
        <f aca="false">IF(D1766="","",IFERROR(INDEX(Empresas!$C:$C,MATCH(D1766,Empresas!$B:$B,0)),"cadastre o CNPJ em Empresas"))</f>
        <v/>
      </c>
      <c r="F1766" s="23"/>
      <c r="G1766" s="35"/>
      <c r="H1766" s="24"/>
      <c r="I1766" s="11"/>
      <c r="J1766" s="27" t="str">
        <f aca="false">IF(A1766="","",YEAR(A1766))</f>
        <v/>
      </c>
      <c r="K1766" s="24"/>
      <c r="L1766" s="11"/>
    </row>
    <row r="1767" customFormat="false" ht="15" hidden="false" customHeight="false" outlineLevel="0" collapsed="false">
      <c r="A1767" s="22"/>
      <c r="B1767" s="11"/>
      <c r="C1767" s="24"/>
      <c r="D1767" s="31" t="str">
        <f aca="false">IF(C1767="","",IF(LEN(UPPER(SUBSTITUTE(SUBSTITUTE(SUBSTITUTE(SUBSTITUTE(TRIM(C1767),".",""),"/",""),"-","")," ","")))&lt;14,RIGHT(REPT("0",14)&amp;UPPER(SUBSTITUTE(SUBSTITUTE(SUBSTITUTE(SUBSTITUTE(TRIM(C1767),".",""),"/",""),"-","")," ","")),14),UPPER(SUBSTITUTE(SUBSTITUTE(SUBSTITUTE(SUBSTITUTE(TRIM(C1767),".",""),"/",""),"-","")," ",""))))</f>
        <v/>
      </c>
      <c r="E1767" s="25" t="str">
        <f aca="false">IF(D1767="","",IFERROR(INDEX(Empresas!$C:$C,MATCH(D1767,Empresas!$B:$B,0)),"cadastre o CNPJ em Empresas"))</f>
        <v/>
      </c>
      <c r="F1767" s="23"/>
      <c r="G1767" s="35"/>
      <c r="H1767" s="24"/>
      <c r="I1767" s="11"/>
      <c r="J1767" s="27" t="str">
        <f aca="false">IF(A1767="","",YEAR(A1767))</f>
        <v/>
      </c>
      <c r="K1767" s="24"/>
      <c r="L1767" s="11"/>
    </row>
    <row r="1768" customFormat="false" ht="15" hidden="false" customHeight="false" outlineLevel="0" collapsed="false">
      <c r="A1768" s="22"/>
      <c r="B1768" s="11"/>
      <c r="C1768" s="24"/>
      <c r="D1768" s="31" t="str">
        <f aca="false">IF(C1768="","",IF(LEN(UPPER(SUBSTITUTE(SUBSTITUTE(SUBSTITUTE(SUBSTITUTE(TRIM(C1768),".",""),"/",""),"-","")," ","")))&lt;14,RIGHT(REPT("0",14)&amp;UPPER(SUBSTITUTE(SUBSTITUTE(SUBSTITUTE(SUBSTITUTE(TRIM(C1768),".",""),"/",""),"-","")," ","")),14),UPPER(SUBSTITUTE(SUBSTITUTE(SUBSTITUTE(SUBSTITUTE(TRIM(C1768),".",""),"/",""),"-","")," ",""))))</f>
        <v/>
      </c>
      <c r="E1768" s="25" t="str">
        <f aca="false">IF(D1768="","",IFERROR(INDEX(Empresas!$C:$C,MATCH(D1768,Empresas!$B:$B,0)),"cadastre o CNPJ em Empresas"))</f>
        <v/>
      </c>
      <c r="F1768" s="23"/>
      <c r="G1768" s="35"/>
      <c r="H1768" s="24"/>
      <c r="I1768" s="11"/>
      <c r="J1768" s="27" t="str">
        <f aca="false">IF(A1768="","",YEAR(A1768))</f>
        <v/>
      </c>
      <c r="K1768" s="24"/>
      <c r="L1768" s="11"/>
    </row>
    <row r="1769" customFormat="false" ht="15" hidden="false" customHeight="false" outlineLevel="0" collapsed="false">
      <c r="A1769" s="22"/>
      <c r="B1769" s="11"/>
      <c r="C1769" s="24"/>
      <c r="D1769" s="31" t="str">
        <f aca="false">IF(C1769="","",IF(LEN(UPPER(SUBSTITUTE(SUBSTITUTE(SUBSTITUTE(SUBSTITUTE(TRIM(C1769),".",""),"/",""),"-","")," ","")))&lt;14,RIGHT(REPT("0",14)&amp;UPPER(SUBSTITUTE(SUBSTITUTE(SUBSTITUTE(SUBSTITUTE(TRIM(C1769),".",""),"/",""),"-","")," ","")),14),UPPER(SUBSTITUTE(SUBSTITUTE(SUBSTITUTE(SUBSTITUTE(TRIM(C1769),".",""),"/",""),"-","")," ",""))))</f>
        <v/>
      </c>
      <c r="E1769" s="25" t="str">
        <f aca="false">IF(D1769="","",IFERROR(INDEX(Empresas!$C:$C,MATCH(D1769,Empresas!$B:$B,0)),"cadastre o CNPJ em Empresas"))</f>
        <v/>
      </c>
      <c r="F1769" s="23"/>
      <c r="G1769" s="35"/>
      <c r="H1769" s="24"/>
      <c r="I1769" s="11"/>
      <c r="J1769" s="27" t="str">
        <f aca="false">IF(A1769="","",YEAR(A1769))</f>
        <v/>
      </c>
      <c r="K1769" s="24"/>
      <c r="L1769" s="11"/>
    </row>
    <row r="1770" customFormat="false" ht="15" hidden="false" customHeight="false" outlineLevel="0" collapsed="false">
      <c r="A1770" s="22"/>
      <c r="B1770" s="11"/>
      <c r="C1770" s="24"/>
      <c r="D1770" s="31" t="str">
        <f aca="false">IF(C1770="","",IF(LEN(UPPER(SUBSTITUTE(SUBSTITUTE(SUBSTITUTE(SUBSTITUTE(TRIM(C1770),".",""),"/",""),"-","")," ","")))&lt;14,RIGHT(REPT("0",14)&amp;UPPER(SUBSTITUTE(SUBSTITUTE(SUBSTITUTE(SUBSTITUTE(TRIM(C1770),".",""),"/",""),"-","")," ","")),14),UPPER(SUBSTITUTE(SUBSTITUTE(SUBSTITUTE(SUBSTITUTE(TRIM(C1770),".",""),"/",""),"-","")," ",""))))</f>
        <v/>
      </c>
      <c r="E1770" s="25" t="str">
        <f aca="false">IF(D1770="","",IFERROR(INDEX(Empresas!$C:$C,MATCH(D1770,Empresas!$B:$B,0)),"cadastre o CNPJ em Empresas"))</f>
        <v/>
      </c>
      <c r="F1770" s="23"/>
      <c r="G1770" s="35"/>
      <c r="H1770" s="24"/>
      <c r="I1770" s="11"/>
      <c r="J1770" s="27" t="str">
        <f aca="false">IF(A1770="","",YEAR(A1770))</f>
        <v/>
      </c>
      <c r="K1770" s="24"/>
      <c r="L1770" s="11"/>
    </row>
    <row r="1771" customFormat="false" ht="15" hidden="false" customHeight="false" outlineLevel="0" collapsed="false">
      <c r="A1771" s="22"/>
      <c r="B1771" s="11"/>
      <c r="C1771" s="24"/>
      <c r="D1771" s="31" t="str">
        <f aca="false">IF(C1771="","",IF(LEN(UPPER(SUBSTITUTE(SUBSTITUTE(SUBSTITUTE(SUBSTITUTE(TRIM(C1771),".",""),"/",""),"-","")," ","")))&lt;14,RIGHT(REPT("0",14)&amp;UPPER(SUBSTITUTE(SUBSTITUTE(SUBSTITUTE(SUBSTITUTE(TRIM(C1771),".",""),"/",""),"-","")," ","")),14),UPPER(SUBSTITUTE(SUBSTITUTE(SUBSTITUTE(SUBSTITUTE(TRIM(C1771),".",""),"/",""),"-","")," ",""))))</f>
        <v/>
      </c>
      <c r="E1771" s="25" t="str">
        <f aca="false">IF(D1771="","",IFERROR(INDEX(Empresas!$C:$C,MATCH(D1771,Empresas!$B:$B,0)),"cadastre o CNPJ em Empresas"))</f>
        <v/>
      </c>
      <c r="F1771" s="23"/>
      <c r="G1771" s="35"/>
      <c r="H1771" s="24"/>
      <c r="I1771" s="11"/>
      <c r="J1771" s="27" t="str">
        <f aca="false">IF(A1771="","",YEAR(A1771))</f>
        <v/>
      </c>
      <c r="K1771" s="24"/>
      <c r="L1771" s="11"/>
    </row>
    <row r="1772" customFormat="false" ht="15" hidden="false" customHeight="false" outlineLevel="0" collapsed="false">
      <c r="A1772" s="22"/>
      <c r="B1772" s="11"/>
      <c r="C1772" s="24"/>
      <c r="D1772" s="31" t="str">
        <f aca="false">IF(C1772="","",IF(LEN(UPPER(SUBSTITUTE(SUBSTITUTE(SUBSTITUTE(SUBSTITUTE(TRIM(C1772),".",""),"/",""),"-","")," ","")))&lt;14,RIGHT(REPT("0",14)&amp;UPPER(SUBSTITUTE(SUBSTITUTE(SUBSTITUTE(SUBSTITUTE(TRIM(C1772),".",""),"/",""),"-","")," ","")),14),UPPER(SUBSTITUTE(SUBSTITUTE(SUBSTITUTE(SUBSTITUTE(TRIM(C1772),".",""),"/",""),"-","")," ",""))))</f>
        <v/>
      </c>
      <c r="E1772" s="25" t="str">
        <f aca="false">IF(D1772="","",IFERROR(INDEX(Empresas!$C:$C,MATCH(D1772,Empresas!$B:$B,0)),"cadastre o CNPJ em Empresas"))</f>
        <v/>
      </c>
      <c r="F1772" s="23"/>
      <c r="G1772" s="35"/>
      <c r="H1772" s="24"/>
      <c r="I1772" s="11"/>
      <c r="J1772" s="27" t="str">
        <f aca="false">IF(A1772="","",YEAR(A1772))</f>
        <v/>
      </c>
      <c r="K1772" s="24"/>
      <c r="L1772" s="11"/>
    </row>
    <row r="1773" customFormat="false" ht="15" hidden="false" customHeight="false" outlineLevel="0" collapsed="false">
      <c r="A1773" s="22"/>
      <c r="B1773" s="11"/>
      <c r="C1773" s="24"/>
      <c r="D1773" s="31" t="str">
        <f aca="false">IF(C1773="","",IF(LEN(UPPER(SUBSTITUTE(SUBSTITUTE(SUBSTITUTE(SUBSTITUTE(TRIM(C1773),".",""),"/",""),"-","")," ","")))&lt;14,RIGHT(REPT("0",14)&amp;UPPER(SUBSTITUTE(SUBSTITUTE(SUBSTITUTE(SUBSTITUTE(TRIM(C1773),".",""),"/",""),"-","")," ","")),14),UPPER(SUBSTITUTE(SUBSTITUTE(SUBSTITUTE(SUBSTITUTE(TRIM(C1773),".",""),"/",""),"-","")," ",""))))</f>
        <v/>
      </c>
      <c r="E1773" s="25" t="str">
        <f aca="false">IF(D1773="","",IFERROR(INDEX(Empresas!$C:$C,MATCH(D1773,Empresas!$B:$B,0)),"cadastre o CNPJ em Empresas"))</f>
        <v/>
      </c>
      <c r="F1773" s="23"/>
      <c r="G1773" s="35"/>
      <c r="H1773" s="24"/>
      <c r="I1773" s="11"/>
      <c r="J1773" s="27" t="str">
        <f aca="false">IF(A1773="","",YEAR(A1773))</f>
        <v/>
      </c>
      <c r="K1773" s="24"/>
      <c r="L1773" s="11"/>
    </row>
    <row r="1774" customFormat="false" ht="15" hidden="false" customHeight="false" outlineLevel="0" collapsed="false">
      <c r="A1774" s="22"/>
      <c r="B1774" s="11"/>
      <c r="C1774" s="24"/>
      <c r="D1774" s="31" t="str">
        <f aca="false">IF(C1774="","",IF(LEN(UPPER(SUBSTITUTE(SUBSTITUTE(SUBSTITUTE(SUBSTITUTE(TRIM(C1774),".",""),"/",""),"-","")," ","")))&lt;14,RIGHT(REPT("0",14)&amp;UPPER(SUBSTITUTE(SUBSTITUTE(SUBSTITUTE(SUBSTITUTE(TRIM(C1774),".",""),"/",""),"-","")," ","")),14),UPPER(SUBSTITUTE(SUBSTITUTE(SUBSTITUTE(SUBSTITUTE(TRIM(C1774),".",""),"/",""),"-","")," ",""))))</f>
        <v/>
      </c>
      <c r="E1774" s="25" t="str">
        <f aca="false">IF(D1774="","",IFERROR(INDEX(Empresas!$C:$C,MATCH(D1774,Empresas!$B:$B,0)),"cadastre o CNPJ em Empresas"))</f>
        <v/>
      </c>
      <c r="F1774" s="23"/>
      <c r="G1774" s="35"/>
      <c r="H1774" s="24"/>
      <c r="I1774" s="11"/>
      <c r="J1774" s="27" t="str">
        <f aca="false">IF(A1774="","",YEAR(A1774))</f>
        <v/>
      </c>
      <c r="K1774" s="24"/>
      <c r="L1774" s="11"/>
    </row>
    <row r="1775" customFormat="false" ht="15" hidden="false" customHeight="false" outlineLevel="0" collapsed="false">
      <c r="A1775" s="22"/>
      <c r="B1775" s="11"/>
      <c r="C1775" s="24"/>
      <c r="D1775" s="31" t="str">
        <f aca="false">IF(C1775="","",IF(LEN(UPPER(SUBSTITUTE(SUBSTITUTE(SUBSTITUTE(SUBSTITUTE(TRIM(C1775),".",""),"/",""),"-","")," ","")))&lt;14,RIGHT(REPT("0",14)&amp;UPPER(SUBSTITUTE(SUBSTITUTE(SUBSTITUTE(SUBSTITUTE(TRIM(C1775),".",""),"/",""),"-","")," ","")),14),UPPER(SUBSTITUTE(SUBSTITUTE(SUBSTITUTE(SUBSTITUTE(TRIM(C1775),".",""),"/",""),"-","")," ",""))))</f>
        <v/>
      </c>
      <c r="E1775" s="25" t="str">
        <f aca="false">IF(D1775="","",IFERROR(INDEX(Empresas!$C:$C,MATCH(D1775,Empresas!$B:$B,0)),"cadastre o CNPJ em Empresas"))</f>
        <v/>
      </c>
      <c r="F1775" s="23"/>
      <c r="G1775" s="35"/>
      <c r="H1775" s="24"/>
      <c r="I1775" s="11"/>
      <c r="J1775" s="27" t="str">
        <f aca="false">IF(A1775="","",YEAR(A1775))</f>
        <v/>
      </c>
      <c r="K1775" s="24"/>
      <c r="L1775" s="11"/>
    </row>
    <row r="1776" customFormat="false" ht="15" hidden="false" customHeight="false" outlineLevel="0" collapsed="false">
      <c r="A1776" s="22"/>
      <c r="B1776" s="11"/>
      <c r="C1776" s="24"/>
      <c r="D1776" s="31" t="str">
        <f aca="false">IF(C1776="","",IF(LEN(UPPER(SUBSTITUTE(SUBSTITUTE(SUBSTITUTE(SUBSTITUTE(TRIM(C1776),".",""),"/",""),"-","")," ","")))&lt;14,RIGHT(REPT("0",14)&amp;UPPER(SUBSTITUTE(SUBSTITUTE(SUBSTITUTE(SUBSTITUTE(TRIM(C1776),".",""),"/",""),"-","")," ","")),14),UPPER(SUBSTITUTE(SUBSTITUTE(SUBSTITUTE(SUBSTITUTE(TRIM(C1776),".",""),"/",""),"-","")," ",""))))</f>
        <v/>
      </c>
      <c r="E1776" s="25" t="str">
        <f aca="false">IF(D1776="","",IFERROR(INDEX(Empresas!$C:$C,MATCH(D1776,Empresas!$B:$B,0)),"cadastre o CNPJ em Empresas"))</f>
        <v/>
      </c>
      <c r="F1776" s="23"/>
      <c r="G1776" s="35"/>
      <c r="H1776" s="24"/>
      <c r="I1776" s="11"/>
      <c r="J1776" s="27" t="str">
        <f aca="false">IF(A1776="","",YEAR(A1776))</f>
        <v/>
      </c>
      <c r="K1776" s="24"/>
      <c r="L1776" s="11"/>
    </row>
    <row r="1777" customFormat="false" ht="15" hidden="false" customHeight="false" outlineLevel="0" collapsed="false">
      <c r="A1777" s="22"/>
      <c r="B1777" s="11"/>
      <c r="C1777" s="24"/>
      <c r="D1777" s="31" t="str">
        <f aca="false">IF(C1777="","",IF(LEN(UPPER(SUBSTITUTE(SUBSTITUTE(SUBSTITUTE(SUBSTITUTE(TRIM(C1777),".",""),"/",""),"-","")," ","")))&lt;14,RIGHT(REPT("0",14)&amp;UPPER(SUBSTITUTE(SUBSTITUTE(SUBSTITUTE(SUBSTITUTE(TRIM(C1777),".",""),"/",""),"-","")," ","")),14),UPPER(SUBSTITUTE(SUBSTITUTE(SUBSTITUTE(SUBSTITUTE(TRIM(C1777),".",""),"/",""),"-","")," ",""))))</f>
        <v/>
      </c>
      <c r="E1777" s="25" t="str">
        <f aca="false">IF(D1777="","",IFERROR(INDEX(Empresas!$C:$C,MATCH(D1777,Empresas!$B:$B,0)),"cadastre o CNPJ em Empresas"))</f>
        <v/>
      </c>
      <c r="F1777" s="23"/>
      <c r="G1777" s="35"/>
      <c r="H1777" s="24"/>
      <c r="I1777" s="11"/>
      <c r="J1777" s="27" t="str">
        <f aca="false">IF(A1777="","",YEAR(A1777))</f>
        <v/>
      </c>
      <c r="K1777" s="24"/>
      <c r="L1777" s="11"/>
    </row>
    <row r="1778" customFormat="false" ht="15" hidden="false" customHeight="false" outlineLevel="0" collapsed="false">
      <c r="A1778" s="22"/>
      <c r="B1778" s="11"/>
      <c r="C1778" s="24"/>
      <c r="D1778" s="31" t="str">
        <f aca="false">IF(C1778="","",IF(LEN(UPPER(SUBSTITUTE(SUBSTITUTE(SUBSTITUTE(SUBSTITUTE(TRIM(C1778),".",""),"/",""),"-","")," ","")))&lt;14,RIGHT(REPT("0",14)&amp;UPPER(SUBSTITUTE(SUBSTITUTE(SUBSTITUTE(SUBSTITUTE(TRIM(C1778),".",""),"/",""),"-","")," ","")),14),UPPER(SUBSTITUTE(SUBSTITUTE(SUBSTITUTE(SUBSTITUTE(TRIM(C1778),".",""),"/",""),"-","")," ",""))))</f>
        <v/>
      </c>
      <c r="E1778" s="25" t="str">
        <f aca="false">IF(D1778="","",IFERROR(INDEX(Empresas!$C:$C,MATCH(D1778,Empresas!$B:$B,0)),"cadastre o CNPJ em Empresas"))</f>
        <v/>
      </c>
      <c r="F1778" s="23"/>
      <c r="G1778" s="35"/>
      <c r="H1778" s="24"/>
      <c r="I1778" s="11"/>
      <c r="J1778" s="27" t="str">
        <f aca="false">IF(A1778="","",YEAR(A1778))</f>
        <v/>
      </c>
      <c r="K1778" s="24"/>
      <c r="L1778" s="11"/>
    </row>
    <row r="1779" customFormat="false" ht="15" hidden="false" customHeight="false" outlineLevel="0" collapsed="false">
      <c r="A1779" s="22"/>
      <c r="B1779" s="11"/>
      <c r="C1779" s="24"/>
      <c r="D1779" s="31" t="str">
        <f aca="false">IF(C1779="","",IF(LEN(UPPER(SUBSTITUTE(SUBSTITUTE(SUBSTITUTE(SUBSTITUTE(TRIM(C1779),".",""),"/",""),"-","")," ","")))&lt;14,RIGHT(REPT("0",14)&amp;UPPER(SUBSTITUTE(SUBSTITUTE(SUBSTITUTE(SUBSTITUTE(TRIM(C1779),".",""),"/",""),"-","")," ","")),14),UPPER(SUBSTITUTE(SUBSTITUTE(SUBSTITUTE(SUBSTITUTE(TRIM(C1779),".",""),"/",""),"-","")," ",""))))</f>
        <v/>
      </c>
      <c r="E1779" s="25" t="str">
        <f aca="false">IF(D1779="","",IFERROR(INDEX(Empresas!$C:$C,MATCH(D1779,Empresas!$B:$B,0)),"cadastre o CNPJ em Empresas"))</f>
        <v/>
      </c>
      <c r="F1779" s="23"/>
      <c r="G1779" s="35"/>
      <c r="H1779" s="24"/>
      <c r="I1779" s="11"/>
      <c r="J1779" s="27" t="str">
        <f aca="false">IF(A1779="","",YEAR(A1779))</f>
        <v/>
      </c>
      <c r="K1779" s="24"/>
      <c r="L1779" s="11"/>
    </row>
    <row r="1780" customFormat="false" ht="15" hidden="false" customHeight="false" outlineLevel="0" collapsed="false">
      <c r="A1780" s="22"/>
      <c r="B1780" s="11"/>
      <c r="C1780" s="24"/>
      <c r="D1780" s="31" t="str">
        <f aca="false">IF(C1780="","",IF(LEN(UPPER(SUBSTITUTE(SUBSTITUTE(SUBSTITUTE(SUBSTITUTE(TRIM(C1780),".",""),"/",""),"-","")," ","")))&lt;14,RIGHT(REPT("0",14)&amp;UPPER(SUBSTITUTE(SUBSTITUTE(SUBSTITUTE(SUBSTITUTE(TRIM(C1780),".",""),"/",""),"-","")," ","")),14),UPPER(SUBSTITUTE(SUBSTITUTE(SUBSTITUTE(SUBSTITUTE(TRIM(C1780),".",""),"/",""),"-","")," ",""))))</f>
        <v/>
      </c>
      <c r="E1780" s="25" t="str">
        <f aca="false">IF(D1780="","",IFERROR(INDEX(Empresas!$C:$C,MATCH(D1780,Empresas!$B:$B,0)),"cadastre o CNPJ em Empresas"))</f>
        <v/>
      </c>
      <c r="F1780" s="23"/>
      <c r="G1780" s="35"/>
      <c r="H1780" s="24"/>
      <c r="I1780" s="11"/>
      <c r="J1780" s="27" t="str">
        <f aca="false">IF(A1780="","",YEAR(A1780))</f>
        <v/>
      </c>
      <c r="K1780" s="24"/>
      <c r="L1780" s="11"/>
    </row>
    <row r="1781" customFormat="false" ht="15" hidden="false" customHeight="false" outlineLevel="0" collapsed="false">
      <c r="A1781" s="22"/>
      <c r="B1781" s="11"/>
      <c r="C1781" s="24"/>
      <c r="D1781" s="31" t="str">
        <f aca="false">IF(C1781="","",IF(LEN(UPPER(SUBSTITUTE(SUBSTITUTE(SUBSTITUTE(SUBSTITUTE(TRIM(C1781),".",""),"/",""),"-","")," ","")))&lt;14,RIGHT(REPT("0",14)&amp;UPPER(SUBSTITUTE(SUBSTITUTE(SUBSTITUTE(SUBSTITUTE(TRIM(C1781),".",""),"/",""),"-","")," ","")),14),UPPER(SUBSTITUTE(SUBSTITUTE(SUBSTITUTE(SUBSTITUTE(TRIM(C1781),".",""),"/",""),"-","")," ",""))))</f>
        <v/>
      </c>
      <c r="E1781" s="25" t="str">
        <f aca="false">IF(D1781="","",IFERROR(INDEX(Empresas!$C:$C,MATCH(D1781,Empresas!$B:$B,0)),"cadastre o CNPJ em Empresas"))</f>
        <v/>
      </c>
      <c r="F1781" s="23"/>
      <c r="G1781" s="35"/>
      <c r="H1781" s="24"/>
      <c r="I1781" s="11"/>
      <c r="J1781" s="27" t="str">
        <f aca="false">IF(A1781="","",YEAR(A1781))</f>
        <v/>
      </c>
      <c r="K1781" s="24"/>
      <c r="L1781" s="11"/>
    </row>
    <row r="1782" customFormat="false" ht="15" hidden="false" customHeight="false" outlineLevel="0" collapsed="false">
      <c r="A1782" s="22"/>
      <c r="B1782" s="11"/>
      <c r="C1782" s="24"/>
      <c r="D1782" s="31" t="str">
        <f aca="false">IF(C1782="","",IF(LEN(UPPER(SUBSTITUTE(SUBSTITUTE(SUBSTITUTE(SUBSTITUTE(TRIM(C1782),".",""),"/",""),"-","")," ","")))&lt;14,RIGHT(REPT("0",14)&amp;UPPER(SUBSTITUTE(SUBSTITUTE(SUBSTITUTE(SUBSTITUTE(TRIM(C1782),".",""),"/",""),"-","")," ","")),14),UPPER(SUBSTITUTE(SUBSTITUTE(SUBSTITUTE(SUBSTITUTE(TRIM(C1782),".",""),"/",""),"-","")," ",""))))</f>
        <v/>
      </c>
      <c r="E1782" s="25" t="str">
        <f aca="false">IF(D1782="","",IFERROR(INDEX(Empresas!$C:$C,MATCH(D1782,Empresas!$B:$B,0)),"cadastre o CNPJ em Empresas"))</f>
        <v/>
      </c>
      <c r="F1782" s="23"/>
      <c r="G1782" s="35"/>
      <c r="H1782" s="24"/>
      <c r="I1782" s="11"/>
      <c r="J1782" s="27" t="str">
        <f aca="false">IF(A1782="","",YEAR(A1782))</f>
        <v/>
      </c>
      <c r="K1782" s="24"/>
      <c r="L1782" s="11"/>
    </row>
    <row r="1783" customFormat="false" ht="15" hidden="false" customHeight="false" outlineLevel="0" collapsed="false">
      <c r="A1783" s="22"/>
      <c r="B1783" s="11"/>
      <c r="C1783" s="24"/>
      <c r="D1783" s="31" t="str">
        <f aca="false">IF(C1783="","",IF(LEN(UPPER(SUBSTITUTE(SUBSTITUTE(SUBSTITUTE(SUBSTITUTE(TRIM(C1783),".",""),"/",""),"-","")," ","")))&lt;14,RIGHT(REPT("0",14)&amp;UPPER(SUBSTITUTE(SUBSTITUTE(SUBSTITUTE(SUBSTITUTE(TRIM(C1783),".",""),"/",""),"-","")," ","")),14),UPPER(SUBSTITUTE(SUBSTITUTE(SUBSTITUTE(SUBSTITUTE(TRIM(C1783),".",""),"/",""),"-","")," ",""))))</f>
        <v/>
      </c>
      <c r="E1783" s="25" t="str">
        <f aca="false">IF(D1783="","",IFERROR(INDEX(Empresas!$C:$C,MATCH(D1783,Empresas!$B:$B,0)),"cadastre o CNPJ em Empresas"))</f>
        <v/>
      </c>
      <c r="F1783" s="23"/>
      <c r="G1783" s="35"/>
      <c r="H1783" s="24"/>
      <c r="I1783" s="11"/>
      <c r="J1783" s="27" t="str">
        <f aca="false">IF(A1783="","",YEAR(A1783))</f>
        <v/>
      </c>
      <c r="K1783" s="24"/>
      <c r="L1783" s="11"/>
    </row>
    <row r="1784" customFormat="false" ht="15" hidden="false" customHeight="false" outlineLevel="0" collapsed="false">
      <c r="A1784" s="22"/>
      <c r="B1784" s="11"/>
      <c r="C1784" s="24"/>
      <c r="D1784" s="31" t="str">
        <f aca="false">IF(C1784="","",IF(LEN(UPPER(SUBSTITUTE(SUBSTITUTE(SUBSTITUTE(SUBSTITUTE(TRIM(C1784),".",""),"/",""),"-","")," ","")))&lt;14,RIGHT(REPT("0",14)&amp;UPPER(SUBSTITUTE(SUBSTITUTE(SUBSTITUTE(SUBSTITUTE(TRIM(C1784),".",""),"/",""),"-","")," ","")),14),UPPER(SUBSTITUTE(SUBSTITUTE(SUBSTITUTE(SUBSTITUTE(TRIM(C1784),".",""),"/",""),"-","")," ",""))))</f>
        <v/>
      </c>
      <c r="E1784" s="25" t="str">
        <f aca="false">IF(D1784="","",IFERROR(INDEX(Empresas!$C:$C,MATCH(D1784,Empresas!$B:$B,0)),"cadastre o CNPJ em Empresas"))</f>
        <v/>
      </c>
      <c r="F1784" s="23"/>
      <c r="G1784" s="35"/>
      <c r="H1784" s="24"/>
      <c r="I1784" s="11"/>
      <c r="J1784" s="27" t="str">
        <f aca="false">IF(A1784="","",YEAR(A1784))</f>
        <v/>
      </c>
      <c r="K1784" s="24"/>
      <c r="L1784" s="11"/>
    </row>
    <row r="1785" customFormat="false" ht="15" hidden="false" customHeight="false" outlineLevel="0" collapsed="false">
      <c r="A1785" s="22"/>
      <c r="B1785" s="11"/>
      <c r="C1785" s="24"/>
      <c r="D1785" s="31" t="str">
        <f aca="false">IF(C1785="","",IF(LEN(UPPER(SUBSTITUTE(SUBSTITUTE(SUBSTITUTE(SUBSTITUTE(TRIM(C1785),".",""),"/",""),"-","")," ","")))&lt;14,RIGHT(REPT("0",14)&amp;UPPER(SUBSTITUTE(SUBSTITUTE(SUBSTITUTE(SUBSTITUTE(TRIM(C1785),".",""),"/",""),"-","")," ","")),14),UPPER(SUBSTITUTE(SUBSTITUTE(SUBSTITUTE(SUBSTITUTE(TRIM(C1785),".",""),"/",""),"-","")," ",""))))</f>
        <v/>
      </c>
      <c r="E1785" s="25" t="str">
        <f aca="false">IF(D1785="","",IFERROR(INDEX(Empresas!$C:$C,MATCH(D1785,Empresas!$B:$B,0)),"cadastre o CNPJ em Empresas"))</f>
        <v/>
      </c>
      <c r="F1785" s="23"/>
      <c r="G1785" s="35"/>
      <c r="H1785" s="24"/>
      <c r="I1785" s="11"/>
      <c r="J1785" s="27" t="str">
        <f aca="false">IF(A1785="","",YEAR(A1785))</f>
        <v/>
      </c>
      <c r="K1785" s="24"/>
      <c r="L1785" s="11"/>
    </row>
    <row r="1786" customFormat="false" ht="15" hidden="false" customHeight="false" outlineLevel="0" collapsed="false">
      <c r="A1786" s="22"/>
      <c r="B1786" s="11"/>
      <c r="C1786" s="24"/>
      <c r="D1786" s="31" t="str">
        <f aca="false">IF(C1786="","",IF(LEN(UPPER(SUBSTITUTE(SUBSTITUTE(SUBSTITUTE(SUBSTITUTE(TRIM(C1786),".",""),"/",""),"-","")," ","")))&lt;14,RIGHT(REPT("0",14)&amp;UPPER(SUBSTITUTE(SUBSTITUTE(SUBSTITUTE(SUBSTITUTE(TRIM(C1786),".",""),"/",""),"-","")," ","")),14),UPPER(SUBSTITUTE(SUBSTITUTE(SUBSTITUTE(SUBSTITUTE(TRIM(C1786),".",""),"/",""),"-","")," ",""))))</f>
        <v/>
      </c>
      <c r="E1786" s="25" t="str">
        <f aca="false">IF(D1786="","",IFERROR(INDEX(Empresas!$C:$C,MATCH(D1786,Empresas!$B:$B,0)),"cadastre o CNPJ em Empresas"))</f>
        <v/>
      </c>
      <c r="F1786" s="23"/>
      <c r="G1786" s="35"/>
      <c r="H1786" s="24"/>
      <c r="I1786" s="11"/>
      <c r="J1786" s="27" t="str">
        <f aca="false">IF(A1786="","",YEAR(A1786))</f>
        <v/>
      </c>
      <c r="K1786" s="24"/>
      <c r="L1786" s="11"/>
    </row>
    <row r="1787" customFormat="false" ht="15" hidden="false" customHeight="false" outlineLevel="0" collapsed="false">
      <c r="A1787" s="22"/>
      <c r="B1787" s="11"/>
      <c r="C1787" s="24"/>
      <c r="D1787" s="31" t="str">
        <f aca="false">IF(C1787="","",IF(LEN(UPPER(SUBSTITUTE(SUBSTITUTE(SUBSTITUTE(SUBSTITUTE(TRIM(C1787),".",""),"/",""),"-","")," ","")))&lt;14,RIGHT(REPT("0",14)&amp;UPPER(SUBSTITUTE(SUBSTITUTE(SUBSTITUTE(SUBSTITUTE(TRIM(C1787),".",""),"/",""),"-","")," ","")),14),UPPER(SUBSTITUTE(SUBSTITUTE(SUBSTITUTE(SUBSTITUTE(TRIM(C1787),".",""),"/",""),"-","")," ",""))))</f>
        <v/>
      </c>
      <c r="E1787" s="25" t="str">
        <f aca="false">IF(D1787="","",IFERROR(INDEX(Empresas!$C:$C,MATCH(D1787,Empresas!$B:$B,0)),"cadastre o CNPJ em Empresas"))</f>
        <v/>
      </c>
      <c r="F1787" s="23"/>
      <c r="G1787" s="35"/>
      <c r="H1787" s="24"/>
      <c r="I1787" s="11"/>
      <c r="J1787" s="27" t="str">
        <f aca="false">IF(A1787="","",YEAR(A1787))</f>
        <v/>
      </c>
      <c r="K1787" s="24"/>
      <c r="L1787" s="11"/>
    </row>
    <row r="1788" customFormat="false" ht="15" hidden="false" customHeight="false" outlineLevel="0" collapsed="false">
      <c r="A1788" s="22"/>
      <c r="B1788" s="11"/>
      <c r="C1788" s="24"/>
      <c r="D1788" s="31" t="str">
        <f aca="false">IF(C1788="","",IF(LEN(UPPER(SUBSTITUTE(SUBSTITUTE(SUBSTITUTE(SUBSTITUTE(TRIM(C1788),".",""),"/",""),"-","")," ","")))&lt;14,RIGHT(REPT("0",14)&amp;UPPER(SUBSTITUTE(SUBSTITUTE(SUBSTITUTE(SUBSTITUTE(TRIM(C1788),".",""),"/",""),"-","")," ","")),14),UPPER(SUBSTITUTE(SUBSTITUTE(SUBSTITUTE(SUBSTITUTE(TRIM(C1788),".",""),"/",""),"-","")," ",""))))</f>
        <v/>
      </c>
      <c r="E1788" s="25" t="str">
        <f aca="false">IF(D1788="","",IFERROR(INDEX(Empresas!$C:$C,MATCH(D1788,Empresas!$B:$B,0)),"cadastre o CNPJ em Empresas"))</f>
        <v/>
      </c>
      <c r="F1788" s="23"/>
      <c r="G1788" s="35"/>
      <c r="H1788" s="24"/>
      <c r="I1788" s="11"/>
      <c r="J1788" s="27" t="str">
        <f aca="false">IF(A1788="","",YEAR(A1788))</f>
        <v/>
      </c>
      <c r="K1788" s="24"/>
      <c r="L1788" s="11"/>
    </row>
    <row r="1789" customFormat="false" ht="15" hidden="false" customHeight="false" outlineLevel="0" collapsed="false">
      <c r="A1789" s="22"/>
      <c r="B1789" s="11"/>
      <c r="C1789" s="24"/>
      <c r="D1789" s="31" t="str">
        <f aca="false">IF(C1789="","",IF(LEN(UPPER(SUBSTITUTE(SUBSTITUTE(SUBSTITUTE(SUBSTITUTE(TRIM(C1789),".",""),"/",""),"-","")," ","")))&lt;14,RIGHT(REPT("0",14)&amp;UPPER(SUBSTITUTE(SUBSTITUTE(SUBSTITUTE(SUBSTITUTE(TRIM(C1789),".",""),"/",""),"-","")," ","")),14),UPPER(SUBSTITUTE(SUBSTITUTE(SUBSTITUTE(SUBSTITUTE(TRIM(C1789),".",""),"/",""),"-","")," ",""))))</f>
        <v/>
      </c>
      <c r="E1789" s="25" t="str">
        <f aca="false">IF(D1789="","",IFERROR(INDEX(Empresas!$C:$C,MATCH(D1789,Empresas!$B:$B,0)),"cadastre o CNPJ em Empresas"))</f>
        <v/>
      </c>
      <c r="F1789" s="23"/>
      <c r="G1789" s="35"/>
      <c r="H1789" s="24"/>
      <c r="I1789" s="11"/>
      <c r="J1789" s="27" t="str">
        <f aca="false">IF(A1789="","",YEAR(A1789))</f>
        <v/>
      </c>
      <c r="K1789" s="24"/>
      <c r="L1789" s="11"/>
    </row>
    <row r="1790" customFormat="false" ht="15" hidden="false" customHeight="false" outlineLevel="0" collapsed="false">
      <c r="A1790" s="22"/>
      <c r="B1790" s="11"/>
      <c r="C1790" s="24"/>
      <c r="D1790" s="31" t="str">
        <f aca="false">IF(C1790="","",IF(LEN(UPPER(SUBSTITUTE(SUBSTITUTE(SUBSTITUTE(SUBSTITUTE(TRIM(C1790),".",""),"/",""),"-","")," ","")))&lt;14,RIGHT(REPT("0",14)&amp;UPPER(SUBSTITUTE(SUBSTITUTE(SUBSTITUTE(SUBSTITUTE(TRIM(C1790),".",""),"/",""),"-","")," ","")),14),UPPER(SUBSTITUTE(SUBSTITUTE(SUBSTITUTE(SUBSTITUTE(TRIM(C1790),".",""),"/",""),"-","")," ",""))))</f>
        <v/>
      </c>
      <c r="E1790" s="25" t="str">
        <f aca="false">IF(D1790="","",IFERROR(INDEX(Empresas!$C:$C,MATCH(D1790,Empresas!$B:$B,0)),"cadastre o CNPJ em Empresas"))</f>
        <v/>
      </c>
      <c r="F1790" s="23"/>
      <c r="G1790" s="35"/>
      <c r="H1790" s="24"/>
      <c r="I1790" s="11"/>
      <c r="J1790" s="27" t="str">
        <f aca="false">IF(A1790="","",YEAR(A1790))</f>
        <v/>
      </c>
      <c r="K1790" s="24"/>
      <c r="L1790" s="11"/>
    </row>
    <row r="1791" customFormat="false" ht="15" hidden="false" customHeight="false" outlineLevel="0" collapsed="false">
      <c r="A1791" s="22"/>
      <c r="B1791" s="11"/>
      <c r="C1791" s="24"/>
      <c r="D1791" s="31" t="str">
        <f aca="false">IF(C1791="","",IF(LEN(UPPER(SUBSTITUTE(SUBSTITUTE(SUBSTITUTE(SUBSTITUTE(TRIM(C1791),".",""),"/",""),"-","")," ","")))&lt;14,RIGHT(REPT("0",14)&amp;UPPER(SUBSTITUTE(SUBSTITUTE(SUBSTITUTE(SUBSTITUTE(TRIM(C1791),".",""),"/",""),"-","")," ","")),14),UPPER(SUBSTITUTE(SUBSTITUTE(SUBSTITUTE(SUBSTITUTE(TRIM(C1791),".",""),"/",""),"-","")," ",""))))</f>
        <v/>
      </c>
      <c r="E1791" s="25" t="str">
        <f aca="false">IF(D1791="","",IFERROR(INDEX(Empresas!$C:$C,MATCH(D1791,Empresas!$B:$B,0)),"cadastre o CNPJ em Empresas"))</f>
        <v/>
      </c>
      <c r="F1791" s="23"/>
      <c r="G1791" s="35"/>
      <c r="H1791" s="24"/>
      <c r="I1791" s="11"/>
      <c r="J1791" s="27" t="str">
        <f aca="false">IF(A1791="","",YEAR(A1791))</f>
        <v/>
      </c>
      <c r="K1791" s="24"/>
      <c r="L1791" s="11"/>
    </row>
    <row r="1792" customFormat="false" ht="15" hidden="false" customHeight="false" outlineLevel="0" collapsed="false">
      <c r="A1792" s="22"/>
      <c r="B1792" s="11"/>
      <c r="C1792" s="24"/>
      <c r="D1792" s="31" t="str">
        <f aca="false">IF(C1792="","",IF(LEN(UPPER(SUBSTITUTE(SUBSTITUTE(SUBSTITUTE(SUBSTITUTE(TRIM(C1792),".",""),"/",""),"-","")," ","")))&lt;14,RIGHT(REPT("0",14)&amp;UPPER(SUBSTITUTE(SUBSTITUTE(SUBSTITUTE(SUBSTITUTE(TRIM(C1792),".",""),"/",""),"-","")," ","")),14),UPPER(SUBSTITUTE(SUBSTITUTE(SUBSTITUTE(SUBSTITUTE(TRIM(C1792),".",""),"/",""),"-","")," ",""))))</f>
        <v/>
      </c>
      <c r="E1792" s="25" t="str">
        <f aca="false">IF(D1792="","",IFERROR(INDEX(Empresas!$C:$C,MATCH(D1792,Empresas!$B:$B,0)),"cadastre o CNPJ em Empresas"))</f>
        <v/>
      </c>
      <c r="F1792" s="23"/>
      <c r="G1792" s="35"/>
      <c r="H1792" s="24"/>
      <c r="I1792" s="11"/>
      <c r="J1792" s="27" t="str">
        <f aca="false">IF(A1792="","",YEAR(A1792))</f>
        <v/>
      </c>
      <c r="K1792" s="24"/>
      <c r="L1792" s="11"/>
    </row>
    <row r="1793" customFormat="false" ht="15" hidden="false" customHeight="false" outlineLevel="0" collapsed="false">
      <c r="A1793" s="22"/>
      <c r="B1793" s="11"/>
      <c r="C1793" s="24"/>
      <c r="D1793" s="31" t="str">
        <f aca="false">IF(C1793="","",IF(LEN(UPPER(SUBSTITUTE(SUBSTITUTE(SUBSTITUTE(SUBSTITUTE(TRIM(C1793),".",""),"/",""),"-","")," ","")))&lt;14,RIGHT(REPT("0",14)&amp;UPPER(SUBSTITUTE(SUBSTITUTE(SUBSTITUTE(SUBSTITUTE(TRIM(C1793),".",""),"/",""),"-","")," ","")),14),UPPER(SUBSTITUTE(SUBSTITUTE(SUBSTITUTE(SUBSTITUTE(TRIM(C1793),".",""),"/",""),"-","")," ",""))))</f>
        <v/>
      </c>
      <c r="E1793" s="25" t="str">
        <f aca="false">IF(D1793="","",IFERROR(INDEX(Empresas!$C:$C,MATCH(D1793,Empresas!$B:$B,0)),"cadastre o CNPJ em Empresas"))</f>
        <v/>
      </c>
      <c r="F1793" s="23"/>
      <c r="G1793" s="35"/>
      <c r="H1793" s="24"/>
      <c r="I1793" s="11"/>
      <c r="J1793" s="27" t="str">
        <f aca="false">IF(A1793="","",YEAR(A1793))</f>
        <v/>
      </c>
      <c r="K1793" s="24"/>
      <c r="L1793" s="11"/>
    </row>
    <row r="1794" customFormat="false" ht="15" hidden="false" customHeight="false" outlineLevel="0" collapsed="false">
      <c r="A1794" s="22"/>
      <c r="B1794" s="11"/>
      <c r="C1794" s="24"/>
      <c r="D1794" s="31" t="str">
        <f aca="false">IF(C1794="","",IF(LEN(UPPER(SUBSTITUTE(SUBSTITUTE(SUBSTITUTE(SUBSTITUTE(TRIM(C1794),".",""),"/",""),"-","")," ","")))&lt;14,RIGHT(REPT("0",14)&amp;UPPER(SUBSTITUTE(SUBSTITUTE(SUBSTITUTE(SUBSTITUTE(TRIM(C1794),".",""),"/",""),"-","")," ","")),14),UPPER(SUBSTITUTE(SUBSTITUTE(SUBSTITUTE(SUBSTITUTE(TRIM(C1794),".",""),"/",""),"-","")," ",""))))</f>
        <v/>
      </c>
      <c r="E1794" s="25" t="str">
        <f aca="false">IF(D1794="","",IFERROR(INDEX(Empresas!$C:$C,MATCH(D1794,Empresas!$B:$B,0)),"cadastre o CNPJ em Empresas"))</f>
        <v/>
      </c>
      <c r="F1794" s="23"/>
      <c r="G1794" s="35"/>
      <c r="H1794" s="24"/>
      <c r="I1794" s="11"/>
      <c r="J1794" s="27" t="str">
        <f aca="false">IF(A1794="","",YEAR(A1794))</f>
        <v/>
      </c>
      <c r="K1794" s="24"/>
      <c r="L1794" s="11"/>
    </row>
    <row r="1795" customFormat="false" ht="15" hidden="false" customHeight="false" outlineLevel="0" collapsed="false">
      <c r="A1795" s="22"/>
      <c r="B1795" s="11"/>
      <c r="C1795" s="24"/>
      <c r="D1795" s="31" t="str">
        <f aca="false">IF(C1795="","",IF(LEN(UPPER(SUBSTITUTE(SUBSTITUTE(SUBSTITUTE(SUBSTITUTE(TRIM(C1795),".",""),"/",""),"-","")," ","")))&lt;14,RIGHT(REPT("0",14)&amp;UPPER(SUBSTITUTE(SUBSTITUTE(SUBSTITUTE(SUBSTITUTE(TRIM(C1795),".",""),"/",""),"-","")," ","")),14),UPPER(SUBSTITUTE(SUBSTITUTE(SUBSTITUTE(SUBSTITUTE(TRIM(C1795),".",""),"/",""),"-","")," ",""))))</f>
        <v/>
      </c>
      <c r="E1795" s="25" t="str">
        <f aca="false">IF(D1795="","",IFERROR(INDEX(Empresas!$C:$C,MATCH(D1795,Empresas!$B:$B,0)),"cadastre o CNPJ em Empresas"))</f>
        <v/>
      </c>
      <c r="F1795" s="23"/>
      <c r="G1795" s="35"/>
      <c r="H1795" s="24"/>
      <c r="I1795" s="11"/>
      <c r="J1795" s="27" t="str">
        <f aca="false">IF(A1795="","",YEAR(A1795))</f>
        <v/>
      </c>
      <c r="K1795" s="24"/>
      <c r="L1795" s="11"/>
    </row>
    <row r="1796" customFormat="false" ht="15" hidden="false" customHeight="false" outlineLevel="0" collapsed="false">
      <c r="A1796" s="22"/>
      <c r="B1796" s="11"/>
      <c r="C1796" s="24"/>
      <c r="D1796" s="31" t="str">
        <f aca="false">IF(C1796="","",IF(LEN(UPPER(SUBSTITUTE(SUBSTITUTE(SUBSTITUTE(SUBSTITUTE(TRIM(C1796),".",""),"/",""),"-","")," ","")))&lt;14,RIGHT(REPT("0",14)&amp;UPPER(SUBSTITUTE(SUBSTITUTE(SUBSTITUTE(SUBSTITUTE(TRIM(C1796),".",""),"/",""),"-","")," ","")),14),UPPER(SUBSTITUTE(SUBSTITUTE(SUBSTITUTE(SUBSTITUTE(TRIM(C1796),".",""),"/",""),"-","")," ",""))))</f>
        <v/>
      </c>
      <c r="E1796" s="25" t="str">
        <f aca="false">IF(D1796="","",IFERROR(INDEX(Empresas!$C:$C,MATCH(D1796,Empresas!$B:$B,0)),"cadastre o CNPJ em Empresas"))</f>
        <v/>
      </c>
      <c r="F1796" s="23"/>
      <c r="G1796" s="35"/>
      <c r="H1796" s="24"/>
      <c r="I1796" s="11"/>
      <c r="J1796" s="27" t="str">
        <f aca="false">IF(A1796="","",YEAR(A1796))</f>
        <v/>
      </c>
      <c r="K1796" s="24"/>
      <c r="L1796" s="11"/>
    </row>
    <row r="1797" customFormat="false" ht="15" hidden="false" customHeight="false" outlineLevel="0" collapsed="false">
      <c r="A1797" s="22"/>
      <c r="B1797" s="11"/>
      <c r="C1797" s="24"/>
      <c r="D1797" s="31" t="str">
        <f aca="false">IF(C1797="","",IF(LEN(UPPER(SUBSTITUTE(SUBSTITUTE(SUBSTITUTE(SUBSTITUTE(TRIM(C1797),".",""),"/",""),"-","")," ","")))&lt;14,RIGHT(REPT("0",14)&amp;UPPER(SUBSTITUTE(SUBSTITUTE(SUBSTITUTE(SUBSTITUTE(TRIM(C1797),".",""),"/",""),"-","")," ","")),14),UPPER(SUBSTITUTE(SUBSTITUTE(SUBSTITUTE(SUBSTITUTE(TRIM(C1797),".",""),"/",""),"-","")," ",""))))</f>
        <v/>
      </c>
      <c r="E1797" s="25" t="str">
        <f aca="false">IF(D1797="","",IFERROR(INDEX(Empresas!$C:$C,MATCH(D1797,Empresas!$B:$B,0)),"cadastre o CNPJ em Empresas"))</f>
        <v/>
      </c>
      <c r="F1797" s="23"/>
      <c r="G1797" s="35"/>
      <c r="H1797" s="24"/>
      <c r="I1797" s="11"/>
      <c r="J1797" s="27" t="str">
        <f aca="false">IF(A1797="","",YEAR(A1797))</f>
        <v/>
      </c>
      <c r="K1797" s="24"/>
      <c r="L1797" s="11"/>
    </row>
    <row r="1798" customFormat="false" ht="15" hidden="false" customHeight="false" outlineLevel="0" collapsed="false">
      <c r="A1798" s="22"/>
      <c r="B1798" s="11"/>
      <c r="C1798" s="24"/>
      <c r="D1798" s="31" t="str">
        <f aca="false">IF(C1798="","",IF(LEN(UPPER(SUBSTITUTE(SUBSTITUTE(SUBSTITUTE(SUBSTITUTE(TRIM(C1798),".",""),"/",""),"-","")," ","")))&lt;14,RIGHT(REPT("0",14)&amp;UPPER(SUBSTITUTE(SUBSTITUTE(SUBSTITUTE(SUBSTITUTE(TRIM(C1798),".",""),"/",""),"-","")," ","")),14),UPPER(SUBSTITUTE(SUBSTITUTE(SUBSTITUTE(SUBSTITUTE(TRIM(C1798),".",""),"/",""),"-","")," ",""))))</f>
        <v/>
      </c>
      <c r="E1798" s="25" t="str">
        <f aca="false">IF(D1798="","",IFERROR(INDEX(Empresas!$C:$C,MATCH(D1798,Empresas!$B:$B,0)),"cadastre o CNPJ em Empresas"))</f>
        <v/>
      </c>
      <c r="F1798" s="23"/>
      <c r="G1798" s="35"/>
      <c r="H1798" s="24"/>
      <c r="I1798" s="11"/>
      <c r="J1798" s="27" t="str">
        <f aca="false">IF(A1798="","",YEAR(A1798))</f>
        <v/>
      </c>
      <c r="K1798" s="24"/>
      <c r="L1798" s="11"/>
    </row>
    <row r="1799" customFormat="false" ht="15" hidden="false" customHeight="false" outlineLevel="0" collapsed="false">
      <c r="A1799" s="22"/>
      <c r="B1799" s="11"/>
      <c r="C1799" s="24"/>
      <c r="D1799" s="31" t="str">
        <f aca="false">IF(C1799="","",IF(LEN(UPPER(SUBSTITUTE(SUBSTITUTE(SUBSTITUTE(SUBSTITUTE(TRIM(C1799),".",""),"/",""),"-","")," ","")))&lt;14,RIGHT(REPT("0",14)&amp;UPPER(SUBSTITUTE(SUBSTITUTE(SUBSTITUTE(SUBSTITUTE(TRIM(C1799),".",""),"/",""),"-","")," ","")),14),UPPER(SUBSTITUTE(SUBSTITUTE(SUBSTITUTE(SUBSTITUTE(TRIM(C1799),".",""),"/",""),"-","")," ",""))))</f>
        <v/>
      </c>
      <c r="E1799" s="25" t="str">
        <f aca="false">IF(D1799="","",IFERROR(INDEX(Empresas!$C:$C,MATCH(D1799,Empresas!$B:$B,0)),"cadastre o CNPJ em Empresas"))</f>
        <v/>
      </c>
      <c r="F1799" s="23"/>
      <c r="G1799" s="35"/>
      <c r="H1799" s="24"/>
      <c r="I1799" s="11"/>
      <c r="J1799" s="27" t="str">
        <f aca="false">IF(A1799="","",YEAR(A1799))</f>
        <v/>
      </c>
      <c r="K1799" s="24"/>
      <c r="L1799" s="11"/>
    </row>
    <row r="1800" customFormat="false" ht="15" hidden="false" customHeight="false" outlineLevel="0" collapsed="false">
      <c r="A1800" s="22"/>
      <c r="B1800" s="11"/>
      <c r="C1800" s="24"/>
      <c r="D1800" s="31" t="str">
        <f aca="false">IF(C1800="","",IF(LEN(UPPER(SUBSTITUTE(SUBSTITUTE(SUBSTITUTE(SUBSTITUTE(TRIM(C1800),".",""),"/",""),"-","")," ","")))&lt;14,RIGHT(REPT("0",14)&amp;UPPER(SUBSTITUTE(SUBSTITUTE(SUBSTITUTE(SUBSTITUTE(TRIM(C1800),".",""),"/",""),"-","")," ","")),14),UPPER(SUBSTITUTE(SUBSTITUTE(SUBSTITUTE(SUBSTITUTE(TRIM(C1800),".",""),"/",""),"-","")," ",""))))</f>
        <v/>
      </c>
      <c r="E1800" s="25" t="str">
        <f aca="false">IF(D1800="","",IFERROR(INDEX(Empresas!$C:$C,MATCH(D1800,Empresas!$B:$B,0)),"cadastre o CNPJ em Empresas"))</f>
        <v/>
      </c>
      <c r="F1800" s="23"/>
      <c r="G1800" s="35"/>
      <c r="H1800" s="24"/>
      <c r="I1800" s="11"/>
      <c r="J1800" s="27" t="str">
        <f aca="false">IF(A1800="","",YEAR(A1800))</f>
        <v/>
      </c>
      <c r="K1800" s="24"/>
      <c r="L1800" s="11"/>
    </row>
    <row r="1801" customFormat="false" ht="15" hidden="false" customHeight="false" outlineLevel="0" collapsed="false">
      <c r="A1801" s="22"/>
      <c r="B1801" s="11"/>
      <c r="C1801" s="24"/>
      <c r="D1801" s="31" t="str">
        <f aca="false">IF(C1801="","",IF(LEN(UPPER(SUBSTITUTE(SUBSTITUTE(SUBSTITUTE(SUBSTITUTE(TRIM(C1801),".",""),"/",""),"-","")," ","")))&lt;14,RIGHT(REPT("0",14)&amp;UPPER(SUBSTITUTE(SUBSTITUTE(SUBSTITUTE(SUBSTITUTE(TRIM(C1801),".",""),"/",""),"-","")," ","")),14),UPPER(SUBSTITUTE(SUBSTITUTE(SUBSTITUTE(SUBSTITUTE(TRIM(C1801),".",""),"/",""),"-","")," ",""))))</f>
        <v/>
      </c>
      <c r="E1801" s="25" t="str">
        <f aca="false">IF(D1801="","",IFERROR(INDEX(Empresas!$C:$C,MATCH(D1801,Empresas!$B:$B,0)),"cadastre o CNPJ em Empresas"))</f>
        <v/>
      </c>
      <c r="F1801" s="23"/>
      <c r="G1801" s="35"/>
      <c r="H1801" s="24"/>
      <c r="I1801" s="11"/>
      <c r="J1801" s="27" t="str">
        <f aca="false">IF(A1801="","",YEAR(A1801))</f>
        <v/>
      </c>
      <c r="K1801" s="24"/>
      <c r="L1801" s="11"/>
    </row>
    <row r="1802" customFormat="false" ht="15" hidden="false" customHeight="false" outlineLevel="0" collapsed="false">
      <c r="A1802" s="22"/>
      <c r="B1802" s="11"/>
      <c r="C1802" s="24"/>
      <c r="D1802" s="31" t="str">
        <f aca="false">IF(C1802="","",IF(LEN(UPPER(SUBSTITUTE(SUBSTITUTE(SUBSTITUTE(SUBSTITUTE(TRIM(C1802),".",""),"/",""),"-","")," ","")))&lt;14,RIGHT(REPT("0",14)&amp;UPPER(SUBSTITUTE(SUBSTITUTE(SUBSTITUTE(SUBSTITUTE(TRIM(C1802),".",""),"/",""),"-","")," ","")),14),UPPER(SUBSTITUTE(SUBSTITUTE(SUBSTITUTE(SUBSTITUTE(TRIM(C1802),".",""),"/",""),"-","")," ",""))))</f>
        <v/>
      </c>
      <c r="E1802" s="25" t="str">
        <f aca="false">IF(D1802="","",IFERROR(INDEX(Empresas!$C:$C,MATCH(D1802,Empresas!$B:$B,0)),"cadastre o CNPJ em Empresas"))</f>
        <v/>
      </c>
      <c r="F1802" s="23"/>
      <c r="G1802" s="35"/>
      <c r="H1802" s="24"/>
      <c r="I1802" s="11"/>
      <c r="J1802" s="27" t="str">
        <f aca="false">IF(A1802="","",YEAR(A1802))</f>
        <v/>
      </c>
      <c r="K1802" s="24"/>
      <c r="L1802" s="11"/>
    </row>
    <row r="1803" customFormat="false" ht="15" hidden="false" customHeight="false" outlineLevel="0" collapsed="false">
      <c r="A1803" s="22"/>
      <c r="B1803" s="11"/>
      <c r="C1803" s="24"/>
      <c r="D1803" s="31" t="str">
        <f aca="false">IF(C1803="","",IF(LEN(UPPER(SUBSTITUTE(SUBSTITUTE(SUBSTITUTE(SUBSTITUTE(TRIM(C1803),".",""),"/",""),"-","")," ","")))&lt;14,RIGHT(REPT("0",14)&amp;UPPER(SUBSTITUTE(SUBSTITUTE(SUBSTITUTE(SUBSTITUTE(TRIM(C1803),".",""),"/",""),"-","")," ","")),14),UPPER(SUBSTITUTE(SUBSTITUTE(SUBSTITUTE(SUBSTITUTE(TRIM(C1803),".",""),"/",""),"-","")," ",""))))</f>
        <v/>
      </c>
      <c r="E1803" s="25" t="str">
        <f aca="false">IF(D1803="","",IFERROR(INDEX(Empresas!$C:$C,MATCH(D1803,Empresas!$B:$B,0)),"cadastre o CNPJ em Empresas"))</f>
        <v/>
      </c>
      <c r="F1803" s="23"/>
      <c r="G1803" s="35"/>
      <c r="H1803" s="24"/>
      <c r="I1803" s="11"/>
      <c r="J1803" s="27" t="str">
        <f aca="false">IF(A1803="","",YEAR(A1803))</f>
        <v/>
      </c>
      <c r="K1803" s="24"/>
      <c r="L1803" s="11"/>
    </row>
    <row r="1804" customFormat="false" ht="15" hidden="false" customHeight="false" outlineLevel="0" collapsed="false">
      <c r="A1804" s="22"/>
      <c r="B1804" s="11"/>
      <c r="C1804" s="24"/>
      <c r="D1804" s="31" t="str">
        <f aca="false">IF(C1804="","",IF(LEN(UPPER(SUBSTITUTE(SUBSTITUTE(SUBSTITUTE(SUBSTITUTE(TRIM(C1804),".",""),"/",""),"-","")," ","")))&lt;14,RIGHT(REPT("0",14)&amp;UPPER(SUBSTITUTE(SUBSTITUTE(SUBSTITUTE(SUBSTITUTE(TRIM(C1804),".",""),"/",""),"-","")," ","")),14),UPPER(SUBSTITUTE(SUBSTITUTE(SUBSTITUTE(SUBSTITUTE(TRIM(C1804),".",""),"/",""),"-","")," ",""))))</f>
        <v/>
      </c>
      <c r="E1804" s="25" t="str">
        <f aca="false">IF(D1804="","",IFERROR(INDEX(Empresas!$C:$C,MATCH(D1804,Empresas!$B:$B,0)),"cadastre o CNPJ em Empresas"))</f>
        <v/>
      </c>
      <c r="F1804" s="23"/>
      <c r="G1804" s="35"/>
      <c r="H1804" s="24"/>
      <c r="I1804" s="11"/>
      <c r="J1804" s="27" t="str">
        <f aca="false">IF(A1804="","",YEAR(A1804))</f>
        <v/>
      </c>
      <c r="K1804" s="24"/>
      <c r="L1804" s="11"/>
    </row>
    <row r="1805" customFormat="false" ht="15" hidden="false" customHeight="false" outlineLevel="0" collapsed="false">
      <c r="A1805" s="22"/>
      <c r="B1805" s="11"/>
      <c r="C1805" s="24"/>
      <c r="D1805" s="31" t="str">
        <f aca="false">IF(C1805="","",IF(LEN(UPPER(SUBSTITUTE(SUBSTITUTE(SUBSTITUTE(SUBSTITUTE(TRIM(C1805),".",""),"/",""),"-","")," ","")))&lt;14,RIGHT(REPT("0",14)&amp;UPPER(SUBSTITUTE(SUBSTITUTE(SUBSTITUTE(SUBSTITUTE(TRIM(C1805),".",""),"/",""),"-","")," ","")),14),UPPER(SUBSTITUTE(SUBSTITUTE(SUBSTITUTE(SUBSTITUTE(TRIM(C1805),".",""),"/",""),"-","")," ",""))))</f>
        <v/>
      </c>
      <c r="E1805" s="25" t="str">
        <f aca="false">IF(D1805="","",IFERROR(INDEX(Empresas!$C:$C,MATCH(D1805,Empresas!$B:$B,0)),"cadastre o CNPJ em Empresas"))</f>
        <v/>
      </c>
      <c r="F1805" s="23"/>
      <c r="G1805" s="35"/>
      <c r="H1805" s="24"/>
      <c r="I1805" s="11"/>
      <c r="J1805" s="27" t="str">
        <f aca="false">IF(A1805="","",YEAR(A1805))</f>
        <v/>
      </c>
      <c r="K1805" s="24"/>
      <c r="L1805" s="11"/>
    </row>
    <row r="1806" customFormat="false" ht="15" hidden="false" customHeight="false" outlineLevel="0" collapsed="false">
      <c r="A1806" s="22"/>
      <c r="B1806" s="11"/>
      <c r="C1806" s="24"/>
      <c r="D1806" s="31" t="str">
        <f aca="false">IF(C1806="","",IF(LEN(UPPER(SUBSTITUTE(SUBSTITUTE(SUBSTITUTE(SUBSTITUTE(TRIM(C1806),".",""),"/",""),"-","")," ","")))&lt;14,RIGHT(REPT("0",14)&amp;UPPER(SUBSTITUTE(SUBSTITUTE(SUBSTITUTE(SUBSTITUTE(TRIM(C1806),".",""),"/",""),"-","")," ","")),14),UPPER(SUBSTITUTE(SUBSTITUTE(SUBSTITUTE(SUBSTITUTE(TRIM(C1806),".",""),"/",""),"-","")," ",""))))</f>
        <v/>
      </c>
      <c r="E1806" s="25" t="str">
        <f aca="false">IF(D1806="","",IFERROR(INDEX(Empresas!$C:$C,MATCH(D1806,Empresas!$B:$B,0)),"cadastre o CNPJ em Empresas"))</f>
        <v/>
      </c>
      <c r="F1806" s="23"/>
      <c r="G1806" s="35"/>
      <c r="H1806" s="24"/>
      <c r="I1806" s="11"/>
      <c r="J1806" s="27" t="str">
        <f aca="false">IF(A1806="","",YEAR(A1806))</f>
        <v/>
      </c>
      <c r="K1806" s="24"/>
      <c r="L1806" s="11"/>
    </row>
    <row r="1807" customFormat="false" ht="15" hidden="false" customHeight="false" outlineLevel="0" collapsed="false">
      <c r="A1807" s="22"/>
      <c r="B1807" s="11"/>
      <c r="C1807" s="24"/>
      <c r="D1807" s="31" t="str">
        <f aca="false">IF(C1807="","",IF(LEN(UPPER(SUBSTITUTE(SUBSTITUTE(SUBSTITUTE(SUBSTITUTE(TRIM(C1807),".",""),"/",""),"-","")," ","")))&lt;14,RIGHT(REPT("0",14)&amp;UPPER(SUBSTITUTE(SUBSTITUTE(SUBSTITUTE(SUBSTITUTE(TRIM(C1807),".",""),"/",""),"-","")," ","")),14),UPPER(SUBSTITUTE(SUBSTITUTE(SUBSTITUTE(SUBSTITUTE(TRIM(C1807),".",""),"/",""),"-","")," ",""))))</f>
        <v/>
      </c>
      <c r="E1807" s="25" t="str">
        <f aca="false">IF(D1807="","",IFERROR(INDEX(Empresas!$C:$C,MATCH(D1807,Empresas!$B:$B,0)),"cadastre o CNPJ em Empresas"))</f>
        <v/>
      </c>
      <c r="F1807" s="23"/>
      <c r="G1807" s="35"/>
      <c r="H1807" s="24"/>
      <c r="I1807" s="11"/>
      <c r="J1807" s="27" t="str">
        <f aca="false">IF(A1807="","",YEAR(A1807))</f>
        <v/>
      </c>
      <c r="K1807" s="24"/>
      <c r="L1807" s="11"/>
    </row>
    <row r="1808" customFormat="false" ht="15" hidden="false" customHeight="false" outlineLevel="0" collapsed="false">
      <c r="A1808" s="22"/>
      <c r="B1808" s="11"/>
      <c r="C1808" s="24"/>
      <c r="D1808" s="31" t="str">
        <f aca="false">IF(C1808="","",IF(LEN(UPPER(SUBSTITUTE(SUBSTITUTE(SUBSTITUTE(SUBSTITUTE(TRIM(C1808),".",""),"/",""),"-","")," ","")))&lt;14,RIGHT(REPT("0",14)&amp;UPPER(SUBSTITUTE(SUBSTITUTE(SUBSTITUTE(SUBSTITUTE(TRIM(C1808),".",""),"/",""),"-","")," ","")),14),UPPER(SUBSTITUTE(SUBSTITUTE(SUBSTITUTE(SUBSTITUTE(TRIM(C1808),".",""),"/",""),"-","")," ",""))))</f>
        <v/>
      </c>
      <c r="E1808" s="25" t="str">
        <f aca="false">IF(D1808="","",IFERROR(INDEX(Empresas!$C:$C,MATCH(D1808,Empresas!$B:$B,0)),"cadastre o CNPJ em Empresas"))</f>
        <v/>
      </c>
      <c r="F1808" s="23"/>
      <c r="G1808" s="35"/>
      <c r="H1808" s="24"/>
      <c r="I1808" s="11"/>
      <c r="J1808" s="27" t="str">
        <f aca="false">IF(A1808="","",YEAR(A1808))</f>
        <v/>
      </c>
      <c r="K1808" s="24"/>
      <c r="L1808" s="11"/>
    </row>
    <row r="1809" customFormat="false" ht="15" hidden="false" customHeight="false" outlineLevel="0" collapsed="false">
      <c r="A1809" s="22"/>
      <c r="B1809" s="11"/>
      <c r="C1809" s="24"/>
      <c r="D1809" s="31" t="str">
        <f aca="false">IF(C1809="","",IF(LEN(UPPER(SUBSTITUTE(SUBSTITUTE(SUBSTITUTE(SUBSTITUTE(TRIM(C1809),".",""),"/",""),"-","")," ","")))&lt;14,RIGHT(REPT("0",14)&amp;UPPER(SUBSTITUTE(SUBSTITUTE(SUBSTITUTE(SUBSTITUTE(TRIM(C1809),".",""),"/",""),"-","")," ","")),14),UPPER(SUBSTITUTE(SUBSTITUTE(SUBSTITUTE(SUBSTITUTE(TRIM(C1809),".",""),"/",""),"-","")," ",""))))</f>
        <v/>
      </c>
      <c r="E1809" s="25" t="str">
        <f aca="false">IF(D1809="","",IFERROR(INDEX(Empresas!$C:$C,MATCH(D1809,Empresas!$B:$B,0)),"cadastre o CNPJ em Empresas"))</f>
        <v/>
      </c>
      <c r="F1809" s="23"/>
      <c r="G1809" s="35"/>
      <c r="H1809" s="24"/>
      <c r="I1809" s="11"/>
      <c r="J1809" s="27" t="str">
        <f aca="false">IF(A1809="","",YEAR(A1809))</f>
        <v/>
      </c>
      <c r="K1809" s="24"/>
      <c r="L1809" s="11"/>
    </row>
    <row r="1810" customFormat="false" ht="15" hidden="false" customHeight="false" outlineLevel="0" collapsed="false">
      <c r="A1810" s="22"/>
      <c r="B1810" s="11"/>
      <c r="C1810" s="24"/>
      <c r="D1810" s="31" t="str">
        <f aca="false">IF(C1810="","",IF(LEN(UPPER(SUBSTITUTE(SUBSTITUTE(SUBSTITUTE(SUBSTITUTE(TRIM(C1810),".",""),"/",""),"-","")," ","")))&lt;14,RIGHT(REPT("0",14)&amp;UPPER(SUBSTITUTE(SUBSTITUTE(SUBSTITUTE(SUBSTITUTE(TRIM(C1810),".",""),"/",""),"-","")," ","")),14),UPPER(SUBSTITUTE(SUBSTITUTE(SUBSTITUTE(SUBSTITUTE(TRIM(C1810),".",""),"/",""),"-","")," ",""))))</f>
        <v/>
      </c>
      <c r="E1810" s="25" t="str">
        <f aca="false">IF(D1810="","",IFERROR(INDEX(Empresas!$C:$C,MATCH(D1810,Empresas!$B:$B,0)),"cadastre o CNPJ em Empresas"))</f>
        <v/>
      </c>
      <c r="F1810" s="23"/>
      <c r="G1810" s="35"/>
      <c r="H1810" s="24"/>
      <c r="I1810" s="11"/>
      <c r="J1810" s="27" t="str">
        <f aca="false">IF(A1810="","",YEAR(A1810))</f>
        <v/>
      </c>
      <c r="K1810" s="24"/>
      <c r="L1810" s="11"/>
    </row>
    <row r="1811" customFormat="false" ht="15" hidden="false" customHeight="false" outlineLevel="0" collapsed="false">
      <c r="A1811" s="22"/>
      <c r="B1811" s="11"/>
      <c r="C1811" s="24"/>
      <c r="D1811" s="31" t="str">
        <f aca="false">IF(C1811="","",IF(LEN(UPPER(SUBSTITUTE(SUBSTITUTE(SUBSTITUTE(SUBSTITUTE(TRIM(C1811),".",""),"/",""),"-","")," ","")))&lt;14,RIGHT(REPT("0",14)&amp;UPPER(SUBSTITUTE(SUBSTITUTE(SUBSTITUTE(SUBSTITUTE(TRIM(C1811),".",""),"/",""),"-","")," ","")),14),UPPER(SUBSTITUTE(SUBSTITUTE(SUBSTITUTE(SUBSTITUTE(TRIM(C1811),".",""),"/",""),"-","")," ",""))))</f>
        <v/>
      </c>
      <c r="E1811" s="25" t="str">
        <f aca="false">IF(D1811="","",IFERROR(INDEX(Empresas!$C:$C,MATCH(D1811,Empresas!$B:$B,0)),"cadastre o CNPJ em Empresas"))</f>
        <v/>
      </c>
      <c r="F1811" s="23"/>
      <c r="G1811" s="35"/>
      <c r="H1811" s="24"/>
      <c r="I1811" s="11"/>
      <c r="J1811" s="27" t="str">
        <f aca="false">IF(A1811="","",YEAR(A1811))</f>
        <v/>
      </c>
      <c r="K1811" s="24"/>
      <c r="L1811" s="11"/>
    </row>
    <row r="1812" customFormat="false" ht="15" hidden="false" customHeight="false" outlineLevel="0" collapsed="false">
      <c r="A1812" s="22"/>
      <c r="B1812" s="11"/>
      <c r="C1812" s="24"/>
      <c r="D1812" s="31" t="str">
        <f aca="false">IF(C1812="","",IF(LEN(UPPER(SUBSTITUTE(SUBSTITUTE(SUBSTITUTE(SUBSTITUTE(TRIM(C1812),".",""),"/",""),"-","")," ","")))&lt;14,RIGHT(REPT("0",14)&amp;UPPER(SUBSTITUTE(SUBSTITUTE(SUBSTITUTE(SUBSTITUTE(TRIM(C1812),".",""),"/",""),"-","")," ","")),14),UPPER(SUBSTITUTE(SUBSTITUTE(SUBSTITUTE(SUBSTITUTE(TRIM(C1812),".",""),"/",""),"-","")," ",""))))</f>
        <v/>
      </c>
      <c r="E1812" s="25" t="str">
        <f aca="false">IF(D1812="","",IFERROR(INDEX(Empresas!$C:$C,MATCH(D1812,Empresas!$B:$B,0)),"cadastre o CNPJ em Empresas"))</f>
        <v/>
      </c>
      <c r="F1812" s="23"/>
      <c r="G1812" s="35"/>
      <c r="H1812" s="24"/>
      <c r="I1812" s="11"/>
      <c r="J1812" s="27" t="str">
        <f aca="false">IF(A1812="","",YEAR(A1812))</f>
        <v/>
      </c>
      <c r="K1812" s="24"/>
      <c r="L1812" s="11"/>
    </row>
    <row r="1813" customFormat="false" ht="15" hidden="false" customHeight="false" outlineLevel="0" collapsed="false">
      <c r="A1813" s="22"/>
      <c r="B1813" s="11"/>
      <c r="C1813" s="24"/>
      <c r="D1813" s="31" t="str">
        <f aca="false">IF(C1813="","",IF(LEN(UPPER(SUBSTITUTE(SUBSTITUTE(SUBSTITUTE(SUBSTITUTE(TRIM(C1813),".",""),"/",""),"-","")," ","")))&lt;14,RIGHT(REPT("0",14)&amp;UPPER(SUBSTITUTE(SUBSTITUTE(SUBSTITUTE(SUBSTITUTE(TRIM(C1813),".",""),"/",""),"-","")," ","")),14),UPPER(SUBSTITUTE(SUBSTITUTE(SUBSTITUTE(SUBSTITUTE(TRIM(C1813),".",""),"/",""),"-","")," ",""))))</f>
        <v/>
      </c>
      <c r="E1813" s="25" t="str">
        <f aca="false">IF(D1813="","",IFERROR(INDEX(Empresas!$C:$C,MATCH(D1813,Empresas!$B:$B,0)),"cadastre o CNPJ em Empresas"))</f>
        <v/>
      </c>
      <c r="F1813" s="23"/>
      <c r="G1813" s="35"/>
      <c r="H1813" s="24"/>
      <c r="I1813" s="11"/>
      <c r="J1813" s="27" t="str">
        <f aca="false">IF(A1813="","",YEAR(A1813))</f>
        <v/>
      </c>
      <c r="K1813" s="24"/>
      <c r="L1813" s="11"/>
    </row>
    <row r="1814" customFormat="false" ht="15" hidden="false" customHeight="false" outlineLevel="0" collapsed="false">
      <c r="A1814" s="22"/>
      <c r="B1814" s="11"/>
      <c r="C1814" s="24"/>
      <c r="D1814" s="31" t="str">
        <f aca="false">IF(C1814="","",IF(LEN(UPPER(SUBSTITUTE(SUBSTITUTE(SUBSTITUTE(SUBSTITUTE(TRIM(C1814),".",""),"/",""),"-","")," ","")))&lt;14,RIGHT(REPT("0",14)&amp;UPPER(SUBSTITUTE(SUBSTITUTE(SUBSTITUTE(SUBSTITUTE(TRIM(C1814),".",""),"/",""),"-","")," ","")),14),UPPER(SUBSTITUTE(SUBSTITUTE(SUBSTITUTE(SUBSTITUTE(TRIM(C1814),".",""),"/",""),"-","")," ",""))))</f>
        <v/>
      </c>
      <c r="E1814" s="25" t="str">
        <f aca="false">IF(D1814="","",IFERROR(INDEX(Empresas!$C:$C,MATCH(D1814,Empresas!$B:$B,0)),"cadastre o CNPJ em Empresas"))</f>
        <v/>
      </c>
      <c r="F1814" s="23"/>
      <c r="G1814" s="35"/>
      <c r="H1814" s="24"/>
      <c r="I1814" s="11"/>
      <c r="J1814" s="27" t="str">
        <f aca="false">IF(A1814="","",YEAR(A1814))</f>
        <v/>
      </c>
      <c r="K1814" s="24"/>
      <c r="L1814" s="11"/>
    </row>
    <row r="1815" customFormat="false" ht="15" hidden="false" customHeight="false" outlineLevel="0" collapsed="false">
      <c r="A1815" s="22"/>
      <c r="B1815" s="11"/>
      <c r="C1815" s="24"/>
      <c r="D1815" s="31" t="str">
        <f aca="false">IF(C1815="","",IF(LEN(UPPER(SUBSTITUTE(SUBSTITUTE(SUBSTITUTE(SUBSTITUTE(TRIM(C1815),".",""),"/",""),"-","")," ","")))&lt;14,RIGHT(REPT("0",14)&amp;UPPER(SUBSTITUTE(SUBSTITUTE(SUBSTITUTE(SUBSTITUTE(TRIM(C1815),".",""),"/",""),"-","")," ","")),14),UPPER(SUBSTITUTE(SUBSTITUTE(SUBSTITUTE(SUBSTITUTE(TRIM(C1815),".",""),"/",""),"-","")," ",""))))</f>
        <v/>
      </c>
      <c r="E1815" s="25" t="str">
        <f aca="false">IF(D1815="","",IFERROR(INDEX(Empresas!$C:$C,MATCH(D1815,Empresas!$B:$B,0)),"cadastre o CNPJ em Empresas"))</f>
        <v/>
      </c>
      <c r="F1815" s="23"/>
      <c r="G1815" s="35"/>
      <c r="H1815" s="24"/>
      <c r="I1815" s="11"/>
      <c r="J1815" s="27" t="str">
        <f aca="false">IF(A1815="","",YEAR(A1815))</f>
        <v/>
      </c>
      <c r="K1815" s="24"/>
      <c r="L1815" s="11"/>
    </row>
    <row r="1816" customFormat="false" ht="15" hidden="false" customHeight="false" outlineLevel="0" collapsed="false">
      <c r="A1816" s="22"/>
      <c r="B1816" s="11"/>
      <c r="C1816" s="24"/>
      <c r="D1816" s="31" t="str">
        <f aca="false">IF(C1816="","",IF(LEN(UPPER(SUBSTITUTE(SUBSTITUTE(SUBSTITUTE(SUBSTITUTE(TRIM(C1816),".",""),"/",""),"-","")," ","")))&lt;14,RIGHT(REPT("0",14)&amp;UPPER(SUBSTITUTE(SUBSTITUTE(SUBSTITUTE(SUBSTITUTE(TRIM(C1816),".",""),"/",""),"-","")," ","")),14),UPPER(SUBSTITUTE(SUBSTITUTE(SUBSTITUTE(SUBSTITUTE(TRIM(C1816),".",""),"/",""),"-","")," ",""))))</f>
        <v/>
      </c>
      <c r="E1816" s="25" t="str">
        <f aca="false">IF(D1816="","",IFERROR(INDEX(Empresas!$C:$C,MATCH(D1816,Empresas!$B:$B,0)),"cadastre o CNPJ em Empresas"))</f>
        <v/>
      </c>
      <c r="F1816" s="23"/>
      <c r="G1816" s="35"/>
      <c r="H1816" s="24"/>
      <c r="I1816" s="11"/>
      <c r="J1816" s="27" t="str">
        <f aca="false">IF(A1816="","",YEAR(A1816))</f>
        <v/>
      </c>
      <c r="K1816" s="24"/>
      <c r="L1816" s="11"/>
    </row>
    <row r="1817" customFormat="false" ht="15" hidden="false" customHeight="false" outlineLevel="0" collapsed="false">
      <c r="A1817" s="22"/>
      <c r="B1817" s="11"/>
      <c r="C1817" s="24"/>
      <c r="D1817" s="31" t="str">
        <f aca="false">IF(C1817="","",IF(LEN(UPPER(SUBSTITUTE(SUBSTITUTE(SUBSTITUTE(SUBSTITUTE(TRIM(C1817),".",""),"/",""),"-","")," ","")))&lt;14,RIGHT(REPT("0",14)&amp;UPPER(SUBSTITUTE(SUBSTITUTE(SUBSTITUTE(SUBSTITUTE(TRIM(C1817),".",""),"/",""),"-","")," ","")),14),UPPER(SUBSTITUTE(SUBSTITUTE(SUBSTITUTE(SUBSTITUTE(TRIM(C1817),".",""),"/",""),"-","")," ",""))))</f>
        <v/>
      </c>
      <c r="E1817" s="25" t="str">
        <f aca="false">IF(D1817="","",IFERROR(INDEX(Empresas!$C:$C,MATCH(D1817,Empresas!$B:$B,0)),"cadastre o CNPJ em Empresas"))</f>
        <v/>
      </c>
      <c r="F1817" s="23"/>
      <c r="G1817" s="35"/>
      <c r="H1817" s="24"/>
      <c r="I1817" s="11"/>
      <c r="J1817" s="27" t="str">
        <f aca="false">IF(A1817="","",YEAR(A1817))</f>
        <v/>
      </c>
      <c r="K1817" s="24"/>
      <c r="L1817" s="11"/>
    </row>
    <row r="1818" customFormat="false" ht="15" hidden="false" customHeight="false" outlineLevel="0" collapsed="false">
      <c r="A1818" s="22"/>
      <c r="B1818" s="11"/>
      <c r="C1818" s="24"/>
      <c r="D1818" s="31" t="str">
        <f aca="false">IF(C1818="","",IF(LEN(UPPER(SUBSTITUTE(SUBSTITUTE(SUBSTITUTE(SUBSTITUTE(TRIM(C1818),".",""),"/",""),"-","")," ","")))&lt;14,RIGHT(REPT("0",14)&amp;UPPER(SUBSTITUTE(SUBSTITUTE(SUBSTITUTE(SUBSTITUTE(TRIM(C1818),".",""),"/",""),"-","")," ","")),14),UPPER(SUBSTITUTE(SUBSTITUTE(SUBSTITUTE(SUBSTITUTE(TRIM(C1818),".",""),"/",""),"-","")," ",""))))</f>
        <v/>
      </c>
      <c r="E1818" s="25" t="str">
        <f aca="false">IF(D1818="","",IFERROR(INDEX(Empresas!$C:$C,MATCH(D1818,Empresas!$B:$B,0)),"cadastre o CNPJ em Empresas"))</f>
        <v/>
      </c>
      <c r="F1818" s="23"/>
      <c r="G1818" s="35"/>
      <c r="H1818" s="24"/>
      <c r="I1818" s="11"/>
      <c r="J1818" s="27" t="str">
        <f aca="false">IF(A1818="","",YEAR(A1818))</f>
        <v/>
      </c>
      <c r="K1818" s="24"/>
      <c r="L1818" s="11"/>
    </row>
    <row r="1819" customFormat="false" ht="15" hidden="false" customHeight="false" outlineLevel="0" collapsed="false">
      <c r="A1819" s="22"/>
      <c r="B1819" s="11"/>
      <c r="C1819" s="24"/>
      <c r="D1819" s="31" t="str">
        <f aca="false">IF(C1819="","",IF(LEN(UPPER(SUBSTITUTE(SUBSTITUTE(SUBSTITUTE(SUBSTITUTE(TRIM(C1819),".",""),"/",""),"-","")," ","")))&lt;14,RIGHT(REPT("0",14)&amp;UPPER(SUBSTITUTE(SUBSTITUTE(SUBSTITUTE(SUBSTITUTE(TRIM(C1819),".",""),"/",""),"-","")," ","")),14),UPPER(SUBSTITUTE(SUBSTITUTE(SUBSTITUTE(SUBSTITUTE(TRIM(C1819),".",""),"/",""),"-","")," ",""))))</f>
        <v/>
      </c>
      <c r="E1819" s="25" t="str">
        <f aca="false">IF(D1819="","",IFERROR(INDEX(Empresas!$C:$C,MATCH(D1819,Empresas!$B:$B,0)),"cadastre o CNPJ em Empresas"))</f>
        <v/>
      </c>
      <c r="F1819" s="23"/>
      <c r="G1819" s="35"/>
      <c r="H1819" s="24"/>
      <c r="I1819" s="11"/>
      <c r="J1819" s="27" t="str">
        <f aca="false">IF(A1819="","",YEAR(A1819))</f>
        <v/>
      </c>
      <c r="K1819" s="24"/>
      <c r="L1819" s="11"/>
    </row>
    <row r="1820" customFormat="false" ht="15" hidden="false" customHeight="false" outlineLevel="0" collapsed="false">
      <c r="A1820" s="22"/>
      <c r="B1820" s="11"/>
      <c r="C1820" s="24"/>
      <c r="D1820" s="31" t="str">
        <f aca="false">IF(C1820="","",IF(LEN(UPPER(SUBSTITUTE(SUBSTITUTE(SUBSTITUTE(SUBSTITUTE(TRIM(C1820),".",""),"/",""),"-","")," ","")))&lt;14,RIGHT(REPT("0",14)&amp;UPPER(SUBSTITUTE(SUBSTITUTE(SUBSTITUTE(SUBSTITUTE(TRIM(C1820),".",""),"/",""),"-","")," ","")),14),UPPER(SUBSTITUTE(SUBSTITUTE(SUBSTITUTE(SUBSTITUTE(TRIM(C1820),".",""),"/",""),"-","")," ",""))))</f>
        <v/>
      </c>
      <c r="E1820" s="25" t="str">
        <f aca="false">IF(D1820="","",IFERROR(INDEX(Empresas!$C:$C,MATCH(D1820,Empresas!$B:$B,0)),"cadastre o CNPJ em Empresas"))</f>
        <v/>
      </c>
      <c r="F1820" s="23"/>
      <c r="G1820" s="35"/>
      <c r="H1820" s="24"/>
      <c r="I1820" s="11"/>
      <c r="J1820" s="27" t="str">
        <f aca="false">IF(A1820="","",YEAR(A1820))</f>
        <v/>
      </c>
      <c r="K1820" s="24"/>
      <c r="L1820" s="11"/>
    </row>
    <row r="1821" customFormat="false" ht="15" hidden="false" customHeight="false" outlineLevel="0" collapsed="false">
      <c r="A1821" s="22"/>
      <c r="B1821" s="11"/>
      <c r="C1821" s="24"/>
      <c r="D1821" s="31" t="str">
        <f aca="false">IF(C1821="","",IF(LEN(UPPER(SUBSTITUTE(SUBSTITUTE(SUBSTITUTE(SUBSTITUTE(TRIM(C1821),".",""),"/",""),"-","")," ","")))&lt;14,RIGHT(REPT("0",14)&amp;UPPER(SUBSTITUTE(SUBSTITUTE(SUBSTITUTE(SUBSTITUTE(TRIM(C1821),".",""),"/",""),"-","")," ","")),14),UPPER(SUBSTITUTE(SUBSTITUTE(SUBSTITUTE(SUBSTITUTE(TRIM(C1821),".",""),"/",""),"-","")," ",""))))</f>
        <v/>
      </c>
      <c r="E1821" s="25" t="str">
        <f aca="false">IF(D1821="","",IFERROR(INDEX(Empresas!$C:$C,MATCH(D1821,Empresas!$B:$B,0)),"cadastre o CNPJ em Empresas"))</f>
        <v/>
      </c>
      <c r="F1821" s="23"/>
      <c r="G1821" s="35"/>
      <c r="H1821" s="24"/>
      <c r="I1821" s="11"/>
      <c r="J1821" s="27" t="str">
        <f aca="false">IF(A1821="","",YEAR(A1821))</f>
        <v/>
      </c>
      <c r="K1821" s="24"/>
      <c r="L1821" s="11"/>
    </row>
    <row r="1822" customFormat="false" ht="15" hidden="false" customHeight="false" outlineLevel="0" collapsed="false">
      <c r="A1822" s="22"/>
      <c r="B1822" s="11"/>
      <c r="C1822" s="24"/>
      <c r="D1822" s="31" t="str">
        <f aca="false">IF(C1822="","",IF(LEN(UPPER(SUBSTITUTE(SUBSTITUTE(SUBSTITUTE(SUBSTITUTE(TRIM(C1822),".",""),"/",""),"-","")," ","")))&lt;14,RIGHT(REPT("0",14)&amp;UPPER(SUBSTITUTE(SUBSTITUTE(SUBSTITUTE(SUBSTITUTE(TRIM(C1822),".",""),"/",""),"-","")," ","")),14),UPPER(SUBSTITUTE(SUBSTITUTE(SUBSTITUTE(SUBSTITUTE(TRIM(C1822),".",""),"/",""),"-","")," ",""))))</f>
        <v/>
      </c>
      <c r="E1822" s="25" t="str">
        <f aca="false">IF(D1822="","",IFERROR(INDEX(Empresas!$C:$C,MATCH(D1822,Empresas!$B:$B,0)),"cadastre o CNPJ em Empresas"))</f>
        <v/>
      </c>
      <c r="F1822" s="23"/>
      <c r="G1822" s="35"/>
      <c r="H1822" s="24"/>
      <c r="I1822" s="11"/>
      <c r="J1822" s="27" t="str">
        <f aca="false">IF(A1822="","",YEAR(A1822))</f>
        <v/>
      </c>
      <c r="K1822" s="24"/>
      <c r="L1822" s="11"/>
    </row>
    <row r="1823" customFormat="false" ht="15" hidden="false" customHeight="false" outlineLevel="0" collapsed="false">
      <c r="A1823" s="22"/>
      <c r="B1823" s="11"/>
      <c r="C1823" s="24"/>
      <c r="D1823" s="31" t="str">
        <f aca="false">IF(C1823="","",IF(LEN(UPPER(SUBSTITUTE(SUBSTITUTE(SUBSTITUTE(SUBSTITUTE(TRIM(C1823),".",""),"/",""),"-","")," ","")))&lt;14,RIGHT(REPT("0",14)&amp;UPPER(SUBSTITUTE(SUBSTITUTE(SUBSTITUTE(SUBSTITUTE(TRIM(C1823),".",""),"/",""),"-","")," ","")),14),UPPER(SUBSTITUTE(SUBSTITUTE(SUBSTITUTE(SUBSTITUTE(TRIM(C1823),".",""),"/",""),"-","")," ",""))))</f>
        <v/>
      </c>
      <c r="E1823" s="25" t="str">
        <f aca="false">IF(D1823="","",IFERROR(INDEX(Empresas!$C:$C,MATCH(D1823,Empresas!$B:$B,0)),"cadastre o CNPJ em Empresas"))</f>
        <v/>
      </c>
      <c r="F1823" s="23"/>
      <c r="G1823" s="35"/>
      <c r="H1823" s="24"/>
      <c r="I1823" s="11"/>
      <c r="J1823" s="27" t="str">
        <f aca="false">IF(A1823="","",YEAR(A1823))</f>
        <v/>
      </c>
      <c r="K1823" s="24"/>
      <c r="L1823" s="11"/>
    </row>
    <row r="1824" customFormat="false" ht="15" hidden="false" customHeight="false" outlineLevel="0" collapsed="false">
      <c r="A1824" s="22"/>
      <c r="B1824" s="11"/>
      <c r="C1824" s="24"/>
      <c r="D1824" s="31" t="str">
        <f aca="false">IF(C1824="","",IF(LEN(UPPER(SUBSTITUTE(SUBSTITUTE(SUBSTITUTE(SUBSTITUTE(TRIM(C1824),".",""),"/",""),"-","")," ","")))&lt;14,RIGHT(REPT("0",14)&amp;UPPER(SUBSTITUTE(SUBSTITUTE(SUBSTITUTE(SUBSTITUTE(TRIM(C1824),".",""),"/",""),"-","")," ","")),14),UPPER(SUBSTITUTE(SUBSTITUTE(SUBSTITUTE(SUBSTITUTE(TRIM(C1824),".",""),"/",""),"-","")," ",""))))</f>
        <v/>
      </c>
      <c r="E1824" s="25" t="str">
        <f aca="false">IF(D1824="","",IFERROR(INDEX(Empresas!$C:$C,MATCH(D1824,Empresas!$B:$B,0)),"cadastre o CNPJ em Empresas"))</f>
        <v/>
      </c>
      <c r="F1824" s="23"/>
      <c r="G1824" s="35"/>
      <c r="H1824" s="24"/>
      <c r="I1824" s="11"/>
      <c r="J1824" s="27" t="str">
        <f aca="false">IF(A1824="","",YEAR(A1824))</f>
        <v/>
      </c>
      <c r="K1824" s="24"/>
      <c r="L1824" s="11"/>
    </row>
    <row r="1825" customFormat="false" ht="15" hidden="false" customHeight="false" outlineLevel="0" collapsed="false">
      <c r="A1825" s="22"/>
      <c r="B1825" s="11"/>
      <c r="C1825" s="24"/>
      <c r="D1825" s="31" t="str">
        <f aca="false">IF(C1825="","",IF(LEN(UPPER(SUBSTITUTE(SUBSTITUTE(SUBSTITUTE(SUBSTITUTE(TRIM(C1825),".",""),"/",""),"-","")," ","")))&lt;14,RIGHT(REPT("0",14)&amp;UPPER(SUBSTITUTE(SUBSTITUTE(SUBSTITUTE(SUBSTITUTE(TRIM(C1825),".",""),"/",""),"-","")," ","")),14),UPPER(SUBSTITUTE(SUBSTITUTE(SUBSTITUTE(SUBSTITUTE(TRIM(C1825),".",""),"/",""),"-","")," ",""))))</f>
        <v/>
      </c>
      <c r="E1825" s="25" t="str">
        <f aca="false">IF(D1825="","",IFERROR(INDEX(Empresas!$C:$C,MATCH(D1825,Empresas!$B:$B,0)),"cadastre o CNPJ em Empresas"))</f>
        <v/>
      </c>
      <c r="F1825" s="23"/>
      <c r="G1825" s="35"/>
      <c r="H1825" s="24"/>
      <c r="I1825" s="11"/>
      <c r="J1825" s="27" t="str">
        <f aca="false">IF(A1825="","",YEAR(A1825))</f>
        <v/>
      </c>
      <c r="K1825" s="24"/>
      <c r="L1825" s="11"/>
    </row>
    <row r="1826" customFormat="false" ht="15" hidden="false" customHeight="false" outlineLevel="0" collapsed="false">
      <c r="A1826" s="22"/>
      <c r="B1826" s="11"/>
      <c r="C1826" s="24"/>
      <c r="D1826" s="31" t="str">
        <f aca="false">IF(C1826="","",IF(LEN(UPPER(SUBSTITUTE(SUBSTITUTE(SUBSTITUTE(SUBSTITUTE(TRIM(C1826),".",""),"/",""),"-","")," ","")))&lt;14,RIGHT(REPT("0",14)&amp;UPPER(SUBSTITUTE(SUBSTITUTE(SUBSTITUTE(SUBSTITUTE(TRIM(C1826),".",""),"/",""),"-","")," ","")),14),UPPER(SUBSTITUTE(SUBSTITUTE(SUBSTITUTE(SUBSTITUTE(TRIM(C1826),".",""),"/",""),"-","")," ",""))))</f>
        <v/>
      </c>
      <c r="E1826" s="25" t="str">
        <f aca="false">IF(D1826="","",IFERROR(INDEX(Empresas!$C:$C,MATCH(D1826,Empresas!$B:$B,0)),"cadastre o CNPJ em Empresas"))</f>
        <v/>
      </c>
      <c r="F1826" s="23"/>
      <c r="G1826" s="35"/>
      <c r="H1826" s="24"/>
      <c r="I1826" s="11"/>
      <c r="J1826" s="27" t="str">
        <f aca="false">IF(A1826="","",YEAR(A1826))</f>
        <v/>
      </c>
      <c r="K1826" s="24"/>
      <c r="L1826" s="11"/>
    </row>
    <row r="1827" customFormat="false" ht="15" hidden="false" customHeight="false" outlineLevel="0" collapsed="false">
      <c r="A1827" s="22"/>
      <c r="B1827" s="11"/>
      <c r="C1827" s="24"/>
      <c r="D1827" s="31" t="str">
        <f aca="false">IF(C1827="","",IF(LEN(UPPER(SUBSTITUTE(SUBSTITUTE(SUBSTITUTE(SUBSTITUTE(TRIM(C1827),".",""),"/",""),"-","")," ","")))&lt;14,RIGHT(REPT("0",14)&amp;UPPER(SUBSTITUTE(SUBSTITUTE(SUBSTITUTE(SUBSTITUTE(TRIM(C1827),".",""),"/",""),"-","")," ","")),14),UPPER(SUBSTITUTE(SUBSTITUTE(SUBSTITUTE(SUBSTITUTE(TRIM(C1827),".",""),"/",""),"-","")," ",""))))</f>
        <v/>
      </c>
      <c r="E1827" s="25" t="str">
        <f aca="false">IF(D1827="","",IFERROR(INDEX(Empresas!$C:$C,MATCH(D1827,Empresas!$B:$B,0)),"cadastre o CNPJ em Empresas"))</f>
        <v/>
      </c>
      <c r="F1827" s="23"/>
      <c r="G1827" s="35"/>
      <c r="H1827" s="24"/>
      <c r="I1827" s="11"/>
      <c r="J1827" s="27" t="str">
        <f aca="false">IF(A1827="","",YEAR(A1827))</f>
        <v/>
      </c>
      <c r="K1827" s="24"/>
      <c r="L1827" s="11"/>
    </row>
    <row r="1828" customFormat="false" ht="15" hidden="false" customHeight="false" outlineLevel="0" collapsed="false">
      <c r="A1828" s="22"/>
      <c r="B1828" s="11"/>
      <c r="C1828" s="24"/>
      <c r="D1828" s="31" t="str">
        <f aca="false">IF(C1828="","",IF(LEN(UPPER(SUBSTITUTE(SUBSTITUTE(SUBSTITUTE(SUBSTITUTE(TRIM(C1828),".",""),"/",""),"-","")," ","")))&lt;14,RIGHT(REPT("0",14)&amp;UPPER(SUBSTITUTE(SUBSTITUTE(SUBSTITUTE(SUBSTITUTE(TRIM(C1828),".",""),"/",""),"-","")," ","")),14),UPPER(SUBSTITUTE(SUBSTITUTE(SUBSTITUTE(SUBSTITUTE(TRIM(C1828),".",""),"/",""),"-","")," ",""))))</f>
        <v/>
      </c>
      <c r="E1828" s="25" t="str">
        <f aca="false">IF(D1828="","",IFERROR(INDEX(Empresas!$C:$C,MATCH(D1828,Empresas!$B:$B,0)),"cadastre o CNPJ em Empresas"))</f>
        <v/>
      </c>
      <c r="F1828" s="23"/>
      <c r="G1828" s="35"/>
      <c r="H1828" s="24"/>
      <c r="I1828" s="11"/>
      <c r="J1828" s="27" t="str">
        <f aca="false">IF(A1828="","",YEAR(A1828))</f>
        <v/>
      </c>
      <c r="K1828" s="24"/>
      <c r="L1828" s="11"/>
    </row>
    <row r="1829" customFormat="false" ht="15" hidden="false" customHeight="false" outlineLevel="0" collapsed="false">
      <c r="A1829" s="22"/>
      <c r="B1829" s="11"/>
      <c r="C1829" s="24"/>
      <c r="D1829" s="31" t="str">
        <f aca="false">IF(C1829="","",IF(LEN(UPPER(SUBSTITUTE(SUBSTITUTE(SUBSTITUTE(SUBSTITUTE(TRIM(C1829),".",""),"/",""),"-","")," ","")))&lt;14,RIGHT(REPT("0",14)&amp;UPPER(SUBSTITUTE(SUBSTITUTE(SUBSTITUTE(SUBSTITUTE(TRIM(C1829),".",""),"/",""),"-","")," ","")),14),UPPER(SUBSTITUTE(SUBSTITUTE(SUBSTITUTE(SUBSTITUTE(TRIM(C1829),".",""),"/",""),"-","")," ",""))))</f>
        <v/>
      </c>
      <c r="E1829" s="25" t="str">
        <f aca="false">IF(D1829="","",IFERROR(INDEX(Empresas!$C:$C,MATCH(D1829,Empresas!$B:$B,0)),"cadastre o CNPJ em Empresas"))</f>
        <v/>
      </c>
      <c r="F1829" s="23"/>
      <c r="G1829" s="35"/>
      <c r="H1829" s="24"/>
      <c r="I1829" s="11"/>
      <c r="J1829" s="27" t="str">
        <f aca="false">IF(A1829="","",YEAR(A1829))</f>
        <v/>
      </c>
      <c r="K1829" s="24"/>
      <c r="L1829" s="11"/>
    </row>
    <row r="1830" customFormat="false" ht="15" hidden="false" customHeight="false" outlineLevel="0" collapsed="false">
      <c r="A1830" s="22"/>
      <c r="B1830" s="11"/>
      <c r="C1830" s="24"/>
      <c r="D1830" s="31" t="str">
        <f aca="false">IF(C1830="","",IF(LEN(UPPER(SUBSTITUTE(SUBSTITUTE(SUBSTITUTE(SUBSTITUTE(TRIM(C1830),".",""),"/",""),"-","")," ","")))&lt;14,RIGHT(REPT("0",14)&amp;UPPER(SUBSTITUTE(SUBSTITUTE(SUBSTITUTE(SUBSTITUTE(TRIM(C1830),".",""),"/",""),"-","")," ","")),14),UPPER(SUBSTITUTE(SUBSTITUTE(SUBSTITUTE(SUBSTITUTE(TRIM(C1830),".",""),"/",""),"-","")," ",""))))</f>
        <v/>
      </c>
      <c r="E1830" s="25" t="str">
        <f aca="false">IF(D1830="","",IFERROR(INDEX(Empresas!$C:$C,MATCH(D1830,Empresas!$B:$B,0)),"cadastre o CNPJ em Empresas"))</f>
        <v/>
      </c>
      <c r="F1830" s="23"/>
      <c r="G1830" s="35"/>
      <c r="H1830" s="24"/>
      <c r="I1830" s="11"/>
      <c r="J1830" s="27" t="str">
        <f aca="false">IF(A1830="","",YEAR(A1830))</f>
        <v/>
      </c>
      <c r="K1830" s="24"/>
      <c r="L1830" s="11"/>
    </row>
    <row r="1831" customFormat="false" ht="15" hidden="false" customHeight="false" outlineLevel="0" collapsed="false">
      <c r="A1831" s="22"/>
      <c r="B1831" s="11"/>
      <c r="C1831" s="24"/>
      <c r="D1831" s="31" t="str">
        <f aca="false">IF(C1831="","",IF(LEN(UPPER(SUBSTITUTE(SUBSTITUTE(SUBSTITUTE(SUBSTITUTE(TRIM(C1831),".",""),"/",""),"-","")," ","")))&lt;14,RIGHT(REPT("0",14)&amp;UPPER(SUBSTITUTE(SUBSTITUTE(SUBSTITUTE(SUBSTITUTE(TRIM(C1831),".",""),"/",""),"-","")," ","")),14),UPPER(SUBSTITUTE(SUBSTITUTE(SUBSTITUTE(SUBSTITUTE(TRIM(C1831),".",""),"/",""),"-","")," ",""))))</f>
        <v/>
      </c>
      <c r="E1831" s="25" t="str">
        <f aca="false">IF(D1831="","",IFERROR(INDEX(Empresas!$C:$C,MATCH(D1831,Empresas!$B:$B,0)),"cadastre o CNPJ em Empresas"))</f>
        <v/>
      </c>
      <c r="F1831" s="23"/>
      <c r="G1831" s="35"/>
      <c r="H1831" s="24"/>
      <c r="I1831" s="11"/>
      <c r="J1831" s="27" t="str">
        <f aca="false">IF(A1831="","",YEAR(A1831))</f>
        <v/>
      </c>
      <c r="K1831" s="24"/>
      <c r="L1831" s="11"/>
    </row>
    <row r="1832" customFormat="false" ht="15" hidden="false" customHeight="false" outlineLevel="0" collapsed="false">
      <c r="A1832" s="22"/>
      <c r="B1832" s="11"/>
      <c r="C1832" s="24"/>
      <c r="D1832" s="31" t="str">
        <f aca="false">IF(C1832="","",IF(LEN(UPPER(SUBSTITUTE(SUBSTITUTE(SUBSTITUTE(SUBSTITUTE(TRIM(C1832),".",""),"/",""),"-","")," ","")))&lt;14,RIGHT(REPT("0",14)&amp;UPPER(SUBSTITUTE(SUBSTITUTE(SUBSTITUTE(SUBSTITUTE(TRIM(C1832),".",""),"/",""),"-","")," ","")),14),UPPER(SUBSTITUTE(SUBSTITUTE(SUBSTITUTE(SUBSTITUTE(TRIM(C1832),".",""),"/",""),"-","")," ",""))))</f>
        <v/>
      </c>
      <c r="E1832" s="25" t="str">
        <f aca="false">IF(D1832="","",IFERROR(INDEX(Empresas!$C:$C,MATCH(D1832,Empresas!$B:$B,0)),"cadastre o CNPJ em Empresas"))</f>
        <v/>
      </c>
      <c r="F1832" s="23"/>
      <c r="G1832" s="35"/>
      <c r="H1832" s="24"/>
      <c r="I1832" s="11"/>
      <c r="J1832" s="27" t="str">
        <f aca="false">IF(A1832="","",YEAR(A1832))</f>
        <v/>
      </c>
      <c r="K1832" s="24"/>
      <c r="L1832" s="11"/>
    </row>
    <row r="1833" customFormat="false" ht="15" hidden="false" customHeight="false" outlineLevel="0" collapsed="false">
      <c r="A1833" s="22"/>
      <c r="B1833" s="11"/>
      <c r="C1833" s="24"/>
      <c r="D1833" s="31" t="str">
        <f aca="false">IF(C1833="","",IF(LEN(UPPER(SUBSTITUTE(SUBSTITUTE(SUBSTITUTE(SUBSTITUTE(TRIM(C1833),".",""),"/",""),"-","")," ","")))&lt;14,RIGHT(REPT("0",14)&amp;UPPER(SUBSTITUTE(SUBSTITUTE(SUBSTITUTE(SUBSTITUTE(TRIM(C1833),".",""),"/",""),"-","")," ","")),14),UPPER(SUBSTITUTE(SUBSTITUTE(SUBSTITUTE(SUBSTITUTE(TRIM(C1833),".",""),"/",""),"-","")," ",""))))</f>
        <v/>
      </c>
      <c r="E1833" s="25" t="str">
        <f aca="false">IF(D1833="","",IFERROR(INDEX(Empresas!$C:$C,MATCH(D1833,Empresas!$B:$B,0)),"cadastre o CNPJ em Empresas"))</f>
        <v/>
      </c>
      <c r="F1833" s="23"/>
      <c r="G1833" s="35"/>
      <c r="H1833" s="24"/>
      <c r="I1833" s="11"/>
      <c r="J1833" s="27" t="str">
        <f aca="false">IF(A1833="","",YEAR(A1833))</f>
        <v/>
      </c>
      <c r="K1833" s="24"/>
      <c r="L1833" s="11"/>
    </row>
    <row r="1834" customFormat="false" ht="15" hidden="false" customHeight="false" outlineLevel="0" collapsed="false">
      <c r="A1834" s="22"/>
      <c r="B1834" s="11"/>
      <c r="C1834" s="24"/>
      <c r="D1834" s="31" t="str">
        <f aca="false">IF(C1834="","",IF(LEN(UPPER(SUBSTITUTE(SUBSTITUTE(SUBSTITUTE(SUBSTITUTE(TRIM(C1834),".",""),"/",""),"-","")," ","")))&lt;14,RIGHT(REPT("0",14)&amp;UPPER(SUBSTITUTE(SUBSTITUTE(SUBSTITUTE(SUBSTITUTE(TRIM(C1834),".",""),"/",""),"-","")," ","")),14),UPPER(SUBSTITUTE(SUBSTITUTE(SUBSTITUTE(SUBSTITUTE(TRIM(C1834),".",""),"/",""),"-","")," ",""))))</f>
        <v/>
      </c>
      <c r="E1834" s="25" t="str">
        <f aca="false">IF(D1834="","",IFERROR(INDEX(Empresas!$C:$C,MATCH(D1834,Empresas!$B:$B,0)),"cadastre o CNPJ em Empresas"))</f>
        <v/>
      </c>
      <c r="F1834" s="23"/>
      <c r="G1834" s="35"/>
      <c r="H1834" s="24"/>
      <c r="I1834" s="11"/>
      <c r="J1834" s="27" t="str">
        <f aca="false">IF(A1834="","",YEAR(A1834))</f>
        <v/>
      </c>
      <c r="K1834" s="24"/>
      <c r="L1834" s="11"/>
    </row>
    <row r="1835" customFormat="false" ht="15" hidden="false" customHeight="false" outlineLevel="0" collapsed="false">
      <c r="A1835" s="22"/>
      <c r="B1835" s="11"/>
      <c r="C1835" s="24"/>
      <c r="D1835" s="31" t="str">
        <f aca="false">IF(C1835="","",IF(LEN(UPPER(SUBSTITUTE(SUBSTITUTE(SUBSTITUTE(SUBSTITUTE(TRIM(C1835),".",""),"/",""),"-","")," ","")))&lt;14,RIGHT(REPT("0",14)&amp;UPPER(SUBSTITUTE(SUBSTITUTE(SUBSTITUTE(SUBSTITUTE(TRIM(C1835),".",""),"/",""),"-","")," ","")),14),UPPER(SUBSTITUTE(SUBSTITUTE(SUBSTITUTE(SUBSTITUTE(TRIM(C1835),".",""),"/",""),"-","")," ",""))))</f>
        <v/>
      </c>
      <c r="E1835" s="25" t="str">
        <f aca="false">IF(D1835="","",IFERROR(INDEX(Empresas!$C:$C,MATCH(D1835,Empresas!$B:$B,0)),"cadastre o CNPJ em Empresas"))</f>
        <v/>
      </c>
      <c r="F1835" s="23"/>
      <c r="G1835" s="35"/>
      <c r="H1835" s="24"/>
      <c r="I1835" s="11"/>
      <c r="J1835" s="27" t="str">
        <f aca="false">IF(A1835="","",YEAR(A1835))</f>
        <v/>
      </c>
      <c r="K1835" s="24"/>
      <c r="L1835" s="11"/>
    </row>
    <row r="1836" customFormat="false" ht="15" hidden="false" customHeight="false" outlineLevel="0" collapsed="false">
      <c r="A1836" s="22"/>
      <c r="B1836" s="11"/>
      <c r="C1836" s="24"/>
      <c r="D1836" s="31" t="str">
        <f aca="false">IF(C1836="","",IF(LEN(UPPER(SUBSTITUTE(SUBSTITUTE(SUBSTITUTE(SUBSTITUTE(TRIM(C1836),".",""),"/",""),"-","")," ","")))&lt;14,RIGHT(REPT("0",14)&amp;UPPER(SUBSTITUTE(SUBSTITUTE(SUBSTITUTE(SUBSTITUTE(TRIM(C1836),".",""),"/",""),"-","")," ","")),14),UPPER(SUBSTITUTE(SUBSTITUTE(SUBSTITUTE(SUBSTITUTE(TRIM(C1836),".",""),"/",""),"-","")," ",""))))</f>
        <v/>
      </c>
      <c r="E1836" s="25" t="str">
        <f aca="false">IF(D1836="","",IFERROR(INDEX(Empresas!$C:$C,MATCH(D1836,Empresas!$B:$B,0)),"cadastre o CNPJ em Empresas"))</f>
        <v/>
      </c>
      <c r="F1836" s="23"/>
      <c r="G1836" s="35"/>
      <c r="H1836" s="24"/>
      <c r="I1836" s="11"/>
      <c r="J1836" s="27" t="str">
        <f aca="false">IF(A1836="","",YEAR(A1836))</f>
        <v/>
      </c>
      <c r="K1836" s="24"/>
      <c r="L1836" s="11"/>
    </row>
    <row r="1837" customFormat="false" ht="15" hidden="false" customHeight="false" outlineLevel="0" collapsed="false">
      <c r="A1837" s="22"/>
      <c r="B1837" s="11"/>
      <c r="C1837" s="24"/>
      <c r="D1837" s="31" t="str">
        <f aca="false">IF(C1837="","",IF(LEN(UPPER(SUBSTITUTE(SUBSTITUTE(SUBSTITUTE(SUBSTITUTE(TRIM(C1837),".",""),"/",""),"-","")," ","")))&lt;14,RIGHT(REPT("0",14)&amp;UPPER(SUBSTITUTE(SUBSTITUTE(SUBSTITUTE(SUBSTITUTE(TRIM(C1837),".",""),"/",""),"-","")," ","")),14),UPPER(SUBSTITUTE(SUBSTITUTE(SUBSTITUTE(SUBSTITUTE(TRIM(C1837),".",""),"/",""),"-","")," ",""))))</f>
        <v/>
      </c>
      <c r="E1837" s="25" t="str">
        <f aca="false">IF(D1837="","",IFERROR(INDEX(Empresas!$C:$C,MATCH(D1837,Empresas!$B:$B,0)),"cadastre o CNPJ em Empresas"))</f>
        <v/>
      </c>
      <c r="F1837" s="23"/>
      <c r="G1837" s="35"/>
      <c r="H1837" s="24"/>
      <c r="I1837" s="11"/>
      <c r="J1837" s="27" t="str">
        <f aca="false">IF(A1837="","",YEAR(A1837))</f>
        <v/>
      </c>
      <c r="K1837" s="24"/>
      <c r="L1837" s="11"/>
    </row>
    <row r="1838" customFormat="false" ht="15" hidden="false" customHeight="false" outlineLevel="0" collapsed="false">
      <c r="A1838" s="22"/>
      <c r="B1838" s="11"/>
      <c r="C1838" s="24"/>
      <c r="D1838" s="31" t="str">
        <f aca="false">IF(C1838="","",IF(LEN(UPPER(SUBSTITUTE(SUBSTITUTE(SUBSTITUTE(SUBSTITUTE(TRIM(C1838),".",""),"/",""),"-","")," ","")))&lt;14,RIGHT(REPT("0",14)&amp;UPPER(SUBSTITUTE(SUBSTITUTE(SUBSTITUTE(SUBSTITUTE(TRIM(C1838),".",""),"/",""),"-","")," ","")),14),UPPER(SUBSTITUTE(SUBSTITUTE(SUBSTITUTE(SUBSTITUTE(TRIM(C1838),".",""),"/",""),"-","")," ",""))))</f>
        <v/>
      </c>
      <c r="E1838" s="25" t="str">
        <f aca="false">IF(D1838="","",IFERROR(INDEX(Empresas!$C:$C,MATCH(D1838,Empresas!$B:$B,0)),"cadastre o CNPJ em Empresas"))</f>
        <v/>
      </c>
      <c r="F1838" s="23"/>
      <c r="G1838" s="35"/>
      <c r="H1838" s="24"/>
      <c r="I1838" s="11"/>
      <c r="J1838" s="27" t="str">
        <f aca="false">IF(A1838="","",YEAR(A1838))</f>
        <v/>
      </c>
      <c r="K1838" s="24"/>
      <c r="L1838" s="11"/>
    </row>
    <row r="1839" customFormat="false" ht="15" hidden="false" customHeight="false" outlineLevel="0" collapsed="false">
      <c r="A1839" s="22"/>
      <c r="B1839" s="11"/>
      <c r="C1839" s="24"/>
      <c r="D1839" s="31" t="str">
        <f aca="false">IF(C1839="","",IF(LEN(UPPER(SUBSTITUTE(SUBSTITUTE(SUBSTITUTE(SUBSTITUTE(TRIM(C1839),".",""),"/",""),"-","")," ","")))&lt;14,RIGHT(REPT("0",14)&amp;UPPER(SUBSTITUTE(SUBSTITUTE(SUBSTITUTE(SUBSTITUTE(TRIM(C1839),".",""),"/",""),"-","")," ","")),14),UPPER(SUBSTITUTE(SUBSTITUTE(SUBSTITUTE(SUBSTITUTE(TRIM(C1839),".",""),"/",""),"-","")," ",""))))</f>
        <v/>
      </c>
      <c r="E1839" s="25" t="str">
        <f aca="false">IF(D1839="","",IFERROR(INDEX(Empresas!$C:$C,MATCH(D1839,Empresas!$B:$B,0)),"cadastre o CNPJ em Empresas"))</f>
        <v/>
      </c>
      <c r="F1839" s="23"/>
      <c r="G1839" s="35"/>
      <c r="H1839" s="24"/>
      <c r="I1839" s="11"/>
      <c r="J1839" s="27" t="str">
        <f aca="false">IF(A1839="","",YEAR(A1839))</f>
        <v/>
      </c>
      <c r="K1839" s="24"/>
      <c r="L1839" s="11"/>
    </row>
    <row r="1840" customFormat="false" ht="15" hidden="false" customHeight="false" outlineLevel="0" collapsed="false">
      <c r="A1840" s="22"/>
      <c r="B1840" s="11"/>
      <c r="C1840" s="24"/>
      <c r="D1840" s="31" t="str">
        <f aca="false">IF(C1840="","",IF(LEN(UPPER(SUBSTITUTE(SUBSTITUTE(SUBSTITUTE(SUBSTITUTE(TRIM(C1840),".",""),"/",""),"-","")," ","")))&lt;14,RIGHT(REPT("0",14)&amp;UPPER(SUBSTITUTE(SUBSTITUTE(SUBSTITUTE(SUBSTITUTE(TRIM(C1840),".",""),"/",""),"-","")," ","")),14),UPPER(SUBSTITUTE(SUBSTITUTE(SUBSTITUTE(SUBSTITUTE(TRIM(C1840),".",""),"/",""),"-","")," ",""))))</f>
        <v/>
      </c>
      <c r="E1840" s="25" t="str">
        <f aca="false">IF(D1840="","",IFERROR(INDEX(Empresas!$C:$C,MATCH(D1840,Empresas!$B:$B,0)),"cadastre o CNPJ em Empresas"))</f>
        <v/>
      </c>
      <c r="F1840" s="23"/>
      <c r="G1840" s="35"/>
      <c r="H1840" s="24"/>
      <c r="I1840" s="11"/>
      <c r="J1840" s="27" t="str">
        <f aca="false">IF(A1840="","",YEAR(A1840))</f>
        <v/>
      </c>
      <c r="K1840" s="24"/>
      <c r="L1840" s="11"/>
    </row>
    <row r="1841" customFormat="false" ht="15" hidden="false" customHeight="false" outlineLevel="0" collapsed="false">
      <c r="A1841" s="22"/>
      <c r="B1841" s="11"/>
      <c r="C1841" s="24"/>
      <c r="D1841" s="31" t="str">
        <f aca="false">IF(C1841="","",IF(LEN(UPPER(SUBSTITUTE(SUBSTITUTE(SUBSTITUTE(SUBSTITUTE(TRIM(C1841),".",""),"/",""),"-","")," ","")))&lt;14,RIGHT(REPT("0",14)&amp;UPPER(SUBSTITUTE(SUBSTITUTE(SUBSTITUTE(SUBSTITUTE(TRIM(C1841),".",""),"/",""),"-","")," ","")),14),UPPER(SUBSTITUTE(SUBSTITUTE(SUBSTITUTE(SUBSTITUTE(TRIM(C1841),".",""),"/",""),"-","")," ",""))))</f>
        <v/>
      </c>
      <c r="E1841" s="25" t="str">
        <f aca="false">IF(D1841="","",IFERROR(INDEX(Empresas!$C:$C,MATCH(D1841,Empresas!$B:$B,0)),"cadastre o CNPJ em Empresas"))</f>
        <v/>
      </c>
      <c r="F1841" s="23"/>
      <c r="G1841" s="35"/>
      <c r="H1841" s="24"/>
      <c r="I1841" s="11"/>
      <c r="J1841" s="27" t="str">
        <f aca="false">IF(A1841="","",YEAR(A1841))</f>
        <v/>
      </c>
      <c r="K1841" s="24"/>
      <c r="L1841" s="11"/>
    </row>
    <row r="1842" customFormat="false" ht="15" hidden="false" customHeight="false" outlineLevel="0" collapsed="false">
      <c r="A1842" s="22"/>
      <c r="B1842" s="11"/>
      <c r="C1842" s="24"/>
      <c r="D1842" s="31" t="str">
        <f aca="false">IF(C1842="","",IF(LEN(UPPER(SUBSTITUTE(SUBSTITUTE(SUBSTITUTE(SUBSTITUTE(TRIM(C1842),".",""),"/",""),"-","")," ","")))&lt;14,RIGHT(REPT("0",14)&amp;UPPER(SUBSTITUTE(SUBSTITUTE(SUBSTITUTE(SUBSTITUTE(TRIM(C1842),".",""),"/",""),"-","")," ","")),14),UPPER(SUBSTITUTE(SUBSTITUTE(SUBSTITUTE(SUBSTITUTE(TRIM(C1842),".",""),"/",""),"-","")," ",""))))</f>
        <v/>
      </c>
      <c r="E1842" s="25" t="str">
        <f aca="false">IF(D1842="","",IFERROR(INDEX(Empresas!$C:$C,MATCH(D1842,Empresas!$B:$B,0)),"cadastre o CNPJ em Empresas"))</f>
        <v/>
      </c>
      <c r="F1842" s="23"/>
      <c r="G1842" s="35"/>
      <c r="H1842" s="24"/>
      <c r="I1842" s="11"/>
      <c r="J1842" s="27" t="str">
        <f aca="false">IF(A1842="","",YEAR(A1842))</f>
        <v/>
      </c>
      <c r="K1842" s="24"/>
      <c r="L1842" s="11"/>
    </row>
    <row r="1843" customFormat="false" ht="15" hidden="false" customHeight="false" outlineLevel="0" collapsed="false">
      <c r="A1843" s="22"/>
      <c r="B1843" s="11"/>
      <c r="C1843" s="24"/>
      <c r="D1843" s="31" t="str">
        <f aca="false">IF(C1843="","",IF(LEN(UPPER(SUBSTITUTE(SUBSTITUTE(SUBSTITUTE(SUBSTITUTE(TRIM(C1843),".",""),"/",""),"-","")," ","")))&lt;14,RIGHT(REPT("0",14)&amp;UPPER(SUBSTITUTE(SUBSTITUTE(SUBSTITUTE(SUBSTITUTE(TRIM(C1843),".",""),"/",""),"-","")," ","")),14),UPPER(SUBSTITUTE(SUBSTITUTE(SUBSTITUTE(SUBSTITUTE(TRIM(C1843),".",""),"/",""),"-","")," ",""))))</f>
        <v/>
      </c>
      <c r="E1843" s="25" t="str">
        <f aca="false">IF(D1843="","",IFERROR(INDEX(Empresas!$C:$C,MATCH(D1843,Empresas!$B:$B,0)),"cadastre o CNPJ em Empresas"))</f>
        <v/>
      </c>
      <c r="F1843" s="23"/>
      <c r="G1843" s="35"/>
      <c r="H1843" s="24"/>
      <c r="I1843" s="11"/>
      <c r="J1843" s="27" t="str">
        <f aca="false">IF(A1843="","",YEAR(A1843))</f>
        <v/>
      </c>
      <c r="K1843" s="24"/>
      <c r="L1843" s="11"/>
    </row>
    <row r="1844" customFormat="false" ht="15" hidden="false" customHeight="false" outlineLevel="0" collapsed="false">
      <c r="A1844" s="22"/>
      <c r="B1844" s="11"/>
      <c r="C1844" s="24"/>
      <c r="D1844" s="31" t="str">
        <f aca="false">IF(C1844="","",IF(LEN(UPPER(SUBSTITUTE(SUBSTITUTE(SUBSTITUTE(SUBSTITUTE(TRIM(C1844),".",""),"/",""),"-","")," ","")))&lt;14,RIGHT(REPT("0",14)&amp;UPPER(SUBSTITUTE(SUBSTITUTE(SUBSTITUTE(SUBSTITUTE(TRIM(C1844),".",""),"/",""),"-","")," ","")),14),UPPER(SUBSTITUTE(SUBSTITUTE(SUBSTITUTE(SUBSTITUTE(TRIM(C1844),".",""),"/",""),"-","")," ",""))))</f>
        <v/>
      </c>
      <c r="E1844" s="25" t="str">
        <f aca="false">IF(D1844="","",IFERROR(INDEX(Empresas!$C:$C,MATCH(D1844,Empresas!$B:$B,0)),"cadastre o CNPJ em Empresas"))</f>
        <v/>
      </c>
      <c r="F1844" s="23"/>
      <c r="G1844" s="35"/>
      <c r="H1844" s="24"/>
      <c r="I1844" s="11"/>
      <c r="J1844" s="27" t="str">
        <f aca="false">IF(A1844="","",YEAR(A1844))</f>
        <v/>
      </c>
      <c r="K1844" s="24"/>
      <c r="L1844" s="11"/>
    </row>
    <row r="1845" customFormat="false" ht="15" hidden="false" customHeight="false" outlineLevel="0" collapsed="false">
      <c r="A1845" s="22"/>
      <c r="B1845" s="11"/>
      <c r="C1845" s="24"/>
      <c r="D1845" s="31" t="str">
        <f aca="false">IF(C1845="","",IF(LEN(UPPER(SUBSTITUTE(SUBSTITUTE(SUBSTITUTE(SUBSTITUTE(TRIM(C1845),".",""),"/",""),"-","")," ","")))&lt;14,RIGHT(REPT("0",14)&amp;UPPER(SUBSTITUTE(SUBSTITUTE(SUBSTITUTE(SUBSTITUTE(TRIM(C1845),".",""),"/",""),"-","")," ","")),14),UPPER(SUBSTITUTE(SUBSTITUTE(SUBSTITUTE(SUBSTITUTE(TRIM(C1845),".",""),"/",""),"-","")," ",""))))</f>
        <v/>
      </c>
      <c r="E1845" s="25" t="str">
        <f aca="false">IF(D1845="","",IFERROR(INDEX(Empresas!$C:$C,MATCH(D1845,Empresas!$B:$B,0)),"cadastre o CNPJ em Empresas"))</f>
        <v/>
      </c>
      <c r="F1845" s="23"/>
      <c r="G1845" s="35"/>
      <c r="H1845" s="24"/>
      <c r="I1845" s="11"/>
      <c r="J1845" s="27" t="str">
        <f aca="false">IF(A1845="","",YEAR(A1845))</f>
        <v/>
      </c>
      <c r="K1845" s="24"/>
      <c r="L1845" s="11"/>
    </row>
    <row r="1846" customFormat="false" ht="15" hidden="false" customHeight="false" outlineLevel="0" collapsed="false">
      <c r="A1846" s="22"/>
      <c r="B1846" s="11"/>
      <c r="C1846" s="24"/>
      <c r="D1846" s="31" t="str">
        <f aca="false">IF(C1846="","",IF(LEN(UPPER(SUBSTITUTE(SUBSTITUTE(SUBSTITUTE(SUBSTITUTE(TRIM(C1846),".",""),"/",""),"-","")," ","")))&lt;14,RIGHT(REPT("0",14)&amp;UPPER(SUBSTITUTE(SUBSTITUTE(SUBSTITUTE(SUBSTITUTE(TRIM(C1846),".",""),"/",""),"-","")," ","")),14),UPPER(SUBSTITUTE(SUBSTITUTE(SUBSTITUTE(SUBSTITUTE(TRIM(C1846),".",""),"/",""),"-","")," ",""))))</f>
        <v/>
      </c>
      <c r="E1846" s="25" t="str">
        <f aca="false">IF(D1846="","",IFERROR(INDEX(Empresas!$C:$C,MATCH(D1846,Empresas!$B:$B,0)),"cadastre o CNPJ em Empresas"))</f>
        <v/>
      </c>
      <c r="F1846" s="23"/>
      <c r="G1846" s="35"/>
      <c r="H1846" s="24"/>
      <c r="I1846" s="11"/>
      <c r="J1846" s="27" t="str">
        <f aca="false">IF(A1846="","",YEAR(A1846))</f>
        <v/>
      </c>
      <c r="K1846" s="24"/>
      <c r="L1846" s="11"/>
    </row>
    <row r="1847" customFormat="false" ht="15" hidden="false" customHeight="false" outlineLevel="0" collapsed="false">
      <c r="A1847" s="22"/>
      <c r="B1847" s="11"/>
      <c r="C1847" s="24"/>
      <c r="D1847" s="31" t="str">
        <f aca="false">IF(C1847="","",IF(LEN(UPPER(SUBSTITUTE(SUBSTITUTE(SUBSTITUTE(SUBSTITUTE(TRIM(C1847),".",""),"/",""),"-","")," ","")))&lt;14,RIGHT(REPT("0",14)&amp;UPPER(SUBSTITUTE(SUBSTITUTE(SUBSTITUTE(SUBSTITUTE(TRIM(C1847),".",""),"/",""),"-","")," ","")),14),UPPER(SUBSTITUTE(SUBSTITUTE(SUBSTITUTE(SUBSTITUTE(TRIM(C1847),".",""),"/",""),"-","")," ",""))))</f>
        <v/>
      </c>
      <c r="E1847" s="25" t="str">
        <f aca="false">IF(D1847="","",IFERROR(INDEX(Empresas!$C:$C,MATCH(D1847,Empresas!$B:$B,0)),"cadastre o CNPJ em Empresas"))</f>
        <v/>
      </c>
      <c r="F1847" s="23"/>
      <c r="G1847" s="35"/>
      <c r="H1847" s="24"/>
      <c r="I1847" s="11"/>
      <c r="J1847" s="27" t="str">
        <f aca="false">IF(A1847="","",YEAR(A1847))</f>
        <v/>
      </c>
      <c r="K1847" s="24"/>
      <c r="L1847" s="11"/>
    </row>
    <row r="1848" customFormat="false" ht="15" hidden="false" customHeight="false" outlineLevel="0" collapsed="false">
      <c r="A1848" s="22"/>
      <c r="B1848" s="11"/>
      <c r="C1848" s="24"/>
      <c r="D1848" s="31" t="str">
        <f aca="false">IF(C1848="","",IF(LEN(UPPER(SUBSTITUTE(SUBSTITUTE(SUBSTITUTE(SUBSTITUTE(TRIM(C1848),".",""),"/",""),"-","")," ","")))&lt;14,RIGHT(REPT("0",14)&amp;UPPER(SUBSTITUTE(SUBSTITUTE(SUBSTITUTE(SUBSTITUTE(TRIM(C1848),".",""),"/",""),"-","")," ","")),14),UPPER(SUBSTITUTE(SUBSTITUTE(SUBSTITUTE(SUBSTITUTE(TRIM(C1848),".",""),"/",""),"-","")," ",""))))</f>
        <v/>
      </c>
      <c r="E1848" s="25" t="str">
        <f aca="false">IF(D1848="","",IFERROR(INDEX(Empresas!$C:$C,MATCH(D1848,Empresas!$B:$B,0)),"cadastre o CNPJ em Empresas"))</f>
        <v/>
      </c>
      <c r="F1848" s="23"/>
      <c r="G1848" s="35"/>
      <c r="H1848" s="24"/>
      <c r="I1848" s="11"/>
      <c r="J1848" s="27" t="str">
        <f aca="false">IF(A1848="","",YEAR(A1848))</f>
        <v/>
      </c>
      <c r="K1848" s="24"/>
      <c r="L1848" s="11"/>
    </row>
    <row r="1849" customFormat="false" ht="15" hidden="false" customHeight="false" outlineLevel="0" collapsed="false">
      <c r="A1849" s="22"/>
      <c r="B1849" s="11"/>
      <c r="C1849" s="24"/>
      <c r="D1849" s="31" t="str">
        <f aca="false">IF(C1849="","",IF(LEN(UPPER(SUBSTITUTE(SUBSTITUTE(SUBSTITUTE(SUBSTITUTE(TRIM(C1849),".",""),"/",""),"-","")," ","")))&lt;14,RIGHT(REPT("0",14)&amp;UPPER(SUBSTITUTE(SUBSTITUTE(SUBSTITUTE(SUBSTITUTE(TRIM(C1849),".",""),"/",""),"-","")," ","")),14),UPPER(SUBSTITUTE(SUBSTITUTE(SUBSTITUTE(SUBSTITUTE(TRIM(C1849),".",""),"/",""),"-","")," ",""))))</f>
        <v/>
      </c>
      <c r="E1849" s="25" t="str">
        <f aca="false">IF(D1849="","",IFERROR(INDEX(Empresas!$C:$C,MATCH(D1849,Empresas!$B:$B,0)),"cadastre o CNPJ em Empresas"))</f>
        <v/>
      </c>
      <c r="F1849" s="23"/>
      <c r="G1849" s="35"/>
      <c r="H1849" s="24"/>
      <c r="I1849" s="11"/>
      <c r="J1849" s="27" t="str">
        <f aca="false">IF(A1849="","",YEAR(A1849))</f>
        <v/>
      </c>
      <c r="K1849" s="24"/>
      <c r="L1849" s="11"/>
    </row>
    <row r="1850" customFormat="false" ht="15" hidden="false" customHeight="false" outlineLevel="0" collapsed="false">
      <c r="A1850" s="22"/>
      <c r="B1850" s="11"/>
      <c r="C1850" s="24"/>
      <c r="D1850" s="31" t="str">
        <f aca="false">IF(C1850="","",IF(LEN(UPPER(SUBSTITUTE(SUBSTITUTE(SUBSTITUTE(SUBSTITUTE(TRIM(C1850),".",""),"/",""),"-","")," ","")))&lt;14,RIGHT(REPT("0",14)&amp;UPPER(SUBSTITUTE(SUBSTITUTE(SUBSTITUTE(SUBSTITUTE(TRIM(C1850),".",""),"/",""),"-","")," ","")),14),UPPER(SUBSTITUTE(SUBSTITUTE(SUBSTITUTE(SUBSTITUTE(TRIM(C1850),".",""),"/",""),"-","")," ",""))))</f>
        <v/>
      </c>
      <c r="E1850" s="25" t="str">
        <f aca="false">IF(D1850="","",IFERROR(INDEX(Empresas!$C:$C,MATCH(D1850,Empresas!$B:$B,0)),"cadastre o CNPJ em Empresas"))</f>
        <v/>
      </c>
      <c r="F1850" s="23"/>
      <c r="G1850" s="35"/>
      <c r="H1850" s="24"/>
      <c r="I1850" s="11"/>
      <c r="J1850" s="27" t="str">
        <f aca="false">IF(A1850="","",YEAR(A1850))</f>
        <v/>
      </c>
      <c r="K1850" s="24"/>
      <c r="L1850" s="11"/>
    </row>
    <row r="1851" customFormat="false" ht="15" hidden="false" customHeight="false" outlineLevel="0" collapsed="false">
      <c r="A1851" s="22"/>
      <c r="B1851" s="11"/>
      <c r="C1851" s="24"/>
      <c r="D1851" s="31" t="str">
        <f aca="false">IF(C1851="","",IF(LEN(UPPER(SUBSTITUTE(SUBSTITUTE(SUBSTITUTE(SUBSTITUTE(TRIM(C1851),".",""),"/",""),"-","")," ","")))&lt;14,RIGHT(REPT("0",14)&amp;UPPER(SUBSTITUTE(SUBSTITUTE(SUBSTITUTE(SUBSTITUTE(TRIM(C1851),".",""),"/",""),"-","")," ","")),14),UPPER(SUBSTITUTE(SUBSTITUTE(SUBSTITUTE(SUBSTITUTE(TRIM(C1851),".",""),"/",""),"-","")," ",""))))</f>
        <v/>
      </c>
      <c r="E1851" s="25" t="str">
        <f aca="false">IF(D1851="","",IFERROR(INDEX(Empresas!$C:$C,MATCH(D1851,Empresas!$B:$B,0)),"cadastre o CNPJ em Empresas"))</f>
        <v/>
      </c>
      <c r="F1851" s="23"/>
      <c r="G1851" s="35"/>
      <c r="H1851" s="24"/>
      <c r="I1851" s="11"/>
      <c r="J1851" s="27" t="str">
        <f aca="false">IF(A1851="","",YEAR(A1851))</f>
        <v/>
      </c>
      <c r="K1851" s="24"/>
      <c r="L1851" s="11"/>
    </row>
    <row r="1852" customFormat="false" ht="15" hidden="false" customHeight="false" outlineLevel="0" collapsed="false">
      <c r="A1852" s="22"/>
      <c r="B1852" s="11"/>
      <c r="C1852" s="24"/>
      <c r="D1852" s="31" t="str">
        <f aca="false">IF(C1852="","",IF(LEN(UPPER(SUBSTITUTE(SUBSTITUTE(SUBSTITUTE(SUBSTITUTE(TRIM(C1852),".",""),"/",""),"-","")," ","")))&lt;14,RIGHT(REPT("0",14)&amp;UPPER(SUBSTITUTE(SUBSTITUTE(SUBSTITUTE(SUBSTITUTE(TRIM(C1852),".",""),"/",""),"-","")," ","")),14),UPPER(SUBSTITUTE(SUBSTITUTE(SUBSTITUTE(SUBSTITUTE(TRIM(C1852),".",""),"/",""),"-","")," ",""))))</f>
        <v/>
      </c>
      <c r="E1852" s="25" t="str">
        <f aca="false">IF(D1852="","",IFERROR(INDEX(Empresas!$C:$C,MATCH(D1852,Empresas!$B:$B,0)),"cadastre o CNPJ em Empresas"))</f>
        <v/>
      </c>
      <c r="F1852" s="23"/>
      <c r="G1852" s="35"/>
      <c r="H1852" s="24"/>
      <c r="I1852" s="11"/>
      <c r="J1852" s="27" t="str">
        <f aca="false">IF(A1852="","",YEAR(A1852))</f>
        <v/>
      </c>
      <c r="K1852" s="24"/>
      <c r="L1852" s="11"/>
    </row>
    <row r="1853" customFormat="false" ht="15" hidden="false" customHeight="false" outlineLevel="0" collapsed="false">
      <c r="A1853" s="22"/>
      <c r="B1853" s="11"/>
      <c r="C1853" s="24"/>
      <c r="D1853" s="31" t="str">
        <f aca="false">IF(C1853="","",IF(LEN(UPPER(SUBSTITUTE(SUBSTITUTE(SUBSTITUTE(SUBSTITUTE(TRIM(C1853),".",""),"/",""),"-","")," ","")))&lt;14,RIGHT(REPT("0",14)&amp;UPPER(SUBSTITUTE(SUBSTITUTE(SUBSTITUTE(SUBSTITUTE(TRIM(C1853),".",""),"/",""),"-","")," ","")),14),UPPER(SUBSTITUTE(SUBSTITUTE(SUBSTITUTE(SUBSTITUTE(TRIM(C1853),".",""),"/",""),"-","")," ",""))))</f>
        <v/>
      </c>
      <c r="E1853" s="25" t="str">
        <f aca="false">IF(D1853="","",IFERROR(INDEX(Empresas!$C:$C,MATCH(D1853,Empresas!$B:$B,0)),"cadastre o CNPJ em Empresas"))</f>
        <v/>
      </c>
      <c r="F1853" s="23"/>
      <c r="G1853" s="35"/>
      <c r="H1853" s="24"/>
      <c r="I1853" s="11"/>
      <c r="J1853" s="27" t="str">
        <f aca="false">IF(A1853="","",YEAR(A1853))</f>
        <v/>
      </c>
      <c r="K1853" s="24"/>
      <c r="L1853" s="11"/>
    </row>
    <row r="1854" customFormat="false" ht="15" hidden="false" customHeight="false" outlineLevel="0" collapsed="false">
      <c r="A1854" s="22"/>
      <c r="B1854" s="11"/>
      <c r="C1854" s="24"/>
      <c r="D1854" s="31" t="str">
        <f aca="false">IF(C1854="","",IF(LEN(UPPER(SUBSTITUTE(SUBSTITUTE(SUBSTITUTE(SUBSTITUTE(TRIM(C1854),".",""),"/",""),"-","")," ","")))&lt;14,RIGHT(REPT("0",14)&amp;UPPER(SUBSTITUTE(SUBSTITUTE(SUBSTITUTE(SUBSTITUTE(TRIM(C1854),".",""),"/",""),"-","")," ","")),14),UPPER(SUBSTITUTE(SUBSTITUTE(SUBSTITUTE(SUBSTITUTE(TRIM(C1854),".",""),"/",""),"-","")," ",""))))</f>
        <v/>
      </c>
      <c r="E1854" s="25" t="str">
        <f aca="false">IF(D1854="","",IFERROR(INDEX(Empresas!$C:$C,MATCH(D1854,Empresas!$B:$B,0)),"cadastre o CNPJ em Empresas"))</f>
        <v/>
      </c>
      <c r="F1854" s="23"/>
      <c r="G1854" s="35"/>
      <c r="H1854" s="24"/>
      <c r="I1854" s="11"/>
      <c r="J1854" s="27" t="str">
        <f aca="false">IF(A1854="","",YEAR(A1854))</f>
        <v/>
      </c>
      <c r="K1854" s="24"/>
      <c r="L1854" s="11"/>
    </row>
    <row r="1855" customFormat="false" ht="15" hidden="false" customHeight="false" outlineLevel="0" collapsed="false">
      <c r="A1855" s="22"/>
      <c r="B1855" s="11"/>
      <c r="C1855" s="24"/>
      <c r="D1855" s="31" t="str">
        <f aca="false">IF(C1855="","",IF(LEN(UPPER(SUBSTITUTE(SUBSTITUTE(SUBSTITUTE(SUBSTITUTE(TRIM(C1855),".",""),"/",""),"-","")," ","")))&lt;14,RIGHT(REPT("0",14)&amp;UPPER(SUBSTITUTE(SUBSTITUTE(SUBSTITUTE(SUBSTITUTE(TRIM(C1855),".",""),"/",""),"-","")," ","")),14),UPPER(SUBSTITUTE(SUBSTITUTE(SUBSTITUTE(SUBSTITUTE(TRIM(C1855),".",""),"/",""),"-","")," ",""))))</f>
        <v/>
      </c>
      <c r="E1855" s="25" t="str">
        <f aca="false">IF(D1855="","",IFERROR(INDEX(Empresas!$C:$C,MATCH(D1855,Empresas!$B:$B,0)),"cadastre o CNPJ em Empresas"))</f>
        <v/>
      </c>
      <c r="F1855" s="23"/>
      <c r="G1855" s="35"/>
      <c r="H1855" s="24"/>
      <c r="I1855" s="11"/>
      <c r="J1855" s="27" t="str">
        <f aca="false">IF(A1855="","",YEAR(A1855))</f>
        <v/>
      </c>
      <c r="K1855" s="24"/>
      <c r="L1855" s="11"/>
    </row>
    <row r="1856" customFormat="false" ht="15" hidden="false" customHeight="false" outlineLevel="0" collapsed="false">
      <c r="A1856" s="22"/>
      <c r="B1856" s="11"/>
      <c r="C1856" s="24"/>
      <c r="D1856" s="31" t="str">
        <f aca="false">IF(C1856="","",IF(LEN(UPPER(SUBSTITUTE(SUBSTITUTE(SUBSTITUTE(SUBSTITUTE(TRIM(C1856),".",""),"/",""),"-","")," ","")))&lt;14,RIGHT(REPT("0",14)&amp;UPPER(SUBSTITUTE(SUBSTITUTE(SUBSTITUTE(SUBSTITUTE(TRIM(C1856),".",""),"/",""),"-","")," ","")),14),UPPER(SUBSTITUTE(SUBSTITUTE(SUBSTITUTE(SUBSTITUTE(TRIM(C1856),".",""),"/",""),"-","")," ",""))))</f>
        <v/>
      </c>
      <c r="E1856" s="25" t="str">
        <f aca="false">IF(D1856="","",IFERROR(INDEX(Empresas!$C:$C,MATCH(D1856,Empresas!$B:$B,0)),"cadastre o CNPJ em Empresas"))</f>
        <v/>
      </c>
      <c r="F1856" s="23"/>
      <c r="G1856" s="35"/>
      <c r="H1856" s="24"/>
      <c r="I1856" s="11"/>
      <c r="J1856" s="27" t="str">
        <f aca="false">IF(A1856="","",YEAR(A1856))</f>
        <v/>
      </c>
      <c r="K1856" s="24"/>
      <c r="L1856" s="11"/>
    </row>
    <row r="1857" customFormat="false" ht="15" hidden="false" customHeight="false" outlineLevel="0" collapsed="false">
      <c r="A1857" s="22"/>
      <c r="B1857" s="11"/>
      <c r="C1857" s="24"/>
      <c r="D1857" s="31" t="str">
        <f aca="false">IF(C1857="","",IF(LEN(UPPER(SUBSTITUTE(SUBSTITUTE(SUBSTITUTE(SUBSTITUTE(TRIM(C1857),".",""),"/",""),"-","")," ","")))&lt;14,RIGHT(REPT("0",14)&amp;UPPER(SUBSTITUTE(SUBSTITUTE(SUBSTITUTE(SUBSTITUTE(TRIM(C1857),".",""),"/",""),"-","")," ","")),14),UPPER(SUBSTITUTE(SUBSTITUTE(SUBSTITUTE(SUBSTITUTE(TRIM(C1857),".",""),"/",""),"-","")," ",""))))</f>
        <v/>
      </c>
      <c r="E1857" s="25" t="str">
        <f aca="false">IF(D1857="","",IFERROR(INDEX(Empresas!$C:$C,MATCH(D1857,Empresas!$B:$B,0)),"cadastre o CNPJ em Empresas"))</f>
        <v/>
      </c>
      <c r="F1857" s="23"/>
      <c r="G1857" s="35"/>
      <c r="H1857" s="24"/>
      <c r="I1857" s="11"/>
      <c r="J1857" s="27" t="str">
        <f aca="false">IF(A1857="","",YEAR(A1857))</f>
        <v/>
      </c>
      <c r="K1857" s="24"/>
      <c r="L1857" s="11"/>
    </row>
    <row r="1858" customFormat="false" ht="15" hidden="false" customHeight="false" outlineLevel="0" collapsed="false">
      <c r="A1858" s="22"/>
      <c r="B1858" s="11"/>
      <c r="C1858" s="24"/>
      <c r="D1858" s="31" t="str">
        <f aca="false">IF(C1858="","",IF(LEN(UPPER(SUBSTITUTE(SUBSTITUTE(SUBSTITUTE(SUBSTITUTE(TRIM(C1858),".",""),"/",""),"-","")," ","")))&lt;14,RIGHT(REPT("0",14)&amp;UPPER(SUBSTITUTE(SUBSTITUTE(SUBSTITUTE(SUBSTITUTE(TRIM(C1858),".",""),"/",""),"-","")," ","")),14),UPPER(SUBSTITUTE(SUBSTITUTE(SUBSTITUTE(SUBSTITUTE(TRIM(C1858),".",""),"/",""),"-","")," ",""))))</f>
        <v/>
      </c>
      <c r="E1858" s="25" t="str">
        <f aca="false">IF(D1858="","",IFERROR(INDEX(Empresas!$C:$C,MATCH(D1858,Empresas!$B:$B,0)),"cadastre o CNPJ em Empresas"))</f>
        <v/>
      </c>
      <c r="F1858" s="23"/>
      <c r="G1858" s="35"/>
      <c r="H1858" s="24"/>
      <c r="I1858" s="11"/>
      <c r="J1858" s="27" t="str">
        <f aca="false">IF(A1858="","",YEAR(A1858))</f>
        <v/>
      </c>
      <c r="K1858" s="24"/>
      <c r="L1858" s="11"/>
    </row>
    <row r="1859" customFormat="false" ht="15" hidden="false" customHeight="false" outlineLevel="0" collapsed="false">
      <c r="A1859" s="22"/>
      <c r="B1859" s="11"/>
      <c r="C1859" s="24"/>
      <c r="D1859" s="31" t="str">
        <f aca="false">IF(C1859="","",IF(LEN(UPPER(SUBSTITUTE(SUBSTITUTE(SUBSTITUTE(SUBSTITUTE(TRIM(C1859),".",""),"/",""),"-","")," ","")))&lt;14,RIGHT(REPT("0",14)&amp;UPPER(SUBSTITUTE(SUBSTITUTE(SUBSTITUTE(SUBSTITUTE(TRIM(C1859),".",""),"/",""),"-","")," ","")),14),UPPER(SUBSTITUTE(SUBSTITUTE(SUBSTITUTE(SUBSTITUTE(TRIM(C1859),".",""),"/",""),"-","")," ",""))))</f>
        <v/>
      </c>
      <c r="E1859" s="25" t="str">
        <f aca="false">IF(D1859="","",IFERROR(INDEX(Empresas!$C:$C,MATCH(D1859,Empresas!$B:$B,0)),"cadastre o CNPJ em Empresas"))</f>
        <v/>
      </c>
      <c r="F1859" s="23"/>
      <c r="G1859" s="35"/>
      <c r="H1859" s="24"/>
      <c r="I1859" s="11"/>
      <c r="J1859" s="27" t="str">
        <f aca="false">IF(A1859="","",YEAR(A1859))</f>
        <v/>
      </c>
      <c r="K1859" s="24"/>
      <c r="L1859" s="11"/>
    </row>
    <row r="1860" customFormat="false" ht="15" hidden="false" customHeight="false" outlineLevel="0" collapsed="false">
      <c r="A1860" s="22"/>
      <c r="B1860" s="11"/>
      <c r="C1860" s="24"/>
      <c r="D1860" s="31" t="str">
        <f aca="false">IF(C1860="","",IF(LEN(UPPER(SUBSTITUTE(SUBSTITUTE(SUBSTITUTE(SUBSTITUTE(TRIM(C1860),".",""),"/",""),"-","")," ","")))&lt;14,RIGHT(REPT("0",14)&amp;UPPER(SUBSTITUTE(SUBSTITUTE(SUBSTITUTE(SUBSTITUTE(TRIM(C1860),".",""),"/",""),"-","")," ","")),14),UPPER(SUBSTITUTE(SUBSTITUTE(SUBSTITUTE(SUBSTITUTE(TRIM(C1860),".",""),"/",""),"-","")," ",""))))</f>
        <v/>
      </c>
      <c r="E1860" s="25" t="str">
        <f aca="false">IF(D1860="","",IFERROR(INDEX(Empresas!$C:$C,MATCH(D1860,Empresas!$B:$B,0)),"cadastre o CNPJ em Empresas"))</f>
        <v/>
      </c>
      <c r="F1860" s="23"/>
      <c r="G1860" s="35"/>
      <c r="H1860" s="24"/>
      <c r="I1860" s="11"/>
      <c r="J1860" s="27" t="str">
        <f aca="false">IF(A1860="","",YEAR(A1860))</f>
        <v/>
      </c>
      <c r="K1860" s="24"/>
      <c r="L1860" s="11"/>
    </row>
    <row r="1861" customFormat="false" ht="15" hidden="false" customHeight="false" outlineLevel="0" collapsed="false">
      <c r="A1861" s="22"/>
      <c r="B1861" s="11"/>
      <c r="C1861" s="24"/>
      <c r="D1861" s="31" t="str">
        <f aca="false">IF(C1861="","",IF(LEN(UPPER(SUBSTITUTE(SUBSTITUTE(SUBSTITUTE(SUBSTITUTE(TRIM(C1861),".",""),"/",""),"-","")," ","")))&lt;14,RIGHT(REPT("0",14)&amp;UPPER(SUBSTITUTE(SUBSTITUTE(SUBSTITUTE(SUBSTITUTE(TRIM(C1861),".",""),"/",""),"-","")," ","")),14),UPPER(SUBSTITUTE(SUBSTITUTE(SUBSTITUTE(SUBSTITUTE(TRIM(C1861),".",""),"/",""),"-","")," ",""))))</f>
        <v/>
      </c>
      <c r="E1861" s="25" t="str">
        <f aca="false">IF(D1861="","",IFERROR(INDEX(Empresas!$C:$C,MATCH(D1861,Empresas!$B:$B,0)),"cadastre o CNPJ em Empresas"))</f>
        <v/>
      </c>
      <c r="F1861" s="23"/>
      <c r="G1861" s="35"/>
      <c r="H1861" s="24"/>
      <c r="I1861" s="11"/>
      <c r="J1861" s="27" t="str">
        <f aca="false">IF(A1861="","",YEAR(A1861))</f>
        <v/>
      </c>
      <c r="K1861" s="24"/>
      <c r="L1861" s="11"/>
    </row>
    <row r="1862" customFormat="false" ht="15" hidden="false" customHeight="false" outlineLevel="0" collapsed="false">
      <c r="A1862" s="22"/>
      <c r="B1862" s="11"/>
      <c r="C1862" s="24"/>
      <c r="D1862" s="31" t="str">
        <f aca="false">IF(C1862="","",IF(LEN(UPPER(SUBSTITUTE(SUBSTITUTE(SUBSTITUTE(SUBSTITUTE(TRIM(C1862),".",""),"/",""),"-","")," ","")))&lt;14,RIGHT(REPT("0",14)&amp;UPPER(SUBSTITUTE(SUBSTITUTE(SUBSTITUTE(SUBSTITUTE(TRIM(C1862),".",""),"/",""),"-","")," ","")),14),UPPER(SUBSTITUTE(SUBSTITUTE(SUBSTITUTE(SUBSTITUTE(TRIM(C1862),".",""),"/",""),"-","")," ",""))))</f>
        <v/>
      </c>
      <c r="E1862" s="25" t="str">
        <f aca="false">IF(D1862="","",IFERROR(INDEX(Empresas!$C:$C,MATCH(D1862,Empresas!$B:$B,0)),"cadastre o CNPJ em Empresas"))</f>
        <v/>
      </c>
      <c r="F1862" s="23"/>
      <c r="G1862" s="35"/>
      <c r="H1862" s="24"/>
      <c r="I1862" s="11"/>
      <c r="J1862" s="27" t="str">
        <f aca="false">IF(A1862="","",YEAR(A1862))</f>
        <v/>
      </c>
      <c r="K1862" s="24"/>
      <c r="L1862" s="11"/>
    </row>
    <row r="1863" customFormat="false" ht="15" hidden="false" customHeight="false" outlineLevel="0" collapsed="false">
      <c r="A1863" s="22"/>
      <c r="B1863" s="11"/>
      <c r="C1863" s="24"/>
      <c r="D1863" s="31" t="str">
        <f aca="false">IF(C1863="","",IF(LEN(UPPER(SUBSTITUTE(SUBSTITUTE(SUBSTITUTE(SUBSTITUTE(TRIM(C1863),".",""),"/",""),"-","")," ","")))&lt;14,RIGHT(REPT("0",14)&amp;UPPER(SUBSTITUTE(SUBSTITUTE(SUBSTITUTE(SUBSTITUTE(TRIM(C1863),".",""),"/",""),"-","")," ","")),14),UPPER(SUBSTITUTE(SUBSTITUTE(SUBSTITUTE(SUBSTITUTE(TRIM(C1863),".",""),"/",""),"-","")," ",""))))</f>
        <v/>
      </c>
      <c r="E1863" s="25" t="str">
        <f aca="false">IF(D1863="","",IFERROR(INDEX(Empresas!$C:$C,MATCH(D1863,Empresas!$B:$B,0)),"cadastre o CNPJ em Empresas"))</f>
        <v/>
      </c>
      <c r="F1863" s="23"/>
      <c r="G1863" s="35"/>
      <c r="H1863" s="24"/>
      <c r="I1863" s="11"/>
      <c r="J1863" s="27" t="str">
        <f aca="false">IF(A1863="","",YEAR(A1863))</f>
        <v/>
      </c>
      <c r="K1863" s="24"/>
      <c r="L1863" s="11"/>
    </row>
    <row r="1864" customFormat="false" ht="15" hidden="false" customHeight="false" outlineLevel="0" collapsed="false">
      <c r="A1864" s="22"/>
      <c r="B1864" s="11"/>
      <c r="C1864" s="24"/>
      <c r="D1864" s="31" t="str">
        <f aca="false">IF(C1864="","",IF(LEN(UPPER(SUBSTITUTE(SUBSTITUTE(SUBSTITUTE(SUBSTITUTE(TRIM(C1864),".",""),"/",""),"-","")," ","")))&lt;14,RIGHT(REPT("0",14)&amp;UPPER(SUBSTITUTE(SUBSTITUTE(SUBSTITUTE(SUBSTITUTE(TRIM(C1864),".",""),"/",""),"-","")," ","")),14),UPPER(SUBSTITUTE(SUBSTITUTE(SUBSTITUTE(SUBSTITUTE(TRIM(C1864),".",""),"/",""),"-","")," ",""))))</f>
        <v/>
      </c>
      <c r="E1864" s="25" t="str">
        <f aca="false">IF(D1864="","",IFERROR(INDEX(Empresas!$C:$C,MATCH(D1864,Empresas!$B:$B,0)),"cadastre o CNPJ em Empresas"))</f>
        <v/>
      </c>
      <c r="F1864" s="23"/>
      <c r="G1864" s="35"/>
      <c r="H1864" s="24"/>
      <c r="I1864" s="11"/>
      <c r="J1864" s="27" t="str">
        <f aca="false">IF(A1864="","",YEAR(A1864))</f>
        <v/>
      </c>
      <c r="K1864" s="24"/>
      <c r="L1864" s="11"/>
    </row>
    <row r="1865" customFormat="false" ht="15" hidden="false" customHeight="false" outlineLevel="0" collapsed="false">
      <c r="A1865" s="22"/>
      <c r="B1865" s="11"/>
      <c r="C1865" s="24"/>
      <c r="D1865" s="31" t="str">
        <f aca="false">IF(C1865="","",IF(LEN(UPPER(SUBSTITUTE(SUBSTITUTE(SUBSTITUTE(SUBSTITUTE(TRIM(C1865),".",""),"/",""),"-","")," ","")))&lt;14,RIGHT(REPT("0",14)&amp;UPPER(SUBSTITUTE(SUBSTITUTE(SUBSTITUTE(SUBSTITUTE(TRIM(C1865),".",""),"/",""),"-","")," ","")),14),UPPER(SUBSTITUTE(SUBSTITUTE(SUBSTITUTE(SUBSTITUTE(TRIM(C1865),".",""),"/",""),"-","")," ",""))))</f>
        <v/>
      </c>
      <c r="E1865" s="25" t="str">
        <f aca="false">IF(D1865="","",IFERROR(INDEX(Empresas!$C:$C,MATCH(D1865,Empresas!$B:$B,0)),"cadastre o CNPJ em Empresas"))</f>
        <v/>
      </c>
      <c r="F1865" s="23"/>
      <c r="G1865" s="35"/>
      <c r="H1865" s="24"/>
      <c r="I1865" s="11"/>
      <c r="J1865" s="27" t="str">
        <f aca="false">IF(A1865="","",YEAR(A1865))</f>
        <v/>
      </c>
      <c r="K1865" s="24"/>
      <c r="L1865" s="11"/>
    </row>
    <row r="1866" customFormat="false" ht="15" hidden="false" customHeight="false" outlineLevel="0" collapsed="false">
      <c r="A1866" s="22"/>
      <c r="B1866" s="11"/>
      <c r="C1866" s="24"/>
      <c r="D1866" s="31" t="str">
        <f aca="false">IF(C1866="","",IF(LEN(UPPER(SUBSTITUTE(SUBSTITUTE(SUBSTITUTE(SUBSTITUTE(TRIM(C1866),".",""),"/",""),"-","")," ","")))&lt;14,RIGHT(REPT("0",14)&amp;UPPER(SUBSTITUTE(SUBSTITUTE(SUBSTITUTE(SUBSTITUTE(TRIM(C1866),".",""),"/",""),"-","")," ","")),14),UPPER(SUBSTITUTE(SUBSTITUTE(SUBSTITUTE(SUBSTITUTE(TRIM(C1866),".",""),"/",""),"-","")," ",""))))</f>
        <v/>
      </c>
      <c r="E1866" s="25" t="str">
        <f aca="false">IF(D1866="","",IFERROR(INDEX(Empresas!$C:$C,MATCH(D1866,Empresas!$B:$B,0)),"cadastre o CNPJ em Empresas"))</f>
        <v/>
      </c>
      <c r="F1866" s="23"/>
      <c r="G1866" s="35"/>
      <c r="H1866" s="24"/>
      <c r="I1866" s="11"/>
      <c r="J1866" s="27" t="str">
        <f aca="false">IF(A1866="","",YEAR(A1866))</f>
        <v/>
      </c>
      <c r="K1866" s="24"/>
      <c r="L1866" s="11"/>
    </row>
    <row r="1867" customFormat="false" ht="15" hidden="false" customHeight="false" outlineLevel="0" collapsed="false">
      <c r="A1867" s="22"/>
      <c r="B1867" s="11"/>
      <c r="C1867" s="24"/>
      <c r="D1867" s="31" t="str">
        <f aca="false">IF(C1867="","",IF(LEN(UPPER(SUBSTITUTE(SUBSTITUTE(SUBSTITUTE(SUBSTITUTE(TRIM(C1867),".",""),"/",""),"-","")," ","")))&lt;14,RIGHT(REPT("0",14)&amp;UPPER(SUBSTITUTE(SUBSTITUTE(SUBSTITUTE(SUBSTITUTE(TRIM(C1867),".",""),"/",""),"-","")," ","")),14),UPPER(SUBSTITUTE(SUBSTITUTE(SUBSTITUTE(SUBSTITUTE(TRIM(C1867),".",""),"/",""),"-","")," ",""))))</f>
        <v/>
      </c>
      <c r="E1867" s="25" t="str">
        <f aca="false">IF(D1867="","",IFERROR(INDEX(Empresas!$C:$C,MATCH(D1867,Empresas!$B:$B,0)),"cadastre o CNPJ em Empresas"))</f>
        <v/>
      </c>
      <c r="F1867" s="23"/>
      <c r="G1867" s="35"/>
      <c r="H1867" s="24"/>
      <c r="I1867" s="11"/>
      <c r="J1867" s="27" t="str">
        <f aca="false">IF(A1867="","",YEAR(A1867))</f>
        <v/>
      </c>
      <c r="K1867" s="24"/>
      <c r="L1867" s="11"/>
    </row>
    <row r="1868" customFormat="false" ht="15" hidden="false" customHeight="false" outlineLevel="0" collapsed="false">
      <c r="A1868" s="22"/>
      <c r="B1868" s="11"/>
      <c r="C1868" s="24"/>
      <c r="D1868" s="31" t="str">
        <f aca="false">IF(C1868="","",IF(LEN(UPPER(SUBSTITUTE(SUBSTITUTE(SUBSTITUTE(SUBSTITUTE(TRIM(C1868),".",""),"/",""),"-","")," ","")))&lt;14,RIGHT(REPT("0",14)&amp;UPPER(SUBSTITUTE(SUBSTITUTE(SUBSTITUTE(SUBSTITUTE(TRIM(C1868),".",""),"/",""),"-","")," ","")),14),UPPER(SUBSTITUTE(SUBSTITUTE(SUBSTITUTE(SUBSTITUTE(TRIM(C1868),".",""),"/",""),"-","")," ",""))))</f>
        <v/>
      </c>
      <c r="E1868" s="25" t="str">
        <f aca="false">IF(D1868="","",IFERROR(INDEX(Empresas!$C:$C,MATCH(D1868,Empresas!$B:$B,0)),"cadastre o CNPJ em Empresas"))</f>
        <v/>
      </c>
      <c r="F1868" s="23"/>
      <c r="G1868" s="35"/>
      <c r="H1868" s="24"/>
      <c r="I1868" s="11"/>
      <c r="J1868" s="27" t="str">
        <f aca="false">IF(A1868="","",YEAR(A1868))</f>
        <v/>
      </c>
      <c r="K1868" s="24"/>
      <c r="L1868" s="11"/>
    </row>
    <row r="1869" customFormat="false" ht="15" hidden="false" customHeight="false" outlineLevel="0" collapsed="false">
      <c r="A1869" s="22"/>
      <c r="B1869" s="11"/>
      <c r="C1869" s="24"/>
      <c r="D1869" s="31" t="str">
        <f aca="false">IF(C1869="","",IF(LEN(UPPER(SUBSTITUTE(SUBSTITUTE(SUBSTITUTE(SUBSTITUTE(TRIM(C1869),".",""),"/",""),"-","")," ","")))&lt;14,RIGHT(REPT("0",14)&amp;UPPER(SUBSTITUTE(SUBSTITUTE(SUBSTITUTE(SUBSTITUTE(TRIM(C1869),".",""),"/",""),"-","")," ","")),14),UPPER(SUBSTITUTE(SUBSTITUTE(SUBSTITUTE(SUBSTITUTE(TRIM(C1869),".",""),"/",""),"-","")," ",""))))</f>
        <v/>
      </c>
      <c r="E1869" s="25" t="str">
        <f aca="false">IF(D1869="","",IFERROR(INDEX(Empresas!$C:$C,MATCH(D1869,Empresas!$B:$B,0)),"cadastre o CNPJ em Empresas"))</f>
        <v/>
      </c>
      <c r="F1869" s="23"/>
      <c r="G1869" s="35"/>
      <c r="H1869" s="24"/>
      <c r="I1869" s="11"/>
      <c r="J1869" s="27" t="str">
        <f aca="false">IF(A1869="","",YEAR(A1869))</f>
        <v/>
      </c>
      <c r="K1869" s="24"/>
      <c r="L1869" s="11"/>
    </row>
    <row r="1870" customFormat="false" ht="15" hidden="false" customHeight="false" outlineLevel="0" collapsed="false">
      <c r="A1870" s="22"/>
      <c r="B1870" s="11"/>
      <c r="C1870" s="24"/>
      <c r="D1870" s="31" t="str">
        <f aca="false">IF(C1870="","",IF(LEN(UPPER(SUBSTITUTE(SUBSTITUTE(SUBSTITUTE(SUBSTITUTE(TRIM(C1870),".",""),"/",""),"-","")," ","")))&lt;14,RIGHT(REPT("0",14)&amp;UPPER(SUBSTITUTE(SUBSTITUTE(SUBSTITUTE(SUBSTITUTE(TRIM(C1870),".",""),"/",""),"-","")," ","")),14),UPPER(SUBSTITUTE(SUBSTITUTE(SUBSTITUTE(SUBSTITUTE(TRIM(C1870),".",""),"/",""),"-","")," ",""))))</f>
        <v/>
      </c>
      <c r="E1870" s="25" t="str">
        <f aca="false">IF(D1870="","",IFERROR(INDEX(Empresas!$C:$C,MATCH(D1870,Empresas!$B:$B,0)),"cadastre o CNPJ em Empresas"))</f>
        <v/>
      </c>
      <c r="F1870" s="23"/>
      <c r="G1870" s="35"/>
      <c r="H1870" s="24"/>
      <c r="I1870" s="11"/>
      <c r="J1870" s="27" t="str">
        <f aca="false">IF(A1870="","",YEAR(A1870))</f>
        <v/>
      </c>
      <c r="K1870" s="24"/>
      <c r="L1870" s="11"/>
    </row>
    <row r="1871" customFormat="false" ht="15" hidden="false" customHeight="false" outlineLevel="0" collapsed="false">
      <c r="A1871" s="22"/>
      <c r="B1871" s="11"/>
      <c r="C1871" s="24"/>
      <c r="D1871" s="31" t="str">
        <f aca="false">IF(C1871="","",IF(LEN(UPPER(SUBSTITUTE(SUBSTITUTE(SUBSTITUTE(SUBSTITUTE(TRIM(C1871),".",""),"/",""),"-","")," ","")))&lt;14,RIGHT(REPT("0",14)&amp;UPPER(SUBSTITUTE(SUBSTITUTE(SUBSTITUTE(SUBSTITUTE(TRIM(C1871),".",""),"/",""),"-","")," ","")),14),UPPER(SUBSTITUTE(SUBSTITUTE(SUBSTITUTE(SUBSTITUTE(TRIM(C1871),".",""),"/",""),"-","")," ",""))))</f>
        <v/>
      </c>
      <c r="E1871" s="25" t="str">
        <f aca="false">IF(D1871="","",IFERROR(INDEX(Empresas!$C:$C,MATCH(D1871,Empresas!$B:$B,0)),"cadastre o CNPJ em Empresas"))</f>
        <v/>
      </c>
      <c r="F1871" s="23"/>
      <c r="G1871" s="35"/>
      <c r="H1871" s="24"/>
      <c r="I1871" s="11"/>
      <c r="J1871" s="27" t="str">
        <f aca="false">IF(A1871="","",YEAR(A1871))</f>
        <v/>
      </c>
      <c r="K1871" s="24"/>
      <c r="L1871" s="11"/>
    </row>
    <row r="1872" customFormat="false" ht="15" hidden="false" customHeight="false" outlineLevel="0" collapsed="false">
      <c r="A1872" s="22"/>
      <c r="B1872" s="11"/>
      <c r="C1872" s="24"/>
      <c r="D1872" s="31" t="str">
        <f aca="false">IF(C1872="","",IF(LEN(UPPER(SUBSTITUTE(SUBSTITUTE(SUBSTITUTE(SUBSTITUTE(TRIM(C1872),".",""),"/",""),"-","")," ","")))&lt;14,RIGHT(REPT("0",14)&amp;UPPER(SUBSTITUTE(SUBSTITUTE(SUBSTITUTE(SUBSTITUTE(TRIM(C1872),".",""),"/",""),"-","")," ","")),14),UPPER(SUBSTITUTE(SUBSTITUTE(SUBSTITUTE(SUBSTITUTE(TRIM(C1872),".",""),"/",""),"-","")," ",""))))</f>
        <v/>
      </c>
      <c r="E1872" s="25" t="str">
        <f aca="false">IF(D1872="","",IFERROR(INDEX(Empresas!$C:$C,MATCH(D1872,Empresas!$B:$B,0)),"cadastre o CNPJ em Empresas"))</f>
        <v/>
      </c>
      <c r="F1872" s="23"/>
      <c r="G1872" s="35"/>
      <c r="H1872" s="24"/>
      <c r="I1872" s="11"/>
      <c r="J1872" s="27" t="str">
        <f aca="false">IF(A1872="","",YEAR(A1872))</f>
        <v/>
      </c>
      <c r="K1872" s="24"/>
      <c r="L1872" s="11"/>
    </row>
    <row r="1873" customFormat="false" ht="15" hidden="false" customHeight="false" outlineLevel="0" collapsed="false">
      <c r="A1873" s="22"/>
      <c r="B1873" s="11"/>
      <c r="C1873" s="24"/>
      <c r="D1873" s="31" t="str">
        <f aca="false">IF(C1873="","",IF(LEN(UPPER(SUBSTITUTE(SUBSTITUTE(SUBSTITUTE(SUBSTITUTE(TRIM(C1873),".",""),"/",""),"-","")," ","")))&lt;14,RIGHT(REPT("0",14)&amp;UPPER(SUBSTITUTE(SUBSTITUTE(SUBSTITUTE(SUBSTITUTE(TRIM(C1873),".",""),"/",""),"-","")," ","")),14),UPPER(SUBSTITUTE(SUBSTITUTE(SUBSTITUTE(SUBSTITUTE(TRIM(C1873),".",""),"/",""),"-","")," ",""))))</f>
        <v/>
      </c>
      <c r="E1873" s="25" t="str">
        <f aca="false">IF(D1873="","",IFERROR(INDEX(Empresas!$C:$C,MATCH(D1873,Empresas!$B:$B,0)),"cadastre o CNPJ em Empresas"))</f>
        <v/>
      </c>
      <c r="F1873" s="23"/>
      <c r="G1873" s="35"/>
      <c r="H1873" s="24"/>
      <c r="I1873" s="11"/>
      <c r="J1873" s="27" t="str">
        <f aca="false">IF(A1873="","",YEAR(A1873))</f>
        <v/>
      </c>
      <c r="K1873" s="24"/>
      <c r="L1873" s="11"/>
    </row>
    <row r="1874" customFormat="false" ht="15" hidden="false" customHeight="false" outlineLevel="0" collapsed="false">
      <c r="A1874" s="22"/>
      <c r="B1874" s="11"/>
      <c r="C1874" s="24"/>
      <c r="D1874" s="31" t="str">
        <f aca="false">IF(C1874="","",IF(LEN(UPPER(SUBSTITUTE(SUBSTITUTE(SUBSTITUTE(SUBSTITUTE(TRIM(C1874),".",""),"/",""),"-","")," ","")))&lt;14,RIGHT(REPT("0",14)&amp;UPPER(SUBSTITUTE(SUBSTITUTE(SUBSTITUTE(SUBSTITUTE(TRIM(C1874),".",""),"/",""),"-","")," ","")),14),UPPER(SUBSTITUTE(SUBSTITUTE(SUBSTITUTE(SUBSTITUTE(TRIM(C1874),".",""),"/",""),"-","")," ",""))))</f>
        <v/>
      </c>
      <c r="E1874" s="25" t="str">
        <f aca="false">IF(D1874="","",IFERROR(INDEX(Empresas!$C:$C,MATCH(D1874,Empresas!$B:$B,0)),"cadastre o CNPJ em Empresas"))</f>
        <v/>
      </c>
      <c r="F1874" s="23"/>
      <c r="G1874" s="35"/>
      <c r="H1874" s="24"/>
      <c r="I1874" s="11"/>
      <c r="J1874" s="27" t="str">
        <f aca="false">IF(A1874="","",YEAR(A1874))</f>
        <v/>
      </c>
      <c r="K1874" s="24"/>
      <c r="L1874" s="11"/>
    </row>
    <row r="1875" customFormat="false" ht="15" hidden="false" customHeight="false" outlineLevel="0" collapsed="false">
      <c r="A1875" s="22"/>
      <c r="B1875" s="11"/>
      <c r="C1875" s="24"/>
      <c r="D1875" s="31" t="str">
        <f aca="false">IF(C1875="","",IF(LEN(UPPER(SUBSTITUTE(SUBSTITUTE(SUBSTITUTE(SUBSTITUTE(TRIM(C1875),".",""),"/",""),"-","")," ","")))&lt;14,RIGHT(REPT("0",14)&amp;UPPER(SUBSTITUTE(SUBSTITUTE(SUBSTITUTE(SUBSTITUTE(TRIM(C1875),".",""),"/",""),"-","")," ","")),14),UPPER(SUBSTITUTE(SUBSTITUTE(SUBSTITUTE(SUBSTITUTE(TRIM(C1875),".",""),"/",""),"-","")," ",""))))</f>
        <v/>
      </c>
      <c r="E1875" s="25" t="str">
        <f aca="false">IF(D1875="","",IFERROR(INDEX(Empresas!$C:$C,MATCH(D1875,Empresas!$B:$B,0)),"cadastre o CNPJ em Empresas"))</f>
        <v/>
      </c>
      <c r="F1875" s="23"/>
      <c r="G1875" s="35"/>
      <c r="H1875" s="24"/>
      <c r="I1875" s="11"/>
      <c r="J1875" s="27" t="str">
        <f aca="false">IF(A1875="","",YEAR(A1875))</f>
        <v/>
      </c>
      <c r="K1875" s="24"/>
      <c r="L1875" s="11"/>
    </row>
    <row r="1876" customFormat="false" ht="15" hidden="false" customHeight="false" outlineLevel="0" collapsed="false">
      <c r="A1876" s="22"/>
      <c r="B1876" s="11"/>
      <c r="C1876" s="24"/>
      <c r="D1876" s="31" t="str">
        <f aca="false">IF(C1876="","",IF(LEN(UPPER(SUBSTITUTE(SUBSTITUTE(SUBSTITUTE(SUBSTITUTE(TRIM(C1876),".",""),"/",""),"-","")," ","")))&lt;14,RIGHT(REPT("0",14)&amp;UPPER(SUBSTITUTE(SUBSTITUTE(SUBSTITUTE(SUBSTITUTE(TRIM(C1876),".",""),"/",""),"-","")," ","")),14),UPPER(SUBSTITUTE(SUBSTITUTE(SUBSTITUTE(SUBSTITUTE(TRIM(C1876),".",""),"/",""),"-","")," ",""))))</f>
        <v/>
      </c>
      <c r="E1876" s="25" t="str">
        <f aca="false">IF(D1876="","",IFERROR(INDEX(Empresas!$C:$C,MATCH(D1876,Empresas!$B:$B,0)),"cadastre o CNPJ em Empresas"))</f>
        <v/>
      </c>
      <c r="F1876" s="23"/>
      <c r="G1876" s="35"/>
      <c r="H1876" s="24"/>
      <c r="I1876" s="11"/>
      <c r="J1876" s="27" t="str">
        <f aca="false">IF(A1876="","",YEAR(A1876))</f>
        <v/>
      </c>
      <c r="K1876" s="24"/>
      <c r="L1876" s="11"/>
    </row>
    <row r="1877" customFormat="false" ht="15" hidden="false" customHeight="false" outlineLevel="0" collapsed="false">
      <c r="A1877" s="22"/>
      <c r="B1877" s="11"/>
      <c r="C1877" s="24"/>
      <c r="D1877" s="31" t="str">
        <f aca="false">IF(C1877="","",IF(LEN(UPPER(SUBSTITUTE(SUBSTITUTE(SUBSTITUTE(SUBSTITUTE(TRIM(C1877),".",""),"/",""),"-","")," ","")))&lt;14,RIGHT(REPT("0",14)&amp;UPPER(SUBSTITUTE(SUBSTITUTE(SUBSTITUTE(SUBSTITUTE(TRIM(C1877),".",""),"/",""),"-","")," ","")),14),UPPER(SUBSTITUTE(SUBSTITUTE(SUBSTITUTE(SUBSTITUTE(TRIM(C1877),".",""),"/",""),"-","")," ",""))))</f>
        <v/>
      </c>
      <c r="E1877" s="25" t="str">
        <f aca="false">IF(D1877="","",IFERROR(INDEX(Empresas!$C:$C,MATCH(D1877,Empresas!$B:$B,0)),"cadastre o CNPJ em Empresas"))</f>
        <v/>
      </c>
      <c r="F1877" s="23"/>
      <c r="G1877" s="35"/>
      <c r="H1877" s="24"/>
      <c r="I1877" s="11"/>
      <c r="J1877" s="27" t="str">
        <f aca="false">IF(A1877="","",YEAR(A1877))</f>
        <v/>
      </c>
      <c r="K1877" s="24"/>
      <c r="L1877" s="11"/>
    </row>
    <row r="1878" customFormat="false" ht="15" hidden="false" customHeight="false" outlineLevel="0" collapsed="false">
      <c r="A1878" s="22"/>
      <c r="B1878" s="11"/>
      <c r="C1878" s="24"/>
      <c r="D1878" s="31" t="str">
        <f aca="false">IF(C1878="","",IF(LEN(UPPER(SUBSTITUTE(SUBSTITUTE(SUBSTITUTE(SUBSTITUTE(TRIM(C1878),".",""),"/",""),"-","")," ","")))&lt;14,RIGHT(REPT("0",14)&amp;UPPER(SUBSTITUTE(SUBSTITUTE(SUBSTITUTE(SUBSTITUTE(TRIM(C1878),".",""),"/",""),"-","")," ","")),14),UPPER(SUBSTITUTE(SUBSTITUTE(SUBSTITUTE(SUBSTITUTE(TRIM(C1878),".",""),"/",""),"-","")," ",""))))</f>
        <v/>
      </c>
      <c r="E1878" s="25" t="str">
        <f aca="false">IF(D1878="","",IFERROR(INDEX(Empresas!$C:$C,MATCH(D1878,Empresas!$B:$B,0)),"cadastre o CNPJ em Empresas"))</f>
        <v/>
      </c>
      <c r="F1878" s="23"/>
      <c r="G1878" s="35"/>
      <c r="H1878" s="24"/>
      <c r="I1878" s="11"/>
      <c r="J1878" s="27" t="str">
        <f aca="false">IF(A1878="","",YEAR(A1878))</f>
        <v/>
      </c>
      <c r="K1878" s="24"/>
      <c r="L1878" s="11"/>
    </row>
    <row r="1879" customFormat="false" ht="15" hidden="false" customHeight="false" outlineLevel="0" collapsed="false">
      <c r="A1879" s="22"/>
      <c r="B1879" s="11"/>
      <c r="C1879" s="24"/>
      <c r="D1879" s="31" t="str">
        <f aca="false">IF(C1879="","",IF(LEN(UPPER(SUBSTITUTE(SUBSTITUTE(SUBSTITUTE(SUBSTITUTE(TRIM(C1879),".",""),"/",""),"-","")," ","")))&lt;14,RIGHT(REPT("0",14)&amp;UPPER(SUBSTITUTE(SUBSTITUTE(SUBSTITUTE(SUBSTITUTE(TRIM(C1879),".",""),"/",""),"-","")," ","")),14),UPPER(SUBSTITUTE(SUBSTITUTE(SUBSTITUTE(SUBSTITUTE(TRIM(C1879),".",""),"/",""),"-","")," ",""))))</f>
        <v/>
      </c>
      <c r="E1879" s="25" t="str">
        <f aca="false">IF(D1879="","",IFERROR(INDEX(Empresas!$C:$C,MATCH(D1879,Empresas!$B:$B,0)),"cadastre o CNPJ em Empresas"))</f>
        <v/>
      </c>
      <c r="F1879" s="23"/>
      <c r="G1879" s="35"/>
      <c r="H1879" s="24"/>
      <c r="I1879" s="11"/>
      <c r="J1879" s="27" t="str">
        <f aca="false">IF(A1879="","",YEAR(A1879))</f>
        <v/>
      </c>
      <c r="K1879" s="24"/>
      <c r="L1879" s="11"/>
    </row>
    <row r="1880" customFormat="false" ht="15" hidden="false" customHeight="false" outlineLevel="0" collapsed="false">
      <c r="A1880" s="22"/>
      <c r="B1880" s="11"/>
      <c r="C1880" s="24"/>
      <c r="D1880" s="31" t="str">
        <f aca="false">IF(C1880="","",IF(LEN(UPPER(SUBSTITUTE(SUBSTITUTE(SUBSTITUTE(SUBSTITUTE(TRIM(C1880),".",""),"/",""),"-","")," ","")))&lt;14,RIGHT(REPT("0",14)&amp;UPPER(SUBSTITUTE(SUBSTITUTE(SUBSTITUTE(SUBSTITUTE(TRIM(C1880),".",""),"/",""),"-","")," ","")),14),UPPER(SUBSTITUTE(SUBSTITUTE(SUBSTITUTE(SUBSTITUTE(TRIM(C1880),".",""),"/",""),"-","")," ",""))))</f>
        <v/>
      </c>
      <c r="E1880" s="25" t="str">
        <f aca="false">IF(D1880="","",IFERROR(INDEX(Empresas!$C:$C,MATCH(D1880,Empresas!$B:$B,0)),"cadastre o CNPJ em Empresas"))</f>
        <v/>
      </c>
      <c r="F1880" s="23"/>
      <c r="G1880" s="35"/>
      <c r="H1880" s="24"/>
      <c r="I1880" s="11"/>
      <c r="J1880" s="27" t="str">
        <f aca="false">IF(A1880="","",YEAR(A1880))</f>
        <v/>
      </c>
      <c r="K1880" s="24"/>
      <c r="L1880" s="11"/>
    </row>
    <row r="1881" customFormat="false" ht="15" hidden="false" customHeight="false" outlineLevel="0" collapsed="false">
      <c r="A1881" s="22"/>
      <c r="B1881" s="11"/>
      <c r="C1881" s="24"/>
      <c r="D1881" s="31" t="str">
        <f aca="false">IF(C1881="","",IF(LEN(UPPER(SUBSTITUTE(SUBSTITUTE(SUBSTITUTE(SUBSTITUTE(TRIM(C1881),".",""),"/",""),"-","")," ","")))&lt;14,RIGHT(REPT("0",14)&amp;UPPER(SUBSTITUTE(SUBSTITUTE(SUBSTITUTE(SUBSTITUTE(TRIM(C1881),".",""),"/",""),"-","")," ","")),14),UPPER(SUBSTITUTE(SUBSTITUTE(SUBSTITUTE(SUBSTITUTE(TRIM(C1881),".",""),"/",""),"-","")," ",""))))</f>
        <v/>
      </c>
      <c r="E1881" s="25" t="str">
        <f aca="false">IF(D1881="","",IFERROR(INDEX(Empresas!$C:$C,MATCH(D1881,Empresas!$B:$B,0)),"cadastre o CNPJ em Empresas"))</f>
        <v/>
      </c>
      <c r="F1881" s="23"/>
      <c r="G1881" s="35"/>
      <c r="H1881" s="24"/>
      <c r="I1881" s="11"/>
      <c r="J1881" s="27" t="str">
        <f aca="false">IF(A1881="","",YEAR(A1881))</f>
        <v/>
      </c>
      <c r="K1881" s="24"/>
      <c r="L1881" s="11"/>
    </row>
    <row r="1882" customFormat="false" ht="15" hidden="false" customHeight="false" outlineLevel="0" collapsed="false">
      <c r="A1882" s="22"/>
      <c r="B1882" s="11"/>
      <c r="C1882" s="24"/>
      <c r="D1882" s="31" t="str">
        <f aca="false">IF(C1882="","",IF(LEN(UPPER(SUBSTITUTE(SUBSTITUTE(SUBSTITUTE(SUBSTITUTE(TRIM(C1882),".",""),"/",""),"-","")," ","")))&lt;14,RIGHT(REPT("0",14)&amp;UPPER(SUBSTITUTE(SUBSTITUTE(SUBSTITUTE(SUBSTITUTE(TRIM(C1882),".",""),"/",""),"-","")," ","")),14),UPPER(SUBSTITUTE(SUBSTITUTE(SUBSTITUTE(SUBSTITUTE(TRIM(C1882),".",""),"/",""),"-","")," ",""))))</f>
        <v/>
      </c>
      <c r="E1882" s="25" t="str">
        <f aca="false">IF(D1882="","",IFERROR(INDEX(Empresas!$C:$C,MATCH(D1882,Empresas!$B:$B,0)),"cadastre o CNPJ em Empresas"))</f>
        <v/>
      </c>
      <c r="F1882" s="23"/>
      <c r="G1882" s="35"/>
      <c r="H1882" s="24"/>
      <c r="I1882" s="11"/>
      <c r="J1882" s="27" t="str">
        <f aca="false">IF(A1882="","",YEAR(A1882))</f>
        <v/>
      </c>
      <c r="K1882" s="24"/>
      <c r="L1882" s="11"/>
    </row>
    <row r="1883" customFormat="false" ht="15" hidden="false" customHeight="false" outlineLevel="0" collapsed="false">
      <c r="A1883" s="22"/>
      <c r="B1883" s="11"/>
      <c r="C1883" s="24"/>
      <c r="D1883" s="31" t="str">
        <f aca="false">IF(C1883="","",IF(LEN(UPPER(SUBSTITUTE(SUBSTITUTE(SUBSTITUTE(SUBSTITUTE(TRIM(C1883),".",""),"/",""),"-","")," ","")))&lt;14,RIGHT(REPT("0",14)&amp;UPPER(SUBSTITUTE(SUBSTITUTE(SUBSTITUTE(SUBSTITUTE(TRIM(C1883),".",""),"/",""),"-","")," ","")),14),UPPER(SUBSTITUTE(SUBSTITUTE(SUBSTITUTE(SUBSTITUTE(TRIM(C1883),".",""),"/",""),"-","")," ",""))))</f>
        <v/>
      </c>
      <c r="E1883" s="25" t="str">
        <f aca="false">IF(D1883="","",IFERROR(INDEX(Empresas!$C:$C,MATCH(D1883,Empresas!$B:$B,0)),"cadastre o CNPJ em Empresas"))</f>
        <v/>
      </c>
      <c r="F1883" s="23"/>
      <c r="G1883" s="35"/>
      <c r="H1883" s="24"/>
      <c r="I1883" s="11"/>
      <c r="J1883" s="27" t="str">
        <f aca="false">IF(A1883="","",YEAR(A1883))</f>
        <v/>
      </c>
      <c r="K1883" s="24"/>
      <c r="L1883" s="11"/>
    </row>
    <row r="1884" customFormat="false" ht="15" hidden="false" customHeight="false" outlineLevel="0" collapsed="false">
      <c r="A1884" s="22"/>
      <c r="B1884" s="11"/>
      <c r="C1884" s="24"/>
      <c r="D1884" s="31" t="str">
        <f aca="false">IF(C1884="","",IF(LEN(UPPER(SUBSTITUTE(SUBSTITUTE(SUBSTITUTE(SUBSTITUTE(TRIM(C1884),".",""),"/",""),"-","")," ","")))&lt;14,RIGHT(REPT("0",14)&amp;UPPER(SUBSTITUTE(SUBSTITUTE(SUBSTITUTE(SUBSTITUTE(TRIM(C1884),".",""),"/",""),"-","")," ","")),14),UPPER(SUBSTITUTE(SUBSTITUTE(SUBSTITUTE(SUBSTITUTE(TRIM(C1884),".",""),"/",""),"-","")," ",""))))</f>
        <v/>
      </c>
      <c r="E1884" s="25" t="str">
        <f aca="false">IF(D1884="","",IFERROR(INDEX(Empresas!$C:$C,MATCH(D1884,Empresas!$B:$B,0)),"cadastre o CNPJ em Empresas"))</f>
        <v/>
      </c>
      <c r="F1884" s="23"/>
      <c r="G1884" s="35"/>
      <c r="H1884" s="24"/>
      <c r="I1884" s="11"/>
      <c r="J1884" s="27" t="str">
        <f aca="false">IF(A1884="","",YEAR(A1884))</f>
        <v/>
      </c>
      <c r="K1884" s="24"/>
      <c r="L1884" s="11"/>
    </row>
    <row r="1885" customFormat="false" ht="15" hidden="false" customHeight="false" outlineLevel="0" collapsed="false">
      <c r="A1885" s="22"/>
      <c r="B1885" s="11"/>
      <c r="C1885" s="24"/>
      <c r="D1885" s="31" t="str">
        <f aca="false">IF(C1885="","",IF(LEN(UPPER(SUBSTITUTE(SUBSTITUTE(SUBSTITUTE(SUBSTITUTE(TRIM(C1885),".",""),"/",""),"-","")," ","")))&lt;14,RIGHT(REPT("0",14)&amp;UPPER(SUBSTITUTE(SUBSTITUTE(SUBSTITUTE(SUBSTITUTE(TRIM(C1885),".",""),"/",""),"-","")," ","")),14),UPPER(SUBSTITUTE(SUBSTITUTE(SUBSTITUTE(SUBSTITUTE(TRIM(C1885),".",""),"/",""),"-","")," ",""))))</f>
        <v/>
      </c>
      <c r="E1885" s="25" t="str">
        <f aca="false">IF(D1885="","",IFERROR(INDEX(Empresas!$C:$C,MATCH(D1885,Empresas!$B:$B,0)),"cadastre o CNPJ em Empresas"))</f>
        <v/>
      </c>
      <c r="F1885" s="23"/>
      <c r="G1885" s="35"/>
      <c r="H1885" s="24"/>
      <c r="I1885" s="11"/>
      <c r="J1885" s="27" t="str">
        <f aca="false">IF(A1885="","",YEAR(A1885))</f>
        <v/>
      </c>
      <c r="K1885" s="24"/>
      <c r="L1885" s="11"/>
    </row>
    <row r="1886" customFormat="false" ht="15" hidden="false" customHeight="false" outlineLevel="0" collapsed="false">
      <c r="A1886" s="22"/>
      <c r="B1886" s="11"/>
      <c r="C1886" s="24"/>
      <c r="D1886" s="31" t="str">
        <f aca="false">IF(C1886="","",IF(LEN(UPPER(SUBSTITUTE(SUBSTITUTE(SUBSTITUTE(SUBSTITUTE(TRIM(C1886),".",""),"/",""),"-","")," ","")))&lt;14,RIGHT(REPT("0",14)&amp;UPPER(SUBSTITUTE(SUBSTITUTE(SUBSTITUTE(SUBSTITUTE(TRIM(C1886),".",""),"/",""),"-","")," ","")),14),UPPER(SUBSTITUTE(SUBSTITUTE(SUBSTITUTE(SUBSTITUTE(TRIM(C1886),".",""),"/",""),"-","")," ",""))))</f>
        <v/>
      </c>
      <c r="E1886" s="25" t="str">
        <f aca="false">IF(D1886="","",IFERROR(INDEX(Empresas!$C:$C,MATCH(D1886,Empresas!$B:$B,0)),"cadastre o CNPJ em Empresas"))</f>
        <v/>
      </c>
      <c r="F1886" s="23"/>
      <c r="G1886" s="35"/>
      <c r="H1886" s="24"/>
      <c r="I1886" s="11"/>
      <c r="J1886" s="27" t="str">
        <f aca="false">IF(A1886="","",YEAR(A1886))</f>
        <v/>
      </c>
      <c r="K1886" s="24"/>
      <c r="L1886" s="11"/>
    </row>
    <row r="1887" customFormat="false" ht="15" hidden="false" customHeight="false" outlineLevel="0" collapsed="false">
      <c r="A1887" s="22"/>
      <c r="B1887" s="11"/>
      <c r="C1887" s="24"/>
      <c r="D1887" s="31" t="str">
        <f aca="false">IF(C1887="","",IF(LEN(UPPER(SUBSTITUTE(SUBSTITUTE(SUBSTITUTE(SUBSTITUTE(TRIM(C1887),".",""),"/",""),"-","")," ","")))&lt;14,RIGHT(REPT("0",14)&amp;UPPER(SUBSTITUTE(SUBSTITUTE(SUBSTITUTE(SUBSTITUTE(TRIM(C1887),".",""),"/",""),"-","")," ","")),14),UPPER(SUBSTITUTE(SUBSTITUTE(SUBSTITUTE(SUBSTITUTE(TRIM(C1887),".",""),"/",""),"-","")," ",""))))</f>
        <v/>
      </c>
      <c r="E1887" s="25" t="str">
        <f aca="false">IF(D1887="","",IFERROR(INDEX(Empresas!$C:$C,MATCH(D1887,Empresas!$B:$B,0)),"cadastre o CNPJ em Empresas"))</f>
        <v/>
      </c>
      <c r="F1887" s="23"/>
      <c r="G1887" s="35"/>
      <c r="H1887" s="24"/>
      <c r="I1887" s="11"/>
      <c r="J1887" s="27" t="str">
        <f aca="false">IF(A1887="","",YEAR(A1887))</f>
        <v/>
      </c>
      <c r="K1887" s="24"/>
      <c r="L1887" s="11"/>
    </row>
    <row r="1888" customFormat="false" ht="15" hidden="false" customHeight="false" outlineLevel="0" collapsed="false">
      <c r="A1888" s="22"/>
      <c r="B1888" s="11"/>
      <c r="C1888" s="24"/>
      <c r="D1888" s="31" t="str">
        <f aca="false">IF(C1888="","",IF(LEN(UPPER(SUBSTITUTE(SUBSTITUTE(SUBSTITUTE(SUBSTITUTE(TRIM(C1888),".",""),"/",""),"-","")," ","")))&lt;14,RIGHT(REPT("0",14)&amp;UPPER(SUBSTITUTE(SUBSTITUTE(SUBSTITUTE(SUBSTITUTE(TRIM(C1888),".",""),"/",""),"-","")," ","")),14),UPPER(SUBSTITUTE(SUBSTITUTE(SUBSTITUTE(SUBSTITUTE(TRIM(C1888),".",""),"/",""),"-","")," ",""))))</f>
        <v/>
      </c>
      <c r="E1888" s="25" t="str">
        <f aca="false">IF(D1888="","",IFERROR(INDEX(Empresas!$C:$C,MATCH(D1888,Empresas!$B:$B,0)),"cadastre o CNPJ em Empresas"))</f>
        <v/>
      </c>
      <c r="F1888" s="23"/>
      <c r="G1888" s="35"/>
      <c r="H1888" s="24"/>
      <c r="I1888" s="11"/>
      <c r="J1888" s="27" t="str">
        <f aca="false">IF(A1888="","",YEAR(A1888))</f>
        <v/>
      </c>
      <c r="K1888" s="24"/>
      <c r="L1888" s="11"/>
    </row>
    <row r="1889" customFormat="false" ht="15" hidden="false" customHeight="false" outlineLevel="0" collapsed="false">
      <c r="A1889" s="22"/>
      <c r="B1889" s="11"/>
      <c r="C1889" s="24"/>
      <c r="D1889" s="31" t="str">
        <f aca="false">IF(C1889="","",IF(LEN(UPPER(SUBSTITUTE(SUBSTITUTE(SUBSTITUTE(SUBSTITUTE(TRIM(C1889),".",""),"/",""),"-","")," ","")))&lt;14,RIGHT(REPT("0",14)&amp;UPPER(SUBSTITUTE(SUBSTITUTE(SUBSTITUTE(SUBSTITUTE(TRIM(C1889),".",""),"/",""),"-","")," ","")),14),UPPER(SUBSTITUTE(SUBSTITUTE(SUBSTITUTE(SUBSTITUTE(TRIM(C1889),".",""),"/",""),"-","")," ",""))))</f>
        <v/>
      </c>
      <c r="E1889" s="25" t="str">
        <f aca="false">IF(D1889="","",IFERROR(INDEX(Empresas!$C:$C,MATCH(D1889,Empresas!$B:$B,0)),"cadastre o CNPJ em Empresas"))</f>
        <v/>
      </c>
      <c r="F1889" s="23"/>
      <c r="G1889" s="35"/>
      <c r="H1889" s="24"/>
      <c r="I1889" s="11"/>
      <c r="J1889" s="27" t="str">
        <f aca="false">IF(A1889="","",YEAR(A1889))</f>
        <v/>
      </c>
      <c r="K1889" s="24"/>
      <c r="L1889" s="11"/>
    </row>
    <row r="1890" customFormat="false" ht="15" hidden="false" customHeight="false" outlineLevel="0" collapsed="false">
      <c r="A1890" s="22"/>
      <c r="B1890" s="11"/>
      <c r="C1890" s="24"/>
      <c r="D1890" s="31" t="str">
        <f aca="false">IF(C1890="","",IF(LEN(UPPER(SUBSTITUTE(SUBSTITUTE(SUBSTITUTE(SUBSTITUTE(TRIM(C1890),".",""),"/",""),"-","")," ","")))&lt;14,RIGHT(REPT("0",14)&amp;UPPER(SUBSTITUTE(SUBSTITUTE(SUBSTITUTE(SUBSTITUTE(TRIM(C1890),".",""),"/",""),"-","")," ","")),14),UPPER(SUBSTITUTE(SUBSTITUTE(SUBSTITUTE(SUBSTITUTE(TRIM(C1890),".",""),"/",""),"-","")," ",""))))</f>
        <v/>
      </c>
      <c r="E1890" s="25" t="str">
        <f aca="false">IF(D1890="","",IFERROR(INDEX(Empresas!$C:$C,MATCH(D1890,Empresas!$B:$B,0)),"cadastre o CNPJ em Empresas"))</f>
        <v/>
      </c>
      <c r="F1890" s="23"/>
      <c r="G1890" s="35"/>
      <c r="H1890" s="24"/>
      <c r="I1890" s="11"/>
      <c r="J1890" s="27" t="str">
        <f aca="false">IF(A1890="","",YEAR(A1890))</f>
        <v/>
      </c>
      <c r="K1890" s="24"/>
      <c r="L1890" s="11"/>
    </row>
    <row r="1891" customFormat="false" ht="15" hidden="false" customHeight="false" outlineLevel="0" collapsed="false">
      <c r="A1891" s="22"/>
      <c r="B1891" s="11"/>
      <c r="C1891" s="24"/>
      <c r="D1891" s="31" t="str">
        <f aca="false">IF(C1891="","",IF(LEN(UPPER(SUBSTITUTE(SUBSTITUTE(SUBSTITUTE(SUBSTITUTE(TRIM(C1891),".",""),"/",""),"-","")," ","")))&lt;14,RIGHT(REPT("0",14)&amp;UPPER(SUBSTITUTE(SUBSTITUTE(SUBSTITUTE(SUBSTITUTE(TRIM(C1891),".",""),"/",""),"-","")," ","")),14),UPPER(SUBSTITUTE(SUBSTITUTE(SUBSTITUTE(SUBSTITUTE(TRIM(C1891),".",""),"/",""),"-","")," ",""))))</f>
        <v/>
      </c>
      <c r="E1891" s="25" t="str">
        <f aca="false">IF(D1891="","",IFERROR(INDEX(Empresas!$C:$C,MATCH(D1891,Empresas!$B:$B,0)),"cadastre o CNPJ em Empresas"))</f>
        <v/>
      </c>
      <c r="F1891" s="23"/>
      <c r="G1891" s="35"/>
      <c r="H1891" s="24"/>
      <c r="I1891" s="11"/>
      <c r="J1891" s="27" t="str">
        <f aca="false">IF(A1891="","",YEAR(A1891))</f>
        <v/>
      </c>
      <c r="K1891" s="24"/>
      <c r="L1891" s="11"/>
    </row>
    <row r="1892" customFormat="false" ht="15" hidden="false" customHeight="false" outlineLevel="0" collapsed="false">
      <c r="A1892" s="22"/>
      <c r="B1892" s="11"/>
      <c r="C1892" s="24"/>
      <c r="D1892" s="31" t="str">
        <f aca="false">IF(C1892="","",IF(LEN(UPPER(SUBSTITUTE(SUBSTITUTE(SUBSTITUTE(SUBSTITUTE(TRIM(C1892),".",""),"/",""),"-","")," ","")))&lt;14,RIGHT(REPT("0",14)&amp;UPPER(SUBSTITUTE(SUBSTITUTE(SUBSTITUTE(SUBSTITUTE(TRIM(C1892),".",""),"/",""),"-","")," ","")),14),UPPER(SUBSTITUTE(SUBSTITUTE(SUBSTITUTE(SUBSTITUTE(TRIM(C1892),".",""),"/",""),"-","")," ",""))))</f>
        <v/>
      </c>
      <c r="E1892" s="25" t="str">
        <f aca="false">IF(D1892="","",IFERROR(INDEX(Empresas!$C:$C,MATCH(D1892,Empresas!$B:$B,0)),"cadastre o CNPJ em Empresas"))</f>
        <v/>
      </c>
      <c r="F1892" s="23"/>
      <c r="G1892" s="35"/>
      <c r="H1892" s="24"/>
      <c r="I1892" s="11"/>
      <c r="J1892" s="27" t="str">
        <f aca="false">IF(A1892="","",YEAR(A1892))</f>
        <v/>
      </c>
      <c r="K1892" s="24"/>
      <c r="L1892" s="11"/>
    </row>
    <row r="1893" customFormat="false" ht="15" hidden="false" customHeight="false" outlineLevel="0" collapsed="false">
      <c r="A1893" s="22"/>
      <c r="B1893" s="11"/>
      <c r="C1893" s="24"/>
      <c r="D1893" s="31" t="str">
        <f aca="false">IF(C1893="","",IF(LEN(UPPER(SUBSTITUTE(SUBSTITUTE(SUBSTITUTE(SUBSTITUTE(TRIM(C1893),".",""),"/",""),"-","")," ","")))&lt;14,RIGHT(REPT("0",14)&amp;UPPER(SUBSTITUTE(SUBSTITUTE(SUBSTITUTE(SUBSTITUTE(TRIM(C1893),".",""),"/",""),"-","")," ","")),14),UPPER(SUBSTITUTE(SUBSTITUTE(SUBSTITUTE(SUBSTITUTE(TRIM(C1893),".",""),"/",""),"-","")," ",""))))</f>
        <v/>
      </c>
      <c r="E1893" s="25" t="str">
        <f aca="false">IF(D1893="","",IFERROR(INDEX(Empresas!$C:$C,MATCH(D1893,Empresas!$B:$B,0)),"cadastre o CNPJ em Empresas"))</f>
        <v/>
      </c>
      <c r="F1893" s="23"/>
      <c r="G1893" s="35"/>
      <c r="H1893" s="24"/>
      <c r="I1893" s="11"/>
      <c r="J1893" s="27" t="str">
        <f aca="false">IF(A1893="","",YEAR(A1893))</f>
        <v/>
      </c>
      <c r="K1893" s="24"/>
      <c r="L1893" s="11"/>
    </row>
    <row r="1894" customFormat="false" ht="15" hidden="false" customHeight="false" outlineLevel="0" collapsed="false">
      <c r="A1894" s="22"/>
      <c r="B1894" s="11"/>
      <c r="C1894" s="24"/>
      <c r="D1894" s="31" t="str">
        <f aca="false">IF(C1894="","",IF(LEN(UPPER(SUBSTITUTE(SUBSTITUTE(SUBSTITUTE(SUBSTITUTE(TRIM(C1894),".",""),"/",""),"-","")," ","")))&lt;14,RIGHT(REPT("0",14)&amp;UPPER(SUBSTITUTE(SUBSTITUTE(SUBSTITUTE(SUBSTITUTE(TRIM(C1894),".",""),"/",""),"-","")," ","")),14),UPPER(SUBSTITUTE(SUBSTITUTE(SUBSTITUTE(SUBSTITUTE(TRIM(C1894),".",""),"/",""),"-","")," ",""))))</f>
        <v/>
      </c>
      <c r="E1894" s="25" t="str">
        <f aca="false">IF(D1894="","",IFERROR(INDEX(Empresas!$C:$C,MATCH(D1894,Empresas!$B:$B,0)),"cadastre o CNPJ em Empresas"))</f>
        <v/>
      </c>
      <c r="F1894" s="23"/>
      <c r="G1894" s="35"/>
      <c r="H1894" s="24"/>
      <c r="I1894" s="11"/>
      <c r="J1894" s="27" t="str">
        <f aca="false">IF(A1894="","",YEAR(A1894))</f>
        <v/>
      </c>
      <c r="K1894" s="24"/>
      <c r="L1894" s="11"/>
    </row>
    <row r="1895" customFormat="false" ht="15" hidden="false" customHeight="false" outlineLevel="0" collapsed="false">
      <c r="A1895" s="22"/>
      <c r="B1895" s="11"/>
      <c r="C1895" s="24"/>
      <c r="D1895" s="31" t="str">
        <f aca="false">IF(C1895="","",IF(LEN(UPPER(SUBSTITUTE(SUBSTITUTE(SUBSTITUTE(SUBSTITUTE(TRIM(C1895),".",""),"/",""),"-","")," ","")))&lt;14,RIGHT(REPT("0",14)&amp;UPPER(SUBSTITUTE(SUBSTITUTE(SUBSTITUTE(SUBSTITUTE(TRIM(C1895),".",""),"/",""),"-","")," ","")),14),UPPER(SUBSTITUTE(SUBSTITUTE(SUBSTITUTE(SUBSTITUTE(TRIM(C1895),".",""),"/",""),"-","")," ",""))))</f>
        <v/>
      </c>
      <c r="E1895" s="25" t="str">
        <f aca="false">IF(D1895="","",IFERROR(INDEX(Empresas!$C:$C,MATCH(D1895,Empresas!$B:$B,0)),"cadastre o CNPJ em Empresas"))</f>
        <v/>
      </c>
      <c r="F1895" s="23"/>
      <c r="G1895" s="35"/>
      <c r="H1895" s="24"/>
      <c r="I1895" s="11"/>
      <c r="J1895" s="27" t="str">
        <f aca="false">IF(A1895="","",YEAR(A1895))</f>
        <v/>
      </c>
      <c r="K1895" s="24"/>
      <c r="L1895" s="11"/>
    </row>
    <row r="1896" customFormat="false" ht="15" hidden="false" customHeight="false" outlineLevel="0" collapsed="false">
      <c r="A1896" s="22"/>
      <c r="B1896" s="11"/>
      <c r="C1896" s="24"/>
      <c r="D1896" s="31" t="str">
        <f aca="false">IF(C1896="","",IF(LEN(UPPER(SUBSTITUTE(SUBSTITUTE(SUBSTITUTE(SUBSTITUTE(TRIM(C1896),".",""),"/",""),"-","")," ","")))&lt;14,RIGHT(REPT("0",14)&amp;UPPER(SUBSTITUTE(SUBSTITUTE(SUBSTITUTE(SUBSTITUTE(TRIM(C1896),".",""),"/",""),"-","")," ","")),14),UPPER(SUBSTITUTE(SUBSTITUTE(SUBSTITUTE(SUBSTITUTE(TRIM(C1896),".",""),"/",""),"-","")," ",""))))</f>
        <v/>
      </c>
      <c r="E1896" s="25" t="str">
        <f aca="false">IF(D1896="","",IFERROR(INDEX(Empresas!$C:$C,MATCH(D1896,Empresas!$B:$B,0)),"cadastre o CNPJ em Empresas"))</f>
        <v/>
      </c>
      <c r="F1896" s="23"/>
      <c r="G1896" s="35"/>
      <c r="H1896" s="24"/>
      <c r="I1896" s="11"/>
      <c r="J1896" s="27" t="str">
        <f aca="false">IF(A1896="","",YEAR(A1896))</f>
        <v/>
      </c>
      <c r="K1896" s="24"/>
      <c r="L1896" s="11"/>
    </row>
    <row r="1897" customFormat="false" ht="15" hidden="false" customHeight="false" outlineLevel="0" collapsed="false">
      <c r="A1897" s="22"/>
      <c r="B1897" s="11"/>
      <c r="C1897" s="24"/>
      <c r="D1897" s="31" t="str">
        <f aca="false">IF(C1897="","",IF(LEN(UPPER(SUBSTITUTE(SUBSTITUTE(SUBSTITUTE(SUBSTITUTE(TRIM(C1897),".",""),"/",""),"-","")," ","")))&lt;14,RIGHT(REPT("0",14)&amp;UPPER(SUBSTITUTE(SUBSTITUTE(SUBSTITUTE(SUBSTITUTE(TRIM(C1897),".",""),"/",""),"-","")," ","")),14),UPPER(SUBSTITUTE(SUBSTITUTE(SUBSTITUTE(SUBSTITUTE(TRIM(C1897),".",""),"/",""),"-","")," ",""))))</f>
        <v/>
      </c>
      <c r="E1897" s="25" t="str">
        <f aca="false">IF(D1897="","",IFERROR(INDEX(Empresas!$C:$C,MATCH(D1897,Empresas!$B:$B,0)),"cadastre o CNPJ em Empresas"))</f>
        <v/>
      </c>
      <c r="F1897" s="23"/>
      <c r="G1897" s="35"/>
      <c r="H1897" s="24"/>
      <c r="I1897" s="11"/>
      <c r="J1897" s="27" t="str">
        <f aca="false">IF(A1897="","",YEAR(A1897))</f>
        <v/>
      </c>
      <c r="K1897" s="24"/>
      <c r="L1897" s="11"/>
    </row>
    <row r="1898" customFormat="false" ht="15" hidden="false" customHeight="false" outlineLevel="0" collapsed="false">
      <c r="A1898" s="22"/>
      <c r="B1898" s="11"/>
      <c r="C1898" s="24"/>
      <c r="D1898" s="31" t="str">
        <f aca="false">IF(C1898="","",IF(LEN(UPPER(SUBSTITUTE(SUBSTITUTE(SUBSTITUTE(SUBSTITUTE(TRIM(C1898),".",""),"/",""),"-","")," ","")))&lt;14,RIGHT(REPT("0",14)&amp;UPPER(SUBSTITUTE(SUBSTITUTE(SUBSTITUTE(SUBSTITUTE(TRIM(C1898),".",""),"/",""),"-","")," ","")),14),UPPER(SUBSTITUTE(SUBSTITUTE(SUBSTITUTE(SUBSTITUTE(TRIM(C1898),".",""),"/",""),"-","")," ",""))))</f>
        <v/>
      </c>
      <c r="E1898" s="25" t="str">
        <f aca="false">IF(D1898="","",IFERROR(INDEX(Empresas!$C:$C,MATCH(D1898,Empresas!$B:$B,0)),"cadastre o CNPJ em Empresas"))</f>
        <v/>
      </c>
      <c r="F1898" s="23"/>
      <c r="G1898" s="35"/>
      <c r="H1898" s="24"/>
      <c r="I1898" s="11"/>
      <c r="J1898" s="27" t="str">
        <f aca="false">IF(A1898="","",YEAR(A1898))</f>
        <v/>
      </c>
      <c r="K1898" s="24"/>
      <c r="L1898" s="11"/>
    </row>
    <row r="1899" customFormat="false" ht="15" hidden="false" customHeight="false" outlineLevel="0" collapsed="false">
      <c r="A1899" s="22"/>
      <c r="B1899" s="11"/>
      <c r="C1899" s="24"/>
      <c r="D1899" s="31" t="str">
        <f aca="false">IF(C1899="","",IF(LEN(UPPER(SUBSTITUTE(SUBSTITUTE(SUBSTITUTE(SUBSTITUTE(TRIM(C1899),".",""),"/",""),"-","")," ","")))&lt;14,RIGHT(REPT("0",14)&amp;UPPER(SUBSTITUTE(SUBSTITUTE(SUBSTITUTE(SUBSTITUTE(TRIM(C1899),".",""),"/",""),"-","")," ","")),14),UPPER(SUBSTITUTE(SUBSTITUTE(SUBSTITUTE(SUBSTITUTE(TRIM(C1899),".",""),"/",""),"-","")," ",""))))</f>
        <v/>
      </c>
      <c r="E1899" s="25" t="str">
        <f aca="false">IF(D1899="","",IFERROR(INDEX(Empresas!$C:$C,MATCH(D1899,Empresas!$B:$B,0)),"cadastre o CNPJ em Empresas"))</f>
        <v/>
      </c>
      <c r="F1899" s="23"/>
      <c r="G1899" s="35"/>
      <c r="H1899" s="24"/>
      <c r="I1899" s="11"/>
      <c r="J1899" s="27" t="str">
        <f aca="false">IF(A1899="","",YEAR(A1899))</f>
        <v/>
      </c>
      <c r="K1899" s="24"/>
      <c r="L1899" s="11"/>
    </row>
    <row r="1900" customFormat="false" ht="15" hidden="false" customHeight="false" outlineLevel="0" collapsed="false">
      <c r="A1900" s="22"/>
      <c r="B1900" s="11"/>
      <c r="C1900" s="24"/>
      <c r="D1900" s="31" t="str">
        <f aca="false">IF(C1900="","",IF(LEN(UPPER(SUBSTITUTE(SUBSTITUTE(SUBSTITUTE(SUBSTITUTE(TRIM(C1900),".",""),"/",""),"-","")," ","")))&lt;14,RIGHT(REPT("0",14)&amp;UPPER(SUBSTITUTE(SUBSTITUTE(SUBSTITUTE(SUBSTITUTE(TRIM(C1900),".",""),"/",""),"-","")," ","")),14),UPPER(SUBSTITUTE(SUBSTITUTE(SUBSTITUTE(SUBSTITUTE(TRIM(C1900),".",""),"/",""),"-","")," ",""))))</f>
        <v/>
      </c>
      <c r="E1900" s="25" t="str">
        <f aca="false">IF(D1900="","",IFERROR(INDEX(Empresas!$C:$C,MATCH(D1900,Empresas!$B:$B,0)),"cadastre o CNPJ em Empresas"))</f>
        <v/>
      </c>
      <c r="F1900" s="23"/>
      <c r="G1900" s="35"/>
      <c r="H1900" s="24"/>
      <c r="I1900" s="11"/>
      <c r="J1900" s="27" t="str">
        <f aca="false">IF(A1900="","",YEAR(A1900))</f>
        <v/>
      </c>
      <c r="K1900" s="24"/>
      <c r="L1900" s="11"/>
    </row>
    <row r="1901" customFormat="false" ht="15" hidden="false" customHeight="false" outlineLevel="0" collapsed="false">
      <c r="A1901" s="22"/>
      <c r="B1901" s="11"/>
      <c r="C1901" s="24"/>
      <c r="D1901" s="31" t="str">
        <f aca="false">IF(C1901="","",IF(LEN(UPPER(SUBSTITUTE(SUBSTITUTE(SUBSTITUTE(SUBSTITUTE(TRIM(C1901),".",""),"/",""),"-","")," ","")))&lt;14,RIGHT(REPT("0",14)&amp;UPPER(SUBSTITUTE(SUBSTITUTE(SUBSTITUTE(SUBSTITUTE(TRIM(C1901),".",""),"/",""),"-","")," ","")),14),UPPER(SUBSTITUTE(SUBSTITUTE(SUBSTITUTE(SUBSTITUTE(TRIM(C1901),".",""),"/",""),"-","")," ",""))))</f>
        <v/>
      </c>
      <c r="E1901" s="25" t="str">
        <f aca="false">IF(D1901="","",IFERROR(INDEX(Empresas!$C:$C,MATCH(D1901,Empresas!$B:$B,0)),"cadastre o CNPJ em Empresas"))</f>
        <v/>
      </c>
      <c r="F1901" s="23"/>
      <c r="G1901" s="35"/>
      <c r="H1901" s="24"/>
      <c r="I1901" s="11"/>
      <c r="J1901" s="27" t="str">
        <f aca="false">IF(A1901="","",YEAR(A1901))</f>
        <v/>
      </c>
      <c r="K1901" s="24"/>
      <c r="L1901" s="11"/>
    </row>
    <row r="1902" customFormat="false" ht="15" hidden="false" customHeight="false" outlineLevel="0" collapsed="false">
      <c r="A1902" s="22"/>
      <c r="B1902" s="11"/>
      <c r="C1902" s="24"/>
      <c r="D1902" s="31" t="str">
        <f aca="false">IF(C1902="","",IF(LEN(UPPER(SUBSTITUTE(SUBSTITUTE(SUBSTITUTE(SUBSTITUTE(TRIM(C1902),".",""),"/",""),"-","")," ","")))&lt;14,RIGHT(REPT("0",14)&amp;UPPER(SUBSTITUTE(SUBSTITUTE(SUBSTITUTE(SUBSTITUTE(TRIM(C1902),".",""),"/",""),"-","")," ","")),14),UPPER(SUBSTITUTE(SUBSTITUTE(SUBSTITUTE(SUBSTITUTE(TRIM(C1902),".",""),"/",""),"-","")," ",""))))</f>
        <v/>
      </c>
      <c r="E1902" s="25" t="str">
        <f aca="false">IF(D1902="","",IFERROR(INDEX(Empresas!$C:$C,MATCH(D1902,Empresas!$B:$B,0)),"cadastre o CNPJ em Empresas"))</f>
        <v/>
      </c>
      <c r="F1902" s="23"/>
      <c r="G1902" s="35"/>
      <c r="H1902" s="24"/>
      <c r="I1902" s="11"/>
      <c r="J1902" s="27" t="str">
        <f aca="false">IF(A1902="","",YEAR(A1902))</f>
        <v/>
      </c>
      <c r="K1902" s="24"/>
      <c r="L1902" s="11"/>
    </row>
    <row r="1903" customFormat="false" ht="15" hidden="false" customHeight="false" outlineLevel="0" collapsed="false">
      <c r="A1903" s="22"/>
      <c r="B1903" s="11"/>
      <c r="C1903" s="24"/>
      <c r="D1903" s="31" t="str">
        <f aca="false">IF(C1903="","",IF(LEN(UPPER(SUBSTITUTE(SUBSTITUTE(SUBSTITUTE(SUBSTITUTE(TRIM(C1903),".",""),"/",""),"-","")," ","")))&lt;14,RIGHT(REPT("0",14)&amp;UPPER(SUBSTITUTE(SUBSTITUTE(SUBSTITUTE(SUBSTITUTE(TRIM(C1903),".",""),"/",""),"-","")," ","")),14),UPPER(SUBSTITUTE(SUBSTITUTE(SUBSTITUTE(SUBSTITUTE(TRIM(C1903),".",""),"/",""),"-","")," ",""))))</f>
        <v/>
      </c>
      <c r="E1903" s="25" t="str">
        <f aca="false">IF(D1903="","",IFERROR(INDEX(Empresas!$C:$C,MATCH(D1903,Empresas!$B:$B,0)),"cadastre o CNPJ em Empresas"))</f>
        <v/>
      </c>
      <c r="F1903" s="23"/>
      <c r="G1903" s="35"/>
      <c r="H1903" s="24"/>
      <c r="I1903" s="11"/>
      <c r="J1903" s="27" t="str">
        <f aca="false">IF(A1903="","",YEAR(A1903))</f>
        <v/>
      </c>
      <c r="K1903" s="24"/>
      <c r="L1903" s="11"/>
    </row>
    <row r="1904" customFormat="false" ht="15" hidden="false" customHeight="false" outlineLevel="0" collapsed="false">
      <c r="A1904" s="22"/>
      <c r="B1904" s="11"/>
      <c r="C1904" s="24"/>
      <c r="D1904" s="31" t="str">
        <f aca="false">IF(C1904="","",IF(LEN(UPPER(SUBSTITUTE(SUBSTITUTE(SUBSTITUTE(SUBSTITUTE(TRIM(C1904),".",""),"/",""),"-","")," ","")))&lt;14,RIGHT(REPT("0",14)&amp;UPPER(SUBSTITUTE(SUBSTITUTE(SUBSTITUTE(SUBSTITUTE(TRIM(C1904),".",""),"/",""),"-","")," ","")),14),UPPER(SUBSTITUTE(SUBSTITUTE(SUBSTITUTE(SUBSTITUTE(TRIM(C1904),".",""),"/",""),"-","")," ",""))))</f>
        <v/>
      </c>
      <c r="E1904" s="25" t="str">
        <f aca="false">IF(D1904="","",IFERROR(INDEX(Empresas!$C:$C,MATCH(D1904,Empresas!$B:$B,0)),"cadastre o CNPJ em Empresas"))</f>
        <v/>
      </c>
      <c r="F1904" s="23"/>
      <c r="G1904" s="35"/>
      <c r="H1904" s="24"/>
      <c r="I1904" s="11"/>
      <c r="J1904" s="27" t="str">
        <f aca="false">IF(A1904="","",YEAR(A1904))</f>
        <v/>
      </c>
      <c r="K1904" s="24"/>
      <c r="L1904" s="11"/>
    </row>
    <row r="1905" customFormat="false" ht="15" hidden="false" customHeight="false" outlineLevel="0" collapsed="false">
      <c r="A1905" s="22"/>
      <c r="B1905" s="11"/>
      <c r="C1905" s="24"/>
      <c r="D1905" s="31" t="str">
        <f aca="false">IF(C1905="","",IF(LEN(UPPER(SUBSTITUTE(SUBSTITUTE(SUBSTITUTE(SUBSTITUTE(TRIM(C1905),".",""),"/",""),"-","")," ","")))&lt;14,RIGHT(REPT("0",14)&amp;UPPER(SUBSTITUTE(SUBSTITUTE(SUBSTITUTE(SUBSTITUTE(TRIM(C1905),".",""),"/",""),"-","")," ","")),14),UPPER(SUBSTITUTE(SUBSTITUTE(SUBSTITUTE(SUBSTITUTE(TRIM(C1905),".",""),"/",""),"-","")," ",""))))</f>
        <v/>
      </c>
      <c r="E1905" s="25" t="str">
        <f aca="false">IF(D1905="","",IFERROR(INDEX(Empresas!$C:$C,MATCH(D1905,Empresas!$B:$B,0)),"cadastre o CNPJ em Empresas"))</f>
        <v/>
      </c>
      <c r="F1905" s="23"/>
      <c r="G1905" s="35"/>
      <c r="H1905" s="24"/>
      <c r="I1905" s="11"/>
      <c r="J1905" s="27" t="str">
        <f aca="false">IF(A1905="","",YEAR(A1905))</f>
        <v/>
      </c>
      <c r="K1905" s="24"/>
      <c r="L1905" s="11"/>
    </row>
    <row r="1906" customFormat="false" ht="15" hidden="false" customHeight="false" outlineLevel="0" collapsed="false">
      <c r="A1906" s="22"/>
      <c r="B1906" s="11"/>
      <c r="C1906" s="24"/>
      <c r="D1906" s="31" t="str">
        <f aca="false">IF(C1906="","",IF(LEN(UPPER(SUBSTITUTE(SUBSTITUTE(SUBSTITUTE(SUBSTITUTE(TRIM(C1906),".",""),"/",""),"-","")," ","")))&lt;14,RIGHT(REPT("0",14)&amp;UPPER(SUBSTITUTE(SUBSTITUTE(SUBSTITUTE(SUBSTITUTE(TRIM(C1906),".",""),"/",""),"-","")," ","")),14),UPPER(SUBSTITUTE(SUBSTITUTE(SUBSTITUTE(SUBSTITUTE(TRIM(C1906),".",""),"/",""),"-","")," ",""))))</f>
        <v/>
      </c>
      <c r="E1906" s="25" t="str">
        <f aca="false">IF(D1906="","",IFERROR(INDEX(Empresas!$C:$C,MATCH(D1906,Empresas!$B:$B,0)),"cadastre o CNPJ em Empresas"))</f>
        <v/>
      </c>
      <c r="F1906" s="23"/>
      <c r="G1906" s="35"/>
      <c r="H1906" s="24"/>
      <c r="I1906" s="11"/>
      <c r="J1906" s="27" t="str">
        <f aca="false">IF(A1906="","",YEAR(A1906))</f>
        <v/>
      </c>
      <c r="K1906" s="24"/>
      <c r="L1906" s="11"/>
    </row>
    <row r="1907" customFormat="false" ht="15" hidden="false" customHeight="false" outlineLevel="0" collapsed="false">
      <c r="A1907" s="22"/>
      <c r="B1907" s="11"/>
      <c r="C1907" s="24"/>
      <c r="D1907" s="31" t="str">
        <f aca="false">IF(C1907="","",IF(LEN(UPPER(SUBSTITUTE(SUBSTITUTE(SUBSTITUTE(SUBSTITUTE(TRIM(C1907),".",""),"/",""),"-","")," ","")))&lt;14,RIGHT(REPT("0",14)&amp;UPPER(SUBSTITUTE(SUBSTITUTE(SUBSTITUTE(SUBSTITUTE(TRIM(C1907),".",""),"/",""),"-","")," ","")),14),UPPER(SUBSTITUTE(SUBSTITUTE(SUBSTITUTE(SUBSTITUTE(TRIM(C1907),".",""),"/",""),"-","")," ",""))))</f>
        <v/>
      </c>
      <c r="E1907" s="25" t="str">
        <f aca="false">IF(D1907="","",IFERROR(INDEX(Empresas!$C:$C,MATCH(D1907,Empresas!$B:$B,0)),"cadastre o CNPJ em Empresas"))</f>
        <v/>
      </c>
      <c r="F1907" s="23"/>
      <c r="G1907" s="35"/>
      <c r="H1907" s="24"/>
      <c r="I1907" s="11"/>
      <c r="J1907" s="27" t="str">
        <f aca="false">IF(A1907="","",YEAR(A1907))</f>
        <v/>
      </c>
      <c r="K1907" s="24"/>
      <c r="L1907" s="11"/>
    </row>
    <row r="1908" customFormat="false" ht="15" hidden="false" customHeight="false" outlineLevel="0" collapsed="false">
      <c r="A1908" s="22"/>
      <c r="B1908" s="11"/>
      <c r="C1908" s="24"/>
      <c r="D1908" s="31" t="str">
        <f aca="false">IF(C1908="","",IF(LEN(UPPER(SUBSTITUTE(SUBSTITUTE(SUBSTITUTE(SUBSTITUTE(TRIM(C1908),".",""),"/",""),"-","")," ","")))&lt;14,RIGHT(REPT("0",14)&amp;UPPER(SUBSTITUTE(SUBSTITUTE(SUBSTITUTE(SUBSTITUTE(TRIM(C1908),".",""),"/",""),"-","")," ","")),14),UPPER(SUBSTITUTE(SUBSTITUTE(SUBSTITUTE(SUBSTITUTE(TRIM(C1908),".",""),"/",""),"-","")," ",""))))</f>
        <v/>
      </c>
      <c r="E1908" s="25" t="str">
        <f aca="false">IF(D1908="","",IFERROR(INDEX(Empresas!$C:$C,MATCH(D1908,Empresas!$B:$B,0)),"cadastre o CNPJ em Empresas"))</f>
        <v/>
      </c>
      <c r="F1908" s="23"/>
      <c r="G1908" s="35"/>
      <c r="H1908" s="24"/>
      <c r="I1908" s="11"/>
      <c r="J1908" s="27" t="str">
        <f aca="false">IF(A1908="","",YEAR(A1908))</f>
        <v/>
      </c>
      <c r="K1908" s="24"/>
      <c r="L1908" s="11"/>
    </row>
    <row r="1909" customFormat="false" ht="15" hidden="false" customHeight="false" outlineLevel="0" collapsed="false">
      <c r="A1909" s="22"/>
      <c r="B1909" s="11"/>
      <c r="C1909" s="24"/>
      <c r="D1909" s="31" t="str">
        <f aca="false">IF(C1909="","",IF(LEN(UPPER(SUBSTITUTE(SUBSTITUTE(SUBSTITUTE(SUBSTITUTE(TRIM(C1909),".",""),"/",""),"-","")," ","")))&lt;14,RIGHT(REPT("0",14)&amp;UPPER(SUBSTITUTE(SUBSTITUTE(SUBSTITUTE(SUBSTITUTE(TRIM(C1909),".",""),"/",""),"-","")," ","")),14),UPPER(SUBSTITUTE(SUBSTITUTE(SUBSTITUTE(SUBSTITUTE(TRIM(C1909),".",""),"/",""),"-","")," ",""))))</f>
        <v/>
      </c>
      <c r="E1909" s="25" t="str">
        <f aca="false">IF(D1909="","",IFERROR(INDEX(Empresas!$C:$C,MATCH(D1909,Empresas!$B:$B,0)),"cadastre o CNPJ em Empresas"))</f>
        <v/>
      </c>
      <c r="F1909" s="23"/>
      <c r="G1909" s="35"/>
      <c r="H1909" s="24"/>
      <c r="I1909" s="11"/>
      <c r="J1909" s="27" t="str">
        <f aca="false">IF(A1909="","",YEAR(A1909))</f>
        <v/>
      </c>
      <c r="K1909" s="24"/>
      <c r="L1909" s="11"/>
    </row>
    <row r="1910" customFormat="false" ht="15" hidden="false" customHeight="false" outlineLevel="0" collapsed="false">
      <c r="A1910" s="22"/>
      <c r="B1910" s="11"/>
      <c r="C1910" s="24"/>
      <c r="D1910" s="31" t="str">
        <f aca="false">IF(C1910="","",IF(LEN(UPPER(SUBSTITUTE(SUBSTITUTE(SUBSTITUTE(SUBSTITUTE(TRIM(C1910),".",""),"/",""),"-","")," ","")))&lt;14,RIGHT(REPT("0",14)&amp;UPPER(SUBSTITUTE(SUBSTITUTE(SUBSTITUTE(SUBSTITUTE(TRIM(C1910),".",""),"/",""),"-","")," ","")),14),UPPER(SUBSTITUTE(SUBSTITUTE(SUBSTITUTE(SUBSTITUTE(TRIM(C1910),".",""),"/",""),"-","")," ",""))))</f>
        <v/>
      </c>
      <c r="E1910" s="25" t="str">
        <f aca="false">IF(D1910="","",IFERROR(INDEX(Empresas!$C:$C,MATCH(D1910,Empresas!$B:$B,0)),"cadastre o CNPJ em Empresas"))</f>
        <v/>
      </c>
      <c r="F1910" s="23"/>
      <c r="G1910" s="35"/>
      <c r="H1910" s="24"/>
      <c r="I1910" s="11"/>
      <c r="J1910" s="27" t="str">
        <f aca="false">IF(A1910="","",YEAR(A1910))</f>
        <v/>
      </c>
      <c r="K1910" s="24"/>
      <c r="L1910" s="11"/>
    </row>
    <row r="1911" customFormat="false" ht="15" hidden="false" customHeight="false" outlineLevel="0" collapsed="false">
      <c r="A1911" s="22"/>
      <c r="B1911" s="11"/>
      <c r="C1911" s="24"/>
      <c r="D1911" s="31" t="str">
        <f aca="false">IF(C1911="","",IF(LEN(UPPER(SUBSTITUTE(SUBSTITUTE(SUBSTITUTE(SUBSTITUTE(TRIM(C1911),".",""),"/",""),"-","")," ","")))&lt;14,RIGHT(REPT("0",14)&amp;UPPER(SUBSTITUTE(SUBSTITUTE(SUBSTITUTE(SUBSTITUTE(TRIM(C1911),".",""),"/",""),"-","")," ","")),14),UPPER(SUBSTITUTE(SUBSTITUTE(SUBSTITUTE(SUBSTITUTE(TRIM(C1911),".",""),"/",""),"-","")," ",""))))</f>
        <v/>
      </c>
      <c r="E1911" s="25" t="str">
        <f aca="false">IF(D1911="","",IFERROR(INDEX(Empresas!$C:$C,MATCH(D1911,Empresas!$B:$B,0)),"cadastre o CNPJ em Empresas"))</f>
        <v/>
      </c>
      <c r="F1911" s="23"/>
      <c r="G1911" s="35"/>
      <c r="H1911" s="24"/>
      <c r="I1911" s="11"/>
      <c r="J1911" s="27" t="str">
        <f aca="false">IF(A1911="","",YEAR(A1911))</f>
        <v/>
      </c>
      <c r="K1911" s="24"/>
      <c r="L1911" s="11"/>
    </row>
    <row r="1912" customFormat="false" ht="15" hidden="false" customHeight="false" outlineLevel="0" collapsed="false">
      <c r="A1912" s="22"/>
      <c r="B1912" s="11"/>
      <c r="C1912" s="24"/>
      <c r="D1912" s="31" t="str">
        <f aca="false">IF(C1912="","",IF(LEN(UPPER(SUBSTITUTE(SUBSTITUTE(SUBSTITUTE(SUBSTITUTE(TRIM(C1912),".",""),"/",""),"-","")," ","")))&lt;14,RIGHT(REPT("0",14)&amp;UPPER(SUBSTITUTE(SUBSTITUTE(SUBSTITUTE(SUBSTITUTE(TRIM(C1912),".",""),"/",""),"-","")," ","")),14),UPPER(SUBSTITUTE(SUBSTITUTE(SUBSTITUTE(SUBSTITUTE(TRIM(C1912),".",""),"/",""),"-","")," ",""))))</f>
        <v/>
      </c>
      <c r="E1912" s="25" t="str">
        <f aca="false">IF(D1912="","",IFERROR(INDEX(Empresas!$C:$C,MATCH(D1912,Empresas!$B:$B,0)),"cadastre o CNPJ em Empresas"))</f>
        <v/>
      </c>
      <c r="F1912" s="23"/>
      <c r="G1912" s="35"/>
      <c r="H1912" s="24"/>
      <c r="I1912" s="11"/>
      <c r="J1912" s="27" t="str">
        <f aca="false">IF(A1912="","",YEAR(A1912))</f>
        <v/>
      </c>
      <c r="K1912" s="24"/>
      <c r="L1912" s="11"/>
    </row>
    <row r="1913" customFormat="false" ht="15" hidden="false" customHeight="false" outlineLevel="0" collapsed="false">
      <c r="A1913" s="22"/>
      <c r="B1913" s="11"/>
      <c r="C1913" s="24"/>
      <c r="D1913" s="31" t="str">
        <f aca="false">IF(C1913="","",IF(LEN(UPPER(SUBSTITUTE(SUBSTITUTE(SUBSTITUTE(SUBSTITUTE(TRIM(C1913),".",""),"/",""),"-","")," ","")))&lt;14,RIGHT(REPT("0",14)&amp;UPPER(SUBSTITUTE(SUBSTITUTE(SUBSTITUTE(SUBSTITUTE(TRIM(C1913),".",""),"/",""),"-","")," ","")),14),UPPER(SUBSTITUTE(SUBSTITUTE(SUBSTITUTE(SUBSTITUTE(TRIM(C1913),".",""),"/",""),"-","")," ",""))))</f>
        <v/>
      </c>
      <c r="E1913" s="25" t="str">
        <f aca="false">IF(D1913="","",IFERROR(INDEX(Empresas!$C:$C,MATCH(D1913,Empresas!$B:$B,0)),"cadastre o CNPJ em Empresas"))</f>
        <v/>
      </c>
      <c r="F1913" s="23"/>
      <c r="G1913" s="35"/>
      <c r="H1913" s="24"/>
      <c r="I1913" s="11"/>
      <c r="J1913" s="27" t="str">
        <f aca="false">IF(A1913="","",YEAR(A1913))</f>
        <v/>
      </c>
      <c r="K1913" s="24"/>
      <c r="L1913" s="11"/>
    </row>
    <row r="1914" customFormat="false" ht="15" hidden="false" customHeight="false" outlineLevel="0" collapsed="false">
      <c r="A1914" s="22"/>
      <c r="B1914" s="11"/>
      <c r="C1914" s="24"/>
      <c r="D1914" s="31" t="str">
        <f aca="false">IF(C1914="","",IF(LEN(UPPER(SUBSTITUTE(SUBSTITUTE(SUBSTITUTE(SUBSTITUTE(TRIM(C1914),".",""),"/",""),"-","")," ","")))&lt;14,RIGHT(REPT("0",14)&amp;UPPER(SUBSTITUTE(SUBSTITUTE(SUBSTITUTE(SUBSTITUTE(TRIM(C1914),".",""),"/",""),"-","")," ","")),14),UPPER(SUBSTITUTE(SUBSTITUTE(SUBSTITUTE(SUBSTITUTE(TRIM(C1914),".",""),"/",""),"-","")," ",""))))</f>
        <v/>
      </c>
      <c r="E1914" s="25" t="str">
        <f aca="false">IF(D1914="","",IFERROR(INDEX(Empresas!$C:$C,MATCH(D1914,Empresas!$B:$B,0)),"cadastre o CNPJ em Empresas"))</f>
        <v/>
      </c>
      <c r="F1914" s="23"/>
      <c r="G1914" s="35"/>
      <c r="H1914" s="24"/>
      <c r="I1914" s="11"/>
      <c r="J1914" s="27" t="str">
        <f aca="false">IF(A1914="","",YEAR(A1914))</f>
        <v/>
      </c>
      <c r="K1914" s="24"/>
      <c r="L1914" s="11"/>
    </row>
    <row r="1915" customFormat="false" ht="15" hidden="false" customHeight="false" outlineLevel="0" collapsed="false">
      <c r="A1915" s="22"/>
      <c r="B1915" s="11"/>
      <c r="C1915" s="24"/>
      <c r="D1915" s="31" t="str">
        <f aca="false">IF(C1915="","",IF(LEN(UPPER(SUBSTITUTE(SUBSTITUTE(SUBSTITUTE(SUBSTITUTE(TRIM(C1915),".",""),"/",""),"-","")," ","")))&lt;14,RIGHT(REPT("0",14)&amp;UPPER(SUBSTITUTE(SUBSTITUTE(SUBSTITUTE(SUBSTITUTE(TRIM(C1915),".",""),"/",""),"-","")," ","")),14),UPPER(SUBSTITUTE(SUBSTITUTE(SUBSTITUTE(SUBSTITUTE(TRIM(C1915),".",""),"/",""),"-","")," ",""))))</f>
        <v/>
      </c>
      <c r="E1915" s="25" t="str">
        <f aca="false">IF(D1915="","",IFERROR(INDEX(Empresas!$C:$C,MATCH(D1915,Empresas!$B:$B,0)),"cadastre o CNPJ em Empresas"))</f>
        <v/>
      </c>
      <c r="F1915" s="23"/>
      <c r="G1915" s="35"/>
      <c r="H1915" s="24"/>
      <c r="I1915" s="11"/>
      <c r="J1915" s="27" t="str">
        <f aca="false">IF(A1915="","",YEAR(A1915))</f>
        <v/>
      </c>
      <c r="K1915" s="24"/>
      <c r="L1915" s="11"/>
    </row>
    <row r="1916" customFormat="false" ht="15" hidden="false" customHeight="false" outlineLevel="0" collapsed="false">
      <c r="A1916" s="22"/>
      <c r="B1916" s="11"/>
      <c r="C1916" s="24"/>
      <c r="D1916" s="31" t="str">
        <f aca="false">IF(C1916="","",IF(LEN(UPPER(SUBSTITUTE(SUBSTITUTE(SUBSTITUTE(SUBSTITUTE(TRIM(C1916),".",""),"/",""),"-","")," ","")))&lt;14,RIGHT(REPT("0",14)&amp;UPPER(SUBSTITUTE(SUBSTITUTE(SUBSTITUTE(SUBSTITUTE(TRIM(C1916),".",""),"/",""),"-","")," ","")),14),UPPER(SUBSTITUTE(SUBSTITUTE(SUBSTITUTE(SUBSTITUTE(TRIM(C1916),".",""),"/",""),"-","")," ",""))))</f>
        <v/>
      </c>
      <c r="E1916" s="25" t="str">
        <f aca="false">IF(D1916="","",IFERROR(INDEX(Empresas!$C:$C,MATCH(D1916,Empresas!$B:$B,0)),"cadastre o CNPJ em Empresas"))</f>
        <v/>
      </c>
      <c r="F1916" s="23"/>
      <c r="G1916" s="35"/>
      <c r="H1916" s="24"/>
      <c r="I1916" s="11"/>
      <c r="J1916" s="27" t="str">
        <f aca="false">IF(A1916="","",YEAR(A1916))</f>
        <v/>
      </c>
      <c r="K1916" s="24"/>
      <c r="L1916" s="11"/>
    </row>
    <row r="1917" customFormat="false" ht="15" hidden="false" customHeight="false" outlineLevel="0" collapsed="false">
      <c r="A1917" s="22"/>
      <c r="B1917" s="11"/>
      <c r="C1917" s="24"/>
      <c r="D1917" s="31" t="str">
        <f aca="false">IF(C1917="","",IF(LEN(UPPER(SUBSTITUTE(SUBSTITUTE(SUBSTITUTE(SUBSTITUTE(TRIM(C1917),".",""),"/",""),"-","")," ","")))&lt;14,RIGHT(REPT("0",14)&amp;UPPER(SUBSTITUTE(SUBSTITUTE(SUBSTITUTE(SUBSTITUTE(TRIM(C1917),".",""),"/",""),"-","")," ","")),14),UPPER(SUBSTITUTE(SUBSTITUTE(SUBSTITUTE(SUBSTITUTE(TRIM(C1917),".",""),"/",""),"-","")," ",""))))</f>
        <v/>
      </c>
      <c r="E1917" s="25" t="str">
        <f aca="false">IF(D1917="","",IFERROR(INDEX(Empresas!$C:$C,MATCH(D1917,Empresas!$B:$B,0)),"cadastre o CNPJ em Empresas"))</f>
        <v/>
      </c>
      <c r="F1917" s="23"/>
      <c r="G1917" s="35"/>
      <c r="H1917" s="24"/>
      <c r="I1917" s="11"/>
      <c r="J1917" s="27" t="str">
        <f aca="false">IF(A1917="","",YEAR(A1917))</f>
        <v/>
      </c>
      <c r="K1917" s="24"/>
      <c r="L1917" s="11"/>
    </row>
    <row r="1918" customFormat="false" ht="15" hidden="false" customHeight="false" outlineLevel="0" collapsed="false">
      <c r="A1918" s="22"/>
      <c r="B1918" s="11"/>
      <c r="C1918" s="24"/>
      <c r="D1918" s="31" t="str">
        <f aca="false">IF(C1918="","",IF(LEN(UPPER(SUBSTITUTE(SUBSTITUTE(SUBSTITUTE(SUBSTITUTE(TRIM(C1918),".",""),"/",""),"-","")," ","")))&lt;14,RIGHT(REPT("0",14)&amp;UPPER(SUBSTITUTE(SUBSTITUTE(SUBSTITUTE(SUBSTITUTE(TRIM(C1918),".",""),"/",""),"-","")," ","")),14),UPPER(SUBSTITUTE(SUBSTITUTE(SUBSTITUTE(SUBSTITUTE(TRIM(C1918),".",""),"/",""),"-","")," ",""))))</f>
        <v/>
      </c>
      <c r="E1918" s="25" t="str">
        <f aca="false">IF(D1918="","",IFERROR(INDEX(Empresas!$C:$C,MATCH(D1918,Empresas!$B:$B,0)),"cadastre o CNPJ em Empresas"))</f>
        <v/>
      </c>
      <c r="F1918" s="23"/>
      <c r="G1918" s="35"/>
      <c r="H1918" s="24"/>
      <c r="I1918" s="11"/>
      <c r="J1918" s="27" t="str">
        <f aca="false">IF(A1918="","",YEAR(A1918))</f>
        <v/>
      </c>
      <c r="K1918" s="24"/>
      <c r="L1918" s="11"/>
    </row>
    <row r="1919" customFormat="false" ht="15" hidden="false" customHeight="false" outlineLevel="0" collapsed="false">
      <c r="A1919" s="22"/>
      <c r="B1919" s="11"/>
      <c r="C1919" s="24"/>
      <c r="D1919" s="31" t="str">
        <f aca="false">IF(C1919="","",IF(LEN(UPPER(SUBSTITUTE(SUBSTITUTE(SUBSTITUTE(SUBSTITUTE(TRIM(C1919),".",""),"/",""),"-","")," ","")))&lt;14,RIGHT(REPT("0",14)&amp;UPPER(SUBSTITUTE(SUBSTITUTE(SUBSTITUTE(SUBSTITUTE(TRIM(C1919),".",""),"/",""),"-","")," ","")),14),UPPER(SUBSTITUTE(SUBSTITUTE(SUBSTITUTE(SUBSTITUTE(TRIM(C1919),".",""),"/",""),"-","")," ",""))))</f>
        <v/>
      </c>
      <c r="E1919" s="25" t="str">
        <f aca="false">IF(D1919="","",IFERROR(INDEX(Empresas!$C:$C,MATCH(D1919,Empresas!$B:$B,0)),"cadastre o CNPJ em Empresas"))</f>
        <v/>
      </c>
      <c r="F1919" s="23"/>
      <c r="G1919" s="35"/>
      <c r="H1919" s="24"/>
      <c r="I1919" s="11"/>
      <c r="J1919" s="27" t="str">
        <f aca="false">IF(A1919="","",YEAR(A1919))</f>
        <v/>
      </c>
      <c r="K1919" s="24"/>
      <c r="L1919" s="11"/>
    </row>
    <row r="1920" customFormat="false" ht="15" hidden="false" customHeight="false" outlineLevel="0" collapsed="false">
      <c r="A1920" s="22"/>
      <c r="B1920" s="11"/>
      <c r="C1920" s="24"/>
      <c r="D1920" s="31" t="str">
        <f aca="false">IF(C1920="","",IF(LEN(UPPER(SUBSTITUTE(SUBSTITUTE(SUBSTITUTE(SUBSTITUTE(TRIM(C1920),".",""),"/",""),"-","")," ","")))&lt;14,RIGHT(REPT("0",14)&amp;UPPER(SUBSTITUTE(SUBSTITUTE(SUBSTITUTE(SUBSTITUTE(TRIM(C1920),".",""),"/",""),"-","")," ","")),14),UPPER(SUBSTITUTE(SUBSTITUTE(SUBSTITUTE(SUBSTITUTE(TRIM(C1920),".",""),"/",""),"-","")," ",""))))</f>
        <v/>
      </c>
      <c r="E1920" s="25" t="str">
        <f aca="false">IF(D1920="","",IFERROR(INDEX(Empresas!$C:$C,MATCH(D1920,Empresas!$B:$B,0)),"cadastre o CNPJ em Empresas"))</f>
        <v/>
      </c>
      <c r="F1920" s="23"/>
      <c r="G1920" s="35"/>
      <c r="H1920" s="24"/>
      <c r="I1920" s="11"/>
      <c r="J1920" s="27" t="str">
        <f aca="false">IF(A1920="","",YEAR(A1920))</f>
        <v/>
      </c>
      <c r="K1920" s="24"/>
      <c r="L1920" s="11"/>
    </row>
    <row r="1921" customFormat="false" ht="15" hidden="false" customHeight="false" outlineLevel="0" collapsed="false">
      <c r="A1921" s="22"/>
      <c r="B1921" s="11"/>
      <c r="C1921" s="24"/>
      <c r="D1921" s="31" t="str">
        <f aca="false">IF(C1921="","",IF(LEN(UPPER(SUBSTITUTE(SUBSTITUTE(SUBSTITUTE(SUBSTITUTE(TRIM(C1921),".",""),"/",""),"-","")," ","")))&lt;14,RIGHT(REPT("0",14)&amp;UPPER(SUBSTITUTE(SUBSTITUTE(SUBSTITUTE(SUBSTITUTE(TRIM(C1921),".",""),"/",""),"-","")," ","")),14),UPPER(SUBSTITUTE(SUBSTITUTE(SUBSTITUTE(SUBSTITUTE(TRIM(C1921),".",""),"/",""),"-","")," ",""))))</f>
        <v/>
      </c>
      <c r="E1921" s="25" t="str">
        <f aca="false">IF(D1921="","",IFERROR(INDEX(Empresas!$C:$C,MATCH(D1921,Empresas!$B:$B,0)),"cadastre o CNPJ em Empresas"))</f>
        <v/>
      </c>
      <c r="F1921" s="23"/>
      <c r="G1921" s="35"/>
      <c r="H1921" s="24"/>
      <c r="I1921" s="11"/>
      <c r="J1921" s="27" t="str">
        <f aca="false">IF(A1921="","",YEAR(A1921))</f>
        <v/>
      </c>
      <c r="K1921" s="24"/>
      <c r="L1921" s="11"/>
    </row>
    <row r="1922" customFormat="false" ht="15" hidden="false" customHeight="false" outlineLevel="0" collapsed="false">
      <c r="A1922" s="22"/>
      <c r="B1922" s="11"/>
      <c r="C1922" s="24"/>
      <c r="D1922" s="31" t="str">
        <f aca="false">IF(C1922="","",IF(LEN(UPPER(SUBSTITUTE(SUBSTITUTE(SUBSTITUTE(SUBSTITUTE(TRIM(C1922),".",""),"/",""),"-","")," ","")))&lt;14,RIGHT(REPT("0",14)&amp;UPPER(SUBSTITUTE(SUBSTITUTE(SUBSTITUTE(SUBSTITUTE(TRIM(C1922),".",""),"/",""),"-","")," ","")),14),UPPER(SUBSTITUTE(SUBSTITUTE(SUBSTITUTE(SUBSTITUTE(TRIM(C1922),".",""),"/",""),"-","")," ",""))))</f>
        <v/>
      </c>
      <c r="E1922" s="25" t="str">
        <f aca="false">IF(D1922="","",IFERROR(INDEX(Empresas!$C:$C,MATCH(D1922,Empresas!$B:$B,0)),"cadastre o CNPJ em Empresas"))</f>
        <v/>
      </c>
      <c r="F1922" s="23"/>
      <c r="G1922" s="35"/>
      <c r="H1922" s="24"/>
      <c r="I1922" s="11"/>
      <c r="J1922" s="27" t="str">
        <f aca="false">IF(A1922="","",YEAR(A1922))</f>
        <v/>
      </c>
      <c r="K1922" s="24"/>
      <c r="L1922" s="11"/>
    </row>
    <row r="1923" customFormat="false" ht="15" hidden="false" customHeight="false" outlineLevel="0" collapsed="false">
      <c r="A1923" s="22"/>
      <c r="B1923" s="11"/>
      <c r="C1923" s="24"/>
      <c r="D1923" s="31" t="str">
        <f aca="false">IF(C1923="","",IF(LEN(UPPER(SUBSTITUTE(SUBSTITUTE(SUBSTITUTE(SUBSTITUTE(TRIM(C1923),".",""),"/",""),"-","")," ","")))&lt;14,RIGHT(REPT("0",14)&amp;UPPER(SUBSTITUTE(SUBSTITUTE(SUBSTITUTE(SUBSTITUTE(TRIM(C1923),".",""),"/",""),"-","")," ","")),14),UPPER(SUBSTITUTE(SUBSTITUTE(SUBSTITUTE(SUBSTITUTE(TRIM(C1923),".",""),"/",""),"-","")," ",""))))</f>
        <v/>
      </c>
      <c r="E1923" s="25" t="str">
        <f aca="false">IF(D1923="","",IFERROR(INDEX(Empresas!$C:$C,MATCH(D1923,Empresas!$B:$B,0)),"cadastre o CNPJ em Empresas"))</f>
        <v/>
      </c>
      <c r="F1923" s="23"/>
      <c r="G1923" s="35"/>
      <c r="H1923" s="24"/>
      <c r="I1923" s="11"/>
      <c r="J1923" s="27" t="str">
        <f aca="false">IF(A1923="","",YEAR(A1923))</f>
        <v/>
      </c>
      <c r="K1923" s="24"/>
      <c r="L1923" s="11"/>
    </row>
    <row r="1924" customFormat="false" ht="15" hidden="false" customHeight="false" outlineLevel="0" collapsed="false">
      <c r="A1924" s="22"/>
      <c r="B1924" s="11"/>
      <c r="C1924" s="24"/>
      <c r="D1924" s="31" t="str">
        <f aca="false">IF(C1924="","",IF(LEN(UPPER(SUBSTITUTE(SUBSTITUTE(SUBSTITUTE(SUBSTITUTE(TRIM(C1924),".",""),"/",""),"-","")," ","")))&lt;14,RIGHT(REPT("0",14)&amp;UPPER(SUBSTITUTE(SUBSTITUTE(SUBSTITUTE(SUBSTITUTE(TRIM(C1924),".",""),"/",""),"-","")," ","")),14),UPPER(SUBSTITUTE(SUBSTITUTE(SUBSTITUTE(SUBSTITUTE(TRIM(C1924),".",""),"/",""),"-","")," ",""))))</f>
        <v/>
      </c>
      <c r="E1924" s="25" t="str">
        <f aca="false">IF(D1924="","",IFERROR(INDEX(Empresas!$C:$C,MATCH(D1924,Empresas!$B:$B,0)),"cadastre o CNPJ em Empresas"))</f>
        <v/>
      </c>
      <c r="F1924" s="23"/>
      <c r="G1924" s="35"/>
      <c r="H1924" s="24"/>
      <c r="I1924" s="11"/>
      <c r="J1924" s="27" t="str">
        <f aca="false">IF(A1924="","",YEAR(A1924))</f>
        <v/>
      </c>
      <c r="K1924" s="24"/>
      <c r="L1924" s="11"/>
    </row>
    <row r="1925" customFormat="false" ht="15" hidden="false" customHeight="false" outlineLevel="0" collapsed="false">
      <c r="A1925" s="22"/>
      <c r="B1925" s="11"/>
      <c r="C1925" s="24"/>
      <c r="D1925" s="31" t="str">
        <f aca="false">IF(C1925="","",IF(LEN(UPPER(SUBSTITUTE(SUBSTITUTE(SUBSTITUTE(SUBSTITUTE(TRIM(C1925),".",""),"/",""),"-","")," ","")))&lt;14,RIGHT(REPT("0",14)&amp;UPPER(SUBSTITUTE(SUBSTITUTE(SUBSTITUTE(SUBSTITUTE(TRIM(C1925),".",""),"/",""),"-","")," ","")),14),UPPER(SUBSTITUTE(SUBSTITUTE(SUBSTITUTE(SUBSTITUTE(TRIM(C1925),".",""),"/",""),"-","")," ",""))))</f>
        <v/>
      </c>
      <c r="E1925" s="25" t="str">
        <f aca="false">IF(D1925="","",IFERROR(INDEX(Empresas!$C:$C,MATCH(D1925,Empresas!$B:$B,0)),"cadastre o CNPJ em Empresas"))</f>
        <v/>
      </c>
      <c r="F1925" s="23"/>
      <c r="G1925" s="35"/>
      <c r="H1925" s="24"/>
      <c r="I1925" s="11"/>
      <c r="J1925" s="27" t="str">
        <f aca="false">IF(A1925="","",YEAR(A1925))</f>
        <v/>
      </c>
      <c r="K1925" s="24"/>
      <c r="L1925" s="11"/>
    </row>
    <row r="1926" customFormat="false" ht="15" hidden="false" customHeight="false" outlineLevel="0" collapsed="false">
      <c r="A1926" s="22"/>
      <c r="B1926" s="11"/>
      <c r="C1926" s="24"/>
      <c r="D1926" s="31" t="str">
        <f aca="false">IF(C1926="","",IF(LEN(UPPER(SUBSTITUTE(SUBSTITUTE(SUBSTITUTE(SUBSTITUTE(TRIM(C1926),".",""),"/",""),"-","")," ","")))&lt;14,RIGHT(REPT("0",14)&amp;UPPER(SUBSTITUTE(SUBSTITUTE(SUBSTITUTE(SUBSTITUTE(TRIM(C1926),".",""),"/",""),"-","")," ","")),14),UPPER(SUBSTITUTE(SUBSTITUTE(SUBSTITUTE(SUBSTITUTE(TRIM(C1926),".",""),"/",""),"-","")," ",""))))</f>
        <v/>
      </c>
      <c r="E1926" s="25" t="str">
        <f aca="false">IF(D1926="","",IFERROR(INDEX(Empresas!$C:$C,MATCH(D1926,Empresas!$B:$B,0)),"cadastre o CNPJ em Empresas"))</f>
        <v/>
      </c>
      <c r="F1926" s="23"/>
      <c r="G1926" s="35"/>
      <c r="H1926" s="24"/>
      <c r="I1926" s="11"/>
      <c r="J1926" s="27" t="str">
        <f aca="false">IF(A1926="","",YEAR(A1926))</f>
        <v/>
      </c>
      <c r="K1926" s="24"/>
      <c r="L1926" s="11"/>
    </row>
    <row r="1927" customFormat="false" ht="15" hidden="false" customHeight="false" outlineLevel="0" collapsed="false">
      <c r="A1927" s="22"/>
      <c r="B1927" s="11"/>
      <c r="C1927" s="24"/>
      <c r="D1927" s="31" t="str">
        <f aca="false">IF(C1927="","",IF(LEN(UPPER(SUBSTITUTE(SUBSTITUTE(SUBSTITUTE(SUBSTITUTE(TRIM(C1927),".",""),"/",""),"-","")," ","")))&lt;14,RIGHT(REPT("0",14)&amp;UPPER(SUBSTITUTE(SUBSTITUTE(SUBSTITUTE(SUBSTITUTE(TRIM(C1927),".",""),"/",""),"-","")," ","")),14),UPPER(SUBSTITUTE(SUBSTITUTE(SUBSTITUTE(SUBSTITUTE(TRIM(C1927),".",""),"/",""),"-","")," ",""))))</f>
        <v/>
      </c>
      <c r="E1927" s="25" t="str">
        <f aca="false">IF(D1927="","",IFERROR(INDEX(Empresas!$C:$C,MATCH(D1927,Empresas!$B:$B,0)),"cadastre o CNPJ em Empresas"))</f>
        <v/>
      </c>
      <c r="F1927" s="23"/>
      <c r="G1927" s="35"/>
      <c r="H1927" s="24"/>
      <c r="I1927" s="11"/>
      <c r="J1927" s="27" t="str">
        <f aca="false">IF(A1927="","",YEAR(A1927))</f>
        <v/>
      </c>
      <c r="K1927" s="24"/>
      <c r="L1927" s="11"/>
    </row>
    <row r="1928" customFormat="false" ht="15" hidden="false" customHeight="false" outlineLevel="0" collapsed="false">
      <c r="A1928" s="22"/>
      <c r="B1928" s="11"/>
      <c r="C1928" s="24"/>
      <c r="D1928" s="31" t="str">
        <f aca="false">IF(C1928="","",IF(LEN(UPPER(SUBSTITUTE(SUBSTITUTE(SUBSTITUTE(SUBSTITUTE(TRIM(C1928),".",""),"/",""),"-","")," ","")))&lt;14,RIGHT(REPT("0",14)&amp;UPPER(SUBSTITUTE(SUBSTITUTE(SUBSTITUTE(SUBSTITUTE(TRIM(C1928),".",""),"/",""),"-","")," ","")),14),UPPER(SUBSTITUTE(SUBSTITUTE(SUBSTITUTE(SUBSTITUTE(TRIM(C1928),".",""),"/",""),"-","")," ",""))))</f>
        <v/>
      </c>
      <c r="E1928" s="25" t="str">
        <f aca="false">IF(D1928="","",IFERROR(INDEX(Empresas!$C:$C,MATCH(D1928,Empresas!$B:$B,0)),"cadastre o CNPJ em Empresas"))</f>
        <v/>
      </c>
      <c r="F1928" s="23"/>
      <c r="G1928" s="35"/>
      <c r="H1928" s="24"/>
      <c r="I1928" s="11"/>
      <c r="J1928" s="27" t="str">
        <f aca="false">IF(A1928="","",YEAR(A1928))</f>
        <v/>
      </c>
      <c r="K1928" s="24"/>
      <c r="L1928" s="11"/>
    </row>
    <row r="1929" customFormat="false" ht="15" hidden="false" customHeight="false" outlineLevel="0" collapsed="false">
      <c r="A1929" s="22"/>
      <c r="B1929" s="11"/>
      <c r="C1929" s="24"/>
      <c r="D1929" s="31" t="str">
        <f aca="false">IF(C1929="","",IF(LEN(UPPER(SUBSTITUTE(SUBSTITUTE(SUBSTITUTE(SUBSTITUTE(TRIM(C1929),".",""),"/",""),"-","")," ","")))&lt;14,RIGHT(REPT("0",14)&amp;UPPER(SUBSTITUTE(SUBSTITUTE(SUBSTITUTE(SUBSTITUTE(TRIM(C1929),".",""),"/",""),"-","")," ","")),14),UPPER(SUBSTITUTE(SUBSTITUTE(SUBSTITUTE(SUBSTITUTE(TRIM(C1929),".",""),"/",""),"-","")," ",""))))</f>
        <v/>
      </c>
      <c r="E1929" s="25" t="str">
        <f aca="false">IF(D1929="","",IFERROR(INDEX(Empresas!$C:$C,MATCH(D1929,Empresas!$B:$B,0)),"cadastre o CNPJ em Empresas"))</f>
        <v/>
      </c>
      <c r="F1929" s="23"/>
      <c r="G1929" s="35"/>
      <c r="H1929" s="24"/>
      <c r="I1929" s="11"/>
      <c r="J1929" s="27" t="str">
        <f aca="false">IF(A1929="","",YEAR(A1929))</f>
        <v/>
      </c>
      <c r="K1929" s="24"/>
      <c r="L1929" s="11"/>
    </row>
    <row r="1930" customFormat="false" ht="15" hidden="false" customHeight="false" outlineLevel="0" collapsed="false">
      <c r="A1930" s="22"/>
      <c r="B1930" s="11"/>
      <c r="C1930" s="24"/>
      <c r="D1930" s="31" t="str">
        <f aca="false">IF(C1930="","",IF(LEN(UPPER(SUBSTITUTE(SUBSTITUTE(SUBSTITUTE(SUBSTITUTE(TRIM(C1930),".",""),"/",""),"-","")," ","")))&lt;14,RIGHT(REPT("0",14)&amp;UPPER(SUBSTITUTE(SUBSTITUTE(SUBSTITUTE(SUBSTITUTE(TRIM(C1930),".",""),"/",""),"-","")," ","")),14),UPPER(SUBSTITUTE(SUBSTITUTE(SUBSTITUTE(SUBSTITUTE(TRIM(C1930),".",""),"/",""),"-","")," ",""))))</f>
        <v/>
      </c>
      <c r="E1930" s="25" t="str">
        <f aca="false">IF(D1930="","",IFERROR(INDEX(Empresas!$C:$C,MATCH(D1930,Empresas!$B:$B,0)),"cadastre o CNPJ em Empresas"))</f>
        <v/>
      </c>
      <c r="F1930" s="23"/>
      <c r="G1930" s="35"/>
      <c r="H1930" s="24"/>
      <c r="I1930" s="11"/>
      <c r="J1930" s="27" t="str">
        <f aca="false">IF(A1930="","",YEAR(A1930))</f>
        <v/>
      </c>
      <c r="K1930" s="24"/>
      <c r="L1930" s="11"/>
    </row>
    <row r="1931" customFormat="false" ht="15" hidden="false" customHeight="false" outlineLevel="0" collapsed="false">
      <c r="A1931" s="22"/>
      <c r="B1931" s="11"/>
      <c r="C1931" s="24"/>
      <c r="D1931" s="31" t="str">
        <f aca="false">IF(C1931="","",IF(LEN(UPPER(SUBSTITUTE(SUBSTITUTE(SUBSTITUTE(SUBSTITUTE(TRIM(C1931),".",""),"/",""),"-","")," ","")))&lt;14,RIGHT(REPT("0",14)&amp;UPPER(SUBSTITUTE(SUBSTITUTE(SUBSTITUTE(SUBSTITUTE(TRIM(C1931),".",""),"/",""),"-","")," ","")),14),UPPER(SUBSTITUTE(SUBSTITUTE(SUBSTITUTE(SUBSTITUTE(TRIM(C1931),".",""),"/",""),"-","")," ",""))))</f>
        <v/>
      </c>
      <c r="E1931" s="25" t="str">
        <f aca="false">IF(D1931="","",IFERROR(INDEX(Empresas!$C:$C,MATCH(D1931,Empresas!$B:$B,0)),"cadastre o CNPJ em Empresas"))</f>
        <v/>
      </c>
      <c r="F1931" s="23"/>
      <c r="G1931" s="35"/>
      <c r="H1931" s="24"/>
      <c r="I1931" s="11"/>
      <c r="J1931" s="27" t="str">
        <f aca="false">IF(A1931="","",YEAR(A1931))</f>
        <v/>
      </c>
      <c r="K1931" s="24"/>
      <c r="L1931" s="11"/>
    </row>
    <row r="1932" customFormat="false" ht="15" hidden="false" customHeight="false" outlineLevel="0" collapsed="false">
      <c r="A1932" s="22"/>
      <c r="B1932" s="11"/>
      <c r="C1932" s="24"/>
      <c r="D1932" s="31" t="str">
        <f aca="false">IF(C1932="","",IF(LEN(UPPER(SUBSTITUTE(SUBSTITUTE(SUBSTITUTE(SUBSTITUTE(TRIM(C1932),".",""),"/",""),"-","")," ","")))&lt;14,RIGHT(REPT("0",14)&amp;UPPER(SUBSTITUTE(SUBSTITUTE(SUBSTITUTE(SUBSTITUTE(TRIM(C1932),".",""),"/",""),"-","")," ","")),14),UPPER(SUBSTITUTE(SUBSTITUTE(SUBSTITUTE(SUBSTITUTE(TRIM(C1932),".",""),"/",""),"-","")," ",""))))</f>
        <v/>
      </c>
      <c r="E1932" s="25" t="str">
        <f aca="false">IF(D1932="","",IFERROR(INDEX(Empresas!$C:$C,MATCH(D1932,Empresas!$B:$B,0)),"cadastre o CNPJ em Empresas"))</f>
        <v/>
      </c>
      <c r="F1932" s="23"/>
      <c r="G1932" s="35"/>
      <c r="H1932" s="24"/>
      <c r="I1932" s="11"/>
      <c r="J1932" s="27" t="str">
        <f aca="false">IF(A1932="","",YEAR(A1932))</f>
        <v/>
      </c>
      <c r="K1932" s="24"/>
      <c r="L1932" s="11"/>
    </row>
    <row r="1933" customFormat="false" ht="15" hidden="false" customHeight="false" outlineLevel="0" collapsed="false">
      <c r="A1933" s="22"/>
      <c r="B1933" s="11"/>
      <c r="C1933" s="24"/>
      <c r="D1933" s="31" t="str">
        <f aca="false">IF(C1933="","",IF(LEN(UPPER(SUBSTITUTE(SUBSTITUTE(SUBSTITUTE(SUBSTITUTE(TRIM(C1933),".",""),"/",""),"-","")," ","")))&lt;14,RIGHT(REPT("0",14)&amp;UPPER(SUBSTITUTE(SUBSTITUTE(SUBSTITUTE(SUBSTITUTE(TRIM(C1933),".",""),"/",""),"-","")," ","")),14),UPPER(SUBSTITUTE(SUBSTITUTE(SUBSTITUTE(SUBSTITUTE(TRIM(C1933),".",""),"/",""),"-","")," ",""))))</f>
        <v/>
      </c>
      <c r="E1933" s="25" t="str">
        <f aca="false">IF(D1933="","",IFERROR(INDEX(Empresas!$C:$C,MATCH(D1933,Empresas!$B:$B,0)),"cadastre o CNPJ em Empresas"))</f>
        <v/>
      </c>
      <c r="F1933" s="23"/>
      <c r="G1933" s="35"/>
      <c r="H1933" s="24"/>
      <c r="I1933" s="11"/>
      <c r="J1933" s="27" t="str">
        <f aca="false">IF(A1933="","",YEAR(A1933))</f>
        <v/>
      </c>
      <c r="K1933" s="24"/>
      <c r="L1933" s="11"/>
    </row>
    <row r="1934" customFormat="false" ht="15" hidden="false" customHeight="false" outlineLevel="0" collapsed="false">
      <c r="A1934" s="22"/>
      <c r="B1934" s="11"/>
      <c r="C1934" s="24"/>
      <c r="D1934" s="31" t="str">
        <f aca="false">IF(C1934="","",IF(LEN(UPPER(SUBSTITUTE(SUBSTITUTE(SUBSTITUTE(SUBSTITUTE(TRIM(C1934),".",""),"/",""),"-","")," ","")))&lt;14,RIGHT(REPT("0",14)&amp;UPPER(SUBSTITUTE(SUBSTITUTE(SUBSTITUTE(SUBSTITUTE(TRIM(C1934),".",""),"/",""),"-","")," ","")),14),UPPER(SUBSTITUTE(SUBSTITUTE(SUBSTITUTE(SUBSTITUTE(TRIM(C1934),".",""),"/",""),"-","")," ",""))))</f>
        <v/>
      </c>
      <c r="E1934" s="25" t="str">
        <f aca="false">IF(D1934="","",IFERROR(INDEX(Empresas!$C:$C,MATCH(D1934,Empresas!$B:$B,0)),"cadastre o CNPJ em Empresas"))</f>
        <v/>
      </c>
      <c r="F1934" s="23"/>
      <c r="G1934" s="35"/>
      <c r="H1934" s="24"/>
      <c r="I1934" s="11"/>
      <c r="J1934" s="27" t="str">
        <f aca="false">IF(A1934="","",YEAR(A1934))</f>
        <v/>
      </c>
      <c r="K1934" s="24"/>
      <c r="L1934" s="11"/>
    </row>
    <row r="1935" customFormat="false" ht="15" hidden="false" customHeight="false" outlineLevel="0" collapsed="false">
      <c r="A1935" s="22"/>
      <c r="B1935" s="11"/>
      <c r="C1935" s="24"/>
      <c r="D1935" s="31" t="str">
        <f aca="false">IF(C1935="","",IF(LEN(UPPER(SUBSTITUTE(SUBSTITUTE(SUBSTITUTE(SUBSTITUTE(TRIM(C1935),".",""),"/",""),"-","")," ","")))&lt;14,RIGHT(REPT("0",14)&amp;UPPER(SUBSTITUTE(SUBSTITUTE(SUBSTITUTE(SUBSTITUTE(TRIM(C1935),".",""),"/",""),"-","")," ","")),14),UPPER(SUBSTITUTE(SUBSTITUTE(SUBSTITUTE(SUBSTITUTE(TRIM(C1935),".",""),"/",""),"-","")," ",""))))</f>
        <v/>
      </c>
      <c r="E1935" s="25" t="str">
        <f aca="false">IF(D1935="","",IFERROR(INDEX(Empresas!$C:$C,MATCH(D1935,Empresas!$B:$B,0)),"cadastre o CNPJ em Empresas"))</f>
        <v/>
      </c>
      <c r="F1935" s="23"/>
      <c r="G1935" s="35"/>
      <c r="H1935" s="24"/>
      <c r="I1935" s="11"/>
      <c r="J1935" s="27" t="str">
        <f aca="false">IF(A1935="","",YEAR(A1935))</f>
        <v/>
      </c>
      <c r="K1935" s="24"/>
      <c r="L1935" s="11"/>
    </row>
    <row r="1936" customFormat="false" ht="15" hidden="false" customHeight="false" outlineLevel="0" collapsed="false">
      <c r="A1936" s="22"/>
      <c r="B1936" s="11"/>
      <c r="C1936" s="24"/>
      <c r="D1936" s="31" t="str">
        <f aca="false">IF(C1936="","",IF(LEN(UPPER(SUBSTITUTE(SUBSTITUTE(SUBSTITUTE(SUBSTITUTE(TRIM(C1936),".",""),"/",""),"-","")," ","")))&lt;14,RIGHT(REPT("0",14)&amp;UPPER(SUBSTITUTE(SUBSTITUTE(SUBSTITUTE(SUBSTITUTE(TRIM(C1936),".",""),"/",""),"-","")," ","")),14),UPPER(SUBSTITUTE(SUBSTITUTE(SUBSTITUTE(SUBSTITUTE(TRIM(C1936),".",""),"/",""),"-","")," ",""))))</f>
        <v/>
      </c>
      <c r="E1936" s="25" t="str">
        <f aca="false">IF(D1936="","",IFERROR(INDEX(Empresas!$C:$C,MATCH(D1936,Empresas!$B:$B,0)),"cadastre o CNPJ em Empresas"))</f>
        <v/>
      </c>
      <c r="F1936" s="23"/>
      <c r="G1936" s="35"/>
      <c r="H1936" s="24"/>
      <c r="I1936" s="11"/>
      <c r="J1936" s="27" t="str">
        <f aca="false">IF(A1936="","",YEAR(A1936))</f>
        <v/>
      </c>
      <c r="K1936" s="24"/>
      <c r="L1936" s="11"/>
    </row>
    <row r="1937" customFormat="false" ht="15" hidden="false" customHeight="false" outlineLevel="0" collapsed="false">
      <c r="A1937" s="22"/>
      <c r="B1937" s="11"/>
      <c r="C1937" s="24"/>
      <c r="D1937" s="31" t="str">
        <f aca="false">IF(C1937="","",IF(LEN(UPPER(SUBSTITUTE(SUBSTITUTE(SUBSTITUTE(SUBSTITUTE(TRIM(C1937),".",""),"/",""),"-","")," ","")))&lt;14,RIGHT(REPT("0",14)&amp;UPPER(SUBSTITUTE(SUBSTITUTE(SUBSTITUTE(SUBSTITUTE(TRIM(C1937),".",""),"/",""),"-","")," ","")),14),UPPER(SUBSTITUTE(SUBSTITUTE(SUBSTITUTE(SUBSTITUTE(TRIM(C1937),".",""),"/",""),"-","")," ",""))))</f>
        <v/>
      </c>
      <c r="E1937" s="25" t="str">
        <f aca="false">IF(D1937="","",IFERROR(INDEX(Empresas!$C:$C,MATCH(D1937,Empresas!$B:$B,0)),"cadastre o CNPJ em Empresas"))</f>
        <v/>
      </c>
      <c r="F1937" s="23"/>
      <c r="G1937" s="35"/>
      <c r="H1937" s="24"/>
      <c r="I1937" s="11"/>
      <c r="J1937" s="27" t="str">
        <f aca="false">IF(A1937="","",YEAR(A1937))</f>
        <v/>
      </c>
      <c r="K1937" s="24"/>
      <c r="L1937" s="11"/>
    </row>
    <row r="1938" customFormat="false" ht="15" hidden="false" customHeight="false" outlineLevel="0" collapsed="false">
      <c r="A1938" s="22"/>
      <c r="B1938" s="11"/>
      <c r="C1938" s="24"/>
      <c r="D1938" s="31" t="str">
        <f aca="false">IF(C1938="","",IF(LEN(UPPER(SUBSTITUTE(SUBSTITUTE(SUBSTITUTE(SUBSTITUTE(TRIM(C1938),".",""),"/",""),"-","")," ","")))&lt;14,RIGHT(REPT("0",14)&amp;UPPER(SUBSTITUTE(SUBSTITUTE(SUBSTITUTE(SUBSTITUTE(TRIM(C1938),".",""),"/",""),"-","")," ","")),14),UPPER(SUBSTITUTE(SUBSTITUTE(SUBSTITUTE(SUBSTITUTE(TRIM(C1938),".",""),"/",""),"-","")," ",""))))</f>
        <v/>
      </c>
      <c r="E1938" s="25" t="str">
        <f aca="false">IF(D1938="","",IFERROR(INDEX(Empresas!$C:$C,MATCH(D1938,Empresas!$B:$B,0)),"cadastre o CNPJ em Empresas"))</f>
        <v/>
      </c>
      <c r="F1938" s="23"/>
      <c r="G1938" s="35"/>
      <c r="H1938" s="24"/>
      <c r="I1938" s="11"/>
      <c r="J1938" s="27" t="str">
        <f aca="false">IF(A1938="","",YEAR(A1938))</f>
        <v/>
      </c>
      <c r="K1938" s="24"/>
      <c r="L1938" s="11"/>
    </row>
    <row r="1939" customFormat="false" ht="15" hidden="false" customHeight="false" outlineLevel="0" collapsed="false">
      <c r="A1939" s="22"/>
      <c r="B1939" s="11"/>
      <c r="C1939" s="24"/>
      <c r="D1939" s="31" t="str">
        <f aca="false">IF(C1939="","",IF(LEN(UPPER(SUBSTITUTE(SUBSTITUTE(SUBSTITUTE(SUBSTITUTE(TRIM(C1939),".",""),"/",""),"-","")," ","")))&lt;14,RIGHT(REPT("0",14)&amp;UPPER(SUBSTITUTE(SUBSTITUTE(SUBSTITUTE(SUBSTITUTE(TRIM(C1939),".",""),"/",""),"-","")," ","")),14),UPPER(SUBSTITUTE(SUBSTITUTE(SUBSTITUTE(SUBSTITUTE(TRIM(C1939),".",""),"/",""),"-","")," ",""))))</f>
        <v/>
      </c>
      <c r="E1939" s="25" t="str">
        <f aca="false">IF(D1939="","",IFERROR(INDEX(Empresas!$C:$C,MATCH(D1939,Empresas!$B:$B,0)),"cadastre o CNPJ em Empresas"))</f>
        <v/>
      </c>
      <c r="F1939" s="23"/>
      <c r="G1939" s="35"/>
      <c r="H1939" s="24"/>
      <c r="I1939" s="11"/>
      <c r="J1939" s="27" t="str">
        <f aca="false">IF(A1939="","",YEAR(A1939))</f>
        <v/>
      </c>
      <c r="K1939" s="24"/>
      <c r="L1939" s="11"/>
    </row>
    <row r="1940" customFormat="false" ht="15" hidden="false" customHeight="false" outlineLevel="0" collapsed="false">
      <c r="A1940" s="22"/>
      <c r="B1940" s="11"/>
      <c r="C1940" s="24"/>
      <c r="D1940" s="31" t="str">
        <f aca="false">IF(C1940="","",IF(LEN(UPPER(SUBSTITUTE(SUBSTITUTE(SUBSTITUTE(SUBSTITUTE(TRIM(C1940),".",""),"/",""),"-","")," ","")))&lt;14,RIGHT(REPT("0",14)&amp;UPPER(SUBSTITUTE(SUBSTITUTE(SUBSTITUTE(SUBSTITUTE(TRIM(C1940),".",""),"/",""),"-","")," ","")),14),UPPER(SUBSTITUTE(SUBSTITUTE(SUBSTITUTE(SUBSTITUTE(TRIM(C1940),".",""),"/",""),"-","")," ",""))))</f>
        <v/>
      </c>
      <c r="E1940" s="25" t="str">
        <f aca="false">IF(D1940="","",IFERROR(INDEX(Empresas!$C:$C,MATCH(D1940,Empresas!$B:$B,0)),"cadastre o CNPJ em Empresas"))</f>
        <v/>
      </c>
      <c r="F1940" s="23"/>
      <c r="G1940" s="35"/>
      <c r="H1940" s="24"/>
      <c r="I1940" s="11"/>
      <c r="J1940" s="27" t="str">
        <f aca="false">IF(A1940="","",YEAR(A1940))</f>
        <v/>
      </c>
      <c r="K1940" s="24"/>
      <c r="L1940" s="11"/>
    </row>
    <row r="1941" customFormat="false" ht="15" hidden="false" customHeight="false" outlineLevel="0" collapsed="false">
      <c r="A1941" s="22"/>
      <c r="B1941" s="11"/>
      <c r="C1941" s="24"/>
      <c r="D1941" s="31" t="str">
        <f aca="false">IF(C1941="","",IF(LEN(UPPER(SUBSTITUTE(SUBSTITUTE(SUBSTITUTE(SUBSTITUTE(TRIM(C1941),".",""),"/",""),"-","")," ","")))&lt;14,RIGHT(REPT("0",14)&amp;UPPER(SUBSTITUTE(SUBSTITUTE(SUBSTITUTE(SUBSTITUTE(TRIM(C1941),".",""),"/",""),"-","")," ","")),14),UPPER(SUBSTITUTE(SUBSTITUTE(SUBSTITUTE(SUBSTITUTE(TRIM(C1941),".",""),"/",""),"-","")," ",""))))</f>
        <v/>
      </c>
      <c r="E1941" s="25" t="str">
        <f aca="false">IF(D1941="","",IFERROR(INDEX(Empresas!$C:$C,MATCH(D1941,Empresas!$B:$B,0)),"cadastre o CNPJ em Empresas"))</f>
        <v/>
      </c>
      <c r="F1941" s="23"/>
      <c r="G1941" s="35"/>
      <c r="H1941" s="24"/>
      <c r="I1941" s="11"/>
      <c r="J1941" s="27" t="str">
        <f aca="false">IF(A1941="","",YEAR(A1941))</f>
        <v/>
      </c>
      <c r="K1941" s="24"/>
      <c r="L1941" s="11"/>
    </row>
    <row r="1942" customFormat="false" ht="15" hidden="false" customHeight="false" outlineLevel="0" collapsed="false">
      <c r="A1942" s="22"/>
      <c r="B1942" s="11"/>
      <c r="C1942" s="24"/>
      <c r="D1942" s="31" t="str">
        <f aca="false">IF(C1942="","",IF(LEN(UPPER(SUBSTITUTE(SUBSTITUTE(SUBSTITUTE(SUBSTITUTE(TRIM(C1942),".",""),"/",""),"-","")," ","")))&lt;14,RIGHT(REPT("0",14)&amp;UPPER(SUBSTITUTE(SUBSTITUTE(SUBSTITUTE(SUBSTITUTE(TRIM(C1942),".",""),"/",""),"-","")," ","")),14),UPPER(SUBSTITUTE(SUBSTITUTE(SUBSTITUTE(SUBSTITUTE(TRIM(C1942),".",""),"/",""),"-","")," ",""))))</f>
        <v/>
      </c>
      <c r="E1942" s="25" t="str">
        <f aca="false">IF(D1942="","",IFERROR(INDEX(Empresas!$C:$C,MATCH(D1942,Empresas!$B:$B,0)),"cadastre o CNPJ em Empresas"))</f>
        <v/>
      </c>
      <c r="F1942" s="23"/>
      <c r="G1942" s="35"/>
      <c r="H1942" s="24"/>
      <c r="I1942" s="11"/>
      <c r="J1942" s="27" t="str">
        <f aca="false">IF(A1942="","",YEAR(A1942))</f>
        <v/>
      </c>
      <c r="K1942" s="24"/>
      <c r="L1942" s="11"/>
    </row>
    <row r="1943" customFormat="false" ht="15" hidden="false" customHeight="false" outlineLevel="0" collapsed="false">
      <c r="A1943" s="22"/>
      <c r="B1943" s="11"/>
      <c r="C1943" s="24"/>
      <c r="D1943" s="31" t="str">
        <f aca="false">IF(C1943="","",IF(LEN(UPPER(SUBSTITUTE(SUBSTITUTE(SUBSTITUTE(SUBSTITUTE(TRIM(C1943),".",""),"/",""),"-","")," ","")))&lt;14,RIGHT(REPT("0",14)&amp;UPPER(SUBSTITUTE(SUBSTITUTE(SUBSTITUTE(SUBSTITUTE(TRIM(C1943),".",""),"/",""),"-","")," ","")),14),UPPER(SUBSTITUTE(SUBSTITUTE(SUBSTITUTE(SUBSTITUTE(TRIM(C1943),".",""),"/",""),"-","")," ",""))))</f>
        <v/>
      </c>
      <c r="E1943" s="25" t="str">
        <f aca="false">IF(D1943="","",IFERROR(INDEX(Empresas!$C:$C,MATCH(D1943,Empresas!$B:$B,0)),"cadastre o CNPJ em Empresas"))</f>
        <v/>
      </c>
      <c r="F1943" s="23"/>
      <c r="G1943" s="35"/>
      <c r="H1943" s="24"/>
      <c r="I1943" s="11"/>
      <c r="J1943" s="27" t="str">
        <f aca="false">IF(A1943="","",YEAR(A1943))</f>
        <v/>
      </c>
      <c r="K1943" s="24"/>
      <c r="L1943" s="11"/>
    </row>
    <row r="1944" customFormat="false" ht="15" hidden="false" customHeight="false" outlineLevel="0" collapsed="false">
      <c r="A1944" s="22"/>
      <c r="B1944" s="11"/>
      <c r="C1944" s="24"/>
      <c r="D1944" s="31" t="str">
        <f aca="false">IF(C1944="","",IF(LEN(UPPER(SUBSTITUTE(SUBSTITUTE(SUBSTITUTE(SUBSTITUTE(TRIM(C1944),".",""),"/",""),"-","")," ","")))&lt;14,RIGHT(REPT("0",14)&amp;UPPER(SUBSTITUTE(SUBSTITUTE(SUBSTITUTE(SUBSTITUTE(TRIM(C1944),".",""),"/",""),"-","")," ","")),14),UPPER(SUBSTITUTE(SUBSTITUTE(SUBSTITUTE(SUBSTITUTE(TRIM(C1944),".",""),"/",""),"-","")," ",""))))</f>
        <v/>
      </c>
      <c r="E1944" s="25" t="str">
        <f aca="false">IF(D1944="","",IFERROR(INDEX(Empresas!$C:$C,MATCH(D1944,Empresas!$B:$B,0)),"cadastre o CNPJ em Empresas"))</f>
        <v/>
      </c>
      <c r="F1944" s="23"/>
      <c r="G1944" s="35"/>
      <c r="H1944" s="24"/>
      <c r="I1944" s="11"/>
      <c r="J1944" s="27" t="str">
        <f aca="false">IF(A1944="","",YEAR(A1944))</f>
        <v/>
      </c>
      <c r="K1944" s="24"/>
      <c r="L1944" s="11"/>
    </row>
    <row r="1945" customFormat="false" ht="15" hidden="false" customHeight="false" outlineLevel="0" collapsed="false">
      <c r="A1945" s="22"/>
      <c r="B1945" s="11"/>
      <c r="C1945" s="24"/>
      <c r="D1945" s="31" t="str">
        <f aca="false">IF(C1945="","",IF(LEN(UPPER(SUBSTITUTE(SUBSTITUTE(SUBSTITUTE(SUBSTITUTE(TRIM(C1945),".",""),"/",""),"-","")," ","")))&lt;14,RIGHT(REPT("0",14)&amp;UPPER(SUBSTITUTE(SUBSTITUTE(SUBSTITUTE(SUBSTITUTE(TRIM(C1945),".",""),"/",""),"-","")," ","")),14),UPPER(SUBSTITUTE(SUBSTITUTE(SUBSTITUTE(SUBSTITUTE(TRIM(C1945),".",""),"/",""),"-","")," ",""))))</f>
        <v/>
      </c>
      <c r="E1945" s="25" t="str">
        <f aca="false">IF(D1945="","",IFERROR(INDEX(Empresas!$C:$C,MATCH(D1945,Empresas!$B:$B,0)),"cadastre o CNPJ em Empresas"))</f>
        <v/>
      </c>
      <c r="F1945" s="23"/>
      <c r="G1945" s="35"/>
      <c r="H1945" s="24"/>
      <c r="I1945" s="11"/>
      <c r="J1945" s="27" t="str">
        <f aca="false">IF(A1945="","",YEAR(A1945))</f>
        <v/>
      </c>
      <c r="K1945" s="24"/>
      <c r="L1945" s="11"/>
    </row>
    <row r="1946" customFormat="false" ht="15" hidden="false" customHeight="false" outlineLevel="0" collapsed="false">
      <c r="A1946" s="22"/>
      <c r="B1946" s="11"/>
      <c r="C1946" s="24"/>
      <c r="D1946" s="31" t="str">
        <f aca="false">IF(C1946="","",IF(LEN(UPPER(SUBSTITUTE(SUBSTITUTE(SUBSTITUTE(SUBSTITUTE(TRIM(C1946),".",""),"/",""),"-","")," ","")))&lt;14,RIGHT(REPT("0",14)&amp;UPPER(SUBSTITUTE(SUBSTITUTE(SUBSTITUTE(SUBSTITUTE(TRIM(C1946),".",""),"/",""),"-","")," ","")),14),UPPER(SUBSTITUTE(SUBSTITUTE(SUBSTITUTE(SUBSTITUTE(TRIM(C1946),".",""),"/",""),"-","")," ",""))))</f>
        <v/>
      </c>
      <c r="E1946" s="25" t="str">
        <f aca="false">IF(D1946="","",IFERROR(INDEX(Empresas!$C:$C,MATCH(D1946,Empresas!$B:$B,0)),"cadastre o CNPJ em Empresas"))</f>
        <v/>
      </c>
      <c r="F1946" s="23"/>
      <c r="G1946" s="35"/>
      <c r="H1946" s="24"/>
      <c r="I1946" s="11"/>
      <c r="J1946" s="27" t="str">
        <f aca="false">IF(A1946="","",YEAR(A1946))</f>
        <v/>
      </c>
      <c r="K1946" s="24"/>
      <c r="L1946" s="11"/>
    </row>
    <row r="1947" customFormat="false" ht="15" hidden="false" customHeight="false" outlineLevel="0" collapsed="false">
      <c r="A1947" s="22"/>
      <c r="B1947" s="11"/>
      <c r="C1947" s="24"/>
      <c r="D1947" s="31" t="str">
        <f aca="false">IF(C1947="","",IF(LEN(UPPER(SUBSTITUTE(SUBSTITUTE(SUBSTITUTE(SUBSTITUTE(TRIM(C1947),".",""),"/",""),"-","")," ","")))&lt;14,RIGHT(REPT("0",14)&amp;UPPER(SUBSTITUTE(SUBSTITUTE(SUBSTITUTE(SUBSTITUTE(TRIM(C1947),".",""),"/",""),"-","")," ","")),14),UPPER(SUBSTITUTE(SUBSTITUTE(SUBSTITUTE(SUBSTITUTE(TRIM(C1947),".",""),"/",""),"-","")," ",""))))</f>
        <v/>
      </c>
      <c r="E1947" s="25" t="str">
        <f aca="false">IF(D1947="","",IFERROR(INDEX(Empresas!$C:$C,MATCH(D1947,Empresas!$B:$B,0)),"cadastre o CNPJ em Empresas"))</f>
        <v/>
      </c>
      <c r="F1947" s="23"/>
      <c r="G1947" s="35"/>
      <c r="H1947" s="24"/>
      <c r="I1947" s="11"/>
      <c r="J1947" s="27" t="str">
        <f aca="false">IF(A1947="","",YEAR(A1947))</f>
        <v/>
      </c>
      <c r="K1947" s="24"/>
      <c r="L1947" s="11"/>
    </row>
    <row r="1948" customFormat="false" ht="15" hidden="false" customHeight="false" outlineLevel="0" collapsed="false">
      <c r="A1948" s="22"/>
      <c r="B1948" s="11"/>
      <c r="C1948" s="24"/>
      <c r="D1948" s="31" t="str">
        <f aca="false">IF(C1948="","",IF(LEN(UPPER(SUBSTITUTE(SUBSTITUTE(SUBSTITUTE(SUBSTITUTE(TRIM(C1948),".",""),"/",""),"-","")," ","")))&lt;14,RIGHT(REPT("0",14)&amp;UPPER(SUBSTITUTE(SUBSTITUTE(SUBSTITUTE(SUBSTITUTE(TRIM(C1948),".",""),"/",""),"-","")," ","")),14),UPPER(SUBSTITUTE(SUBSTITUTE(SUBSTITUTE(SUBSTITUTE(TRIM(C1948),".",""),"/",""),"-","")," ",""))))</f>
        <v/>
      </c>
      <c r="E1948" s="25" t="str">
        <f aca="false">IF(D1948="","",IFERROR(INDEX(Empresas!$C:$C,MATCH(D1948,Empresas!$B:$B,0)),"cadastre o CNPJ em Empresas"))</f>
        <v/>
      </c>
      <c r="F1948" s="23"/>
      <c r="G1948" s="35"/>
      <c r="H1948" s="24"/>
      <c r="I1948" s="11"/>
      <c r="J1948" s="27" t="str">
        <f aca="false">IF(A1948="","",YEAR(A1948))</f>
        <v/>
      </c>
      <c r="K1948" s="24"/>
      <c r="L1948" s="11"/>
    </row>
    <row r="1949" customFormat="false" ht="15" hidden="false" customHeight="false" outlineLevel="0" collapsed="false">
      <c r="A1949" s="22"/>
      <c r="B1949" s="11"/>
      <c r="C1949" s="24"/>
      <c r="D1949" s="31" t="str">
        <f aca="false">IF(C1949="","",IF(LEN(UPPER(SUBSTITUTE(SUBSTITUTE(SUBSTITUTE(SUBSTITUTE(TRIM(C1949),".",""),"/",""),"-","")," ","")))&lt;14,RIGHT(REPT("0",14)&amp;UPPER(SUBSTITUTE(SUBSTITUTE(SUBSTITUTE(SUBSTITUTE(TRIM(C1949),".",""),"/",""),"-","")," ","")),14),UPPER(SUBSTITUTE(SUBSTITUTE(SUBSTITUTE(SUBSTITUTE(TRIM(C1949),".",""),"/",""),"-","")," ",""))))</f>
        <v/>
      </c>
      <c r="E1949" s="25" t="str">
        <f aca="false">IF(D1949="","",IFERROR(INDEX(Empresas!$C:$C,MATCH(D1949,Empresas!$B:$B,0)),"cadastre o CNPJ em Empresas"))</f>
        <v/>
      </c>
      <c r="F1949" s="23"/>
      <c r="G1949" s="35"/>
      <c r="H1949" s="24"/>
      <c r="I1949" s="11"/>
      <c r="J1949" s="27" t="str">
        <f aca="false">IF(A1949="","",YEAR(A1949))</f>
        <v/>
      </c>
      <c r="K1949" s="24"/>
      <c r="L1949" s="11"/>
    </row>
    <row r="1950" customFormat="false" ht="15" hidden="false" customHeight="false" outlineLevel="0" collapsed="false">
      <c r="A1950" s="22"/>
      <c r="B1950" s="11"/>
      <c r="C1950" s="24"/>
      <c r="D1950" s="31" t="str">
        <f aca="false">IF(C1950="","",IF(LEN(UPPER(SUBSTITUTE(SUBSTITUTE(SUBSTITUTE(SUBSTITUTE(TRIM(C1950),".",""),"/",""),"-","")," ","")))&lt;14,RIGHT(REPT("0",14)&amp;UPPER(SUBSTITUTE(SUBSTITUTE(SUBSTITUTE(SUBSTITUTE(TRIM(C1950),".",""),"/",""),"-","")," ","")),14),UPPER(SUBSTITUTE(SUBSTITUTE(SUBSTITUTE(SUBSTITUTE(TRIM(C1950),".",""),"/",""),"-","")," ",""))))</f>
        <v/>
      </c>
      <c r="E1950" s="25" t="str">
        <f aca="false">IF(D1950="","",IFERROR(INDEX(Empresas!$C:$C,MATCH(D1950,Empresas!$B:$B,0)),"cadastre o CNPJ em Empresas"))</f>
        <v/>
      </c>
      <c r="F1950" s="23"/>
      <c r="G1950" s="35"/>
      <c r="H1950" s="24"/>
      <c r="I1950" s="11"/>
      <c r="J1950" s="27" t="str">
        <f aca="false">IF(A1950="","",YEAR(A1950))</f>
        <v/>
      </c>
      <c r="K1950" s="24"/>
      <c r="L1950" s="11"/>
    </row>
    <row r="1951" customFormat="false" ht="15" hidden="false" customHeight="false" outlineLevel="0" collapsed="false">
      <c r="A1951" s="22"/>
      <c r="B1951" s="11"/>
      <c r="C1951" s="24"/>
      <c r="D1951" s="31" t="str">
        <f aca="false">IF(C1951="","",IF(LEN(UPPER(SUBSTITUTE(SUBSTITUTE(SUBSTITUTE(SUBSTITUTE(TRIM(C1951),".",""),"/",""),"-","")," ","")))&lt;14,RIGHT(REPT("0",14)&amp;UPPER(SUBSTITUTE(SUBSTITUTE(SUBSTITUTE(SUBSTITUTE(TRIM(C1951),".",""),"/",""),"-","")," ","")),14),UPPER(SUBSTITUTE(SUBSTITUTE(SUBSTITUTE(SUBSTITUTE(TRIM(C1951),".",""),"/",""),"-","")," ",""))))</f>
        <v/>
      </c>
      <c r="E1951" s="25" t="str">
        <f aca="false">IF(D1951="","",IFERROR(INDEX(Empresas!$C:$C,MATCH(D1951,Empresas!$B:$B,0)),"cadastre o CNPJ em Empresas"))</f>
        <v/>
      </c>
      <c r="F1951" s="23"/>
      <c r="G1951" s="35"/>
      <c r="H1951" s="24"/>
      <c r="I1951" s="11"/>
      <c r="J1951" s="27" t="str">
        <f aca="false">IF(A1951="","",YEAR(A1951))</f>
        <v/>
      </c>
      <c r="K1951" s="24"/>
      <c r="L1951" s="11"/>
    </row>
    <row r="1952" customFormat="false" ht="15" hidden="false" customHeight="false" outlineLevel="0" collapsed="false">
      <c r="A1952" s="22"/>
      <c r="B1952" s="11"/>
      <c r="C1952" s="24"/>
      <c r="D1952" s="31" t="str">
        <f aca="false">IF(C1952="","",IF(LEN(UPPER(SUBSTITUTE(SUBSTITUTE(SUBSTITUTE(SUBSTITUTE(TRIM(C1952),".",""),"/",""),"-","")," ","")))&lt;14,RIGHT(REPT("0",14)&amp;UPPER(SUBSTITUTE(SUBSTITUTE(SUBSTITUTE(SUBSTITUTE(TRIM(C1952),".",""),"/",""),"-","")," ","")),14),UPPER(SUBSTITUTE(SUBSTITUTE(SUBSTITUTE(SUBSTITUTE(TRIM(C1952),".",""),"/",""),"-","")," ",""))))</f>
        <v/>
      </c>
      <c r="E1952" s="25" t="str">
        <f aca="false">IF(D1952="","",IFERROR(INDEX(Empresas!$C:$C,MATCH(D1952,Empresas!$B:$B,0)),"cadastre o CNPJ em Empresas"))</f>
        <v/>
      </c>
      <c r="F1952" s="23"/>
      <c r="G1952" s="35"/>
      <c r="H1952" s="24"/>
      <c r="I1952" s="11"/>
      <c r="J1952" s="27" t="str">
        <f aca="false">IF(A1952="","",YEAR(A1952))</f>
        <v/>
      </c>
      <c r="K1952" s="24"/>
      <c r="L1952" s="11"/>
    </row>
    <row r="1953" customFormat="false" ht="15" hidden="false" customHeight="false" outlineLevel="0" collapsed="false">
      <c r="A1953" s="22"/>
      <c r="B1953" s="11"/>
      <c r="C1953" s="24"/>
      <c r="D1953" s="31" t="str">
        <f aca="false">IF(C1953="","",IF(LEN(UPPER(SUBSTITUTE(SUBSTITUTE(SUBSTITUTE(SUBSTITUTE(TRIM(C1953),".",""),"/",""),"-","")," ","")))&lt;14,RIGHT(REPT("0",14)&amp;UPPER(SUBSTITUTE(SUBSTITUTE(SUBSTITUTE(SUBSTITUTE(TRIM(C1953),".",""),"/",""),"-","")," ","")),14),UPPER(SUBSTITUTE(SUBSTITUTE(SUBSTITUTE(SUBSTITUTE(TRIM(C1953),".",""),"/",""),"-","")," ",""))))</f>
        <v/>
      </c>
      <c r="E1953" s="25" t="str">
        <f aca="false">IF(D1953="","",IFERROR(INDEX(Empresas!$C:$C,MATCH(D1953,Empresas!$B:$B,0)),"cadastre o CNPJ em Empresas"))</f>
        <v/>
      </c>
      <c r="F1953" s="23"/>
      <c r="G1953" s="35"/>
      <c r="H1953" s="24"/>
      <c r="I1953" s="11"/>
      <c r="J1953" s="27" t="str">
        <f aca="false">IF(A1953="","",YEAR(A1953))</f>
        <v/>
      </c>
      <c r="K1953" s="24"/>
      <c r="L1953" s="11"/>
    </row>
    <row r="1954" customFormat="false" ht="15" hidden="false" customHeight="false" outlineLevel="0" collapsed="false">
      <c r="A1954" s="22"/>
      <c r="B1954" s="11"/>
      <c r="C1954" s="24"/>
      <c r="D1954" s="31" t="str">
        <f aca="false">IF(C1954="","",IF(LEN(UPPER(SUBSTITUTE(SUBSTITUTE(SUBSTITUTE(SUBSTITUTE(TRIM(C1954),".",""),"/",""),"-","")," ","")))&lt;14,RIGHT(REPT("0",14)&amp;UPPER(SUBSTITUTE(SUBSTITUTE(SUBSTITUTE(SUBSTITUTE(TRIM(C1954),".",""),"/",""),"-","")," ","")),14),UPPER(SUBSTITUTE(SUBSTITUTE(SUBSTITUTE(SUBSTITUTE(TRIM(C1954),".",""),"/",""),"-","")," ",""))))</f>
        <v/>
      </c>
      <c r="E1954" s="25" t="str">
        <f aca="false">IF(D1954="","",IFERROR(INDEX(Empresas!$C:$C,MATCH(D1954,Empresas!$B:$B,0)),"cadastre o CNPJ em Empresas"))</f>
        <v/>
      </c>
      <c r="F1954" s="23"/>
      <c r="G1954" s="35"/>
      <c r="H1954" s="24"/>
      <c r="I1954" s="11"/>
      <c r="J1954" s="27" t="str">
        <f aca="false">IF(A1954="","",YEAR(A1954))</f>
        <v/>
      </c>
      <c r="K1954" s="24"/>
      <c r="L1954" s="11"/>
    </row>
    <row r="1955" customFormat="false" ht="15" hidden="false" customHeight="false" outlineLevel="0" collapsed="false">
      <c r="A1955" s="22"/>
      <c r="B1955" s="11"/>
      <c r="C1955" s="24"/>
      <c r="D1955" s="31" t="str">
        <f aca="false">IF(C1955="","",IF(LEN(UPPER(SUBSTITUTE(SUBSTITUTE(SUBSTITUTE(SUBSTITUTE(TRIM(C1955),".",""),"/",""),"-","")," ","")))&lt;14,RIGHT(REPT("0",14)&amp;UPPER(SUBSTITUTE(SUBSTITUTE(SUBSTITUTE(SUBSTITUTE(TRIM(C1955),".",""),"/",""),"-","")," ","")),14),UPPER(SUBSTITUTE(SUBSTITUTE(SUBSTITUTE(SUBSTITUTE(TRIM(C1955),".",""),"/",""),"-","")," ",""))))</f>
        <v/>
      </c>
      <c r="E1955" s="25" t="str">
        <f aca="false">IF(D1955="","",IFERROR(INDEX(Empresas!$C:$C,MATCH(D1955,Empresas!$B:$B,0)),"cadastre o CNPJ em Empresas"))</f>
        <v/>
      </c>
      <c r="F1955" s="23"/>
      <c r="G1955" s="35"/>
      <c r="H1955" s="24"/>
      <c r="I1955" s="11"/>
      <c r="J1955" s="27" t="str">
        <f aca="false">IF(A1955="","",YEAR(A1955))</f>
        <v/>
      </c>
      <c r="K1955" s="24"/>
      <c r="L1955" s="11"/>
    </row>
    <row r="1956" customFormat="false" ht="15" hidden="false" customHeight="false" outlineLevel="0" collapsed="false">
      <c r="A1956" s="22"/>
      <c r="B1956" s="11"/>
      <c r="C1956" s="24"/>
      <c r="D1956" s="31" t="str">
        <f aca="false">IF(C1956="","",IF(LEN(UPPER(SUBSTITUTE(SUBSTITUTE(SUBSTITUTE(SUBSTITUTE(TRIM(C1956),".",""),"/",""),"-","")," ","")))&lt;14,RIGHT(REPT("0",14)&amp;UPPER(SUBSTITUTE(SUBSTITUTE(SUBSTITUTE(SUBSTITUTE(TRIM(C1956),".",""),"/",""),"-","")," ","")),14),UPPER(SUBSTITUTE(SUBSTITUTE(SUBSTITUTE(SUBSTITUTE(TRIM(C1956),".",""),"/",""),"-","")," ",""))))</f>
        <v/>
      </c>
      <c r="E1956" s="25" t="str">
        <f aca="false">IF(D1956="","",IFERROR(INDEX(Empresas!$C:$C,MATCH(D1956,Empresas!$B:$B,0)),"cadastre o CNPJ em Empresas"))</f>
        <v/>
      </c>
      <c r="F1956" s="23"/>
      <c r="G1956" s="35"/>
      <c r="H1956" s="24"/>
      <c r="I1956" s="11"/>
      <c r="J1956" s="27" t="str">
        <f aca="false">IF(A1956="","",YEAR(A1956))</f>
        <v/>
      </c>
      <c r="K1956" s="24"/>
      <c r="L1956" s="11"/>
    </row>
    <row r="1957" customFormat="false" ht="15" hidden="false" customHeight="false" outlineLevel="0" collapsed="false">
      <c r="A1957" s="22"/>
      <c r="B1957" s="11"/>
      <c r="C1957" s="24"/>
      <c r="D1957" s="31" t="str">
        <f aca="false">IF(C1957="","",IF(LEN(UPPER(SUBSTITUTE(SUBSTITUTE(SUBSTITUTE(SUBSTITUTE(TRIM(C1957),".",""),"/",""),"-","")," ","")))&lt;14,RIGHT(REPT("0",14)&amp;UPPER(SUBSTITUTE(SUBSTITUTE(SUBSTITUTE(SUBSTITUTE(TRIM(C1957),".",""),"/",""),"-","")," ","")),14),UPPER(SUBSTITUTE(SUBSTITUTE(SUBSTITUTE(SUBSTITUTE(TRIM(C1957),".",""),"/",""),"-","")," ",""))))</f>
        <v/>
      </c>
      <c r="E1957" s="25" t="str">
        <f aca="false">IF(D1957="","",IFERROR(INDEX(Empresas!$C:$C,MATCH(D1957,Empresas!$B:$B,0)),"cadastre o CNPJ em Empresas"))</f>
        <v/>
      </c>
      <c r="F1957" s="23"/>
      <c r="G1957" s="35"/>
      <c r="H1957" s="24"/>
      <c r="I1957" s="11"/>
      <c r="J1957" s="27" t="str">
        <f aca="false">IF(A1957="","",YEAR(A1957))</f>
        <v/>
      </c>
      <c r="K1957" s="24"/>
      <c r="L1957" s="11"/>
    </row>
    <row r="1958" customFormat="false" ht="15" hidden="false" customHeight="false" outlineLevel="0" collapsed="false">
      <c r="A1958" s="22"/>
      <c r="B1958" s="11"/>
      <c r="C1958" s="24"/>
      <c r="D1958" s="31" t="str">
        <f aca="false">IF(C1958="","",IF(LEN(UPPER(SUBSTITUTE(SUBSTITUTE(SUBSTITUTE(SUBSTITUTE(TRIM(C1958),".",""),"/",""),"-","")," ","")))&lt;14,RIGHT(REPT("0",14)&amp;UPPER(SUBSTITUTE(SUBSTITUTE(SUBSTITUTE(SUBSTITUTE(TRIM(C1958),".",""),"/",""),"-","")," ","")),14),UPPER(SUBSTITUTE(SUBSTITUTE(SUBSTITUTE(SUBSTITUTE(TRIM(C1958),".",""),"/",""),"-","")," ",""))))</f>
        <v/>
      </c>
      <c r="E1958" s="25" t="str">
        <f aca="false">IF(D1958="","",IFERROR(INDEX(Empresas!$C:$C,MATCH(D1958,Empresas!$B:$B,0)),"cadastre o CNPJ em Empresas"))</f>
        <v/>
      </c>
      <c r="F1958" s="23"/>
      <c r="G1958" s="35"/>
      <c r="H1958" s="24"/>
      <c r="I1958" s="11"/>
      <c r="J1958" s="27" t="str">
        <f aca="false">IF(A1958="","",YEAR(A1958))</f>
        <v/>
      </c>
      <c r="K1958" s="24"/>
      <c r="L1958" s="11"/>
    </row>
    <row r="1959" customFormat="false" ht="15" hidden="false" customHeight="false" outlineLevel="0" collapsed="false">
      <c r="A1959" s="22"/>
      <c r="B1959" s="11"/>
      <c r="C1959" s="24"/>
      <c r="D1959" s="31" t="str">
        <f aca="false">IF(C1959="","",IF(LEN(UPPER(SUBSTITUTE(SUBSTITUTE(SUBSTITUTE(SUBSTITUTE(TRIM(C1959),".",""),"/",""),"-","")," ","")))&lt;14,RIGHT(REPT("0",14)&amp;UPPER(SUBSTITUTE(SUBSTITUTE(SUBSTITUTE(SUBSTITUTE(TRIM(C1959),".",""),"/",""),"-","")," ","")),14),UPPER(SUBSTITUTE(SUBSTITUTE(SUBSTITUTE(SUBSTITUTE(TRIM(C1959),".",""),"/",""),"-","")," ",""))))</f>
        <v/>
      </c>
      <c r="E1959" s="25" t="str">
        <f aca="false">IF(D1959="","",IFERROR(INDEX(Empresas!$C:$C,MATCH(D1959,Empresas!$B:$B,0)),"cadastre o CNPJ em Empresas"))</f>
        <v/>
      </c>
      <c r="F1959" s="23"/>
      <c r="G1959" s="35"/>
      <c r="H1959" s="24"/>
      <c r="I1959" s="11"/>
      <c r="J1959" s="27" t="str">
        <f aca="false">IF(A1959="","",YEAR(A1959))</f>
        <v/>
      </c>
      <c r="K1959" s="24"/>
      <c r="L1959" s="11"/>
    </row>
    <row r="1960" customFormat="false" ht="15" hidden="false" customHeight="false" outlineLevel="0" collapsed="false">
      <c r="A1960" s="22"/>
      <c r="B1960" s="11"/>
      <c r="C1960" s="24"/>
      <c r="D1960" s="31" t="str">
        <f aca="false">IF(C1960="","",IF(LEN(UPPER(SUBSTITUTE(SUBSTITUTE(SUBSTITUTE(SUBSTITUTE(TRIM(C1960),".",""),"/",""),"-","")," ","")))&lt;14,RIGHT(REPT("0",14)&amp;UPPER(SUBSTITUTE(SUBSTITUTE(SUBSTITUTE(SUBSTITUTE(TRIM(C1960),".",""),"/",""),"-","")," ","")),14),UPPER(SUBSTITUTE(SUBSTITUTE(SUBSTITUTE(SUBSTITUTE(TRIM(C1960),".",""),"/",""),"-","")," ",""))))</f>
        <v/>
      </c>
      <c r="E1960" s="25" t="str">
        <f aca="false">IF(D1960="","",IFERROR(INDEX(Empresas!$C:$C,MATCH(D1960,Empresas!$B:$B,0)),"cadastre o CNPJ em Empresas"))</f>
        <v/>
      </c>
      <c r="F1960" s="23"/>
      <c r="G1960" s="35"/>
      <c r="H1960" s="24"/>
      <c r="I1960" s="11"/>
      <c r="J1960" s="27" t="str">
        <f aca="false">IF(A1960="","",YEAR(A1960))</f>
        <v/>
      </c>
      <c r="K1960" s="24"/>
      <c r="L1960" s="11"/>
    </row>
    <row r="1961" customFormat="false" ht="15" hidden="false" customHeight="false" outlineLevel="0" collapsed="false">
      <c r="A1961" s="22"/>
      <c r="B1961" s="11"/>
      <c r="C1961" s="24"/>
      <c r="D1961" s="31" t="str">
        <f aca="false">IF(C1961="","",IF(LEN(UPPER(SUBSTITUTE(SUBSTITUTE(SUBSTITUTE(SUBSTITUTE(TRIM(C1961),".",""),"/",""),"-","")," ","")))&lt;14,RIGHT(REPT("0",14)&amp;UPPER(SUBSTITUTE(SUBSTITUTE(SUBSTITUTE(SUBSTITUTE(TRIM(C1961),".",""),"/",""),"-","")," ","")),14),UPPER(SUBSTITUTE(SUBSTITUTE(SUBSTITUTE(SUBSTITUTE(TRIM(C1961),".",""),"/",""),"-","")," ",""))))</f>
        <v/>
      </c>
      <c r="E1961" s="25" t="str">
        <f aca="false">IF(D1961="","",IFERROR(INDEX(Empresas!$C:$C,MATCH(D1961,Empresas!$B:$B,0)),"cadastre o CNPJ em Empresas"))</f>
        <v/>
      </c>
      <c r="F1961" s="23"/>
      <c r="G1961" s="35"/>
      <c r="H1961" s="24"/>
      <c r="I1961" s="11"/>
      <c r="J1961" s="27" t="str">
        <f aca="false">IF(A1961="","",YEAR(A1961))</f>
        <v/>
      </c>
      <c r="K1961" s="24"/>
      <c r="L1961" s="11"/>
    </row>
    <row r="1962" customFormat="false" ht="15" hidden="false" customHeight="false" outlineLevel="0" collapsed="false">
      <c r="A1962" s="22"/>
      <c r="B1962" s="11"/>
      <c r="C1962" s="24"/>
      <c r="D1962" s="31" t="str">
        <f aca="false">IF(C1962="","",IF(LEN(UPPER(SUBSTITUTE(SUBSTITUTE(SUBSTITUTE(SUBSTITUTE(TRIM(C1962),".",""),"/",""),"-","")," ","")))&lt;14,RIGHT(REPT("0",14)&amp;UPPER(SUBSTITUTE(SUBSTITUTE(SUBSTITUTE(SUBSTITUTE(TRIM(C1962),".",""),"/",""),"-","")," ","")),14),UPPER(SUBSTITUTE(SUBSTITUTE(SUBSTITUTE(SUBSTITUTE(TRIM(C1962),".",""),"/",""),"-","")," ",""))))</f>
        <v/>
      </c>
      <c r="E1962" s="25" t="str">
        <f aca="false">IF(D1962="","",IFERROR(INDEX(Empresas!$C:$C,MATCH(D1962,Empresas!$B:$B,0)),"cadastre o CNPJ em Empresas"))</f>
        <v/>
      </c>
      <c r="F1962" s="23"/>
      <c r="G1962" s="35"/>
      <c r="H1962" s="24"/>
      <c r="I1962" s="11"/>
      <c r="J1962" s="27" t="str">
        <f aca="false">IF(A1962="","",YEAR(A1962))</f>
        <v/>
      </c>
      <c r="K1962" s="24"/>
      <c r="L1962" s="11"/>
    </row>
    <row r="1963" customFormat="false" ht="15" hidden="false" customHeight="false" outlineLevel="0" collapsed="false">
      <c r="A1963" s="22"/>
      <c r="B1963" s="11"/>
      <c r="C1963" s="24"/>
      <c r="D1963" s="31" t="str">
        <f aca="false">IF(C1963="","",IF(LEN(UPPER(SUBSTITUTE(SUBSTITUTE(SUBSTITUTE(SUBSTITUTE(TRIM(C1963),".",""),"/",""),"-","")," ","")))&lt;14,RIGHT(REPT("0",14)&amp;UPPER(SUBSTITUTE(SUBSTITUTE(SUBSTITUTE(SUBSTITUTE(TRIM(C1963),".",""),"/",""),"-","")," ","")),14),UPPER(SUBSTITUTE(SUBSTITUTE(SUBSTITUTE(SUBSTITUTE(TRIM(C1963),".",""),"/",""),"-","")," ",""))))</f>
        <v/>
      </c>
      <c r="E1963" s="25" t="str">
        <f aca="false">IF(D1963="","",IFERROR(INDEX(Empresas!$C:$C,MATCH(D1963,Empresas!$B:$B,0)),"cadastre o CNPJ em Empresas"))</f>
        <v/>
      </c>
      <c r="F1963" s="23"/>
      <c r="G1963" s="35"/>
      <c r="H1963" s="24"/>
      <c r="I1963" s="11"/>
      <c r="J1963" s="27" t="str">
        <f aca="false">IF(A1963="","",YEAR(A1963))</f>
        <v/>
      </c>
      <c r="K1963" s="24"/>
      <c r="L1963" s="11"/>
    </row>
    <row r="1964" customFormat="false" ht="15" hidden="false" customHeight="false" outlineLevel="0" collapsed="false">
      <c r="A1964" s="22"/>
      <c r="B1964" s="11"/>
      <c r="C1964" s="24"/>
      <c r="D1964" s="31" t="str">
        <f aca="false">IF(C1964="","",IF(LEN(UPPER(SUBSTITUTE(SUBSTITUTE(SUBSTITUTE(SUBSTITUTE(TRIM(C1964),".",""),"/",""),"-","")," ","")))&lt;14,RIGHT(REPT("0",14)&amp;UPPER(SUBSTITUTE(SUBSTITUTE(SUBSTITUTE(SUBSTITUTE(TRIM(C1964),".",""),"/",""),"-","")," ","")),14),UPPER(SUBSTITUTE(SUBSTITUTE(SUBSTITUTE(SUBSTITUTE(TRIM(C1964),".",""),"/",""),"-","")," ",""))))</f>
        <v/>
      </c>
      <c r="E1964" s="25" t="str">
        <f aca="false">IF(D1964="","",IFERROR(INDEX(Empresas!$C:$C,MATCH(D1964,Empresas!$B:$B,0)),"cadastre o CNPJ em Empresas"))</f>
        <v/>
      </c>
      <c r="F1964" s="23"/>
      <c r="G1964" s="35"/>
      <c r="H1964" s="24"/>
      <c r="I1964" s="11"/>
      <c r="J1964" s="27" t="str">
        <f aca="false">IF(A1964="","",YEAR(A1964))</f>
        <v/>
      </c>
      <c r="K1964" s="24"/>
      <c r="L1964" s="11"/>
    </row>
    <row r="1965" customFormat="false" ht="15" hidden="false" customHeight="false" outlineLevel="0" collapsed="false">
      <c r="A1965" s="22"/>
      <c r="B1965" s="11"/>
      <c r="C1965" s="24"/>
      <c r="D1965" s="31" t="str">
        <f aca="false">IF(C1965="","",IF(LEN(UPPER(SUBSTITUTE(SUBSTITUTE(SUBSTITUTE(SUBSTITUTE(TRIM(C1965),".",""),"/",""),"-","")," ","")))&lt;14,RIGHT(REPT("0",14)&amp;UPPER(SUBSTITUTE(SUBSTITUTE(SUBSTITUTE(SUBSTITUTE(TRIM(C1965),".",""),"/",""),"-","")," ","")),14),UPPER(SUBSTITUTE(SUBSTITUTE(SUBSTITUTE(SUBSTITUTE(TRIM(C1965),".",""),"/",""),"-","")," ",""))))</f>
        <v/>
      </c>
      <c r="E1965" s="25" t="str">
        <f aca="false">IF(D1965="","",IFERROR(INDEX(Empresas!$C:$C,MATCH(D1965,Empresas!$B:$B,0)),"cadastre o CNPJ em Empresas"))</f>
        <v/>
      </c>
      <c r="F1965" s="23"/>
      <c r="G1965" s="35"/>
      <c r="H1965" s="24"/>
      <c r="I1965" s="11"/>
      <c r="J1965" s="27" t="str">
        <f aca="false">IF(A1965="","",YEAR(A1965))</f>
        <v/>
      </c>
      <c r="K1965" s="24"/>
      <c r="L1965" s="11"/>
    </row>
    <row r="1966" customFormat="false" ht="15" hidden="false" customHeight="false" outlineLevel="0" collapsed="false">
      <c r="A1966" s="22"/>
      <c r="B1966" s="11"/>
      <c r="C1966" s="24"/>
      <c r="D1966" s="31" t="str">
        <f aca="false">IF(C1966="","",IF(LEN(UPPER(SUBSTITUTE(SUBSTITUTE(SUBSTITUTE(SUBSTITUTE(TRIM(C1966),".",""),"/",""),"-","")," ","")))&lt;14,RIGHT(REPT("0",14)&amp;UPPER(SUBSTITUTE(SUBSTITUTE(SUBSTITUTE(SUBSTITUTE(TRIM(C1966),".",""),"/",""),"-","")," ","")),14),UPPER(SUBSTITUTE(SUBSTITUTE(SUBSTITUTE(SUBSTITUTE(TRIM(C1966),".",""),"/",""),"-","")," ",""))))</f>
        <v/>
      </c>
      <c r="E1966" s="25" t="str">
        <f aca="false">IF(D1966="","",IFERROR(INDEX(Empresas!$C:$C,MATCH(D1966,Empresas!$B:$B,0)),"cadastre o CNPJ em Empresas"))</f>
        <v/>
      </c>
      <c r="F1966" s="23"/>
      <c r="G1966" s="35"/>
      <c r="H1966" s="24"/>
      <c r="I1966" s="11"/>
      <c r="J1966" s="27" t="str">
        <f aca="false">IF(A1966="","",YEAR(A1966))</f>
        <v/>
      </c>
      <c r="K1966" s="24"/>
      <c r="L1966" s="11"/>
    </row>
    <row r="1967" customFormat="false" ht="15" hidden="false" customHeight="false" outlineLevel="0" collapsed="false">
      <c r="A1967" s="22"/>
      <c r="B1967" s="11"/>
      <c r="C1967" s="24"/>
      <c r="D1967" s="31" t="str">
        <f aca="false">IF(C1967="","",IF(LEN(UPPER(SUBSTITUTE(SUBSTITUTE(SUBSTITUTE(SUBSTITUTE(TRIM(C1967),".",""),"/",""),"-","")," ","")))&lt;14,RIGHT(REPT("0",14)&amp;UPPER(SUBSTITUTE(SUBSTITUTE(SUBSTITUTE(SUBSTITUTE(TRIM(C1967),".",""),"/",""),"-","")," ","")),14),UPPER(SUBSTITUTE(SUBSTITUTE(SUBSTITUTE(SUBSTITUTE(TRIM(C1967),".",""),"/",""),"-","")," ",""))))</f>
        <v/>
      </c>
      <c r="E1967" s="25" t="str">
        <f aca="false">IF(D1967="","",IFERROR(INDEX(Empresas!$C:$C,MATCH(D1967,Empresas!$B:$B,0)),"cadastre o CNPJ em Empresas"))</f>
        <v/>
      </c>
      <c r="F1967" s="23"/>
      <c r="G1967" s="35"/>
      <c r="H1967" s="24"/>
      <c r="I1967" s="11"/>
      <c r="J1967" s="27" t="str">
        <f aca="false">IF(A1967="","",YEAR(A1967))</f>
        <v/>
      </c>
      <c r="K1967" s="24"/>
      <c r="L1967" s="11"/>
    </row>
    <row r="1968" customFormat="false" ht="15" hidden="false" customHeight="false" outlineLevel="0" collapsed="false">
      <c r="A1968" s="22"/>
      <c r="B1968" s="11"/>
      <c r="C1968" s="24"/>
      <c r="D1968" s="31" t="str">
        <f aca="false">IF(C1968="","",IF(LEN(UPPER(SUBSTITUTE(SUBSTITUTE(SUBSTITUTE(SUBSTITUTE(TRIM(C1968),".",""),"/",""),"-","")," ","")))&lt;14,RIGHT(REPT("0",14)&amp;UPPER(SUBSTITUTE(SUBSTITUTE(SUBSTITUTE(SUBSTITUTE(TRIM(C1968),".",""),"/",""),"-","")," ","")),14),UPPER(SUBSTITUTE(SUBSTITUTE(SUBSTITUTE(SUBSTITUTE(TRIM(C1968),".",""),"/",""),"-","")," ",""))))</f>
        <v/>
      </c>
      <c r="E1968" s="25" t="str">
        <f aca="false">IF(D1968="","",IFERROR(INDEX(Empresas!$C:$C,MATCH(D1968,Empresas!$B:$B,0)),"cadastre o CNPJ em Empresas"))</f>
        <v/>
      </c>
      <c r="F1968" s="23"/>
      <c r="G1968" s="35"/>
      <c r="H1968" s="24"/>
      <c r="I1968" s="11"/>
      <c r="J1968" s="27" t="str">
        <f aca="false">IF(A1968="","",YEAR(A1968))</f>
        <v/>
      </c>
      <c r="K1968" s="24"/>
      <c r="L1968" s="11"/>
    </row>
    <row r="1969" customFormat="false" ht="15" hidden="false" customHeight="false" outlineLevel="0" collapsed="false">
      <c r="A1969" s="22"/>
      <c r="B1969" s="11"/>
      <c r="C1969" s="24"/>
      <c r="D1969" s="31" t="str">
        <f aca="false">IF(C1969="","",IF(LEN(UPPER(SUBSTITUTE(SUBSTITUTE(SUBSTITUTE(SUBSTITUTE(TRIM(C1969),".",""),"/",""),"-","")," ","")))&lt;14,RIGHT(REPT("0",14)&amp;UPPER(SUBSTITUTE(SUBSTITUTE(SUBSTITUTE(SUBSTITUTE(TRIM(C1969),".",""),"/",""),"-","")," ","")),14),UPPER(SUBSTITUTE(SUBSTITUTE(SUBSTITUTE(SUBSTITUTE(TRIM(C1969),".",""),"/",""),"-","")," ",""))))</f>
        <v/>
      </c>
      <c r="E1969" s="25" t="str">
        <f aca="false">IF(D1969="","",IFERROR(INDEX(Empresas!$C:$C,MATCH(D1969,Empresas!$B:$B,0)),"cadastre o CNPJ em Empresas"))</f>
        <v/>
      </c>
      <c r="F1969" s="23"/>
      <c r="G1969" s="35"/>
      <c r="H1969" s="24"/>
      <c r="I1969" s="11"/>
      <c r="J1969" s="27" t="str">
        <f aca="false">IF(A1969="","",YEAR(A1969))</f>
        <v/>
      </c>
      <c r="K1969" s="24"/>
      <c r="L1969" s="11"/>
    </row>
    <row r="1970" customFormat="false" ht="15" hidden="false" customHeight="false" outlineLevel="0" collapsed="false">
      <c r="A1970" s="22"/>
      <c r="B1970" s="11"/>
      <c r="C1970" s="24"/>
      <c r="D1970" s="31" t="str">
        <f aca="false">IF(C1970="","",IF(LEN(UPPER(SUBSTITUTE(SUBSTITUTE(SUBSTITUTE(SUBSTITUTE(TRIM(C1970),".",""),"/",""),"-","")," ","")))&lt;14,RIGHT(REPT("0",14)&amp;UPPER(SUBSTITUTE(SUBSTITUTE(SUBSTITUTE(SUBSTITUTE(TRIM(C1970),".",""),"/",""),"-","")," ","")),14),UPPER(SUBSTITUTE(SUBSTITUTE(SUBSTITUTE(SUBSTITUTE(TRIM(C1970),".",""),"/",""),"-","")," ",""))))</f>
        <v/>
      </c>
      <c r="E1970" s="25" t="str">
        <f aca="false">IF(D1970="","",IFERROR(INDEX(Empresas!$C:$C,MATCH(D1970,Empresas!$B:$B,0)),"cadastre o CNPJ em Empresas"))</f>
        <v/>
      </c>
      <c r="F1970" s="23"/>
      <c r="G1970" s="35"/>
      <c r="H1970" s="24"/>
      <c r="I1970" s="11"/>
      <c r="J1970" s="27" t="str">
        <f aca="false">IF(A1970="","",YEAR(A1970))</f>
        <v/>
      </c>
      <c r="K1970" s="24"/>
      <c r="L1970" s="11"/>
    </row>
    <row r="1971" customFormat="false" ht="15" hidden="false" customHeight="false" outlineLevel="0" collapsed="false">
      <c r="A1971" s="22"/>
      <c r="B1971" s="11"/>
      <c r="C1971" s="24"/>
      <c r="D1971" s="31" t="str">
        <f aca="false">IF(C1971="","",IF(LEN(UPPER(SUBSTITUTE(SUBSTITUTE(SUBSTITUTE(SUBSTITUTE(TRIM(C1971),".",""),"/",""),"-","")," ","")))&lt;14,RIGHT(REPT("0",14)&amp;UPPER(SUBSTITUTE(SUBSTITUTE(SUBSTITUTE(SUBSTITUTE(TRIM(C1971),".",""),"/",""),"-","")," ","")),14),UPPER(SUBSTITUTE(SUBSTITUTE(SUBSTITUTE(SUBSTITUTE(TRIM(C1971),".",""),"/",""),"-","")," ",""))))</f>
        <v/>
      </c>
      <c r="E1971" s="25" t="str">
        <f aca="false">IF(D1971="","",IFERROR(INDEX(Empresas!$C:$C,MATCH(D1971,Empresas!$B:$B,0)),"cadastre o CNPJ em Empresas"))</f>
        <v/>
      </c>
      <c r="F1971" s="23"/>
      <c r="G1971" s="35"/>
      <c r="H1971" s="24"/>
      <c r="I1971" s="11"/>
      <c r="J1971" s="27" t="str">
        <f aca="false">IF(A1971="","",YEAR(A1971))</f>
        <v/>
      </c>
      <c r="K1971" s="24"/>
      <c r="L1971" s="11"/>
    </row>
    <row r="1972" customFormat="false" ht="15" hidden="false" customHeight="false" outlineLevel="0" collapsed="false">
      <c r="A1972" s="22"/>
      <c r="B1972" s="11"/>
      <c r="C1972" s="24"/>
      <c r="D1972" s="31" t="str">
        <f aca="false">IF(C1972="","",IF(LEN(UPPER(SUBSTITUTE(SUBSTITUTE(SUBSTITUTE(SUBSTITUTE(TRIM(C1972),".",""),"/",""),"-","")," ","")))&lt;14,RIGHT(REPT("0",14)&amp;UPPER(SUBSTITUTE(SUBSTITUTE(SUBSTITUTE(SUBSTITUTE(TRIM(C1972),".",""),"/",""),"-","")," ","")),14),UPPER(SUBSTITUTE(SUBSTITUTE(SUBSTITUTE(SUBSTITUTE(TRIM(C1972),".",""),"/",""),"-","")," ",""))))</f>
        <v/>
      </c>
      <c r="E1972" s="25" t="str">
        <f aca="false">IF(D1972="","",IFERROR(INDEX(Empresas!$C:$C,MATCH(D1972,Empresas!$B:$B,0)),"cadastre o CNPJ em Empresas"))</f>
        <v/>
      </c>
      <c r="F1972" s="23"/>
      <c r="G1972" s="35"/>
      <c r="H1972" s="24"/>
      <c r="I1972" s="11"/>
      <c r="J1972" s="27" t="str">
        <f aca="false">IF(A1972="","",YEAR(A1972))</f>
        <v/>
      </c>
      <c r="K1972" s="24"/>
      <c r="L1972" s="11"/>
    </row>
    <row r="1973" customFormat="false" ht="15" hidden="false" customHeight="false" outlineLevel="0" collapsed="false">
      <c r="A1973" s="22"/>
      <c r="B1973" s="11"/>
      <c r="C1973" s="24"/>
      <c r="D1973" s="31" t="str">
        <f aca="false">IF(C1973="","",IF(LEN(UPPER(SUBSTITUTE(SUBSTITUTE(SUBSTITUTE(SUBSTITUTE(TRIM(C1973),".",""),"/",""),"-","")," ","")))&lt;14,RIGHT(REPT("0",14)&amp;UPPER(SUBSTITUTE(SUBSTITUTE(SUBSTITUTE(SUBSTITUTE(TRIM(C1973),".",""),"/",""),"-","")," ","")),14),UPPER(SUBSTITUTE(SUBSTITUTE(SUBSTITUTE(SUBSTITUTE(TRIM(C1973),".",""),"/",""),"-","")," ",""))))</f>
        <v/>
      </c>
      <c r="E1973" s="25" t="str">
        <f aca="false">IF(D1973="","",IFERROR(INDEX(Empresas!$C:$C,MATCH(D1973,Empresas!$B:$B,0)),"cadastre o CNPJ em Empresas"))</f>
        <v/>
      </c>
      <c r="F1973" s="23"/>
      <c r="G1973" s="35"/>
      <c r="H1973" s="24"/>
      <c r="I1973" s="11"/>
      <c r="J1973" s="27" t="str">
        <f aca="false">IF(A1973="","",YEAR(A1973))</f>
        <v/>
      </c>
      <c r="K1973" s="24"/>
      <c r="L1973" s="11"/>
    </row>
    <row r="1974" customFormat="false" ht="15" hidden="false" customHeight="false" outlineLevel="0" collapsed="false">
      <c r="A1974" s="22"/>
      <c r="B1974" s="11"/>
      <c r="C1974" s="24"/>
      <c r="D1974" s="31" t="str">
        <f aca="false">IF(C1974="","",IF(LEN(UPPER(SUBSTITUTE(SUBSTITUTE(SUBSTITUTE(SUBSTITUTE(TRIM(C1974),".",""),"/",""),"-","")," ","")))&lt;14,RIGHT(REPT("0",14)&amp;UPPER(SUBSTITUTE(SUBSTITUTE(SUBSTITUTE(SUBSTITUTE(TRIM(C1974),".",""),"/",""),"-","")," ","")),14),UPPER(SUBSTITUTE(SUBSTITUTE(SUBSTITUTE(SUBSTITUTE(TRIM(C1974),".",""),"/",""),"-","")," ",""))))</f>
        <v/>
      </c>
      <c r="E1974" s="25" t="str">
        <f aca="false">IF(D1974="","",IFERROR(INDEX(Empresas!$C:$C,MATCH(D1974,Empresas!$B:$B,0)),"cadastre o CNPJ em Empresas"))</f>
        <v/>
      </c>
      <c r="F1974" s="23"/>
      <c r="G1974" s="35"/>
      <c r="H1974" s="24"/>
      <c r="I1974" s="11"/>
      <c r="J1974" s="27" t="str">
        <f aca="false">IF(A1974="","",YEAR(A1974))</f>
        <v/>
      </c>
      <c r="K1974" s="24"/>
      <c r="L1974" s="11"/>
    </row>
    <row r="1975" customFormat="false" ht="15" hidden="false" customHeight="false" outlineLevel="0" collapsed="false">
      <c r="A1975" s="22"/>
      <c r="B1975" s="11"/>
      <c r="C1975" s="24"/>
      <c r="D1975" s="31" t="str">
        <f aca="false">IF(C1975="","",IF(LEN(UPPER(SUBSTITUTE(SUBSTITUTE(SUBSTITUTE(SUBSTITUTE(TRIM(C1975),".",""),"/",""),"-","")," ","")))&lt;14,RIGHT(REPT("0",14)&amp;UPPER(SUBSTITUTE(SUBSTITUTE(SUBSTITUTE(SUBSTITUTE(TRIM(C1975),".",""),"/",""),"-","")," ","")),14),UPPER(SUBSTITUTE(SUBSTITUTE(SUBSTITUTE(SUBSTITUTE(TRIM(C1975),".",""),"/",""),"-","")," ",""))))</f>
        <v/>
      </c>
      <c r="E1975" s="25" t="str">
        <f aca="false">IF(D1975="","",IFERROR(INDEX(Empresas!$C:$C,MATCH(D1975,Empresas!$B:$B,0)),"cadastre o CNPJ em Empresas"))</f>
        <v/>
      </c>
      <c r="F1975" s="23"/>
      <c r="G1975" s="35"/>
      <c r="H1975" s="24"/>
      <c r="I1975" s="11"/>
      <c r="J1975" s="27" t="str">
        <f aca="false">IF(A1975="","",YEAR(A1975))</f>
        <v/>
      </c>
      <c r="K1975" s="24"/>
      <c r="L1975" s="11"/>
    </row>
    <row r="1976" customFormat="false" ht="15" hidden="false" customHeight="false" outlineLevel="0" collapsed="false">
      <c r="A1976" s="22"/>
      <c r="B1976" s="11"/>
      <c r="C1976" s="24"/>
      <c r="D1976" s="31" t="str">
        <f aca="false">IF(C1976="","",IF(LEN(UPPER(SUBSTITUTE(SUBSTITUTE(SUBSTITUTE(SUBSTITUTE(TRIM(C1976),".",""),"/",""),"-","")," ","")))&lt;14,RIGHT(REPT("0",14)&amp;UPPER(SUBSTITUTE(SUBSTITUTE(SUBSTITUTE(SUBSTITUTE(TRIM(C1976),".",""),"/",""),"-","")," ","")),14),UPPER(SUBSTITUTE(SUBSTITUTE(SUBSTITUTE(SUBSTITUTE(TRIM(C1976),".",""),"/",""),"-","")," ",""))))</f>
        <v/>
      </c>
      <c r="E1976" s="25" t="str">
        <f aca="false">IF(D1976="","",IFERROR(INDEX(Empresas!$C:$C,MATCH(D1976,Empresas!$B:$B,0)),"cadastre o CNPJ em Empresas"))</f>
        <v/>
      </c>
      <c r="F1976" s="23"/>
      <c r="G1976" s="35"/>
      <c r="H1976" s="24"/>
      <c r="I1976" s="11"/>
      <c r="J1976" s="27" t="str">
        <f aca="false">IF(A1976="","",YEAR(A1976))</f>
        <v/>
      </c>
      <c r="K1976" s="24"/>
      <c r="L1976" s="11"/>
    </row>
    <row r="1977" customFormat="false" ht="15" hidden="false" customHeight="false" outlineLevel="0" collapsed="false">
      <c r="A1977" s="22"/>
      <c r="B1977" s="11"/>
      <c r="C1977" s="24"/>
      <c r="D1977" s="31" t="str">
        <f aca="false">IF(C1977="","",IF(LEN(UPPER(SUBSTITUTE(SUBSTITUTE(SUBSTITUTE(SUBSTITUTE(TRIM(C1977),".",""),"/",""),"-","")," ","")))&lt;14,RIGHT(REPT("0",14)&amp;UPPER(SUBSTITUTE(SUBSTITUTE(SUBSTITUTE(SUBSTITUTE(TRIM(C1977),".",""),"/",""),"-","")," ","")),14),UPPER(SUBSTITUTE(SUBSTITUTE(SUBSTITUTE(SUBSTITUTE(TRIM(C1977),".",""),"/",""),"-","")," ",""))))</f>
        <v/>
      </c>
      <c r="E1977" s="25" t="str">
        <f aca="false">IF(D1977="","",IFERROR(INDEX(Empresas!$C:$C,MATCH(D1977,Empresas!$B:$B,0)),"cadastre o CNPJ em Empresas"))</f>
        <v/>
      </c>
      <c r="F1977" s="23"/>
      <c r="G1977" s="35"/>
      <c r="H1977" s="24"/>
      <c r="I1977" s="11"/>
      <c r="J1977" s="27" t="str">
        <f aca="false">IF(A1977="","",YEAR(A1977))</f>
        <v/>
      </c>
      <c r="K1977" s="24"/>
      <c r="L1977" s="11"/>
    </row>
    <row r="1978" customFormat="false" ht="15" hidden="false" customHeight="false" outlineLevel="0" collapsed="false">
      <c r="A1978" s="22"/>
      <c r="B1978" s="11"/>
      <c r="C1978" s="24"/>
      <c r="D1978" s="31" t="str">
        <f aca="false">IF(C1978="","",IF(LEN(UPPER(SUBSTITUTE(SUBSTITUTE(SUBSTITUTE(SUBSTITUTE(TRIM(C1978),".",""),"/",""),"-","")," ","")))&lt;14,RIGHT(REPT("0",14)&amp;UPPER(SUBSTITUTE(SUBSTITUTE(SUBSTITUTE(SUBSTITUTE(TRIM(C1978),".",""),"/",""),"-","")," ","")),14),UPPER(SUBSTITUTE(SUBSTITUTE(SUBSTITUTE(SUBSTITUTE(TRIM(C1978),".",""),"/",""),"-","")," ",""))))</f>
        <v/>
      </c>
      <c r="E1978" s="25" t="str">
        <f aca="false">IF(D1978="","",IFERROR(INDEX(Empresas!$C:$C,MATCH(D1978,Empresas!$B:$B,0)),"cadastre o CNPJ em Empresas"))</f>
        <v/>
      </c>
      <c r="F1978" s="23"/>
      <c r="G1978" s="35"/>
      <c r="H1978" s="24"/>
      <c r="I1978" s="11"/>
      <c r="J1978" s="27" t="str">
        <f aca="false">IF(A1978="","",YEAR(A1978))</f>
        <v/>
      </c>
      <c r="K1978" s="24"/>
      <c r="L1978" s="11"/>
    </row>
    <row r="1979" customFormat="false" ht="15" hidden="false" customHeight="false" outlineLevel="0" collapsed="false">
      <c r="A1979" s="22"/>
      <c r="B1979" s="11"/>
      <c r="C1979" s="24"/>
      <c r="D1979" s="31" t="str">
        <f aca="false">IF(C1979="","",IF(LEN(UPPER(SUBSTITUTE(SUBSTITUTE(SUBSTITUTE(SUBSTITUTE(TRIM(C1979),".",""),"/",""),"-","")," ","")))&lt;14,RIGHT(REPT("0",14)&amp;UPPER(SUBSTITUTE(SUBSTITUTE(SUBSTITUTE(SUBSTITUTE(TRIM(C1979),".",""),"/",""),"-","")," ","")),14),UPPER(SUBSTITUTE(SUBSTITUTE(SUBSTITUTE(SUBSTITUTE(TRIM(C1979),".",""),"/",""),"-","")," ",""))))</f>
        <v/>
      </c>
      <c r="E1979" s="25" t="str">
        <f aca="false">IF(D1979="","",IFERROR(INDEX(Empresas!$C:$C,MATCH(D1979,Empresas!$B:$B,0)),"cadastre o CNPJ em Empresas"))</f>
        <v/>
      </c>
      <c r="F1979" s="23"/>
      <c r="G1979" s="35"/>
      <c r="H1979" s="24"/>
      <c r="I1979" s="11"/>
      <c r="J1979" s="27" t="str">
        <f aca="false">IF(A1979="","",YEAR(A1979))</f>
        <v/>
      </c>
      <c r="K1979" s="24"/>
      <c r="L1979" s="11"/>
    </row>
    <row r="1980" customFormat="false" ht="15" hidden="false" customHeight="false" outlineLevel="0" collapsed="false">
      <c r="A1980" s="22"/>
      <c r="B1980" s="11"/>
      <c r="C1980" s="24"/>
      <c r="D1980" s="31" t="str">
        <f aca="false">IF(C1980="","",IF(LEN(UPPER(SUBSTITUTE(SUBSTITUTE(SUBSTITUTE(SUBSTITUTE(TRIM(C1980),".",""),"/",""),"-","")," ","")))&lt;14,RIGHT(REPT("0",14)&amp;UPPER(SUBSTITUTE(SUBSTITUTE(SUBSTITUTE(SUBSTITUTE(TRIM(C1980),".",""),"/",""),"-","")," ","")),14),UPPER(SUBSTITUTE(SUBSTITUTE(SUBSTITUTE(SUBSTITUTE(TRIM(C1980),".",""),"/",""),"-","")," ",""))))</f>
        <v/>
      </c>
      <c r="E1980" s="25" t="str">
        <f aca="false">IF(D1980="","",IFERROR(INDEX(Empresas!$C:$C,MATCH(D1980,Empresas!$B:$B,0)),"cadastre o CNPJ em Empresas"))</f>
        <v/>
      </c>
      <c r="F1980" s="23"/>
      <c r="G1980" s="35"/>
      <c r="H1980" s="24"/>
      <c r="I1980" s="11"/>
      <c r="J1980" s="27" t="str">
        <f aca="false">IF(A1980="","",YEAR(A1980))</f>
        <v/>
      </c>
      <c r="K1980" s="24"/>
      <c r="L1980" s="11"/>
    </row>
    <row r="1981" customFormat="false" ht="15" hidden="false" customHeight="false" outlineLevel="0" collapsed="false">
      <c r="A1981" s="22"/>
      <c r="B1981" s="11"/>
      <c r="C1981" s="24"/>
      <c r="D1981" s="31" t="str">
        <f aca="false">IF(C1981="","",IF(LEN(UPPER(SUBSTITUTE(SUBSTITUTE(SUBSTITUTE(SUBSTITUTE(TRIM(C1981),".",""),"/",""),"-","")," ","")))&lt;14,RIGHT(REPT("0",14)&amp;UPPER(SUBSTITUTE(SUBSTITUTE(SUBSTITUTE(SUBSTITUTE(TRIM(C1981),".",""),"/",""),"-","")," ","")),14),UPPER(SUBSTITUTE(SUBSTITUTE(SUBSTITUTE(SUBSTITUTE(TRIM(C1981),".",""),"/",""),"-","")," ",""))))</f>
        <v/>
      </c>
      <c r="E1981" s="25" t="str">
        <f aca="false">IF(D1981="","",IFERROR(INDEX(Empresas!$C:$C,MATCH(D1981,Empresas!$B:$B,0)),"cadastre o CNPJ em Empresas"))</f>
        <v/>
      </c>
      <c r="F1981" s="23"/>
      <c r="G1981" s="35"/>
      <c r="H1981" s="24"/>
      <c r="I1981" s="11"/>
      <c r="J1981" s="27" t="str">
        <f aca="false">IF(A1981="","",YEAR(A1981))</f>
        <v/>
      </c>
      <c r="K1981" s="24"/>
      <c r="L1981" s="11"/>
    </row>
    <row r="1982" customFormat="false" ht="15" hidden="false" customHeight="false" outlineLevel="0" collapsed="false">
      <c r="A1982" s="22"/>
      <c r="B1982" s="11"/>
      <c r="C1982" s="24"/>
      <c r="D1982" s="31" t="str">
        <f aca="false">IF(C1982="","",IF(LEN(UPPER(SUBSTITUTE(SUBSTITUTE(SUBSTITUTE(SUBSTITUTE(TRIM(C1982),".",""),"/",""),"-","")," ","")))&lt;14,RIGHT(REPT("0",14)&amp;UPPER(SUBSTITUTE(SUBSTITUTE(SUBSTITUTE(SUBSTITUTE(TRIM(C1982),".",""),"/",""),"-","")," ","")),14),UPPER(SUBSTITUTE(SUBSTITUTE(SUBSTITUTE(SUBSTITUTE(TRIM(C1982),".",""),"/",""),"-","")," ",""))))</f>
        <v/>
      </c>
      <c r="E1982" s="25" t="str">
        <f aca="false">IF(D1982="","",IFERROR(INDEX(Empresas!$C:$C,MATCH(D1982,Empresas!$B:$B,0)),"cadastre o CNPJ em Empresas"))</f>
        <v/>
      </c>
      <c r="F1982" s="23"/>
      <c r="G1982" s="35"/>
      <c r="H1982" s="24"/>
      <c r="I1982" s="11"/>
      <c r="J1982" s="27" t="str">
        <f aca="false">IF(A1982="","",YEAR(A1982))</f>
        <v/>
      </c>
      <c r="K1982" s="24"/>
      <c r="L1982" s="11"/>
    </row>
    <row r="1983" customFormat="false" ht="15" hidden="false" customHeight="false" outlineLevel="0" collapsed="false">
      <c r="A1983" s="22"/>
      <c r="B1983" s="11"/>
      <c r="C1983" s="24"/>
      <c r="D1983" s="31" t="str">
        <f aca="false">IF(C1983="","",IF(LEN(UPPER(SUBSTITUTE(SUBSTITUTE(SUBSTITUTE(SUBSTITUTE(TRIM(C1983),".",""),"/",""),"-","")," ","")))&lt;14,RIGHT(REPT("0",14)&amp;UPPER(SUBSTITUTE(SUBSTITUTE(SUBSTITUTE(SUBSTITUTE(TRIM(C1983),".",""),"/",""),"-","")," ","")),14),UPPER(SUBSTITUTE(SUBSTITUTE(SUBSTITUTE(SUBSTITUTE(TRIM(C1983),".",""),"/",""),"-","")," ",""))))</f>
        <v/>
      </c>
      <c r="E1983" s="25" t="str">
        <f aca="false">IF(D1983="","",IFERROR(INDEX(Empresas!$C:$C,MATCH(D1983,Empresas!$B:$B,0)),"cadastre o CNPJ em Empresas"))</f>
        <v/>
      </c>
      <c r="F1983" s="23"/>
      <c r="G1983" s="35"/>
      <c r="H1983" s="24"/>
      <c r="I1983" s="11"/>
      <c r="J1983" s="27" t="str">
        <f aca="false">IF(A1983="","",YEAR(A1983))</f>
        <v/>
      </c>
      <c r="K1983" s="24"/>
      <c r="L1983" s="11"/>
    </row>
    <row r="1984" customFormat="false" ht="15" hidden="false" customHeight="false" outlineLevel="0" collapsed="false">
      <c r="A1984" s="22"/>
      <c r="B1984" s="11"/>
      <c r="C1984" s="24"/>
      <c r="D1984" s="31" t="str">
        <f aca="false">IF(C1984="","",IF(LEN(UPPER(SUBSTITUTE(SUBSTITUTE(SUBSTITUTE(SUBSTITUTE(TRIM(C1984),".",""),"/",""),"-","")," ","")))&lt;14,RIGHT(REPT("0",14)&amp;UPPER(SUBSTITUTE(SUBSTITUTE(SUBSTITUTE(SUBSTITUTE(TRIM(C1984),".",""),"/",""),"-","")," ","")),14),UPPER(SUBSTITUTE(SUBSTITUTE(SUBSTITUTE(SUBSTITUTE(TRIM(C1984),".",""),"/",""),"-","")," ",""))))</f>
        <v/>
      </c>
      <c r="E1984" s="25" t="str">
        <f aca="false">IF(D1984="","",IFERROR(INDEX(Empresas!$C:$C,MATCH(D1984,Empresas!$B:$B,0)),"cadastre o CNPJ em Empresas"))</f>
        <v/>
      </c>
      <c r="F1984" s="23"/>
      <c r="G1984" s="35"/>
      <c r="H1984" s="24"/>
      <c r="I1984" s="11"/>
      <c r="J1984" s="27" t="str">
        <f aca="false">IF(A1984="","",YEAR(A1984))</f>
        <v/>
      </c>
      <c r="K1984" s="24"/>
      <c r="L1984" s="11"/>
    </row>
    <row r="1985" customFormat="false" ht="15" hidden="false" customHeight="false" outlineLevel="0" collapsed="false">
      <c r="A1985" s="22"/>
      <c r="B1985" s="11"/>
      <c r="C1985" s="24"/>
      <c r="D1985" s="31" t="str">
        <f aca="false">IF(C1985="","",IF(LEN(UPPER(SUBSTITUTE(SUBSTITUTE(SUBSTITUTE(SUBSTITUTE(TRIM(C1985),".",""),"/",""),"-","")," ","")))&lt;14,RIGHT(REPT("0",14)&amp;UPPER(SUBSTITUTE(SUBSTITUTE(SUBSTITUTE(SUBSTITUTE(TRIM(C1985),".",""),"/",""),"-","")," ","")),14),UPPER(SUBSTITUTE(SUBSTITUTE(SUBSTITUTE(SUBSTITUTE(TRIM(C1985),".",""),"/",""),"-","")," ",""))))</f>
        <v/>
      </c>
      <c r="E1985" s="25" t="str">
        <f aca="false">IF(D1985="","",IFERROR(INDEX(Empresas!$C:$C,MATCH(D1985,Empresas!$B:$B,0)),"cadastre o CNPJ em Empresas"))</f>
        <v/>
      </c>
      <c r="F1985" s="23"/>
      <c r="G1985" s="35"/>
      <c r="H1985" s="24"/>
      <c r="I1985" s="11"/>
      <c r="J1985" s="27" t="str">
        <f aca="false">IF(A1985="","",YEAR(A1985))</f>
        <v/>
      </c>
      <c r="K1985" s="24"/>
      <c r="L1985" s="11"/>
    </row>
    <row r="1986" customFormat="false" ht="15" hidden="false" customHeight="false" outlineLevel="0" collapsed="false">
      <c r="A1986" s="22"/>
      <c r="B1986" s="11"/>
      <c r="C1986" s="24"/>
      <c r="D1986" s="31" t="str">
        <f aca="false">IF(C1986="","",IF(LEN(UPPER(SUBSTITUTE(SUBSTITUTE(SUBSTITUTE(SUBSTITUTE(TRIM(C1986),".",""),"/",""),"-","")," ","")))&lt;14,RIGHT(REPT("0",14)&amp;UPPER(SUBSTITUTE(SUBSTITUTE(SUBSTITUTE(SUBSTITUTE(TRIM(C1986),".",""),"/",""),"-","")," ","")),14),UPPER(SUBSTITUTE(SUBSTITUTE(SUBSTITUTE(SUBSTITUTE(TRIM(C1986),".",""),"/",""),"-","")," ",""))))</f>
        <v/>
      </c>
      <c r="E1986" s="25" t="str">
        <f aca="false">IF(D1986="","",IFERROR(INDEX(Empresas!$C:$C,MATCH(D1986,Empresas!$B:$B,0)),"cadastre o CNPJ em Empresas"))</f>
        <v/>
      </c>
      <c r="F1986" s="23"/>
      <c r="G1986" s="35"/>
      <c r="H1986" s="24"/>
      <c r="I1986" s="11"/>
      <c r="J1986" s="27" t="str">
        <f aca="false">IF(A1986="","",YEAR(A1986))</f>
        <v/>
      </c>
      <c r="K1986" s="24"/>
      <c r="L1986" s="11"/>
    </row>
    <row r="1987" customFormat="false" ht="15" hidden="false" customHeight="false" outlineLevel="0" collapsed="false">
      <c r="A1987" s="22"/>
      <c r="B1987" s="11"/>
      <c r="C1987" s="24"/>
      <c r="D1987" s="31" t="str">
        <f aca="false">IF(C1987="","",IF(LEN(UPPER(SUBSTITUTE(SUBSTITUTE(SUBSTITUTE(SUBSTITUTE(TRIM(C1987),".",""),"/",""),"-","")," ","")))&lt;14,RIGHT(REPT("0",14)&amp;UPPER(SUBSTITUTE(SUBSTITUTE(SUBSTITUTE(SUBSTITUTE(TRIM(C1987),".",""),"/",""),"-","")," ","")),14),UPPER(SUBSTITUTE(SUBSTITUTE(SUBSTITUTE(SUBSTITUTE(TRIM(C1987),".",""),"/",""),"-","")," ",""))))</f>
        <v/>
      </c>
      <c r="E1987" s="25" t="str">
        <f aca="false">IF(D1987="","",IFERROR(INDEX(Empresas!$C:$C,MATCH(D1987,Empresas!$B:$B,0)),"cadastre o CNPJ em Empresas"))</f>
        <v/>
      </c>
      <c r="F1987" s="23"/>
      <c r="G1987" s="35"/>
      <c r="H1987" s="24"/>
      <c r="I1987" s="11"/>
      <c r="J1987" s="27" t="str">
        <f aca="false">IF(A1987="","",YEAR(A1987))</f>
        <v/>
      </c>
      <c r="K1987" s="24"/>
      <c r="L1987" s="11"/>
    </row>
    <row r="1988" customFormat="false" ht="15" hidden="false" customHeight="false" outlineLevel="0" collapsed="false">
      <c r="A1988" s="22"/>
      <c r="B1988" s="11"/>
      <c r="C1988" s="24"/>
      <c r="D1988" s="31" t="str">
        <f aca="false">IF(C1988="","",IF(LEN(UPPER(SUBSTITUTE(SUBSTITUTE(SUBSTITUTE(SUBSTITUTE(TRIM(C1988),".",""),"/",""),"-","")," ","")))&lt;14,RIGHT(REPT("0",14)&amp;UPPER(SUBSTITUTE(SUBSTITUTE(SUBSTITUTE(SUBSTITUTE(TRIM(C1988),".",""),"/",""),"-","")," ","")),14),UPPER(SUBSTITUTE(SUBSTITUTE(SUBSTITUTE(SUBSTITUTE(TRIM(C1988),".",""),"/",""),"-","")," ",""))))</f>
        <v/>
      </c>
      <c r="E1988" s="25" t="str">
        <f aca="false">IF(D1988="","",IFERROR(INDEX(Empresas!$C:$C,MATCH(D1988,Empresas!$B:$B,0)),"cadastre o CNPJ em Empresas"))</f>
        <v/>
      </c>
      <c r="F1988" s="23"/>
      <c r="G1988" s="35"/>
      <c r="H1988" s="24"/>
      <c r="I1988" s="11"/>
      <c r="J1988" s="27" t="str">
        <f aca="false">IF(A1988="","",YEAR(A1988))</f>
        <v/>
      </c>
      <c r="K1988" s="24"/>
      <c r="L1988" s="11"/>
    </row>
    <row r="1989" customFormat="false" ht="15" hidden="false" customHeight="false" outlineLevel="0" collapsed="false">
      <c r="A1989" s="22"/>
      <c r="B1989" s="11"/>
      <c r="C1989" s="24"/>
      <c r="D1989" s="31" t="str">
        <f aca="false">IF(C1989="","",IF(LEN(UPPER(SUBSTITUTE(SUBSTITUTE(SUBSTITUTE(SUBSTITUTE(TRIM(C1989),".",""),"/",""),"-","")," ","")))&lt;14,RIGHT(REPT("0",14)&amp;UPPER(SUBSTITUTE(SUBSTITUTE(SUBSTITUTE(SUBSTITUTE(TRIM(C1989),".",""),"/",""),"-","")," ","")),14),UPPER(SUBSTITUTE(SUBSTITUTE(SUBSTITUTE(SUBSTITUTE(TRIM(C1989),".",""),"/",""),"-","")," ",""))))</f>
        <v/>
      </c>
      <c r="E1989" s="25" t="str">
        <f aca="false">IF(D1989="","",IFERROR(INDEX(Empresas!$C:$C,MATCH(D1989,Empresas!$B:$B,0)),"cadastre o CNPJ em Empresas"))</f>
        <v/>
      </c>
      <c r="F1989" s="23"/>
      <c r="G1989" s="35"/>
      <c r="H1989" s="24"/>
      <c r="I1989" s="11"/>
      <c r="J1989" s="27" t="str">
        <f aca="false">IF(A1989="","",YEAR(A1989))</f>
        <v/>
      </c>
      <c r="K1989" s="24"/>
      <c r="L1989" s="11"/>
    </row>
    <row r="1990" customFormat="false" ht="15" hidden="false" customHeight="false" outlineLevel="0" collapsed="false">
      <c r="A1990" s="22"/>
      <c r="B1990" s="11"/>
      <c r="C1990" s="24"/>
      <c r="D1990" s="31" t="str">
        <f aca="false">IF(C1990="","",IF(LEN(UPPER(SUBSTITUTE(SUBSTITUTE(SUBSTITUTE(SUBSTITUTE(TRIM(C1990),".",""),"/",""),"-","")," ","")))&lt;14,RIGHT(REPT("0",14)&amp;UPPER(SUBSTITUTE(SUBSTITUTE(SUBSTITUTE(SUBSTITUTE(TRIM(C1990),".",""),"/",""),"-","")," ","")),14),UPPER(SUBSTITUTE(SUBSTITUTE(SUBSTITUTE(SUBSTITUTE(TRIM(C1990),".",""),"/",""),"-","")," ",""))))</f>
        <v/>
      </c>
      <c r="E1990" s="25" t="str">
        <f aca="false">IF(D1990="","",IFERROR(INDEX(Empresas!$C:$C,MATCH(D1990,Empresas!$B:$B,0)),"cadastre o CNPJ em Empresas"))</f>
        <v/>
      </c>
      <c r="F1990" s="23"/>
      <c r="G1990" s="35"/>
      <c r="H1990" s="24"/>
      <c r="I1990" s="11"/>
      <c r="J1990" s="27" t="str">
        <f aca="false">IF(A1990="","",YEAR(A1990))</f>
        <v/>
      </c>
      <c r="K1990" s="24"/>
      <c r="L1990" s="11"/>
    </row>
    <row r="1991" customFormat="false" ht="15" hidden="false" customHeight="false" outlineLevel="0" collapsed="false">
      <c r="A1991" s="22"/>
      <c r="B1991" s="11"/>
      <c r="C1991" s="24"/>
      <c r="D1991" s="31" t="str">
        <f aca="false">IF(C1991="","",IF(LEN(UPPER(SUBSTITUTE(SUBSTITUTE(SUBSTITUTE(SUBSTITUTE(TRIM(C1991),".",""),"/",""),"-","")," ","")))&lt;14,RIGHT(REPT("0",14)&amp;UPPER(SUBSTITUTE(SUBSTITUTE(SUBSTITUTE(SUBSTITUTE(TRIM(C1991),".",""),"/",""),"-","")," ","")),14),UPPER(SUBSTITUTE(SUBSTITUTE(SUBSTITUTE(SUBSTITUTE(TRIM(C1991),".",""),"/",""),"-","")," ",""))))</f>
        <v/>
      </c>
      <c r="E1991" s="25" t="str">
        <f aca="false">IF(D1991="","",IFERROR(INDEX(Empresas!$C:$C,MATCH(D1991,Empresas!$B:$B,0)),"cadastre o CNPJ em Empresas"))</f>
        <v/>
      </c>
      <c r="F1991" s="23"/>
      <c r="G1991" s="35"/>
      <c r="H1991" s="24"/>
      <c r="I1991" s="11"/>
      <c r="J1991" s="27" t="str">
        <f aca="false">IF(A1991="","",YEAR(A1991))</f>
        <v/>
      </c>
      <c r="K1991" s="24"/>
      <c r="L1991" s="11"/>
    </row>
    <row r="1992" customFormat="false" ht="15" hidden="false" customHeight="false" outlineLevel="0" collapsed="false">
      <c r="A1992" s="22"/>
      <c r="B1992" s="11"/>
      <c r="C1992" s="24"/>
      <c r="D1992" s="31" t="str">
        <f aca="false">IF(C1992="","",IF(LEN(UPPER(SUBSTITUTE(SUBSTITUTE(SUBSTITUTE(SUBSTITUTE(TRIM(C1992),".",""),"/",""),"-","")," ","")))&lt;14,RIGHT(REPT("0",14)&amp;UPPER(SUBSTITUTE(SUBSTITUTE(SUBSTITUTE(SUBSTITUTE(TRIM(C1992),".",""),"/",""),"-","")," ","")),14),UPPER(SUBSTITUTE(SUBSTITUTE(SUBSTITUTE(SUBSTITUTE(TRIM(C1992),".",""),"/",""),"-","")," ",""))))</f>
        <v/>
      </c>
      <c r="E1992" s="25" t="str">
        <f aca="false">IF(D1992="","",IFERROR(INDEX(Empresas!$C:$C,MATCH(D1992,Empresas!$B:$B,0)),"cadastre o CNPJ em Empresas"))</f>
        <v/>
      </c>
      <c r="F1992" s="23"/>
      <c r="G1992" s="35"/>
      <c r="H1992" s="24"/>
      <c r="I1992" s="11"/>
      <c r="J1992" s="27" t="str">
        <f aca="false">IF(A1992="","",YEAR(A1992))</f>
        <v/>
      </c>
      <c r="K1992" s="24"/>
      <c r="L1992" s="11"/>
    </row>
    <row r="1993" customFormat="false" ht="15" hidden="false" customHeight="false" outlineLevel="0" collapsed="false">
      <c r="A1993" s="22"/>
      <c r="B1993" s="11"/>
      <c r="C1993" s="24"/>
      <c r="D1993" s="31" t="str">
        <f aca="false">IF(C1993="","",IF(LEN(UPPER(SUBSTITUTE(SUBSTITUTE(SUBSTITUTE(SUBSTITUTE(TRIM(C1993),".",""),"/",""),"-","")," ","")))&lt;14,RIGHT(REPT("0",14)&amp;UPPER(SUBSTITUTE(SUBSTITUTE(SUBSTITUTE(SUBSTITUTE(TRIM(C1993),".",""),"/",""),"-","")," ","")),14),UPPER(SUBSTITUTE(SUBSTITUTE(SUBSTITUTE(SUBSTITUTE(TRIM(C1993),".",""),"/",""),"-","")," ",""))))</f>
        <v/>
      </c>
      <c r="E1993" s="25" t="str">
        <f aca="false">IF(D1993="","",IFERROR(INDEX(Empresas!$C:$C,MATCH(D1993,Empresas!$B:$B,0)),"cadastre o CNPJ em Empresas"))</f>
        <v/>
      </c>
      <c r="F1993" s="23"/>
      <c r="G1993" s="35"/>
      <c r="H1993" s="24"/>
      <c r="I1993" s="11"/>
      <c r="J1993" s="27" t="str">
        <f aca="false">IF(A1993="","",YEAR(A1993))</f>
        <v/>
      </c>
      <c r="K1993" s="24"/>
      <c r="L1993" s="11"/>
    </row>
    <row r="1994" customFormat="false" ht="15" hidden="false" customHeight="false" outlineLevel="0" collapsed="false">
      <c r="A1994" s="22"/>
      <c r="B1994" s="11"/>
      <c r="C1994" s="24"/>
      <c r="D1994" s="31" t="str">
        <f aca="false">IF(C1994="","",IF(LEN(UPPER(SUBSTITUTE(SUBSTITUTE(SUBSTITUTE(SUBSTITUTE(TRIM(C1994),".",""),"/",""),"-","")," ","")))&lt;14,RIGHT(REPT("0",14)&amp;UPPER(SUBSTITUTE(SUBSTITUTE(SUBSTITUTE(SUBSTITUTE(TRIM(C1994),".",""),"/",""),"-","")," ","")),14),UPPER(SUBSTITUTE(SUBSTITUTE(SUBSTITUTE(SUBSTITUTE(TRIM(C1994),".",""),"/",""),"-","")," ",""))))</f>
        <v/>
      </c>
      <c r="E1994" s="25" t="str">
        <f aca="false">IF(D1994="","",IFERROR(INDEX(Empresas!$C:$C,MATCH(D1994,Empresas!$B:$B,0)),"cadastre o CNPJ em Empresas"))</f>
        <v/>
      </c>
      <c r="F1994" s="23"/>
      <c r="G1994" s="35"/>
      <c r="H1994" s="24"/>
      <c r="I1994" s="11"/>
      <c r="J1994" s="27" t="str">
        <f aca="false">IF(A1994="","",YEAR(A1994))</f>
        <v/>
      </c>
      <c r="K1994" s="24"/>
      <c r="L1994" s="11"/>
    </row>
    <row r="1995" customFormat="false" ht="15" hidden="false" customHeight="false" outlineLevel="0" collapsed="false">
      <c r="A1995" s="22"/>
      <c r="B1995" s="11"/>
      <c r="C1995" s="24"/>
      <c r="D1995" s="31" t="str">
        <f aca="false">IF(C1995="","",IF(LEN(UPPER(SUBSTITUTE(SUBSTITUTE(SUBSTITUTE(SUBSTITUTE(TRIM(C1995),".",""),"/",""),"-","")," ","")))&lt;14,RIGHT(REPT("0",14)&amp;UPPER(SUBSTITUTE(SUBSTITUTE(SUBSTITUTE(SUBSTITUTE(TRIM(C1995),".",""),"/",""),"-","")," ","")),14),UPPER(SUBSTITUTE(SUBSTITUTE(SUBSTITUTE(SUBSTITUTE(TRIM(C1995),".",""),"/",""),"-","")," ",""))))</f>
        <v/>
      </c>
      <c r="E1995" s="25" t="str">
        <f aca="false">IF(D1995="","",IFERROR(INDEX(Empresas!$C:$C,MATCH(D1995,Empresas!$B:$B,0)),"cadastre o CNPJ em Empresas"))</f>
        <v/>
      </c>
      <c r="F1995" s="23"/>
      <c r="G1995" s="35"/>
      <c r="H1995" s="24"/>
      <c r="I1995" s="11"/>
      <c r="J1995" s="27" t="str">
        <f aca="false">IF(A1995="","",YEAR(A1995))</f>
        <v/>
      </c>
      <c r="K1995" s="24"/>
      <c r="L1995" s="11"/>
    </row>
    <row r="1996" customFormat="false" ht="15" hidden="false" customHeight="false" outlineLevel="0" collapsed="false">
      <c r="A1996" s="22"/>
      <c r="B1996" s="11"/>
      <c r="C1996" s="24"/>
      <c r="D1996" s="31" t="str">
        <f aca="false">IF(C1996="","",IF(LEN(UPPER(SUBSTITUTE(SUBSTITUTE(SUBSTITUTE(SUBSTITUTE(TRIM(C1996),".",""),"/",""),"-","")," ","")))&lt;14,RIGHT(REPT("0",14)&amp;UPPER(SUBSTITUTE(SUBSTITUTE(SUBSTITUTE(SUBSTITUTE(TRIM(C1996),".",""),"/",""),"-","")," ","")),14),UPPER(SUBSTITUTE(SUBSTITUTE(SUBSTITUTE(SUBSTITUTE(TRIM(C1996),".",""),"/",""),"-","")," ",""))))</f>
        <v/>
      </c>
      <c r="E1996" s="25" t="str">
        <f aca="false">IF(D1996="","",IFERROR(INDEX(Empresas!$C:$C,MATCH(D1996,Empresas!$B:$B,0)),"cadastre o CNPJ em Empresas"))</f>
        <v/>
      </c>
      <c r="F1996" s="23"/>
      <c r="G1996" s="35"/>
      <c r="H1996" s="24"/>
      <c r="I1996" s="11"/>
      <c r="J1996" s="27" t="str">
        <f aca="false">IF(A1996="","",YEAR(A1996))</f>
        <v/>
      </c>
      <c r="K1996" s="24"/>
      <c r="L1996" s="11"/>
    </row>
    <row r="1997" customFormat="false" ht="15" hidden="false" customHeight="false" outlineLevel="0" collapsed="false">
      <c r="A1997" s="22"/>
      <c r="B1997" s="11"/>
      <c r="C1997" s="24"/>
      <c r="D1997" s="31" t="str">
        <f aca="false">IF(C1997="","",IF(LEN(UPPER(SUBSTITUTE(SUBSTITUTE(SUBSTITUTE(SUBSTITUTE(TRIM(C1997),".",""),"/",""),"-","")," ","")))&lt;14,RIGHT(REPT("0",14)&amp;UPPER(SUBSTITUTE(SUBSTITUTE(SUBSTITUTE(SUBSTITUTE(TRIM(C1997),".",""),"/",""),"-","")," ","")),14),UPPER(SUBSTITUTE(SUBSTITUTE(SUBSTITUTE(SUBSTITUTE(TRIM(C1997),".",""),"/",""),"-","")," ",""))))</f>
        <v/>
      </c>
      <c r="E1997" s="25" t="str">
        <f aca="false">IF(D1997="","",IFERROR(INDEX(Empresas!$C:$C,MATCH(D1997,Empresas!$B:$B,0)),"cadastre o CNPJ em Empresas"))</f>
        <v/>
      </c>
      <c r="F1997" s="23"/>
      <c r="G1997" s="35"/>
      <c r="H1997" s="24"/>
      <c r="I1997" s="11"/>
      <c r="J1997" s="27" t="str">
        <f aca="false">IF(A1997="","",YEAR(A1997))</f>
        <v/>
      </c>
      <c r="K1997" s="24"/>
      <c r="L1997" s="11"/>
    </row>
    <row r="1998" customFormat="false" ht="15" hidden="false" customHeight="false" outlineLevel="0" collapsed="false">
      <c r="A1998" s="22"/>
      <c r="B1998" s="11"/>
      <c r="C1998" s="24"/>
      <c r="D1998" s="31" t="str">
        <f aca="false">IF(C1998="","",IF(LEN(UPPER(SUBSTITUTE(SUBSTITUTE(SUBSTITUTE(SUBSTITUTE(TRIM(C1998),".",""),"/",""),"-","")," ","")))&lt;14,RIGHT(REPT("0",14)&amp;UPPER(SUBSTITUTE(SUBSTITUTE(SUBSTITUTE(SUBSTITUTE(TRIM(C1998),".",""),"/",""),"-","")," ","")),14),UPPER(SUBSTITUTE(SUBSTITUTE(SUBSTITUTE(SUBSTITUTE(TRIM(C1998),".",""),"/",""),"-","")," ",""))))</f>
        <v/>
      </c>
      <c r="E1998" s="25" t="str">
        <f aca="false">IF(D1998="","",IFERROR(INDEX(Empresas!$C:$C,MATCH(D1998,Empresas!$B:$B,0)),"cadastre o CNPJ em Empresas"))</f>
        <v/>
      </c>
      <c r="F1998" s="23"/>
      <c r="G1998" s="35"/>
      <c r="H1998" s="24"/>
      <c r="I1998" s="11"/>
      <c r="J1998" s="27" t="str">
        <f aca="false">IF(A1998="","",YEAR(A1998))</f>
        <v/>
      </c>
      <c r="K1998" s="24"/>
      <c r="L1998" s="11"/>
    </row>
    <row r="1999" customFormat="false" ht="15" hidden="false" customHeight="false" outlineLevel="0" collapsed="false">
      <c r="A1999" s="22"/>
      <c r="B1999" s="11"/>
      <c r="C1999" s="24"/>
      <c r="D1999" s="31" t="str">
        <f aca="false">IF(C1999="","",IF(LEN(UPPER(SUBSTITUTE(SUBSTITUTE(SUBSTITUTE(SUBSTITUTE(TRIM(C1999),".",""),"/",""),"-","")," ","")))&lt;14,RIGHT(REPT("0",14)&amp;UPPER(SUBSTITUTE(SUBSTITUTE(SUBSTITUTE(SUBSTITUTE(TRIM(C1999),".",""),"/",""),"-","")," ","")),14),UPPER(SUBSTITUTE(SUBSTITUTE(SUBSTITUTE(SUBSTITUTE(TRIM(C1999),".",""),"/",""),"-","")," ",""))))</f>
        <v/>
      </c>
      <c r="E1999" s="25" t="str">
        <f aca="false">IF(D1999="","",IFERROR(INDEX(Empresas!$C:$C,MATCH(D1999,Empresas!$B:$B,0)),"cadastre o CNPJ em Empresas"))</f>
        <v/>
      </c>
      <c r="F1999" s="23"/>
      <c r="G1999" s="35"/>
      <c r="H1999" s="24"/>
      <c r="I1999" s="11"/>
      <c r="J1999" s="27" t="str">
        <f aca="false">IF(A1999="","",YEAR(A1999))</f>
        <v/>
      </c>
      <c r="K1999" s="24"/>
      <c r="L1999" s="11"/>
    </row>
    <row r="2000" customFormat="false" ht="15" hidden="false" customHeight="false" outlineLevel="0" collapsed="false">
      <c r="A2000" s="22"/>
      <c r="B2000" s="11"/>
      <c r="C2000" s="24"/>
      <c r="D2000" s="31" t="str">
        <f aca="false">IF(C2000="","",IF(LEN(UPPER(SUBSTITUTE(SUBSTITUTE(SUBSTITUTE(SUBSTITUTE(TRIM(C2000),".",""),"/",""),"-","")," ","")))&lt;14,RIGHT(REPT("0",14)&amp;UPPER(SUBSTITUTE(SUBSTITUTE(SUBSTITUTE(SUBSTITUTE(TRIM(C2000),".",""),"/",""),"-","")," ","")),14),UPPER(SUBSTITUTE(SUBSTITUTE(SUBSTITUTE(SUBSTITUTE(TRIM(C2000),".",""),"/",""),"-","")," ",""))))</f>
        <v/>
      </c>
      <c r="E2000" s="25" t="str">
        <f aca="false">IF(D2000="","",IFERROR(INDEX(Empresas!$C:$C,MATCH(D2000,Empresas!$B:$B,0)),"cadastre o CNPJ em Empresas"))</f>
        <v/>
      </c>
      <c r="F2000" s="23"/>
      <c r="G2000" s="35"/>
      <c r="H2000" s="24"/>
      <c r="I2000" s="11"/>
      <c r="J2000" s="27" t="str">
        <f aca="false">IF(A2000="","",YEAR(A2000))</f>
        <v/>
      </c>
      <c r="K2000" s="24"/>
      <c r="L2000" s="11"/>
    </row>
    <row r="2001" customFormat="false" ht="15" hidden="false" customHeight="false" outlineLevel="0" collapsed="false">
      <c r="A2001" s="22"/>
      <c r="B2001" s="11"/>
      <c r="C2001" s="24"/>
      <c r="D2001" s="31" t="str">
        <f aca="false">IF(C2001="","",IF(LEN(UPPER(SUBSTITUTE(SUBSTITUTE(SUBSTITUTE(SUBSTITUTE(TRIM(C2001),".",""),"/",""),"-","")," ","")))&lt;14,RIGHT(REPT("0",14)&amp;UPPER(SUBSTITUTE(SUBSTITUTE(SUBSTITUTE(SUBSTITUTE(TRIM(C2001),".",""),"/",""),"-","")," ","")),14),UPPER(SUBSTITUTE(SUBSTITUTE(SUBSTITUTE(SUBSTITUTE(TRIM(C2001),".",""),"/",""),"-","")," ",""))))</f>
        <v/>
      </c>
      <c r="E2001" s="25" t="str">
        <f aca="false">IF(D2001="","",IFERROR(INDEX(Empresas!$C:$C,MATCH(D2001,Empresas!$B:$B,0)),"cadastre o CNPJ em Empresas"))</f>
        <v/>
      </c>
      <c r="F2001" s="23"/>
      <c r="G2001" s="35"/>
      <c r="H2001" s="24"/>
      <c r="I2001" s="11"/>
      <c r="J2001" s="27" t="str">
        <f aca="false">IF(A2001="","",YEAR(A2001))</f>
        <v/>
      </c>
      <c r="K2001" s="24"/>
      <c r="L2001" s="11"/>
    </row>
    <row r="2002" customFormat="false" ht="15" hidden="false" customHeight="false" outlineLevel="0" collapsed="false">
      <c r="A2002" s="22"/>
      <c r="B2002" s="11"/>
      <c r="C2002" s="24"/>
      <c r="D2002" s="31" t="str">
        <f aca="false">IF(C2002="","",IF(LEN(UPPER(SUBSTITUTE(SUBSTITUTE(SUBSTITUTE(SUBSTITUTE(TRIM(C2002),".",""),"/",""),"-","")," ","")))&lt;14,RIGHT(REPT("0",14)&amp;UPPER(SUBSTITUTE(SUBSTITUTE(SUBSTITUTE(SUBSTITUTE(TRIM(C2002),".",""),"/",""),"-","")," ","")),14),UPPER(SUBSTITUTE(SUBSTITUTE(SUBSTITUTE(SUBSTITUTE(TRIM(C2002),".",""),"/",""),"-","")," ",""))))</f>
        <v/>
      </c>
      <c r="E2002" s="25" t="str">
        <f aca="false">IF(D2002="","",IFERROR(INDEX(Empresas!$C:$C,MATCH(D2002,Empresas!$B:$B,0)),"cadastre o CNPJ em Empresas"))</f>
        <v/>
      </c>
      <c r="F2002" s="23"/>
      <c r="G2002" s="35"/>
      <c r="H2002" s="24"/>
      <c r="I2002" s="11"/>
      <c r="J2002" s="27" t="str">
        <f aca="false">IF(A2002="","",YEAR(A2002))</f>
        <v/>
      </c>
      <c r="K2002" s="24"/>
      <c r="L2002" s="11"/>
    </row>
    <row r="2003" customFormat="false" ht="15" hidden="false" customHeight="false" outlineLevel="0" collapsed="false">
      <c r="A2003" s="22"/>
      <c r="B2003" s="11"/>
      <c r="C2003" s="24"/>
      <c r="D2003" s="31" t="str">
        <f aca="false">IF(C2003="","",IF(LEN(UPPER(SUBSTITUTE(SUBSTITUTE(SUBSTITUTE(SUBSTITUTE(TRIM(C2003),".",""),"/",""),"-","")," ","")))&lt;14,RIGHT(REPT("0",14)&amp;UPPER(SUBSTITUTE(SUBSTITUTE(SUBSTITUTE(SUBSTITUTE(TRIM(C2003),".",""),"/",""),"-","")," ","")),14),UPPER(SUBSTITUTE(SUBSTITUTE(SUBSTITUTE(SUBSTITUTE(TRIM(C2003),".",""),"/",""),"-","")," ",""))))</f>
        <v/>
      </c>
      <c r="E2003" s="25" t="str">
        <f aca="false">IF(D2003="","",IFERROR(INDEX(Empresas!$C:$C,MATCH(D2003,Empresas!$B:$B,0)),"cadastre o CNPJ em Empresas"))</f>
        <v/>
      </c>
      <c r="F2003" s="23"/>
      <c r="G2003" s="35"/>
      <c r="H2003" s="24"/>
      <c r="I2003" s="11"/>
      <c r="J2003" s="27" t="str">
        <f aca="false">IF(A2003="","",YEAR(A2003))</f>
        <v/>
      </c>
      <c r="K2003" s="24"/>
      <c r="L2003" s="11"/>
    </row>
    <row r="2004" customFormat="false" ht="15" hidden="false" customHeight="false" outlineLevel="0" collapsed="false">
      <c r="A2004" s="22"/>
      <c r="B2004" s="11"/>
      <c r="C2004" s="24"/>
      <c r="D2004" s="31" t="str">
        <f aca="false">IF(C2004="","",IF(LEN(UPPER(SUBSTITUTE(SUBSTITUTE(SUBSTITUTE(SUBSTITUTE(TRIM(C2004),".",""),"/",""),"-","")," ","")))&lt;14,RIGHT(REPT("0",14)&amp;UPPER(SUBSTITUTE(SUBSTITUTE(SUBSTITUTE(SUBSTITUTE(TRIM(C2004),".",""),"/",""),"-","")," ","")),14),UPPER(SUBSTITUTE(SUBSTITUTE(SUBSTITUTE(SUBSTITUTE(TRIM(C2004),".",""),"/",""),"-","")," ",""))))</f>
        <v/>
      </c>
      <c r="E2004" s="25" t="str">
        <f aca="false">IF(D2004="","",IFERROR(INDEX(Empresas!$C:$C,MATCH(D2004,Empresas!$B:$B,0)),"cadastre o CNPJ em Empresas"))</f>
        <v/>
      </c>
      <c r="F2004" s="23"/>
      <c r="G2004" s="35"/>
      <c r="H2004" s="24"/>
      <c r="I2004" s="11"/>
      <c r="J2004" s="27" t="str">
        <f aca="false">IF(A2004="","",YEAR(A2004))</f>
        <v/>
      </c>
      <c r="K2004" s="24"/>
      <c r="L2004" s="11"/>
    </row>
  </sheetData>
  <autoFilter ref="A4:L2004"/>
  <dataValidations count="1">
    <dataValidation allowBlank="true" error="Escolha uma opção da lista (as opções estão na aba Listas)." errorStyle="stop" errorTitle="Valor fora da lista" operator="between" showDropDown="false" showErrorMessage="true" showInputMessage="false" sqref="F5:F2004" type="list">
      <formula1>Listas!$I$4:$I$6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8"/>
    <col collapsed="false" customWidth="true" hidden="false" outlineLevel="0" max="3" min="3" style="0" width="17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24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12"/>
    <col collapsed="false" customWidth="true" hidden="false" outlineLevel="0" max="11" min="11" style="0" width="28"/>
  </cols>
  <sheetData>
    <row r="1" customFormat="false" ht="17.35" hidden="false" customHeight="false" outlineLevel="0" collapsed="false">
      <c r="A1" s="14" t="s">
        <v>313</v>
      </c>
    </row>
    <row r="2" customFormat="false" ht="15" hidden="false" customHeight="false" outlineLevel="0" collapsed="false">
      <c r="A2" s="15" t="s">
        <v>314</v>
      </c>
    </row>
    <row r="3" customFormat="false" ht="15" hidden="false" customHeight="false" outlineLevel="0" collapsed="false">
      <c r="A3" s="15" t="s">
        <v>201</v>
      </c>
    </row>
    <row r="4" customFormat="false" ht="48" hidden="false" customHeight="true" outlineLevel="0" collapsed="false">
      <c r="A4" s="9" t="s">
        <v>224</v>
      </c>
      <c r="B4" s="9" t="s">
        <v>315</v>
      </c>
      <c r="C4" s="16" t="s">
        <v>225</v>
      </c>
      <c r="D4" s="9" t="s">
        <v>316</v>
      </c>
      <c r="E4" s="9" t="s">
        <v>317</v>
      </c>
      <c r="F4" s="9" t="s">
        <v>318</v>
      </c>
      <c r="G4" s="9" t="s">
        <v>319</v>
      </c>
      <c r="H4" s="9" t="s">
        <v>320</v>
      </c>
      <c r="I4" s="9" t="s">
        <v>321</v>
      </c>
      <c r="J4" s="9" t="s">
        <v>71</v>
      </c>
      <c r="K4" s="9" t="s">
        <v>74</v>
      </c>
    </row>
    <row r="5" customFormat="false" ht="23.85" hidden="false" customHeight="false" outlineLevel="0" collapsed="false">
      <c r="A5" s="20" t="s">
        <v>250</v>
      </c>
      <c r="B5" s="18" t="s">
        <v>251</v>
      </c>
      <c r="C5" s="30" t="str">
        <f aca="false">IF(A5="","",IF(LEN(UPPER(SUBSTITUTE(SUBSTITUTE(SUBSTITUTE(SUBSTITUTE(TRIM(A5),".",""),"/",""),"-","")," ","")))&lt;14,RIGHT(REPT("0",14)&amp;UPPER(SUBSTITUTE(SUBSTITUTE(SUBSTITUTE(SUBSTITUTE(TRIM(A5),".",""),"/",""),"-","")," ","")),14),UPPER(SUBSTITUTE(SUBSTITUTE(SUBSTITUTE(SUBSTITUTE(TRIM(A5),".",""),"/",""),"-","")," ",""))))</f>
        <v>44555666000186</v>
      </c>
      <c r="D5" s="19" t="s">
        <v>322</v>
      </c>
      <c r="E5" s="18" t="s">
        <v>323</v>
      </c>
      <c r="F5" s="18" t="s">
        <v>324</v>
      </c>
      <c r="G5" s="17" t="n">
        <v>44936</v>
      </c>
      <c r="H5" s="17" t="n">
        <v>45301</v>
      </c>
      <c r="I5" s="19" t="s">
        <v>325</v>
      </c>
      <c r="J5" s="20" t="s">
        <v>140</v>
      </c>
      <c r="K5" s="18" t="s">
        <v>81</v>
      </c>
    </row>
    <row r="6" customFormat="false" ht="15" hidden="false" customHeight="false" outlineLevel="0" collapsed="false">
      <c r="A6" s="24"/>
      <c r="B6" s="11"/>
      <c r="C6" s="31" t="str">
        <f aca="false">IF(A6="","",IF(LEN(UPPER(SUBSTITUTE(SUBSTITUTE(SUBSTITUTE(SUBSTITUTE(TRIM(A6),".",""),"/",""),"-","")," ","")))&lt;14,RIGHT(REPT("0",14)&amp;UPPER(SUBSTITUTE(SUBSTITUTE(SUBSTITUTE(SUBSTITUTE(TRIM(A6),".",""),"/",""),"-","")," ","")),14),UPPER(SUBSTITUTE(SUBSTITUTE(SUBSTITUTE(SUBSTITUTE(TRIM(A6),".",""),"/",""),"-","")," ",""))))</f>
        <v/>
      </c>
      <c r="D6" s="23"/>
      <c r="E6" s="11"/>
      <c r="F6" s="11"/>
      <c r="G6" s="22"/>
      <c r="H6" s="22"/>
      <c r="I6" s="23"/>
      <c r="J6" s="24"/>
      <c r="K6" s="11"/>
    </row>
    <row r="7" customFormat="false" ht="15" hidden="false" customHeight="false" outlineLevel="0" collapsed="false">
      <c r="A7" s="24"/>
      <c r="B7" s="11"/>
      <c r="C7" s="31" t="str">
        <f aca="false">IF(A7="","",IF(LEN(UPPER(SUBSTITUTE(SUBSTITUTE(SUBSTITUTE(SUBSTITUTE(TRIM(A7),".",""),"/",""),"-","")," ","")))&lt;14,RIGHT(REPT("0",14)&amp;UPPER(SUBSTITUTE(SUBSTITUTE(SUBSTITUTE(SUBSTITUTE(TRIM(A7),".",""),"/",""),"-","")," ","")),14),UPPER(SUBSTITUTE(SUBSTITUTE(SUBSTITUTE(SUBSTITUTE(TRIM(A7),".",""),"/",""),"-","")," ",""))))</f>
        <v/>
      </c>
      <c r="D7" s="23"/>
      <c r="E7" s="11"/>
      <c r="F7" s="11"/>
      <c r="G7" s="22"/>
      <c r="H7" s="22"/>
      <c r="I7" s="23"/>
      <c r="J7" s="24"/>
      <c r="K7" s="11"/>
    </row>
    <row r="8" customFormat="false" ht="15" hidden="false" customHeight="false" outlineLevel="0" collapsed="false">
      <c r="A8" s="24"/>
      <c r="B8" s="11"/>
      <c r="C8" s="31" t="str">
        <f aca="false">IF(A8="","",IF(LEN(UPPER(SUBSTITUTE(SUBSTITUTE(SUBSTITUTE(SUBSTITUTE(TRIM(A8),".",""),"/",""),"-","")," ","")))&lt;14,RIGHT(REPT("0",14)&amp;UPPER(SUBSTITUTE(SUBSTITUTE(SUBSTITUTE(SUBSTITUTE(TRIM(A8),".",""),"/",""),"-","")," ","")),14),UPPER(SUBSTITUTE(SUBSTITUTE(SUBSTITUTE(SUBSTITUTE(TRIM(A8),".",""),"/",""),"-","")," ",""))))</f>
        <v/>
      </c>
      <c r="D8" s="23"/>
      <c r="E8" s="11"/>
      <c r="F8" s="11"/>
      <c r="G8" s="22"/>
      <c r="H8" s="22"/>
      <c r="I8" s="23"/>
      <c r="J8" s="24"/>
      <c r="K8" s="11"/>
    </row>
    <row r="9" customFormat="false" ht="15" hidden="false" customHeight="false" outlineLevel="0" collapsed="false">
      <c r="A9" s="24"/>
      <c r="B9" s="11"/>
      <c r="C9" s="31" t="str">
        <f aca="false">IF(A9="","",IF(LEN(UPPER(SUBSTITUTE(SUBSTITUTE(SUBSTITUTE(SUBSTITUTE(TRIM(A9),".",""),"/",""),"-","")," ","")))&lt;14,RIGHT(REPT("0",14)&amp;UPPER(SUBSTITUTE(SUBSTITUTE(SUBSTITUTE(SUBSTITUTE(TRIM(A9),".",""),"/",""),"-","")," ","")),14),UPPER(SUBSTITUTE(SUBSTITUTE(SUBSTITUTE(SUBSTITUTE(TRIM(A9),".",""),"/",""),"-","")," ",""))))</f>
        <v/>
      </c>
      <c r="D9" s="23"/>
      <c r="E9" s="11"/>
      <c r="F9" s="11"/>
      <c r="G9" s="22"/>
      <c r="H9" s="22"/>
      <c r="I9" s="23"/>
      <c r="J9" s="24"/>
      <c r="K9" s="11"/>
    </row>
    <row r="10" customFormat="false" ht="15" hidden="false" customHeight="false" outlineLevel="0" collapsed="false">
      <c r="A10" s="24"/>
      <c r="B10" s="11"/>
      <c r="C10" s="31" t="str">
        <f aca="false">IF(A10="","",IF(LEN(UPPER(SUBSTITUTE(SUBSTITUTE(SUBSTITUTE(SUBSTITUTE(TRIM(A10),".",""),"/",""),"-","")," ","")))&lt;14,RIGHT(REPT("0",14)&amp;UPPER(SUBSTITUTE(SUBSTITUTE(SUBSTITUTE(SUBSTITUTE(TRIM(A10),".",""),"/",""),"-","")," ","")),14),UPPER(SUBSTITUTE(SUBSTITUTE(SUBSTITUTE(SUBSTITUTE(TRIM(A10),".",""),"/",""),"-","")," ",""))))</f>
        <v/>
      </c>
      <c r="D10" s="23"/>
      <c r="E10" s="11"/>
      <c r="F10" s="11"/>
      <c r="G10" s="22"/>
      <c r="H10" s="22"/>
      <c r="I10" s="23"/>
      <c r="J10" s="24"/>
      <c r="K10" s="11"/>
    </row>
    <row r="11" customFormat="false" ht="15" hidden="false" customHeight="false" outlineLevel="0" collapsed="false">
      <c r="A11" s="24"/>
      <c r="B11" s="11"/>
      <c r="C11" s="31" t="str">
        <f aca="false">IF(A11="","",IF(LEN(UPPER(SUBSTITUTE(SUBSTITUTE(SUBSTITUTE(SUBSTITUTE(TRIM(A11),".",""),"/",""),"-","")," ","")))&lt;14,RIGHT(REPT("0",14)&amp;UPPER(SUBSTITUTE(SUBSTITUTE(SUBSTITUTE(SUBSTITUTE(TRIM(A11),".",""),"/",""),"-","")," ","")),14),UPPER(SUBSTITUTE(SUBSTITUTE(SUBSTITUTE(SUBSTITUTE(TRIM(A11),".",""),"/",""),"-","")," ",""))))</f>
        <v/>
      </c>
      <c r="D11" s="23"/>
      <c r="E11" s="11"/>
      <c r="F11" s="11"/>
      <c r="G11" s="22"/>
      <c r="H11" s="22"/>
      <c r="I11" s="23"/>
      <c r="J11" s="24"/>
      <c r="K11" s="11"/>
    </row>
    <row r="12" customFormat="false" ht="15" hidden="false" customHeight="false" outlineLevel="0" collapsed="false">
      <c r="A12" s="24"/>
      <c r="B12" s="11"/>
      <c r="C12" s="31" t="str">
        <f aca="false">IF(A12="","",IF(LEN(UPPER(SUBSTITUTE(SUBSTITUTE(SUBSTITUTE(SUBSTITUTE(TRIM(A12),".",""),"/",""),"-","")," ","")))&lt;14,RIGHT(REPT("0",14)&amp;UPPER(SUBSTITUTE(SUBSTITUTE(SUBSTITUTE(SUBSTITUTE(TRIM(A12),".",""),"/",""),"-","")," ","")),14),UPPER(SUBSTITUTE(SUBSTITUTE(SUBSTITUTE(SUBSTITUTE(TRIM(A12),".",""),"/",""),"-","")," ",""))))</f>
        <v/>
      </c>
      <c r="D12" s="23"/>
      <c r="E12" s="11"/>
      <c r="F12" s="11"/>
      <c r="G12" s="22"/>
      <c r="H12" s="22"/>
      <c r="I12" s="23"/>
      <c r="J12" s="24"/>
      <c r="K12" s="11"/>
    </row>
    <row r="13" customFormat="false" ht="15" hidden="false" customHeight="false" outlineLevel="0" collapsed="false">
      <c r="A13" s="24"/>
      <c r="B13" s="11"/>
      <c r="C13" s="31" t="str">
        <f aca="false">IF(A13="","",IF(LEN(UPPER(SUBSTITUTE(SUBSTITUTE(SUBSTITUTE(SUBSTITUTE(TRIM(A13),".",""),"/",""),"-","")," ","")))&lt;14,RIGHT(REPT("0",14)&amp;UPPER(SUBSTITUTE(SUBSTITUTE(SUBSTITUTE(SUBSTITUTE(TRIM(A13),".",""),"/",""),"-","")," ","")),14),UPPER(SUBSTITUTE(SUBSTITUTE(SUBSTITUTE(SUBSTITUTE(TRIM(A13),".",""),"/",""),"-","")," ",""))))</f>
        <v/>
      </c>
      <c r="D13" s="23"/>
      <c r="E13" s="11"/>
      <c r="F13" s="11"/>
      <c r="G13" s="22"/>
      <c r="H13" s="22"/>
      <c r="I13" s="23"/>
      <c r="J13" s="24"/>
      <c r="K13" s="11"/>
    </row>
    <row r="14" customFormat="false" ht="15" hidden="false" customHeight="false" outlineLevel="0" collapsed="false">
      <c r="A14" s="24"/>
      <c r="B14" s="11"/>
      <c r="C14" s="31" t="str">
        <f aca="false">IF(A14="","",IF(LEN(UPPER(SUBSTITUTE(SUBSTITUTE(SUBSTITUTE(SUBSTITUTE(TRIM(A14),".",""),"/",""),"-","")," ","")))&lt;14,RIGHT(REPT("0",14)&amp;UPPER(SUBSTITUTE(SUBSTITUTE(SUBSTITUTE(SUBSTITUTE(TRIM(A14),".",""),"/",""),"-","")," ","")),14),UPPER(SUBSTITUTE(SUBSTITUTE(SUBSTITUTE(SUBSTITUTE(TRIM(A14),".",""),"/",""),"-","")," ",""))))</f>
        <v/>
      </c>
      <c r="D14" s="23"/>
      <c r="E14" s="11"/>
      <c r="F14" s="11"/>
      <c r="G14" s="22"/>
      <c r="H14" s="22"/>
      <c r="I14" s="23"/>
      <c r="J14" s="24"/>
      <c r="K14" s="11"/>
    </row>
    <row r="15" customFormat="false" ht="15" hidden="false" customHeight="false" outlineLevel="0" collapsed="false">
      <c r="A15" s="24"/>
      <c r="B15" s="11"/>
      <c r="C15" s="31" t="str">
        <f aca="false">IF(A15="","",IF(LEN(UPPER(SUBSTITUTE(SUBSTITUTE(SUBSTITUTE(SUBSTITUTE(TRIM(A15),".",""),"/",""),"-","")," ","")))&lt;14,RIGHT(REPT("0",14)&amp;UPPER(SUBSTITUTE(SUBSTITUTE(SUBSTITUTE(SUBSTITUTE(TRIM(A15),".",""),"/",""),"-","")," ","")),14),UPPER(SUBSTITUTE(SUBSTITUTE(SUBSTITUTE(SUBSTITUTE(TRIM(A15),".",""),"/",""),"-","")," ",""))))</f>
        <v/>
      </c>
      <c r="D15" s="23"/>
      <c r="E15" s="11"/>
      <c r="F15" s="11"/>
      <c r="G15" s="22"/>
      <c r="H15" s="22"/>
      <c r="I15" s="23"/>
      <c r="J15" s="24"/>
      <c r="K15" s="11"/>
    </row>
    <row r="16" customFormat="false" ht="15" hidden="false" customHeight="false" outlineLevel="0" collapsed="false">
      <c r="A16" s="24"/>
      <c r="B16" s="11"/>
      <c r="C16" s="31" t="str">
        <f aca="false">IF(A16="","",IF(LEN(UPPER(SUBSTITUTE(SUBSTITUTE(SUBSTITUTE(SUBSTITUTE(TRIM(A16),".",""),"/",""),"-","")," ","")))&lt;14,RIGHT(REPT("0",14)&amp;UPPER(SUBSTITUTE(SUBSTITUTE(SUBSTITUTE(SUBSTITUTE(TRIM(A16),".",""),"/",""),"-","")," ","")),14),UPPER(SUBSTITUTE(SUBSTITUTE(SUBSTITUTE(SUBSTITUTE(TRIM(A16),".",""),"/",""),"-","")," ",""))))</f>
        <v/>
      </c>
      <c r="D16" s="23"/>
      <c r="E16" s="11"/>
      <c r="F16" s="11"/>
      <c r="G16" s="22"/>
      <c r="H16" s="22"/>
      <c r="I16" s="23"/>
      <c r="J16" s="24"/>
      <c r="K16" s="11"/>
    </row>
    <row r="17" customFormat="false" ht="15" hidden="false" customHeight="false" outlineLevel="0" collapsed="false">
      <c r="A17" s="24"/>
      <c r="B17" s="11"/>
      <c r="C17" s="31" t="str">
        <f aca="false">IF(A17="","",IF(LEN(UPPER(SUBSTITUTE(SUBSTITUTE(SUBSTITUTE(SUBSTITUTE(TRIM(A17),".",""),"/",""),"-","")," ","")))&lt;14,RIGHT(REPT("0",14)&amp;UPPER(SUBSTITUTE(SUBSTITUTE(SUBSTITUTE(SUBSTITUTE(TRIM(A17),".",""),"/",""),"-","")," ","")),14),UPPER(SUBSTITUTE(SUBSTITUTE(SUBSTITUTE(SUBSTITUTE(TRIM(A17),".",""),"/",""),"-","")," ",""))))</f>
        <v/>
      </c>
      <c r="D17" s="23"/>
      <c r="E17" s="11"/>
      <c r="F17" s="11"/>
      <c r="G17" s="22"/>
      <c r="H17" s="22"/>
      <c r="I17" s="23"/>
      <c r="J17" s="24"/>
      <c r="K17" s="11"/>
    </row>
    <row r="18" customFormat="false" ht="15" hidden="false" customHeight="false" outlineLevel="0" collapsed="false">
      <c r="A18" s="24"/>
      <c r="B18" s="11"/>
      <c r="C18" s="31" t="str">
        <f aca="false">IF(A18="","",IF(LEN(UPPER(SUBSTITUTE(SUBSTITUTE(SUBSTITUTE(SUBSTITUTE(TRIM(A18),".",""),"/",""),"-","")," ","")))&lt;14,RIGHT(REPT("0",14)&amp;UPPER(SUBSTITUTE(SUBSTITUTE(SUBSTITUTE(SUBSTITUTE(TRIM(A18),".",""),"/",""),"-","")," ","")),14),UPPER(SUBSTITUTE(SUBSTITUTE(SUBSTITUTE(SUBSTITUTE(TRIM(A18),".",""),"/",""),"-","")," ",""))))</f>
        <v/>
      </c>
      <c r="D18" s="23"/>
      <c r="E18" s="11"/>
      <c r="F18" s="11"/>
      <c r="G18" s="22"/>
      <c r="H18" s="22"/>
      <c r="I18" s="23"/>
      <c r="J18" s="24"/>
      <c r="K18" s="11"/>
    </row>
    <row r="19" customFormat="false" ht="15" hidden="false" customHeight="false" outlineLevel="0" collapsed="false">
      <c r="A19" s="24"/>
      <c r="B19" s="11"/>
      <c r="C19" s="31" t="str">
        <f aca="false">IF(A19="","",IF(LEN(UPPER(SUBSTITUTE(SUBSTITUTE(SUBSTITUTE(SUBSTITUTE(TRIM(A19),".",""),"/",""),"-","")," ","")))&lt;14,RIGHT(REPT("0",14)&amp;UPPER(SUBSTITUTE(SUBSTITUTE(SUBSTITUTE(SUBSTITUTE(TRIM(A19),".",""),"/",""),"-","")," ","")),14),UPPER(SUBSTITUTE(SUBSTITUTE(SUBSTITUTE(SUBSTITUTE(TRIM(A19),".",""),"/",""),"-","")," ",""))))</f>
        <v/>
      </c>
      <c r="D19" s="23"/>
      <c r="E19" s="11"/>
      <c r="F19" s="11"/>
      <c r="G19" s="22"/>
      <c r="H19" s="22"/>
      <c r="I19" s="23"/>
      <c r="J19" s="24"/>
      <c r="K19" s="11"/>
    </row>
    <row r="20" customFormat="false" ht="15" hidden="false" customHeight="false" outlineLevel="0" collapsed="false">
      <c r="A20" s="24"/>
      <c r="B20" s="11"/>
      <c r="C20" s="31" t="str">
        <f aca="false">IF(A20="","",IF(LEN(UPPER(SUBSTITUTE(SUBSTITUTE(SUBSTITUTE(SUBSTITUTE(TRIM(A20),".",""),"/",""),"-","")," ","")))&lt;14,RIGHT(REPT("0",14)&amp;UPPER(SUBSTITUTE(SUBSTITUTE(SUBSTITUTE(SUBSTITUTE(TRIM(A20),".",""),"/",""),"-","")," ","")),14),UPPER(SUBSTITUTE(SUBSTITUTE(SUBSTITUTE(SUBSTITUTE(TRIM(A20),".",""),"/",""),"-","")," ",""))))</f>
        <v/>
      </c>
      <c r="D20" s="23"/>
      <c r="E20" s="11"/>
      <c r="F20" s="11"/>
      <c r="G20" s="22"/>
      <c r="H20" s="22"/>
      <c r="I20" s="23"/>
      <c r="J20" s="24"/>
      <c r="K20" s="11"/>
    </row>
    <row r="21" customFormat="false" ht="15" hidden="false" customHeight="false" outlineLevel="0" collapsed="false">
      <c r="A21" s="24"/>
      <c r="B21" s="11"/>
      <c r="C21" s="31" t="str">
        <f aca="false">IF(A21="","",IF(LEN(UPPER(SUBSTITUTE(SUBSTITUTE(SUBSTITUTE(SUBSTITUTE(TRIM(A21),".",""),"/",""),"-","")," ","")))&lt;14,RIGHT(REPT("0",14)&amp;UPPER(SUBSTITUTE(SUBSTITUTE(SUBSTITUTE(SUBSTITUTE(TRIM(A21),".",""),"/",""),"-","")," ","")),14),UPPER(SUBSTITUTE(SUBSTITUTE(SUBSTITUTE(SUBSTITUTE(TRIM(A21),".",""),"/",""),"-","")," ",""))))</f>
        <v/>
      </c>
      <c r="D21" s="23"/>
      <c r="E21" s="11"/>
      <c r="F21" s="11"/>
      <c r="G21" s="22"/>
      <c r="H21" s="22"/>
      <c r="I21" s="23"/>
      <c r="J21" s="24"/>
      <c r="K21" s="11"/>
    </row>
    <row r="22" customFormat="false" ht="15" hidden="false" customHeight="false" outlineLevel="0" collapsed="false">
      <c r="A22" s="24"/>
      <c r="B22" s="11"/>
      <c r="C22" s="31" t="str">
        <f aca="false">IF(A22="","",IF(LEN(UPPER(SUBSTITUTE(SUBSTITUTE(SUBSTITUTE(SUBSTITUTE(TRIM(A22),".",""),"/",""),"-","")," ","")))&lt;14,RIGHT(REPT("0",14)&amp;UPPER(SUBSTITUTE(SUBSTITUTE(SUBSTITUTE(SUBSTITUTE(TRIM(A22),".",""),"/",""),"-","")," ","")),14),UPPER(SUBSTITUTE(SUBSTITUTE(SUBSTITUTE(SUBSTITUTE(TRIM(A22),".",""),"/",""),"-","")," ",""))))</f>
        <v/>
      </c>
      <c r="D22" s="23"/>
      <c r="E22" s="11"/>
      <c r="F22" s="11"/>
      <c r="G22" s="22"/>
      <c r="H22" s="22"/>
      <c r="I22" s="23"/>
      <c r="J22" s="24"/>
      <c r="K22" s="11"/>
    </row>
    <row r="23" customFormat="false" ht="15" hidden="false" customHeight="false" outlineLevel="0" collapsed="false">
      <c r="A23" s="24"/>
      <c r="B23" s="11"/>
      <c r="C23" s="31" t="str">
        <f aca="false">IF(A23="","",IF(LEN(UPPER(SUBSTITUTE(SUBSTITUTE(SUBSTITUTE(SUBSTITUTE(TRIM(A23),".",""),"/",""),"-","")," ","")))&lt;14,RIGHT(REPT("0",14)&amp;UPPER(SUBSTITUTE(SUBSTITUTE(SUBSTITUTE(SUBSTITUTE(TRIM(A23),".",""),"/",""),"-","")," ","")),14),UPPER(SUBSTITUTE(SUBSTITUTE(SUBSTITUTE(SUBSTITUTE(TRIM(A23),".",""),"/",""),"-","")," ",""))))</f>
        <v/>
      </c>
      <c r="D23" s="23"/>
      <c r="E23" s="11"/>
      <c r="F23" s="11"/>
      <c r="G23" s="22"/>
      <c r="H23" s="22"/>
      <c r="I23" s="23"/>
      <c r="J23" s="24"/>
      <c r="K23" s="11"/>
    </row>
    <row r="24" customFormat="false" ht="15" hidden="false" customHeight="false" outlineLevel="0" collapsed="false">
      <c r="A24" s="24"/>
      <c r="B24" s="11"/>
      <c r="C24" s="31" t="str">
        <f aca="false">IF(A24="","",IF(LEN(UPPER(SUBSTITUTE(SUBSTITUTE(SUBSTITUTE(SUBSTITUTE(TRIM(A24),".",""),"/",""),"-","")," ","")))&lt;14,RIGHT(REPT("0",14)&amp;UPPER(SUBSTITUTE(SUBSTITUTE(SUBSTITUTE(SUBSTITUTE(TRIM(A24),".",""),"/",""),"-","")," ","")),14),UPPER(SUBSTITUTE(SUBSTITUTE(SUBSTITUTE(SUBSTITUTE(TRIM(A24),".",""),"/",""),"-","")," ",""))))</f>
        <v/>
      </c>
      <c r="D24" s="23"/>
      <c r="E24" s="11"/>
      <c r="F24" s="11"/>
      <c r="G24" s="22"/>
      <c r="H24" s="22"/>
      <c r="I24" s="23"/>
      <c r="J24" s="24"/>
      <c r="K24" s="11"/>
    </row>
    <row r="25" customFormat="false" ht="15" hidden="false" customHeight="false" outlineLevel="0" collapsed="false">
      <c r="A25" s="24"/>
      <c r="B25" s="11"/>
      <c r="C25" s="31" t="str">
        <f aca="false">IF(A25="","",IF(LEN(UPPER(SUBSTITUTE(SUBSTITUTE(SUBSTITUTE(SUBSTITUTE(TRIM(A25),".",""),"/",""),"-","")," ","")))&lt;14,RIGHT(REPT("0",14)&amp;UPPER(SUBSTITUTE(SUBSTITUTE(SUBSTITUTE(SUBSTITUTE(TRIM(A25),".",""),"/",""),"-","")," ","")),14),UPPER(SUBSTITUTE(SUBSTITUTE(SUBSTITUTE(SUBSTITUTE(TRIM(A25),".",""),"/",""),"-","")," ",""))))</f>
        <v/>
      </c>
      <c r="D25" s="23"/>
      <c r="E25" s="11"/>
      <c r="F25" s="11"/>
      <c r="G25" s="22"/>
      <c r="H25" s="22"/>
      <c r="I25" s="23"/>
      <c r="J25" s="24"/>
      <c r="K25" s="11"/>
    </row>
    <row r="26" customFormat="false" ht="15" hidden="false" customHeight="false" outlineLevel="0" collapsed="false">
      <c r="A26" s="24"/>
      <c r="B26" s="11"/>
      <c r="C26" s="31" t="str">
        <f aca="false">IF(A26="","",IF(LEN(UPPER(SUBSTITUTE(SUBSTITUTE(SUBSTITUTE(SUBSTITUTE(TRIM(A26),".",""),"/",""),"-","")," ","")))&lt;14,RIGHT(REPT("0",14)&amp;UPPER(SUBSTITUTE(SUBSTITUTE(SUBSTITUTE(SUBSTITUTE(TRIM(A26),".",""),"/",""),"-","")," ","")),14),UPPER(SUBSTITUTE(SUBSTITUTE(SUBSTITUTE(SUBSTITUTE(TRIM(A26),".",""),"/",""),"-","")," ",""))))</f>
        <v/>
      </c>
      <c r="D26" s="23"/>
      <c r="E26" s="11"/>
      <c r="F26" s="11"/>
      <c r="G26" s="22"/>
      <c r="H26" s="22"/>
      <c r="I26" s="23"/>
      <c r="J26" s="24"/>
      <c r="K26" s="11"/>
    </row>
    <row r="27" customFormat="false" ht="15" hidden="false" customHeight="false" outlineLevel="0" collapsed="false">
      <c r="A27" s="24"/>
      <c r="B27" s="11"/>
      <c r="C27" s="31" t="str">
        <f aca="false">IF(A27="","",IF(LEN(UPPER(SUBSTITUTE(SUBSTITUTE(SUBSTITUTE(SUBSTITUTE(TRIM(A27),".",""),"/",""),"-","")," ","")))&lt;14,RIGHT(REPT("0",14)&amp;UPPER(SUBSTITUTE(SUBSTITUTE(SUBSTITUTE(SUBSTITUTE(TRIM(A27),".",""),"/",""),"-","")," ","")),14),UPPER(SUBSTITUTE(SUBSTITUTE(SUBSTITUTE(SUBSTITUTE(TRIM(A27),".",""),"/",""),"-","")," ",""))))</f>
        <v/>
      </c>
      <c r="D27" s="23"/>
      <c r="E27" s="11"/>
      <c r="F27" s="11"/>
      <c r="G27" s="22"/>
      <c r="H27" s="22"/>
      <c r="I27" s="23"/>
      <c r="J27" s="24"/>
      <c r="K27" s="11"/>
    </row>
    <row r="28" customFormat="false" ht="15" hidden="false" customHeight="false" outlineLevel="0" collapsed="false">
      <c r="A28" s="24"/>
      <c r="B28" s="11"/>
      <c r="C28" s="31" t="str">
        <f aca="false">IF(A28="","",IF(LEN(UPPER(SUBSTITUTE(SUBSTITUTE(SUBSTITUTE(SUBSTITUTE(TRIM(A28),".",""),"/",""),"-","")," ","")))&lt;14,RIGHT(REPT("0",14)&amp;UPPER(SUBSTITUTE(SUBSTITUTE(SUBSTITUTE(SUBSTITUTE(TRIM(A28),".",""),"/",""),"-","")," ","")),14),UPPER(SUBSTITUTE(SUBSTITUTE(SUBSTITUTE(SUBSTITUTE(TRIM(A28),".",""),"/",""),"-","")," ",""))))</f>
        <v/>
      </c>
      <c r="D28" s="23"/>
      <c r="E28" s="11"/>
      <c r="F28" s="11"/>
      <c r="G28" s="22"/>
      <c r="H28" s="22"/>
      <c r="I28" s="23"/>
      <c r="J28" s="24"/>
      <c r="K28" s="11"/>
    </row>
    <row r="29" customFormat="false" ht="15" hidden="false" customHeight="false" outlineLevel="0" collapsed="false">
      <c r="A29" s="24"/>
      <c r="B29" s="11"/>
      <c r="C29" s="31" t="str">
        <f aca="false">IF(A29="","",IF(LEN(UPPER(SUBSTITUTE(SUBSTITUTE(SUBSTITUTE(SUBSTITUTE(TRIM(A29),".",""),"/",""),"-","")," ","")))&lt;14,RIGHT(REPT("0",14)&amp;UPPER(SUBSTITUTE(SUBSTITUTE(SUBSTITUTE(SUBSTITUTE(TRIM(A29),".",""),"/",""),"-","")," ","")),14),UPPER(SUBSTITUTE(SUBSTITUTE(SUBSTITUTE(SUBSTITUTE(TRIM(A29),".",""),"/",""),"-","")," ",""))))</f>
        <v/>
      </c>
      <c r="D29" s="23"/>
      <c r="E29" s="11"/>
      <c r="F29" s="11"/>
      <c r="G29" s="22"/>
      <c r="H29" s="22"/>
      <c r="I29" s="23"/>
      <c r="J29" s="24"/>
      <c r="K29" s="11"/>
    </row>
    <row r="30" customFormat="false" ht="15" hidden="false" customHeight="false" outlineLevel="0" collapsed="false">
      <c r="A30" s="24"/>
      <c r="B30" s="11"/>
      <c r="C30" s="31" t="str">
        <f aca="false">IF(A30="","",IF(LEN(UPPER(SUBSTITUTE(SUBSTITUTE(SUBSTITUTE(SUBSTITUTE(TRIM(A30),".",""),"/",""),"-","")," ","")))&lt;14,RIGHT(REPT("0",14)&amp;UPPER(SUBSTITUTE(SUBSTITUTE(SUBSTITUTE(SUBSTITUTE(TRIM(A30),".",""),"/",""),"-","")," ","")),14),UPPER(SUBSTITUTE(SUBSTITUTE(SUBSTITUTE(SUBSTITUTE(TRIM(A30),".",""),"/",""),"-","")," ",""))))</f>
        <v/>
      </c>
      <c r="D30" s="23"/>
      <c r="E30" s="11"/>
      <c r="F30" s="11"/>
      <c r="G30" s="22"/>
      <c r="H30" s="22"/>
      <c r="I30" s="23"/>
      <c r="J30" s="24"/>
      <c r="K30" s="11"/>
    </row>
    <row r="31" customFormat="false" ht="15" hidden="false" customHeight="false" outlineLevel="0" collapsed="false">
      <c r="A31" s="24"/>
      <c r="B31" s="11"/>
      <c r="C31" s="31" t="str">
        <f aca="false">IF(A31="","",IF(LEN(UPPER(SUBSTITUTE(SUBSTITUTE(SUBSTITUTE(SUBSTITUTE(TRIM(A31),".",""),"/",""),"-","")," ","")))&lt;14,RIGHT(REPT("0",14)&amp;UPPER(SUBSTITUTE(SUBSTITUTE(SUBSTITUTE(SUBSTITUTE(TRIM(A31),".",""),"/",""),"-","")," ","")),14),UPPER(SUBSTITUTE(SUBSTITUTE(SUBSTITUTE(SUBSTITUTE(TRIM(A31),".",""),"/",""),"-","")," ",""))))</f>
        <v/>
      </c>
      <c r="D31" s="23"/>
      <c r="E31" s="11"/>
      <c r="F31" s="11"/>
      <c r="G31" s="22"/>
      <c r="H31" s="22"/>
      <c r="I31" s="23"/>
      <c r="J31" s="24"/>
      <c r="K31" s="11"/>
    </row>
    <row r="32" customFormat="false" ht="15" hidden="false" customHeight="false" outlineLevel="0" collapsed="false">
      <c r="A32" s="24"/>
      <c r="B32" s="11"/>
      <c r="C32" s="31" t="str">
        <f aca="false">IF(A32="","",IF(LEN(UPPER(SUBSTITUTE(SUBSTITUTE(SUBSTITUTE(SUBSTITUTE(TRIM(A32),".",""),"/",""),"-","")," ","")))&lt;14,RIGHT(REPT("0",14)&amp;UPPER(SUBSTITUTE(SUBSTITUTE(SUBSTITUTE(SUBSTITUTE(TRIM(A32),".",""),"/",""),"-","")," ","")),14),UPPER(SUBSTITUTE(SUBSTITUTE(SUBSTITUTE(SUBSTITUTE(TRIM(A32),".",""),"/",""),"-","")," ",""))))</f>
        <v/>
      </c>
      <c r="D32" s="23"/>
      <c r="E32" s="11"/>
      <c r="F32" s="11"/>
      <c r="G32" s="22"/>
      <c r="H32" s="22"/>
      <c r="I32" s="23"/>
      <c r="J32" s="24"/>
      <c r="K32" s="11"/>
    </row>
    <row r="33" customFormat="false" ht="15" hidden="false" customHeight="false" outlineLevel="0" collapsed="false">
      <c r="A33" s="24"/>
      <c r="B33" s="11"/>
      <c r="C33" s="31" t="str">
        <f aca="false">IF(A33="","",IF(LEN(UPPER(SUBSTITUTE(SUBSTITUTE(SUBSTITUTE(SUBSTITUTE(TRIM(A33),".",""),"/",""),"-","")," ","")))&lt;14,RIGHT(REPT("0",14)&amp;UPPER(SUBSTITUTE(SUBSTITUTE(SUBSTITUTE(SUBSTITUTE(TRIM(A33),".",""),"/",""),"-","")," ","")),14),UPPER(SUBSTITUTE(SUBSTITUTE(SUBSTITUTE(SUBSTITUTE(TRIM(A33),".",""),"/",""),"-","")," ",""))))</f>
        <v/>
      </c>
      <c r="D33" s="23"/>
      <c r="E33" s="11"/>
      <c r="F33" s="11"/>
      <c r="G33" s="22"/>
      <c r="H33" s="22"/>
      <c r="I33" s="23"/>
      <c r="J33" s="24"/>
      <c r="K33" s="11"/>
    </row>
    <row r="34" customFormat="false" ht="15" hidden="false" customHeight="false" outlineLevel="0" collapsed="false">
      <c r="A34" s="24"/>
      <c r="B34" s="11"/>
      <c r="C34" s="31" t="str">
        <f aca="false">IF(A34="","",IF(LEN(UPPER(SUBSTITUTE(SUBSTITUTE(SUBSTITUTE(SUBSTITUTE(TRIM(A34),".",""),"/",""),"-","")," ","")))&lt;14,RIGHT(REPT("0",14)&amp;UPPER(SUBSTITUTE(SUBSTITUTE(SUBSTITUTE(SUBSTITUTE(TRIM(A34),".",""),"/",""),"-","")," ","")),14),UPPER(SUBSTITUTE(SUBSTITUTE(SUBSTITUTE(SUBSTITUTE(TRIM(A34),".",""),"/",""),"-","")," ",""))))</f>
        <v/>
      </c>
      <c r="D34" s="23"/>
      <c r="E34" s="11"/>
      <c r="F34" s="11"/>
      <c r="G34" s="22"/>
      <c r="H34" s="22"/>
      <c r="I34" s="23"/>
      <c r="J34" s="24"/>
      <c r="K34" s="11"/>
    </row>
    <row r="35" customFormat="false" ht="15" hidden="false" customHeight="false" outlineLevel="0" collapsed="false">
      <c r="A35" s="24"/>
      <c r="B35" s="11"/>
      <c r="C35" s="31" t="str">
        <f aca="false">IF(A35="","",IF(LEN(UPPER(SUBSTITUTE(SUBSTITUTE(SUBSTITUTE(SUBSTITUTE(TRIM(A35),".",""),"/",""),"-","")," ","")))&lt;14,RIGHT(REPT("0",14)&amp;UPPER(SUBSTITUTE(SUBSTITUTE(SUBSTITUTE(SUBSTITUTE(TRIM(A35),".",""),"/",""),"-","")," ","")),14),UPPER(SUBSTITUTE(SUBSTITUTE(SUBSTITUTE(SUBSTITUTE(TRIM(A35),".",""),"/",""),"-","")," ",""))))</f>
        <v/>
      </c>
      <c r="D35" s="23"/>
      <c r="E35" s="11"/>
      <c r="F35" s="11"/>
      <c r="G35" s="22"/>
      <c r="H35" s="22"/>
      <c r="I35" s="23"/>
      <c r="J35" s="24"/>
      <c r="K35" s="11"/>
    </row>
    <row r="36" customFormat="false" ht="15" hidden="false" customHeight="false" outlineLevel="0" collapsed="false">
      <c r="A36" s="24"/>
      <c r="B36" s="11"/>
      <c r="C36" s="31" t="str">
        <f aca="false">IF(A36="","",IF(LEN(UPPER(SUBSTITUTE(SUBSTITUTE(SUBSTITUTE(SUBSTITUTE(TRIM(A36),".",""),"/",""),"-","")," ","")))&lt;14,RIGHT(REPT("0",14)&amp;UPPER(SUBSTITUTE(SUBSTITUTE(SUBSTITUTE(SUBSTITUTE(TRIM(A36),".",""),"/",""),"-","")," ","")),14),UPPER(SUBSTITUTE(SUBSTITUTE(SUBSTITUTE(SUBSTITUTE(TRIM(A36),".",""),"/",""),"-","")," ",""))))</f>
        <v/>
      </c>
      <c r="D36" s="23"/>
      <c r="E36" s="11"/>
      <c r="F36" s="11"/>
      <c r="G36" s="22"/>
      <c r="H36" s="22"/>
      <c r="I36" s="23"/>
      <c r="J36" s="24"/>
      <c r="K36" s="11"/>
    </row>
    <row r="37" customFormat="false" ht="15" hidden="false" customHeight="false" outlineLevel="0" collapsed="false">
      <c r="A37" s="24"/>
      <c r="B37" s="11"/>
      <c r="C37" s="31" t="str">
        <f aca="false">IF(A37="","",IF(LEN(UPPER(SUBSTITUTE(SUBSTITUTE(SUBSTITUTE(SUBSTITUTE(TRIM(A37),".",""),"/",""),"-","")," ","")))&lt;14,RIGHT(REPT("0",14)&amp;UPPER(SUBSTITUTE(SUBSTITUTE(SUBSTITUTE(SUBSTITUTE(TRIM(A37),".",""),"/",""),"-","")," ","")),14),UPPER(SUBSTITUTE(SUBSTITUTE(SUBSTITUTE(SUBSTITUTE(TRIM(A37),".",""),"/",""),"-","")," ",""))))</f>
        <v/>
      </c>
      <c r="D37" s="23"/>
      <c r="E37" s="11"/>
      <c r="F37" s="11"/>
      <c r="G37" s="22"/>
      <c r="H37" s="22"/>
      <c r="I37" s="23"/>
      <c r="J37" s="24"/>
      <c r="K37" s="11"/>
    </row>
    <row r="38" customFormat="false" ht="15" hidden="false" customHeight="false" outlineLevel="0" collapsed="false">
      <c r="A38" s="24"/>
      <c r="B38" s="11"/>
      <c r="C38" s="31" t="str">
        <f aca="false">IF(A38="","",IF(LEN(UPPER(SUBSTITUTE(SUBSTITUTE(SUBSTITUTE(SUBSTITUTE(TRIM(A38),".",""),"/",""),"-","")," ","")))&lt;14,RIGHT(REPT("0",14)&amp;UPPER(SUBSTITUTE(SUBSTITUTE(SUBSTITUTE(SUBSTITUTE(TRIM(A38),".",""),"/",""),"-","")," ","")),14),UPPER(SUBSTITUTE(SUBSTITUTE(SUBSTITUTE(SUBSTITUTE(TRIM(A38),".",""),"/",""),"-","")," ",""))))</f>
        <v/>
      </c>
      <c r="D38" s="23"/>
      <c r="E38" s="11"/>
      <c r="F38" s="11"/>
      <c r="G38" s="22"/>
      <c r="H38" s="22"/>
      <c r="I38" s="23"/>
      <c r="J38" s="24"/>
      <c r="K38" s="11"/>
    </row>
    <row r="39" customFormat="false" ht="15" hidden="false" customHeight="false" outlineLevel="0" collapsed="false">
      <c r="A39" s="24"/>
      <c r="B39" s="11"/>
      <c r="C39" s="31" t="str">
        <f aca="false">IF(A39="","",IF(LEN(UPPER(SUBSTITUTE(SUBSTITUTE(SUBSTITUTE(SUBSTITUTE(TRIM(A39),".",""),"/",""),"-","")," ","")))&lt;14,RIGHT(REPT("0",14)&amp;UPPER(SUBSTITUTE(SUBSTITUTE(SUBSTITUTE(SUBSTITUTE(TRIM(A39),".",""),"/",""),"-","")," ","")),14),UPPER(SUBSTITUTE(SUBSTITUTE(SUBSTITUTE(SUBSTITUTE(TRIM(A39),".",""),"/",""),"-","")," ",""))))</f>
        <v/>
      </c>
      <c r="D39" s="23"/>
      <c r="E39" s="11"/>
      <c r="F39" s="11"/>
      <c r="G39" s="22"/>
      <c r="H39" s="22"/>
      <c r="I39" s="23"/>
      <c r="J39" s="24"/>
      <c r="K39" s="11"/>
    </row>
    <row r="40" customFormat="false" ht="15" hidden="false" customHeight="false" outlineLevel="0" collapsed="false">
      <c r="A40" s="24"/>
      <c r="B40" s="11"/>
      <c r="C40" s="31" t="str">
        <f aca="false">IF(A40="","",IF(LEN(UPPER(SUBSTITUTE(SUBSTITUTE(SUBSTITUTE(SUBSTITUTE(TRIM(A40),".",""),"/",""),"-","")," ","")))&lt;14,RIGHT(REPT("0",14)&amp;UPPER(SUBSTITUTE(SUBSTITUTE(SUBSTITUTE(SUBSTITUTE(TRIM(A40),".",""),"/",""),"-","")," ","")),14),UPPER(SUBSTITUTE(SUBSTITUTE(SUBSTITUTE(SUBSTITUTE(TRIM(A40),".",""),"/",""),"-","")," ",""))))</f>
        <v/>
      </c>
      <c r="D40" s="23"/>
      <c r="E40" s="11"/>
      <c r="F40" s="11"/>
      <c r="G40" s="22"/>
      <c r="H40" s="22"/>
      <c r="I40" s="23"/>
      <c r="J40" s="24"/>
      <c r="K40" s="11"/>
    </row>
    <row r="41" customFormat="false" ht="15" hidden="false" customHeight="false" outlineLevel="0" collapsed="false">
      <c r="A41" s="24"/>
      <c r="B41" s="11"/>
      <c r="C41" s="31" t="str">
        <f aca="false">IF(A41="","",IF(LEN(UPPER(SUBSTITUTE(SUBSTITUTE(SUBSTITUTE(SUBSTITUTE(TRIM(A41),".",""),"/",""),"-","")," ","")))&lt;14,RIGHT(REPT("0",14)&amp;UPPER(SUBSTITUTE(SUBSTITUTE(SUBSTITUTE(SUBSTITUTE(TRIM(A41),".",""),"/",""),"-","")," ","")),14),UPPER(SUBSTITUTE(SUBSTITUTE(SUBSTITUTE(SUBSTITUTE(TRIM(A41),".",""),"/",""),"-","")," ",""))))</f>
        <v/>
      </c>
      <c r="D41" s="23"/>
      <c r="E41" s="11"/>
      <c r="F41" s="11"/>
      <c r="G41" s="22"/>
      <c r="H41" s="22"/>
      <c r="I41" s="23"/>
      <c r="J41" s="24"/>
      <c r="K41" s="11"/>
    </row>
    <row r="42" customFormat="false" ht="15" hidden="false" customHeight="false" outlineLevel="0" collapsed="false">
      <c r="A42" s="24"/>
      <c r="B42" s="11"/>
      <c r="C42" s="31" t="str">
        <f aca="false">IF(A42="","",IF(LEN(UPPER(SUBSTITUTE(SUBSTITUTE(SUBSTITUTE(SUBSTITUTE(TRIM(A42),".",""),"/",""),"-","")," ","")))&lt;14,RIGHT(REPT("0",14)&amp;UPPER(SUBSTITUTE(SUBSTITUTE(SUBSTITUTE(SUBSTITUTE(TRIM(A42),".",""),"/",""),"-","")," ","")),14),UPPER(SUBSTITUTE(SUBSTITUTE(SUBSTITUTE(SUBSTITUTE(TRIM(A42),".",""),"/",""),"-","")," ",""))))</f>
        <v/>
      </c>
      <c r="D42" s="23"/>
      <c r="E42" s="11"/>
      <c r="F42" s="11"/>
      <c r="G42" s="22"/>
      <c r="H42" s="22"/>
      <c r="I42" s="23"/>
      <c r="J42" s="24"/>
      <c r="K42" s="11"/>
    </row>
    <row r="43" customFormat="false" ht="15" hidden="false" customHeight="false" outlineLevel="0" collapsed="false">
      <c r="A43" s="24"/>
      <c r="B43" s="11"/>
      <c r="C43" s="31" t="str">
        <f aca="false">IF(A43="","",IF(LEN(UPPER(SUBSTITUTE(SUBSTITUTE(SUBSTITUTE(SUBSTITUTE(TRIM(A43),".",""),"/",""),"-","")," ","")))&lt;14,RIGHT(REPT("0",14)&amp;UPPER(SUBSTITUTE(SUBSTITUTE(SUBSTITUTE(SUBSTITUTE(TRIM(A43),".",""),"/",""),"-","")," ","")),14),UPPER(SUBSTITUTE(SUBSTITUTE(SUBSTITUTE(SUBSTITUTE(TRIM(A43),".",""),"/",""),"-","")," ",""))))</f>
        <v/>
      </c>
      <c r="D43" s="23"/>
      <c r="E43" s="11"/>
      <c r="F43" s="11"/>
      <c r="G43" s="22"/>
      <c r="H43" s="22"/>
      <c r="I43" s="23"/>
      <c r="J43" s="24"/>
      <c r="K43" s="11"/>
    </row>
    <row r="44" customFormat="false" ht="15" hidden="false" customHeight="false" outlineLevel="0" collapsed="false">
      <c r="A44" s="24"/>
      <c r="B44" s="11"/>
      <c r="C44" s="31" t="str">
        <f aca="false">IF(A44="","",IF(LEN(UPPER(SUBSTITUTE(SUBSTITUTE(SUBSTITUTE(SUBSTITUTE(TRIM(A44),".",""),"/",""),"-","")," ","")))&lt;14,RIGHT(REPT("0",14)&amp;UPPER(SUBSTITUTE(SUBSTITUTE(SUBSTITUTE(SUBSTITUTE(TRIM(A44),".",""),"/",""),"-","")," ","")),14),UPPER(SUBSTITUTE(SUBSTITUTE(SUBSTITUTE(SUBSTITUTE(TRIM(A44),".",""),"/",""),"-","")," ",""))))</f>
        <v/>
      </c>
      <c r="D44" s="23"/>
      <c r="E44" s="11"/>
      <c r="F44" s="11"/>
      <c r="G44" s="22"/>
      <c r="H44" s="22"/>
      <c r="I44" s="23"/>
      <c r="J44" s="24"/>
      <c r="K44" s="11"/>
    </row>
    <row r="45" customFormat="false" ht="15" hidden="false" customHeight="false" outlineLevel="0" collapsed="false">
      <c r="A45" s="24"/>
      <c r="B45" s="11"/>
      <c r="C45" s="31" t="str">
        <f aca="false">IF(A45="","",IF(LEN(UPPER(SUBSTITUTE(SUBSTITUTE(SUBSTITUTE(SUBSTITUTE(TRIM(A45),".",""),"/",""),"-","")," ","")))&lt;14,RIGHT(REPT("0",14)&amp;UPPER(SUBSTITUTE(SUBSTITUTE(SUBSTITUTE(SUBSTITUTE(TRIM(A45),".",""),"/",""),"-","")," ","")),14),UPPER(SUBSTITUTE(SUBSTITUTE(SUBSTITUTE(SUBSTITUTE(TRIM(A45),".",""),"/",""),"-","")," ",""))))</f>
        <v/>
      </c>
      <c r="D45" s="23"/>
      <c r="E45" s="11"/>
      <c r="F45" s="11"/>
      <c r="G45" s="22"/>
      <c r="H45" s="22"/>
      <c r="I45" s="23"/>
      <c r="J45" s="24"/>
      <c r="K45" s="11"/>
    </row>
    <row r="46" customFormat="false" ht="15" hidden="false" customHeight="false" outlineLevel="0" collapsed="false">
      <c r="A46" s="24"/>
      <c r="B46" s="11"/>
      <c r="C46" s="31" t="str">
        <f aca="false">IF(A46="","",IF(LEN(UPPER(SUBSTITUTE(SUBSTITUTE(SUBSTITUTE(SUBSTITUTE(TRIM(A46),".",""),"/",""),"-","")," ","")))&lt;14,RIGHT(REPT("0",14)&amp;UPPER(SUBSTITUTE(SUBSTITUTE(SUBSTITUTE(SUBSTITUTE(TRIM(A46),".",""),"/",""),"-","")," ","")),14),UPPER(SUBSTITUTE(SUBSTITUTE(SUBSTITUTE(SUBSTITUTE(TRIM(A46),".",""),"/",""),"-","")," ",""))))</f>
        <v/>
      </c>
      <c r="D46" s="23"/>
      <c r="E46" s="11"/>
      <c r="F46" s="11"/>
      <c r="G46" s="22"/>
      <c r="H46" s="22"/>
      <c r="I46" s="23"/>
      <c r="J46" s="24"/>
      <c r="K46" s="11"/>
    </row>
    <row r="47" customFormat="false" ht="15" hidden="false" customHeight="false" outlineLevel="0" collapsed="false">
      <c r="A47" s="24"/>
      <c r="B47" s="11"/>
      <c r="C47" s="31" t="str">
        <f aca="false">IF(A47="","",IF(LEN(UPPER(SUBSTITUTE(SUBSTITUTE(SUBSTITUTE(SUBSTITUTE(TRIM(A47),".",""),"/",""),"-","")," ","")))&lt;14,RIGHT(REPT("0",14)&amp;UPPER(SUBSTITUTE(SUBSTITUTE(SUBSTITUTE(SUBSTITUTE(TRIM(A47),".",""),"/",""),"-","")," ","")),14),UPPER(SUBSTITUTE(SUBSTITUTE(SUBSTITUTE(SUBSTITUTE(TRIM(A47),".",""),"/",""),"-","")," ",""))))</f>
        <v/>
      </c>
      <c r="D47" s="23"/>
      <c r="E47" s="11"/>
      <c r="F47" s="11"/>
      <c r="G47" s="22"/>
      <c r="H47" s="22"/>
      <c r="I47" s="23"/>
      <c r="J47" s="24"/>
      <c r="K47" s="11"/>
    </row>
    <row r="48" customFormat="false" ht="15" hidden="false" customHeight="false" outlineLevel="0" collapsed="false">
      <c r="A48" s="24"/>
      <c r="B48" s="11"/>
      <c r="C48" s="31" t="str">
        <f aca="false">IF(A48="","",IF(LEN(UPPER(SUBSTITUTE(SUBSTITUTE(SUBSTITUTE(SUBSTITUTE(TRIM(A48),".",""),"/",""),"-","")," ","")))&lt;14,RIGHT(REPT("0",14)&amp;UPPER(SUBSTITUTE(SUBSTITUTE(SUBSTITUTE(SUBSTITUTE(TRIM(A48),".",""),"/",""),"-","")," ","")),14),UPPER(SUBSTITUTE(SUBSTITUTE(SUBSTITUTE(SUBSTITUTE(TRIM(A48),".",""),"/",""),"-","")," ",""))))</f>
        <v/>
      </c>
      <c r="D48" s="23"/>
      <c r="E48" s="11"/>
      <c r="F48" s="11"/>
      <c r="G48" s="22"/>
      <c r="H48" s="22"/>
      <c r="I48" s="23"/>
      <c r="J48" s="24"/>
      <c r="K48" s="11"/>
    </row>
    <row r="49" customFormat="false" ht="15" hidden="false" customHeight="false" outlineLevel="0" collapsed="false">
      <c r="A49" s="24"/>
      <c r="B49" s="11"/>
      <c r="C49" s="31" t="str">
        <f aca="false">IF(A49="","",IF(LEN(UPPER(SUBSTITUTE(SUBSTITUTE(SUBSTITUTE(SUBSTITUTE(TRIM(A49),".",""),"/",""),"-","")," ","")))&lt;14,RIGHT(REPT("0",14)&amp;UPPER(SUBSTITUTE(SUBSTITUTE(SUBSTITUTE(SUBSTITUTE(TRIM(A49),".",""),"/",""),"-","")," ","")),14),UPPER(SUBSTITUTE(SUBSTITUTE(SUBSTITUTE(SUBSTITUTE(TRIM(A49),".",""),"/",""),"-","")," ",""))))</f>
        <v/>
      </c>
      <c r="D49" s="23"/>
      <c r="E49" s="11"/>
      <c r="F49" s="11"/>
      <c r="G49" s="22"/>
      <c r="H49" s="22"/>
      <c r="I49" s="23"/>
      <c r="J49" s="24"/>
      <c r="K49" s="11"/>
    </row>
    <row r="50" customFormat="false" ht="15" hidden="false" customHeight="false" outlineLevel="0" collapsed="false">
      <c r="A50" s="24"/>
      <c r="B50" s="11"/>
      <c r="C50" s="31" t="str">
        <f aca="false">IF(A50="","",IF(LEN(UPPER(SUBSTITUTE(SUBSTITUTE(SUBSTITUTE(SUBSTITUTE(TRIM(A50),".",""),"/",""),"-","")," ","")))&lt;14,RIGHT(REPT("0",14)&amp;UPPER(SUBSTITUTE(SUBSTITUTE(SUBSTITUTE(SUBSTITUTE(TRIM(A50),".",""),"/",""),"-","")," ","")),14),UPPER(SUBSTITUTE(SUBSTITUTE(SUBSTITUTE(SUBSTITUTE(TRIM(A50),".",""),"/",""),"-","")," ",""))))</f>
        <v/>
      </c>
      <c r="D50" s="23"/>
      <c r="E50" s="11"/>
      <c r="F50" s="11"/>
      <c r="G50" s="22"/>
      <c r="H50" s="22"/>
      <c r="I50" s="23"/>
      <c r="J50" s="24"/>
      <c r="K50" s="11"/>
    </row>
    <row r="51" customFormat="false" ht="15" hidden="false" customHeight="false" outlineLevel="0" collapsed="false">
      <c r="A51" s="24"/>
      <c r="B51" s="11"/>
      <c r="C51" s="31" t="str">
        <f aca="false">IF(A51="","",IF(LEN(UPPER(SUBSTITUTE(SUBSTITUTE(SUBSTITUTE(SUBSTITUTE(TRIM(A51),".",""),"/",""),"-","")," ","")))&lt;14,RIGHT(REPT("0",14)&amp;UPPER(SUBSTITUTE(SUBSTITUTE(SUBSTITUTE(SUBSTITUTE(TRIM(A51),".",""),"/",""),"-","")," ","")),14),UPPER(SUBSTITUTE(SUBSTITUTE(SUBSTITUTE(SUBSTITUTE(TRIM(A51),".",""),"/",""),"-","")," ",""))))</f>
        <v/>
      </c>
      <c r="D51" s="23"/>
      <c r="E51" s="11"/>
      <c r="F51" s="11"/>
      <c r="G51" s="22"/>
      <c r="H51" s="22"/>
      <c r="I51" s="23"/>
      <c r="J51" s="24"/>
      <c r="K51" s="11"/>
    </row>
    <row r="52" customFormat="false" ht="15" hidden="false" customHeight="false" outlineLevel="0" collapsed="false">
      <c r="A52" s="24"/>
      <c r="B52" s="11"/>
      <c r="C52" s="31" t="str">
        <f aca="false">IF(A52="","",IF(LEN(UPPER(SUBSTITUTE(SUBSTITUTE(SUBSTITUTE(SUBSTITUTE(TRIM(A52),".",""),"/",""),"-","")," ","")))&lt;14,RIGHT(REPT("0",14)&amp;UPPER(SUBSTITUTE(SUBSTITUTE(SUBSTITUTE(SUBSTITUTE(TRIM(A52),".",""),"/",""),"-","")," ","")),14),UPPER(SUBSTITUTE(SUBSTITUTE(SUBSTITUTE(SUBSTITUTE(TRIM(A52),".",""),"/",""),"-","")," ",""))))</f>
        <v/>
      </c>
      <c r="D52" s="23"/>
      <c r="E52" s="11"/>
      <c r="F52" s="11"/>
      <c r="G52" s="22"/>
      <c r="H52" s="22"/>
      <c r="I52" s="23"/>
      <c r="J52" s="24"/>
      <c r="K52" s="11"/>
    </row>
    <row r="53" customFormat="false" ht="15" hidden="false" customHeight="false" outlineLevel="0" collapsed="false">
      <c r="A53" s="24"/>
      <c r="B53" s="11"/>
      <c r="C53" s="31" t="str">
        <f aca="false">IF(A53="","",IF(LEN(UPPER(SUBSTITUTE(SUBSTITUTE(SUBSTITUTE(SUBSTITUTE(TRIM(A53),".",""),"/",""),"-","")," ","")))&lt;14,RIGHT(REPT("0",14)&amp;UPPER(SUBSTITUTE(SUBSTITUTE(SUBSTITUTE(SUBSTITUTE(TRIM(A53),".",""),"/",""),"-","")," ","")),14),UPPER(SUBSTITUTE(SUBSTITUTE(SUBSTITUTE(SUBSTITUTE(TRIM(A53),".",""),"/",""),"-","")," ",""))))</f>
        <v/>
      </c>
      <c r="D53" s="23"/>
      <c r="E53" s="11"/>
      <c r="F53" s="11"/>
      <c r="G53" s="22"/>
      <c r="H53" s="22"/>
      <c r="I53" s="23"/>
      <c r="J53" s="24"/>
      <c r="K53" s="11"/>
    </row>
    <row r="54" customFormat="false" ht="15" hidden="false" customHeight="false" outlineLevel="0" collapsed="false">
      <c r="A54" s="24"/>
      <c r="B54" s="11"/>
      <c r="C54" s="31" t="str">
        <f aca="false">IF(A54="","",IF(LEN(UPPER(SUBSTITUTE(SUBSTITUTE(SUBSTITUTE(SUBSTITUTE(TRIM(A54),".",""),"/",""),"-","")," ","")))&lt;14,RIGHT(REPT("0",14)&amp;UPPER(SUBSTITUTE(SUBSTITUTE(SUBSTITUTE(SUBSTITUTE(TRIM(A54),".",""),"/",""),"-","")," ","")),14),UPPER(SUBSTITUTE(SUBSTITUTE(SUBSTITUTE(SUBSTITUTE(TRIM(A54),".",""),"/",""),"-","")," ",""))))</f>
        <v/>
      </c>
      <c r="D54" s="23"/>
      <c r="E54" s="11"/>
      <c r="F54" s="11"/>
      <c r="G54" s="22"/>
      <c r="H54" s="22"/>
      <c r="I54" s="23"/>
      <c r="J54" s="24"/>
      <c r="K54" s="11"/>
    </row>
    <row r="55" customFormat="false" ht="15" hidden="false" customHeight="false" outlineLevel="0" collapsed="false">
      <c r="A55" s="24"/>
      <c r="B55" s="11"/>
      <c r="C55" s="31" t="str">
        <f aca="false">IF(A55="","",IF(LEN(UPPER(SUBSTITUTE(SUBSTITUTE(SUBSTITUTE(SUBSTITUTE(TRIM(A55),".",""),"/",""),"-","")," ","")))&lt;14,RIGHT(REPT("0",14)&amp;UPPER(SUBSTITUTE(SUBSTITUTE(SUBSTITUTE(SUBSTITUTE(TRIM(A55),".",""),"/",""),"-","")," ","")),14),UPPER(SUBSTITUTE(SUBSTITUTE(SUBSTITUTE(SUBSTITUTE(TRIM(A55),".",""),"/",""),"-","")," ",""))))</f>
        <v/>
      </c>
      <c r="D55" s="23"/>
      <c r="E55" s="11"/>
      <c r="F55" s="11"/>
      <c r="G55" s="22"/>
      <c r="H55" s="22"/>
      <c r="I55" s="23"/>
      <c r="J55" s="24"/>
      <c r="K55" s="11"/>
    </row>
    <row r="56" customFormat="false" ht="15" hidden="false" customHeight="false" outlineLevel="0" collapsed="false">
      <c r="A56" s="24"/>
      <c r="B56" s="11"/>
      <c r="C56" s="31" t="str">
        <f aca="false">IF(A56="","",IF(LEN(UPPER(SUBSTITUTE(SUBSTITUTE(SUBSTITUTE(SUBSTITUTE(TRIM(A56),".",""),"/",""),"-","")," ","")))&lt;14,RIGHT(REPT("0",14)&amp;UPPER(SUBSTITUTE(SUBSTITUTE(SUBSTITUTE(SUBSTITUTE(TRIM(A56),".",""),"/",""),"-","")," ","")),14),UPPER(SUBSTITUTE(SUBSTITUTE(SUBSTITUTE(SUBSTITUTE(TRIM(A56),".",""),"/",""),"-","")," ",""))))</f>
        <v/>
      </c>
      <c r="D56" s="23"/>
      <c r="E56" s="11"/>
      <c r="F56" s="11"/>
      <c r="G56" s="22"/>
      <c r="H56" s="22"/>
      <c r="I56" s="23"/>
      <c r="J56" s="24"/>
      <c r="K56" s="11"/>
    </row>
    <row r="57" customFormat="false" ht="15" hidden="false" customHeight="false" outlineLevel="0" collapsed="false">
      <c r="A57" s="24"/>
      <c r="B57" s="11"/>
      <c r="C57" s="31" t="str">
        <f aca="false">IF(A57="","",IF(LEN(UPPER(SUBSTITUTE(SUBSTITUTE(SUBSTITUTE(SUBSTITUTE(TRIM(A57),".",""),"/",""),"-","")," ","")))&lt;14,RIGHT(REPT("0",14)&amp;UPPER(SUBSTITUTE(SUBSTITUTE(SUBSTITUTE(SUBSTITUTE(TRIM(A57),".",""),"/",""),"-","")," ","")),14),UPPER(SUBSTITUTE(SUBSTITUTE(SUBSTITUTE(SUBSTITUTE(TRIM(A57),".",""),"/",""),"-","")," ",""))))</f>
        <v/>
      </c>
      <c r="D57" s="23"/>
      <c r="E57" s="11"/>
      <c r="F57" s="11"/>
      <c r="G57" s="22"/>
      <c r="H57" s="22"/>
      <c r="I57" s="23"/>
      <c r="J57" s="24"/>
      <c r="K57" s="11"/>
    </row>
    <row r="58" customFormat="false" ht="15" hidden="false" customHeight="false" outlineLevel="0" collapsed="false">
      <c r="A58" s="24"/>
      <c r="B58" s="11"/>
      <c r="C58" s="31" t="str">
        <f aca="false">IF(A58="","",IF(LEN(UPPER(SUBSTITUTE(SUBSTITUTE(SUBSTITUTE(SUBSTITUTE(TRIM(A58),".",""),"/",""),"-","")," ","")))&lt;14,RIGHT(REPT("0",14)&amp;UPPER(SUBSTITUTE(SUBSTITUTE(SUBSTITUTE(SUBSTITUTE(TRIM(A58),".",""),"/",""),"-","")," ","")),14),UPPER(SUBSTITUTE(SUBSTITUTE(SUBSTITUTE(SUBSTITUTE(TRIM(A58),".",""),"/",""),"-","")," ",""))))</f>
        <v/>
      </c>
      <c r="D58" s="23"/>
      <c r="E58" s="11"/>
      <c r="F58" s="11"/>
      <c r="G58" s="22"/>
      <c r="H58" s="22"/>
      <c r="I58" s="23"/>
      <c r="J58" s="24"/>
      <c r="K58" s="11"/>
    </row>
    <row r="59" customFormat="false" ht="15" hidden="false" customHeight="false" outlineLevel="0" collapsed="false">
      <c r="A59" s="24"/>
      <c r="B59" s="11"/>
      <c r="C59" s="31" t="str">
        <f aca="false">IF(A59="","",IF(LEN(UPPER(SUBSTITUTE(SUBSTITUTE(SUBSTITUTE(SUBSTITUTE(TRIM(A59),".",""),"/",""),"-","")," ","")))&lt;14,RIGHT(REPT("0",14)&amp;UPPER(SUBSTITUTE(SUBSTITUTE(SUBSTITUTE(SUBSTITUTE(TRIM(A59),".",""),"/",""),"-","")," ","")),14),UPPER(SUBSTITUTE(SUBSTITUTE(SUBSTITUTE(SUBSTITUTE(TRIM(A59),".",""),"/",""),"-","")," ",""))))</f>
        <v/>
      </c>
      <c r="D59" s="23"/>
      <c r="E59" s="11"/>
      <c r="F59" s="11"/>
      <c r="G59" s="22"/>
      <c r="H59" s="22"/>
      <c r="I59" s="23"/>
      <c r="J59" s="24"/>
      <c r="K59" s="11"/>
    </row>
    <row r="60" customFormat="false" ht="15" hidden="false" customHeight="false" outlineLevel="0" collapsed="false">
      <c r="A60" s="24"/>
      <c r="B60" s="11"/>
      <c r="C60" s="31" t="str">
        <f aca="false">IF(A60="","",IF(LEN(UPPER(SUBSTITUTE(SUBSTITUTE(SUBSTITUTE(SUBSTITUTE(TRIM(A60),".",""),"/",""),"-","")," ","")))&lt;14,RIGHT(REPT("0",14)&amp;UPPER(SUBSTITUTE(SUBSTITUTE(SUBSTITUTE(SUBSTITUTE(TRIM(A60),".",""),"/",""),"-","")," ","")),14),UPPER(SUBSTITUTE(SUBSTITUTE(SUBSTITUTE(SUBSTITUTE(TRIM(A60),".",""),"/",""),"-","")," ",""))))</f>
        <v/>
      </c>
      <c r="D60" s="23"/>
      <c r="E60" s="11"/>
      <c r="F60" s="11"/>
      <c r="G60" s="22"/>
      <c r="H60" s="22"/>
      <c r="I60" s="23"/>
      <c r="J60" s="24"/>
      <c r="K60" s="11"/>
    </row>
    <row r="61" customFormat="false" ht="15" hidden="false" customHeight="false" outlineLevel="0" collapsed="false">
      <c r="A61" s="24"/>
      <c r="B61" s="11"/>
      <c r="C61" s="31" t="str">
        <f aca="false">IF(A61="","",IF(LEN(UPPER(SUBSTITUTE(SUBSTITUTE(SUBSTITUTE(SUBSTITUTE(TRIM(A61),".",""),"/",""),"-","")," ","")))&lt;14,RIGHT(REPT("0",14)&amp;UPPER(SUBSTITUTE(SUBSTITUTE(SUBSTITUTE(SUBSTITUTE(TRIM(A61),".",""),"/",""),"-","")," ","")),14),UPPER(SUBSTITUTE(SUBSTITUTE(SUBSTITUTE(SUBSTITUTE(TRIM(A61),".",""),"/",""),"-","")," ",""))))</f>
        <v/>
      </c>
      <c r="D61" s="23"/>
      <c r="E61" s="11"/>
      <c r="F61" s="11"/>
      <c r="G61" s="22"/>
      <c r="H61" s="22"/>
      <c r="I61" s="23"/>
      <c r="J61" s="24"/>
      <c r="K61" s="11"/>
    </row>
    <row r="62" customFormat="false" ht="15" hidden="false" customHeight="false" outlineLevel="0" collapsed="false">
      <c r="A62" s="24"/>
      <c r="B62" s="11"/>
      <c r="C62" s="31" t="str">
        <f aca="false">IF(A62="","",IF(LEN(UPPER(SUBSTITUTE(SUBSTITUTE(SUBSTITUTE(SUBSTITUTE(TRIM(A62),".",""),"/",""),"-","")," ","")))&lt;14,RIGHT(REPT("0",14)&amp;UPPER(SUBSTITUTE(SUBSTITUTE(SUBSTITUTE(SUBSTITUTE(TRIM(A62),".",""),"/",""),"-","")," ","")),14),UPPER(SUBSTITUTE(SUBSTITUTE(SUBSTITUTE(SUBSTITUTE(TRIM(A62),".",""),"/",""),"-","")," ",""))))</f>
        <v/>
      </c>
      <c r="D62" s="23"/>
      <c r="E62" s="11"/>
      <c r="F62" s="11"/>
      <c r="G62" s="22"/>
      <c r="H62" s="22"/>
      <c r="I62" s="23"/>
      <c r="J62" s="24"/>
      <c r="K62" s="11"/>
    </row>
    <row r="63" customFormat="false" ht="15" hidden="false" customHeight="false" outlineLevel="0" collapsed="false">
      <c r="A63" s="24"/>
      <c r="B63" s="11"/>
      <c r="C63" s="31" t="str">
        <f aca="false">IF(A63="","",IF(LEN(UPPER(SUBSTITUTE(SUBSTITUTE(SUBSTITUTE(SUBSTITUTE(TRIM(A63),".",""),"/",""),"-","")," ","")))&lt;14,RIGHT(REPT("0",14)&amp;UPPER(SUBSTITUTE(SUBSTITUTE(SUBSTITUTE(SUBSTITUTE(TRIM(A63),".",""),"/",""),"-","")," ","")),14),UPPER(SUBSTITUTE(SUBSTITUTE(SUBSTITUTE(SUBSTITUTE(TRIM(A63),".",""),"/",""),"-","")," ",""))))</f>
        <v/>
      </c>
      <c r="D63" s="23"/>
      <c r="E63" s="11"/>
      <c r="F63" s="11"/>
      <c r="G63" s="22"/>
      <c r="H63" s="22"/>
      <c r="I63" s="23"/>
      <c r="J63" s="24"/>
      <c r="K63" s="11"/>
    </row>
    <row r="64" customFormat="false" ht="15" hidden="false" customHeight="false" outlineLevel="0" collapsed="false">
      <c r="A64" s="24"/>
      <c r="B64" s="11"/>
      <c r="C64" s="31" t="str">
        <f aca="false">IF(A64="","",IF(LEN(UPPER(SUBSTITUTE(SUBSTITUTE(SUBSTITUTE(SUBSTITUTE(TRIM(A64),".",""),"/",""),"-","")," ","")))&lt;14,RIGHT(REPT("0",14)&amp;UPPER(SUBSTITUTE(SUBSTITUTE(SUBSTITUTE(SUBSTITUTE(TRIM(A64),".",""),"/",""),"-","")," ","")),14),UPPER(SUBSTITUTE(SUBSTITUTE(SUBSTITUTE(SUBSTITUTE(TRIM(A64),".",""),"/",""),"-","")," ",""))))</f>
        <v/>
      </c>
      <c r="D64" s="23"/>
      <c r="E64" s="11"/>
      <c r="F64" s="11"/>
      <c r="G64" s="22"/>
      <c r="H64" s="22"/>
      <c r="I64" s="23"/>
      <c r="J64" s="24"/>
      <c r="K64" s="11"/>
    </row>
    <row r="65" customFormat="false" ht="15" hidden="false" customHeight="false" outlineLevel="0" collapsed="false">
      <c r="A65" s="24"/>
      <c r="B65" s="11"/>
      <c r="C65" s="31" t="str">
        <f aca="false">IF(A65="","",IF(LEN(UPPER(SUBSTITUTE(SUBSTITUTE(SUBSTITUTE(SUBSTITUTE(TRIM(A65),".",""),"/",""),"-","")," ","")))&lt;14,RIGHT(REPT("0",14)&amp;UPPER(SUBSTITUTE(SUBSTITUTE(SUBSTITUTE(SUBSTITUTE(TRIM(A65),".",""),"/",""),"-","")," ","")),14),UPPER(SUBSTITUTE(SUBSTITUTE(SUBSTITUTE(SUBSTITUTE(TRIM(A65),".",""),"/",""),"-","")," ",""))))</f>
        <v/>
      </c>
      <c r="D65" s="23"/>
      <c r="E65" s="11"/>
      <c r="F65" s="11"/>
      <c r="G65" s="22"/>
      <c r="H65" s="22"/>
      <c r="I65" s="23"/>
      <c r="J65" s="24"/>
      <c r="K65" s="11"/>
    </row>
    <row r="66" customFormat="false" ht="15" hidden="false" customHeight="false" outlineLevel="0" collapsed="false">
      <c r="A66" s="24"/>
      <c r="B66" s="11"/>
      <c r="C66" s="31" t="str">
        <f aca="false">IF(A66="","",IF(LEN(UPPER(SUBSTITUTE(SUBSTITUTE(SUBSTITUTE(SUBSTITUTE(TRIM(A66),".",""),"/",""),"-","")," ","")))&lt;14,RIGHT(REPT("0",14)&amp;UPPER(SUBSTITUTE(SUBSTITUTE(SUBSTITUTE(SUBSTITUTE(TRIM(A66),".",""),"/",""),"-","")," ","")),14),UPPER(SUBSTITUTE(SUBSTITUTE(SUBSTITUTE(SUBSTITUTE(TRIM(A66),".",""),"/",""),"-","")," ",""))))</f>
        <v/>
      </c>
      <c r="D66" s="23"/>
      <c r="E66" s="11"/>
      <c r="F66" s="11"/>
      <c r="G66" s="22"/>
      <c r="H66" s="22"/>
      <c r="I66" s="23"/>
      <c r="J66" s="24"/>
      <c r="K66" s="11"/>
    </row>
    <row r="67" customFormat="false" ht="15" hidden="false" customHeight="false" outlineLevel="0" collapsed="false">
      <c r="A67" s="24"/>
      <c r="B67" s="11"/>
      <c r="C67" s="31" t="str">
        <f aca="false">IF(A67="","",IF(LEN(UPPER(SUBSTITUTE(SUBSTITUTE(SUBSTITUTE(SUBSTITUTE(TRIM(A67),".",""),"/",""),"-","")," ","")))&lt;14,RIGHT(REPT("0",14)&amp;UPPER(SUBSTITUTE(SUBSTITUTE(SUBSTITUTE(SUBSTITUTE(TRIM(A67),".",""),"/",""),"-","")," ","")),14),UPPER(SUBSTITUTE(SUBSTITUTE(SUBSTITUTE(SUBSTITUTE(TRIM(A67),".",""),"/",""),"-","")," ",""))))</f>
        <v/>
      </c>
      <c r="D67" s="23"/>
      <c r="E67" s="11"/>
      <c r="F67" s="11"/>
      <c r="G67" s="22"/>
      <c r="H67" s="22"/>
      <c r="I67" s="23"/>
      <c r="J67" s="24"/>
      <c r="K67" s="11"/>
    </row>
    <row r="68" customFormat="false" ht="15" hidden="false" customHeight="false" outlineLevel="0" collapsed="false">
      <c r="A68" s="24"/>
      <c r="B68" s="11"/>
      <c r="C68" s="31" t="str">
        <f aca="false">IF(A68="","",IF(LEN(UPPER(SUBSTITUTE(SUBSTITUTE(SUBSTITUTE(SUBSTITUTE(TRIM(A68),".",""),"/",""),"-","")," ","")))&lt;14,RIGHT(REPT("0",14)&amp;UPPER(SUBSTITUTE(SUBSTITUTE(SUBSTITUTE(SUBSTITUTE(TRIM(A68),".",""),"/",""),"-","")," ","")),14),UPPER(SUBSTITUTE(SUBSTITUTE(SUBSTITUTE(SUBSTITUTE(TRIM(A68),".",""),"/",""),"-","")," ",""))))</f>
        <v/>
      </c>
      <c r="D68" s="23"/>
      <c r="E68" s="11"/>
      <c r="F68" s="11"/>
      <c r="G68" s="22"/>
      <c r="H68" s="22"/>
      <c r="I68" s="23"/>
      <c r="J68" s="24"/>
      <c r="K68" s="11"/>
    </row>
    <row r="69" customFormat="false" ht="15" hidden="false" customHeight="false" outlineLevel="0" collapsed="false">
      <c r="A69" s="24"/>
      <c r="B69" s="11"/>
      <c r="C69" s="31" t="str">
        <f aca="false">IF(A69="","",IF(LEN(UPPER(SUBSTITUTE(SUBSTITUTE(SUBSTITUTE(SUBSTITUTE(TRIM(A69),".",""),"/",""),"-","")," ","")))&lt;14,RIGHT(REPT("0",14)&amp;UPPER(SUBSTITUTE(SUBSTITUTE(SUBSTITUTE(SUBSTITUTE(TRIM(A69),".",""),"/",""),"-","")," ","")),14),UPPER(SUBSTITUTE(SUBSTITUTE(SUBSTITUTE(SUBSTITUTE(TRIM(A69),".",""),"/",""),"-","")," ",""))))</f>
        <v/>
      </c>
      <c r="D69" s="23"/>
      <c r="E69" s="11"/>
      <c r="F69" s="11"/>
      <c r="G69" s="22"/>
      <c r="H69" s="22"/>
      <c r="I69" s="23"/>
      <c r="J69" s="24"/>
      <c r="K69" s="11"/>
    </row>
    <row r="70" customFormat="false" ht="15" hidden="false" customHeight="false" outlineLevel="0" collapsed="false">
      <c r="A70" s="24"/>
      <c r="B70" s="11"/>
      <c r="C70" s="31" t="str">
        <f aca="false">IF(A70="","",IF(LEN(UPPER(SUBSTITUTE(SUBSTITUTE(SUBSTITUTE(SUBSTITUTE(TRIM(A70),".",""),"/",""),"-","")," ","")))&lt;14,RIGHT(REPT("0",14)&amp;UPPER(SUBSTITUTE(SUBSTITUTE(SUBSTITUTE(SUBSTITUTE(TRIM(A70),".",""),"/",""),"-","")," ","")),14),UPPER(SUBSTITUTE(SUBSTITUTE(SUBSTITUTE(SUBSTITUTE(TRIM(A70),".",""),"/",""),"-","")," ",""))))</f>
        <v/>
      </c>
      <c r="D70" s="23"/>
      <c r="E70" s="11"/>
      <c r="F70" s="11"/>
      <c r="G70" s="22"/>
      <c r="H70" s="22"/>
      <c r="I70" s="23"/>
      <c r="J70" s="24"/>
      <c r="K70" s="11"/>
    </row>
    <row r="71" customFormat="false" ht="15" hidden="false" customHeight="false" outlineLevel="0" collapsed="false">
      <c r="A71" s="24"/>
      <c r="B71" s="11"/>
      <c r="C71" s="31" t="str">
        <f aca="false">IF(A71="","",IF(LEN(UPPER(SUBSTITUTE(SUBSTITUTE(SUBSTITUTE(SUBSTITUTE(TRIM(A71),".",""),"/",""),"-","")," ","")))&lt;14,RIGHT(REPT("0",14)&amp;UPPER(SUBSTITUTE(SUBSTITUTE(SUBSTITUTE(SUBSTITUTE(TRIM(A71),".",""),"/",""),"-","")," ","")),14),UPPER(SUBSTITUTE(SUBSTITUTE(SUBSTITUTE(SUBSTITUTE(TRIM(A71),".",""),"/",""),"-","")," ",""))))</f>
        <v/>
      </c>
      <c r="D71" s="23"/>
      <c r="E71" s="11"/>
      <c r="F71" s="11"/>
      <c r="G71" s="22"/>
      <c r="H71" s="22"/>
      <c r="I71" s="23"/>
      <c r="J71" s="24"/>
      <c r="K71" s="11"/>
    </row>
    <row r="72" customFormat="false" ht="15" hidden="false" customHeight="false" outlineLevel="0" collapsed="false">
      <c r="A72" s="24"/>
      <c r="B72" s="11"/>
      <c r="C72" s="31" t="str">
        <f aca="false">IF(A72="","",IF(LEN(UPPER(SUBSTITUTE(SUBSTITUTE(SUBSTITUTE(SUBSTITUTE(TRIM(A72),".",""),"/",""),"-","")," ","")))&lt;14,RIGHT(REPT("0",14)&amp;UPPER(SUBSTITUTE(SUBSTITUTE(SUBSTITUTE(SUBSTITUTE(TRIM(A72),".",""),"/",""),"-","")," ","")),14),UPPER(SUBSTITUTE(SUBSTITUTE(SUBSTITUTE(SUBSTITUTE(TRIM(A72),".",""),"/",""),"-","")," ",""))))</f>
        <v/>
      </c>
      <c r="D72" s="23"/>
      <c r="E72" s="11"/>
      <c r="F72" s="11"/>
      <c r="G72" s="22"/>
      <c r="H72" s="22"/>
      <c r="I72" s="23"/>
      <c r="J72" s="24"/>
      <c r="K72" s="11"/>
    </row>
    <row r="73" customFormat="false" ht="15" hidden="false" customHeight="false" outlineLevel="0" collapsed="false">
      <c r="A73" s="24"/>
      <c r="B73" s="11"/>
      <c r="C73" s="31" t="str">
        <f aca="false">IF(A73="","",IF(LEN(UPPER(SUBSTITUTE(SUBSTITUTE(SUBSTITUTE(SUBSTITUTE(TRIM(A73),".",""),"/",""),"-","")," ","")))&lt;14,RIGHT(REPT("0",14)&amp;UPPER(SUBSTITUTE(SUBSTITUTE(SUBSTITUTE(SUBSTITUTE(TRIM(A73),".",""),"/",""),"-","")," ","")),14),UPPER(SUBSTITUTE(SUBSTITUTE(SUBSTITUTE(SUBSTITUTE(TRIM(A73),".",""),"/",""),"-","")," ",""))))</f>
        <v/>
      </c>
      <c r="D73" s="23"/>
      <c r="E73" s="11"/>
      <c r="F73" s="11"/>
      <c r="G73" s="22"/>
      <c r="H73" s="22"/>
      <c r="I73" s="23"/>
      <c r="J73" s="24"/>
      <c r="K73" s="11"/>
    </row>
    <row r="74" customFormat="false" ht="15" hidden="false" customHeight="false" outlineLevel="0" collapsed="false">
      <c r="A74" s="24"/>
      <c r="B74" s="11"/>
      <c r="C74" s="31" t="str">
        <f aca="false">IF(A74="","",IF(LEN(UPPER(SUBSTITUTE(SUBSTITUTE(SUBSTITUTE(SUBSTITUTE(TRIM(A74),".",""),"/",""),"-","")," ","")))&lt;14,RIGHT(REPT("0",14)&amp;UPPER(SUBSTITUTE(SUBSTITUTE(SUBSTITUTE(SUBSTITUTE(TRIM(A74),".",""),"/",""),"-","")," ","")),14),UPPER(SUBSTITUTE(SUBSTITUTE(SUBSTITUTE(SUBSTITUTE(TRIM(A74),".",""),"/",""),"-","")," ",""))))</f>
        <v/>
      </c>
      <c r="D74" s="23"/>
      <c r="E74" s="11"/>
      <c r="F74" s="11"/>
      <c r="G74" s="22"/>
      <c r="H74" s="22"/>
      <c r="I74" s="23"/>
      <c r="J74" s="24"/>
      <c r="K74" s="11"/>
    </row>
    <row r="75" customFormat="false" ht="15" hidden="false" customHeight="false" outlineLevel="0" collapsed="false">
      <c r="A75" s="24"/>
      <c r="B75" s="11"/>
      <c r="C75" s="31" t="str">
        <f aca="false">IF(A75="","",IF(LEN(UPPER(SUBSTITUTE(SUBSTITUTE(SUBSTITUTE(SUBSTITUTE(TRIM(A75),".",""),"/",""),"-","")," ","")))&lt;14,RIGHT(REPT("0",14)&amp;UPPER(SUBSTITUTE(SUBSTITUTE(SUBSTITUTE(SUBSTITUTE(TRIM(A75),".",""),"/",""),"-","")," ","")),14),UPPER(SUBSTITUTE(SUBSTITUTE(SUBSTITUTE(SUBSTITUTE(TRIM(A75),".",""),"/",""),"-","")," ",""))))</f>
        <v/>
      </c>
      <c r="D75" s="23"/>
      <c r="E75" s="11"/>
      <c r="F75" s="11"/>
      <c r="G75" s="22"/>
      <c r="H75" s="22"/>
      <c r="I75" s="23"/>
      <c r="J75" s="24"/>
      <c r="K75" s="11"/>
    </row>
    <row r="76" customFormat="false" ht="15" hidden="false" customHeight="false" outlineLevel="0" collapsed="false">
      <c r="A76" s="24"/>
      <c r="B76" s="11"/>
      <c r="C76" s="31" t="str">
        <f aca="false">IF(A76="","",IF(LEN(UPPER(SUBSTITUTE(SUBSTITUTE(SUBSTITUTE(SUBSTITUTE(TRIM(A76),".",""),"/",""),"-","")," ","")))&lt;14,RIGHT(REPT("0",14)&amp;UPPER(SUBSTITUTE(SUBSTITUTE(SUBSTITUTE(SUBSTITUTE(TRIM(A76),".",""),"/",""),"-","")," ","")),14),UPPER(SUBSTITUTE(SUBSTITUTE(SUBSTITUTE(SUBSTITUTE(TRIM(A76),".",""),"/",""),"-","")," ",""))))</f>
        <v/>
      </c>
      <c r="D76" s="23"/>
      <c r="E76" s="11"/>
      <c r="F76" s="11"/>
      <c r="G76" s="22"/>
      <c r="H76" s="22"/>
      <c r="I76" s="23"/>
      <c r="J76" s="24"/>
      <c r="K76" s="11"/>
    </row>
    <row r="77" customFormat="false" ht="15" hidden="false" customHeight="false" outlineLevel="0" collapsed="false">
      <c r="A77" s="24"/>
      <c r="B77" s="11"/>
      <c r="C77" s="31" t="str">
        <f aca="false">IF(A77="","",IF(LEN(UPPER(SUBSTITUTE(SUBSTITUTE(SUBSTITUTE(SUBSTITUTE(TRIM(A77),".",""),"/",""),"-","")," ","")))&lt;14,RIGHT(REPT("0",14)&amp;UPPER(SUBSTITUTE(SUBSTITUTE(SUBSTITUTE(SUBSTITUTE(TRIM(A77),".",""),"/",""),"-","")," ","")),14),UPPER(SUBSTITUTE(SUBSTITUTE(SUBSTITUTE(SUBSTITUTE(TRIM(A77),".",""),"/",""),"-","")," ",""))))</f>
        <v/>
      </c>
      <c r="D77" s="23"/>
      <c r="E77" s="11"/>
      <c r="F77" s="11"/>
      <c r="G77" s="22"/>
      <c r="H77" s="22"/>
      <c r="I77" s="23"/>
      <c r="J77" s="24"/>
      <c r="K77" s="11"/>
    </row>
    <row r="78" customFormat="false" ht="15" hidden="false" customHeight="false" outlineLevel="0" collapsed="false">
      <c r="A78" s="24"/>
      <c r="B78" s="11"/>
      <c r="C78" s="31" t="str">
        <f aca="false">IF(A78="","",IF(LEN(UPPER(SUBSTITUTE(SUBSTITUTE(SUBSTITUTE(SUBSTITUTE(TRIM(A78),".",""),"/",""),"-","")," ","")))&lt;14,RIGHT(REPT("0",14)&amp;UPPER(SUBSTITUTE(SUBSTITUTE(SUBSTITUTE(SUBSTITUTE(TRIM(A78),".",""),"/",""),"-","")," ","")),14),UPPER(SUBSTITUTE(SUBSTITUTE(SUBSTITUTE(SUBSTITUTE(TRIM(A78),".",""),"/",""),"-","")," ",""))))</f>
        <v/>
      </c>
      <c r="D78" s="23"/>
      <c r="E78" s="11"/>
      <c r="F78" s="11"/>
      <c r="G78" s="22"/>
      <c r="H78" s="22"/>
      <c r="I78" s="23"/>
      <c r="J78" s="24"/>
      <c r="K78" s="11"/>
    </row>
    <row r="79" customFormat="false" ht="15" hidden="false" customHeight="false" outlineLevel="0" collapsed="false">
      <c r="A79" s="24"/>
      <c r="B79" s="11"/>
      <c r="C79" s="31" t="str">
        <f aca="false">IF(A79="","",IF(LEN(UPPER(SUBSTITUTE(SUBSTITUTE(SUBSTITUTE(SUBSTITUTE(TRIM(A79),".",""),"/",""),"-","")," ","")))&lt;14,RIGHT(REPT("0",14)&amp;UPPER(SUBSTITUTE(SUBSTITUTE(SUBSTITUTE(SUBSTITUTE(TRIM(A79),".",""),"/",""),"-","")," ","")),14),UPPER(SUBSTITUTE(SUBSTITUTE(SUBSTITUTE(SUBSTITUTE(TRIM(A79),".",""),"/",""),"-","")," ",""))))</f>
        <v/>
      </c>
      <c r="D79" s="23"/>
      <c r="E79" s="11"/>
      <c r="F79" s="11"/>
      <c r="G79" s="22"/>
      <c r="H79" s="22"/>
      <c r="I79" s="23"/>
      <c r="J79" s="24"/>
      <c r="K79" s="11"/>
    </row>
    <row r="80" customFormat="false" ht="15" hidden="false" customHeight="false" outlineLevel="0" collapsed="false">
      <c r="A80" s="24"/>
      <c r="B80" s="11"/>
      <c r="C80" s="31" t="str">
        <f aca="false">IF(A80="","",IF(LEN(UPPER(SUBSTITUTE(SUBSTITUTE(SUBSTITUTE(SUBSTITUTE(TRIM(A80),".",""),"/",""),"-","")," ","")))&lt;14,RIGHT(REPT("0",14)&amp;UPPER(SUBSTITUTE(SUBSTITUTE(SUBSTITUTE(SUBSTITUTE(TRIM(A80),".",""),"/",""),"-","")," ","")),14),UPPER(SUBSTITUTE(SUBSTITUTE(SUBSTITUTE(SUBSTITUTE(TRIM(A80),".",""),"/",""),"-","")," ",""))))</f>
        <v/>
      </c>
      <c r="D80" s="23"/>
      <c r="E80" s="11"/>
      <c r="F80" s="11"/>
      <c r="G80" s="22"/>
      <c r="H80" s="22"/>
      <c r="I80" s="23"/>
      <c r="J80" s="24"/>
      <c r="K80" s="11"/>
    </row>
    <row r="81" customFormat="false" ht="15" hidden="false" customHeight="false" outlineLevel="0" collapsed="false">
      <c r="A81" s="24"/>
      <c r="B81" s="11"/>
      <c r="C81" s="31" t="str">
        <f aca="false">IF(A81="","",IF(LEN(UPPER(SUBSTITUTE(SUBSTITUTE(SUBSTITUTE(SUBSTITUTE(TRIM(A81),".",""),"/",""),"-","")," ","")))&lt;14,RIGHT(REPT("0",14)&amp;UPPER(SUBSTITUTE(SUBSTITUTE(SUBSTITUTE(SUBSTITUTE(TRIM(A81),".",""),"/",""),"-","")," ","")),14),UPPER(SUBSTITUTE(SUBSTITUTE(SUBSTITUTE(SUBSTITUTE(TRIM(A81),".",""),"/",""),"-","")," ",""))))</f>
        <v/>
      </c>
      <c r="D81" s="23"/>
      <c r="E81" s="11"/>
      <c r="F81" s="11"/>
      <c r="G81" s="22"/>
      <c r="H81" s="22"/>
      <c r="I81" s="23"/>
      <c r="J81" s="24"/>
      <c r="K81" s="11"/>
    </row>
    <row r="82" customFormat="false" ht="15" hidden="false" customHeight="false" outlineLevel="0" collapsed="false">
      <c r="A82" s="24"/>
      <c r="B82" s="11"/>
      <c r="C82" s="31" t="str">
        <f aca="false">IF(A82="","",IF(LEN(UPPER(SUBSTITUTE(SUBSTITUTE(SUBSTITUTE(SUBSTITUTE(TRIM(A82),".",""),"/",""),"-","")," ","")))&lt;14,RIGHT(REPT("0",14)&amp;UPPER(SUBSTITUTE(SUBSTITUTE(SUBSTITUTE(SUBSTITUTE(TRIM(A82),".",""),"/",""),"-","")," ","")),14),UPPER(SUBSTITUTE(SUBSTITUTE(SUBSTITUTE(SUBSTITUTE(TRIM(A82),".",""),"/",""),"-","")," ",""))))</f>
        <v/>
      </c>
      <c r="D82" s="23"/>
      <c r="E82" s="11"/>
      <c r="F82" s="11"/>
      <c r="G82" s="22"/>
      <c r="H82" s="22"/>
      <c r="I82" s="23"/>
      <c r="J82" s="24"/>
      <c r="K82" s="11"/>
    </row>
    <row r="83" customFormat="false" ht="15" hidden="false" customHeight="false" outlineLevel="0" collapsed="false">
      <c r="A83" s="24"/>
      <c r="B83" s="11"/>
      <c r="C83" s="31" t="str">
        <f aca="false">IF(A83="","",IF(LEN(UPPER(SUBSTITUTE(SUBSTITUTE(SUBSTITUTE(SUBSTITUTE(TRIM(A83),".",""),"/",""),"-","")," ","")))&lt;14,RIGHT(REPT("0",14)&amp;UPPER(SUBSTITUTE(SUBSTITUTE(SUBSTITUTE(SUBSTITUTE(TRIM(A83),".",""),"/",""),"-","")," ","")),14),UPPER(SUBSTITUTE(SUBSTITUTE(SUBSTITUTE(SUBSTITUTE(TRIM(A83),".",""),"/",""),"-","")," ",""))))</f>
        <v/>
      </c>
      <c r="D83" s="23"/>
      <c r="E83" s="11"/>
      <c r="F83" s="11"/>
      <c r="G83" s="22"/>
      <c r="H83" s="22"/>
      <c r="I83" s="23"/>
      <c r="J83" s="24"/>
      <c r="K83" s="11"/>
    </row>
    <row r="84" customFormat="false" ht="15" hidden="false" customHeight="false" outlineLevel="0" collapsed="false">
      <c r="A84" s="24"/>
      <c r="B84" s="11"/>
      <c r="C84" s="31" t="str">
        <f aca="false">IF(A84="","",IF(LEN(UPPER(SUBSTITUTE(SUBSTITUTE(SUBSTITUTE(SUBSTITUTE(TRIM(A84),".",""),"/",""),"-","")," ","")))&lt;14,RIGHT(REPT("0",14)&amp;UPPER(SUBSTITUTE(SUBSTITUTE(SUBSTITUTE(SUBSTITUTE(TRIM(A84),".",""),"/",""),"-","")," ","")),14),UPPER(SUBSTITUTE(SUBSTITUTE(SUBSTITUTE(SUBSTITUTE(TRIM(A84),".",""),"/",""),"-","")," ",""))))</f>
        <v/>
      </c>
      <c r="D84" s="23"/>
      <c r="E84" s="11"/>
      <c r="F84" s="11"/>
      <c r="G84" s="22"/>
      <c r="H84" s="22"/>
      <c r="I84" s="23"/>
      <c r="J84" s="24"/>
      <c r="K84" s="11"/>
    </row>
    <row r="85" customFormat="false" ht="15" hidden="false" customHeight="false" outlineLevel="0" collapsed="false">
      <c r="A85" s="24"/>
      <c r="B85" s="11"/>
      <c r="C85" s="31" t="str">
        <f aca="false">IF(A85="","",IF(LEN(UPPER(SUBSTITUTE(SUBSTITUTE(SUBSTITUTE(SUBSTITUTE(TRIM(A85),".",""),"/",""),"-","")," ","")))&lt;14,RIGHT(REPT("0",14)&amp;UPPER(SUBSTITUTE(SUBSTITUTE(SUBSTITUTE(SUBSTITUTE(TRIM(A85),".",""),"/",""),"-","")," ","")),14),UPPER(SUBSTITUTE(SUBSTITUTE(SUBSTITUTE(SUBSTITUTE(TRIM(A85),".",""),"/",""),"-","")," ",""))))</f>
        <v/>
      </c>
      <c r="D85" s="23"/>
      <c r="E85" s="11"/>
      <c r="F85" s="11"/>
      <c r="G85" s="22"/>
      <c r="H85" s="22"/>
      <c r="I85" s="23"/>
      <c r="J85" s="24"/>
      <c r="K85" s="11"/>
    </row>
    <row r="86" customFormat="false" ht="15" hidden="false" customHeight="false" outlineLevel="0" collapsed="false">
      <c r="A86" s="24"/>
      <c r="B86" s="11"/>
      <c r="C86" s="31" t="str">
        <f aca="false">IF(A86="","",IF(LEN(UPPER(SUBSTITUTE(SUBSTITUTE(SUBSTITUTE(SUBSTITUTE(TRIM(A86),".",""),"/",""),"-","")," ","")))&lt;14,RIGHT(REPT("0",14)&amp;UPPER(SUBSTITUTE(SUBSTITUTE(SUBSTITUTE(SUBSTITUTE(TRIM(A86),".",""),"/",""),"-","")," ","")),14),UPPER(SUBSTITUTE(SUBSTITUTE(SUBSTITUTE(SUBSTITUTE(TRIM(A86),".",""),"/",""),"-","")," ",""))))</f>
        <v/>
      </c>
      <c r="D86" s="23"/>
      <c r="E86" s="11"/>
      <c r="F86" s="11"/>
      <c r="G86" s="22"/>
      <c r="H86" s="22"/>
      <c r="I86" s="23"/>
      <c r="J86" s="24"/>
      <c r="K86" s="11"/>
    </row>
    <row r="87" customFormat="false" ht="15" hidden="false" customHeight="false" outlineLevel="0" collapsed="false">
      <c r="A87" s="24"/>
      <c r="B87" s="11"/>
      <c r="C87" s="31" t="str">
        <f aca="false">IF(A87="","",IF(LEN(UPPER(SUBSTITUTE(SUBSTITUTE(SUBSTITUTE(SUBSTITUTE(TRIM(A87),".",""),"/",""),"-","")," ","")))&lt;14,RIGHT(REPT("0",14)&amp;UPPER(SUBSTITUTE(SUBSTITUTE(SUBSTITUTE(SUBSTITUTE(TRIM(A87),".",""),"/",""),"-","")," ","")),14),UPPER(SUBSTITUTE(SUBSTITUTE(SUBSTITUTE(SUBSTITUTE(TRIM(A87),".",""),"/",""),"-","")," ",""))))</f>
        <v/>
      </c>
      <c r="D87" s="23"/>
      <c r="E87" s="11"/>
      <c r="F87" s="11"/>
      <c r="G87" s="22"/>
      <c r="H87" s="22"/>
      <c r="I87" s="23"/>
      <c r="J87" s="24"/>
      <c r="K87" s="11"/>
    </row>
    <row r="88" customFormat="false" ht="15" hidden="false" customHeight="false" outlineLevel="0" collapsed="false">
      <c r="A88" s="24"/>
      <c r="B88" s="11"/>
      <c r="C88" s="31" t="str">
        <f aca="false">IF(A88="","",IF(LEN(UPPER(SUBSTITUTE(SUBSTITUTE(SUBSTITUTE(SUBSTITUTE(TRIM(A88),".",""),"/",""),"-","")," ","")))&lt;14,RIGHT(REPT("0",14)&amp;UPPER(SUBSTITUTE(SUBSTITUTE(SUBSTITUTE(SUBSTITUTE(TRIM(A88),".",""),"/",""),"-","")," ","")),14),UPPER(SUBSTITUTE(SUBSTITUTE(SUBSTITUTE(SUBSTITUTE(TRIM(A88),".",""),"/",""),"-","")," ",""))))</f>
        <v/>
      </c>
      <c r="D88" s="23"/>
      <c r="E88" s="11"/>
      <c r="F88" s="11"/>
      <c r="G88" s="22"/>
      <c r="H88" s="22"/>
      <c r="I88" s="23"/>
      <c r="J88" s="24"/>
      <c r="K88" s="11"/>
    </row>
    <row r="89" customFormat="false" ht="15" hidden="false" customHeight="false" outlineLevel="0" collapsed="false">
      <c r="A89" s="24"/>
      <c r="B89" s="11"/>
      <c r="C89" s="31" t="str">
        <f aca="false">IF(A89="","",IF(LEN(UPPER(SUBSTITUTE(SUBSTITUTE(SUBSTITUTE(SUBSTITUTE(TRIM(A89),".",""),"/",""),"-","")," ","")))&lt;14,RIGHT(REPT("0",14)&amp;UPPER(SUBSTITUTE(SUBSTITUTE(SUBSTITUTE(SUBSTITUTE(TRIM(A89),".",""),"/",""),"-","")," ","")),14),UPPER(SUBSTITUTE(SUBSTITUTE(SUBSTITUTE(SUBSTITUTE(TRIM(A89),".",""),"/",""),"-","")," ",""))))</f>
        <v/>
      </c>
      <c r="D89" s="23"/>
      <c r="E89" s="11"/>
      <c r="F89" s="11"/>
      <c r="G89" s="22"/>
      <c r="H89" s="22"/>
      <c r="I89" s="23"/>
      <c r="J89" s="24"/>
      <c r="K89" s="11"/>
    </row>
    <row r="90" customFormat="false" ht="15" hidden="false" customHeight="false" outlineLevel="0" collapsed="false">
      <c r="A90" s="24"/>
      <c r="B90" s="11"/>
      <c r="C90" s="31" t="str">
        <f aca="false">IF(A90="","",IF(LEN(UPPER(SUBSTITUTE(SUBSTITUTE(SUBSTITUTE(SUBSTITUTE(TRIM(A90),".",""),"/",""),"-","")," ","")))&lt;14,RIGHT(REPT("0",14)&amp;UPPER(SUBSTITUTE(SUBSTITUTE(SUBSTITUTE(SUBSTITUTE(TRIM(A90),".",""),"/",""),"-","")," ","")),14),UPPER(SUBSTITUTE(SUBSTITUTE(SUBSTITUTE(SUBSTITUTE(TRIM(A90),".",""),"/",""),"-","")," ",""))))</f>
        <v/>
      </c>
      <c r="D90" s="23"/>
      <c r="E90" s="11"/>
      <c r="F90" s="11"/>
      <c r="G90" s="22"/>
      <c r="H90" s="22"/>
      <c r="I90" s="23"/>
      <c r="J90" s="24"/>
      <c r="K90" s="11"/>
    </row>
    <row r="91" customFormat="false" ht="15" hidden="false" customHeight="false" outlineLevel="0" collapsed="false">
      <c r="A91" s="24"/>
      <c r="B91" s="11"/>
      <c r="C91" s="31" t="str">
        <f aca="false">IF(A91="","",IF(LEN(UPPER(SUBSTITUTE(SUBSTITUTE(SUBSTITUTE(SUBSTITUTE(TRIM(A91),".",""),"/",""),"-","")," ","")))&lt;14,RIGHT(REPT("0",14)&amp;UPPER(SUBSTITUTE(SUBSTITUTE(SUBSTITUTE(SUBSTITUTE(TRIM(A91),".",""),"/",""),"-","")," ","")),14),UPPER(SUBSTITUTE(SUBSTITUTE(SUBSTITUTE(SUBSTITUTE(TRIM(A91),".",""),"/",""),"-","")," ",""))))</f>
        <v/>
      </c>
      <c r="D91" s="23"/>
      <c r="E91" s="11"/>
      <c r="F91" s="11"/>
      <c r="G91" s="22"/>
      <c r="H91" s="22"/>
      <c r="I91" s="23"/>
      <c r="J91" s="24"/>
      <c r="K91" s="11"/>
    </row>
    <row r="92" customFormat="false" ht="15" hidden="false" customHeight="false" outlineLevel="0" collapsed="false">
      <c r="A92" s="24"/>
      <c r="B92" s="11"/>
      <c r="C92" s="31" t="str">
        <f aca="false">IF(A92="","",IF(LEN(UPPER(SUBSTITUTE(SUBSTITUTE(SUBSTITUTE(SUBSTITUTE(TRIM(A92),".",""),"/",""),"-","")," ","")))&lt;14,RIGHT(REPT("0",14)&amp;UPPER(SUBSTITUTE(SUBSTITUTE(SUBSTITUTE(SUBSTITUTE(TRIM(A92),".",""),"/",""),"-","")," ","")),14),UPPER(SUBSTITUTE(SUBSTITUTE(SUBSTITUTE(SUBSTITUTE(TRIM(A92),".",""),"/",""),"-","")," ",""))))</f>
        <v/>
      </c>
      <c r="D92" s="23"/>
      <c r="E92" s="11"/>
      <c r="F92" s="11"/>
      <c r="G92" s="22"/>
      <c r="H92" s="22"/>
      <c r="I92" s="23"/>
      <c r="J92" s="24"/>
      <c r="K92" s="11"/>
    </row>
    <row r="93" customFormat="false" ht="15" hidden="false" customHeight="false" outlineLevel="0" collapsed="false">
      <c r="A93" s="24"/>
      <c r="B93" s="11"/>
      <c r="C93" s="31" t="str">
        <f aca="false">IF(A93="","",IF(LEN(UPPER(SUBSTITUTE(SUBSTITUTE(SUBSTITUTE(SUBSTITUTE(TRIM(A93),".",""),"/",""),"-","")," ","")))&lt;14,RIGHT(REPT("0",14)&amp;UPPER(SUBSTITUTE(SUBSTITUTE(SUBSTITUTE(SUBSTITUTE(TRIM(A93),".",""),"/",""),"-","")," ","")),14),UPPER(SUBSTITUTE(SUBSTITUTE(SUBSTITUTE(SUBSTITUTE(TRIM(A93),".",""),"/",""),"-","")," ",""))))</f>
        <v/>
      </c>
      <c r="D93" s="23"/>
      <c r="E93" s="11"/>
      <c r="F93" s="11"/>
      <c r="G93" s="22"/>
      <c r="H93" s="22"/>
      <c r="I93" s="23"/>
      <c r="J93" s="24"/>
      <c r="K93" s="11"/>
    </row>
    <row r="94" customFormat="false" ht="15" hidden="false" customHeight="false" outlineLevel="0" collapsed="false">
      <c r="A94" s="24"/>
      <c r="B94" s="11"/>
      <c r="C94" s="31" t="str">
        <f aca="false">IF(A94="","",IF(LEN(UPPER(SUBSTITUTE(SUBSTITUTE(SUBSTITUTE(SUBSTITUTE(TRIM(A94),".",""),"/",""),"-","")," ","")))&lt;14,RIGHT(REPT("0",14)&amp;UPPER(SUBSTITUTE(SUBSTITUTE(SUBSTITUTE(SUBSTITUTE(TRIM(A94),".",""),"/",""),"-","")," ","")),14),UPPER(SUBSTITUTE(SUBSTITUTE(SUBSTITUTE(SUBSTITUTE(TRIM(A94),".",""),"/",""),"-","")," ",""))))</f>
        <v/>
      </c>
      <c r="D94" s="23"/>
      <c r="E94" s="11"/>
      <c r="F94" s="11"/>
      <c r="G94" s="22"/>
      <c r="H94" s="22"/>
      <c r="I94" s="23"/>
      <c r="J94" s="24"/>
      <c r="K94" s="11"/>
    </row>
    <row r="95" customFormat="false" ht="15" hidden="false" customHeight="false" outlineLevel="0" collapsed="false">
      <c r="A95" s="24"/>
      <c r="B95" s="11"/>
      <c r="C95" s="31" t="str">
        <f aca="false">IF(A95="","",IF(LEN(UPPER(SUBSTITUTE(SUBSTITUTE(SUBSTITUTE(SUBSTITUTE(TRIM(A95),".",""),"/",""),"-","")," ","")))&lt;14,RIGHT(REPT("0",14)&amp;UPPER(SUBSTITUTE(SUBSTITUTE(SUBSTITUTE(SUBSTITUTE(TRIM(A95),".",""),"/",""),"-","")," ","")),14),UPPER(SUBSTITUTE(SUBSTITUTE(SUBSTITUTE(SUBSTITUTE(TRIM(A95),".",""),"/",""),"-","")," ",""))))</f>
        <v/>
      </c>
      <c r="D95" s="23"/>
      <c r="E95" s="11"/>
      <c r="F95" s="11"/>
      <c r="G95" s="22"/>
      <c r="H95" s="22"/>
      <c r="I95" s="23"/>
      <c r="J95" s="24"/>
      <c r="K95" s="11"/>
    </row>
    <row r="96" customFormat="false" ht="15" hidden="false" customHeight="false" outlineLevel="0" collapsed="false">
      <c r="A96" s="24"/>
      <c r="B96" s="11"/>
      <c r="C96" s="31" t="str">
        <f aca="false">IF(A96="","",IF(LEN(UPPER(SUBSTITUTE(SUBSTITUTE(SUBSTITUTE(SUBSTITUTE(TRIM(A96),".",""),"/",""),"-","")," ","")))&lt;14,RIGHT(REPT("0",14)&amp;UPPER(SUBSTITUTE(SUBSTITUTE(SUBSTITUTE(SUBSTITUTE(TRIM(A96),".",""),"/",""),"-","")," ","")),14),UPPER(SUBSTITUTE(SUBSTITUTE(SUBSTITUTE(SUBSTITUTE(TRIM(A96),".",""),"/",""),"-","")," ",""))))</f>
        <v/>
      </c>
      <c r="D96" s="23"/>
      <c r="E96" s="11"/>
      <c r="F96" s="11"/>
      <c r="G96" s="22"/>
      <c r="H96" s="22"/>
      <c r="I96" s="23"/>
      <c r="J96" s="24"/>
      <c r="K96" s="11"/>
    </row>
    <row r="97" customFormat="false" ht="15" hidden="false" customHeight="false" outlineLevel="0" collapsed="false">
      <c r="A97" s="24"/>
      <c r="B97" s="11"/>
      <c r="C97" s="31" t="str">
        <f aca="false">IF(A97="","",IF(LEN(UPPER(SUBSTITUTE(SUBSTITUTE(SUBSTITUTE(SUBSTITUTE(TRIM(A97),".",""),"/",""),"-","")," ","")))&lt;14,RIGHT(REPT("0",14)&amp;UPPER(SUBSTITUTE(SUBSTITUTE(SUBSTITUTE(SUBSTITUTE(TRIM(A97),".",""),"/",""),"-","")," ","")),14),UPPER(SUBSTITUTE(SUBSTITUTE(SUBSTITUTE(SUBSTITUTE(TRIM(A97),".",""),"/",""),"-","")," ",""))))</f>
        <v/>
      </c>
      <c r="D97" s="23"/>
      <c r="E97" s="11"/>
      <c r="F97" s="11"/>
      <c r="G97" s="22"/>
      <c r="H97" s="22"/>
      <c r="I97" s="23"/>
      <c r="J97" s="24"/>
      <c r="K97" s="11"/>
    </row>
    <row r="98" customFormat="false" ht="15" hidden="false" customHeight="false" outlineLevel="0" collapsed="false">
      <c r="A98" s="24"/>
      <c r="B98" s="11"/>
      <c r="C98" s="31" t="str">
        <f aca="false">IF(A98="","",IF(LEN(UPPER(SUBSTITUTE(SUBSTITUTE(SUBSTITUTE(SUBSTITUTE(TRIM(A98),".",""),"/",""),"-","")," ","")))&lt;14,RIGHT(REPT("0",14)&amp;UPPER(SUBSTITUTE(SUBSTITUTE(SUBSTITUTE(SUBSTITUTE(TRIM(A98),".",""),"/",""),"-","")," ","")),14),UPPER(SUBSTITUTE(SUBSTITUTE(SUBSTITUTE(SUBSTITUTE(TRIM(A98),".",""),"/",""),"-","")," ",""))))</f>
        <v/>
      </c>
      <c r="D98" s="23"/>
      <c r="E98" s="11"/>
      <c r="F98" s="11"/>
      <c r="G98" s="22"/>
      <c r="H98" s="22"/>
      <c r="I98" s="23"/>
      <c r="J98" s="24"/>
      <c r="K98" s="11"/>
    </row>
    <row r="99" customFormat="false" ht="15" hidden="false" customHeight="false" outlineLevel="0" collapsed="false">
      <c r="A99" s="24"/>
      <c r="B99" s="11"/>
      <c r="C99" s="31" t="str">
        <f aca="false">IF(A99="","",IF(LEN(UPPER(SUBSTITUTE(SUBSTITUTE(SUBSTITUTE(SUBSTITUTE(TRIM(A99),".",""),"/",""),"-","")," ","")))&lt;14,RIGHT(REPT("0",14)&amp;UPPER(SUBSTITUTE(SUBSTITUTE(SUBSTITUTE(SUBSTITUTE(TRIM(A99),".",""),"/",""),"-","")," ","")),14),UPPER(SUBSTITUTE(SUBSTITUTE(SUBSTITUTE(SUBSTITUTE(TRIM(A99),".",""),"/",""),"-","")," ",""))))</f>
        <v/>
      </c>
      <c r="D99" s="23"/>
      <c r="E99" s="11"/>
      <c r="F99" s="11"/>
      <c r="G99" s="22"/>
      <c r="H99" s="22"/>
      <c r="I99" s="23"/>
      <c r="J99" s="24"/>
      <c r="K99" s="11"/>
    </row>
    <row r="100" customFormat="false" ht="15" hidden="false" customHeight="false" outlineLevel="0" collapsed="false">
      <c r="A100" s="24"/>
      <c r="B100" s="11"/>
      <c r="C100" s="31" t="str">
        <f aca="false">IF(A100="","",IF(LEN(UPPER(SUBSTITUTE(SUBSTITUTE(SUBSTITUTE(SUBSTITUTE(TRIM(A100),".",""),"/",""),"-","")," ","")))&lt;14,RIGHT(REPT("0",14)&amp;UPPER(SUBSTITUTE(SUBSTITUTE(SUBSTITUTE(SUBSTITUTE(TRIM(A100),".",""),"/",""),"-","")," ","")),14),UPPER(SUBSTITUTE(SUBSTITUTE(SUBSTITUTE(SUBSTITUTE(TRIM(A100),".",""),"/",""),"-","")," ",""))))</f>
        <v/>
      </c>
      <c r="D100" s="23"/>
      <c r="E100" s="11"/>
      <c r="F100" s="11"/>
      <c r="G100" s="22"/>
      <c r="H100" s="22"/>
      <c r="I100" s="23"/>
      <c r="J100" s="24"/>
      <c r="K100" s="11"/>
    </row>
    <row r="101" customFormat="false" ht="15" hidden="false" customHeight="false" outlineLevel="0" collapsed="false">
      <c r="A101" s="24"/>
      <c r="B101" s="11"/>
      <c r="C101" s="31" t="str">
        <f aca="false">IF(A101="","",IF(LEN(UPPER(SUBSTITUTE(SUBSTITUTE(SUBSTITUTE(SUBSTITUTE(TRIM(A101),".",""),"/",""),"-","")," ","")))&lt;14,RIGHT(REPT("0",14)&amp;UPPER(SUBSTITUTE(SUBSTITUTE(SUBSTITUTE(SUBSTITUTE(TRIM(A101),".",""),"/",""),"-","")," ","")),14),UPPER(SUBSTITUTE(SUBSTITUTE(SUBSTITUTE(SUBSTITUTE(TRIM(A101),".",""),"/",""),"-","")," ",""))))</f>
        <v/>
      </c>
      <c r="D101" s="23"/>
      <c r="E101" s="11"/>
      <c r="F101" s="11"/>
      <c r="G101" s="22"/>
      <c r="H101" s="22"/>
      <c r="I101" s="23"/>
      <c r="J101" s="24"/>
      <c r="K101" s="11"/>
    </row>
    <row r="102" customFormat="false" ht="15" hidden="false" customHeight="false" outlineLevel="0" collapsed="false">
      <c r="A102" s="24"/>
      <c r="B102" s="11"/>
      <c r="C102" s="31" t="str">
        <f aca="false">IF(A102="","",IF(LEN(UPPER(SUBSTITUTE(SUBSTITUTE(SUBSTITUTE(SUBSTITUTE(TRIM(A102),".",""),"/",""),"-","")," ","")))&lt;14,RIGHT(REPT("0",14)&amp;UPPER(SUBSTITUTE(SUBSTITUTE(SUBSTITUTE(SUBSTITUTE(TRIM(A102),".",""),"/",""),"-","")," ","")),14),UPPER(SUBSTITUTE(SUBSTITUTE(SUBSTITUTE(SUBSTITUTE(TRIM(A102),".",""),"/",""),"-","")," ",""))))</f>
        <v/>
      </c>
      <c r="D102" s="23"/>
      <c r="E102" s="11"/>
      <c r="F102" s="11"/>
      <c r="G102" s="22"/>
      <c r="H102" s="22"/>
      <c r="I102" s="23"/>
      <c r="J102" s="24"/>
      <c r="K102" s="11"/>
    </row>
    <row r="103" customFormat="false" ht="15" hidden="false" customHeight="false" outlineLevel="0" collapsed="false">
      <c r="A103" s="24"/>
      <c r="B103" s="11"/>
      <c r="C103" s="31" t="str">
        <f aca="false">IF(A103="","",IF(LEN(UPPER(SUBSTITUTE(SUBSTITUTE(SUBSTITUTE(SUBSTITUTE(TRIM(A103),".",""),"/",""),"-","")," ","")))&lt;14,RIGHT(REPT("0",14)&amp;UPPER(SUBSTITUTE(SUBSTITUTE(SUBSTITUTE(SUBSTITUTE(TRIM(A103),".",""),"/",""),"-","")," ","")),14),UPPER(SUBSTITUTE(SUBSTITUTE(SUBSTITUTE(SUBSTITUTE(TRIM(A103),".",""),"/",""),"-","")," ",""))))</f>
        <v/>
      </c>
      <c r="D103" s="23"/>
      <c r="E103" s="11"/>
      <c r="F103" s="11"/>
      <c r="G103" s="22"/>
      <c r="H103" s="22"/>
      <c r="I103" s="23"/>
      <c r="J103" s="24"/>
      <c r="K103" s="11"/>
    </row>
    <row r="104" customFormat="false" ht="15" hidden="false" customHeight="false" outlineLevel="0" collapsed="false">
      <c r="A104" s="24"/>
      <c r="B104" s="11"/>
      <c r="C104" s="31" t="str">
        <f aca="false">IF(A104="","",IF(LEN(UPPER(SUBSTITUTE(SUBSTITUTE(SUBSTITUTE(SUBSTITUTE(TRIM(A104),".",""),"/",""),"-","")," ","")))&lt;14,RIGHT(REPT("0",14)&amp;UPPER(SUBSTITUTE(SUBSTITUTE(SUBSTITUTE(SUBSTITUTE(TRIM(A104),".",""),"/",""),"-","")," ","")),14),UPPER(SUBSTITUTE(SUBSTITUTE(SUBSTITUTE(SUBSTITUTE(TRIM(A104),".",""),"/",""),"-","")," ",""))))</f>
        <v/>
      </c>
      <c r="D104" s="23"/>
      <c r="E104" s="11"/>
      <c r="F104" s="11"/>
      <c r="G104" s="22"/>
      <c r="H104" s="22"/>
      <c r="I104" s="23"/>
      <c r="J104" s="24"/>
      <c r="K104" s="11"/>
    </row>
    <row r="105" customFormat="false" ht="15" hidden="false" customHeight="false" outlineLevel="0" collapsed="false">
      <c r="A105" s="24"/>
      <c r="B105" s="11"/>
      <c r="C105" s="31" t="str">
        <f aca="false">IF(A105="","",IF(LEN(UPPER(SUBSTITUTE(SUBSTITUTE(SUBSTITUTE(SUBSTITUTE(TRIM(A105),".",""),"/",""),"-","")," ","")))&lt;14,RIGHT(REPT("0",14)&amp;UPPER(SUBSTITUTE(SUBSTITUTE(SUBSTITUTE(SUBSTITUTE(TRIM(A105),".",""),"/",""),"-","")," ","")),14),UPPER(SUBSTITUTE(SUBSTITUTE(SUBSTITUTE(SUBSTITUTE(TRIM(A105),".",""),"/",""),"-","")," ",""))))</f>
        <v/>
      </c>
      <c r="D105" s="23"/>
      <c r="E105" s="11"/>
      <c r="F105" s="11"/>
      <c r="G105" s="22"/>
      <c r="H105" s="22"/>
      <c r="I105" s="23"/>
      <c r="J105" s="24"/>
      <c r="K105" s="11"/>
    </row>
    <row r="106" customFormat="false" ht="15" hidden="false" customHeight="false" outlineLevel="0" collapsed="false">
      <c r="A106" s="24"/>
      <c r="B106" s="11"/>
      <c r="C106" s="31" t="str">
        <f aca="false">IF(A106="","",IF(LEN(UPPER(SUBSTITUTE(SUBSTITUTE(SUBSTITUTE(SUBSTITUTE(TRIM(A106),".",""),"/",""),"-","")," ","")))&lt;14,RIGHT(REPT("0",14)&amp;UPPER(SUBSTITUTE(SUBSTITUTE(SUBSTITUTE(SUBSTITUTE(TRIM(A106),".",""),"/",""),"-","")," ","")),14),UPPER(SUBSTITUTE(SUBSTITUTE(SUBSTITUTE(SUBSTITUTE(TRIM(A106),".",""),"/",""),"-","")," ",""))))</f>
        <v/>
      </c>
      <c r="D106" s="23"/>
      <c r="E106" s="11"/>
      <c r="F106" s="11"/>
      <c r="G106" s="22"/>
      <c r="H106" s="22"/>
      <c r="I106" s="23"/>
      <c r="J106" s="24"/>
      <c r="K106" s="11"/>
    </row>
    <row r="107" customFormat="false" ht="15" hidden="false" customHeight="false" outlineLevel="0" collapsed="false">
      <c r="A107" s="24"/>
      <c r="B107" s="11"/>
      <c r="C107" s="31" t="str">
        <f aca="false">IF(A107="","",IF(LEN(UPPER(SUBSTITUTE(SUBSTITUTE(SUBSTITUTE(SUBSTITUTE(TRIM(A107),".",""),"/",""),"-","")," ","")))&lt;14,RIGHT(REPT("0",14)&amp;UPPER(SUBSTITUTE(SUBSTITUTE(SUBSTITUTE(SUBSTITUTE(TRIM(A107),".",""),"/",""),"-","")," ","")),14),UPPER(SUBSTITUTE(SUBSTITUTE(SUBSTITUTE(SUBSTITUTE(TRIM(A107),".",""),"/",""),"-","")," ",""))))</f>
        <v/>
      </c>
      <c r="D107" s="23"/>
      <c r="E107" s="11"/>
      <c r="F107" s="11"/>
      <c r="G107" s="22"/>
      <c r="H107" s="22"/>
      <c r="I107" s="23"/>
      <c r="J107" s="24"/>
      <c r="K107" s="11"/>
    </row>
    <row r="108" customFormat="false" ht="15" hidden="false" customHeight="false" outlineLevel="0" collapsed="false">
      <c r="A108" s="24"/>
      <c r="B108" s="11"/>
      <c r="C108" s="31" t="str">
        <f aca="false">IF(A108="","",IF(LEN(UPPER(SUBSTITUTE(SUBSTITUTE(SUBSTITUTE(SUBSTITUTE(TRIM(A108),".",""),"/",""),"-","")," ","")))&lt;14,RIGHT(REPT("0",14)&amp;UPPER(SUBSTITUTE(SUBSTITUTE(SUBSTITUTE(SUBSTITUTE(TRIM(A108),".",""),"/",""),"-","")," ","")),14),UPPER(SUBSTITUTE(SUBSTITUTE(SUBSTITUTE(SUBSTITUTE(TRIM(A108),".",""),"/",""),"-","")," ",""))))</f>
        <v/>
      </c>
      <c r="D108" s="23"/>
      <c r="E108" s="11"/>
      <c r="F108" s="11"/>
      <c r="G108" s="22"/>
      <c r="H108" s="22"/>
      <c r="I108" s="23"/>
      <c r="J108" s="24"/>
      <c r="K108" s="11"/>
    </row>
    <row r="109" customFormat="false" ht="15" hidden="false" customHeight="false" outlineLevel="0" collapsed="false">
      <c r="A109" s="24"/>
      <c r="B109" s="11"/>
      <c r="C109" s="31" t="str">
        <f aca="false">IF(A109="","",IF(LEN(UPPER(SUBSTITUTE(SUBSTITUTE(SUBSTITUTE(SUBSTITUTE(TRIM(A109),".",""),"/",""),"-","")," ","")))&lt;14,RIGHT(REPT("0",14)&amp;UPPER(SUBSTITUTE(SUBSTITUTE(SUBSTITUTE(SUBSTITUTE(TRIM(A109),".",""),"/",""),"-","")," ","")),14),UPPER(SUBSTITUTE(SUBSTITUTE(SUBSTITUTE(SUBSTITUTE(TRIM(A109),".",""),"/",""),"-","")," ",""))))</f>
        <v/>
      </c>
      <c r="D109" s="23"/>
      <c r="E109" s="11"/>
      <c r="F109" s="11"/>
      <c r="G109" s="22"/>
      <c r="H109" s="22"/>
      <c r="I109" s="23"/>
      <c r="J109" s="24"/>
      <c r="K109" s="11"/>
    </row>
    <row r="110" customFormat="false" ht="15" hidden="false" customHeight="false" outlineLevel="0" collapsed="false">
      <c r="A110" s="24"/>
      <c r="B110" s="11"/>
      <c r="C110" s="31" t="str">
        <f aca="false">IF(A110="","",IF(LEN(UPPER(SUBSTITUTE(SUBSTITUTE(SUBSTITUTE(SUBSTITUTE(TRIM(A110),".",""),"/",""),"-","")," ","")))&lt;14,RIGHT(REPT("0",14)&amp;UPPER(SUBSTITUTE(SUBSTITUTE(SUBSTITUTE(SUBSTITUTE(TRIM(A110),".",""),"/",""),"-","")," ","")),14),UPPER(SUBSTITUTE(SUBSTITUTE(SUBSTITUTE(SUBSTITUTE(TRIM(A110),".",""),"/",""),"-","")," ",""))))</f>
        <v/>
      </c>
      <c r="D110" s="23"/>
      <c r="E110" s="11"/>
      <c r="F110" s="11"/>
      <c r="G110" s="22"/>
      <c r="H110" s="22"/>
      <c r="I110" s="23"/>
      <c r="J110" s="24"/>
      <c r="K110" s="11"/>
    </row>
    <row r="111" customFormat="false" ht="15" hidden="false" customHeight="false" outlineLevel="0" collapsed="false">
      <c r="A111" s="24"/>
      <c r="B111" s="11"/>
      <c r="C111" s="31" t="str">
        <f aca="false">IF(A111="","",IF(LEN(UPPER(SUBSTITUTE(SUBSTITUTE(SUBSTITUTE(SUBSTITUTE(TRIM(A111),".",""),"/",""),"-","")," ","")))&lt;14,RIGHT(REPT("0",14)&amp;UPPER(SUBSTITUTE(SUBSTITUTE(SUBSTITUTE(SUBSTITUTE(TRIM(A111),".",""),"/",""),"-","")," ","")),14),UPPER(SUBSTITUTE(SUBSTITUTE(SUBSTITUTE(SUBSTITUTE(TRIM(A111),".",""),"/",""),"-","")," ",""))))</f>
        <v/>
      </c>
      <c r="D111" s="23"/>
      <c r="E111" s="11"/>
      <c r="F111" s="11"/>
      <c r="G111" s="22"/>
      <c r="H111" s="22"/>
      <c r="I111" s="23"/>
      <c r="J111" s="24"/>
      <c r="K111" s="11"/>
    </row>
    <row r="112" customFormat="false" ht="15" hidden="false" customHeight="false" outlineLevel="0" collapsed="false">
      <c r="A112" s="24"/>
      <c r="B112" s="11"/>
      <c r="C112" s="31" t="str">
        <f aca="false">IF(A112="","",IF(LEN(UPPER(SUBSTITUTE(SUBSTITUTE(SUBSTITUTE(SUBSTITUTE(TRIM(A112),".",""),"/",""),"-","")," ","")))&lt;14,RIGHT(REPT("0",14)&amp;UPPER(SUBSTITUTE(SUBSTITUTE(SUBSTITUTE(SUBSTITUTE(TRIM(A112),".",""),"/",""),"-","")," ","")),14),UPPER(SUBSTITUTE(SUBSTITUTE(SUBSTITUTE(SUBSTITUTE(TRIM(A112),".",""),"/",""),"-","")," ",""))))</f>
        <v/>
      </c>
      <c r="D112" s="23"/>
      <c r="E112" s="11"/>
      <c r="F112" s="11"/>
      <c r="G112" s="22"/>
      <c r="H112" s="22"/>
      <c r="I112" s="23"/>
      <c r="J112" s="24"/>
      <c r="K112" s="11"/>
    </row>
    <row r="113" customFormat="false" ht="15" hidden="false" customHeight="false" outlineLevel="0" collapsed="false">
      <c r="A113" s="24"/>
      <c r="B113" s="11"/>
      <c r="C113" s="31" t="str">
        <f aca="false">IF(A113="","",IF(LEN(UPPER(SUBSTITUTE(SUBSTITUTE(SUBSTITUTE(SUBSTITUTE(TRIM(A113),".",""),"/",""),"-","")," ","")))&lt;14,RIGHT(REPT("0",14)&amp;UPPER(SUBSTITUTE(SUBSTITUTE(SUBSTITUTE(SUBSTITUTE(TRIM(A113),".",""),"/",""),"-","")," ","")),14),UPPER(SUBSTITUTE(SUBSTITUTE(SUBSTITUTE(SUBSTITUTE(TRIM(A113),".",""),"/",""),"-","")," ",""))))</f>
        <v/>
      </c>
      <c r="D113" s="23"/>
      <c r="E113" s="11"/>
      <c r="F113" s="11"/>
      <c r="G113" s="22"/>
      <c r="H113" s="22"/>
      <c r="I113" s="23"/>
      <c r="J113" s="24"/>
      <c r="K113" s="11"/>
    </row>
    <row r="114" customFormat="false" ht="15" hidden="false" customHeight="false" outlineLevel="0" collapsed="false">
      <c r="A114" s="24"/>
      <c r="B114" s="11"/>
      <c r="C114" s="31" t="str">
        <f aca="false">IF(A114="","",IF(LEN(UPPER(SUBSTITUTE(SUBSTITUTE(SUBSTITUTE(SUBSTITUTE(TRIM(A114),".",""),"/",""),"-","")," ","")))&lt;14,RIGHT(REPT("0",14)&amp;UPPER(SUBSTITUTE(SUBSTITUTE(SUBSTITUTE(SUBSTITUTE(TRIM(A114),".",""),"/",""),"-","")," ","")),14),UPPER(SUBSTITUTE(SUBSTITUTE(SUBSTITUTE(SUBSTITUTE(TRIM(A114),".",""),"/",""),"-","")," ",""))))</f>
        <v/>
      </c>
      <c r="D114" s="23"/>
      <c r="E114" s="11"/>
      <c r="F114" s="11"/>
      <c r="G114" s="22"/>
      <c r="H114" s="22"/>
      <c r="I114" s="23"/>
      <c r="J114" s="24"/>
      <c r="K114" s="11"/>
    </row>
    <row r="115" customFormat="false" ht="15" hidden="false" customHeight="false" outlineLevel="0" collapsed="false">
      <c r="A115" s="24"/>
      <c r="B115" s="11"/>
      <c r="C115" s="31" t="str">
        <f aca="false">IF(A115="","",IF(LEN(UPPER(SUBSTITUTE(SUBSTITUTE(SUBSTITUTE(SUBSTITUTE(TRIM(A115),".",""),"/",""),"-","")," ","")))&lt;14,RIGHT(REPT("0",14)&amp;UPPER(SUBSTITUTE(SUBSTITUTE(SUBSTITUTE(SUBSTITUTE(TRIM(A115),".",""),"/",""),"-","")," ","")),14),UPPER(SUBSTITUTE(SUBSTITUTE(SUBSTITUTE(SUBSTITUTE(TRIM(A115),".",""),"/",""),"-","")," ",""))))</f>
        <v/>
      </c>
      <c r="D115" s="23"/>
      <c r="E115" s="11"/>
      <c r="F115" s="11"/>
      <c r="G115" s="22"/>
      <c r="H115" s="22"/>
      <c r="I115" s="23"/>
      <c r="J115" s="24"/>
      <c r="K115" s="11"/>
    </row>
    <row r="116" customFormat="false" ht="15" hidden="false" customHeight="false" outlineLevel="0" collapsed="false">
      <c r="A116" s="24"/>
      <c r="B116" s="11"/>
      <c r="C116" s="31" t="str">
        <f aca="false">IF(A116="","",IF(LEN(UPPER(SUBSTITUTE(SUBSTITUTE(SUBSTITUTE(SUBSTITUTE(TRIM(A116),".",""),"/",""),"-","")," ","")))&lt;14,RIGHT(REPT("0",14)&amp;UPPER(SUBSTITUTE(SUBSTITUTE(SUBSTITUTE(SUBSTITUTE(TRIM(A116),".",""),"/",""),"-","")," ","")),14),UPPER(SUBSTITUTE(SUBSTITUTE(SUBSTITUTE(SUBSTITUTE(TRIM(A116),".",""),"/",""),"-","")," ",""))))</f>
        <v/>
      </c>
      <c r="D116" s="23"/>
      <c r="E116" s="11"/>
      <c r="F116" s="11"/>
      <c r="G116" s="22"/>
      <c r="H116" s="22"/>
      <c r="I116" s="23"/>
      <c r="J116" s="24"/>
      <c r="K116" s="11"/>
    </row>
    <row r="117" customFormat="false" ht="15" hidden="false" customHeight="false" outlineLevel="0" collapsed="false">
      <c r="A117" s="24"/>
      <c r="B117" s="11"/>
      <c r="C117" s="31" t="str">
        <f aca="false">IF(A117="","",IF(LEN(UPPER(SUBSTITUTE(SUBSTITUTE(SUBSTITUTE(SUBSTITUTE(TRIM(A117),".",""),"/",""),"-","")," ","")))&lt;14,RIGHT(REPT("0",14)&amp;UPPER(SUBSTITUTE(SUBSTITUTE(SUBSTITUTE(SUBSTITUTE(TRIM(A117),".",""),"/",""),"-","")," ","")),14),UPPER(SUBSTITUTE(SUBSTITUTE(SUBSTITUTE(SUBSTITUTE(TRIM(A117),".",""),"/",""),"-","")," ",""))))</f>
        <v/>
      </c>
      <c r="D117" s="23"/>
      <c r="E117" s="11"/>
      <c r="F117" s="11"/>
      <c r="G117" s="22"/>
      <c r="H117" s="22"/>
      <c r="I117" s="23"/>
      <c r="J117" s="24"/>
      <c r="K117" s="11"/>
    </row>
    <row r="118" customFormat="false" ht="15" hidden="false" customHeight="false" outlineLevel="0" collapsed="false">
      <c r="A118" s="24"/>
      <c r="B118" s="11"/>
      <c r="C118" s="31" t="str">
        <f aca="false">IF(A118="","",IF(LEN(UPPER(SUBSTITUTE(SUBSTITUTE(SUBSTITUTE(SUBSTITUTE(TRIM(A118),".",""),"/",""),"-","")," ","")))&lt;14,RIGHT(REPT("0",14)&amp;UPPER(SUBSTITUTE(SUBSTITUTE(SUBSTITUTE(SUBSTITUTE(TRIM(A118),".",""),"/",""),"-","")," ","")),14),UPPER(SUBSTITUTE(SUBSTITUTE(SUBSTITUTE(SUBSTITUTE(TRIM(A118),".",""),"/",""),"-","")," ",""))))</f>
        <v/>
      </c>
      <c r="D118" s="23"/>
      <c r="E118" s="11"/>
      <c r="F118" s="11"/>
      <c r="G118" s="22"/>
      <c r="H118" s="22"/>
      <c r="I118" s="23"/>
      <c r="J118" s="24"/>
      <c r="K118" s="11"/>
    </row>
    <row r="119" customFormat="false" ht="15" hidden="false" customHeight="false" outlineLevel="0" collapsed="false">
      <c r="A119" s="24"/>
      <c r="B119" s="11"/>
      <c r="C119" s="31" t="str">
        <f aca="false">IF(A119="","",IF(LEN(UPPER(SUBSTITUTE(SUBSTITUTE(SUBSTITUTE(SUBSTITUTE(TRIM(A119),".",""),"/",""),"-","")," ","")))&lt;14,RIGHT(REPT("0",14)&amp;UPPER(SUBSTITUTE(SUBSTITUTE(SUBSTITUTE(SUBSTITUTE(TRIM(A119),".",""),"/",""),"-","")," ","")),14),UPPER(SUBSTITUTE(SUBSTITUTE(SUBSTITUTE(SUBSTITUTE(TRIM(A119),".",""),"/",""),"-","")," ",""))))</f>
        <v/>
      </c>
      <c r="D119" s="23"/>
      <c r="E119" s="11"/>
      <c r="F119" s="11"/>
      <c r="G119" s="22"/>
      <c r="H119" s="22"/>
      <c r="I119" s="23"/>
      <c r="J119" s="24"/>
      <c r="K119" s="11"/>
    </row>
    <row r="120" customFormat="false" ht="15" hidden="false" customHeight="false" outlineLevel="0" collapsed="false">
      <c r="A120" s="24"/>
      <c r="B120" s="11"/>
      <c r="C120" s="31" t="str">
        <f aca="false">IF(A120="","",IF(LEN(UPPER(SUBSTITUTE(SUBSTITUTE(SUBSTITUTE(SUBSTITUTE(TRIM(A120),".",""),"/",""),"-","")," ","")))&lt;14,RIGHT(REPT("0",14)&amp;UPPER(SUBSTITUTE(SUBSTITUTE(SUBSTITUTE(SUBSTITUTE(TRIM(A120),".",""),"/",""),"-","")," ","")),14),UPPER(SUBSTITUTE(SUBSTITUTE(SUBSTITUTE(SUBSTITUTE(TRIM(A120),".",""),"/",""),"-","")," ",""))))</f>
        <v/>
      </c>
      <c r="D120" s="23"/>
      <c r="E120" s="11"/>
      <c r="F120" s="11"/>
      <c r="G120" s="22"/>
      <c r="H120" s="22"/>
      <c r="I120" s="23"/>
      <c r="J120" s="24"/>
      <c r="K120" s="11"/>
    </row>
    <row r="121" customFormat="false" ht="15" hidden="false" customHeight="false" outlineLevel="0" collapsed="false">
      <c r="A121" s="24"/>
      <c r="B121" s="11"/>
      <c r="C121" s="31" t="str">
        <f aca="false">IF(A121="","",IF(LEN(UPPER(SUBSTITUTE(SUBSTITUTE(SUBSTITUTE(SUBSTITUTE(TRIM(A121),".",""),"/",""),"-","")," ","")))&lt;14,RIGHT(REPT("0",14)&amp;UPPER(SUBSTITUTE(SUBSTITUTE(SUBSTITUTE(SUBSTITUTE(TRIM(A121),".",""),"/",""),"-","")," ","")),14),UPPER(SUBSTITUTE(SUBSTITUTE(SUBSTITUTE(SUBSTITUTE(TRIM(A121),".",""),"/",""),"-","")," ",""))))</f>
        <v/>
      </c>
      <c r="D121" s="23"/>
      <c r="E121" s="11"/>
      <c r="F121" s="11"/>
      <c r="G121" s="22"/>
      <c r="H121" s="22"/>
      <c r="I121" s="23"/>
      <c r="J121" s="24"/>
      <c r="K121" s="11"/>
    </row>
    <row r="122" customFormat="false" ht="15" hidden="false" customHeight="false" outlineLevel="0" collapsed="false">
      <c r="A122" s="24"/>
      <c r="B122" s="11"/>
      <c r="C122" s="31" t="str">
        <f aca="false">IF(A122="","",IF(LEN(UPPER(SUBSTITUTE(SUBSTITUTE(SUBSTITUTE(SUBSTITUTE(TRIM(A122),".",""),"/",""),"-","")," ","")))&lt;14,RIGHT(REPT("0",14)&amp;UPPER(SUBSTITUTE(SUBSTITUTE(SUBSTITUTE(SUBSTITUTE(TRIM(A122),".",""),"/",""),"-","")," ","")),14),UPPER(SUBSTITUTE(SUBSTITUTE(SUBSTITUTE(SUBSTITUTE(TRIM(A122),".",""),"/",""),"-","")," ",""))))</f>
        <v/>
      </c>
      <c r="D122" s="23"/>
      <c r="E122" s="11"/>
      <c r="F122" s="11"/>
      <c r="G122" s="22"/>
      <c r="H122" s="22"/>
      <c r="I122" s="23"/>
      <c r="J122" s="24"/>
      <c r="K122" s="11"/>
    </row>
    <row r="123" customFormat="false" ht="15" hidden="false" customHeight="false" outlineLevel="0" collapsed="false">
      <c r="A123" s="24"/>
      <c r="B123" s="11"/>
      <c r="C123" s="31" t="str">
        <f aca="false">IF(A123="","",IF(LEN(UPPER(SUBSTITUTE(SUBSTITUTE(SUBSTITUTE(SUBSTITUTE(TRIM(A123),".",""),"/",""),"-","")," ","")))&lt;14,RIGHT(REPT("0",14)&amp;UPPER(SUBSTITUTE(SUBSTITUTE(SUBSTITUTE(SUBSTITUTE(TRIM(A123),".",""),"/",""),"-","")," ","")),14),UPPER(SUBSTITUTE(SUBSTITUTE(SUBSTITUTE(SUBSTITUTE(TRIM(A123),".",""),"/",""),"-","")," ",""))))</f>
        <v/>
      </c>
      <c r="D123" s="23"/>
      <c r="E123" s="11"/>
      <c r="F123" s="11"/>
      <c r="G123" s="22"/>
      <c r="H123" s="22"/>
      <c r="I123" s="23"/>
      <c r="J123" s="24"/>
      <c r="K123" s="11"/>
    </row>
    <row r="124" customFormat="false" ht="15" hidden="false" customHeight="false" outlineLevel="0" collapsed="false">
      <c r="A124" s="24"/>
      <c r="B124" s="11"/>
      <c r="C124" s="31" t="str">
        <f aca="false">IF(A124="","",IF(LEN(UPPER(SUBSTITUTE(SUBSTITUTE(SUBSTITUTE(SUBSTITUTE(TRIM(A124),".",""),"/",""),"-","")," ","")))&lt;14,RIGHT(REPT("0",14)&amp;UPPER(SUBSTITUTE(SUBSTITUTE(SUBSTITUTE(SUBSTITUTE(TRIM(A124),".",""),"/",""),"-","")," ","")),14),UPPER(SUBSTITUTE(SUBSTITUTE(SUBSTITUTE(SUBSTITUTE(TRIM(A124),".",""),"/",""),"-","")," ",""))))</f>
        <v/>
      </c>
      <c r="D124" s="23"/>
      <c r="E124" s="11"/>
      <c r="F124" s="11"/>
      <c r="G124" s="22"/>
      <c r="H124" s="22"/>
      <c r="I124" s="23"/>
      <c r="J124" s="24"/>
      <c r="K124" s="11"/>
    </row>
    <row r="125" customFormat="false" ht="15" hidden="false" customHeight="false" outlineLevel="0" collapsed="false">
      <c r="A125" s="24"/>
      <c r="B125" s="11"/>
      <c r="C125" s="31" t="str">
        <f aca="false">IF(A125="","",IF(LEN(UPPER(SUBSTITUTE(SUBSTITUTE(SUBSTITUTE(SUBSTITUTE(TRIM(A125),".",""),"/",""),"-","")," ","")))&lt;14,RIGHT(REPT("0",14)&amp;UPPER(SUBSTITUTE(SUBSTITUTE(SUBSTITUTE(SUBSTITUTE(TRIM(A125),".",""),"/",""),"-","")," ","")),14),UPPER(SUBSTITUTE(SUBSTITUTE(SUBSTITUTE(SUBSTITUTE(TRIM(A125),".",""),"/",""),"-","")," ",""))))</f>
        <v/>
      </c>
      <c r="D125" s="23"/>
      <c r="E125" s="11"/>
      <c r="F125" s="11"/>
      <c r="G125" s="22"/>
      <c r="H125" s="22"/>
      <c r="I125" s="23"/>
      <c r="J125" s="24"/>
      <c r="K125" s="11"/>
    </row>
    <row r="126" customFormat="false" ht="15" hidden="false" customHeight="false" outlineLevel="0" collapsed="false">
      <c r="A126" s="24"/>
      <c r="B126" s="11"/>
      <c r="C126" s="31" t="str">
        <f aca="false">IF(A126="","",IF(LEN(UPPER(SUBSTITUTE(SUBSTITUTE(SUBSTITUTE(SUBSTITUTE(TRIM(A126),".",""),"/",""),"-","")," ","")))&lt;14,RIGHT(REPT("0",14)&amp;UPPER(SUBSTITUTE(SUBSTITUTE(SUBSTITUTE(SUBSTITUTE(TRIM(A126),".",""),"/",""),"-","")," ","")),14),UPPER(SUBSTITUTE(SUBSTITUTE(SUBSTITUTE(SUBSTITUTE(TRIM(A126),".",""),"/",""),"-","")," ",""))))</f>
        <v/>
      </c>
      <c r="D126" s="23"/>
      <c r="E126" s="11"/>
      <c r="F126" s="11"/>
      <c r="G126" s="22"/>
      <c r="H126" s="22"/>
      <c r="I126" s="23"/>
      <c r="J126" s="24"/>
      <c r="K126" s="11"/>
    </row>
    <row r="127" customFormat="false" ht="15" hidden="false" customHeight="false" outlineLevel="0" collapsed="false">
      <c r="A127" s="24"/>
      <c r="B127" s="11"/>
      <c r="C127" s="31" t="str">
        <f aca="false">IF(A127="","",IF(LEN(UPPER(SUBSTITUTE(SUBSTITUTE(SUBSTITUTE(SUBSTITUTE(TRIM(A127),".",""),"/",""),"-","")," ","")))&lt;14,RIGHT(REPT("0",14)&amp;UPPER(SUBSTITUTE(SUBSTITUTE(SUBSTITUTE(SUBSTITUTE(TRIM(A127),".",""),"/",""),"-","")," ","")),14),UPPER(SUBSTITUTE(SUBSTITUTE(SUBSTITUTE(SUBSTITUTE(TRIM(A127),".",""),"/",""),"-","")," ",""))))</f>
        <v/>
      </c>
      <c r="D127" s="23"/>
      <c r="E127" s="11"/>
      <c r="F127" s="11"/>
      <c r="G127" s="22"/>
      <c r="H127" s="22"/>
      <c r="I127" s="23"/>
      <c r="J127" s="24"/>
      <c r="K127" s="11"/>
    </row>
    <row r="128" customFormat="false" ht="15" hidden="false" customHeight="false" outlineLevel="0" collapsed="false">
      <c r="A128" s="24"/>
      <c r="B128" s="11"/>
      <c r="C128" s="31" t="str">
        <f aca="false">IF(A128="","",IF(LEN(UPPER(SUBSTITUTE(SUBSTITUTE(SUBSTITUTE(SUBSTITUTE(TRIM(A128),".",""),"/",""),"-","")," ","")))&lt;14,RIGHT(REPT("0",14)&amp;UPPER(SUBSTITUTE(SUBSTITUTE(SUBSTITUTE(SUBSTITUTE(TRIM(A128),".",""),"/",""),"-","")," ","")),14),UPPER(SUBSTITUTE(SUBSTITUTE(SUBSTITUTE(SUBSTITUTE(TRIM(A128),".",""),"/",""),"-","")," ",""))))</f>
        <v/>
      </c>
      <c r="D128" s="23"/>
      <c r="E128" s="11"/>
      <c r="F128" s="11"/>
      <c r="G128" s="22"/>
      <c r="H128" s="22"/>
      <c r="I128" s="23"/>
      <c r="J128" s="24"/>
      <c r="K128" s="11"/>
    </row>
    <row r="129" customFormat="false" ht="15" hidden="false" customHeight="false" outlineLevel="0" collapsed="false">
      <c r="A129" s="24"/>
      <c r="B129" s="11"/>
      <c r="C129" s="31" t="str">
        <f aca="false">IF(A129="","",IF(LEN(UPPER(SUBSTITUTE(SUBSTITUTE(SUBSTITUTE(SUBSTITUTE(TRIM(A129),".",""),"/",""),"-","")," ","")))&lt;14,RIGHT(REPT("0",14)&amp;UPPER(SUBSTITUTE(SUBSTITUTE(SUBSTITUTE(SUBSTITUTE(TRIM(A129),".",""),"/",""),"-","")," ","")),14),UPPER(SUBSTITUTE(SUBSTITUTE(SUBSTITUTE(SUBSTITUTE(TRIM(A129),".",""),"/",""),"-","")," ",""))))</f>
        <v/>
      </c>
      <c r="D129" s="23"/>
      <c r="E129" s="11"/>
      <c r="F129" s="11"/>
      <c r="G129" s="22"/>
      <c r="H129" s="22"/>
      <c r="I129" s="23"/>
      <c r="J129" s="24"/>
      <c r="K129" s="11"/>
    </row>
    <row r="130" customFormat="false" ht="15" hidden="false" customHeight="false" outlineLevel="0" collapsed="false">
      <c r="A130" s="24"/>
      <c r="B130" s="11"/>
      <c r="C130" s="31" t="str">
        <f aca="false">IF(A130="","",IF(LEN(UPPER(SUBSTITUTE(SUBSTITUTE(SUBSTITUTE(SUBSTITUTE(TRIM(A130),".",""),"/",""),"-","")," ","")))&lt;14,RIGHT(REPT("0",14)&amp;UPPER(SUBSTITUTE(SUBSTITUTE(SUBSTITUTE(SUBSTITUTE(TRIM(A130),".",""),"/",""),"-","")," ","")),14),UPPER(SUBSTITUTE(SUBSTITUTE(SUBSTITUTE(SUBSTITUTE(TRIM(A130),".",""),"/",""),"-","")," ",""))))</f>
        <v/>
      </c>
      <c r="D130" s="23"/>
      <c r="E130" s="11"/>
      <c r="F130" s="11"/>
      <c r="G130" s="22"/>
      <c r="H130" s="22"/>
      <c r="I130" s="23"/>
      <c r="J130" s="24"/>
      <c r="K130" s="11"/>
    </row>
    <row r="131" customFormat="false" ht="15" hidden="false" customHeight="false" outlineLevel="0" collapsed="false">
      <c r="A131" s="24"/>
      <c r="B131" s="11"/>
      <c r="C131" s="31" t="str">
        <f aca="false">IF(A131="","",IF(LEN(UPPER(SUBSTITUTE(SUBSTITUTE(SUBSTITUTE(SUBSTITUTE(TRIM(A131),".",""),"/",""),"-","")," ","")))&lt;14,RIGHT(REPT("0",14)&amp;UPPER(SUBSTITUTE(SUBSTITUTE(SUBSTITUTE(SUBSTITUTE(TRIM(A131),".",""),"/",""),"-","")," ","")),14),UPPER(SUBSTITUTE(SUBSTITUTE(SUBSTITUTE(SUBSTITUTE(TRIM(A131),".",""),"/",""),"-","")," ",""))))</f>
        <v/>
      </c>
      <c r="D131" s="23"/>
      <c r="E131" s="11"/>
      <c r="F131" s="11"/>
      <c r="G131" s="22"/>
      <c r="H131" s="22"/>
      <c r="I131" s="23"/>
      <c r="J131" s="24"/>
      <c r="K131" s="11"/>
    </row>
    <row r="132" customFormat="false" ht="15" hidden="false" customHeight="false" outlineLevel="0" collapsed="false">
      <c r="A132" s="24"/>
      <c r="B132" s="11"/>
      <c r="C132" s="31" t="str">
        <f aca="false">IF(A132="","",IF(LEN(UPPER(SUBSTITUTE(SUBSTITUTE(SUBSTITUTE(SUBSTITUTE(TRIM(A132),".",""),"/",""),"-","")," ","")))&lt;14,RIGHT(REPT("0",14)&amp;UPPER(SUBSTITUTE(SUBSTITUTE(SUBSTITUTE(SUBSTITUTE(TRIM(A132),".",""),"/",""),"-","")," ","")),14),UPPER(SUBSTITUTE(SUBSTITUTE(SUBSTITUTE(SUBSTITUTE(TRIM(A132),".",""),"/",""),"-","")," ",""))))</f>
        <v/>
      </c>
      <c r="D132" s="23"/>
      <c r="E132" s="11"/>
      <c r="F132" s="11"/>
      <c r="G132" s="22"/>
      <c r="H132" s="22"/>
      <c r="I132" s="23"/>
      <c r="J132" s="24"/>
      <c r="K132" s="11"/>
    </row>
    <row r="133" customFormat="false" ht="15" hidden="false" customHeight="false" outlineLevel="0" collapsed="false">
      <c r="A133" s="24"/>
      <c r="B133" s="11"/>
      <c r="C133" s="31" t="str">
        <f aca="false">IF(A133="","",IF(LEN(UPPER(SUBSTITUTE(SUBSTITUTE(SUBSTITUTE(SUBSTITUTE(TRIM(A133),".",""),"/",""),"-","")," ","")))&lt;14,RIGHT(REPT("0",14)&amp;UPPER(SUBSTITUTE(SUBSTITUTE(SUBSTITUTE(SUBSTITUTE(TRIM(A133),".",""),"/",""),"-","")," ","")),14),UPPER(SUBSTITUTE(SUBSTITUTE(SUBSTITUTE(SUBSTITUTE(TRIM(A133),".",""),"/",""),"-","")," ",""))))</f>
        <v/>
      </c>
      <c r="D133" s="23"/>
      <c r="E133" s="11"/>
      <c r="F133" s="11"/>
      <c r="G133" s="22"/>
      <c r="H133" s="22"/>
      <c r="I133" s="23"/>
      <c r="J133" s="24"/>
      <c r="K133" s="11"/>
    </row>
    <row r="134" customFormat="false" ht="15" hidden="false" customHeight="false" outlineLevel="0" collapsed="false">
      <c r="A134" s="24"/>
      <c r="B134" s="11"/>
      <c r="C134" s="31" t="str">
        <f aca="false">IF(A134="","",IF(LEN(UPPER(SUBSTITUTE(SUBSTITUTE(SUBSTITUTE(SUBSTITUTE(TRIM(A134),".",""),"/",""),"-","")," ","")))&lt;14,RIGHT(REPT("0",14)&amp;UPPER(SUBSTITUTE(SUBSTITUTE(SUBSTITUTE(SUBSTITUTE(TRIM(A134),".",""),"/",""),"-","")," ","")),14),UPPER(SUBSTITUTE(SUBSTITUTE(SUBSTITUTE(SUBSTITUTE(TRIM(A134),".",""),"/",""),"-","")," ",""))))</f>
        <v/>
      </c>
      <c r="D134" s="23"/>
      <c r="E134" s="11"/>
      <c r="F134" s="11"/>
      <c r="G134" s="22"/>
      <c r="H134" s="22"/>
      <c r="I134" s="23"/>
      <c r="J134" s="24"/>
      <c r="K134" s="11"/>
    </row>
    <row r="135" customFormat="false" ht="15" hidden="false" customHeight="false" outlineLevel="0" collapsed="false">
      <c r="A135" s="24"/>
      <c r="B135" s="11"/>
      <c r="C135" s="31" t="str">
        <f aca="false">IF(A135="","",IF(LEN(UPPER(SUBSTITUTE(SUBSTITUTE(SUBSTITUTE(SUBSTITUTE(TRIM(A135),".",""),"/",""),"-","")," ","")))&lt;14,RIGHT(REPT("0",14)&amp;UPPER(SUBSTITUTE(SUBSTITUTE(SUBSTITUTE(SUBSTITUTE(TRIM(A135),".",""),"/",""),"-","")," ","")),14),UPPER(SUBSTITUTE(SUBSTITUTE(SUBSTITUTE(SUBSTITUTE(TRIM(A135),".",""),"/",""),"-","")," ",""))))</f>
        <v/>
      </c>
      <c r="D135" s="23"/>
      <c r="E135" s="11"/>
      <c r="F135" s="11"/>
      <c r="G135" s="22"/>
      <c r="H135" s="22"/>
      <c r="I135" s="23"/>
      <c r="J135" s="24"/>
      <c r="K135" s="11"/>
    </row>
    <row r="136" customFormat="false" ht="15" hidden="false" customHeight="false" outlineLevel="0" collapsed="false">
      <c r="A136" s="24"/>
      <c r="B136" s="11"/>
      <c r="C136" s="31" t="str">
        <f aca="false">IF(A136="","",IF(LEN(UPPER(SUBSTITUTE(SUBSTITUTE(SUBSTITUTE(SUBSTITUTE(TRIM(A136),".",""),"/",""),"-","")," ","")))&lt;14,RIGHT(REPT("0",14)&amp;UPPER(SUBSTITUTE(SUBSTITUTE(SUBSTITUTE(SUBSTITUTE(TRIM(A136),".",""),"/",""),"-","")," ","")),14),UPPER(SUBSTITUTE(SUBSTITUTE(SUBSTITUTE(SUBSTITUTE(TRIM(A136),".",""),"/",""),"-","")," ",""))))</f>
        <v/>
      </c>
      <c r="D136" s="23"/>
      <c r="E136" s="11"/>
      <c r="F136" s="11"/>
      <c r="G136" s="22"/>
      <c r="H136" s="22"/>
      <c r="I136" s="23"/>
      <c r="J136" s="24"/>
      <c r="K136" s="11"/>
    </row>
    <row r="137" customFormat="false" ht="15" hidden="false" customHeight="false" outlineLevel="0" collapsed="false">
      <c r="A137" s="24"/>
      <c r="B137" s="11"/>
      <c r="C137" s="31" t="str">
        <f aca="false">IF(A137="","",IF(LEN(UPPER(SUBSTITUTE(SUBSTITUTE(SUBSTITUTE(SUBSTITUTE(TRIM(A137),".",""),"/",""),"-","")," ","")))&lt;14,RIGHT(REPT("0",14)&amp;UPPER(SUBSTITUTE(SUBSTITUTE(SUBSTITUTE(SUBSTITUTE(TRIM(A137),".",""),"/",""),"-","")," ","")),14),UPPER(SUBSTITUTE(SUBSTITUTE(SUBSTITUTE(SUBSTITUTE(TRIM(A137),".",""),"/",""),"-","")," ",""))))</f>
        <v/>
      </c>
      <c r="D137" s="23"/>
      <c r="E137" s="11"/>
      <c r="F137" s="11"/>
      <c r="G137" s="22"/>
      <c r="H137" s="22"/>
      <c r="I137" s="23"/>
      <c r="J137" s="24"/>
      <c r="K137" s="11"/>
    </row>
    <row r="138" customFormat="false" ht="15" hidden="false" customHeight="false" outlineLevel="0" collapsed="false">
      <c r="A138" s="24"/>
      <c r="B138" s="11"/>
      <c r="C138" s="31" t="str">
        <f aca="false">IF(A138="","",IF(LEN(UPPER(SUBSTITUTE(SUBSTITUTE(SUBSTITUTE(SUBSTITUTE(TRIM(A138),".",""),"/",""),"-","")," ","")))&lt;14,RIGHT(REPT("0",14)&amp;UPPER(SUBSTITUTE(SUBSTITUTE(SUBSTITUTE(SUBSTITUTE(TRIM(A138),".",""),"/",""),"-","")," ","")),14),UPPER(SUBSTITUTE(SUBSTITUTE(SUBSTITUTE(SUBSTITUTE(TRIM(A138),".",""),"/",""),"-","")," ",""))))</f>
        <v/>
      </c>
      <c r="D138" s="23"/>
      <c r="E138" s="11"/>
      <c r="F138" s="11"/>
      <c r="G138" s="22"/>
      <c r="H138" s="22"/>
      <c r="I138" s="23"/>
      <c r="J138" s="24"/>
      <c r="K138" s="11"/>
    </row>
    <row r="139" customFormat="false" ht="15" hidden="false" customHeight="false" outlineLevel="0" collapsed="false">
      <c r="A139" s="24"/>
      <c r="B139" s="11"/>
      <c r="C139" s="31" t="str">
        <f aca="false">IF(A139="","",IF(LEN(UPPER(SUBSTITUTE(SUBSTITUTE(SUBSTITUTE(SUBSTITUTE(TRIM(A139),".",""),"/",""),"-","")," ","")))&lt;14,RIGHT(REPT("0",14)&amp;UPPER(SUBSTITUTE(SUBSTITUTE(SUBSTITUTE(SUBSTITUTE(TRIM(A139),".",""),"/",""),"-","")," ","")),14),UPPER(SUBSTITUTE(SUBSTITUTE(SUBSTITUTE(SUBSTITUTE(TRIM(A139),".",""),"/",""),"-","")," ",""))))</f>
        <v/>
      </c>
      <c r="D139" s="23"/>
      <c r="E139" s="11"/>
      <c r="F139" s="11"/>
      <c r="G139" s="22"/>
      <c r="H139" s="22"/>
      <c r="I139" s="23"/>
      <c r="J139" s="24"/>
      <c r="K139" s="11"/>
    </row>
    <row r="140" customFormat="false" ht="15" hidden="false" customHeight="false" outlineLevel="0" collapsed="false">
      <c r="A140" s="24"/>
      <c r="B140" s="11"/>
      <c r="C140" s="31" t="str">
        <f aca="false">IF(A140="","",IF(LEN(UPPER(SUBSTITUTE(SUBSTITUTE(SUBSTITUTE(SUBSTITUTE(TRIM(A140),".",""),"/",""),"-","")," ","")))&lt;14,RIGHT(REPT("0",14)&amp;UPPER(SUBSTITUTE(SUBSTITUTE(SUBSTITUTE(SUBSTITUTE(TRIM(A140),".",""),"/",""),"-","")," ","")),14),UPPER(SUBSTITUTE(SUBSTITUTE(SUBSTITUTE(SUBSTITUTE(TRIM(A140),".",""),"/",""),"-","")," ",""))))</f>
        <v/>
      </c>
      <c r="D140" s="23"/>
      <c r="E140" s="11"/>
      <c r="F140" s="11"/>
      <c r="G140" s="22"/>
      <c r="H140" s="22"/>
      <c r="I140" s="23"/>
      <c r="J140" s="24"/>
      <c r="K140" s="11"/>
    </row>
    <row r="141" customFormat="false" ht="15" hidden="false" customHeight="false" outlineLevel="0" collapsed="false">
      <c r="A141" s="24"/>
      <c r="B141" s="11"/>
      <c r="C141" s="31" t="str">
        <f aca="false">IF(A141="","",IF(LEN(UPPER(SUBSTITUTE(SUBSTITUTE(SUBSTITUTE(SUBSTITUTE(TRIM(A141),".",""),"/",""),"-","")," ","")))&lt;14,RIGHT(REPT("0",14)&amp;UPPER(SUBSTITUTE(SUBSTITUTE(SUBSTITUTE(SUBSTITUTE(TRIM(A141),".",""),"/",""),"-","")," ","")),14),UPPER(SUBSTITUTE(SUBSTITUTE(SUBSTITUTE(SUBSTITUTE(TRIM(A141),".",""),"/",""),"-","")," ",""))))</f>
        <v/>
      </c>
      <c r="D141" s="23"/>
      <c r="E141" s="11"/>
      <c r="F141" s="11"/>
      <c r="G141" s="22"/>
      <c r="H141" s="22"/>
      <c r="I141" s="23"/>
      <c r="J141" s="24"/>
      <c r="K141" s="11"/>
    </row>
    <row r="142" customFormat="false" ht="15" hidden="false" customHeight="false" outlineLevel="0" collapsed="false">
      <c r="A142" s="24"/>
      <c r="B142" s="11"/>
      <c r="C142" s="31" t="str">
        <f aca="false">IF(A142="","",IF(LEN(UPPER(SUBSTITUTE(SUBSTITUTE(SUBSTITUTE(SUBSTITUTE(TRIM(A142),".",""),"/",""),"-","")," ","")))&lt;14,RIGHT(REPT("0",14)&amp;UPPER(SUBSTITUTE(SUBSTITUTE(SUBSTITUTE(SUBSTITUTE(TRIM(A142),".",""),"/",""),"-","")," ","")),14),UPPER(SUBSTITUTE(SUBSTITUTE(SUBSTITUTE(SUBSTITUTE(TRIM(A142),".",""),"/",""),"-","")," ",""))))</f>
        <v/>
      </c>
      <c r="D142" s="23"/>
      <c r="E142" s="11"/>
      <c r="F142" s="11"/>
      <c r="G142" s="22"/>
      <c r="H142" s="22"/>
      <c r="I142" s="23"/>
      <c r="J142" s="24"/>
      <c r="K142" s="11"/>
    </row>
    <row r="143" customFormat="false" ht="15" hidden="false" customHeight="false" outlineLevel="0" collapsed="false">
      <c r="A143" s="24"/>
      <c r="B143" s="11"/>
      <c r="C143" s="31" t="str">
        <f aca="false">IF(A143="","",IF(LEN(UPPER(SUBSTITUTE(SUBSTITUTE(SUBSTITUTE(SUBSTITUTE(TRIM(A143),".",""),"/",""),"-","")," ","")))&lt;14,RIGHT(REPT("0",14)&amp;UPPER(SUBSTITUTE(SUBSTITUTE(SUBSTITUTE(SUBSTITUTE(TRIM(A143),".",""),"/",""),"-","")," ","")),14),UPPER(SUBSTITUTE(SUBSTITUTE(SUBSTITUTE(SUBSTITUTE(TRIM(A143),".",""),"/",""),"-","")," ",""))))</f>
        <v/>
      </c>
      <c r="D143" s="23"/>
      <c r="E143" s="11"/>
      <c r="F143" s="11"/>
      <c r="G143" s="22"/>
      <c r="H143" s="22"/>
      <c r="I143" s="23"/>
      <c r="J143" s="24"/>
      <c r="K143" s="11"/>
    </row>
    <row r="144" customFormat="false" ht="15" hidden="false" customHeight="false" outlineLevel="0" collapsed="false">
      <c r="A144" s="24"/>
      <c r="B144" s="11"/>
      <c r="C144" s="31" t="str">
        <f aca="false">IF(A144="","",IF(LEN(UPPER(SUBSTITUTE(SUBSTITUTE(SUBSTITUTE(SUBSTITUTE(TRIM(A144),".",""),"/",""),"-","")," ","")))&lt;14,RIGHT(REPT("0",14)&amp;UPPER(SUBSTITUTE(SUBSTITUTE(SUBSTITUTE(SUBSTITUTE(TRIM(A144),".",""),"/",""),"-","")," ","")),14),UPPER(SUBSTITUTE(SUBSTITUTE(SUBSTITUTE(SUBSTITUTE(TRIM(A144),".",""),"/",""),"-","")," ",""))))</f>
        <v/>
      </c>
      <c r="D144" s="23"/>
      <c r="E144" s="11"/>
      <c r="F144" s="11"/>
      <c r="G144" s="22"/>
      <c r="H144" s="22"/>
      <c r="I144" s="23"/>
      <c r="J144" s="24"/>
      <c r="K144" s="11"/>
    </row>
    <row r="145" customFormat="false" ht="15" hidden="false" customHeight="false" outlineLevel="0" collapsed="false">
      <c r="A145" s="24"/>
      <c r="B145" s="11"/>
      <c r="C145" s="31" t="str">
        <f aca="false">IF(A145="","",IF(LEN(UPPER(SUBSTITUTE(SUBSTITUTE(SUBSTITUTE(SUBSTITUTE(TRIM(A145),".",""),"/",""),"-","")," ","")))&lt;14,RIGHT(REPT("0",14)&amp;UPPER(SUBSTITUTE(SUBSTITUTE(SUBSTITUTE(SUBSTITUTE(TRIM(A145),".",""),"/",""),"-","")," ","")),14),UPPER(SUBSTITUTE(SUBSTITUTE(SUBSTITUTE(SUBSTITUTE(TRIM(A145),".",""),"/",""),"-","")," ",""))))</f>
        <v/>
      </c>
      <c r="D145" s="23"/>
      <c r="E145" s="11"/>
      <c r="F145" s="11"/>
      <c r="G145" s="22"/>
      <c r="H145" s="22"/>
      <c r="I145" s="23"/>
      <c r="J145" s="24"/>
      <c r="K145" s="11"/>
    </row>
    <row r="146" customFormat="false" ht="15" hidden="false" customHeight="false" outlineLevel="0" collapsed="false">
      <c r="A146" s="24"/>
      <c r="B146" s="11"/>
      <c r="C146" s="31" t="str">
        <f aca="false">IF(A146="","",IF(LEN(UPPER(SUBSTITUTE(SUBSTITUTE(SUBSTITUTE(SUBSTITUTE(TRIM(A146),".",""),"/",""),"-","")," ","")))&lt;14,RIGHT(REPT("0",14)&amp;UPPER(SUBSTITUTE(SUBSTITUTE(SUBSTITUTE(SUBSTITUTE(TRIM(A146),".",""),"/",""),"-","")," ","")),14),UPPER(SUBSTITUTE(SUBSTITUTE(SUBSTITUTE(SUBSTITUTE(TRIM(A146),".",""),"/",""),"-","")," ",""))))</f>
        <v/>
      </c>
      <c r="D146" s="23"/>
      <c r="E146" s="11"/>
      <c r="F146" s="11"/>
      <c r="G146" s="22"/>
      <c r="H146" s="22"/>
      <c r="I146" s="23"/>
      <c r="J146" s="24"/>
      <c r="K146" s="11"/>
    </row>
    <row r="147" customFormat="false" ht="15" hidden="false" customHeight="false" outlineLevel="0" collapsed="false">
      <c r="A147" s="24"/>
      <c r="B147" s="11"/>
      <c r="C147" s="31" t="str">
        <f aca="false">IF(A147="","",IF(LEN(UPPER(SUBSTITUTE(SUBSTITUTE(SUBSTITUTE(SUBSTITUTE(TRIM(A147),".",""),"/",""),"-","")," ","")))&lt;14,RIGHT(REPT("0",14)&amp;UPPER(SUBSTITUTE(SUBSTITUTE(SUBSTITUTE(SUBSTITUTE(TRIM(A147),".",""),"/",""),"-","")," ","")),14),UPPER(SUBSTITUTE(SUBSTITUTE(SUBSTITUTE(SUBSTITUTE(TRIM(A147),".",""),"/",""),"-","")," ",""))))</f>
        <v/>
      </c>
      <c r="D147" s="23"/>
      <c r="E147" s="11"/>
      <c r="F147" s="11"/>
      <c r="G147" s="22"/>
      <c r="H147" s="22"/>
      <c r="I147" s="23"/>
      <c r="J147" s="24"/>
      <c r="K147" s="11"/>
    </row>
    <row r="148" customFormat="false" ht="15" hidden="false" customHeight="false" outlineLevel="0" collapsed="false">
      <c r="A148" s="24"/>
      <c r="B148" s="11"/>
      <c r="C148" s="31" t="str">
        <f aca="false">IF(A148="","",IF(LEN(UPPER(SUBSTITUTE(SUBSTITUTE(SUBSTITUTE(SUBSTITUTE(TRIM(A148),".",""),"/",""),"-","")," ","")))&lt;14,RIGHT(REPT("0",14)&amp;UPPER(SUBSTITUTE(SUBSTITUTE(SUBSTITUTE(SUBSTITUTE(TRIM(A148),".",""),"/",""),"-","")," ","")),14),UPPER(SUBSTITUTE(SUBSTITUTE(SUBSTITUTE(SUBSTITUTE(TRIM(A148),".",""),"/",""),"-","")," ",""))))</f>
        <v/>
      </c>
      <c r="D148" s="23"/>
      <c r="E148" s="11"/>
      <c r="F148" s="11"/>
      <c r="G148" s="22"/>
      <c r="H148" s="22"/>
      <c r="I148" s="23"/>
      <c r="J148" s="24"/>
      <c r="K148" s="11"/>
    </row>
    <row r="149" customFormat="false" ht="15" hidden="false" customHeight="false" outlineLevel="0" collapsed="false">
      <c r="A149" s="24"/>
      <c r="B149" s="11"/>
      <c r="C149" s="31" t="str">
        <f aca="false">IF(A149="","",IF(LEN(UPPER(SUBSTITUTE(SUBSTITUTE(SUBSTITUTE(SUBSTITUTE(TRIM(A149),".",""),"/",""),"-","")," ","")))&lt;14,RIGHT(REPT("0",14)&amp;UPPER(SUBSTITUTE(SUBSTITUTE(SUBSTITUTE(SUBSTITUTE(TRIM(A149),".",""),"/",""),"-","")," ","")),14),UPPER(SUBSTITUTE(SUBSTITUTE(SUBSTITUTE(SUBSTITUTE(TRIM(A149),".",""),"/",""),"-","")," ",""))))</f>
        <v/>
      </c>
      <c r="D149" s="23"/>
      <c r="E149" s="11"/>
      <c r="F149" s="11"/>
      <c r="G149" s="22"/>
      <c r="H149" s="22"/>
      <c r="I149" s="23"/>
      <c r="J149" s="24"/>
      <c r="K149" s="11"/>
    </row>
    <row r="150" customFormat="false" ht="15" hidden="false" customHeight="false" outlineLevel="0" collapsed="false">
      <c r="A150" s="24"/>
      <c r="B150" s="11"/>
      <c r="C150" s="31" t="str">
        <f aca="false">IF(A150="","",IF(LEN(UPPER(SUBSTITUTE(SUBSTITUTE(SUBSTITUTE(SUBSTITUTE(TRIM(A150),".",""),"/",""),"-","")," ","")))&lt;14,RIGHT(REPT("0",14)&amp;UPPER(SUBSTITUTE(SUBSTITUTE(SUBSTITUTE(SUBSTITUTE(TRIM(A150),".",""),"/",""),"-","")," ","")),14),UPPER(SUBSTITUTE(SUBSTITUTE(SUBSTITUTE(SUBSTITUTE(TRIM(A150),".",""),"/",""),"-","")," ",""))))</f>
        <v/>
      </c>
      <c r="D150" s="23"/>
      <c r="E150" s="11"/>
      <c r="F150" s="11"/>
      <c r="G150" s="22"/>
      <c r="H150" s="22"/>
      <c r="I150" s="23"/>
      <c r="J150" s="24"/>
      <c r="K150" s="11"/>
    </row>
    <row r="151" customFormat="false" ht="15" hidden="false" customHeight="false" outlineLevel="0" collapsed="false">
      <c r="A151" s="24"/>
      <c r="B151" s="11"/>
      <c r="C151" s="31" t="str">
        <f aca="false">IF(A151="","",IF(LEN(UPPER(SUBSTITUTE(SUBSTITUTE(SUBSTITUTE(SUBSTITUTE(TRIM(A151),".",""),"/",""),"-","")," ","")))&lt;14,RIGHT(REPT("0",14)&amp;UPPER(SUBSTITUTE(SUBSTITUTE(SUBSTITUTE(SUBSTITUTE(TRIM(A151),".",""),"/",""),"-","")," ","")),14),UPPER(SUBSTITUTE(SUBSTITUTE(SUBSTITUTE(SUBSTITUTE(TRIM(A151),".",""),"/",""),"-","")," ",""))))</f>
        <v/>
      </c>
      <c r="D151" s="23"/>
      <c r="E151" s="11"/>
      <c r="F151" s="11"/>
      <c r="G151" s="22"/>
      <c r="H151" s="22"/>
      <c r="I151" s="23"/>
      <c r="J151" s="24"/>
      <c r="K151" s="11"/>
    </row>
    <row r="152" customFormat="false" ht="15" hidden="false" customHeight="false" outlineLevel="0" collapsed="false">
      <c r="A152" s="24"/>
      <c r="B152" s="11"/>
      <c r="C152" s="31" t="str">
        <f aca="false">IF(A152="","",IF(LEN(UPPER(SUBSTITUTE(SUBSTITUTE(SUBSTITUTE(SUBSTITUTE(TRIM(A152),".",""),"/",""),"-","")," ","")))&lt;14,RIGHT(REPT("0",14)&amp;UPPER(SUBSTITUTE(SUBSTITUTE(SUBSTITUTE(SUBSTITUTE(TRIM(A152),".",""),"/",""),"-","")," ","")),14),UPPER(SUBSTITUTE(SUBSTITUTE(SUBSTITUTE(SUBSTITUTE(TRIM(A152),".",""),"/",""),"-","")," ",""))))</f>
        <v/>
      </c>
      <c r="D152" s="23"/>
      <c r="E152" s="11"/>
      <c r="F152" s="11"/>
      <c r="G152" s="22"/>
      <c r="H152" s="22"/>
      <c r="I152" s="23"/>
      <c r="J152" s="24"/>
      <c r="K152" s="11"/>
    </row>
    <row r="153" customFormat="false" ht="15" hidden="false" customHeight="false" outlineLevel="0" collapsed="false">
      <c r="A153" s="24"/>
      <c r="B153" s="11"/>
      <c r="C153" s="31" t="str">
        <f aca="false">IF(A153="","",IF(LEN(UPPER(SUBSTITUTE(SUBSTITUTE(SUBSTITUTE(SUBSTITUTE(TRIM(A153),".",""),"/",""),"-","")," ","")))&lt;14,RIGHT(REPT("0",14)&amp;UPPER(SUBSTITUTE(SUBSTITUTE(SUBSTITUTE(SUBSTITUTE(TRIM(A153),".",""),"/",""),"-","")," ","")),14),UPPER(SUBSTITUTE(SUBSTITUTE(SUBSTITUTE(SUBSTITUTE(TRIM(A153),".",""),"/",""),"-","")," ",""))))</f>
        <v/>
      </c>
      <c r="D153" s="23"/>
      <c r="E153" s="11"/>
      <c r="F153" s="11"/>
      <c r="G153" s="22"/>
      <c r="H153" s="22"/>
      <c r="I153" s="23"/>
      <c r="J153" s="24"/>
      <c r="K153" s="11"/>
    </row>
    <row r="154" customFormat="false" ht="15" hidden="false" customHeight="false" outlineLevel="0" collapsed="false">
      <c r="A154" s="24"/>
      <c r="B154" s="11"/>
      <c r="C154" s="31" t="str">
        <f aca="false">IF(A154="","",IF(LEN(UPPER(SUBSTITUTE(SUBSTITUTE(SUBSTITUTE(SUBSTITUTE(TRIM(A154),".",""),"/",""),"-","")," ","")))&lt;14,RIGHT(REPT("0",14)&amp;UPPER(SUBSTITUTE(SUBSTITUTE(SUBSTITUTE(SUBSTITUTE(TRIM(A154),".",""),"/",""),"-","")," ","")),14),UPPER(SUBSTITUTE(SUBSTITUTE(SUBSTITUTE(SUBSTITUTE(TRIM(A154),".",""),"/",""),"-","")," ",""))))</f>
        <v/>
      </c>
      <c r="D154" s="23"/>
      <c r="E154" s="11"/>
      <c r="F154" s="11"/>
      <c r="G154" s="22"/>
      <c r="H154" s="22"/>
      <c r="I154" s="23"/>
      <c r="J154" s="24"/>
      <c r="K154" s="11"/>
    </row>
    <row r="155" customFormat="false" ht="15" hidden="false" customHeight="false" outlineLevel="0" collapsed="false">
      <c r="A155" s="24"/>
      <c r="B155" s="11"/>
      <c r="C155" s="31" t="str">
        <f aca="false">IF(A155="","",IF(LEN(UPPER(SUBSTITUTE(SUBSTITUTE(SUBSTITUTE(SUBSTITUTE(TRIM(A155),".",""),"/",""),"-","")," ","")))&lt;14,RIGHT(REPT("0",14)&amp;UPPER(SUBSTITUTE(SUBSTITUTE(SUBSTITUTE(SUBSTITUTE(TRIM(A155),".",""),"/",""),"-","")," ","")),14),UPPER(SUBSTITUTE(SUBSTITUTE(SUBSTITUTE(SUBSTITUTE(TRIM(A155),".",""),"/",""),"-","")," ",""))))</f>
        <v/>
      </c>
      <c r="D155" s="23"/>
      <c r="E155" s="11"/>
      <c r="F155" s="11"/>
      <c r="G155" s="22"/>
      <c r="H155" s="22"/>
      <c r="I155" s="23"/>
      <c r="J155" s="24"/>
      <c r="K155" s="11"/>
    </row>
    <row r="156" customFormat="false" ht="15" hidden="false" customHeight="false" outlineLevel="0" collapsed="false">
      <c r="A156" s="24"/>
      <c r="B156" s="11"/>
      <c r="C156" s="31" t="str">
        <f aca="false">IF(A156="","",IF(LEN(UPPER(SUBSTITUTE(SUBSTITUTE(SUBSTITUTE(SUBSTITUTE(TRIM(A156),".",""),"/",""),"-","")," ","")))&lt;14,RIGHT(REPT("0",14)&amp;UPPER(SUBSTITUTE(SUBSTITUTE(SUBSTITUTE(SUBSTITUTE(TRIM(A156),".",""),"/",""),"-","")," ","")),14),UPPER(SUBSTITUTE(SUBSTITUTE(SUBSTITUTE(SUBSTITUTE(TRIM(A156),".",""),"/",""),"-","")," ",""))))</f>
        <v/>
      </c>
      <c r="D156" s="23"/>
      <c r="E156" s="11"/>
      <c r="F156" s="11"/>
      <c r="G156" s="22"/>
      <c r="H156" s="22"/>
      <c r="I156" s="23"/>
      <c r="J156" s="24"/>
      <c r="K156" s="11"/>
    </row>
    <row r="157" customFormat="false" ht="15" hidden="false" customHeight="false" outlineLevel="0" collapsed="false">
      <c r="A157" s="24"/>
      <c r="B157" s="11"/>
      <c r="C157" s="31" t="str">
        <f aca="false">IF(A157="","",IF(LEN(UPPER(SUBSTITUTE(SUBSTITUTE(SUBSTITUTE(SUBSTITUTE(TRIM(A157),".",""),"/",""),"-","")," ","")))&lt;14,RIGHT(REPT("0",14)&amp;UPPER(SUBSTITUTE(SUBSTITUTE(SUBSTITUTE(SUBSTITUTE(TRIM(A157),".",""),"/",""),"-","")," ","")),14),UPPER(SUBSTITUTE(SUBSTITUTE(SUBSTITUTE(SUBSTITUTE(TRIM(A157),".",""),"/",""),"-","")," ",""))))</f>
        <v/>
      </c>
      <c r="D157" s="23"/>
      <c r="E157" s="11"/>
      <c r="F157" s="11"/>
      <c r="G157" s="22"/>
      <c r="H157" s="22"/>
      <c r="I157" s="23"/>
      <c r="J157" s="24"/>
      <c r="K157" s="11"/>
    </row>
    <row r="158" customFormat="false" ht="15" hidden="false" customHeight="false" outlineLevel="0" collapsed="false">
      <c r="A158" s="24"/>
      <c r="B158" s="11"/>
      <c r="C158" s="31" t="str">
        <f aca="false">IF(A158="","",IF(LEN(UPPER(SUBSTITUTE(SUBSTITUTE(SUBSTITUTE(SUBSTITUTE(TRIM(A158),".",""),"/",""),"-","")," ","")))&lt;14,RIGHT(REPT("0",14)&amp;UPPER(SUBSTITUTE(SUBSTITUTE(SUBSTITUTE(SUBSTITUTE(TRIM(A158),".",""),"/",""),"-","")," ","")),14),UPPER(SUBSTITUTE(SUBSTITUTE(SUBSTITUTE(SUBSTITUTE(TRIM(A158),".",""),"/",""),"-","")," ",""))))</f>
        <v/>
      </c>
      <c r="D158" s="23"/>
      <c r="E158" s="11"/>
      <c r="F158" s="11"/>
      <c r="G158" s="22"/>
      <c r="H158" s="22"/>
      <c r="I158" s="23"/>
      <c r="J158" s="24"/>
      <c r="K158" s="11"/>
    </row>
    <row r="159" customFormat="false" ht="15" hidden="false" customHeight="false" outlineLevel="0" collapsed="false">
      <c r="A159" s="24"/>
      <c r="B159" s="11"/>
      <c r="C159" s="31" t="str">
        <f aca="false">IF(A159="","",IF(LEN(UPPER(SUBSTITUTE(SUBSTITUTE(SUBSTITUTE(SUBSTITUTE(TRIM(A159),".",""),"/",""),"-","")," ","")))&lt;14,RIGHT(REPT("0",14)&amp;UPPER(SUBSTITUTE(SUBSTITUTE(SUBSTITUTE(SUBSTITUTE(TRIM(A159),".",""),"/",""),"-","")," ","")),14),UPPER(SUBSTITUTE(SUBSTITUTE(SUBSTITUTE(SUBSTITUTE(TRIM(A159),".",""),"/",""),"-","")," ",""))))</f>
        <v/>
      </c>
      <c r="D159" s="23"/>
      <c r="E159" s="11"/>
      <c r="F159" s="11"/>
      <c r="G159" s="22"/>
      <c r="H159" s="22"/>
      <c r="I159" s="23"/>
      <c r="J159" s="24"/>
      <c r="K159" s="11"/>
    </row>
    <row r="160" customFormat="false" ht="15" hidden="false" customHeight="false" outlineLevel="0" collapsed="false">
      <c r="A160" s="24"/>
      <c r="B160" s="11"/>
      <c r="C160" s="31" t="str">
        <f aca="false">IF(A160="","",IF(LEN(UPPER(SUBSTITUTE(SUBSTITUTE(SUBSTITUTE(SUBSTITUTE(TRIM(A160),".",""),"/",""),"-","")," ","")))&lt;14,RIGHT(REPT("0",14)&amp;UPPER(SUBSTITUTE(SUBSTITUTE(SUBSTITUTE(SUBSTITUTE(TRIM(A160),".",""),"/",""),"-","")," ","")),14),UPPER(SUBSTITUTE(SUBSTITUTE(SUBSTITUTE(SUBSTITUTE(TRIM(A160),".",""),"/",""),"-","")," ",""))))</f>
        <v/>
      </c>
      <c r="D160" s="23"/>
      <c r="E160" s="11"/>
      <c r="F160" s="11"/>
      <c r="G160" s="22"/>
      <c r="H160" s="22"/>
      <c r="I160" s="23"/>
      <c r="J160" s="24"/>
      <c r="K160" s="11"/>
    </row>
    <row r="161" customFormat="false" ht="15" hidden="false" customHeight="false" outlineLevel="0" collapsed="false">
      <c r="A161" s="24"/>
      <c r="B161" s="11"/>
      <c r="C161" s="31" t="str">
        <f aca="false">IF(A161="","",IF(LEN(UPPER(SUBSTITUTE(SUBSTITUTE(SUBSTITUTE(SUBSTITUTE(TRIM(A161),".",""),"/",""),"-","")," ","")))&lt;14,RIGHT(REPT("0",14)&amp;UPPER(SUBSTITUTE(SUBSTITUTE(SUBSTITUTE(SUBSTITUTE(TRIM(A161),".",""),"/",""),"-","")," ","")),14),UPPER(SUBSTITUTE(SUBSTITUTE(SUBSTITUTE(SUBSTITUTE(TRIM(A161),".",""),"/",""),"-","")," ",""))))</f>
        <v/>
      </c>
      <c r="D161" s="23"/>
      <c r="E161" s="11"/>
      <c r="F161" s="11"/>
      <c r="G161" s="22"/>
      <c r="H161" s="22"/>
      <c r="I161" s="23"/>
      <c r="J161" s="24"/>
      <c r="K161" s="11"/>
    </row>
    <row r="162" customFormat="false" ht="15" hidden="false" customHeight="false" outlineLevel="0" collapsed="false">
      <c r="A162" s="24"/>
      <c r="B162" s="11"/>
      <c r="C162" s="31" t="str">
        <f aca="false">IF(A162="","",IF(LEN(UPPER(SUBSTITUTE(SUBSTITUTE(SUBSTITUTE(SUBSTITUTE(TRIM(A162),".",""),"/",""),"-","")," ","")))&lt;14,RIGHT(REPT("0",14)&amp;UPPER(SUBSTITUTE(SUBSTITUTE(SUBSTITUTE(SUBSTITUTE(TRIM(A162),".",""),"/",""),"-","")," ","")),14),UPPER(SUBSTITUTE(SUBSTITUTE(SUBSTITUTE(SUBSTITUTE(TRIM(A162),".",""),"/",""),"-","")," ",""))))</f>
        <v/>
      </c>
      <c r="D162" s="23"/>
      <c r="E162" s="11"/>
      <c r="F162" s="11"/>
      <c r="G162" s="22"/>
      <c r="H162" s="22"/>
      <c r="I162" s="23"/>
      <c r="J162" s="24"/>
      <c r="K162" s="11"/>
    </row>
    <row r="163" customFormat="false" ht="15" hidden="false" customHeight="false" outlineLevel="0" collapsed="false">
      <c r="A163" s="24"/>
      <c r="B163" s="11"/>
      <c r="C163" s="31" t="str">
        <f aca="false">IF(A163="","",IF(LEN(UPPER(SUBSTITUTE(SUBSTITUTE(SUBSTITUTE(SUBSTITUTE(TRIM(A163),".",""),"/",""),"-","")," ","")))&lt;14,RIGHT(REPT("0",14)&amp;UPPER(SUBSTITUTE(SUBSTITUTE(SUBSTITUTE(SUBSTITUTE(TRIM(A163),".",""),"/",""),"-","")," ","")),14),UPPER(SUBSTITUTE(SUBSTITUTE(SUBSTITUTE(SUBSTITUTE(TRIM(A163),".",""),"/",""),"-","")," ",""))))</f>
        <v/>
      </c>
      <c r="D163" s="23"/>
      <c r="E163" s="11"/>
      <c r="F163" s="11"/>
      <c r="G163" s="22"/>
      <c r="H163" s="22"/>
      <c r="I163" s="23"/>
      <c r="J163" s="24"/>
      <c r="K163" s="11"/>
    </row>
    <row r="164" customFormat="false" ht="15" hidden="false" customHeight="false" outlineLevel="0" collapsed="false">
      <c r="A164" s="24"/>
      <c r="B164" s="11"/>
      <c r="C164" s="31" t="str">
        <f aca="false">IF(A164="","",IF(LEN(UPPER(SUBSTITUTE(SUBSTITUTE(SUBSTITUTE(SUBSTITUTE(TRIM(A164),".",""),"/",""),"-","")," ","")))&lt;14,RIGHT(REPT("0",14)&amp;UPPER(SUBSTITUTE(SUBSTITUTE(SUBSTITUTE(SUBSTITUTE(TRIM(A164),".",""),"/",""),"-","")," ","")),14),UPPER(SUBSTITUTE(SUBSTITUTE(SUBSTITUTE(SUBSTITUTE(TRIM(A164),".",""),"/",""),"-","")," ",""))))</f>
        <v/>
      </c>
      <c r="D164" s="23"/>
      <c r="E164" s="11"/>
      <c r="F164" s="11"/>
      <c r="G164" s="22"/>
      <c r="H164" s="22"/>
      <c r="I164" s="23"/>
      <c r="J164" s="24"/>
      <c r="K164" s="11"/>
    </row>
    <row r="165" customFormat="false" ht="15" hidden="false" customHeight="false" outlineLevel="0" collapsed="false">
      <c r="A165" s="24"/>
      <c r="B165" s="11"/>
      <c r="C165" s="31" t="str">
        <f aca="false">IF(A165="","",IF(LEN(UPPER(SUBSTITUTE(SUBSTITUTE(SUBSTITUTE(SUBSTITUTE(TRIM(A165),".",""),"/",""),"-","")," ","")))&lt;14,RIGHT(REPT("0",14)&amp;UPPER(SUBSTITUTE(SUBSTITUTE(SUBSTITUTE(SUBSTITUTE(TRIM(A165),".",""),"/",""),"-","")," ","")),14),UPPER(SUBSTITUTE(SUBSTITUTE(SUBSTITUTE(SUBSTITUTE(TRIM(A165),".",""),"/",""),"-","")," ",""))))</f>
        <v/>
      </c>
      <c r="D165" s="23"/>
      <c r="E165" s="11"/>
      <c r="F165" s="11"/>
      <c r="G165" s="22"/>
      <c r="H165" s="22"/>
      <c r="I165" s="23"/>
      <c r="J165" s="24"/>
      <c r="K165" s="11"/>
    </row>
    <row r="166" customFormat="false" ht="15" hidden="false" customHeight="false" outlineLevel="0" collapsed="false">
      <c r="A166" s="24"/>
      <c r="B166" s="11"/>
      <c r="C166" s="31" t="str">
        <f aca="false">IF(A166="","",IF(LEN(UPPER(SUBSTITUTE(SUBSTITUTE(SUBSTITUTE(SUBSTITUTE(TRIM(A166),".",""),"/",""),"-","")," ","")))&lt;14,RIGHT(REPT("0",14)&amp;UPPER(SUBSTITUTE(SUBSTITUTE(SUBSTITUTE(SUBSTITUTE(TRIM(A166),".",""),"/",""),"-","")," ","")),14),UPPER(SUBSTITUTE(SUBSTITUTE(SUBSTITUTE(SUBSTITUTE(TRIM(A166),".",""),"/",""),"-","")," ",""))))</f>
        <v/>
      </c>
      <c r="D166" s="23"/>
      <c r="E166" s="11"/>
      <c r="F166" s="11"/>
      <c r="G166" s="22"/>
      <c r="H166" s="22"/>
      <c r="I166" s="23"/>
      <c r="J166" s="24"/>
      <c r="K166" s="11"/>
    </row>
    <row r="167" customFormat="false" ht="15" hidden="false" customHeight="false" outlineLevel="0" collapsed="false">
      <c r="A167" s="24"/>
      <c r="B167" s="11"/>
      <c r="C167" s="31" t="str">
        <f aca="false">IF(A167="","",IF(LEN(UPPER(SUBSTITUTE(SUBSTITUTE(SUBSTITUTE(SUBSTITUTE(TRIM(A167),".",""),"/",""),"-","")," ","")))&lt;14,RIGHT(REPT("0",14)&amp;UPPER(SUBSTITUTE(SUBSTITUTE(SUBSTITUTE(SUBSTITUTE(TRIM(A167),".",""),"/",""),"-","")," ","")),14),UPPER(SUBSTITUTE(SUBSTITUTE(SUBSTITUTE(SUBSTITUTE(TRIM(A167),".",""),"/",""),"-","")," ",""))))</f>
        <v/>
      </c>
      <c r="D167" s="23"/>
      <c r="E167" s="11"/>
      <c r="F167" s="11"/>
      <c r="G167" s="22"/>
      <c r="H167" s="22"/>
      <c r="I167" s="23"/>
      <c r="J167" s="24"/>
      <c r="K167" s="11"/>
    </row>
    <row r="168" customFormat="false" ht="15" hidden="false" customHeight="false" outlineLevel="0" collapsed="false">
      <c r="A168" s="24"/>
      <c r="B168" s="11"/>
      <c r="C168" s="31" t="str">
        <f aca="false">IF(A168="","",IF(LEN(UPPER(SUBSTITUTE(SUBSTITUTE(SUBSTITUTE(SUBSTITUTE(TRIM(A168),".",""),"/",""),"-","")," ","")))&lt;14,RIGHT(REPT("0",14)&amp;UPPER(SUBSTITUTE(SUBSTITUTE(SUBSTITUTE(SUBSTITUTE(TRIM(A168),".",""),"/",""),"-","")," ","")),14),UPPER(SUBSTITUTE(SUBSTITUTE(SUBSTITUTE(SUBSTITUTE(TRIM(A168),".",""),"/",""),"-","")," ",""))))</f>
        <v/>
      </c>
      <c r="D168" s="23"/>
      <c r="E168" s="11"/>
      <c r="F168" s="11"/>
      <c r="G168" s="22"/>
      <c r="H168" s="22"/>
      <c r="I168" s="23"/>
      <c r="J168" s="24"/>
      <c r="K168" s="11"/>
    </row>
    <row r="169" customFormat="false" ht="15" hidden="false" customHeight="false" outlineLevel="0" collapsed="false">
      <c r="A169" s="24"/>
      <c r="B169" s="11"/>
      <c r="C169" s="31" t="str">
        <f aca="false">IF(A169="","",IF(LEN(UPPER(SUBSTITUTE(SUBSTITUTE(SUBSTITUTE(SUBSTITUTE(TRIM(A169),".",""),"/",""),"-","")," ","")))&lt;14,RIGHT(REPT("0",14)&amp;UPPER(SUBSTITUTE(SUBSTITUTE(SUBSTITUTE(SUBSTITUTE(TRIM(A169),".",""),"/",""),"-","")," ","")),14),UPPER(SUBSTITUTE(SUBSTITUTE(SUBSTITUTE(SUBSTITUTE(TRIM(A169),".",""),"/",""),"-","")," ",""))))</f>
        <v/>
      </c>
      <c r="D169" s="23"/>
      <c r="E169" s="11"/>
      <c r="F169" s="11"/>
      <c r="G169" s="22"/>
      <c r="H169" s="22"/>
      <c r="I169" s="23"/>
      <c r="J169" s="24"/>
      <c r="K169" s="11"/>
    </row>
    <row r="170" customFormat="false" ht="15" hidden="false" customHeight="false" outlineLevel="0" collapsed="false">
      <c r="A170" s="24"/>
      <c r="B170" s="11"/>
      <c r="C170" s="31" t="str">
        <f aca="false">IF(A170="","",IF(LEN(UPPER(SUBSTITUTE(SUBSTITUTE(SUBSTITUTE(SUBSTITUTE(TRIM(A170),".",""),"/",""),"-","")," ","")))&lt;14,RIGHT(REPT("0",14)&amp;UPPER(SUBSTITUTE(SUBSTITUTE(SUBSTITUTE(SUBSTITUTE(TRIM(A170),".",""),"/",""),"-","")," ","")),14),UPPER(SUBSTITUTE(SUBSTITUTE(SUBSTITUTE(SUBSTITUTE(TRIM(A170),".",""),"/",""),"-","")," ",""))))</f>
        <v/>
      </c>
      <c r="D170" s="23"/>
      <c r="E170" s="11"/>
      <c r="F170" s="11"/>
      <c r="G170" s="22"/>
      <c r="H170" s="22"/>
      <c r="I170" s="23"/>
      <c r="J170" s="24"/>
      <c r="K170" s="11"/>
    </row>
    <row r="171" customFormat="false" ht="15" hidden="false" customHeight="false" outlineLevel="0" collapsed="false">
      <c r="A171" s="24"/>
      <c r="B171" s="11"/>
      <c r="C171" s="31" t="str">
        <f aca="false">IF(A171="","",IF(LEN(UPPER(SUBSTITUTE(SUBSTITUTE(SUBSTITUTE(SUBSTITUTE(TRIM(A171),".",""),"/",""),"-","")," ","")))&lt;14,RIGHT(REPT("0",14)&amp;UPPER(SUBSTITUTE(SUBSTITUTE(SUBSTITUTE(SUBSTITUTE(TRIM(A171),".",""),"/",""),"-","")," ","")),14),UPPER(SUBSTITUTE(SUBSTITUTE(SUBSTITUTE(SUBSTITUTE(TRIM(A171),".",""),"/",""),"-","")," ",""))))</f>
        <v/>
      </c>
      <c r="D171" s="23"/>
      <c r="E171" s="11"/>
      <c r="F171" s="11"/>
      <c r="G171" s="22"/>
      <c r="H171" s="22"/>
      <c r="I171" s="23"/>
      <c r="J171" s="24"/>
      <c r="K171" s="11"/>
    </row>
    <row r="172" customFormat="false" ht="15" hidden="false" customHeight="false" outlineLevel="0" collapsed="false">
      <c r="A172" s="24"/>
      <c r="B172" s="11"/>
      <c r="C172" s="31" t="str">
        <f aca="false">IF(A172="","",IF(LEN(UPPER(SUBSTITUTE(SUBSTITUTE(SUBSTITUTE(SUBSTITUTE(TRIM(A172),".",""),"/",""),"-","")," ","")))&lt;14,RIGHT(REPT("0",14)&amp;UPPER(SUBSTITUTE(SUBSTITUTE(SUBSTITUTE(SUBSTITUTE(TRIM(A172),".",""),"/",""),"-","")," ","")),14),UPPER(SUBSTITUTE(SUBSTITUTE(SUBSTITUTE(SUBSTITUTE(TRIM(A172),".",""),"/",""),"-","")," ",""))))</f>
        <v/>
      </c>
      <c r="D172" s="23"/>
      <c r="E172" s="11"/>
      <c r="F172" s="11"/>
      <c r="G172" s="22"/>
      <c r="H172" s="22"/>
      <c r="I172" s="23"/>
      <c r="J172" s="24"/>
      <c r="K172" s="11"/>
    </row>
    <row r="173" customFormat="false" ht="15" hidden="false" customHeight="false" outlineLevel="0" collapsed="false">
      <c r="A173" s="24"/>
      <c r="B173" s="11"/>
      <c r="C173" s="31" t="str">
        <f aca="false">IF(A173="","",IF(LEN(UPPER(SUBSTITUTE(SUBSTITUTE(SUBSTITUTE(SUBSTITUTE(TRIM(A173),".",""),"/",""),"-","")," ","")))&lt;14,RIGHT(REPT("0",14)&amp;UPPER(SUBSTITUTE(SUBSTITUTE(SUBSTITUTE(SUBSTITUTE(TRIM(A173),".",""),"/",""),"-","")," ","")),14),UPPER(SUBSTITUTE(SUBSTITUTE(SUBSTITUTE(SUBSTITUTE(TRIM(A173),".",""),"/",""),"-","")," ",""))))</f>
        <v/>
      </c>
      <c r="D173" s="23"/>
      <c r="E173" s="11"/>
      <c r="F173" s="11"/>
      <c r="G173" s="22"/>
      <c r="H173" s="22"/>
      <c r="I173" s="23"/>
      <c r="J173" s="24"/>
      <c r="K173" s="11"/>
    </row>
    <row r="174" customFormat="false" ht="15" hidden="false" customHeight="false" outlineLevel="0" collapsed="false">
      <c r="A174" s="24"/>
      <c r="B174" s="11"/>
      <c r="C174" s="31" t="str">
        <f aca="false">IF(A174="","",IF(LEN(UPPER(SUBSTITUTE(SUBSTITUTE(SUBSTITUTE(SUBSTITUTE(TRIM(A174),".",""),"/",""),"-","")," ","")))&lt;14,RIGHT(REPT("0",14)&amp;UPPER(SUBSTITUTE(SUBSTITUTE(SUBSTITUTE(SUBSTITUTE(TRIM(A174),".",""),"/",""),"-","")," ","")),14),UPPER(SUBSTITUTE(SUBSTITUTE(SUBSTITUTE(SUBSTITUTE(TRIM(A174),".",""),"/",""),"-","")," ",""))))</f>
        <v/>
      </c>
      <c r="D174" s="23"/>
      <c r="E174" s="11"/>
      <c r="F174" s="11"/>
      <c r="G174" s="22"/>
      <c r="H174" s="22"/>
      <c r="I174" s="23"/>
      <c r="J174" s="24"/>
      <c r="K174" s="11"/>
    </row>
    <row r="175" customFormat="false" ht="15" hidden="false" customHeight="false" outlineLevel="0" collapsed="false">
      <c r="A175" s="24"/>
      <c r="B175" s="11"/>
      <c r="C175" s="31" t="str">
        <f aca="false">IF(A175="","",IF(LEN(UPPER(SUBSTITUTE(SUBSTITUTE(SUBSTITUTE(SUBSTITUTE(TRIM(A175),".",""),"/",""),"-","")," ","")))&lt;14,RIGHT(REPT("0",14)&amp;UPPER(SUBSTITUTE(SUBSTITUTE(SUBSTITUTE(SUBSTITUTE(TRIM(A175),".",""),"/",""),"-","")," ","")),14),UPPER(SUBSTITUTE(SUBSTITUTE(SUBSTITUTE(SUBSTITUTE(TRIM(A175),".",""),"/",""),"-","")," ",""))))</f>
        <v/>
      </c>
      <c r="D175" s="23"/>
      <c r="E175" s="11"/>
      <c r="F175" s="11"/>
      <c r="G175" s="22"/>
      <c r="H175" s="22"/>
      <c r="I175" s="23"/>
      <c r="J175" s="24"/>
      <c r="K175" s="11"/>
    </row>
    <row r="176" customFormat="false" ht="15" hidden="false" customHeight="false" outlineLevel="0" collapsed="false">
      <c r="A176" s="24"/>
      <c r="B176" s="11"/>
      <c r="C176" s="31" t="str">
        <f aca="false">IF(A176="","",IF(LEN(UPPER(SUBSTITUTE(SUBSTITUTE(SUBSTITUTE(SUBSTITUTE(TRIM(A176),".",""),"/",""),"-","")," ","")))&lt;14,RIGHT(REPT("0",14)&amp;UPPER(SUBSTITUTE(SUBSTITUTE(SUBSTITUTE(SUBSTITUTE(TRIM(A176),".",""),"/",""),"-","")," ","")),14),UPPER(SUBSTITUTE(SUBSTITUTE(SUBSTITUTE(SUBSTITUTE(TRIM(A176),".",""),"/",""),"-","")," ",""))))</f>
        <v/>
      </c>
      <c r="D176" s="23"/>
      <c r="E176" s="11"/>
      <c r="F176" s="11"/>
      <c r="G176" s="22"/>
      <c r="H176" s="22"/>
      <c r="I176" s="23"/>
      <c r="J176" s="24"/>
      <c r="K176" s="11"/>
    </row>
    <row r="177" customFormat="false" ht="15" hidden="false" customHeight="false" outlineLevel="0" collapsed="false">
      <c r="A177" s="24"/>
      <c r="B177" s="11"/>
      <c r="C177" s="31" t="str">
        <f aca="false">IF(A177="","",IF(LEN(UPPER(SUBSTITUTE(SUBSTITUTE(SUBSTITUTE(SUBSTITUTE(TRIM(A177),".",""),"/",""),"-","")," ","")))&lt;14,RIGHT(REPT("0",14)&amp;UPPER(SUBSTITUTE(SUBSTITUTE(SUBSTITUTE(SUBSTITUTE(TRIM(A177),".",""),"/",""),"-","")," ","")),14),UPPER(SUBSTITUTE(SUBSTITUTE(SUBSTITUTE(SUBSTITUTE(TRIM(A177),".",""),"/",""),"-","")," ",""))))</f>
        <v/>
      </c>
      <c r="D177" s="23"/>
      <c r="E177" s="11"/>
      <c r="F177" s="11"/>
      <c r="G177" s="22"/>
      <c r="H177" s="22"/>
      <c r="I177" s="23"/>
      <c r="J177" s="24"/>
      <c r="K177" s="11"/>
    </row>
    <row r="178" customFormat="false" ht="15" hidden="false" customHeight="false" outlineLevel="0" collapsed="false">
      <c r="A178" s="24"/>
      <c r="B178" s="11"/>
      <c r="C178" s="31" t="str">
        <f aca="false">IF(A178="","",IF(LEN(UPPER(SUBSTITUTE(SUBSTITUTE(SUBSTITUTE(SUBSTITUTE(TRIM(A178),".",""),"/",""),"-","")," ","")))&lt;14,RIGHT(REPT("0",14)&amp;UPPER(SUBSTITUTE(SUBSTITUTE(SUBSTITUTE(SUBSTITUTE(TRIM(A178),".",""),"/",""),"-","")," ","")),14),UPPER(SUBSTITUTE(SUBSTITUTE(SUBSTITUTE(SUBSTITUTE(TRIM(A178),".",""),"/",""),"-","")," ",""))))</f>
        <v/>
      </c>
      <c r="D178" s="23"/>
      <c r="E178" s="11"/>
      <c r="F178" s="11"/>
      <c r="G178" s="22"/>
      <c r="H178" s="22"/>
      <c r="I178" s="23"/>
      <c r="J178" s="24"/>
      <c r="K178" s="11"/>
    </row>
    <row r="179" customFormat="false" ht="15" hidden="false" customHeight="false" outlineLevel="0" collapsed="false">
      <c r="A179" s="24"/>
      <c r="B179" s="11"/>
      <c r="C179" s="31" t="str">
        <f aca="false">IF(A179="","",IF(LEN(UPPER(SUBSTITUTE(SUBSTITUTE(SUBSTITUTE(SUBSTITUTE(TRIM(A179),".",""),"/",""),"-","")," ","")))&lt;14,RIGHT(REPT("0",14)&amp;UPPER(SUBSTITUTE(SUBSTITUTE(SUBSTITUTE(SUBSTITUTE(TRIM(A179),".",""),"/",""),"-","")," ","")),14),UPPER(SUBSTITUTE(SUBSTITUTE(SUBSTITUTE(SUBSTITUTE(TRIM(A179),".",""),"/",""),"-","")," ",""))))</f>
        <v/>
      </c>
      <c r="D179" s="23"/>
      <c r="E179" s="11"/>
      <c r="F179" s="11"/>
      <c r="G179" s="22"/>
      <c r="H179" s="22"/>
      <c r="I179" s="23"/>
      <c r="J179" s="24"/>
      <c r="K179" s="11"/>
    </row>
    <row r="180" customFormat="false" ht="15" hidden="false" customHeight="false" outlineLevel="0" collapsed="false">
      <c r="A180" s="24"/>
      <c r="B180" s="11"/>
      <c r="C180" s="31" t="str">
        <f aca="false">IF(A180="","",IF(LEN(UPPER(SUBSTITUTE(SUBSTITUTE(SUBSTITUTE(SUBSTITUTE(TRIM(A180),".",""),"/",""),"-","")," ","")))&lt;14,RIGHT(REPT("0",14)&amp;UPPER(SUBSTITUTE(SUBSTITUTE(SUBSTITUTE(SUBSTITUTE(TRIM(A180),".",""),"/",""),"-","")," ","")),14),UPPER(SUBSTITUTE(SUBSTITUTE(SUBSTITUTE(SUBSTITUTE(TRIM(A180),".",""),"/",""),"-","")," ",""))))</f>
        <v/>
      </c>
      <c r="D180" s="23"/>
      <c r="E180" s="11"/>
      <c r="F180" s="11"/>
      <c r="G180" s="22"/>
      <c r="H180" s="22"/>
      <c r="I180" s="23"/>
      <c r="J180" s="24"/>
      <c r="K180" s="11"/>
    </row>
    <row r="181" customFormat="false" ht="15" hidden="false" customHeight="false" outlineLevel="0" collapsed="false">
      <c r="A181" s="24"/>
      <c r="B181" s="11"/>
      <c r="C181" s="31" t="str">
        <f aca="false">IF(A181="","",IF(LEN(UPPER(SUBSTITUTE(SUBSTITUTE(SUBSTITUTE(SUBSTITUTE(TRIM(A181),".",""),"/",""),"-","")," ","")))&lt;14,RIGHT(REPT("0",14)&amp;UPPER(SUBSTITUTE(SUBSTITUTE(SUBSTITUTE(SUBSTITUTE(TRIM(A181),".",""),"/",""),"-","")," ","")),14),UPPER(SUBSTITUTE(SUBSTITUTE(SUBSTITUTE(SUBSTITUTE(TRIM(A181),".",""),"/",""),"-","")," ",""))))</f>
        <v/>
      </c>
      <c r="D181" s="23"/>
      <c r="E181" s="11"/>
      <c r="F181" s="11"/>
      <c r="G181" s="22"/>
      <c r="H181" s="22"/>
      <c r="I181" s="23"/>
      <c r="J181" s="24"/>
      <c r="K181" s="11"/>
    </row>
    <row r="182" customFormat="false" ht="15" hidden="false" customHeight="false" outlineLevel="0" collapsed="false">
      <c r="A182" s="24"/>
      <c r="B182" s="11"/>
      <c r="C182" s="31" t="str">
        <f aca="false">IF(A182="","",IF(LEN(UPPER(SUBSTITUTE(SUBSTITUTE(SUBSTITUTE(SUBSTITUTE(TRIM(A182),".",""),"/",""),"-","")," ","")))&lt;14,RIGHT(REPT("0",14)&amp;UPPER(SUBSTITUTE(SUBSTITUTE(SUBSTITUTE(SUBSTITUTE(TRIM(A182),".",""),"/",""),"-","")," ","")),14),UPPER(SUBSTITUTE(SUBSTITUTE(SUBSTITUTE(SUBSTITUTE(TRIM(A182),".",""),"/",""),"-","")," ",""))))</f>
        <v/>
      </c>
      <c r="D182" s="23"/>
      <c r="E182" s="11"/>
      <c r="F182" s="11"/>
      <c r="G182" s="22"/>
      <c r="H182" s="22"/>
      <c r="I182" s="23"/>
      <c r="J182" s="24"/>
      <c r="K182" s="11"/>
    </row>
    <row r="183" customFormat="false" ht="15" hidden="false" customHeight="false" outlineLevel="0" collapsed="false">
      <c r="A183" s="24"/>
      <c r="B183" s="11"/>
      <c r="C183" s="31" t="str">
        <f aca="false">IF(A183="","",IF(LEN(UPPER(SUBSTITUTE(SUBSTITUTE(SUBSTITUTE(SUBSTITUTE(TRIM(A183),".",""),"/",""),"-","")," ","")))&lt;14,RIGHT(REPT("0",14)&amp;UPPER(SUBSTITUTE(SUBSTITUTE(SUBSTITUTE(SUBSTITUTE(TRIM(A183),".",""),"/",""),"-","")," ","")),14),UPPER(SUBSTITUTE(SUBSTITUTE(SUBSTITUTE(SUBSTITUTE(TRIM(A183),".",""),"/",""),"-","")," ",""))))</f>
        <v/>
      </c>
      <c r="D183" s="23"/>
      <c r="E183" s="11"/>
      <c r="F183" s="11"/>
      <c r="G183" s="22"/>
      <c r="H183" s="22"/>
      <c r="I183" s="23"/>
      <c r="J183" s="24"/>
      <c r="K183" s="11"/>
    </row>
    <row r="184" customFormat="false" ht="15" hidden="false" customHeight="false" outlineLevel="0" collapsed="false">
      <c r="A184" s="24"/>
      <c r="B184" s="11"/>
      <c r="C184" s="31" t="str">
        <f aca="false">IF(A184="","",IF(LEN(UPPER(SUBSTITUTE(SUBSTITUTE(SUBSTITUTE(SUBSTITUTE(TRIM(A184),".",""),"/",""),"-","")," ","")))&lt;14,RIGHT(REPT("0",14)&amp;UPPER(SUBSTITUTE(SUBSTITUTE(SUBSTITUTE(SUBSTITUTE(TRIM(A184),".",""),"/",""),"-","")," ","")),14),UPPER(SUBSTITUTE(SUBSTITUTE(SUBSTITUTE(SUBSTITUTE(TRIM(A184),".",""),"/",""),"-","")," ",""))))</f>
        <v/>
      </c>
      <c r="D184" s="23"/>
      <c r="E184" s="11"/>
      <c r="F184" s="11"/>
      <c r="G184" s="22"/>
      <c r="H184" s="22"/>
      <c r="I184" s="23"/>
      <c r="J184" s="24"/>
      <c r="K184" s="11"/>
    </row>
    <row r="185" customFormat="false" ht="15" hidden="false" customHeight="false" outlineLevel="0" collapsed="false">
      <c r="A185" s="24"/>
      <c r="B185" s="11"/>
      <c r="C185" s="31" t="str">
        <f aca="false">IF(A185="","",IF(LEN(UPPER(SUBSTITUTE(SUBSTITUTE(SUBSTITUTE(SUBSTITUTE(TRIM(A185),".",""),"/",""),"-","")," ","")))&lt;14,RIGHT(REPT("0",14)&amp;UPPER(SUBSTITUTE(SUBSTITUTE(SUBSTITUTE(SUBSTITUTE(TRIM(A185),".",""),"/",""),"-","")," ","")),14),UPPER(SUBSTITUTE(SUBSTITUTE(SUBSTITUTE(SUBSTITUTE(TRIM(A185),".",""),"/",""),"-","")," ",""))))</f>
        <v/>
      </c>
      <c r="D185" s="23"/>
      <c r="E185" s="11"/>
      <c r="F185" s="11"/>
      <c r="G185" s="22"/>
      <c r="H185" s="22"/>
      <c r="I185" s="23"/>
      <c r="J185" s="24"/>
      <c r="K185" s="11"/>
    </row>
    <row r="186" customFormat="false" ht="15" hidden="false" customHeight="false" outlineLevel="0" collapsed="false">
      <c r="A186" s="24"/>
      <c r="B186" s="11"/>
      <c r="C186" s="31" t="str">
        <f aca="false">IF(A186="","",IF(LEN(UPPER(SUBSTITUTE(SUBSTITUTE(SUBSTITUTE(SUBSTITUTE(TRIM(A186),".",""),"/",""),"-","")," ","")))&lt;14,RIGHT(REPT("0",14)&amp;UPPER(SUBSTITUTE(SUBSTITUTE(SUBSTITUTE(SUBSTITUTE(TRIM(A186),".",""),"/",""),"-","")," ","")),14),UPPER(SUBSTITUTE(SUBSTITUTE(SUBSTITUTE(SUBSTITUTE(TRIM(A186),".",""),"/",""),"-","")," ",""))))</f>
        <v/>
      </c>
      <c r="D186" s="23"/>
      <c r="E186" s="11"/>
      <c r="F186" s="11"/>
      <c r="G186" s="22"/>
      <c r="H186" s="22"/>
      <c r="I186" s="23"/>
      <c r="J186" s="24"/>
      <c r="K186" s="11"/>
    </row>
    <row r="187" customFormat="false" ht="15" hidden="false" customHeight="false" outlineLevel="0" collapsed="false">
      <c r="A187" s="24"/>
      <c r="B187" s="11"/>
      <c r="C187" s="31" t="str">
        <f aca="false">IF(A187="","",IF(LEN(UPPER(SUBSTITUTE(SUBSTITUTE(SUBSTITUTE(SUBSTITUTE(TRIM(A187),".",""),"/",""),"-","")," ","")))&lt;14,RIGHT(REPT("0",14)&amp;UPPER(SUBSTITUTE(SUBSTITUTE(SUBSTITUTE(SUBSTITUTE(TRIM(A187),".",""),"/",""),"-","")," ","")),14),UPPER(SUBSTITUTE(SUBSTITUTE(SUBSTITUTE(SUBSTITUTE(TRIM(A187),".",""),"/",""),"-","")," ",""))))</f>
        <v/>
      </c>
      <c r="D187" s="23"/>
      <c r="E187" s="11"/>
      <c r="F187" s="11"/>
      <c r="G187" s="22"/>
      <c r="H187" s="22"/>
      <c r="I187" s="23"/>
      <c r="J187" s="24"/>
      <c r="K187" s="11"/>
    </row>
    <row r="188" customFormat="false" ht="15" hidden="false" customHeight="false" outlineLevel="0" collapsed="false">
      <c r="A188" s="24"/>
      <c r="B188" s="11"/>
      <c r="C188" s="31" t="str">
        <f aca="false">IF(A188="","",IF(LEN(UPPER(SUBSTITUTE(SUBSTITUTE(SUBSTITUTE(SUBSTITUTE(TRIM(A188),".",""),"/",""),"-","")," ","")))&lt;14,RIGHT(REPT("0",14)&amp;UPPER(SUBSTITUTE(SUBSTITUTE(SUBSTITUTE(SUBSTITUTE(TRIM(A188),".",""),"/",""),"-","")," ","")),14),UPPER(SUBSTITUTE(SUBSTITUTE(SUBSTITUTE(SUBSTITUTE(TRIM(A188),".",""),"/",""),"-","")," ",""))))</f>
        <v/>
      </c>
      <c r="D188" s="23"/>
      <c r="E188" s="11"/>
      <c r="F188" s="11"/>
      <c r="G188" s="22"/>
      <c r="H188" s="22"/>
      <c r="I188" s="23"/>
      <c r="J188" s="24"/>
      <c r="K188" s="11"/>
    </row>
    <row r="189" customFormat="false" ht="15" hidden="false" customHeight="false" outlineLevel="0" collapsed="false">
      <c r="A189" s="24"/>
      <c r="B189" s="11"/>
      <c r="C189" s="31" t="str">
        <f aca="false">IF(A189="","",IF(LEN(UPPER(SUBSTITUTE(SUBSTITUTE(SUBSTITUTE(SUBSTITUTE(TRIM(A189),".",""),"/",""),"-","")," ","")))&lt;14,RIGHT(REPT("0",14)&amp;UPPER(SUBSTITUTE(SUBSTITUTE(SUBSTITUTE(SUBSTITUTE(TRIM(A189),".",""),"/",""),"-","")," ","")),14),UPPER(SUBSTITUTE(SUBSTITUTE(SUBSTITUTE(SUBSTITUTE(TRIM(A189),".",""),"/",""),"-","")," ",""))))</f>
        <v/>
      </c>
      <c r="D189" s="23"/>
      <c r="E189" s="11"/>
      <c r="F189" s="11"/>
      <c r="G189" s="22"/>
      <c r="H189" s="22"/>
      <c r="I189" s="23"/>
      <c r="J189" s="24"/>
      <c r="K189" s="11"/>
    </row>
    <row r="190" customFormat="false" ht="15" hidden="false" customHeight="false" outlineLevel="0" collapsed="false">
      <c r="A190" s="24"/>
      <c r="B190" s="11"/>
      <c r="C190" s="31" t="str">
        <f aca="false">IF(A190="","",IF(LEN(UPPER(SUBSTITUTE(SUBSTITUTE(SUBSTITUTE(SUBSTITUTE(TRIM(A190),".",""),"/",""),"-","")," ","")))&lt;14,RIGHT(REPT("0",14)&amp;UPPER(SUBSTITUTE(SUBSTITUTE(SUBSTITUTE(SUBSTITUTE(TRIM(A190),".",""),"/",""),"-","")," ","")),14),UPPER(SUBSTITUTE(SUBSTITUTE(SUBSTITUTE(SUBSTITUTE(TRIM(A190),".",""),"/",""),"-","")," ",""))))</f>
        <v/>
      </c>
      <c r="D190" s="23"/>
      <c r="E190" s="11"/>
      <c r="F190" s="11"/>
      <c r="G190" s="22"/>
      <c r="H190" s="22"/>
      <c r="I190" s="23"/>
      <c r="J190" s="24"/>
      <c r="K190" s="11"/>
    </row>
    <row r="191" customFormat="false" ht="15" hidden="false" customHeight="false" outlineLevel="0" collapsed="false">
      <c r="A191" s="24"/>
      <c r="B191" s="11"/>
      <c r="C191" s="31" t="str">
        <f aca="false">IF(A191="","",IF(LEN(UPPER(SUBSTITUTE(SUBSTITUTE(SUBSTITUTE(SUBSTITUTE(TRIM(A191),".",""),"/",""),"-","")," ","")))&lt;14,RIGHT(REPT("0",14)&amp;UPPER(SUBSTITUTE(SUBSTITUTE(SUBSTITUTE(SUBSTITUTE(TRIM(A191),".",""),"/",""),"-","")," ","")),14),UPPER(SUBSTITUTE(SUBSTITUTE(SUBSTITUTE(SUBSTITUTE(TRIM(A191),".",""),"/",""),"-","")," ",""))))</f>
        <v/>
      </c>
      <c r="D191" s="23"/>
      <c r="E191" s="11"/>
      <c r="F191" s="11"/>
      <c r="G191" s="22"/>
      <c r="H191" s="22"/>
      <c r="I191" s="23"/>
      <c r="J191" s="24"/>
      <c r="K191" s="11"/>
    </row>
    <row r="192" customFormat="false" ht="15" hidden="false" customHeight="false" outlineLevel="0" collapsed="false">
      <c r="A192" s="24"/>
      <c r="B192" s="11"/>
      <c r="C192" s="31" t="str">
        <f aca="false">IF(A192="","",IF(LEN(UPPER(SUBSTITUTE(SUBSTITUTE(SUBSTITUTE(SUBSTITUTE(TRIM(A192),".",""),"/",""),"-","")," ","")))&lt;14,RIGHT(REPT("0",14)&amp;UPPER(SUBSTITUTE(SUBSTITUTE(SUBSTITUTE(SUBSTITUTE(TRIM(A192),".",""),"/",""),"-","")," ","")),14),UPPER(SUBSTITUTE(SUBSTITUTE(SUBSTITUTE(SUBSTITUTE(TRIM(A192),".",""),"/",""),"-","")," ",""))))</f>
        <v/>
      </c>
      <c r="D192" s="23"/>
      <c r="E192" s="11"/>
      <c r="F192" s="11"/>
      <c r="G192" s="22"/>
      <c r="H192" s="22"/>
      <c r="I192" s="23"/>
      <c r="J192" s="24"/>
      <c r="K192" s="11"/>
    </row>
    <row r="193" customFormat="false" ht="15" hidden="false" customHeight="false" outlineLevel="0" collapsed="false">
      <c r="A193" s="24"/>
      <c r="B193" s="11"/>
      <c r="C193" s="31" t="str">
        <f aca="false">IF(A193="","",IF(LEN(UPPER(SUBSTITUTE(SUBSTITUTE(SUBSTITUTE(SUBSTITUTE(TRIM(A193),".",""),"/",""),"-","")," ","")))&lt;14,RIGHT(REPT("0",14)&amp;UPPER(SUBSTITUTE(SUBSTITUTE(SUBSTITUTE(SUBSTITUTE(TRIM(A193),".",""),"/",""),"-","")," ","")),14),UPPER(SUBSTITUTE(SUBSTITUTE(SUBSTITUTE(SUBSTITUTE(TRIM(A193),".",""),"/",""),"-","")," ",""))))</f>
        <v/>
      </c>
      <c r="D193" s="23"/>
      <c r="E193" s="11"/>
      <c r="F193" s="11"/>
      <c r="G193" s="22"/>
      <c r="H193" s="22"/>
      <c r="I193" s="23"/>
      <c r="J193" s="24"/>
      <c r="K193" s="11"/>
    </row>
    <row r="194" customFormat="false" ht="15" hidden="false" customHeight="false" outlineLevel="0" collapsed="false">
      <c r="A194" s="24"/>
      <c r="B194" s="11"/>
      <c r="C194" s="31" t="str">
        <f aca="false">IF(A194="","",IF(LEN(UPPER(SUBSTITUTE(SUBSTITUTE(SUBSTITUTE(SUBSTITUTE(TRIM(A194),".",""),"/",""),"-","")," ","")))&lt;14,RIGHT(REPT("0",14)&amp;UPPER(SUBSTITUTE(SUBSTITUTE(SUBSTITUTE(SUBSTITUTE(TRIM(A194),".",""),"/",""),"-","")," ","")),14),UPPER(SUBSTITUTE(SUBSTITUTE(SUBSTITUTE(SUBSTITUTE(TRIM(A194),".",""),"/",""),"-","")," ",""))))</f>
        <v/>
      </c>
      <c r="D194" s="23"/>
      <c r="E194" s="11"/>
      <c r="F194" s="11"/>
      <c r="G194" s="22"/>
      <c r="H194" s="22"/>
      <c r="I194" s="23"/>
      <c r="J194" s="24"/>
      <c r="K194" s="11"/>
    </row>
    <row r="195" customFormat="false" ht="15" hidden="false" customHeight="false" outlineLevel="0" collapsed="false">
      <c r="A195" s="24"/>
      <c r="B195" s="11"/>
      <c r="C195" s="31" t="str">
        <f aca="false">IF(A195="","",IF(LEN(UPPER(SUBSTITUTE(SUBSTITUTE(SUBSTITUTE(SUBSTITUTE(TRIM(A195),".",""),"/",""),"-","")," ","")))&lt;14,RIGHT(REPT("0",14)&amp;UPPER(SUBSTITUTE(SUBSTITUTE(SUBSTITUTE(SUBSTITUTE(TRIM(A195),".",""),"/",""),"-","")," ","")),14),UPPER(SUBSTITUTE(SUBSTITUTE(SUBSTITUTE(SUBSTITUTE(TRIM(A195),".",""),"/",""),"-","")," ",""))))</f>
        <v/>
      </c>
      <c r="D195" s="23"/>
      <c r="E195" s="11"/>
      <c r="F195" s="11"/>
      <c r="G195" s="22"/>
      <c r="H195" s="22"/>
      <c r="I195" s="23"/>
      <c r="J195" s="24"/>
      <c r="K195" s="11"/>
    </row>
    <row r="196" customFormat="false" ht="15" hidden="false" customHeight="false" outlineLevel="0" collapsed="false">
      <c r="A196" s="24"/>
      <c r="B196" s="11"/>
      <c r="C196" s="31" t="str">
        <f aca="false">IF(A196="","",IF(LEN(UPPER(SUBSTITUTE(SUBSTITUTE(SUBSTITUTE(SUBSTITUTE(TRIM(A196),".",""),"/",""),"-","")," ","")))&lt;14,RIGHT(REPT("0",14)&amp;UPPER(SUBSTITUTE(SUBSTITUTE(SUBSTITUTE(SUBSTITUTE(TRIM(A196),".",""),"/",""),"-","")," ","")),14),UPPER(SUBSTITUTE(SUBSTITUTE(SUBSTITUTE(SUBSTITUTE(TRIM(A196),".",""),"/",""),"-","")," ",""))))</f>
        <v/>
      </c>
      <c r="D196" s="23"/>
      <c r="E196" s="11"/>
      <c r="F196" s="11"/>
      <c r="G196" s="22"/>
      <c r="H196" s="22"/>
      <c r="I196" s="23"/>
      <c r="J196" s="24"/>
      <c r="K196" s="11"/>
    </row>
    <row r="197" customFormat="false" ht="15" hidden="false" customHeight="false" outlineLevel="0" collapsed="false">
      <c r="A197" s="24"/>
      <c r="B197" s="11"/>
      <c r="C197" s="31" t="str">
        <f aca="false">IF(A197="","",IF(LEN(UPPER(SUBSTITUTE(SUBSTITUTE(SUBSTITUTE(SUBSTITUTE(TRIM(A197),".",""),"/",""),"-","")," ","")))&lt;14,RIGHT(REPT("0",14)&amp;UPPER(SUBSTITUTE(SUBSTITUTE(SUBSTITUTE(SUBSTITUTE(TRIM(A197),".",""),"/",""),"-","")," ","")),14),UPPER(SUBSTITUTE(SUBSTITUTE(SUBSTITUTE(SUBSTITUTE(TRIM(A197),".",""),"/",""),"-","")," ",""))))</f>
        <v/>
      </c>
      <c r="D197" s="23"/>
      <c r="E197" s="11"/>
      <c r="F197" s="11"/>
      <c r="G197" s="22"/>
      <c r="H197" s="22"/>
      <c r="I197" s="23"/>
      <c r="J197" s="24"/>
      <c r="K197" s="11"/>
    </row>
    <row r="198" customFormat="false" ht="15" hidden="false" customHeight="false" outlineLevel="0" collapsed="false">
      <c r="A198" s="24"/>
      <c r="B198" s="11"/>
      <c r="C198" s="31" t="str">
        <f aca="false">IF(A198="","",IF(LEN(UPPER(SUBSTITUTE(SUBSTITUTE(SUBSTITUTE(SUBSTITUTE(TRIM(A198),".",""),"/",""),"-","")," ","")))&lt;14,RIGHT(REPT("0",14)&amp;UPPER(SUBSTITUTE(SUBSTITUTE(SUBSTITUTE(SUBSTITUTE(TRIM(A198),".",""),"/",""),"-","")," ","")),14),UPPER(SUBSTITUTE(SUBSTITUTE(SUBSTITUTE(SUBSTITUTE(TRIM(A198),".",""),"/",""),"-","")," ",""))))</f>
        <v/>
      </c>
      <c r="D198" s="23"/>
      <c r="E198" s="11"/>
      <c r="F198" s="11"/>
      <c r="G198" s="22"/>
      <c r="H198" s="22"/>
      <c r="I198" s="23"/>
      <c r="J198" s="24"/>
      <c r="K198" s="11"/>
    </row>
    <row r="199" customFormat="false" ht="15" hidden="false" customHeight="false" outlineLevel="0" collapsed="false">
      <c r="A199" s="24"/>
      <c r="B199" s="11"/>
      <c r="C199" s="31" t="str">
        <f aca="false">IF(A199="","",IF(LEN(UPPER(SUBSTITUTE(SUBSTITUTE(SUBSTITUTE(SUBSTITUTE(TRIM(A199),".",""),"/",""),"-","")," ","")))&lt;14,RIGHT(REPT("0",14)&amp;UPPER(SUBSTITUTE(SUBSTITUTE(SUBSTITUTE(SUBSTITUTE(TRIM(A199),".",""),"/",""),"-","")," ","")),14),UPPER(SUBSTITUTE(SUBSTITUTE(SUBSTITUTE(SUBSTITUTE(TRIM(A199),".",""),"/",""),"-","")," ",""))))</f>
        <v/>
      </c>
      <c r="D199" s="23"/>
      <c r="E199" s="11"/>
      <c r="F199" s="11"/>
      <c r="G199" s="22"/>
      <c r="H199" s="22"/>
      <c r="I199" s="23"/>
      <c r="J199" s="24"/>
      <c r="K199" s="11"/>
    </row>
    <row r="200" customFormat="false" ht="15" hidden="false" customHeight="false" outlineLevel="0" collapsed="false">
      <c r="A200" s="24"/>
      <c r="B200" s="11"/>
      <c r="C200" s="31" t="str">
        <f aca="false">IF(A200="","",IF(LEN(UPPER(SUBSTITUTE(SUBSTITUTE(SUBSTITUTE(SUBSTITUTE(TRIM(A200),".",""),"/",""),"-","")," ","")))&lt;14,RIGHT(REPT("0",14)&amp;UPPER(SUBSTITUTE(SUBSTITUTE(SUBSTITUTE(SUBSTITUTE(TRIM(A200),".",""),"/",""),"-","")," ","")),14),UPPER(SUBSTITUTE(SUBSTITUTE(SUBSTITUTE(SUBSTITUTE(TRIM(A200),".",""),"/",""),"-","")," ",""))))</f>
        <v/>
      </c>
      <c r="D200" s="23"/>
      <c r="E200" s="11"/>
      <c r="F200" s="11"/>
      <c r="G200" s="22"/>
      <c r="H200" s="22"/>
      <c r="I200" s="23"/>
      <c r="J200" s="24"/>
      <c r="K200" s="11"/>
    </row>
    <row r="201" customFormat="false" ht="15" hidden="false" customHeight="false" outlineLevel="0" collapsed="false">
      <c r="A201" s="24"/>
      <c r="B201" s="11"/>
      <c r="C201" s="31" t="str">
        <f aca="false">IF(A201="","",IF(LEN(UPPER(SUBSTITUTE(SUBSTITUTE(SUBSTITUTE(SUBSTITUTE(TRIM(A201),".",""),"/",""),"-","")," ","")))&lt;14,RIGHT(REPT("0",14)&amp;UPPER(SUBSTITUTE(SUBSTITUTE(SUBSTITUTE(SUBSTITUTE(TRIM(A201),".",""),"/",""),"-","")," ","")),14),UPPER(SUBSTITUTE(SUBSTITUTE(SUBSTITUTE(SUBSTITUTE(TRIM(A201),".",""),"/",""),"-","")," ",""))))</f>
        <v/>
      </c>
      <c r="D201" s="23"/>
      <c r="E201" s="11"/>
      <c r="F201" s="11"/>
      <c r="G201" s="22"/>
      <c r="H201" s="22"/>
      <c r="I201" s="23"/>
      <c r="J201" s="24"/>
      <c r="K201" s="11"/>
    </row>
    <row r="202" customFormat="false" ht="15" hidden="false" customHeight="false" outlineLevel="0" collapsed="false">
      <c r="A202" s="24"/>
      <c r="B202" s="11"/>
      <c r="C202" s="31" t="str">
        <f aca="false">IF(A202="","",IF(LEN(UPPER(SUBSTITUTE(SUBSTITUTE(SUBSTITUTE(SUBSTITUTE(TRIM(A202),".",""),"/",""),"-","")," ","")))&lt;14,RIGHT(REPT("0",14)&amp;UPPER(SUBSTITUTE(SUBSTITUTE(SUBSTITUTE(SUBSTITUTE(TRIM(A202),".",""),"/",""),"-","")," ","")),14),UPPER(SUBSTITUTE(SUBSTITUTE(SUBSTITUTE(SUBSTITUTE(TRIM(A202),".",""),"/",""),"-","")," ",""))))</f>
        <v/>
      </c>
      <c r="D202" s="23"/>
      <c r="E202" s="11"/>
      <c r="F202" s="11"/>
      <c r="G202" s="22"/>
      <c r="H202" s="22"/>
      <c r="I202" s="23"/>
      <c r="J202" s="24"/>
      <c r="K202" s="11"/>
    </row>
    <row r="203" customFormat="false" ht="15" hidden="false" customHeight="false" outlineLevel="0" collapsed="false">
      <c r="A203" s="24"/>
      <c r="B203" s="11"/>
      <c r="C203" s="31" t="str">
        <f aca="false">IF(A203="","",IF(LEN(UPPER(SUBSTITUTE(SUBSTITUTE(SUBSTITUTE(SUBSTITUTE(TRIM(A203),".",""),"/",""),"-","")," ","")))&lt;14,RIGHT(REPT("0",14)&amp;UPPER(SUBSTITUTE(SUBSTITUTE(SUBSTITUTE(SUBSTITUTE(TRIM(A203),".",""),"/",""),"-","")," ","")),14),UPPER(SUBSTITUTE(SUBSTITUTE(SUBSTITUTE(SUBSTITUTE(TRIM(A203),".",""),"/",""),"-","")," ",""))))</f>
        <v/>
      </c>
      <c r="D203" s="23"/>
      <c r="E203" s="11"/>
      <c r="F203" s="11"/>
      <c r="G203" s="22"/>
      <c r="H203" s="22"/>
      <c r="I203" s="23"/>
      <c r="J203" s="24"/>
      <c r="K203" s="11"/>
    </row>
    <row r="204" customFormat="false" ht="15" hidden="false" customHeight="false" outlineLevel="0" collapsed="false">
      <c r="A204" s="24"/>
      <c r="B204" s="11"/>
      <c r="C204" s="31" t="str">
        <f aca="false">IF(A204="","",IF(LEN(UPPER(SUBSTITUTE(SUBSTITUTE(SUBSTITUTE(SUBSTITUTE(TRIM(A204),".",""),"/",""),"-","")," ","")))&lt;14,RIGHT(REPT("0",14)&amp;UPPER(SUBSTITUTE(SUBSTITUTE(SUBSTITUTE(SUBSTITUTE(TRIM(A204),".",""),"/",""),"-","")," ","")),14),UPPER(SUBSTITUTE(SUBSTITUTE(SUBSTITUTE(SUBSTITUTE(TRIM(A204),".",""),"/",""),"-","")," ",""))))</f>
        <v/>
      </c>
      <c r="D204" s="23"/>
      <c r="E204" s="11"/>
      <c r="F204" s="11"/>
      <c r="G204" s="22"/>
      <c r="H204" s="22"/>
      <c r="I204" s="23"/>
      <c r="J204" s="24"/>
      <c r="K204" s="11"/>
    </row>
    <row r="205" customFormat="false" ht="15" hidden="false" customHeight="false" outlineLevel="0" collapsed="false">
      <c r="A205" s="24"/>
      <c r="B205" s="11"/>
      <c r="C205" s="31" t="str">
        <f aca="false">IF(A205="","",IF(LEN(UPPER(SUBSTITUTE(SUBSTITUTE(SUBSTITUTE(SUBSTITUTE(TRIM(A205),".",""),"/",""),"-","")," ","")))&lt;14,RIGHT(REPT("0",14)&amp;UPPER(SUBSTITUTE(SUBSTITUTE(SUBSTITUTE(SUBSTITUTE(TRIM(A205),".",""),"/",""),"-","")," ","")),14),UPPER(SUBSTITUTE(SUBSTITUTE(SUBSTITUTE(SUBSTITUTE(TRIM(A205),".",""),"/",""),"-","")," ",""))))</f>
        <v/>
      </c>
      <c r="D205" s="23"/>
      <c r="E205" s="11"/>
      <c r="F205" s="11"/>
      <c r="G205" s="22"/>
      <c r="H205" s="22"/>
      <c r="I205" s="23"/>
      <c r="J205" s="24"/>
      <c r="K205" s="11"/>
    </row>
    <row r="206" customFormat="false" ht="15" hidden="false" customHeight="false" outlineLevel="0" collapsed="false">
      <c r="A206" s="24"/>
      <c r="B206" s="11"/>
      <c r="C206" s="31" t="str">
        <f aca="false">IF(A206="","",IF(LEN(UPPER(SUBSTITUTE(SUBSTITUTE(SUBSTITUTE(SUBSTITUTE(TRIM(A206),".",""),"/",""),"-","")," ","")))&lt;14,RIGHT(REPT("0",14)&amp;UPPER(SUBSTITUTE(SUBSTITUTE(SUBSTITUTE(SUBSTITUTE(TRIM(A206),".",""),"/",""),"-","")," ","")),14),UPPER(SUBSTITUTE(SUBSTITUTE(SUBSTITUTE(SUBSTITUTE(TRIM(A206),".",""),"/",""),"-","")," ",""))))</f>
        <v/>
      </c>
      <c r="D206" s="23"/>
      <c r="E206" s="11"/>
      <c r="F206" s="11"/>
      <c r="G206" s="22"/>
      <c r="H206" s="22"/>
      <c r="I206" s="23"/>
      <c r="J206" s="24"/>
      <c r="K206" s="11"/>
    </row>
    <row r="207" customFormat="false" ht="15" hidden="false" customHeight="false" outlineLevel="0" collapsed="false">
      <c r="A207" s="24"/>
      <c r="B207" s="11"/>
      <c r="C207" s="31" t="str">
        <f aca="false">IF(A207="","",IF(LEN(UPPER(SUBSTITUTE(SUBSTITUTE(SUBSTITUTE(SUBSTITUTE(TRIM(A207),".",""),"/",""),"-","")," ","")))&lt;14,RIGHT(REPT("0",14)&amp;UPPER(SUBSTITUTE(SUBSTITUTE(SUBSTITUTE(SUBSTITUTE(TRIM(A207),".",""),"/",""),"-","")," ","")),14),UPPER(SUBSTITUTE(SUBSTITUTE(SUBSTITUTE(SUBSTITUTE(TRIM(A207),".",""),"/",""),"-","")," ",""))))</f>
        <v/>
      </c>
      <c r="D207" s="23"/>
      <c r="E207" s="11"/>
      <c r="F207" s="11"/>
      <c r="G207" s="22"/>
      <c r="H207" s="22"/>
      <c r="I207" s="23"/>
      <c r="J207" s="24"/>
      <c r="K207" s="11"/>
    </row>
    <row r="208" customFormat="false" ht="15" hidden="false" customHeight="false" outlineLevel="0" collapsed="false">
      <c r="A208" s="24"/>
      <c r="B208" s="11"/>
      <c r="C208" s="31" t="str">
        <f aca="false">IF(A208="","",IF(LEN(UPPER(SUBSTITUTE(SUBSTITUTE(SUBSTITUTE(SUBSTITUTE(TRIM(A208),".",""),"/",""),"-","")," ","")))&lt;14,RIGHT(REPT("0",14)&amp;UPPER(SUBSTITUTE(SUBSTITUTE(SUBSTITUTE(SUBSTITUTE(TRIM(A208),".",""),"/",""),"-","")," ","")),14),UPPER(SUBSTITUTE(SUBSTITUTE(SUBSTITUTE(SUBSTITUTE(TRIM(A208),".",""),"/",""),"-","")," ",""))))</f>
        <v/>
      </c>
      <c r="D208" s="23"/>
      <c r="E208" s="11"/>
      <c r="F208" s="11"/>
      <c r="G208" s="22"/>
      <c r="H208" s="22"/>
      <c r="I208" s="23"/>
      <c r="J208" s="24"/>
      <c r="K208" s="11"/>
    </row>
    <row r="209" customFormat="false" ht="15" hidden="false" customHeight="false" outlineLevel="0" collapsed="false">
      <c r="A209" s="24"/>
      <c r="B209" s="11"/>
      <c r="C209" s="31" t="str">
        <f aca="false">IF(A209="","",IF(LEN(UPPER(SUBSTITUTE(SUBSTITUTE(SUBSTITUTE(SUBSTITUTE(TRIM(A209),".",""),"/",""),"-","")," ","")))&lt;14,RIGHT(REPT("0",14)&amp;UPPER(SUBSTITUTE(SUBSTITUTE(SUBSTITUTE(SUBSTITUTE(TRIM(A209),".",""),"/",""),"-","")," ","")),14),UPPER(SUBSTITUTE(SUBSTITUTE(SUBSTITUTE(SUBSTITUTE(TRIM(A209),".",""),"/",""),"-","")," ",""))))</f>
        <v/>
      </c>
      <c r="D209" s="23"/>
      <c r="E209" s="11"/>
      <c r="F209" s="11"/>
      <c r="G209" s="22"/>
      <c r="H209" s="22"/>
      <c r="I209" s="23"/>
      <c r="J209" s="24"/>
      <c r="K209" s="11"/>
    </row>
    <row r="210" customFormat="false" ht="15" hidden="false" customHeight="false" outlineLevel="0" collapsed="false">
      <c r="A210" s="24"/>
      <c r="B210" s="11"/>
      <c r="C210" s="31" t="str">
        <f aca="false">IF(A210="","",IF(LEN(UPPER(SUBSTITUTE(SUBSTITUTE(SUBSTITUTE(SUBSTITUTE(TRIM(A210),".",""),"/",""),"-","")," ","")))&lt;14,RIGHT(REPT("0",14)&amp;UPPER(SUBSTITUTE(SUBSTITUTE(SUBSTITUTE(SUBSTITUTE(TRIM(A210),".",""),"/",""),"-","")," ","")),14),UPPER(SUBSTITUTE(SUBSTITUTE(SUBSTITUTE(SUBSTITUTE(TRIM(A210),".",""),"/",""),"-","")," ",""))))</f>
        <v/>
      </c>
      <c r="D210" s="23"/>
      <c r="E210" s="11"/>
      <c r="F210" s="11"/>
      <c r="G210" s="22"/>
      <c r="H210" s="22"/>
      <c r="I210" s="23"/>
      <c r="J210" s="24"/>
      <c r="K210" s="11"/>
    </row>
    <row r="211" customFormat="false" ht="15" hidden="false" customHeight="false" outlineLevel="0" collapsed="false">
      <c r="A211" s="24"/>
      <c r="B211" s="11"/>
      <c r="C211" s="31" t="str">
        <f aca="false">IF(A211="","",IF(LEN(UPPER(SUBSTITUTE(SUBSTITUTE(SUBSTITUTE(SUBSTITUTE(TRIM(A211),".",""),"/",""),"-","")," ","")))&lt;14,RIGHT(REPT("0",14)&amp;UPPER(SUBSTITUTE(SUBSTITUTE(SUBSTITUTE(SUBSTITUTE(TRIM(A211),".",""),"/",""),"-","")," ","")),14),UPPER(SUBSTITUTE(SUBSTITUTE(SUBSTITUTE(SUBSTITUTE(TRIM(A211),".",""),"/",""),"-","")," ",""))))</f>
        <v/>
      </c>
      <c r="D211" s="23"/>
      <c r="E211" s="11"/>
      <c r="F211" s="11"/>
      <c r="G211" s="22"/>
      <c r="H211" s="22"/>
      <c r="I211" s="23"/>
      <c r="J211" s="24"/>
      <c r="K211" s="11"/>
    </row>
    <row r="212" customFormat="false" ht="15" hidden="false" customHeight="false" outlineLevel="0" collapsed="false">
      <c r="A212" s="24"/>
      <c r="B212" s="11"/>
      <c r="C212" s="31" t="str">
        <f aca="false">IF(A212="","",IF(LEN(UPPER(SUBSTITUTE(SUBSTITUTE(SUBSTITUTE(SUBSTITUTE(TRIM(A212),".",""),"/",""),"-","")," ","")))&lt;14,RIGHT(REPT("0",14)&amp;UPPER(SUBSTITUTE(SUBSTITUTE(SUBSTITUTE(SUBSTITUTE(TRIM(A212),".",""),"/",""),"-","")," ","")),14),UPPER(SUBSTITUTE(SUBSTITUTE(SUBSTITUTE(SUBSTITUTE(TRIM(A212),".",""),"/",""),"-","")," ",""))))</f>
        <v/>
      </c>
      <c r="D212" s="23"/>
      <c r="E212" s="11"/>
      <c r="F212" s="11"/>
      <c r="G212" s="22"/>
      <c r="H212" s="22"/>
      <c r="I212" s="23"/>
      <c r="J212" s="24"/>
      <c r="K212" s="11"/>
    </row>
    <row r="213" customFormat="false" ht="15" hidden="false" customHeight="false" outlineLevel="0" collapsed="false">
      <c r="A213" s="24"/>
      <c r="B213" s="11"/>
      <c r="C213" s="31" t="str">
        <f aca="false">IF(A213="","",IF(LEN(UPPER(SUBSTITUTE(SUBSTITUTE(SUBSTITUTE(SUBSTITUTE(TRIM(A213),".",""),"/",""),"-","")," ","")))&lt;14,RIGHT(REPT("0",14)&amp;UPPER(SUBSTITUTE(SUBSTITUTE(SUBSTITUTE(SUBSTITUTE(TRIM(A213),".",""),"/",""),"-","")," ","")),14),UPPER(SUBSTITUTE(SUBSTITUTE(SUBSTITUTE(SUBSTITUTE(TRIM(A213),".",""),"/",""),"-","")," ",""))))</f>
        <v/>
      </c>
      <c r="D213" s="23"/>
      <c r="E213" s="11"/>
      <c r="F213" s="11"/>
      <c r="G213" s="22"/>
      <c r="H213" s="22"/>
      <c r="I213" s="23"/>
      <c r="J213" s="24"/>
      <c r="K213" s="11"/>
    </row>
    <row r="214" customFormat="false" ht="15" hidden="false" customHeight="false" outlineLevel="0" collapsed="false">
      <c r="A214" s="24"/>
      <c r="B214" s="11"/>
      <c r="C214" s="31" t="str">
        <f aca="false">IF(A214="","",IF(LEN(UPPER(SUBSTITUTE(SUBSTITUTE(SUBSTITUTE(SUBSTITUTE(TRIM(A214),".",""),"/",""),"-","")," ","")))&lt;14,RIGHT(REPT("0",14)&amp;UPPER(SUBSTITUTE(SUBSTITUTE(SUBSTITUTE(SUBSTITUTE(TRIM(A214),".",""),"/",""),"-","")," ","")),14),UPPER(SUBSTITUTE(SUBSTITUTE(SUBSTITUTE(SUBSTITUTE(TRIM(A214),".",""),"/",""),"-","")," ",""))))</f>
        <v/>
      </c>
      <c r="D214" s="23"/>
      <c r="E214" s="11"/>
      <c r="F214" s="11"/>
      <c r="G214" s="22"/>
      <c r="H214" s="22"/>
      <c r="I214" s="23"/>
      <c r="J214" s="24"/>
      <c r="K214" s="11"/>
    </row>
    <row r="215" customFormat="false" ht="15" hidden="false" customHeight="false" outlineLevel="0" collapsed="false">
      <c r="A215" s="24"/>
      <c r="B215" s="11"/>
      <c r="C215" s="31" t="str">
        <f aca="false">IF(A215="","",IF(LEN(UPPER(SUBSTITUTE(SUBSTITUTE(SUBSTITUTE(SUBSTITUTE(TRIM(A215),".",""),"/",""),"-","")," ","")))&lt;14,RIGHT(REPT("0",14)&amp;UPPER(SUBSTITUTE(SUBSTITUTE(SUBSTITUTE(SUBSTITUTE(TRIM(A215),".",""),"/",""),"-","")," ","")),14),UPPER(SUBSTITUTE(SUBSTITUTE(SUBSTITUTE(SUBSTITUTE(TRIM(A215),".",""),"/",""),"-","")," ",""))))</f>
        <v/>
      </c>
      <c r="D215" s="23"/>
      <c r="E215" s="11"/>
      <c r="F215" s="11"/>
      <c r="G215" s="22"/>
      <c r="H215" s="22"/>
      <c r="I215" s="23"/>
      <c r="J215" s="24"/>
      <c r="K215" s="11"/>
    </row>
    <row r="216" customFormat="false" ht="15" hidden="false" customHeight="false" outlineLevel="0" collapsed="false">
      <c r="A216" s="24"/>
      <c r="B216" s="11"/>
      <c r="C216" s="31" t="str">
        <f aca="false">IF(A216="","",IF(LEN(UPPER(SUBSTITUTE(SUBSTITUTE(SUBSTITUTE(SUBSTITUTE(TRIM(A216),".",""),"/",""),"-","")," ","")))&lt;14,RIGHT(REPT("0",14)&amp;UPPER(SUBSTITUTE(SUBSTITUTE(SUBSTITUTE(SUBSTITUTE(TRIM(A216),".",""),"/",""),"-","")," ","")),14),UPPER(SUBSTITUTE(SUBSTITUTE(SUBSTITUTE(SUBSTITUTE(TRIM(A216),".",""),"/",""),"-","")," ",""))))</f>
        <v/>
      </c>
      <c r="D216" s="23"/>
      <c r="E216" s="11"/>
      <c r="F216" s="11"/>
      <c r="G216" s="22"/>
      <c r="H216" s="22"/>
      <c r="I216" s="23"/>
      <c r="J216" s="24"/>
      <c r="K216" s="11"/>
    </row>
    <row r="217" customFormat="false" ht="15" hidden="false" customHeight="false" outlineLevel="0" collapsed="false">
      <c r="A217" s="24"/>
      <c r="B217" s="11"/>
      <c r="C217" s="31" t="str">
        <f aca="false">IF(A217="","",IF(LEN(UPPER(SUBSTITUTE(SUBSTITUTE(SUBSTITUTE(SUBSTITUTE(TRIM(A217),".",""),"/",""),"-","")," ","")))&lt;14,RIGHT(REPT("0",14)&amp;UPPER(SUBSTITUTE(SUBSTITUTE(SUBSTITUTE(SUBSTITUTE(TRIM(A217),".",""),"/",""),"-","")," ","")),14),UPPER(SUBSTITUTE(SUBSTITUTE(SUBSTITUTE(SUBSTITUTE(TRIM(A217),".",""),"/",""),"-","")," ",""))))</f>
        <v/>
      </c>
      <c r="D217" s="23"/>
      <c r="E217" s="11"/>
      <c r="F217" s="11"/>
      <c r="G217" s="22"/>
      <c r="H217" s="22"/>
      <c r="I217" s="23"/>
      <c r="J217" s="24"/>
      <c r="K217" s="11"/>
    </row>
    <row r="218" customFormat="false" ht="15" hidden="false" customHeight="false" outlineLevel="0" collapsed="false">
      <c r="A218" s="24"/>
      <c r="B218" s="11"/>
      <c r="C218" s="31" t="str">
        <f aca="false">IF(A218="","",IF(LEN(UPPER(SUBSTITUTE(SUBSTITUTE(SUBSTITUTE(SUBSTITUTE(TRIM(A218),".",""),"/",""),"-","")," ","")))&lt;14,RIGHT(REPT("0",14)&amp;UPPER(SUBSTITUTE(SUBSTITUTE(SUBSTITUTE(SUBSTITUTE(TRIM(A218),".",""),"/",""),"-","")," ","")),14),UPPER(SUBSTITUTE(SUBSTITUTE(SUBSTITUTE(SUBSTITUTE(TRIM(A218),".",""),"/",""),"-","")," ",""))))</f>
        <v/>
      </c>
      <c r="D218" s="23"/>
      <c r="E218" s="11"/>
      <c r="F218" s="11"/>
      <c r="G218" s="22"/>
      <c r="H218" s="22"/>
      <c r="I218" s="23"/>
      <c r="J218" s="24"/>
      <c r="K218" s="11"/>
    </row>
    <row r="219" customFormat="false" ht="15" hidden="false" customHeight="false" outlineLevel="0" collapsed="false">
      <c r="A219" s="24"/>
      <c r="B219" s="11"/>
      <c r="C219" s="31" t="str">
        <f aca="false">IF(A219="","",IF(LEN(UPPER(SUBSTITUTE(SUBSTITUTE(SUBSTITUTE(SUBSTITUTE(TRIM(A219),".",""),"/",""),"-","")," ","")))&lt;14,RIGHT(REPT("0",14)&amp;UPPER(SUBSTITUTE(SUBSTITUTE(SUBSTITUTE(SUBSTITUTE(TRIM(A219),".",""),"/",""),"-","")," ","")),14),UPPER(SUBSTITUTE(SUBSTITUTE(SUBSTITUTE(SUBSTITUTE(TRIM(A219),".",""),"/",""),"-","")," ",""))))</f>
        <v/>
      </c>
      <c r="D219" s="23"/>
      <c r="E219" s="11"/>
      <c r="F219" s="11"/>
      <c r="G219" s="22"/>
      <c r="H219" s="22"/>
      <c r="I219" s="23"/>
      <c r="J219" s="24"/>
      <c r="K219" s="11"/>
    </row>
    <row r="220" customFormat="false" ht="15" hidden="false" customHeight="false" outlineLevel="0" collapsed="false">
      <c r="A220" s="24"/>
      <c r="B220" s="11"/>
      <c r="C220" s="31" t="str">
        <f aca="false">IF(A220="","",IF(LEN(UPPER(SUBSTITUTE(SUBSTITUTE(SUBSTITUTE(SUBSTITUTE(TRIM(A220),".",""),"/",""),"-","")," ","")))&lt;14,RIGHT(REPT("0",14)&amp;UPPER(SUBSTITUTE(SUBSTITUTE(SUBSTITUTE(SUBSTITUTE(TRIM(A220),".",""),"/",""),"-","")," ","")),14),UPPER(SUBSTITUTE(SUBSTITUTE(SUBSTITUTE(SUBSTITUTE(TRIM(A220),".",""),"/",""),"-","")," ",""))))</f>
        <v/>
      </c>
      <c r="D220" s="23"/>
      <c r="E220" s="11"/>
      <c r="F220" s="11"/>
      <c r="G220" s="22"/>
      <c r="H220" s="22"/>
      <c r="I220" s="23"/>
      <c r="J220" s="24"/>
      <c r="K220" s="11"/>
    </row>
    <row r="221" customFormat="false" ht="15" hidden="false" customHeight="false" outlineLevel="0" collapsed="false">
      <c r="A221" s="24"/>
      <c r="B221" s="11"/>
      <c r="C221" s="31" t="str">
        <f aca="false">IF(A221="","",IF(LEN(UPPER(SUBSTITUTE(SUBSTITUTE(SUBSTITUTE(SUBSTITUTE(TRIM(A221),".",""),"/",""),"-","")," ","")))&lt;14,RIGHT(REPT("0",14)&amp;UPPER(SUBSTITUTE(SUBSTITUTE(SUBSTITUTE(SUBSTITUTE(TRIM(A221),".",""),"/",""),"-","")," ","")),14),UPPER(SUBSTITUTE(SUBSTITUTE(SUBSTITUTE(SUBSTITUTE(TRIM(A221),".",""),"/",""),"-","")," ",""))))</f>
        <v/>
      </c>
      <c r="D221" s="23"/>
      <c r="E221" s="11"/>
      <c r="F221" s="11"/>
      <c r="G221" s="22"/>
      <c r="H221" s="22"/>
      <c r="I221" s="23"/>
      <c r="J221" s="24"/>
      <c r="K221" s="11"/>
    </row>
    <row r="222" customFormat="false" ht="15" hidden="false" customHeight="false" outlineLevel="0" collapsed="false">
      <c r="A222" s="24"/>
      <c r="B222" s="11"/>
      <c r="C222" s="31" t="str">
        <f aca="false">IF(A222="","",IF(LEN(UPPER(SUBSTITUTE(SUBSTITUTE(SUBSTITUTE(SUBSTITUTE(TRIM(A222),".",""),"/",""),"-","")," ","")))&lt;14,RIGHT(REPT("0",14)&amp;UPPER(SUBSTITUTE(SUBSTITUTE(SUBSTITUTE(SUBSTITUTE(TRIM(A222),".",""),"/",""),"-","")," ","")),14),UPPER(SUBSTITUTE(SUBSTITUTE(SUBSTITUTE(SUBSTITUTE(TRIM(A222),".",""),"/",""),"-","")," ",""))))</f>
        <v/>
      </c>
      <c r="D222" s="23"/>
      <c r="E222" s="11"/>
      <c r="F222" s="11"/>
      <c r="G222" s="22"/>
      <c r="H222" s="22"/>
      <c r="I222" s="23"/>
      <c r="J222" s="24"/>
      <c r="K222" s="11"/>
    </row>
    <row r="223" customFormat="false" ht="15" hidden="false" customHeight="false" outlineLevel="0" collapsed="false">
      <c r="A223" s="24"/>
      <c r="B223" s="11"/>
      <c r="C223" s="31" t="str">
        <f aca="false">IF(A223="","",IF(LEN(UPPER(SUBSTITUTE(SUBSTITUTE(SUBSTITUTE(SUBSTITUTE(TRIM(A223),".",""),"/",""),"-","")," ","")))&lt;14,RIGHT(REPT("0",14)&amp;UPPER(SUBSTITUTE(SUBSTITUTE(SUBSTITUTE(SUBSTITUTE(TRIM(A223),".",""),"/",""),"-","")," ","")),14),UPPER(SUBSTITUTE(SUBSTITUTE(SUBSTITUTE(SUBSTITUTE(TRIM(A223),".",""),"/",""),"-","")," ",""))))</f>
        <v/>
      </c>
      <c r="D223" s="23"/>
      <c r="E223" s="11"/>
      <c r="F223" s="11"/>
      <c r="G223" s="22"/>
      <c r="H223" s="22"/>
      <c r="I223" s="23"/>
      <c r="J223" s="24"/>
      <c r="K223" s="11"/>
    </row>
    <row r="224" customFormat="false" ht="15" hidden="false" customHeight="false" outlineLevel="0" collapsed="false">
      <c r="A224" s="24"/>
      <c r="B224" s="11"/>
      <c r="C224" s="31" t="str">
        <f aca="false">IF(A224="","",IF(LEN(UPPER(SUBSTITUTE(SUBSTITUTE(SUBSTITUTE(SUBSTITUTE(TRIM(A224),".",""),"/",""),"-","")," ","")))&lt;14,RIGHT(REPT("0",14)&amp;UPPER(SUBSTITUTE(SUBSTITUTE(SUBSTITUTE(SUBSTITUTE(TRIM(A224),".",""),"/",""),"-","")," ","")),14),UPPER(SUBSTITUTE(SUBSTITUTE(SUBSTITUTE(SUBSTITUTE(TRIM(A224),".",""),"/",""),"-","")," ",""))))</f>
        <v/>
      </c>
      <c r="D224" s="23"/>
      <c r="E224" s="11"/>
      <c r="F224" s="11"/>
      <c r="G224" s="22"/>
      <c r="H224" s="22"/>
      <c r="I224" s="23"/>
      <c r="J224" s="24"/>
      <c r="K224" s="11"/>
    </row>
    <row r="225" customFormat="false" ht="15" hidden="false" customHeight="false" outlineLevel="0" collapsed="false">
      <c r="A225" s="24"/>
      <c r="B225" s="11"/>
      <c r="C225" s="31" t="str">
        <f aca="false">IF(A225="","",IF(LEN(UPPER(SUBSTITUTE(SUBSTITUTE(SUBSTITUTE(SUBSTITUTE(TRIM(A225),".",""),"/",""),"-","")," ","")))&lt;14,RIGHT(REPT("0",14)&amp;UPPER(SUBSTITUTE(SUBSTITUTE(SUBSTITUTE(SUBSTITUTE(TRIM(A225),".",""),"/",""),"-","")," ","")),14),UPPER(SUBSTITUTE(SUBSTITUTE(SUBSTITUTE(SUBSTITUTE(TRIM(A225),".",""),"/",""),"-","")," ",""))))</f>
        <v/>
      </c>
      <c r="D225" s="23"/>
      <c r="E225" s="11"/>
      <c r="F225" s="11"/>
      <c r="G225" s="22"/>
      <c r="H225" s="22"/>
      <c r="I225" s="23"/>
      <c r="J225" s="24"/>
      <c r="K225" s="11"/>
    </row>
    <row r="226" customFormat="false" ht="15" hidden="false" customHeight="false" outlineLevel="0" collapsed="false">
      <c r="A226" s="24"/>
      <c r="B226" s="11"/>
      <c r="C226" s="31" t="str">
        <f aca="false">IF(A226="","",IF(LEN(UPPER(SUBSTITUTE(SUBSTITUTE(SUBSTITUTE(SUBSTITUTE(TRIM(A226),".",""),"/",""),"-","")," ","")))&lt;14,RIGHT(REPT("0",14)&amp;UPPER(SUBSTITUTE(SUBSTITUTE(SUBSTITUTE(SUBSTITUTE(TRIM(A226),".",""),"/",""),"-","")," ","")),14),UPPER(SUBSTITUTE(SUBSTITUTE(SUBSTITUTE(SUBSTITUTE(TRIM(A226),".",""),"/",""),"-","")," ",""))))</f>
        <v/>
      </c>
      <c r="D226" s="23"/>
      <c r="E226" s="11"/>
      <c r="F226" s="11"/>
      <c r="G226" s="22"/>
      <c r="H226" s="22"/>
      <c r="I226" s="23"/>
      <c r="J226" s="24"/>
      <c r="K226" s="11"/>
    </row>
    <row r="227" customFormat="false" ht="15" hidden="false" customHeight="false" outlineLevel="0" collapsed="false">
      <c r="A227" s="24"/>
      <c r="B227" s="11"/>
      <c r="C227" s="31" t="str">
        <f aca="false">IF(A227="","",IF(LEN(UPPER(SUBSTITUTE(SUBSTITUTE(SUBSTITUTE(SUBSTITUTE(TRIM(A227),".",""),"/",""),"-","")," ","")))&lt;14,RIGHT(REPT("0",14)&amp;UPPER(SUBSTITUTE(SUBSTITUTE(SUBSTITUTE(SUBSTITUTE(TRIM(A227),".",""),"/",""),"-","")," ","")),14),UPPER(SUBSTITUTE(SUBSTITUTE(SUBSTITUTE(SUBSTITUTE(TRIM(A227),".",""),"/",""),"-","")," ",""))))</f>
        <v/>
      </c>
      <c r="D227" s="23"/>
      <c r="E227" s="11"/>
      <c r="F227" s="11"/>
      <c r="G227" s="22"/>
      <c r="H227" s="22"/>
      <c r="I227" s="23"/>
      <c r="J227" s="24"/>
      <c r="K227" s="11"/>
    </row>
    <row r="228" customFormat="false" ht="15" hidden="false" customHeight="false" outlineLevel="0" collapsed="false">
      <c r="A228" s="24"/>
      <c r="B228" s="11"/>
      <c r="C228" s="31" t="str">
        <f aca="false">IF(A228="","",IF(LEN(UPPER(SUBSTITUTE(SUBSTITUTE(SUBSTITUTE(SUBSTITUTE(TRIM(A228),".",""),"/",""),"-","")," ","")))&lt;14,RIGHT(REPT("0",14)&amp;UPPER(SUBSTITUTE(SUBSTITUTE(SUBSTITUTE(SUBSTITUTE(TRIM(A228),".",""),"/",""),"-","")," ","")),14),UPPER(SUBSTITUTE(SUBSTITUTE(SUBSTITUTE(SUBSTITUTE(TRIM(A228),".",""),"/",""),"-","")," ",""))))</f>
        <v/>
      </c>
      <c r="D228" s="23"/>
      <c r="E228" s="11"/>
      <c r="F228" s="11"/>
      <c r="G228" s="22"/>
      <c r="H228" s="22"/>
      <c r="I228" s="23"/>
      <c r="J228" s="24"/>
      <c r="K228" s="11"/>
    </row>
    <row r="229" customFormat="false" ht="15" hidden="false" customHeight="false" outlineLevel="0" collapsed="false">
      <c r="A229" s="24"/>
      <c r="B229" s="11"/>
      <c r="C229" s="31" t="str">
        <f aca="false">IF(A229="","",IF(LEN(UPPER(SUBSTITUTE(SUBSTITUTE(SUBSTITUTE(SUBSTITUTE(TRIM(A229),".",""),"/",""),"-","")," ","")))&lt;14,RIGHT(REPT("0",14)&amp;UPPER(SUBSTITUTE(SUBSTITUTE(SUBSTITUTE(SUBSTITUTE(TRIM(A229),".",""),"/",""),"-","")," ","")),14),UPPER(SUBSTITUTE(SUBSTITUTE(SUBSTITUTE(SUBSTITUTE(TRIM(A229),".",""),"/",""),"-","")," ",""))))</f>
        <v/>
      </c>
      <c r="D229" s="23"/>
      <c r="E229" s="11"/>
      <c r="F229" s="11"/>
      <c r="G229" s="22"/>
      <c r="H229" s="22"/>
      <c r="I229" s="23"/>
      <c r="J229" s="24"/>
      <c r="K229" s="11"/>
    </row>
    <row r="230" customFormat="false" ht="15" hidden="false" customHeight="false" outlineLevel="0" collapsed="false">
      <c r="A230" s="24"/>
      <c r="B230" s="11"/>
      <c r="C230" s="31" t="str">
        <f aca="false">IF(A230="","",IF(LEN(UPPER(SUBSTITUTE(SUBSTITUTE(SUBSTITUTE(SUBSTITUTE(TRIM(A230),".",""),"/",""),"-","")," ","")))&lt;14,RIGHT(REPT("0",14)&amp;UPPER(SUBSTITUTE(SUBSTITUTE(SUBSTITUTE(SUBSTITUTE(TRIM(A230),".",""),"/",""),"-","")," ","")),14),UPPER(SUBSTITUTE(SUBSTITUTE(SUBSTITUTE(SUBSTITUTE(TRIM(A230),".",""),"/",""),"-","")," ",""))))</f>
        <v/>
      </c>
      <c r="D230" s="23"/>
      <c r="E230" s="11"/>
      <c r="F230" s="11"/>
      <c r="G230" s="22"/>
      <c r="H230" s="22"/>
      <c r="I230" s="23"/>
      <c r="J230" s="24"/>
      <c r="K230" s="11"/>
    </row>
    <row r="231" customFormat="false" ht="15" hidden="false" customHeight="false" outlineLevel="0" collapsed="false">
      <c r="A231" s="24"/>
      <c r="B231" s="11"/>
      <c r="C231" s="31" t="str">
        <f aca="false">IF(A231="","",IF(LEN(UPPER(SUBSTITUTE(SUBSTITUTE(SUBSTITUTE(SUBSTITUTE(TRIM(A231),".",""),"/",""),"-","")," ","")))&lt;14,RIGHT(REPT("0",14)&amp;UPPER(SUBSTITUTE(SUBSTITUTE(SUBSTITUTE(SUBSTITUTE(TRIM(A231),".",""),"/",""),"-","")," ","")),14),UPPER(SUBSTITUTE(SUBSTITUTE(SUBSTITUTE(SUBSTITUTE(TRIM(A231),".",""),"/",""),"-","")," ",""))))</f>
        <v/>
      </c>
      <c r="D231" s="23"/>
      <c r="E231" s="11"/>
      <c r="F231" s="11"/>
      <c r="G231" s="22"/>
      <c r="H231" s="22"/>
      <c r="I231" s="23"/>
      <c r="J231" s="24"/>
      <c r="K231" s="11"/>
    </row>
    <row r="232" customFormat="false" ht="15" hidden="false" customHeight="false" outlineLevel="0" collapsed="false">
      <c r="A232" s="24"/>
      <c r="B232" s="11"/>
      <c r="C232" s="31" t="str">
        <f aca="false">IF(A232="","",IF(LEN(UPPER(SUBSTITUTE(SUBSTITUTE(SUBSTITUTE(SUBSTITUTE(TRIM(A232),".",""),"/",""),"-","")," ","")))&lt;14,RIGHT(REPT("0",14)&amp;UPPER(SUBSTITUTE(SUBSTITUTE(SUBSTITUTE(SUBSTITUTE(TRIM(A232),".",""),"/",""),"-","")," ","")),14),UPPER(SUBSTITUTE(SUBSTITUTE(SUBSTITUTE(SUBSTITUTE(TRIM(A232),".",""),"/",""),"-","")," ",""))))</f>
        <v/>
      </c>
      <c r="D232" s="23"/>
      <c r="E232" s="11"/>
      <c r="F232" s="11"/>
      <c r="G232" s="22"/>
      <c r="H232" s="22"/>
      <c r="I232" s="23"/>
      <c r="J232" s="24"/>
      <c r="K232" s="11"/>
    </row>
    <row r="233" customFormat="false" ht="15" hidden="false" customHeight="false" outlineLevel="0" collapsed="false">
      <c r="A233" s="24"/>
      <c r="B233" s="11"/>
      <c r="C233" s="31" t="str">
        <f aca="false">IF(A233="","",IF(LEN(UPPER(SUBSTITUTE(SUBSTITUTE(SUBSTITUTE(SUBSTITUTE(TRIM(A233),".",""),"/",""),"-","")," ","")))&lt;14,RIGHT(REPT("0",14)&amp;UPPER(SUBSTITUTE(SUBSTITUTE(SUBSTITUTE(SUBSTITUTE(TRIM(A233),".",""),"/",""),"-","")," ","")),14),UPPER(SUBSTITUTE(SUBSTITUTE(SUBSTITUTE(SUBSTITUTE(TRIM(A233),".",""),"/",""),"-","")," ",""))))</f>
        <v/>
      </c>
      <c r="D233" s="23"/>
      <c r="E233" s="11"/>
      <c r="F233" s="11"/>
      <c r="G233" s="22"/>
      <c r="H233" s="22"/>
      <c r="I233" s="23"/>
      <c r="J233" s="24"/>
      <c r="K233" s="11"/>
    </row>
    <row r="234" customFormat="false" ht="15" hidden="false" customHeight="false" outlineLevel="0" collapsed="false">
      <c r="A234" s="24"/>
      <c r="B234" s="11"/>
      <c r="C234" s="31" t="str">
        <f aca="false">IF(A234="","",IF(LEN(UPPER(SUBSTITUTE(SUBSTITUTE(SUBSTITUTE(SUBSTITUTE(TRIM(A234),".",""),"/",""),"-","")," ","")))&lt;14,RIGHT(REPT("0",14)&amp;UPPER(SUBSTITUTE(SUBSTITUTE(SUBSTITUTE(SUBSTITUTE(TRIM(A234),".",""),"/",""),"-","")," ","")),14),UPPER(SUBSTITUTE(SUBSTITUTE(SUBSTITUTE(SUBSTITUTE(TRIM(A234),".",""),"/",""),"-","")," ",""))))</f>
        <v/>
      </c>
      <c r="D234" s="23"/>
      <c r="E234" s="11"/>
      <c r="F234" s="11"/>
      <c r="G234" s="22"/>
      <c r="H234" s="22"/>
      <c r="I234" s="23"/>
      <c r="J234" s="24"/>
      <c r="K234" s="11"/>
    </row>
    <row r="235" customFormat="false" ht="15" hidden="false" customHeight="false" outlineLevel="0" collapsed="false">
      <c r="A235" s="24"/>
      <c r="B235" s="11"/>
      <c r="C235" s="31" t="str">
        <f aca="false">IF(A235="","",IF(LEN(UPPER(SUBSTITUTE(SUBSTITUTE(SUBSTITUTE(SUBSTITUTE(TRIM(A235),".",""),"/",""),"-","")," ","")))&lt;14,RIGHT(REPT("0",14)&amp;UPPER(SUBSTITUTE(SUBSTITUTE(SUBSTITUTE(SUBSTITUTE(TRIM(A235),".",""),"/",""),"-","")," ","")),14),UPPER(SUBSTITUTE(SUBSTITUTE(SUBSTITUTE(SUBSTITUTE(TRIM(A235),".",""),"/",""),"-","")," ",""))))</f>
        <v/>
      </c>
      <c r="D235" s="23"/>
      <c r="E235" s="11"/>
      <c r="F235" s="11"/>
      <c r="G235" s="22"/>
      <c r="H235" s="22"/>
      <c r="I235" s="23"/>
      <c r="J235" s="24"/>
      <c r="K235" s="11"/>
    </row>
    <row r="236" customFormat="false" ht="15" hidden="false" customHeight="false" outlineLevel="0" collapsed="false">
      <c r="A236" s="24"/>
      <c r="B236" s="11"/>
      <c r="C236" s="31" t="str">
        <f aca="false">IF(A236="","",IF(LEN(UPPER(SUBSTITUTE(SUBSTITUTE(SUBSTITUTE(SUBSTITUTE(TRIM(A236),".",""),"/",""),"-","")," ","")))&lt;14,RIGHT(REPT("0",14)&amp;UPPER(SUBSTITUTE(SUBSTITUTE(SUBSTITUTE(SUBSTITUTE(TRIM(A236),".",""),"/",""),"-","")," ","")),14),UPPER(SUBSTITUTE(SUBSTITUTE(SUBSTITUTE(SUBSTITUTE(TRIM(A236),".",""),"/",""),"-","")," ",""))))</f>
        <v/>
      </c>
      <c r="D236" s="23"/>
      <c r="E236" s="11"/>
      <c r="F236" s="11"/>
      <c r="G236" s="22"/>
      <c r="H236" s="22"/>
      <c r="I236" s="23"/>
      <c r="J236" s="24"/>
      <c r="K236" s="11"/>
    </row>
    <row r="237" customFormat="false" ht="15" hidden="false" customHeight="false" outlineLevel="0" collapsed="false">
      <c r="A237" s="24"/>
      <c r="B237" s="11"/>
      <c r="C237" s="31" t="str">
        <f aca="false">IF(A237="","",IF(LEN(UPPER(SUBSTITUTE(SUBSTITUTE(SUBSTITUTE(SUBSTITUTE(TRIM(A237),".",""),"/",""),"-","")," ","")))&lt;14,RIGHT(REPT("0",14)&amp;UPPER(SUBSTITUTE(SUBSTITUTE(SUBSTITUTE(SUBSTITUTE(TRIM(A237),".",""),"/",""),"-","")," ","")),14),UPPER(SUBSTITUTE(SUBSTITUTE(SUBSTITUTE(SUBSTITUTE(TRIM(A237),".",""),"/",""),"-","")," ",""))))</f>
        <v/>
      </c>
      <c r="D237" s="23"/>
      <c r="E237" s="11"/>
      <c r="F237" s="11"/>
      <c r="G237" s="22"/>
      <c r="H237" s="22"/>
      <c r="I237" s="23"/>
      <c r="J237" s="24"/>
      <c r="K237" s="11"/>
    </row>
    <row r="238" customFormat="false" ht="15" hidden="false" customHeight="false" outlineLevel="0" collapsed="false">
      <c r="A238" s="24"/>
      <c r="B238" s="11"/>
      <c r="C238" s="31" t="str">
        <f aca="false">IF(A238="","",IF(LEN(UPPER(SUBSTITUTE(SUBSTITUTE(SUBSTITUTE(SUBSTITUTE(TRIM(A238),".",""),"/",""),"-","")," ","")))&lt;14,RIGHT(REPT("0",14)&amp;UPPER(SUBSTITUTE(SUBSTITUTE(SUBSTITUTE(SUBSTITUTE(TRIM(A238),".",""),"/",""),"-","")," ","")),14),UPPER(SUBSTITUTE(SUBSTITUTE(SUBSTITUTE(SUBSTITUTE(TRIM(A238),".",""),"/",""),"-","")," ",""))))</f>
        <v/>
      </c>
      <c r="D238" s="23"/>
      <c r="E238" s="11"/>
      <c r="F238" s="11"/>
      <c r="G238" s="22"/>
      <c r="H238" s="22"/>
      <c r="I238" s="23"/>
      <c r="J238" s="24"/>
      <c r="K238" s="11"/>
    </row>
    <row r="239" customFormat="false" ht="15" hidden="false" customHeight="false" outlineLevel="0" collapsed="false">
      <c r="A239" s="24"/>
      <c r="B239" s="11"/>
      <c r="C239" s="31" t="str">
        <f aca="false">IF(A239="","",IF(LEN(UPPER(SUBSTITUTE(SUBSTITUTE(SUBSTITUTE(SUBSTITUTE(TRIM(A239),".",""),"/",""),"-","")," ","")))&lt;14,RIGHT(REPT("0",14)&amp;UPPER(SUBSTITUTE(SUBSTITUTE(SUBSTITUTE(SUBSTITUTE(TRIM(A239),".",""),"/",""),"-","")," ","")),14),UPPER(SUBSTITUTE(SUBSTITUTE(SUBSTITUTE(SUBSTITUTE(TRIM(A239),".",""),"/",""),"-","")," ",""))))</f>
        <v/>
      </c>
      <c r="D239" s="23"/>
      <c r="E239" s="11"/>
      <c r="F239" s="11"/>
      <c r="G239" s="22"/>
      <c r="H239" s="22"/>
      <c r="I239" s="23"/>
      <c r="J239" s="24"/>
      <c r="K239" s="11"/>
    </row>
    <row r="240" customFormat="false" ht="15" hidden="false" customHeight="false" outlineLevel="0" collapsed="false">
      <c r="A240" s="24"/>
      <c r="B240" s="11"/>
      <c r="C240" s="31" t="str">
        <f aca="false">IF(A240="","",IF(LEN(UPPER(SUBSTITUTE(SUBSTITUTE(SUBSTITUTE(SUBSTITUTE(TRIM(A240),".",""),"/",""),"-","")," ","")))&lt;14,RIGHT(REPT("0",14)&amp;UPPER(SUBSTITUTE(SUBSTITUTE(SUBSTITUTE(SUBSTITUTE(TRIM(A240),".",""),"/",""),"-","")," ","")),14),UPPER(SUBSTITUTE(SUBSTITUTE(SUBSTITUTE(SUBSTITUTE(TRIM(A240),".",""),"/",""),"-","")," ",""))))</f>
        <v/>
      </c>
      <c r="D240" s="23"/>
      <c r="E240" s="11"/>
      <c r="F240" s="11"/>
      <c r="G240" s="22"/>
      <c r="H240" s="22"/>
      <c r="I240" s="23"/>
      <c r="J240" s="24"/>
      <c r="K240" s="11"/>
    </row>
    <row r="241" customFormat="false" ht="15" hidden="false" customHeight="false" outlineLevel="0" collapsed="false">
      <c r="A241" s="24"/>
      <c r="B241" s="11"/>
      <c r="C241" s="31" t="str">
        <f aca="false">IF(A241="","",IF(LEN(UPPER(SUBSTITUTE(SUBSTITUTE(SUBSTITUTE(SUBSTITUTE(TRIM(A241),".",""),"/",""),"-","")," ","")))&lt;14,RIGHT(REPT("0",14)&amp;UPPER(SUBSTITUTE(SUBSTITUTE(SUBSTITUTE(SUBSTITUTE(TRIM(A241),".",""),"/",""),"-","")," ","")),14),UPPER(SUBSTITUTE(SUBSTITUTE(SUBSTITUTE(SUBSTITUTE(TRIM(A241),".",""),"/",""),"-","")," ",""))))</f>
        <v/>
      </c>
      <c r="D241" s="23"/>
      <c r="E241" s="11"/>
      <c r="F241" s="11"/>
      <c r="G241" s="22"/>
      <c r="H241" s="22"/>
      <c r="I241" s="23"/>
      <c r="J241" s="24"/>
      <c r="K241" s="11"/>
    </row>
    <row r="242" customFormat="false" ht="15" hidden="false" customHeight="false" outlineLevel="0" collapsed="false">
      <c r="A242" s="24"/>
      <c r="B242" s="11"/>
      <c r="C242" s="31" t="str">
        <f aca="false">IF(A242="","",IF(LEN(UPPER(SUBSTITUTE(SUBSTITUTE(SUBSTITUTE(SUBSTITUTE(TRIM(A242),".",""),"/",""),"-","")," ","")))&lt;14,RIGHT(REPT("0",14)&amp;UPPER(SUBSTITUTE(SUBSTITUTE(SUBSTITUTE(SUBSTITUTE(TRIM(A242),".",""),"/",""),"-","")," ","")),14),UPPER(SUBSTITUTE(SUBSTITUTE(SUBSTITUTE(SUBSTITUTE(TRIM(A242),".",""),"/",""),"-","")," ",""))))</f>
        <v/>
      </c>
      <c r="D242" s="23"/>
      <c r="E242" s="11"/>
      <c r="F242" s="11"/>
      <c r="G242" s="22"/>
      <c r="H242" s="22"/>
      <c r="I242" s="23"/>
      <c r="J242" s="24"/>
      <c r="K242" s="11"/>
    </row>
    <row r="243" customFormat="false" ht="15" hidden="false" customHeight="false" outlineLevel="0" collapsed="false">
      <c r="A243" s="24"/>
      <c r="B243" s="11"/>
      <c r="C243" s="31" t="str">
        <f aca="false">IF(A243="","",IF(LEN(UPPER(SUBSTITUTE(SUBSTITUTE(SUBSTITUTE(SUBSTITUTE(TRIM(A243),".",""),"/",""),"-","")," ","")))&lt;14,RIGHT(REPT("0",14)&amp;UPPER(SUBSTITUTE(SUBSTITUTE(SUBSTITUTE(SUBSTITUTE(TRIM(A243),".",""),"/",""),"-","")," ","")),14),UPPER(SUBSTITUTE(SUBSTITUTE(SUBSTITUTE(SUBSTITUTE(TRIM(A243),".",""),"/",""),"-","")," ",""))))</f>
        <v/>
      </c>
      <c r="D243" s="23"/>
      <c r="E243" s="11"/>
      <c r="F243" s="11"/>
      <c r="G243" s="22"/>
      <c r="H243" s="22"/>
      <c r="I243" s="23"/>
      <c r="J243" s="24"/>
      <c r="K243" s="11"/>
    </row>
    <row r="244" customFormat="false" ht="15" hidden="false" customHeight="false" outlineLevel="0" collapsed="false">
      <c r="A244" s="24"/>
      <c r="B244" s="11"/>
      <c r="C244" s="31" t="str">
        <f aca="false">IF(A244="","",IF(LEN(UPPER(SUBSTITUTE(SUBSTITUTE(SUBSTITUTE(SUBSTITUTE(TRIM(A244),".",""),"/",""),"-","")," ","")))&lt;14,RIGHT(REPT("0",14)&amp;UPPER(SUBSTITUTE(SUBSTITUTE(SUBSTITUTE(SUBSTITUTE(TRIM(A244),".",""),"/",""),"-","")," ","")),14),UPPER(SUBSTITUTE(SUBSTITUTE(SUBSTITUTE(SUBSTITUTE(TRIM(A244),".",""),"/",""),"-","")," ",""))))</f>
        <v/>
      </c>
      <c r="D244" s="23"/>
      <c r="E244" s="11"/>
      <c r="F244" s="11"/>
      <c r="G244" s="22"/>
      <c r="H244" s="22"/>
      <c r="I244" s="23"/>
      <c r="J244" s="24"/>
      <c r="K244" s="11"/>
    </row>
    <row r="245" customFormat="false" ht="15" hidden="false" customHeight="false" outlineLevel="0" collapsed="false">
      <c r="A245" s="24"/>
      <c r="B245" s="11"/>
      <c r="C245" s="31" t="str">
        <f aca="false">IF(A245="","",IF(LEN(UPPER(SUBSTITUTE(SUBSTITUTE(SUBSTITUTE(SUBSTITUTE(TRIM(A245),".",""),"/",""),"-","")," ","")))&lt;14,RIGHT(REPT("0",14)&amp;UPPER(SUBSTITUTE(SUBSTITUTE(SUBSTITUTE(SUBSTITUTE(TRIM(A245),".",""),"/",""),"-","")," ","")),14),UPPER(SUBSTITUTE(SUBSTITUTE(SUBSTITUTE(SUBSTITUTE(TRIM(A245),".",""),"/",""),"-","")," ",""))))</f>
        <v/>
      </c>
      <c r="D245" s="23"/>
      <c r="E245" s="11"/>
      <c r="F245" s="11"/>
      <c r="G245" s="22"/>
      <c r="H245" s="22"/>
      <c r="I245" s="23"/>
      <c r="J245" s="24"/>
      <c r="K245" s="11"/>
    </row>
    <row r="246" customFormat="false" ht="15" hidden="false" customHeight="false" outlineLevel="0" collapsed="false">
      <c r="A246" s="24"/>
      <c r="B246" s="11"/>
      <c r="C246" s="31" t="str">
        <f aca="false">IF(A246="","",IF(LEN(UPPER(SUBSTITUTE(SUBSTITUTE(SUBSTITUTE(SUBSTITUTE(TRIM(A246),".",""),"/",""),"-","")," ","")))&lt;14,RIGHT(REPT("0",14)&amp;UPPER(SUBSTITUTE(SUBSTITUTE(SUBSTITUTE(SUBSTITUTE(TRIM(A246),".",""),"/",""),"-","")," ","")),14),UPPER(SUBSTITUTE(SUBSTITUTE(SUBSTITUTE(SUBSTITUTE(TRIM(A246),".",""),"/",""),"-","")," ",""))))</f>
        <v/>
      </c>
      <c r="D246" s="23"/>
      <c r="E246" s="11"/>
      <c r="F246" s="11"/>
      <c r="G246" s="22"/>
      <c r="H246" s="22"/>
      <c r="I246" s="23"/>
      <c r="J246" s="24"/>
      <c r="K246" s="11"/>
    </row>
    <row r="247" customFormat="false" ht="15" hidden="false" customHeight="false" outlineLevel="0" collapsed="false">
      <c r="A247" s="24"/>
      <c r="B247" s="11"/>
      <c r="C247" s="31" t="str">
        <f aca="false">IF(A247="","",IF(LEN(UPPER(SUBSTITUTE(SUBSTITUTE(SUBSTITUTE(SUBSTITUTE(TRIM(A247),".",""),"/",""),"-","")," ","")))&lt;14,RIGHT(REPT("0",14)&amp;UPPER(SUBSTITUTE(SUBSTITUTE(SUBSTITUTE(SUBSTITUTE(TRIM(A247),".",""),"/",""),"-","")," ","")),14),UPPER(SUBSTITUTE(SUBSTITUTE(SUBSTITUTE(SUBSTITUTE(TRIM(A247),".",""),"/",""),"-","")," ",""))))</f>
        <v/>
      </c>
      <c r="D247" s="23"/>
      <c r="E247" s="11"/>
      <c r="F247" s="11"/>
      <c r="G247" s="22"/>
      <c r="H247" s="22"/>
      <c r="I247" s="23"/>
      <c r="J247" s="24"/>
      <c r="K247" s="11"/>
    </row>
    <row r="248" customFormat="false" ht="15" hidden="false" customHeight="false" outlineLevel="0" collapsed="false">
      <c r="A248" s="24"/>
      <c r="B248" s="11"/>
      <c r="C248" s="31" t="str">
        <f aca="false">IF(A248="","",IF(LEN(UPPER(SUBSTITUTE(SUBSTITUTE(SUBSTITUTE(SUBSTITUTE(TRIM(A248),".",""),"/",""),"-","")," ","")))&lt;14,RIGHT(REPT("0",14)&amp;UPPER(SUBSTITUTE(SUBSTITUTE(SUBSTITUTE(SUBSTITUTE(TRIM(A248),".",""),"/",""),"-","")," ","")),14),UPPER(SUBSTITUTE(SUBSTITUTE(SUBSTITUTE(SUBSTITUTE(TRIM(A248),".",""),"/",""),"-","")," ",""))))</f>
        <v/>
      </c>
      <c r="D248" s="23"/>
      <c r="E248" s="11"/>
      <c r="F248" s="11"/>
      <c r="G248" s="22"/>
      <c r="H248" s="22"/>
      <c r="I248" s="23"/>
      <c r="J248" s="24"/>
      <c r="K248" s="11"/>
    </row>
    <row r="249" customFormat="false" ht="15" hidden="false" customHeight="false" outlineLevel="0" collapsed="false">
      <c r="A249" s="24"/>
      <c r="B249" s="11"/>
      <c r="C249" s="31" t="str">
        <f aca="false">IF(A249="","",IF(LEN(UPPER(SUBSTITUTE(SUBSTITUTE(SUBSTITUTE(SUBSTITUTE(TRIM(A249),".",""),"/",""),"-","")," ","")))&lt;14,RIGHT(REPT("0",14)&amp;UPPER(SUBSTITUTE(SUBSTITUTE(SUBSTITUTE(SUBSTITUTE(TRIM(A249),".",""),"/",""),"-","")," ","")),14),UPPER(SUBSTITUTE(SUBSTITUTE(SUBSTITUTE(SUBSTITUTE(TRIM(A249),".",""),"/",""),"-","")," ",""))))</f>
        <v/>
      </c>
      <c r="D249" s="23"/>
      <c r="E249" s="11"/>
      <c r="F249" s="11"/>
      <c r="G249" s="22"/>
      <c r="H249" s="22"/>
      <c r="I249" s="23"/>
      <c r="J249" s="24"/>
      <c r="K249" s="11"/>
    </row>
    <row r="250" customFormat="false" ht="15" hidden="false" customHeight="false" outlineLevel="0" collapsed="false">
      <c r="A250" s="24"/>
      <c r="B250" s="11"/>
      <c r="C250" s="31" t="str">
        <f aca="false">IF(A250="","",IF(LEN(UPPER(SUBSTITUTE(SUBSTITUTE(SUBSTITUTE(SUBSTITUTE(TRIM(A250),".",""),"/",""),"-","")," ","")))&lt;14,RIGHT(REPT("0",14)&amp;UPPER(SUBSTITUTE(SUBSTITUTE(SUBSTITUTE(SUBSTITUTE(TRIM(A250),".",""),"/",""),"-","")," ","")),14),UPPER(SUBSTITUTE(SUBSTITUTE(SUBSTITUTE(SUBSTITUTE(TRIM(A250),".",""),"/",""),"-","")," ",""))))</f>
        <v/>
      </c>
      <c r="D250" s="23"/>
      <c r="E250" s="11"/>
      <c r="F250" s="11"/>
      <c r="G250" s="22"/>
      <c r="H250" s="22"/>
      <c r="I250" s="23"/>
      <c r="J250" s="24"/>
      <c r="K250" s="11"/>
    </row>
    <row r="251" customFormat="false" ht="15" hidden="false" customHeight="false" outlineLevel="0" collapsed="false">
      <c r="A251" s="24"/>
      <c r="B251" s="11"/>
      <c r="C251" s="31" t="str">
        <f aca="false">IF(A251="","",IF(LEN(UPPER(SUBSTITUTE(SUBSTITUTE(SUBSTITUTE(SUBSTITUTE(TRIM(A251),".",""),"/",""),"-","")," ","")))&lt;14,RIGHT(REPT("0",14)&amp;UPPER(SUBSTITUTE(SUBSTITUTE(SUBSTITUTE(SUBSTITUTE(TRIM(A251),".",""),"/",""),"-","")," ","")),14),UPPER(SUBSTITUTE(SUBSTITUTE(SUBSTITUTE(SUBSTITUTE(TRIM(A251),".",""),"/",""),"-","")," ",""))))</f>
        <v/>
      </c>
      <c r="D251" s="23"/>
      <c r="E251" s="11"/>
      <c r="F251" s="11"/>
      <c r="G251" s="22"/>
      <c r="H251" s="22"/>
      <c r="I251" s="23"/>
      <c r="J251" s="24"/>
      <c r="K251" s="11"/>
    </row>
    <row r="252" customFormat="false" ht="15" hidden="false" customHeight="false" outlineLevel="0" collapsed="false">
      <c r="A252" s="24"/>
      <c r="B252" s="11"/>
      <c r="C252" s="31" t="str">
        <f aca="false">IF(A252="","",IF(LEN(UPPER(SUBSTITUTE(SUBSTITUTE(SUBSTITUTE(SUBSTITUTE(TRIM(A252),".",""),"/",""),"-","")," ","")))&lt;14,RIGHT(REPT("0",14)&amp;UPPER(SUBSTITUTE(SUBSTITUTE(SUBSTITUTE(SUBSTITUTE(TRIM(A252),".",""),"/",""),"-","")," ","")),14),UPPER(SUBSTITUTE(SUBSTITUTE(SUBSTITUTE(SUBSTITUTE(TRIM(A252),".",""),"/",""),"-","")," ",""))))</f>
        <v/>
      </c>
      <c r="D252" s="23"/>
      <c r="E252" s="11"/>
      <c r="F252" s="11"/>
      <c r="G252" s="22"/>
      <c r="H252" s="22"/>
      <c r="I252" s="23"/>
      <c r="J252" s="24"/>
      <c r="K252" s="11"/>
    </row>
    <row r="253" customFormat="false" ht="15" hidden="false" customHeight="false" outlineLevel="0" collapsed="false">
      <c r="A253" s="24"/>
      <c r="B253" s="11"/>
      <c r="C253" s="31" t="str">
        <f aca="false">IF(A253="","",IF(LEN(UPPER(SUBSTITUTE(SUBSTITUTE(SUBSTITUTE(SUBSTITUTE(TRIM(A253),".",""),"/",""),"-","")," ","")))&lt;14,RIGHT(REPT("0",14)&amp;UPPER(SUBSTITUTE(SUBSTITUTE(SUBSTITUTE(SUBSTITUTE(TRIM(A253),".",""),"/",""),"-","")," ","")),14),UPPER(SUBSTITUTE(SUBSTITUTE(SUBSTITUTE(SUBSTITUTE(TRIM(A253),".",""),"/",""),"-","")," ",""))))</f>
        <v/>
      </c>
      <c r="D253" s="23"/>
      <c r="E253" s="11"/>
      <c r="F253" s="11"/>
      <c r="G253" s="22"/>
      <c r="H253" s="22"/>
      <c r="I253" s="23"/>
      <c r="J253" s="24"/>
      <c r="K253" s="11"/>
    </row>
    <row r="254" customFormat="false" ht="15" hidden="false" customHeight="false" outlineLevel="0" collapsed="false">
      <c r="A254" s="24"/>
      <c r="B254" s="11"/>
      <c r="C254" s="31" t="str">
        <f aca="false">IF(A254="","",IF(LEN(UPPER(SUBSTITUTE(SUBSTITUTE(SUBSTITUTE(SUBSTITUTE(TRIM(A254),".",""),"/",""),"-","")," ","")))&lt;14,RIGHT(REPT("0",14)&amp;UPPER(SUBSTITUTE(SUBSTITUTE(SUBSTITUTE(SUBSTITUTE(TRIM(A254),".",""),"/",""),"-","")," ","")),14),UPPER(SUBSTITUTE(SUBSTITUTE(SUBSTITUTE(SUBSTITUTE(TRIM(A254),".",""),"/",""),"-","")," ",""))))</f>
        <v/>
      </c>
      <c r="D254" s="23"/>
      <c r="E254" s="11"/>
      <c r="F254" s="11"/>
      <c r="G254" s="22"/>
      <c r="H254" s="22"/>
      <c r="I254" s="23"/>
      <c r="J254" s="24"/>
      <c r="K254" s="11"/>
    </row>
    <row r="255" customFormat="false" ht="15" hidden="false" customHeight="false" outlineLevel="0" collapsed="false">
      <c r="A255" s="24"/>
      <c r="B255" s="11"/>
      <c r="C255" s="31" t="str">
        <f aca="false">IF(A255="","",IF(LEN(UPPER(SUBSTITUTE(SUBSTITUTE(SUBSTITUTE(SUBSTITUTE(TRIM(A255),".",""),"/",""),"-","")," ","")))&lt;14,RIGHT(REPT("0",14)&amp;UPPER(SUBSTITUTE(SUBSTITUTE(SUBSTITUTE(SUBSTITUTE(TRIM(A255),".",""),"/",""),"-","")," ","")),14),UPPER(SUBSTITUTE(SUBSTITUTE(SUBSTITUTE(SUBSTITUTE(TRIM(A255),".",""),"/",""),"-","")," ",""))))</f>
        <v/>
      </c>
      <c r="D255" s="23"/>
      <c r="E255" s="11"/>
      <c r="F255" s="11"/>
      <c r="G255" s="22"/>
      <c r="H255" s="22"/>
      <c r="I255" s="23"/>
      <c r="J255" s="24"/>
      <c r="K255" s="11"/>
    </row>
    <row r="256" customFormat="false" ht="15" hidden="false" customHeight="false" outlineLevel="0" collapsed="false">
      <c r="A256" s="24"/>
      <c r="B256" s="11"/>
      <c r="C256" s="31" t="str">
        <f aca="false">IF(A256="","",IF(LEN(UPPER(SUBSTITUTE(SUBSTITUTE(SUBSTITUTE(SUBSTITUTE(TRIM(A256),".",""),"/",""),"-","")," ","")))&lt;14,RIGHT(REPT("0",14)&amp;UPPER(SUBSTITUTE(SUBSTITUTE(SUBSTITUTE(SUBSTITUTE(TRIM(A256),".",""),"/",""),"-","")," ","")),14),UPPER(SUBSTITUTE(SUBSTITUTE(SUBSTITUTE(SUBSTITUTE(TRIM(A256),".",""),"/",""),"-","")," ",""))))</f>
        <v/>
      </c>
      <c r="D256" s="23"/>
      <c r="E256" s="11"/>
      <c r="F256" s="11"/>
      <c r="G256" s="22"/>
      <c r="H256" s="22"/>
      <c r="I256" s="23"/>
      <c r="J256" s="24"/>
      <c r="K256" s="11"/>
    </row>
    <row r="257" customFormat="false" ht="15" hidden="false" customHeight="false" outlineLevel="0" collapsed="false">
      <c r="A257" s="24"/>
      <c r="B257" s="11"/>
      <c r="C257" s="31" t="str">
        <f aca="false">IF(A257="","",IF(LEN(UPPER(SUBSTITUTE(SUBSTITUTE(SUBSTITUTE(SUBSTITUTE(TRIM(A257),".",""),"/",""),"-","")," ","")))&lt;14,RIGHT(REPT("0",14)&amp;UPPER(SUBSTITUTE(SUBSTITUTE(SUBSTITUTE(SUBSTITUTE(TRIM(A257),".",""),"/",""),"-","")," ","")),14),UPPER(SUBSTITUTE(SUBSTITUTE(SUBSTITUTE(SUBSTITUTE(TRIM(A257),".",""),"/",""),"-","")," ",""))))</f>
        <v/>
      </c>
      <c r="D257" s="23"/>
      <c r="E257" s="11"/>
      <c r="F257" s="11"/>
      <c r="G257" s="22"/>
      <c r="H257" s="22"/>
      <c r="I257" s="23"/>
      <c r="J257" s="24"/>
      <c r="K257" s="11"/>
    </row>
    <row r="258" customFormat="false" ht="15" hidden="false" customHeight="false" outlineLevel="0" collapsed="false">
      <c r="A258" s="24"/>
      <c r="B258" s="11"/>
      <c r="C258" s="31" t="str">
        <f aca="false">IF(A258="","",IF(LEN(UPPER(SUBSTITUTE(SUBSTITUTE(SUBSTITUTE(SUBSTITUTE(TRIM(A258),".",""),"/",""),"-","")," ","")))&lt;14,RIGHT(REPT("0",14)&amp;UPPER(SUBSTITUTE(SUBSTITUTE(SUBSTITUTE(SUBSTITUTE(TRIM(A258),".",""),"/",""),"-","")," ","")),14),UPPER(SUBSTITUTE(SUBSTITUTE(SUBSTITUTE(SUBSTITUTE(TRIM(A258),".",""),"/",""),"-","")," ",""))))</f>
        <v/>
      </c>
      <c r="D258" s="23"/>
      <c r="E258" s="11"/>
      <c r="F258" s="11"/>
      <c r="G258" s="22"/>
      <c r="H258" s="22"/>
      <c r="I258" s="23"/>
      <c r="J258" s="24"/>
      <c r="K258" s="11"/>
    </row>
    <row r="259" customFormat="false" ht="15" hidden="false" customHeight="false" outlineLevel="0" collapsed="false">
      <c r="A259" s="24"/>
      <c r="B259" s="11"/>
      <c r="C259" s="31" t="str">
        <f aca="false">IF(A259="","",IF(LEN(UPPER(SUBSTITUTE(SUBSTITUTE(SUBSTITUTE(SUBSTITUTE(TRIM(A259),".",""),"/",""),"-","")," ","")))&lt;14,RIGHT(REPT("0",14)&amp;UPPER(SUBSTITUTE(SUBSTITUTE(SUBSTITUTE(SUBSTITUTE(TRIM(A259),".",""),"/",""),"-","")," ","")),14),UPPER(SUBSTITUTE(SUBSTITUTE(SUBSTITUTE(SUBSTITUTE(TRIM(A259),".",""),"/",""),"-","")," ",""))))</f>
        <v/>
      </c>
      <c r="D259" s="23"/>
      <c r="E259" s="11"/>
      <c r="F259" s="11"/>
      <c r="G259" s="22"/>
      <c r="H259" s="22"/>
      <c r="I259" s="23"/>
      <c r="J259" s="24"/>
      <c r="K259" s="11"/>
    </row>
    <row r="260" customFormat="false" ht="15" hidden="false" customHeight="false" outlineLevel="0" collapsed="false">
      <c r="A260" s="24"/>
      <c r="B260" s="11"/>
      <c r="C260" s="31" t="str">
        <f aca="false">IF(A260="","",IF(LEN(UPPER(SUBSTITUTE(SUBSTITUTE(SUBSTITUTE(SUBSTITUTE(TRIM(A260),".",""),"/",""),"-","")," ","")))&lt;14,RIGHT(REPT("0",14)&amp;UPPER(SUBSTITUTE(SUBSTITUTE(SUBSTITUTE(SUBSTITUTE(TRIM(A260),".",""),"/",""),"-","")," ","")),14),UPPER(SUBSTITUTE(SUBSTITUTE(SUBSTITUTE(SUBSTITUTE(TRIM(A260),".",""),"/",""),"-","")," ",""))))</f>
        <v/>
      </c>
      <c r="D260" s="23"/>
      <c r="E260" s="11"/>
      <c r="F260" s="11"/>
      <c r="G260" s="22"/>
      <c r="H260" s="22"/>
      <c r="I260" s="23"/>
      <c r="J260" s="24"/>
      <c r="K260" s="11"/>
    </row>
    <row r="261" customFormat="false" ht="15" hidden="false" customHeight="false" outlineLevel="0" collapsed="false">
      <c r="A261" s="24"/>
      <c r="B261" s="11"/>
      <c r="C261" s="31" t="str">
        <f aca="false">IF(A261="","",IF(LEN(UPPER(SUBSTITUTE(SUBSTITUTE(SUBSTITUTE(SUBSTITUTE(TRIM(A261),".",""),"/",""),"-","")," ","")))&lt;14,RIGHT(REPT("0",14)&amp;UPPER(SUBSTITUTE(SUBSTITUTE(SUBSTITUTE(SUBSTITUTE(TRIM(A261),".",""),"/",""),"-","")," ","")),14),UPPER(SUBSTITUTE(SUBSTITUTE(SUBSTITUTE(SUBSTITUTE(TRIM(A261),".",""),"/",""),"-","")," ",""))))</f>
        <v/>
      </c>
      <c r="D261" s="23"/>
      <c r="E261" s="11"/>
      <c r="F261" s="11"/>
      <c r="G261" s="22"/>
      <c r="H261" s="22"/>
      <c r="I261" s="23"/>
      <c r="J261" s="24"/>
      <c r="K261" s="11"/>
    </row>
    <row r="262" customFormat="false" ht="15" hidden="false" customHeight="false" outlineLevel="0" collapsed="false">
      <c r="A262" s="24"/>
      <c r="B262" s="11"/>
      <c r="C262" s="31" t="str">
        <f aca="false">IF(A262="","",IF(LEN(UPPER(SUBSTITUTE(SUBSTITUTE(SUBSTITUTE(SUBSTITUTE(TRIM(A262),".",""),"/",""),"-","")," ","")))&lt;14,RIGHT(REPT("0",14)&amp;UPPER(SUBSTITUTE(SUBSTITUTE(SUBSTITUTE(SUBSTITUTE(TRIM(A262),".",""),"/",""),"-","")," ","")),14),UPPER(SUBSTITUTE(SUBSTITUTE(SUBSTITUTE(SUBSTITUTE(TRIM(A262),".",""),"/",""),"-","")," ",""))))</f>
        <v/>
      </c>
      <c r="D262" s="23"/>
      <c r="E262" s="11"/>
      <c r="F262" s="11"/>
      <c r="G262" s="22"/>
      <c r="H262" s="22"/>
      <c r="I262" s="23"/>
      <c r="J262" s="24"/>
      <c r="K262" s="11"/>
    </row>
    <row r="263" customFormat="false" ht="15" hidden="false" customHeight="false" outlineLevel="0" collapsed="false">
      <c r="A263" s="24"/>
      <c r="B263" s="11"/>
      <c r="C263" s="31" t="str">
        <f aca="false">IF(A263="","",IF(LEN(UPPER(SUBSTITUTE(SUBSTITUTE(SUBSTITUTE(SUBSTITUTE(TRIM(A263),".",""),"/",""),"-","")," ","")))&lt;14,RIGHT(REPT("0",14)&amp;UPPER(SUBSTITUTE(SUBSTITUTE(SUBSTITUTE(SUBSTITUTE(TRIM(A263),".",""),"/",""),"-","")," ","")),14),UPPER(SUBSTITUTE(SUBSTITUTE(SUBSTITUTE(SUBSTITUTE(TRIM(A263),".",""),"/",""),"-","")," ",""))))</f>
        <v/>
      </c>
      <c r="D263" s="23"/>
      <c r="E263" s="11"/>
      <c r="F263" s="11"/>
      <c r="G263" s="22"/>
      <c r="H263" s="22"/>
      <c r="I263" s="23"/>
      <c r="J263" s="24"/>
      <c r="K263" s="11"/>
    </row>
    <row r="264" customFormat="false" ht="15" hidden="false" customHeight="false" outlineLevel="0" collapsed="false">
      <c r="A264" s="24"/>
      <c r="B264" s="11"/>
      <c r="C264" s="31" t="str">
        <f aca="false">IF(A264="","",IF(LEN(UPPER(SUBSTITUTE(SUBSTITUTE(SUBSTITUTE(SUBSTITUTE(TRIM(A264),".",""),"/",""),"-","")," ","")))&lt;14,RIGHT(REPT("0",14)&amp;UPPER(SUBSTITUTE(SUBSTITUTE(SUBSTITUTE(SUBSTITUTE(TRIM(A264),".",""),"/",""),"-","")," ","")),14),UPPER(SUBSTITUTE(SUBSTITUTE(SUBSTITUTE(SUBSTITUTE(TRIM(A264),".",""),"/",""),"-","")," ",""))))</f>
        <v/>
      </c>
      <c r="D264" s="23"/>
      <c r="E264" s="11"/>
      <c r="F264" s="11"/>
      <c r="G264" s="22"/>
      <c r="H264" s="22"/>
      <c r="I264" s="23"/>
      <c r="J264" s="24"/>
      <c r="K264" s="11"/>
    </row>
    <row r="265" customFormat="false" ht="15" hidden="false" customHeight="false" outlineLevel="0" collapsed="false">
      <c r="A265" s="24"/>
      <c r="B265" s="11"/>
      <c r="C265" s="31" t="str">
        <f aca="false">IF(A265="","",IF(LEN(UPPER(SUBSTITUTE(SUBSTITUTE(SUBSTITUTE(SUBSTITUTE(TRIM(A265),".",""),"/",""),"-","")," ","")))&lt;14,RIGHT(REPT("0",14)&amp;UPPER(SUBSTITUTE(SUBSTITUTE(SUBSTITUTE(SUBSTITUTE(TRIM(A265),".",""),"/",""),"-","")," ","")),14),UPPER(SUBSTITUTE(SUBSTITUTE(SUBSTITUTE(SUBSTITUTE(TRIM(A265),".",""),"/",""),"-","")," ",""))))</f>
        <v/>
      </c>
      <c r="D265" s="23"/>
      <c r="E265" s="11"/>
      <c r="F265" s="11"/>
      <c r="G265" s="22"/>
      <c r="H265" s="22"/>
      <c r="I265" s="23"/>
      <c r="J265" s="24"/>
      <c r="K265" s="11"/>
    </row>
    <row r="266" customFormat="false" ht="15" hidden="false" customHeight="false" outlineLevel="0" collapsed="false">
      <c r="A266" s="24"/>
      <c r="B266" s="11"/>
      <c r="C266" s="31" t="str">
        <f aca="false">IF(A266="","",IF(LEN(UPPER(SUBSTITUTE(SUBSTITUTE(SUBSTITUTE(SUBSTITUTE(TRIM(A266),".",""),"/",""),"-","")," ","")))&lt;14,RIGHT(REPT("0",14)&amp;UPPER(SUBSTITUTE(SUBSTITUTE(SUBSTITUTE(SUBSTITUTE(TRIM(A266),".",""),"/",""),"-","")," ","")),14),UPPER(SUBSTITUTE(SUBSTITUTE(SUBSTITUTE(SUBSTITUTE(TRIM(A266),".",""),"/",""),"-","")," ",""))))</f>
        <v/>
      </c>
      <c r="D266" s="23"/>
      <c r="E266" s="11"/>
      <c r="F266" s="11"/>
      <c r="G266" s="22"/>
      <c r="H266" s="22"/>
      <c r="I266" s="23"/>
      <c r="J266" s="24"/>
      <c r="K266" s="11"/>
    </row>
    <row r="267" customFormat="false" ht="15" hidden="false" customHeight="false" outlineLevel="0" collapsed="false">
      <c r="A267" s="24"/>
      <c r="B267" s="11"/>
      <c r="C267" s="31" t="str">
        <f aca="false">IF(A267="","",IF(LEN(UPPER(SUBSTITUTE(SUBSTITUTE(SUBSTITUTE(SUBSTITUTE(TRIM(A267),".",""),"/",""),"-","")," ","")))&lt;14,RIGHT(REPT("0",14)&amp;UPPER(SUBSTITUTE(SUBSTITUTE(SUBSTITUTE(SUBSTITUTE(TRIM(A267),".",""),"/",""),"-","")," ","")),14),UPPER(SUBSTITUTE(SUBSTITUTE(SUBSTITUTE(SUBSTITUTE(TRIM(A267),".",""),"/",""),"-","")," ",""))))</f>
        <v/>
      </c>
      <c r="D267" s="23"/>
      <c r="E267" s="11"/>
      <c r="F267" s="11"/>
      <c r="G267" s="22"/>
      <c r="H267" s="22"/>
      <c r="I267" s="23"/>
      <c r="J267" s="24"/>
      <c r="K267" s="11"/>
    </row>
    <row r="268" customFormat="false" ht="15" hidden="false" customHeight="false" outlineLevel="0" collapsed="false">
      <c r="A268" s="24"/>
      <c r="B268" s="11"/>
      <c r="C268" s="31" t="str">
        <f aca="false">IF(A268="","",IF(LEN(UPPER(SUBSTITUTE(SUBSTITUTE(SUBSTITUTE(SUBSTITUTE(TRIM(A268),".",""),"/",""),"-","")," ","")))&lt;14,RIGHT(REPT("0",14)&amp;UPPER(SUBSTITUTE(SUBSTITUTE(SUBSTITUTE(SUBSTITUTE(TRIM(A268),".",""),"/",""),"-","")," ","")),14),UPPER(SUBSTITUTE(SUBSTITUTE(SUBSTITUTE(SUBSTITUTE(TRIM(A268),".",""),"/",""),"-","")," ",""))))</f>
        <v/>
      </c>
      <c r="D268" s="23"/>
      <c r="E268" s="11"/>
      <c r="F268" s="11"/>
      <c r="G268" s="22"/>
      <c r="H268" s="22"/>
      <c r="I268" s="23"/>
      <c r="J268" s="24"/>
      <c r="K268" s="11"/>
    </row>
    <row r="269" customFormat="false" ht="15" hidden="false" customHeight="false" outlineLevel="0" collapsed="false">
      <c r="A269" s="24"/>
      <c r="B269" s="11"/>
      <c r="C269" s="31" t="str">
        <f aca="false">IF(A269="","",IF(LEN(UPPER(SUBSTITUTE(SUBSTITUTE(SUBSTITUTE(SUBSTITUTE(TRIM(A269),".",""),"/",""),"-","")," ","")))&lt;14,RIGHT(REPT("0",14)&amp;UPPER(SUBSTITUTE(SUBSTITUTE(SUBSTITUTE(SUBSTITUTE(TRIM(A269),".",""),"/",""),"-","")," ","")),14),UPPER(SUBSTITUTE(SUBSTITUTE(SUBSTITUTE(SUBSTITUTE(TRIM(A269),".",""),"/",""),"-","")," ",""))))</f>
        <v/>
      </c>
      <c r="D269" s="23"/>
      <c r="E269" s="11"/>
      <c r="F269" s="11"/>
      <c r="G269" s="22"/>
      <c r="H269" s="22"/>
      <c r="I269" s="23"/>
      <c r="J269" s="24"/>
      <c r="K269" s="11"/>
    </row>
    <row r="270" customFormat="false" ht="15" hidden="false" customHeight="false" outlineLevel="0" collapsed="false">
      <c r="A270" s="24"/>
      <c r="B270" s="11"/>
      <c r="C270" s="31" t="str">
        <f aca="false">IF(A270="","",IF(LEN(UPPER(SUBSTITUTE(SUBSTITUTE(SUBSTITUTE(SUBSTITUTE(TRIM(A270),".",""),"/",""),"-","")," ","")))&lt;14,RIGHT(REPT("0",14)&amp;UPPER(SUBSTITUTE(SUBSTITUTE(SUBSTITUTE(SUBSTITUTE(TRIM(A270),".",""),"/",""),"-","")," ","")),14),UPPER(SUBSTITUTE(SUBSTITUTE(SUBSTITUTE(SUBSTITUTE(TRIM(A270),".",""),"/",""),"-","")," ",""))))</f>
        <v/>
      </c>
      <c r="D270" s="23"/>
      <c r="E270" s="11"/>
      <c r="F270" s="11"/>
      <c r="G270" s="22"/>
      <c r="H270" s="22"/>
      <c r="I270" s="23"/>
      <c r="J270" s="24"/>
      <c r="K270" s="11"/>
    </row>
    <row r="271" customFormat="false" ht="15" hidden="false" customHeight="false" outlineLevel="0" collapsed="false">
      <c r="A271" s="24"/>
      <c r="B271" s="11"/>
      <c r="C271" s="31" t="str">
        <f aca="false">IF(A271="","",IF(LEN(UPPER(SUBSTITUTE(SUBSTITUTE(SUBSTITUTE(SUBSTITUTE(TRIM(A271),".",""),"/",""),"-","")," ","")))&lt;14,RIGHT(REPT("0",14)&amp;UPPER(SUBSTITUTE(SUBSTITUTE(SUBSTITUTE(SUBSTITUTE(TRIM(A271),".",""),"/",""),"-","")," ","")),14),UPPER(SUBSTITUTE(SUBSTITUTE(SUBSTITUTE(SUBSTITUTE(TRIM(A271),".",""),"/",""),"-","")," ",""))))</f>
        <v/>
      </c>
      <c r="D271" s="23"/>
      <c r="E271" s="11"/>
      <c r="F271" s="11"/>
      <c r="G271" s="22"/>
      <c r="H271" s="22"/>
      <c r="I271" s="23"/>
      <c r="J271" s="24"/>
      <c r="K271" s="11"/>
    </row>
    <row r="272" customFormat="false" ht="15" hidden="false" customHeight="false" outlineLevel="0" collapsed="false">
      <c r="A272" s="24"/>
      <c r="B272" s="11"/>
      <c r="C272" s="31" t="str">
        <f aca="false">IF(A272="","",IF(LEN(UPPER(SUBSTITUTE(SUBSTITUTE(SUBSTITUTE(SUBSTITUTE(TRIM(A272),".",""),"/",""),"-","")," ","")))&lt;14,RIGHT(REPT("0",14)&amp;UPPER(SUBSTITUTE(SUBSTITUTE(SUBSTITUTE(SUBSTITUTE(TRIM(A272),".",""),"/",""),"-","")," ","")),14),UPPER(SUBSTITUTE(SUBSTITUTE(SUBSTITUTE(SUBSTITUTE(TRIM(A272),".",""),"/",""),"-","")," ",""))))</f>
        <v/>
      </c>
      <c r="D272" s="23"/>
      <c r="E272" s="11"/>
      <c r="F272" s="11"/>
      <c r="G272" s="22"/>
      <c r="H272" s="22"/>
      <c r="I272" s="23"/>
      <c r="J272" s="24"/>
      <c r="K272" s="11"/>
    </row>
    <row r="273" customFormat="false" ht="15" hidden="false" customHeight="false" outlineLevel="0" collapsed="false">
      <c r="A273" s="24"/>
      <c r="B273" s="11"/>
      <c r="C273" s="31" t="str">
        <f aca="false">IF(A273="","",IF(LEN(UPPER(SUBSTITUTE(SUBSTITUTE(SUBSTITUTE(SUBSTITUTE(TRIM(A273),".",""),"/",""),"-","")," ","")))&lt;14,RIGHT(REPT("0",14)&amp;UPPER(SUBSTITUTE(SUBSTITUTE(SUBSTITUTE(SUBSTITUTE(TRIM(A273),".",""),"/",""),"-","")," ","")),14),UPPER(SUBSTITUTE(SUBSTITUTE(SUBSTITUTE(SUBSTITUTE(TRIM(A273),".",""),"/",""),"-","")," ",""))))</f>
        <v/>
      </c>
      <c r="D273" s="23"/>
      <c r="E273" s="11"/>
      <c r="F273" s="11"/>
      <c r="G273" s="22"/>
      <c r="H273" s="22"/>
      <c r="I273" s="23"/>
      <c r="J273" s="24"/>
      <c r="K273" s="11"/>
    </row>
    <row r="274" customFormat="false" ht="15" hidden="false" customHeight="false" outlineLevel="0" collapsed="false">
      <c r="A274" s="24"/>
      <c r="B274" s="11"/>
      <c r="C274" s="31" t="str">
        <f aca="false">IF(A274="","",IF(LEN(UPPER(SUBSTITUTE(SUBSTITUTE(SUBSTITUTE(SUBSTITUTE(TRIM(A274),".",""),"/",""),"-","")," ","")))&lt;14,RIGHT(REPT("0",14)&amp;UPPER(SUBSTITUTE(SUBSTITUTE(SUBSTITUTE(SUBSTITUTE(TRIM(A274),".",""),"/",""),"-","")," ","")),14),UPPER(SUBSTITUTE(SUBSTITUTE(SUBSTITUTE(SUBSTITUTE(TRIM(A274),".",""),"/",""),"-","")," ",""))))</f>
        <v/>
      </c>
      <c r="D274" s="23"/>
      <c r="E274" s="11"/>
      <c r="F274" s="11"/>
      <c r="G274" s="22"/>
      <c r="H274" s="22"/>
      <c r="I274" s="23"/>
      <c r="J274" s="24"/>
      <c r="K274" s="11"/>
    </row>
    <row r="275" customFormat="false" ht="15" hidden="false" customHeight="false" outlineLevel="0" collapsed="false">
      <c r="A275" s="24"/>
      <c r="B275" s="11"/>
      <c r="C275" s="31" t="str">
        <f aca="false">IF(A275="","",IF(LEN(UPPER(SUBSTITUTE(SUBSTITUTE(SUBSTITUTE(SUBSTITUTE(TRIM(A275),".",""),"/",""),"-","")," ","")))&lt;14,RIGHT(REPT("0",14)&amp;UPPER(SUBSTITUTE(SUBSTITUTE(SUBSTITUTE(SUBSTITUTE(TRIM(A275),".",""),"/",""),"-","")," ","")),14),UPPER(SUBSTITUTE(SUBSTITUTE(SUBSTITUTE(SUBSTITUTE(TRIM(A275),".",""),"/",""),"-","")," ",""))))</f>
        <v/>
      </c>
      <c r="D275" s="23"/>
      <c r="E275" s="11"/>
      <c r="F275" s="11"/>
      <c r="G275" s="22"/>
      <c r="H275" s="22"/>
      <c r="I275" s="23"/>
      <c r="J275" s="24"/>
      <c r="K275" s="11"/>
    </row>
    <row r="276" customFormat="false" ht="15" hidden="false" customHeight="false" outlineLevel="0" collapsed="false">
      <c r="A276" s="24"/>
      <c r="B276" s="11"/>
      <c r="C276" s="31" t="str">
        <f aca="false">IF(A276="","",IF(LEN(UPPER(SUBSTITUTE(SUBSTITUTE(SUBSTITUTE(SUBSTITUTE(TRIM(A276),".",""),"/",""),"-","")," ","")))&lt;14,RIGHT(REPT("0",14)&amp;UPPER(SUBSTITUTE(SUBSTITUTE(SUBSTITUTE(SUBSTITUTE(TRIM(A276),".",""),"/",""),"-","")," ","")),14),UPPER(SUBSTITUTE(SUBSTITUTE(SUBSTITUTE(SUBSTITUTE(TRIM(A276),".",""),"/",""),"-","")," ",""))))</f>
        <v/>
      </c>
      <c r="D276" s="23"/>
      <c r="E276" s="11"/>
      <c r="F276" s="11"/>
      <c r="G276" s="22"/>
      <c r="H276" s="22"/>
      <c r="I276" s="23"/>
      <c r="J276" s="24"/>
      <c r="K276" s="11"/>
    </row>
    <row r="277" customFormat="false" ht="15" hidden="false" customHeight="false" outlineLevel="0" collapsed="false">
      <c r="A277" s="24"/>
      <c r="B277" s="11"/>
      <c r="C277" s="31" t="str">
        <f aca="false">IF(A277="","",IF(LEN(UPPER(SUBSTITUTE(SUBSTITUTE(SUBSTITUTE(SUBSTITUTE(TRIM(A277),".",""),"/",""),"-","")," ","")))&lt;14,RIGHT(REPT("0",14)&amp;UPPER(SUBSTITUTE(SUBSTITUTE(SUBSTITUTE(SUBSTITUTE(TRIM(A277),".",""),"/",""),"-","")," ","")),14),UPPER(SUBSTITUTE(SUBSTITUTE(SUBSTITUTE(SUBSTITUTE(TRIM(A277),".",""),"/",""),"-","")," ",""))))</f>
        <v/>
      </c>
      <c r="D277" s="23"/>
      <c r="E277" s="11"/>
      <c r="F277" s="11"/>
      <c r="G277" s="22"/>
      <c r="H277" s="22"/>
      <c r="I277" s="23"/>
      <c r="J277" s="24"/>
      <c r="K277" s="11"/>
    </row>
    <row r="278" customFormat="false" ht="15" hidden="false" customHeight="false" outlineLevel="0" collapsed="false">
      <c r="A278" s="24"/>
      <c r="B278" s="11"/>
      <c r="C278" s="31" t="str">
        <f aca="false">IF(A278="","",IF(LEN(UPPER(SUBSTITUTE(SUBSTITUTE(SUBSTITUTE(SUBSTITUTE(TRIM(A278),".",""),"/",""),"-","")," ","")))&lt;14,RIGHT(REPT("0",14)&amp;UPPER(SUBSTITUTE(SUBSTITUTE(SUBSTITUTE(SUBSTITUTE(TRIM(A278),".",""),"/",""),"-","")," ","")),14),UPPER(SUBSTITUTE(SUBSTITUTE(SUBSTITUTE(SUBSTITUTE(TRIM(A278),".",""),"/",""),"-","")," ",""))))</f>
        <v/>
      </c>
      <c r="D278" s="23"/>
      <c r="E278" s="11"/>
      <c r="F278" s="11"/>
      <c r="G278" s="22"/>
      <c r="H278" s="22"/>
      <c r="I278" s="23"/>
      <c r="J278" s="24"/>
      <c r="K278" s="11"/>
    </row>
    <row r="279" customFormat="false" ht="15" hidden="false" customHeight="false" outlineLevel="0" collapsed="false">
      <c r="A279" s="24"/>
      <c r="B279" s="11"/>
      <c r="C279" s="31" t="str">
        <f aca="false">IF(A279="","",IF(LEN(UPPER(SUBSTITUTE(SUBSTITUTE(SUBSTITUTE(SUBSTITUTE(TRIM(A279),".",""),"/",""),"-","")," ","")))&lt;14,RIGHT(REPT("0",14)&amp;UPPER(SUBSTITUTE(SUBSTITUTE(SUBSTITUTE(SUBSTITUTE(TRIM(A279),".",""),"/",""),"-","")," ","")),14),UPPER(SUBSTITUTE(SUBSTITUTE(SUBSTITUTE(SUBSTITUTE(TRIM(A279),".",""),"/",""),"-","")," ",""))))</f>
        <v/>
      </c>
      <c r="D279" s="23"/>
      <c r="E279" s="11"/>
      <c r="F279" s="11"/>
      <c r="G279" s="22"/>
      <c r="H279" s="22"/>
      <c r="I279" s="23"/>
      <c r="J279" s="24"/>
      <c r="K279" s="11"/>
    </row>
    <row r="280" customFormat="false" ht="15" hidden="false" customHeight="false" outlineLevel="0" collapsed="false">
      <c r="A280" s="24"/>
      <c r="B280" s="11"/>
      <c r="C280" s="31" t="str">
        <f aca="false">IF(A280="","",IF(LEN(UPPER(SUBSTITUTE(SUBSTITUTE(SUBSTITUTE(SUBSTITUTE(TRIM(A280),".",""),"/",""),"-","")," ","")))&lt;14,RIGHT(REPT("0",14)&amp;UPPER(SUBSTITUTE(SUBSTITUTE(SUBSTITUTE(SUBSTITUTE(TRIM(A280),".",""),"/",""),"-","")," ","")),14),UPPER(SUBSTITUTE(SUBSTITUTE(SUBSTITUTE(SUBSTITUTE(TRIM(A280),".",""),"/",""),"-","")," ",""))))</f>
        <v/>
      </c>
      <c r="D280" s="23"/>
      <c r="E280" s="11"/>
      <c r="F280" s="11"/>
      <c r="G280" s="22"/>
      <c r="H280" s="22"/>
      <c r="I280" s="23"/>
      <c r="J280" s="24"/>
      <c r="K280" s="11"/>
    </row>
    <row r="281" customFormat="false" ht="15" hidden="false" customHeight="false" outlineLevel="0" collapsed="false">
      <c r="A281" s="24"/>
      <c r="B281" s="11"/>
      <c r="C281" s="31" t="str">
        <f aca="false">IF(A281="","",IF(LEN(UPPER(SUBSTITUTE(SUBSTITUTE(SUBSTITUTE(SUBSTITUTE(TRIM(A281),".",""),"/",""),"-","")," ","")))&lt;14,RIGHT(REPT("0",14)&amp;UPPER(SUBSTITUTE(SUBSTITUTE(SUBSTITUTE(SUBSTITUTE(TRIM(A281),".",""),"/",""),"-","")," ","")),14),UPPER(SUBSTITUTE(SUBSTITUTE(SUBSTITUTE(SUBSTITUTE(TRIM(A281),".",""),"/",""),"-","")," ",""))))</f>
        <v/>
      </c>
      <c r="D281" s="23"/>
      <c r="E281" s="11"/>
      <c r="F281" s="11"/>
      <c r="G281" s="22"/>
      <c r="H281" s="22"/>
      <c r="I281" s="23"/>
      <c r="J281" s="24"/>
      <c r="K281" s="11"/>
    </row>
    <row r="282" customFormat="false" ht="15" hidden="false" customHeight="false" outlineLevel="0" collapsed="false">
      <c r="A282" s="24"/>
      <c r="B282" s="11"/>
      <c r="C282" s="31" t="str">
        <f aca="false">IF(A282="","",IF(LEN(UPPER(SUBSTITUTE(SUBSTITUTE(SUBSTITUTE(SUBSTITUTE(TRIM(A282),".",""),"/",""),"-","")," ","")))&lt;14,RIGHT(REPT("0",14)&amp;UPPER(SUBSTITUTE(SUBSTITUTE(SUBSTITUTE(SUBSTITUTE(TRIM(A282),".",""),"/",""),"-","")," ","")),14),UPPER(SUBSTITUTE(SUBSTITUTE(SUBSTITUTE(SUBSTITUTE(TRIM(A282),".",""),"/",""),"-","")," ",""))))</f>
        <v/>
      </c>
      <c r="D282" s="23"/>
      <c r="E282" s="11"/>
      <c r="F282" s="11"/>
      <c r="G282" s="22"/>
      <c r="H282" s="22"/>
      <c r="I282" s="23"/>
      <c r="J282" s="24"/>
      <c r="K282" s="11"/>
    </row>
    <row r="283" customFormat="false" ht="15" hidden="false" customHeight="false" outlineLevel="0" collapsed="false">
      <c r="A283" s="24"/>
      <c r="B283" s="11"/>
      <c r="C283" s="31" t="str">
        <f aca="false">IF(A283="","",IF(LEN(UPPER(SUBSTITUTE(SUBSTITUTE(SUBSTITUTE(SUBSTITUTE(TRIM(A283),".",""),"/",""),"-","")," ","")))&lt;14,RIGHT(REPT("0",14)&amp;UPPER(SUBSTITUTE(SUBSTITUTE(SUBSTITUTE(SUBSTITUTE(TRIM(A283),".",""),"/",""),"-","")," ","")),14),UPPER(SUBSTITUTE(SUBSTITUTE(SUBSTITUTE(SUBSTITUTE(TRIM(A283),".",""),"/",""),"-","")," ",""))))</f>
        <v/>
      </c>
      <c r="D283" s="23"/>
      <c r="E283" s="11"/>
      <c r="F283" s="11"/>
      <c r="G283" s="22"/>
      <c r="H283" s="22"/>
      <c r="I283" s="23"/>
      <c r="J283" s="24"/>
      <c r="K283" s="11"/>
    </row>
    <row r="284" customFormat="false" ht="15" hidden="false" customHeight="false" outlineLevel="0" collapsed="false">
      <c r="A284" s="24"/>
      <c r="B284" s="11"/>
      <c r="C284" s="31" t="str">
        <f aca="false">IF(A284="","",IF(LEN(UPPER(SUBSTITUTE(SUBSTITUTE(SUBSTITUTE(SUBSTITUTE(TRIM(A284),".",""),"/",""),"-","")," ","")))&lt;14,RIGHT(REPT("0",14)&amp;UPPER(SUBSTITUTE(SUBSTITUTE(SUBSTITUTE(SUBSTITUTE(TRIM(A284),".",""),"/",""),"-","")," ","")),14),UPPER(SUBSTITUTE(SUBSTITUTE(SUBSTITUTE(SUBSTITUTE(TRIM(A284),".",""),"/",""),"-","")," ",""))))</f>
        <v/>
      </c>
      <c r="D284" s="23"/>
      <c r="E284" s="11"/>
      <c r="F284" s="11"/>
      <c r="G284" s="22"/>
      <c r="H284" s="22"/>
      <c r="I284" s="23"/>
      <c r="J284" s="24"/>
      <c r="K284" s="11"/>
    </row>
    <row r="285" customFormat="false" ht="15" hidden="false" customHeight="false" outlineLevel="0" collapsed="false">
      <c r="A285" s="24"/>
      <c r="B285" s="11"/>
      <c r="C285" s="31" t="str">
        <f aca="false">IF(A285="","",IF(LEN(UPPER(SUBSTITUTE(SUBSTITUTE(SUBSTITUTE(SUBSTITUTE(TRIM(A285),".",""),"/",""),"-","")," ","")))&lt;14,RIGHT(REPT("0",14)&amp;UPPER(SUBSTITUTE(SUBSTITUTE(SUBSTITUTE(SUBSTITUTE(TRIM(A285),".",""),"/",""),"-","")," ","")),14),UPPER(SUBSTITUTE(SUBSTITUTE(SUBSTITUTE(SUBSTITUTE(TRIM(A285),".",""),"/",""),"-","")," ",""))))</f>
        <v/>
      </c>
      <c r="D285" s="23"/>
      <c r="E285" s="11"/>
      <c r="F285" s="11"/>
      <c r="G285" s="22"/>
      <c r="H285" s="22"/>
      <c r="I285" s="23"/>
      <c r="J285" s="24"/>
      <c r="K285" s="11"/>
    </row>
    <row r="286" customFormat="false" ht="15" hidden="false" customHeight="false" outlineLevel="0" collapsed="false">
      <c r="A286" s="24"/>
      <c r="B286" s="11"/>
      <c r="C286" s="31" t="str">
        <f aca="false">IF(A286="","",IF(LEN(UPPER(SUBSTITUTE(SUBSTITUTE(SUBSTITUTE(SUBSTITUTE(TRIM(A286),".",""),"/",""),"-","")," ","")))&lt;14,RIGHT(REPT("0",14)&amp;UPPER(SUBSTITUTE(SUBSTITUTE(SUBSTITUTE(SUBSTITUTE(TRIM(A286),".",""),"/",""),"-","")," ","")),14),UPPER(SUBSTITUTE(SUBSTITUTE(SUBSTITUTE(SUBSTITUTE(TRIM(A286),".",""),"/",""),"-","")," ",""))))</f>
        <v/>
      </c>
      <c r="D286" s="23"/>
      <c r="E286" s="11"/>
      <c r="F286" s="11"/>
      <c r="G286" s="22"/>
      <c r="H286" s="22"/>
      <c r="I286" s="23"/>
      <c r="J286" s="24"/>
      <c r="K286" s="11"/>
    </row>
    <row r="287" customFormat="false" ht="15" hidden="false" customHeight="false" outlineLevel="0" collapsed="false">
      <c r="A287" s="24"/>
      <c r="B287" s="11"/>
      <c r="C287" s="31" t="str">
        <f aca="false">IF(A287="","",IF(LEN(UPPER(SUBSTITUTE(SUBSTITUTE(SUBSTITUTE(SUBSTITUTE(TRIM(A287),".",""),"/",""),"-","")," ","")))&lt;14,RIGHT(REPT("0",14)&amp;UPPER(SUBSTITUTE(SUBSTITUTE(SUBSTITUTE(SUBSTITUTE(TRIM(A287),".",""),"/",""),"-","")," ","")),14),UPPER(SUBSTITUTE(SUBSTITUTE(SUBSTITUTE(SUBSTITUTE(TRIM(A287),".",""),"/",""),"-","")," ",""))))</f>
        <v/>
      </c>
      <c r="D287" s="23"/>
      <c r="E287" s="11"/>
      <c r="F287" s="11"/>
      <c r="G287" s="22"/>
      <c r="H287" s="22"/>
      <c r="I287" s="23"/>
      <c r="J287" s="24"/>
      <c r="K287" s="11"/>
    </row>
    <row r="288" customFormat="false" ht="15" hidden="false" customHeight="false" outlineLevel="0" collapsed="false">
      <c r="A288" s="24"/>
      <c r="B288" s="11"/>
      <c r="C288" s="31" t="str">
        <f aca="false">IF(A288="","",IF(LEN(UPPER(SUBSTITUTE(SUBSTITUTE(SUBSTITUTE(SUBSTITUTE(TRIM(A288),".",""),"/",""),"-","")," ","")))&lt;14,RIGHT(REPT("0",14)&amp;UPPER(SUBSTITUTE(SUBSTITUTE(SUBSTITUTE(SUBSTITUTE(TRIM(A288),".",""),"/",""),"-","")," ","")),14),UPPER(SUBSTITUTE(SUBSTITUTE(SUBSTITUTE(SUBSTITUTE(TRIM(A288),".",""),"/",""),"-","")," ",""))))</f>
        <v/>
      </c>
      <c r="D288" s="23"/>
      <c r="E288" s="11"/>
      <c r="F288" s="11"/>
      <c r="G288" s="22"/>
      <c r="H288" s="22"/>
      <c r="I288" s="23"/>
      <c r="J288" s="24"/>
      <c r="K288" s="11"/>
    </row>
    <row r="289" customFormat="false" ht="15" hidden="false" customHeight="false" outlineLevel="0" collapsed="false">
      <c r="A289" s="24"/>
      <c r="B289" s="11"/>
      <c r="C289" s="31" t="str">
        <f aca="false">IF(A289="","",IF(LEN(UPPER(SUBSTITUTE(SUBSTITUTE(SUBSTITUTE(SUBSTITUTE(TRIM(A289),".",""),"/",""),"-","")," ","")))&lt;14,RIGHT(REPT("0",14)&amp;UPPER(SUBSTITUTE(SUBSTITUTE(SUBSTITUTE(SUBSTITUTE(TRIM(A289),".",""),"/",""),"-","")," ","")),14),UPPER(SUBSTITUTE(SUBSTITUTE(SUBSTITUTE(SUBSTITUTE(TRIM(A289),".",""),"/",""),"-","")," ",""))))</f>
        <v/>
      </c>
      <c r="D289" s="23"/>
      <c r="E289" s="11"/>
      <c r="F289" s="11"/>
      <c r="G289" s="22"/>
      <c r="H289" s="22"/>
      <c r="I289" s="23"/>
      <c r="J289" s="24"/>
      <c r="K289" s="11"/>
    </row>
    <row r="290" customFormat="false" ht="15" hidden="false" customHeight="false" outlineLevel="0" collapsed="false">
      <c r="A290" s="24"/>
      <c r="B290" s="11"/>
      <c r="C290" s="31" t="str">
        <f aca="false">IF(A290="","",IF(LEN(UPPER(SUBSTITUTE(SUBSTITUTE(SUBSTITUTE(SUBSTITUTE(TRIM(A290),".",""),"/",""),"-","")," ","")))&lt;14,RIGHT(REPT("0",14)&amp;UPPER(SUBSTITUTE(SUBSTITUTE(SUBSTITUTE(SUBSTITUTE(TRIM(A290),".",""),"/",""),"-","")," ","")),14),UPPER(SUBSTITUTE(SUBSTITUTE(SUBSTITUTE(SUBSTITUTE(TRIM(A290),".",""),"/",""),"-","")," ",""))))</f>
        <v/>
      </c>
      <c r="D290" s="23"/>
      <c r="E290" s="11"/>
      <c r="F290" s="11"/>
      <c r="G290" s="22"/>
      <c r="H290" s="22"/>
      <c r="I290" s="23"/>
      <c r="J290" s="24"/>
      <c r="K290" s="11"/>
    </row>
    <row r="291" customFormat="false" ht="15" hidden="false" customHeight="false" outlineLevel="0" collapsed="false">
      <c r="A291" s="24"/>
      <c r="B291" s="11"/>
      <c r="C291" s="31" t="str">
        <f aca="false">IF(A291="","",IF(LEN(UPPER(SUBSTITUTE(SUBSTITUTE(SUBSTITUTE(SUBSTITUTE(TRIM(A291),".",""),"/",""),"-","")," ","")))&lt;14,RIGHT(REPT("0",14)&amp;UPPER(SUBSTITUTE(SUBSTITUTE(SUBSTITUTE(SUBSTITUTE(TRIM(A291),".",""),"/",""),"-","")," ","")),14),UPPER(SUBSTITUTE(SUBSTITUTE(SUBSTITUTE(SUBSTITUTE(TRIM(A291),".",""),"/",""),"-","")," ",""))))</f>
        <v/>
      </c>
      <c r="D291" s="23"/>
      <c r="E291" s="11"/>
      <c r="F291" s="11"/>
      <c r="G291" s="22"/>
      <c r="H291" s="22"/>
      <c r="I291" s="23"/>
      <c r="J291" s="24"/>
      <c r="K291" s="11"/>
    </row>
    <row r="292" customFormat="false" ht="15" hidden="false" customHeight="false" outlineLevel="0" collapsed="false">
      <c r="A292" s="24"/>
      <c r="B292" s="11"/>
      <c r="C292" s="31" t="str">
        <f aca="false">IF(A292="","",IF(LEN(UPPER(SUBSTITUTE(SUBSTITUTE(SUBSTITUTE(SUBSTITUTE(TRIM(A292),".",""),"/",""),"-","")," ","")))&lt;14,RIGHT(REPT("0",14)&amp;UPPER(SUBSTITUTE(SUBSTITUTE(SUBSTITUTE(SUBSTITUTE(TRIM(A292),".",""),"/",""),"-","")," ","")),14),UPPER(SUBSTITUTE(SUBSTITUTE(SUBSTITUTE(SUBSTITUTE(TRIM(A292),".",""),"/",""),"-","")," ",""))))</f>
        <v/>
      </c>
      <c r="D292" s="23"/>
      <c r="E292" s="11"/>
      <c r="F292" s="11"/>
      <c r="G292" s="22"/>
      <c r="H292" s="22"/>
      <c r="I292" s="23"/>
      <c r="J292" s="24"/>
      <c r="K292" s="11"/>
    </row>
    <row r="293" customFormat="false" ht="15" hidden="false" customHeight="false" outlineLevel="0" collapsed="false">
      <c r="A293" s="24"/>
      <c r="B293" s="11"/>
      <c r="C293" s="31" t="str">
        <f aca="false">IF(A293="","",IF(LEN(UPPER(SUBSTITUTE(SUBSTITUTE(SUBSTITUTE(SUBSTITUTE(TRIM(A293),".",""),"/",""),"-","")," ","")))&lt;14,RIGHT(REPT("0",14)&amp;UPPER(SUBSTITUTE(SUBSTITUTE(SUBSTITUTE(SUBSTITUTE(TRIM(A293),".",""),"/",""),"-","")," ","")),14),UPPER(SUBSTITUTE(SUBSTITUTE(SUBSTITUTE(SUBSTITUTE(TRIM(A293),".",""),"/",""),"-","")," ",""))))</f>
        <v/>
      </c>
      <c r="D293" s="23"/>
      <c r="E293" s="11"/>
      <c r="F293" s="11"/>
      <c r="G293" s="22"/>
      <c r="H293" s="22"/>
      <c r="I293" s="23"/>
      <c r="J293" s="24"/>
      <c r="K293" s="11"/>
    </row>
    <row r="294" customFormat="false" ht="15" hidden="false" customHeight="false" outlineLevel="0" collapsed="false">
      <c r="A294" s="24"/>
      <c r="B294" s="11"/>
      <c r="C294" s="31" t="str">
        <f aca="false">IF(A294="","",IF(LEN(UPPER(SUBSTITUTE(SUBSTITUTE(SUBSTITUTE(SUBSTITUTE(TRIM(A294),".",""),"/",""),"-","")," ","")))&lt;14,RIGHT(REPT("0",14)&amp;UPPER(SUBSTITUTE(SUBSTITUTE(SUBSTITUTE(SUBSTITUTE(TRIM(A294),".",""),"/",""),"-","")," ","")),14),UPPER(SUBSTITUTE(SUBSTITUTE(SUBSTITUTE(SUBSTITUTE(TRIM(A294),".",""),"/",""),"-","")," ",""))))</f>
        <v/>
      </c>
      <c r="D294" s="23"/>
      <c r="E294" s="11"/>
      <c r="F294" s="11"/>
      <c r="G294" s="22"/>
      <c r="H294" s="22"/>
      <c r="I294" s="23"/>
      <c r="J294" s="24"/>
      <c r="K294" s="11"/>
    </row>
    <row r="295" customFormat="false" ht="15" hidden="false" customHeight="false" outlineLevel="0" collapsed="false">
      <c r="A295" s="24"/>
      <c r="B295" s="11"/>
      <c r="C295" s="31" t="str">
        <f aca="false">IF(A295="","",IF(LEN(UPPER(SUBSTITUTE(SUBSTITUTE(SUBSTITUTE(SUBSTITUTE(TRIM(A295),".",""),"/",""),"-","")," ","")))&lt;14,RIGHT(REPT("0",14)&amp;UPPER(SUBSTITUTE(SUBSTITUTE(SUBSTITUTE(SUBSTITUTE(TRIM(A295),".",""),"/",""),"-","")," ","")),14),UPPER(SUBSTITUTE(SUBSTITUTE(SUBSTITUTE(SUBSTITUTE(TRIM(A295),".",""),"/",""),"-","")," ",""))))</f>
        <v/>
      </c>
      <c r="D295" s="23"/>
      <c r="E295" s="11"/>
      <c r="F295" s="11"/>
      <c r="G295" s="22"/>
      <c r="H295" s="22"/>
      <c r="I295" s="23"/>
      <c r="J295" s="24"/>
      <c r="K295" s="11"/>
    </row>
    <row r="296" customFormat="false" ht="15" hidden="false" customHeight="false" outlineLevel="0" collapsed="false">
      <c r="A296" s="24"/>
      <c r="B296" s="11"/>
      <c r="C296" s="31" t="str">
        <f aca="false">IF(A296="","",IF(LEN(UPPER(SUBSTITUTE(SUBSTITUTE(SUBSTITUTE(SUBSTITUTE(TRIM(A296),".",""),"/",""),"-","")," ","")))&lt;14,RIGHT(REPT("0",14)&amp;UPPER(SUBSTITUTE(SUBSTITUTE(SUBSTITUTE(SUBSTITUTE(TRIM(A296),".",""),"/",""),"-","")," ","")),14),UPPER(SUBSTITUTE(SUBSTITUTE(SUBSTITUTE(SUBSTITUTE(TRIM(A296),".",""),"/",""),"-","")," ",""))))</f>
        <v/>
      </c>
      <c r="D296" s="23"/>
      <c r="E296" s="11"/>
      <c r="F296" s="11"/>
      <c r="G296" s="22"/>
      <c r="H296" s="22"/>
      <c r="I296" s="23"/>
      <c r="J296" s="24"/>
      <c r="K296" s="11"/>
    </row>
    <row r="297" customFormat="false" ht="15" hidden="false" customHeight="false" outlineLevel="0" collapsed="false">
      <c r="A297" s="24"/>
      <c r="B297" s="11"/>
      <c r="C297" s="31" t="str">
        <f aca="false">IF(A297="","",IF(LEN(UPPER(SUBSTITUTE(SUBSTITUTE(SUBSTITUTE(SUBSTITUTE(TRIM(A297),".",""),"/",""),"-","")," ","")))&lt;14,RIGHT(REPT("0",14)&amp;UPPER(SUBSTITUTE(SUBSTITUTE(SUBSTITUTE(SUBSTITUTE(TRIM(A297),".",""),"/",""),"-","")," ","")),14),UPPER(SUBSTITUTE(SUBSTITUTE(SUBSTITUTE(SUBSTITUTE(TRIM(A297),".",""),"/",""),"-","")," ",""))))</f>
        <v/>
      </c>
      <c r="D297" s="23"/>
      <c r="E297" s="11"/>
      <c r="F297" s="11"/>
      <c r="G297" s="22"/>
      <c r="H297" s="22"/>
      <c r="I297" s="23"/>
      <c r="J297" s="24"/>
      <c r="K297" s="11"/>
    </row>
    <row r="298" customFormat="false" ht="15" hidden="false" customHeight="false" outlineLevel="0" collapsed="false">
      <c r="A298" s="24"/>
      <c r="B298" s="11"/>
      <c r="C298" s="31" t="str">
        <f aca="false">IF(A298="","",IF(LEN(UPPER(SUBSTITUTE(SUBSTITUTE(SUBSTITUTE(SUBSTITUTE(TRIM(A298),".",""),"/",""),"-","")," ","")))&lt;14,RIGHT(REPT("0",14)&amp;UPPER(SUBSTITUTE(SUBSTITUTE(SUBSTITUTE(SUBSTITUTE(TRIM(A298),".",""),"/",""),"-","")," ","")),14),UPPER(SUBSTITUTE(SUBSTITUTE(SUBSTITUTE(SUBSTITUTE(TRIM(A298),".",""),"/",""),"-","")," ",""))))</f>
        <v/>
      </c>
      <c r="D298" s="23"/>
      <c r="E298" s="11"/>
      <c r="F298" s="11"/>
      <c r="G298" s="22"/>
      <c r="H298" s="22"/>
      <c r="I298" s="23"/>
      <c r="J298" s="24"/>
      <c r="K298" s="11"/>
    </row>
    <row r="299" customFormat="false" ht="15" hidden="false" customHeight="false" outlineLevel="0" collapsed="false">
      <c r="A299" s="24"/>
      <c r="B299" s="11"/>
      <c r="C299" s="31" t="str">
        <f aca="false">IF(A299="","",IF(LEN(UPPER(SUBSTITUTE(SUBSTITUTE(SUBSTITUTE(SUBSTITUTE(TRIM(A299),".",""),"/",""),"-","")," ","")))&lt;14,RIGHT(REPT("0",14)&amp;UPPER(SUBSTITUTE(SUBSTITUTE(SUBSTITUTE(SUBSTITUTE(TRIM(A299),".",""),"/",""),"-","")," ","")),14),UPPER(SUBSTITUTE(SUBSTITUTE(SUBSTITUTE(SUBSTITUTE(TRIM(A299),".",""),"/",""),"-","")," ",""))))</f>
        <v/>
      </c>
      <c r="D299" s="23"/>
      <c r="E299" s="11"/>
      <c r="F299" s="11"/>
      <c r="G299" s="22"/>
      <c r="H299" s="22"/>
      <c r="I299" s="23"/>
      <c r="J299" s="24"/>
      <c r="K299" s="11"/>
    </row>
    <row r="300" customFormat="false" ht="15" hidden="false" customHeight="false" outlineLevel="0" collapsed="false">
      <c r="A300" s="24"/>
      <c r="B300" s="11"/>
      <c r="C300" s="31" t="str">
        <f aca="false">IF(A300="","",IF(LEN(UPPER(SUBSTITUTE(SUBSTITUTE(SUBSTITUTE(SUBSTITUTE(TRIM(A300),".",""),"/",""),"-","")," ","")))&lt;14,RIGHT(REPT("0",14)&amp;UPPER(SUBSTITUTE(SUBSTITUTE(SUBSTITUTE(SUBSTITUTE(TRIM(A300),".",""),"/",""),"-","")," ","")),14),UPPER(SUBSTITUTE(SUBSTITUTE(SUBSTITUTE(SUBSTITUTE(TRIM(A300),".",""),"/",""),"-","")," ",""))))</f>
        <v/>
      </c>
      <c r="D300" s="23"/>
      <c r="E300" s="11"/>
      <c r="F300" s="11"/>
      <c r="G300" s="22"/>
      <c r="H300" s="22"/>
      <c r="I300" s="23"/>
      <c r="J300" s="24"/>
      <c r="K300" s="11"/>
    </row>
    <row r="301" customFormat="false" ht="15" hidden="false" customHeight="false" outlineLevel="0" collapsed="false">
      <c r="A301" s="24"/>
      <c r="B301" s="11"/>
      <c r="C301" s="31" t="str">
        <f aca="false">IF(A301="","",IF(LEN(UPPER(SUBSTITUTE(SUBSTITUTE(SUBSTITUTE(SUBSTITUTE(TRIM(A301),".",""),"/",""),"-","")," ","")))&lt;14,RIGHT(REPT("0",14)&amp;UPPER(SUBSTITUTE(SUBSTITUTE(SUBSTITUTE(SUBSTITUTE(TRIM(A301),".",""),"/",""),"-","")," ","")),14),UPPER(SUBSTITUTE(SUBSTITUTE(SUBSTITUTE(SUBSTITUTE(TRIM(A301),".",""),"/",""),"-","")," ",""))))</f>
        <v/>
      </c>
      <c r="D301" s="23"/>
      <c r="E301" s="11"/>
      <c r="F301" s="11"/>
      <c r="G301" s="22"/>
      <c r="H301" s="22"/>
      <c r="I301" s="23"/>
      <c r="J301" s="24"/>
      <c r="K301" s="11"/>
    </row>
    <row r="302" customFormat="false" ht="15" hidden="false" customHeight="false" outlineLevel="0" collapsed="false">
      <c r="A302" s="24"/>
      <c r="B302" s="11"/>
      <c r="C302" s="31" t="str">
        <f aca="false">IF(A302="","",IF(LEN(UPPER(SUBSTITUTE(SUBSTITUTE(SUBSTITUTE(SUBSTITUTE(TRIM(A302),".",""),"/",""),"-","")," ","")))&lt;14,RIGHT(REPT("0",14)&amp;UPPER(SUBSTITUTE(SUBSTITUTE(SUBSTITUTE(SUBSTITUTE(TRIM(A302),".",""),"/",""),"-","")," ","")),14),UPPER(SUBSTITUTE(SUBSTITUTE(SUBSTITUTE(SUBSTITUTE(TRIM(A302),".",""),"/",""),"-","")," ",""))))</f>
        <v/>
      </c>
      <c r="D302" s="23"/>
      <c r="E302" s="11"/>
      <c r="F302" s="11"/>
      <c r="G302" s="22"/>
      <c r="H302" s="22"/>
      <c r="I302" s="23"/>
      <c r="J302" s="24"/>
      <c r="K302" s="11"/>
    </row>
    <row r="303" customFormat="false" ht="15" hidden="false" customHeight="false" outlineLevel="0" collapsed="false">
      <c r="A303" s="24"/>
      <c r="B303" s="11"/>
      <c r="C303" s="31" t="str">
        <f aca="false">IF(A303="","",IF(LEN(UPPER(SUBSTITUTE(SUBSTITUTE(SUBSTITUTE(SUBSTITUTE(TRIM(A303),".",""),"/",""),"-","")," ","")))&lt;14,RIGHT(REPT("0",14)&amp;UPPER(SUBSTITUTE(SUBSTITUTE(SUBSTITUTE(SUBSTITUTE(TRIM(A303),".",""),"/",""),"-","")," ","")),14),UPPER(SUBSTITUTE(SUBSTITUTE(SUBSTITUTE(SUBSTITUTE(TRIM(A303),".",""),"/",""),"-","")," ",""))))</f>
        <v/>
      </c>
      <c r="D303" s="23"/>
      <c r="E303" s="11"/>
      <c r="F303" s="11"/>
      <c r="G303" s="22"/>
      <c r="H303" s="22"/>
      <c r="I303" s="23"/>
      <c r="J303" s="24"/>
      <c r="K303" s="11"/>
    </row>
    <row r="304" customFormat="false" ht="15" hidden="false" customHeight="false" outlineLevel="0" collapsed="false">
      <c r="A304" s="24"/>
      <c r="B304" s="11"/>
      <c r="C304" s="31" t="str">
        <f aca="false">IF(A304="","",IF(LEN(UPPER(SUBSTITUTE(SUBSTITUTE(SUBSTITUTE(SUBSTITUTE(TRIM(A304),".",""),"/",""),"-","")," ","")))&lt;14,RIGHT(REPT("0",14)&amp;UPPER(SUBSTITUTE(SUBSTITUTE(SUBSTITUTE(SUBSTITUTE(TRIM(A304),".",""),"/",""),"-","")," ","")),14),UPPER(SUBSTITUTE(SUBSTITUTE(SUBSTITUTE(SUBSTITUTE(TRIM(A304),".",""),"/",""),"-","")," ",""))))</f>
        <v/>
      </c>
      <c r="D304" s="23"/>
      <c r="E304" s="11"/>
      <c r="F304" s="11"/>
      <c r="G304" s="22"/>
      <c r="H304" s="22"/>
      <c r="I304" s="23"/>
      <c r="J304" s="24"/>
      <c r="K304" s="11"/>
    </row>
  </sheetData>
  <autoFilter ref="A4:K304"/>
  <dataValidations count="2">
    <dataValidation allowBlank="true" error="Escolha uma opção da lista (as opções estão na aba Listas)." errorStyle="stop" errorTitle="Valor fora da lista" operator="between" showDropDown="false" showErrorMessage="false" showInputMessage="false" sqref="D5:D304" type="list">
      <formula1>Listas!$J$4:$J$7</formula1>
      <formula2>0</formula2>
    </dataValidation>
    <dataValidation allowBlank="true" error="Escolha uma opção da lista (as opções estão na aba Listas)." errorStyle="stop" errorTitle="Valor fora da lista" operator="between" showDropDown="false" showErrorMessage="false" showInputMessage="false" sqref="I5:I304" type="list">
      <formula1>Listas!$K$4:$K$6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9"/>
    <col collapsed="false" customWidth="true" hidden="false" outlineLevel="0" max="5" min="4" style="0" width="18"/>
    <col collapsed="false" customWidth="true" hidden="false" outlineLevel="0" max="6" min="6" style="0" width="28"/>
    <col collapsed="false" customWidth="true" hidden="false" outlineLevel="0" max="7" min="7" style="0" width="15"/>
    <col collapsed="false" customWidth="true" hidden="false" outlineLevel="0" max="8" min="8" style="0" width="24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28"/>
    <col collapsed="false" customWidth="true" hidden="false" outlineLevel="0" max="12" min="12" style="0" width="30"/>
    <col collapsed="false" customWidth="true" hidden="false" outlineLevel="0" max="13" min="13" style="0" width="12"/>
    <col collapsed="false" customWidth="true" hidden="false" outlineLevel="0" max="14" min="14" style="0" width="28"/>
    <col collapsed="false" customWidth="true" hidden="false" outlineLevel="0" max="15" min="15" style="0" width="3"/>
    <col collapsed="false" customWidth="true" hidden="false" outlineLevel="0" max="16" min="16" style="0" width="30"/>
    <col collapsed="false" customWidth="true" hidden="false" outlineLevel="0" max="17" min="17" style="0" width="18"/>
  </cols>
  <sheetData>
    <row r="1" customFormat="false" ht="17.35" hidden="false" customHeight="false" outlineLevel="0" collapsed="false">
      <c r="A1" s="14" t="s">
        <v>326</v>
      </c>
    </row>
    <row r="2" customFormat="false" ht="15" hidden="false" customHeight="false" outlineLevel="0" collapsed="false">
      <c r="A2" s="15" t="s">
        <v>327</v>
      </c>
    </row>
    <row r="3" customFormat="false" ht="15" hidden="false" customHeight="false" outlineLevel="0" collapsed="false">
      <c r="A3" s="15" t="s">
        <v>64</v>
      </c>
    </row>
    <row r="4" customFormat="false" ht="48" hidden="false" customHeight="true" outlineLevel="0" collapsed="false">
      <c r="A4" s="9" t="s">
        <v>328</v>
      </c>
      <c r="B4" s="16" t="s">
        <v>204</v>
      </c>
      <c r="C4" s="9" t="s">
        <v>329</v>
      </c>
      <c r="D4" s="9" t="s">
        <v>330</v>
      </c>
      <c r="E4" s="9" t="s">
        <v>331</v>
      </c>
      <c r="F4" s="9" t="s">
        <v>118</v>
      </c>
      <c r="G4" s="9" t="s">
        <v>304</v>
      </c>
      <c r="H4" s="9" t="s">
        <v>332</v>
      </c>
      <c r="I4" s="9" t="s">
        <v>333</v>
      </c>
      <c r="J4" s="16" t="s">
        <v>334</v>
      </c>
      <c r="K4" s="16" t="s">
        <v>335</v>
      </c>
      <c r="L4" s="16" t="s">
        <v>336</v>
      </c>
      <c r="M4" s="9" t="s">
        <v>71</v>
      </c>
      <c r="N4" s="9" t="s">
        <v>74</v>
      </c>
      <c r="P4" s="9" t="s">
        <v>337</v>
      </c>
      <c r="Q4" s="38"/>
    </row>
    <row r="5" customFormat="false" ht="15" hidden="false" customHeight="false" outlineLevel="0" collapsed="false">
      <c r="A5" s="19" t="s">
        <v>217</v>
      </c>
      <c r="B5" s="30" t="str">
        <f aca="false">IF(A5="","",SUBSTITUTE(SUBSTITUTE(SUBSTITUTE(SUBSTITUTE(SUBSTITUTE(SUBSTITUTE(SUBSTITUTE(SUBSTITUTE(SUBSTITUTE(SUBSTITUTE(SUBSTITUTE(SUBSTITUTE(SUBSTITUTE(UPPER(TRIM(A5)),"Á","A"),"À","A"),"Â","A"),"Ã","A"),"É","E"),"Ê","E"),"Í","I"),"Ó","O"),"Ô","O"),"Õ","O"),"Ú","U"),"Ü","U"),"Ç","C"))</f>
        <v>SICRANO CANDIDATO</v>
      </c>
      <c r="C5" s="39" t="n">
        <v>2024</v>
      </c>
      <c r="D5" s="19" t="s">
        <v>218</v>
      </c>
      <c r="E5" s="19" t="s">
        <v>338</v>
      </c>
      <c r="F5" s="18" t="s">
        <v>339</v>
      </c>
      <c r="G5" s="32" t="n">
        <v>350000</v>
      </c>
      <c r="H5" s="19"/>
      <c r="I5" s="20"/>
      <c r="J5" s="30" t="str">
        <f aca="false">IF(I5="","",UPPER(SUBSTITUTE(SUBSTITUTE(SUBSTITUTE(SUBSTITUTE(SUBSTITUTE(TRIM(I5),".",""),"/",""),"-",""),"*","")," ","")))</f>
        <v/>
      </c>
      <c r="K5" s="30" t="str">
        <f aca="false">IF(OR(H5="",J5=""),"",IF(LEN(J5)&gt;=13,IF(LEN(J5)=13,"0"&amp;J5,J5),SUBSTITUTE(SUBSTITUTE(SUBSTITUTE(SUBSTITUTE(SUBSTITUTE(SUBSTITUTE(SUBSTITUTE(SUBSTITUTE(SUBSTITUTE(SUBSTITUTE(SUBSTITUTE(SUBSTITUTE(SUBSTITUTE(UPPER(TRIM(H5)),"Á","A"),"À","A"),"Â","A"),"Ã","A"),"É","E"),"Ê","E"),"Í","I"),"Ó","O"),"Ô","O"),"Õ","O"),"Ú","U"),"Ü","U"),"Ç","C")&amp;"|"&amp;IF(LEN(J5)=11,MID(J5,4,6),J5)))</f>
        <v/>
      </c>
      <c r="L5" s="21" t="str">
        <f aca="false">IF(K5="","",IF(E5="Doação recebida",TRIM(IF(COUNTIF(Socios!$H:$H,K5)&gt;0,"Doador é sócio de empresa da pauta. ","")&amp;IF(COUNTIF(Pessoas!$E:$E,K5)&gt;0,"Doador está em Pessoas.","")),IF(E5="Despesa com fornecedor",IF(COUNTIF(Contratos!$D:$D,K5)&gt;0,"Fornecedor também tem contrato público",""),"")))</f>
        <v/>
      </c>
      <c r="M5" s="20" t="s">
        <v>80</v>
      </c>
      <c r="N5" s="18" t="s">
        <v>81</v>
      </c>
      <c r="P5" s="10" t="s">
        <v>328</v>
      </c>
      <c r="Q5" s="40" t="s">
        <v>217</v>
      </c>
    </row>
    <row r="6" customFormat="false" ht="15" hidden="false" customHeight="false" outlineLevel="0" collapsed="false">
      <c r="A6" s="19" t="s">
        <v>217</v>
      </c>
      <c r="B6" s="30" t="str">
        <f aca="false">IF(A6="","",SUBSTITUTE(SUBSTITUTE(SUBSTITUTE(SUBSTITUTE(SUBSTITUTE(SUBSTITUTE(SUBSTITUTE(SUBSTITUTE(SUBSTITUTE(SUBSTITUTE(SUBSTITUTE(SUBSTITUTE(SUBSTITUTE(UPPER(TRIM(A6)),"Á","A"),"À","A"),"Â","A"),"Ã","A"),"É","E"),"Ê","E"),"Í","I"),"Ó","O"),"Ô","O"),"Õ","O"),"Ú","U"),"Ü","U"),"Ç","C"))</f>
        <v>SICRANO CANDIDATO</v>
      </c>
      <c r="C6" s="39" t="n">
        <v>2026</v>
      </c>
      <c r="D6" s="19" t="s">
        <v>340</v>
      </c>
      <c r="E6" s="19" t="s">
        <v>338</v>
      </c>
      <c r="F6" s="18" t="s">
        <v>339</v>
      </c>
      <c r="G6" s="32" t="n">
        <v>350000</v>
      </c>
      <c r="H6" s="19"/>
      <c r="I6" s="20"/>
      <c r="J6" s="30" t="str">
        <f aca="false">IF(I6="","",UPPER(SUBSTITUTE(SUBSTITUTE(SUBSTITUTE(SUBSTITUTE(SUBSTITUTE(TRIM(I6),".",""),"/",""),"-",""),"*","")," ","")))</f>
        <v/>
      </c>
      <c r="K6" s="30" t="str">
        <f aca="false">IF(OR(H6="",J6=""),"",IF(LEN(J6)&gt;=13,IF(LEN(J6)=13,"0"&amp;J6,J6),SUBSTITUTE(SUBSTITUTE(SUBSTITUTE(SUBSTITUTE(SUBSTITUTE(SUBSTITUTE(SUBSTITUTE(SUBSTITUTE(SUBSTITUTE(SUBSTITUTE(SUBSTITUTE(SUBSTITUTE(SUBSTITUTE(UPPER(TRIM(H6)),"Á","A"),"À","A"),"Â","A"),"Ã","A"),"É","E"),"Ê","E"),"Í","I"),"Ó","O"),"Ô","O"),"Õ","O"),"Ú","U"),"Ü","U"),"Ç","C")&amp;"|"&amp;IF(LEN(J6)=11,MID(J6,4,6),J6)))</f>
        <v/>
      </c>
      <c r="L6" s="21" t="str">
        <f aca="false">IF(K6="","",IF(E6="Doação recebida",TRIM(IF(COUNTIF(Socios!$H:$H,K6)&gt;0,"Doador é sócio de empresa da pauta. ","")&amp;IF(COUNTIF(Pessoas!$E:$E,K6)&gt;0,"Doador está em Pessoas.","")),IF(E6="Despesa com fornecedor",IF(COUNTIF(Contratos!$D:$D,K6)&gt;0,"Fornecedor também tem contrato público",""),"")))</f>
        <v/>
      </c>
      <c r="M6" s="20" t="s">
        <v>80</v>
      </c>
      <c r="N6" s="18" t="s">
        <v>81</v>
      </c>
      <c r="P6" s="10" t="s">
        <v>341</v>
      </c>
      <c r="Q6" s="41" t="n">
        <v>2024</v>
      </c>
    </row>
    <row r="7" customFormat="false" ht="15" hidden="false" customHeight="false" outlineLevel="0" collapsed="false">
      <c r="A7" s="19" t="s">
        <v>217</v>
      </c>
      <c r="B7" s="30" t="str">
        <f aca="false">IF(A7="","",SUBSTITUTE(SUBSTITUTE(SUBSTITUTE(SUBSTITUTE(SUBSTITUTE(SUBSTITUTE(SUBSTITUTE(SUBSTITUTE(SUBSTITUTE(SUBSTITUTE(SUBSTITUTE(SUBSTITUTE(SUBSTITUTE(UPPER(TRIM(A7)),"Á","A"),"À","A"),"Â","A"),"Ã","A"),"É","E"),"Ê","E"),"Í","I"),"Ó","O"),"Ô","O"),"Õ","O"),"Ú","U"),"Ü","U"),"Ç","C"))</f>
        <v>SICRANO CANDIDATO</v>
      </c>
      <c r="C7" s="39" t="n">
        <v>2026</v>
      </c>
      <c r="D7" s="19" t="s">
        <v>340</v>
      </c>
      <c r="E7" s="19" t="s">
        <v>338</v>
      </c>
      <c r="F7" s="18" t="s">
        <v>342</v>
      </c>
      <c r="G7" s="32" t="n">
        <v>1200000</v>
      </c>
      <c r="H7" s="19"/>
      <c r="I7" s="20"/>
      <c r="J7" s="30" t="str">
        <f aca="false">IF(I7="","",UPPER(SUBSTITUTE(SUBSTITUTE(SUBSTITUTE(SUBSTITUTE(SUBSTITUTE(TRIM(I7),".",""),"/",""),"-",""),"*","")," ","")))</f>
        <v/>
      </c>
      <c r="K7" s="30" t="str">
        <f aca="false">IF(OR(H7="",J7=""),"",IF(LEN(J7)&gt;=13,IF(LEN(J7)=13,"0"&amp;J7,J7),SUBSTITUTE(SUBSTITUTE(SUBSTITUTE(SUBSTITUTE(SUBSTITUTE(SUBSTITUTE(SUBSTITUTE(SUBSTITUTE(SUBSTITUTE(SUBSTITUTE(SUBSTITUTE(SUBSTITUTE(SUBSTITUTE(UPPER(TRIM(H7)),"Á","A"),"À","A"),"Â","A"),"Ã","A"),"É","E"),"Ê","E"),"Í","I"),"Ó","O"),"Ô","O"),"Õ","O"),"Ú","U"),"Ü","U"),"Ç","C")&amp;"|"&amp;IF(LEN(J7)=11,MID(J7,4,6),J7)))</f>
        <v/>
      </c>
      <c r="L7" s="21" t="str">
        <f aca="false">IF(K7="","",IF(E7="Doação recebida",TRIM(IF(COUNTIF(Socios!$H:$H,K7)&gt;0,"Doador é sócio de empresa da pauta. ","")&amp;IF(COUNTIF(Pessoas!$E:$E,K7)&gt;0,"Doador está em Pessoas.","")),IF(E7="Despesa com fornecedor",IF(COUNTIF(Contratos!$D:$D,K7)&gt;0,"Fornecedor também tem contrato público",""),"")))</f>
        <v/>
      </c>
      <c r="M7" s="20" t="s">
        <v>80</v>
      </c>
      <c r="N7" s="18" t="s">
        <v>81</v>
      </c>
      <c r="P7" s="10" t="s">
        <v>343</v>
      </c>
      <c r="Q7" s="41" t="n">
        <v>2026</v>
      </c>
    </row>
    <row r="8" customFormat="false" ht="23.85" hidden="false" customHeight="false" outlineLevel="0" collapsed="false">
      <c r="A8" s="19" t="s">
        <v>217</v>
      </c>
      <c r="B8" s="30" t="str">
        <f aca="false">IF(A8="","",SUBSTITUTE(SUBSTITUTE(SUBSTITUTE(SUBSTITUTE(SUBSTITUTE(SUBSTITUTE(SUBSTITUTE(SUBSTITUTE(SUBSTITUTE(SUBSTITUTE(SUBSTITUTE(SUBSTITUTE(SUBSTITUTE(UPPER(TRIM(A8)),"Á","A"),"À","A"),"Â","A"),"Ã","A"),"É","E"),"Ê","E"),"Í","I"),"Ó","O"),"Ô","O"),"Õ","O"),"Ú","U"),"Ü","U"),"Ç","C"))</f>
        <v>SICRANO CANDIDATO</v>
      </c>
      <c r="C8" s="39" t="n">
        <v>2024</v>
      </c>
      <c r="D8" s="19" t="s">
        <v>218</v>
      </c>
      <c r="E8" s="19" t="s">
        <v>344</v>
      </c>
      <c r="F8" s="18" t="s">
        <v>345</v>
      </c>
      <c r="G8" s="32" t="n">
        <v>20000</v>
      </c>
      <c r="H8" s="19" t="s">
        <v>83</v>
      </c>
      <c r="I8" s="20" t="s">
        <v>213</v>
      </c>
      <c r="J8" s="30" t="str">
        <f aca="false">IF(I8="","",UPPER(SUBSTITUTE(SUBSTITUTE(SUBSTITUTE(SUBSTITUTE(SUBSTITUTE(TRIM(I8),".",""),"/",""),"-",""),"*","")," ","")))</f>
        <v>123456</v>
      </c>
      <c r="K8" s="30" t="str">
        <f aca="false">IF(OR(H8="",J8=""),"",IF(LEN(J8)&gt;=13,IF(LEN(J8)=13,"0"&amp;J8,J8),SUBSTITUTE(SUBSTITUTE(SUBSTITUTE(SUBSTITUTE(SUBSTITUTE(SUBSTITUTE(SUBSTITUTE(SUBSTITUTE(SUBSTITUTE(SUBSTITUTE(SUBSTITUTE(SUBSTITUTE(SUBSTITUTE(UPPER(TRIM(H8)),"Á","A"),"À","A"),"Â","A"),"Ã","A"),"É","E"),"Ê","E"),"Í","I"),"Ó","O"),"Ô","O"),"Õ","O"),"Ú","U"),"Ü","U"),"Ç","C")&amp;"|"&amp;IF(LEN(J8)=11,MID(J8,4,6),J8)))</f>
        <v>FULANO DE TAL|123456</v>
      </c>
      <c r="L8" s="21" t="str">
        <f aca="false">IF(K8="","",IF(E8="Doação recebida",TRIM(IF(COUNTIF(Socios!$H:$H,K8)&gt;0,"Doador é sócio de empresa da pauta. ","")&amp;IF(COUNTIF(Pessoas!$E:$E,K8)&gt;0,"Doador está em Pessoas.","")),IF(E8="Despesa com fornecedor",IF(COUNTIF(Contratos!$D:$D,K8)&gt;0,"Fornecedor também tem contrato público",""),"")))</f>
        <v>Doador é sócio de empresa da pauta. Doador está em Pessoas.</v>
      </c>
      <c r="M8" s="20" t="s">
        <v>80</v>
      </c>
      <c r="N8" s="18" t="s">
        <v>81</v>
      </c>
      <c r="P8" s="10" t="s">
        <v>346</v>
      </c>
      <c r="Q8" s="42" t="n">
        <f aca="false">IF(OR($Q$12="",$Q$6=""),"",SUMIFS($G:$G,$B:$B,$Q$12,$C:$C,$Q$6,$E:$E,"Bem declarado"))</f>
        <v>350000</v>
      </c>
    </row>
    <row r="9" customFormat="false" ht="15" hidden="false" customHeight="false" outlineLevel="0" collapsed="false">
      <c r="A9" s="23"/>
      <c r="B9" s="31" t="str">
        <f aca="false">IF(A9="","",SUBSTITUTE(SUBSTITUTE(SUBSTITUTE(SUBSTITUTE(SUBSTITUTE(SUBSTITUTE(SUBSTITUTE(SUBSTITUTE(SUBSTITUTE(SUBSTITUTE(SUBSTITUTE(SUBSTITUTE(SUBSTITUTE(UPPER(TRIM(A9)),"Á","A"),"À","A"),"Â","A"),"Ã","A"),"É","E"),"Ê","E"),"Í","I"),"Ó","O"),"Ô","O"),"Õ","O"),"Ú","U"),"Ü","U"),"Ç","C"))</f>
        <v/>
      </c>
      <c r="C9" s="43"/>
      <c r="D9" s="23"/>
      <c r="E9" s="23"/>
      <c r="F9" s="11"/>
      <c r="G9" s="35"/>
      <c r="H9" s="23"/>
      <c r="I9" s="24"/>
      <c r="J9" s="31" t="str">
        <f aca="false">IF(I9="","",UPPER(SUBSTITUTE(SUBSTITUTE(SUBSTITUTE(SUBSTITUTE(SUBSTITUTE(TRIM(I9),".",""),"/",""),"-",""),"*","")," ","")))</f>
        <v/>
      </c>
      <c r="K9" s="31" t="str">
        <f aca="false">IF(OR(H9="",J9=""),"",IF(LEN(J9)&gt;=13,IF(LEN(J9)=13,"0"&amp;J9,J9),SUBSTITUTE(SUBSTITUTE(SUBSTITUTE(SUBSTITUTE(SUBSTITUTE(SUBSTITUTE(SUBSTITUTE(SUBSTITUTE(SUBSTITUTE(SUBSTITUTE(SUBSTITUTE(SUBSTITUTE(SUBSTITUTE(UPPER(TRIM(H9)),"Á","A"),"À","A"),"Â","A"),"Ã","A"),"É","E"),"Ê","E"),"Í","I"),"Ó","O"),"Ô","O"),"Õ","O"),"Ú","U"),"Ü","U"),"Ç","C")&amp;"|"&amp;IF(LEN(J9)=11,MID(J9,4,6),J9)))</f>
        <v/>
      </c>
      <c r="L9" s="25" t="str">
        <f aca="false">IF(K9="","",IF(E9="Doação recebida",TRIM(IF(COUNTIF(Socios!$H:$H,K9)&gt;0,"Doador é sócio de empresa da pauta. ","")&amp;IF(COUNTIF(Pessoas!$E:$E,K9)&gt;0,"Doador está em Pessoas.","")),IF(E9="Despesa com fornecedor",IF(COUNTIF(Contratos!$D:$D,K9)&gt;0,"Fornecedor também tem contrato público",""),"")))</f>
        <v/>
      </c>
      <c r="M9" s="24"/>
      <c r="N9" s="11"/>
      <c r="P9" s="10" t="s">
        <v>347</v>
      </c>
      <c r="Q9" s="42" t="n">
        <f aca="false">IF(OR($Q$12="",$Q$7=""),"",SUMIFS($G:$G,$B:$B,$Q$12,$C:$C,$Q$7,$E:$E,"Bem declarado"))</f>
        <v>1550000</v>
      </c>
    </row>
    <row r="10" customFormat="false" ht="15" hidden="false" customHeight="false" outlineLevel="0" collapsed="false">
      <c r="A10" s="23"/>
      <c r="B10" s="31" t="str">
        <f aca="false">IF(A10="","",SUBSTITUTE(SUBSTITUTE(SUBSTITUTE(SUBSTITUTE(SUBSTITUTE(SUBSTITUTE(SUBSTITUTE(SUBSTITUTE(SUBSTITUTE(SUBSTITUTE(SUBSTITUTE(SUBSTITUTE(SUBSTITUTE(UPPER(TRIM(A10)),"Á","A"),"À","A"),"Â","A"),"Ã","A"),"É","E"),"Ê","E"),"Í","I"),"Ó","O"),"Ô","O"),"Õ","O"),"Ú","U"),"Ü","U"),"Ç","C"))</f>
        <v/>
      </c>
      <c r="C10" s="43"/>
      <c r="D10" s="23"/>
      <c r="E10" s="23"/>
      <c r="F10" s="11"/>
      <c r="G10" s="35"/>
      <c r="H10" s="23"/>
      <c r="I10" s="24"/>
      <c r="J10" s="31" t="str">
        <f aca="false">IF(I10="","",UPPER(SUBSTITUTE(SUBSTITUTE(SUBSTITUTE(SUBSTITUTE(SUBSTITUTE(TRIM(I10),".",""),"/",""),"-",""),"*","")," ","")))</f>
        <v/>
      </c>
      <c r="K10" s="31" t="str">
        <f aca="false">IF(OR(H10="",J10=""),"",IF(LEN(J10)&gt;=13,IF(LEN(J10)=13,"0"&amp;J10,J10),SUBSTITUTE(SUBSTITUTE(SUBSTITUTE(SUBSTITUTE(SUBSTITUTE(SUBSTITUTE(SUBSTITUTE(SUBSTITUTE(SUBSTITUTE(SUBSTITUTE(SUBSTITUTE(SUBSTITUTE(SUBSTITUTE(UPPER(TRIM(H10)),"Á","A"),"À","A"),"Â","A"),"Ã","A"),"É","E"),"Ê","E"),"Í","I"),"Ó","O"),"Ô","O"),"Õ","O"),"Ú","U"),"Ü","U"),"Ç","C")&amp;"|"&amp;IF(LEN(J10)=11,MID(J10,4,6),J10)))</f>
        <v/>
      </c>
      <c r="L10" s="25" t="str">
        <f aca="false">IF(K10="","",IF(E10="Doação recebida",TRIM(IF(COUNTIF(Socios!$H:$H,K10)&gt;0,"Doador é sócio de empresa da pauta. ","")&amp;IF(COUNTIF(Pessoas!$E:$E,K10)&gt;0,"Doador está em Pessoas.","")),IF(E10="Despesa com fornecedor",IF(COUNTIF(Contratos!$D:$D,K10)&gt;0,"Fornecedor também tem contrato público",""),"")))</f>
        <v/>
      </c>
      <c r="M10" s="24"/>
      <c r="N10" s="11"/>
      <c r="P10" s="10" t="s">
        <v>348</v>
      </c>
      <c r="Q10" s="44" t="n">
        <f aca="false">IF(OR(Q8="",Q9="",Q8=0),"",Q9/Q8-1)</f>
        <v>3.42857142857143</v>
      </c>
    </row>
    <row r="11" customFormat="false" ht="36" hidden="false" customHeight="true" outlineLevel="0" collapsed="false">
      <c r="A11" s="23"/>
      <c r="B11" s="31" t="str">
        <f aca="false">IF(A11="","",SUBSTITUTE(SUBSTITUTE(SUBSTITUTE(SUBSTITUTE(SUBSTITUTE(SUBSTITUTE(SUBSTITUTE(SUBSTITUTE(SUBSTITUTE(SUBSTITUTE(SUBSTITUTE(SUBSTITUTE(SUBSTITUTE(UPPER(TRIM(A11)),"Á","A"),"À","A"),"Â","A"),"Ã","A"),"É","E"),"Ê","E"),"Í","I"),"Ó","O"),"Ô","O"),"Õ","O"),"Ú","U"),"Ü","U"),"Ç","C"))</f>
        <v/>
      </c>
      <c r="C11" s="43"/>
      <c r="D11" s="23"/>
      <c r="E11" s="23"/>
      <c r="F11" s="11"/>
      <c r="G11" s="35"/>
      <c r="H11" s="23"/>
      <c r="I11" s="24"/>
      <c r="J11" s="31" t="str">
        <f aca="false">IF(I11="","",UPPER(SUBSTITUTE(SUBSTITUTE(SUBSTITUTE(SUBSTITUTE(SUBSTITUTE(TRIM(I11),".",""),"/",""),"-",""),"*","")," ","")))</f>
        <v/>
      </c>
      <c r="K11" s="31" t="str">
        <f aca="false">IF(OR(H11="",J11=""),"",IF(LEN(J11)&gt;=13,IF(LEN(J11)=13,"0"&amp;J11,J11),SUBSTITUTE(SUBSTITUTE(SUBSTITUTE(SUBSTITUTE(SUBSTITUTE(SUBSTITUTE(SUBSTITUTE(SUBSTITUTE(SUBSTITUTE(SUBSTITUTE(SUBSTITUTE(SUBSTITUTE(SUBSTITUTE(UPPER(TRIM(H11)),"Á","A"),"À","A"),"Â","A"),"Ã","A"),"É","E"),"Ê","E"),"Í","I"),"Ó","O"),"Ô","O"),"Õ","O"),"Ú","U"),"Ü","U"),"Ç","C")&amp;"|"&amp;IF(LEN(J11)=11,MID(J11,4,6),J11)))</f>
        <v/>
      </c>
      <c r="L11" s="25" t="str">
        <f aca="false">IF(K11="","",IF(E11="Doação recebida",TRIM(IF(COUNTIF(Socios!$H:$H,K11)&gt;0,"Doador é sócio de empresa da pauta. ","")&amp;IF(COUNTIF(Pessoas!$E:$E,K11)&gt;0,"Doador está em Pessoas.","")),IF(E11="Despesa com fornecedor",IF(COUNTIF(Contratos!$D:$D,K11)&gt;0,"Fornecedor também tem contrato público",""),"")))</f>
        <v/>
      </c>
      <c r="M11" s="24"/>
      <c r="N11" s="11"/>
      <c r="P11" s="45" t="s">
        <v>349</v>
      </c>
      <c r="Q11" s="45"/>
    </row>
    <row r="12" customFormat="false" ht="15" hidden="false" customHeight="false" outlineLevel="0" collapsed="false">
      <c r="A12" s="23"/>
      <c r="B12" s="31" t="str">
        <f aca="false">IF(A12="","",SUBSTITUTE(SUBSTITUTE(SUBSTITUTE(SUBSTITUTE(SUBSTITUTE(SUBSTITUTE(SUBSTITUTE(SUBSTITUTE(SUBSTITUTE(SUBSTITUTE(SUBSTITUTE(SUBSTITUTE(SUBSTITUTE(UPPER(TRIM(A12)),"Á","A"),"À","A"),"Â","A"),"Ã","A"),"É","E"),"Ê","E"),"Í","I"),"Ó","O"),"Ô","O"),"Õ","O"),"Ú","U"),"Ü","U"),"Ç","C"))</f>
        <v/>
      </c>
      <c r="C12" s="43"/>
      <c r="D12" s="23"/>
      <c r="E12" s="23"/>
      <c r="F12" s="11"/>
      <c r="G12" s="35"/>
      <c r="H12" s="23"/>
      <c r="I12" s="24"/>
      <c r="J12" s="31" t="str">
        <f aca="false">IF(I12="","",UPPER(SUBSTITUTE(SUBSTITUTE(SUBSTITUTE(SUBSTITUTE(SUBSTITUTE(TRIM(I12),".",""),"/",""),"-",""),"*","")," ","")))</f>
        <v/>
      </c>
      <c r="K12" s="31" t="str">
        <f aca="false">IF(OR(H12="",J12=""),"",IF(LEN(J12)&gt;=13,IF(LEN(J12)=13,"0"&amp;J12,J12),SUBSTITUTE(SUBSTITUTE(SUBSTITUTE(SUBSTITUTE(SUBSTITUTE(SUBSTITUTE(SUBSTITUTE(SUBSTITUTE(SUBSTITUTE(SUBSTITUTE(SUBSTITUTE(SUBSTITUTE(SUBSTITUTE(UPPER(TRIM(H12)),"Á","A"),"À","A"),"Â","A"),"Ã","A"),"É","E"),"Ê","E"),"Í","I"),"Ó","O"),"Ô","O"),"Õ","O"),"Ú","U"),"Ü","U"),"Ç","C")&amp;"|"&amp;IF(LEN(J12)=11,MID(J12,4,6),J12)))</f>
        <v/>
      </c>
      <c r="L12" s="25" t="str">
        <f aca="false">IF(K12="","",IF(E12="Doação recebida",TRIM(IF(COUNTIF(Socios!$H:$H,K12)&gt;0,"Doador é sócio de empresa da pauta. ","")&amp;IF(COUNTIF(Pessoas!$E:$E,K12)&gt;0,"Doador está em Pessoas.","")),IF(E12="Despesa com fornecedor",IF(COUNTIF(Contratos!$D:$D,K12)&gt;0,"Fornecedor também tem contrato público",""),"")))</f>
        <v/>
      </c>
      <c r="M12" s="24"/>
      <c r="N12" s="11"/>
      <c r="P12" s="10" t="s">
        <v>204</v>
      </c>
      <c r="Q12" s="46" t="str">
        <f aca="false">IF($Q$5="","",SUBSTITUTE(SUBSTITUTE(SUBSTITUTE(SUBSTITUTE(SUBSTITUTE(SUBSTITUTE(SUBSTITUTE(SUBSTITUTE(SUBSTITUTE(SUBSTITUTE(SUBSTITUTE(SUBSTITUTE(SUBSTITUTE(UPPER(TRIM($Q$5)),"Á","A"),"À","A"),"Â","A"),"Ã","A"),"É","E"),"Ê","E"),"Í","I"),"Ó","O"),"Ô","O"),"Õ","O"),"Ú","U"),"Ü","U"),"Ç","C"))</f>
        <v>SICRANO CANDIDATO</v>
      </c>
    </row>
    <row r="13" customFormat="false" ht="15" hidden="false" customHeight="false" outlineLevel="0" collapsed="false">
      <c r="A13" s="23"/>
      <c r="B13" s="31" t="str">
        <f aca="false">IF(A13="","",SUBSTITUTE(SUBSTITUTE(SUBSTITUTE(SUBSTITUTE(SUBSTITUTE(SUBSTITUTE(SUBSTITUTE(SUBSTITUTE(SUBSTITUTE(SUBSTITUTE(SUBSTITUTE(SUBSTITUTE(SUBSTITUTE(UPPER(TRIM(A13)),"Á","A"),"À","A"),"Â","A"),"Ã","A"),"É","E"),"Ê","E"),"Í","I"),"Ó","O"),"Ô","O"),"Õ","O"),"Ú","U"),"Ü","U"),"Ç","C"))</f>
        <v/>
      </c>
      <c r="C13" s="43"/>
      <c r="D13" s="23"/>
      <c r="E13" s="23"/>
      <c r="F13" s="11"/>
      <c r="G13" s="35"/>
      <c r="H13" s="23"/>
      <c r="I13" s="24"/>
      <c r="J13" s="31" t="str">
        <f aca="false">IF(I13="","",UPPER(SUBSTITUTE(SUBSTITUTE(SUBSTITUTE(SUBSTITUTE(SUBSTITUTE(TRIM(I13),".",""),"/",""),"-",""),"*","")," ","")))</f>
        <v/>
      </c>
      <c r="K13" s="31" t="str">
        <f aca="false">IF(OR(H13="",J13=""),"",IF(LEN(J13)&gt;=13,IF(LEN(J13)=13,"0"&amp;J13,J13),SUBSTITUTE(SUBSTITUTE(SUBSTITUTE(SUBSTITUTE(SUBSTITUTE(SUBSTITUTE(SUBSTITUTE(SUBSTITUTE(SUBSTITUTE(SUBSTITUTE(SUBSTITUTE(SUBSTITUTE(SUBSTITUTE(UPPER(TRIM(H13)),"Á","A"),"À","A"),"Â","A"),"Ã","A"),"É","E"),"Ê","E"),"Í","I"),"Ó","O"),"Ô","O"),"Õ","O"),"Ú","U"),"Ü","U"),"Ç","C")&amp;"|"&amp;IF(LEN(J13)=11,MID(J13,4,6),J13)))</f>
        <v/>
      </c>
      <c r="L13" s="25" t="str">
        <f aca="false">IF(K13="","",IF(E13="Doação recebida",TRIM(IF(COUNTIF(Socios!$H:$H,K13)&gt;0,"Doador é sócio de empresa da pauta. ","")&amp;IF(COUNTIF(Pessoas!$E:$E,K13)&gt;0,"Doador está em Pessoas.","")),IF(E13="Despesa com fornecedor",IF(COUNTIF(Contratos!$D:$D,K13)&gt;0,"Fornecedor também tem contrato público",""),"")))</f>
        <v/>
      </c>
      <c r="M13" s="24"/>
      <c r="N13" s="11"/>
    </row>
    <row r="14" customFormat="false" ht="15" hidden="false" customHeight="false" outlineLevel="0" collapsed="false">
      <c r="A14" s="23"/>
      <c r="B14" s="31" t="str">
        <f aca="false">IF(A14="","",SUBSTITUTE(SUBSTITUTE(SUBSTITUTE(SUBSTITUTE(SUBSTITUTE(SUBSTITUTE(SUBSTITUTE(SUBSTITUTE(SUBSTITUTE(SUBSTITUTE(SUBSTITUTE(SUBSTITUTE(SUBSTITUTE(UPPER(TRIM(A14)),"Á","A"),"À","A"),"Â","A"),"Ã","A"),"É","E"),"Ê","E"),"Í","I"),"Ó","O"),"Ô","O"),"Õ","O"),"Ú","U"),"Ü","U"),"Ç","C"))</f>
        <v/>
      </c>
      <c r="C14" s="43"/>
      <c r="D14" s="23"/>
      <c r="E14" s="23"/>
      <c r="F14" s="11"/>
      <c r="G14" s="35"/>
      <c r="H14" s="23"/>
      <c r="I14" s="24"/>
      <c r="J14" s="31" t="str">
        <f aca="false">IF(I14="","",UPPER(SUBSTITUTE(SUBSTITUTE(SUBSTITUTE(SUBSTITUTE(SUBSTITUTE(TRIM(I14),".",""),"/",""),"-",""),"*","")," ","")))</f>
        <v/>
      </c>
      <c r="K14" s="31" t="str">
        <f aca="false">IF(OR(H14="",J14=""),"",IF(LEN(J14)&gt;=13,IF(LEN(J14)=13,"0"&amp;J14,J14),SUBSTITUTE(SUBSTITUTE(SUBSTITUTE(SUBSTITUTE(SUBSTITUTE(SUBSTITUTE(SUBSTITUTE(SUBSTITUTE(SUBSTITUTE(SUBSTITUTE(SUBSTITUTE(SUBSTITUTE(SUBSTITUTE(UPPER(TRIM(H14)),"Á","A"),"À","A"),"Â","A"),"Ã","A"),"É","E"),"Ê","E"),"Í","I"),"Ó","O"),"Ô","O"),"Õ","O"),"Ú","U"),"Ü","U"),"Ç","C")&amp;"|"&amp;IF(LEN(J14)=11,MID(J14,4,6),J14)))</f>
        <v/>
      </c>
      <c r="L14" s="25" t="str">
        <f aca="false">IF(K14="","",IF(E14="Doação recebida",TRIM(IF(COUNTIF(Socios!$H:$H,K14)&gt;0,"Doador é sócio de empresa da pauta. ","")&amp;IF(COUNTIF(Pessoas!$E:$E,K14)&gt;0,"Doador está em Pessoas.","")),IF(E14="Despesa com fornecedor",IF(COUNTIF(Contratos!$D:$D,K14)&gt;0,"Fornecedor também tem contrato público",""),"")))</f>
        <v/>
      </c>
      <c r="M14" s="24"/>
      <c r="N14" s="11"/>
    </row>
    <row r="15" customFormat="false" ht="15" hidden="false" customHeight="false" outlineLevel="0" collapsed="false">
      <c r="A15" s="23"/>
      <c r="B15" s="31" t="str">
        <f aca="false">IF(A15="","",SUBSTITUTE(SUBSTITUTE(SUBSTITUTE(SUBSTITUTE(SUBSTITUTE(SUBSTITUTE(SUBSTITUTE(SUBSTITUTE(SUBSTITUTE(SUBSTITUTE(SUBSTITUTE(SUBSTITUTE(SUBSTITUTE(UPPER(TRIM(A15)),"Á","A"),"À","A"),"Â","A"),"Ã","A"),"É","E"),"Ê","E"),"Í","I"),"Ó","O"),"Ô","O"),"Õ","O"),"Ú","U"),"Ü","U"),"Ç","C"))</f>
        <v/>
      </c>
      <c r="C15" s="43"/>
      <c r="D15" s="23"/>
      <c r="E15" s="23"/>
      <c r="F15" s="11"/>
      <c r="G15" s="35"/>
      <c r="H15" s="23"/>
      <c r="I15" s="24"/>
      <c r="J15" s="31" t="str">
        <f aca="false">IF(I15="","",UPPER(SUBSTITUTE(SUBSTITUTE(SUBSTITUTE(SUBSTITUTE(SUBSTITUTE(TRIM(I15),".",""),"/",""),"-",""),"*","")," ","")))</f>
        <v/>
      </c>
      <c r="K15" s="31" t="str">
        <f aca="false">IF(OR(H15="",J15=""),"",IF(LEN(J15)&gt;=13,IF(LEN(J15)=13,"0"&amp;J15,J15),SUBSTITUTE(SUBSTITUTE(SUBSTITUTE(SUBSTITUTE(SUBSTITUTE(SUBSTITUTE(SUBSTITUTE(SUBSTITUTE(SUBSTITUTE(SUBSTITUTE(SUBSTITUTE(SUBSTITUTE(SUBSTITUTE(UPPER(TRIM(H15)),"Á","A"),"À","A"),"Â","A"),"Ã","A"),"É","E"),"Ê","E"),"Í","I"),"Ó","O"),"Ô","O"),"Õ","O"),"Ú","U"),"Ü","U"),"Ç","C")&amp;"|"&amp;IF(LEN(J15)=11,MID(J15,4,6),J15)))</f>
        <v/>
      </c>
      <c r="L15" s="25" t="str">
        <f aca="false">IF(K15="","",IF(E15="Doação recebida",TRIM(IF(COUNTIF(Socios!$H:$H,K15)&gt;0,"Doador é sócio de empresa da pauta. ","")&amp;IF(COUNTIF(Pessoas!$E:$E,K15)&gt;0,"Doador está em Pessoas.","")),IF(E15="Despesa com fornecedor",IF(COUNTIF(Contratos!$D:$D,K15)&gt;0,"Fornecedor também tem contrato público",""),"")))</f>
        <v/>
      </c>
      <c r="M15" s="24"/>
      <c r="N15" s="11"/>
    </row>
    <row r="16" customFormat="false" ht="15" hidden="false" customHeight="false" outlineLevel="0" collapsed="false">
      <c r="A16" s="23"/>
      <c r="B16" s="31" t="str">
        <f aca="false">IF(A16="","",SUBSTITUTE(SUBSTITUTE(SUBSTITUTE(SUBSTITUTE(SUBSTITUTE(SUBSTITUTE(SUBSTITUTE(SUBSTITUTE(SUBSTITUTE(SUBSTITUTE(SUBSTITUTE(SUBSTITUTE(SUBSTITUTE(UPPER(TRIM(A16)),"Á","A"),"À","A"),"Â","A"),"Ã","A"),"É","E"),"Ê","E"),"Í","I"),"Ó","O"),"Ô","O"),"Õ","O"),"Ú","U"),"Ü","U"),"Ç","C"))</f>
        <v/>
      </c>
      <c r="C16" s="43"/>
      <c r="D16" s="23"/>
      <c r="E16" s="23"/>
      <c r="F16" s="11"/>
      <c r="G16" s="35"/>
      <c r="H16" s="23"/>
      <c r="I16" s="24"/>
      <c r="J16" s="31" t="str">
        <f aca="false">IF(I16="","",UPPER(SUBSTITUTE(SUBSTITUTE(SUBSTITUTE(SUBSTITUTE(SUBSTITUTE(TRIM(I16),".",""),"/",""),"-",""),"*","")," ","")))</f>
        <v/>
      </c>
      <c r="K16" s="31" t="str">
        <f aca="false">IF(OR(H16="",J16=""),"",IF(LEN(J16)&gt;=13,IF(LEN(J16)=13,"0"&amp;J16,J16),SUBSTITUTE(SUBSTITUTE(SUBSTITUTE(SUBSTITUTE(SUBSTITUTE(SUBSTITUTE(SUBSTITUTE(SUBSTITUTE(SUBSTITUTE(SUBSTITUTE(SUBSTITUTE(SUBSTITUTE(SUBSTITUTE(UPPER(TRIM(H16)),"Á","A"),"À","A"),"Â","A"),"Ã","A"),"É","E"),"Ê","E"),"Í","I"),"Ó","O"),"Ô","O"),"Õ","O"),"Ú","U"),"Ü","U"),"Ç","C")&amp;"|"&amp;IF(LEN(J16)=11,MID(J16,4,6),J16)))</f>
        <v/>
      </c>
      <c r="L16" s="25" t="str">
        <f aca="false">IF(K16="","",IF(E16="Doação recebida",TRIM(IF(COUNTIF(Socios!$H:$H,K16)&gt;0,"Doador é sócio de empresa da pauta. ","")&amp;IF(COUNTIF(Pessoas!$E:$E,K16)&gt;0,"Doador está em Pessoas.","")),IF(E16="Despesa com fornecedor",IF(COUNTIF(Contratos!$D:$D,K16)&gt;0,"Fornecedor também tem contrato público",""),"")))</f>
        <v/>
      </c>
      <c r="M16" s="24"/>
      <c r="N16" s="11"/>
    </row>
    <row r="17" customFormat="false" ht="15" hidden="false" customHeight="false" outlineLevel="0" collapsed="false">
      <c r="A17" s="23"/>
      <c r="B17" s="31" t="str">
        <f aca="false">IF(A17="","",SUBSTITUTE(SUBSTITUTE(SUBSTITUTE(SUBSTITUTE(SUBSTITUTE(SUBSTITUTE(SUBSTITUTE(SUBSTITUTE(SUBSTITUTE(SUBSTITUTE(SUBSTITUTE(SUBSTITUTE(SUBSTITUTE(UPPER(TRIM(A17)),"Á","A"),"À","A"),"Â","A"),"Ã","A"),"É","E"),"Ê","E"),"Í","I"),"Ó","O"),"Ô","O"),"Õ","O"),"Ú","U"),"Ü","U"),"Ç","C"))</f>
        <v/>
      </c>
      <c r="C17" s="43"/>
      <c r="D17" s="23"/>
      <c r="E17" s="23"/>
      <c r="F17" s="11"/>
      <c r="G17" s="35"/>
      <c r="H17" s="23"/>
      <c r="I17" s="24"/>
      <c r="J17" s="31" t="str">
        <f aca="false">IF(I17="","",UPPER(SUBSTITUTE(SUBSTITUTE(SUBSTITUTE(SUBSTITUTE(SUBSTITUTE(TRIM(I17),".",""),"/",""),"-",""),"*","")," ","")))</f>
        <v/>
      </c>
      <c r="K17" s="31" t="str">
        <f aca="false">IF(OR(H17="",J17=""),"",IF(LEN(J17)&gt;=13,IF(LEN(J17)=13,"0"&amp;J17,J17),SUBSTITUTE(SUBSTITUTE(SUBSTITUTE(SUBSTITUTE(SUBSTITUTE(SUBSTITUTE(SUBSTITUTE(SUBSTITUTE(SUBSTITUTE(SUBSTITUTE(SUBSTITUTE(SUBSTITUTE(SUBSTITUTE(UPPER(TRIM(H17)),"Á","A"),"À","A"),"Â","A"),"Ã","A"),"É","E"),"Ê","E"),"Í","I"),"Ó","O"),"Ô","O"),"Õ","O"),"Ú","U"),"Ü","U"),"Ç","C")&amp;"|"&amp;IF(LEN(J17)=11,MID(J17,4,6),J17)))</f>
        <v/>
      </c>
      <c r="L17" s="25" t="str">
        <f aca="false">IF(K17="","",IF(E17="Doação recebida",TRIM(IF(COUNTIF(Socios!$H:$H,K17)&gt;0,"Doador é sócio de empresa da pauta. ","")&amp;IF(COUNTIF(Pessoas!$E:$E,K17)&gt;0,"Doador está em Pessoas.","")),IF(E17="Despesa com fornecedor",IF(COUNTIF(Contratos!$D:$D,K17)&gt;0,"Fornecedor também tem contrato público",""),"")))</f>
        <v/>
      </c>
      <c r="M17" s="24"/>
      <c r="N17" s="11"/>
    </row>
    <row r="18" customFormat="false" ht="15" hidden="false" customHeight="false" outlineLevel="0" collapsed="false">
      <c r="A18" s="23"/>
      <c r="B18" s="31" t="str">
        <f aca="false">IF(A18="","",SUBSTITUTE(SUBSTITUTE(SUBSTITUTE(SUBSTITUTE(SUBSTITUTE(SUBSTITUTE(SUBSTITUTE(SUBSTITUTE(SUBSTITUTE(SUBSTITUTE(SUBSTITUTE(SUBSTITUTE(SUBSTITUTE(UPPER(TRIM(A18)),"Á","A"),"À","A"),"Â","A"),"Ã","A"),"É","E"),"Ê","E"),"Í","I"),"Ó","O"),"Ô","O"),"Õ","O"),"Ú","U"),"Ü","U"),"Ç","C"))</f>
        <v/>
      </c>
      <c r="C18" s="43"/>
      <c r="D18" s="23"/>
      <c r="E18" s="23"/>
      <c r="F18" s="11"/>
      <c r="G18" s="35"/>
      <c r="H18" s="23"/>
      <c r="I18" s="24"/>
      <c r="J18" s="31" t="str">
        <f aca="false">IF(I18="","",UPPER(SUBSTITUTE(SUBSTITUTE(SUBSTITUTE(SUBSTITUTE(SUBSTITUTE(TRIM(I18),".",""),"/",""),"-",""),"*","")," ","")))</f>
        <v/>
      </c>
      <c r="K18" s="31" t="str">
        <f aca="false">IF(OR(H18="",J18=""),"",IF(LEN(J18)&gt;=13,IF(LEN(J18)=13,"0"&amp;J18,J18),SUBSTITUTE(SUBSTITUTE(SUBSTITUTE(SUBSTITUTE(SUBSTITUTE(SUBSTITUTE(SUBSTITUTE(SUBSTITUTE(SUBSTITUTE(SUBSTITUTE(SUBSTITUTE(SUBSTITUTE(SUBSTITUTE(UPPER(TRIM(H18)),"Á","A"),"À","A"),"Â","A"),"Ã","A"),"É","E"),"Ê","E"),"Í","I"),"Ó","O"),"Ô","O"),"Õ","O"),"Ú","U"),"Ü","U"),"Ç","C")&amp;"|"&amp;IF(LEN(J18)=11,MID(J18,4,6),J18)))</f>
        <v/>
      </c>
      <c r="L18" s="25" t="str">
        <f aca="false">IF(K18="","",IF(E18="Doação recebida",TRIM(IF(COUNTIF(Socios!$H:$H,K18)&gt;0,"Doador é sócio de empresa da pauta. ","")&amp;IF(COUNTIF(Pessoas!$E:$E,K18)&gt;0,"Doador está em Pessoas.","")),IF(E18="Despesa com fornecedor",IF(COUNTIF(Contratos!$D:$D,K18)&gt;0,"Fornecedor também tem contrato público",""),"")))</f>
        <v/>
      </c>
      <c r="M18" s="24"/>
      <c r="N18" s="11"/>
    </row>
    <row r="19" customFormat="false" ht="15" hidden="false" customHeight="false" outlineLevel="0" collapsed="false">
      <c r="A19" s="23"/>
      <c r="B19" s="31" t="str">
        <f aca="false">IF(A19="","",SUBSTITUTE(SUBSTITUTE(SUBSTITUTE(SUBSTITUTE(SUBSTITUTE(SUBSTITUTE(SUBSTITUTE(SUBSTITUTE(SUBSTITUTE(SUBSTITUTE(SUBSTITUTE(SUBSTITUTE(SUBSTITUTE(UPPER(TRIM(A19)),"Á","A"),"À","A"),"Â","A"),"Ã","A"),"É","E"),"Ê","E"),"Í","I"),"Ó","O"),"Ô","O"),"Õ","O"),"Ú","U"),"Ü","U"),"Ç","C"))</f>
        <v/>
      </c>
      <c r="C19" s="43"/>
      <c r="D19" s="23"/>
      <c r="E19" s="23"/>
      <c r="F19" s="11"/>
      <c r="G19" s="35"/>
      <c r="H19" s="23"/>
      <c r="I19" s="24"/>
      <c r="J19" s="31" t="str">
        <f aca="false">IF(I19="","",UPPER(SUBSTITUTE(SUBSTITUTE(SUBSTITUTE(SUBSTITUTE(SUBSTITUTE(TRIM(I19),".",""),"/",""),"-",""),"*","")," ","")))</f>
        <v/>
      </c>
      <c r="K19" s="31" t="str">
        <f aca="false">IF(OR(H19="",J19=""),"",IF(LEN(J19)&gt;=13,IF(LEN(J19)=13,"0"&amp;J19,J19),SUBSTITUTE(SUBSTITUTE(SUBSTITUTE(SUBSTITUTE(SUBSTITUTE(SUBSTITUTE(SUBSTITUTE(SUBSTITUTE(SUBSTITUTE(SUBSTITUTE(SUBSTITUTE(SUBSTITUTE(SUBSTITUTE(UPPER(TRIM(H19)),"Á","A"),"À","A"),"Â","A"),"Ã","A"),"É","E"),"Ê","E"),"Í","I"),"Ó","O"),"Ô","O"),"Õ","O"),"Ú","U"),"Ü","U"),"Ç","C")&amp;"|"&amp;IF(LEN(J19)=11,MID(J19,4,6),J19)))</f>
        <v/>
      </c>
      <c r="L19" s="25" t="str">
        <f aca="false">IF(K19="","",IF(E19="Doação recebida",TRIM(IF(COUNTIF(Socios!$H:$H,K19)&gt;0,"Doador é sócio de empresa da pauta. ","")&amp;IF(COUNTIF(Pessoas!$E:$E,K19)&gt;0,"Doador está em Pessoas.","")),IF(E19="Despesa com fornecedor",IF(COUNTIF(Contratos!$D:$D,K19)&gt;0,"Fornecedor também tem contrato público",""),"")))</f>
        <v/>
      </c>
      <c r="M19" s="24"/>
      <c r="N19" s="11"/>
    </row>
    <row r="20" customFormat="false" ht="15" hidden="false" customHeight="false" outlineLevel="0" collapsed="false">
      <c r="A20" s="23"/>
      <c r="B20" s="31" t="str">
        <f aca="false">IF(A20="","",SUBSTITUTE(SUBSTITUTE(SUBSTITUTE(SUBSTITUTE(SUBSTITUTE(SUBSTITUTE(SUBSTITUTE(SUBSTITUTE(SUBSTITUTE(SUBSTITUTE(SUBSTITUTE(SUBSTITUTE(SUBSTITUTE(UPPER(TRIM(A20)),"Á","A"),"À","A"),"Â","A"),"Ã","A"),"É","E"),"Ê","E"),"Í","I"),"Ó","O"),"Ô","O"),"Õ","O"),"Ú","U"),"Ü","U"),"Ç","C"))</f>
        <v/>
      </c>
      <c r="C20" s="43"/>
      <c r="D20" s="23"/>
      <c r="E20" s="23"/>
      <c r="F20" s="11"/>
      <c r="G20" s="35"/>
      <c r="H20" s="23"/>
      <c r="I20" s="24"/>
      <c r="J20" s="31" t="str">
        <f aca="false">IF(I20="","",UPPER(SUBSTITUTE(SUBSTITUTE(SUBSTITUTE(SUBSTITUTE(SUBSTITUTE(TRIM(I20),".",""),"/",""),"-",""),"*","")," ","")))</f>
        <v/>
      </c>
      <c r="K20" s="31" t="str">
        <f aca="false">IF(OR(H20="",J20=""),"",IF(LEN(J20)&gt;=13,IF(LEN(J20)=13,"0"&amp;J20,J20),SUBSTITUTE(SUBSTITUTE(SUBSTITUTE(SUBSTITUTE(SUBSTITUTE(SUBSTITUTE(SUBSTITUTE(SUBSTITUTE(SUBSTITUTE(SUBSTITUTE(SUBSTITUTE(SUBSTITUTE(SUBSTITUTE(UPPER(TRIM(H20)),"Á","A"),"À","A"),"Â","A"),"Ã","A"),"É","E"),"Ê","E"),"Í","I"),"Ó","O"),"Ô","O"),"Õ","O"),"Ú","U"),"Ü","U"),"Ç","C")&amp;"|"&amp;IF(LEN(J20)=11,MID(J20,4,6),J20)))</f>
        <v/>
      </c>
      <c r="L20" s="25" t="str">
        <f aca="false">IF(K20="","",IF(E20="Doação recebida",TRIM(IF(COUNTIF(Socios!$H:$H,K20)&gt;0,"Doador é sócio de empresa da pauta. ","")&amp;IF(COUNTIF(Pessoas!$E:$E,K20)&gt;0,"Doador está em Pessoas.","")),IF(E20="Despesa com fornecedor",IF(COUNTIF(Contratos!$D:$D,K20)&gt;0,"Fornecedor também tem contrato público",""),"")))</f>
        <v/>
      </c>
      <c r="M20" s="24"/>
      <c r="N20" s="11"/>
    </row>
    <row r="21" customFormat="false" ht="15" hidden="false" customHeight="false" outlineLevel="0" collapsed="false">
      <c r="A21" s="23"/>
      <c r="B21" s="31" t="str">
        <f aca="false">IF(A21="","",SUBSTITUTE(SUBSTITUTE(SUBSTITUTE(SUBSTITUTE(SUBSTITUTE(SUBSTITUTE(SUBSTITUTE(SUBSTITUTE(SUBSTITUTE(SUBSTITUTE(SUBSTITUTE(SUBSTITUTE(SUBSTITUTE(UPPER(TRIM(A21)),"Á","A"),"À","A"),"Â","A"),"Ã","A"),"É","E"),"Ê","E"),"Í","I"),"Ó","O"),"Ô","O"),"Õ","O"),"Ú","U"),"Ü","U"),"Ç","C"))</f>
        <v/>
      </c>
      <c r="C21" s="43"/>
      <c r="D21" s="23"/>
      <c r="E21" s="23"/>
      <c r="F21" s="11"/>
      <c r="G21" s="35"/>
      <c r="H21" s="23"/>
      <c r="I21" s="24"/>
      <c r="J21" s="31" t="str">
        <f aca="false">IF(I21="","",UPPER(SUBSTITUTE(SUBSTITUTE(SUBSTITUTE(SUBSTITUTE(SUBSTITUTE(TRIM(I21),".",""),"/",""),"-",""),"*","")," ","")))</f>
        <v/>
      </c>
      <c r="K21" s="31" t="str">
        <f aca="false">IF(OR(H21="",J21=""),"",IF(LEN(J21)&gt;=13,IF(LEN(J21)=13,"0"&amp;J21,J21),SUBSTITUTE(SUBSTITUTE(SUBSTITUTE(SUBSTITUTE(SUBSTITUTE(SUBSTITUTE(SUBSTITUTE(SUBSTITUTE(SUBSTITUTE(SUBSTITUTE(SUBSTITUTE(SUBSTITUTE(SUBSTITUTE(UPPER(TRIM(H21)),"Á","A"),"À","A"),"Â","A"),"Ã","A"),"É","E"),"Ê","E"),"Í","I"),"Ó","O"),"Ô","O"),"Õ","O"),"Ú","U"),"Ü","U"),"Ç","C")&amp;"|"&amp;IF(LEN(J21)=11,MID(J21,4,6),J21)))</f>
        <v/>
      </c>
      <c r="L21" s="25" t="str">
        <f aca="false">IF(K21="","",IF(E21="Doação recebida",TRIM(IF(COUNTIF(Socios!$H:$H,K21)&gt;0,"Doador é sócio de empresa da pauta. ","")&amp;IF(COUNTIF(Pessoas!$E:$E,K21)&gt;0,"Doador está em Pessoas.","")),IF(E21="Despesa com fornecedor",IF(COUNTIF(Contratos!$D:$D,K21)&gt;0,"Fornecedor também tem contrato público",""),"")))</f>
        <v/>
      </c>
      <c r="M21" s="24"/>
      <c r="N21" s="11"/>
    </row>
    <row r="22" customFormat="false" ht="15" hidden="false" customHeight="false" outlineLevel="0" collapsed="false">
      <c r="A22" s="23"/>
      <c r="B22" s="31" t="str">
        <f aca="false">IF(A22="","",SUBSTITUTE(SUBSTITUTE(SUBSTITUTE(SUBSTITUTE(SUBSTITUTE(SUBSTITUTE(SUBSTITUTE(SUBSTITUTE(SUBSTITUTE(SUBSTITUTE(SUBSTITUTE(SUBSTITUTE(SUBSTITUTE(UPPER(TRIM(A22)),"Á","A"),"À","A"),"Â","A"),"Ã","A"),"É","E"),"Ê","E"),"Í","I"),"Ó","O"),"Ô","O"),"Õ","O"),"Ú","U"),"Ü","U"),"Ç","C"))</f>
        <v/>
      </c>
      <c r="C22" s="43"/>
      <c r="D22" s="23"/>
      <c r="E22" s="23"/>
      <c r="F22" s="11"/>
      <c r="G22" s="35"/>
      <c r="H22" s="23"/>
      <c r="I22" s="24"/>
      <c r="J22" s="31" t="str">
        <f aca="false">IF(I22="","",UPPER(SUBSTITUTE(SUBSTITUTE(SUBSTITUTE(SUBSTITUTE(SUBSTITUTE(TRIM(I22),".",""),"/",""),"-",""),"*","")," ","")))</f>
        <v/>
      </c>
      <c r="K22" s="31" t="str">
        <f aca="false">IF(OR(H22="",J22=""),"",IF(LEN(J22)&gt;=13,IF(LEN(J22)=13,"0"&amp;J22,J22),SUBSTITUTE(SUBSTITUTE(SUBSTITUTE(SUBSTITUTE(SUBSTITUTE(SUBSTITUTE(SUBSTITUTE(SUBSTITUTE(SUBSTITUTE(SUBSTITUTE(SUBSTITUTE(SUBSTITUTE(SUBSTITUTE(UPPER(TRIM(H22)),"Á","A"),"À","A"),"Â","A"),"Ã","A"),"É","E"),"Ê","E"),"Í","I"),"Ó","O"),"Ô","O"),"Õ","O"),"Ú","U"),"Ü","U"),"Ç","C")&amp;"|"&amp;IF(LEN(J22)=11,MID(J22,4,6),J22)))</f>
        <v/>
      </c>
      <c r="L22" s="25" t="str">
        <f aca="false">IF(K22="","",IF(E22="Doação recebida",TRIM(IF(COUNTIF(Socios!$H:$H,K22)&gt;0,"Doador é sócio de empresa da pauta. ","")&amp;IF(COUNTIF(Pessoas!$E:$E,K22)&gt;0,"Doador está em Pessoas.","")),IF(E22="Despesa com fornecedor",IF(COUNTIF(Contratos!$D:$D,K22)&gt;0,"Fornecedor também tem contrato público",""),"")))</f>
        <v/>
      </c>
      <c r="M22" s="24"/>
      <c r="N22" s="11"/>
    </row>
    <row r="23" customFormat="false" ht="15" hidden="false" customHeight="false" outlineLevel="0" collapsed="false">
      <c r="A23" s="23"/>
      <c r="B23" s="31" t="str">
        <f aca="false">IF(A23="","",SUBSTITUTE(SUBSTITUTE(SUBSTITUTE(SUBSTITUTE(SUBSTITUTE(SUBSTITUTE(SUBSTITUTE(SUBSTITUTE(SUBSTITUTE(SUBSTITUTE(SUBSTITUTE(SUBSTITUTE(SUBSTITUTE(UPPER(TRIM(A23)),"Á","A"),"À","A"),"Â","A"),"Ã","A"),"É","E"),"Ê","E"),"Í","I"),"Ó","O"),"Ô","O"),"Õ","O"),"Ú","U"),"Ü","U"),"Ç","C"))</f>
        <v/>
      </c>
      <c r="C23" s="43"/>
      <c r="D23" s="23"/>
      <c r="E23" s="23"/>
      <c r="F23" s="11"/>
      <c r="G23" s="35"/>
      <c r="H23" s="23"/>
      <c r="I23" s="24"/>
      <c r="J23" s="31" t="str">
        <f aca="false">IF(I23="","",UPPER(SUBSTITUTE(SUBSTITUTE(SUBSTITUTE(SUBSTITUTE(SUBSTITUTE(TRIM(I23),".",""),"/",""),"-",""),"*","")," ","")))</f>
        <v/>
      </c>
      <c r="K23" s="31" t="str">
        <f aca="false">IF(OR(H23="",J23=""),"",IF(LEN(J23)&gt;=13,IF(LEN(J23)=13,"0"&amp;J23,J23),SUBSTITUTE(SUBSTITUTE(SUBSTITUTE(SUBSTITUTE(SUBSTITUTE(SUBSTITUTE(SUBSTITUTE(SUBSTITUTE(SUBSTITUTE(SUBSTITUTE(SUBSTITUTE(SUBSTITUTE(SUBSTITUTE(UPPER(TRIM(H23)),"Á","A"),"À","A"),"Â","A"),"Ã","A"),"É","E"),"Ê","E"),"Í","I"),"Ó","O"),"Ô","O"),"Õ","O"),"Ú","U"),"Ü","U"),"Ç","C")&amp;"|"&amp;IF(LEN(J23)=11,MID(J23,4,6),J23)))</f>
        <v/>
      </c>
      <c r="L23" s="25" t="str">
        <f aca="false">IF(K23="","",IF(E23="Doação recebida",TRIM(IF(COUNTIF(Socios!$H:$H,K23)&gt;0,"Doador é sócio de empresa da pauta. ","")&amp;IF(COUNTIF(Pessoas!$E:$E,K23)&gt;0,"Doador está em Pessoas.","")),IF(E23="Despesa com fornecedor",IF(COUNTIF(Contratos!$D:$D,K23)&gt;0,"Fornecedor também tem contrato público",""),"")))</f>
        <v/>
      </c>
      <c r="M23" s="24"/>
      <c r="N23" s="11"/>
    </row>
    <row r="24" customFormat="false" ht="15" hidden="false" customHeight="false" outlineLevel="0" collapsed="false">
      <c r="A24" s="23"/>
      <c r="B24" s="31" t="str">
        <f aca="false">IF(A24="","",SUBSTITUTE(SUBSTITUTE(SUBSTITUTE(SUBSTITUTE(SUBSTITUTE(SUBSTITUTE(SUBSTITUTE(SUBSTITUTE(SUBSTITUTE(SUBSTITUTE(SUBSTITUTE(SUBSTITUTE(SUBSTITUTE(UPPER(TRIM(A24)),"Á","A"),"À","A"),"Â","A"),"Ã","A"),"É","E"),"Ê","E"),"Í","I"),"Ó","O"),"Ô","O"),"Õ","O"),"Ú","U"),"Ü","U"),"Ç","C"))</f>
        <v/>
      </c>
      <c r="C24" s="43"/>
      <c r="D24" s="23"/>
      <c r="E24" s="23"/>
      <c r="F24" s="11"/>
      <c r="G24" s="35"/>
      <c r="H24" s="23"/>
      <c r="I24" s="24"/>
      <c r="J24" s="31" t="str">
        <f aca="false">IF(I24="","",UPPER(SUBSTITUTE(SUBSTITUTE(SUBSTITUTE(SUBSTITUTE(SUBSTITUTE(TRIM(I24),".",""),"/",""),"-",""),"*","")," ","")))</f>
        <v/>
      </c>
      <c r="K24" s="31" t="str">
        <f aca="false">IF(OR(H24="",J24=""),"",IF(LEN(J24)&gt;=13,IF(LEN(J24)=13,"0"&amp;J24,J24),SUBSTITUTE(SUBSTITUTE(SUBSTITUTE(SUBSTITUTE(SUBSTITUTE(SUBSTITUTE(SUBSTITUTE(SUBSTITUTE(SUBSTITUTE(SUBSTITUTE(SUBSTITUTE(SUBSTITUTE(SUBSTITUTE(UPPER(TRIM(H24)),"Á","A"),"À","A"),"Â","A"),"Ã","A"),"É","E"),"Ê","E"),"Í","I"),"Ó","O"),"Ô","O"),"Õ","O"),"Ú","U"),"Ü","U"),"Ç","C")&amp;"|"&amp;IF(LEN(J24)=11,MID(J24,4,6),J24)))</f>
        <v/>
      </c>
      <c r="L24" s="25" t="str">
        <f aca="false">IF(K24="","",IF(E24="Doação recebida",TRIM(IF(COUNTIF(Socios!$H:$H,K24)&gt;0,"Doador é sócio de empresa da pauta. ","")&amp;IF(COUNTIF(Pessoas!$E:$E,K24)&gt;0,"Doador está em Pessoas.","")),IF(E24="Despesa com fornecedor",IF(COUNTIF(Contratos!$D:$D,K24)&gt;0,"Fornecedor também tem contrato público",""),"")))</f>
        <v/>
      </c>
      <c r="M24" s="24"/>
      <c r="N24" s="11"/>
    </row>
    <row r="25" customFormat="false" ht="15" hidden="false" customHeight="false" outlineLevel="0" collapsed="false">
      <c r="A25" s="23"/>
      <c r="B25" s="31" t="str">
        <f aca="false">IF(A25="","",SUBSTITUTE(SUBSTITUTE(SUBSTITUTE(SUBSTITUTE(SUBSTITUTE(SUBSTITUTE(SUBSTITUTE(SUBSTITUTE(SUBSTITUTE(SUBSTITUTE(SUBSTITUTE(SUBSTITUTE(SUBSTITUTE(UPPER(TRIM(A25)),"Á","A"),"À","A"),"Â","A"),"Ã","A"),"É","E"),"Ê","E"),"Í","I"),"Ó","O"),"Ô","O"),"Õ","O"),"Ú","U"),"Ü","U"),"Ç","C"))</f>
        <v/>
      </c>
      <c r="C25" s="43"/>
      <c r="D25" s="23"/>
      <c r="E25" s="23"/>
      <c r="F25" s="11"/>
      <c r="G25" s="35"/>
      <c r="H25" s="23"/>
      <c r="I25" s="24"/>
      <c r="J25" s="31" t="str">
        <f aca="false">IF(I25="","",UPPER(SUBSTITUTE(SUBSTITUTE(SUBSTITUTE(SUBSTITUTE(SUBSTITUTE(TRIM(I25),".",""),"/",""),"-",""),"*","")," ","")))</f>
        <v/>
      </c>
      <c r="K25" s="31" t="str">
        <f aca="false">IF(OR(H25="",J25=""),"",IF(LEN(J25)&gt;=13,IF(LEN(J25)=13,"0"&amp;J25,J25),SUBSTITUTE(SUBSTITUTE(SUBSTITUTE(SUBSTITUTE(SUBSTITUTE(SUBSTITUTE(SUBSTITUTE(SUBSTITUTE(SUBSTITUTE(SUBSTITUTE(SUBSTITUTE(SUBSTITUTE(SUBSTITUTE(UPPER(TRIM(H25)),"Á","A"),"À","A"),"Â","A"),"Ã","A"),"É","E"),"Ê","E"),"Í","I"),"Ó","O"),"Ô","O"),"Õ","O"),"Ú","U"),"Ü","U"),"Ç","C")&amp;"|"&amp;IF(LEN(J25)=11,MID(J25,4,6),J25)))</f>
        <v/>
      </c>
      <c r="L25" s="25" t="str">
        <f aca="false">IF(K25="","",IF(E25="Doação recebida",TRIM(IF(COUNTIF(Socios!$H:$H,K25)&gt;0,"Doador é sócio de empresa da pauta. ","")&amp;IF(COUNTIF(Pessoas!$E:$E,K25)&gt;0,"Doador está em Pessoas.","")),IF(E25="Despesa com fornecedor",IF(COUNTIF(Contratos!$D:$D,K25)&gt;0,"Fornecedor também tem contrato público",""),"")))</f>
        <v/>
      </c>
      <c r="M25" s="24"/>
      <c r="N25" s="11"/>
    </row>
    <row r="26" customFormat="false" ht="15" hidden="false" customHeight="false" outlineLevel="0" collapsed="false">
      <c r="A26" s="23"/>
      <c r="B26" s="31" t="str">
        <f aca="false">IF(A26="","",SUBSTITUTE(SUBSTITUTE(SUBSTITUTE(SUBSTITUTE(SUBSTITUTE(SUBSTITUTE(SUBSTITUTE(SUBSTITUTE(SUBSTITUTE(SUBSTITUTE(SUBSTITUTE(SUBSTITUTE(SUBSTITUTE(UPPER(TRIM(A26)),"Á","A"),"À","A"),"Â","A"),"Ã","A"),"É","E"),"Ê","E"),"Í","I"),"Ó","O"),"Ô","O"),"Õ","O"),"Ú","U"),"Ü","U"),"Ç","C"))</f>
        <v/>
      </c>
      <c r="C26" s="43"/>
      <c r="D26" s="23"/>
      <c r="E26" s="23"/>
      <c r="F26" s="11"/>
      <c r="G26" s="35"/>
      <c r="H26" s="23"/>
      <c r="I26" s="24"/>
      <c r="J26" s="31" t="str">
        <f aca="false">IF(I26="","",UPPER(SUBSTITUTE(SUBSTITUTE(SUBSTITUTE(SUBSTITUTE(SUBSTITUTE(TRIM(I26),".",""),"/",""),"-",""),"*","")," ","")))</f>
        <v/>
      </c>
      <c r="K26" s="31" t="str">
        <f aca="false">IF(OR(H26="",J26=""),"",IF(LEN(J26)&gt;=13,IF(LEN(J26)=13,"0"&amp;J26,J26),SUBSTITUTE(SUBSTITUTE(SUBSTITUTE(SUBSTITUTE(SUBSTITUTE(SUBSTITUTE(SUBSTITUTE(SUBSTITUTE(SUBSTITUTE(SUBSTITUTE(SUBSTITUTE(SUBSTITUTE(SUBSTITUTE(UPPER(TRIM(H26)),"Á","A"),"À","A"),"Â","A"),"Ã","A"),"É","E"),"Ê","E"),"Í","I"),"Ó","O"),"Ô","O"),"Õ","O"),"Ú","U"),"Ü","U"),"Ç","C")&amp;"|"&amp;IF(LEN(J26)=11,MID(J26,4,6),J26)))</f>
        <v/>
      </c>
      <c r="L26" s="25" t="str">
        <f aca="false">IF(K26="","",IF(E26="Doação recebida",TRIM(IF(COUNTIF(Socios!$H:$H,K26)&gt;0,"Doador é sócio de empresa da pauta. ","")&amp;IF(COUNTIF(Pessoas!$E:$E,K26)&gt;0,"Doador está em Pessoas.","")),IF(E26="Despesa com fornecedor",IF(COUNTIF(Contratos!$D:$D,K26)&gt;0,"Fornecedor também tem contrato público",""),"")))</f>
        <v/>
      </c>
      <c r="M26" s="24"/>
      <c r="N26" s="11"/>
    </row>
    <row r="27" customFormat="false" ht="15" hidden="false" customHeight="false" outlineLevel="0" collapsed="false">
      <c r="A27" s="23"/>
      <c r="B27" s="31" t="str">
        <f aca="false">IF(A27="","",SUBSTITUTE(SUBSTITUTE(SUBSTITUTE(SUBSTITUTE(SUBSTITUTE(SUBSTITUTE(SUBSTITUTE(SUBSTITUTE(SUBSTITUTE(SUBSTITUTE(SUBSTITUTE(SUBSTITUTE(SUBSTITUTE(UPPER(TRIM(A27)),"Á","A"),"À","A"),"Â","A"),"Ã","A"),"É","E"),"Ê","E"),"Í","I"),"Ó","O"),"Ô","O"),"Õ","O"),"Ú","U"),"Ü","U"),"Ç","C"))</f>
        <v/>
      </c>
      <c r="C27" s="43"/>
      <c r="D27" s="23"/>
      <c r="E27" s="23"/>
      <c r="F27" s="11"/>
      <c r="G27" s="35"/>
      <c r="H27" s="23"/>
      <c r="I27" s="24"/>
      <c r="J27" s="31" t="str">
        <f aca="false">IF(I27="","",UPPER(SUBSTITUTE(SUBSTITUTE(SUBSTITUTE(SUBSTITUTE(SUBSTITUTE(TRIM(I27),".",""),"/",""),"-",""),"*","")," ","")))</f>
        <v/>
      </c>
      <c r="K27" s="31" t="str">
        <f aca="false">IF(OR(H27="",J27=""),"",IF(LEN(J27)&gt;=13,IF(LEN(J27)=13,"0"&amp;J27,J27),SUBSTITUTE(SUBSTITUTE(SUBSTITUTE(SUBSTITUTE(SUBSTITUTE(SUBSTITUTE(SUBSTITUTE(SUBSTITUTE(SUBSTITUTE(SUBSTITUTE(SUBSTITUTE(SUBSTITUTE(SUBSTITUTE(UPPER(TRIM(H27)),"Á","A"),"À","A"),"Â","A"),"Ã","A"),"É","E"),"Ê","E"),"Í","I"),"Ó","O"),"Ô","O"),"Õ","O"),"Ú","U"),"Ü","U"),"Ç","C")&amp;"|"&amp;IF(LEN(J27)=11,MID(J27,4,6),J27)))</f>
        <v/>
      </c>
      <c r="L27" s="25" t="str">
        <f aca="false">IF(K27="","",IF(E27="Doação recebida",TRIM(IF(COUNTIF(Socios!$H:$H,K27)&gt;0,"Doador é sócio de empresa da pauta. ","")&amp;IF(COUNTIF(Pessoas!$E:$E,K27)&gt;0,"Doador está em Pessoas.","")),IF(E27="Despesa com fornecedor",IF(COUNTIF(Contratos!$D:$D,K27)&gt;0,"Fornecedor também tem contrato público",""),"")))</f>
        <v/>
      </c>
      <c r="M27" s="24"/>
      <c r="N27" s="11"/>
    </row>
    <row r="28" customFormat="false" ht="15" hidden="false" customHeight="false" outlineLevel="0" collapsed="false">
      <c r="A28" s="23"/>
      <c r="B28" s="31" t="str">
        <f aca="false">IF(A28="","",SUBSTITUTE(SUBSTITUTE(SUBSTITUTE(SUBSTITUTE(SUBSTITUTE(SUBSTITUTE(SUBSTITUTE(SUBSTITUTE(SUBSTITUTE(SUBSTITUTE(SUBSTITUTE(SUBSTITUTE(SUBSTITUTE(UPPER(TRIM(A28)),"Á","A"),"À","A"),"Â","A"),"Ã","A"),"É","E"),"Ê","E"),"Í","I"),"Ó","O"),"Ô","O"),"Õ","O"),"Ú","U"),"Ü","U"),"Ç","C"))</f>
        <v/>
      </c>
      <c r="C28" s="43"/>
      <c r="D28" s="23"/>
      <c r="E28" s="23"/>
      <c r="F28" s="11"/>
      <c r="G28" s="35"/>
      <c r="H28" s="23"/>
      <c r="I28" s="24"/>
      <c r="J28" s="31" t="str">
        <f aca="false">IF(I28="","",UPPER(SUBSTITUTE(SUBSTITUTE(SUBSTITUTE(SUBSTITUTE(SUBSTITUTE(TRIM(I28),".",""),"/",""),"-",""),"*","")," ","")))</f>
        <v/>
      </c>
      <c r="K28" s="31" t="str">
        <f aca="false">IF(OR(H28="",J28=""),"",IF(LEN(J28)&gt;=13,IF(LEN(J28)=13,"0"&amp;J28,J28),SUBSTITUTE(SUBSTITUTE(SUBSTITUTE(SUBSTITUTE(SUBSTITUTE(SUBSTITUTE(SUBSTITUTE(SUBSTITUTE(SUBSTITUTE(SUBSTITUTE(SUBSTITUTE(SUBSTITUTE(SUBSTITUTE(UPPER(TRIM(H28)),"Á","A"),"À","A"),"Â","A"),"Ã","A"),"É","E"),"Ê","E"),"Í","I"),"Ó","O"),"Ô","O"),"Õ","O"),"Ú","U"),"Ü","U"),"Ç","C")&amp;"|"&amp;IF(LEN(J28)=11,MID(J28,4,6),J28)))</f>
        <v/>
      </c>
      <c r="L28" s="25" t="str">
        <f aca="false">IF(K28="","",IF(E28="Doação recebida",TRIM(IF(COUNTIF(Socios!$H:$H,K28)&gt;0,"Doador é sócio de empresa da pauta. ","")&amp;IF(COUNTIF(Pessoas!$E:$E,K28)&gt;0,"Doador está em Pessoas.","")),IF(E28="Despesa com fornecedor",IF(COUNTIF(Contratos!$D:$D,K28)&gt;0,"Fornecedor também tem contrato público",""),"")))</f>
        <v/>
      </c>
      <c r="M28" s="24"/>
      <c r="N28" s="11"/>
    </row>
    <row r="29" customFormat="false" ht="15" hidden="false" customHeight="false" outlineLevel="0" collapsed="false">
      <c r="A29" s="23"/>
      <c r="B29" s="31" t="str">
        <f aca="false">IF(A29="","",SUBSTITUTE(SUBSTITUTE(SUBSTITUTE(SUBSTITUTE(SUBSTITUTE(SUBSTITUTE(SUBSTITUTE(SUBSTITUTE(SUBSTITUTE(SUBSTITUTE(SUBSTITUTE(SUBSTITUTE(SUBSTITUTE(UPPER(TRIM(A29)),"Á","A"),"À","A"),"Â","A"),"Ã","A"),"É","E"),"Ê","E"),"Í","I"),"Ó","O"),"Ô","O"),"Õ","O"),"Ú","U"),"Ü","U"),"Ç","C"))</f>
        <v/>
      </c>
      <c r="C29" s="43"/>
      <c r="D29" s="23"/>
      <c r="E29" s="23"/>
      <c r="F29" s="11"/>
      <c r="G29" s="35"/>
      <c r="H29" s="23"/>
      <c r="I29" s="24"/>
      <c r="J29" s="31" t="str">
        <f aca="false">IF(I29="","",UPPER(SUBSTITUTE(SUBSTITUTE(SUBSTITUTE(SUBSTITUTE(SUBSTITUTE(TRIM(I29),".",""),"/",""),"-",""),"*","")," ","")))</f>
        <v/>
      </c>
      <c r="K29" s="31" t="str">
        <f aca="false">IF(OR(H29="",J29=""),"",IF(LEN(J29)&gt;=13,IF(LEN(J29)=13,"0"&amp;J29,J29),SUBSTITUTE(SUBSTITUTE(SUBSTITUTE(SUBSTITUTE(SUBSTITUTE(SUBSTITUTE(SUBSTITUTE(SUBSTITUTE(SUBSTITUTE(SUBSTITUTE(SUBSTITUTE(SUBSTITUTE(SUBSTITUTE(UPPER(TRIM(H29)),"Á","A"),"À","A"),"Â","A"),"Ã","A"),"É","E"),"Ê","E"),"Í","I"),"Ó","O"),"Ô","O"),"Õ","O"),"Ú","U"),"Ü","U"),"Ç","C")&amp;"|"&amp;IF(LEN(J29)=11,MID(J29,4,6),J29)))</f>
        <v/>
      </c>
      <c r="L29" s="25" t="str">
        <f aca="false">IF(K29="","",IF(E29="Doação recebida",TRIM(IF(COUNTIF(Socios!$H:$H,K29)&gt;0,"Doador é sócio de empresa da pauta. ","")&amp;IF(COUNTIF(Pessoas!$E:$E,K29)&gt;0,"Doador está em Pessoas.","")),IF(E29="Despesa com fornecedor",IF(COUNTIF(Contratos!$D:$D,K29)&gt;0,"Fornecedor também tem contrato público",""),"")))</f>
        <v/>
      </c>
      <c r="M29" s="24"/>
      <c r="N29" s="11"/>
    </row>
    <row r="30" customFormat="false" ht="15" hidden="false" customHeight="false" outlineLevel="0" collapsed="false">
      <c r="A30" s="23"/>
      <c r="B30" s="31" t="str">
        <f aca="false">IF(A30="","",SUBSTITUTE(SUBSTITUTE(SUBSTITUTE(SUBSTITUTE(SUBSTITUTE(SUBSTITUTE(SUBSTITUTE(SUBSTITUTE(SUBSTITUTE(SUBSTITUTE(SUBSTITUTE(SUBSTITUTE(SUBSTITUTE(UPPER(TRIM(A30)),"Á","A"),"À","A"),"Â","A"),"Ã","A"),"É","E"),"Ê","E"),"Í","I"),"Ó","O"),"Ô","O"),"Õ","O"),"Ú","U"),"Ü","U"),"Ç","C"))</f>
        <v/>
      </c>
      <c r="C30" s="43"/>
      <c r="D30" s="23"/>
      <c r="E30" s="23"/>
      <c r="F30" s="11"/>
      <c r="G30" s="35"/>
      <c r="H30" s="23"/>
      <c r="I30" s="24"/>
      <c r="J30" s="31" t="str">
        <f aca="false">IF(I30="","",UPPER(SUBSTITUTE(SUBSTITUTE(SUBSTITUTE(SUBSTITUTE(SUBSTITUTE(TRIM(I30),".",""),"/",""),"-",""),"*","")," ","")))</f>
        <v/>
      </c>
      <c r="K30" s="31" t="str">
        <f aca="false">IF(OR(H30="",J30=""),"",IF(LEN(J30)&gt;=13,IF(LEN(J30)=13,"0"&amp;J30,J30),SUBSTITUTE(SUBSTITUTE(SUBSTITUTE(SUBSTITUTE(SUBSTITUTE(SUBSTITUTE(SUBSTITUTE(SUBSTITUTE(SUBSTITUTE(SUBSTITUTE(SUBSTITUTE(SUBSTITUTE(SUBSTITUTE(UPPER(TRIM(H30)),"Á","A"),"À","A"),"Â","A"),"Ã","A"),"É","E"),"Ê","E"),"Í","I"),"Ó","O"),"Ô","O"),"Õ","O"),"Ú","U"),"Ü","U"),"Ç","C")&amp;"|"&amp;IF(LEN(J30)=11,MID(J30,4,6),J30)))</f>
        <v/>
      </c>
      <c r="L30" s="25" t="str">
        <f aca="false">IF(K30="","",IF(E30="Doação recebida",TRIM(IF(COUNTIF(Socios!$H:$H,K30)&gt;0,"Doador é sócio de empresa da pauta. ","")&amp;IF(COUNTIF(Pessoas!$E:$E,K30)&gt;0,"Doador está em Pessoas.","")),IF(E30="Despesa com fornecedor",IF(COUNTIF(Contratos!$D:$D,K30)&gt;0,"Fornecedor também tem contrato público",""),"")))</f>
        <v/>
      </c>
      <c r="M30" s="24"/>
      <c r="N30" s="11"/>
    </row>
    <row r="31" customFormat="false" ht="15" hidden="false" customHeight="false" outlineLevel="0" collapsed="false">
      <c r="A31" s="23"/>
      <c r="B31" s="31" t="str">
        <f aca="false">IF(A31="","",SUBSTITUTE(SUBSTITUTE(SUBSTITUTE(SUBSTITUTE(SUBSTITUTE(SUBSTITUTE(SUBSTITUTE(SUBSTITUTE(SUBSTITUTE(SUBSTITUTE(SUBSTITUTE(SUBSTITUTE(SUBSTITUTE(UPPER(TRIM(A31)),"Á","A"),"À","A"),"Â","A"),"Ã","A"),"É","E"),"Ê","E"),"Í","I"),"Ó","O"),"Ô","O"),"Õ","O"),"Ú","U"),"Ü","U"),"Ç","C"))</f>
        <v/>
      </c>
      <c r="C31" s="43"/>
      <c r="D31" s="23"/>
      <c r="E31" s="23"/>
      <c r="F31" s="11"/>
      <c r="G31" s="35"/>
      <c r="H31" s="23"/>
      <c r="I31" s="24"/>
      <c r="J31" s="31" t="str">
        <f aca="false">IF(I31="","",UPPER(SUBSTITUTE(SUBSTITUTE(SUBSTITUTE(SUBSTITUTE(SUBSTITUTE(TRIM(I31),".",""),"/",""),"-",""),"*","")," ","")))</f>
        <v/>
      </c>
      <c r="K31" s="31" t="str">
        <f aca="false">IF(OR(H31="",J31=""),"",IF(LEN(J31)&gt;=13,IF(LEN(J31)=13,"0"&amp;J31,J31),SUBSTITUTE(SUBSTITUTE(SUBSTITUTE(SUBSTITUTE(SUBSTITUTE(SUBSTITUTE(SUBSTITUTE(SUBSTITUTE(SUBSTITUTE(SUBSTITUTE(SUBSTITUTE(SUBSTITUTE(SUBSTITUTE(UPPER(TRIM(H31)),"Á","A"),"À","A"),"Â","A"),"Ã","A"),"É","E"),"Ê","E"),"Í","I"),"Ó","O"),"Ô","O"),"Õ","O"),"Ú","U"),"Ü","U"),"Ç","C")&amp;"|"&amp;IF(LEN(J31)=11,MID(J31,4,6),J31)))</f>
        <v/>
      </c>
      <c r="L31" s="25" t="str">
        <f aca="false">IF(K31="","",IF(E31="Doação recebida",TRIM(IF(COUNTIF(Socios!$H:$H,K31)&gt;0,"Doador é sócio de empresa da pauta. ","")&amp;IF(COUNTIF(Pessoas!$E:$E,K31)&gt;0,"Doador está em Pessoas.","")),IF(E31="Despesa com fornecedor",IF(COUNTIF(Contratos!$D:$D,K31)&gt;0,"Fornecedor também tem contrato público",""),"")))</f>
        <v/>
      </c>
      <c r="M31" s="24"/>
      <c r="N31" s="11"/>
    </row>
    <row r="32" customFormat="false" ht="15" hidden="false" customHeight="false" outlineLevel="0" collapsed="false">
      <c r="A32" s="23"/>
      <c r="B32" s="31" t="str">
        <f aca="false">IF(A32="","",SUBSTITUTE(SUBSTITUTE(SUBSTITUTE(SUBSTITUTE(SUBSTITUTE(SUBSTITUTE(SUBSTITUTE(SUBSTITUTE(SUBSTITUTE(SUBSTITUTE(SUBSTITUTE(SUBSTITUTE(SUBSTITUTE(UPPER(TRIM(A32)),"Á","A"),"À","A"),"Â","A"),"Ã","A"),"É","E"),"Ê","E"),"Í","I"),"Ó","O"),"Ô","O"),"Õ","O"),"Ú","U"),"Ü","U"),"Ç","C"))</f>
        <v/>
      </c>
      <c r="C32" s="43"/>
      <c r="D32" s="23"/>
      <c r="E32" s="23"/>
      <c r="F32" s="11"/>
      <c r="G32" s="35"/>
      <c r="H32" s="23"/>
      <c r="I32" s="24"/>
      <c r="J32" s="31" t="str">
        <f aca="false">IF(I32="","",UPPER(SUBSTITUTE(SUBSTITUTE(SUBSTITUTE(SUBSTITUTE(SUBSTITUTE(TRIM(I32),".",""),"/",""),"-",""),"*","")," ","")))</f>
        <v/>
      </c>
      <c r="K32" s="31" t="str">
        <f aca="false">IF(OR(H32="",J32=""),"",IF(LEN(J32)&gt;=13,IF(LEN(J32)=13,"0"&amp;J32,J32),SUBSTITUTE(SUBSTITUTE(SUBSTITUTE(SUBSTITUTE(SUBSTITUTE(SUBSTITUTE(SUBSTITUTE(SUBSTITUTE(SUBSTITUTE(SUBSTITUTE(SUBSTITUTE(SUBSTITUTE(SUBSTITUTE(UPPER(TRIM(H32)),"Á","A"),"À","A"),"Â","A"),"Ã","A"),"É","E"),"Ê","E"),"Í","I"),"Ó","O"),"Ô","O"),"Õ","O"),"Ú","U"),"Ü","U"),"Ç","C")&amp;"|"&amp;IF(LEN(J32)=11,MID(J32,4,6),J32)))</f>
        <v/>
      </c>
      <c r="L32" s="25" t="str">
        <f aca="false">IF(K32="","",IF(E32="Doação recebida",TRIM(IF(COUNTIF(Socios!$H:$H,K32)&gt;0,"Doador é sócio de empresa da pauta. ","")&amp;IF(COUNTIF(Pessoas!$E:$E,K32)&gt;0,"Doador está em Pessoas.","")),IF(E32="Despesa com fornecedor",IF(COUNTIF(Contratos!$D:$D,K32)&gt;0,"Fornecedor também tem contrato público",""),"")))</f>
        <v/>
      </c>
      <c r="M32" s="24"/>
      <c r="N32" s="11"/>
    </row>
    <row r="33" customFormat="false" ht="15" hidden="false" customHeight="false" outlineLevel="0" collapsed="false">
      <c r="A33" s="23"/>
      <c r="B33" s="31" t="str">
        <f aca="false">IF(A33="","",SUBSTITUTE(SUBSTITUTE(SUBSTITUTE(SUBSTITUTE(SUBSTITUTE(SUBSTITUTE(SUBSTITUTE(SUBSTITUTE(SUBSTITUTE(SUBSTITUTE(SUBSTITUTE(SUBSTITUTE(SUBSTITUTE(UPPER(TRIM(A33)),"Á","A"),"À","A"),"Â","A"),"Ã","A"),"É","E"),"Ê","E"),"Í","I"),"Ó","O"),"Ô","O"),"Õ","O"),"Ú","U"),"Ü","U"),"Ç","C"))</f>
        <v/>
      </c>
      <c r="C33" s="43"/>
      <c r="D33" s="23"/>
      <c r="E33" s="23"/>
      <c r="F33" s="11"/>
      <c r="G33" s="35"/>
      <c r="H33" s="23"/>
      <c r="I33" s="24"/>
      <c r="J33" s="31" t="str">
        <f aca="false">IF(I33="","",UPPER(SUBSTITUTE(SUBSTITUTE(SUBSTITUTE(SUBSTITUTE(SUBSTITUTE(TRIM(I33),".",""),"/",""),"-",""),"*","")," ","")))</f>
        <v/>
      </c>
      <c r="K33" s="31" t="str">
        <f aca="false">IF(OR(H33="",J33=""),"",IF(LEN(J33)&gt;=13,IF(LEN(J33)=13,"0"&amp;J33,J33),SUBSTITUTE(SUBSTITUTE(SUBSTITUTE(SUBSTITUTE(SUBSTITUTE(SUBSTITUTE(SUBSTITUTE(SUBSTITUTE(SUBSTITUTE(SUBSTITUTE(SUBSTITUTE(SUBSTITUTE(SUBSTITUTE(UPPER(TRIM(H33)),"Á","A"),"À","A"),"Â","A"),"Ã","A"),"É","E"),"Ê","E"),"Í","I"),"Ó","O"),"Ô","O"),"Õ","O"),"Ú","U"),"Ü","U"),"Ç","C")&amp;"|"&amp;IF(LEN(J33)=11,MID(J33,4,6),J33)))</f>
        <v/>
      </c>
      <c r="L33" s="25" t="str">
        <f aca="false">IF(K33="","",IF(E33="Doação recebida",TRIM(IF(COUNTIF(Socios!$H:$H,K33)&gt;0,"Doador é sócio de empresa da pauta. ","")&amp;IF(COUNTIF(Pessoas!$E:$E,K33)&gt;0,"Doador está em Pessoas.","")),IF(E33="Despesa com fornecedor",IF(COUNTIF(Contratos!$D:$D,K33)&gt;0,"Fornecedor também tem contrato público",""),"")))</f>
        <v/>
      </c>
      <c r="M33" s="24"/>
      <c r="N33" s="11"/>
    </row>
    <row r="34" customFormat="false" ht="15" hidden="false" customHeight="false" outlineLevel="0" collapsed="false">
      <c r="A34" s="23"/>
      <c r="B34" s="31" t="str">
        <f aca="false">IF(A34="","",SUBSTITUTE(SUBSTITUTE(SUBSTITUTE(SUBSTITUTE(SUBSTITUTE(SUBSTITUTE(SUBSTITUTE(SUBSTITUTE(SUBSTITUTE(SUBSTITUTE(SUBSTITUTE(SUBSTITUTE(SUBSTITUTE(UPPER(TRIM(A34)),"Á","A"),"À","A"),"Â","A"),"Ã","A"),"É","E"),"Ê","E"),"Í","I"),"Ó","O"),"Ô","O"),"Õ","O"),"Ú","U"),"Ü","U"),"Ç","C"))</f>
        <v/>
      </c>
      <c r="C34" s="43"/>
      <c r="D34" s="23"/>
      <c r="E34" s="23"/>
      <c r="F34" s="11"/>
      <c r="G34" s="35"/>
      <c r="H34" s="23"/>
      <c r="I34" s="24"/>
      <c r="J34" s="31" t="str">
        <f aca="false">IF(I34="","",UPPER(SUBSTITUTE(SUBSTITUTE(SUBSTITUTE(SUBSTITUTE(SUBSTITUTE(TRIM(I34),".",""),"/",""),"-",""),"*","")," ","")))</f>
        <v/>
      </c>
      <c r="K34" s="31" t="str">
        <f aca="false">IF(OR(H34="",J34=""),"",IF(LEN(J34)&gt;=13,IF(LEN(J34)=13,"0"&amp;J34,J34),SUBSTITUTE(SUBSTITUTE(SUBSTITUTE(SUBSTITUTE(SUBSTITUTE(SUBSTITUTE(SUBSTITUTE(SUBSTITUTE(SUBSTITUTE(SUBSTITUTE(SUBSTITUTE(SUBSTITUTE(SUBSTITUTE(UPPER(TRIM(H34)),"Á","A"),"À","A"),"Â","A"),"Ã","A"),"É","E"),"Ê","E"),"Í","I"),"Ó","O"),"Ô","O"),"Õ","O"),"Ú","U"),"Ü","U"),"Ç","C")&amp;"|"&amp;IF(LEN(J34)=11,MID(J34,4,6),J34)))</f>
        <v/>
      </c>
      <c r="L34" s="25" t="str">
        <f aca="false">IF(K34="","",IF(E34="Doação recebida",TRIM(IF(COUNTIF(Socios!$H:$H,K34)&gt;0,"Doador é sócio de empresa da pauta. ","")&amp;IF(COUNTIF(Pessoas!$E:$E,K34)&gt;0,"Doador está em Pessoas.","")),IF(E34="Despesa com fornecedor",IF(COUNTIF(Contratos!$D:$D,K34)&gt;0,"Fornecedor também tem contrato público",""),"")))</f>
        <v/>
      </c>
      <c r="M34" s="24"/>
      <c r="N34" s="11"/>
    </row>
    <row r="35" customFormat="false" ht="15" hidden="false" customHeight="false" outlineLevel="0" collapsed="false">
      <c r="A35" s="23"/>
      <c r="B35" s="31" t="str">
        <f aca="false">IF(A35="","",SUBSTITUTE(SUBSTITUTE(SUBSTITUTE(SUBSTITUTE(SUBSTITUTE(SUBSTITUTE(SUBSTITUTE(SUBSTITUTE(SUBSTITUTE(SUBSTITUTE(SUBSTITUTE(SUBSTITUTE(SUBSTITUTE(UPPER(TRIM(A35)),"Á","A"),"À","A"),"Â","A"),"Ã","A"),"É","E"),"Ê","E"),"Í","I"),"Ó","O"),"Ô","O"),"Õ","O"),"Ú","U"),"Ü","U"),"Ç","C"))</f>
        <v/>
      </c>
      <c r="C35" s="43"/>
      <c r="D35" s="23"/>
      <c r="E35" s="23"/>
      <c r="F35" s="11"/>
      <c r="G35" s="35"/>
      <c r="H35" s="23"/>
      <c r="I35" s="24"/>
      <c r="J35" s="31" t="str">
        <f aca="false">IF(I35="","",UPPER(SUBSTITUTE(SUBSTITUTE(SUBSTITUTE(SUBSTITUTE(SUBSTITUTE(TRIM(I35),".",""),"/",""),"-",""),"*","")," ","")))</f>
        <v/>
      </c>
      <c r="K35" s="31" t="str">
        <f aca="false">IF(OR(H35="",J35=""),"",IF(LEN(J35)&gt;=13,IF(LEN(J35)=13,"0"&amp;J35,J35),SUBSTITUTE(SUBSTITUTE(SUBSTITUTE(SUBSTITUTE(SUBSTITUTE(SUBSTITUTE(SUBSTITUTE(SUBSTITUTE(SUBSTITUTE(SUBSTITUTE(SUBSTITUTE(SUBSTITUTE(SUBSTITUTE(UPPER(TRIM(H35)),"Á","A"),"À","A"),"Â","A"),"Ã","A"),"É","E"),"Ê","E"),"Í","I"),"Ó","O"),"Ô","O"),"Õ","O"),"Ú","U"),"Ü","U"),"Ç","C")&amp;"|"&amp;IF(LEN(J35)=11,MID(J35,4,6),J35)))</f>
        <v/>
      </c>
      <c r="L35" s="25" t="str">
        <f aca="false">IF(K35="","",IF(E35="Doação recebida",TRIM(IF(COUNTIF(Socios!$H:$H,K35)&gt;0,"Doador é sócio de empresa da pauta. ","")&amp;IF(COUNTIF(Pessoas!$E:$E,K35)&gt;0,"Doador está em Pessoas.","")),IF(E35="Despesa com fornecedor",IF(COUNTIF(Contratos!$D:$D,K35)&gt;0,"Fornecedor também tem contrato público",""),"")))</f>
        <v/>
      </c>
      <c r="M35" s="24"/>
      <c r="N35" s="11"/>
    </row>
    <row r="36" customFormat="false" ht="15" hidden="false" customHeight="false" outlineLevel="0" collapsed="false">
      <c r="A36" s="23"/>
      <c r="B36" s="31" t="str">
        <f aca="false">IF(A36="","",SUBSTITUTE(SUBSTITUTE(SUBSTITUTE(SUBSTITUTE(SUBSTITUTE(SUBSTITUTE(SUBSTITUTE(SUBSTITUTE(SUBSTITUTE(SUBSTITUTE(SUBSTITUTE(SUBSTITUTE(SUBSTITUTE(UPPER(TRIM(A36)),"Á","A"),"À","A"),"Â","A"),"Ã","A"),"É","E"),"Ê","E"),"Í","I"),"Ó","O"),"Ô","O"),"Õ","O"),"Ú","U"),"Ü","U"),"Ç","C"))</f>
        <v/>
      </c>
      <c r="C36" s="43"/>
      <c r="D36" s="23"/>
      <c r="E36" s="23"/>
      <c r="F36" s="11"/>
      <c r="G36" s="35"/>
      <c r="H36" s="23"/>
      <c r="I36" s="24"/>
      <c r="J36" s="31" t="str">
        <f aca="false">IF(I36="","",UPPER(SUBSTITUTE(SUBSTITUTE(SUBSTITUTE(SUBSTITUTE(SUBSTITUTE(TRIM(I36),".",""),"/",""),"-",""),"*","")," ","")))</f>
        <v/>
      </c>
      <c r="K36" s="31" t="str">
        <f aca="false">IF(OR(H36="",J36=""),"",IF(LEN(J36)&gt;=13,IF(LEN(J36)=13,"0"&amp;J36,J36),SUBSTITUTE(SUBSTITUTE(SUBSTITUTE(SUBSTITUTE(SUBSTITUTE(SUBSTITUTE(SUBSTITUTE(SUBSTITUTE(SUBSTITUTE(SUBSTITUTE(SUBSTITUTE(SUBSTITUTE(SUBSTITUTE(UPPER(TRIM(H36)),"Á","A"),"À","A"),"Â","A"),"Ã","A"),"É","E"),"Ê","E"),"Í","I"),"Ó","O"),"Ô","O"),"Õ","O"),"Ú","U"),"Ü","U"),"Ç","C")&amp;"|"&amp;IF(LEN(J36)=11,MID(J36,4,6),J36)))</f>
        <v/>
      </c>
      <c r="L36" s="25" t="str">
        <f aca="false">IF(K36="","",IF(E36="Doação recebida",TRIM(IF(COUNTIF(Socios!$H:$H,K36)&gt;0,"Doador é sócio de empresa da pauta. ","")&amp;IF(COUNTIF(Pessoas!$E:$E,K36)&gt;0,"Doador está em Pessoas.","")),IF(E36="Despesa com fornecedor",IF(COUNTIF(Contratos!$D:$D,K36)&gt;0,"Fornecedor também tem contrato público",""),"")))</f>
        <v/>
      </c>
      <c r="M36" s="24"/>
      <c r="N36" s="11"/>
    </row>
    <row r="37" customFormat="false" ht="15" hidden="false" customHeight="false" outlineLevel="0" collapsed="false">
      <c r="A37" s="23"/>
      <c r="B37" s="31" t="str">
        <f aca="false">IF(A37="","",SUBSTITUTE(SUBSTITUTE(SUBSTITUTE(SUBSTITUTE(SUBSTITUTE(SUBSTITUTE(SUBSTITUTE(SUBSTITUTE(SUBSTITUTE(SUBSTITUTE(SUBSTITUTE(SUBSTITUTE(SUBSTITUTE(UPPER(TRIM(A37)),"Á","A"),"À","A"),"Â","A"),"Ã","A"),"É","E"),"Ê","E"),"Í","I"),"Ó","O"),"Ô","O"),"Õ","O"),"Ú","U"),"Ü","U"),"Ç","C"))</f>
        <v/>
      </c>
      <c r="C37" s="43"/>
      <c r="D37" s="23"/>
      <c r="E37" s="23"/>
      <c r="F37" s="11"/>
      <c r="G37" s="35"/>
      <c r="H37" s="23"/>
      <c r="I37" s="24"/>
      <c r="J37" s="31" t="str">
        <f aca="false">IF(I37="","",UPPER(SUBSTITUTE(SUBSTITUTE(SUBSTITUTE(SUBSTITUTE(SUBSTITUTE(TRIM(I37),".",""),"/",""),"-",""),"*","")," ","")))</f>
        <v/>
      </c>
      <c r="K37" s="31" t="str">
        <f aca="false">IF(OR(H37="",J37=""),"",IF(LEN(J37)&gt;=13,IF(LEN(J37)=13,"0"&amp;J37,J37),SUBSTITUTE(SUBSTITUTE(SUBSTITUTE(SUBSTITUTE(SUBSTITUTE(SUBSTITUTE(SUBSTITUTE(SUBSTITUTE(SUBSTITUTE(SUBSTITUTE(SUBSTITUTE(SUBSTITUTE(SUBSTITUTE(UPPER(TRIM(H37)),"Á","A"),"À","A"),"Â","A"),"Ã","A"),"É","E"),"Ê","E"),"Í","I"),"Ó","O"),"Ô","O"),"Õ","O"),"Ú","U"),"Ü","U"),"Ç","C")&amp;"|"&amp;IF(LEN(J37)=11,MID(J37,4,6),J37)))</f>
        <v/>
      </c>
      <c r="L37" s="25" t="str">
        <f aca="false">IF(K37="","",IF(E37="Doação recebida",TRIM(IF(COUNTIF(Socios!$H:$H,K37)&gt;0,"Doador é sócio de empresa da pauta. ","")&amp;IF(COUNTIF(Pessoas!$E:$E,K37)&gt;0,"Doador está em Pessoas.","")),IF(E37="Despesa com fornecedor",IF(COUNTIF(Contratos!$D:$D,K37)&gt;0,"Fornecedor também tem contrato público",""),"")))</f>
        <v/>
      </c>
      <c r="M37" s="24"/>
      <c r="N37" s="11"/>
    </row>
    <row r="38" customFormat="false" ht="15" hidden="false" customHeight="false" outlineLevel="0" collapsed="false">
      <c r="A38" s="23"/>
      <c r="B38" s="31" t="str">
        <f aca="false">IF(A38="","",SUBSTITUTE(SUBSTITUTE(SUBSTITUTE(SUBSTITUTE(SUBSTITUTE(SUBSTITUTE(SUBSTITUTE(SUBSTITUTE(SUBSTITUTE(SUBSTITUTE(SUBSTITUTE(SUBSTITUTE(SUBSTITUTE(UPPER(TRIM(A38)),"Á","A"),"À","A"),"Â","A"),"Ã","A"),"É","E"),"Ê","E"),"Í","I"),"Ó","O"),"Ô","O"),"Õ","O"),"Ú","U"),"Ü","U"),"Ç","C"))</f>
        <v/>
      </c>
      <c r="C38" s="43"/>
      <c r="D38" s="23"/>
      <c r="E38" s="23"/>
      <c r="F38" s="11"/>
      <c r="G38" s="35"/>
      <c r="H38" s="23"/>
      <c r="I38" s="24"/>
      <c r="J38" s="31" t="str">
        <f aca="false">IF(I38="","",UPPER(SUBSTITUTE(SUBSTITUTE(SUBSTITUTE(SUBSTITUTE(SUBSTITUTE(TRIM(I38),".",""),"/",""),"-",""),"*","")," ","")))</f>
        <v/>
      </c>
      <c r="K38" s="31" t="str">
        <f aca="false">IF(OR(H38="",J38=""),"",IF(LEN(J38)&gt;=13,IF(LEN(J38)=13,"0"&amp;J38,J38),SUBSTITUTE(SUBSTITUTE(SUBSTITUTE(SUBSTITUTE(SUBSTITUTE(SUBSTITUTE(SUBSTITUTE(SUBSTITUTE(SUBSTITUTE(SUBSTITUTE(SUBSTITUTE(SUBSTITUTE(SUBSTITUTE(UPPER(TRIM(H38)),"Á","A"),"À","A"),"Â","A"),"Ã","A"),"É","E"),"Ê","E"),"Í","I"),"Ó","O"),"Ô","O"),"Õ","O"),"Ú","U"),"Ü","U"),"Ç","C")&amp;"|"&amp;IF(LEN(J38)=11,MID(J38,4,6),J38)))</f>
        <v/>
      </c>
      <c r="L38" s="25" t="str">
        <f aca="false">IF(K38="","",IF(E38="Doação recebida",TRIM(IF(COUNTIF(Socios!$H:$H,K38)&gt;0,"Doador é sócio de empresa da pauta. ","")&amp;IF(COUNTIF(Pessoas!$E:$E,K38)&gt;0,"Doador está em Pessoas.","")),IF(E38="Despesa com fornecedor",IF(COUNTIF(Contratos!$D:$D,K38)&gt;0,"Fornecedor também tem contrato público",""),"")))</f>
        <v/>
      </c>
      <c r="M38" s="24"/>
      <c r="N38" s="11"/>
    </row>
    <row r="39" customFormat="false" ht="15" hidden="false" customHeight="false" outlineLevel="0" collapsed="false">
      <c r="A39" s="23"/>
      <c r="B39" s="31" t="str">
        <f aca="false">IF(A39="","",SUBSTITUTE(SUBSTITUTE(SUBSTITUTE(SUBSTITUTE(SUBSTITUTE(SUBSTITUTE(SUBSTITUTE(SUBSTITUTE(SUBSTITUTE(SUBSTITUTE(SUBSTITUTE(SUBSTITUTE(SUBSTITUTE(UPPER(TRIM(A39)),"Á","A"),"À","A"),"Â","A"),"Ã","A"),"É","E"),"Ê","E"),"Í","I"),"Ó","O"),"Ô","O"),"Õ","O"),"Ú","U"),"Ü","U"),"Ç","C"))</f>
        <v/>
      </c>
      <c r="C39" s="43"/>
      <c r="D39" s="23"/>
      <c r="E39" s="23"/>
      <c r="F39" s="11"/>
      <c r="G39" s="35"/>
      <c r="H39" s="23"/>
      <c r="I39" s="24"/>
      <c r="J39" s="31" t="str">
        <f aca="false">IF(I39="","",UPPER(SUBSTITUTE(SUBSTITUTE(SUBSTITUTE(SUBSTITUTE(SUBSTITUTE(TRIM(I39),".",""),"/",""),"-",""),"*","")," ","")))</f>
        <v/>
      </c>
      <c r="K39" s="31" t="str">
        <f aca="false">IF(OR(H39="",J39=""),"",IF(LEN(J39)&gt;=13,IF(LEN(J39)=13,"0"&amp;J39,J39),SUBSTITUTE(SUBSTITUTE(SUBSTITUTE(SUBSTITUTE(SUBSTITUTE(SUBSTITUTE(SUBSTITUTE(SUBSTITUTE(SUBSTITUTE(SUBSTITUTE(SUBSTITUTE(SUBSTITUTE(SUBSTITUTE(UPPER(TRIM(H39)),"Á","A"),"À","A"),"Â","A"),"Ã","A"),"É","E"),"Ê","E"),"Í","I"),"Ó","O"),"Ô","O"),"Õ","O"),"Ú","U"),"Ü","U"),"Ç","C")&amp;"|"&amp;IF(LEN(J39)=11,MID(J39,4,6),J39)))</f>
        <v/>
      </c>
      <c r="L39" s="25" t="str">
        <f aca="false">IF(K39="","",IF(E39="Doação recebida",TRIM(IF(COUNTIF(Socios!$H:$H,K39)&gt;0,"Doador é sócio de empresa da pauta. ","")&amp;IF(COUNTIF(Pessoas!$E:$E,K39)&gt;0,"Doador está em Pessoas.","")),IF(E39="Despesa com fornecedor",IF(COUNTIF(Contratos!$D:$D,K39)&gt;0,"Fornecedor também tem contrato público",""),"")))</f>
        <v/>
      </c>
      <c r="M39" s="24"/>
      <c r="N39" s="11"/>
    </row>
    <row r="40" customFormat="false" ht="15" hidden="false" customHeight="false" outlineLevel="0" collapsed="false">
      <c r="A40" s="23"/>
      <c r="B40" s="31" t="str">
        <f aca="false">IF(A40="","",SUBSTITUTE(SUBSTITUTE(SUBSTITUTE(SUBSTITUTE(SUBSTITUTE(SUBSTITUTE(SUBSTITUTE(SUBSTITUTE(SUBSTITUTE(SUBSTITUTE(SUBSTITUTE(SUBSTITUTE(SUBSTITUTE(UPPER(TRIM(A40)),"Á","A"),"À","A"),"Â","A"),"Ã","A"),"É","E"),"Ê","E"),"Í","I"),"Ó","O"),"Ô","O"),"Õ","O"),"Ú","U"),"Ü","U"),"Ç","C"))</f>
        <v/>
      </c>
      <c r="C40" s="43"/>
      <c r="D40" s="23"/>
      <c r="E40" s="23"/>
      <c r="F40" s="11"/>
      <c r="G40" s="35"/>
      <c r="H40" s="23"/>
      <c r="I40" s="24"/>
      <c r="J40" s="31" t="str">
        <f aca="false">IF(I40="","",UPPER(SUBSTITUTE(SUBSTITUTE(SUBSTITUTE(SUBSTITUTE(SUBSTITUTE(TRIM(I40),".",""),"/",""),"-",""),"*","")," ","")))</f>
        <v/>
      </c>
      <c r="K40" s="31" t="str">
        <f aca="false">IF(OR(H40="",J40=""),"",IF(LEN(J40)&gt;=13,IF(LEN(J40)=13,"0"&amp;J40,J40),SUBSTITUTE(SUBSTITUTE(SUBSTITUTE(SUBSTITUTE(SUBSTITUTE(SUBSTITUTE(SUBSTITUTE(SUBSTITUTE(SUBSTITUTE(SUBSTITUTE(SUBSTITUTE(SUBSTITUTE(SUBSTITUTE(UPPER(TRIM(H40)),"Á","A"),"À","A"),"Â","A"),"Ã","A"),"É","E"),"Ê","E"),"Í","I"),"Ó","O"),"Ô","O"),"Õ","O"),"Ú","U"),"Ü","U"),"Ç","C")&amp;"|"&amp;IF(LEN(J40)=11,MID(J40,4,6),J40)))</f>
        <v/>
      </c>
      <c r="L40" s="25" t="str">
        <f aca="false">IF(K40="","",IF(E40="Doação recebida",TRIM(IF(COUNTIF(Socios!$H:$H,K40)&gt;0,"Doador é sócio de empresa da pauta. ","")&amp;IF(COUNTIF(Pessoas!$E:$E,K40)&gt;0,"Doador está em Pessoas.","")),IF(E40="Despesa com fornecedor",IF(COUNTIF(Contratos!$D:$D,K40)&gt;0,"Fornecedor também tem contrato público",""),"")))</f>
        <v/>
      </c>
      <c r="M40" s="24"/>
      <c r="N40" s="11"/>
    </row>
    <row r="41" customFormat="false" ht="15" hidden="false" customHeight="false" outlineLevel="0" collapsed="false">
      <c r="A41" s="23"/>
      <c r="B41" s="31" t="str">
        <f aca="false">IF(A41="","",SUBSTITUTE(SUBSTITUTE(SUBSTITUTE(SUBSTITUTE(SUBSTITUTE(SUBSTITUTE(SUBSTITUTE(SUBSTITUTE(SUBSTITUTE(SUBSTITUTE(SUBSTITUTE(SUBSTITUTE(SUBSTITUTE(UPPER(TRIM(A41)),"Á","A"),"À","A"),"Â","A"),"Ã","A"),"É","E"),"Ê","E"),"Í","I"),"Ó","O"),"Ô","O"),"Õ","O"),"Ú","U"),"Ü","U"),"Ç","C"))</f>
        <v/>
      </c>
      <c r="C41" s="43"/>
      <c r="D41" s="23"/>
      <c r="E41" s="23"/>
      <c r="F41" s="11"/>
      <c r="G41" s="35"/>
      <c r="H41" s="23"/>
      <c r="I41" s="24"/>
      <c r="J41" s="31" t="str">
        <f aca="false">IF(I41="","",UPPER(SUBSTITUTE(SUBSTITUTE(SUBSTITUTE(SUBSTITUTE(SUBSTITUTE(TRIM(I41),".",""),"/",""),"-",""),"*","")," ","")))</f>
        <v/>
      </c>
      <c r="K41" s="31" t="str">
        <f aca="false">IF(OR(H41="",J41=""),"",IF(LEN(J41)&gt;=13,IF(LEN(J41)=13,"0"&amp;J41,J41),SUBSTITUTE(SUBSTITUTE(SUBSTITUTE(SUBSTITUTE(SUBSTITUTE(SUBSTITUTE(SUBSTITUTE(SUBSTITUTE(SUBSTITUTE(SUBSTITUTE(SUBSTITUTE(SUBSTITUTE(SUBSTITUTE(UPPER(TRIM(H41)),"Á","A"),"À","A"),"Â","A"),"Ã","A"),"É","E"),"Ê","E"),"Í","I"),"Ó","O"),"Ô","O"),"Õ","O"),"Ú","U"),"Ü","U"),"Ç","C")&amp;"|"&amp;IF(LEN(J41)=11,MID(J41,4,6),J41)))</f>
        <v/>
      </c>
      <c r="L41" s="25" t="str">
        <f aca="false">IF(K41="","",IF(E41="Doação recebida",TRIM(IF(COUNTIF(Socios!$H:$H,K41)&gt;0,"Doador é sócio de empresa da pauta. ","")&amp;IF(COUNTIF(Pessoas!$E:$E,K41)&gt;0,"Doador está em Pessoas.","")),IF(E41="Despesa com fornecedor",IF(COUNTIF(Contratos!$D:$D,K41)&gt;0,"Fornecedor também tem contrato público",""),"")))</f>
        <v/>
      </c>
      <c r="M41" s="24"/>
      <c r="N41" s="11"/>
    </row>
    <row r="42" customFormat="false" ht="15" hidden="false" customHeight="false" outlineLevel="0" collapsed="false">
      <c r="A42" s="23"/>
      <c r="B42" s="31" t="str">
        <f aca="false">IF(A42="","",SUBSTITUTE(SUBSTITUTE(SUBSTITUTE(SUBSTITUTE(SUBSTITUTE(SUBSTITUTE(SUBSTITUTE(SUBSTITUTE(SUBSTITUTE(SUBSTITUTE(SUBSTITUTE(SUBSTITUTE(SUBSTITUTE(UPPER(TRIM(A42)),"Á","A"),"À","A"),"Â","A"),"Ã","A"),"É","E"),"Ê","E"),"Í","I"),"Ó","O"),"Ô","O"),"Õ","O"),"Ú","U"),"Ü","U"),"Ç","C"))</f>
        <v/>
      </c>
      <c r="C42" s="43"/>
      <c r="D42" s="23"/>
      <c r="E42" s="23"/>
      <c r="F42" s="11"/>
      <c r="G42" s="35"/>
      <c r="H42" s="23"/>
      <c r="I42" s="24"/>
      <c r="J42" s="31" t="str">
        <f aca="false">IF(I42="","",UPPER(SUBSTITUTE(SUBSTITUTE(SUBSTITUTE(SUBSTITUTE(SUBSTITUTE(TRIM(I42),".",""),"/",""),"-",""),"*","")," ","")))</f>
        <v/>
      </c>
      <c r="K42" s="31" t="str">
        <f aca="false">IF(OR(H42="",J42=""),"",IF(LEN(J42)&gt;=13,IF(LEN(J42)=13,"0"&amp;J42,J42),SUBSTITUTE(SUBSTITUTE(SUBSTITUTE(SUBSTITUTE(SUBSTITUTE(SUBSTITUTE(SUBSTITUTE(SUBSTITUTE(SUBSTITUTE(SUBSTITUTE(SUBSTITUTE(SUBSTITUTE(SUBSTITUTE(UPPER(TRIM(H42)),"Á","A"),"À","A"),"Â","A"),"Ã","A"),"É","E"),"Ê","E"),"Í","I"),"Ó","O"),"Ô","O"),"Õ","O"),"Ú","U"),"Ü","U"),"Ç","C")&amp;"|"&amp;IF(LEN(J42)=11,MID(J42,4,6),J42)))</f>
        <v/>
      </c>
      <c r="L42" s="25" t="str">
        <f aca="false">IF(K42="","",IF(E42="Doação recebida",TRIM(IF(COUNTIF(Socios!$H:$H,K42)&gt;0,"Doador é sócio de empresa da pauta. ","")&amp;IF(COUNTIF(Pessoas!$E:$E,K42)&gt;0,"Doador está em Pessoas.","")),IF(E42="Despesa com fornecedor",IF(COUNTIF(Contratos!$D:$D,K42)&gt;0,"Fornecedor também tem contrato público",""),"")))</f>
        <v/>
      </c>
      <c r="M42" s="24"/>
      <c r="N42" s="11"/>
    </row>
    <row r="43" customFormat="false" ht="15" hidden="false" customHeight="false" outlineLevel="0" collapsed="false">
      <c r="A43" s="23"/>
      <c r="B43" s="31" t="str">
        <f aca="false">IF(A43="","",SUBSTITUTE(SUBSTITUTE(SUBSTITUTE(SUBSTITUTE(SUBSTITUTE(SUBSTITUTE(SUBSTITUTE(SUBSTITUTE(SUBSTITUTE(SUBSTITUTE(SUBSTITUTE(SUBSTITUTE(SUBSTITUTE(UPPER(TRIM(A43)),"Á","A"),"À","A"),"Â","A"),"Ã","A"),"É","E"),"Ê","E"),"Í","I"),"Ó","O"),"Ô","O"),"Õ","O"),"Ú","U"),"Ü","U"),"Ç","C"))</f>
        <v/>
      </c>
      <c r="C43" s="43"/>
      <c r="D43" s="23"/>
      <c r="E43" s="23"/>
      <c r="F43" s="11"/>
      <c r="G43" s="35"/>
      <c r="H43" s="23"/>
      <c r="I43" s="24"/>
      <c r="J43" s="31" t="str">
        <f aca="false">IF(I43="","",UPPER(SUBSTITUTE(SUBSTITUTE(SUBSTITUTE(SUBSTITUTE(SUBSTITUTE(TRIM(I43),".",""),"/",""),"-",""),"*","")," ","")))</f>
        <v/>
      </c>
      <c r="K43" s="31" t="str">
        <f aca="false">IF(OR(H43="",J43=""),"",IF(LEN(J43)&gt;=13,IF(LEN(J43)=13,"0"&amp;J43,J43),SUBSTITUTE(SUBSTITUTE(SUBSTITUTE(SUBSTITUTE(SUBSTITUTE(SUBSTITUTE(SUBSTITUTE(SUBSTITUTE(SUBSTITUTE(SUBSTITUTE(SUBSTITUTE(SUBSTITUTE(SUBSTITUTE(UPPER(TRIM(H43)),"Á","A"),"À","A"),"Â","A"),"Ã","A"),"É","E"),"Ê","E"),"Í","I"),"Ó","O"),"Ô","O"),"Õ","O"),"Ú","U"),"Ü","U"),"Ç","C")&amp;"|"&amp;IF(LEN(J43)=11,MID(J43,4,6),J43)))</f>
        <v/>
      </c>
      <c r="L43" s="25" t="str">
        <f aca="false">IF(K43="","",IF(E43="Doação recebida",TRIM(IF(COUNTIF(Socios!$H:$H,K43)&gt;0,"Doador é sócio de empresa da pauta. ","")&amp;IF(COUNTIF(Pessoas!$E:$E,K43)&gt;0,"Doador está em Pessoas.","")),IF(E43="Despesa com fornecedor",IF(COUNTIF(Contratos!$D:$D,K43)&gt;0,"Fornecedor também tem contrato público",""),"")))</f>
        <v/>
      </c>
      <c r="M43" s="24"/>
      <c r="N43" s="11"/>
    </row>
    <row r="44" customFormat="false" ht="15" hidden="false" customHeight="false" outlineLevel="0" collapsed="false">
      <c r="A44" s="23"/>
      <c r="B44" s="31" t="str">
        <f aca="false">IF(A44="","",SUBSTITUTE(SUBSTITUTE(SUBSTITUTE(SUBSTITUTE(SUBSTITUTE(SUBSTITUTE(SUBSTITUTE(SUBSTITUTE(SUBSTITUTE(SUBSTITUTE(SUBSTITUTE(SUBSTITUTE(SUBSTITUTE(UPPER(TRIM(A44)),"Á","A"),"À","A"),"Â","A"),"Ã","A"),"É","E"),"Ê","E"),"Í","I"),"Ó","O"),"Ô","O"),"Õ","O"),"Ú","U"),"Ü","U"),"Ç","C"))</f>
        <v/>
      </c>
      <c r="C44" s="43"/>
      <c r="D44" s="23"/>
      <c r="E44" s="23"/>
      <c r="F44" s="11"/>
      <c r="G44" s="35"/>
      <c r="H44" s="23"/>
      <c r="I44" s="24"/>
      <c r="J44" s="31" t="str">
        <f aca="false">IF(I44="","",UPPER(SUBSTITUTE(SUBSTITUTE(SUBSTITUTE(SUBSTITUTE(SUBSTITUTE(TRIM(I44),".",""),"/",""),"-",""),"*","")," ","")))</f>
        <v/>
      </c>
      <c r="K44" s="31" t="str">
        <f aca="false">IF(OR(H44="",J44=""),"",IF(LEN(J44)&gt;=13,IF(LEN(J44)=13,"0"&amp;J44,J44),SUBSTITUTE(SUBSTITUTE(SUBSTITUTE(SUBSTITUTE(SUBSTITUTE(SUBSTITUTE(SUBSTITUTE(SUBSTITUTE(SUBSTITUTE(SUBSTITUTE(SUBSTITUTE(SUBSTITUTE(SUBSTITUTE(UPPER(TRIM(H44)),"Á","A"),"À","A"),"Â","A"),"Ã","A"),"É","E"),"Ê","E"),"Í","I"),"Ó","O"),"Ô","O"),"Õ","O"),"Ú","U"),"Ü","U"),"Ç","C")&amp;"|"&amp;IF(LEN(J44)=11,MID(J44,4,6),J44)))</f>
        <v/>
      </c>
      <c r="L44" s="25" t="str">
        <f aca="false">IF(K44="","",IF(E44="Doação recebida",TRIM(IF(COUNTIF(Socios!$H:$H,K44)&gt;0,"Doador é sócio de empresa da pauta. ","")&amp;IF(COUNTIF(Pessoas!$E:$E,K44)&gt;0,"Doador está em Pessoas.","")),IF(E44="Despesa com fornecedor",IF(COUNTIF(Contratos!$D:$D,K44)&gt;0,"Fornecedor também tem contrato público",""),"")))</f>
        <v/>
      </c>
      <c r="M44" s="24"/>
      <c r="N44" s="11"/>
    </row>
    <row r="45" customFormat="false" ht="15" hidden="false" customHeight="false" outlineLevel="0" collapsed="false">
      <c r="A45" s="23"/>
      <c r="B45" s="31" t="str">
        <f aca="false">IF(A45="","",SUBSTITUTE(SUBSTITUTE(SUBSTITUTE(SUBSTITUTE(SUBSTITUTE(SUBSTITUTE(SUBSTITUTE(SUBSTITUTE(SUBSTITUTE(SUBSTITUTE(SUBSTITUTE(SUBSTITUTE(SUBSTITUTE(UPPER(TRIM(A45)),"Á","A"),"À","A"),"Â","A"),"Ã","A"),"É","E"),"Ê","E"),"Í","I"),"Ó","O"),"Ô","O"),"Õ","O"),"Ú","U"),"Ü","U"),"Ç","C"))</f>
        <v/>
      </c>
      <c r="C45" s="43"/>
      <c r="D45" s="23"/>
      <c r="E45" s="23"/>
      <c r="F45" s="11"/>
      <c r="G45" s="35"/>
      <c r="H45" s="23"/>
      <c r="I45" s="24"/>
      <c r="J45" s="31" t="str">
        <f aca="false">IF(I45="","",UPPER(SUBSTITUTE(SUBSTITUTE(SUBSTITUTE(SUBSTITUTE(SUBSTITUTE(TRIM(I45),".",""),"/",""),"-",""),"*","")," ","")))</f>
        <v/>
      </c>
      <c r="K45" s="31" t="str">
        <f aca="false">IF(OR(H45="",J45=""),"",IF(LEN(J45)&gt;=13,IF(LEN(J45)=13,"0"&amp;J45,J45),SUBSTITUTE(SUBSTITUTE(SUBSTITUTE(SUBSTITUTE(SUBSTITUTE(SUBSTITUTE(SUBSTITUTE(SUBSTITUTE(SUBSTITUTE(SUBSTITUTE(SUBSTITUTE(SUBSTITUTE(SUBSTITUTE(UPPER(TRIM(H45)),"Á","A"),"À","A"),"Â","A"),"Ã","A"),"É","E"),"Ê","E"),"Í","I"),"Ó","O"),"Ô","O"),"Õ","O"),"Ú","U"),"Ü","U"),"Ç","C")&amp;"|"&amp;IF(LEN(J45)=11,MID(J45,4,6),J45)))</f>
        <v/>
      </c>
      <c r="L45" s="25" t="str">
        <f aca="false">IF(K45="","",IF(E45="Doação recebida",TRIM(IF(COUNTIF(Socios!$H:$H,K45)&gt;0,"Doador é sócio de empresa da pauta. ","")&amp;IF(COUNTIF(Pessoas!$E:$E,K45)&gt;0,"Doador está em Pessoas.","")),IF(E45="Despesa com fornecedor",IF(COUNTIF(Contratos!$D:$D,K45)&gt;0,"Fornecedor também tem contrato público",""),"")))</f>
        <v/>
      </c>
      <c r="M45" s="24"/>
      <c r="N45" s="11"/>
    </row>
    <row r="46" customFormat="false" ht="15" hidden="false" customHeight="false" outlineLevel="0" collapsed="false">
      <c r="A46" s="23"/>
      <c r="B46" s="31" t="str">
        <f aca="false">IF(A46="","",SUBSTITUTE(SUBSTITUTE(SUBSTITUTE(SUBSTITUTE(SUBSTITUTE(SUBSTITUTE(SUBSTITUTE(SUBSTITUTE(SUBSTITUTE(SUBSTITUTE(SUBSTITUTE(SUBSTITUTE(SUBSTITUTE(UPPER(TRIM(A46)),"Á","A"),"À","A"),"Â","A"),"Ã","A"),"É","E"),"Ê","E"),"Í","I"),"Ó","O"),"Ô","O"),"Õ","O"),"Ú","U"),"Ü","U"),"Ç","C"))</f>
        <v/>
      </c>
      <c r="C46" s="43"/>
      <c r="D46" s="23"/>
      <c r="E46" s="23"/>
      <c r="F46" s="11"/>
      <c r="G46" s="35"/>
      <c r="H46" s="23"/>
      <c r="I46" s="24"/>
      <c r="J46" s="31" t="str">
        <f aca="false">IF(I46="","",UPPER(SUBSTITUTE(SUBSTITUTE(SUBSTITUTE(SUBSTITUTE(SUBSTITUTE(TRIM(I46),".",""),"/",""),"-",""),"*","")," ","")))</f>
        <v/>
      </c>
      <c r="K46" s="31" t="str">
        <f aca="false">IF(OR(H46="",J46=""),"",IF(LEN(J46)&gt;=13,IF(LEN(J46)=13,"0"&amp;J46,J46),SUBSTITUTE(SUBSTITUTE(SUBSTITUTE(SUBSTITUTE(SUBSTITUTE(SUBSTITUTE(SUBSTITUTE(SUBSTITUTE(SUBSTITUTE(SUBSTITUTE(SUBSTITUTE(SUBSTITUTE(SUBSTITUTE(UPPER(TRIM(H46)),"Á","A"),"À","A"),"Â","A"),"Ã","A"),"É","E"),"Ê","E"),"Í","I"),"Ó","O"),"Ô","O"),"Õ","O"),"Ú","U"),"Ü","U"),"Ç","C")&amp;"|"&amp;IF(LEN(J46)=11,MID(J46,4,6),J46)))</f>
        <v/>
      </c>
      <c r="L46" s="25" t="str">
        <f aca="false">IF(K46="","",IF(E46="Doação recebida",TRIM(IF(COUNTIF(Socios!$H:$H,K46)&gt;0,"Doador é sócio de empresa da pauta. ","")&amp;IF(COUNTIF(Pessoas!$E:$E,K46)&gt;0,"Doador está em Pessoas.","")),IF(E46="Despesa com fornecedor",IF(COUNTIF(Contratos!$D:$D,K46)&gt;0,"Fornecedor também tem contrato público",""),"")))</f>
        <v/>
      </c>
      <c r="M46" s="24"/>
      <c r="N46" s="11"/>
    </row>
    <row r="47" customFormat="false" ht="15" hidden="false" customHeight="false" outlineLevel="0" collapsed="false">
      <c r="A47" s="23"/>
      <c r="B47" s="31" t="str">
        <f aca="false">IF(A47="","",SUBSTITUTE(SUBSTITUTE(SUBSTITUTE(SUBSTITUTE(SUBSTITUTE(SUBSTITUTE(SUBSTITUTE(SUBSTITUTE(SUBSTITUTE(SUBSTITUTE(SUBSTITUTE(SUBSTITUTE(SUBSTITUTE(UPPER(TRIM(A47)),"Á","A"),"À","A"),"Â","A"),"Ã","A"),"É","E"),"Ê","E"),"Í","I"),"Ó","O"),"Ô","O"),"Õ","O"),"Ú","U"),"Ü","U"),"Ç","C"))</f>
        <v/>
      </c>
      <c r="C47" s="43"/>
      <c r="D47" s="23"/>
      <c r="E47" s="23"/>
      <c r="F47" s="11"/>
      <c r="G47" s="35"/>
      <c r="H47" s="23"/>
      <c r="I47" s="24"/>
      <c r="J47" s="31" t="str">
        <f aca="false">IF(I47="","",UPPER(SUBSTITUTE(SUBSTITUTE(SUBSTITUTE(SUBSTITUTE(SUBSTITUTE(TRIM(I47),".",""),"/",""),"-",""),"*","")," ","")))</f>
        <v/>
      </c>
      <c r="K47" s="31" t="str">
        <f aca="false">IF(OR(H47="",J47=""),"",IF(LEN(J47)&gt;=13,IF(LEN(J47)=13,"0"&amp;J47,J47),SUBSTITUTE(SUBSTITUTE(SUBSTITUTE(SUBSTITUTE(SUBSTITUTE(SUBSTITUTE(SUBSTITUTE(SUBSTITUTE(SUBSTITUTE(SUBSTITUTE(SUBSTITUTE(SUBSTITUTE(SUBSTITUTE(UPPER(TRIM(H47)),"Á","A"),"À","A"),"Â","A"),"Ã","A"),"É","E"),"Ê","E"),"Í","I"),"Ó","O"),"Ô","O"),"Õ","O"),"Ú","U"),"Ü","U"),"Ç","C")&amp;"|"&amp;IF(LEN(J47)=11,MID(J47,4,6),J47)))</f>
        <v/>
      </c>
      <c r="L47" s="25" t="str">
        <f aca="false">IF(K47="","",IF(E47="Doação recebida",TRIM(IF(COUNTIF(Socios!$H:$H,K47)&gt;0,"Doador é sócio de empresa da pauta. ","")&amp;IF(COUNTIF(Pessoas!$E:$E,K47)&gt;0,"Doador está em Pessoas.","")),IF(E47="Despesa com fornecedor",IF(COUNTIF(Contratos!$D:$D,K47)&gt;0,"Fornecedor também tem contrato público",""),"")))</f>
        <v/>
      </c>
      <c r="M47" s="24"/>
      <c r="N47" s="11"/>
    </row>
    <row r="48" customFormat="false" ht="15" hidden="false" customHeight="false" outlineLevel="0" collapsed="false">
      <c r="A48" s="23"/>
      <c r="B48" s="31" t="str">
        <f aca="false">IF(A48="","",SUBSTITUTE(SUBSTITUTE(SUBSTITUTE(SUBSTITUTE(SUBSTITUTE(SUBSTITUTE(SUBSTITUTE(SUBSTITUTE(SUBSTITUTE(SUBSTITUTE(SUBSTITUTE(SUBSTITUTE(SUBSTITUTE(UPPER(TRIM(A48)),"Á","A"),"À","A"),"Â","A"),"Ã","A"),"É","E"),"Ê","E"),"Í","I"),"Ó","O"),"Ô","O"),"Õ","O"),"Ú","U"),"Ü","U"),"Ç","C"))</f>
        <v/>
      </c>
      <c r="C48" s="43"/>
      <c r="D48" s="23"/>
      <c r="E48" s="23"/>
      <c r="F48" s="11"/>
      <c r="G48" s="35"/>
      <c r="H48" s="23"/>
      <c r="I48" s="24"/>
      <c r="J48" s="31" t="str">
        <f aca="false">IF(I48="","",UPPER(SUBSTITUTE(SUBSTITUTE(SUBSTITUTE(SUBSTITUTE(SUBSTITUTE(TRIM(I48),".",""),"/",""),"-",""),"*","")," ","")))</f>
        <v/>
      </c>
      <c r="K48" s="31" t="str">
        <f aca="false">IF(OR(H48="",J48=""),"",IF(LEN(J48)&gt;=13,IF(LEN(J48)=13,"0"&amp;J48,J48),SUBSTITUTE(SUBSTITUTE(SUBSTITUTE(SUBSTITUTE(SUBSTITUTE(SUBSTITUTE(SUBSTITUTE(SUBSTITUTE(SUBSTITUTE(SUBSTITUTE(SUBSTITUTE(SUBSTITUTE(SUBSTITUTE(UPPER(TRIM(H48)),"Á","A"),"À","A"),"Â","A"),"Ã","A"),"É","E"),"Ê","E"),"Í","I"),"Ó","O"),"Ô","O"),"Õ","O"),"Ú","U"),"Ü","U"),"Ç","C")&amp;"|"&amp;IF(LEN(J48)=11,MID(J48,4,6),J48)))</f>
        <v/>
      </c>
      <c r="L48" s="25" t="str">
        <f aca="false">IF(K48="","",IF(E48="Doação recebida",TRIM(IF(COUNTIF(Socios!$H:$H,K48)&gt;0,"Doador é sócio de empresa da pauta. ","")&amp;IF(COUNTIF(Pessoas!$E:$E,K48)&gt;0,"Doador está em Pessoas.","")),IF(E48="Despesa com fornecedor",IF(COUNTIF(Contratos!$D:$D,K48)&gt;0,"Fornecedor também tem contrato público",""),"")))</f>
        <v/>
      </c>
      <c r="M48" s="24"/>
      <c r="N48" s="11"/>
    </row>
    <row r="49" customFormat="false" ht="15" hidden="false" customHeight="false" outlineLevel="0" collapsed="false">
      <c r="A49" s="23"/>
      <c r="B49" s="31" t="str">
        <f aca="false">IF(A49="","",SUBSTITUTE(SUBSTITUTE(SUBSTITUTE(SUBSTITUTE(SUBSTITUTE(SUBSTITUTE(SUBSTITUTE(SUBSTITUTE(SUBSTITUTE(SUBSTITUTE(SUBSTITUTE(SUBSTITUTE(SUBSTITUTE(UPPER(TRIM(A49)),"Á","A"),"À","A"),"Â","A"),"Ã","A"),"É","E"),"Ê","E"),"Í","I"),"Ó","O"),"Ô","O"),"Õ","O"),"Ú","U"),"Ü","U"),"Ç","C"))</f>
        <v/>
      </c>
      <c r="C49" s="43"/>
      <c r="D49" s="23"/>
      <c r="E49" s="23"/>
      <c r="F49" s="11"/>
      <c r="G49" s="35"/>
      <c r="H49" s="23"/>
      <c r="I49" s="24"/>
      <c r="J49" s="31" t="str">
        <f aca="false">IF(I49="","",UPPER(SUBSTITUTE(SUBSTITUTE(SUBSTITUTE(SUBSTITUTE(SUBSTITUTE(TRIM(I49),".",""),"/",""),"-",""),"*","")," ","")))</f>
        <v/>
      </c>
      <c r="K49" s="31" t="str">
        <f aca="false">IF(OR(H49="",J49=""),"",IF(LEN(J49)&gt;=13,IF(LEN(J49)=13,"0"&amp;J49,J49),SUBSTITUTE(SUBSTITUTE(SUBSTITUTE(SUBSTITUTE(SUBSTITUTE(SUBSTITUTE(SUBSTITUTE(SUBSTITUTE(SUBSTITUTE(SUBSTITUTE(SUBSTITUTE(SUBSTITUTE(SUBSTITUTE(UPPER(TRIM(H49)),"Á","A"),"À","A"),"Â","A"),"Ã","A"),"É","E"),"Ê","E"),"Í","I"),"Ó","O"),"Ô","O"),"Õ","O"),"Ú","U"),"Ü","U"),"Ç","C")&amp;"|"&amp;IF(LEN(J49)=11,MID(J49,4,6),J49)))</f>
        <v/>
      </c>
      <c r="L49" s="25" t="str">
        <f aca="false">IF(K49="","",IF(E49="Doação recebida",TRIM(IF(COUNTIF(Socios!$H:$H,K49)&gt;0,"Doador é sócio de empresa da pauta. ","")&amp;IF(COUNTIF(Pessoas!$E:$E,K49)&gt;0,"Doador está em Pessoas.","")),IF(E49="Despesa com fornecedor",IF(COUNTIF(Contratos!$D:$D,K49)&gt;0,"Fornecedor também tem contrato público",""),"")))</f>
        <v/>
      </c>
      <c r="M49" s="24"/>
      <c r="N49" s="11"/>
    </row>
    <row r="50" customFormat="false" ht="15" hidden="false" customHeight="false" outlineLevel="0" collapsed="false">
      <c r="A50" s="23"/>
      <c r="B50" s="31" t="str">
        <f aca="false">IF(A50="","",SUBSTITUTE(SUBSTITUTE(SUBSTITUTE(SUBSTITUTE(SUBSTITUTE(SUBSTITUTE(SUBSTITUTE(SUBSTITUTE(SUBSTITUTE(SUBSTITUTE(SUBSTITUTE(SUBSTITUTE(SUBSTITUTE(UPPER(TRIM(A50)),"Á","A"),"À","A"),"Â","A"),"Ã","A"),"É","E"),"Ê","E"),"Í","I"),"Ó","O"),"Ô","O"),"Õ","O"),"Ú","U"),"Ü","U"),"Ç","C"))</f>
        <v/>
      </c>
      <c r="C50" s="43"/>
      <c r="D50" s="23"/>
      <c r="E50" s="23"/>
      <c r="F50" s="11"/>
      <c r="G50" s="35"/>
      <c r="H50" s="23"/>
      <c r="I50" s="24"/>
      <c r="J50" s="31" t="str">
        <f aca="false">IF(I50="","",UPPER(SUBSTITUTE(SUBSTITUTE(SUBSTITUTE(SUBSTITUTE(SUBSTITUTE(TRIM(I50),".",""),"/",""),"-",""),"*","")," ","")))</f>
        <v/>
      </c>
      <c r="K50" s="31" t="str">
        <f aca="false">IF(OR(H50="",J50=""),"",IF(LEN(J50)&gt;=13,IF(LEN(J50)=13,"0"&amp;J50,J50),SUBSTITUTE(SUBSTITUTE(SUBSTITUTE(SUBSTITUTE(SUBSTITUTE(SUBSTITUTE(SUBSTITUTE(SUBSTITUTE(SUBSTITUTE(SUBSTITUTE(SUBSTITUTE(SUBSTITUTE(SUBSTITUTE(UPPER(TRIM(H50)),"Á","A"),"À","A"),"Â","A"),"Ã","A"),"É","E"),"Ê","E"),"Í","I"),"Ó","O"),"Ô","O"),"Õ","O"),"Ú","U"),"Ü","U"),"Ç","C")&amp;"|"&amp;IF(LEN(J50)=11,MID(J50,4,6),J50)))</f>
        <v/>
      </c>
      <c r="L50" s="25" t="str">
        <f aca="false">IF(K50="","",IF(E50="Doação recebida",TRIM(IF(COUNTIF(Socios!$H:$H,K50)&gt;0,"Doador é sócio de empresa da pauta. ","")&amp;IF(COUNTIF(Pessoas!$E:$E,K50)&gt;0,"Doador está em Pessoas.","")),IF(E50="Despesa com fornecedor",IF(COUNTIF(Contratos!$D:$D,K50)&gt;0,"Fornecedor também tem contrato público",""),"")))</f>
        <v/>
      </c>
      <c r="M50" s="24"/>
      <c r="N50" s="11"/>
    </row>
    <row r="51" customFormat="false" ht="15" hidden="false" customHeight="false" outlineLevel="0" collapsed="false">
      <c r="A51" s="23"/>
      <c r="B51" s="31" t="str">
        <f aca="false">IF(A51="","",SUBSTITUTE(SUBSTITUTE(SUBSTITUTE(SUBSTITUTE(SUBSTITUTE(SUBSTITUTE(SUBSTITUTE(SUBSTITUTE(SUBSTITUTE(SUBSTITUTE(SUBSTITUTE(SUBSTITUTE(SUBSTITUTE(UPPER(TRIM(A51)),"Á","A"),"À","A"),"Â","A"),"Ã","A"),"É","E"),"Ê","E"),"Í","I"),"Ó","O"),"Ô","O"),"Õ","O"),"Ú","U"),"Ü","U"),"Ç","C"))</f>
        <v/>
      </c>
      <c r="C51" s="43"/>
      <c r="D51" s="23"/>
      <c r="E51" s="23"/>
      <c r="F51" s="11"/>
      <c r="G51" s="35"/>
      <c r="H51" s="23"/>
      <c r="I51" s="24"/>
      <c r="J51" s="31" t="str">
        <f aca="false">IF(I51="","",UPPER(SUBSTITUTE(SUBSTITUTE(SUBSTITUTE(SUBSTITUTE(SUBSTITUTE(TRIM(I51),".",""),"/",""),"-",""),"*","")," ","")))</f>
        <v/>
      </c>
      <c r="K51" s="31" t="str">
        <f aca="false">IF(OR(H51="",J51=""),"",IF(LEN(J51)&gt;=13,IF(LEN(J51)=13,"0"&amp;J51,J51),SUBSTITUTE(SUBSTITUTE(SUBSTITUTE(SUBSTITUTE(SUBSTITUTE(SUBSTITUTE(SUBSTITUTE(SUBSTITUTE(SUBSTITUTE(SUBSTITUTE(SUBSTITUTE(SUBSTITUTE(SUBSTITUTE(UPPER(TRIM(H51)),"Á","A"),"À","A"),"Â","A"),"Ã","A"),"É","E"),"Ê","E"),"Í","I"),"Ó","O"),"Ô","O"),"Õ","O"),"Ú","U"),"Ü","U"),"Ç","C")&amp;"|"&amp;IF(LEN(J51)=11,MID(J51,4,6),J51)))</f>
        <v/>
      </c>
      <c r="L51" s="25" t="str">
        <f aca="false">IF(K51="","",IF(E51="Doação recebida",TRIM(IF(COUNTIF(Socios!$H:$H,K51)&gt;0,"Doador é sócio de empresa da pauta. ","")&amp;IF(COUNTIF(Pessoas!$E:$E,K51)&gt;0,"Doador está em Pessoas.","")),IF(E51="Despesa com fornecedor",IF(COUNTIF(Contratos!$D:$D,K51)&gt;0,"Fornecedor também tem contrato público",""),"")))</f>
        <v/>
      </c>
      <c r="M51" s="24"/>
      <c r="N51" s="11"/>
    </row>
    <row r="52" customFormat="false" ht="15" hidden="false" customHeight="false" outlineLevel="0" collapsed="false">
      <c r="A52" s="23"/>
      <c r="B52" s="31" t="str">
        <f aca="false">IF(A52="","",SUBSTITUTE(SUBSTITUTE(SUBSTITUTE(SUBSTITUTE(SUBSTITUTE(SUBSTITUTE(SUBSTITUTE(SUBSTITUTE(SUBSTITUTE(SUBSTITUTE(SUBSTITUTE(SUBSTITUTE(SUBSTITUTE(UPPER(TRIM(A52)),"Á","A"),"À","A"),"Â","A"),"Ã","A"),"É","E"),"Ê","E"),"Í","I"),"Ó","O"),"Ô","O"),"Õ","O"),"Ú","U"),"Ü","U"),"Ç","C"))</f>
        <v/>
      </c>
      <c r="C52" s="43"/>
      <c r="D52" s="23"/>
      <c r="E52" s="23"/>
      <c r="F52" s="11"/>
      <c r="G52" s="35"/>
      <c r="H52" s="23"/>
      <c r="I52" s="24"/>
      <c r="J52" s="31" t="str">
        <f aca="false">IF(I52="","",UPPER(SUBSTITUTE(SUBSTITUTE(SUBSTITUTE(SUBSTITUTE(SUBSTITUTE(TRIM(I52),".",""),"/",""),"-",""),"*","")," ","")))</f>
        <v/>
      </c>
      <c r="K52" s="31" t="str">
        <f aca="false">IF(OR(H52="",J52=""),"",IF(LEN(J52)&gt;=13,IF(LEN(J52)=13,"0"&amp;J52,J52),SUBSTITUTE(SUBSTITUTE(SUBSTITUTE(SUBSTITUTE(SUBSTITUTE(SUBSTITUTE(SUBSTITUTE(SUBSTITUTE(SUBSTITUTE(SUBSTITUTE(SUBSTITUTE(SUBSTITUTE(SUBSTITUTE(UPPER(TRIM(H52)),"Á","A"),"À","A"),"Â","A"),"Ã","A"),"É","E"),"Ê","E"),"Í","I"),"Ó","O"),"Ô","O"),"Õ","O"),"Ú","U"),"Ü","U"),"Ç","C")&amp;"|"&amp;IF(LEN(J52)=11,MID(J52,4,6),J52)))</f>
        <v/>
      </c>
      <c r="L52" s="25" t="str">
        <f aca="false">IF(K52="","",IF(E52="Doação recebida",TRIM(IF(COUNTIF(Socios!$H:$H,K52)&gt;0,"Doador é sócio de empresa da pauta. ","")&amp;IF(COUNTIF(Pessoas!$E:$E,K52)&gt;0,"Doador está em Pessoas.","")),IF(E52="Despesa com fornecedor",IF(COUNTIF(Contratos!$D:$D,K52)&gt;0,"Fornecedor também tem contrato público",""),"")))</f>
        <v/>
      </c>
      <c r="M52" s="24"/>
      <c r="N52" s="11"/>
    </row>
    <row r="53" customFormat="false" ht="15" hidden="false" customHeight="false" outlineLevel="0" collapsed="false">
      <c r="A53" s="23"/>
      <c r="B53" s="31" t="str">
        <f aca="false">IF(A53="","",SUBSTITUTE(SUBSTITUTE(SUBSTITUTE(SUBSTITUTE(SUBSTITUTE(SUBSTITUTE(SUBSTITUTE(SUBSTITUTE(SUBSTITUTE(SUBSTITUTE(SUBSTITUTE(SUBSTITUTE(SUBSTITUTE(UPPER(TRIM(A53)),"Á","A"),"À","A"),"Â","A"),"Ã","A"),"É","E"),"Ê","E"),"Í","I"),"Ó","O"),"Ô","O"),"Õ","O"),"Ú","U"),"Ü","U"),"Ç","C"))</f>
        <v/>
      </c>
      <c r="C53" s="43"/>
      <c r="D53" s="23"/>
      <c r="E53" s="23"/>
      <c r="F53" s="11"/>
      <c r="G53" s="35"/>
      <c r="H53" s="23"/>
      <c r="I53" s="24"/>
      <c r="J53" s="31" t="str">
        <f aca="false">IF(I53="","",UPPER(SUBSTITUTE(SUBSTITUTE(SUBSTITUTE(SUBSTITUTE(SUBSTITUTE(TRIM(I53),".",""),"/",""),"-",""),"*","")," ","")))</f>
        <v/>
      </c>
      <c r="K53" s="31" t="str">
        <f aca="false">IF(OR(H53="",J53=""),"",IF(LEN(J53)&gt;=13,IF(LEN(J53)=13,"0"&amp;J53,J53),SUBSTITUTE(SUBSTITUTE(SUBSTITUTE(SUBSTITUTE(SUBSTITUTE(SUBSTITUTE(SUBSTITUTE(SUBSTITUTE(SUBSTITUTE(SUBSTITUTE(SUBSTITUTE(SUBSTITUTE(SUBSTITUTE(UPPER(TRIM(H53)),"Á","A"),"À","A"),"Â","A"),"Ã","A"),"É","E"),"Ê","E"),"Í","I"),"Ó","O"),"Ô","O"),"Õ","O"),"Ú","U"),"Ü","U"),"Ç","C")&amp;"|"&amp;IF(LEN(J53)=11,MID(J53,4,6),J53)))</f>
        <v/>
      </c>
      <c r="L53" s="25" t="str">
        <f aca="false">IF(K53="","",IF(E53="Doação recebida",TRIM(IF(COUNTIF(Socios!$H:$H,K53)&gt;0,"Doador é sócio de empresa da pauta. ","")&amp;IF(COUNTIF(Pessoas!$E:$E,K53)&gt;0,"Doador está em Pessoas.","")),IF(E53="Despesa com fornecedor",IF(COUNTIF(Contratos!$D:$D,K53)&gt;0,"Fornecedor também tem contrato público",""),"")))</f>
        <v/>
      </c>
      <c r="M53" s="24"/>
      <c r="N53" s="11"/>
    </row>
    <row r="54" customFormat="false" ht="15" hidden="false" customHeight="false" outlineLevel="0" collapsed="false">
      <c r="A54" s="23"/>
      <c r="B54" s="31" t="str">
        <f aca="false">IF(A54="","",SUBSTITUTE(SUBSTITUTE(SUBSTITUTE(SUBSTITUTE(SUBSTITUTE(SUBSTITUTE(SUBSTITUTE(SUBSTITUTE(SUBSTITUTE(SUBSTITUTE(SUBSTITUTE(SUBSTITUTE(SUBSTITUTE(UPPER(TRIM(A54)),"Á","A"),"À","A"),"Â","A"),"Ã","A"),"É","E"),"Ê","E"),"Í","I"),"Ó","O"),"Ô","O"),"Õ","O"),"Ú","U"),"Ü","U"),"Ç","C"))</f>
        <v/>
      </c>
      <c r="C54" s="43"/>
      <c r="D54" s="23"/>
      <c r="E54" s="23"/>
      <c r="F54" s="11"/>
      <c r="G54" s="35"/>
      <c r="H54" s="23"/>
      <c r="I54" s="24"/>
      <c r="J54" s="31" t="str">
        <f aca="false">IF(I54="","",UPPER(SUBSTITUTE(SUBSTITUTE(SUBSTITUTE(SUBSTITUTE(SUBSTITUTE(TRIM(I54),".",""),"/",""),"-",""),"*","")," ","")))</f>
        <v/>
      </c>
      <c r="K54" s="31" t="str">
        <f aca="false">IF(OR(H54="",J54=""),"",IF(LEN(J54)&gt;=13,IF(LEN(J54)=13,"0"&amp;J54,J54),SUBSTITUTE(SUBSTITUTE(SUBSTITUTE(SUBSTITUTE(SUBSTITUTE(SUBSTITUTE(SUBSTITUTE(SUBSTITUTE(SUBSTITUTE(SUBSTITUTE(SUBSTITUTE(SUBSTITUTE(SUBSTITUTE(UPPER(TRIM(H54)),"Á","A"),"À","A"),"Â","A"),"Ã","A"),"É","E"),"Ê","E"),"Í","I"),"Ó","O"),"Ô","O"),"Õ","O"),"Ú","U"),"Ü","U"),"Ç","C")&amp;"|"&amp;IF(LEN(J54)=11,MID(J54,4,6),J54)))</f>
        <v/>
      </c>
      <c r="L54" s="25" t="str">
        <f aca="false">IF(K54="","",IF(E54="Doação recebida",TRIM(IF(COUNTIF(Socios!$H:$H,K54)&gt;0,"Doador é sócio de empresa da pauta. ","")&amp;IF(COUNTIF(Pessoas!$E:$E,K54)&gt;0,"Doador está em Pessoas.","")),IF(E54="Despesa com fornecedor",IF(COUNTIF(Contratos!$D:$D,K54)&gt;0,"Fornecedor também tem contrato público",""),"")))</f>
        <v/>
      </c>
      <c r="M54" s="24"/>
      <c r="N54" s="11"/>
    </row>
    <row r="55" customFormat="false" ht="15" hidden="false" customHeight="false" outlineLevel="0" collapsed="false">
      <c r="A55" s="23"/>
      <c r="B55" s="31" t="str">
        <f aca="false">IF(A55="","",SUBSTITUTE(SUBSTITUTE(SUBSTITUTE(SUBSTITUTE(SUBSTITUTE(SUBSTITUTE(SUBSTITUTE(SUBSTITUTE(SUBSTITUTE(SUBSTITUTE(SUBSTITUTE(SUBSTITUTE(SUBSTITUTE(UPPER(TRIM(A55)),"Á","A"),"À","A"),"Â","A"),"Ã","A"),"É","E"),"Ê","E"),"Í","I"),"Ó","O"),"Ô","O"),"Õ","O"),"Ú","U"),"Ü","U"),"Ç","C"))</f>
        <v/>
      </c>
      <c r="C55" s="43"/>
      <c r="D55" s="23"/>
      <c r="E55" s="23"/>
      <c r="F55" s="11"/>
      <c r="G55" s="35"/>
      <c r="H55" s="23"/>
      <c r="I55" s="24"/>
      <c r="J55" s="31" t="str">
        <f aca="false">IF(I55="","",UPPER(SUBSTITUTE(SUBSTITUTE(SUBSTITUTE(SUBSTITUTE(SUBSTITUTE(TRIM(I55),".",""),"/",""),"-",""),"*","")," ","")))</f>
        <v/>
      </c>
      <c r="K55" s="31" t="str">
        <f aca="false">IF(OR(H55="",J55=""),"",IF(LEN(J55)&gt;=13,IF(LEN(J55)=13,"0"&amp;J55,J55),SUBSTITUTE(SUBSTITUTE(SUBSTITUTE(SUBSTITUTE(SUBSTITUTE(SUBSTITUTE(SUBSTITUTE(SUBSTITUTE(SUBSTITUTE(SUBSTITUTE(SUBSTITUTE(SUBSTITUTE(SUBSTITUTE(UPPER(TRIM(H55)),"Á","A"),"À","A"),"Â","A"),"Ã","A"),"É","E"),"Ê","E"),"Í","I"),"Ó","O"),"Ô","O"),"Õ","O"),"Ú","U"),"Ü","U"),"Ç","C")&amp;"|"&amp;IF(LEN(J55)=11,MID(J55,4,6),J55)))</f>
        <v/>
      </c>
      <c r="L55" s="25" t="str">
        <f aca="false">IF(K55="","",IF(E55="Doação recebida",TRIM(IF(COUNTIF(Socios!$H:$H,K55)&gt;0,"Doador é sócio de empresa da pauta. ","")&amp;IF(COUNTIF(Pessoas!$E:$E,K55)&gt;0,"Doador está em Pessoas.","")),IF(E55="Despesa com fornecedor",IF(COUNTIF(Contratos!$D:$D,K55)&gt;0,"Fornecedor também tem contrato público",""),"")))</f>
        <v/>
      </c>
      <c r="M55" s="24"/>
      <c r="N55" s="11"/>
    </row>
    <row r="56" customFormat="false" ht="15" hidden="false" customHeight="false" outlineLevel="0" collapsed="false">
      <c r="A56" s="23"/>
      <c r="B56" s="31" t="str">
        <f aca="false">IF(A56="","",SUBSTITUTE(SUBSTITUTE(SUBSTITUTE(SUBSTITUTE(SUBSTITUTE(SUBSTITUTE(SUBSTITUTE(SUBSTITUTE(SUBSTITUTE(SUBSTITUTE(SUBSTITUTE(SUBSTITUTE(SUBSTITUTE(UPPER(TRIM(A56)),"Á","A"),"À","A"),"Â","A"),"Ã","A"),"É","E"),"Ê","E"),"Í","I"),"Ó","O"),"Ô","O"),"Õ","O"),"Ú","U"),"Ü","U"),"Ç","C"))</f>
        <v/>
      </c>
      <c r="C56" s="43"/>
      <c r="D56" s="23"/>
      <c r="E56" s="23"/>
      <c r="F56" s="11"/>
      <c r="G56" s="35"/>
      <c r="H56" s="23"/>
      <c r="I56" s="24"/>
      <c r="J56" s="31" t="str">
        <f aca="false">IF(I56="","",UPPER(SUBSTITUTE(SUBSTITUTE(SUBSTITUTE(SUBSTITUTE(SUBSTITUTE(TRIM(I56),".",""),"/",""),"-",""),"*","")," ","")))</f>
        <v/>
      </c>
      <c r="K56" s="31" t="str">
        <f aca="false">IF(OR(H56="",J56=""),"",IF(LEN(J56)&gt;=13,IF(LEN(J56)=13,"0"&amp;J56,J56),SUBSTITUTE(SUBSTITUTE(SUBSTITUTE(SUBSTITUTE(SUBSTITUTE(SUBSTITUTE(SUBSTITUTE(SUBSTITUTE(SUBSTITUTE(SUBSTITUTE(SUBSTITUTE(SUBSTITUTE(SUBSTITUTE(UPPER(TRIM(H56)),"Á","A"),"À","A"),"Â","A"),"Ã","A"),"É","E"),"Ê","E"),"Í","I"),"Ó","O"),"Ô","O"),"Õ","O"),"Ú","U"),"Ü","U"),"Ç","C")&amp;"|"&amp;IF(LEN(J56)=11,MID(J56,4,6),J56)))</f>
        <v/>
      </c>
      <c r="L56" s="25" t="str">
        <f aca="false">IF(K56="","",IF(E56="Doação recebida",TRIM(IF(COUNTIF(Socios!$H:$H,K56)&gt;0,"Doador é sócio de empresa da pauta. ","")&amp;IF(COUNTIF(Pessoas!$E:$E,K56)&gt;0,"Doador está em Pessoas.","")),IF(E56="Despesa com fornecedor",IF(COUNTIF(Contratos!$D:$D,K56)&gt;0,"Fornecedor também tem contrato público",""),"")))</f>
        <v/>
      </c>
      <c r="M56" s="24"/>
      <c r="N56" s="11"/>
    </row>
    <row r="57" customFormat="false" ht="15" hidden="false" customHeight="false" outlineLevel="0" collapsed="false">
      <c r="A57" s="23"/>
      <c r="B57" s="31" t="str">
        <f aca="false">IF(A57="","",SUBSTITUTE(SUBSTITUTE(SUBSTITUTE(SUBSTITUTE(SUBSTITUTE(SUBSTITUTE(SUBSTITUTE(SUBSTITUTE(SUBSTITUTE(SUBSTITUTE(SUBSTITUTE(SUBSTITUTE(SUBSTITUTE(UPPER(TRIM(A57)),"Á","A"),"À","A"),"Â","A"),"Ã","A"),"É","E"),"Ê","E"),"Í","I"),"Ó","O"),"Ô","O"),"Õ","O"),"Ú","U"),"Ü","U"),"Ç","C"))</f>
        <v/>
      </c>
      <c r="C57" s="43"/>
      <c r="D57" s="23"/>
      <c r="E57" s="23"/>
      <c r="F57" s="11"/>
      <c r="G57" s="35"/>
      <c r="H57" s="23"/>
      <c r="I57" s="24"/>
      <c r="J57" s="31" t="str">
        <f aca="false">IF(I57="","",UPPER(SUBSTITUTE(SUBSTITUTE(SUBSTITUTE(SUBSTITUTE(SUBSTITUTE(TRIM(I57),".",""),"/",""),"-",""),"*","")," ","")))</f>
        <v/>
      </c>
      <c r="K57" s="31" t="str">
        <f aca="false">IF(OR(H57="",J57=""),"",IF(LEN(J57)&gt;=13,IF(LEN(J57)=13,"0"&amp;J57,J57),SUBSTITUTE(SUBSTITUTE(SUBSTITUTE(SUBSTITUTE(SUBSTITUTE(SUBSTITUTE(SUBSTITUTE(SUBSTITUTE(SUBSTITUTE(SUBSTITUTE(SUBSTITUTE(SUBSTITUTE(SUBSTITUTE(UPPER(TRIM(H57)),"Á","A"),"À","A"),"Â","A"),"Ã","A"),"É","E"),"Ê","E"),"Í","I"),"Ó","O"),"Ô","O"),"Õ","O"),"Ú","U"),"Ü","U"),"Ç","C")&amp;"|"&amp;IF(LEN(J57)=11,MID(J57,4,6),J57)))</f>
        <v/>
      </c>
      <c r="L57" s="25" t="str">
        <f aca="false">IF(K57="","",IF(E57="Doação recebida",TRIM(IF(COUNTIF(Socios!$H:$H,K57)&gt;0,"Doador é sócio de empresa da pauta. ","")&amp;IF(COUNTIF(Pessoas!$E:$E,K57)&gt;0,"Doador está em Pessoas.","")),IF(E57="Despesa com fornecedor",IF(COUNTIF(Contratos!$D:$D,K57)&gt;0,"Fornecedor também tem contrato público",""),"")))</f>
        <v/>
      </c>
      <c r="M57" s="24"/>
      <c r="N57" s="11"/>
    </row>
    <row r="58" customFormat="false" ht="15" hidden="false" customHeight="false" outlineLevel="0" collapsed="false">
      <c r="A58" s="23"/>
      <c r="B58" s="31" t="str">
        <f aca="false">IF(A58="","",SUBSTITUTE(SUBSTITUTE(SUBSTITUTE(SUBSTITUTE(SUBSTITUTE(SUBSTITUTE(SUBSTITUTE(SUBSTITUTE(SUBSTITUTE(SUBSTITUTE(SUBSTITUTE(SUBSTITUTE(SUBSTITUTE(UPPER(TRIM(A58)),"Á","A"),"À","A"),"Â","A"),"Ã","A"),"É","E"),"Ê","E"),"Í","I"),"Ó","O"),"Ô","O"),"Õ","O"),"Ú","U"),"Ü","U"),"Ç","C"))</f>
        <v/>
      </c>
      <c r="C58" s="43"/>
      <c r="D58" s="23"/>
      <c r="E58" s="23"/>
      <c r="F58" s="11"/>
      <c r="G58" s="35"/>
      <c r="H58" s="23"/>
      <c r="I58" s="24"/>
      <c r="J58" s="31" t="str">
        <f aca="false">IF(I58="","",UPPER(SUBSTITUTE(SUBSTITUTE(SUBSTITUTE(SUBSTITUTE(SUBSTITUTE(TRIM(I58),".",""),"/",""),"-",""),"*","")," ","")))</f>
        <v/>
      </c>
      <c r="K58" s="31" t="str">
        <f aca="false">IF(OR(H58="",J58=""),"",IF(LEN(J58)&gt;=13,IF(LEN(J58)=13,"0"&amp;J58,J58),SUBSTITUTE(SUBSTITUTE(SUBSTITUTE(SUBSTITUTE(SUBSTITUTE(SUBSTITUTE(SUBSTITUTE(SUBSTITUTE(SUBSTITUTE(SUBSTITUTE(SUBSTITUTE(SUBSTITUTE(SUBSTITUTE(UPPER(TRIM(H58)),"Á","A"),"À","A"),"Â","A"),"Ã","A"),"É","E"),"Ê","E"),"Í","I"),"Ó","O"),"Ô","O"),"Õ","O"),"Ú","U"),"Ü","U"),"Ç","C")&amp;"|"&amp;IF(LEN(J58)=11,MID(J58,4,6),J58)))</f>
        <v/>
      </c>
      <c r="L58" s="25" t="str">
        <f aca="false">IF(K58="","",IF(E58="Doação recebida",TRIM(IF(COUNTIF(Socios!$H:$H,K58)&gt;0,"Doador é sócio de empresa da pauta. ","")&amp;IF(COUNTIF(Pessoas!$E:$E,K58)&gt;0,"Doador está em Pessoas.","")),IF(E58="Despesa com fornecedor",IF(COUNTIF(Contratos!$D:$D,K58)&gt;0,"Fornecedor também tem contrato público",""),"")))</f>
        <v/>
      </c>
      <c r="M58" s="24"/>
      <c r="N58" s="11"/>
    </row>
    <row r="59" customFormat="false" ht="15" hidden="false" customHeight="false" outlineLevel="0" collapsed="false">
      <c r="A59" s="23"/>
      <c r="B59" s="31" t="str">
        <f aca="false">IF(A59="","",SUBSTITUTE(SUBSTITUTE(SUBSTITUTE(SUBSTITUTE(SUBSTITUTE(SUBSTITUTE(SUBSTITUTE(SUBSTITUTE(SUBSTITUTE(SUBSTITUTE(SUBSTITUTE(SUBSTITUTE(SUBSTITUTE(UPPER(TRIM(A59)),"Á","A"),"À","A"),"Â","A"),"Ã","A"),"É","E"),"Ê","E"),"Í","I"),"Ó","O"),"Ô","O"),"Õ","O"),"Ú","U"),"Ü","U"),"Ç","C"))</f>
        <v/>
      </c>
      <c r="C59" s="43"/>
      <c r="D59" s="23"/>
      <c r="E59" s="23"/>
      <c r="F59" s="11"/>
      <c r="G59" s="35"/>
      <c r="H59" s="23"/>
      <c r="I59" s="24"/>
      <c r="J59" s="31" t="str">
        <f aca="false">IF(I59="","",UPPER(SUBSTITUTE(SUBSTITUTE(SUBSTITUTE(SUBSTITUTE(SUBSTITUTE(TRIM(I59),".",""),"/",""),"-",""),"*","")," ","")))</f>
        <v/>
      </c>
      <c r="K59" s="31" t="str">
        <f aca="false">IF(OR(H59="",J59=""),"",IF(LEN(J59)&gt;=13,IF(LEN(J59)=13,"0"&amp;J59,J59),SUBSTITUTE(SUBSTITUTE(SUBSTITUTE(SUBSTITUTE(SUBSTITUTE(SUBSTITUTE(SUBSTITUTE(SUBSTITUTE(SUBSTITUTE(SUBSTITUTE(SUBSTITUTE(SUBSTITUTE(SUBSTITUTE(UPPER(TRIM(H59)),"Á","A"),"À","A"),"Â","A"),"Ã","A"),"É","E"),"Ê","E"),"Í","I"),"Ó","O"),"Ô","O"),"Õ","O"),"Ú","U"),"Ü","U"),"Ç","C")&amp;"|"&amp;IF(LEN(J59)=11,MID(J59,4,6),J59)))</f>
        <v/>
      </c>
      <c r="L59" s="25" t="str">
        <f aca="false">IF(K59="","",IF(E59="Doação recebida",TRIM(IF(COUNTIF(Socios!$H:$H,K59)&gt;0,"Doador é sócio de empresa da pauta. ","")&amp;IF(COUNTIF(Pessoas!$E:$E,K59)&gt;0,"Doador está em Pessoas.","")),IF(E59="Despesa com fornecedor",IF(COUNTIF(Contratos!$D:$D,K59)&gt;0,"Fornecedor também tem contrato público",""),"")))</f>
        <v/>
      </c>
      <c r="M59" s="24"/>
      <c r="N59" s="11"/>
    </row>
    <row r="60" customFormat="false" ht="15" hidden="false" customHeight="false" outlineLevel="0" collapsed="false">
      <c r="A60" s="23"/>
      <c r="B60" s="31" t="str">
        <f aca="false">IF(A60="","",SUBSTITUTE(SUBSTITUTE(SUBSTITUTE(SUBSTITUTE(SUBSTITUTE(SUBSTITUTE(SUBSTITUTE(SUBSTITUTE(SUBSTITUTE(SUBSTITUTE(SUBSTITUTE(SUBSTITUTE(SUBSTITUTE(UPPER(TRIM(A60)),"Á","A"),"À","A"),"Â","A"),"Ã","A"),"É","E"),"Ê","E"),"Í","I"),"Ó","O"),"Ô","O"),"Õ","O"),"Ú","U"),"Ü","U"),"Ç","C"))</f>
        <v/>
      </c>
      <c r="C60" s="43"/>
      <c r="D60" s="23"/>
      <c r="E60" s="23"/>
      <c r="F60" s="11"/>
      <c r="G60" s="35"/>
      <c r="H60" s="23"/>
      <c r="I60" s="24"/>
      <c r="J60" s="31" t="str">
        <f aca="false">IF(I60="","",UPPER(SUBSTITUTE(SUBSTITUTE(SUBSTITUTE(SUBSTITUTE(SUBSTITUTE(TRIM(I60),".",""),"/",""),"-",""),"*","")," ","")))</f>
        <v/>
      </c>
      <c r="K60" s="31" t="str">
        <f aca="false">IF(OR(H60="",J60=""),"",IF(LEN(J60)&gt;=13,IF(LEN(J60)=13,"0"&amp;J60,J60),SUBSTITUTE(SUBSTITUTE(SUBSTITUTE(SUBSTITUTE(SUBSTITUTE(SUBSTITUTE(SUBSTITUTE(SUBSTITUTE(SUBSTITUTE(SUBSTITUTE(SUBSTITUTE(SUBSTITUTE(SUBSTITUTE(UPPER(TRIM(H60)),"Á","A"),"À","A"),"Â","A"),"Ã","A"),"É","E"),"Ê","E"),"Í","I"),"Ó","O"),"Ô","O"),"Õ","O"),"Ú","U"),"Ü","U"),"Ç","C")&amp;"|"&amp;IF(LEN(J60)=11,MID(J60,4,6),J60)))</f>
        <v/>
      </c>
      <c r="L60" s="25" t="str">
        <f aca="false">IF(K60="","",IF(E60="Doação recebida",TRIM(IF(COUNTIF(Socios!$H:$H,K60)&gt;0,"Doador é sócio de empresa da pauta. ","")&amp;IF(COUNTIF(Pessoas!$E:$E,K60)&gt;0,"Doador está em Pessoas.","")),IF(E60="Despesa com fornecedor",IF(COUNTIF(Contratos!$D:$D,K60)&gt;0,"Fornecedor também tem contrato público",""),"")))</f>
        <v/>
      </c>
      <c r="M60" s="24"/>
      <c r="N60" s="11"/>
    </row>
    <row r="61" customFormat="false" ht="15" hidden="false" customHeight="false" outlineLevel="0" collapsed="false">
      <c r="A61" s="23"/>
      <c r="B61" s="31" t="str">
        <f aca="false">IF(A61="","",SUBSTITUTE(SUBSTITUTE(SUBSTITUTE(SUBSTITUTE(SUBSTITUTE(SUBSTITUTE(SUBSTITUTE(SUBSTITUTE(SUBSTITUTE(SUBSTITUTE(SUBSTITUTE(SUBSTITUTE(SUBSTITUTE(UPPER(TRIM(A61)),"Á","A"),"À","A"),"Â","A"),"Ã","A"),"É","E"),"Ê","E"),"Í","I"),"Ó","O"),"Ô","O"),"Õ","O"),"Ú","U"),"Ü","U"),"Ç","C"))</f>
        <v/>
      </c>
      <c r="C61" s="43"/>
      <c r="D61" s="23"/>
      <c r="E61" s="23"/>
      <c r="F61" s="11"/>
      <c r="G61" s="35"/>
      <c r="H61" s="23"/>
      <c r="I61" s="24"/>
      <c r="J61" s="31" t="str">
        <f aca="false">IF(I61="","",UPPER(SUBSTITUTE(SUBSTITUTE(SUBSTITUTE(SUBSTITUTE(SUBSTITUTE(TRIM(I61),".",""),"/",""),"-",""),"*","")," ","")))</f>
        <v/>
      </c>
      <c r="K61" s="31" t="str">
        <f aca="false">IF(OR(H61="",J61=""),"",IF(LEN(J61)&gt;=13,IF(LEN(J61)=13,"0"&amp;J61,J61),SUBSTITUTE(SUBSTITUTE(SUBSTITUTE(SUBSTITUTE(SUBSTITUTE(SUBSTITUTE(SUBSTITUTE(SUBSTITUTE(SUBSTITUTE(SUBSTITUTE(SUBSTITUTE(SUBSTITUTE(SUBSTITUTE(UPPER(TRIM(H61)),"Á","A"),"À","A"),"Â","A"),"Ã","A"),"É","E"),"Ê","E"),"Í","I"),"Ó","O"),"Ô","O"),"Õ","O"),"Ú","U"),"Ü","U"),"Ç","C")&amp;"|"&amp;IF(LEN(J61)=11,MID(J61,4,6),J61)))</f>
        <v/>
      </c>
      <c r="L61" s="25" t="str">
        <f aca="false">IF(K61="","",IF(E61="Doação recebida",TRIM(IF(COUNTIF(Socios!$H:$H,K61)&gt;0,"Doador é sócio de empresa da pauta. ","")&amp;IF(COUNTIF(Pessoas!$E:$E,K61)&gt;0,"Doador está em Pessoas.","")),IF(E61="Despesa com fornecedor",IF(COUNTIF(Contratos!$D:$D,K61)&gt;0,"Fornecedor também tem contrato público",""),"")))</f>
        <v/>
      </c>
      <c r="M61" s="24"/>
      <c r="N61" s="11"/>
    </row>
    <row r="62" customFormat="false" ht="15" hidden="false" customHeight="false" outlineLevel="0" collapsed="false">
      <c r="A62" s="23"/>
      <c r="B62" s="31" t="str">
        <f aca="false">IF(A62="","",SUBSTITUTE(SUBSTITUTE(SUBSTITUTE(SUBSTITUTE(SUBSTITUTE(SUBSTITUTE(SUBSTITUTE(SUBSTITUTE(SUBSTITUTE(SUBSTITUTE(SUBSTITUTE(SUBSTITUTE(SUBSTITUTE(UPPER(TRIM(A62)),"Á","A"),"À","A"),"Â","A"),"Ã","A"),"É","E"),"Ê","E"),"Í","I"),"Ó","O"),"Ô","O"),"Õ","O"),"Ú","U"),"Ü","U"),"Ç","C"))</f>
        <v/>
      </c>
      <c r="C62" s="43"/>
      <c r="D62" s="23"/>
      <c r="E62" s="23"/>
      <c r="F62" s="11"/>
      <c r="G62" s="35"/>
      <c r="H62" s="23"/>
      <c r="I62" s="24"/>
      <c r="J62" s="31" t="str">
        <f aca="false">IF(I62="","",UPPER(SUBSTITUTE(SUBSTITUTE(SUBSTITUTE(SUBSTITUTE(SUBSTITUTE(TRIM(I62),".",""),"/",""),"-",""),"*","")," ","")))</f>
        <v/>
      </c>
      <c r="K62" s="31" t="str">
        <f aca="false">IF(OR(H62="",J62=""),"",IF(LEN(J62)&gt;=13,IF(LEN(J62)=13,"0"&amp;J62,J62),SUBSTITUTE(SUBSTITUTE(SUBSTITUTE(SUBSTITUTE(SUBSTITUTE(SUBSTITUTE(SUBSTITUTE(SUBSTITUTE(SUBSTITUTE(SUBSTITUTE(SUBSTITUTE(SUBSTITUTE(SUBSTITUTE(UPPER(TRIM(H62)),"Á","A"),"À","A"),"Â","A"),"Ã","A"),"É","E"),"Ê","E"),"Í","I"),"Ó","O"),"Ô","O"),"Õ","O"),"Ú","U"),"Ü","U"),"Ç","C")&amp;"|"&amp;IF(LEN(J62)=11,MID(J62,4,6),J62)))</f>
        <v/>
      </c>
      <c r="L62" s="25" t="str">
        <f aca="false">IF(K62="","",IF(E62="Doação recebida",TRIM(IF(COUNTIF(Socios!$H:$H,K62)&gt;0,"Doador é sócio de empresa da pauta. ","")&amp;IF(COUNTIF(Pessoas!$E:$E,K62)&gt;0,"Doador está em Pessoas.","")),IF(E62="Despesa com fornecedor",IF(COUNTIF(Contratos!$D:$D,K62)&gt;0,"Fornecedor também tem contrato público",""),"")))</f>
        <v/>
      </c>
      <c r="M62" s="24"/>
      <c r="N62" s="11"/>
    </row>
    <row r="63" customFormat="false" ht="15" hidden="false" customHeight="false" outlineLevel="0" collapsed="false">
      <c r="A63" s="23"/>
      <c r="B63" s="31" t="str">
        <f aca="false">IF(A63="","",SUBSTITUTE(SUBSTITUTE(SUBSTITUTE(SUBSTITUTE(SUBSTITUTE(SUBSTITUTE(SUBSTITUTE(SUBSTITUTE(SUBSTITUTE(SUBSTITUTE(SUBSTITUTE(SUBSTITUTE(SUBSTITUTE(UPPER(TRIM(A63)),"Á","A"),"À","A"),"Â","A"),"Ã","A"),"É","E"),"Ê","E"),"Í","I"),"Ó","O"),"Ô","O"),"Õ","O"),"Ú","U"),"Ü","U"),"Ç","C"))</f>
        <v/>
      </c>
      <c r="C63" s="43"/>
      <c r="D63" s="23"/>
      <c r="E63" s="23"/>
      <c r="F63" s="11"/>
      <c r="G63" s="35"/>
      <c r="H63" s="23"/>
      <c r="I63" s="24"/>
      <c r="J63" s="31" t="str">
        <f aca="false">IF(I63="","",UPPER(SUBSTITUTE(SUBSTITUTE(SUBSTITUTE(SUBSTITUTE(SUBSTITUTE(TRIM(I63),".",""),"/",""),"-",""),"*","")," ","")))</f>
        <v/>
      </c>
      <c r="K63" s="31" t="str">
        <f aca="false">IF(OR(H63="",J63=""),"",IF(LEN(J63)&gt;=13,IF(LEN(J63)=13,"0"&amp;J63,J63),SUBSTITUTE(SUBSTITUTE(SUBSTITUTE(SUBSTITUTE(SUBSTITUTE(SUBSTITUTE(SUBSTITUTE(SUBSTITUTE(SUBSTITUTE(SUBSTITUTE(SUBSTITUTE(SUBSTITUTE(SUBSTITUTE(UPPER(TRIM(H63)),"Á","A"),"À","A"),"Â","A"),"Ã","A"),"É","E"),"Ê","E"),"Í","I"),"Ó","O"),"Ô","O"),"Õ","O"),"Ú","U"),"Ü","U"),"Ç","C")&amp;"|"&amp;IF(LEN(J63)=11,MID(J63,4,6),J63)))</f>
        <v/>
      </c>
      <c r="L63" s="25" t="str">
        <f aca="false">IF(K63="","",IF(E63="Doação recebida",TRIM(IF(COUNTIF(Socios!$H:$H,K63)&gt;0,"Doador é sócio de empresa da pauta. ","")&amp;IF(COUNTIF(Pessoas!$E:$E,K63)&gt;0,"Doador está em Pessoas.","")),IF(E63="Despesa com fornecedor",IF(COUNTIF(Contratos!$D:$D,K63)&gt;0,"Fornecedor também tem contrato público",""),"")))</f>
        <v/>
      </c>
      <c r="M63" s="24"/>
      <c r="N63" s="11"/>
    </row>
    <row r="64" customFormat="false" ht="15" hidden="false" customHeight="false" outlineLevel="0" collapsed="false">
      <c r="A64" s="23"/>
      <c r="B64" s="31" t="str">
        <f aca="false">IF(A64="","",SUBSTITUTE(SUBSTITUTE(SUBSTITUTE(SUBSTITUTE(SUBSTITUTE(SUBSTITUTE(SUBSTITUTE(SUBSTITUTE(SUBSTITUTE(SUBSTITUTE(SUBSTITUTE(SUBSTITUTE(SUBSTITUTE(UPPER(TRIM(A64)),"Á","A"),"À","A"),"Â","A"),"Ã","A"),"É","E"),"Ê","E"),"Í","I"),"Ó","O"),"Ô","O"),"Õ","O"),"Ú","U"),"Ü","U"),"Ç","C"))</f>
        <v/>
      </c>
      <c r="C64" s="43"/>
      <c r="D64" s="23"/>
      <c r="E64" s="23"/>
      <c r="F64" s="11"/>
      <c r="G64" s="35"/>
      <c r="H64" s="23"/>
      <c r="I64" s="24"/>
      <c r="J64" s="31" t="str">
        <f aca="false">IF(I64="","",UPPER(SUBSTITUTE(SUBSTITUTE(SUBSTITUTE(SUBSTITUTE(SUBSTITUTE(TRIM(I64),".",""),"/",""),"-",""),"*","")," ","")))</f>
        <v/>
      </c>
      <c r="K64" s="31" t="str">
        <f aca="false">IF(OR(H64="",J64=""),"",IF(LEN(J64)&gt;=13,IF(LEN(J64)=13,"0"&amp;J64,J64),SUBSTITUTE(SUBSTITUTE(SUBSTITUTE(SUBSTITUTE(SUBSTITUTE(SUBSTITUTE(SUBSTITUTE(SUBSTITUTE(SUBSTITUTE(SUBSTITUTE(SUBSTITUTE(SUBSTITUTE(SUBSTITUTE(UPPER(TRIM(H64)),"Á","A"),"À","A"),"Â","A"),"Ã","A"),"É","E"),"Ê","E"),"Í","I"),"Ó","O"),"Ô","O"),"Õ","O"),"Ú","U"),"Ü","U"),"Ç","C")&amp;"|"&amp;IF(LEN(J64)=11,MID(J64,4,6),J64)))</f>
        <v/>
      </c>
      <c r="L64" s="25" t="str">
        <f aca="false">IF(K64="","",IF(E64="Doação recebida",TRIM(IF(COUNTIF(Socios!$H:$H,K64)&gt;0,"Doador é sócio de empresa da pauta. ","")&amp;IF(COUNTIF(Pessoas!$E:$E,K64)&gt;0,"Doador está em Pessoas.","")),IF(E64="Despesa com fornecedor",IF(COUNTIF(Contratos!$D:$D,K64)&gt;0,"Fornecedor também tem contrato público",""),"")))</f>
        <v/>
      </c>
      <c r="M64" s="24"/>
      <c r="N64" s="11"/>
    </row>
    <row r="65" customFormat="false" ht="15" hidden="false" customHeight="false" outlineLevel="0" collapsed="false">
      <c r="A65" s="23"/>
      <c r="B65" s="31" t="str">
        <f aca="false">IF(A65="","",SUBSTITUTE(SUBSTITUTE(SUBSTITUTE(SUBSTITUTE(SUBSTITUTE(SUBSTITUTE(SUBSTITUTE(SUBSTITUTE(SUBSTITUTE(SUBSTITUTE(SUBSTITUTE(SUBSTITUTE(SUBSTITUTE(UPPER(TRIM(A65)),"Á","A"),"À","A"),"Â","A"),"Ã","A"),"É","E"),"Ê","E"),"Í","I"),"Ó","O"),"Ô","O"),"Õ","O"),"Ú","U"),"Ü","U"),"Ç","C"))</f>
        <v/>
      </c>
      <c r="C65" s="43"/>
      <c r="D65" s="23"/>
      <c r="E65" s="23"/>
      <c r="F65" s="11"/>
      <c r="G65" s="35"/>
      <c r="H65" s="23"/>
      <c r="I65" s="24"/>
      <c r="J65" s="31" t="str">
        <f aca="false">IF(I65="","",UPPER(SUBSTITUTE(SUBSTITUTE(SUBSTITUTE(SUBSTITUTE(SUBSTITUTE(TRIM(I65),".",""),"/",""),"-",""),"*","")," ","")))</f>
        <v/>
      </c>
      <c r="K65" s="31" t="str">
        <f aca="false">IF(OR(H65="",J65=""),"",IF(LEN(J65)&gt;=13,IF(LEN(J65)=13,"0"&amp;J65,J65),SUBSTITUTE(SUBSTITUTE(SUBSTITUTE(SUBSTITUTE(SUBSTITUTE(SUBSTITUTE(SUBSTITUTE(SUBSTITUTE(SUBSTITUTE(SUBSTITUTE(SUBSTITUTE(SUBSTITUTE(SUBSTITUTE(UPPER(TRIM(H65)),"Á","A"),"À","A"),"Â","A"),"Ã","A"),"É","E"),"Ê","E"),"Í","I"),"Ó","O"),"Ô","O"),"Õ","O"),"Ú","U"),"Ü","U"),"Ç","C")&amp;"|"&amp;IF(LEN(J65)=11,MID(J65,4,6),J65)))</f>
        <v/>
      </c>
      <c r="L65" s="25" t="str">
        <f aca="false">IF(K65="","",IF(E65="Doação recebida",TRIM(IF(COUNTIF(Socios!$H:$H,K65)&gt;0,"Doador é sócio de empresa da pauta. ","")&amp;IF(COUNTIF(Pessoas!$E:$E,K65)&gt;0,"Doador está em Pessoas.","")),IF(E65="Despesa com fornecedor",IF(COUNTIF(Contratos!$D:$D,K65)&gt;0,"Fornecedor também tem contrato público",""),"")))</f>
        <v/>
      </c>
      <c r="M65" s="24"/>
      <c r="N65" s="11"/>
    </row>
    <row r="66" customFormat="false" ht="15" hidden="false" customHeight="false" outlineLevel="0" collapsed="false">
      <c r="A66" s="23"/>
      <c r="B66" s="31" t="str">
        <f aca="false">IF(A66="","",SUBSTITUTE(SUBSTITUTE(SUBSTITUTE(SUBSTITUTE(SUBSTITUTE(SUBSTITUTE(SUBSTITUTE(SUBSTITUTE(SUBSTITUTE(SUBSTITUTE(SUBSTITUTE(SUBSTITUTE(SUBSTITUTE(UPPER(TRIM(A66)),"Á","A"),"À","A"),"Â","A"),"Ã","A"),"É","E"),"Ê","E"),"Í","I"),"Ó","O"),"Ô","O"),"Õ","O"),"Ú","U"),"Ü","U"),"Ç","C"))</f>
        <v/>
      </c>
      <c r="C66" s="43"/>
      <c r="D66" s="23"/>
      <c r="E66" s="23"/>
      <c r="F66" s="11"/>
      <c r="G66" s="35"/>
      <c r="H66" s="23"/>
      <c r="I66" s="24"/>
      <c r="J66" s="31" t="str">
        <f aca="false">IF(I66="","",UPPER(SUBSTITUTE(SUBSTITUTE(SUBSTITUTE(SUBSTITUTE(SUBSTITUTE(TRIM(I66),".",""),"/",""),"-",""),"*","")," ","")))</f>
        <v/>
      </c>
      <c r="K66" s="31" t="str">
        <f aca="false">IF(OR(H66="",J66=""),"",IF(LEN(J66)&gt;=13,IF(LEN(J66)=13,"0"&amp;J66,J66),SUBSTITUTE(SUBSTITUTE(SUBSTITUTE(SUBSTITUTE(SUBSTITUTE(SUBSTITUTE(SUBSTITUTE(SUBSTITUTE(SUBSTITUTE(SUBSTITUTE(SUBSTITUTE(SUBSTITUTE(SUBSTITUTE(UPPER(TRIM(H66)),"Á","A"),"À","A"),"Â","A"),"Ã","A"),"É","E"),"Ê","E"),"Í","I"),"Ó","O"),"Ô","O"),"Õ","O"),"Ú","U"),"Ü","U"),"Ç","C")&amp;"|"&amp;IF(LEN(J66)=11,MID(J66,4,6),J66)))</f>
        <v/>
      </c>
      <c r="L66" s="25" t="str">
        <f aca="false">IF(K66="","",IF(E66="Doação recebida",TRIM(IF(COUNTIF(Socios!$H:$H,K66)&gt;0,"Doador é sócio de empresa da pauta. ","")&amp;IF(COUNTIF(Pessoas!$E:$E,K66)&gt;0,"Doador está em Pessoas.","")),IF(E66="Despesa com fornecedor",IF(COUNTIF(Contratos!$D:$D,K66)&gt;0,"Fornecedor também tem contrato público",""),"")))</f>
        <v/>
      </c>
      <c r="M66" s="24"/>
      <c r="N66" s="11"/>
    </row>
    <row r="67" customFormat="false" ht="15" hidden="false" customHeight="false" outlineLevel="0" collapsed="false">
      <c r="A67" s="23"/>
      <c r="B67" s="31" t="str">
        <f aca="false">IF(A67="","",SUBSTITUTE(SUBSTITUTE(SUBSTITUTE(SUBSTITUTE(SUBSTITUTE(SUBSTITUTE(SUBSTITUTE(SUBSTITUTE(SUBSTITUTE(SUBSTITUTE(SUBSTITUTE(SUBSTITUTE(SUBSTITUTE(UPPER(TRIM(A67)),"Á","A"),"À","A"),"Â","A"),"Ã","A"),"É","E"),"Ê","E"),"Í","I"),"Ó","O"),"Ô","O"),"Õ","O"),"Ú","U"),"Ü","U"),"Ç","C"))</f>
        <v/>
      </c>
      <c r="C67" s="43"/>
      <c r="D67" s="23"/>
      <c r="E67" s="23"/>
      <c r="F67" s="11"/>
      <c r="G67" s="35"/>
      <c r="H67" s="23"/>
      <c r="I67" s="24"/>
      <c r="J67" s="31" t="str">
        <f aca="false">IF(I67="","",UPPER(SUBSTITUTE(SUBSTITUTE(SUBSTITUTE(SUBSTITUTE(SUBSTITUTE(TRIM(I67),".",""),"/",""),"-",""),"*","")," ","")))</f>
        <v/>
      </c>
      <c r="K67" s="31" t="str">
        <f aca="false">IF(OR(H67="",J67=""),"",IF(LEN(J67)&gt;=13,IF(LEN(J67)=13,"0"&amp;J67,J67),SUBSTITUTE(SUBSTITUTE(SUBSTITUTE(SUBSTITUTE(SUBSTITUTE(SUBSTITUTE(SUBSTITUTE(SUBSTITUTE(SUBSTITUTE(SUBSTITUTE(SUBSTITUTE(SUBSTITUTE(SUBSTITUTE(UPPER(TRIM(H67)),"Á","A"),"À","A"),"Â","A"),"Ã","A"),"É","E"),"Ê","E"),"Í","I"),"Ó","O"),"Ô","O"),"Õ","O"),"Ú","U"),"Ü","U"),"Ç","C")&amp;"|"&amp;IF(LEN(J67)=11,MID(J67,4,6),J67)))</f>
        <v/>
      </c>
      <c r="L67" s="25" t="str">
        <f aca="false">IF(K67="","",IF(E67="Doação recebida",TRIM(IF(COUNTIF(Socios!$H:$H,K67)&gt;0,"Doador é sócio de empresa da pauta. ","")&amp;IF(COUNTIF(Pessoas!$E:$E,K67)&gt;0,"Doador está em Pessoas.","")),IF(E67="Despesa com fornecedor",IF(COUNTIF(Contratos!$D:$D,K67)&gt;0,"Fornecedor também tem contrato público",""),"")))</f>
        <v/>
      </c>
      <c r="M67" s="24"/>
      <c r="N67" s="11"/>
    </row>
    <row r="68" customFormat="false" ht="15" hidden="false" customHeight="false" outlineLevel="0" collapsed="false">
      <c r="A68" s="23"/>
      <c r="B68" s="31" t="str">
        <f aca="false">IF(A68="","",SUBSTITUTE(SUBSTITUTE(SUBSTITUTE(SUBSTITUTE(SUBSTITUTE(SUBSTITUTE(SUBSTITUTE(SUBSTITUTE(SUBSTITUTE(SUBSTITUTE(SUBSTITUTE(SUBSTITUTE(SUBSTITUTE(UPPER(TRIM(A68)),"Á","A"),"À","A"),"Â","A"),"Ã","A"),"É","E"),"Ê","E"),"Í","I"),"Ó","O"),"Ô","O"),"Õ","O"),"Ú","U"),"Ü","U"),"Ç","C"))</f>
        <v/>
      </c>
      <c r="C68" s="43"/>
      <c r="D68" s="23"/>
      <c r="E68" s="23"/>
      <c r="F68" s="11"/>
      <c r="G68" s="35"/>
      <c r="H68" s="23"/>
      <c r="I68" s="24"/>
      <c r="J68" s="31" t="str">
        <f aca="false">IF(I68="","",UPPER(SUBSTITUTE(SUBSTITUTE(SUBSTITUTE(SUBSTITUTE(SUBSTITUTE(TRIM(I68),".",""),"/",""),"-",""),"*","")," ","")))</f>
        <v/>
      </c>
      <c r="K68" s="31" t="str">
        <f aca="false">IF(OR(H68="",J68=""),"",IF(LEN(J68)&gt;=13,IF(LEN(J68)=13,"0"&amp;J68,J68),SUBSTITUTE(SUBSTITUTE(SUBSTITUTE(SUBSTITUTE(SUBSTITUTE(SUBSTITUTE(SUBSTITUTE(SUBSTITUTE(SUBSTITUTE(SUBSTITUTE(SUBSTITUTE(SUBSTITUTE(SUBSTITUTE(UPPER(TRIM(H68)),"Á","A"),"À","A"),"Â","A"),"Ã","A"),"É","E"),"Ê","E"),"Í","I"),"Ó","O"),"Ô","O"),"Õ","O"),"Ú","U"),"Ü","U"),"Ç","C")&amp;"|"&amp;IF(LEN(J68)=11,MID(J68,4,6),J68)))</f>
        <v/>
      </c>
      <c r="L68" s="25" t="str">
        <f aca="false">IF(K68="","",IF(E68="Doação recebida",TRIM(IF(COUNTIF(Socios!$H:$H,K68)&gt;0,"Doador é sócio de empresa da pauta. ","")&amp;IF(COUNTIF(Pessoas!$E:$E,K68)&gt;0,"Doador está em Pessoas.","")),IF(E68="Despesa com fornecedor",IF(COUNTIF(Contratos!$D:$D,K68)&gt;0,"Fornecedor também tem contrato público",""),"")))</f>
        <v/>
      </c>
      <c r="M68" s="24"/>
      <c r="N68" s="11"/>
    </row>
    <row r="69" customFormat="false" ht="15" hidden="false" customHeight="false" outlineLevel="0" collapsed="false">
      <c r="A69" s="23"/>
      <c r="B69" s="31" t="str">
        <f aca="false">IF(A69="","",SUBSTITUTE(SUBSTITUTE(SUBSTITUTE(SUBSTITUTE(SUBSTITUTE(SUBSTITUTE(SUBSTITUTE(SUBSTITUTE(SUBSTITUTE(SUBSTITUTE(SUBSTITUTE(SUBSTITUTE(SUBSTITUTE(UPPER(TRIM(A69)),"Á","A"),"À","A"),"Â","A"),"Ã","A"),"É","E"),"Ê","E"),"Í","I"),"Ó","O"),"Ô","O"),"Õ","O"),"Ú","U"),"Ü","U"),"Ç","C"))</f>
        <v/>
      </c>
      <c r="C69" s="43"/>
      <c r="D69" s="23"/>
      <c r="E69" s="23"/>
      <c r="F69" s="11"/>
      <c r="G69" s="35"/>
      <c r="H69" s="23"/>
      <c r="I69" s="24"/>
      <c r="J69" s="31" t="str">
        <f aca="false">IF(I69="","",UPPER(SUBSTITUTE(SUBSTITUTE(SUBSTITUTE(SUBSTITUTE(SUBSTITUTE(TRIM(I69),".",""),"/",""),"-",""),"*","")," ","")))</f>
        <v/>
      </c>
      <c r="K69" s="31" t="str">
        <f aca="false">IF(OR(H69="",J69=""),"",IF(LEN(J69)&gt;=13,IF(LEN(J69)=13,"0"&amp;J69,J69),SUBSTITUTE(SUBSTITUTE(SUBSTITUTE(SUBSTITUTE(SUBSTITUTE(SUBSTITUTE(SUBSTITUTE(SUBSTITUTE(SUBSTITUTE(SUBSTITUTE(SUBSTITUTE(SUBSTITUTE(SUBSTITUTE(UPPER(TRIM(H69)),"Á","A"),"À","A"),"Â","A"),"Ã","A"),"É","E"),"Ê","E"),"Í","I"),"Ó","O"),"Ô","O"),"Õ","O"),"Ú","U"),"Ü","U"),"Ç","C")&amp;"|"&amp;IF(LEN(J69)=11,MID(J69,4,6),J69)))</f>
        <v/>
      </c>
      <c r="L69" s="25" t="str">
        <f aca="false">IF(K69="","",IF(E69="Doação recebida",TRIM(IF(COUNTIF(Socios!$H:$H,K69)&gt;0,"Doador é sócio de empresa da pauta. ","")&amp;IF(COUNTIF(Pessoas!$E:$E,K69)&gt;0,"Doador está em Pessoas.","")),IF(E69="Despesa com fornecedor",IF(COUNTIF(Contratos!$D:$D,K69)&gt;0,"Fornecedor também tem contrato público",""),"")))</f>
        <v/>
      </c>
      <c r="M69" s="24"/>
      <c r="N69" s="11"/>
    </row>
    <row r="70" customFormat="false" ht="15" hidden="false" customHeight="false" outlineLevel="0" collapsed="false">
      <c r="A70" s="23"/>
      <c r="B70" s="31" t="str">
        <f aca="false">IF(A70="","",SUBSTITUTE(SUBSTITUTE(SUBSTITUTE(SUBSTITUTE(SUBSTITUTE(SUBSTITUTE(SUBSTITUTE(SUBSTITUTE(SUBSTITUTE(SUBSTITUTE(SUBSTITUTE(SUBSTITUTE(SUBSTITUTE(UPPER(TRIM(A70)),"Á","A"),"À","A"),"Â","A"),"Ã","A"),"É","E"),"Ê","E"),"Í","I"),"Ó","O"),"Ô","O"),"Õ","O"),"Ú","U"),"Ü","U"),"Ç","C"))</f>
        <v/>
      </c>
      <c r="C70" s="43"/>
      <c r="D70" s="23"/>
      <c r="E70" s="23"/>
      <c r="F70" s="11"/>
      <c r="G70" s="35"/>
      <c r="H70" s="23"/>
      <c r="I70" s="24"/>
      <c r="J70" s="31" t="str">
        <f aca="false">IF(I70="","",UPPER(SUBSTITUTE(SUBSTITUTE(SUBSTITUTE(SUBSTITUTE(SUBSTITUTE(TRIM(I70),".",""),"/",""),"-",""),"*","")," ","")))</f>
        <v/>
      </c>
      <c r="K70" s="31" t="str">
        <f aca="false">IF(OR(H70="",J70=""),"",IF(LEN(J70)&gt;=13,IF(LEN(J70)=13,"0"&amp;J70,J70),SUBSTITUTE(SUBSTITUTE(SUBSTITUTE(SUBSTITUTE(SUBSTITUTE(SUBSTITUTE(SUBSTITUTE(SUBSTITUTE(SUBSTITUTE(SUBSTITUTE(SUBSTITUTE(SUBSTITUTE(SUBSTITUTE(UPPER(TRIM(H70)),"Á","A"),"À","A"),"Â","A"),"Ã","A"),"É","E"),"Ê","E"),"Í","I"),"Ó","O"),"Ô","O"),"Õ","O"),"Ú","U"),"Ü","U"),"Ç","C")&amp;"|"&amp;IF(LEN(J70)=11,MID(J70,4,6),J70)))</f>
        <v/>
      </c>
      <c r="L70" s="25" t="str">
        <f aca="false">IF(K70="","",IF(E70="Doação recebida",TRIM(IF(COUNTIF(Socios!$H:$H,K70)&gt;0,"Doador é sócio de empresa da pauta. ","")&amp;IF(COUNTIF(Pessoas!$E:$E,K70)&gt;0,"Doador está em Pessoas.","")),IF(E70="Despesa com fornecedor",IF(COUNTIF(Contratos!$D:$D,K70)&gt;0,"Fornecedor também tem contrato público",""),"")))</f>
        <v/>
      </c>
      <c r="M70" s="24"/>
      <c r="N70" s="11"/>
    </row>
    <row r="71" customFormat="false" ht="15" hidden="false" customHeight="false" outlineLevel="0" collapsed="false">
      <c r="A71" s="23"/>
      <c r="B71" s="31" t="str">
        <f aca="false">IF(A71="","",SUBSTITUTE(SUBSTITUTE(SUBSTITUTE(SUBSTITUTE(SUBSTITUTE(SUBSTITUTE(SUBSTITUTE(SUBSTITUTE(SUBSTITUTE(SUBSTITUTE(SUBSTITUTE(SUBSTITUTE(SUBSTITUTE(UPPER(TRIM(A71)),"Á","A"),"À","A"),"Â","A"),"Ã","A"),"É","E"),"Ê","E"),"Í","I"),"Ó","O"),"Ô","O"),"Õ","O"),"Ú","U"),"Ü","U"),"Ç","C"))</f>
        <v/>
      </c>
      <c r="C71" s="43"/>
      <c r="D71" s="23"/>
      <c r="E71" s="23"/>
      <c r="F71" s="11"/>
      <c r="G71" s="35"/>
      <c r="H71" s="23"/>
      <c r="I71" s="24"/>
      <c r="J71" s="31" t="str">
        <f aca="false">IF(I71="","",UPPER(SUBSTITUTE(SUBSTITUTE(SUBSTITUTE(SUBSTITUTE(SUBSTITUTE(TRIM(I71),".",""),"/",""),"-",""),"*","")," ","")))</f>
        <v/>
      </c>
      <c r="K71" s="31" t="str">
        <f aca="false">IF(OR(H71="",J71=""),"",IF(LEN(J71)&gt;=13,IF(LEN(J71)=13,"0"&amp;J71,J71),SUBSTITUTE(SUBSTITUTE(SUBSTITUTE(SUBSTITUTE(SUBSTITUTE(SUBSTITUTE(SUBSTITUTE(SUBSTITUTE(SUBSTITUTE(SUBSTITUTE(SUBSTITUTE(SUBSTITUTE(SUBSTITUTE(UPPER(TRIM(H71)),"Á","A"),"À","A"),"Â","A"),"Ã","A"),"É","E"),"Ê","E"),"Í","I"),"Ó","O"),"Ô","O"),"Õ","O"),"Ú","U"),"Ü","U"),"Ç","C")&amp;"|"&amp;IF(LEN(J71)=11,MID(J71,4,6),J71)))</f>
        <v/>
      </c>
      <c r="L71" s="25" t="str">
        <f aca="false">IF(K71="","",IF(E71="Doação recebida",TRIM(IF(COUNTIF(Socios!$H:$H,K71)&gt;0,"Doador é sócio de empresa da pauta. ","")&amp;IF(COUNTIF(Pessoas!$E:$E,K71)&gt;0,"Doador está em Pessoas.","")),IF(E71="Despesa com fornecedor",IF(COUNTIF(Contratos!$D:$D,K71)&gt;0,"Fornecedor também tem contrato público",""),"")))</f>
        <v/>
      </c>
      <c r="M71" s="24"/>
      <c r="N71" s="11"/>
    </row>
    <row r="72" customFormat="false" ht="15" hidden="false" customHeight="false" outlineLevel="0" collapsed="false">
      <c r="A72" s="23"/>
      <c r="B72" s="31" t="str">
        <f aca="false">IF(A72="","",SUBSTITUTE(SUBSTITUTE(SUBSTITUTE(SUBSTITUTE(SUBSTITUTE(SUBSTITUTE(SUBSTITUTE(SUBSTITUTE(SUBSTITUTE(SUBSTITUTE(SUBSTITUTE(SUBSTITUTE(SUBSTITUTE(UPPER(TRIM(A72)),"Á","A"),"À","A"),"Â","A"),"Ã","A"),"É","E"),"Ê","E"),"Í","I"),"Ó","O"),"Ô","O"),"Õ","O"),"Ú","U"),"Ü","U"),"Ç","C"))</f>
        <v/>
      </c>
      <c r="C72" s="43"/>
      <c r="D72" s="23"/>
      <c r="E72" s="23"/>
      <c r="F72" s="11"/>
      <c r="G72" s="35"/>
      <c r="H72" s="23"/>
      <c r="I72" s="24"/>
      <c r="J72" s="31" t="str">
        <f aca="false">IF(I72="","",UPPER(SUBSTITUTE(SUBSTITUTE(SUBSTITUTE(SUBSTITUTE(SUBSTITUTE(TRIM(I72),".",""),"/",""),"-",""),"*","")," ","")))</f>
        <v/>
      </c>
      <c r="K72" s="31" t="str">
        <f aca="false">IF(OR(H72="",J72=""),"",IF(LEN(J72)&gt;=13,IF(LEN(J72)=13,"0"&amp;J72,J72),SUBSTITUTE(SUBSTITUTE(SUBSTITUTE(SUBSTITUTE(SUBSTITUTE(SUBSTITUTE(SUBSTITUTE(SUBSTITUTE(SUBSTITUTE(SUBSTITUTE(SUBSTITUTE(SUBSTITUTE(SUBSTITUTE(UPPER(TRIM(H72)),"Á","A"),"À","A"),"Â","A"),"Ã","A"),"É","E"),"Ê","E"),"Í","I"),"Ó","O"),"Ô","O"),"Õ","O"),"Ú","U"),"Ü","U"),"Ç","C")&amp;"|"&amp;IF(LEN(J72)=11,MID(J72,4,6),J72)))</f>
        <v/>
      </c>
      <c r="L72" s="25" t="str">
        <f aca="false">IF(K72="","",IF(E72="Doação recebida",TRIM(IF(COUNTIF(Socios!$H:$H,K72)&gt;0,"Doador é sócio de empresa da pauta. ","")&amp;IF(COUNTIF(Pessoas!$E:$E,K72)&gt;0,"Doador está em Pessoas.","")),IF(E72="Despesa com fornecedor",IF(COUNTIF(Contratos!$D:$D,K72)&gt;0,"Fornecedor também tem contrato público",""),"")))</f>
        <v/>
      </c>
      <c r="M72" s="24"/>
      <c r="N72" s="11"/>
    </row>
    <row r="73" customFormat="false" ht="15" hidden="false" customHeight="false" outlineLevel="0" collapsed="false">
      <c r="A73" s="23"/>
      <c r="B73" s="31" t="str">
        <f aca="false">IF(A73="","",SUBSTITUTE(SUBSTITUTE(SUBSTITUTE(SUBSTITUTE(SUBSTITUTE(SUBSTITUTE(SUBSTITUTE(SUBSTITUTE(SUBSTITUTE(SUBSTITUTE(SUBSTITUTE(SUBSTITUTE(SUBSTITUTE(UPPER(TRIM(A73)),"Á","A"),"À","A"),"Â","A"),"Ã","A"),"É","E"),"Ê","E"),"Í","I"),"Ó","O"),"Ô","O"),"Õ","O"),"Ú","U"),"Ü","U"),"Ç","C"))</f>
        <v/>
      </c>
      <c r="C73" s="43"/>
      <c r="D73" s="23"/>
      <c r="E73" s="23"/>
      <c r="F73" s="11"/>
      <c r="G73" s="35"/>
      <c r="H73" s="23"/>
      <c r="I73" s="24"/>
      <c r="J73" s="31" t="str">
        <f aca="false">IF(I73="","",UPPER(SUBSTITUTE(SUBSTITUTE(SUBSTITUTE(SUBSTITUTE(SUBSTITUTE(TRIM(I73),".",""),"/",""),"-",""),"*","")," ","")))</f>
        <v/>
      </c>
      <c r="K73" s="31" t="str">
        <f aca="false">IF(OR(H73="",J73=""),"",IF(LEN(J73)&gt;=13,IF(LEN(J73)=13,"0"&amp;J73,J73),SUBSTITUTE(SUBSTITUTE(SUBSTITUTE(SUBSTITUTE(SUBSTITUTE(SUBSTITUTE(SUBSTITUTE(SUBSTITUTE(SUBSTITUTE(SUBSTITUTE(SUBSTITUTE(SUBSTITUTE(SUBSTITUTE(UPPER(TRIM(H73)),"Á","A"),"À","A"),"Â","A"),"Ã","A"),"É","E"),"Ê","E"),"Í","I"),"Ó","O"),"Ô","O"),"Õ","O"),"Ú","U"),"Ü","U"),"Ç","C")&amp;"|"&amp;IF(LEN(J73)=11,MID(J73,4,6),J73)))</f>
        <v/>
      </c>
      <c r="L73" s="25" t="str">
        <f aca="false">IF(K73="","",IF(E73="Doação recebida",TRIM(IF(COUNTIF(Socios!$H:$H,K73)&gt;0,"Doador é sócio de empresa da pauta. ","")&amp;IF(COUNTIF(Pessoas!$E:$E,K73)&gt;0,"Doador está em Pessoas.","")),IF(E73="Despesa com fornecedor",IF(COUNTIF(Contratos!$D:$D,K73)&gt;0,"Fornecedor também tem contrato público",""),"")))</f>
        <v/>
      </c>
      <c r="M73" s="24"/>
      <c r="N73" s="11"/>
    </row>
    <row r="74" customFormat="false" ht="15" hidden="false" customHeight="false" outlineLevel="0" collapsed="false">
      <c r="A74" s="23"/>
      <c r="B74" s="31" t="str">
        <f aca="false">IF(A74="","",SUBSTITUTE(SUBSTITUTE(SUBSTITUTE(SUBSTITUTE(SUBSTITUTE(SUBSTITUTE(SUBSTITUTE(SUBSTITUTE(SUBSTITUTE(SUBSTITUTE(SUBSTITUTE(SUBSTITUTE(SUBSTITUTE(UPPER(TRIM(A74)),"Á","A"),"À","A"),"Â","A"),"Ã","A"),"É","E"),"Ê","E"),"Í","I"),"Ó","O"),"Ô","O"),"Õ","O"),"Ú","U"),"Ü","U"),"Ç","C"))</f>
        <v/>
      </c>
      <c r="C74" s="43"/>
      <c r="D74" s="23"/>
      <c r="E74" s="23"/>
      <c r="F74" s="11"/>
      <c r="G74" s="35"/>
      <c r="H74" s="23"/>
      <c r="I74" s="24"/>
      <c r="J74" s="31" t="str">
        <f aca="false">IF(I74="","",UPPER(SUBSTITUTE(SUBSTITUTE(SUBSTITUTE(SUBSTITUTE(SUBSTITUTE(TRIM(I74),".",""),"/",""),"-",""),"*","")," ","")))</f>
        <v/>
      </c>
      <c r="K74" s="31" t="str">
        <f aca="false">IF(OR(H74="",J74=""),"",IF(LEN(J74)&gt;=13,IF(LEN(J74)=13,"0"&amp;J74,J74),SUBSTITUTE(SUBSTITUTE(SUBSTITUTE(SUBSTITUTE(SUBSTITUTE(SUBSTITUTE(SUBSTITUTE(SUBSTITUTE(SUBSTITUTE(SUBSTITUTE(SUBSTITUTE(SUBSTITUTE(SUBSTITUTE(UPPER(TRIM(H74)),"Á","A"),"À","A"),"Â","A"),"Ã","A"),"É","E"),"Ê","E"),"Í","I"),"Ó","O"),"Ô","O"),"Õ","O"),"Ú","U"),"Ü","U"),"Ç","C")&amp;"|"&amp;IF(LEN(J74)=11,MID(J74,4,6),J74)))</f>
        <v/>
      </c>
      <c r="L74" s="25" t="str">
        <f aca="false">IF(K74="","",IF(E74="Doação recebida",TRIM(IF(COUNTIF(Socios!$H:$H,K74)&gt;0,"Doador é sócio de empresa da pauta. ","")&amp;IF(COUNTIF(Pessoas!$E:$E,K74)&gt;0,"Doador está em Pessoas.","")),IF(E74="Despesa com fornecedor",IF(COUNTIF(Contratos!$D:$D,K74)&gt;0,"Fornecedor também tem contrato público",""),"")))</f>
        <v/>
      </c>
      <c r="M74" s="24"/>
      <c r="N74" s="11"/>
    </row>
    <row r="75" customFormat="false" ht="15" hidden="false" customHeight="false" outlineLevel="0" collapsed="false">
      <c r="A75" s="23"/>
      <c r="B75" s="31" t="str">
        <f aca="false">IF(A75="","",SUBSTITUTE(SUBSTITUTE(SUBSTITUTE(SUBSTITUTE(SUBSTITUTE(SUBSTITUTE(SUBSTITUTE(SUBSTITUTE(SUBSTITUTE(SUBSTITUTE(SUBSTITUTE(SUBSTITUTE(SUBSTITUTE(UPPER(TRIM(A75)),"Á","A"),"À","A"),"Â","A"),"Ã","A"),"É","E"),"Ê","E"),"Í","I"),"Ó","O"),"Ô","O"),"Õ","O"),"Ú","U"),"Ü","U"),"Ç","C"))</f>
        <v/>
      </c>
      <c r="C75" s="43"/>
      <c r="D75" s="23"/>
      <c r="E75" s="23"/>
      <c r="F75" s="11"/>
      <c r="G75" s="35"/>
      <c r="H75" s="23"/>
      <c r="I75" s="24"/>
      <c r="J75" s="31" t="str">
        <f aca="false">IF(I75="","",UPPER(SUBSTITUTE(SUBSTITUTE(SUBSTITUTE(SUBSTITUTE(SUBSTITUTE(TRIM(I75),".",""),"/",""),"-",""),"*","")," ","")))</f>
        <v/>
      </c>
      <c r="K75" s="31" t="str">
        <f aca="false">IF(OR(H75="",J75=""),"",IF(LEN(J75)&gt;=13,IF(LEN(J75)=13,"0"&amp;J75,J75),SUBSTITUTE(SUBSTITUTE(SUBSTITUTE(SUBSTITUTE(SUBSTITUTE(SUBSTITUTE(SUBSTITUTE(SUBSTITUTE(SUBSTITUTE(SUBSTITUTE(SUBSTITUTE(SUBSTITUTE(SUBSTITUTE(UPPER(TRIM(H75)),"Á","A"),"À","A"),"Â","A"),"Ã","A"),"É","E"),"Ê","E"),"Í","I"),"Ó","O"),"Ô","O"),"Õ","O"),"Ú","U"),"Ü","U"),"Ç","C")&amp;"|"&amp;IF(LEN(J75)=11,MID(J75,4,6),J75)))</f>
        <v/>
      </c>
      <c r="L75" s="25" t="str">
        <f aca="false">IF(K75="","",IF(E75="Doação recebida",TRIM(IF(COUNTIF(Socios!$H:$H,K75)&gt;0,"Doador é sócio de empresa da pauta. ","")&amp;IF(COUNTIF(Pessoas!$E:$E,K75)&gt;0,"Doador está em Pessoas.","")),IF(E75="Despesa com fornecedor",IF(COUNTIF(Contratos!$D:$D,K75)&gt;0,"Fornecedor também tem contrato público",""),"")))</f>
        <v/>
      </c>
      <c r="M75" s="24"/>
      <c r="N75" s="11"/>
    </row>
    <row r="76" customFormat="false" ht="15" hidden="false" customHeight="false" outlineLevel="0" collapsed="false">
      <c r="A76" s="23"/>
      <c r="B76" s="31" t="str">
        <f aca="false">IF(A76="","",SUBSTITUTE(SUBSTITUTE(SUBSTITUTE(SUBSTITUTE(SUBSTITUTE(SUBSTITUTE(SUBSTITUTE(SUBSTITUTE(SUBSTITUTE(SUBSTITUTE(SUBSTITUTE(SUBSTITUTE(SUBSTITUTE(UPPER(TRIM(A76)),"Á","A"),"À","A"),"Â","A"),"Ã","A"),"É","E"),"Ê","E"),"Í","I"),"Ó","O"),"Ô","O"),"Õ","O"),"Ú","U"),"Ü","U"),"Ç","C"))</f>
        <v/>
      </c>
      <c r="C76" s="43"/>
      <c r="D76" s="23"/>
      <c r="E76" s="23"/>
      <c r="F76" s="11"/>
      <c r="G76" s="35"/>
      <c r="H76" s="23"/>
      <c r="I76" s="24"/>
      <c r="J76" s="31" t="str">
        <f aca="false">IF(I76="","",UPPER(SUBSTITUTE(SUBSTITUTE(SUBSTITUTE(SUBSTITUTE(SUBSTITUTE(TRIM(I76),".",""),"/",""),"-",""),"*","")," ","")))</f>
        <v/>
      </c>
      <c r="K76" s="31" t="str">
        <f aca="false">IF(OR(H76="",J76=""),"",IF(LEN(J76)&gt;=13,IF(LEN(J76)=13,"0"&amp;J76,J76),SUBSTITUTE(SUBSTITUTE(SUBSTITUTE(SUBSTITUTE(SUBSTITUTE(SUBSTITUTE(SUBSTITUTE(SUBSTITUTE(SUBSTITUTE(SUBSTITUTE(SUBSTITUTE(SUBSTITUTE(SUBSTITUTE(UPPER(TRIM(H76)),"Á","A"),"À","A"),"Â","A"),"Ã","A"),"É","E"),"Ê","E"),"Í","I"),"Ó","O"),"Ô","O"),"Õ","O"),"Ú","U"),"Ü","U"),"Ç","C")&amp;"|"&amp;IF(LEN(J76)=11,MID(J76,4,6),J76)))</f>
        <v/>
      </c>
      <c r="L76" s="25" t="str">
        <f aca="false">IF(K76="","",IF(E76="Doação recebida",TRIM(IF(COUNTIF(Socios!$H:$H,K76)&gt;0,"Doador é sócio de empresa da pauta. ","")&amp;IF(COUNTIF(Pessoas!$E:$E,K76)&gt;0,"Doador está em Pessoas.","")),IF(E76="Despesa com fornecedor",IF(COUNTIF(Contratos!$D:$D,K76)&gt;0,"Fornecedor também tem contrato público",""),"")))</f>
        <v/>
      </c>
      <c r="M76" s="24"/>
      <c r="N76" s="11"/>
    </row>
    <row r="77" customFormat="false" ht="15" hidden="false" customHeight="false" outlineLevel="0" collapsed="false">
      <c r="A77" s="23"/>
      <c r="B77" s="31" t="str">
        <f aca="false">IF(A77="","",SUBSTITUTE(SUBSTITUTE(SUBSTITUTE(SUBSTITUTE(SUBSTITUTE(SUBSTITUTE(SUBSTITUTE(SUBSTITUTE(SUBSTITUTE(SUBSTITUTE(SUBSTITUTE(SUBSTITUTE(SUBSTITUTE(UPPER(TRIM(A77)),"Á","A"),"À","A"),"Â","A"),"Ã","A"),"É","E"),"Ê","E"),"Í","I"),"Ó","O"),"Ô","O"),"Õ","O"),"Ú","U"),"Ü","U"),"Ç","C"))</f>
        <v/>
      </c>
      <c r="C77" s="43"/>
      <c r="D77" s="23"/>
      <c r="E77" s="23"/>
      <c r="F77" s="11"/>
      <c r="G77" s="35"/>
      <c r="H77" s="23"/>
      <c r="I77" s="24"/>
      <c r="J77" s="31" t="str">
        <f aca="false">IF(I77="","",UPPER(SUBSTITUTE(SUBSTITUTE(SUBSTITUTE(SUBSTITUTE(SUBSTITUTE(TRIM(I77),".",""),"/",""),"-",""),"*","")," ","")))</f>
        <v/>
      </c>
      <c r="K77" s="31" t="str">
        <f aca="false">IF(OR(H77="",J77=""),"",IF(LEN(J77)&gt;=13,IF(LEN(J77)=13,"0"&amp;J77,J77),SUBSTITUTE(SUBSTITUTE(SUBSTITUTE(SUBSTITUTE(SUBSTITUTE(SUBSTITUTE(SUBSTITUTE(SUBSTITUTE(SUBSTITUTE(SUBSTITUTE(SUBSTITUTE(SUBSTITUTE(SUBSTITUTE(UPPER(TRIM(H77)),"Á","A"),"À","A"),"Â","A"),"Ã","A"),"É","E"),"Ê","E"),"Í","I"),"Ó","O"),"Ô","O"),"Õ","O"),"Ú","U"),"Ü","U"),"Ç","C")&amp;"|"&amp;IF(LEN(J77)=11,MID(J77,4,6),J77)))</f>
        <v/>
      </c>
      <c r="L77" s="25" t="str">
        <f aca="false">IF(K77="","",IF(E77="Doação recebida",TRIM(IF(COUNTIF(Socios!$H:$H,K77)&gt;0,"Doador é sócio de empresa da pauta. ","")&amp;IF(COUNTIF(Pessoas!$E:$E,K77)&gt;0,"Doador está em Pessoas.","")),IF(E77="Despesa com fornecedor",IF(COUNTIF(Contratos!$D:$D,K77)&gt;0,"Fornecedor também tem contrato público",""),"")))</f>
        <v/>
      </c>
      <c r="M77" s="24"/>
      <c r="N77" s="11"/>
    </row>
    <row r="78" customFormat="false" ht="15" hidden="false" customHeight="false" outlineLevel="0" collapsed="false">
      <c r="A78" s="23"/>
      <c r="B78" s="31" t="str">
        <f aca="false">IF(A78="","",SUBSTITUTE(SUBSTITUTE(SUBSTITUTE(SUBSTITUTE(SUBSTITUTE(SUBSTITUTE(SUBSTITUTE(SUBSTITUTE(SUBSTITUTE(SUBSTITUTE(SUBSTITUTE(SUBSTITUTE(SUBSTITUTE(UPPER(TRIM(A78)),"Á","A"),"À","A"),"Â","A"),"Ã","A"),"É","E"),"Ê","E"),"Í","I"),"Ó","O"),"Ô","O"),"Õ","O"),"Ú","U"),"Ü","U"),"Ç","C"))</f>
        <v/>
      </c>
      <c r="C78" s="43"/>
      <c r="D78" s="23"/>
      <c r="E78" s="23"/>
      <c r="F78" s="11"/>
      <c r="G78" s="35"/>
      <c r="H78" s="23"/>
      <c r="I78" s="24"/>
      <c r="J78" s="31" t="str">
        <f aca="false">IF(I78="","",UPPER(SUBSTITUTE(SUBSTITUTE(SUBSTITUTE(SUBSTITUTE(SUBSTITUTE(TRIM(I78),".",""),"/",""),"-",""),"*","")," ","")))</f>
        <v/>
      </c>
      <c r="K78" s="31" t="str">
        <f aca="false">IF(OR(H78="",J78=""),"",IF(LEN(J78)&gt;=13,IF(LEN(J78)=13,"0"&amp;J78,J78),SUBSTITUTE(SUBSTITUTE(SUBSTITUTE(SUBSTITUTE(SUBSTITUTE(SUBSTITUTE(SUBSTITUTE(SUBSTITUTE(SUBSTITUTE(SUBSTITUTE(SUBSTITUTE(SUBSTITUTE(SUBSTITUTE(UPPER(TRIM(H78)),"Á","A"),"À","A"),"Â","A"),"Ã","A"),"É","E"),"Ê","E"),"Í","I"),"Ó","O"),"Ô","O"),"Õ","O"),"Ú","U"),"Ü","U"),"Ç","C")&amp;"|"&amp;IF(LEN(J78)=11,MID(J78,4,6),J78)))</f>
        <v/>
      </c>
      <c r="L78" s="25" t="str">
        <f aca="false">IF(K78="","",IF(E78="Doação recebida",TRIM(IF(COUNTIF(Socios!$H:$H,K78)&gt;0,"Doador é sócio de empresa da pauta. ","")&amp;IF(COUNTIF(Pessoas!$E:$E,K78)&gt;0,"Doador está em Pessoas.","")),IF(E78="Despesa com fornecedor",IF(COUNTIF(Contratos!$D:$D,K78)&gt;0,"Fornecedor também tem contrato público",""),"")))</f>
        <v/>
      </c>
      <c r="M78" s="24"/>
      <c r="N78" s="11"/>
    </row>
    <row r="79" customFormat="false" ht="15" hidden="false" customHeight="false" outlineLevel="0" collapsed="false">
      <c r="A79" s="23"/>
      <c r="B79" s="31" t="str">
        <f aca="false">IF(A79="","",SUBSTITUTE(SUBSTITUTE(SUBSTITUTE(SUBSTITUTE(SUBSTITUTE(SUBSTITUTE(SUBSTITUTE(SUBSTITUTE(SUBSTITUTE(SUBSTITUTE(SUBSTITUTE(SUBSTITUTE(SUBSTITUTE(UPPER(TRIM(A79)),"Á","A"),"À","A"),"Â","A"),"Ã","A"),"É","E"),"Ê","E"),"Í","I"),"Ó","O"),"Ô","O"),"Õ","O"),"Ú","U"),"Ü","U"),"Ç","C"))</f>
        <v/>
      </c>
      <c r="C79" s="43"/>
      <c r="D79" s="23"/>
      <c r="E79" s="23"/>
      <c r="F79" s="11"/>
      <c r="G79" s="35"/>
      <c r="H79" s="23"/>
      <c r="I79" s="24"/>
      <c r="J79" s="31" t="str">
        <f aca="false">IF(I79="","",UPPER(SUBSTITUTE(SUBSTITUTE(SUBSTITUTE(SUBSTITUTE(SUBSTITUTE(TRIM(I79),".",""),"/",""),"-",""),"*","")," ","")))</f>
        <v/>
      </c>
      <c r="K79" s="31" t="str">
        <f aca="false">IF(OR(H79="",J79=""),"",IF(LEN(J79)&gt;=13,IF(LEN(J79)=13,"0"&amp;J79,J79),SUBSTITUTE(SUBSTITUTE(SUBSTITUTE(SUBSTITUTE(SUBSTITUTE(SUBSTITUTE(SUBSTITUTE(SUBSTITUTE(SUBSTITUTE(SUBSTITUTE(SUBSTITUTE(SUBSTITUTE(SUBSTITUTE(UPPER(TRIM(H79)),"Á","A"),"À","A"),"Â","A"),"Ã","A"),"É","E"),"Ê","E"),"Í","I"),"Ó","O"),"Ô","O"),"Õ","O"),"Ú","U"),"Ü","U"),"Ç","C")&amp;"|"&amp;IF(LEN(J79)=11,MID(J79,4,6),J79)))</f>
        <v/>
      </c>
      <c r="L79" s="25" t="str">
        <f aca="false">IF(K79="","",IF(E79="Doação recebida",TRIM(IF(COUNTIF(Socios!$H:$H,K79)&gt;0,"Doador é sócio de empresa da pauta. ","")&amp;IF(COUNTIF(Pessoas!$E:$E,K79)&gt;0,"Doador está em Pessoas.","")),IF(E79="Despesa com fornecedor",IF(COUNTIF(Contratos!$D:$D,K79)&gt;0,"Fornecedor também tem contrato público",""),"")))</f>
        <v/>
      </c>
      <c r="M79" s="24"/>
      <c r="N79" s="11"/>
    </row>
    <row r="80" customFormat="false" ht="15" hidden="false" customHeight="false" outlineLevel="0" collapsed="false">
      <c r="A80" s="23"/>
      <c r="B80" s="31" t="str">
        <f aca="false">IF(A80="","",SUBSTITUTE(SUBSTITUTE(SUBSTITUTE(SUBSTITUTE(SUBSTITUTE(SUBSTITUTE(SUBSTITUTE(SUBSTITUTE(SUBSTITUTE(SUBSTITUTE(SUBSTITUTE(SUBSTITUTE(SUBSTITUTE(UPPER(TRIM(A80)),"Á","A"),"À","A"),"Â","A"),"Ã","A"),"É","E"),"Ê","E"),"Í","I"),"Ó","O"),"Ô","O"),"Õ","O"),"Ú","U"),"Ü","U"),"Ç","C"))</f>
        <v/>
      </c>
      <c r="C80" s="43"/>
      <c r="D80" s="23"/>
      <c r="E80" s="23"/>
      <c r="F80" s="11"/>
      <c r="G80" s="35"/>
      <c r="H80" s="23"/>
      <c r="I80" s="24"/>
      <c r="J80" s="31" t="str">
        <f aca="false">IF(I80="","",UPPER(SUBSTITUTE(SUBSTITUTE(SUBSTITUTE(SUBSTITUTE(SUBSTITUTE(TRIM(I80),".",""),"/",""),"-",""),"*","")," ","")))</f>
        <v/>
      </c>
      <c r="K80" s="31" t="str">
        <f aca="false">IF(OR(H80="",J80=""),"",IF(LEN(J80)&gt;=13,IF(LEN(J80)=13,"0"&amp;J80,J80),SUBSTITUTE(SUBSTITUTE(SUBSTITUTE(SUBSTITUTE(SUBSTITUTE(SUBSTITUTE(SUBSTITUTE(SUBSTITUTE(SUBSTITUTE(SUBSTITUTE(SUBSTITUTE(SUBSTITUTE(SUBSTITUTE(UPPER(TRIM(H80)),"Á","A"),"À","A"),"Â","A"),"Ã","A"),"É","E"),"Ê","E"),"Í","I"),"Ó","O"),"Ô","O"),"Õ","O"),"Ú","U"),"Ü","U"),"Ç","C")&amp;"|"&amp;IF(LEN(J80)=11,MID(J80,4,6),J80)))</f>
        <v/>
      </c>
      <c r="L80" s="25" t="str">
        <f aca="false">IF(K80="","",IF(E80="Doação recebida",TRIM(IF(COUNTIF(Socios!$H:$H,K80)&gt;0,"Doador é sócio de empresa da pauta. ","")&amp;IF(COUNTIF(Pessoas!$E:$E,K80)&gt;0,"Doador está em Pessoas.","")),IF(E80="Despesa com fornecedor",IF(COUNTIF(Contratos!$D:$D,K80)&gt;0,"Fornecedor também tem contrato público",""),"")))</f>
        <v/>
      </c>
      <c r="M80" s="24"/>
      <c r="N80" s="11"/>
    </row>
    <row r="81" customFormat="false" ht="15" hidden="false" customHeight="false" outlineLevel="0" collapsed="false">
      <c r="A81" s="23"/>
      <c r="B81" s="31" t="str">
        <f aca="false">IF(A81="","",SUBSTITUTE(SUBSTITUTE(SUBSTITUTE(SUBSTITUTE(SUBSTITUTE(SUBSTITUTE(SUBSTITUTE(SUBSTITUTE(SUBSTITUTE(SUBSTITUTE(SUBSTITUTE(SUBSTITUTE(SUBSTITUTE(UPPER(TRIM(A81)),"Á","A"),"À","A"),"Â","A"),"Ã","A"),"É","E"),"Ê","E"),"Í","I"),"Ó","O"),"Ô","O"),"Õ","O"),"Ú","U"),"Ü","U"),"Ç","C"))</f>
        <v/>
      </c>
      <c r="C81" s="43"/>
      <c r="D81" s="23"/>
      <c r="E81" s="23"/>
      <c r="F81" s="11"/>
      <c r="G81" s="35"/>
      <c r="H81" s="23"/>
      <c r="I81" s="24"/>
      <c r="J81" s="31" t="str">
        <f aca="false">IF(I81="","",UPPER(SUBSTITUTE(SUBSTITUTE(SUBSTITUTE(SUBSTITUTE(SUBSTITUTE(TRIM(I81),".",""),"/",""),"-",""),"*","")," ","")))</f>
        <v/>
      </c>
      <c r="K81" s="31" t="str">
        <f aca="false">IF(OR(H81="",J81=""),"",IF(LEN(J81)&gt;=13,IF(LEN(J81)=13,"0"&amp;J81,J81),SUBSTITUTE(SUBSTITUTE(SUBSTITUTE(SUBSTITUTE(SUBSTITUTE(SUBSTITUTE(SUBSTITUTE(SUBSTITUTE(SUBSTITUTE(SUBSTITUTE(SUBSTITUTE(SUBSTITUTE(SUBSTITUTE(UPPER(TRIM(H81)),"Á","A"),"À","A"),"Â","A"),"Ã","A"),"É","E"),"Ê","E"),"Í","I"),"Ó","O"),"Ô","O"),"Õ","O"),"Ú","U"),"Ü","U"),"Ç","C")&amp;"|"&amp;IF(LEN(J81)=11,MID(J81,4,6),J81)))</f>
        <v/>
      </c>
      <c r="L81" s="25" t="str">
        <f aca="false">IF(K81="","",IF(E81="Doação recebida",TRIM(IF(COUNTIF(Socios!$H:$H,K81)&gt;0,"Doador é sócio de empresa da pauta. ","")&amp;IF(COUNTIF(Pessoas!$E:$E,K81)&gt;0,"Doador está em Pessoas.","")),IF(E81="Despesa com fornecedor",IF(COUNTIF(Contratos!$D:$D,K81)&gt;0,"Fornecedor também tem contrato público",""),"")))</f>
        <v/>
      </c>
      <c r="M81" s="24"/>
      <c r="N81" s="11"/>
    </row>
    <row r="82" customFormat="false" ht="15" hidden="false" customHeight="false" outlineLevel="0" collapsed="false">
      <c r="A82" s="23"/>
      <c r="B82" s="31" t="str">
        <f aca="false">IF(A82="","",SUBSTITUTE(SUBSTITUTE(SUBSTITUTE(SUBSTITUTE(SUBSTITUTE(SUBSTITUTE(SUBSTITUTE(SUBSTITUTE(SUBSTITUTE(SUBSTITUTE(SUBSTITUTE(SUBSTITUTE(SUBSTITUTE(UPPER(TRIM(A82)),"Á","A"),"À","A"),"Â","A"),"Ã","A"),"É","E"),"Ê","E"),"Í","I"),"Ó","O"),"Ô","O"),"Õ","O"),"Ú","U"),"Ü","U"),"Ç","C"))</f>
        <v/>
      </c>
      <c r="C82" s="43"/>
      <c r="D82" s="23"/>
      <c r="E82" s="23"/>
      <c r="F82" s="11"/>
      <c r="G82" s="35"/>
      <c r="H82" s="23"/>
      <c r="I82" s="24"/>
      <c r="J82" s="31" t="str">
        <f aca="false">IF(I82="","",UPPER(SUBSTITUTE(SUBSTITUTE(SUBSTITUTE(SUBSTITUTE(SUBSTITUTE(TRIM(I82),".",""),"/",""),"-",""),"*","")," ","")))</f>
        <v/>
      </c>
      <c r="K82" s="31" t="str">
        <f aca="false">IF(OR(H82="",J82=""),"",IF(LEN(J82)&gt;=13,IF(LEN(J82)=13,"0"&amp;J82,J82),SUBSTITUTE(SUBSTITUTE(SUBSTITUTE(SUBSTITUTE(SUBSTITUTE(SUBSTITUTE(SUBSTITUTE(SUBSTITUTE(SUBSTITUTE(SUBSTITUTE(SUBSTITUTE(SUBSTITUTE(SUBSTITUTE(UPPER(TRIM(H82)),"Á","A"),"À","A"),"Â","A"),"Ã","A"),"É","E"),"Ê","E"),"Í","I"),"Ó","O"),"Ô","O"),"Õ","O"),"Ú","U"),"Ü","U"),"Ç","C")&amp;"|"&amp;IF(LEN(J82)=11,MID(J82,4,6),J82)))</f>
        <v/>
      </c>
      <c r="L82" s="25" t="str">
        <f aca="false">IF(K82="","",IF(E82="Doação recebida",TRIM(IF(COUNTIF(Socios!$H:$H,K82)&gt;0,"Doador é sócio de empresa da pauta. ","")&amp;IF(COUNTIF(Pessoas!$E:$E,K82)&gt;0,"Doador está em Pessoas.","")),IF(E82="Despesa com fornecedor",IF(COUNTIF(Contratos!$D:$D,K82)&gt;0,"Fornecedor também tem contrato público",""),"")))</f>
        <v/>
      </c>
      <c r="M82" s="24"/>
      <c r="N82" s="11"/>
    </row>
    <row r="83" customFormat="false" ht="15" hidden="false" customHeight="false" outlineLevel="0" collapsed="false">
      <c r="A83" s="23"/>
      <c r="B83" s="31" t="str">
        <f aca="false">IF(A83="","",SUBSTITUTE(SUBSTITUTE(SUBSTITUTE(SUBSTITUTE(SUBSTITUTE(SUBSTITUTE(SUBSTITUTE(SUBSTITUTE(SUBSTITUTE(SUBSTITUTE(SUBSTITUTE(SUBSTITUTE(SUBSTITUTE(UPPER(TRIM(A83)),"Á","A"),"À","A"),"Â","A"),"Ã","A"),"É","E"),"Ê","E"),"Í","I"),"Ó","O"),"Ô","O"),"Õ","O"),"Ú","U"),"Ü","U"),"Ç","C"))</f>
        <v/>
      </c>
      <c r="C83" s="43"/>
      <c r="D83" s="23"/>
      <c r="E83" s="23"/>
      <c r="F83" s="11"/>
      <c r="G83" s="35"/>
      <c r="H83" s="23"/>
      <c r="I83" s="24"/>
      <c r="J83" s="31" t="str">
        <f aca="false">IF(I83="","",UPPER(SUBSTITUTE(SUBSTITUTE(SUBSTITUTE(SUBSTITUTE(SUBSTITUTE(TRIM(I83),".",""),"/",""),"-",""),"*","")," ","")))</f>
        <v/>
      </c>
      <c r="K83" s="31" t="str">
        <f aca="false">IF(OR(H83="",J83=""),"",IF(LEN(J83)&gt;=13,IF(LEN(J83)=13,"0"&amp;J83,J83),SUBSTITUTE(SUBSTITUTE(SUBSTITUTE(SUBSTITUTE(SUBSTITUTE(SUBSTITUTE(SUBSTITUTE(SUBSTITUTE(SUBSTITUTE(SUBSTITUTE(SUBSTITUTE(SUBSTITUTE(SUBSTITUTE(UPPER(TRIM(H83)),"Á","A"),"À","A"),"Â","A"),"Ã","A"),"É","E"),"Ê","E"),"Í","I"),"Ó","O"),"Ô","O"),"Õ","O"),"Ú","U"),"Ü","U"),"Ç","C")&amp;"|"&amp;IF(LEN(J83)=11,MID(J83,4,6),J83)))</f>
        <v/>
      </c>
      <c r="L83" s="25" t="str">
        <f aca="false">IF(K83="","",IF(E83="Doação recebida",TRIM(IF(COUNTIF(Socios!$H:$H,K83)&gt;0,"Doador é sócio de empresa da pauta. ","")&amp;IF(COUNTIF(Pessoas!$E:$E,K83)&gt;0,"Doador está em Pessoas.","")),IF(E83="Despesa com fornecedor",IF(COUNTIF(Contratos!$D:$D,K83)&gt;0,"Fornecedor também tem contrato público",""),"")))</f>
        <v/>
      </c>
      <c r="M83" s="24"/>
      <c r="N83" s="11"/>
    </row>
    <row r="84" customFormat="false" ht="15" hidden="false" customHeight="false" outlineLevel="0" collapsed="false">
      <c r="A84" s="23"/>
      <c r="B84" s="31" t="str">
        <f aca="false">IF(A84="","",SUBSTITUTE(SUBSTITUTE(SUBSTITUTE(SUBSTITUTE(SUBSTITUTE(SUBSTITUTE(SUBSTITUTE(SUBSTITUTE(SUBSTITUTE(SUBSTITUTE(SUBSTITUTE(SUBSTITUTE(SUBSTITUTE(UPPER(TRIM(A84)),"Á","A"),"À","A"),"Â","A"),"Ã","A"),"É","E"),"Ê","E"),"Í","I"),"Ó","O"),"Ô","O"),"Õ","O"),"Ú","U"),"Ü","U"),"Ç","C"))</f>
        <v/>
      </c>
      <c r="C84" s="43"/>
      <c r="D84" s="23"/>
      <c r="E84" s="23"/>
      <c r="F84" s="11"/>
      <c r="G84" s="35"/>
      <c r="H84" s="23"/>
      <c r="I84" s="24"/>
      <c r="J84" s="31" t="str">
        <f aca="false">IF(I84="","",UPPER(SUBSTITUTE(SUBSTITUTE(SUBSTITUTE(SUBSTITUTE(SUBSTITUTE(TRIM(I84),".",""),"/",""),"-",""),"*","")," ","")))</f>
        <v/>
      </c>
      <c r="K84" s="31" t="str">
        <f aca="false">IF(OR(H84="",J84=""),"",IF(LEN(J84)&gt;=13,IF(LEN(J84)=13,"0"&amp;J84,J84),SUBSTITUTE(SUBSTITUTE(SUBSTITUTE(SUBSTITUTE(SUBSTITUTE(SUBSTITUTE(SUBSTITUTE(SUBSTITUTE(SUBSTITUTE(SUBSTITUTE(SUBSTITUTE(SUBSTITUTE(SUBSTITUTE(UPPER(TRIM(H84)),"Á","A"),"À","A"),"Â","A"),"Ã","A"),"É","E"),"Ê","E"),"Í","I"),"Ó","O"),"Ô","O"),"Õ","O"),"Ú","U"),"Ü","U"),"Ç","C")&amp;"|"&amp;IF(LEN(J84)=11,MID(J84,4,6),J84)))</f>
        <v/>
      </c>
      <c r="L84" s="25" t="str">
        <f aca="false">IF(K84="","",IF(E84="Doação recebida",TRIM(IF(COUNTIF(Socios!$H:$H,K84)&gt;0,"Doador é sócio de empresa da pauta. ","")&amp;IF(COUNTIF(Pessoas!$E:$E,K84)&gt;0,"Doador está em Pessoas.","")),IF(E84="Despesa com fornecedor",IF(COUNTIF(Contratos!$D:$D,K84)&gt;0,"Fornecedor também tem contrato público",""),"")))</f>
        <v/>
      </c>
      <c r="M84" s="24"/>
      <c r="N84" s="11"/>
    </row>
    <row r="85" customFormat="false" ht="15" hidden="false" customHeight="false" outlineLevel="0" collapsed="false">
      <c r="A85" s="23"/>
      <c r="B85" s="31" t="str">
        <f aca="false">IF(A85="","",SUBSTITUTE(SUBSTITUTE(SUBSTITUTE(SUBSTITUTE(SUBSTITUTE(SUBSTITUTE(SUBSTITUTE(SUBSTITUTE(SUBSTITUTE(SUBSTITUTE(SUBSTITUTE(SUBSTITUTE(SUBSTITUTE(UPPER(TRIM(A85)),"Á","A"),"À","A"),"Â","A"),"Ã","A"),"É","E"),"Ê","E"),"Í","I"),"Ó","O"),"Ô","O"),"Õ","O"),"Ú","U"),"Ü","U"),"Ç","C"))</f>
        <v/>
      </c>
      <c r="C85" s="43"/>
      <c r="D85" s="23"/>
      <c r="E85" s="23"/>
      <c r="F85" s="11"/>
      <c r="G85" s="35"/>
      <c r="H85" s="23"/>
      <c r="I85" s="24"/>
      <c r="J85" s="31" t="str">
        <f aca="false">IF(I85="","",UPPER(SUBSTITUTE(SUBSTITUTE(SUBSTITUTE(SUBSTITUTE(SUBSTITUTE(TRIM(I85),".",""),"/",""),"-",""),"*","")," ","")))</f>
        <v/>
      </c>
      <c r="K85" s="31" t="str">
        <f aca="false">IF(OR(H85="",J85=""),"",IF(LEN(J85)&gt;=13,IF(LEN(J85)=13,"0"&amp;J85,J85),SUBSTITUTE(SUBSTITUTE(SUBSTITUTE(SUBSTITUTE(SUBSTITUTE(SUBSTITUTE(SUBSTITUTE(SUBSTITUTE(SUBSTITUTE(SUBSTITUTE(SUBSTITUTE(SUBSTITUTE(SUBSTITUTE(UPPER(TRIM(H85)),"Á","A"),"À","A"),"Â","A"),"Ã","A"),"É","E"),"Ê","E"),"Í","I"),"Ó","O"),"Ô","O"),"Õ","O"),"Ú","U"),"Ü","U"),"Ç","C")&amp;"|"&amp;IF(LEN(J85)=11,MID(J85,4,6),J85)))</f>
        <v/>
      </c>
      <c r="L85" s="25" t="str">
        <f aca="false">IF(K85="","",IF(E85="Doação recebida",TRIM(IF(COUNTIF(Socios!$H:$H,K85)&gt;0,"Doador é sócio de empresa da pauta. ","")&amp;IF(COUNTIF(Pessoas!$E:$E,K85)&gt;0,"Doador está em Pessoas.","")),IF(E85="Despesa com fornecedor",IF(COUNTIF(Contratos!$D:$D,K85)&gt;0,"Fornecedor também tem contrato público",""),"")))</f>
        <v/>
      </c>
      <c r="M85" s="24"/>
      <c r="N85" s="11"/>
    </row>
    <row r="86" customFormat="false" ht="15" hidden="false" customHeight="false" outlineLevel="0" collapsed="false">
      <c r="A86" s="23"/>
      <c r="B86" s="31" t="str">
        <f aca="false">IF(A86="","",SUBSTITUTE(SUBSTITUTE(SUBSTITUTE(SUBSTITUTE(SUBSTITUTE(SUBSTITUTE(SUBSTITUTE(SUBSTITUTE(SUBSTITUTE(SUBSTITUTE(SUBSTITUTE(SUBSTITUTE(SUBSTITUTE(UPPER(TRIM(A86)),"Á","A"),"À","A"),"Â","A"),"Ã","A"),"É","E"),"Ê","E"),"Í","I"),"Ó","O"),"Ô","O"),"Õ","O"),"Ú","U"),"Ü","U"),"Ç","C"))</f>
        <v/>
      </c>
      <c r="C86" s="43"/>
      <c r="D86" s="23"/>
      <c r="E86" s="23"/>
      <c r="F86" s="11"/>
      <c r="G86" s="35"/>
      <c r="H86" s="23"/>
      <c r="I86" s="24"/>
      <c r="J86" s="31" t="str">
        <f aca="false">IF(I86="","",UPPER(SUBSTITUTE(SUBSTITUTE(SUBSTITUTE(SUBSTITUTE(SUBSTITUTE(TRIM(I86),".",""),"/",""),"-",""),"*","")," ","")))</f>
        <v/>
      </c>
      <c r="K86" s="31" t="str">
        <f aca="false">IF(OR(H86="",J86=""),"",IF(LEN(J86)&gt;=13,IF(LEN(J86)=13,"0"&amp;J86,J86),SUBSTITUTE(SUBSTITUTE(SUBSTITUTE(SUBSTITUTE(SUBSTITUTE(SUBSTITUTE(SUBSTITUTE(SUBSTITUTE(SUBSTITUTE(SUBSTITUTE(SUBSTITUTE(SUBSTITUTE(SUBSTITUTE(UPPER(TRIM(H86)),"Á","A"),"À","A"),"Â","A"),"Ã","A"),"É","E"),"Ê","E"),"Í","I"),"Ó","O"),"Ô","O"),"Õ","O"),"Ú","U"),"Ü","U"),"Ç","C")&amp;"|"&amp;IF(LEN(J86)=11,MID(J86,4,6),J86)))</f>
        <v/>
      </c>
      <c r="L86" s="25" t="str">
        <f aca="false">IF(K86="","",IF(E86="Doação recebida",TRIM(IF(COUNTIF(Socios!$H:$H,K86)&gt;0,"Doador é sócio de empresa da pauta. ","")&amp;IF(COUNTIF(Pessoas!$E:$E,K86)&gt;0,"Doador está em Pessoas.","")),IF(E86="Despesa com fornecedor",IF(COUNTIF(Contratos!$D:$D,K86)&gt;0,"Fornecedor também tem contrato público",""),"")))</f>
        <v/>
      </c>
      <c r="M86" s="24"/>
      <c r="N86" s="11"/>
    </row>
    <row r="87" customFormat="false" ht="15" hidden="false" customHeight="false" outlineLevel="0" collapsed="false">
      <c r="A87" s="23"/>
      <c r="B87" s="31" t="str">
        <f aca="false">IF(A87="","",SUBSTITUTE(SUBSTITUTE(SUBSTITUTE(SUBSTITUTE(SUBSTITUTE(SUBSTITUTE(SUBSTITUTE(SUBSTITUTE(SUBSTITUTE(SUBSTITUTE(SUBSTITUTE(SUBSTITUTE(SUBSTITUTE(UPPER(TRIM(A87)),"Á","A"),"À","A"),"Â","A"),"Ã","A"),"É","E"),"Ê","E"),"Í","I"),"Ó","O"),"Ô","O"),"Õ","O"),"Ú","U"),"Ü","U"),"Ç","C"))</f>
        <v/>
      </c>
      <c r="C87" s="43"/>
      <c r="D87" s="23"/>
      <c r="E87" s="23"/>
      <c r="F87" s="11"/>
      <c r="G87" s="35"/>
      <c r="H87" s="23"/>
      <c r="I87" s="24"/>
      <c r="J87" s="31" t="str">
        <f aca="false">IF(I87="","",UPPER(SUBSTITUTE(SUBSTITUTE(SUBSTITUTE(SUBSTITUTE(SUBSTITUTE(TRIM(I87),".",""),"/",""),"-",""),"*","")," ","")))</f>
        <v/>
      </c>
      <c r="K87" s="31" t="str">
        <f aca="false">IF(OR(H87="",J87=""),"",IF(LEN(J87)&gt;=13,IF(LEN(J87)=13,"0"&amp;J87,J87),SUBSTITUTE(SUBSTITUTE(SUBSTITUTE(SUBSTITUTE(SUBSTITUTE(SUBSTITUTE(SUBSTITUTE(SUBSTITUTE(SUBSTITUTE(SUBSTITUTE(SUBSTITUTE(SUBSTITUTE(SUBSTITUTE(UPPER(TRIM(H87)),"Á","A"),"À","A"),"Â","A"),"Ã","A"),"É","E"),"Ê","E"),"Í","I"),"Ó","O"),"Ô","O"),"Õ","O"),"Ú","U"),"Ü","U"),"Ç","C")&amp;"|"&amp;IF(LEN(J87)=11,MID(J87,4,6),J87)))</f>
        <v/>
      </c>
      <c r="L87" s="25" t="str">
        <f aca="false">IF(K87="","",IF(E87="Doação recebida",TRIM(IF(COUNTIF(Socios!$H:$H,K87)&gt;0,"Doador é sócio de empresa da pauta. ","")&amp;IF(COUNTIF(Pessoas!$E:$E,K87)&gt;0,"Doador está em Pessoas.","")),IF(E87="Despesa com fornecedor",IF(COUNTIF(Contratos!$D:$D,K87)&gt;0,"Fornecedor também tem contrato público",""),"")))</f>
        <v/>
      </c>
      <c r="M87" s="24"/>
      <c r="N87" s="11"/>
    </row>
    <row r="88" customFormat="false" ht="15" hidden="false" customHeight="false" outlineLevel="0" collapsed="false">
      <c r="A88" s="23"/>
      <c r="B88" s="31" t="str">
        <f aca="false">IF(A88="","",SUBSTITUTE(SUBSTITUTE(SUBSTITUTE(SUBSTITUTE(SUBSTITUTE(SUBSTITUTE(SUBSTITUTE(SUBSTITUTE(SUBSTITUTE(SUBSTITUTE(SUBSTITUTE(SUBSTITUTE(SUBSTITUTE(UPPER(TRIM(A88)),"Á","A"),"À","A"),"Â","A"),"Ã","A"),"É","E"),"Ê","E"),"Í","I"),"Ó","O"),"Ô","O"),"Õ","O"),"Ú","U"),"Ü","U"),"Ç","C"))</f>
        <v/>
      </c>
      <c r="C88" s="43"/>
      <c r="D88" s="23"/>
      <c r="E88" s="23"/>
      <c r="F88" s="11"/>
      <c r="G88" s="35"/>
      <c r="H88" s="23"/>
      <c r="I88" s="24"/>
      <c r="J88" s="31" t="str">
        <f aca="false">IF(I88="","",UPPER(SUBSTITUTE(SUBSTITUTE(SUBSTITUTE(SUBSTITUTE(SUBSTITUTE(TRIM(I88),".",""),"/",""),"-",""),"*","")," ","")))</f>
        <v/>
      </c>
      <c r="K88" s="31" t="str">
        <f aca="false">IF(OR(H88="",J88=""),"",IF(LEN(J88)&gt;=13,IF(LEN(J88)=13,"0"&amp;J88,J88),SUBSTITUTE(SUBSTITUTE(SUBSTITUTE(SUBSTITUTE(SUBSTITUTE(SUBSTITUTE(SUBSTITUTE(SUBSTITUTE(SUBSTITUTE(SUBSTITUTE(SUBSTITUTE(SUBSTITUTE(SUBSTITUTE(UPPER(TRIM(H88)),"Á","A"),"À","A"),"Â","A"),"Ã","A"),"É","E"),"Ê","E"),"Í","I"),"Ó","O"),"Ô","O"),"Õ","O"),"Ú","U"),"Ü","U"),"Ç","C")&amp;"|"&amp;IF(LEN(J88)=11,MID(J88,4,6),J88)))</f>
        <v/>
      </c>
      <c r="L88" s="25" t="str">
        <f aca="false">IF(K88="","",IF(E88="Doação recebida",TRIM(IF(COUNTIF(Socios!$H:$H,K88)&gt;0,"Doador é sócio de empresa da pauta. ","")&amp;IF(COUNTIF(Pessoas!$E:$E,K88)&gt;0,"Doador está em Pessoas.","")),IF(E88="Despesa com fornecedor",IF(COUNTIF(Contratos!$D:$D,K88)&gt;0,"Fornecedor também tem contrato público",""),"")))</f>
        <v/>
      </c>
      <c r="M88" s="24"/>
      <c r="N88" s="11"/>
    </row>
    <row r="89" customFormat="false" ht="15" hidden="false" customHeight="false" outlineLevel="0" collapsed="false">
      <c r="A89" s="23"/>
      <c r="B89" s="31" t="str">
        <f aca="false">IF(A89="","",SUBSTITUTE(SUBSTITUTE(SUBSTITUTE(SUBSTITUTE(SUBSTITUTE(SUBSTITUTE(SUBSTITUTE(SUBSTITUTE(SUBSTITUTE(SUBSTITUTE(SUBSTITUTE(SUBSTITUTE(SUBSTITUTE(UPPER(TRIM(A89)),"Á","A"),"À","A"),"Â","A"),"Ã","A"),"É","E"),"Ê","E"),"Í","I"),"Ó","O"),"Ô","O"),"Õ","O"),"Ú","U"),"Ü","U"),"Ç","C"))</f>
        <v/>
      </c>
      <c r="C89" s="43"/>
      <c r="D89" s="23"/>
      <c r="E89" s="23"/>
      <c r="F89" s="11"/>
      <c r="G89" s="35"/>
      <c r="H89" s="23"/>
      <c r="I89" s="24"/>
      <c r="J89" s="31" t="str">
        <f aca="false">IF(I89="","",UPPER(SUBSTITUTE(SUBSTITUTE(SUBSTITUTE(SUBSTITUTE(SUBSTITUTE(TRIM(I89),".",""),"/",""),"-",""),"*","")," ","")))</f>
        <v/>
      </c>
      <c r="K89" s="31" t="str">
        <f aca="false">IF(OR(H89="",J89=""),"",IF(LEN(J89)&gt;=13,IF(LEN(J89)=13,"0"&amp;J89,J89),SUBSTITUTE(SUBSTITUTE(SUBSTITUTE(SUBSTITUTE(SUBSTITUTE(SUBSTITUTE(SUBSTITUTE(SUBSTITUTE(SUBSTITUTE(SUBSTITUTE(SUBSTITUTE(SUBSTITUTE(SUBSTITUTE(UPPER(TRIM(H89)),"Á","A"),"À","A"),"Â","A"),"Ã","A"),"É","E"),"Ê","E"),"Í","I"),"Ó","O"),"Ô","O"),"Õ","O"),"Ú","U"),"Ü","U"),"Ç","C")&amp;"|"&amp;IF(LEN(J89)=11,MID(J89,4,6),J89)))</f>
        <v/>
      </c>
      <c r="L89" s="25" t="str">
        <f aca="false">IF(K89="","",IF(E89="Doação recebida",TRIM(IF(COUNTIF(Socios!$H:$H,K89)&gt;0,"Doador é sócio de empresa da pauta. ","")&amp;IF(COUNTIF(Pessoas!$E:$E,K89)&gt;0,"Doador está em Pessoas.","")),IF(E89="Despesa com fornecedor",IF(COUNTIF(Contratos!$D:$D,K89)&gt;0,"Fornecedor também tem contrato público",""),"")))</f>
        <v/>
      </c>
      <c r="M89" s="24"/>
      <c r="N89" s="11"/>
    </row>
    <row r="90" customFormat="false" ht="15" hidden="false" customHeight="false" outlineLevel="0" collapsed="false">
      <c r="A90" s="23"/>
      <c r="B90" s="31" t="str">
        <f aca="false">IF(A90="","",SUBSTITUTE(SUBSTITUTE(SUBSTITUTE(SUBSTITUTE(SUBSTITUTE(SUBSTITUTE(SUBSTITUTE(SUBSTITUTE(SUBSTITUTE(SUBSTITUTE(SUBSTITUTE(SUBSTITUTE(SUBSTITUTE(UPPER(TRIM(A90)),"Á","A"),"À","A"),"Â","A"),"Ã","A"),"É","E"),"Ê","E"),"Í","I"),"Ó","O"),"Ô","O"),"Õ","O"),"Ú","U"),"Ü","U"),"Ç","C"))</f>
        <v/>
      </c>
      <c r="C90" s="43"/>
      <c r="D90" s="23"/>
      <c r="E90" s="23"/>
      <c r="F90" s="11"/>
      <c r="G90" s="35"/>
      <c r="H90" s="23"/>
      <c r="I90" s="24"/>
      <c r="J90" s="31" t="str">
        <f aca="false">IF(I90="","",UPPER(SUBSTITUTE(SUBSTITUTE(SUBSTITUTE(SUBSTITUTE(SUBSTITUTE(TRIM(I90),".",""),"/",""),"-",""),"*","")," ","")))</f>
        <v/>
      </c>
      <c r="K90" s="31" t="str">
        <f aca="false">IF(OR(H90="",J90=""),"",IF(LEN(J90)&gt;=13,IF(LEN(J90)=13,"0"&amp;J90,J90),SUBSTITUTE(SUBSTITUTE(SUBSTITUTE(SUBSTITUTE(SUBSTITUTE(SUBSTITUTE(SUBSTITUTE(SUBSTITUTE(SUBSTITUTE(SUBSTITUTE(SUBSTITUTE(SUBSTITUTE(SUBSTITUTE(UPPER(TRIM(H90)),"Á","A"),"À","A"),"Â","A"),"Ã","A"),"É","E"),"Ê","E"),"Í","I"),"Ó","O"),"Ô","O"),"Õ","O"),"Ú","U"),"Ü","U"),"Ç","C")&amp;"|"&amp;IF(LEN(J90)=11,MID(J90,4,6),J90)))</f>
        <v/>
      </c>
      <c r="L90" s="25" t="str">
        <f aca="false">IF(K90="","",IF(E90="Doação recebida",TRIM(IF(COUNTIF(Socios!$H:$H,K90)&gt;0,"Doador é sócio de empresa da pauta. ","")&amp;IF(COUNTIF(Pessoas!$E:$E,K90)&gt;0,"Doador está em Pessoas.","")),IF(E90="Despesa com fornecedor",IF(COUNTIF(Contratos!$D:$D,K90)&gt;0,"Fornecedor também tem contrato público",""),"")))</f>
        <v/>
      </c>
      <c r="M90" s="24"/>
      <c r="N90" s="11"/>
    </row>
    <row r="91" customFormat="false" ht="15" hidden="false" customHeight="false" outlineLevel="0" collapsed="false">
      <c r="A91" s="23"/>
      <c r="B91" s="31" t="str">
        <f aca="false">IF(A91="","",SUBSTITUTE(SUBSTITUTE(SUBSTITUTE(SUBSTITUTE(SUBSTITUTE(SUBSTITUTE(SUBSTITUTE(SUBSTITUTE(SUBSTITUTE(SUBSTITUTE(SUBSTITUTE(SUBSTITUTE(SUBSTITUTE(UPPER(TRIM(A91)),"Á","A"),"À","A"),"Â","A"),"Ã","A"),"É","E"),"Ê","E"),"Í","I"),"Ó","O"),"Ô","O"),"Õ","O"),"Ú","U"),"Ü","U"),"Ç","C"))</f>
        <v/>
      </c>
      <c r="C91" s="43"/>
      <c r="D91" s="23"/>
      <c r="E91" s="23"/>
      <c r="F91" s="11"/>
      <c r="G91" s="35"/>
      <c r="H91" s="23"/>
      <c r="I91" s="24"/>
      <c r="J91" s="31" t="str">
        <f aca="false">IF(I91="","",UPPER(SUBSTITUTE(SUBSTITUTE(SUBSTITUTE(SUBSTITUTE(SUBSTITUTE(TRIM(I91),".",""),"/",""),"-",""),"*","")," ","")))</f>
        <v/>
      </c>
      <c r="K91" s="31" t="str">
        <f aca="false">IF(OR(H91="",J91=""),"",IF(LEN(J91)&gt;=13,IF(LEN(J91)=13,"0"&amp;J91,J91),SUBSTITUTE(SUBSTITUTE(SUBSTITUTE(SUBSTITUTE(SUBSTITUTE(SUBSTITUTE(SUBSTITUTE(SUBSTITUTE(SUBSTITUTE(SUBSTITUTE(SUBSTITUTE(SUBSTITUTE(SUBSTITUTE(UPPER(TRIM(H91)),"Á","A"),"À","A"),"Â","A"),"Ã","A"),"É","E"),"Ê","E"),"Í","I"),"Ó","O"),"Ô","O"),"Õ","O"),"Ú","U"),"Ü","U"),"Ç","C")&amp;"|"&amp;IF(LEN(J91)=11,MID(J91,4,6),J91)))</f>
        <v/>
      </c>
      <c r="L91" s="25" t="str">
        <f aca="false">IF(K91="","",IF(E91="Doação recebida",TRIM(IF(COUNTIF(Socios!$H:$H,K91)&gt;0,"Doador é sócio de empresa da pauta. ","")&amp;IF(COUNTIF(Pessoas!$E:$E,K91)&gt;0,"Doador está em Pessoas.","")),IF(E91="Despesa com fornecedor",IF(COUNTIF(Contratos!$D:$D,K91)&gt;0,"Fornecedor também tem contrato público",""),"")))</f>
        <v/>
      </c>
      <c r="M91" s="24"/>
      <c r="N91" s="11"/>
    </row>
    <row r="92" customFormat="false" ht="15" hidden="false" customHeight="false" outlineLevel="0" collapsed="false">
      <c r="A92" s="23"/>
      <c r="B92" s="31" t="str">
        <f aca="false">IF(A92="","",SUBSTITUTE(SUBSTITUTE(SUBSTITUTE(SUBSTITUTE(SUBSTITUTE(SUBSTITUTE(SUBSTITUTE(SUBSTITUTE(SUBSTITUTE(SUBSTITUTE(SUBSTITUTE(SUBSTITUTE(SUBSTITUTE(UPPER(TRIM(A92)),"Á","A"),"À","A"),"Â","A"),"Ã","A"),"É","E"),"Ê","E"),"Í","I"),"Ó","O"),"Ô","O"),"Õ","O"),"Ú","U"),"Ü","U"),"Ç","C"))</f>
        <v/>
      </c>
      <c r="C92" s="43"/>
      <c r="D92" s="23"/>
      <c r="E92" s="23"/>
      <c r="F92" s="11"/>
      <c r="G92" s="35"/>
      <c r="H92" s="23"/>
      <c r="I92" s="24"/>
      <c r="J92" s="31" t="str">
        <f aca="false">IF(I92="","",UPPER(SUBSTITUTE(SUBSTITUTE(SUBSTITUTE(SUBSTITUTE(SUBSTITUTE(TRIM(I92),".",""),"/",""),"-",""),"*","")," ","")))</f>
        <v/>
      </c>
      <c r="K92" s="31" t="str">
        <f aca="false">IF(OR(H92="",J92=""),"",IF(LEN(J92)&gt;=13,IF(LEN(J92)=13,"0"&amp;J92,J92),SUBSTITUTE(SUBSTITUTE(SUBSTITUTE(SUBSTITUTE(SUBSTITUTE(SUBSTITUTE(SUBSTITUTE(SUBSTITUTE(SUBSTITUTE(SUBSTITUTE(SUBSTITUTE(SUBSTITUTE(SUBSTITUTE(UPPER(TRIM(H92)),"Á","A"),"À","A"),"Â","A"),"Ã","A"),"É","E"),"Ê","E"),"Í","I"),"Ó","O"),"Ô","O"),"Õ","O"),"Ú","U"),"Ü","U"),"Ç","C")&amp;"|"&amp;IF(LEN(J92)=11,MID(J92,4,6),J92)))</f>
        <v/>
      </c>
      <c r="L92" s="25" t="str">
        <f aca="false">IF(K92="","",IF(E92="Doação recebida",TRIM(IF(COUNTIF(Socios!$H:$H,K92)&gt;0,"Doador é sócio de empresa da pauta. ","")&amp;IF(COUNTIF(Pessoas!$E:$E,K92)&gt;0,"Doador está em Pessoas.","")),IF(E92="Despesa com fornecedor",IF(COUNTIF(Contratos!$D:$D,K92)&gt;0,"Fornecedor também tem contrato público",""),"")))</f>
        <v/>
      </c>
      <c r="M92" s="24"/>
      <c r="N92" s="11"/>
    </row>
    <row r="93" customFormat="false" ht="15" hidden="false" customHeight="false" outlineLevel="0" collapsed="false">
      <c r="A93" s="23"/>
      <c r="B93" s="31" t="str">
        <f aca="false">IF(A93="","",SUBSTITUTE(SUBSTITUTE(SUBSTITUTE(SUBSTITUTE(SUBSTITUTE(SUBSTITUTE(SUBSTITUTE(SUBSTITUTE(SUBSTITUTE(SUBSTITUTE(SUBSTITUTE(SUBSTITUTE(SUBSTITUTE(UPPER(TRIM(A93)),"Á","A"),"À","A"),"Â","A"),"Ã","A"),"É","E"),"Ê","E"),"Í","I"),"Ó","O"),"Ô","O"),"Õ","O"),"Ú","U"),"Ü","U"),"Ç","C"))</f>
        <v/>
      </c>
      <c r="C93" s="43"/>
      <c r="D93" s="23"/>
      <c r="E93" s="23"/>
      <c r="F93" s="11"/>
      <c r="G93" s="35"/>
      <c r="H93" s="23"/>
      <c r="I93" s="24"/>
      <c r="J93" s="31" t="str">
        <f aca="false">IF(I93="","",UPPER(SUBSTITUTE(SUBSTITUTE(SUBSTITUTE(SUBSTITUTE(SUBSTITUTE(TRIM(I93),".",""),"/",""),"-",""),"*","")," ","")))</f>
        <v/>
      </c>
      <c r="K93" s="31" t="str">
        <f aca="false">IF(OR(H93="",J93=""),"",IF(LEN(J93)&gt;=13,IF(LEN(J93)=13,"0"&amp;J93,J93),SUBSTITUTE(SUBSTITUTE(SUBSTITUTE(SUBSTITUTE(SUBSTITUTE(SUBSTITUTE(SUBSTITUTE(SUBSTITUTE(SUBSTITUTE(SUBSTITUTE(SUBSTITUTE(SUBSTITUTE(SUBSTITUTE(UPPER(TRIM(H93)),"Á","A"),"À","A"),"Â","A"),"Ã","A"),"É","E"),"Ê","E"),"Í","I"),"Ó","O"),"Ô","O"),"Õ","O"),"Ú","U"),"Ü","U"),"Ç","C")&amp;"|"&amp;IF(LEN(J93)=11,MID(J93,4,6),J93)))</f>
        <v/>
      </c>
      <c r="L93" s="25" t="str">
        <f aca="false">IF(K93="","",IF(E93="Doação recebida",TRIM(IF(COUNTIF(Socios!$H:$H,K93)&gt;0,"Doador é sócio de empresa da pauta. ","")&amp;IF(COUNTIF(Pessoas!$E:$E,K93)&gt;0,"Doador está em Pessoas.","")),IF(E93="Despesa com fornecedor",IF(COUNTIF(Contratos!$D:$D,K93)&gt;0,"Fornecedor também tem contrato público",""),"")))</f>
        <v/>
      </c>
      <c r="M93" s="24"/>
      <c r="N93" s="11"/>
    </row>
    <row r="94" customFormat="false" ht="15" hidden="false" customHeight="false" outlineLevel="0" collapsed="false">
      <c r="A94" s="23"/>
      <c r="B94" s="31" t="str">
        <f aca="false">IF(A94="","",SUBSTITUTE(SUBSTITUTE(SUBSTITUTE(SUBSTITUTE(SUBSTITUTE(SUBSTITUTE(SUBSTITUTE(SUBSTITUTE(SUBSTITUTE(SUBSTITUTE(SUBSTITUTE(SUBSTITUTE(SUBSTITUTE(UPPER(TRIM(A94)),"Á","A"),"À","A"),"Â","A"),"Ã","A"),"É","E"),"Ê","E"),"Í","I"),"Ó","O"),"Ô","O"),"Õ","O"),"Ú","U"),"Ü","U"),"Ç","C"))</f>
        <v/>
      </c>
      <c r="C94" s="43"/>
      <c r="D94" s="23"/>
      <c r="E94" s="23"/>
      <c r="F94" s="11"/>
      <c r="G94" s="35"/>
      <c r="H94" s="23"/>
      <c r="I94" s="24"/>
      <c r="J94" s="31" t="str">
        <f aca="false">IF(I94="","",UPPER(SUBSTITUTE(SUBSTITUTE(SUBSTITUTE(SUBSTITUTE(SUBSTITUTE(TRIM(I94),".",""),"/",""),"-",""),"*","")," ","")))</f>
        <v/>
      </c>
      <c r="K94" s="31" t="str">
        <f aca="false">IF(OR(H94="",J94=""),"",IF(LEN(J94)&gt;=13,IF(LEN(J94)=13,"0"&amp;J94,J94),SUBSTITUTE(SUBSTITUTE(SUBSTITUTE(SUBSTITUTE(SUBSTITUTE(SUBSTITUTE(SUBSTITUTE(SUBSTITUTE(SUBSTITUTE(SUBSTITUTE(SUBSTITUTE(SUBSTITUTE(SUBSTITUTE(UPPER(TRIM(H94)),"Á","A"),"À","A"),"Â","A"),"Ã","A"),"É","E"),"Ê","E"),"Í","I"),"Ó","O"),"Ô","O"),"Õ","O"),"Ú","U"),"Ü","U"),"Ç","C")&amp;"|"&amp;IF(LEN(J94)=11,MID(J94,4,6),J94)))</f>
        <v/>
      </c>
      <c r="L94" s="25" t="str">
        <f aca="false">IF(K94="","",IF(E94="Doação recebida",TRIM(IF(COUNTIF(Socios!$H:$H,K94)&gt;0,"Doador é sócio de empresa da pauta. ","")&amp;IF(COUNTIF(Pessoas!$E:$E,K94)&gt;0,"Doador está em Pessoas.","")),IF(E94="Despesa com fornecedor",IF(COUNTIF(Contratos!$D:$D,K94)&gt;0,"Fornecedor também tem contrato público",""),"")))</f>
        <v/>
      </c>
      <c r="M94" s="24"/>
      <c r="N94" s="11"/>
    </row>
    <row r="95" customFormat="false" ht="15" hidden="false" customHeight="false" outlineLevel="0" collapsed="false">
      <c r="A95" s="23"/>
      <c r="B95" s="31" t="str">
        <f aca="false">IF(A95="","",SUBSTITUTE(SUBSTITUTE(SUBSTITUTE(SUBSTITUTE(SUBSTITUTE(SUBSTITUTE(SUBSTITUTE(SUBSTITUTE(SUBSTITUTE(SUBSTITUTE(SUBSTITUTE(SUBSTITUTE(SUBSTITUTE(UPPER(TRIM(A95)),"Á","A"),"À","A"),"Â","A"),"Ã","A"),"É","E"),"Ê","E"),"Í","I"),"Ó","O"),"Ô","O"),"Õ","O"),"Ú","U"),"Ü","U"),"Ç","C"))</f>
        <v/>
      </c>
      <c r="C95" s="43"/>
      <c r="D95" s="23"/>
      <c r="E95" s="23"/>
      <c r="F95" s="11"/>
      <c r="G95" s="35"/>
      <c r="H95" s="23"/>
      <c r="I95" s="24"/>
      <c r="J95" s="31" t="str">
        <f aca="false">IF(I95="","",UPPER(SUBSTITUTE(SUBSTITUTE(SUBSTITUTE(SUBSTITUTE(SUBSTITUTE(TRIM(I95),".",""),"/",""),"-",""),"*","")," ","")))</f>
        <v/>
      </c>
      <c r="K95" s="31" t="str">
        <f aca="false">IF(OR(H95="",J95=""),"",IF(LEN(J95)&gt;=13,IF(LEN(J95)=13,"0"&amp;J95,J95),SUBSTITUTE(SUBSTITUTE(SUBSTITUTE(SUBSTITUTE(SUBSTITUTE(SUBSTITUTE(SUBSTITUTE(SUBSTITUTE(SUBSTITUTE(SUBSTITUTE(SUBSTITUTE(SUBSTITUTE(SUBSTITUTE(UPPER(TRIM(H95)),"Á","A"),"À","A"),"Â","A"),"Ã","A"),"É","E"),"Ê","E"),"Í","I"),"Ó","O"),"Ô","O"),"Õ","O"),"Ú","U"),"Ü","U"),"Ç","C")&amp;"|"&amp;IF(LEN(J95)=11,MID(J95,4,6),J95)))</f>
        <v/>
      </c>
      <c r="L95" s="25" t="str">
        <f aca="false">IF(K95="","",IF(E95="Doação recebida",TRIM(IF(COUNTIF(Socios!$H:$H,K95)&gt;0,"Doador é sócio de empresa da pauta. ","")&amp;IF(COUNTIF(Pessoas!$E:$E,K95)&gt;0,"Doador está em Pessoas.","")),IF(E95="Despesa com fornecedor",IF(COUNTIF(Contratos!$D:$D,K95)&gt;0,"Fornecedor também tem contrato público",""),"")))</f>
        <v/>
      </c>
      <c r="M95" s="24"/>
      <c r="N95" s="11"/>
    </row>
    <row r="96" customFormat="false" ht="15" hidden="false" customHeight="false" outlineLevel="0" collapsed="false">
      <c r="A96" s="23"/>
      <c r="B96" s="31" t="str">
        <f aca="false">IF(A96="","",SUBSTITUTE(SUBSTITUTE(SUBSTITUTE(SUBSTITUTE(SUBSTITUTE(SUBSTITUTE(SUBSTITUTE(SUBSTITUTE(SUBSTITUTE(SUBSTITUTE(SUBSTITUTE(SUBSTITUTE(SUBSTITUTE(UPPER(TRIM(A96)),"Á","A"),"À","A"),"Â","A"),"Ã","A"),"É","E"),"Ê","E"),"Í","I"),"Ó","O"),"Ô","O"),"Õ","O"),"Ú","U"),"Ü","U"),"Ç","C"))</f>
        <v/>
      </c>
      <c r="C96" s="43"/>
      <c r="D96" s="23"/>
      <c r="E96" s="23"/>
      <c r="F96" s="11"/>
      <c r="G96" s="35"/>
      <c r="H96" s="23"/>
      <c r="I96" s="24"/>
      <c r="J96" s="31" t="str">
        <f aca="false">IF(I96="","",UPPER(SUBSTITUTE(SUBSTITUTE(SUBSTITUTE(SUBSTITUTE(SUBSTITUTE(TRIM(I96),".",""),"/",""),"-",""),"*","")," ","")))</f>
        <v/>
      </c>
      <c r="K96" s="31" t="str">
        <f aca="false">IF(OR(H96="",J96=""),"",IF(LEN(J96)&gt;=13,IF(LEN(J96)=13,"0"&amp;J96,J96),SUBSTITUTE(SUBSTITUTE(SUBSTITUTE(SUBSTITUTE(SUBSTITUTE(SUBSTITUTE(SUBSTITUTE(SUBSTITUTE(SUBSTITUTE(SUBSTITUTE(SUBSTITUTE(SUBSTITUTE(SUBSTITUTE(UPPER(TRIM(H96)),"Á","A"),"À","A"),"Â","A"),"Ã","A"),"É","E"),"Ê","E"),"Í","I"),"Ó","O"),"Ô","O"),"Õ","O"),"Ú","U"),"Ü","U"),"Ç","C")&amp;"|"&amp;IF(LEN(J96)=11,MID(J96,4,6),J96)))</f>
        <v/>
      </c>
      <c r="L96" s="25" t="str">
        <f aca="false">IF(K96="","",IF(E96="Doação recebida",TRIM(IF(COUNTIF(Socios!$H:$H,K96)&gt;0,"Doador é sócio de empresa da pauta. ","")&amp;IF(COUNTIF(Pessoas!$E:$E,K96)&gt;0,"Doador está em Pessoas.","")),IF(E96="Despesa com fornecedor",IF(COUNTIF(Contratos!$D:$D,K96)&gt;0,"Fornecedor também tem contrato público",""),"")))</f>
        <v/>
      </c>
      <c r="M96" s="24"/>
      <c r="N96" s="11"/>
    </row>
    <row r="97" customFormat="false" ht="15" hidden="false" customHeight="false" outlineLevel="0" collapsed="false">
      <c r="A97" s="23"/>
      <c r="B97" s="31" t="str">
        <f aca="false">IF(A97="","",SUBSTITUTE(SUBSTITUTE(SUBSTITUTE(SUBSTITUTE(SUBSTITUTE(SUBSTITUTE(SUBSTITUTE(SUBSTITUTE(SUBSTITUTE(SUBSTITUTE(SUBSTITUTE(SUBSTITUTE(SUBSTITUTE(UPPER(TRIM(A97)),"Á","A"),"À","A"),"Â","A"),"Ã","A"),"É","E"),"Ê","E"),"Í","I"),"Ó","O"),"Ô","O"),"Õ","O"),"Ú","U"),"Ü","U"),"Ç","C"))</f>
        <v/>
      </c>
      <c r="C97" s="43"/>
      <c r="D97" s="23"/>
      <c r="E97" s="23"/>
      <c r="F97" s="11"/>
      <c r="G97" s="35"/>
      <c r="H97" s="23"/>
      <c r="I97" s="24"/>
      <c r="J97" s="31" t="str">
        <f aca="false">IF(I97="","",UPPER(SUBSTITUTE(SUBSTITUTE(SUBSTITUTE(SUBSTITUTE(SUBSTITUTE(TRIM(I97),".",""),"/",""),"-",""),"*","")," ","")))</f>
        <v/>
      </c>
      <c r="K97" s="31" t="str">
        <f aca="false">IF(OR(H97="",J97=""),"",IF(LEN(J97)&gt;=13,IF(LEN(J97)=13,"0"&amp;J97,J97),SUBSTITUTE(SUBSTITUTE(SUBSTITUTE(SUBSTITUTE(SUBSTITUTE(SUBSTITUTE(SUBSTITUTE(SUBSTITUTE(SUBSTITUTE(SUBSTITUTE(SUBSTITUTE(SUBSTITUTE(SUBSTITUTE(UPPER(TRIM(H97)),"Á","A"),"À","A"),"Â","A"),"Ã","A"),"É","E"),"Ê","E"),"Í","I"),"Ó","O"),"Ô","O"),"Õ","O"),"Ú","U"),"Ü","U"),"Ç","C")&amp;"|"&amp;IF(LEN(J97)=11,MID(J97,4,6),J97)))</f>
        <v/>
      </c>
      <c r="L97" s="25" t="str">
        <f aca="false">IF(K97="","",IF(E97="Doação recebida",TRIM(IF(COUNTIF(Socios!$H:$H,K97)&gt;0,"Doador é sócio de empresa da pauta. ","")&amp;IF(COUNTIF(Pessoas!$E:$E,K97)&gt;0,"Doador está em Pessoas.","")),IF(E97="Despesa com fornecedor",IF(COUNTIF(Contratos!$D:$D,K97)&gt;0,"Fornecedor também tem contrato público",""),"")))</f>
        <v/>
      </c>
      <c r="M97" s="24"/>
      <c r="N97" s="11"/>
    </row>
    <row r="98" customFormat="false" ht="15" hidden="false" customHeight="false" outlineLevel="0" collapsed="false">
      <c r="A98" s="23"/>
      <c r="B98" s="31" t="str">
        <f aca="false">IF(A98="","",SUBSTITUTE(SUBSTITUTE(SUBSTITUTE(SUBSTITUTE(SUBSTITUTE(SUBSTITUTE(SUBSTITUTE(SUBSTITUTE(SUBSTITUTE(SUBSTITUTE(SUBSTITUTE(SUBSTITUTE(SUBSTITUTE(UPPER(TRIM(A98)),"Á","A"),"À","A"),"Â","A"),"Ã","A"),"É","E"),"Ê","E"),"Í","I"),"Ó","O"),"Ô","O"),"Õ","O"),"Ú","U"),"Ü","U"),"Ç","C"))</f>
        <v/>
      </c>
      <c r="C98" s="43"/>
      <c r="D98" s="23"/>
      <c r="E98" s="23"/>
      <c r="F98" s="11"/>
      <c r="G98" s="35"/>
      <c r="H98" s="23"/>
      <c r="I98" s="24"/>
      <c r="J98" s="31" t="str">
        <f aca="false">IF(I98="","",UPPER(SUBSTITUTE(SUBSTITUTE(SUBSTITUTE(SUBSTITUTE(SUBSTITUTE(TRIM(I98),".",""),"/",""),"-",""),"*","")," ","")))</f>
        <v/>
      </c>
      <c r="K98" s="31" t="str">
        <f aca="false">IF(OR(H98="",J98=""),"",IF(LEN(J98)&gt;=13,IF(LEN(J98)=13,"0"&amp;J98,J98),SUBSTITUTE(SUBSTITUTE(SUBSTITUTE(SUBSTITUTE(SUBSTITUTE(SUBSTITUTE(SUBSTITUTE(SUBSTITUTE(SUBSTITUTE(SUBSTITUTE(SUBSTITUTE(SUBSTITUTE(SUBSTITUTE(UPPER(TRIM(H98)),"Á","A"),"À","A"),"Â","A"),"Ã","A"),"É","E"),"Ê","E"),"Í","I"),"Ó","O"),"Ô","O"),"Õ","O"),"Ú","U"),"Ü","U"),"Ç","C")&amp;"|"&amp;IF(LEN(J98)=11,MID(J98,4,6),J98)))</f>
        <v/>
      </c>
      <c r="L98" s="25" t="str">
        <f aca="false">IF(K98="","",IF(E98="Doação recebida",TRIM(IF(COUNTIF(Socios!$H:$H,K98)&gt;0,"Doador é sócio de empresa da pauta. ","")&amp;IF(COUNTIF(Pessoas!$E:$E,K98)&gt;0,"Doador está em Pessoas.","")),IF(E98="Despesa com fornecedor",IF(COUNTIF(Contratos!$D:$D,K98)&gt;0,"Fornecedor também tem contrato público",""),"")))</f>
        <v/>
      </c>
      <c r="M98" s="24"/>
      <c r="N98" s="11"/>
    </row>
    <row r="99" customFormat="false" ht="15" hidden="false" customHeight="false" outlineLevel="0" collapsed="false">
      <c r="A99" s="23"/>
      <c r="B99" s="31" t="str">
        <f aca="false">IF(A99="","",SUBSTITUTE(SUBSTITUTE(SUBSTITUTE(SUBSTITUTE(SUBSTITUTE(SUBSTITUTE(SUBSTITUTE(SUBSTITUTE(SUBSTITUTE(SUBSTITUTE(SUBSTITUTE(SUBSTITUTE(SUBSTITUTE(UPPER(TRIM(A99)),"Á","A"),"À","A"),"Â","A"),"Ã","A"),"É","E"),"Ê","E"),"Í","I"),"Ó","O"),"Ô","O"),"Õ","O"),"Ú","U"),"Ü","U"),"Ç","C"))</f>
        <v/>
      </c>
      <c r="C99" s="43"/>
      <c r="D99" s="23"/>
      <c r="E99" s="23"/>
      <c r="F99" s="11"/>
      <c r="G99" s="35"/>
      <c r="H99" s="23"/>
      <c r="I99" s="24"/>
      <c r="J99" s="31" t="str">
        <f aca="false">IF(I99="","",UPPER(SUBSTITUTE(SUBSTITUTE(SUBSTITUTE(SUBSTITUTE(SUBSTITUTE(TRIM(I99),".",""),"/",""),"-",""),"*","")," ","")))</f>
        <v/>
      </c>
      <c r="K99" s="31" t="str">
        <f aca="false">IF(OR(H99="",J99=""),"",IF(LEN(J99)&gt;=13,IF(LEN(J99)=13,"0"&amp;J99,J99),SUBSTITUTE(SUBSTITUTE(SUBSTITUTE(SUBSTITUTE(SUBSTITUTE(SUBSTITUTE(SUBSTITUTE(SUBSTITUTE(SUBSTITUTE(SUBSTITUTE(SUBSTITUTE(SUBSTITUTE(SUBSTITUTE(UPPER(TRIM(H99)),"Á","A"),"À","A"),"Â","A"),"Ã","A"),"É","E"),"Ê","E"),"Í","I"),"Ó","O"),"Ô","O"),"Õ","O"),"Ú","U"),"Ü","U"),"Ç","C")&amp;"|"&amp;IF(LEN(J99)=11,MID(J99,4,6),J99)))</f>
        <v/>
      </c>
      <c r="L99" s="25" t="str">
        <f aca="false">IF(K99="","",IF(E99="Doação recebida",TRIM(IF(COUNTIF(Socios!$H:$H,K99)&gt;0,"Doador é sócio de empresa da pauta. ","")&amp;IF(COUNTIF(Pessoas!$E:$E,K99)&gt;0,"Doador está em Pessoas.","")),IF(E99="Despesa com fornecedor",IF(COUNTIF(Contratos!$D:$D,K99)&gt;0,"Fornecedor também tem contrato público",""),"")))</f>
        <v/>
      </c>
      <c r="M99" s="24"/>
      <c r="N99" s="11"/>
    </row>
    <row r="100" customFormat="false" ht="15" hidden="false" customHeight="false" outlineLevel="0" collapsed="false">
      <c r="A100" s="23"/>
      <c r="B100" s="31" t="str">
        <f aca="false">IF(A100="","",SUBSTITUTE(SUBSTITUTE(SUBSTITUTE(SUBSTITUTE(SUBSTITUTE(SUBSTITUTE(SUBSTITUTE(SUBSTITUTE(SUBSTITUTE(SUBSTITUTE(SUBSTITUTE(SUBSTITUTE(SUBSTITUTE(UPPER(TRIM(A100)),"Á","A"),"À","A"),"Â","A"),"Ã","A"),"É","E"),"Ê","E"),"Í","I"),"Ó","O"),"Ô","O"),"Õ","O"),"Ú","U"),"Ü","U"),"Ç","C"))</f>
        <v/>
      </c>
      <c r="C100" s="43"/>
      <c r="D100" s="23"/>
      <c r="E100" s="23"/>
      <c r="F100" s="11"/>
      <c r="G100" s="35"/>
      <c r="H100" s="23"/>
      <c r="I100" s="24"/>
      <c r="J100" s="31" t="str">
        <f aca="false">IF(I100="","",UPPER(SUBSTITUTE(SUBSTITUTE(SUBSTITUTE(SUBSTITUTE(SUBSTITUTE(TRIM(I100),".",""),"/",""),"-",""),"*","")," ","")))</f>
        <v/>
      </c>
      <c r="K100" s="31" t="str">
        <f aca="false">IF(OR(H100="",J100=""),"",IF(LEN(J100)&gt;=13,IF(LEN(J100)=13,"0"&amp;J100,J100),SUBSTITUTE(SUBSTITUTE(SUBSTITUTE(SUBSTITUTE(SUBSTITUTE(SUBSTITUTE(SUBSTITUTE(SUBSTITUTE(SUBSTITUTE(SUBSTITUTE(SUBSTITUTE(SUBSTITUTE(SUBSTITUTE(UPPER(TRIM(H100)),"Á","A"),"À","A"),"Â","A"),"Ã","A"),"É","E"),"Ê","E"),"Í","I"),"Ó","O"),"Ô","O"),"Õ","O"),"Ú","U"),"Ü","U"),"Ç","C")&amp;"|"&amp;IF(LEN(J100)=11,MID(J100,4,6),J100)))</f>
        <v/>
      </c>
      <c r="L100" s="25" t="str">
        <f aca="false">IF(K100="","",IF(E100="Doação recebida",TRIM(IF(COUNTIF(Socios!$H:$H,K100)&gt;0,"Doador é sócio de empresa da pauta. ","")&amp;IF(COUNTIF(Pessoas!$E:$E,K100)&gt;0,"Doador está em Pessoas.","")),IF(E100="Despesa com fornecedor",IF(COUNTIF(Contratos!$D:$D,K100)&gt;0,"Fornecedor também tem contrato público",""),"")))</f>
        <v/>
      </c>
      <c r="M100" s="24"/>
      <c r="N100" s="11"/>
    </row>
    <row r="101" customFormat="false" ht="15" hidden="false" customHeight="false" outlineLevel="0" collapsed="false">
      <c r="A101" s="23"/>
      <c r="B101" s="31" t="str">
        <f aca="false">IF(A101="","",SUBSTITUTE(SUBSTITUTE(SUBSTITUTE(SUBSTITUTE(SUBSTITUTE(SUBSTITUTE(SUBSTITUTE(SUBSTITUTE(SUBSTITUTE(SUBSTITUTE(SUBSTITUTE(SUBSTITUTE(SUBSTITUTE(UPPER(TRIM(A101)),"Á","A"),"À","A"),"Â","A"),"Ã","A"),"É","E"),"Ê","E"),"Í","I"),"Ó","O"),"Ô","O"),"Õ","O"),"Ú","U"),"Ü","U"),"Ç","C"))</f>
        <v/>
      </c>
      <c r="C101" s="43"/>
      <c r="D101" s="23"/>
      <c r="E101" s="23"/>
      <c r="F101" s="11"/>
      <c r="G101" s="35"/>
      <c r="H101" s="23"/>
      <c r="I101" s="24"/>
      <c r="J101" s="31" t="str">
        <f aca="false">IF(I101="","",UPPER(SUBSTITUTE(SUBSTITUTE(SUBSTITUTE(SUBSTITUTE(SUBSTITUTE(TRIM(I101),".",""),"/",""),"-",""),"*","")," ","")))</f>
        <v/>
      </c>
      <c r="K101" s="31" t="str">
        <f aca="false">IF(OR(H101="",J101=""),"",IF(LEN(J101)&gt;=13,IF(LEN(J101)=13,"0"&amp;J101,J101),SUBSTITUTE(SUBSTITUTE(SUBSTITUTE(SUBSTITUTE(SUBSTITUTE(SUBSTITUTE(SUBSTITUTE(SUBSTITUTE(SUBSTITUTE(SUBSTITUTE(SUBSTITUTE(SUBSTITUTE(SUBSTITUTE(UPPER(TRIM(H101)),"Á","A"),"À","A"),"Â","A"),"Ã","A"),"É","E"),"Ê","E"),"Í","I"),"Ó","O"),"Ô","O"),"Õ","O"),"Ú","U"),"Ü","U"),"Ç","C")&amp;"|"&amp;IF(LEN(J101)=11,MID(J101,4,6),J101)))</f>
        <v/>
      </c>
      <c r="L101" s="25" t="str">
        <f aca="false">IF(K101="","",IF(E101="Doação recebida",TRIM(IF(COUNTIF(Socios!$H:$H,K101)&gt;0,"Doador é sócio de empresa da pauta. ","")&amp;IF(COUNTIF(Pessoas!$E:$E,K101)&gt;0,"Doador está em Pessoas.","")),IF(E101="Despesa com fornecedor",IF(COUNTIF(Contratos!$D:$D,K101)&gt;0,"Fornecedor também tem contrato público",""),"")))</f>
        <v/>
      </c>
      <c r="M101" s="24"/>
      <c r="N101" s="11"/>
    </row>
    <row r="102" customFormat="false" ht="15" hidden="false" customHeight="false" outlineLevel="0" collapsed="false">
      <c r="A102" s="23"/>
      <c r="B102" s="31" t="str">
        <f aca="false">IF(A102="","",SUBSTITUTE(SUBSTITUTE(SUBSTITUTE(SUBSTITUTE(SUBSTITUTE(SUBSTITUTE(SUBSTITUTE(SUBSTITUTE(SUBSTITUTE(SUBSTITUTE(SUBSTITUTE(SUBSTITUTE(SUBSTITUTE(UPPER(TRIM(A102)),"Á","A"),"À","A"),"Â","A"),"Ã","A"),"É","E"),"Ê","E"),"Í","I"),"Ó","O"),"Ô","O"),"Õ","O"),"Ú","U"),"Ü","U"),"Ç","C"))</f>
        <v/>
      </c>
      <c r="C102" s="43"/>
      <c r="D102" s="23"/>
      <c r="E102" s="23"/>
      <c r="F102" s="11"/>
      <c r="G102" s="35"/>
      <c r="H102" s="23"/>
      <c r="I102" s="24"/>
      <c r="J102" s="31" t="str">
        <f aca="false">IF(I102="","",UPPER(SUBSTITUTE(SUBSTITUTE(SUBSTITUTE(SUBSTITUTE(SUBSTITUTE(TRIM(I102),".",""),"/",""),"-",""),"*","")," ","")))</f>
        <v/>
      </c>
      <c r="K102" s="31" t="str">
        <f aca="false">IF(OR(H102="",J102=""),"",IF(LEN(J102)&gt;=13,IF(LEN(J102)=13,"0"&amp;J102,J102),SUBSTITUTE(SUBSTITUTE(SUBSTITUTE(SUBSTITUTE(SUBSTITUTE(SUBSTITUTE(SUBSTITUTE(SUBSTITUTE(SUBSTITUTE(SUBSTITUTE(SUBSTITUTE(SUBSTITUTE(SUBSTITUTE(UPPER(TRIM(H102)),"Á","A"),"À","A"),"Â","A"),"Ã","A"),"É","E"),"Ê","E"),"Í","I"),"Ó","O"),"Ô","O"),"Õ","O"),"Ú","U"),"Ü","U"),"Ç","C")&amp;"|"&amp;IF(LEN(J102)=11,MID(J102,4,6),J102)))</f>
        <v/>
      </c>
      <c r="L102" s="25" t="str">
        <f aca="false">IF(K102="","",IF(E102="Doação recebida",TRIM(IF(COUNTIF(Socios!$H:$H,K102)&gt;0,"Doador é sócio de empresa da pauta. ","")&amp;IF(COUNTIF(Pessoas!$E:$E,K102)&gt;0,"Doador está em Pessoas.","")),IF(E102="Despesa com fornecedor",IF(COUNTIF(Contratos!$D:$D,K102)&gt;0,"Fornecedor também tem contrato público",""),"")))</f>
        <v/>
      </c>
      <c r="M102" s="24"/>
      <c r="N102" s="11"/>
    </row>
    <row r="103" customFormat="false" ht="15" hidden="false" customHeight="false" outlineLevel="0" collapsed="false">
      <c r="A103" s="23"/>
      <c r="B103" s="31" t="str">
        <f aca="false">IF(A103="","",SUBSTITUTE(SUBSTITUTE(SUBSTITUTE(SUBSTITUTE(SUBSTITUTE(SUBSTITUTE(SUBSTITUTE(SUBSTITUTE(SUBSTITUTE(SUBSTITUTE(SUBSTITUTE(SUBSTITUTE(SUBSTITUTE(UPPER(TRIM(A103)),"Á","A"),"À","A"),"Â","A"),"Ã","A"),"É","E"),"Ê","E"),"Í","I"),"Ó","O"),"Ô","O"),"Õ","O"),"Ú","U"),"Ü","U"),"Ç","C"))</f>
        <v/>
      </c>
      <c r="C103" s="43"/>
      <c r="D103" s="23"/>
      <c r="E103" s="23"/>
      <c r="F103" s="11"/>
      <c r="G103" s="35"/>
      <c r="H103" s="23"/>
      <c r="I103" s="24"/>
      <c r="J103" s="31" t="str">
        <f aca="false">IF(I103="","",UPPER(SUBSTITUTE(SUBSTITUTE(SUBSTITUTE(SUBSTITUTE(SUBSTITUTE(TRIM(I103),".",""),"/",""),"-",""),"*","")," ","")))</f>
        <v/>
      </c>
      <c r="K103" s="31" t="str">
        <f aca="false">IF(OR(H103="",J103=""),"",IF(LEN(J103)&gt;=13,IF(LEN(J103)=13,"0"&amp;J103,J103),SUBSTITUTE(SUBSTITUTE(SUBSTITUTE(SUBSTITUTE(SUBSTITUTE(SUBSTITUTE(SUBSTITUTE(SUBSTITUTE(SUBSTITUTE(SUBSTITUTE(SUBSTITUTE(SUBSTITUTE(SUBSTITUTE(UPPER(TRIM(H103)),"Á","A"),"À","A"),"Â","A"),"Ã","A"),"É","E"),"Ê","E"),"Í","I"),"Ó","O"),"Ô","O"),"Õ","O"),"Ú","U"),"Ü","U"),"Ç","C")&amp;"|"&amp;IF(LEN(J103)=11,MID(J103,4,6),J103)))</f>
        <v/>
      </c>
      <c r="L103" s="25" t="str">
        <f aca="false">IF(K103="","",IF(E103="Doação recebida",TRIM(IF(COUNTIF(Socios!$H:$H,K103)&gt;0,"Doador é sócio de empresa da pauta. ","")&amp;IF(COUNTIF(Pessoas!$E:$E,K103)&gt;0,"Doador está em Pessoas.","")),IF(E103="Despesa com fornecedor",IF(COUNTIF(Contratos!$D:$D,K103)&gt;0,"Fornecedor também tem contrato público",""),"")))</f>
        <v/>
      </c>
      <c r="M103" s="24"/>
      <c r="N103" s="11"/>
    </row>
    <row r="104" customFormat="false" ht="15" hidden="false" customHeight="false" outlineLevel="0" collapsed="false">
      <c r="A104" s="23"/>
      <c r="B104" s="31" t="str">
        <f aca="false">IF(A104="","",SUBSTITUTE(SUBSTITUTE(SUBSTITUTE(SUBSTITUTE(SUBSTITUTE(SUBSTITUTE(SUBSTITUTE(SUBSTITUTE(SUBSTITUTE(SUBSTITUTE(SUBSTITUTE(SUBSTITUTE(SUBSTITUTE(UPPER(TRIM(A104)),"Á","A"),"À","A"),"Â","A"),"Ã","A"),"É","E"),"Ê","E"),"Í","I"),"Ó","O"),"Ô","O"),"Õ","O"),"Ú","U"),"Ü","U"),"Ç","C"))</f>
        <v/>
      </c>
      <c r="C104" s="43"/>
      <c r="D104" s="23"/>
      <c r="E104" s="23"/>
      <c r="F104" s="11"/>
      <c r="G104" s="35"/>
      <c r="H104" s="23"/>
      <c r="I104" s="24"/>
      <c r="J104" s="31" t="str">
        <f aca="false">IF(I104="","",UPPER(SUBSTITUTE(SUBSTITUTE(SUBSTITUTE(SUBSTITUTE(SUBSTITUTE(TRIM(I104),".",""),"/",""),"-",""),"*","")," ","")))</f>
        <v/>
      </c>
      <c r="K104" s="31" t="str">
        <f aca="false">IF(OR(H104="",J104=""),"",IF(LEN(J104)&gt;=13,IF(LEN(J104)=13,"0"&amp;J104,J104),SUBSTITUTE(SUBSTITUTE(SUBSTITUTE(SUBSTITUTE(SUBSTITUTE(SUBSTITUTE(SUBSTITUTE(SUBSTITUTE(SUBSTITUTE(SUBSTITUTE(SUBSTITUTE(SUBSTITUTE(SUBSTITUTE(UPPER(TRIM(H104)),"Á","A"),"À","A"),"Â","A"),"Ã","A"),"É","E"),"Ê","E"),"Í","I"),"Ó","O"),"Ô","O"),"Õ","O"),"Ú","U"),"Ü","U"),"Ç","C")&amp;"|"&amp;IF(LEN(J104)=11,MID(J104,4,6),J104)))</f>
        <v/>
      </c>
      <c r="L104" s="25" t="str">
        <f aca="false">IF(K104="","",IF(E104="Doação recebida",TRIM(IF(COUNTIF(Socios!$H:$H,K104)&gt;0,"Doador é sócio de empresa da pauta. ","")&amp;IF(COUNTIF(Pessoas!$E:$E,K104)&gt;0,"Doador está em Pessoas.","")),IF(E104="Despesa com fornecedor",IF(COUNTIF(Contratos!$D:$D,K104)&gt;0,"Fornecedor também tem contrato público",""),"")))</f>
        <v/>
      </c>
      <c r="M104" s="24"/>
      <c r="N104" s="11"/>
    </row>
    <row r="105" customFormat="false" ht="15" hidden="false" customHeight="false" outlineLevel="0" collapsed="false">
      <c r="A105" s="23"/>
      <c r="B105" s="31" t="str">
        <f aca="false">IF(A105="","",SUBSTITUTE(SUBSTITUTE(SUBSTITUTE(SUBSTITUTE(SUBSTITUTE(SUBSTITUTE(SUBSTITUTE(SUBSTITUTE(SUBSTITUTE(SUBSTITUTE(SUBSTITUTE(SUBSTITUTE(SUBSTITUTE(UPPER(TRIM(A105)),"Á","A"),"À","A"),"Â","A"),"Ã","A"),"É","E"),"Ê","E"),"Í","I"),"Ó","O"),"Ô","O"),"Õ","O"),"Ú","U"),"Ü","U"),"Ç","C"))</f>
        <v/>
      </c>
      <c r="C105" s="43"/>
      <c r="D105" s="23"/>
      <c r="E105" s="23"/>
      <c r="F105" s="11"/>
      <c r="G105" s="35"/>
      <c r="H105" s="23"/>
      <c r="I105" s="24"/>
      <c r="J105" s="31" t="str">
        <f aca="false">IF(I105="","",UPPER(SUBSTITUTE(SUBSTITUTE(SUBSTITUTE(SUBSTITUTE(SUBSTITUTE(TRIM(I105),".",""),"/",""),"-",""),"*","")," ","")))</f>
        <v/>
      </c>
      <c r="K105" s="31" t="str">
        <f aca="false">IF(OR(H105="",J105=""),"",IF(LEN(J105)&gt;=13,IF(LEN(J105)=13,"0"&amp;J105,J105),SUBSTITUTE(SUBSTITUTE(SUBSTITUTE(SUBSTITUTE(SUBSTITUTE(SUBSTITUTE(SUBSTITUTE(SUBSTITUTE(SUBSTITUTE(SUBSTITUTE(SUBSTITUTE(SUBSTITUTE(SUBSTITUTE(UPPER(TRIM(H105)),"Á","A"),"À","A"),"Â","A"),"Ã","A"),"É","E"),"Ê","E"),"Í","I"),"Ó","O"),"Ô","O"),"Õ","O"),"Ú","U"),"Ü","U"),"Ç","C")&amp;"|"&amp;IF(LEN(J105)=11,MID(J105,4,6),J105)))</f>
        <v/>
      </c>
      <c r="L105" s="25" t="str">
        <f aca="false">IF(K105="","",IF(E105="Doação recebida",TRIM(IF(COUNTIF(Socios!$H:$H,K105)&gt;0,"Doador é sócio de empresa da pauta. ","")&amp;IF(COUNTIF(Pessoas!$E:$E,K105)&gt;0,"Doador está em Pessoas.","")),IF(E105="Despesa com fornecedor",IF(COUNTIF(Contratos!$D:$D,K105)&gt;0,"Fornecedor também tem contrato público",""),"")))</f>
        <v/>
      </c>
      <c r="M105" s="24"/>
      <c r="N105" s="11"/>
    </row>
    <row r="106" customFormat="false" ht="15" hidden="false" customHeight="false" outlineLevel="0" collapsed="false">
      <c r="A106" s="23"/>
      <c r="B106" s="31" t="str">
        <f aca="false">IF(A106="","",SUBSTITUTE(SUBSTITUTE(SUBSTITUTE(SUBSTITUTE(SUBSTITUTE(SUBSTITUTE(SUBSTITUTE(SUBSTITUTE(SUBSTITUTE(SUBSTITUTE(SUBSTITUTE(SUBSTITUTE(SUBSTITUTE(UPPER(TRIM(A106)),"Á","A"),"À","A"),"Â","A"),"Ã","A"),"É","E"),"Ê","E"),"Í","I"),"Ó","O"),"Ô","O"),"Õ","O"),"Ú","U"),"Ü","U"),"Ç","C"))</f>
        <v/>
      </c>
      <c r="C106" s="43"/>
      <c r="D106" s="23"/>
      <c r="E106" s="23"/>
      <c r="F106" s="11"/>
      <c r="G106" s="35"/>
      <c r="H106" s="23"/>
      <c r="I106" s="24"/>
      <c r="J106" s="31" t="str">
        <f aca="false">IF(I106="","",UPPER(SUBSTITUTE(SUBSTITUTE(SUBSTITUTE(SUBSTITUTE(SUBSTITUTE(TRIM(I106),".",""),"/",""),"-",""),"*","")," ","")))</f>
        <v/>
      </c>
      <c r="K106" s="31" t="str">
        <f aca="false">IF(OR(H106="",J106=""),"",IF(LEN(J106)&gt;=13,IF(LEN(J106)=13,"0"&amp;J106,J106),SUBSTITUTE(SUBSTITUTE(SUBSTITUTE(SUBSTITUTE(SUBSTITUTE(SUBSTITUTE(SUBSTITUTE(SUBSTITUTE(SUBSTITUTE(SUBSTITUTE(SUBSTITUTE(SUBSTITUTE(SUBSTITUTE(UPPER(TRIM(H106)),"Á","A"),"À","A"),"Â","A"),"Ã","A"),"É","E"),"Ê","E"),"Í","I"),"Ó","O"),"Ô","O"),"Õ","O"),"Ú","U"),"Ü","U"),"Ç","C")&amp;"|"&amp;IF(LEN(J106)=11,MID(J106,4,6),J106)))</f>
        <v/>
      </c>
      <c r="L106" s="25" t="str">
        <f aca="false">IF(K106="","",IF(E106="Doação recebida",TRIM(IF(COUNTIF(Socios!$H:$H,K106)&gt;0,"Doador é sócio de empresa da pauta. ","")&amp;IF(COUNTIF(Pessoas!$E:$E,K106)&gt;0,"Doador está em Pessoas.","")),IF(E106="Despesa com fornecedor",IF(COUNTIF(Contratos!$D:$D,K106)&gt;0,"Fornecedor também tem contrato público",""),"")))</f>
        <v/>
      </c>
      <c r="M106" s="24"/>
      <c r="N106" s="11"/>
    </row>
    <row r="107" customFormat="false" ht="15" hidden="false" customHeight="false" outlineLevel="0" collapsed="false">
      <c r="A107" s="23"/>
      <c r="B107" s="31" t="str">
        <f aca="false">IF(A107="","",SUBSTITUTE(SUBSTITUTE(SUBSTITUTE(SUBSTITUTE(SUBSTITUTE(SUBSTITUTE(SUBSTITUTE(SUBSTITUTE(SUBSTITUTE(SUBSTITUTE(SUBSTITUTE(SUBSTITUTE(SUBSTITUTE(UPPER(TRIM(A107)),"Á","A"),"À","A"),"Â","A"),"Ã","A"),"É","E"),"Ê","E"),"Í","I"),"Ó","O"),"Ô","O"),"Õ","O"),"Ú","U"),"Ü","U"),"Ç","C"))</f>
        <v/>
      </c>
      <c r="C107" s="43"/>
      <c r="D107" s="23"/>
      <c r="E107" s="23"/>
      <c r="F107" s="11"/>
      <c r="G107" s="35"/>
      <c r="H107" s="23"/>
      <c r="I107" s="24"/>
      <c r="J107" s="31" t="str">
        <f aca="false">IF(I107="","",UPPER(SUBSTITUTE(SUBSTITUTE(SUBSTITUTE(SUBSTITUTE(SUBSTITUTE(TRIM(I107),".",""),"/",""),"-",""),"*","")," ","")))</f>
        <v/>
      </c>
      <c r="K107" s="31" t="str">
        <f aca="false">IF(OR(H107="",J107=""),"",IF(LEN(J107)&gt;=13,IF(LEN(J107)=13,"0"&amp;J107,J107),SUBSTITUTE(SUBSTITUTE(SUBSTITUTE(SUBSTITUTE(SUBSTITUTE(SUBSTITUTE(SUBSTITUTE(SUBSTITUTE(SUBSTITUTE(SUBSTITUTE(SUBSTITUTE(SUBSTITUTE(SUBSTITUTE(UPPER(TRIM(H107)),"Á","A"),"À","A"),"Â","A"),"Ã","A"),"É","E"),"Ê","E"),"Í","I"),"Ó","O"),"Ô","O"),"Õ","O"),"Ú","U"),"Ü","U"),"Ç","C")&amp;"|"&amp;IF(LEN(J107)=11,MID(J107,4,6),J107)))</f>
        <v/>
      </c>
      <c r="L107" s="25" t="str">
        <f aca="false">IF(K107="","",IF(E107="Doação recebida",TRIM(IF(COUNTIF(Socios!$H:$H,K107)&gt;0,"Doador é sócio de empresa da pauta. ","")&amp;IF(COUNTIF(Pessoas!$E:$E,K107)&gt;0,"Doador está em Pessoas.","")),IF(E107="Despesa com fornecedor",IF(COUNTIF(Contratos!$D:$D,K107)&gt;0,"Fornecedor também tem contrato público",""),"")))</f>
        <v/>
      </c>
      <c r="M107" s="24"/>
      <c r="N107" s="11"/>
    </row>
    <row r="108" customFormat="false" ht="15" hidden="false" customHeight="false" outlineLevel="0" collapsed="false">
      <c r="A108" s="23"/>
      <c r="B108" s="31" t="str">
        <f aca="false">IF(A108="","",SUBSTITUTE(SUBSTITUTE(SUBSTITUTE(SUBSTITUTE(SUBSTITUTE(SUBSTITUTE(SUBSTITUTE(SUBSTITUTE(SUBSTITUTE(SUBSTITUTE(SUBSTITUTE(SUBSTITUTE(SUBSTITUTE(UPPER(TRIM(A108)),"Á","A"),"À","A"),"Â","A"),"Ã","A"),"É","E"),"Ê","E"),"Í","I"),"Ó","O"),"Ô","O"),"Õ","O"),"Ú","U"),"Ü","U"),"Ç","C"))</f>
        <v/>
      </c>
      <c r="C108" s="43"/>
      <c r="D108" s="23"/>
      <c r="E108" s="23"/>
      <c r="F108" s="11"/>
      <c r="G108" s="35"/>
      <c r="H108" s="23"/>
      <c r="I108" s="24"/>
      <c r="J108" s="31" t="str">
        <f aca="false">IF(I108="","",UPPER(SUBSTITUTE(SUBSTITUTE(SUBSTITUTE(SUBSTITUTE(SUBSTITUTE(TRIM(I108),".",""),"/",""),"-",""),"*","")," ","")))</f>
        <v/>
      </c>
      <c r="K108" s="31" t="str">
        <f aca="false">IF(OR(H108="",J108=""),"",IF(LEN(J108)&gt;=13,IF(LEN(J108)=13,"0"&amp;J108,J108),SUBSTITUTE(SUBSTITUTE(SUBSTITUTE(SUBSTITUTE(SUBSTITUTE(SUBSTITUTE(SUBSTITUTE(SUBSTITUTE(SUBSTITUTE(SUBSTITUTE(SUBSTITUTE(SUBSTITUTE(SUBSTITUTE(UPPER(TRIM(H108)),"Á","A"),"À","A"),"Â","A"),"Ã","A"),"É","E"),"Ê","E"),"Í","I"),"Ó","O"),"Ô","O"),"Õ","O"),"Ú","U"),"Ü","U"),"Ç","C")&amp;"|"&amp;IF(LEN(J108)=11,MID(J108,4,6),J108)))</f>
        <v/>
      </c>
      <c r="L108" s="25" t="str">
        <f aca="false">IF(K108="","",IF(E108="Doação recebida",TRIM(IF(COUNTIF(Socios!$H:$H,K108)&gt;0,"Doador é sócio de empresa da pauta. ","")&amp;IF(COUNTIF(Pessoas!$E:$E,K108)&gt;0,"Doador está em Pessoas.","")),IF(E108="Despesa com fornecedor",IF(COUNTIF(Contratos!$D:$D,K108)&gt;0,"Fornecedor também tem contrato público",""),"")))</f>
        <v/>
      </c>
      <c r="M108" s="24"/>
      <c r="N108" s="11"/>
    </row>
    <row r="109" customFormat="false" ht="15" hidden="false" customHeight="false" outlineLevel="0" collapsed="false">
      <c r="A109" s="23"/>
      <c r="B109" s="31" t="str">
        <f aca="false">IF(A109="","",SUBSTITUTE(SUBSTITUTE(SUBSTITUTE(SUBSTITUTE(SUBSTITUTE(SUBSTITUTE(SUBSTITUTE(SUBSTITUTE(SUBSTITUTE(SUBSTITUTE(SUBSTITUTE(SUBSTITUTE(SUBSTITUTE(UPPER(TRIM(A109)),"Á","A"),"À","A"),"Â","A"),"Ã","A"),"É","E"),"Ê","E"),"Í","I"),"Ó","O"),"Ô","O"),"Õ","O"),"Ú","U"),"Ü","U"),"Ç","C"))</f>
        <v/>
      </c>
      <c r="C109" s="43"/>
      <c r="D109" s="23"/>
      <c r="E109" s="23"/>
      <c r="F109" s="11"/>
      <c r="G109" s="35"/>
      <c r="H109" s="23"/>
      <c r="I109" s="24"/>
      <c r="J109" s="31" t="str">
        <f aca="false">IF(I109="","",UPPER(SUBSTITUTE(SUBSTITUTE(SUBSTITUTE(SUBSTITUTE(SUBSTITUTE(TRIM(I109),".",""),"/",""),"-",""),"*","")," ","")))</f>
        <v/>
      </c>
      <c r="K109" s="31" t="str">
        <f aca="false">IF(OR(H109="",J109=""),"",IF(LEN(J109)&gt;=13,IF(LEN(J109)=13,"0"&amp;J109,J109),SUBSTITUTE(SUBSTITUTE(SUBSTITUTE(SUBSTITUTE(SUBSTITUTE(SUBSTITUTE(SUBSTITUTE(SUBSTITUTE(SUBSTITUTE(SUBSTITUTE(SUBSTITUTE(SUBSTITUTE(SUBSTITUTE(UPPER(TRIM(H109)),"Á","A"),"À","A"),"Â","A"),"Ã","A"),"É","E"),"Ê","E"),"Í","I"),"Ó","O"),"Ô","O"),"Õ","O"),"Ú","U"),"Ü","U"),"Ç","C")&amp;"|"&amp;IF(LEN(J109)=11,MID(J109,4,6),J109)))</f>
        <v/>
      </c>
      <c r="L109" s="25" t="str">
        <f aca="false">IF(K109="","",IF(E109="Doação recebida",TRIM(IF(COUNTIF(Socios!$H:$H,K109)&gt;0,"Doador é sócio de empresa da pauta. ","")&amp;IF(COUNTIF(Pessoas!$E:$E,K109)&gt;0,"Doador está em Pessoas.","")),IF(E109="Despesa com fornecedor",IF(COUNTIF(Contratos!$D:$D,K109)&gt;0,"Fornecedor também tem contrato público",""),"")))</f>
        <v/>
      </c>
      <c r="M109" s="24"/>
      <c r="N109" s="11"/>
    </row>
    <row r="110" customFormat="false" ht="15" hidden="false" customHeight="false" outlineLevel="0" collapsed="false">
      <c r="A110" s="23"/>
      <c r="B110" s="31" t="str">
        <f aca="false">IF(A110="","",SUBSTITUTE(SUBSTITUTE(SUBSTITUTE(SUBSTITUTE(SUBSTITUTE(SUBSTITUTE(SUBSTITUTE(SUBSTITUTE(SUBSTITUTE(SUBSTITUTE(SUBSTITUTE(SUBSTITUTE(SUBSTITUTE(UPPER(TRIM(A110)),"Á","A"),"À","A"),"Â","A"),"Ã","A"),"É","E"),"Ê","E"),"Í","I"),"Ó","O"),"Ô","O"),"Õ","O"),"Ú","U"),"Ü","U"),"Ç","C"))</f>
        <v/>
      </c>
      <c r="C110" s="43"/>
      <c r="D110" s="23"/>
      <c r="E110" s="23"/>
      <c r="F110" s="11"/>
      <c r="G110" s="35"/>
      <c r="H110" s="23"/>
      <c r="I110" s="24"/>
      <c r="J110" s="31" t="str">
        <f aca="false">IF(I110="","",UPPER(SUBSTITUTE(SUBSTITUTE(SUBSTITUTE(SUBSTITUTE(SUBSTITUTE(TRIM(I110),".",""),"/",""),"-",""),"*","")," ","")))</f>
        <v/>
      </c>
      <c r="K110" s="31" t="str">
        <f aca="false">IF(OR(H110="",J110=""),"",IF(LEN(J110)&gt;=13,IF(LEN(J110)=13,"0"&amp;J110,J110),SUBSTITUTE(SUBSTITUTE(SUBSTITUTE(SUBSTITUTE(SUBSTITUTE(SUBSTITUTE(SUBSTITUTE(SUBSTITUTE(SUBSTITUTE(SUBSTITUTE(SUBSTITUTE(SUBSTITUTE(SUBSTITUTE(UPPER(TRIM(H110)),"Á","A"),"À","A"),"Â","A"),"Ã","A"),"É","E"),"Ê","E"),"Í","I"),"Ó","O"),"Ô","O"),"Õ","O"),"Ú","U"),"Ü","U"),"Ç","C")&amp;"|"&amp;IF(LEN(J110)=11,MID(J110,4,6),J110)))</f>
        <v/>
      </c>
      <c r="L110" s="25" t="str">
        <f aca="false">IF(K110="","",IF(E110="Doação recebida",TRIM(IF(COUNTIF(Socios!$H:$H,K110)&gt;0,"Doador é sócio de empresa da pauta. ","")&amp;IF(COUNTIF(Pessoas!$E:$E,K110)&gt;0,"Doador está em Pessoas.","")),IF(E110="Despesa com fornecedor",IF(COUNTIF(Contratos!$D:$D,K110)&gt;0,"Fornecedor também tem contrato público",""),"")))</f>
        <v/>
      </c>
      <c r="M110" s="24"/>
      <c r="N110" s="11"/>
    </row>
    <row r="111" customFormat="false" ht="15" hidden="false" customHeight="false" outlineLevel="0" collapsed="false">
      <c r="A111" s="23"/>
      <c r="B111" s="31" t="str">
        <f aca="false">IF(A111="","",SUBSTITUTE(SUBSTITUTE(SUBSTITUTE(SUBSTITUTE(SUBSTITUTE(SUBSTITUTE(SUBSTITUTE(SUBSTITUTE(SUBSTITUTE(SUBSTITUTE(SUBSTITUTE(SUBSTITUTE(SUBSTITUTE(UPPER(TRIM(A111)),"Á","A"),"À","A"),"Â","A"),"Ã","A"),"É","E"),"Ê","E"),"Í","I"),"Ó","O"),"Ô","O"),"Õ","O"),"Ú","U"),"Ü","U"),"Ç","C"))</f>
        <v/>
      </c>
      <c r="C111" s="43"/>
      <c r="D111" s="23"/>
      <c r="E111" s="23"/>
      <c r="F111" s="11"/>
      <c r="G111" s="35"/>
      <c r="H111" s="23"/>
      <c r="I111" s="24"/>
      <c r="J111" s="31" t="str">
        <f aca="false">IF(I111="","",UPPER(SUBSTITUTE(SUBSTITUTE(SUBSTITUTE(SUBSTITUTE(SUBSTITUTE(TRIM(I111),".",""),"/",""),"-",""),"*","")," ","")))</f>
        <v/>
      </c>
      <c r="K111" s="31" t="str">
        <f aca="false">IF(OR(H111="",J111=""),"",IF(LEN(J111)&gt;=13,IF(LEN(J111)=13,"0"&amp;J111,J111),SUBSTITUTE(SUBSTITUTE(SUBSTITUTE(SUBSTITUTE(SUBSTITUTE(SUBSTITUTE(SUBSTITUTE(SUBSTITUTE(SUBSTITUTE(SUBSTITUTE(SUBSTITUTE(SUBSTITUTE(SUBSTITUTE(UPPER(TRIM(H111)),"Á","A"),"À","A"),"Â","A"),"Ã","A"),"É","E"),"Ê","E"),"Í","I"),"Ó","O"),"Ô","O"),"Õ","O"),"Ú","U"),"Ü","U"),"Ç","C")&amp;"|"&amp;IF(LEN(J111)=11,MID(J111,4,6),J111)))</f>
        <v/>
      </c>
      <c r="L111" s="25" t="str">
        <f aca="false">IF(K111="","",IF(E111="Doação recebida",TRIM(IF(COUNTIF(Socios!$H:$H,K111)&gt;0,"Doador é sócio de empresa da pauta. ","")&amp;IF(COUNTIF(Pessoas!$E:$E,K111)&gt;0,"Doador está em Pessoas.","")),IF(E111="Despesa com fornecedor",IF(COUNTIF(Contratos!$D:$D,K111)&gt;0,"Fornecedor também tem contrato público",""),"")))</f>
        <v/>
      </c>
      <c r="M111" s="24"/>
      <c r="N111" s="11"/>
    </row>
    <row r="112" customFormat="false" ht="15" hidden="false" customHeight="false" outlineLevel="0" collapsed="false">
      <c r="A112" s="23"/>
      <c r="B112" s="31" t="str">
        <f aca="false">IF(A112="","",SUBSTITUTE(SUBSTITUTE(SUBSTITUTE(SUBSTITUTE(SUBSTITUTE(SUBSTITUTE(SUBSTITUTE(SUBSTITUTE(SUBSTITUTE(SUBSTITUTE(SUBSTITUTE(SUBSTITUTE(SUBSTITUTE(UPPER(TRIM(A112)),"Á","A"),"À","A"),"Â","A"),"Ã","A"),"É","E"),"Ê","E"),"Í","I"),"Ó","O"),"Ô","O"),"Õ","O"),"Ú","U"),"Ü","U"),"Ç","C"))</f>
        <v/>
      </c>
      <c r="C112" s="43"/>
      <c r="D112" s="23"/>
      <c r="E112" s="23"/>
      <c r="F112" s="11"/>
      <c r="G112" s="35"/>
      <c r="H112" s="23"/>
      <c r="I112" s="24"/>
      <c r="J112" s="31" t="str">
        <f aca="false">IF(I112="","",UPPER(SUBSTITUTE(SUBSTITUTE(SUBSTITUTE(SUBSTITUTE(SUBSTITUTE(TRIM(I112),".",""),"/",""),"-",""),"*","")," ","")))</f>
        <v/>
      </c>
      <c r="K112" s="31" t="str">
        <f aca="false">IF(OR(H112="",J112=""),"",IF(LEN(J112)&gt;=13,IF(LEN(J112)=13,"0"&amp;J112,J112),SUBSTITUTE(SUBSTITUTE(SUBSTITUTE(SUBSTITUTE(SUBSTITUTE(SUBSTITUTE(SUBSTITUTE(SUBSTITUTE(SUBSTITUTE(SUBSTITUTE(SUBSTITUTE(SUBSTITUTE(SUBSTITUTE(UPPER(TRIM(H112)),"Á","A"),"À","A"),"Â","A"),"Ã","A"),"É","E"),"Ê","E"),"Í","I"),"Ó","O"),"Ô","O"),"Õ","O"),"Ú","U"),"Ü","U"),"Ç","C")&amp;"|"&amp;IF(LEN(J112)=11,MID(J112,4,6),J112)))</f>
        <v/>
      </c>
      <c r="L112" s="25" t="str">
        <f aca="false">IF(K112="","",IF(E112="Doação recebida",TRIM(IF(COUNTIF(Socios!$H:$H,K112)&gt;0,"Doador é sócio de empresa da pauta. ","")&amp;IF(COUNTIF(Pessoas!$E:$E,K112)&gt;0,"Doador está em Pessoas.","")),IF(E112="Despesa com fornecedor",IF(COUNTIF(Contratos!$D:$D,K112)&gt;0,"Fornecedor também tem contrato público",""),"")))</f>
        <v/>
      </c>
      <c r="M112" s="24"/>
      <c r="N112" s="11"/>
    </row>
    <row r="113" customFormat="false" ht="15" hidden="false" customHeight="false" outlineLevel="0" collapsed="false">
      <c r="A113" s="23"/>
      <c r="B113" s="31" t="str">
        <f aca="false">IF(A113="","",SUBSTITUTE(SUBSTITUTE(SUBSTITUTE(SUBSTITUTE(SUBSTITUTE(SUBSTITUTE(SUBSTITUTE(SUBSTITUTE(SUBSTITUTE(SUBSTITUTE(SUBSTITUTE(SUBSTITUTE(SUBSTITUTE(UPPER(TRIM(A113)),"Á","A"),"À","A"),"Â","A"),"Ã","A"),"É","E"),"Ê","E"),"Í","I"),"Ó","O"),"Ô","O"),"Õ","O"),"Ú","U"),"Ü","U"),"Ç","C"))</f>
        <v/>
      </c>
      <c r="C113" s="43"/>
      <c r="D113" s="23"/>
      <c r="E113" s="23"/>
      <c r="F113" s="11"/>
      <c r="G113" s="35"/>
      <c r="H113" s="23"/>
      <c r="I113" s="24"/>
      <c r="J113" s="31" t="str">
        <f aca="false">IF(I113="","",UPPER(SUBSTITUTE(SUBSTITUTE(SUBSTITUTE(SUBSTITUTE(SUBSTITUTE(TRIM(I113),".",""),"/",""),"-",""),"*","")," ","")))</f>
        <v/>
      </c>
      <c r="K113" s="31" t="str">
        <f aca="false">IF(OR(H113="",J113=""),"",IF(LEN(J113)&gt;=13,IF(LEN(J113)=13,"0"&amp;J113,J113),SUBSTITUTE(SUBSTITUTE(SUBSTITUTE(SUBSTITUTE(SUBSTITUTE(SUBSTITUTE(SUBSTITUTE(SUBSTITUTE(SUBSTITUTE(SUBSTITUTE(SUBSTITUTE(SUBSTITUTE(SUBSTITUTE(UPPER(TRIM(H113)),"Á","A"),"À","A"),"Â","A"),"Ã","A"),"É","E"),"Ê","E"),"Í","I"),"Ó","O"),"Ô","O"),"Õ","O"),"Ú","U"),"Ü","U"),"Ç","C")&amp;"|"&amp;IF(LEN(J113)=11,MID(J113,4,6),J113)))</f>
        <v/>
      </c>
      <c r="L113" s="25" t="str">
        <f aca="false">IF(K113="","",IF(E113="Doação recebida",TRIM(IF(COUNTIF(Socios!$H:$H,K113)&gt;0,"Doador é sócio de empresa da pauta. ","")&amp;IF(COUNTIF(Pessoas!$E:$E,K113)&gt;0,"Doador está em Pessoas.","")),IF(E113="Despesa com fornecedor",IF(COUNTIF(Contratos!$D:$D,K113)&gt;0,"Fornecedor também tem contrato público",""),"")))</f>
        <v/>
      </c>
      <c r="M113" s="24"/>
      <c r="N113" s="11"/>
    </row>
    <row r="114" customFormat="false" ht="15" hidden="false" customHeight="false" outlineLevel="0" collapsed="false">
      <c r="A114" s="23"/>
      <c r="B114" s="31" t="str">
        <f aca="false">IF(A114="","",SUBSTITUTE(SUBSTITUTE(SUBSTITUTE(SUBSTITUTE(SUBSTITUTE(SUBSTITUTE(SUBSTITUTE(SUBSTITUTE(SUBSTITUTE(SUBSTITUTE(SUBSTITUTE(SUBSTITUTE(SUBSTITUTE(UPPER(TRIM(A114)),"Á","A"),"À","A"),"Â","A"),"Ã","A"),"É","E"),"Ê","E"),"Í","I"),"Ó","O"),"Ô","O"),"Õ","O"),"Ú","U"),"Ü","U"),"Ç","C"))</f>
        <v/>
      </c>
      <c r="C114" s="43"/>
      <c r="D114" s="23"/>
      <c r="E114" s="23"/>
      <c r="F114" s="11"/>
      <c r="G114" s="35"/>
      <c r="H114" s="23"/>
      <c r="I114" s="24"/>
      <c r="J114" s="31" t="str">
        <f aca="false">IF(I114="","",UPPER(SUBSTITUTE(SUBSTITUTE(SUBSTITUTE(SUBSTITUTE(SUBSTITUTE(TRIM(I114),".",""),"/",""),"-",""),"*","")," ","")))</f>
        <v/>
      </c>
      <c r="K114" s="31" t="str">
        <f aca="false">IF(OR(H114="",J114=""),"",IF(LEN(J114)&gt;=13,IF(LEN(J114)=13,"0"&amp;J114,J114),SUBSTITUTE(SUBSTITUTE(SUBSTITUTE(SUBSTITUTE(SUBSTITUTE(SUBSTITUTE(SUBSTITUTE(SUBSTITUTE(SUBSTITUTE(SUBSTITUTE(SUBSTITUTE(SUBSTITUTE(SUBSTITUTE(UPPER(TRIM(H114)),"Á","A"),"À","A"),"Â","A"),"Ã","A"),"É","E"),"Ê","E"),"Í","I"),"Ó","O"),"Ô","O"),"Õ","O"),"Ú","U"),"Ü","U"),"Ç","C")&amp;"|"&amp;IF(LEN(J114)=11,MID(J114,4,6),J114)))</f>
        <v/>
      </c>
      <c r="L114" s="25" t="str">
        <f aca="false">IF(K114="","",IF(E114="Doação recebida",TRIM(IF(COUNTIF(Socios!$H:$H,K114)&gt;0,"Doador é sócio de empresa da pauta. ","")&amp;IF(COUNTIF(Pessoas!$E:$E,K114)&gt;0,"Doador está em Pessoas.","")),IF(E114="Despesa com fornecedor",IF(COUNTIF(Contratos!$D:$D,K114)&gt;0,"Fornecedor também tem contrato público",""),"")))</f>
        <v/>
      </c>
      <c r="M114" s="24"/>
      <c r="N114" s="11"/>
    </row>
    <row r="115" customFormat="false" ht="15" hidden="false" customHeight="false" outlineLevel="0" collapsed="false">
      <c r="A115" s="23"/>
      <c r="B115" s="31" t="str">
        <f aca="false">IF(A115="","",SUBSTITUTE(SUBSTITUTE(SUBSTITUTE(SUBSTITUTE(SUBSTITUTE(SUBSTITUTE(SUBSTITUTE(SUBSTITUTE(SUBSTITUTE(SUBSTITUTE(SUBSTITUTE(SUBSTITUTE(SUBSTITUTE(UPPER(TRIM(A115)),"Á","A"),"À","A"),"Â","A"),"Ã","A"),"É","E"),"Ê","E"),"Í","I"),"Ó","O"),"Ô","O"),"Õ","O"),"Ú","U"),"Ü","U"),"Ç","C"))</f>
        <v/>
      </c>
      <c r="C115" s="43"/>
      <c r="D115" s="23"/>
      <c r="E115" s="23"/>
      <c r="F115" s="11"/>
      <c r="G115" s="35"/>
      <c r="H115" s="23"/>
      <c r="I115" s="24"/>
      <c r="J115" s="31" t="str">
        <f aca="false">IF(I115="","",UPPER(SUBSTITUTE(SUBSTITUTE(SUBSTITUTE(SUBSTITUTE(SUBSTITUTE(TRIM(I115),".",""),"/",""),"-",""),"*","")," ","")))</f>
        <v/>
      </c>
      <c r="K115" s="31" t="str">
        <f aca="false">IF(OR(H115="",J115=""),"",IF(LEN(J115)&gt;=13,IF(LEN(J115)=13,"0"&amp;J115,J115),SUBSTITUTE(SUBSTITUTE(SUBSTITUTE(SUBSTITUTE(SUBSTITUTE(SUBSTITUTE(SUBSTITUTE(SUBSTITUTE(SUBSTITUTE(SUBSTITUTE(SUBSTITUTE(SUBSTITUTE(SUBSTITUTE(UPPER(TRIM(H115)),"Á","A"),"À","A"),"Â","A"),"Ã","A"),"É","E"),"Ê","E"),"Í","I"),"Ó","O"),"Ô","O"),"Õ","O"),"Ú","U"),"Ü","U"),"Ç","C")&amp;"|"&amp;IF(LEN(J115)=11,MID(J115,4,6),J115)))</f>
        <v/>
      </c>
      <c r="L115" s="25" t="str">
        <f aca="false">IF(K115="","",IF(E115="Doação recebida",TRIM(IF(COUNTIF(Socios!$H:$H,K115)&gt;0,"Doador é sócio de empresa da pauta. ","")&amp;IF(COUNTIF(Pessoas!$E:$E,K115)&gt;0,"Doador está em Pessoas.","")),IF(E115="Despesa com fornecedor",IF(COUNTIF(Contratos!$D:$D,K115)&gt;0,"Fornecedor também tem contrato público",""),"")))</f>
        <v/>
      </c>
      <c r="M115" s="24"/>
      <c r="N115" s="11"/>
    </row>
    <row r="116" customFormat="false" ht="15" hidden="false" customHeight="false" outlineLevel="0" collapsed="false">
      <c r="A116" s="23"/>
      <c r="B116" s="31" t="str">
        <f aca="false">IF(A116="","",SUBSTITUTE(SUBSTITUTE(SUBSTITUTE(SUBSTITUTE(SUBSTITUTE(SUBSTITUTE(SUBSTITUTE(SUBSTITUTE(SUBSTITUTE(SUBSTITUTE(SUBSTITUTE(SUBSTITUTE(SUBSTITUTE(UPPER(TRIM(A116)),"Á","A"),"À","A"),"Â","A"),"Ã","A"),"É","E"),"Ê","E"),"Í","I"),"Ó","O"),"Ô","O"),"Õ","O"),"Ú","U"),"Ü","U"),"Ç","C"))</f>
        <v/>
      </c>
      <c r="C116" s="43"/>
      <c r="D116" s="23"/>
      <c r="E116" s="23"/>
      <c r="F116" s="11"/>
      <c r="G116" s="35"/>
      <c r="H116" s="23"/>
      <c r="I116" s="24"/>
      <c r="J116" s="31" t="str">
        <f aca="false">IF(I116="","",UPPER(SUBSTITUTE(SUBSTITUTE(SUBSTITUTE(SUBSTITUTE(SUBSTITUTE(TRIM(I116),".",""),"/",""),"-",""),"*","")," ","")))</f>
        <v/>
      </c>
      <c r="K116" s="31" t="str">
        <f aca="false">IF(OR(H116="",J116=""),"",IF(LEN(J116)&gt;=13,IF(LEN(J116)=13,"0"&amp;J116,J116),SUBSTITUTE(SUBSTITUTE(SUBSTITUTE(SUBSTITUTE(SUBSTITUTE(SUBSTITUTE(SUBSTITUTE(SUBSTITUTE(SUBSTITUTE(SUBSTITUTE(SUBSTITUTE(SUBSTITUTE(SUBSTITUTE(UPPER(TRIM(H116)),"Á","A"),"À","A"),"Â","A"),"Ã","A"),"É","E"),"Ê","E"),"Í","I"),"Ó","O"),"Ô","O"),"Õ","O"),"Ú","U"),"Ü","U"),"Ç","C")&amp;"|"&amp;IF(LEN(J116)=11,MID(J116,4,6),J116)))</f>
        <v/>
      </c>
      <c r="L116" s="25" t="str">
        <f aca="false">IF(K116="","",IF(E116="Doação recebida",TRIM(IF(COUNTIF(Socios!$H:$H,K116)&gt;0,"Doador é sócio de empresa da pauta. ","")&amp;IF(COUNTIF(Pessoas!$E:$E,K116)&gt;0,"Doador está em Pessoas.","")),IF(E116="Despesa com fornecedor",IF(COUNTIF(Contratos!$D:$D,K116)&gt;0,"Fornecedor também tem contrato público",""),"")))</f>
        <v/>
      </c>
      <c r="M116" s="24"/>
      <c r="N116" s="11"/>
    </row>
    <row r="117" customFormat="false" ht="15" hidden="false" customHeight="false" outlineLevel="0" collapsed="false">
      <c r="A117" s="23"/>
      <c r="B117" s="31" t="str">
        <f aca="false">IF(A117="","",SUBSTITUTE(SUBSTITUTE(SUBSTITUTE(SUBSTITUTE(SUBSTITUTE(SUBSTITUTE(SUBSTITUTE(SUBSTITUTE(SUBSTITUTE(SUBSTITUTE(SUBSTITUTE(SUBSTITUTE(SUBSTITUTE(UPPER(TRIM(A117)),"Á","A"),"À","A"),"Â","A"),"Ã","A"),"É","E"),"Ê","E"),"Í","I"),"Ó","O"),"Ô","O"),"Õ","O"),"Ú","U"),"Ü","U"),"Ç","C"))</f>
        <v/>
      </c>
      <c r="C117" s="43"/>
      <c r="D117" s="23"/>
      <c r="E117" s="23"/>
      <c r="F117" s="11"/>
      <c r="G117" s="35"/>
      <c r="H117" s="23"/>
      <c r="I117" s="24"/>
      <c r="J117" s="31" t="str">
        <f aca="false">IF(I117="","",UPPER(SUBSTITUTE(SUBSTITUTE(SUBSTITUTE(SUBSTITUTE(SUBSTITUTE(TRIM(I117),".",""),"/",""),"-",""),"*","")," ","")))</f>
        <v/>
      </c>
      <c r="K117" s="31" t="str">
        <f aca="false">IF(OR(H117="",J117=""),"",IF(LEN(J117)&gt;=13,IF(LEN(J117)=13,"0"&amp;J117,J117),SUBSTITUTE(SUBSTITUTE(SUBSTITUTE(SUBSTITUTE(SUBSTITUTE(SUBSTITUTE(SUBSTITUTE(SUBSTITUTE(SUBSTITUTE(SUBSTITUTE(SUBSTITUTE(SUBSTITUTE(SUBSTITUTE(UPPER(TRIM(H117)),"Á","A"),"À","A"),"Â","A"),"Ã","A"),"É","E"),"Ê","E"),"Í","I"),"Ó","O"),"Ô","O"),"Õ","O"),"Ú","U"),"Ü","U"),"Ç","C")&amp;"|"&amp;IF(LEN(J117)=11,MID(J117,4,6),J117)))</f>
        <v/>
      </c>
      <c r="L117" s="25" t="str">
        <f aca="false">IF(K117="","",IF(E117="Doação recebida",TRIM(IF(COUNTIF(Socios!$H:$H,K117)&gt;0,"Doador é sócio de empresa da pauta. ","")&amp;IF(COUNTIF(Pessoas!$E:$E,K117)&gt;0,"Doador está em Pessoas.","")),IF(E117="Despesa com fornecedor",IF(COUNTIF(Contratos!$D:$D,K117)&gt;0,"Fornecedor também tem contrato público",""),"")))</f>
        <v/>
      </c>
      <c r="M117" s="24"/>
      <c r="N117" s="11"/>
    </row>
    <row r="118" customFormat="false" ht="15" hidden="false" customHeight="false" outlineLevel="0" collapsed="false">
      <c r="A118" s="23"/>
      <c r="B118" s="31" t="str">
        <f aca="false">IF(A118="","",SUBSTITUTE(SUBSTITUTE(SUBSTITUTE(SUBSTITUTE(SUBSTITUTE(SUBSTITUTE(SUBSTITUTE(SUBSTITUTE(SUBSTITUTE(SUBSTITUTE(SUBSTITUTE(SUBSTITUTE(SUBSTITUTE(UPPER(TRIM(A118)),"Á","A"),"À","A"),"Â","A"),"Ã","A"),"É","E"),"Ê","E"),"Í","I"),"Ó","O"),"Ô","O"),"Õ","O"),"Ú","U"),"Ü","U"),"Ç","C"))</f>
        <v/>
      </c>
      <c r="C118" s="43"/>
      <c r="D118" s="23"/>
      <c r="E118" s="23"/>
      <c r="F118" s="11"/>
      <c r="G118" s="35"/>
      <c r="H118" s="23"/>
      <c r="I118" s="24"/>
      <c r="J118" s="31" t="str">
        <f aca="false">IF(I118="","",UPPER(SUBSTITUTE(SUBSTITUTE(SUBSTITUTE(SUBSTITUTE(SUBSTITUTE(TRIM(I118),".",""),"/",""),"-",""),"*","")," ","")))</f>
        <v/>
      </c>
      <c r="K118" s="31" t="str">
        <f aca="false">IF(OR(H118="",J118=""),"",IF(LEN(J118)&gt;=13,IF(LEN(J118)=13,"0"&amp;J118,J118),SUBSTITUTE(SUBSTITUTE(SUBSTITUTE(SUBSTITUTE(SUBSTITUTE(SUBSTITUTE(SUBSTITUTE(SUBSTITUTE(SUBSTITUTE(SUBSTITUTE(SUBSTITUTE(SUBSTITUTE(SUBSTITUTE(UPPER(TRIM(H118)),"Á","A"),"À","A"),"Â","A"),"Ã","A"),"É","E"),"Ê","E"),"Í","I"),"Ó","O"),"Ô","O"),"Õ","O"),"Ú","U"),"Ü","U"),"Ç","C")&amp;"|"&amp;IF(LEN(J118)=11,MID(J118,4,6),J118)))</f>
        <v/>
      </c>
      <c r="L118" s="25" t="str">
        <f aca="false">IF(K118="","",IF(E118="Doação recebida",TRIM(IF(COUNTIF(Socios!$H:$H,K118)&gt;0,"Doador é sócio de empresa da pauta. ","")&amp;IF(COUNTIF(Pessoas!$E:$E,K118)&gt;0,"Doador está em Pessoas.","")),IF(E118="Despesa com fornecedor",IF(COUNTIF(Contratos!$D:$D,K118)&gt;0,"Fornecedor também tem contrato público",""),"")))</f>
        <v/>
      </c>
      <c r="M118" s="24"/>
      <c r="N118" s="11"/>
    </row>
    <row r="119" customFormat="false" ht="15" hidden="false" customHeight="false" outlineLevel="0" collapsed="false">
      <c r="A119" s="23"/>
      <c r="B119" s="31" t="str">
        <f aca="false">IF(A119="","",SUBSTITUTE(SUBSTITUTE(SUBSTITUTE(SUBSTITUTE(SUBSTITUTE(SUBSTITUTE(SUBSTITUTE(SUBSTITUTE(SUBSTITUTE(SUBSTITUTE(SUBSTITUTE(SUBSTITUTE(SUBSTITUTE(UPPER(TRIM(A119)),"Á","A"),"À","A"),"Â","A"),"Ã","A"),"É","E"),"Ê","E"),"Í","I"),"Ó","O"),"Ô","O"),"Õ","O"),"Ú","U"),"Ü","U"),"Ç","C"))</f>
        <v/>
      </c>
      <c r="C119" s="43"/>
      <c r="D119" s="23"/>
      <c r="E119" s="23"/>
      <c r="F119" s="11"/>
      <c r="G119" s="35"/>
      <c r="H119" s="23"/>
      <c r="I119" s="24"/>
      <c r="J119" s="31" t="str">
        <f aca="false">IF(I119="","",UPPER(SUBSTITUTE(SUBSTITUTE(SUBSTITUTE(SUBSTITUTE(SUBSTITUTE(TRIM(I119),".",""),"/",""),"-",""),"*","")," ","")))</f>
        <v/>
      </c>
      <c r="K119" s="31" t="str">
        <f aca="false">IF(OR(H119="",J119=""),"",IF(LEN(J119)&gt;=13,IF(LEN(J119)=13,"0"&amp;J119,J119),SUBSTITUTE(SUBSTITUTE(SUBSTITUTE(SUBSTITUTE(SUBSTITUTE(SUBSTITUTE(SUBSTITUTE(SUBSTITUTE(SUBSTITUTE(SUBSTITUTE(SUBSTITUTE(SUBSTITUTE(SUBSTITUTE(UPPER(TRIM(H119)),"Á","A"),"À","A"),"Â","A"),"Ã","A"),"É","E"),"Ê","E"),"Í","I"),"Ó","O"),"Ô","O"),"Õ","O"),"Ú","U"),"Ü","U"),"Ç","C")&amp;"|"&amp;IF(LEN(J119)=11,MID(J119,4,6),J119)))</f>
        <v/>
      </c>
      <c r="L119" s="25" t="str">
        <f aca="false">IF(K119="","",IF(E119="Doação recebida",TRIM(IF(COUNTIF(Socios!$H:$H,K119)&gt;0,"Doador é sócio de empresa da pauta. ","")&amp;IF(COUNTIF(Pessoas!$E:$E,K119)&gt;0,"Doador está em Pessoas.","")),IF(E119="Despesa com fornecedor",IF(COUNTIF(Contratos!$D:$D,K119)&gt;0,"Fornecedor também tem contrato público",""),"")))</f>
        <v/>
      </c>
      <c r="M119" s="24"/>
      <c r="N119" s="11"/>
    </row>
    <row r="120" customFormat="false" ht="15" hidden="false" customHeight="false" outlineLevel="0" collapsed="false">
      <c r="A120" s="23"/>
      <c r="B120" s="31" t="str">
        <f aca="false">IF(A120="","",SUBSTITUTE(SUBSTITUTE(SUBSTITUTE(SUBSTITUTE(SUBSTITUTE(SUBSTITUTE(SUBSTITUTE(SUBSTITUTE(SUBSTITUTE(SUBSTITUTE(SUBSTITUTE(SUBSTITUTE(SUBSTITUTE(UPPER(TRIM(A120)),"Á","A"),"À","A"),"Â","A"),"Ã","A"),"É","E"),"Ê","E"),"Í","I"),"Ó","O"),"Ô","O"),"Õ","O"),"Ú","U"),"Ü","U"),"Ç","C"))</f>
        <v/>
      </c>
      <c r="C120" s="43"/>
      <c r="D120" s="23"/>
      <c r="E120" s="23"/>
      <c r="F120" s="11"/>
      <c r="G120" s="35"/>
      <c r="H120" s="23"/>
      <c r="I120" s="24"/>
      <c r="J120" s="31" t="str">
        <f aca="false">IF(I120="","",UPPER(SUBSTITUTE(SUBSTITUTE(SUBSTITUTE(SUBSTITUTE(SUBSTITUTE(TRIM(I120),".",""),"/",""),"-",""),"*","")," ","")))</f>
        <v/>
      </c>
      <c r="K120" s="31" t="str">
        <f aca="false">IF(OR(H120="",J120=""),"",IF(LEN(J120)&gt;=13,IF(LEN(J120)=13,"0"&amp;J120,J120),SUBSTITUTE(SUBSTITUTE(SUBSTITUTE(SUBSTITUTE(SUBSTITUTE(SUBSTITUTE(SUBSTITUTE(SUBSTITUTE(SUBSTITUTE(SUBSTITUTE(SUBSTITUTE(SUBSTITUTE(SUBSTITUTE(UPPER(TRIM(H120)),"Á","A"),"À","A"),"Â","A"),"Ã","A"),"É","E"),"Ê","E"),"Í","I"),"Ó","O"),"Ô","O"),"Õ","O"),"Ú","U"),"Ü","U"),"Ç","C")&amp;"|"&amp;IF(LEN(J120)=11,MID(J120,4,6),J120)))</f>
        <v/>
      </c>
      <c r="L120" s="25" t="str">
        <f aca="false">IF(K120="","",IF(E120="Doação recebida",TRIM(IF(COUNTIF(Socios!$H:$H,K120)&gt;0,"Doador é sócio de empresa da pauta. ","")&amp;IF(COUNTIF(Pessoas!$E:$E,K120)&gt;0,"Doador está em Pessoas.","")),IF(E120="Despesa com fornecedor",IF(COUNTIF(Contratos!$D:$D,K120)&gt;0,"Fornecedor também tem contrato público",""),"")))</f>
        <v/>
      </c>
      <c r="M120" s="24"/>
      <c r="N120" s="11"/>
    </row>
    <row r="121" customFormat="false" ht="15" hidden="false" customHeight="false" outlineLevel="0" collapsed="false">
      <c r="A121" s="23"/>
      <c r="B121" s="31" t="str">
        <f aca="false">IF(A121="","",SUBSTITUTE(SUBSTITUTE(SUBSTITUTE(SUBSTITUTE(SUBSTITUTE(SUBSTITUTE(SUBSTITUTE(SUBSTITUTE(SUBSTITUTE(SUBSTITUTE(SUBSTITUTE(SUBSTITUTE(SUBSTITUTE(UPPER(TRIM(A121)),"Á","A"),"À","A"),"Â","A"),"Ã","A"),"É","E"),"Ê","E"),"Í","I"),"Ó","O"),"Ô","O"),"Õ","O"),"Ú","U"),"Ü","U"),"Ç","C"))</f>
        <v/>
      </c>
      <c r="C121" s="43"/>
      <c r="D121" s="23"/>
      <c r="E121" s="23"/>
      <c r="F121" s="11"/>
      <c r="G121" s="35"/>
      <c r="H121" s="23"/>
      <c r="I121" s="24"/>
      <c r="J121" s="31" t="str">
        <f aca="false">IF(I121="","",UPPER(SUBSTITUTE(SUBSTITUTE(SUBSTITUTE(SUBSTITUTE(SUBSTITUTE(TRIM(I121),".",""),"/",""),"-",""),"*","")," ","")))</f>
        <v/>
      </c>
      <c r="K121" s="31" t="str">
        <f aca="false">IF(OR(H121="",J121=""),"",IF(LEN(J121)&gt;=13,IF(LEN(J121)=13,"0"&amp;J121,J121),SUBSTITUTE(SUBSTITUTE(SUBSTITUTE(SUBSTITUTE(SUBSTITUTE(SUBSTITUTE(SUBSTITUTE(SUBSTITUTE(SUBSTITUTE(SUBSTITUTE(SUBSTITUTE(SUBSTITUTE(SUBSTITUTE(UPPER(TRIM(H121)),"Á","A"),"À","A"),"Â","A"),"Ã","A"),"É","E"),"Ê","E"),"Í","I"),"Ó","O"),"Ô","O"),"Õ","O"),"Ú","U"),"Ü","U"),"Ç","C")&amp;"|"&amp;IF(LEN(J121)=11,MID(J121,4,6),J121)))</f>
        <v/>
      </c>
      <c r="L121" s="25" t="str">
        <f aca="false">IF(K121="","",IF(E121="Doação recebida",TRIM(IF(COUNTIF(Socios!$H:$H,K121)&gt;0,"Doador é sócio de empresa da pauta. ","")&amp;IF(COUNTIF(Pessoas!$E:$E,K121)&gt;0,"Doador está em Pessoas.","")),IF(E121="Despesa com fornecedor",IF(COUNTIF(Contratos!$D:$D,K121)&gt;0,"Fornecedor também tem contrato público",""),"")))</f>
        <v/>
      </c>
      <c r="M121" s="24"/>
      <c r="N121" s="11"/>
    </row>
    <row r="122" customFormat="false" ht="15" hidden="false" customHeight="false" outlineLevel="0" collapsed="false">
      <c r="A122" s="23"/>
      <c r="B122" s="31" t="str">
        <f aca="false">IF(A122="","",SUBSTITUTE(SUBSTITUTE(SUBSTITUTE(SUBSTITUTE(SUBSTITUTE(SUBSTITUTE(SUBSTITUTE(SUBSTITUTE(SUBSTITUTE(SUBSTITUTE(SUBSTITUTE(SUBSTITUTE(SUBSTITUTE(UPPER(TRIM(A122)),"Á","A"),"À","A"),"Â","A"),"Ã","A"),"É","E"),"Ê","E"),"Í","I"),"Ó","O"),"Ô","O"),"Õ","O"),"Ú","U"),"Ü","U"),"Ç","C"))</f>
        <v/>
      </c>
      <c r="C122" s="43"/>
      <c r="D122" s="23"/>
      <c r="E122" s="23"/>
      <c r="F122" s="11"/>
      <c r="G122" s="35"/>
      <c r="H122" s="23"/>
      <c r="I122" s="24"/>
      <c r="J122" s="31" t="str">
        <f aca="false">IF(I122="","",UPPER(SUBSTITUTE(SUBSTITUTE(SUBSTITUTE(SUBSTITUTE(SUBSTITUTE(TRIM(I122),".",""),"/",""),"-",""),"*","")," ","")))</f>
        <v/>
      </c>
      <c r="K122" s="31" t="str">
        <f aca="false">IF(OR(H122="",J122=""),"",IF(LEN(J122)&gt;=13,IF(LEN(J122)=13,"0"&amp;J122,J122),SUBSTITUTE(SUBSTITUTE(SUBSTITUTE(SUBSTITUTE(SUBSTITUTE(SUBSTITUTE(SUBSTITUTE(SUBSTITUTE(SUBSTITUTE(SUBSTITUTE(SUBSTITUTE(SUBSTITUTE(SUBSTITUTE(UPPER(TRIM(H122)),"Á","A"),"À","A"),"Â","A"),"Ã","A"),"É","E"),"Ê","E"),"Í","I"),"Ó","O"),"Ô","O"),"Õ","O"),"Ú","U"),"Ü","U"),"Ç","C")&amp;"|"&amp;IF(LEN(J122)=11,MID(J122,4,6),J122)))</f>
        <v/>
      </c>
      <c r="L122" s="25" t="str">
        <f aca="false">IF(K122="","",IF(E122="Doação recebida",TRIM(IF(COUNTIF(Socios!$H:$H,K122)&gt;0,"Doador é sócio de empresa da pauta. ","")&amp;IF(COUNTIF(Pessoas!$E:$E,K122)&gt;0,"Doador está em Pessoas.","")),IF(E122="Despesa com fornecedor",IF(COUNTIF(Contratos!$D:$D,K122)&gt;0,"Fornecedor também tem contrato público",""),"")))</f>
        <v/>
      </c>
      <c r="M122" s="24"/>
      <c r="N122" s="11"/>
    </row>
    <row r="123" customFormat="false" ht="15" hidden="false" customHeight="false" outlineLevel="0" collapsed="false">
      <c r="A123" s="23"/>
      <c r="B123" s="31" t="str">
        <f aca="false">IF(A123="","",SUBSTITUTE(SUBSTITUTE(SUBSTITUTE(SUBSTITUTE(SUBSTITUTE(SUBSTITUTE(SUBSTITUTE(SUBSTITUTE(SUBSTITUTE(SUBSTITUTE(SUBSTITUTE(SUBSTITUTE(SUBSTITUTE(UPPER(TRIM(A123)),"Á","A"),"À","A"),"Â","A"),"Ã","A"),"É","E"),"Ê","E"),"Í","I"),"Ó","O"),"Ô","O"),"Õ","O"),"Ú","U"),"Ü","U"),"Ç","C"))</f>
        <v/>
      </c>
      <c r="C123" s="43"/>
      <c r="D123" s="23"/>
      <c r="E123" s="23"/>
      <c r="F123" s="11"/>
      <c r="G123" s="35"/>
      <c r="H123" s="23"/>
      <c r="I123" s="24"/>
      <c r="J123" s="31" t="str">
        <f aca="false">IF(I123="","",UPPER(SUBSTITUTE(SUBSTITUTE(SUBSTITUTE(SUBSTITUTE(SUBSTITUTE(TRIM(I123),".",""),"/",""),"-",""),"*","")," ","")))</f>
        <v/>
      </c>
      <c r="K123" s="31" t="str">
        <f aca="false">IF(OR(H123="",J123=""),"",IF(LEN(J123)&gt;=13,IF(LEN(J123)=13,"0"&amp;J123,J123),SUBSTITUTE(SUBSTITUTE(SUBSTITUTE(SUBSTITUTE(SUBSTITUTE(SUBSTITUTE(SUBSTITUTE(SUBSTITUTE(SUBSTITUTE(SUBSTITUTE(SUBSTITUTE(SUBSTITUTE(SUBSTITUTE(UPPER(TRIM(H123)),"Á","A"),"À","A"),"Â","A"),"Ã","A"),"É","E"),"Ê","E"),"Í","I"),"Ó","O"),"Ô","O"),"Õ","O"),"Ú","U"),"Ü","U"),"Ç","C")&amp;"|"&amp;IF(LEN(J123)=11,MID(J123,4,6),J123)))</f>
        <v/>
      </c>
      <c r="L123" s="25" t="str">
        <f aca="false">IF(K123="","",IF(E123="Doação recebida",TRIM(IF(COUNTIF(Socios!$H:$H,K123)&gt;0,"Doador é sócio de empresa da pauta. ","")&amp;IF(COUNTIF(Pessoas!$E:$E,K123)&gt;0,"Doador está em Pessoas.","")),IF(E123="Despesa com fornecedor",IF(COUNTIF(Contratos!$D:$D,K123)&gt;0,"Fornecedor também tem contrato público",""),"")))</f>
        <v/>
      </c>
      <c r="M123" s="24"/>
      <c r="N123" s="11"/>
    </row>
    <row r="124" customFormat="false" ht="15" hidden="false" customHeight="false" outlineLevel="0" collapsed="false">
      <c r="A124" s="23"/>
      <c r="B124" s="31" t="str">
        <f aca="false">IF(A124="","",SUBSTITUTE(SUBSTITUTE(SUBSTITUTE(SUBSTITUTE(SUBSTITUTE(SUBSTITUTE(SUBSTITUTE(SUBSTITUTE(SUBSTITUTE(SUBSTITUTE(SUBSTITUTE(SUBSTITUTE(SUBSTITUTE(UPPER(TRIM(A124)),"Á","A"),"À","A"),"Â","A"),"Ã","A"),"É","E"),"Ê","E"),"Í","I"),"Ó","O"),"Ô","O"),"Õ","O"),"Ú","U"),"Ü","U"),"Ç","C"))</f>
        <v/>
      </c>
      <c r="C124" s="43"/>
      <c r="D124" s="23"/>
      <c r="E124" s="23"/>
      <c r="F124" s="11"/>
      <c r="G124" s="35"/>
      <c r="H124" s="23"/>
      <c r="I124" s="24"/>
      <c r="J124" s="31" t="str">
        <f aca="false">IF(I124="","",UPPER(SUBSTITUTE(SUBSTITUTE(SUBSTITUTE(SUBSTITUTE(SUBSTITUTE(TRIM(I124),".",""),"/",""),"-",""),"*","")," ","")))</f>
        <v/>
      </c>
      <c r="K124" s="31" t="str">
        <f aca="false">IF(OR(H124="",J124=""),"",IF(LEN(J124)&gt;=13,IF(LEN(J124)=13,"0"&amp;J124,J124),SUBSTITUTE(SUBSTITUTE(SUBSTITUTE(SUBSTITUTE(SUBSTITUTE(SUBSTITUTE(SUBSTITUTE(SUBSTITUTE(SUBSTITUTE(SUBSTITUTE(SUBSTITUTE(SUBSTITUTE(SUBSTITUTE(UPPER(TRIM(H124)),"Á","A"),"À","A"),"Â","A"),"Ã","A"),"É","E"),"Ê","E"),"Í","I"),"Ó","O"),"Ô","O"),"Õ","O"),"Ú","U"),"Ü","U"),"Ç","C")&amp;"|"&amp;IF(LEN(J124)=11,MID(J124,4,6),J124)))</f>
        <v/>
      </c>
      <c r="L124" s="25" t="str">
        <f aca="false">IF(K124="","",IF(E124="Doação recebida",TRIM(IF(COUNTIF(Socios!$H:$H,K124)&gt;0,"Doador é sócio de empresa da pauta. ","")&amp;IF(COUNTIF(Pessoas!$E:$E,K124)&gt;0,"Doador está em Pessoas.","")),IF(E124="Despesa com fornecedor",IF(COUNTIF(Contratos!$D:$D,K124)&gt;0,"Fornecedor também tem contrato público",""),"")))</f>
        <v/>
      </c>
      <c r="M124" s="24"/>
      <c r="N124" s="11"/>
    </row>
    <row r="125" customFormat="false" ht="15" hidden="false" customHeight="false" outlineLevel="0" collapsed="false">
      <c r="A125" s="23"/>
      <c r="B125" s="31" t="str">
        <f aca="false">IF(A125="","",SUBSTITUTE(SUBSTITUTE(SUBSTITUTE(SUBSTITUTE(SUBSTITUTE(SUBSTITUTE(SUBSTITUTE(SUBSTITUTE(SUBSTITUTE(SUBSTITUTE(SUBSTITUTE(SUBSTITUTE(SUBSTITUTE(UPPER(TRIM(A125)),"Á","A"),"À","A"),"Â","A"),"Ã","A"),"É","E"),"Ê","E"),"Í","I"),"Ó","O"),"Ô","O"),"Õ","O"),"Ú","U"),"Ü","U"),"Ç","C"))</f>
        <v/>
      </c>
      <c r="C125" s="43"/>
      <c r="D125" s="23"/>
      <c r="E125" s="23"/>
      <c r="F125" s="11"/>
      <c r="G125" s="35"/>
      <c r="H125" s="23"/>
      <c r="I125" s="24"/>
      <c r="J125" s="31" t="str">
        <f aca="false">IF(I125="","",UPPER(SUBSTITUTE(SUBSTITUTE(SUBSTITUTE(SUBSTITUTE(SUBSTITUTE(TRIM(I125),".",""),"/",""),"-",""),"*","")," ","")))</f>
        <v/>
      </c>
      <c r="K125" s="31" t="str">
        <f aca="false">IF(OR(H125="",J125=""),"",IF(LEN(J125)&gt;=13,IF(LEN(J125)=13,"0"&amp;J125,J125),SUBSTITUTE(SUBSTITUTE(SUBSTITUTE(SUBSTITUTE(SUBSTITUTE(SUBSTITUTE(SUBSTITUTE(SUBSTITUTE(SUBSTITUTE(SUBSTITUTE(SUBSTITUTE(SUBSTITUTE(SUBSTITUTE(UPPER(TRIM(H125)),"Á","A"),"À","A"),"Â","A"),"Ã","A"),"É","E"),"Ê","E"),"Í","I"),"Ó","O"),"Ô","O"),"Õ","O"),"Ú","U"),"Ü","U"),"Ç","C")&amp;"|"&amp;IF(LEN(J125)=11,MID(J125,4,6),J125)))</f>
        <v/>
      </c>
      <c r="L125" s="25" t="str">
        <f aca="false">IF(K125="","",IF(E125="Doação recebida",TRIM(IF(COUNTIF(Socios!$H:$H,K125)&gt;0,"Doador é sócio de empresa da pauta. ","")&amp;IF(COUNTIF(Pessoas!$E:$E,K125)&gt;0,"Doador está em Pessoas.","")),IF(E125="Despesa com fornecedor",IF(COUNTIF(Contratos!$D:$D,K125)&gt;0,"Fornecedor também tem contrato público",""),"")))</f>
        <v/>
      </c>
      <c r="M125" s="24"/>
      <c r="N125" s="11"/>
    </row>
    <row r="126" customFormat="false" ht="15" hidden="false" customHeight="false" outlineLevel="0" collapsed="false">
      <c r="A126" s="23"/>
      <c r="B126" s="31" t="str">
        <f aca="false">IF(A126="","",SUBSTITUTE(SUBSTITUTE(SUBSTITUTE(SUBSTITUTE(SUBSTITUTE(SUBSTITUTE(SUBSTITUTE(SUBSTITUTE(SUBSTITUTE(SUBSTITUTE(SUBSTITUTE(SUBSTITUTE(SUBSTITUTE(UPPER(TRIM(A126)),"Á","A"),"À","A"),"Â","A"),"Ã","A"),"É","E"),"Ê","E"),"Í","I"),"Ó","O"),"Ô","O"),"Õ","O"),"Ú","U"),"Ü","U"),"Ç","C"))</f>
        <v/>
      </c>
      <c r="C126" s="43"/>
      <c r="D126" s="23"/>
      <c r="E126" s="23"/>
      <c r="F126" s="11"/>
      <c r="G126" s="35"/>
      <c r="H126" s="23"/>
      <c r="I126" s="24"/>
      <c r="J126" s="31" t="str">
        <f aca="false">IF(I126="","",UPPER(SUBSTITUTE(SUBSTITUTE(SUBSTITUTE(SUBSTITUTE(SUBSTITUTE(TRIM(I126),".",""),"/",""),"-",""),"*","")," ","")))</f>
        <v/>
      </c>
      <c r="K126" s="31" t="str">
        <f aca="false">IF(OR(H126="",J126=""),"",IF(LEN(J126)&gt;=13,IF(LEN(J126)=13,"0"&amp;J126,J126),SUBSTITUTE(SUBSTITUTE(SUBSTITUTE(SUBSTITUTE(SUBSTITUTE(SUBSTITUTE(SUBSTITUTE(SUBSTITUTE(SUBSTITUTE(SUBSTITUTE(SUBSTITUTE(SUBSTITUTE(SUBSTITUTE(UPPER(TRIM(H126)),"Á","A"),"À","A"),"Â","A"),"Ã","A"),"É","E"),"Ê","E"),"Í","I"),"Ó","O"),"Ô","O"),"Õ","O"),"Ú","U"),"Ü","U"),"Ç","C")&amp;"|"&amp;IF(LEN(J126)=11,MID(J126,4,6),J126)))</f>
        <v/>
      </c>
      <c r="L126" s="25" t="str">
        <f aca="false">IF(K126="","",IF(E126="Doação recebida",TRIM(IF(COUNTIF(Socios!$H:$H,K126)&gt;0,"Doador é sócio de empresa da pauta. ","")&amp;IF(COUNTIF(Pessoas!$E:$E,K126)&gt;0,"Doador está em Pessoas.","")),IF(E126="Despesa com fornecedor",IF(COUNTIF(Contratos!$D:$D,K126)&gt;0,"Fornecedor também tem contrato público",""),"")))</f>
        <v/>
      </c>
      <c r="M126" s="24"/>
      <c r="N126" s="11"/>
    </row>
    <row r="127" customFormat="false" ht="15" hidden="false" customHeight="false" outlineLevel="0" collapsed="false">
      <c r="A127" s="23"/>
      <c r="B127" s="31" t="str">
        <f aca="false">IF(A127="","",SUBSTITUTE(SUBSTITUTE(SUBSTITUTE(SUBSTITUTE(SUBSTITUTE(SUBSTITUTE(SUBSTITUTE(SUBSTITUTE(SUBSTITUTE(SUBSTITUTE(SUBSTITUTE(SUBSTITUTE(SUBSTITUTE(UPPER(TRIM(A127)),"Á","A"),"À","A"),"Â","A"),"Ã","A"),"É","E"),"Ê","E"),"Í","I"),"Ó","O"),"Ô","O"),"Õ","O"),"Ú","U"),"Ü","U"),"Ç","C"))</f>
        <v/>
      </c>
      <c r="C127" s="43"/>
      <c r="D127" s="23"/>
      <c r="E127" s="23"/>
      <c r="F127" s="11"/>
      <c r="G127" s="35"/>
      <c r="H127" s="23"/>
      <c r="I127" s="24"/>
      <c r="J127" s="31" t="str">
        <f aca="false">IF(I127="","",UPPER(SUBSTITUTE(SUBSTITUTE(SUBSTITUTE(SUBSTITUTE(SUBSTITUTE(TRIM(I127),".",""),"/",""),"-",""),"*","")," ","")))</f>
        <v/>
      </c>
      <c r="K127" s="31" t="str">
        <f aca="false">IF(OR(H127="",J127=""),"",IF(LEN(J127)&gt;=13,IF(LEN(J127)=13,"0"&amp;J127,J127),SUBSTITUTE(SUBSTITUTE(SUBSTITUTE(SUBSTITUTE(SUBSTITUTE(SUBSTITUTE(SUBSTITUTE(SUBSTITUTE(SUBSTITUTE(SUBSTITUTE(SUBSTITUTE(SUBSTITUTE(SUBSTITUTE(UPPER(TRIM(H127)),"Á","A"),"À","A"),"Â","A"),"Ã","A"),"É","E"),"Ê","E"),"Í","I"),"Ó","O"),"Ô","O"),"Õ","O"),"Ú","U"),"Ü","U"),"Ç","C")&amp;"|"&amp;IF(LEN(J127)=11,MID(J127,4,6),J127)))</f>
        <v/>
      </c>
      <c r="L127" s="25" t="str">
        <f aca="false">IF(K127="","",IF(E127="Doação recebida",TRIM(IF(COUNTIF(Socios!$H:$H,K127)&gt;0,"Doador é sócio de empresa da pauta. ","")&amp;IF(COUNTIF(Pessoas!$E:$E,K127)&gt;0,"Doador está em Pessoas.","")),IF(E127="Despesa com fornecedor",IF(COUNTIF(Contratos!$D:$D,K127)&gt;0,"Fornecedor também tem contrato público",""),"")))</f>
        <v/>
      </c>
      <c r="M127" s="24"/>
      <c r="N127" s="11"/>
    </row>
    <row r="128" customFormat="false" ht="15" hidden="false" customHeight="false" outlineLevel="0" collapsed="false">
      <c r="A128" s="23"/>
      <c r="B128" s="31" t="str">
        <f aca="false">IF(A128="","",SUBSTITUTE(SUBSTITUTE(SUBSTITUTE(SUBSTITUTE(SUBSTITUTE(SUBSTITUTE(SUBSTITUTE(SUBSTITUTE(SUBSTITUTE(SUBSTITUTE(SUBSTITUTE(SUBSTITUTE(SUBSTITUTE(UPPER(TRIM(A128)),"Á","A"),"À","A"),"Â","A"),"Ã","A"),"É","E"),"Ê","E"),"Í","I"),"Ó","O"),"Ô","O"),"Õ","O"),"Ú","U"),"Ü","U"),"Ç","C"))</f>
        <v/>
      </c>
      <c r="C128" s="43"/>
      <c r="D128" s="23"/>
      <c r="E128" s="23"/>
      <c r="F128" s="11"/>
      <c r="G128" s="35"/>
      <c r="H128" s="23"/>
      <c r="I128" s="24"/>
      <c r="J128" s="31" t="str">
        <f aca="false">IF(I128="","",UPPER(SUBSTITUTE(SUBSTITUTE(SUBSTITUTE(SUBSTITUTE(SUBSTITUTE(TRIM(I128),".",""),"/",""),"-",""),"*","")," ","")))</f>
        <v/>
      </c>
      <c r="K128" s="31" t="str">
        <f aca="false">IF(OR(H128="",J128=""),"",IF(LEN(J128)&gt;=13,IF(LEN(J128)=13,"0"&amp;J128,J128),SUBSTITUTE(SUBSTITUTE(SUBSTITUTE(SUBSTITUTE(SUBSTITUTE(SUBSTITUTE(SUBSTITUTE(SUBSTITUTE(SUBSTITUTE(SUBSTITUTE(SUBSTITUTE(SUBSTITUTE(SUBSTITUTE(UPPER(TRIM(H128)),"Á","A"),"À","A"),"Â","A"),"Ã","A"),"É","E"),"Ê","E"),"Í","I"),"Ó","O"),"Ô","O"),"Õ","O"),"Ú","U"),"Ü","U"),"Ç","C")&amp;"|"&amp;IF(LEN(J128)=11,MID(J128,4,6),J128)))</f>
        <v/>
      </c>
      <c r="L128" s="25" t="str">
        <f aca="false">IF(K128="","",IF(E128="Doação recebida",TRIM(IF(COUNTIF(Socios!$H:$H,K128)&gt;0,"Doador é sócio de empresa da pauta. ","")&amp;IF(COUNTIF(Pessoas!$E:$E,K128)&gt;0,"Doador está em Pessoas.","")),IF(E128="Despesa com fornecedor",IF(COUNTIF(Contratos!$D:$D,K128)&gt;0,"Fornecedor também tem contrato público",""),"")))</f>
        <v/>
      </c>
      <c r="M128" s="24"/>
      <c r="N128" s="11"/>
    </row>
    <row r="129" customFormat="false" ht="15" hidden="false" customHeight="false" outlineLevel="0" collapsed="false">
      <c r="A129" s="23"/>
      <c r="B129" s="31" t="str">
        <f aca="false">IF(A129="","",SUBSTITUTE(SUBSTITUTE(SUBSTITUTE(SUBSTITUTE(SUBSTITUTE(SUBSTITUTE(SUBSTITUTE(SUBSTITUTE(SUBSTITUTE(SUBSTITUTE(SUBSTITUTE(SUBSTITUTE(SUBSTITUTE(UPPER(TRIM(A129)),"Á","A"),"À","A"),"Â","A"),"Ã","A"),"É","E"),"Ê","E"),"Í","I"),"Ó","O"),"Ô","O"),"Õ","O"),"Ú","U"),"Ü","U"),"Ç","C"))</f>
        <v/>
      </c>
      <c r="C129" s="43"/>
      <c r="D129" s="23"/>
      <c r="E129" s="23"/>
      <c r="F129" s="11"/>
      <c r="G129" s="35"/>
      <c r="H129" s="23"/>
      <c r="I129" s="24"/>
      <c r="J129" s="31" t="str">
        <f aca="false">IF(I129="","",UPPER(SUBSTITUTE(SUBSTITUTE(SUBSTITUTE(SUBSTITUTE(SUBSTITUTE(TRIM(I129),".",""),"/",""),"-",""),"*","")," ","")))</f>
        <v/>
      </c>
      <c r="K129" s="31" t="str">
        <f aca="false">IF(OR(H129="",J129=""),"",IF(LEN(J129)&gt;=13,IF(LEN(J129)=13,"0"&amp;J129,J129),SUBSTITUTE(SUBSTITUTE(SUBSTITUTE(SUBSTITUTE(SUBSTITUTE(SUBSTITUTE(SUBSTITUTE(SUBSTITUTE(SUBSTITUTE(SUBSTITUTE(SUBSTITUTE(SUBSTITUTE(SUBSTITUTE(UPPER(TRIM(H129)),"Á","A"),"À","A"),"Â","A"),"Ã","A"),"É","E"),"Ê","E"),"Í","I"),"Ó","O"),"Ô","O"),"Õ","O"),"Ú","U"),"Ü","U"),"Ç","C")&amp;"|"&amp;IF(LEN(J129)=11,MID(J129,4,6),J129)))</f>
        <v/>
      </c>
      <c r="L129" s="25" t="str">
        <f aca="false">IF(K129="","",IF(E129="Doação recebida",TRIM(IF(COUNTIF(Socios!$H:$H,K129)&gt;0,"Doador é sócio de empresa da pauta. ","")&amp;IF(COUNTIF(Pessoas!$E:$E,K129)&gt;0,"Doador está em Pessoas.","")),IF(E129="Despesa com fornecedor",IF(COUNTIF(Contratos!$D:$D,K129)&gt;0,"Fornecedor também tem contrato público",""),"")))</f>
        <v/>
      </c>
      <c r="M129" s="24"/>
      <c r="N129" s="11"/>
    </row>
    <row r="130" customFormat="false" ht="15" hidden="false" customHeight="false" outlineLevel="0" collapsed="false">
      <c r="A130" s="23"/>
      <c r="B130" s="31" t="str">
        <f aca="false">IF(A130="","",SUBSTITUTE(SUBSTITUTE(SUBSTITUTE(SUBSTITUTE(SUBSTITUTE(SUBSTITUTE(SUBSTITUTE(SUBSTITUTE(SUBSTITUTE(SUBSTITUTE(SUBSTITUTE(SUBSTITUTE(SUBSTITUTE(UPPER(TRIM(A130)),"Á","A"),"À","A"),"Â","A"),"Ã","A"),"É","E"),"Ê","E"),"Í","I"),"Ó","O"),"Ô","O"),"Õ","O"),"Ú","U"),"Ü","U"),"Ç","C"))</f>
        <v/>
      </c>
      <c r="C130" s="43"/>
      <c r="D130" s="23"/>
      <c r="E130" s="23"/>
      <c r="F130" s="11"/>
      <c r="G130" s="35"/>
      <c r="H130" s="23"/>
      <c r="I130" s="24"/>
      <c r="J130" s="31" t="str">
        <f aca="false">IF(I130="","",UPPER(SUBSTITUTE(SUBSTITUTE(SUBSTITUTE(SUBSTITUTE(SUBSTITUTE(TRIM(I130),".",""),"/",""),"-",""),"*","")," ","")))</f>
        <v/>
      </c>
      <c r="K130" s="31" t="str">
        <f aca="false">IF(OR(H130="",J130=""),"",IF(LEN(J130)&gt;=13,IF(LEN(J130)=13,"0"&amp;J130,J130),SUBSTITUTE(SUBSTITUTE(SUBSTITUTE(SUBSTITUTE(SUBSTITUTE(SUBSTITUTE(SUBSTITUTE(SUBSTITUTE(SUBSTITUTE(SUBSTITUTE(SUBSTITUTE(SUBSTITUTE(SUBSTITUTE(UPPER(TRIM(H130)),"Á","A"),"À","A"),"Â","A"),"Ã","A"),"É","E"),"Ê","E"),"Í","I"),"Ó","O"),"Ô","O"),"Õ","O"),"Ú","U"),"Ü","U"),"Ç","C")&amp;"|"&amp;IF(LEN(J130)=11,MID(J130,4,6),J130)))</f>
        <v/>
      </c>
      <c r="L130" s="25" t="str">
        <f aca="false">IF(K130="","",IF(E130="Doação recebida",TRIM(IF(COUNTIF(Socios!$H:$H,K130)&gt;0,"Doador é sócio de empresa da pauta. ","")&amp;IF(COUNTIF(Pessoas!$E:$E,K130)&gt;0,"Doador está em Pessoas.","")),IF(E130="Despesa com fornecedor",IF(COUNTIF(Contratos!$D:$D,K130)&gt;0,"Fornecedor também tem contrato público",""),"")))</f>
        <v/>
      </c>
      <c r="M130" s="24"/>
      <c r="N130" s="11"/>
    </row>
    <row r="131" customFormat="false" ht="15" hidden="false" customHeight="false" outlineLevel="0" collapsed="false">
      <c r="A131" s="23"/>
      <c r="B131" s="31" t="str">
        <f aca="false">IF(A131="","",SUBSTITUTE(SUBSTITUTE(SUBSTITUTE(SUBSTITUTE(SUBSTITUTE(SUBSTITUTE(SUBSTITUTE(SUBSTITUTE(SUBSTITUTE(SUBSTITUTE(SUBSTITUTE(SUBSTITUTE(SUBSTITUTE(UPPER(TRIM(A131)),"Á","A"),"À","A"),"Â","A"),"Ã","A"),"É","E"),"Ê","E"),"Í","I"),"Ó","O"),"Ô","O"),"Õ","O"),"Ú","U"),"Ü","U"),"Ç","C"))</f>
        <v/>
      </c>
      <c r="C131" s="43"/>
      <c r="D131" s="23"/>
      <c r="E131" s="23"/>
      <c r="F131" s="11"/>
      <c r="G131" s="35"/>
      <c r="H131" s="23"/>
      <c r="I131" s="24"/>
      <c r="J131" s="31" t="str">
        <f aca="false">IF(I131="","",UPPER(SUBSTITUTE(SUBSTITUTE(SUBSTITUTE(SUBSTITUTE(SUBSTITUTE(TRIM(I131),".",""),"/",""),"-",""),"*","")," ","")))</f>
        <v/>
      </c>
      <c r="K131" s="31" t="str">
        <f aca="false">IF(OR(H131="",J131=""),"",IF(LEN(J131)&gt;=13,IF(LEN(J131)=13,"0"&amp;J131,J131),SUBSTITUTE(SUBSTITUTE(SUBSTITUTE(SUBSTITUTE(SUBSTITUTE(SUBSTITUTE(SUBSTITUTE(SUBSTITUTE(SUBSTITUTE(SUBSTITUTE(SUBSTITUTE(SUBSTITUTE(SUBSTITUTE(UPPER(TRIM(H131)),"Á","A"),"À","A"),"Â","A"),"Ã","A"),"É","E"),"Ê","E"),"Í","I"),"Ó","O"),"Ô","O"),"Õ","O"),"Ú","U"),"Ü","U"),"Ç","C")&amp;"|"&amp;IF(LEN(J131)=11,MID(J131,4,6),J131)))</f>
        <v/>
      </c>
      <c r="L131" s="25" t="str">
        <f aca="false">IF(K131="","",IF(E131="Doação recebida",TRIM(IF(COUNTIF(Socios!$H:$H,K131)&gt;0,"Doador é sócio de empresa da pauta. ","")&amp;IF(COUNTIF(Pessoas!$E:$E,K131)&gt;0,"Doador está em Pessoas.","")),IF(E131="Despesa com fornecedor",IF(COUNTIF(Contratos!$D:$D,K131)&gt;0,"Fornecedor também tem contrato público",""),"")))</f>
        <v/>
      </c>
      <c r="M131" s="24"/>
      <c r="N131" s="11"/>
    </row>
    <row r="132" customFormat="false" ht="15" hidden="false" customHeight="false" outlineLevel="0" collapsed="false">
      <c r="A132" s="23"/>
      <c r="B132" s="31" t="str">
        <f aca="false">IF(A132="","",SUBSTITUTE(SUBSTITUTE(SUBSTITUTE(SUBSTITUTE(SUBSTITUTE(SUBSTITUTE(SUBSTITUTE(SUBSTITUTE(SUBSTITUTE(SUBSTITUTE(SUBSTITUTE(SUBSTITUTE(SUBSTITUTE(UPPER(TRIM(A132)),"Á","A"),"À","A"),"Â","A"),"Ã","A"),"É","E"),"Ê","E"),"Í","I"),"Ó","O"),"Ô","O"),"Õ","O"),"Ú","U"),"Ü","U"),"Ç","C"))</f>
        <v/>
      </c>
      <c r="C132" s="43"/>
      <c r="D132" s="23"/>
      <c r="E132" s="23"/>
      <c r="F132" s="11"/>
      <c r="G132" s="35"/>
      <c r="H132" s="23"/>
      <c r="I132" s="24"/>
      <c r="J132" s="31" t="str">
        <f aca="false">IF(I132="","",UPPER(SUBSTITUTE(SUBSTITUTE(SUBSTITUTE(SUBSTITUTE(SUBSTITUTE(TRIM(I132),".",""),"/",""),"-",""),"*","")," ","")))</f>
        <v/>
      </c>
      <c r="K132" s="31" t="str">
        <f aca="false">IF(OR(H132="",J132=""),"",IF(LEN(J132)&gt;=13,IF(LEN(J132)=13,"0"&amp;J132,J132),SUBSTITUTE(SUBSTITUTE(SUBSTITUTE(SUBSTITUTE(SUBSTITUTE(SUBSTITUTE(SUBSTITUTE(SUBSTITUTE(SUBSTITUTE(SUBSTITUTE(SUBSTITUTE(SUBSTITUTE(SUBSTITUTE(UPPER(TRIM(H132)),"Á","A"),"À","A"),"Â","A"),"Ã","A"),"É","E"),"Ê","E"),"Í","I"),"Ó","O"),"Ô","O"),"Õ","O"),"Ú","U"),"Ü","U"),"Ç","C")&amp;"|"&amp;IF(LEN(J132)=11,MID(J132,4,6),J132)))</f>
        <v/>
      </c>
      <c r="L132" s="25" t="str">
        <f aca="false">IF(K132="","",IF(E132="Doação recebida",TRIM(IF(COUNTIF(Socios!$H:$H,K132)&gt;0,"Doador é sócio de empresa da pauta. ","")&amp;IF(COUNTIF(Pessoas!$E:$E,K132)&gt;0,"Doador está em Pessoas.","")),IF(E132="Despesa com fornecedor",IF(COUNTIF(Contratos!$D:$D,K132)&gt;0,"Fornecedor também tem contrato público",""),"")))</f>
        <v/>
      </c>
      <c r="M132" s="24"/>
      <c r="N132" s="11"/>
    </row>
    <row r="133" customFormat="false" ht="15" hidden="false" customHeight="false" outlineLevel="0" collapsed="false">
      <c r="A133" s="23"/>
      <c r="B133" s="31" t="str">
        <f aca="false">IF(A133="","",SUBSTITUTE(SUBSTITUTE(SUBSTITUTE(SUBSTITUTE(SUBSTITUTE(SUBSTITUTE(SUBSTITUTE(SUBSTITUTE(SUBSTITUTE(SUBSTITUTE(SUBSTITUTE(SUBSTITUTE(SUBSTITUTE(UPPER(TRIM(A133)),"Á","A"),"À","A"),"Â","A"),"Ã","A"),"É","E"),"Ê","E"),"Í","I"),"Ó","O"),"Ô","O"),"Õ","O"),"Ú","U"),"Ü","U"),"Ç","C"))</f>
        <v/>
      </c>
      <c r="C133" s="43"/>
      <c r="D133" s="23"/>
      <c r="E133" s="23"/>
      <c r="F133" s="11"/>
      <c r="G133" s="35"/>
      <c r="H133" s="23"/>
      <c r="I133" s="24"/>
      <c r="J133" s="31" t="str">
        <f aca="false">IF(I133="","",UPPER(SUBSTITUTE(SUBSTITUTE(SUBSTITUTE(SUBSTITUTE(SUBSTITUTE(TRIM(I133),".",""),"/",""),"-",""),"*","")," ","")))</f>
        <v/>
      </c>
      <c r="K133" s="31" t="str">
        <f aca="false">IF(OR(H133="",J133=""),"",IF(LEN(J133)&gt;=13,IF(LEN(J133)=13,"0"&amp;J133,J133),SUBSTITUTE(SUBSTITUTE(SUBSTITUTE(SUBSTITUTE(SUBSTITUTE(SUBSTITUTE(SUBSTITUTE(SUBSTITUTE(SUBSTITUTE(SUBSTITUTE(SUBSTITUTE(SUBSTITUTE(SUBSTITUTE(UPPER(TRIM(H133)),"Á","A"),"À","A"),"Â","A"),"Ã","A"),"É","E"),"Ê","E"),"Í","I"),"Ó","O"),"Ô","O"),"Õ","O"),"Ú","U"),"Ü","U"),"Ç","C")&amp;"|"&amp;IF(LEN(J133)=11,MID(J133,4,6),J133)))</f>
        <v/>
      </c>
      <c r="L133" s="25" t="str">
        <f aca="false">IF(K133="","",IF(E133="Doação recebida",TRIM(IF(COUNTIF(Socios!$H:$H,K133)&gt;0,"Doador é sócio de empresa da pauta. ","")&amp;IF(COUNTIF(Pessoas!$E:$E,K133)&gt;0,"Doador está em Pessoas.","")),IF(E133="Despesa com fornecedor",IF(COUNTIF(Contratos!$D:$D,K133)&gt;0,"Fornecedor também tem contrato público",""),"")))</f>
        <v/>
      </c>
      <c r="M133" s="24"/>
      <c r="N133" s="11"/>
    </row>
    <row r="134" customFormat="false" ht="15" hidden="false" customHeight="false" outlineLevel="0" collapsed="false">
      <c r="A134" s="23"/>
      <c r="B134" s="31" t="str">
        <f aca="false">IF(A134="","",SUBSTITUTE(SUBSTITUTE(SUBSTITUTE(SUBSTITUTE(SUBSTITUTE(SUBSTITUTE(SUBSTITUTE(SUBSTITUTE(SUBSTITUTE(SUBSTITUTE(SUBSTITUTE(SUBSTITUTE(SUBSTITUTE(UPPER(TRIM(A134)),"Á","A"),"À","A"),"Â","A"),"Ã","A"),"É","E"),"Ê","E"),"Í","I"),"Ó","O"),"Ô","O"),"Õ","O"),"Ú","U"),"Ü","U"),"Ç","C"))</f>
        <v/>
      </c>
      <c r="C134" s="43"/>
      <c r="D134" s="23"/>
      <c r="E134" s="23"/>
      <c r="F134" s="11"/>
      <c r="G134" s="35"/>
      <c r="H134" s="23"/>
      <c r="I134" s="24"/>
      <c r="J134" s="31" t="str">
        <f aca="false">IF(I134="","",UPPER(SUBSTITUTE(SUBSTITUTE(SUBSTITUTE(SUBSTITUTE(SUBSTITUTE(TRIM(I134),".",""),"/",""),"-",""),"*","")," ","")))</f>
        <v/>
      </c>
      <c r="K134" s="31" t="str">
        <f aca="false">IF(OR(H134="",J134=""),"",IF(LEN(J134)&gt;=13,IF(LEN(J134)=13,"0"&amp;J134,J134),SUBSTITUTE(SUBSTITUTE(SUBSTITUTE(SUBSTITUTE(SUBSTITUTE(SUBSTITUTE(SUBSTITUTE(SUBSTITUTE(SUBSTITUTE(SUBSTITUTE(SUBSTITUTE(SUBSTITUTE(SUBSTITUTE(UPPER(TRIM(H134)),"Á","A"),"À","A"),"Â","A"),"Ã","A"),"É","E"),"Ê","E"),"Í","I"),"Ó","O"),"Ô","O"),"Õ","O"),"Ú","U"),"Ü","U"),"Ç","C")&amp;"|"&amp;IF(LEN(J134)=11,MID(J134,4,6),J134)))</f>
        <v/>
      </c>
      <c r="L134" s="25" t="str">
        <f aca="false">IF(K134="","",IF(E134="Doação recebida",TRIM(IF(COUNTIF(Socios!$H:$H,K134)&gt;0,"Doador é sócio de empresa da pauta. ","")&amp;IF(COUNTIF(Pessoas!$E:$E,K134)&gt;0,"Doador está em Pessoas.","")),IF(E134="Despesa com fornecedor",IF(COUNTIF(Contratos!$D:$D,K134)&gt;0,"Fornecedor também tem contrato público",""),"")))</f>
        <v/>
      </c>
      <c r="M134" s="24"/>
      <c r="N134" s="11"/>
    </row>
    <row r="135" customFormat="false" ht="15" hidden="false" customHeight="false" outlineLevel="0" collapsed="false">
      <c r="A135" s="23"/>
      <c r="B135" s="31" t="str">
        <f aca="false">IF(A135="","",SUBSTITUTE(SUBSTITUTE(SUBSTITUTE(SUBSTITUTE(SUBSTITUTE(SUBSTITUTE(SUBSTITUTE(SUBSTITUTE(SUBSTITUTE(SUBSTITUTE(SUBSTITUTE(SUBSTITUTE(SUBSTITUTE(UPPER(TRIM(A135)),"Á","A"),"À","A"),"Â","A"),"Ã","A"),"É","E"),"Ê","E"),"Í","I"),"Ó","O"),"Ô","O"),"Õ","O"),"Ú","U"),"Ü","U"),"Ç","C"))</f>
        <v/>
      </c>
      <c r="C135" s="43"/>
      <c r="D135" s="23"/>
      <c r="E135" s="23"/>
      <c r="F135" s="11"/>
      <c r="G135" s="35"/>
      <c r="H135" s="23"/>
      <c r="I135" s="24"/>
      <c r="J135" s="31" t="str">
        <f aca="false">IF(I135="","",UPPER(SUBSTITUTE(SUBSTITUTE(SUBSTITUTE(SUBSTITUTE(SUBSTITUTE(TRIM(I135),".",""),"/",""),"-",""),"*","")," ","")))</f>
        <v/>
      </c>
      <c r="K135" s="31" t="str">
        <f aca="false">IF(OR(H135="",J135=""),"",IF(LEN(J135)&gt;=13,IF(LEN(J135)=13,"0"&amp;J135,J135),SUBSTITUTE(SUBSTITUTE(SUBSTITUTE(SUBSTITUTE(SUBSTITUTE(SUBSTITUTE(SUBSTITUTE(SUBSTITUTE(SUBSTITUTE(SUBSTITUTE(SUBSTITUTE(SUBSTITUTE(SUBSTITUTE(UPPER(TRIM(H135)),"Á","A"),"À","A"),"Â","A"),"Ã","A"),"É","E"),"Ê","E"),"Í","I"),"Ó","O"),"Ô","O"),"Õ","O"),"Ú","U"),"Ü","U"),"Ç","C")&amp;"|"&amp;IF(LEN(J135)=11,MID(J135,4,6),J135)))</f>
        <v/>
      </c>
      <c r="L135" s="25" t="str">
        <f aca="false">IF(K135="","",IF(E135="Doação recebida",TRIM(IF(COUNTIF(Socios!$H:$H,K135)&gt;0,"Doador é sócio de empresa da pauta. ","")&amp;IF(COUNTIF(Pessoas!$E:$E,K135)&gt;0,"Doador está em Pessoas.","")),IF(E135="Despesa com fornecedor",IF(COUNTIF(Contratos!$D:$D,K135)&gt;0,"Fornecedor também tem contrato público",""),"")))</f>
        <v/>
      </c>
      <c r="M135" s="24"/>
      <c r="N135" s="11"/>
    </row>
    <row r="136" customFormat="false" ht="15" hidden="false" customHeight="false" outlineLevel="0" collapsed="false">
      <c r="A136" s="23"/>
      <c r="B136" s="31" t="str">
        <f aca="false">IF(A136="","",SUBSTITUTE(SUBSTITUTE(SUBSTITUTE(SUBSTITUTE(SUBSTITUTE(SUBSTITUTE(SUBSTITUTE(SUBSTITUTE(SUBSTITUTE(SUBSTITUTE(SUBSTITUTE(SUBSTITUTE(SUBSTITUTE(UPPER(TRIM(A136)),"Á","A"),"À","A"),"Â","A"),"Ã","A"),"É","E"),"Ê","E"),"Í","I"),"Ó","O"),"Ô","O"),"Õ","O"),"Ú","U"),"Ü","U"),"Ç","C"))</f>
        <v/>
      </c>
      <c r="C136" s="43"/>
      <c r="D136" s="23"/>
      <c r="E136" s="23"/>
      <c r="F136" s="11"/>
      <c r="G136" s="35"/>
      <c r="H136" s="23"/>
      <c r="I136" s="24"/>
      <c r="J136" s="31" t="str">
        <f aca="false">IF(I136="","",UPPER(SUBSTITUTE(SUBSTITUTE(SUBSTITUTE(SUBSTITUTE(SUBSTITUTE(TRIM(I136),".",""),"/",""),"-",""),"*","")," ","")))</f>
        <v/>
      </c>
      <c r="K136" s="31" t="str">
        <f aca="false">IF(OR(H136="",J136=""),"",IF(LEN(J136)&gt;=13,IF(LEN(J136)=13,"0"&amp;J136,J136),SUBSTITUTE(SUBSTITUTE(SUBSTITUTE(SUBSTITUTE(SUBSTITUTE(SUBSTITUTE(SUBSTITUTE(SUBSTITUTE(SUBSTITUTE(SUBSTITUTE(SUBSTITUTE(SUBSTITUTE(SUBSTITUTE(UPPER(TRIM(H136)),"Á","A"),"À","A"),"Â","A"),"Ã","A"),"É","E"),"Ê","E"),"Í","I"),"Ó","O"),"Ô","O"),"Õ","O"),"Ú","U"),"Ü","U"),"Ç","C")&amp;"|"&amp;IF(LEN(J136)=11,MID(J136,4,6),J136)))</f>
        <v/>
      </c>
      <c r="L136" s="25" t="str">
        <f aca="false">IF(K136="","",IF(E136="Doação recebida",TRIM(IF(COUNTIF(Socios!$H:$H,K136)&gt;0,"Doador é sócio de empresa da pauta. ","")&amp;IF(COUNTIF(Pessoas!$E:$E,K136)&gt;0,"Doador está em Pessoas.","")),IF(E136="Despesa com fornecedor",IF(COUNTIF(Contratos!$D:$D,K136)&gt;0,"Fornecedor também tem contrato público",""),"")))</f>
        <v/>
      </c>
      <c r="M136" s="24"/>
      <c r="N136" s="11"/>
    </row>
    <row r="137" customFormat="false" ht="15" hidden="false" customHeight="false" outlineLevel="0" collapsed="false">
      <c r="A137" s="23"/>
      <c r="B137" s="31" t="str">
        <f aca="false">IF(A137="","",SUBSTITUTE(SUBSTITUTE(SUBSTITUTE(SUBSTITUTE(SUBSTITUTE(SUBSTITUTE(SUBSTITUTE(SUBSTITUTE(SUBSTITUTE(SUBSTITUTE(SUBSTITUTE(SUBSTITUTE(SUBSTITUTE(UPPER(TRIM(A137)),"Á","A"),"À","A"),"Â","A"),"Ã","A"),"É","E"),"Ê","E"),"Í","I"),"Ó","O"),"Ô","O"),"Õ","O"),"Ú","U"),"Ü","U"),"Ç","C"))</f>
        <v/>
      </c>
      <c r="C137" s="43"/>
      <c r="D137" s="23"/>
      <c r="E137" s="23"/>
      <c r="F137" s="11"/>
      <c r="G137" s="35"/>
      <c r="H137" s="23"/>
      <c r="I137" s="24"/>
      <c r="J137" s="31" t="str">
        <f aca="false">IF(I137="","",UPPER(SUBSTITUTE(SUBSTITUTE(SUBSTITUTE(SUBSTITUTE(SUBSTITUTE(TRIM(I137),".",""),"/",""),"-",""),"*","")," ","")))</f>
        <v/>
      </c>
      <c r="K137" s="31" t="str">
        <f aca="false">IF(OR(H137="",J137=""),"",IF(LEN(J137)&gt;=13,IF(LEN(J137)=13,"0"&amp;J137,J137),SUBSTITUTE(SUBSTITUTE(SUBSTITUTE(SUBSTITUTE(SUBSTITUTE(SUBSTITUTE(SUBSTITUTE(SUBSTITUTE(SUBSTITUTE(SUBSTITUTE(SUBSTITUTE(SUBSTITUTE(SUBSTITUTE(UPPER(TRIM(H137)),"Á","A"),"À","A"),"Â","A"),"Ã","A"),"É","E"),"Ê","E"),"Í","I"),"Ó","O"),"Ô","O"),"Õ","O"),"Ú","U"),"Ü","U"),"Ç","C")&amp;"|"&amp;IF(LEN(J137)=11,MID(J137,4,6),J137)))</f>
        <v/>
      </c>
      <c r="L137" s="25" t="str">
        <f aca="false">IF(K137="","",IF(E137="Doação recebida",TRIM(IF(COUNTIF(Socios!$H:$H,K137)&gt;0,"Doador é sócio de empresa da pauta. ","")&amp;IF(COUNTIF(Pessoas!$E:$E,K137)&gt;0,"Doador está em Pessoas.","")),IF(E137="Despesa com fornecedor",IF(COUNTIF(Contratos!$D:$D,K137)&gt;0,"Fornecedor também tem contrato público",""),"")))</f>
        <v/>
      </c>
      <c r="M137" s="24"/>
      <c r="N137" s="11"/>
    </row>
    <row r="138" customFormat="false" ht="15" hidden="false" customHeight="false" outlineLevel="0" collapsed="false">
      <c r="A138" s="23"/>
      <c r="B138" s="31" t="str">
        <f aca="false">IF(A138="","",SUBSTITUTE(SUBSTITUTE(SUBSTITUTE(SUBSTITUTE(SUBSTITUTE(SUBSTITUTE(SUBSTITUTE(SUBSTITUTE(SUBSTITUTE(SUBSTITUTE(SUBSTITUTE(SUBSTITUTE(SUBSTITUTE(UPPER(TRIM(A138)),"Á","A"),"À","A"),"Â","A"),"Ã","A"),"É","E"),"Ê","E"),"Í","I"),"Ó","O"),"Ô","O"),"Õ","O"),"Ú","U"),"Ü","U"),"Ç","C"))</f>
        <v/>
      </c>
      <c r="C138" s="43"/>
      <c r="D138" s="23"/>
      <c r="E138" s="23"/>
      <c r="F138" s="11"/>
      <c r="G138" s="35"/>
      <c r="H138" s="23"/>
      <c r="I138" s="24"/>
      <c r="J138" s="31" t="str">
        <f aca="false">IF(I138="","",UPPER(SUBSTITUTE(SUBSTITUTE(SUBSTITUTE(SUBSTITUTE(SUBSTITUTE(TRIM(I138),".",""),"/",""),"-",""),"*","")," ","")))</f>
        <v/>
      </c>
      <c r="K138" s="31" t="str">
        <f aca="false">IF(OR(H138="",J138=""),"",IF(LEN(J138)&gt;=13,IF(LEN(J138)=13,"0"&amp;J138,J138),SUBSTITUTE(SUBSTITUTE(SUBSTITUTE(SUBSTITUTE(SUBSTITUTE(SUBSTITUTE(SUBSTITUTE(SUBSTITUTE(SUBSTITUTE(SUBSTITUTE(SUBSTITUTE(SUBSTITUTE(SUBSTITUTE(UPPER(TRIM(H138)),"Á","A"),"À","A"),"Â","A"),"Ã","A"),"É","E"),"Ê","E"),"Í","I"),"Ó","O"),"Ô","O"),"Õ","O"),"Ú","U"),"Ü","U"),"Ç","C")&amp;"|"&amp;IF(LEN(J138)=11,MID(J138,4,6),J138)))</f>
        <v/>
      </c>
      <c r="L138" s="25" t="str">
        <f aca="false">IF(K138="","",IF(E138="Doação recebida",TRIM(IF(COUNTIF(Socios!$H:$H,K138)&gt;0,"Doador é sócio de empresa da pauta. ","")&amp;IF(COUNTIF(Pessoas!$E:$E,K138)&gt;0,"Doador está em Pessoas.","")),IF(E138="Despesa com fornecedor",IF(COUNTIF(Contratos!$D:$D,K138)&gt;0,"Fornecedor também tem contrato público",""),"")))</f>
        <v/>
      </c>
      <c r="M138" s="24"/>
      <c r="N138" s="11"/>
    </row>
    <row r="139" customFormat="false" ht="15" hidden="false" customHeight="false" outlineLevel="0" collapsed="false">
      <c r="A139" s="23"/>
      <c r="B139" s="31" t="str">
        <f aca="false">IF(A139="","",SUBSTITUTE(SUBSTITUTE(SUBSTITUTE(SUBSTITUTE(SUBSTITUTE(SUBSTITUTE(SUBSTITUTE(SUBSTITUTE(SUBSTITUTE(SUBSTITUTE(SUBSTITUTE(SUBSTITUTE(SUBSTITUTE(UPPER(TRIM(A139)),"Á","A"),"À","A"),"Â","A"),"Ã","A"),"É","E"),"Ê","E"),"Í","I"),"Ó","O"),"Ô","O"),"Õ","O"),"Ú","U"),"Ü","U"),"Ç","C"))</f>
        <v/>
      </c>
      <c r="C139" s="43"/>
      <c r="D139" s="23"/>
      <c r="E139" s="23"/>
      <c r="F139" s="11"/>
      <c r="G139" s="35"/>
      <c r="H139" s="23"/>
      <c r="I139" s="24"/>
      <c r="J139" s="31" t="str">
        <f aca="false">IF(I139="","",UPPER(SUBSTITUTE(SUBSTITUTE(SUBSTITUTE(SUBSTITUTE(SUBSTITUTE(TRIM(I139),".",""),"/",""),"-",""),"*","")," ","")))</f>
        <v/>
      </c>
      <c r="K139" s="31" t="str">
        <f aca="false">IF(OR(H139="",J139=""),"",IF(LEN(J139)&gt;=13,IF(LEN(J139)=13,"0"&amp;J139,J139),SUBSTITUTE(SUBSTITUTE(SUBSTITUTE(SUBSTITUTE(SUBSTITUTE(SUBSTITUTE(SUBSTITUTE(SUBSTITUTE(SUBSTITUTE(SUBSTITUTE(SUBSTITUTE(SUBSTITUTE(SUBSTITUTE(UPPER(TRIM(H139)),"Á","A"),"À","A"),"Â","A"),"Ã","A"),"É","E"),"Ê","E"),"Í","I"),"Ó","O"),"Ô","O"),"Õ","O"),"Ú","U"),"Ü","U"),"Ç","C")&amp;"|"&amp;IF(LEN(J139)=11,MID(J139,4,6),J139)))</f>
        <v/>
      </c>
      <c r="L139" s="25" t="str">
        <f aca="false">IF(K139="","",IF(E139="Doação recebida",TRIM(IF(COUNTIF(Socios!$H:$H,K139)&gt;0,"Doador é sócio de empresa da pauta. ","")&amp;IF(COUNTIF(Pessoas!$E:$E,K139)&gt;0,"Doador está em Pessoas.","")),IF(E139="Despesa com fornecedor",IF(COUNTIF(Contratos!$D:$D,K139)&gt;0,"Fornecedor também tem contrato público",""),"")))</f>
        <v/>
      </c>
      <c r="M139" s="24"/>
      <c r="N139" s="11"/>
    </row>
    <row r="140" customFormat="false" ht="15" hidden="false" customHeight="false" outlineLevel="0" collapsed="false">
      <c r="A140" s="23"/>
      <c r="B140" s="31" t="str">
        <f aca="false">IF(A140="","",SUBSTITUTE(SUBSTITUTE(SUBSTITUTE(SUBSTITUTE(SUBSTITUTE(SUBSTITUTE(SUBSTITUTE(SUBSTITUTE(SUBSTITUTE(SUBSTITUTE(SUBSTITUTE(SUBSTITUTE(SUBSTITUTE(UPPER(TRIM(A140)),"Á","A"),"À","A"),"Â","A"),"Ã","A"),"É","E"),"Ê","E"),"Í","I"),"Ó","O"),"Ô","O"),"Õ","O"),"Ú","U"),"Ü","U"),"Ç","C"))</f>
        <v/>
      </c>
      <c r="C140" s="43"/>
      <c r="D140" s="23"/>
      <c r="E140" s="23"/>
      <c r="F140" s="11"/>
      <c r="G140" s="35"/>
      <c r="H140" s="23"/>
      <c r="I140" s="24"/>
      <c r="J140" s="31" t="str">
        <f aca="false">IF(I140="","",UPPER(SUBSTITUTE(SUBSTITUTE(SUBSTITUTE(SUBSTITUTE(SUBSTITUTE(TRIM(I140),".",""),"/",""),"-",""),"*","")," ","")))</f>
        <v/>
      </c>
      <c r="K140" s="31" t="str">
        <f aca="false">IF(OR(H140="",J140=""),"",IF(LEN(J140)&gt;=13,IF(LEN(J140)=13,"0"&amp;J140,J140),SUBSTITUTE(SUBSTITUTE(SUBSTITUTE(SUBSTITUTE(SUBSTITUTE(SUBSTITUTE(SUBSTITUTE(SUBSTITUTE(SUBSTITUTE(SUBSTITUTE(SUBSTITUTE(SUBSTITUTE(SUBSTITUTE(UPPER(TRIM(H140)),"Á","A"),"À","A"),"Â","A"),"Ã","A"),"É","E"),"Ê","E"),"Í","I"),"Ó","O"),"Ô","O"),"Õ","O"),"Ú","U"),"Ü","U"),"Ç","C")&amp;"|"&amp;IF(LEN(J140)=11,MID(J140,4,6),J140)))</f>
        <v/>
      </c>
      <c r="L140" s="25" t="str">
        <f aca="false">IF(K140="","",IF(E140="Doação recebida",TRIM(IF(COUNTIF(Socios!$H:$H,K140)&gt;0,"Doador é sócio de empresa da pauta. ","")&amp;IF(COUNTIF(Pessoas!$E:$E,K140)&gt;0,"Doador está em Pessoas.","")),IF(E140="Despesa com fornecedor",IF(COUNTIF(Contratos!$D:$D,K140)&gt;0,"Fornecedor também tem contrato público",""),"")))</f>
        <v/>
      </c>
      <c r="M140" s="24"/>
      <c r="N140" s="11"/>
    </row>
    <row r="141" customFormat="false" ht="15" hidden="false" customHeight="false" outlineLevel="0" collapsed="false">
      <c r="A141" s="23"/>
      <c r="B141" s="31" t="str">
        <f aca="false">IF(A141="","",SUBSTITUTE(SUBSTITUTE(SUBSTITUTE(SUBSTITUTE(SUBSTITUTE(SUBSTITUTE(SUBSTITUTE(SUBSTITUTE(SUBSTITUTE(SUBSTITUTE(SUBSTITUTE(SUBSTITUTE(SUBSTITUTE(UPPER(TRIM(A141)),"Á","A"),"À","A"),"Â","A"),"Ã","A"),"É","E"),"Ê","E"),"Í","I"),"Ó","O"),"Ô","O"),"Õ","O"),"Ú","U"),"Ü","U"),"Ç","C"))</f>
        <v/>
      </c>
      <c r="C141" s="43"/>
      <c r="D141" s="23"/>
      <c r="E141" s="23"/>
      <c r="F141" s="11"/>
      <c r="G141" s="35"/>
      <c r="H141" s="23"/>
      <c r="I141" s="24"/>
      <c r="J141" s="31" t="str">
        <f aca="false">IF(I141="","",UPPER(SUBSTITUTE(SUBSTITUTE(SUBSTITUTE(SUBSTITUTE(SUBSTITUTE(TRIM(I141),".",""),"/",""),"-",""),"*","")," ","")))</f>
        <v/>
      </c>
      <c r="K141" s="31" t="str">
        <f aca="false">IF(OR(H141="",J141=""),"",IF(LEN(J141)&gt;=13,IF(LEN(J141)=13,"0"&amp;J141,J141),SUBSTITUTE(SUBSTITUTE(SUBSTITUTE(SUBSTITUTE(SUBSTITUTE(SUBSTITUTE(SUBSTITUTE(SUBSTITUTE(SUBSTITUTE(SUBSTITUTE(SUBSTITUTE(SUBSTITUTE(SUBSTITUTE(UPPER(TRIM(H141)),"Á","A"),"À","A"),"Â","A"),"Ã","A"),"É","E"),"Ê","E"),"Í","I"),"Ó","O"),"Ô","O"),"Õ","O"),"Ú","U"),"Ü","U"),"Ç","C")&amp;"|"&amp;IF(LEN(J141)=11,MID(J141,4,6),J141)))</f>
        <v/>
      </c>
      <c r="L141" s="25" t="str">
        <f aca="false">IF(K141="","",IF(E141="Doação recebida",TRIM(IF(COUNTIF(Socios!$H:$H,K141)&gt;0,"Doador é sócio de empresa da pauta. ","")&amp;IF(COUNTIF(Pessoas!$E:$E,K141)&gt;0,"Doador está em Pessoas.","")),IF(E141="Despesa com fornecedor",IF(COUNTIF(Contratos!$D:$D,K141)&gt;0,"Fornecedor também tem contrato público",""),"")))</f>
        <v/>
      </c>
      <c r="M141" s="24"/>
      <c r="N141" s="11"/>
    </row>
    <row r="142" customFormat="false" ht="15" hidden="false" customHeight="false" outlineLevel="0" collapsed="false">
      <c r="A142" s="23"/>
      <c r="B142" s="31" t="str">
        <f aca="false">IF(A142="","",SUBSTITUTE(SUBSTITUTE(SUBSTITUTE(SUBSTITUTE(SUBSTITUTE(SUBSTITUTE(SUBSTITUTE(SUBSTITUTE(SUBSTITUTE(SUBSTITUTE(SUBSTITUTE(SUBSTITUTE(SUBSTITUTE(UPPER(TRIM(A142)),"Á","A"),"À","A"),"Â","A"),"Ã","A"),"É","E"),"Ê","E"),"Í","I"),"Ó","O"),"Ô","O"),"Õ","O"),"Ú","U"),"Ü","U"),"Ç","C"))</f>
        <v/>
      </c>
      <c r="C142" s="43"/>
      <c r="D142" s="23"/>
      <c r="E142" s="23"/>
      <c r="F142" s="11"/>
      <c r="G142" s="35"/>
      <c r="H142" s="23"/>
      <c r="I142" s="24"/>
      <c r="J142" s="31" t="str">
        <f aca="false">IF(I142="","",UPPER(SUBSTITUTE(SUBSTITUTE(SUBSTITUTE(SUBSTITUTE(SUBSTITUTE(TRIM(I142),".",""),"/",""),"-",""),"*","")," ","")))</f>
        <v/>
      </c>
      <c r="K142" s="31" t="str">
        <f aca="false">IF(OR(H142="",J142=""),"",IF(LEN(J142)&gt;=13,IF(LEN(J142)=13,"0"&amp;J142,J142),SUBSTITUTE(SUBSTITUTE(SUBSTITUTE(SUBSTITUTE(SUBSTITUTE(SUBSTITUTE(SUBSTITUTE(SUBSTITUTE(SUBSTITUTE(SUBSTITUTE(SUBSTITUTE(SUBSTITUTE(SUBSTITUTE(UPPER(TRIM(H142)),"Á","A"),"À","A"),"Â","A"),"Ã","A"),"É","E"),"Ê","E"),"Í","I"),"Ó","O"),"Ô","O"),"Õ","O"),"Ú","U"),"Ü","U"),"Ç","C")&amp;"|"&amp;IF(LEN(J142)=11,MID(J142,4,6),J142)))</f>
        <v/>
      </c>
      <c r="L142" s="25" t="str">
        <f aca="false">IF(K142="","",IF(E142="Doação recebida",TRIM(IF(COUNTIF(Socios!$H:$H,K142)&gt;0,"Doador é sócio de empresa da pauta. ","")&amp;IF(COUNTIF(Pessoas!$E:$E,K142)&gt;0,"Doador está em Pessoas.","")),IF(E142="Despesa com fornecedor",IF(COUNTIF(Contratos!$D:$D,K142)&gt;0,"Fornecedor também tem contrato público",""),"")))</f>
        <v/>
      </c>
      <c r="M142" s="24"/>
      <c r="N142" s="11"/>
    </row>
    <row r="143" customFormat="false" ht="15" hidden="false" customHeight="false" outlineLevel="0" collapsed="false">
      <c r="A143" s="23"/>
      <c r="B143" s="31" t="str">
        <f aca="false">IF(A143="","",SUBSTITUTE(SUBSTITUTE(SUBSTITUTE(SUBSTITUTE(SUBSTITUTE(SUBSTITUTE(SUBSTITUTE(SUBSTITUTE(SUBSTITUTE(SUBSTITUTE(SUBSTITUTE(SUBSTITUTE(SUBSTITUTE(UPPER(TRIM(A143)),"Á","A"),"À","A"),"Â","A"),"Ã","A"),"É","E"),"Ê","E"),"Í","I"),"Ó","O"),"Ô","O"),"Õ","O"),"Ú","U"),"Ü","U"),"Ç","C"))</f>
        <v/>
      </c>
      <c r="C143" s="43"/>
      <c r="D143" s="23"/>
      <c r="E143" s="23"/>
      <c r="F143" s="11"/>
      <c r="G143" s="35"/>
      <c r="H143" s="23"/>
      <c r="I143" s="24"/>
      <c r="J143" s="31" t="str">
        <f aca="false">IF(I143="","",UPPER(SUBSTITUTE(SUBSTITUTE(SUBSTITUTE(SUBSTITUTE(SUBSTITUTE(TRIM(I143),".",""),"/",""),"-",""),"*","")," ","")))</f>
        <v/>
      </c>
      <c r="K143" s="31" t="str">
        <f aca="false">IF(OR(H143="",J143=""),"",IF(LEN(J143)&gt;=13,IF(LEN(J143)=13,"0"&amp;J143,J143),SUBSTITUTE(SUBSTITUTE(SUBSTITUTE(SUBSTITUTE(SUBSTITUTE(SUBSTITUTE(SUBSTITUTE(SUBSTITUTE(SUBSTITUTE(SUBSTITUTE(SUBSTITUTE(SUBSTITUTE(SUBSTITUTE(UPPER(TRIM(H143)),"Á","A"),"À","A"),"Â","A"),"Ã","A"),"É","E"),"Ê","E"),"Í","I"),"Ó","O"),"Ô","O"),"Õ","O"),"Ú","U"),"Ü","U"),"Ç","C")&amp;"|"&amp;IF(LEN(J143)=11,MID(J143,4,6),J143)))</f>
        <v/>
      </c>
      <c r="L143" s="25" t="str">
        <f aca="false">IF(K143="","",IF(E143="Doação recebida",TRIM(IF(COUNTIF(Socios!$H:$H,K143)&gt;0,"Doador é sócio de empresa da pauta. ","")&amp;IF(COUNTIF(Pessoas!$E:$E,K143)&gt;0,"Doador está em Pessoas.","")),IF(E143="Despesa com fornecedor",IF(COUNTIF(Contratos!$D:$D,K143)&gt;0,"Fornecedor também tem contrato público",""),"")))</f>
        <v/>
      </c>
      <c r="M143" s="24"/>
      <c r="N143" s="11"/>
    </row>
    <row r="144" customFormat="false" ht="15" hidden="false" customHeight="false" outlineLevel="0" collapsed="false">
      <c r="A144" s="23"/>
      <c r="B144" s="31" t="str">
        <f aca="false">IF(A144="","",SUBSTITUTE(SUBSTITUTE(SUBSTITUTE(SUBSTITUTE(SUBSTITUTE(SUBSTITUTE(SUBSTITUTE(SUBSTITUTE(SUBSTITUTE(SUBSTITUTE(SUBSTITUTE(SUBSTITUTE(SUBSTITUTE(UPPER(TRIM(A144)),"Á","A"),"À","A"),"Â","A"),"Ã","A"),"É","E"),"Ê","E"),"Í","I"),"Ó","O"),"Ô","O"),"Õ","O"),"Ú","U"),"Ü","U"),"Ç","C"))</f>
        <v/>
      </c>
      <c r="C144" s="43"/>
      <c r="D144" s="23"/>
      <c r="E144" s="23"/>
      <c r="F144" s="11"/>
      <c r="G144" s="35"/>
      <c r="H144" s="23"/>
      <c r="I144" s="24"/>
      <c r="J144" s="31" t="str">
        <f aca="false">IF(I144="","",UPPER(SUBSTITUTE(SUBSTITUTE(SUBSTITUTE(SUBSTITUTE(SUBSTITUTE(TRIM(I144),".",""),"/",""),"-",""),"*","")," ","")))</f>
        <v/>
      </c>
      <c r="K144" s="31" t="str">
        <f aca="false">IF(OR(H144="",J144=""),"",IF(LEN(J144)&gt;=13,IF(LEN(J144)=13,"0"&amp;J144,J144),SUBSTITUTE(SUBSTITUTE(SUBSTITUTE(SUBSTITUTE(SUBSTITUTE(SUBSTITUTE(SUBSTITUTE(SUBSTITUTE(SUBSTITUTE(SUBSTITUTE(SUBSTITUTE(SUBSTITUTE(SUBSTITUTE(UPPER(TRIM(H144)),"Á","A"),"À","A"),"Â","A"),"Ã","A"),"É","E"),"Ê","E"),"Í","I"),"Ó","O"),"Ô","O"),"Õ","O"),"Ú","U"),"Ü","U"),"Ç","C")&amp;"|"&amp;IF(LEN(J144)=11,MID(J144,4,6),J144)))</f>
        <v/>
      </c>
      <c r="L144" s="25" t="str">
        <f aca="false">IF(K144="","",IF(E144="Doação recebida",TRIM(IF(COUNTIF(Socios!$H:$H,K144)&gt;0,"Doador é sócio de empresa da pauta. ","")&amp;IF(COUNTIF(Pessoas!$E:$E,K144)&gt;0,"Doador está em Pessoas.","")),IF(E144="Despesa com fornecedor",IF(COUNTIF(Contratos!$D:$D,K144)&gt;0,"Fornecedor também tem contrato público",""),"")))</f>
        <v/>
      </c>
      <c r="M144" s="24"/>
      <c r="N144" s="11"/>
    </row>
    <row r="145" customFormat="false" ht="15" hidden="false" customHeight="false" outlineLevel="0" collapsed="false">
      <c r="A145" s="23"/>
      <c r="B145" s="31" t="str">
        <f aca="false">IF(A145="","",SUBSTITUTE(SUBSTITUTE(SUBSTITUTE(SUBSTITUTE(SUBSTITUTE(SUBSTITUTE(SUBSTITUTE(SUBSTITUTE(SUBSTITUTE(SUBSTITUTE(SUBSTITUTE(SUBSTITUTE(SUBSTITUTE(UPPER(TRIM(A145)),"Á","A"),"À","A"),"Â","A"),"Ã","A"),"É","E"),"Ê","E"),"Í","I"),"Ó","O"),"Ô","O"),"Õ","O"),"Ú","U"),"Ü","U"),"Ç","C"))</f>
        <v/>
      </c>
      <c r="C145" s="43"/>
      <c r="D145" s="23"/>
      <c r="E145" s="23"/>
      <c r="F145" s="11"/>
      <c r="G145" s="35"/>
      <c r="H145" s="23"/>
      <c r="I145" s="24"/>
      <c r="J145" s="31" t="str">
        <f aca="false">IF(I145="","",UPPER(SUBSTITUTE(SUBSTITUTE(SUBSTITUTE(SUBSTITUTE(SUBSTITUTE(TRIM(I145),".",""),"/",""),"-",""),"*","")," ","")))</f>
        <v/>
      </c>
      <c r="K145" s="31" t="str">
        <f aca="false">IF(OR(H145="",J145=""),"",IF(LEN(J145)&gt;=13,IF(LEN(J145)=13,"0"&amp;J145,J145),SUBSTITUTE(SUBSTITUTE(SUBSTITUTE(SUBSTITUTE(SUBSTITUTE(SUBSTITUTE(SUBSTITUTE(SUBSTITUTE(SUBSTITUTE(SUBSTITUTE(SUBSTITUTE(SUBSTITUTE(SUBSTITUTE(UPPER(TRIM(H145)),"Á","A"),"À","A"),"Â","A"),"Ã","A"),"É","E"),"Ê","E"),"Í","I"),"Ó","O"),"Ô","O"),"Õ","O"),"Ú","U"),"Ü","U"),"Ç","C")&amp;"|"&amp;IF(LEN(J145)=11,MID(J145,4,6),J145)))</f>
        <v/>
      </c>
      <c r="L145" s="25" t="str">
        <f aca="false">IF(K145="","",IF(E145="Doação recebida",TRIM(IF(COUNTIF(Socios!$H:$H,K145)&gt;0,"Doador é sócio de empresa da pauta. ","")&amp;IF(COUNTIF(Pessoas!$E:$E,K145)&gt;0,"Doador está em Pessoas.","")),IF(E145="Despesa com fornecedor",IF(COUNTIF(Contratos!$D:$D,K145)&gt;0,"Fornecedor também tem contrato público",""),"")))</f>
        <v/>
      </c>
      <c r="M145" s="24"/>
      <c r="N145" s="11"/>
    </row>
    <row r="146" customFormat="false" ht="15" hidden="false" customHeight="false" outlineLevel="0" collapsed="false">
      <c r="A146" s="23"/>
      <c r="B146" s="31" t="str">
        <f aca="false">IF(A146="","",SUBSTITUTE(SUBSTITUTE(SUBSTITUTE(SUBSTITUTE(SUBSTITUTE(SUBSTITUTE(SUBSTITUTE(SUBSTITUTE(SUBSTITUTE(SUBSTITUTE(SUBSTITUTE(SUBSTITUTE(SUBSTITUTE(UPPER(TRIM(A146)),"Á","A"),"À","A"),"Â","A"),"Ã","A"),"É","E"),"Ê","E"),"Í","I"),"Ó","O"),"Ô","O"),"Õ","O"),"Ú","U"),"Ü","U"),"Ç","C"))</f>
        <v/>
      </c>
      <c r="C146" s="43"/>
      <c r="D146" s="23"/>
      <c r="E146" s="23"/>
      <c r="F146" s="11"/>
      <c r="G146" s="35"/>
      <c r="H146" s="23"/>
      <c r="I146" s="24"/>
      <c r="J146" s="31" t="str">
        <f aca="false">IF(I146="","",UPPER(SUBSTITUTE(SUBSTITUTE(SUBSTITUTE(SUBSTITUTE(SUBSTITUTE(TRIM(I146),".",""),"/",""),"-",""),"*","")," ","")))</f>
        <v/>
      </c>
      <c r="K146" s="31" t="str">
        <f aca="false">IF(OR(H146="",J146=""),"",IF(LEN(J146)&gt;=13,IF(LEN(J146)=13,"0"&amp;J146,J146),SUBSTITUTE(SUBSTITUTE(SUBSTITUTE(SUBSTITUTE(SUBSTITUTE(SUBSTITUTE(SUBSTITUTE(SUBSTITUTE(SUBSTITUTE(SUBSTITUTE(SUBSTITUTE(SUBSTITUTE(SUBSTITUTE(UPPER(TRIM(H146)),"Á","A"),"À","A"),"Â","A"),"Ã","A"),"É","E"),"Ê","E"),"Í","I"),"Ó","O"),"Ô","O"),"Õ","O"),"Ú","U"),"Ü","U"),"Ç","C")&amp;"|"&amp;IF(LEN(J146)=11,MID(J146,4,6),J146)))</f>
        <v/>
      </c>
      <c r="L146" s="25" t="str">
        <f aca="false">IF(K146="","",IF(E146="Doação recebida",TRIM(IF(COUNTIF(Socios!$H:$H,K146)&gt;0,"Doador é sócio de empresa da pauta. ","")&amp;IF(COUNTIF(Pessoas!$E:$E,K146)&gt;0,"Doador está em Pessoas.","")),IF(E146="Despesa com fornecedor",IF(COUNTIF(Contratos!$D:$D,K146)&gt;0,"Fornecedor também tem contrato público",""),"")))</f>
        <v/>
      </c>
      <c r="M146" s="24"/>
      <c r="N146" s="11"/>
    </row>
    <row r="147" customFormat="false" ht="15" hidden="false" customHeight="false" outlineLevel="0" collapsed="false">
      <c r="A147" s="23"/>
      <c r="B147" s="31" t="str">
        <f aca="false">IF(A147="","",SUBSTITUTE(SUBSTITUTE(SUBSTITUTE(SUBSTITUTE(SUBSTITUTE(SUBSTITUTE(SUBSTITUTE(SUBSTITUTE(SUBSTITUTE(SUBSTITUTE(SUBSTITUTE(SUBSTITUTE(SUBSTITUTE(UPPER(TRIM(A147)),"Á","A"),"À","A"),"Â","A"),"Ã","A"),"É","E"),"Ê","E"),"Í","I"),"Ó","O"),"Ô","O"),"Õ","O"),"Ú","U"),"Ü","U"),"Ç","C"))</f>
        <v/>
      </c>
      <c r="C147" s="43"/>
      <c r="D147" s="23"/>
      <c r="E147" s="23"/>
      <c r="F147" s="11"/>
      <c r="G147" s="35"/>
      <c r="H147" s="23"/>
      <c r="I147" s="24"/>
      <c r="J147" s="31" t="str">
        <f aca="false">IF(I147="","",UPPER(SUBSTITUTE(SUBSTITUTE(SUBSTITUTE(SUBSTITUTE(SUBSTITUTE(TRIM(I147),".",""),"/",""),"-",""),"*","")," ","")))</f>
        <v/>
      </c>
      <c r="K147" s="31" t="str">
        <f aca="false">IF(OR(H147="",J147=""),"",IF(LEN(J147)&gt;=13,IF(LEN(J147)=13,"0"&amp;J147,J147),SUBSTITUTE(SUBSTITUTE(SUBSTITUTE(SUBSTITUTE(SUBSTITUTE(SUBSTITUTE(SUBSTITUTE(SUBSTITUTE(SUBSTITUTE(SUBSTITUTE(SUBSTITUTE(SUBSTITUTE(SUBSTITUTE(UPPER(TRIM(H147)),"Á","A"),"À","A"),"Â","A"),"Ã","A"),"É","E"),"Ê","E"),"Í","I"),"Ó","O"),"Ô","O"),"Õ","O"),"Ú","U"),"Ü","U"),"Ç","C")&amp;"|"&amp;IF(LEN(J147)=11,MID(J147,4,6),J147)))</f>
        <v/>
      </c>
      <c r="L147" s="25" t="str">
        <f aca="false">IF(K147="","",IF(E147="Doação recebida",TRIM(IF(COUNTIF(Socios!$H:$H,K147)&gt;0,"Doador é sócio de empresa da pauta. ","")&amp;IF(COUNTIF(Pessoas!$E:$E,K147)&gt;0,"Doador está em Pessoas.","")),IF(E147="Despesa com fornecedor",IF(COUNTIF(Contratos!$D:$D,K147)&gt;0,"Fornecedor também tem contrato público",""),"")))</f>
        <v/>
      </c>
      <c r="M147" s="24"/>
      <c r="N147" s="11"/>
    </row>
    <row r="148" customFormat="false" ht="15" hidden="false" customHeight="false" outlineLevel="0" collapsed="false">
      <c r="A148" s="23"/>
      <c r="B148" s="31" t="str">
        <f aca="false">IF(A148="","",SUBSTITUTE(SUBSTITUTE(SUBSTITUTE(SUBSTITUTE(SUBSTITUTE(SUBSTITUTE(SUBSTITUTE(SUBSTITUTE(SUBSTITUTE(SUBSTITUTE(SUBSTITUTE(SUBSTITUTE(SUBSTITUTE(UPPER(TRIM(A148)),"Á","A"),"À","A"),"Â","A"),"Ã","A"),"É","E"),"Ê","E"),"Í","I"),"Ó","O"),"Ô","O"),"Õ","O"),"Ú","U"),"Ü","U"),"Ç","C"))</f>
        <v/>
      </c>
      <c r="C148" s="43"/>
      <c r="D148" s="23"/>
      <c r="E148" s="23"/>
      <c r="F148" s="11"/>
      <c r="G148" s="35"/>
      <c r="H148" s="23"/>
      <c r="I148" s="24"/>
      <c r="J148" s="31" t="str">
        <f aca="false">IF(I148="","",UPPER(SUBSTITUTE(SUBSTITUTE(SUBSTITUTE(SUBSTITUTE(SUBSTITUTE(TRIM(I148),".",""),"/",""),"-",""),"*","")," ","")))</f>
        <v/>
      </c>
      <c r="K148" s="31" t="str">
        <f aca="false">IF(OR(H148="",J148=""),"",IF(LEN(J148)&gt;=13,IF(LEN(J148)=13,"0"&amp;J148,J148),SUBSTITUTE(SUBSTITUTE(SUBSTITUTE(SUBSTITUTE(SUBSTITUTE(SUBSTITUTE(SUBSTITUTE(SUBSTITUTE(SUBSTITUTE(SUBSTITUTE(SUBSTITUTE(SUBSTITUTE(SUBSTITUTE(UPPER(TRIM(H148)),"Á","A"),"À","A"),"Â","A"),"Ã","A"),"É","E"),"Ê","E"),"Í","I"),"Ó","O"),"Ô","O"),"Õ","O"),"Ú","U"),"Ü","U"),"Ç","C")&amp;"|"&amp;IF(LEN(J148)=11,MID(J148,4,6),J148)))</f>
        <v/>
      </c>
      <c r="L148" s="25" t="str">
        <f aca="false">IF(K148="","",IF(E148="Doação recebida",TRIM(IF(COUNTIF(Socios!$H:$H,K148)&gt;0,"Doador é sócio de empresa da pauta. ","")&amp;IF(COUNTIF(Pessoas!$E:$E,K148)&gt;0,"Doador está em Pessoas.","")),IF(E148="Despesa com fornecedor",IF(COUNTIF(Contratos!$D:$D,K148)&gt;0,"Fornecedor também tem contrato público",""),"")))</f>
        <v/>
      </c>
      <c r="M148" s="24"/>
      <c r="N148" s="11"/>
    </row>
    <row r="149" customFormat="false" ht="15" hidden="false" customHeight="false" outlineLevel="0" collapsed="false">
      <c r="A149" s="23"/>
      <c r="B149" s="31" t="str">
        <f aca="false">IF(A149="","",SUBSTITUTE(SUBSTITUTE(SUBSTITUTE(SUBSTITUTE(SUBSTITUTE(SUBSTITUTE(SUBSTITUTE(SUBSTITUTE(SUBSTITUTE(SUBSTITUTE(SUBSTITUTE(SUBSTITUTE(SUBSTITUTE(UPPER(TRIM(A149)),"Á","A"),"À","A"),"Â","A"),"Ã","A"),"É","E"),"Ê","E"),"Í","I"),"Ó","O"),"Ô","O"),"Õ","O"),"Ú","U"),"Ü","U"),"Ç","C"))</f>
        <v/>
      </c>
      <c r="C149" s="43"/>
      <c r="D149" s="23"/>
      <c r="E149" s="23"/>
      <c r="F149" s="11"/>
      <c r="G149" s="35"/>
      <c r="H149" s="23"/>
      <c r="I149" s="24"/>
      <c r="J149" s="31" t="str">
        <f aca="false">IF(I149="","",UPPER(SUBSTITUTE(SUBSTITUTE(SUBSTITUTE(SUBSTITUTE(SUBSTITUTE(TRIM(I149),".",""),"/",""),"-",""),"*","")," ","")))</f>
        <v/>
      </c>
      <c r="K149" s="31" t="str">
        <f aca="false">IF(OR(H149="",J149=""),"",IF(LEN(J149)&gt;=13,IF(LEN(J149)=13,"0"&amp;J149,J149),SUBSTITUTE(SUBSTITUTE(SUBSTITUTE(SUBSTITUTE(SUBSTITUTE(SUBSTITUTE(SUBSTITUTE(SUBSTITUTE(SUBSTITUTE(SUBSTITUTE(SUBSTITUTE(SUBSTITUTE(SUBSTITUTE(UPPER(TRIM(H149)),"Á","A"),"À","A"),"Â","A"),"Ã","A"),"É","E"),"Ê","E"),"Í","I"),"Ó","O"),"Ô","O"),"Õ","O"),"Ú","U"),"Ü","U"),"Ç","C")&amp;"|"&amp;IF(LEN(J149)=11,MID(J149,4,6),J149)))</f>
        <v/>
      </c>
      <c r="L149" s="25" t="str">
        <f aca="false">IF(K149="","",IF(E149="Doação recebida",TRIM(IF(COUNTIF(Socios!$H:$H,K149)&gt;0,"Doador é sócio de empresa da pauta. ","")&amp;IF(COUNTIF(Pessoas!$E:$E,K149)&gt;0,"Doador está em Pessoas.","")),IF(E149="Despesa com fornecedor",IF(COUNTIF(Contratos!$D:$D,K149)&gt;0,"Fornecedor também tem contrato público",""),"")))</f>
        <v/>
      </c>
      <c r="M149" s="24"/>
      <c r="N149" s="11"/>
    </row>
    <row r="150" customFormat="false" ht="15" hidden="false" customHeight="false" outlineLevel="0" collapsed="false">
      <c r="A150" s="23"/>
      <c r="B150" s="31" t="str">
        <f aca="false">IF(A150="","",SUBSTITUTE(SUBSTITUTE(SUBSTITUTE(SUBSTITUTE(SUBSTITUTE(SUBSTITUTE(SUBSTITUTE(SUBSTITUTE(SUBSTITUTE(SUBSTITUTE(SUBSTITUTE(SUBSTITUTE(SUBSTITUTE(UPPER(TRIM(A150)),"Á","A"),"À","A"),"Â","A"),"Ã","A"),"É","E"),"Ê","E"),"Í","I"),"Ó","O"),"Ô","O"),"Õ","O"),"Ú","U"),"Ü","U"),"Ç","C"))</f>
        <v/>
      </c>
      <c r="C150" s="43"/>
      <c r="D150" s="23"/>
      <c r="E150" s="23"/>
      <c r="F150" s="11"/>
      <c r="G150" s="35"/>
      <c r="H150" s="23"/>
      <c r="I150" s="24"/>
      <c r="J150" s="31" t="str">
        <f aca="false">IF(I150="","",UPPER(SUBSTITUTE(SUBSTITUTE(SUBSTITUTE(SUBSTITUTE(SUBSTITUTE(TRIM(I150),".",""),"/",""),"-",""),"*","")," ","")))</f>
        <v/>
      </c>
      <c r="K150" s="31" t="str">
        <f aca="false">IF(OR(H150="",J150=""),"",IF(LEN(J150)&gt;=13,IF(LEN(J150)=13,"0"&amp;J150,J150),SUBSTITUTE(SUBSTITUTE(SUBSTITUTE(SUBSTITUTE(SUBSTITUTE(SUBSTITUTE(SUBSTITUTE(SUBSTITUTE(SUBSTITUTE(SUBSTITUTE(SUBSTITUTE(SUBSTITUTE(SUBSTITUTE(UPPER(TRIM(H150)),"Á","A"),"À","A"),"Â","A"),"Ã","A"),"É","E"),"Ê","E"),"Í","I"),"Ó","O"),"Ô","O"),"Õ","O"),"Ú","U"),"Ü","U"),"Ç","C")&amp;"|"&amp;IF(LEN(J150)=11,MID(J150,4,6),J150)))</f>
        <v/>
      </c>
      <c r="L150" s="25" t="str">
        <f aca="false">IF(K150="","",IF(E150="Doação recebida",TRIM(IF(COUNTIF(Socios!$H:$H,K150)&gt;0,"Doador é sócio de empresa da pauta. ","")&amp;IF(COUNTIF(Pessoas!$E:$E,K150)&gt;0,"Doador está em Pessoas.","")),IF(E150="Despesa com fornecedor",IF(COUNTIF(Contratos!$D:$D,K150)&gt;0,"Fornecedor também tem contrato público",""),"")))</f>
        <v/>
      </c>
      <c r="M150" s="24"/>
      <c r="N150" s="11"/>
    </row>
    <row r="151" customFormat="false" ht="15" hidden="false" customHeight="false" outlineLevel="0" collapsed="false">
      <c r="A151" s="23"/>
      <c r="B151" s="31" t="str">
        <f aca="false">IF(A151="","",SUBSTITUTE(SUBSTITUTE(SUBSTITUTE(SUBSTITUTE(SUBSTITUTE(SUBSTITUTE(SUBSTITUTE(SUBSTITUTE(SUBSTITUTE(SUBSTITUTE(SUBSTITUTE(SUBSTITUTE(SUBSTITUTE(UPPER(TRIM(A151)),"Á","A"),"À","A"),"Â","A"),"Ã","A"),"É","E"),"Ê","E"),"Í","I"),"Ó","O"),"Ô","O"),"Õ","O"),"Ú","U"),"Ü","U"),"Ç","C"))</f>
        <v/>
      </c>
      <c r="C151" s="43"/>
      <c r="D151" s="23"/>
      <c r="E151" s="23"/>
      <c r="F151" s="11"/>
      <c r="G151" s="35"/>
      <c r="H151" s="23"/>
      <c r="I151" s="24"/>
      <c r="J151" s="31" t="str">
        <f aca="false">IF(I151="","",UPPER(SUBSTITUTE(SUBSTITUTE(SUBSTITUTE(SUBSTITUTE(SUBSTITUTE(TRIM(I151),".",""),"/",""),"-",""),"*","")," ","")))</f>
        <v/>
      </c>
      <c r="K151" s="31" t="str">
        <f aca="false">IF(OR(H151="",J151=""),"",IF(LEN(J151)&gt;=13,IF(LEN(J151)=13,"0"&amp;J151,J151),SUBSTITUTE(SUBSTITUTE(SUBSTITUTE(SUBSTITUTE(SUBSTITUTE(SUBSTITUTE(SUBSTITUTE(SUBSTITUTE(SUBSTITUTE(SUBSTITUTE(SUBSTITUTE(SUBSTITUTE(SUBSTITUTE(UPPER(TRIM(H151)),"Á","A"),"À","A"),"Â","A"),"Ã","A"),"É","E"),"Ê","E"),"Í","I"),"Ó","O"),"Ô","O"),"Õ","O"),"Ú","U"),"Ü","U"),"Ç","C")&amp;"|"&amp;IF(LEN(J151)=11,MID(J151,4,6),J151)))</f>
        <v/>
      </c>
      <c r="L151" s="25" t="str">
        <f aca="false">IF(K151="","",IF(E151="Doação recebida",TRIM(IF(COUNTIF(Socios!$H:$H,K151)&gt;0,"Doador é sócio de empresa da pauta. ","")&amp;IF(COUNTIF(Pessoas!$E:$E,K151)&gt;0,"Doador está em Pessoas.","")),IF(E151="Despesa com fornecedor",IF(COUNTIF(Contratos!$D:$D,K151)&gt;0,"Fornecedor também tem contrato público",""),"")))</f>
        <v/>
      </c>
      <c r="M151" s="24"/>
      <c r="N151" s="11"/>
    </row>
    <row r="152" customFormat="false" ht="15" hidden="false" customHeight="false" outlineLevel="0" collapsed="false">
      <c r="A152" s="23"/>
      <c r="B152" s="31" t="str">
        <f aca="false">IF(A152="","",SUBSTITUTE(SUBSTITUTE(SUBSTITUTE(SUBSTITUTE(SUBSTITUTE(SUBSTITUTE(SUBSTITUTE(SUBSTITUTE(SUBSTITUTE(SUBSTITUTE(SUBSTITUTE(SUBSTITUTE(SUBSTITUTE(UPPER(TRIM(A152)),"Á","A"),"À","A"),"Â","A"),"Ã","A"),"É","E"),"Ê","E"),"Í","I"),"Ó","O"),"Ô","O"),"Õ","O"),"Ú","U"),"Ü","U"),"Ç","C"))</f>
        <v/>
      </c>
      <c r="C152" s="43"/>
      <c r="D152" s="23"/>
      <c r="E152" s="23"/>
      <c r="F152" s="11"/>
      <c r="G152" s="35"/>
      <c r="H152" s="23"/>
      <c r="I152" s="24"/>
      <c r="J152" s="31" t="str">
        <f aca="false">IF(I152="","",UPPER(SUBSTITUTE(SUBSTITUTE(SUBSTITUTE(SUBSTITUTE(SUBSTITUTE(TRIM(I152),".",""),"/",""),"-",""),"*","")," ","")))</f>
        <v/>
      </c>
      <c r="K152" s="31" t="str">
        <f aca="false">IF(OR(H152="",J152=""),"",IF(LEN(J152)&gt;=13,IF(LEN(J152)=13,"0"&amp;J152,J152),SUBSTITUTE(SUBSTITUTE(SUBSTITUTE(SUBSTITUTE(SUBSTITUTE(SUBSTITUTE(SUBSTITUTE(SUBSTITUTE(SUBSTITUTE(SUBSTITUTE(SUBSTITUTE(SUBSTITUTE(SUBSTITUTE(UPPER(TRIM(H152)),"Á","A"),"À","A"),"Â","A"),"Ã","A"),"É","E"),"Ê","E"),"Í","I"),"Ó","O"),"Ô","O"),"Õ","O"),"Ú","U"),"Ü","U"),"Ç","C")&amp;"|"&amp;IF(LEN(J152)=11,MID(J152,4,6),J152)))</f>
        <v/>
      </c>
      <c r="L152" s="25" t="str">
        <f aca="false">IF(K152="","",IF(E152="Doação recebida",TRIM(IF(COUNTIF(Socios!$H:$H,K152)&gt;0,"Doador é sócio de empresa da pauta. ","")&amp;IF(COUNTIF(Pessoas!$E:$E,K152)&gt;0,"Doador está em Pessoas.","")),IF(E152="Despesa com fornecedor",IF(COUNTIF(Contratos!$D:$D,K152)&gt;0,"Fornecedor também tem contrato público",""),"")))</f>
        <v/>
      </c>
      <c r="M152" s="24"/>
      <c r="N152" s="11"/>
    </row>
    <row r="153" customFormat="false" ht="15" hidden="false" customHeight="false" outlineLevel="0" collapsed="false">
      <c r="A153" s="23"/>
      <c r="B153" s="31" t="str">
        <f aca="false">IF(A153="","",SUBSTITUTE(SUBSTITUTE(SUBSTITUTE(SUBSTITUTE(SUBSTITUTE(SUBSTITUTE(SUBSTITUTE(SUBSTITUTE(SUBSTITUTE(SUBSTITUTE(SUBSTITUTE(SUBSTITUTE(SUBSTITUTE(UPPER(TRIM(A153)),"Á","A"),"À","A"),"Â","A"),"Ã","A"),"É","E"),"Ê","E"),"Í","I"),"Ó","O"),"Ô","O"),"Õ","O"),"Ú","U"),"Ü","U"),"Ç","C"))</f>
        <v/>
      </c>
      <c r="C153" s="43"/>
      <c r="D153" s="23"/>
      <c r="E153" s="23"/>
      <c r="F153" s="11"/>
      <c r="G153" s="35"/>
      <c r="H153" s="23"/>
      <c r="I153" s="24"/>
      <c r="J153" s="31" t="str">
        <f aca="false">IF(I153="","",UPPER(SUBSTITUTE(SUBSTITUTE(SUBSTITUTE(SUBSTITUTE(SUBSTITUTE(TRIM(I153),".",""),"/",""),"-",""),"*","")," ","")))</f>
        <v/>
      </c>
      <c r="K153" s="31" t="str">
        <f aca="false">IF(OR(H153="",J153=""),"",IF(LEN(J153)&gt;=13,IF(LEN(J153)=13,"0"&amp;J153,J153),SUBSTITUTE(SUBSTITUTE(SUBSTITUTE(SUBSTITUTE(SUBSTITUTE(SUBSTITUTE(SUBSTITUTE(SUBSTITUTE(SUBSTITUTE(SUBSTITUTE(SUBSTITUTE(SUBSTITUTE(SUBSTITUTE(UPPER(TRIM(H153)),"Á","A"),"À","A"),"Â","A"),"Ã","A"),"É","E"),"Ê","E"),"Í","I"),"Ó","O"),"Ô","O"),"Õ","O"),"Ú","U"),"Ü","U"),"Ç","C")&amp;"|"&amp;IF(LEN(J153)=11,MID(J153,4,6),J153)))</f>
        <v/>
      </c>
      <c r="L153" s="25" t="str">
        <f aca="false">IF(K153="","",IF(E153="Doação recebida",TRIM(IF(COUNTIF(Socios!$H:$H,K153)&gt;0,"Doador é sócio de empresa da pauta. ","")&amp;IF(COUNTIF(Pessoas!$E:$E,K153)&gt;0,"Doador está em Pessoas.","")),IF(E153="Despesa com fornecedor",IF(COUNTIF(Contratos!$D:$D,K153)&gt;0,"Fornecedor também tem contrato público",""),"")))</f>
        <v/>
      </c>
      <c r="M153" s="24"/>
      <c r="N153" s="11"/>
    </row>
    <row r="154" customFormat="false" ht="15" hidden="false" customHeight="false" outlineLevel="0" collapsed="false">
      <c r="A154" s="23"/>
      <c r="B154" s="31" t="str">
        <f aca="false">IF(A154="","",SUBSTITUTE(SUBSTITUTE(SUBSTITUTE(SUBSTITUTE(SUBSTITUTE(SUBSTITUTE(SUBSTITUTE(SUBSTITUTE(SUBSTITUTE(SUBSTITUTE(SUBSTITUTE(SUBSTITUTE(SUBSTITUTE(UPPER(TRIM(A154)),"Á","A"),"À","A"),"Â","A"),"Ã","A"),"É","E"),"Ê","E"),"Í","I"),"Ó","O"),"Ô","O"),"Õ","O"),"Ú","U"),"Ü","U"),"Ç","C"))</f>
        <v/>
      </c>
      <c r="C154" s="43"/>
      <c r="D154" s="23"/>
      <c r="E154" s="23"/>
      <c r="F154" s="11"/>
      <c r="G154" s="35"/>
      <c r="H154" s="23"/>
      <c r="I154" s="24"/>
      <c r="J154" s="31" t="str">
        <f aca="false">IF(I154="","",UPPER(SUBSTITUTE(SUBSTITUTE(SUBSTITUTE(SUBSTITUTE(SUBSTITUTE(TRIM(I154),".",""),"/",""),"-",""),"*","")," ","")))</f>
        <v/>
      </c>
      <c r="K154" s="31" t="str">
        <f aca="false">IF(OR(H154="",J154=""),"",IF(LEN(J154)&gt;=13,IF(LEN(J154)=13,"0"&amp;J154,J154),SUBSTITUTE(SUBSTITUTE(SUBSTITUTE(SUBSTITUTE(SUBSTITUTE(SUBSTITUTE(SUBSTITUTE(SUBSTITUTE(SUBSTITUTE(SUBSTITUTE(SUBSTITUTE(SUBSTITUTE(SUBSTITUTE(UPPER(TRIM(H154)),"Á","A"),"À","A"),"Â","A"),"Ã","A"),"É","E"),"Ê","E"),"Í","I"),"Ó","O"),"Ô","O"),"Õ","O"),"Ú","U"),"Ü","U"),"Ç","C")&amp;"|"&amp;IF(LEN(J154)=11,MID(J154,4,6),J154)))</f>
        <v/>
      </c>
      <c r="L154" s="25" t="str">
        <f aca="false">IF(K154="","",IF(E154="Doação recebida",TRIM(IF(COUNTIF(Socios!$H:$H,K154)&gt;0,"Doador é sócio de empresa da pauta. ","")&amp;IF(COUNTIF(Pessoas!$E:$E,K154)&gt;0,"Doador está em Pessoas.","")),IF(E154="Despesa com fornecedor",IF(COUNTIF(Contratos!$D:$D,K154)&gt;0,"Fornecedor também tem contrato público",""),"")))</f>
        <v/>
      </c>
      <c r="M154" s="24"/>
      <c r="N154" s="11"/>
    </row>
    <row r="155" customFormat="false" ht="15" hidden="false" customHeight="false" outlineLevel="0" collapsed="false">
      <c r="A155" s="23"/>
      <c r="B155" s="31" t="str">
        <f aca="false">IF(A155="","",SUBSTITUTE(SUBSTITUTE(SUBSTITUTE(SUBSTITUTE(SUBSTITUTE(SUBSTITUTE(SUBSTITUTE(SUBSTITUTE(SUBSTITUTE(SUBSTITUTE(SUBSTITUTE(SUBSTITUTE(SUBSTITUTE(UPPER(TRIM(A155)),"Á","A"),"À","A"),"Â","A"),"Ã","A"),"É","E"),"Ê","E"),"Í","I"),"Ó","O"),"Ô","O"),"Õ","O"),"Ú","U"),"Ü","U"),"Ç","C"))</f>
        <v/>
      </c>
      <c r="C155" s="43"/>
      <c r="D155" s="23"/>
      <c r="E155" s="23"/>
      <c r="F155" s="11"/>
      <c r="G155" s="35"/>
      <c r="H155" s="23"/>
      <c r="I155" s="24"/>
      <c r="J155" s="31" t="str">
        <f aca="false">IF(I155="","",UPPER(SUBSTITUTE(SUBSTITUTE(SUBSTITUTE(SUBSTITUTE(SUBSTITUTE(TRIM(I155),".",""),"/",""),"-",""),"*","")," ","")))</f>
        <v/>
      </c>
      <c r="K155" s="31" t="str">
        <f aca="false">IF(OR(H155="",J155=""),"",IF(LEN(J155)&gt;=13,IF(LEN(J155)=13,"0"&amp;J155,J155),SUBSTITUTE(SUBSTITUTE(SUBSTITUTE(SUBSTITUTE(SUBSTITUTE(SUBSTITUTE(SUBSTITUTE(SUBSTITUTE(SUBSTITUTE(SUBSTITUTE(SUBSTITUTE(SUBSTITUTE(SUBSTITUTE(UPPER(TRIM(H155)),"Á","A"),"À","A"),"Â","A"),"Ã","A"),"É","E"),"Ê","E"),"Í","I"),"Ó","O"),"Ô","O"),"Õ","O"),"Ú","U"),"Ü","U"),"Ç","C")&amp;"|"&amp;IF(LEN(J155)=11,MID(J155,4,6),J155)))</f>
        <v/>
      </c>
      <c r="L155" s="25" t="str">
        <f aca="false">IF(K155="","",IF(E155="Doação recebida",TRIM(IF(COUNTIF(Socios!$H:$H,K155)&gt;0,"Doador é sócio de empresa da pauta. ","")&amp;IF(COUNTIF(Pessoas!$E:$E,K155)&gt;0,"Doador está em Pessoas.","")),IF(E155="Despesa com fornecedor",IF(COUNTIF(Contratos!$D:$D,K155)&gt;0,"Fornecedor também tem contrato público",""),"")))</f>
        <v/>
      </c>
      <c r="M155" s="24"/>
      <c r="N155" s="11"/>
    </row>
    <row r="156" customFormat="false" ht="15" hidden="false" customHeight="false" outlineLevel="0" collapsed="false">
      <c r="A156" s="23"/>
      <c r="B156" s="31" t="str">
        <f aca="false">IF(A156="","",SUBSTITUTE(SUBSTITUTE(SUBSTITUTE(SUBSTITUTE(SUBSTITUTE(SUBSTITUTE(SUBSTITUTE(SUBSTITUTE(SUBSTITUTE(SUBSTITUTE(SUBSTITUTE(SUBSTITUTE(SUBSTITUTE(UPPER(TRIM(A156)),"Á","A"),"À","A"),"Â","A"),"Ã","A"),"É","E"),"Ê","E"),"Í","I"),"Ó","O"),"Ô","O"),"Õ","O"),"Ú","U"),"Ü","U"),"Ç","C"))</f>
        <v/>
      </c>
      <c r="C156" s="43"/>
      <c r="D156" s="23"/>
      <c r="E156" s="23"/>
      <c r="F156" s="11"/>
      <c r="G156" s="35"/>
      <c r="H156" s="23"/>
      <c r="I156" s="24"/>
      <c r="J156" s="31" t="str">
        <f aca="false">IF(I156="","",UPPER(SUBSTITUTE(SUBSTITUTE(SUBSTITUTE(SUBSTITUTE(SUBSTITUTE(TRIM(I156),".",""),"/",""),"-",""),"*","")," ","")))</f>
        <v/>
      </c>
      <c r="K156" s="31" t="str">
        <f aca="false">IF(OR(H156="",J156=""),"",IF(LEN(J156)&gt;=13,IF(LEN(J156)=13,"0"&amp;J156,J156),SUBSTITUTE(SUBSTITUTE(SUBSTITUTE(SUBSTITUTE(SUBSTITUTE(SUBSTITUTE(SUBSTITUTE(SUBSTITUTE(SUBSTITUTE(SUBSTITUTE(SUBSTITUTE(SUBSTITUTE(SUBSTITUTE(UPPER(TRIM(H156)),"Á","A"),"À","A"),"Â","A"),"Ã","A"),"É","E"),"Ê","E"),"Í","I"),"Ó","O"),"Ô","O"),"Õ","O"),"Ú","U"),"Ü","U"),"Ç","C")&amp;"|"&amp;IF(LEN(J156)=11,MID(J156,4,6),J156)))</f>
        <v/>
      </c>
      <c r="L156" s="25" t="str">
        <f aca="false">IF(K156="","",IF(E156="Doação recebida",TRIM(IF(COUNTIF(Socios!$H:$H,K156)&gt;0,"Doador é sócio de empresa da pauta. ","")&amp;IF(COUNTIF(Pessoas!$E:$E,K156)&gt;0,"Doador está em Pessoas.","")),IF(E156="Despesa com fornecedor",IF(COUNTIF(Contratos!$D:$D,K156)&gt;0,"Fornecedor também tem contrato público",""),"")))</f>
        <v/>
      </c>
      <c r="M156" s="24"/>
      <c r="N156" s="11"/>
    </row>
    <row r="157" customFormat="false" ht="15" hidden="false" customHeight="false" outlineLevel="0" collapsed="false">
      <c r="A157" s="23"/>
      <c r="B157" s="31" t="str">
        <f aca="false">IF(A157="","",SUBSTITUTE(SUBSTITUTE(SUBSTITUTE(SUBSTITUTE(SUBSTITUTE(SUBSTITUTE(SUBSTITUTE(SUBSTITUTE(SUBSTITUTE(SUBSTITUTE(SUBSTITUTE(SUBSTITUTE(SUBSTITUTE(UPPER(TRIM(A157)),"Á","A"),"À","A"),"Â","A"),"Ã","A"),"É","E"),"Ê","E"),"Í","I"),"Ó","O"),"Ô","O"),"Õ","O"),"Ú","U"),"Ü","U"),"Ç","C"))</f>
        <v/>
      </c>
      <c r="C157" s="43"/>
      <c r="D157" s="23"/>
      <c r="E157" s="23"/>
      <c r="F157" s="11"/>
      <c r="G157" s="35"/>
      <c r="H157" s="23"/>
      <c r="I157" s="24"/>
      <c r="J157" s="31" t="str">
        <f aca="false">IF(I157="","",UPPER(SUBSTITUTE(SUBSTITUTE(SUBSTITUTE(SUBSTITUTE(SUBSTITUTE(TRIM(I157),".",""),"/",""),"-",""),"*","")," ","")))</f>
        <v/>
      </c>
      <c r="K157" s="31" t="str">
        <f aca="false">IF(OR(H157="",J157=""),"",IF(LEN(J157)&gt;=13,IF(LEN(J157)=13,"0"&amp;J157,J157),SUBSTITUTE(SUBSTITUTE(SUBSTITUTE(SUBSTITUTE(SUBSTITUTE(SUBSTITUTE(SUBSTITUTE(SUBSTITUTE(SUBSTITUTE(SUBSTITUTE(SUBSTITUTE(SUBSTITUTE(SUBSTITUTE(UPPER(TRIM(H157)),"Á","A"),"À","A"),"Â","A"),"Ã","A"),"É","E"),"Ê","E"),"Í","I"),"Ó","O"),"Ô","O"),"Õ","O"),"Ú","U"),"Ü","U"),"Ç","C")&amp;"|"&amp;IF(LEN(J157)=11,MID(J157,4,6),J157)))</f>
        <v/>
      </c>
      <c r="L157" s="25" t="str">
        <f aca="false">IF(K157="","",IF(E157="Doação recebida",TRIM(IF(COUNTIF(Socios!$H:$H,K157)&gt;0,"Doador é sócio de empresa da pauta. ","")&amp;IF(COUNTIF(Pessoas!$E:$E,K157)&gt;0,"Doador está em Pessoas.","")),IF(E157="Despesa com fornecedor",IF(COUNTIF(Contratos!$D:$D,K157)&gt;0,"Fornecedor também tem contrato público",""),"")))</f>
        <v/>
      </c>
      <c r="M157" s="24"/>
      <c r="N157" s="11"/>
    </row>
    <row r="158" customFormat="false" ht="15" hidden="false" customHeight="false" outlineLevel="0" collapsed="false">
      <c r="A158" s="23"/>
      <c r="B158" s="31" t="str">
        <f aca="false">IF(A158="","",SUBSTITUTE(SUBSTITUTE(SUBSTITUTE(SUBSTITUTE(SUBSTITUTE(SUBSTITUTE(SUBSTITUTE(SUBSTITUTE(SUBSTITUTE(SUBSTITUTE(SUBSTITUTE(SUBSTITUTE(SUBSTITUTE(UPPER(TRIM(A158)),"Á","A"),"À","A"),"Â","A"),"Ã","A"),"É","E"),"Ê","E"),"Í","I"),"Ó","O"),"Ô","O"),"Õ","O"),"Ú","U"),"Ü","U"),"Ç","C"))</f>
        <v/>
      </c>
      <c r="C158" s="43"/>
      <c r="D158" s="23"/>
      <c r="E158" s="23"/>
      <c r="F158" s="11"/>
      <c r="G158" s="35"/>
      <c r="H158" s="23"/>
      <c r="I158" s="24"/>
      <c r="J158" s="31" t="str">
        <f aca="false">IF(I158="","",UPPER(SUBSTITUTE(SUBSTITUTE(SUBSTITUTE(SUBSTITUTE(SUBSTITUTE(TRIM(I158),".",""),"/",""),"-",""),"*","")," ","")))</f>
        <v/>
      </c>
      <c r="K158" s="31" t="str">
        <f aca="false">IF(OR(H158="",J158=""),"",IF(LEN(J158)&gt;=13,IF(LEN(J158)=13,"0"&amp;J158,J158),SUBSTITUTE(SUBSTITUTE(SUBSTITUTE(SUBSTITUTE(SUBSTITUTE(SUBSTITUTE(SUBSTITUTE(SUBSTITUTE(SUBSTITUTE(SUBSTITUTE(SUBSTITUTE(SUBSTITUTE(SUBSTITUTE(UPPER(TRIM(H158)),"Á","A"),"À","A"),"Â","A"),"Ã","A"),"É","E"),"Ê","E"),"Í","I"),"Ó","O"),"Ô","O"),"Õ","O"),"Ú","U"),"Ü","U"),"Ç","C")&amp;"|"&amp;IF(LEN(J158)=11,MID(J158,4,6),J158)))</f>
        <v/>
      </c>
      <c r="L158" s="25" t="str">
        <f aca="false">IF(K158="","",IF(E158="Doação recebida",TRIM(IF(COUNTIF(Socios!$H:$H,K158)&gt;0,"Doador é sócio de empresa da pauta. ","")&amp;IF(COUNTIF(Pessoas!$E:$E,K158)&gt;0,"Doador está em Pessoas.","")),IF(E158="Despesa com fornecedor",IF(COUNTIF(Contratos!$D:$D,K158)&gt;0,"Fornecedor também tem contrato público",""),"")))</f>
        <v/>
      </c>
      <c r="M158" s="24"/>
      <c r="N158" s="11"/>
    </row>
    <row r="159" customFormat="false" ht="15" hidden="false" customHeight="false" outlineLevel="0" collapsed="false">
      <c r="A159" s="23"/>
      <c r="B159" s="31" t="str">
        <f aca="false">IF(A159="","",SUBSTITUTE(SUBSTITUTE(SUBSTITUTE(SUBSTITUTE(SUBSTITUTE(SUBSTITUTE(SUBSTITUTE(SUBSTITUTE(SUBSTITUTE(SUBSTITUTE(SUBSTITUTE(SUBSTITUTE(SUBSTITUTE(UPPER(TRIM(A159)),"Á","A"),"À","A"),"Â","A"),"Ã","A"),"É","E"),"Ê","E"),"Í","I"),"Ó","O"),"Ô","O"),"Õ","O"),"Ú","U"),"Ü","U"),"Ç","C"))</f>
        <v/>
      </c>
      <c r="C159" s="43"/>
      <c r="D159" s="23"/>
      <c r="E159" s="23"/>
      <c r="F159" s="11"/>
      <c r="G159" s="35"/>
      <c r="H159" s="23"/>
      <c r="I159" s="24"/>
      <c r="J159" s="31" t="str">
        <f aca="false">IF(I159="","",UPPER(SUBSTITUTE(SUBSTITUTE(SUBSTITUTE(SUBSTITUTE(SUBSTITUTE(TRIM(I159),".",""),"/",""),"-",""),"*","")," ","")))</f>
        <v/>
      </c>
      <c r="K159" s="31" t="str">
        <f aca="false">IF(OR(H159="",J159=""),"",IF(LEN(J159)&gt;=13,IF(LEN(J159)=13,"0"&amp;J159,J159),SUBSTITUTE(SUBSTITUTE(SUBSTITUTE(SUBSTITUTE(SUBSTITUTE(SUBSTITUTE(SUBSTITUTE(SUBSTITUTE(SUBSTITUTE(SUBSTITUTE(SUBSTITUTE(SUBSTITUTE(SUBSTITUTE(UPPER(TRIM(H159)),"Á","A"),"À","A"),"Â","A"),"Ã","A"),"É","E"),"Ê","E"),"Í","I"),"Ó","O"),"Ô","O"),"Õ","O"),"Ú","U"),"Ü","U"),"Ç","C")&amp;"|"&amp;IF(LEN(J159)=11,MID(J159,4,6),J159)))</f>
        <v/>
      </c>
      <c r="L159" s="25" t="str">
        <f aca="false">IF(K159="","",IF(E159="Doação recebida",TRIM(IF(COUNTIF(Socios!$H:$H,K159)&gt;0,"Doador é sócio de empresa da pauta. ","")&amp;IF(COUNTIF(Pessoas!$E:$E,K159)&gt;0,"Doador está em Pessoas.","")),IF(E159="Despesa com fornecedor",IF(COUNTIF(Contratos!$D:$D,K159)&gt;0,"Fornecedor também tem contrato público",""),"")))</f>
        <v/>
      </c>
      <c r="M159" s="24"/>
      <c r="N159" s="11"/>
    </row>
    <row r="160" customFormat="false" ht="15" hidden="false" customHeight="false" outlineLevel="0" collapsed="false">
      <c r="A160" s="23"/>
      <c r="B160" s="31" t="str">
        <f aca="false">IF(A160="","",SUBSTITUTE(SUBSTITUTE(SUBSTITUTE(SUBSTITUTE(SUBSTITUTE(SUBSTITUTE(SUBSTITUTE(SUBSTITUTE(SUBSTITUTE(SUBSTITUTE(SUBSTITUTE(SUBSTITUTE(SUBSTITUTE(UPPER(TRIM(A160)),"Á","A"),"À","A"),"Â","A"),"Ã","A"),"É","E"),"Ê","E"),"Í","I"),"Ó","O"),"Ô","O"),"Õ","O"),"Ú","U"),"Ü","U"),"Ç","C"))</f>
        <v/>
      </c>
      <c r="C160" s="43"/>
      <c r="D160" s="23"/>
      <c r="E160" s="23"/>
      <c r="F160" s="11"/>
      <c r="G160" s="35"/>
      <c r="H160" s="23"/>
      <c r="I160" s="24"/>
      <c r="J160" s="31" t="str">
        <f aca="false">IF(I160="","",UPPER(SUBSTITUTE(SUBSTITUTE(SUBSTITUTE(SUBSTITUTE(SUBSTITUTE(TRIM(I160),".",""),"/",""),"-",""),"*","")," ","")))</f>
        <v/>
      </c>
      <c r="K160" s="31" t="str">
        <f aca="false">IF(OR(H160="",J160=""),"",IF(LEN(J160)&gt;=13,IF(LEN(J160)=13,"0"&amp;J160,J160),SUBSTITUTE(SUBSTITUTE(SUBSTITUTE(SUBSTITUTE(SUBSTITUTE(SUBSTITUTE(SUBSTITUTE(SUBSTITUTE(SUBSTITUTE(SUBSTITUTE(SUBSTITUTE(SUBSTITUTE(SUBSTITUTE(UPPER(TRIM(H160)),"Á","A"),"À","A"),"Â","A"),"Ã","A"),"É","E"),"Ê","E"),"Í","I"),"Ó","O"),"Ô","O"),"Õ","O"),"Ú","U"),"Ü","U"),"Ç","C")&amp;"|"&amp;IF(LEN(J160)=11,MID(J160,4,6),J160)))</f>
        <v/>
      </c>
      <c r="L160" s="25" t="str">
        <f aca="false">IF(K160="","",IF(E160="Doação recebida",TRIM(IF(COUNTIF(Socios!$H:$H,K160)&gt;0,"Doador é sócio de empresa da pauta. ","")&amp;IF(COUNTIF(Pessoas!$E:$E,K160)&gt;0,"Doador está em Pessoas.","")),IF(E160="Despesa com fornecedor",IF(COUNTIF(Contratos!$D:$D,K160)&gt;0,"Fornecedor também tem contrato público",""),"")))</f>
        <v/>
      </c>
      <c r="M160" s="24"/>
      <c r="N160" s="11"/>
    </row>
    <row r="161" customFormat="false" ht="15" hidden="false" customHeight="false" outlineLevel="0" collapsed="false">
      <c r="A161" s="23"/>
      <c r="B161" s="31" t="str">
        <f aca="false">IF(A161="","",SUBSTITUTE(SUBSTITUTE(SUBSTITUTE(SUBSTITUTE(SUBSTITUTE(SUBSTITUTE(SUBSTITUTE(SUBSTITUTE(SUBSTITUTE(SUBSTITUTE(SUBSTITUTE(SUBSTITUTE(SUBSTITUTE(UPPER(TRIM(A161)),"Á","A"),"À","A"),"Â","A"),"Ã","A"),"É","E"),"Ê","E"),"Í","I"),"Ó","O"),"Ô","O"),"Õ","O"),"Ú","U"),"Ü","U"),"Ç","C"))</f>
        <v/>
      </c>
      <c r="C161" s="43"/>
      <c r="D161" s="23"/>
      <c r="E161" s="23"/>
      <c r="F161" s="11"/>
      <c r="G161" s="35"/>
      <c r="H161" s="23"/>
      <c r="I161" s="24"/>
      <c r="J161" s="31" t="str">
        <f aca="false">IF(I161="","",UPPER(SUBSTITUTE(SUBSTITUTE(SUBSTITUTE(SUBSTITUTE(SUBSTITUTE(TRIM(I161),".",""),"/",""),"-",""),"*","")," ","")))</f>
        <v/>
      </c>
      <c r="K161" s="31" t="str">
        <f aca="false">IF(OR(H161="",J161=""),"",IF(LEN(J161)&gt;=13,IF(LEN(J161)=13,"0"&amp;J161,J161),SUBSTITUTE(SUBSTITUTE(SUBSTITUTE(SUBSTITUTE(SUBSTITUTE(SUBSTITUTE(SUBSTITUTE(SUBSTITUTE(SUBSTITUTE(SUBSTITUTE(SUBSTITUTE(SUBSTITUTE(SUBSTITUTE(UPPER(TRIM(H161)),"Á","A"),"À","A"),"Â","A"),"Ã","A"),"É","E"),"Ê","E"),"Í","I"),"Ó","O"),"Ô","O"),"Õ","O"),"Ú","U"),"Ü","U"),"Ç","C")&amp;"|"&amp;IF(LEN(J161)=11,MID(J161,4,6),J161)))</f>
        <v/>
      </c>
      <c r="L161" s="25" t="str">
        <f aca="false">IF(K161="","",IF(E161="Doação recebida",TRIM(IF(COUNTIF(Socios!$H:$H,K161)&gt;0,"Doador é sócio de empresa da pauta. ","")&amp;IF(COUNTIF(Pessoas!$E:$E,K161)&gt;0,"Doador está em Pessoas.","")),IF(E161="Despesa com fornecedor",IF(COUNTIF(Contratos!$D:$D,K161)&gt;0,"Fornecedor também tem contrato público",""),"")))</f>
        <v/>
      </c>
      <c r="M161" s="24"/>
      <c r="N161" s="11"/>
    </row>
    <row r="162" customFormat="false" ht="15" hidden="false" customHeight="false" outlineLevel="0" collapsed="false">
      <c r="A162" s="23"/>
      <c r="B162" s="31" t="str">
        <f aca="false">IF(A162="","",SUBSTITUTE(SUBSTITUTE(SUBSTITUTE(SUBSTITUTE(SUBSTITUTE(SUBSTITUTE(SUBSTITUTE(SUBSTITUTE(SUBSTITUTE(SUBSTITUTE(SUBSTITUTE(SUBSTITUTE(SUBSTITUTE(UPPER(TRIM(A162)),"Á","A"),"À","A"),"Â","A"),"Ã","A"),"É","E"),"Ê","E"),"Í","I"),"Ó","O"),"Ô","O"),"Õ","O"),"Ú","U"),"Ü","U"),"Ç","C"))</f>
        <v/>
      </c>
      <c r="C162" s="43"/>
      <c r="D162" s="23"/>
      <c r="E162" s="23"/>
      <c r="F162" s="11"/>
      <c r="G162" s="35"/>
      <c r="H162" s="23"/>
      <c r="I162" s="24"/>
      <c r="J162" s="31" t="str">
        <f aca="false">IF(I162="","",UPPER(SUBSTITUTE(SUBSTITUTE(SUBSTITUTE(SUBSTITUTE(SUBSTITUTE(TRIM(I162),".",""),"/",""),"-",""),"*","")," ","")))</f>
        <v/>
      </c>
      <c r="K162" s="31" t="str">
        <f aca="false">IF(OR(H162="",J162=""),"",IF(LEN(J162)&gt;=13,IF(LEN(J162)=13,"0"&amp;J162,J162),SUBSTITUTE(SUBSTITUTE(SUBSTITUTE(SUBSTITUTE(SUBSTITUTE(SUBSTITUTE(SUBSTITUTE(SUBSTITUTE(SUBSTITUTE(SUBSTITUTE(SUBSTITUTE(SUBSTITUTE(SUBSTITUTE(UPPER(TRIM(H162)),"Á","A"),"À","A"),"Â","A"),"Ã","A"),"É","E"),"Ê","E"),"Í","I"),"Ó","O"),"Ô","O"),"Õ","O"),"Ú","U"),"Ü","U"),"Ç","C")&amp;"|"&amp;IF(LEN(J162)=11,MID(J162,4,6),J162)))</f>
        <v/>
      </c>
      <c r="L162" s="25" t="str">
        <f aca="false">IF(K162="","",IF(E162="Doação recebida",TRIM(IF(COUNTIF(Socios!$H:$H,K162)&gt;0,"Doador é sócio de empresa da pauta. ","")&amp;IF(COUNTIF(Pessoas!$E:$E,K162)&gt;0,"Doador está em Pessoas.","")),IF(E162="Despesa com fornecedor",IF(COUNTIF(Contratos!$D:$D,K162)&gt;0,"Fornecedor também tem contrato público",""),"")))</f>
        <v/>
      </c>
      <c r="M162" s="24"/>
      <c r="N162" s="11"/>
    </row>
    <row r="163" customFormat="false" ht="15" hidden="false" customHeight="false" outlineLevel="0" collapsed="false">
      <c r="A163" s="23"/>
      <c r="B163" s="31" t="str">
        <f aca="false">IF(A163="","",SUBSTITUTE(SUBSTITUTE(SUBSTITUTE(SUBSTITUTE(SUBSTITUTE(SUBSTITUTE(SUBSTITUTE(SUBSTITUTE(SUBSTITUTE(SUBSTITUTE(SUBSTITUTE(SUBSTITUTE(SUBSTITUTE(UPPER(TRIM(A163)),"Á","A"),"À","A"),"Â","A"),"Ã","A"),"É","E"),"Ê","E"),"Í","I"),"Ó","O"),"Ô","O"),"Õ","O"),"Ú","U"),"Ü","U"),"Ç","C"))</f>
        <v/>
      </c>
      <c r="C163" s="43"/>
      <c r="D163" s="23"/>
      <c r="E163" s="23"/>
      <c r="F163" s="11"/>
      <c r="G163" s="35"/>
      <c r="H163" s="23"/>
      <c r="I163" s="24"/>
      <c r="J163" s="31" t="str">
        <f aca="false">IF(I163="","",UPPER(SUBSTITUTE(SUBSTITUTE(SUBSTITUTE(SUBSTITUTE(SUBSTITUTE(TRIM(I163),".",""),"/",""),"-",""),"*","")," ","")))</f>
        <v/>
      </c>
      <c r="K163" s="31" t="str">
        <f aca="false">IF(OR(H163="",J163=""),"",IF(LEN(J163)&gt;=13,IF(LEN(J163)=13,"0"&amp;J163,J163),SUBSTITUTE(SUBSTITUTE(SUBSTITUTE(SUBSTITUTE(SUBSTITUTE(SUBSTITUTE(SUBSTITUTE(SUBSTITUTE(SUBSTITUTE(SUBSTITUTE(SUBSTITUTE(SUBSTITUTE(SUBSTITUTE(UPPER(TRIM(H163)),"Á","A"),"À","A"),"Â","A"),"Ã","A"),"É","E"),"Ê","E"),"Í","I"),"Ó","O"),"Ô","O"),"Õ","O"),"Ú","U"),"Ü","U"),"Ç","C")&amp;"|"&amp;IF(LEN(J163)=11,MID(J163,4,6),J163)))</f>
        <v/>
      </c>
      <c r="L163" s="25" t="str">
        <f aca="false">IF(K163="","",IF(E163="Doação recebida",TRIM(IF(COUNTIF(Socios!$H:$H,K163)&gt;0,"Doador é sócio de empresa da pauta. ","")&amp;IF(COUNTIF(Pessoas!$E:$E,K163)&gt;0,"Doador está em Pessoas.","")),IF(E163="Despesa com fornecedor",IF(COUNTIF(Contratos!$D:$D,K163)&gt;0,"Fornecedor também tem contrato público",""),"")))</f>
        <v/>
      </c>
      <c r="M163" s="24"/>
      <c r="N163" s="11"/>
    </row>
    <row r="164" customFormat="false" ht="15" hidden="false" customHeight="false" outlineLevel="0" collapsed="false">
      <c r="A164" s="23"/>
      <c r="B164" s="31" t="str">
        <f aca="false">IF(A164="","",SUBSTITUTE(SUBSTITUTE(SUBSTITUTE(SUBSTITUTE(SUBSTITUTE(SUBSTITUTE(SUBSTITUTE(SUBSTITUTE(SUBSTITUTE(SUBSTITUTE(SUBSTITUTE(SUBSTITUTE(SUBSTITUTE(UPPER(TRIM(A164)),"Á","A"),"À","A"),"Â","A"),"Ã","A"),"É","E"),"Ê","E"),"Í","I"),"Ó","O"),"Ô","O"),"Õ","O"),"Ú","U"),"Ü","U"),"Ç","C"))</f>
        <v/>
      </c>
      <c r="C164" s="43"/>
      <c r="D164" s="23"/>
      <c r="E164" s="23"/>
      <c r="F164" s="11"/>
      <c r="G164" s="35"/>
      <c r="H164" s="23"/>
      <c r="I164" s="24"/>
      <c r="J164" s="31" t="str">
        <f aca="false">IF(I164="","",UPPER(SUBSTITUTE(SUBSTITUTE(SUBSTITUTE(SUBSTITUTE(SUBSTITUTE(TRIM(I164),".",""),"/",""),"-",""),"*","")," ","")))</f>
        <v/>
      </c>
      <c r="K164" s="31" t="str">
        <f aca="false">IF(OR(H164="",J164=""),"",IF(LEN(J164)&gt;=13,IF(LEN(J164)=13,"0"&amp;J164,J164),SUBSTITUTE(SUBSTITUTE(SUBSTITUTE(SUBSTITUTE(SUBSTITUTE(SUBSTITUTE(SUBSTITUTE(SUBSTITUTE(SUBSTITUTE(SUBSTITUTE(SUBSTITUTE(SUBSTITUTE(SUBSTITUTE(UPPER(TRIM(H164)),"Á","A"),"À","A"),"Â","A"),"Ã","A"),"É","E"),"Ê","E"),"Í","I"),"Ó","O"),"Ô","O"),"Õ","O"),"Ú","U"),"Ü","U"),"Ç","C")&amp;"|"&amp;IF(LEN(J164)=11,MID(J164,4,6),J164)))</f>
        <v/>
      </c>
      <c r="L164" s="25" t="str">
        <f aca="false">IF(K164="","",IF(E164="Doação recebida",TRIM(IF(COUNTIF(Socios!$H:$H,K164)&gt;0,"Doador é sócio de empresa da pauta. ","")&amp;IF(COUNTIF(Pessoas!$E:$E,K164)&gt;0,"Doador está em Pessoas.","")),IF(E164="Despesa com fornecedor",IF(COUNTIF(Contratos!$D:$D,K164)&gt;0,"Fornecedor também tem contrato público",""),"")))</f>
        <v/>
      </c>
      <c r="M164" s="24"/>
      <c r="N164" s="11"/>
    </row>
    <row r="165" customFormat="false" ht="15" hidden="false" customHeight="false" outlineLevel="0" collapsed="false">
      <c r="A165" s="23"/>
      <c r="B165" s="31" t="str">
        <f aca="false">IF(A165="","",SUBSTITUTE(SUBSTITUTE(SUBSTITUTE(SUBSTITUTE(SUBSTITUTE(SUBSTITUTE(SUBSTITUTE(SUBSTITUTE(SUBSTITUTE(SUBSTITUTE(SUBSTITUTE(SUBSTITUTE(SUBSTITUTE(UPPER(TRIM(A165)),"Á","A"),"À","A"),"Â","A"),"Ã","A"),"É","E"),"Ê","E"),"Í","I"),"Ó","O"),"Ô","O"),"Õ","O"),"Ú","U"),"Ü","U"),"Ç","C"))</f>
        <v/>
      </c>
      <c r="C165" s="43"/>
      <c r="D165" s="23"/>
      <c r="E165" s="23"/>
      <c r="F165" s="11"/>
      <c r="G165" s="35"/>
      <c r="H165" s="23"/>
      <c r="I165" s="24"/>
      <c r="J165" s="31" t="str">
        <f aca="false">IF(I165="","",UPPER(SUBSTITUTE(SUBSTITUTE(SUBSTITUTE(SUBSTITUTE(SUBSTITUTE(TRIM(I165),".",""),"/",""),"-",""),"*","")," ","")))</f>
        <v/>
      </c>
      <c r="K165" s="31" t="str">
        <f aca="false">IF(OR(H165="",J165=""),"",IF(LEN(J165)&gt;=13,IF(LEN(J165)=13,"0"&amp;J165,J165),SUBSTITUTE(SUBSTITUTE(SUBSTITUTE(SUBSTITUTE(SUBSTITUTE(SUBSTITUTE(SUBSTITUTE(SUBSTITUTE(SUBSTITUTE(SUBSTITUTE(SUBSTITUTE(SUBSTITUTE(SUBSTITUTE(UPPER(TRIM(H165)),"Á","A"),"À","A"),"Â","A"),"Ã","A"),"É","E"),"Ê","E"),"Í","I"),"Ó","O"),"Ô","O"),"Õ","O"),"Ú","U"),"Ü","U"),"Ç","C")&amp;"|"&amp;IF(LEN(J165)=11,MID(J165,4,6),J165)))</f>
        <v/>
      </c>
      <c r="L165" s="25" t="str">
        <f aca="false">IF(K165="","",IF(E165="Doação recebida",TRIM(IF(COUNTIF(Socios!$H:$H,K165)&gt;0,"Doador é sócio de empresa da pauta. ","")&amp;IF(COUNTIF(Pessoas!$E:$E,K165)&gt;0,"Doador está em Pessoas.","")),IF(E165="Despesa com fornecedor",IF(COUNTIF(Contratos!$D:$D,K165)&gt;0,"Fornecedor também tem contrato público",""),"")))</f>
        <v/>
      </c>
      <c r="M165" s="24"/>
      <c r="N165" s="11"/>
    </row>
    <row r="166" customFormat="false" ht="15" hidden="false" customHeight="false" outlineLevel="0" collapsed="false">
      <c r="A166" s="23"/>
      <c r="B166" s="31" t="str">
        <f aca="false">IF(A166="","",SUBSTITUTE(SUBSTITUTE(SUBSTITUTE(SUBSTITUTE(SUBSTITUTE(SUBSTITUTE(SUBSTITUTE(SUBSTITUTE(SUBSTITUTE(SUBSTITUTE(SUBSTITUTE(SUBSTITUTE(SUBSTITUTE(UPPER(TRIM(A166)),"Á","A"),"À","A"),"Â","A"),"Ã","A"),"É","E"),"Ê","E"),"Í","I"),"Ó","O"),"Ô","O"),"Õ","O"),"Ú","U"),"Ü","U"),"Ç","C"))</f>
        <v/>
      </c>
      <c r="C166" s="43"/>
      <c r="D166" s="23"/>
      <c r="E166" s="23"/>
      <c r="F166" s="11"/>
      <c r="G166" s="35"/>
      <c r="H166" s="23"/>
      <c r="I166" s="24"/>
      <c r="J166" s="31" t="str">
        <f aca="false">IF(I166="","",UPPER(SUBSTITUTE(SUBSTITUTE(SUBSTITUTE(SUBSTITUTE(SUBSTITUTE(TRIM(I166),".",""),"/",""),"-",""),"*","")," ","")))</f>
        <v/>
      </c>
      <c r="K166" s="31" t="str">
        <f aca="false">IF(OR(H166="",J166=""),"",IF(LEN(J166)&gt;=13,IF(LEN(J166)=13,"0"&amp;J166,J166),SUBSTITUTE(SUBSTITUTE(SUBSTITUTE(SUBSTITUTE(SUBSTITUTE(SUBSTITUTE(SUBSTITUTE(SUBSTITUTE(SUBSTITUTE(SUBSTITUTE(SUBSTITUTE(SUBSTITUTE(SUBSTITUTE(UPPER(TRIM(H166)),"Á","A"),"À","A"),"Â","A"),"Ã","A"),"É","E"),"Ê","E"),"Í","I"),"Ó","O"),"Ô","O"),"Õ","O"),"Ú","U"),"Ü","U"),"Ç","C")&amp;"|"&amp;IF(LEN(J166)=11,MID(J166,4,6),J166)))</f>
        <v/>
      </c>
      <c r="L166" s="25" t="str">
        <f aca="false">IF(K166="","",IF(E166="Doação recebida",TRIM(IF(COUNTIF(Socios!$H:$H,K166)&gt;0,"Doador é sócio de empresa da pauta. ","")&amp;IF(COUNTIF(Pessoas!$E:$E,K166)&gt;0,"Doador está em Pessoas.","")),IF(E166="Despesa com fornecedor",IF(COUNTIF(Contratos!$D:$D,K166)&gt;0,"Fornecedor também tem contrato público",""),"")))</f>
        <v/>
      </c>
      <c r="M166" s="24"/>
      <c r="N166" s="11"/>
    </row>
    <row r="167" customFormat="false" ht="15" hidden="false" customHeight="false" outlineLevel="0" collapsed="false">
      <c r="A167" s="23"/>
      <c r="B167" s="31" t="str">
        <f aca="false">IF(A167="","",SUBSTITUTE(SUBSTITUTE(SUBSTITUTE(SUBSTITUTE(SUBSTITUTE(SUBSTITUTE(SUBSTITUTE(SUBSTITUTE(SUBSTITUTE(SUBSTITUTE(SUBSTITUTE(SUBSTITUTE(SUBSTITUTE(UPPER(TRIM(A167)),"Á","A"),"À","A"),"Â","A"),"Ã","A"),"É","E"),"Ê","E"),"Í","I"),"Ó","O"),"Ô","O"),"Õ","O"),"Ú","U"),"Ü","U"),"Ç","C"))</f>
        <v/>
      </c>
      <c r="C167" s="43"/>
      <c r="D167" s="23"/>
      <c r="E167" s="23"/>
      <c r="F167" s="11"/>
      <c r="G167" s="35"/>
      <c r="H167" s="23"/>
      <c r="I167" s="24"/>
      <c r="J167" s="31" t="str">
        <f aca="false">IF(I167="","",UPPER(SUBSTITUTE(SUBSTITUTE(SUBSTITUTE(SUBSTITUTE(SUBSTITUTE(TRIM(I167),".",""),"/",""),"-",""),"*","")," ","")))</f>
        <v/>
      </c>
      <c r="K167" s="31" t="str">
        <f aca="false">IF(OR(H167="",J167=""),"",IF(LEN(J167)&gt;=13,IF(LEN(J167)=13,"0"&amp;J167,J167),SUBSTITUTE(SUBSTITUTE(SUBSTITUTE(SUBSTITUTE(SUBSTITUTE(SUBSTITUTE(SUBSTITUTE(SUBSTITUTE(SUBSTITUTE(SUBSTITUTE(SUBSTITUTE(SUBSTITUTE(SUBSTITUTE(UPPER(TRIM(H167)),"Á","A"),"À","A"),"Â","A"),"Ã","A"),"É","E"),"Ê","E"),"Í","I"),"Ó","O"),"Ô","O"),"Õ","O"),"Ú","U"),"Ü","U"),"Ç","C")&amp;"|"&amp;IF(LEN(J167)=11,MID(J167,4,6),J167)))</f>
        <v/>
      </c>
      <c r="L167" s="25" t="str">
        <f aca="false">IF(K167="","",IF(E167="Doação recebida",TRIM(IF(COUNTIF(Socios!$H:$H,K167)&gt;0,"Doador é sócio de empresa da pauta. ","")&amp;IF(COUNTIF(Pessoas!$E:$E,K167)&gt;0,"Doador está em Pessoas.","")),IF(E167="Despesa com fornecedor",IF(COUNTIF(Contratos!$D:$D,K167)&gt;0,"Fornecedor também tem contrato público",""),"")))</f>
        <v/>
      </c>
      <c r="M167" s="24"/>
      <c r="N167" s="11"/>
    </row>
    <row r="168" customFormat="false" ht="15" hidden="false" customHeight="false" outlineLevel="0" collapsed="false">
      <c r="A168" s="23"/>
      <c r="B168" s="31" t="str">
        <f aca="false">IF(A168="","",SUBSTITUTE(SUBSTITUTE(SUBSTITUTE(SUBSTITUTE(SUBSTITUTE(SUBSTITUTE(SUBSTITUTE(SUBSTITUTE(SUBSTITUTE(SUBSTITUTE(SUBSTITUTE(SUBSTITUTE(SUBSTITUTE(UPPER(TRIM(A168)),"Á","A"),"À","A"),"Â","A"),"Ã","A"),"É","E"),"Ê","E"),"Í","I"),"Ó","O"),"Ô","O"),"Õ","O"),"Ú","U"),"Ü","U"),"Ç","C"))</f>
        <v/>
      </c>
      <c r="C168" s="43"/>
      <c r="D168" s="23"/>
      <c r="E168" s="23"/>
      <c r="F168" s="11"/>
      <c r="G168" s="35"/>
      <c r="H168" s="23"/>
      <c r="I168" s="24"/>
      <c r="J168" s="31" t="str">
        <f aca="false">IF(I168="","",UPPER(SUBSTITUTE(SUBSTITUTE(SUBSTITUTE(SUBSTITUTE(SUBSTITUTE(TRIM(I168),".",""),"/",""),"-",""),"*","")," ","")))</f>
        <v/>
      </c>
      <c r="K168" s="31" t="str">
        <f aca="false">IF(OR(H168="",J168=""),"",IF(LEN(J168)&gt;=13,IF(LEN(J168)=13,"0"&amp;J168,J168),SUBSTITUTE(SUBSTITUTE(SUBSTITUTE(SUBSTITUTE(SUBSTITUTE(SUBSTITUTE(SUBSTITUTE(SUBSTITUTE(SUBSTITUTE(SUBSTITUTE(SUBSTITUTE(SUBSTITUTE(SUBSTITUTE(UPPER(TRIM(H168)),"Á","A"),"À","A"),"Â","A"),"Ã","A"),"É","E"),"Ê","E"),"Í","I"),"Ó","O"),"Ô","O"),"Õ","O"),"Ú","U"),"Ü","U"),"Ç","C")&amp;"|"&amp;IF(LEN(J168)=11,MID(J168,4,6),J168)))</f>
        <v/>
      </c>
      <c r="L168" s="25" t="str">
        <f aca="false">IF(K168="","",IF(E168="Doação recebida",TRIM(IF(COUNTIF(Socios!$H:$H,K168)&gt;0,"Doador é sócio de empresa da pauta. ","")&amp;IF(COUNTIF(Pessoas!$E:$E,K168)&gt;0,"Doador está em Pessoas.","")),IF(E168="Despesa com fornecedor",IF(COUNTIF(Contratos!$D:$D,K168)&gt;0,"Fornecedor também tem contrato público",""),"")))</f>
        <v/>
      </c>
      <c r="M168" s="24"/>
      <c r="N168" s="11"/>
    </row>
    <row r="169" customFormat="false" ht="15" hidden="false" customHeight="false" outlineLevel="0" collapsed="false">
      <c r="A169" s="23"/>
      <c r="B169" s="31" t="str">
        <f aca="false">IF(A169="","",SUBSTITUTE(SUBSTITUTE(SUBSTITUTE(SUBSTITUTE(SUBSTITUTE(SUBSTITUTE(SUBSTITUTE(SUBSTITUTE(SUBSTITUTE(SUBSTITUTE(SUBSTITUTE(SUBSTITUTE(SUBSTITUTE(UPPER(TRIM(A169)),"Á","A"),"À","A"),"Â","A"),"Ã","A"),"É","E"),"Ê","E"),"Í","I"),"Ó","O"),"Ô","O"),"Õ","O"),"Ú","U"),"Ü","U"),"Ç","C"))</f>
        <v/>
      </c>
      <c r="C169" s="43"/>
      <c r="D169" s="23"/>
      <c r="E169" s="23"/>
      <c r="F169" s="11"/>
      <c r="G169" s="35"/>
      <c r="H169" s="23"/>
      <c r="I169" s="24"/>
      <c r="J169" s="31" t="str">
        <f aca="false">IF(I169="","",UPPER(SUBSTITUTE(SUBSTITUTE(SUBSTITUTE(SUBSTITUTE(SUBSTITUTE(TRIM(I169),".",""),"/",""),"-",""),"*","")," ","")))</f>
        <v/>
      </c>
      <c r="K169" s="31" t="str">
        <f aca="false">IF(OR(H169="",J169=""),"",IF(LEN(J169)&gt;=13,IF(LEN(J169)=13,"0"&amp;J169,J169),SUBSTITUTE(SUBSTITUTE(SUBSTITUTE(SUBSTITUTE(SUBSTITUTE(SUBSTITUTE(SUBSTITUTE(SUBSTITUTE(SUBSTITUTE(SUBSTITUTE(SUBSTITUTE(SUBSTITUTE(SUBSTITUTE(UPPER(TRIM(H169)),"Á","A"),"À","A"),"Â","A"),"Ã","A"),"É","E"),"Ê","E"),"Í","I"),"Ó","O"),"Ô","O"),"Õ","O"),"Ú","U"),"Ü","U"),"Ç","C")&amp;"|"&amp;IF(LEN(J169)=11,MID(J169,4,6),J169)))</f>
        <v/>
      </c>
      <c r="L169" s="25" t="str">
        <f aca="false">IF(K169="","",IF(E169="Doação recebida",TRIM(IF(COUNTIF(Socios!$H:$H,K169)&gt;0,"Doador é sócio de empresa da pauta. ","")&amp;IF(COUNTIF(Pessoas!$E:$E,K169)&gt;0,"Doador está em Pessoas.","")),IF(E169="Despesa com fornecedor",IF(COUNTIF(Contratos!$D:$D,K169)&gt;0,"Fornecedor também tem contrato público",""),"")))</f>
        <v/>
      </c>
      <c r="M169" s="24"/>
      <c r="N169" s="11"/>
    </row>
    <row r="170" customFormat="false" ht="15" hidden="false" customHeight="false" outlineLevel="0" collapsed="false">
      <c r="A170" s="23"/>
      <c r="B170" s="31" t="str">
        <f aca="false">IF(A170="","",SUBSTITUTE(SUBSTITUTE(SUBSTITUTE(SUBSTITUTE(SUBSTITUTE(SUBSTITUTE(SUBSTITUTE(SUBSTITUTE(SUBSTITUTE(SUBSTITUTE(SUBSTITUTE(SUBSTITUTE(SUBSTITUTE(UPPER(TRIM(A170)),"Á","A"),"À","A"),"Â","A"),"Ã","A"),"É","E"),"Ê","E"),"Í","I"),"Ó","O"),"Ô","O"),"Õ","O"),"Ú","U"),"Ü","U"),"Ç","C"))</f>
        <v/>
      </c>
      <c r="C170" s="43"/>
      <c r="D170" s="23"/>
      <c r="E170" s="23"/>
      <c r="F170" s="11"/>
      <c r="G170" s="35"/>
      <c r="H170" s="23"/>
      <c r="I170" s="24"/>
      <c r="J170" s="31" t="str">
        <f aca="false">IF(I170="","",UPPER(SUBSTITUTE(SUBSTITUTE(SUBSTITUTE(SUBSTITUTE(SUBSTITUTE(TRIM(I170),".",""),"/",""),"-",""),"*","")," ","")))</f>
        <v/>
      </c>
      <c r="K170" s="31" t="str">
        <f aca="false">IF(OR(H170="",J170=""),"",IF(LEN(J170)&gt;=13,IF(LEN(J170)=13,"0"&amp;J170,J170),SUBSTITUTE(SUBSTITUTE(SUBSTITUTE(SUBSTITUTE(SUBSTITUTE(SUBSTITUTE(SUBSTITUTE(SUBSTITUTE(SUBSTITUTE(SUBSTITUTE(SUBSTITUTE(SUBSTITUTE(SUBSTITUTE(UPPER(TRIM(H170)),"Á","A"),"À","A"),"Â","A"),"Ã","A"),"É","E"),"Ê","E"),"Í","I"),"Ó","O"),"Ô","O"),"Õ","O"),"Ú","U"),"Ü","U"),"Ç","C")&amp;"|"&amp;IF(LEN(J170)=11,MID(J170,4,6),J170)))</f>
        <v/>
      </c>
      <c r="L170" s="25" t="str">
        <f aca="false">IF(K170="","",IF(E170="Doação recebida",TRIM(IF(COUNTIF(Socios!$H:$H,K170)&gt;0,"Doador é sócio de empresa da pauta. ","")&amp;IF(COUNTIF(Pessoas!$E:$E,K170)&gt;0,"Doador está em Pessoas.","")),IF(E170="Despesa com fornecedor",IF(COUNTIF(Contratos!$D:$D,K170)&gt;0,"Fornecedor também tem contrato público",""),"")))</f>
        <v/>
      </c>
      <c r="M170" s="24"/>
      <c r="N170" s="11"/>
    </row>
    <row r="171" customFormat="false" ht="15" hidden="false" customHeight="false" outlineLevel="0" collapsed="false">
      <c r="A171" s="23"/>
      <c r="B171" s="31" t="str">
        <f aca="false">IF(A171="","",SUBSTITUTE(SUBSTITUTE(SUBSTITUTE(SUBSTITUTE(SUBSTITUTE(SUBSTITUTE(SUBSTITUTE(SUBSTITUTE(SUBSTITUTE(SUBSTITUTE(SUBSTITUTE(SUBSTITUTE(SUBSTITUTE(UPPER(TRIM(A171)),"Á","A"),"À","A"),"Â","A"),"Ã","A"),"É","E"),"Ê","E"),"Í","I"),"Ó","O"),"Ô","O"),"Õ","O"),"Ú","U"),"Ü","U"),"Ç","C"))</f>
        <v/>
      </c>
      <c r="C171" s="43"/>
      <c r="D171" s="23"/>
      <c r="E171" s="23"/>
      <c r="F171" s="11"/>
      <c r="G171" s="35"/>
      <c r="H171" s="23"/>
      <c r="I171" s="24"/>
      <c r="J171" s="31" t="str">
        <f aca="false">IF(I171="","",UPPER(SUBSTITUTE(SUBSTITUTE(SUBSTITUTE(SUBSTITUTE(SUBSTITUTE(TRIM(I171),".",""),"/",""),"-",""),"*","")," ","")))</f>
        <v/>
      </c>
      <c r="K171" s="31" t="str">
        <f aca="false">IF(OR(H171="",J171=""),"",IF(LEN(J171)&gt;=13,IF(LEN(J171)=13,"0"&amp;J171,J171),SUBSTITUTE(SUBSTITUTE(SUBSTITUTE(SUBSTITUTE(SUBSTITUTE(SUBSTITUTE(SUBSTITUTE(SUBSTITUTE(SUBSTITUTE(SUBSTITUTE(SUBSTITUTE(SUBSTITUTE(SUBSTITUTE(UPPER(TRIM(H171)),"Á","A"),"À","A"),"Â","A"),"Ã","A"),"É","E"),"Ê","E"),"Í","I"),"Ó","O"),"Ô","O"),"Õ","O"),"Ú","U"),"Ü","U"),"Ç","C")&amp;"|"&amp;IF(LEN(J171)=11,MID(J171,4,6),J171)))</f>
        <v/>
      </c>
      <c r="L171" s="25" t="str">
        <f aca="false">IF(K171="","",IF(E171="Doação recebida",TRIM(IF(COUNTIF(Socios!$H:$H,K171)&gt;0,"Doador é sócio de empresa da pauta. ","")&amp;IF(COUNTIF(Pessoas!$E:$E,K171)&gt;0,"Doador está em Pessoas.","")),IF(E171="Despesa com fornecedor",IF(COUNTIF(Contratos!$D:$D,K171)&gt;0,"Fornecedor também tem contrato público",""),"")))</f>
        <v/>
      </c>
      <c r="M171" s="24"/>
      <c r="N171" s="11"/>
    </row>
    <row r="172" customFormat="false" ht="15" hidden="false" customHeight="false" outlineLevel="0" collapsed="false">
      <c r="A172" s="23"/>
      <c r="B172" s="31" t="str">
        <f aca="false">IF(A172="","",SUBSTITUTE(SUBSTITUTE(SUBSTITUTE(SUBSTITUTE(SUBSTITUTE(SUBSTITUTE(SUBSTITUTE(SUBSTITUTE(SUBSTITUTE(SUBSTITUTE(SUBSTITUTE(SUBSTITUTE(SUBSTITUTE(UPPER(TRIM(A172)),"Á","A"),"À","A"),"Â","A"),"Ã","A"),"É","E"),"Ê","E"),"Í","I"),"Ó","O"),"Ô","O"),"Õ","O"),"Ú","U"),"Ü","U"),"Ç","C"))</f>
        <v/>
      </c>
      <c r="C172" s="43"/>
      <c r="D172" s="23"/>
      <c r="E172" s="23"/>
      <c r="F172" s="11"/>
      <c r="G172" s="35"/>
      <c r="H172" s="23"/>
      <c r="I172" s="24"/>
      <c r="J172" s="31" t="str">
        <f aca="false">IF(I172="","",UPPER(SUBSTITUTE(SUBSTITUTE(SUBSTITUTE(SUBSTITUTE(SUBSTITUTE(TRIM(I172),".",""),"/",""),"-",""),"*","")," ","")))</f>
        <v/>
      </c>
      <c r="K172" s="31" t="str">
        <f aca="false">IF(OR(H172="",J172=""),"",IF(LEN(J172)&gt;=13,IF(LEN(J172)=13,"0"&amp;J172,J172),SUBSTITUTE(SUBSTITUTE(SUBSTITUTE(SUBSTITUTE(SUBSTITUTE(SUBSTITUTE(SUBSTITUTE(SUBSTITUTE(SUBSTITUTE(SUBSTITUTE(SUBSTITUTE(SUBSTITUTE(SUBSTITUTE(UPPER(TRIM(H172)),"Á","A"),"À","A"),"Â","A"),"Ã","A"),"É","E"),"Ê","E"),"Í","I"),"Ó","O"),"Ô","O"),"Õ","O"),"Ú","U"),"Ü","U"),"Ç","C")&amp;"|"&amp;IF(LEN(J172)=11,MID(J172,4,6),J172)))</f>
        <v/>
      </c>
      <c r="L172" s="25" t="str">
        <f aca="false">IF(K172="","",IF(E172="Doação recebida",TRIM(IF(COUNTIF(Socios!$H:$H,K172)&gt;0,"Doador é sócio de empresa da pauta. ","")&amp;IF(COUNTIF(Pessoas!$E:$E,K172)&gt;0,"Doador está em Pessoas.","")),IF(E172="Despesa com fornecedor",IF(COUNTIF(Contratos!$D:$D,K172)&gt;0,"Fornecedor também tem contrato público",""),"")))</f>
        <v/>
      </c>
      <c r="M172" s="24"/>
      <c r="N172" s="11"/>
    </row>
    <row r="173" customFormat="false" ht="15" hidden="false" customHeight="false" outlineLevel="0" collapsed="false">
      <c r="A173" s="23"/>
      <c r="B173" s="31" t="str">
        <f aca="false">IF(A173="","",SUBSTITUTE(SUBSTITUTE(SUBSTITUTE(SUBSTITUTE(SUBSTITUTE(SUBSTITUTE(SUBSTITUTE(SUBSTITUTE(SUBSTITUTE(SUBSTITUTE(SUBSTITUTE(SUBSTITUTE(SUBSTITUTE(UPPER(TRIM(A173)),"Á","A"),"À","A"),"Â","A"),"Ã","A"),"É","E"),"Ê","E"),"Í","I"),"Ó","O"),"Ô","O"),"Õ","O"),"Ú","U"),"Ü","U"),"Ç","C"))</f>
        <v/>
      </c>
      <c r="C173" s="43"/>
      <c r="D173" s="23"/>
      <c r="E173" s="23"/>
      <c r="F173" s="11"/>
      <c r="G173" s="35"/>
      <c r="H173" s="23"/>
      <c r="I173" s="24"/>
      <c r="J173" s="31" t="str">
        <f aca="false">IF(I173="","",UPPER(SUBSTITUTE(SUBSTITUTE(SUBSTITUTE(SUBSTITUTE(SUBSTITUTE(TRIM(I173),".",""),"/",""),"-",""),"*","")," ","")))</f>
        <v/>
      </c>
      <c r="K173" s="31" t="str">
        <f aca="false">IF(OR(H173="",J173=""),"",IF(LEN(J173)&gt;=13,IF(LEN(J173)=13,"0"&amp;J173,J173),SUBSTITUTE(SUBSTITUTE(SUBSTITUTE(SUBSTITUTE(SUBSTITUTE(SUBSTITUTE(SUBSTITUTE(SUBSTITUTE(SUBSTITUTE(SUBSTITUTE(SUBSTITUTE(SUBSTITUTE(SUBSTITUTE(UPPER(TRIM(H173)),"Á","A"),"À","A"),"Â","A"),"Ã","A"),"É","E"),"Ê","E"),"Í","I"),"Ó","O"),"Ô","O"),"Õ","O"),"Ú","U"),"Ü","U"),"Ç","C")&amp;"|"&amp;IF(LEN(J173)=11,MID(J173,4,6),J173)))</f>
        <v/>
      </c>
      <c r="L173" s="25" t="str">
        <f aca="false">IF(K173="","",IF(E173="Doação recebida",TRIM(IF(COUNTIF(Socios!$H:$H,K173)&gt;0,"Doador é sócio de empresa da pauta. ","")&amp;IF(COUNTIF(Pessoas!$E:$E,K173)&gt;0,"Doador está em Pessoas.","")),IF(E173="Despesa com fornecedor",IF(COUNTIF(Contratos!$D:$D,K173)&gt;0,"Fornecedor também tem contrato público",""),"")))</f>
        <v/>
      </c>
      <c r="M173" s="24"/>
      <c r="N173" s="11"/>
    </row>
    <row r="174" customFormat="false" ht="15" hidden="false" customHeight="false" outlineLevel="0" collapsed="false">
      <c r="A174" s="23"/>
      <c r="B174" s="31" t="str">
        <f aca="false">IF(A174="","",SUBSTITUTE(SUBSTITUTE(SUBSTITUTE(SUBSTITUTE(SUBSTITUTE(SUBSTITUTE(SUBSTITUTE(SUBSTITUTE(SUBSTITUTE(SUBSTITUTE(SUBSTITUTE(SUBSTITUTE(SUBSTITUTE(UPPER(TRIM(A174)),"Á","A"),"À","A"),"Â","A"),"Ã","A"),"É","E"),"Ê","E"),"Í","I"),"Ó","O"),"Ô","O"),"Õ","O"),"Ú","U"),"Ü","U"),"Ç","C"))</f>
        <v/>
      </c>
      <c r="C174" s="43"/>
      <c r="D174" s="23"/>
      <c r="E174" s="23"/>
      <c r="F174" s="11"/>
      <c r="G174" s="35"/>
      <c r="H174" s="23"/>
      <c r="I174" s="24"/>
      <c r="J174" s="31" t="str">
        <f aca="false">IF(I174="","",UPPER(SUBSTITUTE(SUBSTITUTE(SUBSTITUTE(SUBSTITUTE(SUBSTITUTE(TRIM(I174),".",""),"/",""),"-",""),"*","")," ","")))</f>
        <v/>
      </c>
      <c r="K174" s="31" t="str">
        <f aca="false">IF(OR(H174="",J174=""),"",IF(LEN(J174)&gt;=13,IF(LEN(J174)=13,"0"&amp;J174,J174),SUBSTITUTE(SUBSTITUTE(SUBSTITUTE(SUBSTITUTE(SUBSTITUTE(SUBSTITUTE(SUBSTITUTE(SUBSTITUTE(SUBSTITUTE(SUBSTITUTE(SUBSTITUTE(SUBSTITUTE(SUBSTITUTE(UPPER(TRIM(H174)),"Á","A"),"À","A"),"Â","A"),"Ã","A"),"É","E"),"Ê","E"),"Í","I"),"Ó","O"),"Ô","O"),"Õ","O"),"Ú","U"),"Ü","U"),"Ç","C")&amp;"|"&amp;IF(LEN(J174)=11,MID(J174,4,6),J174)))</f>
        <v/>
      </c>
      <c r="L174" s="25" t="str">
        <f aca="false">IF(K174="","",IF(E174="Doação recebida",TRIM(IF(COUNTIF(Socios!$H:$H,K174)&gt;0,"Doador é sócio de empresa da pauta. ","")&amp;IF(COUNTIF(Pessoas!$E:$E,K174)&gt;0,"Doador está em Pessoas.","")),IF(E174="Despesa com fornecedor",IF(COUNTIF(Contratos!$D:$D,K174)&gt;0,"Fornecedor também tem contrato público",""),"")))</f>
        <v/>
      </c>
      <c r="M174" s="24"/>
      <c r="N174" s="11"/>
    </row>
    <row r="175" customFormat="false" ht="15" hidden="false" customHeight="false" outlineLevel="0" collapsed="false">
      <c r="A175" s="23"/>
      <c r="B175" s="31" t="str">
        <f aca="false">IF(A175="","",SUBSTITUTE(SUBSTITUTE(SUBSTITUTE(SUBSTITUTE(SUBSTITUTE(SUBSTITUTE(SUBSTITUTE(SUBSTITUTE(SUBSTITUTE(SUBSTITUTE(SUBSTITUTE(SUBSTITUTE(SUBSTITUTE(UPPER(TRIM(A175)),"Á","A"),"À","A"),"Â","A"),"Ã","A"),"É","E"),"Ê","E"),"Í","I"),"Ó","O"),"Ô","O"),"Õ","O"),"Ú","U"),"Ü","U"),"Ç","C"))</f>
        <v/>
      </c>
      <c r="C175" s="43"/>
      <c r="D175" s="23"/>
      <c r="E175" s="23"/>
      <c r="F175" s="11"/>
      <c r="G175" s="35"/>
      <c r="H175" s="23"/>
      <c r="I175" s="24"/>
      <c r="J175" s="31" t="str">
        <f aca="false">IF(I175="","",UPPER(SUBSTITUTE(SUBSTITUTE(SUBSTITUTE(SUBSTITUTE(SUBSTITUTE(TRIM(I175),".",""),"/",""),"-",""),"*","")," ","")))</f>
        <v/>
      </c>
      <c r="K175" s="31" t="str">
        <f aca="false">IF(OR(H175="",J175=""),"",IF(LEN(J175)&gt;=13,IF(LEN(J175)=13,"0"&amp;J175,J175),SUBSTITUTE(SUBSTITUTE(SUBSTITUTE(SUBSTITUTE(SUBSTITUTE(SUBSTITUTE(SUBSTITUTE(SUBSTITUTE(SUBSTITUTE(SUBSTITUTE(SUBSTITUTE(SUBSTITUTE(SUBSTITUTE(UPPER(TRIM(H175)),"Á","A"),"À","A"),"Â","A"),"Ã","A"),"É","E"),"Ê","E"),"Í","I"),"Ó","O"),"Ô","O"),"Õ","O"),"Ú","U"),"Ü","U"),"Ç","C")&amp;"|"&amp;IF(LEN(J175)=11,MID(J175,4,6),J175)))</f>
        <v/>
      </c>
      <c r="L175" s="25" t="str">
        <f aca="false">IF(K175="","",IF(E175="Doação recebida",TRIM(IF(COUNTIF(Socios!$H:$H,K175)&gt;0,"Doador é sócio de empresa da pauta. ","")&amp;IF(COUNTIF(Pessoas!$E:$E,K175)&gt;0,"Doador está em Pessoas.","")),IF(E175="Despesa com fornecedor",IF(COUNTIF(Contratos!$D:$D,K175)&gt;0,"Fornecedor também tem contrato público",""),"")))</f>
        <v/>
      </c>
      <c r="M175" s="24"/>
      <c r="N175" s="11"/>
    </row>
    <row r="176" customFormat="false" ht="15" hidden="false" customHeight="false" outlineLevel="0" collapsed="false">
      <c r="A176" s="23"/>
      <c r="B176" s="31" t="str">
        <f aca="false">IF(A176="","",SUBSTITUTE(SUBSTITUTE(SUBSTITUTE(SUBSTITUTE(SUBSTITUTE(SUBSTITUTE(SUBSTITUTE(SUBSTITUTE(SUBSTITUTE(SUBSTITUTE(SUBSTITUTE(SUBSTITUTE(SUBSTITUTE(UPPER(TRIM(A176)),"Á","A"),"À","A"),"Â","A"),"Ã","A"),"É","E"),"Ê","E"),"Í","I"),"Ó","O"),"Ô","O"),"Õ","O"),"Ú","U"),"Ü","U"),"Ç","C"))</f>
        <v/>
      </c>
      <c r="C176" s="43"/>
      <c r="D176" s="23"/>
      <c r="E176" s="23"/>
      <c r="F176" s="11"/>
      <c r="G176" s="35"/>
      <c r="H176" s="23"/>
      <c r="I176" s="24"/>
      <c r="J176" s="31" t="str">
        <f aca="false">IF(I176="","",UPPER(SUBSTITUTE(SUBSTITUTE(SUBSTITUTE(SUBSTITUTE(SUBSTITUTE(TRIM(I176),".",""),"/",""),"-",""),"*","")," ","")))</f>
        <v/>
      </c>
      <c r="K176" s="31" t="str">
        <f aca="false">IF(OR(H176="",J176=""),"",IF(LEN(J176)&gt;=13,IF(LEN(J176)=13,"0"&amp;J176,J176),SUBSTITUTE(SUBSTITUTE(SUBSTITUTE(SUBSTITUTE(SUBSTITUTE(SUBSTITUTE(SUBSTITUTE(SUBSTITUTE(SUBSTITUTE(SUBSTITUTE(SUBSTITUTE(SUBSTITUTE(SUBSTITUTE(UPPER(TRIM(H176)),"Á","A"),"À","A"),"Â","A"),"Ã","A"),"É","E"),"Ê","E"),"Í","I"),"Ó","O"),"Ô","O"),"Õ","O"),"Ú","U"),"Ü","U"),"Ç","C")&amp;"|"&amp;IF(LEN(J176)=11,MID(J176,4,6),J176)))</f>
        <v/>
      </c>
      <c r="L176" s="25" t="str">
        <f aca="false">IF(K176="","",IF(E176="Doação recebida",TRIM(IF(COUNTIF(Socios!$H:$H,K176)&gt;0,"Doador é sócio de empresa da pauta. ","")&amp;IF(COUNTIF(Pessoas!$E:$E,K176)&gt;0,"Doador está em Pessoas.","")),IF(E176="Despesa com fornecedor",IF(COUNTIF(Contratos!$D:$D,K176)&gt;0,"Fornecedor também tem contrato público",""),"")))</f>
        <v/>
      </c>
      <c r="M176" s="24"/>
      <c r="N176" s="11"/>
    </row>
    <row r="177" customFormat="false" ht="15" hidden="false" customHeight="false" outlineLevel="0" collapsed="false">
      <c r="A177" s="23"/>
      <c r="B177" s="31" t="str">
        <f aca="false">IF(A177="","",SUBSTITUTE(SUBSTITUTE(SUBSTITUTE(SUBSTITUTE(SUBSTITUTE(SUBSTITUTE(SUBSTITUTE(SUBSTITUTE(SUBSTITUTE(SUBSTITUTE(SUBSTITUTE(SUBSTITUTE(SUBSTITUTE(UPPER(TRIM(A177)),"Á","A"),"À","A"),"Â","A"),"Ã","A"),"É","E"),"Ê","E"),"Í","I"),"Ó","O"),"Ô","O"),"Õ","O"),"Ú","U"),"Ü","U"),"Ç","C"))</f>
        <v/>
      </c>
      <c r="C177" s="43"/>
      <c r="D177" s="23"/>
      <c r="E177" s="23"/>
      <c r="F177" s="11"/>
      <c r="G177" s="35"/>
      <c r="H177" s="23"/>
      <c r="I177" s="24"/>
      <c r="J177" s="31" t="str">
        <f aca="false">IF(I177="","",UPPER(SUBSTITUTE(SUBSTITUTE(SUBSTITUTE(SUBSTITUTE(SUBSTITUTE(TRIM(I177),".",""),"/",""),"-",""),"*","")," ","")))</f>
        <v/>
      </c>
      <c r="K177" s="31" t="str">
        <f aca="false">IF(OR(H177="",J177=""),"",IF(LEN(J177)&gt;=13,IF(LEN(J177)=13,"0"&amp;J177,J177),SUBSTITUTE(SUBSTITUTE(SUBSTITUTE(SUBSTITUTE(SUBSTITUTE(SUBSTITUTE(SUBSTITUTE(SUBSTITUTE(SUBSTITUTE(SUBSTITUTE(SUBSTITUTE(SUBSTITUTE(SUBSTITUTE(UPPER(TRIM(H177)),"Á","A"),"À","A"),"Â","A"),"Ã","A"),"É","E"),"Ê","E"),"Í","I"),"Ó","O"),"Ô","O"),"Õ","O"),"Ú","U"),"Ü","U"),"Ç","C")&amp;"|"&amp;IF(LEN(J177)=11,MID(J177,4,6),J177)))</f>
        <v/>
      </c>
      <c r="L177" s="25" t="str">
        <f aca="false">IF(K177="","",IF(E177="Doação recebida",TRIM(IF(COUNTIF(Socios!$H:$H,K177)&gt;0,"Doador é sócio de empresa da pauta. ","")&amp;IF(COUNTIF(Pessoas!$E:$E,K177)&gt;0,"Doador está em Pessoas.","")),IF(E177="Despesa com fornecedor",IF(COUNTIF(Contratos!$D:$D,K177)&gt;0,"Fornecedor também tem contrato público",""),"")))</f>
        <v/>
      </c>
      <c r="M177" s="24"/>
      <c r="N177" s="11"/>
    </row>
    <row r="178" customFormat="false" ht="15" hidden="false" customHeight="false" outlineLevel="0" collapsed="false">
      <c r="A178" s="23"/>
      <c r="B178" s="31" t="str">
        <f aca="false">IF(A178="","",SUBSTITUTE(SUBSTITUTE(SUBSTITUTE(SUBSTITUTE(SUBSTITUTE(SUBSTITUTE(SUBSTITUTE(SUBSTITUTE(SUBSTITUTE(SUBSTITUTE(SUBSTITUTE(SUBSTITUTE(SUBSTITUTE(UPPER(TRIM(A178)),"Á","A"),"À","A"),"Â","A"),"Ã","A"),"É","E"),"Ê","E"),"Í","I"),"Ó","O"),"Ô","O"),"Õ","O"),"Ú","U"),"Ü","U"),"Ç","C"))</f>
        <v/>
      </c>
      <c r="C178" s="43"/>
      <c r="D178" s="23"/>
      <c r="E178" s="23"/>
      <c r="F178" s="11"/>
      <c r="G178" s="35"/>
      <c r="H178" s="23"/>
      <c r="I178" s="24"/>
      <c r="J178" s="31" t="str">
        <f aca="false">IF(I178="","",UPPER(SUBSTITUTE(SUBSTITUTE(SUBSTITUTE(SUBSTITUTE(SUBSTITUTE(TRIM(I178),".",""),"/",""),"-",""),"*","")," ","")))</f>
        <v/>
      </c>
      <c r="K178" s="31" t="str">
        <f aca="false">IF(OR(H178="",J178=""),"",IF(LEN(J178)&gt;=13,IF(LEN(J178)=13,"0"&amp;J178,J178),SUBSTITUTE(SUBSTITUTE(SUBSTITUTE(SUBSTITUTE(SUBSTITUTE(SUBSTITUTE(SUBSTITUTE(SUBSTITUTE(SUBSTITUTE(SUBSTITUTE(SUBSTITUTE(SUBSTITUTE(SUBSTITUTE(UPPER(TRIM(H178)),"Á","A"),"À","A"),"Â","A"),"Ã","A"),"É","E"),"Ê","E"),"Í","I"),"Ó","O"),"Ô","O"),"Õ","O"),"Ú","U"),"Ü","U"),"Ç","C")&amp;"|"&amp;IF(LEN(J178)=11,MID(J178,4,6),J178)))</f>
        <v/>
      </c>
      <c r="L178" s="25" t="str">
        <f aca="false">IF(K178="","",IF(E178="Doação recebida",TRIM(IF(COUNTIF(Socios!$H:$H,K178)&gt;0,"Doador é sócio de empresa da pauta. ","")&amp;IF(COUNTIF(Pessoas!$E:$E,K178)&gt;0,"Doador está em Pessoas.","")),IF(E178="Despesa com fornecedor",IF(COUNTIF(Contratos!$D:$D,K178)&gt;0,"Fornecedor também tem contrato público",""),"")))</f>
        <v/>
      </c>
      <c r="M178" s="24"/>
      <c r="N178" s="11"/>
    </row>
    <row r="179" customFormat="false" ht="15" hidden="false" customHeight="false" outlineLevel="0" collapsed="false">
      <c r="A179" s="23"/>
      <c r="B179" s="31" t="str">
        <f aca="false">IF(A179="","",SUBSTITUTE(SUBSTITUTE(SUBSTITUTE(SUBSTITUTE(SUBSTITUTE(SUBSTITUTE(SUBSTITUTE(SUBSTITUTE(SUBSTITUTE(SUBSTITUTE(SUBSTITUTE(SUBSTITUTE(SUBSTITUTE(UPPER(TRIM(A179)),"Á","A"),"À","A"),"Â","A"),"Ã","A"),"É","E"),"Ê","E"),"Í","I"),"Ó","O"),"Ô","O"),"Õ","O"),"Ú","U"),"Ü","U"),"Ç","C"))</f>
        <v/>
      </c>
      <c r="C179" s="43"/>
      <c r="D179" s="23"/>
      <c r="E179" s="23"/>
      <c r="F179" s="11"/>
      <c r="G179" s="35"/>
      <c r="H179" s="23"/>
      <c r="I179" s="24"/>
      <c r="J179" s="31" t="str">
        <f aca="false">IF(I179="","",UPPER(SUBSTITUTE(SUBSTITUTE(SUBSTITUTE(SUBSTITUTE(SUBSTITUTE(TRIM(I179),".",""),"/",""),"-",""),"*","")," ","")))</f>
        <v/>
      </c>
      <c r="K179" s="31" t="str">
        <f aca="false">IF(OR(H179="",J179=""),"",IF(LEN(J179)&gt;=13,IF(LEN(J179)=13,"0"&amp;J179,J179),SUBSTITUTE(SUBSTITUTE(SUBSTITUTE(SUBSTITUTE(SUBSTITUTE(SUBSTITUTE(SUBSTITUTE(SUBSTITUTE(SUBSTITUTE(SUBSTITUTE(SUBSTITUTE(SUBSTITUTE(SUBSTITUTE(UPPER(TRIM(H179)),"Á","A"),"À","A"),"Â","A"),"Ã","A"),"É","E"),"Ê","E"),"Í","I"),"Ó","O"),"Ô","O"),"Õ","O"),"Ú","U"),"Ü","U"),"Ç","C")&amp;"|"&amp;IF(LEN(J179)=11,MID(J179,4,6),J179)))</f>
        <v/>
      </c>
      <c r="L179" s="25" t="str">
        <f aca="false">IF(K179="","",IF(E179="Doação recebida",TRIM(IF(COUNTIF(Socios!$H:$H,K179)&gt;0,"Doador é sócio de empresa da pauta. ","")&amp;IF(COUNTIF(Pessoas!$E:$E,K179)&gt;0,"Doador está em Pessoas.","")),IF(E179="Despesa com fornecedor",IF(COUNTIF(Contratos!$D:$D,K179)&gt;0,"Fornecedor também tem contrato público",""),"")))</f>
        <v/>
      </c>
      <c r="M179" s="24"/>
      <c r="N179" s="11"/>
    </row>
    <row r="180" customFormat="false" ht="15" hidden="false" customHeight="false" outlineLevel="0" collapsed="false">
      <c r="A180" s="23"/>
      <c r="B180" s="31" t="str">
        <f aca="false">IF(A180="","",SUBSTITUTE(SUBSTITUTE(SUBSTITUTE(SUBSTITUTE(SUBSTITUTE(SUBSTITUTE(SUBSTITUTE(SUBSTITUTE(SUBSTITUTE(SUBSTITUTE(SUBSTITUTE(SUBSTITUTE(SUBSTITUTE(UPPER(TRIM(A180)),"Á","A"),"À","A"),"Â","A"),"Ã","A"),"É","E"),"Ê","E"),"Í","I"),"Ó","O"),"Ô","O"),"Õ","O"),"Ú","U"),"Ü","U"),"Ç","C"))</f>
        <v/>
      </c>
      <c r="C180" s="43"/>
      <c r="D180" s="23"/>
      <c r="E180" s="23"/>
      <c r="F180" s="11"/>
      <c r="G180" s="35"/>
      <c r="H180" s="23"/>
      <c r="I180" s="24"/>
      <c r="J180" s="31" t="str">
        <f aca="false">IF(I180="","",UPPER(SUBSTITUTE(SUBSTITUTE(SUBSTITUTE(SUBSTITUTE(SUBSTITUTE(TRIM(I180),".",""),"/",""),"-",""),"*","")," ","")))</f>
        <v/>
      </c>
      <c r="K180" s="31" t="str">
        <f aca="false">IF(OR(H180="",J180=""),"",IF(LEN(J180)&gt;=13,IF(LEN(J180)=13,"0"&amp;J180,J180),SUBSTITUTE(SUBSTITUTE(SUBSTITUTE(SUBSTITUTE(SUBSTITUTE(SUBSTITUTE(SUBSTITUTE(SUBSTITUTE(SUBSTITUTE(SUBSTITUTE(SUBSTITUTE(SUBSTITUTE(SUBSTITUTE(UPPER(TRIM(H180)),"Á","A"),"À","A"),"Â","A"),"Ã","A"),"É","E"),"Ê","E"),"Í","I"),"Ó","O"),"Ô","O"),"Õ","O"),"Ú","U"),"Ü","U"),"Ç","C")&amp;"|"&amp;IF(LEN(J180)=11,MID(J180,4,6),J180)))</f>
        <v/>
      </c>
      <c r="L180" s="25" t="str">
        <f aca="false">IF(K180="","",IF(E180="Doação recebida",TRIM(IF(COUNTIF(Socios!$H:$H,K180)&gt;0,"Doador é sócio de empresa da pauta. ","")&amp;IF(COUNTIF(Pessoas!$E:$E,K180)&gt;0,"Doador está em Pessoas.","")),IF(E180="Despesa com fornecedor",IF(COUNTIF(Contratos!$D:$D,K180)&gt;0,"Fornecedor também tem contrato público",""),"")))</f>
        <v/>
      </c>
      <c r="M180" s="24"/>
      <c r="N180" s="11"/>
    </row>
    <row r="181" customFormat="false" ht="15" hidden="false" customHeight="false" outlineLevel="0" collapsed="false">
      <c r="A181" s="23"/>
      <c r="B181" s="31" t="str">
        <f aca="false">IF(A181="","",SUBSTITUTE(SUBSTITUTE(SUBSTITUTE(SUBSTITUTE(SUBSTITUTE(SUBSTITUTE(SUBSTITUTE(SUBSTITUTE(SUBSTITUTE(SUBSTITUTE(SUBSTITUTE(SUBSTITUTE(SUBSTITUTE(UPPER(TRIM(A181)),"Á","A"),"À","A"),"Â","A"),"Ã","A"),"É","E"),"Ê","E"),"Í","I"),"Ó","O"),"Ô","O"),"Õ","O"),"Ú","U"),"Ü","U"),"Ç","C"))</f>
        <v/>
      </c>
      <c r="C181" s="43"/>
      <c r="D181" s="23"/>
      <c r="E181" s="23"/>
      <c r="F181" s="11"/>
      <c r="G181" s="35"/>
      <c r="H181" s="23"/>
      <c r="I181" s="24"/>
      <c r="J181" s="31" t="str">
        <f aca="false">IF(I181="","",UPPER(SUBSTITUTE(SUBSTITUTE(SUBSTITUTE(SUBSTITUTE(SUBSTITUTE(TRIM(I181),".",""),"/",""),"-",""),"*","")," ","")))</f>
        <v/>
      </c>
      <c r="K181" s="31" t="str">
        <f aca="false">IF(OR(H181="",J181=""),"",IF(LEN(J181)&gt;=13,IF(LEN(J181)=13,"0"&amp;J181,J181),SUBSTITUTE(SUBSTITUTE(SUBSTITUTE(SUBSTITUTE(SUBSTITUTE(SUBSTITUTE(SUBSTITUTE(SUBSTITUTE(SUBSTITUTE(SUBSTITUTE(SUBSTITUTE(SUBSTITUTE(SUBSTITUTE(UPPER(TRIM(H181)),"Á","A"),"À","A"),"Â","A"),"Ã","A"),"É","E"),"Ê","E"),"Í","I"),"Ó","O"),"Ô","O"),"Õ","O"),"Ú","U"),"Ü","U"),"Ç","C")&amp;"|"&amp;IF(LEN(J181)=11,MID(J181,4,6),J181)))</f>
        <v/>
      </c>
      <c r="L181" s="25" t="str">
        <f aca="false">IF(K181="","",IF(E181="Doação recebida",TRIM(IF(COUNTIF(Socios!$H:$H,K181)&gt;0,"Doador é sócio de empresa da pauta. ","")&amp;IF(COUNTIF(Pessoas!$E:$E,K181)&gt;0,"Doador está em Pessoas.","")),IF(E181="Despesa com fornecedor",IF(COUNTIF(Contratos!$D:$D,K181)&gt;0,"Fornecedor também tem contrato público",""),"")))</f>
        <v/>
      </c>
      <c r="M181" s="24"/>
      <c r="N181" s="11"/>
    </row>
    <row r="182" customFormat="false" ht="15" hidden="false" customHeight="false" outlineLevel="0" collapsed="false">
      <c r="A182" s="23"/>
      <c r="B182" s="31" t="str">
        <f aca="false">IF(A182="","",SUBSTITUTE(SUBSTITUTE(SUBSTITUTE(SUBSTITUTE(SUBSTITUTE(SUBSTITUTE(SUBSTITUTE(SUBSTITUTE(SUBSTITUTE(SUBSTITUTE(SUBSTITUTE(SUBSTITUTE(SUBSTITUTE(UPPER(TRIM(A182)),"Á","A"),"À","A"),"Â","A"),"Ã","A"),"É","E"),"Ê","E"),"Í","I"),"Ó","O"),"Ô","O"),"Õ","O"),"Ú","U"),"Ü","U"),"Ç","C"))</f>
        <v/>
      </c>
      <c r="C182" s="43"/>
      <c r="D182" s="23"/>
      <c r="E182" s="23"/>
      <c r="F182" s="11"/>
      <c r="G182" s="35"/>
      <c r="H182" s="23"/>
      <c r="I182" s="24"/>
      <c r="J182" s="31" t="str">
        <f aca="false">IF(I182="","",UPPER(SUBSTITUTE(SUBSTITUTE(SUBSTITUTE(SUBSTITUTE(SUBSTITUTE(TRIM(I182),".",""),"/",""),"-",""),"*","")," ","")))</f>
        <v/>
      </c>
      <c r="K182" s="31" t="str">
        <f aca="false">IF(OR(H182="",J182=""),"",IF(LEN(J182)&gt;=13,IF(LEN(J182)=13,"0"&amp;J182,J182),SUBSTITUTE(SUBSTITUTE(SUBSTITUTE(SUBSTITUTE(SUBSTITUTE(SUBSTITUTE(SUBSTITUTE(SUBSTITUTE(SUBSTITUTE(SUBSTITUTE(SUBSTITUTE(SUBSTITUTE(SUBSTITUTE(UPPER(TRIM(H182)),"Á","A"),"À","A"),"Â","A"),"Ã","A"),"É","E"),"Ê","E"),"Í","I"),"Ó","O"),"Ô","O"),"Õ","O"),"Ú","U"),"Ü","U"),"Ç","C")&amp;"|"&amp;IF(LEN(J182)=11,MID(J182,4,6),J182)))</f>
        <v/>
      </c>
      <c r="L182" s="25" t="str">
        <f aca="false">IF(K182="","",IF(E182="Doação recebida",TRIM(IF(COUNTIF(Socios!$H:$H,K182)&gt;0,"Doador é sócio de empresa da pauta. ","")&amp;IF(COUNTIF(Pessoas!$E:$E,K182)&gt;0,"Doador está em Pessoas.","")),IF(E182="Despesa com fornecedor",IF(COUNTIF(Contratos!$D:$D,K182)&gt;0,"Fornecedor também tem contrato público",""),"")))</f>
        <v/>
      </c>
      <c r="M182" s="24"/>
      <c r="N182" s="11"/>
    </row>
    <row r="183" customFormat="false" ht="15" hidden="false" customHeight="false" outlineLevel="0" collapsed="false">
      <c r="A183" s="23"/>
      <c r="B183" s="31" t="str">
        <f aca="false">IF(A183="","",SUBSTITUTE(SUBSTITUTE(SUBSTITUTE(SUBSTITUTE(SUBSTITUTE(SUBSTITUTE(SUBSTITUTE(SUBSTITUTE(SUBSTITUTE(SUBSTITUTE(SUBSTITUTE(SUBSTITUTE(SUBSTITUTE(UPPER(TRIM(A183)),"Á","A"),"À","A"),"Â","A"),"Ã","A"),"É","E"),"Ê","E"),"Í","I"),"Ó","O"),"Ô","O"),"Õ","O"),"Ú","U"),"Ü","U"),"Ç","C"))</f>
        <v/>
      </c>
      <c r="C183" s="43"/>
      <c r="D183" s="23"/>
      <c r="E183" s="23"/>
      <c r="F183" s="11"/>
      <c r="G183" s="35"/>
      <c r="H183" s="23"/>
      <c r="I183" s="24"/>
      <c r="J183" s="31" t="str">
        <f aca="false">IF(I183="","",UPPER(SUBSTITUTE(SUBSTITUTE(SUBSTITUTE(SUBSTITUTE(SUBSTITUTE(TRIM(I183),".",""),"/",""),"-",""),"*","")," ","")))</f>
        <v/>
      </c>
      <c r="K183" s="31" t="str">
        <f aca="false">IF(OR(H183="",J183=""),"",IF(LEN(J183)&gt;=13,IF(LEN(J183)=13,"0"&amp;J183,J183),SUBSTITUTE(SUBSTITUTE(SUBSTITUTE(SUBSTITUTE(SUBSTITUTE(SUBSTITUTE(SUBSTITUTE(SUBSTITUTE(SUBSTITUTE(SUBSTITUTE(SUBSTITUTE(SUBSTITUTE(SUBSTITUTE(UPPER(TRIM(H183)),"Á","A"),"À","A"),"Â","A"),"Ã","A"),"É","E"),"Ê","E"),"Í","I"),"Ó","O"),"Ô","O"),"Õ","O"),"Ú","U"),"Ü","U"),"Ç","C")&amp;"|"&amp;IF(LEN(J183)=11,MID(J183,4,6),J183)))</f>
        <v/>
      </c>
      <c r="L183" s="25" t="str">
        <f aca="false">IF(K183="","",IF(E183="Doação recebida",TRIM(IF(COUNTIF(Socios!$H:$H,K183)&gt;0,"Doador é sócio de empresa da pauta. ","")&amp;IF(COUNTIF(Pessoas!$E:$E,K183)&gt;0,"Doador está em Pessoas.","")),IF(E183="Despesa com fornecedor",IF(COUNTIF(Contratos!$D:$D,K183)&gt;0,"Fornecedor também tem contrato público",""),"")))</f>
        <v/>
      </c>
      <c r="M183" s="24"/>
      <c r="N183" s="11"/>
    </row>
    <row r="184" customFormat="false" ht="15" hidden="false" customHeight="false" outlineLevel="0" collapsed="false">
      <c r="A184" s="23"/>
      <c r="B184" s="31" t="str">
        <f aca="false">IF(A184="","",SUBSTITUTE(SUBSTITUTE(SUBSTITUTE(SUBSTITUTE(SUBSTITUTE(SUBSTITUTE(SUBSTITUTE(SUBSTITUTE(SUBSTITUTE(SUBSTITUTE(SUBSTITUTE(SUBSTITUTE(SUBSTITUTE(UPPER(TRIM(A184)),"Á","A"),"À","A"),"Â","A"),"Ã","A"),"É","E"),"Ê","E"),"Í","I"),"Ó","O"),"Ô","O"),"Õ","O"),"Ú","U"),"Ü","U"),"Ç","C"))</f>
        <v/>
      </c>
      <c r="C184" s="43"/>
      <c r="D184" s="23"/>
      <c r="E184" s="23"/>
      <c r="F184" s="11"/>
      <c r="G184" s="35"/>
      <c r="H184" s="23"/>
      <c r="I184" s="24"/>
      <c r="J184" s="31" t="str">
        <f aca="false">IF(I184="","",UPPER(SUBSTITUTE(SUBSTITUTE(SUBSTITUTE(SUBSTITUTE(SUBSTITUTE(TRIM(I184),".",""),"/",""),"-",""),"*","")," ","")))</f>
        <v/>
      </c>
      <c r="K184" s="31" t="str">
        <f aca="false">IF(OR(H184="",J184=""),"",IF(LEN(J184)&gt;=13,IF(LEN(J184)=13,"0"&amp;J184,J184),SUBSTITUTE(SUBSTITUTE(SUBSTITUTE(SUBSTITUTE(SUBSTITUTE(SUBSTITUTE(SUBSTITUTE(SUBSTITUTE(SUBSTITUTE(SUBSTITUTE(SUBSTITUTE(SUBSTITUTE(SUBSTITUTE(UPPER(TRIM(H184)),"Á","A"),"À","A"),"Â","A"),"Ã","A"),"É","E"),"Ê","E"),"Í","I"),"Ó","O"),"Ô","O"),"Õ","O"),"Ú","U"),"Ü","U"),"Ç","C")&amp;"|"&amp;IF(LEN(J184)=11,MID(J184,4,6),J184)))</f>
        <v/>
      </c>
      <c r="L184" s="25" t="str">
        <f aca="false">IF(K184="","",IF(E184="Doação recebida",TRIM(IF(COUNTIF(Socios!$H:$H,K184)&gt;0,"Doador é sócio de empresa da pauta. ","")&amp;IF(COUNTIF(Pessoas!$E:$E,K184)&gt;0,"Doador está em Pessoas.","")),IF(E184="Despesa com fornecedor",IF(COUNTIF(Contratos!$D:$D,K184)&gt;0,"Fornecedor também tem contrato público",""),"")))</f>
        <v/>
      </c>
      <c r="M184" s="24"/>
      <c r="N184" s="11"/>
    </row>
    <row r="185" customFormat="false" ht="15" hidden="false" customHeight="false" outlineLevel="0" collapsed="false">
      <c r="A185" s="23"/>
      <c r="B185" s="31" t="str">
        <f aca="false">IF(A185="","",SUBSTITUTE(SUBSTITUTE(SUBSTITUTE(SUBSTITUTE(SUBSTITUTE(SUBSTITUTE(SUBSTITUTE(SUBSTITUTE(SUBSTITUTE(SUBSTITUTE(SUBSTITUTE(SUBSTITUTE(SUBSTITUTE(UPPER(TRIM(A185)),"Á","A"),"À","A"),"Â","A"),"Ã","A"),"É","E"),"Ê","E"),"Í","I"),"Ó","O"),"Ô","O"),"Õ","O"),"Ú","U"),"Ü","U"),"Ç","C"))</f>
        <v/>
      </c>
      <c r="C185" s="43"/>
      <c r="D185" s="23"/>
      <c r="E185" s="23"/>
      <c r="F185" s="11"/>
      <c r="G185" s="35"/>
      <c r="H185" s="23"/>
      <c r="I185" s="24"/>
      <c r="J185" s="31" t="str">
        <f aca="false">IF(I185="","",UPPER(SUBSTITUTE(SUBSTITUTE(SUBSTITUTE(SUBSTITUTE(SUBSTITUTE(TRIM(I185),".",""),"/",""),"-",""),"*","")," ","")))</f>
        <v/>
      </c>
      <c r="K185" s="31" t="str">
        <f aca="false">IF(OR(H185="",J185=""),"",IF(LEN(J185)&gt;=13,IF(LEN(J185)=13,"0"&amp;J185,J185),SUBSTITUTE(SUBSTITUTE(SUBSTITUTE(SUBSTITUTE(SUBSTITUTE(SUBSTITUTE(SUBSTITUTE(SUBSTITUTE(SUBSTITUTE(SUBSTITUTE(SUBSTITUTE(SUBSTITUTE(SUBSTITUTE(UPPER(TRIM(H185)),"Á","A"),"À","A"),"Â","A"),"Ã","A"),"É","E"),"Ê","E"),"Í","I"),"Ó","O"),"Ô","O"),"Õ","O"),"Ú","U"),"Ü","U"),"Ç","C")&amp;"|"&amp;IF(LEN(J185)=11,MID(J185,4,6),J185)))</f>
        <v/>
      </c>
      <c r="L185" s="25" t="str">
        <f aca="false">IF(K185="","",IF(E185="Doação recebida",TRIM(IF(COUNTIF(Socios!$H:$H,K185)&gt;0,"Doador é sócio de empresa da pauta. ","")&amp;IF(COUNTIF(Pessoas!$E:$E,K185)&gt;0,"Doador está em Pessoas.","")),IF(E185="Despesa com fornecedor",IF(COUNTIF(Contratos!$D:$D,K185)&gt;0,"Fornecedor também tem contrato público",""),"")))</f>
        <v/>
      </c>
      <c r="M185" s="24"/>
      <c r="N185" s="11"/>
    </row>
    <row r="186" customFormat="false" ht="15" hidden="false" customHeight="false" outlineLevel="0" collapsed="false">
      <c r="A186" s="23"/>
      <c r="B186" s="31" t="str">
        <f aca="false">IF(A186="","",SUBSTITUTE(SUBSTITUTE(SUBSTITUTE(SUBSTITUTE(SUBSTITUTE(SUBSTITUTE(SUBSTITUTE(SUBSTITUTE(SUBSTITUTE(SUBSTITUTE(SUBSTITUTE(SUBSTITUTE(SUBSTITUTE(UPPER(TRIM(A186)),"Á","A"),"À","A"),"Â","A"),"Ã","A"),"É","E"),"Ê","E"),"Í","I"),"Ó","O"),"Ô","O"),"Õ","O"),"Ú","U"),"Ü","U"),"Ç","C"))</f>
        <v/>
      </c>
      <c r="C186" s="43"/>
      <c r="D186" s="23"/>
      <c r="E186" s="23"/>
      <c r="F186" s="11"/>
      <c r="G186" s="35"/>
      <c r="H186" s="23"/>
      <c r="I186" s="24"/>
      <c r="J186" s="31" t="str">
        <f aca="false">IF(I186="","",UPPER(SUBSTITUTE(SUBSTITUTE(SUBSTITUTE(SUBSTITUTE(SUBSTITUTE(TRIM(I186),".",""),"/",""),"-",""),"*","")," ","")))</f>
        <v/>
      </c>
      <c r="K186" s="31" t="str">
        <f aca="false">IF(OR(H186="",J186=""),"",IF(LEN(J186)&gt;=13,IF(LEN(J186)=13,"0"&amp;J186,J186),SUBSTITUTE(SUBSTITUTE(SUBSTITUTE(SUBSTITUTE(SUBSTITUTE(SUBSTITUTE(SUBSTITUTE(SUBSTITUTE(SUBSTITUTE(SUBSTITUTE(SUBSTITUTE(SUBSTITUTE(SUBSTITUTE(UPPER(TRIM(H186)),"Á","A"),"À","A"),"Â","A"),"Ã","A"),"É","E"),"Ê","E"),"Í","I"),"Ó","O"),"Ô","O"),"Õ","O"),"Ú","U"),"Ü","U"),"Ç","C")&amp;"|"&amp;IF(LEN(J186)=11,MID(J186,4,6),J186)))</f>
        <v/>
      </c>
      <c r="L186" s="25" t="str">
        <f aca="false">IF(K186="","",IF(E186="Doação recebida",TRIM(IF(COUNTIF(Socios!$H:$H,K186)&gt;0,"Doador é sócio de empresa da pauta. ","")&amp;IF(COUNTIF(Pessoas!$E:$E,K186)&gt;0,"Doador está em Pessoas.","")),IF(E186="Despesa com fornecedor",IF(COUNTIF(Contratos!$D:$D,K186)&gt;0,"Fornecedor também tem contrato público",""),"")))</f>
        <v/>
      </c>
      <c r="M186" s="24"/>
      <c r="N186" s="11"/>
    </row>
    <row r="187" customFormat="false" ht="15" hidden="false" customHeight="false" outlineLevel="0" collapsed="false">
      <c r="A187" s="23"/>
      <c r="B187" s="31" t="str">
        <f aca="false">IF(A187="","",SUBSTITUTE(SUBSTITUTE(SUBSTITUTE(SUBSTITUTE(SUBSTITUTE(SUBSTITUTE(SUBSTITUTE(SUBSTITUTE(SUBSTITUTE(SUBSTITUTE(SUBSTITUTE(SUBSTITUTE(SUBSTITUTE(UPPER(TRIM(A187)),"Á","A"),"À","A"),"Â","A"),"Ã","A"),"É","E"),"Ê","E"),"Í","I"),"Ó","O"),"Ô","O"),"Õ","O"),"Ú","U"),"Ü","U"),"Ç","C"))</f>
        <v/>
      </c>
      <c r="C187" s="43"/>
      <c r="D187" s="23"/>
      <c r="E187" s="23"/>
      <c r="F187" s="11"/>
      <c r="G187" s="35"/>
      <c r="H187" s="23"/>
      <c r="I187" s="24"/>
      <c r="J187" s="31" t="str">
        <f aca="false">IF(I187="","",UPPER(SUBSTITUTE(SUBSTITUTE(SUBSTITUTE(SUBSTITUTE(SUBSTITUTE(TRIM(I187),".",""),"/",""),"-",""),"*","")," ","")))</f>
        <v/>
      </c>
      <c r="K187" s="31" t="str">
        <f aca="false">IF(OR(H187="",J187=""),"",IF(LEN(J187)&gt;=13,IF(LEN(J187)=13,"0"&amp;J187,J187),SUBSTITUTE(SUBSTITUTE(SUBSTITUTE(SUBSTITUTE(SUBSTITUTE(SUBSTITUTE(SUBSTITUTE(SUBSTITUTE(SUBSTITUTE(SUBSTITUTE(SUBSTITUTE(SUBSTITUTE(SUBSTITUTE(UPPER(TRIM(H187)),"Á","A"),"À","A"),"Â","A"),"Ã","A"),"É","E"),"Ê","E"),"Í","I"),"Ó","O"),"Ô","O"),"Õ","O"),"Ú","U"),"Ü","U"),"Ç","C")&amp;"|"&amp;IF(LEN(J187)=11,MID(J187,4,6),J187)))</f>
        <v/>
      </c>
      <c r="L187" s="25" t="str">
        <f aca="false">IF(K187="","",IF(E187="Doação recebida",TRIM(IF(COUNTIF(Socios!$H:$H,K187)&gt;0,"Doador é sócio de empresa da pauta. ","")&amp;IF(COUNTIF(Pessoas!$E:$E,K187)&gt;0,"Doador está em Pessoas.","")),IF(E187="Despesa com fornecedor",IF(COUNTIF(Contratos!$D:$D,K187)&gt;0,"Fornecedor também tem contrato público",""),"")))</f>
        <v/>
      </c>
      <c r="M187" s="24"/>
      <c r="N187" s="11"/>
    </row>
    <row r="188" customFormat="false" ht="15" hidden="false" customHeight="false" outlineLevel="0" collapsed="false">
      <c r="A188" s="23"/>
      <c r="B188" s="31" t="str">
        <f aca="false">IF(A188="","",SUBSTITUTE(SUBSTITUTE(SUBSTITUTE(SUBSTITUTE(SUBSTITUTE(SUBSTITUTE(SUBSTITUTE(SUBSTITUTE(SUBSTITUTE(SUBSTITUTE(SUBSTITUTE(SUBSTITUTE(SUBSTITUTE(UPPER(TRIM(A188)),"Á","A"),"À","A"),"Â","A"),"Ã","A"),"É","E"),"Ê","E"),"Í","I"),"Ó","O"),"Ô","O"),"Õ","O"),"Ú","U"),"Ü","U"),"Ç","C"))</f>
        <v/>
      </c>
      <c r="C188" s="43"/>
      <c r="D188" s="23"/>
      <c r="E188" s="23"/>
      <c r="F188" s="11"/>
      <c r="G188" s="35"/>
      <c r="H188" s="23"/>
      <c r="I188" s="24"/>
      <c r="J188" s="31" t="str">
        <f aca="false">IF(I188="","",UPPER(SUBSTITUTE(SUBSTITUTE(SUBSTITUTE(SUBSTITUTE(SUBSTITUTE(TRIM(I188),".",""),"/",""),"-",""),"*","")," ","")))</f>
        <v/>
      </c>
      <c r="K188" s="31" t="str">
        <f aca="false">IF(OR(H188="",J188=""),"",IF(LEN(J188)&gt;=13,IF(LEN(J188)=13,"0"&amp;J188,J188),SUBSTITUTE(SUBSTITUTE(SUBSTITUTE(SUBSTITUTE(SUBSTITUTE(SUBSTITUTE(SUBSTITUTE(SUBSTITUTE(SUBSTITUTE(SUBSTITUTE(SUBSTITUTE(SUBSTITUTE(SUBSTITUTE(UPPER(TRIM(H188)),"Á","A"),"À","A"),"Â","A"),"Ã","A"),"É","E"),"Ê","E"),"Í","I"),"Ó","O"),"Ô","O"),"Õ","O"),"Ú","U"),"Ü","U"),"Ç","C")&amp;"|"&amp;IF(LEN(J188)=11,MID(J188,4,6),J188)))</f>
        <v/>
      </c>
      <c r="L188" s="25" t="str">
        <f aca="false">IF(K188="","",IF(E188="Doação recebida",TRIM(IF(COUNTIF(Socios!$H:$H,K188)&gt;0,"Doador é sócio de empresa da pauta. ","")&amp;IF(COUNTIF(Pessoas!$E:$E,K188)&gt;0,"Doador está em Pessoas.","")),IF(E188="Despesa com fornecedor",IF(COUNTIF(Contratos!$D:$D,K188)&gt;0,"Fornecedor também tem contrato público",""),"")))</f>
        <v/>
      </c>
      <c r="M188" s="24"/>
      <c r="N188" s="11"/>
    </row>
    <row r="189" customFormat="false" ht="15" hidden="false" customHeight="false" outlineLevel="0" collapsed="false">
      <c r="A189" s="23"/>
      <c r="B189" s="31" t="str">
        <f aca="false">IF(A189="","",SUBSTITUTE(SUBSTITUTE(SUBSTITUTE(SUBSTITUTE(SUBSTITUTE(SUBSTITUTE(SUBSTITUTE(SUBSTITUTE(SUBSTITUTE(SUBSTITUTE(SUBSTITUTE(SUBSTITUTE(SUBSTITUTE(UPPER(TRIM(A189)),"Á","A"),"À","A"),"Â","A"),"Ã","A"),"É","E"),"Ê","E"),"Í","I"),"Ó","O"),"Ô","O"),"Õ","O"),"Ú","U"),"Ü","U"),"Ç","C"))</f>
        <v/>
      </c>
      <c r="C189" s="43"/>
      <c r="D189" s="23"/>
      <c r="E189" s="23"/>
      <c r="F189" s="11"/>
      <c r="G189" s="35"/>
      <c r="H189" s="23"/>
      <c r="I189" s="24"/>
      <c r="J189" s="31" t="str">
        <f aca="false">IF(I189="","",UPPER(SUBSTITUTE(SUBSTITUTE(SUBSTITUTE(SUBSTITUTE(SUBSTITUTE(TRIM(I189),".",""),"/",""),"-",""),"*","")," ","")))</f>
        <v/>
      </c>
      <c r="K189" s="31" t="str">
        <f aca="false">IF(OR(H189="",J189=""),"",IF(LEN(J189)&gt;=13,IF(LEN(J189)=13,"0"&amp;J189,J189),SUBSTITUTE(SUBSTITUTE(SUBSTITUTE(SUBSTITUTE(SUBSTITUTE(SUBSTITUTE(SUBSTITUTE(SUBSTITUTE(SUBSTITUTE(SUBSTITUTE(SUBSTITUTE(SUBSTITUTE(SUBSTITUTE(UPPER(TRIM(H189)),"Á","A"),"À","A"),"Â","A"),"Ã","A"),"É","E"),"Ê","E"),"Í","I"),"Ó","O"),"Ô","O"),"Õ","O"),"Ú","U"),"Ü","U"),"Ç","C")&amp;"|"&amp;IF(LEN(J189)=11,MID(J189,4,6),J189)))</f>
        <v/>
      </c>
      <c r="L189" s="25" t="str">
        <f aca="false">IF(K189="","",IF(E189="Doação recebida",TRIM(IF(COUNTIF(Socios!$H:$H,K189)&gt;0,"Doador é sócio de empresa da pauta. ","")&amp;IF(COUNTIF(Pessoas!$E:$E,K189)&gt;0,"Doador está em Pessoas.","")),IF(E189="Despesa com fornecedor",IF(COUNTIF(Contratos!$D:$D,K189)&gt;0,"Fornecedor também tem contrato público",""),"")))</f>
        <v/>
      </c>
      <c r="M189" s="24"/>
      <c r="N189" s="11"/>
    </row>
    <row r="190" customFormat="false" ht="15" hidden="false" customHeight="false" outlineLevel="0" collapsed="false">
      <c r="A190" s="23"/>
      <c r="B190" s="31" t="str">
        <f aca="false">IF(A190="","",SUBSTITUTE(SUBSTITUTE(SUBSTITUTE(SUBSTITUTE(SUBSTITUTE(SUBSTITUTE(SUBSTITUTE(SUBSTITUTE(SUBSTITUTE(SUBSTITUTE(SUBSTITUTE(SUBSTITUTE(SUBSTITUTE(UPPER(TRIM(A190)),"Á","A"),"À","A"),"Â","A"),"Ã","A"),"É","E"),"Ê","E"),"Í","I"),"Ó","O"),"Ô","O"),"Õ","O"),"Ú","U"),"Ü","U"),"Ç","C"))</f>
        <v/>
      </c>
      <c r="C190" s="43"/>
      <c r="D190" s="23"/>
      <c r="E190" s="23"/>
      <c r="F190" s="11"/>
      <c r="G190" s="35"/>
      <c r="H190" s="23"/>
      <c r="I190" s="24"/>
      <c r="J190" s="31" t="str">
        <f aca="false">IF(I190="","",UPPER(SUBSTITUTE(SUBSTITUTE(SUBSTITUTE(SUBSTITUTE(SUBSTITUTE(TRIM(I190),".",""),"/",""),"-",""),"*","")," ","")))</f>
        <v/>
      </c>
      <c r="K190" s="31" t="str">
        <f aca="false">IF(OR(H190="",J190=""),"",IF(LEN(J190)&gt;=13,IF(LEN(J190)=13,"0"&amp;J190,J190),SUBSTITUTE(SUBSTITUTE(SUBSTITUTE(SUBSTITUTE(SUBSTITUTE(SUBSTITUTE(SUBSTITUTE(SUBSTITUTE(SUBSTITUTE(SUBSTITUTE(SUBSTITUTE(SUBSTITUTE(SUBSTITUTE(UPPER(TRIM(H190)),"Á","A"),"À","A"),"Â","A"),"Ã","A"),"É","E"),"Ê","E"),"Í","I"),"Ó","O"),"Ô","O"),"Õ","O"),"Ú","U"),"Ü","U"),"Ç","C")&amp;"|"&amp;IF(LEN(J190)=11,MID(J190,4,6),J190)))</f>
        <v/>
      </c>
      <c r="L190" s="25" t="str">
        <f aca="false">IF(K190="","",IF(E190="Doação recebida",TRIM(IF(COUNTIF(Socios!$H:$H,K190)&gt;0,"Doador é sócio de empresa da pauta. ","")&amp;IF(COUNTIF(Pessoas!$E:$E,K190)&gt;0,"Doador está em Pessoas.","")),IF(E190="Despesa com fornecedor",IF(COUNTIF(Contratos!$D:$D,K190)&gt;0,"Fornecedor também tem contrato público",""),"")))</f>
        <v/>
      </c>
      <c r="M190" s="24"/>
      <c r="N190" s="11"/>
    </row>
    <row r="191" customFormat="false" ht="15" hidden="false" customHeight="false" outlineLevel="0" collapsed="false">
      <c r="A191" s="23"/>
      <c r="B191" s="31" t="str">
        <f aca="false">IF(A191="","",SUBSTITUTE(SUBSTITUTE(SUBSTITUTE(SUBSTITUTE(SUBSTITUTE(SUBSTITUTE(SUBSTITUTE(SUBSTITUTE(SUBSTITUTE(SUBSTITUTE(SUBSTITUTE(SUBSTITUTE(SUBSTITUTE(UPPER(TRIM(A191)),"Á","A"),"À","A"),"Â","A"),"Ã","A"),"É","E"),"Ê","E"),"Í","I"),"Ó","O"),"Ô","O"),"Õ","O"),"Ú","U"),"Ü","U"),"Ç","C"))</f>
        <v/>
      </c>
      <c r="C191" s="43"/>
      <c r="D191" s="23"/>
      <c r="E191" s="23"/>
      <c r="F191" s="11"/>
      <c r="G191" s="35"/>
      <c r="H191" s="23"/>
      <c r="I191" s="24"/>
      <c r="J191" s="31" t="str">
        <f aca="false">IF(I191="","",UPPER(SUBSTITUTE(SUBSTITUTE(SUBSTITUTE(SUBSTITUTE(SUBSTITUTE(TRIM(I191),".",""),"/",""),"-",""),"*","")," ","")))</f>
        <v/>
      </c>
      <c r="K191" s="31" t="str">
        <f aca="false">IF(OR(H191="",J191=""),"",IF(LEN(J191)&gt;=13,IF(LEN(J191)=13,"0"&amp;J191,J191),SUBSTITUTE(SUBSTITUTE(SUBSTITUTE(SUBSTITUTE(SUBSTITUTE(SUBSTITUTE(SUBSTITUTE(SUBSTITUTE(SUBSTITUTE(SUBSTITUTE(SUBSTITUTE(SUBSTITUTE(SUBSTITUTE(UPPER(TRIM(H191)),"Á","A"),"À","A"),"Â","A"),"Ã","A"),"É","E"),"Ê","E"),"Í","I"),"Ó","O"),"Ô","O"),"Õ","O"),"Ú","U"),"Ü","U"),"Ç","C")&amp;"|"&amp;IF(LEN(J191)=11,MID(J191,4,6),J191)))</f>
        <v/>
      </c>
      <c r="L191" s="25" t="str">
        <f aca="false">IF(K191="","",IF(E191="Doação recebida",TRIM(IF(COUNTIF(Socios!$H:$H,K191)&gt;0,"Doador é sócio de empresa da pauta. ","")&amp;IF(COUNTIF(Pessoas!$E:$E,K191)&gt;0,"Doador está em Pessoas.","")),IF(E191="Despesa com fornecedor",IF(COUNTIF(Contratos!$D:$D,K191)&gt;0,"Fornecedor também tem contrato público",""),"")))</f>
        <v/>
      </c>
      <c r="M191" s="24"/>
      <c r="N191" s="11"/>
    </row>
    <row r="192" customFormat="false" ht="15" hidden="false" customHeight="false" outlineLevel="0" collapsed="false">
      <c r="A192" s="23"/>
      <c r="B192" s="31" t="str">
        <f aca="false">IF(A192="","",SUBSTITUTE(SUBSTITUTE(SUBSTITUTE(SUBSTITUTE(SUBSTITUTE(SUBSTITUTE(SUBSTITUTE(SUBSTITUTE(SUBSTITUTE(SUBSTITUTE(SUBSTITUTE(SUBSTITUTE(SUBSTITUTE(UPPER(TRIM(A192)),"Á","A"),"À","A"),"Â","A"),"Ã","A"),"É","E"),"Ê","E"),"Í","I"),"Ó","O"),"Ô","O"),"Õ","O"),"Ú","U"),"Ü","U"),"Ç","C"))</f>
        <v/>
      </c>
      <c r="C192" s="43"/>
      <c r="D192" s="23"/>
      <c r="E192" s="23"/>
      <c r="F192" s="11"/>
      <c r="G192" s="35"/>
      <c r="H192" s="23"/>
      <c r="I192" s="24"/>
      <c r="J192" s="31" t="str">
        <f aca="false">IF(I192="","",UPPER(SUBSTITUTE(SUBSTITUTE(SUBSTITUTE(SUBSTITUTE(SUBSTITUTE(TRIM(I192),".",""),"/",""),"-",""),"*","")," ","")))</f>
        <v/>
      </c>
      <c r="K192" s="31" t="str">
        <f aca="false">IF(OR(H192="",J192=""),"",IF(LEN(J192)&gt;=13,IF(LEN(J192)=13,"0"&amp;J192,J192),SUBSTITUTE(SUBSTITUTE(SUBSTITUTE(SUBSTITUTE(SUBSTITUTE(SUBSTITUTE(SUBSTITUTE(SUBSTITUTE(SUBSTITUTE(SUBSTITUTE(SUBSTITUTE(SUBSTITUTE(SUBSTITUTE(UPPER(TRIM(H192)),"Á","A"),"À","A"),"Â","A"),"Ã","A"),"É","E"),"Ê","E"),"Í","I"),"Ó","O"),"Ô","O"),"Õ","O"),"Ú","U"),"Ü","U"),"Ç","C")&amp;"|"&amp;IF(LEN(J192)=11,MID(J192,4,6),J192)))</f>
        <v/>
      </c>
      <c r="L192" s="25" t="str">
        <f aca="false">IF(K192="","",IF(E192="Doação recebida",TRIM(IF(COUNTIF(Socios!$H:$H,K192)&gt;0,"Doador é sócio de empresa da pauta. ","")&amp;IF(COUNTIF(Pessoas!$E:$E,K192)&gt;0,"Doador está em Pessoas.","")),IF(E192="Despesa com fornecedor",IF(COUNTIF(Contratos!$D:$D,K192)&gt;0,"Fornecedor também tem contrato público",""),"")))</f>
        <v/>
      </c>
      <c r="M192" s="24"/>
      <c r="N192" s="11"/>
    </row>
    <row r="193" customFormat="false" ht="15" hidden="false" customHeight="false" outlineLevel="0" collapsed="false">
      <c r="A193" s="23"/>
      <c r="B193" s="31" t="str">
        <f aca="false">IF(A193="","",SUBSTITUTE(SUBSTITUTE(SUBSTITUTE(SUBSTITUTE(SUBSTITUTE(SUBSTITUTE(SUBSTITUTE(SUBSTITUTE(SUBSTITUTE(SUBSTITUTE(SUBSTITUTE(SUBSTITUTE(SUBSTITUTE(UPPER(TRIM(A193)),"Á","A"),"À","A"),"Â","A"),"Ã","A"),"É","E"),"Ê","E"),"Í","I"),"Ó","O"),"Ô","O"),"Õ","O"),"Ú","U"),"Ü","U"),"Ç","C"))</f>
        <v/>
      </c>
      <c r="C193" s="43"/>
      <c r="D193" s="23"/>
      <c r="E193" s="23"/>
      <c r="F193" s="11"/>
      <c r="G193" s="35"/>
      <c r="H193" s="23"/>
      <c r="I193" s="24"/>
      <c r="J193" s="31" t="str">
        <f aca="false">IF(I193="","",UPPER(SUBSTITUTE(SUBSTITUTE(SUBSTITUTE(SUBSTITUTE(SUBSTITUTE(TRIM(I193),".",""),"/",""),"-",""),"*","")," ","")))</f>
        <v/>
      </c>
      <c r="K193" s="31" t="str">
        <f aca="false">IF(OR(H193="",J193=""),"",IF(LEN(J193)&gt;=13,IF(LEN(J193)=13,"0"&amp;J193,J193),SUBSTITUTE(SUBSTITUTE(SUBSTITUTE(SUBSTITUTE(SUBSTITUTE(SUBSTITUTE(SUBSTITUTE(SUBSTITUTE(SUBSTITUTE(SUBSTITUTE(SUBSTITUTE(SUBSTITUTE(SUBSTITUTE(UPPER(TRIM(H193)),"Á","A"),"À","A"),"Â","A"),"Ã","A"),"É","E"),"Ê","E"),"Í","I"),"Ó","O"),"Ô","O"),"Õ","O"),"Ú","U"),"Ü","U"),"Ç","C")&amp;"|"&amp;IF(LEN(J193)=11,MID(J193,4,6),J193)))</f>
        <v/>
      </c>
      <c r="L193" s="25" t="str">
        <f aca="false">IF(K193="","",IF(E193="Doação recebida",TRIM(IF(COUNTIF(Socios!$H:$H,K193)&gt;0,"Doador é sócio de empresa da pauta. ","")&amp;IF(COUNTIF(Pessoas!$E:$E,K193)&gt;0,"Doador está em Pessoas.","")),IF(E193="Despesa com fornecedor",IF(COUNTIF(Contratos!$D:$D,K193)&gt;0,"Fornecedor também tem contrato público",""),"")))</f>
        <v/>
      </c>
      <c r="M193" s="24"/>
      <c r="N193" s="11"/>
    </row>
    <row r="194" customFormat="false" ht="15" hidden="false" customHeight="false" outlineLevel="0" collapsed="false">
      <c r="A194" s="23"/>
      <c r="B194" s="31" t="str">
        <f aca="false">IF(A194="","",SUBSTITUTE(SUBSTITUTE(SUBSTITUTE(SUBSTITUTE(SUBSTITUTE(SUBSTITUTE(SUBSTITUTE(SUBSTITUTE(SUBSTITUTE(SUBSTITUTE(SUBSTITUTE(SUBSTITUTE(SUBSTITUTE(UPPER(TRIM(A194)),"Á","A"),"À","A"),"Â","A"),"Ã","A"),"É","E"),"Ê","E"),"Í","I"),"Ó","O"),"Ô","O"),"Õ","O"),"Ú","U"),"Ü","U"),"Ç","C"))</f>
        <v/>
      </c>
      <c r="C194" s="43"/>
      <c r="D194" s="23"/>
      <c r="E194" s="23"/>
      <c r="F194" s="11"/>
      <c r="G194" s="35"/>
      <c r="H194" s="23"/>
      <c r="I194" s="24"/>
      <c r="J194" s="31" t="str">
        <f aca="false">IF(I194="","",UPPER(SUBSTITUTE(SUBSTITUTE(SUBSTITUTE(SUBSTITUTE(SUBSTITUTE(TRIM(I194),".",""),"/",""),"-",""),"*","")," ","")))</f>
        <v/>
      </c>
      <c r="K194" s="31" t="str">
        <f aca="false">IF(OR(H194="",J194=""),"",IF(LEN(J194)&gt;=13,IF(LEN(J194)=13,"0"&amp;J194,J194),SUBSTITUTE(SUBSTITUTE(SUBSTITUTE(SUBSTITUTE(SUBSTITUTE(SUBSTITUTE(SUBSTITUTE(SUBSTITUTE(SUBSTITUTE(SUBSTITUTE(SUBSTITUTE(SUBSTITUTE(SUBSTITUTE(UPPER(TRIM(H194)),"Á","A"),"À","A"),"Â","A"),"Ã","A"),"É","E"),"Ê","E"),"Í","I"),"Ó","O"),"Ô","O"),"Õ","O"),"Ú","U"),"Ü","U"),"Ç","C")&amp;"|"&amp;IF(LEN(J194)=11,MID(J194,4,6),J194)))</f>
        <v/>
      </c>
      <c r="L194" s="25" t="str">
        <f aca="false">IF(K194="","",IF(E194="Doação recebida",TRIM(IF(COUNTIF(Socios!$H:$H,K194)&gt;0,"Doador é sócio de empresa da pauta. ","")&amp;IF(COUNTIF(Pessoas!$E:$E,K194)&gt;0,"Doador está em Pessoas.","")),IF(E194="Despesa com fornecedor",IF(COUNTIF(Contratos!$D:$D,K194)&gt;0,"Fornecedor também tem contrato público",""),"")))</f>
        <v/>
      </c>
      <c r="M194" s="24"/>
      <c r="N194" s="11"/>
    </row>
    <row r="195" customFormat="false" ht="15" hidden="false" customHeight="false" outlineLevel="0" collapsed="false">
      <c r="A195" s="23"/>
      <c r="B195" s="31" t="str">
        <f aca="false">IF(A195="","",SUBSTITUTE(SUBSTITUTE(SUBSTITUTE(SUBSTITUTE(SUBSTITUTE(SUBSTITUTE(SUBSTITUTE(SUBSTITUTE(SUBSTITUTE(SUBSTITUTE(SUBSTITUTE(SUBSTITUTE(SUBSTITUTE(UPPER(TRIM(A195)),"Á","A"),"À","A"),"Â","A"),"Ã","A"),"É","E"),"Ê","E"),"Í","I"),"Ó","O"),"Ô","O"),"Õ","O"),"Ú","U"),"Ü","U"),"Ç","C"))</f>
        <v/>
      </c>
      <c r="C195" s="43"/>
      <c r="D195" s="23"/>
      <c r="E195" s="23"/>
      <c r="F195" s="11"/>
      <c r="G195" s="35"/>
      <c r="H195" s="23"/>
      <c r="I195" s="24"/>
      <c r="J195" s="31" t="str">
        <f aca="false">IF(I195="","",UPPER(SUBSTITUTE(SUBSTITUTE(SUBSTITUTE(SUBSTITUTE(SUBSTITUTE(TRIM(I195),".",""),"/",""),"-",""),"*","")," ","")))</f>
        <v/>
      </c>
      <c r="K195" s="31" t="str">
        <f aca="false">IF(OR(H195="",J195=""),"",IF(LEN(J195)&gt;=13,IF(LEN(J195)=13,"0"&amp;J195,J195),SUBSTITUTE(SUBSTITUTE(SUBSTITUTE(SUBSTITUTE(SUBSTITUTE(SUBSTITUTE(SUBSTITUTE(SUBSTITUTE(SUBSTITUTE(SUBSTITUTE(SUBSTITUTE(SUBSTITUTE(SUBSTITUTE(UPPER(TRIM(H195)),"Á","A"),"À","A"),"Â","A"),"Ã","A"),"É","E"),"Ê","E"),"Í","I"),"Ó","O"),"Ô","O"),"Õ","O"),"Ú","U"),"Ü","U"),"Ç","C")&amp;"|"&amp;IF(LEN(J195)=11,MID(J195,4,6),J195)))</f>
        <v/>
      </c>
      <c r="L195" s="25" t="str">
        <f aca="false">IF(K195="","",IF(E195="Doação recebida",TRIM(IF(COUNTIF(Socios!$H:$H,K195)&gt;0,"Doador é sócio de empresa da pauta. ","")&amp;IF(COUNTIF(Pessoas!$E:$E,K195)&gt;0,"Doador está em Pessoas.","")),IF(E195="Despesa com fornecedor",IF(COUNTIF(Contratos!$D:$D,K195)&gt;0,"Fornecedor também tem contrato público",""),"")))</f>
        <v/>
      </c>
      <c r="M195" s="24"/>
      <c r="N195" s="11"/>
    </row>
    <row r="196" customFormat="false" ht="15" hidden="false" customHeight="false" outlineLevel="0" collapsed="false">
      <c r="A196" s="23"/>
      <c r="B196" s="31" t="str">
        <f aca="false">IF(A196="","",SUBSTITUTE(SUBSTITUTE(SUBSTITUTE(SUBSTITUTE(SUBSTITUTE(SUBSTITUTE(SUBSTITUTE(SUBSTITUTE(SUBSTITUTE(SUBSTITUTE(SUBSTITUTE(SUBSTITUTE(SUBSTITUTE(UPPER(TRIM(A196)),"Á","A"),"À","A"),"Â","A"),"Ã","A"),"É","E"),"Ê","E"),"Í","I"),"Ó","O"),"Ô","O"),"Õ","O"),"Ú","U"),"Ü","U"),"Ç","C"))</f>
        <v/>
      </c>
      <c r="C196" s="43"/>
      <c r="D196" s="23"/>
      <c r="E196" s="23"/>
      <c r="F196" s="11"/>
      <c r="G196" s="35"/>
      <c r="H196" s="23"/>
      <c r="I196" s="24"/>
      <c r="J196" s="31" t="str">
        <f aca="false">IF(I196="","",UPPER(SUBSTITUTE(SUBSTITUTE(SUBSTITUTE(SUBSTITUTE(SUBSTITUTE(TRIM(I196),".",""),"/",""),"-",""),"*","")," ","")))</f>
        <v/>
      </c>
      <c r="K196" s="31" t="str">
        <f aca="false">IF(OR(H196="",J196=""),"",IF(LEN(J196)&gt;=13,IF(LEN(J196)=13,"0"&amp;J196,J196),SUBSTITUTE(SUBSTITUTE(SUBSTITUTE(SUBSTITUTE(SUBSTITUTE(SUBSTITUTE(SUBSTITUTE(SUBSTITUTE(SUBSTITUTE(SUBSTITUTE(SUBSTITUTE(SUBSTITUTE(SUBSTITUTE(UPPER(TRIM(H196)),"Á","A"),"À","A"),"Â","A"),"Ã","A"),"É","E"),"Ê","E"),"Í","I"),"Ó","O"),"Ô","O"),"Õ","O"),"Ú","U"),"Ü","U"),"Ç","C")&amp;"|"&amp;IF(LEN(J196)=11,MID(J196,4,6),J196)))</f>
        <v/>
      </c>
      <c r="L196" s="25" t="str">
        <f aca="false">IF(K196="","",IF(E196="Doação recebida",TRIM(IF(COUNTIF(Socios!$H:$H,K196)&gt;0,"Doador é sócio de empresa da pauta. ","")&amp;IF(COUNTIF(Pessoas!$E:$E,K196)&gt;0,"Doador está em Pessoas.","")),IF(E196="Despesa com fornecedor",IF(COUNTIF(Contratos!$D:$D,K196)&gt;0,"Fornecedor também tem contrato público",""),"")))</f>
        <v/>
      </c>
      <c r="M196" s="24"/>
      <c r="N196" s="11"/>
    </row>
    <row r="197" customFormat="false" ht="15" hidden="false" customHeight="false" outlineLevel="0" collapsed="false">
      <c r="A197" s="23"/>
      <c r="B197" s="31" t="str">
        <f aca="false">IF(A197="","",SUBSTITUTE(SUBSTITUTE(SUBSTITUTE(SUBSTITUTE(SUBSTITUTE(SUBSTITUTE(SUBSTITUTE(SUBSTITUTE(SUBSTITUTE(SUBSTITUTE(SUBSTITUTE(SUBSTITUTE(SUBSTITUTE(UPPER(TRIM(A197)),"Á","A"),"À","A"),"Â","A"),"Ã","A"),"É","E"),"Ê","E"),"Í","I"),"Ó","O"),"Ô","O"),"Õ","O"),"Ú","U"),"Ü","U"),"Ç","C"))</f>
        <v/>
      </c>
      <c r="C197" s="43"/>
      <c r="D197" s="23"/>
      <c r="E197" s="23"/>
      <c r="F197" s="11"/>
      <c r="G197" s="35"/>
      <c r="H197" s="23"/>
      <c r="I197" s="24"/>
      <c r="J197" s="31" t="str">
        <f aca="false">IF(I197="","",UPPER(SUBSTITUTE(SUBSTITUTE(SUBSTITUTE(SUBSTITUTE(SUBSTITUTE(TRIM(I197),".",""),"/",""),"-",""),"*","")," ","")))</f>
        <v/>
      </c>
      <c r="K197" s="31" t="str">
        <f aca="false">IF(OR(H197="",J197=""),"",IF(LEN(J197)&gt;=13,IF(LEN(J197)=13,"0"&amp;J197,J197),SUBSTITUTE(SUBSTITUTE(SUBSTITUTE(SUBSTITUTE(SUBSTITUTE(SUBSTITUTE(SUBSTITUTE(SUBSTITUTE(SUBSTITUTE(SUBSTITUTE(SUBSTITUTE(SUBSTITUTE(SUBSTITUTE(UPPER(TRIM(H197)),"Á","A"),"À","A"),"Â","A"),"Ã","A"),"É","E"),"Ê","E"),"Í","I"),"Ó","O"),"Ô","O"),"Õ","O"),"Ú","U"),"Ü","U"),"Ç","C")&amp;"|"&amp;IF(LEN(J197)=11,MID(J197,4,6),J197)))</f>
        <v/>
      </c>
      <c r="L197" s="25" t="str">
        <f aca="false">IF(K197="","",IF(E197="Doação recebida",TRIM(IF(COUNTIF(Socios!$H:$H,K197)&gt;0,"Doador é sócio de empresa da pauta. ","")&amp;IF(COUNTIF(Pessoas!$E:$E,K197)&gt;0,"Doador está em Pessoas.","")),IF(E197="Despesa com fornecedor",IF(COUNTIF(Contratos!$D:$D,K197)&gt;0,"Fornecedor também tem contrato público",""),"")))</f>
        <v/>
      </c>
      <c r="M197" s="24"/>
      <c r="N197" s="11"/>
    </row>
    <row r="198" customFormat="false" ht="15" hidden="false" customHeight="false" outlineLevel="0" collapsed="false">
      <c r="A198" s="23"/>
      <c r="B198" s="31" t="str">
        <f aca="false">IF(A198="","",SUBSTITUTE(SUBSTITUTE(SUBSTITUTE(SUBSTITUTE(SUBSTITUTE(SUBSTITUTE(SUBSTITUTE(SUBSTITUTE(SUBSTITUTE(SUBSTITUTE(SUBSTITUTE(SUBSTITUTE(SUBSTITUTE(UPPER(TRIM(A198)),"Á","A"),"À","A"),"Â","A"),"Ã","A"),"É","E"),"Ê","E"),"Í","I"),"Ó","O"),"Ô","O"),"Õ","O"),"Ú","U"),"Ü","U"),"Ç","C"))</f>
        <v/>
      </c>
      <c r="C198" s="43"/>
      <c r="D198" s="23"/>
      <c r="E198" s="23"/>
      <c r="F198" s="11"/>
      <c r="G198" s="35"/>
      <c r="H198" s="23"/>
      <c r="I198" s="24"/>
      <c r="J198" s="31" t="str">
        <f aca="false">IF(I198="","",UPPER(SUBSTITUTE(SUBSTITUTE(SUBSTITUTE(SUBSTITUTE(SUBSTITUTE(TRIM(I198),".",""),"/",""),"-",""),"*","")," ","")))</f>
        <v/>
      </c>
      <c r="K198" s="31" t="str">
        <f aca="false">IF(OR(H198="",J198=""),"",IF(LEN(J198)&gt;=13,IF(LEN(J198)=13,"0"&amp;J198,J198),SUBSTITUTE(SUBSTITUTE(SUBSTITUTE(SUBSTITUTE(SUBSTITUTE(SUBSTITUTE(SUBSTITUTE(SUBSTITUTE(SUBSTITUTE(SUBSTITUTE(SUBSTITUTE(SUBSTITUTE(SUBSTITUTE(UPPER(TRIM(H198)),"Á","A"),"À","A"),"Â","A"),"Ã","A"),"É","E"),"Ê","E"),"Í","I"),"Ó","O"),"Ô","O"),"Õ","O"),"Ú","U"),"Ü","U"),"Ç","C")&amp;"|"&amp;IF(LEN(J198)=11,MID(J198,4,6),J198)))</f>
        <v/>
      </c>
      <c r="L198" s="25" t="str">
        <f aca="false">IF(K198="","",IF(E198="Doação recebida",TRIM(IF(COUNTIF(Socios!$H:$H,K198)&gt;0,"Doador é sócio de empresa da pauta. ","")&amp;IF(COUNTIF(Pessoas!$E:$E,K198)&gt;0,"Doador está em Pessoas.","")),IF(E198="Despesa com fornecedor",IF(COUNTIF(Contratos!$D:$D,K198)&gt;0,"Fornecedor também tem contrato público",""),"")))</f>
        <v/>
      </c>
      <c r="M198" s="24"/>
      <c r="N198" s="11"/>
    </row>
    <row r="199" customFormat="false" ht="15" hidden="false" customHeight="false" outlineLevel="0" collapsed="false">
      <c r="A199" s="23"/>
      <c r="B199" s="31" t="str">
        <f aca="false">IF(A199="","",SUBSTITUTE(SUBSTITUTE(SUBSTITUTE(SUBSTITUTE(SUBSTITUTE(SUBSTITUTE(SUBSTITUTE(SUBSTITUTE(SUBSTITUTE(SUBSTITUTE(SUBSTITUTE(SUBSTITUTE(SUBSTITUTE(UPPER(TRIM(A199)),"Á","A"),"À","A"),"Â","A"),"Ã","A"),"É","E"),"Ê","E"),"Í","I"),"Ó","O"),"Ô","O"),"Õ","O"),"Ú","U"),"Ü","U"),"Ç","C"))</f>
        <v/>
      </c>
      <c r="C199" s="43"/>
      <c r="D199" s="23"/>
      <c r="E199" s="23"/>
      <c r="F199" s="11"/>
      <c r="G199" s="35"/>
      <c r="H199" s="23"/>
      <c r="I199" s="24"/>
      <c r="J199" s="31" t="str">
        <f aca="false">IF(I199="","",UPPER(SUBSTITUTE(SUBSTITUTE(SUBSTITUTE(SUBSTITUTE(SUBSTITUTE(TRIM(I199),".",""),"/",""),"-",""),"*","")," ","")))</f>
        <v/>
      </c>
      <c r="K199" s="31" t="str">
        <f aca="false">IF(OR(H199="",J199=""),"",IF(LEN(J199)&gt;=13,IF(LEN(J199)=13,"0"&amp;J199,J199),SUBSTITUTE(SUBSTITUTE(SUBSTITUTE(SUBSTITUTE(SUBSTITUTE(SUBSTITUTE(SUBSTITUTE(SUBSTITUTE(SUBSTITUTE(SUBSTITUTE(SUBSTITUTE(SUBSTITUTE(SUBSTITUTE(UPPER(TRIM(H199)),"Á","A"),"À","A"),"Â","A"),"Ã","A"),"É","E"),"Ê","E"),"Í","I"),"Ó","O"),"Ô","O"),"Õ","O"),"Ú","U"),"Ü","U"),"Ç","C")&amp;"|"&amp;IF(LEN(J199)=11,MID(J199,4,6),J199)))</f>
        <v/>
      </c>
      <c r="L199" s="25" t="str">
        <f aca="false">IF(K199="","",IF(E199="Doação recebida",TRIM(IF(COUNTIF(Socios!$H:$H,K199)&gt;0,"Doador é sócio de empresa da pauta. ","")&amp;IF(COUNTIF(Pessoas!$E:$E,K199)&gt;0,"Doador está em Pessoas.","")),IF(E199="Despesa com fornecedor",IF(COUNTIF(Contratos!$D:$D,K199)&gt;0,"Fornecedor também tem contrato público",""),"")))</f>
        <v/>
      </c>
      <c r="M199" s="24"/>
      <c r="N199" s="11"/>
    </row>
    <row r="200" customFormat="false" ht="15" hidden="false" customHeight="false" outlineLevel="0" collapsed="false">
      <c r="A200" s="23"/>
      <c r="B200" s="31" t="str">
        <f aca="false">IF(A200="","",SUBSTITUTE(SUBSTITUTE(SUBSTITUTE(SUBSTITUTE(SUBSTITUTE(SUBSTITUTE(SUBSTITUTE(SUBSTITUTE(SUBSTITUTE(SUBSTITUTE(SUBSTITUTE(SUBSTITUTE(SUBSTITUTE(UPPER(TRIM(A200)),"Á","A"),"À","A"),"Â","A"),"Ã","A"),"É","E"),"Ê","E"),"Í","I"),"Ó","O"),"Ô","O"),"Õ","O"),"Ú","U"),"Ü","U"),"Ç","C"))</f>
        <v/>
      </c>
      <c r="C200" s="43"/>
      <c r="D200" s="23"/>
      <c r="E200" s="23"/>
      <c r="F200" s="11"/>
      <c r="G200" s="35"/>
      <c r="H200" s="23"/>
      <c r="I200" s="24"/>
      <c r="J200" s="31" t="str">
        <f aca="false">IF(I200="","",UPPER(SUBSTITUTE(SUBSTITUTE(SUBSTITUTE(SUBSTITUTE(SUBSTITUTE(TRIM(I200),".",""),"/",""),"-",""),"*","")," ","")))</f>
        <v/>
      </c>
      <c r="K200" s="31" t="str">
        <f aca="false">IF(OR(H200="",J200=""),"",IF(LEN(J200)&gt;=13,IF(LEN(J200)=13,"0"&amp;J200,J200),SUBSTITUTE(SUBSTITUTE(SUBSTITUTE(SUBSTITUTE(SUBSTITUTE(SUBSTITUTE(SUBSTITUTE(SUBSTITUTE(SUBSTITUTE(SUBSTITUTE(SUBSTITUTE(SUBSTITUTE(SUBSTITUTE(UPPER(TRIM(H200)),"Á","A"),"À","A"),"Â","A"),"Ã","A"),"É","E"),"Ê","E"),"Í","I"),"Ó","O"),"Ô","O"),"Õ","O"),"Ú","U"),"Ü","U"),"Ç","C")&amp;"|"&amp;IF(LEN(J200)=11,MID(J200,4,6),J200)))</f>
        <v/>
      </c>
      <c r="L200" s="25" t="str">
        <f aca="false">IF(K200="","",IF(E200="Doação recebida",TRIM(IF(COUNTIF(Socios!$H:$H,K200)&gt;0,"Doador é sócio de empresa da pauta. ","")&amp;IF(COUNTIF(Pessoas!$E:$E,K200)&gt;0,"Doador está em Pessoas.","")),IF(E200="Despesa com fornecedor",IF(COUNTIF(Contratos!$D:$D,K200)&gt;0,"Fornecedor também tem contrato público",""),"")))</f>
        <v/>
      </c>
      <c r="M200" s="24"/>
      <c r="N200" s="11"/>
    </row>
    <row r="201" customFormat="false" ht="15" hidden="false" customHeight="false" outlineLevel="0" collapsed="false">
      <c r="A201" s="23"/>
      <c r="B201" s="31" t="str">
        <f aca="false">IF(A201="","",SUBSTITUTE(SUBSTITUTE(SUBSTITUTE(SUBSTITUTE(SUBSTITUTE(SUBSTITUTE(SUBSTITUTE(SUBSTITUTE(SUBSTITUTE(SUBSTITUTE(SUBSTITUTE(SUBSTITUTE(SUBSTITUTE(UPPER(TRIM(A201)),"Á","A"),"À","A"),"Â","A"),"Ã","A"),"É","E"),"Ê","E"),"Í","I"),"Ó","O"),"Ô","O"),"Õ","O"),"Ú","U"),"Ü","U"),"Ç","C"))</f>
        <v/>
      </c>
      <c r="C201" s="43"/>
      <c r="D201" s="23"/>
      <c r="E201" s="23"/>
      <c r="F201" s="11"/>
      <c r="G201" s="35"/>
      <c r="H201" s="23"/>
      <c r="I201" s="24"/>
      <c r="J201" s="31" t="str">
        <f aca="false">IF(I201="","",UPPER(SUBSTITUTE(SUBSTITUTE(SUBSTITUTE(SUBSTITUTE(SUBSTITUTE(TRIM(I201),".",""),"/",""),"-",""),"*","")," ","")))</f>
        <v/>
      </c>
      <c r="K201" s="31" t="str">
        <f aca="false">IF(OR(H201="",J201=""),"",IF(LEN(J201)&gt;=13,IF(LEN(J201)=13,"0"&amp;J201,J201),SUBSTITUTE(SUBSTITUTE(SUBSTITUTE(SUBSTITUTE(SUBSTITUTE(SUBSTITUTE(SUBSTITUTE(SUBSTITUTE(SUBSTITUTE(SUBSTITUTE(SUBSTITUTE(SUBSTITUTE(SUBSTITUTE(UPPER(TRIM(H201)),"Á","A"),"À","A"),"Â","A"),"Ã","A"),"É","E"),"Ê","E"),"Í","I"),"Ó","O"),"Ô","O"),"Õ","O"),"Ú","U"),"Ü","U"),"Ç","C")&amp;"|"&amp;IF(LEN(J201)=11,MID(J201,4,6),J201)))</f>
        <v/>
      </c>
      <c r="L201" s="25" t="str">
        <f aca="false">IF(K201="","",IF(E201="Doação recebida",TRIM(IF(COUNTIF(Socios!$H:$H,K201)&gt;0,"Doador é sócio de empresa da pauta. ","")&amp;IF(COUNTIF(Pessoas!$E:$E,K201)&gt;0,"Doador está em Pessoas.","")),IF(E201="Despesa com fornecedor",IF(COUNTIF(Contratos!$D:$D,K201)&gt;0,"Fornecedor também tem contrato público",""),"")))</f>
        <v/>
      </c>
      <c r="M201" s="24"/>
      <c r="N201" s="11"/>
    </row>
    <row r="202" customFormat="false" ht="15" hidden="false" customHeight="false" outlineLevel="0" collapsed="false">
      <c r="A202" s="23"/>
      <c r="B202" s="31" t="str">
        <f aca="false">IF(A202="","",SUBSTITUTE(SUBSTITUTE(SUBSTITUTE(SUBSTITUTE(SUBSTITUTE(SUBSTITUTE(SUBSTITUTE(SUBSTITUTE(SUBSTITUTE(SUBSTITUTE(SUBSTITUTE(SUBSTITUTE(SUBSTITUTE(UPPER(TRIM(A202)),"Á","A"),"À","A"),"Â","A"),"Ã","A"),"É","E"),"Ê","E"),"Í","I"),"Ó","O"),"Ô","O"),"Õ","O"),"Ú","U"),"Ü","U"),"Ç","C"))</f>
        <v/>
      </c>
      <c r="C202" s="43"/>
      <c r="D202" s="23"/>
      <c r="E202" s="23"/>
      <c r="F202" s="11"/>
      <c r="G202" s="35"/>
      <c r="H202" s="23"/>
      <c r="I202" s="24"/>
      <c r="J202" s="31" t="str">
        <f aca="false">IF(I202="","",UPPER(SUBSTITUTE(SUBSTITUTE(SUBSTITUTE(SUBSTITUTE(SUBSTITUTE(TRIM(I202),".",""),"/",""),"-",""),"*","")," ","")))</f>
        <v/>
      </c>
      <c r="K202" s="31" t="str">
        <f aca="false">IF(OR(H202="",J202=""),"",IF(LEN(J202)&gt;=13,IF(LEN(J202)=13,"0"&amp;J202,J202),SUBSTITUTE(SUBSTITUTE(SUBSTITUTE(SUBSTITUTE(SUBSTITUTE(SUBSTITUTE(SUBSTITUTE(SUBSTITUTE(SUBSTITUTE(SUBSTITUTE(SUBSTITUTE(SUBSTITUTE(SUBSTITUTE(UPPER(TRIM(H202)),"Á","A"),"À","A"),"Â","A"),"Ã","A"),"É","E"),"Ê","E"),"Í","I"),"Ó","O"),"Ô","O"),"Õ","O"),"Ú","U"),"Ü","U"),"Ç","C")&amp;"|"&amp;IF(LEN(J202)=11,MID(J202,4,6),J202)))</f>
        <v/>
      </c>
      <c r="L202" s="25" t="str">
        <f aca="false">IF(K202="","",IF(E202="Doação recebida",TRIM(IF(COUNTIF(Socios!$H:$H,K202)&gt;0,"Doador é sócio de empresa da pauta. ","")&amp;IF(COUNTIF(Pessoas!$E:$E,K202)&gt;0,"Doador está em Pessoas.","")),IF(E202="Despesa com fornecedor",IF(COUNTIF(Contratos!$D:$D,K202)&gt;0,"Fornecedor também tem contrato público",""),"")))</f>
        <v/>
      </c>
      <c r="M202" s="24"/>
      <c r="N202" s="11"/>
    </row>
    <row r="203" customFormat="false" ht="15" hidden="false" customHeight="false" outlineLevel="0" collapsed="false">
      <c r="A203" s="23"/>
      <c r="B203" s="31" t="str">
        <f aca="false">IF(A203="","",SUBSTITUTE(SUBSTITUTE(SUBSTITUTE(SUBSTITUTE(SUBSTITUTE(SUBSTITUTE(SUBSTITUTE(SUBSTITUTE(SUBSTITUTE(SUBSTITUTE(SUBSTITUTE(SUBSTITUTE(SUBSTITUTE(UPPER(TRIM(A203)),"Á","A"),"À","A"),"Â","A"),"Ã","A"),"É","E"),"Ê","E"),"Í","I"),"Ó","O"),"Ô","O"),"Õ","O"),"Ú","U"),"Ü","U"),"Ç","C"))</f>
        <v/>
      </c>
      <c r="C203" s="43"/>
      <c r="D203" s="23"/>
      <c r="E203" s="23"/>
      <c r="F203" s="11"/>
      <c r="G203" s="35"/>
      <c r="H203" s="23"/>
      <c r="I203" s="24"/>
      <c r="J203" s="31" t="str">
        <f aca="false">IF(I203="","",UPPER(SUBSTITUTE(SUBSTITUTE(SUBSTITUTE(SUBSTITUTE(SUBSTITUTE(TRIM(I203),".",""),"/",""),"-",""),"*","")," ","")))</f>
        <v/>
      </c>
      <c r="K203" s="31" t="str">
        <f aca="false">IF(OR(H203="",J203=""),"",IF(LEN(J203)&gt;=13,IF(LEN(J203)=13,"0"&amp;J203,J203),SUBSTITUTE(SUBSTITUTE(SUBSTITUTE(SUBSTITUTE(SUBSTITUTE(SUBSTITUTE(SUBSTITUTE(SUBSTITUTE(SUBSTITUTE(SUBSTITUTE(SUBSTITUTE(SUBSTITUTE(SUBSTITUTE(UPPER(TRIM(H203)),"Á","A"),"À","A"),"Â","A"),"Ã","A"),"É","E"),"Ê","E"),"Í","I"),"Ó","O"),"Ô","O"),"Õ","O"),"Ú","U"),"Ü","U"),"Ç","C")&amp;"|"&amp;IF(LEN(J203)=11,MID(J203,4,6),J203)))</f>
        <v/>
      </c>
      <c r="L203" s="25" t="str">
        <f aca="false">IF(K203="","",IF(E203="Doação recebida",TRIM(IF(COUNTIF(Socios!$H:$H,K203)&gt;0,"Doador é sócio de empresa da pauta. ","")&amp;IF(COUNTIF(Pessoas!$E:$E,K203)&gt;0,"Doador está em Pessoas.","")),IF(E203="Despesa com fornecedor",IF(COUNTIF(Contratos!$D:$D,K203)&gt;0,"Fornecedor também tem contrato público",""),"")))</f>
        <v/>
      </c>
      <c r="M203" s="24"/>
      <c r="N203" s="11"/>
    </row>
    <row r="204" customFormat="false" ht="15" hidden="false" customHeight="false" outlineLevel="0" collapsed="false">
      <c r="A204" s="23"/>
      <c r="B204" s="31" t="str">
        <f aca="false">IF(A204="","",SUBSTITUTE(SUBSTITUTE(SUBSTITUTE(SUBSTITUTE(SUBSTITUTE(SUBSTITUTE(SUBSTITUTE(SUBSTITUTE(SUBSTITUTE(SUBSTITUTE(SUBSTITUTE(SUBSTITUTE(SUBSTITUTE(UPPER(TRIM(A204)),"Á","A"),"À","A"),"Â","A"),"Ã","A"),"É","E"),"Ê","E"),"Í","I"),"Ó","O"),"Ô","O"),"Õ","O"),"Ú","U"),"Ü","U"),"Ç","C"))</f>
        <v/>
      </c>
      <c r="C204" s="43"/>
      <c r="D204" s="23"/>
      <c r="E204" s="23"/>
      <c r="F204" s="11"/>
      <c r="G204" s="35"/>
      <c r="H204" s="23"/>
      <c r="I204" s="24"/>
      <c r="J204" s="31" t="str">
        <f aca="false">IF(I204="","",UPPER(SUBSTITUTE(SUBSTITUTE(SUBSTITUTE(SUBSTITUTE(SUBSTITUTE(TRIM(I204),".",""),"/",""),"-",""),"*","")," ","")))</f>
        <v/>
      </c>
      <c r="K204" s="31" t="str">
        <f aca="false">IF(OR(H204="",J204=""),"",IF(LEN(J204)&gt;=13,IF(LEN(J204)=13,"0"&amp;J204,J204),SUBSTITUTE(SUBSTITUTE(SUBSTITUTE(SUBSTITUTE(SUBSTITUTE(SUBSTITUTE(SUBSTITUTE(SUBSTITUTE(SUBSTITUTE(SUBSTITUTE(SUBSTITUTE(SUBSTITUTE(SUBSTITUTE(UPPER(TRIM(H204)),"Á","A"),"À","A"),"Â","A"),"Ã","A"),"É","E"),"Ê","E"),"Í","I"),"Ó","O"),"Ô","O"),"Õ","O"),"Ú","U"),"Ü","U"),"Ç","C")&amp;"|"&amp;IF(LEN(J204)=11,MID(J204,4,6),J204)))</f>
        <v/>
      </c>
      <c r="L204" s="25" t="str">
        <f aca="false">IF(K204="","",IF(E204="Doação recebida",TRIM(IF(COUNTIF(Socios!$H:$H,K204)&gt;0,"Doador é sócio de empresa da pauta. ","")&amp;IF(COUNTIF(Pessoas!$E:$E,K204)&gt;0,"Doador está em Pessoas.","")),IF(E204="Despesa com fornecedor",IF(COUNTIF(Contratos!$D:$D,K204)&gt;0,"Fornecedor também tem contrato público",""),"")))</f>
        <v/>
      </c>
      <c r="M204" s="24"/>
      <c r="N204" s="11"/>
    </row>
    <row r="205" customFormat="false" ht="15" hidden="false" customHeight="false" outlineLevel="0" collapsed="false">
      <c r="A205" s="23"/>
      <c r="B205" s="31" t="str">
        <f aca="false">IF(A205="","",SUBSTITUTE(SUBSTITUTE(SUBSTITUTE(SUBSTITUTE(SUBSTITUTE(SUBSTITUTE(SUBSTITUTE(SUBSTITUTE(SUBSTITUTE(SUBSTITUTE(SUBSTITUTE(SUBSTITUTE(SUBSTITUTE(UPPER(TRIM(A205)),"Á","A"),"À","A"),"Â","A"),"Ã","A"),"É","E"),"Ê","E"),"Í","I"),"Ó","O"),"Ô","O"),"Õ","O"),"Ú","U"),"Ü","U"),"Ç","C"))</f>
        <v/>
      </c>
      <c r="C205" s="43"/>
      <c r="D205" s="23"/>
      <c r="E205" s="23"/>
      <c r="F205" s="11"/>
      <c r="G205" s="35"/>
      <c r="H205" s="23"/>
      <c r="I205" s="24"/>
      <c r="J205" s="31" t="str">
        <f aca="false">IF(I205="","",UPPER(SUBSTITUTE(SUBSTITUTE(SUBSTITUTE(SUBSTITUTE(SUBSTITUTE(TRIM(I205),".",""),"/",""),"-",""),"*","")," ","")))</f>
        <v/>
      </c>
      <c r="K205" s="31" t="str">
        <f aca="false">IF(OR(H205="",J205=""),"",IF(LEN(J205)&gt;=13,IF(LEN(J205)=13,"0"&amp;J205,J205),SUBSTITUTE(SUBSTITUTE(SUBSTITUTE(SUBSTITUTE(SUBSTITUTE(SUBSTITUTE(SUBSTITUTE(SUBSTITUTE(SUBSTITUTE(SUBSTITUTE(SUBSTITUTE(SUBSTITUTE(SUBSTITUTE(UPPER(TRIM(H205)),"Á","A"),"À","A"),"Â","A"),"Ã","A"),"É","E"),"Ê","E"),"Í","I"),"Ó","O"),"Ô","O"),"Õ","O"),"Ú","U"),"Ü","U"),"Ç","C")&amp;"|"&amp;IF(LEN(J205)=11,MID(J205,4,6),J205)))</f>
        <v/>
      </c>
      <c r="L205" s="25" t="str">
        <f aca="false">IF(K205="","",IF(E205="Doação recebida",TRIM(IF(COUNTIF(Socios!$H:$H,K205)&gt;0,"Doador é sócio de empresa da pauta. ","")&amp;IF(COUNTIF(Pessoas!$E:$E,K205)&gt;0,"Doador está em Pessoas.","")),IF(E205="Despesa com fornecedor",IF(COUNTIF(Contratos!$D:$D,K205)&gt;0,"Fornecedor também tem contrato público",""),"")))</f>
        <v/>
      </c>
      <c r="M205" s="24"/>
      <c r="N205" s="11"/>
    </row>
    <row r="206" customFormat="false" ht="15" hidden="false" customHeight="false" outlineLevel="0" collapsed="false">
      <c r="A206" s="23"/>
      <c r="B206" s="31" t="str">
        <f aca="false">IF(A206="","",SUBSTITUTE(SUBSTITUTE(SUBSTITUTE(SUBSTITUTE(SUBSTITUTE(SUBSTITUTE(SUBSTITUTE(SUBSTITUTE(SUBSTITUTE(SUBSTITUTE(SUBSTITUTE(SUBSTITUTE(SUBSTITUTE(UPPER(TRIM(A206)),"Á","A"),"À","A"),"Â","A"),"Ã","A"),"É","E"),"Ê","E"),"Í","I"),"Ó","O"),"Ô","O"),"Õ","O"),"Ú","U"),"Ü","U"),"Ç","C"))</f>
        <v/>
      </c>
      <c r="C206" s="43"/>
      <c r="D206" s="23"/>
      <c r="E206" s="23"/>
      <c r="F206" s="11"/>
      <c r="G206" s="35"/>
      <c r="H206" s="23"/>
      <c r="I206" s="24"/>
      <c r="J206" s="31" t="str">
        <f aca="false">IF(I206="","",UPPER(SUBSTITUTE(SUBSTITUTE(SUBSTITUTE(SUBSTITUTE(SUBSTITUTE(TRIM(I206),".",""),"/",""),"-",""),"*","")," ","")))</f>
        <v/>
      </c>
      <c r="K206" s="31" t="str">
        <f aca="false">IF(OR(H206="",J206=""),"",IF(LEN(J206)&gt;=13,IF(LEN(J206)=13,"0"&amp;J206,J206),SUBSTITUTE(SUBSTITUTE(SUBSTITUTE(SUBSTITUTE(SUBSTITUTE(SUBSTITUTE(SUBSTITUTE(SUBSTITUTE(SUBSTITUTE(SUBSTITUTE(SUBSTITUTE(SUBSTITUTE(SUBSTITUTE(UPPER(TRIM(H206)),"Á","A"),"À","A"),"Â","A"),"Ã","A"),"É","E"),"Ê","E"),"Í","I"),"Ó","O"),"Ô","O"),"Õ","O"),"Ú","U"),"Ü","U"),"Ç","C")&amp;"|"&amp;IF(LEN(J206)=11,MID(J206,4,6),J206)))</f>
        <v/>
      </c>
      <c r="L206" s="25" t="str">
        <f aca="false">IF(K206="","",IF(E206="Doação recebida",TRIM(IF(COUNTIF(Socios!$H:$H,K206)&gt;0,"Doador é sócio de empresa da pauta. ","")&amp;IF(COUNTIF(Pessoas!$E:$E,K206)&gt;0,"Doador está em Pessoas.","")),IF(E206="Despesa com fornecedor",IF(COUNTIF(Contratos!$D:$D,K206)&gt;0,"Fornecedor também tem contrato público",""),"")))</f>
        <v/>
      </c>
      <c r="M206" s="24"/>
      <c r="N206" s="11"/>
    </row>
    <row r="207" customFormat="false" ht="15" hidden="false" customHeight="false" outlineLevel="0" collapsed="false">
      <c r="A207" s="23"/>
      <c r="B207" s="31" t="str">
        <f aca="false">IF(A207="","",SUBSTITUTE(SUBSTITUTE(SUBSTITUTE(SUBSTITUTE(SUBSTITUTE(SUBSTITUTE(SUBSTITUTE(SUBSTITUTE(SUBSTITUTE(SUBSTITUTE(SUBSTITUTE(SUBSTITUTE(SUBSTITUTE(UPPER(TRIM(A207)),"Á","A"),"À","A"),"Â","A"),"Ã","A"),"É","E"),"Ê","E"),"Í","I"),"Ó","O"),"Ô","O"),"Õ","O"),"Ú","U"),"Ü","U"),"Ç","C"))</f>
        <v/>
      </c>
      <c r="C207" s="43"/>
      <c r="D207" s="23"/>
      <c r="E207" s="23"/>
      <c r="F207" s="11"/>
      <c r="G207" s="35"/>
      <c r="H207" s="23"/>
      <c r="I207" s="24"/>
      <c r="J207" s="31" t="str">
        <f aca="false">IF(I207="","",UPPER(SUBSTITUTE(SUBSTITUTE(SUBSTITUTE(SUBSTITUTE(SUBSTITUTE(TRIM(I207),".",""),"/",""),"-",""),"*","")," ","")))</f>
        <v/>
      </c>
      <c r="K207" s="31" t="str">
        <f aca="false">IF(OR(H207="",J207=""),"",IF(LEN(J207)&gt;=13,IF(LEN(J207)=13,"0"&amp;J207,J207),SUBSTITUTE(SUBSTITUTE(SUBSTITUTE(SUBSTITUTE(SUBSTITUTE(SUBSTITUTE(SUBSTITUTE(SUBSTITUTE(SUBSTITUTE(SUBSTITUTE(SUBSTITUTE(SUBSTITUTE(SUBSTITUTE(UPPER(TRIM(H207)),"Á","A"),"À","A"),"Â","A"),"Ã","A"),"É","E"),"Ê","E"),"Í","I"),"Ó","O"),"Ô","O"),"Õ","O"),"Ú","U"),"Ü","U"),"Ç","C")&amp;"|"&amp;IF(LEN(J207)=11,MID(J207,4,6),J207)))</f>
        <v/>
      </c>
      <c r="L207" s="25" t="str">
        <f aca="false">IF(K207="","",IF(E207="Doação recebida",TRIM(IF(COUNTIF(Socios!$H:$H,K207)&gt;0,"Doador é sócio de empresa da pauta. ","")&amp;IF(COUNTIF(Pessoas!$E:$E,K207)&gt;0,"Doador está em Pessoas.","")),IF(E207="Despesa com fornecedor",IF(COUNTIF(Contratos!$D:$D,K207)&gt;0,"Fornecedor também tem contrato público",""),"")))</f>
        <v/>
      </c>
      <c r="M207" s="24"/>
      <c r="N207" s="11"/>
    </row>
    <row r="208" customFormat="false" ht="15" hidden="false" customHeight="false" outlineLevel="0" collapsed="false">
      <c r="A208" s="23"/>
      <c r="B208" s="31" t="str">
        <f aca="false">IF(A208="","",SUBSTITUTE(SUBSTITUTE(SUBSTITUTE(SUBSTITUTE(SUBSTITUTE(SUBSTITUTE(SUBSTITUTE(SUBSTITUTE(SUBSTITUTE(SUBSTITUTE(SUBSTITUTE(SUBSTITUTE(SUBSTITUTE(UPPER(TRIM(A208)),"Á","A"),"À","A"),"Â","A"),"Ã","A"),"É","E"),"Ê","E"),"Í","I"),"Ó","O"),"Ô","O"),"Õ","O"),"Ú","U"),"Ü","U"),"Ç","C"))</f>
        <v/>
      </c>
      <c r="C208" s="43"/>
      <c r="D208" s="23"/>
      <c r="E208" s="23"/>
      <c r="F208" s="11"/>
      <c r="G208" s="35"/>
      <c r="H208" s="23"/>
      <c r="I208" s="24"/>
      <c r="J208" s="31" t="str">
        <f aca="false">IF(I208="","",UPPER(SUBSTITUTE(SUBSTITUTE(SUBSTITUTE(SUBSTITUTE(SUBSTITUTE(TRIM(I208),".",""),"/",""),"-",""),"*","")," ","")))</f>
        <v/>
      </c>
      <c r="K208" s="31" t="str">
        <f aca="false">IF(OR(H208="",J208=""),"",IF(LEN(J208)&gt;=13,IF(LEN(J208)=13,"0"&amp;J208,J208),SUBSTITUTE(SUBSTITUTE(SUBSTITUTE(SUBSTITUTE(SUBSTITUTE(SUBSTITUTE(SUBSTITUTE(SUBSTITUTE(SUBSTITUTE(SUBSTITUTE(SUBSTITUTE(SUBSTITUTE(SUBSTITUTE(UPPER(TRIM(H208)),"Á","A"),"À","A"),"Â","A"),"Ã","A"),"É","E"),"Ê","E"),"Í","I"),"Ó","O"),"Ô","O"),"Õ","O"),"Ú","U"),"Ü","U"),"Ç","C")&amp;"|"&amp;IF(LEN(J208)=11,MID(J208,4,6),J208)))</f>
        <v/>
      </c>
      <c r="L208" s="25" t="str">
        <f aca="false">IF(K208="","",IF(E208="Doação recebida",TRIM(IF(COUNTIF(Socios!$H:$H,K208)&gt;0,"Doador é sócio de empresa da pauta. ","")&amp;IF(COUNTIF(Pessoas!$E:$E,K208)&gt;0,"Doador está em Pessoas.","")),IF(E208="Despesa com fornecedor",IF(COUNTIF(Contratos!$D:$D,K208)&gt;0,"Fornecedor também tem contrato público",""),"")))</f>
        <v/>
      </c>
      <c r="M208" s="24"/>
      <c r="N208" s="11"/>
    </row>
    <row r="209" customFormat="false" ht="15" hidden="false" customHeight="false" outlineLevel="0" collapsed="false">
      <c r="A209" s="23"/>
      <c r="B209" s="31" t="str">
        <f aca="false">IF(A209="","",SUBSTITUTE(SUBSTITUTE(SUBSTITUTE(SUBSTITUTE(SUBSTITUTE(SUBSTITUTE(SUBSTITUTE(SUBSTITUTE(SUBSTITUTE(SUBSTITUTE(SUBSTITUTE(SUBSTITUTE(SUBSTITUTE(UPPER(TRIM(A209)),"Á","A"),"À","A"),"Â","A"),"Ã","A"),"É","E"),"Ê","E"),"Í","I"),"Ó","O"),"Ô","O"),"Õ","O"),"Ú","U"),"Ü","U"),"Ç","C"))</f>
        <v/>
      </c>
      <c r="C209" s="43"/>
      <c r="D209" s="23"/>
      <c r="E209" s="23"/>
      <c r="F209" s="11"/>
      <c r="G209" s="35"/>
      <c r="H209" s="23"/>
      <c r="I209" s="24"/>
      <c r="J209" s="31" t="str">
        <f aca="false">IF(I209="","",UPPER(SUBSTITUTE(SUBSTITUTE(SUBSTITUTE(SUBSTITUTE(SUBSTITUTE(TRIM(I209),".",""),"/",""),"-",""),"*","")," ","")))</f>
        <v/>
      </c>
      <c r="K209" s="31" t="str">
        <f aca="false">IF(OR(H209="",J209=""),"",IF(LEN(J209)&gt;=13,IF(LEN(J209)=13,"0"&amp;J209,J209),SUBSTITUTE(SUBSTITUTE(SUBSTITUTE(SUBSTITUTE(SUBSTITUTE(SUBSTITUTE(SUBSTITUTE(SUBSTITUTE(SUBSTITUTE(SUBSTITUTE(SUBSTITUTE(SUBSTITUTE(SUBSTITUTE(UPPER(TRIM(H209)),"Á","A"),"À","A"),"Â","A"),"Ã","A"),"É","E"),"Ê","E"),"Í","I"),"Ó","O"),"Ô","O"),"Õ","O"),"Ú","U"),"Ü","U"),"Ç","C")&amp;"|"&amp;IF(LEN(J209)=11,MID(J209,4,6),J209)))</f>
        <v/>
      </c>
      <c r="L209" s="25" t="str">
        <f aca="false">IF(K209="","",IF(E209="Doação recebida",TRIM(IF(COUNTIF(Socios!$H:$H,K209)&gt;0,"Doador é sócio de empresa da pauta. ","")&amp;IF(COUNTIF(Pessoas!$E:$E,K209)&gt;0,"Doador está em Pessoas.","")),IF(E209="Despesa com fornecedor",IF(COUNTIF(Contratos!$D:$D,K209)&gt;0,"Fornecedor também tem contrato público",""),"")))</f>
        <v/>
      </c>
      <c r="M209" s="24"/>
      <c r="N209" s="11"/>
    </row>
    <row r="210" customFormat="false" ht="15" hidden="false" customHeight="false" outlineLevel="0" collapsed="false">
      <c r="A210" s="23"/>
      <c r="B210" s="31" t="str">
        <f aca="false">IF(A210="","",SUBSTITUTE(SUBSTITUTE(SUBSTITUTE(SUBSTITUTE(SUBSTITUTE(SUBSTITUTE(SUBSTITUTE(SUBSTITUTE(SUBSTITUTE(SUBSTITUTE(SUBSTITUTE(SUBSTITUTE(SUBSTITUTE(UPPER(TRIM(A210)),"Á","A"),"À","A"),"Â","A"),"Ã","A"),"É","E"),"Ê","E"),"Í","I"),"Ó","O"),"Ô","O"),"Õ","O"),"Ú","U"),"Ü","U"),"Ç","C"))</f>
        <v/>
      </c>
      <c r="C210" s="43"/>
      <c r="D210" s="23"/>
      <c r="E210" s="23"/>
      <c r="F210" s="11"/>
      <c r="G210" s="35"/>
      <c r="H210" s="23"/>
      <c r="I210" s="24"/>
      <c r="J210" s="31" t="str">
        <f aca="false">IF(I210="","",UPPER(SUBSTITUTE(SUBSTITUTE(SUBSTITUTE(SUBSTITUTE(SUBSTITUTE(TRIM(I210),".",""),"/",""),"-",""),"*","")," ","")))</f>
        <v/>
      </c>
      <c r="K210" s="31" t="str">
        <f aca="false">IF(OR(H210="",J210=""),"",IF(LEN(J210)&gt;=13,IF(LEN(J210)=13,"0"&amp;J210,J210),SUBSTITUTE(SUBSTITUTE(SUBSTITUTE(SUBSTITUTE(SUBSTITUTE(SUBSTITUTE(SUBSTITUTE(SUBSTITUTE(SUBSTITUTE(SUBSTITUTE(SUBSTITUTE(SUBSTITUTE(SUBSTITUTE(UPPER(TRIM(H210)),"Á","A"),"À","A"),"Â","A"),"Ã","A"),"É","E"),"Ê","E"),"Í","I"),"Ó","O"),"Ô","O"),"Õ","O"),"Ú","U"),"Ü","U"),"Ç","C")&amp;"|"&amp;IF(LEN(J210)=11,MID(J210,4,6),J210)))</f>
        <v/>
      </c>
      <c r="L210" s="25" t="str">
        <f aca="false">IF(K210="","",IF(E210="Doação recebida",TRIM(IF(COUNTIF(Socios!$H:$H,K210)&gt;0,"Doador é sócio de empresa da pauta. ","")&amp;IF(COUNTIF(Pessoas!$E:$E,K210)&gt;0,"Doador está em Pessoas.","")),IF(E210="Despesa com fornecedor",IF(COUNTIF(Contratos!$D:$D,K210)&gt;0,"Fornecedor também tem contrato público",""),"")))</f>
        <v/>
      </c>
      <c r="M210" s="24"/>
      <c r="N210" s="11"/>
    </row>
    <row r="211" customFormat="false" ht="15" hidden="false" customHeight="false" outlineLevel="0" collapsed="false">
      <c r="A211" s="23"/>
      <c r="B211" s="31" t="str">
        <f aca="false">IF(A211="","",SUBSTITUTE(SUBSTITUTE(SUBSTITUTE(SUBSTITUTE(SUBSTITUTE(SUBSTITUTE(SUBSTITUTE(SUBSTITUTE(SUBSTITUTE(SUBSTITUTE(SUBSTITUTE(SUBSTITUTE(SUBSTITUTE(UPPER(TRIM(A211)),"Á","A"),"À","A"),"Â","A"),"Ã","A"),"É","E"),"Ê","E"),"Í","I"),"Ó","O"),"Ô","O"),"Õ","O"),"Ú","U"),"Ü","U"),"Ç","C"))</f>
        <v/>
      </c>
      <c r="C211" s="43"/>
      <c r="D211" s="23"/>
      <c r="E211" s="23"/>
      <c r="F211" s="11"/>
      <c r="G211" s="35"/>
      <c r="H211" s="23"/>
      <c r="I211" s="24"/>
      <c r="J211" s="31" t="str">
        <f aca="false">IF(I211="","",UPPER(SUBSTITUTE(SUBSTITUTE(SUBSTITUTE(SUBSTITUTE(SUBSTITUTE(TRIM(I211),".",""),"/",""),"-",""),"*","")," ","")))</f>
        <v/>
      </c>
      <c r="K211" s="31" t="str">
        <f aca="false">IF(OR(H211="",J211=""),"",IF(LEN(J211)&gt;=13,IF(LEN(J211)=13,"0"&amp;J211,J211),SUBSTITUTE(SUBSTITUTE(SUBSTITUTE(SUBSTITUTE(SUBSTITUTE(SUBSTITUTE(SUBSTITUTE(SUBSTITUTE(SUBSTITUTE(SUBSTITUTE(SUBSTITUTE(SUBSTITUTE(SUBSTITUTE(UPPER(TRIM(H211)),"Á","A"),"À","A"),"Â","A"),"Ã","A"),"É","E"),"Ê","E"),"Í","I"),"Ó","O"),"Ô","O"),"Õ","O"),"Ú","U"),"Ü","U"),"Ç","C")&amp;"|"&amp;IF(LEN(J211)=11,MID(J211,4,6),J211)))</f>
        <v/>
      </c>
      <c r="L211" s="25" t="str">
        <f aca="false">IF(K211="","",IF(E211="Doação recebida",TRIM(IF(COUNTIF(Socios!$H:$H,K211)&gt;0,"Doador é sócio de empresa da pauta. ","")&amp;IF(COUNTIF(Pessoas!$E:$E,K211)&gt;0,"Doador está em Pessoas.","")),IF(E211="Despesa com fornecedor",IF(COUNTIF(Contratos!$D:$D,K211)&gt;0,"Fornecedor também tem contrato público",""),"")))</f>
        <v/>
      </c>
      <c r="M211" s="24"/>
      <c r="N211" s="11"/>
    </row>
    <row r="212" customFormat="false" ht="15" hidden="false" customHeight="false" outlineLevel="0" collapsed="false">
      <c r="A212" s="23"/>
      <c r="B212" s="31" t="str">
        <f aca="false">IF(A212="","",SUBSTITUTE(SUBSTITUTE(SUBSTITUTE(SUBSTITUTE(SUBSTITUTE(SUBSTITUTE(SUBSTITUTE(SUBSTITUTE(SUBSTITUTE(SUBSTITUTE(SUBSTITUTE(SUBSTITUTE(SUBSTITUTE(UPPER(TRIM(A212)),"Á","A"),"À","A"),"Â","A"),"Ã","A"),"É","E"),"Ê","E"),"Í","I"),"Ó","O"),"Ô","O"),"Õ","O"),"Ú","U"),"Ü","U"),"Ç","C"))</f>
        <v/>
      </c>
      <c r="C212" s="43"/>
      <c r="D212" s="23"/>
      <c r="E212" s="23"/>
      <c r="F212" s="11"/>
      <c r="G212" s="35"/>
      <c r="H212" s="23"/>
      <c r="I212" s="24"/>
      <c r="J212" s="31" t="str">
        <f aca="false">IF(I212="","",UPPER(SUBSTITUTE(SUBSTITUTE(SUBSTITUTE(SUBSTITUTE(SUBSTITUTE(TRIM(I212),".",""),"/",""),"-",""),"*","")," ","")))</f>
        <v/>
      </c>
      <c r="K212" s="31" t="str">
        <f aca="false">IF(OR(H212="",J212=""),"",IF(LEN(J212)&gt;=13,IF(LEN(J212)=13,"0"&amp;J212,J212),SUBSTITUTE(SUBSTITUTE(SUBSTITUTE(SUBSTITUTE(SUBSTITUTE(SUBSTITUTE(SUBSTITUTE(SUBSTITUTE(SUBSTITUTE(SUBSTITUTE(SUBSTITUTE(SUBSTITUTE(SUBSTITUTE(UPPER(TRIM(H212)),"Á","A"),"À","A"),"Â","A"),"Ã","A"),"É","E"),"Ê","E"),"Í","I"),"Ó","O"),"Ô","O"),"Õ","O"),"Ú","U"),"Ü","U"),"Ç","C")&amp;"|"&amp;IF(LEN(J212)=11,MID(J212,4,6),J212)))</f>
        <v/>
      </c>
      <c r="L212" s="25" t="str">
        <f aca="false">IF(K212="","",IF(E212="Doação recebida",TRIM(IF(COUNTIF(Socios!$H:$H,K212)&gt;0,"Doador é sócio de empresa da pauta. ","")&amp;IF(COUNTIF(Pessoas!$E:$E,K212)&gt;0,"Doador está em Pessoas.","")),IF(E212="Despesa com fornecedor",IF(COUNTIF(Contratos!$D:$D,K212)&gt;0,"Fornecedor também tem contrato público",""),"")))</f>
        <v/>
      </c>
      <c r="M212" s="24"/>
      <c r="N212" s="11"/>
    </row>
    <row r="213" customFormat="false" ht="15" hidden="false" customHeight="false" outlineLevel="0" collapsed="false">
      <c r="A213" s="23"/>
      <c r="B213" s="31" t="str">
        <f aca="false">IF(A213="","",SUBSTITUTE(SUBSTITUTE(SUBSTITUTE(SUBSTITUTE(SUBSTITUTE(SUBSTITUTE(SUBSTITUTE(SUBSTITUTE(SUBSTITUTE(SUBSTITUTE(SUBSTITUTE(SUBSTITUTE(SUBSTITUTE(UPPER(TRIM(A213)),"Á","A"),"À","A"),"Â","A"),"Ã","A"),"É","E"),"Ê","E"),"Í","I"),"Ó","O"),"Ô","O"),"Õ","O"),"Ú","U"),"Ü","U"),"Ç","C"))</f>
        <v/>
      </c>
      <c r="C213" s="43"/>
      <c r="D213" s="23"/>
      <c r="E213" s="23"/>
      <c r="F213" s="11"/>
      <c r="G213" s="35"/>
      <c r="H213" s="23"/>
      <c r="I213" s="24"/>
      <c r="J213" s="31" t="str">
        <f aca="false">IF(I213="","",UPPER(SUBSTITUTE(SUBSTITUTE(SUBSTITUTE(SUBSTITUTE(SUBSTITUTE(TRIM(I213),".",""),"/",""),"-",""),"*","")," ","")))</f>
        <v/>
      </c>
      <c r="K213" s="31" t="str">
        <f aca="false">IF(OR(H213="",J213=""),"",IF(LEN(J213)&gt;=13,IF(LEN(J213)=13,"0"&amp;J213,J213),SUBSTITUTE(SUBSTITUTE(SUBSTITUTE(SUBSTITUTE(SUBSTITUTE(SUBSTITUTE(SUBSTITUTE(SUBSTITUTE(SUBSTITUTE(SUBSTITUTE(SUBSTITUTE(SUBSTITUTE(SUBSTITUTE(UPPER(TRIM(H213)),"Á","A"),"À","A"),"Â","A"),"Ã","A"),"É","E"),"Ê","E"),"Í","I"),"Ó","O"),"Ô","O"),"Õ","O"),"Ú","U"),"Ü","U"),"Ç","C")&amp;"|"&amp;IF(LEN(J213)=11,MID(J213,4,6),J213)))</f>
        <v/>
      </c>
      <c r="L213" s="25" t="str">
        <f aca="false">IF(K213="","",IF(E213="Doação recebida",TRIM(IF(COUNTIF(Socios!$H:$H,K213)&gt;0,"Doador é sócio de empresa da pauta. ","")&amp;IF(COUNTIF(Pessoas!$E:$E,K213)&gt;0,"Doador está em Pessoas.","")),IF(E213="Despesa com fornecedor",IF(COUNTIF(Contratos!$D:$D,K213)&gt;0,"Fornecedor também tem contrato público",""),"")))</f>
        <v/>
      </c>
      <c r="M213" s="24"/>
      <c r="N213" s="11"/>
    </row>
    <row r="214" customFormat="false" ht="15" hidden="false" customHeight="false" outlineLevel="0" collapsed="false">
      <c r="A214" s="23"/>
      <c r="B214" s="31" t="str">
        <f aca="false">IF(A214="","",SUBSTITUTE(SUBSTITUTE(SUBSTITUTE(SUBSTITUTE(SUBSTITUTE(SUBSTITUTE(SUBSTITUTE(SUBSTITUTE(SUBSTITUTE(SUBSTITUTE(SUBSTITUTE(SUBSTITUTE(SUBSTITUTE(UPPER(TRIM(A214)),"Á","A"),"À","A"),"Â","A"),"Ã","A"),"É","E"),"Ê","E"),"Í","I"),"Ó","O"),"Ô","O"),"Õ","O"),"Ú","U"),"Ü","U"),"Ç","C"))</f>
        <v/>
      </c>
      <c r="C214" s="43"/>
      <c r="D214" s="23"/>
      <c r="E214" s="23"/>
      <c r="F214" s="11"/>
      <c r="G214" s="35"/>
      <c r="H214" s="23"/>
      <c r="I214" s="24"/>
      <c r="J214" s="31" t="str">
        <f aca="false">IF(I214="","",UPPER(SUBSTITUTE(SUBSTITUTE(SUBSTITUTE(SUBSTITUTE(SUBSTITUTE(TRIM(I214),".",""),"/",""),"-",""),"*","")," ","")))</f>
        <v/>
      </c>
      <c r="K214" s="31" t="str">
        <f aca="false">IF(OR(H214="",J214=""),"",IF(LEN(J214)&gt;=13,IF(LEN(J214)=13,"0"&amp;J214,J214),SUBSTITUTE(SUBSTITUTE(SUBSTITUTE(SUBSTITUTE(SUBSTITUTE(SUBSTITUTE(SUBSTITUTE(SUBSTITUTE(SUBSTITUTE(SUBSTITUTE(SUBSTITUTE(SUBSTITUTE(SUBSTITUTE(UPPER(TRIM(H214)),"Á","A"),"À","A"),"Â","A"),"Ã","A"),"É","E"),"Ê","E"),"Í","I"),"Ó","O"),"Ô","O"),"Õ","O"),"Ú","U"),"Ü","U"),"Ç","C")&amp;"|"&amp;IF(LEN(J214)=11,MID(J214,4,6),J214)))</f>
        <v/>
      </c>
      <c r="L214" s="25" t="str">
        <f aca="false">IF(K214="","",IF(E214="Doação recebida",TRIM(IF(COUNTIF(Socios!$H:$H,K214)&gt;0,"Doador é sócio de empresa da pauta. ","")&amp;IF(COUNTIF(Pessoas!$E:$E,K214)&gt;0,"Doador está em Pessoas.","")),IF(E214="Despesa com fornecedor",IF(COUNTIF(Contratos!$D:$D,K214)&gt;0,"Fornecedor também tem contrato público",""),"")))</f>
        <v/>
      </c>
      <c r="M214" s="24"/>
      <c r="N214" s="11"/>
    </row>
    <row r="215" customFormat="false" ht="15" hidden="false" customHeight="false" outlineLevel="0" collapsed="false">
      <c r="A215" s="23"/>
      <c r="B215" s="31" t="str">
        <f aca="false">IF(A215="","",SUBSTITUTE(SUBSTITUTE(SUBSTITUTE(SUBSTITUTE(SUBSTITUTE(SUBSTITUTE(SUBSTITUTE(SUBSTITUTE(SUBSTITUTE(SUBSTITUTE(SUBSTITUTE(SUBSTITUTE(SUBSTITUTE(UPPER(TRIM(A215)),"Á","A"),"À","A"),"Â","A"),"Ã","A"),"É","E"),"Ê","E"),"Í","I"),"Ó","O"),"Ô","O"),"Õ","O"),"Ú","U"),"Ü","U"),"Ç","C"))</f>
        <v/>
      </c>
      <c r="C215" s="43"/>
      <c r="D215" s="23"/>
      <c r="E215" s="23"/>
      <c r="F215" s="11"/>
      <c r="G215" s="35"/>
      <c r="H215" s="23"/>
      <c r="I215" s="24"/>
      <c r="J215" s="31" t="str">
        <f aca="false">IF(I215="","",UPPER(SUBSTITUTE(SUBSTITUTE(SUBSTITUTE(SUBSTITUTE(SUBSTITUTE(TRIM(I215),".",""),"/",""),"-",""),"*","")," ","")))</f>
        <v/>
      </c>
      <c r="K215" s="31" t="str">
        <f aca="false">IF(OR(H215="",J215=""),"",IF(LEN(J215)&gt;=13,IF(LEN(J215)=13,"0"&amp;J215,J215),SUBSTITUTE(SUBSTITUTE(SUBSTITUTE(SUBSTITUTE(SUBSTITUTE(SUBSTITUTE(SUBSTITUTE(SUBSTITUTE(SUBSTITUTE(SUBSTITUTE(SUBSTITUTE(SUBSTITUTE(SUBSTITUTE(UPPER(TRIM(H215)),"Á","A"),"À","A"),"Â","A"),"Ã","A"),"É","E"),"Ê","E"),"Í","I"),"Ó","O"),"Ô","O"),"Õ","O"),"Ú","U"),"Ü","U"),"Ç","C")&amp;"|"&amp;IF(LEN(J215)=11,MID(J215,4,6),J215)))</f>
        <v/>
      </c>
      <c r="L215" s="25" t="str">
        <f aca="false">IF(K215="","",IF(E215="Doação recebida",TRIM(IF(COUNTIF(Socios!$H:$H,K215)&gt;0,"Doador é sócio de empresa da pauta. ","")&amp;IF(COUNTIF(Pessoas!$E:$E,K215)&gt;0,"Doador está em Pessoas.","")),IF(E215="Despesa com fornecedor",IF(COUNTIF(Contratos!$D:$D,K215)&gt;0,"Fornecedor também tem contrato público",""),"")))</f>
        <v/>
      </c>
      <c r="M215" s="24"/>
      <c r="N215" s="11"/>
    </row>
    <row r="216" customFormat="false" ht="15" hidden="false" customHeight="false" outlineLevel="0" collapsed="false">
      <c r="A216" s="23"/>
      <c r="B216" s="31" t="str">
        <f aca="false">IF(A216="","",SUBSTITUTE(SUBSTITUTE(SUBSTITUTE(SUBSTITUTE(SUBSTITUTE(SUBSTITUTE(SUBSTITUTE(SUBSTITUTE(SUBSTITUTE(SUBSTITUTE(SUBSTITUTE(SUBSTITUTE(SUBSTITUTE(UPPER(TRIM(A216)),"Á","A"),"À","A"),"Â","A"),"Ã","A"),"É","E"),"Ê","E"),"Í","I"),"Ó","O"),"Ô","O"),"Õ","O"),"Ú","U"),"Ü","U"),"Ç","C"))</f>
        <v/>
      </c>
      <c r="C216" s="43"/>
      <c r="D216" s="23"/>
      <c r="E216" s="23"/>
      <c r="F216" s="11"/>
      <c r="G216" s="35"/>
      <c r="H216" s="23"/>
      <c r="I216" s="24"/>
      <c r="J216" s="31" t="str">
        <f aca="false">IF(I216="","",UPPER(SUBSTITUTE(SUBSTITUTE(SUBSTITUTE(SUBSTITUTE(SUBSTITUTE(TRIM(I216),".",""),"/",""),"-",""),"*","")," ","")))</f>
        <v/>
      </c>
      <c r="K216" s="31" t="str">
        <f aca="false">IF(OR(H216="",J216=""),"",IF(LEN(J216)&gt;=13,IF(LEN(J216)=13,"0"&amp;J216,J216),SUBSTITUTE(SUBSTITUTE(SUBSTITUTE(SUBSTITUTE(SUBSTITUTE(SUBSTITUTE(SUBSTITUTE(SUBSTITUTE(SUBSTITUTE(SUBSTITUTE(SUBSTITUTE(SUBSTITUTE(SUBSTITUTE(UPPER(TRIM(H216)),"Á","A"),"À","A"),"Â","A"),"Ã","A"),"É","E"),"Ê","E"),"Í","I"),"Ó","O"),"Ô","O"),"Õ","O"),"Ú","U"),"Ü","U"),"Ç","C")&amp;"|"&amp;IF(LEN(J216)=11,MID(J216,4,6),J216)))</f>
        <v/>
      </c>
      <c r="L216" s="25" t="str">
        <f aca="false">IF(K216="","",IF(E216="Doação recebida",TRIM(IF(COUNTIF(Socios!$H:$H,K216)&gt;0,"Doador é sócio de empresa da pauta. ","")&amp;IF(COUNTIF(Pessoas!$E:$E,K216)&gt;0,"Doador está em Pessoas.","")),IF(E216="Despesa com fornecedor",IF(COUNTIF(Contratos!$D:$D,K216)&gt;0,"Fornecedor também tem contrato público",""),"")))</f>
        <v/>
      </c>
      <c r="M216" s="24"/>
      <c r="N216" s="11"/>
    </row>
    <row r="217" customFormat="false" ht="15" hidden="false" customHeight="false" outlineLevel="0" collapsed="false">
      <c r="A217" s="23"/>
      <c r="B217" s="31" t="str">
        <f aca="false">IF(A217="","",SUBSTITUTE(SUBSTITUTE(SUBSTITUTE(SUBSTITUTE(SUBSTITUTE(SUBSTITUTE(SUBSTITUTE(SUBSTITUTE(SUBSTITUTE(SUBSTITUTE(SUBSTITUTE(SUBSTITUTE(SUBSTITUTE(UPPER(TRIM(A217)),"Á","A"),"À","A"),"Â","A"),"Ã","A"),"É","E"),"Ê","E"),"Í","I"),"Ó","O"),"Ô","O"),"Õ","O"),"Ú","U"),"Ü","U"),"Ç","C"))</f>
        <v/>
      </c>
      <c r="C217" s="43"/>
      <c r="D217" s="23"/>
      <c r="E217" s="23"/>
      <c r="F217" s="11"/>
      <c r="G217" s="35"/>
      <c r="H217" s="23"/>
      <c r="I217" s="24"/>
      <c r="J217" s="31" t="str">
        <f aca="false">IF(I217="","",UPPER(SUBSTITUTE(SUBSTITUTE(SUBSTITUTE(SUBSTITUTE(SUBSTITUTE(TRIM(I217),".",""),"/",""),"-",""),"*","")," ","")))</f>
        <v/>
      </c>
      <c r="K217" s="31" t="str">
        <f aca="false">IF(OR(H217="",J217=""),"",IF(LEN(J217)&gt;=13,IF(LEN(J217)=13,"0"&amp;J217,J217),SUBSTITUTE(SUBSTITUTE(SUBSTITUTE(SUBSTITUTE(SUBSTITUTE(SUBSTITUTE(SUBSTITUTE(SUBSTITUTE(SUBSTITUTE(SUBSTITUTE(SUBSTITUTE(SUBSTITUTE(SUBSTITUTE(UPPER(TRIM(H217)),"Á","A"),"À","A"),"Â","A"),"Ã","A"),"É","E"),"Ê","E"),"Í","I"),"Ó","O"),"Ô","O"),"Õ","O"),"Ú","U"),"Ü","U"),"Ç","C")&amp;"|"&amp;IF(LEN(J217)=11,MID(J217,4,6),J217)))</f>
        <v/>
      </c>
      <c r="L217" s="25" t="str">
        <f aca="false">IF(K217="","",IF(E217="Doação recebida",TRIM(IF(COUNTIF(Socios!$H:$H,K217)&gt;0,"Doador é sócio de empresa da pauta. ","")&amp;IF(COUNTIF(Pessoas!$E:$E,K217)&gt;0,"Doador está em Pessoas.","")),IF(E217="Despesa com fornecedor",IF(COUNTIF(Contratos!$D:$D,K217)&gt;0,"Fornecedor também tem contrato público",""),"")))</f>
        <v/>
      </c>
      <c r="M217" s="24"/>
      <c r="N217" s="11"/>
    </row>
    <row r="218" customFormat="false" ht="15" hidden="false" customHeight="false" outlineLevel="0" collapsed="false">
      <c r="A218" s="23"/>
      <c r="B218" s="31" t="str">
        <f aca="false">IF(A218="","",SUBSTITUTE(SUBSTITUTE(SUBSTITUTE(SUBSTITUTE(SUBSTITUTE(SUBSTITUTE(SUBSTITUTE(SUBSTITUTE(SUBSTITUTE(SUBSTITUTE(SUBSTITUTE(SUBSTITUTE(SUBSTITUTE(UPPER(TRIM(A218)),"Á","A"),"À","A"),"Â","A"),"Ã","A"),"É","E"),"Ê","E"),"Í","I"),"Ó","O"),"Ô","O"),"Õ","O"),"Ú","U"),"Ü","U"),"Ç","C"))</f>
        <v/>
      </c>
      <c r="C218" s="43"/>
      <c r="D218" s="23"/>
      <c r="E218" s="23"/>
      <c r="F218" s="11"/>
      <c r="G218" s="35"/>
      <c r="H218" s="23"/>
      <c r="I218" s="24"/>
      <c r="J218" s="31" t="str">
        <f aca="false">IF(I218="","",UPPER(SUBSTITUTE(SUBSTITUTE(SUBSTITUTE(SUBSTITUTE(SUBSTITUTE(TRIM(I218),".",""),"/",""),"-",""),"*","")," ","")))</f>
        <v/>
      </c>
      <c r="K218" s="31" t="str">
        <f aca="false">IF(OR(H218="",J218=""),"",IF(LEN(J218)&gt;=13,IF(LEN(J218)=13,"0"&amp;J218,J218),SUBSTITUTE(SUBSTITUTE(SUBSTITUTE(SUBSTITUTE(SUBSTITUTE(SUBSTITUTE(SUBSTITUTE(SUBSTITUTE(SUBSTITUTE(SUBSTITUTE(SUBSTITUTE(SUBSTITUTE(SUBSTITUTE(UPPER(TRIM(H218)),"Á","A"),"À","A"),"Â","A"),"Ã","A"),"É","E"),"Ê","E"),"Í","I"),"Ó","O"),"Ô","O"),"Õ","O"),"Ú","U"),"Ü","U"),"Ç","C")&amp;"|"&amp;IF(LEN(J218)=11,MID(J218,4,6),J218)))</f>
        <v/>
      </c>
      <c r="L218" s="25" t="str">
        <f aca="false">IF(K218="","",IF(E218="Doação recebida",TRIM(IF(COUNTIF(Socios!$H:$H,K218)&gt;0,"Doador é sócio de empresa da pauta. ","")&amp;IF(COUNTIF(Pessoas!$E:$E,K218)&gt;0,"Doador está em Pessoas.","")),IF(E218="Despesa com fornecedor",IF(COUNTIF(Contratos!$D:$D,K218)&gt;0,"Fornecedor também tem contrato público",""),"")))</f>
        <v/>
      </c>
      <c r="M218" s="24"/>
      <c r="N218" s="11"/>
    </row>
    <row r="219" customFormat="false" ht="15" hidden="false" customHeight="false" outlineLevel="0" collapsed="false">
      <c r="A219" s="23"/>
      <c r="B219" s="31" t="str">
        <f aca="false">IF(A219="","",SUBSTITUTE(SUBSTITUTE(SUBSTITUTE(SUBSTITUTE(SUBSTITUTE(SUBSTITUTE(SUBSTITUTE(SUBSTITUTE(SUBSTITUTE(SUBSTITUTE(SUBSTITUTE(SUBSTITUTE(SUBSTITUTE(UPPER(TRIM(A219)),"Á","A"),"À","A"),"Â","A"),"Ã","A"),"É","E"),"Ê","E"),"Í","I"),"Ó","O"),"Ô","O"),"Õ","O"),"Ú","U"),"Ü","U"),"Ç","C"))</f>
        <v/>
      </c>
      <c r="C219" s="43"/>
      <c r="D219" s="23"/>
      <c r="E219" s="23"/>
      <c r="F219" s="11"/>
      <c r="G219" s="35"/>
      <c r="H219" s="23"/>
      <c r="I219" s="24"/>
      <c r="J219" s="31" t="str">
        <f aca="false">IF(I219="","",UPPER(SUBSTITUTE(SUBSTITUTE(SUBSTITUTE(SUBSTITUTE(SUBSTITUTE(TRIM(I219),".",""),"/",""),"-",""),"*","")," ","")))</f>
        <v/>
      </c>
      <c r="K219" s="31" t="str">
        <f aca="false">IF(OR(H219="",J219=""),"",IF(LEN(J219)&gt;=13,IF(LEN(J219)=13,"0"&amp;J219,J219),SUBSTITUTE(SUBSTITUTE(SUBSTITUTE(SUBSTITUTE(SUBSTITUTE(SUBSTITUTE(SUBSTITUTE(SUBSTITUTE(SUBSTITUTE(SUBSTITUTE(SUBSTITUTE(SUBSTITUTE(SUBSTITUTE(UPPER(TRIM(H219)),"Á","A"),"À","A"),"Â","A"),"Ã","A"),"É","E"),"Ê","E"),"Í","I"),"Ó","O"),"Ô","O"),"Õ","O"),"Ú","U"),"Ü","U"),"Ç","C")&amp;"|"&amp;IF(LEN(J219)=11,MID(J219,4,6),J219)))</f>
        <v/>
      </c>
      <c r="L219" s="25" t="str">
        <f aca="false">IF(K219="","",IF(E219="Doação recebida",TRIM(IF(COUNTIF(Socios!$H:$H,K219)&gt;0,"Doador é sócio de empresa da pauta. ","")&amp;IF(COUNTIF(Pessoas!$E:$E,K219)&gt;0,"Doador está em Pessoas.","")),IF(E219="Despesa com fornecedor",IF(COUNTIF(Contratos!$D:$D,K219)&gt;0,"Fornecedor também tem contrato público",""),"")))</f>
        <v/>
      </c>
      <c r="M219" s="24"/>
      <c r="N219" s="11"/>
    </row>
    <row r="220" customFormat="false" ht="15" hidden="false" customHeight="false" outlineLevel="0" collapsed="false">
      <c r="A220" s="23"/>
      <c r="B220" s="31" t="str">
        <f aca="false">IF(A220="","",SUBSTITUTE(SUBSTITUTE(SUBSTITUTE(SUBSTITUTE(SUBSTITUTE(SUBSTITUTE(SUBSTITUTE(SUBSTITUTE(SUBSTITUTE(SUBSTITUTE(SUBSTITUTE(SUBSTITUTE(SUBSTITUTE(UPPER(TRIM(A220)),"Á","A"),"À","A"),"Â","A"),"Ã","A"),"É","E"),"Ê","E"),"Í","I"),"Ó","O"),"Ô","O"),"Õ","O"),"Ú","U"),"Ü","U"),"Ç","C"))</f>
        <v/>
      </c>
      <c r="C220" s="43"/>
      <c r="D220" s="23"/>
      <c r="E220" s="23"/>
      <c r="F220" s="11"/>
      <c r="G220" s="35"/>
      <c r="H220" s="23"/>
      <c r="I220" s="24"/>
      <c r="J220" s="31" t="str">
        <f aca="false">IF(I220="","",UPPER(SUBSTITUTE(SUBSTITUTE(SUBSTITUTE(SUBSTITUTE(SUBSTITUTE(TRIM(I220),".",""),"/",""),"-",""),"*","")," ","")))</f>
        <v/>
      </c>
      <c r="K220" s="31" t="str">
        <f aca="false">IF(OR(H220="",J220=""),"",IF(LEN(J220)&gt;=13,IF(LEN(J220)=13,"0"&amp;J220,J220),SUBSTITUTE(SUBSTITUTE(SUBSTITUTE(SUBSTITUTE(SUBSTITUTE(SUBSTITUTE(SUBSTITUTE(SUBSTITUTE(SUBSTITUTE(SUBSTITUTE(SUBSTITUTE(SUBSTITUTE(SUBSTITUTE(UPPER(TRIM(H220)),"Á","A"),"À","A"),"Â","A"),"Ã","A"),"É","E"),"Ê","E"),"Í","I"),"Ó","O"),"Ô","O"),"Õ","O"),"Ú","U"),"Ü","U"),"Ç","C")&amp;"|"&amp;IF(LEN(J220)=11,MID(J220,4,6),J220)))</f>
        <v/>
      </c>
      <c r="L220" s="25" t="str">
        <f aca="false">IF(K220="","",IF(E220="Doação recebida",TRIM(IF(COUNTIF(Socios!$H:$H,K220)&gt;0,"Doador é sócio de empresa da pauta. ","")&amp;IF(COUNTIF(Pessoas!$E:$E,K220)&gt;0,"Doador está em Pessoas.","")),IF(E220="Despesa com fornecedor",IF(COUNTIF(Contratos!$D:$D,K220)&gt;0,"Fornecedor também tem contrato público",""),"")))</f>
        <v/>
      </c>
      <c r="M220" s="24"/>
      <c r="N220" s="11"/>
    </row>
    <row r="221" customFormat="false" ht="15" hidden="false" customHeight="false" outlineLevel="0" collapsed="false">
      <c r="A221" s="23"/>
      <c r="B221" s="31" t="str">
        <f aca="false">IF(A221="","",SUBSTITUTE(SUBSTITUTE(SUBSTITUTE(SUBSTITUTE(SUBSTITUTE(SUBSTITUTE(SUBSTITUTE(SUBSTITUTE(SUBSTITUTE(SUBSTITUTE(SUBSTITUTE(SUBSTITUTE(SUBSTITUTE(UPPER(TRIM(A221)),"Á","A"),"À","A"),"Â","A"),"Ã","A"),"É","E"),"Ê","E"),"Í","I"),"Ó","O"),"Ô","O"),"Õ","O"),"Ú","U"),"Ü","U"),"Ç","C"))</f>
        <v/>
      </c>
      <c r="C221" s="43"/>
      <c r="D221" s="23"/>
      <c r="E221" s="23"/>
      <c r="F221" s="11"/>
      <c r="G221" s="35"/>
      <c r="H221" s="23"/>
      <c r="I221" s="24"/>
      <c r="J221" s="31" t="str">
        <f aca="false">IF(I221="","",UPPER(SUBSTITUTE(SUBSTITUTE(SUBSTITUTE(SUBSTITUTE(SUBSTITUTE(TRIM(I221),".",""),"/",""),"-",""),"*","")," ","")))</f>
        <v/>
      </c>
      <c r="K221" s="31" t="str">
        <f aca="false">IF(OR(H221="",J221=""),"",IF(LEN(J221)&gt;=13,IF(LEN(J221)=13,"0"&amp;J221,J221),SUBSTITUTE(SUBSTITUTE(SUBSTITUTE(SUBSTITUTE(SUBSTITUTE(SUBSTITUTE(SUBSTITUTE(SUBSTITUTE(SUBSTITUTE(SUBSTITUTE(SUBSTITUTE(SUBSTITUTE(SUBSTITUTE(UPPER(TRIM(H221)),"Á","A"),"À","A"),"Â","A"),"Ã","A"),"É","E"),"Ê","E"),"Í","I"),"Ó","O"),"Ô","O"),"Õ","O"),"Ú","U"),"Ü","U"),"Ç","C")&amp;"|"&amp;IF(LEN(J221)=11,MID(J221,4,6),J221)))</f>
        <v/>
      </c>
      <c r="L221" s="25" t="str">
        <f aca="false">IF(K221="","",IF(E221="Doação recebida",TRIM(IF(COUNTIF(Socios!$H:$H,K221)&gt;0,"Doador é sócio de empresa da pauta. ","")&amp;IF(COUNTIF(Pessoas!$E:$E,K221)&gt;0,"Doador está em Pessoas.","")),IF(E221="Despesa com fornecedor",IF(COUNTIF(Contratos!$D:$D,K221)&gt;0,"Fornecedor também tem contrato público",""),"")))</f>
        <v/>
      </c>
      <c r="M221" s="24"/>
      <c r="N221" s="11"/>
    </row>
    <row r="222" customFormat="false" ht="15" hidden="false" customHeight="false" outlineLevel="0" collapsed="false">
      <c r="A222" s="23"/>
      <c r="B222" s="31" t="str">
        <f aca="false">IF(A222="","",SUBSTITUTE(SUBSTITUTE(SUBSTITUTE(SUBSTITUTE(SUBSTITUTE(SUBSTITUTE(SUBSTITUTE(SUBSTITUTE(SUBSTITUTE(SUBSTITUTE(SUBSTITUTE(SUBSTITUTE(SUBSTITUTE(UPPER(TRIM(A222)),"Á","A"),"À","A"),"Â","A"),"Ã","A"),"É","E"),"Ê","E"),"Í","I"),"Ó","O"),"Ô","O"),"Õ","O"),"Ú","U"),"Ü","U"),"Ç","C"))</f>
        <v/>
      </c>
      <c r="C222" s="43"/>
      <c r="D222" s="23"/>
      <c r="E222" s="23"/>
      <c r="F222" s="11"/>
      <c r="G222" s="35"/>
      <c r="H222" s="23"/>
      <c r="I222" s="24"/>
      <c r="J222" s="31" t="str">
        <f aca="false">IF(I222="","",UPPER(SUBSTITUTE(SUBSTITUTE(SUBSTITUTE(SUBSTITUTE(SUBSTITUTE(TRIM(I222),".",""),"/",""),"-",""),"*","")," ","")))</f>
        <v/>
      </c>
      <c r="K222" s="31" t="str">
        <f aca="false">IF(OR(H222="",J222=""),"",IF(LEN(J222)&gt;=13,IF(LEN(J222)=13,"0"&amp;J222,J222),SUBSTITUTE(SUBSTITUTE(SUBSTITUTE(SUBSTITUTE(SUBSTITUTE(SUBSTITUTE(SUBSTITUTE(SUBSTITUTE(SUBSTITUTE(SUBSTITUTE(SUBSTITUTE(SUBSTITUTE(SUBSTITUTE(UPPER(TRIM(H222)),"Á","A"),"À","A"),"Â","A"),"Ã","A"),"É","E"),"Ê","E"),"Í","I"),"Ó","O"),"Ô","O"),"Õ","O"),"Ú","U"),"Ü","U"),"Ç","C")&amp;"|"&amp;IF(LEN(J222)=11,MID(J222,4,6),J222)))</f>
        <v/>
      </c>
      <c r="L222" s="25" t="str">
        <f aca="false">IF(K222="","",IF(E222="Doação recebida",TRIM(IF(COUNTIF(Socios!$H:$H,K222)&gt;0,"Doador é sócio de empresa da pauta. ","")&amp;IF(COUNTIF(Pessoas!$E:$E,K222)&gt;0,"Doador está em Pessoas.","")),IF(E222="Despesa com fornecedor",IF(COUNTIF(Contratos!$D:$D,K222)&gt;0,"Fornecedor também tem contrato público",""),"")))</f>
        <v/>
      </c>
      <c r="M222" s="24"/>
      <c r="N222" s="11"/>
    </row>
    <row r="223" customFormat="false" ht="15" hidden="false" customHeight="false" outlineLevel="0" collapsed="false">
      <c r="A223" s="23"/>
      <c r="B223" s="31" t="str">
        <f aca="false">IF(A223="","",SUBSTITUTE(SUBSTITUTE(SUBSTITUTE(SUBSTITUTE(SUBSTITUTE(SUBSTITUTE(SUBSTITUTE(SUBSTITUTE(SUBSTITUTE(SUBSTITUTE(SUBSTITUTE(SUBSTITUTE(SUBSTITUTE(UPPER(TRIM(A223)),"Á","A"),"À","A"),"Â","A"),"Ã","A"),"É","E"),"Ê","E"),"Í","I"),"Ó","O"),"Ô","O"),"Õ","O"),"Ú","U"),"Ü","U"),"Ç","C"))</f>
        <v/>
      </c>
      <c r="C223" s="43"/>
      <c r="D223" s="23"/>
      <c r="E223" s="23"/>
      <c r="F223" s="11"/>
      <c r="G223" s="35"/>
      <c r="H223" s="23"/>
      <c r="I223" s="24"/>
      <c r="J223" s="31" t="str">
        <f aca="false">IF(I223="","",UPPER(SUBSTITUTE(SUBSTITUTE(SUBSTITUTE(SUBSTITUTE(SUBSTITUTE(TRIM(I223),".",""),"/",""),"-",""),"*","")," ","")))</f>
        <v/>
      </c>
      <c r="K223" s="31" t="str">
        <f aca="false">IF(OR(H223="",J223=""),"",IF(LEN(J223)&gt;=13,IF(LEN(J223)=13,"0"&amp;J223,J223),SUBSTITUTE(SUBSTITUTE(SUBSTITUTE(SUBSTITUTE(SUBSTITUTE(SUBSTITUTE(SUBSTITUTE(SUBSTITUTE(SUBSTITUTE(SUBSTITUTE(SUBSTITUTE(SUBSTITUTE(SUBSTITUTE(UPPER(TRIM(H223)),"Á","A"),"À","A"),"Â","A"),"Ã","A"),"É","E"),"Ê","E"),"Í","I"),"Ó","O"),"Ô","O"),"Õ","O"),"Ú","U"),"Ü","U"),"Ç","C")&amp;"|"&amp;IF(LEN(J223)=11,MID(J223,4,6),J223)))</f>
        <v/>
      </c>
      <c r="L223" s="25" t="str">
        <f aca="false">IF(K223="","",IF(E223="Doação recebida",TRIM(IF(COUNTIF(Socios!$H:$H,K223)&gt;0,"Doador é sócio de empresa da pauta. ","")&amp;IF(COUNTIF(Pessoas!$E:$E,K223)&gt;0,"Doador está em Pessoas.","")),IF(E223="Despesa com fornecedor",IF(COUNTIF(Contratos!$D:$D,K223)&gt;0,"Fornecedor também tem contrato público",""),"")))</f>
        <v/>
      </c>
      <c r="M223" s="24"/>
      <c r="N223" s="11"/>
    </row>
    <row r="224" customFormat="false" ht="15" hidden="false" customHeight="false" outlineLevel="0" collapsed="false">
      <c r="A224" s="23"/>
      <c r="B224" s="31" t="str">
        <f aca="false">IF(A224="","",SUBSTITUTE(SUBSTITUTE(SUBSTITUTE(SUBSTITUTE(SUBSTITUTE(SUBSTITUTE(SUBSTITUTE(SUBSTITUTE(SUBSTITUTE(SUBSTITUTE(SUBSTITUTE(SUBSTITUTE(SUBSTITUTE(UPPER(TRIM(A224)),"Á","A"),"À","A"),"Â","A"),"Ã","A"),"É","E"),"Ê","E"),"Í","I"),"Ó","O"),"Ô","O"),"Õ","O"),"Ú","U"),"Ü","U"),"Ç","C"))</f>
        <v/>
      </c>
      <c r="C224" s="43"/>
      <c r="D224" s="23"/>
      <c r="E224" s="23"/>
      <c r="F224" s="11"/>
      <c r="G224" s="35"/>
      <c r="H224" s="23"/>
      <c r="I224" s="24"/>
      <c r="J224" s="31" t="str">
        <f aca="false">IF(I224="","",UPPER(SUBSTITUTE(SUBSTITUTE(SUBSTITUTE(SUBSTITUTE(SUBSTITUTE(TRIM(I224),".",""),"/",""),"-",""),"*","")," ","")))</f>
        <v/>
      </c>
      <c r="K224" s="31" t="str">
        <f aca="false">IF(OR(H224="",J224=""),"",IF(LEN(J224)&gt;=13,IF(LEN(J224)=13,"0"&amp;J224,J224),SUBSTITUTE(SUBSTITUTE(SUBSTITUTE(SUBSTITUTE(SUBSTITUTE(SUBSTITUTE(SUBSTITUTE(SUBSTITUTE(SUBSTITUTE(SUBSTITUTE(SUBSTITUTE(SUBSTITUTE(SUBSTITUTE(UPPER(TRIM(H224)),"Á","A"),"À","A"),"Â","A"),"Ã","A"),"É","E"),"Ê","E"),"Í","I"),"Ó","O"),"Ô","O"),"Õ","O"),"Ú","U"),"Ü","U"),"Ç","C")&amp;"|"&amp;IF(LEN(J224)=11,MID(J224,4,6),J224)))</f>
        <v/>
      </c>
      <c r="L224" s="25" t="str">
        <f aca="false">IF(K224="","",IF(E224="Doação recebida",TRIM(IF(COUNTIF(Socios!$H:$H,K224)&gt;0,"Doador é sócio de empresa da pauta. ","")&amp;IF(COUNTIF(Pessoas!$E:$E,K224)&gt;0,"Doador está em Pessoas.","")),IF(E224="Despesa com fornecedor",IF(COUNTIF(Contratos!$D:$D,K224)&gt;0,"Fornecedor também tem contrato público",""),"")))</f>
        <v/>
      </c>
      <c r="M224" s="24"/>
      <c r="N224" s="11"/>
    </row>
    <row r="225" customFormat="false" ht="15" hidden="false" customHeight="false" outlineLevel="0" collapsed="false">
      <c r="A225" s="23"/>
      <c r="B225" s="31" t="str">
        <f aca="false">IF(A225="","",SUBSTITUTE(SUBSTITUTE(SUBSTITUTE(SUBSTITUTE(SUBSTITUTE(SUBSTITUTE(SUBSTITUTE(SUBSTITUTE(SUBSTITUTE(SUBSTITUTE(SUBSTITUTE(SUBSTITUTE(SUBSTITUTE(UPPER(TRIM(A225)),"Á","A"),"À","A"),"Â","A"),"Ã","A"),"É","E"),"Ê","E"),"Í","I"),"Ó","O"),"Ô","O"),"Õ","O"),"Ú","U"),"Ü","U"),"Ç","C"))</f>
        <v/>
      </c>
      <c r="C225" s="43"/>
      <c r="D225" s="23"/>
      <c r="E225" s="23"/>
      <c r="F225" s="11"/>
      <c r="G225" s="35"/>
      <c r="H225" s="23"/>
      <c r="I225" s="24"/>
      <c r="J225" s="31" t="str">
        <f aca="false">IF(I225="","",UPPER(SUBSTITUTE(SUBSTITUTE(SUBSTITUTE(SUBSTITUTE(SUBSTITUTE(TRIM(I225),".",""),"/",""),"-",""),"*","")," ","")))</f>
        <v/>
      </c>
      <c r="K225" s="31" t="str">
        <f aca="false">IF(OR(H225="",J225=""),"",IF(LEN(J225)&gt;=13,IF(LEN(J225)=13,"0"&amp;J225,J225),SUBSTITUTE(SUBSTITUTE(SUBSTITUTE(SUBSTITUTE(SUBSTITUTE(SUBSTITUTE(SUBSTITUTE(SUBSTITUTE(SUBSTITUTE(SUBSTITUTE(SUBSTITUTE(SUBSTITUTE(SUBSTITUTE(UPPER(TRIM(H225)),"Á","A"),"À","A"),"Â","A"),"Ã","A"),"É","E"),"Ê","E"),"Í","I"),"Ó","O"),"Ô","O"),"Õ","O"),"Ú","U"),"Ü","U"),"Ç","C")&amp;"|"&amp;IF(LEN(J225)=11,MID(J225,4,6),J225)))</f>
        <v/>
      </c>
      <c r="L225" s="25" t="str">
        <f aca="false">IF(K225="","",IF(E225="Doação recebida",TRIM(IF(COUNTIF(Socios!$H:$H,K225)&gt;0,"Doador é sócio de empresa da pauta. ","")&amp;IF(COUNTIF(Pessoas!$E:$E,K225)&gt;0,"Doador está em Pessoas.","")),IF(E225="Despesa com fornecedor",IF(COUNTIF(Contratos!$D:$D,K225)&gt;0,"Fornecedor também tem contrato público",""),"")))</f>
        <v/>
      </c>
      <c r="M225" s="24"/>
      <c r="N225" s="11"/>
    </row>
    <row r="226" customFormat="false" ht="15" hidden="false" customHeight="false" outlineLevel="0" collapsed="false">
      <c r="A226" s="23"/>
      <c r="B226" s="31" t="str">
        <f aca="false">IF(A226="","",SUBSTITUTE(SUBSTITUTE(SUBSTITUTE(SUBSTITUTE(SUBSTITUTE(SUBSTITUTE(SUBSTITUTE(SUBSTITUTE(SUBSTITUTE(SUBSTITUTE(SUBSTITUTE(SUBSTITUTE(SUBSTITUTE(UPPER(TRIM(A226)),"Á","A"),"À","A"),"Â","A"),"Ã","A"),"É","E"),"Ê","E"),"Í","I"),"Ó","O"),"Ô","O"),"Õ","O"),"Ú","U"),"Ü","U"),"Ç","C"))</f>
        <v/>
      </c>
      <c r="C226" s="43"/>
      <c r="D226" s="23"/>
      <c r="E226" s="23"/>
      <c r="F226" s="11"/>
      <c r="G226" s="35"/>
      <c r="H226" s="23"/>
      <c r="I226" s="24"/>
      <c r="J226" s="31" t="str">
        <f aca="false">IF(I226="","",UPPER(SUBSTITUTE(SUBSTITUTE(SUBSTITUTE(SUBSTITUTE(SUBSTITUTE(TRIM(I226),".",""),"/",""),"-",""),"*","")," ","")))</f>
        <v/>
      </c>
      <c r="K226" s="31" t="str">
        <f aca="false">IF(OR(H226="",J226=""),"",IF(LEN(J226)&gt;=13,IF(LEN(J226)=13,"0"&amp;J226,J226),SUBSTITUTE(SUBSTITUTE(SUBSTITUTE(SUBSTITUTE(SUBSTITUTE(SUBSTITUTE(SUBSTITUTE(SUBSTITUTE(SUBSTITUTE(SUBSTITUTE(SUBSTITUTE(SUBSTITUTE(SUBSTITUTE(UPPER(TRIM(H226)),"Á","A"),"À","A"),"Â","A"),"Ã","A"),"É","E"),"Ê","E"),"Í","I"),"Ó","O"),"Ô","O"),"Õ","O"),"Ú","U"),"Ü","U"),"Ç","C")&amp;"|"&amp;IF(LEN(J226)=11,MID(J226,4,6),J226)))</f>
        <v/>
      </c>
      <c r="L226" s="25" t="str">
        <f aca="false">IF(K226="","",IF(E226="Doação recebida",TRIM(IF(COUNTIF(Socios!$H:$H,K226)&gt;0,"Doador é sócio de empresa da pauta. ","")&amp;IF(COUNTIF(Pessoas!$E:$E,K226)&gt;0,"Doador está em Pessoas.","")),IF(E226="Despesa com fornecedor",IF(COUNTIF(Contratos!$D:$D,K226)&gt;0,"Fornecedor também tem contrato público",""),"")))</f>
        <v/>
      </c>
      <c r="M226" s="24"/>
      <c r="N226" s="11"/>
    </row>
    <row r="227" customFormat="false" ht="15" hidden="false" customHeight="false" outlineLevel="0" collapsed="false">
      <c r="A227" s="23"/>
      <c r="B227" s="31" t="str">
        <f aca="false">IF(A227="","",SUBSTITUTE(SUBSTITUTE(SUBSTITUTE(SUBSTITUTE(SUBSTITUTE(SUBSTITUTE(SUBSTITUTE(SUBSTITUTE(SUBSTITUTE(SUBSTITUTE(SUBSTITUTE(SUBSTITUTE(SUBSTITUTE(UPPER(TRIM(A227)),"Á","A"),"À","A"),"Â","A"),"Ã","A"),"É","E"),"Ê","E"),"Í","I"),"Ó","O"),"Ô","O"),"Õ","O"),"Ú","U"),"Ü","U"),"Ç","C"))</f>
        <v/>
      </c>
      <c r="C227" s="43"/>
      <c r="D227" s="23"/>
      <c r="E227" s="23"/>
      <c r="F227" s="11"/>
      <c r="G227" s="35"/>
      <c r="H227" s="23"/>
      <c r="I227" s="24"/>
      <c r="J227" s="31" t="str">
        <f aca="false">IF(I227="","",UPPER(SUBSTITUTE(SUBSTITUTE(SUBSTITUTE(SUBSTITUTE(SUBSTITUTE(TRIM(I227),".",""),"/",""),"-",""),"*","")," ","")))</f>
        <v/>
      </c>
      <c r="K227" s="31" t="str">
        <f aca="false">IF(OR(H227="",J227=""),"",IF(LEN(J227)&gt;=13,IF(LEN(J227)=13,"0"&amp;J227,J227),SUBSTITUTE(SUBSTITUTE(SUBSTITUTE(SUBSTITUTE(SUBSTITUTE(SUBSTITUTE(SUBSTITUTE(SUBSTITUTE(SUBSTITUTE(SUBSTITUTE(SUBSTITUTE(SUBSTITUTE(SUBSTITUTE(UPPER(TRIM(H227)),"Á","A"),"À","A"),"Â","A"),"Ã","A"),"É","E"),"Ê","E"),"Í","I"),"Ó","O"),"Ô","O"),"Õ","O"),"Ú","U"),"Ü","U"),"Ç","C")&amp;"|"&amp;IF(LEN(J227)=11,MID(J227,4,6),J227)))</f>
        <v/>
      </c>
      <c r="L227" s="25" t="str">
        <f aca="false">IF(K227="","",IF(E227="Doação recebida",TRIM(IF(COUNTIF(Socios!$H:$H,K227)&gt;0,"Doador é sócio de empresa da pauta. ","")&amp;IF(COUNTIF(Pessoas!$E:$E,K227)&gt;0,"Doador está em Pessoas.","")),IF(E227="Despesa com fornecedor",IF(COUNTIF(Contratos!$D:$D,K227)&gt;0,"Fornecedor também tem contrato público",""),"")))</f>
        <v/>
      </c>
      <c r="M227" s="24"/>
      <c r="N227" s="11"/>
    </row>
    <row r="228" customFormat="false" ht="15" hidden="false" customHeight="false" outlineLevel="0" collapsed="false">
      <c r="A228" s="23"/>
      <c r="B228" s="31" t="str">
        <f aca="false">IF(A228="","",SUBSTITUTE(SUBSTITUTE(SUBSTITUTE(SUBSTITUTE(SUBSTITUTE(SUBSTITUTE(SUBSTITUTE(SUBSTITUTE(SUBSTITUTE(SUBSTITUTE(SUBSTITUTE(SUBSTITUTE(SUBSTITUTE(UPPER(TRIM(A228)),"Á","A"),"À","A"),"Â","A"),"Ã","A"),"É","E"),"Ê","E"),"Í","I"),"Ó","O"),"Ô","O"),"Õ","O"),"Ú","U"),"Ü","U"),"Ç","C"))</f>
        <v/>
      </c>
      <c r="C228" s="43"/>
      <c r="D228" s="23"/>
      <c r="E228" s="23"/>
      <c r="F228" s="11"/>
      <c r="G228" s="35"/>
      <c r="H228" s="23"/>
      <c r="I228" s="24"/>
      <c r="J228" s="31" t="str">
        <f aca="false">IF(I228="","",UPPER(SUBSTITUTE(SUBSTITUTE(SUBSTITUTE(SUBSTITUTE(SUBSTITUTE(TRIM(I228),".",""),"/",""),"-",""),"*","")," ","")))</f>
        <v/>
      </c>
      <c r="K228" s="31" t="str">
        <f aca="false">IF(OR(H228="",J228=""),"",IF(LEN(J228)&gt;=13,IF(LEN(J228)=13,"0"&amp;J228,J228),SUBSTITUTE(SUBSTITUTE(SUBSTITUTE(SUBSTITUTE(SUBSTITUTE(SUBSTITUTE(SUBSTITUTE(SUBSTITUTE(SUBSTITUTE(SUBSTITUTE(SUBSTITUTE(SUBSTITUTE(SUBSTITUTE(UPPER(TRIM(H228)),"Á","A"),"À","A"),"Â","A"),"Ã","A"),"É","E"),"Ê","E"),"Í","I"),"Ó","O"),"Ô","O"),"Õ","O"),"Ú","U"),"Ü","U"),"Ç","C")&amp;"|"&amp;IF(LEN(J228)=11,MID(J228,4,6),J228)))</f>
        <v/>
      </c>
      <c r="L228" s="25" t="str">
        <f aca="false">IF(K228="","",IF(E228="Doação recebida",TRIM(IF(COUNTIF(Socios!$H:$H,K228)&gt;0,"Doador é sócio de empresa da pauta. ","")&amp;IF(COUNTIF(Pessoas!$E:$E,K228)&gt;0,"Doador está em Pessoas.","")),IF(E228="Despesa com fornecedor",IF(COUNTIF(Contratos!$D:$D,K228)&gt;0,"Fornecedor também tem contrato público",""),"")))</f>
        <v/>
      </c>
      <c r="M228" s="24"/>
      <c r="N228" s="11"/>
    </row>
    <row r="229" customFormat="false" ht="15" hidden="false" customHeight="false" outlineLevel="0" collapsed="false">
      <c r="A229" s="23"/>
      <c r="B229" s="31" t="str">
        <f aca="false">IF(A229="","",SUBSTITUTE(SUBSTITUTE(SUBSTITUTE(SUBSTITUTE(SUBSTITUTE(SUBSTITUTE(SUBSTITUTE(SUBSTITUTE(SUBSTITUTE(SUBSTITUTE(SUBSTITUTE(SUBSTITUTE(SUBSTITUTE(UPPER(TRIM(A229)),"Á","A"),"À","A"),"Â","A"),"Ã","A"),"É","E"),"Ê","E"),"Í","I"),"Ó","O"),"Ô","O"),"Õ","O"),"Ú","U"),"Ü","U"),"Ç","C"))</f>
        <v/>
      </c>
      <c r="C229" s="43"/>
      <c r="D229" s="23"/>
      <c r="E229" s="23"/>
      <c r="F229" s="11"/>
      <c r="G229" s="35"/>
      <c r="H229" s="23"/>
      <c r="I229" s="24"/>
      <c r="J229" s="31" t="str">
        <f aca="false">IF(I229="","",UPPER(SUBSTITUTE(SUBSTITUTE(SUBSTITUTE(SUBSTITUTE(SUBSTITUTE(TRIM(I229),".",""),"/",""),"-",""),"*","")," ","")))</f>
        <v/>
      </c>
      <c r="K229" s="31" t="str">
        <f aca="false">IF(OR(H229="",J229=""),"",IF(LEN(J229)&gt;=13,IF(LEN(J229)=13,"0"&amp;J229,J229),SUBSTITUTE(SUBSTITUTE(SUBSTITUTE(SUBSTITUTE(SUBSTITUTE(SUBSTITUTE(SUBSTITUTE(SUBSTITUTE(SUBSTITUTE(SUBSTITUTE(SUBSTITUTE(SUBSTITUTE(SUBSTITUTE(UPPER(TRIM(H229)),"Á","A"),"À","A"),"Â","A"),"Ã","A"),"É","E"),"Ê","E"),"Í","I"),"Ó","O"),"Ô","O"),"Õ","O"),"Ú","U"),"Ü","U"),"Ç","C")&amp;"|"&amp;IF(LEN(J229)=11,MID(J229,4,6),J229)))</f>
        <v/>
      </c>
      <c r="L229" s="25" t="str">
        <f aca="false">IF(K229="","",IF(E229="Doação recebida",TRIM(IF(COUNTIF(Socios!$H:$H,K229)&gt;0,"Doador é sócio de empresa da pauta. ","")&amp;IF(COUNTIF(Pessoas!$E:$E,K229)&gt;0,"Doador está em Pessoas.","")),IF(E229="Despesa com fornecedor",IF(COUNTIF(Contratos!$D:$D,K229)&gt;0,"Fornecedor também tem contrato público",""),"")))</f>
        <v/>
      </c>
      <c r="M229" s="24"/>
      <c r="N229" s="11"/>
    </row>
    <row r="230" customFormat="false" ht="15" hidden="false" customHeight="false" outlineLevel="0" collapsed="false">
      <c r="A230" s="23"/>
      <c r="B230" s="31" t="str">
        <f aca="false">IF(A230="","",SUBSTITUTE(SUBSTITUTE(SUBSTITUTE(SUBSTITUTE(SUBSTITUTE(SUBSTITUTE(SUBSTITUTE(SUBSTITUTE(SUBSTITUTE(SUBSTITUTE(SUBSTITUTE(SUBSTITUTE(SUBSTITUTE(UPPER(TRIM(A230)),"Á","A"),"À","A"),"Â","A"),"Ã","A"),"É","E"),"Ê","E"),"Í","I"),"Ó","O"),"Ô","O"),"Õ","O"),"Ú","U"),"Ü","U"),"Ç","C"))</f>
        <v/>
      </c>
      <c r="C230" s="43"/>
      <c r="D230" s="23"/>
      <c r="E230" s="23"/>
      <c r="F230" s="11"/>
      <c r="G230" s="35"/>
      <c r="H230" s="23"/>
      <c r="I230" s="24"/>
      <c r="J230" s="31" t="str">
        <f aca="false">IF(I230="","",UPPER(SUBSTITUTE(SUBSTITUTE(SUBSTITUTE(SUBSTITUTE(SUBSTITUTE(TRIM(I230),".",""),"/",""),"-",""),"*","")," ","")))</f>
        <v/>
      </c>
      <c r="K230" s="31" t="str">
        <f aca="false">IF(OR(H230="",J230=""),"",IF(LEN(J230)&gt;=13,IF(LEN(J230)=13,"0"&amp;J230,J230),SUBSTITUTE(SUBSTITUTE(SUBSTITUTE(SUBSTITUTE(SUBSTITUTE(SUBSTITUTE(SUBSTITUTE(SUBSTITUTE(SUBSTITUTE(SUBSTITUTE(SUBSTITUTE(SUBSTITUTE(SUBSTITUTE(UPPER(TRIM(H230)),"Á","A"),"À","A"),"Â","A"),"Ã","A"),"É","E"),"Ê","E"),"Í","I"),"Ó","O"),"Ô","O"),"Õ","O"),"Ú","U"),"Ü","U"),"Ç","C")&amp;"|"&amp;IF(LEN(J230)=11,MID(J230,4,6),J230)))</f>
        <v/>
      </c>
      <c r="L230" s="25" t="str">
        <f aca="false">IF(K230="","",IF(E230="Doação recebida",TRIM(IF(COUNTIF(Socios!$H:$H,K230)&gt;0,"Doador é sócio de empresa da pauta. ","")&amp;IF(COUNTIF(Pessoas!$E:$E,K230)&gt;0,"Doador está em Pessoas.","")),IF(E230="Despesa com fornecedor",IF(COUNTIF(Contratos!$D:$D,K230)&gt;0,"Fornecedor também tem contrato público",""),"")))</f>
        <v/>
      </c>
      <c r="M230" s="24"/>
      <c r="N230" s="11"/>
    </row>
    <row r="231" customFormat="false" ht="15" hidden="false" customHeight="false" outlineLevel="0" collapsed="false">
      <c r="A231" s="23"/>
      <c r="B231" s="31" t="str">
        <f aca="false">IF(A231="","",SUBSTITUTE(SUBSTITUTE(SUBSTITUTE(SUBSTITUTE(SUBSTITUTE(SUBSTITUTE(SUBSTITUTE(SUBSTITUTE(SUBSTITUTE(SUBSTITUTE(SUBSTITUTE(SUBSTITUTE(SUBSTITUTE(UPPER(TRIM(A231)),"Á","A"),"À","A"),"Â","A"),"Ã","A"),"É","E"),"Ê","E"),"Í","I"),"Ó","O"),"Ô","O"),"Õ","O"),"Ú","U"),"Ü","U"),"Ç","C"))</f>
        <v/>
      </c>
      <c r="C231" s="43"/>
      <c r="D231" s="23"/>
      <c r="E231" s="23"/>
      <c r="F231" s="11"/>
      <c r="G231" s="35"/>
      <c r="H231" s="23"/>
      <c r="I231" s="24"/>
      <c r="J231" s="31" t="str">
        <f aca="false">IF(I231="","",UPPER(SUBSTITUTE(SUBSTITUTE(SUBSTITUTE(SUBSTITUTE(SUBSTITUTE(TRIM(I231),".",""),"/",""),"-",""),"*","")," ","")))</f>
        <v/>
      </c>
      <c r="K231" s="31" t="str">
        <f aca="false">IF(OR(H231="",J231=""),"",IF(LEN(J231)&gt;=13,IF(LEN(J231)=13,"0"&amp;J231,J231),SUBSTITUTE(SUBSTITUTE(SUBSTITUTE(SUBSTITUTE(SUBSTITUTE(SUBSTITUTE(SUBSTITUTE(SUBSTITUTE(SUBSTITUTE(SUBSTITUTE(SUBSTITUTE(SUBSTITUTE(SUBSTITUTE(UPPER(TRIM(H231)),"Á","A"),"À","A"),"Â","A"),"Ã","A"),"É","E"),"Ê","E"),"Í","I"),"Ó","O"),"Ô","O"),"Õ","O"),"Ú","U"),"Ü","U"),"Ç","C")&amp;"|"&amp;IF(LEN(J231)=11,MID(J231,4,6),J231)))</f>
        <v/>
      </c>
      <c r="L231" s="25" t="str">
        <f aca="false">IF(K231="","",IF(E231="Doação recebida",TRIM(IF(COUNTIF(Socios!$H:$H,K231)&gt;0,"Doador é sócio de empresa da pauta. ","")&amp;IF(COUNTIF(Pessoas!$E:$E,K231)&gt;0,"Doador está em Pessoas.","")),IF(E231="Despesa com fornecedor",IF(COUNTIF(Contratos!$D:$D,K231)&gt;0,"Fornecedor também tem contrato público",""),"")))</f>
        <v/>
      </c>
      <c r="M231" s="24"/>
      <c r="N231" s="11"/>
    </row>
    <row r="232" customFormat="false" ht="15" hidden="false" customHeight="false" outlineLevel="0" collapsed="false">
      <c r="A232" s="23"/>
      <c r="B232" s="31" t="str">
        <f aca="false">IF(A232="","",SUBSTITUTE(SUBSTITUTE(SUBSTITUTE(SUBSTITUTE(SUBSTITUTE(SUBSTITUTE(SUBSTITUTE(SUBSTITUTE(SUBSTITUTE(SUBSTITUTE(SUBSTITUTE(SUBSTITUTE(SUBSTITUTE(UPPER(TRIM(A232)),"Á","A"),"À","A"),"Â","A"),"Ã","A"),"É","E"),"Ê","E"),"Í","I"),"Ó","O"),"Ô","O"),"Õ","O"),"Ú","U"),"Ü","U"),"Ç","C"))</f>
        <v/>
      </c>
      <c r="C232" s="43"/>
      <c r="D232" s="23"/>
      <c r="E232" s="23"/>
      <c r="F232" s="11"/>
      <c r="G232" s="35"/>
      <c r="H232" s="23"/>
      <c r="I232" s="24"/>
      <c r="J232" s="31" t="str">
        <f aca="false">IF(I232="","",UPPER(SUBSTITUTE(SUBSTITUTE(SUBSTITUTE(SUBSTITUTE(SUBSTITUTE(TRIM(I232),".",""),"/",""),"-",""),"*","")," ","")))</f>
        <v/>
      </c>
      <c r="K232" s="31" t="str">
        <f aca="false">IF(OR(H232="",J232=""),"",IF(LEN(J232)&gt;=13,IF(LEN(J232)=13,"0"&amp;J232,J232),SUBSTITUTE(SUBSTITUTE(SUBSTITUTE(SUBSTITUTE(SUBSTITUTE(SUBSTITUTE(SUBSTITUTE(SUBSTITUTE(SUBSTITUTE(SUBSTITUTE(SUBSTITUTE(SUBSTITUTE(SUBSTITUTE(UPPER(TRIM(H232)),"Á","A"),"À","A"),"Â","A"),"Ã","A"),"É","E"),"Ê","E"),"Í","I"),"Ó","O"),"Ô","O"),"Õ","O"),"Ú","U"),"Ü","U"),"Ç","C")&amp;"|"&amp;IF(LEN(J232)=11,MID(J232,4,6),J232)))</f>
        <v/>
      </c>
      <c r="L232" s="25" t="str">
        <f aca="false">IF(K232="","",IF(E232="Doação recebida",TRIM(IF(COUNTIF(Socios!$H:$H,K232)&gt;0,"Doador é sócio de empresa da pauta. ","")&amp;IF(COUNTIF(Pessoas!$E:$E,K232)&gt;0,"Doador está em Pessoas.","")),IF(E232="Despesa com fornecedor",IF(COUNTIF(Contratos!$D:$D,K232)&gt;0,"Fornecedor também tem contrato público",""),"")))</f>
        <v/>
      </c>
      <c r="M232" s="24"/>
      <c r="N232" s="11"/>
    </row>
    <row r="233" customFormat="false" ht="15" hidden="false" customHeight="false" outlineLevel="0" collapsed="false">
      <c r="A233" s="23"/>
      <c r="B233" s="31" t="str">
        <f aca="false">IF(A233="","",SUBSTITUTE(SUBSTITUTE(SUBSTITUTE(SUBSTITUTE(SUBSTITUTE(SUBSTITUTE(SUBSTITUTE(SUBSTITUTE(SUBSTITUTE(SUBSTITUTE(SUBSTITUTE(SUBSTITUTE(SUBSTITUTE(UPPER(TRIM(A233)),"Á","A"),"À","A"),"Â","A"),"Ã","A"),"É","E"),"Ê","E"),"Í","I"),"Ó","O"),"Ô","O"),"Õ","O"),"Ú","U"),"Ü","U"),"Ç","C"))</f>
        <v/>
      </c>
      <c r="C233" s="43"/>
      <c r="D233" s="23"/>
      <c r="E233" s="23"/>
      <c r="F233" s="11"/>
      <c r="G233" s="35"/>
      <c r="H233" s="23"/>
      <c r="I233" s="24"/>
      <c r="J233" s="31" t="str">
        <f aca="false">IF(I233="","",UPPER(SUBSTITUTE(SUBSTITUTE(SUBSTITUTE(SUBSTITUTE(SUBSTITUTE(TRIM(I233),".",""),"/",""),"-",""),"*","")," ","")))</f>
        <v/>
      </c>
      <c r="K233" s="31" t="str">
        <f aca="false">IF(OR(H233="",J233=""),"",IF(LEN(J233)&gt;=13,IF(LEN(J233)=13,"0"&amp;J233,J233),SUBSTITUTE(SUBSTITUTE(SUBSTITUTE(SUBSTITUTE(SUBSTITUTE(SUBSTITUTE(SUBSTITUTE(SUBSTITUTE(SUBSTITUTE(SUBSTITUTE(SUBSTITUTE(SUBSTITUTE(SUBSTITUTE(UPPER(TRIM(H233)),"Á","A"),"À","A"),"Â","A"),"Ã","A"),"É","E"),"Ê","E"),"Í","I"),"Ó","O"),"Ô","O"),"Õ","O"),"Ú","U"),"Ü","U"),"Ç","C")&amp;"|"&amp;IF(LEN(J233)=11,MID(J233,4,6),J233)))</f>
        <v/>
      </c>
      <c r="L233" s="25" t="str">
        <f aca="false">IF(K233="","",IF(E233="Doação recebida",TRIM(IF(COUNTIF(Socios!$H:$H,K233)&gt;0,"Doador é sócio de empresa da pauta. ","")&amp;IF(COUNTIF(Pessoas!$E:$E,K233)&gt;0,"Doador está em Pessoas.","")),IF(E233="Despesa com fornecedor",IF(COUNTIF(Contratos!$D:$D,K233)&gt;0,"Fornecedor também tem contrato público",""),"")))</f>
        <v/>
      </c>
      <c r="M233" s="24"/>
      <c r="N233" s="11"/>
    </row>
    <row r="234" customFormat="false" ht="15" hidden="false" customHeight="false" outlineLevel="0" collapsed="false">
      <c r="A234" s="23"/>
      <c r="B234" s="31" t="str">
        <f aca="false">IF(A234="","",SUBSTITUTE(SUBSTITUTE(SUBSTITUTE(SUBSTITUTE(SUBSTITUTE(SUBSTITUTE(SUBSTITUTE(SUBSTITUTE(SUBSTITUTE(SUBSTITUTE(SUBSTITUTE(SUBSTITUTE(SUBSTITUTE(UPPER(TRIM(A234)),"Á","A"),"À","A"),"Â","A"),"Ã","A"),"É","E"),"Ê","E"),"Í","I"),"Ó","O"),"Ô","O"),"Õ","O"),"Ú","U"),"Ü","U"),"Ç","C"))</f>
        <v/>
      </c>
      <c r="C234" s="43"/>
      <c r="D234" s="23"/>
      <c r="E234" s="23"/>
      <c r="F234" s="11"/>
      <c r="G234" s="35"/>
      <c r="H234" s="23"/>
      <c r="I234" s="24"/>
      <c r="J234" s="31" t="str">
        <f aca="false">IF(I234="","",UPPER(SUBSTITUTE(SUBSTITUTE(SUBSTITUTE(SUBSTITUTE(SUBSTITUTE(TRIM(I234),".",""),"/",""),"-",""),"*","")," ","")))</f>
        <v/>
      </c>
      <c r="K234" s="31" t="str">
        <f aca="false">IF(OR(H234="",J234=""),"",IF(LEN(J234)&gt;=13,IF(LEN(J234)=13,"0"&amp;J234,J234),SUBSTITUTE(SUBSTITUTE(SUBSTITUTE(SUBSTITUTE(SUBSTITUTE(SUBSTITUTE(SUBSTITUTE(SUBSTITUTE(SUBSTITUTE(SUBSTITUTE(SUBSTITUTE(SUBSTITUTE(SUBSTITUTE(UPPER(TRIM(H234)),"Á","A"),"À","A"),"Â","A"),"Ã","A"),"É","E"),"Ê","E"),"Í","I"),"Ó","O"),"Ô","O"),"Õ","O"),"Ú","U"),"Ü","U"),"Ç","C")&amp;"|"&amp;IF(LEN(J234)=11,MID(J234,4,6),J234)))</f>
        <v/>
      </c>
      <c r="L234" s="25" t="str">
        <f aca="false">IF(K234="","",IF(E234="Doação recebida",TRIM(IF(COUNTIF(Socios!$H:$H,K234)&gt;0,"Doador é sócio de empresa da pauta. ","")&amp;IF(COUNTIF(Pessoas!$E:$E,K234)&gt;0,"Doador está em Pessoas.","")),IF(E234="Despesa com fornecedor",IF(COUNTIF(Contratos!$D:$D,K234)&gt;0,"Fornecedor também tem contrato público",""),"")))</f>
        <v/>
      </c>
      <c r="M234" s="24"/>
      <c r="N234" s="11"/>
    </row>
    <row r="235" customFormat="false" ht="15" hidden="false" customHeight="false" outlineLevel="0" collapsed="false">
      <c r="A235" s="23"/>
      <c r="B235" s="31" t="str">
        <f aca="false">IF(A235="","",SUBSTITUTE(SUBSTITUTE(SUBSTITUTE(SUBSTITUTE(SUBSTITUTE(SUBSTITUTE(SUBSTITUTE(SUBSTITUTE(SUBSTITUTE(SUBSTITUTE(SUBSTITUTE(SUBSTITUTE(SUBSTITUTE(UPPER(TRIM(A235)),"Á","A"),"À","A"),"Â","A"),"Ã","A"),"É","E"),"Ê","E"),"Í","I"),"Ó","O"),"Ô","O"),"Õ","O"),"Ú","U"),"Ü","U"),"Ç","C"))</f>
        <v/>
      </c>
      <c r="C235" s="43"/>
      <c r="D235" s="23"/>
      <c r="E235" s="23"/>
      <c r="F235" s="11"/>
      <c r="G235" s="35"/>
      <c r="H235" s="23"/>
      <c r="I235" s="24"/>
      <c r="J235" s="31" t="str">
        <f aca="false">IF(I235="","",UPPER(SUBSTITUTE(SUBSTITUTE(SUBSTITUTE(SUBSTITUTE(SUBSTITUTE(TRIM(I235),".",""),"/",""),"-",""),"*","")," ","")))</f>
        <v/>
      </c>
      <c r="K235" s="31" t="str">
        <f aca="false">IF(OR(H235="",J235=""),"",IF(LEN(J235)&gt;=13,IF(LEN(J235)=13,"0"&amp;J235,J235),SUBSTITUTE(SUBSTITUTE(SUBSTITUTE(SUBSTITUTE(SUBSTITUTE(SUBSTITUTE(SUBSTITUTE(SUBSTITUTE(SUBSTITUTE(SUBSTITUTE(SUBSTITUTE(SUBSTITUTE(SUBSTITUTE(UPPER(TRIM(H235)),"Á","A"),"À","A"),"Â","A"),"Ã","A"),"É","E"),"Ê","E"),"Í","I"),"Ó","O"),"Ô","O"),"Õ","O"),"Ú","U"),"Ü","U"),"Ç","C")&amp;"|"&amp;IF(LEN(J235)=11,MID(J235,4,6),J235)))</f>
        <v/>
      </c>
      <c r="L235" s="25" t="str">
        <f aca="false">IF(K235="","",IF(E235="Doação recebida",TRIM(IF(COUNTIF(Socios!$H:$H,K235)&gt;0,"Doador é sócio de empresa da pauta. ","")&amp;IF(COUNTIF(Pessoas!$E:$E,K235)&gt;0,"Doador está em Pessoas.","")),IF(E235="Despesa com fornecedor",IF(COUNTIF(Contratos!$D:$D,K235)&gt;0,"Fornecedor também tem contrato público",""),"")))</f>
        <v/>
      </c>
      <c r="M235" s="24"/>
      <c r="N235" s="11"/>
    </row>
    <row r="236" customFormat="false" ht="15" hidden="false" customHeight="false" outlineLevel="0" collapsed="false">
      <c r="A236" s="23"/>
      <c r="B236" s="31" t="str">
        <f aca="false">IF(A236="","",SUBSTITUTE(SUBSTITUTE(SUBSTITUTE(SUBSTITUTE(SUBSTITUTE(SUBSTITUTE(SUBSTITUTE(SUBSTITUTE(SUBSTITUTE(SUBSTITUTE(SUBSTITUTE(SUBSTITUTE(SUBSTITUTE(UPPER(TRIM(A236)),"Á","A"),"À","A"),"Â","A"),"Ã","A"),"É","E"),"Ê","E"),"Í","I"),"Ó","O"),"Ô","O"),"Õ","O"),"Ú","U"),"Ü","U"),"Ç","C"))</f>
        <v/>
      </c>
      <c r="C236" s="43"/>
      <c r="D236" s="23"/>
      <c r="E236" s="23"/>
      <c r="F236" s="11"/>
      <c r="G236" s="35"/>
      <c r="H236" s="23"/>
      <c r="I236" s="24"/>
      <c r="J236" s="31" t="str">
        <f aca="false">IF(I236="","",UPPER(SUBSTITUTE(SUBSTITUTE(SUBSTITUTE(SUBSTITUTE(SUBSTITUTE(TRIM(I236),".",""),"/",""),"-",""),"*","")," ","")))</f>
        <v/>
      </c>
      <c r="K236" s="31" t="str">
        <f aca="false">IF(OR(H236="",J236=""),"",IF(LEN(J236)&gt;=13,IF(LEN(J236)=13,"0"&amp;J236,J236),SUBSTITUTE(SUBSTITUTE(SUBSTITUTE(SUBSTITUTE(SUBSTITUTE(SUBSTITUTE(SUBSTITUTE(SUBSTITUTE(SUBSTITUTE(SUBSTITUTE(SUBSTITUTE(SUBSTITUTE(SUBSTITUTE(UPPER(TRIM(H236)),"Á","A"),"À","A"),"Â","A"),"Ã","A"),"É","E"),"Ê","E"),"Í","I"),"Ó","O"),"Ô","O"),"Õ","O"),"Ú","U"),"Ü","U"),"Ç","C")&amp;"|"&amp;IF(LEN(J236)=11,MID(J236,4,6),J236)))</f>
        <v/>
      </c>
      <c r="L236" s="25" t="str">
        <f aca="false">IF(K236="","",IF(E236="Doação recebida",TRIM(IF(COUNTIF(Socios!$H:$H,K236)&gt;0,"Doador é sócio de empresa da pauta. ","")&amp;IF(COUNTIF(Pessoas!$E:$E,K236)&gt;0,"Doador está em Pessoas.","")),IF(E236="Despesa com fornecedor",IF(COUNTIF(Contratos!$D:$D,K236)&gt;0,"Fornecedor também tem contrato público",""),"")))</f>
        <v/>
      </c>
      <c r="M236" s="24"/>
      <c r="N236" s="11"/>
    </row>
    <row r="237" customFormat="false" ht="15" hidden="false" customHeight="false" outlineLevel="0" collapsed="false">
      <c r="A237" s="23"/>
      <c r="B237" s="31" t="str">
        <f aca="false">IF(A237="","",SUBSTITUTE(SUBSTITUTE(SUBSTITUTE(SUBSTITUTE(SUBSTITUTE(SUBSTITUTE(SUBSTITUTE(SUBSTITUTE(SUBSTITUTE(SUBSTITUTE(SUBSTITUTE(SUBSTITUTE(SUBSTITUTE(UPPER(TRIM(A237)),"Á","A"),"À","A"),"Â","A"),"Ã","A"),"É","E"),"Ê","E"),"Í","I"),"Ó","O"),"Ô","O"),"Õ","O"),"Ú","U"),"Ü","U"),"Ç","C"))</f>
        <v/>
      </c>
      <c r="C237" s="43"/>
      <c r="D237" s="23"/>
      <c r="E237" s="23"/>
      <c r="F237" s="11"/>
      <c r="G237" s="35"/>
      <c r="H237" s="23"/>
      <c r="I237" s="24"/>
      <c r="J237" s="31" t="str">
        <f aca="false">IF(I237="","",UPPER(SUBSTITUTE(SUBSTITUTE(SUBSTITUTE(SUBSTITUTE(SUBSTITUTE(TRIM(I237),".",""),"/",""),"-",""),"*","")," ","")))</f>
        <v/>
      </c>
      <c r="K237" s="31" t="str">
        <f aca="false">IF(OR(H237="",J237=""),"",IF(LEN(J237)&gt;=13,IF(LEN(J237)=13,"0"&amp;J237,J237),SUBSTITUTE(SUBSTITUTE(SUBSTITUTE(SUBSTITUTE(SUBSTITUTE(SUBSTITUTE(SUBSTITUTE(SUBSTITUTE(SUBSTITUTE(SUBSTITUTE(SUBSTITUTE(SUBSTITUTE(SUBSTITUTE(UPPER(TRIM(H237)),"Á","A"),"À","A"),"Â","A"),"Ã","A"),"É","E"),"Ê","E"),"Í","I"),"Ó","O"),"Ô","O"),"Õ","O"),"Ú","U"),"Ü","U"),"Ç","C")&amp;"|"&amp;IF(LEN(J237)=11,MID(J237,4,6),J237)))</f>
        <v/>
      </c>
      <c r="L237" s="25" t="str">
        <f aca="false">IF(K237="","",IF(E237="Doação recebida",TRIM(IF(COUNTIF(Socios!$H:$H,K237)&gt;0,"Doador é sócio de empresa da pauta. ","")&amp;IF(COUNTIF(Pessoas!$E:$E,K237)&gt;0,"Doador está em Pessoas.","")),IF(E237="Despesa com fornecedor",IF(COUNTIF(Contratos!$D:$D,K237)&gt;0,"Fornecedor também tem contrato público",""),"")))</f>
        <v/>
      </c>
      <c r="M237" s="24"/>
      <c r="N237" s="11"/>
    </row>
    <row r="238" customFormat="false" ht="15" hidden="false" customHeight="false" outlineLevel="0" collapsed="false">
      <c r="A238" s="23"/>
      <c r="B238" s="31" t="str">
        <f aca="false">IF(A238="","",SUBSTITUTE(SUBSTITUTE(SUBSTITUTE(SUBSTITUTE(SUBSTITUTE(SUBSTITUTE(SUBSTITUTE(SUBSTITUTE(SUBSTITUTE(SUBSTITUTE(SUBSTITUTE(SUBSTITUTE(SUBSTITUTE(UPPER(TRIM(A238)),"Á","A"),"À","A"),"Â","A"),"Ã","A"),"É","E"),"Ê","E"),"Í","I"),"Ó","O"),"Ô","O"),"Õ","O"),"Ú","U"),"Ü","U"),"Ç","C"))</f>
        <v/>
      </c>
      <c r="C238" s="43"/>
      <c r="D238" s="23"/>
      <c r="E238" s="23"/>
      <c r="F238" s="11"/>
      <c r="G238" s="35"/>
      <c r="H238" s="23"/>
      <c r="I238" s="24"/>
      <c r="J238" s="31" t="str">
        <f aca="false">IF(I238="","",UPPER(SUBSTITUTE(SUBSTITUTE(SUBSTITUTE(SUBSTITUTE(SUBSTITUTE(TRIM(I238),".",""),"/",""),"-",""),"*","")," ","")))</f>
        <v/>
      </c>
      <c r="K238" s="31" t="str">
        <f aca="false">IF(OR(H238="",J238=""),"",IF(LEN(J238)&gt;=13,IF(LEN(J238)=13,"0"&amp;J238,J238),SUBSTITUTE(SUBSTITUTE(SUBSTITUTE(SUBSTITUTE(SUBSTITUTE(SUBSTITUTE(SUBSTITUTE(SUBSTITUTE(SUBSTITUTE(SUBSTITUTE(SUBSTITUTE(SUBSTITUTE(SUBSTITUTE(UPPER(TRIM(H238)),"Á","A"),"À","A"),"Â","A"),"Ã","A"),"É","E"),"Ê","E"),"Í","I"),"Ó","O"),"Ô","O"),"Õ","O"),"Ú","U"),"Ü","U"),"Ç","C")&amp;"|"&amp;IF(LEN(J238)=11,MID(J238,4,6),J238)))</f>
        <v/>
      </c>
      <c r="L238" s="25" t="str">
        <f aca="false">IF(K238="","",IF(E238="Doação recebida",TRIM(IF(COUNTIF(Socios!$H:$H,K238)&gt;0,"Doador é sócio de empresa da pauta. ","")&amp;IF(COUNTIF(Pessoas!$E:$E,K238)&gt;0,"Doador está em Pessoas.","")),IF(E238="Despesa com fornecedor",IF(COUNTIF(Contratos!$D:$D,K238)&gt;0,"Fornecedor também tem contrato público",""),"")))</f>
        <v/>
      </c>
      <c r="M238" s="24"/>
      <c r="N238" s="11"/>
    </row>
    <row r="239" customFormat="false" ht="15" hidden="false" customHeight="false" outlineLevel="0" collapsed="false">
      <c r="A239" s="23"/>
      <c r="B239" s="31" t="str">
        <f aca="false">IF(A239="","",SUBSTITUTE(SUBSTITUTE(SUBSTITUTE(SUBSTITUTE(SUBSTITUTE(SUBSTITUTE(SUBSTITUTE(SUBSTITUTE(SUBSTITUTE(SUBSTITUTE(SUBSTITUTE(SUBSTITUTE(SUBSTITUTE(UPPER(TRIM(A239)),"Á","A"),"À","A"),"Â","A"),"Ã","A"),"É","E"),"Ê","E"),"Í","I"),"Ó","O"),"Ô","O"),"Õ","O"),"Ú","U"),"Ü","U"),"Ç","C"))</f>
        <v/>
      </c>
      <c r="C239" s="43"/>
      <c r="D239" s="23"/>
      <c r="E239" s="23"/>
      <c r="F239" s="11"/>
      <c r="G239" s="35"/>
      <c r="H239" s="23"/>
      <c r="I239" s="24"/>
      <c r="J239" s="31" t="str">
        <f aca="false">IF(I239="","",UPPER(SUBSTITUTE(SUBSTITUTE(SUBSTITUTE(SUBSTITUTE(SUBSTITUTE(TRIM(I239),".",""),"/",""),"-",""),"*","")," ","")))</f>
        <v/>
      </c>
      <c r="K239" s="31" t="str">
        <f aca="false">IF(OR(H239="",J239=""),"",IF(LEN(J239)&gt;=13,IF(LEN(J239)=13,"0"&amp;J239,J239),SUBSTITUTE(SUBSTITUTE(SUBSTITUTE(SUBSTITUTE(SUBSTITUTE(SUBSTITUTE(SUBSTITUTE(SUBSTITUTE(SUBSTITUTE(SUBSTITUTE(SUBSTITUTE(SUBSTITUTE(SUBSTITUTE(UPPER(TRIM(H239)),"Á","A"),"À","A"),"Â","A"),"Ã","A"),"É","E"),"Ê","E"),"Í","I"),"Ó","O"),"Ô","O"),"Õ","O"),"Ú","U"),"Ü","U"),"Ç","C")&amp;"|"&amp;IF(LEN(J239)=11,MID(J239,4,6),J239)))</f>
        <v/>
      </c>
      <c r="L239" s="25" t="str">
        <f aca="false">IF(K239="","",IF(E239="Doação recebida",TRIM(IF(COUNTIF(Socios!$H:$H,K239)&gt;0,"Doador é sócio de empresa da pauta. ","")&amp;IF(COUNTIF(Pessoas!$E:$E,K239)&gt;0,"Doador está em Pessoas.","")),IF(E239="Despesa com fornecedor",IF(COUNTIF(Contratos!$D:$D,K239)&gt;0,"Fornecedor também tem contrato público",""),"")))</f>
        <v/>
      </c>
      <c r="M239" s="24"/>
      <c r="N239" s="11"/>
    </row>
    <row r="240" customFormat="false" ht="15" hidden="false" customHeight="false" outlineLevel="0" collapsed="false">
      <c r="A240" s="23"/>
      <c r="B240" s="31" t="str">
        <f aca="false">IF(A240="","",SUBSTITUTE(SUBSTITUTE(SUBSTITUTE(SUBSTITUTE(SUBSTITUTE(SUBSTITUTE(SUBSTITUTE(SUBSTITUTE(SUBSTITUTE(SUBSTITUTE(SUBSTITUTE(SUBSTITUTE(SUBSTITUTE(UPPER(TRIM(A240)),"Á","A"),"À","A"),"Â","A"),"Ã","A"),"É","E"),"Ê","E"),"Í","I"),"Ó","O"),"Ô","O"),"Õ","O"),"Ú","U"),"Ü","U"),"Ç","C"))</f>
        <v/>
      </c>
      <c r="C240" s="43"/>
      <c r="D240" s="23"/>
      <c r="E240" s="23"/>
      <c r="F240" s="11"/>
      <c r="G240" s="35"/>
      <c r="H240" s="23"/>
      <c r="I240" s="24"/>
      <c r="J240" s="31" t="str">
        <f aca="false">IF(I240="","",UPPER(SUBSTITUTE(SUBSTITUTE(SUBSTITUTE(SUBSTITUTE(SUBSTITUTE(TRIM(I240),".",""),"/",""),"-",""),"*","")," ","")))</f>
        <v/>
      </c>
      <c r="K240" s="31" t="str">
        <f aca="false">IF(OR(H240="",J240=""),"",IF(LEN(J240)&gt;=13,IF(LEN(J240)=13,"0"&amp;J240,J240),SUBSTITUTE(SUBSTITUTE(SUBSTITUTE(SUBSTITUTE(SUBSTITUTE(SUBSTITUTE(SUBSTITUTE(SUBSTITUTE(SUBSTITUTE(SUBSTITUTE(SUBSTITUTE(SUBSTITUTE(SUBSTITUTE(UPPER(TRIM(H240)),"Á","A"),"À","A"),"Â","A"),"Ã","A"),"É","E"),"Ê","E"),"Í","I"),"Ó","O"),"Ô","O"),"Õ","O"),"Ú","U"),"Ü","U"),"Ç","C")&amp;"|"&amp;IF(LEN(J240)=11,MID(J240,4,6),J240)))</f>
        <v/>
      </c>
      <c r="L240" s="25" t="str">
        <f aca="false">IF(K240="","",IF(E240="Doação recebida",TRIM(IF(COUNTIF(Socios!$H:$H,K240)&gt;0,"Doador é sócio de empresa da pauta. ","")&amp;IF(COUNTIF(Pessoas!$E:$E,K240)&gt;0,"Doador está em Pessoas.","")),IF(E240="Despesa com fornecedor",IF(COUNTIF(Contratos!$D:$D,K240)&gt;0,"Fornecedor também tem contrato público",""),"")))</f>
        <v/>
      </c>
      <c r="M240" s="24"/>
      <c r="N240" s="11"/>
    </row>
    <row r="241" customFormat="false" ht="15" hidden="false" customHeight="false" outlineLevel="0" collapsed="false">
      <c r="A241" s="23"/>
      <c r="B241" s="31" t="str">
        <f aca="false">IF(A241="","",SUBSTITUTE(SUBSTITUTE(SUBSTITUTE(SUBSTITUTE(SUBSTITUTE(SUBSTITUTE(SUBSTITUTE(SUBSTITUTE(SUBSTITUTE(SUBSTITUTE(SUBSTITUTE(SUBSTITUTE(SUBSTITUTE(UPPER(TRIM(A241)),"Á","A"),"À","A"),"Â","A"),"Ã","A"),"É","E"),"Ê","E"),"Í","I"),"Ó","O"),"Ô","O"),"Õ","O"),"Ú","U"),"Ü","U"),"Ç","C"))</f>
        <v/>
      </c>
      <c r="C241" s="43"/>
      <c r="D241" s="23"/>
      <c r="E241" s="23"/>
      <c r="F241" s="11"/>
      <c r="G241" s="35"/>
      <c r="H241" s="23"/>
      <c r="I241" s="24"/>
      <c r="J241" s="31" t="str">
        <f aca="false">IF(I241="","",UPPER(SUBSTITUTE(SUBSTITUTE(SUBSTITUTE(SUBSTITUTE(SUBSTITUTE(TRIM(I241),".",""),"/",""),"-",""),"*","")," ","")))</f>
        <v/>
      </c>
      <c r="K241" s="31" t="str">
        <f aca="false">IF(OR(H241="",J241=""),"",IF(LEN(J241)&gt;=13,IF(LEN(J241)=13,"0"&amp;J241,J241),SUBSTITUTE(SUBSTITUTE(SUBSTITUTE(SUBSTITUTE(SUBSTITUTE(SUBSTITUTE(SUBSTITUTE(SUBSTITUTE(SUBSTITUTE(SUBSTITUTE(SUBSTITUTE(SUBSTITUTE(SUBSTITUTE(UPPER(TRIM(H241)),"Á","A"),"À","A"),"Â","A"),"Ã","A"),"É","E"),"Ê","E"),"Í","I"),"Ó","O"),"Ô","O"),"Õ","O"),"Ú","U"),"Ü","U"),"Ç","C")&amp;"|"&amp;IF(LEN(J241)=11,MID(J241,4,6),J241)))</f>
        <v/>
      </c>
      <c r="L241" s="25" t="str">
        <f aca="false">IF(K241="","",IF(E241="Doação recebida",TRIM(IF(COUNTIF(Socios!$H:$H,K241)&gt;0,"Doador é sócio de empresa da pauta. ","")&amp;IF(COUNTIF(Pessoas!$E:$E,K241)&gt;0,"Doador está em Pessoas.","")),IF(E241="Despesa com fornecedor",IF(COUNTIF(Contratos!$D:$D,K241)&gt;0,"Fornecedor também tem contrato público",""),"")))</f>
        <v/>
      </c>
      <c r="M241" s="24"/>
      <c r="N241" s="11"/>
    </row>
    <row r="242" customFormat="false" ht="15" hidden="false" customHeight="false" outlineLevel="0" collapsed="false">
      <c r="A242" s="23"/>
      <c r="B242" s="31" t="str">
        <f aca="false">IF(A242="","",SUBSTITUTE(SUBSTITUTE(SUBSTITUTE(SUBSTITUTE(SUBSTITUTE(SUBSTITUTE(SUBSTITUTE(SUBSTITUTE(SUBSTITUTE(SUBSTITUTE(SUBSTITUTE(SUBSTITUTE(SUBSTITUTE(UPPER(TRIM(A242)),"Á","A"),"À","A"),"Â","A"),"Ã","A"),"É","E"),"Ê","E"),"Í","I"),"Ó","O"),"Ô","O"),"Õ","O"),"Ú","U"),"Ü","U"),"Ç","C"))</f>
        <v/>
      </c>
      <c r="C242" s="43"/>
      <c r="D242" s="23"/>
      <c r="E242" s="23"/>
      <c r="F242" s="11"/>
      <c r="G242" s="35"/>
      <c r="H242" s="23"/>
      <c r="I242" s="24"/>
      <c r="J242" s="31" t="str">
        <f aca="false">IF(I242="","",UPPER(SUBSTITUTE(SUBSTITUTE(SUBSTITUTE(SUBSTITUTE(SUBSTITUTE(TRIM(I242),".",""),"/",""),"-",""),"*","")," ","")))</f>
        <v/>
      </c>
      <c r="K242" s="31" t="str">
        <f aca="false">IF(OR(H242="",J242=""),"",IF(LEN(J242)&gt;=13,IF(LEN(J242)=13,"0"&amp;J242,J242),SUBSTITUTE(SUBSTITUTE(SUBSTITUTE(SUBSTITUTE(SUBSTITUTE(SUBSTITUTE(SUBSTITUTE(SUBSTITUTE(SUBSTITUTE(SUBSTITUTE(SUBSTITUTE(SUBSTITUTE(SUBSTITUTE(UPPER(TRIM(H242)),"Á","A"),"À","A"),"Â","A"),"Ã","A"),"É","E"),"Ê","E"),"Í","I"),"Ó","O"),"Ô","O"),"Õ","O"),"Ú","U"),"Ü","U"),"Ç","C")&amp;"|"&amp;IF(LEN(J242)=11,MID(J242,4,6),J242)))</f>
        <v/>
      </c>
      <c r="L242" s="25" t="str">
        <f aca="false">IF(K242="","",IF(E242="Doação recebida",TRIM(IF(COUNTIF(Socios!$H:$H,K242)&gt;0,"Doador é sócio de empresa da pauta. ","")&amp;IF(COUNTIF(Pessoas!$E:$E,K242)&gt;0,"Doador está em Pessoas.","")),IF(E242="Despesa com fornecedor",IF(COUNTIF(Contratos!$D:$D,K242)&gt;0,"Fornecedor também tem contrato público",""),"")))</f>
        <v/>
      </c>
      <c r="M242" s="24"/>
      <c r="N242" s="11"/>
    </row>
    <row r="243" customFormat="false" ht="15" hidden="false" customHeight="false" outlineLevel="0" collapsed="false">
      <c r="A243" s="23"/>
      <c r="B243" s="31" t="str">
        <f aca="false">IF(A243="","",SUBSTITUTE(SUBSTITUTE(SUBSTITUTE(SUBSTITUTE(SUBSTITUTE(SUBSTITUTE(SUBSTITUTE(SUBSTITUTE(SUBSTITUTE(SUBSTITUTE(SUBSTITUTE(SUBSTITUTE(SUBSTITUTE(UPPER(TRIM(A243)),"Á","A"),"À","A"),"Â","A"),"Ã","A"),"É","E"),"Ê","E"),"Í","I"),"Ó","O"),"Ô","O"),"Õ","O"),"Ú","U"),"Ü","U"),"Ç","C"))</f>
        <v/>
      </c>
      <c r="C243" s="43"/>
      <c r="D243" s="23"/>
      <c r="E243" s="23"/>
      <c r="F243" s="11"/>
      <c r="G243" s="35"/>
      <c r="H243" s="23"/>
      <c r="I243" s="24"/>
      <c r="J243" s="31" t="str">
        <f aca="false">IF(I243="","",UPPER(SUBSTITUTE(SUBSTITUTE(SUBSTITUTE(SUBSTITUTE(SUBSTITUTE(TRIM(I243),".",""),"/",""),"-",""),"*","")," ","")))</f>
        <v/>
      </c>
      <c r="K243" s="31" t="str">
        <f aca="false">IF(OR(H243="",J243=""),"",IF(LEN(J243)&gt;=13,IF(LEN(J243)=13,"0"&amp;J243,J243),SUBSTITUTE(SUBSTITUTE(SUBSTITUTE(SUBSTITUTE(SUBSTITUTE(SUBSTITUTE(SUBSTITUTE(SUBSTITUTE(SUBSTITUTE(SUBSTITUTE(SUBSTITUTE(SUBSTITUTE(SUBSTITUTE(UPPER(TRIM(H243)),"Á","A"),"À","A"),"Â","A"),"Ã","A"),"É","E"),"Ê","E"),"Í","I"),"Ó","O"),"Ô","O"),"Õ","O"),"Ú","U"),"Ü","U"),"Ç","C")&amp;"|"&amp;IF(LEN(J243)=11,MID(J243,4,6),J243)))</f>
        <v/>
      </c>
      <c r="L243" s="25" t="str">
        <f aca="false">IF(K243="","",IF(E243="Doação recebida",TRIM(IF(COUNTIF(Socios!$H:$H,K243)&gt;0,"Doador é sócio de empresa da pauta. ","")&amp;IF(COUNTIF(Pessoas!$E:$E,K243)&gt;0,"Doador está em Pessoas.","")),IF(E243="Despesa com fornecedor",IF(COUNTIF(Contratos!$D:$D,K243)&gt;0,"Fornecedor também tem contrato público",""),"")))</f>
        <v/>
      </c>
      <c r="M243" s="24"/>
      <c r="N243" s="11"/>
    </row>
    <row r="244" customFormat="false" ht="15" hidden="false" customHeight="false" outlineLevel="0" collapsed="false">
      <c r="A244" s="23"/>
      <c r="B244" s="31" t="str">
        <f aca="false">IF(A244="","",SUBSTITUTE(SUBSTITUTE(SUBSTITUTE(SUBSTITUTE(SUBSTITUTE(SUBSTITUTE(SUBSTITUTE(SUBSTITUTE(SUBSTITUTE(SUBSTITUTE(SUBSTITUTE(SUBSTITUTE(SUBSTITUTE(UPPER(TRIM(A244)),"Á","A"),"À","A"),"Â","A"),"Ã","A"),"É","E"),"Ê","E"),"Í","I"),"Ó","O"),"Ô","O"),"Õ","O"),"Ú","U"),"Ü","U"),"Ç","C"))</f>
        <v/>
      </c>
      <c r="C244" s="43"/>
      <c r="D244" s="23"/>
      <c r="E244" s="23"/>
      <c r="F244" s="11"/>
      <c r="G244" s="35"/>
      <c r="H244" s="23"/>
      <c r="I244" s="24"/>
      <c r="J244" s="31" t="str">
        <f aca="false">IF(I244="","",UPPER(SUBSTITUTE(SUBSTITUTE(SUBSTITUTE(SUBSTITUTE(SUBSTITUTE(TRIM(I244),".",""),"/",""),"-",""),"*","")," ","")))</f>
        <v/>
      </c>
      <c r="K244" s="31" t="str">
        <f aca="false">IF(OR(H244="",J244=""),"",IF(LEN(J244)&gt;=13,IF(LEN(J244)=13,"0"&amp;J244,J244),SUBSTITUTE(SUBSTITUTE(SUBSTITUTE(SUBSTITUTE(SUBSTITUTE(SUBSTITUTE(SUBSTITUTE(SUBSTITUTE(SUBSTITUTE(SUBSTITUTE(SUBSTITUTE(SUBSTITUTE(SUBSTITUTE(UPPER(TRIM(H244)),"Á","A"),"À","A"),"Â","A"),"Ã","A"),"É","E"),"Ê","E"),"Í","I"),"Ó","O"),"Ô","O"),"Õ","O"),"Ú","U"),"Ü","U"),"Ç","C")&amp;"|"&amp;IF(LEN(J244)=11,MID(J244,4,6),J244)))</f>
        <v/>
      </c>
      <c r="L244" s="25" t="str">
        <f aca="false">IF(K244="","",IF(E244="Doação recebida",TRIM(IF(COUNTIF(Socios!$H:$H,K244)&gt;0,"Doador é sócio de empresa da pauta. ","")&amp;IF(COUNTIF(Pessoas!$E:$E,K244)&gt;0,"Doador está em Pessoas.","")),IF(E244="Despesa com fornecedor",IF(COUNTIF(Contratos!$D:$D,K244)&gt;0,"Fornecedor também tem contrato público",""),"")))</f>
        <v/>
      </c>
      <c r="M244" s="24"/>
      <c r="N244" s="11"/>
    </row>
    <row r="245" customFormat="false" ht="15" hidden="false" customHeight="false" outlineLevel="0" collapsed="false">
      <c r="A245" s="23"/>
      <c r="B245" s="31" t="str">
        <f aca="false">IF(A245="","",SUBSTITUTE(SUBSTITUTE(SUBSTITUTE(SUBSTITUTE(SUBSTITUTE(SUBSTITUTE(SUBSTITUTE(SUBSTITUTE(SUBSTITUTE(SUBSTITUTE(SUBSTITUTE(SUBSTITUTE(SUBSTITUTE(UPPER(TRIM(A245)),"Á","A"),"À","A"),"Â","A"),"Ã","A"),"É","E"),"Ê","E"),"Í","I"),"Ó","O"),"Ô","O"),"Õ","O"),"Ú","U"),"Ü","U"),"Ç","C"))</f>
        <v/>
      </c>
      <c r="C245" s="43"/>
      <c r="D245" s="23"/>
      <c r="E245" s="23"/>
      <c r="F245" s="11"/>
      <c r="G245" s="35"/>
      <c r="H245" s="23"/>
      <c r="I245" s="24"/>
      <c r="J245" s="31" t="str">
        <f aca="false">IF(I245="","",UPPER(SUBSTITUTE(SUBSTITUTE(SUBSTITUTE(SUBSTITUTE(SUBSTITUTE(TRIM(I245),".",""),"/",""),"-",""),"*","")," ","")))</f>
        <v/>
      </c>
      <c r="K245" s="31" t="str">
        <f aca="false">IF(OR(H245="",J245=""),"",IF(LEN(J245)&gt;=13,IF(LEN(J245)=13,"0"&amp;J245,J245),SUBSTITUTE(SUBSTITUTE(SUBSTITUTE(SUBSTITUTE(SUBSTITUTE(SUBSTITUTE(SUBSTITUTE(SUBSTITUTE(SUBSTITUTE(SUBSTITUTE(SUBSTITUTE(SUBSTITUTE(SUBSTITUTE(UPPER(TRIM(H245)),"Á","A"),"À","A"),"Â","A"),"Ã","A"),"É","E"),"Ê","E"),"Í","I"),"Ó","O"),"Ô","O"),"Õ","O"),"Ú","U"),"Ü","U"),"Ç","C")&amp;"|"&amp;IF(LEN(J245)=11,MID(J245,4,6),J245)))</f>
        <v/>
      </c>
      <c r="L245" s="25" t="str">
        <f aca="false">IF(K245="","",IF(E245="Doação recebida",TRIM(IF(COUNTIF(Socios!$H:$H,K245)&gt;0,"Doador é sócio de empresa da pauta. ","")&amp;IF(COUNTIF(Pessoas!$E:$E,K245)&gt;0,"Doador está em Pessoas.","")),IF(E245="Despesa com fornecedor",IF(COUNTIF(Contratos!$D:$D,K245)&gt;0,"Fornecedor também tem contrato público",""),"")))</f>
        <v/>
      </c>
      <c r="M245" s="24"/>
      <c r="N245" s="11"/>
    </row>
    <row r="246" customFormat="false" ht="15" hidden="false" customHeight="false" outlineLevel="0" collapsed="false">
      <c r="A246" s="23"/>
      <c r="B246" s="31" t="str">
        <f aca="false">IF(A246="","",SUBSTITUTE(SUBSTITUTE(SUBSTITUTE(SUBSTITUTE(SUBSTITUTE(SUBSTITUTE(SUBSTITUTE(SUBSTITUTE(SUBSTITUTE(SUBSTITUTE(SUBSTITUTE(SUBSTITUTE(SUBSTITUTE(UPPER(TRIM(A246)),"Á","A"),"À","A"),"Â","A"),"Ã","A"),"É","E"),"Ê","E"),"Í","I"),"Ó","O"),"Ô","O"),"Õ","O"),"Ú","U"),"Ü","U"),"Ç","C"))</f>
        <v/>
      </c>
      <c r="C246" s="43"/>
      <c r="D246" s="23"/>
      <c r="E246" s="23"/>
      <c r="F246" s="11"/>
      <c r="G246" s="35"/>
      <c r="H246" s="23"/>
      <c r="I246" s="24"/>
      <c r="J246" s="31" t="str">
        <f aca="false">IF(I246="","",UPPER(SUBSTITUTE(SUBSTITUTE(SUBSTITUTE(SUBSTITUTE(SUBSTITUTE(TRIM(I246),".",""),"/",""),"-",""),"*","")," ","")))</f>
        <v/>
      </c>
      <c r="K246" s="31" t="str">
        <f aca="false">IF(OR(H246="",J246=""),"",IF(LEN(J246)&gt;=13,IF(LEN(J246)=13,"0"&amp;J246,J246),SUBSTITUTE(SUBSTITUTE(SUBSTITUTE(SUBSTITUTE(SUBSTITUTE(SUBSTITUTE(SUBSTITUTE(SUBSTITUTE(SUBSTITUTE(SUBSTITUTE(SUBSTITUTE(SUBSTITUTE(SUBSTITUTE(UPPER(TRIM(H246)),"Á","A"),"À","A"),"Â","A"),"Ã","A"),"É","E"),"Ê","E"),"Í","I"),"Ó","O"),"Ô","O"),"Õ","O"),"Ú","U"),"Ü","U"),"Ç","C")&amp;"|"&amp;IF(LEN(J246)=11,MID(J246,4,6),J246)))</f>
        <v/>
      </c>
      <c r="L246" s="25" t="str">
        <f aca="false">IF(K246="","",IF(E246="Doação recebida",TRIM(IF(COUNTIF(Socios!$H:$H,K246)&gt;0,"Doador é sócio de empresa da pauta. ","")&amp;IF(COUNTIF(Pessoas!$E:$E,K246)&gt;0,"Doador está em Pessoas.","")),IF(E246="Despesa com fornecedor",IF(COUNTIF(Contratos!$D:$D,K246)&gt;0,"Fornecedor também tem contrato público",""),"")))</f>
        <v/>
      </c>
      <c r="M246" s="24"/>
      <c r="N246" s="11"/>
    </row>
    <row r="247" customFormat="false" ht="15" hidden="false" customHeight="false" outlineLevel="0" collapsed="false">
      <c r="A247" s="23"/>
      <c r="B247" s="31" t="str">
        <f aca="false">IF(A247="","",SUBSTITUTE(SUBSTITUTE(SUBSTITUTE(SUBSTITUTE(SUBSTITUTE(SUBSTITUTE(SUBSTITUTE(SUBSTITUTE(SUBSTITUTE(SUBSTITUTE(SUBSTITUTE(SUBSTITUTE(SUBSTITUTE(UPPER(TRIM(A247)),"Á","A"),"À","A"),"Â","A"),"Ã","A"),"É","E"),"Ê","E"),"Í","I"),"Ó","O"),"Ô","O"),"Õ","O"),"Ú","U"),"Ü","U"),"Ç","C"))</f>
        <v/>
      </c>
      <c r="C247" s="43"/>
      <c r="D247" s="23"/>
      <c r="E247" s="23"/>
      <c r="F247" s="11"/>
      <c r="G247" s="35"/>
      <c r="H247" s="23"/>
      <c r="I247" s="24"/>
      <c r="J247" s="31" t="str">
        <f aca="false">IF(I247="","",UPPER(SUBSTITUTE(SUBSTITUTE(SUBSTITUTE(SUBSTITUTE(SUBSTITUTE(TRIM(I247),".",""),"/",""),"-",""),"*","")," ","")))</f>
        <v/>
      </c>
      <c r="K247" s="31" t="str">
        <f aca="false">IF(OR(H247="",J247=""),"",IF(LEN(J247)&gt;=13,IF(LEN(J247)=13,"0"&amp;J247,J247),SUBSTITUTE(SUBSTITUTE(SUBSTITUTE(SUBSTITUTE(SUBSTITUTE(SUBSTITUTE(SUBSTITUTE(SUBSTITUTE(SUBSTITUTE(SUBSTITUTE(SUBSTITUTE(SUBSTITUTE(SUBSTITUTE(UPPER(TRIM(H247)),"Á","A"),"À","A"),"Â","A"),"Ã","A"),"É","E"),"Ê","E"),"Í","I"),"Ó","O"),"Ô","O"),"Õ","O"),"Ú","U"),"Ü","U"),"Ç","C")&amp;"|"&amp;IF(LEN(J247)=11,MID(J247,4,6),J247)))</f>
        <v/>
      </c>
      <c r="L247" s="25" t="str">
        <f aca="false">IF(K247="","",IF(E247="Doação recebida",TRIM(IF(COUNTIF(Socios!$H:$H,K247)&gt;0,"Doador é sócio de empresa da pauta. ","")&amp;IF(COUNTIF(Pessoas!$E:$E,K247)&gt;0,"Doador está em Pessoas.","")),IF(E247="Despesa com fornecedor",IF(COUNTIF(Contratos!$D:$D,K247)&gt;0,"Fornecedor também tem contrato público",""),"")))</f>
        <v/>
      </c>
      <c r="M247" s="24"/>
      <c r="N247" s="11"/>
    </row>
    <row r="248" customFormat="false" ht="15" hidden="false" customHeight="false" outlineLevel="0" collapsed="false">
      <c r="A248" s="23"/>
      <c r="B248" s="31" t="str">
        <f aca="false">IF(A248="","",SUBSTITUTE(SUBSTITUTE(SUBSTITUTE(SUBSTITUTE(SUBSTITUTE(SUBSTITUTE(SUBSTITUTE(SUBSTITUTE(SUBSTITUTE(SUBSTITUTE(SUBSTITUTE(SUBSTITUTE(SUBSTITUTE(UPPER(TRIM(A248)),"Á","A"),"À","A"),"Â","A"),"Ã","A"),"É","E"),"Ê","E"),"Í","I"),"Ó","O"),"Ô","O"),"Õ","O"),"Ú","U"),"Ü","U"),"Ç","C"))</f>
        <v/>
      </c>
      <c r="C248" s="43"/>
      <c r="D248" s="23"/>
      <c r="E248" s="23"/>
      <c r="F248" s="11"/>
      <c r="G248" s="35"/>
      <c r="H248" s="23"/>
      <c r="I248" s="24"/>
      <c r="J248" s="31" t="str">
        <f aca="false">IF(I248="","",UPPER(SUBSTITUTE(SUBSTITUTE(SUBSTITUTE(SUBSTITUTE(SUBSTITUTE(TRIM(I248),".",""),"/",""),"-",""),"*","")," ","")))</f>
        <v/>
      </c>
      <c r="K248" s="31" t="str">
        <f aca="false">IF(OR(H248="",J248=""),"",IF(LEN(J248)&gt;=13,IF(LEN(J248)=13,"0"&amp;J248,J248),SUBSTITUTE(SUBSTITUTE(SUBSTITUTE(SUBSTITUTE(SUBSTITUTE(SUBSTITUTE(SUBSTITUTE(SUBSTITUTE(SUBSTITUTE(SUBSTITUTE(SUBSTITUTE(SUBSTITUTE(SUBSTITUTE(UPPER(TRIM(H248)),"Á","A"),"À","A"),"Â","A"),"Ã","A"),"É","E"),"Ê","E"),"Í","I"),"Ó","O"),"Ô","O"),"Õ","O"),"Ú","U"),"Ü","U"),"Ç","C")&amp;"|"&amp;IF(LEN(J248)=11,MID(J248,4,6),J248)))</f>
        <v/>
      </c>
      <c r="L248" s="25" t="str">
        <f aca="false">IF(K248="","",IF(E248="Doação recebida",TRIM(IF(COUNTIF(Socios!$H:$H,K248)&gt;0,"Doador é sócio de empresa da pauta. ","")&amp;IF(COUNTIF(Pessoas!$E:$E,K248)&gt;0,"Doador está em Pessoas.","")),IF(E248="Despesa com fornecedor",IF(COUNTIF(Contratos!$D:$D,K248)&gt;0,"Fornecedor também tem contrato público",""),"")))</f>
        <v/>
      </c>
      <c r="M248" s="24"/>
      <c r="N248" s="11"/>
    </row>
    <row r="249" customFormat="false" ht="15" hidden="false" customHeight="false" outlineLevel="0" collapsed="false">
      <c r="A249" s="23"/>
      <c r="B249" s="31" t="str">
        <f aca="false">IF(A249="","",SUBSTITUTE(SUBSTITUTE(SUBSTITUTE(SUBSTITUTE(SUBSTITUTE(SUBSTITUTE(SUBSTITUTE(SUBSTITUTE(SUBSTITUTE(SUBSTITUTE(SUBSTITUTE(SUBSTITUTE(SUBSTITUTE(UPPER(TRIM(A249)),"Á","A"),"À","A"),"Â","A"),"Ã","A"),"É","E"),"Ê","E"),"Í","I"),"Ó","O"),"Ô","O"),"Õ","O"),"Ú","U"),"Ü","U"),"Ç","C"))</f>
        <v/>
      </c>
      <c r="C249" s="43"/>
      <c r="D249" s="23"/>
      <c r="E249" s="23"/>
      <c r="F249" s="11"/>
      <c r="G249" s="35"/>
      <c r="H249" s="23"/>
      <c r="I249" s="24"/>
      <c r="J249" s="31" t="str">
        <f aca="false">IF(I249="","",UPPER(SUBSTITUTE(SUBSTITUTE(SUBSTITUTE(SUBSTITUTE(SUBSTITUTE(TRIM(I249),".",""),"/",""),"-",""),"*","")," ","")))</f>
        <v/>
      </c>
      <c r="K249" s="31" t="str">
        <f aca="false">IF(OR(H249="",J249=""),"",IF(LEN(J249)&gt;=13,IF(LEN(J249)=13,"0"&amp;J249,J249),SUBSTITUTE(SUBSTITUTE(SUBSTITUTE(SUBSTITUTE(SUBSTITUTE(SUBSTITUTE(SUBSTITUTE(SUBSTITUTE(SUBSTITUTE(SUBSTITUTE(SUBSTITUTE(SUBSTITUTE(SUBSTITUTE(UPPER(TRIM(H249)),"Á","A"),"À","A"),"Â","A"),"Ã","A"),"É","E"),"Ê","E"),"Í","I"),"Ó","O"),"Ô","O"),"Õ","O"),"Ú","U"),"Ü","U"),"Ç","C")&amp;"|"&amp;IF(LEN(J249)=11,MID(J249,4,6),J249)))</f>
        <v/>
      </c>
      <c r="L249" s="25" t="str">
        <f aca="false">IF(K249="","",IF(E249="Doação recebida",TRIM(IF(COUNTIF(Socios!$H:$H,K249)&gt;0,"Doador é sócio de empresa da pauta. ","")&amp;IF(COUNTIF(Pessoas!$E:$E,K249)&gt;0,"Doador está em Pessoas.","")),IF(E249="Despesa com fornecedor",IF(COUNTIF(Contratos!$D:$D,K249)&gt;0,"Fornecedor também tem contrato público",""),"")))</f>
        <v/>
      </c>
      <c r="M249" s="24"/>
      <c r="N249" s="11"/>
    </row>
    <row r="250" customFormat="false" ht="15" hidden="false" customHeight="false" outlineLevel="0" collapsed="false">
      <c r="A250" s="23"/>
      <c r="B250" s="31" t="str">
        <f aca="false">IF(A250="","",SUBSTITUTE(SUBSTITUTE(SUBSTITUTE(SUBSTITUTE(SUBSTITUTE(SUBSTITUTE(SUBSTITUTE(SUBSTITUTE(SUBSTITUTE(SUBSTITUTE(SUBSTITUTE(SUBSTITUTE(SUBSTITUTE(UPPER(TRIM(A250)),"Á","A"),"À","A"),"Â","A"),"Ã","A"),"É","E"),"Ê","E"),"Í","I"),"Ó","O"),"Ô","O"),"Õ","O"),"Ú","U"),"Ü","U"),"Ç","C"))</f>
        <v/>
      </c>
      <c r="C250" s="43"/>
      <c r="D250" s="23"/>
      <c r="E250" s="23"/>
      <c r="F250" s="11"/>
      <c r="G250" s="35"/>
      <c r="H250" s="23"/>
      <c r="I250" s="24"/>
      <c r="J250" s="31" t="str">
        <f aca="false">IF(I250="","",UPPER(SUBSTITUTE(SUBSTITUTE(SUBSTITUTE(SUBSTITUTE(SUBSTITUTE(TRIM(I250),".",""),"/",""),"-",""),"*","")," ","")))</f>
        <v/>
      </c>
      <c r="K250" s="31" t="str">
        <f aca="false">IF(OR(H250="",J250=""),"",IF(LEN(J250)&gt;=13,IF(LEN(J250)=13,"0"&amp;J250,J250),SUBSTITUTE(SUBSTITUTE(SUBSTITUTE(SUBSTITUTE(SUBSTITUTE(SUBSTITUTE(SUBSTITUTE(SUBSTITUTE(SUBSTITUTE(SUBSTITUTE(SUBSTITUTE(SUBSTITUTE(SUBSTITUTE(UPPER(TRIM(H250)),"Á","A"),"À","A"),"Â","A"),"Ã","A"),"É","E"),"Ê","E"),"Í","I"),"Ó","O"),"Ô","O"),"Õ","O"),"Ú","U"),"Ü","U"),"Ç","C")&amp;"|"&amp;IF(LEN(J250)=11,MID(J250,4,6),J250)))</f>
        <v/>
      </c>
      <c r="L250" s="25" t="str">
        <f aca="false">IF(K250="","",IF(E250="Doação recebida",TRIM(IF(COUNTIF(Socios!$H:$H,K250)&gt;0,"Doador é sócio de empresa da pauta. ","")&amp;IF(COUNTIF(Pessoas!$E:$E,K250)&gt;0,"Doador está em Pessoas.","")),IF(E250="Despesa com fornecedor",IF(COUNTIF(Contratos!$D:$D,K250)&gt;0,"Fornecedor também tem contrato público",""),"")))</f>
        <v/>
      </c>
      <c r="M250" s="24"/>
      <c r="N250" s="11"/>
    </row>
    <row r="251" customFormat="false" ht="15" hidden="false" customHeight="false" outlineLevel="0" collapsed="false">
      <c r="A251" s="23"/>
      <c r="B251" s="31" t="str">
        <f aca="false">IF(A251="","",SUBSTITUTE(SUBSTITUTE(SUBSTITUTE(SUBSTITUTE(SUBSTITUTE(SUBSTITUTE(SUBSTITUTE(SUBSTITUTE(SUBSTITUTE(SUBSTITUTE(SUBSTITUTE(SUBSTITUTE(SUBSTITUTE(UPPER(TRIM(A251)),"Á","A"),"À","A"),"Â","A"),"Ã","A"),"É","E"),"Ê","E"),"Í","I"),"Ó","O"),"Ô","O"),"Õ","O"),"Ú","U"),"Ü","U"),"Ç","C"))</f>
        <v/>
      </c>
      <c r="C251" s="43"/>
      <c r="D251" s="23"/>
      <c r="E251" s="23"/>
      <c r="F251" s="11"/>
      <c r="G251" s="35"/>
      <c r="H251" s="23"/>
      <c r="I251" s="24"/>
      <c r="J251" s="31" t="str">
        <f aca="false">IF(I251="","",UPPER(SUBSTITUTE(SUBSTITUTE(SUBSTITUTE(SUBSTITUTE(SUBSTITUTE(TRIM(I251),".",""),"/",""),"-",""),"*","")," ","")))</f>
        <v/>
      </c>
      <c r="K251" s="31" t="str">
        <f aca="false">IF(OR(H251="",J251=""),"",IF(LEN(J251)&gt;=13,IF(LEN(J251)=13,"0"&amp;J251,J251),SUBSTITUTE(SUBSTITUTE(SUBSTITUTE(SUBSTITUTE(SUBSTITUTE(SUBSTITUTE(SUBSTITUTE(SUBSTITUTE(SUBSTITUTE(SUBSTITUTE(SUBSTITUTE(SUBSTITUTE(SUBSTITUTE(UPPER(TRIM(H251)),"Á","A"),"À","A"),"Â","A"),"Ã","A"),"É","E"),"Ê","E"),"Í","I"),"Ó","O"),"Ô","O"),"Õ","O"),"Ú","U"),"Ü","U"),"Ç","C")&amp;"|"&amp;IF(LEN(J251)=11,MID(J251,4,6),J251)))</f>
        <v/>
      </c>
      <c r="L251" s="25" t="str">
        <f aca="false">IF(K251="","",IF(E251="Doação recebida",TRIM(IF(COUNTIF(Socios!$H:$H,K251)&gt;0,"Doador é sócio de empresa da pauta. ","")&amp;IF(COUNTIF(Pessoas!$E:$E,K251)&gt;0,"Doador está em Pessoas.","")),IF(E251="Despesa com fornecedor",IF(COUNTIF(Contratos!$D:$D,K251)&gt;0,"Fornecedor também tem contrato público",""),"")))</f>
        <v/>
      </c>
      <c r="M251" s="24"/>
      <c r="N251" s="11"/>
    </row>
    <row r="252" customFormat="false" ht="15" hidden="false" customHeight="false" outlineLevel="0" collapsed="false">
      <c r="A252" s="23"/>
      <c r="B252" s="31" t="str">
        <f aca="false">IF(A252="","",SUBSTITUTE(SUBSTITUTE(SUBSTITUTE(SUBSTITUTE(SUBSTITUTE(SUBSTITUTE(SUBSTITUTE(SUBSTITUTE(SUBSTITUTE(SUBSTITUTE(SUBSTITUTE(SUBSTITUTE(SUBSTITUTE(UPPER(TRIM(A252)),"Á","A"),"À","A"),"Â","A"),"Ã","A"),"É","E"),"Ê","E"),"Í","I"),"Ó","O"),"Ô","O"),"Õ","O"),"Ú","U"),"Ü","U"),"Ç","C"))</f>
        <v/>
      </c>
      <c r="C252" s="43"/>
      <c r="D252" s="23"/>
      <c r="E252" s="23"/>
      <c r="F252" s="11"/>
      <c r="G252" s="35"/>
      <c r="H252" s="23"/>
      <c r="I252" s="24"/>
      <c r="J252" s="31" t="str">
        <f aca="false">IF(I252="","",UPPER(SUBSTITUTE(SUBSTITUTE(SUBSTITUTE(SUBSTITUTE(SUBSTITUTE(TRIM(I252),".",""),"/",""),"-",""),"*","")," ","")))</f>
        <v/>
      </c>
      <c r="K252" s="31" t="str">
        <f aca="false">IF(OR(H252="",J252=""),"",IF(LEN(J252)&gt;=13,IF(LEN(J252)=13,"0"&amp;J252,J252),SUBSTITUTE(SUBSTITUTE(SUBSTITUTE(SUBSTITUTE(SUBSTITUTE(SUBSTITUTE(SUBSTITUTE(SUBSTITUTE(SUBSTITUTE(SUBSTITUTE(SUBSTITUTE(SUBSTITUTE(SUBSTITUTE(UPPER(TRIM(H252)),"Á","A"),"À","A"),"Â","A"),"Ã","A"),"É","E"),"Ê","E"),"Í","I"),"Ó","O"),"Ô","O"),"Õ","O"),"Ú","U"),"Ü","U"),"Ç","C")&amp;"|"&amp;IF(LEN(J252)=11,MID(J252,4,6),J252)))</f>
        <v/>
      </c>
      <c r="L252" s="25" t="str">
        <f aca="false">IF(K252="","",IF(E252="Doação recebida",TRIM(IF(COUNTIF(Socios!$H:$H,K252)&gt;0,"Doador é sócio de empresa da pauta. ","")&amp;IF(COUNTIF(Pessoas!$E:$E,K252)&gt;0,"Doador está em Pessoas.","")),IF(E252="Despesa com fornecedor",IF(COUNTIF(Contratos!$D:$D,K252)&gt;0,"Fornecedor também tem contrato público",""),"")))</f>
        <v/>
      </c>
      <c r="M252" s="24"/>
      <c r="N252" s="11"/>
    </row>
    <row r="253" customFormat="false" ht="15" hidden="false" customHeight="false" outlineLevel="0" collapsed="false">
      <c r="A253" s="23"/>
      <c r="B253" s="31" t="str">
        <f aca="false">IF(A253="","",SUBSTITUTE(SUBSTITUTE(SUBSTITUTE(SUBSTITUTE(SUBSTITUTE(SUBSTITUTE(SUBSTITUTE(SUBSTITUTE(SUBSTITUTE(SUBSTITUTE(SUBSTITUTE(SUBSTITUTE(SUBSTITUTE(UPPER(TRIM(A253)),"Á","A"),"À","A"),"Â","A"),"Ã","A"),"É","E"),"Ê","E"),"Í","I"),"Ó","O"),"Ô","O"),"Õ","O"),"Ú","U"),"Ü","U"),"Ç","C"))</f>
        <v/>
      </c>
      <c r="C253" s="43"/>
      <c r="D253" s="23"/>
      <c r="E253" s="23"/>
      <c r="F253" s="11"/>
      <c r="G253" s="35"/>
      <c r="H253" s="23"/>
      <c r="I253" s="24"/>
      <c r="J253" s="31" t="str">
        <f aca="false">IF(I253="","",UPPER(SUBSTITUTE(SUBSTITUTE(SUBSTITUTE(SUBSTITUTE(SUBSTITUTE(TRIM(I253),".",""),"/",""),"-",""),"*","")," ","")))</f>
        <v/>
      </c>
      <c r="K253" s="31" t="str">
        <f aca="false">IF(OR(H253="",J253=""),"",IF(LEN(J253)&gt;=13,IF(LEN(J253)=13,"0"&amp;J253,J253),SUBSTITUTE(SUBSTITUTE(SUBSTITUTE(SUBSTITUTE(SUBSTITUTE(SUBSTITUTE(SUBSTITUTE(SUBSTITUTE(SUBSTITUTE(SUBSTITUTE(SUBSTITUTE(SUBSTITUTE(SUBSTITUTE(UPPER(TRIM(H253)),"Á","A"),"À","A"),"Â","A"),"Ã","A"),"É","E"),"Ê","E"),"Í","I"),"Ó","O"),"Ô","O"),"Õ","O"),"Ú","U"),"Ü","U"),"Ç","C")&amp;"|"&amp;IF(LEN(J253)=11,MID(J253,4,6),J253)))</f>
        <v/>
      </c>
      <c r="L253" s="25" t="str">
        <f aca="false">IF(K253="","",IF(E253="Doação recebida",TRIM(IF(COUNTIF(Socios!$H:$H,K253)&gt;0,"Doador é sócio de empresa da pauta. ","")&amp;IF(COUNTIF(Pessoas!$E:$E,K253)&gt;0,"Doador está em Pessoas.","")),IF(E253="Despesa com fornecedor",IF(COUNTIF(Contratos!$D:$D,K253)&gt;0,"Fornecedor também tem contrato público",""),"")))</f>
        <v/>
      </c>
      <c r="M253" s="24"/>
      <c r="N253" s="11"/>
    </row>
    <row r="254" customFormat="false" ht="15" hidden="false" customHeight="false" outlineLevel="0" collapsed="false">
      <c r="A254" s="23"/>
      <c r="B254" s="31" t="str">
        <f aca="false">IF(A254="","",SUBSTITUTE(SUBSTITUTE(SUBSTITUTE(SUBSTITUTE(SUBSTITUTE(SUBSTITUTE(SUBSTITUTE(SUBSTITUTE(SUBSTITUTE(SUBSTITUTE(SUBSTITUTE(SUBSTITUTE(SUBSTITUTE(UPPER(TRIM(A254)),"Á","A"),"À","A"),"Â","A"),"Ã","A"),"É","E"),"Ê","E"),"Í","I"),"Ó","O"),"Ô","O"),"Õ","O"),"Ú","U"),"Ü","U"),"Ç","C"))</f>
        <v/>
      </c>
      <c r="C254" s="43"/>
      <c r="D254" s="23"/>
      <c r="E254" s="23"/>
      <c r="F254" s="11"/>
      <c r="G254" s="35"/>
      <c r="H254" s="23"/>
      <c r="I254" s="24"/>
      <c r="J254" s="31" t="str">
        <f aca="false">IF(I254="","",UPPER(SUBSTITUTE(SUBSTITUTE(SUBSTITUTE(SUBSTITUTE(SUBSTITUTE(TRIM(I254),".",""),"/",""),"-",""),"*","")," ","")))</f>
        <v/>
      </c>
      <c r="K254" s="31" t="str">
        <f aca="false">IF(OR(H254="",J254=""),"",IF(LEN(J254)&gt;=13,IF(LEN(J254)=13,"0"&amp;J254,J254),SUBSTITUTE(SUBSTITUTE(SUBSTITUTE(SUBSTITUTE(SUBSTITUTE(SUBSTITUTE(SUBSTITUTE(SUBSTITUTE(SUBSTITUTE(SUBSTITUTE(SUBSTITUTE(SUBSTITUTE(SUBSTITUTE(UPPER(TRIM(H254)),"Á","A"),"À","A"),"Â","A"),"Ã","A"),"É","E"),"Ê","E"),"Í","I"),"Ó","O"),"Ô","O"),"Õ","O"),"Ú","U"),"Ü","U"),"Ç","C")&amp;"|"&amp;IF(LEN(J254)=11,MID(J254,4,6),J254)))</f>
        <v/>
      </c>
      <c r="L254" s="25" t="str">
        <f aca="false">IF(K254="","",IF(E254="Doação recebida",TRIM(IF(COUNTIF(Socios!$H:$H,K254)&gt;0,"Doador é sócio de empresa da pauta. ","")&amp;IF(COUNTIF(Pessoas!$E:$E,K254)&gt;0,"Doador está em Pessoas.","")),IF(E254="Despesa com fornecedor",IF(COUNTIF(Contratos!$D:$D,K254)&gt;0,"Fornecedor também tem contrato público",""),"")))</f>
        <v/>
      </c>
      <c r="M254" s="24"/>
      <c r="N254" s="11"/>
    </row>
    <row r="255" customFormat="false" ht="15" hidden="false" customHeight="false" outlineLevel="0" collapsed="false">
      <c r="A255" s="23"/>
      <c r="B255" s="31" t="str">
        <f aca="false">IF(A255="","",SUBSTITUTE(SUBSTITUTE(SUBSTITUTE(SUBSTITUTE(SUBSTITUTE(SUBSTITUTE(SUBSTITUTE(SUBSTITUTE(SUBSTITUTE(SUBSTITUTE(SUBSTITUTE(SUBSTITUTE(SUBSTITUTE(UPPER(TRIM(A255)),"Á","A"),"À","A"),"Â","A"),"Ã","A"),"É","E"),"Ê","E"),"Í","I"),"Ó","O"),"Ô","O"),"Õ","O"),"Ú","U"),"Ü","U"),"Ç","C"))</f>
        <v/>
      </c>
      <c r="C255" s="43"/>
      <c r="D255" s="23"/>
      <c r="E255" s="23"/>
      <c r="F255" s="11"/>
      <c r="G255" s="35"/>
      <c r="H255" s="23"/>
      <c r="I255" s="24"/>
      <c r="J255" s="31" t="str">
        <f aca="false">IF(I255="","",UPPER(SUBSTITUTE(SUBSTITUTE(SUBSTITUTE(SUBSTITUTE(SUBSTITUTE(TRIM(I255),".",""),"/",""),"-",""),"*","")," ","")))</f>
        <v/>
      </c>
      <c r="K255" s="31" t="str">
        <f aca="false">IF(OR(H255="",J255=""),"",IF(LEN(J255)&gt;=13,IF(LEN(J255)=13,"0"&amp;J255,J255),SUBSTITUTE(SUBSTITUTE(SUBSTITUTE(SUBSTITUTE(SUBSTITUTE(SUBSTITUTE(SUBSTITUTE(SUBSTITUTE(SUBSTITUTE(SUBSTITUTE(SUBSTITUTE(SUBSTITUTE(SUBSTITUTE(UPPER(TRIM(H255)),"Á","A"),"À","A"),"Â","A"),"Ã","A"),"É","E"),"Ê","E"),"Í","I"),"Ó","O"),"Ô","O"),"Õ","O"),"Ú","U"),"Ü","U"),"Ç","C")&amp;"|"&amp;IF(LEN(J255)=11,MID(J255,4,6),J255)))</f>
        <v/>
      </c>
      <c r="L255" s="25" t="str">
        <f aca="false">IF(K255="","",IF(E255="Doação recebida",TRIM(IF(COUNTIF(Socios!$H:$H,K255)&gt;0,"Doador é sócio de empresa da pauta. ","")&amp;IF(COUNTIF(Pessoas!$E:$E,K255)&gt;0,"Doador está em Pessoas.","")),IF(E255="Despesa com fornecedor",IF(COUNTIF(Contratos!$D:$D,K255)&gt;0,"Fornecedor também tem contrato público",""),"")))</f>
        <v/>
      </c>
      <c r="M255" s="24"/>
      <c r="N255" s="11"/>
    </row>
    <row r="256" customFormat="false" ht="15" hidden="false" customHeight="false" outlineLevel="0" collapsed="false">
      <c r="A256" s="23"/>
      <c r="B256" s="31" t="str">
        <f aca="false">IF(A256="","",SUBSTITUTE(SUBSTITUTE(SUBSTITUTE(SUBSTITUTE(SUBSTITUTE(SUBSTITUTE(SUBSTITUTE(SUBSTITUTE(SUBSTITUTE(SUBSTITUTE(SUBSTITUTE(SUBSTITUTE(SUBSTITUTE(UPPER(TRIM(A256)),"Á","A"),"À","A"),"Â","A"),"Ã","A"),"É","E"),"Ê","E"),"Í","I"),"Ó","O"),"Ô","O"),"Õ","O"),"Ú","U"),"Ü","U"),"Ç","C"))</f>
        <v/>
      </c>
      <c r="C256" s="43"/>
      <c r="D256" s="23"/>
      <c r="E256" s="23"/>
      <c r="F256" s="11"/>
      <c r="G256" s="35"/>
      <c r="H256" s="23"/>
      <c r="I256" s="24"/>
      <c r="J256" s="31" t="str">
        <f aca="false">IF(I256="","",UPPER(SUBSTITUTE(SUBSTITUTE(SUBSTITUTE(SUBSTITUTE(SUBSTITUTE(TRIM(I256),".",""),"/",""),"-",""),"*","")," ","")))</f>
        <v/>
      </c>
      <c r="K256" s="31" t="str">
        <f aca="false">IF(OR(H256="",J256=""),"",IF(LEN(J256)&gt;=13,IF(LEN(J256)=13,"0"&amp;J256,J256),SUBSTITUTE(SUBSTITUTE(SUBSTITUTE(SUBSTITUTE(SUBSTITUTE(SUBSTITUTE(SUBSTITUTE(SUBSTITUTE(SUBSTITUTE(SUBSTITUTE(SUBSTITUTE(SUBSTITUTE(SUBSTITUTE(UPPER(TRIM(H256)),"Á","A"),"À","A"),"Â","A"),"Ã","A"),"É","E"),"Ê","E"),"Í","I"),"Ó","O"),"Ô","O"),"Õ","O"),"Ú","U"),"Ü","U"),"Ç","C")&amp;"|"&amp;IF(LEN(J256)=11,MID(J256,4,6),J256)))</f>
        <v/>
      </c>
      <c r="L256" s="25" t="str">
        <f aca="false">IF(K256="","",IF(E256="Doação recebida",TRIM(IF(COUNTIF(Socios!$H:$H,K256)&gt;0,"Doador é sócio de empresa da pauta. ","")&amp;IF(COUNTIF(Pessoas!$E:$E,K256)&gt;0,"Doador está em Pessoas.","")),IF(E256="Despesa com fornecedor",IF(COUNTIF(Contratos!$D:$D,K256)&gt;0,"Fornecedor também tem contrato público",""),"")))</f>
        <v/>
      </c>
      <c r="M256" s="24"/>
      <c r="N256" s="11"/>
    </row>
    <row r="257" customFormat="false" ht="15" hidden="false" customHeight="false" outlineLevel="0" collapsed="false">
      <c r="A257" s="23"/>
      <c r="B257" s="31" t="str">
        <f aca="false">IF(A257="","",SUBSTITUTE(SUBSTITUTE(SUBSTITUTE(SUBSTITUTE(SUBSTITUTE(SUBSTITUTE(SUBSTITUTE(SUBSTITUTE(SUBSTITUTE(SUBSTITUTE(SUBSTITUTE(SUBSTITUTE(SUBSTITUTE(UPPER(TRIM(A257)),"Á","A"),"À","A"),"Â","A"),"Ã","A"),"É","E"),"Ê","E"),"Í","I"),"Ó","O"),"Ô","O"),"Õ","O"),"Ú","U"),"Ü","U"),"Ç","C"))</f>
        <v/>
      </c>
      <c r="C257" s="43"/>
      <c r="D257" s="23"/>
      <c r="E257" s="23"/>
      <c r="F257" s="11"/>
      <c r="G257" s="35"/>
      <c r="H257" s="23"/>
      <c r="I257" s="24"/>
      <c r="J257" s="31" t="str">
        <f aca="false">IF(I257="","",UPPER(SUBSTITUTE(SUBSTITUTE(SUBSTITUTE(SUBSTITUTE(SUBSTITUTE(TRIM(I257),".",""),"/",""),"-",""),"*","")," ","")))</f>
        <v/>
      </c>
      <c r="K257" s="31" t="str">
        <f aca="false">IF(OR(H257="",J257=""),"",IF(LEN(J257)&gt;=13,IF(LEN(J257)=13,"0"&amp;J257,J257),SUBSTITUTE(SUBSTITUTE(SUBSTITUTE(SUBSTITUTE(SUBSTITUTE(SUBSTITUTE(SUBSTITUTE(SUBSTITUTE(SUBSTITUTE(SUBSTITUTE(SUBSTITUTE(SUBSTITUTE(SUBSTITUTE(UPPER(TRIM(H257)),"Á","A"),"À","A"),"Â","A"),"Ã","A"),"É","E"),"Ê","E"),"Í","I"),"Ó","O"),"Ô","O"),"Õ","O"),"Ú","U"),"Ü","U"),"Ç","C")&amp;"|"&amp;IF(LEN(J257)=11,MID(J257,4,6),J257)))</f>
        <v/>
      </c>
      <c r="L257" s="25" t="str">
        <f aca="false">IF(K257="","",IF(E257="Doação recebida",TRIM(IF(COUNTIF(Socios!$H:$H,K257)&gt;0,"Doador é sócio de empresa da pauta. ","")&amp;IF(COUNTIF(Pessoas!$E:$E,K257)&gt;0,"Doador está em Pessoas.","")),IF(E257="Despesa com fornecedor",IF(COUNTIF(Contratos!$D:$D,K257)&gt;0,"Fornecedor também tem contrato público",""),"")))</f>
        <v/>
      </c>
      <c r="M257" s="24"/>
      <c r="N257" s="11"/>
    </row>
    <row r="258" customFormat="false" ht="15" hidden="false" customHeight="false" outlineLevel="0" collapsed="false">
      <c r="A258" s="23"/>
      <c r="B258" s="31" t="str">
        <f aca="false">IF(A258="","",SUBSTITUTE(SUBSTITUTE(SUBSTITUTE(SUBSTITUTE(SUBSTITUTE(SUBSTITUTE(SUBSTITUTE(SUBSTITUTE(SUBSTITUTE(SUBSTITUTE(SUBSTITUTE(SUBSTITUTE(SUBSTITUTE(UPPER(TRIM(A258)),"Á","A"),"À","A"),"Â","A"),"Ã","A"),"É","E"),"Ê","E"),"Í","I"),"Ó","O"),"Ô","O"),"Õ","O"),"Ú","U"),"Ü","U"),"Ç","C"))</f>
        <v/>
      </c>
      <c r="C258" s="43"/>
      <c r="D258" s="23"/>
      <c r="E258" s="23"/>
      <c r="F258" s="11"/>
      <c r="G258" s="35"/>
      <c r="H258" s="23"/>
      <c r="I258" s="24"/>
      <c r="J258" s="31" t="str">
        <f aca="false">IF(I258="","",UPPER(SUBSTITUTE(SUBSTITUTE(SUBSTITUTE(SUBSTITUTE(SUBSTITUTE(TRIM(I258),".",""),"/",""),"-",""),"*","")," ","")))</f>
        <v/>
      </c>
      <c r="K258" s="31" t="str">
        <f aca="false">IF(OR(H258="",J258=""),"",IF(LEN(J258)&gt;=13,IF(LEN(J258)=13,"0"&amp;J258,J258),SUBSTITUTE(SUBSTITUTE(SUBSTITUTE(SUBSTITUTE(SUBSTITUTE(SUBSTITUTE(SUBSTITUTE(SUBSTITUTE(SUBSTITUTE(SUBSTITUTE(SUBSTITUTE(SUBSTITUTE(SUBSTITUTE(UPPER(TRIM(H258)),"Á","A"),"À","A"),"Â","A"),"Ã","A"),"É","E"),"Ê","E"),"Í","I"),"Ó","O"),"Ô","O"),"Õ","O"),"Ú","U"),"Ü","U"),"Ç","C")&amp;"|"&amp;IF(LEN(J258)=11,MID(J258,4,6),J258)))</f>
        <v/>
      </c>
      <c r="L258" s="25" t="str">
        <f aca="false">IF(K258="","",IF(E258="Doação recebida",TRIM(IF(COUNTIF(Socios!$H:$H,K258)&gt;0,"Doador é sócio de empresa da pauta. ","")&amp;IF(COUNTIF(Pessoas!$E:$E,K258)&gt;0,"Doador está em Pessoas.","")),IF(E258="Despesa com fornecedor",IF(COUNTIF(Contratos!$D:$D,K258)&gt;0,"Fornecedor também tem contrato público",""),"")))</f>
        <v/>
      </c>
      <c r="M258" s="24"/>
      <c r="N258" s="11"/>
    </row>
    <row r="259" customFormat="false" ht="15" hidden="false" customHeight="false" outlineLevel="0" collapsed="false">
      <c r="A259" s="23"/>
      <c r="B259" s="31" t="str">
        <f aca="false">IF(A259="","",SUBSTITUTE(SUBSTITUTE(SUBSTITUTE(SUBSTITUTE(SUBSTITUTE(SUBSTITUTE(SUBSTITUTE(SUBSTITUTE(SUBSTITUTE(SUBSTITUTE(SUBSTITUTE(SUBSTITUTE(SUBSTITUTE(UPPER(TRIM(A259)),"Á","A"),"À","A"),"Â","A"),"Ã","A"),"É","E"),"Ê","E"),"Í","I"),"Ó","O"),"Ô","O"),"Õ","O"),"Ú","U"),"Ü","U"),"Ç","C"))</f>
        <v/>
      </c>
      <c r="C259" s="43"/>
      <c r="D259" s="23"/>
      <c r="E259" s="23"/>
      <c r="F259" s="11"/>
      <c r="G259" s="35"/>
      <c r="H259" s="23"/>
      <c r="I259" s="24"/>
      <c r="J259" s="31" t="str">
        <f aca="false">IF(I259="","",UPPER(SUBSTITUTE(SUBSTITUTE(SUBSTITUTE(SUBSTITUTE(SUBSTITUTE(TRIM(I259),".",""),"/",""),"-",""),"*","")," ","")))</f>
        <v/>
      </c>
      <c r="K259" s="31" t="str">
        <f aca="false">IF(OR(H259="",J259=""),"",IF(LEN(J259)&gt;=13,IF(LEN(J259)=13,"0"&amp;J259,J259),SUBSTITUTE(SUBSTITUTE(SUBSTITUTE(SUBSTITUTE(SUBSTITUTE(SUBSTITUTE(SUBSTITUTE(SUBSTITUTE(SUBSTITUTE(SUBSTITUTE(SUBSTITUTE(SUBSTITUTE(SUBSTITUTE(UPPER(TRIM(H259)),"Á","A"),"À","A"),"Â","A"),"Ã","A"),"É","E"),"Ê","E"),"Í","I"),"Ó","O"),"Ô","O"),"Õ","O"),"Ú","U"),"Ü","U"),"Ç","C")&amp;"|"&amp;IF(LEN(J259)=11,MID(J259,4,6),J259)))</f>
        <v/>
      </c>
      <c r="L259" s="25" t="str">
        <f aca="false">IF(K259="","",IF(E259="Doação recebida",TRIM(IF(COUNTIF(Socios!$H:$H,K259)&gt;0,"Doador é sócio de empresa da pauta. ","")&amp;IF(COUNTIF(Pessoas!$E:$E,K259)&gt;0,"Doador está em Pessoas.","")),IF(E259="Despesa com fornecedor",IF(COUNTIF(Contratos!$D:$D,K259)&gt;0,"Fornecedor também tem contrato público",""),"")))</f>
        <v/>
      </c>
      <c r="M259" s="24"/>
      <c r="N259" s="11"/>
    </row>
    <row r="260" customFormat="false" ht="15" hidden="false" customHeight="false" outlineLevel="0" collapsed="false">
      <c r="A260" s="23"/>
      <c r="B260" s="31" t="str">
        <f aca="false">IF(A260="","",SUBSTITUTE(SUBSTITUTE(SUBSTITUTE(SUBSTITUTE(SUBSTITUTE(SUBSTITUTE(SUBSTITUTE(SUBSTITUTE(SUBSTITUTE(SUBSTITUTE(SUBSTITUTE(SUBSTITUTE(SUBSTITUTE(UPPER(TRIM(A260)),"Á","A"),"À","A"),"Â","A"),"Ã","A"),"É","E"),"Ê","E"),"Í","I"),"Ó","O"),"Ô","O"),"Õ","O"),"Ú","U"),"Ü","U"),"Ç","C"))</f>
        <v/>
      </c>
      <c r="C260" s="43"/>
      <c r="D260" s="23"/>
      <c r="E260" s="23"/>
      <c r="F260" s="11"/>
      <c r="G260" s="35"/>
      <c r="H260" s="23"/>
      <c r="I260" s="24"/>
      <c r="J260" s="31" t="str">
        <f aca="false">IF(I260="","",UPPER(SUBSTITUTE(SUBSTITUTE(SUBSTITUTE(SUBSTITUTE(SUBSTITUTE(TRIM(I260),".",""),"/",""),"-",""),"*","")," ","")))</f>
        <v/>
      </c>
      <c r="K260" s="31" t="str">
        <f aca="false">IF(OR(H260="",J260=""),"",IF(LEN(J260)&gt;=13,IF(LEN(J260)=13,"0"&amp;J260,J260),SUBSTITUTE(SUBSTITUTE(SUBSTITUTE(SUBSTITUTE(SUBSTITUTE(SUBSTITUTE(SUBSTITUTE(SUBSTITUTE(SUBSTITUTE(SUBSTITUTE(SUBSTITUTE(SUBSTITUTE(SUBSTITUTE(UPPER(TRIM(H260)),"Á","A"),"À","A"),"Â","A"),"Ã","A"),"É","E"),"Ê","E"),"Í","I"),"Ó","O"),"Ô","O"),"Õ","O"),"Ú","U"),"Ü","U"),"Ç","C")&amp;"|"&amp;IF(LEN(J260)=11,MID(J260,4,6),J260)))</f>
        <v/>
      </c>
      <c r="L260" s="25" t="str">
        <f aca="false">IF(K260="","",IF(E260="Doação recebida",TRIM(IF(COUNTIF(Socios!$H:$H,K260)&gt;0,"Doador é sócio de empresa da pauta. ","")&amp;IF(COUNTIF(Pessoas!$E:$E,K260)&gt;0,"Doador está em Pessoas.","")),IF(E260="Despesa com fornecedor",IF(COUNTIF(Contratos!$D:$D,K260)&gt;0,"Fornecedor também tem contrato público",""),"")))</f>
        <v/>
      </c>
      <c r="M260" s="24"/>
      <c r="N260" s="11"/>
    </row>
    <row r="261" customFormat="false" ht="15" hidden="false" customHeight="false" outlineLevel="0" collapsed="false">
      <c r="A261" s="23"/>
      <c r="B261" s="31" t="str">
        <f aca="false">IF(A261="","",SUBSTITUTE(SUBSTITUTE(SUBSTITUTE(SUBSTITUTE(SUBSTITUTE(SUBSTITUTE(SUBSTITUTE(SUBSTITUTE(SUBSTITUTE(SUBSTITUTE(SUBSTITUTE(SUBSTITUTE(SUBSTITUTE(UPPER(TRIM(A261)),"Á","A"),"À","A"),"Â","A"),"Ã","A"),"É","E"),"Ê","E"),"Í","I"),"Ó","O"),"Ô","O"),"Õ","O"),"Ú","U"),"Ü","U"),"Ç","C"))</f>
        <v/>
      </c>
      <c r="C261" s="43"/>
      <c r="D261" s="23"/>
      <c r="E261" s="23"/>
      <c r="F261" s="11"/>
      <c r="G261" s="35"/>
      <c r="H261" s="23"/>
      <c r="I261" s="24"/>
      <c r="J261" s="31" t="str">
        <f aca="false">IF(I261="","",UPPER(SUBSTITUTE(SUBSTITUTE(SUBSTITUTE(SUBSTITUTE(SUBSTITUTE(TRIM(I261),".",""),"/",""),"-",""),"*","")," ","")))</f>
        <v/>
      </c>
      <c r="K261" s="31" t="str">
        <f aca="false">IF(OR(H261="",J261=""),"",IF(LEN(J261)&gt;=13,IF(LEN(J261)=13,"0"&amp;J261,J261),SUBSTITUTE(SUBSTITUTE(SUBSTITUTE(SUBSTITUTE(SUBSTITUTE(SUBSTITUTE(SUBSTITUTE(SUBSTITUTE(SUBSTITUTE(SUBSTITUTE(SUBSTITUTE(SUBSTITUTE(SUBSTITUTE(UPPER(TRIM(H261)),"Á","A"),"À","A"),"Â","A"),"Ã","A"),"É","E"),"Ê","E"),"Í","I"),"Ó","O"),"Ô","O"),"Õ","O"),"Ú","U"),"Ü","U"),"Ç","C")&amp;"|"&amp;IF(LEN(J261)=11,MID(J261,4,6),J261)))</f>
        <v/>
      </c>
      <c r="L261" s="25" t="str">
        <f aca="false">IF(K261="","",IF(E261="Doação recebida",TRIM(IF(COUNTIF(Socios!$H:$H,K261)&gt;0,"Doador é sócio de empresa da pauta. ","")&amp;IF(COUNTIF(Pessoas!$E:$E,K261)&gt;0,"Doador está em Pessoas.","")),IF(E261="Despesa com fornecedor",IF(COUNTIF(Contratos!$D:$D,K261)&gt;0,"Fornecedor também tem contrato público",""),"")))</f>
        <v/>
      </c>
      <c r="M261" s="24"/>
      <c r="N261" s="11"/>
    </row>
    <row r="262" customFormat="false" ht="15" hidden="false" customHeight="false" outlineLevel="0" collapsed="false">
      <c r="A262" s="23"/>
      <c r="B262" s="31" t="str">
        <f aca="false">IF(A262="","",SUBSTITUTE(SUBSTITUTE(SUBSTITUTE(SUBSTITUTE(SUBSTITUTE(SUBSTITUTE(SUBSTITUTE(SUBSTITUTE(SUBSTITUTE(SUBSTITUTE(SUBSTITUTE(SUBSTITUTE(SUBSTITUTE(UPPER(TRIM(A262)),"Á","A"),"À","A"),"Â","A"),"Ã","A"),"É","E"),"Ê","E"),"Í","I"),"Ó","O"),"Ô","O"),"Õ","O"),"Ú","U"),"Ü","U"),"Ç","C"))</f>
        <v/>
      </c>
      <c r="C262" s="43"/>
      <c r="D262" s="23"/>
      <c r="E262" s="23"/>
      <c r="F262" s="11"/>
      <c r="G262" s="35"/>
      <c r="H262" s="23"/>
      <c r="I262" s="24"/>
      <c r="J262" s="31" t="str">
        <f aca="false">IF(I262="","",UPPER(SUBSTITUTE(SUBSTITUTE(SUBSTITUTE(SUBSTITUTE(SUBSTITUTE(TRIM(I262),".",""),"/",""),"-",""),"*","")," ","")))</f>
        <v/>
      </c>
      <c r="K262" s="31" t="str">
        <f aca="false">IF(OR(H262="",J262=""),"",IF(LEN(J262)&gt;=13,IF(LEN(J262)=13,"0"&amp;J262,J262),SUBSTITUTE(SUBSTITUTE(SUBSTITUTE(SUBSTITUTE(SUBSTITUTE(SUBSTITUTE(SUBSTITUTE(SUBSTITUTE(SUBSTITUTE(SUBSTITUTE(SUBSTITUTE(SUBSTITUTE(SUBSTITUTE(UPPER(TRIM(H262)),"Á","A"),"À","A"),"Â","A"),"Ã","A"),"É","E"),"Ê","E"),"Í","I"),"Ó","O"),"Ô","O"),"Õ","O"),"Ú","U"),"Ü","U"),"Ç","C")&amp;"|"&amp;IF(LEN(J262)=11,MID(J262,4,6),J262)))</f>
        <v/>
      </c>
      <c r="L262" s="25" t="str">
        <f aca="false">IF(K262="","",IF(E262="Doação recebida",TRIM(IF(COUNTIF(Socios!$H:$H,K262)&gt;0,"Doador é sócio de empresa da pauta. ","")&amp;IF(COUNTIF(Pessoas!$E:$E,K262)&gt;0,"Doador está em Pessoas.","")),IF(E262="Despesa com fornecedor",IF(COUNTIF(Contratos!$D:$D,K262)&gt;0,"Fornecedor também tem contrato público",""),"")))</f>
        <v/>
      </c>
      <c r="M262" s="24"/>
      <c r="N262" s="11"/>
    </row>
    <row r="263" customFormat="false" ht="15" hidden="false" customHeight="false" outlineLevel="0" collapsed="false">
      <c r="A263" s="23"/>
      <c r="B263" s="31" t="str">
        <f aca="false">IF(A263="","",SUBSTITUTE(SUBSTITUTE(SUBSTITUTE(SUBSTITUTE(SUBSTITUTE(SUBSTITUTE(SUBSTITUTE(SUBSTITUTE(SUBSTITUTE(SUBSTITUTE(SUBSTITUTE(SUBSTITUTE(SUBSTITUTE(UPPER(TRIM(A263)),"Á","A"),"À","A"),"Â","A"),"Ã","A"),"É","E"),"Ê","E"),"Í","I"),"Ó","O"),"Ô","O"),"Õ","O"),"Ú","U"),"Ü","U"),"Ç","C"))</f>
        <v/>
      </c>
      <c r="C263" s="43"/>
      <c r="D263" s="23"/>
      <c r="E263" s="23"/>
      <c r="F263" s="11"/>
      <c r="G263" s="35"/>
      <c r="H263" s="23"/>
      <c r="I263" s="24"/>
      <c r="J263" s="31" t="str">
        <f aca="false">IF(I263="","",UPPER(SUBSTITUTE(SUBSTITUTE(SUBSTITUTE(SUBSTITUTE(SUBSTITUTE(TRIM(I263),".",""),"/",""),"-",""),"*","")," ","")))</f>
        <v/>
      </c>
      <c r="K263" s="31" t="str">
        <f aca="false">IF(OR(H263="",J263=""),"",IF(LEN(J263)&gt;=13,IF(LEN(J263)=13,"0"&amp;J263,J263),SUBSTITUTE(SUBSTITUTE(SUBSTITUTE(SUBSTITUTE(SUBSTITUTE(SUBSTITUTE(SUBSTITUTE(SUBSTITUTE(SUBSTITUTE(SUBSTITUTE(SUBSTITUTE(SUBSTITUTE(SUBSTITUTE(UPPER(TRIM(H263)),"Á","A"),"À","A"),"Â","A"),"Ã","A"),"É","E"),"Ê","E"),"Í","I"),"Ó","O"),"Ô","O"),"Õ","O"),"Ú","U"),"Ü","U"),"Ç","C")&amp;"|"&amp;IF(LEN(J263)=11,MID(J263,4,6),J263)))</f>
        <v/>
      </c>
      <c r="L263" s="25" t="str">
        <f aca="false">IF(K263="","",IF(E263="Doação recebida",TRIM(IF(COUNTIF(Socios!$H:$H,K263)&gt;0,"Doador é sócio de empresa da pauta. ","")&amp;IF(COUNTIF(Pessoas!$E:$E,K263)&gt;0,"Doador está em Pessoas.","")),IF(E263="Despesa com fornecedor",IF(COUNTIF(Contratos!$D:$D,K263)&gt;0,"Fornecedor também tem contrato público",""),"")))</f>
        <v/>
      </c>
      <c r="M263" s="24"/>
      <c r="N263" s="11"/>
    </row>
    <row r="264" customFormat="false" ht="15" hidden="false" customHeight="false" outlineLevel="0" collapsed="false">
      <c r="A264" s="23"/>
      <c r="B264" s="31" t="str">
        <f aca="false">IF(A264="","",SUBSTITUTE(SUBSTITUTE(SUBSTITUTE(SUBSTITUTE(SUBSTITUTE(SUBSTITUTE(SUBSTITUTE(SUBSTITUTE(SUBSTITUTE(SUBSTITUTE(SUBSTITUTE(SUBSTITUTE(SUBSTITUTE(UPPER(TRIM(A264)),"Á","A"),"À","A"),"Â","A"),"Ã","A"),"É","E"),"Ê","E"),"Í","I"),"Ó","O"),"Ô","O"),"Õ","O"),"Ú","U"),"Ü","U"),"Ç","C"))</f>
        <v/>
      </c>
      <c r="C264" s="43"/>
      <c r="D264" s="23"/>
      <c r="E264" s="23"/>
      <c r="F264" s="11"/>
      <c r="G264" s="35"/>
      <c r="H264" s="23"/>
      <c r="I264" s="24"/>
      <c r="J264" s="31" t="str">
        <f aca="false">IF(I264="","",UPPER(SUBSTITUTE(SUBSTITUTE(SUBSTITUTE(SUBSTITUTE(SUBSTITUTE(TRIM(I264),".",""),"/",""),"-",""),"*","")," ","")))</f>
        <v/>
      </c>
      <c r="K264" s="31" t="str">
        <f aca="false">IF(OR(H264="",J264=""),"",IF(LEN(J264)&gt;=13,IF(LEN(J264)=13,"0"&amp;J264,J264),SUBSTITUTE(SUBSTITUTE(SUBSTITUTE(SUBSTITUTE(SUBSTITUTE(SUBSTITUTE(SUBSTITUTE(SUBSTITUTE(SUBSTITUTE(SUBSTITUTE(SUBSTITUTE(SUBSTITUTE(SUBSTITUTE(UPPER(TRIM(H264)),"Á","A"),"À","A"),"Â","A"),"Ã","A"),"É","E"),"Ê","E"),"Í","I"),"Ó","O"),"Ô","O"),"Õ","O"),"Ú","U"),"Ü","U"),"Ç","C")&amp;"|"&amp;IF(LEN(J264)=11,MID(J264,4,6),J264)))</f>
        <v/>
      </c>
      <c r="L264" s="25" t="str">
        <f aca="false">IF(K264="","",IF(E264="Doação recebida",TRIM(IF(COUNTIF(Socios!$H:$H,K264)&gt;0,"Doador é sócio de empresa da pauta. ","")&amp;IF(COUNTIF(Pessoas!$E:$E,K264)&gt;0,"Doador está em Pessoas.","")),IF(E264="Despesa com fornecedor",IF(COUNTIF(Contratos!$D:$D,K264)&gt;0,"Fornecedor também tem contrato público",""),"")))</f>
        <v/>
      </c>
      <c r="M264" s="24"/>
      <c r="N264" s="11"/>
    </row>
    <row r="265" customFormat="false" ht="15" hidden="false" customHeight="false" outlineLevel="0" collapsed="false">
      <c r="A265" s="23"/>
      <c r="B265" s="31" t="str">
        <f aca="false">IF(A265="","",SUBSTITUTE(SUBSTITUTE(SUBSTITUTE(SUBSTITUTE(SUBSTITUTE(SUBSTITUTE(SUBSTITUTE(SUBSTITUTE(SUBSTITUTE(SUBSTITUTE(SUBSTITUTE(SUBSTITUTE(SUBSTITUTE(UPPER(TRIM(A265)),"Á","A"),"À","A"),"Â","A"),"Ã","A"),"É","E"),"Ê","E"),"Í","I"),"Ó","O"),"Ô","O"),"Õ","O"),"Ú","U"),"Ü","U"),"Ç","C"))</f>
        <v/>
      </c>
      <c r="C265" s="43"/>
      <c r="D265" s="23"/>
      <c r="E265" s="23"/>
      <c r="F265" s="11"/>
      <c r="G265" s="35"/>
      <c r="H265" s="23"/>
      <c r="I265" s="24"/>
      <c r="J265" s="31" t="str">
        <f aca="false">IF(I265="","",UPPER(SUBSTITUTE(SUBSTITUTE(SUBSTITUTE(SUBSTITUTE(SUBSTITUTE(TRIM(I265),".",""),"/",""),"-",""),"*","")," ","")))</f>
        <v/>
      </c>
      <c r="K265" s="31" t="str">
        <f aca="false">IF(OR(H265="",J265=""),"",IF(LEN(J265)&gt;=13,IF(LEN(J265)=13,"0"&amp;J265,J265),SUBSTITUTE(SUBSTITUTE(SUBSTITUTE(SUBSTITUTE(SUBSTITUTE(SUBSTITUTE(SUBSTITUTE(SUBSTITUTE(SUBSTITUTE(SUBSTITUTE(SUBSTITUTE(SUBSTITUTE(SUBSTITUTE(UPPER(TRIM(H265)),"Á","A"),"À","A"),"Â","A"),"Ã","A"),"É","E"),"Ê","E"),"Í","I"),"Ó","O"),"Ô","O"),"Õ","O"),"Ú","U"),"Ü","U"),"Ç","C")&amp;"|"&amp;IF(LEN(J265)=11,MID(J265,4,6),J265)))</f>
        <v/>
      </c>
      <c r="L265" s="25" t="str">
        <f aca="false">IF(K265="","",IF(E265="Doação recebida",TRIM(IF(COUNTIF(Socios!$H:$H,K265)&gt;0,"Doador é sócio de empresa da pauta. ","")&amp;IF(COUNTIF(Pessoas!$E:$E,K265)&gt;0,"Doador está em Pessoas.","")),IF(E265="Despesa com fornecedor",IF(COUNTIF(Contratos!$D:$D,K265)&gt;0,"Fornecedor também tem contrato público",""),"")))</f>
        <v/>
      </c>
      <c r="M265" s="24"/>
      <c r="N265" s="11"/>
    </row>
    <row r="266" customFormat="false" ht="15" hidden="false" customHeight="false" outlineLevel="0" collapsed="false">
      <c r="A266" s="23"/>
      <c r="B266" s="31" t="str">
        <f aca="false">IF(A266="","",SUBSTITUTE(SUBSTITUTE(SUBSTITUTE(SUBSTITUTE(SUBSTITUTE(SUBSTITUTE(SUBSTITUTE(SUBSTITUTE(SUBSTITUTE(SUBSTITUTE(SUBSTITUTE(SUBSTITUTE(SUBSTITUTE(UPPER(TRIM(A266)),"Á","A"),"À","A"),"Â","A"),"Ã","A"),"É","E"),"Ê","E"),"Í","I"),"Ó","O"),"Ô","O"),"Õ","O"),"Ú","U"),"Ü","U"),"Ç","C"))</f>
        <v/>
      </c>
      <c r="C266" s="43"/>
      <c r="D266" s="23"/>
      <c r="E266" s="23"/>
      <c r="F266" s="11"/>
      <c r="G266" s="35"/>
      <c r="H266" s="23"/>
      <c r="I266" s="24"/>
      <c r="J266" s="31" t="str">
        <f aca="false">IF(I266="","",UPPER(SUBSTITUTE(SUBSTITUTE(SUBSTITUTE(SUBSTITUTE(SUBSTITUTE(TRIM(I266),".",""),"/",""),"-",""),"*","")," ","")))</f>
        <v/>
      </c>
      <c r="K266" s="31" t="str">
        <f aca="false">IF(OR(H266="",J266=""),"",IF(LEN(J266)&gt;=13,IF(LEN(J266)=13,"0"&amp;J266,J266),SUBSTITUTE(SUBSTITUTE(SUBSTITUTE(SUBSTITUTE(SUBSTITUTE(SUBSTITUTE(SUBSTITUTE(SUBSTITUTE(SUBSTITUTE(SUBSTITUTE(SUBSTITUTE(SUBSTITUTE(SUBSTITUTE(UPPER(TRIM(H266)),"Á","A"),"À","A"),"Â","A"),"Ã","A"),"É","E"),"Ê","E"),"Í","I"),"Ó","O"),"Ô","O"),"Õ","O"),"Ú","U"),"Ü","U"),"Ç","C")&amp;"|"&amp;IF(LEN(J266)=11,MID(J266,4,6),J266)))</f>
        <v/>
      </c>
      <c r="L266" s="25" t="str">
        <f aca="false">IF(K266="","",IF(E266="Doação recebida",TRIM(IF(COUNTIF(Socios!$H:$H,K266)&gt;0,"Doador é sócio de empresa da pauta. ","")&amp;IF(COUNTIF(Pessoas!$E:$E,K266)&gt;0,"Doador está em Pessoas.","")),IF(E266="Despesa com fornecedor",IF(COUNTIF(Contratos!$D:$D,K266)&gt;0,"Fornecedor também tem contrato público",""),"")))</f>
        <v/>
      </c>
      <c r="M266" s="24"/>
      <c r="N266" s="11"/>
    </row>
    <row r="267" customFormat="false" ht="15" hidden="false" customHeight="false" outlineLevel="0" collapsed="false">
      <c r="A267" s="23"/>
      <c r="B267" s="31" t="str">
        <f aca="false">IF(A267="","",SUBSTITUTE(SUBSTITUTE(SUBSTITUTE(SUBSTITUTE(SUBSTITUTE(SUBSTITUTE(SUBSTITUTE(SUBSTITUTE(SUBSTITUTE(SUBSTITUTE(SUBSTITUTE(SUBSTITUTE(SUBSTITUTE(UPPER(TRIM(A267)),"Á","A"),"À","A"),"Â","A"),"Ã","A"),"É","E"),"Ê","E"),"Í","I"),"Ó","O"),"Ô","O"),"Õ","O"),"Ú","U"),"Ü","U"),"Ç","C"))</f>
        <v/>
      </c>
      <c r="C267" s="43"/>
      <c r="D267" s="23"/>
      <c r="E267" s="23"/>
      <c r="F267" s="11"/>
      <c r="G267" s="35"/>
      <c r="H267" s="23"/>
      <c r="I267" s="24"/>
      <c r="J267" s="31" t="str">
        <f aca="false">IF(I267="","",UPPER(SUBSTITUTE(SUBSTITUTE(SUBSTITUTE(SUBSTITUTE(SUBSTITUTE(TRIM(I267),".",""),"/",""),"-",""),"*","")," ","")))</f>
        <v/>
      </c>
      <c r="K267" s="31" t="str">
        <f aca="false">IF(OR(H267="",J267=""),"",IF(LEN(J267)&gt;=13,IF(LEN(J267)=13,"0"&amp;J267,J267),SUBSTITUTE(SUBSTITUTE(SUBSTITUTE(SUBSTITUTE(SUBSTITUTE(SUBSTITUTE(SUBSTITUTE(SUBSTITUTE(SUBSTITUTE(SUBSTITUTE(SUBSTITUTE(SUBSTITUTE(SUBSTITUTE(UPPER(TRIM(H267)),"Á","A"),"À","A"),"Â","A"),"Ã","A"),"É","E"),"Ê","E"),"Í","I"),"Ó","O"),"Ô","O"),"Õ","O"),"Ú","U"),"Ü","U"),"Ç","C")&amp;"|"&amp;IF(LEN(J267)=11,MID(J267,4,6),J267)))</f>
        <v/>
      </c>
      <c r="L267" s="25" t="str">
        <f aca="false">IF(K267="","",IF(E267="Doação recebida",TRIM(IF(COUNTIF(Socios!$H:$H,K267)&gt;0,"Doador é sócio de empresa da pauta. ","")&amp;IF(COUNTIF(Pessoas!$E:$E,K267)&gt;0,"Doador está em Pessoas.","")),IF(E267="Despesa com fornecedor",IF(COUNTIF(Contratos!$D:$D,K267)&gt;0,"Fornecedor também tem contrato público",""),"")))</f>
        <v/>
      </c>
      <c r="M267" s="24"/>
      <c r="N267" s="11"/>
    </row>
    <row r="268" customFormat="false" ht="15" hidden="false" customHeight="false" outlineLevel="0" collapsed="false">
      <c r="A268" s="23"/>
      <c r="B268" s="31" t="str">
        <f aca="false">IF(A268="","",SUBSTITUTE(SUBSTITUTE(SUBSTITUTE(SUBSTITUTE(SUBSTITUTE(SUBSTITUTE(SUBSTITUTE(SUBSTITUTE(SUBSTITUTE(SUBSTITUTE(SUBSTITUTE(SUBSTITUTE(SUBSTITUTE(UPPER(TRIM(A268)),"Á","A"),"À","A"),"Â","A"),"Ã","A"),"É","E"),"Ê","E"),"Í","I"),"Ó","O"),"Ô","O"),"Õ","O"),"Ú","U"),"Ü","U"),"Ç","C"))</f>
        <v/>
      </c>
      <c r="C268" s="43"/>
      <c r="D268" s="23"/>
      <c r="E268" s="23"/>
      <c r="F268" s="11"/>
      <c r="G268" s="35"/>
      <c r="H268" s="23"/>
      <c r="I268" s="24"/>
      <c r="J268" s="31" t="str">
        <f aca="false">IF(I268="","",UPPER(SUBSTITUTE(SUBSTITUTE(SUBSTITUTE(SUBSTITUTE(SUBSTITUTE(TRIM(I268),".",""),"/",""),"-",""),"*","")," ","")))</f>
        <v/>
      </c>
      <c r="K268" s="31" t="str">
        <f aca="false">IF(OR(H268="",J268=""),"",IF(LEN(J268)&gt;=13,IF(LEN(J268)=13,"0"&amp;J268,J268),SUBSTITUTE(SUBSTITUTE(SUBSTITUTE(SUBSTITUTE(SUBSTITUTE(SUBSTITUTE(SUBSTITUTE(SUBSTITUTE(SUBSTITUTE(SUBSTITUTE(SUBSTITUTE(SUBSTITUTE(SUBSTITUTE(UPPER(TRIM(H268)),"Á","A"),"À","A"),"Â","A"),"Ã","A"),"É","E"),"Ê","E"),"Í","I"),"Ó","O"),"Ô","O"),"Õ","O"),"Ú","U"),"Ü","U"),"Ç","C")&amp;"|"&amp;IF(LEN(J268)=11,MID(J268,4,6),J268)))</f>
        <v/>
      </c>
      <c r="L268" s="25" t="str">
        <f aca="false">IF(K268="","",IF(E268="Doação recebida",TRIM(IF(COUNTIF(Socios!$H:$H,K268)&gt;0,"Doador é sócio de empresa da pauta. ","")&amp;IF(COUNTIF(Pessoas!$E:$E,K268)&gt;0,"Doador está em Pessoas.","")),IF(E268="Despesa com fornecedor",IF(COUNTIF(Contratos!$D:$D,K268)&gt;0,"Fornecedor também tem contrato público",""),"")))</f>
        <v/>
      </c>
      <c r="M268" s="24"/>
      <c r="N268" s="11"/>
    </row>
    <row r="269" customFormat="false" ht="15" hidden="false" customHeight="false" outlineLevel="0" collapsed="false">
      <c r="A269" s="23"/>
      <c r="B269" s="31" t="str">
        <f aca="false">IF(A269="","",SUBSTITUTE(SUBSTITUTE(SUBSTITUTE(SUBSTITUTE(SUBSTITUTE(SUBSTITUTE(SUBSTITUTE(SUBSTITUTE(SUBSTITUTE(SUBSTITUTE(SUBSTITUTE(SUBSTITUTE(SUBSTITUTE(UPPER(TRIM(A269)),"Á","A"),"À","A"),"Â","A"),"Ã","A"),"É","E"),"Ê","E"),"Í","I"),"Ó","O"),"Ô","O"),"Õ","O"),"Ú","U"),"Ü","U"),"Ç","C"))</f>
        <v/>
      </c>
      <c r="C269" s="43"/>
      <c r="D269" s="23"/>
      <c r="E269" s="23"/>
      <c r="F269" s="11"/>
      <c r="G269" s="35"/>
      <c r="H269" s="23"/>
      <c r="I269" s="24"/>
      <c r="J269" s="31" t="str">
        <f aca="false">IF(I269="","",UPPER(SUBSTITUTE(SUBSTITUTE(SUBSTITUTE(SUBSTITUTE(SUBSTITUTE(TRIM(I269),".",""),"/",""),"-",""),"*","")," ","")))</f>
        <v/>
      </c>
      <c r="K269" s="31" t="str">
        <f aca="false">IF(OR(H269="",J269=""),"",IF(LEN(J269)&gt;=13,IF(LEN(J269)=13,"0"&amp;J269,J269),SUBSTITUTE(SUBSTITUTE(SUBSTITUTE(SUBSTITUTE(SUBSTITUTE(SUBSTITUTE(SUBSTITUTE(SUBSTITUTE(SUBSTITUTE(SUBSTITUTE(SUBSTITUTE(SUBSTITUTE(SUBSTITUTE(UPPER(TRIM(H269)),"Á","A"),"À","A"),"Â","A"),"Ã","A"),"É","E"),"Ê","E"),"Í","I"),"Ó","O"),"Ô","O"),"Õ","O"),"Ú","U"),"Ü","U"),"Ç","C")&amp;"|"&amp;IF(LEN(J269)=11,MID(J269,4,6),J269)))</f>
        <v/>
      </c>
      <c r="L269" s="25" t="str">
        <f aca="false">IF(K269="","",IF(E269="Doação recebida",TRIM(IF(COUNTIF(Socios!$H:$H,K269)&gt;0,"Doador é sócio de empresa da pauta. ","")&amp;IF(COUNTIF(Pessoas!$E:$E,K269)&gt;0,"Doador está em Pessoas.","")),IF(E269="Despesa com fornecedor",IF(COUNTIF(Contratos!$D:$D,K269)&gt;0,"Fornecedor também tem contrato público",""),"")))</f>
        <v/>
      </c>
      <c r="M269" s="24"/>
      <c r="N269" s="11"/>
    </row>
    <row r="270" customFormat="false" ht="15" hidden="false" customHeight="false" outlineLevel="0" collapsed="false">
      <c r="A270" s="23"/>
      <c r="B270" s="31" t="str">
        <f aca="false">IF(A270="","",SUBSTITUTE(SUBSTITUTE(SUBSTITUTE(SUBSTITUTE(SUBSTITUTE(SUBSTITUTE(SUBSTITUTE(SUBSTITUTE(SUBSTITUTE(SUBSTITUTE(SUBSTITUTE(SUBSTITUTE(SUBSTITUTE(UPPER(TRIM(A270)),"Á","A"),"À","A"),"Â","A"),"Ã","A"),"É","E"),"Ê","E"),"Í","I"),"Ó","O"),"Ô","O"),"Õ","O"),"Ú","U"),"Ü","U"),"Ç","C"))</f>
        <v/>
      </c>
      <c r="C270" s="43"/>
      <c r="D270" s="23"/>
      <c r="E270" s="23"/>
      <c r="F270" s="11"/>
      <c r="G270" s="35"/>
      <c r="H270" s="23"/>
      <c r="I270" s="24"/>
      <c r="J270" s="31" t="str">
        <f aca="false">IF(I270="","",UPPER(SUBSTITUTE(SUBSTITUTE(SUBSTITUTE(SUBSTITUTE(SUBSTITUTE(TRIM(I270),".",""),"/",""),"-",""),"*","")," ","")))</f>
        <v/>
      </c>
      <c r="K270" s="31" t="str">
        <f aca="false">IF(OR(H270="",J270=""),"",IF(LEN(J270)&gt;=13,IF(LEN(J270)=13,"0"&amp;J270,J270),SUBSTITUTE(SUBSTITUTE(SUBSTITUTE(SUBSTITUTE(SUBSTITUTE(SUBSTITUTE(SUBSTITUTE(SUBSTITUTE(SUBSTITUTE(SUBSTITUTE(SUBSTITUTE(SUBSTITUTE(SUBSTITUTE(UPPER(TRIM(H270)),"Á","A"),"À","A"),"Â","A"),"Ã","A"),"É","E"),"Ê","E"),"Í","I"),"Ó","O"),"Ô","O"),"Õ","O"),"Ú","U"),"Ü","U"),"Ç","C")&amp;"|"&amp;IF(LEN(J270)=11,MID(J270,4,6),J270)))</f>
        <v/>
      </c>
      <c r="L270" s="25" t="str">
        <f aca="false">IF(K270="","",IF(E270="Doação recebida",TRIM(IF(COUNTIF(Socios!$H:$H,K270)&gt;0,"Doador é sócio de empresa da pauta. ","")&amp;IF(COUNTIF(Pessoas!$E:$E,K270)&gt;0,"Doador está em Pessoas.","")),IF(E270="Despesa com fornecedor",IF(COUNTIF(Contratos!$D:$D,K270)&gt;0,"Fornecedor também tem contrato público",""),"")))</f>
        <v/>
      </c>
      <c r="M270" s="24"/>
      <c r="N270" s="11"/>
    </row>
    <row r="271" customFormat="false" ht="15" hidden="false" customHeight="false" outlineLevel="0" collapsed="false">
      <c r="A271" s="23"/>
      <c r="B271" s="31" t="str">
        <f aca="false">IF(A271="","",SUBSTITUTE(SUBSTITUTE(SUBSTITUTE(SUBSTITUTE(SUBSTITUTE(SUBSTITUTE(SUBSTITUTE(SUBSTITUTE(SUBSTITUTE(SUBSTITUTE(SUBSTITUTE(SUBSTITUTE(SUBSTITUTE(UPPER(TRIM(A271)),"Á","A"),"À","A"),"Â","A"),"Ã","A"),"É","E"),"Ê","E"),"Í","I"),"Ó","O"),"Ô","O"),"Õ","O"),"Ú","U"),"Ü","U"),"Ç","C"))</f>
        <v/>
      </c>
      <c r="C271" s="43"/>
      <c r="D271" s="23"/>
      <c r="E271" s="23"/>
      <c r="F271" s="11"/>
      <c r="G271" s="35"/>
      <c r="H271" s="23"/>
      <c r="I271" s="24"/>
      <c r="J271" s="31" t="str">
        <f aca="false">IF(I271="","",UPPER(SUBSTITUTE(SUBSTITUTE(SUBSTITUTE(SUBSTITUTE(SUBSTITUTE(TRIM(I271),".",""),"/",""),"-",""),"*","")," ","")))</f>
        <v/>
      </c>
      <c r="K271" s="31" t="str">
        <f aca="false">IF(OR(H271="",J271=""),"",IF(LEN(J271)&gt;=13,IF(LEN(J271)=13,"0"&amp;J271,J271),SUBSTITUTE(SUBSTITUTE(SUBSTITUTE(SUBSTITUTE(SUBSTITUTE(SUBSTITUTE(SUBSTITUTE(SUBSTITUTE(SUBSTITUTE(SUBSTITUTE(SUBSTITUTE(SUBSTITUTE(SUBSTITUTE(UPPER(TRIM(H271)),"Á","A"),"À","A"),"Â","A"),"Ã","A"),"É","E"),"Ê","E"),"Í","I"),"Ó","O"),"Ô","O"),"Õ","O"),"Ú","U"),"Ü","U"),"Ç","C")&amp;"|"&amp;IF(LEN(J271)=11,MID(J271,4,6),J271)))</f>
        <v/>
      </c>
      <c r="L271" s="25" t="str">
        <f aca="false">IF(K271="","",IF(E271="Doação recebida",TRIM(IF(COUNTIF(Socios!$H:$H,K271)&gt;0,"Doador é sócio de empresa da pauta. ","")&amp;IF(COUNTIF(Pessoas!$E:$E,K271)&gt;0,"Doador está em Pessoas.","")),IF(E271="Despesa com fornecedor",IF(COUNTIF(Contratos!$D:$D,K271)&gt;0,"Fornecedor também tem contrato público",""),"")))</f>
        <v/>
      </c>
      <c r="M271" s="24"/>
      <c r="N271" s="11"/>
    </row>
    <row r="272" customFormat="false" ht="15" hidden="false" customHeight="false" outlineLevel="0" collapsed="false">
      <c r="A272" s="23"/>
      <c r="B272" s="31" t="str">
        <f aca="false">IF(A272="","",SUBSTITUTE(SUBSTITUTE(SUBSTITUTE(SUBSTITUTE(SUBSTITUTE(SUBSTITUTE(SUBSTITUTE(SUBSTITUTE(SUBSTITUTE(SUBSTITUTE(SUBSTITUTE(SUBSTITUTE(SUBSTITUTE(UPPER(TRIM(A272)),"Á","A"),"À","A"),"Â","A"),"Ã","A"),"É","E"),"Ê","E"),"Í","I"),"Ó","O"),"Ô","O"),"Õ","O"),"Ú","U"),"Ü","U"),"Ç","C"))</f>
        <v/>
      </c>
      <c r="C272" s="43"/>
      <c r="D272" s="23"/>
      <c r="E272" s="23"/>
      <c r="F272" s="11"/>
      <c r="G272" s="35"/>
      <c r="H272" s="23"/>
      <c r="I272" s="24"/>
      <c r="J272" s="31" t="str">
        <f aca="false">IF(I272="","",UPPER(SUBSTITUTE(SUBSTITUTE(SUBSTITUTE(SUBSTITUTE(SUBSTITUTE(TRIM(I272),".",""),"/",""),"-",""),"*","")," ","")))</f>
        <v/>
      </c>
      <c r="K272" s="31" t="str">
        <f aca="false">IF(OR(H272="",J272=""),"",IF(LEN(J272)&gt;=13,IF(LEN(J272)=13,"0"&amp;J272,J272),SUBSTITUTE(SUBSTITUTE(SUBSTITUTE(SUBSTITUTE(SUBSTITUTE(SUBSTITUTE(SUBSTITUTE(SUBSTITUTE(SUBSTITUTE(SUBSTITUTE(SUBSTITUTE(SUBSTITUTE(SUBSTITUTE(UPPER(TRIM(H272)),"Á","A"),"À","A"),"Â","A"),"Ã","A"),"É","E"),"Ê","E"),"Í","I"),"Ó","O"),"Ô","O"),"Õ","O"),"Ú","U"),"Ü","U"),"Ç","C")&amp;"|"&amp;IF(LEN(J272)=11,MID(J272,4,6),J272)))</f>
        <v/>
      </c>
      <c r="L272" s="25" t="str">
        <f aca="false">IF(K272="","",IF(E272="Doação recebida",TRIM(IF(COUNTIF(Socios!$H:$H,K272)&gt;0,"Doador é sócio de empresa da pauta. ","")&amp;IF(COUNTIF(Pessoas!$E:$E,K272)&gt;0,"Doador está em Pessoas.","")),IF(E272="Despesa com fornecedor",IF(COUNTIF(Contratos!$D:$D,K272)&gt;0,"Fornecedor também tem contrato público",""),"")))</f>
        <v/>
      </c>
      <c r="M272" s="24"/>
      <c r="N272" s="11"/>
    </row>
    <row r="273" customFormat="false" ht="15" hidden="false" customHeight="false" outlineLevel="0" collapsed="false">
      <c r="A273" s="23"/>
      <c r="B273" s="31" t="str">
        <f aca="false">IF(A273="","",SUBSTITUTE(SUBSTITUTE(SUBSTITUTE(SUBSTITUTE(SUBSTITUTE(SUBSTITUTE(SUBSTITUTE(SUBSTITUTE(SUBSTITUTE(SUBSTITUTE(SUBSTITUTE(SUBSTITUTE(SUBSTITUTE(UPPER(TRIM(A273)),"Á","A"),"À","A"),"Â","A"),"Ã","A"),"É","E"),"Ê","E"),"Í","I"),"Ó","O"),"Ô","O"),"Õ","O"),"Ú","U"),"Ü","U"),"Ç","C"))</f>
        <v/>
      </c>
      <c r="C273" s="43"/>
      <c r="D273" s="23"/>
      <c r="E273" s="23"/>
      <c r="F273" s="11"/>
      <c r="G273" s="35"/>
      <c r="H273" s="23"/>
      <c r="I273" s="24"/>
      <c r="J273" s="31" t="str">
        <f aca="false">IF(I273="","",UPPER(SUBSTITUTE(SUBSTITUTE(SUBSTITUTE(SUBSTITUTE(SUBSTITUTE(TRIM(I273),".",""),"/",""),"-",""),"*","")," ","")))</f>
        <v/>
      </c>
      <c r="K273" s="31" t="str">
        <f aca="false">IF(OR(H273="",J273=""),"",IF(LEN(J273)&gt;=13,IF(LEN(J273)=13,"0"&amp;J273,J273),SUBSTITUTE(SUBSTITUTE(SUBSTITUTE(SUBSTITUTE(SUBSTITUTE(SUBSTITUTE(SUBSTITUTE(SUBSTITUTE(SUBSTITUTE(SUBSTITUTE(SUBSTITUTE(SUBSTITUTE(SUBSTITUTE(UPPER(TRIM(H273)),"Á","A"),"À","A"),"Â","A"),"Ã","A"),"É","E"),"Ê","E"),"Í","I"),"Ó","O"),"Ô","O"),"Õ","O"),"Ú","U"),"Ü","U"),"Ç","C")&amp;"|"&amp;IF(LEN(J273)=11,MID(J273,4,6),J273)))</f>
        <v/>
      </c>
      <c r="L273" s="25" t="str">
        <f aca="false">IF(K273="","",IF(E273="Doação recebida",TRIM(IF(COUNTIF(Socios!$H:$H,K273)&gt;0,"Doador é sócio de empresa da pauta. ","")&amp;IF(COUNTIF(Pessoas!$E:$E,K273)&gt;0,"Doador está em Pessoas.","")),IF(E273="Despesa com fornecedor",IF(COUNTIF(Contratos!$D:$D,K273)&gt;0,"Fornecedor também tem contrato público",""),"")))</f>
        <v/>
      </c>
      <c r="M273" s="24"/>
      <c r="N273" s="11"/>
    </row>
    <row r="274" customFormat="false" ht="15" hidden="false" customHeight="false" outlineLevel="0" collapsed="false">
      <c r="A274" s="23"/>
      <c r="B274" s="31" t="str">
        <f aca="false">IF(A274="","",SUBSTITUTE(SUBSTITUTE(SUBSTITUTE(SUBSTITUTE(SUBSTITUTE(SUBSTITUTE(SUBSTITUTE(SUBSTITUTE(SUBSTITUTE(SUBSTITUTE(SUBSTITUTE(SUBSTITUTE(SUBSTITUTE(UPPER(TRIM(A274)),"Á","A"),"À","A"),"Â","A"),"Ã","A"),"É","E"),"Ê","E"),"Í","I"),"Ó","O"),"Ô","O"),"Õ","O"),"Ú","U"),"Ü","U"),"Ç","C"))</f>
        <v/>
      </c>
      <c r="C274" s="43"/>
      <c r="D274" s="23"/>
      <c r="E274" s="23"/>
      <c r="F274" s="11"/>
      <c r="G274" s="35"/>
      <c r="H274" s="23"/>
      <c r="I274" s="24"/>
      <c r="J274" s="31" t="str">
        <f aca="false">IF(I274="","",UPPER(SUBSTITUTE(SUBSTITUTE(SUBSTITUTE(SUBSTITUTE(SUBSTITUTE(TRIM(I274),".",""),"/",""),"-",""),"*","")," ","")))</f>
        <v/>
      </c>
      <c r="K274" s="31" t="str">
        <f aca="false">IF(OR(H274="",J274=""),"",IF(LEN(J274)&gt;=13,IF(LEN(J274)=13,"0"&amp;J274,J274),SUBSTITUTE(SUBSTITUTE(SUBSTITUTE(SUBSTITUTE(SUBSTITUTE(SUBSTITUTE(SUBSTITUTE(SUBSTITUTE(SUBSTITUTE(SUBSTITUTE(SUBSTITUTE(SUBSTITUTE(SUBSTITUTE(UPPER(TRIM(H274)),"Á","A"),"À","A"),"Â","A"),"Ã","A"),"É","E"),"Ê","E"),"Í","I"),"Ó","O"),"Ô","O"),"Õ","O"),"Ú","U"),"Ü","U"),"Ç","C")&amp;"|"&amp;IF(LEN(J274)=11,MID(J274,4,6),J274)))</f>
        <v/>
      </c>
      <c r="L274" s="25" t="str">
        <f aca="false">IF(K274="","",IF(E274="Doação recebida",TRIM(IF(COUNTIF(Socios!$H:$H,K274)&gt;0,"Doador é sócio de empresa da pauta. ","")&amp;IF(COUNTIF(Pessoas!$E:$E,K274)&gt;0,"Doador está em Pessoas.","")),IF(E274="Despesa com fornecedor",IF(COUNTIF(Contratos!$D:$D,K274)&gt;0,"Fornecedor também tem contrato público",""),"")))</f>
        <v/>
      </c>
      <c r="M274" s="24"/>
      <c r="N274" s="11"/>
    </row>
    <row r="275" customFormat="false" ht="15" hidden="false" customHeight="false" outlineLevel="0" collapsed="false">
      <c r="A275" s="23"/>
      <c r="B275" s="31" t="str">
        <f aca="false">IF(A275="","",SUBSTITUTE(SUBSTITUTE(SUBSTITUTE(SUBSTITUTE(SUBSTITUTE(SUBSTITUTE(SUBSTITUTE(SUBSTITUTE(SUBSTITUTE(SUBSTITUTE(SUBSTITUTE(SUBSTITUTE(SUBSTITUTE(UPPER(TRIM(A275)),"Á","A"),"À","A"),"Â","A"),"Ã","A"),"É","E"),"Ê","E"),"Í","I"),"Ó","O"),"Ô","O"),"Õ","O"),"Ú","U"),"Ü","U"),"Ç","C"))</f>
        <v/>
      </c>
      <c r="C275" s="43"/>
      <c r="D275" s="23"/>
      <c r="E275" s="23"/>
      <c r="F275" s="11"/>
      <c r="G275" s="35"/>
      <c r="H275" s="23"/>
      <c r="I275" s="24"/>
      <c r="J275" s="31" t="str">
        <f aca="false">IF(I275="","",UPPER(SUBSTITUTE(SUBSTITUTE(SUBSTITUTE(SUBSTITUTE(SUBSTITUTE(TRIM(I275),".",""),"/",""),"-",""),"*","")," ","")))</f>
        <v/>
      </c>
      <c r="K275" s="31" t="str">
        <f aca="false">IF(OR(H275="",J275=""),"",IF(LEN(J275)&gt;=13,IF(LEN(J275)=13,"0"&amp;J275,J275),SUBSTITUTE(SUBSTITUTE(SUBSTITUTE(SUBSTITUTE(SUBSTITUTE(SUBSTITUTE(SUBSTITUTE(SUBSTITUTE(SUBSTITUTE(SUBSTITUTE(SUBSTITUTE(SUBSTITUTE(SUBSTITUTE(UPPER(TRIM(H275)),"Á","A"),"À","A"),"Â","A"),"Ã","A"),"É","E"),"Ê","E"),"Í","I"),"Ó","O"),"Ô","O"),"Õ","O"),"Ú","U"),"Ü","U"),"Ç","C")&amp;"|"&amp;IF(LEN(J275)=11,MID(J275,4,6),J275)))</f>
        <v/>
      </c>
      <c r="L275" s="25" t="str">
        <f aca="false">IF(K275="","",IF(E275="Doação recebida",TRIM(IF(COUNTIF(Socios!$H:$H,K275)&gt;0,"Doador é sócio de empresa da pauta. ","")&amp;IF(COUNTIF(Pessoas!$E:$E,K275)&gt;0,"Doador está em Pessoas.","")),IF(E275="Despesa com fornecedor",IF(COUNTIF(Contratos!$D:$D,K275)&gt;0,"Fornecedor também tem contrato público",""),"")))</f>
        <v/>
      </c>
      <c r="M275" s="24"/>
      <c r="N275" s="11"/>
    </row>
    <row r="276" customFormat="false" ht="15" hidden="false" customHeight="false" outlineLevel="0" collapsed="false">
      <c r="A276" s="23"/>
      <c r="B276" s="31" t="str">
        <f aca="false">IF(A276="","",SUBSTITUTE(SUBSTITUTE(SUBSTITUTE(SUBSTITUTE(SUBSTITUTE(SUBSTITUTE(SUBSTITUTE(SUBSTITUTE(SUBSTITUTE(SUBSTITUTE(SUBSTITUTE(SUBSTITUTE(SUBSTITUTE(UPPER(TRIM(A276)),"Á","A"),"À","A"),"Â","A"),"Ã","A"),"É","E"),"Ê","E"),"Í","I"),"Ó","O"),"Ô","O"),"Õ","O"),"Ú","U"),"Ü","U"),"Ç","C"))</f>
        <v/>
      </c>
      <c r="C276" s="43"/>
      <c r="D276" s="23"/>
      <c r="E276" s="23"/>
      <c r="F276" s="11"/>
      <c r="G276" s="35"/>
      <c r="H276" s="23"/>
      <c r="I276" s="24"/>
      <c r="J276" s="31" t="str">
        <f aca="false">IF(I276="","",UPPER(SUBSTITUTE(SUBSTITUTE(SUBSTITUTE(SUBSTITUTE(SUBSTITUTE(TRIM(I276),".",""),"/",""),"-",""),"*","")," ","")))</f>
        <v/>
      </c>
      <c r="K276" s="31" t="str">
        <f aca="false">IF(OR(H276="",J276=""),"",IF(LEN(J276)&gt;=13,IF(LEN(J276)=13,"0"&amp;J276,J276),SUBSTITUTE(SUBSTITUTE(SUBSTITUTE(SUBSTITUTE(SUBSTITUTE(SUBSTITUTE(SUBSTITUTE(SUBSTITUTE(SUBSTITUTE(SUBSTITUTE(SUBSTITUTE(SUBSTITUTE(SUBSTITUTE(UPPER(TRIM(H276)),"Á","A"),"À","A"),"Â","A"),"Ã","A"),"É","E"),"Ê","E"),"Í","I"),"Ó","O"),"Ô","O"),"Õ","O"),"Ú","U"),"Ü","U"),"Ç","C")&amp;"|"&amp;IF(LEN(J276)=11,MID(J276,4,6),J276)))</f>
        <v/>
      </c>
      <c r="L276" s="25" t="str">
        <f aca="false">IF(K276="","",IF(E276="Doação recebida",TRIM(IF(COUNTIF(Socios!$H:$H,K276)&gt;0,"Doador é sócio de empresa da pauta. ","")&amp;IF(COUNTIF(Pessoas!$E:$E,K276)&gt;0,"Doador está em Pessoas.","")),IF(E276="Despesa com fornecedor",IF(COUNTIF(Contratos!$D:$D,K276)&gt;0,"Fornecedor também tem contrato público",""),"")))</f>
        <v/>
      </c>
      <c r="M276" s="24"/>
      <c r="N276" s="11"/>
    </row>
    <row r="277" customFormat="false" ht="15" hidden="false" customHeight="false" outlineLevel="0" collapsed="false">
      <c r="A277" s="23"/>
      <c r="B277" s="31" t="str">
        <f aca="false">IF(A277="","",SUBSTITUTE(SUBSTITUTE(SUBSTITUTE(SUBSTITUTE(SUBSTITUTE(SUBSTITUTE(SUBSTITUTE(SUBSTITUTE(SUBSTITUTE(SUBSTITUTE(SUBSTITUTE(SUBSTITUTE(SUBSTITUTE(UPPER(TRIM(A277)),"Á","A"),"À","A"),"Â","A"),"Ã","A"),"É","E"),"Ê","E"),"Í","I"),"Ó","O"),"Ô","O"),"Õ","O"),"Ú","U"),"Ü","U"),"Ç","C"))</f>
        <v/>
      </c>
      <c r="C277" s="43"/>
      <c r="D277" s="23"/>
      <c r="E277" s="23"/>
      <c r="F277" s="11"/>
      <c r="G277" s="35"/>
      <c r="H277" s="23"/>
      <c r="I277" s="24"/>
      <c r="J277" s="31" t="str">
        <f aca="false">IF(I277="","",UPPER(SUBSTITUTE(SUBSTITUTE(SUBSTITUTE(SUBSTITUTE(SUBSTITUTE(TRIM(I277),".",""),"/",""),"-",""),"*","")," ","")))</f>
        <v/>
      </c>
      <c r="K277" s="31" t="str">
        <f aca="false">IF(OR(H277="",J277=""),"",IF(LEN(J277)&gt;=13,IF(LEN(J277)=13,"0"&amp;J277,J277),SUBSTITUTE(SUBSTITUTE(SUBSTITUTE(SUBSTITUTE(SUBSTITUTE(SUBSTITUTE(SUBSTITUTE(SUBSTITUTE(SUBSTITUTE(SUBSTITUTE(SUBSTITUTE(SUBSTITUTE(SUBSTITUTE(UPPER(TRIM(H277)),"Á","A"),"À","A"),"Â","A"),"Ã","A"),"É","E"),"Ê","E"),"Í","I"),"Ó","O"),"Ô","O"),"Õ","O"),"Ú","U"),"Ü","U"),"Ç","C")&amp;"|"&amp;IF(LEN(J277)=11,MID(J277,4,6),J277)))</f>
        <v/>
      </c>
      <c r="L277" s="25" t="str">
        <f aca="false">IF(K277="","",IF(E277="Doação recebida",TRIM(IF(COUNTIF(Socios!$H:$H,K277)&gt;0,"Doador é sócio de empresa da pauta. ","")&amp;IF(COUNTIF(Pessoas!$E:$E,K277)&gt;0,"Doador está em Pessoas.","")),IF(E277="Despesa com fornecedor",IF(COUNTIF(Contratos!$D:$D,K277)&gt;0,"Fornecedor também tem contrato público",""),"")))</f>
        <v/>
      </c>
      <c r="M277" s="24"/>
      <c r="N277" s="11"/>
    </row>
    <row r="278" customFormat="false" ht="15" hidden="false" customHeight="false" outlineLevel="0" collapsed="false">
      <c r="A278" s="23"/>
      <c r="B278" s="31" t="str">
        <f aca="false">IF(A278="","",SUBSTITUTE(SUBSTITUTE(SUBSTITUTE(SUBSTITUTE(SUBSTITUTE(SUBSTITUTE(SUBSTITUTE(SUBSTITUTE(SUBSTITUTE(SUBSTITUTE(SUBSTITUTE(SUBSTITUTE(SUBSTITUTE(UPPER(TRIM(A278)),"Á","A"),"À","A"),"Â","A"),"Ã","A"),"É","E"),"Ê","E"),"Í","I"),"Ó","O"),"Ô","O"),"Õ","O"),"Ú","U"),"Ü","U"),"Ç","C"))</f>
        <v/>
      </c>
      <c r="C278" s="43"/>
      <c r="D278" s="23"/>
      <c r="E278" s="23"/>
      <c r="F278" s="11"/>
      <c r="G278" s="35"/>
      <c r="H278" s="23"/>
      <c r="I278" s="24"/>
      <c r="J278" s="31" t="str">
        <f aca="false">IF(I278="","",UPPER(SUBSTITUTE(SUBSTITUTE(SUBSTITUTE(SUBSTITUTE(SUBSTITUTE(TRIM(I278),".",""),"/",""),"-",""),"*","")," ","")))</f>
        <v/>
      </c>
      <c r="K278" s="31" t="str">
        <f aca="false">IF(OR(H278="",J278=""),"",IF(LEN(J278)&gt;=13,IF(LEN(J278)=13,"0"&amp;J278,J278),SUBSTITUTE(SUBSTITUTE(SUBSTITUTE(SUBSTITUTE(SUBSTITUTE(SUBSTITUTE(SUBSTITUTE(SUBSTITUTE(SUBSTITUTE(SUBSTITUTE(SUBSTITUTE(SUBSTITUTE(SUBSTITUTE(UPPER(TRIM(H278)),"Á","A"),"À","A"),"Â","A"),"Ã","A"),"É","E"),"Ê","E"),"Í","I"),"Ó","O"),"Ô","O"),"Õ","O"),"Ú","U"),"Ü","U"),"Ç","C")&amp;"|"&amp;IF(LEN(J278)=11,MID(J278,4,6),J278)))</f>
        <v/>
      </c>
      <c r="L278" s="25" t="str">
        <f aca="false">IF(K278="","",IF(E278="Doação recebida",TRIM(IF(COUNTIF(Socios!$H:$H,K278)&gt;0,"Doador é sócio de empresa da pauta. ","")&amp;IF(COUNTIF(Pessoas!$E:$E,K278)&gt;0,"Doador está em Pessoas.","")),IF(E278="Despesa com fornecedor",IF(COUNTIF(Contratos!$D:$D,K278)&gt;0,"Fornecedor também tem contrato público",""),"")))</f>
        <v/>
      </c>
      <c r="M278" s="24"/>
      <c r="N278" s="11"/>
    </row>
    <row r="279" customFormat="false" ht="15" hidden="false" customHeight="false" outlineLevel="0" collapsed="false">
      <c r="A279" s="23"/>
      <c r="B279" s="31" t="str">
        <f aca="false">IF(A279="","",SUBSTITUTE(SUBSTITUTE(SUBSTITUTE(SUBSTITUTE(SUBSTITUTE(SUBSTITUTE(SUBSTITUTE(SUBSTITUTE(SUBSTITUTE(SUBSTITUTE(SUBSTITUTE(SUBSTITUTE(SUBSTITUTE(UPPER(TRIM(A279)),"Á","A"),"À","A"),"Â","A"),"Ã","A"),"É","E"),"Ê","E"),"Í","I"),"Ó","O"),"Ô","O"),"Õ","O"),"Ú","U"),"Ü","U"),"Ç","C"))</f>
        <v/>
      </c>
      <c r="C279" s="43"/>
      <c r="D279" s="23"/>
      <c r="E279" s="23"/>
      <c r="F279" s="11"/>
      <c r="G279" s="35"/>
      <c r="H279" s="23"/>
      <c r="I279" s="24"/>
      <c r="J279" s="31" t="str">
        <f aca="false">IF(I279="","",UPPER(SUBSTITUTE(SUBSTITUTE(SUBSTITUTE(SUBSTITUTE(SUBSTITUTE(TRIM(I279),".",""),"/",""),"-",""),"*","")," ","")))</f>
        <v/>
      </c>
      <c r="K279" s="31" t="str">
        <f aca="false">IF(OR(H279="",J279=""),"",IF(LEN(J279)&gt;=13,IF(LEN(J279)=13,"0"&amp;J279,J279),SUBSTITUTE(SUBSTITUTE(SUBSTITUTE(SUBSTITUTE(SUBSTITUTE(SUBSTITUTE(SUBSTITUTE(SUBSTITUTE(SUBSTITUTE(SUBSTITUTE(SUBSTITUTE(SUBSTITUTE(SUBSTITUTE(UPPER(TRIM(H279)),"Á","A"),"À","A"),"Â","A"),"Ã","A"),"É","E"),"Ê","E"),"Í","I"),"Ó","O"),"Ô","O"),"Õ","O"),"Ú","U"),"Ü","U"),"Ç","C")&amp;"|"&amp;IF(LEN(J279)=11,MID(J279,4,6),J279)))</f>
        <v/>
      </c>
      <c r="L279" s="25" t="str">
        <f aca="false">IF(K279="","",IF(E279="Doação recebida",TRIM(IF(COUNTIF(Socios!$H:$H,K279)&gt;0,"Doador é sócio de empresa da pauta. ","")&amp;IF(COUNTIF(Pessoas!$E:$E,K279)&gt;0,"Doador está em Pessoas.","")),IF(E279="Despesa com fornecedor",IF(COUNTIF(Contratos!$D:$D,K279)&gt;0,"Fornecedor também tem contrato público",""),"")))</f>
        <v/>
      </c>
      <c r="M279" s="24"/>
      <c r="N279" s="11"/>
    </row>
    <row r="280" customFormat="false" ht="15" hidden="false" customHeight="false" outlineLevel="0" collapsed="false">
      <c r="A280" s="23"/>
      <c r="B280" s="31" t="str">
        <f aca="false">IF(A280="","",SUBSTITUTE(SUBSTITUTE(SUBSTITUTE(SUBSTITUTE(SUBSTITUTE(SUBSTITUTE(SUBSTITUTE(SUBSTITUTE(SUBSTITUTE(SUBSTITUTE(SUBSTITUTE(SUBSTITUTE(SUBSTITUTE(UPPER(TRIM(A280)),"Á","A"),"À","A"),"Â","A"),"Ã","A"),"É","E"),"Ê","E"),"Í","I"),"Ó","O"),"Ô","O"),"Õ","O"),"Ú","U"),"Ü","U"),"Ç","C"))</f>
        <v/>
      </c>
      <c r="C280" s="43"/>
      <c r="D280" s="23"/>
      <c r="E280" s="23"/>
      <c r="F280" s="11"/>
      <c r="G280" s="35"/>
      <c r="H280" s="23"/>
      <c r="I280" s="24"/>
      <c r="J280" s="31" t="str">
        <f aca="false">IF(I280="","",UPPER(SUBSTITUTE(SUBSTITUTE(SUBSTITUTE(SUBSTITUTE(SUBSTITUTE(TRIM(I280),".",""),"/",""),"-",""),"*","")," ","")))</f>
        <v/>
      </c>
      <c r="K280" s="31" t="str">
        <f aca="false">IF(OR(H280="",J280=""),"",IF(LEN(J280)&gt;=13,IF(LEN(J280)=13,"0"&amp;J280,J280),SUBSTITUTE(SUBSTITUTE(SUBSTITUTE(SUBSTITUTE(SUBSTITUTE(SUBSTITUTE(SUBSTITUTE(SUBSTITUTE(SUBSTITUTE(SUBSTITUTE(SUBSTITUTE(SUBSTITUTE(SUBSTITUTE(UPPER(TRIM(H280)),"Á","A"),"À","A"),"Â","A"),"Ã","A"),"É","E"),"Ê","E"),"Í","I"),"Ó","O"),"Ô","O"),"Õ","O"),"Ú","U"),"Ü","U"),"Ç","C")&amp;"|"&amp;IF(LEN(J280)=11,MID(J280,4,6),J280)))</f>
        <v/>
      </c>
      <c r="L280" s="25" t="str">
        <f aca="false">IF(K280="","",IF(E280="Doação recebida",TRIM(IF(COUNTIF(Socios!$H:$H,K280)&gt;0,"Doador é sócio de empresa da pauta. ","")&amp;IF(COUNTIF(Pessoas!$E:$E,K280)&gt;0,"Doador está em Pessoas.","")),IF(E280="Despesa com fornecedor",IF(COUNTIF(Contratos!$D:$D,K280)&gt;0,"Fornecedor também tem contrato público",""),"")))</f>
        <v/>
      </c>
      <c r="M280" s="24"/>
      <c r="N280" s="11"/>
    </row>
    <row r="281" customFormat="false" ht="15" hidden="false" customHeight="false" outlineLevel="0" collapsed="false">
      <c r="A281" s="23"/>
      <c r="B281" s="31" t="str">
        <f aca="false">IF(A281="","",SUBSTITUTE(SUBSTITUTE(SUBSTITUTE(SUBSTITUTE(SUBSTITUTE(SUBSTITUTE(SUBSTITUTE(SUBSTITUTE(SUBSTITUTE(SUBSTITUTE(SUBSTITUTE(SUBSTITUTE(SUBSTITUTE(UPPER(TRIM(A281)),"Á","A"),"À","A"),"Â","A"),"Ã","A"),"É","E"),"Ê","E"),"Í","I"),"Ó","O"),"Ô","O"),"Õ","O"),"Ú","U"),"Ü","U"),"Ç","C"))</f>
        <v/>
      </c>
      <c r="C281" s="43"/>
      <c r="D281" s="23"/>
      <c r="E281" s="23"/>
      <c r="F281" s="11"/>
      <c r="G281" s="35"/>
      <c r="H281" s="23"/>
      <c r="I281" s="24"/>
      <c r="J281" s="31" t="str">
        <f aca="false">IF(I281="","",UPPER(SUBSTITUTE(SUBSTITUTE(SUBSTITUTE(SUBSTITUTE(SUBSTITUTE(TRIM(I281),".",""),"/",""),"-",""),"*","")," ","")))</f>
        <v/>
      </c>
      <c r="K281" s="31" t="str">
        <f aca="false">IF(OR(H281="",J281=""),"",IF(LEN(J281)&gt;=13,IF(LEN(J281)=13,"0"&amp;J281,J281),SUBSTITUTE(SUBSTITUTE(SUBSTITUTE(SUBSTITUTE(SUBSTITUTE(SUBSTITUTE(SUBSTITUTE(SUBSTITUTE(SUBSTITUTE(SUBSTITUTE(SUBSTITUTE(SUBSTITUTE(SUBSTITUTE(UPPER(TRIM(H281)),"Á","A"),"À","A"),"Â","A"),"Ã","A"),"É","E"),"Ê","E"),"Í","I"),"Ó","O"),"Ô","O"),"Õ","O"),"Ú","U"),"Ü","U"),"Ç","C")&amp;"|"&amp;IF(LEN(J281)=11,MID(J281,4,6),J281)))</f>
        <v/>
      </c>
      <c r="L281" s="25" t="str">
        <f aca="false">IF(K281="","",IF(E281="Doação recebida",TRIM(IF(COUNTIF(Socios!$H:$H,K281)&gt;0,"Doador é sócio de empresa da pauta. ","")&amp;IF(COUNTIF(Pessoas!$E:$E,K281)&gt;0,"Doador está em Pessoas.","")),IF(E281="Despesa com fornecedor",IF(COUNTIF(Contratos!$D:$D,K281)&gt;0,"Fornecedor também tem contrato público",""),"")))</f>
        <v/>
      </c>
      <c r="M281" s="24"/>
      <c r="N281" s="11"/>
    </row>
    <row r="282" customFormat="false" ht="15" hidden="false" customHeight="false" outlineLevel="0" collapsed="false">
      <c r="A282" s="23"/>
      <c r="B282" s="31" t="str">
        <f aca="false">IF(A282="","",SUBSTITUTE(SUBSTITUTE(SUBSTITUTE(SUBSTITUTE(SUBSTITUTE(SUBSTITUTE(SUBSTITUTE(SUBSTITUTE(SUBSTITUTE(SUBSTITUTE(SUBSTITUTE(SUBSTITUTE(SUBSTITUTE(UPPER(TRIM(A282)),"Á","A"),"À","A"),"Â","A"),"Ã","A"),"É","E"),"Ê","E"),"Í","I"),"Ó","O"),"Ô","O"),"Õ","O"),"Ú","U"),"Ü","U"),"Ç","C"))</f>
        <v/>
      </c>
      <c r="C282" s="43"/>
      <c r="D282" s="23"/>
      <c r="E282" s="23"/>
      <c r="F282" s="11"/>
      <c r="G282" s="35"/>
      <c r="H282" s="23"/>
      <c r="I282" s="24"/>
      <c r="J282" s="31" t="str">
        <f aca="false">IF(I282="","",UPPER(SUBSTITUTE(SUBSTITUTE(SUBSTITUTE(SUBSTITUTE(SUBSTITUTE(TRIM(I282),".",""),"/",""),"-",""),"*","")," ","")))</f>
        <v/>
      </c>
      <c r="K282" s="31" t="str">
        <f aca="false">IF(OR(H282="",J282=""),"",IF(LEN(J282)&gt;=13,IF(LEN(J282)=13,"0"&amp;J282,J282),SUBSTITUTE(SUBSTITUTE(SUBSTITUTE(SUBSTITUTE(SUBSTITUTE(SUBSTITUTE(SUBSTITUTE(SUBSTITUTE(SUBSTITUTE(SUBSTITUTE(SUBSTITUTE(SUBSTITUTE(SUBSTITUTE(UPPER(TRIM(H282)),"Á","A"),"À","A"),"Â","A"),"Ã","A"),"É","E"),"Ê","E"),"Í","I"),"Ó","O"),"Ô","O"),"Õ","O"),"Ú","U"),"Ü","U"),"Ç","C")&amp;"|"&amp;IF(LEN(J282)=11,MID(J282,4,6),J282)))</f>
        <v/>
      </c>
      <c r="L282" s="25" t="str">
        <f aca="false">IF(K282="","",IF(E282="Doação recebida",TRIM(IF(COUNTIF(Socios!$H:$H,K282)&gt;0,"Doador é sócio de empresa da pauta. ","")&amp;IF(COUNTIF(Pessoas!$E:$E,K282)&gt;0,"Doador está em Pessoas.","")),IF(E282="Despesa com fornecedor",IF(COUNTIF(Contratos!$D:$D,K282)&gt;0,"Fornecedor também tem contrato público",""),"")))</f>
        <v/>
      </c>
      <c r="M282" s="24"/>
      <c r="N282" s="11"/>
    </row>
    <row r="283" customFormat="false" ht="15" hidden="false" customHeight="false" outlineLevel="0" collapsed="false">
      <c r="A283" s="23"/>
      <c r="B283" s="31" t="str">
        <f aca="false">IF(A283="","",SUBSTITUTE(SUBSTITUTE(SUBSTITUTE(SUBSTITUTE(SUBSTITUTE(SUBSTITUTE(SUBSTITUTE(SUBSTITUTE(SUBSTITUTE(SUBSTITUTE(SUBSTITUTE(SUBSTITUTE(SUBSTITUTE(UPPER(TRIM(A283)),"Á","A"),"À","A"),"Â","A"),"Ã","A"),"É","E"),"Ê","E"),"Í","I"),"Ó","O"),"Ô","O"),"Õ","O"),"Ú","U"),"Ü","U"),"Ç","C"))</f>
        <v/>
      </c>
      <c r="C283" s="43"/>
      <c r="D283" s="23"/>
      <c r="E283" s="23"/>
      <c r="F283" s="11"/>
      <c r="G283" s="35"/>
      <c r="H283" s="23"/>
      <c r="I283" s="24"/>
      <c r="J283" s="31" t="str">
        <f aca="false">IF(I283="","",UPPER(SUBSTITUTE(SUBSTITUTE(SUBSTITUTE(SUBSTITUTE(SUBSTITUTE(TRIM(I283),".",""),"/",""),"-",""),"*","")," ","")))</f>
        <v/>
      </c>
      <c r="K283" s="31" t="str">
        <f aca="false">IF(OR(H283="",J283=""),"",IF(LEN(J283)&gt;=13,IF(LEN(J283)=13,"0"&amp;J283,J283),SUBSTITUTE(SUBSTITUTE(SUBSTITUTE(SUBSTITUTE(SUBSTITUTE(SUBSTITUTE(SUBSTITUTE(SUBSTITUTE(SUBSTITUTE(SUBSTITUTE(SUBSTITUTE(SUBSTITUTE(SUBSTITUTE(UPPER(TRIM(H283)),"Á","A"),"À","A"),"Â","A"),"Ã","A"),"É","E"),"Ê","E"),"Í","I"),"Ó","O"),"Ô","O"),"Õ","O"),"Ú","U"),"Ü","U"),"Ç","C")&amp;"|"&amp;IF(LEN(J283)=11,MID(J283,4,6),J283)))</f>
        <v/>
      </c>
      <c r="L283" s="25" t="str">
        <f aca="false">IF(K283="","",IF(E283="Doação recebida",TRIM(IF(COUNTIF(Socios!$H:$H,K283)&gt;0,"Doador é sócio de empresa da pauta. ","")&amp;IF(COUNTIF(Pessoas!$E:$E,K283)&gt;0,"Doador está em Pessoas.","")),IF(E283="Despesa com fornecedor",IF(COUNTIF(Contratos!$D:$D,K283)&gt;0,"Fornecedor também tem contrato público",""),"")))</f>
        <v/>
      </c>
      <c r="M283" s="24"/>
      <c r="N283" s="11"/>
    </row>
    <row r="284" customFormat="false" ht="15" hidden="false" customHeight="false" outlineLevel="0" collapsed="false">
      <c r="A284" s="23"/>
      <c r="B284" s="31" t="str">
        <f aca="false">IF(A284="","",SUBSTITUTE(SUBSTITUTE(SUBSTITUTE(SUBSTITUTE(SUBSTITUTE(SUBSTITUTE(SUBSTITUTE(SUBSTITUTE(SUBSTITUTE(SUBSTITUTE(SUBSTITUTE(SUBSTITUTE(SUBSTITUTE(UPPER(TRIM(A284)),"Á","A"),"À","A"),"Â","A"),"Ã","A"),"É","E"),"Ê","E"),"Í","I"),"Ó","O"),"Ô","O"),"Õ","O"),"Ú","U"),"Ü","U"),"Ç","C"))</f>
        <v/>
      </c>
      <c r="C284" s="43"/>
      <c r="D284" s="23"/>
      <c r="E284" s="23"/>
      <c r="F284" s="11"/>
      <c r="G284" s="35"/>
      <c r="H284" s="23"/>
      <c r="I284" s="24"/>
      <c r="J284" s="31" t="str">
        <f aca="false">IF(I284="","",UPPER(SUBSTITUTE(SUBSTITUTE(SUBSTITUTE(SUBSTITUTE(SUBSTITUTE(TRIM(I284),".",""),"/",""),"-",""),"*","")," ","")))</f>
        <v/>
      </c>
      <c r="K284" s="31" t="str">
        <f aca="false">IF(OR(H284="",J284=""),"",IF(LEN(J284)&gt;=13,IF(LEN(J284)=13,"0"&amp;J284,J284),SUBSTITUTE(SUBSTITUTE(SUBSTITUTE(SUBSTITUTE(SUBSTITUTE(SUBSTITUTE(SUBSTITUTE(SUBSTITUTE(SUBSTITUTE(SUBSTITUTE(SUBSTITUTE(SUBSTITUTE(SUBSTITUTE(UPPER(TRIM(H284)),"Á","A"),"À","A"),"Â","A"),"Ã","A"),"É","E"),"Ê","E"),"Í","I"),"Ó","O"),"Ô","O"),"Õ","O"),"Ú","U"),"Ü","U"),"Ç","C")&amp;"|"&amp;IF(LEN(J284)=11,MID(J284,4,6),J284)))</f>
        <v/>
      </c>
      <c r="L284" s="25" t="str">
        <f aca="false">IF(K284="","",IF(E284="Doação recebida",TRIM(IF(COUNTIF(Socios!$H:$H,K284)&gt;0,"Doador é sócio de empresa da pauta. ","")&amp;IF(COUNTIF(Pessoas!$E:$E,K284)&gt;0,"Doador está em Pessoas.","")),IF(E284="Despesa com fornecedor",IF(COUNTIF(Contratos!$D:$D,K284)&gt;0,"Fornecedor também tem contrato público",""),"")))</f>
        <v/>
      </c>
      <c r="M284" s="24"/>
      <c r="N284" s="11"/>
    </row>
    <row r="285" customFormat="false" ht="15" hidden="false" customHeight="false" outlineLevel="0" collapsed="false">
      <c r="A285" s="23"/>
      <c r="B285" s="31" t="str">
        <f aca="false">IF(A285="","",SUBSTITUTE(SUBSTITUTE(SUBSTITUTE(SUBSTITUTE(SUBSTITUTE(SUBSTITUTE(SUBSTITUTE(SUBSTITUTE(SUBSTITUTE(SUBSTITUTE(SUBSTITUTE(SUBSTITUTE(SUBSTITUTE(UPPER(TRIM(A285)),"Á","A"),"À","A"),"Â","A"),"Ã","A"),"É","E"),"Ê","E"),"Í","I"),"Ó","O"),"Ô","O"),"Õ","O"),"Ú","U"),"Ü","U"),"Ç","C"))</f>
        <v/>
      </c>
      <c r="C285" s="43"/>
      <c r="D285" s="23"/>
      <c r="E285" s="23"/>
      <c r="F285" s="11"/>
      <c r="G285" s="35"/>
      <c r="H285" s="23"/>
      <c r="I285" s="24"/>
      <c r="J285" s="31" t="str">
        <f aca="false">IF(I285="","",UPPER(SUBSTITUTE(SUBSTITUTE(SUBSTITUTE(SUBSTITUTE(SUBSTITUTE(TRIM(I285),".",""),"/",""),"-",""),"*","")," ","")))</f>
        <v/>
      </c>
      <c r="K285" s="31" t="str">
        <f aca="false">IF(OR(H285="",J285=""),"",IF(LEN(J285)&gt;=13,IF(LEN(J285)=13,"0"&amp;J285,J285),SUBSTITUTE(SUBSTITUTE(SUBSTITUTE(SUBSTITUTE(SUBSTITUTE(SUBSTITUTE(SUBSTITUTE(SUBSTITUTE(SUBSTITUTE(SUBSTITUTE(SUBSTITUTE(SUBSTITUTE(SUBSTITUTE(UPPER(TRIM(H285)),"Á","A"),"À","A"),"Â","A"),"Ã","A"),"É","E"),"Ê","E"),"Í","I"),"Ó","O"),"Ô","O"),"Õ","O"),"Ú","U"),"Ü","U"),"Ç","C")&amp;"|"&amp;IF(LEN(J285)=11,MID(J285,4,6),J285)))</f>
        <v/>
      </c>
      <c r="L285" s="25" t="str">
        <f aca="false">IF(K285="","",IF(E285="Doação recebida",TRIM(IF(COUNTIF(Socios!$H:$H,K285)&gt;0,"Doador é sócio de empresa da pauta. ","")&amp;IF(COUNTIF(Pessoas!$E:$E,K285)&gt;0,"Doador está em Pessoas.","")),IF(E285="Despesa com fornecedor",IF(COUNTIF(Contratos!$D:$D,K285)&gt;0,"Fornecedor também tem contrato público",""),"")))</f>
        <v/>
      </c>
      <c r="M285" s="24"/>
      <c r="N285" s="11"/>
    </row>
    <row r="286" customFormat="false" ht="15" hidden="false" customHeight="false" outlineLevel="0" collapsed="false">
      <c r="A286" s="23"/>
      <c r="B286" s="31" t="str">
        <f aca="false">IF(A286="","",SUBSTITUTE(SUBSTITUTE(SUBSTITUTE(SUBSTITUTE(SUBSTITUTE(SUBSTITUTE(SUBSTITUTE(SUBSTITUTE(SUBSTITUTE(SUBSTITUTE(SUBSTITUTE(SUBSTITUTE(SUBSTITUTE(UPPER(TRIM(A286)),"Á","A"),"À","A"),"Â","A"),"Ã","A"),"É","E"),"Ê","E"),"Í","I"),"Ó","O"),"Ô","O"),"Õ","O"),"Ú","U"),"Ü","U"),"Ç","C"))</f>
        <v/>
      </c>
      <c r="C286" s="43"/>
      <c r="D286" s="23"/>
      <c r="E286" s="23"/>
      <c r="F286" s="11"/>
      <c r="G286" s="35"/>
      <c r="H286" s="23"/>
      <c r="I286" s="24"/>
      <c r="J286" s="31" t="str">
        <f aca="false">IF(I286="","",UPPER(SUBSTITUTE(SUBSTITUTE(SUBSTITUTE(SUBSTITUTE(SUBSTITUTE(TRIM(I286),".",""),"/",""),"-",""),"*","")," ","")))</f>
        <v/>
      </c>
      <c r="K286" s="31" t="str">
        <f aca="false">IF(OR(H286="",J286=""),"",IF(LEN(J286)&gt;=13,IF(LEN(J286)=13,"0"&amp;J286,J286),SUBSTITUTE(SUBSTITUTE(SUBSTITUTE(SUBSTITUTE(SUBSTITUTE(SUBSTITUTE(SUBSTITUTE(SUBSTITUTE(SUBSTITUTE(SUBSTITUTE(SUBSTITUTE(SUBSTITUTE(SUBSTITUTE(UPPER(TRIM(H286)),"Á","A"),"À","A"),"Â","A"),"Ã","A"),"É","E"),"Ê","E"),"Í","I"),"Ó","O"),"Ô","O"),"Õ","O"),"Ú","U"),"Ü","U"),"Ç","C")&amp;"|"&amp;IF(LEN(J286)=11,MID(J286,4,6),J286)))</f>
        <v/>
      </c>
      <c r="L286" s="25" t="str">
        <f aca="false">IF(K286="","",IF(E286="Doação recebida",TRIM(IF(COUNTIF(Socios!$H:$H,K286)&gt;0,"Doador é sócio de empresa da pauta. ","")&amp;IF(COUNTIF(Pessoas!$E:$E,K286)&gt;0,"Doador está em Pessoas.","")),IF(E286="Despesa com fornecedor",IF(COUNTIF(Contratos!$D:$D,K286)&gt;0,"Fornecedor também tem contrato público",""),"")))</f>
        <v/>
      </c>
      <c r="M286" s="24"/>
      <c r="N286" s="11"/>
    </row>
    <row r="287" customFormat="false" ht="15" hidden="false" customHeight="false" outlineLevel="0" collapsed="false">
      <c r="A287" s="23"/>
      <c r="B287" s="31" t="str">
        <f aca="false">IF(A287="","",SUBSTITUTE(SUBSTITUTE(SUBSTITUTE(SUBSTITUTE(SUBSTITUTE(SUBSTITUTE(SUBSTITUTE(SUBSTITUTE(SUBSTITUTE(SUBSTITUTE(SUBSTITUTE(SUBSTITUTE(SUBSTITUTE(UPPER(TRIM(A287)),"Á","A"),"À","A"),"Â","A"),"Ã","A"),"É","E"),"Ê","E"),"Í","I"),"Ó","O"),"Ô","O"),"Õ","O"),"Ú","U"),"Ü","U"),"Ç","C"))</f>
        <v/>
      </c>
      <c r="C287" s="43"/>
      <c r="D287" s="23"/>
      <c r="E287" s="23"/>
      <c r="F287" s="11"/>
      <c r="G287" s="35"/>
      <c r="H287" s="23"/>
      <c r="I287" s="24"/>
      <c r="J287" s="31" t="str">
        <f aca="false">IF(I287="","",UPPER(SUBSTITUTE(SUBSTITUTE(SUBSTITUTE(SUBSTITUTE(SUBSTITUTE(TRIM(I287),".",""),"/",""),"-",""),"*","")," ","")))</f>
        <v/>
      </c>
      <c r="K287" s="31" t="str">
        <f aca="false">IF(OR(H287="",J287=""),"",IF(LEN(J287)&gt;=13,IF(LEN(J287)=13,"0"&amp;J287,J287),SUBSTITUTE(SUBSTITUTE(SUBSTITUTE(SUBSTITUTE(SUBSTITUTE(SUBSTITUTE(SUBSTITUTE(SUBSTITUTE(SUBSTITUTE(SUBSTITUTE(SUBSTITUTE(SUBSTITUTE(SUBSTITUTE(UPPER(TRIM(H287)),"Á","A"),"À","A"),"Â","A"),"Ã","A"),"É","E"),"Ê","E"),"Í","I"),"Ó","O"),"Ô","O"),"Õ","O"),"Ú","U"),"Ü","U"),"Ç","C")&amp;"|"&amp;IF(LEN(J287)=11,MID(J287,4,6),J287)))</f>
        <v/>
      </c>
      <c r="L287" s="25" t="str">
        <f aca="false">IF(K287="","",IF(E287="Doação recebida",TRIM(IF(COUNTIF(Socios!$H:$H,K287)&gt;0,"Doador é sócio de empresa da pauta. ","")&amp;IF(COUNTIF(Pessoas!$E:$E,K287)&gt;0,"Doador está em Pessoas.","")),IF(E287="Despesa com fornecedor",IF(COUNTIF(Contratos!$D:$D,K287)&gt;0,"Fornecedor também tem contrato público",""),"")))</f>
        <v/>
      </c>
      <c r="M287" s="24"/>
      <c r="N287" s="11"/>
    </row>
    <row r="288" customFormat="false" ht="15" hidden="false" customHeight="false" outlineLevel="0" collapsed="false">
      <c r="A288" s="23"/>
      <c r="B288" s="31" t="str">
        <f aca="false">IF(A288="","",SUBSTITUTE(SUBSTITUTE(SUBSTITUTE(SUBSTITUTE(SUBSTITUTE(SUBSTITUTE(SUBSTITUTE(SUBSTITUTE(SUBSTITUTE(SUBSTITUTE(SUBSTITUTE(SUBSTITUTE(SUBSTITUTE(UPPER(TRIM(A288)),"Á","A"),"À","A"),"Â","A"),"Ã","A"),"É","E"),"Ê","E"),"Í","I"),"Ó","O"),"Ô","O"),"Õ","O"),"Ú","U"),"Ü","U"),"Ç","C"))</f>
        <v/>
      </c>
      <c r="C288" s="43"/>
      <c r="D288" s="23"/>
      <c r="E288" s="23"/>
      <c r="F288" s="11"/>
      <c r="G288" s="35"/>
      <c r="H288" s="23"/>
      <c r="I288" s="24"/>
      <c r="J288" s="31" t="str">
        <f aca="false">IF(I288="","",UPPER(SUBSTITUTE(SUBSTITUTE(SUBSTITUTE(SUBSTITUTE(SUBSTITUTE(TRIM(I288),".",""),"/",""),"-",""),"*","")," ","")))</f>
        <v/>
      </c>
      <c r="K288" s="31" t="str">
        <f aca="false">IF(OR(H288="",J288=""),"",IF(LEN(J288)&gt;=13,IF(LEN(J288)=13,"0"&amp;J288,J288),SUBSTITUTE(SUBSTITUTE(SUBSTITUTE(SUBSTITUTE(SUBSTITUTE(SUBSTITUTE(SUBSTITUTE(SUBSTITUTE(SUBSTITUTE(SUBSTITUTE(SUBSTITUTE(SUBSTITUTE(SUBSTITUTE(UPPER(TRIM(H288)),"Á","A"),"À","A"),"Â","A"),"Ã","A"),"É","E"),"Ê","E"),"Í","I"),"Ó","O"),"Ô","O"),"Õ","O"),"Ú","U"),"Ü","U"),"Ç","C")&amp;"|"&amp;IF(LEN(J288)=11,MID(J288,4,6),J288)))</f>
        <v/>
      </c>
      <c r="L288" s="25" t="str">
        <f aca="false">IF(K288="","",IF(E288="Doação recebida",TRIM(IF(COUNTIF(Socios!$H:$H,K288)&gt;0,"Doador é sócio de empresa da pauta. ","")&amp;IF(COUNTIF(Pessoas!$E:$E,K288)&gt;0,"Doador está em Pessoas.","")),IF(E288="Despesa com fornecedor",IF(COUNTIF(Contratos!$D:$D,K288)&gt;0,"Fornecedor também tem contrato público",""),"")))</f>
        <v/>
      </c>
      <c r="M288" s="24"/>
      <c r="N288" s="11"/>
    </row>
    <row r="289" customFormat="false" ht="15" hidden="false" customHeight="false" outlineLevel="0" collapsed="false">
      <c r="A289" s="23"/>
      <c r="B289" s="31" t="str">
        <f aca="false">IF(A289="","",SUBSTITUTE(SUBSTITUTE(SUBSTITUTE(SUBSTITUTE(SUBSTITUTE(SUBSTITUTE(SUBSTITUTE(SUBSTITUTE(SUBSTITUTE(SUBSTITUTE(SUBSTITUTE(SUBSTITUTE(SUBSTITUTE(UPPER(TRIM(A289)),"Á","A"),"À","A"),"Â","A"),"Ã","A"),"É","E"),"Ê","E"),"Í","I"),"Ó","O"),"Ô","O"),"Õ","O"),"Ú","U"),"Ü","U"),"Ç","C"))</f>
        <v/>
      </c>
      <c r="C289" s="43"/>
      <c r="D289" s="23"/>
      <c r="E289" s="23"/>
      <c r="F289" s="11"/>
      <c r="G289" s="35"/>
      <c r="H289" s="23"/>
      <c r="I289" s="24"/>
      <c r="J289" s="31" t="str">
        <f aca="false">IF(I289="","",UPPER(SUBSTITUTE(SUBSTITUTE(SUBSTITUTE(SUBSTITUTE(SUBSTITUTE(TRIM(I289),".",""),"/",""),"-",""),"*","")," ","")))</f>
        <v/>
      </c>
      <c r="K289" s="31" t="str">
        <f aca="false">IF(OR(H289="",J289=""),"",IF(LEN(J289)&gt;=13,IF(LEN(J289)=13,"0"&amp;J289,J289),SUBSTITUTE(SUBSTITUTE(SUBSTITUTE(SUBSTITUTE(SUBSTITUTE(SUBSTITUTE(SUBSTITUTE(SUBSTITUTE(SUBSTITUTE(SUBSTITUTE(SUBSTITUTE(SUBSTITUTE(SUBSTITUTE(UPPER(TRIM(H289)),"Á","A"),"À","A"),"Â","A"),"Ã","A"),"É","E"),"Ê","E"),"Í","I"),"Ó","O"),"Ô","O"),"Õ","O"),"Ú","U"),"Ü","U"),"Ç","C")&amp;"|"&amp;IF(LEN(J289)=11,MID(J289,4,6),J289)))</f>
        <v/>
      </c>
      <c r="L289" s="25" t="str">
        <f aca="false">IF(K289="","",IF(E289="Doação recebida",TRIM(IF(COUNTIF(Socios!$H:$H,K289)&gt;0,"Doador é sócio de empresa da pauta. ","")&amp;IF(COUNTIF(Pessoas!$E:$E,K289)&gt;0,"Doador está em Pessoas.","")),IF(E289="Despesa com fornecedor",IF(COUNTIF(Contratos!$D:$D,K289)&gt;0,"Fornecedor também tem contrato público",""),"")))</f>
        <v/>
      </c>
      <c r="M289" s="24"/>
      <c r="N289" s="11"/>
    </row>
    <row r="290" customFormat="false" ht="15" hidden="false" customHeight="false" outlineLevel="0" collapsed="false">
      <c r="A290" s="23"/>
      <c r="B290" s="31" t="str">
        <f aca="false">IF(A290="","",SUBSTITUTE(SUBSTITUTE(SUBSTITUTE(SUBSTITUTE(SUBSTITUTE(SUBSTITUTE(SUBSTITUTE(SUBSTITUTE(SUBSTITUTE(SUBSTITUTE(SUBSTITUTE(SUBSTITUTE(SUBSTITUTE(UPPER(TRIM(A290)),"Á","A"),"À","A"),"Â","A"),"Ã","A"),"É","E"),"Ê","E"),"Í","I"),"Ó","O"),"Ô","O"),"Õ","O"),"Ú","U"),"Ü","U"),"Ç","C"))</f>
        <v/>
      </c>
      <c r="C290" s="43"/>
      <c r="D290" s="23"/>
      <c r="E290" s="23"/>
      <c r="F290" s="11"/>
      <c r="G290" s="35"/>
      <c r="H290" s="23"/>
      <c r="I290" s="24"/>
      <c r="J290" s="31" t="str">
        <f aca="false">IF(I290="","",UPPER(SUBSTITUTE(SUBSTITUTE(SUBSTITUTE(SUBSTITUTE(SUBSTITUTE(TRIM(I290),".",""),"/",""),"-",""),"*","")," ","")))</f>
        <v/>
      </c>
      <c r="K290" s="31" t="str">
        <f aca="false">IF(OR(H290="",J290=""),"",IF(LEN(J290)&gt;=13,IF(LEN(J290)=13,"0"&amp;J290,J290),SUBSTITUTE(SUBSTITUTE(SUBSTITUTE(SUBSTITUTE(SUBSTITUTE(SUBSTITUTE(SUBSTITUTE(SUBSTITUTE(SUBSTITUTE(SUBSTITUTE(SUBSTITUTE(SUBSTITUTE(SUBSTITUTE(UPPER(TRIM(H290)),"Á","A"),"À","A"),"Â","A"),"Ã","A"),"É","E"),"Ê","E"),"Í","I"),"Ó","O"),"Ô","O"),"Õ","O"),"Ú","U"),"Ü","U"),"Ç","C")&amp;"|"&amp;IF(LEN(J290)=11,MID(J290,4,6),J290)))</f>
        <v/>
      </c>
      <c r="L290" s="25" t="str">
        <f aca="false">IF(K290="","",IF(E290="Doação recebida",TRIM(IF(COUNTIF(Socios!$H:$H,K290)&gt;0,"Doador é sócio de empresa da pauta. ","")&amp;IF(COUNTIF(Pessoas!$E:$E,K290)&gt;0,"Doador está em Pessoas.","")),IF(E290="Despesa com fornecedor",IF(COUNTIF(Contratos!$D:$D,K290)&gt;0,"Fornecedor também tem contrato público",""),"")))</f>
        <v/>
      </c>
      <c r="M290" s="24"/>
      <c r="N290" s="11"/>
    </row>
    <row r="291" customFormat="false" ht="15" hidden="false" customHeight="false" outlineLevel="0" collapsed="false">
      <c r="A291" s="23"/>
      <c r="B291" s="31" t="str">
        <f aca="false">IF(A291="","",SUBSTITUTE(SUBSTITUTE(SUBSTITUTE(SUBSTITUTE(SUBSTITUTE(SUBSTITUTE(SUBSTITUTE(SUBSTITUTE(SUBSTITUTE(SUBSTITUTE(SUBSTITUTE(SUBSTITUTE(SUBSTITUTE(UPPER(TRIM(A291)),"Á","A"),"À","A"),"Â","A"),"Ã","A"),"É","E"),"Ê","E"),"Í","I"),"Ó","O"),"Ô","O"),"Õ","O"),"Ú","U"),"Ü","U"),"Ç","C"))</f>
        <v/>
      </c>
      <c r="C291" s="43"/>
      <c r="D291" s="23"/>
      <c r="E291" s="23"/>
      <c r="F291" s="11"/>
      <c r="G291" s="35"/>
      <c r="H291" s="23"/>
      <c r="I291" s="24"/>
      <c r="J291" s="31" t="str">
        <f aca="false">IF(I291="","",UPPER(SUBSTITUTE(SUBSTITUTE(SUBSTITUTE(SUBSTITUTE(SUBSTITUTE(TRIM(I291),".",""),"/",""),"-",""),"*","")," ","")))</f>
        <v/>
      </c>
      <c r="K291" s="31" t="str">
        <f aca="false">IF(OR(H291="",J291=""),"",IF(LEN(J291)&gt;=13,IF(LEN(J291)=13,"0"&amp;J291,J291),SUBSTITUTE(SUBSTITUTE(SUBSTITUTE(SUBSTITUTE(SUBSTITUTE(SUBSTITUTE(SUBSTITUTE(SUBSTITUTE(SUBSTITUTE(SUBSTITUTE(SUBSTITUTE(SUBSTITUTE(SUBSTITUTE(UPPER(TRIM(H291)),"Á","A"),"À","A"),"Â","A"),"Ã","A"),"É","E"),"Ê","E"),"Í","I"),"Ó","O"),"Ô","O"),"Õ","O"),"Ú","U"),"Ü","U"),"Ç","C")&amp;"|"&amp;IF(LEN(J291)=11,MID(J291,4,6),J291)))</f>
        <v/>
      </c>
      <c r="L291" s="25" t="str">
        <f aca="false">IF(K291="","",IF(E291="Doação recebida",TRIM(IF(COUNTIF(Socios!$H:$H,K291)&gt;0,"Doador é sócio de empresa da pauta. ","")&amp;IF(COUNTIF(Pessoas!$E:$E,K291)&gt;0,"Doador está em Pessoas.","")),IF(E291="Despesa com fornecedor",IF(COUNTIF(Contratos!$D:$D,K291)&gt;0,"Fornecedor também tem contrato público",""),"")))</f>
        <v/>
      </c>
      <c r="M291" s="24"/>
      <c r="N291" s="11"/>
    </row>
    <row r="292" customFormat="false" ht="15" hidden="false" customHeight="false" outlineLevel="0" collapsed="false">
      <c r="A292" s="23"/>
      <c r="B292" s="31" t="str">
        <f aca="false">IF(A292="","",SUBSTITUTE(SUBSTITUTE(SUBSTITUTE(SUBSTITUTE(SUBSTITUTE(SUBSTITUTE(SUBSTITUTE(SUBSTITUTE(SUBSTITUTE(SUBSTITUTE(SUBSTITUTE(SUBSTITUTE(SUBSTITUTE(UPPER(TRIM(A292)),"Á","A"),"À","A"),"Â","A"),"Ã","A"),"É","E"),"Ê","E"),"Í","I"),"Ó","O"),"Ô","O"),"Õ","O"),"Ú","U"),"Ü","U"),"Ç","C"))</f>
        <v/>
      </c>
      <c r="C292" s="43"/>
      <c r="D292" s="23"/>
      <c r="E292" s="23"/>
      <c r="F292" s="11"/>
      <c r="G292" s="35"/>
      <c r="H292" s="23"/>
      <c r="I292" s="24"/>
      <c r="J292" s="31" t="str">
        <f aca="false">IF(I292="","",UPPER(SUBSTITUTE(SUBSTITUTE(SUBSTITUTE(SUBSTITUTE(SUBSTITUTE(TRIM(I292),".",""),"/",""),"-",""),"*","")," ","")))</f>
        <v/>
      </c>
      <c r="K292" s="31" t="str">
        <f aca="false">IF(OR(H292="",J292=""),"",IF(LEN(J292)&gt;=13,IF(LEN(J292)=13,"0"&amp;J292,J292),SUBSTITUTE(SUBSTITUTE(SUBSTITUTE(SUBSTITUTE(SUBSTITUTE(SUBSTITUTE(SUBSTITUTE(SUBSTITUTE(SUBSTITUTE(SUBSTITUTE(SUBSTITUTE(SUBSTITUTE(SUBSTITUTE(UPPER(TRIM(H292)),"Á","A"),"À","A"),"Â","A"),"Ã","A"),"É","E"),"Ê","E"),"Í","I"),"Ó","O"),"Ô","O"),"Õ","O"),"Ú","U"),"Ü","U"),"Ç","C")&amp;"|"&amp;IF(LEN(J292)=11,MID(J292,4,6),J292)))</f>
        <v/>
      </c>
      <c r="L292" s="25" t="str">
        <f aca="false">IF(K292="","",IF(E292="Doação recebida",TRIM(IF(COUNTIF(Socios!$H:$H,K292)&gt;0,"Doador é sócio de empresa da pauta. ","")&amp;IF(COUNTIF(Pessoas!$E:$E,K292)&gt;0,"Doador está em Pessoas.","")),IF(E292="Despesa com fornecedor",IF(COUNTIF(Contratos!$D:$D,K292)&gt;0,"Fornecedor também tem contrato público",""),"")))</f>
        <v/>
      </c>
      <c r="M292" s="24"/>
      <c r="N292" s="11"/>
    </row>
    <row r="293" customFormat="false" ht="15" hidden="false" customHeight="false" outlineLevel="0" collapsed="false">
      <c r="A293" s="23"/>
      <c r="B293" s="31" t="str">
        <f aca="false">IF(A293="","",SUBSTITUTE(SUBSTITUTE(SUBSTITUTE(SUBSTITUTE(SUBSTITUTE(SUBSTITUTE(SUBSTITUTE(SUBSTITUTE(SUBSTITUTE(SUBSTITUTE(SUBSTITUTE(SUBSTITUTE(SUBSTITUTE(UPPER(TRIM(A293)),"Á","A"),"À","A"),"Â","A"),"Ã","A"),"É","E"),"Ê","E"),"Í","I"),"Ó","O"),"Ô","O"),"Õ","O"),"Ú","U"),"Ü","U"),"Ç","C"))</f>
        <v/>
      </c>
      <c r="C293" s="43"/>
      <c r="D293" s="23"/>
      <c r="E293" s="23"/>
      <c r="F293" s="11"/>
      <c r="G293" s="35"/>
      <c r="H293" s="23"/>
      <c r="I293" s="24"/>
      <c r="J293" s="31" t="str">
        <f aca="false">IF(I293="","",UPPER(SUBSTITUTE(SUBSTITUTE(SUBSTITUTE(SUBSTITUTE(SUBSTITUTE(TRIM(I293),".",""),"/",""),"-",""),"*","")," ","")))</f>
        <v/>
      </c>
      <c r="K293" s="31" t="str">
        <f aca="false">IF(OR(H293="",J293=""),"",IF(LEN(J293)&gt;=13,IF(LEN(J293)=13,"0"&amp;J293,J293),SUBSTITUTE(SUBSTITUTE(SUBSTITUTE(SUBSTITUTE(SUBSTITUTE(SUBSTITUTE(SUBSTITUTE(SUBSTITUTE(SUBSTITUTE(SUBSTITUTE(SUBSTITUTE(SUBSTITUTE(SUBSTITUTE(UPPER(TRIM(H293)),"Á","A"),"À","A"),"Â","A"),"Ã","A"),"É","E"),"Ê","E"),"Í","I"),"Ó","O"),"Ô","O"),"Õ","O"),"Ú","U"),"Ü","U"),"Ç","C")&amp;"|"&amp;IF(LEN(J293)=11,MID(J293,4,6),J293)))</f>
        <v/>
      </c>
      <c r="L293" s="25" t="str">
        <f aca="false">IF(K293="","",IF(E293="Doação recebida",TRIM(IF(COUNTIF(Socios!$H:$H,K293)&gt;0,"Doador é sócio de empresa da pauta. ","")&amp;IF(COUNTIF(Pessoas!$E:$E,K293)&gt;0,"Doador está em Pessoas.","")),IF(E293="Despesa com fornecedor",IF(COUNTIF(Contratos!$D:$D,K293)&gt;0,"Fornecedor também tem contrato público",""),"")))</f>
        <v/>
      </c>
      <c r="M293" s="24"/>
      <c r="N293" s="11"/>
    </row>
    <row r="294" customFormat="false" ht="15" hidden="false" customHeight="false" outlineLevel="0" collapsed="false">
      <c r="A294" s="23"/>
      <c r="B294" s="31" t="str">
        <f aca="false">IF(A294="","",SUBSTITUTE(SUBSTITUTE(SUBSTITUTE(SUBSTITUTE(SUBSTITUTE(SUBSTITUTE(SUBSTITUTE(SUBSTITUTE(SUBSTITUTE(SUBSTITUTE(SUBSTITUTE(SUBSTITUTE(SUBSTITUTE(UPPER(TRIM(A294)),"Á","A"),"À","A"),"Â","A"),"Ã","A"),"É","E"),"Ê","E"),"Í","I"),"Ó","O"),"Ô","O"),"Õ","O"),"Ú","U"),"Ü","U"),"Ç","C"))</f>
        <v/>
      </c>
      <c r="C294" s="43"/>
      <c r="D294" s="23"/>
      <c r="E294" s="23"/>
      <c r="F294" s="11"/>
      <c r="G294" s="35"/>
      <c r="H294" s="23"/>
      <c r="I294" s="24"/>
      <c r="J294" s="31" t="str">
        <f aca="false">IF(I294="","",UPPER(SUBSTITUTE(SUBSTITUTE(SUBSTITUTE(SUBSTITUTE(SUBSTITUTE(TRIM(I294),".",""),"/",""),"-",""),"*","")," ","")))</f>
        <v/>
      </c>
      <c r="K294" s="31" t="str">
        <f aca="false">IF(OR(H294="",J294=""),"",IF(LEN(J294)&gt;=13,IF(LEN(J294)=13,"0"&amp;J294,J294),SUBSTITUTE(SUBSTITUTE(SUBSTITUTE(SUBSTITUTE(SUBSTITUTE(SUBSTITUTE(SUBSTITUTE(SUBSTITUTE(SUBSTITUTE(SUBSTITUTE(SUBSTITUTE(SUBSTITUTE(SUBSTITUTE(UPPER(TRIM(H294)),"Á","A"),"À","A"),"Â","A"),"Ã","A"),"É","E"),"Ê","E"),"Í","I"),"Ó","O"),"Ô","O"),"Õ","O"),"Ú","U"),"Ü","U"),"Ç","C")&amp;"|"&amp;IF(LEN(J294)=11,MID(J294,4,6),J294)))</f>
        <v/>
      </c>
      <c r="L294" s="25" t="str">
        <f aca="false">IF(K294="","",IF(E294="Doação recebida",TRIM(IF(COUNTIF(Socios!$H:$H,K294)&gt;0,"Doador é sócio de empresa da pauta. ","")&amp;IF(COUNTIF(Pessoas!$E:$E,K294)&gt;0,"Doador está em Pessoas.","")),IF(E294="Despesa com fornecedor",IF(COUNTIF(Contratos!$D:$D,K294)&gt;0,"Fornecedor também tem contrato público",""),"")))</f>
        <v/>
      </c>
      <c r="M294" s="24"/>
      <c r="N294" s="11"/>
    </row>
    <row r="295" customFormat="false" ht="15" hidden="false" customHeight="false" outlineLevel="0" collapsed="false">
      <c r="A295" s="23"/>
      <c r="B295" s="31" t="str">
        <f aca="false">IF(A295="","",SUBSTITUTE(SUBSTITUTE(SUBSTITUTE(SUBSTITUTE(SUBSTITUTE(SUBSTITUTE(SUBSTITUTE(SUBSTITUTE(SUBSTITUTE(SUBSTITUTE(SUBSTITUTE(SUBSTITUTE(SUBSTITUTE(UPPER(TRIM(A295)),"Á","A"),"À","A"),"Â","A"),"Ã","A"),"É","E"),"Ê","E"),"Í","I"),"Ó","O"),"Ô","O"),"Õ","O"),"Ú","U"),"Ü","U"),"Ç","C"))</f>
        <v/>
      </c>
      <c r="C295" s="43"/>
      <c r="D295" s="23"/>
      <c r="E295" s="23"/>
      <c r="F295" s="11"/>
      <c r="G295" s="35"/>
      <c r="H295" s="23"/>
      <c r="I295" s="24"/>
      <c r="J295" s="31" t="str">
        <f aca="false">IF(I295="","",UPPER(SUBSTITUTE(SUBSTITUTE(SUBSTITUTE(SUBSTITUTE(SUBSTITUTE(TRIM(I295),".",""),"/",""),"-",""),"*","")," ","")))</f>
        <v/>
      </c>
      <c r="K295" s="31" t="str">
        <f aca="false">IF(OR(H295="",J295=""),"",IF(LEN(J295)&gt;=13,IF(LEN(J295)=13,"0"&amp;J295,J295),SUBSTITUTE(SUBSTITUTE(SUBSTITUTE(SUBSTITUTE(SUBSTITUTE(SUBSTITUTE(SUBSTITUTE(SUBSTITUTE(SUBSTITUTE(SUBSTITUTE(SUBSTITUTE(SUBSTITUTE(SUBSTITUTE(UPPER(TRIM(H295)),"Á","A"),"À","A"),"Â","A"),"Ã","A"),"É","E"),"Ê","E"),"Í","I"),"Ó","O"),"Ô","O"),"Õ","O"),"Ú","U"),"Ü","U"),"Ç","C")&amp;"|"&amp;IF(LEN(J295)=11,MID(J295,4,6),J295)))</f>
        <v/>
      </c>
      <c r="L295" s="25" t="str">
        <f aca="false">IF(K295="","",IF(E295="Doação recebida",TRIM(IF(COUNTIF(Socios!$H:$H,K295)&gt;0,"Doador é sócio de empresa da pauta. ","")&amp;IF(COUNTIF(Pessoas!$E:$E,K295)&gt;0,"Doador está em Pessoas.","")),IF(E295="Despesa com fornecedor",IF(COUNTIF(Contratos!$D:$D,K295)&gt;0,"Fornecedor também tem contrato público",""),"")))</f>
        <v/>
      </c>
      <c r="M295" s="24"/>
      <c r="N295" s="11"/>
    </row>
    <row r="296" customFormat="false" ht="15" hidden="false" customHeight="false" outlineLevel="0" collapsed="false">
      <c r="A296" s="23"/>
      <c r="B296" s="31" t="str">
        <f aca="false">IF(A296="","",SUBSTITUTE(SUBSTITUTE(SUBSTITUTE(SUBSTITUTE(SUBSTITUTE(SUBSTITUTE(SUBSTITUTE(SUBSTITUTE(SUBSTITUTE(SUBSTITUTE(SUBSTITUTE(SUBSTITUTE(SUBSTITUTE(UPPER(TRIM(A296)),"Á","A"),"À","A"),"Â","A"),"Ã","A"),"É","E"),"Ê","E"),"Í","I"),"Ó","O"),"Ô","O"),"Õ","O"),"Ú","U"),"Ü","U"),"Ç","C"))</f>
        <v/>
      </c>
      <c r="C296" s="43"/>
      <c r="D296" s="23"/>
      <c r="E296" s="23"/>
      <c r="F296" s="11"/>
      <c r="G296" s="35"/>
      <c r="H296" s="23"/>
      <c r="I296" s="24"/>
      <c r="J296" s="31" t="str">
        <f aca="false">IF(I296="","",UPPER(SUBSTITUTE(SUBSTITUTE(SUBSTITUTE(SUBSTITUTE(SUBSTITUTE(TRIM(I296),".",""),"/",""),"-",""),"*","")," ","")))</f>
        <v/>
      </c>
      <c r="K296" s="31" t="str">
        <f aca="false">IF(OR(H296="",J296=""),"",IF(LEN(J296)&gt;=13,IF(LEN(J296)=13,"0"&amp;J296,J296),SUBSTITUTE(SUBSTITUTE(SUBSTITUTE(SUBSTITUTE(SUBSTITUTE(SUBSTITUTE(SUBSTITUTE(SUBSTITUTE(SUBSTITUTE(SUBSTITUTE(SUBSTITUTE(SUBSTITUTE(SUBSTITUTE(UPPER(TRIM(H296)),"Á","A"),"À","A"),"Â","A"),"Ã","A"),"É","E"),"Ê","E"),"Í","I"),"Ó","O"),"Ô","O"),"Õ","O"),"Ú","U"),"Ü","U"),"Ç","C")&amp;"|"&amp;IF(LEN(J296)=11,MID(J296,4,6),J296)))</f>
        <v/>
      </c>
      <c r="L296" s="25" t="str">
        <f aca="false">IF(K296="","",IF(E296="Doação recebida",TRIM(IF(COUNTIF(Socios!$H:$H,K296)&gt;0,"Doador é sócio de empresa da pauta. ","")&amp;IF(COUNTIF(Pessoas!$E:$E,K296)&gt;0,"Doador está em Pessoas.","")),IF(E296="Despesa com fornecedor",IF(COUNTIF(Contratos!$D:$D,K296)&gt;0,"Fornecedor também tem contrato público",""),"")))</f>
        <v/>
      </c>
      <c r="M296" s="24"/>
      <c r="N296" s="11"/>
    </row>
    <row r="297" customFormat="false" ht="15" hidden="false" customHeight="false" outlineLevel="0" collapsed="false">
      <c r="A297" s="23"/>
      <c r="B297" s="31" t="str">
        <f aca="false">IF(A297="","",SUBSTITUTE(SUBSTITUTE(SUBSTITUTE(SUBSTITUTE(SUBSTITUTE(SUBSTITUTE(SUBSTITUTE(SUBSTITUTE(SUBSTITUTE(SUBSTITUTE(SUBSTITUTE(SUBSTITUTE(SUBSTITUTE(UPPER(TRIM(A297)),"Á","A"),"À","A"),"Â","A"),"Ã","A"),"É","E"),"Ê","E"),"Í","I"),"Ó","O"),"Ô","O"),"Õ","O"),"Ú","U"),"Ü","U"),"Ç","C"))</f>
        <v/>
      </c>
      <c r="C297" s="43"/>
      <c r="D297" s="23"/>
      <c r="E297" s="23"/>
      <c r="F297" s="11"/>
      <c r="G297" s="35"/>
      <c r="H297" s="23"/>
      <c r="I297" s="24"/>
      <c r="J297" s="31" t="str">
        <f aca="false">IF(I297="","",UPPER(SUBSTITUTE(SUBSTITUTE(SUBSTITUTE(SUBSTITUTE(SUBSTITUTE(TRIM(I297),".",""),"/",""),"-",""),"*","")," ","")))</f>
        <v/>
      </c>
      <c r="K297" s="31" t="str">
        <f aca="false">IF(OR(H297="",J297=""),"",IF(LEN(J297)&gt;=13,IF(LEN(J297)=13,"0"&amp;J297,J297),SUBSTITUTE(SUBSTITUTE(SUBSTITUTE(SUBSTITUTE(SUBSTITUTE(SUBSTITUTE(SUBSTITUTE(SUBSTITUTE(SUBSTITUTE(SUBSTITUTE(SUBSTITUTE(SUBSTITUTE(SUBSTITUTE(UPPER(TRIM(H297)),"Á","A"),"À","A"),"Â","A"),"Ã","A"),"É","E"),"Ê","E"),"Í","I"),"Ó","O"),"Ô","O"),"Õ","O"),"Ú","U"),"Ü","U"),"Ç","C")&amp;"|"&amp;IF(LEN(J297)=11,MID(J297,4,6),J297)))</f>
        <v/>
      </c>
      <c r="L297" s="25" t="str">
        <f aca="false">IF(K297="","",IF(E297="Doação recebida",TRIM(IF(COUNTIF(Socios!$H:$H,K297)&gt;0,"Doador é sócio de empresa da pauta. ","")&amp;IF(COUNTIF(Pessoas!$E:$E,K297)&gt;0,"Doador está em Pessoas.","")),IF(E297="Despesa com fornecedor",IF(COUNTIF(Contratos!$D:$D,K297)&gt;0,"Fornecedor também tem contrato público",""),"")))</f>
        <v/>
      </c>
      <c r="M297" s="24"/>
      <c r="N297" s="11"/>
    </row>
    <row r="298" customFormat="false" ht="15" hidden="false" customHeight="false" outlineLevel="0" collapsed="false">
      <c r="A298" s="23"/>
      <c r="B298" s="31" t="str">
        <f aca="false">IF(A298="","",SUBSTITUTE(SUBSTITUTE(SUBSTITUTE(SUBSTITUTE(SUBSTITUTE(SUBSTITUTE(SUBSTITUTE(SUBSTITUTE(SUBSTITUTE(SUBSTITUTE(SUBSTITUTE(SUBSTITUTE(SUBSTITUTE(UPPER(TRIM(A298)),"Á","A"),"À","A"),"Â","A"),"Ã","A"),"É","E"),"Ê","E"),"Í","I"),"Ó","O"),"Ô","O"),"Õ","O"),"Ú","U"),"Ü","U"),"Ç","C"))</f>
        <v/>
      </c>
      <c r="C298" s="43"/>
      <c r="D298" s="23"/>
      <c r="E298" s="23"/>
      <c r="F298" s="11"/>
      <c r="G298" s="35"/>
      <c r="H298" s="23"/>
      <c r="I298" s="24"/>
      <c r="J298" s="31" t="str">
        <f aca="false">IF(I298="","",UPPER(SUBSTITUTE(SUBSTITUTE(SUBSTITUTE(SUBSTITUTE(SUBSTITUTE(TRIM(I298),".",""),"/",""),"-",""),"*","")," ","")))</f>
        <v/>
      </c>
      <c r="K298" s="31" t="str">
        <f aca="false">IF(OR(H298="",J298=""),"",IF(LEN(J298)&gt;=13,IF(LEN(J298)=13,"0"&amp;J298,J298),SUBSTITUTE(SUBSTITUTE(SUBSTITUTE(SUBSTITUTE(SUBSTITUTE(SUBSTITUTE(SUBSTITUTE(SUBSTITUTE(SUBSTITUTE(SUBSTITUTE(SUBSTITUTE(SUBSTITUTE(SUBSTITUTE(UPPER(TRIM(H298)),"Á","A"),"À","A"),"Â","A"),"Ã","A"),"É","E"),"Ê","E"),"Í","I"),"Ó","O"),"Ô","O"),"Õ","O"),"Ú","U"),"Ü","U"),"Ç","C")&amp;"|"&amp;IF(LEN(J298)=11,MID(J298,4,6),J298)))</f>
        <v/>
      </c>
      <c r="L298" s="25" t="str">
        <f aca="false">IF(K298="","",IF(E298="Doação recebida",TRIM(IF(COUNTIF(Socios!$H:$H,K298)&gt;0,"Doador é sócio de empresa da pauta. ","")&amp;IF(COUNTIF(Pessoas!$E:$E,K298)&gt;0,"Doador está em Pessoas.","")),IF(E298="Despesa com fornecedor",IF(COUNTIF(Contratos!$D:$D,K298)&gt;0,"Fornecedor também tem contrato público",""),"")))</f>
        <v/>
      </c>
      <c r="M298" s="24"/>
      <c r="N298" s="11"/>
    </row>
    <row r="299" customFormat="false" ht="15" hidden="false" customHeight="false" outlineLevel="0" collapsed="false">
      <c r="A299" s="23"/>
      <c r="B299" s="31" t="str">
        <f aca="false">IF(A299="","",SUBSTITUTE(SUBSTITUTE(SUBSTITUTE(SUBSTITUTE(SUBSTITUTE(SUBSTITUTE(SUBSTITUTE(SUBSTITUTE(SUBSTITUTE(SUBSTITUTE(SUBSTITUTE(SUBSTITUTE(SUBSTITUTE(UPPER(TRIM(A299)),"Á","A"),"À","A"),"Â","A"),"Ã","A"),"É","E"),"Ê","E"),"Í","I"),"Ó","O"),"Ô","O"),"Õ","O"),"Ú","U"),"Ü","U"),"Ç","C"))</f>
        <v/>
      </c>
      <c r="C299" s="43"/>
      <c r="D299" s="23"/>
      <c r="E299" s="23"/>
      <c r="F299" s="11"/>
      <c r="G299" s="35"/>
      <c r="H299" s="23"/>
      <c r="I299" s="24"/>
      <c r="J299" s="31" t="str">
        <f aca="false">IF(I299="","",UPPER(SUBSTITUTE(SUBSTITUTE(SUBSTITUTE(SUBSTITUTE(SUBSTITUTE(TRIM(I299),".",""),"/",""),"-",""),"*","")," ","")))</f>
        <v/>
      </c>
      <c r="K299" s="31" t="str">
        <f aca="false">IF(OR(H299="",J299=""),"",IF(LEN(J299)&gt;=13,IF(LEN(J299)=13,"0"&amp;J299,J299),SUBSTITUTE(SUBSTITUTE(SUBSTITUTE(SUBSTITUTE(SUBSTITUTE(SUBSTITUTE(SUBSTITUTE(SUBSTITUTE(SUBSTITUTE(SUBSTITUTE(SUBSTITUTE(SUBSTITUTE(SUBSTITUTE(UPPER(TRIM(H299)),"Á","A"),"À","A"),"Â","A"),"Ã","A"),"É","E"),"Ê","E"),"Í","I"),"Ó","O"),"Ô","O"),"Õ","O"),"Ú","U"),"Ü","U"),"Ç","C")&amp;"|"&amp;IF(LEN(J299)=11,MID(J299,4,6),J299)))</f>
        <v/>
      </c>
      <c r="L299" s="25" t="str">
        <f aca="false">IF(K299="","",IF(E299="Doação recebida",TRIM(IF(COUNTIF(Socios!$H:$H,K299)&gt;0,"Doador é sócio de empresa da pauta. ","")&amp;IF(COUNTIF(Pessoas!$E:$E,K299)&gt;0,"Doador está em Pessoas.","")),IF(E299="Despesa com fornecedor",IF(COUNTIF(Contratos!$D:$D,K299)&gt;0,"Fornecedor também tem contrato público",""),"")))</f>
        <v/>
      </c>
      <c r="M299" s="24"/>
      <c r="N299" s="11"/>
    </row>
    <row r="300" customFormat="false" ht="15" hidden="false" customHeight="false" outlineLevel="0" collapsed="false">
      <c r="A300" s="23"/>
      <c r="B300" s="31" t="str">
        <f aca="false">IF(A300="","",SUBSTITUTE(SUBSTITUTE(SUBSTITUTE(SUBSTITUTE(SUBSTITUTE(SUBSTITUTE(SUBSTITUTE(SUBSTITUTE(SUBSTITUTE(SUBSTITUTE(SUBSTITUTE(SUBSTITUTE(SUBSTITUTE(UPPER(TRIM(A300)),"Á","A"),"À","A"),"Â","A"),"Ã","A"),"É","E"),"Ê","E"),"Í","I"),"Ó","O"),"Ô","O"),"Õ","O"),"Ú","U"),"Ü","U"),"Ç","C"))</f>
        <v/>
      </c>
      <c r="C300" s="43"/>
      <c r="D300" s="23"/>
      <c r="E300" s="23"/>
      <c r="F300" s="11"/>
      <c r="G300" s="35"/>
      <c r="H300" s="23"/>
      <c r="I300" s="24"/>
      <c r="J300" s="31" t="str">
        <f aca="false">IF(I300="","",UPPER(SUBSTITUTE(SUBSTITUTE(SUBSTITUTE(SUBSTITUTE(SUBSTITUTE(TRIM(I300),".",""),"/",""),"-",""),"*","")," ","")))</f>
        <v/>
      </c>
      <c r="K300" s="31" t="str">
        <f aca="false">IF(OR(H300="",J300=""),"",IF(LEN(J300)&gt;=13,IF(LEN(J300)=13,"0"&amp;J300,J300),SUBSTITUTE(SUBSTITUTE(SUBSTITUTE(SUBSTITUTE(SUBSTITUTE(SUBSTITUTE(SUBSTITUTE(SUBSTITUTE(SUBSTITUTE(SUBSTITUTE(SUBSTITUTE(SUBSTITUTE(SUBSTITUTE(UPPER(TRIM(H300)),"Á","A"),"À","A"),"Â","A"),"Ã","A"),"É","E"),"Ê","E"),"Í","I"),"Ó","O"),"Ô","O"),"Õ","O"),"Ú","U"),"Ü","U"),"Ç","C")&amp;"|"&amp;IF(LEN(J300)=11,MID(J300,4,6),J300)))</f>
        <v/>
      </c>
      <c r="L300" s="25" t="str">
        <f aca="false">IF(K300="","",IF(E300="Doação recebida",TRIM(IF(COUNTIF(Socios!$H:$H,K300)&gt;0,"Doador é sócio de empresa da pauta. ","")&amp;IF(COUNTIF(Pessoas!$E:$E,K300)&gt;0,"Doador está em Pessoas.","")),IF(E300="Despesa com fornecedor",IF(COUNTIF(Contratos!$D:$D,K300)&gt;0,"Fornecedor também tem contrato público",""),"")))</f>
        <v/>
      </c>
      <c r="M300" s="24"/>
      <c r="N300" s="11"/>
    </row>
    <row r="301" customFormat="false" ht="15" hidden="false" customHeight="false" outlineLevel="0" collapsed="false">
      <c r="A301" s="23"/>
      <c r="B301" s="31" t="str">
        <f aca="false">IF(A301="","",SUBSTITUTE(SUBSTITUTE(SUBSTITUTE(SUBSTITUTE(SUBSTITUTE(SUBSTITUTE(SUBSTITUTE(SUBSTITUTE(SUBSTITUTE(SUBSTITUTE(SUBSTITUTE(SUBSTITUTE(SUBSTITUTE(UPPER(TRIM(A301)),"Á","A"),"À","A"),"Â","A"),"Ã","A"),"É","E"),"Ê","E"),"Í","I"),"Ó","O"),"Ô","O"),"Õ","O"),"Ú","U"),"Ü","U"),"Ç","C"))</f>
        <v/>
      </c>
      <c r="C301" s="43"/>
      <c r="D301" s="23"/>
      <c r="E301" s="23"/>
      <c r="F301" s="11"/>
      <c r="G301" s="35"/>
      <c r="H301" s="23"/>
      <c r="I301" s="24"/>
      <c r="J301" s="31" t="str">
        <f aca="false">IF(I301="","",UPPER(SUBSTITUTE(SUBSTITUTE(SUBSTITUTE(SUBSTITUTE(SUBSTITUTE(TRIM(I301),".",""),"/",""),"-",""),"*","")," ","")))</f>
        <v/>
      </c>
      <c r="K301" s="31" t="str">
        <f aca="false">IF(OR(H301="",J301=""),"",IF(LEN(J301)&gt;=13,IF(LEN(J301)=13,"0"&amp;J301,J301),SUBSTITUTE(SUBSTITUTE(SUBSTITUTE(SUBSTITUTE(SUBSTITUTE(SUBSTITUTE(SUBSTITUTE(SUBSTITUTE(SUBSTITUTE(SUBSTITUTE(SUBSTITUTE(SUBSTITUTE(SUBSTITUTE(UPPER(TRIM(H301)),"Á","A"),"À","A"),"Â","A"),"Ã","A"),"É","E"),"Ê","E"),"Í","I"),"Ó","O"),"Ô","O"),"Õ","O"),"Ú","U"),"Ü","U"),"Ç","C")&amp;"|"&amp;IF(LEN(J301)=11,MID(J301,4,6),J301)))</f>
        <v/>
      </c>
      <c r="L301" s="25" t="str">
        <f aca="false">IF(K301="","",IF(E301="Doação recebida",TRIM(IF(COUNTIF(Socios!$H:$H,K301)&gt;0,"Doador é sócio de empresa da pauta. ","")&amp;IF(COUNTIF(Pessoas!$E:$E,K301)&gt;0,"Doador está em Pessoas.","")),IF(E301="Despesa com fornecedor",IF(COUNTIF(Contratos!$D:$D,K301)&gt;0,"Fornecedor também tem contrato público",""),"")))</f>
        <v/>
      </c>
      <c r="M301" s="24"/>
      <c r="N301" s="11"/>
    </row>
    <row r="302" customFormat="false" ht="15" hidden="false" customHeight="false" outlineLevel="0" collapsed="false">
      <c r="A302" s="23"/>
      <c r="B302" s="31" t="str">
        <f aca="false">IF(A302="","",SUBSTITUTE(SUBSTITUTE(SUBSTITUTE(SUBSTITUTE(SUBSTITUTE(SUBSTITUTE(SUBSTITUTE(SUBSTITUTE(SUBSTITUTE(SUBSTITUTE(SUBSTITUTE(SUBSTITUTE(SUBSTITUTE(UPPER(TRIM(A302)),"Á","A"),"À","A"),"Â","A"),"Ã","A"),"É","E"),"Ê","E"),"Í","I"),"Ó","O"),"Ô","O"),"Õ","O"),"Ú","U"),"Ü","U"),"Ç","C"))</f>
        <v/>
      </c>
      <c r="C302" s="43"/>
      <c r="D302" s="23"/>
      <c r="E302" s="23"/>
      <c r="F302" s="11"/>
      <c r="G302" s="35"/>
      <c r="H302" s="23"/>
      <c r="I302" s="24"/>
      <c r="J302" s="31" t="str">
        <f aca="false">IF(I302="","",UPPER(SUBSTITUTE(SUBSTITUTE(SUBSTITUTE(SUBSTITUTE(SUBSTITUTE(TRIM(I302),".",""),"/",""),"-",""),"*","")," ","")))</f>
        <v/>
      </c>
      <c r="K302" s="31" t="str">
        <f aca="false">IF(OR(H302="",J302=""),"",IF(LEN(J302)&gt;=13,IF(LEN(J302)=13,"0"&amp;J302,J302),SUBSTITUTE(SUBSTITUTE(SUBSTITUTE(SUBSTITUTE(SUBSTITUTE(SUBSTITUTE(SUBSTITUTE(SUBSTITUTE(SUBSTITUTE(SUBSTITUTE(SUBSTITUTE(SUBSTITUTE(SUBSTITUTE(UPPER(TRIM(H302)),"Á","A"),"À","A"),"Â","A"),"Ã","A"),"É","E"),"Ê","E"),"Í","I"),"Ó","O"),"Ô","O"),"Õ","O"),"Ú","U"),"Ü","U"),"Ç","C")&amp;"|"&amp;IF(LEN(J302)=11,MID(J302,4,6),J302)))</f>
        <v/>
      </c>
      <c r="L302" s="25" t="str">
        <f aca="false">IF(K302="","",IF(E302="Doação recebida",TRIM(IF(COUNTIF(Socios!$H:$H,K302)&gt;0,"Doador é sócio de empresa da pauta. ","")&amp;IF(COUNTIF(Pessoas!$E:$E,K302)&gt;0,"Doador está em Pessoas.","")),IF(E302="Despesa com fornecedor",IF(COUNTIF(Contratos!$D:$D,K302)&gt;0,"Fornecedor também tem contrato público",""),"")))</f>
        <v/>
      </c>
      <c r="M302" s="24"/>
      <c r="N302" s="11"/>
    </row>
    <row r="303" customFormat="false" ht="15" hidden="false" customHeight="false" outlineLevel="0" collapsed="false">
      <c r="A303" s="23"/>
      <c r="B303" s="31" t="str">
        <f aca="false">IF(A303="","",SUBSTITUTE(SUBSTITUTE(SUBSTITUTE(SUBSTITUTE(SUBSTITUTE(SUBSTITUTE(SUBSTITUTE(SUBSTITUTE(SUBSTITUTE(SUBSTITUTE(SUBSTITUTE(SUBSTITUTE(SUBSTITUTE(UPPER(TRIM(A303)),"Á","A"),"À","A"),"Â","A"),"Ã","A"),"É","E"),"Ê","E"),"Í","I"),"Ó","O"),"Ô","O"),"Õ","O"),"Ú","U"),"Ü","U"),"Ç","C"))</f>
        <v/>
      </c>
      <c r="C303" s="43"/>
      <c r="D303" s="23"/>
      <c r="E303" s="23"/>
      <c r="F303" s="11"/>
      <c r="G303" s="35"/>
      <c r="H303" s="23"/>
      <c r="I303" s="24"/>
      <c r="J303" s="31" t="str">
        <f aca="false">IF(I303="","",UPPER(SUBSTITUTE(SUBSTITUTE(SUBSTITUTE(SUBSTITUTE(SUBSTITUTE(TRIM(I303),".",""),"/",""),"-",""),"*","")," ","")))</f>
        <v/>
      </c>
      <c r="K303" s="31" t="str">
        <f aca="false">IF(OR(H303="",J303=""),"",IF(LEN(J303)&gt;=13,IF(LEN(J303)=13,"0"&amp;J303,J303),SUBSTITUTE(SUBSTITUTE(SUBSTITUTE(SUBSTITUTE(SUBSTITUTE(SUBSTITUTE(SUBSTITUTE(SUBSTITUTE(SUBSTITUTE(SUBSTITUTE(SUBSTITUTE(SUBSTITUTE(SUBSTITUTE(UPPER(TRIM(H303)),"Á","A"),"À","A"),"Â","A"),"Ã","A"),"É","E"),"Ê","E"),"Í","I"),"Ó","O"),"Ô","O"),"Õ","O"),"Ú","U"),"Ü","U"),"Ç","C")&amp;"|"&amp;IF(LEN(J303)=11,MID(J303,4,6),J303)))</f>
        <v/>
      </c>
      <c r="L303" s="25" t="str">
        <f aca="false">IF(K303="","",IF(E303="Doação recebida",TRIM(IF(COUNTIF(Socios!$H:$H,K303)&gt;0,"Doador é sócio de empresa da pauta. ","")&amp;IF(COUNTIF(Pessoas!$E:$E,K303)&gt;0,"Doador está em Pessoas.","")),IF(E303="Despesa com fornecedor",IF(COUNTIF(Contratos!$D:$D,K303)&gt;0,"Fornecedor também tem contrato público",""),"")))</f>
        <v/>
      </c>
      <c r="M303" s="24"/>
      <c r="N303" s="11"/>
    </row>
    <row r="304" customFormat="false" ht="15" hidden="false" customHeight="false" outlineLevel="0" collapsed="false">
      <c r="A304" s="23"/>
      <c r="B304" s="31" t="str">
        <f aca="false">IF(A304="","",SUBSTITUTE(SUBSTITUTE(SUBSTITUTE(SUBSTITUTE(SUBSTITUTE(SUBSTITUTE(SUBSTITUTE(SUBSTITUTE(SUBSTITUTE(SUBSTITUTE(SUBSTITUTE(SUBSTITUTE(SUBSTITUTE(UPPER(TRIM(A304)),"Á","A"),"À","A"),"Â","A"),"Ã","A"),"É","E"),"Ê","E"),"Í","I"),"Ó","O"),"Ô","O"),"Õ","O"),"Ú","U"),"Ü","U"),"Ç","C"))</f>
        <v/>
      </c>
      <c r="C304" s="43"/>
      <c r="D304" s="23"/>
      <c r="E304" s="23"/>
      <c r="F304" s="11"/>
      <c r="G304" s="35"/>
      <c r="H304" s="23"/>
      <c r="I304" s="24"/>
      <c r="J304" s="31" t="str">
        <f aca="false">IF(I304="","",UPPER(SUBSTITUTE(SUBSTITUTE(SUBSTITUTE(SUBSTITUTE(SUBSTITUTE(TRIM(I304),".",""),"/",""),"-",""),"*","")," ","")))</f>
        <v/>
      </c>
      <c r="K304" s="31" t="str">
        <f aca="false">IF(OR(H304="",J304=""),"",IF(LEN(J304)&gt;=13,IF(LEN(J304)=13,"0"&amp;J304,J304),SUBSTITUTE(SUBSTITUTE(SUBSTITUTE(SUBSTITUTE(SUBSTITUTE(SUBSTITUTE(SUBSTITUTE(SUBSTITUTE(SUBSTITUTE(SUBSTITUTE(SUBSTITUTE(SUBSTITUTE(SUBSTITUTE(UPPER(TRIM(H304)),"Á","A"),"À","A"),"Â","A"),"Ã","A"),"É","E"),"Ê","E"),"Í","I"),"Ó","O"),"Ô","O"),"Õ","O"),"Ú","U"),"Ü","U"),"Ç","C")&amp;"|"&amp;IF(LEN(J304)=11,MID(J304,4,6),J304)))</f>
        <v/>
      </c>
      <c r="L304" s="25" t="str">
        <f aca="false">IF(K304="","",IF(E304="Doação recebida",TRIM(IF(COUNTIF(Socios!$H:$H,K304)&gt;0,"Doador é sócio de empresa da pauta. ","")&amp;IF(COUNTIF(Pessoas!$E:$E,K304)&gt;0,"Doador está em Pessoas.","")),IF(E304="Despesa com fornecedor",IF(COUNTIF(Contratos!$D:$D,K304)&gt;0,"Fornecedor também tem contrato público",""),"")))</f>
        <v/>
      </c>
      <c r="M304" s="24"/>
      <c r="N304" s="11"/>
    </row>
    <row r="305" customFormat="false" ht="15" hidden="false" customHeight="false" outlineLevel="0" collapsed="false">
      <c r="A305" s="23"/>
      <c r="B305" s="31" t="str">
        <f aca="false">IF(A305="","",SUBSTITUTE(SUBSTITUTE(SUBSTITUTE(SUBSTITUTE(SUBSTITUTE(SUBSTITUTE(SUBSTITUTE(SUBSTITUTE(SUBSTITUTE(SUBSTITUTE(SUBSTITUTE(SUBSTITUTE(SUBSTITUTE(UPPER(TRIM(A305)),"Á","A"),"À","A"),"Â","A"),"Ã","A"),"É","E"),"Ê","E"),"Í","I"),"Ó","O"),"Ô","O"),"Õ","O"),"Ú","U"),"Ü","U"),"Ç","C"))</f>
        <v/>
      </c>
      <c r="C305" s="43"/>
      <c r="D305" s="23"/>
      <c r="E305" s="23"/>
      <c r="F305" s="11"/>
      <c r="G305" s="35"/>
      <c r="H305" s="23"/>
      <c r="I305" s="24"/>
      <c r="J305" s="31" t="str">
        <f aca="false">IF(I305="","",UPPER(SUBSTITUTE(SUBSTITUTE(SUBSTITUTE(SUBSTITUTE(SUBSTITUTE(TRIM(I305),".",""),"/",""),"-",""),"*","")," ","")))</f>
        <v/>
      </c>
      <c r="K305" s="31" t="str">
        <f aca="false">IF(OR(H305="",J305=""),"",IF(LEN(J305)&gt;=13,IF(LEN(J305)=13,"0"&amp;J305,J305),SUBSTITUTE(SUBSTITUTE(SUBSTITUTE(SUBSTITUTE(SUBSTITUTE(SUBSTITUTE(SUBSTITUTE(SUBSTITUTE(SUBSTITUTE(SUBSTITUTE(SUBSTITUTE(SUBSTITUTE(SUBSTITUTE(UPPER(TRIM(H305)),"Á","A"),"À","A"),"Â","A"),"Ã","A"),"É","E"),"Ê","E"),"Í","I"),"Ó","O"),"Ô","O"),"Õ","O"),"Ú","U"),"Ü","U"),"Ç","C")&amp;"|"&amp;IF(LEN(J305)=11,MID(J305,4,6),J305)))</f>
        <v/>
      </c>
      <c r="L305" s="25" t="str">
        <f aca="false">IF(K305="","",IF(E305="Doação recebida",TRIM(IF(COUNTIF(Socios!$H:$H,K305)&gt;0,"Doador é sócio de empresa da pauta. ","")&amp;IF(COUNTIF(Pessoas!$E:$E,K305)&gt;0,"Doador está em Pessoas.","")),IF(E305="Despesa com fornecedor",IF(COUNTIF(Contratos!$D:$D,K305)&gt;0,"Fornecedor também tem contrato público",""),"")))</f>
        <v/>
      </c>
      <c r="M305" s="24"/>
      <c r="N305" s="11"/>
    </row>
    <row r="306" customFormat="false" ht="15" hidden="false" customHeight="false" outlineLevel="0" collapsed="false">
      <c r="A306" s="23"/>
      <c r="B306" s="31" t="str">
        <f aca="false">IF(A306="","",SUBSTITUTE(SUBSTITUTE(SUBSTITUTE(SUBSTITUTE(SUBSTITUTE(SUBSTITUTE(SUBSTITUTE(SUBSTITUTE(SUBSTITUTE(SUBSTITUTE(SUBSTITUTE(SUBSTITUTE(SUBSTITUTE(UPPER(TRIM(A306)),"Á","A"),"À","A"),"Â","A"),"Ã","A"),"É","E"),"Ê","E"),"Í","I"),"Ó","O"),"Ô","O"),"Õ","O"),"Ú","U"),"Ü","U"),"Ç","C"))</f>
        <v/>
      </c>
      <c r="C306" s="43"/>
      <c r="D306" s="23"/>
      <c r="E306" s="23"/>
      <c r="F306" s="11"/>
      <c r="G306" s="35"/>
      <c r="H306" s="23"/>
      <c r="I306" s="24"/>
      <c r="J306" s="31" t="str">
        <f aca="false">IF(I306="","",UPPER(SUBSTITUTE(SUBSTITUTE(SUBSTITUTE(SUBSTITUTE(SUBSTITUTE(TRIM(I306),".",""),"/",""),"-",""),"*","")," ","")))</f>
        <v/>
      </c>
      <c r="K306" s="31" t="str">
        <f aca="false">IF(OR(H306="",J306=""),"",IF(LEN(J306)&gt;=13,IF(LEN(J306)=13,"0"&amp;J306,J306),SUBSTITUTE(SUBSTITUTE(SUBSTITUTE(SUBSTITUTE(SUBSTITUTE(SUBSTITUTE(SUBSTITUTE(SUBSTITUTE(SUBSTITUTE(SUBSTITUTE(SUBSTITUTE(SUBSTITUTE(SUBSTITUTE(UPPER(TRIM(H306)),"Á","A"),"À","A"),"Â","A"),"Ã","A"),"É","E"),"Ê","E"),"Í","I"),"Ó","O"),"Ô","O"),"Õ","O"),"Ú","U"),"Ü","U"),"Ç","C")&amp;"|"&amp;IF(LEN(J306)=11,MID(J306,4,6),J306)))</f>
        <v/>
      </c>
      <c r="L306" s="25" t="str">
        <f aca="false">IF(K306="","",IF(E306="Doação recebida",TRIM(IF(COUNTIF(Socios!$H:$H,K306)&gt;0,"Doador é sócio de empresa da pauta. ","")&amp;IF(COUNTIF(Pessoas!$E:$E,K306)&gt;0,"Doador está em Pessoas.","")),IF(E306="Despesa com fornecedor",IF(COUNTIF(Contratos!$D:$D,K306)&gt;0,"Fornecedor também tem contrato público",""),"")))</f>
        <v/>
      </c>
      <c r="M306" s="24"/>
      <c r="N306" s="11"/>
    </row>
    <row r="307" customFormat="false" ht="15" hidden="false" customHeight="false" outlineLevel="0" collapsed="false">
      <c r="A307" s="23"/>
      <c r="B307" s="31" t="str">
        <f aca="false">IF(A307="","",SUBSTITUTE(SUBSTITUTE(SUBSTITUTE(SUBSTITUTE(SUBSTITUTE(SUBSTITUTE(SUBSTITUTE(SUBSTITUTE(SUBSTITUTE(SUBSTITUTE(SUBSTITUTE(SUBSTITUTE(SUBSTITUTE(UPPER(TRIM(A307)),"Á","A"),"À","A"),"Â","A"),"Ã","A"),"É","E"),"Ê","E"),"Í","I"),"Ó","O"),"Ô","O"),"Õ","O"),"Ú","U"),"Ü","U"),"Ç","C"))</f>
        <v/>
      </c>
      <c r="C307" s="43"/>
      <c r="D307" s="23"/>
      <c r="E307" s="23"/>
      <c r="F307" s="11"/>
      <c r="G307" s="35"/>
      <c r="H307" s="23"/>
      <c r="I307" s="24"/>
      <c r="J307" s="31" t="str">
        <f aca="false">IF(I307="","",UPPER(SUBSTITUTE(SUBSTITUTE(SUBSTITUTE(SUBSTITUTE(SUBSTITUTE(TRIM(I307),".",""),"/",""),"-",""),"*","")," ","")))</f>
        <v/>
      </c>
      <c r="K307" s="31" t="str">
        <f aca="false">IF(OR(H307="",J307=""),"",IF(LEN(J307)&gt;=13,IF(LEN(J307)=13,"0"&amp;J307,J307),SUBSTITUTE(SUBSTITUTE(SUBSTITUTE(SUBSTITUTE(SUBSTITUTE(SUBSTITUTE(SUBSTITUTE(SUBSTITUTE(SUBSTITUTE(SUBSTITUTE(SUBSTITUTE(SUBSTITUTE(SUBSTITUTE(UPPER(TRIM(H307)),"Á","A"),"À","A"),"Â","A"),"Ã","A"),"É","E"),"Ê","E"),"Í","I"),"Ó","O"),"Ô","O"),"Õ","O"),"Ú","U"),"Ü","U"),"Ç","C")&amp;"|"&amp;IF(LEN(J307)=11,MID(J307,4,6),J307)))</f>
        <v/>
      </c>
      <c r="L307" s="25" t="str">
        <f aca="false">IF(K307="","",IF(E307="Doação recebida",TRIM(IF(COUNTIF(Socios!$H:$H,K307)&gt;0,"Doador é sócio de empresa da pauta. ","")&amp;IF(COUNTIF(Pessoas!$E:$E,K307)&gt;0,"Doador está em Pessoas.","")),IF(E307="Despesa com fornecedor",IF(COUNTIF(Contratos!$D:$D,K307)&gt;0,"Fornecedor também tem contrato público",""),"")))</f>
        <v/>
      </c>
      <c r="M307" s="24"/>
      <c r="N307" s="11"/>
    </row>
    <row r="308" customFormat="false" ht="15" hidden="false" customHeight="false" outlineLevel="0" collapsed="false">
      <c r="A308" s="23"/>
      <c r="B308" s="31" t="str">
        <f aca="false">IF(A308="","",SUBSTITUTE(SUBSTITUTE(SUBSTITUTE(SUBSTITUTE(SUBSTITUTE(SUBSTITUTE(SUBSTITUTE(SUBSTITUTE(SUBSTITUTE(SUBSTITUTE(SUBSTITUTE(SUBSTITUTE(SUBSTITUTE(UPPER(TRIM(A308)),"Á","A"),"À","A"),"Â","A"),"Ã","A"),"É","E"),"Ê","E"),"Í","I"),"Ó","O"),"Ô","O"),"Õ","O"),"Ú","U"),"Ü","U"),"Ç","C"))</f>
        <v/>
      </c>
      <c r="C308" s="43"/>
      <c r="D308" s="23"/>
      <c r="E308" s="23"/>
      <c r="F308" s="11"/>
      <c r="G308" s="35"/>
      <c r="H308" s="23"/>
      <c r="I308" s="24"/>
      <c r="J308" s="31" t="str">
        <f aca="false">IF(I308="","",UPPER(SUBSTITUTE(SUBSTITUTE(SUBSTITUTE(SUBSTITUTE(SUBSTITUTE(TRIM(I308),".",""),"/",""),"-",""),"*","")," ","")))</f>
        <v/>
      </c>
      <c r="K308" s="31" t="str">
        <f aca="false">IF(OR(H308="",J308=""),"",IF(LEN(J308)&gt;=13,IF(LEN(J308)=13,"0"&amp;J308,J308),SUBSTITUTE(SUBSTITUTE(SUBSTITUTE(SUBSTITUTE(SUBSTITUTE(SUBSTITUTE(SUBSTITUTE(SUBSTITUTE(SUBSTITUTE(SUBSTITUTE(SUBSTITUTE(SUBSTITUTE(SUBSTITUTE(UPPER(TRIM(H308)),"Á","A"),"À","A"),"Â","A"),"Ã","A"),"É","E"),"Ê","E"),"Í","I"),"Ó","O"),"Ô","O"),"Õ","O"),"Ú","U"),"Ü","U"),"Ç","C")&amp;"|"&amp;IF(LEN(J308)=11,MID(J308,4,6),J308)))</f>
        <v/>
      </c>
      <c r="L308" s="25" t="str">
        <f aca="false">IF(K308="","",IF(E308="Doação recebida",TRIM(IF(COUNTIF(Socios!$H:$H,K308)&gt;0,"Doador é sócio de empresa da pauta. ","")&amp;IF(COUNTIF(Pessoas!$E:$E,K308)&gt;0,"Doador está em Pessoas.","")),IF(E308="Despesa com fornecedor",IF(COUNTIF(Contratos!$D:$D,K308)&gt;0,"Fornecedor também tem contrato público",""),"")))</f>
        <v/>
      </c>
      <c r="M308" s="24"/>
      <c r="N308" s="11"/>
    </row>
    <row r="309" customFormat="false" ht="15" hidden="false" customHeight="false" outlineLevel="0" collapsed="false">
      <c r="A309" s="23"/>
      <c r="B309" s="31" t="str">
        <f aca="false">IF(A309="","",SUBSTITUTE(SUBSTITUTE(SUBSTITUTE(SUBSTITUTE(SUBSTITUTE(SUBSTITUTE(SUBSTITUTE(SUBSTITUTE(SUBSTITUTE(SUBSTITUTE(SUBSTITUTE(SUBSTITUTE(SUBSTITUTE(UPPER(TRIM(A309)),"Á","A"),"À","A"),"Â","A"),"Ã","A"),"É","E"),"Ê","E"),"Í","I"),"Ó","O"),"Ô","O"),"Õ","O"),"Ú","U"),"Ü","U"),"Ç","C"))</f>
        <v/>
      </c>
      <c r="C309" s="43"/>
      <c r="D309" s="23"/>
      <c r="E309" s="23"/>
      <c r="F309" s="11"/>
      <c r="G309" s="35"/>
      <c r="H309" s="23"/>
      <c r="I309" s="24"/>
      <c r="J309" s="31" t="str">
        <f aca="false">IF(I309="","",UPPER(SUBSTITUTE(SUBSTITUTE(SUBSTITUTE(SUBSTITUTE(SUBSTITUTE(TRIM(I309),".",""),"/",""),"-",""),"*","")," ","")))</f>
        <v/>
      </c>
      <c r="K309" s="31" t="str">
        <f aca="false">IF(OR(H309="",J309=""),"",IF(LEN(J309)&gt;=13,IF(LEN(J309)=13,"0"&amp;J309,J309),SUBSTITUTE(SUBSTITUTE(SUBSTITUTE(SUBSTITUTE(SUBSTITUTE(SUBSTITUTE(SUBSTITUTE(SUBSTITUTE(SUBSTITUTE(SUBSTITUTE(SUBSTITUTE(SUBSTITUTE(SUBSTITUTE(UPPER(TRIM(H309)),"Á","A"),"À","A"),"Â","A"),"Ã","A"),"É","E"),"Ê","E"),"Í","I"),"Ó","O"),"Ô","O"),"Õ","O"),"Ú","U"),"Ü","U"),"Ç","C")&amp;"|"&amp;IF(LEN(J309)=11,MID(J309,4,6),J309)))</f>
        <v/>
      </c>
      <c r="L309" s="25" t="str">
        <f aca="false">IF(K309="","",IF(E309="Doação recebida",TRIM(IF(COUNTIF(Socios!$H:$H,K309)&gt;0,"Doador é sócio de empresa da pauta. ","")&amp;IF(COUNTIF(Pessoas!$E:$E,K309)&gt;0,"Doador está em Pessoas.","")),IF(E309="Despesa com fornecedor",IF(COUNTIF(Contratos!$D:$D,K309)&gt;0,"Fornecedor também tem contrato público",""),"")))</f>
        <v/>
      </c>
      <c r="M309" s="24"/>
      <c r="N309" s="11"/>
    </row>
    <row r="310" customFormat="false" ht="15" hidden="false" customHeight="false" outlineLevel="0" collapsed="false">
      <c r="A310" s="23"/>
      <c r="B310" s="31" t="str">
        <f aca="false">IF(A310="","",SUBSTITUTE(SUBSTITUTE(SUBSTITUTE(SUBSTITUTE(SUBSTITUTE(SUBSTITUTE(SUBSTITUTE(SUBSTITUTE(SUBSTITUTE(SUBSTITUTE(SUBSTITUTE(SUBSTITUTE(SUBSTITUTE(UPPER(TRIM(A310)),"Á","A"),"À","A"),"Â","A"),"Ã","A"),"É","E"),"Ê","E"),"Í","I"),"Ó","O"),"Ô","O"),"Õ","O"),"Ú","U"),"Ü","U"),"Ç","C"))</f>
        <v/>
      </c>
      <c r="C310" s="43"/>
      <c r="D310" s="23"/>
      <c r="E310" s="23"/>
      <c r="F310" s="11"/>
      <c r="G310" s="35"/>
      <c r="H310" s="23"/>
      <c r="I310" s="24"/>
      <c r="J310" s="31" t="str">
        <f aca="false">IF(I310="","",UPPER(SUBSTITUTE(SUBSTITUTE(SUBSTITUTE(SUBSTITUTE(SUBSTITUTE(TRIM(I310),".",""),"/",""),"-",""),"*","")," ","")))</f>
        <v/>
      </c>
      <c r="K310" s="31" t="str">
        <f aca="false">IF(OR(H310="",J310=""),"",IF(LEN(J310)&gt;=13,IF(LEN(J310)=13,"0"&amp;J310,J310),SUBSTITUTE(SUBSTITUTE(SUBSTITUTE(SUBSTITUTE(SUBSTITUTE(SUBSTITUTE(SUBSTITUTE(SUBSTITUTE(SUBSTITUTE(SUBSTITUTE(SUBSTITUTE(SUBSTITUTE(SUBSTITUTE(UPPER(TRIM(H310)),"Á","A"),"À","A"),"Â","A"),"Ã","A"),"É","E"),"Ê","E"),"Í","I"),"Ó","O"),"Ô","O"),"Õ","O"),"Ú","U"),"Ü","U"),"Ç","C")&amp;"|"&amp;IF(LEN(J310)=11,MID(J310,4,6),J310)))</f>
        <v/>
      </c>
      <c r="L310" s="25" t="str">
        <f aca="false">IF(K310="","",IF(E310="Doação recebida",TRIM(IF(COUNTIF(Socios!$H:$H,K310)&gt;0,"Doador é sócio de empresa da pauta. ","")&amp;IF(COUNTIF(Pessoas!$E:$E,K310)&gt;0,"Doador está em Pessoas.","")),IF(E310="Despesa com fornecedor",IF(COUNTIF(Contratos!$D:$D,K310)&gt;0,"Fornecedor também tem contrato público",""),"")))</f>
        <v/>
      </c>
      <c r="M310" s="24"/>
      <c r="N310" s="11"/>
    </row>
    <row r="311" customFormat="false" ht="15" hidden="false" customHeight="false" outlineLevel="0" collapsed="false">
      <c r="A311" s="23"/>
      <c r="B311" s="31" t="str">
        <f aca="false">IF(A311="","",SUBSTITUTE(SUBSTITUTE(SUBSTITUTE(SUBSTITUTE(SUBSTITUTE(SUBSTITUTE(SUBSTITUTE(SUBSTITUTE(SUBSTITUTE(SUBSTITUTE(SUBSTITUTE(SUBSTITUTE(SUBSTITUTE(UPPER(TRIM(A311)),"Á","A"),"À","A"),"Â","A"),"Ã","A"),"É","E"),"Ê","E"),"Í","I"),"Ó","O"),"Ô","O"),"Õ","O"),"Ú","U"),"Ü","U"),"Ç","C"))</f>
        <v/>
      </c>
      <c r="C311" s="43"/>
      <c r="D311" s="23"/>
      <c r="E311" s="23"/>
      <c r="F311" s="11"/>
      <c r="G311" s="35"/>
      <c r="H311" s="23"/>
      <c r="I311" s="24"/>
      <c r="J311" s="31" t="str">
        <f aca="false">IF(I311="","",UPPER(SUBSTITUTE(SUBSTITUTE(SUBSTITUTE(SUBSTITUTE(SUBSTITUTE(TRIM(I311),".",""),"/",""),"-",""),"*","")," ","")))</f>
        <v/>
      </c>
      <c r="K311" s="31" t="str">
        <f aca="false">IF(OR(H311="",J311=""),"",IF(LEN(J311)&gt;=13,IF(LEN(J311)=13,"0"&amp;J311,J311),SUBSTITUTE(SUBSTITUTE(SUBSTITUTE(SUBSTITUTE(SUBSTITUTE(SUBSTITUTE(SUBSTITUTE(SUBSTITUTE(SUBSTITUTE(SUBSTITUTE(SUBSTITUTE(SUBSTITUTE(SUBSTITUTE(UPPER(TRIM(H311)),"Á","A"),"À","A"),"Â","A"),"Ã","A"),"É","E"),"Ê","E"),"Í","I"),"Ó","O"),"Ô","O"),"Õ","O"),"Ú","U"),"Ü","U"),"Ç","C")&amp;"|"&amp;IF(LEN(J311)=11,MID(J311,4,6),J311)))</f>
        <v/>
      </c>
      <c r="L311" s="25" t="str">
        <f aca="false">IF(K311="","",IF(E311="Doação recebida",TRIM(IF(COUNTIF(Socios!$H:$H,K311)&gt;0,"Doador é sócio de empresa da pauta. ","")&amp;IF(COUNTIF(Pessoas!$E:$E,K311)&gt;0,"Doador está em Pessoas.","")),IF(E311="Despesa com fornecedor",IF(COUNTIF(Contratos!$D:$D,K311)&gt;0,"Fornecedor também tem contrato público",""),"")))</f>
        <v/>
      </c>
      <c r="M311" s="24"/>
      <c r="N311" s="11"/>
    </row>
    <row r="312" customFormat="false" ht="15" hidden="false" customHeight="false" outlineLevel="0" collapsed="false">
      <c r="A312" s="23"/>
      <c r="B312" s="31" t="str">
        <f aca="false">IF(A312="","",SUBSTITUTE(SUBSTITUTE(SUBSTITUTE(SUBSTITUTE(SUBSTITUTE(SUBSTITUTE(SUBSTITUTE(SUBSTITUTE(SUBSTITUTE(SUBSTITUTE(SUBSTITUTE(SUBSTITUTE(SUBSTITUTE(UPPER(TRIM(A312)),"Á","A"),"À","A"),"Â","A"),"Ã","A"),"É","E"),"Ê","E"),"Í","I"),"Ó","O"),"Ô","O"),"Õ","O"),"Ú","U"),"Ü","U"),"Ç","C"))</f>
        <v/>
      </c>
      <c r="C312" s="43"/>
      <c r="D312" s="23"/>
      <c r="E312" s="23"/>
      <c r="F312" s="11"/>
      <c r="G312" s="35"/>
      <c r="H312" s="23"/>
      <c r="I312" s="24"/>
      <c r="J312" s="31" t="str">
        <f aca="false">IF(I312="","",UPPER(SUBSTITUTE(SUBSTITUTE(SUBSTITUTE(SUBSTITUTE(SUBSTITUTE(TRIM(I312),".",""),"/",""),"-",""),"*","")," ","")))</f>
        <v/>
      </c>
      <c r="K312" s="31" t="str">
        <f aca="false">IF(OR(H312="",J312=""),"",IF(LEN(J312)&gt;=13,IF(LEN(J312)=13,"0"&amp;J312,J312),SUBSTITUTE(SUBSTITUTE(SUBSTITUTE(SUBSTITUTE(SUBSTITUTE(SUBSTITUTE(SUBSTITUTE(SUBSTITUTE(SUBSTITUTE(SUBSTITUTE(SUBSTITUTE(SUBSTITUTE(SUBSTITUTE(UPPER(TRIM(H312)),"Á","A"),"À","A"),"Â","A"),"Ã","A"),"É","E"),"Ê","E"),"Í","I"),"Ó","O"),"Ô","O"),"Õ","O"),"Ú","U"),"Ü","U"),"Ç","C")&amp;"|"&amp;IF(LEN(J312)=11,MID(J312,4,6),J312)))</f>
        <v/>
      </c>
      <c r="L312" s="25" t="str">
        <f aca="false">IF(K312="","",IF(E312="Doação recebida",TRIM(IF(COUNTIF(Socios!$H:$H,K312)&gt;0,"Doador é sócio de empresa da pauta. ","")&amp;IF(COUNTIF(Pessoas!$E:$E,K312)&gt;0,"Doador está em Pessoas.","")),IF(E312="Despesa com fornecedor",IF(COUNTIF(Contratos!$D:$D,K312)&gt;0,"Fornecedor também tem contrato público",""),"")))</f>
        <v/>
      </c>
      <c r="M312" s="24"/>
      <c r="N312" s="11"/>
    </row>
    <row r="313" customFormat="false" ht="15" hidden="false" customHeight="false" outlineLevel="0" collapsed="false">
      <c r="A313" s="23"/>
      <c r="B313" s="31" t="str">
        <f aca="false">IF(A313="","",SUBSTITUTE(SUBSTITUTE(SUBSTITUTE(SUBSTITUTE(SUBSTITUTE(SUBSTITUTE(SUBSTITUTE(SUBSTITUTE(SUBSTITUTE(SUBSTITUTE(SUBSTITUTE(SUBSTITUTE(SUBSTITUTE(UPPER(TRIM(A313)),"Á","A"),"À","A"),"Â","A"),"Ã","A"),"É","E"),"Ê","E"),"Í","I"),"Ó","O"),"Ô","O"),"Õ","O"),"Ú","U"),"Ü","U"),"Ç","C"))</f>
        <v/>
      </c>
      <c r="C313" s="43"/>
      <c r="D313" s="23"/>
      <c r="E313" s="23"/>
      <c r="F313" s="11"/>
      <c r="G313" s="35"/>
      <c r="H313" s="23"/>
      <c r="I313" s="24"/>
      <c r="J313" s="31" t="str">
        <f aca="false">IF(I313="","",UPPER(SUBSTITUTE(SUBSTITUTE(SUBSTITUTE(SUBSTITUTE(SUBSTITUTE(TRIM(I313),".",""),"/",""),"-",""),"*","")," ","")))</f>
        <v/>
      </c>
      <c r="K313" s="31" t="str">
        <f aca="false">IF(OR(H313="",J313=""),"",IF(LEN(J313)&gt;=13,IF(LEN(J313)=13,"0"&amp;J313,J313),SUBSTITUTE(SUBSTITUTE(SUBSTITUTE(SUBSTITUTE(SUBSTITUTE(SUBSTITUTE(SUBSTITUTE(SUBSTITUTE(SUBSTITUTE(SUBSTITUTE(SUBSTITUTE(SUBSTITUTE(SUBSTITUTE(UPPER(TRIM(H313)),"Á","A"),"À","A"),"Â","A"),"Ã","A"),"É","E"),"Ê","E"),"Í","I"),"Ó","O"),"Ô","O"),"Õ","O"),"Ú","U"),"Ü","U"),"Ç","C")&amp;"|"&amp;IF(LEN(J313)=11,MID(J313,4,6),J313)))</f>
        <v/>
      </c>
      <c r="L313" s="25" t="str">
        <f aca="false">IF(K313="","",IF(E313="Doação recebida",TRIM(IF(COUNTIF(Socios!$H:$H,K313)&gt;0,"Doador é sócio de empresa da pauta. ","")&amp;IF(COUNTIF(Pessoas!$E:$E,K313)&gt;0,"Doador está em Pessoas.","")),IF(E313="Despesa com fornecedor",IF(COUNTIF(Contratos!$D:$D,K313)&gt;0,"Fornecedor também tem contrato público",""),"")))</f>
        <v/>
      </c>
      <c r="M313" s="24"/>
      <c r="N313" s="11"/>
    </row>
    <row r="314" customFormat="false" ht="15" hidden="false" customHeight="false" outlineLevel="0" collapsed="false">
      <c r="A314" s="23"/>
      <c r="B314" s="31" t="str">
        <f aca="false">IF(A314="","",SUBSTITUTE(SUBSTITUTE(SUBSTITUTE(SUBSTITUTE(SUBSTITUTE(SUBSTITUTE(SUBSTITUTE(SUBSTITUTE(SUBSTITUTE(SUBSTITUTE(SUBSTITUTE(SUBSTITUTE(SUBSTITUTE(UPPER(TRIM(A314)),"Á","A"),"À","A"),"Â","A"),"Ã","A"),"É","E"),"Ê","E"),"Í","I"),"Ó","O"),"Ô","O"),"Õ","O"),"Ú","U"),"Ü","U"),"Ç","C"))</f>
        <v/>
      </c>
      <c r="C314" s="43"/>
      <c r="D314" s="23"/>
      <c r="E314" s="23"/>
      <c r="F314" s="11"/>
      <c r="G314" s="35"/>
      <c r="H314" s="23"/>
      <c r="I314" s="24"/>
      <c r="J314" s="31" t="str">
        <f aca="false">IF(I314="","",UPPER(SUBSTITUTE(SUBSTITUTE(SUBSTITUTE(SUBSTITUTE(SUBSTITUTE(TRIM(I314),".",""),"/",""),"-",""),"*","")," ","")))</f>
        <v/>
      </c>
      <c r="K314" s="31" t="str">
        <f aca="false">IF(OR(H314="",J314=""),"",IF(LEN(J314)&gt;=13,IF(LEN(J314)=13,"0"&amp;J314,J314),SUBSTITUTE(SUBSTITUTE(SUBSTITUTE(SUBSTITUTE(SUBSTITUTE(SUBSTITUTE(SUBSTITUTE(SUBSTITUTE(SUBSTITUTE(SUBSTITUTE(SUBSTITUTE(SUBSTITUTE(SUBSTITUTE(UPPER(TRIM(H314)),"Á","A"),"À","A"),"Â","A"),"Ã","A"),"É","E"),"Ê","E"),"Í","I"),"Ó","O"),"Ô","O"),"Õ","O"),"Ú","U"),"Ü","U"),"Ç","C")&amp;"|"&amp;IF(LEN(J314)=11,MID(J314,4,6),J314)))</f>
        <v/>
      </c>
      <c r="L314" s="25" t="str">
        <f aca="false">IF(K314="","",IF(E314="Doação recebida",TRIM(IF(COUNTIF(Socios!$H:$H,K314)&gt;0,"Doador é sócio de empresa da pauta. ","")&amp;IF(COUNTIF(Pessoas!$E:$E,K314)&gt;0,"Doador está em Pessoas.","")),IF(E314="Despesa com fornecedor",IF(COUNTIF(Contratos!$D:$D,K314)&gt;0,"Fornecedor também tem contrato público",""),"")))</f>
        <v/>
      </c>
      <c r="M314" s="24"/>
      <c r="N314" s="11"/>
    </row>
    <row r="315" customFormat="false" ht="15" hidden="false" customHeight="false" outlineLevel="0" collapsed="false">
      <c r="A315" s="23"/>
      <c r="B315" s="31" t="str">
        <f aca="false">IF(A315="","",SUBSTITUTE(SUBSTITUTE(SUBSTITUTE(SUBSTITUTE(SUBSTITUTE(SUBSTITUTE(SUBSTITUTE(SUBSTITUTE(SUBSTITUTE(SUBSTITUTE(SUBSTITUTE(SUBSTITUTE(SUBSTITUTE(UPPER(TRIM(A315)),"Á","A"),"À","A"),"Â","A"),"Ã","A"),"É","E"),"Ê","E"),"Í","I"),"Ó","O"),"Ô","O"),"Õ","O"),"Ú","U"),"Ü","U"),"Ç","C"))</f>
        <v/>
      </c>
      <c r="C315" s="43"/>
      <c r="D315" s="23"/>
      <c r="E315" s="23"/>
      <c r="F315" s="11"/>
      <c r="G315" s="35"/>
      <c r="H315" s="23"/>
      <c r="I315" s="24"/>
      <c r="J315" s="31" t="str">
        <f aca="false">IF(I315="","",UPPER(SUBSTITUTE(SUBSTITUTE(SUBSTITUTE(SUBSTITUTE(SUBSTITUTE(TRIM(I315),".",""),"/",""),"-",""),"*","")," ","")))</f>
        <v/>
      </c>
      <c r="K315" s="31" t="str">
        <f aca="false">IF(OR(H315="",J315=""),"",IF(LEN(J315)&gt;=13,IF(LEN(J315)=13,"0"&amp;J315,J315),SUBSTITUTE(SUBSTITUTE(SUBSTITUTE(SUBSTITUTE(SUBSTITUTE(SUBSTITUTE(SUBSTITUTE(SUBSTITUTE(SUBSTITUTE(SUBSTITUTE(SUBSTITUTE(SUBSTITUTE(SUBSTITUTE(UPPER(TRIM(H315)),"Á","A"),"À","A"),"Â","A"),"Ã","A"),"É","E"),"Ê","E"),"Í","I"),"Ó","O"),"Ô","O"),"Õ","O"),"Ú","U"),"Ü","U"),"Ç","C")&amp;"|"&amp;IF(LEN(J315)=11,MID(J315,4,6),J315)))</f>
        <v/>
      </c>
      <c r="L315" s="25" t="str">
        <f aca="false">IF(K315="","",IF(E315="Doação recebida",TRIM(IF(COUNTIF(Socios!$H:$H,K315)&gt;0,"Doador é sócio de empresa da pauta. ","")&amp;IF(COUNTIF(Pessoas!$E:$E,K315)&gt;0,"Doador está em Pessoas.","")),IF(E315="Despesa com fornecedor",IF(COUNTIF(Contratos!$D:$D,K315)&gt;0,"Fornecedor também tem contrato público",""),"")))</f>
        <v/>
      </c>
      <c r="M315" s="24"/>
      <c r="N315" s="11"/>
    </row>
    <row r="316" customFormat="false" ht="15" hidden="false" customHeight="false" outlineLevel="0" collapsed="false">
      <c r="A316" s="23"/>
      <c r="B316" s="31" t="str">
        <f aca="false">IF(A316="","",SUBSTITUTE(SUBSTITUTE(SUBSTITUTE(SUBSTITUTE(SUBSTITUTE(SUBSTITUTE(SUBSTITUTE(SUBSTITUTE(SUBSTITUTE(SUBSTITUTE(SUBSTITUTE(SUBSTITUTE(SUBSTITUTE(UPPER(TRIM(A316)),"Á","A"),"À","A"),"Â","A"),"Ã","A"),"É","E"),"Ê","E"),"Í","I"),"Ó","O"),"Ô","O"),"Õ","O"),"Ú","U"),"Ü","U"),"Ç","C"))</f>
        <v/>
      </c>
      <c r="C316" s="43"/>
      <c r="D316" s="23"/>
      <c r="E316" s="23"/>
      <c r="F316" s="11"/>
      <c r="G316" s="35"/>
      <c r="H316" s="23"/>
      <c r="I316" s="24"/>
      <c r="J316" s="31" t="str">
        <f aca="false">IF(I316="","",UPPER(SUBSTITUTE(SUBSTITUTE(SUBSTITUTE(SUBSTITUTE(SUBSTITUTE(TRIM(I316),".",""),"/",""),"-",""),"*","")," ","")))</f>
        <v/>
      </c>
      <c r="K316" s="31" t="str">
        <f aca="false">IF(OR(H316="",J316=""),"",IF(LEN(J316)&gt;=13,IF(LEN(J316)=13,"0"&amp;J316,J316),SUBSTITUTE(SUBSTITUTE(SUBSTITUTE(SUBSTITUTE(SUBSTITUTE(SUBSTITUTE(SUBSTITUTE(SUBSTITUTE(SUBSTITUTE(SUBSTITUTE(SUBSTITUTE(SUBSTITUTE(SUBSTITUTE(UPPER(TRIM(H316)),"Á","A"),"À","A"),"Â","A"),"Ã","A"),"É","E"),"Ê","E"),"Í","I"),"Ó","O"),"Ô","O"),"Õ","O"),"Ú","U"),"Ü","U"),"Ç","C")&amp;"|"&amp;IF(LEN(J316)=11,MID(J316,4,6),J316)))</f>
        <v/>
      </c>
      <c r="L316" s="25" t="str">
        <f aca="false">IF(K316="","",IF(E316="Doação recebida",TRIM(IF(COUNTIF(Socios!$H:$H,K316)&gt;0,"Doador é sócio de empresa da pauta. ","")&amp;IF(COUNTIF(Pessoas!$E:$E,K316)&gt;0,"Doador está em Pessoas.","")),IF(E316="Despesa com fornecedor",IF(COUNTIF(Contratos!$D:$D,K316)&gt;0,"Fornecedor também tem contrato público",""),"")))</f>
        <v/>
      </c>
      <c r="M316" s="24"/>
      <c r="N316" s="11"/>
    </row>
    <row r="317" customFormat="false" ht="15" hidden="false" customHeight="false" outlineLevel="0" collapsed="false">
      <c r="A317" s="23"/>
      <c r="B317" s="31" t="str">
        <f aca="false">IF(A317="","",SUBSTITUTE(SUBSTITUTE(SUBSTITUTE(SUBSTITUTE(SUBSTITUTE(SUBSTITUTE(SUBSTITUTE(SUBSTITUTE(SUBSTITUTE(SUBSTITUTE(SUBSTITUTE(SUBSTITUTE(SUBSTITUTE(UPPER(TRIM(A317)),"Á","A"),"À","A"),"Â","A"),"Ã","A"),"É","E"),"Ê","E"),"Í","I"),"Ó","O"),"Ô","O"),"Õ","O"),"Ú","U"),"Ü","U"),"Ç","C"))</f>
        <v/>
      </c>
      <c r="C317" s="43"/>
      <c r="D317" s="23"/>
      <c r="E317" s="23"/>
      <c r="F317" s="11"/>
      <c r="G317" s="35"/>
      <c r="H317" s="23"/>
      <c r="I317" s="24"/>
      <c r="J317" s="31" t="str">
        <f aca="false">IF(I317="","",UPPER(SUBSTITUTE(SUBSTITUTE(SUBSTITUTE(SUBSTITUTE(SUBSTITUTE(TRIM(I317),".",""),"/",""),"-",""),"*","")," ","")))</f>
        <v/>
      </c>
      <c r="K317" s="31" t="str">
        <f aca="false">IF(OR(H317="",J317=""),"",IF(LEN(J317)&gt;=13,IF(LEN(J317)=13,"0"&amp;J317,J317),SUBSTITUTE(SUBSTITUTE(SUBSTITUTE(SUBSTITUTE(SUBSTITUTE(SUBSTITUTE(SUBSTITUTE(SUBSTITUTE(SUBSTITUTE(SUBSTITUTE(SUBSTITUTE(SUBSTITUTE(SUBSTITUTE(UPPER(TRIM(H317)),"Á","A"),"À","A"),"Â","A"),"Ã","A"),"É","E"),"Ê","E"),"Í","I"),"Ó","O"),"Ô","O"),"Õ","O"),"Ú","U"),"Ü","U"),"Ç","C")&amp;"|"&amp;IF(LEN(J317)=11,MID(J317,4,6),J317)))</f>
        <v/>
      </c>
      <c r="L317" s="25" t="str">
        <f aca="false">IF(K317="","",IF(E317="Doação recebida",TRIM(IF(COUNTIF(Socios!$H:$H,K317)&gt;0,"Doador é sócio de empresa da pauta. ","")&amp;IF(COUNTIF(Pessoas!$E:$E,K317)&gt;0,"Doador está em Pessoas.","")),IF(E317="Despesa com fornecedor",IF(COUNTIF(Contratos!$D:$D,K317)&gt;0,"Fornecedor também tem contrato público",""),"")))</f>
        <v/>
      </c>
      <c r="M317" s="24"/>
      <c r="N317" s="11"/>
    </row>
    <row r="318" customFormat="false" ht="15" hidden="false" customHeight="false" outlineLevel="0" collapsed="false">
      <c r="A318" s="23"/>
      <c r="B318" s="31" t="str">
        <f aca="false">IF(A318="","",SUBSTITUTE(SUBSTITUTE(SUBSTITUTE(SUBSTITUTE(SUBSTITUTE(SUBSTITUTE(SUBSTITUTE(SUBSTITUTE(SUBSTITUTE(SUBSTITUTE(SUBSTITUTE(SUBSTITUTE(SUBSTITUTE(UPPER(TRIM(A318)),"Á","A"),"À","A"),"Â","A"),"Ã","A"),"É","E"),"Ê","E"),"Í","I"),"Ó","O"),"Ô","O"),"Õ","O"),"Ú","U"),"Ü","U"),"Ç","C"))</f>
        <v/>
      </c>
      <c r="C318" s="43"/>
      <c r="D318" s="23"/>
      <c r="E318" s="23"/>
      <c r="F318" s="11"/>
      <c r="G318" s="35"/>
      <c r="H318" s="23"/>
      <c r="I318" s="24"/>
      <c r="J318" s="31" t="str">
        <f aca="false">IF(I318="","",UPPER(SUBSTITUTE(SUBSTITUTE(SUBSTITUTE(SUBSTITUTE(SUBSTITUTE(TRIM(I318),".",""),"/",""),"-",""),"*","")," ","")))</f>
        <v/>
      </c>
      <c r="K318" s="31" t="str">
        <f aca="false">IF(OR(H318="",J318=""),"",IF(LEN(J318)&gt;=13,IF(LEN(J318)=13,"0"&amp;J318,J318),SUBSTITUTE(SUBSTITUTE(SUBSTITUTE(SUBSTITUTE(SUBSTITUTE(SUBSTITUTE(SUBSTITUTE(SUBSTITUTE(SUBSTITUTE(SUBSTITUTE(SUBSTITUTE(SUBSTITUTE(SUBSTITUTE(UPPER(TRIM(H318)),"Á","A"),"À","A"),"Â","A"),"Ã","A"),"É","E"),"Ê","E"),"Í","I"),"Ó","O"),"Ô","O"),"Õ","O"),"Ú","U"),"Ü","U"),"Ç","C")&amp;"|"&amp;IF(LEN(J318)=11,MID(J318,4,6),J318)))</f>
        <v/>
      </c>
      <c r="L318" s="25" t="str">
        <f aca="false">IF(K318="","",IF(E318="Doação recebida",TRIM(IF(COUNTIF(Socios!$H:$H,K318)&gt;0,"Doador é sócio de empresa da pauta. ","")&amp;IF(COUNTIF(Pessoas!$E:$E,K318)&gt;0,"Doador está em Pessoas.","")),IF(E318="Despesa com fornecedor",IF(COUNTIF(Contratos!$D:$D,K318)&gt;0,"Fornecedor também tem contrato público",""),"")))</f>
        <v/>
      </c>
      <c r="M318" s="24"/>
      <c r="N318" s="11"/>
    </row>
    <row r="319" customFormat="false" ht="15" hidden="false" customHeight="false" outlineLevel="0" collapsed="false">
      <c r="A319" s="23"/>
      <c r="B319" s="31" t="str">
        <f aca="false">IF(A319="","",SUBSTITUTE(SUBSTITUTE(SUBSTITUTE(SUBSTITUTE(SUBSTITUTE(SUBSTITUTE(SUBSTITUTE(SUBSTITUTE(SUBSTITUTE(SUBSTITUTE(SUBSTITUTE(SUBSTITUTE(SUBSTITUTE(UPPER(TRIM(A319)),"Á","A"),"À","A"),"Â","A"),"Ã","A"),"É","E"),"Ê","E"),"Í","I"),"Ó","O"),"Ô","O"),"Õ","O"),"Ú","U"),"Ü","U"),"Ç","C"))</f>
        <v/>
      </c>
      <c r="C319" s="43"/>
      <c r="D319" s="23"/>
      <c r="E319" s="23"/>
      <c r="F319" s="11"/>
      <c r="G319" s="35"/>
      <c r="H319" s="23"/>
      <c r="I319" s="24"/>
      <c r="J319" s="31" t="str">
        <f aca="false">IF(I319="","",UPPER(SUBSTITUTE(SUBSTITUTE(SUBSTITUTE(SUBSTITUTE(SUBSTITUTE(TRIM(I319),".",""),"/",""),"-",""),"*","")," ","")))</f>
        <v/>
      </c>
      <c r="K319" s="31" t="str">
        <f aca="false">IF(OR(H319="",J319=""),"",IF(LEN(J319)&gt;=13,IF(LEN(J319)=13,"0"&amp;J319,J319),SUBSTITUTE(SUBSTITUTE(SUBSTITUTE(SUBSTITUTE(SUBSTITUTE(SUBSTITUTE(SUBSTITUTE(SUBSTITUTE(SUBSTITUTE(SUBSTITUTE(SUBSTITUTE(SUBSTITUTE(SUBSTITUTE(UPPER(TRIM(H319)),"Á","A"),"À","A"),"Â","A"),"Ã","A"),"É","E"),"Ê","E"),"Í","I"),"Ó","O"),"Ô","O"),"Õ","O"),"Ú","U"),"Ü","U"),"Ç","C")&amp;"|"&amp;IF(LEN(J319)=11,MID(J319,4,6),J319)))</f>
        <v/>
      </c>
      <c r="L319" s="25" t="str">
        <f aca="false">IF(K319="","",IF(E319="Doação recebida",TRIM(IF(COUNTIF(Socios!$H:$H,K319)&gt;0,"Doador é sócio de empresa da pauta. ","")&amp;IF(COUNTIF(Pessoas!$E:$E,K319)&gt;0,"Doador está em Pessoas.","")),IF(E319="Despesa com fornecedor",IF(COUNTIF(Contratos!$D:$D,K319)&gt;0,"Fornecedor também tem contrato público",""),"")))</f>
        <v/>
      </c>
      <c r="M319" s="24"/>
      <c r="N319" s="11"/>
    </row>
    <row r="320" customFormat="false" ht="15" hidden="false" customHeight="false" outlineLevel="0" collapsed="false">
      <c r="A320" s="23"/>
      <c r="B320" s="31" t="str">
        <f aca="false">IF(A320="","",SUBSTITUTE(SUBSTITUTE(SUBSTITUTE(SUBSTITUTE(SUBSTITUTE(SUBSTITUTE(SUBSTITUTE(SUBSTITUTE(SUBSTITUTE(SUBSTITUTE(SUBSTITUTE(SUBSTITUTE(SUBSTITUTE(UPPER(TRIM(A320)),"Á","A"),"À","A"),"Â","A"),"Ã","A"),"É","E"),"Ê","E"),"Í","I"),"Ó","O"),"Ô","O"),"Õ","O"),"Ú","U"),"Ü","U"),"Ç","C"))</f>
        <v/>
      </c>
      <c r="C320" s="43"/>
      <c r="D320" s="23"/>
      <c r="E320" s="23"/>
      <c r="F320" s="11"/>
      <c r="G320" s="35"/>
      <c r="H320" s="23"/>
      <c r="I320" s="24"/>
      <c r="J320" s="31" t="str">
        <f aca="false">IF(I320="","",UPPER(SUBSTITUTE(SUBSTITUTE(SUBSTITUTE(SUBSTITUTE(SUBSTITUTE(TRIM(I320),".",""),"/",""),"-",""),"*","")," ","")))</f>
        <v/>
      </c>
      <c r="K320" s="31" t="str">
        <f aca="false">IF(OR(H320="",J320=""),"",IF(LEN(J320)&gt;=13,IF(LEN(J320)=13,"0"&amp;J320,J320),SUBSTITUTE(SUBSTITUTE(SUBSTITUTE(SUBSTITUTE(SUBSTITUTE(SUBSTITUTE(SUBSTITUTE(SUBSTITUTE(SUBSTITUTE(SUBSTITUTE(SUBSTITUTE(SUBSTITUTE(SUBSTITUTE(UPPER(TRIM(H320)),"Á","A"),"À","A"),"Â","A"),"Ã","A"),"É","E"),"Ê","E"),"Í","I"),"Ó","O"),"Ô","O"),"Õ","O"),"Ú","U"),"Ü","U"),"Ç","C")&amp;"|"&amp;IF(LEN(J320)=11,MID(J320,4,6),J320)))</f>
        <v/>
      </c>
      <c r="L320" s="25" t="str">
        <f aca="false">IF(K320="","",IF(E320="Doação recebida",TRIM(IF(COUNTIF(Socios!$H:$H,K320)&gt;0,"Doador é sócio de empresa da pauta. ","")&amp;IF(COUNTIF(Pessoas!$E:$E,K320)&gt;0,"Doador está em Pessoas.","")),IF(E320="Despesa com fornecedor",IF(COUNTIF(Contratos!$D:$D,K320)&gt;0,"Fornecedor também tem contrato público",""),"")))</f>
        <v/>
      </c>
      <c r="M320" s="24"/>
      <c r="N320" s="11"/>
    </row>
    <row r="321" customFormat="false" ht="15" hidden="false" customHeight="false" outlineLevel="0" collapsed="false">
      <c r="A321" s="23"/>
      <c r="B321" s="31" t="str">
        <f aca="false">IF(A321="","",SUBSTITUTE(SUBSTITUTE(SUBSTITUTE(SUBSTITUTE(SUBSTITUTE(SUBSTITUTE(SUBSTITUTE(SUBSTITUTE(SUBSTITUTE(SUBSTITUTE(SUBSTITUTE(SUBSTITUTE(SUBSTITUTE(UPPER(TRIM(A321)),"Á","A"),"À","A"),"Â","A"),"Ã","A"),"É","E"),"Ê","E"),"Í","I"),"Ó","O"),"Ô","O"),"Õ","O"),"Ú","U"),"Ü","U"),"Ç","C"))</f>
        <v/>
      </c>
      <c r="C321" s="43"/>
      <c r="D321" s="23"/>
      <c r="E321" s="23"/>
      <c r="F321" s="11"/>
      <c r="G321" s="35"/>
      <c r="H321" s="23"/>
      <c r="I321" s="24"/>
      <c r="J321" s="31" t="str">
        <f aca="false">IF(I321="","",UPPER(SUBSTITUTE(SUBSTITUTE(SUBSTITUTE(SUBSTITUTE(SUBSTITUTE(TRIM(I321),".",""),"/",""),"-",""),"*","")," ","")))</f>
        <v/>
      </c>
      <c r="K321" s="31" t="str">
        <f aca="false">IF(OR(H321="",J321=""),"",IF(LEN(J321)&gt;=13,IF(LEN(J321)=13,"0"&amp;J321,J321),SUBSTITUTE(SUBSTITUTE(SUBSTITUTE(SUBSTITUTE(SUBSTITUTE(SUBSTITUTE(SUBSTITUTE(SUBSTITUTE(SUBSTITUTE(SUBSTITUTE(SUBSTITUTE(SUBSTITUTE(SUBSTITUTE(UPPER(TRIM(H321)),"Á","A"),"À","A"),"Â","A"),"Ã","A"),"É","E"),"Ê","E"),"Í","I"),"Ó","O"),"Ô","O"),"Õ","O"),"Ú","U"),"Ü","U"),"Ç","C")&amp;"|"&amp;IF(LEN(J321)=11,MID(J321,4,6),J321)))</f>
        <v/>
      </c>
      <c r="L321" s="25" t="str">
        <f aca="false">IF(K321="","",IF(E321="Doação recebida",TRIM(IF(COUNTIF(Socios!$H:$H,K321)&gt;0,"Doador é sócio de empresa da pauta. ","")&amp;IF(COUNTIF(Pessoas!$E:$E,K321)&gt;0,"Doador está em Pessoas.","")),IF(E321="Despesa com fornecedor",IF(COUNTIF(Contratos!$D:$D,K321)&gt;0,"Fornecedor também tem contrato público",""),"")))</f>
        <v/>
      </c>
      <c r="M321" s="24"/>
      <c r="N321" s="11"/>
    </row>
    <row r="322" customFormat="false" ht="15" hidden="false" customHeight="false" outlineLevel="0" collapsed="false">
      <c r="A322" s="23"/>
      <c r="B322" s="31" t="str">
        <f aca="false">IF(A322="","",SUBSTITUTE(SUBSTITUTE(SUBSTITUTE(SUBSTITUTE(SUBSTITUTE(SUBSTITUTE(SUBSTITUTE(SUBSTITUTE(SUBSTITUTE(SUBSTITUTE(SUBSTITUTE(SUBSTITUTE(SUBSTITUTE(UPPER(TRIM(A322)),"Á","A"),"À","A"),"Â","A"),"Ã","A"),"É","E"),"Ê","E"),"Í","I"),"Ó","O"),"Ô","O"),"Õ","O"),"Ú","U"),"Ü","U"),"Ç","C"))</f>
        <v/>
      </c>
      <c r="C322" s="43"/>
      <c r="D322" s="23"/>
      <c r="E322" s="23"/>
      <c r="F322" s="11"/>
      <c r="G322" s="35"/>
      <c r="H322" s="23"/>
      <c r="I322" s="24"/>
      <c r="J322" s="31" t="str">
        <f aca="false">IF(I322="","",UPPER(SUBSTITUTE(SUBSTITUTE(SUBSTITUTE(SUBSTITUTE(SUBSTITUTE(TRIM(I322),".",""),"/",""),"-",""),"*","")," ","")))</f>
        <v/>
      </c>
      <c r="K322" s="31" t="str">
        <f aca="false">IF(OR(H322="",J322=""),"",IF(LEN(J322)&gt;=13,IF(LEN(J322)=13,"0"&amp;J322,J322),SUBSTITUTE(SUBSTITUTE(SUBSTITUTE(SUBSTITUTE(SUBSTITUTE(SUBSTITUTE(SUBSTITUTE(SUBSTITUTE(SUBSTITUTE(SUBSTITUTE(SUBSTITUTE(SUBSTITUTE(SUBSTITUTE(UPPER(TRIM(H322)),"Á","A"),"À","A"),"Â","A"),"Ã","A"),"É","E"),"Ê","E"),"Í","I"),"Ó","O"),"Ô","O"),"Õ","O"),"Ú","U"),"Ü","U"),"Ç","C")&amp;"|"&amp;IF(LEN(J322)=11,MID(J322,4,6),J322)))</f>
        <v/>
      </c>
      <c r="L322" s="25" t="str">
        <f aca="false">IF(K322="","",IF(E322="Doação recebida",TRIM(IF(COUNTIF(Socios!$H:$H,K322)&gt;0,"Doador é sócio de empresa da pauta. ","")&amp;IF(COUNTIF(Pessoas!$E:$E,K322)&gt;0,"Doador está em Pessoas.","")),IF(E322="Despesa com fornecedor",IF(COUNTIF(Contratos!$D:$D,K322)&gt;0,"Fornecedor também tem contrato público",""),"")))</f>
        <v/>
      </c>
      <c r="M322" s="24"/>
      <c r="N322" s="11"/>
    </row>
    <row r="323" customFormat="false" ht="15" hidden="false" customHeight="false" outlineLevel="0" collapsed="false">
      <c r="A323" s="23"/>
      <c r="B323" s="31" t="str">
        <f aca="false">IF(A323="","",SUBSTITUTE(SUBSTITUTE(SUBSTITUTE(SUBSTITUTE(SUBSTITUTE(SUBSTITUTE(SUBSTITUTE(SUBSTITUTE(SUBSTITUTE(SUBSTITUTE(SUBSTITUTE(SUBSTITUTE(SUBSTITUTE(UPPER(TRIM(A323)),"Á","A"),"À","A"),"Â","A"),"Ã","A"),"É","E"),"Ê","E"),"Í","I"),"Ó","O"),"Ô","O"),"Õ","O"),"Ú","U"),"Ü","U"),"Ç","C"))</f>
        <v/>
      </c>
      <c r="C323" s="43"/>
      <c r="D323" s="23"/>
      <c r="E323" s="23"/>
      <c r="F323" s="11"/>
      <c r="G323" s="35"/>
      <c r="H323" s="23"/>
      <c r="I323" s="24"/>
      <c r="J323" s="31" t="str">
        <f aca="false">IF(I323="","",UPPER(SUBSTITUTE(SUBSTITUTE(SUBSTITUTE(SUBSTITUTE(SUBSTITUTE(TRIM(I323),".",""),"/",""),"-",""),"*","")," ","")))</f>
        <v/>
      </c>
      <c r="K323" s="31" t="str">
        <f aca="false">IF(OR(H323="",J323=""),"",IF(LEN(J323)&gt;=13,IF(LEN(J323)=13,"0"&amp;J323,J323),SUBSTITUTE(SUBSTITUTE(SUBSTITUTE(SUBSTITUTE(SUBSTITUTE(SUBSTITUTE(SUBSTITUTE(SUBSTITUTE(SUBSTITUTE(SUBSTITUTE(SUBSTITUTE(SUBSTITUTE(SUBSTITUTE(UPPER(TRIM(H323)),"Á","A"),"À","A"),"Â","A"),"Ã","A"),"É","E"),"Ê","E"),"Í","I"),"Ó","O"),"Ô","O"),"Õ","O"),"Ú","U"),"Ü","U"),"Ç","C")&amp;"|"&amp;IF(LEN(J323)=11,MID(J323,4,6),J323)))</f>
        <v/>
      </c>
      <c r="L323" s="25" t="str">
        <f aca="false">IF(K323="","",IF(E323="Doação recebida",TRIM(IF(COUNTIF(Socios!$H:$H,K323)&gt;0,"Doador é sócio de empresa da pauta. ","")&amp;IF(COUNTIF(Pessoas!$E:$E,K323)&gt;0,"Doador está em Pessoas.","")),IF(E323="Despesa com fornecedor",IF(COUNTIF(Contratos!$D:$D,K323)&gt;0,"Fornecedor também tem contrato público",""),"")))</f>
        <v/>
      </c>
      <c r="M323" s="24"/>
      <c r="N323" s="11"/>
    </row>
    <row r="324" customFormat="false" ht="15" hidden="false" customHeight="false" outlineLevel="0" collapsed="false">
      <c r="A324" s="23"/>
      <c r="B324" s="31" t="str">
        <f aca="false">IF(A324="","",SUBSTITUTE(SUBSTITUTE(SUBSTITUTE(SUBSTITUTE(SUBSTITUTE(SUBSTITUTE(SUBSTITUTE(SUBSTITUTE(SUBSTITUTE(SUBSTITUTE(SUBSTITUTE(SUBSTITUTE(SUBSTITUTE(UPPER(TRIM(A324)),"Á","A"),"À","A"),"Â","A"),"Ã","A"),"É","E"),"Ê","E"),"Í","I"),"Ó","O"),"Ô","O"),"Õ","O"),"Ú","U"),"Ü","U"),"Ç","C"))</f>
        <v/>
      </c>
      <c r="C324" s="43"/>
      <c r="D324" s="23"/>
      <c r="E324" s="23"/>
      <c r="F324" s="11"/>
      <c r="G324" s="35"/>
      <c r="H324" s="23"/>
      <c r="I324" s="24"/>
      <c r="J324" s="31" t="str">
        <f aca="false">IF(I324="","",UPPER(SUBSTITUTE(SUBSTITUTE(SUBSTITUTE(SUBSTITUTE(SUBSTITUTE(TRIM(I324),".",""),"/",""),"-",""),"*","")," ","")))</f>
        <v/>
      </c>
      <c r="K324" s="31" t="str">
        <f aca="false">IF(OR(H324="",J324=""),"",IF(LEN(J324)&gt;=13,IF(LEN(J324)=13,"0"&amp;J324,J324),SUBSTITUTE(SUBSTITUTE(SUBSTITUTE(SUBSTITUTE(SUBSTITUTE(SUBSTITUTE(SUBSTITUTE(SUBSTITUTE(SUBSTITUTE(SUBSTITUTE(SUBSTITUTE(SUBSTITUTE(SUBSTITUTE(UPPER(TRIM(H324)),"Á","A"),"À","A"),"Â","A"),"Ã","A"),"É","E"),"Ê","E"),"Í","I"),"Ó","O"),"Ô","O"),"Õ","O"),"Ú","U"),"Ü","U"),"Ç","C")&amp;"|"&amp;IF(LEN(J324)=11,MID(J324,4,6),J324)))</f>
        <v/>
      </c>
      <c r="L324" s="25" t="str">
        <f aca="false">IF(K324="","",IF(E324="Doação recebida",TRIM(IF(COUNTIF(Socios!$H:$H,K324)&gt;0,"Doador é sócio de empresa da pauta. ","")&amp;IF(COUNTIF(Pessoas!$E:$E,K324)&gt;0,"Doador está em Pessoas.","")),IF(E324="Despesa com fornecedor",IF(COUNTIF(Contratos!$D:$D,K324)&gt;0,"Fornecedor também tem contrato público",""),"")))</f>
        <v/>
      </c>
      <c r="M324" s="24"/>
      <c r="N324" s="11"/>
    </row>
    <row r="325" customFormat="false" ht="15" hidden="false" customHeight="false" outlineLevel="0" collapsed="false">
      <c r="A325" s="23"/>
      <c r="B325" s="31" t="str">
        <f aca="false">IF(A325="","",SUBSTITUTE(SUBSTITUTE(SUBSTITUTE(SUBSTITUTE(SUBSTITUTE(SUBSTITUTE(SUBSTITUTE(SUBSTITUTE(SUBSTITUTE(SUBSTITUTE(SUBSTITUTE(SUBSTITUTE(SUBSTITUTE(UPPER(TRIM(A325)),"Á","A"),"À","A"),"Â","A"),"Ã","A"),"É","E"),"Ê","E"),"Í","I"),"Ó","O"),"Ô","O"),"Õ","O"),"Ú","U"),"Ü","U"),"Ç","C"))</f>
        <v/>
      </c>
      <c r="C325" s="43"/>
      <c r="D325" s="23"/>
      <c r="E325" s="23"/>
      <c r="F325" s="11"/>
      <c r="G325" s="35"/>
      <c r="H325" s="23"/>
      <c r="I325" s="24"/>
      <c r="J325" s="31" t="str">
        <f aca="false">IF(I325="","",UPPER(SUBSTITUTE(SUBSTITUTE(SUBSTITUTE(SUBSTITUTE(SUBSTITUTE(TRIM(I325),".",""),"/",""),"-",""),"*","")," ","")))</f>
        <v/>
      </c>
      <c r="K325" s="31" t="str">
        <f aca="false">IF(OR(H325="",J325=""),"",IF(LEN(J325)&gt;=13,IF(LEN(J325)=13,"0"&amp;J325,J325),SUBSTITUTE(SUBSTITUTE(SUBSTITUTE(SUBSTITUTE(SUBSTITUTE(SUBSTITUTE(SUBSTITUTE(SUBSTITUTE(SUBSTITUTE(SUBSTITUTE(SUBSTITUTE(SUBSTITUTE(SUBSTITUTE(UPPER(TRIM(H325)),"Á","A"),"À","A"),"Â","A"),"Ã","A"),"É","E"),"Ê","E"),"Í","I"),"Ó","O"),"Ô","O"),"Õ","O"),"Ú","U"),"Ü","U"),"Ç","C")&amp;"|"&amp;IF(LEN(J325)=11,MID(J325,4,6),J325)))</f>
        <v/>
      </c>
      <c r="L325" s="25" t="str">
        <f aca="false">IF(K325="","",IF(E325="Doação recebida",TRIM(IF(COUNTIF(Socios!$H:$H,K325)&gt;0,"Doador é sócio de empresa da pauta. ","")&amp;IF(COUNTIF(Pessoas!$E:$E,K325)&gt;0,"Doador está em Pessoas.","")),IF(E325="Despesa com fornecedor",IF(COUNTIF(Contratos!$D:$D,K325)&gt;0,"Fornecedor também tem contrato público",""),"")))</f>
        <v/>
      </c>
      <c r="M325" s="24"/>
      <c r="N325" s="11"/>
    </row>
    <row r="326" customFormat="false" ht="15" hidden="false" customHeight="false" outlineLevel="0" collapsed="false">
      <c r="A326" s="23"/>
      <c r="B326" s="31" t="str">
        <f aca="false">IF(A326="","",SUBSTITUTE(SUBSTITUTE(SUBSTITUTE(SUBSTITUTE(SUBSTITUTE(SUBSTITUTE(SUBSTITUTE(SUBSTITUTE(SUBSTITUTE(SUBSTITUTE(SUBSTITUTE(SUBSTITUTE(SUBSTITUTE(UPPER(TRIM(A326)),"Á","A"),"À","A"),"Â","A"),"Ã","A"),"É","E"),"Ê","E"),"Í","I"),"Ó","O"),"Ô","O"),"Õ","O"),"Ú","U"),"Ü","U"),"Ç","C"))</f>
        <v/>
      </c>
      <c r="C326" s="43"/>
      <c r="D326" s="23"/>
      <c r="E326" s="23"/>
      <c r="F326" s="11"/>
      <c r="G326" s="35"/>
      <c r="H326" s="23"/>
      <c r="I326" s="24"/>
      <c r="J326" s="31" t="str">
        <f aca="false">IF(I326="","",UPPER(SUBSTITUTE(SUBSTITUTE(SUBSTITUTE(SUBSTITUTE(SUBSTITUTE(TRIM(I326),".",""),"/",""),"-",""),"*","")," ","")))</f>
        <v/>
      </c>
      <c r="K326" s="31" t="str">
        <f aca="false">IF(OR(H326="",J326=""),"",IF(LEN(J326)&gt;=13,IF(LEN(J326)=13,"0"&amp;J326,J326),SUBSTITUTE(SUBSTITUTE(SUBSTITUTE(SUBSTITUTE(SUBSTITUTE(SUBSTITUTE(SUBSTITUTE(SUBSTITUTE(SUBSTITUTE(SUBSTITUTE(SUBSTITUTE(SUBSTITUTE(SUBSTITUTE(UPPER(TRIM(H326)),"Á","A"),"À","A"),"Â","A"),"Ã","A"),"É","E"),"Ê","E"),"Í","I"),"Ó","O"),"Ô","O"),"Õ","O"),"Ú","U"),"Ü","U"),"Ç","C")&amp;"|"&amp;IF(LEN(J326)=11,MID(J326,4,6),J326)))</f>
        <v/>
      </c>
      <c r="L326" s="25" t="str">
        <f aca="false">IF(K326="","",IF(E326="Doação recebida",TRIM(IF(COUNTIF(Socios!$H:$H,K326)&gt;0,"Doador é sócio de empresa da pauta. ","")&amp;IF(COUNTIF(Pessoas!$E:$E,K326)&gt;0,"Doador está em Pessoas.","")),IF(E326="Despesa com fornecedor",IF(COUNTIF(Contratos!$D:$D,K326)&gt;0,"Fornecedor também tem contrato público",""),"")))</f>
        <v/>
      </c>
      <c r="M326" s="24"/>
      <c r="N326" s="11"/>
    </row>
    <row r="327" customFormat="false" ht="15" hidden="false" customHeight="false" outlineLevel="0" collapsed="false">
      <c r="A327" s="23"/>
      <c r="B327" s="31" t="str">
        <f aca="false">IF(A327="","",SUBSTITUTE(SUBSTITUTE(SUBSTITUTE(SUBSTITUTE(SUBSTITUTE(SUBSTITUTE(SUBSTITUTE(SUBSTITUTE(SUBSTITUTE(SUBSTITUTE(SUBSTITUTE(SUBSTITUTE(SUBSTITUTE(UPPER(TRIM(A327)),"Á","A"),"À","A"),"Â","A"),"Ã","A"),"É","E"),"Ê","E"),"Í","I"),"Ó","O"),"Ô","O"),"Õ","O"),"Ú","U"),"Ü","U"),"Ç","C"))</f>
        <v/>
      </c>
      <c r="C327" s="43"/>
      <c r="D327" s="23"/>
      <c r="E327" s="23"/>
      <c r="F327" s="11"/>
      <c r="G327" s="35"/>
      <c r="H327" s="23"/>
      <c r="I327" s="24"/>
      <c r="J327" s="31" t="str">
        <f aca="false">IF(I327="","",UPPER(SUBSTITUTE(SUBSTITUTE(SUBSTITUTE(SUBSTITUTE(SUBSTITUTE(TRIM(I327),".",""),"/",""),"-",""),"*","")," ","")))</f>
        <v/>
      </c>
      <c r="K327" s="31" t="str">
        <f aca="false">IF(OR(H327="",J327=""),"",IF(LEN(J327)&gt;=13,IF(LEN(J327)=13,"0"&amp;J327,J327),SUBSTITUTE(SUBSTITUTE(SUBSTITUTE(SUBSTITUTE(SUBSTITUTE(SUBSTITUTE(SUBSTITUTE(SUBSTITUTE(SUBSTITUTE(SUBSTITUTE(SUBSTITUTE(SUBSTITUTE(SUBSTITUTE(UPPER(TRIM(H327)),"Á","A"),"À","A"),"Â","A"),"Ã","A"),"É","E"),"Ê","E"),"Í","I"),"Ó","O"),"Ô","O"),"Õ","O"),"Ú","U"),"Ü","U"),"Ç","C")&amp;"|"&amp;IF(LEN(J327)=11,MID(J327,4,6),J327)))</f>
        <v/>
      </c>
      <c r="L327" s="25" t="str">
        <f aca="false">IF(K327="","",IF(E327="Doação recebida",TRIM(IF(COUNTIF(Socios!$H:$H,K327)&gt;0,"Doador é sócio de empresa da pauta. ","")&amp;IF(COUNTIF(Pessoas!$E:$E,K327)&gt;0,"Doador está em Pessoas.","")),IF(E327="Despesa com fornecedor",IF(COUNTIF(Contratos!$D:$D,K327)&gt;0,"Fornecedor também tem contrato público",""),"")))</f>
        <v/>
      </c>
      <c r="M327" s="24"/>
      <c r="N327" s="11"/>
    </row>
    <row r="328" customFormat="false" ht="15" hidden="false" customHeight="false" outlineLevel="0" collapsed="false">
      <c r="A328" s="23"/>
      <c r="B328" s="31" t="str">
        <f aca="false">IF(A328="","",SUBSTITUTE(SUBSTITUTE(SUBSTITUTE(SUBSTITUTE(SUBSTITUTE(SUBSTITUTE(SUBSTITUTE(SUBSTITUTE(SUBSTITUTE(SUBSTITUTE(SUBSTITUTE(SUBSTITUTE(SUBSTITUTE(UPPER(TRIM(A328)),"Á","A"),"À","A"),"Â","A"),"Ã","A"),"É","E"),"Ê","E"),"Í","I"),"Ó","O"),"Ô","O"),"Õ","O"),"Ú","U"),"Ü","U"),"Ç","C"))</f>
        <v/>
      </c>
      <c r="C328" s="43"/>
      <c r="D328" s="23"/>
      <c r="E328" s="23"/>
      <c r="F328" s="11"/>
      <c r="G328" s="35"/>
      <c r="H328" s="23"/>
      <c r="I328" s="24"/>
      <c r="J328" s="31" t="str">
        <f aca="false">IF(I328="","",UPPER(SUBSTITUTE(SUBSTITUTE(SUBSTITUTE(SUBSTITUTE(SUBSTITUTE(TRIM(I328),".",""),"/",""),"-",""),"*","")," ","")))</f>
        <v/>
      </c>
      <c r="K328" s="31" t="str">
        <f aca="false">IF(OR(H328="",J328=""),"",IF(LEN(J328)&gt;=13,IF(LEN(J328)=13,"0"&amp;J328,J328),SUBSTITUTE(SUBSTITUTE(SUBSTITUTE(SUBSTITUTE(SUBSTITUTE(SUBSTITUTE(SUBSTITUTE(SUBSTITUTE(SUBSTITUTE(SUBSTITUTE(SUBSTITUTE(SUBSTITUTE(SUBSTITUTE(UPPER(TRIM(H328)),"Á","A"),"À","A"),"Â","A"),"Ã","A"),"É","E"),"Ê","E"),"Í","I"),"Ó","O"),"Ô","O"),"Õ","O"),"Ú","U"),"Ü","U"),"Ç","C")&amp;"|"&amp;IF(LEN(J328)=11,MID(J328,4,6),J328)))</f>
        <v/>
      </c>
      <c r="L328" s="25" t="str">
        <f aca="false">IF(K328="","",IF(E328="Doação recebida",TRIM(IF(COUNTIF(Socios!$H:$H,K328)&gt;0,"Doador é sócio de empresa da pauta. ","")&amp;IF(COUNTIF(Pessoas!$E:$E,K328)&gt;0,"Doador está em Pessoas.","")),IF(E328="Despesa com fornecedor",IF(COUNTIF(Contratos!$D:$D,K328)&gt;0,"Fornecedor também tem contrato público",""),"")))</f>
        <v/>
      </c>
      <c r="M328" s="24"/>
      <c r="N328" s="11"/>
    </row>
    <row r="329" customFormat="false" ht="15" hidden="false" customHeight="false" outlineLevel="0" collapsed="false">
      <c r="A329" s="23"/>
      <c r="B329" s="31" t="str">
        <f aca="false">IF(A329="","",SUBSTITUTE(SUBSTITUTE(SUBSTITUTE(SUBSTITUTE(SUBSTITUTE(SUBSTITUTE(SUBSTITUTE(SUBSTITUTE(SUBSTITUTE(SUBSTITUTE(SUBSTITUTE(SUBSTITUTE(SUBSTITUTE(UPPER(TRIM(A329)),"Á","A"),"À","A"),"Â","A"),"Ã","A"),"É","E"),"Ê","E"),"Í","I"),"Ó","O"),"Ô","O"),"Õ","O"),"Ú","U"),"Ü","U"),"Ç","C"))</f>
        <v/>
      </c>
      <c r="C329" s="43"/>
      <c r="D329" s="23"/>
      <c r="E329" s="23"/>
      <c r="F329" s="11"/>
      <c r="G329" s="35"/>
      <c r="H329" s="23"/>
      <c r="I329" s="24"/>
      <c r="J329" s="31" t="str">
        <f aca="false">IF(I329="","",UPPER(SUBSTITUTE(SUBSTITUTE(SUBSTITUTE(SUBSTITUTE(SUBSTITUTE(TRIM(I329),".",""),"/",""),"-",""),"*","")," ","")))</f>
        <v/>
      </c>
      <c r="K329" s="31" t="str">
        <f aca="false">IF(OR(H329="",J329=""),"",IF(LEN(J329)&gt;=13,IF(LEN(J329)=13,"0"&amp;J329,J329),SUBSTITUTE(SUBSTITUTE(SUBSTITUTE(SUBSTITUTE(SUBSTITUTE(SUBSTITUTE(SUBSTITUTE(SUBSTITUTE(SUBSTITUTE(SUBSTITUTE(SUBSTITUTE(SUBSTITUTE(SUBSTITUTE(UPPER(TRIM(H329)),"Á","A"),"À","A"),"Â","A"),"Ã","A"),"É","E"),"Ê","E"),"Í","I"),"Ó","O"),"Ô","O"),"Õ","O"),"Ú","U"),"Ü","U"),"Ç","C")&amp;"|"&amp;IF(LEN(J329)=11,MID(J329,4,6),J329)))</f>
        <v/>
      </c>
      <c r="L329" s="25" t="str">
        <f aca="false">IF(K329="","",IF(E329="Doação recebida",TRIM(IF(COUNTIF(Socios!$H:$H,K329)&gt;0,"Doador é sócio de empresa da pauta. ","")&amp;IF(COUNTIF(Pessoas!$E:$E,K329)&gt;0,"Doador está em Pessoas.","")),IF(E329="Despesa com fornecedor",IF(COUNTIF(Contratos!$D:$D,K329)&gt;0,"Fornecedor também tem contrato público",""),"")))</f>
        <v/>
      </c>
      <c r="M329" s="24"/>
      <c r="N329" s="11"/>
    </row>
    <row r="330" customFormat="false" ht="15" hidden="false" customHeight="false" outlineLevel="0" collapsed="false">
      <c r="A330" s="23"/>
      <c r="B330" s="31" t="str">
        <f aca="false">IF(A330="","",SUBSTITUTE(SUBSTITUTE(SUBSTITUTE(SUBSTITUTE(SUBSTITUTE(SUBSTITUTE(SUBSTITUTE(SUBSTITUTE(SUBSTITUTE(SUBSTITUTE(SUBSTITUTE(SUBSTITUTE(SUBSTITUTE(UPPER(TRIM(A330)),"Á","A"),"À","A"),"Â","A"),"Ã","A"),"É","E"),"Ê","E"),"Í","I"),"Ó","O"),"Ô","O"),"Õ","O"),"Ú","U"),"Ü","U"),"Ç","C"))</f>
        <v/>
      </c>
      <c r="C330" s="43"/>
      <c r="D330" s="23"/>
      <c r="E330" s="23"/>
      <c r="F330" s="11"/>
      <c r="G330" s="35"/>
      <c r="H330" s="23"/>
      <c r="I330" s="24"/>
      <c r="J330" s="31" t="str">
        <f aca="false">IF(I330="","",UPPER(SUBSTITUTE(SUBSTITUTE(SUBSTITUTE(SUBSTITUTE(SUBSTITUTE(TRIM(I330),".",""),"/",""),"-",""),"*","")," ","")))</f>
        <v/>
      </c>
      <c r="K330" s="31" t="str">
        <f aca="false">IF(OR(H330="",J330=""),"",IF(LEN(J330)&gt;=13,IF(LEN(J330)=13,"0"&amp;J330,J330),SUBSTITUTE(SUBSTITUTE(SUBSTITUTE(SUBSTITUTE(SUBSTITUTE(SUBSTITUTE(SUBSTITUTE(SUBSTITUTE(SUBSTITUTE(SUBSTITUTE(SUBSTITUTE(SUBSTITUTE(SUBSTITUTE(UPPER(TRIM(H330)),"Á","A"),"À","A"),"Â","A"),"Ã","A"),"É","E"),"Ê","E"),"Í","I"),"Ó","O"),"Ô","O"),"Õ","O"),"Ú","U"),"Ü","U"),"Ç","C")&amp;"|"&amp;IF(LEN(J330)=11,MID(J330,4,6),J330)))</f>
        <v/>
      </c>
      <c r="L330" s="25" t="str">
        <f aca="false">IF(K330="","",IF(E330="Doação recebida",TRIM(IF(COUNTIF(Socios!$H:$H,K330)&gt;0,"Doador é sócio de empresa da pauta. ","")&amp;IF(COUNTIF(Pessoas!$E:$E,K330)&gt;0,"Doador está em Pessoas.","")),IF(E330="Despesa com fornecedor",IF(COUNTIF(Contratos!$D:$D,K330)&gt;0,"Fornecedor também tem contrato público",""),"")))</f>
        <v/>
      </c>
      <c r="M330" s="24"/>
      <c r="N330" s="11"/>
    </row>
    <row r="331" customFormat="false" ht="15" hidden="false" customHeight="false" outlineLevel="0" collapsed="false">
      <c r="A331" s="23"/>
      <c r="B331" s="31" t="str">
        <f aca="false">IF(A331="","",SUBSTITUTE(SUBSTITUTE(SUBSTITUTE(SUBSTITUTE(SUBSTITUTE(SUBSTITUTE(SUBSTITUTE(SUBSTITUTE(SUBSTITUTE(SUBSTITUTE(SUBSTITUTE(SUBSTITUTE(SUBSTITUTE(UPPER(TRIM(A331)),"Á","A"),"À","A"),"Â","A"),"Ã","A"),"É","E"),"Ê","E"),"Í","I"),"Ó","O"),"Ô","O"),"Õ","O"),"Ú","U"),"Ü","U"),"Ç","C"))</f>
        <v/>
      </c>
      <c r="C331" s="43"/>
      <c r="D331" s="23"/>
      <c r="E331" s="23"/>
      <c r="F331" s="11"/>
      <c r="G331" s="35"/>
      <c r="H331" s="23"/>
      <c r="I331" s="24"/>
      <c r="J331" s="31" t="str">
        <f aca="false">IF(I331="","",UPPER(SUBSTITUTE(SUBSTITUTE(SUBSTITUTE(SUBSTITUTE(SUBSTITUTE(TRIM(I331),".",""),"/",""),"-",""),"*","")," ","")))</f>
        <v/>
      </c>
      <c r="K331" s="31" t="str">
        <f aca="false">IF(OR(H331="",J331=""),"",IF(LEN(J331)&gt;=13,IF(LEN(J331)=13,"0"&amp;J331,J331),SUBSTITUTE(SUBSTITUTE(SUBSTITUTE(SUBSTITUTE(SUBSTITUTE(SUBSTITUTE(SUBSTITUTE(SUBSTITUTE(SUBSTITUTE(SUBSTITUTE(SUBSTITUTE(SUBSTITUTE(SUBSTITUTE(UPPER(TRIM(H331)),"Á","A"),"À","A"),"Â","A"),"Ã","A"),"É","E"),"Ê","E"),"Í","I"),"Ó","O"),"Ô","O"),"Õ","O"),"Ú","U"),"Ü","U"),"Ç","C")&amp;"|"&amp;IF(LEN(J331)=11,MID(J331,4,6),J331)))</f>
        <v/>
      </c>
      <c r="L331" s="25" t="str">
        <f aca="false">IF(K331="","",IF(E331="Doação recebida",TRIM(IF(COUNTIF(Socios!$H:$H,K331)&gt;0,"Doador é sócio de empresa da pauta. ","")&amp;IF(COUNTIF(Pessoas!$E:$E,K331)&gt;0,"Doador está em Pessoas.","")),IF(E331="Despesa com fornecedor",IF(COUNTIF(Contratos!$D:$D,K331)&gt;0,"Fornecedor também tem contrato público",""),"")))</f>
        <v/>
      </c>
      <c r="M331" s="24"/>
      <c r="N331" s="11"/>
    </row>
    <row r="332" customFormat="false" ht="15" hidden="false" customHeight="false" outlineLevel="0" collapsed="false">
      <c r="A332" s="23"/>
      <c r="B332" s="31" t="str">
        <f aca="false">IF(A332="","",SUBSTITUTE(SUBSTITUTE(SUBSTITUTE(SUBSTITUTE(SUBSTITUTE(SUBSTITUTE(SUBSTITUTE(SUBSTITUTE(SUBSTITUTE(SUBSTITUTE(SUBSTITUTE(SUBSTITUTE(SUBSTITUTE(UPPER(TRIM(A332)),"Á","A"),"À","A"),"Â","A"),"Ã","A"),"É","E"),"Ê","E"),"Í","I"),"Ó","O"),"Ô","O"),"Õ","O"),"Ú","U"),"Ü","U"),"Ç","C"))</f>
        <v/>
      </c>
      <c r="C332" s="43"/>
      <c r="D332" s="23"/>
      <c r="E332" s="23"/>
      <c r="F332" s="11"/>
      <c r="G332" s="35"/>
      <c r="H332" s="23"/>
      <c r="I332" s="24"/>
      <c r="J332" s="31" t="str">
        <f aca="false">IF(I332="","",UPPER(SUBSTITUTE(SUBSTITUTE(SUBSTITUTE(SUBSTITUTE(SUBSTITUTE(TRIM(I332),".",""),"/",""),"-",""),"*","")," ","")))</f>
        <v/>
      </c>
      <c r="K332" s="31" t="str">
        <f aca="false">IF(OR(H332="",J332=""),"",IF(LEN(J332)&gt;=13,IF(LEN(J332)=13,"0"&amp;J332,J332),SUBSTITUTE(SUBSTITUTE(SUBSTITUTE(SUBSTITUTE(SUBSTITUTE(SUBSTITUTE(SUBSTITUTE(SUBSTITUTE(SUBSTITUTE(SUBSTITUTE(SUBSTITUTE(SUBSTITUTE(SUBSTITUTE(UPPER(TRIM(H332)),"Á","A"),"À","A"),"Â","A"),"Ã","A"),"É","E"),"Ê","E"),"Í","I"),"Ó","O"),"Ô","O"),"Õ","O"),"Ú","U"),"Ü","U"),"Ç","C")&amp;"|"&amp;IF(LEN(J332)=11,MID(J332,4,6),J332)))</f>
        <v/>
      </c>
      <c r="L332" s="25" t="str">
        <f aca="false">IF(K332="","",IF(E332="Doação recebida",TRIM(IF(COUNTIF(Socios!$H:$H,K332)&gt;0,"Doador é sócio de empresa da pauta. ","")&amp;IF(COUNTIF(Pessoas!$E:$E,K332)&gt;0,"Doador está em Pessoas.","")),IF(E332="Despesa com fornecedor",IF(COUNTIF(Contratos!$D:$D,K332)&gt;0,"Fornecedor também tem contrato público",""),"")))</f>
        <v/>
      </c>
      <c r="M332" s="24"/>
      <c r="N332" s="11"/>
    </row>
    <row r="333" customFormat="false" ht="15" hidden="false" customHeight="false" outlineLevel="0" collapsed="false">
      <c r="A333" s="23"/>
      <c r="B333" s="31" t="str">
        <f aca="false">IF(A333="","",SUBSTITUTE(SUBSTITUTE(SUBSTITUTE(SUBSTITUTE(SUBSTITUTE(SUBSTITUTE(SUBSTITUTE(SUBSTITUTE(SUBSTITUTE(SUBSTITUTE(SUBSTITUTE(SUBSTITUTE(SUBSTITUTE(UPPER(TRIM(A333)),"Á","A"),"À","A"),"Â","A"),"Ã","A"),"É","E"),"Ê","E"),"Í","I"),"Ó","O"),"Ô","O"),"Õ","O"),"Ú","U"),"Ü","U"),"Ç","C"))</f>
        <v/>
      </c>
      <c r="C333" s="43"/>
      <c r="D333" s="23"/>
      <c r="E333" s="23"/>
      <c r="F333" s="11"/>
      <c r="G333" s="35"/>
      <c r="H333" s="23"/>
      <c r="I333" s="24"/>
      <c r="J333" s="31" t="str">
        <f aca="false">IF(I333="","",UPPER(SUBSTITUTE(SUBSTITUTE(SUBSTITUTE(SUBSTITUTE(SUBSTITUTE(TRIM(I333),".",""),"/",""),"-",""),"*","")," ","")))</f>
        <v/>
      </c>
      <c r="K333" s="31" t="str">
        <f aca="false">IF(OR(H333="",J333=""),"",IF(LEN(J333)&gt;=13,IF(LEN(J333)=13,"0"&amp;J333,J333),SUBSTITUTE(SUBSTITUTE(SUBSTITUTE(SUBSTITUTE(SUBSTITUTE(SUBSTITUTE(SUBSTITUTE(SUBSTITUTE(SUBSTITUTE(SUBSTITUTE(SUBSTITUTE(SUBSTITUTE(SUBSTITUTE(UPPER(TRIM(H333)),"Á","A"),"À","A"),"Â","A"),"Ã","A"),"É","E"),"Ê","E"),"Í","I"),"Ó","O"),"Ô","O"),"Õ","O"),"Ú","U"),"Ü","U"),"Ç","C")&amp;"|"&amp;IF(LEN(J333)=11,MID(J333,4,6),J333)))</f>
        <v/>
      </c>
      <c r="L333" s="25" t="str">
        <f aca="false">IF(K333="","",IF(E333="Doação recebida",TRIM(IF(COUNTIF(Socios!$H:$H,K333)&gt;0,"Doador é sócio de empresa da pauta. ","")&amp;IF(COUNTIF(Pessoas!$E:$E,K333)&gt;0,"Doador está em Pessoas.","")),IF(E333="Despesa com fornecedor",IF(COUNTIF(Contratos!$D:$D,K333)&gt;0,"Fornecedor também tem contrato público",""),"")))</f>
        <v/>
      </c>
      <c r="M333" s="24"/>
      <c r="N333" s="11"/>
    </row>
    <row r="334" customFormat="false" ht="15" hidden="false" customHeight="false" outlineLevel="0" collapsed="false">
      <c r="A334" s="23"/>
      <c r="B334" s="31" t="str">
        <f aca="false">IF(A334="","",SUBSTITUTE(SUBSTITUTE(SUBSTITUTE(SUBSTITUTE(SUBSTITUTE(SUBSTITUTE(SUBSTITUTE(SUBSTITUTE(SUBSTITUTE(SUBSTITUTE(SUBSTITUTE(SUBSTITUTE(SUBSTITUTE(UPPER(TRIM(A334)),"Á","A"),"À","A"),"Â","A"),"Ã","A"),"É","E"),"Ê","E"),"Í","I"),"Ó","O"),"Ô","O"),"Õ","O"),"Ú","U"),"Ü","U"),"Ç","C"))</f>
        <v/>
      </c>
      <c r="C334" s="43"/>
      <c r="D334" s="23"/>
      <c r="E334" s="23"/>
      <c r="F334" s="11"/>
      <c r="G334" s="35"/>
      <c r="H334" s="23"/>
      <c r="I334" s="24"/>
      <c r="J334" s="31" t="str">
        <f aca="false">IF(I334="","",UPPER(SUBSTITUTE(SUBSTITUTE(SUBSTITUTE(SUBSTITUTE(SUBSTITUTE(TRIM(I334),".",""),"/",""),"-",""),"*","")," ","")))</f>
        <v/>
      </c>
      <c r="K334" s="31" t="str">
        <f aca="false">IF(OR(H334="",J334=""),"",IF(LEN(J334)&gt;=13,IF(LEN(J334)=13,"0"&amp;J334,J334),SUBSTITUTE(SUBSTITUTE(SUBSTITUTE(SUBSTITUTE(SUBSTITUTE(SUBSTITUTE(SUBSTITUTE(SUBSTITUTE(SUBSTITUTE(SUBSTITUTE(SUBSTITUTE(SUBSTITUTE(SUBSTITUTE(UPPER(TRIM(H334)),"Á","A"),"À","A"),"Â","A"),"Ã","A"),"É","E"),"Ê","E"),"Í","I"),"Ó","O"),"Ô","O"),"Õ","O"),"Ú","U"),"Ü","U"),"Ç","C")&amp;"|"&amp;IF(LEN(J334)=11,MID(J334,4,6),J334)))</f>
        <v/>
      </c>
      <c r="L334" s="25" t="str">
        <f aca="false">IF(K334="","",IF(E334="Doação recebida",TRIM(IF(COUNTIF(Socios!$H:$H,K334)&gt;0,"Doador é sócio de empresa da pauta. ","")&amp;IF(COUNTIF(Pessoas!$E:$E,K334)&gt;0,"Doador está em Pessoas.","")),IF(E334="Despesa com fornecedor",IF(COUNTIF(Contratos!$D:$D,K334)&gt;0,"Fornecedor também tem contrato público",""),"")))</f>
        <v/>
      </c>
      <c r="M334" s="24"/>
      <c r="N334" s="11"/>
    </row>
    <row r="335" customFormat="false" ht="15" hidden="false" customHeight="false" outlineLevel="0" collapsed="false">
      <c r="A335" s="23"/>
      <c r="B335" s="31" t="str">
        <f aca="false">IF(A335="","",SUBSTITUTE(SUBSTITUTE(SUBSTITUTE(SUBSTITUTE(SUBSTITUTE(SUBSTITUTE(SUBSTITUTE(SUBSTITUTE(SUBSTITUTE(SUBSTITUTE(SUBSTITUTE(SUBSTITUTE(SUBSTITUTE(UPPER(TRIM(A335)),"Á","A"),"À","A"),"Â","A"),"Ã","A"),"É","E"),"Ê","E"),"Í","I"),"Ó","O"),"Ô","O"),"Õ","O"),"Ú","U"),"Ü","U"),"Ç","C"))</f>
        <v/>
      </c>
      <c r="C335" s="43"/>
      <c r="D335" s="23"/>
      <c r="E335" s="23"/>
      <c r="F335" s="11"/>
      <c r="G335" s="35"/>
      <c r="H335" s="23"/>
      <c r="I335" s="24"/>
      <c r="J335" s="31" t="str">
        <f aca="false">IF(I335="","",UPPER(SUBSTITUTE(SUBSTITUTE(SUBSTITUTE(SUBSTITUTE(SUBSTITUTE(TRIM(I335),".",""),"/",""),"-",""),"*","")," ","")))</f>
        <v/>
      </c>
      <c r="K335" s="31" t="str">
        <f aca="false">IF(OR(H335="",J335=""),"",IF(LEN(J335)&gt;=13,IF(LEN(J335)=13,"0"&amp;J335,J335),SUBSTITUTE(SUBSTITUTE(SUBSTITUTE(SUBSTITUTE(SUBSTITUTE(SUBSTITUTE(SUBSTITUTE(SUBSTITUTE(SUBSTITUTE(SUBSTITUTE(SUBSTITUTE(SUBSTITUTE(SUBSTITUTE(UPPER(TRIM(H335)),"Á","A"),"À","A"),"Â","A"),"Ã","A"),"É","E"),"Ê","E"),"Í","I"),"Ó","O"),"Ô","O"),"Õ","O"),"Ú","U"),"Ü","U"),"Ç","C")&amp;"|"&amp;IF(LEN(J335)=11,MID(J335,4,6),J335)))</f>
        <v/>
      </c>
      <c r="L335" s="25" t="str">
        <f aca="false">IF(K335="","",IF(E335="Doação recebida",TRIM(IF(COUNTIF(Socios!$H:$H,K335)&gt;0,"Doador é sócio de empresa da pauta. ","")&amp;IF(COUNTIF(Pessoas!$E:$E,K335)&gt;0,"Doador está em Pessoas.","")),IF(E335="Despesa com fornecedor",IF(COUNTIF(Contratos!$D:$D,K335)&gt;0,"Fornecedor também tem contrato público",""),"")))</f>
        <v/>
      </c>
      <c r="M335" s="24"/>
      <c r="N335" s="11"/>
    </row>
    <row r="336" customFormat="false" ht="15" hidden="false" customHeight="false" outlineLevel="0" collapsed="false">
      <c r="A336" s="23"/>
      <c r="B336" s="31" t="str">
        <f aca="false">IF(A336="","",SUBSTITUTE(SUBSTITUTE(SUBSTITUTE(SUBSTITUTE(SUBSTITUTE(SUBSTITUTE(SUBSTITUTE(SUBSTITUTE(SUBSTITUTE(SUBSTITUTE(SUBSTITUTE(SUBSTITUTE(SUBSTITUTE(UPPER(TRIM(A336)),"Á","A"),"À","A"),"Â","A"),"Ã","A"),"É","E"),"Ê","E"),"Í","I"),"Ó","O"),"Ô","O"),"Õ","O"),"Ú","U"),"Ü","U"),"Ç","C"))</f>
        <v/>
      </c>
      <c r="C336" s="43"/>
      <c r="D336" s="23"/>
      <c r="E336" s="23"/>
      <c r="F336" s="11"/>
      <c r="G336" s="35"/>
      <c r="H336" s="23"/>
      <c r="I336" s="24"/>
      <c r="J336" s="31" t="str">
        <f aca="false">IF(I336="","",UPPER(SUBSTITUTE(SUBSTITUTE(SUBSTITUTE(SUBSTITUTE(SUBSTITUTE(TRIM(I336),".",""),"/",""),"-",""),"*","")," ","")))</f>
        <v/>
      </c>
      <c r="K336" s="31" t="str">
        <f aca="false">IF(OR(H336="",J336=""),"",IF(LEN(J336)&gt;=13,IF(LEN(J336)=13,"0"&amp;J336,J336),SUBSTITUTE(SUBSTITUTE(SUBSTITUTE(SUBSTITUTE(SUBSTITUTE(SUBSTITUTE(SUBSTITUTE(SUBSTITUTE(SUBSTITUTE(SUBSTITUTE(SUBSTITUTE(SUBSTITUTE(SUBSTITUTE(UPPER(TRIM(H336)),"Á","A"),"À","A"),"Â","A"),"Ã","A"),"É","E"),"Ê","E"),"Í","I"),"Ó","O"),"Ô","O"),"Õ","O"),"Ú","U"),"Ü","U"),"Ç","C")&amp;"|"&amp;IF(LEN(J336)=11,MID(J336,4,6),J336)))</f>
        <v/>
      </c>
      <c r="L336" s="25" t="str">
        <f aca="false">IF(K336="","",IF(E336="Doação recebida",TRIM(IF(COUNTIF(Socios!$H:$H,K336)&gt;0,"Doador é sócio de empresa da pauta. ","")&amp;IF(COUNTIF(Pessoas!$E:$E,K336)&gt;0,"Doador está em Pessoas.","")),IF(E336="Despesa com fornecedor",IF(COUNTIF(Contratos!$D:$D,K336)&gt;0,"Fornecedor também tem contrato público",""),"")))</f>
        <v/>
      </c>
      <c r="M336" s="24"/>
      <c r="N336" s="11"/>
    </row>
    <row r="337" customFormat="false" ht="15" hidden="false" customHeight="false" outlineLevel="0" collapsed="false">
      <c r="A337" s="23"/>
      <c r="B337" s="31" t="str">
        <f aca="false">IF(A337="","",SUBSTITUTE(SUBSTITUTE(SUBSTITUTE(SUBSTITUTE(SUBSTITUTE(SUBSTITUTE(SUBSTITUTE(SUBSTITUTE(SUBSTITUTE(SUBSTITUTE(SUBSTITUTE(SUBSTITUTE(SUBSTITUTE(UPPER(TRIM(A337)),"Á","A"),"À","A"),"Â","A"),"Ã","A"),"É","E"),"Ê","E"),"Í","I"),"Ó","O"),"Ô","O"),"Õ","O"),"Ú","U"),"Ü","U"),"Ç","C"))</f>
        <v/>
      </c>
      <c r="C337" s="43"/>
      <c r="D337" s="23"/>
      <c r="E337" s="23"/>
      <c r="F337" s="11"/>
      <c r="G337" s="35"/>
      <c r="H337" s="23"/>
      <c r="I337" s="24"/>
      <c r="J337" s="31" t="str">
        <f aca="false">IF(I337="","",UPPER(SUBSTITUTE(SUBSTITUTE(SUBSTITUTE(SUBSTITUTE(SUBSTITUTE(TRIM(I337),".",""),"/",""),"-",""),"*","")," ","")))</f>
        <v/>
      </c>
      <c r="K337" s="31" t="str">
        <f aca="false">IF(OR(H337="",J337=""),"",IF(LEN(J337)&gt;=13,IF(LEN(J337)=13,"0"&amp;J337,J337),SUBSTITUTE(SUBSTITUTE(SUBSTITUTE(SUBSTITUTE(SUBSTITUTE(SUBSTITUTE(SUBSTITUTE(SUBSTITUTE(SUBSTITUTE(SUBSTITUTE(SUBSTITUTE(SUBSTITUTE(SUBSTITUTE(UPPER(TRIM(H337)),"Á","A"),"À","A"),"Â","A"),"Ã","A"),"É","E"),"Ê","E"),"Í","I"),"Ó","O"),"Ô","O"),"Õ","O"),"Ú","U"),"Ü","U"),"Ç","C")&amp;"|"&amp;IF(LEN(J337)=11,MID(J337,4,6),J337)))</f>
        <v/>
      </c>
      <c r="L337" s="25" t="str">
        <f aca="false">IF(K337="","",IF(E337="Doação recebida",TRIM(IF(COUNTIF(Socios!$H:$H,K337)&gt;0,"Doador é sócio de empresa da pauta. ","")&amp;IF(COUNTIF(Pessoas!$E:$E,K337)&gt;0,"Doador está em Pessoas.","")),IF(E337="Despesa com fornecedor",IF(COUNTIF(Contratos!$D:$D,K337)&gt;0,"Fornecedor também tem contrato público",""),"")))</f>
        <v/>
      </c>
      <c r="M337" s="24"/>
      <c r="N337" s="11"/>
    </row>
    <row r="338" customFormat="false" ht="15" hidden="false" customHeight="false" outlineLevel="0" collapsed="false">
      <c r="A338" s="23"/>
      <c r="B338" s="31" t="str">
        <f aca="false">IF(A338="","",SUBSTITUTE(SUBSTITUTE(SUBSTITUTE(SUBSTITUTE(SUBSTITUTE(SUBSTITUTE(SUBSTITUTE(SUBSTITUTE(SUBSTITUTE(SUBSTITUTE(SUBSTITUTE(SUBSTITUTE(SUBSTITUTE(UPPER(TRIM(A338)),"Á","A"),"À","A"),"Â","A"),"Ã","A"),"É","E"),"Ê","E"),"Í","I"),"Ó","O"),"Ô","O"),"Õ","O"),"Ú","U"),"Ü","U"),"Ç","C"))</f>
        <v/>
      </c>
      <c r="C338" s="43"/>
      <c r="D338" s="23"/>
      <c r="E338" s="23"/>
      <c r="F338" s="11"/>
      <c r="G338" s="35"/>
      <c r="H338" s="23"/>
      <c r="I338" s="24"/>
      <c r="J338" s="31" t="str">
        <f aca="false">IF(I338="","",UPPER(SUBSTITUTE(SUBSTITUTE(SUBSTITUTE(SUBSTITUTE(SUBSTITUTE(TRIM(I338),".",""),"/",""),"-",""),"*","")," ","")))</f>
        <v/>
      </c>
      <c r="K338" s="31" t="str">
        <f aca="false">IF(OR(H338="",J338=""),"",IF(LEN(J338)&gt;=13,IF(LEN(J338)=13,"0"&amp;J338,J338),SUBSTITUTE(SUBSTITUTE(SUBSTITUTE(SUBSTITUTE(SUBSTITUTE(SUBSTITUTE(SUBSTITUTE(SUBSTITUTE(SUBSTITUTE(SUBSTITUTE(SUBSTITUTE(SUBSTITUTE(SUBSTITUTE(UPPER(TRIM(H338)),"Á","A"),"À","A"),"Â","A"),"Ã","A"),"É","E"),"Ê","E"),"Í","I"),"Ó","O"),"Ô","O"),"Õ","O"),"Ú","U"),"Ü","U"),"Ç","C")&amp;"|"&amp;IF(LEN(J338)=11,MID(J338,4,6),J338)))</f>
        <v/>
      </c>
      <c r="L338" s="25" t="str">
        <f aca="false">IF(K338="","",IF(E338="Doação recebida",TRIM(IF(COUNTIF(Socios!$H:$H,K338)&gt;0,"Doador é sócio de empresa da pauta. ","")&amp;IF(COUNTIF(Pessoas!$E:$E,K338)&gt;0,"Doador está em Pessoas.","")),IF(E338="Despesa com fornecedor",IF(COUNTIF(Contratos!$D:$D,K338)&gt;0,"Fornecedor também tem contrato público",""),"")))</f>
        <v/>
      </c>
      <c r="M338" s="24"/>
      <c r="N338" s="11"/>
    </row>
    <row r="339" customFormat="false" ht="15" hidden="false" customHeight="false" outlineLevel="0" collapsed="false">
      <c r="A339" s="23"/>
      <c r="B339" s="31" t="str">
        <f aca="false">IF(A339="","",SUBSTITUTE(SUBSTITUTE(SUBSTITUTE(SUBSTITUTE(SUBSTITUTE(SUBSTITUTE(SUBSTITUTE(SUBSTITUTE(SUBSTITUTE(SUBSTITUTE(SUBSTITUTE(SUBSTITUTE(SUBSTITUTE(UPPER(TRIM(A339)),"Á","A"),"À","A"),"Â","A"),"Ã","A"),"É","E"),"Ê","E"),"Í","I"),"Ó","O"),"Ô","O"),"Õ","O"),"Ú","U"),"Ü","U"),"Ç","C"))</f>
        <v/>
      </c>
      <c r="C339" s="43"/>
      <c r="D339" s="23"/>
      <c r="E339" s="23"/>
      <c r="F339" s="11"/>
      <c r="G339" s="35"/>
      <c r="H339" s="23"/>
      <c r="I339" s="24"/>
      <c r="J339" s="31" t="str">
        <f aca="false">IF(I339="","",UPPER(SUBSTITUTE(SUBSTITUTE(SUBSTITUTE(SUBSTITUTE(SUBSTITUTE(TRIM(I339),".",""),"/",""),"-",""),"*","")," ","")))</f>
        <v/>
      </c>
      <c r="K339" s="31" t="str">
        <f aca="false">IF(OR(H339="",J339=""),"",IF(LEN(J339)&gt;=13,IF(LEN(J339)=13,"0"&amp;J339,J339),SUBSTITUTE(SUBSTITUTE(SUBSTITUTE(SUBSTITUTE(SUBSTITUTE(SUBSTITUTE(SUBSTITUTE(SUBSTITUTE(SUBSTITUTE(SUBSTITUTE(SUBSTITUTE(SUBSTITUTE(SUBSTITUTE(UPPER(TRIM(H339)),"Á","A"),"À","A"),"Â","A"),"Ã","A"),"É","E"),"Ê","E"),"Í","I"),"Ó","O"),"Ô","O"),"Õ","O"),"Ú","U"),"Ü","U"),"Ç","C")&amp;"|"&amp;IF(LEN(J339)=11,MID(J339,4,6),J339)))</f>
        <v/>
      </c>
      <c r="L339" s="25" t="str">
        <f aca="false">IF(K339="","",IF(E339="Doação recebida",TRIM(IF(COUNTIF(Socios!$H:$H,K339)&gt;0,"Doador é sócio de empresa da pauta. ","")&amp;IF(COUNTIF(Pessoas!$E:$E,K339)&gt;0,"Doador está em Pessoas.","")),IF(E339="Despesa com fornecedor",IF(COUNTIF(Contratos!$D:$D,K339)&gt;0,"Fornecedor também tem contrato público",""),"")))</f>
        <v/>
      </c>
      <c r="M339" s="24"/>
      <c r="N339" s="11"/>
    </row>
    <row r="340" customFormat="false" ht="15" hidden="false" customHeight="false" outlineLevel="0" collapsed="false">
      <c r="A340" s="23"/>
      <c r="B340" s="31" t="str">
        <f aca="false">IF(A340="","",SUBSTITUTE(SUBSTITUTE(SUBSTITUTE(SUBSTITUTE(SUBSTITUTE(SUBSTITUTE(SUBSTITUTE(SUBSTITUTE(SUBSTITUTE(SUBSTITUTE(SUBSTITUTE(SUBSTITUTE(SUBSTITUTE(UPPER(TRIM(A340)),"Á","A"),"À","A"),"Â","A"),"Ã","A"),"É","E"),"Ê","E"),"Í","I"),"Ó","O"),"Ô","O"),"Õ","O"),"Ú","U"),"Ü","U"),"Ç","C"))</f>
        <v/>
      </c>
      <c r="C340" s="43"/>
      <c r="D340" s="23"/>
      <c r="E340" s="23"/>
      <c r="F340" s="11"/>
      <c r="G340" s="35"/>
      <c r="H340" s="23"/>
      <c r="I340" s="24"/>
      <c r="J340" s="31" t="str">
        <f aca="false">IF(I340="","",UPPER(SUBSTITUTE(SUBSTITUTE(SUBSTITUTE(SUBSTITUTE(SUBSTITUTE(TRIM(I340),".",""),"/",""),"-",""),"*","")," ","")))</f>
        <v/>
      </c>
      <c r="K340" s="31" t="str">
        <f aca="false">IF(OR(H340="",J340=""),"",IF(LEN(J340)&gt;=13,IF(LEN(J340)=13,"0"&amp;J340,J340),SUBSTITUTE(SUBSTITUTE(SUBSTITUTE(SUBSTITUTE(SUBSTITUTE(SUBSTITUTE(SUBSTITUTE(SUBSTITUTE(SUBSTITUTE(SUBSTITUTE(SUBSTITUTE(SUBSTITUTE(SUBSTITUTE(UPPER(TRIM(H340)),"Á","A"),"À","A"),"Â","A"),"Ã","A"),"É","E"),"Ê","E"),"Í","I"),"Ó","O"),"Ô","O"),"Õ","O"),"Ú","U"),"Ü","U"),"Ç","C")&amp;"|"&amp;IF(LEN(J340)=11,MID(J340,4,6),J340)))</f>
        <v/>
      </c>
      <c r="L340" s="25" t="str">
        <f aca="false">IF(K340="","",IF(E340="Doação recebida",TRIM(IF(COUNTIF(Socios!$H:$H,K340)&gt;0,"Doador é sócio de empresa da pauta. ","")&amp;IF(COUNTIF(Pessoas!$E:$E,K340)&gt;0,"Doador está em Pessoas.","")),IF(E340="Despesa com fornecedor",IF(COUNTIF(Contratos!$D:$D,K340)&gt;0,"Fornecedor também tem contrato público",""),"")))</f>
        <v/>
      </c>
      <c r="M340" s="24"/>
      <c r="N340" s="11"/>
    </row>
    <row r="341" customFormat="false" ht="15" hidden="false" customHeight="false" outlineLevel="0" collapsed="false">
      <c r="A341" s="23"/>
      <c r="B341" s="31" t="str">
        <f aca="false">IF(A341="","",SUBSTITUTE(SUBSTITUTE(SUBSTITUTE(SUBSTITUTE(SUBSTITUTE(SUBSTITUTE(SUBSTITUTE(SUBSTITUTE(SUBSTITUTE(SUBSTITUTE(SUBSTITUTE(SUBSTITUTE(SUBSTITUTE(UPPER(TRIM(A341)),"Á","A"),"À","A"),"Â","A"),"Ã","A"),"É","E"),"Ê","E"),"Í","I"),"Ó","O"),"Ô","O"),"Õ","O"),"Ú","U"),"Ü","U"),"Ç","C"))</f>
        <v/>
      </c>
      <c r="C341" s="43"/>
      <c r="D341" s="23"/>
      <c r="E341" s="23"/>
      <c r="F341" s="11"/>
      <c r="G341" s="35"/>
      <c r="H341" s="23"/>
      <c r="I341" s="24"/>
      <c r="J341" s="31" t="str">
        <f aca="false">IF(I341="","",UPPER(SUBSTITUTE(SUBSTITUTE(SUBSTITUTE(SUBSTITUTE(SUBSTITUTE(TRIM(I341),".",""),"/",""),"-",""),"*","")," ","")))</f>
        <v/>
      </c>
      <c r="K341" s="31" t="str">
        <f aca="false">IF(OR(H341="",J341=""),"",IF(LEN(J341)&gt;=13,IF(LEN(J341)=13,"0"&amp;J341,J341),SUBSTITUTE(SUBSTITUTE(SUBSTITUTE(SUBSTITUTE(SUBSTITUTE(SUBSTITUTE(SUBSTITUTE(SUBSTITUTE(SUBSTITUTE(SUBSTITUTE(SUBSTITUTE(SUBSTITUTE(SUBSTITUTE(UPPER(TRIM(H341)),"Á","A"),"À","A"),"Â","A"),"Ã","A"),"É","E"),"Ê","E"),"Í","I"),"Ó","O"),"Ô","O"),"Õ","O"),"Ú","U"),"Ü","U"),"Ç","C")&amp;"|"&amp;IF(LEN(J341)=11,MID(J341,4,6),J341)))</f>
        <v/>
      </c>
      <c r="L341" s="25" t="str">
        <f aca="false">IF(K341="","",IF(E341="Doação recebida",TRIM(IF(COUNTIF(Socios!$H:$H,K341)&gt;0,"Doador é sócio de empresa da pauta. ","")&amp;IF(COUNTIF(Pessoas!$E:$E,K341)&gt;0,"Doador está em Pessoas.","")),IF(E341="Despesa com fornecedor",IF(COUNTIF(Contratos!$D:$D,K341)&gt;0,"Fornecedor também tem contrato público",""),"")))</f>
        <v/>
      </c>
      <c r="M341" s="24"/>
      <c r="N341" s="11"/>
    </row>
    <row r="342" customFormat="false" ht="15" hidden="false" customHeight="false" outlineLevel="0" collapsed="false">
      <c r="A342" s="23"/>
      <c r="B342" s="31" t="str">
        <f aca="false">IF(A342="","",SUBSTITUTE(SUBSTITUTE(SUBSTITUTE(SUBSTITUTE(SUBSTITUTE(SUBSTITUTE(SUBSTITUTE(SUBSTITUTE(SUBSTITUTE(SUBSTITUTE(SUBSTITUTE(SUBSTITUTE(SUBSTITUTE(UPPER(TRIM(A342)),"Á","A"),"À","A"),"Â","A"),"Ã","A"),"É","E"),"Ê","E"),"Í","I"),"Ó","O"),"Ô","O"),"Õ","O"),"Ú","U"),"Ü","U"),"Ç","C"))</f>
        <v/>
      </c>
      <c r="C342" s="43"/>
      <c r="D342" s="23"/>
      <c r="E342" s="23"/>
      <c r="F342" s="11"/>
      <c r="G342" s="35"/>
      <c r="H342" s="23"/>
      <c r="I342" s="24"/>
      <c r="J342" s="31" t="str">
        <f aca="false">IF(I342="","",UPPER(SUBSTITUTE(SUBSTITUTE(SUBSTITUTE(SUBSTITUTE(SUBSTITUTE(TRIM(I342),".",""),"/",""),"-",""),"*","")," ","")))</f>
        <v/>
      </c>
      <c r="K342" s="31" t="str">
        <f aca="false">IF(OR(H342="",J342=""),"",IF(LEN(J342)&gt;=13,IF(LEN(J342)=13,"0"&amp;J342,J342),SUBSTITUTE(SUBSTITUTE(SUBSTITUTE(SUBSTITUTE(SUBSTITUTE(SUBSTITUTE(SUBSTITUTE(SUBSTITUTE(SUBSTITUTE(SUBSTITUTE(SUBSTITUTE(SUBSTITUTE(SUBSTITUTE(UPPER(TRIM(H342)),"Á","A"),"À","A"),"Â","A"),"Ã","A"),"É","E"),"Ê","E"),"Í","I"),"Ó","O"),"Ô","O"),"Õ","O"),"Ú","U"),"Ü","U"),"Ç","C")&amp;"|"&amp;IF(LEN(J342)=11,MID(J342,4,6),J342)))</f>
        <v/>
      </c>
      <c r="L342" s="25" t="str">
        <f aca="false">IF(K342="","",IF(E342="Doação recebida",TRIM(IF(COUNTIF(Socios!$H:$H,K342)&gt;0,"Doador é sócio de empresa da pauta. ","")&amp;IF(COUNTIF(Pessoas!$E:$E,K342)&gt;0,"Doador está em Pessoas.","")),IF(E342="Despesa com fornecedor",IF(COUNTIF(Contratos!$D:$D,K342)&gt;0,"Fornecedor também tem contrato público",""),"")))</f>
        <v/>
      </c>
      <c r="M342" s="24"/>
      <c r="N342" s="11"/>
    </row>
    <row r="343" customFormat="false" ht="15" hidden="false" customHeight="false" outlineLevel="0" collapsed="false">
      <c r="A343" s="23"/>
      <c r="B343" s="31" t="str">
        <f aca="false">IF(A343="","",SUBSTITUTE(SUBSTITUTE(SUBSTITUTE(SUBSTITUTE(SUBSTITUTE(SUBSTITUTE(SUBSTITUTE(SUBSTITUTE(SUBSTITUTE(SUBSTITUTE(SUBSTITUTE(SUBSTITUTE(SUBSTITUTE(UPPER(TRIM(A343)),"Á","A"),"À","A"),"Â","A"),"Ã","A"),"É","E"),"Ê","E"),"Í","I"),"Ó","O"),"Ô","O"),"Õ","O"),"Ú","U"),"Ü","U"),"Ç","C"))</f>
        <v/>
      </c>
      <c r="C343" s="43"/>
      <c r="D343" s="23"/>
      <c r="E343" s="23"/>
      <c r="F343" s="11"/>
      <c r="G343" s="35"/>
      <c r="H343" s="23"/>
      <c r="I343" s="24"/>
      <c r="J343" s="31" t="str">
        <f aca="false">IF(I343="","",UPPER(SUBSTITUTE(SUBSTITUTE(SUBSTITUTE(SUBSTITUTE(SUBSTITUTE(TRIM(I343),".",""),"/",""),"-",""),"*","")," ","")))</f>
        <v/>
      </c>
      <c r="K343" s="31" t="str">
        <f aca="false">IF(OR(H343="",J343=""),"",IF(LEN(J343)&gt;=13,IF(LEN(J343)=13,"0"&amp;J343,J343),SUBSTITUTE(SUBSTITUTE(SUBSTITUTE(SUBSTITUTE(SUBSTITUTE(SUBSTITUTE(SUBSTITUTE(SUBSTITUTE(SUBSTITUTE(SUBSTITUTE(SUBSTITUTE(SUBSTITUTE(SUBSTITUTE(UPPER(TRIM(H343)),"Á","A"),"À","A"),"Â","A"),"Ã","A"),"É","E"),"Ê","E"),"Í","I"),"Ó","O"),"Ô","O"),"Õ","O"),"Ú","U"),"Ü","U"),"Ç","C")&amp;"|"&amp;IF(LEN(J343)=11,MID(J343,4,6),J343)))</f>
        <v/>
      </c>
      <c r="L343" s="25" t="str">
        <f aca="false">IF(K343="","",IF(E343="Doação recebida",TRIM(IF(COUNTIF(Socios!$H:$H,K343)&gt;0,"Doador é sócio de empresa da pauta. ","")&amp;IF(COUNTIF(Pessoas!$E:$E,K343)&gt;0,"Doador está em Pessoas.","")),IF(E343="Despesa com fornecedor",IF(COUNTIF(Contratos!$D:$D,K343)&gt;0,"Fornecedor também tem contrato público",""),"")))</f>
        <v/>
      </c>
      <c r="M343" s="24"/>
      <c r="N343" s="11"/>
    </row>
    <row r="344" customFormat="false" ht="15" hidden="false" customHeight="false" outlineLevel="0" collapsed="false">
      <c r="A344" s="23"/>
      <c r="B344" s="31" t="str">
        <f aca="false">IF(A344="","",SUBSTITUTE(SUBSTITUTE(SUBSTITUTE(SUBSTITUTE(SUBSTITUTE(SUBSTITUTE(SUBSTITUTE(SUBSTITUTE(SUBSTITUTE(SUBSTITUTE(SUBSTITUTE(SUBSTITUTE(SUBSTITUTE(UPPER(TRIM(A344)),"Á","A"),"À","A"),"Â","A"),"Ã","A"),"É","E"),"Ê","E"),"Í","I"),"Ó","O"),"Ô","O"),"Õ","O"),"Ú","U"),"Ü","U"),"Ç","C"))</f>
        <v/>
      </c>
      <c r="C344" s="43"/>
      <c r="D344" s="23"/>
      <c r="E344" s="23"/>
      <c r="F344" s="11"/>
      <c r="G344" s="35"/>
      <c r="H344" s="23"/>
      <c r="I344" s="24"/>
      <c r="J344" s="31" t="str">
        <f aca="false">IF(I344="","",UPPER(SUBSTITUTE(SUBSTITUTE(SUBSTITUTE(SUBSTITUTE(SUBSTITUTE(TRIM(I344),".",""),"/",""),"-",""),"*","")," ","")))</f>
        <v/>
      </c>
      <c r="K344" s="31" t="str">
        <f aca="false">IF(OR(H344="",J344=""),"",IF(LEN(J344)&gt;=13,IF(LEN(J344)=13,"0"&amp;J344,J344),SUBSTITUTE(SUBSTITUTE(SUBSTITUTE(SUBSTITUTE(SUBSTITUTE(SUBSTITUTE(SUBSTITUTE(SUBSTITUTE(SUBSTITUTE(SUBSTITUTE(SUBSTITUTE(SUBSTITUTE(SUBSTITUTE(UPPER(TRIM(H344)),"Á","A"),"À","A"),"Â","A"),"Ã","A"),"É","E"),"Ê","E"),"Í","I"),"Ó","O"),"Ô","O"),"Õ","O"),"Ú","U"),"Ü","U"),"Ç","C")&amp;"|"&amp;IF(LEN(J344)=11,MID(J344,4,6),J344)))</f>
        <v/>
      </c>
      <c r="L344" s="25" t="str">
        <f aca="false">IF(K344="","",IF(E344="Doação recebida",TRIM(IF(COUNTIF(Socios!$H:$H,K344)&gt;0,"Doador é sócio de empresa da pauta. ","")&amp;IF(COUNTIF(Pessoas!$E:$E,K344)&gt;0,"Doador está em Pessoas.","")),IF(E344="Despesa com fornecedor",IF(COUNTIF(Contratos!$D:$D,K344)&gt;0,"Fornecedor também tem contrato público",""),"")))</f>
        <v/>
      </c>
      <c r="M344" s="24"/>
      <c r="N344" s="11"/>
    </row>
    <row r="345" customFormat="false" ht="15" hidden="false" customHeight="false" outlineLevel="0" collapsed="false">
      <c r="A345" s="23"/>
      <c r="B345" s="31" t="str">
        <f aca="false">IF(A345="","",SUBSTITUTE(SUBSTITUTE(SUBSTITUTE(SUBSTITUTE(SUBSTITUTE(SUBSTITUTE(SUBSTITUTE(SUBSTITUTE(SUBSTITUTE(SUBSTITUTE(SUBSTITUTE(SUBSTITUTE(SUBSTITUTE(UPPER(TRIM(A345)),"Á","A"),"À","A"),"Â","A"),"Ã","A"),"É","E"),"Ê","E"),"Í","I"),"Ó","O"),"Ô","O"),"Õ","O"),"Ú","U"),"Ü","U"),"Ç","C"))</f>
        <v/>
      </c>
      <c r="C345" s="43"/>
      <c r="D345" s="23"/>
      <c r="E345" s="23"/>
      <c r="F345" s="11"/>
      <c r="G345" s="35"/>
      <c r="H345" s="23"/>
      <c r="I345" s="24"/>
      <c r="J345" s="31" t="str">
        <f aca="false">IF(I345="","",UPPER(SUBSTITUTE(SUBSTITUTE(SUBSTITUTE(SUBSTITUTE(SUBSTITUTE(TRIM(I345),".",""),"/",""),"-",""),"*","")," ","")))</f>
        <v/>
      </c>
      <c r="K345" s="31" t="str">
        <f aca="false">IF(OR(H345="",J345=""),"",IF(LEN(J345)&gt;=13,IF(LEN(J345)=13,"0"&amp;J345,J345),SUBSTITUTE(SUBSTITUTE(SUBSTITUTE(SUBSTITUTE(SUBSTITUTE(SUBSTITUTE(SUBSTITUTE(SUBSTITUTE(SUBSTITUTE(SUBSTITUTE(SUBSTITUTE(SUBSTITUTE(SUBSTITUTE(UPPER(TRIM(H345)),"Á","A"),"À","A"),"Â","A"),"Ã","A"),"É","E"),"Ê","E"),"Í","I"),"Ó","O"),"Ô","O"),"Õ","O"),"Ú","U"),"Ü","U"),"Ç","C")&amp;"|"&amp;IF(LEN(J345)=11,MID(J345,4,6),J345)))</f>
        <v/>
      </c>
      <c r="L345" s="25" t="str">
        <f aca="false">IF(K345="","",IF(E345="Doação recebida",TRIM(IF(COUNTIF(Socios!$H:$H,K345)&gt;0,"Doador é sócio de empresa da pauta. ","")&amp;IF(COUNTIF(Pessoas!$E:$E,K345)&gt;0,"Doador está em Pessoas.","")),IF(E345="Despesa com fornecedor",IF(COUNTIF(Contratos!$D:$D,K345)&gt;0,"Fornecedor também tem contrato público",""),"")))</f>
        <v/>
      </c>
      <c r="M345" s="24"/>
      <c r="N345" s="11"/>
    </row>
    <row r="346" customFormat="false" ht="15" hidden="false" customHeight="false" outlineLevel="0" collapsed="false">
      <c r="A346" s="23"/>
      <c r="B346" s="31" t="str">
        <f aca="false">IF(A346="","",SUBSTITUTE(SUBSTITUTE(SUBSTITUTE(SUBSTITUTE(SUBSTITUTE(SUBSTITUTE(SUBSTITUTE(SUBSTITUTE(SUBSTITUTE(SUBSTITUTE(SUBSTITUTE(SUBSTITUTE(SUBSTITUTE(UPPER(TRIM(A346)),"Á","A"),"À","A"),"Â","A"),"Ã","A"),"É","E"),"Ê","E"),"Í","I"),"Ó","O"),"Ô","O"),"Õ","O"),"Ú","U"),"Ü","U"),"Ç","C"))</f>
        <v/>
      </c>
      <c r="C346" s="43"/>
      <c r="D346" s="23"/>
      <c r="E346" s="23"/>
      <c r="F346" s="11"/>
      <c r="G346" s="35"/>
      <c r="H346" s="23"/>
      <c r="I346" s="24"/>
      <c r="J346" s="31" t="str">
        <f aca="false">IF(I346="","",UPPER(SUBSTITUTE(SUBSTITUTE(SUBSTITUTE(SUBSTITUTE(SUBSTITUTE(TRIM(I346),".",""),"/",""),"-",""),"*","")," ","")))</f>
        <v/>
      </c>
      <c r="K346" s="31" t="str">
        <f aca="false">IF(OR(H346="",J346=""),"",IF(LEN(J346)&gt;=13,IF(LEN(J346)=13,"0"&amp;J346,J346),SUBSTITUTE(SUBSTITUTE(SUBSTITUTE(SUBSTITUTE(SUBSTITUTE(SUBSTITUTE(SUBSTITUTE(SUBSTITUTE(SUBSTITUTE(SUBSTITUTE(SUBSTITUTE(SUBSTITUTE(SUBSTITUTE(UPPER(TRIM(H346)),"Á","A"),"À","A"),"Â","A"),"Ã","A"),"É","E"),"Ê","E"),"Í","I"),"Ó","O"),"Ô","O"),"Õ","O"),"Ú","U"),"Ü","U"),"Ç","C")&amp;"|"&amp;IF(LEN(J346)=11,MID(J346,4,6),J346)))</f>
        <v/>
      </c>
      <c r="L346" s="25" t="str">
        <f aca="false">IF(K346="","",IF(E346="Doação recebida",TRIM(IF(COUNTIF(Socios!$H:$H,K346)&gt;0,"Doador é sócio de empresa da pauta. ","")&amp;IF(COUNTIF(Pessoas!$E:$E,K346)&gt;0,"Doador está em Pessoas.","")),IF(E346="Despesa com fornecedor",IF(COUNTIF(Contratos!$D:$D,K346)&gt;0,"Fornecedor também tem contrato público",""),"")))</f>
        <v/>
      </c>
      <c r="M346" s="24"/>
      <c r="N346" s="11"/>
    </row>
    <row r="347" customFormat="false" ht="15" hidden="false" customHeight="false" outlineLevel="0" collapsed="false">
      <c r="A347" s="23"/>
      <c r="B347" s="31" t="str">
        <f aca="false">IF(A347="","",SUBSTITUTE(SUBSTITUTE(SUBSTITUTE(SUBSTITUTE(SUBSTITUTE(SUBSTITUTE(SUBSTITUTE(SUBSTITUTE(SUBSTITUTE(SUBSTITUTE(SUBSTITUTE(SUBSTITUTE(SUBSTITUTE(UPPER(TRIM(A347)),"Á","A"),"À","A"),"Â","A"),"Ã","A"),"É","E"),"Ê","E"),"Í","I"),"Ó","O"),"Ô","O"),"Õ","O"),"Ú","U"),"Ü","U"),"Ç","C"))</f>
        <v/>
      </c>
      <c r="C347" s="43"/>
      <c r="D347" s="23"/>
      <c r="E347" s="23"/>
      <c r="F347" s="11"/>
      <c r="G347" s="35"/>
      <c r="H347" s="23"/>
      <c r="I347" s="24"/>
      <c r="J347" s="31" t="str">
        <f aca="false">IF(I347="","",UPPER(SUBSTITUTE(SUBSTITUTE(SUBSTITUTE(SUBSTITUTE(SUBSTITUTE(TRIM(I347),".",""),"/",""),"-",""),"*","")," ","")))</f>
        <v/>
      </c>
      <c r="K347" s="31" t="str">
        <f aca="false">IF(OR(H347="",J347=""),"",IF(LEN(J347)&gt;=13,IF(LEN(J347)=13,"0"&amp;J347,J347),SUBSTITUTE(SUBSTITUTE(SUBSTITUTE(SUBSTITUTE(SUBSTITUTE(SUBSTITUTE(SUBSTITUTE(SUBSTITUTE(SUBSTITUTE(SUBSTITUTE(SUBSTITUTE(SUBSTITUTE(SUBSTITUTE(UPPER(TRIM(H347)),"Á","A"),"À","A"),"Â","A"),"Ã","A"),"É","E"),"Ê","E"),"Í","I"),"Ó","O"),"Ô","O"),"Õ","O"),"Ú","U"),"Ü","U"),"Ç","C")&amp;"|"&amp;IF(LEN(J347)=11,MID(J347,4,6),J347)))</f>
        <v/>
      </c>
      <c r="L347" s="25" t="str">
        <f aca="false">IF(K347="","",IF(E347="Doação recebida",TRIM(IF(COUNTIF(Socios!$H:$H,K347)&gt;0,"Doador é sócio de empresa da pauta. ","")&amp;IF(COUNTIF(Pessoas!$E:$E,K347)&gt;0,"Doador está em Pessoas.","")),IF(E347="Despesa com fornecedor",IF(COUNTIF(Contratos!$D:$D,K347)&gt;0,"Fornecedor também tem contrato público",""),"")))</f>
        <v/>
      </c>
      <c r="M347" s="24"/>
      <c r="N347" s="11"/>
    </row>
    <row r="348" customFormat="false" ht="15" hidden="false" customHeight="false" outlineLevel="0" collapsed="false">
      <c r="A348" s="23"/>
      <c r="B348" s="31" t="str">
        <f aca="false">IF(A348="","",SUBSTITUTE(SUBSTITUTE(SUBSTITUTE(SUBSTITUTE(SUBSTITUTE(SUBSTITUTE(SUBSTITUTE(SUBSTITUTE(SUBSTITUTE(SUBSTITUTE(SUBSTITUTE(SUBSTITUTE(SUBSTITUTE(UPPER(TRIM(A348)),"Á","A"),"À","A"),"Â","A"),"Ã","A"),"É","E"),"Ê","E"),"Í","I"),"Ó","O"),"Ô","O"),"Õ","O"),"Ú","U"),"Ü","U"),"Ç","C"))</f>
        <v/>
      </c>
      <c r="C348" s="43"/>
      <c r="D348" s="23"/>
      <c r="E348" s="23"/>
      <c r="F348" s="11"/>
      <c r="G348" s="35"/>
      <c r="H348" s="23"/>
      <c r="I348" s="24"/>
      <c r="J348" s="31" t="str">
        <f aca="false">IF(I348="","",UPPER(SUBSTITUTE(SUBSTITUTE(SUBSTITUTE(SUBSTITUTE(SUBSTITUTE(TRIM(I348),".",""),"/",""),"-",""),"*","")," ","")))</f>
        <v/>
      </c>
      <c r="K348" s="31" t="str">
        <f aca="false">IF(OR(H348="",J348=""),"",IF(LEN(J348)&gt;=13,IF(LEN(J348)=13,"0"&amp;J348,J348),SUBSTITUTE(SUBSTITUTE(SUBSTITUTE(SUBSTITUTE(SUBSTITUTE(SUBSTITUTE(SUBSTITUTE(SUBSTITUTE(SUBSTITUTE(SUBSTITUTE(SUBSTITUTE(SUBSTITUTE(SUBSTITUTE(UPPER(TRIM(H348)),"Á","A"),"À","A"),"Â","A"),"Ã","A"),"É","E"),"Ê","E"),"Í","I"),"Ó","O"),"Ô","O"),"Õ","O"),"Ú","U"),"Ü","U"),"Ç","C")&amp;"|"&amp;IF(LEN(J348)=11,MID(J348,4,6),J348)))</f>
        <v/>
      </c>
      <c r="L348" s="25" t="str">
        <f aca="false">IF(K348="","",IF(E348="Doação recebida",TRIM(IF(COUNTIF(Socios!$H:$H,K348)&gt;0,"Doador é sócio de empresa da pauta. ","")&amp;IF(COUNTIF(Pessoas!$E:$E,K348)&gt;0,"Doador está em Pessoas.","")),IF(E348="Despesa com fornecedor",IF(COUNTIF(Contratos!$D:$D,K348)&gt;0,"Fornecedor também tem contrato público",""),"")))</f>
        <v/>
      </c>
      <c r="M348" s="24"/>
      <c r="N348" s="11"/>
    </row>
    <row r="349" customFormat="false" ht="15" hidden="false" customHeight="false" outlineLevel="0" collapsed="false">
      <c r="A349" s="23"/>
      <c r="B349" s="31" t="str">
        <f aca="false">IF(A349="","",SUBSTITUTE(SUBSTITUTE(SUBSTITUTE(SUBSTITUTE(SUBSTITUTE(SUBSTITUTE(SUBSTITUTE(SUBSTITUTE(SUBSTITUTE(SUBSTITUTE(SUBSTITUTE(SUBSTITUTE(SUBSTITUTE(UPPER(TRIM(A349)),"Á","A"),"À","A"),"Â","A"),"Ã","A"),"É","E"),"Ê","E"),"Í","I"),"Ó","O"),"Ô","O"),"Õ","O"),"Ú","U"),"Ü","U"),"Ç","C"))</f>
        <v/>
      </c>
      <c r="C349" s="43"/>
      <c r="D349" s="23"/>
      <c r="E349" s="23"/>
      <c r="F349" s="11"/>
      <c r="G349" s="35"/>
      <c r="H349" s="23"/>
      <c r="I349" s="24"/>
      <c r="J349" s="31" t="str">
        <f aca="false">IF(I349="","",UPPER(SUBSTITUTE(SUBSTITUTE(SUBSTITUTE(SUBSTITUTE(SUBSTITUTE(TRIM(I349),".",""),"/",""),"-",""),"*","")," ","")))</f>
        <v/>
      </c>
      <c r="K349" s="31" t="str">
        <f aca="false">IF(OR(H349="",J349=""),"",IF(LEN(J349)&gt;=13,IF(LEN(J349)=13,"0"&amp;J349,J349),SUBSTITUTE(SUBSTITUTE(SUBSTITUTE(SUBSTITUTE(SUBSTITUTE(SUBSTITUTE(SUBSTITUTE(SUBSTITUTE(SUBSTITUTE(SUBSTITUTE(SUBSTITUTE(SUBSTITUTE(SUBSTITUTE(UPPER(TRIM(H349)),"Á","A"),"À","A"),"Â","A"),"Ã","A"),"É","E"),"Ê","E"),"Í","I"),"Ó","O"),"Ô","O"),"Õ","O"),"Ú","U"),"Ü","U"),"Ç","C")&amp;"|"&amp;IF(LEN(J349)=11,MID(J349,4,6),J349)))</f>
        <v/>
      </c>
      <c r="L349" s="25" t="str">
        <f aca="false">IF(K349="","",IF(E349="Doação recebida",TRIM(IF(COUNTIF(Socios!$H:$H,K349)&gt;0,"Doador é sócio de empresa da pauta. ","")&amp;IF(COUNTIF(Pessoas!$E:$E,K349)&gt;0,"Doador está em Pessoas.","")),IF(E349="Despesa com fornecedor",IF(COUNTIF(Contratos!$D:$D,K349)&gt;0,"Fornecedor também tem contrato público",""),"")))</f>
        <v/>
      </c>
      <c r="M349" s="24"/>
      <c r="N349" s="11"/>
    </row>
    <row r="350" customFormat="false" ht="15" hidden="false" customHeight="false" outlineLevel="0" collapsed="false">
      <c r="A350" s="23"/>
      <c r="B350" s="31" t="str">
        <f aca="false">IF(A350="","",SUBSTITUTE(SUBSTITUTE(SUBSTITUTE(SUBSTITUTE(SUBSTITUTE(SUBSTITUTE(SUBSTITUTE(SUBSTITUTE(SUBSTITUTE(SUBSTITUTE(SUBSTITUTE(SUBSTITUTE(SUBSTITUTE(UPPER(TRIM(A350)),"Á","A"),"À","A"),"Â","A"),"Ã","A"),"É","E"),"Ê","E"),"Í","I"),"Ó","O"),"Ô","O"),"Õ","O"),"Ú","U"),"Ü","U"),"Ç","C"))</f>
        <v/>
      </c>
      <c r="C350" s="43"/>
      <c r="D350" s="23"/>
      <c r="E350" s="23"/>
      <c r="F350" s="11"/>
      <c r="G350" s="35"/>
      <c r="H350" s="23"/>
      <c r="I350" s="24"/>
      <c r="J350" s="31" t="str">
        <f aca="false">IF(I350="","",UPPER(SUBSTITUTE(SUBSTITUTE(SUBSTITUTE(SUBSTITUTE(SUBSTITUTE(TRIM(I350),".",""),"/",""),"-",""),"*","")," ","")))</f>
        <v/>
      </c>
      <c r="K350" s="31" t="str">
        <f aca="false">IF(OR(H350="",J350=""),"",IF(LEN(J350)&gt;=13,IF(LEN(J350)=13,"0"&amp;J350,J350),SUBSTITUTE(SUBSTITUTE(SUBSTITUTE(SUBSTITUTE(SUBSTITUTE(SUBSTITUTE(SUBSTITUTE(SUBSTITUTE(SUBSTITUTE(SUBSTITUTE(SUBSTITUTE(SUBSTITUTE(SUBSTITUTE(UPPER(TRIM(H350)),"Á","A"),"À","A"),"Â","A"),"Ã","A"),"É","E"),"Ê","E"),"Í","I"),"Ó","O"),"Ô","O"),"Õ","O"),"Ú","U"),"Ü","U"),"Ç","C")&amp;"|"&amp;IF(LEN(J350)=11,MID(J350,4,6),J350)))</f>
        <v/>
      </c>
      <c r="L350" s="25" t="str">
        <f aca="false">IF(K350="","",IF(E350="Doação recebida",TRIM(IF(COUNTIF(Socios!$H:$H,K350)&gt;0,"Doador é sócio de empresa da pauta. ","")&amp;IF(COUNTIF(Pessoas!$E:$E,K350)&gt;0,"Doador está em Pessoas.","")),IF(E350="Despesa com fornecedor",IF(COUNTIF(Contratos!$D:$D,K350)&gt;0,"Fornecedor também tem contrato público",""),"")))</f>
        <v/>
      </c>
      <c r="M350" s="24"/>
      <c r="N350" s="11"/>
    </row>
    <row r="351" customFormat="false" ht="15" hidden="false" customHeight="false" outlineLevel="0" collapsed="false">
      <c r="A351" s="23"/>
      <c r="B351" s="31" t="str">
        <f aca="false">IF(A351="","",SUBSTITUTE(SUBSTITUTE(SUBSTITUTE(SUBSTITUTE(SUBSTITUTE(SUBSTITUTE(SUBSTITUTE(SUBSTITUTE(SUBSTITUTE(SUBSTITUTE(SUBSTITUTE(SUBSTITUTE(SUBSTITUTE(UPPER(TRIM(A351)),"Á","A"),"À","A"),"Â","A"),"Ã","A"),"É","E"),"Ê","E"),"Í","I"),"Ó","O"),"Ô","O"),"Õ","O"),"Ú","U"),"Ü","U"),"Ç","C"))</f>
        <v/>
      </c>
      <c r="C351" s="43"/>
      <c r="D351" s="23"/>
      <c r="E351" s="23"/>
      <c r="F351" s="11"/>
      <c r="G351" s="35"/>
      <c r="H351" s="23"/>
      <c r="I351" s="24"/>
      <c r="J351" s="31" t="str">
        <f aca="false">IF(I351="","",UPPER(SUBSTITUTE(SUBSTITUTE(SUBSTITUTE(SUBSTITUTE(SUBSTITUTE(TRIM(I351),".",""),"/",""),"-",""),"*","")," ","")))</f>
        <v/>
      </c>
      <c r="K351" s="31" t="str">
        <f aca="false">IF(OR(H351="",J351=""),"",IF(LEN(J351)&gt;=13,IF(LEN(J351)=13,"0"&amp;J351,J351),SUBSTITUTE(SUBSTITUTE(SUBSTITUTE(SUBSTITUTE(SUBSTITUTE(SUBSTITUTE(SUBSTITUTE(SUBSTITUTE(SUBSTITUTE(SUBSTITUTE(SUBSTITUTE(SUBSTITUTE(SUBSTITUTE(UPPER(TRIM(H351)),"Á","A"),"À","A"),"Â","A"),"Ã","A"),"É","E"),"Ê","E"),"Í","I"),"Ó","O"),"Ô","O"),"Õ","O"),"Ú","U"),"Ü","U"),"Ç","C")&amp;"|"&amp;IF(LEN(J351)=11,MID(J351,4,6),J351)))</f>
        <v/>
      </c>
      <c r="L351" s="25" t="str">
        <f aca="false">IF(K351="","",IF(E351="Doação recebida",TRIM(IF(COUNTIF(Socios!$H:$H,K351)&gt;0,"Doador é sócio de empresa da pauta. ","")&amp;IF(COUNTIF(Pessoas!$E:$E,K351)&gt;0,"Doador está em Pessoas.","")),IF(E351="Despesa com fornecedor",IF(COUNTIF(Contratos!$D:$D,K351)&gt;0,"Fornecedor também tem contrato público",""),"")))</f>
        <v/>
      </c>
      <c r="M351" s="24"/>
      <c r="N351" s="11"/>
    </row>
    <row r="352" customFormat="false" ht="15" hidden="false" customHeight="false" outlineLevel="0" collapsed="false">
      <c r="A352" s="23"/>
      <c r="B352" s="31" t="str">
        <f aca="false">IF(A352="","",SUBSTITUTE(SUBSTITUTE(SUBSTITUTE(SUBSTITUTE(SUBSTITUTE(SUBSTITUTE(SUBSTITUTE(SUBSTITUTE(SUBSTITUTE(SUBSTITUTE(SUBSTITUTE(SUBSTITUTE(SUBSTITUTE(UPPER(TRIM(A352)),"Á","A"),"À","A"),"Â","A"),"Ã","A"),"É","E"),"Ê","E"),"Í","I"),"Ó","O"),"Ô","O"),"Õ","O"),"Ú","U"),"Ü","U"),"Ç","C"))</f>
        <v/>
      </c>
      <c r="C352" s="43"/>
      <c r="D352" s="23"/>
      <c r="E352" s="23"/>
      <c r="F352" s="11"/>
      <c r="G352" s="35"/>
      <c r="H352" s="23"/>
      <c r="I352" s="24"/>
      <c r="J352" s="31" t="str">
        <f aca="false">IF(I352="","",UPPER(SUBSTITUTE(SUBSTITUTE(SUBSTITUTE(SUBSTITUTE(SUBSTITUTE(TRIM(I352),".",""),"/",""),"-",""),"*","")," ","")))</f>
        <v/>
      </c>
      <c r="K352" s="31" t="str">
        <f aca="false">IF(OR(H352="",J352=""),"",IF(LEN(J352)&gt;=13,IF(LEN(J352)=13,"0"&amp;J352,J352),SUBSTITUTE(SUBSTITUTE(SUBSTITUTE(SUBSTITUTE(SUBSTITUTE(SUBSTITUTE(SUBSTITUTE(SUBSTITUTE(SUBSTITUTE(SUBSTITUTE(SUBSTITUTE(SUBSTITUTE(SUBSTITUTE(UPPER(TRIM(H352)),"Á","A"),"À","A"),"Â","A"),"Ã","A"),"É","E"),"Ê","E"),"Í","I"),"Ó","O"),"Ô","O"),"Õ","O"),"Ú","U"),"Ü","U"),"Ç","C")&amp;"|"&amp;IF(LEN(J352)=11,MID(J352,4,6),J352)))</f>
        <v/>
      </c>
      <c r="L352" s="25" t="str">
        <f aca="false">IF(K352="","",IF(E352="Doação recebida",TRIM(IF(COUNTIF(Socios!$H:$H,K352)&gt;0,"Doador é sócio de empresa da pauta. ","")&amp;IF(COUNTIF(Pessoas!$E:$E,K352)&gt;0,"Doador está em Pessoas.","")),IF(E352="Despesa com fornecedor",IF(COUNTIF(Contratos!$D:$D,K352)&gt;0,"Fornecedor também tem contrato público",""),"")))</f>
        <v/>
      </c>
      <c r="M352" s="24"/>
      <c r="N352" s="11"/>
    </row>
    <row r="353" customFormat="false" ht="15" hidden="false" customHeight="false" outlineLevel="0" collapsed="false">
      <c r="A353" s="23"/>
      <c r="B353" s="31" t="str">
        <f aca="false">IF(A353="","",SUBSTITUTE(SUBSTITUTE(SUBSTITUTE(SUBSTITUTE(SUBSTITUTE(SUBSTITUTE(SUBSTITUTE(SUBSTITUTE(SUBSTITUTE(SUBSTITUTE(SUBSTITUTE(SUBSTITUTE(SUBSTITUTE(UPPER(TRIM(A353)),"Á","A"),"À","A"),"Â","A"),"Ã","A"),"É","E"),"Ê","E"),"Í","I"),"Ó","O"),"Ô","O"),"Õ","O"),"Ú","U"),"Ü","U"),"Ç","C"))</f>
        <v/>
      </c>
      <c r="C353" s="43"/>
      <c r="D353" s="23"/>
      <c r="E353" s="23"/>
      <c r="F353" s="11"/>
      <c r="G353" s="35"/>
      <c r="H353" s="23"/>
      <c r="I353" s="24"/>
      <c r="J353" s="31" t="str">
        <f aca="false">IF(I353="","",UPPER(SUBSTITUTE(SUBSTITUTE(SUBSTITUTE(SUBSTITUTE(SUBSTITUTE(TRIM(I353),".",""),"/",""),"-",""),"*","")," ","")))</f>
        <v/>
      </c>
      <c r="K353" s="31" t="str">
        <f aca="false">IF(OR(H353="",J353=""),"",IF(LEN(J353)&gt;=13,IF(LEN(J353)=13,"0"&amp;J353,J353),SUBSTITUTE(SUBSTITUTE(SUBSTITUTE(SUBSTITUTE(SUBSTITUTE(SUBSTITUTE(SUBSTITUTE(SUBSTITUTE(SUBSTITUTE(SUBSTITUTE(SUBSTITUTE(SUBSTITUTE(SUBSTITUTE(UPPER(TRIM(H353)),"Á","A"),"À","A"),"Â","A"),"Ã","A"),"É","E"),"Ê","E"),"Í","I"),"Ó","O"),"Ô","O"),"Õ","O"),"Ú","U"),"Ü","U"),"Ç","C")&amp;"|"&amp;IF(LEN(J353)=11,MID(J353,4,6),J353)))</f>
        <v/>
      </c>
      <c r="L353" s="25" t="str">
        <f aca="false">IF(K353="","",IF(E353="Doação recebida",TRIM(IF(COUNTIF(Socios!$H:$H,K353)&gt;0,"Doador é sócio de empresa da pauta. ","")&amp;IF(COUNTIF(Pessoas!$E:$E,K353)&gt;0,"Doador está em Pessoas.","")),IF(E353="Despesa com fornecedor",IF(COUNTIF(Contratos!$D:$D,K353)&gt;0,"Fornecedor também tem contrato público",""),"")))</f>
        <v/>
      </c>
      <c r="M353" s="24"/>
      <c r="N353" s="11"/>
    </row>
    <row r="354" customFormat="false" ht="15" hidden="false" customHeight="false" outlineLevel="0" collapsed="false">
      <c r="A354" s="23"/>
      <c r="B354" s="31" t="str">
        <f aca="false">IF(A354="","",SUBSTITUTE(SUBSTITUTE(SUBSTITUTE(SUBSTITUTE(SUBSTITUTE(SUBSTITUTE(SUBSTITUTE(SUBSTITUTE(SUBSTITUTE(SUBSTITUTE(SUBSTITUTE(SUBSTITUTE(SUBSTITUTE(UPPER(TRIM(A354)),"Á","A"),"À","A"),"Â","A"),"Ã","A"),"É","E"),"Ê","E"),"Í","I"),"Ó","O"),"Ô","O"),"Õ","O"),"Ú","U"),"Ü","U"),"Ç","C"))</f>
        <v/>
      </c>
      <c r="C354" s="43"/>
      <c r="D354" s="23"/>
      <c r="E354" s="23"/>
      <c r="F354" s="11"/>
      <c r="G354" s="35"/>
      <c r="H354" s="23"/>
      <c r="I354" s="24"/>
      <c r="J354" s="31" t="str">
        <f aca="false">IF(I354="","",UPPER(SUBSTITUTE(SUBSTITUTE(SUBSTITUTE(SUBSTITUTE(SUBSTITUTE(TRIM(I354),".",""),"/",""),"-",""),"*","")," ","")))</f>
        <v/>
      </c>
      <c r="K354" s="31" t="str">
        <f aca="false">IF(OR(H354="",J354=""),"",IF(LEN(J354)&gt;=13,IF(LEN(J354)=13,"0"&amp;J354,J354),SUBSTITUTE(SUBSTITUTE(SUBSTITUTE(SUBSTITUTE(SUBSTITUTE(SUBSTITUTE(SUBSTITUTE(SUBSTITUTE(SUBSTITUTE(SUBSTITUTE(SUBSTITUTE(SUBSTITUTE(SUBSTITUTE(UPPER(TRIM(H354)),"Á","A"),"À","A"),"Â","A"),"Ã","A"),"É","E"),"Ê","E"),"Í","I"),"Ó","O"),"Ô","O"),"Õ","O"),"Ú","U"),"Ü","U"),"Ç","C")&amp;"|"&amp;IF(LEN(J354)=11,MID(J354,4,6),J354)))</f>
        <v/>
      </c>
      <c r="L354" s="25" t="str">
        <f aca="false">IF(K354="","",IF(E354="Doação recebida",TRIM(IF(COUNTIF(Socios!$H:$H,K354)&gt;0,"Doador é sócio de empresa da pauta. ","")&amp;IF(COUNTIF(Pessoas!$E:$E,K354)&gt;0,"Doador está em Pessoas.","")),IF(E354="Despesa com fornecedor",IF(COUNTIF(Contratos!$D:$D,K354)&gt;0,"Fornecedor também tem contrato público",""),"")))</f>
        <v/>
      </c>
      <c r="M354" s="24"/>
      <c r="N354" s="11"/>
    </row>
    <row r="355" customFormat="false" ht="15" hidden="false" customHeight="false" outlineLevel="0" collapsed="false">
      <c r="A355" s="23"/>
      <c r="B355" s="31" t="str">
        <f aca="false">IF(A355="","",SUBSTITUTE(SUBSTITUTE(SUBSTITUTE(SUBSTITUTE(SUBSTITUTE(SUBSTITUTE(SUBSTITUTE(SUBSTITUTE(SUBSTITUTE(SUBSTITUTE(SUBSTITUTE(SUBSTITUTE(SUBSTITUTE(UPPER(TRIM(A355)),"Á","A"),"À","A"),"Â","A"),"Ã","A"),"É","E"),"Ê","E"),"Í","I"),"Ó","O"),"Ô","O"),"Õ","O"),"Ú","U"),"Ü","U"),"Ç","C"))</f>
        <v/>
      </c>
      <c r="C355" s="43"/>
      <c r="D355" s="23"/>
      <c r="E355" s="23"/>
      <c r="F355" s="11"/>
      <c r="G355" s="35"/>
      <c r="H355" s="23"/>
      <c r="I355" s="24"/>
      <c r="J355" s="31" t="str">
        <f aca="false">IF(I355="","",UPPER(SUBSTITUTE(SUBSTITUTE(SUBSTITUTE(SUBSTITUTE(SUBSTITUTE(TRIM(I355),".",""),"/",""),"-",""),"*","")," ","")))</f>
        <v/>
      </c>
      <c r="K355" s="31" t="str">
        <f aca="false">IF(OR(H355="",J355=""),"",IF(LEN(J355)&gt;=13,IF(LEN(J355)=13,"0"&amp;J355,J355),SUBSTITUTE(SUBSTITUTE(SUBSTITUTE(SUBSTITUTE(SUBSTITUTE(SUBSTITUTE(SUBSTITUTE(SUBSTITUTE(SUBSTITUTE(SUBSTITUTE(SUBSTITUTE(SUBSTITUTE(SUBSTITUTE(UPPER(TRIM(H355)),"Á","A"),"À","A"),"Â","A"),"Ã","A"),"É","E"),"Ê","E"),"Í","I"),"Ó","O"),"Ô","O"),"Õ","O"),"Ú","U"),"Ü","U"),"Ç","C")&amp;"|"&amp;IF(LEN(J355)=11,MID(J355,4,6),J355)))</f>
        <v/>
      </c>
      <c r="L355" s="25" t="str">
        <f aca="false">IF(K355="","",IF(E355="Doação recebida",TRIM(IF(COUNTIF(Socios!$H:$H,K355)&gt;0,"Doador é sócio de empresa da pauta. ","")&amp;IF(COUNTIF(Pessoas!$E:$E,K355)&gt;0,"Doador está em Pessoas.","")),IF(E355="Despesa com fornecedor",IF(COUNTIF(Contratos!$D:$D,K355)&gt;0,"Fornecedor também tem contrato público",""),"")))</f>
        <v/>
      </c>
      <c r="M355" s="24"/>
      <c r="N355" s="11"/>
    </row>
    <row r="356" customFormat="false" ht="15" hidden="false" customHeight="false" outlineLevel="0" collapsed="false">
      <c r="A356" s="23"/>
      <c r="B356" s="31" t="str">
        <f aca="false">IF(A356="","",SUBSTITUTE(SUBSTITUTE(SUBSTITUTE(SUBSTITUTE(SUBSTITUTE(SUBSTITUTE(SUBSTITUTE(SUBSTITUTE(SUBSTITUTE(SUBSTITUTE(SUBSTITUTE(SUBSTITUTE(SUBSTITUTE(UPPER(TRIM(A356)),"Á","A"),"À","A"),"Â","A"),"Ã","A"),"É","E"),"Ê","E"),"Í","I"),"Ó","O"),"Ô","O"),"Õ","O"),"Ú","U"),"Ü","U"),"Ç","C"))</f>
        <v/>
      </c>
      <c r="C356" s="43"/>
      <c r="D356" s="23"/>
      <c r="E356" s="23"/>
      <c r="F356" s="11"/>
      <c r="G356" s="35"/>
      <c r="H356" s="23"/>
      <c r="I356" s="24"/>
      <c r="J356" s="31" t="str">
        <f aca="false">IF(I356="","",UPPER(SUBSTITUTE(SUBSTITUTE(SUBSTITUTE(SUBSTITUTE(SUBSTITUTE(TRIM(I356),".",""),"/",""),"-",""),"*","")," ","")))</f>
        <v/>
      </c>
      <c r="K356" s="31" t="str">
        <f aca="false">IF(OR(H356="",J356=""),"",IF(LEN(J356)&gt;=13,IF(LEN(J356)=13,"0"&amp;J356,J356),SUBSTITUTE(SUBSTITUTE(SUBSTITUTE(SUBSTITUTE(SUBSTITUTE(SUBSTITUTE(SUBSTITUTE(SUBSTITUTE(SUBSTITUTE(SUBSTITUTE(SUBSTITUTE(SUBSTITUTE(SUBSTITUTE(UPPER(TRIM(H356)),"Á","A"),"À","A"),"Â","A"),"Ã","A"),"É","E"),"Ê","E"),"Í","I"),"Ó","O"),"Ô","O"),"Õ","O"),"Ú","U"),"Ü","U"),"Ç","C")&amp;"|"&amp;IF(LEN(J356)=11,MID(J356,4,6),J356)))</f>
        <v/>
      </c>
      <c r="L356" s="25" t="str">
        <f aca="false">IF(K356="","",IF(E356="Doação recebida",TRIM(IF(COUNTIF(Socios!$H:$H,K356)&gt;0,"Doador é sócio de empresa da pauta. ","")&amp;IF(COUNTIF(Pessoas!$E:$E,K356)&gt;0,"Doador está em Pessoas.","")),IF(E356="Despesa com fornecedor",IF(COUNTIF(Contratos!$D:$D,K356)&gt;0,"Fornecedor também tem contrato público",""),"")))</f>
        <v/>
      </c>
      <c r="M356" s="24"/>
      <c r="N356" s="11"/>
    </row>
    <row r="357" customFormat="false" ht="15" hidden="false" customHeight="false" outlineLevel="0" collapsed="false">
      <c r="A357" s="23"/>
      <c r="B357" s="31" t="str">
        <f aca="false">IF(A357="","",SUBSTITUTE(SUBSTITUTE(SUBSTITUTE(SUBSTITUTE(SUBSTITUTE(SUBSTITUTE(SUBSTITUTE(SUBSTITUTE(SUBSTITUTE(SUBSTITUTE(SUBSTITUTE(SUBSTITUTE(SUBSTITUTE(UPPER(TRIM(A357)),"Á","A"),"À","A"),"Â","A"),"Ã","A"),"É","E"),"Ê","E"),"Í","I"),"Ó","O"),"Ô","O"),"Õ","O"),"Ú","U"),"Ü","U"),"Ç","C"))</f>
        <v/>
      </c>
      <c r="C357" s="43"/>
      <c r="D357" s="23"/>
      <c r="E357" s="23"/>
      <c r="F357" s="11"/>
      <c r="G357" s="35"/>
      <c r="H357" s="23"/>
      <c r="I357" s="24"/>
      <c r="J357" s="31" t="str">
        <f aca="false">IF(I357="","",UPPER(SUBSTITUTE(SUBSTITUTE(SUBSTITUTE(SUBSTITUTE(SUBSTITUTE(TRIM(I357),".",""),"/",""),"-",""),"*","")," ","")))</f>
        <v/>
      </c>
      <c r="K357" s="31" t="str">
        <f aca="false">IF(OR(H357="",J357=""),"",IF(LEN(J357)&gt;=13,IF(LEN(J357)=13,"0"&amp;J357,J357),SUBSTITUTE(SUBSTITUTE(SUBSTITUTE(SUBSTITUTE(SUBSTITUTE(SUBSTITUTE(SUBSTITUTE(SUBSTITUTE(SUBSTITUTE(SUBSTITUTE(SUBSTITUTE(SUBSTITUTE(SUBSTITUTE(UPPER(TRIM(H357)),"Á","A"),"À","A"),"Â","A"),"Ã","A"),"É","E"),"Ê","E"),"Í","I"),"Ó","O"),"Ô","O"),"Õ","O"),"Ú","U"),"Ü","U"),"Ç","C")&amp;"|"&amp;IF(LEN(J357)=11,MID(J357,4,6),J357)))</f>
        <v/>
      </c>
      <c r="L357" s="25" t="str">
        <f aca="false">IF(K357="","",IF(E357="Doação recebida",TRIM(IF(COUNTIF(Socios!$H:$H,K357)&gt;0,"Doador é sócio de empresa da pauta. ","")&amp;IF(COUNTIF(Pessoas!$E:$E,K357)&gt;0,"Doador está em Pessoas.","")),IF(E357="Despesa com fornecedor",IF(COUNTIF(Contratos!$D:$D,K357)&gt;0,"Fornecedor também tem contrato público",""),"")))</f>
        <v/>
      </c>
      <c r="M357" s="24"/>
      <c r="N357" s="11"/>
    </row>
    <row r="358" customFormat="false" ht="15" hidden="false" customHeight="false" outlineLevel="0" collapsed="false">
      <c r="A358" s="23"/>
      <c r="B358" s="31" t="str">
        <f aca="false">IF(A358="","",SUBSTITUTE(SUBSTITUTE(SUBSTITUTE(SUBSTITUTE(SUBSTITUTE(SUBSTITUTE(SUBSTITUTE(SUBSTITUTE(SUBSTITUTE(SUBSTITUTE(SUBSTITUTE(SUBSTITUTE(SUBSTITUTE(UPPER(TRIM(A358)),"Á","A"),"À","A"),"Â","A"),"Ã","A"),"É","E"),"Ê","E"),"Í","I"),"Ó","O"),"Ô","O"),"Õ","O"),"Ú","U"),"Ü","U"),"Ç","C"))</f>
        <v/>
      </c>
      <c r="C358" s="43"/>
      <c r="D358" s="23"/>
      <c r="E358" s="23"/>
      <c r="F358" s="11"/>
      <c r="G358" s="35"/>
      <c r="H358" s="23"/>
      <c r="I358" s="24"/>
      <c r="J358" s="31" t="str">
        <f aca="false">IF(I358="","",UPPER(SUBSTITUTE(SUBSTITUTE(SUBSTITUTE(SUBSTITUTE(SUBSTITUTE(TRIM(I358),".",""),"/",""),"-",""),"*","")," ","")))</f>
        <v/>
      </c>
      <c r="K358" s="31" t="str">
        <f aca="false">IF(OR(H358="",J358=""),"",IF(LEN(J358)&gt;=13,IF(LEN(J358)=13,"0"&amp;J358,J358),SUBSTITUTE(SUBSTITUTE(SUBSTITUTE(SUBSTITUTE(SUBSTITUTE(SUBSTITUTE(SUBSTITUTE(SUBSTITUTE(SUBSTITUTE(SUBSTITUTE(SUBSTITUTE(SUBSTITUTE(SUBSTITUTE(UPPER(TRIM(H358)),"Á","A"),"À","A"),"Â","A"),"Ã","A"),"É","E"),"Ê","E"),"Í","I"),"Ó","O"),"Ô","O"),"Õ","O"),"Ú","U"),"Ü","U"),"Ç","C")&amp;"|"&amp;IF(LEN(J358)=11,MID(J358,4,6),J358)))</f>
        <v/>
      </c>
      <c r="L358" s="25" t="str">
        <f aca="false">IF(K358="","",IF(E358="Doação recebida",TRIM(IF(COUNTIF(Socios!$H:$H,K358)&gt;0,"Doador é sócio de empresa da pauta. ","")&amp;IF(COUNTIF(Pessoas!$E:$E,K358)&gt;0,"Doador está em Pessoas.","")),IF(E358="Despesa com fornecedor",IF(COUNTIF(Contratos!$D:$D,K358)&gt;0,"Fornecedor também tem contrato público",""),"")))</f>
        <v/>
      </c>
      <c r="M358" s="24"/>
      <c r="N358" s="11"/>
    </row>
    <row r="359" customFormat="false" ht="15" hidden="false" customHeight="false" outlineLevel="0" collapsed="false">
      <c r="A359" s="23"/>
      <c r="B359" s="31" t="str">
        <f aca="false">IF(A359="","",SUBSTITUTE(SUBSTITUTE(SUBSTITUTE(SUBSTITUTE(SUBSTITUTE(SUBSTITUTE(SUBSTITUTE(SUBSTITUTE(SUBSTITUTE(SUBSTITUTE(SUBSTITUTE(SUBSTITUTE(SUBSTITUTE(UPPER(TRIM(A359)),"Á","A"),"À","A"),"Â","A"),"Ã","A"),"É","E"),"Ê","E"),"Í","I"),"Ó","O"),"Ô","O"),"Õ","O"),"Ú","U"),"Ü","U"),"Ç","C"))</f>
        <v/>
      </c>
      <c r="C359" s="43"/>
      <c r="D359" s="23"/>
      <c r="E359" s="23"/>
      <c r="F359" s="11"/>
      <c r="G359" s="35"/>
      <c r="H359" s="23"/>
      <c r="I359" s="24"/>
      <c r="J359" s="31" t="str">
        <f aca="false">IF(I359="","",UPPER(SUBSTITUTE(SUBSTITUTE(SUBSTITUTE(SUBSTITUTE(SUBSTITUTE(TRIM(I359),".",""),"/",""),"-",""),"*","")," ","")))</f>
        <v/>
      </c>
      <c r="K359" s="31" t="str">
        <f aca="false">IF(OR(H359="",J359=""),"",IF(LEN(J359)&gt;=13,IF(LEN(J359)=13,"0"&amp;J359,J359),SUBSTITUTE(SUBSTITUTE(SUBSTITUTE(SUBSTITUTE(SUBSTITUTE(SUBSTITUTE(SUBSTITUTE(SUBSTITUTE(SUBSTITUTE(SUBSTITUTE(SUBSTITUTE(SUBSTITUTE(SUBSTITUTE(UPPER(TRIM(H359)),"Á","A"),"À","A"),"Â","A"),"Ã","A"),"É","E"),"Ê","E"),"Í","I"),"Ó","O"),"Ô","O"),"Õ","O"),"Ú","U"),"Ü","U"),"Ç","C")&amp;"|"&amp;IF(LEN(J359)=11,MID(J359,4,6),J359)))</f>
        <v/>
      </c>
      <c r="L359" s="25" t="str">
        <f aca="false">IF(K359="","",IF(E359="Doação recebida",TRIM(IF(COUNTIF(Socios!$H:$H,K359)&gt;0,"Doador é sócio de empresa da pauta. ","")&amp;IF(COUNTIF(Pessoas!$E:$E,K359)&gt;0,"Doador está em Pessoas.","")),IF(E359="Despesa com fornecedor",IF(COUNTIF(Contratos!$D:$D,K359)&gt;0,"Fornecedor também tem contrato público",""),"")))</f>
        <v/>
      </c>
      <c r="M359" s="24"/>
      <c r="N359" s="11"/>
    </row>
    <row r="360" customFormat="false" ht="15" hidden="false" customHeight="false" outlineLevel="0" collapsed="false">
      <c r="A360" s="23"/>
      <c r="B360" s="31" t="str">
        <f aca="false">IF(A360="","",SUBSTITUTE(SUBSTITUTE(SUBSTITUTE(SUBSTITUTE(SUBSTITUTE(SUBSTITUTE(SUBSTITUTE(SUBSTITUTE(SUBSTITUTE(SUBSTITUTE(SUBSTITUTE(SUBSTITUTE(SUBSTITUTE(UPPER(TRIM(A360)),"Á","A"),"À","A"),"Â","A"),"Ã","A"),"É","E"),"Ê","E"),"Í","I"),"Ó","O"),"Ô","O"),"Õ","O"),"Ú","U"),"Ü","U"),"Ç","C"))</f>
        <v/>
      </c>
      <c r="C360" s="43"/>
      <c r="D360" s="23"/>
      <c r="E360" s="23"/>
      <c r="F360" s="11"/>
      <c r="G360" s="35"/>
      <c r="H360" s="23"/>
      <c r="I360" s="24"/>
      <c r="J360" s="31" t="str">
        <f aca="false">IF(I360="","",UPPER(SUBSTITUTE(SUBSTITUTE(SUBSTITUTE(SUBSTITUTE(SUBSTITUTE(TRIM(I360),".",""),"/",""),"-",""),"*","")," ","")))</f>
        <v/>
      </c>
      <c r="K360" s="31" t="str">
        <f aca="false">IF(OR(H360="",J360=""),"",IF(LEN(J360)&gt;=13,IF(LEN(J360)=13,"0"&amp;J360,J360),SUBSTITUTE(SUBSTITUTE(SUBSTITUTE(SUBSTITUTE(SUBSTITUTE(SUBSTITUTE(SUBSTITUTE(SUBSTITUTE(SUBSTITUTE(SUBSTITUTE(SUBSTITUTE(SUBSTITUTE(SUBSTITUTE(UPPER(TRIM(H360)),"Á","A"),"À","A"),"Â","A"),"Ã","A"),"É","E"),"Ê","E"),"Í","I"),"Ó","O"),"Ô","O"),"Õ","O"),"Ú","U"),"Ü","U"),"Ç","C")&amp;"|"&amp;IF(LEN(J360)=11,MID(J360,4,6),J360)))</f>
        <v/>
      </c>
      <c r="L360" s="25" t="str">
        <f aca="false">IF(K360="","",IF(E360="Doação recebida",TRIM(IF(COUNTIF(Socios!$H:$H,K360)&gt;0,"Doador é sócio de empresa da pauta. ","")&amp;IF(COUNTIF(Pessoas!$E:$E,K360)&gt;0,"Doador está em Pessoas.","")),IF(E360="Despesa com fornecedor",IF(COUNTIF(Contratos!$D:$D,K360)&gt;0,"Fornecedor também tem contrato público",""),"")))</f>
        <v/>
      </c>
      <c r="M360" s="24"/>
      <c r="N360" s="11"/>
    </row>
    <row r="361" customFormat="false" ht="15" hidden="false" customHeight="false" outlineLevel="0" collapsed="false">
      <c r="A361" s="23"/>
      <c r="B361" s="31" t="str">
        <f aca="false">IF(A361="","",SUBSTITUTE(SUBSTITUTE(SUBSTITUTE(SUBSTITUTE(SUBSTITUTE(SUBSTITUTE(SUBSTITUTE(SUBSTITUTE(SUBSTITUTE(SUBSTITUTE(SUBSTITUTE(SUBSTITUTE(SUBSTITUTE(UPPER(TRIM(A361)),"Á","A"),"À","A"),"Â","A"),"Ã","A"),"É","E"),"Ê","E"),"Í","I"),"Ó","O"),"Ô","O"),"Õ","O"),"Ú","U"),"Ü","U"),"Ç","C"))</f>
        <v/>
      </c>
      <c r="C361" s="43"/>
      <c r="D361" s="23"/>
      <c r="E361" s="23"/>
      <c r="F361" s="11"/>
      <c r="G361" s="35"/>
      <c r="H361" s="23"/>
      <c r="I361" s="24"/>
      <c r="J361" s="31" t="str">
        <f aca="false">IF(I361="","",UPPER(SUBSTITUTE(SUBSTITUTE(SUBSTITUTE(SUBSTITUTE(SUBSTITUTE(TRIM(I361),".",""),"/",""),"-",""),"*","")," ","")))</f>
        <v/>
      </c>
      <c r="K361" s="31" t="str">
        <f aca="false">IF(OR(H361="",J361=""),"",IF(LEN(J361)&gt;=13,IF(LEN(J361)=13,"0"&amp;J361,J361),SUBSTITUTE(SUBSTITUTE(SUBSTITUTE(SUBSTITUTE(SUBSTITUTE(SUBSTITUTE(SUBSTITUTE(SUBSTITUTE(SUBSTITUTE(SUBSTITUTE(SUBSTITUTE(SUBSTITUTE(SUBSTITUTE(UPPER(TRIM(H361)),"Á","A"),"À","A"),"Â","A"),"Ã","A"),"É","E"),"Ê","E"),"Í","I"),"Ó","O"),"Ô","O"),"Õ","O"),"Ú","U"),"Ü","U"),"Ç","C")&amp;"|"&amp;IF(LEN(J361)=11,MID(J361,4,6),J361)))</f>
        <v/>
      </c>
      <c r="L361" s="25" t="str">
        <f aca="false">IF(K361="","",IF(E361="Doação recebida",TRIM(IF(COUNTIF(Socios!$H:$H,K361)&gt;0,"Doador é sócio de empresa da pauta. ","")&amp;IF(COUNTIF(Pessoas!$E:$E,K361)&gt;0,"Doador está em Pessoas.","")),IF(E361="Despesa com fornecedor",IF(COUNTIF(Contratos!$D:$D,K361)&gt;0,"Fornecedor também tem contrato público",""),"")))</f>
        <v/>
      </c>
      <c r="M361" s="24"/>
      <c r="N361" s="11"/>
    </row>
    <row r="362" customFormat="false" ht="15" hidden="false" customHeight="false" outlineLevel="0" collapsed="false">
      <c r="A362" s="23"/>
      <c r="B362" s="31" t="str">
        <f aca="false">IF(A362="","",SUBSTITUTE(SUBSTITUTE(SUBSTITUTE(SUBSTITUTE(SUBSTITUTE(SUBSTITUTE(SUBSTITUTE(SUBSTITUTE(SUBSTITUTE(SUBSTITUTE(SUBSTITUTE(SUBSTITUTE(SUBSTITUTE(UPPER(TRIM(A362)),"Á","A"),"À","A"),"Â","A"),"Ã","A"),"É","E"),"Ê","E"),"Í","I"),"Ó","O"),"Ô","O"),"Õ","O"),"Ú","U"),"Ü","U"),"Ç","C"))</f>
        <v/>
      </c>
      <c r="C362" s="43"/>
      <c r="D362" s="23"/>
      <c r="E362" s="23"/>
      <c r="F362" s="11"/>
      <c r="G362" s="35"/>
      <c r="H362" s="23"/>
      <c r="I362" s="24"/>
      <c r="J362" s="31" t="str">
        <f aca="false">IF(I362="","",UPPER(SUBSTITUTE(SUBSTITUTE(SUBSTITUTE(SUBSTITUTE(SUBSTITUTE(TRIM(I362),".",""),"/",""),"-",""),"*","")," ","")))</f>
        <v/>
      </c>
      <c r="K362" s="31" t="str">
        <f aca="false">IF(OR(H362="",J362=""),"",IF(LEN(J362)&gt;=13,IF(LEN(J362)=13,"0"&amp;J362,J362),SUBSTITUTE(SUBSTITUTE(SUBSTITUTE(SUBSTITUTE(SUBSTITUTE(SUBSTITUTE(SUBSTITUTE(SUBSTITUTE(SUBSTITUTE(SUBSTITUTE(SUBSTITUTE(SUBSTITUTE(SUBSTITUTE(UPPER(TRIM(H362)),"Á","A"),"À","A"),"Â","A"),"Ã","A"),"É","E"),"Ê","E"),"Í","I"),"Ó","O"),"Ô","O"),"Õ","O"),"Ú","U"),"Ü","U"),"Ç","C")&amp;"|"&amp;IF(LEN(J362)=11,MID(J362,4,6),J362)))</f>
        <v/>
      </c>
      <c r="L362" s="25" t="str">
        <f aca="false">IF(K362="","",IF(E362="Doação recebida",TRIM(IF(COUNTIF(Socios!$H:$H,K362)&gt;0,"Doador é sócio de empresa da pauta. ","")&amp;IF(COUNTIF(Pessoas!$E:$E,K362)&gt;0,"Doador está em Pessoas.","")),IF(E362="Despesa com fornecedor",IF(COUNTIF(Contratos!$D:$D,K362)&gt;0,"Fornecedor também tem contrato público",""),"")))</f>
        <v/>
      </c>
      <c r="M362" s="24"/>
      <c r="N362" s="11"/>
    </row>
    <row r="363" customFormat="false" ht="15" hidden="false" customHeight="false" outlineLevel="0" collapsed="false">
      <c r="A363" s="23"/>
      <c r="B363" s="31" t="str">
        <f aca="false">IF(A363="","",SUBSTITUTE(SUBSTITUTE(SUBSTITUTE(SUBSTITUTE(SUBSTITUTE(SUBSTITUTE(SUBSTITUTE(SUBSTITUTE(SUBSTITUTE(SUBSTITUTE(SUBSTITUTE(SUBSTITUTE(SUBSTITUTE(UPPER(TRIM(A363)),"Á","A"),"À","A"),"Â","A"),"Ã","A"),"É","E"),"Ê","E"),"Í","I"),"Ó","O"),"Ô","O"),"Õ","O"),"Ú","U"),"Ü","U"),"Ç","C"))</f>
        <v/>
      </c>
      <c r="C363" s="43"/>
      <c r="D363" s="23"/>
      <c r="E363" s="23"/>
      <c r="F363" s="11"/>
      <c r="G363" s="35"/>
      <c r="H363" s="23"/>
      <c r="I363" s="24"/>
      <c r="J363" s="31" t="str">
        <f aca="false">IF(I363="","",UPPER(SUBSTITUTE(SUBSTITUTE(SUBSTITUTE(SUBSTITUTE(SUBSTITUTE(TRIM(I363),".",""),"/",""),"-",""),"*","")," ","")))</f>
        <v/>
      </c>
      <c r="K363" s="31" t="str">
        <f aca="false">IF(OR(H363="",J363=""),"",IF(LEN(J363)&gt;=13,IF(LEN(J363)=13,"0"&amp;J363,J363),SUBSTITUTE(SUBSTITUTE(SUBSTITUTE(SUBSTITUTE(SUBSTITUTE(SUBSTITUTE(SUBSTITUTE(SUBSTITUTE(SUBSTITUTE(SUBSTITUTE(SUBSTITUTE(SUBSTITUTE(SUBSTITUTE(UPPER(TRIM(H363)),"Á","A"),"À","A"),"Â","A"),"Ã","A"),"É","E"),"Ê","E"),"Í","I"),"Ó","O"),"Ô","O"),"Õ","O"),"Ú","U"),"Ü","U"),"Ç","C")&amp;"|"&amp;IF(LEN(J363)=11,MID(J363,4,6),J363)))</f>
        <v/>
      </c>
      <c r="L363" s="25" t="str">
        <f aca="false">IF(K363="","",IF(E363="Doação recebida",TRIM(IF(COUNTIF(Socios!$H:$H,K363)&gt;0,"Doador é sócio de empresa da pauta. ","")&amp;IF(COUNTIF(Pessoas!$E:$E,K363)&gt;0,"Doador está em Pessoas.","")),IF(E363="Despesa com fornecedor",IF(COUNTIF(Contratos!$D:$D,K363)&gt;0,"Fornecedor também tem contrato público",""),"")))</f>
        <v/>
      </c>
      <c r="M363" s="24"/>
      <c r="N363" s="11"/>
    </row>
    <row r="364" customFormat="false" ht="15" hidden="false" customHeight="false" outlineLevel="0" collapsed="false">
      <c r="A364" s="23"/>
      <c r="B364" s="31" t="str">
        <f aca="false">IF(A364="","",SUBSTITUTE(SUBSTITUTE(SUBSTITUTE(SUBSTITUTE(SUBSTITUTE(SUBSTITUTE(SUBSTITUTE(SUBSTITUTE(SUBSTITUTE(SUBSTITUTE(SUBSTITUTE(SUBSTITUTE(SUBSTITUTE(UPPER(TRIM(A364)),"Á","A"),"À","A"),"Â","A"),"Ã","A"),"É","E"),"Ê","E"),"Í","I"),"Ó","O"),"Ô","O"),"Õ","O"),"Ú","U"),"Ü","U"),"Ç","C"))</f>
        <v/>
      </c>
      <c r="C364" s="43"/>
      <c r="D364" s="23"/>
      <c r="E364" s="23"/>
      <c r="F364" s="11"/>
      <c r="G364" s="35"/>
      <c r="H364" s="23"/>
      <c r="I364" s="24"/>
      <c r="J364" s="31" t="str">
        <f aca="false">IF(I364="","",UPPER(SUBSTITUTE(SUBSTITUTE(SUBSTITUTE(SUBSTITUTE(SUBSTITUTE(TRIM(I364),".",""),"/",""),"-",""),"*","")," ","")))</f>
        <v/>
      </c>
      <c r="K364" s="31" t="str">
        <f aca="false">IF(OR(H364="",J364=""),"",IF(LEN(J364)&gt;=13,IF(LEN(J364)=13,"0"&amp;J364,J364),SUBSTITUTE(SUBSTITUTE(SUBSTITUTE(SUBSTITUTE(SUBSTITUTE(SUBSTITUTE(SUBSTITUTE(SUBSTITUTE(SUBSTITUTE(SUBSTITUTE(SUBSTITUTE(SUBSTITUTE(SUBSTITUTE(UPPER(TRIM(H364)),"Á","A"),"À","A"),"Â","A"),"Ã","A"),"É","E"),"Ê","E"),"Í","I"),"Ó","O"),"Ô","O"),"Õ","O"),"Ú","U"),"Ü","U"),"Ç","C")&amp;"|"&amp;IF(LEN(J364)=11,MID(J364,4,6),J364)))</f>
        <v/>
      </c>
      <c r="L364" s="25" t="str">
        <f aca="false">IF(K364="","",IF(E364="Doação recebida",TRIM(IF(COUNTIF(Socios!$H:$H,K364)&gt;0,"Doador é sócio de empresa da pauta. ","")&amp;IF(COUNTIF(Pessoas!$E:$E,K364)&gt;0,"Doador está em Pessoas.","")),IF(E364="Despesa com fornecedor",IF(COUNTIF(Contratos!$D:$D,K364)&gt;0,"Fornecedor também tem contrato público",""),"")))</f>
        <v/>
      </c>
      <c r="M364" s="24"/>
      <c r="N364" s="11"/>
    </row>
    <row r="365" customFormat="false" ht="15" hidden="false" customHeight="false" outlineLevel="0" collapsed="false">
      <c r="A365" s="23"/>
      <c r="B365" s="31" t="str">
        <f aca="false">IF(A365="","",SUBSTITUTE(SUBSTITUTE(SUBSTITUTE(SUBSTITUTE(SUBSTITUTE(SUBSTITUTE(SUBSTITUTE(SUBSTITUTE(SUBSTITUTE(SUBSTITUTE(SUBSTITUTE(SUBSTITUTE(SUBSTITUTE(UPPER(TRIM(A365)),"Á","A"),"À","A"),"Â","A"),"Ã","A"),"É","E"),"Ê","E"),"Í","I"),"Ó","O"),"Ô","O"),"Õ","O"),"Ú","U"),"Ü","U"),"Ç","C"))</f>
        <v/>
      </c>
      <c r="C365" s="43"/>
      <c r="D365" s="23"/>
      <c r="E365" s="23"/>
      <c r="F365" s="11"/>
      <c r="G365" s="35"/>
      <c r="H365" s="23"/>
      <c r="I365" s="24"/>
      <c r="J365" s="31" t="str">
        <f aca="false">IF(I365="","",UPPER(SUBSTITUTE(SUBSTITUTE(SUBSTITUTE(SUBSTITUTE(SUBSTITUTE(TRIM(I365),".",""),"/",""),"-",""),"*","")," ","")))</f>
        <v/>
      </c>
      <c r="K365" s="31" t="str">
        <f aca="false">IF(OR(H365="",J365=""),"",IF(LEN(J365)&gt;=13,IF(LEN(J365)=13,"0"&amp;J365,J365),SUBSTITUTE(SUBSTITUTE(SUBSTITUTE(SUBSTITUTE(SUBSTITUTE(SUBSTITUTE(SUBSTITUTE(SUBSTITUTE(SUBSTITUTE(SUBSTITUTE(SUBSTITUTE(SUBSTITUTE(SUBSTITUTE(UPPER(TRIM(H365)),"Á","A"),"À","A"),"Â","A"),"Ã","A"),"É","E"),"Ê","E"),"Í","I"),"Ó","O"),"Ô","O"),"Õ","O"),"Ú","U"),"Ü","U"),"Ç","C")&amp;"|"&amp;IF(LEN(J365)=11,MID(J365,4,6),J365)))</f>
        <v/>
      </c>
      <c r="L365" s="25" t="str">
        <f aca="false">IF(K365="","",IF(E365="Doação recebida",TRIM(IF(COUNTIF(Socios!$H:$H,K365)&gt;0,"Doador é sócio de empresa da pauta. ","")&amp;IF(COUNTIF(Pessoas!$E:$E,K365)&gt;0,"Doador está em Pessoas.","")),IF(E365="Despesa com fornecedor",IF(COUNTIF(Contratos!$D:$D,K365)&gt;0,"Fornecedor também tem contrato público",""),"")))</f>
        <v/>
      </c>
      <c r="M365" s="24"/>
      <c r="N365" s="11"/>
    </row>
    <row r="366" customFormat="false" ht="15" hidden="false" customHeight="false" outlineLevel="0" collapsed="false">
      <c r="A366" s="23"/>
      <c r="B366" s="31" t="str">
        <f aca="false">IF(A366="","",SUBSTITUTE(SUBSTITUTE(SUBSTITUTE(SUBSTITUTE(SUBSTITUTE(SUBSTITUTE(SUBSTITUTE(SUBSTITUTE(SUBSTITUTE(SUBSTITUTE(SUBSTITUTE(SUBSTITUTE(SUBSTITUTE(UPPER(TRIM(A366)),"Á","A"),"À","A"),"Â","A"),"Ã","A"),"É","E"),"Ê","E"),"Í","I"),"Ó","O"),"Ô","O"),"Õ","O"),"Ú","U"),"Ü","U"),"Ç","C"))</f>
        <v/>
      </c>
      <c r="C366" s="43"/>
      <c r="D366" s="23"/>
      <c r="E366" s="23"/>
      <c r="F366" s="11"/>
      <c r="G366" s="35"/>
      <c r="H366" s="23"/>
      <c r="I366" s="24"/>
      <c r="J366" s="31" t="str">
        <f aca="false">IF(I366="","",UPPER(SUBSTITUTE(SUBSTITUTE(SUBSTITUTE(SUBSTITUTE(SUBSTITUTE(TRIM(I366),".",""),"/",""),"-",""),"*","")," ","")))</f>
        <v/>
      </c>
      <c r="K366" s="31" t="str">
        <f aca="false">IF(OR(H366="",J366=""),"",IF(LEN(J366)&gt;=13,IF(LEN(J366)=13,"0"&amp;J366,J366),SUBSTITUTE(SUBSTITUTE(SUBSTITUTE(SUBSTITUTE(SUBSTITUTE(SUBSTITUTE(SUBSTITUTE(SUBSTITUTE(SUBSTITUTE(SUBSTITUTE(SUBSTITUTE(SUBSTITUTE(SUBSTITUTE(UPPER(TRIM(H366)),"Á","A"),"À","A"),"Â","A"),"Ã","A"),"É","E"),"Ê","E"),"Í","I"),"Ó","O"),"Ô","O"),"Õ","O"),"Ú","U"),"Ü","U"),"Ç","C")&amp;"|"&amp;IF(LEN(J366)=11,MID(J366,4,6),J366)))</f>
        <v/>
      </c>
      <c r="L366" s="25" t="str">
        <f aca="false">IF(K366="","",IF(E366="Doação recebida",TRIM(IF(COUNTIF(Socios!$H:$H,K366)&gt;0,"Doador é sócio de empresa da pauta. ","")&amp;IF(COUNTIF(Pessoas!$E:$E,K366)&gt;0,"Doador está em Pessoas.","")),IF(E366="Despesa com fornecedor",IF(COUNTIF(Contratos!$D:$D,K366)&gt;0,"Fornecedor também tem contrato público",""),"")))</f>
        <v/>
      </c>
      <c r="M366" s="24"/>
      <c r="N366" s="11"/>
    </row>
    <row r="367" customFormat="false" ht="15" hidden="false" customHeight="false" outlineLevel="0" collapsed="false">
      <c r="A367" s="23"/>
      <c r="B367" s="31" t="str">
        <f aca="false">IF(A367="","",SUBSTITUTE(SUBSTITUTE(SUBSTITUTE(SUBSTITUTE(SUBSTITUTE(SUBSTITUTE(SUBSTITUTE(SUBSTITUTE(SUBSTITUTE(SUBSTITUTE(SUBSTITUTE(SUBSTITUTE(SUBSTITUTE(UPPER(TRIM(A367)),"Á","A"),"À","A"),"Â","A"),"Ã","A"),"É","E"),"Ê","E"),"Í","I"),"Ó","O"),"Ô","O"),"Õ","O"),"Ú","U"),"Ü","U"),"Ç","C"))</f>
        <v/>
      </c>
      <c r="C367" s="43"/>
      <c r="D367" s="23"/>
      <c r="E367" s="23"/>
      <c r="F367" s="11"/>
      <c r="G367" s="35"/>
      <c r="H367" s="23"/>
      <c r="I367" s="24"/>
      <c r="J367" s="31" t="str">
        <f aca="false">IF(I367="","",UPPER(SUBSTITUTE(SUBSTITUTE(SUBSTITUTE(SUBSTITUTE(SUBSTITUTE(TRIM(I367),".",""),"/",""),"-",""),"*","")," ","")))</f>
        <v/>
      </c>
      <c r="K367" s="31" t="str">
        <f aca="false">IF(OR(H367="",J367=""),"",IF(LEN(J367)&gt;=13,IF(LEN(J367)=13,"0"&amp;J367,J367),SUBSTITUTE(SUBSTITUTE(SUBSTITUTE(SUBSTITUTE(SUBSTITUTE(SUBSTITUTE(SUBSTITUTE(SUBSTITUTE(SUBSTITUTE(SUBSTITUTE(SUBSTITUTE(SUBSTITUTE(SUBSTITUTE(UPPER(TRIM(H367)),"Á","A"),"À","A"),"Â","A"),"Ã","A"),"É","E"),"Ê","E"),"Í","I"),"Ó","O"),"Ô","O"),"Õ","O"),"Ú","U"),"Ü","U"),"Ç","C")&amp;"|"&amp;IF(LEN(J367)=11,MID(J367,4,6),J367)))</f>
        <v/>
      </c>
      <c r="L367" s="25" t="str">
        <f aca="false">IF(K367="","",IF(E367="Doação recebida",TRIM(IF(COUNTIF(Socios!$H:$H,K367)&gt;0,"Doador é sócio de empresa da pauta. ","")&amp;IF(COUNTIF(Pessoas!$E:$E,K367)&gt;0,"Doador está em Pessoas.","")),IF(E367="Despesa com fornecedor",IF(COUNTIF(Contratos!$D:$D,K367)&gt;0,"Fornecedor também tem contrato público",""),"")))</f>
        <v/>
      </c>
      <c r="M367" s="24"/>
      <c r="N367" s="11"/>
    </row>
    <row r="368" customFormat="false" ht="15" hidden="false" customHeight="false" outlineLevel="0" collapsed="false">
      <c r="A368" s="23"/>
      <c r="B368" s="31" t="str">
        <f aca="false">IF(A368="","",SUBSTITUTE(SUBSTITUTE(SUBSTITUTE(SUBSTITUTE(SUBSTITUTE(SUBSTITUTE(SUBSTITUTE(SUBSTITUTE(SUBSTITUTE(SUBSTITUTE(SUBSTITUTE(SUBSTITUTE(SUBSTITUTE(UPPER(TRIM(A368)),"Á","A"),"À","A"),"Â","A"),"Ã","A"),"É","E"),"Ê","E"),"Í","I"),"Ó","O"),"Ô","O"),"Õ","O"),"Ú","U"),"Ü","U"),"Ç","C"))</f>
        <v/>
      </c>
      <c r="C368" s="43"/>
      <c r="D368" s="23"/>
      <c r="E368" s="23"/>
      <c r="F368" s="11"/>
      <c r="G368" s="35"/>
      <c r="H368" s="23"/>
      <c r="I368" s="24"/>
      <c r="J368" s="31" t="str">
        <f aca="false">IF(I368="","",UPPER(SUBSTITUTE(SUBSTITUTE(SUBSTITUTE(SUBSTITUTE(SUBSTITUTE(TRIM(I368),".",""),"/",""),"-",""),"*","")," ","")))</f>
        <v/>
      </c>
      <c r="K368" s="31" t="str">
        <f aca="false">IF(OR(H368="",J368=""),"",IF(LEN(J368)&gt;=13,IF(LEN(J368)=13,"0"&amp;J368,J368),SUBSTITUTE(SUBSTITUTE(SUBSTITUTE(SUBSTITUTE(SUBSTITUTE(SUBSTITUTE(SUBSTITUTE(SUBSTITUTE(SUBSTITUTE(SUBSTITUTE(SUBSTITUTE(SUBSTITUTE(SUBSTITUTE(UPPER(TRIM(H368)),"Á","A"),"À","A"),"Â","A"),"Ã","A"),"É","E"),"Ê","E"),"Í","I"),"Ó","O"),"Ô","O"),"Õ","O"),"Ú","U"),"Ü","U"),"Ç","C")&amp;"|"&amp;IF(LEN(J368)=11,MID(J368,4,6),J368)))</f>
        <v/>
      </c>
      <c r="L368" s="25" t="str">
        <f aca="false">IF(K368="","",IF(E368="Doação recebida",TRIM(IF(COUNTIF(Socios!$H:$H,K368)&gt;0,"Doador é sócio de empresa da pauta. ","")&amp;IF(COUNTIF(Pessoas!$E:$E,K368)&gt;0,"Doador está em Pessoas.","")),IF(E368="Despesa com fornecedor",IF(COUNTIF(Contratos!$D:$D,K368)&gt;0,"Fornecedor também tem contrato público",""),"")))</f>
        <v/>
      </c>
      <c r="M368" s="24"/>
      <c r="N368" s="11"/>
    </row>
    <row r="369" customFormat="false" ht="15" hidden="false" customHeight="false" outlineLevel="0" collapsed="false">
      <c r="A369" s="23"/>
      <c r="B369" s="31" t="str">
        <f aca="false">IF(A369="","",SUBSTITUTE(SUBSTITUTE(SUBSTITUTE(SUBSTITUTE(SUBSTITUTE(SUBSTITUTE(SUBSTITUTE(SUBSTITUTE(SUBSTITUTE(SUBSTITUTE(SUBSTITUTE(SUBSTITUTE(SUBSTITUTE(UPPER(TRIM(A369)),"Á","A"),"À","A"),"Â","A"),"Ã","A"),"É","E"),"Ê","E"),"Í","I"),"Ó","O"),"Ô","O"),"Õ","O"),"Ú","U"),"Ü","U"),"Ç","C"))</f>
        <v/>
      </c>
      <c r="C369" s="43"/>
      <c r="D369" s="23"/>
      <c r="E369" s="23"/>
      <c r="F369" s="11"/>
      <c r="G369" s="35"/>
      <c r="H369" s="23"/>
      <c r="I369" s="24"/>
      <c r="J369" s="31" t="str">
        <f aca="false">IF(I369="","",UPPER(SUBSTITUTE(SUBSTITUTE(SUBSTITUTE(SUBSTITUTE(SUBSTITUTE(TRIM(I369),".",""),"/",""),"-",""),"*","")," ","")))</f>
        <v/>
      </c>
      <c r="K369" s="31" t="str">
        <f aca="false">IF(OR(H369="",J369=""),"",IF(LEN(J369)&gt;=13,IF(LEN(J369)=13,"0"&amp;J369,J369),SUBSTITUTE(SUBSTITUTE(SUBSTITUTE(SUBSTITUTE(SUBSTITUTE(SUBSTITUTE(SUBSTITUTE(SUBSTITUTE(SUBSTITUTE(SUBSTITUTE(SUBSTITUTE(SUBSTITUTE(SUBSTITUTE(UPPER(TRIM(H369)),"Á","A"),"À","A"),"Â","A"),"Ã","A"),"É","E"),"Ê","E"),"Í","I"),"Ó","O"),"Ô","O"),"Õ","O"),"Ú","U"),"Ü","U"),"Ç","C")&amp;"|"&amp;IF(LEN(J369)=11,MID(J369,4,6),J369)))</f>
        <v/>
      </c>
      <c r="L369" s="25" t="str">
        <f aca="false">IF(K369="","",IF(E369="Doação recebida",TRIM(IF(COUNTIF(Socios!$H:$H,K369)&gt;0,"Doador é sócio de empresa da pauta. ","")&amp;IF(COUNTIF(Pessoas!$E:$E,K369)&gt;0,"Doador está em Pessoas.","")),IF(E369="Despesa com fornecedor",IF(COUNTIF(Contratos!$D:$D,K369)&gt;0,"Fornecedor também tem contrato público",""),"")))</f>
        <v/>
      </c>
      <c r="M369" s="24"/>
      <c r="N369" s="11"/>
    </row>
    <row r="370" customFormat="false" ht="15" hidden="false" customHeight="false" outlineLevel="0" collapsed="false">
      <c r="A370" s="23"/>
      <c r="B370" s="31" t="str">
        <f aca="false">IF(A370="","",SUBSTITUTE(SUBSTITUTE(SUBSTITUTE(SUBSTITUTE(SUBSTITUTE(SUBSTITUTE(SUBSTITUTE(SUBSTITUTE(SUBSTITUTE(SUBSTITUTE(SUBSTITUTE(SUBSTITUTE(SUBSTITUTE(UPPER(TRIM(A370)),"Á","A"),"À","A"),"Â","A"),"Ã","A"),"É","E"),"Ê","E"),"Í","I"),"Ó","O"),"Ô","O"),"Õ","O"),"Ú","U"),"Ü","U"),"Ç","C"))</f>
        <v/>
      </c>
      <c r="C370" s="43"/>
      <c r="D370" s="23"/>
      <c r="E370" s="23"/>
      <c r="F370" s="11"/>
      <c r="G370" s="35"/>
      <c r="H370" s="23"/>
      <c r="I370" s="24"/>
      <c r="J370" s="31" t="str">
        <f aca="false">IF(I370="","",UPPER(SUBSTITUTE(SUBSTITUTE(SUBSTITUTE(SUBSTITUTE(SUBSTITUTE(TRIM(I370),".",""),"/",""),"-",""),"*","")," ","")))</f>
        <v/>
      </c>
      <c r="K370" s="31" t="str">
        <f aca="false">IF(OR(H370="",J370=""),"",IF(LEN(J370)&gt;=13,IF(LEN(J370)=13,"0"&amp;J370,J370),SUBSTITUTE(SUBSTITUTE(SUBSTITUTE(SUBSTITUTE(SUBSTITUTE(SUBSTITUTE(SUBSTITUTE(SUBSTITUTE(SUBSTITUTE(SUBSTITUTE(SUBSTITUTE(SUBSTITUTE(SUBSTITUTE(UPPER(TRIM(H370)),"Á","A"),"À","A"),"Â","A"),"Ã","A"),"É","E"),"Ê","E"),"Í","I"),"Ó","O"),"Ô","O"),"Õ","O"),"Ú","U"),"Ü","U"),"Ç","C")&amp;"|"&amp;IF(LEN(J370)=11,MID(J370,4,6),J370)))</f>
        <v/>
      </c>
      <c r="L370" s="25" t="str">
        <f aca="false">IF(K370="","",IF(E370="Doação recebida",TRIM(IF(COUNTIF(Socios!$H:$H,K370)&gt;0,"Doador é sócio de empresa da pauta. ","")&amp;IF(COUNTIF(Pessoas!$E:$E,K370)&gt;0,"Doador está em Pessoas.","")),IF(E370="Despesa com fornecedor",IF(COUNTIF(Contratos!$D:$D,K370)&gt;0,"Fornecedor também tem contrato público",""),"")))</f>
        <v/>
      </c>
      <c r="M370" s="24"/>
      <c r="N370" s="11"/>
    </row>
    <row r="371" customFormat="false" ht="15" hidden="false" customHeight="false" outlineLevel="0" collapsed="false">
      <c r="A371" s="23"/>
      <c r="B371" s="31" t="str">
        <f aca="false">IF(A371="","",SUBSTITUTE(SUBSTITUTE(SUBSTITUTE(SUBSTITUTE(SUBSTITUTE(SUBSTITUTE(SUBSTITUTE(SUBSTITUTE(SUBSTITUTE(SUBSTITUTE(SUBSTITUTE(SUBSTITUTE(SUBSTITUTE(UPPER(TRIM(A371)),"Á","A"),"À","A"),"Â","A"),"Ã","A"),"É","E"),"Ê","E"),"Í","I"),"Ó","O"),"Ô","O"),"Õ","O"),"Ú","U"),"Ü","U"),"Ç","C"))</f>
        <v/>
      </c>
      <c r="C371" s="43"/>
      <c r="D371" s="23"/>
      <c r="E371" s="23"/>
      <c r="F371" s="11"/>
      <c r="G371" s="35"/>
      <c r="H371" s="23"/>
      <c r="I371" s="24"/>
      <c r="J371" s="31" t="str">
        <f aca="false">IF(I371="","",UPPER(SUBSTITUTE(SUBSTITUTE(SUBSTITUTE(SUBSTITUTE(SUBSTITUTE(TRIM(I371),".",""),"/",""),"-",""),"*","")," ","")))</f>
        <v/>
      </c>
      <c r="K371" s="31" t="str">
        <f aca="false">IF(OR(H371="",J371=""),"",IF(LEN(J371)&gt;=13,IF(LEN(J371)=13,"0"&amp;J371,J371),SUBSTITUTE(SUBSTITUTE(SUBSTITUTE(SUBSTITUTE(SUBSTITUTE(SUBSTITUTE(SUBSTITUTE(SUBSTITUTE(SUBSTITUTE(SUBSTITUTE(SUBSTITUTE(SUBSTITUTE(SUBSTITUTE(UPPER(TRIM(H371)),"Á","A"),"À","A"),"Â","A"),"Ã","A"),"É","E"),"Ê","E"),"Í","I"),"Ó","O"),"Ô","O"),"Õ","O"),"Ú","U"),"Ü","U"),"Ç","C")&amp;"|"&amp;IF(LEN(J371)=11,MID(J371,4,6),J371)))</f>
        <v/>
      </c>
      <c r="L371" s="25" t="str">
        <f aca="false">IF(K371="","",IF(E371="Doação recebida",TRIM(IF(COUNTIF(Socios!$H:$H,K371)&gt;0,"Doador é sócio de empresa da pauta. ","")&amp;IF(COUNTIF(Pessoas!$E:$E,K371)&gt;0,"Doador está em Pessoas.","")),IF(E371="Despesa com fornecedor",IF(COUNTIF(Contratos!$D:$D,K371)&gt;0,"Fornecedor também tem contrato público",""),"")))</f>
        <v/>
      </c>
      <c r="M371" s="24"/>
      <c r="N371" s="11"/>
    </row>
    <row r="372" customFormat="false" ht="15" hidden="false" customHeight="false" outlineLevel="0" collapsed="false">
      <c r="A372" s="23"/>
      <c r="B372" s="31" t="str">
        <f aca="false">IF(A372="","",SUBSTITUTE(SUBSTITUTE(SUBSTITUTE(SUBSTITUTE(SUBSTITUTE(SUBSTITUTE(SUBSTITUTE(SUBSTITUTE(SUBSTITUTE(SUBSTITUTE(SUBSTITUTE(SUBSTITUTE(SUBSTITUTE(UPPER(TRIM(A372)),"Á","A"),"À","A"),"Â","A"),"Ã","A"),"É","E"),"Ê","E"),"Í","I"),"Ó","O"),"Ô","O"),"Õ","O"),"Ú","U"),"Ü","U"),"Ç","C"))</f>
        <v/>
      </c>
      <c r="C372" s="43"/>
      <c r="D372" s="23"/>
      <c r="E372" s="23"/>
      <c r="F372" s="11"/>
      <c r="G372" s="35"/>
      <c r="H372" s="23"/>
      <c r="I372" s="24"/>
      <c r="J372" s="31" t="str">
        <f aca="false">IF(I372="","",UPPER(SUBSTITUTE(SUBSTITUTE(SUBSTITUTE(SUBSTITUTE(SUBSTITUTE(TRIM(I372),".",""),"/",""),"-",""),"*","")," ","")))</f>
        <v/>
      </c>
      <c r="K372" s="31" t="str">
        <f aca="false">IF(OR(H372="",J372=""),"",IF(LEN(J372)&gt;=13,IF(LEN(J372)=13,"0"&amp;J372,J372),SUBSTITUTE(SUBSTITUTE(SUBSTITUTE(SUBSTITUTE(SUBSTITUTE(SUBSTITUTE(SUBSTITUTE(SUBSTITUTE(SUBSTITUTE(SUBSTITUTE(SUBSTITUTE(SUBSTITUTE(SUBSTITUTE(UPPER(TRIM(H372)),"Á","A"),"À","A"),"Â","A"),"Ã","A"),"É","E"),"Ê","E"),"Í","I"),"Ó","O"),"Ô","O"),"Õ","O"),"Ú","U"),"Ü","U"),"Ç","C")&amp;"|"&amp;IF(LEN(J372)=11,MID(J372,4,6),J372)))</f>
        <v/>
      </c>
      <c r="L372" s="25" t="str">
        <f aca="false">IF(K372="","",IF(E372="Doação recebida",TRIM(IF(COUNTIF(Socios!$H:$H,K372)&gt;0,"Doador é sócio de empresa da pauta. ","")&amp;IF(COUNTIF(Pessoas!$E:$E,K372)&gt;0,"Doador está em Pessoas.","")),IF(E372="Despesa com fornecedor",IF(COUNTIF(Contratos!$D:$D,K372)&gt;0,"Fornecedor também tem contrato público",""),"")))</f>
        <v/>
      </c>
      <c r="M372" s="24"/>
      <c r="N372" s="11"/>
    </row>
    <row r="373" customFormat="false" ht="15" hidden="false" customHeight="false" outlineLevel="0" collapsed="false">
      <c r="A373" s="23"/>
      <c r="B373" s="31" t="str">
        <f aca="false">IF(A373="","",SUBSTITUTE(SUBSTITUTE(SUBSTITUTE(SUBSTITUTE(SUBSTITUTE(SUBSTITUTE(SUBSTITUTE(SUBSTITUTE(SUBSTITUTE(SUBSTITUTE(SUBSTITUTE(SUBSTITUTE(SUBSTITUTE(UPPER(TRIM(A373)),"Á","A"),"À","A"),"Â","A"),"Ã","A"),"É","E"),"Ê","E"),"Í","I"),"Ó","O"),"Ô","O"),"Õ","O"),"Ú","U"),"Ü","U"),"Ç","C"))</f>
        <v/>
      </c>
      <c r="C373" s="43"/>
      <c r="D373" s="23"/>
      <c r="E373" s="23"/>
      <c r="F373" s="11"/>
      <c r="G373" s="35"/>
      <c r="H373" s="23"/>
      <c r="I373" s="24"/>
      <c r="J373" s="31" t="str">
        <f aca="false">IF(I373="","",UPPER(SUBSTITUTE(SUBSTITUTE(SUBSTITUTE(SUBSTITUTE(SUBSTITUTE(TRIM(I373),".",""),"/",""),"-",""),"*","")," ","")))</f>
        <v/>
      </c>
      <c r="K373" s="31" t="str">
        <f aca="false">IF(OR(H373="",J373=""),"",IF(LEN(J373)&gt;=13,IF(LEN(J373)=13,"0"&amp;J373,J373),SUBSTITUTE(SUBSTITUTE(SUBSTITUTE(SUBSTITUTE(SUBSTITUTE(SUBSTITUTE(SUBSTITUTE(SUBSTITUTE(SUBSTITUTE(SUBSTITUTE(SUBSTITUTE(SUBSTITUTE(SUBSTITUTE(UPPER(TRIM(H373)),"Á","A"),"À","A"),"Â","A"),"Ã","A"),"É","E"),"Ê","E"),"Í","I"),"Ó","O"),"Ô","O"),"Õ","O"),"Ú","U"),"Ü","U"),"Ç","C")&amp;"|"&amp;IF(LEN(J373)=11,MID(J373,4,6),J373)))</f>
        <v/>
      </c>
      <c r="L373" s="25" t="str">
        <f aca="false">IF(K373="","",IF(E373="Doação recebida",TRIM(IF(COUNTIF(Socios!$H:$H,K373)&gt;0,"Doador é sócio de empresa da pauta. ","")&amp;IF(COUNTIF(Pessoas!$E:$E,K373)&gt;0,"Doador está em Pessoas.","")),IF(E373="Despesa com fornecedor",IF(COUNTIF(Contratos!$D:$D,K373)&gt;0,"Fornecedor também tem contrato público",""),"")))</f>
        <v/>
      </c>
      <c r="M373" s="24"/>
      <c r="N373" s="11"/>
    </row>
    <row r="374" customFormat="false" ht="15" hidden="false" customHeight="false" outlineLevel="0" collapsed="false">
      <c r="A374" s="23"/>
      <c r="B374" s="31" t="str">
        <f aca="false">IF(A374="","",SUBSTITUTE(SUBSTITUTE(SUBSTITUTE(SUBSTITUTE(SUBSTITUTE(SUBSTITUTE(SUBSTITUTE(SUBSTITUTE(SUBSTITUTE(SUBSTITUTE(SUBSTITUTE(SUBSTITUTE(SUBSTITUTE(UPPER(TRIM(A374)),"Á","A"),"À","A"),"Â","A"),"Ã","A"),"É","E"),"Ê","E"),"Í","I"),"Ó","O"),"Ô","O"),"Õ","O"),"Ú","U"),"Ü","U"),"Ç","C"))</f>
        <v/>
      </c>
      <c r="C374" s="43"/>
      <c r="D374" s="23"/>
      <c r="E374" s="23"/>
      <c r="F374" s="11"/>
      <c r="G374" s="35"/>
      <c r="H374" s="23"/>
      <c r="I374" s="24"/>
      <c r="J374" s="31" t="str">
        <f aca="false">IF(I374="","",UPPER(SUBSTITUTE(SUBSTITUTE(SUBSTITUTE(SUBSTITUTE(SUBSTITUTE(TRIM(I374),".",""),"/",""),"-",""),"*","")," ","")))</f>
        <v/>
      </c>
      <c r="K374" s="31" t="str">
        <f aca="false">IF(OR(H374="",J374=""),"",IF(LEN(J374)&gt;=13,IF(LEN(J374)=13,"0"&amp;J374,J374),SUBSTITUTE(SUBSTITUTE(SUBSTITUTE(SUBSTITUTE(SUBSTITUTE(SUBSTITUTE(SUBSTITUTE(SUBSTITUTE(SUBSTITUTE(SUBSTITUTE(SUBSTITUTE(SUBSTITUTE(SUBSTITUTE(UPPER(TRIM(H374)),"Á","A"),"À","A"),"Â","A"),"Ã","A"),"É","E"),"Ê","E"),"Í","I"),"Ó","O"),"Ô","O"),"Õ","O"),"Ú","U"),"Ü","U"),"Ç","C")&amp;"|"&amp;IF(LEN(J374)=11,MID(J374,4,6),J374)))</f>
        <v/>
      </c>
      <c r="L374" s="25" t="str">
        <f aca="false">IF(K374="","",IF(E374="Doação recebida",TRIM(IF(COUNTIF(Socios!$H:$H,K374)&gt;0,"Doador é sócio de empresa da pauta. ","")&amp;IF(COUNTIF(Pessoas!$E:$E,K374)&gt;0,"Doador está em Pessoas.","")),IF(E374="Despesa com fornecedor",IF(COUNTIF(Contratos!$D:$D,K374)&gt;0,"Fornecedor também tem contrato público",""),"")))</f>
        <v/>
      </c>
      <c r="M374" s="24"/>
      <c r="N374" s="11"/>
    </row>
    <row r="375" customFormat="false" ht="15" hidden="false" customHeight="false" outlineLevel="0" collapsed="false">
      <c r="A375" s="23"/>
      <c r="B375" s="31" t="str">
        <f aca="false">IF(A375="","",SUBSTITUTE(SUBSTITUTE(SUBSTITUTE(SUBSTITUTE(SUBSTITUTE(SUBSTITUTE(SUBSTITUTE(SUBSTITUTE(SUBSTITUTE(SUBSTITUTE(SUBSTITUTE(SUBSTITUTE(SUBSTITUTE(UPPER(TRIM(A375)),"Á","A"),"À","A"),"Â","A"),"Ã","A"),"É","E"),"Ê","E"),"Í","I"),"Ó","O"),"Ô","O"),"Õ","O"),"Ú","U"),"Ü","U"),"Ç","C"))</f>
        <v/>
      </c>
      <c r="C375" s="43"/>
      <c r="D375" s="23"/>
      <c r="E375" s="23"/>
      <c r="F375" s="11"/>
      <c r="G375" s="35"/>
      <c r="H375" s="23"/>
      <c r="I375" s="24"/>
      <c r="J375" s="31" t="str">
        <f aca="false">IF(I375="","",UPPER(SUBSTITUTE(SUBSTITUTE(SUBSTITUTE(SUBSTITUTE(SUBSTITUTE(TRIM(I375),".",""),"/",""),"-",""),"*","")," ","")))</f>
        <v/>
      </c>
      <c r="K375" s="31" t="str">
        <f aca="false">IF(OR(H375="",J375=""),"",IF(LEN(J375)&gt;=13,IF(LEN(J375)=13,"0"&amp;J375,J375),SUBSTITUTE(SUBSTITUTE(SUBSTITUTE(SUBSTITUTE(SUBSTITUTE(SUBSTITUTE(SUBSTITUTE(SUBSTITUTE(SUBSTITUTE(SUBSTITUTE(SUBSTITUTE(SUBSTITUTE(SUBSTITUTE(UPPER(TRIM(H375)),"Á","A"),"À","A"),"Â","A"),"Ã","A"),"É","E"),"Ê","E"),"Í","I"),"Ó","O"),"Ô","O"),"Õ","O"),"Ú","U"),"Ü","U"),"Ç","C")&amp;"|"&amp;IF(LEN(J375)=11,MID(J375,4,6),J375)))</f>
        <v/>
      </c>
      <c r="L375" s="25" t="str">
        <f aca="false">IF(K375="","",IF(E375="Doação recebida",TRIM(IF(COUNTIF(Socios!$H:$H,K375)&gt;0,"Doador é sócio de empresa da pauta. ","")&amp;IF(COUNTIF(Pessoas!$E:$E,K375)&gt;0,"Doador está em Pessoas.","")),IF(E375="Despesa com fornecedor",IF(COUNTIF(Contratos!$D:$D,K375)&gt;0,"Fornecedor também tem contrato público",""),"")))</f>
        <v/>
      </c>
      <c r="M375" s="24"/>
      <c r="N375" s="11"/>
    </row>
    <row r="376" customFormat="false" ht="15" hidden="false" customHeight="false" outlineLevel="0" collapsed="false">
      <c r="A376" s="23"/>
      <c r="B376" s="31" t="str">
        <f aca="false">IF(A376="","",SUBSTITUTE(SUBSTITUTE(SUBSTITUTE(SUBSTITUTE(SUBSTITUTE(SUBSTITUTE(SUBSTITUTE(SUBSTITUTE(SUBSTITUTE(SUBSTITUTE(SUBSTITUTE(SUBSTITUTE(SUBSTITUTE(UPPER(TRIM(A376)),"Á","A"),"À","A"),"Â","A"),"Ã","A"),"É","E"),"Ê","E"),"Í","I"),"Ó","O"),"Ô","O"),"Õ","O"),"Ú","U"),"Ü","U"),"Ç","C"))</f>
        <v/>
      </c>
      <c r="C376" s="43"/>
      <c r="D376" s="23"/>
      <c r="E376" s="23"/>
      <c r="F376" s="11"/>
      <c r="G376" s="35"/>
      <c r="H376" s="23"/>
      <c r="I376" s="24"/>
      <c r="J376" s="31" t="str">
        <f aca="false">IF(I376="","",UPPER(SUBSTITUTE(SUBSTITUTE(SUBSTITUTE(SUBSTITUTE(SUBSTITUTE(TRIM(I376),".",""),"/",""),"-",""),"*","")," ","")))</f>
        <v/>
      </c>
      <c r="K376" s="31" t="str">
        <f aca="false">IF(OR(H376="",J376=""),"",IF(LEN(J376)&gt;=13,IF(LEN(J376)=13,"0"&amp;J376,J376),SUBSTITUTE(SUBSTITUTE(SUBSTITUTE(SUBSTITUTE(SUBSTITUTE(SUBSTITUTE(SUBSTITUTE(SUBSTITUTE(SUBSTITUTE(SUBSTITUTE(SUBSTITUTE(SUBSTITUTE(SUBSTITUTE(UPPER(TRIM(H376)),"Á","A"),"À","A"),"Â","A"),"Ã","A"),"É","E"),"Ê","E"),"Í","I"),"Ó","O"),"Ô","O"),"Õ","O"),"Ú","U"),"Ü","U"),"Ç","C")&amp;"|"&amp;IF(LEN(J376)=11,MID(J376,4,6),J376)))</f>
        <v/>
      </c>
      <c r="L376" s="25" t="str">
        <f aca="false">IF(K376="","",IF(E376="Doação recebida",TRIM(IF(COUNTIF(Socios!$H:$H,K376)&gt;0,"Doador é sócio de empresa da pauta. ","")&amp;IF(COUNTIF(Pessoas!$E:$E,K376)&gt;0,"Doador está em Pessoas.","")),IF(E376="Despesa com fornecedor",IF(COUNTIF(Contratos!$D:$D,K376)&gt;0,"Fornecedor também tem contrato público",""),"")))</f>
        <v/>
      </c>
      <c r="M376" s="24"/>
      <c r="N376" s="11"/>
    </row>
    <row r="377" customFormat="false" ht="15" hidden="false" customHeight="false" outlineLevel="0" collapsed="false">
      <c r="A377" s="23"/>
      <c r="B377" s="31" t="str">
        <f aca="false">IF(A377="","",SUBSTITUTE(SUBSTITUTE(SUBSTITUTE(SUBSTITUTE(SUBSTITUTE(SUBSTITUTE(SUBSTITUTE(SUBSTITUTE(SUBSTITUTE(SUBSTITUTE(SUBSTITUTE(SUBSTITUTE(SUBSTITUTE(UPPER(TRIM(A377)),"Á","A"),"À","A"),"Â","A"),"Ã","A"),"É","E"),"Ê","E"),"Í","I"),"Ó","O"),"Ô","O"),"Õ","O"),"Ú","U"),"Ü","U"),"Ç","C"))</f>
        <v/>
      </c>
      <c r="C377" s="43"/>
      <c r="D377" s="23"/>
      <c r="E377" s="23"/>
      <c r="F377" s="11"/>
      <c r="G377" s="35"/>
      <c r="H377" s="23"/>
      <c r="I377" s="24"/>
      <c r="J377" s="31" t="str">
        <f aca="false">IF(I377="","",UPPER(SUBSTITUTE(SUBSTITUTE(SUBSTITUTE(SUBSTITUTE(SUBSTITUTE(TRIM(I377),".",""),"/",""),"-",""),"*","")," ","")))</f>
        <v/>
      </c>
      <c r="K377" s="31" t="str">
        <f aca="false">IF(OR(H377="",J377=""),"",IF(LEN(J377)&gt;=13,IF(LEN(J377)=13,"0"&amp;J377,J377),SUBSTITUTE(SUBSTITUTE(SUBSTITUTE(SUBSTITUTE(SUBSTITUTE(SUBSTITUTE(SUBSTITUTE(SUBSTITUTE(SUBSTITUTE(SUBSTITUTE(SUBSTITUTE(SUBSTITUTE(SUBSTITUTE(UPPER(TRIM(H377)),"Á","A"),"À","A"),"Â","A"),"Ã","A"),"É","E"),"Ê","E"),"Í","I"),"Ó","O"),"Ô","O"),"Õ","O"),"Ú","U"),"Ü","U"),"Ç","C")&amp;"|"&amp;IF(LEN(J377)=11,MID(J377,4,6),J377)))</f>
        <v/>
      </c>
      <c r="L377" s="25" t="str">
        <f aca="false">IF(K377="","",IF(E377="Doação recebida",TRIM(IF(COUNTIF(Socios!$H:$H,K377)&gt;0,"Doador é sócio de empresa da pauta. ","")&amp;IF(COUNTIF(Pessoas!$E:$E,K377)&gt;0,"Doador está em Pessoas.","")),IF(E377="Despesa com fornecedor",IF(COUNTIF(Contratos!$D:$D,K377)&gt;0,"Fornecedor também tem contrato público",""),"")))</f>
        <v/>
      </c>
      <c r="M377" s="24"/>
      <c r="N377" s="11"/>
    </row>
    <row r="378" customFormat="false" ht="15" hidden="false" customHeight="false" outlineLevel="0" collapsed="false">
      <c r="A378" s="23"/>
      <c r="B378" s="31" t="str">
        <f aca="false">IF(A378="","",SUBSTITUTE(SUBSTITUTE(SUBSTITUTE(SUBSTITUTE(SUBSTITUTE(SUBSTITUTE(SUBSTITUTE(SUBSTITUTE(SUBSTITUTE(SUBSTITUTE(SUBSTITUTE(SUBSTITUTE(SUBSTITUTE(UPPER(TRIM(A378)),"Á","A"),"À","A"),"Â","A"),"Ã","A"),"É","E"),"Ê","E"),"Í","I"),"Ó","O"),"Ô","O"),"Õ","O"),"Ú","U"),"Ü","U"),"Ç","C"))</f>
        <v/>
      </c>
      <c r="C378" s="43"/>
      <c r="D378" s="23"/>
      <c r="E378" s="23"/>
      <c r="F378" s="11"/>
      <c r="G378" s="35"/>
      <c r="H378" s="23"/>
      <c r="I378" s="24"/>
      <c r="J378" s="31" t="str">
        <f aca="false">IF(I378="","",UPPER(SUBSTITUTE(SUBSTITUTE(SUBSTITUTE(SUBSTITUTE(SUBSTITUTE(TRIM(I378),".",""),"/",""),"-",""),"*","")," ","")))</f>
        <v/>
      </c>
      <c r="K378" s="31" t="str">
        <f aca="false">IF(OR(H378="",J378=""),"",IF(LEN(J378)&gt;=13,IF(LEN(J378)=13,"0"&amp;J378,J378),SUBSTITUTE(SUBSTITUTE(SUBSTITUTE(SUBSTITUTE(SUBSTITUTE(SUBSTITUTE(SUBSTITUTE(SUBSTITUTE(SUBSTITUTE(SUBSTITUTE(SUBSTITUTE(SUBSTITUTE(SUBSTITUTE(UPPER(TRIM(H378)),"Á","A"),"À","A"),"Â","A"),"Ã","A"),"É","E"),"Ê","E"),"Í","I"),"Ó","O"),"Ô","O"),"Õ","O"),"Ú","U"),"Ü","U"),"Ç","C")&amp;"|"&amp;IF(LEN(J378)=11,MID(J378,4,6),J378)))</f>
        <v/>
      </c>
      <c r="L378" s="25" t="str">
        <f aca="false">IF(K378="","",IF(E378="Doação recebida",TRIM(IF(COUNTIF(Socios!$H:$H,K378)&gt;0,"Doador é sócio de empresa da pauta. ","")&amp;IF(COUNTIF(Pessoas!$E:$E,K378)&gt;0,"Doador está em Pessoas.","")),IF(E378="Despesa com fornecedor",IF(COUNTIF(Contratos!$D:$D,K378)&gt;0,"Fornecedor também tem contrato público",""),"")))</f>
        <v/>
      </c>
      <c r="M378" s="24"/>
      <c r="N378" s="11"/>
    </row>
    <row r="379" customFormat="false" ht="15" hidden="false" customHeight="false" outlineLevel="0" collapsed="false">
      <c r="A379" s="23"/>
      <c r="B379" s="31" t="str">
        <f aca="false">IF(A379="","",SUBSTITUTE(SUBSTITUTE(SUBSTITUTE(SUBSTITUTE(SUBSTITUTE(SUBSTITUTE(SUBSTITUTE(SUBSTITUTE(SUBSTITUTE(SUBSTITUTE(SUBSTITUTE(SUBSTITUTE(SUBSTITUTE(UPPER(TRIM(A379)),"Á","A"),"À","A"),"Â","A"),"Ã","A"),"É","E"),"Ê","E"),"Í","I"),"Ó","O"),"Ô","O"),"Õ","O"),"Ú","U"),"Ü","U"),"Ç","C"))</f>
        <v/>
      </c>
      <c r="C379" s="43"/>
      <c r="D379" s="23"/>
      <c r="E379" s="23"/>
      <c r="F379" s="11"/>
      <c r="G379" s="35"/>
      <c r="H379" s="23"/>
      <c r="I379" s="24"/>
      <c r="J379" s="31" t="str">
        <f aca="false">IF(I379="","",UPPER(SUBSTITUTE(SUBSTITUTE(SUBSTITUTE(SUBSTITUTE(SUBSTITUTE(TRIM(I379),".",""),"/",""),"-",""),"*","")," ","")))</f>
        <v/>
      </c>
      <c r="K379" s="31" t="str">
        <f aca="false">IF(OR(H379="",J379=""),"",IF(LEN(J379)&gt;=13,IF(LEN(J379)=13,"0"&amp;J379,J379),SUBSTITUTE(SUBSTITUTE(SUBSTITUTE(SUBSTITUTE(SUBSTITUTE(SUBSTITUTE(SUBSTITUTE(SUBSTITUTE(SUBSTITUTE(SUBSTITUTE(SUBSTITUTE(SUBSTITUTE(SUBSTITUTE(UPPER(TRIM(H379)),"Á","A"),"À","A"),"Â","A"),"Ã","A"),"É","E"),"Ê","E"),"Í","I"),"Ó","O"),"Ô","O"),"Õ","O"),"Ú","U"),"Ü","U"),"Ç","C")&amp;"|"&amp;IF(LEN(J379)=11,MID(J379,4,6),J379)))</f>
        <v/>
      </c>
      <c r="L379" s="25" t="str">
        <f aca="false">IF(K379="","",IF(E379="Doação recebida",TRIM(IF(COUNTIF(Socios!$H:$H,K379)&gt;0,"Doador é sócio de empresa da pauta. ","")&amp;IF(COUNTIF(Pessoas!$E:$E,K379)&gt;0,"Doador está em Pessoas.","")),IF(E379="Despesa com fornecedor",IF(COUNTIF(Contratos!$D:$D,K379)&gt;0,"Fornecedor também tem contrato público",""),"")))</f>
        <v/>
      </c>
      <c r="M379" s="24"/>
      <c r="N379" s="11"/>
    </row>
    <row r="380" customFormat="false" ht="15" hidden="false" customHeight="false" outlineLevel="0" collapsed="false">
      <c r="A380" s="23"/>
      <c r="B380" s="31" t="str">
        <f aca="false">IF(A380="","",SUBSTITUTE(SUBSTITUTE(SUBSTITUTE(SUBSTITUTE(SUBSTITUTE(SUBSTITUTE(SUBSTITUTE(SUBSTITUTE(SUBSTITUTE(SUBSTITUTE(SUBSTITUTE(SUBSTITUTE(SUBSTITUTE(UPPER(TRIM(A380)),"Á","A"),"À","A"),"Â","A"),"Ã","A"),"É","E"),"Ê","E"),"Í","I"),"Ó","O"),"Ô","O"),"Õ","O"),"Ú","U"),"Ü","U"),"Ç","C"))</f>
        <v/>
      </c>
      <c r="C380" s="43"/>
      <c r="D380" s="23"/>
      <c r="E380" s="23"/>
      <c r="F380" s="11"/>
      <c r="G380" s="35"/>
      <c r="H380" s="23"/>
      <c r="I380" s="24"/>
      <c r="J380" s="31" t="str">
        <f aca="false">IF(I380="","",UPPER(SUBSTITUTE(SUBSTITUTE(SUBSTITUTE(SUBSTITUTE(SUBSTITUTE(TRIM(I380),".",""),"/",""),"-",""),"*","")," ","")))</f>
        <v/>
      </c>
      <c r="K380" s="31" t="str">
        <f aca="false">IF(OR(H380="",J380=""),"",IF(LEN(J380)&gt;=13,IF(LEN(J380)=13,"0"&amp;J380,J380),SUBSTITUTE(SUBSTITUTE(SUBSTITUTE(SUBSTITUTE(SUBSTITUTE(SUBSTITUTE(SUBSTITUTE(SUBSTITUTE(SUBSTITUTE(SUBSTITUTE(SUBSTITUTE(SUBSTITUTE(SUBSTITUTE(UPPER(TRIM(H380)),"Á","A"),"À","A"),"Â","A"),"Ã","A"),"É","E"),"Ê","E"),"Í","I"),"Ó","O"),"Ô","O"),"Õ","O"),"Ú","U"),"Ü","U"),"Ç","C")&amp;"|"&amp;IF(LEN(J380)=11,MID(J380,4,6),J380)))</f>
        <v/>
      </c>
      <c r="L380" s="25" t="str">
        <f aca="false">IF(K380="","",IF(E380="Doação recebida",TRIM(IF(COUNTIF(Socios!$H:$H,K380)&gt;0,"Doador é sócio de empresa da pauta. ","")&amp;IF(COUNTIF(Pessoas!$E:$E,K380)&gt;0,"Doador está em Pessoas.","")),IF(E380="Despesa com fornecedor",IF(COUNTIF(Contratos!$D:$D,K380)&gt;0,"Fornecedor também tem contrato público",""),"")))</f>
        <v/>
      </c>
      <c r="M380" s="24"/>
      <c r="N380" s="11"/>
    </row>
    <row r="381" customFormat="false" ht="15" hidden="false" customHeight="false" outlineLevel="0" collapsed="false">
      <c r="A381" s="23"/>
      <c r="B381" s="31" t="str">
        <f aca="false">IF(A381="","",SUBSTITUTE(SUBSTITUTE(SUBSTITUTE(SUBSTITUTE(SUBSTITUTE(SUBSTITUTE(SUBSTITUTE(SUBSTITUTE(SUBSTITUTE(SUBSTITUTE(SUBSTITUTE(SUBSTITUTE(SUBSTITUTE(UPPER(TRIM(A381)),"Á","A"),"À","A"),"Â","A"),"Ã","A"),"É","E"),"Ê","E"),"Í","I"),"Ó","O"),"Ô","O"),"Õ","O"),"Ú","U"),"Ü","U"),"Ç","C"))</f>
        <v/>
      </c>
      <c r="C381" s="43"/>
      <c r="D381" s="23"/>
      <c r="E381" s="23"/>
      <c r="F381" s="11"/>
      <c r="G381" s="35"/>
      <c r="H381" s="23"/>
      <c r="I381" s="24"/>
      <c r="J381" s="31" t="str">
        <f aca="false">IF(I381="","",UPPER(SUBSTITUTE(SUBSTITUTE(SUBSTITUTE(SUBSTITUTE(SUBSTITUTE(TRIM(I381),".",""),"/",""),"-",""),"*","")," ","")))</f>
        <v/>
      </c>
      <c r="K381" s="31" t="str">
        <f aca="false">IF(OR(H381="",J381=""),"",IF(LEN(J381)&gt;=13,IF(LEN(J381)=13,"0"&amp;J381,J381),SUBSTITUTE(SUBSTITUTE(SUBSTITUTE(SUBSTITUTE(SUBSTITUTE(SUBSTITUTE(SUBSTITUTE(SUBSTITUTE(SUBSTITUTE(SUBSTITUTE(SUBSTITUTE(SUBSTITUTE(SUBSTITUTE(UPPER(TRIM(H381)),"Á","A"),"À","A"),"Â","A"),"Ã","A"),"É","E"),"Ê","E"),"Í","I"),"Ó","O"),"Ô","O"),"Õ","O"),"Ú","U"),"Ü","U"),"Ç","C")&amp;"|"&amp;IF(LEN(J381)=11,MID(J381,4,6),J381)))</f>
        <v/>
      </c>
      <c r="L381" s="25" t="str">
        <f aca="false">IF(K381="","",IF(E381="Doação recebida",TRIM(IF(COUNTIF(Socios!$H:$H,K381)&gt;0,"Doador é sócio de empresa da pauta. ","")&amp;IF(COUNTIF(Pessoas!$E:$E,K381)&gt;0,"Doador está em Pessoas.","")),IF(E381="Despesa com fornecedor",IF(COUNTIF(Contratos!$D:$D,K381)&gt;0,"Fornecedor também tem contrato público",""),"")))</f>
        <v/>
      </c>
      <c r="M381" s="24"/>
      <c r="N381" s="11"/>
    </row>
    <row r="382" customFormat="false" ht="15" hidden="false" customHeight="false" outlineLevel="0" collapsed="false">
      <c r="A382" s="23"/>
      <c r="B382" s="31" t="str">
        <f aca="false">IF(A382="","",SUBSTITUTE(SUBSTITUTE(SUBSTITUTE(SUBSTITUTE(SUBSTITUTE(SUBSTITUTE(SUBSTITUTE(SUBSTITUTE(SUBSTITUTE(SUBSTITUTE(SUBSTITUTE(SUBSTITUTE(SUBSTITUTE(UPPER(TRIM(A382)),"Á","A"),"À","A"),"Â","A"),"Ã","A"),"É","E"),"Ê","E"),"Í","I"),"Ó","O"),"Ô","O"),"Õ","O"),"Ú","U"),"Ü","U"),"Ç","C"))</f>
        <v/>
      </c>
      <c r="C382" s="43"/>
      <c r="D382" s="23"/>
      <c r="E382" s="23"/>
      <c r="F382" s="11"/>
      <c r="G382" s="35"/>
      <c r="H382" s="23"/>
      <c r="I382" s="24"/>
      <c r="J382" s="31" t="str">
        <f aca="false">IF(I382="","",UPPER(SUBSTITUTE(SUBSTITUTE(SUBSTITUTE(SUBSTITUTE(SUBSTITUTE(TRIM(I382),".",""),"/",""),"-",""),"*","")," ","")))</f>
        <v/>
      </c>
      <c r="K382" s="31" t="str">
        <f aca="false">IF(OR(H382="",J382=""),"",IF(LEN(J382)&gt;=13,IF(LEN(J382)=13,"0"&amp;J382,J382),SUBSTITUTE(SUBSTITUTE(SUBSTITUTE(SUBSTITUTE(SUBSTITUTE(SUBSTITUTE(SUBSTITUTE(SUBSTITUTE(SUBSTITUTE(SUBSTITUTE(SUBSTITUTE(SUBSTITUTE(SUBSTITUTE(UPPER(TRIM(H382)),"Á","A"),"À","A"),"Â","A"),"Ã","A"),"É","E"),"Ê","E"),"Í","I"),"Ó","O"),"Ô","O"),"Õ","O"),"Ú","U"),"Ü","U"),"Ç","C")&amp;"|"&amp;IF(LEN(J382)=11,MID(J382,4,6),J382)))</f>
        <v/>
      </c>
      <c r="L382" s="25" t="str">
        <f aca="false">IF(K382="","",IF(E382="Doação recebida",TRIM(IF(COUNTIF(Socios!$H:$H,K382)&gt;0,"Doador é sócio de empresa da pauta. ","")&amp;IF(COUNTIF(Pessoas!$E:$E,K382)&gt;0,"Doador está em Pessoas.","")),IF(E382="Despesa com fornecedor",IF(COUNTIF(Contratos!$D:$D,K382)&gt;0,"Fornecedor também tem contrato público",""),"")))</f>
        <v/>
      </c>
      <c r="M382" s="24"/>
      <c r="N382" s="11"/>
    </row>
    <row r="383" customFormat="false" ht="15" hidden="false" customHeight="false" outlineLevel="0" collapsed="false">
      <c r="A383" s="23"/>
      <c r="B383" s="31" t="str">
        <f aca="false">IF(A383="","",SUBSTITUTE(SUBSTITUTE(SUBSTITUTE(SUBSTITUTE(SUBSTITUTE(SUBSTITUTE(SUBSTITUTE(SUBSTITUTE(SUBSTITUTE(SUBSTITUTE(SUBSTITUTE(SUBSTITUTE(SUBSTITUTE(UPPER(TRIM(A383)),"Á","A"),"À","A"),"Â","A"),"Ã","A"),"É","E"),"Ê","E"),"Í","I"),"Ó","O"),"Ô","O"),"Õ","O"),"Ú","U"),"Ü","U"),"Ç","C"))</f>
        <v/>
      </c>
      <c r="C383" s="43"/>
      <c r="D383" s="23"/>
      <c r="E383" s="23"/>
      <c r="F383" s="11"/>
      <c r="G383" s="35"/>
      <c r="H383" s="23"/>
      <c r="I383" s="24"/>
      <c r="J383" s="31" t="str">
        <f aca="false">IF(I383="","",UPPER(SUBSTITUTE(SUBSTITUTE(SUBSTITUTE(SUBSTITUTE(SUBSTITUTE(TRIM(I383),".",""),"/",""),"-",""),"*","")," ","")))</f>
        <v/>
      </c>
      <c r="K383" s="31" t="str">
        <f aca="false">IF(OR(H383="",J383=""),"",IF(LEN(J383)&gt;=13,IF(LEN(J383)=13,"0"&amp;J383,J383),SUBSTITUTE(SUBSTITUTE(SUBSTITUTE(SUBSTITUTE(SUBSTITUTE(SUBSTITUTE(SUBSTITUTE(SUBSTITUTE(SUBSTITUTE(SUBSTITUTE(SUBSTITUTE(SUBSTITUTE(SUBSTITUTE(UPPER(TRIM(H383)),"Á","A"),"À","A"),"Â","A"),"Ã","A"),"É","E"),"Ê","E"),"Í","I"),"Ó","O"),"Ô","O"),"Õ","O"),"Ú","U"),"Ü","U"),"Ç","C")&amp;"|"&amp;IF(LEN(J383)=11,MID(J383,4,6),J383)))</f>
        <v/>
      </c>
      <c r="L383" s="25" t="str">
        <f aca="false">IF(K383="","",IF(E383="Doação recebida",TRIM(IF(COUNTIF(Socios!$H:$H,K383)&gt;0,"Doador é sócio de empresa da pauta. ","")&amp;IF(COUNTIF(Pessoas!$E:$E,K383)&gt;0,"Doador está em Pessoas.","")),IF(E383="Despesa com fornecedor",IF(COUNTIF(Contratos!$D:$D,K383)&gt;0,"Fornecedor também tem contrato público",""),"")))</f>
        <v/>
      </c>
      <c r="M383" s="24"/>
      <c r="N383" s="11"/>
    </row>
    <row r="384" customFormat="false" ht="15" hidden="false" customHeight="false" outlineLevel="0" collapsed="false">
      <c r="A384" s="23"/>
      <c r="B384" s="31" t="str">
        <f aca="false">IF(A384="","",SUBSTITUTE(SUBSTITUTE(SUBSTITUTE(SUBSTITUTE(SUBSTITUTE(SUBSTITUTE(SUBSTITUTE(SUBSTITUTE(SUBSTITUTE(SUBSTITUTE(SUBSTITUTE(SUBSTITUTE(SUBSTITUTE(UPPER(TRIM(A384)),"Á","A"),"À","A"),"Â","A"),"Ã","A"),"É","E"),"Ê","E"),"Í","I"),"Ó","O"),"Ô","O"),"Õ","O"),"Ú","U"),"Ü","U"),"Ç","C"))</f>
        <v/>
      </c>
      <c r="C384" s="43"/>
      <c r="D384" s="23"/>
      <c r="E384" s="23"/>
      <c r="F384" s="11"/>
      <c r="G384" s="35"/>
      <c r="H384" s="23"/>
      <c r="I384" s="24"/>
      <c r="J384" s="31" t="str">
        <f aca="false">IF(I384="","",UPPER(SUBSTITUTE(SUBSTITUTE(SUBSTITUTE(SUBSTITUTE(SUBSTITUTE(TRIM(I384),".",""),"/",""),"-",""),"*","")," ","")))</f>
        <v/>
      </c>
      <c r="K384" s="31" t="str">
        <f aca="false">IF(OR(H384="",J384=""),"",IF(LEN(J384)&gt;=13,IF(LEN(J384)=13,"0"&amp;J384,J384),SUBSTITUTE(SUBSTITUTE(SUBSTITUTE(SUBSTITUTE(SUBSTITUTE(SUBSTITUTE(SUBSTITUTE(SUBSTITUTE(SUBSTITUTE(SUBSTITUTE(SUBSTITUTE(SUBSTITUTE(SUBSTITUTE(UPPER(TRIM(H384)),"Á","A"),"À","A"),"Â","A"),"Ã","A"),"É","E"),"Ê","E"),"Í","I"),"Ó","O"),"Ô","O"),"Õ","O"),"Ú","U"),"Ü","U"),"Ç","C")&amp;"|"&amp;IF(LEN(J384)=11,MID(J384,4,6),J384)))</f>
        <v/>
      </c>
      <c r="L384" s="25" t="str">
        <f aca="false">IF(K384="","",IF(E384="Doação recebida",TRIM(IF(COUNTIF(Socios!$H:$H,K384)&gt;0,"Doador é sócio de empresa da pauta. ","")&amp;IF(COUNTIF(Pessoas!$E:$E,K384)&gt;0,"Doador está em Pessoas.","")),IF(E384="Despesa com fornecedor",IF(COUNTIF(Contratos!$D:$D,K384)&gt;0,"Fornecedor também tem contrato público",""),"")))</f>
        <v/>
      </c>
      <c r="M384" s="24"/>
      <c r="N384" s="11"/>
    </row>
    <row r="385" customFormat="false" ht="15" hidden="false" customHeight="false" outlineLevel="0" collapsed="false">
      <c r="A385" s="23"/>
      <c r="B385" s="31" t="str">
        <f aca="false">IF(A385="","",SUBSTITUTE(SUBSTITUTE(SUBSTITUTE(SUBSTITUTE(SUBSTITUTE(SUBSTITUTE(SUBSTITUTE(SUBSTITUTE(SUBSTITUTE(SUBSTITUTE(SUBSTITUTE(SUBSTITUTE(SUBSTITUTE(UPPER(TRIM(A385)),"Á","A"),"À","A"),"Â","A"),"Ã","A"),"É","E"),"Ê","E"),"Í","I"),"Ó","O"),"Ô","O"),"Õ","O"),"Ú","U"),"Ü","U"),"Ç","C"))</f>
        <v/>
      </c>
      <c r="C385" s="43"/>
      <c r="D385" s="23"/>
      <c r="E385" s="23"/>
      <c r="F385" s="11"/>
      <c r="G385" s="35"/>
      <c r="H385" s="23"/>
      <c r="I385" s="24"/>
      <c r="J385" s="31" t="str">
        <f aca="false">IF(I385="","",UPPER(SUBSTITUTE(SUBSTITUTE(SUBSTITUTE(SUBSTITUTE(SUBSTITUTE(TRIM(I385),".",""),"/",""),"-",""),"*","")," ","")))</f>
        <v/>
      </c>
      <c r="K385" s="31" t="str">
        <f aca="false">IF(OR(H385="",J385=""),"",IF(LEN(J385)&gt;=13,IF(LEN(J385)=13,"0"&amp;J385,J385),SUBSTITUTE(SUBSTITUTE(SUBSTITUTE(SUBSTITUTE(SUBSTITUTE(SUBSTITUTE(SUBSTITUTE(SUBSTITUTE(SUBSTITUTE(SUBSTITUTE(SUBSTITUTE(SUBSTITUTE(SUBSTITUTE(UPPER(TRIM(H385)),"Á","A"),"À","A"),"Â","A"),"Ã","A"),"É","E"),"Ê","E"),"Í","I"),"Ó","O"),"Ô","O"),"Õ","O"),"Ú","U"),"Ü","U"),"Ç","C")&amp;"|"&amp;IF(LEN(J385)=11,MID(J385,4,6),J385)))</f>
        <v/>
      </c>
      <c r="L385" s="25" t="str">
        <f aca="false">IF(K385="","",IF(E385="Doação recebida",TRIM(IF(COUNTIF(Socios!$H:$H,K385)&gt;0,"Doador é sócio de empresa da pauta. ","")&amp;IF(COUNTIF(Pessoas!$E:$E,K385)&gt;0,"Doador está em Pessoas.","")),IF(E385="Despesa com fornecedor",IF(COUNTIF(Contratos!$D:$D,K385)&gt;0,"Fornecedor também tem contrato público",""),"")))</f>
        <v/>
      </c>
      <c r="M385" s="24"/>
      <c r="N385" s="11"/>
    </row>
    <row r="386" customFormat="false" ht="15" hidden="false" customHeight="false" outlineLevel="0" collapsed="false">
      <c r="A386" s="23"/>
      <c r="B386" s="31" t="str">
        <f aca="false">IF(A386="","",SUBSTITUTE(SUBSTITUTE(SUBSTITUTE(SUBSTITUTE(SUBSTITUTE(SUBSTITUTE(SUBSTITUTE(SUBSTITUTE(SUBSTITUTE(SUBSTITUTE(SUBSTITUTE(SUBSTITUTE(SUBSTITUTE(UPPER(TRIM(A386)),"Á","A"),"À","A"),"Â","A"),"Ã","A"),"É","E"),"Ê","E"),"Í","I"),"Ó","O"),"Ô","O"),"Õ","O"),"Ú","U"),"Ü","U"),"Ç","C"))</f>
        <v/>
      </c>
      <c r="C386" s="43"/>
      <c r="D386" s="23"/>
      <c r="E386" s="23"/>
      <c r="F386" s="11"/>
      <c r="G386" s="35"/>
      <c r="H386" s="23"/>
      <c r="I386" s="24"/>
      <c r="J386" s="31" t="str">
        <f aca="false">IF(I386="","",UPPER(SUBSTITUTE(SUBSTITUTE(SUBSTITUTE(SUBSTITUTE(SUBSTITUTE(TRIM(I386),".",""),"/",""),"-",""),"*","")," ","")))</f>
        <v/>
      </c>
      <c r="K386" s="31" t="str">
        <f aca="false">IF(OR(H386="",J386=""),"",IF(LEN(J386)&gt;=13,IF(LEN(J386)=13,"0"&amp;J386,J386),SUBSTITUTE(SUBSTITUTE(SUBSTITUTE(SUBSTITUTE(SUBSTITUTE(SUBSTITUTE(SUBSTITUTE(SUBSTITUTE(SUBSTITUTE(SUBSTITUTE(SUBSTITUTE(SUBSTITUTE(SUBSTITUTE(UPPER(TRIM(H386)),"Á","A"),"À","A"),"Â","A"),"Ã","A"),"É","E"),"Ê","E"),"Í","I"),"Ó","O"),"Ô","O"),"Õ","O"),"Ú","U"),"Ü","U"),"Ç","C")&amp;"|"&amp;IF(LEN(J386)=11,MID(J386,4,6),J386)))</f>
        <v/>
      </c>
      <c r="L386" s="25" t="str">
        <f aca="false">IF(K386="","",IF(E386="Doação recebida",TRIM(IF(COUNTIF(Socios!$H:$H,K386)&gt;0,"Doador é sócio de empresa da pauta. ","")&amp;IF(COUNTIF(Pessoas!$E:$E,K386)&gt;0,"Doador está em Pessoas.","")),IF(E386="Despesa com fornecedor",IF(COUNTIF(Contratos!$D:$D,K386)&gt;0,"Fornecedor também tem contrato público",""),"")))</f>
        <v/>
      </c>
      <c r="M386" s="24"/>
      <c r="N386" s="11"/>
    </row>
    <row r="387" customFormat="false" ht="15" hidden="false" customHeight="false" outlineLevel="0" collapsed="false">
      <c r="A387" s="23"/>
      <c r="B387" s="31" t="str">
        <f aca="false">IF(A387="","",SUBSTITUTE(SUBSTITUTE(SUBSTITUTE(SUBSTITUTE(SUBSTITUTE(SUBSTITUTE(SUBSTITUTE(SUBSTITUTE(SUBSTITUTE(SUBSTITUTE(SUBSTITUTE(SUBSTITUTE(SUBSTITUTE(UPPER(TRIM(A387)),"Á","A"),"À","A"),"Â","A"),"Ã","A"),"É","E"),"Ê","E"),"Í","I"),"Ó","O"),"Ô","O"),"Õ","O"),"Ú","U"),"Ü","U"),"Ç","C"))</f>
        <v/>
      </c>
      <c r="C387" s="43"/>
      <c r="D387" s="23"/>
      <c r="E387" s="23"/>
      <c r="F387" s="11"/>
      <c r="G387" s="35"/>
      <c r="H387" s="23"/>
      <c r="I387" s="24"/>
      <c r="J387" s="31" t="str">
        <f aca="false">IF(I387="","",UPPER(SUBSTITUTE(SUBSTITUTE(SUBSTITUTE(SUBSTITUTE(SUBSTITUTE(TRIM(I387),".",""),"/",""),"-",""),"*","")," ","")))</f>
        <v/>
      </c>
      <c r="K387" s="31" t="str">
        <f aca="false">IF(OR(H387="",J387=""),"",IF(LEN(J387)&gt;=13,IF(LEN(J387)=13,"0"&amp;J387,J387),SUBSTITUTE(SUBSTITUTE(SUBSTITUTE(SUBSTITUTE(SUBSTITUTE(SUBSTITUTE(SUBSTITUTE(SUBSTITUTE(SUBSTITUTE(SUBSTITUTE(SUBSTITUTE(SUBSTITUTE(SUBSTITUTE(UPPER(TRIM(H387)),"Á","A"),"À","A"),"Â","A"),"Ã","A"),"É","E"),"Ê","E"),"Í","I"),"Ó","O"),"Ô","O"),"Õ","O"),"Ú","U"),"Ü","U"),"Ç","C")&amp;"|"&amp;IF(LEN(J387)=11,MID(J387,4,6),J387)))</f>
        <v/>
      </c>
      <c r="L387" s="25" t="str">
        <f aca="false">IF(K387="","",IF(E387="Doação recebida",TRIM(IF(COUNTIF(Socios!$H:$H,K387)&gt;0,"Doador é sócio de empresa da pauta. ","")&amp;IF(COUNTIF(Pessoas!$E:$E,K387)&gt;0,"Doador está em Pessoas.","")),IF(E387="Despesa com fornecedor",IF(COUNTIF(Contratos!$D:$D,K387)&gt;0,"Fornecedor também tem contrato público",""),"")))</f>
        <v/>
      </c>
      <c r="M387" s="24"/>
      <c r="N387" s="11"/>
    </row>
    <row r="388" customFormat="false" ht="15" hidden="false" customHeight="false" outlineLevel="0" collapsed="false">
      <c r="A388" s="23"/>
      <c r="B388" s="31" t="str">
        <f aca="false">IF(A388="","",SUBSTITUTE(SUBSTITUTE(SUBSTITUTE(SUBSTITUTE(SUBSTITUTE(SUBSTITUTE(SUBSTITUTE(SUBSTITUTE(SUBSTITUTE(SUBSTITUTE(SUBSTITUTE(SUBSTITUTE(SUBSTITUTE(UPPER(TRIM(A388)),"Á","A"),"À","A"),"Â","A"),"Ã","A"),"É","E"),"Ê","E"),"Í","I"),"Ó","O"),"Ô","O"),"Õ","O"),"Ú","U"),"Ü","U"),"Ç","C"))</f>
        <v/>
      </c>
      <c r="C388" s="43"/>
      <c r="D388" s="23"/>
      <c r="E388" s="23"/>
      <c r="F388" s="11"/>
      <c r="G388" s="35"/>
      <c r="H388" s="23"/>
      <c r="I388" s="24"/>
      <c r="J388" s="31" t="str">
        <f aca="false">IF(I388="","",UPPER(SUBSTITUTE(SUBSTITUTE(SUBSTITUTE(SUBSTITUTE(SUBSTITUTE(TRIM(I388),".",""),"/",""),"-",""),"*","")," ","")))</f>
        <v/>
      </c>
      <c r="K388" s="31" t="str">
        <f aca="false">IF(OR(H388="",J388=""),"",IF(LEN(J388)&gt;=13,IF(LEN(J388)=13,"0"&amp;J388,J388),SUBSTITUTE(SUBSTITUTE(SUBSTITUTE(SUBSTITUTE(SUBSTITUTE(SUBSTITUTE(SUBSTITUTE(SUBSTITUTE(SUBSTITUTE(SUBSTITUTE(SUBSTITUTE(SUBSTITUTE(SUBSTITUTE(UPPER(TRIM(H388)),"Á","A"),"À","A"),"Â","A"),"Ã","A"),"É","E"),"Ê","E"),"Í","I"),"Ó","O"),"Ô","O"),"Õ","O"),"Ú","U"),"Ü","U"),"Ç","C")&amp;"|"&amp;IF(LEN(J388)=11,MID(J388,4,6),J388)))</f>
        <v/>
      </c>
      <c r="L388" s="25" t="str">
        <f aca="false">IF(K388="","",IF(E388="Doação recebida",TRIM(IF(COUNTIF(Socios!$H:$H,K388)&gt;0,"Doador é sócio de empresa da pauta. ","")&amp;IF(COUNTIF(Pessoas!$E:$E,K388)&gt;0,"Doador está em Pessoas.","")),IF(E388="Despesa com fornecedor",IF(COUNTIF(Contratos!$D:$D,K388)&gt;0,"Fornecedor também tem contrato público",""),"")))</f>
        <v/>
      </c>
      <c r="M388" s="24"/>
      <c r="N388" s="11"/>
    </row>
    <row r="389" customFormat="false" ht="15" hidden="false" customHeight="false" outlineLevel="0" collapsed="false">
      <c r="A389" s="23"/>
      <c r="B389" s="31" t="str">
        <f aca="false">IF(A389="","",SUBSTITUTE(SUBSTITUTE(SUBSTITUTE(SUBSTITUTE(SUBSTITUTE(SUBSTITUTE(SUBSTITUTE(SUBSTITUTE(SUBSTITUTE(SUBSTITUTE(SUBSTITUTE(SUBSTITUTE(SUBSTITUTE(UPPER(TRIM(A389)),"Á","A"),"À","A"),"Â","A"),"Ã","A"),"É","E"),"Ê","E"),"Í","I"),"Ó","O"),"Ô","O"),"Õ","O"),"Ú","U"),"Ü","U"),"Ç","C"))</f>
        <v/>
      </c>
      <c r="C389" s="43"/>
      <c r="D389" s="23"/>
      <c r="E389" s="23"/>
      <c r="F389" s="11"/>
      <c r="G389" s="35"/>
      <c r="H389" s="23"/>
      <c r="I389" s="24"/>
      <c r="J389" s="31" t="str">
        <f aca="false">IF(I389="","",UPPER(SUBSTITUTE(SUBSTITUTE(SUBSTITUTE(SUBSTITUTE(SUBSTITUTE(TRIM(I389),".",""),"/",""),"-",""),"*","")," ","")))</f>
        <v/>
      </c>
      <c r="K389" s="31" t="str">
        <f aca="false">IF(OR(H389="",J389=""),"",IF(LEN(J389)&gt;=13,IF(LEN(J389)=13,"0"&amp;J389,J389),SUBSTITUTE(SUBSTITUTE(SUBSTITUTE(SUBSTITUTE(SUBSTITUTE(SUBSTITUTE(SUBSTITUTE(SUBSTITUTE(SUBSTITUTE(SUBSTITUTE(SUBSTITUTE(SUBSTITUTE(SUBSTITUTE(UPPER(TRIM(H389)),"Á","A"),"À","A"),"Â","A"),"Ã","A"),"É","E"),"Ê","E"),"Í","I"),"Ó","O"),"Ô","O"),"Õ","O"),"Ú","U"),"Ü","U"),"Ç","C")&amp;"|"&amp;IF(LEN(J389)=11,MID(J389,4,6),J389)))</f>
        <v/>
      </c>
      <c r="L389" s="25" t="str">
        <f aca="false">IF(K389="","",IF(E389="Doação recebida",TRIM(IF(COUNTIF(Socios!$H:$H,K389)&gt;0,"Doador é sócio de empresa da pauta. ","")&amp;IF(COUNTIF(Pessoas!$E:$E,K389)&gt;0,"Doador está em Pessoas.","")),IF(E389="Despesa com fornecedor",IF(COUNTIF(Contratos!$D:$D,K389)&gt;0,"Fornecedor também tem contrato público",""),"")))</f>
        <v/>
      </c>
      <c r="M389" s="24"/>
      <c r="N389" s="11"/>
    </row>
    <row r="390" customFormat="false" ht="15" hidden="false" customHeight="false" outlineLevel="0" collapsed="false">
      <c r="A390" s="23"/>
      <c r="B390" s="31" t="str">
        <f aca="false">IF(A390="","",SUBSTITUTE(SUBSTITUTE(SUBSTITUTE(SUBSTITUTE(SUBSTITUTE(SUBSTITUTE(SUBSTITUTE(SUBSTITUTE(SUBSTITUTE(SUBSTITUTE(SUBSTITUTE(SUBSTITUTE(SUBSTITUTE(UPPER(TRIM(A390)),"Á","A"),"À","A"),"Â","A"),"Ã","A"),"É","E"),"Ê","E"),"Í","I"),"Ó","O"),"Ô","O"),"Õ","O"),"Ú","U"),"Ü","U"),"Ç","C"))</f>
        <v/>
      </c>
      <c r="C390" s="43"/>
      <c r="D390" s="23"/>
      <c r="E390" s="23"/>
      <c r="F390" s="11"/>
      <c r="G390" s="35"/>
      <c r="H390" s="23"/>
      <c r="I390" s="24"/>
      <c r="J390" s="31" t="str">
        <f aca="false">IF(I390="","",UPPER(SUBSTITUTE(SUBSTITUTE(SUBSTITUTE(SUBSTITUTE(SUBSTITUTE(TRIM(I390),".",""),"/",""),"-",""),"*","")," ","")))</f>
        <v/>
      </c>
      <c r="K390" s="31" t="str">
        <f aca="false">IF(OR(H390="",J390=""),"",IF(LEN(J390)&gt;=13,IF(LEN(J390)=13,"0"&amp;J390,J390),SUBSTITUTE(SUBSTITUTE(SUBSTITUTE(SUBSTITUTE(SUBSTITUTE(SUBSTITUTE(SUBSTITUTE(SUBSTITUTE(SUBSTITUTE(SUBSTITUTE(SUBSTITUTE(SUBSTITUTE(SUBSTITUTE(UPPER(TRIM(H390)),"Á","A"),"À","A"),"Â","A"),"Ã","A"),"É","E"),"Ê","E"),"Í","I"),"Ó","O"),"Ô","O"),"Õ","O"),"Ú","U"),"Ü","U"),"Ç","C")&amp;"|"&amp;IF(LEN(J390)=11,MID(J390,4,6),J390)))</f>
        <v/>
      </c>
      <c r="L390" s="25" t="str">
        <f aca="false">IF(K390="","",IF(E390="Doação recebida",TRIM(IF(COUNTIF(Socios!$H:$H,K390)&gt;0,"Doador é sócio de empresa da pauta. ","")&amp;IF(COUNTIF(Pessoas!$E:$E,K390)&gt;0,"Doador está em Pessoas.","")),IF(E390="Despesa com fornecedor",IF(COUNTIF(Contratos!$D:$D,K390)&gt;0,"Fornecedor também tem contrato público",""),"")))</f>
        <v/>
      </c>
      <c r="M390" s="24"/>
      <c r="N390" s="11"/>
    </row>
    <row r="391" customFormat="false" ht="15" hidden="false" customHeight="false" outlineLevel="0" collapsed="false">
      <c r="A391" s="23"/>
      <c r="B391" s="31" t="str">
        <f aca="false">IF(A391="","",SUBSTITUTE(SUBSTITUTE(SUBSTITUTE(SUBSTITUTE(SUBSTITUTE(SUBSTITUTE(SUBSTITUTE(SUBSTITUTE(SUBSTITUTE(SUBSTITUTE(SUBSTITUTE(SUBSTITUTE(SUBSTITUTE(UPPER(TRIM(A391)),"Á","A"),"À","A"),"Â","A"),"Ã","A"),"É","E"),"Ê","E"),"Í","I"),"Ó","O"),"Ô","O"),"Õ","O"),"Ú","U"),"Ü","U"),"Ç","C"))</f>
        <v/>
      </c>
      <c r="C391" s="43"/>
      <c r="D391" s="23"/>
      <c r="E391" s="23"/>
      <c r="F391" s="11"/>
      <c r="G391" s="35"/>
      <c r="H391" s="23"/>
      <c r="I391" s="24"/>
      <c r="J391" s="31" t="str">
        <f aca="false">IF(I391="","",UPPER(SUBSTITUTE(SUBSTITUTE(SUBSTITUTE(SUBSTITUTE(SUBSTITUTE(TRIM(I391),".",""),"/",""),"-",""),"*","")," ","")))</f>
        <v/>
      </c>
      <c r="K391" s="31" t="str">
        <f aca="false">IF(OR(H391="",J391=""),"",IF(LEN(J391)&gt;=13,IF(LEN(J391)=13,"0"&amp;J391,J391),SUBSTITUTE(SUBSTITUTE(SUBSTITUTE(SUBSTITUTE(SUBSTITUTE(SUBSTITUTE(SUBSTITUTE(SUBSTITUTE(SUBSTITUTE(SUBSTITUTE(SUBSTITUTE(SUBSTITUTE(SUBSTITUTE(UPPER(TRIM(H391)),"Á","A"),"À","A"),"Â","A"),"Ã","A"),"É","E"),"Ê","E"),"Í","I"),"Ó","O"),"Ô","O"),"Õ","O"),"Ú","U"),"Ü","U"),"Ç","C")&amp;"|"&amp;IF(LEN(J391)=11,MID(J391,4,6),J391)))</f>
        <v/>
      </c>
      <c r="L391" s="25" t="str">
        <f aca="false">IF(K391="","",IF(E391="Doação recebida",TRIM(IF(COUNTIF(Socios!$H:$H,K391)&gt;0,"Doador é sócio de empresa da pauta. ","")&amp;IF(COUNTIF(Pessoas!$E:$E,K391)&gt;0,"Doador está em Pessoas.","")),IF(E391="Despesa com fornecedor",IF(COUNTIF(Contratos!$D:$D,K391)&gt;0,"Fornecedor também tem contrato público",""),"")))</f>
        <v/>
      </c>
      <c r="M391" s="24"/>
      <c r="N391" s="11"/>
    </row>
    <row r="392" customFormat="false" ht="15" hidden="false" customHeight="false" outlineLevel="0" collapsed="false">
      <c r="A392" s="23"/>
      <c r="B392" s="31" t="str">
        <f aca="false">IF(A392="","",SUBSTITUTE(SUBSTITUTE(SUBSTITUTE(SUBSTITUTE(SUBSTITUTE(SUBSTITUTE(SUBSTITUTE(SUBSTITUTE(SUBSTITUTE(SUBSTITUTE(SUBSTITUTE(SUBSTITUTE(SUBSTITUTE(UPPER(TRIM(A392)),"Á","A"),"À","A"),"Â","A"),"Ã","A"),"É","E"),"Ê","E"),"Í","I"),"Ó","O"),"Ô","O"),"Õ","O"),"Ú","U"),"Ü","U"),"Ç","C"))</f>
        <v/>
      </c>
      <c r="C392" s="43"/>
      <c r="D392" s="23"/>
      <c r="E392" s="23"/>
      <c r="F392" s="11"/>
      <c r="G392" s="35"/>
      <c r="H392" s="23"/>
      <c r="I392" s="24"/>
      <c r="J392" s="31" t="str">
        <f aca="false">IF(I392="","",UPPER(SUBSTITUTE(SUBSTITUTE(SUBSTITUTE(SUBSTITUTE(SUBSTITUTE(TRIM(I392),".",""),"/",""),"-",""),"*","")," ","")))</f>
        <v/>
      </c>
      <c r="K392" s="31" t="str">
        <f aca="false">IF(OR(H392="",J392=""),"",IF(LEN(J392)&gt;=13,IF(LEN(J392)=13,"0"&amp;J392,J392),SUBSTITUTE(SUBSTITUTE(SUBSTITUTE(SUBSTITUTE(SUBSTITUTE(SUBSTITUTE(SUBSTITUTE(SUBSTITUTE(SUBSTITUTE(SUBSTITUTE(SUBSTITUTE(SUBSTITUTE(SUBSTITUTE(UPPER(TRIM(H392)),"Á","A"),"À","A"),"Â","A"),"Ã","A"),"É","E"),"Ê","E"),"Í","I"),"Ó","O"),"Ô","O"),"Õ","O"),"Ú","U"),"Ü","U"),"Ç","C")&amp;"|"&amp;IF(LEN(J392)=11,MID(J392,4,6),J392)))</f>
        <v/>
      </c>
      <c r="L392" s="25" t="str">
        <f aca="false">IF(K392="","",IF(E392="Doação recebida",TRIM(IF(COUNTIF(Socios!$H:$H,K392)&gt;0,"Doador é sócio de empresa da pauta. ","")&amp;IF(COUNTIF(Pessoas!$E:$E,K392)&gt;0,"Doador está em Pessoas.","")),IF(E392="Despesa com fornecedor",IF(COUNTIF(Contratos!$D:$D,K392)&gt;0,"Fornecedor também tem contrato público",""),"")))</f>
        <v/>
      </c>
      <c r="M392" s="24"/>
      <c r="N392" s="11"/>
    </row>
    <row r="393" customFormat="false" ht="15" hidden="false" customHeight="false" outlineLevel="0" collapsed="false">
      <c r="A393" s="23"/>
      <c r="B393" s="31" t="str">
        <f aca="false">IF(A393="","",SUBSTITUTE(SUBSTITUTE(SUBSTITUTE(SUBSTITUTE(SUBSTITUTE(SUBSTITUTE(SUBSTITUTE(SUBSTITUTE(SUBSTITUTE(SUBSTITUTE(SUBSTITUTE(SUBSTITUTE(SUBSTITUTE(UPPER(TRIM(A393)),"Á","A"),"À","A"),"Â","A"),"Ã","A"),"É","E"),"Ê","E"),"Í","I"),"Ó","O"),"Ô","O"),"Õ","O"),"Ú","U"),"Ü","U"),"Ç","C"))</f>
        <v/>
      </c>
      <c r="C393" s="43"/>
      <c r="D393" s="23"/>
      <c r="E393" s="23"/>
      <c r="F393" s="11"/>
      <c r="G393" s="35"/>
      <c r="H393" s="23"/>
      <c r="I393" s="24"/>
      <c r="J393" s="31" t="str">
        <f aca="false">IF(I393="","",UPPER(SUBSTITUTE(SUBSTITUTE(SUBSTITUTE(SUBSTITUTE(SUBSTITUTE(TRIM(I393),".",""),"/",""),"-",""),"*","")," ","")))</f>
        <v/>
      </c>
      <c r="K393" s="31" t="str">
        <f aca="false">IF(OR(H393="",J393=""),"",IF(LEN(J393)&gt;=13,IF(LEN(J393)=13,"0"&amp;J393,J393),SUBSTITUTE(SUBSTITUTE(SUBSTITUTE(SUBSTITUTE(SUBSTITUTE(SUBSTITUTE(SUBSTITUTE(SUBSTITUTE(SUBSTITUTE(SUBSTITUTE(SUBSTITUTE(SUBSTITUTE(SUBSTITUTE(UPPER(TRIM(H393)),"Á","A"),"À","A"),"Â","A"),"Ã","A"),"É","E"),"Ê","E"),"Í","I"),"Ó","O"),"Ô","O"),"Õ","O"),"Ú","U"),"Ü","U"),"Ç","C")&amp;"|"&amp;IF(LEN(J393)=11,MID(J393,4,6),J393)))</f>
        <v/>
      </c>
      <c r="L393" s="25" t="str">
        <f aca="false">IF(K393="","",IF(E393="Doação recebida",TRIM(IF(COUNTIF(Socios!$H:$H,K393)&gt;0,"Doador é sócio de empresa da pauta. ","")&amp;IF(COUNTIF(Pessoas!$E:$E,K393)&gt;0,"Doador está em Pessoas.","")),IF(E393="Despesa com fornecedor",IF(COUNTIF(Contratos!$D:$D,K393)&gt;0,"Fornecedor também tem contrato público",""),"")))</f>
        <v/>
      </c>
      <c r="M393" s="24"/>
      <c r="N393" s="11"/>
    </row>
    <row r="394" customFormat="false" ht="15" hidden="false" customHeight="false" outlineLevel="0" collapsed="false">
      <c r="A394" s="23"/>
      <c r="B394" s="31" t="str">
        <f aca="false">IF(A394="","",SUBSTITUTE(SUBSTITUTE(SUBSTITUTE(SUBSTITUTE(SUBSTITUTE(SUBSTITUTE(SUBSTITUTE(SUBSTITUTE(SUBSTITUTE(SUBSTITUTE(SUBSTITUTE(SUBSTITUTE(SUBSTITUTE(UPPER(TRIM(A394)),"Á","A"),"À","A"),"Â","A"),"Ã","A"),"É","E"),"Ê","E"),"Í","I"),"Ó","O"),"Ô","O"),"Õ","O"),"Ú","U"),"Ü","U"),"Ç","C"))</f>
        <v/>
      </c>
      <c r="C394" s="43"/>
      <c r="D394" s="23"/>
      <c r="E394" s="23"/>
      <c r="F394" s="11"/>
      <c r="G394" s="35"/>
      <c r="H394" s="23"/>
      <c r="I394" s="24"/>
      <c r="J394" s="31" t="str">
        <f aca="false">IF(I394="","",UPPER(SUBSTITUTE(SUBSTITUTE(SUBSTITUTE(SUBSTITUTE(SUBSTITUTE(TRIM(I394),".",""),"/",""),"-",""),"*","")," ","")))</f>
        <v/>
      </c>
      <c r="K394" s="31" t="str">
        <f aca="false">IF(OR(H394="",J394=""),"",IF(LEN(J394)&gt;=13,IF(LEN(J394)=13,"0"&amp;J394,J394),SUBSTITUTE(SUBSTITUTE(SUBSTITUTE(SUBSTITUTE(SUBSTITUTE(SUBSTITUTE(SUBSTITUTE(SUBSTITUTE(SUBSTITUTE(SUBSTITUTE(SUBSTITUTE(SUBSTITUTE(SUBSTITUTE(UPPER(TRIM(H394)),"Á","A"),"À","A"),"Â","A"),"Ã","A"),"É","E"),"Ê","E"),"Í","I"),"Ó","O"),"Ô","O"),"Õ","O"),"Ú","U"),"Ü","U"),"Ç","C")&amp;"|"&amp;IF(LEN(J394)=11,MID(J394,4,6),J394)))</f>
        <v/>
      </c>
      <c r="L394" s="25" t="str">
        <f aca="false">IF(K394="","",IF(E394="Doação recebida",TRIM(IF(COUNTIF(Socios!$H:$H,K394)&gt;0,"Doador é sócio de empresa da pauta. ","")&amp;IF(COUNTIF(Pessoas!$E:$E,K394)&gt;0,"Doador está em Pessoas.","")),IF(E394="Despesa com fornecedor",IF(COUNTIF(Contratos!$D:$D,K394)&gt;0,"Fornecedor também tem contrato público",""),"")))</f>
        <v/>
      </c>
      <c r="M394" s="24"/>
      <c r="N394" s="11"/>
    </row>
    <row r="395" customFormat="false" ht="15" hidden="false" customHeight="false" outlineLevel="0" collapsed="false">
      <c r="A395" s="23"/>
      <c r="B395" s="31" t="str">
        <f aca="false">IF(A395="","",SUBSTITUTE(SUBSTITUTE(SUBSTITUTE(SUBSTITUTE(SUBSTITUTE(SUBSTITUTE(SUBSTITUTE(SUBSTITUTE(SUBSTITUTE(SUBSTITUTE(SUBSTITUTE(SUBSTITUTE(SUBSTITUTE(UPPER(TRIM(A395)),"Á","A"),"À","A"),"Â","A"),"Ã","A"),"É","E"),"Ê","E"),"Í","I"),"Ó","O"),"Ô","O"),"Õ","O"),"Ú","U"),"Ü","U"),"Ç","C"))</f>
        <v/>
      </c>
      <c r="C395" s="43"/>
      <c r="D395" s="23"/>
      <c r="E395" s="23"/>
      <c r="F395" s="11"/>
      <c r="G395" s="35"/>
      <c r="H395" s="23"/>
      <c r="I395" s="24"/>
      <c r="J395" s="31" t="str">
        <f aca="false">IF(I395="","",UPPER(SUBSTITUTE(SUBSTITUTE(SUBSTITUTE(SUBSTITUTE(SUBSTITUTE(TRIM(I395),".",""),"/",""),"-",""),"*","")," ","")))</f>
        <v/>
      </c>
      <c r="K395" s="31" t="str">
        <f aca="false">IF(OR(H395="",J395=""),"",IF(LEN(J395)&gt;=13,IF(LEN(J395)=13,"0"&amp;J395,J395),SUBSTITUTE(SUBSTITUTE(SUBSTITUTE(SUBSTITUTE(SUBSTITUTE(SUBSTITUTE(SUBSTITUTE(SUBSTITUTE(SUBSTITUTE(SUBSTITUTE(SUBSTITUTE(SUBSTITUTE(SUBSTITUTE(UPPER(TRIM(H395)),"Á","A"),"À","A"),"Â","A"),"Ã","A"),"É","E"),"Ê","E"),"Í","I"),"Ó","O"),"Ô","O"),"Õ","O"),"Ú","U"),"Ü","U"),"Ç","C")&amp;"|"&amp;IF(LEN(J395)=11,MID(J395,4,6),J395)))</f>
        <v/>
      </c>
      <c r="L395" s="25" t="str">
        <f aca="false">IF(K395="","",IF(E395="Doação recebida",TRIM(IF(COUNTIF(Socios!$H:$H,K395)&gt;0,"Doador é sócio de empresa da pauta. ","")&amp;IF(COUNTIF(Pessoas!$E:$E,K395)&gt;0,"Doador está em Pessoas.","")),IF(E395="Despesa com fornecedor",IF(COUNTIF(Contratos!$D:$D,K395)&gt;0,"Fornecedor também tem contrato público",""),"")))</f>
        <v/>
      </c>
      <c r="M395" s="24"/>
      <c r="N395" s="11"/>
    </row>
    <row r="396" customFormat="false" ht="15" hidden="false" customHeight="false" outlineLevel="0" collapsed="false">
      <c r="A396" s="23"/>
      <c r="B396" s="31" t="str">
        <f aca="false">IF(A396="","",SUBSTITUTE(SUBSTITUTE(SUBSTITUTE(SUBSTITUTE(SUBSTITUTE(SUBSTITUTE(SUBSTITUTE(SUBSTITUTE(SUBSTITUTE(SUBSTITUTE(SUBSTITUTE(SUBSTITUTE(SUBSTITUTE(UPPER(TRIM(A396)),"Á","A"),"À","A"),"Â","A"),"Ã","A"),"É","E"),"Ê","E"),"Í","I"),"Ó","O"),"Ô","O"),"Õ","O"),"Ú","U"),"Ü","U"),"Ç","C"))</f>
        <v/>
      </c>
      <c r="C396" s="43"/>
      <c r="D396" s="23"/>
      <c r="E396" s="23"/>
      <c r="F396" s="11"/>
      <c r="G396" s="35"/>
      <c r="H396" s="23"/>
      <c r="I396" s="24"/>
      <c r="J396" s="31" t="str">
        <f aca="false">IF(I396="","",UPPER(SUBSTITUTE(SUBSTITUTE(SUBSTITUTE(SUBSTITUTE(SUBSTITUTE(TRIM(I396),".",""),"/",""),"-",""),"*","")," ","")))</f>
        <v/>
      </c>
      <c r="K396" s="31" t="str">
        <f aca="false">IF(OR(H396="",J396=""),"",IF(LEN(J396)&gt;=13,IF(LEN(J396)=13,"0"&amp;J396,J396),SUBSTITUTE(SUBSTITUTE(SUBSTITUTE(SUBSTITUTE(SUBSTITUTE(SUBSTITUTE(SUBSTITUTE(SUBSTITUTE(SUBSTITUTE(SUBSTITUTE(SUBSTITUTE(SUBSTITUTE(SUBSTITUTE(UPPER(TRIM(H396)),"Á","A"),"À","A"),"Â","A"),"Ã","A"),"É","E"),"Ê","E"),"Í","I"),"Ó","O"),"Ô","O"),"Õ","O"),"Ú","U"),"Ü","U"),"Ç","C")&amp;"|"&amp;IF(LEN(J396)=11,MID(J396,4,6),J396)))</f>
        <v/>
      </c>
      <c r="L396" s="25" t="str">
        <f aca="false">IF(K396="","",IF(E396="Doação recebida",TRIM(IF(COUNTIF(Socios!$H:$H,K396)&gt;0,"Doador é sócio de empresa da pauta. ","")&amp;IF(COUNTIF(Pessoas!$E:$E,K396)&gt;0,"Doador está em Pessoas.","")),IF(E396="Despesa com fornecedor",IF(COUNTIF(Contratos!$D:$D,K396)&gt;0,"Fornecedor também tem contrato público",""),"")))</f>
        <v/>
      </c>
      <c r="M396" s="24"/>
      <c r="N396" s="11"/>
    </row>
    <row r="397" customFormat="false" ht="15" hidden="false" customHeight="false" outlineLevel="0" collapsed="false">
      <c r="A397" s="23"/>
      <c r="B397" s="31" t="str">
        <f aca="false">IF(A397="","",SUBSTITUTE(SUBSTITUTE(SUBSTITUTE(SUBSTITUTE(SUBSTITUTE(SUBSTITUTE(SUBSTITUTE(SUBSTITUTE(SUBSTITUTE(SUBSTITUTE(SUBSTITUTE(SUBSTITUTE(SUBSTITUTE(UPPER(TRIM(A397)),"Á","A"),"À","A"),"Â","A"),"Ã","A"),"É","E"),"Ê","E"),"Í","I"),"Ó","O"),"Ô","O"),"Õ","O"),"Ú","U"),"Ü","U"),"Ç","C"))</f>
        <v/>
      </c>
      <c r="C397" s="43"/>
      <c r="D397" s="23"/>
      <c r="E397" s="23"/>
      <c r="F397" s="11"/>
      <c r="G397" s="35"/>
      <c r="H397" s="23"/>
      <c r="I397" s="24"/>
      <c r="J397" s="31" t="str">
        <f aca="false">IF(I397="","",UPPER(SUBSTITUTE(SUBSTITUTE(SUBSTITUTE(SUBSTITUTE(SUBSTITUTE(TRIM(I397),".",""),"/",""),"-",""),"*","")," ","")))</f>
        <v/>
      </c>
      <c r="K397" s="31" t="str">
        <f aca="false">IF(OR(H397="",J397=""),"",IF(LEN(J397)&gt;=13,IF(LEN(J397)=13,"0"&amp;J397,J397),SUBSTITUTE(SUBSTITUTE(SUBSTITUTE(SUBSTITUTE(SUBSTITUTE(SUBSTITUTE(SUBSTITUTE(SUBSTITUTE(SUBSTITUTE(SUBSTITUTE(SUBSTITUTE(SUBSTITUTE(SUBSTITUTE(UPPER(TRIM(H397)),"Á","A"),"À","A"),"Â","A"),"Ã","A"),"É","E"),"Ê","E"),"Í","I"),"Ó","O"),"Ô","O"),"Õ","O"),"Ú","U"),"Ü","U"),"Ç","C")&amp;"|"&amp;IF(LEN(J397)=11,MID(J397,4,6),J397)))</f>
        <v/>
      </c>
      <c r="L397" s="25" t="str">
        <f aca="false">IF(K397="","",IF(E397="Doação recebida",TRIM(IF(COUNTIF(Socios!$H:$H,K397)&gt;0,"Doador é sócio de empresa da pauta. ","")&amp;IF(COUNTIF(Pessoas!$E:$E,K397)&gt;0,"Doador está em Pessoas.","")),IF(E397="Despesa com fornecedor",IF(COUNTIF(Contratos!$D:$D,K397)&gt;0,"Fornecedor também tem contrato público",""),"")))</f>
        <v/>
      </c>
      <c r="M397" s="24"/>
      <c r="N397" s="11"/>
    </row>
    <row r="398" customFormat="false" ht="15" hidden="false" customHeight="false" outlineLevel="0" collapsed="false">
      <c r="A398" s="23"/>
      <c r="B398" s="31" t="str">
        <f aca="false">IF(A398="","",SUBSTITUTE(SUBSTITUTE(SUBSTITUTE(SUBSTITUTE(SUBSTITUTE(SUBSTITUTE(SUBSTITUTE(SUBSTITUTE(SUBSTITUTE(SUBSTITUTE(SUBSTITUTE(SUBSTITUTE(SUBSTITUTE(UPPER(TRIM(A398)),"Á","A"),"À","A"),"Â","A"),"Ã","A"),"É","E"),"Ê","E"),"Í","I"),"Ó","O"),"Ô","O"),"Õ","O"),"Ú","U"),"Ü","U"),"Ç","C"))</f>
        <v/>
      </c>
      <c r="C398" s="43"/>
      <c r="D398" s="23"/>
      <c r="E398" s="23"/>
      <c r="F398" s="11"/>
      <c r="G398" s="35"/>
      <c r="H398" s="23"/>
      <c r="I398" s="24"/>
      <c r="J398" s="31" t="str">
        <f aca="false">IF(I398="","",UPPER(SUBSTITUTE(SUBSTITUTE(SUBSTITUTE(SUBSTITUTE(SUBSTITUTE(TRIM(I398),".",""),"/",""),"-",""),"*","")," ","")))</f>
        <v/>
      </c>
      <c r="K398" s="31" t="str">
        <f aca="false">IF(OR(H398="",J398=""),"",IF(LEN(J398)&gt;=13,IF(LEN(J398)=13,"0"&amp;J398,J398),SUBSTITUTE(SUBSTITUTE(SUBSTITUTE(SUBSTITUTE(SUBSTITUTE(SUBSTITUTE(SUBSTITUTE(SUBSTITUTE(SUBSTITUTE(SUBSTITUTE(SUBSTITUTE(SUBSTITUTE(SUBSTITUTE(UPPER(TRIM(H398)),"Á","A"),"À","A"),"Â","A"),"Ã","A"),"É","E"),"Ê","E"),"Í","I"),"Ó","O"),"Ô","O"),"Õ","O"),"Ú","U"),"Ü","U"),"Ç","C")&amp;"|"&amp;IF(LEN(J398)=11,MID(J398,4,6),J398)))</f>
        <v/>
      </c>
      <c r="L398" s="25" t="str">
        <f aca="false">IF(K398="","",IF(E398="Doação recebida",TRIM(IF(COUNTIF(Socios!$H:$H,K398)&gt;0,"Doador é sócio de empresa da pauta. ","")&amp;IF(COUNTIF(Pessoas!$E:$E,K398)&gt;0,"Doador está em Pessoas.","")),IF(E398="Despesa com fornecedor",IF(COUNTIF(Contratos!$D:$D,K398)&gt;0,"Fornecedor também tem contrato público",""),"")))</f>
        <v/>
      </c>
      <c r="M398" s="24"/>
      <c r="N398" s="11"/>
    </row>
    <row r="399" customFormat="false" ht="15" hidden="false" customHeight="false" outlineLevel="0" collapsed="false">
      <c r="A399" s="23"/>
      <c r="B399" s="31" t="str">
        <f aca="false">IF(A399="","",SUBSTITUTE(SUBSTITUTE(SUBSTITUTE(SUBSTITUTE(SUBSTITUTE(SUBSTITUTE(SUBSTITUTE(SUBSTITUTE(SUBSTITUTE(SUBSTITUTE(SUBSTITUTE(SUBSTITUTE(SUBSTITUTE(UPPER(TRIM(A399)),"Á","A"),"À","A"),"Â","A"),"Ã","A"),"É","E"),"Ê","E"),"Í","I"),"Ó","O"),"Ô","O"),"Õ","O"),"Ú","U"),"Ü","U"),"Ç","C"))</f>
        <v/>
      </c>
      <c r="C399" s="43"/>
      <c r="D399" s="23"/>
      <c r="E399" s="23"/>
      <c r="F399" s="11"/>
      <c r="G399" s="35"/>
      <c r="H399" s="23"/>
      <c r="I399" s="24"/>
      <c r="J399" s="31" t="str">
        <f aca="false">IF(I399="","",UPPER(SUBSTITUTE(SUBSTITUTE(SUBSTITUTE(SUBSTITUTE(SUBSTITUTE(TRIM(I399),".",""),"/",""),"-",""),"*","")," ","")))</f>
        <v/>
      </c>
      <c r="K399" s="31" t="str">
        <f aca="false">IF(OR(H399="",J399=""),"",IF(LEN(J399)&gt;=13,IF(LEN(J399)=13,"0"&amp;J399,J399),SUBSTITUTE(SUBSTITUTE(SUBSTITUTE(SUBSTITUTE(SUBSTITUTE(SUBSTITUTE(SUBSTITUTE(SUBSTITUTE(SUBSTITUTE(SUBSTITUTE(SUBSTITUTE(SUBSTITUTE(SUBSTITUTE(UPPER(TRIM(H399)),"Á","A"),"À","A"),"Â","A"),"Ã","A"),"É","E"),"Ê","E"),"Í","I"),"Ó","O"),"Ô","O"),"Õ","O"),"Ú","U"),"Ü","U"),"Ç","C")&amp;"|"&amp;IF(LEN(J399)=11,MID(J399,4,6),J399)))</f>
        <v/>
      </c>
      <c r="L399" s="25" t="str">
        <f aca="false">IF(K399="","",IF(E399="Doação recebida",TRIM(IF(COUNTIF(Socios!$H:$H,K399)&gt;0,"Doador é sócio de empresa da pauta. ","")&amp;IF(COUNTIF(Pessoas!$E:$E,K399)&gt;0,"Doador está em Pessoas.","")),IF(E399="Despesa com fornecedor",IF(COUNTIF(Contratos!$D:$D,K399)&gt;0,"Fornecedor também tem contrato público",""),"")))</f>
        <v/>
      </c>
      <c r="M399" s="24"/>
      <c r="N399" s="11"/>
    </row>
    <row r="400" customFormat="false" ht="15" hidden="false" customHeight="false" outlineLevel="0" collapsed="false">
      <c r="A400" s="23"/>
      <c r="B400" s="31" t="str">
        <f aca="false">IF(A400="","",SUBSTITUTE(SUBSTITUTE(SUBSTITUTE(SUBSTITUTE(SUBSTITUTE(SUBSTITUTE(SUBSTITUTE(SUBSTITUTE(SUBSTITUTE(SUBSTITUTE(SUBSTITUTE(SUBSTITUTE(SUBSTITUTE(UPPER(TRIM(A400)),"Á","A"),"À","A"),"Â","A"),"Ã","A"),"É","E"),"Ê","E"),"Í","I"),"Ó","O"),"Ô","O"),"Õ","O"),"Ú","U"),"Ü","U"),"Ç","C"))</f>
        <v/>
      </c>
      <c r="C400" s="43"/>
      <c r="D400" s="23"/>
      <c r="E400" s="23"/>
      <c r="F400" s="11"/>
      <c r="G400" s="35"/>
      <c r="H400" s="23"/>
      <c r="I400" s="24"/>
      <c r="J400" s="31" t="str">
        <f aca="false">IF(I400="","",UPPER(SUBSTITUTE(SUBSTITUTE(SUBSTITUTE(SUBSTITUTE(SUBSTITUTE(TRIM(I400),".",""),"/",""),"-",""),"*","")," ","")))</f>
        <v/>
      </c>
      <c r="K400" s="31" t="str">
        <f aca="false">IF(OR(H400="",J400=""),"",IF(LEN(J400)&gt;=13,IF(LEN(J400)=13,"0"&amp;J400,J400),SUBSTITUTE(SUBSTITUTE(SUBSTITUTE(SUBSTITUTE(SUBSTITUTE(SUBSTITUTE(SUBSTITUTE(SUBSTITUTE(SUBSTITUTE(SUBSTITUTE(SUBSTITUTE(SUBSTITUTE(SUBSTITUTE(UPPER(TRIM(H400)),"Á","A"),"À","A"),"Â","A"),"Ã","A"),"É","E"),"Ê","E"),"Í","I"),"Ó","O"),"Ô","O"),"Õ","O"),"Ú","U"),"Ü","U"),"Ç","C")&amp;"|"&amp;IF(LEN(J400)=11,MID(J400,4,6),J400)))</f>
        <v/>
      </c>
      <c r="L400" s="25" t="str">
        <f aca="false">IF(K400="","",IF(E400="Doação recebida",TRIM(IF(COUNTIF(Socios!$H:$H,K400)&gt;0,"Doador é sócio de empresa da pauta. ","")&amp;IF(COUNTIF(Pessoas!$E:$E,K400)&gt;0,"Doador está em Pessoas.","")),IF(E400="Despesa com fornecedor",IF(COUNTIF(Contratos!$D:$D,K400)&gt;0,"Fornecedor também tem contrato público",""),"")))</f>
        <v/>
      </c>
      <c r="M400" s="24"/>
      <c r="N400" s="11"/>
    </row>
    <row r="401" customFormat="false" ht="15" hidden="false" customHeight="false" outlineLevel="0" collapsed="false">
      <c r="A401" s="23"/>
      <c r="B401" s="31" t="str">
        <f aca="false">IF(A401="","",SUBSTITUTE(SUBSTITUTE(SUBSTITUTE(SUBSTITUTE(SUBSTITUTE(SUBSTITUTE(SUBSTITUTE(SUBSTITUTE(SUBSTITUTE(SUBSTITUTE(SUBSTITUTE(SUBSTITUTE(SUBSTITUTE(UPPER(TRIM(A401)),"Á","A"),"À","A"),"Â","A"),"Ã","A"),"É","E"),"Ê","E"),"Í","I"),"Ó","O"),"Ô","O"),"Õ","O"),"Ú","U"),"Ü","U"),"Ç","C"))</f>
        <v/>
      </c>
      <c r="C401" s="43"/>
      <c r="D401" s="23"/>
      <c r="E401" s="23"/>
      <c r="F401" s="11"/>
      <c r="G401" s="35"/>
      <c r="H401" s="23"/>
      <c r="I401" s="24"/>
      <c r="J401" s="31" t="str">
        <f aca="false">IF(I401="","",UPPER(SUBSTITUTE(SUBSTITUTE(SUBSTITUTE(SUBSTITUTE(SUBSTITUTE(TRIM(I401),".",""),"/",""),"-",""),"*","")," ","")))</f>
        <v/>
      </c>
      <c r="K401" s="31" t="str">
        <f aca="false">IF(OR(H401="",J401=""),"",IF(LEN(J401)&gt;=13,IF(LEN(J401)=13,"0"&amp;J401,J401),SUBSTITUTE(SUBSTITUTE(SUBSTITUTE(SUBSTITUTE(SUBSTITUTE(SUBSTITUTE(SUBSTITUTE(SUBSTITUTE(SUBSTITUTE(SUBSTITUTE(SUBSTITUTE(SUBSTITUTE(SUBSTITUTE(UPPER(TRIM(H401)),"Á","A"),"À","A"),"Â","A"),"Ã","A"),"É","E"),"Ê","E"),"Í","I"),"Ó","O"),"Ô","O"),"Õ","O"),"Ú","U"),"Ü","U"),"Ç","C")&amp;"|"&amp;IF(LEN(J401)=11,MID(J401,4,6),J401)))</f>
        <v/>
      </c>
      <c r="L401" s="25" t="str">
        <f aca="false">IF(K401="","",IF(E401="Doação recebida",TRIM(IF(COUNTIF(Socios!$H:$H,K401)&gt;0,"Doador é sócio de empresa da pauta. ","")&amp;IF(COUNTIF(Pessoas!$E:$E,K401)&gt;0,"Doador está em Pessoas.","")),IF(E401="Despesa com fornecedor",IF(COUNTIF(Contratos!$D:$D,K401)&gt;0,"Fornecedor também tem contrato público",""),"")))</f>
        <v/>
      </c>
      <c r="M401" s="24"/>
      <c r="N401" s="11"/>
    </row>
    <row r="402" customFormat="false" ht="15" hidden="false" customHeight="false" outlineLevel="0" collapsed="false">
      <c r="A402" s="23"/>
      <c r="B402" s="31" t="str">
        <f aca="false">IF(A402="","",SUBSTITUTE(SUBSTITUTE(SUBSTITUTE(SUBSTITUTE(SUBSTITUTE(SUBSTITUTE(SUBSTITUTE(SUBSTITUTE(SUBSTITUTE(SUBSTITUTE(SUBSTITUTE(SUBSTITUTE(SUBSTITUTE(UPPER(TRIM(A402)),"Á","A"),"À","A"),"Â","A"),"Ã","A"),"É","E"),"Ê","E"),"Í","I"),"Ó","O"),"Ô","O"),"Õ","O"),"Ú","U"),"Ü","U"),"Ç","C"))</f>
        <v/>
      </c>
      <c r="C402" s="43"/>
      <c r="D402" s="23"/>
      <c r="E402" s="23"/>
      <c r="F402" s="11"/>
      <c r="G402" s="35"/>
      <c r="H402" s="23"/>
      <c r="I402" s="24"/>
      <c r="J402" s="31" t="str">
        <f aca="false">IF(I402="","",UPPER(SUBSTITUTE(SUBSTITUTE(SUBSTITUTE(SUBSTITUTE(SUBSTITUTE(TRIM(I402),".",""),"/",""),"-",""),"*","")," ","")))</f>
        <v/>
      </c>
      <c r="K402" s="31" t="str">
        <f aca="false">IF(OR(H402="",J402=""),"",IF(LEN(J402)&gt;=13,IF(LEN(J402)=13,"0"&amp;J402,J402),SUBSTITUTE(SUBSTITUTE(SUBSTITUTE(SUBSTITUTE(SUBSTITUTE(SUBSTITUTE(SUBSTITUTE(SUBSTITUTE(SUBSTITUTE(SUBSTITUTE(SUBSTITUTE(SUBSTITUTE(SUBSTITUTE(UPPER(TRIM(H402)),"Á","A"),"À","A"),"Â","A"),"Ã","A"),"É","E"),"Ê","E"),"Í","I"),"Ó","O"),"Ô","O"),"Õ","O"),"Ú","U"),"Ü","U"),"Ç","C")&amp;"|"&amp;IF(LEN(J402)=11,MID(J402,4,6),J402)))</f>
        <v/>
      </c>
      <c r="L402" s="25" t="str">
        <f aca="false">IF(K402="","",IF(E402="Doação recebida",TRIM(IF(COUNTIF(Socios!$H:$H,K402)&gt;0,"Doador é sócio de empresa da pauta. ","")&amp;IF(COUNTIF(Pessoas!$E:$E,K402)&gt;0,"Doador está em Pessoas.","")),IF(E402="Despesa com fornecedor",IF(COUNTIF(Contratos!$D:$D,K402)&gt;0,"Fornecedor também tem contrato público",""),"")))</f>
        <v/>
      </c>
      <c r="M402" s="24"/>
      <c r="N402" s="11"/>
    </row>
    <row r="403" customFormat="false" ht="15" hidden="false" customHeight="false" outlineLevel="0" collapsed="false">
      <c r="A403" s="23"/>
      <c r="B403" s="31" t="str">
        <f aca="false">IF(A403="","",SUBSTITUTE(SUBSTITUTE(SUBSTITUTE(SUBSTITUTE(SUBSTITUTE(SUBSTITUTE(SUBSTITUTE(SUBSTITUTE(SUBSTITUTE(SUBSTITUTE(SUBSTITUTE(SUBSTITUTE(SUBSTITUTE(UPPER(TRIM(A403)),"Á","A"),"À","A"),"Â","A"),"Ã","A"),"É","E"),"Ê","E"),"Í","I"),"Ó","O"),"Ô","O"),"Õ","O"),"Ú","U"),"Ü","U"),"Ç","C"))</f>
        <v/>
      </c>
      <c r="C403" s="43"/>
      <c r="D403" s="23"/>
      <c r="E403" s="23"/>
      <c r="F403" s="11"/>
      <c r="G403" s="35"/>
      <c r="H403" s="23"/>
      <c r="I403" s="24"/>
      <c r="J403" s="31" t="str">
        <f aca="false">IF(I403="","",UPPER(SUBSTITUTE(SUBSTITUTE(SUBSTITUTE(SUBSTITUTE(SUBSTITUTE(TRIM(I403),".",""),"/",""),"-",""),"*","")," ","")))</f>
        <v/>
      </c>
      <c r="K403" s="31" t="str">
        <f aca="false">IF(OR(H403="",J403=""),"",IF(LEN(J403)&gt;=13,IF(LEN(J403)=13,"0"&amp;J403,J403),SUBSTITUTE(SUBSTITUTE(SUBSTITUTE(SUBSTITUTE(SUBSTITUTE(SUBSTITUTE(SUBSTITUTE(SUBSTITUTE(SUBSTITUTE(SUBSTITUTE(SUBSTITUTE(SUBSTITUTE(SUBSTITUTE(UPPER(TRIM(H403)),"Á","A"),"À","A"),"Â","A"),"Ã","A"),"É","E"),"Ê","E"),"Í","I"),"Ó","O"),"Ô","O"),"Õ","O"),"Ú","U"),"Ü","U"),"Ç","C")&amp;"|"&amp;IF(LEN(J403)=11,MID(J403,4,6),J403)))</f>
        <v/>
      </c>
      <c r="L403" s="25" t="str">
        <f aca="false">IF(K403="","",IF(E403="Doação recebida",TRIM(IF(COUNTIF(Socios!$H:$H,K403)&gt;0,"Doador é sócio de empresa da pauta. ","")&amp;IF(COUNTIF(Pessoas!$E:$E,K403)&gt;0,"Doador está em Pessoas.","")),IF(E403="Despesa com fornecedor",IF(COUNTIF(Contratos!$D:$D,K403)&gt;0,"Fornecedor também tem contrato público",""),"")))</f>
        <v/>
      </c>
      <c r="M403" s="24"/>
      <c r="N403" s="11"/>
    </row>
    <row r="404" customFormat="false" ht="15" hidden="false" customHeight="false" outlineLevel="0" collapsed="false">
      <c r="A404" s="23"/>
      <c r="B404" s="31" t="str">
        <f aca="false">IF(A404="","",SUBSTITUTE(SUBSTITUTE(SUBSTITUTE(SUBSTITUTE(SUBSTITUTE(SUBSTITUTE(SUBSTITUTE(SUBSTITUTE(SUBSTITUTE(SUBSTITUTE(SUBSTITUTE(SUBSTITUTE(SUBSTITUTE(UPPER(TRIM(A404)),"Á","A"),"À","A"),"Â","A"),"Ã","A"),"É","E"),"Ê","E"),"Í","I"),"Ó","O"),"Ô","O"),"Õ","O"),"Ú","U"),"Ü","U"),"Ç","C"))</f>
        <v/>
      </c>
      <c r="C404" s="43"/>
      <c r="D404" s="23"/>
      <c r="E404" s="23"/>
      <c r="F404" s="11"/>
      <c r="G404" s="35"/>
      <c r="H404" s="23"/>
      <c r="I404" s="24"/>
      <c r="J404" s="31" t="str">
        <f aca="false">IF(I404="","",UPPER(SUBSTITUTE(SUBSTITUTE(SUBSTITUTE(SUBSTITUTE(SUBSTITUTE(TRIM(I404),".",""),"/",""),"-",""),"*","")," ","")))</f>
        <v/>
      </c>
      <c r="K404" s="31" t="str">
        <f aca="false">IF(OR(H404="",J404=""),"",IF(LEN(J404)&gt;=13,IF(LEN(J404)=13,"0"&amp;J404,J404),SUBSTITUTE(SUBSTITUTE(SUBSTITUTE(SUBSTITUTE(SUBSTITUTE(SUBSTITUTE(SUBSTITUTE(SUBSTITUTE(SUBSTITUTE(SUBSTITUTE(SUBSTITUTE(SUBSTITUTE(SUBSTITUTE(UPPER(TRIM(H404)),"Á","A"),"À","A"),"Â","A"),"Ã","A"),"É","E"),"Ê","E"),"Í","I"),"Ó","O"),"Ô","O"),"Õ","O"),"Ú","U"),"Ü","U"),"Ç","C")&amp;"|"&amp;IF(LEN(J404)=11,MID(J404,4,6),J404)))</f>
        <v/>
      </c>
      <c r="L404" s="25" t="str">
        <f aca="false">IF(K404="","",IF(E404="Doação recebida",TRIM(IF(COUNTIF(Socios!$H:$H,K404)&gt;0,"Doador é sócio de empresa da pauta. ","")&amp;IF(COUNTIF(Pessoas!$E:$E,K404)&gt;0,"Doador está em Pessoas.","")),IF(E404="Despesa com fornecedor",IF(COUNTIF(Contratos!$D:$D,K404)&gt;0,"Fornecedor também tem contrato público",""),"")))</f>
        <v/>
      </c>
      <c r="M404" s="24"/>
      <c r="N404" s="11"/>
    </row>
    <row r="405" customFormat="false" ht="15" hidden="false" customHeight="false" outlineLevel="0" collapsed="false">
      <c r="A405" s="23"/>
      <c r="B405" s="31" t="str">
        <f aca="false">IF(A405="","",SUBSTITUTE(SUBSTITUTE(SUBSTITUTE(SUBSTITUTE(SUBSTITUTE(SUBSTITUTE(SUBSTITUTE(SUBSTITUTE(SUBSTITUTE(SUBSTITUTE(SUBSTITUTE(SUBSTITUTE(SUBSTITUTE(UPPER(TRIM(A405)),"Á","A"),"À","A"),"Â","A"),"Ã","A"),"É","E"),"Ê","E"),"Í","I"),"Ó","O"),"Ô","O"),"Õ","O"),"Ú","U"),"Ü","U"),"Ç","C"))</f>
        <v/>
      </c>
      <c r="C405" s="43"/>
      <c r="D405" s="23"/>
      <c r="E405" s="23"/>
      <c r="F405" s="11"/>
      <c r="G405" s="35"/>
      <c r="H405" s="23"/>
      <c r="I405" s="24"/>
      <c r="J405" s="31" t="str">
        <f aca="false">IF(I405="","",UPPER(SUBSTITUTE(SUBSTITUTE(SUBSTITUTE(SUBSTITUTE(SUBSTITUTE(TRIM(I405),".",""),"/",""),"-",""),"*","")," ","")))</f>
        <v/>
      </c>
      <c r="K405" s="31" t="str">
        <f aca="false">IF(OR(H405="",J405=""),"",IF(LEN(J405)&gt;=13,IF(LEN(J405)=13,"0"&amp;J405,J405),SUBSTITUTE(SUBSTITUTE(SUBSTITUTE(SUBSTITUTE(SUBSTITUTE(SUBSTITUTE(SUBSTITUTE(SUBSTITUTE(SUBSTITUTE(SUBSTITUTE(SUBSTITUTE(SUBSTITUTE(SUBSTITUTE(UPPER(TRIM(H405)),"Á","A"),"À","A"),"Â","A"),"Ã","A"),"É","E"),"Ê","E"),"Í","I"),"Ó","O"),"Ô","O"),"Õ","O"),"Ú","U"),"Ü","U"),"Ç","C")&amp;"|"&amp;IF(LEN(J405)=11,MID(J405,4,6),J405)))</f>
        <v/>
      </c>
      <c r="L405" s="25" t="str">
        <f aca="false">IF(K405="","",IF(E405="Doação recebida",TRIM(IF(COUNTIF(Socios!$H:$H,K405)&gt;0,"Doador é sócio de empresa da pauta. ","")&amp;IF(COUNTIF(Pessoas!$E:$E,K405)&gt;0,"Doador está em Pessoas.","")),IF(E405="Despesa com fornecedor",IF(COUNTIF(Contratos!$D:$D,K405)&gt;0,"Fornecedor também tem contrato público",""),"")))</f>
        <v/>
      </c>
      <c r="M405" s="24"/>
      <c r="N405" s="11"/>
    </row>
    <row r="406" customFormat="false" ht="15" hidden="false" customHeight="false" outlineLevel="0" collapsed="false">
      <c r="A406" s="23"/>
      <c r="B406" s="31" t="str">
        <f aca="false">IF(A406="","",SUBSTITUTE(SUBSTITUTE(SUBSTITUTE(SUBSTITUTE(SUBSTITUTE(SUBSTITUTE(SUBSTITUTE(SUBSTITUTE(SUBSTITUTE(SUBSTITUTE(SUBSTITUTE(SUBSTITUTE(SUBSTITUTE(UPPER(TRIM(A406)),"Á","A"),"À","A"),"Â","A"),"Ã","A"),"É","E"),"Ê","E"),"Í","I"),"Ó","O"),"Ô","O"),"Õ","O"),"Ú","U"),"Ü","U"),"Ç","C"))</f>
        <v/>
      </c>
      <c r="C406" s="43"/>
      <c r="D406" s="23"/>
      <c r="E406" s="23"/>
      <c r="F406" s="11"/>
      <c r="G406" s="35"/>
      <c r="H406" s="23"/>
      <c r="I406" s="24"/>
      <c r="J406" s="31" t="str">
        <f aca="false">IF(I406="","",UPPER(SUBSTITUTE(SUBSTITUTE(SUBSTITUTE(SUBSTITUTE(SUBSTITUTE(TRIM(I406),".",""),"/",""),"-",""),"*","")," ","")))</f>
        <v/>
      </c>
      <c r="K406" s="31" t="str">
        <f aca="false">IF(OR(H406="",J406=""),"",IF(LEN(J406)&gt;=13,IF(LEN(J406)=13,"0"&amp;J406,J406),SUBSTITUTE(SUBSTITUTE(SUBSTITUTE(SUBSTITUTE(SUBSTITUTE(SUBSTITUTE(SUBSTITUTE(SUBSTITUTE(SUBSTITUTE(SUBSTITUTE(SUBSTITUTE(SUBSTITUTE(SUBSTITUTE(UPPER(TRIM(H406)),"Á","A"),"À","A"),"Â","A"),"Ã","A"),"É","E"),"Ê","E"),"Í","I"),"Ó","O"),"Ô","O"),"Õ","O"),"Ú","U"),"Ü","U"),"Ç","C")&amp;"|"&amp;IF(LEN(J406)=11,MID(J406,4,6),J406)))</f>
        <v/>
      </c>
      <c r="L406" s="25" t="str">
        <f aca="false">IF(K406="","",IF(E406="Doação recebida",TRIM(IF(COUNTIF(Socios!$H:$H,K406)&gt;0,"Doador é sócio de empresa da pauta. ","")&amp;IF(COUNTIF(Pessoas!$E:$E,K406)&gt;0,"Doador está em Pessoas.","")),IF(E406="Despesa com fornecedor",IF(COUNTIF(Contratos!$D:$D,K406)&gt;0,"Fornecedor também tem contrato público",""),"")))</f>
        <v/>
      </c>
      <c r="M406" s="24"/>
      <c r="N406" s="11"/>
    </row>
    <row r="407" customFormat="false" ht="15" hidden="false" customHeight="false" outlineLevel="0" collapsed="false">
      <c r="A407" s="23"/>
      <c r="B407" s="31" t="str">
        <f aca="false">IF(A407="","",SUBSTITUTE(SUBSTITUTE(SUBSTITUTE(SUBSTITUTE(SUBSTITUTE(SUBSTITUTE(SUBSTITUTE(SUBSTITUTE(SUBSTITUTE(SUBSTITUTE(SUBSTITUTE(SUBSTITUTE(SUBSTITUTE(UPPER(TRIM(A407)),"Á","A"),"À","A"),"Â","A"),"Ã","A"),"É","E"),"Ê","E"),"Í","I"),"Ó","O"),"Ô","O"),"Õ","O"),"Ú","U"),"Ü","U"),"Ç","C"))</f>
        <v/>
      </c>
      <c r="C407" s="43"/>
      <c r="D407" s="23"/>
      <c r="E407" s="23"/>
      <c r="F407" s="11"/>
      <c r="G407" s="35"/>
      <c r="H407" s="23"/>
      <c r="I407" s="24"/>
      <c r="J407" s="31" t="str">
        <f aca="false">IF(I407="","",UPPER(SUBSTITUTE(SUBSTITUTE(SUBSTITUTE(SUBSTITUTE(SUBSTITUTE(TRIM(I407),".",""),"/",""),"-",""),"*","")," ","")))</f>
        <v/>
      </c>
      <c r="K407" s="31" t="str">
        <f aca="false">IF(OR(H407="",J407=""),"",IF(LEN(J407)&gt;=13,IF(LEN(J407)=13,"0"&amp;J407,J407),SUBSTITUTE(SUBSTITUTE(SUBSTITUTE(SUBSTITUTE(SUBSTITUTE(SUBSTITUTE(SUBSTITUTE(SUBSTITUTE(SUBSTITUTE(SUBSTITUTE(SUBSTITUTE(SUBSTITUTE(SUBSTITUTE(UPPER(TRIM(H407)),"Á","A"),"À","A"),"Â","A"),"Ã","A"),"É","E"),"Ê","E"),"Í","I"),"Ó","O"),"Ô","O"),"Õ","O"),"Ú","U"),"Ü","U"),"Ç","C")&amp;"|"&amp;IF(LEN(J407)=11,MID(J407,4,6),J407)))</f>
        <v/>
      </c>
      <c r="L407" s="25" t="str">
        <f aca="false">IF(K407="","",IF(E407="Doação recebida",TRIM(IF(COUNTIF(Socios!$H:$H,K407)&gt;0,"Doador é sócio de empresa da pauta. ","")&amp;IF(COUNTIF(Pessoas!$E:$E,K407)&gt;0,"Doador está em Pessoas.","")),IF(E407="Despesa com fornecedor",IF(COUNTIF(Contratos!$D:$D,K407)&gt;0,"Fornecedor também tem contrato público",""),"")))</f>
        <v/>
      </c>
      <c r="M407" s="24"/>
      <c r="N407" s="11"/>
    </row>
    <row r="408" customFormat="false" ht="15" hidden="false" customHeight="false" outlineLevel="0" collapsed="false">
      <c r="A408" s="23"/>
      <c r="B408" s="31" t="str">
        <f aca="false">IF(A408="","",SUBSTITUTE(SUBSTITUTE(SUBSTITUTE(SUBSTITUTE(SUBSTITUTE(SUBSTITUTE(SUBSTITUTE(SUBSTITUTE(SUBSTITUTE(SUBSTITUTE(SUBSTITUTE(SUBSTITUTE(SUBSTITUTE(UPPER(TRIM(A408)),"Á","A"),"À","A"),"Â","A"),"Ã","A"),"É","E"),"Ê","E"),"Í","I"),"Ó","O"),"Ô","O"),"Õ","O"),"Ú","U"),"Ü","U"),"Ç","C"))</f>
        <v/>
      </c>
      <c r="C408" s="43"/>
      <c r="D408" s="23"/>
      <c r="E408" s="23"/>
      <c r="F408" s="11"/>
      <c r="G408" s="35"/>
      <c r="H408" s="23"/>
      <c r="I408" s="24"/>
      <c r="J408" s="31" t="str">
        <f aca="false">IF(I408="","",UPPER(SUBSTITUTE(SUBSTITUTE(SUBSTITUTE(SUBSTITUTE(SUBSTITUTE(TRIM(I408),".",""),"/",""),"-",""),"*","")," ","")))</f>
        <v/>
      </c>
      <c r="K408" s="31" t="str">
        <f aca="false">IF(OR(H408="",J408=""),"",IF(LEN(J408)&gt;=13,IF(LEN(J408)=13,"0"&amp;J408,J408),SUBSTITUTE(SUBSTITUTE(SUBSTITUTE(SUBSTITUTE(SUBSTITUTE(SUBSTITUTE(SUBSTITUTE(SUBSTITUTE(SUBSTITUTE(SUBSTITUTE(SUBSTITUTE(SUBSTITUTE(SUBSTITUTE(UPPER(TRIM(H408)),"Á","A"),"À","A"),"Â","A"),"Ã","A"),"É","E"),"Ê","E"),"Í","I"),"Ó","O"),"Ô","O"),"Õ","O"),"Ú","U"),"Ü","U"),"Ç","C")&amp;"|"&amp;IF(LEN(J408)=11,MID(J408,4,6),J408)))</f>
        <v/>
      </c>
      <c r="L408" s="25" t="str">
        <f aca="false">IF(K408="","",IF(E408="Doação recebida",TRIM(IF(COUNTIF(Socios!$H:$H,K408)&gt;0,"Doador é sócio de empresa da pauta. ","")&amp;IF(COUNTIF(Pessoas!$E:$E,K408)&gt;0,"Doador está em Pessoas.","")),IF(E408="Despesa com fornecedor",IF(COUNTIF(Contratos!$D:$D,K408)&gt;0,"Fornecedor também tem contrato público",""),"")))</f>
        <v/>
      </c>
      <c r="M408" s="24"/>
      <c r="N408" s="11"/>
    </row>
    <row r="409" customFormat="false" ht="15" hidden="false" customHeight="false" outlineLevel="0" collapsed="false">
      <c r="A409" s="23"/>
      <c r="B409" s="31" t="str">
        <f aca="false">IF(A409="","",SUBSTITUTE(SUBSTITUTE(SUBSTITUTE(SUBSTITUTE(SUBSTITUTE(SUBSTITUTE(SUBSTITUTE(SUBSTITUTE(SUBSTITUTE(SUBSTITUTE(SUBSTITUTE(SUBSTITUTE(SUBSTITUTE(UPPER(TRIM(A409)),"Á","A"),"À","A"),"Â","A"),"Ã","A"),"É","E"),"Ê","E"),"Í","I"),"Ó","O"),"Ô","O"),"Õ","O"),"Ú","U"),"Ü","U"),"Ç","C"))</f>
        <v/>
      </c>
      <c r="C409" s="43"/>
      <c r="D409" s="23"/>
      <c r="E409" s="23"/>
      <c r="F409" s="11"/>
      <c r="G409" s="35"/>
      <c r="H409" s="23"/>
      <c r="I409" s="24"/>
      <c r="J409" s="31" t="str">
        <f aca="false">IF(I409="","",UPPER(SUBSTITUTE(SUBSTITUTE(SUBSTITUTE(SUBSTITUTE(SUBSTITUTE(TRIM(I409),".",""),"/",""),"-",""),"*","")," ","")))</f>
        <v/>
      </c>
      <c r="K409" s="31" t="str">
        <f aca="false">IF(OR(H409="",J409=""),"",IF(LEN(J409)&gt;=13,IF(LEN(J409)=13,"0"&amp;J409,J409),SUBSTITUTE(SUBSTITUTE(SUBSTITUTE(SUBSTITUTE(SUBSTITUTE(SUBSTITUTE(SUBSTITUTE(SUBSTITUTE(SUBSTITUTE(SUBSTITUTE(SUBSTITUTE(SUBSTITUTE(SUBSTITUTE(UPPER(TRIM(H409)),"Á","A"),"À","A"),"Â","A"),"Ã","A"),"É","E"),"Ê","E"),"Í","I"),"Ó","O"),"Ô","O"),"Õ","O"),"Ú","U"),"Ü","U"),"Ç","C")&amp;"|"&amp;IF(LEN(J409)=11,MID(J409,4,6),J409)))</f>
        <v/>
      </c>
      <c r="L409" s="25" t="str">
        <f aca="false">IF(K409="","",IF(E409="Doação recebida",TRIM(IF(COUNTIF(Socios!$H:$H,K409)&gt;0,"Doador é sócio de empresa da pauta. ","")&amp;IF(COUNTIF(Pessoas!$E:$E,K409)&gt;0,"Doador está em Pessoas.","")),IF(E409="Despesa com fornecedor",IF(COUNTIF(Contratos!$D:$D,K409)&gt;0,"Fornecedor também tem contrato público",""),"")))</f>
        <v/>
      </c>
      <c r="M409" s="24"/>
      <c r="N409" s="11"/>
    </row>
    <row r="410" customFormat="false" ht="15" hidden="false" customHeight="false" outlineLevel="0" collapsed="false">
      <c r="A410" s="23"/>
      <c r="B410" s="31" t="str">
        <f aca="false">IF(A410="","",SUBSTITUTE(SUBSTITUTE(SUBSTITUTE(SUBSTITUTE(SUBSTITUTE(SUBSTITUTE(SUBSTITUTE(SUBSTITUTE(SUBSTITUTE(SUBSTITUTE(SUBSTITUTE(SUBSTITUTE(SUBSTITUTE(UPPER(TRIM(A410)),"Á","A"),"À","A"),"Â","A"),"Ã","A"),"É","E"),"Ê","E"),"Í","I"),"Ó","O"),"Ô","O"),"Õ","O"),"Ú","U"),"Ü","U"),"Ç","C"))</f>
        <v/>
      </c>
      <c r="C410" s="43"/>
      <c r="D410" s="23"/>
      <c r="E410" s="23"/>
      <c r="F410" s="11"/>
      <c r="G410" s="35"/>
      <c r="H410" s="23"/>
      <c r="I410" s="24"/>
      <c r="J410" s="31" t="str">
        <f aca="false">IF(I410="","",UPPER(SUBSTITUTE(SUBSTITUTE(SUBSTITUTE(SUBSTITUTE(SUBSTITUTE(TRIM(I410),".",""),"/",""),"-",""),"*","")," ","")))</f>
        <v/>
      </c>
      <c r="K410" s="31" t="str">
        <f aca="false">IF(OR(H410="",J410=""),"",IF(LEN(J410)&gt;=13,IF(LEN(J410)=13,"0"&amp;J410,J410),SUBSTITUTE(SUBSTITUTE(SUBSTITUTE(SUBSTITUTE(SUBSTITUTE(SUBSTITUTE(SUBSTITUTE(SUBSTITUTE(SUBSTITUTE(SUBSTITUTE(SUBSTITUTE(SUBSTITUTE(SUBSTITUTE(UPPER(TRIM(H410)),"Á","A"),"À","A"),"Â","A"),"Ã","A"),"É","E"),"Ê","E"),"Í","I"),"Ó","O"),"Ô","O"),"Õ","O"),"Ú","U"),"Ü","U"),"Ç","C")&amp;"|"&amp;IF(LEN(J410)=11,MID(J410,4,6),J410)))</f>
        <v/>
      </c>
      <c r="L410" s="25" t="str">
        <f aca="false">IF(K410="","",IF(E410="Doação recebida",TRIM(IF(COUNTIF(Socios!$H:$H,K410)&gt;0,"Doador é sócio de empresa da pauta. ","")&amp;IF(COUNTIF(Pessoas!$E:$E,K410)&gt;0,"Doador está em Pessoas.","")),IF(E410="Despesa com fornecedor",IF(COUNTIF(Contratos!$D:$D,K410)&gt;0,"Fornecedor também tem contrato público",""),"")))</f>
        <v/>
      </c>
      <c r="M410" s="24"/>
      <c r="N410" s="11"/>
    </row>
    <row r="411" customFormat="false" ht="15" hidden="false" customHeight="false" outlineLevel="0" collapsed="false">
      <c r="A411" s="23"/>
      <c r="B411" s="31" t="str">
        <f aca="false">IF(A411="","",SUBSTITUTE(SUBSTITUTE(SUBSTITUTE(SUBSTITUTE(SUBSTITUTE(SUBSTITUTE(SUBSTITUTE(SUBSTITUTE(SUBSTITUTE(SUBSTITUTE(SUBSTITUTE(SUBSTITUTE(SUBSTITUTE(UPPER(TRIM(A411)),"Á","A"),"À","A"),"Â","A"),"Ã","A"),"É","E"),"Ê","E"),"Í","I"),"Ó","O"),"Ô","O"),"Õ","O"),"Ú","U"),"Ü","U"),"Ç","C"))</f>
        <v/>
      </c>
      <c r="C411" s="43"/>
      <c r="D411" s="23"/>
      <c r="E411" s="23"/>
      <c r="F411" s="11"/>
      <c r="G411" s="35"/>
      <c r="H411" s="23"/>
      <c r="I411" s="24"/>
      <c r="J411" s="31" t="str">
        <f aca="false">IF(I411="","",UPPER(SUBSTITUTE(SUBSTITUTE(SUBSTITUTE(SUBSTITUTE(SUBSTITUTE(TRIM(I411),".",""),"/",""),"-",""),"*","")," ","")))</f>
        <v/>
      </c>
      <c r="K411" s="31" t="str">
        <f aca="false">IF(OR(H411="",J411=""),"",IF(LEN(J411)&gt;=13,IF(LEN(J411)=13,"0"&amp;J411,J411),SUBSTITUTE(SUBSTITUTE(SUBSTITUTE(SUBSTITUTE(SUBSTITUTE(SUBSTITUTE(SUBSTITUTE(SUBSTITUTE(SUBSTITUTE(SUBSTITUTE(SUBSTITUTE(SUBSTITUTE(SUBSTITUTE(UPPER(TRIM(H411)),"Á","A"),"À","A"),"Â","A"),"Ã","A"),"É","E"),"Ê","E"),"Í","I"),"Ó","O"),"Ô","O"),"Õ","O"),"Ú","U"),"Ü","U"),"Ç","C")&amp;"|"&amp;IF(LEN(J411)=11,MID(J411,4,6),J411)))</f>
        <v/>
      </c>
      <c r="L411" s="25" t="str">
        <f aca="false">IF(K411="","",IF(E411="Doação recebida",TRIM(IF(COUNTIF(Socios!$H:$H,K411)&gt;0,"Doador é sócio de empresa da pauta. ","")&amp;IF(COUNTIF(Pessoas!$E:$E,K411)&gt;0,"Doador está em Pessoas.","")),IF(E411="Despesa com fornecedor",IF(COUNTIF(Contratos!$D:$D,K411)&gt;0,"Fornecedor também tem contrato público",""),"")))</f>
        <v/>
      </c>
      <c r="M411" s="24"/>
      <c r="N411" s="11"/>
    </row>
    <row r="412" customFormat="false" ht="15" hidden="false" customHeight="false" outlineLevel="0" collapsed="false">
      <c r="A412" s="23"/>
      <c r="B412" s="31" t="str">
        <f aca="false">IF(A412="","",SUBSTITUTE(SUBSTITUTE(SUBSTITUTE(SUBSTITUTE(SUBSTITUTE(SUBSTITUTE(SUBSTITUTE(SUBSTITUTE(SUBSTITUTE(SUBSTITUTE(SUBSTITUTE(SUBSTITUTE(SUBSTITUTE(UPPER(TRIM(A412)),"Á","A"),"À","A"),"Â","A"),"Ã","A"),"É","E"),"Ê","E"),"Í","I"),"Ó","O"),"Ô","O"),"Õ","O"),"Ú","U"),"Ü","U"),"Ç","C"))</f>
        <v/>
      </c>
      <c r="C412" s="43"/>
      <c r="D412" s="23"/>
      <c r="E412" s="23"/>
      <c r="F412" s="11"/>
      <c r="G412" s="35"/>
      <c r="H412" s="23"/>
      <c r="I412" s="24"/>
      <c r="J412" s="31" t="str">
        <f aca="false">IF(I412="","",UPPER(SUBSTITUTE(SUBSTITUTE(SUBSTITUTE(SUBSTITUTE(SUBSTITUTE(TRIM(I412),".",""),"/",""),"-",""),"*","")," ","")))</f>
        <v/>
      </c>
      <c r="K412" s="31" t="str">
        <f aca="false">IF(OR(H412="",J412=""),"",IF(LEN(J412)&gt;=13,IF(LEN(J412)=13,"0"&amp;J412,J412),SUBSTITUTE(SUBSTITUTE(SUBSTITUTE(SUBSTITUTE(SUBSTITUTE(SUBSTITUTE(SUBSTITUTE(SUBSTITUTE(SUBSTITUTE(SUBSTITUTE(SUBSTITUTE(SUBSTITUTE(SUBSTITUTE(UPPER(TRIM(H412)),"Á","A"),"À","A"),"Â","A"),"Ã","A"),"É","E"),"Ê","E"),"Í","I"),"Ó","O"),"Ô","O"),"Õ","O"),"Ú","U"),"Ü","U"),"Ç","C")&amp;"|"&amp;IF(LEN(J412)=11,MID(J412,4,6),J412)))</f>
        <v/>
      </c>
      <c r="L412" s="25" t="str">
        <f aca="false">IF(K412="","",IF(E412="Doação recebida",TRIM(IF(COUNTIF(Socios!$H:$H,K412)&gt;0,"Doador é sócio de empresa da pauta. ","")&amp;IF(COUNTIF(Pessoas!$E:$E,K412)&gt;0,"Doador está em Pessoas.","")),IF(E412="Despesa com fornecedor",IF(COUNTIF(Contratos!$D:$D,K412)&gt;0,"Fornecedor também tem contrato público",""),"")))</f>
        <v/>
      </c>
      <c r="M412" s="24"/>
      <c r="N412" s="11"/>
    </row>
    <row r="413" customFormat="false" ht="15" hidden="false" customHeight="false" outlineLevel="0" collapsed="false">
      <c r="A413" s="23"/>
      <c r="B413" s="31" t="str">
        <f aca="false">IF(A413="","",SUBSTITUTE(SUBSTITUTE(SUBSTITUTE(SUBSTITUTE(SUBSTITUTE(SUBSTITUTE(SUBSTITUTE(SUBSTITUTE(SUBSTITUTE(SUBSTITUTE(SUBSTITUTE(SUBSTITUTE(SUBSTITUTE(UPPER(TRIM(A413)),"Á","A"),"À","A"),"Â","A"),"Ã","A"),"É","E"),"Ê","E"),"Í","I"),"Ó","O"),"Ô","O"),"Õ","O"),"Ú","U"),"Ü","U"),"Ç","C"))</f>
        <v/>
      </c>
      <c r="C413" s="43"/>
      <c r="D413" s="23"/>
      <c r="E413" s="23"/>
      <c r="F413" s="11"/>
      <c r="G413" s="35"/>
      <c r="H413" s="23"/>
      <c r="I413" s="24"/>
      <c r="J413" s="31" t="str">
        <f aca="false">IF(I413="","",UPPER(SUBSTITUTE(SUBSTITUTE(SUBSTITUTE(SUBSTITUTE(SUBSTITUTE(TRIM(I413),".",""),"/",""),"-",""),"*","")," ","")))</f>
        <v/>
      </c>
      <c r="K413" s="31" t="str">
        <f aca="false">IF(OR(H413="",J413=""),"",IF(LEN(J413)&gt;=13,IF(LEN(J413)=13,"0"&amp;J413,J413),SUBSTITUTE(SUBSTITUTE(SUBSTITUTE(SUBSTITUTE(SUBSTITUTE(SUBSTITUTE(SUBSTITUTE(SUBSTITUTE(SUBSTITUTE(SUBSTITUTE(SUBSTITUTE(SUBSTITUTE(SUBSTITUTE(UPPER(TRIM(H413)),"Á","A"),"À","A"),"Â","A"),"Ã","A"),"É","E"),"Ê","E"),"Í","I"),"Ó","O"),"Ô","O"),"Õ","O"),"Ú","U"),"Ü","U"),"Ç","C")&amp;"|"&amp;IF(LEN(J413)=11,MID(J413,4,6),J413)))</f>
        <v/>
      </c>
      <c r="L413" s="25" t="str">
        <f aca="false">IF(K413="","",IF(E413="Doação recebida",TRIM(IF(COUNTIF(Socios!$H:$H,K413)&gt;0,"Doador é sócio de empresa da pauta. ","")&amp;IF(COUNTIF(Pessoas!$E:$E,K413)&gt;0,"Doador está em Pessoas.","")),IF(E413="Despesa com fornecedor",IF(COUNTIF(Contratos!$D:$D,K413)&gt;0,"Fornecedor também tem contrato público",""),"")))</f>
        <v/>
      </c>
      <c r="M413" s="24"/>
      <c r="N413" s="11"/>
    </row>
    <row r="414" customFormat="false" ht="15" hidden="false" customHeight="false" outlineLevel="0" collapsed="false">
      <c r="A414" s="23"/>
      <c r="B414" s="31" t="str">
        <f aca="false">IF(A414="","",SUBSTITUTE(SUBSTITUTE(SUBSTITUTE(SUBSTITUTE(SUBSTITUTE(SUBSTITUTE(SUBSTITUTE(SUBSTITUTE(SUBSTITUTE(SUBSTITUTE(SUBSTITUTE(SUBSTITUTE(SUBSTITUTE(UPPER(TRIM(A414)),"Á","A"),"À","A"),"Â","A"),"Ã","A"),"É","E"),"Ê","E"),"Í","I"),"Ó","O"),"Ô","O"),"Õ","O"),"Ú","U"),"Ü","U"),"Ç","C"))</f>
        <v/>
      </c>
      <c r="C414" s="43"/>
      <c r="D414" s="23"/>
      <c r="E414" s="23"/>
      <c r="F414" s="11"/>
      <c r="G414" s="35"/>
      <c r="H414" s="23"/>
      <c r="I414" s="24"/>
      <c r="J414" s="31" t="str">
        <f aca="false">IF(I414="","",UPPER(SUBSTITUTE(SUBSTITUTE(SUBSTITUTE(SUBSTITUTE(SUBSTITUTE(TRIM(I414),".",""),"/",""),"-",""),"*","")," ","")))</f>
        <v/>
      </c>
      <c r="K414" s="31" t="str">
        <f aca="false">IF(OR(H414="",J414=""),"",IF(LEN(J414)&gt;=13,IF(LEN(J414)=13,"0"&amp;J414,J414),SUBSTITUTE(SUBSTITUTE(SUBSTITUTE(SUBSTITUTE(SUBSTITUTE(SUBSTITUTE(SUBSTITUTE(SUBSTITUTE(SUBSTITUTE(SUBSTITUTE(SUBSTITUTE(SUBSTITUTE(SUBSTITUTE(UPPER(TRIM(H414)),"Á","A"),"À","A"),"Â","A"),"Ã","A"),"É","E"),"Ê","E"),"Í","I"),"Ó","O"),"Ô","O"),"Õ","O"),"Ú","U"),"Ü","U"),"Ç","C")&amp;"|"&amp;IF(LEN(J414)=11,MID(J414,4,6),J414)))</f>
        <v/>
      </c>
      <c r="L414" s="25" t="str">
        <f aca="false">IF(K414="","",IF(E414="Doação recebida",TRIM(IF(COUNTIF(Socios!$H:$H,K414)&gt;0,"Doador é sócio de empresa da pauta. ","")&amp;IF(COUNTIF(Pessoas!$E:$E,K414)&gt;0,"Doador está em Pessoas.","")),IF(E414="Despesa com fornecedor",IF(COUNTIF(Contratos!$D:$D,K414)&gt;0,"Fornecedor também tem contrato público",""),"")))</f>
        <v/>
      </c>
      <c r="M414" s="24"/>
      <c r="N414" s="11"/>
    </row>
    <row r="415" customFormat="false" ht="15" hidden="false" customHeight="false" outlineLevel="0" collapsed="false">
      <c r="A415" s="23"/>
      <c r="B415" s="31" t="str">
        <f aca="false">IF(A415="","",SUBSTITUTE(SUBSTITUTE(SUBSTITUTE(SUBSTITUTE(SUBSTITUTE(SUBSTITUTE(SUBSTITUTE(SUBSTITUTE(SUBSTITUTE(SUBSTITUTE(SUBSTITUTE(SUBSTITUTE(SUBSTITUTE(UPPER(TRIM(A415)),"Á","A"),"À","A"),"Â","A"),"Ã","A"),"É","E"),"Ê","E"),"Í","I"),"Ó","O"),"Ô","O"),"Õ","O"),"Ú","U"),"Ü","U"),"Ç","C"))</f>
        <v/>
      </c>
      <c r="C415" s="43"/>
      <c r="D415" s="23"/>
      <c r="E415" s="23"/>
      <c r="F415" s="11"/>
      <c r="G415" s="35"/>
      <c r="H415" s="23"/>
      <c r="I415" s="24"/>
      <c r="J415" s="31" t="str">
        <f aca="false">IF(I415="","",UPPER(SUBSTITUTE(SUBSTITUTE(SUBSTITUTE(SUBSTITUTE(SUBSTITUTE(TRIM(I415),".",""),"/",""),"-",""),"*","")," ","")))</f>
        <v/>
      </c>
      <c r="K415" s="31" t="str">
        <f aca="false">IF(OR(H415="",J415=""),"",IF(LEN(J415)&gt;=13,IF(LEN(J415)=13,"0"&amp;J415,J415),SUBSTITUTE(SUBSTITUTE(SUBSTITUTE(SUBSTITUTE(SUBSTITUTE(SUBSTITUTE(SUBSTITUTE(SUBSTITUTE(SUBSTITUTE(SUBSTITUTE(SUBSTITUTE(SUBSTITUTE(SUBSTITUTE(UPPER(TRIM(H415)),"Á","A"),"À","A"),"Â","A"),"Ã","A"),"É","E"),"Ê","E"),"Í","I"),"Ó","O"),"Ô","O"),"Õ","O"),"Ú","U"),"Ü","U"),"Ç","C")&amp;"|"&amp;IF(LEN(J415)=11,MID(J415,4,6),J415)))</f>
        <v/>
      </c>
      <c r="L415" s="25" t="str">
        <f aca="false">IF(K415="","",IF(E415="Doação recebida",TRIM(IF(COUNTIF(Socios!$H:$H,K415)&gt;0,"Doador é sócio de empresa da pauta. ","")&amp;IF(COUNTIF(Pessoas!$E:$E,K415)&gt;0,"Doador está em Pessoas.","")),IF(E415="Despesa com fornecedor",IF(COUNTIF(Contratos!$D:$D,K415)&gt;0,"Fornecedor também tem contrato público",""),"")))</f>
        <v/>
      </c>
      <c r="M415" s="24"/>
      <c r="N415" s="11"/>
    </row>
    <row r="416" customFormat="false" ht="15" hidden="false" customHeight="false" outlineLevel="0" collapsed="false">
      <c r="A416" s="23"/>
      <c r="B416" s="31" t="str">
        <f aca="false">IF(A416="","",SUBSTITUTE(SUBSTITUTE(SUBSTITUTE(SUBSTITUTE(SUBSTITUTE(SUBSTITUTE(SUBSTITUTE(SUBSTITUTE(SUBSTITUTE(SUBSTITUTE(SUBSTITUTE(SUBSTITUTE(SUBSTITUTE(UPPER(TRIM(A416)),"Á","A"),"À","A"),"Â","A"),"Ã","A"),"É","E"),"Ê","E"),"Í","I"),"Ó","O"),"Ô","O"),"Õ","O"),"Ú","U"),"Ü","U"),"Ç","C"))</f>
        <v/>
      </c>
      <c r="C416" s="43"/>
      <c r="D416" s="23"/>
      <c r="E416" s="23"/>
      <c r="F416" s="11"/>
      <c r="G416" s="35"/>
      <c r="H416" s="23"/>
      <c r="I416" s="24"/>
      <c r="J416" s="31" t="str">
        <f aca="false">IF(I416="","",UPPER(SUBSTITUTE(SUBSTITUTE(SUBSTITUTE(SUBSTITUTE(SUBSTITUTE(TRIM(I416),".",""),"/",""),"-",""),"*","")," ","")))</f>
        <v/>
      </c>
      <c r="K416" s="31" t="str">
        <f aca="false">IF(OR(H416="",J416=""),"",IF(LEN(J416)&gt;=13,IF(LEN(J416)=13,"0"&amp;J416,J416),SUBSTITUTE(SUBSTITUTE(SUBSTITUTE(SUBSTITUTE(SUBSTITUTE(SUBSTITUTE(SUBSTITUTE(SUBSTITUTE(SUBSTITUTE(SUBSTITUTE(SUBSTITUTE(SUBSTITUTE(SUBSTITUTE(UPPER(TRIM(H416)),"Á","A"),"À","A"),"Â","A"),"Ã","A"),"É","E"),"Ê","E"),"Í","I"),"Ó","O"),"Ô","O"),"Õ","O"),"Ú","U"),"Ü","U"),"Ç","C")&amp;"|"&amp;IF(LEN(J416)=11,MID(J416,4,6),J416)))</f>
        <v/>
      </c>
      <c r="L416" s="25" t="str">
        <f aca="false">IF(K416="","",IF(E416="Doação recebida",TRIM(IF(COUNTIF(Socios!$H:$H,K416)&gt;0,"Doador é sócio de empresa da pauta. ","")&amp;IF(COUNTIF(Pessoas!$E:$E,K416)&gt;0,"Doador está em Pessoas.","")),IF(E416="Despesa com fornecedor",IF(COUNTIF(Contratos!$D:$D,K416)&gt;0,"Fornecedor também tem contrato público",""),"")))</f>
        <v/>
      </c>
      <c r="M416" s="24"/>
      <c r="N416" s="11"/>
    </row>
    <row r="417" customFormat="false" ht="15" hidden="false" customHeight="false" outlineLevel="0" collapsed="false">
      <c r="A417" s="23"/>
      <c r="B417" s="31" t="str">
        <f aca="false">IF(A417="","",SUBSTITUTE(SUBSTITUTE(SUBSTITUTE(SUBSTITUTE(SUBSTITUTE(SUBSTITUTE(SUBSTITUTE(SUBSTITUTE(SUBSTITUTE(SUBSTITUTE(SUBSTITUTE(SUBSTITUTE(SUBSTITUTE(UPPER(TRIM(A417)),"Á","A"),"À","A"),"Â","A"),"Ã","A"),"É","E"),"Ê","E"),"Í","I"),"Ó","O"),"Ô","O"),"Õ","O"),"Ú","U"),"Ü","U"),"Ç","C"))</f>
        <v/>
      </c>
      <c r="C417" s="43"/>
      <c r="D417" s="23"/>
      <c r="E417" s="23"/>
      <c r="F417" s="11"/>
      <c r="G417" s="35"/>
      <c r="H417" s="23"/>
      <c r="I417" s="24"/>
      <c r="J417" s="31" t="str">
        <f aca="false">IF(I417="","",UPPER(SUBSTITUTE(SUBSTITUTE(SUBSTITUTE(SUBSTITUTE(SUBSTITUTE(TRIM(I417),".",""),"/",""),"-",""),"*","")," ","")))</f>
        <v/>
      </c>
      <c r="K417" s="31" t="str">
        <f aca="false">IF(OR(H417="",J417=""),"",IF(LEN(J417)&gt;=13,IF(LEN(J417)=13,"0"&amp;J417,J417),SUBSTITUTE(SUBSTITUTE(SUBSTITUTE(SUBSTITUTE(SUBSTITUTE(SUBSTITUTE(SUBSTITUTE(SUBSTITUTE(SUBSTITUTE(SUBSTITUTE(SUBSTITUTE(SUBSTITUTE(SUBSTITUTE(UPPER(TRIM(H417)),"Á","A"),"À","A"),"Â","A"),"Ã","A"),"É","E"),"Ê","E"),"Í","I"),"Ó","O"),"Ô","O"),"Õ","O"),"Ú","U"),"Ü","U"),"Ç","C")&amp;"|"&amp;IF(LEN(J417)=11,MID(J417,4,6),J417)))</f>
        <v/>
      </c>
      <c r="L417" s="25" t="str">
        <f aca="false">IF(K417="","",IF(E417="Doação recebida",TRIM(IF(COUNTIF(Socios!$H:$H,K417)&gt;0,"Doador é sócio de empresa da pauta. ","")&amp;IF(COUNTIF(Pessoas!$E:$E,K417)&gt;0,"Doador está em Pessoas.","")),IF(E417="Despesa com fornecedor",IF(COUNTIF(Contratos!$D:$D,K417)&gt;0,"Fornecedor também tem contrato público",""),"")))</f>
        <v/>
      </c>
      <c r="M417" s="24"/>
      <c r="N417" s="11"/>
    </row>
    <row r="418" customFormat="false" ht="15" hidden="false" customHeight="false" outlineLevel="0" collapsed="false">
      <c r="A418" s="23"/>
      <c r="B418" s="31" t="str">
        <f aca="false">IF(A418="","",SUBSTITUTE(SUBSTITUTE(SUBSTITUTE(SUBSTITUTE(SUBSTITUTE(SUBSTITUTE(SUBSTITUTE(SUBSTITUTE(SUBSTITUTE(SUBSTITUTE(SUBSTITUTE(SUBSTITUTE(SUBSTITUTE(UPPER(TRIM(A418)),"Á","A"),"À","A"),"Â","A"),"Ã","A"),"É","E"),"Ê","E"),"Í","I"),"Ó","O"),"Ô","O"),"Õ","O"),"Ú","U"),"Ü","U"),"Ç","C"))</f>
        <v/>
      </c>
      <c r="C418" s="43"/>
      <c r="D418" s="23"/>
      <c r="E418" s="23"/>
      <c r="F418" s="11"/>
      <c r="G418" s="35"/>
      <c r="H418" s="23"/>
      <c r="I418" s="24"/>
      <c r="J418" s="31" t="str">
        <f aca="false">IF(I418="","",UPPER(SUBSTITUTE(SUBSTITUTE(SUBSTITUTE(SUBSTITUTE(SUBSTITUTE(TRIM(I418),".",""),"/",""),"-",""),"*","")," ","")))</f>
        <v/>
      </c>
      <c r="K418" s="31" t="str">
        <f aca="false">IF(OR(H418="",J418=""),"",IF(LEN(J418)&gt;=13,IF(LEN(J418)=13,"0"&amp;J418,J418),SUBSTITUTE(SUBSTITUTE(SUBSTITUTE(SUBSTITUTE(SUBSTITUTE(SUBSTITUTE(SUBSTITUTE(SUBSTITUTE(SUBSTITUTE(SUBSTITUTE(SUBSTITUTE(SUBSTITUTE(SUBSTITUTE(UPPER(TRIM(H418)),"Á","A"),"À","A"),"Â","A"),"Ã","A"),"É","E"),"Ê","E"),"Í","I"),"Ó","O"),"Ô","O"),"Õ","O"),"Ú","U"),"Ü","U"),"Ç","C")&amp;"|"&amp;IF(LEN(J418)=11,MID(J418,4,6),J418)))</f>
        <v/>
      </c>
      <c r="L418" s="25" t="str">
        <f aca="false">IF(K418="","",IF(E418="Doação recebida",TRIM(IF(COUNTIF(Socios!$H:$H,K418)&gt;0,"Doador é sócio de empresa da pauta. ","")&amp;IF(COUNTIF(Pessoas!$E:$E,K418)&gt;0,"Doador está em Pessoas.","")),IF(E418="Despesa com fornecedor",IF(COUNTIF(Contratos!$D:$D,K418)&gt;0,"Fornecedor também tem contrato público",""),"")))</f>
        <v/>
      </c>
      <c r="M418" s="24"/>
      <c r="N418" s="11"/>
    </row>
    <row r="419" customFormat="false" ht="15" hidden="false" customHeight="false" outlineLevel="0" collapsed="false">
      <c r="A419" s="23"/>
      <c r="B419" s="31" t="str">
        <f aca="false">IF(A419="","",SUBSTITUTE(SUBSTITUTE(SUBSTITUTE(SUBSTITUTE(SUBSTITUTE(SUBSTITUTE(SUBSTITUTE(SUBSTITUTE(SUBSTITUTE(SUBSTITUTE(SUBSTITUTE(SUBSTITUTE(SUBSTITUTE(UPPER(TRIM(A419)),"Á","A"),"À","A"),"Â","A"),"Ã","A"),"É","E"),"Ê","E"),"Í","I"),"Ó","O"),"Ô","O"),"Õ","O"),"Ú","U"),"Ü","U"),"Ç","C"))</f>
        <v/>
      </c>
      <c r="C419" s="43"/>
      <c r="D419" s="23"/>
      <c r="E419" s="23"/>
      <c r="F419" s="11"/>
      <c r="G419" s="35"/>
      <c r="H419" s="23"/>
      <c r="I419" s="24"/>
      <c r="J419" s="31" t="str">
        <f aca="false">IF(I419="","",UPPER(SUBSTITUTE(SUBSTITUTE(SUBSTITUTE(SUBSTITUTE(SUBSTITUTE(TRIM(I419),".",""),"/",""),"-",""),"*","")," ","")))</f>
        <v/>
      </c>
      <c r="K419" s="31" t="str">
        <f aca="false">IF(OR(H419="",J419=""),"",IF(LEN(J419)&gt;=13,IF(LEN(J419)=13,"0"&amp;J419,J419),SUBSTITUTE(SUBSTITUTE(SUBSTITUTE(SUBSTITUTE(SUBSTITUTE(SUBSTITUTE(SUBSTITUTE(SUBSTITUTE(SUBSTITUTE(SUBSTITUTE(SUBSTITUTE(SUBSTITUTE(SUBSTITUTE(UPPER(TRIM(H419)),"Á","A"),"À","A"),"Â","A"),"Ã","A"),"É","E"),"Ê","E"),"Í","I"),"Ó","O"),"Ô","O"),"Õ","O"),"Ú","U"),"Ü","U"),"Ç","C")&amp;"|"&amp;IF(LEN(J419)=11,MID(J419,4,6),J419)))</f>
        <v/>
      </c>
      <c r="L419" s="25" t="str">
        <f aca="false">IF(K419="","",IF(E419="Doação recebida",TRIM(IF(COUNTIF(Socios!$H:$H,K419)&gt;0,"Doador é sócio de empresa da pauta. ","")&amp;IF(COUNTIF(Pessoas!$E:$E,K419)&gt;0,"Doador está em Pessoas.","")),IF(E419="Despesa com fornecedor",IF(COUNTIF(Contratos!$D:$D,K419)&gt;0,"Fornecedor também tem contrato público",""),"")))</f>
        <v/>
      </c>
      <c r="M419" s="24"/>
      <c r="N419" s="11"/>
    </row>
    <row r="420" customFormat="false" ht="15" hidden="false" customHeight="false" outlineLevel="0" collapsed="false">
      <c r="A420" s="23"/>
      <c r="B420" s="31" t="str">
        <f aca="false">IF(A420="","",SUBSTITUTE(SUBSTITUTE(SUBSTITUTE(SUBSTITUTE(SUBSTITUTE(SUBSTITUTE(SUBSTITUTE(SUBSTITUTE(SUBSTITUTE(SUBSTITUTE(SUBSTITUTE(SUBSTITUTE(SUBSTITUTE(UPPER(TRIM(A420)),"Á","A"),"À","A"),"Â","A"),"Ã","A"),"É","E"),"Ê","E"),"Í","I"),"Ó","O"),"Ô","O"),"Õ","O"),"Ú","U"),"Ü","U"),"Ç","C"))</f>
        <v/>
      </c>
      <c r="C420" s="43"/>
      <c r="D420" s="23"/>
      <c r="E420" s="23"/>
      <c r="F420" s="11"/>
      <c r="G420" s="35"/>
      <c r="H420" s="23"/>
      <c r="I420" s="24"/>
      <c r="J420" s="31" t="str">
        <f aca="false">IF(I420="","",UPPER(SUBSTITUTE(SUBSTITUTE(SUBSTITUTE(SUBSTITUTE(SUBSTITUTE(TRIM(I420),".",""),"/",""),"-",""),"*","")," ","")))</f>
        <v/>
      </c>
      <c r="K420" s="31" t="str">
        <f aca="false">IF(OR(H420="",J420=""),"",IF(LEN(J420)&gt;=13,IF(LEN(J420)=13,"0"&amp;J420,J420),SUBSTITUTE(SUBSTITUTE(SUBSTITUTE(SUBSTITUTE(SUBSTITUTE(SUBSTITUTE(SUBSTITUTE(SUBSTITUTE(SUBSTITUTE(SUBSTITUTE(SUBSTITUTE(SUBSTITUTE(SUBSTITUTE(UPPER(TRIM(H420)),"Á","A"),"À","A"),"Â","A"),"Ã","A"),"É","E"),"Ê","E"),"Í","I"),"Ó","O"),"Ô","O"),"Õ","O"),"Ú","U"),"Ü","U"),"Ç","C")&amp;"|"&amp;IF(LEN(J420)=11,MID(J420,4,6),J420)))</f>
        <v/>
      </c>
      <c r="L420" s="25" t="str">
        <f aca="false">IF(K420="","",IF(E420="Doação recebida",TRIM(IF(COUNTIF(Socios!$H:$H,K420)&gt;0,"Doador é sócio de empresa da pauta. ","")&amp;IF(COUNTIF(Pessoas!$E:$E,K420)&gt;0,"Doador está em Pessoas.","")),IF(E420="Despesa com fornecedor",IF(COUNTIF(Contratos!$D:$D,K420)&gt;0,"Fornecedor também tem contrato público",""),"")))</f>
        <v/>
      </c>
      <c r="M420" s="24"/>
      <c r="N420" s="11"/>
    </row>
    <row r="421" customFormat="false" ht="15" hidden="false" customHeight="false" outlineLevel="0" collapsed="false">
      <c r="A421" s="23"/>
      <c r="B421" s="31" t="str">
        <f aca="false">IF(A421="","",SUBSTITUTE(SUBSTITUTE(SUBSTITUTE(SUBSTITUTE(SUBSTITUTE(SUBSTITUTE(SUBSTITUTE(SUBSTITUTE(SUBSTITUTE(SUBSTITUTE(SUBSTITUTE(SUBSTITUTE(SUBSTITUTE(UPPER(TRIM(A421)),"Á","A"),"À","A"),"Â","A"),"Ã","A"),"É","E"),"Ê","E"),"Í","I"),"Ó","O"),"Ô","O"),"Õ","O"),"Ú","U"),"Ü","U"),"Ç","C"))</f>
        <v/>
      </c>
      <c r="C421" s="43"/>
      <c r="D421" s="23"/>
      <c r="E421" s="23"/>
      <c r="F421" s="11"/>
      <c r="G421" s="35"/>
      <c r="H421" s="23"/>
      <c r="I421" s="24"/>
      <c r="J421" s="31" t="str">
        <f aca="false">IF(I421="","",UPPER(SUBSTITUTE(SUBSTITUTE(SUBSTITUTE(SUBSTITUTE(SUBSTITUTE(TRIM(I421),".",""),"/",""),"-",""),"*","")," ","")))</f>
        <v/>
      </c>
      <c r="K421" s="31" t="str">
        <f aca="false">IF(OR(H421="",J421=""),"",IF(LEN(J421)&gt;=13,IF(LEN(J421)=13,"0"&amp;J421,J421),SUBSTITUTE(SUBSTITUTE(SUBSTITUTE(SUBSTITUTE(SUBSTITUTE(SUBSTITUTE(SUBSTITUTE(SUBSTITUTE(SUBSTITUTE(SUBSTITUTE(SUBSTITUTE(SUBSTITUTE(SUBSTITUTE(UPPER(TRIM(H421)),"Á","A"),"À","A"),"Â","A"),"Ã","A"),"É","E"),"Ê","E"),"Í","I"),"Ó","O"),"Ô","O"),"Õ","O"),"Ú","U"),"Ü","U"),"Ç","C")&amp;"|"&amp;IF(LEN(J421)=11,MID(J421,4,6),J421)))</f>
        <v/>
      </c>
      <c r="L421" s="25" t="str">
        <f aca="false">IF(K421="","",IF(E421="Doação recebida",TRIM(IF(COUNTIF(Socios!$H:$H,K421)&gt;0,"Doador é sócio de empresa da pauta. ","")&amp;IF(COUNTIF(Pessoas!$E:$E,K421)&gt;0,"Doador está em Pessoas.","")),IF(E421="Despesa com fornecedor",IF(COUNTIF(Contratos!$D:$D,K421)&gt;0,"Fornecedor também tem contrato público",""),"")))</f>
        <v/>
      </c>
      <c r="M421" s="24"/>
      <c r="N421" s="11"/>
    </row>
    <row r="422" customFormat="false" ht="15" hidden="false" customHeight="false" outlineLevel="0" collapsed="false">
      <c r="A422" s="23"/>
      <c r="B422" s="31" t="str">
        <f aca="false">IF(A422="","",SUBSTITUTE(SUBSTITUTE(SUBSTITUTE(SUBSTITUTE(SUBSTITUTE(SUBSTITUTE(SUBSTITUTE(SUBSTITUTE(SUBSTITUTE(SUBSTITUTE(SUBSTITUTE(SUBSTITUTE(SUBSTITUTE(UPPER(TRIM(A422)),"Á","A"),"À","A"),"Â","A"),"Ã","A"),"É","E"),"Ê","E"),"Í","I"),"Ó","O"),"Ô","O"),"Õ","O"),"Ú","U"),"Ü","U"),"Ç","C"))</f>
        <v/>
      </c>
      <c r="C422" s="43"/>
      <c r="D422" s="23"/>
      <c r="E422" s="23"/>
      <c r="F422" s="11"/>
      <c r="G422" s="35"/>
      <c r="H422" s="23"/>
      <c r="I422" s="24"/>
      <c r="J422" s="31" t="str">
        <f aca="false">IF(I422="","",UPPER(SUBSTITUTE(SUBSTITUTE(SUBSTITUTE(SUBSTITUTE(SUBSTITUTE(TRIM(I422),".",""),"/",""),"-",""),"*","")," ","")))</f>
        <v/>
      </c>
      <c r="K422" s="31" t="str">
        <f aca="false">IF(OR(H422="",J422=""),"",IF(LEN(J422)&gt;=13,IF(LEN(J422)=13,"0"&amp;J422,J422),SUBSTITUTE(SUBSTITUTE(SUBSTITUTE(SUBSTITUTE(SUBSTITUTE(SUBSTITUTE(SUBSTITUTE(SUBSTITUTE(SUBSTITUTE(SUBSTITUTE(SUBSTITUTE(SUBSTITUTE(SUBSTITUTE(UPPER(TRIM(H422)),"Á","A"),"À","A"),"Â","A"),"Ã","A"),"É","E"),"Ê","E"),"Í","I"),"Ó","O"),"Ô","O"),"Õ","O"),"Ú","U"),"Ü","U"),"Ç","C")&amp;"|"&amp;IF(LEN(J422)=11,MID(J422,4,6),J422)))</f>
        <v/>
      </c>
      <c r="L422" s="25" t="str">
        <f aca="false">IF(K422="","",IF(E422="Doação recebida",TRIM(IF(COUNTIF(Socios!$H:$H,K422)&gt;0,"Doador é sócio de empresa da pauta. ","")&amp;IF(COUNTIF(Pessoas!$E:$E,K422)&gt;0,"Doador está em Pessoas.","")),IF(E422="Despesa com fornecedor",IF(COUNTIF(Contratos!$D:$D,K422)&gt;0,"Fornecedor também tem contrato público",""),"")))</f>
        <v/>
      </c>
      <c r="M422" s="24"/>
      <c r="N422" s="11"/>
    </row>
    <row r="423" customFormat="false" ht="15" hidden="false" customHeight="false" outlineLevel="0" collapsed="false">
      <c r="A423" s="23"/>
      <c r="B423" s="31" t="str">
        <f aca="false">IF(A423="","",SUBSTITUTE(SUBSTITUTE(SUBSTITUTE(SUBSTITUTE(SUBSTITUTE(SUBSTITUTE(SUBSTITUTE(SUBSTITUTE(SUBSTITUTE(SUBSTITUTE(SUBSTITUTE(SUBSTITUTE(SUBSTITUTE(UPPER(TRIM(A423)),"Á","A"),"À","A"),"Â","A"),"Ã","A"),"É","E"),"Ê","E"),"Í","I"),"Ó","O"),"Ô","O"),"Õ","O"),"Ú","U"),"Ü","U"),"Ç","C"))</f>
        <v/>
      </c>
      <c r="C423" s="43"/>
      <c r="D423" s="23"/>
      <c r="E423" s="23"/>
      <c r="F423" s="11"/>
      <c r="G423" s="35"/>
      <c r="H423" s="23"/>
      <c r="I423" s="24"/>
      <c r="J423" s="31" t="str">
        <f aca="false">IF(I423="","",UPPER(SUBSTITUTE(SUBSTITUTE(SUBSTITUTE(SUBSTITUTE(SUBSTITUTE(TRIM(I423),".",""),"/",""),"-",""),"*","")," ","")))</f>
        <v/>
      </c>
      <c r="K423" s="31" t="str">
        <f aca="false">IF(OR(H423="",J423=""),"",IF(LEN(J423)&gt;=13,IF(LEN(J423)=13,"0"&amp;J423,J423),SUBSTITUTE(SUBSTITUTE(SUBSTITUTE(SUBSTITUTE(SUBSTITUTE(SUBSTITUTE(SUBSTITUTE(SUBSTITUTE(SUBSTITUTE(SUBSTITUTE(SUBSTITUTE(SUBSTITUTE(SUBSTITUTE(UPPER(TRIM(H423)),"Á","A"),"À","A"),"Â","A"),"Ã","A"),"É","E"),"Ê","E"),"Í","I"),"Ó","O"),"Ô","O"),"Õ","O"),"Ú","U"),"Ü","U"),"Ç","C")&amp;"|"&amp;IF(LEN(J423)=11,MID(J423,4,6),J423)))</f>
        <v/>
      </c>
      <c r="L423" s="25" t="str">
        <f aca="false">IF(K423="","",IF(E423="Doação recebida",TRIM(IF(COUNTIF(Socios!$H:$H,K423)&gt;0,"Doador é sócio de empresa da pauta. ","")&amp;IF(COUNTIF(Pessoas!$E:$E,K423)&gt;0,"Doador está em Pessoas.","")),IF(E423="Despesa com fornecedor",IF(COUNTIF(Contratos!$D:$D,K423)&gt;0,"Fornecedor também tem contrato público",""),"")))</f>
        <v/>
      </c>
      <c r="M423" s="24"/>
      <c r="N423" s="11"/>
    </row>
    <row r="424" customFormat="false" ht="15" hidden="false" customHeight="false" outlineLevel="0" collapsed="false">
      <c r="A424" s="23"/>
      <c r="B424" s="31" t="str">
        <f aca="false">IF(A424="","",SUBSTITUTE(SUBSTITUTE(SUBSTITUTE(SUBSTITUTE(SUBSTITUTE(SUBSTITUTE(SUBSTITUTE(SUBSTITUTE(SUBSTITUTE(SUBSTITUTE(SUBSTITUTE(SUBSTITUTE(SUBSTITUTE(UPPER(TRIM(A424)),"Á","A"),"À","A"),"Â","A"),"Ã","A"),"É","E"),"Ê","E"),"Í","I"),"Ó","O"),"Ô","O"),"Õ","O"),"Ú","U"),"Ü","U"),"Ç","C"))</f>
        <v/>
      </c>
      <c r="C424" s="43"/>
      <c r="D424" s="23"/>
      <c r="E424" s="23"/>
      <c r="F424" s="11"/>
      <c r="G424" s="35"/>
      <c r="H424" s="23"/>
      <c r="I424" s="24"/>
      <c r="J424" s="31" t="str">
        <f aca="false">IF(I424="","",UPPER(SUBSTITUTE(SUBSTITUTE(SUBSTITUTE(SUBSTITUTE(SUBSTITUTE(TRIM(I424),".",""),"/",""),"-",""),"*","")," ","")))</f>
        <v/>
      </c>
      <c r="K424" s="31" t="str">
        <f aca="false">IF(OR(H424="",J424=""),"",IF(LEN(J424)&gt;=13,IF(LEN(J424)=13,"0"&amp;J424,J424),SUBSTITUTE(SUBSTITUTE(SUBSTITUTE(SUBSTITUTE(SUBSTITUTE(SUBSTITUTE(SUBSTITUTE(SUBSTITUTE(SUBSTITUTE(SUBSTITUTE(SUBSTITUTE(SUBSTITUTE(SUBSTITUTE(UPPER(TRIM(H424)),"Á","A"),"À","A"),"Â","A"),"Ã","A"),"É","E"),"Ê","E"),"Í","I"),"Ó","O"),"Ô","O"),"Õ","O"),"Ú","U"),"Ü","U"),"Ç","C")&amp;"|"&amp;IF(LEN(J424)=11,MID(J424,4,6),J424)))</f>
        <v/>
      </c>
      <c r="L424" s="25" t="str">
        <f aca="false">IF(K424="","",IF(E424="Doação recebida",TRIM(IF(COUNTIF(Socios!$H:$H,K424)&gt;0,"Doador é sócio de empresa da pauta. ","")&amp;IF(COUNTIF(Pessoas!$E:$E,K424)&gt;0,"Doador está em Pessoas.","")),IF(E424="Despesa com fornecedor",IF(COUNTIF(Contratos!$D:$D,K424)&gt;0,"Fornecedor também tem contrato público",""),"")))</f>
        <v/>
      </c>
      <c r="M424" s="24"/>
      <c r="N424" s="11"/>
    </row>
    <row r="425" customFormat="false" ht="15" hidden="false" customHeight="false" outlineLevel="0" collapsed="false">
      <c r="A425" s="23"/>
      <c r="B425" s="31" t="str">
        <f aca="false">IF(A425="","",SUBSTITUTE(SUBSTITUTE(SUBSTITUTE(SUBSTITUTE(SUBSTITUTE(SUBSTITUTE(SUBSTITUTE(SUBSTITUTE(SUBSTITUTE(SUBSTITUTE(SUBSTITUTE(SUBSTITUTE(SUBSTITUTE(UPPER(TRIM(A425)),"Á","A"),"À","A"),"Â","A"),"Ã","A"),"É","E"),"Ê","E"),"Í","I"),"Ó","O"),"Ô","O"),"Õ","O"),"Ú","U"),"Ü","U"),"Ç","C"))</f>
        <v/>
      </c>
      <c r="C425" s="43"/>
      <c r="D425" s="23"/>
      <c r="E425" s="23"/>
      <c r="F425" s="11"/>
      <c r="G425" s="35"/>
      <c r="H425" s="23"/>
      <c r="I425" s="24"/>
      <c r="J425" s="31" t="str">
        <f aca="false">IF(I425="","",UPPER(SUBSTITUTE(SUBSTITUTE(SUBSTITUTE(SUBSTITUTE(SUBSTITUTE(TRIM(I425),".",""),"/",""),"-",""),"*","")," ","")))</f>
        <v/>
      </c>
      <c r="K425" s="31" t="str">
        <f aca="false">IF(OR(H425="",J425=""),"",IF(LEN(J425)&gt;=13,IF(LEN(J425)=13,"0"&amp;J425,J425),SUBSTITUTE(SUBSTITUTE(SUBSTITUTE(SUBSTITUTE(SUBSTITUTE(SUBSTITUTE(SUBSTITUTE(SUBSTITUTE(SUBSTITUTE(SUBSTITUTE(SUBSTITUTE(SUBSTITUTE(SUBSTITUTE(UPPER(TRIM(H425)),"Á","A"),"À","A"),"Â","A"),"Ã","A"),"É","E"),"Ê","E"),"Í","I"),"Ó","O"),"Ô","O"),"Õ","O"),"Ú","U"),"Ü","U"),"Ç","C")&amp;"|"&amp;IF(LEN(J425)=11,MID(J425,4,6),J425)))</f>
        <v/>
      </c>
      <c r="L425" s="25" t="str">
        <f aca="false">IF(K425="","",IF(E425="Doação recebida",TRIM(IF(COUNTIF(Socios!$H:$H,K425)&gt;0,"Doador é sócio de empresa da pauta. ","")&amp;IF(COUNTIF(Pessoas!$E:$E,K425)&gt;0,"Doador está em Pessoas.","")),IF(E425="Despesa com fornecedor",IF(COUNTIF(Contratos!$D:$D,K425)&gt;0,"Fornecedor também tem contrato público",""),"")))</f>
        <v/>
      </c>
      <c r="M425" s="24"/>
      <c r="N425" s="11"/>
    </row>
    <row r="426" customFormat="false" ht="15" hidden="false" customHeight="false" outlineLevel="0" collapsed="false">
      <c r="A426" s="23"/>
      <c r="B426" s="31" t="str">
        <f aca="false">IF(A426="","",SUBSTITUTE(SUBSTITUTE(SUBSTITUTE(SUBSTITUTE(SUBSTITUTE(SUBSTITUTE(SUBSTITUTE(SUBSTITUTE(SUBSTITUTE(SUBSTITUTE(SUBSTITUTE(SUBSTITUTE(SUBSTITUTE(UPPER(TRIM(A426)),"Á","A"),"À","A"),"Â","A"),"Ã","A"),"É","E"),"Ê","E"),"Í","I"),"Ó","O"),"Ô","O"),"Õ","O"),"Ú","U"),"Ü","U"),"Ç","C"))</f>
        <v/>
      </c>
      <c r="C426" s="43"/>
      <c r="D426" s="23"/>
      <c r="E426" s="23"/>
      <c r="F426" s="11"/>
      <c r="G426" s="35"/>
      <c r="H426" s="23"/>
      <c r="I426" s="24"/>
      <c r="J426" s="31" t="str">
        <f aca="false">IF(I426="","",UPPER(SUBSTITUTE(SUBSTITUTE(SUBSTITUTE(SUBSTITUTE(SUBSTITUTE(TRIM(I426),".",""),"/",""),"-",""),"*","")," ","")))</f>
        <v/>
      </c>
      <c r="K426" s="31" t="str">
        <f aca="false">IF(OR(H426="",J426=""),"",IF(LEN(J426)&gt;=13,IF(LEN(J426)=13,"0"&amp;J426,J426),SUBSTITUTE(SUBSTITUTE(SUBSTITUTE(SUBSTITUTE(SUBSTITUTE(SUBSTITUTE(SUBSTITUTE(SUBSTITUTE(SUBSTITUTE(SUBSTITUTE(SUBSTITUTE(SUBSTITUTE(SUBSTITUTE(UPPER(TRIM(H426)),"Á","A"),"À","A"),"Â","A"),"Ã","A"),"É","E"),"Ê","E"),"Í","I"),"Ó","O"),"Ô","O"),"Õ","O"),"Ú","U"),"Ü","U"),"Ç","C")&amp;"|"&amp;IF(LEN(J426)=11,MID(J426,4,6),J426)))</f>
        <v/>
      </c>
      <c r="L426" s="25" t="str">
        <f aca="false">IF(K426="","",IF(E426="Doação recebida",TRIM(IF(COUNTIF(Socios!$H:$H,K426)&gt;0,"Doador é sócio de empresa da pauta. ","")&amp;IF(COUNTIF(Pessoas!$E:$E,K426)&gt;0,"Doador está em Pessoas.","")),IF(E426="Despesa com fornecedor",IF(COUNTIF(Contratos!$D:$D,K426)&gt;0,"Fornecedor também tem contrato público",""),"")))</f>
        <v/>
      </c>
      <c r="M426" s="24"/>
      <c r="N426" s="11"/>
    </row>
    <row r="427" customFormat="false" ht="15" hidden="false" customHeight="false" outlineLevel="0" collapsed="false">
      <c r="A427" s="23"/>
      <c r="B427" s="31" t="str">
        <f aca="false">IF(A427="","",SUBSTITUTE(SUBSTITUTE(SUBSTITUTE(SUBSTITUTE(SUBSTITUTE(SUBSTITUTE(SUBSTITUTE(SUBSTITUTE(SUBSTITUTE(SUBSTITUTE(SUBSTITUTE(SUBSTITUTE(SUBSTITUTE(UPPER(TRIM(A427)),"Á","A"),"À","A"),"Â","A"),"Ã","A"),"É","E"),"Ê","E"),"Í","I"),"Ó","O"),"Ô","O"),"Õ","O"),"Ú","U"),"Ü","U"),"Ç","C"))</f>
        <v/>
      </c>
      <c r="C427" s="43"/>
      <c r="D427" s="23"/>
      <c r="E427" s="23"/>
      <c r="F427" s="11"/>
      <c r="G427" s="35"/>
      <c r="H427" s="23"/>
      <c r="I427" s="24"/>
      <c r="J427" s="31" t="str">
        <f aca="false">IF(I427="","",UPPER(SUBSTITUTE(SUBSTITUTE(SUBSTITUTE(SUBSTITUTE(SUBSTITUTE(TRIM(I427),".",""),"/",""),"-",""),"*","")," ","")))</f>
        <v/>
      </c>
      <c r="K427" s="31" t="str">
        <f aca="false">IF(OR(H427="",J427=""),"",IF(LEN(J427)&gt;=13,IF(LEN(J427)=13,"0"&amp;J427,J427),SUBSTITUTE(SUBSTITUTE(SUBSTITUTE(SUBSTITUTE(SUBSTITUTE(SUBSTITUTE(SUBSTITUTE(SUBSTITUTE(SUBSTITUTE(SUBSTITUTE(SUBSTITUTE(SUBSTITUTE(SUBSTITUTE(UPPER(TRIM(H427)),"Á","A"),"À","A"),"Â","A"),"Ã","A"),"É","E"),"Ê","E"),"Í","I"),"Ó","O"),"Ô","O"),"Õ","O"),"Ú","U"),"Ü","U"),"Ç","C")&amp;"|"&amp;IF(LEN(J427)=11,MID(J427,4,6),J427)))</f>
        <v/>
      </c>
      <c r="L427" s="25" t="str">
        <f aca="false">IF(K427="","",IF(E427="Doação recebida",TRIM(IF(COUNTIF(Socios!$H:$H,K427)&gt;0,"Doador é sócio de empresa da pauta. ","")&amp;IF(COUNTIF(Pessoas!$E:$E,K427)&gt;0,"Doador está em Pessoas.","")),IF(E427="Despesa com fornecedor",IF(COUNTIF(Contratos!$D:$D,K427)&gt;0,"Fornecedor também tem contrato público",""),"")))</f>
        <v/>
      </c>
      <c r="M427" s="24"/>
      <c r="N427" s="11"/>
    </row>
    <row r="428" customFormat="false" ht="15" hidden="false" customHeight="false" outlineLevel="0" collapsed="false">
      <c r="A428" s="23"/>
      <c r="B428" s="31" t="str">
        <f aca="false">IF(A428="","",SUBSTITUTE(SUBSTITUTE(SUBSTITUTE(SUBSTITUTE(SUBSTITUTE(SUBSTITUTE(SUBSTITUTE(SUBSTITUTE(SUBSTITUTE(SUBSTITUTE(SUBSTITUTE(SUBSTITUTE(SUBSTITUTE(UPPER(TRIM(A428)),"Á","A"),"À","A"),"Â","A"),"Ã","A"),"É","E"),"Ê","E"),"Í","I"),"Ó","O"),"Ô","O"),"Õ","O"),"Ú","U"),"Ü","U"),"Ç","C"))</f>
        <v/>
      </c>
      <c r="C428" s="43"/>
      <c r="D428" s="23"/>
      <c r="E428" s="23"/>
      <c r="F428" s="11"/>
      <c r="G428" s="35"/>
      <c r="H428" s="23"/>
      <c r="I428" s="24"/>
      <c r="J428" s="31" t="str">
        <f aca="false">IF(I428="","",UPPER(SUBSTITUTE(SUBSTITUTE(SUBSTITUTE(SUBSTITUTE(SUBSTITUTE(TRIM(I428),".",""),"/",""),"-",""),"*","")," ","")))</f>
        <v/>
      </c>
      <c r="K428" s="31" t="str">
        <f aca="false">IF(OR(H428="",J428=""),"",IF(LEN(J428)&gt;=13,IF(LEN(J428)=13,"0"&amp;J428,J428),SUBSTITUTE(SUBSTITUTE(SUBSTITUTE(SUBSTITUTE(SUBSTITUTE(SUBSTITUTE(SUBSTITUTE(SUBSTITUTE(SUBSTITUTE(SUBSTITUTE(SUBSTITUTE(SUBSTITUTE(SUBSTITUTE(UPPER(TRIM(H428)),"Á","A"),"À","A"),"Â","A"),"Ã","A"),"É","E"),"Ê","E"),"Í","I"),"Ó","O"),"Ô","O"),"Õ","O"),"Ú","U"),"Ü","U"),"Ç","C")&amp;"|"&amp;IF(LEN(J428)=11,MID(J428,4,6),J428)))</f>
        <v/>
      </c>
      <c r="L428" s="25" t="str">
        <f aca="false">IF(K428="","",IF(E428="Doação recebida",TRIM(IF(COUNTIF(Socios!$H:$H,K428)&gt;0,"Doador é sócio de empresa da pauta. ","")&amp;IF(COUNTIF(Pessoas!$E:$E,K428)&gt;0,"Doador está em Pessoas.","")),IF(E428="Despesa com fornecedor",IF(COUNTIF(Contratos!$D:$D,K428)&gt;0,"Fornecedor também tem contrato público",""),"")))</f>
        <v/>
      </c>
      <c r="M428" s="24"/>
      <c r="N428" s="11"/>
    </row>
    <row r="429" customFormat="false" ht="15" hidden="false" customHeight="false" outlineLevel="0" collapsed="false">
      <c r="A429" s="23"/>
      <c r="B429" s="31" t="str">
        <f aca="false">IF(A429="","",SUBSTITUTE(SUBSTITUTE(SUBSTITUTE(SUBSTITUTE(SUBSTITUTE(SUBSTITUTE(SUBSTITUTE(SUBSTITUTE(SUBSTITUTE(SUBSTITUTE(SUBSTITUTE(SUBSTITUTE(SUBSTITUTE(UPPER(TRIM(A429)),"Á","A"),"À","A"),"Â","A"),"Ã","A"),"É","E"),"Ê","E"),"Í","I"),"Ó","O"),"Ô","O"),"Õ","O"),"Ú","U"),"Ü","U"),"Ç","C"))</f>
        <v/>
      </c>
      <c r="C429" s="43"/>
      <c r="D429" s="23"/>
      <c r="E429" s="23"/>
      <c r="F429" s="11"/>
      <c r="G429" s="35"/>
      <c r="H429" s="23"/>
      <c r="I429" s="24"/>
      <c r="J429" s="31" t="str">
        <f aca="false">IF(I429="","",UPPER(SUBSTITUTE(SUBSTITUTE(SUBSTITUTE(SUBSTITUTE(SUBSTITUTE(TRIM(I429),".",""),"/",""),"-",""),"*","")," ","")))</f>
        <v/>
      </c>
      <c r="K429" s="31" t="str">
        <f aca="false">IF(OR(H429="",J429=""),"",IF(LEN(J429)&gt;=13,IF(LEN(J429)=13,"0"&amp;J429,J429),SUBSTITUTE(SUBSTITUTE(SUBSTITUTE(SUBSTITUTE(SUBSTITUTE(SUBSTITUTE(SUBSTITUTE(SUBSTITUTE(SUBSTITUTE(SUBSTITUTE(SUBSTITUTE(SUBSTITUTE(SUBSTITUTE(UPPER(TRIM(H429)),"Á","A"),"À","A"),"Â","A"),"Ã","A"),"É","E"),"Ê","E"),"Í","I"),"Ó","O"),"Ô","O"),"Õ","O"),"Ú","U"),"Ü","U"),"Ç","C")&amp;"|"&amp;IF(LEN(J429)=11,MID(J429,4,6),J429)))</f>
        <v/>
      </c>
      <c r="L429" s="25" t="str">
        <f aca="false">IF(K429="","",IF(E429="Doação recebida",TRIM(IF(COUNTIF(Socios!$H:$H,K429)&gt;0,"Doador é sócio de empresa da pauta. ","")&amp;IF(COUNTIF(Pessoas!$E:$E,K429)&gt;0,"Doador está em Pessoas.","")),IF(E429="Despesa com fornecedor",IF(COUNTIF(Contratos!$D:$D,K429)&gt;0,"Fornecedor também tem contrato público",""),"")))</f>
        <v/>
      </c>
      <c r="M429" s="24"/>
      <c r="N429" s="11"/>
    </row>
    <row r="430" customFormat="false" ht="15" hidden="false" customHeight="false" outlineLevel="0" collapsed="false">
      <c r="A430" s="23"/>
      <c r="B430" s="31" t="str">
        <f aca="false">IF(A430="","",SUBSTITUTE(SUBSTITUTE(SUBSTITUTE(SUBSTITUTE(SUBSTITUTE(SUBSTITUTE(SUBSTITUTE(SUBSTITUTE(SUBSTITUTE(SUBSTITUTE(SUBSTITUTE(SUBSTITUTE(SUBSTITUTE(UPPER(TRIM(A430)),"Á","A"),"À","A"),"Â","A"),"Ã","A"),"É","E"),"Ê","E"),"Í","I"),"Ó","O"),"Ô","O"),"Õ","O"),"Ú","U"),"Ü","U"),"Ç","C"))</f>
        <v/>
      </c>
      <c r="C430" s="43"/>
      <c r="D430" s="23"/>
      <c r="E430" s="23"/>
      <c r="F430" s="11"/>
      <c r="G430" s="35"/>
      <c r="H430" s="23"/>
      <c r="I430" s="24"/>
      <c r="J430" s="31" t="str">
        <f aca="false">IF(I430="","",UPPER(SUBSTITUTE(SUBSTITUTE(SUBSTITUTE(SUBSTITUTE(SUBSTITUTE(TRIM(I430),".",""),"/",""),"-",""),"*","")," ","")))</f>
        <v/>
      </c>
      <c r="K430" s="31" t="str">
        <f aca="false">IF(OR(H430="",J430=""),"",IF(LEN(J430)&gt;=13,IF(LEN(J430)=13,"0"&amp;J430,J430),SUBSTITUTE(SUBSTITUTE(SUBSTITUTE(SUBSTITUTE(SUBSTITUTE(SUBSTITUTE(SUBSTITUTE(SUBSTITUTE(SUBSTITUTE(SUBSTITUTE(SUBSTITUTE(SUBSTITUTE(SUBSTITUTE(UPPER(TRIM(H430)),"Á","A"),"À","A"),"Â","A"),"Ã","A"),"É","E"),"Ê","E"),"Í","I"),"Ó","O"),"Ô","O"),"Õ","O"),"Ú","U"),"Ü","U"),"Ç","C")&amp;"|"&amp;IF(LEN(J430)=11,MID(J430,4,6),J430)))</f>
        <v/>
      </c>
      <c r="L430" s="25" t="str">
        <f aca="false">IF(K430="","",IF(E430="Doação recebida",TRIM(IF(COUNTIF(Socios!$H:$H,K430)&gt;0,"Doador é sócio de empresa da pauta. ","")&amp;IF(COUNTIF(Pessoas!$E:$E,K430)&gt;0,"Doador está em Pessoas.","")),IF(E430="Despesa com fornecedor",IF(COUNTIF(Contratos!$D:$D,K430)&gt;0,"Fornecedor também tem contrato público",""),"")))</f>
        <v/>
      </c>
      <c r="M430" s="24"/>
      <c r="N430" s="11"/>
    </row>
    <row r="431" customFormat="false" ht="15" hidden="false" customHeight="false" outlineLevel="0" collapsed="false">
      <c r="A431" s="23"/>
      <c r="B431" s="31" t="str">
        <f aca="false">IF(A431="","",SUBSTITUTE(SUBSTITUTE(SUBSTITUTE(SUBSTITUTE(SUBSTITUTE(SUBSTITUTE(SUBSTITUTE(SUBSTITUTE(SUBSTITUTE(SUBSTITUTE(SUBSTITUTE(SUBSTITUTE(SUBSTITUTE(UPPER(TRIM(A431)),"Á","A"),"À","A"),"Â","A"),"Ã","A"),"É","E"),"Ê","E"),"Í","I"),"Ó","O"),"Ô","O"),"Õ","O"),"Ú","U"),"Ü","U"),"Ç","C"))</f>
        <v/>
      </c>
      <c r="C431" s="43"/>
      <c r="D431" s="23"/>
      <c r="E431" s="23"/>
      <c r="F431" s="11"/>
      <c r="G431" s="35"/>
      <c r="H431" s="23"/>
      <c r="I431" s="24"/>
      <c r="J431" s="31" t="str">
        <f aca="false">IF(I431="","",UPPER(SUBSTITUTE(SUBSTITUTE(SUBSTITUTE(SUBSTITUTE(SUBSTITUTE(TRIM(I431),".",""),"/",""),"-",""),"*","")," ","")))</f>
        <v/>
      </c>
      <c r="K431" s="31" t="str">
        <f aca="false">IF(OR(H431="",J431=""),"",IF(LEN(J431)&gt;=13,IF(LEN(J431)=13,"0"&amp;J431,J431),SUBSTITUTE(SUBSTITUTE(SUBSTITUTE(SUBSTITUTE(SUBSTITUTE(SUBSTITUTE(SUBSTITUTE(SUBSTITUTE(SUBSTITUTE(SUBSTITUTE(SUBSTITUTE(SUBSTITUTE(SUBSTITUTE(UPPER(TRIM(H431)),"Á","A"),"À","A"),"Â","A"),"Ã","A"),"É","E"),"Ê","E"),"Í","I"),"Ó","O"),"Ô","O"),"Õ","O"),"Ú","U"),"Ü","U"),"Ç","C")&amp;"|"&amp;IF(LEN(J431)=11,MID(J431,4,6),J431)))</f>
        <v/>
      </c>
      <c r="L431" s="25" t="str">
        <f aca="false">IF(K431="","",IF(E431="Doação recebida",TRIM(IF(COUNTIF(Socios!$H:$H,K431)&gt;0,"Doador é sócio de empresa da pauta. ","")&amp;IF(COUNTIF(Pessoas!$E:$E,K431)&gt;0,"Doador está em Pessoas.","")),IF(E431="Despesa com fornecedor",IF(COUNTIF(Contratos!$D:$D,K431)&gt;0,"Fornecedor também tem contrato público",""),"")))</f>
        <v/>
      </c>
      <c r="M431" s="24"/>
      <c r="N431" s="11"/>
    </row>
    <row r="432" customFormat="false" ht="15" hidden="false" customHeight="false" outlineLevel="0" collapsed="false">
      <c r="A432" s="23"/>
      <c r="B432" s="31" t="str">
        <f aca="false">IF(A432="","",SUBSTITUTE(SUBSTITUTE(SUBSTITUTE(SUBSTITUTE(SUBSTITUTE(SUBSTITUTE(SUBSTITUTE(SUBSTITUTE(SUBSTITUTE(SUBSTITUTE(SUBSTITUTE(SUBSTITUTE(SUBSTITUTE(UPPER(TRIM(A432)),"Á","A"),"À","A"),"Â","A"),"Ã","A"),"É","E"),"Ê","E"),"Í","I"),"Ó","O"),"Ô","O"),"Õ","O"),"Ú","U"),"Ü","U"),"Ç","C"))</f>
        <v/>
      </c>
      <c r="C432" s="43"/>
      <c r="D432" s="23"/>
      <c r="E432" s="23"/>
      <c r="F432" s="11"/>
      <c r="G432" s="35"/>
      <c r="H432" s="23"/>
      <c r="I432" s="24"/>
      <c r="J432" s="31" t="str">
        <f aca="false">IF(I432="","",UPPER(SUBSTITUTE(SUBSTITUTE(SUBSTITUTE(SUBSTITUTE(SUBSTITUTE(TRIM(I432),".",""),"/",""),"-",""),"*","")," ","")))</f>
        <v/>
      </c>
      <c r="K432" s="31" t="str">
        <f aca="false">IF(OR(H432="",J432=""),"",IF(LEN(J432)&gt;=13,IF(LEN(J432)=13,"0"&amp;J432,J432),SUBSTITUTE(SUBSTITUTE(SUBSTITUTE(SUBSTITUTE(SUBSTITUTE(SUBSTITUTE(SUBSTITUTE(SUBSTITUTE(SUBSTITUTE(SUBSTITUTE(SUBSTITUTE(SUBSTITUTE(SUBSTITUTE(UPPER(TRIM(H432)),"Á","A"),"À","A"),"Â","A"),"Ã","A"),"É","E"),"Ê","E"),"Í","I"),"Ó","O"),"Ô","O"),"Õ","O"),"Ú","U"),"Ü","U"),"Ç","C")&amp;"|"&amp;IF(LEN(J432)=11,MID(J432,4,6),J432)))</f>
        <v/>
      </c>
      <c r="L432" s="25" t="str">
        <f aca="false">IF(K432="","",IF(E432="Doação recebida",TRIM(IF(COUNTIF(Socios!$H:$H,K432)&gt;0,"Doador é sócio de empresa da pauta. ","")&amp;IF(COUNTIF(Pessoas!$E:$E,K432)&gt;0,"Doador está em Pessoas.","")),IF(E432="Despesa com fornecedor",IF(COUNTIF(Contratos!$D:$D,K432)&gt;0,"Fornecedor também tem contrato público",""),"")))</f>
        <v/>
      </c>
      <c r="M432" s="24"/>
      <c r="N432" s="11"/>
    </row>
    <row r="433" customFormat="false" ht="15" hidden="false" customHeight="false" outlineLevel="0" collapsed="false">
      <c r="A433" s="23"/>
      <c r="B433" s="31" t="str">
        <f aca="false">IF(A433="","",SUBSTITUTE(SUBSTITUTE(SUBSTITUTE(SUBSTITUTE(SUBSTITUTE(SUBSTITUTE(SUBSTITUTE(SUBSTITUTE(SUBSTITUTE(SUBSTITUTE(SUBSTITUTE(SUBSTITUTE(SUBSTITUTE(UPPER(TRIM(A433)),"Á","A"),"À","A"),"Â","A"),"Ã","A"),"É","E"),"Ê","E"),"Í","I"),"Ó","O"),"Ô","O"),"Õ","O"),"Ú","U"),"Ü","U"),"Ç","C"))</f>
        <v/>
      </c>
      <c r="C433" s="43"/>
      <c r="D433" s="23"/>
      <c r="E433" s="23"/>
      <c r="F433" s="11"/>
      <c r="G433" s="35"/>
      <c r="H433" s="23"/>
      <c r="I433" s="24"/>
      <c r="J433" s="31" t="str">
        <f aca="false">IF(I433="","",UPPER(SUBSTITUTE(SUBSTITUTE(SUBSTITUTE(SUBSTITUTE(SUBSTITUTE(TRIM(I433),".",""),"/",""),"-",""),"*","")," ","")))</f>
        <v/>
      </c>
      <c r="K433" s="31" t="str">
        <f aca="false">IF(OR(H433="",J433=""),"",IF(LEN(J433)&gt;=13,IF(LEN(J433)=13,"0"&amp;J433,J433),SUBSTITUTE(SUBSTITUTE(SUBSTITUTE(SUBSTITUTE(SUBSTITUTE(SUBSTITUTE(SUBSTITUTE(SUBSTITUTE(SUBSTITUTE(SUBSTITUTE(SUBSTITUTE(SUBSTITUTE(SUBSTITUTE(UPPER(TRIM(H433)),"Á","A"),"À","A"),"Â","A"),"Ã","A"),"É","E"),"Ê","E"),"Í","I"),"Ó","O"),"Ô","O"),"Õ","O"),"Ú","U"),"Ü","U"),"Ç","C")&amp;"|"&amp;IF(LEN(J433)=11,MID(J433,4,6),J433)))</f>
        <v/>
      </c>
      <c r="L433" s="25" t="str">
        <f aca="false">IF(K433="","",IF(E433="Doação recebida",TRIM(IF(COUNTIF(Socios!$H:$H,K433)&gt;0,"Doador é sócio de empresa da pauta. ","")&amp;IF(COUNTIF(Pessoas!$E:$E,K433)&gt;0,"Doador está em Pessoas.","")),IF(E433="Despesa com fornecedor",IF(COUNTIF(Contratos!$D:$D,K433)&gt;0,"Fornecedor também tem contrato público",""),"")))</f>
        <v/>
      </c>
      <c r="M433" s="24"/>
      <c r="N433" s="11"/>
    </row>
    <row r="434" customFormat="false" ht="15" hidden="false" customHeight="false" outlineLevel="0" collapsed="false">
      <c r="A434" s="23"/>
      <c r="B434" s="31" t="str">
        <f aca="false">IF(A434="","",SUBSTITUTE(SUBSTITUTE(SUBSTITUTE(SUBSTITUTE(SUBSTITUTE(SUBSTITUTE(SUBSTITUTE(SUBSTITUTE(SUBSTITUTE(SUBSTITUTE(SUBSTITUTE(SUBSTITUTE(SUBSTITUTE(UPPER(TRIM(A434)),"Á","A"),"À","A"),"Â","A"),"Ã","A"),"É","E"),"Ê","E"),"Í","I"),"Ó","O"),"Ô","O"),"Õ","O"),"Ú","U"),"Ü","U"),"Ç","C"))</f>
        <v/>
      </c>
      <c r="C434" s="43"/>
      <c r="D434" s="23"/>
      <c r="E434" s="23"/>
      <c r="F434" s="11"/>
      <c r="G434" s="35"/>
      <c r="H434" s="23"/>
      <c r="I434" s="24"/>
      <c r="J434" s="31" t="str">
        <f aca="false">IF(I434="","",UPPER(SUBSTITUTE(SUBSTITUTE(SUBSTITUTE(SUBSTITUTE(SUBSTITUTE(TRIM(I434),".",""),"/",""),"-",""),"*","")," ","")))</f>
        <v/>
      </c>
      <c r="K434" s="31" t="str">
        <f aca="false">IF(OR(H434="",J434=""),"",IF(LEN(J434)&gt;=13,IF(LEN(J434)=13,"0"&amp;J434,J434),SUBSTITUTE(SUBSTITUTE(SUBSTITUTE(SUBSTITUTE(SUBSTITUTE(SUBSTITUTE(SUBSTITUTE(SUBSTITUTE(SUBSTITUTE(SUBSTITUTE(SUBSTITUTE(SUBSTITUTE(SUBSTITUTE(UPPER(TRIM(H434)),"Á","A"),"À","A"),"Â","A"),"Ã","A"),"É","E"),"Ê","E"),"Í","I"),"Ó","O"),"Ô","O"),"Õ","O"),"Ú","U"),"Ü","U"),"Ç","C")&amp;"|"&amp;IF(LEN(J434)=11,MID(J434,4,6),J434)))</f>
        <v/>
      </c>
      <c r="L434" s="25" t="str">
        <f aca="false">IF(K434="","",IF(E434="Doação recebida",TRIM(IF(COUNTIF(Socios!$H:$H,K434)&gt;0,"Doador é sócio de empresa da pauta. ","")&amp;IF(COUNTIF(Pessoas!$E:$E,K434)&gt;0,"Doador está em Pessoas.","")),IF(E434="Despesa com fornecedor",IF(COUNTIF(Contratos!$D:$D,K434)&gt;0,"Fornecedor também tem contrato público",""),"")))</f>
        <v/>
      </c>
      <c r="M434" s="24"/>
      <c r="N434" s="11"/>
    </row>
    <row r="435" customFormat="false" ht="15" hidden="false" customHeight="false" outlineLevel="0" collapsed="false">
      <c r="A435" s="23"/>
      <c r="B435" s="31" t="str">
        <f aca="false">IF(A435="","",SUBSTITUTE(SUBSTITUTE(SUBSTITUTE(SUBSTITUTE(SUBSTITUTE(SUBSTITUTE(SUBSTITUTE(SUBSTITUTE(SUBSTITUTE(SUBSTITUTE(SUBSTITUTE(SUBSTITUTE(SUBSTITUTE(UPPER(TRIM(A435)),"Á","A"),"À","A"),"Â","A"),"Ã","A"),"É","E"),"Ê","E"),"Í","I"),"Ó","O"),"Ô","O"),"Õ","O"),"Ú","U"),"Ü","U"),"Ç","C"))</f>
        <v/>
      </c>
      <c r="C435" s="43"/>
      <c r="D435" s="23"/>
      <c r="E435" s="23"/>
      <c r="F435" s="11"/>
      <c r="G435" s="35"/>
      <c r="H435" s="23"/>
      <c r="I435" s="24"/>
      <c r="J435" s="31" t="str">
        <f aca="false">IF(I435="","",UPPER(SUBSTITUTE(SUBSTITUTE(SUBSTITUTE(SUBSTITUTE(SUBSTITUTE(TRIM(I435),".",""),"/",""),"-",""),"*","")," ","")))</f>
        <v/>
      </c>
      <c r="K435" s="31" t="str">
        <f aca="false">IF(OR(H435="",J435=""),"",IF(LEN(J435)&gt;=13,IF(LEN(J435)=13,"0"&amp;J435,J435),SUBSTITUTE(SUBSTITUTE(SUBSTITUTE(SUBSTITUTE(SUBSTITUTE(SUBSTITUTE(SUBSTITUTE(SUBSTITUTE(SUBSTITUTE(SUBSTITUTE(SUBSTITUTE(SUBSTITUTE(SUBSTITUTE(UPPER(TRIM(H435)),"Á","A"),"À","A"),"Â","A"),"Ã","A"),"É","E"),"Ê","E"),"Í","I"),"Ó","O"),"Ô","O"),"Õ","O"),"Ú","U"),"Ü","U"),"Ç","C")&amp;"|"&amp;IF(LEN(J435)=11,MID(J435,4,6),J435)))</f>
        <v/>
      </c>
      <c r="L435" s="25" t="str">
        <f aca="false">IF(K435="","",IF(E435="Doação recebida",TRIM(IF(COUNTIF(Socios!$H:$H,K435)&gt;0,"Doador é sócio de empresa da pauta. ","")&amp;IF(COUNTIF(Pessoas!$E:$E,K435)&gt;0,"Doador está em Pessoas.","")),IF(E435="Despesa com fornecedor",IF(COUNTIF(Contratos!$D:$D,K435)&gt;0,"Fornecedor também tem contrato público",""),"")))</f>
        <v/>
      </c>
      <c r="M435" s="24"/>
      <c r="N435" s="11"/>
    </row>
    <row r="436" customFormat="false" ht="15" hidden="false" customHeight="false" outlineLevel="0" collapsed="false">
      <c r="A436" s="23"/>
      <c r="B436" s="31" t="str">
        <f aca="false">IF(A436="","",SUBSTITUTE(SUBSTITUTE(SUBSTITUTE(SUBSTITUTE(SUBSTITUTE(SUBSTITUTE(SUBSTITUTE(SUBSTITUTE(SUBSTITUTE(SUBSTITUTE(SUBSTITUTE(SUBSTITUTE(SUBSTITUTE(UPPER(TRIM(A436)),"Á","A"),"À","A"),"Â","A"),"Ã","A"),"É","E"),"Ê","E"),"Í","I"),"Ó","O"),"Ô","O"),"Õ","O"),"Ú","U"),"Ü","U"),"Ç","C"))</f>
        <v/>
      </c>
      <c r="C436" s="43"/>
      <c r="D436" s="23"/>
      <c r="E436" s="23"/>
      <c r="F436" s="11"/>
      <c r="G436" s="35"/>
      <c r="H436" s="23"/>
      <c r="I436" s="24"/>
      <c r="J436" s="31" t="str">
        <f aca="false">IF(I436="","",UPPER(SUBSTITUTE(SUBSTITUTE(SUBSTITUTE(SUBSTITUTE(SUBSTITUTE(TRIM(I436),".",""),"/",""),"-",""),"*","")," ","")))</f>
        <v/>
      </c>
      <c r="K436" s="31" t="str">
        <f aca="false">IF(OR(H436="",J436=""),"",IF(LEN(J436)&gt;=13,IF(LEN(J436)=13,"0"&amp;J436,J436),SUBSTITUTE(SUBSTITUTE(SUBSTITUTE(SUBSTITUTE(SUBSTITUTE(SUBSTITUTE(SUBSTITUTE(SUBSTITUTE(SUBSTITUTE(SUBSTITUTE(SUBSTITUTE(SUBSTITUTE(SUBSTITUTE(UPPER(TRIM(H436)),"Á","A"),"À","A"),"Â","A"),"Ã","A"),"É","E"),"Ê","E"),"Í","I"),"Ó","O"),"Ô","O"),"Õ","O"),"Ú","U"),"Ü","U"),"Ç","C")&amp;"|"&amp;IF(LEN(J436)=11,MID(J436,4,6),J436)))</f>
        <v/>
      </c>
      <c r="L436" s="25" t="str">
        <f aca="false">IF(K436="","",IF(E436="Doação recebida",TRIM(IF(COUNTIF(Socios!$H:$H,K436)&gt;0,"Doador é sócio de empresa da pauta. ","")&amp;IF(COUNTIF(Pessoas!$E:$E,K436)&gt;0,"Doador está em Pessoas.","")),IF(E436="Despesa com fornecedor",IF(COUNTIF(Contratos!$D:$D,K436)&gt;0,"Fornecedor também tem contrato público",""),"")))</f>
        <v/>
      </c>
      <c r="M436" s="24"/>
      <c r="N436" s="11"/>
    </row>
    <row r="437" customFormat="false" ht="15" hidden="false" customHeight="false" outlineLevel="0" collapsed="false">
      <c r="A437" s="23"/>
      <c r="B437" s="31" t="str">
        <f aca="false">IF(A437="","",SUBSTITUTE(SUBSTITUTE(SUBSTITUTE(SUBSTITUTE(SUBSTITUTE(SUBSTITUTE(SUBSTITUTE(SUBSTITUTE(SUBSTITUTE(SUBSTITUTE(SUBSTITUTE(SUBSTITUTE(SUBSTITUTE(UPPER(TRIM(A437)),"Á","A"),"À","A"),"Â","A"),"Ã","A"),"É","E"),"Ê","E"),"Í","I"),"Ó","O"),"Ô","O"),"Õ","O"),"Ú","U"),"Ü","U"),"Ç","C"))</f>
        <v/>
      </c>
      <c r="C437" s="43"/>
      <c r="D437" s="23"/>
      <c r="E437" s="23"/>
      <c r="F437" s="11"/>
      <c r="G437" s="35"/>
      <c r="H437" s="23"/>
      <c r="I437" s="24"/>
      <c r="J437" s="31" t="str">
        <f aca="false">IF(I437="","",UPPER(SUBSTITUTE(SUBSTITUTE(SUBSTITUTE(SUBSTITUTE(SUBSTITUTE(TRIM(I437),".",""),"/",""),"-",""),"*","")," ","")))</f>
        <v/>
      </c>
      <c r="K437" s="31" t="str">
        <f aca="false">IF(OR(H437="",J437=""),"",IF(LEN(J437)&gt;=13,IF(LEN(J437)=13,"0"&amp;J437,J437),SUBSTITUTE(SUBSTITUTE(SUBSTITUTE(SUBSTITUTE(SUBSTITUTE(SUBSTITUTE(SUBSTITUTE(SUBSTITUTE(SUBSTITUTE(SUBSTITUTE(SUBSTITUTE(SUBSTITUTE(SUBSTITUTE(UPPER(TRIM(H437)),"Á","A"),"À","A"),"Â","A"),"Ã","A"),"É","E"),"Ê","E"),"Í","I"),"Ó","O"),"Ô","O"),"Õ","O"),"Ú","U"),"Ü","U"),"Ç","C")&amp;"|"&amp;IF(LEN(J437)=11,MID(J437,4,6),J437)))</f>
        <v/>
      </c>
      <c r="L437" s="25" t="str">
        <f aca="false">IF(K437="","",IF(E437="Doação recebida",TRIM(IF(COUNTIF(Socios!$H:$H,K437)&gt;0,"Doador é sócio de empresa da pauta. ","")&amp;IF(COUNTIF(Pessoas!$E:$E,K437)&gt;0,"Doador está em Pessoas.","")),IF(E437="Despesa com fornecedor",IF(COUNTIF(Contratos!$D:$D,K437)&gt;0,"Fornecedor também tem contrato público",""),"")))</f>
        <v/>
      </c>
      <c r="M437" s="24"/>
      <c r="N437" s="11"/>
    </row>
    <row r="438" customFormat="false" ht="15" hidden="false" customHeight="false" outlineLevel="0" collapsed="false">
      <c r="A438" s="23"/>
      <c r="B438" s="31" t="str">
        <f aca="false">IF(A438="","",SUBSTITUTE(SUBSTITUTE(SUBSTITUTE(SUBSTITUTE(SUBSTITUTE(SUBSTITUTE(SUBSTITUTE(SUBSTITUTE(SUBSTITUTE(SUBSTITUTE(SUBSTITUTE(SUBSTITUTE(SUBSTITUTE(UPPER(TRIM(A438)),"Á","A"),"À","A"),"Â","A"),"Ã","A"),"É","E"),"Ê","E"),"Í","I"),"Ó","O"),"Ô","O"),"Õ","O"),"Ú","U"),"Ü","U"),"Ç","C"))</f>
        <v/>
      </c>
      <c r="C438" s="43"/>
      <c r="D438" s="23"/>
      <c r="E438" s="23"/>
      <c r="F438" s="11"/>
      <c r="G438" s="35"/>
      <c r="H438" s="23"/>
      <c r="I438" s="24"/>
      <c r="J438" s="31" t="str">
        <f aca="false">IF(I438="","",UPPER(SUBSTITUTE(SUBSTITUTE(SUBSTITUTE(SUBSTITUTE(SUBSTITUTE(TRIM(I438),".",""),"/",""),"-",""),"*","")," ","")))</f>
        <v/>
      </c>
      <c r="K438" s="31" t="str">
        <f aca="false">IF(OR(H438="",J438=""),"",IF(LEN(J438)&gt;=13,IF(LEN(J438)=13,"0"&amp;J438,J438),SUBSTITUTE(SUBSTITUTE(SUBSTITUTE(SUBSTITUTE(SUBSTITUTE(SUBSTITUTE(SUBSTITUTE(SUBSTITUTE(SUBSTITUTE(SUBSTITUTE(SUBSTITUTE(SUBSTITUTE(SUBSTITUTE(UPPER(TRIM(H438)),"Á","A"),"À","A"),"Â","A"),"Ã","A"),"É","E"),"Ê","E"),"Í","I"),"Ó","O"),"Ô","O"),"Õ","O"),"Ú","U"),"Ü","U"),"Ç","C")&amp;"|"&amp;IF(LEN(J438)=11,MID(J438,4,6),J438)))</f>
        <v/>
      </c>
      <c r="L438" s="25" t="str">
        <f aca="false">IF(K438="","",IF(E438="Doação recebida",TRIM(IF(COUNTIF(Socios!$H:$H,K438)&gt;0,"Doador é sócio de empresa da pauta. ","")&amp;IF(COUNTIF(Pessoas!$E:$E,K438)&gt;0,"Doador está em Pessoas.","")),IF(E438="Despesa com fornecedor",IF(COUNTIF(Contratos!$D:$D,K438)&gt;0,"Fornecedor também tem contrato público",""),"")))</f>
        <v/>
      </c>
      <c r="M438" s="24"/>
      <c r="N438" s="11"/>
    </row>
    <row r="439" customFormat="false" ht="15" hidden="false" customHeight="false" outlineLevel="0" collapsed="false">
      <c r="A439" s="23"/>
      <c r="B439" s="31" t="str">
        <f aca="false">IF(A439="","",SUBSTITUTE(SUBSTITUTE(SUBSTITUTE(SUBSTITUTE(SUBSTITUTE(SUBSTITUTE(SUBSTITUTE(SUBSTITUTE(SUBSTITUTE(SUBSTITUTE(SUBSTITUTE(SUBSTITUTE(SUBSTITUTE(UPPER(TRIM(A439)),"Á","A"),"À","A"),"Â","A"),"Ã","A"),"É","E"),"Ê","E"),"Í","I"),"Ó","O"),"Ô","O"),"Õ","O"),"Ú","U"),"Ü","U"),"Ç","C"))</f>
        <v/>
      </c>
      <c r="C439" s="43"/>
      <c r="D439" s="23"/>
      <c r="E439" s="23"/>
      <c r="F439" s="11"/>
      <c r="G439" s="35"/>
      <c r="H439" s="23"/>
      <c r="I439" s="24"/>
      <c r="J439" s="31" t="str">
        <f aca="false">IF(I439="","",UPPER(SUBSTITUTE(SUBSTITUTE(SUBSTITUTE(SUBSTITUTE(SUBSTITUTE(TRIM(I439),".",""),"/",""),"-",""),"*","")," ","")))</f>
        <v/>
      </c>
      <c r="K439" s="31" t="str">
        <f aca="false">IF(OR(H439="",J439=""),"",IF(LEN(J439)&gt;=13,IF(LEN(J439)=13,"0"&amp;J439,J439),SUBSTITUTE(SUBSTITUTE(SUBSTITUTE(SUBSTITUTE(SUBSTITUTE(SUBSTITUTE(SUBSTITUTE(SUBSTITUTE(SUBSTITUTE(SUBSTITUTE(SUBSTITUTE(SUBSTITUTE(SUBSTITUTE(UPPER(TRIM(H439)),"Á","A"),"À","A"),"Â","A"),"Ã","A"),"É","E"),"Ê","E"),"Í","I"),"Ó","O"),"Ô","O"),"Õ","O"),"Ú","U"),"Ü","U"),"Ç","C")&amp;"|"&amp;IF(LEN(J439)=11,MID(J439,4,6),J439)))</f>
        <v/>
      </c>
      <c r="L439" s="25" t="str">
        <f aca="false">IF(K439="","",IF(E439="Doação recebida",TRIM(IF(COUNTIF(Socios!$H:$H,K439)&gt;0,"Doador é sócio de empresa da pauta. ","")&amp;IF(COUNTIF(Pessoas!$E:$E,K439)&gt;0,"Doador está em Pessoas.","")),IF(E439="Despesa com fornecedor",IF(COUNTIF(Contratos!$D:$D,K439)&gt;0,"Fornecedor também tem contrato público",""),"")))</f>
        <v/>
      </c>
      <c r="M439" s="24"/>
      <c r="N439" s="11"/>
    </row>
    <row r="440" customFormat="false" ht="15" hidden="false" customHeight="false" outlineLevel="0" collapsed="false">
      <c r="A440" s="23"/>
      <c r="B440" s="31" t="str">
        <f aca="false">IF(A440="","",SUBSTITUTE(SUBSTITUTE(SUBSTITUTE(SUBSTITUTE(SUBSTITUTE(SUBSTITUTE(SUBSTITUTE(SUBSTITUTE(SUBSTITUTE(SUBSTITUTE(SUBSTITUTE(SUBSTITUTE(SUBSTITUTE(UPPER(TRIM(A440)),"Á","A"),"À","A"),"Â","A"),"Ã","A"),"É","E"),"Ê","E"),"Í","I"),"Ó","O"),"Ô","O"),"Õ","O"),"Ú","U"),"Ü","U"),"Ç","C"))</f>
        <v/>
      </c>
      <c r="C440" s="43"/>
      <c r="D440" s="23"/>
      <c r="E440" s="23"/>
      <c r="F440" s="11"/>
      <c r="G440" s="35"/>
      <c r="H440" s="23"/>
      <c r="I440" s="24"/>
      <c r="J440" s="31" t="str">
        <f aca="false">IF(I440="","",UPPER(SUBSTITUTE(SUBSTITUTE(SUBSTITUTE(SUBSTITUTE(SUBSTITUTE(TRIM(I440),".",""),"/",""),"-",""),"*","")," ","")))</f>
        <v/>
      </c>
      <c r="K440" s="31" t="str">
        <f aca="false">IF(OR(H440="",J440=""),"",IF(LEN(J440)&gt;=13,IF(LEN(J440)=13,"0"&amp;J440,J440),SUBSTITUTE(SUBSTITUTE(SUBSTITUTE(SUBSTITUTE(SUBSTITUTE(SUBSTITUTE(SUBSTITUTE(SUBSTITUTE(SUBSTITUTE(SUBSTITUTE(SUBSTITUTE(SUBSTITUTE(SUBSTITUTE(UPPER(TRIM(H440)),"Á","A"),"À","A"),"Â","A"),"Ã","A"),"É","E"),"Ê","E"),"Í","I"),"Ó","O"),"Ô","O"),"Õ","O"),"Ú","U"),"Ü","U"),"Ç","C")&amp;"|"&amp;IF(LEN(J440)=11,MID(J440,4,6),J440)))</f>
        <v/>
      </c>
      <c r="L440" s="25" t="str">
        <f aca="false">IF(K440="","",IF(E440="Doação recebida",TRIM(IF(COUNTIF(Socios!$H:$H,K440)&gt;0,"Doador é sócio de empresa da pauta. ","")&amp;IF(COUNTIF(Pessoas!$E:$E,K440)&gt;0,"Doador está em Pessoas.","")),IF(E440="Despesa com fornecedor",IF(COUNTIF(Contratos!$D:$D,K440)&gt;0,"Fornecedor também tem contrato público",""),"")))</f>
        <v/>
      </c>
      <c r="M440" s="24"/>
      <c r="N440" s="11"/>
    </row>
    <row r="441" customFormat="false" ht="15" hidden="false" customHeight="false" outlineLevel="0" collapsed="false">
      <c r="A441" s="23"/>
      <c r="B441" s="31" t="str">
        <f aca="false">IF(A441="","",SUBSTITUTE(SUBSTITUTE(SUBSTITUTE(SUBSTITUTE(SUBSTITUTE(SUBSTITUTE(SUBSTITUTE(SUBSTITUTE(SUBSTITUTE(SUBSTITUTE(SUBSTITUTE(SUBSTITUTE(SUBSTITUTE(UPPER(TRIM(A441)),"Á","A"),"À","A"),"Â","A"),"Ã","A"),"É","E"),"Ê","E"),"Í","I"),"Ó","O"),"Ô","O"),"Õ","O"),"Ú","U"),"Ü","U"),"Ç","C"))</f>
        <v/>
      </c>
      <c r="C441" s="43"/>
      <c r="D441" s="23"/>
      <c r="E441" s="23"/>
      <c r="F441" s="11"/>
      <c r="G441" s="35"/>
      <c r="H441" s="23"/>
      <c r="I441" s="24"/>
      <c r="J441" s="31" t="str">
        <f aca="false">IF(I441="","",UPPER(SUBSTITUTE(SUBSTITUTE(SUBSTITUTE(SUBSTITUTE(SUBSTITUTE(TRIM(I441),".",""),"/",""),"-",""),"*","")," ","")))</f>
        <v/>
      </c>
      <c r="K441" s="31" t="str">
        <f aca="false">IF(OR(H441="",J441=""),"",IF(LEN(J441)&gt;=13,IF(LEN(J441)=13,"0"&amp;J441,J441),SUBSTITUTE(SUBSTITUTE(SUBSTITUTE(SUBSTITUTE(SUBSTITUTE(SUBSTITUTE(SUBSTITUTE(SUBSTITUTE(SUBSTITUTE(SUBSTITUTE(SUBSTITUTE(SUBSTITUTE(SUBSTITUTE(UPPER(TRIM(H441)),"Á","A"),"À","A"),"Â","A"),"Ã","A"),"É","E"),"Ê","E"),"Í","I"),"Ó","O"),"Ô","O"),"Õ","O"),"Ú","U"),"Ü","U"),"Ç","C")&amp;"|"&amp;IF(LEN(J441)=11,MID(J441,4,6),J441)))</f>
        <v/>
      </c>
      <c r="L441" s="25" t="str">
        <f aca="false">IF(K441="","",IF(E441="Doação recebida",TRIM(IF(COUNTIF(Socios!$H:$H,K441)&gt;0,"Doador é sócio de empresa da pauta. ","")&amp;IF(COUNTIF(Pessoas!$E:$E,K441)&gt;0,"Doador está em Pessoas.","")),IF(E441="Despesa com fornecedor",IF(COUNTIF(Contratos!$D:$D,K441)&gt;0,"Fornecedor também tem contrato público",""),"")))</f>
        <v/>
      </c>
      <c r="M441" s="24"/>
      <c r="N441" s="11"/>
    </row>
    <row r="442" customFormat="false" ht="15" hidden="false" customHeight="false" outlineLevel="0" collapsed="false">
      <c r="A442" s="23"/>
      <c r="B442" s="31" t="str">
        <f aca="false">IF(A442="","",SUBSTITUTE(SUBSTITUTE(SUBSTITUTE(SUBSTITUTE(SUBSTITUTE(SUBSTITUTE(SUBSTITUTE(SUBSTITUTE(SUBSTITUTE(SUBSTITUTE(SUBSTITUTE(SUBSTITUTE(SUBSTITUTE(UPPER(TRIM(A442)),"Á","A"),"À","A"),"Â","A"),"Ã","A"),"É","E"),"Ê","E"),"Í","I"),"Ó","O"),"Ô","O"),"Õ","O"),"Ú","U"),"Ü","U"),"Ç","C"))</f>
        <v/>
      </c>
      <c r="C442" s="43"/>
      <c r="D442" s="23"/>
      <c r="E442" s="23"/>
      <c r="F442" s="11"/>
      <c r="G442" s="35"/>
      <c r="H442" s="23"/>
      <c r="I442" s="24"/>
      <c r="J442" s="31" t="str">
        <f aca="false">IF(I442="","",UPPER(SUBSTITUTE(SUBSTITUTE(SUBSTITUTE(SUBSTITUTE(SUBSTITUTE(TRIM(I442),".",""),"/",""),"-",""),"*","")," ","")))</f>
        <v/>
      </c>
      <c r="K442" s="31" t="str">
        <f aca="false">IF(OR(H442="",J442=""),"",IF(LEN(J442)&gt;=13,IF(LEN(J442)=13,"0"&amp;J442,J442),SUBSTITUTE(SUBSTITUTE(SUBSTITUTE(SUBSTITUTE(SUBSTITUTE(SUBSTITUTE(SUBSTITUTE(SUBSTITUTE(SUBSTITUTE(SUBSTITUTE(SUBSTITUTE(SUBSTITUTE(SUBSTITUTE(UPPER(TRIM(H442)),"Á","A"),"À","A"),"Â","A"),"Ã","A"),"É","E"),"Ê","E"),"Í","I"),"Ó","O"),"Ô","O"),"Õ","O"),"Ú","U"),"Ü","U"),"Ç","C")&amp;"|"&amp;IF(LEN(J442)=11,MID(J442,4,6),J442)))</f>
        <v/>
      </c>
      <c r="L442" s="25" t="str">
        <f aca="false">IF(K442="","",IF(E442="Doação recebida",TRIM(IF(COUNTIF(Socios!$H:$H,K442)&gt;0,"Doador é sócio de empresa da pauta. ","")&amp;IF(COUNTIF(Pessoas!$E:$E,K442)&gt;0,"Doador está em Pessoas.","")),IF(E442="Despesa com fornecedor",IF(COUNTIF(Contratos!$D:$D,K442)&gt;0,"Fornecedor também tem contrato público",""),"")))</f>
        <v/>
      </c>
      <c r="M442" s="24"/>
      <c r="N442" s="11"/>
    </row>
    <row r="443" customFormat="false" ht="15" hidden="false" customHeight="false" outlineLevel="0" collapsed="false">
      <c r="A443" s="23"/>
      <c r="B443" s="31" t="str">
        <f aca="false">IF(A443="","",SUBSTITUTE(SUBSTITUTE(SUBSTITUTE(SUBSTITUTE(SUBSTITUTE(SUBSTITUTE(SUBSTITUTE(SUBSTITUTE(SUBSTITUTE(SUBSTITUTE(SUBSTITUTE(SUBSTITUTE(SUBSTITUTE(UPPER(TRIM(A443)),"Á","A"),"À","A"),"Â","A"),"Ã","A"),"É","E"),"Ê","E"),"Í","I"),"Ó","O"),"Ô","O"),"Õ","O"),"Ú","U"),"Ü","U"),"Ç","C"))</f>
        <v/>
      </c>
      <c r="C443" s="43"/>
      <c r="D443" s="23"/>
      <c r="E443" s="23"/>
      <c r="F443" s="11"/>
      <c r="G443" s="35"/>
      <c r="H443" s="23"/>
      <c r="I443" s="24"/>
      <c r="J443" s="31" t="str">
        <f aca="false">IF(I443="","",UPPER(SUBSTITUTE(SUBSTITUTE(SUBSTITUTE(SUBSTITUTE(SUBSTITUTE(TRIM(I443),".",""),"/",""),"-",""),"*","")," ","")))</f>
        <v/>
      </c>
      <c r="K443" s="31" t="str">
        <f aca="false">IF(OR(H443="",J443=""),"",IF(LEN(J443)&gt;=13,IF(LEN(J443)=13,"0"&amp;J443,J443),SUBSTITUTE(SUBSTITUTE(SUBSTITUTE(SUBSTITUTE(SUBSTITUTE(SUBSTITUTE(SUBSTITUTE(SUBSTITUTE(SUBSTITUTE(SUBSTITUTE(SUBSTITUTE(SUBSTITUTE(SUBSTITUTE(UPPER(TRIM(H443)),"Á","A"),"À","A"),"Â","A"),"Ã","A"),"É","E"),"Ê","E"),"Í","I"),"Ó","O"),"Ô","O"),"Õ","O"),"Ú","U"),"Ü","U"),"Ç","C")&amp;"|"&amp;IF(LEN(J443)=11,MID(J443,4,6),J443)))</f>
        <v/>
      </c>
      <c r="L443" s="25" t="str">
        <f aca="false">IF(K443="","",IF(E443="Doação recebida",TRIM(IF(COUNTIF(Socios!$H:$H,K443)&gt;0,"Doador é sócio de empresa da pauta. ","")&amp;IF(COUNTIF(Pessoas!$E:$E,K443)&gt;0,"Doador está em Pessoas.","")),IF(E443="Despesa com fornecedor",IF(COUNTIF(Contratos!$D:$D,K443)&gt;0,"Fornecedor também tem contrato público",""),"")))</f>
        <v/>
      </c>
      <c r="M443" s="24"/>
      <c r="N443" s="11"/>
    </row>
    <row r="444" customFormat="false" ht="15" hidden="false" customHeight="false" outlineLevel="0" collapsed="false">
      <c r="A444" s="23"/>
      <c r="B444" s="31" t="str">
        <f aca="false">IF(A444="","",SUBSTITUTE(SUBSTITUTE(SUBSTITUTE(SUBSTITUTE(SUBSTITUTE(SUBSTITUTE(SUBSTITUTE(SUBSTITUTE(SUBSTITUTE(SUBSTITUTE(SUBSTITUTE(SUBSTITUTE(SUBSTITUTE(UPPER(TRIM(A444)),"Á","A"),"À","A"),"Â","A"),"Ã","A"),"É","E"),"Ê","E"),"Í","I"),"Ó","O"),"Ô","O"),"Õ","O"),"Ú","U"),"Ü","U"),"Ç","C"))</f>
        <v/>
      </c>
      <c r="C444" s="43"/>
      <c r="D444" s="23"/>
      <c r="E444" s="23"/>
      <c r="F444" s="11"/>
      <c r="G444" s="35"/>
      <c r="H444" s="23"/>
      <c r="I444" s="24"/>
      <c r="J444" s="31" t="str">
        <f aca="false">IF(I444="","",UPPER(SUBSTITUTE(SUBSTITUTE(SUBSTITUTE(SUBSTITUTE(SUBSTITUTE(TRIM(I444),".",""),"/",""),"-",""),"*","")," ","")))</f>
        <v/>
      </c>
      <c r="K444" s="31" t="str">
        <f aca="false">IF(OR(H444="",J444=""),"",IF(LEN(J444)&gt;=13,IF(LEN(J444)=13,"0"&amp;J444,J444),SUBSTITUTE(SUBSTITUTE(SUBSTITUTE(SUBSTITUTE(SUBSTITUTE(SUBSTITUTE(SUBSTITUTE(SUBSTITUTE(SUBSTITUTE(SUBSTITUTE(SUBSTITUTE(SUBSTITUTE(SUBSTITUTE(UPPER(TRIM(H444)),"Á","A"),"À","A"),"Â","A"),"Ã","A"),"É","E"),"Ê","E"),"Í","I"),"Ó","O"),"Ô","O"),"Õ","O"),"Ú","U"),"Ü","U"),"Ç","C")&amp;"|"&amp;IF(LEN(J444)=11,MID(J444,4,6),J444)))</f>
        <v/>
      </c>
      <c r="L444" s="25" t="str">
        <f aca="false">IF(K444="","",IF(E444="Doação recebida",TRIM(IF(COUNTIF(Socios!$H:$H,K444)&gt;0,"Doador é sócio de empresa da pauta. ","")&amp;IF(COUNTIF(Pessoas!$E:$E,K444)&gt;0,"Doador está em Pessoas.","")),IF(E444="Despesa com fornecedor",IF(COUNTIF(Contratos!$D:$D,K444)&gt;0,"Fornecedor também tem contrato público",""),"")))</f>
        <v/>
      </c>
      <c r="M444" s="24"/>
      <c r="N444" s="11"/>
    </row>
    <row r="445" customFormat="false" ht="15" hidden="false" customHeight="false" outlineLevel="0" collapsed="false">
      <c r="A445" s="23"/>
      <c r="B445" s="31" t="str">
        <f aca="false">IF(A445="","",SUBSTITUTE(SUBSTITUTE(SUBSTITUTE(SUBSTITUTE(SUBSTITUTE(SUBSTITUTE(SUBSTITUTE(SUBSTITUTE(SUBSTITUTE(SUBSTITUTE(SUBSTITUTE(SUBSTITUTE(SUBSTITUTE(UPPER(TRIM(A445)),"Á","A"),"À","A"),"Â","A"),"Ã","A"),"É","E"),"Ê","E"),"Í","I"),"Ó","O"),"Ô","O"),"Õ","O"),"Ú","U"),"Ü","U"),"Ç","C"))</f>
        <v/>
      </c>
      <c r="C445" s="43"/>
      <c r="D445" s="23"/>
      <c r="E445" s="23"/>
      <c r="F445" s="11"/>
      <c r="G445" s="35"/>
      <c r="H445" s="23"/>
      <c r="I445" s="24"/>
      <c r="J445" s="31" t="str">
        <f aca="false">IF(I445="","",UPPER(SUBSTITUTE(SUBSTITUTE(SUBSTITUTE(SUBSTITUTE(SUBSTITUTE(TRIM(I445),".",""),"/",""),"-",""),"*","")," ","")))</f>
        <v/>
      </c>
      <c r="K445" s="31" t="str">
        <f aca="false">IF(OR(H445="",J445=""),"",IF(LEN(J445)&gt;=13,IF(LEN(J445)=13,"0"&amp;J445,J445),SUBSTITUTE(SUBSTITUTE(SUBSTITUTE(SUBSTITUTE(SUBSTITUTE(SUBSTITUTE(SUBSTITUTE(SUBSTITUTE(SUBSTITUTE(SUBSTITUTE(SUBSTITUTE(SUBSTITUTE(SUBSTITUTE(UPPER(TRIM(H445)),"Á","A"),"À","A"),"Â","A"),"Ã","A"),"É","E"),"Ê","E"),"Í","I"),"Ó","O"),"Ô","O"),"Õ","O"),"Ú","U"),"Ü","U"),"Ç","C")&amp;"|"&amp;IF(LEN(J445)=11,MID(J445,4,6),J445)))</f>
        <v/>
      </c>
      <c r="L445" s="25" t="str">
        <f aca="false">IF(K445="","",IF(E445="Doação recebida",TRIM(IF(COUNTIF(Socios!$H:$H,K445)&gt;0,"Doador é sócio de empresa da pauta. ","")&amp;IF(COUNTIF(Pessoas!$E:$E,K445)&gt;0,"Doador está em Pessoas.","")),IF(E445="Despesa com fornecedor",IF(COUNTIF(Contratos!$D:$D,K445)&gt;0,"Fornecedor também tem contrato público",""),"")))</f>
        <v/>
      </c>
      <c r="M445" s="24"/>
      <c r="N445" s="11"/>
    </row>
    <row r="446" customFormat="false" ht="15" hidden="false" customHeight="false" outlineLevel="0" collapsed="false">
      <c r="A446" s="23"/>
      <c r="B446" s="31" t="str">
        <f aca="false">IF(A446="","",SUBSTITUTE(SUBSTITUTE(SUBSTITUTE(SUBSTITUTE(SUBSTITUTE(SUBSTITUTE(SUBSTITUTE(SUBSTITUTE(SUBSTITUTE(SUBSTITUTE(SUBSTITUTE(SUBSTITUTE(SUBSTITUTE(UPPER(TRIM(A446)),"Á","A"),"À","A"),"Â","A"),"Ã","A"),"É","E"),"Ê","E"),"Í","I"),"Ó","O"),"Ô","O"),"Õ","O"),"Ú","U"),"Ü","U"),"Ç","C"))</f>
        <v/>
      </c>
      <c r="C446" s="43"/>
      <c r="D446" s="23"/>
      <c r="E446" s="23"/>
      <c r="F446" s="11"/>
      <c r="G446" s="35"/>
      <c r="H446" s="23"/>
      <c r="I446" s="24"/>
      <c r="J446" s="31" t="str">
        <f aca="false">IF(I446="","",UPPER(SUBSTITUTE(SUBSTITUTE(SUBSTITUTE(SUBSTITUTE(SUBSTITUTE(TRIM(I446),".",""),"/",""),"-",""),"*","")," ","")))</f>
        <v/>
      </c>
      <c r="K446" s="31" t="str">
        <f aca="false">IF(OR(H446="",J446=""),"",IF(LEN(J446)&gt;=13,IF(LEN(J446)=13,"0"&amp;J446,J446),SUBSTITUTE(SUBSTITUTE(SUBSTITUTE(SUBSTITUTE(SUBSTITUTE(SUBSTITUTE(SUBSTITUTE(SUBSTITUTE(SUBSTITUTE(SUBSTITUTE(SUBSTITUTE(SUBSTITUTE(SUBSTITUTE(UPPER(TRIM(H446)),"Á","A"),"À","A"),"Â","A"),"Ã","A"),"É","E"),"Ê","E"),"Í","I"),"Ó","O"),"Ô","O"),"Õ","O"),"Ú","U"),"Ü","U"),"Ç","C")&amp;"|"&amp;IF(LEN(J446)=11,MID(J446,4,6),J446)))</f>
        <v/>
      </c>
      <c r="L446" s="25" t="str">
        <f aca="false">IF(K446="","",IF(E446="Doação recebida",TRIM(IF(COUNTIF(Socios!$H:$H,K446)&gt;0,"Doador é sócio de empresa da pauta. ","")&amp;IF(COUNTIF(Pessoas!$E:$E,K446)&gt;0,"Doador está em Pessoas.","")),IF(E446="Despesa com fornecedor",IF(COUNTIF(Contratos!$D:$D,K446)&gt;0,"Fornecedor também tem contrato público",""),"")))</f>
        <v/>
      </c>
      <c r="M446" s="24"/>
      <c r="N446" s="11"/>
    </row>
    <row r="447" customFormat="false" ht="15" hidden="false" customHeight="false" outlineLevel="0" collapsed="false">
      <c r="A447" s="23"/>
      <c r="B447" s="31" t="str">
        <f aca="false">IF(A447="","",SUBSTITUTE(SUBSTITUTE(SUBSTITUTE(SUBSTITUTE(SUBSTITUTE(SUBSTITUTE(SUBSTITUTE(SUBSTITUTE(SUBSTITUTE(SUBSTITUTE(SUBSTITUTE(SUBSTITUTE(SUBSTITUTE(UPPER(TRIM(A447)),"Á","A"),"À","A"),"Â","A"),"Ã","A"),"É","E"),"Ê","E"),"Í","I"),"Ó","O"),"Ô","O"),"Õ","O"),"Ú","U"),"Ü","U"),"Ç","C"))</f>
        <v/>
      </c>
      <c r="C447" s="43"/>
      <c r="D447" s="23"/>
      <c r="E447" s="23"/>
      <c r="F447" s="11"/>
      <c r="G447" s="35"/>
      <c r="H447" s="23"/>
      <c r="I447" s="24"/>
      <c r="J447" s="31" t="str">
        <f aca="false">IF(I447="","",UPPER(SUBSTITUTE(SUBSTITUTE(SUBSTITUTE(SUBSTITUTE(SUBSTITUTE(TRIM(I447),".",""),"/",""),"-",""),"*","")," ","")))</f>
        <v/>
      </c>
      <c r="K447" s="31" t="str">
        <f aca="false">IF(OR(H447="",J447=""),"",IF(LEN(J447)&gt;=13,IF(LEN(J447)=13,"0"&amp;J447,J447),SUBSTITUTE(SUBSTITUTE(SUBSTITUTE(SUBSTITUTE(SUBSTITUTE(SUBSTITUTE(SUBSTITUTE(SUBSTITUTE(SUBSTITUTE(SUBSTITUTE(SUBSTITUTE(SUBSTITUTE(SUBSTITUTE(UPPER(TRIM(H447)),"Á","A"),"À","A"),"Â","A"),"Ã","A"),"É","E"),"Ê","E"),"Í","I"),"Ó","O"),"Ô","O"),"Õ","O"),"Ú","U"),"Ü","U"),"Ç","C")&amp;"|"&amp;IF(LEN(J447)=11,MID(J447,4,6),J447)))</f>
        <v/>
      </c>
      <c r="L447" s="25" t="str">
        <f aca="false">IF(K447="","",IF(E447="Doação recebida",TRIM(IF(COUNTIF(Socios!$H:$H,K447)&gt;0,"Doador é sócio de empresa da pauta. ","")&amp;IF(COUNTIF(Pessoas!$E:$E,K447)&gt;0,"Doador está em Pessoas.","")),IF(E447="Despesa com fornecedor",IF(COUNTIF(Contratos!$D:$D,K447)&gt;0,"Fornecedor também tem contrato público",""),"")))</f>
        <v/>
      </c>
      <c r="M447" s="24"/>
      <c r="N447" s="11"/>
    </row>
    <row r="448" customFormat="false" ht="15" hidden="false" customHeight="false" outlineLevel="0" collapsed="false">
      <c r="A448" s="23"/>
      <c r="B448" s="31" t="str">
        <f aca="false">IF(A448="","",SUBSTITUTE(SUBSTITUTE(SUBSTITUTE(SUBSTITUTE(SUBSTITUTE(SUBSTITUTE(SUBSTITUTE(SUBSTITUTE(SUBSTITUTE(SUBSTITUTE(SUBSTITUTE(SUBSTITUTE(SUBSTITUTE(UPPER(TRIM(A448)),"Á","A"),"À","A"),"Â","A"),"Ã","A"),"É","E"),"Ê","E"),"Í","I"),"Ó","O"),"Ô","O"),"Õ","O"),"Ú","U"),"Ü","U"),"Ç","C"))</f>
        <v/>
      </c>
      <c r="C448" s="43"/>
      <c r="D448" s="23"/>
      <c r="E448" s="23"/>
      <c r="F448" s="11"/>
      <c r="G448" s="35"/>
      <c r="H448" s="23"/>
      <c r="I448" s="24"/>
      <c r="J448" s="31" t="str">
        <f aca="false">IF(I448="","",UPPER(SUBSTITUTE(SUBSTITUTE(SUBSTITUTE(SUBSTITUTE(SUBSTITUTE(TRIM(I448),".",""),"/",""),"-",""),"*","")," ","")))</f>
        <v/>
      </c>
      <c r="K448" s="31" t="str">
        <f aca="false">IF(OR(H448="",J448=""),"",IF(LEN(J448)&gt;=13,IF(LEN(J448)=13,"0"&amp;J448,J448),SUBSTITUTE(SUBSTITUTE(SUBSTITUTE(SUBSTITUTE(SUBSTITUTE(SUBSTITUTE(SUBSTITUTE(SUBSTITUTE(SUBSTITUTE(SUBSTITUTE(SUBSTITUTE(SUBSTITUTE(SUBSTITUTE(UPPER(TRIM(H448)),"Á","A"),"À","A"),"Â","A"),"Ã","A"),"É","E"),"Ê","E"),"Í","I"),"Ó","O"),"Ô","O"),"Õ","O"),"Ú","U"),"Ü","U"),"Ç","C")&amp;"|"&amp;IF(LEN(J448)=11,MID(J448,4,6),J448)))</f>
        <v/>
      </c>
      <c r="L448" s="25" t="str">
        <f aca="false">IF(K448="","",IF(E448="Doação recebida",TRIM(IF(COUNTIF(Socios!$H:$H,K448)&gt;0,"Doador é sócio de empresa da pauta. ","")&amp;IF(COUNTIF(Pessoas!$E:$E,K448)&gt;0,"Doador está em Pessoas.","")),IF(E448="Despesa com fornecedor",IF(COUNTIF(Contratos!$D:$D,K448)&gt;0,"Fornecedor também tem contrato público",""),"")))</f>
        <v/>
      </c>
      <c r="M448" s="24"/>
      <c r="N448" s="11"/>
    </row>
    <row r="449" customFormat="false" ht="15" hidden="false" customHeight="false" outlineLevel="0" collapsed="false">
      <c r="A449" s="23"/>
      <c r="B449" s="31" t="str">
        <f aca="false">IF(A449="","",SUBSTITUTE(SUBSTITUTE(SUBSTITUTE(SUBSTITUTE(SUBSTITUTE(SUBSTITUTE(SUBSTITUTE(SUBSTITUTE(SUBSTITUTE(SUBSTITUTE(SUBSTITUTE(SUBSTITUTE(SUBSTITUTE(UPPER(TRIM(A449)),"Á","A"),"À","A"),"Â","A"),"Ã","A"),"É","E"),"Ê","E"),"Í","I"),"Ó","O"),"Ô","O"),"Õ","O"),"Ú","U"),"Ü","U"),"Ç","C"))</f>
        <v/>
      </c>
      <c r="C449" s="43"/>
      <c r="D449" s="23"/>
      <c r="E449" s="23"/>
      <c r="F449" s="11"/>
      <c r="G449" s="35"/>
      <c r="H449" s="23"/>
      <c r="I449" s="24"/>
      <c r="J449" s="31" t="str">
        <f aca="false">IF(I449="","",UPPER(SUBSTITUTE(SUBSTITUTE(SUBSTITUTE(SUBSTITUTE(SUBSTITUTE(TRIM(I449),".",""),"/",""),"-",""),"*","")," ","")))</f>
        <v/>
      </c>
      <c r="K449" s="31" t="str">
        <f aca="false">IF(OR(H449="",J449=""),"",IF(LEN(J449)&gt;=13,IF(LEN(J449)=13,"0"&amp;J449,J449),SUBSTITUTE(SUBSTITUTE(SUBSTITUTE(SUBSTITUTE(SUBSTITUTE(SUBSTITUTE(SUBSTITUTE(SUBSTITUTE(SUBSTITUTE(SUBSTITUTE(SUBSTITUTE(SUBSTITUTE(SUBSTITUTE(UPPER(TRIM(H449)),"Á","A"),"À","A"),"Â","A"),"Ã","A"),"É","E"),"Ê","E"),"Í","I"),"Ó","O"),"Ô","O"),"Õ","O"),"Ú","U"),"Ü","U"),"Ç","C")&amp;"|"&amp;IF(LEN(J449)=11,MID(J449,4,6),J449)))</f>
        <v/>
      </c>
      <c r="L449" s="25" t="str">
        <f aca="false">IF(K449="","",IF(E449="Doação recebida",TRIM(IF(COUNTIF(Socios!$H:$H,K449)&gt;0,"Doador é sócio de empresa da pauta. ","")&amp;IF(COUNTIF(Pessoas!$E:$E,K449)&gt;0,"Doador está em Pessoas.","")),IF(E449="Despesa com fornecedor",IF(COUNTIF(Contratos!$D:$D,K449)&gt;0,"Fornecedor também tem contrato público",""),"")))</f>
        <v/>
      </c>
      <c r="M449" s="24"/>
      <c r="N449" s="11"/>
    </row>
    <row r="450" customFormat="false" ht="15" hidden="false" customHeight="false" outlineLevel="0" collapsed="false">
      <c r="A450" s="23"/>
      <c r="B450" s="31" t="str">
        <f aca="false">IF(A450="","",SUBSTITUTE(SUBSTITUTE(SUBSTITUTE(SUBSTITUTE(SUBSTITUTE(SUBSTITUTE(SUBSTITUTE(SUBSTITUTE(SUBSTITUTE(SUBSTITUTE(SUBSTITUTE(SUBSTITUTE(SUBSTITUTE(UPPER(TRIM(A450)),"Á","A"),"À","A"),"Â","A"),"Ã","A"),"É","E"),"Ê","E"),"Í","I"),"Ó","O"),"Ô","O"),"Õ","O"),"Ú","U"),"Ü","U"),"Ç","C"))</f>
        <v/>
      </c>
      <c r="C450" s="43"/>
      <c r="D450" s="23"/>
      <c r="E450" s="23"/>
      <c r="F450" s="11"/>
      <c r="G450" s="35"/>
      <c r="H450" s="23"/>
      <c r="I450" s="24"/>
      <c r="J450" s="31" t="str">
        <f aca="false">IF(I450="","",UPPER(SUBSTITUTE(SUBSTITUTE(SUBSTITUTE(SUBSTITUTE(SUBSTITUTE(TRIM(I450),".",""),"/",""),"-",""),"*","")," ","")))</f>
        <v/>
      </c>
      <c r="K450" s="31" t="str">
        <f aca="false">IF(OR(H450="",J450=""),"",IF(LEN(J450)&gt;=13,IF(LEN(J450)=13,"0"&amp;J450,J450),SUBSTITUTE(SUBSTITUTE(SUBSTITUTE(SUBSTITUTE(SUBSTITUTE(SUBSTITUTE(SUBSTITUTE(SUBSTITUTE(SUBSTITUTE(SUBSTITUTE(SUBSTITUTE(SUBSTITUTE(SUBSTITUTE(UPPER(TRIM(H450)),"Á","A"),"À","A"),"Â","A"),"Ã","A"),"É","E"),"Ê","E"),"Í","I"),"Ó","O"),"Ô","O"),"Õ","O"),"Ú","U"),"Ü","U"),"Ç","C")&amp;"|"&amp;IF(LEN(J450)=11,MID(J450,4,6),J450)))</f>
        <v/>
      </c>
      <c r="L450" s="25" t="str">
        <f aca="false">IF(K450="","",IF(E450="Doação recebida",TRIM(IF(COUNTIF(Socios!$H:$H,K450)&gt;0,"Doador é sócio de empresa da pauta. ","")&amp;IF(COUNTIF(Pessoas!$E:$E,K450)&gt;0,"Doador está em Pessoas.","")),IF(E450="Despesa com fornecedor",IF(COUNTIF(Contratos!$D:$D,K450)&gt;0,"Fornecedor também tem contrato público",""),"")))</f>
        <v/>
      </c>
      <c r="M450" s="24"/>
      <c r="N450" s="11"/>
    </row>
    <row r="451" customFormat="false" ht="15" hidden="false" customHeight="false" outlineLevel="0" collapsed="false">
      <c r="A451" s="23"/>
      <c r="B451" s="31" t="str">
        <f aca="false">IF(A451="","",SUBSTITUTE(SUBSTITUTE(SUBSTITUTE(SUBSTITUTE(SUBSTITUTE(SUBSTITUTE(SUBSTITUTE(SUBSTITUTE(SUBSTITUTE(SUBSTITUTE(SUBSTITUTE(SUBSTITUTE(SUBSTITUTE(UPPER(TRIM(A451)),"Á","A"),"À","A"),"Â","A"),"Ã","A"),"É","E"),"Ê","E"),"Í","I"),"Ó","O"),"Ô","O"),"Õ","O"),"Ú","U"),"Ü","U"),"Ç","C"))</f>
        <v/>
      </c>
      <c r="C451" s="43"/>
      <c r="D451" s="23"/>
      <c r="E451" s="23"/>
      <c r="F451" s="11"/>
      <c r="G451" s="35"/>
      <c r="H451" s="23"/>
      <c r="I451" s="24"/>
      <c r="J451" s="31" t="str">
        <f aca="false">IF(I451="","",UPPER(SUBSTITUTE(SUBSTITUTE(SUBSTITUTE(SUBSTITUTE(SUBSTITUTE(TRIM(I451),".",""),"/",""),"-",""),"*","")," ","")))</f>
        <v/>
      </c>
      <c r="K451" s="31" t="str">
        <f aca="false">IF(OR(H451="",J451=""),"",IF(LEN(J451)&gt;=13,IF(LEN(J451)=13,"0"&amp;J451,J451),SUBSTITUTE(SUBSTITUTE(SUBSTITUTE(SUBSTITUTE(SUBSTITUTE(SUBSTITUTE(SUBSTITUTE(SUBSTITUTE(SUBSTITUTE(SUBSTITUTE(SUBSTITUTE(SUBSTITUTE(SUBSTITUTE(UPPER(TRIM(H451)),"Á","A"),"À","A"),"Â","A"),"Ã","A"),"É","E"),"Ê","E"),"Í","I"),"Ó","O"),"Ô","O"),"Õ","O"),"Ú","U"),"Ü","U"),"Ç","C")&amp;"|"&amp;IF(LEN(J451)=11,MID(J451,4,6),J451)))</f>
        <v/>
      </c>
      <c r="L451" s="25" t="str">
        <f aca="false">IF(K451="","",IF(E451="Doação recebida",TRIM(IF(COUNTIF(Socios!$H:$H,K451)&gt;0,"Doador é sócio de empresa da pauta. ","")&amp;IF(COUNTIF(Pessoas!$E:$E,K451)&gt;0,"Doador está em Pessoas.","")),IF(E451="Despesa com fornecedor",IF(COUNTIF(Contratos!$D:$D,K451)&gt;0,"Fornecedor também tem contrato público",""),"")))</f>
        <v/>
      </c>
      <c r="M451" s="24"/>
      <c r="N451" s="11"/>
    </row>
    <row r="452" customFormat="false" ht="15" hidden="false" customHeight="false" outlineLevel="0" collapsed="false">
      <c r="A452" s="23"/>
      <c r="B452" s="31" t="str">
        <f aca="false">IF(A452="","",SUBSTITUTE(SUBSTITUTE(SUBSTITUTE(SUBSTITUTE(SUBSTITUTE(SUBSTITUTE(SUBSTITUTE(SUBSTITUTE(SUBSTITUTE(SUBSTITUTE(SUBSTITUTE(SUBSTITUTE(SUBSTITUTE(UPPER(TRIM(A452)),"Á","A"),"À","A"),"Â","A"),"Ã","A"),"É","E"),"Ê","E"),"Í","I"),"Ó","O"),"Ô","O"),"Õ","O"),"Ú","U"),"Ü","U"),"Ç","C"))</f>
        <v/>
      </c>
      <c r="C452" s="43"/>
      <c r="D452" s="23"/>
      <c r="E452" s="23"/>
      <c r="F452" s="11"/>
      <c r="G452" s="35"/>
      <c r="H452" s="23"/>
      <c r="I452" s="24"/>
      <c r="J452" s="31" t="str">
        <f aca="false">IF(I452="","",UPPER(SUBSTITUTE(SUBSTITUTE(SUBSTITUTE(SUBSTITUTE(SUBSTITUTE(TRIM(I452),".",""),"/",""),"-",""),"*","")," ","")))</f>
        <v/>
      </c>
      <c r="K452" s="31" t="str">
        <f aca="false">IF(OR(H452="",J452=""),"",IF(LEN(J452)&gt;=13,IF(LEN(J452)=13,"0"&amp;J452,J452),SUBSTITUTE(SUBSTITUTE(SUBSTITUTE(SUBSTITUTE(SUBSTITUTE(SUBSTITUTE(SUBSTITUTE(SUBSTITUTE(SUBSTITUTE(SUBSTITUTE(SUBSTITUTE(SUBSTITUTE(SUBSTITUTE(UPPER(TRIM(H452)),"Á","A"),"À","A"),"Â","A"),"Ã","A"),"É","E"),"Ê","E"),"Í","I"),"Ó","O"),"Ô","O"),"Õ","O"),"Ú","U"),"Ü","U"),"Ç","C")&amp;"|"&amp;IF(LEN(J452)=11,MID(J452,4,6),J452)))</f>
        <v/>
      </c>
      <c r="L452" s="25" t="str">
        <f aca="false">IF(K452="","",IF(E452="Doação recebida",TRIM(IF(COUNTIF(Socios!$H:$H,K452)&gt;0,"Doador é sócio de empresa da pauta. ","")&amp;IF(COUNTIF(Pessoas!$E:$E,K452)&gt;0,"Doador está em Pessoas.","")),IF(E452="Despesa com fornecedor",IF(COUNTIF(Contratos!$D:$D,K452)&gt;0,"Fornecedor também tem contrato público",""),"")))</f>
        <v/>
      </c>
      <c r="M452" s="24"/>
      <c r="N452" s="11"/>
    </row>
    <row r="453" customFormat="false" ht="15" hidden="false" customHeight="false" outlineLevel="0" collapsed="false">
      <c r="A453" s="23"/>
      <c r="B453" s="31" t="str">
        <f aca="false">IF(A453="","",SUBSTITUTE(SUBSTITUTE(SUBSTITUTE(SUBSTITUTE(SUBSTITUTE(SUBSTITUTE(SUBSTITUTE(SUBSTITUTE(SUBSTITUTE(SUBSTITUTE(SUBSTITUTE(SUBSTITUTE(SUBSTITUTE(UPPER(TRIM(A453)),"Á","A"),"À","A"),"Â","A"),"Ã","A"),"É","E"),"Ê","E"),"Í","I"),"Ó","O"),"Ô","O"),"Õ","O"),"Ú","U"),"Ü","U"),"Ç","C"))</f>
        <v/>
      </c>
      <c r="C453" s="43"/>
      <c r="D453" s="23"/>
      <c r="E453" s="23"/>
      <c r="F453" s="11"/>
      <c r="G453" s="35"/>
      <c r="H453" s="23"/>
      <c r="I453" s="24"/>
      <c r="J453" s="31" t="str">
        <f aca="false">IF(I453="","",UPPER(SUBSTITUTE(SUBSTITUTE(SUBSTITUTE(SUBSTITUTE(SUBSTITUTE(TRIM(I453),".",""),"/",""),"-",""),"*","")," ","")))</f>
        <v/>
      </c>
      <c r="K453" s="31" t="str">
        <f aca="false">IF(OR(H453="",J453=""),"",IF(LEN(J453)&gt;=13,IF(LEN(J453)=13,"0"&amp;J453,J453),SUBSTITUTE(SUBSTITUTE(SUBSTITUTE(SUBSTITUTE(SUBSTITUTE(SUBSTITUTE(SUBSTITUTE(SUBSTITUTE(SUBSTITUTE(SUBSTITUTE(SUBSTITUTE(SUBSTITUTE(SUBSTITUTE(UPPER(TRIM(H453)),"Á","A"),"À","A"),"Â","A"),"Ã","A"),"É","E"),"Ê","E"),"Í","I"),"Ó","O"),"Ô","O"),"Õ","O"),"Ú","U"),"Ü","U"),"Ç","C")&amp;"|"&amp;IF(LEN(J453)=11,MID(J453,4,6),J453)))</f>
        <v/>
      </c>
      <c r="L453" s="25" t="str">
        <f aca="false">IF(K453="","",IF(E453="Doação recebida",TRIM(IF(COUNTIF(Socios!$H:$H,K453)&gt;0,"Doador é sócio de empresa da pauta. ","")&amp;IF(COUNTIF(Pessoas!$E:$E,K453)&gt;0,"Doador está em Pessoas.","")),IF(E453="Despesa com fornecedor",IF(COUNTIF(Contratos!$D:$D,K453)&gt;0,"Fornecedor também tem contrato público",""),"")))</f>
        <v/>
      </c>
      <c r="M453" s="24"/>
      <c r="N453" s="11"/>
    </row>
    <row r="454" customFormat="false" ht="15" hidden="false" customHeight="false" outlineLevel="0" collapsed="false">
      <c r="A454" s="23"/>
      <c r="B454" s="31" t="str">
        <f aca="false">IF(A454="","",SUBSTITUTE(SUBSTITUTE(SUBSTITUTE(SUBSTITUTE(SUBSTITUTE(SUBSTITUTE(SUBSTITUTE(SUBSTITUTE(SUBSTITUTE(SUBSTITUTE(SUBSTITUTE(SUBSTITUTE(SUBSTITUTE(UPPER(TRIM(A454)),"Á","A"),"À","A"),"Â","A"),"Ã","A"),"É","E"),"Ê","E"),"Í","I"),"Ó","O"),"Ô","O"),"Õ","O"),"Ú","U"),"Ü","U"),"Ç","C"))</f>
        <v/>
      </c>
      <c r="C454" s="43"/>
      <c r="D454" s="23"/>
      <c r="E454" s="23"/>
      <c r="F454" s="11"/>
      <c r="G454" s="35"/>
      <c r="H454" s="23"/>
      <c r="I454" s="24"/>
      <c r="J454" s="31" t="str">
        <f aca="false">IF(I454="","",UPPER(SUBSTITUTE(SUBSTITUTE(SUBSTITUTE(SUBSTITUTE(SUBSTITUTE(TRIM(I454),".",""),"/",""),"-",""),"*","")," ","")))</f>
        <v/>
      </c>
      <c r="K454" s="31" t="str">
        <f aca="false">IF(OR(H454="",J454=""),"",IF(LEN(J454)&gt;=13,IF(LEN(J454)=13,"0"&amp;J454,J454),SUBSTITUTE(SUBSTITUTE(SUBSTITUTE(SUBSTITUTE(SUBSTITUTE(SUBSTITUTE(SUBSTITUTE(SUBSTITUTE(SUBSTITUTE(SUBSTITUTE(SUBSTITUTE(SUBSTITUTE(SUBSTITUTE(UPPER(TRIM(H454)),"Á","A"),"À","A"),"Â","A"),"Ã","A"),"É","E"),"Ê","E"),"Í","I"),"Ó","O"),"Ô","O"),"Õ","O"),"Ú","U"),"Ü","U"),"Ç","C")&amp;"|"&amp;IF(LEN(J454)=11,MID(J454,4,6),J454)))</f>
        <v/>
      </c>
      <c r="L454" s="25" t="str">
        <f aca="false">IF(K454="","",IF(E454="Doação recebida",TRIM(IF(COUNTIF(Socios!$H:$H,K454)&gt;0,"Doador é sócio de empresa da pauta. ","")&amp;IF(COUNTIF(Pessoas!$E:$E,K454)&gt;0,"Doador está em Pessoas.","")),IF(E454="Despesa com fornecedor",IF(COUNTIF(Contratos!$D:$D,K454)&gt;0,"Fornecedor também tem contrato público",""),"")))</f>
        <v/>
      </c>
      <c r="M454" s="24"/>
      <c r="N454" s="11"/>
    </row>
    <row r="455" customFormat="false" ht="15" hidden="false" customHeight="false" outlineLevel="0" collapsed="false">
      <c r="A455" s="23"/>
      <c r="B455" s="31" t="str">
        <f aca="false">IF(A455="","",SUBSTITUTE(SUBSTITUTE(SUBSTITUTE(SUBSTITUTE(SUBSTITUTE(SUBSTITUTE(SUBSTITUTE(SUBSTITUTE(SUBSTITUTE(SUBSTITUTE(SUBSTITUTE(SUBSTITUTE(SUBSTITUTE(UPPER(TRIM(A455)),"Á","A"),"À","A"),"Â","A"),"Ã","A"),"É","E"),"Ê","E"),"Í","I"),"Ó","O"),"Ô","O"),"Õ","O"),"Ú","U"),"Ü","U"),"Ç","C"))</f>
        <v/>
      </c>
      <c r="C455" s="43"/>
      <c r="D455" s="23"/>
      <c r="E455" s="23"/>
      <c r="F455" s="11"/>
      <c r="G455" s="35"/>
      <c r="H455" s="23"/>
      <c r="I455" s="24"/>
      <c r="J455" s="31" t="str">
        <f aca="false">IF(I455="","",UPPER(SUBSTITUTE(SUBSTITUTE(SUBSTITUTE(SUBSTITUTE(SUBSTITUTE(TRIM(I455),".",""),"/",""),"-",""),"*","")," ","")))</f>
        <v/>
      </c>
      <c r="K455" s="31" t="str">
        <f aca="false">IF(OR(H455="",J455=""),"",IF(LEN(J455)&gt;=13,IF(LEN(J455)=13,"0"&amp;J455,J455),SUBSTITUTE(SUBSTITUTE(SUBSTITUTE(SUBSTITUTE(SUBSTITUTE(SUBSTITUTE(SUBSTITUTE(SUBSTITUTE(SUBSTITUTE(SUBSTITUTE(SUBSTITUTE(SUBSTITUTE(SUBSTITUTE(UPPER(TRIM(H455)),"Á","A"),"À","A"),"Â","A"),"Ã","A"),"É","E"),"Ê","E"),"Í","I"),"Ó","O"),"Ô","O"),"Õ","O"),"Ú","U"),"Ü","U"),"Ç","C")&amp;"|"&amp;IF(LEN(J455)=11,MID(J455,4,6),J455)))</f>
        <v/>
      </c>
      <c r="L455" s="25" t="str">
        <f aca="false">IF(K455="","",IF(E455="Doação recebida",TRIM(IF(COUNTIF(Socios!$H:$H,K455)&gt;0,"Doador é sócio de empresa da pauta. ","")&amp;IF(COUNTIF(Pessoas!$E:$E,K455)&gt;0,"Doador está em Pessoas.","")),IF(E455="Despesa com fornecedor",IF(COUNTIF(Contratos!$D:$D,K455)&gt;0,"Fornecedor também tem contrato público",""),"")))</f>
        <v/>
      </c>
      <c r="M455" s="24"/>
      <c r="N455" s="11"/>
    </row>
    <row r="456" customFormat="false" ht="15" hidden="false" customHeight="false" outlineLevel="0" collapsed="false">
      <c r="A456" s="23"/>
      <c r="B456" s="31" t="str">
        <f aca="false">IF(A456="","",SUBSTITUTE(SUBSTITUTE(SUBSTITUTE(SUBSTITUTE(SUBSTITUTE(SUBSTITUTE(SUBSTITUTE(SUBSTITUTE(SUBSTITUTE(SUBSTITUTE(SUBSTITUTE(SUBSTITUTE(SUBSTITUTE(UPPER(TRIM(A456)),"Á","A"),"À","A"),"Â","A"),"Ã","A"),"É","E"),"Ê","E"),"Í","I"),"Ó","O"),"Ô","O"),"Õ","O"),"Ú","U"),"Ü","U"),"Ç","C"))</f>
        <v/>
      </c>
      <c r="C456" s="43"/>
      <c r="D456" s="23"/>
      <c r="E456" s="23"/>
      <c r="F456" s="11"/>
      <c r="G456" s="35"/>
      <c r="H456" s="23"/>
      <c r="I456" s="24"/>
      <c r="J456" s="31" t="str">
        <f aca="false">IF(I456="","",UPPER(SUBSTITUTE(SUBSTITUTE(SUBSTITUTE(SUBSTITUTE(SUBSTITUTE(TRIM(I456),".",""),"/",""),"-",""),"*","")," ","")))</f>
        <v/>
      </c>
      <c r="K456" s="31" t="str">
        <f aca="false">IF(OR(H456="",J456=""),"",IF(LEN(J456)&gt;=13,IF(LEN(J456)=13,"0"&amp;J456,J456),SUBSTITUTE(SUBSTITUTE(SUBSTITUTE(SUBSTITUTE(SUBSTITUTE(SUBSTITUTE(SUBSTITUTE(SUBSTITUTE(SUBSTITUTE(SUBSTITUTE(SUBSTITUTE(SUBSTITUTE(SUBSTITUTE(UPPER(TRIM(H456)),"Á","A"),"À","A"),"Â","A"),"Ã","A"),"É","E"),"Ê","E"),"Í","I"),"Ó","O"),"Ô","O"),"Õ","O"),"Ú","U"),"Ü","U"),"Ç","C")&amp;"|"&amp;IF(LEN(J456)=11,MID(J456,4,6),J456)))</f>
        <v/>
      </c>
      <c r="L456" s="25" t="str">
        <f aca="false">IF(K456="","",IF(E456="Doação recebida",TRIM(IF(COUNTIF(Socios!$H:$H,K456)&gt;0,"Doador é sócio de empresa da pauta. ","")&amp;IF(COUNTIF(Pessoas!$E:$E,K456)&gt;0,"Doador está em Pessoas.","")),IF(E456="Despesa com fornecedor",IF(COUNTIF(Contratos!$D:$D,K456)&gt;0,"Fornecedor também tem contrato público",""),"")))</f>
        <v/>
      </c>
      <c r="M456" s="24"/>
      <c r="N456" s="11"/>
    </row>
    <row r="457" customFormat="false" ht="15" hidden="false" customHeight="false" outlineLevel="0" collapsed="false">
      <c r="A457" s="23"/>
      <c r="B457" s="31" t="str">
        <f aca="false">IF(A457="","",SUBSTITUTE(SUBSTITUTE(SUBSTITUTE(SUBSTITUTE(SUBSTITUTE(SUBSTITUTE(SUBSTITUTE(SUBSTITUTE(SUBSTITUTE(SUBSTITUTE(SUBSTITUTE(SUBSTITUTE(SUBSTITUTE(UPPER(TRIM(A457)),"Á","A"),"À","A"),"Â","A"),"Ã","A"),"É","E"),"Ê","E"),"Í","I"),"Ó","O"),"Ô","O"),"Õ","O"),"Ú","U"),"Ü","U"),"Ç","C"))</f>
        <v/>
      </c>
      <c r="C457" s="43"/>
      <c r="D457" s="23"/>
      <c r="E457" s="23"/>
      <c r="F457" s="11"/>
      <c r="G457" s="35"/>
      <c r="H457" s="23"/>
      <c r="I457" s="24"/>
      <c r="J457" s="31" t="str">
        <f aca="false">IF(I457="","",UPPER(SUBSTITUTE(SUBSTITUTE(SUBSTITUTE(SUBSTITUTE(SUBSTITUTE(TRIM(I457),".",""),"/",""),"-",""),"*","")," ","")))</f>
        <v/>
      </c>
      <c r="K457" s="31" t="str">
        <f aca="false">IF(OR(H457="",J457=""),"",IF(LEN(J457)&gt;=13,IF(LEN(J457)=13,"0"&amp;J457,J457),SUBSTITUTE(SUBSTITUTE(SUBSTITUTE(SUBSTITUTE(SUBSTITUTE(SUBSTITUTE(SUBSTITUTE(SUBSTITUTE(SUBSTITUTE(SUBSTITUTE(SUBSTITUTE(SUBSTITUTE(SUBSTITUTE(UPPER(TRIM(H457)),"Á","A"),"À","A"),"Â","A"),"Ã","A"),"É","E"),"Ê","E"),"Í","I"),"Ó","O"),"Ô","O"),"Õ","O"),"Ú","U"),"Ü","U"),"Ç","C")&amp;"|"&amp;IF(LEN(J457)=11,MID(J457,4,6),J457)))</f>
        <v/>
      </c>
      <c r="L457" s="25" t="str">
        <f aca="false">IF(K457="","",IF(E457="Doação recebida",TRIM(IF(COUNTIF(Socios!$H:$H,K457)&gt;0,"Doador é sócio de empresa da pauta. ","")&amp;IF(COUNTIF(Pessoas!$E:$E,K457)&gt;0,"Doador está em Pessoas.","")),IF(E457="Despesa com fornecedor",IF(COUNTIF(Contratos!$D:$D,K457)&gt;0,"Fornecedor também tem contrato público",""),"")))</f>
        <v/>
      </c>
      <c r="M457" s="24"/>
      <c r="N457" s="11"/>
    </row>
    <row r="458" customFormat="false" ht="15" hidden="false" customHeight="false" outlineLevel="0" collapsed="false">
      <c r="A458" s="23"/>
      <c r="B458" s="31" t="str">
        <f aca="false">IF(A458="","",SUBSTITUTE(SUBSTITUTE(SUBSTITUTE(SUBSTITUTE(SUBSTITUTE(SUBSTITUTE(SUBSTITUTE(SUBSTITUTE(SUBSTITUTE(SUBSTITUTE(SUBSTITUTE(SUBSTITUTE(SUBSTITUTE(UPPER(TRIM(A458)),"Á","A"),"À","A"),"Â","A"),"Ã","A"),"É","E"),"Ê","E"),"Í","I"),"Ó","O"),"Ô","O"),"Õ","O"),"Ú","U"),"Ü","U"),"Ç","C"))</f>
        <v/>
      </c>
      <c r="C458" s="43"/>
      <c r="D458" s="23"/>
      <c r="E458" s="23"/>
      <c r="F458" s="11"/>
      <c r="G458" s="35"/>
      <c r="H458" s="23"/>
      <c r="I458" s="24"/>
      <c r="J458" s="31" t="str">
        <f aca="false">IF(I458="","",UPPER(SUBSTITUTE(SUBSTITUTE(SUBSTITUTE(SUBSTITUTE(SUBSTITUTE(TRIM(I458),".",""),"/",""),"-",""),"*","")," ","")))</f>
        <v/>
      </c>
      <c r="K458" s="31" t="str">
        <f aca="false">IF(OR(H458="",J458=""),"",IF(LEN(J458)&gt;=13,IF(LEN(J458)=13,"0"&amp;J458,J458),SUBSTITUTE(SUBSTITUTE(SUBSTITUTE(SUBSTITUTE(SUBSTITUTE(SUBSTITUTE(SUBSTITUTE(SUBSTITUTE(SUBSTITUTE(SUBSTITUTE(SUBSTITUTE(SUBSTITUTE(SUBSTITUTE(UPPER(TRIM(H458)),"Á","A"),"À","A"),"Â","A"),"Ã","A"),"É","E"),"Ê","E"),"Í","I"),"Ó","O"),"Ô","O"),"Õ","O"),"Ú","U"),"Ü","U"),"Ç","C")&amp;"|"&amp;IF(LEN(J458)=11,MID(J458,4,6),J458)))</f>
        <v/>
      </c>
      <c r="L458" s="25" t="str">
        <f aca="false">IF(K458="","",IF(E458="Doação recebida",TRIM(IF(COUNTIF(Socios!$H:$H,K458)&gt;0,"Doador é sócio de empresa da pauta. ","")&amp;IF(COUNTIF(Pessoas!$E:$E,K458)&gt;0,"Doador está em Pessoas.","")),IF(E458="Despesa com fornecedor",IF(COUNTIF(Contratos!$D:$D,K458)&gt;0,"Fornecedor também tem contrato público",""),"")))</f>
        <v/>
      </c>
      <c r="M458" s="24"/>
      <c r="N458" s="11"/>
    </row>
    <row r="459" customFormat="false" ht="15" hidden="false" customHeight="false" outlineLevel="0" collapsed="false">
      <c r="A459" s="23"/>
      <c r="B459" s="31" t="str">
        <f aca="false">IF(A459="","",SUBSTITUTE(SUBSTITUTE(SUBSTITUTE(SUBSTITUTE(SUBSTITUTE(SUBSTITUTE(SUBSTITUTE(SUBSTITUTE(SUBSTITUTE(SUBSTITUTE(SUBSTITUTE(SUBSTITUTE(SUBSTITUTE(UPPER(TRIM(A459)),"Á","A"),"À","A"),"Â","A"),"Ã","A"),"É","E"),"Ê","E"),"Í","I"),"Ó","O"),"Ô","O"),"Õ","O"),"Ú","U"),"Ü","U"),"Ç","C"))</f>
        <v/>
      </c>
      <c r="C459" s="43"/>
      <c r="D459" s="23"/>
      <c r="E459" s="23"/>
      <c r="F459" s="11"/>
      <c r="G459" s="35"/>
      <c r="H459" s="23"/>
      <c r="I459" s="24"/>
      <c r="J459" s="31" t="str">
        <f aca="false">IF(I459="","",UPPER(SUBSTITUTE(SUBSTITUTE(SUBSTITUTE(SUBSTITUTE(SUBSTITUTE(TRIM(I459),".",""),"/",""),"-",""),"*","")," ","")))</f>
        <v/>
      </c>
      <c r="K459" s="31" t="str">
        <f aca="false">IF(OR(H459="",J459=""),"",IF(LEN(J459)&gt;=13,IF(LEN(J459)=13,"0"&amp;J459,J459),SUBSTITUTE(SUBSTITUTE(SUBSTITUTE(SUBSTITUTE(SUBSTITUTE(SUBSTITUTE(SUBSTITUTE(SUBSTITUTE(SUBSTITUTE(SUBSTITUTE(SUBSTITUTE(SUBSTITUTE(SUBSTITUTE(UPPER(TRIM(H459)),"Á","A"),"À","A"),"Â","A"),"Ã","A"),"É","E"),"Ê","E"),"Í","I"),"Ó","O"),"Ô","O"),"Õ","O"),"Ú","U"),"Ü","U"),"Ç","C")&amp;"|"&amp;IF(LEN(J459)=11,MID(J459,4,6),J459)))</f>
        <v/>
      </c>
      <c r="L459" s="25" t="str">
        <f aca="false">IF(K459="","",IF(E459="Doação recebida",TRIM(IF(COUNTIF(Socios!$H:$H,K459)&gt;0,"Doador é sócio de empresa da pauta. ","")&amp;IF(COUNTIF(Pessoas!$E:$E,K459)&gt;0,"Doador está em Pessoas.","")),IF(E459="Despesa com fornecedor",IF(COUNTIF(Contratos!$D:$D,K459)&gt;0,"Fornecedor também tem contrato público",""),"")))</f>
        <v/>
      </c>
      <c r="M459" s="24"/>
      <c r="N459" s="11"/>
    </row>
    <row r="460" customFormat="false" ht="15" hidden="false" customHeight="false" outlineLevel="0" collapsed="false">
      <c r="A460" s="23"/>
      <c r="B460" s="31" t="str">
        <f aca="false">IF(A460="","",SUBSTITUTE(SUBSTITUTE(SUBSTITUTE(SUBSTITUTE(SUBSTITUTE(SUBSTITUTE(SUBSTITUTE(SUBSTITUTE(SUBSTITUTE(SUBSTITUTE(SUBSTITUTE(SUBSTITUTE(SUBSTITUTE(UPPER(TRIM(A460)),"Á","A"),"À","A"),"Â","A"),"Ã","A"),"É","E"),"Ê","E"),"Í","I"),"Ó","O"),"Ô","O"),"Õ","O"),"Ú","U"),"Ü","U"),"Ç","C"))</f>
        <v/>
      </c>
      <c r="C460" s="43"/>
      <c r="D460" s="23"/>
      <c r="E460" s="23"/>
      <c r="F460" s="11"/>
      <c r="G460" s="35"/>
      <c r="H460" s="23"/>
      <c r="I460" s="24"/>
      <c r="J460" s="31" t="str">
        <f aca="false">IF(I460="","",UPPER(SUBSTITUTE(SUBSTITUTE(SUBSTITUTE(SUBSTITUTE(SUBSTITUTE(TRIM(I460),".",""),"/",""),"-",""),"*","")," ","")))</f>
        <v/>
      </c>
      <c r="K460" s="31" t="str">
        <f aca="false">IF(OR(H460="",J460=""),"",IF(LEN(J460)&gt;=13,IF(LEN(J460)=13,"0"&amp;J460,J460),SUBSTITUTE(SUBSTITUTE(SUBSTITUTE(SUBSTITUTE(SUBSTITUTE(SUBSTITUTE(SUBSTITUTE(SUBSTITUTE(SUBSTITUTE(SUBSTITUTE(SUBSTITUTE(SUBSTITUTE(SUBSTITUTE(UPPER(TRIM(H460)),"Á","A"),"À","A"),"Â","A"),"Ã","A"),"É","E"),"Ê","E"),"Í","I"),"Ó","O"),"Ô","O"),"Õ","O"),"Ú","U"),"Ü","U"),"Ç","C")&amp;"|"&amp;IF(LEN(J460)=11,MID(J460,4,6),J460)))</f>
        <v/>
      </c>
      <c r="L460" s="25" t="str">
        <f aca="false">IF(K460="","",IF(E460="Doação recebida",TRIM(IF(COUNTIF(Socios!$H:$H,K460)&gt;0,"Doador é sócio de empresa da pauta. ","")&amp;IF(COUNTIF(Pessoas!$E:$E,K460)&gt;0,"Doador está em Pessoas.","")),IF(E460="Despesa com fornecedor",IF(COUNTIF(Contratos!$D:$D,K460)&gt;0,"Fornecedor também tem contrato público",""),"")))</f>
        <v/>
      </c>
      <c r="M460" s="24"/>
      <c r="N460" s="11"/>
    </row>
    <row r="461" customFormat="false" ht="15" hidden="false" customHeight="false" outlineLevel="0" collapsed="false">
      <c r="A461" s="23"/>
      <c r="B461" s="31" t="str">
        <f aca="false">IF(A461="","",SUBSTITUTE(SUBSTITUTE(SUBSTITUTE(SUBSTITUTE(SUBSTITUTE(SUBSTITUTE(SUBSTITUTE(SUBSTITUTE(SUBSTITUTE(SUBSTITUTE(SUBSTITUTE(SUBSTITUTE(SUBSTITUTE(UPPER(TRIM(A461)),"Á","A"),"À","A"),"Â","A"),"Ã","A"),"É","E"),"Ê","E"),"Í","I"),"Ó","O"),"Ô","O"),"Õ","O"),"Ú","U"),"Ü","U"),"Ç","C"))</f>
        <v/>
      </c>
      <c r="C461" s="43"/>
      <c r="D461" s="23"/>
      <c r="E461" s="23"/>
      <c r="F461" s="11"/>
      <c r="G461" s="35"/>
      <c r="H461" s="23"/>
      <c r="I461" s="24"/>
      <c r="J461" s="31" t="str">
        <f aca="false">IF(I461="","",UPPER(SUBSTITUTE(SUBSTITUTE(SUBSTITUTE(SUBSTITUTE(SUBSTITUTE(TRIM(I461),".",""),"/",""),"-",""),"*","")," ","")))</f>
        <v/>
      </c>
      <c r="K461" s="31" t="str">
        <f aca="false">IF(OR(H461="",J461=""),"",IF(LEN(J461)&gt;=13,IF(LEN(J461)=13,"0"&amp;J461,J461),SUBSTITUTE(SUBSTITUTE(SUBSTITUTE(SUBSTITUTE(SUBSTITUTE(SUBSTITUTE(SUBSTITUTE(SUBSTITUTE(SUBSTITUTE(SUBSTITUTE(SUBSTITUTE(SUBSTITUTE(SUBSTITUTE(UPPER(TRIM(H461)),"Á","A"),"À","A"),"Â","A"),"Ã","A"),"É","E"),"Ê","E"),"Í","I"),"Ó","O"),"Ô","O"),"Õ","O"),"Ú","U"),"Ü","U"),"Ç","C")&amp;"|"&amp;IF(LEN(J461)=11,MID(J461,4,6),J461)))</f>
        <v/>
      </c>
      <c r="L461" s="25" t="str">
        <f aca="false">IF(K461="","",IF(E461="Doação recebida",TRIM(IF(COUNTIF(Socios!$H:$H,K461)&gt;0,"Doador é sócio de empresa da pauta. ","")&amp;IF(COUNTIF(Pessoas!$E:$E,K461)&gt;0,"Doador está em Pessoas.","")),IF(E461="Despesa com fornecedor",IF(COUNTIF(Contratos!$D:$D,K461)&gt;0,"Fornecedor também tem contrato público",""),"")))</f>
        <v/>
      </c>
      <c r="M461" s="24"/>
      <c r="N461" s="11"/>
    </row>
    <row r="462" customFormat="false" ht="15" hidden="false" customHeight="false" outlineLevel="0" collapsed="false">
      <c r="A462" s="23"/>
      <c r="B462" s="31" t="str">
        <f aca="false">IF(A462="","",SUBSTITUTE(SUBSTITUTE(SUBSTITUTE(SUBSTITUTE(SUBSTITUTE(SUBSTITUTE(SUBSTITUTE(SUBSTITUTE(SUBSTITUTE(SUBSTITUTE(SUBSTITUTE(SUBSTITUTE(SUBSTITUTE(UPPER(TRIM(A462)),"Á","A"),"À","A"),"Â","A"),"Ã","A"),"É","E"),"Ê","E"),"Í","I"),"Ó","O"),"Ô","O"),"Õ","O"),"Ú","U"),"Ü","U"),"Ç","C"))</f>
        <v/>
      </c>
      <c r="C462" s="43"/>
      <c r="D462" s="23"/>
      <c r="E462" s="23"/>
      <c r="F462" s="11"/>
      <c r="G462" s="35"/>
      <c r="H462" s="23"/>
      <c r="I462" s="24"/>
      <c r="J462" s="31" t="str">
        <f aca="false">IF(I462="","",UPPER(SUBSTITUTE(SUBSTITUTE(SUBSTITUTE(SUBSTITUTE(SUBSTITUTE(TRIM(I462),".",""),"/",""),"-",""),"*","")," ","")))</f>
        <v/>
      </c>
      <c r="K462" s="31" t="str">
        <f aca="false">IF(OR(H462="",J462=""),"",IF(LEN(J462)&gt;=13,IF(LEN(J462)=13,"0"&amp;J462,J462),SUBSTITUTE(SUBSTITUTE(SUBSTITUTE(SUBSTITUTE(SUBSTITUTE(SUBSTITUTE(SUBSTITUTE(SUBSTITUTE(SUBSTITUTE(SUBSTITUTE(SUBSTITUTE(SUBSTITUTE(SUBSTITUTE(UPPER(TRIM(H462)),"Á","A"),"À","A"),"Â","A"),"Ã","A"),"É","E"),"Ê","E"),"Í","I"),"Ó","O"),"Ô","O"),"Õ","O"),"Ú","U"),"Ü","U"),"Ç","C")&amp;"|"&amp;IF(LEN(J462)=11,MID(J462,4,6),J462)))</f>
        <v/>
      </c>
      <c r="L462" s="25" t="str">
        <f aca="false">IF(K462="","",IF(E462="Doação recebida",TRIM(IF(COUNTIF(Socios!$H:$H,K462)&gt;0,"Doador é sócio de empresa da pauta. ","")&amp;IF(COUNTIF(Pessoas!$E:$E,K462)&gt;0,"Doador está em Pessoas.","")),IF(E462="Despesa com fornecedor",IF(COUNTIF(Contratos!$D:$D,K462)&gt;0,"Fornecedor também tem contrato público",""),"")))</f>
        <v/>
      </c>
      <c r="M462" s="24"/>
      <c r="N462" s="11"/>
    </row>
    <row r="463" customFormat="false" ht="15" hidden="false" customHeight="false" outlineLevel="0" collapsed="false">
      <c r="A463" s="23"/>
      <c r="B463" s="31" t="str">
        <f aca="false">IF(A463="","",SUBSTITUTE(SUBSTITUTE(SUBSTITUTE(SUBSTITUTE(SUBSTITUTE(SUBSTITUTE(SUBSTITUTE(SUBSTITUTE(SUBSTITUTE(SUBSTITUTE(SUBSTITUTE(SUBSTITUTE(SUBSTITUTE(UPPER(TRIM(A463)),"Á","A"),"À","A"),"Â","A"),"Ã","A"),"É","E"),"Ê","E"),"Í","I"),"Ó","O"),"Ô","O"),"Õ","O"),"Ú","U"),"Ü","U"),"Ç","C"))</f>
        <v/>
      </c>
      <c r="C463" s="43"/>
      <c r="D463" s="23"/>
      <c r="E463" s="23"/>
      <c r="F463" s="11"/>
      <c r="G463" s="35"/>
      <c r="H463" s="23"/>
      <c r="I463" s="24"/>
      <c r="J463" s="31" t="str">
        <f aca="false">IF(I463="","",UPPER(SUBSTITUTE(SUBSTITUTE(SUBSTITUTE(SUBSTITUTE(SUBSTITUTE(TRIM(I463),".",""),"/",""),"-",""),"*","")," ","")))</f>
        <v/>
      </c>
      <c r="K463" s="31" t="str">
        <f aca="false">IF(OR(H463="",J463=""),"",IF(LEN(J463)&gt;=13,IF(LEN(J463)=13,"0"&amp;J463,J463),SUBSTITUTE(SUBSTITUTE(SUBSTITUTE(SUBSTITUTE(SUBSTITUTE(SUBSTITUTE(SUBSTITUTE(SUBSTITUTE(SUBSTITUTE(SUBSTITUTE(SUBSTITUTE(SUBSTITUTE(SUBSTITUTE(UPPER(TRIM(H463)),"Á","A"),"À","A"),"Â","A"),"Ã","A"),"É","E"),"Ê","E"),"Í","I"),"Ó","O"),"Ô","O"),"Õ","O"),"Ú","U"),"Ü","U"),"Ç","C")&amp;"|"&amp;IF(LEN(J463)=11,MID(J463,4,6),J463)))</f>
        <v/>
      </c>
      <c r="L463" s="25" t="str">
        <f aca="false">IF(K463="","",IF(E463="Doação recebida",TRIM(IF(COUNTIF(Socios!$H:$H,K463)&gt;0,"Doador é sócio de empresa da pauta. ","")&amp;IF(COUNTIF(Pessoas!$E:$E,K463)&gt;0,"Doador está em Pessoas.","")),IF(E463="Despesa com fornecedor",IF(COUNTIF(Contratos!$D:$D,K463)&gt;0,"Fornecedor também tem contrato público",""),"")))</f>
        <v/>
      </c>
      <c r="M463" s="24"/>
      <c r="N463" s="11"/>
    </row>
    <row r="464" customFormat="false" ht="15" hidden="false" customHeight="false" outlineLevel="0" collapsed="false">
      <c r="A464" s="23"/>
      <c r="B464" s="31" t="str">
        <f aca="false">IF(A464="","",SUBSTITUTE(SUBSTITUTE(SUBSTITUTE(SUBSTITUTE(SUBSTITUTE(SUBSTITUTE(SUBSTITUTE(SUBSTITUTE(SUBSTITUTE(SUBSTITUTE(SUBSTITUTE(SUBSTITUTE(SUBSTITUTE(UPPER(TRIM(A464)),"Á","A"),"À","A"),"Â","A"),"Ã","A"),"É","E"),"Ê","E"),"Í","I"),"Ó","O"),"Ô","O"),"Õ","O"),"Ú","U"),"Ü","U"),"Ç","C"))</f>
        <v/>
      </c>
      <c r="C464" s="43"/>
      <c r="D464" s="23"/>
      <c r="E464" s="23"/>
      <c r="F464" s="11"/>
      <c r="G464" s="35"/>
      <c r="H464" s="23"/>
      <c r="I464" s="24"/>
      <c r="J464" s="31" t="str">
        <f aca="false">IF(I464="","",UPPER(SUBSTITUTE(SUBSTITUTE(SUBSTITUTE(SUBSTITUTE(SUBSTITUTE(TRIM(I464),".",""),"/",""),"-",""),"*","")," ","")))</f>
        <v/>
      </c>
      <c r="K464" s="31" t="str">
        <f aca="false">IF(OR(H464="",J464=""),"",IF(LEN(J464)&gt;=13,IF(LEN(J464)=13,"0"&amp;J464,J464),SUBSTITUTE(SUBSTITUTE(SUBSTITUTE(SUBSTITUTE(SUBSTITUTE(SUBSTITUTE(SUBSTITUTE(SUBSTITUTE(SUBSTITUTE(SUBSTITUTE(SUBSTITUTE(SUBSTITUTE(SUBSTITUTE(UPPER(TRIM(H464)),"Á","A"),"À","A"),"Â","A"),"Ã","A"),"É","E"),"Ê","E"),"Í","I"),"Ó","O"),"Ô","O"),"Õ","O"),"Ú","U"),"Ü","U"),"Ç","C")&amp;"|"&amp;IF(LEN(J464)=11,MID(J464,4,6),J464)))</f>
        <v/>
      </c>
      <c r="L464" s="25" t="str">
        <f aca="false">IF(K464="","",IF(E464="Doação recebida",TRIM(IF(COUNTIF(Socios!$H:$H,K464)&gt;0,"Doador é sócio de empresa da pauta. ","")&amp;IF(COUNTIF(Pessoas!$E:$E,K464)&gt;0,"Doador está em Pessoas.","")),IF(E464="Despesa com fornecedor",IF(COUNTIF(Contratos!$D:$D,K464)&gt;0,"Fornecedor também tem contrato público",""),"")))</f>
        <v/>
      </c>
      <c r="M464" s="24"/>
      <c r="N464" s="11"/>
    </row>
    <row r="465" customFormat="false" ht="15" hidden="false" customHeight="false" outlineLevel="0" collapsed="false">
      <c r="A465" s="23"/>
      <c r="B465" s="31" t="str">
        <f aca="false">IF(A465="","",SUBSTITUTE(SUBSTITUTE(SUBSTITUTE(SUBSTITUTE(SUBSTITUTE(SUBSTITUTE(SUBSTITUTE(SUBSTITUTE(SUBSTITUTE(SUBSTITUTE(SUBSTITUTE(SUBSTITUTE(SUBSTITUTE(UPPER(TRIM(A465)),"Á","A"),"À","A"),"Â","A"),"Ã","A"),"É","E"),"Ê","E"),"Í","I"),"Ó","O"),"Ô","O"),"Õ","O"),"Ú","U"),"Ü","U"),"Ç","C"))</f>
        <v/>
      </c>
      <c r="C465" s="43"/>
      <c r="D465" s="23"/>
      <c r="E465" s="23"/>
      <c r="F465" s="11"/>
      <c r="G465" s="35"/>
      <c r="H465" s="23"/>
      <c r="I465" s="24"/>
      <c r="J465" s="31" t="str">
        <f aca="false">IF(I465="","",UPPER(SUBSTITUTE(SUBSTITUTE(SUBSTITUTE(SUBSTITUTE(SUBSTITUTE(TRIM(I465),".",""),"/",""),"-",""),"*","")," ","")))</f>
        <v/>
      </c>
      <c r="K465" s="31" t="str">
        <f aca="false">IF(OR(H465="",J465=""),"",IF(LEN(J465)&gt;=13,IF(LEN(J465)=13,"0"&amp;J465,J465),SUBSTITUTE(SUBSTITUTE(SUBSTITUTE(SUBSTITUTE(SUBSTITUTE(SUBSTITUTE(SUBSTITUTE(SUBSTITUTE(SUBSTITUTE(SUBSTITUTE(SUBSTITUTE(SUBSTITUTE(SUBSTITUTE(UPPER(TRIM(H465)),"Á","A"),"À","A"),"Â","A"),"Ã","A"),"É","E"),"Ê","E"),"Í","I"),"Ó","O"),"Ô","O"),"Õ","O"),"Ú","U"),"Ü","U"),"Ç","C")&amp;"|"&amp;IF(LEN(J465)=11,MID(J465,4,6),J465)))</f>
        <v/>
      </c>
      <c r="L465" s="25" t="str">
        <f aca="false">IF(K465="","",IF(E465="Doação recebida",TRIM(IF(COUNTIF(Socios!$H:$H,K465)&gt;0,"Doador é sócio de empresa da pauta. ","")&amp;IF(COUNTIF(Pessoas!$E:$E,K465)&gt;0,"Doador está em Pessoas.","")),IF(E465="Despesa com fornecedor",IF(COUNTIF(Contratos!$D:$D,K465)&gt;0,"Fornecedor também tem contrato público",""),"")))</f>
        <v/>
      </c>
      <c r="M465" s="24"/>
      <c r="N465" s="11"/>
    </row>
    <row r="466" customFormat="false" ht="15" hidden="false" customHeight="false" outlineLevel="0" collapsed="false">
      <c r="A466" s="23"/>
      <c r="B466" s="31" t="str">
        <f aca="false">IF(A466="","",SUBSTITUTE(SUBSTITUTE(SUBSTITUTE(SUBSTITUTE(SUBSTITUTE(SUBSTITUTE(SUBSTITUTE(SUBSTITUTE(SUBSTITUTE(SUBSTITUTE(SUBSTITUTE(SUBSTITUTE(SUBSTITUTE(UPPER(TRIM(A466)),"Á","A"),"À","A"),"Â","A"),"Ã","A"),"É","E"),"Ê","E"),"Í","I"),"Ó","O"),"Ô","O"),"Õ","O"),"Ú","U"),"Ü","U"),"Ç","C"))</f>
        <v/>
      </c>
      <c r="C466" s="43"/>
      <c r="D466" s="23"/>
      <c r="E466" s="23"/>
      <c r="F466" s="11"/>
      <c r="G466" s="35"/>
      <c r="H466" s="23"/>
      <c r="I466" s="24"/>
      <c r="J466" s="31" t="str">
        <f aca="false">IF(I466="","",UPPER(SUBSTITUTE(SUBSTITUTE(SUBSTITUTE(SUBSTITUTE(SUBSTITUTE(TRIM(I466),".",""),"/",""),"-",""),"*","")," ","")))</f>
        <v/>
      </c>
      <c r="K466" s="31" t="str">
        <f aca="false">IF(OR(H466="",J466=""),"",IF(LEN(J466)&gt;=13,IF(LEN(J466)=13,"0"&amp;J466,J466),SUBSTITUTE(SUBSTITUTE(SUBSTITUTE(SUBSTITUTE(SUBSTITUTE(SUBSTITUTE(SUBSTITUTE(SUBSTITUTE(SUBSTITUTE(SUBSTITUTE(SUBSTITUTE(SUBSTITUTE(SUBSTITUTE(UPPER(TRIM(H466)),"Á","A"),"À","A"),"Â","A"),"Ã","A"),"É","E"),"Ê","E"),"Í","I"),"Ó","O"),"Ô","O"),"Õ","O"),"Ú","U"),"Ü","U"),"Ç","C")&amp;"|"&amp;IF(LEN(J466)=11,MID(J466,4,6),J466)))</f>
        <v/>
      </c>
      <c r="L466" s="25" t="str">
        <f aca="false">IF(K466="","",IF(E466="Doação recebida",TRIM(IF(COUNTIF(Socios!$H:$H,K466)&gt;0,"Doador é sócio de empresa da pauta. ","")&amp;IF(COUNTIF(Pessoas!$E:$E,K466)&gt;0,"Doador está em Pessoas.","")),IF(E466="Despesa com fornecedor",IF(COUNTIF(Contratos!$D:$D,K466)&gt;0,"Fornecedor também tem contrato público",""),"")))</f>
        <v/>
      </c>
      <c r="M466" s="24"/>
      <c r="N466" s="11"/>
    </row>
    <row r="467" customFormat="false" ht="15" hidden="false" customHeight="false" outlineLevel="0" collapsed="false">
      <c r="A467" s="23"/>
      <c r="B467" s="31" t="str">
        <f aca="false">IF(A467="","",SUBSTITUTE(SUBSTITUTE(SUBSTITUTE(SUBSTITUTE(SUBSTITUTE(SUBSTITUTE(SUBSTITUTE(SUBSTITUTE(SUBSTITUTE(SUBSTITUTE(SUBSTITUTE(SUBSTITUTE(SUBSTITUTE(UPPER(TRIM(A467)),"Á","A"),"À","A"),"Â","A"),"Ã","A"),"É","E"),"Ê","E"),"Í","I"),"Ó","O"),"Ô","O"),"Õ","O"),"Ú","U"),"Ü","U"),"Ç","C"))</f>
        <v/>
      </c>
      <c r="C467" s="43"/>
      <c r="D467" s="23"/>
      <c r="E467" s="23"/>
      <c r="F467" s="11"/>
      <c r="G467" s="35"/>
      <c r="H467" s="23"/>
      <c r="I467" s="24"/>
      <c r="J467" s="31" t="str">
        <f aca="false">IF(I467="","",UPPER(SUBSTITUTE(SUBSTITUTE(SUBSTITUTE(SUBSTITUTE(SUBSTITUTE(TRIM(I467),".",""),"/",""),"-",""),"*","")," ","")))</f>
        <v/>
      </c>
      <c r="K467" s="31" t="str">
        <f aca="false">IF(OR(H467="",J467=""),"",IF(LEN(J467)&gt;=13,IF(LEN(J467)=13,"0"&amp;J467,J467),SUBSTITUTE(SUBSTITUTE(SUBSTITUTE(SUBSTITUTE(SUBSTITUTE(SUBSTITUTE(SUBSTITUTE(SUBSTITUTE(SUBSTITUTE(SUBSTITUTE(SUBSTITUTE(SUBSTITUTE(SUBSTITUTE(UPPER(TRIM(H467)),"Á","A"),"À","A"),"Â","A"),"Ã","A"),"É","E"),"Ê","E"),"Í","I"),"Ó","O"),"Ô","O"),"Õ","O"),"Ú","U"),"Ü","U"),"Ç","C")&amp;"|"&amp;IF(LEN(J467)=11,MID(J467,4,6),J467)))</f>
        <v/>
      </c>
      <c r="L467" s="25" t="str">
        <f aca="false">IF(K467="","",IF(E467="Doação recebida",TRIM(IF(COUNTIF(Socios!$H:$H,K467)&gt;0,"Doador é sócio de empresa da pauta. ","")&amp;IF(COUNTIF(Pessoas!$E:$E,K467)&gt;0,"Doador está em Pessoas.","")),IF(E467="Despesa com fornecedor",IF(COUNTIF(Contratos!$D:$D,K467)&gt;0,"Fornecedor também tem contrato público",""),"")))</f>
        <v/>
      </c>
      <c r="M467" s="24"/>
      <c r="N467" s="11"/>
    </row>
    <row r="468" customFormat="false" ht="15" hidden="false" customHeight="false" outlineLevel="0" collapsed="false">
      <c r="A468" s="23"/>
      <c r="B468" s="31" t="str">
        <f aca="false">IF(A468="","",SUBSTITUTE(SUBSTITUTE(SUBSTITUTE(SUBSTITUTE(SUBSTITUTE(SUBSTITUTE(SUBSTITUTE(SUBSTITUTE(SUBSTITUTE(SUBSTITUTE(SUBSTITUTE(SUBSTITUTE(SUBSTITUTE(UPPER(TRIM(A468)),"Á","A"),"À","A"),"Â","A"),"Ã","A"),"É","E"),"Ê","E"),"Í","I"),"Ó","O"),"Ô","O"),"Õ","O"),"Ú","U"),"Ü","U"),"Ç","C"))</f>
        <v/>
      </c>
      <c r="C468" s="43"/>
      <c r="D468" s="23"/>
      <c r="E468" s="23"/>
      <c r="F468" s="11"/>
      <c r="G468" s="35"/>
      <c r="H468" s="23"/>
      <c r="I468" s="24"/>
      <c r="J468" s="31" t="str">
        <f aca="false">IF(I468="","",UPPER(SUBSTITUTE(SUBSTITUTE(SUBSTITUTE(SUBSTITUTE(SUBSTITUTE(TRIM(I468),".",""),"/",""),"-",""),"*","")," ","")))</f>
        <v/>
      </c>
      <c r="K468" s="31" t="str">
        <f aca="false">IF(OR(H468="",J468=""),"",IF(LEN(J468)&gt;=13,IF(LEN(J468)=13,"0"&amp;J468,J468),SUBSTITUTE(SUBSTITUTE(SUBSTITUTE(SUBSTITUTE(SUBSTITUTE(SUBSTITUTE(SUBSTITUTE(SUBSTITUTE(SUBSTITUTE(SUBSTITUTE(SUBSTITUTE(SUBSTITUTE(SUBSTITUTE(UPPER(TRIM(H468)),"Á","A"),"À","A"),"Â","A"),"Ã","A"),"É","E"),"Ê","E"),"Í","I"),"Ó","O"),"Ô","O"),"Õ","O"),"Ú","U"),"Ü","U"),"Ç","C")&amp;"|"&amp;IF(LEN(J468)=11,MID(J468,4,6),J468)))</f>
        <v/>
      </c>
      <c r="L468" s="25" t="str">
        <f aca="false">IF(K468="","",IF(E468="Doação recebida",TRIM(IF(COUNTIF(Socios!$H:$H,K468)&gt;0,"Doador é sócio de empresa da pauta. ","")&amp;IF(COUNTIF(Pessoas!$E:$E,K468)&gt;0,"Doador está em Pessoas.","")),IF(E468="Despesa com fornecedor",IF(COUNTIF(Contratos!$D:$D,K468)&gt;0,"Fornecedor também tem contrato público",""),"")))</f>
        <v/>
      </c>
      <c r="M468" s="24"/>
      <c r="N468" s="11"/>
    </row>
    <row r="469" customFormat="false" ht="15" hidden="false" customHeight="false" outlineLevel="0" collapsed="false">
      <c r="A469" s="23"/>
      <c r="B469" s="31" t="str">
        <f aca="false">IF(A469="","",SUBSTITUTE(SUBSTITUTE(SUBSTITUTE(SUBSTITUTE(SUBSTITUTE(SUBSTITUTE(SUBSTITUTE(SUBSTITUTE(SUBSTITUTE(SUBSTITUTE(SUBSTITUTE(SUBSTITUTE(SUBSTITUTE(UPPER(TRIM(A469)),"Á","A"),"À","A"),"Â","A"),"Ã","A"),"É","E"),"Ê","E"),"Í","I"),"Ó","O"),"Ô","O"),"Õ","O"),"Ú","U"),"Ü","U"),"Ç","C"))</f>
        <v/>
      </c>
      <c r="C469" s="43"/>
      <c r="D469" s="23"/>
      <c r="E469" s="23"/>
      <c r="F469" s="11"/>
      <c r="G469" s="35"/>
      <c r="H469" s="23"/>
      <c r="I469" s="24"/>
      <c r="J469" s="31" t="str">
        <f aca="false">IF(I469="","",UPPER(SUBSTITUTE(SUBSTITUTE(SUBSTITUTE(SUBSTITUTE(SUBSTITUTE(TRIM(I469),".",""),"/",""),"-",""),"*","")," ","")))</f>
        <v/>
      </c>
      <c r="K469" s="31" t="str">
        <f aca="false">IF(OR(H469="",J469=""),"",IF(LEN(J469)&gt;=13,IF(LEN(J469)=13,"0"&amp;J469,J469),SUBSTITUTE(SUBSTITUTE(SUBSTITUTE(SUBSTITUTE(SUBSTITUTE(SUBSTITUTE(SUBSTITUTE(SUBSTITUTE(SUBSTITUTE(SUBSTITUTE(SUBSTITUTE(SUBSTITUTE(SUBSTITUTE(UPPER(TRIM(H469)),"Á","A"),"À","A"),"Â","A"),"Ã","A"),"É","E"),"Ê","E"),"Í","I"),"Ó","O"),"Ô","O"),"Õ","O"),"Ú","U"),"Ü","U"),"Ç","C")&amp;"|"&amp;IF(LEN(J469)=11,MID(J469,4,6),J469)))</f>
        <v/>
      </c>
      <c r="L469" s="25" t="str">
        <f aca="false">IF(K469="","",IF(E469="Doação recebida",TRIM(IF(COUNTIF(Socios!$H:$H,K469)&gt;0,"Doador é sócio de empresa da pauta. ","")&amp;IF(COUNTIF(Pessoas!$E:$E,K469)&gt;0,"Doador está em Pessoas.","")),IF(E469="Despesa com fornecedor",IF(COUNTIF(Contratos!$D:$D,K469)&gt;0,"Fornecedor também tem contrato público",""),"")))</f>
        <v/>
      </c>
      <c r="M469" s="24"/>
      <c r="N469" s="11"/>
    </row>
    <row r="470" customFormat="false" ht="15" hidden="false" customHeight="false" outlineLevel="0" collapsed="false">
      <c r="A470" s="23"/>
      <c r="B470" s="31" t="str">
        <f aca="false">IF(A470="","",SUBSTITUTE(SUBSTITUTE(SUBSTITUTE(SUBSTITUTE(SUBSTITUTE(SUBSTITUTE(SUBSTITUTE(SUBSTITUTE(SUBSTITUTE(SUBSTITUTE(SUBSTITUTE(SUBSTITUTE(SUBSTITUTE(UPPER(TRIM(A470)),"Á","A"),"À","A"),"Â","A"),"Ã","A"),"É","E"),"Ê","E"),"Í","I"),"Ó","O"),"Ô","O"),"Õ","O"),"Ú","U"),"Ü","U"),"Ç","C"))</f>
        <v/>
      </c>
      <c r="C470" s="43"/>
      <c r="D470" s="23"/>
      <c r="E470" s="23"/>
      <c r="F470" s="11"/>
      <c r="G470" s="35"/>
      <c r="H470" s="23"/>
      <c r="I470" s="24"/>
      <c r="J470" s="31" t="str">
        <f aca="false">IF(I470="","",UPPER(SUBSTITUTE(SUBSTITUTE(SUBSTITUTE(SUBSTITUTE(SUBSTITUTE(TRIM(I470),".",""),"/",""),"-",""),"*","")," ","")))</f>
        <v/>
      </c>
      <c r="K470" s="31" t="str">
        <f aca="false">IF(OR(H470="",J470=""),"",IF(LEN(J470)&gt;=13,IF(LEN(J470)=13,"0"&amp;J470,J470),SUBSTITUTE(SUBSTITUTE(SUBSTITUTE(SUBSTITUTE(SUBSTITUTE(SUBSTITUTE(SUBSTITUTE(SUBSTITUTE(SUBSTITUTE(SUBSTITUTE(SUBSTITUTE(SUBSTITUTE(SUBSTITUTE(UPPER(TRIM(H470)),"Á","A"),"À","A"),"Â","A"),"Ã","A"),"É","E"),"Ê","E"),"Í","I"),"Ó","O"),"Ô","O"),"Õ","O"),"Ú","U"),"Ü","U"),"Ç","C")&amp;"|"&amp;IF(LEN(J470)=11,MID(J470,4,6),J470)))</f>
        <v/>
      </c>
      <c r="L470" s="25" t="str">
        <f aca="false">IF(K470="","",IF(E470="Doação recebida",TRIM(IF(COUNTIF(Socios!$H:$H,K470)&gt;0,"Doador é sócio de empresa da pauta. ","")&amp;IF(COUNTIF(Pessoas!$E:$E,K470)&gt;0,"Doador está em Pessoas.","")),IF(E470="Despesa com fornecedor",IF(COUNTIF(Contratos!$D:$D,K470)&gt;0,"Fornecedor também tem contrato público",""),"")))</f>
        <v/>
      </c>
      <c r="M470" s="24"/>
      <c r="N470" s="11"/>
    </row>
    <row r="471" customFormat="false" ht="15" hidden="false" customHeight="false" outlineLevel="0" collapsed="false">
      <c r="A471" s="23"/>
      <c r="B471" s="31" t="str">
        <f aca="false">IF(A471="","",SUBSTITUTE(SUBSTITUTE(SUBSTITUTE(SUBSTITUTE(SUBSTITUTE(SUBSTITUTE(SUBSTITUTE(SUBSTITUTE(SUBSTITUTE(SUBSTITUTE(SUBSTITUTE(SUBSTITUTE(SUBSTITUTE(UPPER(TRIM(A471)),"Á","A"),"À","A"),"Â","A"),"Ã","A"),"É","E"),"Ê","E"),"Í","I"),"Ó","O"),"Ô","O"),"Õ","O"),"Ú","U"),"Ü","U"),"Ç","C"))</f>
        <v/>
      </c>
      <c r="C471" s="43"/>
      <c r="D471" s="23"/>
      <c r="E471" s="23"/>
      <c r="F471" s="11"/>
      <c r="G471" s="35"/>
      <c r="H471" s="23"/>
      <c r="I471" s="24"/>
      <c r="J471" s="31" t="str">
        <f aca="false">IF(I471="","",UPPER(SUBSTITUTE(SUBSTITUTE(SUBSTITUTE(SUBSTITUTE(SUBSTITUTE(TRIM(I471),".",""),"/",""),"-",""),"*","")," ","")))</f>
        <v/>
      </c>
      <c r="K471" s="31" t="str">
        <f aca="false">IF(OR(H471="",J471=""),"",IF(LEN(J471)&gt;=13,IF(LEN(J471)=13,"0"&amp;J471,J471),SUBSTITUTE(SUBSTITUTE(SUBSTITUTE(SUBSTITUTE(SUBSTITUTE(SUBSTITUTE(SUBSTITUTE(SUBSTITUTE(SUBSTITUTE(SUBSTITUTE(SUBSTITUTE(SUBSTITUTE(SUBSTITUTE(UPPER(TRIM(H471)),"Á","A"),"À","A"),"Â","A"),"Ã","A"),"É","E"),"Ê","E"),"Í","I"),"Ó","O"),"Ô","O"),"Õ","O"),"Ú","U"),"Ü","U"),"Ç","C")&amp;"|"&amp;IF(LEN(J471)=11,MID(J471,4,6),J471)))</f>
        <v/>
      </c>
      <c r="L471" s="25" t="str">
        <f aca="false">IF(K471="","",IF(E471="Doação recebida",TRIM(IF(COUNTIF(Socios!$H:$H,K471)&gt;0,"Doador é sócio de empresa da pauta. ","")&amp;IF(COUNTIF(Pessoas!$E:$E,K471)&gt;0,"Doador está em Pessoas.","")),IF(E471="Despesa com fornecedor",IF(COUNTIF(Contratos!$D:$D,K471)&gt;0,"Fornecedor também tem contrato público",""),"")))</f>
        <v/>
      </c>
      <c r="M471" s="24"/>
      <c r="N471" s="11"/>
    </row>
    <row r="472" customFormat="false" ht="15" hidden="false" customHeight="false" outlineLevel="0" collapsed="false">
      <c r="A472" s="23"/>
      <c r="B472" s="31" t="str">
        <f aca="false">IF(A472="","",SUBSTITUTE(SUBSTITUTE(SUBSTITUTE(SUBSTITUTE(SUBSTITUTE(SUBSTITUTE(SUBSTITUTE(SUBSTITUTE(SUBSTITUTE(SUBSTITUTE(SUBSTITUTE(SUBSTITUTE(SUBSTITUTE(UPPER(TRIM(A472)),"Á","A"),"À","A"),"Â","A"),"Ã","A"),"É","E"),"Ê","E"),"Í","I"),"Ó","O"),"Ô","O"),"Õ","O"),"Ú","U"),"Ü","U"),"Ç","C"))</f>
        <v/>
      </c>
      <c r="C472" s="43"/>
      <c r="D472" s="23"/>
      <c r="E472" s="23"/>
      <c r="F472" s="11"/>
      <c r="G472" s="35"/>
      <c r="H472" s="23"/>
      <c r="I472" s="24"/>
      <c r="J472" s="31" t="str">
        <f aca="false">IF(I472="","",UPPER(SUBSTITUTE(SUBSTITUTE(SUBSTITUTE(SUBSTITUTE(SUBSTITUTE(TRIM(I472),".",""),"/",""),"-",""),"*","")," ","")))</f>
        <v/>
      </c>
      <c r="K472" s="31" t="str">
        <f aca="false">IF(OR(H472="",J472=""),"",IF(LEN(J472)&gt;=13,IF(LEN(J472)=13,"0"&amp;J472,J472),SUBSTITUTE(SUBSTITUTE(SUBSTITUTE(SUBSTITUTE(SUBSTITUTE(SUBSTITUTE(SUBSTITUTE(SUBSTITUTE(SUBSTITUTE(SUBSTITUTE(SUBSTITUTE(SUBSTITUTE(SUBSTITUTE(UPPER(TRIM(H472)),"Á","A"),"À","A"),"Â","A"),"Ã","A"),"É","E"),"Ê","E"),"Í","I"),"Ó","O"),"Ô","O"),"Õ","O"),"Ú","U"),"Ü","U"),"Ç","C")&amp;"|"&amp;IF(LEN(J472)=11,MID(J472,4,6),J472)))</f>
        <v/>
      </c>
      <c r="L472" s="25" t="str">
        <f aca="false">IF(K472="","",IF(E472="Doação recebida",TRIM(IF(COUNTIF(Socios!$H:$H,K472)&gt;0,"Doador é sócio de empresa da pauta. ","")&amp;IF(COUNTIF(Pessoas!$E:$E,K472)&gt;0,"Doador está em Pessoas.","")),IF(E472="Despesa com fornecedor",IF(COUNTIF(Contratos!$D:$D,K472)&gt;0,"Fornecedor também tem contrato público",""),"")))</f>
        <v/>
      </c>
      <c r="M472" s="24"/>
      <c r="N472" s="11"/>
    </row>
    <row r="473" customFormat="false" ht="15" hidden="false" customHeight="false" outlineLevel="0" collapsed="false">
      <c r="A473" s="23"/>
      <c r="B473" s="31" t="str">
        <f aca="false">IF(A473="","",SUBSTITUTE(SUBSTITUTE(SUBSTITUTE(SUBSTITUTE(SUBSTITUTE(SUBSTITUTE(SUBSTITUTE(SUBSTITUTE(SUBSTITUTE(SUBSTITUTE(SUBSTITUTE(SUBSTITUTE(SUBSTITUTE(UPPER(TRIM(A473)),"Á","A"),"À","A"),"Â","A"),"Ã","A"),"É","E"),"Ê","E"),"Í","I"),"Ó","O"),"Ô","O"),"Õ","O"),"Ú","U"),"Ü","U"),"Ç","C"))</f>
        <v/>
      </c>
      <c r="C473" s="43"/>
      <c r="D473" s="23"/>
      <c r="E473" s="23"/>
      <c r="F473" s="11"/>
      <c r="G473" s="35"/>
      <c r="H473" s="23"/>
      <c r="I473" s="24"/>
      <c r="J473" s="31" t="str">
        <f aca="false">IF(I473="","",UPPER(SUBSTITUTE(SUBSTITUTE(SUBSTITUTE(SUBSTITUTE(SUBSTITUTE(TRIM(I473),".",""),"/",""),"-",""),"*","")," ","")))</f>
        <v/>
      </c>
      <c r="K473" s="31" t="str">
        <f aca="false">IF(OR(H473="",J473=""),"",IF(LEN(J473)&gt;=13,IF(LEN(J473)=13,"0"&amp;J473,J473),SUBSTITUTE(SUBSTITUTE(SUBSTITUTE(SUBSTITUTE(SUBSTITUTE(SUBSTITUTE(SUBSTITUTE(SUBSTITUTE(SUBSTITUTE(SUBSTITUTE(SUBSTITUTE(SUBSTITUTE(SUBSTITUTE(UPPER(TRIM(H473)),"Á","A"),"À","A"),"Â","A"),"Ã","A"),"É","E"),"Ê","E"),"Í","I"),"Ó","O"),"Ô","O"),"Õ","O"),"Ú","U"),"Ü","U"),"Ç","C")&amp;"|"&amp;IF(LEN(J473)=11,MID(J473,4,6),J473)))</f>
        <v/>
      </c>
      <c r="L473" s="25" t="str">
        <f aca="false">IF(K473="","",IF(E473="Doação recebida",TRIM(IF(COUNTIF(Socios!$H:$H,K473)&gt;0,"Doador é sócio de empresa da pauta. ","")&amp;IF(COUNTIF(Pessoas!$E:$E,K473)&gt;0,"Doador está em Pessoas.","")),IF(E473="Despesa com fornecedor",IF(COUNTIF(Contratos!$D:$D,K473)&gt;0,"Fornecedor também tem contrato público",""),"")))</f>
        <v/>
      </c>
      <c r="M473" s="24"/>
      <c r="N473" s="11"/>
    </row>
    <row r="474" customFormat="false" ht="15" hidden="false" customHeight="false" outlineLevel="0" collapsed="false">
      <c r="A474" s="23"/>
      <c r="B474" s="31" t="str">
        <f aca="false">IF(A474="","",SUBSTITUTE(SUBSTITUTE(SUBSTITUTE(SUBSTITUTE(SUBSTITUTE(SUBSTITUTE(SUBSTITUTE(SUBSTITUTE(SUBSTITUTE(SUBSTITUTE(SUBSTITUTE(SUBSTITUTE(SUBSTITUTE(UPPER(TRIM(A474)),"Á","A"),"À","A"),"Â","A"),"Ã","A"),"É","E"),"Ê","E"),"Í","I"),"Ó","O"),"Ô","O"),"Õ","O"),"Ú","U"),"Ü","U"),"Ç","C"))</f>
        <v/>
      </c>
      <c r="C474" s="43"/>
      <c r="D474" s="23"/>
      <c r="E474" s="23"/>
      <c r="F474" s="11"/>
      <c r="G474" s="35"/>
      <c r="H474" s="23"/>
      <c r="I474" s="24"/>
      <c r="J474" s="31" t="str">
        <f aca="false">IF(I474="","",UPPER(SUBSTITUTE(SUBSTITUTE(SUBSTITUTE(SUBSTITUTE(SUBSTITUTE(TRIM(I474),".",""),"/",""),"-",""),"*","")," ","")))</f>
        <v/>
      </c>
      <c r="K474" s="31" t="str">
        <f aca="false">IF(OR(H474="",J474=""),"",IF(LEN(J474)&gt;=13,IF(LEN(J474)=13,"0"&amp;J474,J474),SUBSTITUTE(SUBSTITUTE(SUBSTITUTE(SUBSTITUTE(SUBSTITUTE(SUBSTITUTE(SUBSTITUTE(SUBSTITUTE(SUBSTITUTE(SUBSTITUTE(SUBSTITUTE(SUBSTITUTE(SUBSTITUTE(UPPER(TRIM(H474)),"Á","A"),"À","A"),"Â","A"),"Ã","A"),"É","E"),"Ê","E"),"Í","I"),"Ó","O"),"Ô","O"),"Õ","O"),"Ú","U"),"Ü","U"),"Ç","C")&amp;"|"&amp;IF(LEN(J474)=11,MID(J474,4,6),J474)))</f>
        <v/>
      </c>
      <c r="L474" s="25" t="str">
        <f aca="false">IF(K474="","",IF(E474="Doação recebida",TRIM(IF(COUNTIF(Socios!$H:$H,K474)&gt;0,"Doador é sócio de empresa da pauta. ","")&amp;IF(COUNTIF(Pessoas!$E:$E,K474)&gt;0,"Doador está em Pessoas.","")),IF(E474="Despesa com fornecedor",IF(COUNTIF(Contratos!$D:$D,K474)&gt;0,"Fornecedor também tem contrato público",""),"")))</f>
        <v/>
      </c>
      <c r="M474" s="24"/>
      <c r="N474" s="11"/>
    </row>
    <row r="475" customFormat="false" ht="15" hidden="false" customHeight="false" outlineLevel="0" collapsed="false">
      <c r="A475" s="23"/>
      <c r="B475" s="31" t="str">
        <f aca="false">IF(A475="","",SUBSTITUTE(SUBSTITUTE(SUBSTITUTE(SUBSTITUTE(SUBSTITUTE(SUBSTITUTE(SUBSTITUTE(SUBSTITUTE(SUBSTITUTE(SUBSTITUTE(SUBSTITUTE(SUBSTITUTE(SUBSTITUTE(UPPER(TRIM(A475)),"Á","A"),"À","A"),"Â","A"),"Ã","A"),"É","E"),"Ê","E"),"Í","I"),"Ó","O"),"Ô","O"),"Õ","O"),"Ú","U"),"Ü","U"),"Ç","C"))</f>
        <v/>
      </c>
      <c r="C475" s="43"/>
      <c r="D475" s="23"/>
      <c r="E475" s="23"/>
      <c r="F475" s="11"/>
      <c r="G475" s="35"/>
      <c r="H475" s="23"/>
      <c r="I475" s="24"/>
      <c r="J475" s="31" t="str">
        <f aca="false">IF(I475="","",UPPER(SUBSTITUTE(SUBSTITUTE(SUBSTITUTE(SUBSTITUTE(SUBSTITUTE(TRIM(I475),".",""),"/",""),"-",""),"*","")," ","")))</f>
        <v/>
      </c>
      <c r="K475" s="31" t="str">
        <f aca="false">IF(OR(H475="",J475=""),"",IF(LEN(J475)&gt;=13,IF(LEN(J475)=13,"0"&amp;J475,J475),SUBSTITUTE(SUBSTITUTE(SUBSTITUTE(SUBSTITUTE(SUBSTITUTE(SUBSTITUTE(SUBSTITUTE(SUBSTITUTE(SUBSTITUTE(SUBSTITUTE(SUBSTITUTE(SUBSTITUTE(SUBSTITUTE(UPPER(TRIM(H475)),"Á","A"),"À","A"),"Â","A"),"Ã","A"),"É","E"),"Ê","E"),"Í","I"),"Ó","O"),"Ô","O"),"Õ","O"),"Ú","U"),"Ü","U"),"Ç","C")&amp;"|"&amp;IF(LEN(J475)=11,MID(J475,4,6),J475)))</f>
        <v/>
      </c>
      <c r="L475" s="25" t="str">
        <f aca="false">IF(K475="","",IF(E475="Doação recebida",TRIM(IF(COUNTIF(Socios!$H:$H,K475)&gt;0,"Doador é sócio de empresa da pauta. ","")&amp;IF(COUNTIF(Pessoas!$E:$E,K475)&gt;0,"Doador está em Pessoas.","")),IF(E475="Despesa com fornecedor",IF(COUNTIF(Contratos!$D:$D,K475)&gt;0,"Fornecedor também tem contrato público",""),"")))</f>
        <v/>
      </c>
      <c r="M475" s="24"/>
      <c r="N475" s="11"/>
    </row>
    <row r="476" customFormat="false" ht="15" hidden="false" customHeight="false" outlineLevel="0" collapsed="false">
      <c r="A476" s="23"/>
      <c r="B476" s="31" t="str">
        <f aca="false">IF(A476="","",SUBSTITUTE(SUBSTITUTE(SUBSTITUTE(SUBSTITUTE(SUBSTITUTE(SUBSTITUTE(SUBSTITUTE(SUBSTITUTE(SUBSTITUTE(SUBSTITUTE(SUBSTITUTE(SUBSTITUTE(SUBSTITUTE(UPPER(TRIM(A476)),"Á","A"),"À","A"),"Â","A"),"Ã","A"),"É","E"),"Ê","E"),"Í","I"),"Ó","O"),"Ô","O"),"Õ","O"),"Ú","U"),"Ü","U"),"Ç","C"))</f>
        <v/>
      </c>
      <c r="C476" s="43"/>
      <c r="D476" s="23"/>
      <c r="E476" s="23"/>
      <c r="F476" s="11"/>
      <c r="G476" s="35"/>
      <c r="H476" s="23"/>
      <c r="I476" s="24"/>
      <c r="J476" s="31" t="str">
        <f aca="false">IF(I476="","",UPPER(SUBSTITUTE(SUBSTITUTE(SUBSTITUTE(SUBSTITUTE(SUBSTITUTE(TRIM(I476),".",""),"/",""),"-",""),"*","")," ","")))</f>
        <v/>
      </c>
      <c r="K476" s="31" t="str">
        <f aca="false">IF(OR(H476="",J476=""),"",IF(LEN(J476)&gt;=13,IF(LEN(J476)=13,"0"&amp;J476,J476),SUBSTITUTE(SUBSTITUTE(SUBSTITUTE(SUBSTITUTE(SUBSTITUTE(SUBSTITUTE(SUBSTITUTE(SUBSTITUTE(SUBSTITUTE(SUBSTITUTE(SUBSTITUTE(SUBSTITUTE(SUBSTITUTE(UPPER(TRIM(H476)),"Á","A"),"À","A"),"Â","A"),"Ã","A"),"É","E"),"Ê","E"),"Í","I"),"Ó","O"),"Ô","O"),"Õ","O"),"Ú","U"),"Ü","U"),"Ç","C")&amp;"|"&amp;IF(LEN(J476)=11,MID(J476,4,6),J476)))</f>
        <v/>
      </c>
      <c r="L476" s="25" t="str">
        <f aca="false">IF(K476="","",IF(E476="Doação recebida",TRIM(IF(COUNTIF(Socios!$H:$H,K476)&gt;0,"Doador é sócio de empresa da pauta. ","")&amp;IF(COUNTIF(Pessoas!$E:$E,K476)&gt;0,"Doador está em Pessoas.","")),IF(E476="Despesa com fornecedor",IF(COUNTIF(Contratos!$D:$D,K476)&gt;0,"Fornecedor também tem contrato público",""),"")))</f>
        <v/>
      </c>
      <c r="M476" s="24"/>
      <c r="N476" s="11"/>
    </row>
    <row r="477" customFormat="false" ht="15" hidden="false" customHeight="false" outlineLevel="0" collapsed="false">
      <c r="A477" s="23"/>
      <c r="B477" s="31" t="str">
        <f aca="false">IF(A477="","",SUBSTITUTE(SUBSTITUTE(SUBSTITUTE(SUBSTITUTE(SUBSTITUTE(SUBSTITUTE(SUBSTITUTE(SUBSTITUTE(SUBSTITUTE(SUBSTITUTE(SUBSTITUTE(SUBSTITUTE(SUBSTITUTE(UPPER(TRIM(A477)),"Á","A"),"À","A"),"Â","A"),"Ã","A"),"É","E"),"Ê","E"),"Í","I"),"Ó","O"),"Ô","O"),"Õ","O"),"Ú","U"),"Ü","U"),"Ç","C"))</f>
        <v/>
      </c>
      <c r="C477" s="43"/>
      <c r="D477" s="23"/>
      <c r="E477" s="23"/>
      <c r="F477" s="11"/>
      <c r="G477" s="35"/>
      <c r="H477" s="23"/>
      <c r="I477" s="24"/>
      <c r="J477" s="31" t="str">
        <f aca="false">IF(I477="","",UPPER(SUBSTITUTE(SUBSTITUTE(SUBSTITUTE(SUBSTITUTE(SUBSTITUTE(TRIM(I477),".",""),"/",""),"-",""),"*","")," ","")))</f>
        <v/>
      </c>
      <c r="K477" s="31" t="str">
        <f aca="false">IF(OR(H477="",J477=""),"",IF(LEN(J477)&gt;=13,IF(LEN(J477)=13,"0"&amp;J477,J477),SUBSTITUTE(SUBSTITUTE(SUBSTITUTE(SUBSTITUTE(SUBSTITUTE(SUBSTITUTE(SUBSTITUTE(SUBSTITUTE(SUBSTITUTE(SUBSTITUTE(SUBSTITUTE(SUBSTITUTE(SUBSTITUTE(UPPER(TRIM(H477)),"Á","A"),"À","A"),"Â","A"),"Ã","A"),"É","E"),"Ê","E"),"Í","I"),"Ó","O"),"Ô","O"),"Õ","O"),"Ú","U"),"Ü","U"),"Ç","C")&amp;"|"&amp;IF(LEN(J477)=11,MID(J477,4,6),J477)))</f>
        <v/>
      </c>
      <c r="L477" s="25" t="str">
        <f aca="false">IF(K477="","",IF(E477="Doação recebida",TRIM(IF(COUNTIF(Socios!$H:$H,K477)&gt;0,"Doador é sócio de empresa da pauta. ","")&amp;IF(COUNTIF(Pessoas!$E:$E,K477)&gt;0,"Doador está em Pessoas.","")),IF(E477="Despesa com fornecedor",IF(COUNTIF(Contratos!$D:$D,K477)&gt;0,"Fornecedor também tem contrato público",""),"")))</f>
        <v/>
      </c>
      <c r="M477" s="24"/>
      <c r="N477" s="11"/>
    </row>
    <row r="478" customFormat="false" ht="15" hidden="false" customHeight="false" outlineLevel="0" collapsed="false">
      <c r="A478" s="23"/>
      <c r="B478" s="31" t="str">
        <f aca="false">IF(A478="","",SUBSTITUTE(SUBSTITUTE(SUBSTITUTE(SUBSTITUTE(SUBSTITUTE(SUBSTITUTE(SUBSTITUTE(SUBSTITUTE(SUBSTITUTE(SUBSTITUTE(SUBSTITUTE(SUBSTITUTE(SUBSTITUTE(UPPER(TRIM(A478)),"Á","A"),"À","A"),"Â","A"),"Ã","A"),"É","E"),"Ê","E"),"Í","I"),"Ó","O"),"Ô","O"),"Õ","O"),"Ú","U"),"Ü","U"),"Ç","C"))</f>
        <v/>
      </c>
      <c r="C478" s="43"/>
      <c r="D478" s="23"/>
      <c r="E478" s="23"/>
      <c r="F478" s="11"/>
      <c r="G478" s="35"/>
      <c r="H478" s="23"/>
      <c r="I478" s="24"/>
      <c r="J478" s="31" t="str">
        <f aca="false">IF(I478="","",UPPER(SUBSTITUTE(SUBSTITUTE(SUBSTITUTE(SUBSTITUTE(SUBSTITUTE(TRIM(I478),".",""),"/",""),"-",""),"*","")," ","")))</f>
        <v/>
      </c>
      <c r="K478" s="31" t="str">
        <f aca="false">IF(OR(H478="",J478=""),"",IF(LEN(J478)&gt;=13,IF(LEN(J478)=13,"0"&amp;J478,J478),SUBSTITUTE(SUBSTITUTE(SUBSTITUTE(SUBSTITUTE(SUBSTITUTE(SUBSTITUTE(SUBSTITUTE(SUBSTITUTE(SUBSTITUTE(SUBSTITUTE(SUBSTITUTE(SUBSTITUTE(SUBSTITUTE(UPPER(TRIM(H478)),"Á","A"),"À","A"),"Â","A"),"Ã","A"),"É","E"),"Ê","E"),"Í","I"),"Ó","O"),"Ô","O"),"Õ","O"),"Ú","U"),"Ü","U"),"Ç","C")&amp;"|"&amp;IF(LEN(J478)=11,MID(J478,4,6),J478)))</f>
        <v/>
      </c>
      <c r="L478" s="25" t="str">
        <f aca="false">IF(K478="","",IF(E478="Doação recebida",TRIM(IF(COUNTIF(Socios!$H:$H,K478)&gt;0,"Doador é sócio de empresa da pauta. ","")&amp;IF(COUNTIF(Pessoas!$E:$E,K478)&gt;0,"Doador está em Pessoas.","")),IF(E478="Despesa com fornecedor",IF(COUNTIF(Contratos!$D:$D,K478)&gt;0,"Fornecedor também tem contrato público",""),"")))</f>
        <v/>
      </c>
      <c r="M478" s="24"/>
      <c r="N478" s="11"/>
    </row>
    <row r="479" customFormat="false" ht="15" hidden="false" customHeight="false" outlineLevel="0" collapsed="false">
      <c r="A479" s="23"/>
      <c r="B479" s="31" t="str">
        <f aca="false">IF(A479="","",SUBSTITUTE(SUBSTITUTE(SUBSTITUTE(SUBSTITUTE(SUBSTITUTE(SUBSTITUTE(SUBSTITUTE(SUBSTITUTE(SUBSTITUTE(SUBSTITUTE(SUBSTITUTE(SUBSTITUTE(SUBSTITUTE(UPPER(TRIM(A479)),"Á","A"),"À","A"),"Â","A"),"Ã","A"),"É","E"),"Ê","E"),"Í","I"),"Ó","O"),"Ô","O"),"Õ","O"),"Ú","U"),"Ü","U"),"Ç","C"))</f>
        <v/>
      </c>
      <c r="C479" s="43"/>
      <c r="D479" s="23"/>
      <c r="E479" s="23"/>
      <c r="F479" s="11"/>
      <c r="G479" s="35"/>
      <c r="H479" s="23"/>
      <c r="I479" s="24"/>
      <c r="J479" s="31" t="str">
        <f aca="false">IF(I479="","",UPPER(SUBSTITUTE(SUBSTITUTE(SUBSTITUTE(SUBSTITUTE(SUBSTITUTE(TRIM(I479),".",""),"/",""),"-",""),"*","")," ","")))</f>
        <v/>
      </c>
      <c r="K479" s="31" t="str">
        <f aca="false">IF(OR(H479="",J479=""),"",IF(LEN(J479)&gt;=13,IF(LEN(J479)=13,"0"&amp;J479,J479),SUBSTITUTE(SUBSTITUTE(SUBSTITUTE(SUBSTITUTE(SUBSTITUTE(SUBSTITUTE(SUBSTITUTE(SUBSTITUTE(SUBSTITUTE(SUBSTITUTE(SUBSTITUTE(SUBSTITUTE(SUBSTITUTE(UPPER(TRIM(H479)),"Á","A"),"À","A"),"Â","A"),"Ã","A"),"É","E"),"Ê","E"),"Í","I"),"Ó","O"),"Ô","O"),"Õ","O"),"Ú","U"),"Ü","U"),"Ç","C")&amp;"|"&amp;IF(LEN(J479)=11,MID(J479,4,6),J479)))</f>
        <v/>
      </c>
      <c r="L479" s="25" t="str">
        <f aca="false">IF(K479="","",IF(E479="Doação recebida",TRIM(IF(COUNTIF(Socios!$H:$H,K479)&gt;0,"Doador é sócio de empresa da pauta. ","")&amp;IF(COUNTIF(Pessoas!$E:$E,K479)&gt;0,"Doador está em Pessoas.","")),IF(E479="Despesa com fornecedor",IF(COUNTIF(Contratos!$D:$D,K479)&gt;0,"Fornecedor também tem contrato público",""),"")))</f>
        <v/>
      </c>
      <c r="M479" s="24"/>
      <c r="N479" s="11"/>
    </row>
    <row r="480" customFormat="false" ht="15" hidden="false" customHeight="false" outlineLevel="0" collapsed="false">
      <c r="A480" s="23"/>
      <c r="B480" s="31" t="str">
        <f aca="false">IF(A480="","",SUBSTITUTE(SUBSTITUTE(SUBSTITUTE(SUBSTITUTE(SUBSTITUTE(SUBSTITUTE(SUBSTITUTE(SUBSTITUTE(SUBSTITUTE(SUBSTITUTE(SUBSTITUTE(SUBSTITUTE(SUBSTITUTE(UPPER(TRIM(A480)),"Á","A"),"À","A"),"Â","A"),"Ã","A"),"É","E"),"Ê","E"),"Í","I"),"Ó","O"),"Ô","O"),"Õ","O"),"Ú","U"),"Ü","U"),"Ç","C"))</f>
        <v/>
      </c>
      <c r="C480" s="43"/>
      <c r="D480" s="23"/>
      <c r="E480" s="23"/>
      <c r="F480" s="11"/>
      <c r="G480" s="35"/>
      <c r="H480" s="23"/>
      <c r="I480" s="24"/>
      <c r="J480" s="31" t="str">
        <f aca="false">IF(I480="","",UPPER(SUBSTITUTE(SUBSTITUTE(SUBSTITUTE(SUBSTITUTE(SUBSTITUTE(TRIM(I480),".",""),"/",""),"-",""),"*","")," ","")))</f>
        <v/>
      </c>
      <c r="K480" s="31" t="str">
        <f aca="false">IF(OR(H480="",J480=""),"",IF(LEN(J480)&gt;=13,IF(LEN(J480)=13,"0"&amp;J480,J480),SUBSTITUTE(SUBSTITUTE(SUBSTITUTE(SUBSTITUTE(SUBSTITUTE(SUBSTITUTE(SUBSTITUTE(SUBSTITUTE(SUBSTITUTE(SUBSTITUTE(SUBSTITUTE(SUBSTITUTE(SUBSTITUTE(UPPER(TRIM(H480)),"Á","A"),"À","A"),"Â","A"),"Ã","A"),"É","E"),"Ê","E"),"Í","I"),"Ó","O"),"Ô","O"),"Õ","O"),"Ú","U"),"Ü","U"),"Ç","C")&amp;"|"&amp;IF(LEN(J480)=11,MID(J480,4,6),J480)))</f>
        <v/>
      </c>
      <c r="L480" s="25" t="str">
        <f aca="false">IF(K480="","",IF(E480="Doação recebida",TRIM(IF(COUNTIF(Socios!$H:$H,K480)&gt;0,"Doador é sócio de empresa da pauta. ","")&amp;IF(COUNTIF(Pessoas!$E:$E,K480)&gt;0,"Doador está em Pessoas.","")),IF(E480="Despesa com fornecedor",IF(COUNTIF(Contratos!$D:$D,K480)&gt;0,"Fornecedor também tem contrato público",""),"")))</f>
        <v/>
      </c>
      <c r="M480" s="24"/>
      <c r="N480" s="11"/>
    </row>
    <row r="481" customFormat="false" ht="15" hidden="false" customHeight="false" outlineLevel="0" collapsed="false">
      <c r="A481" s="23"/>
      <c r="B481" s="31" t="str">
        <f aca="false">IF(A481="","",SUBSTITUTE(SUBSTITUTE(SUBSTITUTE(SUBSTITUTE(SUBSTITUTE(SUBSTITUTE(SUBSTITUTE(SUBSTITUTE(SUBSTITUTE(SUBSTITUTE(SUBSTITUTE(SUBSTITUTE(SUBSTITUTE(UPPER(TRIM(A481)),"Á","A"),"À","A"),"Â","A"),"Ã","A"),"É","E"),"Ê","E"),"Í","I"),"Ó","O"),"Ô","O"),"Õ","O"),"Ú","U"),"Ü","U"),"Ç","C"))</f>
        <v/>
      </c>
      <c r="C481" s="43"/>
      <c r="D481" s="23"/>
      <c r="E481" s="23"/>
      <c r="F481" s="11"/>
      <c r="G481" s="35"/>
      <c r="H481" s="23"/>
      <c r="I481" s="24"/>
      <c r="J481" s="31" t="str">
        <f aca="false">IF(I481="","",UPPER(SUBSTITUTE(SUBSTITUTE(SUBSTITUTE(SUBSTITUTE(SUBSTITUTE(TRIM(I481),".",""),"/",""),"-",""),"*","")," ","")))</f>
        <v/>
      </c>
      <c r="K481" s="31" t="str">
        <f aca="false">IF(OR(H481="",J481=""),"",IF(LEN(J481)&gt;=13,IF(LEN(J481)=13,"0"&amp;J481,J481),SUBSTITUTE(SUBSTITUTE(SUBSTITUTE(SUBSTITUTE(SUBSTITUTE(SUBSTITUTE(SUBSTITUTE(SUBSTITUTE(SUBSTITUTE(SUBSTITUTE(SUBSTITUTE(SUBSTITUTE(SUBSTITUTE(UPPER(TRIM(H481)),"Á","A"),"À","A"),"Â","A"),"Ã","A"),"É","E"),"Ê","E"),"Í","I"),"Ó","O"),"Ô","O"),"Õ","O"),"Ú","U"),"Ü","U"),"Ç","C")&amp;"|"&amp;IF(LEN(J481)=11,MID(J481,4,6),J481)))</f>
        <v/>
      </c>
      <c r="L481" s="25" t="str">
        <f aca="false">IF(K481="","",IF(E481="Doação recebida",TRIM(IF(COUNTIF(Socios!$H:$H,K481)&gt;0,"Doador é sócio de empresa da pauta. ","")&amp;IF(COUNTIF(Pessoas!$E:$E,K481)&gt;0,"Doador está em Pessoas.","")),IF(E481="Despesa com fornecedor",IF(COUNTIF(Contratos!$D:$D,K481)&gt;0,"Fornecedor também tem contrato público",""),"")))</f>
        <v/>
      </c>
      <c r="M481" s="24"/>
      <c r="N481" s="11"/>
    </row>
    <row r="482" customFormat="false" ht="15" hidden="false" customHeight="false" outlineLevel="0" collapsed="false">
      <c r="A482" s="23"/>
      <c r="B482" s="31" t="str">
        <f aca="false">IF(A482="","",SUBSTITUTE(SUBSTITUTE(SUBSTITUTE(SUBSTITUTE(SUBSTITUTE(SUBSTITUTE(SUBSTITUTE(SUBSTITUTE(SUBSTITUTE(SUBSTITUTE(SUBSTITUTE(SUBSTITUTE(SUBSTITUTE(UPPER(TRIM(A482)),"Á","A"),"À","A"),"Â","A"),"Ã","A"),"É","E"),"Ê","E"),"Í","I"),"Ó","O"),"Ô","O"),"Õ","O"),"Ú","U"),"Ü","U"),"Ç","C"))</f>
        <v/>
      </c>
      <c r="C482" s="43"/>
      <c r="D482" s="23"/>
      <c r="E482" s="23"/>
      <c r="F482" s="11"/>
      <c r="G482" s="35"/>
      <c r="H482" s="23"/>
      <c r="I482" s="24"/>
      <c r="J482" s="31" t="str">
        <f aca="false">IF(I482="","",UPPER(SUBSTITUTE(SUBSTITUTE(SUBSTITUTE(SUBSTITUTE(SUBSTITUTE(TRIM(I482),".",""),"/",""),"-",""),"*","")," ","")))</f>
        <v/>
      </c>
      <c r="K482" s="31" t="str">
        <f aca="false">IF(OR(H482="",J482=""),"",IF(LEN(J482)&gt;=13,IF(LEN(J482)=13,"0"&amp;J482,J482),SUBSTITUTE(SUBSTITUTE(SUBSTITUTE(SUBSTITUTE(SUBSTITUTE(SUBSTITUTE(SUBSTITUTE(SUBSTITUTE(SUBSTITUTE(SUBSTITUTE(SUBSTITUTE(SUBSTITUTE(SUBSTITUTE(UPPER(TRIM(H482)),"Á","A"),"À","A"),"Â","A"),"Ã","A"),"É","E"),"Ê","E"),"Í","I"),"Ó","O"),"Ô","O"),"Õ","O"),"Ú","U"),"Ü","U"),"Ç","C")&amp;"|"&amp;IF(LEN(J482)=11,MID(J482,4,6),J482)))</f>
        <v/>
      </c>
      <c r="L482" s="25" t="str">
        <f aca="false">IF(K482="","",IF(E482="Doação recebida",TRIM(IF(COUNTIF(Socios!$H:$H,K482)&gt;0,"Doador é sócio de empresa da pauta. ","")&amp;IF(COUNTIF(Pessoas!$E:$E,K482)&gt;0,"Doador está em Pessoas.","")),IF(E482="Despesa com fornecedor",IF(COUNTIF(Contratos!$D:$D,K482)&gt;0,"Fornecedor também tem contrato público",""),"")))</f>
        <v/>
      </c>
      <c r="M482" s="24"/>
      <c r="N482" s="11"/>
    </row>
    <row r="483" customFormat="false" ht="15" hidden="false" customHeight="false" outlineLevel="0" collapsed="false">
      <c r="A483" s="23"/>
      <c r="B483" s="31" t="str">
        <f aca="false">IF(A483="","",SUBSTITUTE(SUBSTITUTE(SUBSTITUTE(SUBSTITUTE(SUBSTITUTE(SUBSTITUTE(SUBSTITUTE(SUBSTITUTE(SUBSTITUTE(SUBSTITUTE(SUBSTITUTE(SUBSTITUTE(SUBSTITUTE(UPPER(TRIM(A483)),"Á","A"),"À","A"),"Â","A"),"Ã","A"),"É","E"),"Ê","E"),"Í","I"),"Ó","O"),"Ô","O"),"Õ","O"),"Ú","U"),"Ü","U"),"Ç","C"))</f>
        <v/>
      </c>
      <c r="C483" s="43"/>
      <c r="D483" s="23"/>
      <c r="E483" s="23"/>
      <c r="F483" s="11"/>
      <c r="G483" s="35"/>
      <c r="H483" s="23"/>
      <c r="I483" s="24"/>
      <c r="J483" s="31" t="str">
        <f aca="false">IF(I483="","",UPPER(SUBSTITUTE(SUBSTITUTE(SUBSTITUTE(SUBSTITUTE(SUBSTITUTE(TRIM(I483),".",""),"/",""),"-",""),"*","")," ","")))</f>
        <v/>
      </c>
      <c r="K483" s="31" t="str">
        <f aca="false">IF(OR(H483="",J483=""),"",IF(LEN(J483)&gt;=13,IF(LEN(J483)=13,"0"&amp;J483,J483),SUBSTITUTE(SUBSTITUTE(SUBSTITUTE(SUBSTITUTE(SUBSTITUTE(SUBSTITUTE(SUBSTITUTE(SUBSTITUTE(SUBSTITUTE(SUBSTITUTE(SUBSTITUTE(SUBSTITUTE(SUBSTITUTE(UPPER(TRIM(H483)),"Á","A"),"À","A"),"Â","A"),"Ã","A"),"É","E"),"Ê","E"),"Í","I"),"Ó","O"),"Ô","O"),"Õ","O"),"Ú","U"),"Ü","U"),"Ç","C")&amp;"|"&amp;IF(LEN(J483)=11,MID(J483,4,6),J483)))</f>
        <v/>
      </c>
      <c r="L483" s="25" t="str">
        <f aca="false">IF(K483="","",IF(E483="Doação recebida",TRIM(IF(COUNTIF(Socios!$H:$H,K483)&gt;0,"Doador é sócio de empresa da pauta. ","")&amp;IF(COUNTIF(Pessoas!$E:$E,K483)&gt;0,"Doador está em Pessoas.","")),IF(E483="Despesa com fornecedor",IF(COUNTIF(Contratos!$D:$D,K483)&gt;0,"Fornecedor também tem contrato público",""),"")))</f>
        <v/>
      </c>
      <c r="M483" s="24"/>
      <c r="N483" s="11"/>
    </row>
    <row r="484" customFormat="false" ht="15" hidden="false" customHeight="false" outlineLevel="0" collapsed="false">
      <c r="A484" s="23"/>
      <c r="B484" s="31" t="str">
        <f aca="false">IF(A484="","",SUBSTITUTE(SUBSTITUTE(SUBSTITUTE(SUBSTITUTE(SUBSTITUTE(SUBSTITUTE(SUBSTITUTE(SUBSTITUTE(SUBSTITUTE(SUBSTITUTE(SUBSTITUTE(SUBSTITUTE(SUBSTITUTE(UPPER(TRIM(A484)),"Á","A"),"À","A"),"Â","A"),"Ã","A"),"É","E"),"Ê","E"),"Í","I"),"Ó","O"),"Ô","O"),"Õ","O"),"Ú","U"),"Ü","U"),"Ç","C"))</f>
        <v/>
      </c>
      <c r="C484" s="43"/>
      <c r="D484" s="23"/>
      <c r="E484" s="23"/>
      <c r="F484" s="11"/>
      <c r="G484" s="35"/>
      <c r="H484" s="23"/>
      <c r="I484" s="24"/>
      <c r="J484" s="31" t="str">
        <f aca="false">IF(I484="","",UPPER(SUBSTITUTE(SUBSTITUTE(SUBSTITUTE(SUBSTITUTE(SUBSTITUTE(TRIM(I484),".",""),"/",""),"-",""),"*","")," ","")))</f>
        <v/>
      </c>
      <c r="K484" s="31" t="str">
        <f aca="false">IF(OR(H484="",J484=""),"",IF(LEN(J484)&gt;=13,IF(LEN(J484)=13,"0"&amp;J484,J484),SUBSTITUTE(SUBSTITUTE(SUBSTITUTE(SUBSTITUTE(SUBSTITUTE(SUBSTITUTE(SUBSTITUTE(SUBSTITUTE(SUBSTITUTE(SUBSTITUTE(SUBSTITUTE(SUBSTITUTE(SUBSTITUTE(UPPER(TRIM(H484)),"Á","A"),"À","A"),"Â","A"),"Ã","A"),"É","E"),"Ê","E"),"Í","I"),"Ó","O"),"Ô","O"),"Õ","O"),"Ú","U"),"Ü","U"),"Ç","C")&amp;"|"&amp;IF(LEN(J484)=11,MID(J484,4,6),J484)))</f>
        <v/>
      </c>
      <c r="L484" s="25" t="str">
        <f aca="false">IF(K484="","",IF(E484="Doação recebida",TRIM(IF(COUNTIF(Socios!$H:$H,K484)&gt;0,"Doador é sócio de empresa da pauta. ","")&amp;IF(COUNTIF(Pessoas!$E:$E,K484)&gt;0,"Doador está em Pessoas.","")),IF(E484="Despesa com fornecedor",IF(COUNTIF(Contratos!$D:$D,K484)&gt;0,"Fornecedor também tem contrato público",""),"")))</f>
        <v/>
      </c>
      <c r="M484" s="24"/>
      <c r="N484" s="11"/>
    </row>
    <row r="485" customFormat="false" ht="15" hidden="false" customHeight="false" outlineLevel="0" collapsed="false">
      <c r="A485" s="23"/>
      <c r="B485" s="31" t="str">
        <f aca="false">IF(A485="","",SUBSTITUTE(SUBSTITUTE(SUBSTITUTE(SUBSTITUTE(SUBSTITUTE(SUBSTITUTE(SUBSTITUTE(SUBSTITUTE(SUBSTITUTE(SUBSTITUTE(SUBSTITUTE(SUBSTITUTE(SUBSTITUTE(UPPER(TRIM(A485)),"Á","A"),"À","A"),"Â","A"),"Ã","A"),"É","E"),"Ê","E"),"Í","I"),"Ó","O"),"Ô","O"),"Õ","O"),"Ú","U"),"Ü","U"),"Ç","C"))</f>
        <v/>
      </c>
      <c r="C485" s="43"/>
      <c r="D485" s="23"/>
      <c r="E485" s="23"/>
      <c r="F485" s="11"/>
      <c r="G485" s="35"/>
      <c r="H485" s="23"/>
      <c r="I485" s="24"/>
      <c r="J485" s="31" t="str">
        <f aca="false">IF(I485="","",UPPER(SUBSTITUTE(SUBSTITUTE(SUBSTITUTE(SUBSTITUTE(SUBSTITUTE(TRIM(I485),".",""),"/",""),"-",""),"*","")," ","")))</f>
        <v/>
      </c>
      <c r="K485" s="31" t="str">
        <f aca="false">IF(OR(H485="",J485=""),"",IF(LEN(J485)&gt;=13,IF(LEN(J485)=13,"0"&amp;J485,J485),SUBSTITUTE(SUBSTITUTE(SUBSTITUTE(SUBSTITUTE(SUBSTITUTE(SUBSTITUTE(SUBSTITUTE(SUBSTITUTE(SUBSTITUTE(SUBSTITUTE(SUBSTITUTE(SUBSTITUTE(SUBSTITUTE(UPPER(TRIM(H485)),"Á","A"),"À","A"),"Â","A"),"Ã","A"),"É","E"),"Ê","E"),"Í","I"),"Ó","O"),"Ô","O"),"Õ","O"),"Ú","U"),"Ü","U"),"Ç","C")&amp;"|"&amp;IF(LEN(J485)=11,MID(J485,4,6),J485)))</f>
        <v/>
      </c>
      <c r="L485" s="25" t="str">
        <f aca="false">IF(K485="","",IF(E485="Doação recebida",TRIM(IF(COUNTIF(Socios!$H:$H,K485)&gt;0,"Doador é sócio de empresa da pauta. ","")&amp;IF(COUNTIF(Pessoas!$E:$E,K485)&gt;0,"Doador está em Pessoas.","")),IF(E485="Despesa com fornecedor",IF(COUNTIF(Contratos!$D:$D,K485)&gt;0,"Fornecedor também tem contrato público",""),"")))</f>
        <v/>
      </c>
      <c r="M485" s="24"/>
      <c r="N485" s="11"/>
    </row>
    <row r="486" customFormat="false" ht="15" hidden="false" customHeight="false" outlineLevel="0" collapsed="false">
      <c r="A486" s="23"/>
      <c r="B486" s="31" t="str">
        <f aca="false">IF(A486="","",SUBSTITUTE(SUBSTITUTE(SUBSTITUTE(SUBSTITUTE(SUBSTITUTE(SUBSTITUTE(SUBSTITUTE(SUBSTITUTE(SUBSTITUTE(SUBSTITUTE(SUBSTITUTE(SUBSTITUTE(SUBSTITUTE(UPPER(TRIM(A486)),"Á","A"),"À","A"),"Â","A"),"Ã","A"),"É","E"),"Ê","E"),"Í","I"),"Ó","O"),"Ô","O"),"Õ","O"),"Ú","U"),"Ü","U"),"Ç","C"))</f>
        <v/>
      </c>
      <c r="C486" s="43"/>
      <c r="D486" s="23"/>
      <c r="E486" s="23"/>
      <c r="F486" s="11"/>
      <c r="G486" s="35"/>
      <c r="H486" s="23"/>
      <c r="I486" s="24"/>
      <c r="J486" s="31" t="str">
        <f aca="false">IF(I486="","",UPPER(SUBSTITUTE(SUBSTITUTE(SUBSTITUTE(SUBSTITUTE(SUBSTITUTE(TRIM(I486),".",""),"/",""),"-",""),"*","")," ","")))</f>
        <v/>
      </c>
      <c r="K486" s="31" t="str">
        <f aca="false">IF(OR(H486="",J486=""),"",IF(LEN(J486)&gt;=13,IF(LEN(J486)=13,"0"&amp;J486,J486),SUBSTITUTE(SUBSTITUTE(SUBSTITUTE(SUBSTITUTE(SUBSTITUTE(SUBSTITUTE(SUBSTITUTE(SUBSTITUTE(SUBSTITUTE(SUBSTITUTE(SUBSTITUTE(SUBSTITUTE(SUBSTITUTE(UPPER(TRIM(H486)),"Á","A"),"À","A"),"Â","A"),"Ã","A"),"É","E"),"Ê","E"),"Í","I"),"Ó","O"),"Ô","O"),"Õ","O"),"Ú","U"),"Ü","U"),"Ç","C")&amp;"|"&amp;IF(LEN(J486)=11,MID(J486,4,6),J486)))</f>
        <v/>
      </c>
      <c r="L486" s="25" t="str">
        <f aca="false">IF(K486="","",IF(E486="Doação recebida",TRIM(IF(COUNTIF(Socios!$H:$H,K486)&gt;0,"Doador é sócio de empresa da pauta. ","")&amp;IF(COUNTIF(Pessoas!$E:$E,K486)&gt;0,"Doador está em Pessoas.","")),IF(E486="Despesa com fornecedor",IF(COUNTIF(Contratos!$D:$D,K486)&gt;0,"Fornecedor também tem contrato público",""),"")))</f>
        <v/>
      </c>
      <c r="M486" s="24"/>
      <c r="N486" s="11"/>
    </row>
    <row r="487" customFormat="false" ht="15" hidden="false" customHeight="false" outlineLevel="0" collapsed="false">
      <c r="A487" s="23"/>
      <c r="B487" s="31" t="str">
        <f aca="false">IF(A487="","",SUBSTITUTE(SUBSTITUTE(SUBSTITUTE(SUBSTITUTE(SUBSTITUTE(SUBSTITUTE(SUBSTITUTE(SUBSTITUTE(SUBSTITUTE(SUBSTITUTE(SUBSTITUTE(SUBSTITUTE(SUBSTITUTE(UPPER(TRIM(A487)),"Á","A"),"À","A"),"Â","A"),"Ã","A"),"É","E"),"Ê","E"),"Í","I"),"Ó","O"),"Ô","O"),"Õ","O"),"Ú","U"),"Ü","U"),"Ç","C"))</f>
        <v/>
      </c>
      <c r="C487" s="43"/>
      <c r="D487" s="23"/>
      <c r="E487" s="23"/>
      <c r="F487" s="11"/>
      <c r="G487" s="35"/>
      <c r="H487" s="23"/>
      <c r="I487" s="24"/>
      <c r="J487" s="31" t="str">
        <f aca="false">IF(I487="","",UPPER(SUBSTITUTE(SUBSTITUTE(SUBSTITUTE(SUBSTITUTE(SUBSTITUTE(TRIM(I487),".",""),"/",""),"-",""),"*","")," ","")))</f>
        <v/>
      </c>
      <c r="K487" s="31" t="str">
        <f aca="false">IF(OR(H487="",J487=""),"",IF(LEN(J487)&gt;=13,IF(LEN(J487)=13,"0"&amp;J487,J487),SUBSTITUTE(SUBSTITUTE(SUBSTITUTE(SUBSTITUTE(SUBSTITUTE(SUBSTITUTE(SUBSTITUTE(SUBSTITUTE(SUBSTITUTE(SUBSTITUTE(SUBSTITUTE(SUBSTITUTE(SUBSTITUTE(UPPER(TRIM(H487)),"Á","A"),"À","A"),"Â","A"),"Ã","A"),"É","E"),"Ê","E"),"Í","I"),"Ó","O"),"Ô","O"),"Õ","O"),"Ú","U"),"Ü","U"),"Ç","C")&amp;"|"&amp;IF(LEN(J487)=11,MID(J487,4,6),J487)))</f>
        <v/>
      </c>
      <c r="L487" s="25" t="str">
        <f aca="false">IF(K487="","",IF(E487="Doação recebida",TRIM(IF(COUNTIF(Socios!$H:$H,K487)&gt;0,"Doador é sócio de empresa da pauta. ","")&amp;IF(COUNTIF(Pessoas!$E:$E,K487)&gt;0,"Doador está em Pessoas.","")),IF(E487="Despesa com fornecedor",IF(COUNTIF(Contratos!$D:$D,K487)&gt;0,"Fornecedor também tem contrato público",""),"")))</f>
        <v/>
      </c>
      <c r="M487" s="24"/>
      <c r="N487" s="11"/>
    </row>
    <row r="488" customFormat="false" ht="15" hidden="false" customHeight="false" outlineLevel="0" collapsed="false">
      <c r="A488" s="23"/>
      <c r="B488" s="31" t="str">
        <f aca="false">IF(A488="","",SUBSTITUTE(SUBSTITUTE(SUBSTITUTE(SUBSTITUTE(SUBSTITUTE(SUBSTITUTE(SUBSTITUTE(SUBSTITUTE(SUBSTITUTE(SUBSTITUTE(SUBSTITUTE(SUBSTITUTE(SUBSTITUTE(UPPER(TRIM(A488)),"Á","A"),"À","A"),"Â","A"),"Ã","A"),"É","E"),"Ê","E"),"Í","I"),"Ó","O"),"Ô","O"),"Õ","O"),"Ú","U"),"Ü","U"),"Ç","C"))</f>
        <v/>
      </c>
      <c r="C488" s="43"/>
      <c r="D488" s="23"/>
      <c r="E488" s="23"/>
      <c r="F488" s="11"/>
      <c r="G488" s="35"/>
      <c r="H488" s="23"/>
      <c r="I488" s="24"/>
      <c r="J488" s="31" t="str">
        <f aca="false">IF(I488="","",UPPER(SUBSTITUTE(SUBSTITUTE(SUBSTITUTE(SUBSTITUTE(SUBSTITUTE(TRIM(I488),".",""),"/",""),"-",""),"*","")," ","")))</f>
        <v/>
      </c>
      <c r="K488" s="31" t="str">
        <f aca="false">IF(OR(H488="",J488=""),"",IF(LEN(J488)&gt;=13,IF(LEN(J488)=13,"0"&amp;J488,J488),SUBSTITUTE(SUBSTITUTE(SUBSTITUTE(SUBSTITUTE(SUBSTITUTE(SUBSTITUTE(SUBSTITUTE(SUBSTITUTE(SUBSTITUTE(SUBSTITUTE(SUBSTITUTE(SUBSTITUTE(SUBSTITUTE(UPPER(TRIM(H488)),"Á","A"),"À","A"),"Â","A"),"Ã","A"),"É","E"),"Ê","E"),"Í","I"),"Ó","O"),"Ô","O"),"Õ","O"),"Ú","U"),"Ü","U"),"Ç","C")&amp;"|"&amp;IF(LEN(J488)=11,MID(J488,4,6),J488)))</f>
        <v/>
      </c>
      <c r="L488" s="25" t="str">
        <f aca="false">IF(K488="","",IF(E488="Doação recebida",TRIM(IF(COUNTIF(Socios!$H:$H,K488)&gt;0,"Doador é sócio de empresa da pauta. ","")&amp;IF(COUNTIF(Pessoas!$E:$E,K488)&gt;0,"Doador está em Pessoas.","")),IF(E488="Despesa com fornecedor",IF(COUNTIF(Contratos!$D:$D,K488)&gt;0,"Fornecedor também tem contrato público",""),"")))</f>
        <v/>
      </c>
      <c r="M488" s="24"/>
      <c r="N488" s="11"/>
    </row>
    <row r="489" customFormat="false" ht="15" hidden="false" customHeight="false" outlineLevel="0" collapsed="false">
      <c r="A489" s="23"/>
      <c r="B489" s="31" t="str">
        <f aca="false">IF(A489="","",SUBSTITUTE(SUBSTITUTE(SUBSTITUTE(SUBSTITUTE(SUBSTITUTE(SUBSTITUTE(SUBSTITUTE(SUBSTITUTE(SUBSTITUTE(SUBSTITUTE(SUBSTITUTE(SUBSTITUTE(SUBSTITUTE(UPPER(TRIM(A489)),"Á","A"),"À","A"),"Â","A"),"Ã","A"),"É","E"),"Ê","E"),"Í","I"),"Ó","O"),"Ô","O"),"Õ","O"),"Ú","U"),"Ü","U"),"Ç","C"))</f>
        <v/>
      </c>
      <c r="C489" s="43"/>
      <c r="D489" s="23"/>
      <c r="E489" s="23"/>
      <c r="F489" s="11"/>
      <c r="G489" s="35"/>
      <c r="H489" s="23"/>
      <c r="I489" s="24"/>
      <c r="J489" s="31" t="str">
        <f aca="false">IF(I489="","",UPPER(SUBSTITUTE(SUBSTITUTE(SUBSTITUTE(SUBSTITUTE(SUBSTITUTE(TRIM(I489),".",""),"/",""),"-",""),"*","")," ","")))</f>
        <v/>
      </c>
      <c r="K489" s="31" t="str">
        <f aca="false">IF(OR(H489="",J489=""),"",IF(LEN(J489)&gt;=13,IF(LEN(J489)=13,"0"&amp;J489,J489),SUBSTITUTE(SUBSTITUTE(SUBSTITUTE(SUBSTITUTE(SUBSTITUTE(SUBSTITUTE(SUBSTITUTE(SUBSTITUTE(SUBSTITUTE(SUBSTITUTE(SUBSTITUTE(SUBSTITUTE(SUBSTITUTE(UPPER(TRIM(H489)),"Á","A"),"À","A"),"Â","A"),"Ã","A"),"É","E"),"Ê","E"),"Í","I"),"Ó","O"),"Ô","O"),"Õ","O"),"Ú","U"),"Ü","U"),"Ç","C")&amp;"|"&amp;IF(LEN(J489)=11,MID(J489,4,6),J489)))</f>
        <v/>
      </c>
      <c r="L489" s="25" t="str">
        <f aca="false">IF(K489="","",IF(E489="Doação recebida",TRIM(IF(COUNTIF(Socios!$H:$H,K489)&gt;0,"Doador é sócio de empresa da pauta. ","")&amp;IF(COUNTIF(Pessoas!$E:$E,K489)&gt;0,"Doador está em Pessoas.","")),IF(E489="Despesa com fornecedor",IF(COUNTIF(Contratos!$D:$D,K489)&gt;0,"Fornecedor também tem contrato público",""),"")))</f>
        <v/>
      </c>
      <c r="M489" s="24"/>
      <c r="N489" s="11"/>
    </row>
    <row r="490" customFormat="false" ht="15" hidden="false" customHeight="false" outlineLevel="0" collapsed="false">
      <c r="A490" s="23"/>
      <c r="B490" s="31" t="str">
        <f aca="false">IF(A490="","",SUBSTITUTE(SUBSTITUTE(SUBSTITUTE(SUBSTITUTE(SUBSTITUTE(SUBSTITUTE(SUBSTITUTE(SUBSTITUTE(SUBSTITUTE(SUBSTITUTE(SUBSTITUTE(SUBSTITUTE(SUBSTITUTE(UPPER(TRIM(A490)),"Á","A"),"À","A"),"Â","A"),"Ã","A"),"É","E"),"Ê","E"),"Í","I"),"Ó","O"),"Ô","O"),"Õ","O"),"Ú","U"),"Ü","U"),"Ç","C"))</f>
        <v/>
      </c>
      <c r="C490" s="43"/>
      <c r="D490" s="23"/>
      <c r="E490" s="23"/>
      <c r="F490" s="11"/>
      <c r="G490" s="35"/>
      <c r="H490" s="23"/>
      <c r="I490" s="24"/>
      <c r="J490" s="31" t="str">
        <f aca="false">IF(I490="","",UPPER(SUBSTITUTE(SUBSTITUTE(SUBSTITUTE(SUBSTITUTE(SUBSTITUTE(TRIM(I490),".",""),"/",""),"-",""),"*","")," ","")))</f>
        <v/>
      </c>
      <c r="K490" s="31" t="str">
        <f aca="false">IF(OR(H490="",J490=""),"",IF(LEN(J490)&gt;=13,IF(LEN(J490)=13,"0"&amp;J490,J490),SUBSTITUTE(SUBSTITUTE(SUBSTITUTE(SUBSTITUTE(SUBSTITUTE(SUBSTITUTE(SUBSTITUTE(SUBSTITUTE(SUBSTITUTE(SUBSTITUTE(SUBSTITUTE(SUBSTITUTE(SUBSTITUTE(UPPER(TRIM(H490)),"Á","A"),"À","A"),"Â","A"),"Ã","A"),"É","E"),"Ê","E"),"Í","I"),"Ó","O"),"Ô","O"),"Õ","O"),"Ú","U"),"Ü","U"),"Ç","C")&amp;"|"&amp;IF(LEN(J490)=11,MID(J490,4,6),J490)))</f>
        <v/>
      </c>
      <c r="L490" s="25" t="str">
        <f aca="false">IF(K490="","",IF(E490="Doação recebida",TRIM(IF(COUNTIF(Socios!$H:$H,K490)&gt;0,"Doador é sócio de empresa da pauta. ","")&amp;IF(COUNTIF(Pessoas!$E:$E,K490)&gt;0,"Doador está em Pessoas.","")),IF(E490="Despesa com fornecedor",IF(COUNTIF(Contratos!$D:$D,K490)&gt;0,"Fornecedor também tem contrato público",""),"")))</f>
        <v/>
      </c>
      <c r="M490" s="24"/>
      <c r="N490" s="11"/>
    </row>
    <row r="491" customFormat="false" ht="15" hidden="false" customHeight="false" outlineLevel="0" collapsed="false">
      <c r="A491" s="23"/>
      <c r="B491" s="31" t="str">
        <f aca="false">IF(A491="","",SUBSTITUTE(SUBSTITUTE(SUBSTITUTE(SUBSTITUTE(SUBSTITUTE(SUBSTITUTE(SUBSTITUTE(SUBSTITUTE(SUBSTITUTE(SUBSTITUTE(SUBSTITUTE(SUBSTITUTE(SUBSTITUTE(UPPER(TRIM(A491)),"Á","A"),"À","A"),"Â","A"),"Ã","A"),"É","E"),"Ê","E"),"Í","I"),"Ó","O"),"Ô","O"),"Õ","O"),"Ú","U"),"Ü","U"),"Ç","C"))</f>
        <v/>
      </c>
      <c r="C491" s="43"/>
      <c r="D491" s="23"/>
      <c r="E491" s="23"/>
      <c r="F491" s="11"/>
      <c r="G491" s="35"/>
      <c r="H491" s="23"/>
      <c r="I491" s="24"/>
      <c r="J491" s="31" t="str">
        <f aca="false">IF(I491="","",UPPER(SUBSTITUTE(SUBSTITUTE(SUBSTITUTE(SUBSTITUTE(SUBSTITUTE(TRIM(I491),".",""),"/",""),"-",""),"*","")," ","")))</f>
        <v/>
      </c>
      <c r="K491" s="31" t="str">
        <f aca="false">IF(OR(H491="",J491=""),"",IF(LEN(J491)&gt;=13,IF(LEN(J491)=13,"0"&amp;J491,J491),SUBSTITUTE(SUBSTITUTE(SUBSTITUTE(SUBSTITUTE(SUBSTITUTE(SUBSTITUTE(SUBSTITUTE(SUBSTITUTE(SUBSTITUTE(SUBSTITUTE(SUBSTITUTE(SUBSTITUTE(SUBSTITUTE(UPPER(TRIM(H491)),"Á","A"),"À","A"),"Â","A"),"Ã","A"),"É","E"),"Ê","E"),"Í","I"),"Ó","O"),"Ô","O"),"Õ","O"),"Ú","U"),"Ü","U"),"Ç","C")&amp;"|"&amp;IF(LEN(J491)=11,MID(J491,4,6),J491)))</f>
        <v/>
      </c>
      <c r="L491" s="25" t="str">
        <f aca="false">IF(K491="","",IF(E491="Doação recebida",TRIM(IF(COUNTIF(Socios!$H:$H,K491)&gt;0,"Doador é sócio de empresa da pauta. ","")&amp;IF(COUNTIF(Pessoas!$E:$E,K491)&gt;0,"Doador está em Pessoas.","")),IF(E491="Despesa com fornecedor",IF(COUNTIF(Contratos!$D:$D,K491)&gt;0,"Fornecedor também tem contrato público",""),"")))</f>
        <v/>
      </c>
      <c r="M491" s="24"/>
      <c r="N491" s="11"/>
    </row>
    <row r="492" customFormat="false" ht="15" hidden="false" customHeight="false" outlineLevel="0" collapsed="false">
      <c r="A492" s="23"/>
      <c r="B492" s="31" t="str">
        <f aca="false">IF(A492="","",SUBSTITUTE(SUBSTITUTE(SUBSTITUTE(SUBSTITUTE(SUBSTITUTE(SUBSTITUTE(SUBSTITUTE(SUBSTITUTE(SUBSTITUTE(SUBSTITUTE(SUBSTITUTE(SUBSTITUTE(SUBSTITUTE(UPPER(TRIM(A492)),"Á","A"),"À","A"),"Â","A"),"Ã","A"),"É","E"),"Ê","E"),"Í","I"),"Ó","O"),"Ô","O"),"Õ","O"),"Ú","U"),"Ü","U"),"Ç","C"))</f>
        <v/>
      </c>
      <c r="C492" s="43"/>
      <c r="D492" s="23"/>
      <c r="E492" s="23"/>
      <c r="F492" s="11"/>
      <c r="G492" s="35"/>
      <c r="H492" s="23"/>
      <c r="I492" s="24"/>
      <c r="J492" s="31" t="str">
        <f aca="false">IF(I492="","",UPPER(SUBSTITUTE(SUBSTITUTE(SUBSTITUTE(SUBSTITUTE(SUBSTITUTE(TRIM(I492),".",""),"/",""),"-",""),"*","")," ","")))</f>
        <v/>
      </c>
      <c r="K492" s="31" t="str">
        <f aca="false">IF(OR(H492="",J492=""),"",IF(LEN(J492)&gt;=13,IF(LEN(J492)=13,"0"&amp;J492,J492),SUBSTITUTE(SUBSTITUTE(SUBSTITUTE(SUBSTITUTE(SUBSTITUTE(SUBSTITUTE(SUBSTITUTE(SUBSTITUTE(SUBSTITUTE(SUBSTITUTE(SUBSTITUTE(SUBSTITUTE(SUBSTITUTE(UPPER(TRIM(H492)),"Á","A"),"À","A"),"Â","A"),"Ã","A"),"É","E"),"Ê","E"),"Í","I"),"Ó","O"),"Ô","O"),"Õ","O"),"Ú","U"),"Ü","U"),"Ç","C")&amp;"|"&amp;IF(LEN(J492)=11,MID(J492,4,6),J492)))</f>
        <v/>
      </c>
      <c r="L492" s="25" t="str">
        <f aca="false">IF(K492="","",IF(E492="Doação recebida",TRIM(IF(COUNTIF(Socios!$H:$H,K492)&gt;0,"Doador é sócio de empresa da pauta. ","")&amp;IF(COUNTIF(Pessoas!$E:$E,K492)&gt;0,"Doador está em Pessoas.","")),IF(E492="Despesa com fornecedor",IF(COUNTIF(Contratos!$D:$D,K492)&gt;0,"Fornecedor também tem contrato público",""),"")))</f>
        <v/>
      </c>
      <c r="M492" s="24"/>
      <c r="N492" s="11"/>
    </row>
    <row r="493" customFormat="false" ht="15" hidden="false" customHeight="false" outlineLevel="0" collapsed="false">
      <c r="A493" s="23"/>
      <c r="B493" s="31" t="str">
        <f aca="false">IF(A493="","",SUBSTITUTE(SUBSTITUTE(SUBSTITUTE(SUBSTITUTE(SUBSTITUTE(SUBSTITUTE(SUBSTITUTE(SUBSTITUTE(SUBSTITUTE(SUBSTITUTE(SUBSTITUTE(SUBSTITUTE(SUBSTITUTE(UPPER(TRIM(A493)),"Á","A"),"À","A"),"Â","A"),"Ã","A"),"É","E"),"Ê","E"),"Í","I"),"Ó","O"),"Ô","O"),"Õ","O"),"Ú","U"),"Ü","U"),"Ç","C"))</f>
        <v/>
      </c>
      <c r="C493" s="43"/>
      <c r="D493" s="23"/>
      <c r="E493" s="23"/>
      <c r="F493" s="11"/>
      <c r="G493" s="35"/>
      <c r="H493" s="23"/>
      <c r="I493" s="24"/>
      <c r="J493" s="31" t="str">
        <f aca="false">IF(I493="","",UPPER(SUBSTITUTE(SUBSTITUTE(SUBSTITUTE(SUBSTITUTE(SUBSTITUTE(TRIM(I493),".",""),"/",""),"-",""),"*","")," ","")))</f>
        <v/>
      </c>
      <c r="K493" s="31" t="str">
        <f aca="false">IF(OR(H493="",J493=""),"",IF(LEN(J493)&gt;=13,IF(LEN(J493)=13,"0"&amp;J493,J493),SUBSTITUTE(SUBSTITUTE(SUBSTITUTE(SUBSTITUTE(SUBSTITUTE(SUBSTITUTE(SUBSTITUTE(SUBSTITUTE(SUBSTITUTE(SUBSTITUTE(SUBSTITUTE(SUBSTITUTE(SUBSTITUTE(UPPER(TRIM(H493)),"Á","A"),"À","A"),"Â","A"),"Ã","A"),"É","E"),"Ê","E"),"Í","I"),"Ó","O"),"Ô","O"),"Õ","O"),"Ú","U"),"Ü","U"),"Ç","C")&amp;"|"&amp;IF(LEN(J493)=11,MID(J493,4,6),J493)))</f>
        <v/>
      </c>
      <c r="L493" s="25" t="str">
        <f aca="false">IF(K493="","",IF(E493="Doação recebida",TRIM(IF(COUNTIF(Socios!$H:$H,K493)&gt;0,"Doador é sócio de empresa da pauta. ","")&amp;IF(COUNTIF(Pessoas!$E:$E,K493)&gt;0,"Doador está em Pessoas.","")),IF(E493="Despesa com fornecedor",IF(COUNTIF(Contratos!$D:$D,K493)&gt;0,"Fornecedor também tem contrato público",""),"")))</f>
        <v/>
      </c>
      <c r="M493" s="24"/>
      <c r="N493" s="11"/>
    </row>
    <row r="494" customFormat="false" ht="15" hidden="false" customHeight="false" outlineLevel="0" collapsed="false">
      <c r="A494" s="23"/>
      <c r="B494" s="31" t="str">
        <f aca="false">IF(A494="","",SUBSTITUTE(SUBSTITUTE(SUBSTITUTE(SUBSTITUTE(SUBSTITUTE(SUBSTITUTE(SUBSTITUTE(SUBSTITUTE(SUBSTITUTE(SUBSTITUTE(SUBSTITUTE(SUBSTITUTE(SUBSTITUTE(UPPER(TRIM(A494)),"Á","A"),"À","A"),"Â","A"),"Ã","A"),"É","E"),"Ê","E"),"Í","I"),"Ó","O"),"Ô","O"),"Õ","O"),"Ú","U"),"Ü","U"),"Ç","C"))</f>
        <v/>
      </c>
      <c r="C494" s="43"/>
      <c r="D494" s="23"/>
      <c r="E494" s="23"/>
      <c r="F494" s="11"/>
      <c r="G494" s="35"/>
      <c r="H494" s="23"/>
      <c r="I494" s="24"/>
      <c r="J494" s="31" t="str">
        <f aca="false">IF(I494="","",UPPER(SUBSTITUTE(SUBSTITUTE(SUBSTITUTE(SUBSTITUTE(SUBSTITUTE(TRIM(I494),".",""),"/",""),"-",""),"*","")," ","")))</f>
        <v/>
      </c>
      <c r="K494" s="31" t="str">
        <f aca="false">IF(OR(H494="",J494=""),"",IF(LEN(J494)&gt;=13,IF(LEN(J494)=13,"0"&amp;J494,J494),SUBSTITUTE(SUBSTITUTE(SUBSTITUTE(SUBSTITUTE(SUBSTITUTE(SUBSTITUTE(SUBSTITUTE(SUBSTITUTE(SUBSTITUTE(SUBSTITUTE(SUBSTITUTE(SUBSTITUTE(SUBSTITUTE(UPPER(TRIM(H494)),"Á","A"),"À","A"),"Â","A"),"Ã","A"),"É","E"),"Ê","E"),"Í","I"),"Ó","O"),"Ô","O"),"Õ","O"),"Ú","U"),"Ü","U"),"Ç","C")&amp;"|"&amp;IF(LEN(J494)=11,MID(J494,4,6),J494)))</f>
        <v/>
      </c>
      <c r="L494" s="25" t="str">
        <f aca="false">IF(K494="","",IF(E494="Doação recebida",TRIM(IF(COUNTIF(Socios!$H:$H,K494)&gt;0,"Doador é sócio de empresa da pauta. ","")&amp;IF(COUNTIF(Pessoas!$E:$E,K494)&gt;0,"Doador está em Pessoas.","")),IF(E494="Despesa com fornecedor",IF(COUNTIF(Contratos!$D:$D,K494)&gt;0,"Fornecedor também tem contrato público",""),"")))</f>
        <v/>
      </c>
      <c r="M494" s="24"/>
      <c r="N494" s="11"/>
    </row>
    <row r="495" customFormat="false" ht="15" hidden="false" customHeight="false" outlineLevel="0" collapsed="false">
      <c r="A495" s="23"/>
      <c r="B495" s="31" t="str">
        <f aca="false">IF(A495="","",SUBSTITUTE(SUBSTITUTE(SUBSTITUTE(SUBSTITUTE(SUBSTITUTE(SUBSTITUTE(SUBSTITUTE(SUBSTITUTE(SUBSTITUTE(SUBSTITUTE(SUBSTITUTE(SUBSTITUTE(SUBSTITUTE(UPPER(TRIM(A495)),"Á","A"),"À","A"),"Â","A"),"Ã","A"),"É","E"),"Ê","E"),"Í","I"),"Ó","O"),"Ô","O"),"Õ","O"),"Ú","U"),"Ü","U"),"Ç","C"))</f>
        <v/>
      </c>
      <c r="C495" s="43"/>
      <c r="D495" s="23"/>
      <c r="E495" s="23"/>
      <c r="F495" s="11"/>
      <c r="G495" s="35"/>
      <c r="H495" s="23"/>
      <c r="I495" s="24"/>
      <c r="J495" s="31" t="str">
        <f aca="false">IF(I495="","",UPPER(SUBSTITUTE(SUBSTITUTE(SUBSTITUTE(SUBSTITUTE(SUBSTITUTE(TRIM(I495),".",""),"/",""),"-",""),"*","")," ","")))</f>
        <v/>
      </c>
      <c r="K495" s="31" t="str">
        <f aca="false">IF(OR(H495="",J495=""),"",IF(LEN(J495)&gt;=13,IF(LEN(J495)=13,"0"&amp;J495,J495),SUBSTITUTE(SUBSTITUTE(SUBSTITUTE(SUBSTITUTE(SUBSTITUTE(SUBSTITUTE(SUBSTITUTE(SUBSTITUTE(SUBSTITUTE(SUBSTITUTE(SUBSTITUTE(SUBSTITUTE(SUBSTITUTE(UPPER(TRIM(H495)),"Á","A"),"À","A"),"Â","A"),"Ã","A"),"É","E"),"Ê","E"),"Í","I"),"Ó","O"),"Ô","O"),"Õ","O"),"Ú","U"),"Ü","U"),"Ç","C")&amp;"|"&amp;IF(LEN(J495)=11,MID(J495,4,6),J495)))</f>
        <v/>
      </c>
      <c r="L495" s="25" t="str">
        <f aca="false">IF(K495="","",IF(E495="Doação recebida",TRIM(IF(COUNTIF(Socios!$H:$H,K495)&gt;0,"Doador é sócio de empresa da pauta. ","")&amp;IF(COUNTIF(Pessoas!$E:$E,K495)&gt;0,"Doador está em Pessoas.","")),IF(E495="Despesa com fornecedor",IF(COUNTIF(Contratos!$D:$D,K495)&gt;0,"Fornecedor também tem contrato público",""),"")))</f>
        <v/>
      </c>
      <c r="M495" s="24"/>
      <c r="N495" s="11"/>
    </row>
    <row r="496" customFormat="false" ht="15" hidden="false" customHeight="false" outlineLevel="0" collapsed="false">
      <c r="A496" s="23"/>
      <c r="B496" s="31" t="str">
        <f aca="false">IF(A496="","",SUBSTITUTE(SUBSTITUTE(SUBSTITUTE(SUBSTITUTE(SUBSTITUTE(SUBSTITUTE(SUBSTITUTE(SUBSTITUTE(SUBSTITUTE(SUBSTITUTE(SUBSTITUTE(SUBSTITUTE(SUBSTITUTE(UPPER(TRIM(A496)),"Á","A"),"À","A"),"Â","A"),"Ã","A"),"É","E"),"Ê","E"),"Í","I"),"Ó","O"),"Ô","O"),"Õ","O"),"Ú","U"),"Ü","U"),"Ç","C"))</f>
        <v/>
      </c>
      <c r="C496" s="43"/>
      <c r="D496" s="23"/>
      <c r="E496" s="23"/>
      <c r="F496" s="11"/>
      <c r="G496" s="35"/>
      <c r="H496" s="23"/>
      <c r="I496" s="24"/>
      <c r="J496" s="31" t="str">
        <f aca="false">IF(I496="","",UPPER(SUBSTITUTE(SUBSTITUTE(SUBSTITUTE(SUBSTITUTE(SUBSTITUTE(TRIM(I496),".",""),"/",""),"-",""),"*","")," ","")))</f>
        <v/>
      </c>
      <c r="K496" s="31" t="str">
        <f aca="false">IF(OR(H496="",J496=""),"",IF(LEN(J496)&gt;=13,IF(LEN(J496)=13,"0"&amp;J496,J496),SUBSTITUTE(SUBSTITUTE(SUBSTITUTE(SUBSTITUTE(SUBSTITUTE(SUBSTITUTE(SUBSTITUTE(SUBSTITUTE(SUBSTITUTE(SUBSTITUTE(SUBSTITUTE(SUBSTITUTE(SUBSTITUTE(UPPER(TRIM(H496)),"Á","A"),"À","A"),"Â","A"),"Ã","A"),"É","E"),"Ê","E"),"Í","I"),"Ó","O"),"Ô","O"),"Õ","O"),"Ú","U"),"Ü","U"),"Ç","C")&amp;"|"&amp;IF(LEN(J496)=11,MID(J496,4,6),J496)))</f>
        <v/>
      </c>
      <c r="L496" s="25" t="str">
        <f aca="false">IF(K496="","",IF(E496="Doação recebida",TRIM(IF(COUNTIF(Socios!$H:$H,K496)&gt;0,"Doador é sócio de empresa da pauta. ","")&amp;IF(COUNTIF(Pessoas!$E:$E,K496)&gt;0,"Doador está em Pessoas.","")),IF(E496="Despesa com fornecedor",IF(COUNTIF(Contratos!$D:$D,K496)&gt;0,"Fornecedor também tem contrato público",""),"")))</f>
        <v/>
      </c>
      <c r="M496" s="24"/>
      <c r="N496" s="11"/>
    </row>
    <row r="497" customFormat="false" ht="15" hidden="false" customHeight="false" outlineLevel="0" collapsed="false">
      <c r="A497" s="23"/>
      <c r="B497" s="31" t="str">
        <f aca="false">IF(A497="","",SUBSTITUTE(SUBSTITUTE(SUBSTITUTE(SUBSTITUTE(SUBSTITUTE(SUBSTITUTE(SUBSTITUTE(SUBSTITUTE(SUBSTITUTE(SUBSTITUTE(SUBSTITUTE(SUBSTITUTE(SUBSTITUTE(UPPER(TRIM(A497)),"Á","A"),"À","A"),"Â","A"),"Ã","A"),"É","E"),"Ê","E"),"Í","I"),"Ó","O"),"Ô","O"),"Õ","O"),"Ú","U"),"Ü","U"),"Ç","C"))</f>
        <v/>
      </c>
      <c r="C497" s="43"/>
      <c r="D497" s="23"/>
      <c r="E497" s="23"/>
      <c r="F497" s="11"/>
      <c r="G497" s="35"/>
      <c r="H497" s="23"/>
      <c r="I497" s="24"/>
      <c r="J497" s="31" t="str">
        <f aca="false">IF(I497="","",UPPER(SUBSTITUTE(SUBSTITUTE(SUBSTITUTE(SUBSTITUTE(SUBSTITUTE(TRIM(I497),".",""),"/",""),"-",""),"*","")," ","")))</f>
        <v/>
      </c>
      <c r="K497" s="31" t="str">
        <f aca="false">IF(OR(H497="",J497=""),"",IF(LEN(J497)&gt;=13,IF(LEN(J497)=13,"0"&amp;J497,J497),SUBSTITUTE(SUBSTITUTE(SUBSTITUTE(SUBSTITUTE(SUBSTITUTE(SUBSTITUTE(SUBSTITUTE(SUBSTITUTE(SUBSTITUTE(SUBSTITUTE(SUBSTITUTE(SUBSTITUTE(SUBSTITUTE(UPPER(TRIM(H497)),"Á","A"),"À","A"),"Â","A"),"Ã","A"),"É","E"),"Ê","E"),"Í","I"),"Ó","O"),"Ô","O"),"Õ","O"),"Ú","U"),"Ü","U"),"Ç","C")&amp;"|"&amp;IF(LEN(J497)=11,MID(J497,4,6),J497)))</f>
        <v/>
      </c>
      <c r="L497" s="25" t="str">
        <f aca="false">IF(K497="","",IF(E497="Doação recebida",TRIM(IF(COUNTIF(Socios!$H:$H,K497)&gt;0,"Doador é sócio de empresa da pauta. ","")&amp;IF(COUNTIF(Pessoas!$E:$E,K497)&gt;0,"Doador está em Pessoas.","")),IF(E497="Despesa com fornecedor",IF(COUNTIF(Contratos!$D:$D,K497)&gt;0,"Fornecedor também tem contrato público",""),"")))</f>
        <v/>
      </c>
      <c r="M497" s="24"/>
      <c r="N497" s="11"/>
    </row>
    <row r="498" customFormat="false" ht="15" hidden="false" customHeight="false" outlineLevel="0" collapsed="false">
      <c r="A498" s="23"/>
      <c r="B498" s="31" t="str">
        <f aca="false">IF(A498="","",SUBSTITUTE(SUBSTITUTE(SUBSTITUTE(SUBSTITUTE(SUBSTITUTE(SUBSTITUTE(SUBSTITUTE(SUBSTITUTE(SUBSTITUTE(SUBSTITUTE(SUBSTITUTE(SUBSTITUTE(SUBSTITUTE(UPPER(TRIM(A498)),"Á","A"),"À","A"),"Â","A"),"Ã","A"),"É","E"),"Ê","E"),"Í","I"),"Ó","O"),"Ô","O"),"Õ","O"),"Ú","U"),"Ü","U"),"Ç","C"))</f>
        <v/>
      </c>
      <c r="C498" s="43"/>
      <c r="D498" s="23"/>
      <c r="E498" s="23"/>
      <c r="F498" s="11"/>
      <c r="G498" s="35"/>
      <c r="H498" s="23"/>
      <c r="I498" s="24"/>
      <c r="J498" s="31" t="str">
        <f aca="false">IF(I498="","",UPPER(SUBSTITUTE(SUBSTITUTE(SUBSTITUTE(SUBSTITUTE(SUBSTITUTE(TRIM(I498),".",""),"/",""),"-",""),"*","")," ","")))</f>
        <v/>
      </c>
      <c r="K498" s="31" t="str">
        <f aca="false">IF(OR(H498="",J498=""),"",IF(LEN(J498)&gt;=13,IF(LEN(J498)=13,"0"&amp;J498,J498),SUBSTITUTE(SUBSTITUTE(SUBSTITUTE(SUBSTITUTE(SUBSTITUTE(SUBSTITUTE(SUBSTITUTE(SUBSTITUTE(SUBSTITUTE(SUBSTITUTE(SUBSTITUTE(SUBSTITUTE(SUBSTITUTE(UPPER(TRIM(H498)),"Á","A"),"À","A"),"Â","A"),"Ã","A"),"É","E"),"Ê","E"),"Í","I"),"Ó","O"),"Ô","O"),"Õ","O"),"Ú","U"),"Ü","U"),"Ç","C")&amp;"|"&amp;IF(LEN(J498)=11,MID(J498,4,6),J498)))</f>
        <v/>
      </c>
      <c r="L498" s="25" t="str">
        <f aca="false">IF(K498="","",IF(E498="Doação recebida",TRIM(IF(COUNTIF(Socios!$H:$H,K498)&gt;0,"Doador é sócio de empresa da pauta. ","")&amp;IF(COUNTIF(Pessoas!$E:$E,K498)&gt;0,"Doador está em Pessoas.","")),IF(E498="Despesa com fornecedor",IF(COUNTIF(Contratos!$D:$D,K498)&gt;0,"Fornecedor também tem contrato público",""),"")))</f>
        <v/>
      </c>
      <c r="M498" s="24"/>
      <c r="N498" s="11"/>
    </row>
    <row r="499" customFormat="false" ht="15" hidden="false" customHeight="false" outlineLevel="0" collapsed="false">
      <c r="A499" s="23"/>
      <c r="B499" s="31" t="str">
        <f aca="false">IF(A499="","",SUBSTITUTE(SUBSTITUTE(SUBSTITUTE(SUBSTITUTE(SUBSTITUTE(SUBSTITUTE(SUBSTITUTE(SUBSTITUTE(SUBSTITUTE(SUBSTITUTE(SUBSTITUTE(SUBSTITUTE(SUBSTITUTE(UPPER(TRIM(A499)),"Á","A"),"À","A"),"Â","A"),"Ã","A"),"É","E"),"Ê","E"),"Í","I"),"Ó","O"),"Ô","O"),"Õ","O"),"Ú","U"),"Ü","U"),"Ç","C"))</f>
        <v/>
      </c>
      <c r="C499" s="43"/>
      <c r="D499" s="23"/>
      <c r="E499" s="23"/>
      <c r="F499" s="11"/>
      <c r="G499" s="35"/>
      <c r="H499" s="23"/>
      <c r="I499" s="24"/>
      <c r="J499" s="31" t="str">
        <f aca="false">IF(I499="","",UPPER(SUBSTITUTE(SUBSTITUTE(SUBSTITUTE(SUBSTITUTE(SUBSTITUTE(TRIM(I499),".",""),"/",""),"-",""),"*","")," ","")))</f>
        <v/>
      </c>
      <c r="K499" s="31" t="str">
        <f aca="false">IF(OR(H499="",J499=""),"",IF(LEN(J499)&gt;=13,IF(LEN(J499)=13,"0"&amp;J499,J499),SUBSTITUTE(SUBSTITUTE(SUBSTITUTE(SUBSTITUTE(SUBSTITUTE(SUBSTITUTE(SUBSTITUTE(SUBSTITUTE(SUBSTITUTE(SUBSTITUTE(SUBSTITUTE(SUBSTITUTE(SUBSTITUTE(UPPER(TRIM(H499)),"Á","A"),"À","A"),"Â","A"),"Ã","A"),"É","E"),"Ê","E"),"Í","I"),"Ó","O"),"Ô","O"),"Õ","O"),"Ú","U"),"Ü","U"),"Ç","C")&amp;"|"&amp;IF(LEN(J499)=11,MID(J499,4,6),J499)))</f>
        <v/>
      </c>
      <c r="L499" s="25" t="str">
        <f aca="false">IF(K499="","",IF(E499="Doação recebida",TRIM(IF(COUNTIF(Socios!$H:$H,K499)&gt;0,"Doador é sócio de empresa da pauta. ","")&amp;IF(COUNTIF(Pessoas!$E:$E,K499)&gt;0,"Doador está em Pessoas.","")),IF(E499="Despesa com fornecedor",IF(COUNTIF(Contratos!$D:$D,K499)&gt;0,"Fornecedor também tem contrato público",""),"")))</f>
        <v/>
      </c>
      <c r="M499" s="24"/>
      <c r="N499" s="11"/>
    </row>
    <row r="500" customFormat="false" ht="15" hidden="false" customHeight="false" outlineLevel="0" collapsed="false">
      <c r="A500" s="23"/>
      <c r="B500" s="31" t="str">
        <f aca="false">IF(A500="","",SUBSTITUTE(SUBSTITUTE(SUBSTITUTE(SUBSTITUTE(SUBSTITUTE(SUBSTITUTE(SUBSTITUTE(SUBSTITUTE(SUBSTITUTE(SUBSTITUTE(SUBSTITUTE(SUBSTITUTE(SUBSTITUTE(UPPER(TRIM(A500)),"Á","A"),"À","A"),"Â","A"),"Ã","A"),"É","E"),"Ê","E"),"Í","I"),"Ó","O"),"Ô","O"),"Õ","O"),"Ú","U"),"Ü","U"),"Ç","C"))</f>
        <v/>
      </c>
      <c r="C500" s="43"/>
      <c r="D500" s="23"/>
      <c r="E500" s="23"/>
      <c r="F500" s="11"/>
      <c r="G500" s="35"/>
      <c r="H500" s="23"/>
      <c r="I500" s="24"/>
      <c r="J500" s="31" t="str">
        <f aca="false">IF(I500="","",UPPER(SUBSTITUTE(SUBSTITUTE(SUBSTITUTE(SUBSTITUTE(SUBSTITUTE(TRIM(I500),".",""),"/",""),"-",""),"*","")," ","")))</f>
        <v/>
      </c>
      <c r="K500" s="31" t="str">
        <f aca="false">IF(OR(H500="",J500=""),"",IF(LEN(J500)&gt;=13,IF(LEN(J500)=13,"0"&amp;J500,J500),SUBSTITUTE(SUBSTITUTE(SUBSTITUTE(SUBSTITUTE(SUBSTITUTE(SUBSTITUTE(SUBSTITUTE(SUBSTITUTE(SUBSTITUTE(SUBSTITUTE(SUBSTITUTE(SUBSTITUTE(SUBSTITUTE(UPPER(TRIM(H500)),"Á","A"),"À","A"),"Â","A"),"Ã","A"),"É","E"),"Ê","E"),"Í","I"),"Ó","O"),"Ô","O"),"Õ","O"),"Ú","U"),"Ü","U"),"Ç","C")&amp;"|"&amp;IF(LEN(J500)=11,MID(J500,4,6),J500)))</f>
        <v/>
      </c>
      <c r="L500" s="25" t="str">
        <f aca="false">IF(K500="","",IF(E500="Doação recebida",TRIM(IF(COUNTIF(Socios!$H:$H,K500)&gt;0,"Doador é sócio de empresa da pauta. ","")&amp;IF(COUNTIF(Pessoas!$E:$E,K500)&gt;0,"Doador está em Pessoas.","")),IF(E500="Despesa com fornecedor",IF(COUNTIF(Contratos!$D:$D,K500)&gt;0,"Fornecedor também tem contrato público",""),"")))</f>
        <v/>
      </c>
      <c r="M500" s="24"/>
      <c r="N500" s="11"/>
    </row>
    <row r="501" customFormat="false" ht="15" hidden="false" customHeight="false" outlineLevel="0" collapsed="false">
      <c r="A501" s="23"/>
      <c r="B501" s="31" t="str">
        <f aca="false">IF(A501="","",SUBSTITUTE(SUBSTITUTE(SUBSTITUTE(SUBSTITUTE(SUBSTITUTE(SUBSTITUTE(SUBSTITUTE(SUBSTITUTE(SUBSTITUTE(SUBSTITUTE(SUBSTITUTE(SUBSTITUTE(SUBSTITUTE(UPPER(TRIM(A501)),"Á","A"),"À","A"),"Â","A"),"Ã","A"),"É","E"),"Ê","E"),"Í","I"),"Ó","O"),"Ô","O"),"Õ","O"),"Ú","U"),"Ü","U"),"Ç","C"))</f>
        <v/>
      </c>
      <c r="C501" s="43"/>
      <c r="D501" s="23"/>
      <c r="E501" s="23"/>
      <c r="F501" s="11"/>
      <c r="G501" s="35"/>
      <c r="H501" s="23"/>
      <c r="I501" s="24"/>
      <c r="J501" s="31" t="str">
        <f aca="false">IF(I501="","",UPPER(SUBSTITUTE(SUBSTITUTE(SUBSTITUTE(SUBSTITUTE(SUBSTITUTE(TRIM(I501),".",""),"/",""),"-",""),"*","")," ","")))</f>
        <v/>
      </c>
      <c r="K501" s="31" t="str">
        <f aca="false">IF(OR(H501="",J501=""),"",IF(LEN(J501)&gt;=13,IF(LEN(J501)=13,"0"&amp;J501,J501),SUBSTITUTE(SUBSTITUTE(SUBSTITUTE(SUBSTITUTE(SUBSTITUTE(SUBSTITUTE(SUBSTITUTE(SUBSTITUTE(SUBSTITUTE(SUBSTITUTE(SUBSTITUTE(SUBSTITUTE(SUBSTITUTE(UPPER(TRIM(H501)),"Á","A"),"À","A"),"Â","A"),"Ã","A"),"É","E"),"Ê","E"),"Í","I"),"Ó","O"),"Ô","O"),"Õ","O"),"Ú","U"),"Ü","U"),"Ç","C")&amp;"|"&amp;IF(LEN(J501)=11,MID(J501,4,6),J501)))</f>
        <v/>
      </c>
      <c r="L501" s="25" t="str">
        <f aca="false">IF(K501="","",IF(E501="Doação recebida",TRIM(IF(COUNTIF(Socios!$H:$H,K501)&gt;0,"Doador é sócio de empresa da pauta. ","")&amp;IF(COUNTIF(Pessoas!$E:$E,K501)&gt;0,"Doador está em Pessoas.","")),IF(E501="Despesa com fornecedor",IF(COUNTIF(Contratos!$D:$D,K501)&gt;0,"Fornecedor também tem contrato público",""),"")))</f>
        <v/>
      </c>
      <c r="M501" s="24"/>
      <c r="N501" s="11"/>
    </row>
    <row r="502" customFormat="false" ht="15" hidden="false" customHeight="false" outlineLevel="0" collapsed="false">
      <c r="A502" s="23"/>
      <c r="B502" s="31" t="str">
        <f aca="false">IF(A502="","",SUBSTITUTE(SUBSTITUTE(SUBSTITUTE(SUBSTITUTE(SUBSTITUTE(SUBSTITUTE(SUBSTITUTE(SUBSTITUTE(SUBSTITUTE(SUBSTITUTE(SUBSTITUTE(SUBSTITUTE(SUBSTITUTE(UPPER(TRIM(A502)),"Á","A"),"À","A"),"Â","A"),"Ã","A"),"É","E"),"Ê","E"),"Í","I"),"Ó","O"),"Ô","O"),"Õ","O"),"Ú","U"),"Ü","U"),"Ç","C"))</f>
        <v/>
      </c>
      <c r="C502" s="43"/>
      <c r="D502" s="23"/>
      <c r="E502" s="23"/>
      <c r="F502" s="11"/>
      <c r="G502" s="35"/>
      <c r="H502" s="23"/>
      <c r="I502" s="24"/>
      <c r="J502" s="31" t="str">
        <f aca="false">IF(I502="","",UPPER(SUBSTITUTE(SUBSTITUTE(SUBSTITUTE(SUBSTITUTE(SUBSTITUTE(TRIM(I502),".",""),"/",""),"-",""),"*","")," ","")))</f>
        <v/>
      </c>
      <c r="K502" s="31" t="str">
        <f aca="false">IF(OR(H502="",J502=""),"",IF(LEN(J502)&gt;=13,IF(LEN(J502)=13,"0"&amp;J502,J502),SUBSTITUTE(SUBSTITUTE(SUBSTITUTE(SUBSTITUTE(SUBSTITUTE(SUBSTITUTE(SUBSTITUTE(SUBSTITUTE(SUBSTITUTE(SUBSTITUTE(SUBSTITUTE(SUBSTITUTE(SUBSTITUTE(UPPER(TRIM(H502)),"Á","A"),"À","A"),"Â","A"),"Ã","A"),"É","E"),"Ê","E"),"Í","I"),"Ó","O"),"Ô","O"),"Õ","O"),"Ú","U"),"Ü","U"),"Ç","C")&amp;"|"&amp;IF(LEN(J502)=11,MID(J502,4,6),J502)))</f>
        <v/>
      </c>
      <c r="L502" s="25" t="str">
        <f aca="false">IF(K502="","",IF(E502="Doação recebida",TRIM(IF(COUNTIF(Socios!$H:$H,K502)&gt;0,"Doador é sócio de empresa da pauta. ","")&amp;IF(COUNTIF(Pessoas!$E:$E,K502)&gt;0,"Doador está em Pessoas.","")),IF(E502="Despesa com fornecedor",IF(COUNTIF(Contratos!$D:$D,K502)&gt;0,"Fornecedor também tem contrato público",""),"")))</f>
        <v/>
      </c>
      <c r="M502" s="24"/>
      <c r="N502" s="11"/>
    </row>
    <row r="503" customFormat="false" ht="15" hidden="false" customHeight="false" outlineLevel="0" collapsed="false">
      <c r="A503" s="23"/>
      <c r="B503" s="31" t="str">
        <f aca="false">IF(A503="","",SUBSTITUTE(SUBSTITUTE(SUBSTITUTE(SUBSTITUTE(SUBSTITUTE(SUBSTITUTE(SUBSTITUTE(SUBSTITUTE(SUBSTITUTE(SUBSTITUTE(SUBSTITUTE(SUBSTITUTE(SUBSTITUTE(UPPER(TRIM(A503)),"Á","A"),"À","A"),"Â","A"),"Ã","A"),"É","E"),"Ê","E"),"Í","I"),"Ó","O"),"Ô","O"),"Õ","O"),"Ú","U"),"Ü","U"),"Ç","C"))</f>
        <v/>
      </c>
      <c r="C503" s="43"/>
      <c r="D503" s="23"/>
      <c r="E503" s="23"/>
      <c r="F503" s="11"/>
      <c r="G503" s="35"/>
      <c r="H503" s="23"/>
      <c r="I503" s="24"/>
      <c r="J503" s="31" t="str">
        <f aca="false">IF(I503="","",UPPER(SUBSTITUTE(SUBSTITUTE(SUBSTITUTE(SUBSTITUTE(SUBSTITUTE(TRIM(I503),".",""),"/",""),"-",""),"*","")," ","")))</f>
        <v/>
      </c>
      <c r="K503" s="31" t="str">
        <f aca="false">IF(OR(H503="",J503=""),"",IF(LEN(J503)&gt;=13,IF(LEN(J503)=13,"0"&amp;J503,J503),SUBSTITUTE(SUBSTITUTE(SUBSTITUTE(SUBSTITUTE(SUBSTITUTE(SUBSTITUTE(SUBSTITUTE(SUBSTITUTE(SUBSTITUTE(SUBSTITUTE(SUBSTITUTE(SUBSTITUTE(SUBSTITUTE(UPPER(TRIM(H503)),"Á","A"),"À","A"),"Â","A"),"Ã","A"),"É","E"),"Ê","E"),"Í","I"),"Ó","O"),"Ô","O"),"Õ","O"),"Ú","U"),"Ü","U"),"Ç","C")&amp;"|"&amp;IF(LEN(J503)=11,MID(J503,4,6),J503)))</f>
        <v/>
      </c>
      <c r="L503" s="25" t="str">
        <f aca="false">IF(K503="","",IF(E503="Doação recebida",TRIM(IF(COUNTIF(Socios!$H:$H,K503)&gt;0,"Doador é sócio de empresa da pauta. ","")&amp;IF(COUNTIF(Pessoas!$E:$E,K503)&gt;0,"Doador está em Pessoas.","")),IF(E503="Despesa com fornecedor",IF(COUNTIF(Contratos!$D:$D,K503)&gt;0,"Fornecedor também tem contrato público",""),"")))</f>
        <v/>
      </c>
      <c r="M503" s="24"/>
      <c r="N503" s="11"/>
    </row>
    <row r="504" customFormat="false" ht="15" hidden="false" customHeight="false" outlineLevel="0" collapsed="false">
      <c r="A504" s="23"/>
      <c r="B504" s="31" t="str">
        <f aca="false">IF(A504="","",SUBSTITUTE(SUBSTITUTE(SUBSTITUTE(SUBSTITUTE(SUBSTITUTE(SUBSTITUTE(SUBSTITUTE(SUBSTITUTE(SUBSTITUTE(SUBSTITUTE(SUBSTITUTE(SUBSTITUTE(SUBSTITUTE(UPPER(TRIM(A504)),"Á","A"),"À","A"),"Â","A"),"Ã","A"),"É","E"),"Ê","E"),"Í","I"),"Ó","O"),"Ô","O"),"Õ","O"),"Ú","U"),"Ü","U"),"Ç","C"))</f>
        <v/>
      </c>
      <c r="C504" s="43"/>
      <c r="D504" s="23"/>
      <c r="E504" s="23"/>
      <c r="F504" s="11"/>
      <c r="G504" s="35"/>
      <c r="H504" s="23"/>
      <c r="I504" s="24"/>
      <c r="J504" s="31" t="str">
        <f aca="false">IF(I504="","",UPPER(SUBSTITUTE(SUBSTITUTE(SUBSTITUTE(SUBSTITUTE(SUBSTITUTE(TRIM(I504),".",""),"/",""),"-",""),"*","")," ","")))</f>
        <v/>
      </c>
      <c r="K504" s="31" t="str">
        <f aca="false">IF(OR(H504="",J504=""),"",IF(LEN(J504)&gt;=13,IF(LEN(J504)=13,"0"&amp;J504,J504),SUBSTITUTE(SUBSTITUTE(SUBSTITUTE(SUBSTITUTE(SUBSTITUTE(SUBSTITUTE(SUBSTITUTE(SUBSTITUTE(SUBSTITUTE(SUBSTITUTE(SUBSTITUTE(SUBSTITUTE(SUBSTITUTE(UPPER(TRIM(H504)),"Á","A"),"À","A"),"Â","A"),"Ã","A"),"É","E"),"Ê","E"),"Í","I"),"Ó","O"),"Ô","O"),"Õ","O"),"Ú","U"),"Ü","U"),"Ç","C")&amp;"|"&amp;IF(LEN(J504)=11,MID(J504,4,6),J504)))</f>
        <v/>
      </c>
      <c r="L504" s="25" t="str">
        <f aca="false">IF(K504="","",IF(E504="Doação recebida",TRIM(IF(COUNTIF(Socios!$H:$H,K504)&gt;0,"Doador é sócio de empresa da pauta. ","")&amp;IF(COUNTIF(Pessoas!$E:$E,K504)&gt;0,"Doador está em Pessoas.","")),IF(E504="Despesa com fornecedor",IF(COUNTIF(Contratos!$D:$D,K504)&gt;0,"Fornecedor também tem contrato público",""),"")))</f>
        <v/>
      </c>
      <c r="M504" s="24"/>
      <c r="N504" s="11"/>
    </row>
  </sheetData>
  <autoFilter ref="A4:N504"/>
  <mergeCells count="1">
    <mergeCell ref="P11:Q11"/>
  </mergeCells>
  <conditionalFormatting sqref="L5:L504">
    <cfRule type="expression" priority="2" aboveAverage="0" equalAverage="0" bottom="0" percent="0" rank="0" text="" dxfId="6">
      <formula>LEN(L5)&gt;0</formula>
    </cfRule>
  </conditionalFormatting>
  <dataValidations count="1">
    <dataValidation allowBlank="true" error="Escolha uma opção da lista (as opções estão na aba Listas)." errorStyle="stop" errorTitle="Valor fora da lista" operator="between" showDropDown="false" showErrorMessage="true" showInputMessage="false" sqref="E5:E504" type="list">
      <formula1>Listas!$L$4:$L$6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26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34"/>
    <col collapsed="false" customWidth="true" hidden="false" outlineLevel="0" max="10" min="10" style="0" width="26"/>
    <col collapsed="false" customWidth="true" hidden="false" outlineLevel="0" max="11" min="11" style="0" width="12"/>
    <col collapsed="false" customWidth="true" hidden="false" outlineLevel="0" max="12" min="12" style="0" width="28"/>
  </cols>
  <sheetData>
    <row r="1" customFormat="false" ht="17.35" hidden="false" customHeight="false" outlineLevel="0" collapsed="false">
      <c r="A1" s="14" t="s">
        <v>350</v>
      </c>
    </row>
    <row r="2" customFormat="false" ht="15" hidden="false" customHeight="false" outlineLevel="0" collapsed="false">
      <c r="A2" s="15" t="s">
        <v>351</v>
      </c>
    </row>
    <row r="3" customFormat="false" ht="15" hidden="false" customHeight="false" outlineLevel="0" collapsed="false">
      <c r="A3" s="15" t="s">
        <v>352</v>
      </c>
    </row>
    <row r="4" customFormat="false" ht="48" hidden="false" customHeight="true" outlineLevel="0" collapsed="false">
      <c r="A4" s="9" t="s">
        <v>353</v>
      </c>
      <c r="B4" s="9" t="s">
        <v>354</v>
      </c>
      <c r="C4" s="9" t="s">
        <v>355</v>
      </c>
      <c r="D4" s="9" t="s">
        <v>356</v>
      </c>
      <c r="E4" s="9" t="s">
        <v>357</v>
      </c>
      <c r="F4" s="9" t="s">
        <v>303</v>
      </c>
      <c r="G4" s="16" t="s">
        <v>358</v>
      </c>
      <c r="H4" s="9" t="s">
        <v>359</v>
      </c>
      <c r="I4" s="9" t="s">
        <v>360</v>
      </c>
      <c r="J4" s="9" t="s">
        <v>73</v>
      </c>
      <c r="K4" s="9" t="s">
        <v>71</v>
      </c>
      <c r="L4" s="9" t="s">
        <v>74</v>
      </c>
    </row>
    <row r="5" customFormat="false" ht="23.85" hidden="false" customHeight="false" outlineLevel="0" collapsed="false">
      <c r="A5" s="20" t="s">
        <v>361</v>
      </c>
      <c r="B5" s="19" t="s">
        <v>362</v>
      </c>
      <c r="C5" s="18" t="s">
        <v>363</v>
      </c>
      <c r="D5" s="18" t="s">
        <v>364</v>
      </c>
      <c r="E5" s="18" t="s">
        <v>88</v>
      </c>
      <c r="F5" s="19" t="s">
        <v>365</v>
      </c>
      <c r="G5" s="21" t="str">
        <f aca="false">IF(F5="","",IFERROR(INDEX(Listas!$N:$N,MATCH(F5,Listas!$M:$M,0)),""))</f>
        <v>é réu em ação de improbidade administrativa, que é cível, não criminal</v>
      </c>
      <c r="H5" s="17" t="n">
        <v>46154</v>
      </c>
      <c r="I5" s="18" t="s">
        <v>366</v>
      </c>
      <c r="J5" s="19"/>
      <c r="K5" s="20" t="s">
        <v>108</v>
      </c>
      <c r="L5" s="18" t="s">
        <v>367</v>
      </c>
    </row>
    <row r="6" customFormat="false" ht="15" hidden="false" customHeight="false" outlineLevel="0" collapsed="false">
      <c r="A6" s="24"/>
      <c r="B6" s="23"/>
      <c r="C6" s="11"/>
      <c r="D6" s="11"/>
      <c r="E6" s="11"/>
      <c r="F6" s="23"/>
      <c r="G6" s="25" t="str">
        <f aca="false">IF(F6="","",IFERROR(INDEX(Listas!$N:$N,MATCH(F6,Listas!$M:$M,0)),""))</f>
        <v/>
      </c>
      <c r="H6" s="22"/>
      <c r="I6" s="11"/>
      <c r="J6" s="23"/>
      <c r="K6" s="24"/>
      <c r="L6" s="11"/>
    </row>
    <row r="7" customFormat="false" ht="15" hidden="false" customHeight="false" outlineLevel="0" collapsed="false">
      <c r="A7" s="24"/>
      <c r="B7" s="23"/>
      <c r="C7" s="11"/>
      <c r="D7" s="11"/>
      <c r="E7" s="11"/>
      <c r="F7" s="23"/>
      <c r="G7" s="25" t="str">
        <f aca="false">IF(F7="","",IFERROR(INDEX(Listas!$N:$N,MATCH(F7,Listas!$M:$M,0)),""))</f>
        <v/>
      </c>
      <c r="H7" s="22"/>
      <c r="I7" s="11"/>
      <c r="J7" s="23"/>
      <c r="K7" s="24"/>
      <c r="L7" s="11"/>
    </row>
    <row r="8" customFormat="false" ht="15" hidden="false" customHeight="false" outlineLevel="0" collapsed="false">
      <c r="A8" s="24"/>
      <c r="B8" s="23"/>
      <c r="C8" s="11"/>
      <c r="D8" s="11"/>
      <c r="E8" s="11"/>
      <c r="F8" s="23"/>
      <c r="G8" s="25" t="str">
        <f aca="false">IF(F8="","",IFERROR(INDEX(Listas!$N:$N,MATCH(F8,Listas!$M:$M,0)),""))</f>
        <v/>
      </c>
      <c r="H8" s="22"/>
      <c r="I8" s="11"/>
      <c r="J8" s="23"/>
      <c r="K8" s="24"/>
      <c r="L8" s="11"/>
    </row>
    <row r="9" customFormat="false" ht="15" hidden="false" customHeight="false" outlineLevel="0" collapsed="false">
      <c r="A9" s="24"/>
      <c r="B9" s="23"/>
      <c r="C9" s="11"/>
      <c r="D9" s="11"/>
      <c r="E9" s="11"/>
      <c r="F9" s="23"/>
      <c r="G9" s="25" t="str">
        <f aca="false">IF(F9="","",IFERROR(INDEX(Listas!$N:$N,MATCH(F9,Listas!$M:$M,0)),""))</f>
        <v/>
      </c>
      <c r="H9" s="22"/>
      <c r="I9" s="11"/>
      <c r="J9" s="23"/>
      <c r="K9" s="24"/>
      <c r="L9" s="11"/>
    </row>
    <row r="10" customFormat="false" ht="15" hidden="false" customHeight="false" outlineLevel="0" collapsed="false">
      <c r="A10" s="24"/>
      <c r="B10" s="23"/>
      <c r="C10" s="11"/>
      <c r="D10" s="11"/>
      <c r="E10" s="11"/>
      <c r="F10" s="23"/>
      <c r="G10" s="25" t="str">
        <f aca="false">IF(F10="","",IFERROR(INDEX(Listas!$N:$N,MATCH(F10,Listas!$M:$M,0)),""))</f>
        <v/>
      </c>
      <c r="H10" s="22"/>
      <c r="I10" s="11"/>
      <c r="J10" s="23"/>
      <c r="K10" s="24"/>
      <c r="L10" s="11"/>
    </row>
    <row r="11" customFormat="false" ht="15" hidden="false" customHeight="false" outlineLevel="0" collapsed="false">
      <c r="A11" s="24"/>
      <c r="B11" s="23"/>
      <c r="C11" s="11"/>
      <c r="D11" s="11"/>
      <c r="E11" s="11"/>
      <c r="F11" s="23"/>
      <c r="G11" s="25" t="str">
        <f aca="false">IF(F11="","",IFERROR(INDEX(Listas!$N:$N,MATCH(F11,Listas!$M:$M,0)),""))</f>
        <v/>
      </c>
      <c r="H11" s="22"/>
      <c r="I11" s="11"/>
      <c r="J11" s="23"/>
      <c r="K11" s="24"/>
      <c r="L11" s="11"/>
    </row>
    <row r="12" customFormat="false" ht="15" hidden="false" customHeight="false" outlineLevel="0" collapsed="false">
      <c r="A12" s="24"/>
      <c r="B12" s="23"/>
      <c r="C12" s="11"/>
      <c r="D12" s="11"/>
      <c r="E12" s="11"/>
      <c r="F12" s="23"/>
      <c r="G12" s="25" t="str">
        <f aca="false">IF(F12="","",IFERROR(INDEX(Listas!$N:$N,MATCH(F12,Listas!$M:$M,0)),""))</f>
        <v/>
      </c>
      <c r="H12" s="22"/>
      <c r="I12" s="11"/>
      <c r="J12" s="23"/>
      <c r="K12" s="24"/>
      <c r="L12" s="11"/>
    </row>
    <row r="13" customFormat="false" ht="15" hidden="false" customHeight="false" outlineLevel="0" collapsed="false">
      <c r="A13" s="24"/>
      <c r="B13" s="23"/>
      <c r="C13" s="11"/>
      <c r="D13" s="11"/>
      <c r="E13" s="11"/>
      <c r="F13" s="23"/>
      <c r="G13" s="25" t="str">
        <f aca="false">IF(F13="","",IFERROR(INDEX(Listas!$N:$N,MATCH(F13,Listas!$M:$M,0)),""))</f>
        <v/>
      </c>
      <c r="H13" s="22"/>
      <c r="I13" s="11"/>
      <c r="J13" s="23"/>
      <c r="K13" s="24"/>
      <c r="L13" s="11"/>
    </row>
    <row r="14" customFormat="false" ht="15" hidden="false" customHeight="false" outlineLevel="0" collapsed="false">
      <c r="A14" s="24"/>
      <c r="B14" s="23"/>
      <c r="C14" s="11"/>
      <c r="D14" s="11"/>
      <c r="E14" s="11"/>
      <c r="F14" s="23"/>
      <c r="G14" s="25" t="str">
        <f aca="false">IF(F14="","",IFERROR(INDEX(Listas!$N:$N,MATCH(F14,Listas!$M:$M,0)),""))</f>
        <v/>
      </c>
      <c r="H14" s="22"/>
      <c r="I14" s="11"/>
      <c r="J14" s="23"/>
      <c r="K14" s="24"/>
      <c r="L14" s="11"/>
    </row>
    <row r="15" customFormat="false" ht="15" hidden="false" customHeight="false" outlineLevel="0" collapsed="false">
      <c r="A15" s="24"/>
      <c r="B15" s="23"/>
      <c r="C15" s="11"/>
      <c r="D15" s="11"/>
      <c r="E15" s="11"/>
      <c r="F15" s="23"/>
      <c r="G15" s="25" t="str">
        <f aca="false">IF(F15="","",IFERROR(INDEX(Listas!$N:$N,MATCH(F15,Listas!$M:$M,0)),""))</f>
        <v/>
      </c>
      <c r="H15" s="22"/>
      <c r="I15" s="11"/>
      <c r="J15" s="23"/>
      <c r="K15" s="24"/>
      <c r="L15" s="11"/>
    </row>
    <row r="16" customFormat="false" ht="15" hidden="false" customHeight="false" outlineLevel="0" collapsed="false">
      <c r="A16" s="24"/>
      <c r="B16" s="23"/>
      <c r="C16" s="11"/>
      <c r="D16" s="11"/>
      <c r="E16" s="11"/>
      <c r="F16" s="23"/>
      <c r="G16" s="25" t="str">
        <f aca="false">IF(F16="","",IFERROR(INDEX(Listas!$N:$N,MATCH(F16,Listas!$M:$M,0)),""))</f>
        <v/>
      </c>
      <c r="H16" s="22"/>
      <c r="I16" s="11"/>
      <c r="J16" s="23"/>
      <c r="K16" s="24"/>
      <c r="L16" s="11"/>
    </row>
    <row r="17" customFormat="false" ht="15" hidden="false" customHeight="false" outlineLevel="0" collapsed="false">
      <c r="A17" s="24"/>
      <c r="B17" s="23"/>
      <c r="C17" s="11"/>
      <c r="D17" s="11"/>
      <c r="E17" s="11"/>
      <c r="F17" s="23"/>
      <c r="G17" s="25" t="str">
        <f aca="false">IF(F17="","",IFERROR(INDEX(Listas!$N:$N,MATCH(F17,Listas!$M:$M,0)),""))</f>
        <v/>
      </c>
      <c r="H17" s="22"/>
      <c r="I17" s="11"/>
      <c r="J17" s="23"/>
      <c r="K17" s="24"/>
      <c r="L17" s="11"/>
    </row>
    <row r="18" customFormat="false" ht="15" hidden="false" customHeight="false" outlineLevel="0" collapsed="false">
      <c r="A18" s="24"/>
      <c r="B18" s="23"/>
      <c r="C18" s="11"/>
      <c r="D18" s="11"/>
      <c r="E18" s="11"/>
      <c r="F18" s="23"/>
      <c r="G18" s="25" t="str">
        <f aca="false">IF(F18="","",IFERROR(INDEX(Listas!$N:$N,MATCH(F18,Listas!$M:$M,0)),""))</f>
        <v/>
      </c>
      <c r="H18" s="22"/>
      <c r="I18" s="11"/>
      <c r="J18" s="23"/>
      <c r="K18" s="24"/>
      <c r="L18" s="11"/>
    </row>
    <row r="19" customFormat="false" ht="15" hidden="false" customHeight="false" outlineLevel="0" collapsed="false">
      <c r="A19" s="24"/>
      <c r="B19" s="23"/>
      <c r="C19" s="11"/>
      <c r="D19" s="11"/>
      <c r="E19" s="11"/>
      <c r="F19" s="23"/>
      <c r="G19" s="25" t="str">
        <f aca="false">IF(F19="","",IFERROR(INDEX(Listas!$N:$N,MATCH(F19,Listas!$M:$M,0)),""))</f>
        <v/>
      </c>
      <c r="H19" s="22"/>
      <c r="I19" s="11"/>
      <c r="J19" s="23"/>
      <c r="K19" s="24"/>
      <c r="L19" s="11"/>
    </row>
    <row r="20" customFormat="false" ht="15" hidden="false" customHeight="false" outlineLevel="0" collapsed="false">
      <c r="A20" s="24"/>
      <c r="B20" s="23"/>
      <c r="C20" s="11"/>
      <c r="D20" s="11"/>
      <c r="E20" s="11"/>
      <c r="F20" s="23"/>
      <c r="G20" s="25" t="str">
        <f aca="false">IF(F20="","",IFERROR(INDEX(Listas!$N:$N,MATCH(F20,Listas!$M:$M,0)),""))</f>
        <v/>
      </c>
      <c r="H20" s="22"/>
      <c r="I20" s="11"/>
      <c r="J20" s="23"/>
      <c r="K20" s="24"/>
      <c r="L20" s="11"/>
    </row>
    <row r="21" customFormat="false" ht="15" hidden="false" customHeight="false" outlineLevel="0" collapsed="false">
      <c r="A21" s="24"/>
      <c r="B21" s="23"/>
      <c r="C21" s="11"/>
      <c r="D21" s="11"/>
      <c r="E21" s="11"/>
      <c r="F21" s="23"/>
      <c r="G21" s="25" t="str">
        <f aca="false">IF(F21="","",IFERROR(INDEX(Listas!$N:$N,MATCH(F21,Listas!$M:$M,0)),""))</f>
        <v/>
      </c>
      <c r="H21" s="22"/>
      <c r="I21" s="11"/>
      <c r="J21" s="23"/>
      <c r="K21" s="24"/>
      <c r="L21" s="11"/>
    </row>
    <row r="22" customFormat="false" ht="15" hidden="false" customHeight="false" outlineLevel="0" collapsed="false">
      <c r="A22" s="24"/>
      <c r="B22" s="23"/>
      <c r="C22" s="11"/>
      <c r="D22" s="11"/>
      <c r="E22" s="11"/>
      <c r="F22" s="23"/>
      <c r="G22" s="25" t="str">
        <f aca="false">IF(F22="","",IFERROR(INDEX(Listas!$N:$N,MATCH(F22,Listas!$M:$M,0)),""))</f>
        <v/>
      </c>
      <c r="H22" s="22"/>
      <c r="I22" s="11"/>
      <c r="J22" s="23"/>
      <c r="K22" s="24"/>
      <c r="L22" s="11"/>
    </row>
    <row r="23" customFormat="false" ht="15" hidden="false" customHeight="false" outlineLevel="0" collapsed="false">
      <c r="A23" s="24"/>
      <c r="B23" s="23"/>
      <c r="C23" s="11"/>
      <c r="D23" s="11"/>
      <c r="E23" s="11"/>
      <c r="F23" s="23"/>
      <c r="G23" s="25" t="str">
        <f aca="false">IF(F23="","",IFERROR(INDEX(Listas!$N:$N,MATCH(F23,Listas!$M:$M,0)),""))</f>
        <v/>
      </c>
      <c r="H23" s="22"/>
      <c r="I23" s="11"/>
      <c r="J23" s="23"/>
      <c r="K23" s="24"/>
      <c r="L23" s="11"/>
    </row>
    <row r="24" customFormat="false" ht="15" hidden="false" customHeight="false" outlineLevel="0" collapsed="false">
      <c r="A24" s="24"/>
      <c r="B24" s="23"/>
      <c r="C24" s="11"/>
      <c r="D24" s="11"/>
      <c r="E24" s="11"/>
      <c r="F24" s="23"/>
      <c r="G24" s="25" t="str">
        <f aca="false">IF(F24="","",IFERROR(INDEX(Listas!$N:$N,MATCH(F24,Listas!$M:$M,0)),""))</f>
        <v/>
      </c>
      <c r="H24" s="22"/>
      <c r="I24" s="11"/>
      <c r="J24" s="23"/>
      <c r="K24" s="24"/>
      <c r="L24" s="11"/>
    </row>
    <row r="25" customFormat="false" ht="15" hidden="false" customHeight="false" outlineLevel="0" collapsed="false">
      <c r="A25" s="24"/>
      <c r="B25" s="23"/>
      <c r="C25" s="11"/>
      <c r="D25" s="11"/>
      <c r="E25" s="11"/>
      <c r="F25" s="23"/>
      <c r="G25" s="25" t="str">
        <f aca="false">IF(F25="","",IFERROR(INDEX(Listas!$N:$N,MATCH(F25,Listas!$M:$M,0)),""))</f>
        <v/>
      </c>
      <c r="H25" s="22"/>
      <c r="I25" s="11"/>
      <c r="J25" s="23"/>
      <c r="K25" s="24"/>
      <c r="L25" s="11"/>
    </row>
    <row r="26" customFormat="false" ht="15" hidden="false" customHeight="false" outlineLevel="0" collapsed="false">
      <c r="A26" s="24"/>
      <c r="B26" s="23"/>
      <c r="C26" s="11"/>
      <c r="D26" s="11"/>
      <c r="E26" s="11"/>
      <c r="F26" s="23"/>
      <c r="G26" s="25" t="str">
        <f aca="false">IF(F26="","",IFERROR(INDEX(Listas!$N:$N,MATCH(F26,Listas!$M:$M,0)),""))</f>
        <v/>
      </c>
      <c r="H26" s="22"/>
      <c r="I26" s="11"/>
      <c r="J26" s="23"/>
      <c r="K26" s="24"/>
      <c r="L26" s="11"/>
    </row>
    <row r="27" customFormat="false" ht="15" hidden="false" customHeight="false" outlineLevel="0" collapsed="false">
      <c r="A27" s="24"/>
      <c r="B27" s="23"/>
      <c r="C27" s="11"/>
      <c r="D27" s="11"/>
      <c r="E27" s="11"/>
      <c r="F27" s="23"/>
      <c r="G27" s="25" t="str">
        <f aca="false">IF(F27="","",IFERROR(INDEX(Listas!$N:$N,MATCH(F27,Listas!$M:$M,0)),""))</f>
        <v/>
      </c>
      <c r="H27" s="22"/>
      <c r="I27" s="11"/>
      <c r="J27" s="23"/>
      <c r="K27" s="24"/>
      <c r="L27" s="11"/>
    </row>
    <row r="28" customFormat="false" ht="15" hidden="false" customHeight="false" outlineLevel="0" collapsed="false">
      <c r="A28" s="24"/>
      <c r="B28" s="23"/>
      <c r="C28" s="11"/>
      <c r="D28" s="11"/>
      <c r="E28" s="11"/>
      <c r="F28" s="23"/>
      <c r="G28" s="25" t="str">
        <f aca="false">IF(F28="","",IFERROR(INDEX(Listas!$N:$N,MATCH(F28,Listas!$M:$M,0)),""))</f>
        <v/>
      </c>
      <c r="H28" s="22"/>
      <c r="I28" s="11"/>
      <c r="J28" s="23"/>
      <c r="K28" s="24"/>
      <c r="L28" s="11"/>
    </row>
    <row r="29" customFormat="false" ht="15" hidden="false" customHeight="false" outlineLevel="0" collapsed="false">
      <c r="A29" s="24"/>
      <c r="B29" s="23"/>
      <c r="C29" s="11"/>
      <c r="D29" s="11"/>
      <c r="E29" s="11"/>
      <c r="F29" s="23"/>
      <c r="G29" s="25" t="str">
        <f aca="false">IF(F29="","",IFERROR(INDEX(Listas!$N:$N,MATCH(F29,Listas!$M:$M,0)),""))</f>
        <v/>
      </c>
      <c r="H29" s="22"/>
      <c r="I29" s="11"/>
      <c r="J29" s="23"/>
      <c r="K29" s="24"/>
      <c r="L29" s="11"/>
    </row>
    <row r="30" customFormat="false" ht="15" hidden="false" customHeight="false" outlineLevel="0" collapsed="false">
      <c r="A30" s="24"/>
      <c r="B30" s="23"/>
      <c r="C30" s="11"/>
      <c r="D30" s="11"/>
      <c r="E30" s="11"/>
      <c r="F30" s="23"/>
      <c r="G30" s="25" t="str">
        <f aca="false">IF(F30="","",IFERROR(INDEX(Listas!$N:$N,MATCH(F30,Listas!$M:$M,0)),""))</f>
        <v/>
      </c>
      <c r="H30" s="22"/>
      <c r="I30" s="11"/>
      <c r="J30" s="23"/>
      <c r="K30" s="24"/>
      <c r="L30" s="11"/>
    </row>
    <row r="31" customFormat="false" ht="15" hidden="false" customHeight="false" outlineLevel="0" collapsed="false">
      <c r="A31" s="24"/>
      <c r="B31" s="23"/>
      <c r="C31" s="11"/>
      <c r="D31" s="11"/>
      <c r="E31" s="11"/>
      <c r="F31" s="23"/>
      <c r="G31" s="25" t="str">
        <f aca="false">IF(F31="","",IFERROR(INDEX(Listas!$N:$N,MATCH(F31,Listas!$M:$M,0)),""))</f>
        <v/>
      </c>
      <c r="H31" s="22"/>
      <c r="I31" s="11"/>
      <c r="J31" s="23"/>
      <c r="K31" s="24"/>
      <c r="L31" s="11"/>
    </row>
    <row r="32" customFormat="false" ht="15" hidden="false" customHeight="false" outlineLevel="0" collapsed="false">
      <c r="A32" s="24"/>
      <c r="B32" s="23"/>
      <c r="C32" s="11"/>
      <c r="D32" s="11"/>
      <c r="E32" s="11"/>
      <c r="F32" s="23"/>
      <c r="G32" s="25" t="str">
        <f aca="false">IF(F32="","",IFERROR(INDEX(Listas!$N:$N,MATCH(F32,Listas!$M:$M,0)),""))</f>
        <v/>
      </c>
      <c r="H32" s="22"/>
      <c r="I32" s="11"/>
      <c r="J32" s="23"/>
      <c r="K32" s="24"/>
      <c r="L32" s="11"/>
    </row>
    <row r="33" customFormat="false" ht="15" hidden="false" customHeight="false" outlineLevel="0" collapsed="false">
      <c r="A33" s="24"/>
      <c r="B33" s="23"/>
      <c r="C33" s="11"/>
      <c r="D33" s="11"/>
      <c r="E33" s="11"/>
      <c r="F33" s="23"/>
      <c r="G33" s="25" t="str">
        <f aca="false">IF(F33="","",IFERROR(INDEX(Listas!$N:$N,MATCH(F33,Listas!$M:$M,0)),""))</f>
        <v/>
      </c>
      <c r="H33" s="22"/>
      <c r="I33" s="11"/>
      <c r="J33" s="23"/>
      <c r="K33" s="24"/>
      <c r="L33" s="11"/>
    </row>
    <row r="34" customFormat="false" ht="15" hidden="false" customHeight="false" outlineLevel="0" collapsed="false">
      <c r="A34" s="24"/>
      <c r="B34" s="23"/>
      <c r="C34" s="11"/>
      <c r="D34" s="11"/>
      <c r="E34" s="11"/>
      <c r="F34" s="23"/>
      <c r="G34" s="25" t="str">
        <f aca="false">IF(F34="","",IFERROR(INDEX(Listas!$N:$N,MATCH(F34,Listas!$M:$M,0)),""))</f>
        <v/>
      </c>
      <c r="H34" s="22"/>
      <c r="I34" s="11"/>
      <c r="J34" s="23"/>
      <c r="K34" s="24"/>
      <c r="L34" s="11"/>
    </row>
    <row r="35" customFormat="false" ht="15" hidden="false" customHeight="false" outlineLevel="0" collapsed="false">
      <c r="A35" s="24"/>
      <c r="B35" s="23"/>
      <c r="C35" s="11"/>
      <c r="D35" s="11"/>
      <c r="E35" s="11"/>
      <c r="F35" s="23"/>
      <c r="G35" s="25" t="str">
        <f aca="false">IF(F35="","",IFERROR(INDEX(Listas!$N:$N,MATCH(F35,Listas!$M:$M,0)),""))</f>
        <v/>
      </c>
      <c r="H35" s="22"/>
      <c r="I35" s="11"/>
      <c r="J35" s="23"/>
      <c r="K35" s="24"/>
      <c r="L35" s="11"/>
    </row>
    <row r="36" customFormat="false" ht="15" hidden="false" customHeight="false" outlineLevel="0" collapsed="false">
      <c r="A36" s="24"/>
      <c r="B36" s="23"/>
      <c r="C36" s="11"/>
      <c r="D36" s="11"/>
      <c r="E36" s="11"/>
      <c r="F36" s="23"/>
      <c r="G36" s="25" t="str">
        <f aca="false">IF(F36="","",IFERROR(INDEX(Listas!$N:$N,MATCH(F36,Listas!$M:$M,0)),""))</f>
        <v/>
      </c>
      <c r="H36" s="22"/>
      <c r="I36" s="11"/>
      <c r="J36" s="23"/>
      <c r="K36" s="24"/>
      <c r="L36" s="11"/>
    </row>
    <row r="37" customFormat="false" ht="15" hidden="false" customHeight="false" outlineLevel="0" collapsed="false">
      <c r="A37" s="24"/>
      <c r="B37" s="23"/>
      <c r="C37" s="11"/>
      <c r="D37" s="11"/>
      <c r="E37" s="11"/>
      <c r="F37" s="23"/>
      <c r="G37" s="25" t="str">
        <f aca="false">IF(F37="","",IFERROR(INDEX(Listas!$N:$N,MATCH(F37,Listas!$M:$M,0)),""))</f>
        <v/>
      </c>
      <c r="H37" s="22"/>
      <c r="I37" s="11"/>
      <c r="J37" s="23"/>
      <c r="K37" s="24"/>
      <c r="L37" s="11"/>
    </row>
    <row r="38" customFormat="false" ht="15" hidden="false" customHeight="false" outlineLevel="0" collapsed="false">
      <c r="A38" s="24"/>
      <c r="B38" s="23"/>
      <c r="C38" s="11"/>
      <c r="D38" s="11"/>
      <c r="E38" s="11"/>
      <c r="F38" s="23"/>
      <c r="G38" s="25" t="str">
        <f aca="false">IF(F38="","",IFERROR(INDEX(Listas!$N:$N,MATCH(F38,Listas!$M:$M,0)),""))</f>
        <v/>
      </c>
      <c r="H38" s="22"/>
      <c r="I38" s="11"/>
      <c r="J38" s="23"/>
      <c r="K38" s="24"/>
      <c r="L38" s="11"/>
    </row>
    <row r="39" customFormat="false" ht="15" hidden="false" customHeight="false" outlineLevel="0" collapsed="false">
      <c r="A39" s="24"/>
      <c r="B39" s="23"/>
      <c r="C39" s="11"/>
      <c r="D39" s="11"/>
      <c r="E39" s="11"/>
      <c r="F39" s="23"/>
      <c r="G39" s="25" t="str">
        <f aca="false">IF(F39="","",IFERROR(INDEX(Listas!$N:$N,MATCH(F39,Listas!$M:$M,0)),""))</f>
        <v/>
      </c>
      <c r="H39" s="22"/>
      <c r="I39" s="11"/>
      <c r="J39" s="23"/>
      <c r="K39" s="24"/>
      <c r="L39" s="11"/>
    </row>
    <row r="40" customFormat="false" ht="15" hidden="false" customHeight="false" outlineLevel="0" collapsed="false">
      <c r="A40" s="24"/>
      <c r="B40" s="23"/>
      <c r="C40" s="11"/>
      <c r="D40" s="11"/>
      <c r="E40" s="11"/>
      <c r="F40" s="23"/>
      <c r="G40" s="25" t="str">
        <f aca="false">IF(F40="","",IFERROR(INDEX(Listas!$N:$N,MATCH(F40,Listas!$M:$M,0)),""))</f>
        <v/>
      </c>
      <c r="H40" s="22"/>
      <c r="I40" s="11"/>
      <c r="J40" s="23"/>
      <c r="K40" s="24"/>
      <c r="L40" s="11"/>
    </row>
    <row r="41" customFormat="false" ht="15" hidden="false" customHeight="false" outlineLevel="0" collapsed="false">
      <c r="A41" s="24"/>
      <c r="B41" s="23"/>
      <c r="C41" s="11"/>
      <c r="D41" s="11"/>
      <c r="E41" s="11"/>
      <c r="F41" s="23"/>
      <c r="G41" s="25" t="str">
        <f aca="false">IF(F41="","",IFERROR(INDEX(Listas!$N:$N,MATCH(F41,Listas!$M:$M,0)),""))</f>
        <v/>
      </c>
      <c r="H41" s="22"/>
      <c r="I41" s="11"/>
      <c r="J41" s="23"/>
      <c r="K41" s="24"/>
      <c r="L41" s="11"/>
    </row>
    <row r="42" customFormat="false" ht="15" hidden="false" customHeight="false" outlineLevel="0" collapsed="false">
      <c r="A42" s="24"/>
      <c r="B42" s="23"/>
      <c r="C42" s="11"/>
      <c r="D42" s="11"/>
      <c r="E42" s="11"/>
      <c r="F42" s="23"/>
      <c r="G42" s="25" t="str">
        <f aca="false">IF(F42="","",IFERROR(INDEX(Listas!$N:$N,MATCH(F42,Listas!$M:$M,0)),""))</f>
        <v/>
      </c>
      <c r="H42" s="22"/>
      <c r="I42" s="11"/>
      <c r="J42" s="23"/>
      <c r="K42" s="24"/>
      <c r="L42" s="11"/>
    </row>
    <row r="43" customFormat="false" ht="15" hidden="false" customHeight="false" outlineLevel="0" collapsed="false">
      <c r="A43" s="24"/>
      <c r="B43" s="23"/>
      <c r="C43" s="11"/>
      <c r="D43" s="11"/>
      <c r="E43" s="11"/>
      <c r="F43" s="23"/>
      <c r="G43" s="25" t="str">
        <f aca="false">IF(F43="","",IFERROR(INDEX(Listas!$N:$N,MATCH(F43,Listas!$M:$M,0)),""))</f>
        <v/>
      </c>
      <c r="H43" s="22"/>
      <c r="I43" s="11"/>
      <c r="J43" s="23"/>
      <c r="K43" s="24"/>
      <c r="L43" s="11"/>
    </row>
    <row r="44" customFormat="false" ht="15" hidden="false" customHeight="false" outlineLevel="0" collapsed="false">
      <c r="A44" s="24"/>
      <c r="B44" s="23"/>
      <c r="C44" s="11"/>
      <c r="D44" s="11"/>
      <c r="E44" s="11"/>
      <c r="F44" s="23"/>
      <c r="G44" s="25" t="str">
        <f aca="false">IF(F44="","",IFERROR(INDEX(Listas!$N:$N,MATCH(F44,Listas!$M:$M,0)),""))</f>
        <v/>
      </c>
      <c r="H44" s="22"/>
      <c r="I44" s="11"/>
      <c r="J44" s="23"/>
      <c r="K44" s="24"/>
      <c r="L44" s="11"/>
    </row>
    <row r="45" customFormat="false" ht="15" hidden="false" customHeight="false" outlineLevel="0" collapsed="false">
      <c r="A45" s="24"/>
      <c r="B45" s="23"/>
      <c r="C45" s="11"/>
      <c r="D45" s="11"/>
      <c r="E45" s="11"/>
      <c r="F45" s="23"/>
      <c r="G45" s="25" t="str">
        <f aca="false">IF(F45="","",IFERROR(INDEX(Listas!$N:$N,MATCH(F45,Listas!$M:$M,0)),""))</f>
        <v/>
      </c>
      <c r="H45" s="22"/>
      <c r="I45" s="11"/>
      <c r="J45" s="23"/>
      <c r="K45" s="24"/>
      <c r="L45" s="11"/>
    </row>
    <row r="46" customFormat="false" ht="15" hidden="false" customHeight="false" outlineLevel="0" collapsed="false">
      <c r="A46" s="24"/>
      <c r="B46" s="23"/>
      <c r="C46" s="11"/>
      <c r="D46" s="11"/>
      <c r="E46" s="11"/>
      <c r="F46" s="23"/>
      <c r="G46" s="25" t="str">
        <f aca="false">IF(F46="","",IFERROR(INDEX(Listas!$N:$N,MATCH(F46,Listas!$M:$M,0)),""))</f>
        <v/>
      </c>
      <c r="H46" s="22"/>
      <c r="I46" s="11"/>
      <c r="J46" s="23"/>
      <c r="K46" s="24"/>
      <c r="L46" s="11"/>
    </row>
    <row r="47" customFormat="false" ht="15" hidden="false" customHeight="false" outlineLevel="0" collapsed="false">
      <c r="A47" s="24"/>
      <c r="B47" s="23"/>
      <c r="C47" s="11"/>
      <c r="D47" s="11"/>
      <c r="E47" s="11"/>
      <c r="F47" s="23"/>
      <c r="G47" s="25" t="str">
        <f aca="false">IF(F47="","",IFERROR(INDEX(Listas!$N:$N,MATCH(F47,Listas!$M:$M,0)),""))</f>
        <v/>
      </c>
      <c r="H47" s="22"/>
      <c r="I47" s="11"/>
      <c r="J47" s="23"/>
      <c r="K47" s="24"/>
      <c r="L47" s="11"/>
    </row>
    <row r="48" customFormat="false" ht="15" hidden="false" customHeight="false" outlineLevel="0" collapsed="false">
      <c r="A48" s="24"/>
      <c r="B48" s="23"/>
      <c r="C48" s="11"/>
      <c r="D48" s="11"/>
      <c r="E48" s="11"/>
      <c r="F48" s="23"/>
      <c r="G48" s="25" t="str">
        <f aca="false">IF(F48="","",IFERROR(INDEX(Listas!$N:$N,MATCH(F48,Listas!$M:$M,0)),""))</f>
        <v/>
      </c>
      <c r="H48" s="22"/>
      <c r="I48" s="11"/>
      <c r="J48" s="23"/>
      <c r="K48" s="24"/>
      <c r="L48" s="11"/>
    </row>
    <row r="49" customFormat="false" ht="15" hidden="false" customHeight="false" outlineLevel="0" collapsed="false">
      <c r="A49" s="24"/>
      <c r="B49" s="23"/>
      <c r="C49" s="11"/>
      <c r="D49" s="11"/>
      <c r="E49" s="11"/>
      <c r="F49" s="23"/>
      <c r="G49" s="25" t="str">
        <f aca="false">IF(F49="","",IFERROR(INDEX(Listas!$N:$N,MATCH(F49,Listas!$M:$M,0)),""))</f>
        <v/>
      </c>
      <c r="H49" s="22"/>
      <c r="I49" s="11"/>
      <c r="J49" s="23"/>
      <c r="K49" s="24"/>
      <c r="L49" s="11"/>
    </row>
    <row r="50" customFormat="false" ht="15" hidden="false" customHeight="false" outlineLevel="0" collapsed="false">
      <c r="A50" s="24"/>
      <c r="B50" s="23"/>
      <c r="C50" s="11"/>
      <c r="D50" s="11"/>
      <c r="E50" s="11"/>
      <c r="F50" s="23"/>
      <c r="G50" s="25" t="str">
        <f aca="false">IF(F50="","",IFERROR(INDEX(Listas!$N:$N,MATCH(F50,Listas!$M:$M,0)),""))</f>
        <v/>
      </c>
      <c r="H50" s="22"/>
      <c r="I50" s="11"/>
      <c r="J50" s="23"/>
      <c r="K50" s="24"/>
      <c r="L50" s="11"/>
    </row>
    <row r="51" customFormat="false" ht="15" hidden="false" customHeight="false" outlineLevel="0" collapsed="false">
      <c r="A51" s="24"/>
      <c r="B51" s="23"/>
      <c r="C51" s="11"/>
      <c r="D51" s="11"/>
      <c r="E51" s="11"/>
      <c r="F51" s="23"/>
      <c r="G51" s="25" t="str">
        <f aca="false">IF(F51="","",IFERROR(INDEX(Listas!$N:$N,MATCH(F51,Listas!$M:$M,0)),""))</f>
        <v/>
      </c>
      <c r="H51" s="22"/>
      <c r="I51" s="11"/>
      <c r="J51" s="23"/>
      <c r="K51" s="24"/>
      <c r="L51" s="11"/>
    </row>
    <row r="52" customFormat="false" ht="15" hidden="false" customHeight="false" outlineLevel="0" collapsed="false">
      <c r="A52" s="24"/>
      <c r="B52" s="23"/>
      <c r="C52" s="11"/>
      <c r="D52" s="11"/>
      <c r="E52" s="11"/>
      <c r="F52" s="23"/>
      <c r="G52" s="25" t="str">
        <f aca="false">IF(F52="","",IFERROR(INDEX(Listas!$N:$N,MATCH(F52,Listas!$M:$M,0)),""))</f>
        <v/>
      </c>
      <c r="H52" s="22"/>
      <c r="I52" s="11"/>
      <c r="J52" s="23"/>
      <c r="K52" s="24"/>
      <c r="L52" s="11"/>
    </row>
    <row r="53" customFormat="false" ht="15" hidden="false" customHeight="false" outlineLevel="0" collapsed="false">
      <c r="A53" s="24"/>
      <c r="B53" s="23"/>
      <c r="C53" s="11"/>
      <c r="D53" s="11"/>
      <c r="E53" s="11"/>
      <c r="F53" s="23"/>
      <c r="G53" s="25" t="str">
        <f aca="false">IF(F53="","",IFERROR(INDEX(Listas!$N:$N,MATCH(F53,Listas!$M:$M,0)),""))</f>
        <v/>
      </c>
      <c r="H53" s="22"/>
      <c r="I53" s="11"/>
      <c r="J53" s="23"/>
      <c r="K53" s="24"/>
      <c r="L53" s="11"/>
    </row>
    <row r="54" customFormat="false" ht="15" hidden="false" customHeight="false" outlineLevel="0" collapsed="false">
      <c r="A54" s="24"/>
      <c r="B54" s="23"/>
      <c r="C54" s="11"/>
      <c r="D54" s="11"/>
      <c r="E54" s="11"/>
      <c r="F54" s="23"/>
      <c r="G54" s="25" t="str">
        <f aca="false">IF(F54="","",IFERROR(INDEX(Listas!$N:$N,MATCH(F54,Listas!$M:$M,0)),""))</f>
        <v/>
      </c>
      <c r="H54" s="22"/>
      <c r="I54" s="11"/>
      <c r="J54" s="23"/>
      <c r="K54" s="24"/>
      <c r="L54" s="11"/>
    </row>
    <row r="55" customFormat="false" ht="15" hidden="false" customHeight="false" outlineLevel="0" collapsed="false">
      <c r="A55" s="24"/>
      <c r="B55" s="23"/>
      <c r="C55" s="11"/>
      <c r="D55" s="11"/>
      <c r="E55" s="11"/>
      <c r="F55" s="23"/>
      <c r="G55" s="25" t="str">
        <f aca="false">IF(F55="","",IFERROR(INDEX(Listas!$N:$N,MATCH(F55,Listas!$M:$M,0)),""))</f>
        <v/>
      </c>
      <c r="H55" s="22"/>
      <c r="I55" s="11"/>
      <c r="J55" s="23"/>
      <c r="K55" s="24"/>
      <c r="L55" s="11"/>
    </row>
    <row r="56" customFormat="false" ht="15" hidden="false" customHeight="false" outlineLevel="0" collapsed="false">
      <c r="A56" s="24"/>
      <c r="B56" s="23"/>
      <c r="C56" s="11"/>
      <c r="D56" s="11"/>
      <c r="E56" s="11"/>
      <c r="F56" s="23"/>
      <c r="G56" s="25" t="str">
        <f aca="false">IF(F56="","",IFERROR(INDEX(Listas!$N:$N,MATCH(F56,Listas!$M:$M,0)),""))</f>
        <v/>
      </c>
      <c r="H56" s="22"/>
      <c r="I56" s="11"/>
      <c r="J56" s="23"/>
      <c r="K56" s="24"/>
      <c r="L56" s="11"/>
    </row>
    <row r="57" customFormat="false" ht="15" hidden="false" customHeight="false" outlineLevel="0" collapsed="false">
      <c r="A57" s="24"/>
      <c r="B57" s="23"/>
      <c r="C57" s="11"/>
      <c r="D57" s="11"/>
      <c r="E57" s="11"/>
      <c r="F57" s="23"/>
      <c r="G57" s="25" t="str">
        <f aca="false">IF(F57="","",IFERROR(INDEX(Listas!$N:$N,MATCH(F57,Listas!$M:$M,0)),""))</f>
        <v/>
      </c>
      <c r="H57" s="22"/>
      <c r="I57" s="11"/>
      <c r="J57" s="23"/>
      <c r="K57" s="24"/>
      <c r="L57" s="11"/>
    </row>
    <row r="58" customFormat="false" ht="15" hidden="false" customHeight="false" outlineLevel="0" collapsed="false">
      <c r="A58" s="24"/>
      <c r="B58" s="23"/>
      <c r="C58" s="11"/>
      <c r="D58" s="11"/>
      <c r="E58" s="11"/>
      <c r="F58" s="23"/>
      <c r="G58" s="25" t="str">
        <f aca="false">IF(F58="","",IFERROR(INDEX(Listas!$N:$N,MATCH(F58,Listas!$M:$M,0)),""))</f>
        <v/>
      </c>
      <c r="H58" s="22"/>
      <c r="I58" s="11"/>
      <c r="J58" s="23"/>
      <c r="K58" s="24"/>
      <c r="L58" s="11"/>
    </row>
    <row r="59" customFormat="false" ht="15" hidden="false" customHeight="false" outlineLevel="0" collapsed="false">
      <c r="A59" s="24"/>
      <c r="B59" s="23"/>
      <c r="C59" s="11"/>
      <c r="D59" s="11"/>
      <c r="E59" s="11"/>
      <c r="F59" s="23"/>
      <c r="G59" s="25" t="str">
        <f aca="false">IF(F59="","",IFERROR(INDEX(Listas!$N:$N,MATCH(F59,Listas!$M:$M,0)),""))</f>
        <v/>
      </c>
      <c r="H59" s="22"/>
      <c r="I59" s="11"/>
      <c r="J59" s="23"/>
      <c r="K59" s="24"/>
      <c r="L59" s="11"/>
    </row>
    <row r="60" customFormat="false" ht="15" hidden="false" customHeight="false" outlineLevel="0" collapsed="false">
      <c r="A60" s="24"/>
      <c r="B60" s="23"/>
      <c r="C60" s="11"/>
      <c r="D60" s="11"/>
      <c r="E60" s="11"/>
      <c r="F60" s="23"/>
      <c r="G60" s="25" t="str">
        <f aca="false">IF(F60="","",IFERROR(INDEX(Listas!$N:$N,MATCH(F60,Listas!$M:$M,0)),""))</f>
        <v/>
      </c>
      <c r="H60" s="22"/>
      <c r="I60" s="11"/>
      <c r="J60" s="23"/>
      <c r="K60" s="24"/>
      <c r="L60" s="11"/>
    </row>
    <row r="61" customFormat="false" ht="15" hidden="false" customHeight="false" outlineLevel="0" collapsed="false">
      <c r="A61" s="24"/>
      <c r="B61" s="23"/>
      <c r="C61" s="11"/>
      <c r="D61" s="11"/>
      <c r="E61" s="11"/>
      <c r="F61" s="23"/>
      <c r="G61" s="25" t="str">
        <f aca="false">IF(F61="","",IFERROR(INDEX(Listas!$N:$N,MATCH(F61,Listas!$M:$M,0)),""))</f>
        <v/>
      </c>
      <c r="H61" s="22"/>
      <c r="I61" s="11"/>
      <c r="J61" s="23"/>
      <c r="K61" s="24"/>
      <c r="L61" s="11"/>
    </row>
    <row r="62" customFormat="false" ht="15" hidden="false" customHeight="false" outlineLevel="0" collapsed="false">
      <c r="A62" s="24"/>
      <c r="B62" s="23"/>
      <c r="C62" s="11"/>
      <c r="D62" s="11"/>
      <c r="E62" s="11"/>
      <c r="F62" s="23"/>
      <c r="G62" s="25" t="str">
        <f aca="false">IF(F62="","",IFERROR(INDEX(Listas!$N:$N,MATCH(F62,Listas!$M:$M,0)),""))</f>
        <v/>
      </c>
      <c r="H62" s="22"/>
      <c r="I62" s="11"/>
      <c r="J62" s="23"/>
      <c r="K62" s="24"/>
      <c r="L62" s="11"/>
    </row>
    <row r="63" customFormat="false" ht="15" hidden="false" customHeight="false" outlineLevel="0" collapsed="false">
      <c r="A63" s="24"/>
      <c r="B63" s="23"/>
      <c r="C63" s="11"/>
      <c r="D63" s="11"/>
      <c r="E63" s="11"/>
      <c r="F63" s="23"/>
      <c r="G63" s="25" t="str">
        <f aca="false">IF(F63="","",IFERROR(INDEX(Listas!$N:$N,MATCH(F63,Listas!$M:$M,0)),""))</f>
        <v/>
      </c>
      <c r="H63" s="22"/>
      <c r="I63" s="11"/>
      <c r="J63" s="23"/>
      <c r="K63" s="24"/>
      <c r="L63" s="11"/>
    </row>
    <row r="64" customFormat="false" ht="15" hidden="false" customHeight="false" outlineLevel="0" collapsed="false">
      <c r="A64" s="24"/>
      <c r="B64" s="23"/>
      <c r="C64" s="11"/>
      <c r="D64" s="11"/>
      <c r="E64" s="11"/>
      <c r="F64" s="23"/>
      <c r="G64" s="25" t="str">
        <f aca="false">IF(F64="","",IFERROR(INDEX(Listas!$N:$N,MATCH(F64,Listas!$M:$M,0)),""))</f>
        <v/>
      </c>
      <c r="H64" s="22"/>
      <c r="I64" s="11"/>
      <c r="J64" s="23"/>
      <c r="K64" s="24"/>
      <c r="L64" s="11"/>
    </row>
    <row r="65" customFormat="false" ht="15" hidden="false" customHeight="false" outlineLevel="0" collapsed="false">
      <c r="A65" s="24"/>
      <c r="B65" s="23"/>
      <c r="C65" s="11"/>
      <c r="D65" s="11"/>
      <c r="E65" s="11"/>
      <c r="F65" s="23"/>
      <c r="G65" s="25" t="str">
        <f aca="false">IF(F65="","",IFERROR(INDEX(Listas!$N:$N,MATCH(F65,Listas!$M:$M,0)),""))</f>
        <v/>
      </c>
      <c r="H65" s="22"/>
      <c r="I65" s="11"/>
      <c r="J65" s="23"/>
      <c r="K65" s="24"/>
      <c r="L65" s="11"/>
    </row>
    <row r="66" customFormat="false" ht="15" hidden="false" customHeight="false" outlineLevel="0" collapsed="false">
      <c r="A66" s="24"/>
      <c r="B66" s="23"/>
      <c r="C66" s="11"/>
      <c r="D66" s="11"/>
      <c r="E66" s="11"/>
      <c r="F66" s="23"/>
      <c r="G66" s="25" t="str">
        <f aca="false">IF(F66="","",IFERROR(INDEX(Listas!$N:$N,MATCH(F66,Listas!$M:$M,0)),""))</f>
        <v/>
      </c>
      <c r="H66" s="22"/>
      <c r="I66" s="11"/>
      <c r="J66" s="23"/>
      <c r="K66" s="24"/>
      <c r="L66" s="11"/>
    </row>
    <row r="67" customFormat="false" ht="15" hidden="false" customHeight="false" outlineLevel="0" collapsed="false">
      <c r="A67" s="24"/>
      <c r="B67" s="23"/>
      <c r="C67" s="11"/>
      <c r="D67" s="11"/>
      <c r="E67" s="11"/>
      <c r="F67" s="23"/>
      <c r="G67" s="25" t="str">
        <f aca="false">IF(F67="","",IFERROR(INDEX(Listas!$N:$N,MATCH(F67,Listas!$M:$M,0)),""))</f>
        <v/>
      </c>
      <c r="H67" s="22"/>
      <c r="I67" s="11"/>
      <c r="J67" s="23"/>
      <c r="K67" s="24"/>
      <c r="L67" s="11"/>
    </row>
    <row r="68" customFormat="false" ht="15" hidden="false" customHeight="false" outlineLevel="0" collapsed="false">
      <c r="A68" s="24"/>
      <c r="B68" s="23"/>
      <c r="C68" s="11"/>
      <c r="D68" s="11"/>
      <c r="E68" s="11"/>
      <c r="F68" s="23"/>
      <c r="G68" s="25" t="str">
        <f aca="false">IF(F68="","",IFERROR(INDEX(Listas!$N:$N,MATCH(F68,Listas!$M:$M,0)),""))</f>
        <v/>
      </c>
      <c r="H68" s="22"/>
      <c r="I68" s="11"/>
      <c r="J68" s="23"/>
      <c r="K68" s="24"/>
      <c r="L68" s="11"/>
    </row>
    <row r="69" customFormat="false" ht="15" hidden="false" customHeight="false" outlineLevel="0" collapsed="false">
      <c r="A69" s="24"/>
      <c r="B69" s="23"/>
      <c r="C69" s="11"/>
      <c r="D69" s="11"/>
      <c r="E69" s="11"/>
      <c r="F69" s="23"/>
      <c r="G69" s="25" t="str">
        <f aca="false">IF(F69="","",IFERROR(INDEX(Listas!$N:$N,MATCH(F69,Listas!$M:$M,0)),""))</f>
        <v/>
      </c>
      <c r="H69" s="22"/>
      <c r="I69" s="11"/>
      <c r="J69" s="23"/>
      <c r="K69" s="24"/>
      <c r="L69" s="11"/>
    </row>
    <row r="70" customFormat="false" ht="15" hidden="false" customHeight="false" outlineLevel="0" collapsed="false">
      <c r="A70" s="24"/>
      <c r="B70" s="23"/>
      <c r="C70" s="11"/>
      <c r="D70" s="11"/>
      <c r="E70" s="11"/>
      <c r="F70" s="23"/>
      <c r="G70" s="25" t="str">
        <f aca="false">IF(F70="","",IFERROR(INDEX(Listas!$N:$N,MATCH(F70,Listas!$M:$M,0)),""))</f>
        <v/>
      </c>
      <c r="H70" s="22"/>
      <c r="I70" s="11"/>
      <c r="J70" s="23"/>
      <c r="K70" s="24"/>
      <c r="L70" s="11"/>
    </row>
    <row r="71" customFormat="false" ht="15" hidden="false" customHeight="false" outlineLevel="0" collapsed="false">
      <c r="A71" s="24"/>
      <c r="B71" s="23"/>
      <c r="C71" s="11"/>
      <c r="D71" s="11"/>
      <c r="E71" s="11"/>
      <c r="F71" s="23"/>
      <c r="G71" s="25" t="str">
        <f aca="false">IF(F71="","",IFERROR(INDEX(Listas!$N:$N,MATCH(F71,Listas!$M:$M,0)),""))</f>
        <v/>
      </c>
      <c r="H71" s="22"/>
      <c r="I71" s="11"/>
      <c r="J71" s="23"/>
      <c r="K71" s="24"/>
      <c r="L71" s="11"/>
    </row>
    <row r="72" customFormat="false" ht="15" hidden="false" customHeight="false" outlineLevel="0" collapsed="false">
      <c r="A72" s="24"/>
      <c r="B72" s="23"/>
      <c r="C72" s="11"/>
      <c r="D72" s="11"/>
      <c r="E72" s="11"/>
      <c r="F72" s="23"/>
      <c r="G72" s="25" t="str">
        <f aca="false">IF(F72="","",IFERROR(INDEX(Listas!$N:$N,MATCH(F72,Listas!$M:$M,0)),""))</f>
        <v/>
      </c>
      <c r="H72" s="22"/>
      <c r="I72" s="11"/>
      <c r="J72" s="23"/>
      <c r="K72" s="24"/>
      <c r="L72" s="11"/>
    </row>
    <row r="73" customFormat="false" ht="15" hidden="false" customHeight="false" outlineLevel="0" collapsed="false">
      <c r="A73" s="24"/>
      <c r="B73" s="23"/>
      <c r="C73" s="11"/>
      <c r="D73" s="11"/>
      <c r="E73" s="11"/>
      <c r="F73" s="23"/>
      <c r="G73" s="25" t="str">
        <f aca="false">IF(F73="","",IFERROR(INDEX(Listas!$N:$N,MATCH(F73,Listas!$M:$M,0)),""))</f>
        <v/>
      </c>
      <c r="H73" s="22"/>
      <c r="I73" s="11"/>
      <c r="J73" s="23"/>
      <c r="K73" s="24"/>
      <c r="L73" s="11"/>
    </row>
    <row r="74" customFormat="false" ht="15" hidden="false" customHeight="false" outlineLevel="0" collapsed="false">
      <c r="A74" s="24"/>
      <c r="B74" s="23"/>
      <c r="C74" s="11"/>
      <c r="D74" s="11"/>
      <c r="E74" s="11"/>
      <c r="F74" s="23"/>
      <c r="G74" s="25" t="str">
        <f aca="false">IF(F74="","",IFERROR(INDEX(Listas!$N:$N,MATCH(F74,Listas!$M:$M,0)),""))</f>
        <v/>
      </c>
      <c r="H74" s="22"/>
      <c r="I74" s="11"/>
      <c r="J74" s="23"/>
      <c r="K74" s="24"/>
      <c r="L74" s="11"/>
    </row>
    <row r="75" customFormat="false" ht="15" hidden="false" customHeight="false" outlineLevel="0" collapsed="false">
      <c r="A75" s="24"/>
      <c r="B75" s="23"/>
      <c r="C75" s="11"/>
      <c r="D75" s="11"/>
      <c r="E75" s="11"/>
      <c r="F75" s="23"/>
      <c r="G75" s="25" t="str">
        <f aca="false">IF(F75="","",IFERROR(INDEX(Listas!$N:$N,MATCH(F75,Listas!$M:$M,0)),""))</f>
        <v/>
      </c>
      <c r="H75" s="22"/>
      <c r="I75" s="11"/>
      <c r="J75" s="23"/>
      <c r="K75" s="24"/>
      <c r="L75" s="11"/>
    </row>
    <row r="76" customFormat="false" ht="15" hidden="false" customHeight="false" outlineLevel="0" collapsed="false">
      <c r="A76" s="24"/>
      <c r="B76" s="23"/>
      <c r="C76" s="11"/>
      <c r="D76" s="11"/>
      <c r="E76" s="11"/>
      <c r="F76" s="23"/>
      <c r="G76" s="25" t="str">
        <f aca="false">IF(F76="","",IFERROR(INDEX(Listas!$N:$N,MATCH(F76,Listas!$M:$M,0)),""))</f>
        <v/>
      </c>
      <c r="H76" s="22"/>
      <c r="I76" s="11"/>
      <c r="J76" s="23"/>
      <c r="K76" s="24"/>
      <c r="L76" s="11"/>
    </row>
    <row r="77" customFormat="false" ht="15" hidden="false" customHeight="false" outlineLevel="0" collapsed="false">
      <c r="A77" s="24"/>
      <c r="B77" s="23"/>
      <c r="C77" s="11"/>
      <c r="D77" s="11"/>
      <c r="E77" s="11"/>
      <c r="F77" s="23"/>
      <c r="G77" s="25" t="str">
        <f aca="false">IF(F77="","",IFERROR(INDEX(Listas!$N:$N,MATCH(F77,Listas!$M:$M,0)),""))</f>
        <v/>
      </c>
      <c r="H77" s="22"/>
      <c r="I77" s="11"/>
      <c r="J77" s="23"/>
      <c r="K77" s="24"/>
      <c r="L77" s="11"/>
    </row>
    <row r="78" customFormat="false" ht="15" hidden="false" customHeight="false" outlineLevel="0" collapsed="false">
      <c r="A78" s="24"/>
      <c r="B78" s="23"/>
      <c r="C78" s="11"/>
      <c r="D78" s="11"/>
      <c r="E78" s="11"/>
      <c r="F78" s="23"/>
      <c r="G78" s="25" t="str">
        <f aca="false">IF(F78="","",IFERROR(INDEX(Listas!$N:$N,MATCH(F78,Listas!$M:$M,0)),""))</f>
        <v/>
      </c>
      <c r="H78" s="22"/>
      <c r="I78" s="11"/>
      <c r="J78" s="23"/>
      <c r="K78" s="24"/>
      <c r="L78" s="11"/>
    </row>
    <row r="79" customFormat="false" ht="15" hidden="false" customHeight="false" outlineLevel="0" collapsed="false">
      <c r="A79" s="24"/>
      <c r="B79" s="23"/>
      <c r="C79" s="11"/>
      <c r="D79" s="11"/>
      <c r="E79" s="11"/>
      <c r="F79" s="23"/>
      <c r="G79" s="25" t="str">
        <f aca="false">IF(F79="","",IFERROR(INDEX(Listas!$N:$N,MATCH(F79,Listas!$M:$M,0)),""))</f>
        <v/>
      </c>
      <c r="H79" s="22"/>
      <c r="I79" s="11"/>
      <c r="J79" s="23"/>
      <c r="K79" s="24"/>
      <c r="L79" s="11"/>
    </row>
    <row r="80" customFormat="false" ht="15" hidden="false" customHeight="false" outlineLevel="0" collapsed="false">
      <c r="A80" s="24"/>
      <c r="B80" s="23"/>
      <c r="C80" s="11"/>
      <c r="D80" s="11"/>
      <c r="E80" s="11"/>
      <c r="F80" s="23"/>
      <c r="G80" s="25" t="str">
        <f aca="false">IF(F80="","",IFERROR(INDEX(Listas!$N:$N,MATCH(F80,Listas!$M:$M,0)),""))</f>
        <v/>
      </c>
      <c r="H80" s="22"/>
      <c r="I80" s="11"/>
      <c r="J80" s="23"/>
      <c r="K80" s="24"/>
      <c r="L80" s="11"/>
    </row>
    <row r="81" customFormat="false" ht="15" hidden="false" customHeight="false" outlineLevel="0" collapsed="false">
      <c r="A81" s="24"/>
      <c r="B81" s="23"/>
      <c r="C81" s="11"/>
      <c r="D81" s="11"/>
      <c r="E81" s="11"/>
      <c r="F81" s="23"/>
      <c r="G81" s="25" t="str">
        <f aca="false">IF(F81="","",IFERROR(INDEX(Listas!$N:$N,MATCH(F81,Listas!$M:$M,0)),""))</f>
        <v/>
      </c>
      <c r="H81" s="22"/>
      <c r="I81" s="11"/>
      <c r="J81" s="23"/>
      <c r="K81" s="24"/>
      <c r="L81" s="11"/>
    </row>
    <row r="82" customFormat="false" ht="15" hidden="false" customHeight="false" outlineLevel="0" collapsed="false">
      <c r="A82" s="24"/>
      <c r="B82" s="23"/>
      <c r="C82" s="11"/>
      <c r="D82" s="11"/>
      <c r="E82" s="11"/>
      <c r="F82" s="23"/>
      <c r="G82" s="25" t="str">
        <f aca="false">IF(F82="","",IFERROR(INDEX(Listas!$N:$N,MATCH(F82,Listas!$M:$M,0)),""))</f>
        <v/>
      </c>
      <c r="H82" s="22"/>
      <c r="I82" s="11"/>
      <c r="J82" s="23"/>
      <c r="K82" s="24"/>
      <c r="L82" s="11"/>
    </row>
    <row r="83" customFormat="false" ht="15" hidden="false" customHeight="false" outlineLevel="0" collapsed="false">
      <c r="A83" s="24"/>
      <c r="B83" s="23"/>
      <c r="C83" s="11"/>
      <c r="D83" s="11"/>
      <c r="E83" s="11"/>
      <c r="F83" s="23"/>
      <c r="G83" s="25" t="str">
        <f aca="false">IF(F83="","",IFERROR(INDEX(Listas!$N:$N,MATCH(F83,Listas!$M:$M,0)),""))</f>
        <v/>
      </c>
      <c r="H83" s="22"/>
      <c r="I83" s="11"/>
      <c r="J83" s="23"/>
      <c r="K83" s="24"/>
      <c r="L83" s="11"/>
    </row>
    <row r="84" customFormat="false" ht="15" hidden="false" customHeight="false" outlineLevel="0" collapsed="false">
      <c r="A84" s="24"/>
      <c r="B84" s="23"/>
      <c r="C84" s="11"/>
      <c r="D84" s="11"/>
      <c r="E84" s="11"/>
      <c r="F84" s="23"/>
      <c r="G84" s="25" t="str">
        <f aca="false">IF(F84="","",IFERROR(INDEX(Listas!$N:$N,MATCH(F84,Listas!$M:$M,0)),""))</f>
        <v/>
      </c>
      <c r="H84" s="22"/>
      <c r="I84" s="11"/>
      <c r="J84" s="23"/>
      <c r="K84" s="24"/>
      <c r="L84" s="11"/>
    </row>
    <row r="85" customFormat="false" ht="15" hidden="false" customHeight="false" outlineLevel="0" collapsed="false">
      <c r="A85" s="24"/>
      <c r="B85" s="23"/>
      <c r="C85" s="11"/>
      <c r="D85" s="11"/>
      <c r="E85" s="11"/>
      <c r="F85" s="23"/>
      <c r="G85" s="25" t="str">
        <f aca="false">IF(F85="","",IFERROR(INDEX(Listas!$N:$N,MATCH(F85,Listas!$M:$M,0)),""))</f>
        <v/>
      </c>
      <c r="H85" s="22"/>
      <c r="I85" s="11"/>
      <c r="J85" s="23"/>
      <c r="K85" s="24"/>
      <c r="L85" s="11"/>
    </row>
    <row r="86" customFormat="false" ht="15" hidden="false" customHeight="false" outlineLevel="0" collapsed="false">
      <c r="A86" s="24"/>
      <c r="B86" s="23"/>
      <c r="C86" s="11"/>
      <c r="D86" s="11"/>
      <c r="E86" s="11"/>
      <c r="F86" s="23"/>
      <c r="G86" s="25" t="str">
        <f aca="false">IF(F86="","",IFERROR(INDEX(Listas!$N:$N,MATCH(F86,Listas!$M:$M,0)),""))</f>
        <v/>
      </c>
      <c r="H86" s="22"/>
      <c r="I86" s="11"/>
      <c r="J86" s="23"/>
      <c r="K86" s="24"/>
      <c r="L86" s="11"/>
    </row>
    <row r="87" customFormat="false" ht="15" hidden="false" customHeight="false" outlineLevel="0" collapsed="false">
      <c r="A87" s="24"/>
      <c r="B87" s="23"/>
      <c r="C87" s="11"/>
      <c r="D87" s="11"/>
      <c r="E87" s="11"/>
      <c r="F87" s="23"/>
      <c r="G87" s="25" t="str">
        <f aca="false">IF(F87="","",IFERROR(INDEX(Listas!$N:$N,MATCH(F87,Listas!$M:$M,0)),""))</f>
        <v/>
      </c>
      <c r="H87" s="22"/>
      <c r="I87" s="11"/>
      <c r="J87" s="23"/>
      <c r="K87" s="24"/>
      <c r="L87" s="11"/>
    </row>
    <row r="88" customFormat="false" ht="15" hidden="false" customHeight="false" outlineLevel="0" collapsed="false">
      <c r="A88" s="24"/>
      <c r="B88" s="23"/>
      <c r="C88" s="11"/>
      <c r="D88" s="11"/>
      <c r="E88" s="11"/>
      <c r="F88" s="23"/>
      <c r="G88" s="25" t="str">
        <f aca="false">IF(F88="","",IFERROR(INDEX(Listas!$N:$N,MATCH(F88,Listas!$M:$M,0)),""))</f>
        <v/>
      </c>
      <c r="H88" s="22"/>
      <c r="I88" s="11"/>
      <c r="J88" s="23"/>
      <c r="K88" s="24"/>
      <c r="L88" s="11"/>
    </row>
    <row r="89" customFormat="false" ht="15" hidden="false" customHeight="false" outlineLevel="0" collapsed="false">
      <c r="A89" s="24"/>
      <c r="B89" s="23"/>
      <c r="C89" s="11"/>
      <c r="D89" s="11"/>
      <c r="E89" s="11"/>
      <c r="F89" s="23"/>
      <c r="G89" s="25" t="str">
        <f aca="false">IF(F89="","",IFERROR(INDEX(Listas!$N:$N,MATCH(F89,Listas!$M:$M,0)),""))</f>
        <v/>
      </c>
      <c r="H89" s="22"/>
      <c r="I89" s="11"/>
      <c r="J89" s="23"/>
      <c r="K89" s="24"/>
      <c r="L89" s="11"/>
    </row>
    <row r="90" customFormat="false" ht="15" hidden="false" customHeight="false" outlineLevel="0" collapsed="false">
      <c r="A90" s="24"/>
      <c r="B90" s="23"/>
      <c r="C90" s="11"/>
      <c r="D90" s="11"/>
      <c r="E90" s="11"/>
      <c r="F90" s="23"/>
      <c r="G90" s="25" t="str">
        <f aca="false">IF(F90="","",IFERROR(INDEX(Listas!$N:$N,MATCH(F90,Listas!$M:$M,0)),""))</f>
        <v/>
      </c>
      <c r="H90" s="22"/>
      <c r="I90" s="11"/>
      <c r="J90" s="23"/>
      <c r="K90" s="24"/>
      <c r="L90" s="11"/>
    </row>
    <row r="91" customFormat="false" ht="15" hidden="false" customHeight="false" outlineLevel="0" collapsed="false">
      <c r="A91" s="24"/>
      <c r="B91" s="23"/>
      <c r="C91" s="11"/>
      <c r="D91" s="11"/>
      <c r="E91" s="11"/>
      <c r="F91" s="23"/>
      <c r="G91" s="25" t="str">
        <f aca="false">IF(F91="","",IFERROR(INDEX(Listas!$N:$N,MATCH(F91,Listas!$M:$M,0)),""))</f>
        <v/>
      </c>
      <c r="H91" s="22"/>
      <c r="I91" s="11"/>
      <c r="J91" s="23"/>
      <c r="K91" s="24"/>
      <c r="L91" s="11"/>
    </row>
    <row r="92" customFormat="false" ht="15" hidden="false" customHeight="false" outlineLevel="0" collapsed="false">
      <c r="A92" s="24"/>
      <c r="B92" s="23"/>
      <c r="C92" s="11"/>
      <c r="D92" s="11"/>
      <c r="E92" s="11"/>
      <c r="F92" s="23"/>
      <c r="G92" s="25" t="str">
        <f aca="false">IF(F92="","",IFERROR(INDEX(Listas!$N:$N,MATCH(F92,Listas!$M:$M,0)),""))</f>
        <v/>
      </c>
      <c r="H92" s="22"/>
      <c r="I92" s="11"/>
      <c r="J92" s="23"/>
      <c r="K92" s="24"/>
      <c r="L92" s="11"/>
    </row>
    <row r="93" customFormat="false" ht="15" hidden="false" customHeight="false" outlineLevel="0" collapsed="false">
      <c r="A93" s="24"/>
      <c r="B93" s="23"/>
      <c r="C93" s="11"/>
      <c r="D93" s="11"/>
      <c r="E93" s="11"/>
      <c r="F93" s="23"/>
      <c r="G93" s="25" t="str">
        <f aca="false">IF(F93="","",IFERROR(INDEX(Listas!$N:$N,MATCH(F93,Listas!$M:$M,0)),""))</f>
        <v/>
      </c>
      <c r="H93" s="22"/>
      <c r="I93" s="11"/>
      <c r="J93" s="23"/>
      <c r="K93" s="24"/>
      <c r="L93" s="11"/>
    </row>
    <row r="94" customFormat="false" ht="15" hidden="false" customHeight="false" outlineLevel="0" collapsed="false">
      <c r="A94" s="24"/>
      <c r="B94" s="23"/>
      <c r="C94" s="11"/>
      <c r="D94" s="11"/>
      <c r="E94" s="11"/>
      <c r="F94" s="23"/>
      <c r="G94" s="25" t="str">
        <f aca="false">IF(F94="","",IFERROR(INDEX(Listas!$N:$N,MATCH(F94,Listas!$M:$M,0)),""))</f>
        <v/>
      </c>
      <c r="H94" s="22"/>
      <c r="I94" s="11"/>
      <c r="J94" s="23"/>
      <c r="K94" s="24"/>
      <c r="L94" s="11"/>
    </row>
    <row r="95" customFormat="false" ht="15" hidden="false" customHeight="false" outlineLevel="0" collapsed="false">
      <c r="A95" s="24"/>
      <c r="B95" s="23"/>
      <c r="C95" s="11"/>
      <c r="D95" s="11"/>
      <c r="E95" s="11"/>
      <c r="F95" s="23"/>
      <c r="G95" s="25" t="str">
        <f aca="false">IF(F95="","",IFERROR(INDEX(Listas!$N:$N,MATCH(F95,Listas!$M:$M,0)),""))</f>
        <v/>
      </c>
      <c r="H95" s="22"/>
      <c r="I95" s="11"/>
      <c r="J95" s="23"/>
      <c r="K95" s="24"/>
      <c r="L95" s="11"/>
    </row>
    <row r="96" customFormat="false" ht="15" hidden="false" customHeight="false" outlineLevel="0" collapsed="false">
      <c r="A96" s="24"/>
      <c r="B96" s="23"/>
      <c r="C96" s="11"/>
      <c r="D96" s="11"/>
      <c r="E96" s="11"/>
      <c r="F96" s="23"/>
      <c r="G96" s="25" t="str">
        <f aca="false">IF(F96="","",IFERROR(INDEX(Listas!$N:$N,MATCH(F96,Listas!$M:$M,0)),""))</f>
        <v/>
      </c>
      <c r="H96" s="22"/>
      <c r="I96" s="11"/>
      <c r="J96" s="23"/>
      <c r="K96" s="24"/>
      <c r="L96" s="11"/>
    </row>
    <row r="97" customFormat="false" ht="15" hidden="false" customHeight="false" outlineLevel="0" collapsed="false">
      <c r="A97" s="24"/>
      <c r="B97" s="23"/>
      <c r="C97" s="11"/>
      <c r="D97" s="11"/>
      <c r="E97" s="11"/>
      <c r="F97" s="23"/>
      <c r="G97" s="25" t="str">
        <f aca="false">IF(F97="","",IFERROR(INDEX(Listas!$N:$N,MATCH(F97,Listas!$M:$M,0)),""))</f>
        <v/>
      </c>
      <c r="H97" s="22"/>
      <c r="I97" s="11"/>
      <c r="J97" s="23"/>
      <c r="K97" s="24"/>
      <c r="L97" s="11"/>
    </row>
    <row r="98" customFormat="false" ht="15" hidden="false" customHeight="false" outlineLevel="0" collapsed="false">
      <c r="A98" s="24"/>
      <c r="B98" s="23"/>
      <c r="C98" s="11"/>
      <c r="D98" s="11"/>
      <c r="E98" s="11"/>
      <c r="F98" s="23"/>
      <c r="G98" s="25" t="str">
        <f aca="false">IF(F98="","",IFERROR(INDEX(Listas!$N:$N,MATCH(F98,Listas!$M:$M,0)),""))</f>
        <v/>
      </c>
      <c r="H98" s="22"/>
      <c r="I98" s="11"/>
      <c r="J98" s="23"/>
      <c r="K98" s="24"/>
      <c r="L98" s="11"/>
    </row>
    <row r="99" customFormat="false" ht="15" hidden="false" customHeight="false" outlineLevel="0" collapsed="false">
      <c r="A99" s="24"/>
      <c r="B99" s="23"/>
      <c r="C99" s="11"/>
      <c r="D99" s="11"/>
      <c r="E99" s="11"/>
      <c r="F99" s="23"/>
      <c r="G99" s="25" t="str">
        <f aca="false">IF(F99="","",IFERROR(INDEX(Listas!$N:$N,MATCH(F99,Listas!$M:$M,0)),""))</f>
        <v/>
      </c>
      <c r="H99" s="22"/>
      <c r="I99" s="11"/>
      <c r="J99" s="23"/>
      <c r="K99" s="24"/>
      <c r="L99" s="11"/>
    </row>
    <row r="100" customFormat="false" ht="15" hidden="false" customHeight="false" outlineLevel="0" collapsed="false">
      <c r="A100" s="24"/>
      <c r="B100" s="23"/>
      <c r="C100" s="11"/>
      <c r="D100" s="11"/>
      <c r="E100" s="11"/>
      <c r="F100" s="23"/>
      <c r="G100" s="25" t="str">
        <f aca="false">IF(F100="","",IFERROR(INDEX(Listas!$N:$N,MATCH(F100,Listas!$M:$M,0)),""))</f>
        <v/>
      </c>
      <c r="H100" s="22"/>
      <c r="I100" s="11"/>
      <c r="J100" s="23"/>
      <c r="K100" s="24"/>
      <c r="L100" s="11"/>
    </row>
    <row r="101" customFormat="false" ht="15" hidden="false" customHeight="false" outlineLevel="0" collapsed="false">
      <c r="A101" s="24"/>
      <c r="B101" s="23"/>
      <c r="C101" s="11"/>
      <c r="D101" s="11"/>
      <c r="E101" s="11"/>
      <c r="F101" s="23"/>
      <c r="G101" s="25" t="str">
        <f aca="false">IF(F101="","",IFERROR(INDEX(Listas!$N:$N,MATCH(F101,Listas!$M:$M,0)),""))</f>
        <v/>
      </c>
      <c r="H101" s="22"/>
      <c r="I101" s="11"/>
      <c r="J101" s="23"/>
      <c r="K101" s="24"/>
      <c r="L101" s="11"/>
    </row>
    <row r="102" customFormat="false" ht="15" hidden="false" customHeight="false" outlineLevel="0" collapsed="false">
      <c r="A102" s="24"/>
      <c r="B102" s="23"/>
      <c r="C102" s="11"/>
      <c r="D102" s="11"/>
      <c r="E102" s="11"/>
      <c r="F102" s="23"/>
      <c r="G102" s="25" t="str">
        <f aca="false">IF(F102="","",IFERROR(INDEX(Listas!$N:$N,MATCH(F102,Listas!$M:$M,0)),""))</f>
        <v/>
      </c>
      <c r="H102" s="22"/>
      <c r="I102" s="11"/>
      <c r="J102" s="23"/>
      <c r="K102" s="24"/>
      <c r="L102" s="11"/>
    </row>
    <row r="103" customFormat="false" ht="15" hidden="false" customHeight="false" outlineLevel="0" collapsed="false">
      <c r="A103" s="24"/>
      <c r="B103" s="23"/>
      <c r="C103" s="11"/>
      <c r="D103" s="11"/>
      <c r="E103" s="11"/>
      <c r="F103" s="23"/>
      <c r="G103" s="25" t="str">
        <f aca="false">IF(F103="","",IFERROR(INDEX(Listas!$N:$N,MATCH(F103,Listas!$M:$M,0)),""))</f>
        <v/>
      </c>
      <c r="H103" s="22"/>
      <c r="I103" s="11"/>
      <c r="J103" s="23"/>
      <c r="K103" s="24"/>
      <c r="L103" s="11"/>
    </row>
    <row r="104" customFormat="false" ht="15" hidden="false" customHeight="false" outlineLevel="0" collapsed="false">
      <c r="A104" s="24"/>
      <c r="B104" s="23"/>
      <c r="C104" s="11"/>
      <c r="D104" s="11"/>
      <c r="E104" s="11"/>
      <c r="F104" s="23"/>
      <c r="G104" s="25" t="str">
        <f aca="false">IF(F104="","",IFERROR(INDEX(Listas!$N:$N,MATCH(F104,Listas!$M:$M,0)),""))</f>
        <v/>
      </c>
      <c r="H104" s="22"/>
      <c r="I104" s="11"/>
      <c r="J104" s="23"/>
      <c r="K104" s="24"/>
      <c r="L104" s="11"/>
    </row>
    <row r="105" customFormat="false" ht="15" hidden="false" customHeight="false" outlineLevel="0" collapsed="false">
      <c r="A105" s="24"/>
      <c r="B105" s="23"/>
      <c r="C105" s="11"/>
      <c r="D105" s="11"/>
      <c r="E105" s="11"/>
      <c r="F105" s="23"/>
      <c r="G105" s="25" t="str">
        <f aca="false">IF(F105="","",IFERROR(INDEX(Listas!$N:$N,MATCH(F105,Listas!$M:$M,0)),""))</f>
        <v/>
      </c>
      <c r="H105" s="22"/>
      <c r="I105" s="11"/>
      <c r="J105" s="23"/>
      <c r="K105" s="24"/>
      <c r="L105" s="11"/>
    </row>
    <row r="106" customFormat="false" ht="15" hidden="false" customHeight="false" outlineLevel="0" collapsed="false">
      <c r="A106" s="24"/>
      <c r="B106" s="23"/>
      <c r="C106" s="11"/>
      <c r="D106" s="11"/>
      <c r="E106" s="11"/>
      <c r="F106" s="23"/>
      <c r="G106" s="25" t="str">
        <f aca="false">IF(F106="","",IFERROR(INDEX(Listas!$N:$N,MATCH(F106,Listas!$M:$M,0)),""))</f>
        <v/>
      </c>
      <c r="H106" s="22"/>
      <c r="I106" s="11"/>
      <c r="J106" s="23"/>
      <c r="K106" s="24"/>
      <c r="L106" s="11"/>
    </row>
    <row r="107" customFormat="false" ht="15" hidden="false" customHeight="false" outlineLevel="0" collapsed="false">
      <c r="A107" s="24"/>
      <c r="B107" s="23"/>
      <c r="C107" s="11"/>
      <c r="D107" s="11"/>
      <c r="E107" s="11"/>
      <c r="F107" s="23"/>
      <c r="G107" s="25" t="str">
        <f aca="false">IF(F107="","",IFERROR(INDEX(Listas!$N:$N,MATCH(F107,Listas!$M:$M,0)),""))</f>
        <v/>
      </c>
      <c r="H107" s="22"/>
      <c r="I107" s="11"/>
      <c r="J107" s="23"/>
      <c r="K107" s="24"/>
      <c r="L107" s="11"/>
    </row>
    <row r="108" customFormat="false" ht="15" hidden="false" customHeight="false" outlineLevel="0" collapsed="false">
      <c r="A108" s="24"/>
      <c r="B108" s="23"/>
      <c r="C108" s="11"/>
      <c r="D108" s="11"/>
      <c r="E108" s="11"/>
      <c r="F108" s="23"/>
      <c r="G108" s="25" t="str">
        <f aca="false">IF(F108="","",IFERROR(INDEX(Listas!$N:$N,MATCH(F108,Listas!$M:$M,0)),""))</f>
        <v/>
      </c>
      <c r="H108" s="22"/>
      <c r="I108" s="11"/>
      <c r="J108" s="23"/>
      <c r="K108" s="24"/>
      <c r="L108" s="11"/>
    </row>
    <row r="109" customFormat="false" ht="15" hidden="false" customHeight="false" outlineLevel="0" collapsed="false">
      <c r="A109" s="24"/>
      <c r="B109" s="23"/>
      <c r="C109" s="11"/>
      <c r="D109" s="11"/>
      <c r="E109" s="11"/>
      <c r="F109" s="23"/>
      <c r="G109" s="25" t="str">
        <f aca="false">IF(F109="","",IFERROR(INDEX(Listas!$N:$N,MATCH(F109,Listas!$M:$M,0)),""))</f>
        <v/>
      </c>
      <c r="H109" s="22"/>
      <c r="I109" s="11"/>
      <c r="J109" s="23"/>
      <c r="K109" s="24"/>
      <c r="L109" s="11"/>
    </row>
    <row r="110" customFormat="false" ht="15" hidden="false" customHeight="false" outlineLevel="0" collapsed="false">
      <c r="A110" s="24"/>
      <c r="B110" s="23"/>
      <c r="C110" s="11"/>
      <c r="D110" s="11"/>
      <c r="E110" s="11"/>
      <c r="F110" s="23"/>
      <c r="G110" s="25" t="str">
        <f aca="false">IF(F110="","",IFERROR(INDEX(Listas!$N:$N,MATCH(F110,Listas!$M:$M,0)),""))</f>
        <v/>
      </c>
      <c r="H110" s="22"/>
      <c r="I110" s="11"/>
      <c r="J110" s="23"/>
      <c r="K110" s="24"/>
      <c r="L110" s="11"/>
    </row>
    <row r="111" customFormat="false" ht="15" hidden="false" customHeight="false" outlineLevel="0" collapsed="false">
      <c r="A111" s="24"/>
      <c r="B111" s="23"/>
      <c r="C111" s="11"/>
      <c r="D111" s="11"/>
      <c r="E111" s="11"/>
      <c r="F111" s="23"/>
      <c r="G111" s="25" t="str">
        <f aca="false">IF(F111="","",IFERROR(INDEX(Listas!$N:$N,MATCH(F111,Listas!$M:$M,0)),""))</f>
        <v/>
      </c>
      <c r="H111" s="22"/>
      <c r="I111" s="11"/>
      <c r="J111" s="23"/>
      <c r="K111" s="24"/>
      <c r="L111" s="11"/>
    </row>
    <row r="112" customFormat="false" ht="15" hidden="false" customHeight="false" outlineLevel="0" collapsed="false">
      <c r="A112" s="24"/>
      <c r="B112" s="23"/>
      <c r="C112" s="11"/>
      <c r="D112" s="11"/>
      <c r="E112" s="11"/>
      <c r="F112" s="23"/>
      <c r="G112" s="25" t="str">
        <f aca="false">IF(F112="","",IFERROR(INDEX(Listas!$N:$N,MATCH(F112,Listas!$M:$M,0)),""))</f>
        <v/>
      </c>
      <c r="H112" s="22"/>
      <c r="I112" s="11"/>
      <c r="J112" s="23"/>
      <c r="K112" s="24"/>
      <c r="L112" s="11"/>
    </row>
    <row r="113" customFormat="false" ht="15" hidden="false" customHeight="false" outlineLevel="0" collapsed="false">
      <c r="A113" s="24"/>
      <c r="B113" s="23"/>
      <c r="C113" s="11"/>
      <c r="D113" s="11"/>
      <c r="E113" s="11"/>
      <c r="F113" s="23"/>
      <c r="G113" s="25" t="str">
        <f aca="false">IF(F113="","",IFERROR(INDEX(Listas!$N:$N,MATCH(F113,Listas!$M:$M,0)),""))</f>
        <v/>
      </c>
      <c r="H113" s="22"/>
      <c r="I113" s="11"/>
      <c r="J113" s="23"/>
      <c r="K113" s="24"/>
      <c r="L113" s="11"/>
    </row>
    <row r="114" customFormat="false" ht="15" hidden="false" customHeight="false" outlineLevel="0" collapsed="false">
      <c r="A114" s="24"/>
      <c r="B114" s="23"/>
      <c r="C114" s="11"/>
      <c r="D114" s="11"/>
      <c r="E114" s="11"/>
      <c r="F114" s="23"/>
      <c r="G114" s="25" t="str">
        <f aca="false">IF(F114="","",IFERROR(INDEX(Listas!$N:$N,MATCH(F114,Listas!$M:$M,0)),""))</f>
        <v/>
      </c>
      <c r="H114" s="22"/>
      <c r="I114" s="11"/>
      <c r="J114" s="23"/>
      <c r="K114" s="24"/>
      <c r="L114" s="11"/>
    </row>
    <row r="115" customFormat="false" ht="15" hidden="false" customHeight="false" outlineLevel="0" collapsed="false">
      <c r="A115" s="24"/>
      <c r="B115" s="23"/>
      <c r="C115" s="11"/>
      <c r="D115" s="11"/>
      <c r="E115" s="11"/>
      <c r="F115" s="23"/>
      <c r="G115" s="25" t="str">
        <f aca="false">IF(F115="","",IFERROR(INDEX(Listas!$N:$N,MATCH(F115,Listas!$M:$M,0)),""))</f>
        <v/>
      </c>
      <c r="H115" s="22"/>
      <c r="I115" s="11"/>
      <c r="J115" s="23"/>
      <c r="K115" s="24"/>
      <c r="L115" s="11"/>
    </row>
    <row r="116" customFormat="false" ht="15" hidden="false" customHeight="false" outlineLevel="0" collapsed="false">
      <c r="A116" s="24"/>
      <c r="B116" s="23"/>
      <c r="C116" s="11"/>
      <c r="D116" s="11"/>
      <c r="E116" s="11"/>
      <c r="F116" s="23"/>
      <c r="G116" s="25" t="str">
        <f aca="false">IF(F116="","",IFERROR(INDEX(Listas!$N:$N,MATCH(F116,Listas!$M:$M,0)),""))</f>
        <v/>
      </c>
      <c r="H116" s="22"/>
      <c r="I116" s="11"/>
      <c r="J116" s="23"/>
      <c r="K116" s="24"/>
      <c r="L116" s="11"/>
    </row>
    <row r="117" customFormat="false" ht="15" hidden="false" customHeight="false" outlineLevel="0" collapsed="false">
      <c r="A117" s="24"/>
      <c r="B117" s="23"/>
      <c r="C117" s="11"/>
      <c r="D117" s="11"/>
      <c r="E117" s="11"/>
      <c r="F117" s="23"/>
      <c r="G117" s="25" t="str">
        <f aca="false">IF(F117="","",IFERROR(INDEX(Listas!$N:$N,MATCH(F117,Listas!$M:$M,0)),""))</f>
        <v/>
      </c>
      <c r="H117" s="22"/>
      <c r="I117" s="11"/>
      <c r="J117" s="23"/>
      <c r="K117" s="24"/>
      <c r="L117" s="11"/>
    </row>
    <row r="118" customFormat="false" ht="15" hidden="false" customHeight="false" outlineLevel="0" collapsed="false">
      <c r="A118" s="24"/>
      <c r="B118" s="23"/>
      <c r="C118" s="11"/>
      <c r="D118" s="11"/>
      <c r="E118" s="11"/>
      <c r="F118" s="23"/>
      <c r="G118" s="25" t="str">
        <f aca="false">IF(F118="","",IFERROR(INDEX(Listas!$N:$N,MATCH(F118,Listas!$M:$M,0)),""))</f>
        <v/>
      </c>
      <c r="H118" s="22"/>
      <c r="I118" s="11"/>
      <c r="J118" s="23"/>
      <c r="K118" s="24"/>
      <c r="L118" s="11"/>
    </row>
    <row r="119" customFormat="false" ht="15" hidden="false" customHeight="false" outlineLevel="0" collapsed="false">
      <c r="A119" s="24"/>
      <c r="B119" s="23"/>
      <c r="C119" s="11"/>
      <c r="D119" s="11"/>
      <c r="E119" s="11"/>
      <c r="F119" s="23"/>
      <c r="G119" s="25" t="str">
        <f aca="false">IF(F119="","",IFERROR(INDEX(Listas!$N:$N,MATCH(F119,Listas!$M:$M,0)),""))</f>
        <v/>
      </c>
      <c r="H119" s="22"/>
      <c r="I119" s="11"/>
      <c r="J119" s="23"/>
      <c r="K119" s="24"/>
      <c r="L119" s="11"/>
    </row>
    <row r="120" customFormat="false" ht="15" hidden="false" customHeight="false" outlineLevel="0" collapsed="false">
      <c r="A120" s="24"/>
      <c r="B120" s="23"/>
      <c r="C120" s="11"/>
      <c r="D120" s="11"/>
      <c r="E120" s="11"/>
      <c r="F120" s="23"/>
      <c r="G120" s="25" t="str">
        <f aca="false">IF(F120="","",IFERROR(INDEX(Listas!$N:$N,MATCH(F120,Listas!$M:$M,0)),""))</f>
        <v/>
      </c>
      <c r="H120" s="22"/>
      <c r="I120" s="11"/>
      <c r="J120" s="23"/>
      <c r="K120" s="24"/>
      <c r="L120" s="11"/>
    </row>
    <row r="121" customFormat="false" ht="15" hidden="false" customHeight="false" outlineLevel="0" collapsed="false">
      <c r="A121" s="24"/>
      <c r="B121" s="23"/>
      <c r="C121" s="11"/>
      <c r="D121" s="11"/>
      <c r="E121" s="11"/>
      <c r="F121" s="23"/>
      <c r="G121" s="25" t="str">
        <f aca="false">IF(F121="","",IFERROR(INDEX(Listas!$N:$N,MATCH(F121,Listas!$M:$M,0)),""))</f>
        <v/>
      </c>
      <c r="H121" s="22"/>
      <c r="I121" s="11"/>
      <c r="J121" s="23"/>
      <c r="K121" s="24"/>
      <c r="L121" s="11"/>
    </row>
    <row r="122" customFormat="false" ht="15" hidden="false" customHeight="false" outlineLevel="0" collapsed="false">
      <c r="A122" s="24"/>
      <c r="B122" s="23"/>
      <c r="C122" s="11"/>
      <c r="D122" s="11"/>
      <c r="E122" s="11"/>
      <c r="F122" s="23"/>
      <c r="G122" s="25" t="str">
        <f aca="false">IF(F122="","",IFERROR(INDEX(Listas!$N:$N,MATCH(F122,Listas!$M:$M,0)),""))</f>
        <v/>
      </c>
      <c r="H122" s="22"/>
      <c r="I122" s="11"/>
      <c r="J122" s="23"/>
      <c r="K122" s="24"/>
      <c r="L122" s="11"/>
    </row>
    <row r="123" customFormat="false" ht="15" hidden="false" customHeight="false" outlineLevel="0" collapsed="false">
      <c r="A123" s="24"/>
      <c r="B123" s="23"/>
      <c r="C123" s="11"/>
      <c r="D123" s="11"/>
      <c r="E123" s="11"/>
      <c r="F123" s="23"/>
      <c r="G123" s="25" t="str">
        <f aca="false">IF(F123="","",IFERROR(INDEX(Listas!$N:$N,MATCH(F123,Listas!$M:$M,0)),""))</f>
        <v/>
      </c>
      <c r="H123" s="22"/>
      <c r="I123" s="11"/>
      <c r="J123" s="23"/>
      <c r="K123" s="24"/>
      <c r="L123" s="11"/>
    </row>
    <row r="124" customFormat="false" ht="15" hidden="false" customHeight="false" outlineLevel="0" collapsed="false">
      <c r="A124" s="24"/>
      <c r="B124" s="23"/>
      <c r="C124" s="11"/>
      <c r="D124" s="11"/>
      <c r="E124" s="11"/>
      <c r="F124" s="23"/>
      <c r="G124" s="25" t="str">
        <f aca="false">IF(F124="","",IFERROR(INDEX(Listas!$N:$N,MATCH(F124,Listas!$M:$M,0)),""))</f>
        <v/>
      </c>
      <c r="H124" s="22"/>
      <c r="I124" s="11"/>
      <c r="J124" s="23"/>
      <c r="K124" s="24"/>
      <c r="L124" s="11"/>
    </row>
    <row r="125" customFormat="false" ht="15" hidden="false" customHeight="false" outlineLevel="0" collapsed="false">
      <c r="A125" s="24"/>
      <c r="B125" s="23"/>
      <c r="C125" s="11"/>
      <c r="D125" s="11"/>
      <c r="E125" s="11"/>
      <c r="F125" s="23"/>
      <c r="G125" s="25" t="str">
        <f aca="false">IF(F125="","",IFERROR(INDEX(Listas!$N:$N,MATCH(F125,Listas!$M:$M,0)),""))</f>
        <v/>
      </c>
      <c r="H125" s="22"/>
      <c r="I125" s="11"/>
      <c r="J125" s="23"/>
      <c r="K125" s="24"/>
      <c r="L125" s="11"/>
    </row>
    <row r="126" customFormat="false" ht="15" hidden="false" customHeight="false" outlineLevel="0" collapsed="false">
      <c r="A126" s="24"/>
      <c r="B126" s="23"/>
      <c r="C126" s="11"/>
      <c r="D126" s="11"/>
      <c r="E126" s="11"/>
      <c r="F126" s="23"/>
      <c r="G126" s="25" t="str">
        <f aca="false">IF(F126="","",IFERROR(INDEX(Listas!$N:$N,MATCH(F126,Listas!$M:$M,0)),""))</f>
        <v/>
      </c>
      <c r="H126" s="22"/>
      <c r="I126" s="11"/>
      <c r="J126" s="23"/>
      <c r="K126" s="24"/>
      <c r="L126" s="11"/>
    </row>
    <row r="127" customFormat="false" ht="15" hidden="false" customHeight="false" outlineLevel="0" collapsed="false">
      <c r="A127" s="24"/>
      <c r="B127" s="23"/>
      <c r="C127" s="11"/>
      <c r="D127" s="11"/>
      <c r="E127" s="11"/>
      <c r="F127" s="23"/>
      <c r="G127" s="25" t="str">
        <f aca="false">IF(F127="","",IFERROR(INDEX(Listas!$N:$N,MATCH(F127,Listas!$M:$M,0)),""))</f>
        <v/>
      </c>
      <c r="H127" s="22"/>
      <c r="I127" s="11"/>
      <c r="J127" s="23"/>
      <c r="K127" s="24"/>
      <c r="L127" s="11"/>
    </row>
    <row r="128" customFormat="false" ht="15" hidden="false" customHeight="false" outlineLevel="0" collapsed="false">
      <c r="A128" s="24"/>
      <c r="B128" s="23"/>
      <c r="C128" s="11"/>
      <c r="D128" s="11"/>
      <c r="E128" s="11"/>
      <c r="F128" s="23"/>
      <c r="G128" s="25" t="str">
        <f aca="false">IF(F128="","",IFERROR(INDEX(Listas!$N:$N,MATCH(F128,Listas!$M:$M,0)),""))</f>
        <v/>
      </c>
      <c r="H128" s="22"/>
      <c r="I128" s="11"/>
      <c r="J128" s="23"/>
      <c r="K128" s="24"/>
      <c r="L128" s="11"/>
    </row>
    <row r="129" customFormat="false" ht="15" hidden="false" customHeight="false" outlineLevel="0" collapsed="false">
      <c r="A129" s="24"/>
      <c r="B129" s="23"/>
      <c r="C129" s="11"/>
      <c r="D129" s="11"/>
      <c r="E129" s="11"/>
      <c r="F129" s="23"/>
      <c r="G129" s="25" t="str">
        <f aca="false">IF(F129="","",IFERROR(INDEX(Listas!$N:$N,MATCH(F129,Listas!$M:$M,0)),""))</f>
        <v/>
      </c>
      <c r="H129" s="22"/>
      <c r="I129" s="11"/>
      <c r="J129" s="23"/>
      <c r="K129" s="24"/>
      <c r="L129" s="11"/>
    </row>
    <row r="130" customFormat="false" ht="15" hidden="false" customHeight="false" outlineLevel="0" collapsed="false">
      <c r="A130" s="24"/>
      <c r="B130" s="23"/>
      <c r="C130" s="11"/>
      <c r="D130" s="11"/>
      <c r="E130" s="11"/>
      <c r="F130" s="23"/>
      <c r="G130" s="25" t="str">
        <f aca="false">IF(F130="","",IFERROR(INDEX(Listas!$N:$N,MATCH(F130,Listas!$M:$M,0)),""))</f>
        <v/>
      </c>
      <c r="H130" s="22"/>
      <c r="I130" s="11"/>
      <c r="J130" s="23"/>
      <c r="K130" s="24"/>
      <c r="L130" s="11"/>
    </row>
    <row r="131" customFormat="false" ht="15" hidden="false" customHeight="false" outlineLevel="0" collapsed="false">
      <c r="A131" s="24"/>
      <c r="B131" s="23"/>
      <c r="C131" s="11"/>
      <c r="D131" s="11"/>
      <c r="E131" s="11"/>
      <c r="F131" s="23"/>
      <c r="G131" s="25" t="str">
        <f aca="false">IF(F131="","",IFERROR(INDEX(Listas!$N:$N,MATCH(F131,Listas!$M:$M,0)),""))</f>
        <v/>
      </c>
      <c r="H131" s="22"/>
      <c r="I131" s="11"/>
      <c r="J131" s="23"/>
      <c r="K131" s="24"/>
      <c r="L131" s="11"/>
    </row>
    <row r="132" customFormat="false" ht="15" hidden="false" customHeight="false" outlineLevel="0" collapsed="false">
      <c r="A132" s="24"/>
      <c r="B132" s="23"/>
      <c r="C132" s="11"/>
      <c r="D132" s="11"/>
      <c r="E132" s="11"/>
      <c r="F132" s="23"/>
      <c r="G132" s="25" t="str">
        <f aca="false">IF(F132="","",IFERROR(INDEX(Listas!$N:$N,MATCH(F132,Listas!$M:$M,0)),""))</f>
        <v/>
      </c>
      <c r="H132" s="22"/>
      <c r="I132" s="11"/>
      <c r="J132" s="23"/>
      <c r="K132" s="24"/>
      <c r="L132" s="11"/>
    </row>
    <row r="133" customFormat="false" ht="15" hidden="false" customHeight="false" outlineLevel="0" collapsed="false">
      <c r="A133" s="24"/>
      <c r="B133" s="23"/>
      <c r="C133" s="11"/>
      <c r="D133" s="11"/>
      <c r="E133" s="11"/>
      <c r="F133" s="23"/>
      <c r="G133" s="25" t="str">
        <f aca="false">IF(F133="","",IFERROR(INDEX(Listas!$N:$N,MATCH(F133,Listas!$M:$M,0)),""))</f>
        <v/>
      </c>
      <c r="H133" s="22"/>
      <c r="I133" s="11"/>
      <c r="J133" s="23"/>
      <c r="K133" s="24"/>
      <c r="L133" s="11"/>
    </row>
    <row r="134" customFormat="false" ht="15" hidden="false" customHeight="false" outlineLevel="0" collapsed="false">
      <c r="A134" s="24"/>
      <c r="B134" s="23"/>
      <c r="C134" s="11"/>
      <c r="D134" s="11"/>
      <c r="E134" s="11"/>
      <c r="F134" s="23"/>
      <c r="G134" s="25" t="str">
        <f aca="false">IF(F134="","",IFERROR(INDEX(Listas!$N:$N,MATCH(F134,Listas!$M:$M,0)),""))</f>
        <v/>
      </c>
      <c r="H134" s="22"/>
      <c r="I134" s="11"/>
      <c r="J134" s="23"/>
      <c r="K134" s="24"/>
      <c r="L134" s="11"/>
    </row>
    <row r="135" customFormat="false" ht="15" hidden="false" customHeight="false" outlineLevel="0" collapsed="false">
      <c r="A135" s="24"/>
      <c r="B135" s="23"/>
      <c r="C135" s="11"/>
      <c r="D135" s="11"/>
      <c r="E135" s="11"/>
      <c r="F135" s="23"/>
      <c r="G135" s="25" t="str">
        <f aca="false">IF(F135="","",IFERROR(INDEX(Listas!$N:$N,MATCH(F135,Listas!$M:$M,0)),""))</f>
        <v/>
      </c>
      <c r="H135" s="22"/>
      <c r="I135" s="11"/>
      <c r="J135" s="23"/>
      <c r="K135" s="24"/>
      <c r="L135" s="11"/>
    </row>
    <row r="136" customFormat="false" ht="15" hidden="false" customHeight="false" outlineLevel="0" collapsed="false">
      <c r="A136" s="24"/>
      <c r="B136" s="23"/>
      <c r="C136" s="11"/>
      <c r="D136" s="11"/>
      <c r="E136" s="11"/>
      <c r="F136" s="23"/>
      <c r="G136" s="25" t="str">
        <f aca="false">IF(F136="","",IFERROR(INDEX(Listas!$N:$N,MATCH(F136,Listas!$M:$M,0)),""))</f>
        <v/>
      </c>
      <c r="H136" s="22"/>
      <c r="I136" s="11"/>
      <c r="J136" s="23"/>
      <c r="K136" s="24"/>
      <c r="L136" s="11"/>
    </row>
    <row r="137" customFormat="false" ht="15" hidden="false" customHeight="false" outlineLevel="0" collapsed="false">
      <c r="A137" s="24"/>
      <c r="B137" s="23"/>
      <c r="C137" s="11"/>
      <c r="D137" s="11"/>
      <c r="E137" s="11"/>
      <c r="F137" s="23"/>
      <c r="G137" s="25" t="str">
        <f aca="false">IF(F137="","",IFERROR(INDEX(Listas!$N:$N,MATCH(F137,Listas!$M:$M,0)),""))</f>
        <v/>
      </c>
      <c r="H137" s="22"/>
      <c r="I137" s="11"/>
      <c r="J137" s="23"/>
      <c r="K137" s="24"/>
      <c r="L137" s="11"/>
    </row>
    <row r="138" customFormat="false" ht="15" hidden="false" customHeight="false" outlineLevel="0" collapsed="false">
      <c r="A138" s="24"/>
      <c r="B138" s="23"/>
      <c r="C138" s="11"/>
      <c r="D138" s="11"/>
      <c r="E138" s="11"/>
      <c r="F138" s="23"/>
      <c r="G138" s="25" t="str">
        <f aca="false">IF(F138="","",IFERROR(INDEX(Listas!$N:$N,MATCH(F138,Listas!$M:$M,0)),""))</f>
        <v/>
      </c>
      <c r="H138" s="22"/>
      <c r="I138" s="11"/>
      <c r="J138" s="23"/>
      <c r="K138" s="24"/>
      <c r="L138" s="11"/>
    </row>
    <row r="139" customFormat="false" ht="15" hidden="false" customHeight="false" outlineLevel="0" collapsed="false">
      <c r="A139" s="24"/>
      <c r="B139" s="23"/>
      <c r="C139" s="11"/>
      <c r="D139" s="11"/>
      <c r="E139" s="11"/>
      <c r="F139" s="23"/>
      <c r="G139" s="25" t="str">
        <f aca="false">IF(F139="","",IFERROR(INDEX(Listas!$N:$N,MATCH(F139,Listas!$M:$M,0)),""))</f>
        <v/>
      </c>
      <c r="H139" s="22"/>
      <c r="I139" s="11"/>
      <c r="J139" s="23"/>
      <c r="K139" s="24"/>
      <c r="L139" s="11"/>
    </row>
    <row r="140" customFormat="false" ht="15" hidden="false" customHeight="false" outlineLevel="0" collapsed="false">
      <c r="A140" s="24"/>
      <c r="B140" s="23"/>
      <c r="C140" s="11"/>
      <c r="D140" s="11"/>
      <c r="E140" s="11"/>
      <c r="F140" s="23"/>
      <c r="G140" s="25" t="str">
        <f aca="false">IF(F140="","",IFERROR(INDEX(Listas!$N:$N,MATCH(F140,Listas!$M:$M,0)),""))</f>
        <v/>
      </c>
      <c r="H140" s="22"/>
      <c r="I140" s="11"/>
      <c r="J140" s="23"/>
      <c r="K140" s="24"/>
      <c r="L140" s="11"/>
    </row>
    <row r="141" customFormat="false" ht="15" hidden="false" customHeight="false" outlineLevel="0" collapsed="false">
      <c r="A141" s="24"/>
      <c r="B141" s="23"/>
      <c r="C141" s="11"/>
      <c r="D141" s="11"/>
      <c r="E141" s="11"/>
      <c r="F141" s="23"/>
      <c r="G141" s="25" t="str">
        <f aca="false">IF(F141="","",IFERROR(INDEX(Listas!$N:$N,MATCH(F141,Listas!$M:$M,0)),""))</f>
        <v/>
      </c>
      <c r="H141" s="22"/>
      <c r="I141" s="11"/>
      <c r="J141" s="23"/>
      <c r="K141" s="24"/>
      <c r="L141" s="11"/>
    </row>
    <row r="142" customFormat="false" ht="15" hidden="false" customHeight="false" outlineLevel="0" collapsed="false">
      <c r="A142" s="24"/>
      <c r="B142" s="23"/>
      <c r="C142" s="11"/>
      <c r="D142" s="11"/>
      <c r="E142" s="11"/>
      <c r="F142" s="23"/>
      <c r="G142" s="25" t="str">
        <f aca="false">IF(F142="","",IFERROR(INDEX(Listas!$N:$N,MATCH(F142,Listas!$M:$M,0)),""))</f>
        <v/>
      </c>
      <c r="H142" s="22"/>
      <c r="I142" s="11"/>
      <c r="J142" s="23"/>
      <c r="K142" s="24"/>
      <c r="L142" s="11"/>
    </row>
    <row r="143" customFormat="false" ht="15" hidden="false" customHeight="false" outlineLevel="0" collapsed="false">
      <c r="A143" s="24"/>
      <c r="B143" s="23"/>
      <c r="C143" s="11"/>
      <c r="D143" s="11"/>
      <c r="E143" s="11"/>
      <c r="F143" s="23"/>
      <c r="G143" s="25" t="str">
        <f aca="false">IF(F143="","",IFERROR(INDEX(Listas!$N:$N,MATCH(F143,Listas!$M:$M,0)),""))</f>
        <v/>
      </c>
      <c r="H143" s="22"/>
      <c r="I143" s="11"/>
      <c r="J143" s="23"/>
      <c r="K143" s="24"/>
      <c r="L143" s="11"/>
    </row>
    <row r="144" customFormat="false" ht="15" hidden="false" customHeight="false" outlineLevel="0" collapsed="false">
      <c r="A144" s="24"/>
      <c r="B144" s="23"/>
      <c r="C144" s="11"/>
      <c r="D144" s="11"/>
      <c r="E144" s="11"/>
      <c r="F144" s="23"/>
      <c r="G144" s="25" t="str">
        <f aca="false">IF(F144="","",IFERROR(INDEX(Listas!$N:$N,MATCH(F144,Listas!$M:$M,0)),""))</f>
        <v/>
      </c>
      <c r="H144" s="22"/>
      <c r="I144" s="11"/>
      <c r="J144" s="23"/>
      <c r="K144" s="24"/>
      <c r="L144" s="11"/>
    </row>
    <row r="145" customFormat="false" ht="15" hidden="false" customHeight="false" outlineLevel="0" collapsed="false">
      <c r="A145" s="24"/>
      <c r="B145" s="23"/>
      <c r="C145" s="11"/>
      <c r="D145" s="11"/>
      <c r="E145" s="11"/>
      <c r="F145" s="23"/>
      <c r="G145" s="25" t="str">
        <f aca="false">IF(F145="","",IFERROR(INDEX(Listas!$N:$N,MATCH(F145,Listas!$M:$M,0)),""))</f>
        <v/>
      </c>
      <c r="H145" s="22"/>
      <c r="I145" s="11"/>
      <c r="J145" s="23"/>
      <c r="K145" s="24"/>
      <c r="L145" s="11"/>
    </row>
    <row r="146" customFormat="false" ht="15" hidden="false" customHeight="false" outlineLevel="0" collapsed="false">
      <c r="A146" s="24"/>
      <c r="B146" s="23"/>
      <c r="C146" s="11"/>
      <c r="D146" s="11"/>
      <c r="E146" s="11"/>
      <c r="F146" s="23"/>
      <c r="G146" s="25" t="str">
        <f aca="false">IF(F146="","",IFERROR(INDEX(Listas!$N:$N,MATCH(F146,Listas!$M:$M,0)),""))</f>
        <v/>
      </c>
      <c r="H146" s="22"/>
      <c r="I146" s="11"/>
      <c r="J146" s="23"/>
      <c r="K146" s="24"/>
      <c r="L146" s="11"/>
    </row>
    <row r="147" customFormat="false" ht="15" hidden="false" customHeight="false" outlineLevel="0" collapsed="false">
      <c r="A147" s="24"/>
      <c r="B147" s="23"/>
      <c r="C147" s="11"/>
      <c r="D147" s="11"/>
      <c r="E147" s="11"/>
      <c r="F147" s="23"/>
      <c r="G147" s="25" t="str">
        <f aca="false">IF(F147="","",IFERROR(INDEX(Listas!$N:$N,MATCH(F147,Listas!$M:$M,0)),""))</f>
        <v/>
      </c>
      <c r="H147" s="22"/>
      <c r="I147" s="11"/>
      <c r="J147" s="23"/>
      <c r="K147" s="24"/>
      <c r="L147" s="11"/>
    </row>
    <row r="148" customFormat="false" ht="15" hidden="false" customHeight="false" outlineLevel="0" collapsed="false">
      <c r="A148" s="24"/>
      <c r="B148" s="23"/>
      <c r="C148" s="11"/>
      <c r="D148" s="11"/>
      <c r="E148" s="11"/>
      <c r="F148" s="23"/>
      <c r="G148" s="25" t="str">
        <f aca="false">IF(F148="","",IFERROR(INDEX(Listas!$N:$N,MATCH(F148,Listas!$M:$M,0)),""))</f>
        <v/>
      </c>
      <c r="H148" s="22"/>
      <c r="I148" s="11"/>
      <c r="J148" s="23"/>
      <c r="K148" s="24"/>
      <c r="L148" s="11"/>
    </row>
    <row r="149" customFormat="false" ht="15" hidden="false" customHeight="false" outlineLevel="0" collapsed="false">
      <c r="A149" s="24"/>
      <c r="B149" s="23"/>
      <c r="C149" s="11"/>
      <c r="D149" s="11"/>
      <c r="E149" s="11"/>
      <c r="F149" s="23"/>
      <c r="G149" s="25" t="str">
        <f aca="false">IF(F149="","",IFERROR(INDEX(Listas!$N:$N,MATCH(F149,Listas!$M:$M,0)),""))</f>
        <v/>
      </c>
      <c r="H149" s="22"/>
      <c r="I149" s="11"/>
      <c r="J149" s="23"/>
      <c r="K149" s="24"/>
      <c r="L149" s="11"/>
    </row>
    <row r="150" customFormat="false" ht="15" hidden="false" customHeight="false" outlineLevel="0" collapsed="false">
      <c r="A150" s="24"/>
      <c r="B150" s="23"/>
      <c r="C150" s="11"/>
      <c r="D150" s="11"/>
      <c r="E150" s="11"/>
      <c r="F150" s="23"/>
      <c r="G150" s="25" t="str">
        <f aca="false">IF(F150="","",IFERROR(INDEX(Listas!$N:$N,MATCH(F150,Listas!$M:$M,0)),""))</f>
        <v/>
      </c>
      <c r="H150" s="22"/>
      <c r="I150" s="11"/>
      <c r="J150" s="23"/>
      <c r="K150" s="24"/>
      <c r="L150" s="11"/>
    </row>
    <row r="151" customFormat="false" ht="15" hidden="false" customHeight="false" outlineLevel="0" collapsed="false">
      <c r="A151" s="24"/>
      <c r="B151" s="23"/>
      <c r="C151" s="11"/>
      <c r="D151" s="11"/>
      <c r="E151" s="11"/>
      <c r="F151" s="23"/>
      <c r="G151" s="25" t="str">
        <f aca="false">IF(F151="","",IFERROR(INDEX(Listas!$N:$N,MATCH(F151,Listas!$M:$M,0)),""))</f>
        <v/>
      </c>
      <c r="H151" s="22"/>
      <c r="I151" s="11"/>
      <c r="J151" s="23"/>
      <c r="K151" s="24"/>
      <c r="L151" s="11"/>
    </row>
    <row r="152" customFormat="false" ht="15" hidden="false" customHeight="false" outlineLevel="0" collapsed="false">
      <c r="A152" s="24"/>
      <c r="B152" s="23"/>
      <c r="C152" s="11"/>
      <c r="D152" s="11"/>
      <c r="E152" s="11"/>
      <c r="F152" s="23"/>
      <c r="G152" s="25" t="str">
        <f aca="false">IF(F152="","",IFERROR(INDEX(Listas!$N:$N,MATCH(F152,Listas!$M:$M,0)),""))</f>
        <v/>
      </c>
      <c r="H152" s="22"/>
      <c r="I152" s="11"/>
      <c r="J152" s="23"/>
      <c r="K152" s="24"/>
      <c r="L152" s="11"/>
    </row>
    <row r="153" customFormat="false" ht="15" hidden="false" customHeight="false" outlineLevel="0" collapsed="false">
      <c r="A153" s="24"/>
      <c r="B153" s="23"/>
      <c r="C153" s="11"/>
      <c r="D153" s="11"/>
      <c r="E153" s="11"/>
      <c r="F153" s="23"/>
      <c r="G153" s="25" t="str">
        <f aca="false">IF(F153="","",IFERROR(INDEX(Listas!$N:$N,MATCH(F153,Listas!$M:$M,0)),""))</f>
        <v/>
      </c>
      <c r="H153" s="22"/>
      <c r="I153" s="11"/>
      <c r="J153" s="23"/>
      <c r="K153" s="24"/>
      <c r="L153" s="11"/>
    </row>
    <row r="154" customFormat="false" ht="15" hidden="false" customHeight="false" outlineLevel="0" collapsed="false">
      <c r="A154" s="24"/>
      <c r="B154" s="23"/>
      <c r="C154" s="11"/>
      <c r="D154" s="11"/>
      <c r="E154" s="11"/>
      <c r="F154" s="23"/>
      <c r="G154" s="25" t="str">
        <f aca="false">IF(F154="","",IFERROR(INDEX(Listas!$N:$N,MATCH(F154,Listas!$M:$M,0)),""))</f>
        <v/>
      </c>
      <c r="H154" s="22"/>
      <c r="I154" s="11"/>
      <c r="J154" s="23"/>
      <c r="K154" s="24"/>
      <c r="L154" s="11"/>
    </row>
    <row r="155" customFormat="false" ht="15" hidden="false" customHeight="false" outlineLevel="0" collapsed="false">
      <c r="A155" s="24"/>
      <c r="B155" s="23"/>
      <c r="C155" s="11"/>
      <c r="D155" s="11"/>
      <c r="E155" s="11"/>
      <c r="F155" s="23"/>
      <c r="G155" s="25" t="str">
        <f aca="false">IF(F155="","",IFERROR(INDEX(Listas!$N:$N,MATCH(F155,Listas!$M:$M,0)),""))</f>
        <v/>
      </c>
      <c r="H155" s="22"/>
      <c r="I155" s="11"/>
      <c r="J155" s="23"/>
      <c r="K155" s="24"/>
      <c r="L155" s="11"/>
    </row>
    <row r="156" customFormat="false" ht="15" hidden="false" customHeight="false" outlineLevel="0" collapsed="false">
      <c r="A156" s="24"/>
      <c r="B156" s="23"/>
      <c r="C156" s="11"/>
      <c r="D156" s="11"/>
      <c r="E156" s="11"/>
      <c r="F156" s="23"/>
      <c r="G156" s="25" t="str">
        <f aca="false">IF(F156="","",IFERROR(INDEX(Listas!$N:$N,MATCH(F156,Listas!$M:$M,0)),""))</f>
        <v/>
      </c>
      <c r="H156" s="22"/>
      <c r="I156" s="11"/>
      <c r="J156" s="23"/>
      <c r="K156" s="24"/>
      <c r="L156" s="11"/>
    </row>
    <row r="157" customFormat="false" ht="15" hidden="false" customHeight="false" outlineLevel="0" collapsed="false">
      <c r="A157" s="24"/>
      <c r="B157" s="23"/>
      <c r="C157" s="11"/>
      <c r="D157" s="11"/>
      <c r="E157" s="11"/>
      <c r="F157" s="23"/>
      <c r="G157" s="25" t="str">
        <f aca="false">IF(F157="","",IFERROR(INDEX(Listas!$N:$N,MATCH(F157,Listas!$M:$M,0)),""))</f>
        <v/>
      </c>
      <c r="H157" s="22"/>
      <c r="I157" s="11"/>
      <c r="J157" s="23"/>
      <c r="K157" s="24"/>
      <c r="L157" s="11"/>
    </row>
    <row r="158" customFormat="false" ht="15" hidden="false" customHeight="false" outlineLevel="0" collapsed="false">
      <c r="A158" s="24"/>
      <c r="B158" s="23"/>
      <c r="C158" s="11"/>
      <c r="D158" s="11"/>
      <c r="E158" s="11"/>
      <c r="F158" s="23"/>
      <c r="G158" s="25" t="str">
        <f aca="false">IF(F158="","",IFERROR(INDEX(Listas!$N:$N,MATCH(F158,Listas!$M:$M,0)),""))</f>
        <v/>
      </c>
      <c r="H158" s="22"/>
      <c r="I158" s="11"/>
      <c r="J158" s="23"/>
      <c r="K158" s="24"/>
      <c r="L158" s="11"/>
    </row>
    <row r="159" customFormat="false" ht="15" hidden="false" customHeight="false" outlineLevel="0" collapsed="false">
      <c r="A159" s="24"/>
      <c r="B159" s="23"/>
      <c r="C159" s="11"/>
      <c r="D159" s="11"/>
      <c r="E159" s="11"/>
      <c r="F159" s="23"/>
      <c r="G159" s="25" t="str">
        <f aca="false">IF(F159="","",IFERROR(INDEX(Listas!$N:$N,MATCH(F159,Listas!$M:$M,0)),""))</f>
        <v/>
      </c>
      <c r="H159" s="22"/>
      <c r="I159" s="11"/>
      <c r="J159" s="23"/>
      <c r="K159" s="24"/>
      <c r="L159" s="11"/>
    </row>
    <row r="160" customFormat="false" ht="15" hidden="false" customHeight="false" outlineLevel="0" collapsed="false">
      <c r="A160" s="24"/>
      <c r="B160" s="23"/>
      <c r="C160" s="11"/>
      <c r="D160" s="11"/>
      <c r="E160" s="11"/>
      <c r="F160" s="23"/>
      <c r="G160" s="25" t="str">
        <f aca="false">IF(F160="","",IFERROR(INDEX(Listas!$N:$N,MATCH(F160,Listas!$M:$M,0)),""))</f>
        <v/>
      </c>
      <c r="H160" s="22"/>
      <c r="I160" s="11"/>
      <c r="J160" s="23"/>
      <c r="K160" s="24"/>
      <c r="L160" s="11"/>
    </row>
    <row r="161" customFormat="false" ht="15" hidden="false" customHeight="false" outlineLevel="0" collapsed="false">
      <c r="A161" s="24"/>
      <c r="B161" s="23"/>
      <c r="C161" s="11"/>
      <c r="D161" s="11"/>
      <c r="E161" s="11"/>
      <c r="F161" s="23"/>
      <c r="G161" s="25" t="str">
        <f aca="false">IF(F161="","",IFERROR(INDEX(Listas!$N:$N,MATCH(F161,Listas!$M:$M,0)),""))</f>
        <v/>
      </c>
      <c r="H161" s="22"/>
      <c r="I161" s="11"/>
      <c r="J161" s="23"/>
      <c r="K161" s="24"/>
      <c r="L161" s="11"/>
    </row>
    <row r="162" customFormat="false" ht="15" hidden="false" customHeight="false" outlineLevel="0" collapsed="false">
      <c r="A162" s="24"/>
      <c r="B162" s="23"/>
      <c r="C162" s="11"/>
      <c r="D162" s="11"/>
      <c r="E162" s="11"/>
      <c r="F162" s="23"/>
      <c r="G162" s="25" t="str">
        <f aca="false">IF(F162="","",IFERROR(INDEX(Listas!$N:$N,MATCH(F162,Listas!$M:$M,0)),""))</f>
        <v/>
      </c>
      <c r="H162" s="22"/>
      <c r="I162" s="11"/>
      <c r="J162" s="23"/>
      <c r="K162" s="24"/>
      <c r="L162" s="11"/>
    </row>
    <row r="163" customFormat="false" ht="15" hidden="false" customHeight="false" outlineLevel="0" collapsed="false">
      <c r="A163" s="24"/>
      <c r="B163" s="23"/>
      <c r="C163" s="11"/>
      <c r="D163" s="11"/>
      <c r="E163" s="11"/>
      <c r="F163" s="23"/>
      <c r="G163" s="25" t="str">
        <f aca="false">IF(F163="","",IFERROR(INDEX(Listas!$N:$N,MATCH(F163,Listas!$M:$M,0)),""))</f>
        <v/>
      </c>
      <c r="H163" s="22"/>
      <c r="I163" s="11"/>
      <c r="J163" s="23"/>
      <c r="K163" s="24"/>
      <c r="L163" s="11"/>
    </row>
    <row r="164" customFormat="false" ht="15" hidden="false" customHeight="false" outlineLevel="0" collapsed="false">
      <c r="A164" s="24"/>
      <c r="B164" s="23"/>
      <c r="C164" s="11"/>
      <c r="D164" s="11"/>
      <c r="E164" s="11"/>
      <c r="F164" s="23"/>
      <c r="G164" s="25" t="str">
        <f aca="false">IF(F164="","",IFERROR(INDEX(Listas!$N:$N,MATCH(F164,Listas!$M:$M,0)),""))</f>
        <v/>
      </c>
      <c r="H164" s="22"/>
      <c r="I164" s="11"/>
      <c r="J164" s="23"/>
      <c r="K164" s="24"/>
      <c r="L164" s="11"/>
    </row>
    <row r="165" customFormat="false" ht="15" hidden="false" customHeight="false" outlineLevel="0" collapsed="false">
      <c r="A165" s="24"/>
      <c r="B165" s="23"/>
      <c r="C165" s="11"/>
      <c r="D165" s="11"/>
      <c r="E165" s="11"/>
      <c r="F165" s="23"/>
      <c r="G165" s="25" t="str">
        <f aca="false">IF(F165="","",IFERROR(INDEX(Listas!$N:$N,MATCH(F165,Listas!$M:$M,0)),""))</f>
        <v/>
      </c>
      <c r="H165" s="22"/>
      <c r="I165" s="11"/>
      <c r="J165" s="23"/>
      <c r="K165" s="24"/>
      <c r="L165" s="11"/>
    </row>
    <row r="166" customFormat="false" ht="15" hidden="false" customHeight="false" outlineLevel="0" collapsed="false">
      <c r="A166" s="24"/>
      <c r="B166" s="23"/>
      <c r="C166" s="11"/>
      <c r="D166" s="11"/>
      <c r="E166" s="11"/>
      <c r="F166" s="23"/>
      <c r="G166" s="25" t="str">
        <f aca="false">IF(F166="","",IFERROR(INDEX(Listas!$N:$N,MATCH(F166,Listas!$M:$M,0)),""))</f>
        <v/>
      </c>
      <c r="H166" s="22"/>
      <c r="I166" s="11"/>
      <c r="J166" s="23"/>
      <c r="K166" s="24"/>
      <c r="L166" s="11"/>
    </row>
    <row r="167" customFormat="false" ht="15" hidden="false" customHeight="false" outlineLevel="0" collapsed="false">
      <c r="A167" s="24"/>
      <c r="B167" s="23"/>
      <c r="C167" s="11"/>
      <c r="D167" s="11"/>
      <c r="E167" s="11"/>
      <c r="F167" s="23"/>
      <c r="G167" s="25" t="str">
        <f aca="false">IF(F167="","",IFERROR(INDEX(Listas!$N:$N,MATCH(F167,Listas!$M:$M,0)),""))</f>
        <v/>
      </c>
      <c r="H167" s="22"/>
      <c r="I167" s="11"/>
      <c r="J167" s="23"/>
      <c r="K167" s="24"/>
      <c r="L167" s="11"/>
    </row>
    <row r="168" customFormat="false" ht="15" hidden="false" customHeight="false" outlineLevel="0" collapsed="false">
      <c r="A168" s="24"/>
      <c r="B168" s="23"/>
      <c r="C168" s="11"/>
      <c r="D168" s="11"/>
      <c r="E168" s="11"/>
      <c r="F168" s="23"/>
      <c r="G168" s="25" t="str">
        <f aca="false">IF(F168="","",IFERROR(INDEX(Listas!$N:$N,MATCH(F168,Listas!$M:$M,0)),""))</f>
        <v/>
      </c>
      <c r="H168" s="22"/>
      <c r="I168" s="11"/>
      <c r="J168" s="23"/>
      <c r="K168" s="24"/>
      <c r="L168" s="11"/>
    </row>
    <row r="169" customFormat="false" ht="15" hidden="false" customHeight="false" outlineLevel="0" collapsed="false">
      <c r="A169" s="24"/>
      <c r="B169" s="23"/>
      <c r="C169" s="11"/>
      <c r="D169" s="11"/>
      <c r="E169" s="11"/>
      <c r="F169" s="23"/>
      <c r="G169" s="25" t="str">
        <f aca="false">IF(F169="","",IFERROR(INDEX(Listas!$N:$N,MATCH(F169,Listas!$M:$M,0)),""))</f>
        <v/>
      </c>
      <c r="H169" s="22"/>
      <c r="I169" s="11"/>
      <c r="J169" s="23"/>
      <c r="K169" s="24"/>
      <c r="L169" s="11"/>
    </row>
    <row r="170" customFormat="false" ht="15" hidden="false" customHeight="false" outlineLevel="0" collapsed="false">
      <c r="A170" s="24"/>
      <c r="B170" s="23"/>
      <c r="C170" s="11"/>
      <c r="D170" s="11"/>
      <c r="E170" s="11"/>
      <c r="F170" s="23"/>
      <c r="G170" s="25" t="str">
        <f aca="false">IF(F170="","",IFERROR(INDEX(Listas!$N:$N,MATCH(F170,Listas!$M:$M,0)),""))</f>
        <v/>
      </c>
      <c r="H170" s="22"/>
      <c r="I170" s="11"/>
      <c r="J170" s="23"/>
      <c r="K170" s="24"/>
      <c r="L170" s="11"/>
    </row>
    <row r="171" customFormat="false" ht="15" hidden="false" customHeight="false" outlineLevel="0" collapsed="false">
      <c r="A171" s="24"/>
      <c r="B171" s="23"/>
      <c r="C171" s="11"/>
      <c r="D171" s="11"/>
      <c r="E171" s="11"/>
      <c r="F171" s="23"/>
      <c r="G171" s="25" t="str">
        <f aca="false">IF(F171="","",IFERROR(INDEX(Listas!$N:$N,MATCH(F171,Listas!$M:$M,0)),""))</f>
        <v/>
      </c>
      <c r="H171" s="22"/>
      <c r="I171" s="11"/>
      <c r="J171" s="23"/>
      <c r="K171" s="24"/>
      <c r="L171" s="11"/>
    </row>
    <row r="172" customFormat="false" ht="15" hidden="false" customHeight="false" outlineLevel="0" collapsed="false">
      <c r="A172" s="24"/>
      <c r="B172" s="23"/>
      <c r="C172" s="11"/>
      <c r="D172" s="11"/>
      <c r="E172" s="11"/>
      <c r="F172" s="23"/>
      <c r="G172" s="25" t="str">
        <f aca="false">IF(F172="","",IFERROR(INDEX(Listas!$N:$N,MATCH(F172,Listas!$M:$M,0)),""))</f>
        <v/>
      </c>
      <c r="H172" s="22"/>
      <c r="I172" s="11"/>
      <c r="J172" s="23"/>
      <c r="K172" s="24"/>
      <c r="L172" s="11"/>
    </row>
    <row r="173" customFormat="false" ht="15" hidden="false" customHeight="false" outlineLevel="0" collapsed="false">
      <c r="A173" s="24"/>
      <c r="B173" s="23"/>
      <c r="C173" s="11"/>
      <c r="D173" s="11"/>
      <c r="E173" s="11"/>
      <c r="F173" s="23"/>
      <c r="G173" s="25" t="str">
        <f aca="false">IF(F173="","",IFERROR(INDEX(Listas!$N:$N,MATCH(F173,Listas!$M:$M,0)),""))</f>
        <v/>
      </c>
      <c r="H173" s="22"/>
      <c r="I173" s="11"/>
      <c r="J173" s="23"/>
      <c r="K173" s="24"/>
      <c r="L173" s="11"/>
    </row>
    <row r="174" customFormat="false" ht="15" hidden="false" customHeight="false" outlineLevel="0" collapsed="false">
      <c r="A174" s="24"/>
      <c r="B174" s="23"/>
      <c r="C174" s="11"/>
      <c r="D174" s="11"/>
      <c r="E174" s="11"/>
      <c r="F174" s="23"/>
      <c r="G174" s="25" t="str">
        <f aca="false">IF(F174="","",IFERROR(INDEX(Listas!$N:$N,MATCH(F174,Listas!$M:$M,0)),""))</f>
        <v/>
      </c>
      <c r="H174" s="22"/>
      <c r="I174" s="11"/>
      <c r="J174" s="23"/>
      <c r="K174" s="24"/>
      <c r="L174" s="11"/>
    </row>
    <row r="175" customFormat="false" ht="15" hidden="false" customHeight="false" outlineLevel="0" collapsed="false">
      <c r="A175" s="24"/>
      <c r="B175" s="23"/>
      <c r="C175" s="11"/>
      <c r="D175" s="11"/>
      <c r="E175" s="11"/>
      <c r="F175" s="23"/>
      <c r="G175" s="25" t="str">
        <f aca="false">IF(F175="","",IFERROR(INDEX(Listas!$N:$N,MATCH(F175,Listas!$M:$M,0)),""))</f>
        <v/>
      </c>
      <c r="H175" s="22"/>
      <c r="I175" s="11"/>
      <c r="J175" s="23"/>
      <c r="K175" s="24"/>
      <c r="L175" s="11"/>
    </row>
    <row r="176" customFormat="false" ht="15" hidden="false" customHeight="false" outlineLevel="0" collapsed="false">
      <c r="A176" s="24"/>
      <c r="B176" s="23"/>
      <c r="C176" s="11"/>
      <c r="D176" s="11"/>
      <c r="E176" s="11"/>
      <c r="F176" s="23"/>
      <c r="G176" s="25" t="str">
        <f aca="false">IF(F176="","",IFERROR(INDEX(Listas!$N:$N,MATCH(F176,Listas!$M:$M,0)),""))</f>
        <v/>
      </c>
      <c r="H176" s="22"/>
      <c r="I176" s="11"/>
      <c r="J176" s="23"/>
      <c r="K176" s="24"/>
      <c r="L176" s="11"/>
    </row>
    <row r="177" customFormat="false" ht="15" hidden="false" customHeight="false" outlineLevel="0" collapsed="false">
      <c r="A177" s="24"/>
      <c r="B177" s="23"/>
      <c r="C177" s="11"/>
      <c r="D177" s="11"/>
      <c r="E177" s="11"/>
      <c r="F177" s="23"/>
      <c r="G177" s="25" t="str">
        <f aca="false">IF(F177="","",IFERROR(INDEX(Listas!$N:$N,MATCH(F177,Listas!$M:$M,0)),""))</f>
        <v/>
      </c>
      <c r="H177" s="22"/>
      <c r="I177" s="11"/>
      <c r="J177" s="23"/>
      <c r="K177" s="24"/>
      <c r="L177" s="11"/>
    </row>
    <row r="178" customFormat="false" ht="15" hidden="false" customHeight="false" outlineLevel="0" collapsed="false">
      <c r="A178" s="24"/>
      <c r="B178" s="23"/>
      <c r="C178" s="11"/>
      <c r="D178" s="11"/>
      <c r="E178" s="11"/>
      <c r="F178" s="23"/>
      <c r="G178" s="25" t="str">
        <f aca="false">IF(F178="","",IFERROR(INDEX(Listas!$N:$N,MATCH(F178,Listas!$M:$M,0)),""))</f>
        <v/>
      </c>
      <c r="H178" s="22"/>
      <c r="I178" s="11"/>
      <c r="J178" s="23"/>
      <c r="K178" s="24"/>
      <c r="L178" s="11"/>
    </row>
    <row r="179" customFormat="false" ht="15" hidden="false" customHeight="false" outlineLevel="0" collapsed="false">
      <c r="A179" s="24"/>
      <c r="B179" s="23"/>
      <c r="C179" s="11"/>
      <c r="D179" s="11"/>
      <c r="E179" s="11"/>
      <c r="F179" s="23"/>
      <c r="G179" s="25" t="str">
        <f aca="false">IF(F179="","",IFERROR(INDEX(Listas!$N:$N,MATCH(F179,Listas!$M:$M,0)),""))</f>
        <v/>
      </c>
      <c r="H179" s="22"/>
      <c r="I179" s="11"/>
      <c r="J179" s="23"/>
      <c r="K179" s="24"/>
      <c r="L179" s="11"/>
    </row>
    <row r="180" customFormat="false" ht="15" hidden="false" customHeight="false" outlineLevel="0" collapsed="false">
      <c r="A180" s="24"/>
      <c r="B180" s="23"/>
      <c r="C180" s="11"/>
      <c r="D180" s="11"/>
      <c r="E180" s="11"/>
      <c r="F180" s="23"/>
      <c r="G180" s="25" t="str">
        <f aca="false">IF(F180="","",IFERROR(INDEX(Listas!$N:$N,MATCH(F180,Listas!$M:$M,0)),""))</f>
        <v/>
      </c>
      <c r="H180" s="22"/>
      <c r="I180" s="11"/>
      <c r="J180" s="23"/>
      <c r="K180" s="24"/>
      <c r="L180" s="11"/>
    </row>
    <row r="181" customFormat="false" ht="15" hidden="false" customHeight="false" outlineLevel="0" collapsed="false">
      <c r="A181" s="24"/>
      <c r="B181" s="23"/>
      <c r="C181" s="11"/>
      <c r="D181" s="11"/>
      <c r="E181" s="11"/>
      <c r="F181" s="23"/>
      <c r="G181" s="25" t="str">
        <f aca="false">IF(F181="","",IFERROR(INDEX(Listas!$N:$N,MATCH(F181,Listas!$M:$M,0)),""))</f>
        <v/>
      </c>
      <c r="H181" s="22"/>
      <c r="I181" s="11"/>
      <c r="J181" s="23"/>
      <c r="K181" s="24"/>
      <c r="L181" s="11"/>
    </row>
    <row r="182" customFormat="false" ht="15" hidden="false" customHeight="false" outlineLevel="0" collapsed="false">
      <c r="A182" s="24"/>
      <c r="B182" s="23"/>
      <c r="C182" s="11"/>
      <c r="D182" s="11"/>
      <c r="E182" s="11"/>
      <c r="F182" s="23"/>
      <c r="G182" s="25" t="str">
        <f aca="false">IF(F182="","",IFERROR(INDEX(Listas!$N:$N,MATCH(F182,Listas!$M:$M,0)),""))</f>
        <v/>
      </c>
      <c r="H182" s="22"/>
      <c r="I182" s="11"/>
      <c r="J182" s="23"/>
      <c r="K182" s="24"/>
      <c r="L182" s="11"/>
    </row>
    <row r="183" customFormat="false" ht="15" hidden="false" customHeight="false" outlineLevel="0" collapsed="false">
      <c r="A183" s="24"/>
      <c r="B183" s="23"/>
      <c r="C183" s="11"/>
      <c r="D183" s="11"/>
      <c r="E183" s="11"/>
      <c r="F183" s="23"/>
      <c r="G183" s="25" t="str">
        <f aca="false">IF(F183="","",IFERROR(INDEX(Listas!$N:$N,MATCH(F183,Listas!$M:$M,0)),""))</f>
        <v/>
      </c>
      <c r="H183" s="22"/>
      <c r="I183" s="11"/>
      <c r="J183" s="23"/>
      <c r="K183" s="24"/>
      <c r="L183" s="11"/>
    </row>
    <row r="184" customFormat="false" ht="15" hidden="false" customHeight="false" outlineLevel="0" collapsed="false">
      <c r="A184" s="24"/>
      <c r="B184" s="23"/>
      <c r="C184" s="11"/>
      <c r="D184" s="11"/>
      <c r="E184" s="11"/>
      <c r="F184" s="23"/>
      <c r="G184" s="25" t="str">
        <f aca="false">IF(F184="","",IFERROR(INDEX(Listas!$N:$N,MATCH(F184,Listas!$M:$M,0)),""))</f>
        <v/>
      </c>
      <c r="H184" s="22"/>
      <c r="I184" s="11"/>
      <c r="J184" s="23"/>
      <c r="K184" s="24"/>
      <c r="L184" s="11"/>
    </row>
    <row r="185" customFormat="false" ht="15" hidden="false" customHeight="false" outlineLevel="0" collapsed="false">
      <c r="A185" s="24"/>
      <c r="B185" s="23"/>
      <c r="C185" s="11"/>
      <c r="D185" s="11"/>
      <c r="E185" s="11"/>
      <c r="F185" s="23"/>
      <c r="G185" s="25" t="str">
        <f aca="false">IF(F185="","",IFERROR(INDEX(Listas!$N:$N,MATCH(F185,Listas!$M:$M,0)),""))</f>
        <v/>
      </c>
      <c r="H185" s="22"/>
      <c r="I185" s="11"/>
      <c r="J185" s="23"/>
      <c r="K185" s="24"/>
      <c r="L185" s="11"/>
    </row>
    <row r="186" customFormat="false" ht="15" hidden="false" customHeight="false" outlineLevel="0" collapsed="false">
      <c r="A186" s="24"/>
      <c r="B186" s="23"/>
      <c r="C186" s="11"/>
      <c r="D186" s="11"/>
      <c r="E186" s="11"/>
      <c r="F186" s="23"/>
      <c r="G186" s="25" t="str">
        <f aca="false">IF(F186="","",IFERROR(INDEX(Listas!$N:$N,MATCH(F186,Listas!$M:$M,0)),""))</f>
        <v/>
      </c>
      <c r="H186" s="22"/>
      <c r="I186" s="11"/>
      <c r="J186" s="23"/>
      <c r="K186" s="24"/>
      <c r="L186" s="11"/>
    </row>
    <row r="187" customFormat="false" ht="15" hidden="false" customHeight="false" outlineLevel="0" collapsed="false">
      <c r="A187" s="24"/>
      <c r="B187" s="23"/>
      <c r="C187" s="11"/>
      <c r="D187" s="11"/>
      <c r="E187" s="11"/>
      <c r="F187" s="23"/>
      <c r="G187" s="25" t="str">
        <f aca="false">IF(F187="","",IFERROR(INDEX(Listas!$N:$N,MATCH(F187,Listas!$M:$M,0)),""))</f>
        <v/>
      </c>
      <c r="H187" s="22"/>
      <c r="I187" s="11"/>
      <c r="J187" s="23"/>
      <c r="K187" s="24"/>
      <c r="L187" s="11"/>
    </row>
    <row r="188" customFormat="false" ht="15" hidden="false" customHeight="false" outlineLevel="0" collapsed="false">
      <c r="A188" s="24"/>
      <c r="B188" s="23"/>
      <c r="C188" s="11"/>
      <c r="D188" s="11"/>
      <c r="E188" s="11"/>
      <c r="F188" s="23"/>
      <c r="G188" s="25" t="str">
        <f aca="false">IF(F188="","",IFERROR(INDEX(Listas!$N:$N,MATCH(F188,Listas!$M:$M,0)),""))</f>
        <v/>
      </c>
      <c r="H188" s="22"/>
      <c r="I188" s="11"/>
      <c r="J188" s="23"/>
      <c r="K188" s="24"/>
      <c r="L188" s="11"/>
    </row>
    <row r="189" customFormat="false" ht="15" hidden="false" customHeight="false" outlineLevel="0" collapsed="false">
      <c r="A189" s="24"/>
      <c r="B189" s="23"/>
      <c r="C189" s="11"/>
      <c r="D189" s="11"/>
      <c r="E189" s="11"/>
      <c r="F189" s="23"/>
      <c r="G189" s="25" t="str">
        <f aca="false">IF(F189="","",IFERROR(INDEX(Listas!$N:$N,MATCH(F189,Listas!$M:$M,0)),""))</f>
        <v/>
      </c>
      <c r="H189" s="22"/>
      <c r="I189" s="11"/>
      <c r="J189" s="23"/>
      <c r="K189" s="24"/>
      <c r="L189" s="11"/>
    </row>
    <row r="190" customFormat="false" ht="15" hidden="false" customHeight="false" outlineLevel="0" collapsed="false">
      <c r="A190" s="24"/>
      <c r="B190" s="23"/>
      <c r="C190" s="11"/>
      <c r="D190" s="11"/>
      <c r="E190" s="11"/>
      <c r="F190" s="23"/>
      <c r="G190" s="25" t="str">
        <f aca="false">IF(F190="","",IFERROR(INDEX(Listas!$N:$N,MATCH(F190,Listas!$M:$M,0)),""))</f>
        <v/>
      </c>
      <c r="H190" s="22"/>
      <c r="I190" s="11"/>
      <c r="J190" s="23"/>
      <c r="K190" s="24"/>
      <c r="L190" s="11"/>
    </row>
    <row r="191" customFormat="false" ht="15" hidden="false" customHeight="false" outlineLevel="0" collapsed="false">
      <c r="A191" s="24"/>
      <c r="B191" s="23"/>
      <c r="C191" s="11"/>
      <c r="D191" s="11"/>
      <c r="E191" s="11"/>
      <c r="F191" s="23"/>
      <c r="G191" s="25" t="str">
        <f aca="false">IF(F191="","",IFERROR(INDEX(Listas!$N:$N,MATCH(F191,Listas!$M:$M,0)),""))</f>
        <v/>
      </c>
      <c r="H191" s="22"/>
      <c r="I191" s="11"/>
      <c r="J191" s="23"/>
      <c r="K191" s="24"/>
      <c r="L191" s="11"/>
    </row>
    <row r="192" customFormat="false" ht="15" hidden="false" customHeight="false" outlineLevel="0" collapsed="false">
      <c r="A192" s="24"/>
      <c r="B192" s="23"/>
      <c r="C192" s="11"/>
      <c r="D192" s="11"/>
      <c r="E192" s="11"/>
      <c r="F192" s="23"/>
      <c r="G192" s="25" t="str">
        <f aca="false">IF(F192="","",IFERROR(INDEX(Listas!$N:$N,MATCH(F192,Listas!$M:$M,0)),""))</f>
        <v/>
      </c>
      <c r="H192" s="22"/>
      <c r="I192" s="11"/>
      <c r="J192" s="23"/>
      <c r="K192" s="24"/>
      <c r="L192" s="11"/>
    </row>
    <row r="193" customFormat="false" ht="15" hidden="false" customHeight="false" outlineLevel="0" collapsed="false">
      <c r="A193" s="24"/>
      <c r="B193" s="23"/>
      <c r="C193" s="11"/>
      <c r="D193" s="11"/>
      <c r="E193" s="11"/>
      <c r="F193" s="23"/>
      <c r="G193" s="25" t="str">
        <f aca="false">IF(F193="","",IFERROR(INDEX(Listas!$N:$N,MATCH(F193,Listas!$M:$M,0)),""))</f>
        <v/>
      </c>
      <c r="H193" s="22"/>
      <c r="I193" s="11"/>
      <c r="J193" s="23"/>
      <c r="K193" s="24"/>
      <c r="L193" s="11"/>
    </row>
    <row r="194" customFormat="false" ht="15" hidden="false" customHeight="false" outlineLevel="0" collapsed="false">
      <c r="A194" s="24"/>
      <c r="B194" s="23"/>
      <c r="C194" s="11"/>
      <c r="D194" s="11"/>
      <c r="E194" s="11"/>
      <c r="F194" s="23"/>
      <c r="G194" s="25" t="str">
        <f aca="false">IF(F194="","",IFERROR(INDEX(Listas!$N:$N,MATCH(F194,Listas!$M:$M,0)),""))</f>
        <v/>
      </c>
      <c r="H194" s="22"/>
      <c r="I194" s="11"/>
      <c r="J194" s="23"/>
      <c r="K194" s="24"/>
      <c r="L194" s="11"/>
    </row>
    <row r="195" customFormat="false" ht="15" hidden="false" customHeight="false" outlineLevel="0" collapsed="false">
      <c r="A195" s="24"/>
      <c r="B195" s="23"/>
      <c r="C195" s="11"/>
      <c r="D195" s="11"/>
      <c r="E195" s="11"/>
      <c r="F195" s="23"/>
      <c r="G195" s="25" t="str">
        <f aca="false">IF(F195="","",IFERROR(INDEX(Listas!$N:$N,MATCH(F195,Listas!$M:$M,0)),""))</f>
        <v/>
      </c>
      <c r="H195" s="22"/>
      <c r="I195" s="11"/>
      <c r="J195" s="23"/>
      <c r="K195" s="24"/>
      <c r="L195" s="11"/>
    </row>
    <row r="196" customFormat="false" ht="15" hidden="false" customHeight="false" outlineLevel="0" collapsed="false">
      <c r="A196" s="24"/>
      <c r="B196" s="23"/>
      <c r="C196" s="11"/>
      <c r="D196" s="11"/>
      <c r="E196" s="11"/>
      <c r="F196" s="23"/>
      <c r="G196" s="25" t="str">
        <f aca="false">IF(F196="","",IFERROR(INDEX(Listas!$N:$N,MATCH(F196,Listas!$M:$M,0)),""))</f>
        <v/>
      </c>
      <c r="H196" s="22"/>
      <c r="I196" s="11"/>
      <c r="J196" s="23"/>
      <c r="K196" s="24"/>
      <c r="L196" s="11"/>
    </row>
    <row r="197" customFormat="false" ht="15" hidden="false" customHeight="false" outlineLevel="0" collapsed="false">
      <c r="A197" s="24"/>
      <c r="B197" s="23"/>
      <c r="C197" s="11"/>
      <c r="D197" s="11"/>
      <c r="E197" s="11"/>
      <c r="F197" s="23"/>
      <c r="G197" s="25" t="str">
        <f aca="false">IF(F197="","",IFERROR(INDEX(Listas!$N:$N,MATCH(F197,Listas!$M:$M,0)),""))</f>
        <v/>
      </c>
      <c r="H197" s="22"/>
      <c r="I197" s="11"/>
      <c r="J197" s="23"/>
      <c r="K197" s="24"/>
      <c r="L197" s="11"/>
    </row>
    <row r="198" customFormat="false" ht="15" hidden="false" customHeight="false" outlineLevel="0" collapsed="false">
      <c r="A198" s="24"/>
      <c r="B198" s="23"/>
      <c r="C198" s="11"/>
      <c r="D198" s="11"/>
      <c r="E198" s="11"/>
      <c r="F198" s="23"/>
      <c r="G198" s="25" t="str">
        <f aca="false">IF(F198="","",IFERROR(INDEX(Listas!$N:$N,MATCH(F198,Listas!$M:$M,0)),""))</f>
        <v/>
      </c>
      <c r="H198" s="22"/>
      <c r="I198" s="11"/>
      <c r="J198" s="23"/>
      <c r="K198" s="24"/>
      <c r="L198" s="11"/>
    </row>
    <row r="199" customFormat="false" ht="15" hidden="false" customHeight="false" outlineLevel="0" collapsed="false">
      <c r="A199" s="24"/>
      <c r="B199" s="23"/>
      <c r="C199" s="11"/>
      <c r="D199" s="11"/>
      <c r="E199" s="11"/>
      <c r="F199" s="23"/>
      <c r="G199" s="25" t="str">
        <f aca="false">IF(F199="","",IFERROR(INDEX(Listas!$N:$N,MATCH(F199,Listas!$M:$M,0)),""))</f>
        <v/>
      </c>
      <c r="H199" s="22"/>
      <c r="I199" s="11"/>
      <c r="J199" s="23"/>
      <c r="K199" s="24"/>
      <c r="L199" s="11"/>
    </row>
    <row r="200" customFormat="false" ht="15" hidden="false" customHeight="false" outlineLevel="0" collapsed="false">
      <c r="A200" s="24"/>
      <c r="B200" s="23"/>
      <c r="C200" s="11"/>
      <c r="D200" s="11"/>
      <c r="E200" s="11"/>
      <c r="F200" s="23"/>
      <c r="G200" s="25" t="str">
        <f aca="false">IF(F200="","",IFERROR(INDEX(Listas!$N:$N,MATCH(F200,Listas!$M:$M,0)),""))</f>
        <v/>
      </c>
      <c r="H200" s="22"/>
      <c r="I200" s="11"/>
      <c r="J200" s="23"/>
      <c r="K200" s="24"/>
      <c r="L200" s="11"/>
    </row>
    <row r="201" customFormat="false" ht="15" hidden="false" customHeight="false" outlineLevel="0" collapsed="false">
      <c r="A201" s="24"/>
      <c r="B201" s="23"/>
      <c r="C201" s="11"/>
      <c r="D201" s="11"/>
      <c r="E201" s="11"/>
      <c r="F201" s="23"/>
      <c r="G201" s="25" t="str">
        <f aca="false">IF(F201="","",IFERROR(INDEX(Listas!$N:$N,MATCH(F201,Listas!$M:$M,0)),""))</f>
        <v/>
      </c>
      <c r="H201" s="22"/>
      <c r="I201" s="11"/>
      <c r="J201" s="23"/>
      <c r="K201" s="24"/>
      <c r="L201" s="11"/>
    </row>
    <row r="202" customFormat="false" ht="15" hidden="false" customHeight="false" outlineLevel="0" collapsed="false">
      <c r="A202" s="24"/>
      <c r="B202" s="23"/>
      <c r="C202" s="11"/>
      <c r="D202" s="11"/>
      <c r="E202" s="11"/>
      <c r="F202" s="23"/>
      <c r="G202" s="25" t="str">
        <f aca="false">IF(F202="","",IFERROR(INDEX(Listas!$N:$N,MATCH(F202,Listas!$M:$M,0)),""))</f>
        <v/>
      </c>
      <c r="H202" s="22"/>
      <c r="I202" s="11"/>
      <c r="J202" s="23"/>
      <c r="K202" s="24"/>
      <c r="L202" s="11"/>
    </row>
    <row r="203" customFormat="false" ht="15" hidden="false" customHeight="false" outlineLevel="0" collapsed="false">
      <c r="A203" s="24"/>
      <c r="B203" s="23"/>
      <c r="C203" s="11"/>
      <c r="D203" s="11"/>
      <c r="E203" s="11"/>
      <c r="F203" s="23"/>
      <c r="G203" s="25" t="str">
        <f aca="false">IF(F203="","",IFERROR(INDEX(Listas!$N:$N,MATCH(F203,Listas!$M:$M,0)),""))</f>
        <v/>
      </c>
      <c r="H203" s="22"/>
      <c r="I203" s="11"/>
      <c r="J203" s="23"/>
      <c r="K203" s="24"/>
      <c r="L203" s="11"/>
    </row>
    <row r="204" customFormat="false" ht="15" hidden="false" customHeight="false" outlineLevel="0" collapsed="false">
      <c r="A204" s="24"/>
      <c r="B204" s="23"/>
      <c r="C204" s="11"/>
      <c r="D204" s="11"/>
      <c r="E204" s="11"/>
      <c r="F204" s="23"/>
      <c r="G204" s="25" t="str">
        <f aca="false">IF(F204="","",IFERROR(INDEX(Listas!$N:$N,MATCH(F204,Listas!$M:$M,0)),""))</f>
        <v/>
      </c>
      <c r="H204" s="22"/>
      <c r="I204" s="11"/>
      <c r="J204" s="23"/>
      <c r="K204" s="24"/>
      <c r="L204" s="11"/>
    </row>
  </sheetData>
  <autoFilter ref="A4:L204"/>
  <dataValidations count="1">
    <dataValidation allowBlank="true" error="Escolha uma opção da lista (as opções estão na aba Listas)." errorStyle="stop" errorTitle="Valor fora da lista" operator="between" showDropDown="false" showErrorMessage="true" showInputMessage="false" sqref="F5:F204" type="list">
      <formula1>Listas!$M$4:$M$16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26"/>
    <col collapsed="false" customWidth="true" hidden="false" outlineLevel="0" max="13" min="13" style="0" width="42"/>
    <col collapsed="false" customWidth="true" hidden="false" outlineLevel="0" max="14" min="14" style="0" width="70"/>
  </cols>
  <sheetData>
    <row r="1" customFormat="false" ht="17.35" hidden="false" customHeight="false" outlineLevel="0" collapsed="false">
      <c r="A1" s="14" t="s">
        <v>368</v>
      </c>
    </row>
    <row r="2" customFormat="false" ht="15" hidden="false" customHeight="false" outlineLevel="0" collapsed="false">
      <c r="A2" s="15" t="s">
        <v>369</v>
      </c>
    </row>
    <row r="3" customFormat="false" ht="36" hidden="false" customHeight="true" outlineLevel="0" collapsed="false">
      <c r="A3" s="9" t="s">
        <v>370</v>
      </c>
      <c r="B3" s="9" t="s">
        <v>371</v>
      </c>
      <c r="C3" s="9" t="s">
        <v>372</v>
      </c>
      <c r="D3" s="9" t="s">
        <v>178</v>
      </c>
      <c r="E3" s="9" t="s">
        <v>181</v>
      </c>
      <c r="F3" s="9" t="s">
        <v>373</v>
      </c>
      <c r="G3" s="9" t="s">
        <v>374</v>
      </c>
      <c r="H3" s="9" t="s">
        <v>276</v>
      </c>
      <c r="I3" s="9" t="s">
        <v>375</v>
      </c>
      <c r="J3" s="9" t="s">
        <v>376</v>
      </c>
      <c r="K3" s="9" t="s">
        <v>377</v>
      </c>
      <c r="L3" s="9" t="s">
        <v>378</v>
      </c>
      <c r="M3" s="9" t="s">
        <v>379</v>
      </c>
      <c r="N3" s="9" t="s">
        <v>380</v>
      </c>
    </row>
    <row r="4" customFormat="false" ht="15" hidden="false" customHeight="false" outlineLevel="0" collapsed="false">
      <c r="A4" s="5" t="s">
        <v>381</v>
      </c>
      <c r="B4" s="5" t="s">
        <v>89</v>
      </c>
      <c r="C4" s="5" t="s">
        <v>78</v>
      </c>
      <c r="D4" s="5" t="s">
        <v>191</v>
      </c>
      <c r="E4" s="5" t="s">
        <v>192</v>
      </c>
      <c r="F4" s="5" t="s">
        <v>382</v>
      </c>
      <c r="G4" s="5" t="s">
        <v>197</v>
      </c>
      <c r="H4" s="5" t="s">
        <v>383</v>
      </c>
      <c r="I4" s="5" t="s">
        <v>308</v>
      </c>
      <c r="J4" s="5" t="s">
        <v>322</v>
      </c>
      <c r="K4" s="5" t="s">
        <v>325</v>
      </c>
      <c r="L4" s="5" t="s">
        <v>338</v>
      </c>
      <c r="M4" s="11" t="s">
        <v>384</v>
      </c>
      <c r="N4" s="11" t="s">
        <v>385</v>
      </c>
    </row>
    <row r="5" customFormat="false" ht="15" hidden="false" customHeight="false" outlineLevel="0" collapsed="false">
      <c r="A5" s="5" t="s">
        <v>130</v>
      </c>
      <c r="B5" s="5" t="s">
        <v>93</v>
      </c>
      <c r="C5" s="5" t="s">
        <v>386</v>
      </c>
      <c r="D5" s="5" t="s">
        <v>387</v>
      </c>
      <c r="E5" s="5" t="s">
        <v>195</v>
      </c>
      <c r="F5" s="5" t="s">
        <v>196</v>
      </c>
      <c r="G5" s="5" t="s">
        <v>388</v>
      </c>
      <c r="H5" s="5" t="s">
        <v>295</v>
      </c>
      <c r="I5" s="5" t="s">
        <v>389</v>
      </c>
      <c r="J5" s="5" t="s">
        <v>390</v>
      </c>
      <c r="K5" s="5" t="s">
        <v>391</v>
      </c>
      <c r="L5" s="5" t="s">
        <v>344</v>
      </c>
      <c r="M5" s="11" t="s">
        <v>392</v>
      </c>
      <c r="N5" s="11" t="s">
        <v>393</v>
      </c>
    </row>
    <row r="6" customFormat="false" ht="15" hidden="false" customHeight="false" outlineLevel="0" collapsed="false">
      <c r="A6" s="5" t="s">
        <v>126</v>
      </c>
      <c r="B6" s="5" t="s">
        <v>102</v>
      </c>
      <c r="C6" s="5" t="s">
        <v>94</v>
      </c>
      <c r="D6" s="5" t="s">
        <v>194</v>
      </c>
      <c r="F6" s="5" t="s">
        <v>394</v>
      </c>
      <c r="G6" s="5" t="s">
        <v>395</v>
      </c>
      <c r="H6" s="5" t="s">
        <v>396</v>
      </c>
      <c r="I6" s="5" t="s">
        <v>102</v>
      </c>
      <c r="J6" s="5" t="s">
        <v>397</v>
      </c>
      <c r="K6" s="5" t="s">
        <v>398</v>
      </c>
      <c r="L6" s="5" t="s">
        <v>399</v>
      </c>
      <c r="M6" s="11" t="s">
        <v>400</v>
      </c>
      <c r="N6" s="11" t="s">
        <v>401</v>
      </c>
    </row>
    <row r="7" customFormat="false" ht="15" hidden="false" customHeight="false" outlineLevel="0" collapsed="false">
      <c r="A7" s="5" t="s">
        <v>151</v>
      </c>
      <c r="B7" s="5" t="s">
        <v>84</v>
      </c>
      <c r="G7" s="5" t="s">
        <v>402</v>
      </c>
      <c r="H7" s="5" t="s">
        <v>403</v>
      </c>
      <c r="J7" s="5" t="s">
        <v>111</v>
      </c>
      <c r="M7" s="11" t="s">
        <v>404</v>
      </c>
      <c r="N7" s="11" t="s">
        <v>405</v>
      </c>
    </row>
    <row r="8" customFormat="false" ht="15" hidden="false" customHeight="false" outlineLevel="0" collapsed="false">
      <c r="A8" s="5" t="s">
        <v>160</v>
      </c>
      <c r="B8" s="5" t="s">
        <v>77</v>
      </c>
      <c r="G8" s="5" t="s">
        <v>406</v>
      </c>
      <c r="H8" s="5" t="s">
        <v>407</v>
      </c>
      <c r="M8" s="11" t="s">
        <v>408</v>
      </c>
      <c r="N8" s="11" t="s">
        <v>409</v>
      </c>
    </row>
    <row r="9" customFormat="false" ht="15" hidden="false" customHeight="false" outlineLevel="0" collapsed="false">
      <c r="A9" s="5" t="s">
        <v>410</v>
      </c>
      <c r="B9" s="5" t="s">
        <v>106</v>
      </c>
      <c r="G9" s="5" t="s">
        <v>411</v>
      </c>
      <c r="H9" s="5" t="s">
        <v>291</v>
      </c>
      <c r="M9" s="11" t="s">
        <v>412</v>
      </c>
      <c r="N9" s="11" t="s">
        <v>413</v>
      </c>
    </row>
    <row r="10" customFormat="false" ht="15" hidden="false" customHeight="false" outlineLevel="0" collapsed="false">
      <c r="A10" s="5" t="s">
        <v>167</v>
      </c>
      <c r="B10" s="5" t="s">
        <v>414</v>
      </c>
      <c r="H10" s="5" t="s">
        <v>415</v>
      </c>
      <c r="M10" s="11" t="s">
        <v>416</v>
      </c>
      <c r="N10" s="11" t="s">
        <v>417</v>
      </c>
    </row>
    <row r="11" customFormat="false" ht="15" hidden="false" customHeight="false" outlineLevel="0" collapsed="false">
      <c r="A11" s="5" t="s">
        <v>418</v>
      </c>
      <c r="B11" s="5" t="s">
        <v>151</v>
      </c>
      <c r="H11" s="5" t="s">
        <v>419</v>
      </c>
      <c r="M11" s="11" t="s">
        <v>420</v>
      </c>
      <c r="N11" s="11" t="s">
        <v>421</v>
      </c>
    </row>
    <row r="12" customFormat="false" ht="15" hidden="false" customHeight="false" outlineLevel="0" collapsed="false">
      <c r="A12" s="5" t="s">
        <v>422</v>
      </c>
      <c r="B12" s="5" t="s">
        <v>423</v>
      </c>
      <c r="H12" s="5" t="s">
        <v>424</v>
      </c>
      <c r="M12" s="11" t="s">
        <v>425</v>
      </c>
      <c r="N12" s="11" t="s">
        <v>426</v>
      </c>
    </row>
    <row r="13" customFormat="false" ht="23.85" hidden="false" customHeight="false" outlineLevel="0" collapsed="false">
      <c r="A13" s="5" t="s">
        <v>163</v>
      </c>
      <c r="B13" s="5" t="s">
        <v>111</v>
      </c>
      <c r="H13" s="5" t="s">
        <v>427</v>
      </c>
      <c r="M13" s="11" t="s">
        <v>428</v>
      </c>
      <c r="N13" s="11" t="s">
        <v>429</v>
      </c>
    </row>
    <row r="14" customFormat="false" ht="15" hidden="false" customHeight="false" outlineLevel="0" collapsed="false">
      <c r="A14" s="5" t="s">
        <v>111</v>
      </c>
      <c r="H14" s="5" t="s">
        <v>430</v>
      </c>
      <c r="M14" s="11" t="s">
        <v>365</v>
      </c>
      <c r="N14" s="11" t="s">
        <v>431</v>
      </c>
    </row>
    <row r="15" customFormat="false" ht="15" hidden="false" customHeight="false" outlineLevel="0" collapsed="false">
      <c r="M15" s="11" t="s">
        <v>432</v>
      </c>
      <c r="N15" s="11" t="s">
        <v>433</v>
      </c>
    </row>
    <row r="16" customFormat="false" ht="15" hidden="false" customHeight="false" outlineLevel="0" collapsed="false">
      <c r="M16" s="11" t="s">
        <v>434</v>
      </c>
      <c r="N16" s="11" t="s">
        <v>435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2026-09-26T16:07:20Z</dcterms:created>
  <dc:creator>Jornalismo Investigativo na Prática</dc:creator>
  <dc:description/>
  <dc:language>en-US</dc:language>
  <cp:lastModifiedBy/>
  <dcterms:modified xsi:type="dcterms:W3CDTF">2026-09-26T16:07:22Z</dcterms:modified>
  <cp:revision>0</cp:revision>
  <dc:subject/>
  <dc:title>Planilha de cruzamento — Jornalismo Investigativo na Prática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